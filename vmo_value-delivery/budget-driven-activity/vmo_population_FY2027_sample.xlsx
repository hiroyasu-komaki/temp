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新規案件" sheetId="1" state="visible" r:id="rId1"/>
    <sheet xmlns:r="http://schemas.openxmlformats.org/officeDocument/2006/relationships" name="ベンダー集計" sheetId="2" state="visible" r:id="rId2"/>
    <sheet xmlns:r="http://schemas.openxmlformats.org/officeDocument/2006/relationships" name="ベンダー分析" sheetId="3" state="visible" r:id="rId3"/>
    <sheet xmlns:r="http://schemas.openxmlformats.org/officeDocument/2006/relationships" name="施策マスタ" sheetId="4" state="visible" r:id="rId4"/>
  </sheets>
  <definedNames>
    <definedName name="_xlnm._FilterDatabase" localSheetId="1" hidden="1">'ベンダー集計'!$A$1:$P$15</definedName>
    <definedName name="_xlnm._FilterDatabase" localSheetId="2" hidden="1">'ベンダー分析'!$A$1:$AA$32</definedName>
    <definedName name="_xlnm._FilterDatabase" localSheetId="3" hidden="1">'施策マスタ'!$A$1:$E$25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6DB"/>
      </patternFill>
    </fill>
    <fill>
      <patternFill patternType="solid">
        <fgColor rgb="00EEF1F5"/>
      </patternFill>
    </fill>
  </fills>
  <borders count="2">
    <border>
      <left/>
      <right/>
      <top/>
      <bottom/>
      <diagonal/>
    </border>
    <border>
      <left style="thin">
        <color rgb="00C8CDD5"/>
      </left>
      <right style="thin">
        <color rgb="00C8CDD5"/>
      </right>
      <top style="thin">
        <color rgb="00C8CDD5"/>
      </top>
      <bottom style="thin">
        <color rgb="00C8CDD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3" fontId="0" fillId="0" borderId="0" pivotButton="0" quotePrefix="0" xfId="0"/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8" customWidth="1" min="5" max="5"/>
    <col width="15" customWidth="1" min="6" max="6"/>
    <col width="20" customWidth="1" min="7" max="7"/>
    <col width="14" customWidth="1" min="8" max="8"/>
    <col width="12" customWidth="1" min="9" max="9"/>
    <col width="16" customWidth="1" min="10" max="10"/>
    <col width="16" customWidth="1" min="11" max="11"/>
    <col width="12" customWidth="1" min="12" max="12"/>
    <col width="12" customWidth="1" min="13" max="13"/>
    <col width="12" customWidth="1" min="14" max="14"/>
    <col width="12" customWidth="1" min="15" max="15"/>
    <col width="30" customWidth="1" min="16" max="16"/>
  </cols>
  <sheetData>
    <row r="1" ht="32" customHeight="1">
      <c r="A1" s="3" t="inlineStr">
        <is>
          <t>分析ID</t>
        </is>
      </c>
      <c r="B1" s="3" t="inlineStr">
        <is>
          <t>ベンダー</t>
        </is>
      </c>
      <c r="C1" s="3" t="inlineStr">
        <is>
          <t>Tier</t>
        </is>
      </c>
      <c r="D1" s="3" t="inlineStr">
        <is>
          <t>リージョン</t>
        </is>
      </c>
      <c r="E1" s="3" t="inlineStr">
        <is>
          <t>システム</t>
        </is>
      </c>
      <c r="F1" s="3" t="inlineStr">
        <is>
          <t>費用区分</t>
        </is>
      </c>
      <c r="G1" s="3" t="inlineStr">
        <is>
          <t>区分（a〜e）</t>
        </is>
      </c>
      <c r="H1" s="3" t="inlineStr">
        <is>
          <t>年額（円）</t>
        </is>
      </c>
      <c r="I1" s="3" t="inlineStr">
        <is>
          <t>予算の出所</t>
        </is>
      </c>
      <c r="J1" s="3" t="inlineStr">
        <is>
          <t>選定の時期</t>
        </is>
      </c>
      <c r="K1" s="3" t="inlineStr">
        <is>
          <t>選定のアプローチ</t>
        </is>
      </c>
      <c r="L1" s="3" t="inlineStr">
        <is>
          <t>目標指標：削減</t>
        </is>
      </c>
      <c r="M1" s="3" t="inlineStr">
        <is>
          <t>目標指標：値上げの回避</t>
        </is>
      </c>
      <c r="N1" s="3" t="inlineStr">
        <is>
          <t>目標指標：代わりの価値</t>
        </is>
      </c>
      <c r="O1" s="3" t="inlineStr">
        <is>
          <t>目標指標：依存の低減</t>
        </is>
      </c>
      <c r="P1" s="3" t="inlineStr">
        <is>
          <t>メモ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7" t="n"/>
      <c r="K2" s="7" t="n"/>
      <c r="L2" s="13" t="n"/>
      <c r="M2" s="13" t="n"/>
      <c r="N2" s="13" t="n"/>
      <c r="O2" s="13" t="n"/>
      <c r="P2" s="7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7" t="n"/>
      <c r="K3" s="7" t="n"/>
      <c r="L3" s="13" t="n"/>
      <c r="M3" s="13" t="n"/>
      <c r="N3" s="13" t="n"/>
      <c r="O3" s="13" t="n"/>
      <c r="P3" s="7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7" t="n"/>
      <c r="K4" s="7" t="n"/>
      <c r="L4" s="13" t="n"/>
      <c r="M4" s="13" t="n"/>
      <c r="N4" s="13" t="n"/>
      <c r="O4" s="13" t="n"/>
      <c r="P4" s="7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7" t="n"/>
      <c r="K5" s="7" t="n"/>
      <c r="L5" s="13" t="n"/>
      <c r="M5" s="13" t="n"/>
      <c r="N5" s="13" t="n"/>
      <c r="O5" s="13" t="n"/>
      <c r="P5" s="7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7" t="n"/>
      <c r="K6" s="7" t="n"/>
      <c r="L6" s="13" t="n"/>
      <c r="M6" s="13" t="n"/>
      <c r="N6" s="13" t="n"/>
      <c r="O6" s="13" t="n"/>
      <c r="P6" s="7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7" t="n"/>
      <c r="K7" s="7" t="n"/>
      <c r="L7" s="13" t="n"/>
      <c r="M7" s="13" t="n"/>
      <c r="N7" s="13" t="n"/>
      <c r="O7" s="13" t="n"/>
      <c r="P7" s="7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7" t="n"/>
      <c r="K8" s="7" t="n"/>
      <c r="L8" s="13" t="n"/>
      <c r="M8" s="13" t="n"/>
      <c r="N8" s="13" t="n"/>
      <c r="O8" s="13" t="n"/>
      <c r="P8" s="7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7" t="n"/>
      <c r="K9" s="7" t="n"/>
      <c r="L9" s="13" t="n"/>
      <c r="M9" s="13" t="n"/>
      <c r="N9" s="13" t="n"/>
      <c r="O9" s="13" t="n"/>
      <c r="P9" s="7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7" t="n"/>
      <c r="K10" s="7" t="n"/>
      <c r="L10" s="13" t="n"/>
      <c r="M10" s="13" t="n"/>
      <c r="N10" s="13" t="n"/>
      <c r="O10" s="13" t="n"/>
      <c r="P10" s="7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7" t="n"/>
      <c r="K11" s="7" t="n"/>
      <c r="L11" s="13" t="n"/>
      <c r="M11" s="13" t="n"/>
      <c r="N11" s="13" t="n"/>
      <c r="O11" s="13" t="n"/>
      <c r="P11" s="7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7" t="n"/>
      <c r="K12" s="7" t="n"/>
      <c r="L12" s="13" t="n"/>
      <c r="M12" s="13" t="n"/>
      <c r="N12" s="13" t="n"/>
      <c r="O12" s="13" t="n"/>
      <c r="P12" s="7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7" t="n"/>
      <c r="K13" s="7" t="n"/>
      <c r="L13" s="13" t="n"/>
      <c r="M13" s="13" t="n"/>
      <c r="N13" s="13" t="n"/>
      <c r="O13" s="13" t="n"/>
      <c r="P13" s="7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7" t="n"/>
      <c r="K14" s="7" t="n"/>
      <c r="L14" s="13" t="n"/>
      <c r="M14" s="13" t="n"/>
      <c r="N14" s="13" t="n"/>
      <c r="O14" s="13" t="n"/>
      <c r="P14" s="7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7" t="n"/>
      <c r="K15" s="7" t="n"/>
      <c r="L15" s="13" t="n"/>
      <c r="M15" s="13" t="n"/>
      <c r="N15" s="13" t="n"/>
      <c r="O15" s="13" t="n"/>
      <c r="P15" s="7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7" t="n"/>
      <c r="K16" s="7" t="n"/>
      <c r="L16" s="13" t="n"/>
      <c r="M16" s="13" t="n"/>
      <c r="N16" s="13" t="n"/>
      <c r="O16" s="13" t="n"/>
      <c r="P16" s="7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7" t="n"/>
      <c r="K17" s="7" t="n"/>
      <c r="L17" s="13" t="n"/>
      <c r="M17" s="13" t="n"/>
      <c r="N17" s="13" t="n"/>
      <c r="O17" s="13" t="n"/>
      <c r="P17" s="7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7" t="n"/>
      <c r="K18" s="7" t="n"/>
      <c r="L18" s="13" t="n"/>
      <c r="M18" s="13" t="n"/>
      <c r="N18" s="13" t="n"/>
      <c r="O18" s="13" t="n"/>
      <c r="P18" s="7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7" t="n"/>
      <c r="K19" s="7" t="n"/>
      <c r="L19" s="13" t="n"/>
      <c r="M19" s="13" t="n"/>
      <c r="N19" s="13" t="n"/>
      <c r="O19" s="13" t="n"/>
      <c r="P19" s="7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7" t="n"/>
      <c r="K20" s="7" t="n"/>
      <c r="L20" s="13" t="n"/>
      <c r="M20" s="13" t="n"/>
      <c r="N20" s="13" t="n"/>
      <c r="O20" s="13" t="n"/>
      <c r="P20" s="7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7" t="n"/>
      <c r="K21" s="7" t="n"/>
      <c r="L21" s="13" t="n"/>
      <c r="M21" s="13" t="n"/>
      <c r="N21" s="13" t="n"/>
      <c r="O21" s="13" t="n"/>
      <c r="P21" s="7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7" t="n"/>
      <c r="K22" s="7" t="n"/>
      <c r="L22" s="13" t="n"/>
      <c r="M22" s="13" t="n"/>
      <c r="N22" s="13" t="n"/>
      <c r="O22" s="13" t="n"/>
      <c r="P22" s="7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7" t="n"/>
      <c r="K23" s="7" t="n"/>
      <c r="L23" s="13" t="n"/>
      <c r="M23" s="13" t="n"/>
      <c r="N23" s="13" t="n"/>
      <c r="O23" s="13" t="n"/>
      <c r="P23" s="7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7" t="n"/>
      <c r="K24" s="7" t="n"/>
      <c r="L24" s="13" t="n"/>
      <c r="M24" s="13" t="n"/>
      <c r="N24" s="13" t="n"/>
      <c r="O24" s="13" t="n"/>
      <c r="P24" s="7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7" t="n"/>
      <c r="K25" s="7" t="n"/>
      <c r="L25" s="13" t="n"/>
      <c r="M25" s="13" t="n"/>
      <c r="N25" s="13" t="n"/>
      <c r="O25" s="13" t="n"/>
      <c r="P25" s="7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7" t="n"/>
      <c r="K26" s="7" t="n"/>
      <c r="L26" s="13" t="n"/>
      <c r="M26" s="13" t="n"/>
      <c r="N26" s="13" t="n"/>
      <c r="O26" s="13" t="n"/>
      <c r="P26" s="7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7" t="n"/>
      <c r="K27" s="7" t="n"/>
      <c r="L27" s="13" t="n"/>
      <c r="M27" s="13" t="n"/>
      <c r="N27" s="13" t="n"/>
      <c r="O27" s="13" t="n"/>
      <c r="P27" s="7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7" t="n"/>
      <c r="K28" s="7" t="n"/>
      <c r="L28" s="13" t="n"/>
      <c r="M28" s="13" t="n"/>
      <c r="N28" s="13" t="n"/>
      <c r="O28" s="13" t="n"/>
      <c r="P28" s="7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7" t="n"/>
      <c r="K29" s="7" t="n"/>
      <c r="L29" s="13" t="n"/>
      <c r="M29" s="13" t="n"/>
      <c r="N29" s="13" t="n"/>
      <c r="O29" s="13" t="n"/>
      <c r="P29" s="7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7" t="n"/>
      <c r="K30" s="7" t="n"/>
      <c r="L30" s="13" t="n"/>
      <c r="M30" s="13" t="n"/>
      <c r="N30" s="13" t="n"/>
      <c r="O30" s="13" t="n"/>
      <c r="P30" s="7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7" t="n"/>
      <c r="K31" s="7" t="n"/>
      <c r="L31" s="13" t="n"/>
      <c r="M31" s="13" t="n"/>
      <c r="N31" s="13" t="n"/>
      <c r="O31" s="13" t="n"/>
      <c r="P31" s="7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7" t="n"/>
      <c r="K32" s="7" t="n"/>
      <c r="L32" s="13" t="n"/>
      <c r="M32" s="13" t="n"/>
      <c r="N32" s="13" t="n"/>
      <c r="O32" s="13" t="n"/>
      <c r="P32" s="7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7" t="n"/>
      <c r="K33" s="7" t="n"/>
      <c r="L33" s="13" t="n"/>
      <c r="M33" s="13" t="n"/>
      <c r="N33" s="13" t="n"/>
      <c r="O33" s="13" t="n"/>
      <c r="P33" s="7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7" t="n"/>
      <c r="K34" s="7" t="n"/>
      <c r="L34" s="13" t="n"/>
      <c r="M34" s="13" t="n"/>
      <c r="N34" s="13" t="n"/>
      <c r="O34" s="13" t="n"/>
      <c r="P34" s="7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7" t="n"/>
      <c r="K35" s="7" t="n"/>
      <c r="L35" s="13" t="n"/>
      <c r="M35" s="13" t="n"/>
      <c r="N35" s="13" t="n"/>
      <c r="O35" s="13" t="n"/>
      <c r="P35" s="7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7" t="n"/>
      <c r="K36" s="7" t="n"/>
      <c r="L36" s="13" t="n"/>
      <c r="M36" s="13" t="n"/>
      <c r="N36" s="13" t="n"/>
      <c r="O36" s="13" t="n"/>
      <c r="P36" s="7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7" t="n"/>
      <c r="K37" s="7" t="n"/>
      <c r="L37" s="13" t="n"/>
      <c r="M37" s="13" t="n"/>
      <c r="N37" s="13" t="n"/>
      <c r="O37" s="13" t="n"/>
      <c r="P37" s="7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7" t="n"/>
      <c r="K38" s="7" t="n"/>
      <c r="L38" s="13" t="n"/>
      <c r="M38" s="13" t="n"/>
      <c r="N38" s="13" t="n"/>
      <c r="O38" s="13" t="n"/>
      <c r="P38" s="7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7" t="n"/>
      <c r="K39" s="7" t="n"/>
      <c r="L39" s="13" t="n"/>
      <c r="M39" s="13" t="n"/>
      <c r="N39" s="13" t="n"/>
      <c r="O39" s="13" t="n"/>
      <c r="P39" s="7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7" t="n"/>
      <c r="K40" s="7" t="n"/>
      <c r="L40" s="13" t="n"/>
      <c r="M40" s="13" t="n"/>
      <c r="N40" s="13" t="n"/>
      <c r="O40" s="13" t="n"/>
      <c r="P40" s="7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7" t="n"/>
      <c r="K41" s="7" t="n"/>
      <c r="L41" s="13" t="n"/>
      <c r="M41" s="13" t="n"/>
      <c r="N41" s="13" t="n"/>
      <c r="O41" s="13" t="n"/>
      <c r="P41" s="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7" t="n"/>
      <c r="K42" s="7" t="n"/>
      <c r="L42" s="13" t="n"/>
      <c r="M42" s="13" t="n"/>
      <c r="N42" s="13" t="n"/>
      <c r="O42" s="13" t="n"/>
      <c r="P42" s="7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7" t="n"/>
      <c r="K43" s="7" t="n"/>
      <c r="L43" s="13" t="n"/>
      <c r="M43" s="13" t="n"/>
      <c r="N43" s="13" t="n"/>
      <c r="O43" s="13" t="n"/>
      <c r="P43" s="7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7" t="n"/>
      <c r="K44" s="7" t="n"/>
      <c r="L44" s="13" t="n"/>
      <c r="M44" s="13" t="n"/>
      <c r="N44" s="13" t="n"/>
      <c r="O44" s="13" t="n"/>
      <c r="P44" s="7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7" t="n"/>
      <c r="K45" s="7" t="n"/>
      <c r="L45" s="13" t="n"/>
      <c r="M45" s="13" t="n"/>
      <c r="N45" s="13" t="n"/>
      <c r="O45" s="13" t="n"/>
      <c r="P45" s="7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7" t="n"/>
      <c r="K46" s="7" t="n"/>
      <c r="L46" s="13" t="n"/>
      <c r="M46" s="13" t="n"/>
      <c r="N46" s="13" t="n"/>
      <c r="O46" s="13" t="n"/>
      <c r="P46" s="7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7" t="n"/>
      <c r="K47" s="7" t="n"/>
      <c r="L47" s="13" t="n"/>
      <c r="M47" s="13" t="n"/>
      <c r="N47" s="13" t="n"/>
      <c r="O47" s="13" t="n"/>
      <c r="P47" s="7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7" t="n"/>
      <c r="K48" s="7" t="n"/>
      <c r="L48" s="13" t="n"/>
      <c r="M48" s="13" t="n"/>
      <c r="N48" s="13" t="n"/>
      <c r="O48" s="13" t="n"/>
      <c r="P48" s="7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7" t="n"/>
      <c r="K49" s="7" t="n"/>
      <c r="L49" s="13" t="n"/>
      <c r="M49" s="13" t="n"/>
      <c r="N49" s="13" t="n"/>
      <c r="O49" s="13" t="n"/>
      <c r="P49" s="7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7" t="n"/>
      <c r="K50" s="7" t="n"/>
      <c r="L50" s="13" t="n"/>
      <c r="M50" s="13" t="n"/>
      <c r="N50" s="13" t="n"/>
      <c r="O50" s="13" t="n"/>
      <c r="P50" s="7" t="n"/>
    </row>
  </sheetData>
  <dataValidations count="2">
    <dataValidation sqref="K2:K500" showDropDown="0" showInputMessage="0" showErrorMessage="0" allowBlank="1" type="list">
      <formula1>"RFI,RFP,随意契約"</formula1>
    </dataValidation>
    <dataValidation sqref="L2:O500" showDropDown="0" showInputMessage="0" showErrorMessage="0" allowBlank="1" type="list">
      <formula1>"○"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0" customWidth="1" min="4" max="4"/>
    <col width="10" customWidth="1" min="5" max="5"/>
    <col width="10" customWidth="1" min="6" max="6"/>
    <col width="14" customWidth="1" min="7" max="7"/>
    <col width="30" customWidth="1" min="8" max="8"/>
    <col width="24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40" customWidth="1" min="16" max="16"/>
  </cols>
  <sheetData>
    <row r="1">
      <c r="A1" s="3" t="inlineStr">
        <is>
          <t>順位</t>
        </is>
      </c>
      <c r="B1" s="3" t="inlineStr">
        <is>
          <t>ベンダー</t>
        </is>
      </c>
      <c r="C1" s="3" t="inlineStr">
        <is>
          <t>年額（円）</t>
        </is>
      </c>
      <c r="D1" s="3" t="inlineStr">
        <is>
          <t>構成比</t>
        </is>
      </c>
      <c r="E1" s="3" t="inlineStr">
        <is>
          <t>累計比</t>
        </is>
      </c>
      <c r="F1" s="3" t="inlineStr">
        <is>
          <t>取引額</t>
        </is>
      </c>
      <c r="G1" s="3" t="inlineStr">
        <is>
          <t>リージョン</t>
        </is>
      </c>
      <c r="H1" s="3" t="inlineStr">
        <is>
          <t>システム</t>
        </is>
      </c>
      <c r="I1" s="3" t="inlineStr">
        <is>
          <t>費用区分</t>
        </is>
      </c>
      <c r="J1" s="3" t="inlineStr">
        <is>
          <t>明細件数</t>
        </is>
      </c>
      <c r="K1" s="3" t="inlineStr">
        <is>
          <t>事業重要度</t>
        </is>
      </c>
      <c r="L1" s="3" t="inlineStr">
        <is>
          <t>業務重要度</t>
        </is>
      </c>
      <c r="M1" s="3" t="inlineStr">
        <is>
          <t>終期確定</t>
        </is>
      </c>
      <c r="N1" s="3" t="inlineStr">
        <is>
          <t>重要度</t>
        </is>
      </c>
      <c r="O1" s="3" t="inlineStr">
        <is>
          <t>Tier</t>
        </is>
      </c>
      <c r="P1" s="3" t="inlineStr">
        <is>
          <t>判定の根拠・メモ</t>
        </is>
      </c>
    </row>
    <row r="2">
      <c r="A2" s="4" t="n">
        <v>1</v>
      </c>
      <c r="B2" s="4" t="inlineStr">
        <is>
          <t>Microsoft</t>
        </is>
      </c>
      <c r="C2" s="5" t="n">
        <v>282000840</v>
      </c>
      <c r="D2" s="6" t="n">
        <v>0.2623005475368099</v>
      </c>
      <c r="E2" s="6" t="n">
        <v>0.2623005475368099</v>
      </c>
      <c r="F2" s="4" t="inlineStr">
        <is>
          <t>大</t>
        </is>
      </c>
      <c r="G2" s="4" t="inlineStr">
        <is>
          <t>EMEA・JP・NA</t>
        </is>
      </c>
      <c r="H2" s="4" t="inlineStr">
        <is>
          <t>Azure・Microsoft 365</t>
        </is>
      </c>
      <c r="I2" s="4" t="inlineStr">
        <is>
          <t>Cloud・SaaS / License</t>
        </is>
      </c>
      <c r="J2" s="4" t="n">
        <v>4</v>
      </c>
      <c r="K2" s="7" t="inlineStr">
        <is>
          <t>低</t>
        </is>
      </c>
      <c r="L2" s="7" t="inlineStr">
        <is>
          <t>低</t>
        </is>
      </c>
      <c r="M2" s="7" t="inlineStr">
        <is>
          <t>N</t>
        </is>
      </c>
      <c r="N2" s="8">
        <f>IF(OR(K2="",L2=""),"未判定",IF(OR(K2="高",L2="高"),"高","低"))</f>
        <v/>
      </c>
      <c r="O2" s="8">
        <f>IF(N2="未判定","未判定",IF(AND(F2="大",N2="高",M2&lt;&gt;"Y"),"Tier1",IF(F2="大","Tier3",IF(N2="高","Tier2","Tier4"))))</f>
        <v/>
      </c>
      <c r="P2" s="7" t="n"/>
    </row>
    <row r="3">
      <c r="A3" s="4" t="n">
        <v>2</v>
      </c>
      <c r="B3" s="4" t="inlineStr">
        <is>
          <t>Salesforce</t>
        </is>
      </c>
      <c r="C3" s="5" t="n">
        <v>132120840</v>
      </c>
      <c r="D3" s="6" t="n">
        <v>0.1228910122147978</v>
      </c>
      <c r="E3" s="6" t="n">
        <v>0.3851915597516077</v>
      </c>
      <c r="F3" s="4" t="inlineStr">
        <is>
          <t>大</t>
        </is>
      </c>
      <c r="G3" s="4" t="inlineStr">
        <is>
          <t>EMEA・JP・NA</t>
        </is>
      </c>
      <c r="H3" s="4" t="inlineStr">
        <is>
          <t>Salesforce・Tableau</t>
        </is>
      </c>
      <c r="I3" s="4" t="inlineStr">
        <is>
          <t>SaaS / License</t>
        </is>
      </c>
      <c r="J3" s="4" t="n">
        <v>4</v>
      </c>
      <c r="K3" s="7" t="inlineStr">
        <is>
          <t>高</t>
        </is>
      </c>
      <c r="L3" s="7" t="inlineStr">
        <is>
          <t>低</t>
        </is>
      </c>
      <c r="M3" s="7" t="inlineStr">
        <is>
          <t>N</t>
        </is>
      </c>
      <c r="N3" s="8">
        <f>IF(OR(K3="",L3=""),"未判定",IF(OR(K3="高",L3="高"),"高","低"))</f>
        <v/>
      </c>
      <c r="O3" s="8">
        <f>IF(N3="未判定","未判定",IF(AND(F3="大",N3="高",M3&lt;&gt;"Y"),"Tier1",IF(F3="大","Tier3",IF(N3="高","Tier2","Tier4"))))</f>
        <v/>
      </c>
      <c r="P3" s="7" t="n"/>
    </row>
    <row r="4">
      <c r="A4" s="4" t="n">
        <v>3</v>
      </c>
      <c r="B4" s="4" t="inlineStr">
        <is>
          <t>Accenture</t>
        </is>
      </c>
      <c r="C4" s="5" t="n">
        <v>101400000</v>
      </c>
      <c r="D4" s="6" t="n">
        <v>0.09431629891681358</v>
      </c>
      <c r="E4" s="6" t="n">
        <v>0.4795078586684213</v>
      </c>
      <c r="F4" s="4" t="inlineStr">
        <is>
          <t>大</t>
        </is>
      </c>
      <c r="G4" s="4" t="inlineStr">
        <is>
          <t>EMEA・NA</t>
        </is>
      </c>
      <c r="H4" s="4" t="inlineStr">
        <is>
          <t>SAP S/4HANA</t>
        </is>
      </c>
      <c r="I4" s="4" t="inlineStr">
        <is>
          <t>Outsourcing</t>
        </is>
      </c>
      <c r="J4" s="4" t="n">
        <v>2</v>
      </c>
      <c r="K4" s="7" t="inlineStr">
        <is>
          <t>高</t>
        </is>
      </c>
      <c r="L4" s="7" t="inlineStr">
        <is>
          <t>高</t>
        </is>
      </c>
      <c r="M4" s="7" t="inlineStr">
        <is>
          <t>N</t>
        </is>
      </c>
      <c r="N4" s="8">
        <f>IF(OR(K4="",L4=""),"未判定",IF(OR(K4="高",L4="高"),"高","低"))</f>
        <v/>
      </c>
      <c r="O4" s="8">
        <f>IF(N4="未判定","未判定",IF(AND(F4="大",N4="高",M4&lt;&gt;"Y"),"Tier1",IF(F4="大","Tier3",IF(N4="高","Tier2","Tier4"))))</f>
        <v/>
      </c>
      <c r="P4" s="7" t="n"/>
    </row>
    <row r="5">
      <c r="A5" s="4" t="n">
        <v>4</v>
      </c>
      <c r="B5" s="4" t="inlineStr">
        <is>
          <t>IBM</t>
        </is>
      </c>
      <c r="C5" s="5" t="n">
        <v>93838560</v>
      </c>
      <c r="D5" s="6" t="n">
        <v>0.08728309344066416</v>
      </c>
      <c r="E5" s="6" t="n">
        <v>0.5667909521090855</v>
      </c>
      <c r="F5" s="4" t="inlineStr">
        <is>
          <t>大</t>
        </is>
      </c>
      <c r="G5" s="4" t="inlineStr">
        <is>
          <t>EMEA・JP・NA</t>
        </is>
      </c>
      <c r="H5" s="4" t="inlineStr">
        <is>
          <t>SOC</t>
        </is>
      </c>
      <c r="I5" s="4" t="inlineStr">
        <is>
          <t>Outsourcing</t>
        </is>
      </c>
      <c r="J5" s="4" t="n">
        <v>3</v>
      </c>
      <c r="K5" s="7" t="inlineStr">
        <is>
          <t>低</t>
        </is>
      </c>
      <c r="L5" s="7" t="inlineStr">
        <is>
          <t>低</t>
        </is>
      </c>
      <c r="M5" s="7" t="inlineStr">
        <is>
          <t>N</t>
        </is>
      </c>
      <c r="N5" s="8">
        <f>IF(OR(K5="",L5=""),"未判定",IF(OR(K5="高",L5="高"),"高","低"))</f>
        <v/>
      </c>
      <c r="O5" s="8">
        <f>IF(N5="未判定","未判定",IF(AND(F5="大",N5="高",M5&lt;&gt;"Y"),"Tier1",IF(F5="大","Tier3",IF(N5="高","Tier2","Tier4"))))</f>
        <v/>
      </c>
      <c r="P5" s="7" t="n"/>
    </row>
    <row r="6">
      <c r="A6" s="4" t="n">
        <v>5</v>
      </c>
      <c r="B6" s="4" t="inlineStr">
        <is>
          <t>Deloitte</t>
        </is>
      </c>
      <c r="C6" s="5" t="n">
        <v>88320480</v>
      </c>
      <c r="D6" s="6" t="n">
        <v>0.08215050090884078</v>
      </c>
      <c r="E6" s="6" t="n">
        <v>0.6489414530179263</v>
      </c>
      <c r="F6" s="4" t="inlineStr">
        <is>
          <t>大</t>
        </is>
      </c>
      <c r="G6" s="4" t="inlineStr">
        <is>
          <t>EMEA・JP・NA</t>
        </is>
      </c>
      <c r="H6" s="4" t="inlineStr">
        <is>
          <t>Data platform</t>
        </is>
      </c>
      <c r="I6" s="4" t="inlineStr">
        <is>
          <t>Outsourcing</t>
        </is>
      </c>
      <c r="J6" s="4" t="n">
        <v>3</v>
      </c>
      <c r="K6" s="7" t="inlineStr">
        <is>
          <t>低</t>
        </is>
      </c>
      <c r="L6" s="7" t="inlineStr">
        <is>
          <t>低</t>
        </is>
      </c>
      <c r="M6" s="7" t="inlineStr">
        <is>
          <t>Y</t>
        </is>
      </c>
      <c r="N6" s="8">
        <f>IF(OR(K6="",L6=""),"未判定",IF(OR(K6="高",L6="高"),"高","低"))</f>
        <v/>
      </c>
      <c r="O6" s="8">
        <f>IF(N6="未判定","未判定",IF(AND(F6="大",N6="高",M6&lt;&gt;"Y"),"Tier1",IF(F6="大","Tier3",IF(N6="高","Tier2","Tier4"))))</f>
        <v/>
      </c>
      <c r="P6" s="7" t="n"/>
    </row>
    <row r="7">
      <c r="A7" s="4" t="n">
        <v>6</v>
      </c>
      <c r="B7" s="4" t="inlineStr">
        <is>
          <t>NTT Data</t>
        </is>
      </c>
      <c r="C7" s="5" t="n">
        <v>78000000</v>
      </c>
      <c r="D7" s="6" t="n">
        <v>0.07255099916677968</v>
      </c>
      <c r="E7" s="6" t="n">
        <v>0.7214924521847059</v>
      </c>
      <c r="F7" s="4" t="inlineStr">
        <is>
          <t>大</t>
        </is>
      </c>
      <c r="G7" s="4" t="inlineStr">
        <is>
          <t>JP</t>
        </is>
      </c>
      <c r="H7" s="4" t="inlineStr">
        <is>
          <t>SAP S/4HANA</t>
        </is>
      </c>
      <c r="I7" s="4" t="inlineStr">
        <is>
          <t>Outsourcing</t>
        </is>
      </c>
      <c r="J7" s="4" t="n">
        <v>1</v>
      </c>
      <c r="K7" s="7" t="inlineStr">
        <is>
          <t>高</t>
        </is>
      </c>
      <c r="L7" s="7" t="inlineStr">
        <is>
          <t>高</t>
        </is>
      </c>
      <c r="M7" s="7" t="inlineStr">
        <is>
          <t>N</t>
        </is>
      </c>
      <c r="N7" s="8">
        <f>IF(OR(K7="",L7=""),"未判定",IF(OR(K7="高",L7="高"),"高","低"))</f>
        <v/>
      </c>
      <c r="O7" s="8">
        <f>IF(N7="未判定","未判定",IF(AND(F7="大",N7="高",M7&lt;&gt;"Y"),"Tier1",IF(F7="大","Tier3",IF(N7="高","Tier2","Tier4"))))</f>
        <v/>
      </c>
      <c r="P7" s="7" t="n"/>
    </row>
    <row r="8">
      <c r="A8" s="4" t="n">
        <v>7</v>
      </c>
      <c r="B8" s="4" t="inlineStr">
        <is>
          <t>CrowdStrike</t>
        </is>
      </c>
      <c r="C8" s="5" t="n">
        <v>71760360</v>
      </c>
      <c r="D8" s="6" t="n">
        <v>0.06674725408420269</v>
      </c>
      <c r="E8" s="6" t="n">
        <v>0.7882397062689086</v>
      </c>
      <c r="F8" s="4" t="inlineStr">
        <is>
          <t>大</t>
        </is>
      </c>
      <c r="G8" s="4" t="inlineStr">
        <is>
          <t>EMEA・JP・NA</t>
        </is>
      </c>
      <c r="H8" s="4" t="inlineStr">
        <is>
          <t>CrowdStrike</t>
        </is>
      </c>
      <c r="I8" s="4" t="inlineStr">
        <is>
          <t>SaaS / License</t>
        </is>
      </c>
      <c r="J8" s="4" t="n">
        <v>3</v>
      </c>
      <c r="K8" s="7" t="inlineStr">
        <is>
          <t>低</t>
        </is>
      </c>
      <c r="L8" s="7" t="inlineStr">
        <is>
          <t>低</t>
        </is>
      </c>
      <c r="M8" s="7" t="inlineStr">
        <is>
          <t>N</t>
        </is>
      </c>
      <c r="N8" s="8">
        <f>IF(OR(K8="",L8=""),"未判定",IF(OR(K8="高",L8="高"),"高","低"))</f>
        <v/>
      </c>
      <c r="O8" s="8">
        <f>IF(N8="未判定","未判定",IF(AND(F8="大",N8="高",M8&lt;&gt;"Y"),"Tier1",IF(F8="大","Tier3",IF(N8="高","Tier2","Tier4"))))</f>
        <v/>
      </c>
      <c r="P8" s="7" t="n"/>
    </row>
    <row r="9">
      <c r="A9" s="4" t="n">
        <v>8</v>
      </c>
      <c r="B9" s="4" t="inlineStr">
        <is>
          <t>Snowflake</t>
        </is>
      </c>
      <c r="C9" s="5" t="n">
        <v>67343880</v>
      </c>
      <c r="D9" s="6" t="n">
        <v>0.06263930489445783</v>
      </c>
      <c r="E9" s="6" t="n">
        <v>0.8508790111633664</v>
      </c>
      <c r="F9" s="4" t="inlineStr">
        <is>
          <t>大</t>
        </is>
      </c>
      <c r="G9" s="4" t="inlineStr">
        <is>
          <t>EMEA・JP・NA</t>
        </is>
      </c>
      <c r="H9" s="4" t="inlineStr">
        <is>
          <t>Snowflake</t>
        </is>
      </c>
      <c r="I9" s="4" t="inlineStr">
        <is>
          <t>SaaS / License</t>
        </is>
      </c>
      <c r="J9" s="4" t="n">
        <v>3</v>
      </c>
      <c r="K9" s="7" t="inlineStr">
        <is>
          <t>低</t>
        </is>
      </c>
      <c r="L9" s="7" t="inlineStr">
        <is>
          <t>低</t>
        </is>
      </c>
      <c r="M9" s="7" t="inlineStr">
        <is>
          <t>N</t>
        </is>
      </c>
      <c r="N9" s="8">
        <f>IF(OR(K9="",L9=""),"未判定",IF(OR(K9="高",L9="高"),"高","低"))</f>
        <v/>
      </c>
      <c r="O9" s="8">
        <f>IF(N9="未判定","未判定",IF(AND(F9="大",N9="高",M9&lt;&gt;"Y"),"Tier1",IF(F9="大","Tier3",IF(N9="高","Tier2","Tier4"))))</f>
        <v/>
      </c>
      <c r="P9" s="7" t="n"/>
    </row>
    <row r="10">
      <c r="A10" s="4" t="n">
        <v>9</v>
      </c>
      <c r="B10" s="4" t="inlineStr">
        <is>
          <t>Dell</t>
        </is>
      </c>
      <c r="C10" s="5" t="n">
        <v>49680360</v>
      </c>
      <c r="D10" s="6" t="n">
        <v>0.04620974047391429</v>
      </c>
      <c r="E10" s="6" t="n">
        <v>0.8970887516372807</v>
      </c>
      <c r="F10" s="4" t="inlineStr">
        <is>
          <t>小</t>
        </is>
      </c>
      <c r="G10" s="4" t="inlineStr">
        <is>
          <t>EMEA・JP・NA</t>
        </is>
      </c>
      <c r="H10" s="4" t="inlineStr">
        <is>
          <t>Data center</t>
        </is>
      </c>
      <c r="I10" s="4" t="inlineStr">
        <is>
          <t>Maintenance</t>
        </is>
      </c>
      <c r="J10" s="4" t="n">
        <v>3</v>
      </c>
      <c r="K10" s="7" t="inlineStr">
        <is>
          <t>低</t>
        </is>
      </c>
      <c r="L10" s="7" t="inlineStr">
        <is>
          <t>低</t>
        </is>
      </c>
      <c r="M10" s="7" t="inlineStr">
        <is>
          <t>N</t>
        </is>
      </c>
      <c r="N10" s="8">
        <f>IF(OR(K10="",L10=""),"未判定",IF(OR(K10="高",L10="高"),"高","低"))</f>
        <v/>
      </c>
      <c r="O10" s="8">
        <f>IF(N10="未判定","未判定",IF(AND(F10="大",N10="高",M10&lt;&gt;"Y"),"Tier1",IF(F10="大","Tier3",IF(N10="高","Tier2","Tier4"))))</f>
        <v/>
      </c>
      <c r="P10" s="7" t="n"/>
    </row>
    <row r="11">
      <c r="A11" s="4" t="n">
        <v>10</v>
      </c>
      <c r="B11" s="4" t="inlineStr">
        <is>
          <t>NTT Com</t>
        </is>
      </c>
      <c r="C11" s="5" t="n">
        <v>28800000</v>
      </c>
      <c r="D11" s="6" t="n">
        <v>0.02678806123081096</v>
      </c>
      <c r="E11" s="6" t="n">
        <v>0.9238768128680916</v>
      </c>
      <c r="F11" s="4" t="inlineStr">
        <is>
          <t>小</t>
        </is>
      </c>
      <c r="G11" s="4" t="inlineStr">
        <is>
          <t>JP</t>
        </is>
      </c>
      <c r="H11" s="4" t="inlineStr">
        <is>
          <t>WAN</t>
        </is>
      </c>
      <c r="I11" s="4" t="inlineStr">
        <is>
          <t>Telecom</t>
        </is>
      </c>
      <c r="J11" s="4" t="n">
        <v>1</v>
      </c>
      <c r="K11" s="7" t="inlineStr">
        <is>
          <t>低</t>
        </is>
      </c>
      <c r="L11" s="7" t="inlineStr">
        <is>
          <t>低</t>
        </is>
      </c>
      <c r="M11" s="7" t="inlineStr">
        <is>
          <t>Y</t>
        </is>
      </c>
      <c r="N11" s="8">
        <f>IF(OR(K11="",L11=""),"未判定",IF(OR(K11="高",L11="高"),"高","低"))</f>
        <v/>
      </c>
      <c r="O11" s="8">
        <f>IF(N11="未判定","未判定",IF(AND(F11="大",N11="高",M11&lt;&gt;"Y"),"Tier1",IF(F11="大","Tier3",IF(N11="高","Tier2","Tier4"))))</f>
        <v/>
      </c>
      <c r="P11" s="7" t="n"/>
    </row>
    <row r="12">
      <c r="A12" s="4" t="n">
        <v>11</v>
      </c>
      <c r="B12" s="4" t="inlineStr">
        <is>
          <t>Benchling</t>
        </is>
      </c>
      <c r="C12" s="5" t="n">
        <v>26400000</v>
      </c>
      <c r="D12" s="6" t="n">
        <v>0.02455572279491005</v>
      </c>
      <c r="E12" s="6" t="n">
        <v>0.9484325356630017</v>
      </c>
      <c r="F12" s="4" t="inlineStr">
        <is>
          <t>小</t>
        </is>
      </c>
      <c r="G12" s="4" t="inlineStr">
        <is>
          <t>JP</t>
        </is>
      </c>
      <c r="H12" s="4" t="inlineStr">
        <is>
          <t>ELN</t>
        </is>
      </c>
      <c r="I12" s="4" t="inlineStr">
        <is>
          <t>Maintenance</t>
        </is>
      </c>
      <c r="J12" s="4" t="n">
        <v>1</v>
      </c>
      <c r="K12" s="7" t="inlineStr">
        <is>
          <t>高</t>
        </is>
      </c>
      <c r="L12" s="7" t="inlineStr">
        <is>
          <t>低</t>
        </is>
      </c>
      <c r="M12" s="7" t="inlineStr">
        <is>
          <t>N</t>
        </is>
      </c>
      <c r="N12" s="8">
        <f>IF(OR(K12="",L12=""),"未判定",IF(OR(K12="高",L12="高"),"高","低"))</f>
        <v/>
      </c>
      <c r="O12" s="8">
        <f>IF(N12="未判定","未判定",IF(AND(F12="大",N12="高",M12&lt;&gt;"Y"),"Tier1",IF(F12="大","Tier3",IF(N12="高","Tier2","Tier4"))))</f>
        <v/>
      </c>
      <c r="P12" s="7" t="n"/>
    </row>
    <row r="13">
      <c r="A13" s="4" t="n">
        <v>12</v>
      </c>
      <c r="B13" s="4" t="inlineStr">
        <is>
          <t>AT&amp;T</t>
        </is>
      </c>
      <c r="C13" s="5" t="n">
        <v>23040000</v>
      </c>
      <c r="D13" s="6" t="n">
        <v>0.02143044898464877</v>
      </c>
      <c r="E13" s="6" t="n">
        <v>0.9698629846476505</v>
      </c>
      <c r="F13" s="4" t="inlineStr">
        <is>
          <t>小</t>
        </is>
      </c>
      <c r="G13" s="4" t="inlineStr">
        <is>
          <t>NA</t>
        </is>
      </c>
      <c r="H13" s="4" t="inlineStr">
        <is>
          <t>WAN</t>
        </is>
      </c>
      <c r="I13" s="4" t="inlineStr">
        <is>
          <t>Telecom</t>
        </is>
      </c>
      <c r="J13" s="4" t="n">
        <v>1</v>
      </c>
      <c r="K13" s="7" t="inlineStr">
        <is>
          <t>低</t>
        </is>
      </c>
      <c r="L13" s="7" t="inlineStr">
        <is>
          <t>低</t>
        </is>
      </c>
      <c r="M13" s="7" t="inlineStr">
        <is>
          <t>Y</t>
        </is>
      </c>
      <c r="N13" s="8">
        <f>IF(OR(K13="",L13=""),"未判定",IF(OR(K13="高",L13="高"),"高","低"))</f>
        <v/>
      </c>
      <c r="O13" s="8">
        <f>IF(N13="未判定","未判定",IF(AND(F13="大",N13="高",M13&lt;&gt;"Y"),"Tier1",IF(F13="大","Tier3",IF(N13="高","Tier2","Tier4"))))</f>
        <v/>
      </c>
      <c r="P13" s="7" t="n"/>
    </row>
    <row r="14">
      <c r="A14" s="4" t="n">
        <v>13</v>
      </c>
      <c r="B14" s="4" t="inlineStr">
        <is>
          <t>HubSpot</t>
        </is>
      </c>
      <c r="C14" s="5" t="n">
        <v>18000000</v>
      </c>
      <c r="D14" s="6" t="n">
        <v>0.01674253826925685</v>
      </c>
      <c r="E14" s="6" t="n">
        <v>0.9866055229169074</v>
      </c>
      <c r="F14" s="4" t="inlineStr">
        <is>
          <t>小</t>
        </is>
      </c>
      <c r="G14" s="4" t="inlineStr">
        <is>
          <t>JP</t>
        </is>
      </c>
      <c r="H14" s="4" t="inlineStr">
        <is>
          <t>Sales CRM add-on</t>
        </is>
      </c>
      <c r="I14" s="4" t="inlineStr">
        <is>
          <t>SaaS / License</t>
        </is>
      </c>
      <c r="J14" s="4" t="n">
        <v>1</v>
      </c>
      <c r="K14" s="7" t="inlineStr">
        <is>
          <t>高</t>
        </is>
      </c>
      <c r="L14" s="7" t="inlineStr">
        <is>
          <t>低</t>
        </is>
      </c>
      <c r="M14" s="7" t="inlineStr">
        <is>
          <t>Y</t>
        </is>
      </c>
      <c r="N14" s="8">
        <f>IF(OR(K14="",L14=""),"未判定",IF(OR(K14="高",L14="高"),"高","低"))</f>
        <v/>
      </c>
      <c r="O14" s="8">
        <f>IF(N14="未判定","未判定",IF(AND(F14="大",N14="高",M14&lt;&gt;"Y"),"Tier1",IF(F14="大","Tier3",IF(N14="高","Tier2","Tier4"))))</f>
        <v/>
      </c>
      <c r="P14" s="7" t="n"/>
    </row>
    <row r="15">
      <c r="A15" s="4" t="n">
        <v>14</v>
      </c>
      <c r="B15" s="4" t="inlineStr">
        <is>
          <t>BT</t>
        </is>
      </c>
      <c r="C15" s="5" t="n">
        <v>14400480</v>
      </c>
      <c r="D15" s="6" t="n">
        <v>0.01339447708309266</v>
      </c>
      <c r="E15" s="6" t="n">
        <v>1</v>
      </c>
      <c r="F15" s="4" t="inlineStr">
        <is>
          <t>小</t>
        </is>
      </c>
      <c r="G15" s="4" t="inlineStr">
        <is>
          <t>EMEA</t>
        </is>
      </c>
      <c r="H15" s="4" t="inlineStr">
        <is>
          <t>WAN</t>
        </is>
      </c>
      <c r="I15" s="4" t="inlineStr">
        <is>
          <t>Telecom</t>
        </is>
      </c>
      <c r="J15" s="4" t="n">
        <v>1</v>
      </c>
      <c r="K15" s="7" t="inlineStr">
        <is>
          <t>低</t>
        </is>
      </c>
      <c r="L15" s="7" t="inlineStr">
        <is>
          <t>低</t>
        </is>
      </c>
      <c r="M15" s="7" t="inlineStr">
        <is>
          <t>N</t>
        </is>
      </c>
      <c r="N15" s="8">
        <f>IF(OR(K15="",L15=""),"未判定",IF(OR(K15="高",L15="高"),"高","低"))</f>
        <v/>
      </c>
      <c r="O15" s="8">
        <f>IF(N15="未判定","未判定",IF(AND(F15="大",N15="高",M15&lt;&gt;"Y"),"Tier1",IF(F15="大","Tier3",IF(N15="高","Tier2","Tier4"))))</f>
        <v/>
      </c>
      <c r="P15" s="7" t="n"/>
    </row>
    <row r="17">
      <c r="B17" s="2" t="inlineStr">
        <is>
          <t>合計</t>
        </is>
      </c>
      <c r="C17" s="9" t="n">
        <v>1075105800</v>
      </c>
    </row>
  </sheetData>
  <autoFilter ref="A1:P15"/>
  <dataValidations count="2">
    <dataValidation sqref="K2:L15" showDropDown="0" showInputMessage="0" showErrorMessage="0" allowBlank="1" type="list">
      <formula1>"高,低"</formula1>
    </dataValidation>
    <dataValidation sqref="M2:M15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8" customWidth="1" min="5" max="5"/>
    <col width="15" customWidth="1" min="6" max="6"/>
    <col width="20" customWidth="1" min="7" max="7"/>
    <col width="14" customWidth="1" min="8" max="8"/>
    <col width="12" customWidth="1" min="9" max="9"/>
    <col width="60" customWidth="1" min="10" max="10"/>
    <col width="10" customWidth="1" min="11" max="11"/>
    <col width="16" customWidth="1" min="12" max="12"/>
    <col width="12" customWidth="1" min="13" max="13"/>
    <col width="12" customWidth="1" min="14" max="14"/>
    <col width="40" customWidth="1" min="15" max="15"/>
    <col width="34" customWidth="1" min="16" max="16"/>
    <col width="14" customWidth="1" min="17" max="17"/>
    <col width="14" customWidth="1" min="18" max="18"/>
    <col width="10" customWidth="1" min="19" max="19"/>
    <col width="22" customWidth="1" min="20" max="20"/>
    <col width="18" customWidth="1" min="21" max="21"/>
    <col width="10" customWidth="1" min="22" max="22"/>
    <col width="14" customWidth="1" min="23" max="23"/>
    <col width="10" customWidth="1" min="24" max="24"/>
    <col width="18" customWidth="1" min="25" max="25"/>
    <col width="18" customWidth="1" min="26" max="26"/>
    <col width="30" customWidth="1" min="27" max="27"/>
  </cols>
  <sheetData>
    <row r="1">
      <c r="A1" s="3" t="inlineStr">
        <is>
          <t>分析ID</t>
        </is>
      </c>
      <c r="B1" s="3" t="inlineStr">
        <is>
          <t>ベンダー</t>
        </is>
      </c>
      <c r="C1" s="3" t="inlineStr">
        <is>
          <t>Tier</t>
        </is>
      </c>
      <c r="D1" s="3" t="inlineStr">
        <is>
          <t>リージョン</t>
        </is>
      </c>
      <c r="E1" s="3" t="inlineStr">
        <is>
          <t>システム</t>
        </is>
      </c>
      <c r="F1" s="3" t="inlineStr">
        <is>
          <t>費用区分</t>
        </is>
      </c>
      <c r="G1" s="3" t="inlineStr">
        <is>
          <t>区分（a〜e）</t>
        </is>
      </c>
      <c r="H1" s="3" t="inlineStr">
        <is>
          <t>年額（円）</t>
        </is>
      </c>
      <c r="I1" s="3" t="inlineStr">
        <is>
          <t>予算の出所</t>
        </is>
      </c>
      <c r="J1" s="3" t="inlineStr">
        <is>
          <t>VMO施策</t>
        </is>
      </c>
      <c r="K1" s="3" t="inlineStr">
        <is>
          <t>依存度</t>
        </is>
      </c>
      <c r="L1" s="3" t="inlineStr">
        <is>
          <t>依存の型</t>
        </is>
      </c>
      <c r="M1" s="3" t="inlineStr">
        <is>
          <t>実行シグナル</t>
        </is>
      </c>
      <c r="N1" s="3" t="inlineStr">
        <is>
          <t>現場との合意</t>
        </is>
      </c>
      <c r="O1" s="3" t="inlineStr">
        <is>
          <t>実行判断</t>
        </is>
      </c>
      <c r="P1" s="3" t="inlineStr">
        <is>
          <t>依存を下げる手段</t>
        </is>
      </c>
      <c r="Q1" s="3" t="inlineStr">
        <is>
          <t>ヒアリング先</t>
        </is>
      </c>
      <c r="R1" s="3" t="inlineStr">
        <is>
          <t>ヒアリング日</t>
        </is>
      </c>
      <c r="S1" s="3" t="inlineStr">
        <is>
          <t>契約ID</t>
        </is>
      </c>
      <c r="T1" s="3" t="inlineStr">
        <is>
          <t>契約形態（請負・準委任・SES等）</t>
        </is>
      </c>
      <c r="U1" s="3" t="inlineStr">
        <is>
          <t>契約金額（年額）</t>
        </is>
      </c>
      <c r="V1" s="3" t="inlineStr">
        <is>
          <t>更新日</t>
        </is>
      </c>
      <c r="W1" s="3" t="inlineStr">
        <is>
          <t>解約通知期限</t>
        </is>
      </c>
      <c r="X1" s="3" t="inlineStr">
        <is>
          <t>自動更新</t>
        </is>
      </c>
      <c r="Y1" s="3" t="inlineStr">
        <is>
          <t>年次アップリフト</t>
        </is>
      </c>
      <c r="Z1" s="3" t="inlineStr">
        <is>
          <t>減席・減額の可否</t>
        </is>
      </c>
      <c r="AA1" s="3" t="inlineStr">
        <is>
          <t>メモ</t>
        </is>
      </c>
    </row>
    <row r="2">
      <c r="A2" s="4" t="inlineStr">
        <is>
          <t>VA-001</t>
        </is>
      </c>
      <c r="B2" s="4" t="inlineStr">
        <is>
          <t>Microsoft</t>
        </is>
      </c>
      <c r="C2" s="8">
        <f>IFERROR(INDEX('ベンダー集計'!$O:$O,MATCH(B2,'ベンダー集計'!$B:$B,0)),"")</f>
        <v/>
      </c>
      <c r="D2" s="4" t="inlineStr">
        <is>
          <t>EMEA</t>
        </is>
      </c>
      <c r="E2" s="4" t="inlineStr">
        <is>
          <t>Azure</t>
        </is>
      </c>
      <c r="F2" s="4" t="inlineStr">
        <is>
          <t>Cloud</t>
        </is>
      </c>
      <c r="G2" s="7" t="inlineStr">
        <is>
          <t>クラウド</t>
        </is>
      </c>
      <c r="H2" s="5" t="n">
        <v>30000240</v>
      </c>
      <c r="I2" s="4" t="inlineStr">
        <is>
          <t>GDS</t>
        </is>
      </c>
      <c r="J2" s="10">
        <f>IF(C2="未判定","Tierを判定する",IFERROR(INDEX('施策マスタ'!$D:$D,MATCH(C2&amp;"|"&amp;G2,'施策マスタ'!$A:$A,0)),"施策マスタに無い組み合わせ"))</f>
        <v/>
      </c>
      <c r="K2" s="7" t="inlineStr">
        <is>
          <t>高</t>
        </is>
      </c>
      <c r="L2" s="7" t="inlineStr">
        <is>
          <t>ロックイン戦略</t>
        </is>
      </c>
      <c r="M2" s="8">
        <f>IF(K2="","未判定",IF(K2="低","Green",IF(K2="中","Yellow","Red")))</f>
        <v/>
      </c>
      <c r="N2" s="7" t="n"/>
      <c r="O2" s="8">
        <f>IF(M2="未判定","依存度をヒアリングする",IF(M2="Green","実行する",IF(M2="Yellow",IF(N2="合意済","実行する（現場と合意済）",IF(N2="不同意","実行しない（現場が不同意）","現場と合意する")),"施策は実行しない。依存の解消はIT戦略へ上げ、VMOは契約条件の打ち手に限る")))</f>
        <v/>
      </c>
      <c r="P2" s="8">
        <f>IF(L2="取引上の依存","出口条件と代替候補を整える",IF(L2="ブラックボックス","業務範囲・工数・スキル要件を可視化する",IF(L2="知見の希少性","長期の条件と価格上限で安定させる",IF(L2="ロックイン戦略",IF(K2="高","IT戦略の転換を要する（VMOは分析を提供）","移行の準備を進める（代替の評価、データの可搬性、契約の分離）"),""))))</f>
        <v/>
      </c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</row>
    <row r="3">
      <c r="A3" s="4" t="inlineStr">
        <is>
          <t>VA-002</t>
        </is>
      </c>
      <c r="B3" s="4" t="inlineStr">
        <is>
          <t>Microsoft</t>
        </is>
      </c>
      <c r="C3" s="8">
        <f>IFERROR(INDEX('ベンダー集計'!$O:$O,MATCH(B3,'ベンダー集計'!$B:$B,0)),"")</f>
        <v/>
      </c>
      <c r="D3" s="4" t="inlineStr">
        <is>
          <t>JP</t>
        </is>
      </c>
      <c r="E3" s="4" t="inlineStr">
        <is>
          <t>Azure</t>
        </is>
      </c>
      <c r="F3" s="4" t="inlineStr">
        <is>
          <t>Cloud</t>
        </is>
      </c>
      <c r="G3" s="7" t="inlineStr">
        <is>
          <t>クラウド</t>
        </is>
      </c>
      <c r="H3" s="5" t="n">
        <v>60000000</v>
      </c>
      <c r="I3" s="4" t="inlineStr">
        <is>
          <t>GDS</t>
        </is>
      </c>
      <c r="J3" s="10">
        <f>IF(C3="未判定","Tierを判定する",IFERROR(INDEX('施策マスタ'!$D:$D,MATCH(C3&amp;"|"&amp;G3,'施策マスタ'!$A:$A,0)),"施策マスタに無い組み合わせ"))</f>
        <v/>
      </c>
      <c r="K3" s="7" t="inlineStr">
        <is>
          <t>高</t>
        </is>
      </c>
      <c r="L3" s="7" t="inlineStr">
        <is>
          <t>ロックイン戦略</t>
        </is>
      </c>
      <c r="M3" s="8">
        <f>IF(K3="","未判定",IF(K3="低","Green",IF(K3="中","Yellow","Red")))</f>
        <v/>
      </c>
      <c r="N3" s="7" t="n"/>
      <c r="O3" s="8">
        <f>IF(M3="未判定","依存度をヒアリングする",IF(M3="Green","実行する",IF(M3="Yellow",IF(N3="合意済","実行する（現場と合意済）",IF(N3="不同意","実行しない（現場が不同意）","現場と合意する")),"施策は実行しない。依存の解消はIT戦略へ上げ、VMOは契約条件の打ち手に限る")))</f>
        <v/>
      </c>
      <c r="P3" s="8">
        <f>IF(L3="取引上の依存","出口条件と代替候補を整える",IF(L3="ブラックボックス","業務範囲・工数・スキル要件を可視化する",IF(L3="知見の希少性","長期の条件と価格上限で安定させる",IF(L3="ロックイン戦略",IF(K3="高","IT戦略の転換を要する（VMOは分析を提供）","移行の準備を進める（代替の評価、データの可搬性、契約の分離）"),""))))</f>
        <v/>
      </c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</row>
    <row r="4">
      <c r="A4" s="4" t="inlineStr">
        <is>
          <t>VA-003</t>
        </is>
      </c>
      <c r="B4" s="4" t="inlineStr">
        <is>
          <t>Microsoft</t>
        </is>
      </c>
      <c r="C4" s="8">
        <f>IFERROR(INDEX('ベンダー集計'!$O:$O,MATCH(B4,'ベンダー集計'!$B:$B,0)),"")</f>
        <v/>
      </c>
      <c r="D4" s="4" t="inlineStr">
        <is>
          <t>JP</t>
        </is>
      </c>
      <c r="E4" s="4" t="inlineStr">
        <is>
          <t>Microsoft 365</t>
        </is>
      </c>
      <c r="F4" s="4" t="inlineStr">
        <is>
          <t>SaaS / License</t>
        </is>
      </c>
      <c r="G4" s="7" t="inlineStr">
        <is>
          <t>(a) ライセンス・SaaS</t>
        </is>
      </c>
      <c r="H4" s="5" t="n">
        <v>144000000</v>
      </c>
      <c r="I4" s="4" t="inlineStr">
        <is>
          <t>GDS</t>
        </is>
      </c>
      <c r="J4" s="10">
        <f>IF(C4="未判定","Tierを判定する",IFERROR(INDEX('施策マスタ'!$D:$D,MATCH(C4&amp;"|"&amp;G4,'施策マスタ'!$A:$A,0)),"施策マスタに無い組み合わせ"))</f>
        <v/>
      </c>
      <c r="K4" s="7" t="inlineStr">
        <is>
          <t>高</t>
        </is>
      </c>
      <c r="L4" s="7" t="inlineStr">
        <is>
          <t>ロックイン戦略</t>
        </is>
      </c>
      <c r="M4" s="8">
        <f>IF(K4="","未判定",IF(K4="低","Green",IF(K4="中","Yellow","Red")))</f>
        <v/>
      </c>
      <c r="N4" s="7" t="n"/>
      <c r="O4" s="8">
        <f>IF(M4="未判定","依存度をヒアリングする",IF(M4="Green","実行する",IF(M4="Yellow",IF(N4="合意済","実行する（現場と合意済）",IF(N4="不同意","実行しない（現場が不同意）","現場と合意する")),"施策は実行しない。依存の解消はIT戦略へ上げ、VMOは契約条件の打ち手に限る")))</f>
        <v/>
      </c>
      <c r="P4" s="8">
        <f>IF(L4="取引上の依存","出口条件と代替候補を整える",IF(L4="ブラックボックス","業務範囲・工数・スキル要件を可視化する",IF(L4="知見の希少性","長期の条件と価格上限で安定させる",IF(L4="ロックイン戦略",IF(K4="高","IT戦略の転換を要する（VMOは分析を提供）","移行の準備を進める（代替の評価、データの可搬性、契約の分離）"),""))))</f>
        <v/>
      </c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</row>
    <row r="5">
      <c r="A5" s="4" t="inlineStr">
        <is>
          <t>VA-004</t>
        </is>
      </c>
      <c r="B5" s="4" t="inlineStr">
        <is>
          <t>Microsoft</t>
        </is>
      </c>
      <c r="C5" s="8">
        <f>IFERROR(INDEX('ベンダー集計'!$O:$O,MATCH(B5,'ベンダー集計'!$B:$B,0)),"")</f>
        <v/>
      </c>
      <c r="D5" s="4" t="inlineStr">
        <is>
          <t>NA</t>
        </is>
      </c>
      <c r="E5" s="4" t="inlineStr">
        <is>
          <t>Azure</t>
        </is>
      </c>
      <c r="F5" s="4" t="inlineStr">
        <is>
          <t>Cloud</t>
        </is>
      </c>
      <c r="G5" s="7" t="inlineStr">
        <is>
          <t>クラウド</t>
        </is>
      </c>
      <c r="H5" s="5" t="n">
        <v>48000600</v>
      </c>
      <c r="I5" s="4" t="inlineStr">
        <is>
          <t>GDS</t>
        </is>
      </c>
      <c r="J5" s="10">
        <f>IF(C5="未判定","Tierを判定する",IFERROR(INDEX('施策マスタ'!$D:$D,MATCH(C5&amp;"|"&amp;G5,'施策マスタ'!$A:$A,0)),"施策マスタに無い組み合わせ"))</f>
        <v/>
      </c>
      <c r="K5" s="7" t="inlineStr">
        <is>
          <t>高</t>
        </is>
      </c>
      <c r="L5" s="7" t="inlineStr">
        <is>
          <t>ロックイン戦略</t>
        </is>
      </c>
      <c r="M5" s="8">
        <f>IF(K5="","未判定",IF(K5="低","Green",IF(K5="中","Yellow","Red")))</f>
        <v/>
      </c>
      <c r="N5" s="7" t="n"/>
      <c r="O5" s="8">
        <f>IF(M5="未判定","依存度をヒアリングする",IF(M5="Green","実行する",IF(M5="Yellow",IF(N5="合意済","実行する（現場と合意済）",IF(N5="不同意","実行しない（現場が不同意）","現場と合意する")),"施策は実行しない。依存の解消はIT戦略へ上げ、VMOは契約条件の打ち手に限る")))</f>
        <v/>
      </c>
      <c r="P5" s="8">
        <f>IF(L5="取引上の依存","出口条件と代替候補を整える",IF(L5="ブラックボックス","業務範囲・工数・スキル要件を可視化する",IF(L5="知見の希少性","長期の条件と価格上限で安定させる",IF(L5="ロックイン戦略",IF(K5="高","IT戦略の転換を要する（VMOは分析を提供）","移行の準備を進める（代替の評価、データの可搬性、契約の分離）"),""))))</f>
        <v/>
      </c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</row>
    <row r="6">
      <c r="A6" s="4" t="inlineStr">
        <is>
          <t>VA-005</t>
        </is>
      </c>
      <c r="B6" s="4" t="inlineStr">
        <is>
          <t>Salesforce</t>
        </is>
      </c>
      <c r="C6" s="8">
        <f>IFERROR(INDEX('ベンダー集計'!$O:$O,MATCH(B6,'ベンダー集計'!$B:$B,0)),"")</f>
        <v/>
      </c>
      <c r="D6" s="4" t="inlineStr">
        <is>
          <t>EMEA</t>
        </is>
      </c>
      <c r="E6" s="4" t="inlineStr">
        <is>
          <t>Salesforce</t>
        </is>
      </c>
      <c r="F6" s="4" t="inlineStr">
        <is>
          <t>SaaS / License</t>
        </is>
      </c>
      <c r="G6" s="7" t="inlineStr">
        <is>
          <t>(a) ライセンス・SaaS</t>
        </is>
      </c>
      <c r="H6" s="5" t="n">
        <v>25200840</v>
      </c>
      <c r="I6" s="4" t="inlineStr">
        <is>
          <t>GDS</t>
        </is>
      </c>
      <c r="J6" s="10">
        <f>IF(C6="未判定","Tierを判定する",IFERROR(INDEX('施策マスタ'!$D:$D,MATCH(C6&amp;"|"&amp;G6,'施策マスタ'!$A:$A,0)),"施策マスタに無い組み合わせ"))</f>
        <v/>
      </c>
      <c r="K6" s="7" t="inlineStr">
        <is>
          <t>高</t>
        </is>
      </c>
      <c r="L6" s="7" t="inlineStr">
        <is>
          <t>ロックイン戦略</t>
        </is>
      </c>
      <c r="M6" s="8">
        <f>IF(K6="","未判定",IF(K6="低","Green",IF(K6="中","Yellow","Red")))</f>
        <v/>
      </c>
      <c r="N6" s="7" t="n"/>
      <c r="O6" s="8">
        <f>IF(M6="未判定","依存度をヒアリングする",IF(M6="Green","実行する",IF(M6="Yellow",IF(N6="合意済","実行する（現場と合意済）",IF(N6="不同意","実行しない（現場が不同意）","現場と合意する")),"施策は実行しない。依存の解消はIT戦略へ上げ、VMOは契約条件の打ち手に限る")))</f>
        <v/>
      </c>
      <c r="P6" s="8">
        <f>IF(L6="取引上の依存","出口条件と代替候補を整える",IF(L6="ブラックボックス","業務範囲・工数・スキル要件を可視化する",IF(L6="知見の希少性","長期の条件と価格上限で安定させる",IF(L6="ロックイン戦略",IF(K6="高","IT戦略の転換を要する（VMOは分析を提供）","移行の準備を進める（代替の評価、データの可搬性、契約の分離）"),""))))</f>
        <v/>
      </c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</row>
    <row r="7">
      <c r="A7" s="4" t="inlineStr">
        <is>
          <t>VA-006</t>
        </is>
      </c>
      <c r="B7" s="4" t="inlineStr">
        <is>
          <t>Salesforce</t>
        </is>
      </c>
      <c r="C7" s="8">
        <f>IFERROR(INDEX('ベンダー集計'!$O:$O,MATCH(B7,'ベンダー集計'!$B:$B,0)),"")</f>
        <v/>
      </c>
      <c r="D7" s="4" t="inlineStr">
        <is>
          <t>EMEA</t>
        </is>
      </c>
      <c r="E7" s="4" t="inlineStr">
        <is>
          <t>Tableau</t>
        </is>
      </c>
      <c r="F7" s="4" t="inlineStr">
        <is>
          <t>SaaS / License</t>
        </is>
      </c>
      <c r="G7" s="7" t="inlineStr">
        <is>
          <t>(a) ライセンス・SaaS</t>
        </is>
      </c>
      <c r="H7" s="5" t="n">
        <v>16200000</v>
      </c>
      <c r="I7" s="4" t="inlineStr">
        <is>
          <t>GDS</t>
        </is>
      </c>
      <c r="J7" s="10">
        <f>IF(C7="未判定","Tierを判定する",IFERROR(INDEX('施策マスタ'!$D:$D,MATCH(C7&amp;"|"&amp;G7,'施策マスタ'!$A:$A,0)),"施策マスタに無い組み合わせ"))</f>
        <v/>
      </c>
      <c r="K7" s="7" t="inlineStr">
        <is>
          <t>中</t>
        </is>
      </c>
      <c r="L7" s="7" t="inlineStr">
        <is>
          <t>ブラックボックス</t>
        </is>
      </c>
      <c r="M7" s="8">
        <f>IF(K7="","未判定",IF(K7="低","Green",IF(K7="中","Yellow","Red")))</f>
        <v/>
      </c>
      <c r="N7" s="7" t="n"/>
      <c r="O7" s="8">
        <f>IF(M7="未判定","依存度をヒアリングする",IF(M7="Green","実行する",IF(M7="Yellow",IF(N7="合意済","実行する（現場と合意済）",IF(N7="不同意","実行しない（現場が不同意）","現場と合意する")),"施策は実行しない。依存の解消はIT戦略へ上げ、VMOは契約条件の打ち手に限る")))</f>
        <v/>
      </c>
      <c r="P7" s="8">
        <f>IF(L7="取引上の依存","出口条件と代替候補を整える",IF(L7="ブラックボックス","業務範囲・工数・スキル要件を可視化する",IF(L7="知見の希少性","長期の条件と価格上限で安定させる",IF(L7="ロックイン戦略",IF(K7="高","IT戦略の転換を要する（VMOは分析を提供）","移行の準備を進める（代替の評価、データの可搬性、契約の分離）"),""))))</f>
        <v/>
      </c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>
      <c r="A8" s="4" t="inlineStr">
        <is>
          <t>VA-007</t>
        </is>
      </c>
      <c r="B8" s="4" t="inlineStr">
        <is>
          <t>Salesforce</t>
        </is>
      </c>
      <c r="C8" s="8">
        <f>IFERROR(INDEX('ベンダー集計'!$O:$O,MATCH(B8,'ベンダー集計'!$B:$B,0)),"")</f>
        <v/>
      </c>
      <c r="D8" s="4" t="inlineStr">
        <is>
          <t>JP</t>
        </is>
      </c>
      <c r="E8" s="4" t="inlineStr">
        <is>
          <t>Salesforce</t>
        </is>
      </c>
      <c r="F8" s="4" t="inlineStr">
        <is>
          <t>SaaS / License</t>
        </is>
      </c>
      <c r="G8" s="7" t="inlineStr">
        <is>
          <t>(a) ライセンス・SaaS</t>
        </is>
      </c>
      <c r="H8" s="5" t="n">
        <v>50400000</v>
      </c>
      <c r="I8" s="4" t="inlineStr">
        <is>
          <t>GDS</t>
        </is>
      </c>
      <c r="J8" s="10">
        <f>IF(C8="未判定","Tierを判定する",IFERROR(INDEX('施策マスタ'!$D:$D,MATCH(C8&amp;"|"&amp;G8,'施策マスタ'!$A:$A,0)),"施策マスタに無い組み合わせ"))</f>
        <v/>
      </c>
      <c r="K8" s="7" t="inlineStr">
        <is>
          <t>高</t>
        </is>
      </c>
      <c r="L8" s="7" t="inlineStr">
        <is>
          <t>ロックイン戦略</t>
        </is>
      </c>
      <c r="M8" s="8">
        <f>IF(K8="","未判定",IF(K8="低","Green",IF(K8="中","Yellow","Red")))</f>
        <v/>
      </c>
      <c r="N8" s="7" t="n"/>
      <c r="O8" s="8">
        <f>IF(M8="未判定","依存度をヒアリングする",IF(M8="Green","実行する",IF(M8="Yellow",IF(N8="合意済","実行する（現場と合意済）",IF(N8="不同意","実行しない（現場が不同意）","現場と合意する")),"施策は実行しない。依存の解消はIT戦略へ上げ、VMOは契約条件の打ち手に限る")))</f>
        <v/>
      </c>
      <c r="P8" s="8">
        <f>IF(L8="取引上の依存","出口条件と代替候補を整える",IF(L8="ブラックボックス","業務範囲・工数・スキル要件を可視化する",IF(L8="知見の希少性","長期の条件と価格上限で安定させる",IF(L8="ロックイン戦略",IF(K8="高","IT戦略の転換を要する（VMOは分析を提供）","移行の準備を進める（代替の評価、データの可搬性、契約の分離）"),""))))</f>
        <v/>
      </c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</row>
    <row r="9">
      <c r="A9" s="4" t="inlineStr">
        <is>
          <t>VA-008</t>
        </is>
      </c>
      <c r="B9" s="4" t="inlineStr">
        <is>
          <t>Salesforce</t>
        </is>
      </c>
      <c r="C9" s="8">
        <f>IFERROR(INDEX('ベンダー集計'!$O:$O,MATCH(B9,'ベンダー集計'!$B:$B,0)),"")</f>
        <v/>
      </c>
      <c r="D9" s="4" t="inlineStr">
        <is>
          <t>NA</t>
        </is>
      </c>
      <c r="E9" s="4" t="inlineStr">
        <is>
          <t>Salesforce</t>
        </is>
      </c>
      <c r="F9" s="4" t="inlineStr">
        <is>
          <t>SaaS / License</t>
        </is>
      </c>
      <c r="G9" s="7" t="inlineStr">
        <is>
          <t>(a) ライセンス・SaaS</t>
        </is>
      </c>
      <c r="H9" s="5" t="n">
        <v>40320000</v>
      </c>
      <c r="I9" s="4" t="inlineStr">
        <is>
          <t>GDS</t>
        </is>
      </c>
      <c r="J9" s="10">
        <f>IF(C9="未判定","Tierを判定する",IFERROR(INDEX('施策マスタ'!$D:$D,MATCH(C9&amp;"|"&amp;G9,'施策マスタ'!$A:$A,0)),"施策マスタに無い組み合わせ"))</f>
        <v/>
      </c>
      <c r="K9" s="7" t="inlineStr">
        <is>
          <t>高</t>
        </is>
      </c>
      <c r="L9" s="7" t="inlineStr">
        <is>
          <t>ロックイン戦略</t>
        </is>
      </c>
      <c r="M9" s="8">
        <f>IF(K9="","未判定",IF(K9="低","Green",IF(K9="中","Yellow","Red")))</f>
        <v/>
      </c>
      <c r="N9" s="7" t="n"/>
      <c r="O9" s="8">
        <f>IF(M9="未判定","依存度をヒアリングする",IF(M9="Green","実行する",IF(M9="Yellow",IF(N9="合意済","実行する（現場と合意済）",IF(N9="不同意","実行しない（現場が不同意）","現場と合意する")),"施策は実行しない。依存の解消はIT戦略へ上げ、VMOは契約条件の打ち手に限る")))</f>
        <v/>
      </c>
      <c r="P9" s="8">
        <f>IF(L9="取引上の依存","出口条件と代替候補を整える",IF(L9="ブラックボックス","業務範囲・工数・スキル要件を可視化する",IF(L9="知見の希少性","長期の条件と価格上限で安定させる",IF(L9="ロックイン戦略",IF(K9="高","IT戦略の転換を要する（VMOは分析を提供）","移行の準備を進める（代替の評価、データの可搬性、契約の分離）"),""))))</f>
        <v/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</row>
    <row r="10">
      <c r="A10" s="4" t="inlineStr">
        <is>
          <t>VA-009</t>
        </is>
      </c>
      <c r="B10" s="4" t="inlineStr">
        <is>
          <t>Accenture</t>
        </is>
      </c>
      <c r="C10" s="8">
        <f>IFERROR(INDEX('ベンダー集計'!$O:$O,MATCH(B10,'ベンダー集計'!$B:$B,0)),"")</f>
        <v/>
      </c>
      <c r="D10" s="4" t="inlineStr">
        <is>
          <t>EMEA</t>
        </is>
      </c>
      <c r="E10" s="4" t="inlineStr">
        <is>
          <t>SAP S/4HANA</t>
        </is>
      </c>
      <c r="F10" s="4" t="inlineStr">
        <is>
          <t>Outsourcing</t>
        </is>
      </c>
      <c r="G10" s="7" t="inlineStr">
        <is>
          <t>(b) 運用保守委託</t>
        </is>
      </c>
      <c r="H10" s="5" t="n">
        <v>38999400</v>
      </c>
      <c r="I10" s="4" t="inlineStr">
        <is>
          <t>GDS</t>
        </is>
      </c>
      <c r="J10" s="10">
        <f>IF(C10="未判定","Tierを判定する",IFERROR(INDEX('施策マスタ'!$D:$D,MATCH(C10&amp;"|"&amp;G10,'施策マスタ'!$A:$A,0)),"施策マスタに無い組み合わせ"))</f>
        <v/>
      </c>
      <c r="K10" s="7" t="inlineStr">
        <is>
          <t>中</t>
        </is>
      </c>
      <c r="L10" s="7" t="inlineStr">
        <is>
          <t>ブラックボックス</t>
        </is>
      </c>
      <c r="M10" s="8">
        <f>IF(K10="","未判定",IF(K10="低","Green",IF(K10="中","Yellow","Red")))</f>
        <v/>
      </c>
      <c r="N10" s="7" t="n"/>
      <c r="O10" s="8">
        <f>IF(M10="未判定","依存度をヒアリングする",IF(M10="Green","実行する",IF(M10="Yellow",IF(N10="合意済","実行する（現場と合意済）",IF(N10="不同意","実行しない（現場が不同意）","現場と合意する")),"施策は実行しない。依存の解消はIT戦略へ上げ、VMOは契約条件の打ち手に限る")))</f>
        <v/>
      </c>
      <c r="P10" s="8">
        <f>IF(L10="取引上の依存","出口条件と代替候補を整える",IF(L10="ブラックボックス","業務範囲・工数・スキル要件を可視化する",IF(L10="知見の希少性","長期の条件と価格上限で安定させる",IF(L10="ロックイン戦略",IF(K10="高","IT戦略の転換を要する（VMOは分析を提供）","移行の準備を進める（代替の評価、データの可搬性、契約の分離）"),""))))</f>
        <v/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</row>
    <row r="11">
      <c r="A11" s="4" t="inlineStr">
        <is>
          <t>VA-010</t>
        </is>
      </c>
      <c r="B11" s="4" t="inlineStr">
        <is>
          <t>Accenture</t>
        </is>
      </c>
      <c r="C11" s="8">
        <f>IFERROR(INDEX('ベンダー集計'!$O:$O,MATCH(B11,'ベンダー集計'!$B:$B,0)),"")</f>
        <v/>
      </c>
      <c r="D11" s="4" t="inlineStr">
        <is>
          <t>NA</t>
        </is>
      </c>
      <c r="E11" s="4" t="inlineStr">
        <is>
          <t>SAP S/4HANA</t>
        </is>
      </c>
      <c r="F11" s="4" t="inlineStr">
        <is>
          <t>Outsourcing</t>
        </is>
      </c>
      <c r="G11" s="7" t="inlineStr">
        <is>
          <t>(b) 運用保守委託</t>
        </is>
      </c>
      <c r="H11" s="5" t="n">
        <v>62400600</v>
      </c>
      <c r="I11" s="4" t="inlineStr">
        <is>
          <t>GDS</t>
        </is>
      </c>
      <c r="J11" s="10">
        <f>IF(C11="未判定","Tierを判定する",IFERROR(INDEX('施策マスタ'!$D:$D,MATCH(C11&amp;"|"&amp;G11,'施策マスタ'!$A:$A,0)),"施策マスタに無い組み合わせ"))</f>
        <v/>
      </c>
      <c r="K11" s="7" t="inlineStr">
        <is>
          <t>中</t>
        </is>
      </c>
      <c r="L11" s="7" t="inlineStr">
        <is>
          <t>ブラックボックス</t>
        </is>
      </c>
      <c r="M11" s="8">
        <f>IF(K11="","未判定",IF(K11="低","Green",IF(K11="中","Yellow","Red")))</f>
        <v/>
      </c>
      <c r="N11" s="7" t="n"/>
      <c r="O11" s="8">
        <f>IF(M11="未判定","依存度をヒアリングする",IF(M11="Green","実行する",IF(M11="Yellow",IF(N11="合意済","実行する（現場と合意済）",IF(N11="不同意","実行しない（現場が不同意）","現場と合意する")),"施策は実行しない。依存の解消はIT戦略へ上げ、VMOは契約条件の打ち手に限る")))</f>
        <v/>
      </c>
      <c r="P11" s="8">
        <f>IF(L11="取引上の依存","出口条件と代替候補を整える",IF(L11="ブラックボックス","業務範囲・工数・スキル要件を可視化する",IF(L11="知見の希少性","長期の条件と価格上限で安定させる",IF(L11="ロックイン戦略",IF(K11="高","IT戦略の転換を要する（VMOは分析を提供）","移行の準備を進める（代替の評価、データの可搬性、契約の分離）"),""))))</f>
        <v/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>
      <c r="A12" s="4" t="inlineStr">
        <is>
          <t>VA-011</t>
        </is>
      </c>
      <c r="B12" s="4" t="inlineStr">
        <is>
          <t>IBM</t>
        </is>
      </c>
      <c r="C12" s="8">
        <f>IFERROR(INDEX('ベンダー集計'!$O:$O,MATCH(B12,'ベンダー集計'!$B:$B,0)),"")</f>
        <v/>
      </c>
      <c r="D12" s="4" t="inlineStr">
        <is>
          <t>EMEA</t>
        </is>
      </c>
      <c r="E12" s="4" t="inlineStr">
        <is>
          <t>SOC</t>
        </is>
      </c>
      <c r="F12" s="4" t="inlineStr">
        <is>
          <t>Outsourcing</t>
        </is>
      </c>
      <c r="G12" s="7" t="inlineStr">
        <is>
          <t>(b) 運用保守委託</t>
        </is>
      </c>
      <c r="H12" s="5" t="n">
        <v>20399160</v>
      </c>
      <c r="I12" s="4" t="inlineStr">
        <is>
          <t>GDS</t>
        </is>
      </c>
      <c r="J12" s="10">
        <f>IF(C12="未判定","Tierを判定する",IFERROR(INDEX('施策マスタ'!$D:$D,MATCH(C12&amp;"|"&amp;G12,'施策マスタ'!$A:$A,0)),"施策マスタに無い組み合わせ"))</f>
        <v/>
      </c>
      <c r="K12" s="7" t="inlineStr">
        <is>
          <t>中</t>
        </is>
      </c>
      <c r="L12" s="7" t="inlineStr">
        <is>
          <t>ブラックボックス</t>
        </is>
      </c>
      <c r="M12" s="8">
        <f>IF(K12="","未判定",IF(K12="低","Green",IF(K12="中","Yellow","Red")))</f>
        <v/>
      </c>
      <c r="N12" s="7" t="n"/>
      <c r="O12" s="8">
        <f>IF(M12="未判定","依存度をヒアリングする",IF(M12="Green","実行する",IF(M12="Yellow",IF(N12="合意済","実行する（現場と合意済）",IF(N12="不同意","実行しない（現場が不同意）","現場と合意する")),"施策は実行しない。依存の解消はIT戦略へ上げ、VMOは契約条件の打ち手に限る")))</f>
        <v/>
      </c>
      <c r="P12" s="8">
        <f>IF(L12="取引上の依存","出口条件と代替候補を整える",IF(L12="ブラックボックス","業務範囲・工数・スキル要件を可視化する",IF(L12="知見の希少性","長期の条件と価格上限で安定させる",IF(L12="ロックイン戦略",IF(K12="高","IT戦略の転換を要する（VMOは分析を提供）","移行の準備を進める（代替の評価、データの可搬性、契約の分離）"),""))))</f>
        <v/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</row>
    <row r="13">
      <c r="A13" s="4" t="inlineStr">
        <is>
          <t>VA-012</t>
        </is>
      </c>
      <c r="B13" s="4" t="inlineStr">
        <is>
          <t>IBM</t>
        </is>
      </c>
      <c r="C13" s="8">
        <f>IFERROR(INDEX('ベンダー集計'!$O:$O,MATCH(B13,'ベンダー集計'!$B:$B,0)),"")</f>
        <v/>
      </c>
      <c r="D13" s="4" t="inlineStr">
        <is>
          <t>JP</t>
        </is>
      </c>
      <c r="E13" s="4" t="inlineStr">
        <is>
          <t>SOC</t>
        </is>
      </c>
      <c r="F13" s="4" t="inlineStr">
        <is>
          <t>Outsourcing</t>
        </is>
      </c>
      <c r="G13" s="7" t="inlineStr">
        <is>
          <t>(b) 運用保守委託</t>
        </is>
      </c>
      <c r="H13" s="5" t="n">
        <v>40800000</v>
      </c>
      <c r="I13" s="4" t="inlineStr">
        <is>
          <t>GDS</t>
        </is>
      </c>
      <c r="J13" s="10">
        <f>IF(C13="未判定","Tierを判定する",IFERROR(INDEX('施策マスタ'!$D:$D,MATCH(C13&amp;"|"&amp;G13,'施策マスタ'!$A:$A,0)),"施策マスタに無い組み合わせ"))</f>
        <v/>
      </c>
      <c r="K13" s="7" t="inlineStr">
        <is>
          <t>中</t>
        </is>
      </c>
      <c r="L13" s="7" t="inlineStr">
        <is>
          <t>ブラックボックス</t>
        </is>
      </c>
      <c r="M13" s="8">
        <f>IF(K13="","未判定",IF(K13="低","Green",IF(K13="中","Yellow","Red")))</f>
        <v/>
      </c>
      <c r="N13" s="7" t="n"/>
      <c r="O13" s="8">
        <f>IF(M13="未判定","依存度をヒアリングする",IF(M13="Green","実行する",IF(M13="Yellow",IF(N13="合意済","実行する（現場と合意済）",IF(N13="不同意","実行しない（現場が不同意）","現場と合意する")),"施策は実行しない。依存の解消はIT戦略へ上げ、VMOは契約条件の打ち手に限る")))</f>
        <v/>
      </c>
      <c r="P13" s="8">
        <f>IF(L13="取引上の依存","出口条件と代替候補を整える",IF(L13="ブラックボックス","業務範囲・工数・スキル要件を可視化する",IF(L13="知見の希少性","長期の条件と価格上限で安定させる",IF(L13="ロックイン戦略",IF(K13="高","IT戦略の転換を要する（VMOは分析を提供）","移行の準備を進める（代替の評価、データの可搬性、契約の分離）"),""))))</f>
        <v/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</row>
    <row r="14">
      <c r="A14" s="4" t="inlineStr">
        <is>
          <t>VA-013</t>
        </is>
      </c>
      <c r="B14" s="4" t="inlineStr">
        <is>
          <t>IBM</t>
        </is>
      </c>
      <c r="C14" s="8">
        <f>IFERROR(INDEX('ベンダー集計'!$O:$O,MATCH(B14,'ベンダー集計'!$B:$B,0)),"")</f>
        <v/>
      </c>
      <c r="D14" s="4" t="inlineStr">
        <is>
          <t>NA</t>
        </is>
      </c>
      <c r="E14" s="4" t="inlineStr">
        <is>
          <t>SOC</t>
        </is>
      </c>
      <c r="F14" s="4" t="inlineStr">
        <is>
          <t>Outsourcing</t>
        </is>
      </c>
      <c r="G14" s="7" t="inlineStr">
        <is>
          <t>(b) 運用保守委託</t>
        </is>
      </c>
      <c r="H14" s="5" t="n">
        <v>32639400</v>
      </c>
      <c r="I14" s="4" t="inlineStr">
        <is>
          <t>GDS</t>
        </is>
      </c>
      <c r="J14" s="10">
        <f>IF(C14="未判定","Tierを判定する",IFERROR(INDEX('施策マスタ'!$D:$D,MATCH(C14&amp;"|"&amp;G14,'施策マスタ'!$A:$A,0)),"施策マスタに無い組み合わせ"))</f>
        <v/>
      </c>
      <c r="K14" s="7" t="inlineStr">
        <is>
          <t>中</t>
        </is>
      </c>
      <c r="L14" s="7" t="inlineStr">
        <is>
          <t>ブラックボックス</t>
        </is>
      </c>
      <c r="M14" s="8">
        <f>IF(K14="","未判定",IF(K14="低","Green",IF(K14="中","Yellow","Red")))</f>
        <v/>
      </c>
      <c r="N14" s="7" t="n"/>
      <c r="O14" s="8">
        <f>IF(M14="未判定","依存度をヒアリングする",IF(M14="Green","実行する",IF(M14="Yellow",IF(N14="合意済","実行する（現場と合意済）",IF(N14="不同意","実行しない（現場が不同意）","現場と合意する")),"施策は実行しない。依存の解消はIT戦略へ上げ、VMOは契約条件の打ち手に限る")))</f>
        <v/>
      </c>
      <c r="P14" s="8">
        <f>IF(L14="取引上の依存","出口条件と代替候補を整える",IF(L14="ブラックボックス","業務範囲・工数・スキル要件を可視化する",IF(L14="知見の希少性","長期の条件と価格上限で安定させる",IF(L14="ロックイン戦略",IF(K14="高","IT戦略の転換を要する（VMOは分析を提供）","移行の準備を進める（代替の評価、データの可搬性、契約の分離）"),""))))</f>
        <v/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</row>
    <row r="15">
      <c r="A15" s="4" t="inlineStr">
        <is>
          <t>VA-014</t>
        </is>
      </c>
      <c r="B15" s="4" t="inlineStr">
        <is>
          <t>Deloitte</t>
        </is>
      </c>
      <c r="C15" s="8">
        <f>IFERROR(INDEX('ベンダー集計'!$O:$O,MATCH(B15,'ベンダー集計'!$B:$B,0)),"")</f>
        <v/>
      </c>
      <c r="D15" s="4" t="inlineStr">
        <is>
          <t>EMEA</t>
        </is>
      </c>
      <c r="E15" s="4" t="inlineStr">
        <is>
          <t>Data platform</t>
        </is>
      </c>
      <c r="F15" s="4" t="inlineStr">
        <is>
          <t>Outsourcing</t>
        </is>
      </c>
      <c r="G15" s="7" t="inlineStr">
        <is>
          <t>(b) 運用保守委託</t>
        </is>
      </c>
      <c r="H15" s="5" t="n">
        <v>19199880</v>
      </c>
      <c r="I15" s="4" t="inlineStr">
        <is>
          <t>GDS</t>
        </is>
      </c>
      <c r="J15" s="10">
        <f>IF(C15="未判定","Tierを判定する",IFERROR(INDEX('施策マスタ'!$D:$D,MATCH(C15&amp;"|"&amp;G15,'施策マスタ'!$A:$A,0)),"施策マスタに無い組み合わせ"))</f>
        <v/>
      </c>
      <c r="K15" s="7" t="inlineStr">
        <is>
          <t>中</t>
        </is>
      </c>
      <c r="L15" s="7" t="inlineStr">
        <is>
          <t>ブラックボックス</t>
        </is>
      </c>
      <c r="M15" s="8">
        <f>IF(K15="","未判定",IF(K15="低","Green",IF(K15="中","Yellow","Red")))</f>
        <v/>
      </c>
      <c r="N15" s="7" t="n"/>
      <c r="O15" s="8">
        <f>IF(M15="未判定","依存度をヒアリングする",IF(M15="Green","実行する",IF(M15="Yellow",IF(N15="合意済","実行する（現場と合意済）",IF(N15="不同意","実行しない（現場が不同意）","現場と合意する")),"施策は実行しない。依存の解消はIT戦略へ上げ、VMOは契約条件の打ち手に限る")))</f>
        <v/>
      </c>
      <c r="P15" s="8">
        <f>IF(L15="取引上の依存","出口条件と代替候補を整える",IF(L15="ブラックボックス","業務範囲・工数・スキル要件を可視化する",IF(L15="知見の希少性","長期の条件と価格上限で安定させる",IF(L15="ロックイン戦略",IF(K15="高","IT戦略の転換を要する（VMOは分析を提供）","移行の準備を進める（代替の評価、データの可搬性、契約の分離）"),""))))</f>
        <v/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</row>
    <row r="16">
      <c r="A16" s="4" t="inlineStr">
        <is>
          <t>VA-015</t>
        </is>
      </c>
      <c r="B16" s="4" t="inlineStr">
        <is>
          <t>Deloitte</t>
        </is>
      </c>
      <c r="C16" s="8">
        <f>IFERROR(INDEX('ベンダー集計'!$O:$O,MATCH(B16,'ベンダー集計'!$B:$B,0)),"")</f>
        <v/>
      </c>
      <c r="D16" s="4" t="inlineStr">
        <is>
          <t>JP</t>
        </is>
      </c>
      <c r="E16" s="4" t="inlineStr">
        <is>
          <t>Data platform</t>
        </is>
      </c>
      <c r="F16" s="4" t="inlineStr">
        <is>
          <t>Outsourcing</t>
        </is>
      </c>
      <c r="G16" s="7" t="inlineStr">
        <is>
          <t>(b) 運用保守委託</t>
        </is>
      </c>
      <c r="H16" s="5" t="n">
        <v>38400000</v>
      </c>
      <c r="I16" s="4" t="inlineStr">
        <is>
          <t>GDS</t>
        </is>
      </c>
      <c r="J16" s="10">
        <f>IF(C16="未判定","Tierを判定する",IFERROR(INDEX('施策マスタ'!$D:$D,MATCH(C16&amp;"|"&amp;G16,'施策マスタ'!$A:$A,0)),"施策マスタに無い組み合わせ"))</f>
        <v/>
      </c>
      <c r="K16" s="7" t="inlineStr">
        <is>
          <t>中</t>
        </is>
      </c>
      <c r="L16" s="7" t="inlineStr">
        <is>
          <t>ブラックボックス</t>
        </is>
      </c>
      <c r="M16" s="8">
        <f>IF(K16="","未判定",IF(K16="低","Green",IF(K16="中","Yellow","Red")))</f>
        <v/>
      </c>
      <c r="N16" s="7" t="n"/>
      <c r="O16" s="8">
        <f>IF(M16="未判定","依存度をヒアリングする",IF(M16="Green","実行する",IF(M16="Yellow",IF(N16="合意済","実行する（現場と合意済）",IF(N16="不同意","実行しない（現場が不同意）","現場と合意する")),"施策は実行しない。依存の解消はIT戦略へ上げ、VMOは契約条件の打ち手に限る")))</f>
        <v/>
      </c>
      <c r="P16" s="8">
        <f>IF(L16="取引上の依存","出口条件と代替候補を整える",IF(L16="ブラックボックス","業務範囲・工数・スキル要件を可視化する",IF(L16="知見の希少性","長期の条件と価格上限で安定させる",IF(L16="ロックイン戦略",IF(K16="高","IT戦略の転換を要する（VMOは分析を提供）","移行の準備を進める（代替の評価、データの可搬性、契約の分離）"),""))))</f>
        <v/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>
      <c r="A17" s="4" t="inlineStr">
        <is>
          <t>VA-016</t>
        </is>
      </c>
      <c r="B17" s="4" t="inlineStr">
        <is>
          <t>Deloitte</t>
        </is>
      </c>
      <c r="C17" s="8">
        <f>IFERROR(INDEX('ベンダー集計'!$O:$O,MATCH(B17,'ベンダー集計'!$B:$B,0)),"")</f>
        <v/>
      </c>
      <c r="D17" s="4" t="inlineStr">
        <is>
          <t>NA</t>
        </is>
      </c>
      <c r="E17" s="4" t="inlineStr">
        <is>
          <t>Data platform</t>
        </is>
      </c>
      <c r="F17" s="4" t="inlineStr">
        <is>
          <t>Outsourcing</t>
        </is>
      </c>
      <c r="G17" s="7" t="inlineStr">
        <is>
          <t>(b) 運用保守委託</t>
        </is>
      </c>
      <c r="H17" s="5" t="n">
        <v>30720600</v>
      </c>
      <c r="I17" s="4" t="inlineStr">
        <is>
          <t>GDS</t>
        </is>
      </c>
      <c r="J17" s="10">
        <f>IF(C17="未判定","Tierを判定する",IFERROR(INDEX('施策マスタ'!$D:$D,MATCH(C17&amp;"|"&amp;G17,'施策マスタ'!$A:$A,0)),"施策マスタに無い組み合わせ"))</f>
        <v/>
      </c>
      <c r="K17" s="7" t="inlineStr">
        <is>
          <t>中</t>
        </is>
      </c>
      <c r="L17" s="7" t="inlineStr">
        <is>
          <t>ブラックボックス</t>
        </is>
      </c>
      <c r="M17" s="8">
        <f>IF(K17="","未判定",IF(K17="低","Green",IF(K17="中","Yellow","Red")))</f>
        <v/>
      </c>
      <c r="N17" s="7" t="n"/>
      <c r="O17" s="8">
        <f>IF(M17="未判定","依存度をヒアリングする",IF(M17="Green","実行する",IF(M17="Yellow",IF(N17="合意済","実行する（現場と合意済）",IF(N17="不同意","実行しない（現場が不同意）","現場と合意する")),"施策は実行しない。依存の解消はIT戦略へ上げ、VMOは契約条件の打ち手に限る")))</f>
        <v/>
      </c>
      <c r="P17" s="8">
        <f>IF(L17="取引上の依存","出口条件と代替候補を整える",IF(L17="ブラックボックス","業務範囲・工数・スキル要件を可視化する",IF(L17="知見の希少性","長期の条件と価格上限で安定させる",IF(L17="ロックイン戦略",IF(K17="高","IT戦略の転換を要する（VMOは分析を提供）","移行の準備を進める（代替の評価、データの可搬性、契約の分離）"),""))))</f>
        <v/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</row>
    <row r="18">
      <c r="A18" s="4" t="inlineStr">
        <is>
          <t>VA-017</t>
        </is>
      </c>
      <c r="B18" s="4" t="inlineStr">
        <is>
          <t>NTT Data</t>
        </is>
      </c>
      <c r="C18" s="8">
        <f>IFERROR(INDEX('ベンダー集計'!$O:$O,MATCH(B18,'ベンダー集計'!$B:$B,0)),"")</f>
        <v/>
      </c>
      <c r="D18" s="4" t="inlineStr">
        <is>
          <t>JP</t>
        </is>
      </c>
      <c r="E18" s="4" t="inlineStr">
        <is>
          <t>SAP S/4HANA</t>
        </is>
      </c>
      <c r="F18" s="4" t="inlineStr">
        <is>
          <t>Outsourcing</t>
        </is>
      </c>
      <c r="G18" s="7" t="inlineStr">
        <is>
          <t>(b) 運用保守委託</t>
        </is>
      </c>
      <c r="H18" s="5" t="n">
        <v>78000000</v>
      </c>
      <c r="I18" s="4" t="inlineStr">
        <is>
          <t>GDS</t>
        </is>
      </c>
      <c r="J18" s="10">
        <f>IF(C18="未判定","Tierを判定する",IFERROR(INDEX('施策マスタ'!$D:$D,MATCH(C18&amp;"|"&amp;G18,'施策マスタ'!$A:$A,0)),"施策マスタに無い組み合わせ"))</f>
        <v/>
      </c>
      <c r="K18" s="7" t="inlineStr">
        <is>
          <t>中</t>
        </is>
      </c>
      <c r="L18" s="7" t="inlineStr">
        <is>
          <t>ブラックボックス</t>
        </is>
      </c>
      <c r="M18" s="8">
        <f>IF(K18="","未判定",IF(K18="低","Green",IF(K18="中","Yellow","Red")))</f>
        <v/>
      </c>
      <c r="N18" s="7" t="n"/>
      <c r="O18" s="8">
        <f>IF(M18="未判定","依存度をヒアリングする",IF(M18="Green","実行する",IF(M18="Yellow",IF(N18="合意済","実行する（現場と合意済）",IF(N18="不同意","実行しない（現場が不同意）","現場と合意する")),"施策は実行しない。依存の解消はIT戦略へ上げ、VMOは契約条件の打ち手に限る")))</f>
        <v/>
      </c>
      <c r="P18" s="8">
        <f>IF(L18="取引上の依存","出口条件と代替候補を整える",IF(L18="ブラックボックス","業務範囲・工数・スキル要件を可視化する",IF(L18="知見の希少性","長期の条件と価格上限で安定させる",IF(L18="ロックイン戦略",IF(K18="高","IT戦略の転換を要する（VMOは分析を提供）","移行の準備を進める（代替の評価、データの可搬性、契約の分離）"),""))))</f>
        <v/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</row>
    <row r="19">
      <c r="A19" s="4" t="inlineStr">
        <is>
          <t>VA-018</t>
        </is>
      </c>
      <c r="B19" s="4" t="inlineStr">
        <is>
          <t>CrowdStrike</t>
        </is>
      </c>
      <c r="C19" s="8">
        <f>IFERROR(INDEX('ベンダー集計'!$O:$O,MATCH(B19,'ベンダー集計'!$B:$B,0)),"")</f>
        <v/>
      </c>
      <c r="D19" s="4" t="inlineStr">
        <is>
          <t>EMEA</t>
        </is>
      </c>
      <c r="E19" s="4" t="inlineStr">
        <is>
          <t>CrowdStrike</t>
        </is>
      </c>
      <c r="F19" s="4" t="inlineStr">
        <is>
          <t>SaaS / License</t>
        </is>
      </c>
      <c r="G19" s="7" t="inlineStr">
        <is>
          <t>(a) ライセンス・SaaS</t>
        </is>
      </c>
      <c r="H19" s="5" t="n">
        <v>15599760</v>
      </c>
      <c r="I19" s="4" t="inlineStr">
        <is>
          <t>GDS</t>
        </is>
      </c>
      <c r="J19" s="10">
        <f>IF(C19="未判定","Tierを判定する",IFERROR(INDEX('施策マスタ'!$D:$D,MATCH(C19&amp;"|"&amp;G19,'施策マスタ'!$A:$A,0)),"施策マスタに無い組み合わせ"))</f>
        <v/>
      </c>
      <c r="K19" s="7" t="inlineStr">
        <is>
          <t>中</t>
        </is>
      </c>
      <c r="L19" s="7" t="inlineStr">
        <is>
          <t>ロックイン戦略</t>
        </is>
      </c>
      <c r="M19" s="8">
        <f>IF(K19="","未判定",IF(K19="低","Green",IF(K19="中","Yellow","Red")))</f>
        <v/>
      </c>
      <c r="N19" s="7" t="n"/>
      <c r="O19" s="8">
        <f>IF(M19="未判定","依存度をヒアリングする",IF(M19="Green","実行する",IF(M19="Yellow",IF(N19="合意済","実行する（現場と合意済）",IF(N19="不同意","実行しない（現場が不同意）","現場と合意する")),"施策は実行しない。依存の解消はIT戦略へ上げ、VMOは契約条件の打ち手に限る")))</f>
        <v/>
      </c>
      <c r="P19" s="8">
        <f>IF(L19="取引上の依存","出口条件と代替候補を整える",IF(L19="ブラックボックス","業務範囲・工数・スキル要件を可視化する",IF(L19="知見の希少性","長期の条件と価格上限で安定させる",IF(L19="ロックイン戦略",IF(K19="高","IT戦略の転換を要する（VMOは分析を提供）","移行の準備を進める（代替の評価、データの可搬性、契約の分離）"),""))))</f>
        <v/>
      </c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</row>
    <row r="20">
      <c r="A20" s="4" t="inlineStr">
        <is>
          <t>VA-019</t>
        </is>
      </c>
      <c r="B20" s="4" t="inlineStr">
        <is>
          <t>CrowdStrike</t>
        </is>
      </c>
      <c r="C20" s="8">
        <f>IFERROR(INDEX('ベンダー集計'!$O:$O,MATCH(B20,'ベンダー集計'!$B:$B,0)),"")</f>
        <v/>
      </c>
      <c r="D20" s="4" t="inlineStr">
        <is>
          <t>JP</t>
        </is>
      </c>
      <c r="E20" s="4" t="inlineStr">
        <is>
          <t>CrowdStrike</t>
        </is>
      </c>
      <c r="F20" s="4" t="inlineStr">
        <is>
          <t>SaaS / License</t>
        </is>
      </c>
      <c r="G20" s="7" t="inlineStr">
        <is>
          <t>(a) ライセンス・SaaS</t>
        </is>
      </c>
      <c r="H20" s="5" t="n">
        <v>31200000</v>
      </c>
      <c r="I20" s="4" t="inlineStr">
        <is>
          <t>GDS</t>
        </is>
      </c>
      <c r="J20" s="10">
        <f>IF(C20="未判定","Tierを判定する",IFERROR(INDEX('施策マスタ'!$D:$D,MATCH(C20&amp;"|"&amp;G20,'施策マスタ'!$A:$A,0)),"施策マスタに無い組み合わせ"))</f>
        <v/>
      </c>
      <c r="K20" s="7" t="inlineStr">
        <is>
          <t>中</t>
        </is>
      </c>
      <c r="L20" s="7" t="inlineStr">
        <is>
          <t>ロックイン戦略</t>
        </is>
      </c>
      <c r="M20" s="8">
        <f>IF(K20="","未判定",IF(K20="低","Green",IF(K20="中","Yellow","Red")))</f>
        <v/>
      </c>
      <c r="N20" s="7" t="n"/>
      <c r="O20" s="8">
        <f>IF(M20="未判定","依存度をヒアリングする",IF(M20="Green","実行する",IF(M20="Yellow",IF(N20="合意済","実行する（現場と合意済）",IF(N20="不同意","実行しない（現場が不同意）","現場と合意する")),"施策は実行しない。依存の解消はIT戦略へ上げ、VMOは契約条件の打ち手に限る")))</f>
        <v/>
      </c>
      <c r="P20" s="8">
        <f>IF(L20="取引上の依存","出口条件と代替候補を整える",IF(L20="ブラックボックス","業務範囲・工数・スキル要件を可視化する",IF(L20="知見の希少性","長期の条件と価格上限で安定させる",IF(L20="ロックイン戦略",IF(K20="高","IT戦略の転換を要する（VMOは分析を提供）","移行の準備を進める（代替の評価、データの可搬性、契約の分離）"),""))))</f>
        <v/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</row>
    <row r="21">
      <c r="A21" s="4" t="inlineStr">
        <is>
          <t>VA-020</t>
        </is>
      </c>
      <c r="B21" s="4" t="inlineStr">
        <is>
          <t>CrowdStrike</t>
        </is>
      </c>
      <c r="C21" s="8">
        <f>IFERROR(INDEX('ベンダー集計'!$O:$O,MATCH(B21,'ベンダー集計'!$B:$B,0)),"")</f>
        <v/>
      </c>
      <c r="D21" s="4" t="inlineStr">
        <is>
          <t>NA</t>
        </is>
      </c>
      <c r="E21" s="4" t="inlineStr">
        <is>
          <t>CrowdStrike</t>
        </is>
      </c>
      <c r="F21" s="4" t="inlineStr">
        <is>
          <t>SaaS / License</t>
        </is>
      </c>
      <c r="G21" s="7" t="inlineStr">
        <is>
          <t>(a) ライセンス・SaaS</t>
        </is>
      </c>
      <c r="H21" s="5" t="n">
        <v>24960600</v>
      </c>
      <c r="I21" s="4" t="inlineStr">
        <is>
          <t>GDS</t>
        </is>
      </c>
      <c r="J21" s="10">
        <f>IF(C21="未判定","Tierを判定する",IFERROR(INDEX('施策マスタ'!$D:$D,MATCH(C21&amp;"|"&amp;G21,'施策マスタ'!$A:$A,0)),"施策マスタに無い組み合わせ"))</f>
        <v/>
      </c>
      <c r="K21" s="7" t="inlineStr">
        <is>
          <t>中</t>
        </is>
      </c>
      <c r="L21" s="7" t="inlineStr">
        <is>
          <t>ロックイン戦略</t>
        </is>
      </c>
      <c r="M21" s="8">
        <f>IF(K21="","未判定",IF(K21="低","Green",IF(K21="中","Yellow","Red")))</f>
        <v/>
      </c>
      <c r="N21" s="7" t="n"/>
      <c r="O21" s="8">
        <f>IF(M21="未判定","依存度をヒアリングする",IF(M21="Green","実行する",IF(M21="Yellow",IF(N21="合意済","実行する（現場と合意済）",IF(N21="不同意","実行しない（現場が不同意）","現場と合意する")),"施策は実行しない。依存の解消はIT戦略へ上げ、VMOは契約条件の打ち手に限る")))</f>
        <v/>
      </c>
      <c r="P21" s="8">
        <f>IF(L21="取引上の依存","出口条件と代替候補を整える",IF(L21="ブラックボックス","業務範囲・工数・スキル要件を可視化する",IF(L21="知見の希少性","長期の条件と価格上限で安定させる",IF(L21="ロックイン戦略",IF(K21="高","IT戦略の転換を要する（VMOは分析を提供）","移行の準備を進める（代替の評価、データの可搬性、契約の分離）"),""))))</f>
        <v/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</row>
    <row r="22">
      <c r="A22" s="4" t="inlineStr">
        <is>
          <t>VA-021</t>
        </is>
      </c>
      <c r="B22" s="4" t="inlineStr">
        <is>
          <t>Snowflake</t>
        </is>
      </c>
      <c r="C22" s="8">
        <f>IFERROR(INDEX('ベンダー集計'!$O:$O,MATCH(B22,'ベンダー集計'!$B:$B,0)),"")</f>
        <v/>
      </c>
      <c r="D22" s="4" t="inlineStr">
        <is>
          <t>EMEA</t>
        </is>
      </c>
      <c r="E22" s="4" t="inlineStr">
        <is>
          <t>Snowflake</t>
        </is>
      </c>
      <c r="F22" s="4" t="inlineStr">
        <is>
          <t>SaaS / License</t>
        </is>
      </c>
      <c r="G22" s="7" t="inlineStr">
        <is>
          <t>(a) ライセンス・SaaS</t>
        </is>
      </c>
      <c r="H22" s="5" t="n">
        <v>14639880</v>
      </c>
      <c r="I22" s="4" t="inlineStr">
        <is>
          <t>GDS</t>
        </is>
      </c>
      <c r="J22" s="10">
        <f>IF(C22="未判定","Tierを判定する",IFERROR(INDEX('施策マスタ'!$D:$D,MATCH(C22&amp;"|"&amp;G22,'施策マスタ'!$A:$A,0)),"施策マスタに無い組み合わせ"))</f>
        <v/>
      </c>
      <c r="K22" s="7" t="inlineStr">
        <is>
          <t>中</t>
        </is>
      </c>
      <c r="L22" s="7" t="inlineStr">
        <is>
          <t>ロックイン戦略</t>
        </is>
      </c>
      <c r="M22" s="8">
        <f>IF(K22="","未判定",IF(K22="低","Green",IF(K22="中","Yellow","Red")))</f>
        <v/>
      </c>
      <c r="N22" s="7" t="n"/>
      <c r="O22" s="8">
        <f>IF(M22="未判定","依存度をヒアリングする",IF(M22="Green","実行する",IF(M22="Yellow",IF(N22="合意済","実行する（現場と合意済）",IF(N22="不同意","実行しない（現場が不同意）","現場と合意する")),"施策は実行しない。依存の解消はIT戦略へ上げ、VMOは契約条件の打ち手に限る")))</f>
        <v/>
      </c>
      <c r="P22" s="8">
        <f>IF(L22="取引上の依存","出口条件と代替候補を整える",IF(L22="ブラックボックス","業務範囲・工数・スキル要件を可視化する",IF(L22="知見の希少性","長期の条件と価格上限で安定させる",IF(L22="ロックイン戦略",IF(K22="高","IT戦略の転換を要する（VMOは分析を提供）","移行の準備を進める（代替の評価、データの可搬性、契約の分離）"),""))))</f>
        <v/>
      </c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</row>
    <row r="23">
      <c r="A23" s="4" t="inlineStr">
        <is>
          <t>VA-022</t>
        </is>
      </c>
      <c r="B23" s="4" t="inlineStr">
        <is>
          <t>Snowflake</t>
        </is>
      </c>
      <c r="C23" s="8">
        <f>IFERROR(INDEX('ベンダー集計'!$O:$O,MATCH(B23,'ベンダー集計'!$B:$B,0)),"")</f>
        <v/>
      </c>
      <c r="D23" s="4" t="inlineStr">
        <is>
          <t>JP</t>
        </is>
      </c>
      <c r="E23" s="4" t="inlineStr">
        <is>
          <t>Snowflake</t>
        </is>
      </c>
      <c r="F23" s="4" t="inlineStr">
        <is>
          <t>SaaS / License</t>
        </is>
      </c>
      <c r="G23" s="7" t="inlineStr">
        <is>
          <t>(a) ライセンス・SaaS</t>
        </is>
      </c>
      <c r="H23" s="5" t="n">
        <v>29280000</v>
      </c>
      <c r="I23" s="4" t="inlineStr">
        <is>
          <t>GDS</t>
        </is>
      </c>
      <c r="J23" s="10">
        <f>IF(C23="未判定","Tierを判定する",IFERROR(INDEX('施策マスタ'!$D:$D,MATCH(C23&amp;"|"&amp;G23,'施策マスタ'!$A:$A,0)),"施策マスタに無い組み合わせ"))</f>
        <v/>
      </c>
      <c r="K23" s="7" t="inlineStr">
        <is>
          <t>中</t>
        </is>
      </c>
      <c r="L23" s="7" t="inlineStr">
        <is>
          <t>ロックイン戦略</t>
        </is>
      </c>
      <c r="M23" s="8">
        <f>IF(K23="","未判定",IF(K23="低","Green",IF(K23="中","Yellow","Red")))</f>
        <v/>
      </c>
      <c r="N23" s="7" t="n"/>
      <c r="O23" s="8">
        <f>IF(M23="未判定","依存度をヒアリングする",IF(M23="Green","実行する",IF(M23="Yellow",IF(N23="合意済","実行する（現場と合意済）",IF(N23="不同意","実行しない（現場が不同意）","現場と合意する")),"施策は実行しない。依存の解消はIT戦略へ上げ、VMOは契約条件の打ち手に限る")))</f>
        <v/>
      </c>
      <c r="P23" s="8">
        <f>IF(L23="取引上の依存","出口条件と代替候補を整える",IF(L23="ブラックボックス","業務範囲・工数・スキル要件を可視化する",IF(L23="知見の希少性","長期の条件と価格上限で安定させる",IF(L23="ロックイン戦略",IF(K23="高","IT戦略の転換を要する（VMOは分析を提供）","移行の準備を進める（代替の評価、データの可搬性、契約の分離）"),""))))</f>
        <v/>
      </c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</row>
    <row r="24">
      <c r="A24" s="4" t="inlineStr">
        <is>
          <t>VA-023</t>
        </is>
      </c>
      <c r="B24" s="4" t="inlineStr">
        <is>
          <t>Snowflake</t>
        </is>
      </c>
      <c r="C24" s="8">
        <f>IFERROR(INDEX('ベンダー集計'!$O:$O,MATCH(B24,'ベンダー集計'!$B:$B,0)),"")</f>
        <v/>
      </c>
      <c r="D24" s="4" t="inlineStr">
        <is>
          <t>NA</t>
        </is>
      </c>
      <c r="E24" s="4" t="inlineStr">
        <is>
          <t>Snowflake</t>
        </is>
      </c>
      <c r="F24" s="4" t="inlineStr">
        <is>
          <t>SaaS / License</t>
        </is>
      </c>
      <c r="G24" s="7" t="inlineStr">
        <is>
          <t>(a) ライセンス・SaaS</t>
        </is>
      </c>
      <c r="H24" s="5" t="n">
        <v>23424000</v>
      </c>
      <c r="I24" s="4" t="inlineStr">
        <is>
          <t>GDS</t>
        </is>
      </c>
      <c r="J24" s="10">
        <f>IF(C24="未判定","Tierを判定する",IFERROR(INDEX('施策マスタ'!$D:$D,MATCH(C24&amp;"|"&amp;G24,'施策マスタ'!$A:$A,0)),"施策マスタに無い組み合わせ"))</f>
        <v/>
      </c>
      <c r="K24" s="7" t="inlineStr">
        <is>
          <t>中</t>
        </is>
      </c>
      <c r="L24" s="7" t="inlineStr">
        <is>
          <t>ロックイン戦略</t>
        </is>
      </c>
      <c r="M24" s="8">
        <f>IF(K24="","未判定",IF(K24="低","Green",IF(K24="中","Yellow","Red")))</f>
        <v/>
      </c>
      <c r="N24" s="7" t="n"/>
      <c r="O24" s="8">
        <f>IF(M24="未判定","依存度をヒアリングする",IF(M24="Green","実行する",IF(M24="Yellow",IF(N24="合意済","実行する（現場と合意済）",IF(N24="不同意","実行しない（現場が不同意）","現場と合意する")),"施策は実行しない。依存の解消はIT戦略へ上げ、VMOは契約条件の打ち手に限る")))</f>
        <v/>
      </c>
      <c r="P24" s="8">
        <f>IF(L24="取引上の依存","出口条件と代替候補を整える",IF(L24="ブラックボックス","業務範囲・工数・スキル要件を可視化する",IF(L24="知見の希少性","長期の条件と価格上限で安定させる",IF(L24="ロックイン戦略",IF(K24="高","IT戦略の転換を要する（VMOは分析を提供）","移行の準備を進める（代替の評価、データの可搬性、契約の分離）"),""))))</f>
        <v/>
      </c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</row>
    <row r="25">
      <c r="A25" s="4" t="inlineStr">
        <is>
          <t>VA-024</t>
        </is>
      </c>
      <c r="B25" s="4" t="inlineStr">
        <is>
          <t>Dell</t>
        </is>
      </c>
      <c r="C25" s="8">
        <f>IFERROR(INDEX('ベンダー集計'!$O:$O,MATCH(B25,'ベンダー集計'!$B:$B,0)),"")</f>
        <v/>
      </c>
      <c r="D25" s="4" t="inlineStr">
        <is>
          <t>EMEA</t>
        </is>
      </c>
      <c r="E25" s="4" t="inlineStr">
        <is>
          <t>Data center</t>
        </is>
      </c>
      <c r="F25" s="4" t="inlineStr">
        <is>
          <t>Maintenance</t>
        </is>
      </c>
      <c r="G25" s="7" t="inlineStr">
        <is>
          <t>(e) オンプレ維持</t>
        </is>
      </c>
      <c r="H25" s="5" t="n">
        <v>10800360</v>
      </c>
      <c r="I25" s="4" t="inlineStr">
        <is>
          <t>GDS</t>
        </is>
      </c>
      <c r="J25" s="10">
        <f>IF(C25="未判定","Tierを判定する",IFERROR(INDEX('施策マスタ'!$D:$D,MATCH(C25&amp;"|"&amp;G25,'施策マスタ'!$A:$A,0)),"施策マスタに無い組み合わせ"))</f>
        <v/>
      </c>
      <c r="K25" s="7" t="inlineStr">
        <is>
          <t>中</t>
        </is>
      </c>
      <c r="L25" s="7" t="inlineStr">
        <is>
          <t>取引上の依存</t>
        </is>
      </c>
      <c r="M25" s="8">
        <f>IF(K25="","未判定",IF(K25="低","Green",IF(K25="中","Yellow","Red")))</f>
        <v/>
      </c>
      <c r="N25" s="7" t="n"/>
      <c r="O25" s="8">
        <f>IF(M25="未判定","依存度をヒアリングする",IF(M25="Green","実行する",IF(M25="Yellow",IF(N25="合意済","実行する（現場と合意済）",IF(N25="不同意","実行しない（現場が不同意）","現場と合意する")),"施策は実行しない。依存の解消はIT戦略へ上げ、VMOは契約条件の打ち手に限る")))</f>
        <v/>
      </c>
      <c r="P25" s="8">
        <f>IF(L25="取引上の依存","出口条件と代替候補を整える",IF(L25="ブラックボックス","業務範囲・工数・スキル要件を可視化する",IF(L25="知見の希少性","長期の条件と価格上限で安定させる",IF(L25="ロックイン戦略",IF(K25="高","IT戦略の転換を要する（VMOは分析を提供）","移行の準備を進める（代替の評価、データの可搬性、契約の分離）"),""))))</f>
        <v/>
      </c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</row>
    <row r="26">
      <c r="A26" s="4" t="inlineStr">
        <is>
          <t>VA-025</t>
        </is>
      </c>
      <c r="B26" s="4" t="inlineStr">
        <is>
          <t>Dell</t>
        </is>
      </c>
      <c r="C26" s="8">
        <f>IFERROR(INDEX('ベンダー集計'!$O:$O,MATCH(B26,'ベンダー集計'!$B:$B,0)),"")</f>
        <v/>
      </c>
      <c r="D26" s="4" t="inlineStr">
        <is>
          <t>JP</t>
        </is>
      </c>
      <c r="E26" s="4" t="inlineStr">
        <is>
          <t>Data center</t>
        </is>
      </c>
      <c r="F26" s="4" t="inlineStr">
        <is>
          <t>Maintenance</t>
        </is>
      </c>
      <c r="G26" s="7" t="inlineStr">
        <is>
          <t>(e) オンプレ維持</t>
        </is>
      </c>
      <c r="H26" s="5" t="n">
        <v>21600000</v>
      </c>
      <c r="I26" s="4" t="inlineStr">
        <is>
          <t>GDS</t>
        </is>
      </c>
      <c r="J26" s="10">
        <f>IF(C26="未判定","Tierを判定する",IFERROR(INDEX('施策マスタ'!$D:$D,MATCH(C26&amp;"|"&amp;G26,'施策マスタ'!$A:$A,0)),"施策マスタに無い組み合わせ"))</f>
        <v/>
      </c>
      <c r="K26" s="7" t="inlineStr">
        <is>
          <t>中</t>
        </is>
      </c>
      <c r="L26" s="7" t="inlineStr">
        <is>
          <t>取引上の依存</t>
        </is>
      </c>
      <c r="M26" s="8">
        <f>IF(K26="","未判定",IF(K26="低","Green",IF(K26="中","Yellow","Red")))</f>
        <v/>
      </c>
      <c r="N26" s="7" t="n"/>
      <c r="O26" s="8">
        <f>IF(M26="未判定","依存度をヒアリングする",IF(M26="Green","実行する",IF(M26="Yellow",IF(N26="合意済","実行する（現場と合意済）",IF(N26="不同意","実行しない（現場が不同意）","現場と合意する")),"施策は実行しない。依存の解消はIT戦略へ上げ、VMOは契約条件の打ち手に限る")))</f>
        <v/>
      </c>
      <c r="P26" s="8">
        <f>IF(L26="取引上の依存","出口条件と代替候補を整える",IF(L26="ブラックボックス","業務範囲・工数・スキル要件を可視化する",IF(L26="知見の希少性","長期の条件と価格上限で安定させる",IF(L26="ロックイン戦略",IF(K26="高","IT戦略の転換を要する（VMOは分析を提供）","移行の準備を進める（代替の評価、データの可搬性、契約の分離）"),""))))</f>
        <v/>
      </c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</row>
    <row r="27">
      <c r="A27" s="4" t="inlineStr">
        <is>
          <t>VA-026</t>
        </is>
      </c>
      <c r="B27" s="4" t="inlineStr">
        <is>
          <t>Dell</t>
        </is>
      </c>
      <c r="C27" s="8">
        <f>IFERROR(INDEX('ベンダー集計'!$O:$O,MATCH(B27,'ベンダー集計'!$B:$B,0)),"")</f>
        <v/>
      </c>
      <c r="D27" s="4" t="inlineStr">
        <is>
          <t>NA</t>
        </is>
      </c>
      <c r="E27" s="4" t="inlineStr">
        <is>
          <t>Data center</t>
        </is>
      </c>
      <c r="F27" s="4" t="inlineStr">
        <is>
          <t>Maintenance</t>
        </is>
      </c>
      <c r="G27" s="7" t="inlineStr">
        <is>
          <t>(e) オンプレ維持</t>
        </is>
      </c>
      <c r="H27" s="5" t="n">
        <v>17280000</v>
      </c>
      <c r="I27" s="4" t="inlineStr">
        <is>
          <t>GDS</t>
        </is>
      </c>
      <c r="J27" s="10">
        <f>IF(C27="未判定","Tierを判定する",IFERROR(INDEX('施策マスタ'!$D:$D,MATCH(C27&amp;"|"&amp;G27,'施策マスタ'!$A:$A,0)),"施策マスタに無い組み合わせ"))</f>
        <v/>
      </c>
      <c r="K27" s="7" t="inlineStr">
        <is>
          <t>中</t>
        </is>
      </c>
      <c r="L27" s="7" t="inlineStr">
        <is>
          <t>取引上の依存</t>
        </is>
      </c>
      <c r="M27" s="8">
        <f>IF(K27="","未判定",IF(K27="低","Green",IF(K27="中","Yellow","Red")))</f>
        <v/>
      </c>
      <c r="N27" s="7" t="n"/>
      <c r="O27" s="8">
        <f>IF(M27="未判定","依存度をヒアリングする",IF(M27="Green","実行する",IF(M27="Yellow",IF(N27="合意済","実行する（現場と合意済）",IF(N27="不同意","実行しない（現場が不同意）","現場と合意する")),"施策は実行しない。依存の解消はIT戦略へ上げ、VMOは契約条件の打ち手に限る")))</f>
        <v/>
      </c>
      <c r="P27" s="8">
        <f>IF(L27="取引上の依存","出口条件と代替候補を整える",IF(L27="ブラックボックス","業務範囲・工数・スキル要件を可視化する",IF(L27="知見の希少性","長期の条件と価格上限で安定させる",IF(L27="ロックイン戦略",IF(K27="高","IT戦略の転換を要する（VMOは分析を提供）","移行の準備を進める（代替の評価、データの可搬性、契約の分離）"),""))))</f>
        <v/>
      </c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</row>
    <row r="28">
      <c r="A28" s="4" t="inlineStr">
        <is>
          <t>VA-027</t>
        </is>
      </c>
      <c r="B28" s="4" t="inlineStr">
        <is>
          <t>NTT Com</t>
        </is>
      </c>
      <c r="C28" s="8">
        <f>IFERROR(INDEX('ベンダー集計'!$O:$O,MATCH(B28,'ベンダー集計'!$B:$B,0)),"")</f>
        <v/>
      </c>
      <c r="D28" s="4" t="inlineStr">
        <is>
          <t>JP</t>
        </is>
      </c>
      <c r="E28" s="4" t="inlineStr">
        <is>
          <t>WAN</t>
        </is>
      </c>
      <c r="F28" s="4" t="inlineStr">
        <is>
          <t>Telecom</t>
        </is>
      </c>
      <c r="G28" s="7" t="inlineStr">
        <is>
          <t>(e) オンプレ維持</t>
        </is>
      </c>
      <c r="H28" s="5" t="n">
        <v>28800000</v>
      </c>
      <c r="I28" s="4" t="inlineStr">
        <is>
          <t>GDS</t>
        </is>
      </c>
      <c r="J28" s="10">
        <f>IF(C28="未判定","Tierを判定する",IFERROR(INDEX('施策マスタ'!$D:$D,MATCH(C28&amp;"|"&amp;G28,'施策マスタ'!$A:$A,0)),"施策マスタに無い組み合わせ"))</f>
        <v/>
      </c>
      <c r="K28" s="7" t="inlineStr">
        <is>
          <t>中</t>
        </is>
      </c>
      <c r="L28" s="7" t="inlineStr">
        <is>
          <t>取引上の依存</t>
        </is>
      </c>
      <c r="M28" s="8">
        <f>IF(K28="","未判定",IF(K28="低","Green",IF(K28="中","Yellow","Red")))</f>
        <v/>
      </c>
      <c r="N28" s="7" t="n"/>
      <c r="O28" s="8">
        <f>IF(M28="未判定","依存度をヒアリングする",IF(M28="Green","実行する",IF(M28="Yellow",IF(N28="合意済","実行する（現場と合意済）",IF(N28="不同意","実行しない（現場が不同意）","現場と合意する")),"施策は実行しない。依存の解消はIT戦略へ上げ、VMOは契約条件の打ち手に限る")))</f>
        <v/>
      </c>
      <c r="P28" s="8">
        <f>IF(L28="取引上の依存","出口条件と代替候補を整える",IF(L28="ブラックボックス","業務範囲・工数・スキル要件を可視化する",IF(L28="知見の希少性","長期の条件と価格上限で安定させる",IF(L28="ロックイン戦略",IF(K28="高","IT戦略の転換を要する（VMOは分析を提供）","移行の準備を進める（代替の評価、データの可搬性、契約の分離）"),""))))</f>
        <v/>
      </c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</row>
    <row r="29">
      <c r="A29" s="4" t="inlineStr">
        <is>
          <t>VA-028</t>
        </is>
      </c>
      <c r="B29" s="4" t="inlineStr">
        <is>
          <t>Benchling</t>
        </is>
      </c>
      <c r="C29" s="8">
        <f>IFERROR(INDEX('ベンダー集計'!$O:$O,MATCH(B29,'ベンダー集計'!$B:$B,0)),"")</f>
        <v/>
      </c>
      <c r="D29" s="4" t="inlineStr">
        <is>
          <t>JP</t>
        </is>
      </c>
      <c r="E29" s="4" t="inlineStr">
        <is>
          <t>ELN</t>
        </is>
      </c>
      <c r="F29" s="4" t="inlineStr">
        <is>
          <t>Maintenance</t>
        </is>
      </c>
      <c r="G29" s="7" t="inlineStr">
        <is>
          <t>(e) オンプレ維持</t>
        </is>
      </c>
      <c r="H29" s="5" t="n">
        <v>26400000</v>
      </c>
      <c r="I29" s="4" t="inlineStr">
        <is>
          <t>移管予算</t>
        </is>
      </c>
      <c r="J29" s="10">
        <f>IF(C29="未判定","Tierを判定する",IFERROR(INDEX('施策マスタ'!$D:$D,MATCH(C29&amp;"|"&amp;G29,'施策マスタ'!$A:$A,0)),"施策マスタに無い組み合わせ"))</f>
        <v/>
      </c>
      <c r="K29" s="7" t="inlineStr">
        <is>
          <t>中</t>
        </is>
      </c>
      <c r="L29" s="7" t="inlineStr">
        <is>
          <t>知見の希少性</t>
        </is>
      </c>
      <c r="M29" s="8">
        <f>IF(K29="","未判定",IF(K29="低","Green",IF(K29="中","Yellow","Red")))</f>
        <v/>
      </c>
      <c r="N29" s="7" t="n"/>
      <c r="O29" s="8">
        <f>IF(M29="未判定","依存度をヒアリングする",IF(M29="Green","実行する",IF(M29="Yellow",IF(N29="合意済","実行する（現場と合意済）",IF(N29="不同意","実行しない（現場が不同意）","現場と合意する")),"施策は実行しない。依存の解消はIT戦略へ上げ、VMOは契約条件の打ち手に限る")))</f>
        <v/>
      </c>
      <c r="P29" s="8">
        <f>IF(L29="取引上の依存","出口条件と代替候補を整える",IF(L29="ブラックボックス","業務範囲・工数・スキル要件を可視化する",IF(L29="知見の希少性","長期の条件と価格上限で安定させる",IF(L29="ロックイン戦略",IF(K29="高","IT戦略の転換を要する（VMOは分析を提供）","移行の準備を進める（代替の評価、データの可搬性、契約の分離）"),""))))</f>
        <v/>
      </c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</row>
    <row r="30">
      <c r="A30" s="4" t="inlineStr">
        <is>
          <t>VA-029</t>
        </is>
      </c>
      <c r="B30" s="4" t="inlineStr">
        <is>
          <t>AT&amp;T</t>
        </is>
      </c>
      <c r="C30" s="8">
        <f>IFERROR(INDEX('ベンダー集計'!$O:$O,MATCH(B30,'ベンダー集計'!$B:$B,0)),"")</f>
        <v/>
      </c>
      <c r="D30" s="4" t="inlineStr">
        <is>
          <t>NA</t>
        </is>
      </c>
      <c r="E30" s="4" t="inlineStr">
        <is>
          <t>WAN</t>
        </is>
      </c>
      <c r="F30" s="4" t="inlineStr">
        <is>
          <t>Telecom</t>
        </is>
      </c>
      <c r="G30" s="7" t="inlineStr">
        <is>
          <t>(e) オンプレ維持</t>
        </is>
      </c>
      <c r="H30" s="5" t="n">
        <v>23040000</v>
      </c>
      <c r="I30" s="4" t="inlineStr">
        <is>
          <t>GDS</t>
        </is>
      </c>
      <c r="J30" s="10">
        <f>IF(C30="未判定","Tierを判定する",IFERROR(INDEX('施策マスタ'!$D:$D,MATCH(C30&amp;"|"&amp;G30,'施策マスタ'!$A:$A,0)),"施策マスタに無い組み合わせ"))</f>
        <v/>
      </c>
      <c r="K30" s="7" t="inlineStr">
        <is>
          <t>中</t>
        </is>
      </c>
      <c r="L30" s="7" t="inlineStr">
        <is>
          <t>取引上の依存</t>
        </is>
      </c>
      <c r="M30" s="8">
        <f>IF(K30="","未判定",IF(K30="低","Green",IF(K30="中","Yellow","Red")))</f>
        <v/>
      </c>
      <c r="N30" s="7" t="n"/>
      <c r="O30" s="8">
        <f>IF(M30="未判定","依存度をヒアリングする",IF(M30="Green","実行する",IF(M30="Yellow",IF(N30="合意済","実行する（現場と合意済）",IF(N30="不同意","実行しない（現場が不同意）","現場と合意する")),"施策は実行しない。依存の解消はIT戦略へ上げ、VMOは契約条件の打ち手に限る")))</f>
        <v/>
      </c>
      <c r="P30" s="8">
        <f>IF(L30="取引上の依存","出口条件と代替候補を整える",IF(L30="ブラックボックス","業務範囲・工数・スキル要件を可視化する",IF(L30="知見の希少性","長期の条件と価格上限で安定させる",IF(L30="ロックイン戦略",IF(K30="高","IT戦略の転換を要する（VMOは分析を提供）","移行の準備を進める（代替の評価、データの可搬性、契約の分離）"),""))))</f>
        <v/>
      </c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</row>
    <row r="31">
      <c r="A31" s="4" t="inlineStr">
        <is>
          <t>VA-030</t>
        </is>
      </c>
      <c r="B31" s="4" t="inlineStr">
        <is>
          <t>HubSpot</t>
        </is>
      </c>
      <c r="C31" s="8">
        <f>IFERROR(INDEX('ベンダー集計'!$O:$O,MATCH(B31,'ベンダー集計'!$B:$B,0)),"")</f>
        <v/>
      </c>
      <c r="D31" s="4" t="inlineStr">
        <is>
          <t>JP</t>
        </is>
      </c>
      <c r="E31" s="4" t="inlineStr">
        <is>
          <t>Sales CRM add-on</t>
        </is>
      </c>
      <c r="F31" s="4" t="inlineStr">
        <is>
          <t>SaaS / License</t>
        </is>
      </c>
      <c r="G31" s="7" t="inlineStr">
        <is>
          <t>(a) ライセンス・SaaS</t>
        </is>
      </c>
      <c r="H31" s="5" t="n">
        <v>18000000</v>
      </c>
      <c r="I31" s="4" t="inlineStr">
        <is>
          <t>移管予算</t>
        </is>
      </c>
      <c r="J31" s="10">
        <f>IF(C31="未判定","Tierを判定する",IFERROR(INDEX('施策マスタ'!$D:$D,MATCH(C31&amp;"|"&amp;G31,'施策マスタ'!$A:$A,0)),"施策マスタに無い組み合わせ"))</f>
        <v/>
      </c>
      <c r="K31" s="7" t="inlineStr">
        <is>
          <t>低</t>
        </is>
      </c>
      <c r="L31" s="7" t="inlineStr">
        <is>
          <t>ロックイン戦略</t>
        </is>
      </c>
      <c r="M31" s="8">
        <f>IF(K31="","未判定",IF(K31="低","Green",IF(K31="中","Yellow","Red")))</f>
        <v/>
      </c>
      <c r="N31" s="7" t="n"/>
      <c r="O31" s="8">
        <f>IF(M31="未判定","依存度をヒアリングする",IF(M31="Green","実行する",IF(M31="Yellow",IF(N31="合意済","実行する（現場と合意済）",IF(N31="不同意","実行しない（現場が不同意）","現場と合意する")),"施策は実行しない。依存の解消はIT戦略へ上げ、VMOは契約条件の打ち手に限る")))</f>
        <v/>
      </c>
      <c r="P31" s="8">
        <f>IF(L31="取引上の依存","出口条件と代替候補を整える",IF(L31="ブラックボックス","業務範囲・工数・スキル要件を可視化する",IF(L31="知見の希少性","長期の条件と価格上限で安定させる",IF(L31="ロックイン戦略",IF(K31="高","IT戦略の転換を要する（VMOは分析を提供）","移行の準備を進める（代替の評価、データの可搬性、契約の分離）"),""))))</f>
        <v/>
      </c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</row>
    <row r="32">
      <c r="A32" s="4" t="inlineStr">
        <is>
          <t>VA-031</t>
        </is>
      </c>
      <c r="B32" s="4" t="inlineStr">
        <is>
          <t>BT</t>
        </is>
      </c>
      <c r="C32" s="8">
        <f>IFERROR(INDEX('ベンダー集計'!$O:$O,MATCH(B32,'ベンダー集計'!$B:$B,0)),"")</f>
        <v/>
      </c>
      <c r="D32" s="4" t="inlineStr">
        <is>
          <t>EMEA</t>
        </is>
      </c>
      <c r="E32" s="4" t="inlineStr">
        <is>
          <t>WAN</t>
        </is>
      </c>
      <c r="F32" s="4" t="inlineStr">
        <is>
          <t>Telecom</t>
        </is>
      </c>
      <c r="G32" s="7" t="inlineStr">
        <is>
          <t>(e) オンプレ維持</t>
        </is>
      </c>
      <c r="H32" s="5" t="n">
        <v>14400480</v>
      </c>
      <c r="I32" s="4" t="inlineStr">
        <is>
          <t>GDS</t>
        </is>
      </c>
      <c r="J32" s="10">
        <f>IF(C32="未判定","Tierを判定する",IFERROR(INDEX('施策マスタ'!$D:$D,MATCH(C32&amp;"|"&amp;G32,'施策マスタ'!$A:$A,0)),"施策マスタに無い組み合わせ"))</f>
        <v/>
      </c>
      <c r="K32" s="7" t="inlineStr">
        <is>
          <t>中</t>
        </is>
      </c>
      <c r="L32" s="7" t="inlineStr">
        <is>
          <t>取引上の依存</t>
        </is>
      </c>
      <c r="M32" s="8">
        <f>IF(K32="","未判定",IF(K32="低","Green",IF(K32="中","Yellow","Red")))</f>
        <v/>
      </c>
      <c r="N32" s="7" t="n"/>
      <c r="O32" s="8">
        <f>IF(M32="未判定","依存度をヒアリングする",IF(M32="Green","実行する",IF(M32="Yellow",IF(N32="合意済","実行する（現場と合意済）",IF(N32="不同意","実行しない（現場が不同意）","現場と合意する")),"施策は実行しない。依存の解消はIT戦略へ上げ、VMOは契約条件の打ち手に限る")))</f>
        <v/>
      </c>
      <c r="P32" s="8">
        <f>IF(L32="取引上の依存","出口条件と代替候補を整える",IF(L32="ブラックボックス","業務範囲・工数・スキル要件を可視化する",IF(L32="知見の希少性","長期の条件と価格上限で安定させる",IF(L32="ロックイン戦略",IF(K32="高","IT戦略の転換を要する（VMOは分析を提供）","移行の準備を進める（代替の評価、データの可搬性、契約の分離）"),""))))</f>
        <v/>
      </c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</row>
  </sheetData>
  <autoFilter ref="A1:AA32"/>
  <conditionalFormatting sqref="M2:M32">
    <cfRule type="expression" priority="1" dxfId="0">
      <formula>M2="Green"</formula>
    </cfRule>
    <cfRule type="expression" priority="2" dxfId="1">
      <formula>M2="Yellow"</formula>
    </cfRule>
    <cfRule type="expression" priority="3" dxfId="2">
      <formula>M2="Red"</formula>
    </cfRule>
  </conditionalFormatting>
  <dataValidations count="4">
    <dataValidation sqref="K2:K32" showDropDown="0" showInputMessage="0" showErrorMessage="0" allowBlank="1" type="list">
      <formula1>"高,中,低"</formula1>
    </dataValidation>
    <dataValidation sqref="L2:L32" showDropDown="0" showInputMessage="0" showErrorMessage="0" allowBlank="1" type="list">
      <formula1>"取引上の依存,ブラックボックス,知見の希少性,ロックイン戦略"</formula1>
    </dataValidation>
    <dataValidation sqref="G2:G32" showDropDown="0" showInputMessage="0" showErrorMessage="0" allowBlank="1" type="list">
      <formula1>"(a) ライセンス・SaaS,(b) 運用保守委託,(c) 開発・改修,(d) ミドルウェア・DB,(e) オンプレ維持,クラウド"</formula1>
    </dataValidation>
    <dataValidation sqref="N2:N32" showDropDown="0" showInputMessage="0" showErrorMessage="0" allowBlank="1" type="list">
      <formula1>"合意済,協議中,不同意"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20" customWidth="1" min="3" max="3"/>
    <col width="80" customWidth="1" min="4" max="4"/>
    <col width="46" customWidth="1" min="5" max="5"/>
  </cols>
  <sheetData>
    <row r="1">
      <c r="A1" s="3" t="inlineStr">
        <is>
          <t>キー</t>
        </is>
      </c>
      <c r="B1" s="3" t="inlineStr">
        <is>
          <t>Tier</t>
        </is>
      </c>
      <c r="C1" s="3" t="inlineStr">
        <is>
          <t>区分</t>
        </is>
      </c>
      <c r="D1" s="3" t="inlineStr">
        <is>
          <t>VMO施策（案）</t>
        </is>
      </c>
      <c r="E1" s="3" t="inlineStr">
        <is>
          <t>契約に落とす条項の例</t>
        </is>
      </c>
    </row>
    <row r="2">
      <c r="A2" s="11" t="inlineStr">
        <is>
          <t>Tier1|(a) ライセンス・SaaS</t>
        </is>
      </c>
      <c r="B2" s="11" t="inlineStr">
        <is>
          <t>Tier1</t>
        </is>
      </c>
      <c r="C2" s="11" t="inlineStr">
        <is>
          <t>(a) ライセンス・SaaS</t>
        </is>
      </c>
      <c r="D2" s="12" t="inlineStr">
        <is>
          <t>来期会議で、複数年の単価固定・価格上限、更新時の減席権、AIアドオンの適正化を求め、中長期の提案を受ける</t>
        </is>
      </c>
      <c r="E2" s="12" t="inlineStr">
        <is>
          <t>価格上限条項、更新時の減席権、AIクレジットの繰越</t>
        </is>
      </c>
    </row>
    <row r="3">
      <c r="A3" s="11" t="inlineStr">
        <is>
          <t>Tier1|(b) 運用保守委託</t>
        </is>
      </c>
      <c r="B3" s="11" t="inlineStr">
        <is>
          <t>Tier1</t>
        </is>
      </c>
      <c r="C3" s="11" t="inlineStr">
        <is>
          <t>(b) 運用保守委託</t>
        </is>
      </c>
      <c r="D3" s="12" t="inlineStr">
        <is>
          <t>来期会議で、業務スコープ・SLA・スキル要件の文書化と契約形態の移行（第6章 第1段階）を中長期の提案に組み込ませる</t>
        </is>
      </c>
      <c r="E3" s="12" t="inlineStr">
        <is>
          <t>作業区分ごとの工数報告の義務、文書の自社帰属、再委託の条件</t>
        </is>
      </c>
    </row>
    <row r="4">
      <c r="A4" s="11" t="inlineStr">
        <is>
          <t>Tier1|(c) 開発・改修</t>
        </is>
      </c>
      <c r="B4" s="11" t="inlineStr">
        <is>
          <t>Tier1</t>
        </is>
      </c>
      <c r="C4" s="11" t="inlineStr">
        <is>
          <t>(c) 開発・改修</t>
        </is>
      </c>
      <c r="D4" s="12" t="inlineStr">
        <is>
          <t>来期会議で、単価表と体制の妥当性を確認し、中長期の案件を束ねた提案を受ける</t>
        </is>
      </c>
      <c r="E4" s="12" t="inlineStr">
        <is>
          <t>単価表、変更管理の手続き</t>
        </is>
      </c>
    </row>
    <row r="5">
      <c r="A5" s="11" t="inlineStr">
        <is>
          <t>Tier1|(d) ミドルウェア・DB</t>
        </is>
      </c>
      <c r="B5" s="11" t="inlineStr">
        <is>
          <t>Tier1</t>
        </is>
      </c>
      <c r="C5" s="11" t="inlineStr">
        <is>
          <t>(d) ミドルウェア・DB</t>
        </is>
      </c>
      <c r="D5" s="12" t="inlineStr">
        <is>
          <t>来期会議で、未使用ライセンスの整理と代替（OpenJDK等）を含む中長期の提案を受ける</t>
        </is>
      </c>
      <c r="E5" s="12" t="inlineStr">
        <is>
          <t>部分解約時の保守料の扱い、監査条項</t>
        </is>
      </c>
    </row>
    <row r="6">
      <c r="A6" s="11" t="inlineStr">
        <is>
          <t>Tier1|(e) オンプレ維持</t>
        </is>
      </c>
      <c r="B6" s="11" t="inlineStr">
        <is>
          <t>Tier1</t>
        </is>
      </c>
      <c r="C6" s="11" t="inlineStr">
        <is>
          <t>(e) オンプレ維持</t>
        </is>
      </c>
      <c r="D6" s="12" t="inlineStr">
        <is>
          <t>来期会議で、機器・回線の統合と更新計画、延長保守の条件を含む中長期の提案を受ける</t>
        </is>
      </c>
      <c r="E6" s="12" t="inlineStr">
        <is>
          <t>延長保守の単価、解約の通知期間</t>
        </is>
      </c>
    </row>
    <row r="7">
      <c r="A7" s="11" t="inlineStr">
        <is>
          <t>Tier1|クラウド</t>
        </is>
      </c>
      <c r="B7" s="11" t="inlineStr">
        <is>
          <t>Tier1</t>
        </is>
      </c>
      <c r="C7" s="11" t="inlineStr">
        <is>
          <t>クラウド</t>
        </is>
      </c>
      <c r="D7" s="12" t="inlineStr">
        <is>
          <t>来期会議で、コミット額の設計（上乗せ幅・繰越・サービス横断の消化）とワークロードの切り分けを協議する</t>
        </is>
      </c>
      <c r="E7" s="12" t="inlineStr">
        <is>
          <t>上乗せ幅、減額・繰越の条件、サービス横断の消化</t>
        </is>
      </c>
    </row>
    <row r="8">
      <c r="A8" s="11" t="inlineStr">
        <is>
          <t>Tier2|(a) ライセンス・SaaS</t>
        </is>
      </c>
      <c r="B8" s="11" t="inlineStr">
        <is>
          <t>Tier2</t>
        </is>
      </c>
      <c r="C8" s="11" t="inlineStr">
        <is>
          <t>(a) ライセンス・SaaS</t>
        </is>
      </c>
      <c r="D8" s="12" t="inlineStr">
        <is>
          <t>更新時の評価結果をもとに、減席・エディションの見直し・値上げの回避を交渉する</t>
        </is>
      </c>
      <c r="E8" s="12" t="inlineStr">
        <is>
          <t>価格上限条項、更新時の減席権、AIクレジットの繰越</t>
        </is>
      </c>
    </row>
    <row r="9">
      <c r="A9" s="11" t="inlineStr">
        <is>
          <t>Tier2|(b) 運用保守委託</t>
        </is>
      </c>
      <c r="B9" s="11" t="inlineStr">
        <is>
          <t>Tier2</t>
        </is>
      </c>
      <c r="C9" s="11" t="inlineStr">
        <is>
          <t>(b) 運用保守委託</t>
        </is>
      </c>
      <c r="D9" s="12" t="inlineStr">
        <is>
          <t>更新時の評価結果をもとに、作業範囲の明確化と工数報告の義務化を求める（第6章のトラック）</t>
        </is>
      </c>
      <c r="E9" s="12" t="inlineStr">
        <is>
          <t>作業区分ごとの工数報告の義務、文書の自社帰属、再委託の条件</t>
        </is>
      </c>
    </row>
    <row r="10">
      <c r="A10" s="11" t="inlineStr">
        <is>
          <t>Tier2|(c) 開発・改修</t>
        </is>
      </c>
      <c r="B10" s="11" t="inlineStr">
        <is>
          <t>Tier2</t>
        </is>
      </c>
      <c r="C10" s="11" t="inlineStr">
        <is>
          <t>(c) 開発・改修</t>
        </is>
      </c>
      <c r="D10" s="12" t="inlineStr">
        <is>
          <t>プロジェクト終了時の評価を、次回の単価・体制に反映する</t>
        </is>
      </c>
      <c r="E10" s="12" t="inlineStr">
        <is>
          <t>単価表、変更管理の手続き</t>
        </is>
      </c>
    </row>
    <row r="11">
      <c r="A11" s="11" t="inlineStr">
        <is>
          <t>Tier2|(d) ミドルウェア・DB</t>
        </is>
      </c>
      <c r="B11" s="11" t="inlineStr">
        <is>
          <t>Tier2</t>
        </is>
      </c>
      <c r="C11" s="11" t="inlineStr">
        <is>
          <t>(d) ミドルウェア・DB</t>
        </is>
      </c>
      <c r="D11" s="12" t="inlineStr">
        <is>
          <t>更新時の評価結果をもとに、未使用ライセンスを整理する</t>
        </is>
      </c>
      <c r="E11" s="12" t="inlineStr">
        <is>
          <t>部分解約時の保守料の扱い、監査条項</t>
        </is>
      </c>
    </row>
    <row r="12">
      <c r="A12" s="11" t="inlineStr">
        <is>
          <t>Tier2|(e) オンプレ維持</t>
        </is>
      </c>
      <c r="B12" s="11" t="inlineStr">
        <is>
          <t>Tier2</t>
        </is>
      </c>
      <c r="C12" s="11" t="inlineStr">
        <is>
          <t>(e) オンプレ維持</t>
        </is>
      </c>
      <c r="D12" s="12" t="inlineStr">
        <is>
          <t>更新時の評価結果をもとに、延長保守の単価と解約の通知期間を見直す</t>
        </is>
      </c>
      <c r="E12" s="12" t="inlineStr">
        <is>
          <t>延長保守の単価、解約の通知期間</t>
        </is>
      </c>
    </row>
    <row r="13">
      <c r="A13" s="11" t="inlineStr">
        <is>
          <t>Tier2|クラウド</t>
        </is>
      </c>
      <c r="B13" s="11" t="inlineStr">
        <is>
          <t>Tier2</t>
        </is>
      </c>
      <c r="C13" s="11" t="inlineStr">
        <is>
          <t>クラウド</t>
        </is>
      </c>
      <c r="D13" s="12" t="inlineStr">
        <is>
          <t>更新時の評価結果をもとに、コミット額を見直す</t>
        </is>
      </c>
      <c r="E13" s="12" t="inlineStr">
        <is>
          <t>上乗せ幅、減額・繰越の条件、サービス横断の消化</t>
        </is>
      </c>
    </row>
    <row r="14">
      <c r="A14" s="11" t="inlineStr">
        <is>
          <t>Tier3|(a) ライセンス・SaaS</t>
        </is>
      </c>
      <c r="B14" s="11" t="inlineStr">
        <is>
          <t>Tier3</t>
        </is>
      </c>
      <c r="C14" s="11" t="inlineStr">
        <is>
          <t>(a) ライセンス・SaaS</t>
        </is>
      </c>
      <c r="D14" s="12" t="inlineStr">
        <is>
          <t>同種の製品を扱う他のベンダー（Tier1〜3）へ統合し、数量と条件をまとめて交渉する</t>
        </is>
      </c>
      <c r="E14" s="12" t="inlineStr">
        <is>
          <t>価格上限条項、更新時の減席権、AIクレジットの繰越</t>
        </is>
      </c>
    </row>
    <row r="15">
      <c r="A15" s="11" t="inlineStr">
        <is>
          <t>Tier3|(b) 運用保守委託</t>
        </is>
      </c>
      <c r="B15" s="11" t="inlineStr">
        <is>
          <t>Tier3</t>
        </is>
      </c>
      <c r="C15" s="11" t="inlineStr">
        <is>
          <t>(b) 運用保守委託</t>
        </is>
      </c>
      <c r="D15" s="12" t="inlineStr">
        <is>
          <t>スキル要件の重なる他の委託契約へ統合する（第6章 第2段階）</t>
        </is>
      </c>
      <c r="E15" s="12" t="inlineStr">
        <is>
          <t>作業区分ごとの工数報告の義務、文書の自社帰属、再委託の条件</t>
        </is>
      </c>
    </row>
    <row r="16">
      <c r="A16" s="11" t="inlineStr">
        <is>
          <t>Tier3|(c) 開発・改修</t>
        </is>
      </c>
      <c r="B16" s="11" t="inlineStr">
        <is>
          <t>Tier3</t>
        </is>
      </c>
      <c r="C16" s="11" t="inlineStr">
        <is>
          <t>(c) 開発・改修</t>
        </is>
      </c>
      <c r="D16" s="12" t="inlineStr">
        <is>
          <t>他のベンダーへ発注を集約する</t>
        </is>
      </c>
      <c r="E16" s="12" t="inlineStr">
        <is>
          <t>単価表、変更管理の手続き</t>
        </is>
      </c>
    </row>
    <row r="17">
      <c r="A17" s="11" t="inlineStr">
        <is>
          <t>Tier3|(d) ミドルウェア・DB</t>
        </is>
      </c>
      <c r="B17" s="11" t="inlineStr">
        <is>
          <t>Tier3</t>
        </is>
      </c>
      <c r="C17" s="11" t="inlineStr">
        <is>
          <t>(d) ミドルウェア・DB</t>
        </is>
      </c>
      <c r="D17" s="12" t="inlineStr">
        <is>
          <t>ライセンスを統合・標準化する</t>
        </is>
      </c>
      <c r="E17" s="12" t="inlineStr">
        <is>
          <t>部分解約時の保守料の扱い、監査条項</t>
        </is>
      </c>
    </row>
    <row r="18">
      <c r="A18" s="11" t="inlineStr">
        <is>
          <t>Tier3|(e) オンプレ維持</t>
        </is>
      </c>
      <c r="B18" s="11" t="inlineStr">
        <is>
          <t>Tier3</t>
        </is>
      </c>
      <c r="C18" s="11" t="inlineStr">
        <is>
          <t>(e) オンプレ維持</t>
        </is>
      </c>
      <c r="D18" s="12" t="inlineStr">
        <is>
          <t>保守・回線を他のベンダーへ集約する（リージョンをまたぐ統合を含む）</t>
        </is>
      </c>
      <c r="E18" s="12" t="inlineStr">
        <is>
          <t>延長保守の単価、解約の通知期間</t>
        </is>
      </c>
    </row>
    <row r="19">
      <c r="A19" s="11" t="inlineStr">
        <is>
          <t>Tier3|クラウド</t>
        </is>
      </c>
      <c r="B19" s="11" t="inlineStr">
        <is>
          <t>Tier3</t>
        </is>
      </c>
      <c r="C19" s="11" t="inlineStr">
        <is>
          <t>クラウド</t>
        </is>
      </c>
      <c r="D19" s="12" t="inlineStr">
        <is>
          <t>他のクラウド契約へ集約する（配置方針の範囲で）</t>
        </is>
      </c>
      <c r="E19" s="12" t="inlineStr">
        <is>
          <t>上乗せ幅、減額・繰越の条件、サービス横断の消化</t>
        </is>
      </c>
    </row>
    <row r="20">
      <c r="A20" s="11" t="inlineStr">
        <is>
          <t>Tier4|(a) ライセンス・SaaS</t>
        </is>
      </c>
      <c r="B20" s="11" t="inlineStr">
        <is>
          <t>Tier4</t>
        </is>
      </c>
      <c r="C20" s="11" t="inlineStr">
        <is>
          <t>(a) ライセンス・SaaS</t>
        </is>
      </c>
      <c r="D20" s="12" t="inlineStr">
        <is>
          <t>他のTierのベンダー・製品へ巻き取るか、解約・自動更新の停止を行う</t>
        </is>
      </c>
      <c r="E20" s="12" t="inlineStr">
        <is>
          <t>価格上限条項、更新時の減席権、AIクレジットの繰越</t>
        </is>
      </c>
    </row>
    <row r="21">
      <c r="A21" s="11" t="inlineStr">
        <is>
          <t>Tier4|(b) 運用保守委託</t>
        </is>
      </c>
      <c r="B21" s="11" t="inlineStr">
        <is>
          <t>Tier4</t>
        </is>
      </c>
      <c r="C21" s="11" t="inlineStr">
        <is>
          <t>(b) 運用保守委託</t>
        </is>
      </c>
      <c r="D21" s="12" t="inlineStr">
        <is>
          <t>他のTierの委託先へ巻き取る</t>
        </is>
      </c>
      <c r="E21" s="12" t="inlineStr">
        <is>
          <t>作業区分ごとの工数報告の義務、文書の自社帰属、再委託の条件</t>
        </is>
      </c>
    </row>
    <row r="22">
      <c r="A22" s="11" t="inlineStr">
        <is>
          <t>Tier4|(c) 開発・改修</t>
        </is>
      </c>
      <c r="B22" s="11" t="inlineStr">
        <is>
          <t>Tier4</t>
        </is>
      </c>
      <c r="C22" s="11" t="inlineStr">
        <is>
          <t>(c) 開発・改修</t>
        </is>
      </c>
      <c r="D22" s="12" t="inlineStr">
        <is>
          <t>他のTierのベンダーへ発注を寄せる</t>
        </is>
      </c>
      <c r="E22" s="12" t="inlineStr">
        <is>
          <t>単価表、変更管理の手続き</t>
        </is>
      </c>
    </row>
    <row r="23">
      <c r="A23" s="11" t="inlineStr">
        <is>
          <t>Tier4|(d) ミドルウェア・DB</t>
        </is>
      </c>
      <c r="B23" s="11" t="inlineStr">
        <is>
          <t>Tier4</t>
        </is>
      </c>
      <c r="C23" s="11" t="inlineStr">
        <is>
          <t>(d) ミドルウェア・DB</t>
        </is>
      </c>
      <c r="D23" s="12" t="inlineStr">
        <is>
          <t>解約するか、他の製品へ巻き取る</t>
        </is>
      </c>
      <c r="E23" s="12" t="inlineStr">
        <is>
          <t>部分解約時の保守料の扱い、監査条項</t>
        </is>
      </c>
    </row>
    <row r="24">
      <c r="A24" s="11" t="inlineStr">
        <is>
          <t>Tier4|(e) オンプレ維持</t>
        </is>
      </c>
      <c r="B24" s="11" t="inlineStr">
        <is>
          <t>Tier4</t>
        </is>
      </c>
      <c r="C24" s="11" t="inlineStr">
        <is>
          <t>(e) オンプレ維持</t>
        </is>
      </c>
      <c r="D24" s="12" t="inlineStr">
        <is>
          <t>他のTierのベンダーへ巻き取るか、解約する</t>
        </is>
      </c>
      <c r="E24" s="12" t="inlineStr">
        <is>
          <t>延長保守の単価、解約の通知期間</t>
        </is>
      </c>
    </row>
    <row r="25">
      <c r="A25" s="11" t="inlineStr">
        <is>
          <t>Tier4|クラウド</t>
        </is>
      </c>
      <c r="B25" s="11" t="inlineStr">
        <is>
          <t>Tier4</t>
        </is>
      </c>
      <c r="C25" s="11" t="inlineStr">
        <is>
          <t>クラウド</t>
        </is>
      </c>
      <c r="D25" s="12" t="inlineStr">
        <is>
          <t>解約するか、他の契約へ巻き取る</t>
        </is>
      </c>
      <c r="E25" s="12" t="inlineStr">
        <is>
          <t>上乗せ幅、減額・繰越の条件、サービス横断の消化</t>
        </is>
      </c>
    </row>
  </sheetData>
  <autoFilter ref="A1:E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2026-10-25T02:25:03Z</dcterms:created>
  <dcterms:modified xmlns:dcterms="http://purl.org/dc/terms/" xmlns:xsi="http://www.w3.org/2001/XMLSchema-instance" xsi:type="dcterms:W3CDTF">2026-10-25T02:58:42Z</dcterms:modified>
</cp:coreProperties>
</file>