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確認表" sheetId="2" state="visible" r:id="rId4"/>
    <sheet name="集計" sheetId="3" state="visible" r:id="rId5"/>
  </sheets>
  <definedNames>
    <definedName function="false" hidden="true" localSheetId="1" name="_xlnm._FilterDatabase" vbProcedure="false">確認表!$A$2:$U$38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<sst xmlns="http://schemas.openxmlformats.org/spreadsheetml/2006/main" count="394" uniqueCount="159">
  <si>
    <t xml:space="preserve">購買部門との権限確認表</t>
  </si>
  <si>
    <t xml:space="preserve">目的</t>
  </si>
  <si>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の活動ごとに、購買規程上やってよいか、購買部門と認識を合わせる。合意した結果は、</t>
    </r>
    <r>
      <rPr>
        <sz val="10"/>
        <rFont val="Meiryo UI"/>
        <family val="0"/>
        <charset val="1"/>
      </rPr>
      <t xml:space="preserve">RACI</t>
    </r>
    <r>
      <rPr>
        <sz val="10"/>
        <rFont val="Noto Sans CJK SC"/>
        <family val="2"/>
      </rPr>
      <t xml:space="preserve">として第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章 </t>
    </r>
    <r>
      <rPr>
        <sz val="10"/>
        <rFont val="Meiryo UI"/>
        <family val="0"/>
        <charset val="1"/>
      </rPr>
      <t xml:space="preserve">1.5.4</t>
    </r>
    <r>
      <rPr>
        <sz val="10"/>
        <rFont val="Noto Sans CJK SC"/>
        <family val="2"/>
      </rPr>
      <t xml:space="preserve">に反映する。</t>
    </r>
  </si>
  <si>
    <t xml:space="preserve">列の見方</t>
  </si>
  <si>
    <t xml:space="preserve">・一般論の想定：購買部門が渉外・発注の権限をすべて持ち、業務分掌・権限規程は変えない、という前提での一般論（可／不可／グレー）。確認前の仮置き。</t>
  </si>
  <si>
    <r>
      <rPr>
        <sz val="10"/>
        <rFont val="Noto Sans CJK SC"/>
        <family val="2"/>
      </rPr>
      <t xml:space="preserve">・資料の現在の記述：本資料（</t>
    </r>
    <r>
      <rPr>
        <sz val="10"/>
        <rFont val="Meiryo UI"/>
        <family val="0"/>
        <charset val="1"/>
      </rPr>
      <t xml:space="preserve">chapters/</t>
    </r>
    <r>
      <rPr>
        <sz val="10"/>
        <rFont val="Noto Sans CJK SC"/>
        <family val="2"/>
      </rPr>
      <t xml:space="preserve">）で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がその活動を担う前提になっている箇所。見解が「不可」になった場合の修正対象。</t>
    </r>
  </si>
  <si>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RACI</t>
    </r>
    <r>
      <rPr>
        <sz val="10"/>
        <rFont val="Noto Sans CJK SC"/>
        <family val="2"/>
      </rPr>
      <t xml:space="preserve">（たたき台）：一般論に基づく案。グレーの行は空欄にしてある。</t>
    </r>
  </si>
  <si>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RACI</t>
    </r>
    <r>
      <rPr>
        <sz val="10"/>
        <rFont val="Noto Sans CJK SC"/>
        <family val="2"/>
      </rPr>
      <t xml:space="preserve">（確定）：購買部門と合意した結果を入れる。</t>
    </r>
    <r>
      <rPr>
        <sz val="10"/>
        <rFont val="Meiryo UI"/>
        <family val="0"/>
        <charset val="1"/>
      </rPr>
      <t xml:space="preserve">1.5.4</t>
    </r>
    <r>
      <rPr>
        <sz val="10"/>
        <rFont val="Noto Sans CJK SC"/>
        <family val="2"/>
      </rPr>
      <t xml:space="preserve">へ反映するのはこちら。</t>
    </r>
  </si>
  <si>
    <t xml:space="preserve">セルの色</t>
  </si>
  <si>
    <r>
      <rPr>
        <sz val="10"/>
        <rFont val="Noto Sans CJK SC"/>
        <family val="2"/>
      </rPr>
      <t xml:space="preserve">黄色：入力欄（購買規程の該当条項、購買部門の見解、条件・留意点、</t>
    </r>
    <r>
      <rPr>
        <sz val="10"/>
        <rFont val="Meiryo UI"/>
        <family val="0"/>
        <charset val="1"/>
      </rPr>
      <t xml:space="preserve">RACI</t>
    </r>
    <r>
      <rPr>
        <sz val="10"/>
        <rFont val="Noto Sans CJK SC"/>
        <family val="2"/>
      </rPr>
      <t xml:space="preserve">（確定）、状態、確認日、確認者、備考）</t>
    </r>
  </si>
  <si>
    <t xml:space="preserve">灰色：数式（「集計」シート）</t>
  </si>
  <si>
    <t xml:space="preserve">その他：たたき台として記入済み。確認の過程で直してよい。</t>
  </si>
  <si>
    <t xml:space="preserve">選択肢</t>
  </si>
  <si>
    <t xml:space="preserve">購買部門の見解：可／条件付きで可／不可／要協議</t>
  </si>
  <si>
    <r>
      <rPr>
        <sz val="10"/>
        <rFont val="Meiryo UI"/>
        <family val="0"/>
        <charset val="1"/>
      </rPr>
      <t xml:space="preserve">RACI</t>
    </r>
    <r>
      <rPr>
        <sz val="10"/>
        <rFont val="Noto Sans CJK SC"/>
        <family val="2"/>
      </rPr>
      <t xml:space="preserve">：</t>
    </r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A/R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C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I</t>
    </r>
    <r>
      <rPr>
        <sz val="10"/>
        <rFont val="Noto Sans CJK SC"/>
        <family val="2"/>
      </rPr>
      <t xml:space="preserve">（空欄可）</t>
    </r>
  </si>
  <si>
    <t xml:space="preserve">状態：未確認／確認中／合意済</t>
  </si>
  <si>
    <r>
      <rPr>
        <b val="true"/>
        <sz val="10"/>
        <rFont val="Noto Sans CJK SC"/>
        <family val="2"/>
      </rPr>
      <t xml:space="preserve">記入例（</t>
    </r>
    <r>
      <rPr>
        <b val="true"/>
        <sz val="10"/>
        <rFont val="Meiryo UI"/>
        <family val="0"/>
        <charset val="1"/>
      </rPr>
      <t xml:space="preserve">No.15 </t>
    </r>
    <r>
      <rPr>
        <b val="true"/>
        <sz val="10"/>
        <rFont val="Noto Sans CJK SC"/>
        <family val="2"/>
      </rPr>
      <t xml:space="preserve">を確認した場合）</t>
    </r>
  </si>
  <si>
    <t xml:space="preserve">購買規程の該当条項：第○条（取引先との折衝）　購買部門の見解：条件付きで可</t>
  </si>
  <si>
    <r>
      <rPr>
        <sz val="10"/>
        <rFont val="Noto Sans CJK SC"/>
        <family val="2"/>
      </rPr>
      <t xml:space="preserve">条件・留意点：発注を前提としない旨をベンダーに明示し、接触の記録を購買へ共有する　</t>
    </r>
    <r>
      <rPr>
        <sz val="10"/>
        <rFont val="Meiryo UI"/>
        <family val="0"/>
        <charset val="1"/>
      </rPr>
      <t xml:space="preserve">RACI</t>
    </r>
    <r>
      <rPr>
        <sz val="10"/>
        <rFont val="Noto Sans CJK SC"/>
        <family val="2"/>
      </rPr>
      <t xml:space="preserve">（確定）：</t>
    </r>
    <r>
      <rPr>
        <sz val="10"/>
        <rFont val="Meiryo UI"/>
        <family val="0"/>
        <charset val="1"/>
      </rPr>
      <t xml:space="preserve">VMO R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担当 </t>
    </r>
    <r>
      <rPr>
        <sz val="10"/>
        <rFont val="Meiryo UI"/>
        <family val="0"/>
        <charset val="1"/>
      </rPr>
      <t xml:space="preserve">C</t>
    </r>
    <r>
      <rPr>
        <sz val="10"/>
        <rFont val="Noto Sans CJK SC"/>
        <family val="2"/>
      </rPr>
      <t xml:space="preserve">／購買 </t>
    </r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／予算責任者 </t>
    </r>
    <r>
      <rPr>
        <sz val="10"/>
        <rFont val="Meiryo UI"/>
        <family val="0"/>
        <charset val="1"/>
      </rPr>
      <t xml:space="preserve">I</t>
    </r>
    <r>
      <rPr>
        <sz val="10"/>
        <rFont val="Noto Sans CJK SC"/>
        <family val="2"/>
      </rPr>
      <t xml:space="preserve">　状態：合意済</t>
    </r>
  </si>
  <si>
    <t xml:space="preserve">確認する活動（たたき台）</t>
  </si>
  <si>
    <t xml:space="preserve">購買部門との確認</t>
  </si>
  <si>
    <r>
      <rPr>
        <b val="true"/>
        <sz val="10"/>
        <color rgb="FFFFFFFF"/>
        <rFont val="Meiryo UI"/>
        <family val="0"/>
        <charset val="1"/>
      </rPr>
      <t xml:space="preserve">RACI</t>
    </r>
    <r>
      <rPr>
        <b val="true"/>
        <sz val="10"/>
        <color rgb="FFFFFFFF"/>
        <rFont val="Noto Sans CJK SC"/>
        <family val="2"/>
      </rPr>
      <t xml:space="preserve">（たたき台）</t>
    </r>
  </si>
  <si>
    <r>
      <rPr>
        <b val="true"/>
        <sz val="10"/>
        <color rgb="FFFFFFFF"/>
        <rFont val="Meiryo UI"/>
        <family val="0"/>
        <charset val="1"/>
      </rPr>
      <t xml:space="preserve">RACI</t>
    </r>
    <r>
      <rPr>
        <b val="true"/>
        <sz val="10"/>
        <color rgb="FFFFFFFF"/>
        <rFont val="Noto Sans CJK SC"/>
        <family val="2"/>
      </rPr>
      <t xml:space="preserve">（確定）</t>
    </r>
  </si>
  <si>
    <t xml:space="preserve">確認の記録</t>
  </si>
  <si>
    <t xml:space="preserve">No</t>
  </si>
  <si>
    <t xml:space="preserve">場面</t>
  </si>
  <si>
    <t xml:space="preserve">活動</t>
  </si>
  <si>
    <t xml:space="preserve">一般論の想定</t>
  </si>
  <si>
    <t xml:space="preserve">想定の理由</t>
  </si>
  <si>
    <t xml:space="preserve">資料の現在の記述（章・節）</t>
  </si>
  <si>
    <t xml:space="preserve">購買規程の該当条項</t>
  </si>
  <si>
    <t xml:space="preserve">購買部門の見解</t>
  </si>
  <si>
    <t xml:space="preserve">条件・留意点</t>
  </si>
  <si>
    <t xml:space="preserve">VMO</t>
  </si>
  <si>
    <r>
      <rPr>
        <b val="true"/>
        <sz val="10"/>
        <rFont val="Meiryo UI"/>
        <family val="0"/>
        <charset val="1"/>
      </rPr>
      <t xml:space="preserve">IT</t>
    </r>
    <r>
      <rPr>
        <b val="true"/>
        <sz val="10"/>
        <rFont val="Noto Sans CJK SC"/>
        <family val="2"/>
      </rPr>
      <t xml:space="preserve">担当</t>
    </r>
  </si>
  <si>
    <t xml:space="preserve">購買</t>
  </si>
  <si>
    <t xml:space="preserve">予算責任者</t>
  </si>
  <si>
    <t xml:space="preserve">状態</t>
  </si>
  <si>
    <t xml:space="preserve">確認日</t>
  </si>
  <si>
    <t xml:space="preserve">確認者（購買部門）</t>
  </si>
  <si>
    <t xml:space="preserve">備考</t>
  </si>
  <si>
    <t xml:space="preserve">情報・台帳</t>
  </si>
  <si>
    <t xml:space="preserve">ベンダー・契約・費用・更新日・利用実態の台帳を整備する</t>
  </si>
  <si>
    <t xml:space="preserve">可</t>
  </si>
  <si>
    <t xml:space="preserve">社内の情報整理で、ベンダーへの意思表示を伴わない</t>
  </si>
  <si>
    <r>
      <rPr>
        <sz val="10"/>
        <rFont val="Meiryo UI"/>
        <family val="0"/>
        <charset val="1"/>
      </rPr>
      <t xml:space="preserve">1.4.1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3.3</t>
    </r>
  </si>
  <si>
    <t xml:space="preserve">A/R</t>
  </si>
  <si>
    <t xml:space="preserve">C</t>
  </si>
  <si>
    <t xml:space="preserve">I</t>
  </si>
  <si>
    <t xml:space="preserve">未確認</t>
  </si>
  <si>
    <t xml:space="preserve">購買が持つ契約書・価格情報の提供を受け、台帳と突き合わせる</t>
  </si>
  <si>
    <t xml:space="preserve">グレー</t>
  </si>
  <si>
    <t xml:space="preserve">購買の保有情報で、開示には購買の合意が要る</t>
  </si>
  <si>
    <r>
      <rPr>
        <sz val="10"/>
        <rFont val="Meiryo UI"/>
        <family val="0"/>
        <charset val="1"/>
      </rPr>
      <t xml:space="preserve">3.3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4.4 </t>
    </r>
    <r>
      <rPr>
        <sz val="10"/>
        <rFont val="Noto Sans CJK SC"/>
        <family val="2"/>
      </rPr>
      <t xml:space="preserve">ステップ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（契約情報との突き合わせ）</t>
    </r>
  </si>
  <si>
    <t xml:space="preserve">R</t>
  </si>
  <si>
    <t xml:space="preserve">A</t>
  </si>
  <si>
    <r>
      <rPr>
        <sz val="10"/>
        <rFont val="Noto Sans CJK SC"/>
        <family val="2"/>
      </rPr>
      <t xml:space="preserve">更新カレンダーを作り、解約通知期限の前に</t>
    </r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担当へ声をかける</t>
    </r>
  </si>
  <si>
    <t xml:space="preserve">社内への声がけで、ベンダーとの渉外ではない</t>
  </si>
  <si>
    <r>
      <rPr>
        <sz val="10"/>
        <rFont val="Meiryo UI"/>
        <family val="0"/>
        <charset val="1"/>
      </rPr>
      <t xml:space="preserve">1.2.1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3.3</t>
    </r>
  </si>
  <si>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部門内の運用ルールを定める（ベンダー情報の登録、発注依頼前の相談の推奨）</t>
    </r>
  </si>
  <si>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部門内の運用で、権限規程に触れない</t>
    </r>
  </si>
  <si>
    <t xml:space="preserve">2.9</t>
  </si>
  <si>
    <r>
      <rPr>
        <sz val="10"/>
        <rFont val="Noto Sans CJK SC"/>
        <family val="2"/>
      </rPr>
      <t xml:space="preserve">発注依頼の前に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への相談を必須にする</t>
    </r>
  </si>
  <si>
    <t xml:space="preserve">事実上の承認ゲートになり、分掌の変更にあたるおそれ</t>
  </si>
  <si>
    <r>
      <rPr>
        <sz val="10"/>
        <rFont val="Meiryo UI"/>
        <family val="0"/>
        <charset val="1"/>
      </rPr>
      <t xml:space="preserve">2.5</t>
    </r>
    <r>
      <rPr>
        <sz val="10"/>
        <rFont val="Noto Sans CJK SC"/>
        <family val="2"/>
      </rPr>
      <t xml:space="preserve">（早期相談は推奨で、必須ではない）</t>
    </r>
  </si>
  <si>
    <t xml:space="preserve">各ファンクション・他部門に情報の提出を義務づける</t>
  </si>
  <si>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部門内の運用ルールの範囲を超える</t>
    </r>
  </si>
  <si>
    <t xml:space="preserve">記述なし</t>
  </si>
  <si>
    <t xml:space="preserve">分析・計画</t>
  </si>
  <si>
    <t xml:space="preserve">重複・ライセンス余剰・集約の余地を分析する</t>
  </si>
  <si>
    <t xml:space="preserve">社内の分析</t>
  </si>
  <si>
    <r>
      <rPr>
        <sz val="10"/>
        <rFont val="Meiryo UI"/>
        <family val="0"/>
        <charset val="1"/>
      </rPr>
      <t xml:space="preserve">3.4.3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4.4</t>
    </r>
  </si>
  <si>
    <t xml:space="preserve">更新カレンダーと予算の見通しを作る</t>
  </si>
  <si>
    <r>
      <rPr>
        <sz val="10"/>
        <rFont val="Meiryo UI"/>
        <family val="0"/>
        <charset val="1"/>
      </rPr>
      <t xml:space="preserve">3.4.3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4.4 </t>
    </r>
    <r>
      <rPr>
        <sz val="10"/>
        <rFont val="Noto Sans CJK SC"/>
        <family val="2"/>
      </rPr>
      <t xml:space="preserve">ステップ</t>
    </r>
    <r>
      <rPr>
        <sz val="10"/>
        <rFont val="Meiryo UI"/>
        <family val="0"/>
        <charset val="1"/>
      </rPr>
      <t xml:space="preserve">5</t>
    </r>
  </si>
  <si>
    <t xml:space="preserve">削減目標の根拠をつくり、目標設定を支援する</t>
  </si>
  <si>
    <t xml:space="preserve">目標の決定は予算責任者</t>
  </si>
  <si>
    <t xml:space="preserve">4.3</t>
  </si>
  <si>
    <r>
      <rPr>
        <sz val="10"/>
        <rFont val="Noto Sans CJK SC"/>
        <family val="2"/>
      </rPr>
      <t xml:space="preserve">ベンダーの</t>
    </r>
    <r>
      <rPr>
        <sz val="10"/>
        <rFont val="Meiryo UI"/>
        <family val="0"/>
        <charset val="1"/>
      </rPr>
      <t xml:space="preserve">Tier</t>
    </r>
    <r>
      <rPr>
        <sz val="10"/>
        <rFont val="Noto Sans CJK SC"/>
        <family val="2"/>
      </rPr>
      <t xml:space="preserve">を判定し、ベンダー戦略を立てる</t>
    </r>
  </si>
  <si>
    <t xml:space="preserve">ベンダー戦略が購買の調達方針と重なる可能性</t>
  </si>
  <si>
    <r>
      <rPr>
        <sz val="10"/>
        <rFont val="Meiryo UI"/>
        <family val="0"/>
        <charset val="1"/>
      </rPr>
      <t xml:space="preserve">1.4.2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3.3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Tier</t>
    </r>
    <r>
      <rPr>
        <sz val="10"/>
        <rFont val="Noto Sans CJK SC"/>
        <family val="2"/>
      </rPr>
      <t xml:space="preserve">の定義は調達部門と合意）</t>
    </r>
  </si>
  <si>
    <r>
      <rPr>
        <sz val="10"/>
        <rFont val="Meiryo UI"/>
        <family val="0"/>
        <charset val="1"/>
      </rPr>
      <t xml:space="preserve">Tier3</t>
    </r>
    <r>
      <rPr>
        <sz val="10"/>
        <rFont val="Noto Sans CJK SC"/>
        <family val="2"/>
      </rPr>
      <t xml:space="preserve">の統合・</t>
    </r>
    <r>
      <rPr>
        <sz val="10"/>
        <rFont val="Meiryo UI"/>
        <family val="0"/>
        <charset val="1"/>
      </rPr>
      <t xml:space="preserve">Tier4</t>
    </r>
    <r>
      <rPr>
        <sz val="10"/>
        <rFont val="Noto Sans CJK SC"/>
        <family val="2"/>
      </rPr>
      <t xml:space="preserve">の巻き取りを協議し、扱いを決める</t>
    </r>
  </si>
  <si>
    <r>
      <rPr>
        <sz val="10"/>
        <rFont val="Noto Sans CJK SC"/>
        <family val="2"/>
      </rPr>
      <t xml:space="preserve">決定の主体（購買か</t>
    </r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担当か）が規程上どちらか</t>
    </r>
  </si>
  <si>
    <r>
      <rPr>
        <sz val="10"/>
        <rFont val="Meiryo UI"/>
        <family val="0"/>
        <charset val="1"/>
      </rPr>
      <t xml:space="preserve">1.4.2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3.3</t>
    </r>
    <r>
      <rPr>
        <sz val="10"/>
        <rFont val="Noto Sans CJK SC"/>
        <family val="2"/>
      </rPr>
      <t xml:space="preserve">（四半期ごとに決定）</t>
    </r>
  </si>
  <si>
    <t xml:space="preserve">選定</t>
  </si>
  <si>
    <t xml:space="preserve">業務・技術要件を整理し、技術評価を行う</t>
  </si>
  <si>
    <r>
      <rPr>
        <sz val="10"/>
        <rFont val="Meiryo UI"/>
        <family val="0"/>
        <charset val="1"/>
      </rPr>
      <t xml:space="preserve">IT</t>
    </r>
    <r>
      <rPr>
        <sz val="10"/>
        <rFont val="Noto Sans CJK SC"/>
        <family val="2"/>
      </rPr>
      <t xml:space="preserve">部門の業務</t>
    </r>
  </si>
  <si>
    <t xml:space="preserve">3.4.1</t>
  </si>
  <si>
    <r>
      <rPr>
        <sz val="10"/>
        <rFont val="Meiryo UI"/>
        <family val="0"/>
        <charset val="1"/>
      </rPr>
      <t xml:space="preserve">RFP</t>
    </r>
    <r>
      <rPr>
        <sz val="10"/>
        <rFont val="Noto Sans CJK SC"/>
        <family val="2"/>
      </rPr>
      <t xml:space="preserve">・見積依頼書の技術部分を作成する</t>
    </r>
  </si>
  <si>
    <t xml:space="preserve">購買への入力としての作成</t>
  </si>
  <si>
    <r>
      <rPr>
        <sz val="10"/>
        <rFont val="Meiryo UI"/>
        <family val="0"/>
        <charset val="1"/>
      </rPr>
      <t xml:space="preserve">1.5.2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3.4.2</t>
    </r>
  </si>
  <si>
    <r>
      <rPr>
        <sz val="10"/>
        <rFont val="Meiryo UI"/>
        <family val="0"/>
        <charset val="1"/>
      </rPr>
      <t xml:space="preserve">RFP</t>
    </r>
    <r>
      <rPr>
        <sz val="10"/>
        <rFont val="Noto Sans CJK SC"/>
        <family val="2"/>
      </rPr>
      <t xml:space="preserve">・見積依頼をベンダーへ発出し、質疑を運営する</t>
    </r>
  </si>
  <si>
    <t xml:space="preserve">不可</t>
  </si>
  <si>
    <t xml:space="preserve">ベンダーとの渉外にあたる</t>
  </si>
  <si>
    <r>
      <rPr>
        <sz val="10"/>
        <rFont val="Meiryo UI"/>
        <family val="0"/>
        <charset val="1"/>
      </rPr>
      <t xml:space="preserve">1.5.2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：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）、</t>
    </r>
    <r>
      <rPr>
        <sz val="10"/>
        <rFont val="Meiryo UI"/>
        <family val="0"/>
        <charset val="1"/>
      </rPr>
      <t xml:space="preserve">3.4.2</t>
    </r>
    <r>
      <rPr>
        <sz val="10"/>
        <rFont val="Noto Sans CJK SC"/>
        <family val="2"/>
      </rPr>
      <t xml:space="preserve">（質問への回答を全社に共有）</t>
    </r>
  </si>
  <si>
    <t xml:space="preserve">情報収集のためにベンダーと接触する（製品説明、概算見積の依頼）</t>
  </si>
  <si>
    <t xml:space="preserve">発注前の情報収集が渉外に含まれるか</t>
  </si>
  <si>
    <r>
      <rPr>
        <sz val="10"/>
        <rFont val="Meiryo UI"/>
        <family val="0"/>
        <charset val="1"/>
      </rPr>
      <t xml:space="preserve">3.4.1</t>
    </r>
    <r>
      <rPr>
        <sz val="10"/>
        <rFont val="Noto Sans CJK SC"/>
        <family val="2"/>
      </rPr>
      <t xml:space="preserve">（窓口を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に置く）、</t>
    </r>
    <r>
      <rPr>
        <sz val="10"/>
        <rFont val="Meiryo UI"/>
        <family val="0"/>
        <charset val="1"/>
      </rPr>
      <t xml:space="preserve">3.4.3</t>
    </r>
    <r>
      <rPr>
        <sz val="10"/>
        <rFont val="Noto Sans CJK SC"/>
        <family val="2"/>
      </rPr>
      <t xml:space="preserve">（概算見積の依頼）</t>
    </r>
  </si>
  <si>
    <t xml:space="preserve">選定の推奨を行う</t>
  </si>
  <si>
    <t xml:space="preserve">決定は購買・決裁者</t>
  </si>
  <si>
    <t xml:space="preserve">1.5.2</t>
  </si>
  <si>
    <t xml:space="preserve">ベンダーを選定（決定）する</t>
  </si>
  <si>
    <t xml:space="preserve">購買の権限</t>
  </si>
  <si>
    <r>
      <rPr>
        <sz val="10"/>
        <rFont val="Meiryo UI"/>
        <family val="0"/>
        <charset val="1"/>
      </rPr>
      <t xml:space="preserve">1.5.2</t>
    </r>
    <r>
      <rPr>
        <sz val="10"/>
        <rFont val="Noto Sans CJK SC"/>
        <family val="2"/>
      </rPr>
      <t xml:space="preserve">（依頼部門：</t>
    </r>
    <r>
      <rPr>
        <sz val="10"/>
        <rFont val="Meiryo UI"/>
        <family val="0"/>
        <charset val="1"/>
      </rPr>
      <t xml:space="preserve">A/R</t>
    </r>
    <r>
      <rPr>
        <sz val="10"/>
        <rFont val="Noto Sans CJK SC"/>
        <family val="2"/>
      </rPr>
      <t xml:space="preserve">）</t>
    </r>
  </si>
  <si>
    <t xml:space="preserve">交渉・契約</t>
  </si>
  <si>
    <t xml:space="preserve">交渉方針（目標・論点・譲れる条件）を購買へ提示する</t>
  </si>
  <si>
    <t xml:space="preserve">購買への入力</t>
  </si>
  <si>
    <r>
      <rPr>
        <sz val="10"/>
        <rFont val="Meiryo UI"/>
        <family val="0"/>
        <charset val="1"/>
      </rPr>
      <t xml:space="preserve">4.4 </t>
    </r>
    <r>
      <rPr>
        <sz val="10"/>
        <rFont val="Noto Sans CJK SC"/>
        <family val="2"/>
      </rPr>
      <t xml:space="preserve">ステップ</t>
    </r>
    <r>
      <rPr>
        <sz val="10"/>
        <rFont val="Meiryo UI"/>
        <family val="0"/>
        <charset val="1"/>
      </rPr>
      <t xml:space="preserve">6</t>
    </r>
  </si>
  <si>
    <t xml:space="preserve">購買の同席のもと、交渉の場で技術的な説明をする</t>
  </si>
  <si>
    <t xml:space="preserve">購買の主導下での補助</t>
  </si>
  <si>
    <t xml:space="preserve">価格・条件の交渉を主導する</t>
  </si>
  <si>
    <t xml:space="preserve">購買の専権</t>
  </si>
  <si>
    <r>
      <rPr>
        <sz val="10"/>
        <rFont val="Meiryo UI"/>
        <family val="0"/>
        <charset val="1"/>
      </rPr>
      <t xml:space="preserve">1.2.1</t>
    </r>
    <r>
      <rPr>
        <sz val="10"/>
        <rFont val="Noto Sans CJK SC"/>
        <family val="2"/>
      </rPr>
      <t xml:space="preserve">（交渉の代行）、</t>
    </r>
    <r>
      <rPr>
        <sz val="10"/>
        <rFont val="Meiryo UI"/>
        <family val="0"/>
        <charset val="1"/>
      </rPr>
      <t xml:space="preserve">1.5.2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：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）、</t>
    </r>
    <r>
      <rPr>
        <sz val="10"/>
        <rFont val="Meiryo UI"/>
        <family val="0"/>
        <charset val="1"/>
      </rPr>
      <t xml:space="preserve">3.2.3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4.4 </t>
    </r>
    <r>
      <rPr>
        <sz val="10"/>
        <rFont val="Noto Sans CJK SC"/>
        <family val="2"/>
      </rPr>
      <t xml:space="preserve">ステップ</t>
    </r>
    <r>
      <rPr>
        <sz val="10"/>
        <rFont val="Meiryo UI"/>
        <family val="0"/>
        <charset val="1"/>
      </rPr>
      <t xml:space="preserve">6</t>
    </r>
  </si>
  <si>
    <t xml:space="preserve">条件に合意する（口頭を含む）</t>
  </si>
  <si>
    <t xml:space="preserve">契約の意思表示にあたる</t>
  </si>
  <si>
    <t xml:space="preserve">見積や条件をベンダーに提示してコミットする</t>
  </si>
  <si>
    <t xml:space="preserve">発注、契約の締結・変更・解約の意思表示</t>
  </si>
  <si>
    <r>
      <rPr>
        <sz val="10"/>
        <rFont val="Meiryo UI"/>
        <family val="0"/>
        <charset val="1"/>
      </rPr>
      <t xml:space="preserve">1.5.2</t>
    </r>
    <r>
      <rPr>
        <sz val="10"/>
        <rFont val="Noto Sans CJK SC"/>
        <family val="2"/>
      </rPr>
      <t xml:space="preserve">（購買：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</si>
  <si>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契約条項（</t>
    </r>
    <r>
      <rPr>
        <sz val="10"/>
        <rFont val="Meiryo UI"/>
        <family val="0"/>
        <charset val="1"/>
      </rPr>
      <t xml:space="preserve">SOW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SLA</t>
    </r>
    <r>
      <rPr>
        <sz val="10"/>
        <rFont val="Noto Sans CJK SC"/>
        <family val="2"/>
      </rPr>
      <t xml:space="preserve">・出口条項）の案を作り、点検する</t>
    </r>
  </si>
  <si>
    <t xml:space="preserve">購買・法務への入力としての案文</t>
  </si>
  <si>
    <r>
      <rPr>
        <sz val="10"/>
        <rFont val="Meiryo UI"/>
        <family val="0"/>
        <charset val="1"/>
      </rPr>
      <t xml:space="preserve">1.2.1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1.5.2</t>
    </r>
    <r>
      <rPr>
        <sz val="10"/>
        <rFont val="Noto Sans CJK SC"/>
        <family val="2"/>
      </rPr>
      <t xml:space="preserve">、付録</t>
    </r>
    <r>
      <rPr>
        <sz val="10"/>
        <rFont val="Meiryo UI"/>
        <family val="0"/>
        <charset val="1"/>
      </rPr>
      <t xml:space="preserve">D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E</t>
    </r>
  </si>
  <si>
    <r>
      <rPr>
        <sz val="10"/>
        <rFont val="Meiryo UI"/>
        <family val="0"/>
        <charset val="1"/>
      </rPr>
      <t xml:space="preserve">Tier1</t>
    </r>
    <r>
      <rPr>
        <sz val="10"/>
        <rFont val="Noto Sans CJK SC"/>
        <family val="2"/>
      </rPr>
      <t xml:space="preserve">の来期会議に参加し、削減目標と条件を示す</t>
    </r>
  </si>
  <si>
    <t xml:space="preserve">ベンダーに目標・条件を示すことが渉外にあたるか</t>
  </si>
  <si>
    <r>
      <rPr>
        <sz val="10"/>
        <rFont val="Meiryo UI"/>
        <family val="0"/>
        <charset val="1"/>
      </rPr>
      <t xml:space="preserve">3.3</t>
    </r>
    <r>
      <rPr>
        <sz val="10"/>
        <rFont val="Noto Sans CJK SC"/>
        <family val="2"/>
      </rPr>
      <t xml:space="preserve">（来期会議）、</t>
    </r>
    <r>
      <rPr>
        <sz val="10"/>
        <rFont val="Meiryo UI"/>
        <family val="0"/>
        <charset val="1"/>
      </rPr>
      <t xml:space="preserve">4.4 </t>
    </r>
    <r>
      <rPr>
        <sz val="10"/>
        <rFont val="Noto Sans CJK SC"/>
        <family val="2"/>
      </rPr>
      <t xml:space="preserve">ステップ</t>
    </r>
    <r>
      <rPr>
        <sz val="10"/>
        <rFont val="Meiryo UI"/>
        <family val="0"/>
        <charset val="1"/>
      </rPr>
      <t xml:space="preserve">6</t>
    </r>
  </si>
  <si>
    <t xml:space="preserve">運用・評価</t>
  </si>
  <si>
    <r>
      <rPr>
        <sz val="10"/>
        <rFont val="Noto Sans CJK SC"/>
        <family val="2"/>
      </rPr>
      <t xml:space="preserve">既存契約の範囲で運用の定例会を行う（運用課題、</t>
    </r>
    <r>
      <rPr>
        <sz val="10"/>
        <rFont val="Meiryo UI"/>
        <family val="0"/>
        <charset val="1"/>
      </rPr>
      <t xml:space="preserve">SLA</t>
    </r>
    <r>
      <rPr>
        <sz val="10"/>
        <rFont val="Noto Sans CJK SC"/>
        <family val="2"/>
      </rPr>
      <t xml:space="preserve">の確認）</t>
    </r>
  </si>
  <si>
    <t xml:space="preserve">契約の履行管理で、条件を変えない</t>
  </si>
  <si>
    <r>
      <rPr>
        <sz val="10"/>
        <rFont val="Noto Sans CJK SC"/>
        <family val="2"/>
      </rPr>
      <t xml:space="preserve">付録</t>
    </r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（月次レビュー）</t>
    </r>
  </si>
  <si>
    <r>
      <rPr>
        <sz val="10"/>
        <rFont val="Meiryo UI"/>
        <family val="0"/>
        <charset val="1"/>
      </rPr>
      <t xml:space="preserve">SLA</t>
    </r>
    <r>
      <rPr>
        <sz val="10"/>
        <rFont val="Noto Sans CJK SC"/>
        <family val="2"/>
      </rPr>
      <t xml:space="preserve">・品質をモニタリングし、社内で評価する</t>
    </r>
  </si>
  <si>
    <t xml:space="preserve">社内の評価</t>
  </si>
  <si>
    <t xml:space="preserve">評価結果をベンダーへフィードバックする</t>
  </si>
  <si>
    <t xml:space="preserve">評価の伝達が渉外にあたるか</t>
  </si>
  <si>
    <r>
      <rPr>
        <sz val="10"/>
        <rFont val="Meiryo UI"/>
        <family val="0"/>
        <charset val="1"/>
      </rPr>
      <t xml:space="preserve">1.4.2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3.3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Tier2</t>
    </r>
    <r>
      <rPr>
        <sz val="10"/>
        <rFont val="Noto Sans CJK SC"/>
        <family val="2"/>
      </rPr>
      <t xml:space="preserve">の評価とヒアリング）</t>
    </r>
  </si>
  <si>
    <r>
      <rPr>
        <sz val="10"/>
        <rFont val="Meiryo UI"/>
        <family val="0"/>
        <charset val="1"/>
      </rPr>
      <t xml:space="preserve">SLA</t>
    </r>
    <r>
      <rPr>
        <sz val="10"/>
        <rFont val="Noto Sans CJK SC"/>
        <family val="2"/>
      </rPr>
      <t xml:space="preserve">未達時に改善要求を書面で出す</t>
    </r>
  </si>
  <si>
    <t xml:space="preserve">契約上の権利行使で、渉外にあたる可能性</t>
  </si>
  <si>
    <r>
      <rPr>
        <sz val="10"/>
        <rFont val="Meiryo UI"/>
        <family val="0"/>
        <charset val="1"/>
      </rPr>
      <t xml:space="preserve">1.2.1</t>
    </r>
    <r>
      <rPr>
        <sz val="10"/>
        <rFont val="Noto Sans CJK SC"/>
        <family val="2"/>
      </rPr>
      <t xml:space="preserve">（是正と価格協議）、</t>
    </r>
    <r>
      <rPr>
        <sz val="10"/>
        <rFont val="Meiryo UI"/>
        <family val="0"/>
        <charset val="1"/>
      </rPr>
      <t xml:space="preserve">3.4.3</t>
    </r>
  </si>
  <si>
    <r>
      <rPr>
        <sz val="10"/>
        <rFont val="Meiryo UI"/>
        <family val="0"/>
        <charset val="1"/>
      </rPr>
      <t xml:space="preserve">SLA</t>
    </r>
    <r>
      <rPr>
        <sz val="10"/>
        <rFont val="Noto Sans CJK SC"/>
        <family val="2"/>
      </rPr>
      <t xml:space="preserve">未達時のクレジットに合意する</t>
    </r>
  </si>
  <si>
    <t xml:space="preserve">契約条件の変更・金銭の合意</t>
  </si>
  <si>
    <t xml:space="preserve">値上げ通知に回答する、回答期限の延長を申し入れる</t>
  </si>
  <si>
    <t xml:space="preserve">ベンダーとの渉外</t>
  </si>
  <si>
    <r>
      <rPr>
        <sz val="10"/>
        <rFont val="Meiryo UI"/>
        <family val="0"/>
        <charset val="1"/>
      </rPr>
      <t xml:space="preserve">3.4.3</t>
    </r>
    <r>
      <rPr>
        <sz val="10"/>
        <rFont val="Noto Sans CJK SC"/>
        <family val="2"/>
      </rPr>
      <t xml:space="preserve">（期限の延長を申し入れる）</t>
    </r>
  </si>
  <si>
    <t xml:space="preserve">契約の範囲外の文書作成をベンダーに依頼する</t>
  </si>
  <si>
    <t xml:space="preserve">契約条件の変更にあたる</t>
  </si>
  <si>
    <r>
      <rPr>
        <sz val="10"/>
        <rFont val="Noto Sans CJK SC"/>
        <family val="2"/>
      </rPr>
      <t xml:space="preserve">購買を介さずベンダーと渉外する、「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が窓口」と名乗る</t>
    </r>
  </si>
  <si>
    <r>
      <rPr>
        <sz val="10"/>
        <rFont val="Meiryo UI"/>
        <family val="0"/>
        <charset val="1"/>
      </rPr>
      <t xml:space="preserve">3.4.1</t>
    </r>
    <r>
      <rPr>
        <sz val="10"/>
        <rFont val="Noto Sans CJK SC"/>
        <family val="2"/>
      </rPr>
      <t xml:space="preserve">（窓口を</t>
    </r>
    <r>
      <rPr>
        <sz val="10"/>
        <rFont val="Meiryo UI"/>
        <family val="0"/>
        <charset val="1"/>
      </rPr>
      <t xml:space="preserve">VMO</t>
    </r>
    <r>
      <rPr>
        <sz val="10"/>
        <rFont val="Noto Sans CJK SC"/>
        <family val="2"/>
      </rPr>
      <t xml:space="preserve">に置く）</t>
    </r>
  </si>
  <si>
    <t xml:space="preserve">評価の低いベンダーを事実上排除する（声をかけない、出入りを止める）</t>
  </si>
  <si>
    <t xml:space="preserve">取引先の選別は購買の権限</t>
  </si>
  <si>
    <t xml:space="preserve">予算</t>
  </si>
  <si>
    <t xml:space="preserve">予実を分析する</t>
  </si>
  <si>
    <t xml:space="preserve">予算の承認・執行を実質的に決裁する</t>
  </si>
  <si>
    <t xml:space="preserve">予算責任者・財務の権限</t>
  </si>
  <si>
    <r>
      <rPr>
        <b val="true"/>
        <sz val="10"/>
        <rFont val="Noto Sans CJK SC"/>
        <family val="2"/>
      </rPr>
      <t xml:space="preserve">一般論の想定 </t>
    </r>
    <r>
      <rPr>
        <b val="true"/>
        <sz val="10"/>
        <rFont val="Meiryo UI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購買部門の見解（件数）</t>
    </r>
  </si>
  <si>
    <t xml:space="preserve">想定＼見解</t>
  </si>
  <si>
    <t xml:space="preserve">条件付きで可</t>
  </si>
  <si>
    <t xml:space="preserve">要協議</t>
  </si>
  <si>
    <t xml:space="preserve">未記入</t>
  </si>
  <si>
    <t xml:space="preserve">計</t>
  </si>
  <si>
    <t xml:space="preserve">確認の状態（件数）</t>
  </si>
  <si>
    <t xml:space="preserve">確認中</t>
  </si>
  <si>
    <t xml:space="preserve">合意済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</si>
</sst>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Meiryo UI"/>
      <family val="0"/>
      <charset val="1"/>
    </font>
    <font>
      <sz val="10"/>
      <name val="Noto Sans CJK SC"/>
      <family val="2"/>
    </font>
    <font>
      <b val="true"/>
      <sz val="10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eiryo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D6DCE4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6DC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B08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9.85" hidden="false" customHeight="false" outlineLevel="0" collapsed="false">
      <c r="A7" s="5" t="s">
        <v>4</v>
      </c>
    </row>
    <row r="8" customFormat="false" ht="29.8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5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5" t="s">
        <v>17</v>
      </c>
    </row>
    <row r="24" customFormat="false" ht="29.85" hidden="false" customHeight="false" outlineLevel="0" collapsed="false">
      <c r="A2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6" min="5" style="0" width="30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2" min="10" style="0" width="7"/>
    <col collapsed="false" customWidth="true" hidden="false" outlineLevel="0" max="13" min="13" style="0" width="8"/>
    <col collapsed="false" customWidth="true" hidden="false" outlineLevel="0" max="16" min="14" style="0" width="7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1" min="21" style="0" width="25"/>
  </cols>
  <sheetData>
    <row r="1" customFormat="false" ht="15" hidden="false" customHeight="false" outlineLevel="0" collapsed="false">
      <c r="A1" s="6" t="s">
        <v>19</v>
      </c>
      <c r="B1" s="6"/>
      <c r="C1" s="6"/>
      <c r="D1" s="6"/>
      <c r="E1" s="6"/>
      <c r="F1" s="6"/>
      <c r="G1" s="6" t="s">
        <v>20</v>
      </c>
      <c r="H1" s="6"/>
      <c r="I1" s="6"/>
      <c r="J1" s="7" t="s">
        <v>21</v>
      </c>
      <c r="K1" s="7"/>
      <c r="L1" s="7"/>
      <c r="M1" s="7"/>
      <c r="N1" s="7" t="s">
        <v>22</v>
      </c>
      <c r="O1" s="7"/>
      <c r="P1" s="7"/>
      <c r="Q1" s="7"/>
      <c r="R1" s="6" t="s">
        <v>23</v>
      </c>
      <c r="S1" s="6"/>
      <c r="T1" s="6"/>
      <c r="U1" s="6"/>
    </row>
    <row r="2" customFormat="false" ht="30" hidden="false" customHeight="true" outlineLevel="0" collapsed="false">
      <c r="A2" s="8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8" t="s">
        <v>33</v>
      </c>
      <c r="K2" s="8" t="s">
        <v>34</v>
      </c>
      <c r="L2" s="9" t="s">
        <v>35</v>
      </c>
      <c r="M2" s="9" t="s">
        <v>36</v>
      </c>
      <c r="N2" s="8" t="s">
        <v>33</v>
      </c>
      <c r="O2" s="8" t="s">
        <v>34</v>
      </c>
      <c r="P2" s="9" t="s">
        <v>35</v>
      </c>
      <c r="Q2" s="9" t="s">
        <v>36</v>
      </c>
      <c r="R2" s="9" t="s">
        <v>37</v>
      </c>
      <c r="S2" s="9" t="s">
        <v>38</v>
      </c>
      <c r="T2" s="9" t="s">
        <v>39</v>
      </c>
      <c r="U2" s="9" t="s">
        <v>40</v>
      </c>
    </row>
    <row r="3" customFormat="false" ht="29.85" hidden="false" customHeight="false" outlineLevel="0" collapsed="false">
      <c r="A3" s="10" t="n">
        <v>1</v>
      </c>
      <c r="B3" s="11" t="s">
        <v>41</v>
      </c>
      <c r="C3" s="11" t="s">
        <v>42</v>
      </c>
      <c r="D3" s="12" t="s">
        <v>43</v>
      </c>
      <c r="E3" s="11" t="s">
        <v>44</v>
      </c>
      <c r="F3" s="13" t="s">
        <v>45</v>
      </c>
      <c r="G3" s="14"/>
      <c r="H3" s="15"/>
      <c r="I3" s="14"/>
      <c r="J3" s="10" t="s">
        <v>46</v>
      </c>
      <c r="K3" s="10" t="s">
        <v>47</v>
      </c>
      <c r="L3" s="10" t="s">
        <v>47</v>
      </c>
      <c r="M3" s="10" t="s">
        <v>48</v>
      </c>
      <c r="N3" s="15"/>
      <c r="O3" s="15"/>
      <c r="P3" s="15"/>
      <c r="Q3" s="15"/>
      <c r="R3" s="16" t="s">
        <v>49</v>
      </c>
      <c r="S3" s="17"/>
      <c r="T3" s="14"/>
      <c r="U3" s="14"/>
    </row>
    <row r="4" customFormat="false" ht="29.85" hidden="false" customHeight="false" outlineLevel="0" collapsed="false">
      <c r="A4" s="10" t="n">
        <v>2</v>
      </c>
      <c r="B4" s="11" t="s">
        <v>41</v>
      </c>
      <c r="C4" s="11" t="s">
        <v>50</v>
      </c>
      <c r="D4" s="12" t="s">
        <v>51</v>
      </c>
      <c r="E4" s="11" t="s">
        <v>52</v>
      </c>
      <c r="F4" s="13" t="s">
        <v>53</v>
      </c>
      <c r="G4" s="14"/>
      <c r="H4" s="15"/>
      <c r="I4" s="14"/>
      <c r="J4" s="10" t="s">
        <v>54</v>
      </c>
      <c r="K4" s="10" t="s">
        <v>47</v>
      </c>
      <c r="L4" s="10" t="s">
        <v>55</v>
      </c>
      <c r="M4" s="10" t="s">
        <v>48</v>
      </c>
      <c r="N4" s="15"/>
      <c r="O4" s="15"/>
      <c r="P4" s="15"/>
      <c r="Q4" s="15"/>
      <c r="R4" s="16" t="s">
        <v>49</v>
      </c>
      <c r="S4" s="17"/>
      <c r="T4" s="14"/>
      <c r="U4" s="14"/>
    </row>
    <row r="5" customFormat="false" ht="29.85" hidden="false" customHeight="false" outlineLevel="0" collapsed="false">
      <c r="A5" s="10" t="n">
        <v>3</v>
      </c>
      <c r="B5" s="11" t="s">
        <v>41</v>
      </c>
      <c r="C5" s="11" t="s">
        <v>56</v>
      </c>
      <c r="D5" s="12" t="s">
        <v>43</v>
      </c>
      <c r="E5" s="11" t="s">
        <v>57</v>
      </c>
      <c r="F5" s="13" t="s">
        <v>58</v>
      </c>
      <c r="G5" s="14"/>
      <c r="H5" s="15"/>
      <c r="I5" s="14"/>
      <c r="J5" s="10" t="s">
        <v>46</v>
      </c>
      <c r="K5" s="10" t="s">
        <v>47</v>
      </c>
      <c r="L5" s="10" t="s">
        <v>48</v>
      </c>
      <c r="M5" s="10" t="s">
        <v>48</v>
      </c>
      <c r="N5" s="15"/>
      <c r="O5" s="15"/>
      <c r="P5" s="15"/>
      <c r="Q5" s="15"/>
      <c r="R5" s="16" t="s">
        <v>49</v>
      </c>
      <c r="S5" s="17"/>
      <c r="T5" s="14"/>
      <c r="U5" s="14"/>
    </row>
    <row r="6" customFormat="false" ht="29.85" hidden="false" customHeight="false" outlineLevel="0" collapsed="false">
      <c r="A6" s="10" t="n">
        <v>4</v>
      </c>
      <c r="B6" s="11" t="s">
        <v>41</v>
      </c>
      <c r="C6" s="13" t="s">
        <v>59</v>
      </c>
      <c r="D6" s="12" t="s">
        <v>43</v>
      </c>
      <c r="E6" s="13" t="s">
        <v>60</v>
      </c>
      <c r="F6" s="13" t="s">
        <v>61</v>
      </c>
      <c r="G6" s="14"/>
      <c r="H6" s="15"/>
      <c r="I6" s="14"/>
      <c r="J6" s="10" t="s">
        <v>54</v>
      </c>
      <c r="K6" s="10" t="s">
        <v>47</v>
      </c>
      <c r="L6" s="10" t="s">
        <v>48</v>
      </c>
      <c r="M6" s="10" t="s">
        <v>55</v>
      </c>
      <c r="N6" s="15"/>
      <c r="O6" s="15"/>
      <c r="P6" s="15"/>
      <c r="Q6" s="15"/>
      <c r="R6" s="16" t="s">
        <v>49</v>
      </c>
      <c r="S6" s="17"/>
      <c r="T6" s="14"/>
      <c r="U6" s="14"/>
    </row>
    <row r="7" customFormat="false" ht="29.85" hidden="false" customHeight="false" outlineLevel="0" collapsed="false">
      <c r="A7" s="10" t="n">
        <v>5</v>
      </c>
      <c r="B7" s="11" t="s">
        <v>41</v>
      </c>
      <c r="C7" s="11" t="s">
        <v>62</v>
      </c>
      <c r="D7" s="12" t="s">
        <v>51</v>
      </c>
      <c r="E7" s="11" t="s">
        <v>63</v>
      </c>
      <c r="F7" s="13" t="s">
        <v>64</v>
      </c>
      <c r="G7" s="14"/>
      <c r="H7" s="15"/>
      <c r="I7" s="14"/>
      <c r="J7" s="10"/>
      <c r="K7" s="10"/>
      <c r="L7" s="10"/>
      <c r="M7" s="10"/>
      <c r="N7" s="15"/>
      <c r="O7" s="15"/>
      <c r="P7" s="15"/>
      <c r="Q7" s="15"/>
      <c r="R7" s="16" t="s">
        <v>49</v>
      </c>
      <c r="S7" s="17"/>
      <c r="T7" s="14"/>
      <c r="U7" s="14"/>
    </row>
    <row r="8" customFormat="false" ht="29.85" hidden="false" customHeight="false" outlineLevel="0" collapsed="false">
      <c r="A8" s="10" t="n">
        <v>6</v>
      </c>
      <c r="B8" s="11" t="s">
        <v>41</v>
      </c>
      <c r="C8" s="11" t="s">
        <v>65</v>
      </c>
      <c r="D8" s="12" t="s">
        <v>51</v>
      </c>
      <c r="E8" s="13" t="s">
        <v>66</v>
      </c>
      <c r="F8" s="11" t="s">
        <v>67</v>
      </c>
      <c r="G8" s="14"/>
      <c r="H8" s="15"/>
      <c r="I8" s="14"/>
      <c r="J8" s="10"/>
      <c r="K8" s="10"/>
      <c r="L8" s="10"/>
      <c r="M8" s="10"/>
      <c r="N8" s="15"/>
      <c r="O8" s="15"/>
      <c r="P8" s="15"/>
      <c r="Q8" s="15"/>
      <c r="R8" s="16" t="s">
        <v>49</v>
      </c>
      <c r="S8" s="17"/>
      <c r="T8" s="14"/>
      <c r="U8" s="14"/>
    </row>
    <row r="9" customFormat="false" ht="15" hidden="false" customHeight="false" outlineLevel="0" collapsed="false">
      <c r="A9" s="10" t="n">
        <v>7</v>
      </c>
      <c r="B9" s="11" t="s">
        <v>68</v>
      </c>
      <c r="C9" s="11" t="s">
        <v>69</v>
      </c>
      <c r="D9" s="12" t="s">
        <v>43</v>
      </c>
      <c r="E9" s="11" t="s">
        <v>70</v>
      </c>
      <c r="F9" s="13" t="s">
        <v>71</v>
      </c>
      <c r="G9" s="14"/>
      <c r="H9" s="15"/>
      <c r="I9" s="14"/>
      <c r="J9" s="10" t="s">
        <v>54</v>
      </c>
      <c r="K9" s="10" t="s">
        <v>47</v>
      </c>
      <c r="L9" s="10" t="s">
        <v>47</v>
      </c>
      <c r="M9" s="10" t="s">
        <v>55</v>
      </c>
      <c r="N9" s="15"/>
      <c r="O9" s="15"/>
      <c r="P9" s="15"/>
      <c r="Q9" s="15"/>
      <c r="R9" s="16" t="s">
        <v>49</v>
      </c>
      <c r="S9" s="17"/>
      <c r="T9" s="14"/>
      <c r="U9" s="14"/>
    </row>
    <row r="10" customFormat="false" ht="15" hidden="false" customHeight="false" outlineLevel="0" collapsed="false">
      <c r="A10" s="10" t="n">
        <v>8</v>
      </c>
      <c r="B10" s="11" t="s">
        <v>68</v>
      </c>
      <c r="C10" s="11" t="s">
        <v>72</v>
      </c>
      <c r="D10" s="12" t="s">
        <v>43</v>
      </c>
      <c r="E10" s="11" t="s">
        <v>70</v>
      </c>
      <c r="F10" s="13" t="s">
        <v>73</v>
      </c>
      <c r="G10" s="14"/>
      <c r="H10" s="15"/>
      <c r="I10" s="14"/>
      <c r="J10" s="10" t="s">
        <v>54</v>
      </c>
      <c r="K10" s="10" t="s">
        <v>47</v>
      </c>
      <c r="L10" s="10" t="s">
        <v>48</v>
      </c>
      <c r="M10" s="10" t="s">
        <v>55</v>
      </c>
      <c r="N10" s="15"/>
      <c r="O10" s="15"/>
      <c r="P10" s="15"/>
      <c r="Q10" s="15"/>
      <c r="R10" s="16" t="s">
        <v>49</v>
      </c>
      <c r="S10" s="17"/>
      <c r="T10" s="14"/>
      <c r="U10" s="14"/>
    </row>
    <row r="11" customFormat="false" ht="15" hidden="false" customHeight="false" outlineLevel="0" collapsed="false">
      <c r="A11" s="10" t="n">
        <v>9</v>
      </c>
      <c r="B11" s="11" t="s">
        <v>68</v>
      </c>
      <c r="C11" s="11" t="s">
        <v>74</v>
      </c>
      <c r="D11" s="12" t="s">
        <v>43</v>
      </c>
      <c r="E11" s="11" t="s">
        <v>75</v>
      </c>
      <c r="F11" s="13" t="s">
        <v>76</v>
      </c>
      <c r="G11" s="14"/>
      <c r="H11" s="15"/>
      <c r="I11" s="14"/>
      <c r="J11" s="10" t="s">
        <v>54</v>
      </c>
      <c r="K11" s="10" t="s">
        <v>47</v>
      </c>
      <c r="L11" s="10" t="s">
        <v>47</v>
      </c>
      <c r="M11" s="10" t="s">
        <v>55</v>
      </c>
      <c r="N11" s="15"/>
      <c r="O11" s="15"/>
      <c r="P11" s="15"/>
      <c r="Q11" s="15"/>
      <c r="R11" s="16" t="s">
        <v>49</v>
      </c>
      <c r="S11" s="17"/>
      <c r="T11" s="14"/>
      <c r="U11" s="14"/>
    </row>
    <row r="12" customFormat="false" ht="29.85" hidden="false" customHeight="false" outlineLevel="0" collapsed="false">
      <c r="A12" s="10" t="n">
        <v>10</v>
      </c>
      <c r="B12" s="11" t="s">
        <v>68</v>
      </c>
      <c r="C12" s="11" t="s">
        <v>77</v>
      </c>
      <c r="D12" s="12" t="s">
        <v>51</v>
      </c>
      <c r="E12" s="11" t="s">
        <v>78</v>
      </c>
      <c r="F12" s="13" t="s">
        <v>79</v>
      </c>
      <c r="G12" s="14"/>
      <c r="H12" s="15"/>
      <c r="I12" s="14"/>
      <c r="J12" s="10" t="s">
        <v>54</v>
      </c>
      <c r="K12" s="10" t="s">
        <v>47</v>
      </c>
      <c r="L12" s="10" t="s">
        <v>55</v>
      </c>
      <c r="M12" s="10" t="s">
        <v>48</v>
      </c>
      <c r="N12" s="15"/>
      <c r="O12" s="15"/>
      <c r="P12" s="15"/>
      <c r="Q12" s="15"/>
      <c r="R12" s="16" t="s">
        <v>49</v>
      </c>
      <c r="S12" s="17"/>
      <c r="T12" s="14"/>
      <c r="U12" s="14"/>
    </row>
    <row r="13" customFormat="false" ht="29.85" hidden="false" customHeight="false" outlineLevel="0" collapsed="false">
      <c r="A13" s="10" t="n">
        <v>11</v>
      </c>
      <c r="B13" s="11" t="s">
        <v>68</v>
      </c>
      <c r="C13" s="13" t="s">
        <v>80</v>
      </c>
      <c r="D13" s="12" t="s">
        <v>51</v>
      </c>
      <c r="E13" s="11" t="s">
        <v>81</v>
      </c>
      <c r="F13" s="13" t="s">
        <v>82</v>
      </c>
      <c r="G13" s="14"/>
      <c r="H13" s="15"/>
      <c r="I13" s="14"/>
      <c r="J13" s="10" t="s">
        <v>54</v>
      </c>
      <c r="K13" s="10" t="s">
        <v>47</v>
      </c>
      <c r="L13" s="10" t="s">
        <v>55</v>
      </c>
      <c r="M13" s="10" t="s">
        <v>48</v>
      </c>
      <c r="N13" s="15"/>
      <c r="O13" s="15"/>
      <c r="P13" s="15"/>
      <c r="Q13" s="15"/>
      <c r="R13" s="16" t="s">
        <v>49</v>
      </c>
      <c r="S13" s="17"/>
      <c r="T13" s="14"/>
      <c r="U13" s="14"/>
    </row>
    <row r="14" customFormat="false" ht="15" hidden="false" customHeight="false" outlineLevel="0" collapsed="false">
      <c r="A14" s="10" t="n">
        <v>12</v>
      </c>
      <c r="B14" s="11" t="s">
        <v>83</v>
      </c>
      <c r="C14" s="11" t="s">
        <v>84</v>
      </c>
      <c r="D14" s="12" t="s">
        <v>43</v>
      </c>
      <c r="E14" s="13" t="s">
        <v>85</v>
      </c>
      <c r="F14" s="13" t="s">
        <v>86</v>
      </c>
      <c r="G14" s="14"/>
      <c r="H14" s="15"/>
      <c r="I14" s="14"/>
      <c r="J14" s="10" t="s">
        <v>47</v>
      </c>
      <c r="K14" s="10" t="s">
        <v>46</v>
      </c>
      <c r="L14" s="10" t="s">
        <v>48</v>
      </c>
      <c r="M14" s="10" t="s">
        <v>48</v>
      </c>
      <c r="N14" s="15"/>
      <c r="O14" s="15"/>
      <c r="P14" s="15"/>
      <c r="Q14" s="15"/>
      <c r="R14" s="16" t="s">
        <v>49</v>
      </c>
      <c r="S14" s="17"/>
      <c r="T14" s="14"/>
      <c r="U14" s="14"/>
    </row>
    <row r="15" customFormat="false" ht="15" hidden="false" customHeight="false" outlineLevel="0" collapsed="false">
      <c r="A15" s="10" t="n">
        <v>13</v>
      </c>
      <c r="B15" s="11" t="s">
        <v>83</v>
      </c>
      <c r="C15" s="13" t="s">
        <v>87</v>
      </c>
      <c r="D15" s="12" t="s">
        <v>43</v>
      </c>
      <c r="E15" s="11" t="s">
        <v>88</v>
      </c>
      <c r="F15" s="13" t="s">
        <v>89</v>
      </c>
      <c r="G15" s="14"/>
      <c r="H15" s="15"/>
      <c r="I15" s="14"/>
      <c r="J15" s="10" t="s">
        <v>54</v>
      </c>
      <c r="K15" s="10" t="s">
        <v>55</v>
      </c>
      <c r="L15" s="10" t="s">
        <v>47</v>
      </c>
      <c r="M15" s="10" t="s">
        <v>48</v>
      </c>
      <c r="N15" s="15"/>
      <c r="O15" s="15"/>
      <c r="P15" s="15"/>
      <c r="Q15" s="15"/>
      <c r="R15" s="16" t="s">
        <v>49</v>
      </c>
      <c r="S15" s="17"/>
      <c r="T15" s="14"/>
      <c r="U15" s="14"/>
    </row>
    <row r="16" customFormat="false" ht="29.85" hidden="false" customHeight="false" outlineLevel="0" collapsed="false">
      <c r="A16" s="10" t="n">
        <v>14</v>
      </c>
      <c r="B16" s="11" t="s">
        <v>83</v>
      </c>
      <c r="C16" s="13" t="s">
        <v>90</v>
      </c>
      <c r="D16" s="12" t="s">
        <v>91</v>
      </c>
      <c r="E16" s="11" t="s">
        <v>92</v>
      </c>
      <c r="F16" s="13" t="s">
        <v>93</v>
      </c>
      <c r="G16" s="14"/>
      <c r="H16" s="15"/>
      <c r="I16" s="14"/>
      <c r="J16" s="10" t="s">
        <v>47</v>
      </c>
      <c r="K16" s="10" t="s">
        <v>47</v>
      </c>
      <c r="L16" s="10" t="s">
        <v>46</v>
      </c>
      <c r="M16" s="10" t="s">
        <v>48</v>
      </c>
      <c r="N16" s="15"/>
      <c r="O16" s="15"/>
      <c r="P16" s="15"/>
      <c r="Q16" s="15"/>
      <c r="R16" s="16" t="s">
        <v>49</v>
      </c>
      <c r="S16" s="17"/>
      <c r="T16" s="14"/>
      <c r="U16" s="14"/>
    </row>
    <row r="17" customFormat="false" ht="29.85" hidden="false" customHeight="false" outlineLevel="0" collapsed="false">
      <c r="A17" s="10" t="n">
        <v>15</v>
      </c>
      <c r="B17" s="11" t="s">
        <v>83</v>
      </c>
      <c r="C17" s="11" t="s">
        <v>94</v>
      </c>
      <c r="D17" s="12" t="s">
        <v>51</v>
      </c>
      <c r="E17" s="11" t="s">
        <v>95</v>
      </c>
      <c r="F17" s="13" t="s">
        <v>96</v>
      </c>
      <c r="G17" s="14"/>
      <c r="H17" s="15"/>
      <c r="I17" s="14"/>
      <c r="J17" s="10"/>
      <c r="K17" s="10"/>
      <c r="L17" s="10"/>
      <c r="M17" s="10"/>
      <c r="N17" s="15"/>
      <c r="O17" s="15"/>
      <c r="P17" s="15"/>
      <c r="Q17" s="15"/>
      <c r="R17" s="16" t="s">
        <v>49</v>
      </c>
      <c r="S17" s="17"/>
      <c r="T17" s="14"/>
      <c r="U17" s="14"/>
    </row>
    <row r="18" customFormat="false" ht="15" hidden="false" customHeight="false" outlineLevel="0" collapsed="false">
      <c r="A18" s="10" t="n">
        <v>16</v>
      </c>
      <c r="B18" s="11" t="s">
        <v>83</v>
      </c>
      <c r="C18" s="11" t="s">
        <v>97</v>
      </c>
      <c r="D18" s="12" t="s">
        <v>43</v>
      </c>
      <c r="E18" s="11" t="s">
        <v>98</v>
      </c>
      <c r="F18" s="13" t="s">
        <v>99</v>
      </c>
      <c r="G18" s="14"/>
      <c r="H18" s="15"/>
      <c r="I18" s="14"/>
      <c r="J18" s="10" t="s">
        <v>54</v>
      </c>
      <c r="K18" s="10" t="s">
        <v>55</v>
      </c>
      <c r="L18" s="10" t="s">
        <v>47</v>
      </c>
      <c r="M18" s="10" t="s">
        <v>48</v>
      </c>
      <c r="N18" s="15"/>
      <c r="O18" s="15"/>
      <c r="P18" s="15"/>
      <c r="Q18" s="15"/>
      <c r="R18" s="16" t="s">
        <v>49</v>
      </c>
      <c r="S18" s="17"/>
      <c r="T18" s="14"/>
      <c r="U18" s="14"/>
    </row>
    <row r="19" customFormat="false" ht="15" hidden="false" customHeight="false" outlineLevel="0" collapsed="false">
      <c r="A19" s="10" t="n">
        <v>17</v>
      </c>
      <c r="B19" s="11" t="s">
        <v>83</v>
      </c>
      <c r="C19" s="11" t="s">
        <v>100</v>
      </c>
      <c r="D19" s="12" t="s">
        <v>91</v>
      </c>
      <c r="E19" s="11" t="s">
        <v>101</v>
      </c>
      <c r="F19" s="13" t="s">
        <v>102</v>
      </c>
      <c r="G19" s="14"/>
      <c r="H19" s="15"/>
      <c r="I19" s="14"/>
      <c r="J19" s="10" t="s">
        <v>48</v>
      </c>
      <c r="K19" s="10" t="s">
        <v>47</v>
      </c>
      <c r="L19" s="10" t="s">
        <v>46</v>
      </c>
      <c r="M19" s="10" t="s">
        <v>48</v>
      </c>
      <c r="N19" s="15"/>
      <c r="O19" s="15"/>
      <c r="P19" s="15"/>
      <c r="Q19" s="15"/>
      <c r="R19" s="16" t="s">
        <v>49</v>
      </c>
      <c r="S19" s="17"/>
      <c r="T19" s="14"/>
      <c r="U19" s="14"/>
    </row>
    <row r="20" customFormat="false" ht="29.85" hidden="false" customHeight="false" outlineLevel="0" collapsed="false">
      <c r="A20" s="10" t="n">
        <v>18</v>
      </c>
      <c r="B20" s="11" t="s">
        <v>103</v>
      </c>
      <c r="C20" s="11" t="s">
        <v>104</v>
      </c>
      <c r="D20" s="12" t="s">
        <v>43</v>
      </c>
      <c r="E20" s="11" t="s">
        <v>105</v>
      </c>
      <c r="F20" s="13" t="s">
        <v>106</v>
      </c>
      <c r="G20" s="14"/>
      <c r="H20" s="15"/>
      <c r="I20" s="14"/>
      <c r="J20" s="10" t="s">
        <v>54</v>
      </c>
      <c r="K20" s="10" t="s">
        <v>47</v>
      </c>
      <c r="L20" s="10" t="s">
        <v>55</v>
      </c>
      <c r="M20" s="10" t="s">
        <v>47</v>
      </c>
      <c r="N20" s="15"/>
      <c r="O20" s="15"/>
      <c r="P20" s="15"/>
      <c r="Q20" s="15"/>
      <c r="R20" s="16" t="s">
        <v>49</v>
      </c>
      <c r="S20" s="17"/>
      <c r="T20" s="14"/>
      <c r="U20" s="14"/>
    </row>
    <row r="21" customFormat="false" ht="29.85" hidden="false" customHeight="false" outlineLevel="0" collapsed="false">
      <c r="A21" s="10" t="n">
        <v>19</v>
      </c>
      <c r="B21" s="11" t="s">
        <v>103</v>
      </c>
      <c r="C21" s="11" t="s">
        <v>107</v>
      </c>
      <c r="D21" s="12" t="s">
        <v>43</v>
      </c>
      <c r="E21" s="11" t="s">
        <v>108</v>
      </c>
      <c r="F21" s="11" t="s">
        <v>67</v>
      </c>
      <c r="G21" s="14"/>
      <c r="H21" s="15"/>
      <c r="I21" s="14"/>
      <c r="J21" s="10" t="s">
        <v>47</v>
      </c>
      <c r="K21" s="10" t="s">
        <v>47</v>
      </c>
      <c r="L21" s="10" t="s">
        <v>46</v>
      </c>
      <c r="M21" s="10" t="s">
        <v>48</v>
      </c>
      <c r="N21" s="15"/>
      <c r="O21" s="15"/>
      <c r="P21" s="15"/>
      <c r="Q21" s="15"/>
      <c r="R21" s="16" t="s">
        <v>49</v>
      </c>
      <c r="S21" s="17"/>
      <c r="T21" s="14"/>
      <c r="U21" s="14"/>
    </row>
    <row r="22" customFormat="false" ht="44" hidden="false" customHeight="false" outlineLevel="0" collapsed="false">
      <c r="A22" s="10" t="n">
        <v>20</v>
      </c>
      <c r="B22" s="11" t="s">
        <v>103</v>
      </c>
      <c r="C22" s="11" t="s">
        <v>109</v>
      </c>
      <c r="D22" s="12" t="s">
        <v>91</v>
      </c>
      <c r="E22" s="11" t="s">
        <v>110</v>
      </c>
      <c r="F22" s="13" t="s">
        <v>111</v>
      </c>
      <c r="G22" s="14"/>
      <c r="H22" s="15"/>
      <c r="I22" s="14"/>
      <c r="J22" s="10" t="s">
        <v>47</v>
      </c>
      <c r="K22" s="10" t="s">
        <v>47</v>
      </c>
      <c r="L22" s="10" t="s">
        <v>46</v>
      </c>
      <c r="M22" s="10" t="s">
        <v>48</v>
      </c>
      <c r="N22" s="15"/>
      <c r="O22" s="15"/>
      <c r="P22" s="15"/>
      <c r="Q22" s="15"/>
      <c r="R22" s="16" t="s">
        <v>49</v>
      </c>
      <c r="S22" s="17"/>
      <c r="T22" s="14"/>
      <c r="U22" s="14"/>
    </row>
    <row r="23" customFormat="false" ht="15" hidden="false" customHeight="false" outlineLevel="0" collapsed="false">
      <c r="A23" s="10" t="n">
        <v>21</v>
      </c>
      <c r="B23" s="11" t="s">
        <v>103</v>
      </c>
      <c r="C23" s="11" t="s">
        <v>112</v>
      </c>
      <c r="D23" s="12" t="s">
        <v>91</v>
      </c>
      <c r="E23" s="11" t="s">
        <v>113</v>
      </c>
      <c r="F23" s="11" t="s">
        <v>67</v>
      </c>
      <c r="G23" s="14"/>
      <c r="H23" s="15"/>
      <c r="I23" s="14"/>
      <c r="J23" s="10" t="s">
        <v>48</v>
      </c>
      <c r="K23" s="10" t="s">
        <v>47</v>
      </c>
      <c r="L23" s="10" t="s">
        <v>46</v>
      </c>
      <c r="M23" s="10" t="s">
        <v>48</v>
      </c>
      <c r="N23" s="15"/>
      <c r="O23" s="15"/>
      <c r="P23" s="15"/>
      <c r="Q23" s="15"/>
      <c r="R23" s="16" t="s">
        <v>49</v>
      </c>
      <c r="S23" s="17"/>
      <c r="T23" s="14"/>
      <c r="U23" s="14"/>
    </row>
    <row r="24" customFormat="false" ht="15" hidden="false" customHeight="false" outlineLevel="0" collapsed="false">
      <c r="A24" s="10" t="n">
        <v>22</v>
      </c>
      <c r="B24" s="11" t="s">
        <v>103</v>
      </c>
      <c r="C24" s="11" t="s">
        <v>114</v>
      </c>
      <c r="D24" s="12" t="s">
        <v>91</v>
      </c>
      <c r="E24" s="11" t="s">
        <v>113</v>
      </c>
      <c r="F24" s="11" t="s">
        <v>67</v>
      </c>
      <c r="G24" s="14"/>
      <c r="H24" s="15"/>
      <c r="I24" s="14"/>
      <c r="J24" s="10" t="s">
        <v>48</v>
      </c>
      <c r="K24" s="10" t="s">
        <v>47</v>
      </c>
      <c r="L24" s="10" t="s">
        <v>46</v>
      </c>
      <c r="M24" s="10" t="s">
        <v>48</v>
      </c>
      <c r="N24" s="15"/>
      <c r="O24" s="15"/>
      <c r="P24" s="15"/>
      <c r="Q24" s="15"/>
      <c r="R24" s="16" t="s">
        <v>49</v>
      </c>
      <c r="S24" s="17"/>
      <c r="T24" s="14"/>
      <c r="U24" s="14"/>
    </row>
    <row r="25" customFormat="false" ht="15" hidden="false" customHeight="false" outlineLevel="0" collapsed="false">
      <c r="A25" s="10" t="n">
        <v>23</v>
      </c>
      <c r="B25" s="11" t="s">
        <v>103</v>
      </c>
      <c r="C25" s="11" t="s">
        <v>115</v>
      </c>
      <c r="D25" s="12" t="s">
        <v>91</v>
      </c>
      <c r="E25" s="11" t="s">
        <v>110</v>
      </c>
      <c r="F25" s="13" t="s">
        <v>116</v>
      </c>
      <c r="G25" s="14"/>
      <c r="H25" s="15"/>
      <c r="I25" s="14"/>
      <c r="J25" s="10" t="s">
        <v>48</v>
      </c>
      <c r="K25" s="10" t="s">
        <v>47</v>
      </c>
      <c r="L25" s="10" t="s">
        <v>46</v>
      </c>
      <c r="M25" s="10" t="s">
        <v>48</v>
      </c>
      <c r="N25" s="15"/>
      <c r="O25" s="15"/>
      <c r="P25" s="15"/>
      <c r="Q25" s="15"/>
      <c r="R25" s="16" t="s">
        <v>49</v>
      </c>
      <c r="S25" s="17"/>
      <c r="T25" s="14"/>
      <c r="U25" s="14"/>
    </row>
    <row r="26" customFormat="false" ht="29.85" hidden="false" customHeight="false" outlineLevel="0" collapsed="false">
      <c r="A26" s="10" t="n">
        <v>24</v>
      </c>
      <c r="B26" s="11" t="s">
        <v>103</v>
      </c>
      <c r="C26" s="11" t="s">
        <v>117</v>
      </c>
      <c r="D26" s="12" t="s">
        <v>43</v>
      </c>
      <c r="E26" s="11" t="s">
        <v>118</v>
      </c>
      <c r="F26" s="13" t="s">
        <v>119</v>
      </c>
      <c r="G26" s="14"/>
      <c r="H26" s="15"/>
      <c r="I26" s="14"/>
      <c r="J26" s="10" t="s">
        <v>54</v>
      </c>
      <c r="K26" s="10" t="s">
        <v>47</v>
      </c>
      <c r="L26" s="10" t="s">
        <v>55</v>
      </c>
      <c r="M26" s="10" t="s">
        <v>48</v>
      </c>
      <c r="N26" s="15"/>
      <c r="O26" s="15"/>
      <c r="P26" s="15"/>
      <c r="Q26" s="15"/>
      <c r="R26" s="16" t="s">
        <v>49</v>
      </c>
      <c r="S26" s="17"/>
      <c r="T26" s="14"/>
      <c r="U26" s="14"/>
    </row>
    <row r="27" customFormat="false" ht="29.85" hidden="false" customHeight="false" outlineLevel="0" collapsed="false">
      <c r="A27" s="10" t="n">
        <v>25</v>
      </c>
      <c r="B27" s="11" t="s">
        <v>103</v>
      </c>
      <c r="C27" s="13" t="s">
        <v>120</v>
      </c>
      <c r="D27" s="12" t="s">
        <v>51</v>
      </c>
      <c r="E27" s="11" t="s">
        <v>121</v>
      </c>
      <c r="F27" s="13" t="s">
        <v>122</v>
      </c>
      <c r="G27" s="14"/>
      <c r="H27" s="15"/>
      <c r="I27" s="14"/>
      <c r="J27" s="10" t="s">
        <v>47</v>
      </c>
      <c r="K27" s="10" t="s">
        <v>47</v>
      </c>
      <c r="L27" s="10" t="s">
        <v>46</v>
      </c>
      <c r="M27" s="10" t="s">
        <v>48</v>
      </c>
      <c r="N27" s="15"/>
      <c r="O27" s="15"/>
      <c r="P27" s="15"/>
      <c r="Q27" s="15"/>
      <c r="R27" s="16" t="s">
        <v>49</v>
      </c>
      <c r="S27" s="17"/>
      <c r="T27" s="14"/>
      <c r="U27" s="14"/>
    </row>
    <row r="28" customFormat="false" ht="29.85" hidden="false" customHeight="false" outlineLevel="0" collapsed="false">
      <c r="A28" s="10" t="n">
        <v>26</v>
      </c>
      <c r="B28" s="11" t="s">
        <v>123</v>
      </c>
      <c r="C28" s="11" t="s">
        <v>124</v>
      </c>
      <c r="D28" s="12" t="s">
        <v>43</v>
      </c>
      <c r="E28" s="11" t="s">
        <v>125</v>
      </c>
      <c r="F28" s="11" t="s">
        <v>126</v>
      </c>
      <c r="G28" s="14"/>
      <c r="H28" s="15"/>
      <c r="I28" s="14"/>
      <c r="J28" s="10" t="s">
        <v>47</v>
      </c>
      <c r="K28" s="10" t="s">
        <v>46</v>
      </c>
      <c r="L28" s="10" t="s">
        <v>48</v>
      </c>
      <c r="M28" s="10" t="s">
        <v>48</v>
      </c>
      <c r="N28" s="15"/>
      <c r="O28" s="15"/>
      <c r="P28" s="15"/>
      <c r="Q28" s="15"/>
      <c r="R28" s="16" t="s">
        <v>49</v>
      </c>
      <c r="S28" s="17"/>
      <c r="T28" s="14"/>
      <c r="U28" s="14"/>
    </row>
    <row r="29" customFormat="false" ht="15" hidden="false" customHeight="false" outlineLevel="0" collapsed="false">
      <c r="A29" s="10" t="n">
        <v>27</v>
      </c>
      <c r="B29" s="11" t="s">
        <v>123</v>
      </c>
      <c r="C29" s="13" t="s">
        <v>127</v>
      </c>
      <c r="D29" s="12" t="s">
        <v>43</v>
      </c>
      <c r="E29" s="11" t="s">
        <v>128</v>
      </c>
      <c r="F29" s="13" t="s">
        <v>58</v>
      </c>
      <c r="G29" s="14"/>
      <c r="H29" s="15"/>
      <c r="I29" s="14"/>
      <c r="J29" s="10" t="s">
        <v>54</v>
      </c>
      <c r="K29" s="10" t="s">
        <v>46</v>
      </c>
      <c r="L29" s="10" t="s">
        <v>48</v>
      </c>
      <c r="M29" s="10" t="s">
        <v>48</v>
      </c>
      <c r="N29" s="15"/>
      <c r="O29" s="15"/>
      <c r="P29" s="15"/>
      <c r="Q29" s="15"/>
      <c r="R29" s="16" t="s">
        <v>49</v>
      </c>
      <c r="S29" s="17"/>
      <c r="T29" s="14"/>
      <c r="U29" s="14"/>
    </row>
    <row r="30" customFormat="false" ht="29.85" hidden="false" customHeight="false" outlineLevel="0" collapsed="false">
      <c r="A30" s="10" t="n">
        <v>28</v>
      </c>
      <c r="B30" s="11" t="s">
        <v>123</v>
      </c>
      <c r="C30" s="11" t="s">
        <v>129</v>
      </c>
      <c r="D30" s="12" t="s">
        <v>51</v>
      </c>
      <c r="E30" s="11" t="s">
        <v>130</v>
      </c>
      <c r="F30" s="13" t="s">
        <v>131</v>
      </c>
      <c r="G30" s="14"/>
      <c r="H30" s="15"/>
      <c r="I30" s="14"/>
      <c r="J30" s="10"/>
      <c r="K30" s="10"/>
      <c r="L30" s="10"/>
      <c r="M30" s="10"/>
      <c r="N30" s="15"/>
      <c r="O30" s="15"/>
      <c r="P30" s="15"/>
      <c r="Q30" s="15"/>
      <c r="R30" s="16" t="s">
        <v>49</v>
      </c>
      <c r="S30" s="17"/>
      <c r="T30" s="14"/>
      <c r="U30" s="14"/>
    </row>
    <row r="31" customFormat="false" ht="29.85" hidden="false" customHeight="false" outlineLevel="0" collapsed="false">
      <c r="A31" s="10" t="n">
        <v>29</v>
      </c>
      <c r="B31" s="11" t="s">
        <v>123</v>
      </c>
      <c r="C31" s="13" t="s">
        <v>132</v>
      </c>
      <c r="D31" s="12" t="s">
        <v>51</v>
      </c>
      <c r="E31" s="11" t="s">
        <v>133</v>
      </c>
      <c r="F31" s="13" t="s">
        <v>134</v>
      </c>
      <c r="G31" s="14"/>
      <c r="H31" s="15"/>
      <c r="I31" s="14"/>
      <c r="J31" s="10"/>
      <c r="K31" s="10"/>
      <c r="L31" s="10"/>
      <c r="M31" s="10"/>
      <c r="N31" s="15"/>
      <c r="O31" s="15"/>
      <c r="P31" s="15"/>
      <c r="Q31" s="15"/>
      <c r="R31" s="16" t="s">
        <v>49</v>
      </c>
      <c r="S31" s="17"/>
      <c r="T31" s="14"/>
      <c r="U31" s="14"/>
    </row>
    <row r="32" customFormat="false" ht="15" hidden="false" customHeight="false" outlineLevel="0" collapsed="false">
      <c r="A32" s="10" t="n">
        <v>30</v>
      </c>
      <c r="B32" s="11" t="s">
        <v>123</v>
      </c>
      <c r="C32" s="13" t="s">
        <v>135</v>
      </c>
      <c r="D32" s="12" t="s">
        <v>91</v>
      </c>
      <c r="E32" s="11" t="s">
        <v>136</v>
      </c>
      <c r="F32" s="11" t="s">
        <v>67</v>
      </c>
      <c r="G32" s="14"/>
      <c r="H32" s="15"/>
      <c r="I32" s="14"/>
      <c r="J32" s="10" t="s">
        <v>47</v>
      </c>
      <c r="K32" s="10" t="s">
        <v>47</v>
      </c>
      <c r="L32" s="10" t="s">
        <v>46</v>
      </c>
      <c r="M32" s="10" t="s">
        <v>48</v>
      </c>
      <c r="N32" s="15"/>
      <c r="O32" s="15"/>
      <c r="P32" s="15"/>
      <c r="Q32" s="15"/>
      <c r="R32" s="16" t="s">
        <v>49</v>
      </c>
      <c r="S32" s="17"/>
      <c r="T32" s="14"/>
      <c r="U32" s="14"/>
    </row>
    <row r="33" customFormat="false" ht="29.85" hidden="false" customHeight="false" outlineLevel="0" collapsed="false">
      <c r="A33" s="10" t="n">
        <v>31</v>
      </c>
      <c r="B33" s="11" t="s">
        <v>123</v>
      </c>
      <c r="C33" s="11" t="s">
        <v>137</v>
      </c>
      <c r="D33" s="12" t="s">
        <v>91</v>
      </c>
      <c r="E33" s="11" t="s">
        <v>138</v>
      </c>
      <c r="F33" s="13" t="s">
        <v>139</v>
      </c>
      <c r="G33" s="14"/>
      <c r="H33" s="15"/>
      <c r="I33" s="14"/>
      <c r="J33" s="10" t="s">
        <v>47</v>
      </c>
      <c r="K33" s="10" t="s">
        <v>47</v>
      </c>
      <c r="L33" s="10" t="s">
        <v>46</v>
      </c>
      <c r="M33" s="10" t="s">
        <v>48</v>
      </c>
      <c r="N33" s="15"/>
      <c r="O33" s="15"/>
      <c r="P33" s="15"/>
      <c r="Q33" s="15"/>
      <c r="R33" s="16" t="s">
        <v>49</v>
      </c>
      <c r="S33" s="17"/>
      <c r="T33" s="14"/>
      <c r="U33" s="14"/>
    </row>
    <row r="34" customFormat="false" ht="15" hidden="false" customHeight="false" outlineLevel="0" collapsed="false">
      <c r="A34" s="10" t="n">
        <v>32</v>
      </c>
      <c r="B34" s="11" t="s">
        <v>123</v>
      </c>
      <c r="C34" s="11" t="s">
        <v>140</v>
      </c>
      <c r="D34" s="12" t="s">
        <v>91</v>
      </c>
      <c r="E34" s="11" t="s">
        <v>141</v>
      </c>
      <c r="F34" s="11" t="s">
        <v>67</v>
      </c>
      <c r="G34" s="14"/>
      <c r="H34" s="15"/>
      <c r="I34" s="14"/>
      <c r="J34" s="10" t="s">
        <v>48</v>
      </c>
      <c r="K34" s="10" t="s">
        <v>47</v>
      </c>
      <c r="L34" s="10" t="s">
        <v>46</v>
      </c>
      <c r="M34" s="10" t="s">
        <v>48</v>
      </c>
      <c r="N34" s="15"/>
      <c r="O34" s="15"/>
      <c r="P34" s="15"/>
      <c r="Q34" s="15"/>
      <c r="R34" s="16" t="s">
        <v>49</v>
      </c>
      <c r="S34" s="17"/>
      <c r="T34" s="14"/>
      <c r="U34" s="14"/>
    </row>
    <row r="35" customFormat="false" ht="29.85" hidden="false" customHeight="false" outlineLevel="0" collapsed="false">
      <c r="A35" s="10" t="n">
        <v>33</v>
      </c>
      <c r="B35" s="11" t="s">
        <v>123</v>
      </c>
      <c r="C35" s="11" t="s">
        <v>142</v>
      </c>
      <c r="D35" s="12" t="s">
        <v>91</v>
      </c>
      <c r="E35" s="11" t="s">
        <v>110</v>
      </c>
      <c r="F35" s="13" t="s">
        <v>143</v>
      </c>
      <c r="G35" s="14"/>
      <c r="H35" s="15"/>
      <c r="I35" s="14"/>
      <c r="J35" s="10"/>
      <c r="K35" s="10"/>
      <c r="L35" s="10"/>
      <c r="M35" s="10"/>
      <c r="N35" s="15"/>
      <c r="O35" s="15"/>
      <c r="P35" s="15"/>
      <c r="Q35" s="15"/>
      <c r="R35" s="16" t="s">
        <v>49</v>
      </c>
      <c r="S35" s="17"/>
      <c r="T35" s="14"/>
      <c r="U35" s="14"/>
    </row>
    <row r="36" customFormat="false" ht="29.85" hidden="false" customHeight="false" outlineLevel="0" collapsed="false">
      <c r="A36" s="10" t="n">
        <v>34</v>
      </c>
      <c r="B36" s="11" t="s">
        <v>123</v>
      </c>
      <c r="C36" s="11" t="s">
        <v>144</v>
      </c>
      <c r="D36" s="12" t="s">
        <v>51</v>
      </c>
      <c r="E36" s="11" t="s">
        <v>145</v>
      </c>
      <c r="F36" s="11" t="s">
        <v>67</v>
      </c>
      <c r="G36" s="14"/>
      <c r="H36" s="15"/>
      <c r="I36" s="14"/>
      <c r="J36" s="10"/>
      <c r="K36" s="10"/>
      <c r="L36" s="10"/>
      <c r="M36" s="10"/>
      <c r="N36" s="15"/>
      <c r="O36" s="15"/>
      <c r="P36" s="15"/>
      <c r="Q36" s="15"/>
      <c r="R36" s="16" t="s">
        <v>49</v>
      </c>
      <c r="S36" s="17"/>
      <c r="T36" s="14"/>
      <c r="U36" s="14"/>
    </row>
    <row r="37" customFormat="false" ht="15" hidden="false" customHeight="false" outlineLevel="0" collapsed="false">
      <c r="A37" s="10" t="n">
        <v>35</v>
      </c>
      <c r="B37" s="11" t="s">
        <v>146</v>
      </c>
      <c r="C37" s="11" t="s">
        <v>147</v>
      </c>
      <c r="D37" s="12" t="s">
        <v>43</v>
      </c>
      <c r="E37" s="11" t="s">
        <v>70</v>
      </c>
      <c r="F37" s="13" t="s">
        <v>106</v>
      </c>
      <c r="G37" s="14"/>
      <c r="H37" s="15"/>
      <c r="I37" s="14"/>
      <c r="J37" s="10" t="s">
        <v>47</v>
      </c>
      <c r="K37" s="10" t="s">
        <v>54</v>
      </c>
      <c r="L37" s="10" t="s">
        <v>48</v>
      </c>
      <c r="M37" s="10" t="s">
        <v>55</v>
      </c>
      <c r="N37" s="15"/>
      <c r="O37" s="15"/>
      <c r="P37" s="15"/>
      <c r="Q37" s="15"/>
      <c r="R37" s="16" t="s">
        <v>49</v>
      </c>
      <c r="S37" s="17"/>
      <c r="T37" s="14"/>
      <c r="U37" s="14"/>
    </row>
    <row r="38" customFormat="false" ht="15" hidden="false" customHeight="false" outlineLevel="0" collapsed="false">
      <c r="A38" s="10" t="n">
        <v>36</v>
      </c>
      <c r="B38" s="11" t="s">
        <v>146</v>
      </c>
      <c r="C38" s="11" t="s">
        <v>148</v>
      </c>
      <c r="D38" s="12" t="s">
        <v>91</v>
      </c>
      <c r="E38" s="11" t="s">
        <v>149</v>
      </c>
      <c r="F38" s="11" t="s">
        <v>67</v>
      </c>
      <c r="G38" s="14"/>
      <c r="H38" s="15"/>
      <c r="I38" s="14"/>
      <c r="J38" s="10" t="s">
        <v>48</v>
      </c>
      <c r="K38" s="10" t="s">
        <v>54</v>
      </c>
      <c r="L38" s="10" t="s">
        <v>48</v>
      </c>
      <c r="M38" s="10" t="s">
        <v>55</v>
      </c>
      <c r="N38" s="15"/>
      <c r="O38" s="15"/>
      <c r="P38" s="15"/>
      <c r="Q38" s="15"/>
      <c r="R38" s="16" t="s">
        <v>49</v>
      </c>
      <c r="S38" s="17"/>
      <c r="T38" s="14"/>
      <c r="U38" s="14"/>
    </row>
  </sheetData>
  <autoFilter ref="A2:U38"/>
  <mergeCells count="5">
    <mergeCell ref="A1:F1"/>
    <mergeCell ref="G1:I1"/>
    <mergeCell ref="J1:M1"/>
    <mergeCell ref="N1:Q1"/>
    <mergeCell ref="R1:U1"/>
  </mergeCells>
  <conditionalFormatting sqref="A3:A38">
    <cfRule type="expression" priority="2" aboveAverage="0" equalAverage="0" bottom="0" percent="0" rank="0" text="" dxfId="3">
      <formula>AND($H3&lt;&gt;"",OR(AND($D3="可",$H3="不可"),AND($D3="不可",OR($H3="可",$H3="条件付きで可"))))</formula>
    </cfRule>
  </conditionalFormatting>
  <dataValidations count="4">
    <dataValidation allowBlank="true" error="リストから選んでください" errorStyle="stop" operator="between" showDropDown="false" showErrorMessage="true" showInputMessage="false" sqref="D3:D38" type="list">
      <formula1>"可,不可,グレー"</formula1>
      <formula2>0</formula2>
    </dataValidation>
    <dataValidation allowBlank="true" error="リストから選んでください" errorStyle="stop" operator="between" showDropDown="false" showErrorMessage="true" showInputMessage="false" sqref="H3:H38" type="list">
      <formula1>"可,条件付きで可,不可,要協議"</formula1>
      <formula2>0</formula2>
    </dataValidation>
    <dataValidation allowBlank="true" error="リストから選んでください" errorStyle="stop" operator="between" showDropDown="false" showErrorMessage="true" showInputMessage="false" sqref="J3:Q38" type="list">
      <formula1>"A,R,A/R,C,I"</formula1>
      <formula2>0</formula2>
    </dataValidation>
    <dataValidation allowBlank="true" error="リストから選んでください" errorStyle="stop" operator="between" showDropDown="false" showErrorMessage="true" showInputMessage="false" sqref="R3:R38" type="list">
      <formula1>"未確認,確認中,合意済"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8" t="s">
        <v>150</v>
      </c>
    </row>
    <row r="2" customFormat="false" ht="15" hidden="false" customHeight="false" outlineLevel="0" collapsed="false">
      <c r="A2" s="19" t="s">
        <v>151</v>
      </c>
      <c r="B2" s="19" t="s">
        <v>43</v>
      </c>
      <c r="C2" s="19" t="s">
        <v>152</v>
      </c>
      <c r="D2" s="19" t="s">
        <v>91</v>
      </c>
      <c r="E2" s="19" t="s">
        <v>153</v>
      </c>
      <c r="F2" s="19" t="s">
        <v>154</v>
      </c>
      <c r="G2" s="19" t="s">
        <v>155</v>
      </c>
    </row>
    <row r="3" customFormat="false" ht="15" hidden="false" customHeight="false" outlineLevel="0" collapsed="false">
      <c r="A3" s="19" t="s">
        <v>43</v>
      </c>
      <c r="B3" s="20" t="n">
        <f aca="false">COUNTIFS(確認表!$D$3:$D$38,"可",確認表!$H$3:$H$38,"可")</f>
        <v>0</v>
      </c>
      <c r="C3" s="20" t="n">
        <f aca="false">COUNTIFS(確認表!$D$3:$D$38,"可",確認表!$H$3:$H$38,"条件付きで可")</f>
        <v>0</v>
      </c>
      <c r="D3" s="20" t="n">
        <f aca="false">COUNTIFS(確認表!$D$3:$D$38,"可",確認表!$H$3:$H$38,"不可")</f>
        <v>0</v>
      </c>
      <c r="E3" s="20" t="n">
        <f aca="false">COUNTIFS(確認表!$D$3:$D$38,"可",確認表!$H$3:$H$38,"要協議")</f>
        <v>0</v>
      </c>
      <c r="F3" s="20" t="n">
        <f aca="false">COUNTIFS(確認表!$D$3:$D$38,"可",確認表!$H$3:$H$38,"")</f>
        <v>15</v>
      </c>
      <c r="G3" s="20" t="n">
        <f aca="false">SUM(B3:F3)</f>
        <v>15</v>
      </c>
    </row>
    <row r="4" customFormat="false" ht="15" hidden="false" customHeight="false" outlineLevel="0" collapsed="false">
      <c r="A4" s="19" t="s">
        <v>91</v>
      </c>
      <c r="B4" s="20" t="n">
        <f aca="false">COUNTIFS(確認表!$D$3:$D$38,"不可",確認表!$H$3:$H$38,"可")</f>
        <v>0</v>
      </c>
      <c r="C4" s="20" t="n">
        <f aca="false">COUNTIFS(確認表!$D$3:$D$38,"不可",確認表!$H$3:$H$38,"条件付きで可")</f>
        <v>0</v>
      </c>
      <c r="D4" s="20" t="n">
        <f aca="false">COUNTIFS(確認表!$D$3:$D$38,"不可",確認表!$H$3:$H$38,"不可")</f>
        <v>0</v>
      </c>
      <c r="E4" s="20" t="n">
        <f aca="false">COUNTIFS(確認表!$D$3:$D$38,"不可",確認表!$H$3:$H$38,"要協議")</f>
        <v>0</v>
      </c>
      <c r="F4" s="20" t="n">
        <f aca="false">COUNTIFS(確認表!$D$3:$D$38,"不可",確認表!$H$3:$H$38,"")</f>
        <v>11</v>
      </c>
      <c r="G4" s="20" t="n">
        <f aca="false">SUM(B4:F4)</f>
        <v>11</v>
      </c>
    </row>
    <row r="5" customFormat="false" ht="15" hidden="false" customHeight="false" outlineLevel="0" collapsed="false">
      <c r="A5" s="19" t="s">
        <v>51</v>
      </c>
      <c r="B5" s="20" t="n">
        <f aca="false">COUNTIFS(確認表!$D$3:$D$38,"グレー",確認表!$H$3:$H$38,"可")</f>
        <v>0</v>
      </c>
      <c r="C5" s="20" t="n">
        <f aca="false">COUNTIFS(確認表!$D$3:$D$38,"グレー",確認表!$H$3:$H$38,"条件付きで可")</f>
        <v>0</v>
      </c>
      <c r="D5" s="20" t="n">
        <f aca="false">COUNTIFS(確認表!$D$3:$D$38,"グレー",確認表!$H$3:$H$38,"不可")</f>
        <v>0</v>
      </c>
      <c r="E5" s="20" t="n">
        <f aca="false">COUNTIFS(確認表!$D$3:$D$38,"グレー",確認表!$H$3:$H$38,"要協議")</f>
        <v>0</v>
      </c>
      <c r="F5" s="20" t="n">
        <f aca="false">COUNTIFS(確認表!$D$3:$D$38,"グレー",確認表!$H$3:$H$38,"")</f>
        <v>10</v>
      </c>
      <c r="G5" s="20" t="n">
        <f aca="false">SUM(B5:F5)</f>
        <v>10</v>
      </c>
    </row>
    <row r="6" customFormat="false" ht="15" hidden="false" customHeight="false" outlineLevel="0" collapsed="false">
      <c r="A6" s="19" t="s">
        <v>155</v>
      </c>
      <c r="B6" s="20" t="n">
        <f aca="false">SUM(B3:B5)</f>
        <v>0</v>
      </c>
      <c r="C6" s="20" t="n">
        <f aca="false">SUM(C3:C5)</f>
        <v>0</v>
      </c>
      <c r="D6" s="20" t="n">
        <f aca="false">SUM(D3:D5)</f>
        <v>0</v>
      </c>
      <c r="E6" s="20" t="n">
        <f aca="false">SUM(E3:E5)</f>
        <v>0</v>
      </c>
      <c r="F6" s="20" t="n">
        <f aca="false">SUM(F3:F5)</f>
        <v>36</v>
      </c>
      <c r="G6" s="20" t="n">
        <f aca="false">SUM(G3:G5)</f>
        <v>36</v>
      </c>
    </row>
    <row r="7" customFormat="false" ht="15" hidden="false" customHeight="false" outlineLevel="0" collapsed="false">
      <c r="A7" s="19"/>
      <c r="B7" s="21"/>
      <c r="C7" s="21"/>
      <c r="D7" s="21"/>
      <c r="E7" s="21"/>
      <c r="F7" s="21"/>
      <c r="G7" s="21"/>
    </row>
    <row r="9" customFormat="false" ht="15" hidden="false" customHeight="false" outlineLevel="0" collapsed="false">
      <c r="A9" s="18" t="s">
        <v>156</v>
      </c>
    </row>
    <row r="10" customFormat="false" ht="15" hidden="false" customHeight="false" outlineLevel="0" collapsed="false">
      <c r="A10" s="19" t="s">
        <v>49</v>
      </c>
      <c r="B10" s="20" t="n">
        <f aca="false">COUNTIF(確認表!$R$3:$R$38,"未確認")</f>
        <v>36</v>
      </c>
    </row>
    <row r="11" customFormat="false" ht="15" hidden="false" customHeight="false" outlineLevel="0" collapsed="false">
      <c r="A11" s="19" t="s">
        <v>157</v>
      </c>
      <c r="B11" s="20" t="n">
        <f aca="false">COUNTIF(確認表!$R$3:$R$38,"確認中")</f>
        <v>0</v>
      </c>
    </row>
    <row r="12" customFormat="false" ht="15" hidden="false" customHeight="false" outlineLevel="0" collapsed="false">
      <c r="A12" s="19" t="s">
        <v>158</v>
      </c>
      <c r="B12" s="20" t="n">
        <f aca="false">COUNTIF(確認表!$R$3:$R$38,"合意済")</f>
        <v>0</v>
      </c>
    </row>
    <row r="13" customFormat="false" ht="15" hidden="false" customHeight="false" outlineLevel="0" collapsed="false">
      <c r="A13" s="19" t="s">
        <v>155</v>
      </c>
      <c r="B13" s="20" t="n">
        <f aca="false">SUM(B10:B12)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2026-10-28T00:01:37Z</dcterms:created>
  <dc:creator>openpyxl</dc:creator>
  <dc:description/>
  <dc:language>en-US</dc:language>
  <cp:lastModifiedBy/>
  <dcterms:modified xsi:type="dcterms:W3CDTF">2026-10-28T00:01:37Z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