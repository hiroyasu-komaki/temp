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マスタ設定" sheetId="2" state="visible" r:id="rId4"/>
    <sheet name="調査集計表" sheetId="3" state="visible" r:id="rId5"/>
    <sheet name="スコアリング" sheetId="4" state="visible" r:id="rId6"/>
    <sheet name="四半期集計" sheetId="5" state="visible" r:id="rId7"/>
    <sheet name="成長曲線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<sst xmlns="http://schemas.openxmlformats.org/spreadsheetml/2006/main" count="443" uniqueCount="209">
  <si>
    <t xml:space="preserve">ケイパビリティ観測　調査集計・スコアリングブック</t>
  </si>
  <si>
    <r>
      <rPr>
        <sz val="10"/>
        <rFont val="Noto Sans CJK SC"/>
        <family val="2"/>
      </rPr>
      <t xml:space="preserve">ジョブロール別ケイパビリティ観測計画（骨格）に対応。アンケートで集めた結果を転記し、</t>
    </r>
    <r>
      <rPr>
        <sz val="10"/>
        <rFont val="Arial"/>
        <family val="0"/>
        <charset val="1"/>
      </rPr>
      <t xml:space="preserve">can-do</t>
    </r>
    <r>
      <rPr>
        <sz val="10"/>
        <rFont val="Noto Sans CJK SC"/>
        <family val="2"/>
      </rPr>
      <t xml:space="preserve">到達率</t>
    </r>
    <r>
      <rPr>
        <sz val="10"/>
        <rFont val="Arial"/>
        <family val="0"/>
        <charset val="1"/>
      </rPr>
      <t xml:space="preserve">(y)</t>
    </r>
    <r>
      <rPr>
        <sz val="10"/>
        <rFont val="Noto Sans CJK SC"/>
        <family val="2"/>
      </rPr>
      <t xml:space="preserve">の推移を見るためのブックです。</t>
    </r>
  </si>
  <si>
    <r>
      <rPr>
        <b val="true"/>
        <sz val="10"/>
        <rFont val="Noto Sans CJK SC"/>
        <family val="2"/>
      </rPr>
      <t xml:space="preserve">手順</t>
    </r>
    <r>
      <rPr>
        <b val="true"/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</si>
  <si>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「マスタ設定」を埋める。職種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担当領域、対象者名簿、四半期の期末日、難易度区分の定義。ここが空だと以降が計算されません。</t>
    </r>
  </si>
  <si>
    <r>
      <rPr>
        <b val="true"/>
        <sz val="10"/>
        <rFont val="Noto Sans CJK SC"/>
        <family val="2"/>
      </rPr>
      <t xml:space="preserve">手順</t>
    </r>
    <r>
      <rPr>
        <b val="true"/>
        <sz val="10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</si>
  <si>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アンケートの回収結果を「調査集計表」に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案件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行で転記する。黄色いセルだけを埋めます。</t>
    </r>
  </si>
  <si>
    <r>
      <rPr>
        <b val="true"/>
        <sz val="10"/>
        <rFont val="Noto Sans CJK SC"/>
        <family val="2"/>
      </rPr>
      <t xml:space="preserve">手順</t>
    </r>
    <r>
      <rPr>
        <b val="true"/>
        <sz val="10"/>
        <rFont val="Arial"/>
        <family val="0"/>
        <charset val="1"/>
      </rPr>
      <t xml:space="preserve">3</t>
    </r>
  </si>
  <si>
    <t xml:space="preserve">「スコアリング」「四半期集計」「成長曲線」は自動計算です。手を入れる必要はありません。</t>
  </si>
  <si>
    <t xml:space="preserve">色の意味</t>
  </si>
  <si>
    <t xml:space="preserve">黄色地・青文字＝入力するセル　／　白地・黒文字＝自動計算　／　グレー地・斜体＝記入例</t>
  </si>
  <si>
    <t xml:space="preserve">記入例について</t>
  </si>
  <si>
    <t xml:space="preserve">「マスタ設定」と「調査集計表」にはグレーの記入例が入っています。実データを入れる前に、記入例の行を削除してください。</t>
  </si>
  <si>
    <t xml:space="preserve">採点の考え方</t>
  </si>
  <si>
    <r>
      <rPr>
        <sz val="10"/>
        <rFont val="Noto Sans CJK SC"/>
        <family val="2"/>
      </rPr>
      <t xml:space="preserve">案件ごとに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つの軸を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段階で採点し、要求水準（レベル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）を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とする比に換算して合成します。</t>
    </r>
  </si>
  <si>
    <r>
      <rPr>
        <sz val="10"/>
        <rFont val="Noto Sans CJK SC"/>
        <family val="2"/>
      </rPr>
      <t xml:space="preserve">レベル</t>
    </r>
    <r>
      <rPr>
        <sz val="10"/>
        <rFont val="Arial"/>
        <family val="0"/>
        <charset val="1"/>
      </rPr>
      <t xml:space="preserve">1→33</t>
    </r>
    <r>
      <rPr>
        <sz val="10"/>
        <rFont val="Noto Sans CJK SC"/>
        <family val="2"/>
      </rPr>
      <t xml:space="preserve">／レベル</t>
    </r>
    <r>
      <rPr>
        <sz val="10"/>
        <rFont val="Arial"/>
        <family val="0"/>
        <charset val="1"/>
      </rPr>
      <t xml:space="preserve">2→67</t>
    </r>
    <r>
      <rPr>
        <sz val="10"/>
        <rFont val="Noto Sans CJK SC"/>
        <family val="2"/>
      </rPr>
      <t xml:space="preserve">／レベル</t>
    </r>
    <r>
      <rPr>
        <sz val="10"/>
        <rFont val="Arial"/>
        <family val="0"/>
        <charset val="1"/>
      </rPr>
      <t xml:space="preserve">3→100</t>
    </r>
    <r>
      <rPr>
        <sz val="10"/>
        <rFont val="Noto Sans CJK SC"/>
        <family val="2"/>
      </rPr>
      <t xml:space="preserve">／レベル</t>
    </r>
    <r>
      <rPr>
        <sz val="10"/>
        <rFont val="Arial"/>
        <family val="0"/>
        <charset val="1"/>
      </rPr>
      <t xml:space="preserve">4→133</t>
    </r>
    <r>
      <rPr>
        <sz val="10"/>
        <rFont val="Noto Sans CJK SC"/>
        <family val="2"/>
      </rPr>
      <t xml:space="preserve">／レベル</t>
    </r>
    <r>
      <rPr>
        <sz val="10"/>
        <rFont val="Arial"/>
        <family val="0"/>
        <charset val="1"/>
      </rPr>
      <t xml:space="preserve">5→167</t>
    </r>
  </si>
  <si>
    <r>
      <rPr>
        <sz val="10"/>
        <rFont val="Noto Sans CJK SC"/>
        <family val="2"/>
      </rPr>
      <t xml:space="preserve">フィードバック軸は関与者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名以上の中央値。品質・コスト軸は案件責任者とレビュアーの平均。</t>
    </r>
  </si>
  <si>
    <r>
      <rPr>
        <sz val="10"/>
        <rFont val="Noto Sans CJK SC"/>
        <family val="2"/>
      </rPr>
      <t xml:space="preserve">合成の重みは職種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担当領域ごとに「マスタ設定」で指定します。</t>
    </r>
  </si>
  <si>
    <t xml:space="preserve">四半期の値</t>
  </si>
  <si>
    <r>
      <rPr>
        <sz val="10"/>
        <rFont val="Noto Sans CJK SC"/>
        <family val="2"/>
      </rPr>
      <t xml:space="preserve">その期末から遡って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か月以内に完了した案件の平均です。案件のない期でも数字が途切れないようにするためです。</t>
    </r>
  </si>
  <si>
    <t xml:space="preserve">有効判定</t>
  </si>
  <si>
    <r>
      <rPr>
        <sz val="10"/>
        <rFont val="Noto Sans CJK SC"/>
        <family val="2"/>
      </rPr>
      <t xml:space="preserve">関与者の回答が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名以上、かつ品質・コスト軸を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名が採点している案件を「有効」とし、集計対象にします。</t>
    </r>
  </si>
  <si>
    <t xml:space="preserve">「要確認」の案件は集計に入りません。人数を満たすか、集計から外すかを判断してください。</t>
  </si>
  <si>
    <t xml:space="preserve">注意</t>
  </si>
  <si>
    <r>
      <rPr>
        <sz val="10"/>
        <rFont val="Arial"/>
        <family val="0"/>
        <charset val="1"/>
      </rPr>
      <t xml:space="preserve">y </t>
    </r>
    <r>
      <rPr>
        <sz val="10"/>
        <rFont val="Noto Sans CJK SC"/>
        <family val="2"/>
      </rPr>
      <t xml:space="preserve">の絶対値は細かく読みません。要求水準（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）に対してどちら側にいるか、時間を追ってどう動いているかを見ます。</t>
    </r>
  </si>
  <si>
    <t xml:space="preserve">マスタ設定</t>
  </si>
  <si>
    <t xml:space="preserve">黄色いセルを埋めてください。ここが観測の前提になります。</t>
  </si>
  <si>
    <r>
      <rPr>
        <b val="true"/>
        <sz val="11"/>
        <color rgb="FFFFFFFF"/>
        <rFont val="Noto Sans CJK SC"/>
        <family val="2"/>
      </rPr>
      <t xml:space="preserve">【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】職種</t>
    </r>
    <r>
      <rPr>
        <b val="true"/>
        <sz val="11"/>
        <color rgb="FFFFFFFF"/>
        <rFont val="Arial"/>
        <family val="0"/>
        <charset val="1"/>
      </rPr>
      <t xml:space="preserve">×</t>
    </r>
    <r>
      <rPr>
        <b val="true"/>
        <sz val="11"/>
        <color rgb="FFFFFFFF"/>
        <rFont val="Noto Sans CJK SC"/>
        <family val="2"/>
      </rPr>
      <t xml:space="preserve">担当領域マスタ　― 要求水準（＝</t>
    </r>
    <r>
      <rPr>
        <b val="true"/>
        <sz val="11"/>
        <color rgb="FFFFFFFF"/>
        <rFont val="Arial"/>
        <family val="0"/>
        <charset val="1"/>
      </rPr>
      <t xml:space="preserve">100</t>
    </r>
    <r>
      <rPr>
        <b val="true"/>
        <sz val="11"/>
        <color rgb="FFFFFFFF"/>
        <rFont val="Noto Sans CJK SC"/>
        <family val="2"/>
      </rPr>
      <t xml:space="preserve">）と型の方針は、この組み合わせごとに決めます</t>
    </r>
  </si>
  <si>
    <r>
      <rPr>
        <b val="true"/>
        <sz val="10"/>
        <color rgb="FF000000"/>
        <rFont val="Noto Sans CJK SC"/>
        <family val="2"/>
      </rPr>
      <t xml:space="preserve">単位</t>
    </r>
    <r>
      <rPr>
        <b val="true"/>
        <sz val="10"/>
        <color rgb="FF000000"/>
        <rFont val="Arial"/>
        <family val="0"/>
        <charset val="1"/>
      </rPr>
      <t xml:space="preserve">ID</t>
    </r>
  </si>
  <si>
    <t xml:space="preserve">職種</t>
  </si>
  <si>
    <t xml:space="preserve">担当領域</t>
  </si>
  <si>
    <t xml:space="preserve">型の方針</t>
  </si>
  <si>
    <r>
      <rPr>
        <b val="true"/>
        <sz val="10"/>
        <color rgb="FF000000"/>
        <rFont val="Noto Sans CJK SC"/>
        <family val="2"/>
      </rPr>
      <t xml:space="preserve">フィードバック重み</t>
    </r>
    <r>
      <rPr>
        <b val="true"/>
        <sz val="10"/>
        <color rgb="FF000000"/>
        <rFont val="Arial"/>
        <family val="0"/>
        <charset val="1"/>
      </rPr>
      <t xml:space="preserve">(%)</t>
    </r>
  </si>
  <si>
    <r>
      <rPr>
        <b val="true"/>
        <sz val="10"/>
        <color rgb="FF000000"/>
        <rFont val="Noto Sans CJK SC"/>
        <family val="2"/>
      </rPr>
      <t xml:space="preserve">品質・コスト重み</t>
    </r>
    <r>
      <rPr>
        <b val="true"/>
        <sz val="10"/>
        <color rgb="FF000000"/>
        <rFont val="Arial"/>
        <family val="0"/>
        <charset val="1"/>
      </rPr>
      <t xml:space="preserve">(%)</t>
    </r>
  </si>
  <si>
    <r>
      <rPr>
        <b val="true"/>
        <sz val="10"/>
        <color rgb="FF000000"/>
        <rFont val="Noto Sans CJK SC"/>
        <family val="2"/>
      </rPr>
      <t xml:space="preserve">レベル</t>
    </r>
    <r>
      <rPr>
        <b val="true"/>
        <sz val="10"/>
        <color rgb="FF000000"/>
        <rFont val="Arial"/>
        <family val="0"/>
        <charset val="1"/>
      </rPr>
      <t xml:space="preserve">3</t>
    </r>
    <r>
      <rPr>
        <b val="true"/>
        <sz val="10"/>
        <color rgb="FF000000"/>
        <rFont val="Noto Sans CJK SC"/>
        <family val="2"/>
      </rPr>
      <t xml:space="preserve">（要求水準）の状態記述</t>
    </r>
  </si>
  <si>
    <t xml:space="preserve">U01</t>
  </si>
  <si>
    <t xml:space="preserve">ビジネスパートナー</t>
  </si>
  <si>
    <r>
      <rPr>
        <i val="true"/>
        <sz val="10"/>
        <color rgb="FF808080"/>
        <rFont val="Arial"/>
        <family val="0"/>
        <charset val="1"/>
      </rPr>
      <t xml:space="preserve">ERP</t>
    </r>
    <r>
      <rPr>
        <i val="true"/>
        <sz val="10"/>
        <color rgb="FF808080"/>
        <rFont val="Noto Sans CJK SC"/>
        <family val="2"/>
      </rPr>
      <t xml:space="preserve">領域（専任）</t>
    </r>
  </si>
  <si>
    <t xml:space="preserve">飽和型</t>
  </si>
  <si>
    <r>
      <rPr>
        <i val="true"/>
        <sz val="10"/>
        <color rgb="FF808080"/>
        <rFont val="Arial"/>
        <family val="0"/>
        <charset val="1"/>
      </rPr>
      <t xml:space="preserve">ERP</t>
    </r>
    <r>
      <rPr>
        <i val="true"/>
        <sz val="10"/>
        <color rgb="FF808080"/>
        <rFont val="Noto Sans CJK SC"/>
        <family val="2"/>
      </rPr>
      <t xml:space="preserve">標準機能の範囲で、事業部門から直接相談を受け、技術検討を介さず自分で提言できる</t>
    </r>
  </si>
  <si>
    <t xml:space="preserve">U02</t>
  </si>
  <si>
    <t xml:space="preserve">データアーキテクト</t>
  </si>
  <si>
    <t xml:space="preserve">データ活用基盤</t>
  </si>
  <si>
    <t xml:space="preserve">創発型</t>
  </si>
  <si>
    <t xml:space="preserve">全社標準のデータアーキテクチャを、レビューなしで自律的に設計できる</t>
  </si>
  <si>
    <r>
      <rPr>
        <sz val="9"/>
        <color rgb="FF808080"/>
        <rFont val="Noto Sans CJK SC"/>
        <family val="2"/>
      </rPr>
      <t xml:space="preserve">※ 型の方針は「飽和型」または「創発型」。重みは</t>
    </r>
    <r>
      <rPr>
        <sz val="9"/>
        <color rgb="FF808080"/>
        <rFont val="Arial"/>
        <family val="0"/>
        <charset val="1"/>
      </rPr>
      <t xml:space="preserve">2</t>
    </r>
    <r>
      <rPr>
        <sz val="9"/>
        <color rgb="FF808080"/>
        <rFont val="Noto Sans CJK SC"/>
        <family val="2"/>
      </rPr>
      <t xml:space="preserve">つの合計が</t>
    </r>
    <r>
      <rPr>
        <sz val="9"/>
        <color rgb="FF808080"/>
        <rFont val="Arial"/>
        <family val="0"/>
        <charset val="1"/>
      </rPr>
      <t xml:space="preserve">100</t>
    </r>
    <r>
      <rPr>
        <sz val="9"/>
        <color rgb="FF808080"/>
        <rFont val="Noto Sans CJK SC"/>
        <family val="2"/>
      </rPr>
      <t xml:space="preserve">になるようにします（既定は</t>
    </r>
    <r>
      <rPr>
        <sz val="9"/>
        <color rgb="FF808080"/>
        <rFont val="Arial"/>
        <family val="0"/>
        <charset val="1"/>
      </rPr>
      <t xml:space="preserve">50</t>
    </r>
    <r>
      <rPr>
        <sz val="9"/>
        <color rgb="FF808080"/>
        <rFont val="Noto Sans CJK SC"/>
        <family val="2"/>
      </rPr>
      <t xml:space="preserve">／</t>
    </r>
    <r>
      <rPr>
        <sz val="9"/>
        <color rgb="FF808080"/>
        <rFont val="Arial"/>
        <family val="0"/>
        <charset val="1"/>
      </rPr>
      <t xml:space="preserve">50</t>
    </r>
    <r>
      <rPr>
        <sz val="9"/>
        <color rgb="FF808080"/>
        <rFont val="Noto Sans CJK SC"/>
        <family val="2"/>
      </rPr>
      <t xml:space="preserve">）。</t>
    </r>
  </si>
  <si>
    <r>
      <rPr>
        <b val="true"/>
        <sz val="11"/>
        <color rgb="FFFFFFFF"/>
        <rFont val="Noto Sans CJK SC"/>
        <family val="2"/>
      </rPr>
      <t xml:space="preserve">【</t>
    </r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】対象者名簿</t>
    </r>
  </si>
  <si>
    <r>
      <rPr>
        <b val="true"/>
        <sz val="10"/>
        <color rgb="FF000000"/>
        <rFont val="Noto Sans CJK SC"/>
        <family val="2"/>
      </rPr>
      <t xml:space="preserve">対象者</t>
    </r>
    <r>
      <rPr>
        <b val="true"/>
        <sz val="10"/>
        <color rgb="FF000000"/>
        <rFont val="Arial"/>
        <family val="0"/>
        <charset val="1"/>
      </rPr>
      <t xml:space="preserve">ID</t>
    </r>
  </si>
  <si>
    <t xml:space="preserve">氏名</t>
  </si>
  <si>
    <t xml:space="preserve">群（任意）</t>
  </si>
  <si>
    <t xml:space="preserve">備考</t>
  </si>
  <si>
    <t xml:space="preserve">P01</t>
  </si>
  <si>
    <t xml:space="preserve">佐藤（記入例）</t>
  </si>
  <si>
    <t xml:space="preserve">介入群</t>
  </si>
  <si>
    <t xml:space="preserve">P02</t>
  </si>
  <si>
    <t xml:space="preserve">鈴木（記入例）</t>
  </si>
  <si>
    <t xml:space="preserve">対照群</t>
  </si>
  <si>
    <t xml:space="preserve">P03</t>
  </si>
  <si>
    <t xml:space="preserve">田中（記入例）</t>
  </si>
  <si>
    <r>
      <rPr>
        <b val="true"/>
        <sz val="11"/>
        <color rgb="FFFFFFFF"/>
        <rFont val="Noto Sans CJK SC"/>
        <family val="2"/>
      </rPr>
      <t xml:space="preserve">【</t>
    </r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】四半期の定義　― 期末日は、その期に「完了した案件」を締める日付です</t>
    </r>
  </si>
  <si>
    <t xml:space="preserve">期ラベル</t>
  </si>
  <si>
    <t xml:space="preserve">期末日</t>
  </si>
  <si>
    <r>
      <rPr>
        <b val="true"/>
        <sz val="10"/>
        <color rgb="FF000000"/>
        <rFont val="Noto Sans CJK SC"/>
        <family val="2"/>
      </rPr>
      <t xml:space="preserve">経過</t>
    </r>
    <r>
      <rPr>
        <b val="true"/>
        <sz val="10"/>
        <color rgb="FF000000"/>
        <rFont val="Arial"/>
        <family val="0"/>
        <charset val="1"/>
      </rPr>
      <t xml:space="preserve">t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0</t>
    </r>
    <r>
      <rPr>
        <b val="true"/>
        <sz val="10"/>
        <color rgb="FF000000"/>
        <rFont val="Noto Sans CJK SC"/>
        <family val="2"/>
      </rPr>
      <t xml:space="preserve">〜</t>
    </r>
    <r>
      <rPr>
        <b val="true"/>
        <sz val="10"/>
        <color rgb="FF000000"/>
        <rFont val="Arial"/>
        <family val="0"/>
        <charset val="1"/>
      </rPr>
      <t xml:space="preserve">100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</si>
  <si>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</si>
  <si>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</si>
  <si>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</si>
  <si>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</si>
  <si>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</si>
  <si>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</si>
  <si>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</si>
  <si>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</si>
  <si>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</si>
  <si>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r>
      <rPr>
        <sz val="9"/>
        <color rgb="FF808080"/>
        <rFont val="Noto Sans CJK SC"/>
        <family val="2"/>
      </rPr>
      <t xml:space="preserve">※ 経過</t>
    </r>
    <r>
      <rPr>
        <sz val="9"/>
        <color rgb="FF808080"/>
        <rFont val="Arial"/>
        <family val="0"/>
        <charset val="1"/>
      </rPr>
      <t xml:space="preserve">t </t>
    </r>
    <r>
      <rPr>
        <sz val="9"/>
        <color rgb="FF808080"/>
        <rFont val="Noto Sans CJK SC"/>
        <family val="2"/>
      </rPr>
      <t xml:space="preserve">は「測定開始＝</t>
    </r>
    <r>
      <rPr>
        <sz val="9"/>
        <color rgb="FF808080"/>
        <rFont val="Arial"/>
        <family val="0"/>
        <charset val="1"/>
      </rPr>
      <t xml:space="preserve">0</t>
    </r>
    <r>
      <rPr>
        <sz val="9"/>
        <color rgb="FF808080"/>
        <rFont val="Noto Sans CJK SC"/>
        <family val="2"/>
      </rPr>
      <t xml:space="preserve">、目標の期限＝</t>
    </r>
    <r>
      <rPr>
        <sz val="9"/>
        <color rgb="FF808080"/>
        <rFont val="Arial"/>
        <family val="0"/>
        <charset val="1"/>
      </rPr>
      <t xml:space="preserve">100</t>
    </r>
    <r>
      <rPr>
        <sz val="9"/>
        <color rgb="FF808080"/>
        <rFont val="Noto Sans CJK SC"/>
        <family val="2"/>
      </rPr>
      <t xml:space="preserve">」の目盛りです。</t>
    </r>
    <r>
      <rPr>
        <sz val="9"/>
        <color rgb="FF808080"/>
        <rFont val="Arial"/>
        <family val="0"/>
        <charset val="1"/>
      </rPr>
      <t xml:space="preserve">2</t>
    </r>
    <r>
      <rPr>
        <sz val="9"/>
        <color rgb="FF808080"/>
        <rFont val="Noto Sans CJK SC"/>
        <family val="2"/>
      </rPr>
      <t xml:space="preserve">年・四半期測定なら </t>
    </r>
    <r>
      <rPr>
        <sz val="9"/>
        <color rgb="FF808080"/>
        <rFont val="Arial"/>
        <family val="0"/>
        <charset val="1"/>
      </rPr>
      <t xml:space="preserve">0, 12.5, … , 100 </t>
    </r>
    <r>
      <rPr>
        <sz val="9"/>
        <color rgb="FF808080"/>
        <rFont val="Noto Sans CJK SC"/>
        <family val="2"/>
      </rPr>
      <t xml:space="preserve">の</t>
    </r>
    <r>
      <rPr>
        <sz val="9"/>
        <color rgb="FF808080"/>
        <rFont val="Arial"/>
        <family val="0"/>
        <charset val="1"/>
      </rPr>
      <t xml:space="preserve">9</t>
    </r>
    <r>
      <rPr>
        <sz val="9"/>
        <color rgb="FF808080"/>
        <rFont val="Noto Sans CJK SC"/>
        <family val="2"/>
      </rPr>
      <t xml:space="preserve">回になります。</t>
    </r>
  </si>
  <si>
    <r>
      <rPr>
        <b val="true"/>
        <sz val="11"/>
        <color rgb="FFFFFFFF"/>
        <rFont val="Noto Sans CJK SC"/>
        <family val="2"/>
      </rPr>
      <t xml:space="preserve">【</t>
    </r>
    <r>
      <rPr>
        <b val="true"/>
        <sz val="11"/>
        <color rgb="FFFFFFFF"/>
        <rFont val="Arial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】難易度区分の定義　― 最初に決めて、途中で動かしません</t>
    </r>
  </si>
  <si>
    <t xml:space="preserve">区分</t>
  </si>
  <si>
    <t xml:space="preserve">定義</t>
  </si>
  <si>
    <r>
      <rPr>
        <sz val="10"/>
        <color rgb="FF0000FF"/>
        <rFont val="Noto Sans CJK SC"/>
        <family val="2"/>
      </rPr>
      <t xml:space="preserve">難</t>
    </r>
    <r>
      <rPr>
        <sz val="10"/>
        <color rgb="FF0000FF"/>
        <rFont val="Arial"/>
        <family val="0"/>
        <charset val="1"/>
      </rPr>
      <t xml:space="preserve">1</t>
    </r>
  </si>
  <si>
    <t xml:space="preserve">定型的。過去の類似案件をなぞれば進められる</t>
  </si>
  <si>
    <r>
      <rPr>
        <sz val="10"/>
        <color rgb="FF0000FF"/>
        <rFont val="Noto Sans CJK SC"/>
        <family val="2"/>
      </rPr>
      <t xml:space="preserve">難</t>
    </r>
    <r>
      <rPr>
        <sz val="10"/>
        <color rgb="FF0000FF"/>
        <rFont val="Arial"/>
        <family val="0"/>
        <charset val="1"/>
      </rPr>
      <t xml:space="preserve">2</t>
    </r>
  </si>
  <si>
    <t xml:space="preserve">標準的。判断を要する論点がいくつかある</t>
  </si>
  <si>
    <r>
      <rPr>
        <sz val="10"/>
        <color rgb="FF0000FF"/>
        <rFont val="Noto Sans CJK SC"/>
        <family val="2"/>
      </rPr>
      <t xml:space="preserve">難</t>
    </r>
    <r>
      <rPr>
        <sz val="10"/>
        <color rgb="FF0000FF"/>
        <rFont val="Arial"/>
        <family val="0"/>
        <charset val="1"/>
      </rPr>
      <t xml:space="preserve">3</t>
    </r>
  </si>
  <si>
    <t xml:space="preserve">困難。前例がない、または関係者が多く調整が重い</t>
  </si>
  <si>
    <r>
      <rPr>
        <b val="true"/>
        <sz val="11"/>
        <color rgb="FFFFFFFF"/>
        <rFont val="Noto Sans CJK SC"/>
        <family val="2"/>
      </rPr>
      <t xml:space="preserve">【</t>
    </r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】採点の</t>
    </r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段階（参照用）　― 要求水準はレベル</t>
    </r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に置きます</t>
    </r>
  </si>
  <si>
    <t xml:space="preserve">レベル</t>
  </si>
  <si>
    <t xml:space="preserve">フィードバック軸</t>
  </si>
  <si>
    <t xml:space="preserve">品質・コスト軸</t>
  </si>
  <si>
    <r>
      <rPr>
        <b val="true"/>
        <sz val="10"/>
        <color rgb="FF000000"/>
        <rFont val="Arial"/>
        <family val="0"/>
        <charset val="1"/>
      </rPr>
      <t xml:space="preserve">y</t>
    </r>
    <r>
      <rPr>
        <b val="true"/>
        <sz val="10"/>
        <color rgb="FF000000"/>
        <rFont val="Noto Sans CJK SC"/>
        <family val="2"/>
      </rPr>
      <t xml:space="preserve">換算</t>
    </r>
  </si>
  <si>
    <t xml:space="preserve">この人の関与をきっかけに、他の人や他の案件のやり方自体が変わった</t>
  </si>
  <si>
    <t xml:space="preserve">成果物が他の案件でも再利用され、他の案件の手間まで下げた</t>
  </si>
  <si>
    <t xml:space="preserve">担当範囲を超えて、他の案件や他のメンバーにも良い影響が及んだ</t>
  </si>
  <si>
    <t xml:space="preserve">品質を満たしたうえで、手間が想定より少なかった</t>
  </si>
  <si>
    <t xml:space="preserve">この領域で任せるべき範囲を、確認なしで任せられた（＝要求水準）</t>
  </si>
  <si>
    <t xml:space="preserve">求められる品質を満たし、手間も想定どおりだった（＝要求水準）</t>
  </si>
  <si>
    <t xml:space="preserve">決められた範囲は任せられるが、判断は周囲に確認しながらだった</t>
  </si>
  <si>
    <t xml:space="preserve">成果物は使えるが、指摘が多かった／想定より手間がかかった</t>
  </si>
  <si>
    <t xml:space="preserve">単独では任せられなかった。手戻りや補助が必要だった</t>
  </si>
  <si>
    <t xml:space="preserve">品質か手間のどちらかに問題があり、やり直しや追加の手当てが必要だった</t>
  </si>
  <si>
    <r>
      <rPr>
        <sz val="9"/>
        <color rgb="FF808080"/>
        <rFont val="Noto Sans CJK SC"/>
        <family val="2"/>
      </rPr>
      <t xml:space="preserve">※ 物差しの上端を要求水準に置かないこと。レベル</t>
    </r>
    <r>
      <rPr>
        <sz val="9"/>
        <color rgb="FF808080"/>
        <rFont val="Arial"/>
        <family val="0"/>
        <charset val="1"/>
      </rPr>
      <t xml:space="preserve">4</t>
    </r>
    <r>
      <rPr>
        <sz val="9"/>
        <color rgb="FF808080"/>
        <rFont val="Noto Sans CJK SC"/>
        <family val="2"/>
      </rPr>
      <t xml:space="preserve">・</t>
    </r>
    <r>
      <rPr>
        <sz val="9"/>
        <color rgb="FF808080"/>
        <rFont val="Arial"/>
        <family val="0"/>
        <charset val="1"/>
      </rPr>
      <t xml:space="preserve">5</t>
    </r>
    <r>
      <rPr>
        <sz val="9"/>
        <color rgb="FF808080"/>
        <rFont val="Noto Sans CJK SC"/>
        <family val="2"/>
      </rPr>
      <t xml:space="preserve">が無くなると、要求を超えて伸びている状態（過剰投資）が見えなくなります。</t>
    </r>
  </si>
  <si>
    <r>
      <rPr>
        <b val="true"/>
        <sz val="14"/>
        <rFont val="Noto Sans CJK SC"/>
        <family val="2"/>
      </rPr>
      <t xml:space="preserve">調査集計表　― アンケートの回収結果を、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Noto Sans CJK SC"/>
        <family val="2"/>
      </rPr>
      <t xml:space="preserve">案件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Noto Sans CJK SC"/>
        <family val="2"/>
      </rPr>
      <t xml:space="preserve">行で転記します</t>
    </r>
  </si>
  <si>
    <r>
      <rPr>
        <sz val="9"/>
        <color rgb="FF808080"/>
        <rFont val="Noto Sans CJK SC"/>
        <family val="2"/>
      </rPr>
      <t xml:space="preserve">※ 関与者の枠は</t>
    </r>
    <r>
      <rPr>
        <sz val="9"/>
        <color rgb="FF808080"/>
        <rFont val="Arial"/>
        <family val="0"/>
        <charset val="1"/>
      </rPr>
      <t xml:space="preserve">5</t>
    </r>
    <r>
      <rPr>
        <sz val="9"/>
        <color rgb="FF808080"/>
        <rFont val="Noto Sans CJK SC"/>
        <family val="2"/>
      </rPr>
      <t xml:space="preserve">名分。</t>
    </r>
    <r>
      <rPr>
        <sz val="9"/>
        <color rgb="FF808080"/>
        <rFont val="Arial"/>
        <family val="0"/>
        <charset val="1"/>
      </rPr>
      <t xml:space="preserve">6</t>
    </r>
    <r>
      <rPr>
        <sz val="9"/>
        <color rgb="FF808080"/>
        <rFont val="Noto Sans CJK SC"/>
        <family val="2"/>
      </rPr>
      <t xml:space="preserve">名以上から回答があった場合は、案件責任者が指名した</t>
    </r>
    <r>
      <rPr>
        <sz val="9"/>
        <color rgb="FF808080"/>
        <rFont val="Arial"/>
        <family val="0"/>
        <charset val="1"/>
      </rPr>
      <t xml:space="preserve">5</t>
    </r>
    <r>
      <rPr>
        <sz val="9"/>
        <color rgb="FF808080"/>
        <rFont val="Noto Sans CJK SC"/>
        <family val="2"/>
      </rPr>
      <t xml:space="preserve">名までを転記します。</t>
    </r>
  </si>
  <si>
    <r>
      <rPr>
        <b val="true"/>
        <sz val="10"/>
        <color rgb="FF000000"/>
        <rFont val="Noto Sans CJK SC"/>
        <family val="2"/>
      </rPr>
      <t xml:space="preserve">案件</t>
    </r>
    <r>
      <rPr>
        <b val="true"/>
        <sz val="10"/>
        <color rgb="FF000000"/>
        <rFont val="Arial"/>
        <family val="0"/>
        <charset val="1"/>
      </rPr>
      <t xml:space="preserve">ID</t>
    </r>
  </si>
  <si>
    <t xml:space="preserve">案件名</t>
  </si>
  <si>
    <t xml:space="preserve">完了日</t>
  </si>
  <si>
    <t xml:space="preserve">対象者氏名</t>
  </si>
  <si>
    <t xml:space="preserve">役割</t>
  </si>
  <si>
    <t xml:space="preserve">難易度区分</t>
  </si>
  <si>
    <r>
      <rPr>
        <b val="true"/>
        <sz val="10"/>
        <color rgb="FF000000"/>
        <rFont val="Noto Sans CJK SC"/>
        <family val="2"/>
      </rPr>
      <t xml:space="preserve">関与者</t>
    </r>
    <r>
      <rPr>
        <b val="true"/>
        <sz val="10"/>
        <color rgb="FF000000"/>
        <rFont val="Arial"/>
        <family val="0"/>
        <charset val="1"/>
      </rPr>
      <t xml:space="preserve">1 </t>
    </r>
    <r>
      <rPr>
        <b val="true"/>
        <sz val="10"/>
        <color rgb="FF000000"/>
        <rFont val="Noto Sans CJK SC"/>
        <family val="2"/>
      </rPr>
      <t xml:space="preserve">氏名</t>
    </r>
  </si>
  <si>
    <r>
      <rPr>
        <b val="true"/>
        <sz val="10"/>
        <color rgb="FF000000"/>
        <rFont val="Noto Sans CJK SC"/>
        <family val="2"/>
      </rPr>
      <t xml:space="preserve">関与者</t>
    </r>
    <r>
      <rPr>
        <b val="true"/>
        <sz val="10"/>
        <color rgb="FF000000"/>
        <rFont val="Arial"/>
        <family val="0"/>
        <charset val="1"/>
      </rPr>
      <t xml:space="preserve">1 </t>
    </r>
    <r>
      <rPr>
        <b val="true"/>
        <sz val="10"/>
        <color rgb="FF000000"/>
        <rFont val="Noto Sans CJK SC"/>
        <family val="2"/>
      </rPr>
      <t xml:space="preserve">点</t>
    </r>
  </si>
  <si>
    <r>
      <rPr>
        <b val="true"/>
        <sz val="10"/>
        <color rgb="FF000000"/>
        <rFont val="Noto Sans CJK SC"/>
        <family val="2"/>
      </rPr>
      <t xml:space="preserve">関与者</t>
    </r>
    <r>
      <rPr>
        <b val="true"/>
        <sz val="10"/>
        <color rgb="FF000000"/>
        <rFont val="Arial"/>
        <family val="0"/>
        <charset val="1"/>
      </rPr>
      <t xml:space="preserve">2 </t>
    </r>
    <r>
      <rPr>
        <b val="true"/>
        <sz val="10"/>
        <color rgb="FF000000"/>
        <rFont val="Noto Sans CJK SC"/>
        <family val="2"/>
      </rPr>
      <t xml:space="preserve">氏名</t>
    </r>
  </si>
  <si>
    <r>
      <rPr>
        <b val="true"/>
        <sz val="10"/>
        <color rgb="FF000000"/>
        <rFont val="Noto Sans CJK SC"/>
        <family val="2"/>
      </rPr>
      <t xml:space="preserve">関与者</t>
    </r>
    <r>
      <rPr>
        <b val="true"/>
        <sz val="10"/>
        <color rgb="FF000000"/>
        <rFont val="Arial"/>
        <family val="0"/>
        <charset val="1"/>
      </rPr>
      <t xml:space="preserve">2 </t>
    </r>
    <r>
      <rPr>
        <b val="true"/>
        <sz val="10"/>
        <color rgb="FF000000"/>
        <rFont val="Noto Sans CJK SC"/>
        <family val="2"/>
      </rPr>
      <t xml:space="preserve">点</t>
    </r>
  </si>
  <si>
    <r>
      <rPr>
        <b val="true"/>
        <sz val="10"/>
        <color rgb="FF000000"/>
        <rFont val="Noto Sans CJK SC"/>
        <family val="2"/>
      </rPr>
      <t xml:space="preserve">関与者</t>
    </r>
    <r>
      <rPr>
        <b val="true"/>
        <sz val="10"/>
        <color rgb="FF000000"/>
        <rFont val="Arial"/>
        <family val="0"/>
        <charset val="1"/>
      </rPr>
      <t xml:space="preserve">3 </t>
    </r>
    <r>
      <rPr>
        <b val="true"/>
        <sz val="10"/>
        <color rgb="FF000000"/>
        <rFont val="Noto Sans CJK SC"/>
        <family val="2"/>
      </rPr>
      <t xml:space="preserve">氏名</t>
    </r>
  </si>
  <si>
    <r>
      <rPr>
        <b val="true"/>
        <sz val="10"/>
        <color rgb="FF000000"/>
        <rFont val="Noto Sans CJK SC"/>
        <family val="2"/>
      </rPr>
      <t xml:space="preserve">関与者</t>
    </r>
    <r>
      <rPr>
        <b val="true"/>
        <sz val="10"/>
        <color rgb="FF000000"/>
        <rFont val="Arial"/>
        <family val="0"/>
        <charset val="1"/>
      </rPr>
      <t xml:space="preserve">3 </t>
    </r>
    <r>
      <rPr>
        <b val="true"/>
        <sz val="10"/>
        <color rgb="FF000000"/>
        <rFont val="Noto Sans CJK SC"/>
        <family val="2"/>
      </rPr>
      <t xml:space="preserve">点</t>
    </r>
  </si>
  <si>
    <r>
      <rPr>
        <b val="true"/>
        <sz val="10"/>
        <color rgb="FF000000"/>
        <rFont val="Noto Sans CJK SC"/>
        <family val="2"/>
      </rPr>
      <t xml:space="preserve">関与者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氏名</t>
    </r>
  </si>
  <si>
    <r>
      <rPr>
        <b val="true"/>
        <sz val="10"/>
        <color rgb="FF000000"/>
        <rFont val="Noto Sans CJK SC"/>
        <family val="2"/>
      </rPr>
      <t xml:space="preserve">関与者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点</t>
    </r>
  </si>
  <si>
    <r>
      <rPr>
        <b val="true"/>
        <sz val="10"/>
        <color rgb="FF000000"/>
        <rFont val="Noto Sans CJK SC"/>
        <family val="2"/>
      </rPr>
      <t xml:space="preserve">関与者</t>
    </r>
    <r>
      <rPr>
        <b val="true"/>
        <sz val="10"/>
        <color rgb="FF000000"/>
        <rFont val="Arial"/>
        <family val="0"/>
        <charset val="1"/>
      </rPr>
      <t xml:space="preserve">5 </t>
    </r>
    <r>
      <rPr>
        <b val="true"/>
        <sz val="10"/>
        <color rgb="FF000000"/>
        <rFont val="Noto Sans CJK SC"/>
        <family val="2"/>
      </rPr>
      <t xml:space="preserve">氏名</t>
    </r>
  </si>
  <si>
    <r>
      <rPr>
        <b val="true"/>
        <sz val="10"/>
        <color rgb="FF000000"/>
        <rFont val="Noto Sans CJK SC"/>
        <family val="2"/>
      </rPr>
      <t xml:space="preserve">関与者</t>
    </r>
    <r>
      <rPr>
        <b val="true"/>
        <sz val="10"/>
        <color rgb="FF000000"/>
        <rFont val="Arial"/>
        <family val="0"/>
        <charset val="1"/>
      </rPr>
      <t xml:space="preserve">5 </t>
    </r>
    <r>
      <rPr>
        <b val="true"/>
        <sz val="10"/>
        <color rgb="FF000000"/>
        <rFont val="Noto Sans CJK SC"/>
        <family val="2"/>
      </rPr>
      <t xml:space="preserve">点</t>
    </r>
  </si>
  <si>
    <t xml:space="preserve">案件責任者 氏名</t>
  </si>
  <si>
    <t xml:space="preserve">責任者 品質・コスト点</t>
  </si>
  <si>
    <t xml:space="preserve">レビュアー 氏名</t>
  </si>
  <si>
    <t xml:space="preserve">レビュアー 品質・コスト点</t>
  </si>
  <si>
    <t xml:space="preserve">A-001</t>
  </si>
  <si>
    <t xml:space="preserve">販売管理 追加要件対応</t>
  </si>
  <si>
    <t xml:space="preserve">要件定義</t>
  </si>
  <si>
    <r>
      <rPr>
        <i val="true"/>
        <sz val="10"/>
        <color rgb="FF808080"/>
        <rFont val="Noto Sans CJK SC"/>
        <family val="2"/>
      </rPr>
      <t xml:space="preserve">難</t>
    </r>
    <r>
      <rPr>
        <i val="true"/>
        <sz val="10"/>
        <color rgb="FF808080"/>
        <rFont val="Arial"/>
        <family val="0"/>
        <charset val="1"/>
      </rPr>
      <t xml:space="preserve">2</t>
    </r>
  </si>
  <si>
    <r>
      <rPr>
        <i val="true"/>
        <sz val="10"/>
        <color rgb="FF808080"/>
        <rFont val="Noto Sans CJK SC"/>
        <family val="2"/>
      </rPr>
      <t xml:space="preserve">関与者</t>
    </r>
    <r>
      <rPr>
        <i val="true"/>
        <sz val="10"/>
        <color rgb="FF808080"/>
        <rFont val="Arial"/>
        <family val="0"/>
        <charset val="1"/>
      </rPr>
      <t xml:space="preserve">A</t>
    </r>
  </si>
  <si>
    <r>
      <rPr>
        <i val="true"/>
        <sz val="10"/>
        <color rgb="FF808080"/>
        <rFont val="Noto Sans CJK SC"/>
        <family val="2"/>
      </rPr>
      <t xml:space="preserve">関与者</t>
    </r>
    <r>
      <rPr>
        <i val="true"/>
        <sz val="10"/>
        <color rgb="FF808080"/>
        <rFont val="Arial"/>
        <family val="0"/>
        <charset val="1"/>
      </rPr>
      <t xml:space="preserve">B</t>
    </r>
  </si>
  <si>
    <r>
      <rPr>
        <i val="true"/>
        <sz val="10"/>
        <color rgb="FF808080"/>
        <rFont val="Noto Sans CJK SC"/>
        <family val="2"/>
      </rPr>
      <t xml:space="preserve">関与者</t>
    </r>
    <r>
      <rPr>
        <i val="true"/>
        <sz val="10"/>
        <color rgb="FF808080"/>
        <rFont val="Arial"/>
        <family val="0"/>
        <charset val="1"/>
      </rPr>
      <t xml:space="preserve">C</t>
    </r>
  </si>
  <si>
    <r>
      <rPr>
        <i val="true"/>
        <sz val="10"/>
        <color rgb="FF808080"/>
        <rFont val="Noto Sans CJK SC"/>
        <family val="2"/>
      </rPr>
      <t xml:space="preserve">責任者</t>
    </r>
    <r>
      <rPr>
        <i val="true"/>
        <sz val="10"/>
        <color rgb="FF808080"/>
        <rFont val="Arial"/>
        <family val="0"/>
        <charset val="1"/>
      </rPr>
      <t xml:space="preserve">X</t>
    </r>
  </si>
  <si>
    <r>
      <rPr>
        <i val="true"/>
        <sz val="10"/>
        <color rgb="FF808080"/>
        <rFont val="Noto Sans CJK SC"/>
        <family val="2"/>
      </rPr>
      <t xml:space="preserve">レビュアー</t>
    </r>
    <r>
      <rPr>
        <i val="true"/>
        <sz val="10"/>
        <color rgb="FF808080"/>
        <rFont val="Arial"/>
        <family val="0"/>
        <charset val="1"/>
      </rPr>
      <t xml:space="preserve">Y</t>
    </r>
  </si>
  <si>
    <t xml:space="preserve">記入例</t>
  </si>
  <si>
    <t xml:space="preserve">A-002</t>
  </si>
  <si>
    <t xml:space="preserve">会計月次締め改善</t>
  </si>
  <si>
    <r>
      <rPr>
        <i val="true"/>
        <sz val="10"/>
        <color rgb="FF808080"/>
        <rFont val="Noto Sans CJK SC"/>
        <family val="2"/>
      </rPr>
      <t xml:space="preserve">難</t>
    </r>
    <r>
      <rPr>
        <i val="true"/>
        <sz val="10"/>
        <color rgb="FF808080"/>
        <rFont val="Arial"/>
        <family val="0"/>
        <charset val="1"/>
      </rPr>
      <t xml:space="preserve">1</t>
    </r>
  </si>
  <si>
    <t xml:space="preserve">A-003</t>
  </si>
  <si>
    <t xml:space="preserve">購買マスタ統合</t>
  </si>
  <si>
    <t xml:space="preserve">要件定義・調整</t>
  </si>
  <si>
    <r>
      <rPr>
        <i val="true"/>
        <sz val="10"/>
        <color rgb="FF808080"/>
        <rFont val="Noto Sans CJK SC"/>
        <family val="2"/>
      </rPr>
      <t xml:space="preserve">関与者</t>
    </r>
    <r>
      <rPr>
        <i val="true"/>
        <sz val="10"/>
        <color rgb="FF808080"/>
        <rFont val="Arial"/>
        <family val="0"/>
        <charset val="1"/>
      </rPr>
      <t xml:space="preserve">D</t>
    </r>
  </si>
  <si>
    <t xml:space="preserve">A-004</t>
  </si>
  <si>
    <t xml:space="preserve">在庫可視化 要件整理</t>
  </si>
  <si>
    <t xml:space="preserve">A-005</t>
  </si>
  <si>
    <t xml:space="preserve">受注プロセス見直し</t>
  </si>
  <si>
    <t xml:space="preserve">提言・調整</t>
  </si>
  <si>
    <r>
      <rPr>
        <i val="true"/>
        <sz val="10"/>
        <color rgb="FF808080"/>
        <rFont val="Noto Sans CJK SC"/>
        <family val="2"/>
      </rPr>
      <t xml:space="preserve">難</t>
    </r>
    <r>
      <rPr>
        <i val="true"/>
        <sz val="10"/>
        <color rgb="FF808080"/>
        <rFont val="Arial"/>
        <family val="0"/>
        <charset val="1"/>
      </rPr>
      <t xml:space="preserve">3</t>
    </r>
  </si>
  <si>
    <t xml:space="preserve">A-006</t>
  </si>
  <si>
    <r>
      <rPr>
        <i val="true"/>
        <sz val="10"/>
        <color rgb="FF808080"/>
        <rFont val="Arial"/>
        <family val="0"/>
        <charset val="1"/>
      </rPr>
      <t xml:space="preserve">ERP</t>
    </r>
    <r>
      <rPr>
        <i val="true"/>
        <sz val="10"/>
        <color rgb="FF808080"/>
        <rFont val="Noto Sans CJK SC"/>
        <family val="2"/>
      </rPr>
      <t xml:space="preserve">標準化 方針策定</t>
    </r>
  </si>
  <si>
    <t xml:space="preserve">提言</t>
  </si>
  <si>
    <t xml:space="preserve">B-001</t>
  </si>
  <si>
    <t xml:space="preserve">経費精算 改善要望整理</t>
  </si>
  <si>
    <t xml:space="preserve">B-002</t>
  </si>
  <si>
    <t xml:space="preserve">販売レポート追加</t>
  </si>
  <si>
    <t xml:space="preserve">B-003</t>
  </si>
  <si>
    <t xml:space="preserve">取引先マスタ整備</t>
  </si>
  <si>
    <t xml:space="preserve">B-004</t>
  </si>
  <si>
    <t xml:space="preserve">月次レポート自動化</t>
  </si>
  <si>
    <t xml:space="preserve">B-005</t>
  </si>
  <si>
    <t xml:space="preserve">与信プロセス整理</t>
  </si>
  <si>
    <t xml:space="preserve">C-001</t>
  </si>
  <si>
    <t xml:space="preserve">データ基盤 論理設計</t>
  </si>
  <si>
    <t xml:space="preserve">設計</t>
  </si>
  <si>
    <t xml:space="preserve">C-002</t>
  </si>
  <si>
    <t xml:space="preserve">顧客データ統合設計</t>
  </si>
  <si>
    <t xml:space="preserve">C-003</t>
  </si>
  <si>
    <t xml:space="preserve">共通データモデル策定</t>
  </si>
  <si>
    <t xml:space="preserve">設計・標準化</t>
  </si>
  <si>
    <t xml:space="preserve">C-004</t>
  </si>
  <si>
    <t xml:space="preserve">パイプライン再利用基盤</t>
  </si>
  <si>
    <t xml:space="preserve">C-005</t>
  </si>
  <si>
    <t xml:space="preserve">全社データ標準の展開</t>
  </si>
  <si>
    <t xml:space="preserve">設計・展開</t>
  </si>
  <si>
    <t xml:space="preserve">A-007</t>
  </si>
  <si>
    <r>
      <rPr>
        <i val="true"/>
        <sz val="10"/>
        <color rgb="FF808080"/>
        <rFont val="Arial"/>
        <family val="0"/>
        <charset val="1"/>
      </rPr>
      <t xml:space="preserve">ERP</t>
    </r>
    <r>
      <rPr>
        <i val="true"/>
        <sz val="10"/>
        <color rgb="FF808080"/>
        <rFont val="Noto Sans CJK SC"/>
        <family val="2"/>
      </rPr>
      <t xml:space="preserve">次期構想 支援</t>
    </r>
  </si>
  <si>
    <t xml:space="preserve">A-008</t>
  </si>
  <si>
    <t xml:space="preserve">販売系 追加要件対応</t>
  </si>
  <si>
    <t xml:space="preserve">A-009</t>
  </si>
  <si>
    <t xml:space="preserve">原価管理 改善</t>
  </si>
  <si>
    <t xml:space="preserve">要件定義・提言</t>
  </si>
  <si>
    <t xml:space="preserve">B-006</t>
  </si>
  <si>
    <t xml:space="preserve">債権管理 要件整理</t>
  </si>
  <si>
    <t xml:space="preserve">B-007</t>
  </si>
  <si>
    <t xml:space="preserve">帳票基盤 移行支援</t>
  </si>
  <si>
    <t xml:space="preserve">B-008</t>
  </si>
  <si>
    <t xml:space="preserve">在庫プロセス見直し</t>
  </si>
  <si>
    <t xml:space="preserve">C-006</t>
  </si>
  <si>
    <t xml:space="preserve">データ品質ルール整備</t>
  </si>
  <si>
    <t xml:space="preserve">C-007</t>
  </si>
  <si>
    <t xml:space="preserve">分析基盤 全社展開</t>
  </si>
  <si>
    <t xml:space="preserve">C-008</t>
  </si>
  <si>
    <t xml:space="preserve">データ設計の外部発信</t>
  </si>
  <si>
    <t xml:space="preserve">標準化・育成</t>
  </si>
  <si>
    <t xml:space="preserve">スコアリング　― 自動計算です。手入力しないでください</t>
  </si>
  <si>
    <t xml:space="preserve">関与者
回答数</t>
  </si>
  <si>
    <r>
      <rPr>
        <b val="true"/>
        <sz val="10"/>
        <color rgb="FF000000"/>
        <rFont val="Noto Sans CJK SC"/>
        <family val="2"/>
      </rPr>
      <t xml:space="preserve">フィードバック
素点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中央値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</si>
  <si>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品質・コスト
素点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平均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</si>
  <si>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品質採点
人数</t>
  </si>
  <si>
    <r>
      <rPr>
        <b val="true"/>
        <sz val="10"/>
        <color rgb="FF000000"/>
        <rFont val="Noto Sans CJK SC"/>
        <family val="2"/>
      </rPr>
      <t xml:space="preserve">フィードバック
</t>
    </r>
    <r>
      <rPr>
        <b val="true"/>
        <sz val="10"/>
        <color rgb="FF000000"/>
        <rFont val="Arial"/>
        <family val="0"/>
        <charset val="1"/>
      </rPr>
      <t xml:space="preserve">y</t>
    </r>
    <r>
      <rPr>
        <b val="true"/>
        <sz val="10"/>
        <color rgb="FF000000"/>
        <rFont val="Noto Sans CJK SC"/>
        <family val="2"/>
      </rPr>
      <t xml:space="preserve">換算</t>
    </r>
  </si>
  <si>
    <r>
      <rPr>
        <b val="true"/>
        <sz val="10"/>
        <color rgb="FF000000"/>
        <rFont val="Noto Sans CJK SC"/>
        <family val="2"/>
      </rPr>
      <t xml:space="preserve">品質・コスト
</t>
    </r>
    <r>
      <rPr>
        <b val="true"/>
        <sz val="10"/>
        <color rgb="FF000000"/>
        <rFont val="Arial"/>
        <family val="0"/>
        <charset val="1"/>
      </rPr>
      <t xml:space="preserve">y</t>
    </r>
    <r>
      <rPr>
        <b val="true"/>
        <sz val="10"/>
        <color rgb="FF000000"/>
        <rFont val="Noto Sans CJK SC"/>
        <family val="2"/>
      </rPr>
      <t xml:space="preserve">換算</t>
    </r>
  </si>
  <si>
    <r>
      <rPr>
        <b val="true"/>
        <sz val="10"/>
        <color rgb="FF000000"/>
        <rFont val="Arial"/>
        <family val="0"/>
        <charset val="1"/>
      </rPr>
      <t xml:space="preserve">FB</t>
    </r>
    <r>
      <rPr>
        <b val="true"/>
        <sz val="10"/>
        <color rgb="FF000000"/>
        <rFont val="Noto Sans CJK SC"/>
        <family val="2"/>
      </rPr>
      <t xml:space="preserve">重み</t>
    </r>
  </si>
  <si>
    <r>
      <rPr>
        <b val="true"/>
        <sz val="10"/>
        <color rgb="FF000000"/>
        <rFont val="Arial"/>
        <family val="0"/>
        <charset val="1"/>
      </rPr>
      <t xml:space="preserve">QC</t>
    </r>
    <r>
      <rPr>
        <b val="true"/>
        <sz val="10"/>
        <color rgb="FF000000"/>
        <rFont val="Noto Sans CJK SC"/>
        <family val="2"/>
      </rPr>
      <t xml:space="preserve">重み</t>
    </r>
  </si>
  <si>
    <r>
      <rPr>
        <b val="true"/>
        <sz val="10"/>
        <color rgb="FF000000"/>
        <rFont val="Noto Sans CJK SC"/>
        <family val="2"/>
      </rPr>
      <t xml:space="preserve">合成 </t>
    </r>
    <r>
      <rPr>
        <b val="true"/>
        <sz val="10"/>
        <color rgb="FF000000"/>
        <rFont val="Arial"/>
        <family val="0"/>
        <charset val="1"/>
      </rPr>
      <t xml:space="preserve">y</t>
    </r>
  </si>
  <si>
    <t xml:space="preserve">判定</t>
  </si>
  <si>
    <r>
      <rPr>
        <sz val="9"/>
        <color rgb="FF808080"/>
        <rFont val="Noto Sans CJK SC"/>
        <family val="2"/>
      </rPr>
      <t xml:space="preserve">※ 判定「有効」＝ 関与者の回答が</t>
    </r>
    <r>
      <rPr>
        <sz val="9"/>
        <color rgb="FF808080"/>
        <rFont val="Arial"/>
        <family val="0"/>
        <charset val="1"/>
      </rPr>
      <t xml:space="preserve">3</t>
    </r>
    <r>
      <rPr>
        <sz val="9"/>
        <color rgb="FF808080"/>
        <rFont val="Noto Sans CJK SC"/>
        <family val="2"/>
      </rPr>
      <t xml:space="preserve">名以上、かつ品質・コスト軸を</t>
    </r>
    <r>
      <rPr>
        <sz val="9"/>
        <color rgb="FF808080"/>
        <rFont val="Arial"/>
        <family val="0"/>
        <charset val="1"/>
      </rPr>
      <t xml:space="preserve">2</t>
    </r>
    <r>
      <rPr>
        <sz val="9"/>
        <color rgb="FF808080"/>
        <rFont val="Noto Sans CJK SC"/>
        <family val="2"/>
      </rPr>
      <t xml:space="preserve">名が採点している案件。四半期集計と成長曲線は「有効」のみを対象にします。</t>
    </r>
  </si>
  <si>
    <r>
      <rPr>
        <b val="true"/>
        <sz val="14"/>
        <rFont val="Noto Sans CJK SC"/>
        <family val="2"/>
      </rPr>
      <t xml:space="preserve">四半期集計　― 対象者ごとの </t>
    </r>
    <r>
      <rPr>
        <b val="true"/>
        <sz val="14"/>
        <rFont val="Arial"/>
        <family val="0"/>
        <charset val="1"/>
      </rPr>
      <t xml:space="preserve">can-do</t>
    </r>
    <r>
      <rPr>
        <b val="true"/>
        <sz val="14"/>
        <rFont val="Noto Sans CJK SC"/>
        <family val="2"/>
      </rPr>
      <t xml:space="preserve">到達率</t>
    </r>
    <r>
      <rPr>
        <b val="true"/>
        <sz val="14"/>
        <rFont val="Arial"/>
        <family val="0"/>
        <charset val="1"/>
      </rPr>
      <t xml:space="preserve">(y)</t>
    </r>
    <r>
      <rPr>
        <b val="true"/>
        <sz val="14"/>
        <rFont val="Noto Sans CJK SC"/>
        <family val="2"/>
      </rPr>
      <t xml:space="preserve">。各期末から遡って</t>
    </r>
    <r>
      <rPr>
        <b val="true"/>
        <sz val="14"/>
        <rFont val="Arial"/>
        <family val="0"/>
        <charset val="1"/>
      </rPr>
      <t xml:space="preserve">12</t>
    </r>
    <r>
      <rPr>
        <b val="true"/>
        <sz val="14"/>
        <rFont val="Noto Sans CJK SC"/>
        <family val="2"/>
      </rPr>
      <t xml:space="preserve">か月以内に完了した案件の平均です</t>
    </r>
  </si>
  <si>
    <r>
      <rPr>
        <sz val="9"/>
        <color rgb="FF808080"/>
        <rFont val="Noto Sans CJK SC"/>
        <family val="2"/>
      </rPr>
      <t xml:space="preserve">※ 空欄は、その期末までの</t>
    </r>
    <r>
      <rPr>
        <sz val="9"/>
        <color rgb="FF808080"/>
        <rFont val="Arial"/>
        <family val="0"/>
        <charset val="1"/>
      </rPr>
      <t xml:space="preserve">12</t>
    </r>
    <r>
      <rPr>
        <sz val="9"/>
        <color rgb="FF808080"/>
        <rFont val="Noto Sans CJK SC"/>
        <family val="2"/>
      </rPr>
      <t xml:space="preserve">か月に有効な案件が</t>
    </r>
    <r>
      <rPr>
        <sz val="9"/>
        <color rgb="FF808080"/>
        <rFont val="Arial"/>
        <family val="0"/>
        <charset val="1"/>
      </rPr>
      <t xml:space="preserve">1</t>
    </r>
    <r>
      <rPr>
        <sz val="9"/>
        <color rgb="FF808080"/>
        <rFont val="Noto Sans CJK SC"/>
        <family val="2"/>
      </rPr>
      <t xml:space="preserve">件も無かったことを示します。</t>
    </r>
  </si>
  <si>
    <r>
      <rPr>
        <b val="true"/>
        <sz val="14"/>
        <rFont val="Noto Sans CJK SC"/>
        <family val="2"/>
      </rPr>
      <t xml:space="preserve">成長曲線　― 職種</t>
    </r>
    <r>
      <rPr>
        <b val="true"/>
        <sz val="14"/>
        <rFont val="Arial"/>
        <family val="0"/>
        <charset val="1"/>
      </rPr>
      <t xml:space="preserve">×</t>
    </r>
    <r>
      <rPr>
        <b val="true"/>
        <sz val="14"/>
        <rFont val="Noto Sans CJK SC"/>
        <family val="2"/>
      </rPr>
      <t xml:space="preserve">担当領域ごとの </t>
    </r>
    <r>
      <rPr>
        <b val="true"/>
        <sz val="14"/>
        <rFont val="Arial"/>
        <family val="0"/>
        <charset val="1"/>
      </rPr>
      <t xml:space="preserve">can-do</t>
    </r>
    <r>
      <rPr>
        <b val="true"/>
        <sz val="14"/>
        <rFont val="Noto Sans CJK SC"/>
        <family val="2"/>
      </rPr>
      <t xml:space="preserve">到達率</t>
    </r>
    <r>
      <rPr>
        <b val="true"/>
        <sz val="14"/>
        <rFont val="Arial"/>
        <family val="0"/>
        <charset val="1"/>
      </rPr>
      <t xml:space="preserve">(y) </t>
    </r>
    <r>
      <rPr>
        <b val="true"/>
        <sz val="14"/>
        <rFont val="Noto Sans CJK SC"/>
        <family val="2"/>
      </rPr>
      <t xml:space="preserve">の推移</t>
    </r>
  </si>
  <si>
    <r>
      <rPr>
        <sz val="9"/>
        <color rgb="FF808080"/>
        <rFont val="Noto Sans CJK SC"/>
        <family val="2"/>
      </rPr>
      <t xml:space="preserve">要求水準（</t>
    </r>
    <r>
      <rPr>
        <sz val="9"/>
        <color rgb="FF808080"/>
        <rFont val="Arial"/>
        <family val="0"/>
        <charset val="1"/>
      </rPr>
      <t xml:space="preserve">100</t>
    </r>
    <r>
      <rPr>
        <sz val="9"/>
        <color rgb="FF808080"/>
        <rFont val="Noto Sans CJK SC"/>
        <family val="2"/>
      </rPr>
      <t xml:space="preserve">）に対してどちら側にいるか、時間を追ってどう動いているかを見ます。グラフには単位マスタの先頭</t>
    </r>
    <r>
      <rPr>
        <sz val="9"/>
        <color rgb="FF808080"/>
        <rFont val="Arial"/>
        <family val="0"/>
        <charset val="1"/>
      </rPr>
      <t xml:space="preserve">6</t>
    </r>
    <r>
      <rPr>
        <sz val="9"/>
        <color rgb="FF808080"/>
        <rFont val="Noto Sans CJK SC"/>
        <family val="2"/>
      </rPr>
      <t xml:space="preserve">件を表示します。</t>
    </r>
  </si>
  <si>
    <r>
      <rPr>
        <sz val="9"/>
        <color rgb="FF808080"/>
        <rFont val="Noto Sans CJK SC"/>
        <family val="2"/>
      </rPr>
      <t xml:space="preserve">単位</t>
    </r>
    <r>
      <rPr>
        <sz val="9"/>
        <color rgb="FF808080"/>
        <rFont val="Arial"/>
        <family val="0"/>
        <charset val="1"/>
      </rPr>
      <t xml:space="preserve">ID →</t>
    </r>
  </si>
  <si>
    <r>
      <rPr>
        <b val="true"/>
        <sz val="10"/>
        <color rgb="FF000000"/>
        <rFont val="Noto Sans CJK SC"/>
        <family val="2"/>
      </rPr>
      <t xml:space="preserve">経過</t>
    </r>
    <r>
      <rPr>
        <b val="true"/>
        <sz val="10"/>
        <color rgb="FF000000"/>
        <rFont val="Arial"/>
        <family val="0"/>
        <charset val="1"/>
      </rPr>
      <t xml:space="preserve">t</t>
    </r>
  </si>
  <si>
    <r>
      <rPr>
        <b val="true"/>
        <sz val="10"/>
        <color rgb="FF000000"/>
        <rFont val="Noto Sans CJK SC"/>
        <family val="2"/>
      </rPr>
      <t xml:space="preserve">要求水準（＝</t>
    </r>
    <r>
      <rPr>
        <b val="true"/>
        <sz val="10"/>
        <color rgb="FF000000"/>
        <rFont val="Arial"/>
        <family val="0"/>
        <charset val="1"/>
      </rPr>
      <t xml:space="preserve">100</t>
    </r>
    <r>
      <rPr>
        <b val="true"/>
        <sz val="10"/>
        <color rgb="FF000000"/>
        <rFont val="Noto Sans CJK SC"/>
        <family val="2"/>
      </rPr>
      <t xml:space="preserve">）</t>
    </r>
  </si>
  <si>
    <r>
      <rPr>
        <sz val="9"/>
        <color rgb="FF808080"/>
        <rFont val="Noto Sans CJK SC"/>
        <family val="2"/>
      </rPr>
      <t xml:space="preserve">※ 実績がまだ無い期は</t>
    </r>
    <r>
      <rPr>
        <sz val="9"/>
        <color rgb="FF808080"/>
        <rFont val="Arial"/>
        <family val="0"/>
        <charset val="1"/>
      </rPr>
      <t xml:space="preserve">0</t>
    </r>
    <r>
      <rPr>
        <sz val="9"/>
        <color rgb="FF808080"/>
        <rFont val="Noto Sans CJK SC"/>
        <family val="2"/>
      </rPr>
      <t xml:space="preserve">として描かれます。表示を絞りたい場合は、グラフのデータ範囲を実績のある行までに縮めてください。</t>
    </r>
  </si>
  <si>
    <r>
      <rPr>
        <sz val="9"/>
        <color rgb="FF808080"/>
        <rFont val="Noto Sans CJK SC"/>
        <family val="2"/>
      </rPr>
      <t xml:space="preserve">※ 表は単位マスタの先頭</t>
    </r>
    <r>
      <rPr>
        <sz val="9"/>
        <color rgb="FF808080"/>
        <rFont val="Arial"/>
        <family val="0"/>
        <charset val="1"/>
      </rPr>
      <t xml:space="preserve">6</t>
    </r>
    <r>
      <rPr>
        <sz val="9"/>
        <color rgb="FF808080"/>
        <rFont val="Noto Sans CJK SC"/>
        <family val="2"/>
      </rPr>
      <t xml:space="preserve">件ぶんの枠を用意しています。グラフは、記入例で埋まっている</t>
    </r>
    <r>
      <rPr>
        <sz val="9"/>
        <color rgb="FF808080"/>
        <rFont val="Arial"/>
        <family val="0"/>
        <charset val="1"/>
      </rPr>
      <t xml:space="preserve">2</t>
    </r>
    <r>
      <rPr>
        <sz val="9"/>
        <color rgb="FF808080"/>
        <rFont val="Noto Sans CJK SC"/>
        <family val="2"/>
      </rPr>
      <t xml:space="preserve">単位ぶんの系列で作ってあります。単位を増やしたら、グラフを右クリック→［データの選択］で列を追加してください。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</si>
</sst>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0.0"/>
    <numFmt numFmtId="167" formatCode="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9"/>
      <color rgb="FF80808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00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i val="true"/>
      <sz val="10"/>
      <color rgb="FF808080"/>
      <name val="Noto Sans CJK SC"/>
      <family val="2"/>
    </font>
    <font>
      <sz val="10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4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D9D9D9"/>
        <bgColor rgb="FFE8E8E8"/>
      </patternFill>
    </fill>
    <fill>
      <patternFill patternType="solid">
        <fgColor rgb="FFF2F2F2"/>
        <bgColor rgb="FFE8E8E8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E8E8E8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can-do到達率(y) の推移（要求水準＝100）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成長曲線!D5</c:f>
              <c:strCache>
                <c:ptCount val="1"/>
                <c:pt idx="0">
                  <c:v>ビジネスパートナー／ERP領域（専任）</c:v>
                </c:pt>
              </c:strCache>
            </c:strRef>
          </c:tx>
          <c:spPr>
            <a:solidFill>
              <a:srgbClr val="1f1f1f"/>
            </a:solidFill>
            <a:ln w="21960">
              <a:solidFill>
                <a:srgbClr val="1f1f1f"/>
              </a:solidFill>
              <a:round/>
            </a:ln>
          </c:spPr>
          <c:marker>
            <c:symbol val="circle"/>
            <c:size val="6"/>
            <c:spPr>
              <a:solidFill>
                <a:srgbClr val="1f1f1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成長曲線!$A$6:$A$14</c:f>
              <c:strCache>
                <c:ptCount val="9"/>
                <c:pt idx="0">
                  <c:v>2026 Q1</c:v>
                </c:pt>
                <c:pt idx="1">
                  <c:v>2026 Q2</c:v>
                </c:pt>
                <c:pt idx="2">
                  <c:v>2026 Q3</c:v>
                </c:pt>
                <c:pt idx="3">
                  <c:v>2026 Q4</c:v>
                </c:pt>
                <c:pt idx="4">
                  <c:v>2027 Q1</c:v>
                </c:pt>
                <c:pt idx="5">
                  <c:v>2027 Q2</c:v>
                </c:pt>
                <c:pt idx="6">
                  <c:v>2027 Q3</c:v>
                </c:pt>
                <c:pt idx="7">
                  <c:v>2027 Q4</c:v>
                </c:pt>
                <c:pt idx="8">
                  <c:v>2028 Q1</c:v>
                </c:pt>
              </c:strCache>
            </c:strRef>
          </c:cat>
          <c:val>
            <c:numRef>
              <c:f>成長曲線!$D$6:$D$14</c:f>
              <c:numCache>
                <c:formatCode>0.0</c:formatCode>
                <c:ptCount val="9"/>
                <c:pt idx="0">
                  <c:v>68.3666666666667</c:v>
                </c:pt>
                <c:pt idx="1">
                  <c:v>74.36</c:v>
                </c:pt>
                <c:pt idx="2">
                  <c:v>80.9714285714286</c:v>
                </c:pt>
                <c:pt idx="3">
                  <c:v>87.0555555555556</c:v>
                </c:pt>
                <c:pt idx="4">
                  <c:v>100.8375</c:v>
                </c:pt>
                <c:pt idx="5">
                  <c:v>106.428571428571</c:v>
                </c:pt>
                <c:pt idx="6">
                  <c:v>108.333333333333</c:v>
                </c:pt>
                <c:pt idx="7">
                  <c:v>105.55</c:v>
                </c:pt>
                <c:pt idx="8">
                  <c:v>102.5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成長曲線!E5</c:f>
              <c:strCache>
                <c:ptCount val="1"/>
                <c:pt idx="0">
                  <c:v>データアーキテクト／データ活用基盤</c:v>
                </c:pt>
              </c:strCache>
            </c:strRef>
          </c:tx>
          <c:spPr>
            <a:solidFill>
              <a:srgbClr val="595959"/>
            </a:solidFill>
            <a:ln w="21960">
              <a:solidFill>
                <a:srgbClr val="595959"/>
              </a:solidFill>
              <a:round/>
            </a:ln>
          </c:spPr>
          <c:marker>
            <c:symbol val="circle"/>
            <c:size val="6"/>
            <c:spPr>
              <a:solidFill>
                <a:srgbClr val="5959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成長曲線!$A$6:$A$14</c:f>
              <c:strCache>
                <c:ptCount val="9"/>
                <c:pt idx="0">
                  <c:v>2026 Q1</c:v>
                </c:pt>
                <c:pt idx="1">
                  <c:v>2026 Q2</c:v>
                </c:pt>
                <c:pt idx="2">
                  <c:v>2026 Q3</c:v>
                </c:pt>
                <c:pt idx="3">
                  <c:v>2026 Q4</c:v>
                </c:pt>
                <c:pt idx="4">
                  <c:v>2027 Q1</c:v>
                </c:pt>
                <c:pt idx="5">
                  <c:v>2027 Q2</c:v>
                </c:pt>
                <c:pt idx="6">
                  <c:v>2027 Q3</c:v>
                </c:pt>
                <c:pt idx="7">
                  <c:v>2027 Q4</c:v>
                </c:pt>
                <c:pt idx="8">
                  <c:v>2028 Q1</c:v>
                </c:pt>
              </c:strCache>
            </c:strRef>
          </c:cat>
          <c:val>
            <c:numRef>
              <c:f>成長曲線!$E$6:$E$14</c:f>
              <c:numCache>
                <c:formatCode>0.0</c:formatCode>
                <c:ptCount val="9"/>
                <c:pt idx="0">
                  <c:v>91.7</c:v>
                </c:pt>
                <c:pt idx="1">
                  <c:v>95.85</c:v>
                </c:pt>
                <c:pt idx="2">
                  <c:v>102.8</c:v>
                </c:pt>
                <c:pt idx="3">
                  <c:v>110.425</c:v>
                </c:pt>
                <c:pt idx="4">
                  <c:v>125</c:v>
                </c:pt>
                <c:pt idx="5">
                  <c:v>133.333333333333</c:v>
                </c:pt>
                <c:pt idx="6">
                  <c:v>147.233333333333</c:v>
                </c:pt>
                <c:pt idx="7">
                  <c:v>158.366666666667</c:v>
                </c:pt>
                <c:pt idx="8">
                  <c:v>163.933333333333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成長曲線!J5</c:f>
              <c:strCache>
                <c:ptCount val="1"/>
                <c:pt idx="0">
                  <c:v>要求水準（＝100）</c:v>
                </c:pt>
              </c:strCache>
            </c:strRef>
          </c:tx>
          <c:spPr>
            <a:solidFill>
              <a:srgbClr val="000000"/>
            </a:solidFill>
            <a:ln w="1404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成長曲線!$A$6:$A$14</c:f>
              <c:strCache>
                <c:ptCount val="9"/>
                <c:pt idx="0">
                  <c:v>2026 Q1</c:v>
                </c:pt>
                <c:pt idx="1">
                  <c:v>2026 Q2</c:v>
                </c:pt>
                <c:pt idx="2">
                  <c:v>2026 Q3</c:v>
                </c:pt>
                <c:pt idx="3">
                  <c:v>2026 Q4</c:v>
                </c:pt>
                <c:pt idx="4">
                  <c:v>2027 Q1</c:v>
                </c:pt>
                <c:pt idx="5">
                  <c:v>2027 Q2</c:v>
                </c:pt>
                <c:pt idx="6">
                  <c:v>2027 Q3</c:v>
                </c:pt>
                <c:pt idx="7">
                  <c:v>2027 Q4</c:v>
                </c:pt>
                <c:pt idx="8">
                  <c:v>2028 Q1</c:v>
                </c:pt>
              </c:strCache>
            </c:strRef>
          </c:cat>
          <c:val>
            <c:numRef>
              <c:f>成長曲線!$J$6:$J$14</c:f>
              <c:numCache>
                <c:formatCode>0.0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4560976"/>
        <c:axId val="73561303"/>
      </c:lineChart>
      <c:catAx>
        <c:axId val="445609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四半期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561303"/>
        <c:crosses val="autoZero"/>
        <c:auto val="1"/>
        <c:lblAlgn val="ctr"/>
        <c:lblOffset val="100"/>
        <c:noMultiLvlLbl val="0"/>
      </c:catAx>
      <c:valAx>
        <c:axId val="735613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can-do到達率 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609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106920</xdr:rowOff>
    </xdr:from>
    <xdr:to>
      <xdr:col>6</xdr:col>
      <xdr:colOff>1082520</xdr:colOff>
      <xdr:row>36</xdr:row>
      <xdr:rowOff>65880</xdr:rowOff>
    </xdr:to>
    <xdr:graphicFrame>
      <xdr:nvGraphicFramePr>
        <xdr:cNvPr id="0" name="Chart 1"/>
        <xdr:cNvGraphicFramePr/>
      </xdr:nvGraphicFramePr>
      <xdr:xfrm>
        <a:off x="0" y="325764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9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/>
      <c r="B7" s="4"/>
    </row>
    <row r="8" customFormat="false" ht="15" hidden="false" customHeight="false" outlineLevel="0" collapsed="false">
      <c r="A8" s="3" t="s">
        <v>8</v>
      </c>
      <c r="B8" s="4" t="s">
        <v>9</v>
      </c>
    </row>
    <row r="9" customFormat="false" ht="15" hidden="false" customHeight="false" outlineLevel="0" collapsed="false">
      <c r="A9" s="3" t="s">
        <v>10</v>
      </c>
      <c r="B9" s="4" t="s">
        <v>11</v>
      </c>
    </row>
    <row r="10" customFormat="false" ht="15" hidden="false" customHeight="false" outlineLevel="0" collapsed="false">
      <c r="A10" s="3"/>
      <c r="B10" s="4"/>
    </row>
    <row r="11" customFormat="false" ht="15" hidden="false" customHeight="false" outlineLevel="0" collapsed="false">
      <c r="A11" s="3" t="s">
        <v>12</v>
      </c>
      <c r="B11" s="4" t="s">
        <v>13</v>
      </c>
    </row>
    <row r="12" customFormat="false" ht="15" hidden="false" customHeight="false" outlineLevel="0" collapsed="false">
      <c r="A12" s="3"/>
      <c r="B12" s="4" t="s">
        <v>14</v>
      </c>
    </row>
    <row r="13" customFormat="false" ht="15" hidden="false" customHeight="false" outlineLevel="0" collapsed="false">
      <c r="A13" s="3"/>
      <c r="B13" s="4" t="s">
        <v>15</v>
      </c>
    </row>
    <row r="14" customFormat="false" ht="15" hidden="false" customHeight="false" outlineLevel="0" collapsed="false">
      <c r="A14" s="3"/>
      <c r="B14" s="4" t="s">
        <v>16</v>
      </c>
    </row>
    <row r="15" customFormat="false" ht="15" hidden="false" customHeight="false" outlineLevel="0" collapsed="false">
      <c r="A15" s="3"/>
      <c r="B15" s="4"/>
    </row>
    <row r="16" customFormat="false" ht="15" hidden="false" customHeight="false" outlineLevel="0" collapsed="false">
      <c r="A16" s="3" t="s">
        <v>17</v>
      </c>
      <c r="B16" s="4" t="s">
        <v>18</v>
      </c>
    </row>
    <row r="17" customFormat="false" ht="15" hidden="false" customHeight="false" outlineLevel="0" collapsed="false">
      <c r="A17" s="3" t="s">
        <v>19</v>
      </c>
      <c r="B17" s="4" t="s">
        <v>20</v>
      </c>
    </row>
    <row r="18" customFormat="false" ht="15" hidden="false" customHeight="false" outlineLevel="0" collapsed="false">
      <c r="A18" s="3"/>
      <c r="B18" s="4" t="s">
        <v>21</v>
      </c>
    </row>
    <row r="19" customFormat="false" ht="15" hidden="false" customHeight="false" outlineLevel="0" collapsed="false">
      <c r="A19" s="3"/>
      <c r="B19" s="4"/>
    </row>
    <row r="20" customFormat="false" ht="15" hidden="false" customHeight="false" outlineLevel="0" collapsed="false">
      <c r="A20" s="3" t="s">
        <v>22</v>
      </c>
      <c r="B20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52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18"/>
    <col collapsed="false" customWidth="true" hidden="false" outlineLevel="0" max="7" min="7" style="0" width="62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6" t="s">
        <v>25</v>
      </c>
    </row>
    <row r="3" customFormat="false" ht="17.15" hidden="false" customHeight="false" outlineLevel="0" collapsed="false">
      <c r="A3" s="7" t="s">
        <v>26</v>
      </c>
      <c r="B3" s="8"/>
      <c r="C3" s="8"/>
      <c r="D3" s="8"/>
      <c r="E3" s="8"/>
      <c r="F3" s="8"/>
      <c r="G3" s="8"/>
    </row>
    <row r="4" customFormat="false" ht="15" hidden="false" customHeight="false" outlineLevel="0" collapsed="false">
      <c r="A4" s="9" t="s">
        <v>27</v>
      </c>
      <c r="B4" s="9" t="s">
        <v>28</v>
      </c>
      <c r="C4" s="9" t="s">
        <v>29</v>
      </c>
      <c r="D4" s="9" t="s">
        <v>30</v>
      </c>
      <c r="E4" s="9" t="s">
        <v>31</v>
      </c>
      <c r="F4" s="9" t="s">
        <v>32</v>
      </c>
      <c r="G4" s="9" t="s">
        <v>33</v>
      </c>
    </row>
    <row r="5" customFormat="false" ht="29.85" hidden="false" customHeight="false" outlineLevel="0" collapsed="false">
      <c r="A5" s="10" t="s">
        <v>34</v>
      </c>
      <c r="B5" s="11" t="s">
        <v>35</v>
      </c>
      <c r="C5" s="10" t="s">
        <v>36</v>
      </c>
      <c r="D5" s="11" t="s">
        <v>37</v>
      </c>
      <c r="E5" s="10" t="n">
        <v>70</v>
      </c>
      <c r="F5" s="10" t="n">
        <v>30</v>
      </c>
      <c r="G5" s="10" t="s">
        <v>38</v>
      </c>
    </row>
    <row r="6" customFormat="false" ht="15" hidden="false" customHeight="false" outlineLevel="0" collapsed="false">
      <c r="A6" s="10" t="s">
        <v>39</v>
      </c>
      <c r="B6" s="11" t="s">
        <v>40</v>
      </c>
      <c r="C6" s="11" t="s">
        <v>41</v>
      </c>
      <c r="D6" s="11" t="s">
        <v>42</v>
      </c>
      <c r="E6" s="10" t="n">
        <v>50</v>
      </c>
      <c r="F6" s="10" t="n">
        <v>50</v>
      </c>
      <c r="G6" s="11" t="s">
        <v>43</v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</row>
    <row r="15" customFormat="false" ht="15" hidden="false" customHeight="false" outlineLevel="0" collapsed="false">
      <c r="A15" s="6" t="s">
        <v>44</v>
      </c>
    </row>
    <row r="16" customFormat="false" ht="17.15" hidden="false" customHeight="false" outlineLevel="0" collapsed="false">
      <c r="A16" s="7" t="s">
        <v>45</v>
      </c>
      <c r="B16" s="8"/>
      <c r="C16" s="8"/>
      <c r="D16" s="8"/>
      <c r="E16" s="8"/>
    </row>
    <row r="17" customFormat="false" ht="15" hidden="false" customHeight="false" outlineLevel="0" collapsed="false">
      <c r="A17" s="9" t="s">
        <v>46</v>
      </c>
      <c r="B17" s="9" t="s">
        <v>47</v>
      </c>
      <c r="C17" s="9" t="s">
        <v>27</v>
      </c>
      <c r="D17" s="9" t="s">
        <v>48</v>
      </c>
      <c r="E17" s="9" t="s">
        <v>49</v>
      </c>
    </row>
    <row r="18" customFormat="false" ht="15" hidden="false" customHeight="false" outlineLevel="0" collapsed="false">
      <c r="A18" s="10" t="s">
        <v>50</v>
      </c>
      <c r="B18" s="11" t="s">
        <v>51</v>
      </c>
      <c r="C18" s="10" t="s">
        <v>34</v>
      </c>
      <c r="D18" s="11" t="s">
        <v>52</v>
      </c>
      <c r="E18" s="10"/>
    </row>
    <row r="19" customFormat="false" ht="15" hidden="false" customHeight="false" outlineLevel="0" collapsed="false">
      <c r="A19" s="10" t="s">
        <v>53</v>
      </c>
      <c r="B19" s="11" t="s">
        <v>54</v>
      </c>
      <c r="C19" s="10" t="s">
        <v>34</v>
      </c>
      <c r="D19" s="11" t="s">
        <v>55</v>
      </c>
      <c r="E19" s="10"/>
    </row>
    <row r="20" customFormat="false" ht="15" hidden="false" customHeight="false" outlineLevel="0" collapsed="false">
      <c r="A20" s="10" t="s">
        <v>56</v>
      </c>
      <c r="B20" s="11" t="s">
        <v>57</v>
      </c>
      <c r="C20" s="10" t="s">
        <v>39</v>
      </c>
      <c r="D20" s="11" t="s">
        <v>52</v>
      </c>
      <c r="E20" s="10"/>
    </row>
    <row r="21" customFormat="false" ht="15" hidden="false" customHeight="false" outlineLevel="0" collapsed="false">
      <c r="A21" s="12"/>
      <c r="B21" s="12"/>
      <c r="C21" s="12"/>
      <c r="D21" s="12"/>
      <c r="E21" s="12"/>
    </row>
    <row r="22" customFormat="false" ht="15" hidden="false" customHeight="false" outlineLevel="0" collapsed="false">
      <c r="A22" s="12"/>
      <c r="B22" s="12"/>
      <c r="C22" s="12"/>
      <c r="D22" s="12"/>
      <c r="E22" s="12"/>
    </row>
    <row r="23" customFormat="false" ht="15" hidden="false" customHeight="false" outlineLevel="0" collapsed="false">
      <c r="A23" s="12"/>
      <c r="B23" s="12"/>
      <c r="C23" s="12"/>
      <c r="D23" s="12"/>
      <c r="E23" s="12"/>
    </row>
    <row r="24" customFormat="false" ht="15" hidden="false" customHeight="false" outlineLevel="0" collapsed="false">
      <c r="A24" s="12"/>
      <c r="B24" s="12"/>
      <c r="C24" s="12"/>
      <c r="D24" s="12"/>
      <c r="E24" s="12"/>
    </row>
    <row r="25" customFormat="false" ht="15" hidden="false" customHeight="false" outlineLevel="0" collapsed="false">
      <c r="A25" s="12"/>
      <c r="B25" s="12"/>
      <c r="C25" s="12"/>
      <c r="D25" s="12"/>
      <c r="E25" s="12"/>
    </row>
    <row r="26" customFormat="false" ht="15" hidden="false" customHeight="false" outlineLevel="0" collapsed="false">
      <c r="A26" s="12"/>
      <c r="B26" s="12"/>
      <c r="C26" s="12"/>
      <c r="D26" s="12"/>
      <c r="E26" s="12"/>
    </row>
    <row r="27" customFormat="false" ht="15" hidden="false" customHeight="false" outlineLevel="0" collapsed="false">
      <c r="A27" s="12"/>
      <c r="B27" s="12"/>
      <c r="C27" s="12"/>
      <c r="D27" s="12"/>
      <c r="E27" s="12"/>
    </row>
    <row r="28" customFormat="false" ht="15" hidden="false" customHeight="false" outlineLevel="0" collapsed="false">
      <c r="A28" s="12"/>
      <c r="B28" s="12"/>
      <c r="C28" s="12"/>
      <c r="D28" s="12"/>
      <c r="E28" s="12"/>
    </row>
    <row r="29" customFormat="false" ht="15" hidden="false" customHeight="false" outlineLevel="0" collapsed="false">
      <c r="A29" s="12"/>
      <c r="B29" s="12"/>
      <c r="C29" s="12"/>
      <c r="D29" s="12"/>
      <c r="E29" s="12"/>
    </row>
    <row r="30" customFormat="false" ht="15" hidden="false" customHeight="false" outlineLevel="0" collapsed="false">
      <c r="A30" s="12"/>
      <c r="B30" s="12"/>
      <c r="C30" s="12"/>
      <c r="D30" s="12"/>
      <c r="E30" s="12"/>
    </row>
    <row r="31" customFormat="false" ht="15" hidden="false" customHeight="false" outlineLevel="0" collapsed="false">
      <c r="A31" s="12"/>
      <c r="B31" s="12"/>
      <c r="C31" s="12"/>
      <c r="D31" s="12"/>
      <c r="E31" s="12"/>
    </row>
    <row r="32" customFormat="false" ht="15" hidden="false" customHeight="false" outlineLevel="0" collapsed="false">
      <c r="A32" s="12"/>
      <c r="B32" s="12"/>
      <c r="C32" s="12"/>
      <c r="D32" s="12"/>
      <c r="E32" s="12"/>
    </row>
    <row r="33" customFormat="false" ht="15" hidden="false" customHeight="false" outlineLevel="0" collapsed="false">
      <c r="A33" s="12"/>
      <c r="B33" s="12"/>
      <c r="C33" s="12"/>
      <c r="D33" s="12"/>
      <c r="E33" s="12"/>
    </row>
    <row r="34" customFormat="false" ht="15" hidden="false" customHeight="false" outlineLevel="0" collapsed="false">
      <c r="A34" s="12"/>
      <c r="B34" s="12"/>
      <c r="C34" s="12"/>
      <c r="D34" s="12"/>
      <c r="E34" s="12"/>
    </row>
    <row r="35" customFormat="false" ht="15" hidden="false" customHeight="false" outlineLevel="0" collapsed="false">
      <c r="A35" s="12"/>
      <c r="B35" s="12"/>
      <c r="C35" s="12"/>
      <c r="D35" s="12"/>
      <c r="E35" s="12"/>
    </row>
    <row r="36" customFormat="false" ht="15" hidden="false" customHeight="false" outlineLevel="0" collapsed="false">
      <c r="A36" s="12"/>
      <c r="B36" s="12"/>
      <c r="C36" s="12"/>
      <c r="D36" s="12"/>
      <c r="E36" s="12"/>
    </row>
    <row r="37" customFormat="false" ht="15" hidden="false" customHeight="false" outlineLevel="0" collapsed="false">
      <c r="A37" s="12"/>
      <c r="B37" s="12"/>
      <c r="C37" s="12"/>
      <c r="D37" s="12"/>
      <c r="E37" s="12"/>
    </row>
    <row r="39" customFormat="false" ht="17.15" hidden="false" customHeight="false" outlineLevel="0" collapsed="false">
      <c r="A39" s="7" t="s">
        <v>58</v>
      </c>
      <c r="B39" s="8"/>
      <c r="C39" s="8"/>
    </row>
    <row r="40" customFormat="false" ht="15" hidden="false" customHeight="false" outlineLevel="0" collapsed="false">
      <c r="A40" s="9" t="s">
        <v>59</v>
      </c>
      <c r="B40" s="9" t="s">
        <v>60</v>
      </c>
      <c r="C40" s="9" t="s">
        <v>61</v>
      </c>
    </row>
    <row r="41" customFormat="false" ht="15" hidden="false" customHeight="false" outlineLevel="0" collapsed="false">
      <c r="A41" s="13" t="s">
        <v>62</v>
      </c>
      <c r="B41" s="14" t="n">
        <v>46112</v>
      </c>
      <c r="C41" s="13" t="n">
        <v>0</v>
      </c>
    </row>
    <row r="42" customFormat="false" ht="15" hidden="false" customHeight="false" outlineLevel="0" collapsed="false">
      <c r="A42" s="13" t="s">
        <v>63</v>
      </c>
      <c r="B42" s="14" t="n">
        <v>46203</v>
      </c>
      <c r="C42" s="13" t="n">
        <v>12.5</v>
      </c>
    </row>
    <row r="43" customFormat="false" ht="15" hidden="false" customHeight="false" outlineLevel="0" collapsed="false">
      <c r="A43" s="13" t="s">
        <v>64</v>
      </c>
      <c r="B43" s="14" t="n">
        <v>46295</v>
      </c>
      <c r="C43" s="13" t="n">
        <v>25</v>
      </c>
    </row>
    <row r="44" customFormat="false" ht="15" hidden="false" customHeight="false" outlineLevel="0" collapsed="false">
      <c r="A44" s="13" t="s">
        <v>65</v>
      </c>
      <c r="B44" s="14" t="n">
        <v>46387</v>
      </c>
      <c r="C44" s="13" t="n">
        <v>37.5</v>
      </c>
    </row>
    <row r="45" customFormat="false" ht="15" hidden="false" customHeight="false" outlineLevel="0" collapsed="false">
      <c r="A45" s="13" t="s">
        <v>66</v>
      </c>
      <c r="B45" s="14" t="n">
        <v>46477</v>
      </c>
      <c r="C45" s="13" t="n">
        <v>50</v>
      </c>
    </row>
    <row r="46" customFormat="false" ht="15" hidden="false" customHeight="false" outlineLevel="0" collapsed="false">
      <c r="A46" s="13" t="s">
        <v>67</v>
      </c>
      <c r="B46" s="14" t="n">
        <v>46568</v>
      </c>
      <c r="C46" s="13" t="n">
        <v>62.5</v>
      </c>
    </row>
    <row r="47" customFormat="false" ht="15" hidden="false" customHeight="false" outlineLevel="0" collapsed="false">
      <c r="A47" s="13" t="s">
        <v>68</v>
      </c>
      <c r="B47" s="14" t="n">
        <v>46660</v>
      </c>
      <c r="C47" s="13" t="n">
        <v>75</v>
      </c>
    </row>
    <row r="48" customFormat="false" ht="15" hidden="false" customHeight="false" outlineLevel="0" collapsed="false">
      <c r="A48" s="13" t="s">
        <v>69</v>
      </c>
      <c r="B48" s="14" t="n">
        <v>46752</v>
      </c>
      <c r="C48" s="13" t="n">
        <v>87.5</v>
      </c>
    </row>
    <row r="49" customFormat="false" ht="15" hidden="false" customHeight="false" outlineLevel="0" collapsed="false">
      <c r="A49" s="13" t="s">
        <v>70</v>
      </c>
      <c r="B49" s="14" t="n">
        <v>46843</v>
      </c>
      <c r="C49" s="13" t="n">
        <v>100</v>
      </c>
    </row>
    <row r="50" customFormat="false" ht="15" hidden="false" customHeight="false" outlineLevel="0" collapsed="false">
      <c r="A50" s="6" t="s">
        <v>71</v>
      </c>
    </row>
    <row r="51" customFormat="false" ht="17.15" hidden="false" customHeight="false" outlineLevel="0" collapsed="false">
      <c r="A51" s="7" t="s">
        <v>72</v>
      </c>
      <c r="B51" s="8"/>
    </row>
    <row r="52" customFormat="false" ht="15" hidden="false" customHeight="false" outlineLevel="0" collapsed="false">
      <c r="A52" s="9" t="s">
        <v>73</v>
      </c>
      <c r="B52" s="9" t="s">
        <v>74</v>
      </c>
    </row>
    <row r="53" customFormat="false" ht="15" hidden="false" customHeight="false" outlineLevel="0" collapsed="false">
      <c r="A53" s="15" t="s">
        <v>75</v>
      </c>
      <c r="B53" s="15" t="s">
        <v>76</v>
      </c>
    </row>
    <row r="54" customFormat="false" ht="15" hidden="false" customHeight="false" outlineLevel="0" collapsed="false">
      <c r="A54" s="15" t="s">
        <v>77</v>
      </c>
      <c r="B54" s="15" t="s">
        <v>78</v>
      </c>
    </row>
    <row r="55" customFormat="false" ht="15" hidden="false" customHeight="false" outlineLevel="0" collapsed="false">
      <c r="A55" s="15" t="s">
        <v>79</v>
      </c>
      <c r="B55" s="15" t="s">
        <v>80</v>
      </c>
    </row>
    <row r="57" customFormat="false" ht="17.15" hidden="false" customHeight="false" outlineLevel="0" collapsed="false">
      <c r="A57" s="7" t="s">
        <v>81</v>
      </c>
      <c r="B57" s="8"/>
      <c r="C57" s="8"/>
      <c r="D57" s="8"/>
    </row>
    <row r="58" customFormat="false" ht="15" hidden="false" customHeight="false" outlineLevel="0" collapsed="false">
      <c r="A58" s="9" t="s">
        <v>82</v>
      </c>
      <c r="B58" s="9" t="s">
        <v>83</v>
      </c>
      <c r="C58" s="9" t="s">
        <v>84</v>
      </c>
      <c r="D58" s="16" t="s">
        <v>85</v>
      </c>
    </row>
    <row r="59" customFormat="false" ht="29.85" hidden="false" customHeight="false" outlineLevel="0" collapsed="false">
      <c r="A59" s="17" t="n">
        <v>5</v>
      </c>
      <c r="B59" s="18" t="s">
        <v>86</v>
      </c>
      <c r="C59" s="18" t="s">
        <v>87</v>
      </c>
      <c r="D59" s="17" t="n">
        <v>167</v>
      </c>
    </row>
    <row r="60" customFormat="false" ht="29.85" hidden="false" customHeight="false" outlineLevel="0" collapsed="false">
      <c r="A60" s="17" t="n">
        <v>4</v>
      </c>
      <c r="B60" s="18" t="s">
        <v>88</v>
      </c>
      <c r="C60" s="18" t="s">
        <v>89</v>
      </c>
      <c r="D60" s="17" t="n">
        <v>133</v>
      </c>
    </row>
    <row r="61" customFormat="false" ht="29.85" hidden="false" customHeight="false" outlineLevel="0" collapsed="false">
      <c r="A61" s="19" t="n">
        <v>3</v>
      </c>
      <c r="B61" s="20" t="s">
        <v>90</v>
      </c>
      <c r="C61" s="20" t="s">
        <v>91</v>
      </c>
      <c r="D61" s="20" t="n">
        <v>100</v>
      </c>
    </row>
    <row r="62" customFormat="false" ht="29.85" hidden="false" customHeight="false" outlineLevel="0" collapsed="false">
      <c r="A62" s="17" t="n">
        <v>2</v>
      </c>
      <c r="B62" s="18" t="s">
        <v>92</v>
      </c>
      <c r="C62" s="18" t="s">
        <v>93</v>
      </c>
      <c r="D62" s="17" t="n">
        <v>67</v>
      </c>
    </row>
    <row r="63" customFormat="false" ht="29.85" hidden="false" customHeight="false" outlineLevel="0" collapsed="false">
      <c r="A63" s="17" t="n">
        <v>1</v>
      </c>
      <c r="B63" s="18" t="s">
        <v>94</v>
      </c>
      <c r="C63" s="18" t="s">
        <v>95</v>
      </c>
      <c r="D63" s="17" t="n">
        <v>33</v>
      </c>
    </row>
    <row r="64" customFormat="false" ht="15" hidden="false" customHeight="false" outlineLevel="0" collapsed="false">
      <c r="A64" s="6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14"/>
    <col collapsed="false" customWidth="true" hidden="false" outlineLevel="0" max="16" min="16" style="0" width="10"/>
    <col collapsed="false" customWidth="true" hidden="false" outlineLevel="0" max="17" min="17" style="0" width="14"/>
    <col collapsed="false" customWidth="true" hidden="false" outlineLevel="0" max="18" min="18" style="0" width="10"/>
    <col collapsed="false" customWidth="true" hidden="false" outlineLevel="0" max="19" min="19" style="0" width="16"/>
    <col collapsed="false" customWidth="true" hidden="false" outlineLevel="0" max="20" min="20" style="0" width="13"/>
    <col collapsed="false" customWidth="true" hidden="false" outlineLevel="0" max="21" min="21" style="0" width="16"/>
    <col collapsed="false" customWidth="true" hidden="false" outlineLevel="0" max="22" min="22" style="0" width="13"/>
    <col collapsed="false" customWidth="true" hidden="false" outlineLevel="0" max="23" min="23" style="0" width="24"/>
  </cols>
  <sheetData>
    <row r="1" customFormat="false" ht="21.6" hidden="false" customHeight="false" outlineLevel="0" collapsed="false">
      <c r="A1" s="1" t="s">
        <v>97</v>
      </c>
      <c r="I1" s="6" t="s">
        <v>98</v>
      </c>
    </row>
    <row r="2" customFormat="false" ht="33.75" hidden="false" customHeight="true" outlineLevel="0" collapsed="false">
      <c r="A2" s="21" t="s">
        <v>99</v>
      </c>
      <c r="B2" s="21" t="s">
        <v>100</v>
      </c>
      <c r="C2" s="21" t="s">
        <v>101</v>
      </c>
      <c r="D2" s="21" t="s">
        <v>46</v>
      </c>
      <c r="E2" s="21" t="s">
        <v>102</v>
      </c>
      <c r="F2" s="21" t="s">
        <v>27</v>
      </c>
      <c r="G2" s="21" t="s">
        <v>103</v>
      </c>
      <c r="H2" s="21" t="s">
        <v>104</v>
      </c>
      <c r="I2" s="21" t="s">
        <v>105</v>
      </c>
      <c r="J2" s="21" t="s">
        <v>106</v>
      </c>
      <c r="K2" s="21" t="s">
        <v>107</v>
      </c>
      <c r="L2" s="21" t="s">
        <v>108</v>
      </c>
      <c r="M2" s="21" t="s">
        <v>109</v>
      </c>
      <c r="N2" s="21" t="s">
        <v>110</v>
      </c>
      <c r="O2" s="21" t="s">
        <v>111</v>
      </c>
      <c r="P2" s="21" t="s">
        <v>112</v>
      </c>
      <c r="Q2" s="21" t="s">
        <v>113</v>
      </c>
      <c r="R2" s="21" t="s">
        <v>114</v>
      </c>
      <c r="S2" s="21" t="s">
        <v>115</v>
      </c>
      <c r="T2" s="21" t="s">
        <v>116</v>
      </c>
      <c r="U2" s="21" t="s">
        <v>117</v>
      </c>
      <c r="V2" s="21" t="s">
        <v>118</v>
      </c>
      <c r="W2" s="21" t="s">
        <v>49</v>
      </c>
    </row>
    <row r="3" customFormat="false" ht="15" hidden="false" customHeight="false" outlineLevel="0" collapsed="false">
      <c r="A3" s="22" t="s">
        <v>119</v>
      </c>
      <c r="B3" s="23" t="s">
        <v>120</v>
      </c>
      <c r="C3" s="24" t="n">
        <v>46063</v>
      </c>
      <c r="D3" s="22" t="s">
        <v>50</v>
      </c>
      <c r="E3" s="22" t="str">
        <f aca="false">IFERROR(INDEX(マスタ設定!$B$18:$B$37,MATCH($D3,マスタ設定!$A$18:$A$37,0)),"")</f>
        <v>佐藤（記入例）</v>
      </c>
      <c r="F3" s="22" t="str">
        <f aca="false">IFERROR(INDEX(マスタ設定!$C$18:$C$37,MATCH($D3,マスタ設定!$A$18:$A$37,0)),"")</f>
        <v>U01</v>
      </c>
      <c r="G3" s="23" t="s">
        <v>121</v>
      </c>
      <c r="H3" s="23" t="s">
        <v>122</v>
      </c>
      <c r="I3" s="23" t="s">
        <v>123</v>
      </c>
      <c r="J3" s="22" t="n">
        <v>2</v>
      </c>
      <c r="K3" s="23" t="s">
        <v>124</v>
      </c>
      <c r="L3" s="22" t="n">
        <v>2</v>
      </c>
      <c r="M3" s="23" t="s">
        <v>125</v>
      </c>
      <c r="N3" s="22" t="n">
        <v>3</v>
      </c>
      <c r="O3" s="22"/>
      <c r="P3" s="22"/>
      <c r="Q3" s="22"/>
      <c r="R3" s="22"/>
      <c r="S3" s="23" t="s">
        <v>126</v>
      </c>
      <c r="T3" s="22" t="n">
        <v>2</v>
      </c>
      <c r="U3" s="23" t="s">
        <v>127</v>
      </c>
      <c r="V3" s="22" t="n">
        <v>2</v>
      </c>
      <c r="W3" s="23" t="s">
        <v>128</v>
      </c>
    </row>
    <row r="4" customFormat="false" ht="15" hidden="false" customHeight="false" outlineLevel="0" collapsed="false">
      <c r="A4" s="22" t="s">
        <v>129</v>
      </c>
      <c r="B4" s="23" t="s">
        <v>130</v>
      </c>
      <c r="C4" s="24" t="n">
        <v>46086</v>
      </c>
      <c r="D4" s="22" t="s">
        <v>50</v>
      </c>
      <c r="E4" s="22" t="str">
        <f aca="false">IFERROR(INDEX(マスタ設定!$B$18:$B$37,MATCH($D4,マスタ設定!$A$18:$A$37,0)),"")</f>
        <v>佐藤（記入例）</v>
      </c>
      <c r="F4" s="22" t="str">
        <f aca="false">IFERROR(INDEX(マスタ設定!$C$18:$C$37,MATCH($D4,マスタ設定!$A$18:$A$37,0)),"")</f>
        <v>U01</v>
      </c>
      <c r="G4" s="23" t="s">
        <v>121</v>
      </c>
      <c r="H4" s="23" t="s">
        <v>131</v>
      </c>
      <c r="I4" s="23" t="s">
        <v>123</v>
      </c>
      <c r="J4" s="22" t="n">
        <v>3</v>
      </c>
      <c r="K4" s="23" t="s">
        <v>124</v>
      </c>
      <c r="L4" s="22" t="n">
        <v>2</v>
      </c>
      <c r="M4" s="23" t="s">
        <v>125</v>
      </c>
      <c r="N4" s="22" t="n">
        <v>2</v>
      </c>
      <c r="O4" s="22"/>
      <c r="P4" s="22"/>
      <c r="Q4" s="22"/>
      <c r="R4" s="22"/>
      <c r="S4" s="23" t="s">
        <v>126</v>
      </c>
      <c r="T4" s="22" t="n">
        <v>2</v>
      </c>
      <c r="U4" s="23" t="s">
        <v>127</v>
      </c>
      <c r="V4" s="22" t="n">
        <v>3</v>
      </c>
      <c r="W4" s="23" t="s">
        <v>128</v>
      </c>
    </row>
    <row r="5" customFormat="false" ht="15" hidden="false" customHeight="false" outlineLevel="0" collapsed="false">
      <c r="A5" s="22" t="s">
        <v>132</v>
      </c>
      <c r="B5" s="23" t="s">
        <v>133</v>
      </c>
      <c r="C5" s="24" t="n">
        <v>46162</v>
      </c>
      <c r="D5" s="22" t="s">
        <v>50</v>
      </c>
      <c r="E5" s="22" t="str">
        <f aca="false">IFERROR(INDEX(マスタ設定!$B$18:$B$37,MATCH($D5,マスタ設定!$A$18:$A$37,0)),"")</f>
        <v>佐藤（記入例）</v>
      </c>
      <c r="F5" s="22" t="str">
        <f aca="false">IFERROR(INDEX(マスタ設定!$C$18:$C$37,MATCH($D5,マスタ設定!$A$18:$A$37,0)),"")</f>
        <v>U01</v>
      </c>
      <c r="G5" s="23" t="s">
        <v>134</v>
      </c>
      <c r="H5" s="23" t="s">
        <v>122</v>
      </c>
      <c r="I5" s="23" t="s">
        <v>123</v>
      </c>
      <c r="J5" s="22" t="n">
        <v>3</v>
      </c>
      <c r="K5" s="23" t="s">
        <v>124</v>
      </c>
      <c r="L5" s="22" t="n">
        <v>3</v>
      </c>
      <c r="M5" s="23" t="s">
        <v>125</v>
      </c>
      <c r="N5" s="22" t="n">
        <v>2</v>
      </c>
      <c r="O5" s="23" t="s">
        <v>135</v>
      </c>
      <c r="P5" s="22" t="n">
        <v>3</v>
      </c>
      <c r="Q5" s="22"/>
      <c r="R5" s="22"/>
      <c r="S5" s="23" t="s">
        <v>126</v>
      </c>
      <c r="T5" s="22" t="n">
        <v>3</v>
      </c>
      <c r="U5" s="23" t="s">
        <v>127</v>
      </c>
      <c r="V5" s="22" t="n">
        <v>3</v>
      </c>
      <c r="W5" s="23" t="s">
        <v>128</v>
      </c>
    </row>
    <row r="6" customFormat="false" ht="15" hidden="false" customHeight="false" outlineLevel="0" collapsed="false">
      <c r="A6" s="22" t="s">
        <v>136</v>
      </c>
      <c r="B6" s="23" t="s">
        <v>137</v>
      </c>
      <c r="C6" s="24" t="n">
        <v>46246</v>
      </c>
      <c r="D6" s="22" t="s">
        <v>50</v>
      </c>
      <c r="E6" s="22" t="str">
        <f aca="false">IFERROR(INDEX(マスタ設定!$B$18:$B$37,MATCH($D6,マスタ設定!$A$18:$A$37,0)),"")</f>
        <v>佐藤（記入例）</v>
      </c>
      <c r="F6" s="22" t="str">
        <f aca="false">IFERROR(INDEX(マスタ設定!$C$18:$C$37,MATCH($D6,マスタ設定!$A$18:$A$37,0)),"")</f>
        <v>U01</v>
      </c>
      <c r="G6" s="23" t="s">
        <v>121</v>
      </c>
      <c r="H6" s="23" t="s">
        <v>122</v>
      </c>
      <c r="I6" s="23" t="s">
        <v>123</v>
      </c>
      <c r="J6" s="22" t="n">
        <v>3</v>
      </c>
      <c r="K6" s="23" t="s">
        <v>124</v>
      </c>
      <c r="L6" s="22" t="n">
        <v>3</v>
      </c>
      <c r="M6" s="23" t="s">
        <v>125</v>
      </c>
      <c r="N6" s="22" t="n">
        <v>3</v>
      </c>
      <c r="O6" s="22"/>
      <c r="P6" s="22"/>
      <c r="Q6" s="22"/>
      <c r="R6" s="22"/>
      <c r="S6" s="23" t="s">
        <v>126</v>
      </c>
      <c r="T6" s="22" t="n">
        <v>3</v>
      </c>
      <c r="U6" s="23" t="s">
        <v>127</v>
      </c>
      <c r="V6" s="22" t="n">
        <v>3</v>
      </c>
      <c r="W6" s="23" t="s">
        <v>128</v>
      </c>
    </row>
    <row r="7" customFormat="false" ht="15" hidden="false" customHeight="false" outlineLevel="0" collapsed="false">
      <c r="A7" s="22" t="s">
        <v>138</v>
      </c>
      <c r="B7" s="23" t="s">
        <v>139</v>
      </c>
      <c r="C7" s="24" t="n">
        <v>46344</v>
      </c>
      <c r="D7" s="22" t="s">
        <v>50</v>
      </c>
      <c r="E7" s="22" t="str">
        <f aca="false">IFERROR(INDEX(マスタ設定!$B$18:$B$37,MATCH($D7,マスタ設定!$A$18:$A$37,0)),"")</f>
        <v>佐藤（記入例）</v>
      </c>
      <c r="F7" s="22" t="str">
        <f aca="false">IFERROR(INDEX(マスタ設定!$C$18:$C$37,MATCH($D7,マスタ設定!$A$18:$A$37,0)),"")</f>
        <v>U01</v>
      </c>
      <c r="G7" s="23" t="s">
        <v>140</v>
      </c>
      <c r="H7" s="23" t="s">
        <v>141</v>
      </c>
      <c r="I7" s="23" t="s">
        <v>123</v>
      </c>
      <c r="J7" s="22" t="n">
        <v>4</v>
      </c>
      <c r="K7" s="23" t="s">
        <v>124</v>
      </c>
      <c r="L7" s="22" t="n">
        <v>3</v>
      </c>
      <c r="M7" s="23" t="s">
        <v>125</v>
      </c>
      <c r="N7" s="22" t="n">
        <v>4</v>
      </c>
      <c r="O7" s="23" t="s">
        <v>135</v>
      </c>
      <c r="P7" s="22" t="n">
        <v>3</v>
      </c>
      <c r="Q7" s="22"/>
      <c r="R7" s="22"/>
      <c r="S7" s="23" t="s">
        <v>126</v>
      </c>
      <c r="T7" s="22" t="n">
        <v>3</v>
      </c>
      <c r="U7" s="23" t="s">
        <v>127</v>
      </c>
      <c r="V7" s="22" t="n">
        <v>4</v>
      </c>
      <c r="W7" s="23" t="s">
        <v>128</v>
      </c>
    </row>
    <row r="8" customFormat="false" ht="15" hidden="false" customHeight="false" outlineLevel="0" collapsed="false">
      <c r="A8" s="22" t="s">
        <v>142</v>
      </c>
      <c r="B8" s="22" t="s">
        <v>143</v>
      </c>
      <c r="C8" s="24" t="n">
        <v>46440</v>
      </c>
      <c r="D8" s="22" t="s">
        <v>50</v>
      </c>
      <c r="E8" s="22" t="str">
        <f aca="false">IFERROR(INDEX(マスタ設定!$B$18:$B$37,MATCH($D8,マスタ設定!$A$18:$A$37,0)),"")</f>
        <v>佐藤（記入例）</v>
      </c>
      <c r="F8" s="22" t="str">
        <f aca="false">IFERROR(INDEX(マスタ設定!$C$18:$C$37,MATCH($D8,マスタ設定!$A$18:$A$37,0)),"")</f>
        <v>U01</v>
      </c>
      <c r="G8" s="23" t="s">
        <v>144</v>
      </c>
      <c r="H8" s="23" t="s">
        <v>141</v>
      </c>
      <c r="I8" s="23" t="s">
        <v>123</v>
      </c>
      <c r="J8" s="22" t="n">
        <v>4</v>
      </c>
      <c r="K8" s="23" t="s">
        <v>124</v>
      </c>
      <c r="L8" s="22" t="n">
        <v>4</v>
      </c>
      <c r="M8" s="23" t="s">
        <v>125</v>
      </c>
      <c r="N8" s="22" t="n">
        <v>3</v>
      </c>
      <c r="O8" s="23" t="s">
        <v>135</v>
      </c>
      <c r="P8" s="22" t="n">
        <v>4</v>
      </c>
      <c r="Q8" s="22"/>
      <c r="R8" s="22"/>
      <c r="S8" s="23" t="s">
        <v>126</v>
      </c>
      <c r="T8" s="22" t="n">
        <v>4</v>
      </c>
      <c r="U8" s="23" t="s">
        <v>127</v>
      </c>
      <c r="V8" s="22" t="n">
        <v>3</v>
      </c>
      <c r="W8" s="23" t="s">
        <v>128</v>
      </c>
    </row>
    <row r="9" customFormat="false" ht="15" hidden="false" customHeight="false" outlineLevel="0" collapsed="false">
      <c r="A9" s="22" t="s">
        <v>145</v>
      </c>
      <c r="B9" s="23" t="s">
        <v>146</v>
      </c>
      <c r="C9" s="24" t="n">
        <v>46078</v>
      </c>
      <c r="D9" s="22" t="s">
        <v>53</v>
      </c>
      <c r="E9" s="22" t="str">
        <f aca="false">IFERROR(INDEX(マスタ設定!$B$18:$B$37,MATCH($D9,マスタ設定!$A$18:$A$37,0)),"")</f>
        <v>鈴木（記入例）</v>
      </c>
      <c r="F9" s="22" t="str">
        <f aca="false">IFERROR(INDEX(マスタ設定!$C$18:$C$37,MATCH($D9,マスタ設定!$A$18:$A$37,0)),"")</f>
        <v>U01</v>
      </c>
      <c r="G9" s="23" t="s">
        <v>121</v>
      </c>
      <c r="H9" s="23" t="s">
        <v>131</v>
      </c>
      <c r="I9" s="23" t="s">
        <v>123</v>
      </c>
      <c r="J9" s="22" t="n">
        <v>2</v>
      </c>
      <c r="K9" s="23" t="s">
        <v>124</v>
      </c>
      <c r="L9" s="22" t="n">
        <v>2</v>
      </c>
      <c r="M9" s="23" t="s">
        <v>125</v>
      </c>
      <c r="N9" s="22" t="n">
        <v>2</v>
      </c>
      <c r="O9" s="22"/>
      <c r="P9" s="22"/>
      <c r="Q9" s="22"/>
      <c r="R9" s="22"/>
      <c r="S9" s="23" t="s">
        <v>126</v>
      </c>
      <c r="T9" s="22" t="n">
        <v>2</v>
      </c>
      <c r="U9" s="23" t="s">
        <v>127</v>
      </c>
      <c r="V9" s="22" t="n">
        <v>2</v>
      </c>
      <c r="W9" s="23" t="s">
        <v>128</v>
      </c>
    </row>
    <row r="10" customFormat="false" ht="15" hidden="false" customHeight="false" outlineLevel="0" collapsed="false">
      <c r="A10" s="22" t="s">
        <v>147</v>
      </c>
      <c r="B10" s="23" t="s">
        <v>148</v>
      </c>
      <c r="C10" s="24" t="n">
        <v>46176</v>
      </c>
      <c r="D10" s="22" t="s">
        <v>53</v>
      </c>
      <c r="E10" s="22" t="str">
        <f aca="false">IFERROR(INDEX(マスタ設定!$B$18:$B$37,MATCH($D10,マスタ設定!$A$18:$A$37,0)),"")</f>
        <v>鈴木（記入例）</v>
      </c>
      <c r="F10" s="22" t="str">
        <f aca="false">IFERROR(INDEX(マスタ設定!$C$18:$C$37,MATCH($D10,マスタ設定!$A$18:$A$37,0)),"")</f>
        <v>U01</v>
      </c>
      <c r="G10" s="23" t="s">
        <v>121</v>
      </c>
      <c r="H10" s="23" t="s">
        <v>131</v>
      </c>
      <c r="I10" s="23" t="s">
        <v>123</v>
      </c>
      <c r="J10" s="22" t="n">
        <v>2</v>
      </c>
      <c r="K10" s="23" t="s">
        <v>124</v>
      </c>
      <c r="L10" s="22" t="n">
        <v>3</v>
      </c>
      <c r="M10" s="23" t="s">
        <v>125</v>
      </c>
      <c r="N10" s="22" t="n">
        <v>2</v>
      </c>
      <c r="O10" s="22"/>
      <c r="P10" s="22"/>
      <c r="Q10" s="22"/>
      <c r="R10" s="22"/>
      <c r="S10" s="23" t="s">
        <v>126</v>
      </c>
      <c r="T10" s="22" t="n">
        <v>2</v>
      </c>
      <c r="U10" s="23" t="s">
        <v>127</v>
      </c>
      <c r="V10" s="22" t="n">
        <v>2</v>
      </c>
      <c r="W10" s="23" t="s">
        <v>128</v>
      </c>
    </row>
    <row r="11" customFormat="false" ht="15" hidden="false" customHeight="false" outlineLevel="0" collapsed="false">
      <c r="A11" s="22" t="s">
        <v>149</v>
      </c>
      <c r="B11" s="23" t="s">
        <v>150</v>
      </c>
      <c r="C11" s="24" t="n">
        <v>46279</v>
      </c>
      <c r="D11" s="22" t="s">
        <v>53</v>
      </c>
      <c r="E11" s="22" t="str">
        <f aca="false">IFERROR(INDEX(マスタ設定!$B$18:$B$37,MATCH($D11,マスタ設定!$A$18:$A$37,0)),"")</f>
        <v>鈴木（記入例）</v>
      </c>
      <c r="F11" s="22" t="str">
        <f aca="false">IFERROR(INDEX(マスタ設定!$C$18:$C$37,MATCH($D11,マスタ設定!$A$18:$A$37,0)),"")</f>
        <v>U01</v>
      </c>
      <c r="G11" s="23" t="s">
        <v>121</v>
      </c>
      <c r="H11" s="23" t="s">
        <v>122</v>
      </c>
      <c r="I11" s="23" t="s">
        <v>123</v>
      </c>
      <c r="J11" s="22" t="n">
        <v>3</v>
      </c>
      <c r="K11" s="23" t="s">
        <v>124</v>
      </c>
      <c r="L11" s="22" t="n">
        <v>2</v>
      </c>
      <c r="M11" s="23" t="s">
        <v>125</v>
      </c>
      <c r="N11" s="22" t="n">
        <v>3</v>
      </c>
      <c r="O11" s="22"/>
      <c r="P11" s="22"/>
      <c r="Q11" s="22"/>
      <c r="R11" s="22"/>
      <c r="S11" s="23" t="s">
        <v>126</v>
      </c>
      <c r="T11" s="22" t="n">
        <v>3</v>
      </c>
      <c r="U11" s="23" t="s">
        <v>127</v>
      </c>
      <c r="V11" s="22" t="n">
        <v>2</v>
      </c>
      <c r="W11" s="23" t="s">
        <v>128</v>
      </c>
    </row>
    <row r="12" customFormat="false" ht="15" hidden="false" customHeight="false" outlineLevel="0" collapsed="false">
      <c r="A12" s="22" t="s">
        <v>151</v>
      </c>
      <c r="B12" s="23" t="s">
        <v>152</v>
      </c>
      <c r="C12" s="24" t="n">
        <v>46364</v>
      </c>
      <c r="D12" s="22" t="s">
        <v>53</v>
      </c>
      <c r="E12" s="22" t="str">
        <f aca="false">IFERROR(INDEX(マスタ設定!$B$18:$B$37,MATCH($D12,マスタ設定!$A$18:$A$37,0)),"")</f>
        <v>鈴木（記入例）</v>
      </c>
      <c r="F12" s="22" t="str">
        <f aca="false">IFERROR(INDEX(マスタ設定!$C$18:$C$37,MATCH($D12,マスタ設定!$A$18:$A$37,0)),"")</f>
        <v>U01</v>
      </c>
      <c r="G12" s="23" t="s">
        <v>121</v>
      </c>
      <c r="H12" s="23" t="s">
        <v>122</v>
      </c>
      <c r="I12" s="23" t="s">
        <v>123</v>
      </c>
      <c r="J12" s="22" t="n">
        <v>3</v>
      </c>
      <c r="K12" s="23" t="s">
        <v>124</v>
      </c>
      <c r="L12" s="22" t="n">
        <v>3</v>
      </c>
      <c r="M12" s="23" t="s">
        <v>125</v>
      </c>
      <c r="N12" s="22" t="n">
        <v>2</v>
      </c>
      <c r="O12" s="22"/>
      <c r="P12" s="22"/>
      <c r="Q12" s="22"/>
      <c r="R12" s="22"/>
      <c r="S12" s="23" t="s">
        <v>126</v>
      </c>
      <c r="T12" s="22" t="n">
        <v>3</v>
      </c>
      <c r="U12" s="23" t="s">
        <v>127</v>
      </c>
      <c r="V12" s="22" t="n">
        <v>3</v>
      </c>
      <c r="W12" s="23" t="s">
        <v>128</v>
      </c>
    </row>
    <row r="13" customFormat="false" ht="15" hidden="false" customHeight="false" outlineLevel="0" collapsed="false">
      <c r="A13" s="22" t="s">
        <v>153</v>
      </c>
      <c r="B13" s="23" t="s">
        <v>154</v>
      </c>
      <c r="C13" s="24" t="n">
        <v>46456</v>
      </c>
      <c r="D13" s="22" t="s">
        <v>53</v>
      </c>
      <c r="E13" s="22" t="str">
        <f aca="false">IFERROR(INDEX(マスタ設定!$B$18:$B$37,MATCH($D13,マスタ設定!$A$18:$A$37,0)),"")</f>
        <v>鈴木（記入例）</v>
      </c>
      <c r="F13" s="22" t="str">
        <f aca="false">IFERROR(INDEX(マスタ設定!$C$18:$C$37,MATCH($D13,マスタ設定!$A$18:$A$37,0)),"")</f>
        <v>U01</v>
      </c>
      <c r="G13" s="23" t="s">
        <v>121</v>
      </c>
      <c r="H13" s="23" t="s">
        <v>122</v>
      </c>
      <c r="I13" s="23" t="s">
        <v>123</v>
      </c>
      <c r="J13" s="22" t="n">
        <v>3</v>
      </c>
      <c r="K13" s="23" t="s">
        <v>124</v>
      </c>
      <c r="L13" s="22" t="n">
        <v>3</v>
      </c>
      <c r="M13" s="23" t="s">
        <v>125</v>
      </c>
      <c r="N13" s="22" t="n">
        <v>3</v>
      </c>
      <c r="O13" s="22"/>
      <c r="P13" s="22"/>
      <c r="Q13" s="22"/>
      <c r="R13" s="22"/>
      <c r="S13" s="23" t="s">
        <v>126</v>
      </c>
      <c r="T13" s="22" t="n">
        <v>3</v>
      </c>
      <c r="U13" s="23" t="s">
        <v>127</v>
      </c>
      <c r="V13" s="22" t="n">
        <v>3</v>
      </c>
      <c r="W13" s="23" t="s">
        <v>128</v>
      </c>
    </row>
    <row r="14" customFormat="false" ht="15" hidden="false" customHeight="false" outlineLevel="0" collapsed="false">
      <c r="A14" s="22" t="s">
        <v>155</v>
      </c>
      <c r="B14" s="23" t="s">
        <v>156</v>
      </c>
      <c r="C14" s="24" t="n">
        <v>46071</v>
      </c>
      <c r="D14" s="22" t="s">
        <v>56</v>
      </c>
      <c r="E14" s="22" t="str">
        <f aca="false">IFERROR(INDEX(マスタ設定!$B$18:$B$37,MATCH($D14,マスタ設定!$A$18:$A$37,0)),"")</f>
        <v>田中（記入例）</v>
      </c>
      <c r="F14" s="22" t="str">
        <f aca="false">IFERROR(INDEX(マスタ設定!$C$18:$C$37,MATCH($D14,マスタ設定!$A$18:$A$37,0)),"")</f>
        <v>U02</v>
      </c>
      <c r="G14" s="23" t="s">
        <v>157</v>
      </c>
      <c r="H14" s="23" t="s">
        <v>122</v>
      </c>
      <c r="I14" s="23" t="s">
        <v>123</v>
      </c>
      <c r="J14" s="22" t="n">
        <v>3</v>
      </c>
      <c r="K14" s="23" t="s">
        <v>124</v>
      </c>
      <c r="L14" s="22" t="n">
        <v>2</v>
      </c>
      <c r="M14" s="23" t="s">
        <v>125</v>
      </c>
      <c r="N14" s="22" t="n">
        <v>3</v>
      </c>
      <c r="O14" s="22"/>
      <c r="P14" s="22"/>
      <c r="Q14" s="22"/>
      <c r="R14" s="22"/>
      <c r="S14" s="23" t="s">
        <v>126</v>
      </c>
      <c r="T14" s="22" t="n">
        <v>3</v>
      </c>
      <c r="U14" s="23" t="s">
        <v>127</v>
      </c>
      <c r="V14" s="22" t="n">
        <v>2</v>
      </c>
      <c r="W14" s="23" t="s">
        <v>128</v>
      </c>
    </row>
    <row r="15" customFormat="false" ht="15" hidden="false" customHeight="false" outlineLevel="0" collapsed="false">
      <c r="A15" s="22" t="s">
        <v>158</v>
      </c>
      <c r="B15" s="23" t="s">
        <v>159</v>
      </c>
      <c r="C15" s="24" t="n">
        <v>46171</v>
      </c>
      <c r="D15" s="22" t="s">
        <v>56</v>
      </c>
      <c r="E15" s="22" t="str">
        <f aca="false">IFERROR(INDEX(マスタ設定!$B$18:$B$37,MATCH($D15,マスタ設定!$A$18:$A$37,0)),"")</f>
        <v>田中（記入例）</v>
      </c>
      <c r="F15" s="22" t="str">
        <f aca="false">IFERROR(INDEX(マスタ設定!$C$18:$C$37,MATCH($D15,マスタ設定!$A$18:$A$37,0)),"")</f>
        <v>U02</v>
      </c>
      <c r="G15" s="23" t="s">
        <v>157</v>
      </c>
      <c r="H15" s="23" t="s">
        <v>122</v>
      </c>
      <c r="I15" s="23" t="s">
        <v>123</v>
      </c>
      <c r="J15" s="22" t="n">
        <v>3</v>
      </c>
      <c r="K15" s="23" t="s">
        <v>124</v>
      </c>
      <c r="L15" s="22" t="n">
        <v>3</v>
      </c>
      <c r="M15" s="23" t="s">
        <v>125</v>
      </c>
      <c r="N15" s="22" t="n">
        <v>3</v>
      </c>
      <c r="O15" s="22"/>
      <c r="P15" s="22"/>
      <c r="Q15" s="22"/>
      <c r="R15" s="22"/>
      <c r="S15" s="23" t="s">
        <v>126</v>
      </c>
      <c r="T15" s="22" t="n">
        <v>3</v>
      </c>
      <c r="U15" s="23" t="s">
        <v>127</v>
      </c>
      <c r="V15" s="22" t="n">
        <v>3</v>
      </c>
      <c r="W15" s="23" t="s">
        <v>128</v>
      </c>
    </row>
    <row r="16" customFormat="false" ht="15" hidden="false" customHeight="false" outlineLevel="0" collapsed="false">
      <c r="A16" s="22" t="s">
        <v>160</v>
      </c>
      <c r="B16" s="23" t="s">
        <v>161</v>
      </c>
      <c r="C16" s="24" t="n">
        <v>46290</v>
      </c>
      <c r="D16" s="22" t="s">
        <v>56</v>
      </c>
      <c r="E16" s="22" t="str">
        <f aca="false">IFERROR(INDEX(マスタ設定!$B$18:$B$37,MATCH($D16,マスタ設定!$A$18:$A$37,0)),"")</f>
        <v>田中（記入例）</v>
      </c>
      <c r="F16" s="22" t="str">
        <f aca="false">IFERROR(INDEX(マスタ設定!$C$18:$C$37,MATCH($D16,マスタ設定!$A$18:$A$37,0)),"")</f>
        <v>U02</v>
      </c>
      <c r="G16" s="23" t="s">
        <v>162</v>
      </c>
      <c r="H16" s="23" t="s">
        <v>141</v>
      </c>
      <c r="I16" s="23" t="s">
        <v>123</v>
      </c>
      <c r="J16" s="22" t="n">
        <v>4</v>
      </c>
      <c r="K16" s="23" t="s">
        <v>124</v>
      </c>
      <c r="L16" s="22" t="n">
        <v>3</v>
      </c>
      <c r="M16" s="23" t="s">
        <v>125</v>
      </c>
      <c r="N16" s="22" t="n">
        <v>4</v>
      </c>
      <c r="O16" s="23" t="s">
        <v>135</v>
      </c>
      <c r="P16" s="22" t="n">
        <v>3</v>
      </c>
      <c r="Q16" s="22"/>
      <c r="R16" s="22"/>
      <c r="S16" s="23" t="s">
        <v>126</v>
      </c>
      <c r="T16" s="22" t="n">
        <v>4</v>
      </c>
      <c r="U16" s="23" t="s">
        <v>127</v>
      </c>
      <c r="V16" s="22" t="n">
        <v>3</v>
      </c>
      <c r="W16" s="23" t="s">
        <v>128</v>
      </c>
    </row>
    <row r="17" customFormat="false" ht="15" hidden="false" customHeight="false" outlineLevel="0" collapsed="false">
      <c r="A17" s="22" t="s">
        <v>163</v>
      </c>
      <c r="B17" s="23" t="s">
        <v>164</v>
      </c>
      <c r="C17" s="24" t="n">
        <v>46376</v>
      </c>
      <c r="D17" s="22" t="s">
        <v>56</v>
      </c>
      <c r="E17" s="22" t="str">
        <f aca="false">IFERROR(INDEX(マスタ設定!$B$18:$B$37,MATCH($D17,マスタ設定!$A$18:$A$37,0)),"")</f>
        <v>田中（記入例）</v>
      </c>
      <c r="F17" s="22" t="str">
        <f aca="false">IFERROR(INDEX(マスタ設定!$C$18:$C$37,MATCH($D17,マスタ設定!$A$18:$A$37,0)),"")</f>
        <v>U02</v>
      </c>
      <c r="G17" s="23" t="s">
        <v>162</v>
      </c>
      <c r="H17" s="23" t="s">
        <v>141</v>
      </c>
      <c r="I17" s="23" t="s">
        <v>123</v>
      </c>
      <c r="J17" s="22" t="n">
        <v>4</v>
      </c>
      <c r="K17" s="23" t="s">
        <v>124</v>
      </c>
      <c r="L17" s="22" t="n">
        <v>4</v>
      </c>
      <c r="M17" s="23" t="s">
        <v>125</v>
      </c>
      <c r="N17" s="22" t="n">
        <v>4</v>
      </c>
      <c r="O17" s="23" t="s">
        <v>135</v>
      </c>
      <c r="P17" s="22" t="n">
        <v>4</v>
      </c>
      <c r="Q17" s="22"/>
      <c r="R17" s="22"/>
      <c r="S17" s="23" t="s">
        <v>126</v>
      </c>
      <c r="T17" s="22" t="n">
        <v>4</v>
      </c>
      <c r="U17" s="23" t="s">
        <v>127</v>
      </c>
      <c r="V17" s="22" t="n">
        <v>4</v>
      </c>
      <c r="W17" s="23" t="s">
        <v>128</v>
      </c>
    </row>
    <row r="18" customFormat="false" ht="15" hidden="false" customHeight="false" outlineLevel="0" collapsed="false">
      <c r="A18" s="22" t="s">
        <v>165</v>
      </c>
      <c r="B18" s="23" t="s">
        <v>166</v>
      </c>
      <c r="C18" s="24" t="n">
        <v>46464</v>
      </c>
      <c r="D18" s="22" t="s">
        <v>56</v>
      </c>
      <c r="E18" s="22" t="str">
        <f aca="false">IFERROR(INDEX(マスタ設定!$B$18:$B$37,MATCH($D18,マスタ設定!$A$18:$A$37,0)),"")</f>
        <v>田中（記入例）</v>
      </c>
      <c r="F18" s="22" t="str">
        <f aca="false">IFERROR(INDEX(マスタ設定!$C$18:$C$37,MATCH($D18,マスタ設定!$A$18:$A$37,0)),"")</f>
        <v>U02</v>
      </c>
      <c r="G18" s="23" t="s">
        <v>167</v>
      </c>
      <c r="H18" s="23" t="s">
        <v>141</v>
      </c>
      <c r="I18" s="23" t="s">
        <v>123</v>
      </c>
      <c r="J18" s="22" t="n">
        <v>5</v>
      </c>
      <c r="K18" s="23" t="s">
        <v>124</v>
      </c>
      <c r="L18" s="22" t="n">
        <v>4</v>
      </c>
      <c r="M18" s="23" t="s">
        <v>125</v>
      </c>
      <c r="N18" s="22" t="n">
        <v>5</v>
      </c>
      <c r="O18" s="23" t="s">
        <v>135</v>
      </c>
      <c r="P18" s="22" t="n">
        <v>4</v>
      </c>
      <c r="Q18" s="22"/>
      <c r="R18" s="22"/>
      <c r="S18" s="23" t="s">
        <v>126</v>
      </c>
      <c r="T18" s="22" t="n">
        <v>5</v>
      </c>
      <c r="U18" s="23" t="s">
        <v>127</v>
      </c>
      <c r="V18" s="22" t="n">
        <v>4</v>
      </c>
      <c r="W18" s="23" t="s">
        <v>128</v>
      </c>
    </row>
    <row r="19" customFormat="false" ht="15" hidden="false" customHeight="false" outlineLevel="0" collapsed="false">
      <c r="A19" s="22" t="s">
        <v>168</v>
      </c>
      <c r="B19" s="22" t="s">
        <v>169</v>
      </c>
      <c r="C19" s="24" t="n">
        <v>46553</v>
      </c>
      <c r="D19" s="22" t="s">
        <v>50</v>
      </c>
      <c r="E19" s="22" t="str">
        <f aca="false">IFERROR(INDEX(マスタ設定!$B$18:$B$37,MATCH($D19,マスタ設定!$A$18:$A$37,0)),"")</f>
        <v>佐藤（記入例）</v>
      </c>
      <c r="F19" s="22" t="str">
        <f aca="false">IFERROR(INDEX(マスタ設定!$C$18:$C$37,MATCH($D19,マスタ設定!$A$18:$A$37,0)),"")</f>
        <v>U01</v>
      </c>
      <c r="G19" s="23" t="s">
        <v>144</v>
      </c>
      <c r="H19" s="23" t="s">
        <v>122</v>
      </c>
      <c r="I19" s="23" t="s">
        <v>123</v>
      </c>
      <c r="J19" s="22" t="n">
        <v>3</v>
      </c>
      <c r="K19" s="23" t="s">
        <v>124</v>
      </c>
      <c r="L19" s="22" t="n">
        <v>4</v>
      </c>
      <c r="M19" s="23" t="s">
        <v>125</v>
      </c>
      <c r="N19" s="22" t="n">
        <v>3</v>
      </c>
      <c r="O19" s="22"/>
      <c r="P19" s="22"/>
      <c r="Q19" s="22"/>
      <c r="R19" s="22"/>
      <c r="S19" s="23" t="s">
        <v>126</v>
      </c>
      <c r="T19" s="22" t="n">
        <v>3</v>
      </c>
      <c r="U19" s="23" t="s">
        <v>127</v>
      </c>
      <c r="V19" s="22" t="n">
        <v>4</v>
      </c>
      <c r="W19" s="23" t="s">
        <v>128</v>
      </c>
    </row>
    <row r="20" customFormat="false" ht="15" hidden="false" customHeight="false" outlineLevel="0" collapsed="false">
      <c r="A20" s="22" t="s">
        <v>170</v>
      </c>
      <c r="B20" s="23" t="s">
        <v>171</v>
      </c>
      <c r="C20" s="24" t="n">
        <v>46667</v>
      </c>
      <c r="D20" s="22" t="s">
        <v>50</v>
      </c>
      <c r="E20" s="22" t="str">
        <f aca="false">IFERROR(INDEX(マスタ設定!$B$18:$B$37,MATCH($D20,マスタ設定!$A$18:$A$37,0)),"")</f>
        <v>佐藤（記入例）</v>
      </c>
      <c r="F20" s="22" t="str">
        <f aca="false">IFERROR(INDEX(マスタ設定!$C$18:$C$37,MATCH($D20,マスタ設定!$A$18:$A$37,0)),"")</f>
        <v>U01</v>
      </c>
      <c r="G20" s="23" t="s">
        <v>121</v>
      </c>
      <c r="H20" s="23" t="s">
        <v>122</v>
      </c>
      <c r="I20" s="23" t="s">
        <v>123</v>
      </c>
      <c r="J20" s="22" t="n">
        <v>3</v>
      </c>
      <c r="K20" s="23" t="s">
        <v>124</v>
      </c>
      <c r="L20" s="22" t="n">
        <v>3</v>
      </c>
      <c r="M20" s="23" t="s">
        <v>125</v>
      </c>
      <c r="N20" s="22" t="n">
        <v>4</v>
      </c>
      <c r="O20" s="22"/>
      <c r="P20" s="22"/>
      <c r="Q20" s="22"/>
      <c r="R20" s="22"/>
      <c r="S20" s="23" t="s">
        <v>126</v>
      </c>
      <c r="T20" s="22" t="n">
        <v>3</v>
      </c>
      <c r="U20" s="23" t="s">
        <v>127</v>
      </c>
      <c r="V20" s="22" t="n">
        <v>3</v>
      </c>
      <c r="W20" s="23" t="s">
        <v>128</v>
      </c>
    </row>
    <row r="21" customFormat="false" ht="15" hidden="false" customHeight="false" outlineLevel="0" collapsed="false">
      <c r="A21" s="22" t="s">
        <v>172</v>
      </c>
      <c r="B21" s="23" t="s">
        <v>173</v>
      </c>
      <c r="C21" s="24" t="n">
        <v>46788</v>
      </c>
      <c r="D21" s="22" t="s">
        <v>50</v>
      </c>
      <c r="E21" s="22" t="str">
        <f aca="false">IFERROR(INDEX(マスタ設定!$B$18:$B$37,MATCH($D21,マスタ設定!$A$18:$A$37,0)),"")</f>
        <v>佐藤（記入例）</v>
      </c>
      <c r="F21" s="22" t="str">
        <f aca="false">IFERROR(INDEX(マスタ設定!$C$18:$C$37,MATCH($D21,マスタ設定!$A$18:$A$37,0)),"")</f>
        <v>U01</v>
      </c>
      <c r="G21" s="23" t="s">
        <v>174</v>
      </c>
      <c r="H21" s="23" t="s">
        <v>122</v>
      </c>
      <c r="I21" s="23" t="s">
        <v>123</v>
      </c>
      <c r="J21" s="22" t="n">
        <v>4</v>
      </c>
      <c r="K21" s="23" t="s">
        <v>124</v>
      </c>
      <c r="L21" s="22" t="n">
        <v>3</v>
      </c>
      <c r="M21" s="23" t="s">
        <v>125</v>
      </c>
      <c r="N21" s="22" t="n">
        <v>3</v>
      </c>
      <c r="O21" s="22"/>
      <c r="P21" s="22"/>
      <c r="Q21" s="22"/>
      <c r="R21" s="22"/>
      <c r="S21" s="23" t="s">
        <v>126</v>
      </c>
      <c r="T21" s="22" t="n">
        <v>3</v>
      </c>
      <c r="U21" s="23" t="s">
        <v>127</v>
      </c>
      <c r="V21" s="22" t="n">
        <v>4</v>
      </c>
      <c r="W21" s="23" t="s">
        <v>128</v>
      </c>
    </row>
    <row r="22" customFormat="false" ht="15" hidden="false" customHeight="false" outlineLevel="0" collapsed="false">
      <c r="A22" s="22" t="s">
        <v>175</v>
      </c>
      <c r="B22" s="23" t="s">
        <v>176</v>
      </c>
      <c r="C22" s="24" t="n">
        <v>46589</v>
      </c>
      <c r="D22" s="22" t="s">
        <v>53</v>
      </c>
      <c r="E22" s="22" t="str">
        <f aca="false">IFERROR(INDEX(マスタ設定!$B$18:$B$37,MATCH($D22,マスタ設定!$A$18:$A$37,0)),"")</f>
        <v>鈴木（記入例）</v>
      </c>
      <c r="F22" s="22" t="str">
        <f aca="false">IFERROR(INDEX(マスタ設定!$C$18:$C$37,MATCH($D22,マスタ設定!$A$18:$A$37,0)),"")</f>
        <v>U01</v>
      </c>
      <c r="G22" s="23" t="s">
        <v>121</v>
      </c>
      <c r="H22" s="23" t="s">
        <v>122</v>
      </c>
      <c r="I22" s="23" t="s">
        <v>123</v>
      </c>
      <c r="J22" s="22" t="n">
        <v>3</v>
      </c>
      <c r="K22" s="23" t="s">
        <v>124</v>
      </c>
      <c r="L22" s="22" t="n">
        <v>3</v>
      </c>
      <c r="M22" s="23" t="s">
        <v>125</v>
      </c>
      <c r="N22" s="22" t="n">
        <v>3</v>
      </c>
      <c r="O22" s="22"/>
      <c r="P22" s="22"/>
      <c r="Q22" s="22"/>
      <c r="R22" s="22"/>
      <c r="S22" s="23" t="s">
        <v>126</v>
      </c>
      <c r="T22" s="22" t="n">
        <v>3</v>
      </c>
      <c r="U22" s="23" t="s">
        <v>127</v>
      </c>
      <c r="V22" s="22" t="n">
        <v>3</v>
      </c>
      <c r="W22" s="23" t="s">
        <v>128</v>
      </c>
    </row>
    <row r="23" customFormat="false" ht="15" hidden="false" customHeight="false" outlineLevel="0" collapsed="false">
      <c r="A23" s="22" t="s">
        <v>177</v>
      </c>
      <c r="B23" s="23" t="s">
        <v>178</v>
      </c>
      <c r="C23" s="24" t="n">
        <v>46703</v>
      </c>
      <c r="D23" s="22" t="s">
        <v>53</v>
      </c>
      <c r="E23" s="22" t="str">
        <f aca="false">IFERROR(INDEX(マスタ設定!$B$18:$B$37,MATCH($D23,マスタ設定!$A$18:$A$37,0)),"")</f>
        <v>鈴木（記入例）</v>
      </c>
      <c r="F23" s="22" t="str">
        <f aca="false">IFERROR(INDEX(マスタ設定!$C$18:$C$37,MATCH($D23,マスタ設定!$A$18:$A$37,0)),"")</f>
        <v>U01</v>
      </c>
      <c r="G23" s="23" t="s">
        <v>121</v>
      </c>
      <c r="H23" s="23" t="s">
        <v>122</v>
      </c>
      <c r="I23" s="23" t="s">
        <v>123</v>
      </c>
      <c r="J23" s="22" t="n">
        <v>3</v>
      </c>
      <c r="K23" s="23" t="s">
        <v>124</v>
      </c>
      <c r="L23" s="22" t="n">
        <v>4</v>
      </c>
      <c r="M23" s="23" t="s">
        <v>125</v>
      </c>
      <c r="N23" s="22" t="n">
        <v>3</v>
      </c>
      <c r="O23" s="22"/>
      <c r="P23" s="22"/>
      <c r="Q23" s="22"/>
      <c r="R23" s="22"/>
      <c r="S23" s="23" t="s">
        <v>126</v>
      </c>
      <c r="T23" s="22" t="n">
        <v>3</v>
      </c>
      <c r="U23" s="23" t="s">
        <v>127</v>
      </c>
      <c r="V23" s="22" t="n">
        <v>3</v>
      </c>
      <c r="W23" s="23" t="s">
        <v>128</v>
      </c>
    </row>
    <row r="24" customFormat="false" ht="15" hidden="false" customHeight="false" outlineLevel="0" collapsed="false">
      <c r="A24" s="22" t="s">
        <v>179</v>
      </c>
      <c r="B24" s="23" t="s">
        <v>180</v>
      </c>
      <c r="C24" s="24" t="n">
        <v>46799</v>
      </c>
      <c r="D24" s="22" t="s">
        <v>53</v>
      </c>
      <c r="E24" s="22" t="str">
        <f aca="false">IFERROR(INDEX(マスタ設定!$B$18:$B$37,MATCH($D24,マスタ設定!$A$18:$A$37,0)),"")</f>
        <v>鈴木（記入例）</v>
      </c>
      <c r="F24" s="22" t="str">
        <f aca="false">IFERROR(INDEX(マスタ設定!$C$18:$C$37,MATCH($D24,マスタ設定!$A$18:$A$37,0)),"")</f>
        <v>U01</v>
      </c>
      <c r="G24" s="23" t="s">
        <v>134</v>
      </c>
      <c r="H24" s="23" t="s">
        <v>141</v>
      </c>
      <c r="I24" s="23" t="s">
        <v>123</v>
      </c>
      <c r="J24" s="22" t="n">
        <v>3</v>
      </c>
      <c r="K24" s="23" t="s">
        <v>124</v>
      </c>
      <c r="L24" s="22" t="n">
        <v>3</v>
      </c>
      <c r="M24" s="23" t="s">
        <v>125</v>
      </c>
      <c r="N24" s="22" t="n">
        <v>4</v>
      </c>
      <c r="O24" s="22"/>
      <c r="P24" s="22"/>
      <c r="Q24" s="22"/>
      <c r="R24" s="22"/>
      <c r="S24" s="23" t="s">
        <v>126</v>
      </c>
      <c r="T24" s="22" t="n">
        <v>3</v>
      </c>
      <c r="U24" s="23" t="s">
        <v>127</v>
      </c>
      <c r="V24" s="22" t="n">
        <v>4</v>
      </c>
      <c r="W24" s="23" t="s">
        <v>128</v>
      </c>
    </row>
    <row r="25" customFormat="false" ht="15" hidden="false" customHeight="false" outlineLevel="0" collapsed="false">
      <c r="A25" s="22" t="s">
        <v>181</v>
      </c>
      <c r="B25" s="23" t="s">
        <v>182</v>
      </c>
      <c r="C25" s="24" t="n">
        <v>46576</v>
      </c>
      <c r="D25" s="22" t="s">
        <v>56</v>
      </c>
      <c r="E25" s="22" t="str">
        <f aca="false">IFERROR(INDEX(マスタ設定!$B$18:$B$37,MATCH($D25,マスタ設定!$A$18:$A$37,0)),"")</f>
        <v>田中（記入例）</v>
      </c>
      <c r="F25" s="22" t="str">
        <f aca="false">IFERROR(INDEX(マスタ設定!$C$18:$C$37,MATCH($D25,マスタ設定!$A$18:$A$37,0)),"")</f>
        <v>U02</v>
      </c>
      <c r="G25" s="23" t="s">
        <v>162</v>
      </c>
      <c r="H25" s="23" t="s">
        <v>141</v>
      </c>
      <c r="I25" s="23" t="s">
        <v>123</v>
      </c>
      <c r="J25" s="22" t="n">
        <v>5</v>
      </c>
      <c r="K25" s="23" t="s">
        <v>124</v>
      </c>
      <c r="L25" s="22" t="n">
        <v>4</v>
      </c>
      <c r="M25" s="23" t="s">
        <v>125</v>
      </c>
      <c r="N25" s="22" t="n">
        <v>5</v>
      </c>
      <c r="O25" s="23" t="s">
        <v>135</v>
      </c>
      <c r="P25" s="22" t="n">
        <v>5</v>
      </c>
      <c r="Q25" s="22"/>
      <c r="R25" s="22"/>
      <c r="S25" s="23" t="s">
        <v>126</v>
      </c>
      <c r="T25" s="22" t="n">
        <v>5</v>
      </c>
      <c r="U25" s="23" t="s">
        <v>127</v>
      </c>
      <c r="V25" s="22" t="n">
        <v>4</v>
      </c>
      <c r="W25" s="23" t="s">
        <v>128</v>
      </c>
    </row>
    <row r="26" customFormat="false" ht="15" hidden="false" customHeight="false" outlineLevel="0" collapsed="false">
      <c r="A26" s="22" t="s">
        <v>183</v>
      </c>
      <c r="B26" s="23" t="s">
        <v>184</v>
      </c>
      <c r="C26" s="24" t="n">
        <v>46718</v>
      </c>
      <c r="D26" s="22" t="s">
        <v>56</v>
      </c>
      <c r="E26" s="22" t="str">
        <f aca="false">IFERROR(INDEX(マスタ設定!$B$18:$B$37,MATCH($D26,マスタ設定!$A$18:$A$37,0)),"")</f>
        <v>田中（記入例）</v>
      </c>
      <c r="F26" s="22" t="str">
        <f aca="false">IFERROR(INDEX(マスタ設定!$C$18:$C$37,MATCH($D26,マスタ設定!$A$18:$A$37,0)),"")</f>
        <v>U02</v>
      </c>
      <c r="G26" s="23" t="s">
        <v>167</v>
      </c>
      <c r="H26" s="23" t="s">
        <v>141</v>
      </c>
      <c r="I26" s="23" t="s">
        <v>123</v>
      </c>
      <c r="J26" s="22" t="n">
        <v>5</v>
      </c>
      <c r="K26" s="23" t="s">
        <v>124</v>
      </c>
      <c r="L26" s="22" t="n">
        <v>5</v>
      </c>
      <c r="M26" s="23" t="s">
        <v>125</v>
      </c>
      <c r="N26" s="22" t="n">
        <v>4</v>
      </c>
      <c r="O26" s="23" t="s">
        <v>135</v>
      </c>
      <c r="P26" s="22" t="n">
        <v>5</v>
      </c>
      <c r="Q26" s="22"/>
      <c r="R26" s="22"/>
      <c r="S26" s="23" t="s">
        <v>126</v>
      </c>
      <c r="T26" s="22" t="n">
        <v>5</v>
      </c>
      <c r="U26" s="23" t="s">
        <v>127</v>
      </c>
      <c r="V26" s="22" t="n">
        <v>5</v>
      </c>
      <c r="W26" s="23" t="s">
        <v>128</v>
      </c>
    </row>
    <row r="27" customFormat="false" ht="15" hidden="false" customHeight="false" outlineLevel="0" collapsed="false">
      <c r="A27" s="22" t="s">
        <v>185</v>
      </c>
      <c r="B27" s="23" t="s">
        <v>186</v>
      </c>
      <c r="C27" s="24" t="n">
        <v>46807</v>
      </c>
      <c r="D27" s="22" t="s">
        <v>56</v>
      </c>
      <c r="E27" s="22" t="str">
        <f aca="false">IFERROR(INDEX(マスタ設定!$B$18:$B$37,MATCH($D27,マスタ設定!$A$18:$A$37,0)),"")</f>
        <v>田中（記入例）</v>
      </c>
      <c r="F27" s="22" t="str">
        <f aca="false">IFERROR(INDEX(マスタ設定!$C$18:$C$37,MATCH($D27,マスタ設定!$A$18:$A$37,0)),"")</f>
        <v>U02</v>
      </c>
      <c r="G27" s="23" t="s">
        <v>187</v>
      </c>
      <c r="H27" s="23" t="s">
        <v>141</v>
      </c>
      <c r="I27" s="23" t="s">
        <v>123</v>
      </c>
      <c r="J27" s="22" t="n">
        <v>5</v>
      </c>
      <c r="K27" s="23" t="s">
        <v>124</v>
      </c>
      <c r="L27" s="22" t="n">
        <v>5</v>
      </c>
      <c r="M27" s="23" t="s">
        <v>125</v>
      </c>
      <c r="N27" s="22" t="n">
        <v>5</v>
      </c>
      <c r="O27" s="23" t="s">
        <v>135</v>
      </c>
      <c r="P27" s="22" t="n">
        <v>4</v>
      </c>
      <c r="Q27" s="22"/>
      <c r="R27" s="22"/>
      <c r="S27" s="23" t="s">
        <v>126</v>
      </c>
      <c r="T27" s="22" t="n">
        <v>5</v>
      </c>
      <c r="U27" s="23" t="s">
        <v>127</v>
      </c>
      <c r="V27" s="22" t="n">
        <v>5</v>
      </c>
      <c r="W27" s="23" t="s">
        <v>128</v>
      </c>
    </row>
    <row r="28" customFormat="false" ht="15" hidden="false" customHeight="false" outlineLevel="0" collapsed="false">
      <c r="A28" s="25"/>
      <c r="B28" s="25"/>
      <c r="C28" s="26"/>
      <c r="D28" s="25"/>
      <c r="E28" s="27" t="str">
        <f aca="false">IFERROR(INDEX(マスタ設定!$B$18:$B$37,MATCH($D28,マスタ設定!$A$18:$A$37,0)),"")</f>
        <v/>
      </c>
      <c r="F28" s="27" t="str">
        <f aca="false">IFERROR(INDEX(マスタ設定!$C$18:$C$37,MATCH($D28,マスタ設定!$A$18:$A$37,0)),"")</f>
        <v/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</row>
    <row r="29" customFormat="false" ht="15" hidden="false" customHeight="false" outlineLevel="0" collapsed="false">
      <c r="A29" s="25"/>
      <c r="B29" s="25"/>
      <c r="C29" s="26"/>
      <c r="D29" s="25"/>
      <c r="E29" s="27" t="str">
        <f aca="false">IFERROR(INDEX(マスタ設定!$B$18:$B$37,MATCH($D29,マスタ設定!$A$18:$A$37,0)),"")</f>
        <v/>
      </c>
      <c r="F29" s="27" t="str">
        <f aca="false">IFERROR(INDEX(マスタ設定!$C$18:$C$37,MATCH($D29,マスタ設定!$A$18:$A$37,0)),"")</f>
        <v/>
      </c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</row>
    <row r="30" customFormat="false" ht="15" hidden="false" customHeight="false" outlineLevel="0" collapsed="false">
      <c r="A30" s="25"/>
      <c r="B30" s="25"/>
      <c r="C30" s="26"/>
      <c r="D30" s="25"/>
      <c r="E30" s="27" t="str">
        <f aca="false">IFERROR(INDEX(マスタ設定!$B$18:$B$37,MATCH($D30,マスタ設定!$A$18:$A$37,0)),"")</f>
        <v/>
      </c>
      <c r="F30" s="27" t="str">
        <f aca="false">IFERROR(INDEX(マスタ設定!$C$18:$C$37,MATCH($D30,マスタ設定!$A$18:$A$37,0)),"")</f>
        <v/>
      </c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</row>
    <row r="31" customFormat="false" ht="15" hidden="false" customHeight="false" outlineLevel="0" collapsed="false">
      <c r="A31" s="25"/>
      <c r="B31" s="25"/>
      <c r="C31" s="26"/>
      <c r="D31" s="25"/>
      <c r="E31" s="27" t="str">
        <f aca="false">IFERROR(INDEX(マスタ設定!$B$18:$B$37,MATCH($D31,マスタ設定!$A$18:$A$37,0)),"")</f>
        <v/>
      </c>
      <c r="F31" s="27" t="str">
        <f aca="false">IFERROR(INDEX(マスタ設定!$C$18:$C$37,MATCH($D31,マスタ設定!$A$18:$A$37,0)),"")</f>
        <v/>
      </c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</row>
    <row r="32" customFormat="false" ht="15" hidden="false" customHeight="false" outlineLevel="0" collapsed="false">
      <c r="A32" s="25"/>
      <c r="B32" s="25"/>
      <c r="C32" s="26"/>
      <c r="D32" s="25"/>
      <c r="E32" s="27" t="str">
        <f aca="false">IFERROR(INDEX(マスタ設定!$B$18:$B$37,MATCH($D32,マスタ設定!$A$18:$A$37,0)),"")</f>
        <v/>
      </c>
      <c r="F32" s="27" t="str">
        <f aca="false">IFERROR(INDEX(マスタ設定!$C$18:$C$37,MATCH($D32,マスタ設定!$A$18:$A$37,0)),"")</f>
        <v/>
      </c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</row>
    <row r="33" customFormat="false" ht="15" hidden="false" customHeight="false" outlineLevel="0" collapsed="false">
      <c r="A33" s="25"/>
      <c r="B33" s="25"/>
      <c r="C33" s="26"/>
      <c r="D33" s="25"/>
      <c r="E33" s="27" t="str">
        <f aca="false">IFERROR(INDEX(マスタ設定!$B$18:$B$37,MATCH($D33,マスタ設定!$A$18:$A$37,0)),"")</f>
        <v/>
      </c>
      <c r="F33" s="27" t="str">
        <f aca="false">IFERROR(INDEX(マスタ設定!$C$18:$C$37,MATCH($D33,マスタ設定!$A$18:$A$37,0)),"")</f>
        <v/>
      </c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</row>
    <row r="34" customFormat="false" ht="15" hidden="false" customHeight="false" outlineLevel="0" collapsed="false">
      <c r="A34" s="25"/>
      <c r="B34" s="25"/>
      <c r="C34" s="26"/>
      <c r="D34" s="25"/>
      <c r="E34" s="27" t="str">
        <f aca="false">IFERROR(INDEX(マスタ設定!$B$18:$B$37,MATCH($D34,マスタ設定!$A$18:$A$37,0)),"")</f>
        <v/>
      </c>
      <c r="F34" s="27" t="str">
        <f aca="false">IFERROR(INDEX(マスタ設定!$C$18:$C$37,MATCH($D34,マスタ設定!$A$18:$A$37,0)),"")</f>
        <v/>
      </c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</row>
    <row r="35" customFormat="false" ht="15" hidden="false" customHeight="false" outlineLevel="0" collapsed="false">
      <c r="A35" s="25"/>
      <c r="B35" s="25"/>
      <c r="C35" s="26"/>
      <c r="D35" s="25"/>
      <c r="E35" s="27" t="str">
        <f aca="false">IFERROR(INDEX(マスタ設定!$B$18:$B$37,MATCH($D35,マスタ設定!$A$18:$A$37,0)),"")</f>
        <v/>
      </c>
      <c r="F35" s="27" t="str">
        <f aca="false">IFERROR(INDEX(マスタ設定!$C$18:$C$37,MATCH($D35,マスタ設定!$A$18:$A$37,0)),"")</f>
        <v/>
      </c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</row>
    <row r="36" customFormat="false" ht="15" hidden="false" customHeight="false" outlineLevel="0" collapsed="false">
      <c r="A36" s="25"/>
      <c r="B36" s="25"/>
      <c r="C36" s="26"/>
      <c r="D36" s="25"/>
      <c r="E36" s="27" t="str">
        <f aca="false">IFERROR(INDEX(マスタ設定!$B$18:$B$37,MATCH($D36,マスタ設定!$A$18:$A$37,0)),"")</f>
        <v/>
      </c>
      <c r="F36" s="27" t="str">
        <f aca="false">IFERROR(INDEX(マスタ設定!$C$18:$C$37,MATCH($D36,マスタ設定!$A$18:$A$37,0)),"")</f>
        <v/>
      </c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</row>
    <row r="37" customFormat="false" ht="15" hidden="false" customHeight="false" outlineLevel="0" collapsed="false">
      <c r="A37" s="25"/>
      <c r="B37" s="25"/>
      <c r="C37" s="26"/>
      <c r="D37" s="25"/>
      <c r="E37" s="27" t="str">
        <f aca="false">IFERROR(INDEX(マスタ設定!$B$18:$B$37,MATCH($D37,マスタ設定!$A$18:$A$37,0)),"")</f>
        <v/>
      </c>
      <c r="F37" s="27" t="str">
        <f aca="false">IFERROR(INDEX(マスタ設定!$C$18:$C$37,MATCH($D37,マスタ設定!$A$18:$A$37,0)),"")</f>
        <v/>
      </c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</row>
    <row r="38" customFormat="false" ht="15" hidden="false" customHeight="false" outlineLevel="0" collapsed="false">
      <c r="A38" s="25"/>
      <c r="B38" s="25"/>
      <c r="C38" s="26"/>
      <c r="D38" s="25"/>
      <c r="E38" s="27" t="str">
        <f aca="false">IFERROR(INDEX(マスタ設定!$B$18:$B$37,MATCH($D38,マスタ設定!$A$18:$A$37,0)),"")</f>
        <v/>
      </c>
      <c r="F38" s="27" t="str">
        <f aca="false">IFERROR(INDEX(マスタ設定!$C$18:$C$37,MATCH($D38,マスタ設定!$A$18:$A$37,0)),"")</f>
        <v/>
      </c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</row>
    <row r="39" customFormat="false" ht="15" hidden="false" customHeight="false" outlineLevel="0" collapsed="false">
      <c r="A39" s="25"/>
      <c r="B39" s="25"/>
      <c r="C39" s="26"/>
      <c r="D39" s="25"/>
      <c r="E39" s="27" t="str">
        <f aca="false">IFERROR(INDEX(マスタ設定!$B$18:$B$37,MATCH($D39,マスタ設定!$A$18:$A$37,0)),"")</f>
        <v/>
      </c>
      <c r="F39" s="27" t="str">
        <f aca="false">IFERROR(INDEX(マスタ設定!$C$18:$C$37,MATCH($D39,マスタ設定!$A$18:$A$37,0)),"")</f>
        <v/>
      </c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</row>
    <row r="40" customFormat="false" ht="15" hidden="false" customHeight="false" outlineLevel="0" collapsed="false">
      <c r="A40" s="25"/>
      <c r="B40" s="25"/>
      <c r="C40" s="26"/>
      <c r="D40" s="25"/>
      <c r="E40" s="27" t="str">
        <f aca="false">IFERROR(INDEX(マスタ設定!$B$18:$B$37,MATCH($D40,マスタ設定!$A$18:$A$37,0)),"")</f>
        <v/>
      </c>
      <c r="F40" s="27" t="str">
        <f aca="false">IFERROR(INDEX(マスタ設定!$C$18:$C$37,MATCH($D40,マスタ設定!$A$18:$A$37,0)),"")</f>
        <v/>
      </c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</row>
    <row r="41" customFormat="false" ht="15" hidden="false" customHeight="false" outlineLevel="0" collapsed="false">
      <c r="A41" s="25"/>
      <c r="B41" s="25"/>
      <c r="C41" s="26"/>
      <c r="D41" s="25"/>
      <c r="E41" s="27" t="str">
        <f aca="false">IFERROR(INDEX(マスタ設定!$B$18:$B$37,MATCH($D41,マスタ設定!$A$18:$A$37,0)),"")</f>
        <v/>
      </c>
      <c r="F41" s="27" t="str">
        <f aca="false">IFERROR(INDEX(マスタ設定!$C$18:$C$37,MATCH($D41,マスタ設定!$A$18:$A$37,0)),"")</f>
        <v/>
      </c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</row>
    <row r="42" customFormat="false" ht="15" hidden="false" customHeight="false" outlineLevel="0" collapsed="false">
      <c r="A42" s="25"/>
      <c r="B42" s="25"/>
      <c r="C42" s="26"/>
      <c r="D42" s="25"/>
      <c r="E42" s="27" t="str">
        <f aca="false">IFERROR(INDEX(マスタ設定!$B$18:$B$37,MATCH($D42,マスタ設定!$A$18:$A$37,0)),"")</f>
        <v/>
      </c>
      <c r="F42" s="27" t="str">
        <f aca="false">IFERROR(INDEX(マスタ設定!$C$18:$C$37,MATCH($D42,マスタ設定!$A$18:$A$37,0)),"")</f>
        <v/>
      </c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</row>
    <row r="43" customFormat="false" ht="15" hidden="false" customHeight="false" outlineLevel="0" collapsed="false">
      <c r="A43" s="25"/>
      <c r="B43" s="25"/>
      <c r="C43" s="26"/>
      <c r="D43" s="25"/>
      <c r="E43" s="27" t="str">
        <f aca="false">IFERROR(INDEX(マスタ設定!$B$18:$B$37,MATCH($D43,マスタ設定!$A$18:$A$37,0)),"")</f>
        <v/>
      </c>
      <c r="F43" s="27" t="str">
        <f aca="false">IFERROR(INDEX(マスタ設定!$C$18:$C$37,MATCH($D43,マスタ設定!$A$18:$A$37,0)),"")</f>
        <v/>
      </c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</row>
    <row r="44" customFormat="false" ht="15" hidden="false" customHeight="false" outlineLevel="0" collapsed="false">
      <c r="A44" s="25"/>
      <c r="B44" s="25"/>
      <c r="C44" s="26"/>
      <c r="D44" s="25"/>
      <c r="E44" s="27" t="str">
        <f aca="false">IFERROR(INDEX(マスタ設定!$B$18:$B$37,MATCH($D44,マスタ設定!$A$18:$A$37,0)),"")</f>
        <v/>
      </c>
      <c r="F44" s="27" t="str">
        <f aca="false">IFERROR(INDEX(マスタ設定!$C$18:$C$37,MATCH($D44,マスタ設定!$A$18:$A$37,0)),"")</f>
        <v/>
      </c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</row>
    <row r="45" customFormat="false" ht="15" hidden="false" customHeight="false" outlineLevel="0" collapsed="false">
      <c r="A45" s="25"/>
      <c r="B45" s="25"/>
      <c r="C45" s="26"/>
      <c r="D45" s="25"/>
      <c r="E45" s="27" t="str">
        <f aca="false">IFERROR(INDEX(マスタ設定!$B$18:$B$37,MATCH($D45,マスタ設定!$A$18:$A$37,0)),"")</f>
        <v/>
      </c>
      <c r="F45" s="27" t="str">
        <f aca="false">IFERROR(INDEX(マスタ設定!$C$18:$C$37,MATCH($D45,マスタ設定!$A$18:$A$37,0)),"")</f>
        <v/>
      </c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</row>
    <row r="46" customFormat="false" ht="15" hidden="false" customHeight="false" outlineLevel="0" collapsed="false">
      <c r="A46" s="25"/>
      <c r="B46" s="25"/>
      <c r="C46" s="26"/>
      <c r="D46" s="25"/>
      <c r="E46" s="27" t="str">
        <f aca="false">IFERROR(INDEX(マスタ設定!$B$18:$B$37,MATCH($D46,マスタ設定!$A$18:$A$37,0)),"")</f>
        <v/>
      </c>
      <c r="F46" s="27" t="str">
        <f aca="false">IFERROR(INDEX(マスタ設定!$C$18:$C$37,MATCH($D46,マスタ設定!$A$18:$A$37,0)),"")</f>
        <v/>
      </c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</row>
    <row r="47" customFormat="false" ht="15" hidden="false" customHeight="false" outlineLevel="0" collapsed="false">
      <c r="A47" s="25"/>
      <c r="B47" s="25"/>
      <c r="C47" s="26"/>
      <c r="D47" s="25"/>
      <c r="E47" s="27" t="str">
        <f aca="false">IFERROR(INDEX(マスタ設定!$B$18:$B$37,MATCH($D47,マスタ設定!$A$18:$A$37,0)),"")</f>
        <v/>
      </c>
      <c r="F47" s="27" t="str">
        <f aca="false">IFERROR(INDEX(マスタ設定!$C$18:$C$37,MATCH($D47,マスタ設定!$A$18:$A$37,0)),"")</f>
        <v/>
      </c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</row>
    <row r="48" customFormat="false" ht="15" hidden="false" customHeight="false" outlineLevel="0" collapsed="false">
      <c r="A48" s="25"/>
      <c r="B48" s="25"/>
      <c r="C48" s="26"/>
      <c r="D48" s="25"/>
      <c r="E48" s="27" t="str">
        <f aca="false">IFERROR(INDEX(マスタ設定!$B$18:$B$37,MATCH($D48,マスタ設定!$A$18:$A$37,0)),"")</f>
        <v/>
      </c>
      <c r="F48" s="27" t="str">
        <f aca="false">IFERROR(INDEX(マスタ設定!$C$18:$C$37,MATCH($D48,マスタ設定!$A$18:$A$37,0)),"")</f>
        <v/>
      </c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</row>
    <row r="49" customFormat="false" ht="15" hidden="false" customHeight="false" outlineLevel="0" collapsed="false">
      <c r="A49" s="25"/>
      <c r="B49" s="25"/>
      <c r="C49" s="26"/>
      <c r="D49" s="25"/>
      <c r="E49" s="27" t="str">
        <f aca="false">IFERROR(INDEX(マスタ設定!$B$18:$B$37,MATCH($D49,マスタ設定!$A$18:$A$37,0)),"")</f>
        <v/>
      </c>
      <c r="F49" s="27" t="str">
        <f aca="false">IFERROR(INDEX(マスタ設定!$C$18:$C$37,MATCH($D49,マスタ設定!$A$18:$A$37,0)),"")</f>
        <v/>
      </c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</row>
    <row r="50" customFormat="false" ht="15" hidden="false" customHeight="false" outlineLevel="0" collapsed="false">
      <c r="A50" s="25"/>
      <c r="B50" s="25"/>
      <c r="C50" s="26"/>
      <c r="D50" s="25"/>
      <c r="E50" s="27" t="str">
        <f aca="false">IFERROR(INDEX(マスタ設定!$B$18:$B$37,MATCH($D50,マスタ設定!$A$18:$A$37,0)),"")</f>
        <v/>
      </c>
      <c r="F50" s="27" t="str">
        <f aca="false">IFERROR(INDEX(マスタ設定!$C$18:$C$37,MATCH($D50,マスタ設定!$A$18:$A$37,0)),"")</f>
        <v/>
      </c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</row>
    <row r="51" customFormat="false" ht="15" hidden="false" customHeight="false" outlineLevel="0" collapsed="false">
      <c r="A51" s="25"/>
      <c r="B51" s="25"/>
      <c r="C51" s="26"/>
      <c r="D51" s="25"/>
      <c r="E51" s="27" t="str">
        <f aca="false">IFERROR(INDEX(マスタ設定!$B$18:$B$37,MATCH($D51,マスタ設定!$A$18:$A$37,0)),"")</f>
        <v/>
      </c>
      <c r="F51" s="27" t="str">
        <f aca="false">IFERROR(INDEX(マスタ設定!$C$18:$C$37,MATCH($D51,マスタ設定!$A$18:$A$37,0)),"")</f>
        <v/>
      </c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</row>
    <row r="52" customFormat="false" ht="15" hidden="false" customHeight="false" outlineLevel="0" collapsed="false">
      <c r="A52" s="25"/>
      <c r="B52" s="25"/>
      <c r="C52" s="26"/>
      <c r="D52" s="25"/>
      <c r="E52" s="27" t="str">
        <f aca="false">IFERROR(INDEX(マスタ設定!$B$18:$B$37,MATCH($D52,マスタ設定!$A$18:$A$37,0)),"")</f>
        <v/>
      </c>
      <c r="F52" s="27" t="str">
        <f aca="false">IFERROR(INDEX(マスタ設定!$C$18:$C$37,MATCH($D52,マスタ設定!$A$18:$A$37,0)),"")</f>
        <v/>
      </c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</row>
    <row r="53" customFormat="false" ht="15" hidden="false" customHeight="false" outlineLevel="0" collapsed="false">
      <c r="A53" s="25"/>
      <c r="B53" s="25"/>
      <c r="C53" s="26"/>
      <c r="D53" s="25"/>
      <c r="E53" s="27" t="str">
        <f aca="false">IFERROR(INDEX(マスタ設定!$B$18:$B$37,MATCH($D53,マスタ設定!$A$18:$A$37,0)),"")</f>
        <v/>
      </c>
      <c r="F53" s="27" t="str">
        <f aca="false">IFERROR(INDEX(マスタ設定!$C$18:$C$37,MATCH($D53,マスタ設定!$A$18:$A$37,0)),"")</f>
        <v/>
      </c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</row>
    <row r="54" customFormat="false" ht="15" hidden="false" customHeight="false" outlineLevel="0" collapsed="false">
      <c r="A54" s="25"/>
      <c r="B54" s="25"/>
      <c r="C54" s="26"/>
      <c r="D54" s="25"/>
      <c r="E54" s="27" t="str">
        <f aca="false">IFERROR(INDEX(マスタ設定!$B$18:$B$37,MATCH($D54,マスタ設定!$A$18:$A$37,0)),"")</f>
        <v/>
      </c>
      <c r="F54" s="27" t="str">
        <f aca="false">IFERROR(INDEX(マスタ設定!$C$18:$C$37,MATCH($D54,マスタ設定!$A$18:$A$37,0)),"")</f>
        <v/>
      </c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</row>
    <row r="55" customFormat="false" ht="15" hidden="false" customHeight="false" outlineLevel="0" collapsed="false">
      <c r="A55" s="25"/>
      <c r="B55" s="25"/>
      <c r="C55" s="26"/>
      <c r="D55" s="25"/>
      <c r="E55" s="27" t="str">
        <f aca="false">IFERROR(INDEX(マスタ設定!$B$18:$B$37,MATCH($D55,マスタ設定!$A$18:$A$37,0)),"")</f>
        <v/>
      </c>
      <c r="F55" s="27" t="str">
        <f aca="false">IFERROR(INDEX(マスタ設定!$C$18:$C$37,MATCH($D55,マスタ設定!$A$18:$A$37,0)),"")</f>
        <v/>
      </c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</row>
    <row r="56" customFormat="false" ht="15" hidden="false" customHeight="false" outlineLevel="0" collapsed="false">
      <c r="A56" s="25"/>
      <c r="B56" s="25"/>
      <c r="C56" s="26"/>
      <c r="D56" s="25"/>
      <c r="E56" s="27" t="str">
        <f aca="false">IFERROR(INDEX(マスタ設定!$B$18:$B$37,MATCH($D56,マスタ設定!$A$18:$A$37,0)),"")</f>
        <v/>
      </c>
      <c r="F56" s="27" t="str">
        <f aca="false">IFERROR(INDEX(マスタ設定!$C$18:$C$37,MATCH($D56,マスタ設定!$A$18:$A$37,0)),"")</f>
        <v/>
      </c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</row>
    <row r="57" customFormat="false" ht="15" hidden="false" customHeight="false" outlineLevel="0" collapsed="false">
      <c r="A57" s="25"/>
      <c r="B57" s="25"/>
      <c r="C57" s="26"/>
      <c r="D57" s="25"/>
      <c r="E57" s="27" t="str">
        <f aca="false">IFERROR(INDEX(マスタ設定!$B$18:$B$37,MATCH($D57,マスタ設定!$A$18:$A$37,0)),"")</f>
        <v/>
      </c>
      <c r="F57" s="27" t="str">
        <f aca="false">IFERROR(INDEX(マスタ設定!$C$18:$C$37,MATCH($D57,マスタ設定!$A$18:$A$37,0)),"")</f>
        <v/>
      </c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</row>
    <row r="58" customFormat="false" ht="15" hidden="false" customHeight="false" outlineLevel="0" collapsed="false">
      <c r="A58" s="25"/>
      <c r="B58" s="25"/>
      <c r="C58" s="26"/>
      <c r="D58" s="25"/>
      <c r="E58" s="27" t="str">
        <f aca="false">IFERROR(INDEX(マスタ設定!$B$18:$B$37,MATCH($D58,マスタ設定!$A$18:$A$37,0)),"")</f>
        <v/>
      </c>
      <c r="F58" s="27" t="str">
        <f aca="false">IFERROR(INDEX(マスタ設定!$C$18:$C$37,MATCH($D58,マスタ設定!$A$18:$A$37,0)),"")</f>
        <v/>
      </c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</row>
    <row r="59" customFormat="false" ht="15" hidden="false" customHeight="false" outlineLevel="0" collapsed="false">
      <c r="A59" s="25"/>
      <c r="B59" s="25"/>
      <c r="C59" s="26"/>
      <c r="D59" s="25"/>
      <c r="E59" s="27" t="str">
        <f aca="false">IFERROR(INDEX(マスタ設定!$B$18:$B$37,MATCH($D59,マスタ設定!$A$18:$A$37,0)),"")</f>
        <v/>
      </c>
      <c r="F59" s="27" t="str">
        <f aca="false">IFERROR(INDEX(マスタ設定!$C$18:$C$37,MATCH($D59,マスタ設定!$A$18:$A$37,0)),"")</f>
        <v/>
      </c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</row>
    <row r="60" customFormat="false" ht="15" hidden="false" customHeight="false" outlineLevel="0" collapsed="false">
      <c r="A60" s="25"/>
      <c r="B60" s="25"/>
      <c r="C60" s="26"/>
      <c r="D60" s="25"/>
      <c r="E60" s="27" t="str">
        <f aca="false">IFERROR(INDEX(マスタ設定!$B$18:$B$37,MATCH($D60,マスタ設定!$A$18:$A$37,0)),"")</f>
        <v/>
      </c>
      <c r="F60" s="27" t="str">
        <f aca="false">IFERROR(INDEX(マスタ設定!$C$18:$C$37,MATCH($D60,マスタ設定!$A$18:$A$37,0)),"")</f>
        <v/>
      </c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</row>
    <row r="61" customFormat="false" ht="15" hidden="false" customHeight="false" outlineLevel="0" collapsed="false">
      <c r="A61" s="25"/>
      <c r="B61" s="25"/>
      <c r="C61" s="26"/>
      <c r="D61" s="25"/>
      <c r="E61" s="27" t="str">
        <f aca="false">IFERROR(INDEX(マスタ設定!$B$18:$B$37,MATCH($D61,マスタ設定!$A$18:$A$37,0)),"")</f>
        <v/>
      </c>
      <c r="F61" s="27" t="str">
        <f aca="false">IFERROR(INDEX(マスタ設定!$C$18:$C$37,MATCH($D61,マスタ設定!$A$18:$A$37,0)),"")</f>
        <v/>
      </c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</row>
    <row r="62" customFormat="false" ht="15" hidden="false" customHeight="false" outlineLevel="0" collapsed="false">
      <c r="A62" s="25"/>
      <c r="B62" s="25"/>
      <c r="C62" s="26"/>
      <c r="D62" s="25"/>
      <c r="E62" s="27" t="str">
        <f aca="false">IFERROR(INDEX(マスタ設定!$B$18:$B$37,MATCH($D62,マスタ設定!$A$18:$A$37,0)),"")</f>
        <v/>
      </c>
      <c r="F62" s="27" t="str">
        <f aca="false">IFERROR(INDEX(マスタ設定!$C$18:$C$37,MATCH($D62,マスタ設定!$A$18:$A$37,0)),"")</f>
        <v/>
      </c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</row>
    <row r="63" customFormat="false" ht="15" hidden="false" customHeight="false" outlineLevel="0" collapsed="false">
      <c r="A63" s="25"/>
      <c r="B63" s="25"/>
      <c r="C63" s="26"/>
      <c r="D63" s="25"/>
      <c r="E63" s="27" t="str">
        <f aca="false">IFERROR(INDEX(マスタ設定!$B$18:$B$37,MATCH($D63,マスタ設定!$A$18:$A$37,0)),"")</f>
        <v/>
      </c>
      <c r="F63" s="27" t="str">
        <f aca="false">IFERROR(INDEX(マスタ設定!$C$18:$C$37,MATCH($D63,マスタ設定!$A$18:$A$37,0)),"")</f>
        <v/>
      </c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</row>
    <row r="64" customFormat="false" ht="15" hidden="false" customHeight="false" outlineLevel="0" collapsed="false">
      <c r="A64" s="25"/>
      <c r="B64" s="25"/>
      <c r="C64" s="26"/>
      <c r="D64" s="25"/>
      <c r="E64" s="27" t="str">
        <f aca="false">IFERROR(INDEX(マスタ設定!$B$18:$B$37,MATCH($D64,マスタ設定!$A$18:$A$37,0)),"")</f>
        <v/>
      </c>
      <c r="F64" s="27" t="str">
        <f aca="false">IFERROR(INDEX(マスタ設定!$C$18:$C$37,MATCH($D64,マスタ設定!$A$18:$A$37,0)),"")</f>
        <v/>
      </c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</row>
    <row r="65" customFormat="false" ht="15" hidden="false" customHeight="false" outlineLevel="0" collapsed="false">
      <c r="A65" s="25"/>
      <c r="B65" s="25"/>
      <c r="C65" s="26"/>
      <c r="D65" s="25"/>
      <c r="E65" s="27" t="str">
        <f aca="false">IFERROR(INDEX(マスタ設定!$B$18:$B$37,MATCH($D65,マスタ設定!$A$18:$A$37,0)),"")</f>
        <v/>
      </c>
      <c r="F65" s="27" t="str">
        <f aca="false">IFERROR(INDEX(マスタ設定!$C$18:$C$37,MATCH($D65,マスタ設定!$A$18:$A$37,0)),"")</f>
        <v/>
      </c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</row>
    <row r="66" customFormat="false" ht="15" hidden="false" customHeight="false" outlineLevel="0" collapsed="false">
      <c r="A66" s="25"/>
      <c r="B66" s="25"/>
      <c r="C66" s="26"/>
      <c r="D66" s="25"/>
      <c r="E66" s="27" t="str">
        <f aca="false">IFERROR(INDEX(マスタ設定!$B$18:$B$37,MATCH($D66,マスタ設定!$A$18:$A$37,0)),"")</f>
        <v/>
      </c>
      <c r="F66" s="27" t="str">
        <f aca="false">IFERROR(INDEX(マスタ設定!$C$18:$C$37,MATCH($D66,マスタ設定!$A$18:$A$37,0)),"")</f>
        <v/>
      </c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</row>
    <row r="67" customFormat="false" ht="15" hidden="false" customHeight="false" outlineLevel="0" collapsed="false">
      <c r="A67" s="25"/>
      <c r="B67" s="25"/>
      <c r="C67" s="26"/>
      <c r="D67" s="25"/>
      <c r="E67" s="27" t="str">
        <f aca="false">IFERROR(INDEX(マスタ設定!$B$18:$B$37,MATCH($D67,マスタ設定!$A$18:$A$37,0)),"")</f>
        <v/>
      </c>
      <c r="F67" s="27" t="str">
        <f aca="false">IFERROR(INDEX(マスタ設定!$C$18:$C$37,MATCH($D67,マスタ設定!$A$18:$A$37,0)),"")</f>
        <v/>
      </c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</row>
    <row r="68" customFormat="false" ht="15" hidden="false" customHeight="false" outlineLevel="0" collapsed="false">
      <c r="A68" s="25"/>
      <c r="B68" s="25"/>
      <c r="C68" s="26"/>
      <c r="D68" s="25"/>
      <c r="E68" s="27" t="str">
        <f aca="false">IFERROR(INDEX(マスタ設定!$B$18:$B$37,MATCH($D68,マスタ設定!$A$18:$A$37,0)),"")</f>
        <v/>
      </c>
      <c r="F68" s="27" t="str">
        <f aca="false">IFERROR(INDEX(マスタ設定!$C$18:$C$37,MATCH($D68,マスタ設定!$A$18:$A$37,0)),"")</f>
        <v/>
      </c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</row>
    <row r="69" customFormat="false" ht="15" hidden="false" customHeight="false" outlineLevel="0" collapsed="false">
      <c r="A69" s="25"/>
      <c r="B69" s="25"/>
      <c r="C69" s="26"/>
      <c r="D69" s="25"/>
      <c r="E69" s="27" t="str">
        <f aca="false">IFERROR(INDEX(マスタ設定!$B$18:$B$37,MATCH($D69,マスタ設定!$A$18:$A$37,0)),"")</f>
        <v/>
      </c>
      <c r="F69" s="27" t="str">
        <f aca="false">IFERROR(INDEX(マスタ設定!$C$18:$C$37,MATCH($D69,マスタ設定!$A$18:$A$37,0)),"")</f>
        <v/>
      </c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</row>
    <row r="70" customFormat="false" ht="15" hidden="false" customHeight="false" outlineLevel="0" collapsed="false">
      <c r="A70" s="25"/>
      <c r="B70" s="25"/>
      <c r="C70" s="26"/>
      <c r="D70" s="25"/>
      <c r="E70" s="27" t="str">
        <f aca="false">IFERROR(INDEX(マスタ設定!$B$18:$B$37,MATCH($D70,マスタ設定!$A$18:$A$37,0)),"")</f>
        <v/>
      </c>
      <c r="F70" s="27" t="str">
        <f aca="false">IFERROR(INDEX(マスタ設定!$C$18:$C$37,MATCH($D70,マスタ設定!$A$18:$A$37,0)),"")</f>
        <v/>
      </c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</row>
    <row r="71" customFormat="false" ht="15" hidden="false" customHeight="false" outlineLevel="0" collapsed="false">
      <c r="A71" s="25"/>
      <c r="B71" s="25"/>
      <c r="C71" s="26"/>
      <c r="D71" s="25"/>
      <c r="E71" s="27" t="str">
        <f aca="false">IFERROR(INDEX(マスタ設定!$B$18:$B$37,MATCH($D71,マスタ設定!$A$18:$A$37,0)),"")</f>
        <v/>
      </c>
      <c r="F71" s="27" t="str">
        <f aca="false">IFERROR(INDEX(マスタ設定!$C$18:$C$37,MATCH($D71,マスタ設定!$A$18:$A$37,0)),"")</f>
        <v/>
      </c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</row>
    <row r="72" customFormat="false" ht="15" hidden="false" customHeight="false" outlineLevel="0" collapsed="false">
      <c r="A72" s="25"/>
      <c r="B72" s="25"/>
      <c r="C72" s="26"/>
      <c r="D72" s="25"/>
      <c r="E72" s="27" t="str">
        <f aca="false">IFERROR(INDEX(マスタ設定!$B$18:$B$37,MATCH($D72,マスタ設定!$A$18:$A$37,0)),"")</f>
        <v/>
      </c>
      <c r="F72" s="27" t="str">
        <f aca="false">IFERROR(INDEX(マスタ設定!$C$18:$C$37,MATCH($D72,マスタ設定!$A$18:$A$37,0)),"")</f>
        <v/>
      </c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</row>
    <row r="73" customFormat="false" ht="15" hidden="false" customHeight="false" outlineLevel="0" collapsed="false">
      <c r="A73" s="25"/>
      <c r="B73" s="25"/>
      <c r="C73" s="26"/>
      <c r="D73" s="25"/>
      <c r="E73" s="27" t="str">
        <f aca="false">IFERROR(INDEX(マスタ設定!$B$18:$B$37,MATCH($D73,マスタ設定!$A$18:$A$37,0)),"")</f>
        <v/>
      </c>
      <c r="F73" s="27" t="str">
        <f aca="false">IFERROR(INDEX(マスタ設定!$C$18:$C$37,MATCH($D73,マスタ設定!$A$18:$A$37,0)),"")</f>
        <v/>
      </c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</row>
    <row r="74" customFormat="false" ht="15" hidden="false" customHeight="false" outlineLevel="0" collapsed="false">
      <c r="A74" s="25"/>
      <c r="B74" s="25"/>
      <c r="C74" s="26"/>
      <c r="D74" s="25"/>
      <c r="E74" s="27" t="str">
        <f aca="false">IFERROR(INDEX(マスタ設定!$B$18:$B$37,MATCH($D74,マスタ設定!$A$18:$A$37,0)),"")</f>
        <v/>
      </c>
      <c r="F74" s="27" t="str">
        <f aca="false">IFERROR(INDEX(マスタ設定!$C$18:$C$37,MATCH($D74,マスタ設定!$A$18:$A$37,0)),"")</f>
        <v/>
      </c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</row>
    <row r="75" customFormat="false" ht="15" hidden="false" customHeight="false" outlineLevel="0" collapsed="false">
      <c r="A75" s="25"/>
      <c r="B75" s="25"/>
      <c r="C75" s="26"/>
      <c r="D75" s="25"/>
      <c r="E75" s="27" t="str">
        <f aca="false">IFERROR(INDEX(マスタ設定!$B$18:$B$37,MATCH($D75,マスタ設定!$A$18:$A$37,0)),"")</f>
        <v/>
      </c>
      <c r="F75" s="27" t="str">
        <f aca="false">IFERROR(INDEX(マスタ設定!$C$18:$C$37,MATCH($D75,マスタ設定!$A$18:$A$37,0)),"")</f>
        <v/>
      </c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</row>
    <row r="76" customFormat="false" ht="15" hidden="false" customHeight="false" outlineLevel="0" collapsed="false">
      <c r="A76" s="25"/>
      <c r="B76" s="25"/>
      <c r="C76" s="26"/>
      <c r="D76" s="25"/>
      <c r="E76" s="27" t="str">
        <f aca="false">IFERROR(INDEX(マスタ設定!$B$18:$B$37,MATCH($D76,マスタ設定!$A$18:$A$37,0)),"")</f>
        <v/>
      </c>
      <c r="F76" s="27" t="str">
        <f aca="false">IFERROR(INDEX(マスタ設定!$C$18:$C$37,MATCH($D76,マスタ設定!$A$18:$A$37,0)),"")</f>
        <v/>
      </c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</row>
    <row r="77" customFormat="false" ht="15" hidden="false" customHeight="false" outlineLevel="0" collapsed="false">
      <c r="A77" s="25"/>
      <c r="B77" s="25"/>
      <c r="C77" s="26"/>
      <c r="D77" s="25"/>
      <c r="E77" s="27" t="str">
        <f aca="false">IFERROR(INDEX(マスタ設定!$B$18:$B$37,MATCH($D77,マスタ設定!$A$18:$A$37,0)),"")</f>
        <v/>
      </c>
      <c r="F77" s="27" t="str">
        <f aca="false">IFERROR(INDEX(マスタ設定!$C$18:$C$37,MATCH($D77,マスタ設定!$A$18:$A$37,0)),"")</f>
        <v/>
      </c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</row>
    <row r="78" customFormat="false" ht="15" hidden="false" customHeight="false" outlineLevel="0" collapsed="false">
      <c r="A78" s="25"/>
      <c r="B78" s="25"/>
      <c r="C78" s="26"/>
      <c r="D78" s="25"/>
      <c r="E78" s="27" t="str">
        <f aca="false">IFERROR(INDEX(マスタ設定!$B$18:$B$37,MATCH($D78,マスタ設定!$A$18:$A$37,0)),"")</f>
        <v/>
      </c>
      <c r="F78" s="27" t="str">
        <f aca="false">IFERROR(INDEX(マスタ設定!$C$18:$C$37,MATCH($D78,マスタ設定!$A$18:$A$37,0)),"")</f>
        <v/>
      </c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</row>
    <row r="79" customFormat="false" ht="15" hidden="false" customHeight="false" outlineLevel="0" collapsed="false">
      <c r="A79" s="25"/>
      <c r="B79" s="25"/>
      <c r="C79" s="26"/>
      <c r="D79" s="25"/>
      <c r="E79" s="27" t="str">
        <f aca="false">IFERROR(INDEX(マスタ設定!$B$18:$B$37,MATCH($D79,マスタ設定!$A$18:$A$37,0)),"")</f>
        <v/>
      </c>
      <c r="F79" s="27" t="str">
        <f aca="false">IFERROR(INDEX(マスタ設定!$C$18:$C$37,MATCH($D79,マスタ設定!$A$18:$A$37,0)),"")</f>
        <v/>
      </c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</row>
    <row r="80" customFormat="false" ht="15" hidden="false" customHeight="false" outlineLevel="0" collapsed="false">
      <c r="A80" s="25"/>
      <c r="B80" s="25"/>
      <c r="C80" s="26"/>
      <c r="D80" s="25"/>
      <c r="E80" s="27" t="str">
        <f aca="false">IFERROR(INDEX(マスタ設定!$B$18:$B$37,MATCH($D80,マスタ設定!$A$18:$A$37,0)),"")</f>
        <v/>
      </c>
      <c r="F80" s="27" t="str">
        <f aca="false">IFERROR(INDEX(マスタ設定!$C$18:$C$37,MATCH($D80,マスタ設定!$A$18:$A$37,0)),"")</f>
        <v/>
      </c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</row>
    <row r="81" customFormat="false" ht="15" hidden="false" customHeight="false" outlineLevel="0" collapsed="false">
      <c r="A81" s="25"/>
      <c r="B81" s="25"/>
      <c r="C81" s="26"/>
      <c r="D81" s="25"/>
      <c r="E81" s="27" t="str">
        <f aca="false">IFERROR(INDEX(マスタ設定!$B$18:$B$37,MATCH($D81,マスタ設定!$A$18:$A$37,0)),"")</f>
        <v/>
      </c>
      <c r="F81" s="27" t="str">
        <f aca="false">IFERROR(INDEX(マスタ設定!$C$18:$C$37,MATCH($D81,マスタ設定!$A$18:$A$37,0)),"")</f>
        <v/>
      </c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</row>
    <row r="82" customFormat="false" ht="15" hidden="false" customHeight="false" outlineLevel="0" collapsed="false">
      <c r="A82" s="25"/>
      <c r="B82" s="25"/>
      <c r="C82" s="26"/>
      <c r="D82" s="25"/>
      <c r="E82" s="27" t="str">
        <f aca="false">IFERROR(INDEX(マスタ設定!$B$18:$B$37,MATCH($D82,マスタ設定!$A$18:$A$37,0)),"")</f>
        <v/>
      </c>
      <c r="F82" s="27" t="str">
        <f aca="false">IFERROR(INDEX(マスタ設定!$C$18:$C$37,MATCH($D82,マスタ設定!$A$18:$A$37,0)),"")</f>
        <v/>
      </c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</row>
    <row r="83" customFormat="false" ht="15" hidden="false" customHeight="false" outlineLevel="0" collapsed="false">
      <c r="A83" s="25"/>
      <c r="B83" s="25"/>
      <c r="C83" s="26"/>
      <c r="D83" s="25"/>
      <c r="E83" s="27" t="str">
        <f aca="false">IFERROR(INDEX(マスタ設定!$B$18:$B$37,MATCH($D83,マスタ設定!$A$18:$A$37,0)),"")</f>
        <v/>
      </c>
      <c r="F83" s="27" t="str">
        <f aca="false">IFERROR(INDEX(マスタ設定!$C$18:$C$37,MATCH($D83,マスタ設定!$A$18:$A$37,0)),"")</f>
        <v/>
      </c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</row>
    <row r="84" customFormat="false" ht="15" hidden="false" customHeight="false" outlineLevel="0" collapsed="false">
      <c r="A84" s="25"/>
      <c r="B84" s="25"/>
      <c r="C84" s="26"/>
      <c r="D84" s="25"/>
      <c r="E84" s="27" t="str">
        <f aca="false">IFERROR(INDEX(マスタ設定!$B$18:$B$37,MATCH($D84,マスタ設定!$A$18:$A$37,0)),"")</f>
        <v/>
      </c>
      <c r="F84" s="27" t="str">
        <f aca="false">IFERROR(INDEX(マスタ設定!$C$18:$C$37,MATCH($D84,マスタ設定!$A$18:$A$37,0)),"")</f>
        <v/>
      </c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</row>
    <row r="85" customFormat="false" ht="15" hidden="false" customHeight="false" outlineLevel="0" collapsed="false">
      <c r="A85" s="25"/>
      <c r="B85" s="25"/>
      <c r="C85" s="26"/>
      <c r="D85" s="25"/>
      <c r="E85" s="27" t="str">
        <f aca="false">IFERROR(INDEX(マスタ設定!$B$18:$B$37,MATCH($D85,マスタ設定!$A$18:$A$37,0)),"")</f>
        <v/>
      </c>
      <c r="F85" s="27" t="str">
        <f aca="false">IFERROR(INDEX(マスタ設定!$C$18:$C$37,MATCH($D85,マスタ設定!$A$18:$A$37,0)),"")</f>
        <v/>
      </c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</row>
    <row r="86" customFormat="false" ht="15" hidden="false" customHeight="false" outlineLevel="0" collapsed="false">
      <c r="A86" s="25"/>
      <c r="B86" s="25"/>
      <c r="C86" s="26"/>
      <c r="D86" s="25"/>
      <c r="E86" s="27" t="str">
        <f aca="false">IFERROR(INDEX(マスタ設定!$B$18:$B$37,MATCH($D86,マスタ設定!$A$18:$A$37,0)),"")</f>
        <v/>
      </c>
      <c r="F86" s="27" t="str">
        <f aca="false">IFERROR(INDEX(マスタ設定!$C$18:$C$37,MATCH($D86,マスタ設定!$A$18:$A$37,0)),"")</f>
        <v/>
      </c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</row>
    <row r="87" customFormat="false" ht="15" hidden="false" customHeight="false" outlineLevel="0" collapsed="false">
      <c r="A87" s="25"/>
      <c r="B87" s="25"/>
      <c r="C87" s="26"/>
      <c r="D87" s="25"/>
      <c r="E87" s="27" t="str">
        <f aca="false">IFERROR(INDEX(マスタ設定!$B$18:$B$37,MATCH($D87,マスタ設定!$A$18:$A$37,0)),"")</f>
        <v/>
      </c>
      <c r="F87" s="27" t="str">
        <f aca="false">IFERROR(INDEX(マスタ設定!$C$18:$C$37,MATCH($D87,マスタ設定!$A$18:$A$37,0)),"")</f>
        <v/>
      </c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</row>
    <row r="88" customFormat="false" ht="15" hidden="false" customHeight="false" outlineLevel="0" collapsed="false">
      <c r="A88" s="25"/>
      <c r="B88" s="25"/>
      <c r="C88" s="26"/>
      <c r="D88" s="25"/>
      <c r="E88" s="27" t="str">
        <f aca="false">IFERROR(INDEX(マスタ設定!$B$18:$B$37,MATCH($D88,マスタ設定!$A$18:$A$37,0)),"")</f>
        <v/>
      </c>
      <c r="F88" s="27" t="str">
        <f aca="false">IFERROR(INDEX(マスタ設定!$C$18:$C$37,MATCH($D88,マスタ設定!$A$18:$A$37,0)),"")</f>
        <v/>
      </c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</row>
    <row r="89" customFormat="false" ht="15" hidden="false" customHeight="false" outlineLevel="0" collapsed="false">
      <c r="A89" s="25"/>
      <c r="B89" s="25"/>
      <c r="C89" s="26"/>
      <c r="D89" s="25"/>
      <c r="E89" s="27" t="str">
        <f aca="false">IFERROR(INDEX(マスタ設定!$B$18:$B$37,MATCH($D89,マスタ設定!$A$18:$A$37,0)),"")</f>
        <v/>
      </c>
      <c r="F89" s="27" t="str">
        <f aca="false">IFERROR(INDEX(マスタ設定!$C$18:$C$37,MATCH($D89,マスタ設定!$A$18:$A$37,0)),"")</f>
        <v/>
      </c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</row>
    <row r="90" customFormat="false" ht="15" hidden="false" customHeight="false" outlineLevel="0" collapsed="false">
      <c r="A90" s="25"/>
      <c r="B90" s="25"/>
      <c r="C90" s="26"/>
      <c r="D90" s="25"/>
      <c r="E90" s="27" t="str">
        <f aca="false">IFERROR(INDEX(マスタ設定!$B$18:$B$37,MATCH($D90,マスタ設定!$A$18:$A$37,0)),"")</f>
        <v/>
      </c>
      <c r="F90" s="27" t="str">
        <f aca="false">IFERROR(INDEX(マスタ設定!$C$18:$C$37,MATCH($D90,マスタ設定!$A$18:$A$37,0)),"")</f>
        <v/>
      </c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</row>
    <row r="91" customFormat="false" ht="15" hidden="false" customHeight="false" outlineLevel="0" collapsed="false">
      <c r="A91" s="25"/>
      <c r="B91" s="25"/>
      <c r="C91" s="26"/>
      <c r="D91" s="25"/>
      <c r="E91" s="27" t="str">
        <f aca="false">IFERROR(INDEX(マスタ設定!$B$18:$B$37,MATCH($D91,マスタ設定!$A$18:$A$37,0)),"")</f>
        <v/>
      </c>
      <c r="F91" s="27" t="str">
        <f aca="false">IFERROR(INDEX(マスタ設定!$C$18:$C$37,MATCH($D91,マスタ設定!$A$18:$A$37,0)),"")</f>
        <v/>
      </c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</row>
    <row r="92" customFormat="false" ht="15" hidden="false" customHeight="false" outlineLevel="0" collapsed="false">
      <c r="A92" s="25"/>
      <c r="B92" s="25"/>
      <c r="C92" s="26"/>
      <c r="D92" s="25"/>
      <c r="E92" s="27" t="str">
        <f aca="false">IFERROR(INDEX(マスタ設定!$B$18:$B$37,MATCH($D92,マスタ設定!$A$18:$A$37,0)),"")</f>
        <v/>
      </c>
      <c r="F92" s="27" t="str">
        <f aca="false">IFERROR(INDEX(マスタ設定!$C$18:$C$37,MATCH($D92,マスタ設定!$A$18:$A$37,0)),"")</f>
        <v/>
      </c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</row>
    <row r="93" customFormat="false" ht="15" hidden="false" customHeight="false" outlineLevel="0" collapsed="false">
      <c r="A93" s="25"/>
      <c r="B93" s="25"/>
      <c r="C93" s="26"/>
      <c r="D93" s="25"/>
      <c r="E93" s="27" t="str">
        <f aca="false">IFERROR(INDEX(マスタ設定!$B$18:$B$37,MATCH($D93,マスタ設定!$A$18:$A$37,0)),"")</f>
        <v/>
      </c>
      <c r="F93" s="27" t="str">
        <f aca="false">IFERROR(INDEX(マスタ設定!$C$18:$C$37,MATCH($D93,マスタ設定!$A$18:$A$37,0)),"")</f>
        <v/>
      </c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</row>
    <row r="94" customFormat="false" ht="15" hidden="false" customHeight="false" outlineLevel="0" collapsed="false">
      <c r="A94" s="25"/>
      <c r="B94" s="25"/>
      <c r="C94" s="26"/>
      <c r="D94" s="25"/>
      <c r="E94" s="27" t="str">
        <f aca="false">IFERROR(INDEX(マスタ設定!$B$18:$B$37,MATCH($D94,マスタ設定!$A$18:$A$37,0)),"")</f>
        <v/>
      </c>
      <c r="F94" s="27" t="str">
        <f aca="false">IFERROR(INDEX(マスタ設定!$C$18:$C$37,MATCH($D94,マスタ設定!$A$18:$A$37,0)),"")</f>
        <v/>
      </c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</row>
    <row r="95" customFormat="false" ht="15" hidden="false" customHeight="false" outlineLevel="0" collapsed="false">
      <c r="A95" s="25"/>
      <c r="B95" s="25"/>
      <c r="C95" s="26"/>
      <c r="D95" s="25"/>
      <c r="E95" s="27" t="str">
        <f aca="false">IFERROR(INDEX(マスタ設定!$B$18:$B$37,MATCH($D95,マスタ設定!$A$18:$A$37,0)),"")</f>
        <v/>
      </c>
      <c r="F95" s="27" t="str">
        <f aca="false">IFERROR(INDEX(マスタ設定!$C$18:$C$37,MATCH($D95,マスタ設定!$A$18:$A$37,0)),"")</f>
        <v/>
      </c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</row>
    <row r="96" customFormat="false" ht="15" hidden="false" customHeight="false" outlineLevel="0" collapsed="false">
      <c r="A96" s="25"/>
      <c r="B96" s="25"/>
      <c r="C96" s="26"/>
      <c r="D96" s="25"/>
      <c r="E96" s="27" t="str">
        <f aca="false">IFERROR(INDEX(マスタ設定!$B$18:$B$37,MATCH($D96,マスタ設定!$A$18:$A$37,0)),"")</f>
        <v/>
      </c>
      <c r="F96" s="27" t="str">
        <f aca="false">IFERROR(INDEX(マスタ設定!$C$18:$C$37,MATCH($D96,マスタ設定!$A$18:$A$37,0)),"")</f>
        <v/>
      </c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</row>
    <row r="97" customFormat="false" ht="15" hidden="false" customHeight="false" outlineLevel="0" collapsed="false">
      <c r="A97" s="25"/>
      <c r="B97" s="25"/>
      <c r="C97" s="26"/>
      <c r="D97" s="25"/>
      <c r="E97" s="27" t="str">
        <f aca="false">IFERROR(INDEX(マスタ設定!$B$18:$B$37,MATCH($D97,マスタ設定!$A$18:$A$37,0)),"")</f>
        <v/>
      </c>
      <c r="F97" s="27" t="str">
        <f aca="false">IFERROR(INDEX(マスタ設定!$C$18:$C$37,MATCH($D97,マスタ設定!$A$18:$A$37,0)),"")</f>
        <v/>
      </c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</row>
    <row r="98" customFormat="false" ht="15" hidden="false" customHeight="false" outlineLevel="0" collapsed="false">
      <c r="A98" s="25"/>
      <c r="B98" s="25"/>
      <c r="C98" s="26"/>
      <c r="D98" s="25"/>
      <c r="E98" s="27" t="str">
        <f aca="false">IFERROR(INDEX(マスタ設定!$B$18:$B$37,MATCH($D98,マスタ設定!$A$18:$A$37,0)),"")</f>
        <v/>
      </c>
      <c r="F98" s="27" t="str">
        <f aca="false">IFERROR(INDEX(マスタ設定!$C$18:$C$37,MATCH($D98,マスタ設定!$A$18:$A$37,0)),"")</f>
        <v/>
      </c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</row>
    <row r="99" customFormat="false" ht="15" hidden="false" customHeight="false" outlineLevel="0" collapsed="false">
      <c r="A99" s="25"/>
      <c r="B99" s="25"/>
      <c r="C99" s="26"/>
      <c r="D99" s="25"/>
      <c r="E99" s="27" t="str">
        <f aca="false">IFERROR(INDEX(マスタ設定!$B$18:$B$37,MATCH($D99,マスタ設定!$A$18:$A$37,0)),"")</f>
        <v/>
      </c>
      <c r="F99" s="27" t="str">
        <f aca="false">IFERROR(INDEX(マスタ設定!$C$18:$C$37,MATCH($D99,マスタ設定!$A$18:$A$37,0)),"")</f>
        <v/>
      </c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</row>
    <row r="100" customFormat="false" ht="15" hidden="false" customHeight="false" outlineLevel="0" collapsed="false">
      <c r="A100" s="25"/>
      <c r="B100" s="25"/>
      <c r="C100" s="26"/>
      <c r="D100" s="25"/>
      <c r="E100" s="27" t="str">
        <f aca="false">IFERROR(INDEX(マスタ設定!$B$18:$B$37,MATCH($D100,マスタ設定!$A$18:$A$37,0)),"")</f>
        <v/>
      </c>
      <c r="F100" s="27" t="str">
        <f aca="false">IFERROR(INDEX(マスタ設定!$C$18:$C$37,MATCH($D100,マスタ設定!$A$18:$A$37,0)),"")</f>
        <v/>
      </c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</row>
    <row r="101" customFormat="false" ht="15" hidden="false" customHeight="false" outlineLevel="0" collapsed="false">
      <c r="A101" s="25"/>
      <c r="B101" s="25"/>
      <c r="C101" s="26"/>
      <c r="D101" s="25"/>
      <c r="E101" s="27" t="str">
        <f aca="false">IFERROR(INDEX(マスタ設定!$B$18:$B$37,MATCH($D101,マスタ設定!$A$18:$A$37,0)),"")</f>
        <v/>
      </c>
      <c r="F101" s="27" t="str">
        <f aca="false">IFERROR(INDEX(マスタ設定!$C$18:$C$37,MATCH($D101,マスタ設定!$A$18:$A$37,0)),"")</f>
        <v/>
      </c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</row>
    <row r="102" customFormat="false" ht="15" hidden="false" customHeight="false" outlineLevel="0" collapsed="false">
      <c r="A102" s="25"/>
      <c r="B102" s="25"/>
      <c r="C102" s="26"/>
      <c r="D102" s="25"/>
      <c r="E102" s="27" t="str">
        <f aca="false">IFERROR(INDEX(マスタ設定!$B$18:$B$37,MATCH($D102,マスタ設定!$A$18:$A$37,0)),"")</f>
        <v/>
      </c>
      <c r="F102" s="27" t="str">
        <f aca="false">IFERROR(INDEX(マスタ設定!$C$18:$C$37,MATCH($D102,マスタ設定!$A$18:$A$37,0)),"")</f>
        <v/>
      </c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</row>
    <row r="103" customFormat="false" ht="15" hidden="false" customHeight="false" outlineLevel="0" collapsed="false">
      <c r="A103" s="25"/>
      <c r="B103" s="25"/>
      <c r="C103" s="26"/>
      <c r="D103" s="25"/>
      <c r="E103" s="27" t="str">
        <f aca="false">IFERROR(INDEX(マスタ設定!$B$18:$B$37,MATCH($D103,マスタ設定!$A$18:$A$37,0)),"")</f>
        <v/>
      </c>
      <c r="F103" s="27" t="str">
        <f aca="false">IFERROR(INDEX(マスタ設定!$C$18:$C$37,MATCH($D103,マスタ設定!$A$18:$A$37,0)),"")</f>
        <v/>
      </c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</row>
    <row r="104" customFormat="false" ht="15" hidden="false" customHeight="false" outlineLevel="0" collapsed="false">
      <c r="A104" s="25"/>
      <c r="B104" s="25"/>
      <c r="C104" s="26"/>
      <c r="D104" s="25"/>
      <c r="E104" s="27" t="str">
        <f aca="false">IFERROR(INDEX(マスタ設定!$B$18:$B$37,MATCH($D104,マスタ設定!$A$18:$A$37,0)),"")</f>
        <v/>
      </c>
      <c r="F104" s="27" t="str">
        <f aca="false">IFERROR(INDEX(マスタ設定!$C$18:$C$37,MATCH($D104,マスタ設定!$A$18:$A$37,0)),"")</f>
        <v/>
      </c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</row>
    <row r="105" customFormat="false" ht="15" hidden="false" customHeight="false" outlineLevel="0" collapsed="false">
      <c r="A105" s="25"/>
      <c r="B105" s="25"/>
      <c r="C105" s="26"/>
      <c r="D105" s="25"/>
      <c r="E105" s="27" t="str">
        <f aca="false">IFERROR(INDEX(マスタ設定!$B$18:$B$37,MATCH($D105,マスタ設定!$A$18:$A$37,0)),"")</f>
        <v/>
      </c>
      <c r="F105" s="27" t="str">
        <f aca="false">IFERROR(INDEX(マスタ設定!$C$18:$C$37,MATCH($D105,マスタ設定!$A$18:$A$37,0)),"")</f>
        <v/>
      </c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</row>
    <row r="106" customFormat="false" ht="15" hidden="false" customHeight="false" outlineLevel="0" collapsed="false">
      <c r="A106" s="25"/>
      <c r="B106" s="25"/>
      <c r="C106" s="26"/>
      <c r="D106" s="25"/>
      <c r="E106" s="27" t="str">
        <f aca="false">IFERROR(INDEX(マスタ設定!$B$18:$B$37,MATCH($D106,マスタ設定!$A$18:$A$37,0)),"")</f>
        <v/>
      </c>
      <c r="F106" s="27" t="str">
        <f aca="false">IFERROR(INDEX(マスタ設定!$C$18:$C$37,MATCH($D106,マスタ設定!$A$18:$A$37,0)),"")</f>
        <v/>
      </c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</row>
    <row r="107" customFormat="false" ht="15" hidden="false" customHeight="false" outlineLevel="0" collapsed="false">
      <c r="A107" s="25"/>
      <c r="B107" s="25"/>
      <c r="C107" s="26"/>
      <c r="D107" s="25"/>
      <c r="E107" s="27" t="str">
        <f aca="false">IFERROR(INDEX(マスタ設定!$B$18:$B$37,MATCH($D107,マスタ設定!$A$18:$A$37,0)),"")</f>
        <v/>
      </c>
      <c r="F107" s="27" t="str">
        <f aca="false">IFERROR(INDEX(マスタ設定!$C$18:$C$37,MATCH($D107,マスタ設定!$A$18:$A$37,0)),"")</f>
        <v/>
      </c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</row>
    <row r="108" customFormat="false" ht="15" hidden="false" customHeight="false" outlineLevel="0" collapsed="false">
      <c r="A108" s="25"/>
      <c r="B108" s="25"/>
      <c r="C108" s="26"/>
      <c r="D108" s="25"/>
      <c r="E108" s="27" t="str">
        <f aca="false">IFERROR(INDEX(マスタ設定!$B$18:$B$37,MATCH($D108,マスタ設定!$A$18:$A$37,0)),"")</f>
        <v/>
      </c>
      <c r="F108" s="27" t="str">
        <f aca="false">IFERROR(INDEX(マスタ設定!$C$18:$C$37,MATCH($D108,マスタ設定!$A$18:$A$37,0)),"")</f>
        <v/>
      </c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</row>
    <row r="109" customFormat="false" ht="15" hidden="false" customHeight="false" outlineLevel="0" collapsed="false">
      <c r="A109" s="25"/>
      <c r="B109" s="25"/>
      <c r="C109" s="26"/>
      <c r="D109" s="25"/>
      <c r="E109" s="27" t="str">
        <f aca="false">IFERROR(INDEX(マスタ設定!$B$18:$B$37,MATCH($D109,マスタ設定!$A$18:$A$37,0)),"")</f>
        <v/>
      </c>
      <c r="F109" s="27" t="str">
        <f aca="false">IFERROR(INDEX(マスタ設定!$C$18:$C$37,MATCH($D109,マスタ設定!$A$18:$A$37,0)),"")</f>
        <v/>
      </c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</row>
    <row r="110" customFormat="false" ht="15" hidden="false" customHeight="false" outlineLevel="0" collapsed="false">
      <c r="A110" s="25"/>
      <c r="B110" s="25"/>
      <c r="C110" s="26"/>
      <c r="D110" s="25"/>
      <c r="E110" s="27" t="str">
        <f aca="false">IFERROR(INDEX(マスタ設定!$B$18:$B$37,MATCH($D110,マスタ設定!$A$18:$A$37,0)),"")</f>
        <v/>
      </c>
      <c r="F110" s="27" t="str">
        <f aca="false">IFERROR(INDEX(マスタ設定!$C$18:$C$37,MATCH($D110,マスタ設定!$A$18:$A$37,0)),"")</f>
        <v/>
      </c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</row>
    <row r="111" customFormat="false" ht="15" hidden="false" customHeight="false" outlineLevel="0" collapsed="false">
      <c r="A111" s="25"/>
      <c r="B111" s="25"/>
      <c r="C111" s="26"/>
      <c r="D111" s="25"/>
      <c r="E111" s="27" t="str">
        <f aca="false">IFERROR(INDEX(マスタ設定!$B$18:$B$37,MATCH($D111,マスタ設定!$A$18:$A$37,0)),"")</f>
        <v/>
      </c>
      <c r="F111" s="27" t="str">
        <f aca="false">IFERROR(INDEX(マスタ設定!$C$18:$C$37,MATCH($D111,マスタ設定!$A$18:$A$37,0)),"")</f>
        <v/>
      </c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</row>
    <row r="112" customFormat="false" ht="15" hidden="false" customHeight="false" outlineLevel="0" collapsed="false">
      <c r="A112" s="25"/>
      <c r="B112" s="25"/>
      <c r="C112" s="26"/>
      <c r="D112" s="25"/>
      <c r="E112" s="27" t="str">
        <f aca="false">IFERROR(INDEX(マスタ設定!$B$18:$B$37,MATCH($D112,マスタ設定!$A$18:$A$37,0)),"")</f>
        <v/>
      </c>
      <c r="F112" s="27" t="str">
        <f aca="false">IFERROR(INDEX(マスタ設定!$C$18:$C$37,MATCH($D112,マスタ設定!$A$18:$A$37,0)),"")</f>
        <v/>
      </c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</row>
    <row r="113" customFormat="false" ht="15" hidden="false" customHeight="false" outlineLevel="0" collapsed="false">
      <c r="A113" s="25"/>
      <c r="B113" s="25"/>
      <c r="C113" s="26"/>
      <c r="D113" s="25"/>
      <c r="E113" s="27" t="str">
        <f aca="false">IFERROR(INDEX(マスタ設定!$B$18:$B$37,MATCH($D113,マスタ設定!$A$18:$A$37,0)),"")</f>
        <v/>
      </c>
      <c r="F113" s="27" t="str">
        <f aca="false">IFERROR(INDEX(マスタ設定!$C$18:$C$37,MATCH($D113,マスタ設定!$A$18:$A$37,0)),"")</f>
        <v/>
      </c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</row>
    <row r="114" customFormat="false" ht="15" hidden="false" customHeight="false" outlineLevel="0" collapsed="false">
      <c r="A114" s="25"/>
      <c r="B114" s="25"/>
      <c r="C114" s="26"/>
      <c r="D114" s="25"/>
      <c r="E114" s="27" t="str">
        <f aca="false">IFERROR(INDEX(マスタ設定!$B$18:$B$37,MATCH($D114,マスタ設定!$A$18:$A$37,0)),"")</f>
        <v/>
      </c>
      <c r="F114" s="27" t="str">
        <f aca="false">IFERROR(INDEX(マスタ設定!$C$18:$C$37,MATCH($D114,マスタ設定!$A$18:$A$37,0)),"")</f>
        <v/>
      </c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</row>
    <row r="115" customFormat="false" ht="15" hidden="false" customHeight="false" outlineLevel="0" collapsed="false">
      <c r="A115" s="25"/>
      <c r="B115" s="25"/>
      <c r="C115" s="26"/>
      <c r="D115" s="25"/>
      <c r="E115" s="27" t="str">
        <f aca="false">IFERROR(INDEX(マスタ設定!$B$18:$B$37,MATCH($D115,マスタ設定!$A$18:$A$37,0)),"")</f>
        <v/>
      </c>
      <c r="F115" s="27" t="str">
        <f aca="false">IFERROR(INDEX(マスタ設定!$C$18:$C$37,MATCH($D115,マスタ設定!$A$18:$A$37,0)),"")</f>
        <v/>
      </c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</row>
    <row r="116" customFormat="false" ht="15" hidden="false" customHeight="false" outlineLevel="0" collapsed="false">
      <c r="A116" s="25"/>
      <c r="B116" s="25"/>
      <c r="C116" s="26"/>
      <c r="D116" s="25"/>
      <c r="E116" s="27" t="str">
        <f aca="false">IFERROR(INDEX(マスタ設定!$B$18:$B$37,MATCH($D116,マスタ設定!$A$18:$A$37,0)),"")</f>
        <v/>
      </c>
      <c r="F116" s="27" t="str">
        <f aca="false">IFERROR(INDEX(マスタ設定!$C$18:$C$37,MATCH($D116,マスタ設定!$A$18:$A$37,0)),"")</f>
        <v/>
      </c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</row>
    <row r="117" customFormat="false" ht="15" hidden="false" customHeight="false" outlineLevel="0" collapsed="false">
      <c r="A117" s="25"/>
      <c r="B117" s="25"/>
      <c r="C117" s="26"/>
      <c r="D117" s="25"/>
      <c r="E117" s="27" t="str">
        <f aca="false">IFERROR(INDEX(マスタ設定!$B$18:$B$37,MATCH($D117,マスタ設定!$A$18:$A$37,0)),"")</f>
        <v/>
      </c>
      <c r="F117" s="27" t="str">
        <f aca="false">IFERROR(INDEX(マスタ設定!$C$18:$C$37,MATCH($D117,マスタ設定!$A$18:$A$37,0)),"")</f>
        <v/>
      </c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</row>
    <row r="118" customFormat="false" ht="15" hidden="false" customHeight="false" outlineLevel="0" collapsed="false">
      <c r="A118" s="25"/>
      <c r="B118" s="25"/>
      <c r="C118" s="26"/>
      <c r="D118" s="25"/>
      <c r="E118" s="27" t="str">
        <f aca="false">IFERROR(INDEX(マスタ設定!$B$18:$B$37,MATCH($D118,マスタ設定!$A$18:$A$37,0)),"")</f>
        <v/>
      </c>
      <c r="F118" s="27" t="str">
        <f aca="false">IFERROR(INDEX(マスタ設定!$C$18:$C$37,MATCH($D118,マスタ設定!$A$18:$A$37,0)),"")</f>
        <v/>
      </c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</row>
    <row r="119" customFormat="false" ht="15" hidden="false" customHeight="false" outlineLevel="0" collapsed="false">
      <c r="A119" s="25"/>
      <c r="B119" s="25"/>
      <c r="C119" s="26"/>
      <c r="D119" s="25"/>
      <c r="E119" s="27" t="str">
        <f aca="false">IFERROR(INDEX(マスタ設定!$B$18:$B$37,MATCH($D119,マスタ設定!$A$18:$A$37,0)),"")</f>
        <v/>
      </c>
      <c r="F119" s="27" t="str">
        <f aca="false">IFERROR(INDEX(マスタ設定!$C$18:$C$37,MATCH($D119,マスタ設定!$A$18:$A$37,0)),"")</f>
        <v/>
      </c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</row>
    <row r="120" customFormat="false" ht="15" hidden="false" customHeight="false" outlineLevel="0" collapsed="false">
      <c r="A120" s="25"/>
      <c r="B120" s="25"/>
      <c r="C120" s="26"/>
      <c r="D120" s="25"/>
      <c r="E120" s="27" t="str">
        <f aca="false">IFERROR(INDEX(マスタ設定!$B$18:$B$37,MATCH($D120,マスタ設定!$A$18:$A$37,0)),"")</f>
        <v/>
      </c>
      <c r="F120" s="27" t="str">
        <f aca="false">IFERROR(INDEX(マスタ設定!$C$18:$C$37,MATCH($D120,マスタ設定!$A$18:$A$37,0)),"")</f>
        <v/>
      </c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</row>
    <row r="121" customFormat="false" ht="15" hidden="false" customHeight="false" outlineLevel="0" collapsed="false">
      <c r="A121" s="25"/>
      <c r="B121" s="25"/>
      <c r="C121" s="26"/>
      <c r="D121" s="25"/>
      <c r="E121" s="27" t="str">
        <f aca="false">IFERROR(INDEX(マスタ設定!$B$18:$B$37,MATCH($D121,マスタ設定!$A$18:$A$37,0)),"")</f>
        <v/>
      </c>
      <c r="F121" s="27" t="str">
        <f aca="false">IFERROR(INDEX(マスタ設定!$C$18:$C$37,MATCH($D121,マスタ設定!$A$18:$A$37,0)),"")</f>
        <v/>
      </c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</row>
    <row r="122" customFormat="false" ht="15" hidden="false" customHeight="false" outlineLevel="0" collapsed="false">
      <c r="A122" s="25"/>
      <c r="B122" s="25"/>
      <c r="C122" s="26"/>
      <c r="D122" s="25"/>
      <c r="E122" s="27" t="str">
        <f aca="false">IFERROR(INDEX(マスタ設定!$B$18:$B$37,MATCH($D122,マスタ設定!$A$18:$A$37,0)),"")</f>
        <v/>
      </c>
      <c r="F122" s="27" t="str">
        <f aca="false">IFERROR(INDEX(マスタ設定!$C$18:$C$37,MATCH($D122,マスタ設定!$A$18:$A$37,0)),"")</f>
        <v/>
      </c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</row>
    <row r="123" customFormat="false" ht="15" hidden="false" customHeight="false" outlineLevel="0" collapsed="false">
      <c r="A123" s="25"/>
      <c r="B123" s="25"/>
      <c r="C123" s="26"/>
      <c r="D123" s="25"/>
      <c r="E123" s="27" t="str">
        <f aca="false">IFERROR(INDEX(マスタ設定!$B$18:$B$37,MATCH($D123,マスタ設定!$A$18:$A$37,0)),"")</f>
        <v/>
      </c>
      <c r="F123" s="27" t="str">
        <f aca="false">IFERROR(INDEX(マスタ設定!$C$18:$C$37,MATCH($D123,マスタ設定!$A$18:$A$37,0)),"")</f>
        <v/>
      </c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</row>
    <row r="124" customFormat="false" ht="15" hidden="false" customHeight="false" outlineLevel="0" collapsed="false">
      <c r="A124" s="25"/>
      <c r="B124" s="25"/>
      <c r="C124" s="26"/>
      <c r="D124" s="25"/>
      <c r="E124" s="27" t="str">
        <f aca="false">IFERROR(INDEX(マスタ設定!$B$18:$B$37,MATCH($D124,マスタ設定!$A$18:$A$37,0)),"")</f>
        <v/>
      </c>
      <c r="F124" s="27" t="str">
        <f aca="false">IFERROR(INDEX(マスタ設定!$C$18:$C$37,MATCH($D124,マスタ設定!$A$18:$A$37,0)),"")</f>
        <v/>
      </c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</row>
    <row r="125" customFormat="false" ht="15" hidden="false" customHeight="false" outlineLevel="0" collapsed="false">
      <c r="A125" s="25"/>
      <c r="B125" s="25"/>
      <c r="C125" s="26"/>
      <c r="D125" s="25"/>
      <c r="E125" s="27" t="str">
        <f aca="false">IFERROR(INDEX(マスタ設定!$B$18:$B$37,MATCH($D125,マスタ設定!$A$18:$A$37,0)),"")</f>
        <v/>
      </c>
      <c r="F125" s="27" t="str">
        <f aca="false">IFERROR(INDEX(マスタ設定!$C$18:$C$37,MATCH($D125,マスタ設定!$A$18:$A$37,0)),"")</f>
        <v/>
      </c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</row>
    <row r="126" customFormat="false" ht="15" hidden="false" customHeight="false" outlineLevel="0" collapsed="false">
      <c r="A126" s="25"/>
      <c r="B126" s="25"/>
      <c r="C126" s="26"/>
      <c r="D126" s="25"/>
      <c r="E126" s="27" t="str">
        <f aca="false">IFERROR(INDEX(マスタ設定!$B$18:$B$37,MATCH($D126,マスタ設定!$A$18:$A$37,0)),"")</f>
        <v/>
      </c>
      <c r="F126" s="27" t="str">
        <f aca="false">IFERROR(INDEX(マスタ設定!$C$18:$C$37,MATCH($D126,マスタ設定!$A$18:$A$37,0)),"")</f>
        <v/>
      </c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</row>
    <row r="127" customFormat="false" ht="15" hidden="false" customHeight="false" outlineLevel="0" collapsed="false">
      <c r="A127" s="25"/>
      <c r="B127" s="25"/>
      <c r="C127" s="26"/>
      <c r="D127" s="25"/>
      <c r="E127" s="27" t="str">
        <f aca="false">IFERROR(INDEX(マスタ設定!$B$18:$B$37,MATCH($D127,マスタ設定!$A$18:$A$37,0)),"")</f>
        <v/>
      </c>
      <c r="F127" s="27" t="str">
        <f aca="false">IFERROR(INDEX(マスタ設定!$C$18:$C$37,MATCH($D127,マスタ設定!$A$18:$A$37,0)),"")</f>
        <v/>
      </c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</row>
    <row r="128" customFormat="false" ht="15" hidden="false" customHeight="false" outlineLevel="0" collapsed="false">
      <c r="A128" s="25"/>
      <c r="B128" s="25"/>
      <c r="C128" s="26"/>
      <c r="D128" s="25"/>
      <c r="E128" s="27" t="str">
        <f aca="false">IFERROR(INDEX(マスタ設定!$B$18:$B$37,MATCH($D128,マスタ設定!$A$18:$A$37,0)),"")</f>
        <v/>
      </c>
      <c r="F128" s="27" t="str">
        <f aca="false">IFERROR(INDEX(マスタ設定!$C$18:$C$37,MATCH($D128,マスタ設定!$A$18:$A$37,0)),"")</f>
        <v/>
      </c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</row>
    <row r="129" customFormat="false" ht="15" hidden="false" customHeight="false" outlineLevel="0" collapsed="false">
      <c r="A129" s="25"/>
      <c r="B129" s="25"/>
      <c r="C129" s="26"/>
      <c r="D129" s="25"/>
      <c r="E129" s="27" t="str">
        <f aca="false">IFERROR(INDEX(マスタ設定!$B$18:$B$37,MATCH($D129,マスタ設定!$A$18:$A$37,0)),"")</f>
        <v/>
      </c>
      <c r="F129" s="27" t="str">
        <f aca="false">IFERROR(INDEX(マスタ設定!$C$18:$C$37,MATCH($D129,マスタ設定!$A$18:$A$37,0)),"")</f>
        <v/>
      </c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</row>
    <row r="130" customFormat="false" ht="15" hidden="false" customHeight="false" outlineLevel="0" collapsed="false">
      <c r="A130" s="25"/>
      <c r="B130" s="25"/>
      <c r="C130" s="26"/>
      <c r="D130" s="25"/>
      <c r="E130" s="27" t="str">
        <f aca="false">IFERROR(INDEX(マスタ設定!$B$18:$B$37,MATCH($D130,マスタ設定!$A$18:$A$37,0)),"")</f>
        <v/>
      </c>
      <c r="F130" s="27" t="str">
        <f aca="false">IFERROR(INDEX(マスタ設定!$C$18:$C$37,MATCH($D130,マスタ設定!$A$18:$A$37,0)),"")</f>
        <v/>
      </c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</row>
    <row r="131" customFormat="false" ht="15" hidden="false" customHeight="false" outlineLevel="0" collapsed="false">
      <c r="A131" s="25"/>
      <c r="B131" s="25"/>
      <c r="C131" s="26"/>
      <c r="D131" s="25"/>
      <c r="E131" s="27" t="str">
        <f aca="false">IFERROR(INDEX(マスタ設定!$B$18:$B$37,MATCH($D131,マスタ設定!$A$18:$A$37,0)),"")</f>
        <v/>
      </c>
      <c r="F131" s="27" t="str">
        <f aca="false">IFERROR(INDEX(マスタ設定!$C$18:$C$37,MATCH($D131,マスタ設定!$A$18:$A$37,0)),"")</f>
        <v/>
      </c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</row>
    <row r="132" customFormat="false" ht="15" hidden="false" customHeight="false" outlineLevel="0" collapsed="false">
      <c r="A132" s="25"/>
      <c r="B132" s="25"/>
      <c r="C132" s="26"/>
      <c r="D132" s="25"/>
      <c r="E132" s="27" t="str">
        <f aca="false">IFERROR(INDEX(マスタ設定!$B$18:$B$37,MATCH($D132,マスタ設定!$A$18:$A$37,0)),"")</f>
        <v/>
      </c>
      <c r="F132" s="27" t="str">
        <f aca="false">IFERROR(INDEX(マスタ設定!$C$18:$C$37,MATCH($D132,マスタ設定!$A$18:$A$37,0)),"")</f>
        <v/>
      </c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</row>
    <row r="133" customFormat="false" ht="15" hidden="false" customHeight="false" outlineLevel="0" collapsed="false">
      <c r="A133" s="25"/>
      <c r="B133" s="25"/>
      <c r="C133" s="26"/>
      <c r="D133" s="25"/>
      <c r="E133" s="27" t="str">
        <f aca="false">IFERROR(INDEX(マスタ設定!$B$18:$B$37,MATCH($D133,マスタ設定!$A$18:$A$37,0)),"")</f>
        <v/>
      </c>
      <c r="F133" s="27" t="str">
        <f aca="false">IFERROR(INDEX(マスタ設定!$C$18:$C$37,MATCH($D133,マスタ設定!$A$18:$A$37,0)),"")</f>
        <v/>
      </c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</row>
    <row r="134" customFormat="false" ht="15" hidden="false" customHeight="false" outlineLevel="0" collapsed="false">
      <c r="A134" s="25"/>
      <c r="B134" s="25"/>
      <c r="C134" s="26"/>
      <c r="D134" s="25"/>
      <c r="E134" s="27" t="str">
        <f aca="false">IFERROR(INDEX(マスタ設定!$B$18:$B$37,MATCH($D134,マスタ設定!$A$18:$A$37,0)),"")</f>
        <v/>
      </c>
      <c r="F134" s="27" t="str">
        <f aca="false">IFERROR(INDEX(マスタ設定!$C$18:$C$37,MATCH($D134,マスタ設定!$A$18:$A$37,0)),"")</f>
        <v/>
      </c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</row>
    <row r="135" customFormat="false" ht="15" hidden="false" customHeight="false" outlineLevel="0" collapsed="false">
      <c r="A135" s="25"/>
      <c r="B135" s="25"/>
      <c r="C135" s="26"/>
      <c r="D135" s="25"/>
      <c r="E135" s="27" t="str">
        <f aca="false">IFERROR(INDEX(マスタ設定!$B$18:$B$37,MATCH($D135,マスタ設定!$A$18:$A$37,0)),"")</f>
        <v/>
      </c>
      <c r="F135" s="27" t="str">
        <f aca="false">IFERROR(INDEX(マスタ設定!$C$18:$C$37,MATCH($D135,マスタ設定!$A$18:$A$37,0)),"")</f>
        <v/>
      </c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</row>
    <row r="136" customFormat="false" ht="15" hidden="false" customHeight="false" outlineLevel="0" collapsed="false">
      <c r="A136" s="25"/>
      <c r="B136" s="25"/>
      <c r="C136" s="26"/>
      <c r="D136" s="25"/>
      <c r="E136" s="27" t="str">
        <f aca="false">IFERROR(INDEX(マスタ設定!$B$18:$B$37,MATCH($D136,マスタ設定!$A$18:$A$37,0)),"")</f>
        <v/>
      </c>
      <c r="F136" s="27" t="str">
        <f aca="false">IFERROR(INDEX(マスタ設定!$C$18:$C$37,MATCH($D136,マスタ設定!$A$18:$A$37,0)),"")</f>
        <v/>
      </c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</row>
    <row r="137" customFormat="false" ht="15" hidden="false" customHeight="false" outlineLevel="0" collapsed="false">
      <c r="A137" s="25"/>
      <c r="B137" s="25"/>
      <c r="C137" s="26"/>
      <c r="D137" s="25"/>
      <c r="E137" s="27" t="str">
        <f aca="false">IFERROR(INDEX(マスタ設定!$B$18:$B$37,MATCH($D137,マスタ設定!$A$18:$A$37,0)),"")</f>
        <v/>
      </c>
      <c r="F137" s="27" t="str">
        <f aca="false">IFERROR(INDEX(マスタ設定!$C$18:$C$37,MATCH($D137,マスタ設定!$A$18:$A$37,0)),"")</f>
        <v/>
      </c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</row>
    <row r="138" customFormat="false" ht="15" hidden="false" customHeight="false" outlineLevel="0" collapsed="false">
      <c r="A138" s="25"/>
      <c r="B138" s="25"/>
      <c r="C138" s="26"/>
      <c r="D138" s="25"/>
      <c r="E138" s="27" t="str">
        <f aca="false">IFERROR(INDEX(マスタ設定!$B$18:$B$37,MATCH($D138,マスタ設定!$A$18:$A$37,0)),"")</f>
        <v/>
      </c>
      <c r="F138" s="27" t="str">
        <f aca="false">IFERROR(INDEX(マスタ設定!$C$18:$C$37,MATCH($D138,マスタ設定!$A$18:$A$37,0)),"")</f>
        <v/>
      </c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</row>
    <row r="139" customFormat="false" ht="15" hidden="false" customHeight="false" outlineLevel="0" collapsed="false">
      <c r="A139" s="25"/>
      <c r="B139" s="25"/>
      <c r="C139" s="26"/>
      <c r="D139" s="25"/>
      <c r="E139" s="27" t="str">
        <f aca="false">IFERROR(INDEX(マスタ設定!$B$18:$B$37,MATCH($D139,マスタ設定!$A$18:$A$37,0)),"")</f>
        <v/>
      </c>
      <c r="F139" s="27" t="str">
        <f aca="false">IFERROR(INDEX(マスタ設定!$C$18:$C$37,MATCH($D139,マスタ設定!$A$18:$A$37,0)),"")</f>
        <v/>
      </c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</row>
    <row r="140" customFormat="false" ht="15" hidden="false" customHeight="false" outlineLevel="0" collapsed="false">
      <c r="A140" s="25"/>
      <c r="B140" s="25"/>
      <c r="C140" s="26"/>
      <c r="D140" s="25"/>
      <c r="E140" s="27" t="str">
        <f aca="false">IFERROR(INDEX(マスタ設定!$B$18:$B$37,MATCH($D140,マスタ設定!$A$18:$A$37,0)),"")</f>
        <v/>
      </c>
      <c r="F140" s="27" t="str">
        <f aca="false">IFERROR(INDEX(マスタ設定!$C$18:$C$37,MATCH($D140,マスタ設定!$A$18:$A$37,0)),"")</f>
        <v/>
      </c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</row>
    <row r="141" customFormat="false" ht="15" hidden="false" customHeight="false" outlineLevel="0" collapsed="false">
      <c r="A141" s="25"/>
      <c r="B141" s="25"/>
      <c r="C141" s="26"/>
      <c r="D141" s="25"/>
      <c r="E141" s="27" t="str">
        <f aca="false">IFERROR(INDEX(マスタ設定!$B$18:$B$37,MATCH($D141,マスタ設定!$A$18:$A$37,0)),"")</f>
        <v/>
      </c>
      <c r="F141" s="27" t="str">
        <f aca="false">IFERROR(INDEX(マスタ設定!$C$18:$C$37,MATCH($D141,マスタ設定!$A$18:$A$37,0)),"")</f>
        <v/>
      </c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</row>
    <row r="142" customFormat="false" ht="15" hidden="false" customHeight="false" outlineLevel="0" collapsed="false">
      <c r="A142" s="25"/>
      <c r="B142" s="25"/>
      <c r="C142" s="26"/>
      <c r="D142" s="25"/>
      <c r="E142" s="27" t="str">
        <f aca="false">IFERROR(INDEX(マスタ設定!$B$18:$B$37,MATCH($D142,マスタ設定!$A$18:$A$37,0)),"")</f>
        <v/>
      </c>
      <c r="F142" s="27" t="str">
        <f aca="false">IFERROR(INDEX(マスタ設定!$C$18:$C$37,MATCH($D142,マスタ設定!$A$18:$A$37,0)),"")</f>
        <v/>
      </c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</row>
    <row r="143" customFormat="false" ht="15" hidden="false" customHeight="false" outlineLevel="0" collapsed="false">
      <c r="A143" s="25"/>
      <c r="B143" s="25"/>
      <c r="C143" s="26"/>
      <c r="D143" s="25"/>
      <c r="E143" s="27" t="str">
        <f aca="false">IFERROR(INDEX(マスタ設定!$B$18:$B$37,MATCH($D143,マスタ設定!$A$18:$A$37,0)),"")</f>
        <v/>
      </c>
      <c r="F143" s="27" t="str">
        <f aca="false">IFERROR(INDEX(マスタ設定!$C$18:$C$37,MATCH($D143,マスタ設定!$A$18:$A$37,0)),"")</f>
        <v/>
      </c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</row>
    <row r="144" customFormat="false" ht="15" hidden="false" customHeight="false" outlineLevel="0" collapsed="false">
      <c r="A144" s="25"/>
      <c r="B144" s="25"/>
      <c r="C144" s="26"/>
      <c r="D144" s="25"/>
      <c r="E144" s="27" t="str">
        <f aca="false">IFERROR(INDEX(マスタ設定!$B$18:$B$37,MATCH($D144,マスタ設定!$A$18:$A$37,0)),"")</f>
        <v/>
      </c>
      <c r="F144" s="27" t="str">
        <f aca="false">IFERROR(INDEX(マスタ設定!$C$18:$C$37,MATCH($D144,マスタ設定!$A$18:$A$37,0)),"")</f>
        <v/>
      </c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</row>
    <row r="145" customFormat="false" ht="15" hidden="false" customHeight="false" outlineLevel="0" collapsed="false">
      <c r="A145" s="25"/>
      <c r="B145" s="25"/>
      <c r="C145" s="26"/>
      <c r="D145" s="25"/>
      <c r="E145" s="27" t="str">
        <f aca="false">IFERROR(INDEX(マスタ設定!$B$18:$B$37,MATCH($D145,マスタ設定!$A$18:$A$37,0)),"")</f>
        <v/>
      </c>
      <c r="F145" s="27" t="str">
        <f aca="false">IFERROR(INDEX(マスタ設定!$C$18:$C$37,MATCH($D145,マスタ設定!$A$18:$A$37,0)),"")</f>
        <v/>
      </c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</row>
    <row r="146" customFormat="false" ht="15" hidden="false" customHeight="false" outlineLevel="0" collapsed="false">
      <c r="A146" s="25"/>
      <c r="B146" s="25"/>
      <c r="C146" s="26"/>
      <c r="D146" s="25"/>
      <c r="E146" s="27" t="str">
        <f aca="false">IFERROR(INDEX(マスタ設定!$B$18:$B$37,MATCH($D146,マスタ設定!$A$18:$A$37,0)),"")</f>
        <v/>
      </c>
      <c r="F146" s="27" t="str">
        <f aca="false">IFERROR(INDEX(マスタ設定!$C$18:$C$37,MATCH($D146,マスタ設定!$A$18:$A$37,0)),"")</f>
        <v/>
      </c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</row>
    <row r="147" customFormat="false" ht="15" hidden="false" customHeight="false" outlineLevel="0" collapsed="false">
      <c r="A147" s="25"/>
      <c r="B147" s="25"/>
      <c r="C147" s="26"/>
      <c r="D147" s="25"/>
      <c r="E147" s="27" t="str">
        <f aca="false">IFERROR(INDEX(マスタ設定!$B$18:$B$37,MATCH($D147,マスタ設定!$A$18:$A$37,0)),"")</f>
        <v/>
      </c>
      <c r="F147" s="27" t="str">
        <f aca="false">IFERROR(INDEX(マスタ設定!$C$18:$C$37,MATCH($D147,マスタ設定!$A$18:$A$37,0)),"")</f>
        <v/>
      </c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</row>
    <row r="148" customFormat="false" ht="15" hidden="false" customHeight="false" outlineLevel="0" collapsed="false">
      <c r="A148" s="25"/>
      <c r="B148" s="25"/>
      <c r="C148" s="26"/>
      <c r="D148" s="25"/>
      <c r="E148" s="27" t="str">
        <f aca="false">IFERROR(INDEX(マスタ設定!$B$18:$B$37,MATCH($D148,マスタ設定!$A$18:$A$37,0)),"")</f>
        <v/>
      </c>
      <c r="F148" s="27" t="str">
        <f aca="false">IFERROR(INDEX(マスタ設定!$C$18:$C$37,MATCH($D148,マスタ設定!$A$18:$A$37,0)),"")</f>
        <v/>
      </c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</row>
    <row r="149" customFormat="false" ht="15" hidden="false" customHeight="false" outlineLevel="0" collapsed="false">
      <c r="A149" s="25"/>
      <c r="B149" s="25"/>
      <c r="C149" s="26"/>
      <c r="D149" s="25"/>
      <c r="E149" s="27" t="str">
        <f aca="false">IFERROR(INDEX(マスタ設定!$B$18:$B$37,MATCH($D149,マスタ設定!$A$18:$A$37,0)),"")</f>
        <v/>
      </c>
      <c r="F149" s="27" t="str">
        <f aca="false">IFERROR(INDEX(マスタ設定!$C$18:$C$37,MATCH($D149,マスタ設定!$A$18:$A$37,0)),"")</f>
        <v/>
      </c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</row>
    <row r="150" customFormat="false" ht="15" hidden="false" customHeight="false" outlineLevel="0" collapsed="false">
      <c r="A150" s="25"/>
      <c r="B150" s="25"/>
      <c r="C150" s="26"/>
      <c r="D150" s="25"/>
      <c r="E150" s="27" t="str">
        <f aca="false">IFERROR(INDEX(マスタ設定!$B$18:$B$37,MATCH($D150,マスタ設定!$A$18:$A$37,0)),"")</f>
        <v/>
      </c>
      <c r="F150" s="27" t="str">
        <f aca="false">IFERROR(INDEX(マスタ設定!$C$18:$C$37,MATCH($D150,マスタ設定!$A$18:$A$37,0)),"")</f>
        <v/>
      </c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</row>
    <row r="151" customFormat="false" ht="15" hidden="false" customHeight="false" outlineLevel="0" collapsed="false">
      <c r="A151" s="25"/>
      <c r="B151" s="25"/>
      <c r="C151" s="26"/>
      <c r="D151" s="25"/>
      <c r="E151" s="27" t="str">
        <f aca="false">IFERROR(INDEX(マスタ設定!$B$18:$B$37,MATCH($D151,マスタ設定!$A$18:$A$37,0)),"")</f>
        <v/>
      </c>
      <c r="F151" s="27" t="str">
        <f aca="false">IFERROR(INDEX(マスタ設定!$C$18:$C$37,MATCH($D151,マスタ設定!$A$18:$A$37,0)),"")</f>
        <v/>
      </c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</row>
    <row r="152" customFormat="false" ht="15" hidden="false" customHeight="false" outlineLevel="0" collapsed="false">
      <c r="A152" s="25"/>
      <c r="B152" s="25"/>
      <c r="C152" s="26"/>
      <c r="D152" s="25"/>
      <c r="E152" s="27" t="str">
        <f aca="false">IFERROR(INDEX(マスタ設定!$B$18:$B$37,MATCH($D152,マスタ設定!$A$18:$A$37,0)),"")</f>
        <v/>
      </c>
      <c r="F152" s="27" t="str">
        <f aca="false">IFERROR(INDEX(マスタ設定!$C$18:$C$37,MATCH($D152,マスタ設定!$A$18:$A$37,0)),"")</f>
        <v/>
      </c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</row>
    <row r="153" customFormat="false" ht="15" hidden="false" customHeight="false" outlineLevel="0" collapsed="false">
      <c r="A153" s="25"/>
      <c r="B153" s="25"/>
      <c r="C153" s="26"/>
      <c r="D153" s="25"/>
      <c r="E153" s="27" t="str">
        <f aca="false">IFERROR(INDEX(マスタ設定!$B$18:$B$37,MATCH($D153,マスタ設定!$A$18:$A$37,0)),"")</f>
        <v/>
      </c>
      <c r="F153" s="27" t="str">
        <f aca="false">IFERROR(INDEX(マスタ設定!$C$18:$C$37,MATCH($D153,マスタ設定!$A$18:$A$37,0)),"")</f>
        <v/>
      </c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</row>
    <row r="154" customFormat="false" ht="15" hidden="false" customHeight="false" outlineLevel="0" collapsed="false">
      <c r="A154" s="25"/>
      <c r="B154" s="25"/>
      <c r="C154" s="26"/>
      <c r="D154" s="25"/>
      <c r="E154" s="27" t="str">
        <f aca="false">IFERROR(INDEX(マスタ設定!$B$18:$B$37,MATCH($D154,マスタ設定!$A$18:$A$37,0)),"")</f>
        <v/>
      </c>
      <c r="F154" s="27" t="str">
        <f aca="false">IFERROR(INDEX(マスタ設定!$C$18:$C$37,MATCH($D154,マスタ設定!$A$18:$A$37,0)),"")</f>
        <v/>
      </c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</row>
    <row r="155" customFormat="false" ht="15" hidden="false" customHeight="false" outlineLevel="0" collapsed="false">
      <c r="A155" s="25"/>
      <c r="B155" s="25"/>
      <c r="C155" s="26"/>
      <c r="D155" s="25"/>
      <c r="E155" s="27" t="str">
        <f aca="false">IFERROR(INDEX(マスタ設定!$B$18:$B$37,MATCH($D155,マスタ設定!$A$18:$A$37,0)),"")</f>
        <v/>
      </c>
      <c r="F155" s="27" t="str">
        <f aca="false">IFERROR(INDEX(マスタ設定!$C$18:$C$37,MATCH($D155,マスタ設定!$A$18:$A$37,0)),"")</f>
        <v/>
      </c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</row>
    <row r="156" customFormat="false" ht="15" hidden="false" customHeight="false" outlineLevel="0" collapsed="false">
      <c r="A156" s="25"/>
      <c r="B156" s="25"/>
      <c r="C156" s="26"/>
      <c r="D156" s="25"/>
      <c r="E156" s="27" t="str">
        <f aca="false">IFERROR(INDEX(マスタ設定!$B$18:$B$37,MATCH($D156,マスタ設定!$A$18:$A$37,0)),"")</f>
        <v/>
      </c>
      <c r="F156" s="27" t="str">
        <f aca="false">IFERROR(INDEX(マスタ設定!$C$18:$C$37,MATCH($D156,マスタ設定!$A$18:$A$37,0)),"")</f>
        <v/>
      </c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</row>
    <row r="157" customFormat="false" ht="15" hidden="false" customHeight="false" outlineLevel="0" collapsed="false">
      <c r="A157" s="25"/>
      <c r="B157" s="25"/>
      <c r="C157" s="26"/>
      <c r="D157" s="25"/>
      <c r="E157" s="27" t="str">
        <f aca="false">IFERROR(INDEX(マスタ設定!$B$18:$B$37,MATCH($D157,マスタ設定!$A$18:$A$37,0)),"")</f>
        <v/>
      </c>
      <c r="F157" s="27" t="str">
        <f aca="false">IFERROR(INDEX(マスタ設定!$C$18:$C$37,MATCH($D157,マスタ設定!$A$18:$A$37,0)),"")</f>
        <v/>
      </c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</row>
    <row r="158" customFormat="false" ht="15" hidden="false" customHeight="false" outlineLevel="0" collapsed="false">
      <c r="A158" s="25"/>
      <c r="B158" s="25"/>
      <c r="C158" s="26"/>
      <c r="D158" s="25"/>
      <c r="E158" s="27" t="str">
        <f aca="false">IFERROR(INDEX(マスタ設定!$B$18:$B$37,MATCH($D158,マスタ設定!$A$18:$A$37,0)),"")</f>
        <v/>
      </c>
      <c r="F158" s="27" t="str">
        <f aca="false">IFERROR(INDEX(マスタ設定!$C$18:$C$37,MATCH($D158,マスタ設定!$A$18:$A$37,0)),"")</f>
        <v/>
      </c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</row>
    <row r="159" customFormat="false" ht="15" hidden="false" customHeight="false" outlineLevel="0" collapsed="false">
      <c r="A159" s="25"/>
      <c r="B159" s="25"/>
      <c r="C159" s="26"/>
      <c r="D159" s="25"/>
      <c r="E159" s="27" t="str">
        <f aca="false">IFERROR(INDEX(マスタ設定!$B$18:$B$37,MATCH($D159,マスタ設定!$A$18:$A$37,0)),"")</f>
        <v/>
      </c>
      <c r="F159" s="27" t="str">
        <f aca="false">IFERROR(INDEX(マスタ設定!$C$18:$C$37,MATCH($D159,マスタ設定!$A$18:$A$37,0)),"")</f>
        <v/>
      </c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</row>
    <row r="160" customFormat="false" ht="15" hidden="false" customHeight="false" outlineLevel="0" collapsed="false">
      <c r="A160" s="25"/>
      <c r="B160" s="25"/>
      <c r="C160" s="26"/>
      <c r="D160" s="25"/>
      <c r="E160" s="27" t="str">
        <f aca="false">IFERROR(INDEX(マスタ設定!$B$18:$B$37,MATCH($D160,マスタ設定!$A$18:$A$37,0)),"")</f>
        <v/>
      </c>
      <c r="F160" s="27" t="str">
        <f aca="false">IFERROR(INDEX(マスタ設定!$C$18:$C$37,MATCH($D160,マスタ設定!$A$18:$A$37,0)),"")</f>
        <v/>
      </c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</row>
    <row r="161" customFormat="false" ht="15" hidden="false" customHeight="false" outlineLevel="0" collapsed="false">
      <c r="A161" s="25"/>
      <c r="B161" s="25"/>
      <c r="C161" s="26"/>
      <c r="D161" s="25"/>
      <c r="E161" s="27" t="str">
        <f aca="false">IFERROR(INDEX(マスタ設定!$B$18:$B$37,MATCH($D161,マスタ設定!$A$18:$A$37,0)),"")</f>
        <v/>
      </c>
      <c r="F161" s="27" t="str">
        <f aca="false">IFERROR(INDEX(マスタ設定!$C$18:$C$37,MATCH($D161,マスタ設定!$A$18:$A$37,0)),"")</f>
        <v/>
      </c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</row>
    <row r="162" customFormat="false" ht="15" hidden="false" customHeight="false" outlineLevel="0" collapsed="false">
      <c r="A162" s="25"/>
      <c r="B162" s="25"/>
      <c r="C162" s="26"/>
      <c r="D162" s="25"/>
      <c r="E162" s="27" t="str">
        <f aca="false">IFERROR(INDEX(マスタ設定!$B$18:$B$37,MATCH($D162,マスタ設定!$A$18:$A$37,0)),"")</f>
        <v/>
      </c>
      <c r="F162" s="27" t="str">
        <f aca="false">IFERROR(INDEX(マスタ設定!$C$18:$C$37,MATCH($D162,マスタ設定!$A$18:$A$37,0)),"")</f>
        <v/>
      </c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</row>
    <row r="163" customFormat="false" ht="15" hidden="false" customHeight="false" outlineLevel="0" collapsed="false">
      <c r="A163" s="25"/>
      <c r="B163" s="25"/>
      <c r="C163" s="26"/>
      <c r="D163" s="25"/>
      <c r="E163" s="27" t="str">
        <f aca="false">IFERROR(INDEX(マスタ設定!$B$18:$B$37,MATCH($D163,マスタ設定!$A$18:$A$37,0)),"")</f>
        <v/>
      </c>
      <c r="F163" s="27" t="str">
        <f aca="false">IFERROR(INDEX(マスタ設定!$C$18:$C$37,MATCH($D163,マスタ設定!$A$18:$A$37,0)),"")</f>
        <v/>
      </c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</row>
    <row r="164" customFormat="false" ht="15" hidden="false" customHeight="false" outlineLevel="0" collapsed="false">
      <c r="A164" s="25"/>
      <c r="B164" s="25"/>
      <c r="C164" s="26"/>
      <c r="D164" s="25"/>
      <c r="E164" s="27" t="str">
        <f aca="false">IFERROR(INDEX(マスタ設定!$B$18:$B$37,MATCH($D164,マスタ設定!$A$18:$A$37,0)),"")</f>
        <v/>
      </c>
      <c r="F164" s="27" t="str">
        <f aca="false">IFERROR(INDEX(マスタ設定!$C$18:$C$37,MATCH($D164,マスタ設定!$A$18:$A$37,0)),"")</f>
        <v/>
      </c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</row>
    <row r="165" customFormat="false" ht="15" hidden="false" customHeight="false" outlineLevel="0" collapsed="false">
      <c r="A165" s="25"/>
      <c r="B165" s="25"/>
      <c r="C165" s="26"/>
      <c r="D165" s="25"/>
      <c r="E165" s="27" t="str">
        <f aca="false">IFERROR(INDEX(マスタ設定!$B$18:$B$37,MATCH($D165,マスタ設定!$A$18:$A$37,0)),"")</f>
        <v/>
      </c>
      <c r="F165" s="27" t="str">
        <f aca="false">IFERROR(INDEX(マスタ設定!$C$18:$C$37,MATCH($D165,マスタ設定!$A$18:$A$37,0)),"")</f>
        <v/>
      </c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</row>
    <row r="166" customFormat="false" ht="15" hidden="false" customHeight="false" outlineLevel="0" collapsed="false">
      <c r="A166" s="25"/>
      <c r="B166" s="25"/>
      <c r="C166" s="26"/>
      <c r="D166" s="25"/>
      <c r="E166" s="27" t="str">
        <f aca="false">IFERROR(INDEX(マスタ設定!$B$18:$B$37,MATCH($D166,マスタ設定!$A$18:$A$37,0)),"")</f>
        <v/>
      </c>
      <c r="F166" s="27" t="str">
        <f aca="false">IFERROR(INDEX(マスタ設定!$C$18:$C$37,MATCH($D166,マスタ設定!$A$18:$A$37,0)),"")</f>
        <v/>
      </c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</row>
    <row r="167" customFormat="false" ht="15" hidden="false" customHeight="false" outlineLevel="0" collapsed="false">
      <c r="A167" s="25"/>
      <c r="B167" s="25"/>
      <c r="C167" s="26"/>
      <c r="D167" s="25"/>
      <c r="E167" s="27" t="str">
        <f aca="false">IFERROR(INDEX(マスタ設定!$B$18:$B$37,MATCH($D167,マスタ設定!$A$18:$A$37,0)),"")</f>
        <v/>
      </c>
      <c r="F167" s="27" t="str">
        <f aca="false">IFERROR(INDEX(マスタ設定!$C$18:$C$37,MATCH($D167,マスタ設定!$A$18:$A$37,0)),"")</f>
        <v/>
      </c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</row>
    <row r="168" customFormat="false" ht="15" hidden="false" customHeight="false" outlineLevel="0" collapsed="false">
      <c r="A168" s="25"/>
      <c r="B168" s="25"/>
      <c r="C168" s="26"/>
      <c r="D168" s="25"/>
      <c r="E168" s="27" t="str">
        <f aca="false">IFERROR(INDEX(マスタ設定!$B$18:$B$37,MATCH($D168,マスタ設定!$A$18:$A$37,0)),"")</f>
        <v/>
      </c>
      <c r="F168" s="27" t="str">
        <f aca="false">IFERROR(INDEX(マスタ設定!$C$18:$C$37,MATCH($D168,マスタ設定!$A$18:$A$37,0)),"")</f>
        <v/>
      </c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</row>
    <row r="169" customFormat="false" ht="15" hidden="false" customHeight="false" outlineLevel="0" collapsed="false">
      <c r="A169" s="25"/>
      <c r="B169" s="25"/>
      <c r="C169" s="26"/>
      <c r="D169" s="25"/>
      <c r="E169" s="27" t="str">
        <f aca="false">IFERROR(INDEX(マスタ設定!$B$18:$B$37,MATCH($D169,マスタ設定!$A$18:$A$37,0)),"")</f>
        <v/>
      </c>
      <c r="F169" s="27" t="str">
        <f aca="false">IFERROR(INDEX(マスタ設定!$C$18:$C$37,MATCH($D169,マスタ設定!$A$18:$A$37,0)),"")</f>
        <v/>
      </c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</row>
    <row r="170" customFormat="false" ht="15" hidden="false" customHeight="false" outlineLevel="0" collapsed="false">
      <c r="A170" s="25"/>
      <c r="B170" s="25"/>
      <c r="C170" s="26"/>
      <c r="D170" s="25"/>
      <c r="E170" s="27" t="str">
        <f aca="false">IFERROR(INDEX(マスタ設定!$B$18:$B$37,MATCH($D170,マスタ設定!$A$18:$A$37,0)),"")</f>
        <v/>
      </c>
      <c r="F170" s="27" t="str">
        <f aca="false">IFERROR(INDEX(マスタ設定!$C$18:$C$37,MATCH($D170,マスタ設定!$A$18:$A$37,0)),"")</f>
        <v/>
      </c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</row>
    <row r="171" customFormat="false" ht="15" hidden="false" customHeight="false" outlineLevel="0" collapsed="false">
      <c r="A171" s="25"/>
      <c r="B171" s="25"/>
      <c r="C171" s="26"/>
      <c r="D171" s="25"/>
      <c r="E171" s="27" t="str">
        <f aca="false">IFERROR(INDEX(マスタ設定!$B$18:$B$37,MATCH($D171,マスタ設定!$A$18:$A$37,0)),"")</f>
        <v/>
      </c>
      <c r="F171" s="27" t="str">
        <f aca="false">IFERROR(INDEX(マスタ設定!$C$18:$C$37,MATCH($D171,マスタ設定!$A$18:$A$37,0)),"")</f>
        <v/>
      </c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</row>
    <row r="172" customFormat="false" ht="15" hidden="false" customHeight="false" outlineLevel="0" collapsed="false">
      <c r="A172" s="25"/>
      <c r="B172" s="25"/>
      <c r="C172" s="26"/>
      <c r="D172" s="25"/>
      <c r="E172" s="27" t="str">
        <f aca="false">IFERROR(INDEX(マスタ設定!$B$18:$B$37,MATCH($D172,マスタ設定!$A$18:$A$37,0)),"")</f>
        <v/>
      </c>
      <c r="F172" s="27" t="str">
        <f aca="false">IFERROR(INDEX(マスタ設定!$C$18:$C$37,MATCH($D172,マスタ設定!$A$18:$A$37,0)),"")</f>
        <v/>
      </c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</row>
    <row r="173" customFormat="false" ht="15" hidden="false" customHeight="false" outlineLevel="0" collapsed="false">
      <c r="A173" s="25"/>
      <c r="B173" s="25"/>
      <c r="C173" s="26"/>
      <c r="D173" s="25"/>
      <c r="E173" s="27" t="str">
        <f aca="false">IFERROR(INDEX(マスタ設定!$B$18:$B$37,MATCH($D173,マスタ設定!$A$18:$A$37,0)),"")</f>
        <v/>
      </c>
      <c r="F173" s="27" t="str">
        <f aca="false">IFERROR(INDEX(マスタ設定!$C$18:$C$37,MATCH($D173,マスタ設定!$A$18:$A$37,0)),"")</f>
        <v/>
      </c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</row>
    <row r="174" customFormat="false" ht="15" hidden="false" customHeight="false" outlineLevel="0" collapsed="false">
      <c r="A174" s="25"/>
      <c r="B174" s="25"/>
      <c r="C174" s="26"/>
      <c r="D174" s="25"/>
      <c r="E174" s="27" t="str">
        <f aca="false">IFERROR(INDEX(マスタ設定!$B$18:$B$37,MATCH($D174,マスタ設定!$A$18:$A$37,0)),"")</f>
        <v/>
      </c>
      <c r="F174" s="27" t="str">
        <f aca="false">IFERROR(INDEX(マスタ設定!$C$18:$C$37,MATCH($D174,マスタ設定!$A$18:$A$37,0)),"")</f>
        <v/>
      </c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</row>
    <row r="175" customFormat="false" ht="15" hidden="false" customHeight="false" outlineLevel="0" collapsed="false">
      <c r="A175" s="25"/>
      <c r="B175" s="25"/>
      <c r="C175" s="26"/>
      <c r="D175" s="25"/>
      <c r="E175" s="27" t="str">
        <f aca="false">IFERROR(INDEX(マスタ設定!$B$18:$B$37,MATCH($D175,マスタ設定!$A$18:$A$37,0)),"")</f>
        <v/>
      </c>
      <c r="F175" s="27" t="str">
        <f aca="false">IFERROR(INDEX(マスタ設定!$C$18:$C$37,MATCH($D175,マスタ設定!$A$18:$A$37,0)),"")</f>
        <v/>
      </c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</row>
    <row r="176" customFormat="false" ht="15" hidden="false" customHeight="false" outlineLevel="0" collapsed="false">
      <c r="A176" s="25"/>
      <c r="B176" s="25"/>
      <c r="C176" s="26"/>
      <c r="D176" s="25"/>
      <c r="E176" s="27" t="str">
        <f aca="false">IFERROR(INDEX(マスタ設定!$B$18:$B$37,MATCH($D176,マスタ設定!$A$18:$A$37,0)),"")</f>
        <v/>
      </c>
      <c r="F176" s="27" t="str">
        <f aca="false">IFERROR(INDEX(マスタ設定!$C$18:$C$37,MATCH($D176,マスタ設定!$A$18:$A$37,0)),"")</f>
        <v/>
      </c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</row>
    <row r="177" customFormat="false" ht="15" hidden="false" customHeight="false" outlineLevel="0" collapsed="false">
      <c r="A177" s="25"/>
      <c r="B177" s="25"/>
      <c r="C177" s="26"/>
      <c r="D177" s="25"/>
      <c r="E177" s="27" t="str">
        <f aca="false">IFERROR(INDEX(マスタ設定!$B$18:$B$37,MATCH($D177,マスタ設定!$A$18:$A$37,0)),"")</f>
        <v/>
      </c>
      <c r="F177" s="27" t="str">
        <f aca="false">IFERROR(INDEX(マスタ設定!$C$18:$C$37,MATCH($D177,マスタ設定!$A$18:$A$37,0)),"")</f>
        <v/>
      </c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</row>
    <row r="178" customFormat="false" ht="15" hidden="false" customHeight="false" outlineLevel="0" collapsed="false">
      <c r="A178" s="25"/>
      <c r="B178" s="25"/>
      <c r="C178" s="26"/>
      <c r="D178" s="25"/>
      <c r="E178" s="27" t="str">
        <f aca="false">IFERROR(INDEX(マスタ設定!$B$18:$B$37,MATCH($D178,マスタ設定!$A$18:$A$37,0)),"")</f>
        <v/>
      </c>
      <c r="F178" s="27" t="str">
        <f aca="false">IFERROR(INDEX(マスタ設定!$C$18:$C$37,MATCH($D178,マスタ設定!$A$18:$A$37,0)),"")</f>
        <v/>
      </c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</row>
    <row r="179" customFormat="false" ht="15" hidden="false" customHeight="false" outlineLevel="0" collapsed="false">
      <c r="A179" s="25"/>
      <c r="B179" s="25"/>
      <c r="C179" s="26"/>
      <c r="D179" s="25"/>
      <c r="E179" s="27" t="str">
        <f aca="false">IFERROR(INDEX(マスタ設定!$B$18:$B$37,MATCH($D179,マスタ設定!$A$18:$A$37,0)),"")</f>
        <v/>
      </c>
      <c r="F179" s="27" t="str">
        <f aca="false">IFERROR(INDEX(マスタ設定!$C$18:$C$37,MATCH($D179,マスタ設定!$A$18:$A$37,0)),"")</f>
        <v/>
      </c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</row>
    <row r="180" customFormat="false" ht="15" hidden="false" customHeight="false" outlineLevel="0" collapsed="false">
      <c r="A180" s="25"/>
      <c r="B180" s="25"/>
      <c r="C180" s="26"/>
      <c r="D180" s="25"/>
      <c r="E180" s="27" t="str">
        <f aca="false">IFERROR(INDEX(マスタ設定!$B$18:$B$37,MATCH($D180,マスタ設定!$A$18:$A$37,0)),"")</f>
        <v/>
      </c>
      <c r="F180" s="27" t="str">
        <f aca="false">IFERROR(INDEX(マスタ設定!$C$18:$C$37,MATCH($D180,マスタ設定!$A$18:$A$37,0)),"")</f>
        <v/>
      </c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</row>
    <row r="181" customFormat="false" ht="15" hidden="false" customHeight="false" outlineLevel="0" collapsed="false">
      <c r="A181" s="25"/>
      <c r="B181" s="25"/>
      <c r="C181" s="26"/>
      <c r="D181" s="25"/>
      <c r="E181" s="27" t="str">
        <f aca="false">IFERROR(INDEX(マスタ設定!$B$18:$B$37,MATCH($D181,マスタ設定!$A$18:$A$37,0)),"")</f>
        <v/>
      </c>
      <c r="F181" s="27" t="str">
        <f aca="false">IFERROR(INDEX(マスタ設定!$C$18:$C$37,MATCH($D181,マスタ設定!$A$18:$A$37,0)),"")</f>
        <v/>
      </c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</row>
    <row r="182" customFormat="false" ht="15" hidden="false" customHeight="false" outlineLevel="0" collapsed="false">
      <c r="A182" s="25"/>
      <c r="B182" s="25"/>
      <c r="C182" s="26"/>
      <c r="D182" s="25"/>
      <c r="E182" s="27" t="str">
        <f aca="false">IFERROR(INDEX(マスタ設定!$B$18:$B$37,MATCH($D182,マスタ設定!$A$18:$A$37,0)),"")</f>
        <v/>
      </c>
      <c r="F182" s="27" t="str">
        <f aca="false">IFERROR(INDEX(マスタ設定!$C$18:$C$37,MATCH($D182,マスタ設定!$A$18:$A$37,0)),"")</f>
        <v/>
      </c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</row>
    <row r="183" customFormat="false" ht="15" hidden="false" customHeight="false" outlineLevel="0" collapsed="false">
      <c r="A183" s="25"/>
      <c r="B183" s="25"/>
      <c r="C183" s="26"/>
      <c r="D183" s="25"/>
      <c r="E183" s="27" t="str">
        <f aca="false">IFERROR(INDEX(マスタ設定!$B$18:$B$37,MATCH($D183,マスタ設定!$A$18:$A$37,0)),"")</f>
        <v/>
      </c>
      <c r="F183" s="27" t="str">
        <f aca="false">IFERROR(INDEX(マスタ設定!$C$18:$C$37,MATCH($D183,マスタ設定!$A$18:$A$37,0)),"")</f>
        <v/>
      </c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</row>
    <row r="184" customFormat="false" ht="15" hidden="false" customHeight="false" outlineLevel="0" collapsed="false">
      <c r="A184" s="25"/>
      <c r="B184" s="25"/>
      <c r="C184" s="26"/>
      <c r="D184" s="25"/>
      <c r="E184" s="27" t="str">
        <f aca="false">IFERROR(INDEX(マスタ設定!$B$18:$B$37,MATCH($D184,マスタ設定!$A$18:$A$37,0)),"")</f>
        <v/>
      </c>
      <c r="F184" s="27" t="str">
        <f aca="false">IFERROR(INDEX(マスタ設定!$C$18:$C$37,MATCH($D184,マスタ設定!$A$18:$A$37,0)),"")</f>
        <v/>
      </c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</row>
    <row r="185" customFormat="false" ht="15" hidden="false" customHeight="false" outlineLevel="0" collapsed="false">
      <c r="A185" s="25"/>
      <c r="B185" s="25"/>
      <c r="C185" s="26"/>
      <c r="D185" s="25"/>
      <c r="E185" s="27" t="str">
        <f aca="false">IFERROR(INDEX(マスタ設定!$B$18:$B$37,MATCH($D185,マスタ設定!$A$18:$A$37,0)),"")</f>
        <v/>
      </c>
      <c r="F185" s="27" t="str">
        <f aca="false">IFERROR(INDEX(マスタ設定!$C$18:$C$37,MATCH($D185,マスタ設定!$A$18:$A$37,0)),"")</f>
        <v/>
      </c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</row>
    <row r="186" customFormat="false" ht="15" hidden="false" customHeight="false" outlineLevel="0" collapsed="false">
      <c r="A186" s="25"/>
      <c r="B186" s="25"/>
      <c r="C186" s="26"/>
      <c r="D186" s="25"/>
      <c r="E186" s="27" t="str">
        <f aca="false">IFERROR(INDEX(マスタ設定!$B$18:$B$37,MATCH($D186,マスタ設定!$A$18:$A$37,0)),"")</f>
        <v/>
      </c>
      <c r="F186" s="27" t="str">
        <f aca="false">IFERROR(INDEX(マスタ設定!$C$18:$C$37,MATCH($D186,マスタ設定!$A$18:$A$37,0)),"")</f>
        <v/>
      </c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</row>
    <row r="187" customFormat="false" ht="15" hidden="false" customHeight="false" outlineLevel="0" collapsed="false">
      <c r="A187" s="25"/>
      <c r="B187" s="25"/>
      <c r="C187" s="26"/>
      <c r="D187" s="25"/>
      <c r="E187" s="27" t="str">
        <f aca="false">IFERROR(INDEX(マスタ設定!$B$18:$B$37,MATCH($D187,マスタ設定!$A$18:$A$37,0)),"")</f>
        <v/>
      </c>
      <c r="F187" s="27" t="str">
        <f aca="false">IFERROR(INDEX(マスタ設定!$C$18:$C$37,MATCH($D187,マスタ設定!$A$18:$A$37,0)),"")</f>
        <v/>
      </c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</row>
    <row r="188" customFormat="false" ht="15" hidden="false" customHeight="false" outlineLevel="0" collapsed="false">
      <c r="A188" s="25"/>
      <c r="B188" s="25"/>
      <c r="C188" s="26"/>
      <c r="D188" s="25"/>
      <c r="E188" s="27" t="str">
        <f aca="false">IFERROR(INDEX(マスタ設定!$B$18:$B$37,MATCH($D188,マスタ設定!$A$18:$A$37,0)),"")</f>
        <v/>
      </c>
      <c r="F188" s="27" t="str">
        <f aca="false">IFERROR(INDEX(マスタ設定!$C$18:$C$37,MATCH($D188,マスタ設定!$A$18:$A$37,0)),"")</f>
        <v/>
      </c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</row>
    <row r="189" customFormat="false" ht="15" hidden="false" customHeight="false" outlineLevel="0" collapsed="false">
      <c r="A189" s="25"/>
      <c r="B189" s="25"/>
      <c r="C189" s="26"/>
      <c r="D189" s="25"/>
      <c r="E189" s="27" t="str">
        <f aca="false">IFERROR(INDEX(マスタ設定!$B$18:$B$37,MATCH($D189,マスタ設定!$A$18:$A$37,0)),"")</f>
        <v/>
      </c>
      <c r="F189" s="27" t="str">
        <f aca="false">IFERROR(INDEX(マスタ設定!$C$18:$C$37,MATCH($D189,マスタ設定!$A$18:$A$37,0)),"")</f>
        <v/>
      </c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</row>
    <row r="190" customFormat="false" ht="15" hidden="false" customHeight="false" outlineLevel="0" collapsed="false">
      <c r="A190" s="25"/>
      <c r="B190" s="25"/>
      <c r="C190" s="26"/>
      <c r="D190" s="25"/>
      <c r="E190" s="27" t="str">
        <f aca="false">IFERROR(INDEX(マスタ設定!$B$18:$B$37,MATCH($D190,マスタ設定!$A$18:$A$37,0)),"")</f>
        <v/>
      </c>
      <c r="F190" s="27" t="str">
        <f aca="false">IFERROR(INDEX(マスタ設定!$C$18:$C$37,MATCH($D190,マスタ設定!$A$18:$A$37,0)),"")</f>
        <v/>
      </c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</row>
    <row r="191" customFormat="false" ht="15" hidden="false" customHeight="false" outlineLevel="0" collapsed="false">
      <c r="A191" s="25"/>
      <c r="B191" s="25"/>
      <c r="C191" s="26"/>
      <c r="D191" s="25"/>
      <c r="E191" s="27" t="str">
        <f aca="false">IFERROR(INDEX(マスタ設定!$B$18:$B$37,MATCH($D191,マスタ設定!$A$18:$A$37,0)),"")</f>
        <v/>
      </c>
      <c r="F191" s="27" t="str">
        <f aca="false">IFERROR(INDEX(マスタ設定!$C$18:$C$37,MATCH($D191,マスタ設定!$A$18:$A$37,0)),"")</f>
        <v/>
      </c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</row>
    <row r="192" customFormat="false" ht="15" hidden="false" customHeight="false" outlineLevel="0" collapsed="false">
      <c r="A192" s="25"/>
      <c r="B192" s="25"/>
      <c r="C192" s="26"/>
      <c r="D192" s="25"/>
      <c r="E192" s="27" t="str">
        <f aca="false">IFERROR(INDEX(マスタ設定!$B$18:$B$37,MATCH($D192,マスタ設定!$A$18:$A$37,0)),"")</f>
        <v/>
      </c>
      <c r="F192" s="27" t="str">
        <f aca="false">IFERROR(INDEX(マスタ設定!$C$18:$C$37,MATCH($D192,マスタ設定!$A$18:$A$37,0)),"")</f>
        <v/>
      </c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</row>
    <row r="193" customFormat="false" ht="15" hidden="false" customHeight="false" outlineLevel="0" collapsed="false">
      <c r="A193" s="25"/>
      <c r="B193" s="25"/>
      <c r="C193" s="26"/>
      <c r="D193" s="25"/>
      <c r="E193" s="27" t="str">
        <f aca="false">IFERROR(INDEX(マスタ設定!$B$18:$B$37,MATCH($D193,マスタ設定!$A$18:$A$37,0)),"")</f>
        <v/>
      </c>
      <c r="F193" s="27" t="str">
        <f aca="false">IFERROR(INDEX(マスタ設定!$C$18:$C$37,MATCH($D193,マスタ設定!$A$18:$A$37,0)),"")</f>
        <v/>
      </c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</row>
    <row r="194" customFormat="false" ht="15" hidden="false" customHeight="false" outlineLevel="0" collapsed="false">
      <c r="A194" s="25"/>
      <c r="B194" s="25"/>
      <c r="C194" s="26"/>
      <c r="D194" s="25"/>
      <c r="E194" s="27" t="str">
        <f aca="false">IFERROR(INDEX(マスタ設定!$B$18:$B$37,MATCH($D194,マスタ設定!$A$18:$A$37,0)),"")</f>
        <v/>
      </c>
      <c r="F194" s="27" t="str">
        <f aca="false">IFERROR(INDEX(マスタ設定!$C$18:$C$37,MATCH($D194,マスタ設定!$A$18:$A$37,0)),"")</f>
        <v/>
      </c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</row>
    <row r="195" customFormat="false" ht="15" hidden="false" customHeight="false" outlineLevel="0" collapsed="false">
      <c r="A195" s="25"/>
      <c r="B195" s="25"/>
      <c r="C195" s="26"/>
      <c r="D195" s="25"/>
      <c r="E195" s="27" t="str">
        <f aca="false">IFERROR(INDEX(マスタ設定!$B$18:$B$37,MATCH($D195,マスタ設定!$A$18:$A$37,0)),"")</f>
        <v/>
      </c>
      <c r="F195" s="27" t="str">
        <f aca="false">IFERROR(INDEX(マスタ設定!$C$18:$C$37,MATCH($D195,マスタ設定!$A$18:$A$37,0)),"")</f>
        <v/>
      </c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</row>
    <row r="196" customFormat="false" ht="15" hidden="false" customHeight="false" outlineLevel="0" collapsed="false">
      <c r="A196" s="25"/>
      <c r="B196" s="25"/>
      <c r="C196" s="26"/>
      <c r="D196" s="25"/>
      <c r="E196" s="27" t="str">
        <f aca="false">IFERROR(INDEX(マスタ設定!$B$18:$B$37,MATCH($D196,マスタ設定!$A$18:$A$37,0)),"")</f>
        <v/>
      </c>
      <c r="F196" s="27" t="str">
        <f aca="false">IFERROR(INDEX(マスタ設定!$C$18:$C$37,MATCH($D196,マスタ設定!$A$18:$A$37,0)),"")</f>
        <v/>
      </c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</row>
    <row r="197" customFormat="false" ht="15" hidden="false" customHeight="false" outlineLevel="0" collapsed="false">
      <c r="A197" s="25"/>
      <c r="B197" s="25"/>
      <c r="C197" s="26"/>
      <c r="D197" s="25"/>
      <c r="E197" s="27" t="str">
        <f aca="false">IFERROR(INDEX(マスタ設定!$B$18:$B$37,MATCH($D197,マスタ設定!$A$18:$A$37,0)),"")</f>
        <v/>
      </c>
      <c r="F197" s="27" t="str">
        <f aca="false">IFERROR(INDEX(マスタ設定!$C$18:$C$37,MATCH($D197,マスタ設定!$A$18:$A$37,0)),"")</f>
        <v/>
      </c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</row>
    <row r="198" customFormat="false" ht="15" hidden="false" customHeight="false" outlineLevel="0" collapsed="false">
      <c r="A198" s="25"/>
      <c r="B198" s="25"/>
      <c r="C198" s="26"/>
      <c r="D198" s="25"/>
      <c r="E198" s="27" t="str">
        <f aca="false">IFERROR(INDEX(マスタ設定!$B$18:$B$37,MATCH($D198,マスタ設定!$A$18:$A$37,0)),"")</f>
        <v/>
      </c>
      <c r="F198" s="27" t="str">
        <f aca="false">IFERROR(INDEX(マスタ設定!$C$18:$C$37,MATCH($D198,マスタ設定!$A$18:$A$37,0)),"")</f>
        <v/>
      </c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</row>
    <row r="199" customFormat="false" ht="15" hidden="false" customHeight="false" outlineLevel="0" collapsed="false">
      <c r="A199" s="25"/>
      <c r="B199" s="25"/>
      <c r="C199" s="26"/>
      <c r="D199" s="25"/>
      <c r="E199" s="27" t="str">
        <f aca="false">IFERROR(INDEX(マスタ設定!$B$18:$B$37,MATCH($D199,マスタ設定!$A$18:$A$37,0)),"")</f>
        <v/>
      </c>
      <c r="F199" s="27" t="str">
        <f aca="false">IFERROR(INDEX(マスタ設定!$C$18:$C$37,MATCH($D199,マスタ設定!$A$18:$A$37,0)),"")</f>
        <v/>
      </c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</row>
    <row r="200" customFormat="false" ht="15" hidden="false" customHeight="false" outlineLevel="0" collapsed="false">
      <c r="A200" s="25"/>
      <c r="B200" s="25"/>
      <c r="C200" s="26"/>
      <c r="D200" s="25"/>
      <c r="E200" s="27" t="str">
        <f aca="false">IFERROR(INDEX(マスタ設定!$B$18:$B$37,MATCH($D200,マスタ設定!$A$18:$A$37,0)),"")</f>
        <v/>
      </c>
      <c r="F200" s="27" t="str">
        <f aca="false">IFERROR(INDEX(マスタ設定!$C$18:$C$37,MATCH($D200,マスタ設定!$A$18:$A$37,0)),"")</f>
        <v/>
      </c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</row>
    <row r="201" customFormat="false" ht="15" hidden="false" customHeight="false" outlineLevel="0" collapsed="false">
      <c r="A201" s="25"/>
      <c r="B201" s="25"/>
      <c r="C201" s="26"/>
      <c r="D201" s="25"/>
      <c r="E201" s="27" t="str">
        <f aca="false">IFERROR(INDEX(マスタ設定!$B$18:$B$37,MATCH($D201,マスタ設定!$A$18:$A$37,0)),"")</f>
        <v/>
      </c>
      <c r="F201" s="27" t="str">
        <f aca="false">IFERROR(INDEX(マスタ設定!$C$18:$C$37,MATCH($D201,マスタ設定!$A$18:$A$37,0)),"")</f>
        <v/>
      </c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</row>
    <row r="202" customFormat="false" ht="15" hidden="false" customHeight="false" outlineLevel="0" collapsed="false">
      <c r="A202" s="25"/>
      <c r="B202" s="25"/>
      <c r="C202" s="26"/>
      <c r="D202" s="25"/>
      <c r="E202" s="27" t="str">
        <f aca="false">IFERROR(INDEX(マスタ設定!$B$18:$B$37,MATCH($D202,マスタ設定!$A$18:$A$37,0)),"")</f>
        <v/>
      </c>
      <c r="F202" s="27" t="str">
        <f aca="false">IFERROR(INDEX(マスタ設定!$C$18:$C$37,MATCH($D202,マスタ設定!$A$18:$A$37,0)),"")</f>
        <v/>
      </c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</row>
  </sheetData>
  <dataValidations count="2">
    <dataValidation allowBlank="true" error="1〜5の整数で入力してください。" errorStyle="stop" errorTitle="採点は5段階です" operator="between" showDropDown="false" showErrorMessage="true" showInputMessage="false" sqref="J3:J202 L3:L202 N3:N202 P3:P202 R3:R202 T3:T202 V3:V202" type="whole">
      <formula1>1</formula1>
      <formula2>5</formula2>
    </dataValidation>
    <dataValidation allowBlank="true" errorStyle="stop" operator="between" showDropDown="false" showErrorMessage="false" showInputMessage="false" sqref="H3:H202" type="list">
      <formula1>マスタ設定!$A$53:$A$55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14"/>
    <col collapsed="false" customWidth="true" hidden="false" outlineLevel="0" max="10" min="10" style="0" width="10"/>
    <col collapsed="false" customWidth="true" hidden="false" outlineLevel="0" max="12" min="11" style="0" width="13"/>
    <col collapsed="false" customWidth="true" hidden="false" outlineLevel="0" max="14" min="13" style="0" width="9"/>
    <col collapsed="false" customWidth="true" hidden="false" outlineLevel="0" max="15" min="15" style="0" width="11"/>
    <col collapsed="false" customWidth="true" hidden="false" outlineLevel="0" max="16" min="16" style="0" width="12"/>
  </cols>
  <sheetData>
    <row r="1" customFormat="false" ht="17.35" hidden="false" customHeight="false" outlineLevel="0" collapsed="false">
      <c r="A1" s="1" t="s">
        <v>188</v>
      </c>
    </row>
    <row r="2" customFormat="false" ht="33.75" hidden="false" customHeight="true" outlineLevel="0" collapsed="false">
      <c r="A2" s="21" t="s">
        <v>99</v>
      </c>
      <c r="B2" s="21" t="s">
        <v>101</v>
      </c>
      <c r="C2" s="21" t="s">
        <v>46</v>
      </c>
      <c r="D2" s="21" t="s">
        <v>102</v>
      </c>
      <c r="E2" s="21" t="s">
        <v>27</v>
      </c>
      <c r="F2" s="21" t="s">
        <v>104</v>
      </c>
      <c r="G2" s="21" t="s">
        <v>189</v>
      </c>
      <c r="H2" s="21" t="s">
        <v>190</v>
      </c>
      <c r="I2" s="21" t="s">
        <v>191</v>
      </c>
      <c r="J2" s="21" t="s">
        <v>192</v>
      </c>
      <c r="K2" s="21" t="s">
        <v>193</v>
      </c>
      <c r="L2" s="21" t="s">
        <v>194</v>
      </c>
      <c r="M2" s="28" t="s">
        <v>195</v>
      </c>
      <c r="N2" s="28" t="s">
        <v>196</v>
      </c>
      <c r="O2" s="21" t="s">
        <v>197</v>
      </c>
      <c r="P2" s="21" t="s">
        <v>198</v>
      </c>
    </row>
    <row r="3" customFormat="false" ht="15" hidden="false" customHeight="false" outlineLevel="0" collapsed="false">
      <c r="A3" s="29" t="str">
        <f aca="false">IF(調査集計表!A3="","",調査集計表!A3)</f>
        <v>A-001</v>
      </c>
      <c r="B3" s="30" t="n">
        <f aca="false">IF(調査集計表!C3="","",調査集計表!C3)</f>
        <v>46063</v>
      </c>
      <c r="C3" s="29" t="str">
        <f aca="false">IF(調査集計表!D3="","",調査集計表!D3)</f>
        <v>P01</v>
      </c>
      <c r="D3" s="29" t="str">
        <f aca="false">IF(調査集計表!E3="","",調査集計表!E3)</f>
        <v>佐藤（記入例）</v>
      </c>
      <c r="E3" s="29" t="str">
        <f aca="false">IF(調査集計表!F3="","",調査集計表!F3)</f>
        <v>U01</v>
      </c>
      <c r="F3" s="29" t="str">
        <f aca="false">IF(調査集計表!H3="","",調査集計表!H3)</f>
        <v>難2</v>
      </c>
      <c r="G3" s="29" t="n">
        <f aca="false">COUNT(調査集計表!J3,調査集計表!L3,調査集計表!N3,調査集計表!P3,調査集計表!R3)</f>
        <v>3</v>
      </c>
      <c r="H3" s="29" t="n">
        <f aca="false">IF($G3=0,"",MEDIAN(調査集計表!J3,調査集計表!L3,調査集計表!N3,調査集計表!P3,調査集計表!R3))</f>
        <v>2</v>
      </c>
      <c r="I3" s="29" t="n">
        <f aca="false">IFERROR(AVERAGE(調査集計表!T3,調査集計表!V3),"")</f>
        <v>2</v>
      </c>
      <c r="J3" s="29" t="n">
        <f aca="false">COUNT(調査集計表!T3,調査集計表!V3)</f>
        <v>2</v>
      </c>
      <c r="K3" s="31" t="n">
        <f aca="false">IF($H3="","",ROUND($H3/3*100,1))</f>
        <v>66.7</v>
      </c>
      <c r="L3" s="31" t="n">
        <f aca="false">IF($I3="","",ROUND($I3/3*100,1))</f>
        <v>66.7</v>
      </c>
      <c r="M3" s="32" t="n">
        <f aca="false">IFERROR(INDEX(マスタ設定!$E$5:$E$14,MATCH($E3,マスタ設定!$A$5:$A$14,0))/100,"")</f>
        <v>0.7</v>
      </c>
      <c r="N3" s="32" t="n">
        <f aca="false">IFERROR(INDEX(マスタ設定!$F$5:$F$14,MATCH($E3,マスタ設定!$A$5:$A$14,0))/100,"")</f>
        <v>0.3</v>
      </c>
      <c r="O3" s="31" t="n">
        <f aca="false">IF(OR($K3="",$L3="",$M3="",$N3=""),"",ROUND($K3*$M3+$L3*$N3,1))</f>
        <v>66.7</v>
      </c>
      <c r="P3" s="29" t="str">
        <f aca="false">IF($A3="","",IF($O3="","データ不足",IF(AND($G3&gt;=3,$J3&gt;=2),"有効","要確認")))</f>
        <v>有効</v>
      </c>
    </row>
    <row r="4" customFormat="false" ht="15" hidden="false" customHeight="false" outlineLevel="0" collapsed="false">
      <c r="A4" s="29" t="str">
        <f aca="false">IF(調査集計表!A4="","",調査集計表!A4)</f>
        <v>A-002</v>
      </c>
      <c r="B4" s="30" t="n">
        <f aca="false">IF(調査集計表!C4="","",調査集計表!C4)</f>
        <v>46086</v>
      </c>
      <c r="C4" s="29" t="str">
        <f aca="false">IF(調査集計表!D4="","",調査集計表!D4)</f>
        <v>P01</v>
      </c>
      <c r="D4" s="29" t="str">
        <f aca="false">IF(調査集計表!E4="","",調査集計表!E4)</f>
        <v>佐藤（記入例）</v>
      </c>
      <c r="E4" s="29" t="str">
        <f aca="false">IF(調査集計表!F4="","",調査集計表!F4)</f>
        <v>U01</v>
      </c>
      <c r="F4" s="29" t="str">
        <f aca="false">IF(調査集計表!H4="","",調査集計表!H4)</f>
        <v>難1</v>
      </c>
      <c r="G4" s="29" t="n">
        <f aca="false">COUNT(調査集計表!J4,調査集計表!L4,調査集計表!N4,調査集計表!P4,調査集計表!R4)</f>
        <v>3</v>
      </c>
      <c r="H4" s="29" t="n">
        <f aca="false">IF($G4=0,"",MEDIAN(調査集計表!J4,調査集計表!L4,調査集計表!N4,調査集計表!P4,調査集計表!R4))</f>
        <v>2</v>
      </c>
      <c r="I4" s="29" t="n">
        <f aca="false">IFERROR(AVERAGE(調査集計表!T4,調査集計表!V4),"")</f>
        <v>2.5</v>
      </c>
      <c r="J4" s="29" t="n">
        <f aca="false">COUNT(調査集計表!T4,調査集計表!V4)</f>
        <v>2</v>
      </c>
      <c r="K4" s="31" t="n">
        <f aca="false">IF($H4="","",ROUND($H4/3*100,1))</f>
        <v>66.7</v>
      </c>
      <c r="L4" s="31" t="n">
        <f aca="false">IF($I4="","",ROUND($I4/3*100,1))</f>
        <v>83.3</v>
      </c>
      <c r="M4" s="32" t="n">
        <f aca="false">IFERROR(INDEX(マスタ設定!$E$5:$E$14,MATCH($E4,マスタ設定!$A$5:$A$14,0))/100,"")</f>
        <v>0.7</v>
      </c>
      <c r="N4" s="32" t="n">
        <f aca="false">IFERROR(INDEX(マスタ設定!$F$5:$F$14,MATCH($E4,マスタ設定!$A$5:$A$14,0))/100,"")</f>
        <v>0.3</v>
      </c>
      <c r="O4" s="31" t="n">
        <f aca="false">IF(OR($K4="",$L4="",$M4="",$N4=""),"",ROUND($K4*$M4+$L4*$N4,1))</f>
        <v>71.7</v>
      </c>
      <c r="P4" s="29" t="str">
        <f aca="false">IF($A4="","",IF($O4="","データ不足",IF(AND($G4&gt;=3,$J4&gt;=2),"有効","要確認")))</f>
        <v>有効</v>
      </c>
    </row>
    <row r="5" customFormat="false" ht="15" hidden="false" customHeight="false" outlineLevel="0" collapsed="false">
      <c r="A5" s="29" t="str">
        <f aca="false">IF(調査集計表!A5="","",調査集計表!A5)</f>
        <v>A-003</v>
      </c>
      <c r="B5" s="30" t="n">
        <f aca="false">IF(調査集計表!C5="","",調査集計表!C5)</f>
        <v>46162</v>
      </c>
      <c r="C5" s="29" t="str">
        <f aca="false">IF(調査集計表!D5="","",調査集計表!D5)</f>
        <v>P01</v>
      </c>
      <c r="D5" s="29" t="str">
        <f aca="false">IF(調査集計表!E5="","",調査集計表!E5)</f>
        <v>佐藤（記入例）</v>
      </c>
      <c r="E5" s="29" t="str">
        <f aca="false">IF(調査集計表!F5="","",調査集計表!F5)</f>
        <v>U01</v>
      </c>
      <c r="F5" s="29" t="str">
        <f aca="false">IF(調査集計表!H5="","",調査集計表!H5)</f>
        <v>難2</v>
      </c>
      <c r="G5" s="29" t="n">
        <f aca="false">COUNT(調査集計表!J5,調査集計表!L5,調査集計表!N5,調査集計表!P5,調査集計表!R5)</f>
        <v>4</v>
      </c>
      <c r="H5" s="29" t="n">
        <f aca="false">IF($G5=0,"",MEDIAN(調査集計表!J5,調査集計表!L5,調査集計表!N5,調査集計表!P5,調査集計表!R5))</f>
        <v>3</v>
      </c>
      <c r="I5" s="29" t="n">
        <f aca="false">IFERROR(AVERAGE(調査集計表!T5,調査集計表!V5),"")</f>
        <v>3</v>
      </c>
      <c r="J5" s="29" t="n">
        <f aca="false">COUNT(調査集計表!T5,調査集計表!V5)</f>
        <v>2</v>
      </c>
      <c r="K5" s="31" t="n">
        <f aca="false">IF($H5="","",ROUND($H5/3*100,1))</f>
        <v>100</v>
      </c>
      <c r="L5" s="31" t="n">
        <f aca="false">IF($I5="","",ROUND($I5/3*100,1))</f>
        <v>100</v>
      </c>
      <c r="M5" s="32" t="n">
        <f aca="false">IFERROR(INDEX(マスタ設定!$E$5:$E$14,MATCH($E5,マスタ設定!$A$5:$A$14,0))/100,"")</f>
        <v>0.7</v>
      </c>
      <c r="N5" s="32" t="n">
        <f aca="false">IFERROR(INDEX(マスタ設定!$F$5:$F$14,MATCH($E5,マスタ設定!$A$5:$A$14,0))/100,"")</f>
        <v>0.3</v>
      </c>
      <c r="O5" s="31" t="n">
        <f aca="false">IF(OR($K5="",$L5="",$M5="",$N5=""),"",ROUND($K5*$M5+$L5*$N5,1))</f>
        <v>100</v>
      </c>
      <c r="P5" s="29" t="str">
        <f aca="false">IF($A5="","",IF($O5="","データ不足",IF(AND($G5&gt;=3,$J5&gt;=2),"有効","要確認")))</f>
        <v>有効</v>
      </c>
    </row>
    <row r="6" customFormat="false" ht="15" hidden="false" customHeight="false" outlineLevel="0" collapsed="false">
      <c r="A6" s="29" t="str">
        <f aca="false">IF(調査集計表!A6="","",調査集計表!A6)</f>
        <v>A-004</v>
      </c>
      <c r="B6" s="30" t="n">
        <f aca="false">IF(調査集計表!C6="","",調査集計表!C6)</f>
        <v>46246</v>
      </c>
      <c r="C6" s="29" t="str">
        <f aca="false">IF(調査集計表!D6="","",調査集計表!D6)</f>
        <v>P01</v>
      </c>
      <c r="D6" s="29" t="str">
        <f aca="false">IF(調査集計表!E6="","",調査集計表!E6)</f>
        <v>佐藤（記入例）</v>
      </c>
      <c r="E6" s="29" t="str">
        <f aca="false">IF(調査集計表!F6="","",調査集計表!F6)</f>
        <v>U01</v>
      </c>
      <c r="F6" s="29" t="str">
        <f aca="false">IF(調査集計表!H6="","",調査集計表!H6)</f>
        <v>難2</v>
      </c>
      <c r="G6" s="29" t="n">
        <f aca="false">COUNT(調査集計表!J6,調査集計表!L6,調査集計表!N6,調査集計表!P6,調査集計表!R6)</f>
        <v>3</v>
      </c>
      <c r="H6" s="29" t="n">
        <f aca="false">IF($G6=0,"",MEDIAN(調査集計表!J6,調査集計表!L6,調査集計表!N6,調査集計表!P6,調査集計表!R6))</f>
        <v>3</v>
      </c>
      <c r="I6" s="29" t="n">
        <f aca="false">IFERROR(AVERAGE(調査集計表!T6,調査集計表!V6),"")</f>
        <v>3</v>
      </c>
      <c r="J6" s="29" t="n">
        <f aca="false">COUNT(調査集計表!T6,調査集計表!V6)</f>
        <v>2</v>
      </c>
      <c r="K6" s="31" t="n">
        <f aca="false">IF($H6="","",ROUND($H6/3*100,1))</f>
        <v>100</v>
      </c>
      <c r="L6" s="31" t="n">
        <f aca="false">IF($I6="","",ROUND($I6/3*100,1))</f>
        <v>100</v>
      </c>
      <c r="M6" s="32" t="n">
        <f aca="false">IFERROR(INDEX(マスタ設定!$E$5:$E$14,MATCH($E6,マスタ設定!$A$5:$A$14,0))/100,"")</f>
        <v>0.7</v>
      </c>
      <c r="N6" s="32" t="n">
        <f aca="false">IFERROR(INDEX(マスタ設定!$F$5:$F$14,MATCH($E6,マスタ設定!$A$5:$A$14,0))/100,"")</f>
        <v>0.3</v>
      </c>
      <c r="O6" s="31" t="n">
        <f aca="false">IF(OR($K6="",$L6="",$M6="",$N6=""),"",ROUND($K6*$M6+$L6*$N6,1))</f>
        <v>100</v>
      </c>
      <c r="P6" s="29" t="str">
        <f aca="false">IF($A6="","",IF($O6="","データ不足",IF(AND($G6&gt;=3,$J6&gt;=2),"有効","要確認")))</f>
        <v>有効</v>
      </c>
    </row>
    <row r="7" customFormat="false" ht="15" hidden="false" customHeight="false" outlineLevel="0" collapsed="false">
      <c r="A7" s="29" t="str">
        <f aca="false">IF(調査集計表!A7="","",調査集計表!A7)</f>
        <v>A-005</v>
      </c>
      <c r="B7" s="30" t="n">
        <f aca="false">IF(調査集計表!C7="","",調査集計表!C7)</f>
        <v>46344</v>
      </c>
      <c r="C7" s="29" t="str">
        <f aca="false">IF(調査集計表!D7="","",調査集計表!D7)</f>
        <v>P01</v>
      </c>
      <c r="D7" s="29" t="str">
        <f aca="false">IF(調査集計表!E7="","",調査集計表!E7)</f>
        <v>佐藤（記入例）</v>
      </c>
      <c r="E7" s="29" t="str">
        <f aca="false">IF(調査集計表!F7="","",調査集計表!F7)</f>
        <v>U01</v>
      </c>
      <c r="F7" s="29" t="str">
        <f aca="false">IF(調査集計表!H7="","",調査集計表!H7)</f>
        <v>難3</v>
      </c>
      <c r="G7" s="29" t="n">
        <f aca="false">COUNT(調査集計表!J7,調査集計表!L7,調査集計表!N7,調査集計表!P7,調査集計表!R7)</f>
        <v>4</v>
      </c>
      <c r="H7" s="29" t="n">
        <f aca="false">IF($G7=0,"",MEDIAN(調査集計表!J7,調査集計表!L7,調査集計表!N7,調査集計表!P7,調査集計表!R7))</f>
        <v>3.5</v>
      </c>
      <c r="I7" s="29" t="n">
        <f aca="false">IFERROR(AVERAGE(調査集計表!T7,調査集計表!V7),"")</f>
        <v>3.5</v>
      </c>
      <c r="J7" s="29" t="n">
        <f aca="false">COUNT(調査集計表!T7,調査集計表!V7)</f>
        <v>2</v>
      </c>
      <c r="K7" s="31" t="n">
        <f aca="false">IF($H7="","",ROUND($H7/3*100,1))</f>
        <v>116.7</v>
      </c>
      <c r="L7" s="31" t="n">
        <f aca="false">IF($I7="","",ROUND($I7/3*100,1))</f>
        <v>116.7</v>
      </c>
      <c r="M7" s="32" t="n">
        <f aca="false">IFERROR(INDEX(マスタ設定!$E$5:$E$14,MATCH($E7,マスタ設定!$A$5:$A$14,0))/100,"")</f>
        <v>0.7</v>
      </c>
      <c r="N7" s="32" t="n">
        <f aca="false">IFERROR(INDEX(マスタ設定!$F$5:$F$14,MATCH($E7,マスタ設定!$A$5:$A$14,0))/100,"")</f>
        <v>0.3</v>
      </c>
      <c r="O7" s="31" t="n">
        <f aca="false">IF(OR($K7="",$L7="",$M7="",$N7=""),"",ROUND($K7*$M7+$L7*$N7,1))</f>
        <v>116.7</v>
      </c>
      <c r="P7" s="29" t="str">
        <f aca="false">IF($A7="","",IF($O7="","データ不足",IF(AND($G7&gt;=3,$J7&gt;=2),"有効","要確認")))</f>
        <v>有効</v>
      </c>
    </row>
    <row r="8" customFormat="false" ht="15" hidden="false" customHeight="false" outlineLevel="0" collapsed="false">
      <c r="A8" s="29" t="str">
        <f aca="false">IF(調査集計表!A8="","",調査集計表!A8)</f>
        <v>A-006</v>
      </c>
      <c r="B8" s="30" t="n">
        <f aca="false">IF(調査集計表!C8="","",調査集計表!C8)</f>
        <v>46440</v>
      </c>
      <c r="C8" s="29" t="str">
        <f aca="false">IF(調査集計表!D8="","",調査集計表!D8)</f>
        <v>P01</v>
      </c>
      <c r="D8" s="29" t="str">
        <f aca="false">IF(調査集計表!E8="","",調査集計表!E8)</f>
        <v>佐藤（記入例）</v>
      </c>
      <c r="E8" s="29" t="str">
        <f aca="false">IF(調査集計表!F8="","",調査集計表!F8)</f>
        <v>U01</v>
      </c>
      <c r="F8" s="29" t="str">
        <f aca="false">IF(調査集計表!H8="","",調査集計表!H8)</f>
        <v>難3</v>
      </c>
      <c r="G8" s="29" t="n">
        <f aca="false">COUNT(調査集計表!J8,調査集計表!L8,調査集計表!N8,調査集計表!P8,調査集計表!R8)</f>
        <v>4</v>
      </c>
      <c r="H8" s="29" t="n">
        <f aca="false">IF($G8=0,"",MEDIAN(調査集計表!J8,調査集計表!L8,調査集計表!N8,調査集計表!P8,調査集計表!R8))</f>
        <v>4</v>
      </c>
      <c r="I8" s="29" t="n">
        <f aca="false">IFERROR(AVERAGE(調査集計表!T8,調査集計表!V8),"")</f>
        <v>3.5</v>
      </c>
      <c r="J8" s="29" t="n">
        <f aca="false">COUNT(調査集計表!T8,調査集計表!V8)</f>
        <v>2</v>
      </c>
      <c r="K8" s="31" t="n">
        <f aca="false">IF($H8="","",ROUND($H8/3*100,1))</f>
        <v>133.3</v>
      </c>
      <c r="L8" s="31" t="n">
        <f aca="false">IF($I8="","",ROUND($I8/3*100,1))</f>
        <v>116.7</v>
      </c>
      <c r="M8" s="32" t="n">
        <f aca="false">IFERROR(INDEX(マスタ設定!$E$5:$E$14,MATCH($E8,マスタ設定!$A$5:$A$14,0))/100,"")</f>
        <v>0.7</v>
      </c>
      <c r="N8" s="32" t="n">
        <f aca="false">IFERROR(INDEX(マスタ設定!$F$5:$F$14,MATCH($E8,マスタ設定!$A$5:$A$14,0))/100,"")</f>
        <v>0.3</v>
      </c>
      <c r="O8" s="31" t="n">
        <f aca="false">IF(OR($K8="",$L8="",$M8="",$N8=""),"",ROUND($K8*$M8+$L8*$N8,1))</f>
        <v>128.3</v>
      </c>
      <c r="P8" s="29" t="str">
        <f aca="false">IF($A8="","",IF($O8="","データ不足",IF(AND($G8&gt;=3,$J8&gt;=2),"有効","要確認")))</f>
        <v>有効</v>
      </c>
    </row>
    <row r="9" customFormat="false" ht="15" hidden="false" customHeight="false" outlineLevel="0" collapsed="false">
      <c r="A9" s="29" t="str">
        <f aca="false">IF(調査集計表!A9="","",調査集計表!A9)</f>
        <v>B-001</v>
      </c>
      <c r="B9" s="30" t="n">
        <f aca="false">IF(調査集計表!C9="","",調査集計表!C9)</f>
        <v>46078</v>
      </c>
      <c r="C9" s="29" t="str">
        <f aca="false">IF(調査集計表!D9="","",調査集計表!D9)</f>
        <v>P02</v>
      </c>
      <c r="D9" s="29" t="str">
        <f aca="false">IF(調査集計表!E9="","",調査集計表!E9)</f>
        <v>鈴木（記入例）</v>
      </c>
      <c r="E9" s="29" t="str">
        <f aca="false">IF(調査集計表!F9="","",調査集計表!F9)</f>
        <v>U01</v>
      </c>
      <c r="F9" s="29" t="str">
        <f aca="false">IF(調査集計表!H9="","",調査集計表!H9)</f>
        <v>難1</v>
      </c>
      <c r="G9" s="29" t="n">
        <f aca="false">COUNT(調査集計表!J9,調査集計表!L9,調査集計表!N9,調査集計表!P9,調査集計表!R9)</f>
        <v>3</v>
      </c>
      <c r="H9" s="29" t="n">
        <f aca="false">IF($G9=0,"",MEDIAN(調査集計表!J9,調査集計表!L9,調査集計表!N9,調査集計表!P9,調査集計表!R9))</f>
        <v>2</v>
      </c>
      <c r="I9" s="29" t="n">
        <f aca="false">IFERROR(AVERAGE(調査集計表!T9,調査集計表!V9),"")</f>
        <v>2</v>
      </c>
      <c r="J9" s="29" t="n">
        <f aca="false">COUNT(調査集計表!T9,調査集計表!V9)</f>
        <v>2</v>
      </c>
      <c r="K9" s="31" t="n">
        <f aca="false">IF($H9="","",ROUND($H9/3*100,1))</f>
        <v>66.7</v>
      </c>
      <c r="L9" s="31" t="n">
        <f aca="false">IF($I9="","",ROUND($I9/3*100,1))</f>
        <v>66.7</v>
      </c>
      <c r="M9" s="32" t="n">
        <f aca="false">IFERROR(INDEX(マスタ設定!$E$5:$E$14,MATCH($E9,マスタ設定!$A$5:$A$14,0))/100,"")</f>
        <v>0.7</v>
      </c>
      <c r="N9" s="32" t="n">
        <f aca="false">IFERROR(INDEX(マスタ設定!$F$5:$F$14,MATCH($E9,マスタ設定!$A$5:$A$14,0))/100,"")</f>
        <v>0.3</v>
      </c>
      <c r="O9" s="31" t="n">
        <f aca="false">IF(OR($K9="",$L9="",$M9="",$N9=""),"",ROUND($K9*$M9+$L9*$N9,1))</f>
        <v>66.7</v>
      </c>
      <c r="P9" s="29" t="str">
        <f aca="false">IF($A9="","",IF($O9="","データ不足",IF(AND($G9&gt;=3,$J9&gt;=2),"有効","要確認")))</f>
        <v>有効</v>
      </c>
    </row>
    <row r="10" customFormat="false" ht="15" hidden="false" customHeight="false" outlineLevel="0" collapsed="false">
      <c r="A10" s="29" t="str">
        <f aca="false">IF(調査集計表!A10="","",調査集計表!A10)</f>
        <v>B-002</v>
      </c>
      <c r="B10" s="30" t="n">
        <f aca="false">IF(調査集計表!C10="","",調査集計表!C10)</f>
        <v>46176</v>
      </c>
      <c r="C10" s="29" t="str">
        <f aca="false">IF(調査集計表!D10="","",調査集計表!D10)</f>
        <v>P02</v>
      </c>
      <c r="D10" s="29" t="str">
        <f aca="false">IF(調査集計表!E10="","",調査集計表!E10)</f>
        <v>鈴木（記入例）</v>
      </c>
      <c r="E10" s="29" t="str">
        <f aca="false">IF(調査集計表!F10="","",調査集計表!F10)</f>
        <v>U01</v>
      </c>
      <c r="F10" s="29" t="str">
        <f aca="false">IF(調査集計表!H10="","",調査集計表!H10)</f>
        <v>難1</v>
      </c>
      <c r="G10" s="29" t="n">
        <f aca="false">COUNT(調査集計表!J10,調査集計表!L10,調査集計表!N10,調査集計表!P10,調査集計表!R10)</f>
        <v>3</v>
      </c>
      <c r="H10" s="29" t="n">
        <f aca="false">IF($G10=0,"",MEDIAN(調査集計表!J10,調査集計表!L10,調査集計表!N10,調査集計表!P10,調査集計表!R10))</f>
        <v>2</v>
      </c>
      <c r="I10" s="29" t="n">
        <f aca="false">IFERROR(AVERAGE(調査集計表!T10,調査集計表!V10),"")</f>
        <v>2</v>
      </c>
      <c r="J10" s="29" t="n">
        <f aca="false">COUNT(調査集計表!T10,調査集計表!V10)</f>
        <v>2</v>
      </c>
      <c r="K10" s="31" t="n">
        <f aca="false">IF($H10="","",ROUND($H10/3*100,1))</f>
        <v>66.7</v>
      </c>
      <c r="L10" s="31" t="n">
        <f aca="false">IF($I10="","",ROUND($I10/3*100,1))</f>
        <v>66.7</v>
      </c>
      <c r="M10" s="32" t="n">
        <f aca="false">IFERROR(INDEX(マスタ設定!$E$5:$E$14,MATCH($E10,マスタ設定!$A$5:$A$14,0))/100,"")</f>
        <v>0.7</v>
      </c>
      <c r="N10" s="32" t="n">
        <f aca="false">IFERROR(INDEX(マスタ設定!$F$5:$F$14,MATCH($E10,マスタ設定!$A$5:$A$14,0))/100,"")</f>
        <v>0.3</v>
      </c>
      <c r="O10" s="31" t="n">
        <f aca="false">IF(OR($K10="",$L10="",$M10="",$N10=""),"",ROUND($K10*$M10+$L10*$N10,1))</f>
        <v>66.7</v>
      </c>
      <c r="P10" s="29" t="str">
        <f aca="false">IF($A10="","",IF($O10="","データ不足",IF(AND($G10&gt;=3,$J10&gt;=2),"有効","要確認")))</f>
        <v>有効</v>
      </c>
    </row>
    <row r="11" customFormat="false" ht="15" hidden="false" customHeight="false" outlineLevel="0" collapsed="false">
      <c r="A11" s="29" t="str">
        <f aca="false">IF(調査集計表!A11="","",調査集計表!A11)</f>
        <v>B-003</v>
      </c>
      <c r="B11" s="30" t="n">
        <f aca="false">IF(調査集計表!C11="","",調査集計表!C11)</f>
        <v>46279</v>
      </c>
      <c r="C11" s="29" t="str">
        <f aca="false">IF(調査集計表!D11="","",調査集計表!D11)</f>
        <v>P02</v>
      </c>
      <c r="D11" s="29" t="str">
        <f aca="false">IF(調査集計表!E11="","",調査集計表!E11)</f>
        <v>鈴木（記入例）</v>
      </c>
      <c r="E11" s="29" t="str">
        <f aca="false">IF(調査集計表!F11="","",調査集計表!F11)</f>
        <v>U01</v>
      </c>
      <c r="F11" s="29" t="str">
        <f aca="false">IF(調査集計表!H11="","",調査集計表!H11)</f>
        <v>難2</v>
      </c>
      <c r="G11" s="29" t="n">
        <f aca="false">COUNT(調査集計表!J11,調査集計表!L11,調査集計表!N11,調査集計表!P11,調査集計表!R11)</f>
        <v>3</v>
      </c>
      <c r="H11" s="29" t="n">
        <f aca="false">IF($G11=0,"",MEDIAN(調査集計表!J11,調査集計表!L11,調査集計表!N11,調査集計表!P11,調査集計表!R11))</f>
        <v>3</v>
      </c>
      <c r="I11" s="29" t="n">
        <f aca="false">IFERROR(AVERAGE(調査集計表!T11,調査集計表!V11),"")</f>
        <v>2.5</v>
      </c>
      <c r="J11" s="29" t="n">
        <f aca="false">COUNT(調査集計表!T11,調査集計表!V11)</f>
        <v>2</v>
      </c>
      <c r="K11" s="31" t="n">
        <f aca="false">IF($H11="","",ROUND($H11/3*100,1))</f>
        <v>100</v>
      </c>
      <c r="L11" s="31" t="n">
        <f aca="false">IF($I11="","",ROUND($I11/3*100,1))</f>
        <v>83.3</v>
      </c>
      <c r="M11" s="32" t="n">
        <f aca="false">IFERROR(INDEX(マスタ設定!$E$5:$E$14,MATCH($E11,マスタ設定!$A$5:$A$14,0))/100,"")</f>
        <v>0.7</v>
      </c>
      <c r="N11" s="32" t="n">
        <f aca="false">IFERROR(INDEX(マスタ設定!$F$5:$F$14,MATCH($E11,マスタ設定!$A$5:$A$14,0))/100,"")</f>
        <v>0.3</v>
      </c>
      <c r="O11" s="31" t="n">
        <f aca="false">IF(OR($K11="",$L11="",$M11="",$N11=""),"",ROUND($K11*$M11+$L11*$N11,1))</f>
        <v>95</v>
      </c>
      <c r="P11" s="29" t="str">
        <f aca="false">IF($A11="","",IF($O11="","データ不足",IF(AND($G11&gt;=3,$J11&gt;=2),"有効","要確認")))</f>
        <v>有効</v>
      </c>
    </row>
    <row r="12" customFormat="false" ht="15" hidden="false" customHeight="false" outlineLevel="0" collapsed="false">
      <c r="A12" s="29" t="str">
        <f aca="false">IF(調査集計表!A12="","",調査集計表!A12)</f>
        <v>B-004</v>
      </c>
      <c r="B12" s="30" t="n">
        <f aca="false">IF(調査集計表!C12="","",調査集計表!C12)</f>
        <v>46364</v>
      </c>
      <c r="C12" s="29" t="str">
        <f aca="false">IF(調査集計表!D12="","",調査集計表!D12)</f>
        <v>P02</v>
      </c>
      <c r="D12" s="29" t="str">
        <f aca="false">IF(調査集計表!E12="","",調査集計表!E12)</f>
        <v>鈴木（記入例）</v>
      </c>
      <c r="E12" s="29" t="str">
        <f aca="false">IF(調査集計表!F12="","",調査集計表!F12)</f>
        <v>U01</v>
      </c>
      <c r="F12" s="29" t="str">
        <f aca="false">IF(調査集計表!H12="","",調査集計表!H12)</f>
        <v>難2</v>
      </c>
      <c r="G12" s="29" t="n">
        <f aca="false">COUNT(調査集計表!J12,調査集計表!L12,調査集計表!N12,調査集計表!P12,調査集計表!R12)</f>
        <v>3</v>
      </c>
      <c r="H12" s="29" t="n">
        <f aca="false">IF($G12=0,"",MEDIAN(調査集計表!J12,調査集計表!L12,調査集計表!N12,調査集計表!P12,調査集計表!R12))</f>
        <v>3</v>
      </c>
      <c r="I12" s="29" t="n">
        <f aca="false">IFERROR(AVERAGE(調査集計表!T12,調査集計表!V12),"")</f>
        <v>3</v>
      </c>
      <c r="J12" s="29" t="n">
        <f aca="false">COUNT(調査集計表!T12,調査集計表!V12)</f>
        <v>2</v>
      </c>
      <c r="K12" s="31" t="n">
        <f aca="false">IF($H12="","",ROUND($H12/3*100,1))</f>
        <v>100</v>
      </c>
      <c r="L12" s="31" t="n">
        <f aca="false">IF($I12="","",ROUND($I12/3*100,1))</f>
        <v>100</v>
      </c>
      <c r="M12" s="32" t="n">
        <f aca="false">IFERROR(INDEX(マスタ設定!$E$5:$E$14,MATCH($E12,マスタ設定!$A$5:$A$14,0))/100,"")</f>
        <v>0.7</v>
      </c>
      <c r="N12" s="32" t="n">
        <f aca="false">IFERROR(INDEX(マスタ設定!$F$5:$F$14,MATCH($E12,マスタ設定!$A$5:$A$14,0))/100,"")</f>
        <v>0.3</v>
      </c>
      <c r="O12" s="31" t="n">
        <f aca="false">IF(OR($K12="",$L12="",$M12="",$N12=""),"",ROUND($K12*$M12+$L12*$N12,1))</f>
        <v>100</v>
      </c>
      <c r="P12" s="29" t="str">
        <f aca="false">IF($A12="","",IF($O12="","データ不足",IF(AND($G12&gt;=3,$J12&gt;=2),"有効","要確認")))</f>
        <v>有効</v>
      </c>
    </row>
    <row r="13" customFormat="false" ht="15" hidden="false" customHeight="false" outlineLevel="0" collapsed="false">
      <c r="A13" s="29" t="str">
        <f aca="false">IF(調査集計表!A13="","",調査集計表!A13)</f>
        <v>B-005</v>
      </c>
      <c r="B13" s="30" t="n">
        <f aca="false">IF(調査集計表!C13="","",調査集計表!C13)</f>
        <v>46456</v>
      </c>
      <c r="C13" s="29" t="str">
        <f aca="false">IF(調査集計表!D13="","",調査集計表!D13)</f>
        <v>P02</v>
      </c>
      <c r="D13" s="29" t="str">
        <f aca="false">IF(調査集計表!E13="","",調査集計表!E13)</f>
        <v>鈴木（記入例）</v>
      </c>
      <c r="E13" s="29" t="str">
        <f aca="false">IF(調査集計表!F13="","",調査集計表!F13)</f>
        <v>U01</v>
      </c>
      <c r="F13" s="29" t="str">
        <f aca="false">IF(調査集計表!H13="","",調査集計表!H13)</f>
        <v>難2</v>
      </c>
      <c r="G13" s="29" t="n">
        <f aca="false">COUNT(調査集計表!J13,調査集計表!L13,調査集計表!N13,調査集計表!P13,調査集計表!R13)</f>
        <v>3</v>
      </c>
      <c r="H13" s="29" t="n">
        <f aca="false">IF($G13=0,"",MEDIAN(調査集計表!J13,調査集計表!L13,調査集計表!N13,調査集計表!P13,調査集計表!R13))</f>
        <v>3</v>
      </c>
      <c r="I13" s="29" t="n">
        <f aca="false">IFERROR(AVERAGE(調査集計表!T13,調査集計表!V13),"")</f>
        <v>3</v>
      </c>
      <c r="J13" s="29" t="n">
        <f aca="false">COUNT(調査集計表!T13,調査集計表!V13)</f>
        <v>2</v>
      </c>
      <c r="K13" s="31" t="n">
        <f aca="false">IF($H13="","",ROUND($H13/3*100,1))</f>
        <v>100</v>
      </c>
      <c r="L13" s="31" t="n">
        <f aca="false">IF($I13="","",ROUND($I13/3*100,1))</f>
        <v>100</v>
      </c>
      <c r="M13" s="32" t="n">
        <f aca="false">IFERROR(INDEX(マスタ設定!$E$5:$E$14,MATCH($E13,マスタ設定!$A$5:$A$14,0))/100,"")</f>
        <v>0.7</v>
      </c>
      <c r="N13" s="32" t="n">
        <f aca="false">IFERROR(INDEX(マスタ設定!$F$5:$F$14,MATCH($E13,マスタ設定!$A$5:$A$14,0))/100,"")</f>
        <v>0.3</v>
      </c>
      <c r="O13" s="31" t="n">
        <f aca="false">IF(OR($K13="",$L13="",$M13="",$N13=""),"",ROUND($K13*$M13+$L13*$N13,1))</f>
        <v>100</v>
      </c>
      <c r="P13" s="29" t="str">
        <f aca="false">IF($A13="","",IF($O13="","データ不足",IF(AND($G13&gt;=3,$J13&gt;=2),"有効","要確認")))</f>
        <v>有効</v>
      </c>
    </row>
    <row r="14" customFormat="false" ht="15" hidden="false" customHeight="false" outlineLevel="0" collapsed="false">
      <c r="A14" s="29" t="str">
        <f aca="false">IF(調査集計表!A14="","",調査集計表!A14)</f>
        <v>C-001</v>
      </c>
      <c r="B14" s="30" t="n">
        <f aca="false">IF(調査集計表!C14="","",調査集計表!C14)</f>
        <v>46071</v>
      </c>
      <c r="C14" s="29" t="str">
        <f aca="false">IF(調査集計表!D14="","",調査集計表!D14)</f>
        <v>P03</v>
      </c>
      <c r="D14" s="29" t="str">
        <f aca="false">IF(調査集計表!E14="","",調査集計表!E14)</f>
        <v>田中（記入例）</v>
      </c>
      <c r="E14" s="29" t="str">
        <f aca="false">IF(調査集計表!F14="","",調査集計表!F14)</f>
        <v>U02</v>
      </c>
      <c r="F14" s="29" t="str">
        <f aca="false">IF(調査集計表!H14="","",調査集計表!H14)</f>
        <v>難2</v>
      </c>
      <c r="G14" s="29" t="n">
        <f aca="false">COUNT(調査集計表!J14,調査集計表!L14,調査集計表!N14,調査集計表!P14,調査集計表!R14)</f>
        <v>3</v>
      </c>
      <c r="H14" s="29" t="n">
        <f aca="false">IF($G14=0,"",MEDIAN(調査集計表!J14,調査集計表!L14,調査集計表!N14,調査集計表!P14,調査集計表!R14))</f>
        <v>3</v>
      </c>
      <c r="I14" s="29" t="n">
        <f aca="false">IFERROR(AVERAGE(調査集計表!T14,調査集計表!V14),"")</f>
        <v>2.5</v>
      </c>
      <c r="J14" s="29" t="n">
        <f aca="false">COUNT(調査集計表!T14,調査集計表!V14)</f>
        <v>2</v>
      </c>
      <c r="K14" s="31" t="n">
        <f aca="false">IF($H14="","",ROUND($H14/3*100,1))</f>
        <v>100</v>
      </c>
      <c r="L14" s="31" t="n">
        <f aca="false">IF($I14="","",ROUND($I14/3*100,1))</f>
        <v>83.3</v>
      </c>
      <c r="M14" s="32" t="n">
        <f aca="false">IFERROR(INDEX(マスタ設定!$E$5:$E$14,MATCH($E14,マスタ設定!$A$5:$A$14,0))/100,"")</f>
        <v>0.5</v>
      </c>
      <c r="N14" s="32" t="n">
        <f aca="false">IFERROR(INDEX(マスタ設定!$F$5:$F$14,MATCH($E14,マスタ設定!$A$5:$A$14,0))/100,"")</f>
        <v>0.5</v>
      </c>
      <c r="O14" s="31" t="n">
        <f aca="false">IF(OR($K14="",$L14="",$M14="",$N14=""),"",ROUND($K14*$M14+$L14*$N14,1))</f>
        <v>91.7</v>
      </c>
      <c r="P14" s="29" t="str">
        <f aca="false">IF($A14="","",IF($O14="","データ不足",IF(AND($G14&gt;=3,$J14&gt;=2),"有効","要確認")))</f>
        <v>有効</v>
      </c>
    </row>
    <row r="15" customFormat="false" ht="15" hidden="false" customHeight="false" outlineLevel="0" collapsed="false">
      <c r="A15" s="29" t="str">
        <f aca="false">IF(調査集計表!A15="","",調査集計表!A15)</f>
        <v>C-002</v>
      </c>
      <c r="B15" s="30" t="n">
        <f aca="false">IF(調査集計表!C15="","",調査集計表!C15)</f>
        <v>46171</v>
      </c>
      <c r="C15" s="29" t="str">
        <f aca="false">IF(調査集計表!D15="","",調査集計表!D15)</f>
        <v>P03</v>
      </c>
      <c r="D15" s="29" t="str">
        <f aca="false">IF(調査集計表!E15="","",調査集計表!E15)</f>
        <v>田中（記入例）</v>
      </c>
      <c r="E15" s="29" t="str">
        <f aca="false">IF(調査集計表!F15="","",調査集計表!F15)</f>
        <v>U02</v>
      </c>
      <c r="F15" s="29" t="str">
        <f aca="false">IF(調査集計表!H15="","",調査集計表!H15)</f>
        <v>難2</v>
      </c>
      <c r="G15" s="29" t="n">
        <f aca="false">COUNT(調査集計表!J15,調査集計表!L15,調査集計表!N15,調査集計表!P15,調査集計表!R15)</f>
        <v>3</v>
      </c>
      <c r="H15" s="29" t="n">
        <f aca="false">IF($G15=0,"",MEDIAN(調査集計表!J15,調査集計表!L15,調査集計表!N15,調査集計表!P15,調査集計表!R15))</f>
        <v>3</v>
      </c>
      <c r="I15" s="29" t="n">
        <f aca="false">IFERROR(AVERAGE(調査集計表!T15,調査集計表!V15),"")</f>
        <v>3</v>
      </c>
      <c r="J15" s="29" t="n">
        <f aca="false">COUNT(調査集計表!T15,調査集計表!V15)</f>
        <v>2</v>
      </c>
      <c r="K15" s="31" t="n">
        <f aca="false">IF($H15="","",ROUND($H15/3*100,1))</f>
        <v>100</v>
      </c>
      <c r="L15" s="31" t="n">
        <f aca="false">IF($I15="","",ROUND($I15/3*100,1))</f>
        <v>100</v>
      </c>
      <c r="M15" s="32" t="n">
        <f aca="false">IFERROR(INDEX(マスタ設定!$E$5:$E$14,MATCH($E15,マスタ設定!$A$5:$A$14,0))/100,"")</f>
        <v>0.5</v>
      </c>
      <c r="N15" s="32" t="n">
        <f aca="false">IFERROR(INDEX(マスタ設定!$F$5:$F$14,MATCH($E15,マスタ設定!$A$5:$A$14,0))/100,"")</f>
        <v>0.5</v>
      </c>
      <c r="O15" s="31" t="n">
        <f aca="false">IF(OR($K15="",$L15="",$M15="",$N15=""),"",ROUND($K15*$M15+$L15*$N15,1))</f>
        <v>100</v>
      </c>
      <c r="P15" s="29" t="str">
        <f aca="false">IF($A15="","",IF($O15="","データ不足",IF(AND($G15&gt;=3,$J15&gt;=2),"有効","要確認")))</f>
        <v>有効</v>
      </c>
    </row>
    <row r="16" customFormat="false" ht="15" hidden="false" customHeight="false" outlineLevel="0" collapsed="false">
      <c r="A16" s="29" t="str">
        <f aca="false">IF(調査集計表!A16="","",調査集計表!A16)</f>
        <v>C-003</v>
      </c>
      <c r="B16" s="30" t="n">
        <f aca="false">IF(調査集計表!C16="","",調査集計表!C16)</f>
        <v>46290</v>
      </c>
      <c r="C16" s="29" t="str">
        <f aca="false">IF(調査集計表!D16="","",調査集計表!D16)</f>
        <v>P03</v>
      </c>
      <c r="D16" s="29" t="str">
        <f aca="false">IF(調査集計表!E16="","",調査集計表!E16)</f>
        <v>田中（記入例）</v>
      </c>
      <c r="E16" s="29" t="str">
        <f aca="false">IF(調査集計表!F16="","",調査集計表!F16)</f>
        <v>U02</v>
      </c>
      <c r="F16" s="29" t="str">
        <f aca="false">IF(調査集計表!H16="","",調査集計表!H16)</f>
        <v>難3</v>
      </c>
      <c r="G16" s="29" t="n">
        <f aca="false">COUNT(調査集計表!J16,調査集計表!L16,調査集計表!N16,調査集計表!P16,調査集計表!R16)</f>
        <v>4</v>
      </c>
      <c r="H16" s="29" t="n">
        <f aca="false">IF($G16=0,"",MEDIAN(調査集計表!J16,調査集計表!L16,調査集計表!N16,調査集計表!P16,調査集計表!R16))</f>
        <v>3.5</v>
      </c>
      <c r="I16" s="29" t="n">
        <f aca="false">IFERROR(AVERAGE(調査集計表!T16,調査集計表!V16),"")</f>
        <v>3.5</v>
      </c>
      <c r="J16" s="29" t="n">
        <f aca="false">COUNT(調査集計表!T16,調査集計表!V16)</f>
        <v>2</v>
      </c>
      <c r="K16" s="31" t="n">
        <f aca="false">IF($H16="","",ROUND($H16/3*100,1))</f>
        <v>116.7</v>
      </c>
      <c r="L16" s="31" t="n">
        <f aca="false">IF($I16="","",ROUND($I16/3*100,1))</f>
        <v>116.7</v>
      </c>
      <c r="M16" s="32" t="n">
        <f aca="false">IFERROR(INDEX(マスタ設定!$E$5:$E$14,MATCH($E16,マスタ設定!$A$5:$A$14,0))/100,"")</f>
        <v>0.5</v>
      </c>
      <c r="N16" s="32" t="n">
        <f aca="false">IFERROR(INDEX(マスタ設定!$F$5:$F$14,MATCH($E16,マスタ設定!$A$5:$A$14,0))/100,"")</f>
        <v>0.5</v>
      </c>
      <c r="O16" s="31" t="n">
        <f aca="false">IF(OR($K16="",$L16="",$M16="",$N16=""),"",ROUND($K16*$M16+$L16*$N16,1))</f>
        <v>116.7</v>
      </c>
      <c r="P16" s="29" t="str">
        <f aca="false">IF($A16="","",IF($O16="","データ不足",IF(AND($G16&gt;=3,$J16&gt;=2),"有効","要確認")))</f>
        <v>有効</v>
      </c>
    </row>
    <row r="17" customFormat="false" ht="15" hidden="false" customHeight="false" outlineLevel="0" collapsed="false">
      <c r="A17" s="29" t="str">
        <f aca="false">IF(調査集計表!A17="","",調査集計表!A17)</f>
        <v>C-004</v>
      </c>
      <c r="B17" s="30" t="n">
        <f aca="false">IF(調査集計表!C17="","",調査集計表!C17)</f>
        <v>46376</v>
      </c>
      <c r="C17" s="29" t="str">
        <f aca="false">IF(調査集計表!D17="","",調査集計表!D17)</f>
        <v>P03</v>
      </c>
      <c r="D17" s="29" t="str">
        <f aca="false">IF(調査集計表!E17="","",調査集計表!E17)</f>
        <v>田中（記入例）</v>
      </c>
      <c r="E17" s="29" t="str">
        <f aca="false">IF(調査集計表!F17="","",調査集計表!F17)</f>
        <v>U02</v>
      </c>
      <c r="F17" s="29" t="str">
        <f aca="false">IF(調査集計表!H17="","",調査集計表!H17)</f>
        <v>難3</v>
      </c>
      <c r="G17" s="29" t="n">
        <f aca="false">COUNT(調査集計表!J17,調査集計表!L17,調査集計表!N17,調査集計表!P17,調査集計表!R17)</f>
        <v>4</v>
      </c>
      <c r="H17" s="29" t="n">
        <f aca="false">IF($G17=0,"",MEDIAN(調査集計表!J17,調査集計表!L17,調査集計表!N17,調査集計表!P17,調査集計表!R17))</f>
        <v>4</v>
      </c>
      <c r="I17" s="29" t="n">
        <f aca="false">IFERROR(AVERAGE(調査集計表!T17,調査集計表!V17),"")</f>
        <v>4</v>
      </c>
      <c r="J17" s="29" t="n">
        <f aca="false">COUNT(調査集計表!T17,調査集計表!V17)</f>
        <v>2</v>
      </c>
      <c r="K17" s="31" t="n">
        <f aca="false">IF($H17="","",ROUND($H17/3*100,1))</f>
        <v>133.3</v>
      </c>
      <c r="L17" s="31" t="n">
        <f aca="false">IF($I17="","",ROUND($I17/3*100,1))</f>
        <v>133.3</v>
      </c>
      <c r="M17" s="32" t="n">
        <f aca="false">IFERROR(INDEX(マスタ設定!$E$5:$E$14,MATCH($E17,マスタ設定!$A$5:$A$14,0))/100,"")</f>
        <v>0.5</v>
      </c>
      <c r="N17" s="32" t="n">
        <f aca="false">IFERROR(INDEX(マスタ設定!$F$5:$F$14,MATCH($E17,マスタ設定!$A$5:$A$14,0))/100,"")</f>
        <v>0.5</v>
      </c>
      <c r="O17" s="31" t="n">
        <f aca="false">IF(OR($K17="",$L17="",$M17="",$N17=""),"",ROUND($K17*$M17+$L17*$N17,1))</f>
        <v>133.3</v>
      </c>
      <c r="P17" s="29" t="str">
        <f aca="false">IF($A17="","",IF($O17="","データ不足",IF(AND($G17&gt;=3,$J17&gt;=2),"有効","要確認")))</f>
        <v>有効</v>
      </c>
    </row>
    <row r="18" customFormat="false" ht="15" hidden="false" customHeight="false" outlineLevel="0" collapsed="false">
      <c r="A18" s="29" t="str">
        <f aca="false">IF(調査集計表!A18="","",調査集計表!A18)</f>
        <v>C-005</v>
      </c>
      <c r="B18" s="30" t="n">
        <f aca="false">IF(調査集計表!C18="","",調査集計表!C18)</f>
        <v>46464</v>
      </c>
      <c r="C18" s="29" t="str">
        <f aca="false">IF(調査集計表!D18="","",調査集計表!D18)</f>
        <v>P03</v>
      </c>
      <c r="D18" s="29" t="str">
        <f aca="false">IF(調査集計表!E18="","",調査集計表!E18)</f>
        <v>田中（記入例）</v>
      </c>
      <c r="E18" s="29" t="str">
        <f aca="false">IF(調査集計表!F18="","",調査集計表!F18)</f>
        <v>U02</v>
      </c>
      <c r="F18" s="29" t="str">
        <f aca="false">IF(調査集計表!H18="","",調査集計表!H18)</f>
        <v>難3</v>
      </c>
      <c r="G18" s="29" t="n">
        <f aca="false">COUNT(調査集計表!J18,調査集計表!L18,調査集計表!N18,調査集計表!P18,調査集計表!R18)</f>
        <v>4</v>
      </c>
      <c r="H18" s="29" t="n">
        <f aca="false">IF($G18=0,"",MEDIAN(調査集計表!J18,調査集計表!L18,調査集計表!N18,調査集計表!P18,調査集計表!R18))</f>
        <v>4.5</v>
      </c>
      <c r="I18" s="29" t="n">
        <f aca="false">IFERROR(AVERAGE(調査集計表!T18,調査集計表!V18),"")</f>
        <v>4.5</v>
      </c>
      <c r="J18" s="29" t="n">
        <f aca="false">COUNT(調査集計表!T18,調査集計表!V18)</f>
        <v>2</v>
      </c>
      <c r="K18" s="31" t="n">
        <f aca="false">IF($H18="","",ROUND($H18/3*100,1))</f>
        <v>150</v>
      </c>
      <c r="L18" s="31" t="n">
        <f aca="false">IF($I18="","",ROUND($I18/3*100,1))</f>
        <v>150</v>
      </c>
      <c r="M18" s="32" t="n">
        <f aca="false">IFERROR(INDEX(マスタ設定!$E$5:$E$14,MATCH($E18,マスタ設定!$A$5:$A$14,0))/100,"")</f>
        <v>0.5</v>
      </c>
      <c r="N18" s="32" t="n">
        <f aca="false">IFERROR(INDEX(マスタ設定!$F$5:$F$14,MATCH($E18,マスタ設定!$A$5:$A$14,0))/100,"")</f>
        <v>0.5</v>
      </c>
      <c r="O18" s="31" t="n">
        <f aca="false">IF(OR($K18="",$L18="",$M18="",$N18=""),"",ROUND($K18*$M18+$L18*$N18,1))</f>
        <v>150</v>
      </c>
      <c r="P18" s="29" t="str">
        <f aca="false">IF($A18="","",IF($O18="","データ不足",IF(AND($G18&gt;=3,$J18&gt;=2),"有効","要確認")))</f>
        <v>有効</v>
      </c>
    </row>
    <row r="19" customFormat="false" ht="15" hidden="false" customHeight="false" outlineLevel="0" collapsed="false">
      <c r="A19" s="29" t="str">
        <f aca="false">IF(調査集計表!A19="","",調査集計表!A19)</f>
        <v>A-007</v>
      </c>
      <c r="B19" s="30" t="n">
        <f aca="false">IF(調査集計表!C19="","",調査集計表!C19)</f>
        <v>46553</v>
      </c>
      <c r="C19" s="29" t="str">
        <f aca="false">IF(調査集計表!D19="","",調査集計表!D19)</f>
        <v>P01</v>
      </c>
      <c r="D19" s="29" t="str">
        <f aca="false">IF(調査集計表!E19="","",調査集計表!E19)</f>
        <v>佐藤（記入例）</v>
      </c>
      <c r="E19" s="29" t="str">
        <f aca="false">IF(調査集計表!F19="","",調査集計表!F19)</f>
        <v>U01</v>
      </c>
      <c r="F19" s="29" t="str">
        <f aca="false">IF(調査集計表!H19="","",調査集計表!H19)</f>
        <v>難2</v>
      </c>
      <c r="G19" s="29" t="n">
        <f aca="false">COUNT(調査集計表!J19,調査集計表!L19,調査集計表!N19,調査集計表!P19,調査集計表!R19)</f>
        <v>3</v>
      </c>
      <c r="H19" s="29" t="n">
        <f aca="false">IF($G19=0,"",MEDIAN(調査集計表!J19,調査集計表!L19,調査集計表!N19,調査集計表!P19,調査集計表!R19))</f>
        <v>3</v>
      </c>
      <c r="I19" s="29" t="n">
        <f aca="false">IFERROR(AVERAGE(調査集計表!T19,調査集計表!V19),"")</f>
        <v>3.5</v>
      </c>
      <c r="J19" s="29" t="n">
        <f aca="false">COUNT(調査集計表!T19,調査集計表!V19)</f>
        <v>2</v>
      </c>
      <c r="K19" s="31" t="n">
        <f aca="false">IF($H19="","",ROUND($H19/3*100,1))</f>
        <v>100</v>
      </c>
      <c r="L19" s="31" t="n">
        <f aca="false">IF($I19="","",ROUND($I19/3*100,1))</f>
        <v>116.7</v>
      </c>
      <c r="M19" s="32" t="n">
        <f aca="false">IFERROR(INDEX(マスタ設定!$E$5:$E$14,MATCH($E19,マスタ設定!$A$5:$A$14,0))/100,"")</f>
        <v>0.7</v>
      </c>
      <c r="N19" s="32" t="n">
        <f aca="false">IFERROR(INDEX(マスタ設定!$F$5:$F$14,MATCH($E19,マスタ設定!$A$5:$A$14,0))/100,"")</f>
        <v>0.3</v>
      </c>
      <c r="O19" s="31" t="n">
        <f aca="false">IF(OR($K19="",$L19="",$M19="",$N19=""),"",ROUND($K19*$M19+$L19*$N19,1))</f>
        <v>105</v>
      </c>
      <c r="P19" s="29" t="str">
        <f aca="false">IF($A19="","",IF($O19="","データ不足",IF(AND($G19&gt;=3,$J19&gt;=2),"有効","要確認")))</f>
        <v>有効</v>
      </c>
    </row>
    <row r="20" customFormat="false" ht="15" hidden="false" customHeight="false" outlineLevel="0" collapsed="false">
      <c r="A20" s="29" t="str">
        <f aca="false">IF(調査集計表!A20="","",調査集計表!A20)</f>
        <v>A-008</v>
      </c>
      <c r="B20" s="30" t="n">
        <f aca="false">IF(調査集計表!C20="","",調査集計表!C20)</f>
        <v>46667</v>
      </c>
      <c r="C20" s="29" t="str">
        <f aca="false">IF(調査集計表!D20="","",調査集計表!D20)</f>
        <v>P01</v>
      </c>
      <c r="D20" s="29" t="str">
        <f aca="false">IF(調査集計表!E20="","",調査集計表!E20)</f>
        <v>佐藤（記入例）</v>
      </c>
      <c r="E20" s="29" t="str">
        <f aca="false">IF(調査集計表!F20="","",調査集計表!F20)</f>
        <v>U01</v>
      </c>
      <c r="F20" s="29" t="str">
        <f aca="false">IF(調査集計表!H20="","",調査集計表!H20)</f>
        <v>難2</v>
      </c>
      <c r="G20" s="29" t="n">
        <f aca="false">COUNT(調査集計表!J20,調査集計表!L20,調査集計表!N20,調査集計表!P20,調査集計表!R20)</f>
        <v>3</v>
      </c>
      <c r="H20" s="29" t="n">
        <f aca="false">IF($G20=0,"",MEDIAN(調査集計表!J20,調査集計表!L20,調査集計表!N20,調査集計表!P20,調査集計表!R20))</f>
        <v>3</v>
      </c>
      <c r="I20" s="29" t="n">
        <f aca="false">IFERROR(AVERAGE(調査集計表!T20,調査集計表!V20),"")</f>
        <v>3</v>
      </c>
      <c r="J20" s="29" t="n">
        <f aca="false">COUNT(調査集計表!T20,調査集計表!V20)</f>
        <v>2</v>
      </c>
      <c r="K20" s="31" t="n">
        <f aca="false">IF($H20="","",ROUND($H20/3*100,1))</f>
        <v>100</v>
      </c>
      <c r="L20" s="31" t="n">
        <f aca="false">IF($I20="","",ROUND($I20/3*100,1))</f>
        <v>100</v>
      </c>
      <c r="M20" s="32" t="n">
        <f aca="false">IFERROR(INDEX(マスタ設定!$E$5:$E$14,MATCH($E20,マスタ設定!$A$5:$A$14,0))/100,"")</f>
        <v>0.7</v>
      </c>
      <c r="N20" s="32" t="n">
        <f aca="false">IFERROR(INDEX(マスタ設定!$F$5:$F$14,MATCH($E20,マスタ設定!$A$5:$A$14,0))/100,"")</f>
        <v>0.3</v>
      </c>
      <c r="O20" s="31" t="n">
        <f aca="false">IF(OR($K20="",$L20="",$M20="",$N20=""),"",ROUND($K20*$M20+$L20*$N20,1))</f>
        <v>100</v>
      </c>
      <c r="P20" s="29" t="str">
        <f aca="false">IF($A20="","",IF($O20="","データ不足",IF(AND($G20&gt;=3,$J20&gt;=2),"有効","要確認")))</f>
        <v>有効</v>
      </c>
    </row>
    <row r="21" customFormat="false" ht="15" hidden="false" customHeight="false" outlineLevel="0" collapsed="false">
      <c r="A21" s="29" t="str">
        <f aca="false">IF(調査集計表!A21="","",調査集計表!A21)</f>
        <v>A-009</v>
      </c>
      <c r="B21" s="30" t="n">
        <f aca="false">IF(調査集計表!C21="","",調査集計表!C21)</f>
        <v>46788</v>
      </c>
      <c r="C21" s="29" t="str">
        <f aca="false">IF(調査集計表!D21="","",調査集計表!D21)</f>
        <v>P01</v>
      </c>
      <c r="D21" s="29" t="str">
        <f aca="false">IF(調査集計表!E21="","",調査集計表!E21)</f>
        <v>佐藤（記入例）</v>
      </c>
      <c r="E21" s="29" t="str">
        <f aca="false">IF(調査集計表!F21="","",調査集計表!F21)</f>
        <v>U01</v>
      </c>
      <c r="F21" s="29" t="str">
        <f aca="false">IF(調査集計表!H21="","",調査集計表!H21)</f>
        <v>難2</v>
      </c>
      <c r="G21" s="29" t="n">
        <f aca="false">COUNT(調査集計表!J21,調査集計表!L21,調査集計表!N21,調査集計表!P21,調査集計表!R21)</f>
        <v>3</v>
      </c>
      <c r="H21" s="29" t="n">
        <f aca="false">IF($G21=0,"",MEDIAN(調査集計表!J21,調査集計表!L21,調査集計表!N21,調査集計表!P21,調査集計表!R21))</f>
        <v>3</v>
      </c>
      <c r="I21" s="29" t="n">
        <f aca="false">IFERROR(AVERAGE(調査集計表!T21,調査集計表!V21),"")</f>
        <v>3.5</v>
      </c>
      <c r="J21" s="29" t="n">
        <f aca="false">COUNT(調査集計表!T21,調査集計表!V21)</f>
        <v>2</v>
      </c>
      <c r="K21" s="31" t="n">
        <f aca="false">IF($H21="","",ROUND($H21/3*100,1))</f>
        <v>100</v>
      </c>
      <c r="L21" s="31" t="n">
        <f aca="false">IF($I21="","",ROUND($I21/3*100,1))</f>
        <v>116.7</v>
      </c>
      <c r="M21" s="32" t="n">
        <f aca="false">IFERROR(INDEX(マスタ設定!$E$5:$E$14,MATCH($E21,マスタ設定!$A$5:$A$14,0))/100,"")</f>
        <v>0.7</v>
      </c>
      <c r="N21" s="32" t="n">
        <f aca="false">IFERROR(INDEX(マスタ設定!$F$5:$F$14,MATCH($E21,マスタ設定!$A$5:$A$14,0))/100,"")</f>
        <v>0.3</v>
      </c>
      <c r="O21" s="31" t="n">
        <f aca="false">IF(OR($K21="",$L21="",$M21="",$N21=""),"",ROUND($K21*$M21+$L21*$N21,1))</f>
        <v>105</v>
      </c>
      <c r="P21" s="29" t="str">
        <f aca="false">IF($A21="","",IF($O21="","データ不足",IF(AND($G21&gt;=3,$J21&gt;=2),"有効","要確認")))</f>
        <v>有効</v>
      </c>
    </row>
    <row r="22" customFormat="false" ht="15" hidden="false" customHeight="false" outlineLevel="0" collapsed="false">
      <c r="A22" s="29" t="str">
        <f aca="false">IF(調査集計表!A22="","",調査集計表!A22)</f>
        <v>B-006</v>
      </c>
      <c r="B22" s="30" t="n">
        <f aca="false">IF(調査集計表!C22="","",調査集計表!C22)</f>
        <v>46589</v>
      </c>
      <c r="C22" s="29" t="str">
        <f aca="false">IF(調査集計表!D22="","",調査集計表!D22)</f>
        <v>P02</v>
      </c>
      <c r="D22" s="29" t="str">
        <f aca="false">IF(調査集計表!E22="","",調査集計表!E22)</f>
        <v>鈴木（記入例）</v>
      </c>
      <c r="E22" s="29" t="str">
        <f aca="false">IF(調査集計表!F22="","",調査集計表!F22)</f>
        <v>U01</v>
      </c>
      <c r="F22" s="29" t="str">
        <f aca="false">IF(調査集計表!H22="","",調査集計表!H22)</f>
        <v>難2</v>
      </c>
      <c r="G22" s="29" t="n">
        <f aca="false">COUNT(調査集計表!J22,調査集計表!L22,調査集計表!N22,調査集計表!P22,調査集計表!R22)</f>
        <v>3</v>
      </c>
      <c r="H22" s="29" t="n">
        <f aca="false">IF($G22=0,"",MEDIAN(調査集計表!J22,調査集計表!L22,調査集計表!N22,調査集計表!P22,調査集計表!R22))</f>
        <v>3</v>
      </c>
      <c r="I22" s="29" t="n">
        <f aca="false">IFERROR(AVERAGE(調査集計表!T22,調査集計表!V22),"")</f>
        <v>3</v>
      </c>
      <c r="J22" s="29" t="n">
        <f aca="false">COUNT(調査集計表!T22,調査集計表!V22)</f>
        <v>2</v>
      </c>
      <c r="K22" s="31" t="n">
        <f aca="false">IF($H22="","",ROUND($H22/3*100,1))</f>
        <v>100</v>
      </c>
      <c r="L22" s="31" t="n">
        <f aca="false">IF($I22="","",ROUND($I22/3*100,1))</f>
        <v>100</v>
      </c>
      <c r="M22" s="32" t="n">
        <f aca="false">IFERROR(INDEX(マスタ設定!$E$5:$E$14,MATCH($E22,マスタ設定!$A$5:$A$14,0))/100,"")</f>
        <v>0.7</v>
      </c>
      <c r="N22" s="32" t="n">
        <f aca="false">IFERROR(INDEX(マスタ設定!$F$5:$F$14,MATCH($E22,マスタ設定!$A$5:$A$14,0))/100,"")</f>
        <v>0.3</v>
      </c>
      <c r="O22" s="31" t="n">
        <f aca="false">IF(OR($K22="",$L22="",$M22="",$N22=""),"",ROUND($K22*$M22+$L22*$N22,1))</f>
        <v>100</v>
      </c>
      <c r="P22" s="29" t="str">
        <f aca="false">IF($A22="","",IF($O22="","データ不足",IF(AND($G22&gt;=3,$J22&gt;=2),"有効","要確認")))</f>
        <v>有効</v>
      </c>
    </row>
    <row r="23" customFormat="false" ht="15" hidden="false" customHeight="false" outlineLevel="0" collapsed="false">
      <c r="A23" s="29" t="str">
        <f aca="false">IF(調査集計表!A23="","",調査集計表!A23)</f>
        <v>B-007</v>
      </c>
      <c r="B23" s="30" t="n">
        <f aca="false">IF(調査集計表!C23="","",調査集計表!C23)</f>
        <v>46703</v>
      </c>
      <c r="C23" s="29" t="str">
        <f aca="false">IF(調査集計表!D23="","",調査集計表!D23)</f>
        <v>P02</v>
      </c>
      <c r="D23" s="29" t="str">
        <f aca="false">IF(調査集計表!E23="","",調査集計表!E23)</f>
        <v>鈴木（記入例）</v>
      </c>
      <c r="E23" s="29" t="str">
        <f aca="false">IF(調査集計表!F23="","",調査集計表!F23)</f>
        <v>U01</v>
      </c>
      <c r="F23" s="29" t="str">
        <f aca="false">IF(調査集計表!H23="","",調査集計表!H23)</f>
        <v>難2</v>
      </c>
      <c r="G23" s="29" t="n">
        <f aca="false">COUNT(調査集計表!J23,調査集計表!L23,調査集計表!N23,調査集計表!P23,調査集計表!R23)</f>
        <v>3</v>
      </c>
      <c r="H23" s="29" t="n">
        <f aca="false">IF($G23=0,"",MEDIAN(調査集計表!J23,調査集計表!L23,調査集計表!N23,調査集計表!P23,調査集計表!R23))</f>
        <v>3</v>
      </c>
      <c r="I23" s="29" t="n">
        <f aca="false">IFERROR(AVERAGE(調査集計表!T23,調査集計表!V23),"")</f>
        <v>3</v>
      </c>
      <c r="J23" s="29" t="n">
        <f aca="false">COUNT(調査集計表!T23,調査集計表!V23)</f>
        <v>2</v>
      </c>
      <c r="K23" s="31" t="n">
        <f aca="false">IF($H23="","",ROUND($H23/3*100,1))</f>
        <v>100</v>
      </c>
      <c r="L23" s="31" t="n">
        <f aca="false">IF($I23="","",ROUND($I23/3*100,1))</f>
        <v>100</v>
      </c>
      <c r="M23" s="32" t="n">
        <f aca="false">IFERROR(INDEX(マスタ設定!$E$5:$E$14,MATCH($E23,マスタ設定!$A$5:$A$14,0))/100,"")</f>
        <v>0.7</v>
      </c>
      <c r="N23" s="32" t="n">
        <f aca="false">IFERROR(INDEX(マスタ設定!$F$5:$F$14,MATCH($E23,マスタ設定!$A$5:$A$14,0))/100,"")</f>
        <v>0.3</v>
      </c>
      <c r="O23" s="31" t="n">
        <f aca="false">IF(OR($K23="",$L23="",$M23="",$N23=""),"",ROUND($K23*$M23+$L23*$N23,1))</f>
        <v>100</v>
      </c>
      <c r="P23" s="29" t="str">
        <f aca="false">IF($A23="","",IF($O23="","データ不足",IF(AND($G23&gt;=3,$J23&gt;=2),"有効","要確認")))</f>
        <v>有効</v>
      </c>
    </row>
    <row r="24" customFormat="false" ht="15" hidden="false" customHeight="false" outlineLevel="0" collapsed="false">
      <c r="A24" s="29" t="str">
        <f aca="false">IF(調査集計表!A24="","",調査集計表!A24)</f>
        <v>B-008</v>
      </c>
      <c r="B24" s="30" t="n">
        <f aca="false">IF(調査集計表!C24="","",調査集計表!C24)</f>
        <v>46799</v>
      </c>
      <c r="C24" s="29" t="str">
        <f aca="false">IF(調査集計表!D24="","",調査集計表!D24)</f>
        <v>P02</v>
      </c>
      <c r="D24" s="29" t="str">
        <f aca="false">IF(調査集計表!E24="","",調査集計表!E24)</f>
        <v>鈴木（記入例）</v>
      </c>
      <c r="E24" s="29" t="str">
        <f aca="false">IF(調査集計表!F24="","",調査集計表!F24)</f>
        <v>U01</v>
      </c>
      <c r="F24" s="29" t="str">
        <f aca="false">IF(調査集計表!H24="","",調査集計表!H24)</f>
        <v>難3</v>
      </c>
      <c r="G24" s="29" t="n">
        <f aca="false">COUNT(調査集計表!J24,調査集計表!L24,調査集計表!N24,調査集計表!P24,調査集計表!R24)</f>
        <v>3</v>
      </c>
      <c r="H24" s="29" t="n">
        <f aca="false">IF($G24=0,"",MEDIAN(調査集計表!J24,調査集計表!L24,調査集計表!N24,調査集計表!P24,調査集計表!R24))</f>
        <v>3</v>
      </c>
      <c r="I24" s="29" t="n">
        <f aca="false">IFERROR(AVERAGE(調査集計表!T24,調査集計表!V24),"")</f>
        <v>3.5</v>
      </c>
      <c r="J24" s="29" t="n">
        <f aca="false">COUNT(調査集計表!T24,調査集計表!V24)</f>
        <v>2</v>
      </c>
      <c r="K24" s="31" t="n">
        <f aca="false">IF($H24="","",ROUND($H24/3*100,1))</f>
        <v>100</v>
      </c>
      <c r="L24" s="31" t="n">
        <f aca="false">IF($I24="","",ROUND($I24/3*100,1))</f>
        <v>116.7</v>
      </c>
      <c r="M24" s="32" t="n">
        <f aca="false">IFERROR(INDEX(マスタ設定!$E$5:$E$14,MATCH($E24,マスタ設定!$A$5:$A$14,0))/100,"")</f>
        <v>0.7</v>
      </c>
      <c r="N24" s="32" t="n">
        <f aca="false">IFERROR(INDEX(マスタ設定!$F$5:$F$14,MATCH($E24,マスタ設定!$A$5:$A$14,0))/100,"")</f>
        <v>0.3</v>
      </c>
      <c r="O24" s="31" t="n">
        <f aca="false">IF(OR($K24="",$L24="",$M24="",$N24=""),"",ROUND($K24*$M24+$L24*$N24,1))</f>
        <v>105</v>
      </c>
      <c r="P24" s="29" t="str">
        <f aca="false">IF($A24="","",IF($O24="","データ不足",IF(AND($G24&gt;=3,$J24&gt;=2),"有効","要確認")))</f>
        <v>有効</v>
      </c>
    </row>
    <row r="25" customFormat="false" ht="15" hidden="false" customHeight="false" outlineLevel="0" collapsed="false">
      <c r="A25" s="29" t="str">
        <f aca="false">IF(調査集計表!A25="","",調査集計表!A25)</f>
        <v>C-006</v>
      </c>
      <c r="B25" s="30" t="n">
        <f aca="false">IF(調査集計表!C25="","",調査集計表!C25)</f>
        <v>46576</v>
      </c>
      <c r="C25" s="29" t="str">
        <f aca="false">IF(調査集計表!D25="","",調査集計表!D25)</f>
        <v>P03</v>
      </c>
      <c r="D25" s="29" t="str">
        <f aca="false">IF(調査集計表!E25="","",調査集計表!E25)</f>
        <v>田中（記入例）</v>
      </c>
      <c r="E25" s="29" t="str">
        <f aca="false">IF(調査集計表!F25="","",調査集計表!F25)</f>
        <v>U02</v>
      </c>
      <c r="F25" s="29" t="str">
        <f aca="false">IF(調査集計表!H25="","",調査集計表!H25)</f>
        <v>難3</v>
      </c>
      <c r="G25" s="29" t="n">
        <f aca="false">COUNT(調査集計表!J25,調査集計表!L25,調査集計表!N25,調査集計表!P25,調査集計表!R25)</f>
        <v>4</v>
      </c>
      <c r="H25" s="29" t="n">
        <f aca="false">IF($G25=0,"",MEDIAN(調査集計表!J25,調査集計表!L25,調査集計表!N25,調査集計表!P25,調査集計表!R25))</f>
        <v>5</v>
      </c>
      <c r="I25" s="29" t="n">
        <f aca="false">IFERROR(AVERAGE(調査集計表!T25,調査集計表!V25),"")</f>
        <v>4.5</v>
      </c>
      <c r="J25" s="29" t="n">
        <f aca="false">COUNT(調査集計表!T25,調査集計表!V25)</f>
        <v>2</v>
      </c>
      <c r="K25" s="31" t="n">
        <f aca="false">IF($H25="","",ROUND($H25/3*100,1))</f>
        <v>166.7</v>
      </c>
      <c r="L25" s="31" t="n">
        <f aca="false">IF($I25="","",ROUND($I25/3*100,1))</f>
        <v>150</v>
      </c>
      <c r="M25" s="32" t="n">
        <f aca="false">IFERROR(INDEX(マスタ設定!$E$5:$E$14,MATCH($E25,マスタ設定!$A$5:$A$14,0))/100,"")</f>
        <v>0.5</v>
      </c>
      <c r="N25" s="32" t="n">
        <f aca="false">IFERROR(INDEX(マスタ設定!$F$5:$F$14,MATCH($E25,マスタ設定!$A$5:$A$14,0))/100,"")</f>
        <v>0.5</v>
      </c>
      <c r="O25" s="31" t="n">
        <f aca="false">IF(OR($K25="",$L25="",$M25="",$N25=""),"",ROUND($K25*$M25+$L25*$N25,1))</f>
        <v>158.4</v>
      </c>
      <c r="P25" s="29" t="str">
        <f aca="false">IF($A25="","",IF($O25="","データ不足",IF(AND($G25&gt;=3,$J25&gt;=2),"有効","要確認")))</f>
        <v>有効</v>
      </c>
    </row>
    <row r="26" customFormat="false" ht="15" hidden="false" customHeight="false" outlineLevel="0" collapsed="false">
      <c r="A26" s="29" t="str">
        <f aca="false">IF(調査集計表!A26="","",調査集計表!A26)</f>
        <v>C-007</v>
      </c>
      <c r="B26" s="30" t="n">
        <f aca="false">IF(調査集計表!C26="","",調査集計表!C26)</f>
        <v>46718</v>
      </c>
      <c r="C26" s="29" t="str">
        <f aca="false">IF(調査集計表!D26="","",調査集計表!D26)</f>
        <v>P03</v>
      </c>
      <c r="D26" s="29" t="str">
        <f aca="false">IF(調査集計表!E26="","",調査集計表!E26)</f>
        <v>田中（記入例）</v>
      </c>
      <c r="E26" s="29" t="str">
        <f aca="false">IF(調査集計表!F26="","",調査集計表!F26)</f>
        <v>U02</v>
      </c>
      <c r="F26" s="29" t="str">
        <f aca="false">IF(調査集計表!H26="","",調査集計表!H26)</f>
        <v>難3</v>
      </c>
      <c r="G26" s="29" t="n">
        <f aca="false">COUNT(調査集計表!J26,調査集計表!L26,調査集計表!N26,調査集計表!P26,調査集計表!R26)</f>
        <v>4</v>
      </c>
      <c r="H26" s="29" t="n">
        <f aca="false">IF($G26=0,"",MEDIAN(調査集計表!J26,調査集計表!L26,調査集計表!N26,調査集計表!P26,調査集計表!R26))</f>
        <v>5</v>
      </c>
      <c r="I26" s="29" t="n">
        <f aca="false">IFERROR(AVERAGE(調査集計表!T26,調査集計表!V26),"")</f>
        <v>5</v>
      </c>
      <c r="J26" s="29" t="n">
        <f aca="false">COUNT(調査集計表!T26,調査集計表!V26)</f>
        <v>2</v>
      </c>
      <c r="K26" s="31" t="n">
        <f aca="false">IF($H26="","",ROUND($H26/3*100,1))</f>
        <v>166.7</v>
      </c>
      <c r="L26" s="31" t="n">
        <f aca="false">IF($I26="","",ROUND($I26/3*100,1))</f>
        <v>166.7</v>
      </c>
      <c r="M26" s="32" t="n">
        <f aca="false">IFERROR(INDEX(マスタ設定!$E$5:$E$14,MATCH($E26,マスタ設定!$A$5:$A$14,0))/100,"")</f>
        <v>0.5</v>
      </c>
      <c r="N26" s="32" t="n">
        <f aca="false">IFERROR(INDEX(マスタ設定!$F$5:$F$14,MATCH($E26,マスタ設定!$A$5:$A$14,0))/100,"")</f>
        <v>0.5</v>
      </c>
      <c r="O26" s="31" t="n">
        <f aca="false">IF(OR($K26="",$L26="",$M26="",$N26=""),"",ROUND($K26*$M26+$L26*$N26,1))</f>
        <v>166.7</v>
      </c>
      <c r="P26" s="29" t="str">
        <f aca="false">IF($A26="","",IF($O26="","データ不足",IF(AND($G26&gt;=3,$J26&gt;=2),"有効","要確認")))</f>
        <v>有効</v>
      </c>
    </row>
    <row r="27" customFormat="false" ht="15" hidden="false" customHeight="false" outlineLevel="0" collapsed="false">
      <c r="A27" s="29" t="str">
        <f aca="false">IF(調査集計表!A27="","",調査集計表!A27)</f>
        <v>C-008</v>
      </c>
      <c r="B27" s="30" t="n">
        <f aca="false">IF(調査集計表!C27="","",調査集計表!C27)</f>
        <v>46807</v>
      </c>
      <c r="C27" s="29" t="str">
        <f aca="false">IF(調査集計表!D27="","",調査集計表!D27)</f>
        <v>P03</v>
      </c>
      <c r="D27" s="29" t="str">
        <f aca="false">IF(調査集計表!E27="","",調査集計表!E27)</f>
        <v>田中（記入例）</v>
      </c>
      <c r="E27" s="29" t="str">
        <f aca="false">IF(調査集計表!F27="","",調査集計表!F27)</f>
        <v>U02</v>
      </c>
      <c r="F27" s="29" t="str">
        <f aca="false">IF(調査集計表!H27="","",調査集計表!H27)</f>
        <v>難3</v>
      </c>
      <c r="G27" s="29" t="n">
        <f aca="false">COUNT(調査集計表!J27,調査集計表!L27,調査集計表!N27,調査集計表!P27,調査集計表!R27)</f>
        <v>4</v>
      </c>
      <c r="H27" s="29" t="n">
        <f aca="false">IF($G27=0,"",MEDIAN(調査集計表!J27,調査集計表!L27,調査集計表!N27,調査集計表!P27,調査集計表!R27))</f>
        <v>5</v>
      </c>
      <c r="I27" s="29" t="n">
        <f aca="false">IFERROR(AVERAGE(調査集計表!T27,調査集計表!V27),"")</f>
        <v>5</v>
      </c>
      <c r="J27" s="29" t="n">
        <f aca="false">COUNT(調査集計表!T27,調査集計表!V27)</f>
        <v>2</v>
      </c>
      <c r="K27" s="31" t="n">
        <f aca="false">IF($H27="","",ROUND($H27/3*100,1))</f>
        <v>166.7</v>
      </c>
      <c r="L27" s="31" t="n">
        <f aca="false">IF($I27="","",ROUND($I27/3*100,1))</f>
        <v>166.7</v>
      </c>
      <c r="M27" s="32" t="n">
        <f aca="false">IFERROR(INDEX(マスタ設定!$E$5:$E$14,MATCH($E27,マスタ設定!$A$5:$A$14,0))/100,"")</f>
        <v>0.5</v>
      </c>
      <c r="N27" s="32" t="n">
        <f aca="false">IFERROR(INDEX(マスタ設定!$F$5:$F$14,MATCH($E27,マスタ設定!$A$5:$A$14,0))/100,"")</f>
        <v>0.5</v>
      </c>
      <c r="O27" s="31" t="n">
        <f aca="false">IF(OR($K27="",$L27="",$M27="",$N27=""),"",ROUND($K27*$M27+$L27*$N27,1))</f>
        <v>166.7</v>
      </c>
      <c r="P27" s="29" t="str">
        <f aca="false">IF($A27="","",IF($O27="","データ不足",IF(AND($G27&gt;=3,$J27&gt;=2),"有効","要確認")))</f>
        <v>有効</v>
      </c>
    </row>
    <row r="28" customFormat="false" ht="15" hidden="false" customHeight="false" outlineLevel="0" collapsed="false">
      <c r="A28" s="29" t="str">
        <f aca="false">IF(調査集計表!A28="","",調査集計表!A28)</f>
        <v/>
      </c>
      <c r="B28" s="30" t="str">
        <f aca="false">IF(調査集計表!C28="","",調査集計表!C28)</f>
        <v/>
      </c>
      <c r="C28" s="29" t="str">
        <f aca="false">IF(調査集計表!D28="","",調査集計表!D28)</f>
        <v/>
      </c>
      <c r="D28" s="29" t="str">
        <f aca="false">IF(調査集計表!E28="","",調査集計表!E28)</f>
        <v/>
      </c>
      <c r="E28" s="29" t="str">
        <f aca="false">IF(調査集計表!F28="","",調査集計表!F28)</f>
        <v/>
      </c>
      <c r="F28" s="29" t="str">
        <f aca="false">IF(調査集計表!H28="","",調査集計表!H28)</f>
        <v/>
      </c>
      <c r="G28" s="29" t="n">
        <f aca="false">COUNT(調査集計表!J28,調査集計表!L28,調査集計表!N28,調査集計表!P28,調査集計表!R28)</f>
        <v>0</v>
      </c>
      <c r="H28" s="29" t="str">
        <f aca="false">IF($G28=0,"",MEDIAN(調査集計表!J28,調査集計表!L28,調査集計表!N28,調査集計表!P28,調査集計表!R28))</f>
        <v/>
      </c>
      <c r="I28" s="29" t="str">
        <f aca="false">IFERROR(AVERAGE(調査集計表!T28,調査集計表!V28),"")</f>
        <v/>
      </c>
      <c r="J28" s="29" t="n">
        <f aca="false">COUNT(調査集計表!T28,調査集計表!V28)</f>
        <v>0</v>
      </c>
      <c r="K28" s="31" t="str">
        <f aca="false">IF($H28="","",ROUND($H28/3*100,1))</f>
        <v/>
      </c>
      <c r="L28" s="31" t="str">
        <f aca="false">IF($I28="","",ROUND($I28/3*100,1))</f>
        <v/>
      </c>
      <c r="M28" s="32" t="str">
        <f aca="false">IFERROR(INDEX(マスタ設定!$E$5:$E$14,MATCH($E28,マスタ設定!$A$5:$A$14,0))/100,"")</f>
        <v/>
      </c>
      <c r="N28" s="32" t="str">
        <f aca="false">IFERROR(INDEX(マスタ設定!$F$5:$F$14,MATCH($E28,マスタ設定!$A$5:$A$14,0))/100,"")</f>
        <v/>
      </c>
      <c r="O28" s="31" t="str">
        <f aca="false">IF(OR($K28="",$L28="",$M28="",$N28=""),"",ROUND($K28*$M28+$L28*$N28,1))</f>
        <v/>
      </c>
      <c r="P28" s="29" t="str">
        <f aca="false">IF($A28="","",IF($O28="","データ不足",IF(AND($G28&gt;=3,$J28&gt;=2),"有効","要確認")))</f>
        <v/>
      </c>
    </row>
    <row r="29" customFormat="false" ht="15" hidden="false" customHeight="false" outlineLevel="0" collapsed="false">
      <c r="A29" s="29" t="str">
        <f aca="false">IF(調査集計表!A29="","",調査集計表!A29)</f>
        <v/>
      </c>
      <c r="B29" s="30" t="str">
        <f aca="false">IF(調査集計表!C29="","",調査集計表!C29)</f>
        <v/>
      </c>
      <c r="C29" s="29" t="str">
        <f aca="false">IF(調査集計表!D29="","",調査集計表!D29)</f>
        <v/>
      </c>
      <c r="D29" s="29" t="str">
        <f aca="false">IF(調査集計表!E29="","",調査集計表!E29)</f>
        <v/>
      </c>
      <c r="E29" s="29" t="str">
        <f aca="false">IF(調査集計表!F29="","",調査集計表!F29)</f>
        <v/>
      </c>
      <c r="F29" s="29" t="str">
        <f aca="false">IF(調査集計表!H29="","",調査集計表!H29)</f>
        <v/>
      </c>
      <c r="G29" s="29" t="n">
        <f aca="false">COUNT(調査集計表!J29,調査集計表!L29,調査集計表!N29,調査集計表!P29,調査集計表!R29)</f>
        <v>0</v>
      </c>
      <c r="H29" s="29" t="str">
        <f aca="false">IF($G29=0,"",MEDIAN(調査集計表!J29,調査集計表!L29,調査集計表!N29,調査集計表!P29,調査集計表!R29))</f>
        <v/>
      </c>
      <c r="I29" s="29" t="str">
        <f aca="false">IFERROR(AVERAGE(調査集計表!T29,調査集計表!V29),"")</f>
        <v/>
      </c>
      <c r="J29" s="29" t="n">
        <f aca="false">COUNT(調査集計表!T29,調査集計表!V29)</f>
        <v>0</v>
      </c>
      <c r="K29" s="31" t="str">
        <f aca="false">IF($H29="","",ROUND($H29/3*100,1))</f>
        <v/>
      </c>
      <c r="L29" s="31" t="str">
        <f aca="false">IF($I29="","",ROUND($I29/3*100,1))</f>
        <v/>
      </c>
      <c r="M29" s="32" t="str">
        <f aca="false">IFERROR(INDEX(マスタ設定!$E$5:$E$14,MATCH($E29,マスタ設定!$A$5:$A$14,0))/100,"")</f>
        <v/>
      </c>
      <c r="N29" s="32" t="str">
        <f aca="false">IFERROR(INDEX(マスタ設定!$F$5:$F$14,MATCH($E29,マスタ設定!$A$5:$A$14,0))/100,"")</f>
        <v/>
      </c>
      <c r="O29" s="31" t="str">
        <f aca="false">IF(OR($K29="",$L29="",$M29="",$N29=""),"",ROUND($K29*$M29+$L29*$N29,1))</f>
        <v/>
      </c>
      <c r="P29" s="29" t="str">
        <f aca="false">IF($A29="","",IF($O29="","データ不足",IF(AND($G29&gt;=3,$J29&gt;=2),"有効","要確認")))</f>
        <v/>
      </c>
    </row>
    <row r="30" customFormat="false" ht="15" hidden="false" customHeight="false" outlineLevel="0" collapsed="false">
      <c r="A30" s="29" t="str">
        <f aca="false">IF(調査集計表!A30="","",調査集計表!A30)</f>
        <v/>
      </c>
      <c r="B30" s="30" t="str">
        <f aca="false">IF(調査集計表!C30="","",調査集計表!C30)</f>
        <v/>
      </c>
      <c r="C30" s="29" t="str">
        <f aca="false">IF(調査集計表!D30="","",調査集計表!D30)</f>
        <v/>
      </c>
      <c r="D30" s="29" t="str">
        <f aca="false">IF(調査集計表!E30="","",調査集計表!E30)</f>
        <v/>
      </c>
      <c r="E30" s="29" t="str">
        <f aca="false">IF(調査集計表!F30="","",調査集計表!F30)</f>
        <v/>
      </c>
      <c r="F30" s="29" t="str">
        <f aca="false">IF(調査集計表!H30="","",調査集計表!H30)</f>
        <v/>
      </c>
      <c r="G30" s="29" t="n">
        <f aca="false">COUNT(調査集計表!J30,調査集計表!L30,調査集計表!N30,調査集計表!P30,調査集計表!R30)</f>
        <v>0</v>
      </c>
      <c r="H30" s="29" t="str">
        <f aca="false">IF($G30=0,"",MEDIAN(調査集計表!J30,調査集計表!L30,調査集計表!N30,調査集計表!P30,調査集計表!R30))</f>
        <v/>
      </c>
      <c r="I30" s="29" t="str">
        <f aca="false">IFERROR(AVERAGE(調査集計表!T30,調査集計表!V30),"")</f>
        <v/>
      </c>
      <c r="J30" s="29" t="n">
        <f aca="false">COUNT(調査集計表!T30,調査集計表!V30)</f>
        <v>0</v>
      </c>
      <c r="K30" s="31" t="str">
        <f aca="false">IF($H30="","",ROUND($H30/3*100,1))</f>
        <v/>
      </c>
      <c r="L30" s="31" t="str">
        <f aca="false">IF($I30="","",ROUND($I30/3*100,1))</f>
        <v/>
      </c>
      <c r="M30" s="32" t="str">
        <f aca="false">IFERROR(INDEX(マスタ設定!$E$5:$E$14,MATCH($E30,マスタ設定!$A$5:$A$14,0))/100,"")</f>
        <v/>
      </c>
      <c r="N30" s="32" t="str">
        <f aca="false">IFERROR(INDEX(マスタ設定!$F$5:$F$14,MATCH($E30,マスタ設定!$A$5:$A$14,0))/100,"")</f>
        <v/>
      </c>
      <c r="O30" s="31" t="str">
        <f aca="false">IF(OR($K30="",$L30="",$M30="",$N30=""),"",ROUND($K30*$M30+$L30*$N30,1))</f>
        <v/>
      </c>
      <c r="P30" s="29" t="str">
        <f aca="false">IF($A30="","",IF($O30="","データ不足",IF(AND($G30&gt;=3,$J30&gt;=2),"有効","要確認")))</f>
        <v/>
      </c>
    </row>
    <row r="31" customFormat="false" ht="15" hidden="false" customHeight="false" outlineLevel="0" collapsed="false">
      <c r="A31" s="29" t="str">
        <f aca="false">IF(調査集計表!A31="","",調査集計表!A31)</f>
        <v/>
      </c>
      <c r="B31" s="30" t="str">
        <f aca="false">IF(調査集計表!C31="","",調査集計表!C31)</f>
        <v/>
      </c>
      <c r="C31" s="29" t="str">
        <f aca="false">IF(調査集計表!D31="","",調査集計表!D31)</f>
        <v/>
      </c>
      <c r="D31" s="29" t="str">
        <f aca="false">IF(調査集計表!E31="","",調査集計表!E31)</f>
        <v/>
      </c>
      <c r="E31" s="29" t="str">
        <f aca="false">IF(調査集計表!F31="","",調査集計表!F31)</f>
        <v/>
      </c>
      <c r="F31" s="29" t="str">
        <f aca="false">IF(調査集計表!H31="","",調査集計表!H31)</f>
        <v/>
      </c>
      <c r="G31" s="29" t="n">
        <f aca="false">COUNT(調査集計表!J31,調査集計表!L31,調査集計表!N31,調査集計表!P31,調査集計表!R31)</f>
        <v>0</v>
      </c>
      <c r="H31" s="29" t="str">
        <f aca="false">IF($G31=0,"",MEDIAN(調査集計表!J31,調査集計表!L31,調査集計表!N31,調査集計表!P31,調査集計表!R31))</f>
        <v/>
      </c>
      <c r="I31" s="29" t="str">
        <f aca="false">IFERROR(AVERAGE(調査集計表!T31,調査集計表!V31),"")</f>
        <v/>
      </c>
      <c r="J31" s="29" t="n">
        <f aca="false">COUNT(調査集計表!T31,調査集計表!V31)</f>
        <v>0</v>
      </c>
      <c r="K31" s="31" t="str">
        <f aca="false">IF($H31="","",ROUND($H31/3*100,1))</f>
        <v/>
      </c>
      <c r="L31" s="31" t="str">
        <f aca="false">IF($I31="","",ROUND($I31/3*100,1))</f>
        <v/>
      </c>
      <c r="M31" s="32" t="str">
        <f aca="false">IFERROR(INDEX(マスタ設定!$E$5:$E$14,MATCH($E31,マスタ設定!$A$5:$A$14,0))/100,"")</f>
        <v/>
      </c>
      <c r="N31" s="32" t="str">
        <f aca="false">IFERROR(INDEX(マスタ設定!$F$5:$F$14,MATCH($E31,マスタ設定!$A$5:$A$14,0))/100,"")</f>
        <v/>
      </c>
      <c r="O31" s="31" t="str">
        <f aca="false">IF(OR($K31="",$L31="",$M31="",$N31=""),"",ROUND($K31*$M31+$L31*$N31,1))</f>
        <v/>
      </c>
      <c r="P31" s="29" t="str">
        <f aca="false">IF($A31="","",IF($O31="","データ不足",IF(AND($G31&gt;=3,$J31&gt;=2),"有効","要確認")))</f>
        <v/>
      </c>
    </row>
    <row r="32" customFormat="false" ht="15" hidden="false" customHeight="false" outlineLevel="0" collapsed="false">
      <c r="A32" s="29" t="str">
        <f aca="false">IF(調査集計表!A32="","",調査集計表!A32)</f>
        <v/>
      </c>
      <c r="B32" s="30" t="str">
        <f aca="false">IF(調査集計表!C32="","",調査集計表!C32)</f>
        <v/>
      </c>
      <c r="C32" s="29" t="str">
        <f aca="false">IF(調査集計表!D32="","",調査集計表!D32)</f>
        <v/>
      </c>
      <c r="D32" s="29" t="str">
        <f aca="false">IF(調査集計表!E32="","",調査集計表!E32)</f>
        <v/>
      </c>
      <c r="E32" s="29" t="str">
        <f aca="false">IF(調査集計表!F32="","",調査集計表!F32)</f>
        <v/>
      </c>
      <c r="F32" s="29" t="str">
        <f aca="false">IF(調査集計表!H32="","",調査集計表!H32)</f>
        <v/>
      </c>
      <c r="G32" s="29" t="n">
        <f aca="false">COUNT(調査集計表!J32,調査集計表!L32,調査集計表!N32,調査集計表!P32,調査集計表!R32)</f>
        <v>0</v>
      </c>
      <c r="H32" s="29" t="str">
        <f aca="false">IF($G32=0,"",MEDIAN(調査集計表!J32,調査集計表!L32,調査集計表!N32,調査集計表!P32,調査集計表!R32))</f>
        <v/>
      </c>
      <c r="I32" s="29" t="str">
        <f aca="false">IFERROR(AVERAGE(調査集計表!T32,調査集計表!V32),"")</f>
        <v/>
      </c>
      <c r="J32" s="29" t="n">
        <f aca="false">COUNT(調査集計表!T32,調査集計表!V32)</f>
        <v>0</v>
      </c>
      <c r="K32" s="31" t="str">
        <f aca="false">IF($H32="","",ROUND($H32/3*100,1))</f>
        <v/>
      </c>
      <c r="L32" s="31" t="str">
        <f aca="false">IF($I32="","",ROUND($I32/3*100,1))</f>
        <v/>
      </c>
      <c r="M32" s="32" t="str">
        <f aca="false">IFERROR(INDEX(マスタ設定!$E$5:$E$14,MATCH($E32,マスタ設定!$A$5:$A$14,0))/100,"")</f>
        <v/>
      </c>
      <c r="N32" s="32" t="str">
        <f aca="false">IFERROR(INDEX(マスタ設定!$F$5:$F$14,MATCH($E32,マスタ設定!$A$5:$A$14,0))/100,"")</f>
        <v/>
      </c>
      <c r="O32" s="31" t="str">
        <f aca="false">IF(OR($K32="",$L32="",$M32="",$N32=""),"",ROUND($K32*$M32+$L32*$N32,1))</f>
        <v/>
      </c>
      <c r="P32" s="29" t="str">
        <f aca="false">IF($A32="","",IF($O32="","データ不足",IF(AND($G32&gt;=3,$J32&gt;=2),"有効","要確認")))</f>
        <v/>
      </c>
    </row>
    <row r="33" customFormat="false" ht="15" hidden="false" customHeight="false" outlineLevel="0" collapsed="false">
      <c r="A33" s="29" t="str">
        <f aca="false">IF(調査集計表!A33="","",調査集計表!A33)</f>
        <v/>
      </c>
      <c r="B33" s="30" t="str">
        <f aca="false">IF(調査集計表!C33="","",調査集計表!C33)</f>
        <v/>
      </c>
      <c r="C33" s="29" t="str">
        <f aca="false">IF(調査集計表!D33="","",調査集計表!D33)</f>
        <v/>
      </c>
      <c r="D33" s="29" t="str">
        <f aca="false">IF(調査集計表!E33="","",調査集計表!E33)</f>
        <v/>
      </c>
      <c r="E33" s="29" t="str">
        <f aca="false">IF(調査集計表!F33="","",調査集計表!F33)</f>
        <v/>
      </c>
      <c r="F33" s="29" t="str">
        <f aca="false">IF(調査集計表!H33="","",調査集計表!H33)</f>
        <v/>
      </c>
      <c r="G33" s="29" t="n">
        <f aca="false">COUNT(調査集計表!J33,調査集計表!L33,調査集計表!N33,調査集計表!P33,調査集計表!R33)</f>
        <v>0</v>
      </c>
      <c r="H33" s="29" t="str">
        <f aca="false">IF($G33=0,"",MEDIAN(調査集計表!J33,調査集計表!L33,調査集計表!N33,調査集計表!P33,調査集計表!R33))</f>
        <v/>
      </c>
      <c r="I33" s="29" t="str">
        <f aca="false">IFERROR(AVERAGE(調査集計表!T33,調査集計表!V33),"")</f>
        <v/>
      </c>
      <c r="J33" s="29" t="n">
        <f aca="false">COUNT(調査集計表!T33,調査集計表!V33)</f>
        <v>0</v>
      </c>
      <c r="K33" s="31" t="str">
        <f aca="false">IF($H33="","",ROUND($H33/3*100,1))</f>
        <v/>
      </c>
      <c r="L33" s="31" t="str">
        <f aca="false">IF($I33="","",ROUND($I33/3*100,1))</f>
        <v/>
      </c>
      <c r="M33" s="32" t="str">
        <f aca="false">IFERROR(INDEX(マスタ設定!$E$5:$E$14,MATCH($E33,マスタ設定!$A$5:$A$14,0))/100,"")</f>
        <v/>
      </c>
      <c r="N33" s="32" t="str">
        <f aca="false">IFERROR(INDEX(マスタ設定!$F$5:$F$14,MATCH($E33,マスタ設定!$A$5:$A$14,0))/100,"")</f>
        <v/>
      </c>
      <c r="O33" s="31" t="str">
        <f aca="false">IF(OR($K33="",$L33="",$M33="",$N33=""),"",ROUND($K33*$M33+$L33*$N33,1))</f>
        <v/>
      </c>
      <c r="P33" s="29" t="str">
        <f aca="false">IF($A33="","",IF($O33="","データ不足",IF(AND($G33&gt;=3,$J33&gt;=2),"有効","要確認")))</f>
        <v/>
      </c>
    </row>
    <row r="34" customFormat="false" ht="15" hidden="false" customHeight="false" outlineLevel="0" collapsed="false">
      <c r="A34" s="29" t="str">
        <f aca="false">IF(調査集計表!A34="","",調査集計表!A34)</f>
        <v/>
      </c>
      <c r="B34" s="30" t="str">
        <f aca="false">IF(調査集計表!C34="","",調査集計表!C34)</f>
        <v/>
      </c>
      <c r="C34" s="29" t="str">
        <f aca="false">IF(調査集計表!D34="","",調査集計表!D34)</f>
        <v/>
      </c>
      <c r="D34" s="29" t="str">
        <f aca="false">IF(調査集計表!E34="","",調査集計表!E34)</f>
        <v/>
      </c>
      <c r="E34" s="29" t="str">
        <f aca="false">IF(調査集計表!F34="","",調査集計表!F34)</f>
        <v/>
      </c>
      <c r="F34" s="29" t="str">
        <f aca="false">IF(調査集計表!H34="","",調査集計表!H34)</f>
        <v/>
      </c>
      <c r="G34" s="29" t="n">
        <f aca="false">COUNT(調査集計表!J34,調査集計表!L34,調査集計表!N34,調査集計表!P34,調査集計表!R34)</f>
        <v>0</v>
      </c>
      <c r="H34" s="29" t="str">
        <f aca="false">IF($G34=0,"",MEDIAN(調査集計表!J34,調査集計表!L34,調査集計表!N34,調査集計表!P34,調査集計表!R34))</f>
        <v/>
      </c>
      <c r="I34" s="29" t="str">
        <f aca="false">IFERROR(AVERAGE(調査集計表!T34,調査集計表!V34),"")</f>
        <v/>
      </c>
      <c r="J34" s="29" t="n">
        <f aca="false">COUNT(調査集計表!T34,調査集計表!V34)</f>
        <v>0</v>
      </c>
      <c r="K34" s="31" t="str">
        <f aca="false">IF($H34="","",ROUND($H34/3*100,1))</f>
        <v/>
      </c>
      <c r="L34" s="31" t="str">
        <f aca="false">IF($I34="","",ROUND($I34/3*100,1))</f>
        <v/>
      </c>
      <c r="M34" s="32" t="str">
        <f aca="false">IFERROR(INDEX(マスタ設定!$E$5:$E$14,MATCH($E34,マスタ設定!$A$5:$A$14,0))/100,"")</f>
        <v/>
      </c>
      <c r="N34" s="32" t="str">
        <f aca="false">IFERROR(INDEX(マスタ設定!$F$5:$F$14,MATCH($E34,マスタ設定!$A$5:$A$14,0))/100,"")</f>
        <v/>
      </c>
      <c r="O34" s="31" t="str">
        <f aca="false">IF(OR($K34="",$L34="",$M34="",$N34=""),"",ROUND($K34*$M34+$L34*$N34,1))</f>
        <v/>
      </c>
      <c r="P34" s="29" t="str">
        <f aca="false">IF($A34="","",IF($O34="","データ不足",IF(AND($G34&gt;=3,$J34&gt;=2),"有効","要確認")))</f>
        <v/>
      </c>
    </row>
    <row r="35" customFormat="false" ht="15" hidden="false" customHeight="false" outlineLevel="0" collapsed="false">
      <c r="A35" s="29" t="str">
        <f aca="false">IF(調査集計表!A35="","",調査集計表!A35)</f>
        <v/>
      </c>
      <c r="B35" s="30" t="str">
        <f aca="false">IF(調査集計表!C35="","",調査集計表!C35)</f>
        <v/>
      </c>
      <c r="C35" s="29" t="str">
        <f aca="false">IF(調査集計表!D35="","",調査集計表!D35)</f>
        <v/>
      </c>
      <c r="D35" s="29" t="str">
        <f aca="false">IF(調査集計表!E35="","",調査集計表!E35)</f>
        <v/>
      </c>
      <c r="E35" s="29" t="str">
        <f aca="false">IF(調査集計表!F35="","",調査集計表!F35)</f>
        <v/>
      </c>
      <c r="F35" s="29" t="str">
        <f aca="false">IF(調査集計表!H35="","",調査集計表!H35)</f>
        <v/>
      </c>
      <c r="G35" s="29" t="n">
        <f aca="false">COUNT(調査集計表!J35,調査集計表!L35,調査集計表!N35,調査集計表!P35,調査集計表!R35)</f>
        <v>0</v>
      </c>
      <c r="H35" s="29" t="str">
        <f aca="false">IF($G35=0,"",MEDIAN(調査集計表!J35,調査集計表!L35,調査集計表!N35,調査集計表!P35,調査集計表!R35))</f>
        <v/>
      </c>
      <c r="I35" s="29" t="str">
        <f aca="false">IFERROR(AVERAGE(調査集計表!T35,調査集計表!V35),"")</f>
        <v/>
      </c>
      <c r="J35" s="29" t="n">
        <f aca="false">COUNT(調査集計表!T35,調査集計表!V35)</f>
        <v>0</v>
      </c>
      <c r="K35" s="31" t="str">
        <f aca="false">IF($H35="","",ROUND($H35/3*100,1))</f>
        <v/>
      </c>
      <c r="L35" s="31" t="str">
        <f aca="false">IF($I35="","",ROUND($I35/3*100,1))</f>
        <v/>
      </c>
      <c r="M35" s="32" t="str">
        <f aca="false">IFERROR(INDEX(マスタ設定!$E$5:$E$14,MATCH($E35,マスタ設定!$A$5:$A$14,0))/100,"")</f>
        <v/>
      </c>
      <c r="N35" s="32" t="str">
        <f aca="false">IFERROR(INDEX(マスタ設定!$F$5:$F$14,MATCH($E35,マスタ設定!$A$5:$A$14,0))/100,"")</f>
        <v/>
      </c>
      <c r="O35" s="31" t="str">
        <f aca="false">IF(OR($K35="",$L35="",$M35="",$N35=""),"",ROUND($K35*$M35+$L35*$N35,1))</f>
        <v/>
      </c>
      <c r="P35" s="29" t="str">
        <f aca="false">IF($A35="","",IF($O35="","データ不足",IF(AND($G35&gt;=3,$J35&gt;=2),"有効","要確認")))</f>
        <v/>
      </c>
    </row>
    <row r="36" customFormat="false" ht="15" hidden="false" customHeight="false" outlineLevel="0" collapsed="false">
      <c r="A36" s="29" t="str">
        <f aca="false">IF(調査集計表!A36="","",調査集計表!A36)</f>
        <v/>
      </c>
      <c r="B36" s="30" t="str">
        <f aca="false">IF(調査集計表!C36="","",調査集計表!C36)</f>
        <v/>
      </c>
      <c r="C36" s="29" t="str">
        <f aca="false">IF(調査集計表!D36="","",調査集計表!D36)</f>
        <v/>
      </c>
      <c r="D36" s="29" t="str">
        <f aca="false">IF(調査集計表!E36="","",調査集計表!E36)</f>
        <v/>
      </c>
      <c r="E36" s="29" t="str">
        <f aca="false">IF(調査集計表!F36="","",調査集計表!F36)</f>
        <v/>
      </c>
      <c r="F36" s="29" t="str">
        <f aca="false">IF(調査集計表!H36="","",調査集計表!H36)</f>
        <v/>
      </c>
      <c r="G36" s="29" t="n">
        <f aca="false">COUNT(調査集計表!J36,調査集計表!L36,調査集計表!N36,調査集計表!P36,調査集計表!R36)</f>
        <v>0</v>
      </c>
      <c r="H36" s="29" t="str">
        <f aca="false">IF($G36=0,"",MEDIAN(調査集計表!J36,調査集計表!L36,調査集計表!N36,調査集計表!P36,調査集計表!R36))</f>
        <v/>
      </c>
      <c r="I36" s="29" t="str">
        <f aca="false">IFERROR(AVERAGE(調査集計表!T36,調査集計表!V36),"")</f>
        <v/>
      </c>
      <c r="J36" s="29" t="n">
        <f aca="false">COUNT(調査集計表!T36,調査集計表!V36)</f>
        <v>0</v>
      </c>
      <c r="K36" s="31" t="str">
        <f aca="false">IF($H36="","",ROUND($H36/3*100,1))</f>
        <v/>
      </c>
      <c r="L36" s="31" t="str">
        <f aca="false">IF($I36="","",ROUND($I36/3*100,1))</f>
        <v/>
      </c>
      <c r="M36" s="32" t="str">
        <f aca="false">IFERROR(INDEX(マスタ設定!$E$5:$E$14,MATCH($E36,マスタ設定!$A$5:$A$14,0))/100,"")</f>
        <v/>
      </c>
      <c r="N36" s="32" t="str">
        <f aca="false">IFERROR(INDEX(マスタ設定!$F$5:$F$14,MATCH($E36,マスタ設定!$A$5:$A$14,0))/100,"")</f>
        <v/>
      </c>
      <c r="O36" s="31" t="str">
        <f aca="false">IF(OR($K36="",$L36="",$M36="",$N36=""),"",ROUND($K36*$M36+$L36*$N36,1))</f>
        <v/>
      </c>
      <c r="P36" s="29" t="str">
        <f aca="false">IF($A36="","",IF($O36="","データ不足",IF(AND($G36&gt;=3,$J36&gt;=2),"有効","要確認")))</f>
        <v/>
      </c>
    </row>
    <row r="37" customFormat="false" ht="15" hidden="false" customHeight="false" outlineLevel="0" collapsed="false">
      <c r="A37" s="29" t="str">
        <f aca="false">IF(調査集計表!A37="","",調査集計表!A37)</f>
        <v/>
      </c>
      <c r="B37" s="30" t="str">
        <f aca="false">IF(調査集計表!C37="","",調査集計表!C37)</f>
        <v/>
      </c>
      <c r="C37" s="29" t="str">
        <f aca="false">IF(調査集計表!D37="","",調査集計表!D37)</f>
        <v/>
      </c>
      <c r="D37" s="29" t="str">
        <f aca="false">IF(調査集計表!E37="","",調査集計表!E37)</f>
        <v/>
      </c>
      <c r="E37" s="29" t="str">
        <f aca="false">IF(調査集計表!F37="","",調査集計表!F37)</f>
        <v/>
      </c>
      <c r="F37" s="29" t="str">
        <f aca="false">IF(調査集計表!H37="","",調査集計表!H37)</f>
        <v/>
      </c>
      <c r="G37" s="29" t="n">
        <f aca="false">COUNT(調査集計表!J37,調査集計表!L37,調査集計表!N37,調査集計表!P37,調査集計表!R37)</f>
        <v>0</v>
      </c>
      <c r="H37" s="29" t="str">
        <f aca="false">IF($G37=0,"",MEDIAN(調査集計表!J37,調査集計表!L37,調査集計表!N37,調査集計表!P37,調査集計表!R37))</f>
        <v/>
      </c>
      <c r="I37" s="29" t="str">
        <f aca="false">IFERROR(AVERAGE(調査集計表!T37,調査集計表!V37),"")</f>
        <v/>
      </c>
      <c r="J37" s="29" t="n">
        <f aca="false">COUNT(調査集計表!T37,調査集計表!V37)</f>
        <v>0</v>
      </c>
      <c r="K37" s="31" t="str">
        <f aca="false">IF($H37="","",ROUND($H37/3*100,1))</f>
        <v/>
      </c>
      <c r="L37" s="31" t="str">
        <f aca="false">IF($I37="","",ROUND($I37/3*100,1))</f>
        <v/>
      </c>
      <c r="M37" s="32" t="str">
        <f aca="false">IFERROR(INDEX(マスタ設定!$E$5:$E$14,MATCH($E37,マスタ設定!$A$5:$A$14,0))/100,"")</f>
        <v/>
      </c>
      <c r="N37" s="32" t="str">
        <f aca="false">IFERROR(INDEX(マスタ設定!$F$5:$F$14,MATCH($E37,マスタ設定!$A$5:$A$14,0))/100,"")</f>
        <v/>
      </c>
      <c r="O37" s="31" t="str">
        <f aca="false">IF(OR($K37="",$L37="",$M37="",$N37=""),"",ROUND($K37*$M37+$L37*$N37,1))</f>
        <v/>
      </c>
      <c r="P37" s="29" t="str">
        <f aca="false">IF($A37="","",IF($O37="","データ不足",IF(AND($G37&gt;=3,$J37&gt;=2),"有効","要確認")))</f>
        <v/>
      </c>
    </row>
    <row r="38" customFormat="false" ht="15" hidden="false" customHeight="false" outlineLevel="0" collapsed="false">
      <c r="A38" s="29" t="str">
        <f aca="false">IF(調査集計表!A38="","",調査集計表!A38)</f>
        <v/>
      </c>
      <c r="B38" s="30" t="str">
        <f aca="false">IF(調査集計表!C38="","",調査集計表!C38)</f>
        <v/>
      </c>
      <c r="C38" s="29" t="str">
        <f aca="false">IF(調査集計表!D38="","",調査集計表!D38)</f>
        <v/>
      </c>
      <c r="D38" s="29" t="str">
        <f aca="false">IF(調査集計表!E38="","",調査集計表!E38)</f>
        <v/>
      </c>
      <c r="E38" s="29" t="str">
        <f aca="false">IF(調査集計表!F38="","",調査集計表!F38)</f>
        <v/>
      </c>
      <c r="F38" s="29" t="str">
        <f aca="false">IF(調査集計表!H38="","",調査集計表!H38)</f>
        <v/>
      </c>
      <c r="G38" s="29" t="n">
        <f aca="false">COUNT(調査集計表!J38,調査集計表!L38,調査集計表!N38,調査集計表!P38,調査集計表!R38)</f>
        <v>0</v>
      </c>
      <c r="H38" s="29" t="str">
        <f aca="false">IF($G38=0,"",MEDIAN(調査集計表!J38,調査集計表!L38,調査集計表!N38,調査集計表!P38,調査集計表!R38))</f>
        <v/>
      </c>
      <c r="I38" s="29" t="str">
        <f aca="false">IFERROR(AVERAGE(調査集計表!T38,調査集計表!V38),"")</f>
        <v/>
      </c>
      <c r="J38" s="29" t="n">
        <f aca="false">COUNT(調査集計表!T38,調査集計表!V38)</f>
        <v>0</v>
      </c>
      <c r="K38" s="31" t="str">
        <f aca="false">IF($H38="","",ROUND($H38/3*100,1))</f>
        <v/>
      </c>
      <c r="L38" s="31" t="str">
        <f aca="false">IF($I38="","",ROUND($I38/3*100,1))</f>
        <v/>
      </c>
      <c r="M38" s="32" t="str">
        <f aca="false">IFERROR(INDEX(マスタ設定!$E$5:$E$14,MATCH($E38,マスタ設定!$A$5:$A$14,0))/100,"")</f>
        <v/>
      </c>
      <c r="N38" s="32" t="str">
        <f aca="false">IFERROR(INDEX(マスタ設定!$F$5:$F$14,MATCH($E38,マスタ設定!$A$5:$A$14,0))/100,"")</f>
        <v/>
      </c>
      <c r="O38" s="31" t="str">
        <f aca="false">IF(OR($K38="",$L38="",$M38="",$N38=""),"",ROUND($K38*$M38+$L38*$N38,1))</f>
        <v/>
      </c>
      <c r="P38" s="29" t="str">
        <f aca="false">IF($A38="","",IF($O38="","データ不足",IF(AND($G38&gt;=3,$J38&gt;=2),"有効","要確認")))</f>
        <v/>
      </c>
    </row>
    <row r="39" customFormat="false" ht="15" hidden="false" customHeight="false" outlineLevel="0" collapsed="false">
      <c r="A39" s="29" t="str">
        <f aca="false">IF(調査集計表!A39="","",調査集計表!A39)</f>
        <v/>
      </c>
      <c r="B39" s="30" t="str">
        <f aca="false">IF(調査集計表!C39="","",調査集計表!C39)</f>
        <v/>
      </c>
      <c r="C39" s="29" t="str">
        <f aca="false">IF(調査集計表!D39="","",調査集計表!D39)</f>
        <v/>
      </c>
      <c r="D39" s="29" t="str">
        <f aca="false">IF(調査集計表!E39="","",調査集計表!E39)</f>
        <v/>
      </c>
      <c r="E39" s="29" t="str">
        <f aca="false">IF(調査集計表!F39="","",調査集計表!F39)</f>
        <v/>
      </c>
      <c r="F39" s="29" t="str">
        <f aca="false">IF(調査集計表!H39="","",調査集計表!H39)</f>
        <v/>
      </c>
      <c r="G39" s="29" t="n">
        <f aca="false">COUNT(調査集計表!J39,調査集計表!L39,調査集計表!N39,調査集計表!P39,調査集計表!R39)</f>
        <v>0</v>
      </c>
      <c r="H39" s="29" t="str">
        <f aca="false">IF($G39=0,"",MEDIAN(調査集計表!J39,調査集計表!L39,調査集計表!N39,調査集計表!P39,調査集計表!R39))</f>
        <v/>
      </c>
      <c r="I39" s="29" t="str">
        <f aca="false">IFERROR(AVERAGE(調査集計表!T39,調査集計表!V39),"")</f>
        <v/>
      </c>
      <c r="J39" s="29" t="n">
        <f aca="false">COUNT(調査集計表!T39,調査集計表!V39)</f>
        <v>0</v>
      </c>
      <c r="K39" s="31" t="str">
        <f aca="false">IF($H39="","",ROUND($H39/3*100,1))</f>
        <v/>
      </c>
      <c r="L39" s="31" t="str">
        <f aca="false">IF($I39="","",ROUND($I39/3*100,1))</f>
        <v/>
      </c>
      <c r="M39" s="32" t="str">
        <f aca="false">IFERROR(INDEX(マスタ設定!$E$5:$E$14,MATCH($E39,マスタ設定!$A$5:$A$14,0))/100,"")</f>
        <v/>
      </c>
      <c r="N39" s="32" t="str">
        <f aca="false">IFERROR(INDEX(マスタ設定!$F$5:$F$14,MATCH($E39,マスタ設定!$A$5:$A$14,0))/100,"")</f>
        <v/>
      </c>
      <c r="O39" s="31" t="str">
        <f aca="false">IF(OR($K39="",$L39="",$M39="",$N39=""),"",ROUND($K39*$M39+$L39*$N39,1))</f>
        <v/>
      </c>
      <c r="P39" s="29" t="str">
        <f aca="false">IF($A39="","",IF($O39="","データ不足",IF(AND($G39&gt;=3,$J39&gt;=2),"有効","要確認")))</f>
        <v/>
      </c>
    </row>
    <row r="40" customFormat="false" ht="15" hidden="false" customHeight="false" outlineLevel="0" collapsed="false">
      <c r="A40" s="29" t="str">
        <f aca="false">IF(調査集計表!A40="","",調査集計表!A40)</f>
        <v/>
      </c>
      <c r="B40" s="30" t="str">
        <f aca="false">IF(調査集計表!C40="","",調査集計表!C40)</f>
        <v/>
      </c>
      <c r="C40" s="29" t="str">
        <f aca="false">IF(調査集計表!D40="","",調査集計表!D40)</f>
        <v/>
      </c>
      <c r="D40" s="29" t="str">
        <f aca="false">IF(調査集計表!E40="","",調査集計表!E40)</f>
        <v/>
      </c>
      <c r="E40" s="29" t="str">
        <f aca="false">IF(調査集計表!F40="","",調査集計表!F40)</f>
        <v/>
      </c>
      <c r="F40" s="29" t="str">
        <f aca="false">IF(調査集計表!H40="","",調査集計表!H40)</f>
        <v/>
      </c>
      <c r="G40" s="29" t="n">
        <f aca="false">COUNT(調査集計表!J40,調査集計表!L40,調査集計表!N40,調査集計表!P40,調査集計表!R40)</f>
        <v>0</v>
      </c>
      <c r="H40" s="29" t="str">
        <f aca="false">IF($G40=0,"",MEDIAN(調査集計表!J40,調査集計表!L40,調査集計表!N40,調査集計表!P40,調査集計表!R40))</f>
        <v/>
      </c>
      <c r="I40" s="29" t="str">
        <f aca="false">IFERROR(AVERAGE(調査集計表!T40,調査集計表!V40),"")</f>
        <v/>
      </c>
      <c r="J40" s="29" t="n">
        <f aca="false">COUNT(調査集計表!T40,調査集計表!V40)</f>
        <v>0</v>
      </c>
      <c r="K40" s="31" t="str">
        <f aca="false">IF($H40="","",ROUND($H40/3*100,1))</f>
        <v/>
      </c>
      <c r="L40" s="31" t="str">
        <f aca="false">IF($I40="","",ROUND($I40/3*100,1))</f>
        <v/>
      </c>
      <c r="M40" s="32" t="str">
        <f aca="false">IFERROR(INDEX(マスタ設定!$E$5:$E$14,MATCH($E40,マスタ設定!$A$5:$A$14,0))/100,"")</f>
        <v/>
      </c>
      <c r="N40" s="32" t="str">
        <f aca="false">IFERROR(INDEX(マスタ設定!$F$5:$F$14,MATCH($E40,マスタ設定!$A$5:$A$14,0))/100,"")</f>
        <v/>
      </c>
      <c r="O40" s="31" t="str">
        <f aca="false">IF(OR($K40="",$L40="",$M40="",$N40=""),"",ROUND($K40*$M40+$L40*$N40,1))</f>
        <v/>
      </c>
      <c r="P40" s="29" t="str">
        <f aca="false">IF($A40="","",IF($O40="","データ不足",IF(AND($G40&gt;=3,$J40&gt;=2),"有効","要確認")))</f>
        <v/>
      </c>
    </row>
    <row r="41" customFormat="false" ht="15" hidden="false" customHeight="false" outlineLevel="0" collapsed="false">
      <c r="A41" s="29" t="str">
        <f aca="false">IF(調査集計表!A41="","",調査集計表!A41)</f>
        <v/>
      </c>
      <c r="B41" s="30" t="str">
        <f aca="false">IF(調査集計表!C41="","",調査集計表!C41)</f>
        <v/>
      </c>
      <c r="C41" s="29" t="str">
        <f aca="false">IF(調査集計表!D41="","",調査集計表!D41)</f>
        <v/>
      </c>
      <c r="D41" s="29" t="str">
        <f aca="false">IF(調査集計表!E41="","",調査集計表!E41)</f>
        <v/>
      </c>
      <c r="E41" s="29" t="str">
        <f aca="false">IF(調査集計表!F41="","",調査集計表!F41)</f>
        <v/>
      </c>
      <c r="F41" s="29" t="str">
        <f aca="false">IF(調査集計表!H41="","",調査集計表!H41)</f>
        <v/>
      </c>
      <c r="G41" s="29" t="n">
        <f aca="false">COUNT(調査集計表!J41,調査集計表!L41,調査集計表!N41,調査集計表!P41,調査集計表!R41)</f>
        <v>0</v>
      </c>
      <c r="H41" s="29" t="str">
        <f aca="false">IF($G41=0,"",MEDIAN(調査集計表!J41,調査集計表!L41,調査集計表!N41,調査集計表!P41,調査集計表!R41))</f>
        <v/>
      </c>
      <c r="I41" s="29" t="str">
        <f aca="false">IFERROR(AVERAGE(調査集計表!T41,調査集計表!V41),"")</f>
        <v/>
      </c>
      <c r="J41" s="29" t="n">
        <f aca="false">COUNT(調査集計表!T41,調査集計表!V41)</f>
        <v>0</v>
      </c>
      <c r="K41" s="31" t="str">
        <f aca="false">IF($H41="","",ROUND($H41/3*100,1))</f>
        <v/>
      </c>
      <c r="L41" s="31" t="str">
        <f aca="false">IF($I41="","",ROUND($I41/3*100,1))</f>
        <v/>
      </c>
      <c r="M41" s="32" t="str">
        <f aca="false">IFERROR(INDEX(マスタ設定!$E$5:$E$14,MATCH($E41,マスタ設定!$A$5:$A$14,0))/100,"")</f>
        <v/>
      </c>
      <c r="N41" s="32" t="str">
        <f aca="false">IFERROR(INDEX(マスタ設定!$F$5:$F$14,MATCH($E41,マスタ設定!$A$5:$A$14,0))/100,"")</f>
        <v/>
      </c>
      <c r="O41" s="31" t="str">
        <f aca="false">IF(OR($K41="",$L41="",$M41="",$N41=""),"",ROUND($K41*$M41+$L41*$N41,1))</f>
        <v/>
      </c>
      <c r="P41" s="29" t="str">
        <f aca="false">IF($A41="","",IF($O41="","データ不足",IF(AND($G41&gt;=3,$J41&gt;=2),"有効","要確認")))</f>
        <v/>
      </c>
    </row>
    <row r="42" customFormat="false" ht="15" hidden="false" customHeight="false" outlineLevel="0" collapsed="false">
      <c r="A42" s="29" t="str">
        <f aca="false">IF(調査集計表!A42="","",調査集計表!A42)</f>
        <v/>
      </c>
      <c r="B42" s="30" t="str">
        <f aca="false">IF(調査集計表!C42="","",調査集計表!C42)</f>
        <v/>
      </c>
      <c r="C42" s="29" t="str">
        <f aca="false">IF(調査集計表!D42="","",調査集計表!D42)</f>
        <v/>
      </c>
      <c r="D42" s="29" t="str">
        <f aca="false">IF(調査集計表!E42="","",調査集計表!E42)</f>
        <v/>
      </c>
      <c r="E42" s="29" t="str">
        <f aca="false">IF(調査集計表!F42="","",調査集計表!F42)</f>
        <v/>
      </c>
      <c r="F42" s="29" t="str">
        <f aca="false">IF(調査集計表!H42="","",調査集計表!H42)</f>
        <v/>
      </c>
      <c r="G42" s="29" t="n">
        <f aca="false">COUNT(調査集計表!J42,調査集計表!L42,調査集計表!N42,調査集計表!P42,調査集計表!R42)</f>
        <v>0</v>
      </c>
      <c r="H42" s="29" t="str">
        <f aca="false">IF($G42=0,"",MEDIAN(調査集計表!J42,調査集計表!L42,調査集計表!N42,調査集計表!P42,調査集計表!R42))</f>
        <v/>
      </c>
      <c r="I42" s="29" t="str">
        <f aca="false">IFERROR(AVERAGE(調査集計表!T42,調査集計表!V42),"")</f>
        <v/>
      </c>
      <c r="J42" s="29" t="n">
        <f aca="false">COUNT(調査集計表!T42,調査集計表!V42)</f>
        <v>0</v>
      </c>
      <c r="K42" s="31" t="str">
        <f aca="false">IF($H42="","",ROUND($H42/3*100,1))</f>
        <v/>
      </c>
      <c r="L42" s="31" t="str">
        <f aca="false">IF($I42="","",ROUND($I42/3*100,1))</f>
        <v/>
      </c>
      <c r="M42" s="32" t="str">
        <f aca="false">IFERROR(INDEX(マスタ設定!$E$5:$E$14,MATCH($E42,マスタ設定!$A$5:$A$14,0))/100,"")</f>
        <v/>
      </c>
      <c r="N42" s="32" t="str">
        <f aca="false">IFERROR(INDEX(マスタ設定!$F$5:$F$14,MATCH($E42,マスタ設定!$A$5:$A$14,0))/100,"")</f>
        <v/>
      </c>
      <c r="O42" s="31" t="str">
        <f aca="false">IF(OR($K42="",$L42="",$M42="",$N42=""),"",ROUND($K42*$M42+$L42*$N42,1))</f>
        <v/>
      </c>
      <c r="P42" s="29" t="str">
        <f aca="false">IF($A42="","",IF($O42="","データ不足",IF(AND($G42&gt;=3,$J42&gt;=2),"有効","要確認")))</f>
        <v/>
      </c>
    </row>
    <row r="43" customFormat="false" ht="15" hidden="false" customHeight="false" outlineLevel="0" collapsed="false">
      <c r="A43" s="29" t="str">
        <f aca="false">IF(調査集計表!A43="","",調査集計表!A43)</f>
        <v/>
      </c>
      <c r="B43" s="30" t="str">
        <f aca="false">IF(調査集計表!C43="","",調査集計表!C43)</f>
        <v/>
      </c>
      <c r="C43" s="29" t="str">
        <f aca="false">IF(調査集計表!D43="","",調査集計表!D43)</f>
        <v/>
      </c>
      <c r="D43" s="29" t="str">
        <f aca="false">IF(調査集計表!E43="","",調査集計表!E43)</f>
        <v/>
      </c>
      <c r="E43" s="29" t="str">
        <f aca="false">IF(調査集計表!F43="","",調査集計表!F43)</f>
        <v/>
      </c>
      <c r="F43" s="29" t="str">
        <f aca="false">IF(調査集計表!H43="","",調査集計表!H43)</f>
        <v/>
      </c>
      <c r="G43" s="29" t="n">
        <f aca="false">COUNT(調査集計表!J43,調査集計表!L43,調査集計表!N43,調査集計表!P43,調査集計表!R43)</f>
        <v>0</v>
      </c>
      <c r="H43" s="29" t="str">
        <f aca="false">IF($G43=0,"",MEDIAN(調査集計表!J43,調査集計表!L43,調査集計表!N43,調査集計表!P43,調査集計表!R43))</f>
        <v/>
      </c>
      <c r="I43" s="29" t="str">
        <f aca="false">IFERROR(AVERAGE(調査集計表!T43,調査集計表!V43),"")</f>
        <v/>
      </c>
      <c r="J43" s="29" t="n">
        <f aca="false">COUNT(調査集計表!T43,調査集計表!V43)</f>
        <v>0</v>
      </c>
      <c r="K43" s="31" t="str">
        <f aca="false">IF($H43="","",ROUND($H43/3*100,1))</f>
        <v/>
      </c>
      <c r="L43" s="31" t="str">
        <f aca="false">IF($I43="","",ROUND($I43/3*100,1))</f>
        <v/>
      </c>
      <c r="M43" s="32" t="str">
        <f aca="false">IFERROR(INDEX(マスタ設定!$E$5:$E$14,MATCH($E43,マスタ設定!$A$5:$A$14,0))/100,"")</f>
        <v/>
      </c>
      <c r="N43" s="32" t="str">
        <f aca="false">IFERROR(INDEX(マスタ設定!$F$5:$F$14,MATCH($E43,マスタ設定!$A$5:$A$14,0))/100,"")</f>
        <v/>
      </c>
      <c r="O43" s="31" t="str">
        <f aca="false">IF(OR($K43="",$L43="",$M43="",$N43=""),"",ROUND($K43*$M43+$L43*$N43,1))</f>
        <v/>
      </c>
      <c r="P43" s="29" t="str">
        <f aca="false">IF($A43="","",IF($O43="","データ不足",IF(AND($G43&gt;=3,$J43&gt;=2),"有効","要確認")))</f>
        <v/>
      </c>
    </row>
    <row r="44" customFormat="false" ht="15" hidden="false" customHeight="false" outlineLevel="0" collapsed="false">
      <c r="A44" s="29" t="str">
        <f aca="false">IF(調査集計表!A44="","",調査集計表!A44)</f>
        <v/>
      </c>
      <c r="B44" s="30" t="str">
        <f aca="false">IF(調査集計表!C44="","",調査集計表!C44)</f>
        <v/>
      </c>
      <c r="C44" s="29" t="str">
        <f aca="false">IF(調査集計表!D44="","",調査集計表!D44)</f>
        <v/>
      </c>
      <c r="D44" s="29" t="str">
        <f aca="false">IF(調査集計表!E44="","",調査集計表!E44)</f>
        <v/>
      </c>
      <c r="E44" s="29" t="str">
        <f aca="false">IF(調査集計表!F44="","",調査集計表!F44)</f>
        <v/>
      </c>
      <c r="F44" s="29" t="str">
        <f aca="false">IF(調査集計表!H44="","",調査集計表!H44)</f>
        <v/>
      </c>
      <c r="G44" s="29" t="n">
        <f aca="false">COUNT(調査集計表!J44,調査集計表!L44,調査集計表!N44,調査集計表!P44,調査集計表!R44)</f>
        <v>0</v>
      </c>
      <c r="H44" s="29" t="str">
        <f aca="false">IF($G44=0,"",MEDIAN(調査集計表!J44,調査集計表!L44,調査集計表!N44,調査集計表!P44,調査集計表!R44))</f>
        <v/>
      </c>
      <c r="I44" s="29" t="str">
        <f aca="false">IFERROR(AVERAGE(調査集計表!T44,調査集計表!V44),"")</f>
        <v/>
      </c>
      <c r="J44" s="29" t="n">
        <f aca="false">COUNT(調査集計表!T44,調査集計表!V44)</f>
        <v>0</v>
      </c>
      <c r="K44" s="31" t="str">
        <f aca="false">IF($H44="","",ROUND($H44/3*100,1))</f>
        <v/>
      </c>
      <c r="L44" s="31" t="str">
        <f aca="false">IF($I44="","",ROUND($I44/3*100,1))</f>
        <v/>
      </c>
      <c r="M44" s="32" t="str">
        <f aca="false">IFERROR(INDEX(マスタ設定!$E$5:$E$14,MATCH($E44,マスタ設定!$A$5:$A$14,0))/100,"")</f>
        <v/>
      </c>
      <c r="N44" s="32" t="str">
        <f aca="false">IFERROR(INDEX(マスタ設定!$F$5:$F$14,MATCH($E44,マスタ設定!$A$5:$A$14,0))/100,"")</f>
        <v/>
      </c>
      <c r="O44" s="31" t="str">
        <f aca="false">IF(OR($K44="",$L44="",$M44="",$N44=""),"",ROUND($K44*$M44+$L44*$N44,1))</f>
        <v/>
      </c>
      <c r="P44" s="29" t="str">
        <f aca="false">IF($A44="","",IF($O44="","データ不足",IF(AND($G44&gt;=3,$J44&gt;=2),"有効","要確認")))</f>
        <v/>
      </c>
    </row>
    <row r="45" customFormat="false" ht="15" hidden="false" customHeight="false" outlineLevel="0" collapsed="false">
      <c r="A45" s="29" t="str">
        <f aca="false">IF(調査集計表!A45="","",調査集計表!A45)</f>
        <v/>
      </c>
      <c r="B45" s="30" t="str">
        <f aca="false">IF(調査集計表!C45="","",調査集計表!C45)</f>
        <v/>
      </c>
      <c r="C45" s="29" t="str">
        <f aca="false">IF(調査集計表!D45="","",調査集計表!D45)</f>
        <v/>
      </c>
      <c r="D45" s="29" t="str">
        <f aca="false">IF(調査集計表!E45="","",調査集計表!E45)</f>
        <v/>
      </c>
      <c r="E45" s="29" t="str">
        <f aca="false">IF(調査集計表!F45="","",調査集計表!F45)</f>
        <v/>
      </c>
      <c r="F45" s="29" t="str">
        <f aca="false">IF(調査集計表!H45="","",調査集計表!H45)</f>
        <v/>
      </c>
      <c r="G45" s="29" t="n">
        <f aca="false">COUNT(調査集計表!J45,調査集計表!L45,調査集計表!N45,調査集計表!P45,調査集計表!R45)</f>
        <v>0</v>
      </c>
      <c r="H45" s="29" t="str">
        <f aca="false">IF($G45=0,"",MEDIAN(調査集計表!J45,調査集計表!L45,調査集計表!N45,調査集計表!P45,調査集計表!R45))</f>
        <v/>
      </c>
      <c r="I45" s="29" t="str">
        <f aca="false">IFERROR(AVERAGE(調査集計表!T45,調査集計表!V45),"")</f>
        <v/>
      </c>
      <c r="J45" s="29" t="n">
        <f aca="false">COUNT(調査集計表!T45,調査集計表!V45)</f>
        <v>0</v>
      </c>
      <c r="K45" s="31" t="str">
        <f aca="false">IF($H45="","",ROUND($H45/3*100,1))</f>
        <v/>
      </c>
      <c r="L45" s="31" t="str">
        <f aca="false">IF($I45="","",ROUND($I45/3*100,1))</f>
        <v/>
      </c>
      <c r="M45" s="32" t="str">
        <f aca="false">IFERROR(INDEX(マスタ設定!$E$5:$E$14,MATCH($E45,マスタ設定!$A$5:$A$14,0))/100,"")</f>
        <v/>
      </c>
      <c r="N45" s="32" t="str">
        <f aca="false">IFERROR(INDEX(マスタ設定!$F$5:$F$14,MATCH($E45,マスタ設定!$A$5:$A$14,0))/100,"")</f>
        <v/>
      </c>
      <c r="O45" s="31" t="str">
        <f aca="false">IF(OR($K45="",$L45="",$M45="",$N45=""),"",ROUND($K45*$M45+$L45*$N45,1))</f>
        <v/>
      </c>
      <c r="P45" s="29" t="str">
        <f aca="false">IF($A45="","",IF($O45="","データ不足",IF(AND($G45&gt;=3,$J45&gt;=2),"有効","要確認")))</f>
        <v/>
      </c>
    </row>
    <row r="46" customFormat="false" ht="15" hidden="false" customHeight="false" outlineLevel="0" collapsed="false">
      <c r="A46" s="29" t="str">
        <f aca="false">IF(調査集計表!A46="","",調査集計表!A46)</f>
        <v/>
      </c>
      <c r="B46" s="30" t="str">
        <f aca="false">IF(調査集計表!C46="","",調査集計表!C46)</f>
        <v/>
      </c>
      <c r="C46" s="29" t="str">
        <f aca="false">IF(調査集計表!D46="","",調査集計表!D46)</f>
        <v/>
      </c>
      <c r="D46" s="29" t="str">
        <f aca="false">IF(調査集計表!E46="","",調査集計表!E46)</f>
        <v/>
      </c>
      <c r="E46" s="29" t="str">
        <f aca="false">IF(調査集計表!F46="","",調査集計表!F46)</f>
        <v/>
      </c>
      <c r="F46" s="29" t="str">
        <f aca="false">IF(調査集計表!H46="","",調査集計表!H46)</f>
        <v/>
      </c>
      <c r="G46" s="29" t="n">
        <f aca="false">COUNT(調査集計表!J46,調査集計表!L46,調査集計表!N46,調査集計表!P46,調査集計表!R46)</f>
        <v>0</v>
      </c>
      <c r="H46" s="29" t="str">
        <f aca="false">IF($G46=0,"",MEDIAN(調査集計表!J46,調査集計表!L46,調査集計表!N46,調査集計表!P46,調査集計表!R46))</f>
        <v/>
      </c>
      <c r="I46" s="29" t="str">
        <f aca="false">IFERROR(AVERAGE(調査集計表!T46,調査集計表!V46),"")</f>
        <v/>
      </c>
      <c r="J46" s="29" t="n">
        <f aca="false">COUNT(調査集計表!T46,調査集計表!V46)</f>
        <v>0</v>
      </c>
      <c r="K46" s="31" t="str">
        <f aca="false">IF($H46="","",ROUND($H46/3*100,1))</f>
        <v/>
      </c>
      <c r="L46" s="31" t="str">
        <f aca="false">IF($I46="","",ROUND($I46/3*100,1))</f>
        <v/>
      </c>
      <c r="M46" s="32" t="str">
        <f aca="false">IFERROR(INDEX(マスタ設定!$E$5:$E$14,MATCH($E46,マスタ設定!$A$5:$A$14,0))/100,"")</f>
        <v/>
      </c>
      <c r="N46" s="32" t="str">
        <f aca="false">IFERROR(INDEX(マスタ設定!$F$5:$F$14,MATCH($E46,マスタ設定!$A$5:$A$14,0))/100,"")</f>
        <v/>
      </c>
      <c r="O46" s="31" t="str">
        <f aca="false">IF(OR($K46="",$L46="",$M46="",$N46=""),"",ROUND($K46*$M46+$L46*$N46,1))</f>
        <v/>
      </c>
      <c r="P46" s="29" t="str">
        <f aca="false">IF($A46="","",IF($O46="","データ不足",IF(AND($G46&gt;=3,$J46&gt;=2),"有効","要確認")))</f>
        <v/>
      </c>
    </row>
    <row r="47" customFormat="false" ht="15" hidden="false" customHeight="false" outlineLevel="0" collapsed="false">
      <c r="A47" s="29" t="str">
        <f aca="false">IF(調査集計表!A47="","",調査集計表!A47)</f>
        <v/>
      </c>
      <c r="B47" s="30" t="str">
        <f aca="false">IF(調査集計表!C47="","",調査集計表!C47)</f>
        <v/>
      </c>
      <c r="C47" s="29" t="str">
        <f aca="false">IF(調査集計表!D47="","",調査集計表!D47)</f>
        <v/>
      </c>
      <c r="D47" s="29" t="str">
        <f aca="false">IF(調査集計表!E47="","",調査集計表!E47)</f>
        <v/>
      </c>
      <c r="E47" s="29" t="str">
        <f aca="false">IF(調査集計表!F47="","",調査集計表!F47)</f>
        <v/>
      </c>
      <c r="F47" s="29" t="str">
        <f aca="false">IF(調査集計表!H47="","",調査集計表!H47)</f>
        <v/>
      </c>
      <c r="G47" s="29" t="n">
        <f aca="false">COUNT(調査集計表!J47,調査集計表!L47,調査集計表!N47,調査集計表!P47,調査集計表!R47)</f>
        <v>0</v>
      </c>
      <c r="H47" s="29" t="str">
        <f aca="false">IF($G47=0,"",MEDIAN(調査集計表!J47,調査集計表!L47,調査集計表!N47,調査集計表!P47,調査集計表!R47))</f>
        <v/>
      </c>
      <c r="I47" s="29" t="str">
        <f aca="false">IFERROR(AVERAGE(調査集計表!T47,調査集計表!V47),"")</f>
        <v/>
      </c>
      <c r="J47" s="29" t="n">
        <f aca="false">COUNT(調査集計表!T47,調査集計表!V47)</f>
        <v>0</v>
      </c>
      <c r="K47" s="31" t="str">
        <f aca="false">IF($H47="","",ROUND($H47/3*100,1))</f>
        <v/>
      </c>
      <c r="L47" s="31" t="str">
        <f aca="false">IF($I47="","",ROUND($I47/3*100,1))</f>
        <v/>
      </c>
      <c r="M47" s="32" t="str">
        <f aca="false">IFERROR(INDEX(マスタ設定!$E$5:$E$14,MATCH($E47,マスタ設定!$A$5:$A$14,0))/100,"")</f>
        <v/>
      </c>
      <c r="N47" s="32" t="str">
        <f aca="false">IFERROR(INDEX(マスタ設定!$F$5:$F$14,MATCH($E47,マスタ設定!$A$5:$A$14,0))/100,"")</f>
        <v/>
      </c>
      <c r="O47" s="31" t="str">
        <f aca="false">IF(OR($K47="",$L47="",$M47="",$N47=""),"",ROUND($K47*$M47+$L47*$N47,1))</f>
        <v/>
      </c>
      <c r="P47" s="29" t="str">
        <f aca="false">IF($A47="","",IF($O47="","データ不足",IF(AND($G47&gt;=3,$J47&gt;=2),"有効","要確認")))</f>
        <v/>
      </c>
    </row>
    <row r="48" customFormat="false" ht="15" hidden="false" customHeight="false" outlineLevel="0" collapsed="false">
      <c r="A48" s="29" t="str">
        <f aca="false">IF(調査集計表!A48="","",調査集計表!A48)</f>
        <v/>
      </c>
      <c r="B48" s="30" t="str">
        <f aca="false">IF(調査集計表!C48="","",調査集計表!C48)</f>
        <v/>
      </c>
      <c r="C48" s="29" t="str">
        <f aca="false">IF(調査集計表!D48="","",調査集計表!D48)</f>
        <v/>
      </c>
      <c r="D48" s="29" t="str">
        <f aca="false">IF(調査集計表!E48="","",調査集計表!E48)</f>
        <v/>
      </c>
      <c r="E48" s="29" t="str">
        <f aca="false">IF(調査集計表!F48="","",調査集計表!F48)</f>
        <v/>
      </c>
      <c r="F48" s="29" t="str">
        <f aca="false">IF(調査集計表!H48="","",調査集計表!H48)</f>
        <v/>
      </c>
      <c r="G48" s="29" t="n">
        <f aca="false">COUNT(調査集計表!J48,調査集計表!L48,調査集計表!N48,調査集計表!P48,調査集計表!R48)</f>
        <v>0</v>
      </c>
      <c r="H48" s="29" t="str">
        <f aca="false">IF($G48=0,"",MEDIAN(調査集計表!J48,調査集計表!L48,調査集計表!N48,調査集計表!P48,調査集計表!R48))</f>
        <v/>
      </c>
      <c r="I48" s="29" t="str">
        <f aca="false">IFERROR(AVERAGE(調査集計表!T48,調査集計表!V48),"")</f>
        <v/>
      </c>
      <c r="J48" s="29" t="n">
        <f aca="false">COUNT(調査集計表!T48,調査集計表!V48)</f>
        <v>0</v>
      </c>
      <c r="K48" s="31" t="str">
        <f aca="false">IF($H48="","",ROUND($H48/3*100,1))</f>
        <v/>
      </c>
      <c r="L48" s="31" t="str">
        <f aca="false">IF($I48="","",ROUND($I48/3*100,1))</f>
        <v/>
      </c>
      <c r="M48" s="32" t="str">
        <f aca="false">IFERROR(INDEX(マスタ設定!$E$5:$E$14,MATCH($E48,マスタ設定!$A$5:$A$14,0))/100,"")</f>
        <v/>
      </c>
      <c r="N48" s="32" t="str">
        <f aca="false">IFERROR(INDEX(マスタ設定!$F$5:$F$14,MATCH($E48,マスタ設定!$A$5:$A$14,0))/100,"")</f>
        <v/>
      </c>
      <c r="O48" s="31" t="str">
        <f aca="false">IF(OR($K48="",$L48="",$M48="",$N48=""),"",ROUND($K48*$M48+$L48*$N48,1))</f>
        <v/>
      </c>
      <c r="P48" s="29" t="str">
        <f aca="false">IF($A48="","",IF($O48="","データ不足",IF(AND($G48&gt;=3,$J48&gt;=2),"有効","要確認")))</f>
        <v/>
      </c>
    </row>
    <row r="49" customFormat="false" ht="15" hidden="false" customHeight="false" outlineLevel="0" collapsed="false">
      <c r="A49" s="29" t="str">
        <f aca="false">IF(調査集計表!A49="","",調査集計表!A49)</f>
        <v/>
      </c>
      <c r="B49" s="30" t="str">
        <f aca="false">IF(調査集計表!C49="","",調査集計表!C49)</f>
        <v/>
      </c>
      <c r="C49" s="29" t="str">
        <f aca="false">IF(調査集計表!D49="","",調査集計表!D49)</f>
        <v/>
      </c>
      <c r="D49" s="29" t="str">
        <f aca="false">IF(調査集計表!E49="","",調査集計表!E49)</f>
        <v/>
      </c>
      <c r="E49" s="29" t="str">
        <f aca="false">IF(調査集計表!F49="","",調査集計表!F49)</f>
        <v/>
      </c>
      <c r="F49" s="29" t="str">
        <f aca="false">IF(調査集計表!H49="","",調査集計表!H49)</f>
        <v/>
      </c>
      <c r="G49" s="29" t="n">
        <f aca="false">COUNT(調査集計表!J49,調査集計表!L49,調査集計表!N49,調査集計表!P49,調査集計表!R49)</f>
        <v>0</v>
      </c>
      <c r="H49" s="29" t="str">
        <f aca="false">IF($G49=0,"",MEDIAN(調査集計表!J49,調査集計表!L49,調査集計表!N49,調査集計表!P49,調査集計表!R49))</f>
        <v/>
      </c>
      <c r="I49" s="29" t="str">
        <f aca="false">IFERROR(AVERAGE(調査集計表!T49,調査集計表!V49),"")</f>
        <v/>
      </c>
      <c r="J49" s="29" t="n">
        <f aca="false">COUNT(調査集計表!T49,調査集計表!V49)</f>
        <v>0</v>
      </c>
      <c r="K49" s="31" t="str">
        <f aca="false">IF($H49="","",ROUND($H49/3*100,1))</f>
        <v/>
      </c>
      <c r="L49" s="31" t="str">
        <f aca="false">IF($I49="","",ROUND($I49/3*100,1))</f>
        <v/>
      </c>
      <c r="M49" s="32" t="str">
        <f aca="false">IFERROR(INDEX(マスタ設定!$E$5:$E$14,MATCH($E49,マスタ設定!$A$5:$A$14,0))/100,"")</f>
        <v/>
      </c>
      <c r="N49" s="32" t="str">
        <f aca="false">IFERROR(INDEX(マスタ設定!$F$5:$F$14,MATCH($E49,マスタ設定!$A$5:$A$14,0))/100,"")</f>
        <v/>
      </c>
      <c r="O49" s="31" t="str">
        <f aca="false">IF(OR($K49="",$L49="",$M49="",$N49=""),"",ROUND($K49*$M49+$L49*$N49,1))</f>
        <v/>
      </c>
      <c r="P49" s="29" t="str">
        <f aca="false">IF($A49="","",IF($O49="","データ不足",IF(AND($G49&gt;=3,$J49&gt;=2),"有効","要確認")))</f>
        <v/>
      </c>
    </row>
    <row r="50" customFormat="false" ht="15" hidden="false" customHeight="false" outlineLevel="0" collapsed="false">
      <c r="A50" s="29" t="str">
        <f aca="false">IF(調査集計表!A50="","",調査集計表!A50)</f>
        <v/>
      </c>
      <c r="B50" s="30" t="str">
        <f aca="false">IF(調査集計表!C50="","",調査集計表!C50)</f>
        <v/>
      </c>
      <c r="C50" s="29" t="str">
        <f aca="false">IF(調査集計表!D50="","",調査集計表!D50)</f>
        <v/>
      </c>
      <c r="D50" s="29" t="str">
        <f aca="false">IF(調査集計表!E50="","",調査集計表!E50)</f>
        <v/>
      </c>
      <c r="E50" s="29" t="str">
        <f aca="false">IF(調査集計表!F50="","",調査集計表!F50)</f>
        <v/>
      </c>
      <c r="F50" s="29" t="str">
        <f aca="false">IF(調査集計表!H50="","",調査集計表!H50)</f>
        <v/>
      </c>
      <c r="G50" s="29" t="n">
        <f aca="false">COUNT(調査集計表!J50,調査集計表!L50,調査集計表!N50,調査集計表!P50,調査集計表!R50)</f>
        <v>0</v>
      </c>
      <c r="H50" s="29" t="str">
        <f aca="false">IF($G50=0,"",MEDIAN(調査集計表!J50,調査集計表!L50,調査集計表!N50,調査集計表!P50,調査集計表!R50))</f>
        <v/>
      </c>
      <c r="I50" s="29" t="str">
        <f aca="false">IFERROR(AVERAGE(調査集計表!T50,調査集計表!V50),"")</f>
        <v/>
      </c>
      <c r="J50" s="29" t="n">
        <f aca="false">COUNT(調査集計表!T50,調査集計表!V50)</f>
        <v>0</v>
      </c>
      <c r="K50" s="31" t="str">
        <f aca="false">IF($H50="","",ROUND($H50/3*100,1))</f>
        <v/>
      </c>
      <c r="L50" s="31" t="str">
        <f aca="false">IF($I50="","",ROUND($I50/3*100,1))</f>
        <v/>
      </c>
      <c r="M50" s="32" t="str">
        <f aca="false">IFERROR(INDEX(マスタ設定!$E$5:$E$14,MATCH($E50,マスタ設定!$A$5:$A$14,0))/100,"")</f>
        <v/>
      </c>
      <c r="N50" s="32" t="str">
        <f aca="false">IFERROR(INDEX(マスタ設定!$F$5:$F$14,MATCH($E50,マスタ設定!$A$5:$A$14,0))/100,"")</f>
        <v/>
      </c>
      <c r="O50" s="31" t="str">
        <f aca="false">IF(OR($K50="",$L50="",$M50="",$N50=""),"",ROUND($K50*$M50+$L50*$N50,1))</f>
        <v/>
      </c>
      <c r="P50" s="29" t="str">
        <f aca="false">IF($A50="","",IF($O50="","データ不足",IF(AND($G50&gt;=3,$J50&gt;=2),"有効","要確認")))</f>
        <v/>
      </c>
    </row>
    <row r="51" customFormat="false" ht="15" hidden="false" customHeight="false" outlineLevel="0" collapsed="false">
      <c r="A51" s="29" t="str">
        <f aca="false">IF(調査集計表!A51="","",調査集計表!A51)</f>
        <v/>
      </c>
      <c r="B51" s="30" t="str">
        <f aca="false">IF(調査集計表!C51="","",調査集計表!C51)</f>
        <v/>
      </c>
      <c r="C51" s="29" t="str">
        <f aca="false">IF(調査集計表!D51="","",調査集計表!D51)</f>
        <v/>
      </c>
      <c r="D51" s="29" t="str">
        <f aca="false">IF(調査集計表!E51="","",調査集計表!E51)</f>
        <v/>
      </c>
      <c r="E51" s="29" t="str">
        <f aca="false">IF(調査集計表!F51="","",調査集計表!F51)</f>
        <v/>
      </c>
      <c r="F51" s="29" t="str">
        <f aca="false">IF(調査集計表!H51="","",調査集計表!H51)</f>
        <v/>
      </c>
      <c r="G51" s="29" t="n">
        <f aca="false">COUNT(調査集計表!J51,調査集計表!L51,調査集計表!N51,調査集計表!P51,調査集計表!R51)</f>
        <v>0</v>
      </c>
      <c r="H51" s="29" t="str">
        <f aca="false">IF($G51=0,"",MEDIAN(調査集計表!J51,調査集計表!L51,調査集計表!N51,調査集計表!P51,調査集計表!R51))</f>
        <v/>
      </c>
      <c r="I51" s="29" t="str">
        <f aca="false">IFERROR(AVERAGE(調査集計表!T51,調査集計表!V51),"")</f>
        <v/>
      </c>
      <c r="J51" s="29" t="n">
        <f aca="false">COUNT(調査集計表!T51,調査集計表!V51)</f>
        <v>0</v>
      </c>
      <c r="K51" s="31" t="str">
        <f aca="false">IF($H51="","",ROUND($H51/3*100,1))</f>
        <v/>
      </c>
      <c r="L51" s="31" t="str">
        <f aca="false">IF($I51="","",ROUND($I51/3*100,1))</f>
        <v/>
      </c>
      <c r="M51" s="32" t="str">
        <f aca="false">IFERROR(INDEX(マスタ設定!$E$5:$E$14,MATCH($E51,マスタ設定!$A$5:$A$14,0))/100,"")</f>
        <v/>
      </c>
      <c r="N51" s="32" t="str">
        <f aca="false">IFERROR(INDEX(マスタ設定!$F$5:$F$14,MATCH($E51,マスタ設定!$A$5:$A$14,0))/100,"")</f>
        <v/>
      </c>
      <c r="O51" s="31" t="str">
        <f aca="false">IF(OR($K51="",$L51="",$M51="",$N51=""),"",ROUND($K51*$M51+$L51*$N51,1))</f>
        <v/>
      </c>
      <c r="P51" s="29" t="str">
        <f aca="false">IF($A51="","",IF($O51="","データ不足",IF(AND($G51&gt;=3,$J51&gt;=2),"有効","要確認")))</f>
        <v/>
      </c>
    </row>
    <row r="52" customFormat="false" ht="15" hidden="false" customHeight="false" outlineLevel="0" collapsed="false">
      <c r="A52" s="29" t="str">
        <f aca="false">IF(調査集計表!A52="","",調査集計表!A52)</f>
        <v/>
      </c>
      <c r="B52" s="30" t="str">
        <f aca="false">IF(調査集計表!C52="","",調査集計表!C52)</f>
        <v/>
      </c>
      <c r="C52" s="29" t="str">
        <f aca="false">IF(調査集計表!D52="","",調査集計表!D52)</f>
        <v/>
      </c>
      <c r="D52" s="29" t="str">
        <f aca="false">IF(調査集計表!E52="","",調査集計表!E52)</f>
        <v/>
      </c>
      <c r="E52" s="29" t="str">
        <f aca="false">IF(調査集計表!F52="","",調査集計表!F52)</f>
        <v/>
      </c>
      <c r="F52" s="29" t="str">
        <f aca="false">IF(調査集計表!H52="","",調査集計表!H52)</f>
        <v/>
      </c>
      <c r="G52" s="29" t="n">
        <f aca="false">COUNT(調査集計表!J52,調査集計表!L52,調査集計表!N52,調査集計表!P52,調査集計表!R52)</f>
        <v>0</v>
      </c>
      <c r="H52" s="29" t="str">
        <f aca="false">IF($G52=0,"",MEDIAN(調査集計表!J52,調査集計表!L52,調査集計表!N52,調査集計表!P52,調査集計表!R52))</f>
        <v/>
      </c>
      <c r="I52" s="29" t="str">
        <f aca="false">IFERROR(AVERAGE(調査集計表!T52,調査集計表!V52),"")</f>
        <v/>
      </c>
      <c r="J52" s="29" t="n">
        <f aca="false">COUNT(調査集計表!T52,調査集計表!V52)</f>
        <v>0</v>
      </c>
      <c r="K52" s="31" t="str">
        <f aca="false">IF($H52="","",ROUND($H52/3*100,1))</f>
        <v/>
      </c>
      <c r="L52" s="31" t="str">
        <f aca="false">IF($I52="","",ROUND($I52/3*100,1))</f>
        <v/>
      </c>
      <c r="M52" s="32" t="str">
        <f aca="false">IFERROR(INDEX(マスタ設定!$E$5:$E$14,MATCH($E52,マスタ設定!$A$5:$A$14,0))/100,"")</f>
        <v/>
      </c>
      <c r="N52" s="32" t="str">
        <f aca="false">IFERROR(INDEX(マスタ設定!$F$5:$F$14,MATCH($E52,マスタ設定!$A$5:$A$14,0))/100,"")</f>
        <v/>
      </c>
      <c r="O52" s="31" t="str">
        <f aca="false">IF(OR($K52="",$L52="",$M52="",$N52=""),"",ROUND($K52*$M52+$L52*$N52,1))</f>
        <v/>
      </c>
      <c r="P52" s="29" t="str">
        <f aca="false">IF($A52="","",IF($O52="","データ不足",IF(AND($G52&gt;=3,$J52&gt;=2),"有効","要確認")))</f>
        <v/>
      </c>
    </row>
    <row r="53" customFormat="false" ht="15" hidden="false" customHeight="false" outlineLevel="0" collapsed="false">
      <c r="A53" s="29" t="str">
        <f aca="false">IF(調査集計表!A53="","",調査集計表!A53)</f>
        <v/>
      </c>
      <c r="B53" s="30" t="str">
        <f aca="false">IF(調査集計表!C53="","",調査集計表!C53)</f>
        <v/>
      </c>
      <c r="C53" s="29" t="str">
        <f aca="false">IF(調査集計表!D53="","",調査集計表!D53)</f>
        <v/>
      </c>
      <c r="D53" s="29" t="str">
        <f aca="false">IF(調査集計表!E53="","",調査集計表!E53)</f>
        <v/>
      </c>
      <c r="E53" s="29" t="str">
        <f aca="false">IF(調査集計表!F53="","",調査集計表!F53)</f>
        <v/>
      </c>
      <c r="F53" s="29" t="str">
        <f aca="false">IF(調査集計表!H53="","",調査集計表!H53)</f>
        <v/>
      </c>
      <c r="G53" s="29" t="n">
        <f aca="false">COUNT(調査集計表!J53,調査集計表!L53,調査集計表!N53,調査集計表!P53,調査集計表!R53)</f>
        <v>0</v>
      </c>
      <c r="H53" s="29" t="str">
        <f aca="false">IF($G53=0,"",MEDIAN(調査集計表!J53,調査集計表!L53,調査集計表!N53,調査集計表!P53,調査集計表!R53))</f>
        <v/>
      </c>
      <c r="I53" s="29" t="str">
        <f aca="false">IFERROR(AVERAGE(調査集計表!T53,調査集計表!V53),"")</f>
        <v/>
      </c>
      <c r="J53" s="29" t="n">
        <f aca="false">COUNT(調査集計表!T53,調査集計表!V53)</f>
        <v>0</v>
      </c>
      <c r="K53" s="31" t="str">
        <f aca="false">IF($H53="","",ROUND($H53/3*100,1))</f>
        <v/>
      </c>
      <c r="L53" s="31" t="str">
        <f aca="false">IF($I53="","",ROUND($I53/3*100,1))</f>
        <v/>
      </c>
      <c r="M53" s="32" t="str">
        <f aca="false">IFERROR(INDEX(マスタ設定!$E$5:$E$14,MATCH($E53,マスタ設定!$A$5:$A$14,0))/100,"")</f>
        <v/>
      </c>
      <c r="N53" s="32" t="str">
        <f aca="false">IFERROR(INDEX(マスタ設定!$F$5:$F$14,MATCH($E53,マスタ設定!$A$5:$A$14,0))/100,"")</f>
        <v/>
      </c>
      <c r="O53" s="31" t="str">
        <f aca="false">IF(OR($K53="",$L53="",$M53="",$N53=""),"",ROUND($K53*$M53+$L53*$N53,1))</f>
        <v/>
      </c>
      <c r="P53" s="29" t="str">
        <f aca="false">IF($A53="","",IF($O53="","データ不足",IF(AND($G53&gt;=3,$J53&gt;=2),"有効","要確認")))</f>
        <v/>
      </c>
    </row>
    <row r="54" customFormat="false" ht="15" hidden="false" customHeight="false" outlineLevel="0" collapsed="false">
      <c r="A54" s="29" t="str">
        <f aca="false">IF(調査集計表!A54="","",調査集計表!A54)</f>
        <v/>
      </c>
      <c r="B54" s="30" t="str">
        <f aca="false">IF(調査集計表!C54="","",調査集計表!C54)</f>
        <v/>
      </c>
      <c r="C54" s="29" t="str">
        <f aca="false">IF(調査集計表!D54="","",調査集計表!D54)</f>
        <v/>
      </c>
      <c r="D54" s="29" t="str">
        <f aca="false">IF(調査集計表!E54="","",調査集計表!E54)</f>
        <v/>
      </c>
      <c r="E54" s="29" t="str">
        <f aca="false">IF(調査集計表!F54="","",調査集計表!F54)</f>
        <v/>
      </c>
      <c r="F54" s="29" t="str">
        <f aca="false">IF(調査集計表!H54="","",調査集計表!H54)</f>
        <v/>
      </c>
      <c r="G54" s="29" t="n">
        <f aca="false">COUNT(調査集計表!J54,調査集計表!L54,調査集計表!N54,調査集計表!P54,調査集計表!R54)</f>
        <v>0</v>
      </c>
      <c r="H54" s="29" t="str">
        <f aca="false">IF($G54=0,"",MEDIAN(調査集計表!J54,調査集計表!L54,調査集計表!N54,調査集計表!P54,調査集計表!R54))</f>
        <v/>
      </c>
      <c r="I54" s="29" t="str">
        <f aca="false">IFERROR(AVERAGE(調査集計表!T54,調査集計表!V54),"")</f>
        <v/>
      </c>
      <c r="J54" s="29" t="n">
        <f aca="false">COUNT(調査集計表!T54,調査集計表!V54)</f>
        <v>0</v>
      </c>
      <c r="K54" s="31" t="str">
        <f aca="false">IF($H54="","",ROUND($H54/3*100,1))</f>
        <v/>
      </c>
      <c r="L54" s="31" t="str">
        <f aca="false">IF($I54="","",ROUND($I54/3*100,1))</f>
        <v/>
      </c>
      <c r="M54" s="32" t="str">
        <f aca="false">IFERROR(INDEX(マスタ設定!$E$5:$E$14,MATCH($E54,マスタ設定!$A$5:$A$14,0))/100,"")</f>
        <v/>
      </c>
      <c r="N54" s="32" t="str">
        <f aca="false">IFERROR(INDEX(マスタ設定!$F$5:$F$14,MATCH($E54,マスタ設定!$A$5:$A$14,0))/100,"")</f>
        <v/>
      </c>
      <c r="O54" s="31" t="str">
        <f aca="false">IF(OR($K54="",$L54="",$M54="",$N54=""),"",ROUND($K54*$M54+$L54*$N54,1))</f>
        <v/>
      </c>
      <c r="P54" s="29" t="str">
        <f aca="false">IF($A54="","",IF($O54="","データ不足",IF(AND($G54&gt;=3,$J54&gt;=2),"有効","要確認")))</f>
        <v/>
      </c>
    </row>
    <row r="55" customFormat="false" ht="15" hidden="false" customHeight="false" outlineLevel="0" collapsed="false">
      <c r="A55" s="29" t="str">
        <f aca="false">IF(調査集計表!A55="","",調査集計表!A55)</f>
        <v/>
      </c>
      <c r="B55" s="30" t="str">
        <f aca="false">IF(調査集計表!C55="","",調査集計表!C55)</f>
        <v/>
      </c>
      <c r="C55" s="29" t="str">
        <f aca="false">IF(調査集計表!D55="","",調査集計表!D55)</f>
        <v/>
      </c>
      <c r="D55" s="29" t="str">
        <f aca="false">IF(調査集計表!E55="","",調査集計表!E55)</f>
        <v/>
      </c>
      <c r="E55" s="29" t="str">
        <f aca="false">IF(調査集計表!F55="","",調査集計表!F55)</f>
        <v/>
      </c>
      <c r="F55" s="29" t="str">
        <f aca="false">IF(調査集計表!H55="","",調査集計表!H55)</f>
        <v/>
      </c>
      <c r="G55" s="29" t="n">
        <f aca="false">COUNT(調査集計表!J55,調査集計表!L55,調査集計表!N55,調査集計表!P55,調査集計表!R55)</f>
        <v>0</v>
      </c>
      <c r="H55" s="29" t="str">
        <f aca="false">IF($G55=0,"",MEDIAN(調査集計表!J55,調査集計表!L55,調査集計表!N55,調査集計表!P55,調査集計表!R55))</f>
        <v/>
      </c>
      <c r="I55" s="29" t="str">
        <f aca="false">IFERROR(AVERAGE(調査集計表!T55,調査集計表!V55),"")</f>
        <v/>
      </c>
      <c r="J55" s="29" t="n">
        <f aca="false">COUNT(調査集計表!T55,調査集計表!V55)</f>
        <v>0</v>
      </c>
      <c r="K55" s="31" t="str">
        <f aca="false">IF($H55="","",ROUND($H55/3*100,1))</f>
        <v/>
      </c>
      <c r="L55" s="31" t="str">
        <f aca="false">IF($I55="","",ROUND($I55/3*100,1))</f>
        <v/>
      </c>
      <c r="M55" s="32" t="str">
        <f aca="false">IFERROR(INDEX(マスタ設定!$E$5:$E$14,MATCH($E55,マスタ設定!$A$5:$A$14,0))/100,"")</f>
        <v/>
      </c>
      <c r="N55" s="32" t="str">
        <f aca="false">IFERROR(INDEX(マスタ設定!$F$5:$F$14,MATCH($E55,マスタ設定!$A$5:$A$14,0))/100,"")</f>
        <v/>
      </c>
      <c r="O55" s="31" t="str">
        <f aca="false">IF(OR($K55="",$L55="",$M55="",$N55=""),"",ROUND($K55*$M55+$L55*$N55,1))</f>
        <v/>
      </c>
      <c r="P55" s="29" t="str">
        <f aca="false">IF($A55="","",IF($O55="","データ不足",IF(AND($G55&gt;=3,$J55&gt;=2),"有効","要確認")))</f>
        <v/>
      </c>
    </row>
    <row r="56" customFormat="false" ht="15" hidden="false" customHeight="false" outlineLevel="0" collapsed="false">
      <c r="A56" s="29" t="str">
        <f aca="false">IF(調査集計表!A56="","",調査集計表!A56)</f>
        <v/>
      </c>
      <c r="B56" s="30" t="str">
        <f aca="false">IF(調査集計表!C56="","",調査集計表!C56)</f>
        <v/>
      </c>
      <c r="C56" s="29" t="str">
        <f aca="false">IF(調査集計表!D56="","",調査集計表!D56)</f>
        <v/>
      </c>
      <c r="D56" s="29" t="str">
        <f aca="false">IF(調査集計表!E56="","",調査集計表!E56)</f>
        <v/>
      </c>
      <c r="E56" s="29" t="str">
        <f aca="false">IF(調査集計表!F56="","",調査集計表!F56)</f>
        <v/>
      </c>
      <c r="F56" s="29" t="str">
        <f aca="false">IF(調査集計表!H56="","",調査集計表!H56)</f>
        <v/>
      </c>
      <c r="G56" s="29" t="n">
        <f aca="false">COUNT(調査集計表!J56,調査集計表!L56,調査集計表!N56,調査集計表!P56,調査集計表!R56)</f>
        <v>0</v>
      </c>
      <c r="H56" s="29" t="str">
        <f aca="false">IF($G56=0,"",MEDIAN(調査集計表!J56,調査集計表!L56,調査集計表!N56,調査集計表!P56,調査集計表!R56))</f>
        <v/>
      </c>
      <c r="I56" s="29" t="str">
        <f aca="false">IFERROR(AVERAGE(調査集計表!T56,調査集計表!V56),"")</f>
        <v/>
      </c>
      <c r="J56" s="29" t="n">
        <f aca="false">COUNT(調査集計表!T56,調査集計表!V56)</f>
        <v>0</v>
      </c>
      <c r="K56" s="31" t="str">
        <f aca="false">IF($H56="","",ROUND($H56/3*100,1))</f>
        <v/>
      </c>
      <c r="L56" s="31" t="str">
        <f aca="false">IF($I56="","",ROUND($I56/3*100,1))</f>
        <v/>
      </c>
      <c r="M56" s="32" t="str">
        <f aca="false">IFERROR(INDEX(マスタ設定!$E$5:$E$14,MATCH($E56,マスタ設定!$A$5:$A$14,0))/100,"")</f>
        <v/>
      </c>
      <c r="N56" s="32" t="str">
        <f aca="false">IFERROR(INDEX(マスタ設定!$F$5:$F$14,MATCH($E56,マスタ設定!$A$5:$A$14,0))/100,"")</f>
        <v/>
      </c>
      <c r="O56" s="31" t="str">
        <f aca="false">IF(OR($K56="",$L56="",$M56="",$N56=""),"",ROUND($K56*$M56+$L56*$N56,1))</f>
        <v/>
      </c>
      <c r="P56" s="29" t="str">
        <f aca="false">IF($A56="","",IF($O56="","データ不足",IF(AND($G56&gt;=3,$J56&gt;=2),"有効","要確認")))</f>
        <v/>
      </c>
    </row>
    <row r="57" customFormat="false" ht="15" hidden="false" customHeight="false" outlineLevel="0" collapsed="false">
      <c r="A57" s="29" t="str">
        <f aca="false">IF(調査集計表!A57="","",調査集計表!A57)</f>
        <v/>
      </c>
      <c r="B57" s="30" t="str">
        <f aca="false">IF(調査集計表!C57="","",調査集計表!C57)</f>
        <v/>
      </c>
      <c r="C57" s="29" t="str">
        <f aca="false">IF(調査集計表!D57="","",調査集計表!D57)</f>
        <v/>
      </c>
      <c r="D57" s="29" t="str">
        <f aca="false">IF(調査集計表!E57="","",調査集計表!E57)</f>
        <v/>
      </c>
      <c r="E57" s="29" t="str">
        <f aca="false">IF(調査集計表!F57="","",調査集計表!F57)</f>
        <v/>
      </c>
      <c r="F57" s="29" t="str">
        <f aca="false">IF(調査集計表!H57="","",調査集計表!H57)</f>
        <v/>
      </c>
      <c r="G57" s="29" t="n">
        <f aca="false">COUNT(調査集計表!J57,調査集計表!L57,調査集計表!N57,調査集計表!P57,調査集計表!R57)</f>
        <v>0</v>
      </c>
      <c r="H57" s="29" t="str">
        <f aca="false">IF($G57=0,"",MEDIAN(調査集計表!J57,調査集計表!L57,調査集計表!N57,調査集計表!P57,調査集計表!R57))</f>
        <v/>
      </c>
      <c r="I57" s="29" t="str">
        <f aca="false">IFERROR(AVERAGE(調査集計表!T57,調査集計表!V57),"")</f>
        <v/>
      </c>
      <c r="J57" s="29" t="n">
        <f aca="false">COUNT(調査集計表!T57,調査集計表!V57)</f>
        <v>0</v>
      </c>
      <c r="K57" s="31" t="str">
        <f aca="false">IF($H57="","",ROUND($H57/3*100,1))</f>
        <v/>
      </c>
      <c r="L57" s="31" t="str">
        <f aca="false">IF($I57="","",ROUND($I57/3*100,1))</f>
        <v/>
      </c>
      <c r="M57" s="32" t="str">
        <f aca="false">IFERROR(INDEX(マスタ設定!$E$5:$E$14,MATCH($E57,マスタ設定!$A$5:$A$14,0))/100,"")</f>
        <v/>
      </c>
      <c r="N57" s="32" t="str">
        <f aca="false">IFERROR(INDEX(マスタ設定!$F$5:$F$14,MATCH($E57,マスタ設定!$A$5:$A$14,0))/100,"")</f>
        <v/>
      </c>
      <c r="O57" s="31" t="str">
        <f aca="false">IF(OR($K57="",$L57="",$M57="",$N57=""),"",ROUND($K57*$M57+$L57*$N57,1))</f>
        <v/>
      </c>
      <c r="P57" s="29" t="str">
        <f aca="false">IF($A57="","",IF($O57="","データ不足",IF(AND($G57&gt;=3,$J57&gt;=2),"有効","要確認")))</f>
        <v/>
      </c>
    </row>
    <row r="58" customFormat="false" ht="15" hidden="false" customHeight="false" outlineLevel="0" collapsed="false">
      <c r="A58" s="29" t="str">
        <f aca="false">IF(調査集計表!A58="","",調査集計表!A58)</f>
        <v/>
      </c>
      <c r="B58" s="30" t="str">
        <f aca="false">IF(調査集計表!C58="","",調査集計表!C58)</f>
        <v/>
      </c>
      <c r="C58" s="29" t="str">
        <f aca="false">IF(調査集計表!D58="","",調査集計表!D58)</f>
        <v/>
      </c>
      <c r="D58" s="29" t="str">
        <f aca="false">IF(調査集計表!E58="","",調査集計表!E58)</f>
        <v/>
      </c>
      <c r="E58" s="29" t="str">
        <f aca="false">IF(調査集計表!F58="","",調査集計表!F58)</f>
        <v/>
      </c>
      <c r="F58" s="29" t="str">
        <f aca="false">IF(調査集計表!H58="","",調査集計表!H58)</f>
        <v/>
      </c>
      <c r="G58" s="29" t="n">
        <f aca="false">COUNT(調査集計表!J58,調査集計表!L58,調査集計表!N58,調査集計表!P58,調査集計表!R58)</f>
        <v>0</v>
      </c>
      <c r="H58" s="29" t="str">
        <f aca="false">IF($G58=0,"",MEDIAN(調査集計表!J58,調査集計表!L58,調査集計表!N58,調査集計表!P58,調査集計表!R58))</f>
        <v/>
      </c>
      <c r="I58" s="29" t="str">
        <f aca="false">IFERROR(AVERAGE(調査集計表!T58,調査集計表!V58),"")</f>
        <v/>
      </c>
      <c r="J58" s="29" t="n">
        <f aca="false">COUNT(調査集計表!T58,調査集計表!V58)</f>
        <v>0</v>
      </c>
      <c r="K58" s="31" t="str">
        <f aca="false">IF($H58="","",ROUND($H58/3*100,1))</f>
        <v/>
      </c>
      <c r="L58" s="31" t="str">
        <f aca="false">IF($I58="","",ROUND($I58/3*100,1))</f>
        <v/>
      </c>
      <c r="M58" s="32" t="str">
        <f aca="false">IFERROR(INDEX(マスタ設定!$E$5:$E$14,MATCH($E58,マスタ設定!$A$5:$A$14,0))/100,"")</f>
        <v/>
      </c>
      <c r="N58" s="32" t="str">
        <f aca="false">IFERROR(INDEX(マスタ設定!$F$5:$F$14,MATCH($E58,マスタ設定!$A$5:$A$14,0))/100,"")</f>
        <v/>
      </c>
      <c r="O58" s="31" t="str">
        <f aca="false">IF(OR($K58="",$L58="",$M58="",$N58=""),"",ROUND($K58*$M58+$L58*$N58,1))</f>
        <v/>
      </c>
      <c r="P58" s="29" t="str">
        <f aca="false">IF($A58="","",IF($O58="","データ不足",IF(AND($G58&gt;=3,$J58&gt;=2),"有効","要確認")))</f>
        <v/>
      </c>
    </row>
    <row r="59" customFormat="false" ht="15" hidden="false" customHeight="false" outlineLevel="0" collapsed="false">
      <c r="A59" s="29" t="str">
        <f aca="false">IF(調査集計表!A59="","",調査集計表!A59)</f>
        <v/>
      </c>
      <c r="B59" s="30" t="str">
        <f aca="false">IF(調査集計表!C59="","",調査集計表!C59)</f>
        <v/>
      </c>
      <c r="C59" s="29" t="str">
        <f aca="false">IF(調査集計表!D59="","",調査集計表!D59)</f>
        <v/>
      </c>
      <c r="D59" s="29" t="str">
        <f aca="false">IF(調査集計表!E59="","",調査集計表!E59)</f>
        <v/>
      </c>
      <c r="E59" s="29" t="str">
        <f aca="false">IF(調査集計表!F59="","",調査集計表!F59)</f>
        <v/>
      </c>
      <c r="F59" s="29" t="str">
        <f aca="false">IF(調査集計表!H59="","",調査集計表!H59)</f>
        <v/>
      </c>
      <c r="G59" s="29" t="n">
        <f aca="false">COUNT(調査集計表!J59,調査集計表!L59,調査集計表!N59,調査集計表!P59,調査集計表!R59)</f>
        <v>0</v>
      </c>
      <c r="H59" s="29" t="str">
        <f aca="false">IF($G59=0,"",MEDIAN(調査集計表!J59,調査集計表!L59,調査集計表!N59,調査集計表!P59,調査集計表!R59))</f>
        <v/>
      </c>
      <c r="I59" s="29" t="str">
        <f aca="false">IFERROR(AVERAGE(調査集計表!T59,調査集計表!V59),"")</f>
        <v/>
      </c>
      <c r="J59" s="29" t="n">
        <f aca="false">COUNT(調査集計表!T59,調査集計表!V59)</f>
        <v>0</v>
      </c>
      <c r="K59" s="31" t="str">
        <f aca="false">IF($H59="","",ROUND($H59/3*100,1))</f>
        <v/>
      </c>
      <c r="L59" s="31" t="str">
        <f aca="false">IF($I59="","",ROUND($I59/3*100,1))</f>
        <v/>
      </c>
      <c r="M59" s="32" t="str">
        <f aca="false">IFERROR(INDEX(マスタ設定!$E$5:$E$14,MATCH($E59,マスタ設定!$A$5:$A$14,0))/100,"")</f>
        <v/>
      </c>
      <c r="N59" s="32" t="str">
        <f aca="false">IFERROR(INDEX(マスタ設定!$F$5:$F$14,MATCH($E59,マスタ設定!$A$5:$A$14,0))/100,"")</f>
        <v/>
      </c>
      <c r="O59" s="31" t="str">
        <f aca="false">IF(OR($K59="",$L59="",$M59="",$N59=""),"",ROUND($K59*$M59+$L59*$N59,1))</f>
        <v/>
      </c>
      <c r="P59" s="29" t="str">
        <f aca="false">IF($A59="","",IF($O59="","データ不足",IF(AND($G59&gt;=3,$J59&gt;=2),"有効","要確認")))</f>
        <v/>
      </c>
    </row>
    <row r="60" customFormat="false" ht="15" hidden="false" customHeight="false" outlineLevel="0" collapsed="false">
      <c r="A60" s="29" t="str">
        <f aca="false">IF(調査集計表!A60="","",調査集計表!A60)</f>
        <v/>
      </c>
      <c r="B60" s="30" t="str">
        <f aca="false">IF(調査集計表!C60="","",調査集計表!C60)</f>
        <v/>
      </c>
      <c r="C60" s="29" t="str">
        <f aca="false">IF(調査集計表!D60="","",調査集計表!D60)</f>
        <v/>
      </c>
      <c r="D60" s="29" t="str">
        <f aca="false">IF(調査集計表!E60="","",調査集計表!E60)</f>
        <v/>
      </c>
      <c r="E60" s="29" t="str">
        <f aca="false">IF(調査集計表!F60="","",調査集計表!F60)</f>
        <v/>
      </c>
      <c r="F60" s="29" t="str">
        <f aca="false">IF(調査集計表!H60="","",調査集計表!H60)</f>
        <v/>
      </c>
      <c r="G60" s="29" t="n">
        <f aca="false">COUNT(調査集計表!J60,調査集計表!L60,調査集計表!N60,調査集計表!P60,調査集計表!R60)</f>
        <v>0</v>
      </c>
      <c r="H60" s="29" t="str">
        <f aca="false">IF($G60=0,"",MEDIAN(調査集計表!J60,調査集計表!L60,調査集計表!N60,調査集計表!P60,調査集計表!R60))</f>
        <v/>
      </c>
      <c r="I60" s="29" t="str">
        <f aca="false">IFERROR(AVERAGE(調査集計表!T60,調査集計表!V60),"")</f>
        <v/>
      </c>
      <c r="J60" s="29" t="n">
        <f aca="false">COUNT(調査集計表!T60,調査集計表!V60)</f>
        <v>0</v>
      </c>
      <c r="K60" s="31" t="str">
        <f aca="false">IF($H60="","",ROUND($H60/3*100,1))</f>
        <v/>
      </c>
      <c r="L60" s="31" t="str">
        <f aca="false">IF($I60="","",ROUND($I60/3*100,1))</f>
        <v/>
      </c>
      <c r="M60" s="32" t="str">
        <f aca="false">IFERROR(INDEX(マスタ設定!$E$5:$E$14,MATCH($E60,マスタ設定!$A$5:$A$14,0))/100,"")</f>
        <v/>
      </c>
      <c r="N60" s="32" t="str">
        <f aca="false">IFERROR(INDEX(マスタ設定!$F$5:$F$14,MATCH($E60,マスタ設定!$A$5:$A$14,0))/100,"")</f>
        <v/>
      </c>
      <c r="O60" s="31" t="str">
        <f aca="false">IF(OR($K60="",$L60="",$M60="",$N60=""),"",ROUND($K60*$M60+$L60*$N60,1))</f>
        <v/>
      </c>
      <c r="P60" s="29" t="str">
        <f aca="false">IF($A60="","",IF($O60="","データ不足",IF(AND($G60&gt;=3,$J60&gt;=2),"有効","要確認")))</f>
        <v/>
      </c>
    </row>
    <row r="61" customFormat="false" ht="15" hidden="false" customHeight="false" outlineLevel="0" collapsed="false">
      <c r="A61" s="29" t="str">
        <f aca="false">IF(調査集計表!A61="","",調査集計表!A61)</f>
        <v/>
      </c>
      <c r="B61" s="30" t="str">
        <f aca="false">IF(調査集計表!C61="","",調査集計表!C61)</f>
        <v/>
      </c>
      <c r="C61" s="29" t="str">
        <f aca="false">IF(調査集計表!D61="","",調査集計表!D61)</f>
        <v/>
      </c>
      <c r="D61" s="29" t="str">
        <f aca="false">IF(調査集計表!E61="","",調査集計表!E61)</f>
        <v/>
      </c>
      <c r="E61" s="29" t="str">
        <f aca="false">IF(調査集計表!F61="","",調査集計表!F61)</f>
        <v/>
      </c>
      <c r="F61" s="29" t="str">
        <f aca="false">IF(調査集計表!H61="","",調査集計表!H61)</f>
        <v/>
      </c>
      <c r="G61" s="29" t="n">
        <f aca="false">COUNT(調査集計表!J61,調査集計表!L61,調査集計表!N61,調査集計表!P61,調査集計表!R61)</f>
        <v>0</v>
      </c>
      <c r="H61" s="29" t="str">
        <f aca="false">IF($G61=0,"",MEDIAN(調査集計表!J61,調査集計表!L61,調査集計表!N61,調査集計表!P61,調査集計表!R61))</f>
        <v/>
      </c>
      <c r="I61" s="29" t="str">
        <f aca="false">IFERROR(AVERAGE(調査集計表!T61,調査集計表!V61),"")</f>
        <v/>
      </c>
      <c r="J61" s="29" t="n">
        <f aca="false">COUNT(調査集計表!T61,調査集計表!V61)</f>
        <v>0</v>
      </c>
      <c r="K61" s="31" t="str">
        <f aca="false">IF($H61="","",ROUND($H61/3*100,1))</f>
        <v/>
      </c>
      <c r="L61" s="31" t="str">
        <f aca="false">IF($I61="","",ROUND($I61/3*100,1))</f>
        <v/>
      </c>
      <c r="M61" s="32" t="str">
        <f aca="false">IFERROR(INDEX(マスタ設定!$E$5:$E$14,MATCH($E61,マスタ設定!$A$5:$A$14,0))/100,"")</f>
        <v/>
      </c>
      <c r="N61" s="32" t="str">
        <f aca="false">IFERROR(INDEX(マスタ設定!$F$5:$F$14,MATCH($E61,マスタ設定!$A$5:$A$14,0))/100,"")</f>
        <v/>
      </c>
      <c r="O61" s="31" t="str">
        <f aca="false">IF(OR($K61="",$L61="",$M61="",$N61=""),"",ROUND($K61*$M61+$L61*$N61,1))</f>
        <v/>
      </c>
      <c r="P61" s="29" t="str">
        <f aca="false">IF($A61="","",IF($O61="","データ不足",IF(AND($G61&gt;=3,$J61&gt;=2),"有効","要確認")))</f>
        <v/>
      </c>
    </row>
    <row r="62" customFormat="false" ht="15" hidden="false" customHeight="false" outlineLevel="0" collapsed="false">
      <c r="A62" s="29" t="str">
        <f aca="false">IF(調査集計表!A62="","",調査集計表!A62)</f>
        <v/>
      </c>
      <c r="B62" s="30" t="str">
        <f aca="false">IF(調査集計表!C62="","",調査集計表!C62)</f>
        <v/>
      </c>
      <c r="C62" s="29" t="str">
        <f aca="false">IF(調査集計表!D62="","",調査集計表!D62)</f>
        <v/>
      </c>
      <c r="D62" s="29" t="str">
        <f aca="false">IF(調査集計表!E62="","",調査集計表!E62)</f>
        <v/>
      </c>
      <c r="E62" s="29" t="str">
        <f aca="false">IF(調査集計表!F62="","",調査集計表!F62)</f>
        <v/>
      </c>
      <c r="F62" s="29" t="str">
        <f aca="false">IF(調査集計表!H62="","",調査集計表!H62)</f>
        <v/>
      </c>
      <c r="G62" s="29" t="n">
        <f aca="false">COUNT(調査集計表!J62,調査集計表!L62,調査集計表!N62,調査集計表!P62,調査集計表!R62)</f>
        <v>0</v>
      </c>
      <c r="H62" s="29" t="str">
        <f aca="false">IF($G62=0,"",MEDIAN(調査集計表!J62,調査集計表!L62,調査集計表!N62,調査集計表!P62,調査集計表!R62))</f>
        <v/>
      </c>
      <c r="I62" s="29" t="str">
        <f aca="false">IFERROR(AVERAGE(調査集計表!T62,調査集計表!V62),"")</f>
        <v/>
      </c>
      <c r="J62" s="29" t="n">
        <f aca="false">COUNT(調査集計表!T62,調査集計表!V62)</f>
        <v>0</v>
      </c>
      <c r="K62" s="31" t="str">
        <f aca="false">IF($H62="","",ROUND($H62/3*100,1))</f>
        <v/>
      </c>
      <c r="L62" s="31" t="str">
        <f aca="false">IF($I62="","",ROUND($I62/3*100,1))</f>
        <v/>
      </c>
      <c r="M62" s="32" t="str">
        <f aca="false">IFERROR(INDEX(マスタ設定!$E$5:$E$14,MATCH($E62,マスタ設定!$A$5:$A$14,0))/100,"")</f>
        <v/>
      </c>
      <c r="N62" s="32" t="str">
        <f aca="false">IFERROR(INDEX(マスタ設定!$F$5:$F$14,MATCH($E62,マスタ設定!$A$5:$A$14,0))/100,"")</f>
        <v/>
      </c>
      <c r="O62" s="31" t="str">
        <f aca="false">IF(OR($K62="",$L62="",$M62="",$N62=""),"",ROUND($K62*$M62+$L62*$N62,1))</f>
        <v/>
      </c>
      <c r="P62" s="29" t="str">
        <f aca="false">IF($A62="","",IF($O62="","データ不足",IF(AND($G62&gt;=3,$J62&gt;=2),"有効","要確認")))</f>
        <v/>
      </c>
    </row>
    <row r="63" customFormat="false" ht="15" hidden="false" customHeight="false" outlineLevel="0" collapsed="false">
      <c r="A63" s="29" t="str">
        <f aca="false">IF(調査集計表!A63="","",調査集計表!A63)</f>
        <v/>
      </c>
      <c r="B63" s="30" t="str">
        <f aca="false">IF(調査集計表!C63="","",調査集計表!C63)</f>
        <v/>
      </c>
      <c r="C63" s="29" t="str">
        <f aca="false">IF(調査集計表!D63="","",調査集計表!D63)</f>
        <v/>
      </c>
      <c r="D63" s="29" t="str">
        <f aca="false">IF(調査集計表!E63="","",調査集計表!E63)</f>
        <v/>
      </c>
      <c r="E63" s="29" t="str">
        <f aca="false">IF(調査集計表!F63="","",調査集計表!F63)</f>
        <v/>
      </c>
      <c r="F63" s="29" t="str">
        <f aca="false">IF(調査集計表!H63="","",調査集計表!H63)</f>
        <v/>
      </c>
      <c r="G63" s="29" t="n">
        <f aca="false">COUNT(調査集計表!J63,調査集計表!L63,調査集計表!N63,調査集計表!P63,調査集計表!R63)</f>
        <v>0</v>
      </c>
      <c r="H63" s="29" t="str">
        <f aca="false">IF($G63=0,"",MEDIAN(調査集計表!J63,調査集計表!L63,調査集計表!N63,調査集計表!P63,調査集計表!R63))</f>
        <v/>
      </c>
      <c r="I63" s="29" t="str">
        <f aca="false">IFERROR(AVERAGE(調査集計表!T63,調査集計表!V63),"")</f>
        <v/>
      </c>
      <c r="J63" s="29" t="n">
        <f aca="false">COUNT(調査集計表!T63,調査集計表!V63)</f>
        <v>0</v>
      </c>
      <c r="K63" s="31" t="str">
        <f aca="false">IF($H63="","",ROUND($H63/3*100,1))</f>
        <v/>
      </c>
      <c r="L63" s="31" t="str">
        <f aca="false">IF($I63="","",ROUND($I63/3*100,1))</f>
        <v/>
      </c>
      <c r="M63" s="32" t="str">
        <f aca="false">IFERROR(INDEX(マスタ設定!$E$5:$E$14,MATCH($E63,マスタ設定!$A$5:$A$14,0))/100,"")</f>
        <v/>
      </c>
      <c r="N63" s="32" t="str">
        <f aca="false">IFERROR(INDEX(マスタ設定!$F$5:$F$14,MATCH($E63,マスタ設定!$A$5:$A$14,0))/100,"")</f>
        <v/>
      </c>
      <c r="O63" s="31" t="str">
        <f aca="false">IF(OR($K63="",$L63="",$M63="",$N63=""),"",ROUND($K63*$M63+$L63*$N63,1))</f>
        <v/>
      </c>
      <c r="P63" s="29" t="str">
        <f aca="false">IF($A63="","",IF($O63="","データ不足",IF(AND($G63&gt;=3,$J63&gt;=2),"有効","要確認")))</f>
        <v/>
      </c>
    </row>
    <row r="64" customFormat="false" ht="15" hidden="false" customHeight="false" outlineLevel="0" collapsed="false">
      <c r="A64" s="29" t="str">
        <f aca="false">IF(調査集計表!A64="","",調査集計表!A64)</f>
        <v/>
      </c>
      <c r="B64" s="30" t="str">
        <f aca="false">IF(調査集計表!C64="","",調査集計表!C64)</f>
        <v/>
      </c>
      <c r="C64" s="29" t="str">
        <f aca="false">IF(調査集計表!D64="","",調査集計表!D64)</f>
        <v/>
      </c>
      <c r="D64" s="29" t="str">
        <f aca="false">IF(調査集計表!E64="","",調査集計表!E64)</f>
        <v/>
      </c>
      <c r="E64" s="29" t="str">
        <f aca="false">IF(調査集計表!F64="","",調査集計表!F64)</f>
        <v/>
      </c>
      <c r="F64" s="29" t="str">
        <f aca="false">IF(調査集計表!H64="","",調査集計表!H64)</f>
        <v/>
      </c>
      <c r="G64" s="29" t="n">
        <f aca="false">COUNT(調査集計表!J64,調査集計表!L64,調査集計表!N64,調査集計表!P64,調査集計表!R64)</f>
        <v>0</v>
      </c>
      <c r="H64" s="29" t="str">
        <f aca="false">IF($G64=0,"",MEDIAN(調査集計表!J64,調査集計表!L64,調査集計表!N64,調査集計表!P64,調査集計表!R64))</f>
        <v/>
      </c>
      <c r="I64" s="29" t="str">
        <f aca="false">IFERROR(AVERAGE(調査集計表!T64,調査集計表!V64),"")</f>
        <v/>
      </c>
      <c r="J64" s="29" t="n">
        <f aca="false">COUNT(調査集計表!T64,調査集計表!V64)</f>
        <v>0</v>
      </c>
      <c r="K64" s="31" t="str">
        <f aca="false">IF($H64="","",ROUND($H64/3*100,1))</f>
        <v/>
      </c>
      <c r="L64" s="31" t="str">
        <f aca="false">IF($I64="","",ROUND($I64/3*100,1))</f>
        <v/>
      </c>
      <c r="M64" s="32" t="str">
        <f aca="false">IFERROR(INDEX(マスタ設定!$E$5:$E$14,MATCH($E64,マスタ設定!$A$5:$A$14,0))/100,"")</f>
        <v/>
      </c>
      <c r="N64" s="32" t="str">
        <f aca="false">IFERROR(INDEX(マスタ設定!$F$5:$F$14,MATCH($E64,マスタ設定!$A$5:$A$14,0))/100,"")</f>
        <v/>
      </c>
      <c r="O64" s="31" t="str">
        <f aca="false">IF(OR($K64="",$L64="",$M64="",$N64=""),"",ROUND($K64*$M64+$L64*$N64,1))</f>
        <v/>
      </c>
      <c r="P64" s="29" t="str">
        <f aca="false">IF($A64="","",IF($O64="","データ不足",IF(AND($G64&gt;=3,$J64&gt;=2),"有効","要確認")))</f>
        <v/>
      </c>
    </row>
    <row r="65" customFormat="false" ht="15" hidden="false" customHeight="false" outlineLevel="0" collapsed="false">
      <c r="A65" s="29" t="str">
        <f aca="false">IF(調査集計表!A65="","",調査集計表!A65)</f>
        <v/>
      </c>
      <c r="B65" s="30" t="str">
        <f aca="false">IF(調査集計表!C65="","",調査集計表!C65)</f>
        <v/>
      </c>
      <c r="C65" s="29" t="str">
        <f aca="false">IF(調査集計表!D65="","",調査集計表!D65)</f>
        <v/>
      </c>
      <c r="D65" s="29" t="str">
        <f aca="false">IF(調査集計表!E65="","",調査集計表!E65)</f>
        <v/>
      </c>
      <c r="E65" s="29" t="str">
        <f aca="false">IF(調査集計表!F65="","",調査集計表!F65)</f>
        <v/>
      </c>
      <c r="F65" s="29" t="str">
        <f aca="false">IF(調査集計表!H65="","",調査集計表!H65)</f>
        <v/>
      </c>
      <c r="G65" s="29" t="n">
        <f aca="false">COUNT(調査集計表!J65,調査集計表!L65,調査集計表!N65,調査集計表!P65,調査集計表!R65)</f>
        <v>0</v>
      </c>
      <c r="H65" s="29" t="str">
        <f aca="false">IF($G65=0,"",MEDIAN(調査集計表!J65,調査集計表!L65,調査集計表!N65,調査集計表!P65,調査集計表!R65))</f>
        <v/>
      </c>
      <c r="I65" s="29" t="str">
        <f aca="false">IFERROR(AVERAGE(調査集計表!T65,調査集計表!V65),"")</f>
        <v/>
      </c>
      <c r="J65" s="29" t="n">
        <f aca="false">COUNT(調査集計表!T65,調査集計表!V65)</f>
        <v>0</v>
      </c>
      <c r="K65" s="31" t="str">
        <f aca="false">IF($H65="","",ROUND($H65/3*100,1))</f>
        <v/>
      </c>
      <c r="L65" s="31" t="str">
        <f aca="false">IF($I65="","",ROUND($I65/3*100,1))</f>
        <v/>
      </c>
      <c r="M65" s="32" t="str">
        <f aca="false">IFERROR(INDEX(マスタ設定!$E$5:$E$14,MATCH($E65,マスタ設定!$A$5:$A$14,0))/100,"")</f>
        <v/>
      </c>
      <c r="N65" s="32" t="str">
        <f aca="false">IFERROR(INDEX(マスタ設定!$F$5:$F$14,MATCH($E65,マスタ設定!$A$5:$A$14,0))/100,"")</f>
        <v/>
      </c>
      <c r="O65" s="31" t="str">
        <f aca="false">IF(OR($K65="",$L65="",$M65="",$N65=""),"",ROUND($K65*$M65+$L65*$N65,1))</f>
        <v/>
      </c>
      <c r="P65" s="29" t="str">
        <f aca="false">IF($A65="","",IF($O65="","データ不足",IF(AND($G65&gt;=3,$J65&gt;=2),"有効","要確認")))</f>
        <v/>
      </c>
    </row>
    <row r="66" customFormat="false" ht="15" hidden="false" customHeight="false" outlineLevel="0" collapsed="false">
      <c r="A66" s="29" t="str">
        <f aca="false">IF(調査集計表!A66="","",調査集計表!A66)</f>
        <v/>
      </c>
      <c r="B66" s="30" t="str">
        <f aca="false">IF(調査集計表!C66="","",調査集計表!C66)</f>
        <v/>
      </c>
      <c r="C66" s="29" t="str">
        <f aca="false">IF(調査集計表!D66="","",調査集計表!D66)</f>
        <v/>
      </c>
      <c r="D66" s="29" t="str">
        <f aca="false">IF(調査集計表!E66="","",調査集計表!E66)</f>
        <v/>
      </c>
      <c r="E66" s="29" t="str">
        <f aca="false">IF(調査集計表!F66="","",調査集計表!F66)</f>
        <v/>
      </c>
      <c r="F66" s="29" t="str">
        <f aca="false">IF(調査集計表!H66="","",調査集計表!H66)</f>
        <v/>
      </c>
      <c r="G66" s="29" t="n">
        <f aca="false">COUNT(調査集計表!J66,調査集計表!L66,調査集計表!N66,調査集計表!P66,調査集計表!R66)</f>
        <v>0</v>
      </c>
      <c r="H66" s="29" t="str">
        <f aca="false">IF($G66=0,"",MEDIAN(調査集計表!J66,調査集計表!L66,調査集計表!N66,調査集計表!P66,調査集計表!R66))</f>
        <v/>
      </c>
      <c r="I66" s="29" t="str">
        <f aca="false">IFERROR(AVERAGE(調査集計表!T66,調査集計表!V66),"")</f>
        <v/>
      </c>
      <c r="J66" s="29" t="n">
        <f aca="false">COUNT(調査集計表!T66,調査集計表!V66)</f>
        <v>0</v>
      </c>
      <c r="K66" s="31" t="str">
        <f aca="false">IF($H66="","",ROUND($H66/3*100,1))</f>
        <v/>
      </c>
      <c r="L66" s="31" t="str">
        <f aca="false">IF($I66="","",ROUND($I66/3*100,1))</f>
        <v/>
      </c>
      <c r="M66" s="32" t="str">
        <f aca="false">IFERROR(INDEX(マスタ設定!$E$5:$E$14,MATCH($E66,マスタ設定!$A$5:$A$14,0))/100,"")</f>
        <v/>
      </c>
      <c r="N66" s="32" t="str">
        <f aca="false">IFERROR(INDEX(マスタ設定!$F$5:$F$14,MATCH($E66,マスタ設定!$A$5:$A$14,0))/100,"")</f>
        <v/>
      </c>
      <c r="O66" s="31" t="str">
        <f aca="false">IF(OR($K66="",$L66="",$M66="",$N66=""),"",ROUND($K66*$M66+$L66*$N66,1))</f>
        <v/>
      </c>
      <c r="P66" s="29" t="str">
        <f aca="false">IF($A66="","",IF($O66="","データ不足",IF(AND($G66&gt;=3,$J66&gt;=2),"有効","要確認")))</f>
        <v/>
      </c>
    </row>
    <row r="67" customFormat="false" ht="15" hidden="false" customHeight="false" outlineLevel="0" collapsed="false">
      <c r="A67" s="29" t="str">
        <f aca="false">IF(調査集計表!A67="","",調査集計表!A67)</f>
        <v/>
      </c>
      <c r="B67" s="30" t="str">
        <f aca="false">IF(調査集計表!C67="","",調査集計表!C67)</f>
        <v/>
      </c>
      <c r="C67" s="29" t="str">
        <f aca="false">IF(調査集計表!D67="","",調査集計表!D67)</f>
        <v/>
      </c>
      <c r="D67" s="29" t="str">
        <f aca="false">IF(調査集計表!E67="","",調査集計表!E67)</f>
        <v/>
      </c>
      <c r="E67" s="29" t="str">
        <f aca="false">IF(調査集計表!F67="","",調査集計表!F67)</f>
        <v/>
      </c>
      <c r="F67" s="29" t="str">
        <f aca="false">IF(調査集計表!H67="","",調査集計表!H67)</f>
        <v/>
      </c>
      <c r="G67" s="29" t="n">
        <f aca="false">COUNT(調査集計表!J67,調査集計表!L67,調査集計表!N67,調査集計表!P67,調査集計表!R67)</f>
        <v>0</v>
      </c>
      <c r="H67" s="29" t="str">
        <f aca="false">IF($G67=0,"",MEDIAN(調査集計表!J67,調査集計表!L67,調査集計表!N67,調査集計表!P67,調査集計表!R67))</f>
        <v/>
      </c>
      <c r="I67" s="29" t="str">
        <f aca="false">IFERROR(AVERAGE(調査集計表!T67,調査集計表!V67),"")</f>
        <v/>
      </c>
      <c r="J67" s="29" t="n">
        <f aca="false">COUNT(調査集計表!T67,調査集計表!V67)</f>
        <v>0</v>
      </c>
      <c r="K67" s="31" t="str">
        <f aca="false">IF($H67="","",ROUND($H67/3*100,1))</f>
        <v/>
      </c>
      <c r="L67" s="31" t="str">
        <f aca="false">IF($I67="","",ROUND($I67/3*100,1))</f>
        <v/>
      </c>
      <c r="M67" s="32" t="str">
        <f aca="false">IFERROR(INDEX(マスタ設定!$E$5:$E$14,MATCH($E67,マスタ設定!$A$5:$A$14,0))/100,"")</f>
        <v/>
      </c>
      <c r="N67" s="32" t="str">
        <f aca="false">IFERROR(INDEX(マスタ設定!$F$5:$F$14,MATCH($E67,マスタ設定!$A$5:$A$14,0))/100,"")</f>
        <v/>
      </c>
      <c r="O67" s="31" t="str">
        <f aca="false">IF(OR($K67="",$L67="",$M67="",$N67=""),"",ROUND($K67*$M67+$L67*$N67,1))</f>
        <v/>
      </c>
      <c r="P67" s="29" t="str">
        <f aca="false">IF($A67="","",IF($O67="","データ不足",IF(AND($G67&gt;=3,$J67&gt;=2),"有効","要確認")))</f>
        <v/>
      </c>
    </row>
    <row r="68" customFormat="false" ht="15" hidden="false" customHeight="false" outlineLevel="0" collapsed="false">
      <c r="A68" s="29" t="str">
        <f aca="false">IF(調査集計表!A68="","",調査集計表!A68)</f>
        <v/>
      </c>
      <c r="B68" s="30" t="str">
        <f aca="false">IF(調査集計表!C68="","",調査集計表!C68)</f>
        <v/>
      </c>
      <c r="C68" s="29" t="str">
        <f aca="false">IF(調査集計表!D68="","",調査集計表!D68)</f>
        <v/>
      </c>
      <c r="D68" s="29" t="str">
        <f aca="false">IF(調査集計表!E68="","",調査集計表!E68)</f>
        <v/>
      </c>
      <c r="E68" s="29" t="str">
        <f aca="false">IF(調査集計表!F68="","",調査集計表!F68)</f>
        <v/>
      </c>
      <c r="F68" s="29" t="str">
        <f aca="false">IF(調査集計表!H68="","",調査集計表!H68)</f>
        <v/>
      </c>
      <c r="G68" s="29" t="n">
        <f aca="false">COUNT(調査集計表!J68,調査集計表!L68,調査集計表!N68,調査集計表!P68,調査集計表!R68)</f>
        <v>0</v>
      </c>
      <c r="H68" s="29" t="str">
        <f aca="false">IF($G68=0,"",MEDIAN(調査集計表!J68,調査集計表!L68,調査集計表!N68,調査集計表!P68,調査集計表!R68))</f>
        <v/>
      </c>
      <c r="I68" s="29" t="str">
        <f aca="false">IFERROR(AVERAGE(調査集計表!T68,調査集計表!V68),"")</f>
        <v/>
      </c>
      <c r="J68" s="29" t="n">
        <f aca="false">COUNT(調査集計表!T68,調査集計表!V68)</f>
        <v>0</v>
      </c>
      <c r="K68" s="31" t="str">
        <f aca="false">IF($H68="","",ROUND($H68/3*100,1))</f>
        <v/>
      </c>
      <c r="L68" s="31" t="str">
        <f aca="false">IF($I68="","",ROUND($I68/3*100,1))</f>
        <v/>
      </c>
      <c r="M68" s="32" t="str">
        <f aca="false">IFERROR(INDEX(マスタ設定!$E$5:$E$14,MATCH($E68,マスタ設定!$A$5:$A$14,0))/100,"")</f>
        <v/>
      </c>
      <c r="N68" s="32" t="str">
        <f aca="false">IFERROR(INDEX(マスタ設定!$F$5:$F$14,MATCH($E68,マスタ設定!$A$5:$A$14,0))/100,"")</f>
        <v/>
      </c>
      <c r="O68" s="31" t="str">
        <f aca="false">IF(OR($K68="",$L68="",$M68="",$N68=""),"",ROUND($K68*$M68+$L68*$N68,1))</f>
        <v/>
      </c>
      <c r="P68" s="29" t="str">
        <f aca="false">IF($A68="","",IF($O68="","データ不足",IF(AND($G68&gt;=3,$J68&gt;=2),"有効","要確認")))</f>
        <v/>
      </c>
    </row>
    <row r="69" customFormat="false" ht="15" hidden="false" customHeight="false" outlineLevel="0" collapsed="false">
      <c r="A69" s="29" t="str">
        <f aca="false">IF(調査集計表!A69="","",調査集計表!A69)</f>
        <v/>
      </c>
      <c r="B69" s="30" t="str">
        <f aca="false">IF(調査集計表!C69="","",調査集計表!C69)</f>
        <v/>
      </c>
      <c r="C69" s="29" t="str">
        <f aca="false">IF(調査集計表!D69="","",調査集計表!D69)</f>
        <v/>
      </c>
      <c r="D69" s="29" t="str">
        <f aca="false">IF(調査集計表!E69="","",調査集計表!E69)</f>
        <v/>
      </c>
      <c r="E69" s="29" t="str">
        <f aca="false">IF(調査集計表!F69="","",調査集計表!F69)</f>
        <v/>
      </c>
      <c r="F69" s="29" t="str">
        <f aca="false">IF(調査集計表!H69="","",調査集計表!H69)</f>
        <v/>
      </c>
      <c r="G69" s="29" t="n">
        <f aca="false">COUNT(調査集計表!J69,調査集計表!L69,調査集計表!N69,調査集計表!P69,調査集計表!R69)</f>
        <v>0</v>
      </c>
      <c r="H69" s="29" t="str">
        <f aca="false">IF($G69=0,"",MEDIAN(調査集計表!J69,調査集計表!L69,調査集計表!N69,調査集計表!P69,調査集計表!R69))</f>
        <v/>
      </c>
      <c r="I69" s="29" t="str">
        <f aca="false">IFERROR(AVERAGE(調査集計表!T69,調査集計表!V69),"")</f>
        <v/>
      </c>
      <c r="J69" s="29" t="n">
        <f aca="false">COUNT(調査集計表!T69,調査集計表!V69)</f>
        <v>0</v>
      </c>
      <c r="K69" s="31" t="str">
        <f aca="false">IF($H69="","",ROUND($H69/3*100,1))</f>
        <v/>
      </c>
      <c r="L69" s="31" t="str">
        <f aca="false">IF($I69="","",ROUND($I69/3*100,1))</f>
        <v/>
      </c>
      <c r="M69" s="32" t="str">
        <f aca="false">IFERROR(INDEX(マスタ設定!$E$5:$E$14,MATCH($E69,マスタ設定!$A$5:$A$14,0))/100,"")</f>
        <v/>
      </c>
      <c r="N69" s="32" t="str">
        <f aca="false">IFERROR(INDEX(マスタ設定!$F$5:$F$14,MATCH($E69,マスタ設定!$A$5:$A$14,0))/100,"")</f>
        <v/>
      </c>
      <c r="O69" s="31" t="str">
        <f aca="false">IF(OR($K69="",$L69="",$M69="",$N69=""),"",ROUND($K69*$M69+$L69*$N69,1))</f>
        <v/>
      </c>
      <c r="P69" s="29" t="str">
        <f aca="false">IF($A69="","",IF($O69="","データ不足",IF(AND($G69&gt;=3,$J69&gt;=2),"有効","要確認")))</f>
        <v/>
      </c>
    </row>
    <row r="70" customFormat="false" ht="15" hidden="false" customHeight="false" outlineLevel="0" collapsed="false">
      <c r="A70" s="29" t="str">
        <f aca="false">IF(調査集計表!A70="","",調査集計表!A70)</f>
        <v/>
      </c>
      <c r="B70" s="30" t="str">
        <f aca="false">IF(調査集計表!C70="","",調査集計表!C70)</f>
        <v/>
      </c>
      <c r="C70" s="29" t="str">
        <f aca="false">IF(調査集計表!D70="","",調査集計表!D70)</f>
        <v/>
      </c>
      <c r="D70" s="29" t="str">
        <f aca="false">IF(調査集計表!E70="","",調査集計表!E70)</f>
        <v/>
      </c>
      <c r="E70" s="29" t="str">
        <f aca="false">IF(調査集計表!F70="","",調査集計表!F70)</f>
        <v/>
      </c>
      <c r="F70" s="29" t="str">
        <f aca="false">IF(調査集計表!H70="","",調査集計表!H70)</f>
        <v/>
      </c>
      <c r="G70" s="29" t="n">
        <f aca="false">COUNT(調査集計表!J70,調査集計表!L70,調査集計表!N70,調査集計表!P70,調査集計表!R70)</f>
        <v>0</v>
      </c>
      <c r="H70" s="29" t="str">
        <f aca="false">IF($G70=0,"",MEDIAN(調査集計表!J70,調査集計表!L70,調査集計表!N70,調査集計表!P70,調査集計表!R70))</f>
        <v/>
      </c>
      <c r="I70" s="29" t="str">
        <f aca="false">IFERROR(AVERAGE(調査集計表!T70,調査集計表!V70),"")</f>
        <v/>
      </c>
      <c r="J70" s="29" t="n">
        <f aca="false">COUNT(調査集計表!T70,調査集計表!V70)</f>
        <v>0</v>
      </c>
      <c r="K70" s="31" t="str">
        <f aca="false">IF($H70="","",ROUND($H70/3*100,1))</f>
        <v/>
      </c>
      <c r="L70" s="31" t="str">
        <f aca="false">IF($I70="","",ROUND($I70/3*100,1))</f>
        <v/>
      </c>
      <c r="M70" s="32" t="str">
        <f aca="false">IFERROR(INDEX(マスタ設定!$E$5:$E$14,MATCH($E70,マスタ設定!$A$5:$A$14,0))/100,"")</f>
        <v/>
      </c>
      <c r="N70" s="32" t="str">
        <f aca="false">IFERROR(INDEX(マスタ設定!$F$5:$F$14,MATCH($E70,マスタ設定!$A$5:$A$14,0))/100,"")</f>
        <v/>
      </c>
      <c r="O70" s="31" t="str">
        <f aca="false">IF(OR($K70="",$L70="",$M70="",$N70=""),"",ROUND($K70*$M70+$L70*$N70,1))</f>
        <v/>
      </c>
      <c r="P70" s="29" t="str">
        <f aca="false">IF($A70="","",IF($O70="","データ不足",IF(AND($G70&gt;=3,$J70&gt;=2),"有効","要確認")))</f>
        <v/>
      </c>
    </row>
    <row r="71" customFormat="false" ht="15" hidden="false" customHeight="false" outlineLevel="0" collapsed="false">
      <c r="A71" s="29" t="str">
        <f aca="false">IF(調査集計表!A71="","",調査集計表!A71)</f>
        <v/>
      </c>
      <c r="B71" s="30" t="str">
        <f aca="false">IF(調査集計表!C71="","",調査集計表!C71)</f>
        <v/>
      </c>
      <c r="C71" s="29" t="str">
        <f aca="false">IF(調査集計表!D71="","",調査集計表!D71)</f>
        <v/>
      </c>
      <c r="D71" s="29" t="str">
        <f aca="false">IF(調査集計表!E71="","",調査集計表!E71)</f>
        <v/>
      </c>
      <c r="E71" s="29" t="str">
        <f aca="false">IF(調査集計表!F71="","",調査集計表!F71)</f>
        <v/>
      </c>
      <c r="F71" s="29" t="str">
        <f aca="false">IF(調査集計表!H71="","",調査集計表!H71)</f>
        <v/>
      </c>
      <c r="G71" s="29" t="n">
        <f aca="false">COUNT(調査集計表!J71,調査集計表!L71,調査集計表!N71,調査集計表!P71,調査集計表!R71)</f>
        <v>0</v>
      </c>
      <c r="H71" s="29" t="str">
        <f aca="false">IF($G71=0,"",MEDIAN(調査集計表!J71,調査集計表!L71,調査集計表!N71,調査集計表!P71,調査集計表!R71))</f>
        <v/>
      </c>
      <c r="I71" s="29" t="str">
        <f aca="false">IFERROR(AVERAGE(調査集計表!T71,調査集計表!V71),"")</f>
        <v/>
      </c>
      <c r="J71" s="29" t="n">
        <f aca="false">COUNT(調査集計表!T71,調査集計表!V71)</f>
        <v>0</v>
      </c>
      <c r="K71" s="31" t="str">
        <f aca="false">IF($H71="","",ROUND($H71/3*100,1))</f>
        <v/>
      </c>
      <c r="L71" s="31" t="str">
        <f aca="false">IF($I71="","",ROUND($I71/3*100,1))</f>
        <v/>
      </c>
      <c r="M71" s="32" t="str">
        <f aca="false">IFERROR(INDEX(マスタ設定!$E$5:$E$14,MATCH($E71,マスタ設定!$A$5:$A$14,0))/100,"")</f>
        <v/>
      </c>
      <c r="N71" s="32" t="str">
        <f aca="false">IFERROR(INDEX(マスタ設定!$F$5:$F$14,MATCH($E71,マスタ設定!$A$5:$A$14,0))/100,"")</f>
        <v/>
      </c>
      <c r="O71" s="31" t="str">
        <f aca="false">IF(OR($K71="",$L71="",$M71="",$N71=""),"",ROUND($K71*$M71+$L71*$N71,1))</f>
        <v/>
      </c>
      <c r="P71" s="29" t="str">
        <f aca="false">IF($A71="","",IF($O71="","データ不足",IF(AND($G71&gt;=3,$J71&gt;=2),"有効","要確認")))</f>
        <v/>
      </c>
    </row>
    <row r="72" customFormat="false" ht="15" hidden="false" customHeight="false" outlineLevel="0" collapsed="false">
      <c r="A72" s="29" t="str">
        <f aca="false">IF(調査集計表!A72="","",調査集計表!A72)</f>
        <v/>
      </c>
      <c r="B72" s="30" t="str">
        <f aca="false">IF(調査集計表!C72="","",調査集計表!C72)</f>
        <v/>
      </c>
      <c r="C72" s="29" t="str">
        <f aca="false">IF(調査集計表!D72="","",調査集計表!D72)</f>
        <v/>
      </c>
      <c r="D72" s="29" t="str">
        <f aca="false">IF(調査集計表!E72="","",調査集計表!E72)</f>
        <v/>
      </c>
      <c r="E72" s="29" t="str">
        <f aca="false">IF(調査集計表!F72="","",調査集計表!F72)</f>
        <v/>
      </c>
      <c r="F72" s="29" t="str">
        <f aca="false">IF(調査集計表!H72="","",調査集計表!H72)</f>
        <v/>
      </c>
      <c r="G72" s="29" t="n">
        <f aca="false">COUNT(調査集計表!J72,調査集計表!L72,調査集計表!N72,調査集計表!P72,調査集計表!R72)</f>
        <v>0</v>
      </c>
      <c r="H72" s="29" t="str">
        <f aca="false">IF($G72=0,"",MEDIAN(調査集計表!J72,調査集計表!L72,調査集計表!N72,調査集計表!P72,調査集計表!R72))</f>
        <v/>
      </c>
      <c r="I72" s="29" t="str">
        <f aca="false">IFERROR(AVERAGE(調査集計表!T72,調査集計表!V72),"")</f>
        <v/>
      </c>
      <c r="J72" s="29" t="n">
        <f aca="false">COUNT(調査集計表!T72,調査集計表!V72)</f>
        <v>0</v>
      </c>
      <c r="K72" s="31" t="str">
        <f aca="false">IF($H72="","",ROUND($H72/3*100,1))</f>
        <v/>
      </c>
      <c r="L72" s="31" t="str">
        <f aca="false">IF($I72="","",ROUND($I72/3*100,1))</f>
        <v/>
      </c>
      <c r="M72" s="32" t="str">
        <f aca="false">IFERROR(INDEX(マスタ設定!$E$5:$E$14,MATCH($E72,マスタ設定!$A$5:$A$14,0))/100,"")</f>
        <v/>
      </c>
      <c r="N72" s="32" t="str">
        <f aca="false">IFERROR(INDEX(マスタ設定!$F$5:$F$14,MATCH($E72,マスタ設定!$A$5:$A$14,0))/100,"")</f>
        <v/>
      </c>
      <c r="O72" s="31" t="str">
        <f aca="false">IF(OR($K72="",$L72="",$M72="",$N72=""),"",ROUND($K72*$M72+$L72*$N72,1))</f>
        <v/>
      </c>
      <c r="P72" s="29" t="str">
        <f aca="false">IF($A72="","",IF($O72="","データ不足",IF(AND($G72&gt;=3,$J72&gt;=2),"有効","要確認")))</f>
        <v/>
      </c>
    </row>
    <row r="73" customFormat="false" ht="15" hidden="false" customHeight="false" outlineLevel="0" collapsed="false">
      <c r="A73" s="29" t="str">
        <f aca="false">IF(調査集計表!A73="","",調査集計表!A73)</f>
        <v/>
      </c>
      <c r="B73" s="30" t="str">
        <f aca="false">IF(調査集計表!C73="","",調査集計表!C73)</f>
        <v/>
      </c>
      <c r="C73" s="29" t="str">
        <f aca="false">IF(調査集計表!D73="","",調査集計表!D73)</f>
        <v/>
      </c>
      <c r="D73" s="29" t="str">
        <f aca="false">IF(調査集計表!E73="","",調査集計表!E73)</f>
        <v/>
      </c>
      <c r="E73" s="29" t="str">
        <f aca="false">IF(調査集計表!F73="","",調査集計表!F73)</f>
        <v/>
      </c>
      <c r="F73" s="29" t="str">
        <f aca="false">IF(調査集計表!H73="","",調査集計表!H73)</f>
        <v/>
      </c>
      <c r="G73" s="29" t="n">
        <f aca="false">COUNT(調査集計表!J73,調査集計表!L73,調査集計表!N73,調査集計表!P73,調査集計表!R73)</f>
        <v>0</v>
      </c>
      <c r="H73" s="29" t="str">
        <f aca="false">IF($G73=0,"",MEDIAN(調査集計表!J73,調査集計表!L73,調査集計表!N73,調査集計表!P73,調査集計表!R73))</f>
        <v/>
      </c>
      <c r="I73" s="29" t="str">
        <f aca="false">IFERROR(AVERAGE(調査集計表!T73,調査集計表!V73),"")</f>
        <v/>
      </c>
      <c r="J73" s="29" t="n">
        <f aca="false">COUNT(調査集計表!T73,調査集計表!V73)</f>
        <v>0</v>
      </c>
      <c r="K73" s="31" t="str">
        <f aca="false">IF($H73="","",ROUND($H73/3*100,1))</f>
        <v/>
      </c>
      <c r="L73" s="31" t="str">
        <f aca="false">IF($I73="","",ROUND($I73/3*100,1))</f>
        <v/>
      </c>
      <c r="M73" s="32" t="str">
        <f aca="false">IFERROR(INDEX(マスタ設定!$E$5:$E$14,MATCH($E73,マスタ設定!$A$5:$A$14,0))/100,"")</f>
        <v/>
      </c>
      <c r="N73" s="32" t="str">
        <f aca="false">IFERROR(INDEX(マスタ設定!$F$5:$F$14,MATCH($E73,マスタ設定!$A$5:$A$14,0))/100,"")</f>
        <v/>
      </c>
      <c r="O73" s="31" t="str">
        <f aca="false">IF(OR($K73="",$L73="",$M73="",$N73=""),"",ROUND($K73*$M73+$L73*$N73,1))</f>
        <v/>
      </c>
      <c r="P73" s="29" t="str">
        <f aca="false">IF($A73="","",IF($O73="","データ不足",IF(AND($G73&gt;=3,$J73&gt;=2),"有効","要確認")))</f>
        <v/>
      </c>
    </row>
    <row r="74" customFormat="false" ht="15" hidden="false" customHeight="false" outlineLevel="0" collapsed="false">
      <c r="A74" s="29" t="str">
        <f aca="false">IF(調査集計表!A74="","",調査集計表!A74)</f>
        <v/>
      </c>
      <c r="B74" s="30" t="str">
        <f aca="false">IF(調査集計表!C74="","",調査集計表!C74)</f>
        <v/>
      </c>
      <c r="C74" s="29" t="str">
        <f aca="false">IF(調査集計表!D74="","",調査集計表!D74)</f>
        <v/>
      </c>
      <c r="D74" s="29" t="str">
        <f aca="false">IF(調査集計表!E74="","",調査集計表!E74)</f>
        <v/>
      </c>
      <c r="E74" s="29" t="str">
        <f aca="false">IF(調査集計表!F74="","",調査集計表!F74)</f>
        <v/>
      </c>
      <c r="F74" s="29" t="str">
        <f aca="false">IF(調査集計表!H74="","",調査集計表!H74)</f>
        <v/>
      </c>
      <c r="G74" s="29" t="n">
        <f aca="false">COUNT(調査集計表!J74,調査集計表!L74,調査集計表!N74,調査集計表!P74,調査集計表!R74)</f>
        <v>0</v>
      </c>
      <c r="H74" s="29" t="str">
        <f aca="false">IF($G74=0,"",MEDIAN(調査集計表!J74,調査集計表!L74,調査集計表!N74,調査集計表!P74,調査集計表!R74))</f>
        <v/>
      </c>
      <c r="I74" s="29" t="str">
        <f aca="false">IFERROR(AVERAGE(調査集計表!T74,調査集計表!V74),"")</f>
        <v/>
      </c>
      <c r="J74" s="29" t="n">
        <f aca="false">COUNT(調査集計表!T74,調査集計表!V74)</f>
        <v>0</v>
      </c>
      <c r="K74" s="31" t="str">
        <f aca="false">IF($H74="","",ROUND($H74/3*100,1))</f>
        <v/>
      </c>
      <c r="L74" s="31" t="str">
        <f aca="false">IF($I74="","",ROUND($I74/3*100,1))</f>
        <v/>
      </c>
      <c r="M74" s="32" t="str">
        <f aca="false">IFERROR(INDEX(マスタ設定!$E$5:$E$14,MATCH($E74,マスタ設定!$A$5:$A$14,0))/100,"")</f>
        <v/>
      </c>
      <c r="N74" s="32" t="str">
        <f aca="false">IFERROR(INDEX(マスタ設定!$F$5:$F$14,MATCH($E74,マスタ設定!$A$5:$A$14,0))/100,"")</f>
        <v/>
      </c>
      <c r="O74" s="31" t="str">
        <f aca="false">IF(OR($K74="",$L74="",$M74="",$N74=""),"",ROUND($K74*$M74+$L74*$N74,1))</f>
        <v/>
      </c>
      <c r="P74" s="29" t="str">
        <f aca="false">IF($A74="","",IF($O74="","データ不足",IF(AND($G74&gt;=3,$J74&gt;=2),"有効","要確認")))</f>
        <v/>
      </c>
    </row>
    <row r="75" customFormat="false" ht="15" hidden="false" customHeight="false" outlineLevel="0" collapsed="false">
      <c r="A75" s="29" t="str">
        <f aca="false">IF(調査集計表!A75="","",調査集計表!A75)</f>
        <v/>
      </c>
      <c r="B75" s="30" t="str">
        <f aca="false">IF(調査集計表!C75="","",調査集計表!C75)</f>
        <v/>
      </c>
      <c r="C75" s="29" t="str">
        <f aca="false">IF(調査集計表!D75="","",調査集計表!D75)</f>
        <v/>
      </c>
      <c r="D75" s="29" t="str">
        <f aca="false">IF(調査集計表!E75="","",調査集計表!E75)</f>
        <v/>
      </c>
      <c r="E75" s="29" t="str">
        <f aca="false">IF(調査集計表!F75="","",調査集計表!F75)</f>
        <v/>
      </c>
      <c r="F75" s="29" t="str">
        <f aca="false">IF(調査集計表!H75="","",調査集計表!H75)</f>
        <v/>
      </c>
      <c r="G75" s="29" t="n">
        <f aca="false">COUNT(調査集計表!J75,調査集計表!L75,調査集計表!N75,調査集計表!P75,調査集計表!R75)</f>
        <v>0</v>
      </c>
      <c r="H75" s="29" t="str">
        <f aca="false">IF($G75=0,"",MEDIAN(調査集計表!J75,調査集計表!L75,調査集計表!N75,調査集計表!P75,調査集計表!R75))</f>
        <v/>
      </c>
      <c r="I75" s="29" t="str">
        <f aca="false">IFERROR(AVERAGE(調査集計表!T75,調査集計表!V75),"")</f>
        <v/>
      </c>
      <c r="J75" s="29" t="n">
        <f aca="false">COUNT(調査集計表!T75,調査集計表!V75)</f>
        <v>0</v>
      </c>
      <c r="K75" s="31" t="str">
        <f aca="false">IF($H75="","",ROUND($H75/3*100,1))</f>
        <v/>
      </c>
      <c r="L75" s="31" t="str">
        <f aca="false">IF($I75="","",ROUND($I75/3*100,1))</f>
        <v/>
      </c>
      <c r="M75" s="32" t="str">
        <f aca="false">IFERROR(INDEX(マスタ設定!$E$5:$E$14,MATCH($E75,マスタ設定!$A$5:$A$14,0))/100,"")</f>
        <v/>
      </c>
      <c r="N75" s="32" t="str">
        <f aca="false">IFERROR(INDEX(マスタ設定!$F$5:$F$14,MATCH($E75,マスタ設定!$A$5:$A$14,0))/100,"")</f>
        <v/>
      </c>
      <c r="O75" s="31" t="str">
        <f aca="false">IF(OR($K75="",$L75="",$M75="",$N75=""),"",ROUND($K75*$M75+$L75*$N75,1))</f>
        <v/>
      </c>
      <c r="P75" s="29" t="str">
        <f aca="false">IF($A75="","",IF($O75="","データ不足",IF(AND($G75&gt;=3,$J75&gt;=2),"有効","要確認")))</f>
        <v/>
      </c>
    </row>
    <row r="76" customFormat="false" ht="15" hidden="false" customHeight="false" outlineLevel="0" collapsed="false">
      <c r="A76" s="29" t="str">
        <f aca="false">IF(調査集計表!A76="","",調査集計表!A76)</f>
        <v/>
      </c>
      <c r="B76" s="30" t="str">
        <f aca="false">IF(調査集計表!C76="","",調査集計表!C76)</f>
        <v/>
      </c>
      <c r="C76" s="29" t="str">
        <f aca="false">IF(調査集計表!D76="","",調査集計表!D76)</f>
        <v/>
      </c>
      <c r="D76" s="29" t="str">
        <f aca="false">IF(調査集計表!E76="","",調査集計表!E76)</f>
        <v/>
      </c>
      <c r="E76" s="29" t="str">
        <f aca="false">IF(調査集計表!F76="","",調査集計表!F76)</f>
        <v/>
      </c>
      <c r="F76" s="29" t="str">
        <f aca="false">IF(調査集計表!H76="","",調査集計表!H76)</f>
        <v/>
      </c>
      <c r="G76" s="29" t="n">
        <f aca="false">COUNT(調査集計表!J76,調査集計表!L76,調査集計表!N76,調査集計表!P76,調査集計表!R76)</f>
        <v>0</v>
      </c>
      <c r="H76" s="29" t="str">
        <f aca="false">IF($G76=0,"",MEDIAN(調査集計表!J76,調査集計表!L76,調査集計表!N76,調査集計表!P76,調査集計表!R76))</f>
        <v/>
      </c>
      <c r="I76" s="29" t="str">
        <f aca="false">IFERROR(AVERAGE(調査集計表!T76,調査集計表!V76),"")</f>
        <v/>
      </c>
      <c r="J76" s="29" t="n">
        <f aca="false">COUNT(調査集計表!T76,調査集計表!V76)</f>
        <v>0</v>
      </c>
      <c r="K76" s="31" t="str">
        <f aca="false">IF($H76="","",ROUND($H76/3*100,1))</f>
        <v/>
      </c>
      <c r="L76" s="31" t="str">
        <f aca="false">IF($I76="","",ROUND($I76/3*100,1))</f>
        <v/>
      </c>
      <c r="M76" s="32" t="str">
        <f aca="false">IFERROR(INDEX(マスタ設定!$E$5:$E$14,MATCH($E76,マスタ設定!$A$5:$A$14,0))/100,"")</f>
        <v/>
      </c>
      <c r="N76" s="32" t="str">
        <f aca="false">IFERROR(INDEX(マスタ設定!$F$5:$F$14,MATCH($E76,マスタ設定!$A$5:$A$14,0))/100,"")</f>
        <v/>
      </c>
      <c r="O76" s="31" t="str">
        <f aca="false">IF(OR($K76="",$L76="",$M76="",$N76=""),"",ROUND($K76*$M76+$L76*$N76,1))</f>
        <v/>
      </c>
      <c r="P76" s="29" t="str">
        <f aca="false">IF($A76="","",IF($O76="","データ不足",IF(AND($G76&gt;=3,$J76&gt;=2),"有効","要確認")))</f>
        <v/>
      </c>
    </row>
    <row r="77" customFormat="false" ht="15" hidden="false" customHeight="false" outlineLevel="0" collapsed="false">
      <c r="A77" s="29" t="str">
        <f aca="false">IF(調査集計表!A77="","",調査集計表!A77)</f>
        <v/>
      </c>
      <c r="B77" s="30" t="str">
        <f aca="false">IF(調査集計表!C77="","",調査集計表!C77)</f>
        <v/>
      </c>
      <c r="C77" s="29" t="str">
        <f aca="false">IF(調査集計表!D77="","",調査集計表!D77)</f>
        <v/>
      </c>
      <c r="D77" s="29" t="str">
        <f aca="false">IF(調査集計表!E77="","",調査集計表!E77)</f>
        <v/>
      </c>
      <c r="E77" s="29" t="str">
        <f aca="false">IF(調査集計表!F77="","",調査集計表!F77)</f>
        <v/>
      </c>
      <c r="F77" s="29" t="str">
        <f aca="false">IF(調査集計表!H77="","",調査集計表!H77)</f>
        <v/>
      </c>
      <c r="G77" s="29" t="n">
        <f aca="false">COUNT(調査集計表!J77,調査集計表!L77,調査集計表!N77,調査集計表!P77,調査集計表!R77)</f>
        <v>0</v>
      </c>
      <c r="H77" s="29" t="str">
        <f aca="false">IF($G77=0,"",MEDIAN(調査集計表!J77,調査集計表!L77,調査集計表!N77,調査集計表!P77,調査集計表!R77))</f>
        <v/>
      </c>
      <c r="I77" s="29" t="str">
        <f aca="false">IFERROR(AVERAGE(調査集計表!T77,調査集計表!V77),"")</f>
        <v/>
      </c>
      <c r="J77" s="29" t="n">
        <f aca="false">COUNT(調査集計表!T77,調査集計表!V77)</f>
        <v>0</v>
      </c>
      <c r="K77" s="31" t="str">
        <f aca="false">IF($H77="","",ROUND($H77/3*100,1))</f>
        <v/>
      </c>
      <c r="L77" s="31" t="str">
        <f aca="false">IF($I77="","",ROUND($I77/3*100,1))</f>
        <v/>
      </c>
      <c r="M77" s="32" t="str">
        <f aca="false">IFERROR(INDEX(マスタ設定!$E$5:$E$14,MATCH($E77,マスタ設定!$A$5:$A$14,0))/100,"")</f>
        <v/>
      </c>
      <c r="N77" s="32" t="str">
        <f aca="false">IFERROR(INDEX(マスタ設定!$F$5:$F$14,MATCH($E77,マスタ設定!$A$5:$A$14,0))/100,"")</f>
        <v/>
      </c>
      <c r="O77" s="31" t="str">
        <f aca="false">IF(OR($K77="",$L77="",$M77="",$N77=""),"",ROUND($K77*$M77+$L77*$N77,1))</f>
        <v/>
      </c>
      <c r="P77" s="29" t="str">
        <f aca="false">IF($A77="","",IF($O77="","データ不足",IF(AND($G77&gt;=3,$J77&gt;=2),"有効","要確認")))</f>
        <v/>
      </c>
    </row>
    <row r="78" customFormat="false" ht="15" hidden="false" customHeight="false" outlineLevel="0" collapsed="false">
      <c r="A78" s="29" t="str">
        <f aca="false">IF(調査集計表!A78="","",調査集計表!A78)</f>
        <v/>
      </c>
      <c r="B78" s="30" t="str">
        <f aca="false">IF(調査集計表!C78="","",調査集計表!C78)</f>
        <v/>
      </c>
      <c r="C78" s="29" t="str">
        <f aca="false">IF(調査集計表!D78="","",調査集計表!D78)</f>
        <v/>
      </c>
      <c r="D78" s="29" t="str">
        <f aca="false">IF(調査集計表!E78="","",調査集計表!E78)</f>
        <v/>
      </c>
      <c r="E78" s="29" t="str">
        <f aca="false">IF(調査集計表!F78="","",調査集計表!F78)</f>
        <v/>
      </c>
      <c r="F78" s="29" t="str">
        <f aca="false">IF(調査集計表!H78="","",調査集計表!H78)</f>
        <v/>
      </c>
      <c r="G78" s="29" t="n">
        <f aca="false">COUNT(調査集計表!J78,調査集計表!L78,調査集計表!N78,調査集計表!P78,調査集計表!R78)</f>
        <v>0</v>
      </c>
      <c r="H78" s="29" t="str">
        <f aca="false">IF($G78=0,"",MEDIAN(調査集計表!J78,調査集計表!L78,調査集計表!N78,調査集計表!P78,調査集計表!R78))</f>
        <v/>
      </c>
      <c r="I78" s="29" t="str">
        <f aca="false">IFERROR(AVERAGE(調査集計表!T78,調査集計表!V78),"")</f>
        <v/>
      </c>
      <c r="J78" s="29" t="n">
        <f aca="false">COUNT(調査集計表!T78,調査集計表!V78)</f>
        <v>0</v>
      </c>
      <c r="K78" s="31" t="str">
        <f aca="false">IF($H78="","",ROUND($H78/3*100,1))</f>
        <v/>
      </c>
      <c r="L78" s="31" t="str">
        <f aca="false">IF($I78="","",ROUND($I78/3*100,1))</f>
        <v/>
      </c>
      <c r="M78" s="32" t="str">
        <f aca="false">IFERROR(INDEX(マスタ設定!$E$5:$E$14,MATCH($E78,マスタ設定!$A$5:$A$14,0))/100,"")</f>
        <v/>
      </c>
      <c r="N78" s="32" t="str">
        <f aca="false">IFERROR(INDEX(マスタ設定!$F$5:$F$14,MATCH($E78,マスタ設定!$A$5:$A$14,0))/100,"")</f>
        <v/>
      </c>
      <c r="O78" s="31" t="str">
        <f aca="false">IF(OR($K78="",$L78="",$M78="",$N78=""),"",ROUND($K78*$M78+$L78*$N78,1))</f>
        <v/>
      </c>
      <c r="P78" s="29" t="str">
        <f aca="false">IF($A78="","",IF($O78="","データ不足",IF(AND($G78&gt;=3,$J78&gt;=2),"有効","要確認")))</f>
        <v/>
      </c>
    </row>
    <row r="79" customFormat="false" ht="15" hidden="false" customHeight="false" outlineLevel="0" collapsed="false">
      <c r="A79" s="29" t="str">
        <f aca="false">IF(調査集計表!A79="","",調査集計表!A79)</f>
        <v/>
      </c>
      <c r="B79" s="30" t="str">
        <f aca="false">IF(調査集計表!C79="","",調査集計表!C79)</f>
        <v/>
      </c>
      <c r="C79" s="29" t="str">
        <f aca="false">IF(調査集計表!D79="","",調査集計表!D79)</f>
        <v/>
      </c>
      <c r="D79" s="29" t="str">
        <f aca="false">IF(調査集計表!E79="","",調査集計表!E79)</f>
        <v/>
      </c>
      <c r="E79" s="29" t="str">
        <f aca="false">IF(調査集計表!F79="","",調査集計表!F79)</f>
        <v/>
      </c>
      <c r="F79" s="29" t="str">
        <f aca="false">IF(調査集計表!H79="","",調査集計表!H79)</f>
        <v/>
      </c>
      <c r="G79" s="29" t="n">
        <f aca="false">COUNT(調査集計表!J79,調査集計表!L79,調査集計表!N79,調査集計表!P79,調査集計表!R79)</f>
        <v>0</v>
      </c>
      <c r="H79" s="29" t="str">
        <f aca="false">IF($G79=0,"",MEDIAN(調査集計表!J79,調査集計表!L79,調査集計表!N79,調査集計表!P79,調査集計表!R79))</f>
        <v/>
      </c>
      <c r="I79" s="29" t="str">
        <f aca="false">IFERROR(AVERAGE(調査集計表!T79,調査集計表!V79),"")</f>
        <v/>
      </c>
      <c r="J79" s="29" t="n">
        <f aca="false">COUNT(調査集計表!T79,調査集計表!V79)</f>
        <v>0</v>
      </c>
      <c r="K79" s="31" t="str">
        <f aca="false">IF($H79="","",ROUND($H79/3*100,1))</f>
        <v/>
      </c>
      <c r="L79" s="31" t="str">
        <f aca="false">IF($I79="","",ROUND($I79/3*100,1))</f>
        <v/>
      </c>
      <c r="M79" s="32" t="str">
        <f aca="false">IFERROR(INDEX(マスタ設定!$E$5:$E$14,MATCH($E79,マスタ設定!$A$5:$A$14,0))/100,"")</f>
        <v/>
      </c>
      <c r="N79" s="32" t="str">
        <f aca="false">IFERROR(INDEX(マスタ設定!$F$5:$F$14,MATCH($E79,マスタ設定!$A$5:$A$14,0))/100,"")</f>
        <v/>
      </c>
      <c r="O79" s="31" t="str">
        <f aca="false">IF(OR($K79="",$L79="",$M79="",$N79=""),"",ROUND($K79*$M79+$L79*$N79,1))</f>
        <v/>
      </c>
      <c r="P79" s="29" t="str">
        <f aca="false">IF($A79="","",IF($O79="","データ不足",IF(AND($G79&gt;=3,$J79&gt;=2),"有効","要確認")))</f>
        <v/>
      </c>
    </row>
    <row r="80" customFormat="false" ht="15" hidden="false" customHeight="false" outlineLevel="0" collapsed="false">
      <c r="A80" s="29" t="str">
        <f aca="false">IF(調査集計表!A80="","",調査集計表!A80)</f>
        <v/>
      </c>
      <c r="B80" s="30" t="str">
        <f aca="false">IF(調査集計表!C80="","",調査集計表!C80)</f>
        <v/>
      </c>
      <c r="C80" s="29" t="str">
        <f aca="false">IF(調査集計表!D80="","",調査集計表!D80)</f>
        <v/>
      </c>
      <c r="D80" s="29" t="str">
        <f aca="false">IF(調査集計表!E80="","",調査集計表!E80)</f>
        <v/>
      </c>
      <c r="E80" s="29" t="str">
        <f aca="false">IF(調査集計表!F80="","",調査集計表!F80)</f>
        <v/>
      </c>
      <c r="F80" s="29" t="str">
        <f aca="false">IF(調査集計表!H80="","",調査集計表!H80)</f>
        <v/>
      </c>
      <c r="G80" s="29" t="n">
        <f aca="false">COUNT(調査集計表!J80,調査集計表!L80,調査集計表!N80,調査集計表!P80,調査集計表!R80)</f>
        <v>0</v>
      </c>
      <c r="H80" s="29" t="str">
        <f aca="false">IF($G80=0,"",MEDIAN(調査集計表!J80,調査集計表!L80,調査集計表!N80,調査集計表!P80,調査集計表!R80))</f>
        <v/>
      </c>
      <c r="I80" s="29" t="str">
        <f aca="false">IFERROR(AVERAGE(調査集計表!T80,調査集計表!V80),"")</f>
        <v/>
      </c>
      <c r="J80" s="29" t="n">
        <f aca="false">COUNT(調査集計表!T80,調査集計表!V80)</f>
        <v>0</v>
      </c>
      <c r="K80" s="31" t="str">
        <f aca="false">IF($H80="","",ROUND($H80/3*100,1))</f>
        <v/>
      </c>
      <c r="L80" s="31" t="str">
        <f aca="false">IF($I80="","",ROUND($I80/3*100,1))</f>
        <v/>
      </c>
      <c r="M80" s="32" t="str">
        <f aca="false">IFERROR(INDEX(マスタ設定!$E$5:$E$14,MATCH($E80,マスタ設定!$A$5:$A$14,0))/100,"")</f>
        <v/>
      </c>
      <c r="N80" s="32" t="str">
        <f aca="false">IFERROR(INDEX(マスタ設定!$F$5:$F$14,MATCH($E80,マスタ設定!$A$5:$A$14,0))/100,"")</f>
        <v/>
      </c>
      <c r="O80" s="31" t="str">
        <f aca="false">IF(OR($K80="",$L80="",$M80="",$N80=""),"",ROUND($K80*$M80+$L80*$N80,1))</f>
        <v/>
      </c>
      <c r="P80" s="29" t="str">
        <f aca="false">IF($A80="","",IF($O80="","データ不足",IF(AND($G80&gt;=3,$J80&gt;=2),"有効","要確認")))</f>
        <v/>
      </c>
    </row>
    <row r="81" customFormat="false" ht="15" hidden="false" customHeight="false" outlineLevel="0" collapsed="false">
      <c r="A81" s="29" t="str">
        <f aca="false">IF(調査集計表!A81="","",調査集計表!A81)</f>
        <v/>
      </c>
      <c r="B81" s="30" t="str">
        <f aca="false">IF(調査集計表!C81="","",調査集計表!C81)</f>
        <v/>
      </c>
      <c r="C81" s="29" t="str">
        <f aca="false">IF(調査集計表!D81="","",調査集計表!D81)</f>
        <v/>
      </c>
      <c r="D81" s="29" t="str">
        <f aca="false">IF(調査集計表!E81="","",調査集計表!E81)</f>
        <v/>
      </c>
      <c r="E81" s="29" t="str">
        <f aca="false">IF(調査集計表!F81="","",調査集計表!F81)</f>
        <v/>
      </c>
      <c r="F81" s="29" t="str">
        <f aca="false">IF(調査集計表!H81="","",調査集計表!H81)</f>
        <v/>
      </c>
      <c r="G81" s="29" t="n">
        <f aca="false">COUNT(調査集計表!J81,調査集計表!L81,調査集計表!N81,調査集計表!P81,調査集計表!R81)</f>
        <v>0</v>
      </c>
      <c r="H81" s="29" t="str">
        <f aca="false">IF($G81=0,"",MEDIAN(調査集計表!J81,調査集計表!L81,調査集計表!N81,調査集計表!P81,調査集計表!R81))</f>
        <v/>
      </c>
      <c r="I81" s="29" t="str">
        <f aca="false">IFERROR(AVERAGE(調査集計表!T81,調査集計表!V81),"")</f>
        <v/>
      </c>
      <c r="J81" s="29" t="n">
        <f aca="false">COUNT(調査集計表!T81,調査集計表!V81)</f>
        <v>0</v>
      </c>
      <c r="K81" s="31" t="str">
        <f aca="false">IF($H81="","",ROUND($H81/3*100,1))</f>
        <v/>
      </c>
      <c r="L81" s="31" t="str">
        <f aca="false">IF($I81="","",ROUND($I81/3*100,1))</f>
        <v/>
      </c>
      <c r="M81" s="32" t="str">
        <f aca="false">IFERROR(INDEX(マスタ設定!$E$5:$E$14,MATCH($E81,マスタ設定!$A$5:$A$14,0))/100,"")</f>
        <v/>
      </c>
      <c r="N81" s="32" t="str">
        <f aca="false">IFERROR(INDEX(マスタ設定!$F$5:$F$14,MATCH($E81,マスタ設定!$A$5:$A$14,0))/100,"")</f>
        <v/>
      </c>
      <c r="O81" s="31" t="str">
        <f aca="false">IF(OR($K81="",$L81="",$M81="",$N81=""),"",ROUND($K81*$M81+$L81*$N81,1))</f>
        <v/>
      </c>
      <c r="P81" s="29" t="str">
        <f aca="false">IF($A81="","",IF($O81="","データ不足",IF(AND($G81&gt;=3,$J81&gt;=2),"有効","要確認")))</f>
        <v/>
      </c>
    </row>
    <row r="82" customFormat="false" ht="15" hidden="false" customHeight="false" outlineLevel="0" collapsed="false">
      <c r="A82" s="29" t="str">
        <f aca="false">IF(調査集計表!A82="","",調査集計表!A82)</f>
        <v/>
      </c>
      <c r="B82" s="30" t="str">
        <f aca="false">IF(調査集計表!C82="","",調査集計表!C82)</f>
        <v/>
      </c>
      <c r="C82" s="29" t="str">
        <f aca="false">IF(調査集計表!D82="","",調査集計表!D82)</f>
        <v/>
      </c>
      <c r="D82" s="29" t="str">
        <f aca="false">IF(調査集計表!E82="","",調査集計表!E82)</f>
        <v/>
      </c>
      <c r="E82" s="29" t="str">
        <f aca="false">IF(調査集計表!F82="","",調査集計表!F82)</f>
        <v/>
      </c>
      <c r="F82" s="29" t="str">
        <f aca="false">IF(調査集計表!H82="","",調査集計表!H82)</f>
        <v/>
      </c>
      <c r="G82" s="29" t="n">
        <f aca="false">COUNT(調査集計表!J82,調査集計表!L82,調査集計表!N82,調査集計表!P82,調査集計表!R82)</f>
        <v>0</v>
      </c>
      <c r="H82" s="29" t="str">
        <f aca="false">IF($G82=0,"",MEDIAN(調査集計表!J82,調査集計表!L82,調査集計表!N82,調査集計表!P82,調査集計表!R82))</f>
        <v/>
      </c>
      <c r="I82" s="29" t="str">
        <f aca="false">IFERROR(AVERAGE(調査集計表!T82,調査集計表!V82),"")</f>
        <v/>
      </c>
      <c r="J82" s="29" t="n">
        <f aca="false">COUNT(調査集計表!T82,調査集計表!V82)</f>
        <v>0</v>
      </c>
      <c r="K82" s="31" t="str">
        <f aca="false">IF($H82="","",ROUND($H82/3*100,1))</f>
        <v/>
      </c>
      <c r="L82" s="31" t="str">
        <f aca="false">IF($I82="","",ROUND($I82/3*100,1))</f>
        <v/>
      </c>
      <c r="M82" s="32" t="str">
        <f aca="false">IFERROR(INDEX(マスタ設定!$E$5:$E$14,MATCH($E82,マスタ設定!$A$5:$A$14,0))/100,"")</f>
        <v/>
      </c>
      <c r="N82" s="32" t="str">
        <f aca="false">IFERROR(INDEX(マスタ設定!$F$5:$F$14,MATCH($E82,マスタ設定!$A$5:$A$14,0))/100,"")</f>
        <v/>
      </c>
      <c r="O82" s="31" t="str">
        <f aca="false">IF(OR($K82="",$L82="",$M82="",$N82=""),"",ROUND($K82*$M82+$L82*$N82,1))</f>
        <v/>
      </c>
      <c r="P82" s="29" t="str">
        <f aca="false">IF($A82="","",IF($O82="","データ不足",IF(AND($G82&gt;=3,$J82&gt;=2),"有効","要確認")))</f>
        <v/>
      </c>
    </row>
    <row r="83" customFormat="false" ht="15" hidden="false" customHeight="false" outlineLevel="0" collapsed="false">
      <c r="A83" s="29" t="str">
        <f aca="false">IF(調査集計表!A83="","",調査集計表!A83)</f>
        <v/>
      </c>
      <c r="B83" s="30" t="str">
        <f aca="false">IF(調査集計表!C83="","",調査集計表!C83)</f>
        <v/>
      </c>
      <c r="C83" s="29" t="str">
        <f aca="false">IF(調査集計表!D83="","",調査集計表!D83)</f>
        <v/>
      </c>
      <c r="D83" s="29" t="str">
        <f aca="false">IF(調査集計表!E83="","",調査集計表!E83)</f>
        <v/>
      </c>
      <c r="E83" s="29" t="str">
        <f aca="false">IF(調査集計表!F83="","",調査集計表!F83)</f>
        <v/>
      </c>
      <c r="F83" s="29" t="str">
        <f aca="false">IF(調査集計表!H83="","",調査集計表!H83)</f>
        <v/>
      </c>
      <c r="G83" s="29" t="n">
        <f aca="false">COUNT(調査集計表!J83,調査集計表!L83,調査集計表!N83,調査集計表!P83,調査集計表!R83)</f>
        <v>0</v>
      </c>
      <c r="H83" s="29" t="str">
        <f aca="false">IF($G83=0,"",MEDIAN(調査集計表!J83,調査集計表!L83,調査集計表!N83,調査集計表!P83,調査集計表!R83))</f>
        <v/>
      </c>
      <c r="I83" s="29" t="str">
        <f aca="false">IFERROR(AVERAGE(調査集計表!T83,調査集計表!V83),"")</f>
        <v/>
      </c>
      <c r="J83" s="29" t="n">
        <f aca="false">COUNT(調査集計表!T83,調査集計表!V83)</f>
        <v>0</v>
      </c>
      <c r="K83" s="31" t="str">
        <f aca="false">IF($H83="","",ROUND($H83/3*100,1))</f>
        <v/>
      </c>
      <c r="L83" s="31" t="str">
        <f aca="false">IF($I83="","",ROUND($I83/3*100,1))</f>
        <v/>
      </c>
      <c r="M83" s="32" t="str">
        <f aca="false">IFERROR(INDEX(マスタ設定!$E$5:$E$14,MATCH($E83,マスタ設定!$A$5:$A$14,0))/100,"")</f>
        <v/>
      </c>
      <c r="N83" s="32" t="str">
        <f aca="false">IFERROR(INDEX(マスタ設定!$F$5:$F$14,MATCH($E83,マスタ設定!$A$5:$A$14,0))/100,"")</f>
        <v/>
      </c>
      <c r="O83" s="31" t="str">
        <f aca="false">IF(OR($K83="",$L83="",$M83="",$N83=""),"",ROUND($K83*$M83+$L83*$N83,1))</f>
        <v/>
      </c>
      <c r="P83" s="29" t="str">
        <f aca="false">IF($A83="","",IF($O83="","データ不足",IF(AND($G83&gt;=3,$J83&gt;=2),"有効","要確認")))</f>
        <v/>
      </c>
    </row>
    <row r="84" customFormat="false" ht="15" hidden="false" customHeight="false" outlineLevel="0" collapsed="false">
      <c r="A84" s="29" t="str">
        <f aca="false">IF(調査集計表!A84="","",調査集計表!A84)</f>
        <v/>
      </c>
      <c r="B84" s="30" t="str">
        <f aca="false">IF(調査集計表!C84="","",調査集計表!C84)</f>
        <v/>
      </c>
      <c r="C84" s="29" t="str">
        <f aca="false">IF(調査集計表!D84="","",調査集計表!D84)</f>
        <v/>
      </c>
      <c r="D84" s="29" t="str">
        <f aca="false">IF(調査集計表!E84="","",調査集計表!E84)</f>
        <v/>
      </c>
      <c r="E84" s="29" t="str">
        <f aca="false">IF(調査集計表!F84="","",調査集計表!F84)</f>
        <v/>
      </c>
      <c r="F84" s="29" t="str">
        <f aca="false">IF(調査集計表!H84="","",調査集計表!H84)</f>
        <v/>
      </c>
      <c r="G84" s="29" t="n">
        <f aca="false">COUNT(調査集計表!J84,調査集計表!L84,調査集計表!N84,調査集計表!P84,調査集計表!R84)</f>
        <v>0</v>
      </c>
      <c r="H84" s="29" t="str">
        <f aca="false">IF($G84=0,"",MEDIAN(調査集計表!J84,調査集計表!L84,調査集計表!N84,調査集計表!P84,調査集計表!R84))</f>
        <v/>
      </c>
      <c r="I84" s="29" t="str">
        <f aca="false">IFERROR(AVERAGE(調査集計表!T84,調査集計表!V84),"")</f>
        <v/>
      </c>
      <c r="J84" s="29" t="n">
        <f aca="false">COUNT(調査集計表!T84,調査集計表!V84)</f>
        <v>0</v>
      </c>
      <c r="K84" s="31" t="str">
        <f aca="false">IF($H84="","",ROUND($H84/3*100,1))</f>
        <v/>
      </c>
      <c r="L84" s="31" t="str">
        <f aca="false">IF($I84="","",ROUND($I84/3*100,1))</f>
        <v/>
      </c>
      <c r="M84" s="32" t="str">
        <f aca="false">IFERROR(INDEX(マスタ設定!$E$5:$E$14,MATCH($E84,マスタ設定!$A$5:$A$14,0))/100,"")</f>
        <v/>
      </c>
      <c r="N84" s="32" t="str">
        <f aca="false">IFERROR(INDEX(マスタ設定!$F$5:$F$14,MATCH($E84,マスタ設定!$A$5:$A$14,0))/100,"")</f>
        <v/>
      </c>
      <c r="O84" s="31" t="str">
        <f aca="false">IF(OR($K84="",$L84="",$M84="",$N84=""),"",ROUND($K84*$M84+$L84*$N84,1))</f>
        <v/>
      </c>
      <c r="P84" s="29" t="str">
        <f aca="false">IF($A84="","",IF($O84="","データ不足",IF(AND($G84&gt;=3,$J84&gt;=2),"有効","要確認")))</f>
        <v/>
      </c>
    </row>
    <row r="85" customFormat="false" ht="15" hidden="false" customHeight="false" outlineLevel="0" collapsed="false">
      <c r="A85" s="29" t="str">
        <f aca="false">IF(調査集計表!A85="","",調査集計表!A85)</f>
        <v/>
      </c>
      <c r="B85" s="30" t="str">
        <f aca="false">IF(調査集計表!C85="","",調査集計表!C85)</f>
        <v/>
      </c>
      <c r="C85" s="29" t="str">
        <f aca="false">IF(調査集計表!D85="","",調査集計表!D85)</f>
        <v/>
      </c>
      <c r="D85" s="29" t="str">
        <f aca="false">IF(調査集計表!E85="","",調査集計表!E85)</f>
        <v/>
      </c>
      <c r="E85" s="29" t="str">
        <f aca="false">IF(調査集計表!F85="","",調査集計表!F85)</f>
        <v/>
      </c>
      <c r="F85" s="29" t="str">
        <f aca="false">IF(調査集計表!H85="","",調査集計表!H85)</f>
        <v/>
      </c>
      <c r="G85" s="29" t="n">
        <f aca="false">COUNT(調査集計表!J85,調査集計表!L85,調査集計表!N85,調査集計表!P85,調査集計表!R85)</f>
        <v>0</v>
      </c>
      <c r="H85" s="29" t="str">
        <f aca="false">IF($G85=0,"",MEDIAN(調査集計表!J85,調査集計表!L85,調査集計表!N85,調査集計表!P85,調査集計表!R85))</f>
        <v/>
      </c>
      <c r="I85" s="29" t="str">
        <f aca="false">IFERROR(AVERAGE(調査集計表!T85,調査集計表!V85),"")</f>
        <v/>
      </c>
      <c r="J85" s="29" t="n">
        <f aca="false">COUNT(調査集計表!T85,調査集計表!V85)</f>
        <v>0</v>
      </c>
      <c r="K85" s="31" t="str">
        <f aca="false">IF($H85="","",ROUND($H85/3*100,1))</f>
        <v/>
      </c>
      <c r="L85" s="31" t="str">
        <f aca="false">IF($I85="","",ROUND($I85/3*100,1))</f>
        <v/>
      </c>
      <c r="M85" s="32" t="str">
        <f aca="false">IFERROR(INDEX(マスタ設定!$E$5:$E$14,MATCH($E85,マスタ設定!$A$5:$A$14,0))/100,"")</f>
        <v/>
      </c>
      <c r="N85" s="32" t="str">
        <f aca="false">IFERROR(INDEX(マスタ設定!$F$5:$F$14,MATCH($E85,マスタ設定!$A$5:$A$14,0))/100,"")</f>
        <v/>
      </c>
      <c r="O85" s="31" t="str">
        <f aca="false">IF(OR($K85="",$L85="",$M85="",$N85=""),"",ROUND($K85*$M85+$L85*$N85,1))</f>
        <v/>
      </c>
      <c r="P85" s="29" t="str">
        <f aca="false">IF($A85="","",IF($O85="","データ不足",IF(AND($G85&gt;=3,$J85&gt;=2),"有効","要確認")))</f>
        <v/>
      </c>
    </row>
    <row r="86" customFormat="false" ht="15" hidden="false" customHeight="false" outlineLevel="0" collapsed="false">
      <c r="A86" s="29" t="str">
        <f aca="false">IF(調査集計表!A86="","",調査集計表!A86)</f>
        <v/>
      </c>
      <c r="B86" s="30" t="str">
        <f aca="false">IF(調査集計表!C86="","",調査集計表!C86)</f>
        <v/>
      </c>
      <c r="C86" s="29" t="str">
        <f aca="false">IF(調査集計表!D86="","",調査集計表!D86)</f>
        <v/>
      </c>
      <c r="D86" s="29" t="str">
        <f aca="false">IF(調査集計表!E86="","",調査集計表!E86)</f>
        <v/>
      </c>
      <c r="E86" s="29" t="str">
        <f aca="false">IF(調査集計表!F86="","",調査集計表!F86)</f>
        <v/>
      </c>
      <c r="F86" s="29" t="str">
        <f aca="false">IF(調査集計表!H86="","",調査集計表!H86)</f>
        <v/>
      </c>
      <c r="G86" s="29" t="n">
        <f aca="false">COUNT(調査集計表!J86,調査集計表!L86,調査集計表!N86,調査集計表!P86,調査集計表!R86)</f>
        <v>0</v>
      </c>
      <c r="H86" s="29" t="str">
        <f aca="false">IF($G86=0,"",MEDIAN(調査集計表!J86,調査集計表!L86,調査集計表!N86,調査集計表!P86,調査集計表!R86))</f>
        <v/>
      </c>
      <c r="I86" s="29" t="str">
        <f aca="false">IFERROR(AVERAGE(調査集計表!T86,調査集計表!V86),"")</f>
        <v/>
      </c>
      <c r="J86" s="29" t="n">
        <f aca="false">COUNT(調査集計表!T86,調査集計表!V86)</f>
        <v>0</v>
      </c>
      <c r="K86" s="31" t="str">
        <f aca="false">IF($H86="","",ROUND($H86/3*100,1))</f>
        <v/>
      </c>
      <c r="L86" s="31" t="str">
        <f aca="false">IF($I86="","",ROUND($I86/3*100,1))</f>
        <v/>
      </c>
      <c r="M86" s="32" t="str">
        <f aca="false">IFERROR(INDEX(マスタ設定!$E$5:$E$14,MATCH($E86,マスタ設定!$A$5:$A$14,0))/100,"")</f>
        <v/>
      </c>
      <c r="N86" s="32" t="str">
        <f aca="false">IFERROR(INDEX(マスタ設定!$F$5:$F$14,MATCH($E86,マスタ設定!$A$5:$A$14,0))/100,"")</f>
        <v/>
      </c>
      <c r="O86" s="31" t="str">
        <f aca="false">IF(OR($K86="",$L86="",$M86="",$N86=""),"",ROUND($K86*$M86+$L86*$N86,1))</f>
        <v/>
      </c>
      <c r="P86" s="29" t="str">
        <f aca="false">IF($A86="","",IF($O86="","データ不足",IF(AND($G86&gt;=3,$J86&gt;=2),"有効","要確認")))</f>
        <v/>
      </c>
    </row>
    <row r="87" customFormat="false" ht="15" hidden="false" customHeight="false" outlineLevel="0" collapsed="false">
      <c r="A87" s="29" t="str">
        <f aca="false">IF(調査集計表!A87="","",調査集計表!A87)</f>
        <v/>
      </c>
      <c r="B87" s="30" t="str">
        <f aca="false">IF(調査集計表!C87="","",調査集計表!C87)</f>
        <v/>
      </c>
      <c r="C87" s="29" t="str">
        <f aca="false">IF(調査集計表!D87="","",調査集計表!D87)</f>
        <v/>
      </c>
      <c r="D87" s="29" t="str">
        <f aca="false">IF(調査集計表!E87="","",調査集計表!E87)</f>
        <v/>
      </c>
      <c r="E87" s="29" t="str">
        <f aca="false">IF(調査集計表!F87="","",調査集計表!F87)</f>
        <v/>
      </c>
      <c r="F87" s="29" t="str">
        <f aca="false">IF(調査集計表!H87="","",調査集計表!H87)</f>
        <v/>
      </c>
      <c r="G87" s="29" t="n">
        <f aca="false">COUNT(調査集計表!J87,調査集計表!L87,調査集計表!N87,調査集計表!P87,調査集計表!R87)</f>
        <v>0</v>
      </c>
      <c r="H87" s="29" t="str">
        <f aca="false">IF($G87=0,"",MEDIAN(調査集計表!J87,調査集計表!L87,調査集計表!N87,調査集計表!P87,調査集計表!R87))</f>
        <v/>
      </c>
      <c r="I87" s="29" t="str">
        <f aca="false">IFERROR(AVERAGE(調査集計表!T87,調査集計表!V87),"")</f>
        <v/>
      </c>
      <c r="J87" s="29" t="n">
        <f aca="false">COUNT(調査集計表!T87,調査集計表!V87)</f>
        <v>0</v>
      </c>
      <c r="K87" s="31" t="str">
        <f aca="false">IF($H87="","",ROUND($H87/3*100,1))</f>
        <v/>
      </c>
      <c r="L87" s="31" t="str">
        <f aca="false">IF($I87="","",ROUND($I87/3*100,1))</f>
        <v/>
      </c>
      <c r="M87" s="32" t="str">
        <f aca="false">IFERROR(INDEX(マスタ設定!$E$5:$E$14,MATCH($E87,マスタ設定!$A$5:$A$14,0))/100,"")</f>
        <v/>
      </c>
      <c r="N87" s="32" t="str">
        <f aca="false">IFERROR(INDEX(マスタ設定!$F$5:$F$14,MATCH($E87,マスタ設定!$A$5:$A$14,0))/100,"")</f>
        <v/>
      </c>
      <c r="O87" s="31" t="str">
        <f aca="false">IF(OR($K87="",$L87="",$M87="",$N87=""),"",ROUND($K87*$M87+$L87*$N87,1))</f>
        <v/>
      </c>
      <c r="P87" s="29" t="str">
        <f aca="false">IF($A87="","",IF($O87="","データ不足",IF(AND($G87&gt;=3,$J87&gt;=2),"有効","要確認")))</f>
        <v/>
      </c>
    </row>
    <row r="88" customFormat="false" ht="15" hidden="false" customHeight="false" outlineLevel="0" collapsed="false">
      <c r="A88" s="29" t="str">
        <f aca="false">IF(調査集計表!A88="","",調査集計表!A88)</f>
        <v/>
      </c>
      <c r="B88" s="30" t="str">
        <f aca="false">IF(調査集計表!C88="","",調査集計表!C88)</f>
        <v/>
      </c>
      <c r="C88" s="29" t="str">
        <f aca="false">IF(調査集計表!D88="","",調査集計表!D88)</f>
        <v/>
      </c>
      <c r="D88" s="29" t="str">
        <f aca="false">IF(調査集計表!E88="","",調査集計表!E88)</f>
        <v/>
      </c>
      <c r="E88" s="29" t="str">
        <f aca="false">IF(調査集計表!F88="","",調査集計表!F88)</f>
        <v/>
      </c>
      <c r="F88" s="29" t="str">
        <f aca="false">IF(調査集計表!H88="","",調査集計表!H88)</f>
        <v/>
      </c>
      <c r="G88" s="29" t="n">
        <f aca="false">COUNT(調査集計表!J88,調査集計表!L88,調査集計表!N88,調査集計表!P88,調査集計表!R88)</f>
        <v>0</v>
      </c>
      <c r="H88" s="29" t="str">
        <f aca="false">IF($G88=0,"",MEDIAN(調査集計表!J88,調査集計表!L88,調査集計表!N88,調査集計表!P88,調査集計表!R88))</f>
        <v/>
      </c>
      <c r="I88" s="29" t="str">
        <f aca="false">IFERROR(AVERAGE(調査集計表!T88,調査集計表!V88),"")</f>
        <v/>
      </c>
      <c r="J88" s="29" t="n">
        <f aca="false">COUNT(調査集計表!T88,調査集計表!V88)</f>
        <v>0</v>
      </c>
      <c r="K88" s="31" t="str">
        <f aca="false">IF($H88="","",ROUND($H88/3*100,1))</f>
        <v/>
      </c>
      <c r="L88" s="31" t="str">
        <f aca="false">IF($I88="","",ROUND($I88/3*100,1))</f>
        <v/>
      </c>
      <c r="M88" s="32" t="str">
        <f aca="false">IFERROR(INDEX(マスタ設定!$E$5:$E$14,MATCH($E88,マスタ設定!$A$5:$A$14,0))/100,"")</f>
        <v/>
      </c>
      <c r="N88" s="32" t="str">
        <f aca="false">IFERROR(INDEX(マスタ設定!$F$5:$F$14,MATCH($E88,マスタ設定!$A$5:$A$14,0))/100,"")</f>
        <v/>
      </c>
      <c r="O88" s="31" t="str">
        <f aca="false">IF(OR($K88="",$L88="",$M88="",$N88=""),"",ROUND($K88*$M88+$L88*$N88,1))</f>
        <v/>
      </c>
      <c r="P88" s="29" t="str">
        <f aca="false">IF($A88="","",IF($O88="","データ不足",IF(AND($G88&gt;=3,$J88&gt;=2),"有効","要確認")))</f>
        <v/>
      </c>
    </row>
    <row r="89" customFormat="false" ht="15" hidden="false" customHeight="false" outlineLevel="0" collapsed="false">
      <c r="A89" s="29" t="str">
        <f aca="false">IF(調査集計表!A89="","",調査集計表!A89)</f>
        <v/>
      </c>
      <c r="B89" s="30" t="str">
        <f aca="false">IF(調査集計表!C89="","",調査集計表!C89)</f>
        <v/>
      </c>
      <c r="C89" s="29" t="str">
        <f aca="false">IF(調査集計表!D89="","",調査集計表!D89)</f>
        <v/>
      </c>
      <c r="D89" s="29" t="str">
        <f aca="false">IF(調査集計表!E89="","",調査集計表!E89)</f>
        <v/>
      </c>
      <c r="E89" s="29" t="str">
        <f aca="false">IF(調査集計表!F89="","",調査集計表!F89)</f>
        <v/>
      </c>
      <c r="F89" s="29" t="str">
        <f aca="false">IF(調査集計表!H89="","",調査集計表!H89)</f>
        <v/>
      </c>
      <c r="G89" s="29" t="n">
        <f aca="false">COUNT(調査集計表!J89,調査集計表!L89,調査集計表!N89,調査集計表!P89,調査集計表!R89)</f>
        <v>0</v>
      </c>
      <c r="H89" s="29" t="str">
        <f aca="false">IF($G89=0,"",MEDIAN(調査集計表!J89,調査集計表!L89,調査集計表!N89,調査集計表!P89,調査集計表!R89))</f>
        <v/>
      </c>
      <c r="I89" s="29" t="str">
        <f aca="false">IFERROR(AVERAGE(調査集計表!T89,調査集計表!V89),"")</f>
        <v/>
      </c>
      <c r="J89" s="29" t="n">
        <f aca="false">COUNT(調査集計表!T89,調査集計表!V89)</f>
        <v>0</v>
      </c>
      <c r="K89" s="31" t="str">
        <f aca="false">IF($H89="","",ROUND($H89/3*100,1))</f>
        <v/>
      </c>
      <c r="L89" s="31" t="str">
        <f aca="false">IF($I89="","",ROUND($I89/3*100,1))</f>
        <v/>
      </c>
      <c r="M89" s="32" t="str">
        <f aca="false">IFERROR(INDEX(マスタ設定!$E$5:$E$14,MATCH($E89,マスタ設定!$A$5:$A$14,0))/100,"")</f>
        <v/>
      </c>
      <c r="N89" s="32" t="str">
        <f aca="false">IFERROR(INDEX(マスタ設定!$F$5:$F$14,MATCH($E89,マスタ設定!$A$5:$A$14,0))/100,"")</f>
        <v/>
      </c>
      <c r="O89" s="31" t="str">
        <f aca="false">IF(OR($K89="",$L89="",$M89="",$N89=""),"",ROUND($K89*$M89+$L89*$N89,1))</f>
        <v/>
      </c>
      <c r="P89" s="29" t="str">
        <f aca="false">IF($A89="","",IF($O89="","データ不足",IF(AND($G89&gt;=3,$J89&gt;=2),"有効","要確認")))</f>
        <v/>
      </c>
    </row>
    <row r="90" customFormat="false" ht="15" hidden="false" customHeight="false" outlineLevel="0" collapsed="false">
      <c r="A90" s="29" t="str">
        <f aca="false">IF(調査集計表!A90="","",調査集計表!A90)</f>
        <v/>
      </c>
      <c r="B90" s="30" t="str">
        <f aca="false">IF(調査集計表!C90="","",調査集計表!C90)</f>
        <v/>
      </c>
      <c r="C90" s="29" t="str">
        <f aca="false">IF(調査集計表!D90="","",調査集計表!D90)</f>
        <v/>
      </c>
      <c r="D90" s="29" t="str">
        <f aca="false">IF(調査集計表!E90="","",調査集計表!E90)</f>
        <v/>
      </c>
      <c r="E90" s="29" t="str">
        <f aca="false">IF(調査集計表!F90="","",調査集計表!F90)</f>
        <v/>
      </c>
      <c r="F90" s="29" t="str">
        <f aca="false">IF(調査集計表!H90="","",調査集計表!H90)</f>
        <v/>
      </c>
      <c r="G90" s="29" t="n">
        <f aca="false">COUNT(調査集計表!J90,調査集計表!L90,調査集計表!N90,調査集計表!P90,調査集計表!R90)</f>
        <v>0</v>
      </c>
      <c r="H90" s="29" t="str">
        <f aca="false">IF($G90=0,"",MEDIAN(調査集計表!J90,調査集計表!L90,調査集計表!N90,調査集計表!P90,調査集計表!R90))</f>
        <v/>
      </c>
      <c r="I90" s="29" t="str">
        <f aca="false">IFERROR(AVERAGE(調査集計表!T90,調査集計表!V90),"")</f>
        <v/>
      </c>
      <c r="J90" s="29" t="n">
        <f aca="false">COUNT(調査集計表!T90,調査集計表!V90)</f>
        <v>0</v>
      </c>
      <c r="K90" s="31" t="str">
        <f aca="false">IF($H90="","",ROUND($H90/3*100,1))</f>
        <v/>
      </c>
      <c r="L90" s="31" t="str">
        <f aca="false">IF($I90="","",ROUND($I90/3*100,1))</f>
        <v/>
      </c>
      <c r="M90" s="32" t="str">
        <f aca="false">IFERROR(INDEX(マスタ設定!$E$5:$E$14,MATCH($E90,マスタ設定!$A$5:$A$14,0))/100,"")</f>
        <v/>
      </c>
      <c r="N90" s="32" t="str">
        <f aca="false">IFERROR(INDEX(マスタ設定!$F$5:$F$14,MATCH($E90,マスタ設定!$A$5:$A$14,0))/100,"")</f>
        <v/>
      </c>
      <c r="O90" s="31" t="str">
        <f aca="false">IF(OR($K90="",$L90="",$M90="",$N90=""),"",ROUND($K90*$M90+$L90*$N90,1))</f>
        <v/>
      </c>
      <c r="P90" s="29" t="str">
        <f aca="false">IF($A90="","",IF($O90="","データ不足",IF(AND($G90&gt;=3,$J90&gt;=2),"有効","要確認")))</f>
        <v/>
      </c>
    </row>
    <row r="91" customFormat="false" ht="15" hidden="false" customHeight="false" outlineLevel="0" collapsed="false">
      <c r="A91" s="29" t="str">
        <f aca="false">IF(調査集計表!A91="","",調査集計表!A91)</f>
        <v/>
      </c>
      <c r="B91" s="30" t="str">
        <f aca="false">IF(調査集計表!C91="","",調査集計表!C91)</f>
        <v/>
      </c>
      <c r="C91" s="29" t="str">
        <f aca="false">IF(調査集計表!D91="","",調査集計表!D91)</f>
        <v/>
      </c>
      <c r="D91" s="29" t="str">
        <f aca="false">IF(調査集計表!E91="","",調査集計表!E91)</f>
        <v/>
      </c>
      <c r="E91" s="29" t="str">
        <f aca="false">IF(調査集計表!F91="","",調査集計表!F91)</f>
        <v/>
      </c>
      <c r="F91" s="29" t="str">
        <f aca="false">IF(調査集計表!H91="","",調査集計表!H91)</f>
        <v/>
      </c>
      <c r="G91" s="29" t="n">
        <f aca="false">COUNT(調査集計表!J91,調査集計表!L91,調査集計表!N91,調査集計表!P91,調査集計表!R91)</f>
        <v>0</v>
      </c>
      <c r="H91" s="29" t="str">
        <f aca="false">IF($G91=0,"",MEDIAN(調査集計表!J91,調査集計表!L91,調査集計表!N91,調査集計表!P91,調査集計表!R91))</f>
        <v/>
      </c>
      <c r="I91" s="29" t="str">
        <f aca="false">IFERROR(AVERAGE(調査集計表!T91,調査集計表!V91),"")</f>
        <v/>
      </c>
      <c r="J91" s="29" t="n">
        <f aca="false">COUNT(調査集計表!T91,調査集計表!V91)</f>
        <v>0</v>
      </c>
      <c r="K91" s="31" t="str">
        <f aca="false">IF($H91="","",ROUND($H91/3*100,1))</f>
        <v/>
      </c>
      <c r="L91" s="31" t="str">
        <f aca="false">IF($I91="","",ROUND($I91/3*100,1))</f>
        <v/>
      </c>
      <c r="M91" s="32" t="str">
        <f aca="false">IFERROR(INDEX(マスタ設定!$E$5:$E$14,MATCH($E91,マスタ設定!$A$5:$A$14,0))/100,"")</f>
        <v/>
      </c>
      <c r="N91" s="32" t="str">
        <f aca="false">IFERROR(INDEX(マスタ設定!$F$5:$F$14,MATCH($E91,マスタ設定!$A$5:$A$14,0))/100,"")</f>
        <v/>
      </c>
      <c r="O91" s="31" t="str">
        <f aca="false">IF(OR($K91="",$L91="",$M91="",$N91=""),"",ROUND($K91*$M91+$L91*$N91,1))</f>
        <v/>
      </c>
      <c r="P91" s="29" t="str">
        <f aca="false">IF($A91="","",IF($O91="","データ不足",IF(AND($G91&gt;=3,$J91&gt;=2),"有効","要確認")))</f>
        <v/>
      </c>
    </row>
    <row r="92" customFormat="false" ht="15" hidden="false" customHeight="false" outlineLevel="0" collapsed="false">
      <c r="A92" s="29" t="str">
        <f aca="false">IF(調査集計表!A92="","",調査集計表!A92)</f>
        <v/>
      </c>
      <c r="B92" s="30" t="str">
        <f aca="false">IF(調査集計表!C92="","",調査集計表!C92)</f>
        <v/>
      </c>
      <c r="C92" s="29" t="str">
        <f aca="false">IF(調査集計表!D92="","",調査集計表!D92)</f>
        <v/>
      </c>
      <c r="D92" s="29" t="str">
        <f aca="false">IF(調査集計表!E92="","",調査集計表!E92)</f>
        <v/>
      </c>
      <c r="E92" s="29" t="str">
        <f aca="false">IF(調査集計表!F92="","",調査集計表!F92)</f>
        <v/>
      </c>
      <c r="F92" s="29" t="str">
        <f aca="false">IF(調査集計表!H92="","",調査集計表!H92)</f>
        <v/>
      </c>
      <c r="G92" s="29" t="n">
        <f aca="false">COUNT(調査集計表!J92,調査集計表!L92,調査集計表!N92,調査集計表!P92,調査集計表!R92)</f>
        <v>0</v>
      </c>
      <c r="H92" s="29" t="str">
        <f aca="false">IF($G92=0,"",MEDIAN(調査集計表!J92,調査集計表!L92,調査集計表!N92,調査集計表!P92,調査集計表!R92))</f>
        <v/>
      </c>
      <c r="I92" s="29" t="str">
        <f aca="false">IFERROR(AVERAGE(調査集計表!T92,調査集計表!V92),"")</f>
        <v/>
      </c>
      <c r="J92" s="29" t="n">
        <f aca="false">COUNT(調査集計表!T92,調査集計表!V92)</f>
        <v>0</v>
      </c>
      <c r="K92" s="31" t="str">
        <f aca="false">IF($H92="","",ROUND($H92/3*100,1))</f>
        <v/>
      </c>
      <c r="L92" s="31" t="str">
        <f aca="false">IF($I92="","",ROUND($I92/3*100,1))</f>
        <v/>
      </c>
      <c r="M92" s="32" t="str">
        <f aca="false">IFERROR(INDEX(マスタ設定!$E$5:$E$14,MATCH($E92,マスタ設定!$A$5:$A$14,0))/100,"")</f>
        <v/>
      </c>
      <c r="N92" s="32" t="str">
        <f aca="false">IFERROR(INDEX(マスタ設定!$F$5:$F$14,MATCH($E92,マスタ設定!$A$5:$A$14,0))/100,"")</f>
        <v/>
      </c>
      <c r="O92" s="31" t="str">
        <f aca="false">IF(OR($K92="",$L92="",$M92="",$N92=""),"",ROUND($K92*$M92+$L92*$N92,1))</f>
        <v/>
      </c>
      <c r="P92" s="29" t="str">
        <f aca="false">IF($A92="","",IF($O92="","データ不足",IF(AND($G92&gt;=3,$J92&gt;=2),"有効","要確認")))</f>
        <v/>
      </c>
    </row>
    <row r="93" customFormat="false" ht="15" hidden="false" customHeight="false" outlineLevel="0" collapsed="false">
      <c r="A93" s="29" t="str">
        <f aca="false">IF(調査集計表!A93="","",調査集計表!A93)</f>
        <v/>
      </c>
      <c r="B93" s="30" t="str">
        <f aca="false">IF(調査集計表!C93="","",調査集計表!C93)</f>
        <v/>
      </c>
      <c r="C93" s="29" t="str">
        <f aca="false">IF(調査集計表!D93="","",調査集計表!D93)</f>
        <v/>
      </c>
      <c r="D93" s="29" t="str">
        <f aca="false">IF(調査集計表!E93="","",調査集計表!E93)</f>
        <v/>
      </c>
      <c r="E93" s="29" t="str">
        <f aca="false">IF(調査集計表!F93="","",調査集計表!F93)</f>
        <v/>
      </c>
      <c r="F93" s="29" t="str">
        <f aca="false">IF(調査集計表!H93="","",調査集計表!H93)</f>
        <v/>
      </c>
      <c r="G93" s="29" t="n">
        <f aca="false">COUNT(調査集計表!J93,調査集計表!L93,調査集計表!N93,調査集計表!P93,調査集計表!R93)</f>
        <v>0</v>
      </c>
      <c r="H93" s="29" t="str">
        <f aca="false">IF($G93=0,"",MEDIAN(調査集計表!J93,調査集計表!L93,調査集計表!N93,調査集計表!P93,調査集計表!R93))</f>
        <v/>
      </c>
      <c r="I93" s="29" t="str">
        <f aca="false">IFERROR(AVERAGE(調査集計表!T93,調査集計表!V93),"")</f>
        <v/>
      </c>
      <c r="J93" s="29" t="n">
        <f aca="false">COUNT(調査集計表!T93,調査集計表!V93)</f>
        <v>0</v>
      </c>
      <c r="K93" s="31" t="str">
        <f aca="false">IF($H93="","",ROUND($H93/3*100,1))</f>
        <v/>
      </c>
      <c r="L93" s="31" t="str">
        <f aca="false">IF($I93="","",ROUND($I93/3*100,1))</f>
        <v/>
      </c>
      <c r="M93" s="32" t="str">
        <f aca="false">IFERROR(INDEX(マスタ設定!$E$5:$E$14,MATCH($E93,マスタ設定!$A$5:$A$14,0))/100,"")</f>
        <v/>
      </c>
      <c r="N93" s="32" t="str">
        <f aca="false">IFERROR(INDEX(マスタ設定!$F$5:$F$14,MATCH($E93,マスタ設定!$A$5:$A$14,0))/100,"")</f>
        <v/>
      </c>
      <c r="O93" s="31" t="str">
        <f aca="false">IF(OR($K93="",$L93="",$M93="",$N93=""),"",ROUND($K93*$M93+$L93*$N93,1))</f>
        <v/>
      </c>
      <c r="P93" s="29" t="str">
        <f aca="false">IF($A93="","",IF($O93="","データ不足",IF(AND($G93&gt;=3,$J93&gt;=2),"有効","要確認")))</f>
        <v/>
      </c>
    </row>
    <row r="94" customFormat="false" ht="15" hidden="false" customHeight="false" outlineLevel="0" collapsed="false">
      <c r="A94" s="29" t="str">
        <f aca="false">IF(調査集計表!A94="","",調査集計表!A94)</f>
        <v/>
      </c>
      <c r="B94" s="30" t="str">
        <f aca="false">IF(調査集計表!C94="","",調査集計表!C94)</f>
        <v/>
      </c>
      <c r="C94" s="29" t="str">
        <f aca="false">IF(調査集計表!D94="","",調査集計表!D94)</f>
        <v/>
      </c>
      <c r="D94" s="29" t="str">
        <f aca="false">IF(調査集計表!E94="","",調査集計表!E94)</f>
        <v/>
      </c>
      <c r="E94" s="29" t="str">
        <f aca="false">IF(調査集計表!F94="","",調査集計表!F94)</f>
        <v/>
      </c>
      <c r="F94" s="29" t="str">
        <f aca="false">IF(調査集計表!H94="","",調査集計表!H94)</f>
        <v/>
      </c>
      <c r="G94" s="29" t="n">
        <f aca="false">COUNT(調査集計表!J94,調査集計表!L94,調査集計表!N94,調査集計表!P94,調査集計表!R94)</f>
        <v>0</v>
      </c>
      <c r="H94" s="29" t="str">
        <f aca="false">IF($G94=0,"",MEDIAN(調査集計表!J94,調査集計表!L94,調査集計表!N94,調査集計表!P94,調査集計表!R94))</f>
        <v/>
      </c>
      <c r="I94" s="29" t="str">
        <f aca="false">IFERROR(AVERAGE(調査集計表!T94,調査集計表!V94),"")</f>
        <v/>
      </c>
      <c r="J94" s="29" t="n">
        <f aca="false">COUNT(調査集計表!T94,調査集計表!V94)</f>
        <v>0</v>
      </c>
      <c r="K94" s="31" t="str">
        <f aca="false">IF($H94="","",ROUND($H94/3*100,1))</f>
        <v/>
      </c>
      <c r="L94" s="31" t="str">
        <f aca="false">IF($I94="","",ROUND($I94/3*100,1))</f>
        <v/>
      </c>
      <c r="M94" s="32" t="str">
        <f aca="false">IFERROR(INDEX(マスタ設定!$E$5:$E$14,MATCH($E94,マスタ設定!$A$5:$A$14,0))/100,"")</f>
        <v/>
      </c>
      <c r="N94" s="32" t="str">
        <f aca="false">IFERROR(INDEX(マスタ設定!$F$5:$F$14,MATCH($E94,マスタ設定!$A$5:$A$14,0))/100,"")</f>
        <v/>
      </c>
      <c r="O94" s="31" t="str">
        <f aca="false">IF(OR($K94="",$L94="",$M94="",$N94=""),"",ROUND($K94*$M94+$L94*$N94,1))</f>
        <v/>
      </c>
      <c r="P94" s="29" t="str">
        <f aca="false">IF($A94="","",IF($O94="","データ不足",IF(AND($G94&gt;=3,$J94&gt;=2),"有効","要確認")))</f>
        <v/>
      </c>
    </row>
    <row r="95" customFormat="false" ht="15" hidden="false" customHeight="false" outlineLevel="0" collapsed="false">
      <c r="A95" s="29" t="str">
        <f aca="false">IF(調査集計表!A95="","",調査集計表!A95)</f>
        <v/>
      </c>
      <c r="B95" s="30" t="str">
        <f aca="false">IF(調査集計表!C95="","",調査集計表!C95)</f>
        <v/>
      </c>
      <c r="C95" s="29" t="str">
        <f aca="false">IF(調査集計表!D95="","",調査集計表!D95)</f>
        <v/>
      </c>
      <c r="D95" s="29" t="str">
        <f aca="false">IF(調査集計表!E95="","",調査集計表!E95)</f>
        <v/>
      </c>
      <c r="E95" s="29" t="str">
        <f aca="false">IF(調査集計表!F95="","",調査集計表!F95)</f>
        <v/>
      </c>
      <c r="F95" s="29" t="str">
        <f aca="false">IF(調査集計表!H95="","",調査集計表!H95)</f>
        <v/>
      </c>
      <c r="G95" s="29" t="n">
        <f aca="false">COUNT(調査集計表!J95,調査集計表!L95,調査集計表!N95,調査集計表!P95,調査集計表!R95)</f>
        <v>0</v>
      </c>
      <c r="H95" s="29" t="str">
        <f aca="false">IF($G95=0,"",MEDIAN(調査集計表!J95,調査集計表!L95,調査集計表!N95,調査集計表!P95,調査集計表!R95))</f>
        <v/>
      </c>
      <c r="I95" s="29" t="str">
        <f aca="false">IFERROR(AVERAGE(調査集計表!T95,調査集計表!V95),"")</f>
        <v/>
      </c>
      <c r="J95" s="29" t="n">
        <f aca="false">COUNT(調査集計表!T95,調査集計表!V95)</f>
        <v>0</v>
      </c>
      <c r="K95" s="31" t="str">
        <f aca="false">IF($H95="","",ROUND($H95/3*100,1))</f>
        <v/>
      </c>
      <c r="L95" s="31" t="str">
        <f aca="false">IF($I95="","",ROUND($I95/3*100,1))</f>
        <v/>
      </c>
      <c r="M95" s="32" t="str">
        <f aca="false">IFERROR(INDEX(マスタ設定!$E$5:$E$14,MATCH($E95,マスタ設定!$A$5:$A$14,0))/100,"")</f>
        <v/>
      </c>
      <c r="N95" s="32" t="str">
        <f aca="false">IFERROR(INDEX(マスタ設定!$F$5:$F$14,MATCH($E95,マスタ設定!$A$5:$A$14,0))/100,"")</f>
        <v/>
      </c>
      <c r="O95" s="31" t="str">
        <f aca="false">IF(OR($K95="",$L95="",$M95="",$N95=""),"",ROUND($K95*$M95+$L95*$N95,1))</f>
        <v/>
      </c>
      <c r="P95" s="29" t="str">
        <f aca="false">IF($A95="","",IF($O95="","データ不足",IF(AND($G95&gt;=3,$J95&gt;=2),"有効","要確認")))</f>
        <v/>
      </c>
    </row>
    <row r="96" customFormat="false" ht="15" hidden="false" customHeight="false" outlineLevel="0" collapsed="false">
      <c r="A96" s="29" t="str">
        <f aca="false">IF(調査集計表!A96="","",調査集計表!A96)</f>
        <v/>
      </c>
      <c r="B96" s="30" t="str">
        <f aca="false">IF(調査集計表!C96="","",調査集計表!C96)</f>
        <v/>
      </c>
      <c r="C96" s="29" t="str">
        <f aca="false">IF(調査集計表!D96="","",調査集計表!D96)</f>
        <v/>
      </c>
      <c r="D96" s="29" t="str">
        <f aca="false">IF(調査集計表!E96="","",調査集計表!E96)</f>
        <v/>
      </c>
      <c r="E96" s="29" t="str">
        <f aca="false">IF(調査集計表!F96="","",調査集計表!F96)</f>
        <v/>
      </c>
      <c r="F96" s="29" t="str">
        <f aca="false">IF(調査集計表!H96="","",調査集計表!H96)</f>
        <v/>
      </c>
      <c r="G96" s="29" t="n">
        <f aca="false">COUNT(調査集計表!J96,調査集計表!L96,調査集計表!N96,調査集計表!P96,調査集計表!R96)</f>
        <v>0</v>
      </c>
      <c r="H96" s="29" t="str">
        <f aca="false">IF($G96=0,"",MEDIAN(調査集計表!J96,調査集計表!L96,調査集計表!N96,調査集計表!P96,調査集計表!R96))</f>
        <v/>
      </c>
      <c r="I96" s="29" t="str">
        <f aca="false">IFERROR(AVERAGE(調査集計表!T96,調査集計表!V96),"")</f>
        <v/>
      </c>
      <c r="J96" s="29" t="n">
        <f aca="false">COUNT(調査集計表!T96,調査集計表!V96)</f>
        <v>0</v>
      </c>
      <c r="K96" s="31" t="str">
        <f aca="false">IF($H96="","",ROUND($H96/3*100,1))</f>
        <v/>
      </c>
      <c r="L96" s="31" t="str">
        <f aca="false">IF($I96="","",ROUND($I96/3*100,1))</f>
        <v/>
      </c>
      <c r="M96" s="32" t="str">
        <f aca="false">IFERROR(INDEX(マスタ設定!$E$5:$E$14,MATCH($E96,マスタ設定!$A$5:$A$14,0))/100,"")</f>
        <v/>
      </c>
      <c r="N96" s="32" t="str">
        <f aca="false">IFERROR(INDEX(マスタ設定!$F$5:$F$14,MATCH($E96,マスタ設定!$A$5:$A$14,0))/100,"")</f>
        <v/>
      </c>
      <c r="O96" s="31" t="str">
        <f aca="false">IF(OR($K96="",$L96="",$M96="",$N96=""),"",ROUND($K96*$M96+$L96*$N96,1))</f>
        <v/>
      </c>
      <c r="P96" s="29" t="str">
        <f aca="false">IF($A96="","",IF($O96="","データ不足",IF(AND($G96&gt;=3,$J96&gt;=2),"有効","要確認")))</f>
        <v/>
      </c>
    </row>
    <row r="97" customFormat="false" ht="15" hidden="false" customHeight="false" outlineLevel="0" collapsed="false">
      <c r="A97" s="29" t="str">
        <f aca="false">IF(調査集計表!A97="","",調査集計表!A97)</f>
        <v/>
      </c>
      <c r="B97" s="30" t="str">
        <f aca="false">IF(調査集計表!C97="","",調査集計表!C97)</f>
        <v/>
      </c>
      <c r="C97" s="29" t="str">
        <f aca="false">IF(調査集計表!D97="","",調査集計表!D97)</f>
        <v/>
      </c>
      <c r="D97" s="29" t="str">
        <f aca="false">IF(調査集計表!E97="","",調査集計表!E97)</f>
        <v/>
      </c>
      <c r="E97" s="29" t="str">
        <f aca="false">IF(調査集計表!F97="","",調査集計表!F97)</f>
        <v/>
      </c>
      <c r="F97" s="29" t="str">
        <f aca="false">IF(調査集計表!H97="","",調査集計表!H97)</f>
        <v/>
      </c>
      <c r="G97" s="29" t="n">
        <f aca="false">COUNT(調査集計表!J97,調査集計表!L97,調査集計表!N97,調査集計表!P97,調査集計表!R97)</f>
        <v>0</v>
      </c>
      <c r="H97" s="29" t="str">
        <f aca="false">IF($G97=0,"",MEDIAN(調査集計表!J97,調査集計表!L97,調査集計表!N97,調査集計表!P97,調査集計表!R97))</f>
        <v/>
      </c>
      <c r="I97" s="29" t="str">
        <f aca="false">IFERROR(AVERAGE(調査集計表!T97,調査集計表!V97),"")</f>
        <v/>
      </c>
      <c r="J97" s="29" t="n">
        <f aca="false">COUNT(調査集計表!T97,調査集計表!V97)</f>
        <v>0</v>
      </c>
      <c r="K97" s="31" t="str">
        <f aca="false">IF($H97="","",ROUND($H97/3*100,1))</f>
        <v/>
      </c>
      <c r="L97" s="31" t="str">
        <f aca="false">IF($I97="","",ROUND($I97/3*100,1))</f>
        <v/>
      </c>
      <c r="M97" s="32" t="str">
        <f aca="false">IFERROR(INDEX(マスタ設定!$E$5:$E$14,MATCH($E97,マスタ設定!$A$5:$A$14,0))/100,"")</f>
        <v/>
      </c>
      <c r="N97" s="32" t="str">
        <f aca="false">IFERROR(INDEX(マスタ設定!$F$5:$F$14,MATCH($E97,マスタ設定!$A$5:$A$14,0))/100,"")</f>
        <v/>
      </c>
      <c r="O97" s="31" t="str">
        <f aca="false">IF(OR($K97="",$L97="",$M97="",$N97=""),"",ROUND($K97*$M97+$L97*$N97,1))</f>
        <v/>
      </c>
      <c r="P97" s="29" t="str">
        <f aca="false">IF($A97="","",IF($O97="","データ不足",IF(AND($G97&gt;=3,$J97&gt;=2),"有効","要確認")))</f>
        <v/>
      </c>
    </row>
    <row r="98" customFormat="false" ht="15" hidden="false" customHeight="false" outlineLevel="0" collapsed="false">
      <c r="A98" s="29" t="str">
        <f aca="false">IF(調査集計表!A98="","",調査集計表!A98)</f>
        <v/>
      </c>
      <c r="B98" s="30" t="str">
        <f aca="false">IF(調査集計表!C98="","",調査集計表!C98)</f>
        <v/>
      </c>
      <c r="C98" s="29" t="str">
        <f aca="false">IF(調査集計表!D98="","",調査集計表!D98)</f>
        <v/>
      </c>
      <c r="D98" s="29" t="str">
        <f aca="false">IF(調査集計表!E98="","",調査集計表!E98)</f>
        <v/>
      </c>
      <c r="E98" s="29" t="str">
        <f aca="false">IF(調査集計表!F98="","",調査集計表!F98)</f>
        <v/>
      </c>
      <c r="F98" s="29" t="str">
        <f aca="false">IF(調査集計表!H98="","",調査集計表!H98)</f>
        <v/>
      </c>
      <c r="G98" s="29" t="n">
        <f aca="false">COUNT(調査集計表!J98,調査集計表!L98,調査集計表!N98,調査集計表!P98,調査集計表!R98)</f>
        <v>0</v>
      </c>
      <c r="H98" s="29" t="str">
        <f aca="false">IF($G98=0,"",MEDIAN(調査集計表!J98,調査集計表!L98,調査集計表!N98,調査集計表!P98,調査集計表!R98))</f>
        <v/>
      </c>
      <c r="I98" s="29" t="str">
        <f aca="false">IFERROR(AVERAGE(調査集計表!T98,調査集計表!V98),"")</f>
        <v/>
      </c>
      <c r="J98" s="29" t="n">
        <f aca="false">COUNT(調査集計表!T98,調査集計表!V98)</f>
        <v>0</v>
      </c>
      <c r="K98" s="31" t="str">
        <f aca="false">IF($H98="","",ROUND($H98/3*100,1))</f>
        <v/>
      </c>
      <c r="L98" s="31" t="str">
        <f aca="false">IF($I98="","",ROUND($I98/3*100,1))</f>
        <v/>
      </c>
      <c r="M98" s="32" t="str">
        <f aca="false">IFERROR(INDEX(マスタ設定!$E$5:$E$14,MATCH($E98,マスタ設定!$A$5:$A$14,0))/100,"")</f>
        <v/>
      </c>
      <c r="N98" s="32" t="str">
        <f aca="false">IFERROR(INDEX(マスタ設定!$F$5:$F$14,MATCH($E98,マスタ設定!$A$5:$A$14,0))/100,"")</f>
        <v/>
      </c>
      <c r="O98" s="31" t="str">
        <f aca="false">IF(OR($K98="",$L98="",$M98="",$N98=""),"",ROUND($K98*$M98+$L98*$N98,1))</f>
        <v/>
      </c>
      <c r="P98" s="29" t="str">
        <f aca="false">IF($A98="","",IF($O98="","データ不足",IF(AND($G98&gt;=3,$J98&gt;=2),"有効","要確認")))</f>
        <v/>
      </c>
    </row>
    <row r="99" customFormat="false" ht="15" hidden="false" customHeight="false" outlineLevel="0" collapsed="false">
      <c r="A99" s="29" t="str">
        <f aca="false">IF(調査集計表!A99="","",調査集計表!A99)</f>
        <v/>
      </c>
      <c r="B99" s="30" t="str">
        <f aca="false">IF(調査集計表!C99="","",調査集計表!C99)</f>
        <v/>
      </c>
      <c r="C99" s="29" t="str">
        <f aca="false">IF(調査集計表!D99="","",調査集計表!D99)</f>
        <v/>
      </c>
      <c r="D99" s="29" t="str">
        <f aca="false">IF(調査集計表!E99="","",調査集計表!E99)</f>
        <v/>
      </c>
      <c r="E99" s="29" t="str">
        <f aca="false">IF(調査集計表!F99="","",調査集計表!F99)</f>
        <v/>
      </c>
      <c r="F99" s="29" t="str">
        <f aca="false">IF(調査集計表!H99="","",調査集計表!H99)</f>
        <v/>
      </c>
      <c r="G99" s="29" t="n">
        <f aca="false">COUNT(調査集計表!J99,調査集計表!L99,調査集計表!N99,調査集計表!P99,調査集計表!R99)</f>
        <v>0</v>
      </c>
      <c r="H99" s="29" t="str">
        <f aca="false">IF($G99=0,"",MEDIAN(調査集計表!J99,調査集計表!L99,調査集計表!N99,調査集計表!P99,調査集計表!R99))</f>
        <v/>
      </c>
      <c r="I99" s="29" t="str">
        <f aca="false">IFERROR(AVERAGE(調査集計表!T99,調査集計表!V99),"")</f>
        <v/>
      </c>
      <c r="J99" s="29" t="n">
        <f aca="false">COUNT(調査集計表!T99,調査集計表!V99)</f>
        <v>0</v>
      </c>
      <c r="K99" s="31" t="str">
        <f aca="false">IF($H99="","",ROUND($H99/3*100,1))</f>
        <v/>
      </c>
      <c r="L99" s="31" t="str">
        <f aca="false">IF($I99="","",ROUND($I99/3*100,1))</f>
        <v/>
      </c>
      <c r="M99" s="32" t="str">
        <f aca="false">IFERROR(INDEX(マスタ設定!$E$5:$E$14,MATCH($E99,マスタ設定!$A$5:$A$14,0))/100,"")</f>
        <v/>
      </c>
      <c r="N99" s="32" t="str">
        <f aca="false">IFERROR(INDEX(マスタ設定!$F$5:$F$14,MATCH($E99,マスタ設定!$A$5:$A$14,0))/100,"")</f>
        <v/>
      </c>
      <c r="O99" s="31" t="str">
        <f aca="false">IF(OR($K99="",$L99="",$M99="",$N99=""),"",ROUND($K99*$M99+$L99*$N99,1))</f>
        <v/>
      </c>
      <c r="P99" s="29" t="str">
        <f aca="false">IF($A99="","",IF($O99="","データ不足",IF(AND($G99&gt;=3,$J99&gt;=2),"有効","要確認")))</f>
        <v/>
      </c>
    </row>
    <row r="100" customFormat="false" ht="15" hidden="false" customHeight="false" outlineLevel="0" collapsed="false">
      <c r="A100" s="29" t="str">
        <f aca="false">IF(調査集計表!A100="","",調査集計表!A100)</f>
        <v/>
      </c>
      <c r="B100" s="30" t="str">
        <f aca="false">IF(調査集計表!C100="","",調査集計表!C100)</f>
        <v/>
      </c>
      <c r="C100" s="29" t="str">
        <f aca="false">IF(調査集計表!D100="","",調査集計表!D100)</f>
        <v/>
      </c>
      <c r="D100" s="29" t="str">
        <f aca="false">IF(調査集計表!E100="","",調査集計表!E100)</f>
        <v/>
      </c>
      <c r="E100" s="29" t="str">
        <f aca="false">IF(調査集計表!F100="","",調査集計表!F100)</f>
        <v/>
      </c>
      <c r="F100" s="29" t="str">
        <f aca="false">IF(調査集計表!H100="","",調査集計表!H100)</f>
        <v/>
      </c>
      <c r="G100" s="29" t="n">
        <f aca="false">COUNT(調査集計表!J100,調査集計表!L100,調査集計表!N100,調査集計表!P100,調査集計表!R100)</f>
        <v>0</v>
      </c>
      <c r="H100" s="29" t="str">
        <f aca="false">IF($G100=0,"",MEDIAN(調査集計表!J100,調査集計表!L100,調査集計表!N100,調査集計表!P100,調査集計表!R100))</f>
        <v/>
      </c>
      <c r="I100" s="29" t="str">
        <f aca="false">IFERROR(AVERAGE(調査集計表!T100,調査集計表!V100),"")</f>
        <v/>
      </c>
      <c r="J100" s="29" t="n">
        <f aca="false">COUNT(調査集計表!T100,調査集計表!V100)</f>
        <v>0</v>
      </c>
      <c r="K100" s="31" t="str">
        <f aca="false">IF($H100="","",ROUND($H100/3*100,1))</f>
        <v/>
      </c>
      <c r="L100" s="31" t="str">
        <f aca="false">IF($I100="","",ROUND($I100/3*100,1))</f>
        <v/>
      </c>
      <c r="M100" s="32" t="str">
        <f aca="false">IFERROR(INDEX(マスタ設定!$E$5:$E$14,MATCH($E100,マスタ設定!$A$5:$A$14,0))/100,"")</f>
        <v/>
      </c>
      <c r="N100" s="32" t="str">
        <f aca="false">IFERROR(INDEX(マスタ設定!$F$5:$F$14,MATCH($E100,マスタ設定!$A$5:$A$14,0))/100,"")</f>
        <v/>
      </c>
      <c r="O100" s="31" t="str">
        <f aca="false">IF(OR($K100="",$L100="",$M100="",$N100=""),"",ROUND($K100*$M100+$L100*$N100,1))</f>
        <v/>
      </c>
      <c r="P100" s="29" t="str">
        <f aca="false">IF($A100="","",IF($O100="","データ不足",IF(AND($G100&gt;=3,$J100&gt;=2),"有効","要確認")))</f>
        <v/>
      </c>
    </row>
    <row r="101" customFormat="false" ht="15" hidden="false" customHeight="false" outlineLevel="0" collapsed="false">
      <c r="A101" s="29" t="str">
        <f aca="false">IF(調査集計表!A101="","",調査集計表!A101)</f>
        <v/>
      </c>
      <c r="B101" s="30" t="str">
        <f aca="false">IF(調査集計表!C101="","",調査集計表!C101)</f>
        <v/>
      </c>
      <c r="C101" s="29" t="str">
        <f aca="false">IF(調査集計表!D101="","",調査集計表!D101)</f>
        <v/>
      </c>
      <c r="D101" s="29" t="str">
        <f aca="false">IF(調査集計表!E101="","",調査集計表!E101)</f>
        <v/>
      </c>
      <c r="E101" s="29" t="str">
        <f aca="false">IF(調査集計表!F101="","",調査集計表!F101)</f>
        <v/>
      </c>
      <c r="F101" s="29" t="str">
        <f aca="false">IF(調査集計表!H101="","",調査集計表!H101)</f>
        <v/>
      </c>
      <c r="G101" s="29" t="n">
        <f aca="false">COUNT(調査集計表!J101,調査集計表!L101,調査集計表!N101,調査集計表!P101,調査集計表!R101)</f>
        <v>0</v>
      </c>
      <c r="H101" s="29" t="str">
        <f aca="false">IF($G101=0,"",MEDIAN(調査集計表!J101,調査集計表!L101,調査集計表!N101,調査集計表!P101,調査集計表!R101))</f>
        <v/>
      </c>
      <c r="I101" s="29" t="str">
        <f aca="false">IFERROR(AVERAGE(調査集計表!T101,調査集計表!V101),"")</f>
        <v/>
      </c>
      <c r="J101" s="29" t="n">
        <f aca="false">COUNT(調査集計表!T101,調査集計表!V101)</f>
        <v>0</v>
      </c>
      <c r="K101" s="31" t="str">
        <f aca="false">IF($H101="","",ROUND($H101/3*100,1))</f>
        <v/>
      </c>
      <c r="L101" s="31" t="str">
        <f aca="false">IF($I101="","",ROUND($I101/3*100,1))</f>
        <v/>
      </c>
      <c r="M101" s="32" t="str">
        <f aca="false">IFERROR(INDEX(マスタ設定!$E$5:$E$14,MATCH($E101,マスタ設定!$A$5:$A$14,0))/100,"")</f>
        <v/>
      </c>
      <c r="N101" s="32" t="str">
        <f aca="false">IFERROR(INDEX(マスタ設定!$F$5:$F$14,MATCH($E101,マスタ設定!$A$5:$A$14,0))/100,"")</f>
        <v/>
      </c>
      <c r="O101" s="31" t="str">
        <f aca="false">IF(OR($K101="",$L101="",$M101="",$N101=""),"",ROUND($K101*$M101+$L101*$N101,1))</f>
        <v/>
      </c>
      <c r="P101" s="29" t="str">
        <f aca="false">IF($A101="","",IF($O101="","データ不足",IF(AND($G101&gt;=3,$J101&gt;=2),"有効","要確認")))</f>
        <v/>
      </c>
    </row>
    <row r="102" customFormat="false" ht="15" hidden="false" customHeight="false" outlineLevel="0" collapsed="false">
      <c r="A102" s="29" t="str">
        <f aca="false">IF(調査集計表!A102="","",調査集計表!A102)</f>
        <v/>
      </c>
      <c r="B102" s="30" t="str">
        <f aca="false">IF(調査集計表!C102="","",調査集計表!C102)</f>
        <v/>
      </c>
      <c r="C102" s="29" t="str">
        <f aca="false">IF(調査集計表!D102="","",調査集計表!D102)</f>
        <v/>
      </c>
      <c r="D102" s="29" t="str">
        <f aca="false">IF(調査集計表!E102="","",調査集計表!E102)</f>
        <v/>
      </c>
      <c r="E102" s="29" t="str">
        <f aca="false">IF(調査集計表!F102="","",調査集計表!F102)</f>
        <v/>
      </c>
      <c r="F102" s="29" t="str">
        <f aca="false">IF(調査集計表!H102="","",調査集計表!H102)</f>
        <v/>
      </c>
      <c r="G102" s="29" t="n">
        <f aca="false">COUNT(調査集計表!J102,調査集計表!L102,調査集計表!N102,調査集計表!P102,調査集計表!R102)</f>
        <v>0</v>
      </c>
      <c r="H102" s="29" t="str">
        <f aca="false">IF($G102=0,"",MEDIAN(調査集計表!J102,調査集計表!L102,調査集計表!N102,調査集計表!P102,調査集計表!R102))</f>
        <v/>
      </c>
      <c r="I102" s="29" t="str">
        <f aca="false">IFERROR(AVERAGE(調査集計表!T102,調査集計表!V102),"")</f>
        <v/>
      </c>
      <c r="J102" s="29" t="n">
        <f aca="false">COUNT(調査集計表!T102,調査集計表!V102)</f>
        <v>0</v>
      </c>
      <c r="K102" s="31" t="str">
        <f aca="false">IF($H102="","",ROUND($H102/3*100,1))</f>
        <v/>
      </c>
      <c r="L102" s="31" t="str">
        <f aca="false">IF($I102="","",ROUND($I102/3*100,1))</f>
        <v/>
      </c>
      <c r="M102" s="32" t="str">
        <f aca="false">IFERROR(INDEX(マスタ設定!$E$5:$E$14,MATCH($E102,マスタ設定!$A$5:$A$14,0))/100,"")</f>
        <v/>
      </c>
      <c r="N102" s="32" t="str">
        <f aca="false">IFERROR(INDEX(マスタ設定!$F$5:$F$14,MATCH($E102,マスタ設定!$A$5:$A$14,0))/100,"")</f>
        <v/>
      </c>
      <c r="O102" s="31" t="str">
        <f aca="false">IF(OR($K102="",$L102="",$M102="",$N102=""),"",ROUND($K102*$M102+$L102*$N102,1))</f>
        <v/>
      </c>
      <c r="P102" s="29" t="str">
        <f aca="false">IF($A102="","",IF($O102="","データ不足",IF(AND($G102&gt;=3,$J102&gt;=2),"有効","要確認")))</f>
        <v/>
      </c>
    </row>
    <row r="103" customFormat="false" ht="15" hidden="false" customHeight="false" outlineLevel="0" collapsed="false">
      <c r="A103" s="29" t="str">
        <f aca="false">IF(調査集計表!A103="","",調査集計表!A103)</f>
        <v/>
      </c>
      <c r="B103" s="30" t="str">
        <f aca="false">IF(調査集計表!C103="","",調査集計表!C103)</f>
        <v/>
      </c>
      <c r="C103" s="29" t="str">
        <f aca="false">IF(調査集計表!D103="","",調査集計表!D103)</f>
        <v/>
      </c>
      <c r="D103" s="29" t="str">
        <f aca="false">IF(調査集計表!E103="","",調査集計表!E103)</f>
        <v/>
      </c>
      <c r="E103" s="29" t="str">
        <f aca="false">IF(調査集計表!F103="","",調査集計表!F103)</f>
        <v/>
      </c>
      <c r="F103" s="29" t="str">
        <f aca="false">IF(調査集計表!H103="","",調査集計表!H103)</f>
        <v/>
      </c>
      <c r="G103" s="29" t="n">
        <f aca="false">COUNT(調査集計表!J103,調査集計表!L103,調査集計表!N103,調査集計表!P103,調査集計表!R103)</f>
        <v>0</v>
      </c>
      <c r="H103" s="29" t="str">
        <f aca="false">IF($G103=0,"",MEDIAN(調査集計表!J103,調査集計表!L103,調査集計表!N103,調査集計表!P103,調査集計表!R103))</f>
        <v/>
      </c>
      <c r="I103" s="29" t="str">
        <f aca="false">IFERROR(AVERAGE(調査集計表!T103,調査集計表!V103),"")</f>
        <v/>
      </c>
      <c r="J103" s="29" t="n">
        <f aca="false">COUNT(調査集計表!T103,調査集計表!V103)</f>
        <v>0</v>
      </c>
      <c r="K103" s="31" t="str">
        <f aca="false">IF($H103="","",ROUND($H103/3*100,1))</f>
        <v/>
      </c>
      <c r="L103" s="31" t="str">
        <f aca="false">IF($I103="","",ROUND($I103/3*100,1))</f>
        <v/>
      </c>
      <c r="M103" s="32" t="str">
        <f aca="false">IFERROR(INDEX(マスタ設定!$E$5:$E$14,MATCH($E103,マスタ設定!$A$5:$A$14,0))/100,"")</f>
        <v/>
      </c>
      <c r="N103" s="32" t="str">
        <f aca="false">IFERROR(INDEX(マスタ設定!$F$5:$F$14,MATCH($E103,マスタ設定!$A$5:$A$14,0))/100,"")</f>
        <v/>
      </c>
      <c r="O103" s="31" t="str">
        <f aca="false">IF(OR($K103="",$L103="",$M103="",$N103=""),"",ROUND($K103*$M103+$L103*$N103,1))</f>
        <v/>
      </c>
      <c r="P103" s="29" t="str">
        <f aca="false">IF($A103="","",IF($O103="","データ不足",IF(AND($G103&gt;=3,$J103&gt;=2),"有効","要確認")))</f>
        <v/>
      </c>
    </row>
    <row r="104" customFormat="false" ht="15" hidden="false" customHeight="false" outlineLevel="0" collapsed="false">
      <c r="A104" s="29" t="str">
        <f aca="false">IF(調査集計表!A104="","",調査集計表!A104)</f>
        <v/>
      </c>
      <c r="B104" s="30" t="str">
        <f aca="false">IF(調査集計表!C104="","",調査集計表!C104)</f>
        <v/>
      </c>
      <c r="C104" s="29" t="str">
        <f aca="false">IF(調査集計表!D104="","",調査集計表!D104)</f>
        <v/>
      </c>
      <c r="D104" s="29" t="str">
        <f aca="false">IF(調査集計表!E104="","",調査集計表!E104)</f>
        <v/>
      </c>
      <c r="E104" s="29" t="str">
        <f aca="false">IF(調査集計表!F104="","",調査集計表!F104)</f>
        <v/>
      </c>
      <c r="F104" s="29" t="str">
        <f aca="false">IF(調査集計表!H104="","",調査集計表!H104)</f>
        <v/>
      </c>
      <c r="G104" s="29" t="n">
        <f aca="false">COUNT(調査集計表!J104,調査集計表!L104,調査集計表!N104,調査集計表!P104,調査集計表!R104)</f>
        <v>0</v>
      </c>
      <c r="H104" s="29" t="str">
        <f aca="false">IF($G104=0,"",MEDIAN(調査集計表!J104,調査集計表!L104,調査集計表!N104,調査集計表!P104,調査集計表!R104))</f>
        <v/>
      </c>
      <c r="I104" s="29" t="str">
        <f aca="false">IFERROR(AVERAGE(調査集計表!T104,調査集計表!V104),"")</f>
        <v/>
      </c>
      <c r="J104" s="29" t="n">
        <f aca="false">COUNT(調査集計表!T104,調査集計表!V104)</f>
        <v>0</v>
      </c>
      <c r="K104" s="31" t="str">
        <f aca="false">IF($H104="","",ROUND($H104/3*100,1))</f>
        <v/>
      </c>
      <c r="L104" s="31" t="str">
        <f aca="false">IF($I104="","",ROUND($I104/3*100,1))</f>
        <v/>
      </c>
      <c r="M104" s="32" t="str">
        <f aca="false">IFERROR(INDEX(マスタ設定!$E$5:$E$14,MATCH($E104,マスタ設定!$A$5:$A$14,0))/100,"")</f>
        <v/>
      </c>
      <c r="N104" s="32" t="str">
        <f aca="false">IFERROR(INDEX(マスタ設定!$F$5:$F$14,MATCH($E104,マスタ設定!$A$5:$A$14,0))/100,"")</f>
        <v/>
      </c>
      <c r="O104" s="31" t="str">
        <f aca="false">IF(OR($K104="",$L104="",$M104="",$N104=""),"",ROUND($K104*$M104+$L104*$N104,1))</f>
        <v/>
      </c>
      <c r="P104" s="29" t="str">
        <f aca="false">IF($A104="","",IF($O104="","データ不足",IF(AND($G104&gt;=3,$J104&gt;=2),"有効","要確認")))</f>
        <v/>
      </c>
    </row>
    <row r="105" customFormat="false" ht="15" hidden="false" customHeight="false" outlineLevel="0" collapsed="false">
      <c r="A105" s="29" t="str">
        <f aca="false">IF(調査集計表!A105="","",調査集計表!A105)</f>
        <v/>
      </c>
      <c r="B105" s="30" t="str">
        <f aca="false">IF(調査集計表!C105="","",調査集計表!C105)</f>
        <v/>
      </c>
      <c r="C105" s="29" t="str">
        <f aca="false">IF(調査集計表!D105="","",調査集計表!D105)</f>
        <v/>
      </c>
      <c r="D105" s="29" t="str">
        <f aca="false">IF(調査集計表!E105="","",調査集計表!E105)</f>
        <v/>
      </c>
      <c r="E105" s="29" t="str">
        <f aca="false">IF(調査集計表!F105="","",調査集計表!F105)</f>
        <v/>
      </c>
      <c r="F105" s="29" t="str">
        <f aca="false">IF(調査集計表!H105="","",調査集計表!H105)</f>
        <v/>
      </c>
      <c r="G105" s="29" t="n">
        <f aca="false">COUNT(調査集計表!J105,調査集計表!L105,調査集計表!N105,調査集計表!P105,調査集計表!R105)</f>
        <v>0</v>
      </c>
      <c r="H105" s="29" t="str">
        <f aca="false">IF($G105=0,"",MEDIAN(調査集計表!J105,調査集計表!L105,調査集計表!N105,調査集計表!P105,調査集計表!R105))</f>
        <v/>
      </c>
      <c r="I105" s="29" t="str">
        <f aca="false">IFERROR(AVERAGE(調査集計表!T105,調査集計表!V105),"")</f>
        <v/>
      </c>
      <c r="J105" s="29" t="n">
        <f aca="false">COUNT(調査集計表!T105,調査集計表!V105)</f>
        <v>0</v>
      </c>
      <c r="K105" s="31" t="str">
        <f aca="false">IF($H105="","",ROUND($H105/3*100,1))</f>
        <v/>
      </c>
      <c r="L105" s="31" t="str">
        <f aca="false">IF($I105="","",ROUND($I105/3*100,1))</f>
        <v/>
      </c>
      <c r="M105" s="32" t="str">
        <f aca="false">IFERROR(INDEX(マスタ設定!$E$5:$E$14,MATCH($E105,マスタ設定!$A$5:$A$14,0))/100,"")</f>
        <v/>
      </c>
      <c r="N105" s="32" t="str">
        <f aca="false">IFERROR(INDEX(マスタ設定!$F$5:$F$14,MATCH($E105,マスタ設定!$A$5:$A$14,0))/100,"")</f>
        <v/>
      </c>
      <c r="O105" s="31" t="str">
        <f aca="false">IF(OR($K105="",$L105="",$M105="",$N105=""),"",ROUND($K105*$M105+$L105*$N105,1))</f>
        <v/>
      </c>
      <c r="P105" s="29" t="str">
        <f aca="false">IF($A105="","",IF($O105="","データ不足",IF(AND($G105&gt;=3,$J105&gt;=2),"有効","要確認")))</f>
        <v/>
      </c>
    </row>
    <row r="106" customFormat="false" ht="15" hidden="false" customHeight="false" outlineLevel="0" collapsed="false">
      <c r="A106" s="29" t="str">
        <f aca="false">IF(調査集計表!A106="","",調査集計表!A106)</f>
        <v/>
      </c>
      <c r="B106" s="30" t="str">
        <f aca="false">IF(調査集計表!C106="","",調査集計表!C106)</f>
        <v/>
      </c>
      <c r="C106" s="29" t="str">
        <f aca="false">IF(調査集計表!D106="","",調査集計表!D106)</f>
        <v/>
      </c>
      <c r="D106" s="29" t="str">
        <f aca="false">IF(調査集計表!E106="","",調査集計表!E106)</f>
        <v/>
      </c>
      <c r="E106" s="29" t="str">
        <f aca="false">IF(調査集計表!F106="","",調査集計表!F106)</f>
        <v/>
      </c>
      <c r="F106" s="29" t="str">
        <f aca="false">IF(調査集計表!H106="","",調査集計表!H106)</f>
        <v/>
      </c>
      <c r="G106" s="29" t="n">
        <f aca="false">COUNT(調査集計表!J106,調査集計表!L106,調査集計表!N106,調査集計表!P106,調査集計表!R106)</f>
        <v>0</v>
      </c>
      <c r="H106" s="29" t="str">
        <f aca="false">IF($G106=0,"",MEDIAN(調査集計表!J106,調査集計表!L106,調査集計表!N106,調査集計表!P106,調査集計表!R106))</f>
        <v/>
      </c>
      <c r="I106" s="29" t="str">
        <f aca="false">IFERROR(AVERAGE(調査集計表!T106,調査集計表!V106),"")</f>
        <v/>
      </c>
      <c r="J106" s="29" t="n">
        <f aca="false">COUNT(調査集計表!T106,調査集計表!V106)</f>
        <v>0</v>
      </c>
      <c r="K106" s="31" t="str">
        <f aca="false">IF($H106="","",ROUND($H106/3*100,1))</f>
        <v/>
      </c>
      <c r="L106" s="31" t="str">
        <f aca="false">IF($I106="","",ROUND($I106/3*100,1))</f>
        <v/>
      </c>
      <c r="M106" s="32" t="str">
        <f aca="false">IFERROR(INDEX(マスタ設定!$E$5:$E$14,MATCH($E106,マスタ設定!$A$5:$A$14,0))/100,"")</f>
        <v/>
      </c>
      <c r="N106" s="32" t="str">
        <f aca="false">IFERROR(INDEX(マスタ設定!$F$5:$F$14,MATCH($E106,マスタ設定!$A$5:$A$14,0))/100,"")</f>
        <v/>
      </c>
      <c r="O106" s="31" t="str">
        <f aca="false">IF(OR($K106="",$L106="",$M106="",$N106=""),"",ROUND($K106*$M106+$L106*$N106,1))</f>
        <v/>
      </c>
      <c r="P106" s="29" t="str">
        <f aca="false">IF($A106="","",IF($O106="","データ不足",IF(AND($G106&gt;=3,$J106&gt;=2),"有効","要確認")))</f>
        <v/>
      </c>
    </row>
    <row r="107" customFormat="false" ht="15" hidden="false" customHeight="false" outlineLevel="0" collapsed="false">
      <c r="A107" s="29" t="str">
        <f aca="false">IF(調査集計表!A107="","",調査集計表!A107)</f>
        <v/>
      </c>
      <c r="B107" s="30" t="str">
        <f aca="false">IF(調査集計表!C107="","",調査集計表!C107)</f>
        <v/>
      </c>
      <c r="C107" s="29" t="str">
        <f aca="false">IF(調査集計表!D107="","",調査集計表!D107)</f>
        <v/>
      </c>
      <c r="D107" s="29" t="str">
        <f aca="false">IF(調査集計表!E107="","",調査集計表!E107)</f>
        <v/>
      </c>
      <c r="E107" s="29" t="str">
        <f aca="false">IF(調査集計表!F107="","",調査集計表!F107)</f>
        <v/>
      </c>
      <c r="F107" s="29" t="str">
        <f aca="false">IF(調査集計表!H107="","",調査集計表!H107)</f>
        <v/>
      </c>
      <c r="G107" s="29" t="n">
        <f aca="false">COUNT(調査集計表!J107,調査集計表!L107,調査集計表!N107,調査集計表!P107,調査集計表!R107)</f>
        <v>0</v>
      </c>
      <c r="H107" s="29" t="str">
        <f aca="false">IF($G107=0,"",MEDIAN(調査集計表!J107,調査集計表!L107,調査集計表!N107,調査集計表!P107,調査集計表!R107))</f>
        <v/>
      </c>
      <c r="I107" s="29" t="str">
        <f aca="false">IFERROR(AVERAGE(調査集計表!T107,調査集計表!V107),"")</f>
        <v/>
      </c>
      <c r="J107" s="29" t="n">
        <f aca="false">COUNT(調査集計表!T107,調査集計表!V107)</f>
        <v>0</v>
      </c>
      <c r="K107" s="31" t="str">
        <f aca="false">IF($H107="","",ROUND($H107/3*100,1))</f>
        <v/>
      </c>
      <c r="L107" s="31" t="str">
        <f aca="false">IF($I107="","",ROUND($I107/3*100,1))</f>
        <v/>
      </c>
      <c r="M107" s="32" t="str">
        <f aca="false">IFERROR(INDEX(マスタ設定!$E$5:$E$14,MATCH($E107,マスタ設定!$A$5:$A$14,0))/100,"")</f>
        <v/>
      </c>
      <c r="N107" s="32" t="str">
        <f aca="false">IFERROR(INDEX(マスタ設定!$F$5:$F$14,MATCH($E107,マスタ設定!$A$5:$A$14,0))/100,"")</f>
        <v/>
      </c>
      <c r="O107" s="31" t="str">
        <f aca="false">IF(OR($K107="",$L107="",$M107="",$N107=""),"",ROUND($K107*$M107+$L107*$N107,1))</f>
        <v/>
      </c>
      <c r="P107" s="29" t="str">
        <f aca="false">IF($A107="","",IF($O107="","データ不足",IF(AND($G107&gt;=3,$J107&gt;=2),"有効","要確認")))</f>
        <v/>
      </c>
    </row>
    <row r="108" customFormat="false" ht="15" hidden="false" customHeight="false" outlineLevel="0" collapsed="false">
      <c r="A108" s="29" t="str">
        <f aca="false">IF(調査集計表!A108="","",調査集計表!A108)</f>
        <v/>
      </c>
      <c r="B108" s="30" t="str">
        <f aca="false">IF(調査集計表!C108="","",調査集計表!C108)</f>
        <v/>
      </c>
      <c r="C108" s="29" t="str">
        <f aca="false">IF(調査集計表!D108="","",調査集計表!D108)</f>
        <v/>
      </c>
      <c r="D108" s="29" t="str">
        <f aca="false">IF(調査集計表!E108="","",調査集計表!E108)</f>
        <v/>
      </c>
      <c r="E108" s="29" t="str">
        <f aca="false">IF(調査集計表!F108="","",調査集計表!F108)</f>
        <v/>
      </c>
      <c r="F108" s="29" t="str">
        <f aca="false">IF(調査集計表!H108="","",調査集計表!H108)</f>
        <v/>
      </c>
      <c r="G108" s="29" t="n">
        <f aca="false">COUNT(調査集計表!J108,調査集計表!L108,調査集計表!N108,調査集計表!P108,調査集計表!R108)</f>
        <v>0</v>
      </c>
      <c r="H108" s="29" t="str">
        <f aca="false">IF($G108=0,"",MEDIAN(調査集計表!J108,調査集計表!L108,調査集計表!N108,調査集計表!P108,調査集計表!R108))</f>
        <v/>
      </c>
      <c r="I108" s="29" t="str">
        <f aca="false">IFERROR(AVERAGE(調査集計表!T108,調査集計表!V108),"")</f>
        <v/>
      </c>
      <c r="J108" s="29" t="n">
        <f aca="false">COUNT(調査集計表!T108,調査集計表!V108)</f>
        <v>0</v>
      </c>
      <c r="K108" s="31" t="str">
        <f aca="false">IF($H108="","",ROUND($H108/3*100,1))</f>
        <v/>
      </c>
      <c r="L108" s="31" t="str">
        <f aca="false">IF($I108="","",ROUND($I108/3*100,1))</f>
        <v/>
      </c>
      <c r="M108" s="32" t="str">
        <f aca="false">IFERROR(INDEX(マスタ設定!$E$5:$E$14,MATCH($E108,マスタ設定!$A$5:$A$14,0))/100,"")</f>
        <v/>
      </c>
      <c r="N108" s="32" t="str">
        <f aca="false">IFERROR(INDEX(マスタ設定!$F$5:$F$14,MATCH($E108,マスタ設定!$A$5:$A$14,0))/100,"")</f>
        <v/>
      </c>
      <c r="O108" s="31" t="str">
        <f aca="false">IF(OR($K108="",$L108="",$M108="",$N108=""),"",ROUND($K108*$M108+$L108*$N108,1))</f>
        <v/>
      </c>
      <c r="P108" s="29" t="str">
        <f aca="false">IF($A108="","",IF($O108="","データ不足",IF(AND($G108&gt;=3,$J108&gt;=2),"有効","要確認")))</f>
        <v/>
      </c>
    </row>
    <row r="109" customFormat="false" ht="15" hidden="false" customHeight="false" outlineLevel="0" collapsed="false">
      <c r="A109" s="29" t="str">
        <f aca="false">IF(調査集計表!A109="","",調査集計表!A109)</f>
        <v/>
      </c>
      <c r="B109" s="30" t="str">
        <f aca="false">IF(調査集計表!C109="","",調査集計表!C109)</f>
        <v/>
      </c>
      <c r="C109" s="29" t="str">
        <f aca="false">IF(調査集計表!D109="","",調査集計表!D109)</f>
        <v/>
      </c>
      <c r="D109" s="29" t="str">
        <f aca="false">IF(調査集計表!E109="","",調査集計表!E109)</f>
        <v/>
      </c>
      <c r="E109" s="29" t="str">
        <f aca="false">IF(調査集計表!F109="","",調査集計表!F109)</f>
        <v/>
      </c>
      <c r="F109" s="29" t="str">
        <f aca="false">IF(調査集計表!H109="","",調査集計表!H109)</f>
        <v/>
      </c>
      <c r="G109" s="29" t="n">
        <f aca="false">COUNT(調査集計表!J109,調査集計表!L109,調査集計表!N109,調査集計表!P109,調査集計表!R109)</f>
        <v>0</v>
      </c>
      <c r="H109" s="29" t="str">
        <f aca="false">IF($G109=0,"",MEDIAN(調査集計表!J109,調査集計表!L109,調査集計表!N109,調査集計表!P109,調査集計表!R109))</f>
        <v/>
      </c>
      <c r="I109" s="29" t="str">
        <f aca="false">IFERROR(AVERAGE(調査集計表!T109,調査集計表!V109),"")</f>
        <v/>
      </c>
      <c r="J109" s="29" t="n">
        <f aca="false">COUNT(調査集計表!T109,調査集計表!V109)</f>
        <v>0</v>
      </c>
      <c r="K109" s="31" t="str">
        <f aca="false">IF($H109="","",ROUND($H109/3*100,1))</f>
        <v/>
      </c>
      <c r="L109" s="31" t="str">
        <f aca="false">IF($I109="","",ROUND($I109/3*100,1))</f>
        <v/>
      </c>
      <c r="M109" s="32" t="str">
        <f aca="false">IFERROR(INDEX(マスタ設定!$E$5:$E$14,MATCH($E109,マスタ設定!$A$5:$A$14,0))/100,"")</f>
        <v/>
      </c>
      <c r="N109" s="32" t="str">
        <f aca="false">IFERROR(INDEX(マスタ設定!$F$5:$F$14,MATCH($E109,マスタ設定!$A$5:$A$14,0))/100,"")</f>
        <v/>
      </c>
      <c r="O109" s="31" t="str">
        <f aca="false">IF(OR($K109="",$L109="",$M109="",$N109=""),"",ROUND($K109*$M109+$L109*$N109,1))</f>
        <v/>
      </c>
      <c r="P109" s="29" t="str">
        <f aca="false">IF($A109="","",IF($O109="","データ不足",IF(AND($G109&gt;=3,$J109&gt;=2),"有効","要確認")))</f>
        <v/>
      </c>
    </row>
    <row r="110" customFormat="false" ht="15" hidden="false" customHeight="false" outlineLevel="0" collapsed="false">
      <c r="A110" s="29" t="str">
        <f aca="false">IF(調査集計表!A110="","",調査集計表!A110)</f>
        <v/>
      </c>
      <c r="B110" s="30" t="str">
        <f aca="false">IF(調査集計表!C110="","",調査集計表!C110)</f>
        <v/>
      </c>
      <c r="C110" s="29" t="str">
        <f aca="false">IF(調査集計表!D110="","",調査集計表!D110)</f>
        <v/>
      </c>
      <c r="D110" s="29" t="str">
        <f aca="false">IF(調査集計表!E110="","",調査集計表!E110)</f>
        <v/>
      </c>
      <c r="E110" s="29" t="str">
        <f aca="false">IF(調査集計表!F110="","",調査集計表!F110)</f>
        <v/>
      </c>
      <c r="F110" s="29" t="str">
        <f aca="false">IF(調査集計表!H110="","",調査集計表!H110)</f>
        <v/>
      </c>
      <c r="G110" s="29" t="n">
        <f aca="false">COUNT(調査集計表!J110,調査集計表!L110,調査集計表!N110,調査集計表!P110,調査集計表!R110)</f>
        <v>0</v>
      </c>
      <c r="H110" s="29" t="str">
        <f aca="false">IF($G110=0,"",MEDIAN(調査集計表!J110,調査集計表!L110,調査集計表!N110,調査集計表!P110,調査集計表!R110))</f>
        <v/>
      </c>
      <c r="I110" s="29" t="str">
        <f aca="false">IFERROR(AVERAGE(調査集計表!T110,調査集計表!V110),"")</f>
        <v/>
      </c>
      <c r="J110" s="29" t="n">
        <f aca="false">COUNT(調査集計表!T110,調査集計表!V110)</f>
        <v>0</v>
      </c>
      <c r="K110" s="31" t="str">
        <f aca="false">IF($H110="","",ROUND($H110/3*100,1))</f>
        <v/>
      </c>
      <c r="L110" s="31" t="str">
        <f aca="false">IF($I110="","",ROUND($I110/3*100,1))</f>
        <v/>
      </c>
      <c r="M110" s="32" t="str">
        <f aca="false">IFERROR(INDEX(マスタ設定!$E$5:$E$14,MATCH($E110,マスタ設定!$A$5:$A$14,0))/100,"")</f>
        <v/>
      </c>
      <c r="N110" s="32" t="str">
        <f aca="false">IFERROR(INDEX(マスタ設定!$F$5:$F$14,MATCH($E110,マスタ設定!$A$5:$A$14,0))/100,"")</f>
        <v/>
      </c>
      <c r="O110" s="31" t="str">
        <f aca="false">IF(OR($K110="",$L110="",$M110="",$N110=""),"",ROUND($K110*$M110+$L110*$N110,1))</f>
        <v/>
      </c>
      <c r="P110" s="29" t="str">
        <f aca="false">IF($A110="","",IF($O110="","データ不足",IF(AND($G110&gt;=3,$J110&gt;=2),"有効","要確認")))</f>
        <v/>
      </c>
    </row>
    <row r="111" customFormat="false" ht="15" hidden="false" customHeight="false" outlineLevel="0" collapsed="false">
      <c r="A111" s="29" t="str">
        <f aca="false">IF(調査集計表!A111="","",調査集計表!A111)</f>
        <v/>
      </c>
      <c r="B111" s="30" t="str">
        <f aca="false">IF(調査集計表!C111="","",調査集計表!C111)</f>
        <v/>
      </c>
      <c r="C111" s="29" t="str">
        <f aca="false">IF(調査集計表!D111="","",調査集計表!D111)</f>
        <v/>
      </c>
      <c r="D111" s="29" t="str">
        <f aca="false">IF(調査集計表!E111="","",調査集計表!E111)</f>
        <v/>
      </c>
      <c r="E111" s="29" t="str">
        <f aca="false">IF(調査集計表!F111="","",調査集計表!F111)</f>
        <v/>
      </c>
      <c r="F111" s="29" t="str">
        <f aca="false">IF(調査集計表!H111="","",調査集計表!H111)</f>
        <v/>
      </c>
      <c r="G111" s="29" t="n">
        <f aca="false">COUNT(調査集計表!J111,調査集計表!L111,調査集計表!N111,調査集計表!P111,調査集計表!R111)</f>
        <v>0</v>
      </c>
      <c r="H111" s="29" t="str">
        <f aca="false">IF($G111=0,"",MEDIAN(調査集計表!J111,調査集計表!L111,調査集計表!N111,調査集計表!P111,調査集計表!R111))</f>
        <v/>
      </c>
      <c r="I111" s="29" t="str">
        <f aca="false">IFERROR(AVERAGE(調査集計表!T111,調査集計表!V111),"")</f>
        <v/>
      </c>
      <c r="J111" s="29" t="n">
        <f aca="false">COUNT(調査集計表!T111,調査集計表!V111)</f>
        <v>0</v>
      </c>
      <c r="K111" s="31" t="str">
        <f aca="false">IF($H111="","",ROUND($H111/3*100,1))</f>
        <v/>
      </c>
      <c r="L111" s="31" t="str">
        <f aca="false">IF($I111="","",ROUND($I111/3*100,1))</f>
        <v/>
      </c>
      <c r="M111" s="32" t="str">
        <f aca="false">IFERROR(INDEX(マスタ設定!$E$5:$E$14,MATCH($E111,マスタ設定!$A$5:$A$14,0))/100,"")</f>
        <v/>
      </c>
      <c r="N111" s="32" t="str">
        <f aca="false">IFERROR(INDEX(マスタ設定!$F$5:$F$14,MATCH($E111,マスタ設定!$A$5:$A$14,0))/100,"")</f>
        <v/>
      </c>
      <c r="O111" s="31" t="str">
        <f aca="false">IF(OR($K111="",$L111="",$M111="",$N111=""),"",ROUND($K111*$M111+$L111*$N111,1))</f>
        <v/>
      </c>
      <c r="P111" s="29" t="str">
        <f aca="false">IF($A111="","",IF($O111="","データ不足",IF(AND($G111&gt;=3,$J111&gt;=2),"有効","要確認")))</f>
        <v/>
      </c>
    </row>
    <row r="112" customFormat="false" ht="15" hidden="false" customHeight="false" outlineLevel="0" collapsed="false">
      <c r="A112" s="29" t="str">
        <f aca="false">IF(調査集計表!A112="","",調査集計表!A112)</f>
        <v/>
      </c>
      <c r="B112" s="30" t="str">
        <f aca="false">IF(調査集計表!C112="","",調査集計表!C112)</f>
        <v/>
      </c>
      <c r="C112" s="29" t="str">
        <f aca="false">IF(調査集計表!D112="","",調査集計表!D112)</f>
        <v/>
      </c>
      <c r="D112" s="29" t="str">
        <f aca="false">IF(調査集計表!E112="","",調査集計表!E112)</f>
        <v/>
      </c>
      <c r="E112" s="29" t="str">
        <f aca="false">IF(調査集計表!F112="","",調査集計表!F112)</f>
        <v/>
      </c>
      <c r="F112" s="29" t="str">
        <f aca="false">IF(調査集計表!H112="","",調査集計表!H112)</f>
        <v/>
      </c>
      <c r="G112" s="29" t="n">
        <f aca="false">COUNT(調査集計表!J112,調査集計表!L112,調査集計表!N112,調査集計表!P112,調査集計表!R112)</f>
        <v>0</v>
      </c>
      <c r="H112" s="29" t="str">
        <f aca="false">IF($G112=0,"",MEDIAN(調査集計表!J112,調査集計表!L112,調査集計表!N112,調査集計表!P112,調査集計表!R112))</f>
        <v/>
      </c>
      <c r="I112" s="29" t="str">
        <f aca="false">IFERROR(AVERAGE(調査集計表!T112,調査集計表!V112),"")</f>
        <v/>
      </c>
      <c r="J112" s="29" t="n">
        <f aca="false">COUNT(調査集計表!T112,調査集計表!V112)</f>
        <v>0</v>
      </c>
      <c r="K112" s="31" t="str">
        <f aca="false">IF($H112="","",ROUND($H112/3*100,1))</f>
        <v/>
      </c>
      <c r="L112" s="31" t="str">
        <f aca="false">IF($I112="","",ROUND($I112/3*100,1))</f>
        <v/>
      </c>
      <c r="M112" s="32" t="str">
        <f aca="false">IFERROR(INDEX(マスタ設定!$E$5:$E$14,MATCH($E112,マスタ設定!$A$5:$A$14,0))/100,"")</f>
        <v/>
      </c>
      <c r="N112" s="32" t="str">
        <f aca="false">IFERROR(INDEX(マスタ設定!$F$5:$F$14,MATCH($E112,マスタ設定!$A$5:$A$14,0))/100,"")</f>
        <v/>
      </c>
      <c r="O112" s="31" t="str">
        <f aca="false">IF(OR($K112="",$L112="",$M112="",$N112=""),"",ROUND($K112*$M112+$L112*$N112,1))</f>
        <v/>
      </c>
      <c r="P112" s="29" t="str">
        <f aca="false">IF($A112="","",IF($O112="","データ不足",IF(AND($G112&gt;=3,$J112&gt;=2),"有効","要確認")))</f>
        <v/>
      </c>
    </row>
    <row r="113" customFormat="false" ht="15" hidden="false" customHeight="false" outlineLevel="0" collapsed="false">
      <c r="A113" s="29" t="str">
        <f aca="false">IF(調査集計表!A113="","",調査集計表!A113)</f>
        <v/>
      </c>
      <c r="B113" s="30" t="str">
        <f aca="false">IF(調査集計表!C113="","",調査集計表!C113)</f>
        <v/>
      </c>
      <c r="C113" s="29" t="str">
        <f aca="false">IF(調査集計表!D113="","",調査集計表!D113)</f>
        <v/>
      </c>
      <c r="D113" s="29" t="str">
        <f aca="false">IF(調査集計表!E113="","",調査集計表!E113)</f>
        <v/>
      </c>
      <c r="E113" s="29" t="str">
        <f aca="false">IF(調査集計表!F113="","",調査集計表!F113)</f>
        <v/>
      </c>
      <c r="F113" s="29" t="str">
        <f aca="false">IF(調査集計表!H113="","",調査集計表!H113)</f>
        <v/>
      </c>
      <c r="G113" s="29" t="n">
        <f aca="false">COUNT(調査集計表!J113,調査集計表!L113,調査集計表!N113,調査集計表!P113,調査集計表!R113)</f>
        <v>0</v>
      </c>
      <c r="H113" s="29" t="str">
        <f aca="false">IF($G113=0,"",MEDIAN(調査集計表!J113,調査集計表!L113,調査集計表!N113,調査集計表!P113,調査集計表!R113))</f>
        <v/>
      </c>
      <c r="I113" s="29" t="str">
        <f aca="false">IFERROR(AVERAGE(調査集計表!T113,調査集計表!V113),"")</f>
        <v/>
      </c>
      <c r="J113" s="29" t="n">
        <f aca="false">COUNT(調査集計表!T113,調査集計表!V113)</f>
        <v>0</v>
      </c>
      <c r="K113" s="31" t="str">
        <f aca="false">IF($H113="","",ROUND($H113/3*100,1))</f>
        <v/>
      </c>
      <c r="L113" s="31" t="str">
        <f aca="false">IF($I113="","",ROUND($I113/3*100,1))</f>
        <v/>
      </c>
      <c r="M113" s="32" t="str">
        <f aca="false">IFERROR(INDEX(マスタ設定!$E$5:$E$14,MATCH($E113,マスタ設定!$A$5:$A$14,0))/100,"")</f>
        <v/>
      </c>
      <c r="N113" s="32" t="str">
        <f aca="false">IFERROR(INDEX(マスタ設定!$F$5:$F$14,MATCH($E113,マスタ設定!$A$5:$A$14,0))/100,"")</f>
        <v/>
      </c>
      <c r="O113" s="31" t="str">
        <f aca="false">IF(OR($K113="",$L113="",$M113="",$N113=""),"",ROUND($K113*$M113+$L113*$N113,1))</f>
        <v/>
      </c>
      <c r="P113" s="29" t="str">
        <f aca="false">IF($A113="","",IF($O113="","データ不足",IF(AND($G113&gt;=3,$J113&gt;=2),"有効","要確認")))</f>
        <v/>
      </c>
    </row>
    <row r="114" customFormat="false" ht="15" hidden="false" customHeight="false" outlineLevel="0" collapsed="false">
      <c r="A114" s="29" t="str">
        <f aca="false">IF(調査集計表!A114="","",調査集計表!A114)</f>
        <v/>
      </c>
      <c r="B114" s="30" t="str">
        <f aca="false">IF(調査集計表!C114="","",調査集計表!C114)</f>
        <v/>
      </c>
      <c r="C114" s="29" t="str">
        <f aca="false">IF(調査集計表!D114="","",調査集計表!D114)</f>
        <v/>
      </c>
      <c r="D114" s="29" t="str">
        <f aca="false">IF(調査集計表!E114="","",調査集計表!E114)</f>
        <v/>
      </c>
      <c r="E114" s="29" t="str">
        <f aca="false">IF(調査集計表!F114="","",調査集計表!F114)</f>
        <v/>
      </c>
      <c r="F114" s="29" t="str">
        <f aca="false">IF(調査集計表!H114="","",調査集計表!H114)</f>
        <v/>
      </c>
      <c r="G114" s="29" t="n">
        <f aca="false">COUNT(調査集計表!J114,調査集計表!L114,調査集計表!N114,調査集計表!P114,調査集計表!R114)</f>
        <v>0</v>
      </c>
      <c r="H114" s="29" t="str">
        <f aca="false">IF($G114=0,"",MEDIAN(調査集計表!J114,調査集計表!L114,調査集計表!N114,調査集計表!P114,調査集計表!R114))</f>
        <v/>
      </c>
      <c r="I114" s="29" t="str">
        <f aca="false">IFERROR(AVERAGE(調査集計表!T114,調査集計表!V114),"")</f>
        <v/>
      </c>
      <c r="J114" s="29" t="n">
        <f aca="false">COUNT(調査集計表!T114,調査集計表!V114)</f>
        <v>0</v>
      </c>
      <c r="K114" s="31" t="str">
        <f aca="false">IF($H114="","",ROUND($H114/3*100,1))</f>
        <v/>
      </c>
      <c r="L114" s="31" t="str">
        <f aca="false">IF($I114="","",ROUND($I114/3*100,1))</f>
        <v/>
      </c>
      <c r="M114" s="32" t="str">
        <f aca="false">IFERROR(INDEX(マスタ設定!$E$5:$E$14,MATCH($E114,マスタ設定!$A$5:$A$14,0))/100,"")</f>
        <v/>
      </c>
      <c r="N114" s="32" t="str">
        <f aca="false">IFERROR(INDEX(マスタ設定!$F$5:$F$14,MATCH($E114,マスタ設定!$A$5:$A$14,0))/100,"")</f>
        <v/>
      </c>
      <c r="O114" s="31" t="str">
        <f aca="false">IF(OR($K114="",$L114="",$M114="",$N114=""),"",ROUND($K114*$M114+$L114*$N114,1))</f>
        <v/>
      </c>
      <c r="P114" s="29" t="str">
        <f aca="false">IF($A114="","",IF($O114="","データ不足",IF(AND($G114&gt;=3,$J114&gt;=2),"有効","要確認")))</f>
        <v/>
      </c>
    </row>
    <row r="115" customFormat="false" ht="15" hidden="false" customHeight="false" outlineLevel="0" collapsed="false">
      <c r="A115" s="29" t="str">
        <f aca="false">IF(調査集計表!A115="","",調査集計表!A115)</f>
        <v/>
      </c>
      <c r="B115" s="30" t="str">
        <f aca="false">IF(調査集計表!C115="","",調査集計表!C115)</f>
        <v/>
      </c>
      <c r="C115" s="29" t="str">
        <f aca="false">IF(調査集計表!D115="","",調査集計表!D115)</f>
        <v/>
      </c>
      <c r="D115" s="29" t="str">
        <f aca="false">IF(調査集計表!E115="","",調査集計表!E115)</f>
        <v/>
      </c>
      <c r="E115" s="29" t="str">
        <f aca="false">IF(調査集計表!F115="","",調査集計表!F115)</f>
        <v/>
      </c>
      <c r="F115" s="29" t="str">
        <f aca="false">IF(調査集計表!H115="","",調査集計表!H115)</f>
        <v/>
      </c>
      <c r="G115" s="29" t="n">
        <f aca="false">COUNT(調査集計表!J115,調査集計表!L115,調査集計表!N115,調査集計表!P115,調査集計表!R115)</f>
        <v>0</v>
      </c>
      <c r="H115" s="29" t="str">
        <f aca="false">IF($G115=0,"",MEDIAN(調査集計表!J115,調査集計表!L115,調査集計表!N115,調査集計表!P115,調査集計表!R115))</f>
        <v/>
      </c>
      <c r="I115" s="29" t="str">
        <f aca="false">IFERROR(AVERAGE(調査集計表!T115,調査集計表!V115),"")</f>
        <v/>
      </c>
      <c r="J115" s="29" t="n">
        <f aca="false">COUNT(調査集計表!T115,調査集計表!V115)</f>
        <v>0</v>
      </c>
      <c r="K115" s="31" t="str">
        <f aca="false">IF($H115="","",ROUND($H115/3*100,1))</f>
        <v/>
      </c>
      <c r="L115" s="31" t="str">
        <f aca="false">IF($I115="","",ROUND($I115/3*100,1))</f>
        <v/>
      </c>
      <c r="M115" s="32" t="str">
        <f aca="false">IFERROR(INDEX(マスタ設定!$E$5:$E$14,MATCH($E115,マスタ設定!$A$5:$A$14,0))/100,"")</f>
        <v/>
      </c>
      <c r="N115" s="32" t="str">
        <f aca="false">IFERROR(INDEX(マスタ設定!$F$5:$F$14,MATCH($E115,マスタ設定!$A$5:$A$14,0))/100,"")</f>
        <v/>
      </c>
      <c r="O115" s="31" t="str">
        <f aca="false">IF(OR($K115="",$L115="",$M115="",$N115=""),"",ROUND($K115*$M115+$L115*$N115,1))</f>
        <v/>
      </c>
      <c r="P115" s="29" t="str">
        <f aca="false">IF($A115="","",IF($O115="","データ不足",IF(AND($G115&gt;=3,$J115&gt;=2),"有効","要確認")))</f>
        <v/>
      </c>
    </row>
    <row r="116" customFormat="false" ht="15" hidden="false" customHeight="false" outlineLevel="0" collapsed="false">
      <c r="A116" s="29" t="str">
        <f aca="false">IF(調査集計表!A116="","",調査集計表!A116)</f>
        <v/>
      </c>
      <c r="B116" s="30" t="str">
        <f aca="false">IF(調査集計表!C116="","",調査集計表!C116)</f>
        <v/>
      </c>
      <c r="C116" s="29" t="str">
        <f aca="false">IF(調査集計表!D116="","",調査集計表!D116)</f>
        <v/>
      </c>
      <c r="D116" s="29" t="str">
        <f aca="false">IF(調査集計表!E116="","",調査集計表!E116)</f>
        <v/>
      </c>
      <c r="E116" s="29" t="str">
        <f aca="false">IF(調査集計表!F116="","",調査集計表!F116)</f>
        <v/>
      </c>
      <c r="F116" s="29" t="str">
        <f aca="false">IF(調査集計表!H116="","",調査集計表!H116)</f>
        <v/>
      </c>
      <c r="G116" s="29" t="n">
        <f aca="false">COUNT(調査集計表!J116,調査集計表!L116,調査集計表!N116,調査集計表!P116,調査集計表!R116)</f>
        <v>0</v>
      </c>
      <c r="H116" s="29" t="str">
        <f aca="false">IF($G116=0,"",MEDIAN(調査集計表!J116,調査集計表!L116,調査集計表!N116,調査集計表!P116,調査集計表!R116))</f>
        <v/>
      </c>
      <c r="I116" s="29" t="str">
        <f aca="false">IFERROR(AVERAGE(調査集計表!T116,調査集計表!V116),"")</f>
        <v/>
      </c>
      <c r="J116" s="29" t="n">
        <f aca="false">COUNT(調査集計表!T116,調査集計表!V116)</f>
        <v>0</v>
      </c>
      <c r="K116" s="31" t="str">
        <f aca="false">IF($H116="","",ROUND($H116/3*100,1))</f>
        <v/>
      </c>
      <c r="L116" s="31" t="str">
        <f aca="false">IF($I116="","",ROUND($I116/3*100,1))</f>
        <v/>
      </c>
      <c r="M116" s="32" t="str">
        <f aca="false">IFERROR(INDEX(マスタ設定!$E$5:$E$14,MATCH($E116,マスタ設定!$A$5:$A$14,0))/100,"")</f>
        <v/>
      </c>
      <c r="N116" s="32" t="str">
        <f aca="false">IFERROR(INDEX(マスタ設定!$F$5:$F$14,MATCH($E116,マスタ設定!$A$5:$A$14,0))/100,"")</f>
        <v/>
      </c>
      <c r="O116" s="31" t="str">
        <f aca="false">IF(OR($K116="",$L116="",$M116="",$N116=""),"",ROUND($K116*$M116+$L116*$N116,1))</f>
        <v/>
      </c>
      <c r="P116" s="29" t="str">
        <f aca="false">IF($A116="","",IF($O116="","データ不足",IF(AND($G116&gt;=3,$J116&gt;=2),"有効","要確認")))</f>
        <v/>
      </c>
    </row>
    <row r="117" customFormat="false" ht="15" hidden="false" customHeight="false" outlineLevel="0" collapsed="false">
      <c r="A117" s="29" t="str">
        <f aca="false">IF(調査集計表!A117="","",調査集計表!A117)</f>
        <v/>
      </c>
      <c r="B117" s="30" t="str">
        <f aca="false">IF(調査集計表!C117="","",調査集計表!C117)</f>
        <v/>
      </c>
      <c r="C117" s="29" t="str">
        <f aca="false">IF(調査集計表!D117="","",調査集計表!D117)</f>
        <v/>
      </c>
      <c r="D117" s="29" t="str">
        <f aca="false">IF(調査集計表!E117="","",調査集計表!E117)</f>
        <v/>
      </c>
      <c r="E117" s="29" t="str">
        <f aca="false">IF(調査集計表!F117="","",調査集計表!F117)</f>
        <v/>
      </c>
      <c r="F117" s="29" t="str">
        <f aca="false">IF(調査集計表!H117="","",調査集計表!H117)</f>
        <v/>
      </c>
      <c r="G117" s="29" t="n">
        <f aca="false">COUNT(調査集計表!J117,調査集計表!L117,調査集計表!N117,調査集計表!P117,調査集計表!R117)</f>
        <v>0</v>
      </c>
      <c r="H117" s="29" t="str">
        <f aca="false">IF($G117=0,"",MEDIAN(調査集計表!J117,調査集計表!L117,調査集計表!N117,調査集計表!P117,調査集計表!R117))</f>
        <v/>
      </c>
      <c r="I117" s="29" t="str">
        <f aca="false">IFERROR(AVERAGE(調査集計表!T117,調査集計表!V117),"")</f>
        <v/>
      </c>
      <c r="J117" s="29" t="n">
        <f aca="false">COUNT(調査集計表!T117,調査集計表!V117)</f>
        <v>0</v>
      </c>
      <c r="K117" s="31" t="str">
        <f aca="false">IF($H117="","",ROUND($H117/3*100,1))</f>
        <v/>
      </c>
      <c r="L117" s="31" t="str">
        <f aca="false">IF($I117="","",ROUND($I117/3*100,1))</f>
        <v/>
      </c>
      <c r="M117" s="32" t="str">
        <f aca="false">IFERROR(INDEX(マスタ設定!$E$5:$E$14,MATCH($E117,マスタ設定!$A$5:$A$14,0))/100,"")</f>
        <v/>
      </c>
      <c r="N117" s="32" t="str">
        <f aca="false">IFERROR(INDEX(マスタ設定!$F$5:$F$14,MATCH($E117,マスタ設定!$A$5:$A$14,0))/100,"")</f>
        <v/>
      </c>
      <c r="O117" s="31" t="str">
        <f aca="false">IF(OR($K117="",$L117="",$M117="",$N117=""),"",ROUND($K117*$M117+$L117*$N117,1))</f>
        <v/>
      </c>
      <c r="P117" s="29" t="str">
        <f aca="false">IF($A117="","",IF($O117="","データ不足",IF(AND($G117&gt;=3,$J117&gt;=2),"有効","要確認")))</f>
        <v/>
      </c>
    </row>
    <row r="118" customFormat="false" ht="15" hidden="false" customHeight="false" outlineLevel="0" collapsed="false">
      <c r="A118" s="29" t="str">
        <f aca="false">IF(調査集計表!A118="","",調査集計表!A118)</f>
        <v/>
      </c>
      <c r="B118" s="30" t="str">
        <f aca="false">IF(調査集計表!C118="","",調査集計表!C118)</f>
        <v/>
      </c>
      <c r="C118" s="29" t="str">
        <f aca="false">IF(調査集計表!D118="","",調査集計表!D118)</f>
        <v/>
      </c>
      <c r="D118" s="29" t="str">
        <f aca="false">IF(調査集計表!E118="","",調査集計表!E118)</f>
        <v/>
      </c>
      <c r="E118" s="29" t="str">
        <f aca="false">IF(調査集計表!F118="","",調査集計表!F118)</f>
        <v/>
      </c>
      <c r="F118" s="29" t="str">
        <f aca="false">IF(調査集計表!H118="","",調査集計表!H118)</f>
        <v/>
      </c>
      <c r="G118" s="29" t="n">
        <f aca="false">COUNT(調査集計表!J118,調査集計表!L118,調査集計表!N118,調査集計表!P118,調査集計表!R118)</f>
        <v>0</v>
      </c>
      <c r="H118" s="29" t="str">
        <f aca="false">IF($G118=0,"",MEDIAN(調査集計表!J118,調査集計表!L118,調査集計表!N118,調査集計表!P118,調査集計表!R118))</f>
        <v/>
      </c>
      <c r="I118" s="29" t="str">
        <f aca="false">IFERROR(AVERAGE(調査集計表!T118,調査集計表!V118),"")</f>
        <v/>
      </c>
      <c r="J118" s="29" t="n">
        <f aca="false">COUNT(調査集計表!T118,調査集計表!V118)</f>
        <v>0</v>
      </c>
      <c r="K118" s="31" t="str">
        <f aca="false">IF($H118="","",ROUND($H118/3*100,1))</f>
        <v/>
      </c>
      <c r="L118" s="31" t="str">
        <f aca="false">IF($I118="","",ROUND($I118/3*100,1))</f>
        <v/>
      </c>
      <c r="M118" s="32" t="str">
        <f aca="false">IFERROR(INDEX(マスタ設定!$E$5:$E$14,MATCH($E118,マスタ設定!$A$5:$A$14,0))/100,"")</f>
        <v/>
      </c>
      <c r="N118" s="32" t="str">
        <f aca="false">IFERROR(INDEX(マスタ設定!$F$5:$F$14,MATCH($E118,マスタ設定!$A$5:$A$14,0))/100,"")</f>
        <v/>
      </c>
      <c r="O118" s="31" t="str">
        <f aca="false">IF(OR($K118="",$L118="",$M118="",$N118=""),"",ROUND($K118*$M118+$L118*$N118,1))</f>
        <v/>
      </c>
      <c r="P118" s="29" t="str">
        <f aca="false">IF($A118="","",IF($O118="","データ不足",IF(AND($G118&gt;=3,$J118&gt;=2),"有効","要確認")))</f>
        <v/>
      </c>
    </row>
    <row r="119" customFormat="false" ht="15" hidden="false" customHeight="false" outlineLevel="0" collapsed="false">
      <c r="A119" s="29" t="str">
        <f aca="false">IF(調査集計表!A119="","",調査集計表!A119)</f>
        <v/>
      </c>
      <c r="B119" s="30" t="str">
        <f aca="false">IF(調査集計表!C119="","",調査集計表!C119)</f>
        <v/>
      </c>
      <c r="C119" s="29" t="str">
        <f aca="false">IF(調査集計表!D119="","",調査集計表!D119)</f>
        <v/>
      </c>
      <c r="D119" s="29" t="str">
        <f aca="false">IF(調査集計表!E119="","",調査集計表!E119)</f>
        <v/>
      </c>
      <c r="E119" s="29" t="str">
        <f aca="false">IF(調査集計表!F119="","",調査集計表!F119)</f>
        <v/>
      </c>
      <c r="F119" s="29" t="str">
        <f aca="false">IF(調査集計表!H119="","",調査集計表!H119)</f>
        <v/>
      </c>
      <c r="G119" s="29" t="n">
        <f aca="false">COUNT(調査集計表!J119,調査集計表!L119,調査集計表!N119,調査集計表!P119,調査集計表!R119)</f>
        <v>0</v>
      </c>
      <c r="H119" s="29" t="str">
        <f aca="false">IF($G119=0,"",MEDIAN(調査集計表!J119,調査集計表!L119,調査集計表!N119,調査集計表!P119,調査集計表!R119))</f>
        <v/>
      </c>
      <c r="I119" s="29" t="str">
        <f aca="false">IFERROR(AVERAGE(調査集計表!T119,調査集計表!V119),"")</f>
        <v/>
      </c>
      <c r="J119" s="29" t="n">
        <f aca="false">COUNT(調査集計表!T119,調査集計表!V119)</f>
        <v>0</v>
      </c>
      <c r="K119" s="31" t="str">
        <f aca="false">IF($H119="","",ROUND($H119/3*100,1))</f>
        <v/>
      </c>
      <c r="L119" s="31" t="str">
        <f aca="false">IF($I119="","",ROUND($I119/3*100,1))</f>
        <v/>
      </c>
      <c r="M119" s="32" t="str">
        <f aca="false">IFERROR(INDEX(マスタ設定!$E$5:$E$14,MATCH($E119,マスタ設定!$A$5:$A$14,0))/100,"")</f>
        <v/>
      </c>
      <c r="N119" s="32" t="str">
        <f aca="false">IFERROR(INDEX(マスタ設定!$F$5:$F$14,MATCH($E119,マスタ設定!$A$5:$A$14,0))/100,"")</f>
        <v/>
      </c>
      <c r="O119" s="31" t="str">
        <f aca="false">IF(OR($K119="",$L119="",$M119="",$N119=""),"",ROUND($K119*$M119+$L119*$N119,1))</f>
        <v/>
      </c>
      <c r="P119" s="29" t="str">
        <f aca="false">IF($A119="","",IF($O119="","データ不足",IF(AND($G119&gt;=3,$J119&gt;=2),"有効","要確認")))</f>
        <v/>
      </c>
    </row>
    <row r="120" customFormat="false" ht="15" hidden="false" customHeight="false" outlineLevel="0" collapsed="false">
      <c r="A120" s="29" t="str">
        <f aca="false">IF(調査集計表!A120="","",調査集計表!A120)</f>
        <v/>
      </c>
      <c r="B120" s="30" t="str">
        <f aca="false">IF(調査集計表!C120="","",調査集計表!C120)</f>
        <v/>
      </c>
      <c r="C120" s="29" t="str">
        <f aca="false">IF(調査集計表!D120="","",調査集計表!D120)</f>
        <v/>
      </c>
      <c r="D120" s="29" t="str">
        <f aca="false">IF(調査集計表!E120="","",調査集計表!E120)</f>
        <v/>
      </c>
      <c r="E120" s="29" t="str">
        <f aca="false">IF(調査集計表!F120="","",調査集計表!F120)</f>
        <v/>
      </c>
      <c r="F120" s="29" t="str">
        <f aca="false">IF(調査集計表!H120="","",調査集計表!H120)</f>
        <v/>
      </c>
      <c r="G120" s="29" t="n">
        <f aca="false">COUNT(調査集計表!J120,調査集計表!L120,調査集計表!N120,調査集計表!P120,調査集計表!R120)</f>
        <v>0</v>
      </c>
      <c r="H120" s="29" t="str">
        <f aca="false">IF($G120=0,"",MEDIAN(調査集計表!J120,調査集計表!L120,調査集計表!N120,調査集計表!P120,調査集計表!R120))</f>
        <v/>
      </c>
      <c r="I120" s="29" t="str">
        <f aca="false">IFERROR(AVERAGE(調査集計表!T120,調査集計表!V120),"")</f>
        <v/>
      </c>
      <c r="J120" s="29" t="n">
        <f aca="false">COUNT(調査集計表!T120,調査集計表!V120)</f>
        <v>0</v>
      </c>
      <c r="K120" s="31" t="str">
        <f aca="false">IF($H120="","",ROUND($H120/3*100,1))</f>
        <v/>
      </c>
      <c r="L120" s="31" t="str">
        <f aca="false">IF($I120="","",ROUND($I120/3*100,1))</f>
        <v/>
      </c>
      <c r="M120" s="32" t="str">
        <f aca="false">IFERROR(INDEX(マスタ設定!$E$5:$E$14,MATCH($E120,マスタ設定!$A$5:$A$14,0))/100,"")</f>
        <v/>
      </c>
      <c r="N120" s="32" t="str">
        <f aca="false">IFERROR(INDEX(マスタ設定!$F$5:$F$14,MATCH($E120,マスタ設定!$A$5:$A$14,0))/100,"")</f>
        <v/>
      </c>
      <c r="O120" s="31" t="str">
        <f aca="false">IF(OR($K120="",$L120="",$M120="",$N120=""),"",ROUND($K120*$M120+$L120*$N120,1))</f>
        <v/>
      </c>
      <c r="P120" s="29" t="str">
        <f aca="false">IF($A120="","",IF($O120="","データ不足",IF(AND($G120&gt;=3,$J120&gt;=2),"有効","要確認")))</f>
        <v/>
      </c>
    </row>
    <row r="121" customFormat="false" ht="15" hidden="false" customHeight="false" outlineLevel="0" collapsed="false">
      <c r="A121" s="29" t="str">
        <f aca="false">IF(調査集計表!A121="","",調査集計表!A121)</f>
        <v/>
      </c>
      <c r="B121" s="30" t="str">
        <f aca="false">IF(調査集計表!C121="","",調査集計表!C121)</f>
        <v/>
      </c>
      <c r="C121" s="29" t="str">
        <f aca="false">IF(調査集計表!D121="","",調査集計表!D121)</f>
        <v/>
      </c>
      <c r="D121" s="29" t="str">
        <f aca="false">IF(調査集計表!E121="","",調査集計表!E121)</f>
        <v/>
      </c>
      <c r="E121" s="29" t="str">
        <f aca="false">IF(調査集計表!F121="","",調査集計表!F121)</f>
        <v/>
      </c>
      <c r="F121" s="29" t="str">
        <f aca="false">IF(調査集計表!H121="","",調査集計表!H121)</f>
        <v/>
      </c>
      <c r="G121" s="29" t="n">
        <f aca="false">COUNT(調査集計表!J121,調査集計表!L121,調査集計表!N121,調査集計表!P121,調査集計表!R121)</f>
        <v>0</v>
      </c>
      <c r="H121" s="29" t="str">
        <f aca="false">IF($G121=0,"",MEDIAN(調査集計表!J121,調査集計表!L121,調査集計表!N121,調査集計表!P121,調査集計表!R121))</f>
        <v/>
      </c>
      <c r="I121" s="29" t="str">
        <f aca="false">IFERROR(AVERAGE(調査集計表!T121,調査集計表!V121),"")</f>
        <v/>
      </c>
      <c r="J121" s="29" t="n">
        <f aca="false">COUNT(調査集計表!T121,調査集計表!V121)</f>
        <v>0</v>
      </c>
      <c r="K121" s="31" t="str">
        <f aca="false">IF($H121="","",ROUND($H121/3*100,1))</f>
        <v/>
      </c>
      <c r="L121" s="31" t="str">
        <f aca="false">IF($I121="","",ROUND($I121/3*100,1))</f>
        <v/>
      </c>
      <c r="M121" s="32" t="str">
        <f aca="false">IFERROR(INDEX(マスタ設定!$E$5:$E$14,MATCH($E121,マスタ設定!$A$5:$A$14,0))/100,"")</f>
        <v/>
      </c>
      <c r="N121" s="32" t="str">
        <f aca="false">IFERROR(INDEX(マスタ設定!$F$5:$F$14,MATCH($E121,マスタ設定!$A$5:$A$14,0))/100,"")</f>
        <v/>
      </c>
      <c r="O121" s="31" t="str">
        <f aca="false">IF(OR($K121="",$L121="",$M121="",$N121=""),"",ROUND($K121*$M121+$L121*$N121,1))</f>
        <v/>
      </c>
      <c r="P121" s="29" t="str">
        <f aca="false">IF($A121="","",IF($O121="","データ不足",IF(AND($G121&gt;=3,$J121&gt;=2),"有効","要確認")))</f>
        <v/>
      </c>
    </row>
    <row r="122" customFormat="false" ht="15" hidden="false" customHeight="false" outlineLevel="0" collapsed="false">
      <c r="A122" s="29" t="str">
        <f aca="false">IF(調査集計表!A122="","",調査集計表!A122)</f>
        <v/>
      </c>
      <c r="B122" s="30" t="str">
        <f aca="false">IF(調査集計表!C122="","",調査集計表!C122)</f>
        <v/>
      </c>
      <c r="C122" s="29" t="str">
        <f aca="false">IF(調査集計表!D122="","",調査集計表!D122)</f>
        <v/>
      </c>
      <c r="D122" s="29" t="str">
        <f aca="false">IF(調査集計表!E122="","",調査集計表!E122)</f>
        <v/>
      </c>
      <c r="E122" s="29" t="str">
        <f aca="false">IF(調査集計表!F122="","",調査集計表!F122)</f>
        <v/>
      </c>
      <c r="F122" s="29" t="str">
        <f aca="false">IF(調査集計表!H122="","",調査集計表!H122)</f>
        <v/>
      </c>
      <c r="G122" s="29" t="n">
        <f aca="false">COUNT(調査集計表!J122,調査集計表!L122,調査集計表!N122,調査集計表!P122,調査集計表!R122)</f>
        <v>0</v>
      </c>
      <c r="H122" s="29" t="str">
        <f aca="false">IF($G122=0,"",MEDIAN(調査集計表!J122,調査集計表!L122,調査集計表!N122,調査集計表!P122,調査集計表!R122))</f>
        <v/>
      </c>
      <c r="I122" s="29" t="str">
        <f aca="false">IFERROR(AVERAGE(調査集計表!T122,調査集計表!V122),"")</f>
        <v/>
      </c>
      <c r="J122" s="29" t="n">
        <f aca="false">COUNT(調査集計表!T122,調査集計表!V122)</f>
        <v>0</v>
      </c>
      <c r="K122" s="31" t="str">
        <f aca="false">IF($H122="","",ROUND($H122/3*100,1))</f>
        <v/>
      </c>
      <c r="L122" s="31" t="str">
        <f aca="false">IF($I122="","",ROUND($I122/3*100,1))</f>
        <v/>
      </c>
      <c r="M122" s="32" t="str">
        <f aca="false">IFERROR(INDEX(マスタ設定!$E$5:$E$14,MATCH($E122,マスタ設定!$A$5:$A$14,0))/100,"")</f>
        <v/>
      </c>
      <c r="N122" s="32" t="str">
        <f aca="false">IFERROR(INDEX(マスタ設定!$F$5:$F$14,MATCH($E122,マスタ設定!$A$5:$A$14,0))/100,"")</f>
        <v/>
      </c>
      <c r="O122" s="31" t="str">
        <f aca="false">IF(OR($K122="",$L122="",$M122="",$N122=""),"",ROUND($K122*$M122+$L122*$N122,1))</f>
        <v/>
      </c>
      <c r="P122" s="29" t="str">
        <f aca="false">IF($A122="","",IF($O122="","データ不足",IF(AND($G122&gt;=3,$J122&gt;=2),"有効","要確認")))</f>
        <v/>
      </c>
    </row>
    <row r="123" customFormat="false" ht="15" hidden="false" customHeight="false" outlineLevel="0" collapsed="false">
      <c r="A123" s="29" t="str">
        <f aca="false">IF(調査集計表!A123="","",調査集計表!A123)</f>
        <v/>
      </c>
      <c r="B123" s="30" t="str">
        <f aca="false">IF(調査集計表!C123="","",調査集計表!C123)</f>
        <v/>
      </c>
      <c r="C123" s="29" t="str">
        <f aca="false">IF(調査集計表!D123="","",調査集計表!D123)</f>
        <v/>
      </c>
      <c r="D123" s="29" t="str">
        <f aca="false">IF(調査集計表!E123="","",調査集計表!E123)</f>
        <v/>
      </c>
      <c r="E123" s="29" t="str">
        <f aca="false">IF(調査集計表!F123="","",調査集計表!F123)</f>
        <v/>
      </c>
      <c r="F123" s="29" t="str">
        <f aca="false">IF(調査集計表!H123="","",調査集計表!H123)</f>
        <v/>
      </c>
      <c r="G123" s="29" t="n">
        <f aca="false">COUNT(調査集計表!J123,調査集計表!L123,調査集計表!N123,調査集計表!P123,調査集計表!R123)</f>
        <v>0</v>
      </c>
      <c r="H123" s="29" t="str">
        <f aca="false">IF($G123=0,"",MEDIAN(調査集計表!J123,調査集計表!L123,調査集計表!N123,調査集計表!P123,調査集計表!R123))</f>
        <v/>
      </c>
      <c r="I123" s="29" t="str">
        <f aca="false">IFERROR(AVERAGE(調査集計表!T123,調査集計表!V123),"")</f>
        <v/>
      </c>
      <c r="J123" s="29" t="n">
        <f aca="false">COUNT(調査集計表!T123,調査集計表!V123)</f>
        <v>0</v>
      </c>
      <c r="K123" s="31" t="str">
        <f aca="false">IF($H123="","",ROUND($H123/3*100,1))</f>
        <v/>
      </c>
      <c r="L123" s="31" t="str">
        <f aca="false">IF($I123="","",ROUND($I123/3*100,1))</f>
        <v/>
      </c>
      <c r="M123" s="32" t="str">
        <f aca="false">IFERROR(INDEX(マスタ設定!$E$5:$E$14,MATCH($E123,マスタ設定!$A$5:$A$14,0))/100,"")</f>
        <v/>
      </c>
      <c r="N123" s="32" t="str">
        <f aca="false">IFERROR(INDEX(マスタ設定!$F$5:$F$14,MATCH($E123,マスタ設定!$A$5:$A$14,0))/100,"")</f>
        <v/>
      </c>
      <c r="O123" s="31" t="str">
        <f aca="false">IF(OR($K123="",$L123="",$M123="",$N123=""),"",ROUND($K123*$M123+$L123*$N123,1))</f>
        <v/>
      </c>
      <c r="P123" s="29" t="str">
        <f aca="false">IF($A123="","",IF($O123="","データ不足",IF(AND($G123&gt;=3,$J123&gt;=2),"有効","要確認")))</f>
        <v/>
      </c>
    </row>
    <row r="124" customFormat="false" ht="15" hidden="false" customHeight="false" outlineLevel="0" collapsed="false">
      <c r="A124" s="29" t="str">
        <f aca="false">IF(調査集計表!A124="","",調査集計表!A124)</f>
        <v/>
      </c>
      <c r="B124" s="30" t="str">
        <f aca="false">IF(調査集計表!C124="","",調査集計表!C124)</f>
        <v/>
      </c>
      <c r="C124" s="29" t="str">
        <f aca="false">IF(調査集計表!D124="","",調査集計表!D124)</f>
        <v/>
      </c>
      <c r="D124" s="29" t="str">
        <f aca="false">IF(調査集計表!E124="","",調査集計表!E124)</f>
        <v/>
      </c>
      <c r="E124" s="29" t="str">
        <f aca="false">IF(調査集計表!F124="","",調査集計表!F124)</f>
        <v/>
      </c>
      <c r="F124" s="29" t="str">
        <f aca="false">IF(調査集計表!H124="","",調査集計表!H124)</f>
        <v/>
      </c>
      <c r="G124" s="29" t="n">
        <f aca="false">COUNT(調査集計表!J124,調査集計表!L124,調査集計表!N124,調査集計表!P124,調査集計表!R124)</f>
        <v>0</v>
      </c>
      <c r="H124" s="29" t="str">
        <f aca="false">IF($G124=0,"",MEDIAN(調査集計表!J124,調査集計表!L124,調査集計表!N124,調査集計表!P124,調査集計表!R124))</f>
        <v/>
      </c>
      <c r="I124" s="29" t="str">
        <f aca="false">IFERROR(AVERAGE(調査集計表!T124,調査集計表!V124),"")</f>
        <v/>
      </c>
      <c r="J124" s="29" t="n">
        <f aca="false">COUNT(調査集計表!T124,調査集計表!V124)</f>
        <v>0</v>
      </c>
      <c r="K124" s="31" t="str">
        <f aca="false">IF($H124="","",ROUND($H124/3*100,1))</f>
        <v/>
      </c>
      <c r="L124" s="31" t="str">
        <f aca="false">IF($I124="","",ROUND($I124/3*100,1))</f>
        <v/>
      </c>
      <c r="M124" s="32" t="str">
        <f aca="false">IFERROR(INDEX(マスタ設定!$E$5:$E$14,MATCH($E124,マスタ設定!$A$5:$A$14,0))/100,"")</f>
        <v/>
      </c>
      <c r="N124" s="32" t="str">
        <f aca="false">IFERROR(INDEX(マスタ設定!$F$5:$F$14,MATCH($E124,マスタ設定!$A$5:$A$14,0))/100,"")</f>
        <v/>
      </c>
      <c r="O124" s="31" t="str">
        <f aca="false">IF(OR($K124="",$L124="",$M124="",$N124=""),"",ROUND($K124*$M124+$L124*$N124,1))</f>
        <v/>
      </c>
      <c r="P124" s="29" t="str">
        <f aca="false">IF($A124="","",IF($O124="","データ不足",IF(AND($G124&gt;=3,$J124&gt;=2),"有効","要確認")))</f>
        <v/>
      </c>
    </row>
    <row r="125" customFormat="false" ht="15" hidden="false" customHeight="false" outlineLevel="0" collapsed="false">
      <c r="A125" s="29" t="str">
        <f aca="false">IF(調査集計表!A125="","",調査集計表!A125)</f>
        <v/>
      </c>
      <c r="B125" s="30" t="str">
        <f aca="false">IF(調査集計表!C125="","",調査集計表!C125)</f>
        <v/>
      </c>
      <c r="C125" s="29" t="str">
        <f aca="false">IF(調査集計表!D125="","",調査集計表!D125)</f>
        <v/>
      </c>
      <c r="D125" s="29" t="str">
        <f aca="false">IF(調査集計表!E125="","",調査集計表!E125)</f>
        <v/>
      </c>
      <c r="E125" s="29" t="str">
        <f aca="false">IF(調査集計表!F125="","",調査集計表!F125)</f>
        <v/>
      </c>
      <c r="F125" s="29" t="str">
        <f aca="false">IF(調査集計表!H125="","",調査集計表!H125)</f>
        <v/>
      </c>
      <c r="G125" s="29" t="n">
        <f aca="false">COUNT(調査集計表!J125,調査集計表!L125,調査集計表!N125,調査集計表!P125,調査集計表!R125)</f>
        <v>0</v>
      </c>
      <c r="H125" s="29" t="str">
        <f aca="false">IF($G125=0,"",MEDIAN(調査集計表!J125,調査集計表!L125,調査集計表!N125,調査集計表!P125,調査集計表!R125))</f>
        <v/>
      </c>
      <c r="I125" s="29" t="str">
        <f aca="false">IFERROR(AVERAGE(調査集計表!T125,調査集計表!V125),"")</f>
        <v/>
      </c>
      <c r="J125" s="29" t="n">
        <f aca="false">COUNT(調査集計表!T125,調査集計表!V125)</f>
        <v>0</v>
      </c>
      <c r="K125" s="31" t="str">
        <f aca="false">IF($H125="","",ROUND($H125/3*100,1))</f>
        <v/>
      </c>
      <c r="L125" s="31" t="str">
        <f aca="false">IF($I125="","",ROUND($I125/3*100,1))</f>
        <v/>
      </c>
      <c r="M125" s="32" t="str">
        <f aca="false">IFERROR(INDEX(マスタ設定!$E$5:$E$14,MATCH($E125,マスタ設定!$A$5:$A$14,0))/100,"")</f>
        <v/>
      </c>
      <c r="N125" s="32" t="str">
        <f aca="false">IFERROR(INDEX(マスタ設定!$F$5:$F$14,MATCH($E125,マスタ設定!$A$5:$A$14,0))/100,"")</f>
        <v/>
      </c>
      <c r="O125" s="31" t="str">
        <f aca="false">IF(OR($K125="",$L125="",$M125="",$N125=""),"",ROUND($K125*$M125+$L125*$N125,1))</f>
        <v/>
      </c>
      <c r="P125" s="29" t="str">
        <f aca="false">IF($A125="","",IF($O125="","データ不足",IF(AND($G125&gt;=3,$J125&gt;=2),"有効","要確認")))</f>
        <v/>
      </c>
    </row>
    <row r="126" customFormat="false" ht="15" hidden="false" customHeight="false" outlineLevel="0" collapsed="false">
      <c r="A126" s="29" t="str">
        <f aca="false">IF(調査集計表!A126="","",調査集計表!A126)</f>
        <v/>
      </c>
      <c r="B126" s="30" t="str">
        <f aca="false">IF(調査集計表!C126="","",調査集計表!C126)</f>
        <v/>
      </c>
      <c r="C126" s="29" t="str">
        <f aca="false">IF(調査集計表!D126="","",調査集計表!D126)</f>
        <v/>
      </c>
      <c r="D126" s="29" t="str">
        <f aca="false">IF(調査集計表!E126="","",調査集計表!E126)</f>
        <v/>
      </c>
      <c r="E126" s="29" t="str">
        <f aca="false">IF(調査集計表!F126="","",調査集計表!F126)</f>
        <v/>
      </c>
      <c r="F126" s="29" t="str">
        <f aca="false">IF(調査集計表!H126="","",調査集計表!H126)</f>
        <v/>
      </c>
      <c r="G126" s="29" t="n">
        <f aca="false">COUNT(調査集計表!J126,調査集計表!L126,調査集計表!N126,調査集計表!P126,調査集計表!R126)</f>
        <v>0</v>
      </c>
      <c r="H126" s="29" t="str">
        <f aca="false">IF($G126=0,"",MEDIAN(調査集計表!J126,調査集計表!L126,調査集計表!N126,調査集計表!P126,調査集計表!R126))</f>
        <v/>
      </c>
      <c r="I126" s="29" t="str">
        <f aca="false">IFERROR(AVERAGE(調査集計表!T126,調査集計表!V126),"")</f>
        <v/>
      </c>
      <c r="J126" s="29" t="n">
        <f aca="false">COUNT(調査集計表!T126,調査集計表!V126)</f>
        <v>0</v>
      </c>
      <c r="K126" s="31" t="str">
        <f aca="false">IF($H126="","",ROUND($H126/3*100,1))</f>
        <v/>
      </c>
      <c r="L126" s="31" t="str">
        <f aca="false">IF($I126="","",ROUND($I126/3*100,1))</f>
        <v/>
      </c>
      <c r="M126" s="32" t="str">
        <f aca="false">IFERROR(INDEX(マスタ設定!$E$5:$E$14,MATCH($E126,マスタ設定!$A$5:$A$14,0))/100,"")</f>
        <v/>
      </c>
      <c r="N126" s="32" t="str">
        <f aca="false">IFERROR(INDEX(マスタ設定!$F$5:$F$14,MATCH($E126,マスタ設定!$A$5:$A$14,0))/100,"")</f>
        <v/>
      </c>
      <c r="O126" s="31" t="str">
        <f aca="false">IF(OR($K126="",$L126="",$M126="",$N126=""),"",ROUND($K126*$M126+$L126*$N126,1))</f>
        <v/>
      </c>
      <c r="P126" s="29" t="str">
        <f aca="false">IF($A126="","",IF($O126="","データ不足",IF(AND($G126&gt;=3,$J126&gt;=2),"有効","要確認")))</f>
        <v/>
      </c>
    </row>
    <row r="127" customFormat="false" ht="15" hidden="false" customHeight="false" outlineLevel="0" collapsed="false">
      <c r="A127" s="29" t="str">
        <f aca="false">IF(調査集計表!A127="","",調査集計表!A127)</f>
        <v/>
      </c>
      <c r="B127" s="30" t="str">
        <f aca="false">IF(調査集計表!C127="","",調査集計表!C127)</f>
        <v/>
      </c>
      <c r="C127" s="29" t="str">
        <f aca="false">IF(調査集計表!D127="","",調査集計表!D127)</f>
        <v/>
      </c>
      <c r="D127" s="29" t="str">
        <f aca="false">IF(調査集計表!E127="","",調査集計表!E127)</f>
        <v/>
      </c>
      <c r="E127" s="29" t="str">
        <f aca="false">IF(調査集計表!F127="","",調査集計表!F127)</f>
        <v/>
      </c>
      <c r="F127" s="29" t="str">
        <f aca="false">IF(調査集計表!H127="","",調査集計表!H127)</f>
        <v/>
      </c>
      <c r="G127" s="29" t="n">
        <f aca="false">COUNT(調査集計表!J127,調査集計表!L127,調査集計表!N127,調査集計表!P127,調査集計表!R127)</f>
        <v>0</v>
      </c>
      <c r="H127" s="29" t="str">
        <f aca="false">IF($G127=0,"",MEDIAN(調査集計表!J127,調査集計表!L127,調査集計表!N127,調査集計表!P127,調査集計表!R127))</f>
        <v/>
      </c>
      <c r="I127" s="29" t="str">
        <f aca="false">IFERROR(AVERAGE(調査集計表!T127,調査集計表!V127),"")</f>
        <v/>
      </c>
      <c r="J127" s="29" t="n">
        <f aca="false">COUNT(調査集計表!T127,調査集計表!V127)</f>
        <v>0</v>
      </c>
      <c r="K127" s="31" t="str">
        <f aca="false">IF($H127="","",ROUND($H127/3*100,1))</f>
        <v/>
      </c>
      <c r="L127" s="31" t="str">
        <f aca="false">IF($I127="","",ROUND($I127/3*100,1))</f>
        <v/>
      </c>
      <c r="M127" s="32" t="str">
        <f aca="false">IFERROR(INDEX(マスタ設定!$E$5:$E$14,MATCH($E127,マスタ設定!$A$5:$A$14,0))/100,"")</f>
        <v/>
      </c>
      <c r="N127" s="32" t="str">
        <f aca="false">IFERROR(INDEX(マスタ設定!$F$5:$F$14,MATCH($E127,マスタ設定!$A$5:$A$14,0))/100,"")</f>
        <v/>
      </c>
      <c r="O127" s="31" t="str">
        <f aca="false">IF(OR($K127="",$L127="",$M127="",$N127=""),"",ROUND($K127*$M127+$L127*$N127,1))</f>
        <v/>
      </c>
      <c r="P127" s="29" t="str">
        <f aca="false">IF($A127="","",IF($O127="","データ不足",IF(AND($G127&gt;=3,$J127&gt;=2),"有効","要確認")))</f>
        <v/>
      </c>
    </row>
    <row r="128" customFormat="false" ht="15" hidden="false" customHeight="false" outlineLevel="0" collapsed="false">
      <c r="A128" s="29" t="str">
        <f aca="false">IF(調査集計表!A128="","",調査集計表!A128)</f>
        <v/>
      </c>
      <c r="B128" s="30" t="str">
        <f aca="false">IF(調査集計表!C128="","",調査集計表!C128)</f>
        <v/>
      </c>
      <c r="C128" s="29" t="str">
        <f aca="false">IF(調査集計表!D128="","",調査集計表!D128)</f>
        <v/>
      </c>
      <c r="D128" s="29" t="str">
        <f aca="false">IF(調査集計表!E128="","",調査集計表!E128)</f>
        <v/>
      </c>
      <c r="E128" s="29" t="str">
        <f aca="false">IF(調査集計表!F128="","",調査集計表!F128)</f>
        <v/>
      </c>
      <c r="F128" s="29" t="str">
        <f aca="false">IF(調査集計表!H128="","",調査集計表!H128)</f>
        <v/>
      </c>
      <c r="G128" s="29" t="n">
        <f aca="false">COUNT(調査集計表!J128,調査集計表!L128,調査集計表!N128,調査集計表!P128,調査集計表!R128)</f>
        <v>0</v>
      </c>
      <c r="H128" s="29" t="str">
        <f aca="false">IF($G128=0,"",MEDIAN(調査集計表!J128,調査集計表!L128,調査集計表!N128,調査集計表!P128,調査集計表!R128))</f>
        <v/>
      </c>
      <c r="I128" s="29" t="str">
        <f aca="false">IFERROR(AVERAGE(調査集計表!T128,調査集計表!V128),"")</f>
        <v/>
      </c>
      <c r="J128" s="29" t="n">
        <f aca="false">COUNT(調査集計表!T128,調査集計表!V128)</f>
        <v>0</v>
      </c>
      <c r="K128" s="31" t="str">
        <f aca="false">IF($H128="","",ROUND($H128/3*100,1))</f>
        <v/>
      </c>
      <c r="L128" s="31" t="str">
        <f aca="false">IF($I128="","",ROUND($I128/3*100,1))</f>
        <v/>
      </c>
      <c r="M128" s="32" t="str">
        <f aca="false">IFERROR(INDEX(マスタ設定!$E$5:$E$14,MATCH($E128,マスタ設定!$A$5:$A$14,0))/100,"")</f>
        <v/>
      </c>
      <c r="N128" s="32" t="str">
        <f aca="false">IFERROR(INDEX(マスタ設定!$F$5:$F$14,MATCH($E128,マスタ設定!$A$5:$A$14,0))/100,"")</f>
        <v/>
      </c>
      <c r="O128" s="31" t="str">
        <f aca="false">IF(OR($K128="",$L128="",$M128="",$N128=""),"",ROUND($K128*$M128+$L128*$N128,1))</f>
        <v/>
      </c>
      <c r="P128" s="29" t="str">
        <f aca="false">IF($A128="","",IF($O128="","データ不足",IF(AND($G128&gt;=3,$J128&gt;=2),"有効","要確認")))</f>
        <v/>
      </c>
    </row>
    <row r="129" customFormat="false" ht="15" hidden="false" customHeight="false" outlineLevel="0" collapsed="false">
      <c r="A129" s="29" t="str">
        <f aca="false">IF(調査集計表!A129="","",調査集計表!A129)</f>
        <v/>
      </c>
      <c r="B129" s="30" t="str">
        <f aca="false">IF(調査集計表!C129="","",調査集計表!C129)</f>
        <v/>
      </c>
      <c r="C129" s="29" t="str">
        <f aca="false">IF(調査集計表!D129="","",調査集計表!D129)</f>
        <v/>
      </c>
      <c r="D129" s="29" t="str">
        <f aca="false">IF(調査集計表!E129="","",調査集計表!E129)</f>
        <v/>
      </c>
      <c r="E129" s="29" t="str">
        <f aca="false">IF(調査集計表!F129="","",調査集計表!F129)</f>
        <v/>
      </c>
      <c r="F129" s="29" t="str">
        <f aca="false">IF(調査集計表!H129="","",調査集計表!H129)</f>
        <v/>
      </c>
      <c r="G129" s="29" t="n">
        <f aca="false">COUNT(調査集計表!J129,調査集計表!L129,調査集計表!N129,調査集計表!P129,調査集計表!R129)</f>
        <v>0</v>
      </c>
      <c r="H129" s="29" t="str">
        <f aca="false">IF($G129=0,"",MEDIAN(調査集計表!J129,調査集計表!L129,調査集計表!N129,調査集計表!P129,調査集計表!R129))</f>
        <v/>
      </c>
      <c r="I129" s="29" t="str">
        <f aca="false">IFERROR(AVERAGE(調査集計表!T129,調査集計表!V129),"")</f>
        <v/>
      </c>
      <c r="J129" s="29" t="n">
        <f aca="false">COUNT(調査集計表!T129,調査集計表!V129)</f>
        <v>0</v>
      </c>
      <c r="K129" s="31" t="str">
        <f aca="false">IF($H129="","",ROUND($H129/3*100,1))</f>
        <v/>
      </c>
      <c r="L129" s="31" t="str">
        <f aca="false">IF($I129="","",ROUND($I129/3*100,1))</f>
        <v/>
      </c>
      <c r="M129" s="32" t="str">
        <f aca="false">IFERROR(INDEX(マスタ設定!$E$5:$E$14,MATCH($E129,マスタ設定!$A$5:$A$14,0))/100,"")</f>
        <v/>
      </c>
      <c r="N129" s="32" t="str">
        <f aca="false">IFERROR(INDEX(マスタ設定!$F$5:$F$14,MATCH($E129,マスタ設定!$A$5:$A$14,0))/100,"")</f>
        <v/>
      </c>
      <c r="O129" s="31" t="str">
        <f aca="false">IF(OR($K129="",$L129="",$M129="",$N129=""),"",ROUND($K129*$M129+$L129*$N129,1))</f>
        <v/>
      </c>
      <c r="P129" s="29" t="str">
        <f aca="false">IF($A129="","",IF($O129="","データ不足",IF(AND($G129&gt;=3,$J129&gt;=2),"有効","要確認")))</f>
        <v/>
      </c>
    </row>
    <row r="130" customFormat="false" ht="15" hidden="false" customHeight="false" outlineLevel="0" collapsed="false">
      <c r="A130" s="29" t="str">
        <f aca="false">IF(調査集計表!A130="","",調査集計表!A130)</f>
        <v/>
      </c>
      <c r="B130" s="30" t="str">
        <f aca="false">IF(調査集計表!C130="","",調査集計表!C130)</f>
        <v/>
      </c>
      <c r="C130" s="29" t="str">
        <f aca="false">IF(調査集計表!D130="","",調査集計表!D130)</f>
        <v/>
      </c>
      <c r="D130" s="29" t="str">
        <f aca="false">IF(調査集計表!E130="","",調査集計表!E130)</f>
        <v/>
      </c>
      <c r="E130" s="29" t="str">
        <f aca="false">IF(調査集計表!F130="","",調査集計表!F130)</f>
        <v/>
      </c>
      <c r="F130" s="29" t="str">
        <f aca="false">IF(調査集計表!H130="","",調査集計表!H130)</f>
        <v/>
      </c>
      <c r="G130" s="29" t="n">
        <f aca="false">COUNT(調査集計表!J130,調査集計表!L130,調査集計表!N130,調査集計表!P130,調査集計表!R130)</f>
        <v>0</v>
      </c>
      <c r="H130" s="29" t="str">
        <f aca="false">IF($G130=0,"",MEDIAN(調査集計表!J130,調査集計表!L130,調査集計表!N130,調査集計表!P130,調査集計表!R130))</f>
        <v/>
      </c>
      <c r="I130" s="29" t="str">
        <f aca="false">IFERROR(AVERAGE(調査集計表!T130,調査集計表!V130),"")</f>
        <v/>
      </c>
      <c r="J130" s="29" t="n">
        <f aca="false">COUNT(調査集計表!T130,調査集計表!V130)</f>
        <v>0</v>
      </c>
      <c r="K130" s="31" t="str">
        <f aca="false">IF($H130="","",ROUND($H130/3*100,1))</f>
        <v/>
      </c>
      <c r="L130" s="31" t="str">
        <f aca="false">IF($I130="","",ROUND($I130/3*100,1))</f>
        <v/>
      </c>
      <c r="M130" s="32" t="str">
        <f aca="false">IFERROR(INDEX(マスタ設定!$E$5:$E$14,MATCH($E130,マスタ設定!$A$5:$A$14,0))/100,"")</f>
        <v/>
      </c>
      <c r="N130" s="32" t="str">
        <f aca="false">IFERROR(INDEX(マスタ設定!$F$5:$F$14,MATCH($E130,マスタ設定!$A$5:$A$14,0))/100,"")</f>
        <v/>
      </c>
      <c r="O130" s="31" t="str">
        <f aca="false">IF(OR($K130="",$L130="",$M130="",$N130=""),"",ROUND($K130*$M130+$L130*$N130,1))</f>
        <v/>
      </c>
      <c r="P130" s="29" t="str">
        <f aca="false">IF($A130="","",IF($O130="","データ不足",IF(AND($G130&gt;=3,$J130&gt;=2),"有効","要確認")))</f>
        <v/>
      </c>
    </row>
    <row r="131" customFormat="false" ht="15" hidden="false" customHeight="false" outlineLevel="0" collapsed="false">
      <c r="A131" s="29" t="str">
        <f aca="false">IF(調査集計表!A131="","",調査集計表!A131)</f>
        <v/>
      </c>
      <c r="B131" s="30" t="str">
        <f aca="false">IF(調査集計表!C131="","",調査集計表!C131)</f>
        <v/>
      </c>
      <c r="C131" s="29" t="str">
        <f aca="false">IF(調査集計表!D131="","",調査集計表!D131)</f>
        <v/>
      </c>
      <c r="D131" s="29" t="str">
        <f aca="false">IF(調査集計表!E131="","",調査集計表!E131)</f>
        <v/>
      </c>
      <c r="E131" s="29" t="str">
        <f aca="false">IF(調査集計表!F131="","",調査集計表!F131)</f>
        <v/>
      </c>
      <c r="F131" s="29" t="str">
        <f aca="false">IF(調査集計表!H131="","",調査集計表!H131)</f>
        <v/>
      </c>
      <c r="G131" s="29" t="n">
        <f aca="false">COUNT(調査集計表!J131,調査集計表!L131,調査集計表!N131,調査集計表!P131,調査集計表!R131)</f>
        <v>0</v>
      </c>
      <c r="H131" s="29" t="str">
        <f aca="false">IF($G131=0,"",MEDIAN(調査集計表!J131,調査集計表!L131,調査集計表!N131,調査集計表!P131,調査集計表!R131))</f>
        <v/>
      </c>
      <c r="I131" s="29" t="str">
        <f aca="false">IFERROR(AVERAGE(調査集計表!T131,調査集計表!V131),"")</f>
        <v/>
      </c>
      <c r="J131" s="29" t="n">
        <f aca="false">COUNT(調査集計表!T131,調査集計表!V131)</f>
        <v>0</v>
      </c>
      <c r="K131" s="31" t="str">
        <f aca="false">IF($H131="","",ROUND($H131/3*100,1))</f>
        <v/>
      </c>
      <c r="L131" s="31" t="str">
        <f aca="false">IF($I131="","",ROUND($I131/3*100,1))</f>
        <v/>
      </c>
      <c r="M131" s="32" t="str">
        <f aca="false">IFERROR(INDEX(マスタ設定!$E$5:$E$14,MATCH($E131,マスタ設定!$A$5:$A$14,0))/100,"")</f>
        <v/>
      </c>
      <c r="N131" s="32" t="str">
        <f aca="false">IFERROR(INDEX(マスタ設定!$F$5:$F$14,MATCH($E131,マスタ設定!$A$5:$A$14,0))/100,"")</f>
        <v/>
      </c>
      <c r="O131" s="31" t="str">
        <f aca="false">IF(OR($K131="",$L131="",$M131="",$N131=""),"",ROUND($K131*$M131+$L131*$N131,1))</f>
        <v/>
      </c>
      <c r="P131" s="29" t="str">
        <f aca="false">IF($A131="","",IF($O131="","データ不足",IF(AND($G131&gt;=3,$J131&gt;=2),"有効","要確認")))</f>
        <v/>
      </c>
    </row>
    <row r="132" customFormat="false" ht="15" hidden="false" customHeight="false" outlineLevel="0" collapsed="false">
      <c r="A132" s="29" t="str">
        <f aca="false">IF(調査集計表!A132="","",調査集計表!A132)</f>
        <v/>
      </c>
      <c r="B132" s="30" t="str">
        <f aca="false">IF(調査集計表!C132="","",調査集計表!C132)</f>
        <v/>
      </c>
      <c r="C132" s="29" t="str">
        <f aca="false">IF(調査集計表!D132="","",調査集計表!D132)</f>
        <v/>
      </c>
      <c r="D132" s="29" t="str">
        <f aca="false">IF(調査集計表!E132="","",調査集計表!E132)</f>
        <v/>
      </c>
      <c r="E132" s="29" t="str">
        <f aca="false">IF(調査集計表!F132="","",調査集計表!F132)</f>
        <v/>
      </c>
      <c r="F132" s="29" t="str">
        <f aca="false">IF(調査集計表!H132="","",調査集計表!H132)</f>
        <v/>
      </c>
      <c r="G132" s="29" t="n">
        <f aca="false">COUNT(調査集計表!J132,調査集計表!L132,調査集計表!N132,調査集計表!P132,調査集計表!R132)</f>
        <v>0</v>
      </c>
      <c r="H132" s="29" t="str">
        <f aca="false">IF($G132=0,"",MEDIAN(調査集計表!J132,調査集計表!L132,調査集計表!N132,調査集計表!P132,調査集計表!R132))</f>
        <v/>
      </c>
      <c r="I132" s="29" t="str">
        <f aca="false">IFERROR(AVERAGE(調査集計表!T132,調査集計表!V132),"")</f>
        <v/>
      </c>
      <c r="J132" s="29" t="n">
        <f aca="false">COUNT(調査集計表!T132,調査集計表!V132)</f>
        <v>0</v>
      </c>
      <c r="K132" s="31" t="str">
        <f aca="false">IF($H132="","",ROUND($H132/3*100,1))</f>
        <v/>
      </c>
      <c r="L132" s="31" t="str">
        <f aca="false">IF($I132="","",ROUND($I132/3*100,1))</f>
        <v/>
      </c>
      <c r="M132" s="32" t="str">
        <f aca="false">IFERROR(INDEX(マスタ設定!$E$5:$E$14,MATCH($E132,マスタ設定!$A$5:$A$14,0))/100,"")</f>
        <v/>
      </c>
      <c r="N132" s="32" t="str">
        <f aca="false">IFERROR(INDEX(マスタ設定!$F$5:$F$14,MATCH($E132,マスタ設定!$A$5:$A$14,0))/100,"")</f>
        <v/>
      </c>
      <c r="O132" s="31" t="str">
        <f aca="false">IF(OR($K132="",$L132="",$M132="",$N132=""),"",ROUND($K132*$M132+$L132*$N132,1))</f>
        <v/>
      </c>
      <c r="P132" s="29" t="str">
        <f aca="false">IF($A132="","",IF($O132="","データ不足",IF(AND($G132&gt;=3,$J132&gt;=2),"有効","要確認")))</f>
        <v/>
      </c>
    </row>
    <row r="133" customFormat="false" ht="15" hidden="false" customHeight="false" outlineLevel="0" collapsed="false">
      <c r="A133" s="29" t="str">
        <f aca="false">IF(調査集計表!A133="","",調査集計表!A133)</f>
        <v/>
      </c>
      <c r="B133" s="30" t="str">
        <f aca="false">IF(調査集計表!C133="","",調査集計表!C133)</f>
        <v/>
      </c>
      <c r="C133" s="29" t="str">
        <f aca="false">IF(調査集計表!D133="","",調査集計表!D133)</f>
        <v/>
      </c>
      <c r="D133" s="29" t="str">
        <f aca="false">IF(調査集計表!E133="","",調査集計表!E133)</f>
        <v/>
      </c>
      <c r="E133" s="29" t="str">
        <f aca="false">IF(調査集計表!F133="","",調査集計表!F133)</f>
        <v/>
      </c>
      <c r="F133" s="29" t="str">
        <f aca="false">IF(調査集計表!H133="","",調査集計表!H133)</f>
        <v/>
      </c>
      <c r="G133" s="29" t="n">
        <f aca="false">COUNT(調査集計表!J133,調査集計表!L133,調査集計表!N133,調査集計表!P133,調査集計表!R133)</f>
        <v>0</v>
      </c>
      <c r="H133" s="29" t="str">
        <f aca="false">IF($G133=0,"",MEDIAN(調査集計表!J133,調査集計表!L133,調査集計表!N133,調査集計表!P133,調査集計表!R133))</f>
        <v/>
      </c>
      <c r="I133" s="29" t="str">
        <f aca="false">IFERROR(AVERAGE(調査集計表!T133,調査集計表!V133),"")</f>
        <v/>
      </c>
      <c r="J133" s="29" t="n">
        <f aca="false">COUNT(調査集計表!T133,調査集計表!V133)</f>
        <v>0</v>
      </c>
      <c r="K133" s="31" t="str">
        <f aca="false">IF($H133="","",ROUND($H133/3*100,1))</f>
        <v/>
      </c>
      <c r="L133" s="31" t="str">
        <f aca="false">IF($I133="","",ROUND($I133/3*100,1))</f>
        <v/>
      </c>
      <c r="M133" s="32" t="str">
        <f aca="false">IFERROR(INDEX(マスタ設定!$E$5:$E$14,MATCH($E133,マスタ設定!$A$5:$A$14,0))/100,"")</f>
        <v/>
      </c>
      <c r="N133" s="32" t="str">
        <f aca="false">IFERROR(INDEX(マスタ設定!$F$5:$F$14,MATCH($E133,マスタ設定!$A$5:$A$14,0))/100,"")</f>
        <v/>
      </c>
      <c r="O133" s="31" t="str">
        <f aca="false">IF(OR($K133="",$L133="",$M133="",$N133=""),"",ROUND($K133*$M133+$L133*$N133,1))</f>
        <v/>
      </c>
      <c r="P133" s="29" t="str">
        <f aca="false">IF($A133="","",IF($O133="","データ不足",IF(AND($G133&gt;=3,$J133&gt;=2),"有効","要確認")))</f>
        <v/>
      </c>
    </row>
    <row r="134" customFormat="false" ht="15" hidden="false" customHeight="false" outlineLevel="0" collapsed="false">
      <c r="A134" s="29" t="str">
        <f aca="false">IF(調査集計表!A134="","",調査集計表!A134)</f>
        <v/>
      </c>
      <c r="B134" s="30" t="str">
        <f aca="false">IF(調査集計表!C134="","",調査集計表!C134)</f>
        <v/>
      </c>
      <c r="C134" s="29" t="str">
        <f aca="false">IF(調査集計表!D134="","",調査集計表!D134)</f>
        <v/>
      </c>
      <c r="D134" s="29" t="str">
        <f aca="false">IF(調査集計表!E134="","",調査集計表!E134)</f>
        <v/>
      </c>
      <c r="E134" s="29" t="str">
        <f aca="false">IF(調査集計表!F134="","",調査集計表!F134)</f>
        <v/>
      </c>
      <c r="F134" s="29" t="str">
        <f aca="false">IF(調査集計表!H134="","",調査集計表!H134)</f>
        <v/>
      </c>
      <c r="G134" s="29" t="n">
        <f aca="false">COUNT(調査集計表!J134,調査集計表!L134,調査集計表!N134,調査集計表!P134,調査集計表!R134)</f>
        <v>0</v>
      </c>
      <c r="H134" s="29" t="str">
        <f aca="false">IF($G134=0,"",MEDIAN(調査集計表!J134,調査集計表!L134,調査集計表!N134,調査集計表!P134,調査集計表!R134))</f>
        <v/>
      </c>
      <c r="I134" s="29" t="str">
        <f aca="false">IFERROR(AVERAGE(調査集計表!T134,調査集計表!V134),"")</f>
        <v/>
      </c>
      <c r="J134" s="29" t="n">
        <f aca="false">COUNT(調査集計表!T134,調査集計表!V134)</f>
        <v>0</v>
      </c>
      <c r="K134" s="31" t="str">
        <f aca="false">IF($H134="","",ROUND($H134/3*100,1))</f>
        <v/>
      </c>
      <c r="L134" s="31" t="str">
        <f aca="false">IF($I134="","",ROUND($I134/3*100,1))</f>
        <v/>
      </c>
      <c r="M134" s="32" t="str">
        <f aca="false">IFERROR(INDEX(マスタ設定!$E$5:$E$14,MATCH($E134,マスタ設定!$A$5:$A$14,0))/100,"")</f>
        <v/>
      </c>
      <c r="N134" s="32" t="str">
        <f aca="false">IFERROR(INDEX(マスタ設定!$F$5:$F$14,MATCH($E134,マスタ設定!$A$5:$A$14,0))/100,"")</f>
        <v/>
      </c>
      <c r="O134" s="31" t="str">
        <f aca="false">IF(OR($K134="",$L134="",$M134="",$N134=""),"",ROUND($K134*$M134+$L134*$N134,1))</f>
        <v/>
      </c>
      <c r="P134" s="29" t="str">
        <f aca="false">IF($A134="","",IF($O134="","データ不足",IF(AND($G134&gt;=3,$J134&gt;=2),"有効","要確認")))</f>
        <v/>
      </c>
    </row>
    <row r="135" customFormat="false" ht="15" hidden="false" customHeight="false" outlineLevel="0" collapsed="false">
      <c r="A135" s="29" t="str">
        <f aca="false">IF(調査集計表!A135="","",調査集計表!A135)</f>
        <v/>
      </c>
      <c r="B135" s="30" t="str">
        <f aca="false">IF(調査集計表!C135="","",調査集計表!C135)</f>
        <v/>
      </c>
      <c r="C135" s="29" t="str">
        <f aca="false">IF(調査集計表!D135="","",調査集計表!D135)</f>
        <v/>
      </c>
      <c r="D135" s="29" t="str">
        <f aca="false">IF(調査集計表!E135="","",調査集計表!E135)</f>
        <v/>
      </c>
      <c r="E135" s="29" t="str">
        <f aca="false">IF(調査集計表!F135="","",調査集計表!F135)</f>
        <v/>
      </c>
      <c r="F135" s="29" t="str">
        <f aca="false">IF(調査集計表!H135="","",調査集計表!H135)</f>
        <v/>
      </c>
      <c r="G135" s="29" t="n">
        <f aca="false">COUNT(調査集計表!J135,調査集計表!L135,調査集計表!N135,調査集計表!P135,調査集計表!R135)</f>
        <v>0</v>
      </c>
      <c r="H135" s="29" t="str">
        <f aca="false">IF($G135=0,"",MEDIAN(調査集計表!J135,調査集計表!L135,調査集計表!N135,調査集計表!P135,調査集計表!R135))</f>
        <v/>
      </c>
      <c r="I135" s="29" t="str">
        <f aca="false">IFERROR(AVERAGE(調査集計表!T135,調査集計表!V135),"")</f>
        <v/>
      </c>
      <c r="J135" s="29" t="n">
        <f aca="false">COUNT(調査集計表!T135,調査集計表!V135)</f>
        <v>0</v>
      </c>
      <c r="K135" s="31" t="str">
        <f aca="false">IF($H135="","",ROUND($H135/3*100,1))</f>
        <v/>
      </c>
      <c r="L135" s="31" t="str">
        <f aca="false">IF($I135="","",ROUND($I135/3*100,1))</f>
        <v/>
      </c>
      <c r="M135" s="32" t="str">
        <f aca="false">IFERROR(INDEX(マスタ設定!$E$5:$E$14,MATCH($E135,マスタ設定!$A$5:$A$14,0))/100,"")</f>
        <v/>
      </c>
      <c r="N135" s="32" t="str">
        <f aca="false">IFERROR(INDEX(マスタ設定!$F$5:$F$14,MATCH($E135,マスタ設定!$A$5:$A$14,0))/100,"")</f>
        <v/>
      </c>
      <c r="O135" s="31" t="str">
        <f aca="false">IF(OR($K135="",$L135="",$M135="",$N135=""),"",ROUND($K135*$M135+$L135*$N135,1))</f>
        <v/>
      </c>
      <c r="P135" s="29" t="str">
        <f aca="false">IF($A135="","",IF($O135="","データ不足",IF(AND($G135&gt;=3,$J135&gt;=2),"有効","要確認")))</f>
        <v/>
      </c>
    </row>
    <row r="136" customFormat="false" ht="15" hidden="false" customHeight="false" outlineLevel="0" collapsed="false">
      <c r="A136" s="29" t="str">
        <f aca="false">IF(調査集計表!A136="","",調査集計表!A136)</f>
        <v/>
      </c>
      <c r="B136" s="30" t="str">
        <f aca="false">IF(調査集計表!C136="","",調査集計表!C136)</f>
        <v/>
      </c>
      <c r="C136" s="29" t="str">
        <f aca="false">IF(調査集計表!D136="","",調査集計表!D136)</f>
        <v/>
      </c>
      <c r="D136" s="29" t="str">
        <f aca="false">IF(調査集計表!E136="","",調査集計表!E136)</f>
        <v/>
      </c>
      <c r="E136" s="29" t="str">
        <f aca="false">IF(調査集計表!F136="","",調査集計表!F136)</f>
        <v/>
      </c>
      <c r="F136" s="29" t="str">
        <f aca="false">IF(調査集計表!H136="","",調査集計表!H136)</f>
        <v/>
      </c>
      <c r="G136" s="29" t="n">
        <f aca="false">COUNT(調査集計表!J136,調査集計表!L136,調査集計表!N136,調査集計表!P136,調査集計表!R136)</f>
        <v>0</v>
      </c>
      <c r="H136" s="29" t="str">
        <f aca="false">IF($G136=0,"",MEDIAN(調査集計表!J136,調査集計表!L136,調査集計表!N136,調査集計表!P136,調査集計表!R136))</f>
        <v/>
      </c>
      <c r="I136" s="29" t="str">
        <f aca="false">IFERROR(AVERAGE(調査集計表!T136,調査集計表!V136),"")</f>
        <v/>
      </c>
      <c r="J136" s="29" t="n">
        <f aca="false">COUNT(調査集計表!T136,調査集計表!V136)</f>
        <v>0</v>
      </c>
      <c r="K136" s="31" t="str">
        <f aca="false">IF($H136="","",ROUND($H136/3*100,1))</f>
        <v/>
      </c>
      <c r="L136" s="31" t="str">
        <f aca="false">IF($I136="","",ROUND($I136/3*100,1))</f>
        <v/>
      </c>
      <c r="M136" s="32" t="str">
        <f aca="false">IFERROR(INDEX(マスタ設定!$E$5:$E$14,MATCH($E136,マスタ設定!$A$5:$A$14,0))/100,"")</f>
        <v/>
      </c>
      <c r="N136" s="32" t="str">
        <f aca="false">IFERROR(INDEX(マスタ設定!$F$5:$F$14,MATCH($E136,マスタ設定!$A$5:$A$14,0))/100,"")</f>
        <v/>
      </c>
      <c r="O136" s="31" t="str">
        <f aca="false">IF(OR($K136="",$L136="",$M136="",$N136=""),"",ROUND($K136*$M136+$L136*$N136,1))</f>
        <v/>
      </c>
      <c r="P136" s="29" t="str">
        <f aca="false">IF($A136="","",IF($O136="","データ不足",IF(AND($G136&gt;=3,$J136&gt;=2),"有効","要確認")))</f>
        <v/>
      </c>
    </row>
    <row r="137" customFormat="false" ht="15" hidden="false" customHeight="false" outlineLevel="0" collapsed="false">
      <c r="A137" s="29" t="str">
        <f aca="false">IF(調査集計表!A137="","",調査集計表!A137)</f>
        <v/>
      </c>
      <c r="B137" s="30" t="str">
        <f aca="false">IF(調査集計表!C137="","",調査集計表!C137)</f>
        <v/>
      </c>
      <c r="C137" s="29" t="str">
        <f aca="false">IF(調査集計表!D137="","",調査集計表!D137)</f>
        <v/>
      </c>
      <c r="D137" s="29" t="str">
        <f aca="false">IF(調査集計表!E137="","",調査集計表!E137)</f>
        <v/>
      </c>
      <c r="E137" s="29" t="str">
        <f aca="false">IF(調査集計表!F137="","",調査集計表!F137)</f>
        <v/>
      </c>
      <c r="F137" s="29" t="str">
        <f aca="false">IF(調査集計表!H137="","",調査集計表!H137)</f>
        <v/>
      </c>
      <c r="G137" s="29" t="n">
        <f aca="false">COUNT(調査集計表!J137,調査集計表!L137,調査集計表!N137,調査集計表!P137,調査集計表!R137)</f>
        <v>0</v>
      </c>
      <c r="H137" s="29" t="str">
        <f aca="false">IF($G137=0,"",MEDIAN(調査集計表!J137,調査集計表!L137,調査集計表!N137,調査集計表!P137,調査集計表!R137))</f>
        <v/>
      </c>
      <c r="I137" s="29" t="str">
        <f aca="false">IFERROR(AVERAGE(調査集計表!T137,調査集計表!V137),"")</f>
        <v/>
      </c>
      <c r="J137" s="29" t="n">
        <f aca="false">COUNT(調査集計表!T137,調査集計表!V137)</f>
        <v>0</v>
      </c>
      <c r="K137" s="31" t="str">
        <f aca="false">IF($H137="","",ROUND($H137/3*100,1))</f>
        <v/>
      </c>
      <c r="L137" s="31" t="str">
        <f aca="false">IF($I137="","",ROUND($I137/3*100,1))</f>
        <v/>
      </c>
      <c r="M137" s="32" t="str">
        <f aca="false">IFERROR(INDEX(マスタ設定!$E$5:$E$14,MATCH($E137,マスタ設定!$A$5:$A$14,0))/100,"")</f>
        <v/>
      </c>
      <c r="N137" s="32" t="str">
        <f aca="false">IFERROR(INDEX(マスタ設定!$F$5:$F$14,MATCH($E137,マスタ設定!$A$5:$A$14,0))/100,"")</f>
        <v/>
      </c>
      <c r="O137" s="31" t="str">
        <f aca="false">IF(OR($K137="",$L137="",$M137="",$N137=""),"",ROUND($K137*$M137+$L137*$N137,1))</f>
        <v/>
      </c>
      <c r="P137" s="29" t="str">
        <f aca="false">IF($A137="","",IF($O137="","データ不足",IF(AND($G137&gt;=3,$J137&gt;=2),"有効","要確認")))</f>
        <v/>
      </c>
    </row>
    <row r="138" customFormat="false" ht="15" hidden="false" customHeight="false" outlineLevel="0" collapsed="false">
      <c r="A138" s="29" t="str">
        <f aca="false">IF(調査集計表!A138="","",調査集計表!A138)</f>
        <v/>
      </c>
      <c r="B138" s="30" t="str">
        <f aca="false">IF(調査集計表!C138="","",調査集計表!C138)</f>
        <v/>
      </c>
      <c r="C138" s="29" t="str">
        <f aca="false">IF(調査集計表!D138="","",調査集計表!D138)</f>
        <v/>
      </c>
      <c r="D138" s="29" t="str">
        <f aca="false">IF(調査集計表!E138="","",調査集計表!E138)</f>
        <v/>
      </c>
      <c r="E138" s="29" t="str">
        <f aca="false">IF(調査集計表!F138="","",調査集計表!F138)</f>
        <v/>
      </c>
      <c r="F138" s="29" t="str">
        <f aca="false">IF(調査集計表!H138="","",調査集計表!H138)</f>
        <v/>
      </c>
      <c r="G138" s="29" t="n">
        <f aca="false">COUNT(調査集計表!J138,調査集計表!L138,調査集計表!N138,調査集計表!P138,調査集計表!R138)</f>
        <v>0</v>
      </c>
      <c r="H138" s="29" t="str">
        <f aca="false">IF($G138=0,"",MEDIAN(調査集計表!J138,調査集計表!L138,調査集計表!N138,調査集計表!P138,調査集計表!R138))</f>
        <v/>
      </c>
      <c r="I138" s="29" t="str">
        <f aca="false">IFERROR(AVERAGE(調査集計表!T138,調査集計表!V138),"")</f>
        <v/>
      </c>
      <c r="J138" s="29" t="n">
        <f aca="false">COUNT(調査集計表!T138,調査集計表!V138)</f>
        <v>0</v>
      </c>
      <c r="K138" s="31" t="str">
        <f aca="false">IF($H138="","",ROUND($H138/3*100,1))</f>
        <v/>
      </c>
      <c r="L138" s="31" t="str">
        <f aca="false">IF($I138="","",ROUND($I138/3*100,1))</f>
        <v/>
      </c>
      <c r="M138" s="32" t="str">
        <f aca="false">IFERROR(INDEX(マスタ設定!$E$5:$E$14,MATCH($E138,マスタ設定!$A$5:$A$14,0))/100,"")</f>
        <v/>
      </c>
      <c r="N138" s="32" t="str">
        <f aca="false">IFERROR(INDEX(マスタ設定!$F$5:$F$14,MATCH($E138,マスタ設定!$A$5:$A$14,0))/100,"")</f>
        <v/>
      </c>
      <c r="O138" s="31" t="str">
        <f aca="false">IF(OR($K138="",$L138="",$M138="",$N138=""),"",ROUND($K138*$M138+$L138*$N138,1))</f>
        <v/>
      </c>
      <c r="P138" s="29" t="str">
        <f aca="false">IF($A138="","",IF($O138="","データ不足",IF(AND($G138&gt;=3,$J138&gt;=2),"有効","要確認")))</f>
        <v/>
      </c>
    </row>
    <row r="139" customFormat="false" ht="15" hidden="false" customHeight="false" outlineLevel="0" collapsed="false">
      <c r="A139" s="29" t="str">
        <f aca="false">IF(調査集計表!A139="","",調査集計表!A139)</f>
        <v/>
      </c>
      <c r="B139" s="30" t="str">
        <f aca="false">IF(調査集計表!C139="","",調査集計表!C139)</f>
        <v/>
      </c>
      <c r="C139" s="29" t="str">
        <f aca="false">IF(調査集計表!D139="","",調査集計表!D139)</f>
        <v/>
      </c>
      <c r="D139" s="29" t="str">
        <f aca="false">IF(調査集計表!E139="","",調査集計表!E139)</f>
        <v/>
      </c>
      <c r="E139" s="29" t="str">
        <f aca="false">IF(調査集計表!F139="","",調査集計表!F139)</f>
        <v/>
      </c>
      <c r="F139" s="29" t="str">
        <f aca="false">IF(調査集計表!H139="","",調査集計表!H139)</f>
        <v/>
      </c>
      <c r="G139" s="29" t="n">
        <f aca="false">COUNT(調査集計表!J139,調査集計表!L139,調査集計表!N139,調査集計表!P139,調査集計表!R139)</f>
        <v>0</v>
      </c>
      <c r="H139" s="29" t="str">
        <f aca="false">IF($G139=0,"",MEDIAN(調査集計表!J139,調査集計表!L139,調査集計表!N139,調査集計表!P139,調査集計表!R139))</f>
        <v/>
      </c>
      <c r="I139" s="29" t="str">
        <f aca="false">IFERROR(AVERAGE(調査集計表!T139,調査集計表!V139),"")</f>
        <v/>
      </c>
      <c r="J139" s="29" t="n">
        <f aca="false">COUNT(調査集計表!T139,調査集計表!V139)</f>
        <v>0</v>
      </c>
      <c r="K139" s="31" t="str">
        <f aca="false">IF($H139="","",ROUND($H139/3*100,1))</f>
        <v/>
      </c>
      <c r="L139" s="31" t="str">
        <f aca="false">IF($I139="","",ROUND($I139/3*100,1))</f>
        <v/>
      </c>
      <c r="M139" s="32" t="str">
        <f aca="false">IFERROR(INDEX(マスタ設定!$E$5:$E$14,MATCH($E139,マスタ設定!$A$5:$A$14,0))/100,"")</f>
        <v/>
      </c>
      <c r="N139" s="32" t="str">
        <f aca="false">IFERROR(INDEX(マスタ設定!$F$5:$F$14,MATCH($E139,マスタ設定!$A$5:$A$14,0))/100,"")</f>
        <v/>
      </c>
      <c r="O139" s="31" t="str">
        <f aca="false">IF(OR($K139="",$L139="",$M139="",$N139=""),"",ROUND($K139*$M139+$L139*$N139,1))</f>
        <v/>
      </c>
      <c r="P139" s="29" t="str">
        <f aca="false">IF($A139="","",IF($O139="","データ不足",IF(AND($G139&gt;=3,$J139&gt;=2),"有効","要確認")))</f>
        <v/>
      </c>
    </row>
    <row r="140" customFormat="false" ht="15" hidden="false" customHeight="false" outlineLevel="0" collapsed="false">
      <c r="A140" s="29" t="str">
        <f aca="false">IF(調査集計表!A140="","",調査集計表!A140)</f>
        <v/>
      </c>
      <c r="B140" s="30" t="str">
        <f aca="false">IF(調査集計表!C140="","",調査集計表!C140)</f>
        <v/>
      </c>
      <c r="C140" s="29" t="str">
        <f aca="false">IF(調査集計表!D140="","",調査集計表!D140)</f>
        <v/>
      </c>
      <c r="D140" s="29" t="str">
        <f aca="false">IF(調査集計表!E140="","",調査集計表!E140)</f>
        <v/>
      </c>
      <c r="E140" s="29" t="str">
        <f aca="false">IF(調査集計表!F140="","",調査集計表!F140)</f>
        <v/>
      </c>
      <c r="F140" s="29" t="str">
        <f aca="false">IF(調査集計表!H140="","",調査集計表!H140)</f>
        <v/>
      </c>
      <c r="G140" s="29" t="n">
        <f aca="false">COUNT(調査集計表!J140,調査集計表!L140,調査集計表!N140,調査集計表!P140,調査集計表!R140)</f>
        <v>0</v>
      </c>
      <c r="H140" s="29" t="str">
        <f aca="false">IF($G140=0,"",MEDIAN(調査集計表!J140,調査集計表!L140,調査集計表!N140,調査集計表!P140,調査集計表!R140))</f>
        <v/>
      </c>
      <c r="I140" s="29" t="str">
        <f aca="false">IFERROR(AVERAGE(調査集計表!T140,調査集計表!V140),"")</f>
        <v/>
      </c>
      <c r="J140" s="29" t="n">
        <f aca="false">COUNT(調査集計表!T140,調査集計表!V140)</f>
        <v>0</v>
      </c>
      <c r="K140" s="31" t="str">
        <f aca="false">IF($H140="","",ROUND($H140/3*100,1))</f>
        <v/>
      </c>
      <c r="L140" s="31" t="str">
        <f aca="false">IF($I140="","",ROUND($I140/3*100,1))</f>
        <v/>
      </c>
      <c r="M140" s="32" t="str">
        <f aca="false">IFERROR(INDEX(マスタ設定!$E$5:$E$14,MATCH($E140,マスタ設定!$A$5:$A$14,0))/100,"")</f>
        <v/>
      </c>
      <c r="N140" s="32" t="str">
        <f aca="false">IFERROR(INDEX(マスタ設定!$F$5:$F$14,MATCH($E140,マスタ設定!$A$5:$A$14,0))/100,"")</f>
        <v/>
      </c>
      <c r="O140" s="31" t="str">
        <f aca="false">IF(OR($K140="",$L140="",$M140="",$N140=""),"",ROUND($K140*$M140+$L140*$N140,1))</f>
        <v/>
      </c>
      <c r="P140" s="29" t="str">
        <f aca="false">IF($A140="","",IF($O140="","データ不足",IF(AND($G140&gt;=3,$J140&gt;=2),"有効","要確認")))</f>
        <v/>
      </c>
    </row>
    <row r="141" customFormat="false" ht="15" hidden="false" customHeight="false" outlineLevel="0" collapsed="false">
      <c r="A141" s="29" t="str">
        <f aca="false">IF(調査集計表!A141="","",調査集計表!A141)</f>
        <v/>
      </c>
      <c r="B141" s="30" t="str">
        <f aca="false">IF(調査集計表!C141="","",調査集計表!C141)</f>
        <v/>
      </c>
      <c r="C141" s="29" t="str">
        <f aca="false">IF(調査集計表!D141="","",調査集計表!D141)</f>
        <v/>
      </c>
      <c r="D141" s="29" t="str">
        <f aca="false">IF(調査集計表!E141="","",調査集計表!E141)</f>
        <v/>
      </c>
      <c r="E141" s="29" t="str">
        <f aca="false">IF(調査集計表!F141="","",調査集計表!F141)</f>
        <v/>
      </c>
      <c r="F141" s="29" t="str">
        <f aca="false">IF(調査集計表!H141="","",調査集計表!H141)</f>
        <v/>
      </c>
      <c r="G141" s="29" t="n">
        <f aca="false">COUNT(調査集計表!J141,調査集計表!L141,調査集計表!N141,調査集計表!P141,調査集計表!R141)</f>
        <v>0</v>
      </c>
      <c r="H141" s="29" t="str">
        <f aca="false">IF($G141=0,"",MEDIAN(調査集計表!J141,調査集計表!L141,調査集計表!N141,調査集計表!P141,調査集計表!R141))</f>
        <v/>
      </c>
      <c r="I141" s="29" t="str">
        <f aca="false">IFERROR(AVERAGE(調査集計表!T141,調査集計表!V141),"")</f>
        <v/>
      </c>
      <c r="J141" s="29" t="n">
        <f aca="false">COUNT(調査集計表!T141,調査集計表!V141)</f>
        <v>0</v>
      </c>
      <c r="K141" s="31" t="str">
        <f aca="false">IF($H141="","",ROUND($H141/3*100,1))</f>
        <v/>
      </c>
      <c r="L141" s="31" t="str">
        <f aca="false">IF($I141="","",ROUND($I141/3*100,1))</f>
        <v/>
      </c>
      <c r="M141" s="32" t="str">
        <f aca="false">IFERROR(INDEX(マスタ設定!$E$5:$E$14,MATCH($E141,マスタ設定!$A$5:$A$14,0))/100,"")</f>
        <v/>
      </c>
      <c r="N141" s="32" t="str">
        <f aca="false">IFERROR(INDEX(マスタ設定!$F$5:$F$14,MATCH($E141,マスタ設定!$A$5:$A$14,0))/100,"")</f>
        <v/>
      </c>
      <c r="O141" s="31" t="str">
        <f aca="false">IF(OR($K141="",$L141="",$M141="",$N141=""),"",ROUND($K141*$M141+$L141*$N141,1))</f>
        <v/>
      </c>
      <c r="P141" s="29" t="str">
        <f aca="false">IF($A141="","",IF($O141="","データ不足",IF(AND($G141&gt;=3,$J141&gt;=2),"有効","要確認")))</f>
        <v/>
      </c>
    </row>
    <row r="142" customFormat="false" ht="15" hidden="false" customHeight="false" outlineLevel="0" collapsed="false">
      <c r="A142" s="29" t="str">
        <f aca="false">IF(調査集計表!A142="","",調査集計表!A142)</f>
        <v/>
      </c>
      <c r="B142" s="30" t="str">
        <f aca="false">IF(調査集計表!C142="","",調査集計表!C142)</f>
        <v/>
      </c>
      <c r="C142" s="29" t="str">
        <f aca="false">IF(調査集計表!D142="","",調査集計表!D142)</f>
        <v/>
      </c>
      <c r="D142" s="29" t="str">
        <f aca="false">IF(調査集計表!E142="","",調査集計表!E142)</f>
        <v/>
      </c>
      <c r="E142" s="29" t="str">
        <f aca="false">IF(調査集計表!F142="","",調査集計表!F142)</f>
        <v/>
      </c>
      <c r="F142" s="29" t="str">
        <f aca="false">IF(調査集計表!H142="","",調査集計表!H142)</f>
        <v/>
      </c>
      <c r="G142" s="29" t="n">
        <f aca="false">COUNT(調査集計表!J142,調査集計表!L142,調査集計表!N142,調査集計表!P142,調査集計表!R142)</f>
        <v>0</v>
      </c>
      <c r="H142" s="29" t="str">
        <f aca="false">IF($G142=0,"",MEDIAN(調査集計表!J142,調査集計表!L142,調査集計表!N142,調査集計表!P142,調査集計表!R142))</f>
        <v/>
      </c>
      <c r="I142" s="29" t="str">
        <f aca="false">IFERROR(AVERAGE(調査集計表!T142,調査集計表!V142),"")</f>
        <v/>
      </c>
      <c r="J142" s="29" t="n">
        <f aca="false">COUNT(調査集計表!T142,調査集計表!V142)</f>
        <v>0</v>
      </c>
      <c r="K142" s="31" t="str">
        <f aca="false">IF($H142="","",ROUND($H142/3*100,1))</f>
        <v/>
      </c>
      <c r="L142" s="31" t="str">
        <f aca="false">IF($I142="","",ROUND($I142/3*100,1))</f>
        <v/>
      </c>
      <c r="M142" s="32" t="str">
        <f aca="false">IFERROR(INDEX(マスタ設定!$E$5:$E$14,MATCH($E142,マスタ設定!$A$5:$A$14,0))/100,"")</f>
        <v/>
      </c>
      <c r="N142" s="32" t="str">
        <f aca="false">IFERROR(INDEX(マスタ設定!$F$5:$F$14,MATCH($E142,マスタ設定!$A$5:$A$14,0))/100,"")</f>
        <v/>
      </c>
      <c r="O142" s="31" t="str">
        <f aca="false">IF(OR($K142="",$L142="",$M142="",$N142=""),"",ROUND($K142*$M142+$L142*$N142,1))</f>
        <v/>
      </c>
      <c r="P142" s="29" t="str">
        <f aca="false">IF($A142="","",IF($O142="","データ不足",IF(AND($G142&gt;=3,$J142&gt;=2),"有効","要確認")))</f>
        <v/>
      </c>
    </row>
    <row r="143" customFormat="false" ht="15" hidden="false" customHeight="false" outlineLevel="0" collapsed="false">
      <c r="A143" s="29" t="str">
        <f aca="false">IF(調査集計表!A143="","",調査集計表!A143)</f>
        <v/>
      </c>
      <c r="B143" s="30" t="str">
        <f aca="false">IF(調査集計表!C143="","",調査集計表!C143)</f>
        <v/>
      </c>
      <c r="C143" s="29" t="str">
        <f aca="false">IF(調査集計表!D143="","",調査集計表!D143)</f>
        <v/>
      </c>
      <c r="D143" s="29" t="str">
        <f aca="false">IF(調査集計表!E143="","",調査集計表!E143)</f>
        <v/>
      </c>
      <c r="E143" s="29" t="str">
        <f aca="false">IF(調査集計表!F143="","",調査集計表!F143)</f>
        <v/>
      </c>
      <c r="F143" s="29" t="str">
        <f aca="false">IF(調査集計表!H143="","",調査集計表!H143)</f>
        <v/>
      </c>
      <c r="G143" s="29" t="n">
        <f aca="false">COUNT(調査集計表!J143,調査集計表!L143,調査集計表!N143,調査集計表!P143,調査集計表!R143)</f>
        <v>0</v>
      </c>
      <c r="H143" s="29" t="str">
        <f aca="false">IF($G143=0,"",MEDIAN(調査集計表!J143,調査集計表!L143,調査集計表!N143,調査集計表!P143,調査集計表!R143))</f>
        <v/>
      </c>
      <c r="I143" s="29" t="str">
        <f aca="false">IFERROR(AVERAGE(調査集計表!T143,調査集計表!V143),"")</f>
        <v/>
      </c>
      <c r="J143" s="29" t="n">
        <f aca="false">COUNT(調査集計表!T143,調査集計表!V143)</f>
        <v>0</v>
      </c>
      <c r="K143" s="31" t="str">
        <f aca="false">IF($H143="","",ROUND($H143/3*100,1))</f>
        <v/>
      </c>
      <c r="L143" s="31" t="str">
        <f aca="false">IF($I143="","",ROUND($I143/3*100,1))</f>
        <v/>
      </c>
      <c r="M143" s="32" t="str">
        <f aca="false">IFERROR(INDEX(マスタ設定!$E$5:$E$14,MATCH($E143,マスタ設定!$A$5:$A$14,0))/100,"")</f>
        <v/>
      </c>
      <c r="N143" s="32" t="str">
        <f aca="false">IFERROR(INDEX(マスタ設定!$F$5:$F$14,MATCH($E143,マスタ設定!$A$5:$A$14,0))/100,"")</f>
        <v/>
      </c>
      <c r="O143" s="31" t="str">
        <f aca="false">IF(OR($K143="",$L143="",$M143="",$N143=""),"",ROUND($K143*$M143+$L143*$N143,1))</f>
        <v/>
      </c>
      <c r="P143" s="29" t="str">
        <f aca="false">IF($A143="","",IF($O143="","データ不足",IF(AND($G143&gt;=3,$J143&gt;=2),"有効","要確認")))</f>
        <v/>
      </c>
    </row>
    <row r="144" customFormat="false" ht="15" hidden="false" customHeight="false" outlineLevel="0" collapsed="false">
      <c r="A144" s="29" t="str">
        <f aca="false">IF(調査集計表!A144="","",調査集計表!A144)</f>
        <v/>
      </c>
      <c r="B144" s="30" t="str">
        <f aca="false">IF(調査集計表!C144="","",調査集計表!C144)</f>
        <v/>
      </c>
      <c r="C144" s="29" t="str">
        <f aca="false">IF(調査集計表!D144="","",調査集計表!D144)</f>
        <v/>
      </c>
      <c r="D144" s="29" t="str">
        <f aca="false">IF(調査集計表!E144="","",調査集計表!E144)</f>
        <v/>
      </c>
      <c r="E144" s="29" t="str">
        <f aca="false">IF(調査集計表!F144="","",調査集計表!F144)</f>
        <v/>
      </c>
      <c r="F144" s="29" t="str">
        <f aca="false">IF(調査集計表!H144="","",調査集計表!H144)</f>
        <v/>
      </c>
      <c r="G144" s="29" t="n">
        <f aca="false">COUNT(調査集計表!J144,調査集計表!L144,調査集計表!N144,調査集計表!P144,調査集計表!R144)</f>
        <v>0</v>
      </c>
      <c r="H144" s="29" t="str">
        <f aca="false">IF($G144=0,"",MEDIAN(調査集計表!J144,調査集計表!L144,調査集計表!N144,調査集計表!P144,調査集計表!R144))</f>
        <v/>
      </c>
      <c r="I144" s="29" t="str">
        <f aca="false">IFERROR(AVERAGE(調査集計表!T144,調査集計表!V144),"")</f>
        <v/>
      </c>
      <c r="J144" s="29" t="n">
        <f aca="false">COUNT(調査集計表!T144,調査集計表!V144)</f>
        <v>0</v>
      </c>
      <c r="K144" s="31" t="str">
        <f aca="false">IF($H144="","",ROUND($H144/3*100,1))</f>
        <v/>
      </c>
      <c r="L144" s="31" t="str">
        <f aca="false">IF($I144="","",ROUND($I144/3*100,1))</f>
        <v/>
      </c>
      <c r="M144" s="32" t="str">
        <f aca="false">IFERROR(INDEX(マスタ設定!$E$5:$E$14,MATCH($E144,マスタ設定!$A$5:$A$14,0))/100,"")</f>
        <v/>
      </c>
      <c r="N144" s="32" t="str">
        <f aca="false">IFERROR(INDEX(マスタ設定!$F$5:$F$14,MATCH($E144,マスタ設定!$A$5:$A$14,0))/100,"")</f>
        <v/>
      </c>
      <c r="O144" s="31" t="str">
        <f aca="false">IF(OR($K144="",$L144="",$M144="",$N144=""),"",ROUND($K144*$M144+$L144*$N144,1))</f>
        <v/>
      </c>
      <c r="P144" s="29" t="str">
        <f aca="false">IF($A144="","",IF($O144="","データ不足",IF(AND($G144&gt;=3,$J144&gt;=2),"有効","要確認")))</f>
        <v/>
      </c>
    </row>
    <row r="145" customFormat="false" ht="15" hidden="false" customHeight="false" outlineLevel="0" collapsed="false">
      <c r="A145" s="29" t="str">
        <f aca="false">IF(調査集計表!A145="","",調査集計表!A145)</f>
        <v/>
      </c>
      <c r="B145" s="30" t="str">
        <f aca="false">IF(調査集計表!C145="","",調査集計表!C145)</f>
        <v/>
      </c>
      <c r="C145" s="29" t="str">
        <f aca="false">IF(調査集計表!D145="","",調査集計表!D145)</f>
        <v/>
      </c>
      <c r="D145" s="29" t="str">
        <f aca="false">IF(調査集計表!E145="","",調査集計表!E145)</f>
        <v/>
      </c>
      <c r="E145" s="29" t="str">
        <f aca="false">IF(調査集計表!F145="","",調査集計表!F145)</f>
        <v/>
      </c>
      <c r="F145" s="29" t="str">
        <f aca="false">IF(調査集計表!H145="","",調査集計表!H145)</f>
        <v/>
      </c>
      <c r="G145" s="29" t="n">
        <f aca="false">COUNT(調査集計表!J145,調査集計表!L145,調査集計表!N145,調査集計表!P145,調査集計表!R145)</f>
        <v>0</v>
      </c>
      <c r="H145" s="29" t="str">
        <f aca="false">IF($G145=0,"",MEDIAN(調査集計表!J145,調査集計表!L145,調査集計表!N145,調査集計表!P145,調査集計表!R145))</f>
        <v/>
      </c>
      <c r="I145" s="29" t="str">
        <f aca="false">IFERROR(AVERAGE(調査集計表!T145,調査集計表!V145),"")</f>
        <v/>
      </c>
      <c r="J145" s="29" t="n">
        <f aca="false">COUNT(調査集計表!T145,調査集計表!V145)</f>
        <v>0</v>
      </c>
      <c r="K145" s="31" t="str">
        <f aca="false">IF($H145="","",ROUND($H145/3*100,1))</f>
        <v/>
      </c>
      <c r="L145" s="31" t="str">
        <f aca="false">IF($I145="","",ROUND($I145/3*100,1))</f>
        <v/>
      </c>
      <c r="M145" s="32" t="str">
        <f aca="false">IFERROR(INDEX(マスタ設定!$E$5:$E$14,MATCH($E145,マスタ設定!$A$5:$A$14,0))/100,"")</f>
        <v/>
      </c>
      <c r="N145" s="32" t="str">
        <f aca="false">IFERROR(INDEX(マスタ設定!$F$5:$F$14,MATCH($E145,マスタ設定!$A$5:$A$14,0))/100,"")</f>
        <v/>
      </c>
      <c r="O145" s="31" t="str">
        <f aca="false">IF(OR($K145="",$L145="",$M145="",$N145=""),"",ROUND($K145*$M145+$L145*$N145,1))</f>
        <v/>
      </c>
      <c r="P145" s="29" t="str">
        <f aca="false">IF($A145="","",IF($O145="","データ不足",IF(AND($G145&gt;=3,$J145&gt;=2),"有効","要確認")))</f>
        <v/>
      </c>
    </row>
    <row r="146" customFormat="false" ht="15" hidden="false" customHeight="false" outlineLevel="0" collapsed="false">
      <c r="A146" s="29" t="str">
        <f aca="false">IF(調査集計表!A146="","",調査集計表!A146)</f>
        <v/>
      </c>
      <c r="B146" s="30" t="str">
        <f aca="false">IF(調査集計表!C146="","",調査集計表!C146)</f>
        <v/>
      </c>
      <c r="C146" s="29" t="str">
        <f aca="false">IF(調査集計表!D146="","",調査集計表!D146)</f>
        <v/>
      </c>
      <c r="D146" s="29" t="str">
        <f aca="false">IF(調査集計表!E146="","",調査集計表!E146)</f>
        <v/>
      </c>
      <c r="E146" s="29" t="str">
        <f aca="false">IF(調査集計表!F146="","",調査集計表!F146)</f>
        <v/>
      </c>
      <c r="F146" s="29" t="str">
        <f aca="false">IF(調査集計表!H146="","",調査集計表!H146)</f>
        <v/>
      </c>
      <c r="G146" s="29" t="n">
        <f aca="false">COUNT(調査集計表!J146,調査集計表!L146,調査集計表!N146,調査集計表!P146,調査集計表!R146)</f>
        <v>0</v>
      </c>
      <c r="H146" s="29" t="str">
        <f aca="false">IF($G146=0,"",MEDIAN(調査集計表!J146,調査集計表!L146,調査集計表!N146,調査集計表!P146,調査集計表!R146))</f>
        <v/>
      </c>
      <c r="I146" s="29" t="str">
        <f aca="false">IFERROR(AVERAGE(調査集計表!T146,調査集計表!V146),"")</f>
        <v/>
      </c>
      <c r="J146" s="29" t="n">
        <f aca="false">COUNT(調査集計表!T146,調査集計表!V146)</f>
        <v>0</v>
      </c>
      <c r="K146" s="31" t="str">
        <f aca="false">IF($H146="","",ROUND($H146/3*100,1))</f>
        <v/>
      </c>
      <c r="L146" s="31" t="str">
        <f aca="false">IF($I146="","",ROUND($I146/3*100,1))</f>
        <v/>
      </c>
      <c r="M146" s="32" t="str">
        <f aca="false">IFERROR(INDEX(マスタ設定!$E$5:$E$14,MATCH($E146,マスタ設定!$A$5:$A$14,0))/100,"")</f>
        <v/>
      </c>
      <c r="N146" s="32" t="str">
        <f aca="false">IFERROR(INDEX(マスタ設定!$F$5:$F$14,MATCH($E146,マスタ設定!$A$5:$A$14,0))/100,"")</f>
        <v/>
      </c>
      <c r="O146" s="31" t="str">
        <f aca="false">IF(OR($K146="",$L146="",$M146="",$N146=""),"",ROUND($K146*$M146+$L146*$N146,1))</f>
        <v/>
      </c>
      <c r="P146" s="29" t="str">
        <f aca="false">IF($A146="","",IF($O146="","データ不足",IF(AND($G146&gt;=3,$J146&gt;=2),"有効","要確認")))</f>
        <v/>
      </c>
    </row>
    <row r="147" customFormat="false" ht="15" hidden="false" customHeight="false" outlineLevel="0" collapsed="false">
      <c r="A147" s="29" t="str">
        <f aca="false">IF(調査集計表!A147="","",調査集計表!A147)</f>
        <v/>
      </c>
      <c r="B147" s="30" t="str">
        <f aca="false">IF(調査集計表!C147="","",調査集計表!C147)</f>
        <v/>
      </c>
      <c r="C147" s="29" t="str">
        <f aca="false">IF(調査集計表!D147="","",調査集計表!D147)</f>
        <v/>
      </c>
      <c r="D147" s="29" t="str">
        <f aca="false">IF(調査集計表!E147="","",調査集計表!E147)</f>
        <v/>
      </c>
      <c r="E147" s="29" t="str">
        <f aca="false">IF(調査集計表!F147="","",調査集計表!F147)</f>
        <v/>
      </c>
      <c r="F147" s="29" t="str">
        <f aca="false">IF(調査集計表!H147="","",調査集計表!H147)</f>
        <v/>
      </c>
      <c r="G147" s="29" t="n">
        <f aca="false">COUNT(調査集計表!J147,調査集計表!L147,調査集計表!N147,調査集計表!P147,調査集計表!R147)</f>
        <v>0</v>
      </c>
      <c r="H147" s="29" t="str">
        <f aca="false">IF($G147=0,"",MEDIAN(調査集計表!J147,調査集計表!L147,調査集計表!N147,調査集計表!P147,調査集計表!R147))</f>
        <v/>
      </c>
      <c r="I147" s="29" t="str">
        <f aca="false">IFERROR(AVERAGE(調査集計表!T147,調査集計表!V147),"")</f>
        <v/>
      </c>
      <c r="J147" s="29" t="n">
        <f aca="false">COUNT(調査集計表!T147,調査集計表!V147)</f>
        <v>0</v>
      </c>
      <c r="K147" s="31" t="str">
        <f aca="false">IF($H147="","",ROUND($H147/3*100,1))</f>
        <v/>
      </c>
      <c r="L147" s="31" t="str">
        <f aca="false">IF($I147="","",ROUND($I147/3*100,1))</f>
        <v/>
      </c>
      <c r="M147" s="32" t="str">
        <f aca="false">IFERROR(INDEX(マスタ設定!$E$5:$E$14,MATCH($E147,マスタ設定!$A$5:$A$14,0))/100,"")</f>
        <v/>
      </c>
      <c r="N147" s="32" t="str">
        <f aca="false">IFERROR(INDEX(マスタ設定!$F$5:$F$14,MATCH($E147,マスタ設定!$A$5:$A$14,0))/100,"")</f>
        <v/>
      </c>
      <c r="O147" s="31" t="str">
        <f aca="false">IF(OR($K147="",$L147="",$M147="",$N147=""),"",ROUND($K147*$M147+$L147*$N147,1))</f>
        <v/>
      </c>
      <c r="P147" s="29" t="str">
        <f aca="false">IF($A147="","",IF($O147="","データ不足",IF(AND($G147&gt;=3,$J147&gt;=2),"有効","要確認")))</f>
        <v/>
      </c>
    </row>
    <row r="148" customFormat="false" ht="15" hidden="false" customHeight="false" outlineLevel="0" collapsed="false">
      <c r="A148" s="29" t="str">
        <f aca="false">IF(調査集計表!A148="","",調査集計表!A148)</f>
        <v/>
      </c>
      <c r="B148" s="30" t="str">
        <f aca="false">IF(調査集計表!C148="","",調査集計表!C148)</f>
        <v/>
      </c>
      <c r="C148" s="29" t="str">
        <f aca="false">IF(調査集計表!D148="","",調査集計表!D148)</f>
        <v/>
      </c>
      <c r="D148" s="29" t="str">
        <f aca="false">IF(調査集計表!E148="","",調査集計表!E148)</f>
        <v/>
      </c>
      <c r="E148" s="29" t="str">
        <f aca="false">IF(調査集計表!F148="","",調査集計表!F148)</f>
        <v/>
      </c>
      <c r="F148" s="29" t="str">
        <f aca="false">IF(調査集計表!H148="","",調査集計表!H148)</f>
        <v/>
      </c>
      <c r="G148" s="29" t="n">
        <f aca="false">COUNT(調査集計表!J148,調査集計表!L148,調査集計表!N148,調査集計表!P148,調査集計表!R148)</f>
        <v>0</v>
      </c>
      <c r="H148" s="29" t="str">
        <f aca="false">IF($G148=0,"",MEDIAN(調査集計表!J148,調査集計表!L148,調査集計表!N148,調査集計表!P148,調査集計表!R148))</f>
        <v/>
      </c>
      <c r="I148" s="29" t="str">
        <f aca="false">IFERROR(AVERAGE(調査集計表!T148,調査集計表!V148),"")</f>
        <v/>
      </c>
      <c r="J148" s="29" t="n">
        <f aca="false">COUNT(調査集計表!T148,調査集計表!V148)</f>
        <v>0</v>
      </c>
      <c r="K148" s="31" t="str">
        <f aca="false">IF($H148="","",ROUND($H148/3*100,1))</f>
        <v/>
      </c>
      <c r="L148" s="31" t="str">
        <f aca="false">IF($I148="","",ROUND($I148/3*100,1))</f>
        <v/>
      </c>
      <c r="M148" s="32" t="str">
        <f aca="false">IFERROR(INDEX(マスタ設定!$E$5:$E$14,MATCH($E148,マスタ設定!$A$5:$A$14,0))/100,"")</f>
        <v/>
      </c>
      <c r="N148" s="32" t="str">
        <f aca="false">IFERROR(INDEX(マスタ設定!$F$5:$F$14,MATCH($E148,マスタ設定!$A$5:$A$14,0))/100,"")</f>
        <v/>
      </c>
      <c r="O148" s="31" t="str">
        <f aca="false">IF(OR($K148="",$L148="",$M148="",$N148=""),"",ROUND($K148*$M148+$L148*$N148,1))</f>
        <v/>
      </c>
      <c r="P148" s="29" t="str">
        <f aca="false">IF($A148="","",IF($O148="","データ不足",IF(AND($G148&gt;=3,$J148&gt;=2),"有効","要確認")))</f>
        <v/>
      </c>
    </row>
    <row r="149" customFormat="false" ht="15" hidden="false" customHeight="false" outlineLevel="0" collapsed="false">
      <c r="A149" s="29" t="str">
        <f aca="false">IF(調査集計表!A149="","",調査集計表!A149)</f>
        <v/>
      </c>
      <c r="B149" s="30" t="str">
        <f aca="false">IF(調査集計表!C149="","",調査集計表!C149)</f>
        <v/>
      </c>
      <c r="C149" s="29" t="str">
        <f aca="false">IF(調査集計表!D149="","",調査集計表!D149)</f>
        <v/>
      </c>
      <c r="D149" s="29" t="str">
        <f aca="false">IF(調査集計表!E149="","",調査集計表!E149)</f>
        <v/>
      </c>
      <c r="E149" s="29" t="str">
        <f aca="false">IF(調査集計表!F149="","",調査集計表!F149)</f>
        <v/>
      </c>
      <c r="F149" s="29" t="str">
        <f aca="false">IF(調査集計表!H149="","",調査集計表!H149)</f>
        <v/>
      </c>
      <c r="G149" s="29" t="n">
        <f aca="false">COUNT(調査集計表!J149,調査集計表!L149,調査集計表!N149,調査集計表!P149,調査集計表!R149)</f>
        <v>0</v>
      </c>
      <c r="H149" s="29" t="str">
        <f aca="false">IF($G149=0,"",MEDIAN(調査集計表!J149,調査集計表!L149,調査集計表!N149,調査集計表!P149,調査集計表!R149))</f>
        <v/>
      </c>
      <c r="I149" s="29" t="str">
        <f aca="false">IFERROR(AVERAGE(調査集計表!T149,調査集計表!V149),"")</f>
        <v/>
      </c>
      <c r="J149" s="29" t="n">
        <f aca="false">COUNT(調査集計表!T149,調査集計表!V149)</f>
        <v>0</v>
      </c>
      <c r="K149" s="31" t="str">
        <f aca="false">IF($H149="","",ROUND($H149/3*100,1))</f>
        <v/>
      </c>
      <c r="L149" s="31" t="str">
        <f aca="false">IF($I149="","",ROUND($I149/3*100,1))</f>
        <v/>
      </c>
      <c r="M149" s="32" t="str">
        <f aca="false">IFERROR(INDEX(マスタ設定!$E$5:$E$14,MATCH($E149,マスタ設定!$A$5:$A$14,0))/100,"")</f>
        <v/>
      </c>
      <c r="N149" s="32" t="str">
        <f aca="false">IFERROR(INDEX(マスタ設定!$F$5:$F$14,MATCH($E149,マスタ設定!$A$5:$A$14,0))/100,"")</f>
        <v/>
      </c>
      <c r="O149" s="31" t="str">
        <f aca="false">IF(OR($K149="",$L149="",$M149="",$N149=""),"",ROUND($K149*$M149+$L149*$N149,1))</f>
        <v/>
      </c>
      <c r="P149" s="29" t="str">
        <f aca="false">IF($A149="","",IF($O149="","データ不足",IF(AND($G149&gt;=3,$J149&gt;=2),"有効","要確認")))</f>
        <v/>
      </c>
    </row>
    <row r="150" customFormat="false" ht="15" hidden="false" customHeight="false" outlineLevel="0" collapsed="false">
      <c r="A150" s="29" t="str">
        <f aca="false">IF(調査集計表!A150="","",調査集計表!A150)</f>
        <v/>
      </c>
      <c r="B150" s="30" t="str">
        <f aca="false">IF(調査集計表!C150="","",調査集計表!C150)</f>
        <v/>
      </c>
      <c r="C150" s="29" t="str">
        <f aca="false">IF(調査集計表!D150="","",調査集計表!D150)</f>
        <v/>
      </c>
      <c r="D150" s="29" t="str">
        <f aca="false">IF(調査集計表!E150="","",調査集計表!E150)</f>
        <v/>
      </c>
      <c r="E150" s="29" t="str">
        <f aca="false">IF(調査集計表!F150="","",調査集計表!F150)</f>
        <v/>
      </c>
      <c r="F150" s="29" t="str">
        <f aca="false">IF(調査集計表!H150="","",調査集計表!H150)</f>
        <v/>
      </c>
      <c r="G150" s="29" t="n">
        <f aca="false">COUNT(調査集計表!J150,調査集計表!L150,調査集計表!N150,調査集計表!P150,調査集計表!R150)</f>
        <v>0</v>
      </c>
      <c r="H150" s="29" t="str">
        <f aca="false">IF($G150=0,"",MEDIAN(調査集計表!J150,調査集計表!L150,調査集計表!N150,調査集計表!P150,調査集計表!R150))</f>
        <v/>
      </c>
      <c r="I150" s="29" t="str">
        <f aca="false">IFERROR(AVERAGE(調査集計表!T150,調査集計表!V150),"")</f>
        <v/>
      </c>
      <c r="J150" s="29" t="n">
        <f aca="false">COUNT(調査集計表!T150,調査集計表!V150)</f>
        <v>0</v>
      </c>
      <c r="K150" s="31" t="str">
        <f aca="false">IF($H150="","",ROUND($H150/3*100,1))</f>
        <v/>
      </c>
      <c r="L150" s="31" t="str">
        <f aca="false">IF($I150="","",ROUND($I150/3*100,1))</f>
        <v/>
      </c>
      <c r="M150" s="32" t="str">
        <f aca="false">IFERROR(INDEX(マスタ設定!$E$5:$E$14,MATCH($E150,マスタ設定!$A$5:$A$14,0))/100,"")</f>
        <v/>
      </c>
      <c r="N150" s="32" t="str">
        <f aca="false">IFERROR(INDEX(マスタ設定!$F$5:$F$14,MATCH($E150,マスタ設定!$A$5:$A$14,0))/100,"")</f>
        <v/>
      </c>
      <c r="O150" s="31" t="str">
        <f aca="false">IF(OR($K150="",$L150="",$M150="",$N150=""),"",ROUND($K150*$M150+$L150*$N150,1))</f>
        <v/>
      </c>
      <c r="P150" s="29" t="str">
        <f aca="false">IF($A150="","",IF($O150="","データ不足",IF(AND($G150&gt;=3,$J150&gt;=2),"有効","要確認")))</f>
        <v/>
      </c>
    </row>
    <row r="151" customFormat="false" ht="15" hidden="false" customHeight="false" outlineLevel="0" collapsed="false">
      <c r="A151" s="29" t="str">
        <f aca="false">IF(調査集計表!A151="","",調査集計表!A151)</f>
        <v/>
      </c>
      <c r="B151" s="30" t="str">
        <f aca="false">IF(調査集計表!C151="","",調査集計表!C151)</f>
        <v/>
      </c>
      <c r="C151" s="29" t="str">
        <f aca="false">IF(調査集計表!D151="","",調査集計表!D151)</f>
        <v/>
      </c>
      <c r="D151" s="29" t="str">
        <f aca="false">IF(調査集計表!E151="","",調査集計表!E151)</f>
        <v/>
      </c>
      <c r="E151" s="29" t="str">
        <f aca="false">IF(調査集計表!F151="","",調査集計表!F151)</f>
        <v/>
      </c>
      <c r="F151" s="29" t="str">
        <f aca="false">IF(調査集計表!H151="","",調査集計表!H151)</f>
        <v/>
      </c>
      <c r="G151" s="29" t="n">
        <f aca="false">COUNT(調査集計表!J151,調査集計表!L151,調査集計表!N151,調査集計表!P151,調査集計表!R151)</f>
        <v>0</v>
      </c>
      <c r="H151" s="29" t="str">
        <f aca="false">IF($G151=0,"",MEDIAN(調査集計表!J151,調査集計表!L151,調査集計表!N151,調査集計表!P151,調査集計表!R151))</f>
        <v/>
      </c>
      <c r="I151" s="29" t="str">
        <f aca="false">IFERROR(AVERAGE(調査集計表!T151,調査集計表!V151),"")</f>
        <v/>
      </c>
      <c r="J151" s="29" t="n">
        <f aca="false">COUNT(調査集計表!T151,調査集計表!V151)</f>
        <v>0</v>
      </c>
      <c r="K151" s="31" t="str">
        <f aca="false">IF($H151="","",ROUND($H151/3*100,1))</f>
        <v/>
      </c>
      <c r="L151" s="31" t="str">
        <f aca="false">IF($I151="","",ROUND($I151/3*100,1))</f>
        <v/>
      </c>
      <c r="M151" s="32" t="str">
        <f aca="false">IFERROR(INDEX(マスタ設定!$E$5:$E$14,MATCH($E151,マスタ設定!$A$5:$A$14,0))/100,"")</f>
        <v/>
      </c>
      <c r="N151" s="32" t="str">
        <f aca="false">IFERROR(INDEX(マスタ設定!$F$5:$F$14,MATCH($E151,マスタ設定!$A$5:$A$14,0))/100,"")</f>
        <v/>
      </c>
      <c r="O151" s="31" t="str">
        <f aca="false">IF(OR($K151="",$L151="",$M151="",$N151=""),"",ROUND($K151*$M151+$L151*$N151,1))</f>
        <v/>
      </c>
      <c r="P151" s="29" t="str">
        <f aca="false">IF($A151="","",IF($O151="","データ不足",IF(AND($G151&gt;=3,$J151&gt;=2),"有効","要確認")))</f>
        <v/>
      </c>
    </row>
    <row r="152" customFormat="false" ht="15" hidden="false" customHeight="false" outlineLevel="0" collapsed="false">
      <c r="A152" s="29" t="str">
        <f aca="false">IF(調査集計表!A152="","",調査集計表!A152)</f>
        <v/>
      </c>
      <c r="B152" s="30" t="str">
        <f aca="false">IF(調査集計表!C152="","",調査集計表!C152)</f>
        <v/>
      </c>
      <c r="C152" s="29" t="str">
        <f aca="false">IF(調査集計表!D152="","",調査集計表!D152)</f>
        <v/>
      </c>
      <c r="D152" s="29" t="str">
        <f aca="false">IF(調査集計表!E152="","",調査集計表!E152)</f>
        <v/>
      </c>
      <c r="E152" s="29" t="str">
        <f aca="false">IF(調査集計表!F152="","",調査集計表!F152)</f>
        <v/>
      </c>
      <c r="F152" s="29" t="str">
        <f aca="false">IF(調査集計表!H152="","",調査集計表!H152)</f>
        <v/>
      </c>
      <c r="G152" s="29" t="n">
        <f aca="false">COUNT(調査集計表!J152,調査集計表!L152,調査集計表!N152,調査集計表!P152,調査集計表!R152)</f>
        <v>0</v>
      </c>
      <c r="H152" s="29" t="str">
        <f aca="false">IF($G152=0,"",MEDIAN(調査集計表!J152,調査集計表!L152,調査集計表!N152,調査集計表!P152,調査集計表!R152))</f>
        <v/>
      </c>
      <c r="I152" s="29" t="str">
        <f aca="false">IFERROR(AVERAGE(調査集計表!T152,調査集計表!V152),"")</f>
        <v/>
      </c>
      <c r="J152" s="29" t="n">
        <f aca="false">COUNT(調査集計表!T152,調査集計表!V152)</f>
        <v>0</v>
      </c>
      <c r="K152" s="31" t="str">
        <f aca="false">IF($H152="","",ROUND($H152/3*100,1))</f>
        <v/>
      </c>
      <c r="L152" s="31" t="str">
        <f aca="false">IF($I152="","",ROUND($I152/3*100,1))</f>
        <v/>
      </c>
      <c r="M152" s="32" t="str">
        <f aca="false">IFERROR(INDEX(マスタ設定!$E$5:$E$14,MATCH($E152,マスタ設定!$A$5:$A$14,0))/100,"")</f>
        <v/>
      </c>
      <c r="N152" s="32" t="str">
        <f aca="false">IFERROR(INDEX(マスタ設定!$F$5:$F$14,MATCH($E152,マスタ設定!$A$5:$A$14,0))/100,"")</f>
        <v/>
      </c>
      <c r="O152" s="31" t="str">
        <f aca="false">IF(OR($K152="",$L152="",$M152="",$N152=""),"",ROUND($K152*$M152+$L152*$N152,1))</f>
        <v/>
      </c>
      <c r="P152" s="29" t="str">
        <f aca="false">IF($A152="","",IF($O152="","データ不足",IF(AND($G152&gt;=3,$J152&gt;=2),"有効","要確認")))</f>
        <v/>
      </c>
    </row>
    <row r="153" customFormat="false" ht="15" hidden="false" customHeight="false" outlineLevel="0" collapsed="false">
      <c r="A153" s="29" t="str">
        <f aca="false">IF(調査集計表!A153="","",調査集計表!A153)</f>
        <v/>
      </c>
      <c r="B153" s="30" t="str">
        <f aca="false">IF(調査集計表!C153="","",調査集計表!C153)</f>
        <v/>
      </c>
      <c r="C153" s="29" t="str">
        <f aca="false">IF(調査集計表!D153="","",調査集計表!D153)</f>
        <v/>
      </c>
      <c r="D153" s="29" t="str">
        <f aca="false">IF(調査集計表!E153="","",調査集計表!E153)</f>
        <v/>
      </c>
      <c r="E153" s="29" t="str">
        <f aca="false">IF(調査集計表!F153="","",調査集計表!F153)</f>
        <v/>
      </c>
      <c r="F153" s="29" t="str">
        <f aca="false">IF(調査集計表!H153="","",調査集計表!H153)</f>
        <v/>
      </c>
      <c r="G153" s="29" t="n">
        <f aca="false">COUNT(調査集計表!J153,調査集計表!L153,調査集計表!N153,調査集計表!P153,調査集計表!R153)</f>
        <v>0</v>
      </c>
      <c r="H153" s="29" t="str">
        <f aca="false">IF($G153=0,"",MEDIAN(調査集計表!J153,調査集計表!L153,調査集計表!N153,調査集計表!P153,調査集計表!R153))</f>
        <v/>
      </c>
      <c r="I153" s="29" t="str">
        <f aca="false">IFERROR(AVERAGE(調査集計表!T153,調査集計表!V153),"")</f>
        <v/>
      </c>
      <c r="J153" s="29" t="n">
        <f aca="false">COUNT(調査集計表!T153,調査集計表!V153)</f>
        <v>0</v>
      </c>
      <c r="K153" s="31" t="str">
        <f aca="false">IF($H153="","",ROUND($H153/3*100,1))</f>
        <v/>
      </c>
      <c r="L153" s="31" t="str">
        <f aca="false">IF($I153="","",ROUND($I153/3*100,1))</f>
        <v/>
      </c>
      <c r="M153" s="32" t="str">
        <f aca="false">IFERROR(INDEX(マスタ設定!$E$5:$E$14,MATCH($E153,マスタ設定!$A$5:$A$14,0))/100,"")</f>
        <v/>
      </c>
      <c r="N153" s="32" t="str">
        <f aca="false">IFERROR(INDEX(マスタ設定!$F$5:$F$14,MATCH($E153,マスタ設定!$A$5:$A$14,0))/100,"")</f>
        <v/>
      </c>
      <c r="O153" s="31" t="str">
        <f aca="false">IF(OR($K153="",$L153="",$M153="",$N153=""),"",ROUND($K153*$M153+$L153*$N153,1))</f>
        <v/>
      </c>
      <c r="P153" s="29" t="str">
        <f aca="false">IF($A153="","",IF($O153="","データ不足",IF(AND($G153&gt;=3,$J153&gt;=2),"有効","要確認")))</f>
        <v/>
      </c>
    </row>
    <row r="154" customFormat="false" ht="15" hidden="false" customHeight="false" outlineLevel="0" collapsed="false">
      <c r="A154" s="29" t="str">
        <f aca="false">IF(調査集計表!A154="","",調査集計表!A154)</f>
        <v/>
      </c>
      <c r="B154" s="30" t="str">
        <f aca="false">IF(調査集計表!C154="","",調査集計表!C154)</f>
        <v/>
      </c>
      <c r="C154" s="29" t="str">
        <f aca="false">IF(調査集計表!D154="","",調査集計表!D154)</f>
        <v/>
      </c>
      <c r="D154" s="29" t="str">
        <f aca="false">IF(調査集計表!E154="","",調査集計表!E154)</f>
        <v/>
      </c>
      <c r="E154" s="29" t="str">
        <f aca="false">IF(調査集計表!F154="","",調査集計表!F154)</f>
        <v/>
      </c>
      <c r="F154" s="29" t="str">
        <f aca="false">IF(調査集計表!H154="","",調査集計表!H154)</f>
        <v/>
      </c>
      <c r="G154" s="29" t="n">
        <f aca="false">COUNT(調査集計表!J154,調査集計表!L154,調査集計表!N154,調査集計表!P154,調査集計表!R154)</f>
        <v>0</v>
      </c>
      <c r="H154" s="29" t="str">
        <f aca="false">IF($G154=0,"",MEDIAN(調査集計表!J154,調査集計表!L154,調査集計表!N154,調査集計表!P154,調査集計表!R154))</f>
        <v/>
      </c>
      <c r="I154" s="29" t="str">
        <f aca="false">IFERROR(AVERAGE(調査集計表!T154,調査集計表!V154),"")</f>
        <v/>
      </c>
      <c r="J154" s="29" t="n">
        <f aca="false">COUNT(調査集計表!T154,調査集計表!V154)</f>
        <v>0</v>
      </c>
      <c r="K154" s="31" t="str">
        <f aca="false">IF($H154="","",ROUND($H154/3*100,1))</f>
        <v/>
      </c>
      <c r="L154" s="31" t="str">
        <f aca="false">IF($I154="","",ROUND($I154/3*100,1))</f>
        <v/>
      </c>
      <c r="M154" s="32" t="str">
        <f aca="false">IFERROR(INDEX(マスタ設定!$E$5:$E$14,MATCH($E154,マスタ設定!$A$5:$A$14,0))/100,"")</f>
        <v/>
      </c>
      <c r="N154" s="32" t="str">
        <f aca="false">IFERROR(INDEX(マスタ設定!$F$5:$F$14,MATCH($E154,マスタ設定!$A$5:$A$14,0))/100,"")</f>
        <v/>
      </c>
      <c r="O154" s="31" t="str">
        <f aca="false">IF(OR($K154="",$L154="",$M154="",$N154=""),"",ROUND($K154*$M154+$L154*$N154,1))</f>
        <v/>
      </c>
      <c r="P154" s="29" t="str">
        <f aca="false">IF($A154="","",IF($O154="","データ不足",IF(AND($G154&gt;=3,$J154&gt;=2),"有効","要確認")))</f>
        <v/>
      </c>
    </row>
    <row r="155" customFormat="false" ht="15" hidden="false" customHeight="false" outlineLevel="0" collapsed="false">
      <c r="A155" s="29" t="str">
        <f aca="false">IF(調査集計表!A155="","",調査集計表!A155)</f>
        <v/>
      </c>
      <c r="B155" s="30" t="str">
        <f aca="false">IF(調査集計表!C155="","",調査集計表!C155)</f>
        <v/>
      </c>
      <c r="C155" s="29" t="str">
        <f aca="false">IF(調査集計表!D155="","",調査集計表!D155)</f>
        <v/>
      </c>
      <c r="D155" s="29" t="str">
        <f aca="false">IF(調査集計表!E155="","",調査集計表!E155)</f>
        <v/>
      </c>
      <c r="E155" s="29" t="str">
        <f aca="false">IF(調査集計表!F155="","",調査集計表!F155)</f>
        <v/>
      </c>
      <c r="F155" s="29" t="str">
        <f aca="false">IF(調査集計表!H155="","",調査集計表!H155)</f>
        <v/>
      </c>
      <c r="G155" s="29" t="n">
        <f aca="false">COUNT(調査集計表!J155,調査集計表!L155,調査集計表!N155,調査集計表!P155,調査集計表!R155)</f>
        <v>0</v>
      </c>
      <c r="H155" s="29" t="str">
        <f aca="false">IF($G155=0,"",MEDIAN(調査集計表!J155,調査集計表!L155,調査集計表!N155,調査集計表!P155,調査集計表!R155))</f>
        <v/>
      </c>
      <c r="I155" s="29" t="str">
        <f aca="false">IFERROR(AVERAGE(調査集計表!T155,調査集計表!V155),"")</f>
        <v/>
      </c>
      <c r="J155" s="29" t="n">
        <f aca="false">COUNT(調査集計表!T155,調査集計表!V155)</f>
        <v>0</v>
      </c>
      <c r="K155" s="31" t="str">
        <f aca="false">IF($H155="","",ROUND($H155/3*100,1))</f>
        <v/>
      </c>
      <c r="L155" s="31" t="str">
        <f aca="false">IF($I155="","",ROUND($I155/3*100,1))</f>
        <v/>
      </c>
      <c r="M155" s="32" t="str">
        <f aca="false">IFERROR(INDEX(マスタ設定!$E$5:$E$14,MATCH($E155,マスタ設定!$A$5:$A$14,0))/100,"")</f>
        <v/>
      </c>
      <c r="N155" s="32" t="str">
        <f aca="false">IFERROR(INDEX(マスタ設定!$F$5:$F$14,MATCH($E155,マスタ設定!$A$5:$A$14,0))/100,"")</f>
        <v/>
      </c>
      <c r="O155" s="31" t="str">
        <f aca="false">IF(OR($K155="",$L155="",$M155="",$N155=""),"",ROUND($K155*$M155+$L155*$N155,1))</f>
        <v/>
      </c>
      <c r="P155" s="29" t="str">
        <f aca="false">IF($A155="","",IF($O155="","データ不足",IF(AND($G155&gt;=3,$J155&gt;=2),"有効","要確認")))</f>
        <v/>
      </c>
    </row>
    <row r="156" customFormat="false" ht="15" hidden="false" customHeight="false" outlineLevel="0" collapsed="false">
      <c r="A156" s="29" t="str">
        <f aca="false">IF(調査集計表!A156="","",調査集計表!A156)</f>
        <v/>
      </c>
      <c r="B156" s="30" t="str">
        <f aca="false">IF(調査集計表!C156="","",調査集計表!C156)</f>
        <v/>
      </c>
      <c r="C156" s="29" t="str">
        <f aca="false">IF(調査集計表!D156="","",調査集計表!D156)</f>
        <v/>
      </c>
      <c r="D156" s="29" t="str">
        <f aca="false">IF(調査集計表!E156="","",調査集計表!E156)</f>
        <v/>
      </c>
      <c r="E156" s="29" t="str">
        <f aca="false">IF(調査集計表!F156="","",調査集計表!F156)</f>
        <v/>
      </c>
      <c r="F156" s="29" t="str">
        <f aca="false">IF(調査集計表!H156="","",調査集計表!H156)</f>
        <v/>
      </c>
      <c r="G156" s="29" t="n">
        <f aca="false">COUNT(調査集計表!J156,調査集計表!L156,調査集計表!N156,調査集計表!P156,調査集計表!R156)</f>
        <v>0</v>
      </c>
      <c r="H156" s="29" t="str">
        <f aca="false">IF($G156=0,"",MEDIAN(調査集計表!J156,調査集計表!L156,調査集計表!N156,調査集計表!P156,調査集計表!R156))</f>
        <v/>
      </c>
      <c r="I156" s="29" t="str">
        <f aca="false">IFERROR(AVERAGE(調査集計表!T156,調査集計表!V156),"")</f>
        <v/>
      </c>
      <c r="J156" s="29" t="n">
        <f aca="false">COUNT(調査集計表!T156,調査集計表!V156)</f>
        <v>0</v>
      </c>
      <c r="K156" s="31" t="str">
        <f aca="false">IF($H156="","",ROUND($H156/3*100,1))</f>
        <v/>
      </c>
      <c r="L156" s="31" t="str">
        <f aca="false">IF($I156="","",ROUND($I156/3*100,1))</f>
        <v/>
      </c>
      <c r="M156" s="32" t="str">
        <f aca="false">IFERROR(INDEX(マスタ設定!$E$5:$E$14,MATCH($E156,マスタ設定!$A$5:$A$14,0))/100,"")</f>
        <v/>
      </c>
      <c r="N156" s="32" t="str">
        <f aca="false">IFERROR(INDEX(マスタ設定!$F$5:$F$14,MATCH($E156,マスタ設定!$A$5:$A$14,0))/100,"")</f>
        <v/>
      </c>
      <c r="O156" s="31" t="str">
        <f aca="false">IF(OR($K156="",$L156="",$M156="",$N156=""),"",ROUND($K156*$M156+$L156*$N156,1))</f>
        <v/>
      </c>
      <c r="P156" s="29" t="str">
        <f aca="false">IF($A156="","",IF($O156="","データ不足",IF(AND($G156&gt;=3,$J156&gt;=2),"有効","要確認")))</f>
        <v/>
      </c>
    </row>
    <row r="157" customFormat="false" ht="15" hidden="false" customHeight="false" outlineLevel="0" collapsed="false">
      <c r="A157" s="29" t="str">
        <f aca="false">IF(調査集計表!A157="","",調査集計表!A157)</f>
        <v/>
      </c>
      <c r="B157" s="30" t="str">
        <f aca="false">IF(調査集計表!C157="","",調査集計表!C157)</f>
        <v/>
      </c>
      <c r="C157" s="29" t="str">
        <f aca="false">IF(調査集計表!D157="","",調査集計表!D157)</f>
        <v/>
      </c>
      <c r="D157" s="29" t="str">
        <f aca="false">IF(調査集計表!E157="","",調査集計表!E157)</f>
        <v/>
      </c>
      <c r="E157" s="29" t="str">
        <f aca="false">IF(調査集計表!F157="","",調査集計表!F157)</f>
        <v/>
      </c>
      <c r="F157" s="29" t="str">
        <f aca="false">IF(調査集計表!H157="","",調査集計表!H157)</f>
        <v/>
      </c>
      <c r="G157" s="29" t="n">
        <f aca="false">COUNT(調査集計表!J157,調査集計表!L157,調査集計表!N157,調査集計表!P157,調査集計表!R157)</f>
        <v>0</v>
      </c>
      <c r="H157" s="29" t="str">
        <f aca="false">IF($G157=0,"",MEDIAN(調査集計表!J157,調査集計表!L157,調査集計表!N157,調査集計表!P157,調査集計表!R157))</f>
        <v/>
      </c>
      <c r="I157" s="29" t="str">
        <f aca="false">IFERROR(AVERAGE(調査集計表!T157,調査集計表!V157),"")</f>
        <v/>
      </c>
      <c r="J157" s="29" t="n">
        <f aca="false">COUNT(調査集計表!T157,調査集計表!V157)</f>
        <v>0</v>
      </c>
      <c r="K157" s="31" t="str">
        <f aca="false">IF($H157="","",ROUND($H157/3*100,1))</f>
        <v/>
      </c>
      <c r="L157" s="31" t="str">
        <f aca="false">IF($I157="","",ROUND($I157/3*100,1))</f>
        <v/>
      </c>
      <c r="M157" s="32" t="str">
        <f aca="false">IFERROR(INDEX(マスタ設定!$E$5:$E$14,MATCH($E157,マスタ設定!$A$5:$A$14,0))/100,"")</f>
        <v/>
      </c>
      <c r="N157" s="32" t="str">
        <f aca="false">IFERROR(INDEX(マスタ設定!$F$5:$F$14,MATCH($E157,マスタ設定!$A$5:$A$14,0))/100,"")</f>
        <v/>
      </c>
      <c r="O157" s="31" t="str">
        <f aca="false">IF(OR($K157="",$L157="",$M157="",$N157=""),"",ROUND($K157*$M157+$L157*$N157,1))</f>
        <v/>
      </c>
      <c r="P157" s="29" t="str">
        <f aca="false">IF($A157="","",IF($O157="","データ不足",IF(AND($G157&gt;=3,$J157&gt;=2),"有効","要確認")))</f>
        <v/>
      </c>
    </row>
    <row r="158" customFormat="false" ht="15" hidden="false" customHeight="false" outlineLevel="0" collapsed="false">
      <c r="A158" s="29" t="str">
        <f aca="false">IF(調査集計表!A158="","",調査集計表!A158)</f>
        <v/>
      </c>
      <c r="B158" s="30" t="str">
        <f aca="false">IF(調査集計表!C158="","",調査集計表!C158)</f>
        <v/>
      </c>
      <c r="C158" s="29" t="str">
        <f aca="false">IF(調査集計表!D158="","",調査集計表!D158)</f>
        <v/>
      </c>
      <c r="D158" s="29" t="str">
        <f aca="false">IF(調査集計表!E158="","",調査集計表!E158)</f>
        <v/>
      </c>
      <c r="E158" s="29" t="str">
        <f aca="false">IF(調査集計表!F158="","",調査集計表!F158)</f>
        <v/>
      </c>
      <c r="F158" s="29" t="str">
        <f aca="false">IF(調査集計表!H158="","",調査集計表!H158)</f>
        <v/>
      </c>
      <c r="G158" s="29" t="n">
        <f aca="false">COUNT(調査集計表!J158,調査集計表!L158,調査集計表!N158,調査集計表!P158,調査集計表!R158)</f>
        <v>0</v>
      </c>
      <c r="H158" s="29" t="str">
        <f aca="false">IF($G158=0,"",MEDIAN(調査集計表!J158,調査集計表!L158,調査集計表!N158,調査集計表!P158,調査集計表!R158))</f>
        <v/>
      </c>
      <c r="I158" s="29" t="str">
        <f aca="false">IFERROR(AVERAGE(調査集計表!T158,調査集計表!V158),"")</f>
        <v/>
      </c>
      <c r="J158" s="29" t="n">
        <f aca="false">COUNT(調査集計表!T158,調査集計表!V158)</f>
        <v>0</v>
      </c>
      <c r="K158" s="31" t="str">
        <f aca="false">IF($H158="","",ROUND($H158/3*100,1))</f>
        <v/>
      </c>
      <c r="L158" s="31" t="str">
        <f aca="false">IF($I158="","",ROUND($I158/3*100,1))</f>
        <v/>
      </c>
      <c r="M158" s="32" t="str">
        <f aca="false">IFERROR(INDEX(マスタ設定!$E$5:$E$14,MATCH($E158,マスタ設定!$A$5:$A$14,0))/100,"")</f>
        <v/>
      </c>
      <c r="N158" s="32" t="str">
        <f aca="false">IFERROR(INDEX(マスタ設定!$F$5:$F$14,MATCH($E158,マスタ設定!$A$5:$A$14,0))/100,"")</f>
        <v/>
      </c>
      <c r="O158" s="31" t="str">
        <f aca="false">IF(OR($K158="",$L158="",$M158="",$N158=""),"",ROUND($K158*$M158+$L158*$N158,1))</f>
        <v/>
      </c>
      <c r="P158" s="29" t="str">
        <f aca="false">IF($A158="","",IF($O158="","データ不足",IF(AND($G158&gt;=3,$J158&gt;=2),"有効","要確認")))</f>
        <v/>
      </c>
    </row>
    <row r="159" customFormat="false" ht="15" hidden="false" customHeight="false" outlineLevel="0" collapsed="false">
      <c r="A159" s="29" t="str">
        <f aca="false">IF(調査集計表!A159="","",調査集計表!A159)</f>
        <v/>
      </c>
      <c r="B159" s="30" t="str">
        <f aca="false">IF(調査集計表!C159="","",調査集計表!C159)</f>
        <v/>
      </c>
      <c r="C159" s="29" t="str">
        <f aca="false">IF(調査集計表!D159="","",調査集計表!D159)</f>
        <v/>
      </c>
      <c r="D159" s="29" t="str">
        <f aca="false">IF(調査集計表!E159="","",調査集計表!E159)</f>
        <v/>
      </c>
      <c r="E159" s="29" t="str">
        <f aca="false">IF(調査集計表!F159="","",調査集計表!F159)</f>
        <v/>
      </c>
      <c r="F159" s="29" t="str">
        <f aca="false">IF(調査集計表!H159="","",調査集計表!H159)</f>
        <v/>
      </c>
      <c r="G159" s="29" t="n">
        <f aca="false">COUNT(調査集計表!J159,調査集計表!L159,調査集計表!N159,調査集計表!P159,調査集計表!R159)</f>
        <v>0</v>
      </c>
      <c r="H159" s="29" t="str">
        <f aca="false">IF($G159=0,"",MEDIAN(調査集計表!J159,調査集計表!L159,調査集計表!N159,調査集計表!P159,調査集計表!R159))</f>
        <v/>
      </c>
      <c r="I159" s="29" t="str">
        <f aca="false">IFERROR(AVERAGE(調査集計表!T159,調査集計表!V159),"")</f>
        <v/>
      </c>
      <c r="J159" s="29" t="n">
        <f aca="false">COUNT(調査集計表!T159,調査集計表!V159)</f>
        <v>0</v>
      </c>
      <c r="K159" s="31" t="str">
        <f aca="false">IF($H159="","",ROUND($H159/3*100,1))</f>
        <v/>
      </c>
      <c r="L159" s="31" t="str">
        <f aca="false">IF($I159="","",ROUND($I159/3*100,1))</f>
        <v/>
      </c>
      <c r="M159" s="32" t="str">
        <f aca="false">IFERROR(INDEX(マスタ設定!$E$5:$E$14,MATCH($E159,マスタ設定!$A$5:$A$14,0))/100,"")</f>
        <v/>
      </c>
      <c r="N159" s="32" t="str">
        <f aca="false">IFERROR(INDEX(マスタ設定!$F$5:$F$14,MATCH($E159,マスタ設定!$A$5:$A$14,0))/100,"")</f>
        <v/>
      </c>
      <c r="O159" s="31" t="str">
        <f aca="false">IF(OR($K159="",$L159="",$M159="",$N159=""),"",ROUND($K159*$M159+$L159*$N159,1))</f>
        <v/>
      </c>
      <c r="P159" s="29" t="str">
        <f aca="false">IF($A159="","",IF($O159="","データ不足",IF(AND($G159&gt;=3,$J159&gt;=2),"有効","要確認")))</f>
        <v/>
      </c>
    </row>
    <row r="160" customFormat="false" ht="15" hidden="false" customHeight="false" outlineLevel="0" collapsed="false">
      <c r="A160" s="29" t="str">
        <f aca="false">IF(調査集計表!A160="","",調査集計表!A160)</f>
        <v/>
      </c>
      <c r="B160" s="30" t="str">
        <f aca="false">IF(調査集計表!C160="","",調査集計表!C160)</f>
        <v/>
      </c>
      <c r="C160" s="29" t="str">
        <f aca="false">IF(調査集計表!D160="","",調査集計表!D160)</f>
        <v/>
      </c>
      <c r="D160" s="29" t="str">
        <f aca="false">IF(調査集計表!E160="","",調査集計表!E160)</f>
        <v/>
      </c>
      <c r="E160" s="29" t="str">
        <f aca="false">IF(調査集計表!F160="","",調査集計表!F160)</f>
        <v/>
      </c>
      <c r="F160" s="29" t="str">
        <f aca="false">IF(調査集計表!H160="","",調査集計表!H160)</f>
        <v/>
      </c>
      <c r="G160" s="29" t="n">
        <f aca="false">COUNT(調査集計表!J160,調査集計表!L160,調査集計表!N160,調査集計表!P160,調査集計表!R160)</f>
        <v>0</v>
      </c>
      <c r="H160" s="29" t="str">
        <f aca="false">IF($G160=0,"",MEDIAN(調査集計表!J160,調査集計表!L160,調査集計表!N160,調査集計表!P160,調査集計表!R160))</f>
        <v/>
      </c>
      <c r="I160" s="29" t="str">
        <f aca="false">IFERROR(AVERAGE(調査集計表!T160,調査集計表!V160),"")</f>
        <v/>
      </c>
      <c r="J160" s="29" t="n">
        <f aca="false">COUNT(調査集計表!T160,調査集計表!V160)</f>
        <v>0</v>
      </c>
      <c r="K160" s="31" t="str">
        <f aca="false">IF($H160="","",ROUND($H160/3*100,1))</f>
        <v/>
      </c>
      <c r="L160" s="31" t="str">
        <f aca="false">IF($I160="","",ROUND($I160/3*100,1))</f>
        <v/>
      </c>
      <c r="M160" s="32" t="str">
        <f aca="false">IFERROR(INDEX(マスタ設定!$E$5:$E$14,MATCH($E160,マスタ設定!$A$5:$A$14,0))/100,"")</f>
        <v/>
      </c>
      <c r="N160" s="32" t="str">
        <f aca="false">IFERROR(INDEX(マスタ設定!$F$5:$F$14,MATCH($E160,マスタ設定!$A$5:$A$14,0))/100,"")</f>
        <v/>
      </c>
      <c r="O160" s="31" t="str">
        <f aca="false">IF(OR($K160="",$L160="",$M160="",$N160=""),"",ROUND($K160*$M160+$L160*$N160,1))</f>
        <v/>
      </c>
      <c r="P160" s="29" t="str">
        <f aca="false">IF($A160="","",IF($O160="","データ不足",IF(AND($G160&gt;=3,$J160&gt;=2),"有効","要確認")))</f>
        <v/>
      </c>
    </row>
    <row r="161" customFormat="false" ht="15" hidden="false" customHeight="false" outlineLevel="0" collapsed="false">
      <c r="A161" s="29" t="str">
        <f aca="false">IF(調査集計表!A161="","",調査集計表!A161)</f>
        <v/>
      </c>
      <c r="B161" s="30" t="str">
        <f aca="false">IF(調査集計表!C161="","",調査集計表!C161)</f>
        <v/>
      </c>
      <c r="C161" s="29" t="str">
        <f aca="false">IF(調査集計表!D161="","",調査集計表!D161)</f>
        <v/>
      </c>
      <c r="D161" s="29" t="str">
        <f aca="false">IF(調査集計表!E161="","",調査集計表!E161)</f>
        <v/>
      </c>
      <c r="E161" s="29" t="str">
        <f aca="false">IF(調査集計表!F161="","",調査集計表!F161)</f>
        <v/>
      </c>
      <c r="F161" s="29" t="str">
        <f aca="false">IF(調査集計表!H161="","",調査集計表!H161)</f>
        <v/>
      </c>
      <c r="G161" s="29" t="n">
        <f aca="false">COUNT(調査集計表!J161,調査集計表!L161,調査集計表!N161,調査集計表!P161,調査集計表!R161)</f>
        <v>0</v>
      </c>
      <c r="H161" s="29" t="str">
        <f aca="false">IF($G161=0,"",MEDIAN(調査集計表!J161,調査集計表!L161,調査集計表!N161,調査集計表!P161,調査集計表!R161))</f>
        <v/>
      </c>
      <c r="I161" s="29" t="str">
        <f aca="false">IFERROR(AVERAGE(調査集計表!T161,調査集計表!V161),"")</f>
        <v/>
      </c>
      <c r="J161" s="29" t="n">
        <f aca="false">COUNT(調査集計表!T161,調査集計表!V161)</f>
        <v>0</v>
      </c>
      <c r="K161" s="31" t="str">
        <f aca="false">IF($H161="","",ROUND($H161/3*100,1))</f>
        <v/>
      </c>
      <c r="L161" s="31" t="str">
        <f aca="false">IF($I161="","",ROUND($I161/3*100,1))</f>
        <v/>
      </c>
      <c r="M161" s="32" t="str">
        <f aca="false">IFERROR(INDEX(マスタ設定!$E$5:$E$14,MATCH($E161,マスタ設定!$A$5:$A$14,0))/100,"")</f>
        <v/>
      </c>
      <c r="N161" s="32" t="str">
        <f aca="false">IFERROR(INDEX(マスタ設定!$F$5:$F$14,MATCH($E161,マスタ設定!$A$5:$A$14,0))/100,"")</f>
        <v/>
      </c>
      <c r="O161" s="31" t="str">
        <f aca="false">IF(OR($K161="",$L161="",$M161="",$N161=""),"",ROUND($K161*$M161+$L161*$N161,1))</f>
        <v/>
      </c>
      <c r="P161" s="29" t="str">
        <f aca="false">IF($A161="","",IF($O161="","データ不足",IF(AND($G161&gt;=3,$J161&gt;=2),"有効","要確認")))</f>
        <v/>
      </c>
    </row>
    <row r="162" customFormat="false" ht="15" hidden="false" customHeight="false" outlineLevel="0" collapsed="false">
      <c r="A162" s="29" t="str">
        <f aca="false">IF(調査集計表!A162="","",調査集計表!A162)</f>
        <v/>
      </c>
      <c r="B162" s="30" t="str">
        <f aca="false">IF(調査集計表!C162="","",調査集計表!C162)</f>
        <v/>
      </c>
      <c r="C162" s="29" t="str">
        <f aca="false">IF(調査集計表!D162="","",調査集計表!D162)</f>
        <v/>
      </c>
      <c r="D162" s="29" t="str">
        <f aca="false">IF(調査集計表!E162="","",調査集計表!E162)</f>
        <v/>
      </c>
      <c r="E162" s="29" t="str">
        <f aca="false">IF(調査集計表!F162="","",調査集計表!F162)</f>
        <v/>
      </c>
      <c r="F162" s="29" t="str">
        <f aca="false">IF(調査集計表!H162="","",調査集計表!H162)</f>
        <v/>
      </c>
      <c r="G162" s="29" t="n">
        <f aca="false">COUNT(調査集計表!J162,調査集計表!L162,調査集計表!N162,調査集計表!P162,調査集計表!R162)</f>
        <v>0</v>
      </c>
      <c r="H162" s="29" t="str">
        <f aca="false">IF($G162=0,"",MEDIAN(調査集計表!J162,調査集計表!L162,調査集計表!N162,調査集計表!P162,調査集計表!R162))</f>
        <v/>
      </c>
      <c r="I162" s="29" t="str">
        <f aca="false">IFERROR(AVERAGE(調査集計表!T162,調査集計表!V162),"")</f>
        <v/>
      </c>
      <c r="J162" s="29" t="n">
        <f aca="false">COUNT(調査集計表!T162,調査集計表!V162)</f>
        <v>0</v>
      </c>
      <c r="K162" s="31" t="str">
        <f aca="false">IF($H162="","",ROUND($H162/3*100,1))</f>
        <v/>
      </c>
      <c r="L162" s="31" t="str">
        <f aca="false">IF($I162="","",ROUND($I162/3*100,1))</f>
        <v/>
      </c>
      <c r="M162" s="32" t="str">
        <f aca="false">IFERROR(INDEX(マスタ設定!$E$5:$E$14,MATCH($E162,マスタ設定!$A$5:$A$14,0))/100,"")</f>
        <v/>
      </c>
      <c r="N162" s="32" t="str">
        <f aca="false">IFERROR(INDEX(マスタ設定!$F$5:$F$14,MATCH($E162,マスタ設定!$A$5:$A$14,0))/100,"")</f>
        <v/>
      </c>
      <c r="O162" s="31" t="str">
        <f aca="false">IF(OR($K162="",$L162="",$M162="",$N162=""),"",ROUND($K162*$M162+$L162*$N162,1))</f>
        <v/>
      </c>
      <c r="P162" s="29" t="str">
        <f aca="false">IF($A162="","",IF($O162="","データ不足",IF(AND($G162&gt;=3,$J162&gt;=2),"有効","要確認")))</f>
        <v/>
      </c>
    </row>
    <row r="163" customFormat="false" ht="15" hidden="false" customHeight="false" outlineLevel="0" collapsed="false">
      <c r="A163" s="29" t="str">
        <f aca="false">IF(調査集計表!A163="","",調査集計表!A163)</f>
        <v/>
      </c>
      <c r="B163" s="30" t="str">
        <f aca="false">IF(調査集計表!C163="","",調査集計表!C163)</f>
        <v/>
      </c>
      <c r="C163" s="29" t="str">
        <f aca="false">IF(調査集計表!D163="","",調査集計表!D163)</f>
        <v/>
      </c>
      <c r="D163" s="29" t="str">
        <f aca="false">IF(調査集計表!E163="","",調査集計表!E163)</f>
        <v/>
      </c>
      <c r="E163" s="29" t="str">
        <f aca="false">IF(調査集計表!F163="","",調査集計表!F163)</f>
        <v/>
      </c>
      <c r="F163" s="29" t="str">
        <f aca="false">IF(調査集計表!H163="","",調査集計表!H163)</f>
        <v/>
      </c>
      <c r="G163" s="29" t="n">
        <f aca="false">COUNT(調査集計表!J163,調査集計表!L163,調査集計表!N163,調査集計表!P163,調査集計表!R163)</f>
        <v>0</v>
      </c>
      <c r="H163" s="29" t="str">
        <f aca="false">IF($G163=0,"",MEDIAN(調査集計表!J163,調査集計表!L163,調査集計表!N163,調査集計表!P163,調査集計表!R163))</f>
        <v/>
      </c>
      <c r="I163" s="29" t="str">
        <f aca="false">IFERROR(AVERAGE(調査集計表!T163,調査集計表!V163),"")</f>
        <v/>
      </c>
      <c r="J163" s="29" t="n">
        <f aca="false">COUNT(調査集計表!T163,調査集計表!V163)</f>
        <v>0</v>
      </c>
      <c r="K163" s="31" t="str">
        <f aca="false">IF($H163="","",ROUND($H163/3*100,1))</f>
        <v/>
      </c>
      <c r="L163" s="31" t="str">
        <f aca="false">IF($I163="","",ROUND($I163/3*100,1))</f>
        <v/>
      </c>
      <c r="M163" s="32" t="str">
        <f aca="false">IFERROR(INDEX(マスタ設定!$E$5:$E$14,MATCH($E163,マスタ設定!$A$5:$A$14,0))/100,"")</f>
        <v/>
      </c>
      <c r="N163" s="32" t="str">
        <f aca="false">IFERROR(INDEX(マスタ設定!$F$5:$F$14,MATCH($E163,マスタ設定!$A$5:$A$14,0))/100,"")</f>
        <v/>
      </c>
      <c r="O163" s="31" t="str">
        <f aca="false">IF(OR($K163="",$L163="",$M163="",$N163=""),"",ROUND($K163*$M163+$L163*$N163,1))</f>
        <v/>
      </c>
      <c r="P163" s="29" t="str">
        <f aca="false">IF($A163="","",IF($O163="","データ不足",IF(AND($G163&gt;=3,$J163&gt;=2),"有効","要確認")))</f>
        <v/>
      </c>
    </row>
    <row r="164" customFormat="false" ht="15" hidden="false" customHeight="false" outlineLevel="0" collapsed="false">
      <c r="A164" s="29" t="str">
        <f aca="false">IF(調査集計表!A164="","",調査集計表!A164)</f>
        <v/>
      </c>
      <c r="B164" s="30" t="str">
        <f aca="false">IF(調査集計表!C164="","",調査集計表!C164)</f>
        <v/>
      </c>
      <c r="C164" s="29" t="str">
        <f aca="false">IF(調査集計表!D164="","",調査集計表!D164)</f>
        <v/>
      </c>
      <c r="D164" s="29" t="str">
        <f aca="false">IF(調査集計表!E164="","",調査集計表!E164)</f>
        <v/>
      </c>
      <c r="E164" s="29" t="str">
        <f aca="false">IF(調査集計表!F164="","",調査集計表!F164)</f>
        <v/>
      </c>
      <c r="F164" s="29" t="str">
        <f aca="false">IF(調査集計表!H164="","",調査集計表!H164)</f>
        <v/>
      </c>
      <c r="G164" s="29" t="n">
        <f aca="false">COUNT(調査集計表!J164,調査集計表!L164,調査集計表!N164,調査集計表!P164,調査集計表!R164)</f>
        <v>0</v>
      </c>
      <c r="H164" s="29" t="str">
        <f aca="false">IF($G164=0,"",MEDIAN(調査集計表!J164,調査集計表!L164,調査集計表!N164,調査集計表!P164,調査集計表!R164))</f>
        <v/>
      </c>
      <c r="I164" s="29" t="str">
        <f aca="false">IFERROR(AVERAGE(調査集計表!T164,調査集計表!V164),"")</f>
        <v/>
      </c>
      <c r="J164" s="29" t="n">
        <f aca="false">COUNT(調査集計表!T164,調査集計表!V164)</f>
        <v>0</v>
      </c>
      <c r="K164" s="31" t="str">
        <f aca="false">IF($H164="","",ROUND($H164/3*100,1))</f>
        <v/>
      </c>
      <c r="L164" s="31" t="str">
        <f aca="false">IF($I164="","",ROUND($I164/3*100,1))</f>
        <v/>
      </c>
      <c r="M164" s="32" t="str">
        <f aca="false">IFERROR(INDEX(マスタ設定!$E$5:$E$14,MATCH($E164,マスタ設定!$A$5:$A$14,0))/100,"")</f>
        <v/>
      </c>
      <c r="N164" s="32" t="str">
        <f aca="false">IFERROR(INDEX(マスタ設定!$F$5:$F$14,MATCH($E164,マスタ設定!$A$5:$A$14,0))/100,"")</f>
        <v/>
      </c>
      <c r="O164" s="31" t="str">
        <f aca="false">IF(OR($K164="",$L164="",$M164="",$N164=""),"",ROUND($K164*$M164+$L164*$N164,1))</f>
        <v/>
      </c>
      <c r="P164" s="29" t="str">
        <f aca="false">IF($A164="","",IF($O164="","データ不足",IF(AND($G164&gt;=3,$J164&gt;=2),"有効","要確認")))</f>
        <v/>
      </c>
    </row>
    <row r="165" customFormat="false" ht="15" hidden="false" customHeight="false" outlineLevel="0" collapsed="false">
      <c r="A165" s="29" t="str">
        <f aca="false">IF(調査集計表!A165="","",調査集計表!A165)</f>
        <v/>
      </c>
      <c r="B165" s="30" t="str">
        <f aca="false">IF(調査集計表!C165="","",調査集計表!C165)</f>
        <v/>
      </c>
      <c r="C165" s="29" t="str">
        <f aca="false">IF(調査集計表!D165="","",調査集計表!D165)</f>
        <v/>
      </c>
      <c r="D165" s="29" t="str">
        <f aca="false">IF(調査集計表!E165="","",調査集計表!E165)</f>
        <v/>
      </c>
      <c r="E165" s="29" t="str">
        <f aca="false">IF(調査集計表!F165="","",調査集計表!F165)</f>
        <v/>
      </c>
      <c r="F165" s="29" t="str">
        <f aca="false">IF(調査集計表!H165="","",調査集計表!H165)</f>
        <v/>
      </c>
      <c r="G165" s="29" t="n">
        <f aca="false">COUNT(調査集計表!J165,調査集計表!L165,調査集計表!N165,調査集計表!P165,調査集計表!R165)</f>
        <v>0</v>
      </c>
      <c r="H165" s="29" t="str">
        <f aca="false">IF($G165=0,"",MEDIAN(調査集計表!J165,調査集計表!L165,調査集計表!N165,調査集計表!P165,調査集計表!R165))</f>
        <v/>
      </c>
      <c r="I165" s="29" t="str">
        <f aca="false">IFERROR(AVERAGE(調査集計表!T165,調査集計表!V165),"")</f>
        <v/>
      </c>
      <c r="J165" s="29" t="n">
        <f aca="false">COUNT(調査集計表!T165,調査集計表!V165)</f>
        <v>0</v>
      </c>
      <c r="K165" s="31" t="str">
        <f aca="false">IF($H165="","",ROUND($H165/3*100,1))</f>
        <v/>
      </c>
      <c r="L165" s="31" t="str">
        <f aca="false">IF($I165="","",ROUND($I165/3*100,1))</f>
        <v/>
      </c>
      <c r="M165" s="32" t="str">
        <f aca="false">IFERROR(INDEX(マスタ設定!$E$5:$E$14,MATCH($E165,マスタ設定!$A$5:$A$14,0))/100,"")</f>
        <v/>
      </c>
      <c r="N165" s="32" t="str">
        <f aca="false">IFERROR(INDEX(マスタ設定!$F$5:$F$14,MATCH($E165,マスタ設定!$A$5:$A$14,0))/100,"")</f>
        <v/>
      </c>
      <c r="O165" s="31" t="str">
        <f aca="false">IF(OR($K165="",$L165="",$M165="",$N165=""),"",ROUND($K165*$M165+$L165*$N165,1))</f>
        <v/>
      </c>
      <c r="P165" s="29" t="str">
        <f aca="false">IF($A165="","",IF($O165="","データ不足",IF(AND($G165&gt;=3,$J165&gt;=2),"有効","要確認")))</f>
        <v/>
      </c>
    </row>
    <row r="166" customFormat="false" ht="15" hidden="false" customHeight="false" outlineLevel="0" collapsed="false">
      <c r="A166" s="29" t="str">
        <f aca="false">IF(調査集計表!A166="","",調査集計表!A166)</f>
        <v/>
      </c>
      <c r="B166" s="30" t="str">
        <f aca="false">IF(調査集計表!C166="","",調査集計表!C166)</f>
        <v/>
      </c>
      <c r="C166" s="29" t="str">
        <f aca="false">IF(調査集計表!D166="","",調査集計表!D166)</f>
        <v/>
      </c>
      <c r="D166" s="29" t="str">
        <f aca="false">IF(調査集計表!E166="","",調査集計表!E166)</f>
        <v/>
      </c>
      <c r="E166" s="29" t="str">
        <f aca="false">IF(調査集計表!F166="","",調査集計表!F166)</f>
        <v/>
      </c>
      <c r="F166" s="29" t="str">
        <f aca="false">IF(調査集計表!H166="","",調査集計表!H166)</f>
        <v/>
      </c>
      <c r="G166" s="29" t="n">
        <f aca="false">COUNT(調査集計表!J166,調査集計表!L166,調査集計表!N166,調査集計表!P166,調査集計表!R166)</f>
        <v>0</v>
      </c>
      <c r="H166" s="29" t="str">
        <f aca="false">IF($G166=0,"",MEDIAN(調査集計表!J166,調査集計表!L166,調査集計表!N166,調査集計表!P166,調査集計表!R166))</f>
        <v/>
      </c>
      <c r="I166" s="29" t="str">
        <f aca="false">IFERROR(AVERAGE(調査集計表!T166,調査集計表!V166),"")</f>
        <v/>
      </c>
      <c r="J166" s="29" t="n">
        <f aca="false">COUNT(調査集計表!T166,調査集計表!V166)</f>
        <v>0</v>
      </c>
      <c r="K166" s="31" t="str">
        <f aca="false">IF($H166="","",ROUND($H166/3*100,1))</f>
        <v/>
      </c>
      <c r="L166" s="31" t="str">
        <f aca="false">IF($I166="","",ROUND($I166/3*100,1))</f>
        <v/>
      </c>
      <c r="M166" s="32" t="str">
        <f aca="false">IFERROR(INDEX(マスタ設定!$E$5:$E$14,MATCH($E166,マスタ設定!$A$5:$A$14,0))/100,"")</f>
        <v/>
      </c>
      <c r="N166" s="32" t="str">
        <f aca="false">IFERROR(INDEX(マスタ設定!$F$5:$F$14,MATCH($E166,マスタ設定!$A$5:$A$14,0))/100,"")</f>
        <v/>
      </c>
      <c r="O166" s="31" t="str">
        <f aca="false">IF(OR($K166="",$L166="",$M166="",$N166=""),"",ROUND($K166*$M166+$L166*$N166,1))</f>
        <v/>
      </c>
      <c r="P166" s="29" t="str">
        <f aca="false">IF($A166="","",IF($O166="","データ不足",IF(AND($G166&gt;=3,$J166&gt;=2),"有効","要確認")))</f>
        <v/>
      </c>
    </row>
    <row r="167" customFormat="false" ht="15" hidden="false" customHeight="false" outlineLevel="0" collapsed="false">
      <c r="A167" s="29" t="str">
        <f aca="false">IF(調査集計表!A167="","",調査集計表!A167)</f>
        <v/>
      </c>
      <c r="B167" s="30" t="str">
        <f aca="false">IF(調査集計表!C167="","",調査集計表!C167)</f>
        <v/>
      </c>
      <c r="C167" s="29" t="str">
        <f aca="false">IF(調査集計表!D167="","",調査集計表!D167)</f>
        <v/>
      </c>
      <c r="D167" s="29" t="str">
        <f aca="false">IF(調査集計表!E167="","",調査集計表!E167)</f>
        <v/>
      </c>
      <c r="E167" s="29" t="str">
        <f aca="false">IF(調査集計表!F167="","",調査集計表!F167)</f>
        <v/>
      </c>
      <c r="F167" s="29" t="str">
        <f aca="false">IF(調査集計表!H167="","",調査集計表!H167)</f>
        <v/>
      </c>
      <c r="G167" s="29" t="n">
        <f aca="false">COUNT(調査集計表!J167,調査集計表!L167,調査集計表!N167,調査集計表!P167,調査集計表!R167)</f>
        <v>0</v>
      </c>
      <c r="H167" s="29" t="str">
        <f aca="false">IF($G167=0,"",MEDIAN(調査集計表!J167,調査集計表!L167,調査集計表!N167,調査集計表!P167,調査集計表!R167))</f>
        <v/>
      </c>
      <c r="I167" s="29" t="str">
        <f aca="false">IFERROR(AVERAGE(調査集計表!T167,調査集計表!V167),"")</f>
        <v/>
      </c>
      <c r="J167" s="29" t="n">
        <f aca="false">COUNT(調査集計表!T167,調査集計表!V167)</f>
        <v>0</v>
      </c>
      <c r="K167" s="31" t="str">
        <f aca="false">IF($H167="","",ROUND($H167/3*100,1))</f>
        <v/>
      </c>
      <c r="L167" s="31" t="str">
        <f aca="false">IF($I167="","",ROUND($I167/3*100,1))</f>
        <v/>
      </c>
      <c r="M167" s="32" t="str">
        <f aca="false">IFERROR(INDEX(マスタ設定!$E$5:$E$14,MATCH($E167,マスタ設定!$A$5:$A$14,0))/100,"")</f>
        <v/>
      </c>
      <c r="N167" s="32" t="str">
        <f aca="false">IFERROR(INDEX(マスタ設定!$F$5:$F$14,MATCH($E167,マスタ設定!$A$5:$A$14,0))/100,"")</f>
        <v/>
      </c>
      <c r="O167" s="31" t="str">
        <f aca="false">IF(OR($K167="",$L167="",$M167="",$N167=""),"",ROUND($K167*$M167+$L167*$N167,1))</f>
        <v/>
      </c>
      <c r="P167" s="29" t="str">
        <f aca="false">IF($A167="","",IF($O167="","データ不足",IF(AND($G167&gt;=3,$J167&gt;=2),"有効","要確認")))</f>
        <v/>
      </c>
    </row>
    <row r="168" customFormat="false" ht="15" hidden="false" customHeight="false" outlineLevel="0" collapsed="false">
      <c r="A168" s="29" t="str">
        <f aca="false">IF(調査集計表!A168="","",調査集計表!A168)</f>
        <v/>
      </c>
      <c r="B168" s="30" t="str">
        <f aca="false">IF(調査集計表!C168="","",調査集計表!C168)</f>
        <v/>
      </c>
      <c r="C168" s="29" t="str">
        <f aca="false">IF(調査集計表!D168="","",調査集計表!D168)</f>
        <v/>
      </c>
      <c r="D168" s="29" t="str">
        <f aca="false">IF(調査集計表!E168="","",調査集計表!E168)</f>
        <v/>
      </c>
      <c r="E168" s="29" t="str">
        <f aca="false">IF(調査集計表!F168="","",調査集計表!F168)</f>
        <v/>
      </c>
      <c r="F168" s="29" t="str">
        <f aca="false">IF(調査集計表!H168="","",調査集計表!H168)</f>
        <v/>
      </c>
      <c r="G168" s="29" t="n">
        <f aca="false">COUNT(調査集計表!J168,調査集計表!L168,調査集計表!N168,調査集計表!P168,調査集計表!R168)</f>
        <v>0</v>
      </c>
      <c r="H168" s="29" t="str">
        <f aca="false">IF($G168=0,"",MEDIAN(調査集計表!J168,調査集計表!L168,調査集計表!N168,調査集計表!P168,調査集計表!R168))</f>
        <v/>
      </c>
      <c r="I168" s="29" t="str">
        <f aca="false">IFERROR(AVERAGE(調査集計表!T168,調査集計表!V168),"")</f>
        <v/>
      </c>
      <c r="J168" s="29" t="n">
        <f aca="false">COUNT(調査集計表!T168,調査集計表!V168)</f>
        <v>0</v>
      </c>
      <c r="K168" s="31" t="str">
        <f aca="false">IF($H168="","",ROUND($H168/3*100,1))</f>
        <v/>
      </c>
      <c r="L168" s="31" t="str">
        <f aca="false">IF($I168="","",ROUND($I168/3*100,1))</f>
        <v/>
      </c>
      <c r="M168" s="32" t="str">
        <f aca="false">IFERROR(INDEX(マスタ設定!$E$5:$E$14,MATCH($E168,マスタ設定!$A$5:$A$14,0))/100,"")</f>
        <v/>
      </c>
      <c r="N168" s="32" t="str">
        <f aca="false">IFERROR(INDEX(マスタ設定!$F$5:$F$14,MATCH($E168,マスタ設定!$A$5:$A$14,0))/100,"")</f>
        <v/>
      </c>
      <c r="O168" s="31" t="str">
        <f aca="false">IF(OR($K168="",$L168="",$M168="",$N168=""),"",ROUND($K168*$M168+$L168*$N168,1))</f>
        <v/>
      </c>
      <c r="P168" s="29" t="str">
        <f aca="false">IF($A168="","",IF($O168="","データ不足",IF(AND($G168&gt;=3,$J168&gt;=2),"有効","要確認")))</f>
        <v/>
      </c>
    </row>
    <row r="169" customFormat="false" ht="15" hidden="false" customHeight="false" outlineLevel="0" collapsed="false">
      <c r="A169" s="29" t="str">
        <f aca="false">IF(調査集計表!A169="","",調査集計表!A169)</f>
        <v/>
      </c>
      <c r="B169" s="30" t="str">
        <f aca="false">IF(調査集計表!C169="","",調査集計表!C169)</f>
        <v/>
      </c>
      <c r="C169" s="29" t="str">
        <f aca="false">IF(調査集計表!D169="","",調査集計表!D169)</f>
        <v/>
      </c>
      <c r="D169" s="29" t="str">
        <f aca="false">IF(調査集計表!E169="","",調査集計表!E169)</f>
        <v/>
      </c>
      <c r="E169" s="29" t="str">
        <f aca="false">IF(調査集計表!F169="","",調査集計表!F169)</f>
        <v/>
      </c>
      <c r="F169" s="29" t="str">
        <f aca="false">IF(調査集計表!H169="","",調査集計表!H169)</f>
        <v/>
      </c>
      <c r="G169" s="29" t="n">
        <f aca="false">COUNT(調査集計表!J169,調査集計表!L169,調査集計表!N169,調査集計表!P169,調査集計表!R169)</f>
        <v>0</v>
      </c>
      <c r="H169" s="29" t="str">
        <f aca="false">IF($G169=0,"",MEDIAN(調査集計表!J169,調査集計表!L169,調査集計表!N169,調査集計表!P169,調査集計表!R169))</f>
        <v/>
      </c>
      <c r="I169" s="29" t="str">
        <f aca="false">IFERROR(AVERAGE(調査集計表!T169,調査集計表!V169),"")</f>
        <v/>
      </c>
      <c r="J169" s="29" t="n">
        <f aca="false">COUNT(調査集計表!T169,調査集計表!V169)</f>
        <v>0</v>
      </c>
      <c r="K169" s="31" t="str">
        <f aca="false">IF($H169="","",ROUND($H169/3*100,1))</f>
        <v/>
      </c>
      <c r="L169" s="31" t="str">
        <f aca="false">IF($I169="","",ROUND($I169/3*100,1))</f>
        <v/>
      </c>
      <c r="M169" s="32" t="str">
        <f aca="false">IFERROR(INDEX(マスタ設定!$E$5:$E$14,MATCH($E169,マスタ設定!$A$5:$A$14,0))/100,"")</f>
        <v/>
      </c>
      <c r="N169" s="32" t="str">
        <f aca="false">IFERROR(INDEX(マスタ設定!$F$5:$F$14,MATCH($E169,マスタ設定!$A$5:$A$14,0))/100,"")</f>
        <v/>
      </c>
      <c r="O169" s="31" t="str">
        <f aca="false">IF(OR($K169="",$L169="",$M169="",$N169=""),"",ROUND($K169*$M169+$L169*$N169,1))</f>
        <v/>
      </c>
      <c r="P169" s="29" t="str">
        <f aca="false">IF($A169="","",IF($O169="","データ不足",IF(AND($G169&gt;=3,$J169&gt;=2),"有効","要確認")))</f>
        <v/>
      </c>
    </row>
    <row r="170" customFormat="false" ht="15" hidden="false" customHeight="false" outlineLevel="0" collapsed="false">
      <c r="A170" s="29" t="str">
        <f aca="false">IF(調査集計表!A170="","",調査集計表!A170)</f>
        <v/>
      </c>
      <c r="B170" s="30" t="str">
        <f aca="false">IF(調査集計表!C170="","",調査集計表!C170)</f>
        <v/>
      </c>
      <c r="C170" s="29" t="str">
        <f aca="false">IF(調査集計表!D170="","",調査集計表!D170)</f>
        <v/>
      </c>
      <c r="D170" s="29" t="str">
        <f aca="false">IF(調査集計表!E170="","",調査集計表!E170)</f>
        <v/>
      </c>
      <c r="E170" s="29" t="str">
        <f aca="false">IF(調査集計表!F170="","",調査集計表!F170)</f>
        <v/>
      </c>
      <c r="F170" s="29" t="str">
        <f aca="false">IF(調査集計表!H170="","",調査集計表!H170)</f>
        <v/>
      </c>
      <c r="G170" s="29" t="n">
        <f aca="false">COUNT(調査集計表!J170,調査集計表!L170,調査集計表!N170,調査集計表!P170,調査集計表!R170)</f>
        <v>0</v>
      </c>
      <c r="H170" s="29" t="str">
        <f aca="false">IF($G170=0,"",MEDIAN(調査集計表!J170,調査集計表!L170,調査集計表!N170,調査集計表!P170,調査集計表!R170))</f>
        <v/>
      </c>
      <c r="I170" s="29" t="str">
        <f aca="false">IFERROR(AVERAGE(調査集計表!T170,調査集計表!V170),"")</f>
        <v/>
      </c>
      <c r="J170" s="29" t="n">
        <f aca="false">COUNT(調査集計表!T170,調査集計表!V170)</f>
        <v>0</v>
      </c>
      <c r="K170" s="31" t="str">
        <f aca="false">IF($H170="","",ROUND($H170/3*100,1))</f>
        <v/>
      </c>
      <c r="L170" s="31" t="str">
        <f aca="false">IF($I170="","",ROUND($I170/3*100,1))</f>
        <v/>
      </c>
      <c r="M170" s="32" t="str">
        <f aca="false">IFERROR(INDEX(マスタ設定!$E$5:$E$14,MATCH($E170,マスタ設定!$A$5:$A$14,0))/100,"")</f>
        <v/>
      </c>
      <c r="N170" s="32" t="str">
        <f aca="false">IFERROR(INDEX(マスタ設定!$F$5:$F$14,MATCH($E170,マスタ設定!$A$5:$A$14,0))/100,"")</f>
        <v/>
      </c>
      <c r="O170" s="31" t="str">
        <f aca="false">IF(OR($K170="",$L170="",$M170="",$N170=""),"",ROUND($K170*$M170+$L170*$N170,1))</f>
        <v/>
      </c>
      <c r="P170" s="29" t="str">
        <f aca="false">IF($A170="","",IF($O170="","データ不足",IF(AND($G170&gt;=3,$J170&gt;=2),"有効","要確認")))</f>
        <v/>
      </c>
    </row>
    <row r="171" customFormat="false" ht="15" hidden="false" customHeight="false" outlineLevel="0" collapsed="false">
      <c r="A171" s="29" t="str">
        <f aca="false">IF(調査集計表!A171="","",調査集計表!A171)</f>
        <v/>
      </c>
      <c r="B171" s="30" t="str">
        <f aca="false">IF(調査集計表!C171="","",調査集計表!C171)</f>
        <v/>
      </c>
      <c r="C171" s="29" t="str">
        <f aca="false">IF(調査集計表!D171="","",調査集計表!D171)</f>
        <v/>
      </c>
      <c r="D171" s="29" t="str">
        <f aca="false">IF(調査集計表!E171="","",調査集計表!E171)</f>
        <v/>
      </c>
      <c r="E171" s="29" t="str">
        <f aca="false">IF(調査集計表!F171="","",調査集計表!F171)</f>
        <v/>
      </c>
      <c r="F171" s="29" t="str">
        <f aca="false">IF(調査集計表!H171="","",調査集計表!H171)</f>
        <v/>
      </c>
      <c r="G171" s="29" t="n">
        <f aca="false">COUNT(調査集計表!J171,調査集計表!L171,調査集計表!N171,調査集計表!P171,調査集計表!R171)</f>
        <v>0</v>
      </c>
      <c r="H171" s="29" t="str">
        <f aca="false">IF($G171=0,"",MEDIAN(調査集計表!J171,調査集計表!L171,調査集計表!N171,調査集計表!P171,調査集計表!R171))</f>
        <v/>
      </c>
      <c r="I171" s="29" t="str">
        <f aca="false">IFERROR(AVERAGE(調査集計表!T171,調査集計表!V171),"")</f>
        <v/>
      </c>
      <c r="J171" s="29" t="n">
        <f aca="false">COUNT(調査集計表!T171,調査集計表!V171)</f>
        <v>0</v>
      </c>
      <c r="K171" s="31" t="str">
        <f aca="false">IF($H171="","",ROUND($H171/3*100,1))</f>
        <v/>
      </c>
      <c r="L171" s="31" t="str">
        <f aca="false">IF($I171="","",ROUND($I171/3*100,1))</f>
        <v/>
      </c>
      <c r="M171" s="32" t="str">
        <f aca="false">IFERROR(INDEX(マスタ設定!$E$5:$E$14,MATCH($E171,マスタ設定!$A$5:$A$14,0))/100,"")</f>
        <v/>
      </c>
      <c r="N171" s="32" t="str">
        <f aca="false">IFERROR(INDEX(マスタ設定!$F$5:$F$14,MATCH($E171,マスタ設定!$A$5:$A$14,0))/100,"")</f>
        <v/>
      </c>
      <c r="O171" s="31" t="str">
        <f aca="false">IF(OR($K171="",$L171="",$M171="",$N171=""),"",ROUND($K171*$M171+$L171*$N171,1))</f>
        <v/>
      </c>
      <c r="P171" s="29" t="str">
        <f aca="false">IF($A171="","",IF($O171="","データ不足",IF(AND($G171&gt;=3,$J171&gt;=2),"有効","要確認")))</f>
        <v/>
      </c>
    </row>
    <row r="172" customFormat="false" ht="15" hidden="false" customHeight="false" outlineLevel="0" collapsed="false">
      <c r="A172" s="29" t="str">
        <f aca="false">IF(調査集計表!A172="","",調査集計表!A172)</f>
        <v/>
      </c>
      <c r="B172" s="30" t="str">
        <f aca="false">IF(調査集計表!C172="","",調査集計表!C172)</f>
        <v/>
      </c>
      <c r="C172" s="29" t="str">
        <f aca="false">IF(調査集計表!D172="","",調査集計表!D172)</f>
        <v/>
      </c>
      <c r="D172" s="29" t="str">
        <f aca="false">IF(調査集計表!E172="","",調査集計表!E172)</f>
        <v/>
      </c>
      <c r="E172" s="29" t="str">
        <f aca="false">IF(調査集計表!F172="","",調査集計表!F172)</f>
        <v/>
      </c>
      <c r="F172" s="29" t="str">
        <f aca="false">IF(調査集計表!H172="","",調査集計表!H172)</f>
        <v/>
      </c>
      <c r="G172" s="29" t="n">
        <f aca="false">COUNT(調査集計表!J172,調査集計表!L172,調査集計表!N172,調査集計表!P172,調査集計表!R172)</f>
        <v>0</v>
      </c>
      <c r="H172" s="29" t="str">
        <f aca="false">IF($G172=0,"",MEDIAN(調査集計表!J172,調査集計表!L172,調査集計表!N172,調査集計表!P172,調査集計表!R172))</f>
        <v/>
      </c>
      <c r="I172" s="29" t="str">
        <f aca="false">IFERROR(AVERAGE(調査集計表!T172,調査集計表!V172),"")</f>
        <v/>
      </c>
      <c r="J172" s="29" t="n">
        <f aca="false">COUNT(調査集計表!T172,調査集計表!V172)</f>
        <v>0</v>
      </c>
      <c r="K172" s="31" t="str">
        <f aca="false">IF($H172="","",ROUND($H172/3*100,1))</f>
        <v/>
      </c>
      <c r="L172" s="31" t="str">
        <f aca="false">IF($I172="","",ROUND($I172/3*100,1))</f>
        <v/>
      </c>
      <c r="M172" s="32" t="str">
        <f aca="false">IFERROR(INDEX(マスタ設定!$E$5:$E$14,MATCH($E172,マスタ設定!$A$5:$A$14,0))/100,"")</f>
        <v/>
      </c>
      <c r="N172" s="32" t="str">
        <f aca="false">IFERROR(INDEX(マスタ設定!$F$5:$F$14,MATCH($E172,マスタ設定!$A$5:$A$14,0))/100,"")</f>
        <v/>
      </c>
      <c r="O172" s="31" t="str">
        <f aca="false">IF(OR($K172="",$L172="",$M172="",$N172=""),"",ROUND($K172*$M172+$L172*$N172,1))</f>
        <v/>
      </c>
      <c r="P172" s="29" t="str">
        <f aca="false">IF($A172="","",IF($O172="","データ不足",IF(AND($G172&gt;=3,$J172&gt;=2),"有効","要確認")))</f>
        <v/>
      </c>
    </row>
    <row r="173" customFormat="false" ht="15" hidden="false" customHeight="false" outlineLevel="0" collapsed="false">
      <c r="A173" s="29" t="str">
        <f aca="false">IF(調査集計表!A173="","",調査集計表!A173)</f>
        <v/>
      </c>
      <c r="B173" s="30" t="str">
        <f aca="false">IF(調査集計表!C173="","",調査集計表!C173)</f>
        <v/>
      </c>
      <c r="C173" s="29" t="str">
        <f aca="false">IF(調査集計表!D173="","",調査集計表!D173)</f>
        <v/>
      </c>
      <c r="D173" s="29" t="str">
        <f aca="false">IF(調査集計表!E173="","",調査集計表!E173)</f>
        <v/>
      </c>
      <c r="E173" s="29" t="str">
        <f aca="false">IF(調査集計表!F173="","",調査集計表!F173)</f>
        <v/>
      </c>
      <c r="F173" s="29" t="str">
        <f aca="false">IF(調査集計表!H173="","",調査集計表!H173)</f>
        <v/>
      </c>
      <c r="G173" s="29" t="n">
        <f aca="false">COUNT(調査集計表!J173,調査集計表!L173,調査集計表!N173,調査集計表!P173,調査集計表!R173)</f>
        <v>0</v>
      </c>
      <c r="H173" s="29" t="str">
        <f aca="false">IF($G173=0,"",MEDIAN(調査集計表!J173,調査集計表!L173,調査集計表!N173,調査集計表!P173,調査集計表!R173))</f>
        <v/>
      </c>
      <c r="I173" s="29" t="str">
        <f aca="false">IFERROR(AVERAGE(調査集計表!T173,調査集計表!V173),"")</f>
        <v/>
      </c>
      <c r="J173" s="29" t="n">
        <f aca="false">COUNT(調査集計表!T173,調査集計表!V173)</f>
        <v>0</v>
      </c>
      <c r="K173" s="31" t="str">
        <f aca="false">IF($H173="","",ROUND($H173/3*100,1))</f>
        <v/>
      </c>
      <c r="L173" s="31" t="str">
        <f aca="false">IF($I173="","",ROUND($I173/3*100,1))</f>
        <v/>
      </c>
      <c r="M173" s="32" t="str">
        <f aca="false">IFERROR(INDEX(マスタ設定!$E$5:$E$14,MATCH($E173,マスタ設定!$A$5:$A$14,0))/100,"")</f>
        <v/>
      </c>
      <c r="N173" s="32" t="str">
        <f aca="false">IFERROR(INDEX(マスタ設定!$F$5:$F$14,MATCH($E173,マスタ設定!$A$5:$A$14,0))/100,"")</f>
        <v/>
      </c>
      <c r="O173" s="31" t="str">
        <f aca="false">IF(OR($K173="",$L173="",$M173="",$N173=""),"",ROUND($K173*$M173+$L173*$N173,1))</f>
        <v/>
      </c>
      <c r="P173" s="29" t="str">
        <f aca="false">IF($A173="","",IF($O173="","データ不足",IF(AND($G173&gt;=3,$J173&gt;=2),"有効","要確認")))</f>
        <v/>
      </c>
    </row>
    <row r="174" customFormat="false" ht="15" hidden="false" customHeight="false" outlineLevel="0" collapsed="false">
      <c r="A174" s="29" t="str">
        <f aca="false">IF(調査集計表!A174="","",調査集計表!A174)</f>
        <v/>
      </c>
      <c r="B174" s="30" t="str">
        <f aca="false">IF(調査集計表!C174="","",調査集計表!C174)</f>
        <v/>
      </c>
      <c r="C174" s="29" t="str">
        <f aca="false">IF(調査集計表!D174="","",調査集計表!D174)</f>
        <v/>
      </c>
      <c r="D174" s="29" t="str">
        <f aca="false">IF(調査集計表!E174="","",調査集計表!E174)</f>
        <v/>
      </c>
      <c r="E174" s="29" t="str">
        <f aca="false">IF(調査集計表!F174="","",調査集計表!F174)</f>
        <v/>
      </c>
      <c r="F174" s="29" t="str">
        <f aca="false">IF(調査集計表!H174="","",調査集計表!H174)</f>
        <v/>
      </c>
      <c r="G174" s="29" t="n">
        <f aca="false">COUNT(調査集計表!J174,調査集計表!L174,調査集計表!N174,調査集計表!P174,調査集計表!R174)</f>
        <v>0</v>
      </c>
      <c r="H174" s="29" t="str">
        <f aca="false">IF($G174=0,"",MEDIAN(調査集計表!J174,調査集計表!L174,調査集計表!N174,調査集計表!P174,調査集計表!R174))</f>
        <v/>
      </c>
      <c r="I174" s="29" t="str">
        <f aca="false">IFERROR(AVERAGE(調査集計表!T174,調査集計表!V174),"")</f>
        <v/>
      </c>
      <c r="J174" s="29" t="n">
        <f aca="false">COUNT(調査集計表!T174,調査集計表!V174)</f>
        <v>0</v>
      </c>
      <c r="K174" s="31" t="str">
        <f aca="false">IF($H174="","",ROUND($H174/3*100,1))</f>
        <v/>
      </c>
      <c r="L174" s="31" t="str">
        <f aca="false">IF($I174="","",ROUND($I174/3*100,1))</f>
        <v/>
      </c>
      <c r="M174" s="32" t="str">
        <f aca="false">IFERROR(INDEX(マスタ設定!$E$5:$E$14,MATCH($E174,マスタ設定!$A$5:$A$14,0))/100,"")</f>
        <v/>
      </c>
      <c r="N174" s="32" t="str">
        <f aca="false">IFERROR(INDEX(マスタ設定!$F$5:$F$14,MATCH($E174,マスタ設定!$A$5:$A$14,0))/100,"")</f>
        <v/>
      </c>
      <c r="O174" s="31" t="str">
        <f aca="false">IF(OR($K174="",$L174="",$M174="",$N174=""),"",ROUND($K174*$M174+$L174*$N174,1))</f>
        <v/>
      </c>
      <c r="P174" s="29" t="str">
        <f aca="false">IF($A174="","",IF($O174="","データ不足",IF(AND($G174&gt;=3,$J174&gt;=2),"有効","要確認")))</f>
        <v/>
      </c>
    </row>
    <row r="175" customFormat="false" ht="15" hidden="false" customHeight="false" outlineLevel="0" collapsed="false">
      <c r="A175" s="29" t="str">
        <f aca="false">IF(調査集計表!A175="","",調査集計表!A175)</f>
        <v/>
      </c>
      <c r="B175" s="30" t="str">
        <f aca="false">IF(調査集計表!C175="","",調査集計表!C175)</f>
        <v/>
      </c>
      <c r="C175" s="29" t="str">
        <f aca="false">IF(調査集計表!D175="","",調査集計表!D175)</f>
        <v/>
      </c>
      <c r="D175" s="29" t="str">
        <f aca="false">IF(調査集計表!E175="","",調査集計表!E175)</f>
        <v/>
      </c>
      <c r="E175" s="29" t="str">
        <f aca="false">IF(調査集計表!F175="","",調査集計表!F175)</f>
        <v/>
      </c>
      <c r="F175" s="29" t="str">
        <f aca="false">IF(調査集計表!H175="","",調査集計表!H175)</f>
        <v/>
      </c>
      <c r="G175" s="29" t="n">
        <f aca="false">COUNT(調査集計表!J175,調査集計表!L175,調査集計表!N175,調査集計表!P175,調査集計表!R175)</f>
        <v>0</v>
      </c>
      <c r="H175" s="29" t="str">
        <f aca="false">IF($G175=0,"",MEDIAN(調査集計表!J175,調査集計表!L175,調査集計表!N175,調査集計表!P175,調査集計表!R175))</f>
        <v/>
      </c>
      <c r="I175" s="29" t="str">
        <f aca="false">IFERROR(AVERAGE(調査集計表!T175,調査集計表!V175),"")</f>
        <v/>
      </c>
      <c r="J175" s="29" t="n">
        <f aca="false">COUNT(調査集計表!T175,調査集計表!V175)</f>
        <v>0</v>
      </c>
      <c r="K175" s="31" t="str">
        <f aca="false">IF($H175="","",ROUND($H175/3*100,1))</f>
        <v/>
      </c>
      <c r="L175" s="31" t="str">
        <f aca="false">IF($I175="","",ROUND($I175/3*100,1))</f>
        <v/>
      </c>
      <c r="M175" s="32" t="str">
        <f aca="false">IFERROR(INDEX(マスタ設定!$E$5:$E$14,MATCH($E175,マスタ設定!$A$5:$A$14,0))/100,"")</f>
        <v/>
      </c>
      <c r="N175" s="32" t="str">
        <f aca="false">IFERROR(INDEX(マスタ設定!$F$5:$F$14,MATCH($E175,マスタ設定!$A$5:$A$14,0))/100,"")</f>
        <v/>
      </c>
      <c r="O175" s="31" t="str">
        <f aca="false">IF(OR($K175="",$L175="",$M175="",$N175=""),"",ROUND($K175*$M175+$L175*$N175,1))</f>
        <v/>
      </c>
      <c r="P175" s="29" t="str">
        <f aca="false">IF($A175="","",IF($O175="","データ不足",IF(AND($G175&gt;=3,$J175&gt;=2),"有効","要確認")))</f>
        <v/>
      </c>
    </row>
    <row r="176" customFormat="false" ht="15" hidden="false" customHeight="false" outlineLevel="0" collapsed="false">
      <c r="A176" s="29" t="str">
        <f aca="false">IF(調査集計表!A176="","",調査集計表!A176)</f>
        <v/>
      </c>
      <c r="B176" s="30" t="str">
        <f aca="false">IF(調査集計表!C176="","",調査集計表!C176)</f>
        <v/>
      </c>
      <c r="C176" s="29" t="str">
        <f aca="false">IF(調査集計表!D176="","",調査集計表!D176)</f>
        <v/>
      </c>
      <c r="D176" s="29" t="str">
        <f aca="false">IF(調査集計表!E176="","",調査集計表!E176)</f>
        <v/>
      </c>
      <c r="E176" s="29" t="str">
        <f aca="false">IF(調査集計表!F176="","",調査集計表!F176)</f>
        <v/>
      </c>
      <c r="F176" s="29" t="str">
        <f aca="false">IF(調査集計表!H176="","",調査集計表!H176)</f>
        <v/>
      </c>
      <c r="G176" s="29" t="n">
        <f aca="false">COUNT(調査集計表!J176,調査集計表!L176,調査集計表!N176,調査集計表!P176,調査集計表!R176)</f>
        <v>0</v>
      </c>
      <c r="H176" s="29" t="str">
        <f aca="false">IF($G176=0,"",MEDIAN(調査集計表!J176,調査集計表!L176,調査集計表!N176,調査集計表!P176,調査集計表!R176))</f>
        <v/>
      </c>
      <c r="I176" s="29" t="str">
        <f aca="false">IFERROR(AVERAGE(調査集計表!T176,調査集計表!V176),"")</f>
        <v/>
      </c>
      <c r="J176" s="29" t="n">
        <f aca="false">COUNT(調査集計表!T176,調査集計表!V176)</f>
        <v>0</v>
      </c>
      <c r="K176" s="31" t="str">
        <f aca="false">IF($H176="","",ROUND($H176/3*100,1))</f>
        <v/>
      </c>
      <c r="L176" s="31" t="str">
        <f aca="false">IF($I176="","",ROUND($I176/3*100,1))</f>
        <v/>
      </c>
      <c r="M176" s="32" t="str">
        <f aca="false">IFERROR(INDEX(マスタ設定!$E$5:$E$14,MATCH($E176,マスタ設定!$A$5:$A$14,0))/100,"")</f>
        <v/>
      </c>
      <c r="N176" s="32" t="str">
        <f aca="false">IFERROR(INDEX(マスタ設定!$F$5:$F$14,MATCH($E176,マスタ設定!$A$5:$A$14,0))/100,"")</f>
        <v/>
      </c>
      <c r="O176" s="31" t="str">
        <f aca="false">IF(OR($K176="",$L176="",$M176="",$N176=""),"",ROUND($K176*$M176+$L176*$N176,1))</f>
        <v/>
      </c>
      <c r="P176" s="29" t="str">
        <f aca="false">IF($A176="","",IF($O176="","データ不足",IF(AND($G176&gt;=3,$J176&gt;=2),"有効","要確認")))</f>
        <v/>
      </c>
    </row>
    <row r="177" customFormat="false" ht="15" hidden="false" customHeight="false" outlineLevel="0" collapsed="false">
      <c r="A177" s="29" t="str">
        <f aca="false">IF(調査集計表!A177="","",調査集計表!A177)</f>
        <v/>
      </c>
      <c r="B177" s="30" t="str">
        <f aca="false">IF(調査集計表!C177="","",調査集計表!C177)</f>
        <v/>
      </c>
      <c r="C177" s="29" t="str">
        <f aca="false">IF(調査集計表!D177="","",調査集計表!D177)</f>
        <v/>
      </c>
      <c r="D177" s="29" t="str">
        <f aca="false">IF(調査集計表!E177="","",調査集計表!E177)</f>
        <v/>
      </c>
      <c r="E177" s="29" t="str">
        <f aca="false">IF(調査集計表!F177="","",調査集計表!F177)</f>
        <v/>
      </c>
      <c r="F177" s="29" t="str">
        <f aca="false">IF(調査集計表!H177="","",調査集計表!H177)</f>
        <v/>
      </c>
      <c r="G177" s="29" t="n">
        <f aca="false">COUNT(調査集計表!J177,調査集計表!L177,調査集計表!N177,調査集計表!P177,調査集計表!R177)</f>
        <v>0</v>
      </c>
      <c r="H177" s="29" t="str">
        <f aca="false">IF($G177=0,"",MEDIAN(調査集計表!J177,調査集計表!L177,調査集計表!N177,調査集計表!P177,調査集計表!R177))</f>
        <v/>
      </c>
      <c r="I177" s="29" t="str">
        <f aca="false">IFERROR(AVERAGE(調査集計表!T177,調査集計表!V177),"")</f>
        <v/>
      </c>
      <c r="J177" s="29" t="n">
        <f aca="false">COUNT(調査集計表!T177,調査集計表!V177)</f>
        <v>0</v>
      </c>
      <c r="K177" s="31" t="str">
        <f aca="false">IF($H177="","",ROUND($H177/3*100,1))</f>
        <v/>
      </c>
      <c r="L177" s="31" t="str">
        <f aca="false">IF($I177="","",ROUND($I177/3*100,1))</f>
        <v/>
      </c>
      <c r="M177" s="32" t="str">
        <f aca="false">IFERROR(INDEX(マスタ設定!$E$5:$E$14,MATCH($E177,マスタ設定!$A$5:$A$14,0))/100,"")</f>
        <v/>
      </c>
      <c r="N177" s="32" t="str">
        <f aca="false">IFERROR(INDEX(マスタ設定!$F$5:$F$14,MATCH($E177,マスタ設定!$A$5:$A$14,0))/100,"")</f>
        <v/>
      </c>
      <c r="O177" s="31" t="str">
        <f aca="false">IF(OR($K177="",$L177="",$M177="",$N177=""),"",ROUND($K177*$M177+$L177*$N177,1))</f>
        <v/>
      </c>
      <c r="P177" s="29" t="str">
        <f aca="false">IF($A177="","",IF($O177="","データ不足",IF(AND($G177&gt;=3,$J177&gt;=2),"有効","要確認")))</f>
        <v/>
      </c>
    </row>
    <row r="178" customFormat="false" ht="15" hidden="false" customHeight="false" outlineLevel="0" collapsed="false">
      <c r="A178" s="29" t="str">
        <f aca="false">IF(調査集計表!A178="","",調査集計表!A178)</f>
        <v/>
      </c>
      <c r="B178" s="30" t="str">
        <f aca="false">IF(調査集計表!C178="","",調査集計表!C178)</f>
        <v/>
      </c>
      <c r="C178" s="29" t="str">
        <f aca="false">IF(調査集計表!D178="","",調査集計表!D178)</f>
        <v/>
      </c>
      <c r="D178" s="29" t="str">
        <f aca="false">IF(調査集計表!E178="","",調査集計表!E178)</f>
        <v/>
      </c>
      <c r="E178" s="29" t="str">
        <f aca="false">IF(調査集計表!F178="","",調査集計表!F178)</f>
        <v/>
      </c>
      <c r="F178" s="29" t="str">
        <f aca="false">IF(調査集計表!H178="","",調査集計表!H178)</f>
        <v/>
      </c>
      <c r="G178" s="29" t="n">
        <f aca="false">COUNT(調査集計表!J178,調査集計表!L178,調査集計表!N178,調査集計表!P178,調査集計表!R178)</f>
        <v>0</v>
      </c>
      <c r="H178" s="29" t="str">
        <f aca="false">IF($G178=0,"",MEDIAN(調査集計表!J178,調査集計表!L178,調査集計表!N178,調査集計表!P178,調査集計表!R178))</f>
        <v/>
      </c>
      <c r="I178" s="29" t="str">
        <f aca="false">IFERROR(AVERAGE(調査集計表!T178,調査集計表!V178),"")</f>
        <v/>
      </c>
      <c r="J178" s="29" t="n">
        <f aca="false">COUNT(調査集計表!T178,調査集計表!V178)</f>
        <v>0</v>
      </c>
      <c r="K178" s="31" t="str">
        <f aca="false">IF($H178="","",ROUND($H178/3*100,1))</f>
        <v/>
      </c>
      <c r="L178" s="31" t="str">
        <f aca="false">IF($I178="","",ROUND($I178/3*100,1))</f>
        <v/>
      </c>
      <c r="M178" s="32" t="str">
        <f aca="false">IFERROR(INDEX(マスタ設定!$E$5:$E$14,MATCH($E178,マスタ設定!$A$5:$A$14,0))/100,"")</f>
        <v/>
      </c>
      <c r="N178" s="32" t="str">
        <f aca="false">IFERROR(INDEX(マスタ設定!$F$5:$F$14,MATCH($E178,マスタ設定!$A$5:$A$14,0))/100,"")</f>
        <v/>
      </c>
      <c r="O178" s="31" t="str">
        <f aca="false">IF(OR($K178="",$L178="",$M178="",$N178=""),"",ROUND($K178*$M178+$L178*$N178,1))</f>
        <v/>
      </c>
      <c r="P178" s="29" t="str">
        <f aca="false">IF($A178="","",IF($O178="","データ不足",IF(AND($G178&gt;=3,$J178&gt;=2),"有効","要確認")))</f>
        <v/>
      </c>
    </row>
    <row r="179" customFormat="false" ht="15" hidden="false" customHeight="false" outlineLevel="0" collapsed="false">
      <c r="A179" s="29" t="str">
        <f aca="false">IF(調査集計表!A179="","",調査集計表!A179)</f>
        <v/>
      </c>
      <c r="B179" s="30" t="str">
        <f aca="false">IF(調査集計表!C179="","",調査集計表!C179)</f>
        <v/>
      </c>
      <c r="C179" s="29" t="str">
        <f aca="false">IF(調査集計表!D179="","",調査集計表!D179)</f>
        <v/>
      </c>
      <c r="D179" s="29" t="str">
        <f aca="false">IF(調査集計表!E179="","",調査集計表!E179)</f>
        <v/>
      </c>
      <c r="E179" s="29" t="str">
        <f aca="false">IF(調査集計表!F179="","",調査集計表!F179)</f>
        <v/>
      </c>
      <c r="F179" s="29" t="str">
        <f aca="false">IF(調査集計表!H179="","",調査集計表!H179)</f>
        <v/>
      </c>
      <c r="G179" s="29" t="n">
        <f aca="false">COUNT(調査集計表!J179,調査集計表!L179,調査集計表!N179,調査集計表!P179,調査集計表!R179)</f>
        <v>0</v>
      </c>
      <c r="H179" s="29" t="str">
        <f aca="false">IF($G179=0,"",MEDIAN(調査集計表!J179,調査集計表!L179,調査集計表!N179,調査集計表!P179,調査集計表!R179))</f>
        <v/>
      </c>
      <c r="I179" s="29" t="str">
        <f aca="false">IFERROR(AVERAGE(調査集計表!T179,調査集計表!V179),"")</f>
        <v/>
      </c>
      <c r="J179" s="29" t="n">
        <f aca="false">COUNT(調査集計表!T179,調査集計表!V179)</f>
        <v>0</v>
      </c>
      <c r="K179" s="31" t="str">
        <f aca="false">IF($H179="","",ROUND($H179/3*100,1))</f>
        <v/>
      </c>
      <c r="L179" s="31" t="str">
        <f aca="false">IF($I179="","",ROUND($I179/3*100,1))</f>
        <v/>
      </c>
      <c r="M179" s="32" t="str">
        <f aca="false">IFERROR(INDEX(マスタ設定!$E$5:$E$14,MATCH($E179,マスタ設定!$A$5:$A$14,0))/100,"")</f>
        <v/>
      </c>
      <c r="N179" s="32" t="str">
        <f aca="false">IFERROR(INDEX(マスタ設定!$F$5:$F$14,MATCH($E179,マスタ設定!$A$5:$A$14,0))/100,"")</f>
        <v/>
      </c>
      <c r="O179" s="31" t="str">
        <f aca="false">IF(OR($K179="",$L179="",$M179="",$N179=""),"",ROUND($K179*$M179+$L179*$N179,1))</f>
        <v/>
      </c>
      <c r="P179" s="29" t="str">
        <f aca="false">IF($A179="","",IF($O179="","データ不足",IF(AND($G179&gt;=3,$J179&gt;=2),"有効","要確認")))</f>
        <v/>
      </c>
    </row>
    <row r="180" customFormat="false" ht="15" hidden="false" customHeight="false" outlineLevel="0" collapsed="false">
      <c r="A180" s="29" t="str">
        <f aca="false">IF(調査集計表!A180="","",調査集計表!A180)</f>
        <v/>
      </c>
      <c r="B180" s="30" t="str">
        <f aca="false">IF(調査集計表!C180="","",調査集計表!C180)</f>
        <v/>
      </c>
      <c r="C180" s="29" t="str">
        <f aca="false">IF(調査集計表!D180="","",調査集計表!D180)</f>
        <v/>
      </c>
      <c r="D180" s="29" t="str">
        <f aca="false">IF(調査集計表!E180="","",調査集計表!E180)</f>
        <v/>
      </c>
      <c r="E180" s="29" t="str">
        <f aca="false">IF(調査集計表!F180="","",調査集計表!F180)</f>
        <v/>
      </c>
      <c r="F180" s="29" t="str">
        <f aca="false">IF(調査集計表!H180="","",調査集計表!H180)</f>
        <v/>
      </c>
      <c r="G180" s="29" t="n">
        <f aca="false">COUNT(調査集計表!J180,調査集計表!L180,調査集計表!N180,調査集計表!P180,調査集計表!R180)</f>
        <v>0</v>
      </c>
      <c r="H180" s="29" t="str">
        <f aca="false">IF($G180=0,"",MEDIAN(調査集計表!J180,調査集計表!L180,調査集計表!N180,調査集計表!P180,調査集計表!R180))</f>
        <v/>
      </c>
      <c r="I180" s="29" t="str">
        <f aca="false">IFERROR(AVERAGE(調査集計表!T180,調査集計表!V180),"")</f>
        <v/>
      </c>
      <c r="J180" s="29" t="n">
        <f aca="false">COUNT(調査集計表!T180,調査集計表!V180)</f>
        <v>0</v>
      </c>
      <c r="K180" s="31" t="str">
        <f aca="false">IF($H180="","",ROUND($H180/3*100,1))</f>
        <v/>
      </c>
      <c r="L180" s="31" t="str">
        <f aca="false">IF($I180="","",ROUND($I180/3*100,1))</f>
        <v/>
      </c>
      <c r="M180" s="32" t="str">
        <f aca="false">IFERROR(INDEX(マスタ設定!$E$5:$E$14,MATCH($E180,マスタ設定!$A$5:$A$14,0))/100,"")</f>
        <v/>
      </c>
      <c r="N180" s="32" t="str">
        <f aca="false">IFERROR(INDEX(マスタ設定!$F$5:$F$14,MATCH($E180,マスタ設定!$A$5:$A$14,0))/100,"")</f>
        <v/>
      </c>
      <c r="O180" s="31" t="str">
        <f aca="false">IF(OR($K180="",$L180="",$M180="",$N180=""),"",ROUND($K180*$M180+$L180*$N180,1))</f>
        <v/>
      </c>
      <c r="P180" s="29" t="str">
        <f aca="false">IF($A180="","",IF($O180="","データ不足",IF(AND($G180&gt;=3,$J180&gt;=2),"有効","要確認")))</f>
        <v/>
      </c>
    </row>
    <row r="181" customFormat="false" ht="15" hidden="false" customHeight="false" outlineLevel="0" collapsed="false">
      <c r="A181" s="29" t="str">
        <f aca="false">IF(調査集計表!A181="","",調査集計表!A181)</f>
        <v/>
      </c>
      <c r="B181" s="30" t="str">
        <f aca="false">IF(調査集計表!C181="","",調査集計表!C181)</f>
        <v/>
      </c>
      <c r="C181" s="29" t="str">
        <f aca="false">IF(調査集計表!D181="","",調査集計表!D181)</f>
        <v/>
      </c>
      <c r="D181" s="29" t="str">
        <f aca="false">IF(調査集計表!E181="","",調査集計表!E181)</f>
        <v/>
      </c>
      <c r="E181" s="29" t="str">
        <f aca="false">IF(調査集計表!F181="","",調査集計表!F181)</f>
        <v/>
      </c>
      <c r="F181" s="29" t="str">
        <f aca="false">IF(調査集計表!H181="","",調査集計表!H181)</f>
        <v/>
      </c>
      <c r="G181" s="29" t="n">
        <f aca="false">COUNT(調査集計表!J181,調査集計表!L181,調査集計表!N181,調査集計表!P181,調査集計表!R181)</f>
        <v>0</v>
      </c>
      <c r="H181" s="29" t="str">
        <f aca="false">IF($G181=0,"",MEDIAN(調査集計表!J181,調査集計表!L181,調査集計表!N181,調査集計表!P181,調査集計表!R181))</f>
        <v/>
      </c>
      <c r="I181" s="29" t="str">
        <f aca="false">IFERROR(AVERAGE(調査集計表!T181,調査集計表!V181),"")</f>
        <v/>
      </c>
      <c r="J181" s="29" t="n">
        <f aca="false">COUNT(調査集計表!T181,調査集計表!V181)</f>
        <v>0</v>
      </c>
      <c r="K181" s="31" t="str">
        <f aca="false">IF($H181="","",ROUND($H181/3*100,1))</f>
        <v/>
      </c>
      <c r="L181" s="31" t="str">
        <f aca="false">IF($I181="","",ROUND($I181/3*100,1))</f>
        <v/>
      </c>
      <c r="M181" s="32" t="str">
        <f aca="false">IFERROR(INDEX(マスタ設定!$E$5:$E$14,MATCH($E181,マスタ設定!$A$5:$A$14,0))/100,"")</f>
        <v/>
      </c>
      <c r="N181" s="32" t="str">
        <f aca="false">IFERROR(INDEX(マスタ設定!$F$5:$F$14,MATCH($E181,マスタ設定!$A$5:$A$14,0))/100,"")</f>
        <v/>
      </c>
      <c r="O181" s="31" t="str">
        <f aca="false">IF(OR($K181="",$L181="",$M181="",$N181=""),"",ROUND($K181*$M181+$L181*$N181,1))</f>
        <v/>
      </c>
      <c r="P181" s="29" t="str">
        <f aca="false">IF($A181="","",IF($O181="","データ不足",IF(AND($G181&gt;=3,$J181&gt;=2),"有効","要確認")))</f>
        <v/>
      </c>
    </row>
    <row r="182" customFormat="false" ht="15" hidden="false" customHeight="false" outlineLevel="0" collapsed="false">
      <c r="A182" s="29" t="str">
        <f aca="false">IF(調査集計表!A182="","",調査集計表!A182)</f>
        <v/>
      </c>
      <c r="B182" s="30" t="str">
        <f aca="false">IF(調査集計表!C182="","",調査集計表!C182)</f>
        <v/>
      </c>
      <c r="C182" s="29" t="str">
        <f aca="false">IF(調査集計表!D182="","",調査集計表!D182)</f>
        <v/>
      </c>
      <c r="D182" s="29" t="str">
        <f aca="false">IF(調査集計表!E182="","",調査集計表!E182)</f>
        <v/>
      </c>
      <c r="E182" s="29" t="str">
        <f aca="false">IF(調査集計表!F182="","",調査集計表!F182)</f>
        <v/>
      </c>
      <c r="F182" s="29" t="str">
        <f aca="false">IF(調査集計表!H182="","",調査集計表!H182)</f>
        <v/>
      </c>
      <c r="G182" s="29" t="n">
        <f aca="false">COUNT(調査集計表!J182,調査集計表!L182,調査集計表!N182,調査集計表!P182,調査集計表!R182)</f>
        <v>0</v>
      </c>
      <c r="H182" s="29" t="str">
        <f aca="false">IF($G182=0,"",MEDIAN(調査集計表!J182,調査集計表!L182,調査集計表!N182,調査集計表!P182,調査集計表!R182))</f>
        <v/>
      </c>
      <c r="I182" s="29" t="str">
        <f aca="false">IFERROR(AVERAGE(調査集計表!T182,調査集計表!V182),"")</f>
        <v/>
      </c>
      <c r="J182" s="29" t="n">
        <f aca="false">COUNT(調査集計表!T182,調査集計表!V182)</f>
        <v>0</v>
      </c>
      <c r="K182" s="31" t="str">
        <f aca="false">IF($H182="","",ROUND($H182/3*100,1))</f>
        <v/>
      </c>
      <c r="L182" s="31" t="str">
        <f aca="false">IF($I182="","",ROUND($I182/3*100,1))</f>
        <v/>
      </c>
      <c r="M182" s="32" t="str">
        <f aca="false">IFERROR(INDEX(マスタ設定!$E$5:$E$14,MATCH($E182,マスタ設定!$A$5:$A$14,0))/100,"")</f>
        <v/>
      </c>
      <c r="N182" s="32" t="str">
        <f aca="false">IFERROR(INDEX(マスタ設定!$F$5:$F$14,MATCH($E182,マスタ設定!$A$5:$A$14,0))/100,"")</f>
        <v/>
      </c>
      <c r="O182" s="31" t="str">
        <f aca="false">IF(OR($K182="",$L182="",$M182="",$N182=""),"",ROUND($K182*$M182+$L182*$N182,1))</f>
        <v/>
      </c>
      <c r="P182" s="29" t="str">
        <f aca="false">IF($A182="","",IF($O182="","データ不足",IF(AND($G182&gt;=3,$J182&gt;=2),"有効","要確認")))</f>
        <v/>
      </c>
    </row>
    <row r="183" customFormat="false" ht="15" hidden="false" customHeight="false" outlineLevel="0" collapsed="false">
      <c r="A183" s="29" t="str">
        <f aca="false">IF(調査集計表!A183="","",調査集計表!A183)</f>
        <v/>
      </c>
      <c r="B183" s="30" t="str">
        <f aca="false">IF(調査集計表!C183="","",調査集計表!C183)</f>
        <v/>
      </c>
      <c r="C183" s="29" t="str">
        <f aca="false">IF(調査集計表!D183="","",調査集計表!D183)</f>
        <v/>
      </c>
      <c r="D183" s="29" t="str">
        <f aca="false">IF(調査集計表!E183="","",調査集計表!E183)</f>
        <v/>
      </c>
      <c r="E183" s="29" t="str">
        <f aca="false">IF(調査集計表!F183="","",調査集計表!F183)</f>
        <v/>
      </c>
      <c r="F183" s="29" t="str">
        <f aca="false">IF(調査集計表!H183="","",調査集計表!H183)</f>
        <v/>
      </c>
      <c r="G183" s="29" t="n">
        <f aca="false">COUNT(調査集計表!J183,調査集計表!L183,調査集計表!N183,調査集計表!P183,調査集計表!R183)</f>
        <v>0</v>
      </c>
      <c r="H183" s="29" t="str">
        <f aca="false">IF($G183=0,"",MEDIAN(調査集計表!J183,調査集計表!L183,調査集計表!N183,調査集計表!P183,調査集計表!R183))</f>
        <v/>
      </c>
      <c r="I183" s="29" t="str">
        <f aca="false">IFERROR(AVERAGE(調査集計表!T183,調査集計表!V183),"")</f>
        <v/>
      </c>
      <c r="J183" s="29" t="n">
        <f aca="false">COUNT(調査集計表!T183,調査集計表!V183)</f>
        <v>0</v>
      </c>
      <c r="K183" s="31" t="str">
        <f aca="false">IF($H183="","",ROUND($H183/3*100,1))</f>
        <v/>
      </c>
      <c r="L183" s="31" t="str">
        <f aca="false">IF($I183="","",ROUND($I183/3*100,1))</f>
        <v/>
      </c>
      <c r="M183" s="32" t="str">
        <f aca="false">IFERROR(INDEX(マスタ設定!$E$5:$E$14,MATCH($E183,マスタ設定!$A$5:$A$14,0))/100,"")</f>
        <v/>
      </c>
      <c r="N183" s="32" t="str">
        <f aca="false">IFERROR(INDEX(マスタ設定!$F$5:$F$14,MATCH($E183,マスタ設定!$A$5:$A$14,0))/100,"")</f>
        <v/>
      </c>
      <c r="O183" s="31" t="str">
        <f aca="false">IF(OR($K183="",$L183="",$M183="",$N183=""),"",ROUND($K183*$M183+$L183*$N183,1))</f>
        <v/>
      </c>
      <c r="P183" s="29" t="str">
        <f aca="false">IF($A183="","",IF($O183="","データ不足",IF(AND($G183&gt;=3,$J183&gt;=2),"有効","要確認")))</f>
        <v/>
      </c>
    </row>
    <row r="184" customFormat="false" ht="15" hidden="false" customHeight="false" outlineLevel="0" collapsed="false">
      <c r="A184" s="29" t="str">
        <f aca="false">IF(調査集計表!A184="","",調査集計表!A184)</f>
        <v/>
      </c>
      <c r="B184" s="30" t="str">
        <f aca="false">IF(調査集計表!C184="","",調査集計表!C184)</f>
        <v/>
      </c>
      <c r="C184" s="29" t="str">
        <f aca="false">IF(調査集計表!D184="","",調査集計表!D184)</f>
        <v/>
      </c>
      <c r="D184" s="29" t="str">
        <f aca="false">IF(調査集計表!E184="","",調査集計表!E184)</f>
        <v/>
      </c>
      <c r="E184" s="29" t="str">
        <f aca="false">IF(調査集計表!F184="","",調査集計表!F184)</f>
        <v/>
      </c>
      <c r="F184" s="29" t="str">
        <f aca="false">IF(調査集計表!H184="","",調査集計表!H184)</f>
        <v/>
      </c>
      <c r="G184" s="29" t="n">
        <f aca="false">COUNT(調査集計表!J184,調査集計表!L184,調査集計表!N184,調査集計表!P184,調査集計表!R184)</f>
        <v>0</v>
      </c>
      <c r="H184" s="29" t="str">
        <f aca="false">IF($G184=0,"",MEDIAN(調査集計表!J184,調査集計表!L184,調査集計表!N184,調査集計表!P184,調査集計表!R184))</f>
        <v/>
      </c>
      <c r="I184" s="29" t="str">
        <f aca="false">IFERROR(AVERAGE(調査集計表!T184,調査集計表!V184),"")</f>
        <v/>
      </c>
      <c r="J184" s="29" t="n">
        <f aca="false">COUNT(調査集計表!T184,調査集計表!V184)</f>
        <v>0</v>
      </c>
      <c r="K184" s="31" t="str">
        <f aca="false">IF($H184="","",ROUND($H184/3*100,1))</f>
        <v/>
      </c>
      <c r="L184" s="31" t="str">
        <f aca="false">IF($I184="","",ROUND($I184/3*100,1))</f>
        <v/>
      </c>
      <c r="M184" s="32" t="str">
        <f aca="false">IFERROR(INDEX(マスタ設定!$E$5:$E$14,MATCH($E184,マスタ設定!$A$5:$A$14,0))/100,"")</f>
        <v/>
      </c>
      <c r="N184" s="32" t="str">
        <f aca="false">IFERROR(INDEX(マスタ設定!$F$5:$F$14,MATCH($E184,マスタ設定!$A$5:$A$14,0))/100,"")</f>
        <v/>
      </c>
      <c r="O184" s="31" t="str">
        <f aca="false">IF(OR($K184="",$L184="",$M184="",$N184=""),"",ROUND($K184*$M184+$L184*$N184,1))</f>
        <v/>
      </c>
      <c r="P184" s="29" t="str">
        <f aca="false">IF($A184="","",IF($O184="","データ不足",IF(AND($G184&gt;=3,$J184&gt;=2),"有効","要確認")))</f>
        <v/>
      </c>
    </row>
    <row r="185" customFormat="false" ht="15" hidden="false" customHeight="false" outlineLevel="0" collapsed="false">
      <c r="A185" s="29" t="str">
        <f aca="false">IF(調査集計表!A185="","",調査集計表!A185)</f>
        <v/>
      </c>
      <c r="B185" s="30" t="str">
        <f aca="false">IF(調査集計表!C185="","",調査集計表!C185)</f>
        <v/>
      </c>
      <c r="C185" s="29" t="str">
        <f aca="false">IF(調査集計表!D185="","",調査集計表!D185)</f>
        <v/>
      </c>
      <c r="D185" s="29" t="str">
        <f aca="false">IF(調査集計表!E185="","",調査集計表!E185)</f>
        <v/>
      </c>
      <c r="E185" s="29" t="str">
        <f aca="false">IF(調査集計表!F185="","",調査集計表!F185)</f>
        <v/>
      </c>
      <c r="F185" s="29" t="str">
        <f aca="false">IF(調査集計表!H185="","",調査集計表!H185)</f>
        <v/>
      </c>
      <c r="G185" s="29" t="n">
        <f aca="false">COUNT(調査集計表!J185,調査集計表!L185,調査集計表!N185,調査集計表!P185,調査集計表!R185)</f>
        <v>0</v>
      </c>
      <c r="H185" s="29" t="str">
        <f aca="false">IF($G185=0,"",MEDIAN(調査集計表!J185,調査集計表!L185,調査集計表!N185,調査集計表!P185,調査集計表!R185))</f>
        <v/>
      </c>
      <c r="I185" s="29" t="str">
        <f aca="false">IFERROR(AVERAGE(調査集計表!T185,調査集計表!V185),"")</f>
        <v/>
      </c>
      <c r="J185" s="29" t="n">
        <f aca="false">COUNT(調査集計表!T185,調査集計表!V185)</f>
        <v>0</v>
      </c>
      <c r="K185" s="31" t="str">
        <f aca="false">IF($H185="","",ROUND($H185/3*100,1))</f>
        <v/>
      </c>
      <c r="L185" s="31" t="str">
        <f aca="false">IF($I185="","",ROUND($I185/3*100,1))</f>
        <v/>
      </c>
      <c r="M185" s="32" t="str">
        <f aca="false">IFERROR(INDEX(マスタ設定!$E$5:$E$14,MATCH($E185,マスタ設定!$A$5:$A$14,0))/100,"")</f>
        <v/>
      </c>
      <c r="N185" s="32" t="str">
        <f aca="false">IFERROR(INDEX(マスタ設定!$F$5:$F$14,MATCH($E185,マスタ設定!$A$5:$A$14,0))/100,"")</f>
        <v/>
      </c>
      <c r="O185" s="31" t="str">
        <f aca="false">IF(OR($K185="",$L185="",$M185="",$N185=""),"",ROUND($K185*$M185+$L185*$N185,1))</f>
        <v/>
      </c>
      <c r="P185" s="29" t="str">
        <f aca="false">IF($A185="","",IF($O185="","データ不足",IF(AND($G185&gt;=3,$J185&gt;=2),"有効","要確認")))</f>
        <v/>
      </c>
    </row>
    <row r="186" customFormat="false" ht="15" hidden="false" customHeight="false" outlineLevel="0" collapsed="false">
      <c r="A186" s="29" t="str">
        <f aca="false">IF(調査集計表!A186="","",調査集計表!A186)</f>
        <v/>
      </c>
      <c r="B186" s="30" t="str">
        <f aca="false">IF(調査集計表!C186="","",調査集計表!C186)</f>
        <v/>
      </c>
      <c r="C186" s="29" t="str">
        <f aca="false">IF(調査集計表!D186="","",調査集計表!D186)</f>
        <v/>
      </c>
      <c r="D186" s="29" t="str">
        <f aca="false">IF(調査集計表!E186="","",調査集計表!E186)</f>
        <v/>
      </c>
      <c r="E186" s="29" t="str">
        <f aca="false">IF(調査集計表!F186="","",調査集計表!F186)</f>
        <v/>
      </c>
      <c r="F186" s="29" t="str">
        <f aca="false">IF(調査集計表!H186="","",調査集計表!H186)</f>
        <v/>
      </c>
      <c r="G186" s="29" t="n">
        <f aca="false">COUNT(調査集計表!J186,調査集計表!L186,調査集計表!N186,調査集計表!P186,調査集計表!R186)</f>
        <v>0</v>
      </c>
      <c r="H186" s="29" t="str">
        <f aca="false">IF($G186=0,"",MEDIAN(調査集計表!J186,調査集計表!L186,調査集計表!N186,調査集計表!P186,調査集計表!R186))</f>
        <v/>
      </c>
      <c r="I186" s="29" t="str">
        <f aca="false">IFERROR(AVERAGE(調査集計表!T186,調査集計表!V186),"")</f>
        <v/>
      </c>
      <c r="J186" s="29" t="n">
        <f aca="false">COUNT(調査集計表!T186,調査集計表!V186)</f>
        <v>0</v>
      </c>
      <c r="K186" s="31" t="str">
        <f aca="false">IF($H186="","",ROUND($H186/3*100,1))</f>
        <v/>
      </c>
      <c r="L186" s="31" t="str">
        <f aca="false">IF($I186="","",ROUND($I186/3*100,1))</f>
        <v/>
      </c>
      <c r="M186" s="32" t="str">
        <f aca="false">IFERROR(INDEX(マスタ設定!$E$5:$E$14,MATCH($E186,マスタ設定!$A$5:$A$14,0))/100,"")</f>
        <v/>
      </c>
      <c r="N186" s="32" t="str">
        <f aca="false">IFERROR(INDEX(マスタ設定!$F$5:$F$14,MATCH($E186,マスタ設定!$A$5:$A$14,0))/100,"")</f>
        <v/>
      </c>
      <c r="O186" s="31" t="str">
        <f aca="false">IF(OR($K186="",$L186="",$M186="",$N186=""),"",ROUND($K186*$M186+$L186*$N186,1))</f>
        <v/>
      </c>
      <c r="P186" s="29" t="str">
        <f aca="false">IF($A186="","",IF($O186="","データ不足",IF(AND($G186&gt;=3,$J186&gt;=2),"有効","要確認")))</f>
        <v/>
      </c>
    </row>
    <row r="187" customFormat="false" ht="15" hidden="false" customHeight="false" outlineLevel="0" collapsed="false">
      <c r="A187" s="29" t="str">
        <f aca="false">IF(調査集計表!A187="","",調査集計表!A187)</f>
        <v/>
      </c>
      <c r="B187" s="30" t="str">
        <f aca="false">IF(調査集計表!C187="","",調査集計表!C187)</f>
        <v/>
      </c>
      <c r="C187" s="29" t="str">
        <f aca="false">IF(調査集計表!D187="","",調査集計表!D187)</f>
        <v/>
      </c>
      <c r="D187" s="29" t="str">
        <f aca="false">IF(調査集計表!E187="","",調査集計表!E187)</f>
        <v/>
      </c>
      <c r="E187" s="29" t="str">
        <f aca="false">IF(調査集計表!F187="","",調査集計表!F187)</f>
        <v/>
      </c>
      <c r="F187" s="29" t="str">
        <f aca="false">IF(調査集計表!H187="","",調査集計表!H187)</f>
        <v/>
      </c>
      <c r="G187" s="29" t="n">
        <f aca="false">COUNT(調査集計表!J187,調査集計表!L187,調査集計表!N187,調査集計表!P187,調査集計表!R187)</f>
        <v>0</v>
      </c>
      <c r="H187" s="29" t="str">
        <f aca="false">IF($G187=0,"",MEDIAN(調査集計表!J187,調査集計表!L187,調査集計表!N187,調査集計表!P187,調査集計表!R187))</f>
        <v/>
      </c>
      <c r="I187" s="29" t="str">
        <f aca="false">IFERROR(AVERAGE(調査集計表!T187,調査集計表!V187),"")</f>
        <v/>
      </c>
      <c r="J187" s="29" t="n">
        <f aca="false">COUNT(調査集計表!T187,調査集計表!V187)</f>
        <v>0</v>
      </c>
      <c r="K187" s="31" t="str">
        <f aca="false">IF($H187="","",ROUND($H187/3*100,1))</f>
        <v/>
      </c>
      <c r="L187" s="31" t="str">
        <f aca="false">IF($I187="","",ROUND($I187/3*100,1))</f>
        <v/>
      </c>
      <c r="M187" s="32" t="str">
        <f aca="false">IFERROR(INDEX(マスタ設定!$E$5:$E$14,MATCH($E187,マスタ設定!$A$5:$A$14,0))/100,"")</f>
        <v/>
      </c>
      <c r="N187" s="32" t="str">
        <f aca="false">IFERROR(INDEX(マスタ設定!$F$5:$F$14,MATCH($E187,マスタ設定!$A$5:$A$14,0))/100,"")</f>
        <v/>
      </c>
      <c r="O187" s="31" t="str">
        <f aca="false">IF(OR($K187="",$L187="",$M187="",$N187=""),"",ROUND($K187*$M187+$L187*$N187,1))</f>
        <v/>
      </c>
      <c r="P187" s="29" t="str">
        <f aca="false">IF($A187="","",IF($O187="","データ不足",IF(AND($G187&gt;=3,$J187&gt;=2),"有効","要確認")))</f>
        <v/>
      </c>
    </row>
    <row r="188" customFormat="false" ht="15" hidden="false" customHeight="false" outlineLevel="0" collapsed="false">
      <c r="A188" s="29" t="str">
        <f aca="false">IF(調査集計表!A188="","",調査集計表!A188)</f>
        <v/>
      </c>
      <c r="B188" s="30" t="str">
        <f aca="false">IF(調査集計表!C188="","",調査集計表!C188)</f>
        <v/>
      </c>
      <c r="C188" s="29" t="str">
        <f aca="false">IF(調査集計表!D188="","",調査集計表!D188)</f>
        <v/>
      </c>
      <c r="D188" s="29" t="str">
        <f aca="false">IF(調査集計表!E188="","",調査集計表!E188)</f>
        <v/>
      </c>
      <c r="E188" s="29" t="str">
        <f aca="false">IF(調査集計表!F188="","",調査集計表!F188)</f>
        <v/>
      </c>
      <c r="F188" s="29" t="str">
        <f aca="false">IF(調査集計表!H188="","",調査集計表!H188)</f>
        <v/>
      </c>
      <c r="G188" s="29" t="n">
        <f aca="false">COUNT(調査集計表!J188,調査集計表!L188,調査集計表!N188,調査集計表!P188,調査集計表!R188)</f>
        <v>0</v>
      </c>
      <c r="H188" s="29" t="str">
        <f aca="false">IF($G188=0,"",MEDIAN(調査集計表!J188,調査集計表!L188,調査集計表!N188,調査集計表!P188,調査集計表!R188))</f>
        <v/>
      </c>
      <c r="I188" s="29" t="str">
        <f aca="false">IFERROR(AVERAGE(調査集計表!T188,調査集計表!V188),"")</f>
        <v/>
      </c>
      <c r="J188" s="29" t="n">
        <f aca="false">COUNT(調査集計表!T188,調査集計表!V188)</f>
        <v>0</v>
      </c>
      <c r="K188" s="31" t="str">
        <f aca="false">IF($H188="","",ROUND($H188/3*100,1))</f>
        <v/>
      </c>
      <c r="L188" s="31" t="str">
        <f aca="false">IF($I188="","",ROUND($I188/3*100,1))</f>
        <v/>
      </c>
      <c r="M188" s="32" t="str">
        <f aca="false">IFERROR(INDEX(マスタ設定!$E$5:$E$14,MATCH($E188,マスタ設定!$A$5:$A$14,0))/100,"")</f>
        <v/>
      </c>
      <c r="N188" s="32" t="str">
        <f aca="false">IFERROR(INDEX(マスタ設定!$F$5:$F$14,MATCH($E188,マスタ設定!$A$5:$A$14,0))/100,"")</f>
        <v/>
      </c>
      <c r="O188" s="31" t="str">
        <f aca="false">IF(OR($K188="",$L188="",$M188="",$N188=""),"",ROUND($K188*$M188+$L188*$N188,1))</f>
        <v/>
      </c>
      <c r="P188" s="29" t="str">
        <f aca="false">IF($A188="","",IF($O188="","データ不足",IF(AND($G188&gt;=3,$J188&gt;=2),"有効","要確認")))</f>
        <v/>
      </c>
    </row>
    <row r="189" customFormat="false" ht="15" hidden="false" customHeight="false" outlineLevel="0" collapsed="false">
      <c r="A189" s="29" t="str">
        <f aca="false">IF(調査集計表!A189="","",調査集計表!A189)</f>
        <v/>
      </c>
      <c r="B189" s="30" t="str">
        <f aca="false">IF(調査集計表!C189="","",調査集計表!C189)</f>
        <v/>
      </c>
      <c r="C189" s="29" t="str">
        <f aca="false">IF(調査集計表!D189="","",調査集計表!D189)</f>
        <v/>
      </c>
      <c r="D189" s="29" t="str">
        <f aca="false">IF(調査集計表!E189="","",調査集計表!E189)</f>
        <v/>
      </c>
      <c r="E189" s="29" t="str">
        <f aca="false">IF(調査集計表!F189="","",調査集計表!F189)</f>
        <v/>
      </c>
      <c r="F189" s="29" t="str">
        <f aca="false">IF(調査集計表!H189="","",調査集計表!H189)</f>
        <v/>
      </c>
      <c r="G189" s="29" t="n">
        <f aca="false">COUNT(調査集計表!J189,調査集計表!L189,調査集計表!N189,調査集計表!P189,調査集計表!R189)</f>
        <v>0</v>
      </c>
      <c r="H189" s="29" t="str">
        <f aca="false">IF($G189=0,"",MEDIAN(調査集計表!J189,調査集計表!L189,調査集計表!N189,調査集計表!P189,調査集計表!R189))</f>
        <v/>
      </c>
      <c r="I189" s="29" t="str">
        <f aca="false">IFERROR(AVERAGE(調査集計表!T189,調査集計表!V189),"")</f>
        <v/>
      </c>
      <c r="J189" s="29" t="n">
        <f aca="false">COUNT(調査集計表!T189,調査集計表!V189)</f>
        <v>0</v>
      </c>
      <c r="K189" s="31" t="str">
        <f aca="false">IF($H189="","",ROUND($H189/3*100,1))</f>
        <v/>
      </c>
      <c r="L189" s="31" t="str">
        <f aca="false">IF($I189="","",ROUND($I189/3*100,1))</f>
        <v/>
      </c>
      <c r="M189" s="32" t="str">
        <f aca="false">IFERROR(INDEX(マスタ設定!$E$5:$E$14,MATCH($E189,マスタ設定!$A$5:$A$14,0))/100,"")</f>
        <v/>
      </c>
      <c r="N189" s="32" t="str">
        <f aca="false">IFERROR(INDEX(マスタ設定!$F$5:$F$14,MATCH($E189,マスタ設定!$A$5:$A$14,0))/100,"")</f>
        <v/>
      </c>
      <c r="O189" s="31" t="str">
        <f aca="false">IF(OR($K189="",$L189="",$M189="",$N189=""),"",ROUND($K189*$M189+$L189*$N189,1))</f>
        <v/>
      </c>
      <c r="P189" s="29" t="str">
        <f aca="false">IF($A189="","",IF($O189="","データ不足",IF(AND($G189&gt;=3,$J189&gt;=2),"有効","要確認")))</f>
        <v/>
      </c>
    </row>
    <row r="190" customFormat="false" ht="15" hidden="false" customHeight="false" outlineLevel="0" collapsed="false">
      <c r="A190" s="29" t="str">
        <f aca="false">IF(調査集計表!A190="","",調査集計表!A190)</f>
        <v/>
      </c>
      <c r="B190" s="30" t="str">
        <f aca="false">IF(調査集計表!C190="","",調査集計表!C190)</f>
        <v/>
      </c>
      <c r="C190" s="29" t="str">
        <f aca="false">IF(調査集計表!D190="","",調査集計表!D190)</f>
        <v/>
      </c>
      <c r="D190" s="29" t="str">
        <f aca="false">IF(調査集計表!E190="","",調査集計表!E190)</f>
        <v/>
      </c>
      <c r="E190" s="29" t="str">
        <f aca="false">IF(調査集計表!F190="","",調査集計表!F190)</f>
        <v/>
      </c>
      <c r="F190" s="29" t="str">
        <f aca="false">IF(調査集計表!H190="","",調査集計表!H190)</f>
        <v/>
      </c>
      <c r="G190" s="29" t="n">
        <f aca="false">COUNT(調査集計表!J190,調査集計表!L190,調査集計表!N190,調査集計表!P190,調査集計表!R190)</f>
        <v>0</v>
      </c>
      <c r="H190" s="29" t="str">
        <f aca="false">IF($G190=0,"",MEDIAN(調査集計表!J190,調査集計表!L190,調査集計表!N190,調査集計表!P190,調査集計表!R190))</f>
        <v/>
      </c>
      <c r="I190" s="29" t="str">
        <f aca="false">IFERROR(AVERAGE(調査集計表!T190,調査集計表!V190),"")</f>
        <v/>
      </c>
      <c r="J190" s="29" t="n">
        <f aca="false">COUNT(調査集計表!T190,調査集計表!V190)</f>
        <v>0</v>
      </c>
      <c r="K190" s="31" t="str">
        <f aca="false">IF($H190="","",ROUND($H190/3*100,1))</f>
        <v/>
      </c>
      <c r="L190" s="31" t="str">
        <f aca="false">IF($I190="","",ROUND($I190/3*100,1))</f>
        <v/>
      </c>
      <c r="M190" s="32" t="str">
        <f aca="false">IFERROR(INDEX(マスタ設定!$E$5:$E$14,MATCH($E190,マスタ設定!$A$5:$A$14,0))/100,"")</f>
        <v/>
      </c>
      <c r="N190" s="32" t="str">
        <f aca="false">IFERROR(INDEX(マスタ設定!$F$5:$F$14,MATCH($E190,マスタ設定!$A$5:$A$14,0))/100,"")</f>
        <v/>
      </c>
      <c r="O190" s="31" t="str">
        <f aca="false">IF(OR($K190="",$L190="",$M190="",$N190=""),"",ROUND($K190*$M190+$L190*$N190,1))</f>
        <v/>
      </c>
      <c r="P190" s="29" t="str">
        <f aca="false">IF($A190="","",IF($O190="","データ不足",IF(AND($G190&gt;=3,$J190&gt;=2),"有効","要確認")))</f>
        <v/>
      </c>
    </row>
    <row r="191" customFormat="false" ht="15" hidden="false" customHeight="false" outlineLevel="0" collapsed="false">
      <c r="A191" s="29" t="str">
        <f aca="false">IF(調査集計表!A191="","",調査集計表!A191)</f>
        <v/>
      </c>
      <c r="B191" s="30" t="str">
        <f aca="false">IF(調査集計表!C191="","",調査集計表!C191)</f>
        <v/>
      </c>
      <c r="C191" s="29" t="str">
        <f aca="false">IF(調査集計表!D191="","",調査集計表!D191)</f>
        <v/>
      </c>
      <c r="D191" s="29" t="str">
        <f aca="false">IF(調査集計表!E191="","",調査集計表!E191)</f>
        <v/>
      </c>
      <c r="E191" s="29" t="str">
        <f aca="false">IF(調査集計表!F191="","",調査集計表!F191)</f>
        <v/>
      </c>
      <c r="F191" s="29" t="str">
        <f aca="false">IF(調査集計表!H191="","",調査集計表!H191)</f>
        <v/>
      </c>
      <c r="G191" s="29" t="n">
        <f aca="false">COUNT(調査集計表!J191,調査集計表!L191,調査集計表!N191,調査集計表!P191,調査集計表!R191)</f>
        <v>0</v>
      </c>
      <c r="H191" s="29" t="str">
        <f aca="false">IF($G191=0,"",MEDIAN(調査集計表!J191,調査集計表!L191,調査集計表!N191,調査集計表!P191,調査集計表!R191))</f>
        <v/>
      </c>
      <c r="I191" s="29" t="str">
        <f aca="false">IFERROR(AVERAGE(調査集計表!T191,調査集計表!V191),"")</f>
        <v/>
      </c>
      <c r="J191" s="29" t="n">
        <f aca="false">COUNT(調査集計表!T191,調査集計表!V191)</f>
        <v>0</v>
      </c>
      <c r="K191" s="31" t="str">
        <f aca="false">IF($H191="","",ROUND($H191/3*100,1))</f>
        <v/>
      </c>
      <c r="L191" s="31" t="str">
        <f aca="false">IF($I191="","",ROUND($I191/3*100,1))</f>
        <v/>
      </c>
      <c r="M191" s="32" t="str">
        <f aca="false">IFERROR(INDEX(マスタ設定!$E$5:$E$14,MATCH($E191,マスタ設定!$A$5:$A$14,0))/100,"")</f>
        <v/>
      </c>
      <c r="N191" s="32" t="str">
        <f aca="false">IFERROR(INDEX(マスタ設定!$F$5:$F$14,MATCH($E191,マスタ設定!$A$5:$A$14,0))/100,"")</f>
        <v/>
      </c>
      <c r="O191" s="31" t="str">
        <f aca="false">IF(OR($K191="",$L191="",$M191="",$N191=""),"",ROUND($K191*$M191+$L191*$N191,1))</f>
        <v/>
      </c>
      <c r="P191" s="29" t="str">
        <f aca="false">IF($A191="","",IF($O191="","データ不足",IF(AND($G191&gt;=3,$J191&gt;=2),"有効","要確認")))</f>
        <v/>
      </c>
    </row>
    <row r="192" customFormat="false" ht="15" hidden="false" customHeight="false" outlineLevel="0" collapsed="false">
      <c r="A192" s="29" t="str">
        <f aca="false">IF(調査集計表!A192="","",調査集計表!A192)</f>
        <v/>
      </c>
      <c r="B192" s="30" t="str">
        <f aca="false">IF(調査集計表!C192="","",調査集計表!C192)</f>
        <v/>
      </c>
      <c r="C192" s="29" t="str">
        <f aca="false">IF(調査集計表!D192="","",調査集計表!D192)</f>
        <v/>
      </c>
      <c r="D192" s="29" t="str">
        <f aca="false">IF(調査集計表!E192="","",調査集計表!E192)</f>
        <v/>
      </c>
      <c r="E192" s="29" t="str">
        <f aca="false">IF(調査集計表!F192="","",調査集計表!F192)</f>
        <v/>
      </c>
      <c r="F192" s="29" t="str">
        <f aca="false">IF(調査集計表!H192="","",調査集計表!H192)</f>
        <v/>
      </c>
      <c r="G192" s="29" t="n">
        <f aca="false">COUNT(調査集計表!J192,調査集計表!L192,調査集計表!N192,調査集計表!P192,調査集計表!R192)</f>
        <v>0</v>
      </c>
      <c r="H192" s="29" t="str">
        <f aca="false">IF($G192=0,"",MEDIAN(調査集計表!J192,調査集計表!L192,調査集計表!N192,調査集計表!P192,調査集計表!R192))</f>
        <v/>
      </c>
      <c r="I192" s="29" t="str">
        <f aca="false">IFERROR(AVERAGE(調査集計表!T192,調査集計表!V192),"")</f>
        <v/>
      </c>
      <c r="J192" s="29" t="n">
        <f aca="false">COUNT(調査集計表!T192,調査集計表!V192)</f>
        <v>0</v>
      </c>
      <c r="K192" s="31" t="str">
        <f aca="false">IF($H192="","",ROUND($H192/3*100,1))</f>
        <v/>
      </c>
      <c r="L192" s="31" t="str">
        <f aca="false">IF($I192="","",ROUND($I192/3*100,1))</f>
        <v/>
      </c>
      <c r="M192" s="32" t="str">
        <f aca="false">IFERROR(INDEX(マスタ設定!$E$5:$E$14,MATCH($E192,マスタ設定!$A$5:$A$14,0))/100,"")</f>
        <v/>
      </c>
      <c r="N192" s="32" t="str">
        <f aca="false">IFERROR(INDEX(マスタ設定!$F$5:$F$14,MATCH($E192,マスタ設定!$A$5:$A$14,0))/100,"")</f>
        <v/>
      </c>
      <c r="O192" s="31" t="str">
        <f aca="false">IF(OR($K192="",$L192="",$M192="",$N192=""),"",ROUND($K192*$M192+$L192*$N192,1))</f>
        <v/>
      </c>
      <c r="P192" s="29" t="str">
        <f aca="false">IF($A192="","",IF($O192="","データ不足",IF(AND($G192&gt;=3,$J192&gt;=2),"有効","要確認")))</f>
        <v/>
      </c>
    </row>
    <row r="193" customFormat="false" ht="15" hidden="false" customHeight="false" outlineLevel="0" collapsed="false">
      <c r="A193" s="29" t="str">
        <f aca="false">IF(調査集計表!A193="","",調査集計表!A193)</f>
        <v/>
      </c>
      <c r="B193" s="30" t="str">
        <f aca="false">IF(調査集計表!C193="","",調査集計表!C193)</f>
        <v/>
      </c>
      <c r="C193" s="29" t="str">
        <f aca="false">IF(調査集計表!D193="","",調査集計表!D193)</f>
        <v/>
      </c>
      <c r="D193" s="29" t="str">
        <f aca="false">IF(調査集計表!E193="","",調査集計表!E193)</f>
        <v/>
      </c>
      <c r="E193" s="29" t="str">
        <f aca="false">IF(調査集計表!F193="","",調査集計表!F193)</f>
        <v/>
      </c>
      <c r="F193" s="29" t="str">
        <f aca="false">IF(調査集計表!H193="","",調査集計表!H193)</f>
        <v/>
      </c>
      <c r="G193" s="29" t="n">
        <f aca="false">COUNT(調査集計表!J193,調査集計表!L193,調査集計表!N193,調査集計表!P193,調査集計表!R193)</f>
        <v>0</v>
      </c>
      <c r="H193" s="29" t="str">
        <f aca="false">IF($G193=0,"",MEDIAN(調査集計表!J193,調査集計表!L193,調査集計表!N193,調査集計表!P193,調査集計表!R193))</f>
        <v/>
      </c>
      <c r="I193" s="29" t="str">
        <f aca="false">IFERROR(AVERAGE(調査集計表!T193,調査集計表!V193),"")</f>
        <v/>
      </c>
      <c r="J193" s="29" t="n">
        <f aca="false">COUNT(調査集計表!T193,調査集計表!V193)</f>
        <v>0</v>
      </c>
      <c r="K193" s="31" t="str">
        <f aca="false">IF($H193="","",ROUND($H193/3*100,1))</f>
        <v/>
      </c>
      <c r="L193" s="31" t="str">
        <f aca="false">IF($I193="","",ROUND($I193/3*100,1))</f>
        <v/>
      </c>
      <c r="M193" s="32" t="str">
        <f aca="false">IFERROR(INDEX(マスタ設定!$E$5:$E$14,MATCH($E193,マスタ設定!$A$5:$A$14,0))/100,"")</f>
        <v/>
      </c>
      <c r="N193" s="32" t="str">
        <f aca="false">IFERROR(INDEX(マスタ設定!$F$5:$F$14,MATCH($E193,マスタ設定!$A$5:$A$14,0))/100,"")</f>
        <v/>
      </c>
      <c r="O193" s="31" t="str">
        <f aca="false">IF(OR($K193="",$L193="",$M193="",$N193=""),"",ROUND($K193*$M193+$L193*$N193,1))</f>
        <v/>
      </c>
      <c r="P193" s="29" t="str">
        <f aca="false">IF($A193="","",IF($O193="","データ不足",IF(AND($G193&gt;=3,$J193&gt;=2),"有効","要確認")))</f>
        <v/>
      </c>
    </row>
    <row r="194" customFormat="false" ht="15" hidden="false" customHeight="false" outlineLevel="0" collapsed="false">
      <c r="A194" s="29" t="str">
        <f aca="false">IF(調査集計表!A194="","",調査集計表!A194)</f>
        <v/>
      </c>
      <c r="B194" s="30" t="str">
        <f aca="false">IF(調査集計表!C194="","",調査集計表!C194)</f>
        <v/>
      </c>
      <c r="C194" s="29" t="str">
        <f aca="false">IF(調査集計表!D194="","",調査集計表!D194)</f>
        <v/>
      </c>
      <c r="D194" s="29" t="str">
        <f aca="false">IF(調査集計表!E194="","",調査集計表!E194)</f>
        <v/>
      </c>
      <c r="E194" s="29" t="str">
        <f aca="false">IF(調査集計表!F194="","",調査集計表!F194)</f>
        <v/>
      </c>
      <c r="F194" s="29" t="str">
        <f aca="false">IF(調査集計表!H194="","",調査集計表!H194)</f>
        <v/>
      </c>
      <c r="G194" s="29" t="n">
        <f aca="false">COUNT(調査集計表!J194,調査集計表!L194,調査集計表!N194,調査集計表!P194,調査集計表!R194)</f>
        <v>0</v>
      </c>
      <c r="H194" s="29" t="str">
        <f aca="false">IF($G194=0,"",MEDIAN(調査集計表!J194,調査集計表!L194,調査集計表!N194,調査集計表!P194,調査集計表!R194))</f>
        <v/>
      </c>
      <c r="I194" s="29" t="str">
        <f aca="false">IFERROR(AVERAGE(調査集計表!T194,調査集計表!V194),"")</f>
        <v/>
      </c>
      <c r="J194" s="29" t="n">
        <f aca="false">COUNT(調査集計表!T194,調査集計表!V194)</f>
        <v>0</v>
      </c>
      <c r="K194" s="31" t="str">
        <f aca="false">IF($H194="","",ROUND($H194/3*100,1))</f>
        <v/>
      </c>
      <c r="L194" s="31" t="str">
        <f aca="false">IF($I194="","",ROUND($I194/3*100,1))</f>
        <v/>
      </c>
      <c r="M194" s="32" t="str">
        <f aca="false">IFERROR(INDEX(マスタ設定!$E$5:$E$14,MATCH($E194,マスタ設定!$A$5:$A$14,0))/100,"")</f>
        <v/>
      </c>
      <c r="N194" s="32" t="str">
        <f aca="false">IFERROR(INDEX(マスタ設定!$F$5:$F$14,MATCH($E194,マスタ設定!$A$5:$A$14,0))/100,"")</f>
        <v/>
      </c>
      <c r="O194" s="31" t="str">
        <f aca="false">IF(OR($K194="",$L194="",$M194="",$N194=""),"",ROUND($K194*$M194+$L194*$N194,1))</f>
        <v/>
      </c>
      <c r="P194" s="29" t="str">
        <f aca="false">IF($A194="","",IF($O194="","データ不足",IF(AND($G194&gt;=3,$J194&gt;=2),"有効","要確認")))</f>
        <v/>
      </c>
    </row>
    <row r="195" customFormat="false" ht="15" hidden="false" customHeight="false" outlineLevel="0" collapsed="false">
      <c r="A195" s="29" t="str">
        <f aca="false">IF(調査集計表!A195="","",調査集計表!A195)</f>
        <v/>
      </c>
      <c r="B195" s="30" t="str">
        <f aca="false">IF(調査集計表!C195="","",調査集計表!C195)</f>
        <v/>
      </c>
      <c r="C195" s="29" t="str">
        <f aca="false">IF(調査集計表!D195="","",調査集計表!D195)</f>
        <v/>
      </c>
      <c r="D195" s="29" t="str">
        <f aca="false">IF(調査集計表!E195="","",調査集計表!E195)</f>
        <v/>
      </c>
      <c r="E195" s="29" t="str">
        <f aca="false">IF(調査集計表!F195="","",調査集計表!F195)</f>
        <v/>
      </c>
      <c r="F195" s="29" t="str">
        <f aca="false">IF(調査集計表!H195="","",調査集計表!H195)</f>
        <v/>
      </c>
      <c r="G195" s="29" t="n">
        <f aca="false">COUNT(調査集計表!J195,調査集計表!L195,調査集計表!N195,調査集計表!P195,調査集計表!R195)</f>
        <v>0</v>
      </c>
      <c r="H195" s="29" t="str">
        <f aca="false">IF($G195=0,"",MEDIAN(調査集計表!J195,調査集計表!L195,調査集計表!N195,調査集計表!P195,調査集計表!R195))</f>
        <v/>
      </c>
      <c r="I195" s="29" t="str">
        <f aca="false">IFERROR(AVERAGE(調査集計表!T195,調査集計表!V195),"")</f>
        <v/>
      </c>
      <c r="J195" s="29" t="n">
        <f aca="false">COUNT(調査集計表!T195,調査集計表!V195)</f>
        <v>0</v>
      </c>
      <c r="K195" s="31" t="str">
        <f aca="false">IF($H195="","",ROUND($H195/3*100,1))</f>
        <v/>
      </c>
      <c r="L195" s="31" t="str">
        <f aca="false">IF($I195="","",ROUND($I195/3*100,1))</f>
        <v/>
      </c>
      <c r="M195" s="32" t="str">
        <f aca="false">IFERROR(INDEX(マスタ設定!$E$5:$E$14,MATCH($E195,マスタ設定!$A$5:$A$14,0))/100,"")</f>
        <v/>
      </c>
      <c r="N195" s="32" t="str">
        <f aca="false">IFERROR(INDEX(マスタ設定!$F$5:$F$14,MATCH($E195,マスタ設定!$A$5:$A$14,0))/100,"")</f>
        <v/>
      </c>
      <c r="O195" s="31" t="str">
        <f aca="false">IF(OR($K195="",$L195="",$M195="",$N195=""),"",ROUND($K195*$M195+$L195*$N195,1))</f>
        <v/>
      </c>
      <c r="P195" s="29" t="str">
        <f aca="false">IF($A195="","",IF($O195="","データ不足",IF(AND($G195&gt;=3,$J195&gt;=2),"有効","要確認")))</f>
        <v/>
      </c>
    </row>
    <row r="196" customFormat="false" ht="15" hidden="false" customHeight="false" outlineLevel="0" collapsed="false">
      <c r="A196" s="29" t="str">
        <f aca="false">IF(調査集計表!A196="","",調査集計表!A196)</f>
        <v/>
      </c>
      <c r="B196" s="30" t="str">
        <f aca="false">IF(調査集計表!C196="","",調査集計表!C196)</f>
        <v/>
      </c>
      <c r="C196" s="29" t="str">
        <f aca="false">IF(調査集計表!D196="","",調査集計表!D196)</f>
        <v/>
      </c>
      <c r="D196" s="29" t="str">
        <f aca="false">IF(調査集計表!E196="","",調査集計表!E196)</f>
        <v/>
      </c>
      <c r="E196" s="29" t="str">
        <f aca="false">IF(調査集計表!F196="","",調査集計表!F196)</f>
        <v/>
      </c>
      <c r="F196" s="29" t="str">
        <f aca="false">IF(調査集計表!H196="","",調査集計表!H196)</f>
        <v/>
      </c>
      <c r="G196" s="29" t="n">
        <f aca="false">COUNT(調査集計表!J196,調査集計表!L196,調査集計表!N196,調査集計表!P196,調査集計表!R196)</f>
        <v>0</v>
      </c>
      <c r="H196" s="29" t="str">
        <f aca="false">IF($G196=0,"",MEDIAN(調査集計表!J196,調査集計表!L196,調査集計表!N196,調査集計表!P196,調査集計表!R196))</f>
        <v/>
      </c>
      <c r="I196" s="29" t="str">
        <f aca="false">IFERROR(AVERAGE(調査集計表!T196,調査集計表!V196),"")</f>
        <v/>
      </c>
      <c r="J196" s="29" t="n">
        <f aca="false">COUNT(調査集計表!T196,調査集計表!V196)</f>
        <v>0</v>
      </c>
      <c r="K196" s="31" t="str">
        <f aca="false">IF($H196="","",ROUND($H196/3*100,1))</f>
        <v/>
      </c>
      <c r="L196" s="31" t="str">
        <f aca="false">IF($I196="","",ROUND($I196/3*100,1))</f>
        <v/>
      </c>
      <c r="M196" s="32" t="str">
        <f aca="false">IFERROR(INDEX(マスタ設定!$E$5:$E$14,MATCH($E196,マスタ設定!$A$5:$A$14,0))/100,"")</f>
        <v/>
      </c>
      <c r="N196" s="32" t="str">
        <f aca="false">IFERROR(INDEX(マスタ設定!$F$5:$F$14,MATCH($E196,マスタ設定!$A$5:$A$14,0))/100,"")</f>
        <v/>
      </c>
      <c r="O196" s="31" t="str">
        <f aca="false">IF(OR($K196="",$L196="",$M196="",$N196=""),"",ROUND($K196*$M196+$L196*$N196,1))</f>
        <v/>
      </c>
      <c r="P196" s="29" t="str">
        <f aca="false">IF($A196="","",IF($O196="","データ不足",IF(AND($G196&gt;=3,$J196&gt;=2),"有効","要確認")))</f>
        <v/>
      </c>
    </row>
    <row r="197" customFormat="false" ht="15" hidden="false" customHeight="false" outlineLevel="0" collapsed="false">
      <c r="A197" s="29" t="str">
        <f aca="false">IF(調査集計表!A197="","",調査集計表!A197)</f>
        <v/>
      </c>
      <c r="B197" s="30" t="str">
        <f aca="false">IF(調査集計表!C197="","",調査集計表!C197)</f>
        <v/>
      </c>
      <c r="C197" s="29" t="str">
        <f aca="false">IF(調査集計表!D197="","",調査集計表!D197)</f>
        <v/>
      </c>
      <c r="D197" s="29" t="str">
        <f aca="false">IF(調査集計表!E197="","",調査集計表!E197)</f>
        <v/>
      </c>
      <c r="E197" s="29" t="str">
        <f aca="false">IF(調査集計表!F197="","",調査集計表!F197)</f>
        <v/>
      </c>
      <c r="F197" s="29" t="str">
        <f aca="false">IF(調査集計表!H197="","",調査集計表!H197)</f>
        <v/>
      </c>
      <c r="G197" s="29" t="n">
        <f aca="false">COUNT(調査集計表!J197,調査集計表!L197,調査集計表!N197,調査集計表!P197,調査集計表!R197)</f>
        <v>0</v>
      </c>
      <c r="H197" s="29" t="str">
        <f aca="false">IF($G197=0,"",MEDIAN(調査集計表!J197,調査集計表!L197,調査集計表!N197,調査集計表!P197,調査集計表!R197))</f>
        <v/>
      </c>
      <c r="I197" s="29" t="str">
        <f aca="false">IFERROR(AVERAGE(調査集計表!T197,調査集計表!V197),"")</f>
        <v/>
      </c>
      <c r="J197" s="29" t="n">
        <f aca="false">COUNT(調査集計表!T197,調査集計表!V197)</f>
        <v>0</v>
      </c>
      <c r="K197" s="31" t="str">
        <f aca="false">IF($H197="","",ROUND($H197/3*100,1))</f>
        <v/>
      </c>
      <c r="L197" s="31" t="str">
        <f aca="false">IF($I197="","",ROUND($I197/3*100,1))</f>
        <v/>
      </c>
      <c r="M197" s="32" t="str">
        <f aca="false">IFERROR(INDEX(マスタ設定!$E$5:$E$14,MATCH($E197,マスタ設定!$A$5:$A$14,0))/100,"")</f>
        <v/>
      </c>
      <c r="N197" s="32" t="str">
        <f aca="false">IFERROR(INDEX(マスタ設定!$F$5:$F$14,MATCH($E197,マスタ設定!$A$5:$A$14,0))/100,"")</f>
        <v/>
      </c>
      <c r="O197" s="31" t="str">
        <f aca="false">IF(OR($K197="",$L197="",$M197="",$N197=""),"",ROUND($K197*$M197+$L197*$N197,1))</f>
        <v/>
      </c>
      <c r="P197" s="29" t="str">
        <f aca="false">IF($A197="","",IF($O197="","データ不足",IF(AND($G197&gt;=3,$J197&gt;=2),"有効","要確認")))</f>
        <v/>
      </c>
    </row>
    <row r="198" customFormat="false" ht="15" hidden="false" customHeight="false" outlineLevel="0" collapsed="false">
      <c r="A198" s="29" t="str">
        <f aca="false">IF(調査集計表!A198="","",調査集計表!A198)</f>
        <v/>
      </c>
      <c r="B198" s="30" t="str">
        <f aca="false">IF(調査集計表!C198="","",調査集計表!C198)</f>
        <v/>
      </c>
      <c r="C198" s="29" t="str">
        <f aca="false">IF(調査集計表!D198="","",調査集計表!D198)</f>
        <v/>
      </c>
      <c r="D198" s="29" t="str">
        <f aca="false">IF(調査集計表!E198="","",調査集計表!E198)</f>
        <v/>
      </c>
      <c r="E198" s="29" t="str">
        <f aca="false">IF(調査集計表!F198="","",調査集計表!F198)</f>
        <v/>
      </c>
      <c r="F198" s="29" t="str">
        <f aca="false">IF(調査集計表!H198="","",調査集計表!H198)</f>
        <v/>
      </c>
      <c r="G198" s="29" t="n">
        <f aca="false">COUNT(調査集計表!J198,調査集計表!L198,調査集計表!N198,調査集計表!P198,調査集計表!R198)</f>
        <v>0</v>
      </c>
      <c r="H198" s="29" t="str">
        <f aca="false">IF($G198=0,"",MEDIAN(調査集計表!J198,調査集計表!L198,調査集計表!N198,調査集計表!P198,調査集計表!R198))</f>
        <v/>
      </c>
      <c r="I198" s="29" t="str">
        <f aca="false">IFERROR(AVERAGE(調査集計表!T198,調査集計表!V198),"")</f>
        <v/>
      </c>
      <c r="J198" s="29" t="n">
        <f aca="false">COUNT(調査集計表!T198,調査集計表!V198)</f>
        <v>0</v>
      </c>
      <c r="K198" s="31" t="str">
        <f aca="false">IF($H198="","",ROUND($H198/3*100,1))</f>
        <v/>
      </c>
      <c r="L198" s="31" t="str">
        <f aca="false">IF($I198="","",ROUND($I198/3*100,1))</f>
        <v/>
      </c>
      <c r="M198" s="32" t="str">
        <f aca="false">IFERROR(INDEX(マスタ設定!$E$5:$E$14,MATCH($E198,マスタ設定!$A$5:$A$14,0))/100,"")</f>
        <v/>
      </c>
      <c r="N198" s="32" t="str">
        <f aca="false">IFERROR(INDEX(マスタ設定!$F$5:$F$14,MATCH($E198,マスタ設定!$A$5:$A$14,0))/100,"")</f>
        <v/>
      </c>
      <c r="O198" s="31" t="str">
        <f aca="false">IF(OR($K198="",$L198="",$M198="",$N198=""),"",ROUND($K198*$M198+$L198*$N198,1))</f>
        <v/>
      </c>
      <c r="P198" s="29" t="str">
        <f aca="false">IF($A198="","",IF($O198="","データ不足",IF(AND($G198&gt;=3,$J198&gt;=2),"有効","要確認")))</f>
        <v/>
      </c>
    </row>
    <row r="199" customFormat="false" ht="15" hidden="false" customHeight="false" outlineLevel="0" collapsed="false">
      <c r="A199" s="29" t="str">
        <f aca="false">IF(調査集計表!A199="","",調査集計表!A199)</f>
        <v/>
      </c>
      <c r="B199" s="30" t="str">
        <f aca="false">IF(調査集計表!C199="","",調査集計表!C199)</f>
        <v/>
      </c>
      <c r="C199" s="29" t="str">
        <f aca="false">IF(調査集計表!D199="","",調査集計表!D199)</f>
        <v/>
      </c>
      <c r="D199" s="29" t="str">
        <f aca="false">IF(調査集計表!E199="","",調査集計表!E199)</f>
        <v/>
      </c>
      <c r="E199" s="29" t="str">
        <f aca="false">IF(調査集計表!F199="","",調査集計表!F199)</f>
        <v/>
      </c>
      <c r="F199" s="29" t="str">
        <f aca="false">IF(調査集計表!H199="","",調査集計表!H199)</f>
        <v/>
      </c>
      <c r="G199" s="29" t="n">
        <f aca="false">COUNT(調査集計表!J199,調査集計表!L199,調査集計表!N199,調査集計表!P199,調査集計表!R199)</f>
        <v>0</v>
      </c>
      <c r="H199" s="29" t="str">
        <f aca="false">IF($G199=0,"",MEDIAN(調査集計表!J199,調査集計表!L199,調査集計表!N199,調査集計表!P199,調査集計表!R199))</f>
        <v/>
      </c>
      <c r="I199" s="29" t="str">
        <f aca="false">IFERROR(AVERAGE(調査集計表!T199,調査集計表!V199),"")</f>
        <v/>
      </c>
      <c r="J199" s="29" t="n">
        <f aca="false">COUNT(調査集計表!T199,調査集計表!V199)</f>
        <v>0</v>
      </c>
      <c r="K199" s="31" t="str">
        <f aca="false">IF($H199="","",ROUND($H199/3*100,1))</f>
        <v/>
      </c>
      <c r="L199" s="31" t="str">
        <f aca="false">IF($I199="","",ROUND($I199/3*100,1))</f>
        <v/>
      </c>
      <c r="M199" s="32" t="str">
        <f aca="false">IFERROR(INDEX(マスタ設定!$E$5:$E$14,MATCH($E199,マスタ設定!$A$5:$A$14,0))/100,"")</f>
        <v/>
      </c>
      <c r="N199" s="32" t="str">
        <f aca="false">IFERROR(INDEX(マスタ設定!$F$5:$F$14,MATCH($E199,マスタ設定!$A$5:$A$14,0))/100,"")</f>
        <v/>
      </c>
      <c r="O199" s="31" t="str">
        <f aca="false">IF(OR($K199="",$L199="",$M199="",$N199=""),"",ROUND($K199*$M199+$L199*$N199,1))</f>
        <v/>
      </c>
      <c r="P199" s="29" t="str">
        <f aca="false">IF($A199="","",IF($O199="","データ不足",IF(AND($G199&gt;=3,$J199&gt;=2),"有効","要確認")))</f>
        <v/>
      </c>
    </row>
    <row r="200" customFormat="false" ht="15" hidden="false" customHeight="false" outlineLevel="0" collapsed="false">
      <c r="A200" s="29" t="str">
        <f aca="false">IF(調査集計表!A200="","",調査集計表!A200)</f>
        <v/>
      </c>
      <c r="B200" s="30" t="str">
        <f aca="false">IF(調査集計表!C200="","",調査集計表!C200)</f>
        <v/>
      </c>
      <c r="C200" s="29" t="str">
        <f aca="false">IF(調査集計表!D200="","",調査集計表!D200)</f>
        <v/>
      </c>
      <c r="D200" s="29" t="str">
        <f aca="false">IF(調査集計表!E200="","",調査集計表!E200)</f>
        <v/>
      </c>
      <c r="E200" s="29" t="str">
        <f aca="false">IF(調査集計表!F200="","",調査集計表!F200)</f>
        <v/>
      </c>
      <c r="F200" s="29" t="str">
        <f aca="false">IF(調査集計表!H200="","",調査集計表!H200)</f>
        <v/>
      </c>
      <c r="G200" s="29" t="n">
        <f aca="false">COUNT(調査集計表!J200,調査集計表!L200,調査集計表!N200,調査集計表!P200,調査集計表!R200)</f>
        <v>0</v>
      </c>
      <c r="H200" s="29" t="str">
        <f aca="false">IF($G200=0,"",MEDIAN(調査集計表!J200,調査集計表!L200,調査集計表!N200,調査集計表!P200,調査集計表!R200))</f>
        <v/>
      </c>
      <c r="I200" s="29" t="str">
        <f aca="false">IFERROR(AVERAGE(調査集計表!T200,調査集計表!V200),"")</f>
        <v/>
      </c>
      <c r="J200" s="29" t="n">
        <f aca="false">COUNT(調査集計表!T200,調査集計表!V200)</f>
        <v>0</v>
      </c>
      <c r="K200" s="31" t="str">
        <f aca="false">IF($H200="","",ROUND($H200/3*100,1))</f>
        <v/>
      </c>
      <c r="L200" s="31" t="str">
        <f aca="false">IF($I200="","",ROUND($I200/3*100,1))</f>
        <v/>
      </c>
      <c r="M200" s="32" t="str">
        <f aca="false">IFERROR(INDEX(マスタ設定!$E$5:$E$14,MATCH($E200,マスタ設定!$A$5:$A$14,0))/100,"")</f>
        <v/>
      </c>
      <c r="N200" s="32" t="str">
        <f aca="false">IFERROR(INDEX(マスタ設定!$F$5:$F$14,MATCH($E200,マスタ設定!$A$5:$A$14,0))/100,"")</f>
        <v/>
      </c>
      <c r="O200" s="31" t="str">
        <f aca="false">IF(OR($K200="",$L200="",$M200="",$N200=""),"",ROUND($K200*$M200+$L200*$N200,1))</f>
        <v/>
      </c>
      <c r="P200" s="29" t="str">
        <f aca="false">IF($A200="","",IF($O200="","データ不足",IF(AND($G200&gt;=3,$J200&gt;=2),"有効","要確認")))</f>
        <v/>
      </c>
    </row>
    <row r="201" customFormat="false" ht="15" hidden="false" customHeight="false" outlineLevel="0" collapsed="false">
      <c r="A201" s="29" t="str">
        <f aca="false">IF(調査集計表!A201="","",調査集計表!A201)</f>
        <v/>
      </c>
      <c r="B201" s="30" t="str">
        <f aca="false">IF(調査集計表!C201="","",調査集計表!C201)</f>
        <v/>
      </c>
      <c r="C201" s="29" t="str">
        <f aca="false">IF(調査集計表!D201="","",調査集計表!D201)</f>
        <v/>
      </c>
      <c r="D201" s="29" t="str">
        <f aca="false">IF(調査集計表!E201="","",調査集計表!E201)</f>
        <v/>
      </c>
      <c r="E201" s="29" t="str">
        <f aca="false">IF(調査集計表!F201="","",調査集計表!F201)</f>
        <v/>
      </c>
      <c r="F201" s="29" t="str">
        <f aca="false">IF(調査集計表!H201="","",調査集計表!H201)</f>
        <v/>
      </c>
      <c r="G201" s="29" t="n">
        <f aca="false">COUNT(調査集計表!J201,調査集計表!L201,調査集計表!N201,調査集計表!P201,調査集計表!R201)</f>
        <v>0</v>
      </c>
      <c r="H201" s="29" t="str">
        <f aca="false">IF($G201=0,"",MEDIAN(調査集計表!J201,調査集計表!L201,調査集計表!N201,調査集計表!P201,調査集計表!R201))</f>
        <v/>
      </c>
      <c r="I201" s="29" t="str">
        <f aca="false">IFERROR(AVERAGE(調査集計表!T201,調査集計表!V201),"")</f>
        <v/>
      </c>
      <c r="J201" s="29" t="n">
        <f aca="false">COUNT(調査集計表!T201,調査集計表!V201)</f>
        <v>0</v>
      </c>
      <c r="K201" s="31" t="str">
        <f aca="false">IF($H201="","",ROUND($H201/3*100,1))</f>
        <v/>
      </c>
      <c r="L201" s="31" t="str">
        <f aca="false">IF($I201="","",ROUND($I201/3*100,1))</f>
        <v/>
      </c>
      <c r="M201" s="32" t="str">
        <f aca="false">IFERROR(INDEX(マスタ設定!$E$5:$E$14,MATCH($E201,マスタ設定!$A$5:$A$14,0))/100,"")</f>
        <v/>
      </c>
      <c r="N201" s="32" t="str">
        <f aca="false">IFERROR(INDEX(マスタ設定!$F$5:$F$14,MATCH($E201,マスタ設定!$A$5:$A$14,0))/100,"")</f>
        <v/>
      </c>
      <c r="O201" s="31" t="str">
        <f aca="false">IF(OR($K201="",$L201="",$M201="",$N201=""),"",ROUND($K201*$M201+$L201*$N201,1))</f>
        <v/>
      </c>
      <c r="P201" s="29" t="str">
        <f aca="false">IF($A201="","",IF($O201="","データ不足",IF(AND($G201&gt;=3,$J201&gt;=2),"有効","要確認")))</f>
        <v/>
      </c>
    </row>
    <row r="202" customFormat="false" ht="15" hidden="false" customHeight="false" outlineLevel="0" collapsed="false">
      <c r="A202" s="29" t="str">
        <f aca="false">IF(調査集計表!A202="","",調査集計表!A202)</f>
        <v/>
      </c>
      <c r="B202" s="30" t="str">
        <f aca="false">IF(調査集計表!C202="","",調査集計表!C202)</f>
        <v/>
      </c>
      <c r="C202" s="29" t="str">
        <f aca="false">IF(調査集計表!D202="","",調査集計表!D202)</f>
        <v/>
      </c>
      <c r="D202" s="29" t="str">
        <f aca="false">IF(調査集計表!E202="","",調査集計表!E202)</f>
        <v/>
      </c>
      <c r="E202" s="29" t="str">
        <f aca="false">IF(調査集計表!F202="","",調査集計表!F202)</f>
        <v/>
      </c>
      <c r="F202" s="29" t="str">
        <f aca="false">IF(調査集計表!H202="","",調査集計表!H202)</f>
        <v/>
      </c>
      <c r="G202" s="29" t="n">
        <f aca="false">COUNT(調査集計表!J202,調査集計表!L202,調査集計表!N202,調査集計表!P202,調査集計表!R202)</f>
        <v>0</v>
      </c>
      <c r="H202" s="29" t="str">
        <f aca="false">IF($G202=0,"",MEDIAN(調査集計表!J202,調査集計表!L202,調査集計表!N202,調査集計表!P202,調査集計表!R202))</f>
        <v/>
      </c>
      <c r="I202" s="29" t="str">
        <f aca="false">IFERROR(AVERAGE(調査集計表!T202,調査集計表!V202),"")</f>
        <v/>
      </c>
      <c r="J202" s="29" t="n">
        <f aca="false">COUNT(調査集計表!T202,調査集計表!V202)</f>
        <v>0</v>
      </c>
      <c r="K202" s="31" t="str">
        <f aca="false">IF($H202="","",ROUND($H202/3*100,1))</f>
        <v/>
      </c>
      <c r="L202" s="31" t="str">
        <f aca="false">IF($I202="","",ROUND($I202/3*100,1))</f>
        <v/>
      </c>
      <c r="M202" s="32" t="str">
        <f aca="false">IFERROR(INDEX(マスタ設定!$E$5:$E$14,MATCH($E202,マスタ設定!$A$5:$A$14,0))/100,"")</f>
        <v/>
      </c>
      <c r="N202" s="32" t="str">
        <f aca="false">IFERROR(INDEX(マスタ設定!$F$5:$F$14,MATCH($E202,マスタ設定!$A$5:$A$14,0))/100,"")</f>
        <v/>
      </c>
      <c r="O202" s="31" t="str">
        <f aca="false">IF(OR($K202="",$L202="",$M202="",$N202=""),"",ROUND($K202*$M202+$L202*$N202,1))</f>
        <v/>
      </c>
      <c r="P202" s="29" t="str">
        <f aca="false">IF($A202="","",IF($O202="","データ不足",IF(AND($G202&gt;=3,$J202&gt;=2),"有効","要確認")))</f>
        <v/>
      </c>
    </row>
    <row r="204" customFormat="false" ht="15" hidden="false" customHeight="false" outlineLevel="0" collapsed="false">
      <c r="A204" s="6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12" min="4" style="0" width="12"/>
  </cols>
  <sheetData>
    <row r="1" customFormat="false" ht="21.6" hidden="false" customHeight="false" outlineLevel="0" collapsed="false">
      <c r="A1" s="1" t="s">
        <v>200</v>
      </c>
    </row>
    <row r="2" customFormat="false" ht="15" hidden="false" customHeight="false" outlineLevel="0" collapsed="false">
      <c r="A2" s="9" t="s">
        <v>46</v>
      </c>
      <c r="B2" s="9" t="s">
        <v>47</v>
      </c>
      <c r="C2" s="9" t="s">
        <v>27</v>
      </c>
      <c r="D2" s="9" t="str">
        <f aca="false">マスタ設定!A41</f>
        <v>2026 Q1</v>
      </c>
      <c r="E2" s="9" t="str">
        <f aca="false">マスタ設定!A42</f>
        <v>2026 Q2</v>
      </c>
      <c r="F2" s="9" t="str">
        <f aca="false">マスタ設定!A43</f>
        <v>2026 Q3</v>
      </c>
      <c r="G2" s="9" t="str">
        <f aca="false">マスタ設定!A44</f>
        <v>2026 Q4</v>
      </c>
      <c r="H2" s="9" t="str">
        <f aca="false">マスタ設定!A45</f>
        <v>2027 Q1</v>
      </c>
      <c r="I2" s="9" t="str">
        <f aca="false">マスタ設定!A46</f>
        <v>2027 Q2</v>
      </c>
      <c r="J2" s="9" t="str">
        <f aca="false">マスタ設定!A47</f>
        <v>2027 Q3</v>
      </c>
      <c r="K2" s="9" t="str">
        <f aca="false">マスタ設定!A48</f>
        <v>2027 Q4</v>
      </c>
      <c r="L2" s="9" t="str">
        <f aca="false">マスタ設定!A49</f>
        <v>2028 Q1</v>
      </c>
    </row>
    <row r="3" customFormat="false" ht="15" hidden="false" customHeight="false" outlineLevel="0" collapsed="false">
      <c r="A3" s="29" t="str">
        <f aca="false">IF(マスタ設定!A18="","",マスタ設定!A18)</f>
        <v>P01</v>
      </c>
      <c r="B3" s="29" t="str">
        <f aca="false">IF(マスタ設定!B18="","",マスタ設定!B18)</f>
        <v>佐藤（記入例）</v>
      </c>
      <c r="C3" s="29" t="str">
        <f aca="false">IF(マスタ設定!C18="","",マスタ設定!C18)</f>
        <v>U01</v>
      </c>
      <c r="D3" s="31" t="n">
        <f aca="false">IF($A3="","",IFERROR(AVERAGEIFS(スコアリング!$O$3:$O$202,スコアリング!$C$3:$C$202,$A3,スコアリング!$P$3:$P$202,"有効",スコアリング!$B$3:$B$202,"&gt;="&amp;マスタ設定!$B$41-364,スコアリング!$B$3:$B$202,"&lt;="&amp;マスタ設定!$B$41),""))</f>
        <v>69.2</v>
      </c>
      <c r="E3" s="31" t="n">
        <f aca="false">IF($A3="","",IFERROR(AVERAGEIFS(スコアリング!$O$3:$O$202,スコアリング!$C$3:$C$202,$A3,スコアリング!$P$3:$P$202,"有効",スコアリング!$B$3:$B$202,"&gt;="&amp;マスタ設定!$B$42-364,スコアリング!$B$3:$B$202,"&lt;="&amp;マスタ設定!$B$42),""))</f>
        <v>79.4666666666667</v>
      </c>
      <c r="F3" s="31" t="n">
        <f aca="false">IF($A3="","",IFERROR(AVERAGEIFS(スコアリング!$O$3:$O$202,スコアリング!$C$3:$C$202,$A3,スコアリング!$P$3:$P$202,"有効",スコアリング!$B$3:$B$202,"&gt;="&amp;マスタ設定!$B$43-364,スコアリング!$B$3:$B$202,"&lt;="&amp;マスタ設定!$B$43),""))</f>
        <v>84.6</v>
      </c>
      <c r="G3" s="31" t="n">
        <f aca="false">IF($A3="","",IFERROR(AVERAGEIFS(スコアリング!$O$3:$O$202,スコアリング!$C$3:$C$202,$A3,スコアリング!$P$3:$P$202,"有効",スコアリング!$B$3:$B$202,"&gt;="&amp;マスタ設定!$B$44-364,スコアリング!$B$3:$B$202,"&lt;="&amp;マスタ設定!$B$44),""))</f>
        <v>91.02</v>
      </c>
      <c r="H3" s="31" t="n">
        <f aca="false">IF($A3="","",IFERROR(AVERAGEIFS(スコアリング!$O$3:$O$202,スコアリング!$C$3:$C$202,$A3,スコアリング!$P$3:$P$202,"有効",スコアリング!$B$3:$B$202,"&gt;="&amp;マスタ設定!$B$45-364,スコアリング!$B$3:$B$202,"&lt;="&amp;マスタ設定!$B$45),""))</f>
        <v>111.25</v>
      </c>
      <c r="I3" s="31" t="n">
        <f aca="false">IF($A3="","",IFERROR(AVERAGEIFS(スコアリング!$O$3:$O$202,スコアリング!$C$3:$C$202,$A3,スコアリング!$P$3:$P$202,"有効",スコアリング!$B$3:$B$202,"&gt;="&amp;マスタ設定!$B$46-364,スコアリング!$B$3:$B$202,"&lt;="&amp;マスタ設定!$B$46),""))</f>
        <v>112.5</v>
      </c>
      <c r="J3" s="31" t="n">
        <f aca="false">IF($A3="","",IFERROR(AVERAGEIFS(スコアリング!$O$3:$O$202,スコアリング!$C$3:$C$202,$A3,スコアリング!$P$3:$P$202,"有効",スコアリング!$B$3:$B$202,"&gt;="&amp;マスタ設定!$B$47-364,スコアリング!$B$3:$B$202,"&lt;="&amp;マスタ設定!$B$47),""))</f>
        <v>116.666666666667</v>
      </c>
      <c r="K3" s="31" t="n">
        <f aca="false">IF($A3="","",IFERROR(AVERAGEIFS(スコアリング!$O$3:$O$202,スコアリング!$C$3:$C$202,$A3,スコアリング!$P$3:$P$202,"有効",スコアリング!$B$3:$B$202,"&gt;="&amp;マスタ設定!$B$48-364,スコアリング!$B$3:$B$202,"&lt;="&amp;マスタ設定!$B$48),""))</f>
        <v>111.1</v>
      </c>
      <c r="L3" s="31" t="n">
        <f aca="false">IF($A3="","",IFERROR(AVERAGEIFS(スコアリング!$O$3:$O$202,スコアリング!$C$3:$C$202,$A3,スコアリング!$P$3:$P$202,"有効",スコアリング!$B$3:$B$202,"&gt;="&amp;マスタ設定!$B$49-364,スコアリング!$B$3:$B$202,"&lt;="&amp;マスタ設定!$B$49),""))</f>
        <v>103.333333333333</v>
      </c>
    </row>
    <row r="4" customFormat="false" ht="15" hidden="false" customHeight="false" outlineLevel="0" collapsed="false">
      <c r="A4" s="29" t="str">
        <f aca="false">IF(マスタ設定!A19="","",マスタ設定!A19)</f>
        <v>P02</v>
      </c>
      <c r="B4" s="29" t="str">
        <f aca="false">IF(マスタ設定!B19="","",マスタ設定!B19)</f>
        <v>鈴木（記入例）</v>
      </c>
      <c r="C4" s="29" t="str">
        <f aca="false">IF(マスタ設定!C19="","",マスタ設定!C19)</f>
        <v>U01</v>
      </c>
      <c r="D4" s="31" t="n">
        <f aca="false">IF($A4="","",IFERROR(AVERAGEIFS(スコアリング!$O$3:$O$202,スコアリング!$C$3:$C$202,$A4,スコアリング!$P$3:$P$202,"有効",スコアリング!$B$3:$B$202,"&gt;="&amp;マスタ設定!$B$41-364,スコアリング!$B$3:$B$202,"&lt;="&amp;マスタ設定!$B$41),""))</f>
        <v>66.7</v>
      </c>
      <c r="E4" s="31" t="n">
        <f aca="false">IF($A4="","",IFERROR(AVERAGEIFS(スコアリング!$O$3:$O$202,スコアリング!$C$3:$C$202,$A4,スコアリング!$P$3:$P$202,"有効",スコアリング!$B$3:$B$202,"&gt;="&amp;マスタ設定!$B$42-364,スコアリング!$B$3:$B$202,"&lt;="&amp;マスタ設定!$B$42),""))</f>
        <v>66.7</v>
      </c>
      <c r="F4" s="31" t="n">
        <f aca="false">IF($A4="","",IFERROR(AVERAGEIFS(スコアリング!$O$3:$O$202,スコアリング!$C$3:$C$202,$A4,スコアリング!$P$3:$P$202,"有効",スコアリング!$B$3:$B$202,"&gt;="&amp;マスタ設定!$B$43-364,スコアリング!$B$3:$B$202,"&lt;="&amp;マスタ設定!$B$43),""))</f>
        <v>76.1333333333333</v>
      </c>
      <c r="G4" s="31" t="n">
        <f aca="false">IF($A4="","",IFERROR(AVERAGEIFS(スコアリング!$O$3:$O$202,スコアリング!$C$3:$C$202,$A4,スコアリング!$P$3:$P$202,"有効",スコアリング!$B$3:$B$202,"&gt;="&amp;マスタ設定!$B$44-364,スコアリング!$B$3:$B$202,"&lt;="&amp;マスタ設定!$B$44),""))</f>
        <v>82.1</v>
      </c>
      <c r="H4" s="31" t="n">
        <f aca="false">IF($A4="","",IFERROR(AVERAGEIFS(スコアリング!$O$3:$O$202,スコアリング!$C$3:$C$202,$A4,スコアリング!$P$3:$P$202,"有効",スコアリング!$B$3:$B$202,"&gt;="&amp;マスタ設定!$B$45-364,スコアリング!$B$3:$B$202,"&lt;="&amp;マスタ設定!$B$45),""))</f>
        <v>90.425</v>
      </c>
      <c r="I4" s="31" t="n">
        <f aca="false">IF($A4="","",IFERROR(AVERAGEIFS(スコアリング!$O$3:$O$202,スコアリング!$C$3:$C$202,$A4,スコアリング!$P$3:$P$202,"有効",スコアリング!$B$3:$B$202,"&gt;="&amp;マスタ設定!$B$46-364,スコアリング!$B$3:$B$202,"&lt;="&amp;マスタ設定!$B$46),""))</f>
        <v>98.3333333333333</v>
      </c>
      <c r="J4" s="31" t="n">
        <f aca="false">IF($A4="","",IFERROR(AVERAGEIFS(スコアリング!$O$3:$O$202,スコアリング!$C$3:$C$202,$A4,スコアリング!$P$3:$P$202,"有効",スコアリング!$B$3:$B$202,"&gt;="&amp;マスタ設定!$B$47-364,スコアリング!$B$3:$B$202,"&lt;="&amp;マスタ設定!$B$47),""))</f>
        <v>100</v>
      </c>
      <c r="K4" s="31" t="n">
        <f aca="false">IF($A4="","",IFERROR(AVERAGEIFS(スコアリング!$O$3:$O$202,スコアリング!$C$3:$C$202,$A4,スコアリング!$P$3:$P$202,"有効",スコアリング!$B$3:$B$202,"&gt;="&amp;マスタ設定!$B$48-364,スコアリング!$B$3:$B$202,"&lt;="&amp;マスタ設定!$B$48),""))</f>
        <v>100</v>
      </c>
      <c r="L4" s="31" t="n">
        <f aca="false">IF($A4="","",IFERROR(AVERAGEIFS(スコアリング!$O$3:$O$202,スコアリング!$C$3:$C$202,$A4,スコアリング!$P$3:$P$202,"有効",スコアリング!$B$3:$B$202,"&gt;="&amp;マスタ設定!$B$49-364,スコアリング!$B$3:$B$202,"&lt;="&amp;マスタ設定!$B$49),""))</f>
        <v>101.666666666667</v>
      </c>
    </row>
    <row r="5" customFormat="false" ht="15" hidden="false" customHeight="false" outlineLevel="0" collapsed="false">
      <c r="A5" s="29" t="str">
        <f aca="false">IF(マスタ設定!A20="","",マスタ設定!A20)</f>
        <v>P03</v>
      </c>
      <c r="B5" s="29" t="str">
        <f aca="false">IF(マスタ設定!B20="","",マスタ設定!B20)</f>
        <v>田中（記入例）</v>
      </c>
      <c r="C5" s="29" t="str">
        <f aca="false">IF(マスタ設定!C20="","",マスタ設定!C20)</f>
        <v>U02</v>
      </c>
      <c r="D5" s="31" t="n">
        <f aca="false">IF($A5="","",IFERROR(AVERAGEIFS(スコアリング!$O$3:$O$202,スコアリング!$C$3:$C$202,$A5,スコアリング!$P$3:$P$202,"有効",スコアリング!$B$3:$B$202,"&gt;="&amp;マスタ設定!$B$41-364,スコアリング!$B$3:$B$202,"&lt;="&amp;マスタ設定!$B$41),""))</f>
        <v>91.7</v>
      </c>
      <c r="E5" s="31" t="n">
        <f aca="false">IF($A5="","",IFERROR(AVERAGEIFS(スコアリング!$O$3:$O$202,スコアリング!$C$3:$C$202,$A5,スコアリング!$P$3:$P$202,"有効",スコアリング!$B$3:$B$202,"&gt;="&amp;マスタ設定!$B$42-364,スコアリング!$B$3:$B$202,"&lt;="&amp;マスタ設定!$B$42),""))</f>
        <v>95.85</v>
      </c>
      <c r="F5" s="31" t="n">
        <f aca="false">IF($A5="","",IFERROR(AVERAGEIFS(スコアリング!$O$3:$O$202,スコアリング!$C$3:$C$202,$A5,スコアリング!$P$3:$P$202,"有効",スコアリング!$B$3:$B$202,"&gt;="&amp;マスタ設定!$B$43-364,スコアリング!$B$3:$B$202,"&lt;="&amp;マスタ設定!$B$43),""))</f>
        <v>102.8</v>
      </c>
      <c r="G5" s="31" t="n">
        <f aca="false">IF($A5="","",IFERROR(AVERAGEIFS(スコアリング!$O$3:$O$202,スコアリング!$C$3:$C$202,$A5,スコアリング!$P$3:$P$202,"有効",スコアリング!$B$3:$B$202,"&gt;="&amp;マスタ設定!$B$44-364,スコアリング!$B$3:$B$202,"&lt;="&amp;マスタ設定!$B$44),""))</f>
        <v>110.425</v>
      </c>
      <c r="H5" s="31" t="n">
        <f aca="false">IF($A5="","",IFERROR(AVERAGEIFS(スコアリング!$O$3:$O$202,スコアリング!$C$3:$C$202,$A5,スコアリング!$P$3:$P$202,"有効",スコアリング!$B$3:$B$202,"&gt;="&amp;マスタ設定!$B$45-364,スコアリング!$B$3:$B$202,"&lt;="&amp;マスタ設定!$B$45),""))</f>
        <v>125</v>
      </c>
      <c r="I5" s="31" t="n">
        <f aca="false">IF($A5="","",IFERROR(AVERAGEIFS(スコアリング!$O$3:$O$202,スコアリング!$C$3:$C$202,$A5,スコアリング!$P$3:$P$202,"有効",スコアリング!$B$3:$B$202,"&gt;="&amp;マスタ設定!$B$46-364,スコアリング!$B$3:$B$202,"&lt;="&amp;マスタ設定!$B$46),""))</f>
        <v>133.333333333333</v>
      </c>
      <c r="J5" s="31" t="n">
        <f aca="false">IF($A5="","",IFERROR(AVERAGEIFS(スコアリング!$O$3:$O$202,スコアリング!$C$3:$C$202,$A5,スコアリング!$P$3:$P$202,"有効",スコアリング!$B$3:$B$202,"&gt;="&amp;マスタ設定!$B$47-364,スコアリング!$B$3:$B$202,"&lt;="&amp;マスタ設定!$B$47),""))</f>
        <v>147.233333333333</v>
      </c>
      <c r="K5" s="31" t="n">
        <f aca="false">IF($A5="","",IFERROR(AVERAGEIFS(スコアリング!$O$3:$O$202,スコアリング!$C$3:$C$202,$A5,スコアリング!$P$3:$P$202,"有効",スコアリング!$B$3:$B$202,"&gt;="&amp;マスタ設定!$B$48-364,スコアリング!$B$3:$B$202,"&lt;="&amp;マスタ設定!$B$48),""))</f>
        <v>158.366666666667</v>
      </c>
      <c r="L5" s="31" t="n">
        <f aca="false">IF($A5="","",IFERROR(AVERAGEIFS(スコアリング!$O$3:$O$202,スコアリング!$C$3:$C$202,$A5,スコアリング!$P$3:$P$202,"有効",スコアリング!$B$3:$B$202,"&gt;="&amp;マスタ設定!$B$49-364,スコアリング!$B$3:$B$202,"&lt;="&amp;マスタ設定!$B$49),""))</f>
        <v>163.933333333333</v>
      </c>
    </row>
    <row r="6" customFormat="false" ht="15" hidden="false" customHeight="false" outlineLevel="0" collapsed="false">
      <c r="A6" s="29" t="str">
        <f aca="false">IF(マスタ設定!A21="","",マスタ設定!A21)</f>
        <v/>
      </c>
      <c r="B6" s="29" t="str">
        <f aca="false">IF(マスタ設定!B21="","",マスタ設定!B21)</f>
        <v/>
      </c>
      <c r="C6" s="29" t="str">
        <f aca="false">IF(マスタ設定!C21="","",マスタ設定!C21)</f>
        <v/>
      </c>
      <c r="D6" s="31" t="str">
        <f aca="false">IF($A6="","",IFERROR(AVERAGEIFS(スコアリング!$O$3:$O$202,スコアリング!$C$3:$C$202,$A6,スコアリング!$P$3:$P$202,"有効",スコアリング!$B$3:$B$202,"&gt;="&amp;マスタ設定!$B$41-364,スコアリング!$B$3:$B$202,"&lt;="&amp;マスタ設定!$B$41),""))</f>
        <v/>
      </c>
      <c r="E6" s="31" t="str">
        <f aca="false">IF($A6="","",IFERROR(AVERAGEIFS(スコアリング!$O$3:$O$202,スコアリング!$C$3:$C$202,$A6,スコアリング!$P$3:$P$202,"有効",スコアリング!$B$3:$B$202,"&gt;="&amp;マスタ設定!$B$42-364,スコアリング!$B$3:$B$202,"&lt;="&amp;マスタ設定!$B$42),""))</f>
        <v/>
      </c>
      <c r="F6" s="31" t="str">
        <f aca="false">IF($A6="","",IFERROR(AVERAGEIFS(スコアリング!$O$3:$O$202,スコアリング!$C$3:$C$202,$A6,スコアリング!$P$3:$P$202,"有効",スコアリング!$B$3:$B$202,"&gt;="&amp;マスタ設定!$B$43-364,スコアリング!$B$3:$B$202,"&lt;="&amp;マスタ設定!$B$43),""))</f>
        <v/>
      </c>
      <c r="G6" s="31" t="str">
        <f aca="false">IF($A6="","",IFERROR(AVERAGEIFS(スコアリング!$O$3:$O$202,スコアリング!$C$3:$C$202,$A6,スコアリング!$P$3:$P$202,"有効",スコアリング!$B$3:$B$202,"&gt;="&amp;マスタ設定!$B$44-364,スコアリング!$B$3:$B$202,"&lt;="&amp;マスタ設定!$B$44),""))</f>
        <v/>
      </c>
      <c r="H6" s="31" t="str">
        <f aca="false">IF($A6="","",IFERROR(AVERAGEIFS(スコアリング!$O$3:$O$202,スコアリング!$C$3:$C$202,$A6,スコアリング!$P$3:$P$202,"有効",スコアリング!$B$3:$B$202,"&gt;="&amp;マスタ設定!$B$45-364,スコアリング!$B$3:$B$202,"&lt;="&amp;マスタ設定!$B$45),""))</f>
        <v/>
      </c>
      <c r="I6" s="31" t="str">
        <f aca="false">IF($A6="","",IFERROR(AVERAGEIFS(スコアリング!$O$3:$O$202,スコアリング!$C$3:$C$202,$A6,スコアリング!$P$3:$P$202,"有効",スコアリング!$B$3:$B$202,"&gt;="&amp;マスタ設定!$B$46-364,スコアリング!$B$3:$B$202,"&lt;="&amp;マスタ設定!$B$46),""))</f>
        <v/>
      </c>
      <c r="J6" s="31" t="str">
        <f aca="false">IF($A6="","",IFERROR(AVERAGEIFS(スコアリング!$O$3:$O$202,スコアリング!$C$3:$C$202,$A6,スコアリング!$P$3:$P$202,"有効",スコアリング!$B$3:$B$202,"&gt;="&amp;マスタ設定!$B$47-364,スコアリング!$B$3:$B$202,"&lt;="&amp;マスタ設定!$B$47),""))</f>
        <v/>
      </c>
      <c r="K6" s="31" t="str">
        <f aca="false">IF($A6="","",IFERROR(AVERAGEIFS(スコアリング!$O$3:$O$202,スコアリング!$C$3:$C$202,$A6,スコアリング!$P$3:$P$202,"有効",スコアリング!$B$3:$B$202,"&gt;="&amp;マスタ設定!$B$48-364,スコアリング!$B$3:$B$202,"&lt;="&amp;マスタ設定!$B$48),""))</f>
        <v/>
      </c>
      <c r="L6" s="31" t="str">
        <f aca="false">IF($A6="","",IFERROR(AVERAGEIFS(スコアリング!$O$3:$O$202,スコアリング!$C$3:$C$202,$A6,スコアリング!$P$3:$P$202,"有効",スコアリング!$B$3:$B$202,"&gt;="&amp;マスタ設定!$B$49-364,スコアリング!$B$3:$B$202,"&lt;="&amp;マスタ設定!$B$49),""))</f>
        <v/>
      </c>
    </row>
    <row r="7" customFormat="false" ht="15" hidden="false" customHeight="false" outlineLevel="0" collapsed="false">
      <c r="A7" s="29" t="str">
        <f aca="false">IF(マスタ設定!A22="","",マスタ設定!A22)</f>
        <v/>
      </c>
      <c r="B7" s="29" t="str">
        <f aca="false">IF(マスタ設定!B22="","",マスタ設定!B22)</f>
        <v/>
      </c>
      <c r="C7" s="29" t="str">
        <f aca="false">IF(マスタ設定!C22="","",マスタ設定!C22)</f>
        <v/>
      </c>
      <c r="D7" s="31" t="str">
        <f aca="false">IF($A7="","",IFERROR(AVERAGEIFS(スコアリング!$O$3:$O$202,スコアリング!$C$3:$C$202,$A7,スコアリング!$P$3:$P$202,"有効",スコアリング!$B$3:$B$202,"&gt;="&amp;マスタ設定!$B$41-364,スコアリング!$B$3:$B$202,"&lt;="&amp;マスタ設定!$B$41),""))</f>
        <v/>
      </c>
      <c r="E7" s="31" t="str">
        <f aca="false">IF($A7="","",IFERROR(AVERAGEIFS(スコアリング!$O$3:$O$202,スコアリング!$C$3:$C$202,$A7,スコアリング!$P$3:$P$202,"有効",スコアリング!$B$3:$B$202,"&gt;="&amp;マスタ設定!$B$42-364,スコアリング!$B$3:$B$202,"&lt;="&amp;マスタ設定!$B$42),""))</f>
        <v/>
      </c>
      <c r="F7" s="31" t="str">
        <f aca="false">IF($A7="","",IFERROR(AVERAGEIFS(スコアリング!$O$3:$O$202,スコアリング!$C$3:$C$202,$A7,スコアリング!$P$3:$P$202,"有効",スコアリング!$B$3:$B$202,"&gt;="&amp;マスタ設定!$B$43-364,スコアリング!$B$3:$B$202,"&lt;="&amp;マスタ設定!$B$43),""))</f>
        <v/>
      </c>
      <c r="G7" s="31" t="str">
        <f aca="false">IF($A7="","",IFERROR(AVERAGEIFS(スコアリング!$O$3:$O$202,スコアリング!$C$3:$C$202,$A7,スコアリング!$P$3:$P$202,"有効",スコアリング!$B$3:$B$202,"&gt;="&amp;マスタ設定!$B$44-364,スコアリング!$B$3:$B$202,"&lt;="&amp;マスタ設定!$B$44),""))</f>
        <v/>
      </c>
      <c r="H7" s="31" t="str">
        <f aca="false">IF($A7="","",IFERROR(AVERAGEIFS(スコアリング!$O$3:$O$202,スコアリング!$C$3:$C$202,$A7,スコアリング!$P$3:$P$202,"有効",スコアリング!$B$3:$B$202,"&gt;="&amp;マスタ設定!$B$45-364,スコアリング!$B$3:$B$202,"&lt;="&amp;マスタ設定!$B$45),""))</f>
        <v/>
      </c>
      <c r="I7" s="31" t="str">
        <f aca="false">IF($A7="","",IFERROR(AVERAGEIFS(スコアリング!$O$3:$O$202,スコアリング!$C$3:$C$202,$A7,スコアリング!$P$3:$P$202,"有効",スコアリング!$B$3:$B$202,"&gt;="&amp;マスタ設定!$B$46-364,スコアリング!$B$3:$B$202,"&lt;="&amp;マスタ設定!$B$46),""))</f>
        <v/>
      </c>
      <c r="J7" s="31" t="str">
        <f aca="false">IF($A7="","",IFERROR(AVERAGEIFS(スコアリング!$O$3:$O$202,スコアリング!$C$3:$C$202,$A7,スコアリング!$P$3:$P$202,"有効",スコアリング!$B$3:$B$202,"&gt;="&amp;マスタ設定!$B$47-364,スコアリング!$B$3:$B$202,"&lt;="&amp;マスタ設定!$B$47),""))</f>
        <v/>
      </c>
      <c r="K7" s="31" t="str">
        <f aca="false">IF($A7="","",IFERROR(AVERAGEIFS(スコアリング!$O$3:$O$202,スコアリング!$C$3:$C$202,$A7,スコアリング!$P$3:$P$202,"有効",スコアリング!$B$3:$B$202,"&gt;="&amp;マスタ設定!$B$48-364,スコアリング!$B$3:$B$202,"&lt;="&amp;マスタ設定!$B$48),""))</f>
        <v/>
      </c>
      <c r="L7" s="31" t="str">
        <f aca="false">IF($A7="","",IFERROR(AVERAGEIFS(スコアリング!$O$3:$O$202,スコアリング!$C$3:$C$202,$A7,スコアリング!$P$3:$P$202,"有効",スコアリング!$B$3:$B$202,"&gt;="&amp;マスタ設定!$B$49-364,スコアリング!$B$3:$B$202,"&lt;="&amp;マスタ設定!$B$49),""))</f>
        <v/>
      </c>
    </row>
    <row r="8" customFormat="false" ht="15" hidden="false" customHeight="false" outlineLevel="0" collapsed="false">
      <c r="A8" s="29" t="str">
        <f aca="false">IF(マスタ設定!A23="","",マスタ設定!A23)</f>
        <v/>
      </c>
      <c r="B8" s="29" t="str">
        <f aca="false">IF(マスタ設定!B23="","",マスタ設定!B23)</f>
        <v/>
      </c>
      <c r="C8" s="29" t="str">
        <f aca="false">IF(マスタ設定!C23="","",マスタ設定!C23)</f>
        <v/>
      </c>
      <c r="D8" s="31" t="str">
        <f aca="false">IF($A8="","",IFERROR(AVERAGEIFS(スコアリング!$O$3:$O$202,スコアリング!$C$3:$C$202,$A8,スコアリング!$P$3:$P$202,"有効",スコアリング!$B$3:$B$202,"&gt;="&amp;マスタ設定!$B$41-364,スコアリング!$B$3:$B$202,"&lt;="&amp;マスタ設定!$B$41),""))</f>
        <v/>
      </c>
      <c r="E8" s="31" t="str">
        <f aca="false">IF($A8="","",IFERROR(AVERAGEIFS(スコアリング!$O$3:$O$202,スコアリング!$C$3:$C$202,$A8,スコアリング!$P$3:$P$202,"有効",スコアリング!$B$3:$B$202,"&gt;="&amp;マスタ設定!$B$42-364,スコアリング!$B$3:$B$202,"&lt;="&amp;マスタ設定!$B$42),""))</f>
        <v/>
      </c>
      <c r="F8" s="31" t="str">
        <f aca="false">IF($A8="","",IFERROR(AVERAGEIFS(スコアリング!$O$3:$O$202,スコアリング!$C$3:$C$202,$A8,スコアリング!$P$3:$P$202,"有効",スコアリング!$B$3:$B$202,"&gt;="&amp;マスタ設定!$B$43-364,スコアリング!$B$3:$B$202,"&lt;="&amp;マスタ設定!$B$43),""))</f>
        <v/>
      </c>
      <c r="G8" s="31" t="str">
        <f aca="false">IF($A8="","",IFERROR(AVERAGEIFS(スコアリング!$O$3:$O$202,スコアリング!$C$3:$C$202,$A8,スコアリング!$P$3:$P$202,"有効",スコアリング!$B$3:$B$202,"&gt;="&amp;マスタ設定!$B$44-364,スコアリング!$B$3:$B$202,"&lt;="&amp;マスタ設定!$B$44),""))</f>
        <v/>
      </c>
      <c r="H8" s="31" t="str">
        <f aca="false">IF($A8="","",IFERROR(AVERAGEIFS(スコアリング!$O$3:$O$202,スコアリング!$C$3:$C$202,$A8,スコアリング!$P$3:$P$202,"有効",スコアリング!$B$3:$B$202,"&gt;="&amp;マスタ設定!$B$45-364,スコアリング!$B$3:$B$202,"&lt;="&amp;マスタ設定!$B$45),""))</f>
        <v/>
      </c>
      <c r="I8" s="31" t="str">
        <f aca="false">IF($A8="","",IFERROR(AVERAGEIFS(スコアリング!$O$3:$O$202,スコアリング!$C$3:$C$202,$A8,スコアリング!$P$3:$P$202,"有効",スコアリング!$B$3:$B$202,"&gt;="&amp;マスタ設定!$B$46-364,スコアリング!$B$3:$B$202,"&lt;="&amp;マスタ設定!$B$46),""))</f>
        <v/>
      </c>
      <c r="J8" s="31" t="str">
        <f aca="false">IF($A8="","",IFERROR(AVERAGEIFS(スコアリング!$O$3:$O$202,スコアリング!$C$3:$C$202,$A8,スコアリング!$P$3:$P$202,"有効",スコアリング!$B$3:$B$202,"&gt;="&amp;マスタ設定!$B$47-364,スコアリング!$B$3:$B$202,"&lt;="&amp;マスタ設定!$B$47),""))</f>
        <v/>
      </c>
      <c r="K8" s="31" t="str">
        <f aca="false">IF($A8="","",IFERROR(AVERAGEIFS(スコアリング!$O$3:$O$202,スコアリング!$C$3:$C$202,$A8,スコアリング!$P$3:$P$202,"有効",スコアリング!$B$3:$B$202,"&gt;="&amp;マスタ設定!$B$48-364,スコアリング!$B$3:$B$202,"&lt;="&amp;マスタ設定!$B$48),""))</f>
        <v/>
      </c>
      <c r="L8" s="31" t="str">
        <f aca="false">IF($A8="","",IFERROR(AVERAGEIFS(スコアリング!$O$3:$O$202,スコアリング!$C$3:$C$202,$A8,スコアリング!$P$3:$P$202,"有効",スコアリング!$B$3:$B$202,"&gt;="&amp;マスタ設定!$B$49-364,スコアリング!$B$3:$B$202,"&lt;="&amp;マスタ設定!$B$49),""))</f>
        <v/>
      </c>
    </row>
    <row r="9" customFormat="false" ht="15" hidden="false" customHeight="false" outlineLevel="0" collapsed="false">
      <c r="A9" s="29" t="str">
        <f aca="false">IF(マスタ設定!A24="","",マスタ設定!A24)</f>
        <v/>
      </c>
      <c r="B9" s="29" t="str">
        <f aca="false">IF(マスタ設定!B24="","",マスタ設定!B24)</f>
        <v/>
      </c>
      <c r="C9" s="29" t="str">
        <f aca="false">IF(マスタ設定!C24="","",マスタ設定!C24)</f>
        <v/>
      </c>
      <c r="D9" s="31" t="str">
        <f aca="false">IF($A9="","",IFERROR(AVERAGEIFS(スコアリング!$O$3:$O$202,スコアリング!$C$3:$C$202,$A9,スコアリング!$P$3:$P$202,"有効",スコアリング!$B$3:$B$202,"&gt;="&amp;マスタ設定!$B$41-364,スコアリング!$B$3:$B$202,"&lt;="&amp;マスタ設定!$B$41),""))</f>
        <v/>
      </c>
      <c r="E9" s="31" t="str">
        <f aca="false">IF($A9="","",IFERROR(AVERAGEIFS(スコアリング!$O$3:$O$202,スコアリング!$C$3:$C$202,$A9,スコアリング!$P$3:$P$202,"有効",スコアリング!$B$3:$B$202,"&gt;="&amp;マスタ設定!$B$42-364,スコアリング!$B$3:$B$202,"&lt;="&amp;マスタ設定!$B$42),""))</f>
        <v/>
      </c>
      <c r="F9" s="31" t="str">
        <f aca="false">IF($A9="","",IFERROR(AVERAGEIFS(スコアリング!$O$3:$O$202,スコアリング!$C$3:$C$202,$A9,スコアリング!$P$3:$P$202,"有効",スコアリング!$B$3:$B$202,"&gt;="&amp;マスタ設定!$B$43-364,スコアリング!$B$3:$B$202,"&lt;="&amp;マスタ設定!$B$43),""))</f>
        <v/>
      </c>
      <c r="G9" s="31" t="str">
        <f aca="false">IF($A9="","",IFERROR(AVERAGEIFS(スコアリング!$O$3:$O$202,スコアリング!$C$3:$C$202,$A9,スコアリング!$P$3:$P$202,"有効",スコアリング!$B$3:$B$202,"&gt;="&amp;マスタ設定!$B$44-364,スコアリング!$B$3:$B$202,"&lt;="&amp;マスタ設定!$B$44),""))</f>
        <v/>
      </c>
      <c r="H9" s="31" t="str">
        <f aca="false">IF($A9="","",IFERROR(AVERAGEIFS(スコアリング!$O$3:$O$202,スコアリング!$C$3:$C$202,$A9,スコアリング!$P$3:$P$202,"有効",スコアリング!$B$3:$B$202,"&gt;="&amp;マスタ設定!$B$45-364,スコアリング!$B$3:$B$202,"&lt;="&amp;マスタ設定!$B$45),""))</f>
        <v/>
      </c>
      <c r="I9" s="31" t="str">
        <f aca="false">IF($A9="","",IFERROR(AVERAGEIFS(スコアリング!$O$3:$O$202,スコアリング!$C$3:$C$202,$A9,スコアリング!$P$3:$P$202,"有効",スコアリング!$B$3:$B$202,"&gt;="&amp;マスタ設定!$B$46-364,スコアリング!$B$3:$B$202,"&lt;="&amp;マスタ設定!$B$46),""))</f>
        <v/>
      </c>
      <c r="J9" s="31" t="str">
        <f aca="false">IF($A9="","",IFERROR(AVERAGEIFS(スコアリング!$O$3:$O$202,スコアリング!$C$3:$C$202,$A9,スコアリング!$P$3:$P$202,"有効",スコアリング!$B$3:$B$202,"&gt;="&amp;マスタ設定!$B$47-364,スコアリング!$B$3:$B$202,"&lt;="&amp;マスタ設定!$B$47),""))</f>
        <v/>
      </c>
      <c r="K9" s="31" t="str">
        <f aca="false">IF($A9="","",IFERROR(AVERAGEIFS(スコアリング!$O$3:$O$202,スコアリング!$C$3:$C$202,$A9,スコアリング!$P$3:$P$202,"有効",スコアリング!$B$3:$B$202,"&gt;="&amp;マスタ設定!$B$48-364,スコアリング!$B$3:$B$202,"&lt;="&amp;マスタ設定!$B$48),""))</f>
        <v/>
      </c>
      <c r="L9" s="31" t="str">
        <f aca="false">IF($A9="","",IFERROR(AVERAGEIFS(スコアリング!$O$3:$O$202,スコアリング!$C$3:$C$202,$A9,スコアリング!$P$3:$P$202,"有効",スコアリング!$B$3:$B$202,"&gt;="&amp;マスタ設定!$B$49-364,スコアリング!$B$3:$B$202,"&lt;="&amp;マスタ設定!$B$49),""))</f>
        <v/>
      </c>
    </row>
    <row r="10" customFormat="false" ht="15" hidden="false" customHeight="false" outlineLevel="0" collapsed="false">
      <c r="A10" s="29" t="str">
        <f aca="false">IF(マスタ設定!A25="","",マスタ設定!A25)</f>
        <v/>
      </c>
      <c r="B10" s="29" t="str">
        <f aca="false">IF(マスタ設定!B25="","",マスタ設定!B25)</f>
        <v/>
      </c>
      <c r="C10" s="29" t="str">
        <f aca="false">IF(マスタ設定!C25="","",マスタ設定!C25)</f>
        <v/>
      </c>
      <c r="D10" s="31" t="str">
        <f aca="false">IF($A10="","",IFERROR(AVERAGEIFS(スコアリング!$O$3:$O$202,スコアリング!$C$3:$C$202,$A10,スコアリング!$P$3:$P$202,"有効",スコアリング!$B$3:$B$202,"&gt;="&amp;マスタ設定!$B$41-364,スコアリング!$B$3:$B$202,"&lt;="&amp;マスタ設定!$B$41),""))</f>
        <v/>
      </c>
      <c r="E10" s="31" t="str">
        <f aca="false">IF($A10="","",IFERROR(AVERAGEIFS(スコアリング!$O$3:$O$202,スコアリング!$C$3:$C$202,$A10,スコアリング!$P$3:$P$202,"有効",スコアリング!$B$3:$B$202,"&gt;="&amp;マスタ設定!$B$42-364,スコアリング!$B$3:$B$202,"&lt;="&amp;マスタ設定!$B$42),""))</f>
        <v/>
      </c>
      <c r="F10" s="31" t="str">
        <f aca="false">IF($A10="","",IFERROR(AVERAGEIFS(スコアリング!$O$3:$O$202,スコアリング!$C$3:$C$202,$A10,スコアリング!$P$3:$P$202,"有効",スコアリング!$B$3:$B$202,"&gt;="&amp;マスタ設定!$B$43-364,スコアリング!$B$3:$B$202,"&lt;="&amp;マスタ設定!$B$43),""))</f>
        <v/>
      </c>
      <c r="G10" s="31" t="str">
        <f aca="false">IF($A10="","",IFERROR(AVERAGEIFS(スコアリング!$O$3:$O$202,スコアリング!$C$3:$C$202,$A10,スコアリング!$P$3:$P$202,"有効",スコアリング!$B$3:$B$202,"&gt;="&amp;マスタ設定!$B$44-364,スコアリング!$B$3:$B$202,"&lt;="&amp;マスタ設定!$B$44),""))</f>
        <v/>
      </c>
      <c r="H10" s="31" t="str">
        <f aca="false">IF($A10="","",IFERROR(AVERAGEIFS(スコアリング!$O$3:$O$202,スコアリング!$C$3:$C$202,$A10,スコアリング!$P$3:$P$202,"有効",スコアリング!$B$3:$B$202,"&gt;="&amp;マスタ設定!$B$45-364,スコアリング!$B$3:$B$202,"&lt;="&amp;マスタ設定!$B$45),""))</f>
        <v/>
      </c>
      <c r="I10" s="31" t="str">
        <f aca="false">IF($A10="","",IFERROR(AVERAGEIFS(スコアリング!$O$3:$O$202,スコアリング!$C$3:$C$202,$A10,スコアリング!$P$3:$P$202,"有効",スコアリング!$B$3:$B$202,"&gt;="&amp;マスタ設定!$B$46-364,スコアリング!$B$3:$B$202,"&lt;="&amp;マスタ設定!$B$46),""))</f>
        <v/>
      </c>
      <c r="J10" s="31" t="str">
        <f aca="false">IF($A10="","",IFERROR(AVERAGEIFS(スコアリング!$O$3:$O$202,スコアリング!$C$3:$C$202,$A10,スコアリング!$P$3:$P$202,"有効",スコアリング!$B$3:$B$202,"&gt;="&amp;マスタ設定!$B$47-364,スコアリング!$B$3:$B$202,"&lt;="&amp;マスタ設定!$B$47),""))</f>
        <v/>
      </c>
      <c r="K10" s="31" t="str">
        <f aca="false">IF($A10="","",IFERROR(AVERAGEIFS(スコアリング!$O$3:$O$202,スコアリング!$C$3:$C$202,$A10,スコアリング!$P$3:$P$202,"有効",スコアリング!$B$3:$B$202,"&gt;="&amp;マスタ設定!$B$48-364,スコアリング!$B$3:$B$202,"&lt;="&amp;マスタ設定!$B$48),""))</f>
        <v/>
      </c>
      <c r="L10" s="31" t="str">
        <f aca="false">IF($A10="","",IFERROR(AVERAGEIFS(スコアリング!$O$3:$O$202,スコアリング!$C$3:$C$202,$A10,スコアリング!$P$3:$P$202,"有効",スコアリング!$B$3:$B$202,"&gt;="&amp;マスタ設定!$B$49-364,スコアリング!$B$3:$B$202,"&lt;="&amp;マスタ設定!$B$49),""))</f>
        <v/>
      </c>
    </row>
    <row r="11" customFormat="false" ht="15" hidden="false" customHeight="false" outlineLevel="0" collapsed="false">
      <c r="A11" s="29" t="str">
        <f aca="false">IF(マスタ設定!A26="","",マスタ設定!A26)</f>
        <v/>
      </c>
      <c r="B11" s="29" t="str">
        <f aca="false">IF(マスタ設定!B26="","",マスタ設定!B26)</f>
        <v/>
      </c>
      <c r="C11" s="29" t="str">
        <f aca="false">IF(マスタ設定!C26="","",マスタ設定!C26)</f>
        <v/>
      </c>
      <c r="D11" s="31" t="str">
        <f aca="false">IF($A11="","",IFERROR(AVERAGEIFS(スコアリング!$O$3:$O$202,スコアリング!$C$3:$C$202,$A11,スコアリング!$P$3:$P$202,"有効",スコアリング!$B$3:$B$202,"&gt;="&amp;マスタ設定!$B$41-364,スコアリング!$B$3:$B$202,"&lt;="&amp;マスタ設定!$B$41),""))</f>
        <v/>
      </c>
      <c r="E11" s="31" t="str">
        <f aca="false">IF($A11="","",IFERROR(AVERAGEIFS(スコアリング!$O$3:$O$202,スコアリング!$C$3:$C$202,$A11,スコアリング!$P$3:$P$202,"有効",スコアリング!$B$3:$B$202,"&gt;="&amp;マスタ設定!$B$42-364,スコアリング!$B$3:$B$202,"&lt;="&amp;マスタ設定!$B$42),""))</f>
        <v/>
      </c>
      <c r="F11" s="31" t="str">
        <f aca="false">IF($A11="","",IFERROR(AVERAGEIFS(スコアリング!$O$3:$O$202,スコアリング!$C$3:$C$202,$A11,スコアリング!$P$3:$P$202,"有効",スコアリング!$B$3:$B$202,"&gt;="&amp;マスタ設定!$B$43-364,スコアリング!$B$3:$B$202,"&lt;="&amp;マスタ設定!$B$43),""))</f>
        <v/>
      </c>
      <c r="G11" s="31" t="str">
        <f aca="false">IF($A11="","",IFERROR(AVERAGEIFS(スコアリング!$O$3:$O$202,スコアリング!$C$3:$C$202,$A11,スコアリング!$P$3:$P$202,"有効",スコアリング!$B$3:$B$202,"&gt;="&amp;マスタ設定!$B$44-364,スコアリング!$B$3:$B$202,"&lt;="&amp;マスタ設定!$B$44),""))</f>
        <v/>
      </c>
      <c r="H11" s="31" t="str">
        <f aca="false">IF($A11="","",IFERROR(AVERAGEIFS(スコアリング!$O$3:$O$202,スコアリング!$C$3:$C$202,$A11,スコアリング!$P$3:$P$202,"有効",スコアリング!$B$3:$B$202,"&gt;="&amp;マスタ設定!$B$45-364,スコアリング!$B$3:$B$202,"&lt;="&amp;マスタ設定!$B$45),""))</f>
        <v/>
      </c>
      <c r="I11" s="31" t="str">
        <f aca="false">IF($A11="","",IFERROR(AVERAGEIFS(スコアリング!$O$3:$O$202,スコアリング!$C$3:$C$202,$A11,スコアリング!$P$3:$P$202,"有効",スコアリング!$B$3:$B$202,"&gt;="&amp;マスタ設定!$B$46-364,スコアリング!$B$3:$B$202,"&lt;="&amp;マスタ設定!$B$46),""))</f>
        <v/>
      </c>
      <c r="J11" s="31" t="str">
        <f aca="false">IF($A11="","",IFERROR(AVERAGEIFS(スコアリング!$O$3:$O$202,スコアリング!$C$3:$C$202,$A11,スコアリング!$P$3:$P$202,"有効",スコアリング!$B$3:$B$202,"&gt;="&amp;マスタ設定!$B$47-364,スコアリング!$B$3:$B$202,"&lt;="&amp;マスタ設定!$B$47),""))</f>
        <v/>
      </c>
      <c r="K11" s="31" t="str">
        <f aca="false">IF($A11="","",IFERROR(AVERAGEIFS(スコアリング!$O$3:$O$202,スコアリング!$C$3:$C$202,$A11,スコアリング!$P$3:$P$202,"有効",スコアリング!$B$3:$B$202,"&gt;="&amp;マスタ設定!$B$48-364,スコアリング!$B$3:$B$202,"&lt;="&amp;マスタ設定!$B$48),""))</f>
        <v/>
      </c>
      <c r="L11" s="31" t="str">
        <f aca="false">IF($A11="","",IFERROR(AVERAGEIFS(スコアリング!$O$3:$O$202,スコアリング!$C$3:$C$202,$A11,スコアリング!$P$3:$P$202,"有効",スコアリング!$B$3:$B$202,"&gt;="&amp;マスタ設定!$B$49-364,スコアリング!$B$3:$B$202,"&lt;="&amp;マスタ設定!$B$49),""))</f>
        <v/>
      </c>
    </row>
    <row r="12" customFormat="false" ht="15" hidden="false" customHeight="false" outlineLevel="0" collapsed="false">
      <c r="A12" s="29" t="str">
        <f aca="false">IF(マスタ設定!A27="","",マスタ設定!A27)</f>
        <v/>
      </c>
      <c r="B12" s="29" t="str">
        <f aca="false">IF(マスタ設定!B27="","",マスタ設定!B27)</f>
        <v/>
      </c>
      <c r="C12" s="29" t="str">
        <f aca="false">IF(マスタ設定!C27="","",マスタ設定!C27)</f>
        <v/>
      </c>
      <c r="D12" s="31" t="str">
        <f aca="false">IF($A12="","",IFERROR(AVERAGEIFS(スコアリング!$O$3:$O$202,スコアリング!$C$3:$C$202,$A12,スコアリング!$P$3:$P$202,"有効",スコアリング!$B$3:$B$202,"&gt;="&amp;マスタ設定!$B$41-364,スコアリング!$B$3:$B$202,"&lt;="&amp;マスタ設定!$B$41),""))</f>
        <v/>
      </c>
      <c r="E12" s="31" t="str">
        <f aca="false">IF($A12="","",IFERROR(AVERAGEIFS(スコアリング!$O$3:$O$202,スコアリング!$C$3:$C$202,$A12,スコアリング!$P$3:$P$202,"有効",スコアリング!$B$3:$B$202,"&gt;="&amp;マスタ設定!$B$42-364,スコアリング!$B$3:$B$202,"&lt;="&amp;マスタ設定!$B$42),""))</f>
        <v/>
      </c>
      <c r="F12" s="31" t="str">
        <f aca="false">IF($A12="","",IFERROR(AVERAGEIFS(スコアリング!$O$3:$O$202,スコアリング!$C$3:$C$202,$A12,スコアリング!$P$3:$P$202,"有効",スコアリング!$B$3:$B$202,"&gt;="&amp;マスタ設定!$B$43-364,スコアリング!$B$3:$B$202,"&lt;="&amp;マスタ設定!$B$43),""))</f>
        <v/>
      </c>
      <c r="G12" s="31" t="str">
        <f aca="false">IF($A12="","",IFERROR(AVERAGEIFS(スコアリング!$O$3:$O$202,スコアリング!$C$3:$C$202,$A12,スコアリング!$P$3:$P$202,"有効",スコアリング!$B$3:$B$202,"&gt;="&amp;マスタ設定!$B$44-364,スコアリング!$B$3:$B$202,"&lt;="&amp;マスタ設定!$B$44),""))</f>
        <v/>
      </c>
      <c r="H12" s="31" t="str">
        <f aca="false">IF($A12="","",IFERROR(AVERAGEIFS(スコアリング!$O$3:$O$202,スコアリング!$C$3:$C$202,$A12,スコアリング!$P$3:$P$202,"有効",スコアリング!$B$3:$B$202,"&gt;="&amp;マスタ設定!$B$45-364,スコアリング!$B$3:$B$202,"&lt;="&amp;マスタ設定!$B$45),""))</f>
        <v/>
      </c>
      <c r="I12" s="31" t="str">
        <f aca="false">IF($A12="","",IFERROR(AVERAGEIFS(スコアリング!$O$3:$O$202,スコアリング!$C$3:$C$202,$A12,スコアリング!$P$3:$P$202,"有効",スコアリング!$B$3:$B$202,"&gt;="&amp;マスタ設定!$B$46-364,スコアリング!$B$3:$B$202,"&lt;="&amp;マスタ設定!$B$46),""))</f>
        <v/>
      </c>
      <c r="J12" s="31" t="str">
        <f aca="false">IF($A12="","",IFERROR(AVERAGEIFS(スコアリング!$O$3:$O$202,スコアリング!$C$3:$C$202,$A12,スコアリング!$P$3:$P$202,"有効",スコアリング!$B$3:$B$202,"&gt;="&amp;マスタ設定!$B$47-364,スコアリング!$B$3:$B$202,"&lt;="&amp;マスタ設定!$B$47),""))</f>
        <v/>
      </c>
      <c r="K12" s="31" t="str">
        <f aca="false">IF($A12="","",IFERROR(AVERAGEIFS(スコアリング!$O$3:$O$202,スコアリング!$C$3:$C$202,$A12,スコアリング!$P$3:$P$202,"有効",スコアリング!$B$3:$B$202,"&gt;="&amp;マスタ設定!$B$48-364,スコアリング!$B$3:$B$202,"&lt;="&amp;マスタ設定!$B$48),""))</f>
        <v/>
      </c>
      <c r="L12" s="31" t="str">
        <f aca="false">IF($A12="","",IFERROR(AVERAGEIFS(スコアリング!$O$3:$O$202,スコアリング!$C$3:$C$202,$A12,スコアリング!$P$3:$P$202,"有効",スコアリング!$B$3:$B$202,"&gt;="&amp;マスタ設定!$B$49-364,スコアリング!$B$3:$B$202,"&lt;="&amp;マスタ設定!$B$49),""))</f>
        <v/>
      </c>
    </row>
    <row r="13" customFormat="false" ht="15" hidden="false" customHeight="false" outlineLevel="0" collapsed="false">
      <c r="A13" s="29" t="str">
        <f aca="false">IF(マスタ設定!A28="","",マスタ設定!A28)</f>
        <v/>
      </c>
      <c r="B13" s="29" t="str">
        <f aca="false">IF(マスタ設定!B28="","",マスタ設定!B28)</f>
        <v/>
      </c>
      <c r="C13" s="29" t="str">
        <f aca="false">IF(マスタ設定!C28="","",マスタ設定!C28)</f>
        <v/>
      </c>
      <c r="D13" s="31" t="str">
        <f aca="false">IF($A13="","",IFERROR(AVERAGEIFS(スコアリング!$O$3:$O$202,スコアリング!$C$3:$C$202,$A13,スコアリング!$P$3:$P$202,"有効",スコアリング!$B$3:$B$202,"&gt;="&amp;マスタ設定!$B$41-364,スコアリング!$B$3:$B$202,"&lt;="&amp;マスタ設定!$B$41),""))</f>
        <v/>
      </c>
      <c r="E13" s="31" t="str">
        <f aca="false">IF($A13="","",IFERROR(AVERAGEIFS(スコアリング!$O$3:$O$202,スコアリング!$C$3:$C$202,$A13,スコアリング!$P$3:$P$202,"有効",スコアリング!$B$3:$B$202,"&gt;="&amp;マスタ設定!$B$42-364,スコアリング!$B$3:$B$202,"&lt;="&amp;マスタ設定!$B$42),""))</f>
        <v/>
      </c>
      <c r="F13" s="31" t="str">
        <f aca="false">IF($A13="","",IFERROR(AVERAGEIFS(スコアリング!$O$3:$O$202,スコアリング!$C$3:$C$202,$A13,スコアリング!$P$3:$P$202,"有効",スコアリング!$B$3:$B$202,"&gt;="&amp;マスタ設定!$B$43-364,スコアリング!$B$3:$B$202,"&lt;="&amp;マスタ設定!$B$43),""))</f>
        <v/>
      </c>
      <c r="G13" s="31" t="str">
        <f aca="false">IF($A13="","",IFERROR(AVERAGEIFS(スコアリング!$O$3:$O$202,スコアリング!$C$3:$C$202,$A13,スコアリング!$P$3:$P$202,"有効",スコアリング!$B$3:$B$202,"&gt;="&amp;マスタ設定!$B$44-364,スコアリング!$B$3:$B$202,"&lt;="&amp;マスタ設定!$B$44),""))</f>
        <v/>
      </c>
      <c r="H13" s="31" t="str">
        <f aca="false">IF($A13="","",IFERROR(AVERAGEIFS(スコアリング!$O$3:$O$202,スコアリング!$C$3:$C$202,$A13,スコアリング!$P$3:$P$202,"有効",スコアリング!$B$3:$B$202,"&gt;="&amp;マスタ設定!$B$45-364,スコアリング!$B$3:$B$202,"&lt;="&amp;マスタ設定!$B$45),""))</f>
        <v/>
      </c>
      <c r="I13" s="31" t="str">
        <f aca="false">IF($A13="","",IFERROR(AVERAGEIFS(スコアリング!$O$3:$O$202,スコアリング!$C$3:$C$202,$A13,スコアリング!$P$3:$P$202,"有効",スコアリング!$B$3:$B$202,"&gt;="&amp;マスタ設定!$B$46-364,スコアリング!$B$3:$B$202,"&lt;="&amp;マスタ設定!$B$46),""))</f>
        <v/>
      </c>
      <c r="J13" s="31" t="str">
        <f aca="false">IF($A13="","",IFERROR(AVERAGEIFS(スコアリング!$O$3:$O$202,スコアリング!$C$3:$C$202,$A13,スコアリング!$P$3:$P$202,"有効",スコアリング!$B$3:$B$202,"&gt;="&amp;マスタ設定!$B$47-364,スコアリング!$B$3:$B$202,"&lt;="&amp;マスタ設定!$B$47),""))</f>
        <v/>
      </c>
      <c r="K13" s="31" t="str">
        <f aca="false">IF($A13="","",IFERROR(AVERAGEIFS(スコアリング!$O$3:$O$202,スコアリング!$C$3:$C$202,$A13,スコアリング!$P$3:$P$202,"有効",スコアリング!$B$3:$B$202,"&gt;="&amp;マスタ設定!$B$48-364,スコアリング!$B$3:$B$202,"&lt;="&amp;マスタ設定!$B$48),""))</f>
        <v/>
      </c>
      <c r="L13" s="31" t="str">
        <f aca="false">IF($A13="","",IFERROR(AVERAGEIFS(スコアリング!$O$3:$O$202,スコアリング!$C$3:$C$202,$A13,スコアリング!$P$3:$P$202,"有効",スコアリング!$B$3:$B$202,"&gt;="&amp;マスタ設定!$B$49-364,スコアリング!$B$3:$B$202,"&lt;="&amp;マスタ設定!$B$49),""))</f>
        <v/>
      </c>
    </row>
    <row r="14" customFormat="false" ht="15" hidden="false" customHeight="false" outlineLevel="0" collapsed="false">
      <c r="A14" s="29" t="str">
        <f aca="false">IF(マスタ設定!A29="","",マスタ設定!A29)</f>
        <v/>
      </c>
      <c r="B14" s="29" t="str">
        <f aca="false">IF(マスタ設定!B29="","",マスタ設定!B29)</f>
        <v/>
      </c>
      <c r="C14" s="29" t="str">
        <f aca="false">IF(マスタ設定!C29="","",マスタ設定!C29)</f>
        <v/>
      </c>
      <c r="D14" s="31" t="str">
        <f aca="false">IF($A14="","",IFERROR(AVERAGEIFS(スコアリング!$O$3:$O$202,スコアリング!$C$3:$C$202,$A14,スコアリング!$P$3:$P$202,"有効",スコアリング!$B$3:$B$202,"&gt;="&amp;マスタ設定!$B$41-364,スコアリング!$B$3:$B$202,"&lt;="&amp;マスタ設定!$B$41),""))</f>
        <v/>
      </c>
      <c r="E14" s="31" t="str">
        <f aca="false">IF($A14="","",IFERROR(AVERAGEIFS(スコアリング!$O$3:$O$202,スコアリング!$C$3:$C$202,$A14,スコアリング!$P$3:$P$202,"有効",スコアリング!$B$3:$B$202,"&gt;="&amp;マスタ設定!$B$42-364,スコアリング!$B$3:$B$202,"&lt;="&amp;マスタ設定!$B$42),""))</f>
        <v/>
      </c>
      <c r="F14" s="31" t="str">
        <f aca="false">IF($A14="","",IFERROR(AVERAGEIFS(スコアリング!$O$3:$O$202,スコアリング!$C$3:$C$202,$A14,スコアリング!$P$3:$P$202,"有効",スコアリング!$B$3:$B$202,"&gt;="&amp;マスタ設定!$B$43-364,スコアリング!$B$3:$B$202,"&lt;="&amp;マスタ設定!$B$43),""))</f>
        <v/>
      </c>
      <c r="G14" s="31" t="str">
        <f aca="false">IF($A14="","",IFERROR(AVERAGEIFS(スコアリング!$O$3:$O$202,スコアリング!$C$3:$C$202,$A14,スコアリング!$P$3:$P$202,"有効",スコアリング!$B$3:$B$202,"&gt;="&amp;マスタ設定!$B$44-364,スコアリング!$B$3:$B$202,"&lt;="&amp;マスタ設定!$B$44),""))</f>
        <v/>
      </c>
      <c r="H14" s="31" t="str">
        <f aca="false">IF($A14="","",IFERROR(AVERAGEIFS(スコアリング!$O$3:$O$202,スコアリング!$C$3:$C$202,$A14,スコアリング!$P$3:$P$202,"有効",スコアリング!$B$3:$B$202,"&gt;="&amp;マスタ設定!$B$45-364,スコアリング!$B$3:$B$202,"&lt;="&amp;マスタ設定!$B$45),""))</f>
        <v/>
      </c>
      <c r="I14" s="31" t="str">
        <f aca="false">IF($A14="","",IFERROR(AVERAGEIFS(スコアリング!$O$3:$O$202,スコアリング!$C$3:$C$202,$A14,スコアリング!$P$3:$P$202,"有効",スコアリング!$B$3:$B$202,"&gt;="&amp;マスタ設定!$B$46-364,スコアリング!$B$3:$B$202,"&lt;="&amp;マスタ設定!$B$46),""))</f>
        <v/>
      </c>
      <c r="J14" s="31" t="str">
        <f aca="false">IF($A14="","",IFERROR(AVERAGEIFS(スコアリング!$O$3:$O$202,スコアリング!$C$3:$C$202,$A14,スコアリング!$P$3:$P$202,"有効",スコアリング!$B$3:$B$202,"&gt;="&amp;マスタ設定!$B$47-364,スコアリング!$B$3:$B$202,"&lt;="&amp;マスタ設定!$B$47),""))</f>
        <v/>
      </c>
      <c r="K14" s="31" t="str">
        <f aca="false">IF($A14="","",IFERROR(AVERAGEIFS(スコアリング!$O$3:$O$202,スコアリング!$C$3:$C$202,$A14,スコアリング!$P$3:$P$202,"有効",スコアリング!$B$3:$B$202,"&gt;="&amp;マスタ設定!$B$48-364,スコアリング!$B$3:$B$202,"&lt;="&amp;マスタ設定!$B$48),""))</f>
        <v/>
      </c>
      <c r="L14" s="31" t="str">
        <f aca="false">IF($A14="","",IFERROR(AVERAGEIFS(スコアリング!$O$3:$O$202,スコアリング!$C$3:$C$202,$A14,スコアリング!$P$3:$P$202,"有効",スコアリング!$B$3:$B$202,"&gt;="&amp;マスタ設定!$B$49-364,スコアリング!$B$3:$B$202,"&lt;="&amp;マスタ設定!$B$49),""))</f>
        <v/>
      </c>
    </row>
    <row r="15" customFormat="false" ht="15" hidden="false" customHeight="false" outlineLevel="0" collapsed="false">
      <c r="A15" s="29" t="str">
        <f aca="false">IF(マスタ設定!A30="","",マスタ設定!A30)</f>
        <v/>
      </c>
      <c r="B15" s="29" t="str">
        <f aca="false">IF(マスタ設定!B30="","",マスタ設定!B30)</f>
        <v/>
      </c>
      <c r="C15" s="29" t="str">
        <f aca="false">IF(マスタ設定!C30="","",マスタ設定!C30)</f>
        <v/>
      </c>
      <c r="D15" s="31" t="str">
        <f aca="false">IF($A15="","",IFERROR(AVERAGEIFS(スコアリング!$O$3:$O$202,スコアリング!$C$3:$C$202,$A15,スコアリング!$P$3:$P$202,"有効",スコアリング!$B$3:$B$202,"&gt;="&amp;マスタ設定!$B$41-364,スコアリング!$B$3:$B$202,"&lt;="&amp;マスタ設定!$B$41),""))</f>
        <v/>
      </c>
      <c r="E15" s="31" t="str">
        <f aca="false">IF($A15="","",IFERROR(AVERAGEIFS(スコアリング!$O$3:$O$202,スコアリング!$C$3:$C$202,$A15,スコアリング!$P$3:$P$202,"有効",スコアリング!$B$3:$B$202,"&gt;="&amp;マスタ設定!$B$42-364,スコアリング!$B$3:$B$202,"&lt;="&amp;マスタ設定!$B$42),""))</f>
        <v/>
      </c>
      <c r="F15" s="31" t="str">
        <f aca="false">IF($A15="","",IFERROR(AVERAGEIFS(スコアリング!$O$3:$O$202,スコアリング!$C$3:$C$202,$A15,スコアリング!$P$3:$P$202,"有効",スコアリング!$B$3:$B$202,"&gt;="&amp;マスタ設定!$B$43-364,スコアリング!$B$3:$B$202,"&lt;="&amp;マスタ設定!$B$43),""))</f>
        <v/>
      </c>
      <c r="G15" s="31" t="str">
        <f aca="false">IF($A15="","",IFERROR(AVERAGEIFS(スコアリング!$O$3:$O$202,スコアリング!$C$3:$C$202,$A15,スコアリング!$P$3:$P$202,"有効",スコアリング!$B$3:$B$202,"&gt;="&amp;マスタ設定!$B$44-364,スコアリング!$B$3:$B$202,"&lt;="&amp;マスタ設定!$B$44),""))</f>
        <v/>
      </c>
      <c r="H15" s="31" t="str">
        <f aca="false">IF($A15="","",IFERROR(AVERAGEIFS(スコアリング!$O$3:$O$202,スコアリング!$C$3:$C$202,$A15,スコアリング!$P$3:$P$202,"有効",スコアリング!$B$3:$B$202,"&gt;="&amp;マスタ設定!$B$45-364,スコアリング!$B$3:$B$202,"&lt;="&amp;マスタ設定!$B$45),""))</f>
        <v/>
      </c>
      <c r="I15" s="31" t="str">
        <f aca="false">IF($A15="","",IFERROR(AVERAGEIFS(スコアリング!$O$3:$O$202,スコアリング!$C$3:$C$202,$A15,スコアリング!$P$3:$P$202,"有効",スコアリング!$B$3:$B$202,"&gt;="&amp;マスタ設定!$B$46-364,スコアリング!$B$3:$B$202,"&lt;="&amp;マスタ設定!$B$46),""))</f>
        <v/>
      </c>
      <c r="J15" s="31" t="str">
        <f aca="false">IF($A15="","",IFERROR(AVERAGEIFS(スコアリング!$O$3:$O$202,スコアリング!$C$3:$C$202,$A15,スコアリング!$P$3:$P$202,"有効",スコアリング!$B$3:$B$202,"&gt;="&amp;マスタ設定!$B$47-364,スコアリング!$B$3:$B$202,"&lt;="&amp;マスタ設定!$B$47),""))</f>
        <v/>
      </c>
      <c r="K15" s="31" t="str">
        <f aca="false">IF($A15="","",IFERROR(AVERAGEIFS(スコアリング!$O$3:$O$202,スコアリング!$C$3:$C$202,$A15,スコアリング!$P$3:$P$202,"有効",スコアリング!$B$3:$B$202,"&gt;="&amp;マスタ設定!$B$48-364,スコアリング!$B$3:$B$202,"&lt;="&amp;マスタ設定!$B$48),""))</f>
        <v/>
      </c>
      <c r="L15" s="31" t="str">
        <f aca="false">IF($A15="","",IFERROR(AVERAGEIFS(スコアリング!$O$3:$O$202,スコアリング!$C$3:$C$202,$A15,スコアリング!$P$3:$P$202,"有効",スコアリング!$B$3:$B$202,"&gt;="&amp;マスタ設定!$B$49-364,スコアリング!$B$3:$B$202,"&lt;="&amp;マスタ設定!$B$49),""))</f>
        <v/>
      </c>
    </row>
    <row r="16" customFormat="false" ht="15" hidden="false" customHeight="false" outlineLevel="0" collapsed="false">
      <c r="A16" s="29" t="str">
        <f aca="false">IF(マスタ設定!A31="","",マスタ設定!A31)</f>
        <v/>
      </c>
      <c r="B16" s="29" t="str">
        <f aca="false">IF(マスタ設定!B31="","",マスタ設定!B31)</f>
        <v/>
      </c>
      <c r="C16" s="29" t="str">
        <f aca="false">IF(マスタ設定!C31="","",マスタ設定!C31)</f>
        <v/>
      </c>
      <c r="D16" s="31" t="str">
        <f aca="false">IF($A16="","",IFERROR(AVERAGEIFS(スコアリング!$O$3:$O$202,スコアリング!$C$3:$C$202,$A16,スコアリング!$P$3:$P$202,"有効",スコアリング!$B$3:$B$202,"&gt;="&amp;マスタ設定!$B$41-364,スコアリング!$B$3:$B$202,"&lt;="&amp;マスタ設定!$B$41),""))</f>
        <v/>
      </c>
      <c r="E16" s="31" t="str">
        <f aca="false">IF($A16="","",IFERROR(AVERAGEIFS(スコアリング!$O$3:$O$202,スコアリング!$C$3:$C$202,$A16,スコアリング!$P$3:$P$202,"有効",スコアリング!$B$3:$B$202,"&gt;="&amp;マスタ設定!$B$42-364,スコアリング!$B$3:$B$202,"&lt;="&amp;マスタ設定!$B$42),""))</f>
        <v/>
      </c>
      <c r="F16" s="31" t="str">
        <f aca="false">IF($A16="","",IFERROR(AVERAGEIFS(スコアリング!$O$3:$O$202,スコアリング!$C$3:$C$202,$A16,スコアリング!$P$3:$P$202,"有効",スコアリング!$B$3:$B$202,"&gt;="&amp;マスタ設定!$B$43-364,スコアリング!$B$3:$B$202,"&lt;="&amp;マスタ設定!$B$43),""))</f>
        <v/>
      </c>
      <c r="G16" s="31" t="str">
        <f aca="false">IF($A16="","",IFERROR(AVERAGEIFS(スコアリング!$O$3:$O$202,スコアリング!$C$3:$C$202,$A16,スコアリング!$P$3:$P$202,"有効",スコアリング!$B$3:$B$202,"&gt;="&amp;マスタ設定!$B$44-364,スコアリング!$B$3:$B$202,"&lt;="&amp;マスタ設定!$B$44),""))</f>
        <v/>
      </c>
      <c r="H16" s="31" t="str">
        <f aca="false">IF($A16="","",IFERROR(AVERAGEIFS(スコアリング!$O$3:$O$202,スコアリング!$C$3:$C$202,$A16,スコアリング!$P$3:$P$202,"有効",スコアリング!$B$3:$B$202,"&gt;="&amp;マスタ設定!$B$45-364,スコアリング!$B$3:$B$202,"&lt;="&amp;マスタ設定!$B$45),""))</f>
        <v/>
      </c>
      <c r="I16" s="31" t="str">
        <f aca="false">IF($A16="","",IFERROR(AVERAGEIFS(スコアリング!$O$3:$O$202,スコアリング!$C$3:$C$202,$A16,スコアリング!$P$3:$P$202,"有効",スコアリング!$B$3:$B$202,"&gt;="&amp;マスタ設定!$B$46-364,スコアリング!$B$3:$B$202,"&lt;="&amp;マスタ設定!$B$46),""))</f>
        <v/>
      </c>
      <c r="J16" s="31" t="str">
        <f aca="false">IF($A16="","",IFERROR(AVERAGEIFS(スコアリング!$O$3:$O$202,スコアリング!$C$3:$C$202,$A16,スコアリング!$P$3:$P$202,"有効",スコアリング!$B$3:$B$202,"&gt;="&amp;マスタ設定!$B$47-364,スコアリング!$B$3:$B$202,"&lt;="&amp;マスタ設定!$B$47),""))</f>
        <v/>
      </c>
      <c r="K16" s="31" t="str">
        <f aca="false">IF($A16="","",IFERROR(AVERAGEIFS(スコアリング!$O$3:$O$202,スコアリング!$C$3:$C$202,$A16,スコアリング!$P$3:$P$202,"有効",スコアリング!$B$3:$B$202,"&gt;="&amp;マスタ設定!$B$48-364,スコアリング!$B$3:$B$202,"&lt;="&amp;マスタ設定!$B$48),""))</f>
        <v/>
      </c>
      <c r="L16" s="31" t="str">
        <f aca="false">IF($A16="","",IFERROR(AVERAGEIFS(スコアリング!$O$3:$O$202,スコアリング!$C$3:$C$202,$A16,スコアリング!$P$3:$P$202,"有効",スコアリング!$B$3:$B$202,"&gt;="&amp;マスタ設定!$B$49-364,スコアリング!$B$3:$B$202,"&lt;="&amp;マスタ設定!$B$49),""))</f>
        <v/>
      </c>
    </row>
    <row r="17" customFormat="false" ht="15" hidden="false" customHeight="false" outlineLevel="0" collapsed="false">
      <c r="A17" s="29" t="str">
        <f aca="false">IF(マスタ設定!A32="","",マスタ設定!A32)</f>
        <v/>
      </c>
      <c r="B17" s="29" t="str">
        <f aca="false">IF(マスタ設定!B32="","",マスタ設定!B32)</f>
        <v/>
      </c>
      <c r="C17" s="29" t="str">
        <f aca="false">IF(マスタ設定!C32="","",マスタ設定!C32)</f>
        <v/>
      </c>
      <c r="D17" s="31" t="str">
        <f aca="false">IF($A17="","",IFERROR(AVERAGEIFS(スコアリング!$O$3:$O$202,スコアリング!$C$3:$C$202,$A17,スコアリング!$P$3:$P$202,"有効",スコアリング!$B$3:$B$202,"&gt;="&amp;マスタ設定!$B$41-364,スコアリング!$B$3:$B$202,"&lt;="&amp;マスタ設定!$B$41),""))</f>
        <v/>
      </c>
      <c r="E17" s="31" t="str">
        <f aca="false">IF($A17="","",IFERROR(AVERAGEIFS(スコアリング!$O$3:$O$202,スコアリング!$C$3:$C$202,$A17,スコアリング!$P$3:$P$202,"有効",スコアリング!$B$3:$B$202,"&gt;="&amp;マスタ設定!$B$42-364,スコアリング!$B$3:$B$202,"&lt;="&amp;マスタ設定!$B$42),""))</f>
        <v/>
      </c>
      <c r="F17" s="31" t="str">
        <f aca="false">IF($A17="","",IFERROR(AVERAGEIFS(スコアリング!$O$3:$O$202,スコアリング!$C$3:$C$202,$A17,スコアリング!$P$3:$P$202,"有効",スコアリング!$B$3:$B$202,"&gt;="&amp;マスタ設定!$B$43-364,スコアリング!$B$3:$B$202,"&lt;="&amp;マスタ設定!$B$43),""))</f>
        <v/>
      </c>
      <c r="G17" s="31" t="str">
        <f aca="false">IF($A17="","",IFERROR(AVERAGEIFS(スコアリング!$O$3:$O$202,スコアリング!$C$3:$C$202,$A17,スコアリング!$P$3:$P$202,"有効",スコアリング!$B$3:$B$202,"&gt;="&amp;マスタ設定!$B$44-364,スコアリング!$B$3:$B$202,"&lt;="&amp;マスタ設定!$B$44),""))</f>
        <v/>
      </c>
      <c r="H17" s="31" t="str">
        <f aca="false">IF($A17="","",IFERROR(AVERAGEIFS(スコアリング!$O$3:$O$202,スコアリング!$C$3:$C$202,$A17,スコアリング!$P$3:$P$202,"有効",スコアリング!$B$3:$B$202,"&gt;="&amp;マスタ設定!$B$45-364,スコアリング!$B$3:$B$202,"&lt;="&amp;マスタ設定!$B$45),""))</f>
        <v/>
      </c>
      <c r="I17" s="31" t="str">
        <f aca="false">IF($A17="","",IFERROR(AVERAGEIFS(スコアリング!$O$3:$O$202,スコアリング!$C$3:$C$202,$A17,スコアリング!$P$3:$P$202,"有効",スコアリング!$B$3:$B$202,"&gt;="&amp;マスタ設定!$B$46-364,スコアリング!$B$3:$B$202,"&lt;="&amp;マスタ設定!$B$46),""))</f>
        <v/>
      </c>
      <c r="J17" s="31" t="str">
        <f aca="false">IF($A17="","",IFERROR(AVERAGEIFS(スコアリング!$O$3:$O$202,スコアリング!$C$3:$C$202,$A17,スコアリング!$P$3:$P$202,"有効",スコアリング!$B$3:$B$202,"&gt;="&amp;マスタ設定!$B$47-364,スコアリング!$B$3:$B$202,"&lt;="&amp;マスタ設定!$B$47),""))</f>
        <v/>
      </c>
      <c r="K17" s="31" t="str">
        <f aca="false">IF($A17="","",IFERROR(AVERAGEIFS(スコアリング!$O$3:$O$202,スコアリング!$C$3:$C$202,$A17,スコアリング!$P$3:$P$202,"有効",スコアリング!$B$3:$B$202,"&gt;="&amp;マスタ設定!$B$48-364,スコアリング!$B$3:$B$202,"&lt;="&amp;マスタ設定!$B$48),""))</f>
        <v/>
      </c>
      <c r="L17" s="31" t="str">
        <f aca="false">IF($A17="","",IFERROR(AVERAGEIFS(スコアリング!$O$3:$O$202,スコアリング!$C$3:$C$202,$A17,スコアリング!$P$3:$P$202,"有効",スコアリング!$B$3:$B$202,"&gt;="&amp;マスタ設定!$B$49-364,スコアリング!$B$3:$B$202,"&lt;="&amp;マスタ設定!$B$49),""))</f>
        <v/>
      </c>
    </row>
    <row r="18" customFormat="false" ht="15" hidden="false" customHeight="false" outlineLevel="0" collapsed="false">
      <c r="A18" s="29" t="str">
        <f aca="false">IF(マスタ設定!A33="","",マスタ設定!A33)</f>
        <v/>
      </c>
      <c r="B18" s="29" t="str">
        <f aca="false">IF(マスタ設定!B33="","",マスタ設定!B33)</f>
        <v/>
      </c>
      <c r="C18" s="29" t="str">
        <f aca="false">IF(マスタ設定!C33="","",マスタ設定!C33)</f>
        <v/>
      </c>
      <c r="D18" s="31" t="str">
        <f aca="false">IF($A18="","",IFERROR(AVERAGEIFS(スコアリング!$O$3:$O$202,スコアリング!$C$3:$C$202,$A18,スコアリング!$P$3:$P$202,"有効",スコアリング!$B$3:$B$202,"&gt;="&amp;マスタ設定!$B$41-364,スコアリング!$B$3:$B$202,"&lt;="&amp;マスタ設定!$B$41),""))</f>
        <v/>
      </c>
      <c r="E18" s="31" t="str">
        <f aca="false">IF($A18="","",IFERROR(AVERAGEIFS(スコアリング!$O$3:$O$202,スコアリング!$C$3:$C$202,$A18,スコアリング!$P$3:$P$202,"有効",スコアリング!$B$3:$B$202,"&gt;="&amp;マスタ設定!$B$42-364,スコアリング!$B$3:$B$202,"&lt;="&amp;マスタ設定!$B$42),""))</f>
        <v/>
      </c>
      <c r="F18" s="31" t="str">
        <f aca="false">IF($A18="","",IFERROR(AVERAGEIFS(スコアリング!$O$3:$O$202,スコアリング!$C$3:$C$202,$A18,スコアリング!$P$3:$P$202,"有効",スコアリング!$B$3:$B$202,"&gt;="&amp;マスタ設定!$B$43-364,スコアリング!$B$3:$B$202,"&lt;="&amp;マスタ設定!$B$43),""))</f>
        <v/>
      </c>
      <c r="G18" s="31" t="str">
        <f aca="false">IF($A18="","",IFERROR(AVERAGEIFS(スコアリング!$O$3:$O$202,スコアリング!$C$3:$C$202,$A18,スコアリング!$P$3:$P$202,"有効",スコアリング!$B$3:$B$202,"&gt;="&amp;マスタ設定!$B$44-364,スコアリング!$B$3:$B$202,"&lt;="&amp;マスタ設定!$B$44),""))</f>
        <v/>
      </c>
      <c r="H18" s="31" t="str">
        <f aca="false">IF($A18="","",IFERROR(AVERAGEIFS(スコアリング!$O$3:$O$202,スコアリング!$C$3:$C$202,$A18,スコアリング!$P$3:$P$202,"有効",スコアリング!$B$3:$B$202,"&gt;="&amp;マスタ設定!$B$45-364,スコアリング!$B$3:$B$202,"&lt;="&amp;マスタ設定!$B$45),""))</f>
        <v/>
      </c>
      <c r="I18" s="31" t="str">
        <f aca="false">IF($A18="","",IFERROR(AVERAGEIFS(スコアリング!$O$3:$O$202,スコアリング!$C$3:$C$202,$A18,スコアリング!$P$3:$P$202,"有効",スコアリング!$B$3:$B$202,"&gt;="&amp;マスタ設定!$B$46-364,スコアリング!$B$3:$B$202,"&lt;="&amp;マスタ設定!$B$46),""))</f>
        <v/>
      </c>
      <c r="J18" s="31" t="str">
        <f aca="false">IF($A18="","",IFERROR(AVERAGEIFS(スコアリング!$O$3:$O$202,スコアリング!$C$3:$C$202,$A18,スコアリング!$P$3:$P$202,"有効",スコアリング!$B$3:$B$202,"&gt;="&amp;マスタ設定!$B$47-364,スコアリング!$B$3:$B$202,"&lt;="&amp;マスタ設定!$B$47),""))</f>
        <v/>
      </c>
      <c r="K18" s="31" t="str">
        <f aca="false">IF($A18="","",IFERROR(AVERAGEIFS(スコアリング!$O$3:$O$202,スコアリング!$C$3:$C$202,$A18,スコアリング!$P$3:$P$202,"有効",スコアリング!$B$3:$B$202,"&gt;="&amp;マスタ設定!$B$48-364,スコアリング!$B$3:$B$202,"&lt;="&amp;マスタ設定!$B$48),""))</f>
        <v/>
      </c>
      <c r="L18" s="31" t="str">
        <f aca="false">IF($A18="","",IFERROR(AVERAGEIFS(スコアリング!$O$3:$O$202,スコアリング!$C$3:$C$202,$A18,スコアリング!$P$3:$P$202,"有効",スコアリング!$B$3:$B$202,"&gt;="&amp;マスタ設定!$B$49-364,スコアリング!$B$3:$B$202,"&lt;="&amp;マスタ設定!$B$49),""))</f>
        <v/>
      </c>
    </row>
    <row r="19" customFormat="false" ht="15" hidden="false" customHeight="false" outlineLevel="0" collapsed="false">
      <c r="A19" s="29" t="str">
        <f aca="false">IF(マスタ設定!A34="","",マスタ設定!A34)</f>
        <v/>
      </c>
      <c r="B19" s="29" t="str">
        <f aca="false">IF(マスタ設定!B34="","",マスタ設定!B34)</f>
        <v/>
      </c>
      <c r="C19" s="29" t="str">
        <f aca="false">IF(マスタ設定!C34="","",マスタ設定!C34)</f>
        <v/>
      </c>
      <c r="D19" s="31" t="str">
        <f aca="false">IF($A19="","",IFERROR(AVERAGEIFS(スコアリング!$O$3:$O$202,スコアリング!$C$3:$C$202,$A19,スコアリング!$P$3:$P$202,"有効",スコアリング!$B$3:$B$202,"&gt;="&amp;マスタ設定!$B$41-364,スコアリング!$B$3:$B$202,"&lt;="&amp;マスタ設定!$B$41),""))</f>
        <v/>
      </c>
      <c r="E19" s="31" t="str">
        <f aca="false">IF($A19="","",IFERROR(AVERAGEIFS(スコアリング!$O$3:$O$202,スコアリング!$C$3:$C$202,$A19,スコアリング!$P$3:$P$202,"有効",スコアリング!$B$3:$B$202,"&gt;="&amp;マスタ設定!$B$42-364,スコアリング!$B$3:$B$202,"&lt;="&amp;マスタ設定!$B$42),""))</f>
        <v/>
      </c>
      <c r="F19" s="31" t="str">
        <f aca="false">IF($A19="","",IFERROR(AVERAGEIFS(スコアリング!$O$3:$O$202,スコアリング!$C$3:$C$202,$A19,スコアリング!$P$3:$P$202,"有効",スコアリング!$B$3:$B$202,"&gt;="&amp;マスタ設定!$B$43-364,スコアリング!$B$3:$B$202,"&lt;="&amp;マスタ設定!$B$43),""))</f>
        <v/>
      </c>
      <c r="G19" s="31" t="str">
        <f aca="false">IF($A19="","",IFERROR(AVERAGEIFS(スコアリング!$O$3:$O$202,スコアリング!$C$3:$C$202,$A19,スコアリング!$P$3:$P$202,"有効",スコアリング!$B$3:$B$202,"&gt;="&amp;マスタ設定!$B$44-364,スコアリング!$B$3:$B$202,"&lt;="&amp;マスタ設定!$B$44),""))</f>
        <v/>
      </c>
      <c r="H19" s="31" t="str">
        <f aca="false">IF($A19="","",IFERROR(AVERAGEIFS(スコアリング!$O$3:$O$202,スコアリング!$C$3:$C$202,$A19,スコアリング!$P$3:$P$202,"有効",スコアリング!$B$3:$B$202,"&gt;="&amp;マスタ設定!$B$45-364,スコアリング!$B$3:$B$202,"&lt;="&amp;マスタ設定!$B$45),""))</f>
        <v/>
      </c>
      <c r="I19" s="31" t="str">
        <f aca="false">IF($A19="","",IFERROR(AVERAGEIFS(スコアリング!$O$3:$O$202,スコアリング!$C$3:$C$202,$A19,スコアリング!$P$3:$P$202,"有効",スコアリング!$B$3:$B$202,"&gt;="&amp;マスタ設定!$B$46-364,スコアリング!$B$3:$B$202,"&lt;="&amp;マスタ設定!$B$46),""))</f>
        <v/>
      </c>
      <c r="J19" s="31" t="str">
        <f aca="false">IF($A19="","",IFERROR(AVERAGEIFS(スコアリング!$O$3:$O$202,スコアリング!$C$3:$C$202,$A19,スコアリング!$P$3:$P$202,"有効",スコアリング!$B$3:$B$202,"&gt;="&amp;マスタ設定!$B$47-364,スコアリング!$B$3:$B$202,"&lt;="&amp;マスタ設定!$B$47),""))</f>
        <v/>
      </c>
      <c r="K19" s="31" t="str">
        <f aca="false">IF($A19="","",IFERROR(AVERAGEIFS(スコアリング!$O$3:$O$202,スコアリング!$C$3:$C$202,$A19,スコアリング!$P$3:$P$202,"有効",スコアリング!$B$3:$B$202,"&gt;="&amp;マスタ設定!$B$48-364,スコアリング!$B$3:$B$202,"&lt;="&amp;マスタ設定!$B$48),""))</f>
        <v/>
      </c>
      <c r="L19" s="31" t="str">
        <f aca="false">IF($A19="","",IFERROR(AVERAGEIFS(スコアリング!$O$3:$O$202,スコアリング!$C$3:$C$202,$A19,スコアリング!$P$3:$P$202,"有効",スコアリング!$B$3:$B$202,"&gt;="&amp;マスタ設定!$B$49-364,スコアリング!$B$3:$B$202,"&lt;="&amp;マスタ設定!$B$49),""))</f>
        <v/>
      </c>
    </row>
    <row r="20" customFormat="false" ht="15" hidden="false" customHeight="false" outlineLevel="0" collapsed="false">
      <c r="A20" s="29" t="str">
        <f aca="false">IF(マスタ設定!A35="","",マスタ設定!A35)</f>
        <v/>
      </c>
      <c r="B20" s="29" t="str">
        <f aca="false">IF(マスタ設定!B35="","",マスタ設定!B35)</f>
        <v/>
      </c>
      <c r="C20" s="29" t="str">
        <f aca="false">IF(マスタ設定!C35="","",マスタ設定!C35)</f>
        <v/>
      </c>
      <c r="D20" s="31" t="str">
        <f aca="false">IF($A20="","",IFERROR(AVERAGEIFS(スコアリング!$O$3:$O$202,スコアリング!$C$3:$C$202,$A20,スコアリング!$P$3:$P$202,"有効",スコアリング!$B$3:$B$202,"&gt;="&amp;マスタ設定!$B$41-364,スコアリング!$B$3:$B$202,"&lt;="&amp;マスタ設定!$B$41),""))</f>
        <v/>
      </c>
      <c r="E20" s="31" t="str">
        <f aca="false">IF($A20="","",IFERROR(AVERAGEIFS(スコアリング!$O$3:$O$202,スコアリング!$C$3:$C$202,$A20,スコアリング!$P$3:$P$202,"有効",スコアリング!$B$3:$B$202,"&gt;="&amp;マスタ設定!$B$42-364,スコアリング!$B$3:$B$202,"&lt;="&amp;マスタ設定!$B$42),""))</f>
        <v/>
      </c>
      <c r="F20" s="31" t="str">
        <f aca="false">IF($A20="","",IFERROR(AVERAGEIFS(スコアリング!$O$3:$O$202,スコアリング!$C$3:$C$202,$A20,スコアリング!$P$3:$P$202,"有効",スコアリング!$B$3:$B$202,"&gt;="&amp;マスタ設定!$B$43-364,スコアリング!$B$3:$B$202,"&lt;="&amp;マスタ設定!$B$43),""))</f>
        <v/>
      </c>
      <c r="G20" s="31" t="str">
        <f aca="false">IF($A20="","",IFERROR(AVERAGEIFS(スコアリング!$O$3:$O$202,スコアリング!$C$3:$C$202,$A20,スコアリング!$P$3:$P$202,"有効",スコアリング!$B$3:$B$202,"&gt;="&amp;マスタ設定!$B$44-364,スコアリング!$B$3:$B$202,"&lt;="&amp;マスタ設定!$B$44),""))</f>
        <v/>
      </c>
      <c r="H20" s="31" t="str">
        <f aca="false">IF($A20="","",IFERROR(AVERAGEIFS(スコアリング!$O$3:$O$202,スコアリング!$C$3:$C$202,$A20,スコアリング!$P$3:$P$202,"有効",スコアリング!$B$3:$B$202,"&gt;="&amp;マスタ設定!$B$45-364,スコアリング!$B$3:$B$202,"&lt;="&amp;マスタ設定!$B$45),""))</f>
        <v/>
      </c>
      <c r="I20" s="31" t="str">
        <f aca="false">IF($A20="","",IFERROR(AVERAGEIFS(スコアリング!$O$3:$O$202,スコアリング!$C$3:$C$202,$A20,スコアリング!$P$3:$P$202,"有効",スコアリング!$B$3:$B$202,"&gt;="&amp;マスタ設定!$B$46-364,スコアリング!$B$3:$B$202,"&lt;="&amp;マスタ設定!$B$46),""))</f>
        <v/>
      </c>
      <c r="J20" s="31" t="str">
        <f aca="false">IF($A20="","",IFERROR(AVERAGEIFS(スコアリング!$O$3:$O$202,スコアリング!$C$3:$C$202,$A20,スコアリング!$P$3:$P$202,"有効",スコアリング!$B$3:$B$202,"&gt;="&amp;マスタ設定!$B$47-364,スコアリング!$B$3:$B$202,"&lt;="&amp;マスタ設定!$B$47),""))</f>
        <v/>
      </c>
      <c r="K20" s="31" t="str">
        <f aca="false">IF($A20="","",IFERROR(AVERAGEIFS(スコアリング!$O$3:$O$202,スコアリング!$C$3:$C$202,$A20,スコアリング!$P$3:$P$202,"有効",スコアリング!$B$3:$B$202,"&gt;="&amp;マスタ設定!$B$48-364,スコアリング!$B$3:$B$202,"&lt;="&amp;マスタ設定!$B$48),""))</f>
        <v/>
      </c>
      <c r="L20" s="31" t="str">
        <f aca="false">IF($A20="","",IFERROR(AVERAGEIFS(スコアリング!$O$3:$O$202,スコアリング!$C$3:$C$202,$A20,スコアリング!$P$3:$P$202,"有効",スコアリング!$B$3:$B$202,"&gt;="&amp;マスタ設定!$B$49-364,スコアリング!$B$3:$B$202,"&lt;="&amp;マスタ設定!$B$49),""))</f>
        <v/>
      </c>
    </row>
    <row r="21" customFormat="false" ht="15" hidden="false" customHeight="false" outlineLevel="0" collapsed="false">
      <c r="A21" s="29" t="str">
        <f aca="false">IF(マスタ設定!A36="","",マスタ設定!A36)</f>
        <v/>
      </c>
      <c r="B21" s="29" t="str">
        <f aca="false">IF(マスタ設定!B36="","",マスタ設定!B36)</f>
        <v/>
      </c>
      <c r="C21" s="29" t="str">
        <f aca="false">IF(マスタ設定!C36="","",マスタ設定!C36)</f>
        <v/>
      </c>
      <c r="D21" s="31" t="str">
        <f aca="false">IF($A21="","",IFERROR(AVERAGEIFS(スコアリング!$O$3:$O$202,スコアリング!$C$3:$C$202,$A21,スコアリング!$P$3:$P$202,"有効",スコアリング!$B$3:$B$202,"&gt;="&amp;マスタ設定!$B$41-364,スコアリング!$B$3:$B$202,"&lt;="&amp;マスタ設定!$B$41),""))</f>
        <v/>
      </c>
      <c r="E21" s="31" t="str">
        <f aca="false">IF($A21="","",IFERROR(AVERAGEIFS(スコアリング!$O$3:$O$202,スコアリング!$C$3:$C$202,$A21,スコアリング!$P$3:$P$202,"有効",スコアリング!$B$3:$B$202,"&gt;="&amp;マスタ設定!$B$42-364,スコアリング!$B$3:$B$202,"&lt;="&amp;マスタ設定!$B$42),""))</f>
        <v/>
      </c>
      <c r="F21" s="31" t="str">
        <f aca="false">IF($A21="","",IFERROR(AVERAGEIFS(スコアリング!$O$3:$O$202,スコアリング!$C$3:$C$202,$A21,スコアリング!$P$3:$P$202,"有効",スコアリング!$B$3:$B$202,"&gt;="&amp;マスタ設定!$B$43-364,スコアリング!$B$3:$B$202,"&lt;="&amp;マスタ設定!$B$43),""))</f>
        <v/>
      </c>
      <c r="G21" s="31" t="str">
        <f aca="false">IF($A21="","",IFERROR(AVERAGEIFS(スコアリング!$O$3:$O$202,スコアリング!$C$3:$C$202,$A21,スコアリング!$P$3:$P$202,"有効",スコアリング!$B$3:$B$202,"&gt;="&amp;マスタ設定!$B$44-364,スコアリング!$B$3:$B$202,"&lt;="&amp;マスタ設定!$B$44),""))</f>
        <v/>
      </c>
      <c r="H21" s="31" t="str">
        <f aca="false">IF($A21="","",IFERROR(AVERAGEIFS(スコアリング!$O$3:$O$202,スコアリング!$C$3:$C$202,$A21,スコアリング!$P$3:$P$202,"有効",スコアリング!$B$3:$B$202,"&gt;="&amp;マスタ設定!$B$45-364,スコアリング!$B$3:$B$202,"&lt;="&amp;マスタ設定!$B$45),""))</f>
        <v/>
      </c>
      <c r="I21" s="31" t="str">
        <f aca="false">IF($A21="","",IFERROR(AVERAGEIFS(スコアリング!$O$3:$O$202,スコアリング!$C$3:$C$202,$A21,スコアリング!$P$3:$P$202,"有効",スコアリング!$B$3:$B$202,"&gt;="&amp;マスタ設定!$B$46-364,スコアリング!$B$3:$B$202,"&lt;="&amp;マスタ設定!$B$46),""))</f>
        <v/>
      </c>
      <c r="J21" s="31" t="str">
        <f aca="false">IF($A21="","",IFERROR(AVERAGEIFS(スコアリング!$O$3:$O$202,スコアリング!$C$3:$C$202,$A21,スコアリング!$P$3:$P$202,"有効",スコアリング!$B$3:$B$202,"&gt;="&amp;マスタ設定!$B$47-364,スコアリング!$B$3:$B$202,"&lt;="&amp;マスタ設定!$B$47),""))</f>
        <v/>
      </c>
      <c r="K21" s="31" t="str">
        <f aca="false">IF($A21="","",IFERROR(AVERAGEIFS(スコアリング!$O$3:$O$202,スコアリング!$C$3:$C$202,$A21,スコアリング!$P$3:$P$202,"有効",スコアリング!$B$3:$B$202,"&gt;="&amp;マスタ設定!$B$48-364,スコアリング!$B$3:$B$202,"&lt;="&amp;マスタ設定!$B$48),""))</f>
        <v/>
      </c>
      <c r="L21" s="31" t="str">
        <f aca="false">IF($A21="","",IFERROR(AVERAGEIFS(スコアリング!$O$3:$O$202,スコアリング!$C$3:$C$202,$A21,スコアリング!$P$3:$P$202,"有効",スコアリング!$B$3:$B$202,"&gt;="&amp;マスタ設定!$B$49-364,スコアリング!$B$3:$B$202,"&lt;="&amp;マスタ設定!$B$49),""))</f>
        <v/>
      </c>
    </row>
    <row r="22" customFormat="false" ht="15" hidden="false" customHeight="false" outlineLevel="0" collapsed="false">
      <c r="A22" s="29" t="str">
        <f aca="false">IF(マスタ設定!A37="","",マスタ設定!A37)</f>
        <v/>
      </c>
      <c r="B22" s="29" t="str">
        <f aca="false">IF(マスタ設定!B37="","",マスタ設定!B37)</f>
        <v/>
      </c>
      <c r="C22" s="29" t="str">
        <f aca="false">IF(マスタ設定!C37="","",マスタ設定!C37)</f>
        <v/>
      </c>
      <c r="D22" s="31" t="str">
        <f aca="false">IF($A22="","",IFERROR(AVERAGEIFS(スコアリング!$O$3:$O$202,スコアリング!$C$3:$C$202,$A22,スコアリング!$P$3:$P$202,"有効",スコアリング!$B$3:$B$202,"&gt;="&amp;マスタ設定!$B$41-364,スコアリング!$B$3:$B$202,"&lt;="&amp;マスタ設定!$B$41),""))</f>
        <v/>
      </c>
      <c r="E22" s="31" t="str">
        <f aca="false">IF($A22="","",IFERROR(AVERAGEIFS(スコアリング!$O$3:$O$202,スコアリング!$C$3:$C$202,$A22,スコアリング!$P$3:$P$202,"有効",スコアリング!$B$3:$B$202,"&gt;="&amp;マスタ設定!$B$42-364,スコアリング!$B$3:$B$202,"&lt;="&amp;マスタ設定!$B$42),""))</f>
        <v/>
      </c>
      <c r="F22" s="31" t="str">
        <f aca="false">IF($A22="","",IFERROR(AVERAGEIFS(スコアリング!$O$3:$O$202,スコアリング!$C$3:$C$202,$A22,スコアリング!$P$3:$P$202,"有効",スコアリング!$B$3:$B$202,"&gt;="&amp;マスタ設定!$B$43-364,スコアリング!$B$3:$B$202,"&lt;="&amp;マスタ設定!$B$43),""))</f>
        <v/>
      </c>
      <c r="G22" s="31" t="str">
        <f aca="false">IF($A22="","",IFERROR(AVERAGEIFS(スコアリング!$O$3:$O$202,スコアリング!$C$3:$C$202,$A22,スコアリング!$P$3:$P$202,"有効",スコアリング!$B$3:$B$202,"&gt;="&amp;マスタ設定!$B$44-364,スコアリング!$B$3:$B$202,"&lt;="&amp;マスタ設定!$B$44),""))</f>
        <v/>
      </c>
      <c r="H22" s="31" t="str">
        <f aca="false">IF($A22="","",IFERROR(AVERAGEIFS(スコアリング!$O$3:$O$202,スコアリング!$C$3:$C$202,$A22,スコアリング!$P$3:$P$202,"有効",スコアリング!$B$3:$B$202,"&gt;="&amp;マスタ設定!$B$45-364,スコアリング!$B$3:$B$202,"&lt;="&amp;マスタ設定!$B$45),""))</f>
        <v/>
      </c>
      <c r="I22" s="31" t="str">
        <f aca="false">IF($A22="","",IFERROR(AVERAGEIFS(スコアリング!$O$3:$O$202,スコアリング!$C$3:$C$202,$A22,スコアリング!$P$3:$P$202,"有効",スコアリング!$B$3:$B$202,"&gt;="&amp;マスタ設定!$B$46-364,スコアリング!$B$3:$B$202,"&lt;="&amp;マスタ設定!$B$46),""))</f>
        <v/>
      </c>
      <c r="J22" s="31" t="str">
        <f aca="false">IF($A22="","",IFERROR(AVERAGEIFS(スコアリング!$O$3:$O$202,スコアリング!$C$3:$C$202,$A22,スコアリング!$P$3:$P$202,"有効",スコアリング!$B$3:$B$202,"&gt;="&amp;マスタ設定!$B$47-364,スコアリング!$B$3:$B$202,"&lt;="&amp;マスタ設定!$B$47),""))</f>
        <v/>
      </c>
      <c r="K22" s="31" t="str">
        <f aca="false">IF($A22="","",IFERROR(AVERAGEIFS(スコアリング!$O$3:$O$202,スコアリング!$C$3:$C$202,$A22,スコアリング!$P$3:$P$202,"有効",スコアリング!$B$3:$B$202,"&gt;="&amp;マスタ設定!$B$48-364,スコアリング!$B$3:$B$202,"&lt;="&amp;マスタ設定!$B$48),""))</f>
        <v/>
      </c>
      <c r="L22" s="31" t="str">
        <f aca="false">IF($A22="","",IFERROR(AVERAGEIFS(スコアリング!$O$3:$O$202,スコアリング!$C$3:$C$202,$A22,スコアリング!$P$3:$P$202,"有効",スコアリング!$B$3:$B$202,"&gt;="&amp;マスタ設定!$B$49-364,スコアリング!$B$3:$B$202,"&lt;="&amp;マスタ設定!$B$49),""))</f>
        <v/>
      </c>
    </row>
    <row r="24" customFormat="false" ht="15" hidden="false" customHeight="false" outlineLevel="0" collapsed="false">
      <c r="A24" s="6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9" min="4" style="0" width="20"/>
    <col collapsed="false" customWidth="true" hidden="false" outlineLevel="0" max="10" min="10" style="0" width="18"/>
  </cols>
  <sheetData>
    <row r="1" customFormat="false" ht="21.6" hidden="false" customHeight="false" outlineLevel="0" collapsed="false">
      <c r="A1" s="1" t="s">
        <v>202</v>
      </c>
    </row>
    <row r="2" customFormat="false" ht="15" hidden="false" customHeight="false" outlineLevel="0" collapsed="false">
      <c r="A2" s="6" t="s">
        <v>203</v>
      </c>
    </row>
    <row r="4" customFormat="false" ht="15" hidden="false" customHeight="false" outlineLevel="0" collapsed="false">
      <c r="A4" s="6" t="s">
        <v>204</v>
      </c>
      <c r="D4" s="33" t="str">
        <f aca="false">IF(マスタ設定!A5="","",マスタ設定!A5)</f>
        <v>U01</v>
      </c>
      <c r="E4" s="33" t="str">
        <f aca="false">IF(マスタ設定!A6="","",マスタ設定!A6)</f>
        <v>U02</v>
      </c>
      <c r="F4" s="33" t="str">
        <f aca="false">IF(マスタ設定!A7="","",マスタ設定!A7)</f>
        <v/>
      </c>
      <c r="G4" s="33" t="str">
        <f aca="false">IF(マスタ設定!A8="","",マスタ設定!A8)</f>
        <v/>
      </c>
      <c r="H4" s="33" t="str">
        <f aca="false">IF(マスタ設定!A9="","",マスタ設定!A9)</f>
        <v/>
      </c>
      <c r="I4" s="33" t="str">
        <f aca="false">IF(マスタ設定!A10="","",マスタ設定!A10)</f>
        <v/>
      </c>
    </row>
    <row r="5" customFormat="false" ht="31.5" hidden="false" customHeight="true" outlineLevel="0" collapsed="false">
      <c r="A5" s="9" t="s">
        <v>59</v>
      </c>
      <c r="B5" s="9" t="s">
        <v>60</v>
      </c>
      <c r="C5" s="9" t="s">
        <v>205</v>
      </c>
      <c r="D5" s="21" t="str">
        <f aca="false">IF(マスタ設定!A5="","（未設定）",マスタ設定!B5&amp;"／"&amp;マスタ設定!C5)</f>
        <v>ビジネスパートナー／ERP領域（専任）</v>
      </c>
      <c r="E5" s="21" t="str">
        <f aca="false">IF(マスタ設定!A6="","（未設定）",マスタ設定!B6&amp;"／"&amp;マスタ設定!C6)</f>
        <v>データアーキテクト／データ活用基盤</v>
      </c>
      <c r="F5" s="21" t="str">
        <f aca="false">IF(マスタ設定!A7="","（未設定）",マスタ設定!B7&amp;"／"&amp;マスタ設定!C7)</f>
        <v>（未設定）</v>
      </c>
      <c r="G5" s="21" t="str">
        <f aca="false">IF(マスタ設定!A8="","（未設定）",マスタ設定!B8&amp;"／"&amp;マスタ設定!C8)</f>
        <v>（未設定）</v>
      </c>
      <c r="H5" s="21" t="str">
        <f aca="false">IF(マスタ設定!A9="","（未設定）",マスタ設定!B9&amp;"／"&amp;マスタ設定!C9)</f>
        <v>（未設定）</v>
      </c>
      <c r="I5" s="21" t="str">
        <f aca="false">IF(マスタ設定!A10="","（未設定）",マスタ設定!B10&amp;"／"&amp;マスタ設定!C10)</f>
        <v>（未設定）</v>
      </c>
      <c r="J5" s="9" t="s">
        <v>206</v>
      </c>
    </row>
    <row r="6" customFormat="false" ht="15" hidden="false" customHeight="false" outlineLevel="0" collapsed="false">
      <c r="A6" s="29" t="str">
        <f aca="false">マスタ設定!A41</f>
        <v>2026 Q1</v>
      </c>
      <c r="B6" s="30" t="n">
        <f aca="false">マスタ設定!B41</f>
        <v>46112</v>
      </c>
      <c r="C6" s="29" t="n">
        <f aca="false">マスタ設定!C41</f>
        <v>0</v>
      </c>
      <c r="D6" s="31" t="n">
        <f aca="false">IF(D$4="","",IFERROR(AVERAGEIFS(スコアリング!$O$3:$O$202,スコアリング!$E$3:$E$202,D$4,スコアリング!$P$3:$P$202,"有効",スコアリング!$B$3:$B$202,"&gt;="&amp;$B6-364,スコアリング!$B$3:$B$202,"&lt;="&amp;$B6),""))</f>
        <v>68.3666666666667</v>
      </c>
      <c r="E6" s="31" t="n">
        <f aca="false">IF(E$4="","",IFERROR(AVERAGEIFS(スコアリング!$O$3:$O$202,スコアリング!$E$3:$E$202,E$4,スコアリング!$P$3:$P$202,"有効",スコアリング!$B$3:$B$202,"&gt;="&amp;$B6-364,スコアリング!$B$3:$B$202,"&lt;="&amp;$B6),""))</f>
        <v>91.7</v>
      </c>
      <c r="F6" s="31" t="str">
        <f aca="false">IF(F$4="","",IFERROR(AVERAGEIFS(スコアリング!$O$3:$O$202,スコアリング!$E$3:$E$202,F$4,スコアリング!$P$3:$P$202,"有効",スコアリング!$B$3:$B$202,"&gt;="&amp;$B6-364,スコアリング!$B$3:$B$202,"&lt;="&amp;$B6),""))</f>
        <v/>
      </c>
      <c r="G6" s="31" t="str">
        <f aca="false">IF(G$4="","",IFERROR(AVERAGEIFS(スコアリング!$O$3:$O$202,スコアリング!$E$3:$E$202,G$4,スコアリング!$P$3:$P$202,"有効",スコアリング!$B$3:$B$202,"&gt;="&amp;$B6-364,スコアリング!$B$3:$B$202,"&lt;="&amp;$B6),""))</f>
        <v/>
      </c>
      <c r="H6" s="31" t="str">
        <f aca="false">IF(H$4="","",IFERROR(AVERAGEIFS(スコアリング!$O$3:$O$202,スコアリング!$E$3:$E$202,H$4,スコアリング!$P$3:$P$202,"有効",スコアリング!$B$3:$B$202,"&gt;="&amp;$B6-364,スコアリング!$B$3:$B$202,"&lt;="&amp;$B6),""))</f>
        <v/>
      </c>
      <c r="I6" s="31" t="str">
        <f aca="false">IF(I$4="","",IFERROR(AVERAGEIFS(スコアリング!$O$3:$O$202,スコアリング!$E$3:$E$202,I$4,スコアリング!$P$3:$P$202,"有効",スコアリング!$B$3:$B$202,"&gt;="&amp;$B6-364,スコアリング!$B$3:$B$202,"&lt;="&amp;$B6),""))</f>
        <v/>
      </c>
      <c r="J6" s="31" t="n">
        <v>100</v>
      </c>
    </row>
    <row r="7" customFormat="false" ht="15" hidden="false" customHeight="false" outlineLevel="0" collapsed="false">
      <c r="A7" s="29" t="str">
        <f aca="false">マスタ設定!A42</f>
        <v>2026 Q2</v>
      </c>
      <c r="B7" s="30" t="n">
        <f aca="false">マスタ設定!B42</f>
        <v>46203</v>
      </c>
      <c r="C7" s="29" t="n">
        <f aca="false">マスタ設定!C42</f>
        <v>12.5</v>
      </c>
      <c r="D7" s="31" t="n">
        <f aca="false">IF(D$4="","",IFERROR(AVERAGEIFS(スコアリング!$O$3:$O$202,スコアリング!$E$3:$E$202,D$4,スコアリング!$P$3:$P$202,"有効",スコアリング!$B$3:$B$202,"&gt;="&amp;$B7-364,スコアリング!$B$3:$B$202,"&lt;="&amp;$B7),""))</f>
        <v>74.36</v>
      </c>
      <c r="E7" s="31" t="n">
        <f aca="false">IF(E$4="","",IFERROR(AVERAGEIFS(スコアリング!$O$3:$O$202,スコアリング!$E$3:$E$202,E$4,スコアリング!$P$3:$P$202,"有効",スコアリング!$B$3:$B$202,"&gt;="&amp;$B7-364,スコアリング!$B$3:$B$202,"&lt;="&amp;$B7),""))</f>
        <v>95.85</v>
      </c>
      <c r="F7" s="31" t="str">
        <f aca="false">IF(F$4="","",IFERROR(AVERAGEIFS(スコアリング!$O$3:$O$202,スコアリング!$E$3:$E$202,F$4,スコアリング!$P$3:$P$202,"有効",スコアリング!$B$3:$B$202,"&gt;="&amp;$B7-364,スコアリング!$B$3:$B$202,"&lt;="&amp;$B7),""))</f>
        <v/>
      </c>
      <c r="G7" s="31" t="str">
        <f aca="false">IF(G$4="","",IFERROR(AVERAGEIFS(スコアリング!$O$3:$O$202,スコアリング!$E$3:$E$202,G$4,スコアリング!$P$3:$P$202,"有効",スコアリング!$B$3:$B$202,"&gt;="&amp;$B7-364,スコアリング!$B$3:$B$202,"&lt;="&amp;$B7),""))</f>
        <v/>
      </c>
      <c r="H7" s="31" t="str">
        <f aca="false">IF(H$4="","",IFERROR(AVERAGEIFS(スコアリング!$O$3:$O$202,スコアリング!$E$3:$E$202,H$4,スコアリング!$P$3:$P$202,"有効",スコアリング!$B$3:$B$202,"&gt;="&amp;$B7-364,スコアリング!$B$3:$B$202,"&lt;="&amp;$B7),""))</f>
        <v/>
      </c>
      <c r="I7" s="31" t="str">
        <f aca="false">IF(I$4="","",IFERROR(AVERAGEIFS(スコアリング!$O$3:$O$202,スコアリング!$E$3:$E$202,I$4,スコアリング!$P$3:$P$202,"有効",スコアリング!$B$3:$B$202,"&gt;="&amp;$B7-364,スコアリング!$B$3:$B$202,"&lt;="&amp;$B7),""))</f>
        <v/>
      </c>
      <c r="J7" s="31" t="n">
        <v>100</v>
      </c>
    </row>
    <row r="8" customFormat="false" ht="15" hidden="false" customHeight="false" outlineLevel="0" collapsed="false">
      <c r="A8" s="29" t="str">
        <f aca="false">マスタ設定!A43</f>
        <v>2026 Q3</v>
      </c>
      <c r="B8" s="30" t="n">
        <f aca="false">マスタ設定!B43</f>
        <v>46295</v>
      </c>
      <c r="C8" s="29" t="n">
        <f aca="false">マスタ設定!C43</f>
        <v>25</v>
      </c>
      <c r="D8" s="31" t="n">
        <f aca="false">IF(D$4="","",IFERROR(AVERAGEIFS(スコアリング!$O$3:$O$202,スコアリング!$E$3:$E$202,D$4,スコアリング!$P$3:$P$202,"有効",スコアリング!$B$3:$B$202,"&gt;="&amp;$B8-364,スコアリング!$B$3:$B$202,"&lt;="&amp;$B8),""))</f>
        <v>80.9714285714286</v>
      </c>
      <c r="E8" s="31" t="n">
        <f aca="false">IF(E$4="","",IFERROR(AVERAGEIFS(スコアリング!$O$3:$O$202,スコアリング!$E$3:$E$202,E$4,スコアリング!$P$3:$P$202,"有効",スコアリング!$B$3:$B$202,"&gt;="&amp;$B8-364,スコアリング!$B$3:$B$202,"&lt;="&amp;$B8),""))</f>
        <v>102.8</v>
      </c>
      <c r="F8" s="31" t="str">
        <f aca="false">IF(F$4="","",IFERROR(AVERAGEIFS(スコアリング!$O$3:$O$202,スコアリング!$E$3:$E$202,F$4,スコアリング!$P$3:$P$202,"有効",スコアリング!$B$3:$B$202,"&gt;="&amp;$B8-364,スコアリング!$B$3:$B$202,"&lt;="&amp;$B8),""))</f>
        <v/>
      </c>
      <c r="G8" s="31" t="str">
        <f aca="false">IF(G$4="","",IFERROR(AVERAGEIFS(スコアリング!$O$3:$O$202,スコアリング!$E$3:$E$202,G$4,スコアリング!$P$3:$P$202,"有効",スコアリング!$B$3:$B$202,"&gt;="&amp;$B8-364,スコアリング!$B$3:$B$202,"&lt;="&amp;$B8),""))</f>
        <v/>
      </c>
      <c r="H8" s="31" t="str">
        <f aca="false">IF(H$4="","",IFERROR(AVERAGEIFS(スコアリング!$O$3:$O$202,スコアリング!$E$3:$E$202,H$4,スコアリング!$P$3:$P$202,"有効",スコアリング!$B$3:$B$202,"&gt;="&amp;$B8-364,スコアリング!$B$3:$B$202,"&lt;="&amp;$B8),""))</f>
        <v/>
      </c>
      <c r="I8" s="31" t="str">
        <f aca="false">IF(I$4="","",IFERROR(AVERAGEIFS(スコアリング!$O$3:$O$202,スコアリング!$E$3:$E$202,I$4,スコアリング!$P$3:$P$202,"有効",スコアリング!$B$3:$B$202,"&gt;="&amp;$B8-364,スコアリング!$B$3:$B$202,"&lt;="&amp;$B8),""))</f>
        <v/>
      </c>
      <c r="J8" s="31" t="n">
        <v>100</v>
      </c>
    </row>
    <row r="9" customFormat="false" ht="15" hidden="false" customHeight="false" outlineLevel="0" collapsed="false">
      <c r="A9" s="29" t="str">
        <f aca="false">マスタ設定!A44</f>
        <v>2026 Q4</v>
      </c>
      <c r="B9" s="30" t="n">
        <f aca="false">マスタ設定!B44</f>
        <v>46387</v>
      </c>
      <c r="C9" s="29" t="n">
        <f aca="false">マスタ設定!C44</f>
        <v>37.5</v>
      </c>
      <c r="D9" s="31" t="n">
        <f aca="false">IF(D$4="","",IFERROR(AVERAGEIFS(スコアリング!$O$3:$O$202,スコアリング!$E$3:$E$202,D$4,スコアリング!$P$3:$P$202,"有効",スコアリング!$B$3:$B$202,"&gt;="&amp;$B9-364,スコアリング!$B$3:$B$202,"&lt;="&amp;$B9),""))</f>
        <v>87.0555555555556</v>
      </c>
      <c r="E9" s="31" t="n">
        <f aca="false">IF(E$4="","",IFERROR(AVERAGEIFS(スコアリング!$O$3:$O$202,スコアリング!$E$3:$E$202,E$4,スコアリング!$P$3:$P$202,"有効",スコアリング!$B$3:$B$202,"&gt;="&amp;$B9-364,スコアリング!$B$3:$B$202,"&lt;="&amp;$B9),""))</f>
        <v>110.425</v>
      </c>
      <c r="F9" s="31" t="str">
        <f aca="false">IF(F$4="","",IFERROR(AVERAGEIFS(スコアリング!$O$3:$O$202,スコアリング!$E$3:$E$202,F$4,スコアリング!$P$3:$P$202,"有効",スコアリング!$B$3:$B$202,"&gt;="&amp;$B9-364,スコアリング!$B$3:$B$202,"&lt;="&amp;$B9),""))</f>
        <v/>
      </c>
      <c r="G9" s="31" t="str">
        <f aca="false">IF(G$4="","",IFERROR(AVERAGEIFS(スコアリング!$O$3:$O$202,スコアリング!$E$3:$E$202,G$4,スコアリング!$P$3:$P$202,"有効",スコアリング!$B$3:$B$202,"&gt;="&amp;$B9-364,スコアリング!$B$3:$B$202,"&lt;="&amp;$B9),""))</f>
        <v/>
      </c>
      <c r="H9" s="31" t="str">
        <f aca="false">IF(H$4="","",IFERROR(AVERAGEIFS(スコアリング!$O$3:$O$202,スコアリング!$E$3:$E$202,H$4,スコアリング!$P$3:$P$202,"有効",スコアリング!$B$3:$B$202,"&gt;="&amp;$B9-364,スコアリング!$B$3:$B$202,"&lt;="&amp;$B9),""))</f>
        <v/>
      </c>
      <c r="I9" s="31" t="str">
        <f aca="false">IF(I$4="","",IFERROR(AVERAGEIFS(スコアリング!$O$3:$O$202,スコアリング!$E$3:$E$202,I$4,スコアリング!$P$3:$P$202,"有効",スコアリング!$B$3:$B$202,"&gt;="&amp;$B9-364,スコアリング!$B$3:$B$202,"&lt;="&amp;$B9),""))</f>
        <v/>
      </c>
      <c r="J9" s="31" t="n">
        <v>100</v>
      </c>
    </row>
    <row r="10" customFormat="false" ht="15" hidden="false" customHeight="false" outlineLevel="0" collapsed="false">
      <c r="A10" s="29" t="str">
        <f aca="false">マスタ設定!A45</f>
        <v>2027 Q1</v>
      </c>
      <c r="B10" s="30" t="n">
        <f aca="false">マスタ設定!B45</f>
        <v>46477</v>
      </c>
      <c r="C10" s="29" t="n">
        <f aca="false">マスタ設定!C45</f>
        <v>50</v>
      </c>
      <c r="D10" s="31" t="n">
        <f aca="false">IF(D$4="","",IFERROR(AVERAGEIFS(スコアリング!$O$3:$O$202,スコアリング!$E$3:$E$202,D$4,スコアリング!$P$3:$P$202,"有効",スコアリング!$B$3:$B$202,"&gt;="&amp;$B10-364,スコアリング!$B$3:$B$202,"&lt;="&amp;$B10),""))</f>
        <v>100.8375</v>
      </c>
      <c r="E10" s="31" t="n">
        <f aca="false">IF(E$4="","",IFERROR(AVERAGEIFS(スコアリング!$O$3:$O$202,スコアリング!$E$3:$E$202,E$4,スコアリング!$P$3:$P$202,"有効",スコアリング!$B$3:$B$202,"&gt;="&amp;$B10-364,スコアリング!$B$3:$B$202,"&lt;="&amp;$B10),""))</f>
        <v>125</v>
      </c>
      <c r="F10" s="31" t="str">
        <f aca="false">IF(F$4="","",IFERROR(AVERAGEIFS(スコアリング!$O$3:$O$202,スコアリング!$E$3:$E$202,F$4,スコアリング!$P$3:$P$202,"有効",スコアリング!$B$3:$B$202,"&gt;="&amp;$B10-364,スコアリング!$B$3:$B$202,"&lt;="&amp;$B10),""))</f>
        <v/>
      </c>
      <c r="G10" s="31" t="str">
        <f aca="false">IF(G$4="","",IFERROR(AVERAGEIFS(スコアリング!$O$3:$O$202,スコアリング!$E$3:$E$202,G$4,スコアリング!$P$3:$P$202,"有効",スコアリング!$B$3:$B$202,"&gt;="&amp;$B10-364,スコアリング!$B$3:$B$202,"&lt;="&amp;$B10),""))</f>
        <v/>
      </c>
      <c r="H10" s="31" t="str">
        <f aca="false">IF(H$4="","",IFERROR(AVERAGEIFS(スコアリング!$O$3:$O$202,スコアリング!$E$3:$E$202,H$4,スコアリング!$P$3:$P$202,"有効",スコアリング!$B$3:$B$202,"&gt;="&amp;$B10-364,スコアリング!$B$3:$B$202,"&lt;="&amp;$B10),""))</f>
        <v/>
      </c>
      <c r="I10" s="31" t="str">
        <f aca="false">IF(I$4="","",IFERROR(AVERAGEIFS(スコアリング!$O$3:$O$202,スコアリング!$E$3:$E$202,I$4,スコアリング!$P$3:$P$202,"有効",スコアリング!$B$3:$B$202,"&gt;="&amp;$B10-364,スコアリング!$B$3:$B$202,"&lt;="&amp;$B10),""))</f>
        <v/>
      </c>
      <c r="J10" s="31" t="n">
        <v>100</v>
      </c>
    </row>
    <row r="11" customFormat="false" ht="15" hidden="false" customHeight="false" outlineLevel="0" collapsed="false">
      <c r="A11" s="29" t="str">
        <f aca="false">マスタ設定!A46</f>
        <v>2027 Q2</v>
      </c>
      <c r="B11" s="30" t="n">
        <f aca="false">マスタ設定!B46</f>
        <v>46568</v>
      </c>
      <c r="C11" s="29" t="n">
        <f aca="false">マスタ設定!C46</f>
        <v>62.5</v>
      </c>
      <c r="D11" s="31" t="n">
        <f aca="false">IF(D$4="","",IFERROR(AVERAGEIFS(スコアリング!$O$3:$O$202,スコアリング!$E$3:$E$202,D$4,スコアリング!$P$3:$P$202,"有効",スコアリング!$B$3:$B$202,"&gt;="&amp;$B11-364,スコアリング!$B$3:$B$202,"&lt;="&amp;$B11),""))</f>
        <v>106.428571428571</v>
      </c>
      <c r="E11" s="31" t="n">
        <f aca="false">IF(E$4="","",IFERROR(AVERAGEIFS(スコアリング!$O$3:$O$202,スコアリング!$E$3:$E$202,E$4,スコアリング!$P$3:$P$202,"有効",スコアリング!$B$3:$B$202,"&gt;="&amp;$B11-364,スコアリング!$B$3:$B$202,"&lt;="&amp;$B11),""))</f>
        <v>133.333333333333</v>
      </c>
      <c r="F11" s="31" t="str">
        <f aca="false">IF(F$4="","",IFERROR(AVERAGEIFS(スコアリング!$O$3:$O$202,スコアリング!$E$3:$E$202,F$4,スコアリング!$P$3:$P$202,"有効",スコアリング!$B$3:$B$202,"&gt;="&amp;$B11-364,スコアリング!$B$3:$B$202,"&lt;="&amp;$B11),""))</f>
        <v/>
      </c>
      <c r="G11" s="31" t="str">
        <f aca="false">IF(G$4="","",IFERROR(AVERAGEIFS(スコアリング!$O$3:$O$202,スコアリング!$E$3:$E$202,G$4,スコアリング!$P$3:$P$202,"有効",スコアリング!$B$3:$B$202,"&gt;="&amp;$B11-364,スコアリング!$B$3:$B$202,"&lt;="&amp;$B11),""))</f>
        <v/>
      </c>
      <c r="H11" s="31" t="str">
        <f aca="false">IF(H$4="","",IFERROR(AVERAGEIFS(スコアリング!$O$3:$O$202,スコアリング!$E$3:$E$202,H$4,スコアリング!$P$3:$P$202,"有効",スコアリング!$B$3:$B$202,"&gt;="&amp;$B11-364,スコアリング!$B$3:$B$202,"&lt;="&amp;$B11),""))</f>
        <v/>
      </c>
      <c r="I11" s="31" t="str">
        <f aca="false">IF(I$4="","",IFERROR(AVERAGEIFS(スコアリング!$O$3:$O$202,スコアリング!$E$3:$E$202,I$4,スコアリング!$P$3:$P$202,"有効",スコアリング!$B$3:$B$202,"&gt;="&amp;$B11-364,スコアリング!$B$3:$B$202,"&lt;="&amp;$B11),""))</f>
        <v/>
      </c>
      <c r="J11" s="31" t="n">
        <v>100</v>
      </c>
    </row>
    <row r="12" customFormat="false" ht="15" hidden="false" customHeight="false" outlineLevel="0" collapsed="false">
      <c r="A12" s="29" t="str">
        <f aca="false">マスタ設定!A47</f>
        <v>2027 Q3</v>
      </c>
      <c r="B12" s="30" t="n">
        <f aca="false">マスタ設定!B47</f>
        <v>46660</v>
      </c>
      <c r="C12" s="29" t="n">
        <f aca="false">マスタ設定!C47</f>
        <v>75</v>
      </c>
      <c r="D12" s="31" t="n">
        <f aca="false">IF(D$4="","",IFERROR(AVERAGEIFS(スコアリング!$O$3:$O$202,スコアリング!$E$3:$E$202,D$4,スコアリング!$P$3:$P$202,"有効",スコアリング!$B$3:$B$202,"&gt;="&amp;$B12-364,スコアリング!$B$3:$B$202,"&lt;="&amp;$B12),""))</f>
        <v>108.333333333333</v>
      </c>
      <c r="E12" s="31" t="n">
        <f aca="false">IF(E$4="","",IFERROR(AVERAGEIFS(スコアリング!$O$3:$O$202,スコアリング!$E$3:$E$202,E$4,スコアリング!$P$3:$P$202,"有効",スコアリング!$B$3:$B$202,"&gt;="&amp;$B12-364,スコアリング!$B$3:$B$202,"&lt;="&amp;$B12),""))</f>
        <v>147.233333333333</v>
      </c>
      <c r="F12" s="31" t="str">
        <f aca="false">IF(F$4="","",IFERROR(AVERAGEIFS(スコアリング!$O$3:$O$202,スコアリング!$E$3:$E$202,F$4,スコアリング!$P$3:$P$202,"有効",スコアリング!$B$3:$B$202,"&gt;="&amp;$B12-364,スコアリング!$B$3:$B$202,"&lt;="&amp;$B12),""))</f>
        <v/>
      </c>
      <c r="G12" s="31" t="str">
        <f aca="false">IF(G$4="","",IFERROR(AVERAGEIFS(スコアリング!$O$3:$O$202,スコアリング!$E$3:$E$202,G$4,スコアリング!$P$3:$P$202,"有効",スコアリング!$B$3:$B$202,"&gt;="&amp;$B12-364,スコアリング!$B$3:$B$202,"&lt;="&amp;$B12),""))</f>
        <v/>
      </c>
      <c r="H12" s="31" t="str">
        <f aca="false">IF(H$4="","",IFERROR(AVERAGEIFS(スコアリング!$O$3:$O$202,スコアリング!$E$3:$E$202,H$4,スコアリング!$P$3:$P$202,"有効",スコアリング!$B$3:$B$202,"&gt;="&amp;$B12-364,スコアリング!$B$3:$B$202,"&lt;="&amp;$B12),""))</f>
        <v/>
      </c>
      <c r="I12" s="31" t="str">
        <f aca="false">IF(I$4="","",IFERROR(AVERAGEIFS(スコアリング!$O$3:$O$202,スコアリング!$E$3:$E$202,I$4,スコアリング!$P$3:$P$202,"有効",スコアリング!$B$3:$B$202,"&gt;="&amp;$B12-364,スコアリング!$B$3:$B$202,"&lt;="&amp;$B12),""))</f>
        <v/>
      </c>
      <c r="J12" s="31" t="n">
        <v>100</v>
      </c>
    </row>
    <row r="13" customFormat="false" ht="15" hidden="false" customHeight="false" outlineLevel="0" collapsed="false">
      <c r="A13" s="29" t="str">
        <f aca="false">マスタ設定!A48</f>
        <v>2027 Q4</v>
      </c>
      <c r="B13" s="30" t="n">
        <f aca="false">マスタ設定!B48</f>
        <v>46752</v>
      </c>
      <c r="C13" s="29" t="n">
        <f aca="false">マスタ設定!C48</f>
        <v>87.5</v>
      </c>
      <c r="D13" s="31" t="n">
        <f aca="false">IF(D$4="","",IFERROR(AVERAGEIFS(スコアリング!$O$3:$O$202,スコアリング!$E$3:$E$202,D$4,スコアリング!$P$3:$P$202,"有効",スコアリング!$B$3:$B$202,"&gt;="&amp;$B13-364,スコアリング!$B$3:$B$202,"&lt;="&amp;$B13),""))</f>
        <v>105.55</v>
      </c>
      <c r="E13" s="31" t="n">
        <f aca="false">IF(E$4="","",IFERROR(AVERAGEIFS(スコアリング!$O$3:$O$202,スコアリング!$E$3:$E$202,E$4,スコアリング!$P$3:$P$202,"有効",スコアリング!$B$3:$B$202,"&gt;="&amp;$B13-364,スコアリング!$B$3:$B$202,"&lt;="&amp;$B13),""))</f>
        <v>158.366666666667</v>
      </c>
      <c r="F13" s="31" t="str">
        <f aca="false">IF(F$4="","",IFERROR(AVERAGEIFS(スコアリング!$O$3:$O$202,スコアリング!$E$3:$E$202,F$4,スコアリング!$P$3:$P$202,"有効",スコアリング!$B$3:$B$202,"&gt;="&amp;$B13-364,スコアリング!$B$3:$B$202,"&lt;="&amp;$B13),""))</f>
        <v/>
      </c>
      <c r="G13" s="31" t="str">
        <f aca="false">IF(G$4="","",IFERROR(AVERAGEIFS(スコアリング!$O$3:$O$202,スコアリング!$E$3:$E$202,G$4,スコアリング!$P$3:$P$202,"有効",スコアリング!$B$3:$B$202,"&gt;="&amp;$B13-364,スコアリング!$B$3:$B$202,"&lt;="&amp;$B13),""))</f>
        <v/>
      </c>
      <c r="H13" s="31" t="str">
        <f aca="false">IF(H$4="","",IFERROR(AVERAGEIFS(スコアリング!$O$3:$O$202,スコアリング!$E$3:$E$202,H$4,スコアリング!$P$3:$P$202,"有効",スコアリング!$B$3:$B$202,"&gt;="&amp;$B13-364,スコアリング!$B$3:$B$202,"&lt;="&amp;$B13),""))</f>
        <v/>
      </c>
      <c r="I13" s="31" t="str">
        <f aca="false">IF(I$4="","",IFERROR(AVERAGEIFS(スコアリング!$O$3:$O$202,スコアリング!$E$3:$E$202,I$4,スコアリング!$P$3:$P$202,"有効",スコアリング!$B$3:$B$202,"&gt;="&amp;$B13-364,スコアリング!$B$3:$B$202,"&lt;="&amp;$B13),""))</f>
        <v/>
      </c>
      <c r="J13" s="31" t="n">
        <v>100</v>
      </c>
    </row>
    <row r="14" customFormat="false" ht="15" hidden="false" customHeight="false" outlineLevel="0" collapsed="false">
      <c r="A14" s="29" t="str">
        <f aca="false">マスタ設定!A49</f>
        <v>2028 Q1</v>
      </c>
      <c r="B14" s="30" t="n">
        <f aca="false">マスタ設定!B49</f>
        <v>46843</v>
      </c>
      <c r="C14" s="29" t="n">
        <f aca="false">マスタ設定!C49</f>
        <v>100</v>
      </c>
      <c r="D14" s="31" t="n">
        <f aca="false">IF(D$4="","",IFERROR(AVERAGEIFS(スコアリング!$O$3:$O$202,スコアリング!$E$3:$E$202,D$4,スコアリング!$P$3:$P$202,"有効",スコアリング!$B$3:$B$202,"&gt;="&amp;$B14-364,スコアリング!$B$3:$B$202,"&lt;="&amp;$B14),""))</f>
        <v>102.5</v>
      </c>
      <c r="E14" s="31" t="n">
        <f aca="false">IF(E$4="","",IFERROR(AVERAGEIFS(スコアリング!$O$3:$O$202,スコアリング!$E$3:$E$202,E$4,スコアリング!$P$3:$P$202,"有効",スコアリング!$B$3:$B$202,"&gt;="&amp;$B14-364,スコアリング!$B$3:$B$202,"&lt;="&amp;$B14),""))</f>
        <v>163.933333333333</v>
      </c>
      <c r="F14" s="31" t="str">
        <f aca="false">IF(F$4="","",IFERROR(AVERAGEIFS(スコアリング!$O$3:$O$202,スコアリング!$E$3:$E$202,F$4,スコアリング!$P$3:$P$202,"有効",スコアリング!$B$3:$B$202,"&gt;="&amp;$B14-364,スコアリング!$B$3:$B$202,"&lt;="&amp;$B14),""))</f>
        <v/>
      </c>
      <c r="G14" s="31" t="str">
        <f aca="false">IF(G$4="","",IFERROR(AVERAGEIFS(スコアリング!$O$3:$O$202,スコアリング!$E$3:$E$202,G$4,スコアリング!$P$3:$P$202,"有効",スコアリング!$B$3:$B$202,"&gt;="&amp;$B14-364,スコアリング!$B$3:$B$202,"&lt;="&amp;$B14),""))</f>
        <v/>
      </c>
      <c r="H14" s="31" t="str">
        <f aca="false">IF(H$4="","",IFERROR(AVERAGEIFS(スコアリング!$O$3:$O$202,スコアリング!$E$3:$E$202,H$4,スコアリング!$P$3:$P$202,"有効",スコアリング!$B$3:$B$202,"&gt;="&amp;$B14-364,スコアリング!$B$3:$B$202,"&lt;="&amp;$B14),""))</f>
        <v/>
      </c>
      <c r="I14" s="31" t="str">
        <f aca="false">IF(I$4="","",IFERROR(AVERAGEIFS(スコアリング!$O$3:$O$202,スコアリング!$E$3:$E$202,I$4,スコアリング!$P$3:$P$202,"有効",スコアリング!$B$3:$B$202,"&gt;="&amp;$B14-364,スコアリング!$B$3:$B$202,"&lt;="&amp;$B14),""))</f>
        <v/>
      </c>
      <c r="J14" s="31" t="n">
        <v>100</v>
      </c>
    </row>
    <row r="15" customFormat="false" ht="15" hidden="false" customHeight="false" outlineLevel="0" collapsed="false">
      <c r="A15" s="6" t="s">
        <v>207</v>
      </c>
    </row>
    <row r="16" customFormat="false" ht="15" hidden="false" customHeight="false" outlineLevel="0" collapsed="false">
      <c r="A16" s="6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2026-08-22T10:15:07Z</dcterms:created>
  <dc:creator>openpyxl</dc:creator>
  <dc:description/>
  <dc:language>en-US</dc:language>
  <cp:lastModifiedBy/>
  <dcterms:modified xsi:type="dcterms:W3CDTF">2026-08-22T10:15:10Z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