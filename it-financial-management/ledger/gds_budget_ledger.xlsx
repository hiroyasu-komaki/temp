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_Definition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Budget_vs_Actual" sheetId="3" state="visible" r:id="rId3"/>
    <sheet xmlns:r="http://schemas.openxmlformats.org/officeDocument/2006/relationships" name="Opex_Budget" sheetId="4" state="visible" r:id="rId4"/>
    <sheet xmlns:r="http://schemas.openxmlformats.org/officeDocument/2006/relationships" name="Actuals" sheetId="5" state="visible" r:id="rId5"/>
    <sheet xmlns:r="http://schemas.openxmlformats.org/officeDocument/2006/relationships" name="Prior_Forecast" sheetId="6" state="visible" r:id="rId6"/>
    <sheet xmlns:r="http://schemas.openxmlformats.org/officeDocument/2006/relationships" name="Cost_Centers" sheetId="7" state="visible" r:id="rId7"/>
    <sheet xmlns:r="http://schemas.openxmlformats.org/officeDocument/2006/relationships" name="Accounts" sheetId="8" state="visible" r:id="rId8"/>
    <sheet xmlns:r="http://schemas.openxmlformats.org/officeDocument/2006/relationships" name="FX_Rates" sheetId="9" state="visible" r:id="rId9"/>
    <sheet xmlns:r="http://schemas.openxmlformats.org/officeDocument/2006/relationships" name="Lists" sheetId="10" state="visible" r:id="rId10"/>
  </sheets>
  <definedNames>
    <definedName name="lst_region">OFFSET(Lists!$A$2,0,0,MAX(1,COUNTA(Lists!$A$2:$A$100)),1)</definedName>
    <definedName name="lst_currency">OFFSET(Lists!$B$2,0,0,MAX(1,COUNTA(Lists!$B$2:$B$100)),1)</definedName>
    <definedName name="lst_contract_type">OFFSET(Lists!$C$2,0,0,MAX(1,COUNTA(Lists!$C$2:$C$100)),1)</definedName>
    <definedName name="lst_employment_type">OFFSET(Lists!$D$2,0,0,MAX(1,COUNTA(Lists!$D$2:$D$100)),1)</definedName>
    <definedName name="lst_allocation_type">OFFSET(Lists!$E$2,0,0,MAX(1,COUNTA(Lists!$E$2:$E$100)),1)</definedName>
    <definedName name="lst_source_type">OFFSET(Lists!$F$2,0,0,MAX(1,COUNTA(Lists!$F$2:$F$100)),1)</definedName>
    <definedName name="lst_cost_category">OFFSET(Lists!$G$2,0,0,MAX(1,COUNTA(Lists!$G$2:$G$100)),1)</definedName>
    <definedName name="lst_rate_type">OFFSET(Lists!$H$2,0,0,MAX(1,COUNTA(Lists!$H$2:$H$100)),1)</definedName>
    <definedName name="lst_yes_no">OFFSET(Lists!$I$2,0,0,MAX(1,COUNTA(Lists!$I$2:$I$100)),1)</definedName>
    <definedName name="lst_cost_center">OFFSET(Cost_Centers!$A$2,0,0,MAX(1,COUNTA(Cost_Centers!$A$2:$A$2000)),1)</definedName>
    <definedName name="lst_account">OFFSET(Accounts!$A$2,0,0,MAX(1,COUNTA(Accounts!$A$2:$A$5000)),1)</definedName>
    <definedName name="rng_BvA">Budget_vs_Actual!$A$8:$V$1209</definedName>
    <definedName name="prm_close_month">Budget_vs_Actual!$C$4</definedName>
    <definedName name="_xlnm._FilterDatabase" localSheetId="2" hidden="1">'Budget_vs_Actual'!$A$8:$V$1209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##"/>
    <numFmt numFmtId="165" formatCode="0.0000"/>
    <numFmt numFmtId="166" formatCode="#,##0;(#,##0);0"/>
    <numFmt numFmtId="167" formatCode="#,##0;(#,##0);-"/>
    <numFmt numFmtId="168" formatCode="0.0%;(0.0%);-"/>
  </numFmts>
  <fonts count="1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000FF"/>
      <sz val="10"/>
    </font>
    <font>
      <name val="Arial"/>
      <color rgb="007F7F7F"/>
      <sz val="9"/>
    </font>
    <font>
      <name val="Arial"/>
      <b val="1"/>
      <sz val="9"/>
    </font>
    <font>
      <name val="Arial"/>
      <color rgb="007F7F7F"/>
      <sz val="8"/>
    </font>
    <font>
      <name val="Arial"/>
      <color rgb="007F7F7F"/>
      <sz val="10"/>
    </font>
    <font>
      <name val="Arial"/>
      <i val="1"/>
      <color rgb="00595959"/>
      <sz val="10"/>
    </font>
    <font>
      <name val="Arial"/>
      <b val="1"/>
      <sz val="13"/>
    </font>
    <font>
      <name val="Arial"/>
      <sz val="9"/>
    </font>
    <font>
      <name val="Arial"/>
      <color rgb="00FFFFFF"/>
      <sz val="8"/>
    </font>
    <font>
      <name val="Consolas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EAF1FB"/>
      </patternFill>
    </fill>
    <fill>
      <patternFill patternType="solid">
        <fgColor rgb="007F7F7F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thin">
        <color rgb="007F7F7F"/>
      </top>
    </border>
    <border>
      <top style="hair">
        <color rgb="007F7F7F"/>
      </top>
    </border>
    <border>
      <bottom style="medium">
        <color rgb="001F3864"/>
      </bottom>
    </border>
    <border>
      <top style="medium">
        <color rgb="001F3864"/>
      </top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0" pivotButton="0" quotePrefix="0" xfId="0"/>
    <xf numFmtId="0" fontId="0" fillId="2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4" fillId="2" borderId="1" pivotButton="0" quotePrefix="0" xfId="0"/>
    <xf numFmtId="0" fontId="3" fillId="0" borderId="1" applyAlignment="1" pivotButton="0" quotePrefix="0" xfId="0">
      <alignment vertical="top" wrapText="1"/>
    </xf>
    <xf numFmtId="49" fontId="3" fillId="0" borderId="1" applyAlignment="1" pivotButton="0" quotePrefix="0" xfId="0">
      <alignment vertical="top" wrapText="1"/>
    </xf>
    <xf numFmtId="0" fontId="10" fillId="0" borderId="0" pivotButton="0" quotePrefix="0" xfId="0"/>
    <xf numFmtId="0" fontId="8" fillId="0" borderId="0" pivotButton="0" quotePrefix="0" xfId="0"/>
    <xf numFmtId="0" fontId="7" fillId="0" borderId="0" pivotButton="0" quotePrefix="0" xfId="0"/>
    <xf numFmtId="167" fontId="12" fillId="0" borderId="4" pivotButton="0" quotePrefix="0" xfId="0"/>
    <xf numFmtId="168" fontId="13" fillId="0" borderId="0" pivotButton="0" quotePrefix="0" xfId="0"/>
    <xf numFmtId="167" fontId="3" fillId="0" borderId="0" pivotButton="0" quotePrefix="0" xfId="0"/>
    <xf numFmtId="167" fontId="5" fillId="0" borderId="2" pivotButton="0" quotePrefix="0" xfId="0"/>
    <xf numFmtId="167" fontId="5" fillId="0" borderId="5" pivotButton="0" quotePrefix="0" xfId="0"/>
    <xf numFmtId="168" fontId="3" fillId="0" borderId="0" pivotButton="0" quotePrefix="0" xfId="0"/>
    <xf numFmtId="0" fontId="9" fillId="0" borderId="0" pivotButton="0" quotePrefix="0" xfId="0"/>
    <xf numFmtId="0" fontId="14" fillId="0" borderId="0" pivotButton="0" quotePrefix="0" xfId="0"/>
    <xf numFmtId="0" fontId="6" fillId="4" borderId="1" pivotButton="0" quotePrefix="0" xfId="0"/>
    <xf numFmtId="166" fontId="5" fillId="0" borderId="0" pivotButton="0" quotePrefix="0" xfId="0"/>
    <xf numFmtId="165" fontId="3" fillId="0" borderId="0" pivotButton="0" quotePrefix="0" xfId="0"/>
    <xf numFmtId="0" fontId="9" fillId="0" borderId="0" applyAlignment="1" pivotButton="0" quotePrefix="0" xfId="0">
      <alignment horizontal="right"/>
    </xf>
    <xf numFmtId="0" fontId="4" fillId="2" borderId="0" applyAlignment="1" pivotButton="0" quotePrefix="0" xfId="0">
      <alignment horizontal="center"/>
    </xf>
    <xf numFmtId="0" fontId="4" fillId="5" borderId="0" pivotButton="0" quotePrefix="0" xfId="0"/>
    <xf numFmtId="0" fontId="3" fillId="0" borderId="2" pivotButton="0" quotePrefix="0" xfId="0"/>
    <xf numFmtId="49" fontId="3" fillId="4" borderId="2" pivotButton="0" quotePrefix="0" xfId="0"/>
    <xf numFmtId="167" fontId="3" fillId="0" borderId="2" pivotButton="0" quotePrefix="0" xfId="0"/>
    <xf numFmtId="167" fontId="5" fillId="0" borderId="0" pivotButton="0" quotePrefix="0" xfId="0"/>
    <xf numFmtId="167" fontId="3" fillId="4" borderId="0" pivotButton="0" quotePrefix="0" xfId="0"/>
    <xf numFmtId="0" fontId="3" fillId="0" borderId="3" pivotButton="0" quotePrefix="0" xfId="0"/>
    <xf numFmtId="0" fontId="11" fillId="0" borderId="0" pivotButton="0" quotePrefix="0" xfId="0"/>
    <xf numFmtId="167" fontId="11" fillId="0" borderId="0" pivotButton="0" quotePrefix="0" xfId="0"/>
    <xf numFmtId="0" fontId="3" fillId="4" borderId="0" applyAlignment="1" pivotButton="0" quotePrefix="0" xfId="0">
      <alignment vertical="top" wrapText="1"/>
    </xf>
    <xf numFmtId="49" fontId="3" fillId="0" borderId="0" pivotButton="0" quotePrefix="0" xfId="0"/>
    <xf numFmtId="164" fontId="3" fillId="0" borderId="0" pivotButton="0" quotePrefix="0" xfId="0"/>
    <xf numFmtId="0" fontId="13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dxfs count="1">
    <dxf>
      <font>
        <name val="Arial"/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budget vs actual (bars) and variance % (line, right axis)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'Dashboard'!C38</f>
            </strRef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'Dashboard'!$A$39:$A$50</f>
            </numRef>
          </cat>
          <val>
            <numRef>
              <f>'Dashboard'!$C$39:$C$50</f>
            </numRef>
          </val>
        </ser>
        <ser>
          <idx val="1"/>
          <order val="1"/>
          <tx>
            <strRef>
              <f>'Dashboard'!D38</f>
            </strRef>
          </tx>
          <spPr>
            <a:solidFill xmlns:a="http://schemas.openxmlformats.org/drawingml/2006/main">
              <a:srgbClr val="9DB3D9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'Dashboard'!$A$39:$A$50</f>
            </numRef>
          </cat>
          <val>
            <numRef>
              <f>'Dashboard'!$D$39:$D$50</f>
            </numRef>
          </val>
        </ser>
        <gapWidth val="60"/>
        <overlap val="100"/>
        <axId val="10"/>
        <axId val="100"/>
      </barChart>
      <lineChart>
        <grouping val="standard"/>
        <ser>
          <idx val="2"/>
          <order val="2"/>
          <tx>
            <strRef>
              <f>'Dashboard'!B38</f>
            </strRef>
          </tx>
          <spPr>
            <a:ln xmlns:a="http://schemas.openxmlformats.org/drawingml/2006/main" w="22000">
              <a:solidFill>
                <a:srgbClr val="7F7F7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'Dashboard'!$B$39:$B$50</f>
            </numRef>
          </val>
          <smooth val="0"/>
        </ser>
        <axId val="10"/>
        <axId val="100"/>
      </lineChart>
      <lineChart>
        <grouping val="standard"/>
        <ser>
          <idx val="3"/>
          <order val="3"/>
          <tx>
            <strRef>
              <f>'Dashboard'!E38</f>
            </strRef>
          </tx>
          <spPr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solidFill>
                  <a:srgbClr val="C00000"/>
                </a:solidFill>
                <a:prstDash val="solid"/>
              </a:ln>
            </spPr>
          </marker>
          <val>
            <numRef>
              <f>'Dashboard'!$E$39:$E$50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numFmt formatCode="#,##0" sourceLinked="0"/>
        <majorTickMark val="none"/>
        <minorTickMark val="none"/>
        <crossAx val="10"/>
      </valAx>
      <valAx>
        <axId val="200"/>
        <scaling>
          <orientation val="minMax"/>
          <max val="0.15"/>
          <min val="-0.15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Variance % (+ over / - under)</a:t>
                </a:r>
              </a:p>
            </rich>
          </tx>
        </title>
        <numFmt formatCode="0%" sourceLinked="0"/>
        <majorTickMark val="none"/>
        <minorTickMark val="none"/>
        <crossAx val="10"/>
        <crosses val="max"/>
        <majorUnit val="0.05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37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Opex_Budget" displayName="tbl_Opex_Budget" ref="A1:AA2" headerRowCount="1">
  <autoFilter ref="A1:AA2"/>
  <tableColumns count="27">
    <tableColumn id="1" name="fiscal_year"/>
    <tableColumn id="2" name="region"/>
    <tableColumn id="3" name="owner"/>
    <tableColumn id="4" name="budget_id"/>
    <tableColumn id="5" name="cost_center_code"/>
    <tableColumn id="6" name="account_key"/>
    <tableColumn id="7" name="cost_category"/>
    <tableColumn id="8" name="system_name"/>
    <tableColumn id="9" name="vendor_name"/>
    <tableColumn id="10" name="expense_item"/>
    <tableColumn id="11" name="project_id"/>
    <tableColumn id="12" name="asset_id"/>
    <tableColumn id="13" name="source_type"/>
    <tableColumn id="14" name="currency"/>
    <tableColumn id="15" name="m01"/>
    <tableColumn id="16" name="m02"/>
    <tableColumn id="17" name="m03"/>
    <tableColumn id="18" name="m04"/>
    <tableColumn id="19" name="m05"/>
    <tableColumn id="20" name="m06"/>
    <tableColumn id="21" name="m07"/>
    <tableColumn id="22" name="m08"/>
    <tableColumn id="23" name="m09"/>
    <tableColumn id="24" name="m10"/>
    <tableColumn id="25" name="m11"/>
    <tableColumn id="26" name="m12"/>
    <tableColumn id="27" name="note"/>
  </tableColumns>
  <tableStyleInfo name="TableStyleLight1" showRowStripes="1"/>
</table>
</file>

<file path=xl/tables/table2.xml><?xml version="1.0" encoding="utf-8"?>
<table xmlns="http://schemas.openxmlformats.org/spreadsheetml/2006/main" id="2" name="tbl_Actuals" displayName="tbl_Actuals" ref="A1:I2" headerRowCount="1">
  <autoFilter ref="A1:I2"/>
  <tableColumns count="9">
    <tableColumn id="1" name="region"/>
    <tableColumn id="2" name="fiscal_year"/>
    <tableColumn id="3" name="month"/>
    <tableColumn id="4" name="cost_center_code"/>
    <tableColumn id="5" name="local_account_code"/>
    <tableColumn id="6" name="currency"/>
    <tableColumn id="7" name="amount"/>
    <tableColumn id="8" name="description"/>
    <tableColumn id="9" name="import_batch"/>
  </tableColumns>
  <tableStyleInfo name="TableStyleLight1" showRowStripes="1"/>
</table>
</file>

<file path=xl/tables/table3.xml><?xml version="1.0" encoding="utf-8"?>
<table xmlns="http://schemas.openxmlformats.org/spreadsheetml/2006/main" id="3" name="Prior_Forecast" displayName="Prior_Forecast" ref="A1:R2" headerRowCount="1">
  <autoFilter ref="A1:R2"/>
  <tableColumns count="18">
    <tableColumn id="1" name="cost_center_code"/>
    <tableColumn id="2" name="account_key"/>
    <tableColumn id="3" name="Jan"/>
    <tableColumn id="4" name="Feb"/>
    <tableColumn id="5" name="Mar"/>
    <tableColumn id="6" name="Apr"/>
    <tableColumn id="7" name="May"/>
    <tableColumn id="8" name="Jun"/>
    <tableColumn id="9" name="Jul"/>
    <tableColumn id="10" name="Aug"/>
    <tableColumn id="11" name="Sep"/>
    <tableColumn id="12" name="Oct"/>
    <tableColumn id="13" name="Nov"/>
    <tableColumn id="14" name="Dec"/>
    <tableColumn id="15" name="YTD"/>
    <tableColumn id="16" name="MTG"/>
    <tableColumn id="17" name="FY"/>
    <tableColumn id="18" name="as_of_close_month"/>
  </tableColumns>
  <tableStyleInfo name="TableStyleLight1" showRowStripes="1"/>
</table>
</file>

<file path=xl/tables/table4.xml><?xml version="1.0" encoding="utf-8"?>
<table xmlns="http://schemas.openxmlformats.org/spreadsheetml/2006/main" id="4" name="tbl_Cost_Centers" displayName="tbl_Cost_Centers" ref="A1:F2" headerRowCount="1">
  <autoFilter ref="A1:F2"/>
  <tableColumns count="6">
    <tableColumn id="1" name="cost_center_code"/>
    <tableColumn id="2" name="cost_center_name"/>
    <tableColumn id="3" name="region"/>
    <tableColumn id="4" name="function"/>
    <tableColumn id="5" name="sub_function"/>
    <tableColumn id="6" name="active"/>
  </tableColumns>
  <tableStyleInfo name="TableStyleLight1" showRowStripes="1"/>
</table>
</file>

<file path=xl/tables/table5.xml><?xml version="1.0" encoding="utf-8"?>
<table xmlns="http://schemas.openxmlformats.org/spreadsheetml/2006/main" id="5" name="tbl_Accounts" displayName="tbl_Accounts" ref="A1:G2" headerRowCount="1">
  <autoFilter ref="A1:G2"/>
  <tableColumns count="7">
    <tableColumn id="1" name="account_key"/>
    <tableColumn id="2" name="region"/>
    <tableColumn id="3" name="local_account_code"/>
    <tableColumn id="4" name="local_account_name"/>
    <tableColumn id="5" name="global_coa_code"/>
    <tableColumn id="6" name="global_coa_name"/>
    <tableColumn id="7" name="mgmt_category"/>
  </tableColumns>
  <tableStyleInfo name="TableStyleLight1" showRowStripes="1"/>
</table>
</file>

<file path=xl/tables/table6.xml><?xml version="1.0" encoding="utf-8"?>
<table xmlns="http://schemas.openxmlformats.org/spreadsheetml/2006/main" id="6" name="tbl_FX_Rates" displayName="tbl_FX_Rates" ref="A1:D2" headerRowCount="1">
  <autoFilter ref="A1:D2"/>
  <tableColumns count="4">
    <tableColumn id="1" name="fiscal_year"/>
    <tableColumn id="2" name="rate_type"/>
    <tableColumn id="3" name="currency"/>
    <tableColumn id="4" name="rate_to_jpy"/>
  </tableColumns>
  <tableStyleInfo name="TableStyleLight1" showRowStripes="1"/>
</table>
</file>

<file path=xl/tables/table7.xml><?xml version="1.0" encoding="utf-8"?>
<table xmlns="http://schemas.openxmlformats.org/spreadsheetml/2006/main" id="7" name="tbl_Lists" displayName="tbl_Lists" ref="A1:I11" headerRowCount="1">
  <autoFilter ref="A1:I11"/>
  <tableColumns count="9">
    <tableColumn id="1" name="region"/>
    <tableColumn id="2" name="currency"/>
    <tableColumn id="3" name="contract_type"/>
    <tableColumn id="4" name="employment_type"/>
    <tableColumn id="5" name="allocation_type"/>
    <tableColumn id="6" name="source_type"/>
    <tableColumn id="7" name="cost_category"/>
    <tableColumn id="8" name="rate_type"/>
    <tableColumn id="9" name="yes_no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0" customWidth="1" min="3" max="3"/>
    <col width="12" customWidth="1" min="4" max="4"/>
    <col width="10" customWidth="1" min="5" max="5"/>
    <col width="22" customWidth="1" min="6" max="6"/>
    <col width="55" customWidth="1" min="7" max="7"/>
    <col width="50" customWidth="1" min="8" max="8"/>
  </cols>
  <sheetData>
    <row r="1">
      <c r="A1" s="1" t="inlineStr">
        <is>
          <t>GDS Budget Ledger – Field Definitions / 項目定義</t>
        </is>
      </c>
    </row>
    <row r="3">
      <c r="A3" s="2" t="inlineStr">
        <is>
          <t>How to use / 使い方</t>
        </is>
      </c>
    </row>
    <row r="4" ht="36" customHeight="1">
      <c r="A4" s="3" t="inlineStr">
        <is>
          <t>•</t>
        </is>
      </c>
      <c r="B4" s="3" t="inlineStr">
        <is>
          <t>Opex_Budget is the only place where budgets are entered. It will be locked once the budget is final.</t>
        </is>
      </c>
      <c r="E4" s="3" t="inlineStr">
        <is>
          <t>予算を入れる場所はOpex_Budgetだけです。予算確定後はロックされます。</t>
        </is>
      </c>
    </row>
    <row r="5" ht="36" customHeight="1">
      <c r="A5" s="3" t="inlineStr">
        <is>
          <t>•</t>
        </is>
      </c>
      <c r="B5" s="3" t="inlineStr">
        <is>
          <t>Actuals: the budget manager pastes the accounting data as values at the end of the table every month, with import_batch set to the closing month.</t>
        </is>
      </c>
      <c r="E5" s="3" t="inlineStr">
        <is>
          <t>Actuals：予算管理者が毎月、会計データを表の末尾に値で貼り付けます。import_batchには締め月を入れます。</t>
        </is>
      </c>
    </row>
    <row r="6" ht="36" customHeight="1">
      <c r="A6" s="3" t="inlineStr">
        <is>
          <t>•</t>
        </is>
      </c>
      <c r="B6" s="3" t="inlineStr">
        <is>
          <t>Budget_vs_Actual: set fiscal_year, close_month and display_currency at the top. Owners enter only the Forecast (input) and Rationale rows (light blue cells).</t>
        </is>
      </c>
      <c r="E6" s="3" t="inlineStr">
        <is>
          <t>Budget_vs_Actual：上部で会計年度・締め月・表示通貨を指定します。責任者が入力するのは見込み入力行と理由行（薄い青のセル）だけです。</t>
        </is>
      </c>
    </row>
    <row r="7" ht="36" customHeight="1">
      <c r="A7" s="3" t="inlineStr">
        <is>
          <t>•</t>
        </is>
      </c>
      <c r="B7" s="3" t="inlineStr">
        <is>
          <t>Monthly order (budget manager, Excel desktop): 1) on Prior_Forecast, right-click the table &gt; Refresh; 2) paste the new actuals into Actuals; 3) advance close_month. Always refresh Prior_Forecast before pasting actuals. See the monthly runbook for details.</t>
        </is>
      </c>
      <c r="E7" s="3" t="inlineStr">
        <is>
          <t>毎月の手順（予算管理者、デスクトップ版Excel）：①Prior_Forecastの表を右クリック＞更新 ②新しい実績をActualsに貼り付ける ③締め月を進める。Prior_Forecastの更新は必ず実績の貼り付けより前に行う。詳細は月次運用手順書を参照。</t>
        </is>
      </c>
    </row>
    <row r="8" ht="36" customHeight="1">
      <c r="A8" s="3" t="inlineStr">
        <is>
          <t>•</t>
        </is>
      </c>
      <c r="B8" s="3" t="inlineStr">
        <is>
          <t>If a check at the top of Budget_vs_Actual is not 0, some budget or actual rows have no block. Ask IT Finance to add the cost center and account.</t>
        </is>
      </c>
      <c r="E8" s="3" t="inlineStr">
        <is>
          <t>Budget_vs_Actual上部のチェックが0でない場合、ブロックのない予算・実績があります。ITファイナンスにコストセンター・勘定科目の追加を依頼してください。</t>
        </is>
      </c>
    </row>
    <row r="9" ht="36" customHeight="1">
      <c r="A9" s="3" t="inlineStr">
        <is>
          <t>•</t>
        </is>
      </c>
      <c r="B9" s="3" t="inlineStr">
        <is>
          <t>Use Sheet View (View &gt; Sheet View) to filter or sort, so other users are not affected.</t>
        </is>
      </c>
      <c r="E9" s="3" t="inlineStr">
        <is>
          <t>絞り込み・並べ替えは「シートビュー」（表示＞シートビュー）で行い、他の人の表示を変えないでください。</t>
        </is>
      </c>
    </row>
    <row r="10" ht="36" customHeight="1">
      <c r="A10" s="3" t="inlineStr">
        <is>
          <t>•</t>
        </is>
      </c>
      <c r="B10" s="3" t="inlineStr">
        <is>
          <t>Enter one record per row. Do not insert blank rows, merge cells or change column headers.</t>
        </is>
      </c>
      <c r="E10" s="3" t="inlineStr">
        <is>
          <t>1行に1件を入力します。空行の挿入、セルの結合、列見出しの変更はしないでください。</t>
        </is>
      </c>
    </row>
    <row r="11" ht="36" customHeight="1">
      <c r="A11" s="3" t="inlineStr">
        <is>
          <t>•</t>
        </is>
      </c>
      <c r="B11" s="3" t="inlineStr">
        <is>
          <t>Yes = required. Yes* = required depending on the type (see description). Use the dropdowns for List fields.</t>
        </is>
      </c>
      <c r="E11" s="3" t="inlineStr">
        <is>
          <t>Yes＝必須。Yes*＝種別によって必須（説明を参照）。List型はプルダウンから選びます。</t>
        </is>
      </c>
    </row>
    <row r="12" ht="36" customHeight="1">
      <c r="A12" s="3" t="inlineStr">
        <is>
          <t>•</t>
        </is>
      </c>
      <c r="B12" s="3" t="inlineStr">
        <is>
          <t>Dates: YYYY-MM-DD. Amounts: excluding tax, in the currency of the row. Do not convert currencies.</t>
        </is>
      </c>
      <c r="E12" s="3" t="inlineStr">
        <is>
          <t>日付はYYYY-MM-DD。金額は税抜で、その行の通貨のまま入力します。換算はしないでください。</t>
        </is>
      </c>
    </row>
    <row r="13" ht="36" customHeight="1">
      <c r="A13" s="3" t="inlineStr">
        <is>
          <t>•</t>
        </is>
      </c>
      <c r="B13" s="3" t="inlineStr">
        <is>
          <t>The Example column shows the expected format only. Do not copy example values.</t>
        </is>
      </c>
      <c r="E13" s="3" t="inlineStr">
        <is>
          <t>Example列は入力形式の例です。例の値を転記しないでください。</t>
        </is>
      </c>
    </row>
    <row r="14" ht="36" customHeight="1">
      <c r="A14" s="3" t="inlineStr">
        <is>
          <t>•</t>
        </is>
      </c>
      <c r="B14" s="3" t="inlineStr">
        <is>
          <t>Grey sheets (Cost_Centers, Accounts, FX_Rates, Lists) are copies of the master data file and must not be edited. To get the latest values, open in Excel desktop and click Data &gt; Refresh All (not needed every time). To add or change values, ask IT Finance.</t>
        </is>
      </c>
      <c r="E14" s="3" t="inlineStr">
        <is>
          <t>グレーのシート（Cost_Centers・Accounts・FX_Rates・Lists）はマスタファイルの写しで、編集しません。最新にするときはデスクトップ版Excelで「データ＞すべて更新」を押します（毎回は不要）。値の追加・変更はITファイナンスに依頼してください。</t>
        </is>
      </c>
    </row>
    <row r="16">
      <c r="A16" s="2" t="inlineStr">
        <is>
          <t>Sheets / シート一覧</t>
        </is>
      </c>
    </row>
    <row r="17">
      <c r="A17" s="4" t="inlineStr">
        <is>
          <t>Sheet</t>
        </is>
      </c>
      <c r="B17" s="4" t="inlineStr">
        <is>
          <t>Maintained by</t>
        </is>
      </c>
      <c r="C17" s="4" t="inlineStr">
        <is>
          <t>Purpose (EN)</t>
        </is>
      </c>
      <c r="D17" s="5" t="n"/>
      <c r="E17" s="4" t="inlineStr">
        <is>
          <t>目的（日本語）</t>
        </is>
      </c>
      <c r="F17" s="5" t="n"/>
      <c r="G17" s="5" t="n"/>
      <c r="H17" s="5" t="n"/>
    </row>
    <row r="18" ht="42" customHeight="1">
      <c r="A18" s="6" t="inlineStr">
        <is>
          <t>Opex_Budget</t>
        </is>
      </c>
      <c r="B18" s="7" t="inlineStr">
        <is>
          <t>Input</t>
        </is>
      </c>
      <c r="C18" s="3" t="inlineStr">
        <is>
          <t>All budgets of GDS. Fixed (locked) once the budget is final. One row per fiscal year.</t>
        </is>
      </c>
      <c r="E18" s="3" t="inlineStr">
        <is>
          <t>GDSの予算をすべて集約するシート。予算確定後は固定（ロック）する。1行＝1会計年度</t>
        </is>
      </c>
    </row>
    <row r="19" ht="42" customHeight="1">
      <c r="A19" s="6" t="inlineStr">
        <is>
          <t>Actuals</t>
        </is>
      </c>
      <c r="B19" s="7" t="inlineStr">
        <is>
          <t>ITF only</t>
        </is>
      </c>
      <c r="C19" s="3" t="inlineStr">
        <is>
          <t>Actuals downloaded from each region's accounting system, pasted monthly by the budget manager.</t>
        </is>
      </c>
      <c r="E19" s="3" t="inlineStr">
        <is>
          <t>各リージョンの会計システムからダウンロードした実績。予算管理者が毎月貼り付ける</t>
        </is>
      </c>
    </row>
    <row r="20" ht="42" customHeight="1">
      <c r="A20" s="6" t="inlineStr">
        <is>
          <t>Dashboard</t>
        </is>
      </c>
      <c r="B20" s="7" t="inlineStr">
        <is>
          <t>Auto (do not edit)</t>
        </is>
      </c>
      <c r="C20" s="3" t="inlineStr">
        <is>
          <t>Overview: KPIs, region x sub-function, monthly trend and the largest variances. Follows the settings at the top of Budget_vs_Actual.</t>
        </is>
      </c>
      <c r="E20" s="3" t="inlineStr">
        <is>
          <t>全体像：KPI、リージョン×サブファンクション、月次推移、差異の大きい項目。Budget_vs_Actual上部の設定（年度・締め月・通貨）に連動する</t>
        </is>
      </c>
    </row>
    <row r="21" ht="42" customHeight="1">
      <c r="A21" s="6" t="inlineStr">
        <is>
          <t>Budget_vs_Actual</t>
        </is>
      </c>
      <c r="B21" s="7" t="inlineStr">
        <is>
          <t>Auto (do not edit) / Forecast &amp; Rationale: Input</t>
        </is>
      </c>
      <c r="C21" s="3" t="inlineStr">
        <is>
          <t>Budget, actual and actual + forecast by cost center and account, with variances and rationale. Budget and actual are filled automatically.</t>
        </is>
      </c>
      <c r="E21" s="3" t="inlineStr">
        <is>
          <t>コストセンター×勘定科目ごとの予算・実績・実績＋見込みと、差異・理由。予算と実績は自動で表示される</t>
        </is>
      </c>
    </row>
    <row r="22" ht="42" customHeight="1">
      <c r="A22" s="6" t="inlineStr">
        <is>
          <t>Prior_Forecast</t>
        </is>
      </c>
      <c r="B22" s="7" t="inlineStr">
        <is>
          <t>ITF only</t>
        </is>
      </c>
      <c r="C22" s="3" t="inlineStr">
        <is>
          <t>Snapshot of the Actual + Forecast rows, refreshed by Power Query before new actuals are pasted. Feeds the Prior Month Forecast row.</t>
        </is>
      </c>
      <c r="E22" s="3" t="inlineStr">
        <is>
          <t>実績＋見込み行の控え。新しい実績を貼り付ける前にPower Queryで更新する。前月見込みの行に表示される</t>
        </is>
      </c>
    </row>
    <row r="24">
      <c r="A24" s="8" t="inlineStr">
        <is>
          <t>Opex_Budget  —  Input</t>
        </is>
      </c>
      <c r="B24" s="9" t="n"/>
      <c r="C24" s="9" t="n"/>
      <c r="D24" s="9" t="n"/>
      <c r="E24" s="9" t="n"/>
      <c r="F24" s="9" t="n"/>
      <c r="G24" s="9" t="n"/>
      <c r="H24" s="9" t="n"/>
    </row>
    <row r="25">
      <c r="A25" s="10" t="inlineStr">
        <is>
          <t>Sheet</t>
        </is>
      </c>
      <c r="B25" s="10" t="inlineStr">
        <is>
          <t>Field (EN)</t>
        </is>
      </c>
      <c r="C25" s="10" t="inlineStr">
        <is>
          <t>項目名（日本語）</t>
        </is>
      </c>
      <c r="D25" s="10" t="inlineStr">
        <is>
          <t>Type</t>
        </is>
      </c>
      <c r="E25" s="10" t="inlineStr">
        <is>
          <t>Required</t>
        </is>
      </c>
      <c r="F25" s="10" t="inlineStr">
        <is>
          <t>Example</t>
        </is>
      </c>
      <c r="G25" s="10" t="inlineStr">
        <is>
          <t>Description (EN)</t>
        </is>
      </c>
      <c r="H25" s="10" t="inlineStr">
        <is>
          <t>説明（日本語）</t>
        </is>
      </c>
    </row>
    <row r="26">
      <c r="A26" s="11" t="inlineStr">
        <is>
          <t>Opex_Budget</t>
        </is>
      </c>
      <c r="B26" s="11" t="inlineStr">
        <is>
          <t>fiscal_year</t>
        </is>
      </c>
      <c r="C26" s="11" t="inlineStr">
        <is>
          <t>会計年度</t>
        </is>
      </c>
      <c r="D26" s="11" t="inlineStr">
        <is>
          <t>Integer</t>
        </is>
      </c>
      <c r="E26" s="11" t="inlineStr">
        <is>
          <t>Yes</t>
        </is>
      </c>
      <c r="F26" s="12" t="inlineStr">
        <is>
          <t>2027</t>
        </is>
      </c>
      <c r="G26" s="11" t="inlineStr">
        <is>
          <t>Fiscal year (January to December).</t>
        </is>
      </c>
      <c r="H26" s="11" t="inlineStr">
        <is>
          <t>会計年度（1月〜12月）</t>
        </is>
      </c>
    </row>
    <row r="27">
      <c r="A27" s="11" t="inlineStr">
        <is>
          <t>Opex_Budget</t>
        </is>
      </c>
      <c r="B27" s="11" t="inlineStr">
        <is>
          <t>region</t>
        </is>
      </c>
      <c r="C27" s="11" t="inlineStr">
        <is>
          <t>リージョン</t>
        </is>
      </c>
      <c r="D27" s="11" t="inlineStr">
        <is>
          <t>List</t>
        </is>
      </c>
      <c r="E27" s="11" t="inlineStr">
        <is>
          <t>Yes</t>
        </is>
      </c>
      <c r="F27" s="12" t="inlineStr">
        <is>
          <t>JP</t>
        </is>
      </c>
      <c r="G27" s="11" t="inlineStr">
        <is>
          <t>Region of the cost center. JP / NA / EMEA.</t>
        </is>
      </c>
      <c r="H27" s="11" t="inlineStr">
        <is>
          <t>コストセンターのリージョン。JP／NA／EMEA</t>
        </is>
      </c>
    </row>
    <row r="28">
      <c r="A28" s="11" t="inlineStr">
        <is>
          <t>Opex_Budget</t>
        </is>
      </c>
      <c r="B28" s="11" t="inlineStr">
        <is>
          <t>owner</t>
        </is>
      </c>
      <c r="C28" s="11" t="inlineStr">
        <is>
          <t>入力責任者</t>
        </is>
      </c>
      <c r="D28" s="11" t="inlineStr">
        <is>
          <t>Text</t>
        </is>
      </c>
      <c r="E28" s="11" t="inlineStr">
        <is>
          <t>Yes</t>
        </is>
      </c>
      <c r="F28" s="12" t="inlineStr">
        <is>
          <t>T. Yamada</t>
        </is>
      </c>
      <c r="G28" s="11" t="inlineStr">
        <is>
          <t>Person responsible for keeping this row up to date.</t>
        </is>
      </c>
      <c r="H28" s="11" t="inlineStr">
        <is>
          <t>この行を最新に保つ責任者</t>
        </is>
      </c>
    </row>
    <row r="29">
      <c r="A29" s="11" t="inlineStr">
        <is>
          <t>Opex_Budget</t>
        </is>
      </c>
      <c r="B29" s="11" t="inlineStr">
        <is>
          <t>budget_id</t>
        </is>
      </c>
      <c r="C29" s="11" t="inlineStr">
        <is>
          <t>予算ID</t>
        </is>
      </c>
      <c r="D29" s="11" t="inlineStr">
        <is>
          <t>Text</t>
        </is>
      </c>
      <c r="E29" s="11" t="inlineStr">
        <is>
          <t>No</t>
        </is>
      </c>
      <c r="F29" s="12" t="inlineStr">
        <is>
          <t>BT-0012</t>
        </is>
      </c>
      <c r="G29" s="11" t="inlineStr">
        <is>
          <t>Optional ID to identify the budget line (e.g. budget transfer case ID, internal budget number).</t>
        </is>
      </c>
      <c r="H29" s="11" t="inlineStr">
        <is>
          <t>予算行を識別する任意のID（予算移管の案件ID、社内の予算番号など）</t>
        </is>
      </c>
    </row>
    <row r="30">
      <c r="A30" s="11" t="inlineStr">
        <is>
          <t>Opex_Budget</t>
        </is>
      </c>
      <c r="B30" s="11" t="inlineStr">
        <is>
          <t>cost_center_code</t>
        </is>
      </c>
      <c r="C30" s="11" t="inlineStr">
        <is>
          <t>コストセンター</t>
        </is>
      </c>
      <c r="D30" s="11" t="inlineStr">
        <is>
          <t>List</t>
        </is>
      </c>
      <c r="E30" s="11" t="inlineStr">
        <is>
          <t>Yes</t>
        </is>
      </c>
      <c r="F30" s="12" t="inlineStr">
        <is>
          <t>JP-GDS-APP</t>
        </is>
      </c>
      <c r="G30" s="11" t="inlineStr">
        <is>
          <t>Cost center that bears the cost.</t>
        </is>
      </c>
      <c r="H30" s="11" t="inlineStr">
        <is>
          <t>費用を計上するコストセンター</t>
        </is>
      </c>
    </row>
    <row r="31">
      <c r="A31" s="11" t="inlineStr">
        <is>
          <t>Opex_Budget</t>
        </is>
      </c>
      <c r="B31" s="11" t="inlineStr">
        <is>
          <t>account_key</t>
        </is>
      </c>
      <c r="C31" s="11" t="inlineStr">
        <is>
          <t>勘定科目</t>
        </is>
      </c>
      <c r="D31" s="11" t="inlineStr">
        <is>
          <t>List</t>
        </is>
      </c>
      <c r="E31" s="11" t="inlineStr">
        <is>
          <t>Yes</t>
        </is>
      </c>
      <c r="F31" s="12" t="inlineStr">
        <is>
          <t>JP|5101</t>
        </is>
      </c>
      <c r="G31" s="11" t="inlineStr">
        <is>
          <t>Local account of the region (format: region|local code).</t>
        </is>
      </c>
      <c r="H31" s="11" t="inlineStr">
        <is>
          <t>当該リージョンの現地勘定科目（形式：リージョン|現地科目コード）</t>
        </is>
      </c>
    </row>
    <row r="32">
      <c r="A32" s="11" t="inlineStr">
        <is>
          <t>Opex_Budget</t>
        </is>
      </c>
      <c r="B32" s="11" t="inlineStr">
        <is>
          <t>cost_category</t>
        </is>
      </c>
      <c r="C32" s="11" t="inlineStr">
        <is>
          <t>費用区分</t>
        </is>
      </c>
      <c r="D32" s="11" t="inlineStr">
        <is>
          <t>List</t>
        </is>
      </c>
      <c r="E32" s="11" t="inlineStr">
        <is>
          <t>Yes</t>
        </is>
      </c>
      <c r="F32" s="12" t="inlineStr">
        <is>
          <t>SaaS / License</t>
        </is>
      </c>
      <c r="G32" s="11" t="inlineStr">
        <is>
          <t>Nature of the cost, independent of the accounting account: SaaS / License, Maintenance, Outsourcing, Cloud, Telecom, Hardware, Personnel, Depreciation, Travel &amp; Training, Other.</t>
        </is>
      </c>
      <c r="H32" s="11" t="inlineStr">
        <is>
          <t>会計上の勘定科目とは別に、費用の性質で分類する区分（SaaS・ライセンス、保守、業務委託、クラウド、通信、ハードウェア、人件費、減価償却、出張・研修、その他）</t>
        </is>
      </c>
    </row>
    <row r="33">
      <c r="A33" s="11" t="inlineStr">
        <is>
          <t>Opex_Budget</t>
        </is>
      </c>
      <c r="B33" s="11" t="inlineStr">
        <is>
          <t>system_name</t>
        </is>
      </c>
      <c r="C33" s="11" t="inlineStr">
        <is>
          <t>システム名</t>
        </is>
      </c>
      <c r="D33" s="11" t="inlineStr">
        <is>
          <t>Text</t>
        </is>
      </c>
      <c r="E33" s="11" t="inlineStr">
        <is>
          <t>Yes</t>
        </is>
      </c>
      <c r="F33" s="12" t="inlineStr">
        <is>
          <t>Salesforce</t>
        </is>
      </c>
      <c r="G33" s="11" t="inlineStr">
        <is>
          <t>System the cost relates to. Use 'Common' for costs not tied to one system.</t>
        </is>
      </c>
      <c r="H33" s="11" t="inlineStr">
        <is>
          <t>費用が関係するシステム。特定のシステムに紐づかない費用は「Common」と書く</t>
        </is>
      </c>
    </row>
    <row r="34">
      <c r="A34" s="11" t="inlineStr">
        <is>
          <t>Opex_Budget</t>
        </is>
      </c>
      <c r="B34" s="11" t="inlineStr">
        <is>
          <t>vendor_name</t>
        </is>
      </c>
      <c r="C34" s="11" t="inlineStr">
        <is>
          <t>ベンダー名</t>
        </is>
      </c>
      <c r="D34" s="11" t="inlineStr">
        <is>
          <t>Text</t>
        </is>
      </c>
      <c r="E34" s="11" t="inlineStr">
        <is>
          <t>Yes</t>
        </is>
      </c>
      <c r="F34" s="12" t="inlineStr">
        <is>
          <t>Salesforce Japan</t>
        </is>
      </c>
      <c r="G34" s="11" t="inlineStr">
        <is>
          <t>Vendor or supplier. Use 'Internal' for internal staff cost.</t>
        </is>
      </c>
      <c r="H34" s="11" t="inlineStr">
        <is>
          <t>ベンダー・取引先。社内人件費は「Internal」と書く</t>
        </is>
      </c>
    </row>
    <row r="35">
      <c r="A35" s="11" t="inlineStr">
        <is>
          <t>Opex_Budget</t>
        </is>
      </c>
      <c r="B35" s="11" t="inlineStr">
        <is>
          <t>expense_item</t>
        </is>
      </c>
      <c r="C35" s="11" t="inlineStr">
        <is>
          <t>費目</t>
        </is>
      </c>
      <c r="D35" s="11" t="inlineStr">
        <is>
          <t>Text</t>
        </is>
      </c>
      <c r="E35" s="11" t="inlineStr">
        <is>
          <t>Yes</t>
        </is>
      </c>
      <c r="F35" s="12" t="inlineStr">
        <is>
          <t>Domestic travel</t>
        </is>
      </c>
      <c r="G35" s="11" t="inlineStr">
        <is>
          <t>What the budget is for. Several items may share the same cost center and account.</t>
        </is>
      </c>
      <c r="H35" s="11" t="inlineStr">
        <is>
          <t>予算の内容。同じコストセンター・勘定科目の中で複数に分けてよい</t>
        </is>
      </c>
    </row>
    <row r="36">
      <c r="A36" s="11" t="inlineStr">
        <is>
          <t>Opex_Budget</t>
        </is>
      </c>
      <c r="B36" s="11" t="inlineStr">
        <is>
          <t>project_id</t>
        </is>
      </c>
      <c r="C36" s="11" t="inlineStr">
        <is>
          <t>プロジェクトID</t>
        </is>
      </c>
      <c r="D36" s="11" t="inlineStr">
        <is>
          <t>Text</t>
        </is>
      </c>
      <c r="E36" s="11" t="inlineStr">
        <is>
          <t>Yes*</t>
        </is>
      </c>
      <c r="F36" s="12" t="inlineStr">
        <is>
          <t>CAPEX-2027-014</t>
        </is>
      </c>
      <c r="G36" s="11" t="inlineStr">
        <is>
          <t>Capital investment budget number. *Required when the cost belongs to a project.</t>
        </is>
      </c>
      <c r="H36" s="11" t="inlineStr">
        <is>
          <t>設備投資予算の管理番号。※プロジェクト案件の費用の場合は必須</t>
        </is>
      </c>
    </row>
    <row r="37">
      <c r="A37" s="11" t="inlineStr">
        <is>
          <t>Opex_Budget</t>
        </is>
      </c>
      <c r="B37" s="11" t="inlineStr">
        <is>
          <t>asset_id</t>
        </is>
      </c>
      <c r="C37" s="11" t="inlineStr">
        <is>
          <t>固定資産ID</t>
        </is>
      </c>
      <c r="D37" s="11" t="inlineStr">
        <is>
          <t>Text</t>
        </is>
      </c>
      <c r="E37" s="11" t="inlineStr">
        <is>
          <t>Yes*</t>
        </is>
      </c>
      <c r="F37" s="12" t="inlineStr">
        <is>
          <t>FA-000123</t>
        </is>
      </c>
      <c r="G37" s="11" t="inlineStr">
        <is>
          <t>Fixed asset ID in the asset register. *Required for depreciation.</t>
        </is>
      </c>
      <c r="H37" s="11" t="inlineStr">
        <is>
          <t>固定資産台帳のID。※減価償却費の場合は必須</t>
        </is>
      </c>
    </row>
    <row r="38">
      <c r="A38" s="11" t="inlineStr">
        <is>
          <t>Opex_Budget</t>
        </is>
      </c>
      <c r="B38" s="11" t="inlineStr">
        <is>
          <t>source_type</t>
        </is>
      </c>
      <c r="C38" s="11" t="inlineStr">
        <is>
          <t>入力元</t>
        </is>
      </c>
      <c r="D38" s="11" t="inlineStr">
        <is>
          <t>List</t>
        </is>
      </c>
      <c r="E38" s="11" t="inlineStr">
        <is>
          <t>Yes</t>
        </is>
      </c>
      <c r="F38" s="12" t="inlineStr">
        <is>
          <t>MANUAL</t>
        </is>
      </c>
      <c r="G38" s="11" t="inlineStr">
        <is>
          <t>MANUAL = entered directly / CONTRACT, ASSET, WORKFORCE = pasted from the utility's Export sheet.</t>
        </is>
      </c>
      <c r="H38" s="11" t="inlineStr">
        <is>
          <t>MANUAL＝直接入力／CONTRACT・ASSET・WORKFORCE＝ユーティリティのExportから貼り付けた行</t>
        </is>
      </c>
    </row>
    <row r="39">
      <c r="A39" s="11" t="inlineStr">
        <is>
          <t>Opex_Budget</t>
        </is>
      </c>
      <c r="B39" s="11" t="inlineStr">
        <is>
          <t>currency</t>
        </is>
      </c>
      <c r="C39" s="11" t="inlineStr">
        <is>
          <t>通貨</t>
        </is>
      </c>
      <c r="D39" s="11" t="inlineStr">
        <is>
          <t>List</t>
        </is>
      </c>
      <c r="E39" s="11" t="inlineStr">
        <is>
          <t>Yes</t>
        </is>
      </c>
      <c r="F39" s="12" t="inlineStr">
        <is>
          <t>JPY</t>
        </is>
      </c>
      <c r="G39" s="11" t="inlineStr">
        <is>
          <t>Currency of the amounts in this row. Do not convert.</t>
        </is>
      </c>
      <c r="H39" s="11" t="inlineStr">
        <is>
          <t>この行の金額の通貨。換算しない</t>
        </is>
      </c>
    </row>
    <row r="40">
      <c r="A40" s="11" t="inlineStr">
        <is>
          <t>Opex_Budget</t>
        </is>
      </c>
      <c r="B40" s="11" t="inlineStr">
        <is>
          <t>m01</t>
        </is>
      </c>
      <c r="C40" s="11" t="inlineStr">
        <is>
          <t>1月</t>
        </is>
      </c>
      <c r="D40" s="11" t="inlineStr">
        <is>
          <t>Number</t>
        </is>
      </c>
      <c r="E40" s="11" t="inlineStr">
        <is>
          <t>No</t>
        </is>
      </c>
      <c r="F40" s="12" t="inlineStr">
        <is>
          <t>500000</t>
        </is>
      </c>
      <c r="G40" s="11" t="inlineStr">
        <is>
          <t>Budget for month 1, excluding tax.</t>
        </is>
      </c>
      <c r="H40" s="11" t="inlineStr">
        <is>
          <t>1月の予算額（税抜）</t>
        </is>
      </c>
    </row>
    <row r="41">
      <c r="A41" s="11" t="inlineStr">
        <is>
          <t>Opex_Budget</t>
        </is>
      </c>
      <c r="B41" s="11" t="inlineStr">
        <is>
          <t>m02</t>
        </is>
      </c>
      <c r="C41" s="11" t="inlineStr">
        <is>
          <t>2月</t>
        </is>
      </c>
      <c r="D41" s="11" t="inlineStr">
        <is>
          <t>Number</t>
        </is>
      </c>
      <c r="E41" s="11" t="inlineStr">
        <is>
          <t>No</t>
        </is>
      </c>
      <c r="F41" s="12" t="inlineStr">
        <is>
          <t>500000</t>
        </is>
      </c>
      <c r="G41" s="11" t="inlineStr">
        <is>
          <t>Budget for month 2, excluding tax.</t>
        </is>
      </c>
      <c r="H41" s="11" t="inlineStr">
        <is>
          <t>2月の予算額（税抜）</t>
        </is>
      </c>
    </row>
    <row r="42">
      <c r="A42" s="11" t="inlineStr">
        <is>
          <t>Opex_Budget</t>
        </is>
      </c>
      <c r="B42" s="11" t="inlineStr">
        <is>
          <t>m03</t>
        </is>
      </c>
      <c r="C42" s="11" t="inlineStr">
        <is>
          <t>3月</t>
        </is>
      </c>
      <c r="D42" s="11" t="inlineStr">
        <is>
          <t>Number</t>
        </is>
      </c>
      <c r="E42" s="11" t="inlineStr">
        <is>
          <t>No</t>
        </is>
      </c>
      <c r="F42" s="12" t="inlineStr">
        <is>
          <t>500000</t>
        </is>
      </c>
      <c r="G42" s="11" t="inlineStr">
        <is>
          <t>Budget for month 3, excluding tax.</t>
        </is>
      </c>
      <c r="H42" s="11" t="inlineStr">
        <is>
          <t>3月の予算額（税抜）</t>
        </is>
      </c>
    </row>
    <row r="43">
      <c r="A43" s="11" t="inlineStr">
        <is>
          <t>Opex_Budget</t>
        </is>
      </c>
      <c r="B43" s="11" t="inlineStr">
        <is>
          <t>m04</t>
        </is>
      </c>
      <c r="C43" s="11" t="inlineStr">
        <is>
          <t>4月</t>
        </is>
      </c>
      <c r="D43" s="11" t="inlineStr">
        <is>
          <t>Number</t>
        </is>
      </c>
      <c r="E43" s="11" t="inlineStr">
        <is>
          <t>No</t>
        </is>
      </c>
      <c r="F43" s="12" t="inlineStr">
        <is>
          <t>500000</t>
        </is>
      </c>
      <c r="G43" s="11" t="inlineStr">
        <is>
          <t>Budget for month 4, excluding tax.</t>
        </is>
      </c>
      <c r="H43" s="11" t="inlineStr">
        <is>
          <t>4月の予算額（税抜）</t>
        </is>
      </c>
    </row>
    <row r="44">
      <c r="A44" s="11" t="inlineStr">
        <is>
          <t>Opex_Budget</t>
        </is>
      </c>
      <c r="B44" s="11" t="inlineStr">
        <is>
          <t>m05</t>
        </is>
      </c>
      <c r="C44" s="11" t="inlineStr">
        <is>
          <t>5月</t>
        </is>
      </c>
      <c r="D44" s="11" t="inlineStr">
        <is>
          <t>Number</t>
        </is>
      </c>
      <c r="E44" s="11" t="inlineStr">
        <is>
          <t>No</t>
        </is>
      </c>
      <c r="F44" s="12" t="inlineStr">
        <is>
          <t>500000</t>
        </is>
      </c>
      <c r="G44" s="11" t="inlineStr">
        <is>
          <t>Budget for month 5, excluding tax.</t>
        </is>
      </c>
      <c r="H44" s="11" t="inlineStr">
        <is>
          <t>5月の予算額（税抜）</t>
        </is>
      </c>
    </row>
    <row r="45">
      <c r="A45" s="11" t="inlineStr">
        <is>
          <t>Opex_Budget</t>
        </is>
      </c>
      <c r="B45" s="11" t="inlineStr">
        <is>
          <t>m06</t>
        </is>
      </c>
      <c r="C45" s="11" t="inlineStr">
        <is>
          <t>6月</t>
        </is>
      </c>
      <c r="D45" s="11" t="inlineStr">
        <is>
          <t>Number</t>
        </is>
      </c>
      <c r="E45" s="11" t="inlineStr">
        <is>
          <t>No</t>
        </is>
      </c>
      <c r="F45" s="12" t="inlineStr">
        <is>
          <t>500000</t>
        </is>
      </c>
      <c r="G45" s="11" t="inlineStr">
        <is>
          <t>Budget for month 6, excluding tax.</t>
        </is>
      </c>
      <c r="H45" s="11" t="inlineStr">
        <is>
          <t>6月の予算額（税抜）</t>
        </is>
      </c>
    </row>
    <row r="46">
      <c r="A46" s="11" t="inlineStr">
        <is>
          <t>Opex_Budget</t>
        </is>
      </c>
      <c r="B46" s="11" t="inlineStr">
        <is>
          <t>m07</t>
        </is>
      </c>
      <c r="C46" s="11" t="inlineStr">
        <is>
          <t>7月</t>
        </is>
      </c>
      <c r="D46" s="11" t="inlineStr">
        <is>
          <t>Number</t>
        </is>
      </c>
      <c r="E46" s="11" t="inlineStr">
        <is>
          <t>No</t>
        </is>
      </c>
      <c r="F46" s="12" t="inlineStr">
        <is>
          <t>500000</t>
        </is>
      </c>
      <c r="G46" s="11" t="inlineStr">
        <is>
          <t>Budget for month 7, excluding tax.</t>
        </is>
      </c>
      <c r="H46" s="11" t="inlineStr">
        <is>
          <t>7月の予算額（税抜）</t>
        </is>
      </c>
    </row>
    <row r="47">
      <c r="A47" s="11" t="inlineStr">
        <is>
          <t>Opex_Budget</t>
        </is>
      </c>
      <c r="B47" s="11" t="inlineStr">
        <is>
          <t>m08</t>
        </is>
      </c>
      <c r="C47" s="11" t="inlineStr">
        <is>
          <t>8月</t>
        </is>
      </c>
      <c r="D47" s="11" t="inlineStr">
        <is>
          <t>Number</t>
        </is>
      </c>
      <c r="E47" s="11" t="inlineStr">
        <is>
          <t>No</t>
        </is>
      </c>
      <c r="F47" s="12" t="inlineStr">
        <is>
          <t>500000</t>
        </is>
      </c>
      <c r="G47" s="11" t="inlineStr">
        <is>
          <t>Budget for month 8, excluding tax.</t>
        </is>
      </c>
      <c r="H47" s="11" t="inlineStr">
        <is>
          <t>8月の予算額（税抜）</t>
        </is>
      </c>
    </row>
    <row r="48">
      <c r="A48" s="11" t="inlineStr">
        <is>
          <t>Opex_Budget</t>
        </is>
      </c>
      <c r="B48" s="11" t="inlineStr">
        <is>
          <t>m09</t>
        </is>
      </c>
      <c r="C48" s="11" t="inlineStr">
        <is>
          <t>9月</t>
        </is>
      </c>
      <c r="D48" s="11" t="inlineStr">
        <is>
          <t>Number</t>
        </is>
      </c>
      <c r="E48" s="11" t="inlineStr">
        <is>
          <t>No</t>
        </is>
      </c>
      <c r="F48" s="12" t="inlineStr">
        <is>
          <t>500000</t>
        </is>
      </c>
      <c r="G48" s="11" t="inlineStr">
        <is>
          <t>Budget for month 9, excluding tax.</t>
        </is>
      </c>
      <c r="H48" s="11" t="inlineStr">
        <is>
          <t>9月の予算額（税抜）</t>
        </is>
      </c>
    </row>
    <row r="49">
      <c r="A49" s="11" t="inlineStr">
        <is>
          <t>Opex_Budget</t>
        </is>
      </c>
      <c r="B49" s="11" t="inlineStr">
        <is>
          <t>m10</t>
        </is>
      </c>
      <c r="C49" s="11" t="inlineStr">
        <is>
          <t>10月</t>
        </is>
      </c>
      <c r="D49" s="11" t="inlineStr">
        <is>
          <t>Number</t>
        </is>
      </c>
      <c r="E49" s="11" t="inlineStr">
        <is>
          <t>No</t>
        </is>
      </c>
      <c r="F49" s="12" t="inlineStr">
        <is>
          <t>500000</t>
        </is>
      </c>
      <c r="G49" s="11" t="inlineStr">
        <is>
          <t>Budget for month 10, excluding tax.</t>
        </is>
      </c>
      <c r="H49" s="11" t="inlineStr">
        <is>
          <t>10月の予算額（税抜）</t>
        </is>
      </c>
    </row>
    <row r="50">
      <c r="A50" s="11" t="inlineStr">
        <is>
          <t>Opex_Budget</t>
        </is>
      </c>
      <c r="B50" s="11" t="inlineStr">
        <is>
          <t>m11</t>
        </is>
      </c>
      <c r="C50" s="11" t="inlineStr">
        <is>
          <t>11月</t>
        </is>
      </c>
      <c r="D50" s="11" t="inlineStr">
        <is>
          <t>Number</t>
        </is>
      </c>
      <c r="E50" s="11" t="inlineStr">
        <is>
          <t>No</t>
        </is>
      </c>
      <c r="F50" s="12" t="inlineStr">
        <is>
          <t>500000</t>
        </is>
      </c>
      <c r="G50" s="11" t="inlineStr">
        <is>
          <t>Budget for month 11, excluding tax.</t>
        </is>
      </c>
      <c r="H50" s="11" t="inlineStr">
        <is>
          <t>11月の予算額（税抜）</t>
        </is>
      </c>
    </row>
    <row r="51">
      <c r="A51" s="11" t="inlineStr">
        <is>
          <t>Opex_Budget</t>
        </is>
      </c>
      <c r="B51" s="11" t="inlineStr">
        <is>
          <t>m12</t>
        </is>
      </c>
      <c r="C51" s="11" t="inlineStr">
        <is>
          <t>12月</t>
        </is>
      </c>
      <c r="D51" s="11" t="inlineStr">
        <is>
          <t>Number</t>
        </is>
      </c>
      <c r="E51" s="11" t="inlineStr">
        <is>
          <t>No</t>
        </is>
      </c>
      <c r="F51" s="12" t="inlineStr">
        <is>
          <t>500000</t>
        </is>
      </c>
      <c r="G51" s="11" t="inlineStr">
        <is>
          <t>Budget for month 12, excluding tax.</t>
        </is>
      </c>
      <c r="H51" s="11" t="inlineStr">
        <is>
          <t>12月の予算額（税抜）</t>
        </is>
      </c>
    </row>
    <row r="52">
      <c r="A52" s="11" t="inlineStr">
        <is>
          <t>Opex_Budget</t>
        </is>
      </c>
      <c r="B52" s="11" t="inlineStr">
        <is>
          <t>note</t>
        </is>
      </c>
      <c r="C52" s="11" t="inlineStr">
        <is>
          <t>備考</t>
        </is>
      </c>
      <c r="D52" s="11" t="inlineStr">
        <is>
          <t>Text</t>
        </is>
      </c>
      <c r="E52" s="11" t="inlineStr">
        <is>
          <t>No</t>
        </is>
      </c>
      <c r="F52" s="12" t="inlineStr"/>
      <c r="G52" s="11" t="inlineStr">
        <is>
          <t>Free comment.</t>
        </is>
      </c>
      <c r="H52" s="11" t="inlineStr">
        <is>
          <t>備考</t>
        </is>
      </c>
    </row>
    <row r="54">
      <c r="A54" s="8" t="inlineStr">
        <is>
          <t>Actuals  —  ITF only</t>
        </is>
      </c>
      <c r="B54" s="9" t="n"/>
      <c r="C54" s="9" t="n"/>
      <c r="D54" s="9" t="n"/>
      <c r="E54" s="9" t="n"/>
      <c r="F54" s="9" t="n"/>
      <c r="G54" s="9" t="n"/>
      <c r="H54" s="9" t="n"/>
    </row>
    <row r="55">
      <c r="A55" s="10" t="inlineStr">
        <is>
          <t>Sheet</t>
        </is>
      </c>
      <c r="B55" s="10" t="inlineStr">
        <is>
          <t>Field (EN)</t>
        </is>
      </c>
      <c r="C55" s="10" t="inlineStr">
        <is>
          <t>項目名（日本語）</t>
        </is>
      </c>
      <c r="D55" s="10" t="inlineStr">
        <is>
          <t>Type</t>
        </is>
      </c>
      <c r="E55" s="10" t="inlineStr">
        <is>
          <t>Required</t>
        </is>
      </c>
      <c r="F55" s="10" t="inlineStr">
        <is>
          <t>Example</t>
        </is>
      </c>
      <c r="G55" s="10" t="inlineStr">
        <is>
          <t>Description (EN)</t>
        </is>
      </c>
      <c r="H55" s="10" t="inlineStr">
        <is>
          <t>説明（日本語）</t>
        </is>
      </c>
    </row>
    <row r="56">
      <c r="A56" s="11" t="inlineStr">
        <is>
          <t>Actuals</t>
        </is>
      </c>
      <c r="B56" s="11" t="inlineStr">
        <is>
          <t>region</t>
        </is>
      </c>
      <c r="C56" s="11" t="inlineStr">
        <is>
          <t>リージョン</t>
        </is>
      </c>
      <c r="D56" s="11" t="inlineStr">
        <is>
          <t>List</t>
        </is>
      </c>
      <c r="E56" s="11" t="inlineStr">
        <is>
          <t>Yes</t>
        </is>
      </c>
      <c r="F56" s="12" t="inlineStr">
        <is>
          <t>JP</t>
        </is>
      </c>
      <c r="G56" s="11" t="inlineStr">
        <is>
          <t>Region of the cost center. JP / NA / EMEA.</t>
        </is>
      </c>
      <c r="H56" s="11" t="inlineStr">
        <is>
          <t>コストセンターのリージョン。JP／NA／EMEA</t>
        </is>
      </c>
    </row>
    <row r="57">
      <c r="A57" s="11" t="inlineStr">
        <is>
          <t>Actuals</t>
        </is>
      </c>
      <c r="B57" s="11" t="inlineStr">
        <is>
          <t>fiscal_year</t>
        </is>
      </c>
      <c r="C57" s="11" t="inlineStr">
        <is>
          <t>会計年度</t>
        </is>
      </c>
      <c r="D57" s="11" t="inlineStr">
        <is>
          <t>Integer</t>
        </is>
      </c>
      <c r="E57" s="11" t="inlineStr">
        <is>
          <t>Yes</t>
        </is>
      </c>
      <c r="F57" s="12" t="inlineStr">
        <is>
          <t>2027</t>
        </is>
      </c>
      <c r="G57" s="11" t="inlineStr">
        <is>
          <t>Fiscal year of the posting.</t>
        </is>
      </c>
      <c r="H57" s="11" t="inlineStr">
        <is>
          <t>計上の会計年度</t>
        </is>
      </c>
    </row>
    <row r="58">
      <c r="A58" s="11" t="inlineStr">
        <is>
          <t>Actuals</t>
        </is>
      </c>
      <c r="B58" s="11" t="inlineStr">
        <is>
          <t>month</t>
        </is>
      </c>
      <c r="C58" s="11" t="inlineStr">
        <is>
          <t>月</t>
        </is>
      </c>
      <c r="D58" s="11" t="inlineStr">
        <is>
          <t>Integer</t>
        </is>
      </c>
      <c r="E58" s="11" t="inlineStr">
        <is>
          <t>Yes</t>
        </is>
      </c>
      <c r="F58" s="12" t="inlineStr">
        <is>
          <t>4</t>
        </is>
      </c>
      <c r="G58" s="11" t="inlineStr">
        <is>
          <t>Posting month (1-12).</t>
        </is>
      </c>
      <c r="H58" s="11" t="inlineStr">
        <is>
          <t>計上月（1〜12）</t>
        </is>
      </c>
    </row>
    <row r="59">
      <c r="A59" s="11" t="inlineStr">
        <is>
          <t>Actuals</t>
        </is>
      </c>
      <c r="B59" s="11" t="inlineStr">
        <is>
          <t>cost_center_code</t>
        </is>
      </c>
      <c r="C59" s="11" t="inlineStr">
        <is>
          <t>コストセンター</t>
        </is>
      </c>
      <c r="D59" s="11" t="inlineStr">
        <is>
          <t>Text</t>
        </is>
      </c>
      <c r="E59" s="11" t="inlineStr">
        <is>
          <t>Yes</t>
        </is>
      </c>
      <c r="F59" s="12" t="inlineStr">
        <is>
          <t>JP-GDS-APP</t>
        </is>
      </c>
      <c r="G59" s="11" t="inlineStr">
        <is>
          <t>Cost center on the journal entry.</t>
        </is>
      </c>
      <c r="H59" s="11" t="inlineStr">
        <is>
          <t>仕訳に指定されたコストセンター</t>
        </is>
      </c>
    </row>
    <row r="60">
      <c r="A60" s="11" t="inlineStr">
        <is>
          <t>Actuals</t>
        </is>
      </c>
      <c r="B60" s="11" t="inlineStr">
        <is>
          <t>local_account_code</t>
        </is>
      </c>
      <c r="C60" s="11" t="inlineStr">
        <is>
          <t>現地勘定科目コード</t>
        </is>
      </c>
      <c r="D60" s="11" t="inlineStr">
        <is>
          <t>Text</t>
        </is>
      </c>
      <c r="E60" s="11" t="inlineStr">
        <is>
          <t>Yes</t>
        </is>
      </c>
      <c r="F60" s="12" t="inlineStr">
        <is>
          <t>5101</t>
        </is>
      </c>
      <c r="G60" s="11" t="inlineStr">
        <is>
          <t>Account code in the region's accounting system (without region prefix).</t>
        </is>
      </c>
      <c r="H60" s="11" t="inlineStr">
        <is>
          <t>リージョンの会計システム上の科目コード（リージョン接頭辞なし）</t>
        </is>
      </c>
    </row>
    <row r="61">
      <c r="A61" s="11" t="inlineStr">
        <is>
          <t>Actuals</t>
        </is>
      </c>
      <c r="B61" s="11" t="inlineStr">
        <is>
          <t>currency</t>
        </is>
      </c>
      <c r="C61" s="11" t="inlineStr">
        <is>
          <t>通貨</t>
        </is>
      </c>
      <c r="D61" s="11" t="inlineStr">
        <is>
          <t>List</t>
        </is>
      </c>
      <c r="E61" s="11" t="inlineStr">
        <is>
          <t>Yes</t>
        </is>
      </c>
      <c r="F61" s="12" t="inlineStr">
        <is>
          <t>JPY</t>
        </is>
      </c>
      <c r="G61" s="11" t="inlineStr">
        <is>
          <t>Currency of the posted amount.</t>
        </is>
      </c>
      <c r="H61" s="11" t="inlineStr">
        <is>
          <t>計上額の通貨</t>
        </is>
      </c>
    </row>
    <row r="62">
      <c r="A62" s="11" t="inlineStr">
        <is>
          <t>Actuals</t>
        </is>
      </c>
      <c r="B62" s="11" t="inlineStr">
        <is>
          <t>amount</t>
        </is>
      </c>
      <c r="C62" s="11" t="inlineStr">
        <is>
          <t>金額</t>
        </is>
      </c>
      <c r="D62" s="11" t="inlineStr">
        <is>
          <t>Number</t>
        </is>
      </c>
      <c r="E62" s="11" t="inlineStr">
        <is>
          <t>Yes</t>
        </is>
      </c>
      <c r="F62" s="12" t="inlineStr">
        <is>
          <t>98000</t>
        </is>
      </c>
      <c r="G62" s="11" t="inlineStr">
        <is>
          <t>Posted P&amp;L amount, excluding tax. Credits as negative.</t>
        </is>
      </c>
      <c r="H62" s="11" t="inlineStr">
        <is>
          <t>PL計上額（税抜）。貸方はマイナス</t>
        </is>
      </c>
    </row>
    <row r="63">
      <c r="A63" s="11" t="inlineStr">
        <is>
          <t>Actuals</t>
        </is>
      </c>
      <c r="B63" s="11" t="inlineStr">
        <is>
          <t>description</t>
        </is>
      </c>
      <c r="C63" s="11" t="inlineStr">
        <is>
          <t>摘要・取引先</t>
        </is>
      </c>
      <c r="D63" s="11" t="inlineStr">
        <is>
          <t>Text</t>
        </is>
      </c>
      <c r="E63" s="11" t="inlineStr">
        <is>
          <t>No</t>
        </is>
      </c>
      <c r="F63" s="12" t="inlineStr">
        <is>
          <t>Microsoft</t>
        </is>
      </c>
      <c r="G63" s="11" t="inlineStr">
        <is>
          <t>Optional, for investigating variances.</t>
        </is>
      </c>
      <c r="H63" s="11" t="inlineStr">
        <is>
          <t>任意。差異の調査用</t>
        </is>
      </c>
    </row>
    <row r="64">
      <c r="A64" s="11" t="inlineStr">
        <is>
          <t>Actuals</t>
        </is>
      </c>
      <c r="B64" s="11" t="inlineStr">
        <is>
          <t>import_batch</t>
        </is>
      </c>
      <c r="C64" s="11" t="inlineStr">
        <is>
          <t>取込バッチ</t>
        </is>
      </c>
      <c r="D64" s="11" t="inlineStr">
        <is>
          <t>Text</t>
        </is>
      </c>
      <c r="E64" s="11" t="inlineStr">
        <is>
          <t>Yes</t>
        </is>
      </c>
      <c r="F64" s="12" t="inlineStr">
        <is>
          <t>202704</t>
        </is>
      </c>
      <c r="G64" s="11" t="inlineStr">
        <is>
          <t>YYYYMM of the closing month when the data was imported.</t>
        </is>
      </c>
      <c r="H64" s="11" t="inlineStr">
        <is>
          <t>取り込んだときの締め月（YYYYMM）</t>
        </is>
      </c>
    </row>
    <row r="66">
      <c r="A66" s="8" t="inlineStr">
        <is>
          <t>Budget_vs_Actual  —  Auto (do not edit) / Forecast &amp; Rationale: Input</t>
        </is>
      </c>
      <c r="B66" s="9" t="n"/>
      <c r="C66" s="9" t="n"/>
      <c r="D66" s="9" t="n"/>
      <c r="E66" s="9" t="n"/>
      <c r="F66" s="9" t="n"/>
      <c r="G66" s="9" t="n"/>
      <c r="H66" s="9" t="n"/>
    </row>
    <row r="67">
      <c r="A67" s="10" t="inlineStr">
        <is>
          <t>Sheet</t>
        </is>
      </c>
      <c r="B67" s="10" t="inlineStr">
        <is>
          <t>Field (EN)</t>
        </is>
      </c>
      <c r="C67" s="10" t="inlineStr">
        <is>
          <t>項目名（日本語）</t>
        </is>
      </c>
      <c r="D67" s="10" t="inlineStr">
        <is>
          <t>Type</t>
        </is>
      </c>
      <c r="E67" s="10" t="inlineStr">
        <is>
          <t>Required</t>
        </is>
      </c>
      <c r="F67" s="10" t="inlineStr">
        <is>
          <t>Example</t>
        </is>
      </c>
      <c r="G67" s="10" t="inlineStr">
        <is>
          <t>Description (EN)</t>
        </is>
      </c>
      <c r="H67" s="10" t="inlineStr">
        <is>
          <t>説明（日本語）</t>
        </is>
      </c>
    </row>
    <row r="68">
      <c r="A68" s="11" t="inlineStr">
        <is>
          <t>Budget_vs_Actual</t>
        </is>
      </c>
      <c r="B68" s="11" t="inlineStr">
        <is>
          <t>fiscal_year (C3)</t>
        </is>
      </c>
      <c r="C68" s="11" t="inlineStr">
        <is>
          <t>会計年度</t>
        </is>
      </c>
      <c r="D68" s="11" t="inlineStr">
        <is>
          <t>Integer</t>
        </is>
      </c>
      <c r="E68" s="11" t="inlineStr">
        <is>
          <t>Yes</t>
        </is>
      </c>
      <c r="F68" s="12" t="inlineStr">
        <is>
          <t>2027</t>
        </is>
      </c>
      <c r="G68" s="11" t="inlineStr">
        <is>
          <t>Fiscal year to display.</t>
        </is>
      </c>
      <c r="H68" s="11" t="inlineStr">
        <is>
          <t>表示する会計年度</t>
        </is>
      </c>
    </row>
    <row r="69">
      <c r="A69" s="11" t="inlineStr">
        <is>
          <t>Budget_vs_Actual</t>
        </is>
      </c>
      <c r="B69" s="11" t="inlineStr">
        <is>
          <t>close_month (C4)</t>
        </is>
      </c>
      <c r="C69" s="11" t="inlineStr">
        <is>
          <t>締め月</t>
        </is>
      </c>
      <c r="D69" s="11" t="inlineStr">
        <is>
          <t>Integer 1-12</t>
        </is>
      </c>
      <c r="E69" s="11" t="inlineStr">
        <is>
          <t>Yes</t>
        </is>
      </c>
      <c r="F69" s="12" t="inlineStr">
        <is>
          <t>6</t>
        </is>
      </c>
      <c r="G69" s="11" t="inlineStr">
        <is>
          <t>Last month with actuals. Months up to this month use actuals; later months use the forecast.</t>
        </is>
      </c>
      <c r="H69" s="11" t="inlineStr">
        <is>
          <t>実績がそろっている最後の月。この月までは実績、以降は見込みを使う</t>
        </is>
      </c>
    </row>
    <row r="70">
      <c r="A70" s="11" t="inlineStr">
        <is>
          <t>Budget_vs_Actual</t>
        </is>
      </c>
      <c r="B70" s="11" t="inlineStr">
        <is>
          <t>display_currency (C5)</t>
        </is>
      </c>
      <c r="C70" s="11" t="inlineStr">
        <is>
          <t>表示通貨</t>
        </is>
      </c>
      <c r="D70" s="11" t="inlineStr">
        <is>
          <t>List</t>
        </is>
      </c>
      <c r="E70" s="11" t="inlineStr">
        <is>
          <t>Yes</t>
        </is>
      </c>
      <c r="F70" s="12" t="inlineStr">
        <is>
          <t>JPY</t>
        </is>
      </c>
      <c r="G70" s="11" t="inlineStr">
        <is>
          <t>All amounts are converted to this currency at the budget rate (FX_Rates).</t>
        </is>
      </c>
      <c r="H70" s="11" t="inlineStr">
        <is>
          <t>すべての金額をこの通貨に予算レート（FX_Rates）で換算して表示する</t>
        </is>
      </c>
    </row>
    <row r="71">
      <c r="A71" s="11" t="inlineStr">
        <is>
          <t>Budget_vs_Actual</t>
        </is>
      </c>
      <c r="B71" s="11" t="inlineStr">
        <is>
          <t>cost_center_code / account_key</t>
        </is>
      </c>
      <c r="C71" s="11" t="inlineStr">
        <is>
          <t>コストセンター／勘定科目</t>
        </is>
      </c>
      <c r="D71" s="11" t="inlineStr">
        <is>
          <t>Key</t>
        </is>
      </c>
      <c r="E71" s="11" t="inlineStr">
        <is>
          <t>Yes</t>
        </is>
      </c>
      <c r="F71" s="12" t="inlineStr">
        <is>
          <t>JP-GDS-APP / JP|5101</t>
        </is>
      </c>
      <c r="G71" s="11" t="inlineStr">
        <is>
          <t>Set by IT Finance on the first row of each block after the budget is fixed. Other rows follow automatically.</t>
        </is>
      </c>
      <c r="H71" s="11" t="inlineStr">
        <is>
          <t>予算確定後、ITファイナンスが各ブロックの1行目に設定する。他の行は自動で連動する</t>
        </is>
      </c>
    </row>
    <row r="72">
      <c r="A72" s="11" t="inlineStr">
        <is>
          <t>Budget_vs_Actual</t>
        </is>
      </c>
      <c r="B72" s="11" t="inlineStr">
        <is>
          <t>owner</t>
        </is>
      </c>
      <c r="C72" s="11" t="inlineStr">
        <is>
          <t>責任者</t>
        </is>
      </c>
      <c r="D72" s="11" t="inlineStr">
        <is>
          <t>Text</t>
        </is>
      </c>
      <c r="E72" s="11" t="inlineStr">
        <is>
          <t>Yes</t>
        </is>
      </c>
      <c r="F72" s="12" t="inlineStr">
        <is>
          <t>T. Yamada</t>
        </is>
      </c>
      <c r="G72" s="11" t="inlineStr">
        <is>
          <t>Person who explains variances and maintains the forecast for this block.</t>
        </is>
      </c>
      <c r="H72" s="11" t="inlineStr">
        <is>
          <t>このブロックの差異説明と見込み更新の責任者</t>
        </is>
      </c>
    </row>
    <row r="73">
      <c r="A73" s="11" t="inlineStr">
        <is>
          <t>Budget_vs_Actual</t>
        </is>
      </c>
      <c r="B73" s="11" t="inlineStr">
        <is>
          <t>Budget</t>
        </is>
      </c>
      <c r="C73" s="11" t="inlineStr">
        <is>
          <t>予算</t>
        </is>
      </c>
      <c r="D73" s="11" t="inlineStr">
        <is>
          <t>Row (auto)</t>
        </is>
      </c>
      <c r="E73" s="11" t="inlineStr">
        <is>
          <t>-</t>
        </is>
      </c>
      <c r="F73" s="12" t="inlineStr"/>
      <c r="G73" s="11" t="inlineStr">
        <is>
          <t>Sum of Opex_Budget for the cost center and account.</t>
        </is>
      </c>
      <c r="H73" s="11" t="inlineStr">
        <is>
          <t>Opex_Budgetの該当コストセンター・勘定科目の合計</t>
        </is>
      </c>
    </row>
    <row r="74">
      <c r="A74" s="11" t="inlineStr">
        <is>
          <t>Budget_vs_Actual</t>
        </is>
      </c>
      <c r="B74" s="11" t="inlineStr">
        <is>
          <t>Actual</t>
        </is>
      </c>
      <c r="C74" s="11" t="inlineStr">
        <is>
          <t>実績</t>
        </is>
      </c>
      <c r="D74" s="11" t="inlineStr">
        <is>
          <t>Row (auto)</t>
        </is>
      </c>
      <c r="E74" s="11" t="inlineStr">
        <is>
          <t>-</t>
        </is>
      </c>
      <c r="F74" s="12" t="inlineStr"/>
      <c r="G74" s="11" t="inlineStr">
        <is>
          <t>Sum of Actuals. Shown up to close_month.</t>
        </is>
      </c>
      <c r="H74" s="11" t="inlineStr">
        <is>
          <t>Actualsの合計。締め月まで表示</t>
        </is>
      </c>
    </row>
    <row r="75">
      <c r="A75" s="11" t="inlineStr">
        <is>
          <t>Budget_vs_Actual</t>
        </is>
      </c>
      <c r="B75" s="11" t="inlineStr">
        <is>
          <t>Variance vs Budget</t>
        </is>
      </c>
      <c r="C75" s="11" t="inlineStr">
        <is>
          <t>差異（対予算）</t>
        </is>
      </c>
      <c r="D75" s="11" t="inlineStr">
        <is>
          <t>Row (auto)</t>
        </is>
      </c>
      <c r="E75" s="11" t="inlineStr">
        <is>
          <t>-</t>
        </is>
      </c>
      <c r="F75" s="12" t="inlineStr"/>
      <c r="G75" s="11" t="inlineStr">
        <is>
          <t>Months / YTD: Actual - Budget. MTG: forecast for the remaining months - Budget. FY = YTD + MTG. Positive = overspend.</t>
        </is>
      </c>
      <c r="H75" s="11" t="inlineStr">
        <is>
          <t>各月・YTD：実績−予算。MTG：残り期間の見込み−予算。FY＝YTD＋MTG。プラスは超過</t>
        </is>
      </c>
    </row>
    <row r="76">
      <c r="A76" s="11" t="inlineStr">
        <is>
          <t>Budget_vs_Actual</t>
        </is>
      </c>
      <c r="B76" s="11" t="inlineStr">
        <is>
          <t>Forecast (input)</t>
        </is>
      </c>
      <c r="C76" s="11" t="inlineStr">
        <is>
          <t>見込み（入力）</t>
        </is>
      </c>
      <c r="D76" s="11" t="inlineStr">
        <is>
          <t>Row (input)</t>
        </is>
      </c>
      <c r="E76" s="11" t="inlineStr">
        <is>
          <t>No</t>
        </is>
      </c>
      <c r="F76" s="12" t="inlineStr">
        <is>
          <t>120000</t>
        </is>
      </c>
      <c r="G76" s="11" t="inlineStr">
        <is>
          <t>Expected amount for months after close_month. Leave blank to keep the budget amount.</t>
        </is>
      </c>
      <c r="H76" s="11" t="inlineStr">
        <is>
          <t>締め月より後の月の見込み額。空欄なら予算額のまま</t>
        </is>
      </c>
    </row>
    <row r="77">
      <c r="A77" s="11" t="inlineStr">
        <is>
          <t>Budget_vs_Actual</t>
        </is>
      </c>
      <c r="B77" s="11" t="inlineStr">
        <is>
          <t>Actual + Forecast</t>
        </is>
      </c>
      <c r="C77" s="11" t="inlineStr">
        <is>
          <t>実績＋見込み</t>
        </is>
      </c>
      <c r="D77" s="11" t="inlineStr">
        <is>
          <t>Row (auto)</t>
        </is>
      </c>
      <c r="E77" s="11" t="inlineStr">
        <is>
          <t>-</t>
        </is>
      </c>
      <c r="F77" s="12" t="inlineStr"/>
      <c r="G77" s="11" t="inlineStr">
        <is>
          <t>Actual up to close_month (taken from the Actual row); after that, the Forecast (input) row above, or the budget if it is blank.</t>
        </is>
      </c>
      <c r="H77" s="11" t="inlineStr">
        <is>
          <t>締め月まではActual行の実績を転記、以降は直上の見込み入力行の値（空欄なら予算）</t>
        </is>
      </c>
    </row>
    <row r="78">
      <c r="A78" s="11" t="inlineStr">
        <is>
          <t>Budget_vs_Actual</t>
        </is>
      </c>
      <c r="B78" s="11" t="inlineStr">
        <is>
          <t>Prior Month Forecast</t>
        </is>
      </c>
      <c r="C78" s="11" t="inlineStr">
        <is>
          <t>前月見込み</t>
        </is>
      </c>
      <c r="D78" s="11" t="inlineStr">
        <is>
          <t>Row (auto)</t>
        </is>
      </c>
      <c r="E78" s="11" t="inlineStr">
        <is>
          <t>-</t>
        </is>
      </c>
      <c r="F78" s="12" t="inlineStr"/>
      <c r="G78" s="11" t="inlineStr">
        <is>
          <t>Actual + Forecast as of the previous month, read from the Prior_Forecast sheet by cost center and account.</t>
        </is>
      </c>
      <c r="H78" s="11" t="inlineStr">
        <is>
          <t>前月時点の実績＋見込み。Prior_Forecastシートからコストセンター・勘定科目で引いて表示する</t>
        </is>
      </c>
    </row>
    <row r="79">
      <c r="A79" s="11" t="inlineStr">
        <is>
          <t>Budget_vs_Actual</t>
        </is>
      </c>
      <c r="B79" s="11" t="inlineStr">
        <is>
          <t>Variance vs Prior Month</t>
        </is>
      </c>
      <c r="C79" s="11" t="inlineStr">
        <is>
          <t>差異（対前月見込み）</t>
        </is>
      </c>
      <c r="D79" s="11" t="inlineStr">
        <is>
          <t>Row (auto)</t>
        </is>
      </c>
      <c r="E79" s="11" t="inlineStr">
        <is>
          <t>-</t>
        </is>
      </c>
      <c r="F79" s="12" t="inlineStr"/>
      <c r="G79" s="11" t="inlineStr">
        <is>
          <t>(Actual + Forecast) - Prior Month Forecast. Shows how much the outlook moved this month. Positive = increase.</t>
        </is>
      </c>
      <c r="H79" s="11" t="inlineStr">
        <is>
          <t>（実績＋見込み）−前月見込み。今月どれだけ見込みが動いたか。プラスは増加</t>
        </is>
      </c>
    </row>
    <row r="80">
      <c r="A80" s="11" t="inlineStr">
        <is>
          <t>Budget_vs_Actual</t>
        </is>
      </c>
      <c r="B80" s="11" t="inlineStr">
        <is>
          <t>Rationale</t>
        </is>
      </c>
      <c r="C80" s="11" t="inlineStr">
        <is>
          <t>理由</t>
        </is>
      </c>
      <c r="D80" s="11" t="inlineStr">
        <is>
          <t>Row (input)</t>
        </is>
      </c>
      <c r="E80" s="11" t="inlineStr">
        <is>
          <t>When variance</t>
        </is>
      </c>
      <c r="F80" s="12" t="inlineStr">
        <is>
          <t>Invoice delayed</t>
        </is>
      </c>
      <c r="G80" s="11" t="inlineStr">
        <is>
          <t>Month columns: reason for each month's variance. YTD column: comment on the year-to-date total. MTG column: comment on the remaining-period forecast (vs budget and vs prior month).</t>
        </is>
      </c>
      <c r="H80" s="11" t="inlineStr">
        <is>
          <t>月の列：各月の差異の理由。YTD列：累計に対するコメント。MTG列：残り期間の見込みに対するコメント（対予算・対前月）</t>
        </is>
      </c>
    </row>
  </sheetData>
  <mergeCells count="32">
    <mergeCell ref="B11:D11"/>
    <mergeCell ref="B14:D14"/>
    <mergeCell ref="B8:D8"/>
    <mergeCell ref="B13:D13"/>
    <mergeCell ref="E7:H7"/>
    <mergeCell ref="E22:H22"/>
    <mergeCell ref="B10:D10"/>
    <mergeCell ref="C20:D20"/>
    <mergeCell ref="E18:H18"/>
    <mergeCell ref="E12:H12"/>
    <mergeCell ref="E21:H21"/>
    <mergeCell ref="B9:D9"/>
    <mergeCell ref="C22:D22"/>
    <mergeCell ref="B6:D6"/>
    <mergeCell ref="E5:H5"/>
    <mergeCell ref="E14:H14"/>
    <mergeCell ref="B5:D5"/>
    <mergeCell ref="C21:D21"/>
    <mergeCell ref="E8:H8"/>
    <mergeCell ref="E4:H4"/>
    <mergeCell ref="B4:D4"/>
    <mergeCell ref="E20:H20"/>
    <mergeCell ref="E19:H19"/>
    <mergeCell ref="B7:D7"/>
    <mergeCell ref="E10:H10"/>
    <mergeCell ref="E13:H13"/>
    <mergeCell ref="E9:H9"/>
    <mergeCell ref="C19:D19"/>
    <mergeCell ref="E6:H6"/>
    <mergeCell ref="C18:D18"/>
    <mergeCell ref="B12:D12"/>
    <mergeCell ref="E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hidden="1" width="13" customWidth="1" min="11" max="11"/>
    <col hidden="1" width="13" customWidth="1" min="12" max="12"/>
  </cols>
  <sheetData>
    <row r="1">
      <c r="A1" s="1" t="inlineStr">
        <is>
          <t>GDS Budget Dashboard / 予算ダッシュボード</t>
        </is>
      </c>
    </row>
    <row r="2">
      <c r="A2" s="13">
        <f>"FY "&amp;Budget_vs_Actual!$C$3&amp;"   |   Close month: "&amp;Budget_vs_Actual!$C$4&amp;"   |   Currency: "&amp;Budget_vs_Actual!$C$5&amp;"   |   Prior forecast as of month: "&amp;Budget_vs_Actual!$G$7</f>
        <v/>
      </c>
    </row>
    <row r="4">
      <c r="A4" s="2" t="inlineStr">
        <is>
          <t>Key figures / 主要指標</t>
        </is>
      </c>
    </row>
    <row r="5">
      <c r="A5" s="14" t="inlineStr">
        <is>
          <t>FY Budget</t>
        </is>
      </c>
      <c r="B5" s="14" t="inlineStr">
        <is>
          <t>YTD Budget</t>
        </is>
      </c>
      <c r="C5" s="14" t="inlineStr">
        <is>
          <t>YTD Actual</t>
        </is>
      </c>
      <c r="D5" s="14" t="inlineStr">
        <is>
          <t>YTD Variance</t>
        </is>
      </c>
      <c r="E5" s="14" t="inlineStr">
        <is>
          <t>FY Actual + Forecast</t>
        </is>
      </c>
      <c r="F5" s="14" t="inlineStr">
        <is>
          <t>FY Variance vs Budget</t>
        </is>
      </c>
      <c r="G5" s="14" t="inlineStr">
        <is>
          <t>FY Variance vs Budget (prior month)</t>
        </is>
      </c>
      <c r="H5" s="14" t="inlineStr">
        <is>
          <t>Change vs Prior Month</t>
        </is>
      </c>
    </row>
    <row r="6">
      <c r="A6" s="15" t="inlineStr">
        <is>
          <t>通期予算</t>
        </is>
      </c>
      <c r="B6" s="15" t="inlineStr">
        <is>
          <t>累計予算</t>
        </is>
      </c>
      <c r="C6" s="15" t="inlineStr">
        <is>
          <t>累計実績</t>
        </is>
      </c>
      <c r="D6" s="15" t="inlineStr">
        <is>
          <t>累計差異</t>
        </is>
      </c>
      <c r="E6" s="15" t="inlineStr">
        <is>
          <t>通期着地見込み</t>
        </is>
      </c>
      <c r="F6" s="15" t="inlineStr">
        <is>
          <t>通期差異（対予算）</t>
        </is>
      </c>
      <c r="G6" s="15" t="inlineStr">
        <is>
          <t>前月時点の通期差異（対予算）</t>
        </is>
      </c>
      <c r="H6" s="15" t="inlineStr">
        <is>
          <t>前月からの変化</t>
        </is>
      </c>
    </row>
    <row r="7">
      <c r="A7" s="16">
        <f>SUMIFS(Budget_vs_Actual!$V:$V,Budget_vs_Actual!$G:$G,"Budget")</f>
        <v/>
      </c>
      <c r="B7" s="16">
        <f>SUMIFS(Budget_vs_Actual!$T:$T,Budget_vs_Actual!$G:$G,"Budget")</f>
        <v/>
      </c>
      <c r="C7" s="16">
        <f>SUMIFS(Budget_vs_Actual!$T:$T,Budget_vs_Actual!$G:$G,"Actual")</f>
        <v/>
      </c>
      <c r="D7" s="16">
        <f>C7-B7</f>
        <v/>
      </c>
      <c r="E7" s="16">
        <f>SUMIFS(Budget_vs_Actual!$V:$V,Budget_vs_Actual!$G:$G,"Actual + Forecast")</f>
        <v/>
      </c>
      <c r="F7" s="16">
        <f>E7-A7</f>
        <v/>
      </c>
      <c r="G7" s="16">
        <f>F7-H7</f>
        <v/>
      </c>
      <c r="H7" s="16">
        <f>SUMIFS(Budget_vs_Actual!$V:$V,Budget_vs_Actual!$G:$G,"Variance vs Prior Month")</f>
        <v/>
      </c>
    </row>
    <row r="8">
      <c r="D8" s="17">
        <f>IFERROR(D7/B7,0)</f>
        <v/>
      </c>
      <c r="F8" s="17">
        <f>IFERROR(F7/A7,0)</f>
        <v/>
      </c>
      <c r="G8" s="17">
        <f>IFERROR(G7/A7,0)</f>
        <v/>
      </c>
      <c r="H8" s="17">
        <f>IFERROR(H7/A7,0)</f>
        <v/>
      </c>
    </row>
    <row r="11">
      <c r="A11" s="2" t="inlineStr">
        <is>
          <t>By region and sub-function / リージョン×サブファンクション別</t>
        </is>
      </c>
    </row>
    <row r="12">
      <c r="A12" s="4" t="inlineStr">
        <is>
          <t>Region</t>
        </is>
      </c>
      <c r="B12" s="4" t="inlineStr">
        <is>
          <t>Sub-function</t>
        </is>
      </c>
      <c r="C12" s="4" t="inlineStr">
        <is>
          <t>FY Budget</t>
        </is>
      </c>
      <c r="D12" s="4" t="inlineStr">
        <is>
          <t>YTD Budget</t>
        </is>
      </c>
      <c r="E12" s="4" t="inlineStr">
        <is>
          <t>YTD Actual</t>
        </is>
      </c>
      <c r="F12" s="4" t="inlineStr">
        <is>
          <t>YTD Variance</t>
        </is>
      </c>
      <c r="G12" s="4" t="inlineStr">
        <is>
          <t>FY Actual + Forecast</t>
        </is>
      </c>
      <c r="H12" s="4" t="inlineStr">
        <is>
          <t>FY Variance</t>
        </is>
      </c>
      <c r="I12" s="4" t="inlineStr">
        <is>
          <t>Change vs Prior</t>
        </is>
      </c>
    </row>
    <row r="13">
      <c r="A13" s="7" t="inlineStr">
        <is>
          <t>JP</t>
        </is>
      </c>
      <c r="B13" s="7" t="inlineStr">
        <is>
          <t>Applications</t>
        </is>
      </c>
      <c r="C13" s="18">
        <f>SUMIFS(Budget_vs_Actual!$V:$V,Budget_vs_Actual!$G:$G,"Budget",Budget_vs_Actual!$A:$A,"JP",Budget_vs_Actual!$X:$X,"Applications",Budget_vs_Actual!$Y:$Y,"GDS")</f>
        <v/>
      </c>
      <c r="D13" s="18">
        <f>SUMIFS(Budget_vs_Actual!$T:$T,Budget_vs_Actual!$G:$G,"Budget",Budget_vs_Actual!$A:$A,"JP",Budget_vs_Actual!$X:$X,"Applications",Budget_vs_Actual!$Y:$Y,"GDS")</f>
        <v/>
      </c>
      <c r="E13" s="18">
        <f>SUMIFS(Budget_vs_Actual!$T:$T,Budget_vs_Actual!$G:$G,"Actual",Budget_vs_Actual!$A:$A,"JP",Budget_vs_Actual!$X:$X,"Applications",Budget_vs_Actual!$Y:$Y,"GDS")</f>
        <v/>
      </c>
      <c r="F13" s="18">
        <f>E13-D13</f>
        <v/>
      </c>
      <c r="G13" s="18">
        <f>SUMIFS(Budget_vs_Actual!$V:$V,Budget_vs_Actual!$G:$G,"Actual + Forecast",Budget_vs_Actual!$A:$A,"JP",Budget_vs_Actual!$X:$X,"Applications",Budget_vs_Actual!$Y:$Y,"GDS")</f>
        <v/>
      </c>
      <c r="H13" s="18">
        <f>G13-C13</f>
        <v/>
      </c>
      <c r="I13" s="18">
        <f>SUMIFS(Budget_vs_Actual!$V:$V,Budget_vs_Actual!$G:$G,"Variance vs Prior Month",Budget_vs_Actual!$A:$A,"JP",Budget_vs_Actual!$X:$X,"Applications",Budget_vs_Actual!$Y:$Y,"GDS")</f>
        <v/>
      </c>
    </row>
    <row r="14">
      <c r="A14" s="7" t="inlineStr">
        <is>
          <t>JP</t>
        </is>
      </c>
      <c r="B14" s="7" t="inlineStr">
        <is>
          <t>Infrastructure</t>
        </is>
      </c>
      <c r="C14" s="18">
        <f>SUMIFS(Budget_vs_Actual!$V:$V,Budget_vs_Actual!$G:$G,"Budget",Budget_vs_Actual!$A:$A,"JP",Budget_vs_Actual!$X:$X,"Infrastructure",Budget_vs_Actual!$Y:$Y,"GDS")</f>
        <v/>
      </c>
      <c r="D14" s="18">
        <f>SUMIFS(Budget_vs_Actual!$T:$T,Budget_vs_Actual!$G:$G,"Budget",Budget_vs_Actual!$A:$A,"JP",Budget_vs_Actual!$X:$X,"Infrastructure",Budget_vs_Actual!$Y:$Y,"GDS")</f>
        <v/>
      </c>
      <c r="E14" s="18">
        <f>SUMIFS(Budget_vs_Actual!$T:$T,Budget_vs_Actual!$G:$G,"Actual",Budget_vs_Actual!$A:$A,"JP",Budget_vs_Actual!$X:$X,"Infrastructure",Budget_vs_Actual!$Y:$Y,"GDS")</f>
        <v/>
      </c>
      <c r="F14" s="18">
        <f>E14-D14</f>
        <v/>
      </c>
      <c r="G14" s="18">
        <f>SUMIFS(Budget_vs_Actual!$V:$V,Budget_vs_Actual!$G:$G,"Actual + Forecast",Budget_vs_Actual!$A:$A,"JP",Budget_vs_Actual!$X:$X,"Infrastructure",Budget_vs_Actual!$Y:$Y,"GDS")</f>
        <v/>
      </c>
      <c r="H14" s="18">
        <f>G14-C14</f>
        <v/>
      </c>
      <c r="I14" s="18">
        <f>SUMIFS(Budget_vs_Actual!$V:$V,Budget_vs_Actual!$G:$G,"Variance vs Prior Month",Budget_vs_Actual!$A:$A,"JP",Budget_vs_Actual!$X:$X,"Infrastructure",Budget_vs_Actual!$Y:$Y,"GDS")</f>
        <v/>
      </c>
    </row>
    <row r="15">
      <c r="A15" s="7" t="inlineStr">
        <is>
          <t>JP</t>
        </is>
      </c>
      <c r="B15" s="7" t="inlineStr">
        <is>
          <t>Data</t>
        </is>
      </c>
      <c r="C15" s="18">
        <f>SUMIFS(Budget_vs_Actual!$V:$V,Budget_vs_Actual!$G:$G,"Budget",Budget_vs_Actual!$A:$A,"JP",Budget_vs_Actual!$X:$X,"Data",Budget_vs_Actual!$Y:$Y,"GDS")</f>
        <v/>
      </c>
      <c r="D15" s="18">
        <f>SUMIFS(Budget_vs_Actual!$T:$T,Budget_vs_Actual!$G:$G,"Budget",Budget_vs_Actual!$A:$A,"JP",Budget_vs_Actual!$X:$X,"Data",Budget_vs_Actual!$Y:$Y,"GDS")</f>
        <v/>
      </c>
      <c r="E15" s="18">
        <f>SUMIFS(Budget_vs_Actual!$T:$T,Budget_vs_Actual!$G:$G,"Actual",Budget_vs_Actual!$A:$A,"JP",Budget_vs_Actual!$X:$X,"Data",Budget_vs_Actual!$Y:$Y,"GDS")</f>
        <v/>
      </c>
      <c r="F15" s="18">
        <f>E15-D15</f>
        <v/>
      </c>
      <c r="G15" s="18">
        <f>SUMIFS(Budget_vs_Actual!$V:$V,Budget_vs_Actual!$G:$G,"Actual + Forecast",Budget_vs_Actual!$A:$A,"JP",Budget_vs_Actual!$X:$X,"Data",Budget_vs_Actual!$Y:$Y,"GDS")</f>
        <v/>
      </c>
      <c r="H15" s="18">
        <f>G15-C15</f>
        <v/>
      </c>
      <c r="I15" s="18">
        <f>SUMIFS(Budget_vs_Actual!$V:$V,Budget_vs_Actual!$G:$G,"Variance vs Prior Month",Budget_vs_Actual!$A:$A,"JP",Budget_vs_Actual!$X:$X,"Data",Budget_vs_Actual!$Y:$Y,"GDS")</f>
        <v/>
      </c>
    </row>
    <row r="16">
      <c r="A16" s="7" t="inlineStr">
        <is>
          <t>JP</t>
        </is>
      </c>
      <c r="B16" s="7" t="inlineStr">
        <is>
          <t>Security</t>
        </is>
      </c>
      <c r="C16" s="18">
        <f>SUMIFS(Budget_vs_Actual!$V:$V,Budget_vs_Actual!$G:$G,"Budget",Budget_vs_Actual!$A:$A,"JP",Budget_vs_Actual!$X:$X,"Security",Budget_vs_Actual!$Y:$Y,"GDS")</f>
        <v/>
      </c>
      <c r="D16" s="18">
        <f>SUMIFS(Budget_vs_Actual!$T:$T,Budget_vs_Actual!$G:$G,"Budget",Budget_vs_Actual!$A:$A,"JP",Budget_vs_Actual!$X:$X,"Security",Budget_vs_Actual!$Y:$Y,"GDS")</f>
        <v/>
      </c>
      <c r="E16" s="18">
        <f>SUMIFS(Budget_vs_Actual!$T:$T,Budget_vs_Actual!$G:$G,"Actual",Budget_vs_Actual!$A:$A,"JP",Budget_vs_Actual!$X:$X,"Security",Budget_vs_Actual!$Y:$Y,"GDS")</f>
        <v/>
      </c>
      <c r="F16" s="18">
        <f>E16-D16</f>
        <v/>
      </c>
      <c r="G16" s="18">
        <f>SUMIFS(Budget_vs_Actual!$V:$V,Budget_vs_Actual!$G:$G,"Actual + Forecast",Budget_vs_Actual!$A:$A,"JP",Budget_vs_Actual!$X:$X,"Security",Budget_vs_Actual!$Y:$Y,"GDS")</f>
        <v/>
      </c>
      <c r="H16" s="18">
        <f>G16-C16</f>
        <v/>
      </c>
      <c r="I16" s="18">
        <f>SUMIFS(Budget_vs_Actual!$V:$V,Budget_vs_Actual!$G:$G,"Variance vs Prior Month",Budget_vs_Actual!$A:$A,"JP",Budget_vs_Actual!$X:$X,"Security",Budget_vs_Actual!$Y:$Y,"GDS")</f>
        <v/>
      </c>
    </row>
    <row r="17">
      <c r="A17" s="7" t="inlineStr">
        <is>
          <t>JP</t>
        </is>
      </c>
      <c r="B17" s="7" t="inlineStr">
        <is>
          <t>Governance</t>
        </is>
      </c>
      <c r="C17" s="18">
        <f>SUMIFS(Budget_vs_Actual!$V:$V,Budget_vs_Actual!$G:$G,"Budget",Budget_vs_Actual!$A:$A,"JP",Budget_vs_Actual!$X:$X,"Governance",Budget_vs_Actual!$Y:$Y,"GDS")</f>
        <v/>
      </c>
      <c r="D17" s="18">
        <f>SUMIFS(Budget_vs_Actual!$T:$T,Budget_vs_Actual!$G:$G,"Budget",Budget_vs_Actual!$A:$A,"JP",Budget_vs_Actual!$X:$X,"Governance",Budget_vs_Actual!$Y:$Y,"GDS")</f>
        <v/>
      </c>
      <c r="E17" s="18">
        <f>SUMIFS(Budget_vs_Actual!$T:$T,Budget_vs_Actual!$G:$G,"Actual",Budget_vs_Actual!$A:$A,"JP",Budget_vs_Actual!$X:$X,"Governance",Budget_vs_Actual!$Y:$Y,"GDS")</f>
        <v/>
      </c>
      <c r="F17" s="18">
        <f>E17-D17</f>
        <v/>
      </c>
      <c r="G17" s="18">
        <f>SUMIFS(Budget_vs_Actual!$V:$V,Budget_vs_Actual!$G:$G,"Actual + Forecast",Budget_vs_Actual!$A:$A,"JP",Budget_vs_Actual!$X:$X,"Governance",Budget_vs_Actual!$Y:$Y,"GDS")</f>
        <v/>
      </c>
      <c r="H17" s="18">
        <f>G17-C17</f>
        <v/>
      </c>
      <c r="I17" s="18">
        <f>SUMIFS(Budget_vs_Actual!$V:$V,Budget_vs_Actual!$G:$G,"Variance vs Prior Month",Budget_vs_Actual!$A:$A,"JP",Budget_vs_Actual!$X:$X,"Governance",Budget_vs_Actual!$Y:$Y,"GDS")</f>
        <v/>
      </c>
    </row>
    <row r="18">
      <c r="A18" s="7" t="inlineStr">
        <is>
          <t>JP</t>
        </is>
      </c>
      <c r="B18" s="7" t="inlineStr">
        <is>
          <t>Transferred (other functions)</t>
        </is>
      </c>
      <c r="C18" s="18">
        <f>SUMIFS(Budget_vs_Actual!$V:$V,Budget_vs_Actual!$G:$G,"Budget",Budget_vs_Actual!$A:$A,"JP",Budget_vs_Actual!$Y:$Y,"&lt;&gt;GDS")</f>
        <v/>
      </c>
      <c r="D18" s="18">
        <f>SUMIFS(Budget_vs_Actual!$T:$T,Budget_vs_Actual!$G:$G,"Budget",Budget_vs_Actual!$A:$A,"JP",Budget_vs_Actual!$Y:$Y,"&lt;&gt;GDS")</f>
        <v/>
      </c>
      <c r="E18" s="18">
        <f>SUMIFS(Budget_vs_Actual!$T:$T,Budget_vs_Actual!$G:$G,"Actual",Budget_vs_Actual!$A:$A,"JP",Budget_vs_Actual!$Y:$Y,"&lt;&gt;GDS")</f>
        <v/>
      </c>
      <c r="F18" s="18">
        <f>E18-D18</f>
        <v/>
      </c>
      <c r="G18" s="18">
        <f>SUMIFS(Budget_vs_Actual!$V:$V,Budget_vs_Actual!$G:$G,"Actual + Forecast",Budget_vs_Actual!$A:$A,"JP",Budget_vs_Actual!$Y:$Y,"&lt;&gt;GDS")</f>
        <v/>
      </c>
      <c r="H18" s="18">
        <f>G18-C18</f>
        <v/>
      </c>
      <c r="I18" s="18">
        <f>SUMIFS(Budget_vs_Actual!$V:$V,Budget_vs_Actual!$G:$G,"Variance vs Prior Month",Budget_vs_Actual!$A:$A,"JP",Budget_vs_Actual!$Y:$Y,"&lt;&gt;GDS")</f>
        <v/>
      </c>
    </row>
    <row r="19">
      <c r="A19" s="6" t="inlineStr">
        <is>
          <t>JP</t>
        </is>
      </c>
      <c r="B19" s="6" t="inlineStr">
        <is>
          <t>Subtotal</t>
        </is>
      </c>
      <c r="C19" s="19">
        <f>SUM(C13:C18)</f>
        <v/>
      </c>
      <c r="D19" s="19">
        <f>SUM(D13:D18)</f>
        <v/>
      </c>
      <c r="E19" s="19">
        <f>SUM(E13:E18)</f>
        <v/>
      </c>
      <c r="F19" s="19">
        <f>SUM(F13:F18)</f>
        <v/>
      </c>
      <c r="G19" s="19">
        <f>SUM(G13:G18)</f>
        <v/>
      </c>
      <c r="H19" s="19">
        <f>SUM(H13:H18)</f>
        <v/>
      </c>
      <c r="I19" s="19">
        <f>SUM(I13:I18)</f>
        <v/>
      </c>
    </row>
    <row r="20">
      <c r="A20" s="7" t="inlineStr">
        <is>
          <t>NA</t>
        </is>
      </c>
      <c r="B20" s="7" t="inlineStr">
        <is>
          <t>Applications</t>
        </is>
      </c>
      <c r="C20" s="18">
        <f>SUMIFS(Budget_vs_Actual!$V:$V,Budget_vs_Actual!$G:$G,"Budget",Budget_vs_Actual!$A:$A,"NA",Budget_vs_Actual!$X:$X,"Applications",Budget_vs_Actual!$Y:$Y,"GDS")</f>
        <v/>
      </c>
      <c r="D20" s="18">
        <f>SUMIFS(Budget_vs_Actual!$T:$T,Budget_vs_Actual!$G:$G,"Budget",Budget_vs_Actual!$A:$A,"NA",Budget_vs_Actual!$X:$X,"Applications",Budget_vs_Actual!$Y:$Y,"GDS")</f>
        <v/>
      </c>
      <c r="E20" s="18">
        <f>SUMIFS(Budget_vs_Actual!$T:$T,Budget_vs_Actual!$G:$G,"Actual",Budget_vs_Actual!$A:$A,"NA",Budget_vs_Actual!$X:$X,"Applications",Budget_vs_Actual!$Y:$Y,"GDS")</f>
        <v/>
      </c>
      <c r="F20" s="18">
        <f>E20-D20</f>
        <v/>
      </c>
      <c r="G20" s="18">
        <f>SUMIFS(Budget_vs_Actual!$V:$V,Budget_vs_Actual!$G:$G,"Actual + Forecast",Budget_vs_Actual!$A:$A,"NA",Budget_vs_Actual!$X:$X,"Applications",Budget_vs_Actual!$Y:$Y,"GDS")</f>
        <v/>
      </c>
      <c r="H20" s="18">
        <f>G20-C20</f>
        <v/>
      </c>
      <c r="I20" s="18">
        <f>SUMIFS(Budget_vs_Actual!$V:$V,Budget_vs_Actual!$G:$G,"Variance vs Prior Month",Budget_vs_Actual!$A:$A,"NA",Budget_vs_Actual!$X:$X,"Applications",Budget_vs_Actual!$Y:$Y,"GDS")</f>
        <v/>
      </c>
    </row>
    <row r="21">
      <c r="A21" s="7" t="inlineStr">
        <is>
          <t>NA</t>
        </is>
      </c>
      <c r="B21" s="7" t="inlineStr">
        <is>
          <t>Infrastructure</t>
        </is>
      </c>
      <c r="C21" s="18">
        <f>SUMIFS(Budget_vs_Actual!$V:$V,Budget_vs_Actual!$G:$G,"Budget",Budget_vs_Actual!$A:$A,"NA",Budget_vs_Actual!$X:$X,"Infrastructure",Budget_vs_Actual!$Y:$Y,"GDS")</f>
        <v/>
      </c>
      <c r="D21" s="18">
        <f>SUMIFS(Budget_vs_Actual!$T:$T,Budget_vs_Actual!$G:$G,"Budget",Budget_vs_Actual!$A:$A,"NA",Budget_vs_Actual!$X:$X,"Infrastructure",Budget_vs_Actual!$Y:$Y,"GDS")</f>
        <v/>
      </c>
      <c r="E21" s="18">
        <f>SUMIFS(Budget_vs_Actual!$T:$T,Budget_vs_Actual!$G:$G,"Actual",Budget_vs_Actual!$A:$A,"NA",Budget_vs_Actual!$X:$X,"Infrastructure",Budget_vs_Actual!$Y:$Y,"GDS")</f>
        <v/>
      </c>
      <c r="F21" s="18">
        <f>E21-D21</f>
        <v/>
      </c>
      <c r="G21" s="18">
        <f>SUMIFS(Budget_vs_Actual!$V:$V,Budget_vs_Actual!$G:$G,"Actual + Forecast",Budget_vs_Actual!$A:$A,"NA",Budget_vs_Actual!$X:$X,"Infrastructure",Budget_vs_Actual!$Y:$Y,"GDS")</f>
        <v/>
      </c>
      <c r="H21" s="18">
        <f>G21-C21</f>
        <v/>
      </c>
      <c r="I21" s="18">
        <f>SUMIFS(Budget_vs_Actual!$V:$V,Budget_vs_Actual!$G:$G,"Variance vs Prior Month",Budget_vs_Actual!$A:$A,"NA",Budget_vs_Actual!$X:$X,"Infrastructure",Budget_vs_Actual!$Y:$Y,"GDS")</f>
        <v/>
      </c>
    </row>
    <row r="22">
      <c r="A22" s="7" t="inlineStr">
        <is>
          <t>NA</t>
        </is>
      </c>
      <c r="B22" s="7" t="inlineStr">
        <is>
          <t>Data</t>
        </is>
      </c>
      <c r="C22" s="18">
        <f>SUMIFS(Budget_vs_Actual!$V:$V,Budget_vs_Actual!$G:$G,"Budget",Budget_vs_Actual!$A:$A,"NA",Budget_vs_Actual!$X:$X,"Data",Budget_vs_Actual!$Y:$Y,"GDS")</f>
        <v/>
      </c>
      <c r="D22" s="18">
        <f>SUMIFS(Budget_vs_Actual!$T:$T,Budget_vs_Actual!$G:$G,"Budget",Budget_vs_Actual!$A:$A,"NA",Budget_vs_Actual!$X:$X,"Data",Budget_vs_Actual!$Y:$Y,"GDS")</f>
        <v/>
      </c>
      <c r="E22" s="18">
        <f>SUMIFS(Budget_vs_Actual!$T:$T,Budget_vs_Actual!$G:$G,"Actual",Budget_vs_Actual!$A:$A,"NA",Budget_vs_Actual!$X:$X,"Data",Budget_vs_Actual!$Y:$Y,"GDS")</f>
        <v/>
      </c>
      <c r="F22" s="18">
        <f>E22-D22</f>
        <v/>
      </c>
      <c r="G22" s="18">
        <f>SUMIFS(Budget_vs_Actual!$V:$V,Budget_vs_Actual!$G:$G,"Actual + Forecast",Budget_vs_Actual!$A:$A,"NA",Budget_vs_Actual!$X:$X,"Data",Budget_vs_Actual!$Y:$Y,"GDS")</f>
        <v/>
      </c>
      <c r="H22" s="18">
        <f>G22-C22</f>
        <v/>
      </c>
      <c r="I22" s="18">
        <f>SUMIFS(Budget_vs_Actual!$V:$V,Budget_vs_Actual!$G:$G,"Variance vs Prior Month",Budget_vs_Actual!$A:$A,"NA",Budget_vs_Actual!$X:$X,"Data",Budget_vs_Actual!$Y:$Y,"GDS")</f>
        <v/>
      </c>
    </row>
    <row r="23">
      <c r="A23" s="7" t="inlineStr">
        <is>
          <t>NA</t>
        </is>
      </c>
      <c r="B23" s="7" t="inlineStr">
        <is>
          <t>Security</t>
        </is>
      </c>
      <c r="C23" s="18">
        <f>SUMIFS(Budget_vs_Actual!$V:$V,Budget_vs_Actual!$G:$G,"Budget",Budget_vs_Actual!$A:$A,"NA",Budget_vs_Actual!$X:$X,"Security",Budget_vs_Actual!$Y:$Y,"GDS")</f>
        <v/>
      </c>
      <c r="D23" s="18">
        <f>SUMIFS(Budget_vs_Actual!$T:$T,Budget_vs_Actual!$G:$G,"Budget",Budget_vs_Actual!$A:$A,"NA",Budget_vs_Actual!$X:$X,"Security",Budget_vs_Actual!$Y:$Y,"GDS")</f>
        <v/>
      </c>
      <c r="E23" s="18">
        <f>SUMIFS(Budget_vs_Actual!$T:$T,Budget_vs_Actual!$G:$G,"Actual",Budget_vs_Actual!$A:$A,"NA",Budget_vs_Actual!$X:$X,"Security",Budget_vs_Actual!$Y:$Y,"GDS")</f>
        <v/>
      </c>
      <c r="F23" s="18">
        <f>E23-D23</f>
        <v/>
      </c>
      <c r="G23" s="18">
        <f>SUMIFS(Budget_vs_Actual!$V:$V,Budget_vs_Actual!$G:$G,"Actual + Forecast",Budget_vs_Actual!$A:$A,"NA",Budget_vs_Actual!$X:$X,"Security",Budget_vs_Actual!$Y:$Y,"GDS")</f>
        <v/>
      </c>
      <c r="H23" s="18">
        <f>G23-C23</f>
        <v/>
      </c>
      <c r="I23" s="18">
        <f>SUMIFS(Budget_vs_Actual!$V:$V,Budget_vs_Actual!$G:$G,"Variance vs Prior Month",Budget_vs_Actual!$A:$A,"NA",Budget_vs_Actual!$X:$X,"Security",Budget_vs_Actual!$Y:$Y,"GDS")</f>
        <v/>
      </c>
    </row>
    <row r="24">
      <c r="A24" s="7" t="inlineStr">
        <is>
          <t>NA</t>
        </is>
      </c>
      <c r="B24" s="7" t="inlineStr">
        <is>
          <t>Governance</t>
        </is>
      </c>
      <c r="C24" s="18">
        <f>SUMIFS(Budget_vs_Actual!$V:$V,Budget_vs_Actual!$G:$G,"Budget",Budget_vs_Actual!$A:$A,"NA",Budget_vs_Actual!$X:$X,"Governance",Budget_vs_Actual!$Y:$Y,"GDS")</f>
        <v/>
      </c>
      <c r="D24" s="18">
        <f>SUMIFS(Budget_vs_Actual!$T:$T,Budget_vs_Actual!$G:$G,"Budget",Budget_vs_Actual!$A:$A,"NA",Budget_vs_Actual!$X:$X,"Governance",Budget_vs_Actual!$Y:$Y,"GDS")</f>
        <v/>
      </c>
      <c r="E24" s="18">
        <f>SUMIFS(Budget_vs_Actual!$T:$T,Budget_vs_Actual!$G:$G,"Actual",Budget_vs_Actual!$A:$A,"NA",Budget_vs_Actual!$X:$X,"Governance",Budget_vs_Actual!$Y:$Y,"GDS")</f>
        <v/>
      </c>
      <c r="F24" s="18">
        <f>E24-D24</f>
        <v/>
      </c>
      <c r="G24" s="18">
        <f>SUMIFS(Budget_vs_Actual!$V:$V,Budget_vs_Actual!$G:$G,"Actual + Forecast",Budget_vs_Actual!$A:$A,"NA",Budget_vs_Actual!$X:$X,"Governance",Budget_vs_Actual!$Y:$Y,"GDS")</f>
        <v/>
      </c>
      <c r="H24" s="18">
        <f>G24-C24</f>
        <v/>
      </c>
      <c r="I24" s="18">
        <f>SUMIFS(Budget_vs_Actual!$V:$V,Budget_vs_Actual!$G:$G,"Variance vs Prior Month",Budget_vs_Actual!$A:$A,"NA",Budget_vs_Actual!$X:$X,"Governance",Budget_vs_Actual!$Y:$Y,"GDS")</f>
        <v/>
      </c>
    </row>
    <row r="25">
      <c r="A25" s="7" t="inlineStr">
        <is>
          <t>NA</t>
        </is>
      </c>
      <c r="B25" s="7" t="inlineStr">
        <is>
          <t>Transferred (other functions)</t>
        </is>
      </c>
      <c r="C25" s="18">
        <f>SUMIFS(Budget_vs_Actual!$V:$V,Budget_vs_Actual!$G:$G,"Budget",Budget_vs_Actual!$A:$A,"NA",Budget_vs_Actual!$Y:$Y,"&lt;&gt;GDS")</f>
        <v/>
      </c>
      <c r="D25" s="18">
        <f>SUMIFS(Budget_vs_Actual!$T:$T,Budget_vs_Actual!$G:$G,"Budget",Budget_vs_Actual!$A:$A,"NA",Budget_vs_Actual!$Y:$Y,"&lt;&gt;GDS")</f>
        <v/>
      </c>
      <c r="E25" s="18">
        <f>SUMIFS(Budget_vs_Actual!$T:$T,Budget_vs_Actual!$G:$G,"Actual",Budget_vs_Actual!$A:$A,"NA",Budget_vs_Actual!$Y:$Y,"&lt;&gt;GDS")</f>
        <v/>
      </c>
      <c r="F25" s="18">
        <f>E25-D25</f>
        <v/>
      </c>
      <c r="G25" s="18">
        <f>SUMIFS(Budget_vs_Actual!$V:$V,Budget_vs_Actual!$G:$G,"Actual + Forecast",Budget_vs_Actual!$A:$A,"NA",Budget_vs_Actual!$Y:$Y,"&lt;&gt;GDS")</f>
        <v/>
      </c>
      <c r="H25" s="18">
        <f>G25-C25</f>
        <v/>
      </c>
      <c r="I25" s="18">
        <f>SUMIFS(Budget_vs_Actual!$V:$V,Budget_vs_Actual!$G:$G,"Variance vs Prior Month",Budget_vs_Actual!$A:$A,"NA",Budget_vs_Actual!$Y:$Y,"&lt;&gt;GDS")</f>
        <v/>
      </c>
    </row>
    <row r="26">
      <c r="A26" s="6" t="inlineStr">
        <is>
          <t>NA</t>
        </is>
      </c>
      <c r="B26" s="6" t="inlineStr">
        <is>
          <t>Subtotal</t>
        </is>
      </c>
      <c r="C26" s="19">
        <f>SUM(C20:C25)</f>
        <v/>
      </c>
      <c r="D26" s="19">
        <f>SUM(D20:D25)</f>
        <v/>
      </c>
      <c r="E26" s="19">
        <f>SUM(E20:E25)</f>
        <v/>
      </c>
      <c r="F26" s="19">
        <f>SUM(F20:F25)</f>
        <v/>
      </c>
      <c r="G26" s="19">
        <f>SUM(G20:G25)</f>
        <v/>
      </c>
      <c r="H26" s="19">
        <f>SUM(H20:H25)</f>
        <v/>
      </c>
      <c r="I26" s="19">
        <f>SUM(I20:I25)</f>
        <v/>
      </c>
    </row>
    <row r="27">
      <c r="A27" s="7" t="inlineStr">
        <is>
          <t>EMEA</t>
        </is>
      </c>
      <c r="B27" s="7" t="inlineStr">
        <is>
          <t>Applications</t>
        </is>
      </c>
      <c r="C27" s="18">
        <f>SUMIFS(Budget_vs_Actual!$V:$V,Budget_vs_Actual!$G:$G,"Budget",Budget_vs_Actual!$A:$A,"EMEA",Budget_vs_Actual!$X:$X,"Applications",Budget_vs_Actual!$Y:$Y,"GDS")</f>
        <v/>
      </c>
      <c r="D27" s="18">
        <f>SUMIFS(Budget_vs_Actual!$T:$T,Budget_vs_Actual!$G:$G,"Budget",Budget_vs_Actual!$A:$A,"EMEA",Budget_vs_Actual!$X:$X,"Applications",Budget_vs_Actual!$Y:$Y,"GDS")</f>
        <v/>
      </c>
      <c r="E27" s="18">
        <f>SUMIFS(Budget_vs_Actual!$T:$T,Budget_vs_Actual!$G:$G,"Actual",Budget_vs_Actual!$A:$A,"EMEA",Budget_vs_Actual!$X:$X,"Applications",Budget_vs_Actual!$Y:$Y,"GDS")</f>
        <v/>
      </c>
      <c r="F27" s="18">
        <f>E27-D27</f>
        <v/>
      </c>
      <c r="G27" s="18">
        <f>SUMIFS(Budget_vs_Actual!$V:$V,Budget_vs_Actual!$G:$G,"Actual + Forecast",Budget_vs_Actual!$A:$A,"EMEA",Budget_vs_Actual!$X:$X,"Applications",Budget_vs_Actual!$Y:$Y,"GDS")</f>
        <v/>
      </c>
      <c r="H27" s="18">
        <f>G27-C27</f>
        <v/>
      </c>
      <c r="I27" s="18">
        <f>SUMIFS(Budget_vs_Actual!$V:$V,Budget_vs_Actual!$G:$G,"Variance vs Prior Month",Budget_vs_Actual!$A:$A,"EMEA",Budget_vs_Actual!$X:$X,"Applications",Budget_vs_Actual!$Y:$Y,"GDS")</f>
        <v/>
      </c>
    </row>
    <row r="28">
      <c r="A28" s="7" t="inlineStr">
        <is>
          <t>EMEA</t>
        </is>
      </c>
      <c r="B28" s="7" t="inlineStr">
        <is>
          <t>Infrastructure</t>
        </is>
      </c>
      <c r="C28" s="18">
        <f>SUMIFS(Budget_vs_Actual!$V:$V,Budget_vs_Actual!$G:$G,"Budget",Budget_vs_Actual!$A:$A,"EMEA",Budget_vs_Actual!$X:$X,"Infrastructure",Budget_vs_Actual!$Y:$Y,"GDS")</f>
        <v/>
      </c>
      <c r="D28" s="18">
        <f>SUMIFS(Budget_vs_Actual!$T:$T,Budget_vs_Actual!$G:$G,"Budget",Budget_vs_Actual!$A:$A,"EMEA",Budget_vs_Actual!$X:$X,"Infrastructure",Budget_vs_Actual!$Y:$Y,"GDS")</f>
        <v/>
      </c>
      <c r="E28" s="18">
        <f>SUMIFS(Budget_vs_Actual!$T:$T,Budget_vs_Actual!$G:$G,"Actual",Budget_vs_Actual!$A:$A,"EMEA",Budget_vs_Actual!$X:$X,"Infrastructure",Budget_vs_Actual!$Y:$Y,"GDS")</f>
        <v/>
      </c>
      <c r="F28" s="18">
        <f>E28-D28</f>
        <v/>
      </c>
      <c r="G28" s="18">
        <f>SUMIFS(Budget_vs_Actual!$V:$V,Budget_vs_Actual!$G:$G,"Actual + Forecast",Budget_vs_Actual!$A:$A,"EMEA",Budget_vs_Actual!$X:$X,"Infrastructure",Budget_vs_Actual!$Y:$Y,"GDS")</f>
        <v/>
      </c>
      <c r="H28" s="18">
        <f>G28-C28</f>
        <v/>
      </c>
      <c r="I28" s="18">
        <f>SUMIFS(Budget_vs_Actual!$V:$V,Budget_vs_Actual!$G:$G,"Variance vs Prior Month",Budget_vs_Actual!$A:$A,"EMEA",Budget_vs_Actual!$X:$X,"Infrastructure",Budget_vs_Actual!$Y:$Y,"GDS")</f>
        <v/>
      </c>
    </row>
    <row r="29">
      <c r="A29" s="7" t="inlineStr">
        <is>
          <t>EMEA</t>
        </is>
      </c>
      <c r="B29" s="7" t="inlineStr">
        <is>
          <t>Data</t>
        </is>
      </c>
      <c r="C29" s="18">
        <f>SUMIFS(Budget_vs_Actual!$V:$V,Budget_vs_Actual!$G:$G,"Budget",Budget_vs_Actual!$A:$A,"EMEA",Budget_vs_Actual!$X:$X,"Data",Budget_vs_Actual!$Y:$Y,"GDS")</f>
        <v/>
      </c>
      <c r="D29" s="18">
        <f>SUMIFS(Budget_vs_Actual!$T:$T,Budget_vs_Actual!$G:$G,"Budget",Budget_vs_Actual!$A:$A,"EMEA",Budget_vs_Actual!$X:$X,"Data",Budget_vs_Actual!$Y:$Y,"GDS")</f>
        <v/>
      </c>
      <c r="E29" s="18">
        <f>SUMIFS(Budget_vs_Actual!$T:$T,Budget_vs_Actual!$G:$G,"Actual",Budget_vs_Actual!$A:$A,"EMEA",Budget_vs_Actual!$X:$X,"Data",Budget_vs_Actual!$Y:$Y,"GDS")</f>
        <v/>
      </c>
      <c r="F29" s="18">
        <f>E29-D29</f>
        <v/>
      </c>
      <c r="G29" s="18">
        <f>SUMIFS(Budget_vs_Actual!$V:$V,Budget_vs_Actual!$G:$G,"Actual + Forecast",Budget_vs_Actual!$A:$A,"EMEA",Budget_vs_Actual!$X:$X,"Data",Budget_vs_Actual!$Y:$Y,"GDS")</f>
        <v/>
      </c>
      <c r="H29" s="18">
        <f>G29-C29</f>
        <v/>
      </c>
      <c r="I29" s="18">
        <f>SUMIFS(Budget_vs_Actual!$V:$V,Budget_vs_Actual!$G:$G,"Variance vs Prior Month",Budget_vs_Actual!$A:$A,"EMEA",Budget_vs_Actual!$X:$X,"Data",Budget_vs_Actual!$Y:$Y,"GDS")</f>
        <v/>
      </c>
    </row>
    <row r="30">
      <c r="A30" s="7" t="inlineStr">
        <is>
          <t>EMEA</t>
        </is>
      </c>
      <c r="B30" s="7" t="inlineStr">
        <is>
          <t>Security</t>
        </is>
      </c>
      <c r="C30" s="18">
        <f>SUMIFS(Budget_vs_Actual!$V:$V,Budget_vs_Actual!$G:$G,"Budget",Budget_vs_Actual!$A:$A,"EMEA",Budget_vs_Actual!$X:$X,"Security",Budget_vs_Actual!$Y:$Y,"GDS")</f>
        <v/>
      </c>
      <c r="D30" s="18">
        <f>SUMIFS(Budget_vs_Actual!$T:$T,Budget_vs_Actual!$G:$G,"Budget",Budget_vs_Actual!$A:$A,"EMEA",Budget_vs_Actual!$X:$X,"Security",Budget_vs_Actual!$Y:$Y,"GDS")</f>
        <v/>
      </c>
      <c r="E30" s="18">
        <f>SUMIFS(Budget_vs_Actual!$T:$T,Budget_vs_Actual!$G:$G,"Actual",Budget_vs_Actual!$A:$A,"EMEA",Budget_vs_Actual!$X:$X,"Security",Budget_vs_Actual!$Y:$Y,"GDS")</f>
        <v/>
      </c>
      <c r="F30" s="18">
        <f>E30-D30</f>
        <v/>
      </c>
      <c r="G30" s="18">
        <f>SUMIFS(Budget_vs_Actual!$V:$V,Budget_vs_Actual!$G:$G,"Actual + Forecast",Budget_vs_Actual!$A:$A,"EMEA",Budget_vs_Actual!$X:$X,"Security",Budget_vs_Actual!$Y:$Y,"GDS")</f>
        <v/>
      </c>
      <c r="H30" s="18">
        <f>G30-C30</f>
        <v/>
      </c>
      <c r="I30" s="18">
        <f>SUMIFS(Budget_vs_Actual!$V:$V,Budget_vs_Actual!$G:$G,"Variance vs Prior Month",Budget_vs_Actual!$A:$A,"EMEA",Budget_vs_Actual!$X:$X,"Security",Budget_vs_Actual!$Y:$Y,"GDS")</f>
        <v/>
      </c>
    </row>
    <row r="31">
      <c r="A31" s="7" t="inlineStr">
        <is>
          <t>EMEA</t>
        </is>
      </c>
      <c r="B31" s="7" t="inlineStr">
        <is>
          <t>Governance</t>
        </is>
      </c>
      <c r="C31" s="18">
        <f>SUMIFS(Budget_vs_Actual!$V:$V,Budget_vs_Actual!$G:$G,"Budget",Budget_vs_Actual!$A:$A,"EMEA",Budget_vs_Actual!$X:$X,"Governance",Budget_vs_Actual!$Y:$Y,"GDS")</f>
        <v/>
      </c>
      <c r="D31" s="18">
        <f>SUMIFS(Budget_vs_Actual!$T:$T,Budget_vs_Actual!$G:$G,"Budget",Budget_vs_Actual!$A:$A,"EMEA",Budget_vs_Actual!$X:$X,"Governance",Budget_vs_Actual!$Y:$Y,"GDS")</f>
        <v/>
      </c>
      <c r="E31" s="18">
        <f>SUMIFS(Budget_vs_Actual!$T:$T,Budget_vs_Actual!$G:$G,"Actual",Budget_vs_Actual!$A:$A,"EMEA",Budget_vs_Actual!$X:$X,"Governance",Budget_vs_Actual!$Y:$Y,"GDS")</f>
        <v/>
      </c>
      <c r="F31" s="18">
        <f>E31-D31</f>
        <v/>
      </c>
      <c r="G31" s="18">
        <f>SUMIFS(Budget_vs_Actual!$V:$V,Budget_vs_Actual!$G:$G,"Actual + Forecast",Budget_vs_Actual!$A:$A,"EMEA",Budget_vs_Actual!$X:$X,"Governance",Budget_vs_Actual!$Y:$Y,"GDS")</f>
        <v/>
      </c>
      <c r="H31" s="18">
        <f>G31-C31</f>
        <v/>
      </c>
      <c r="I31" s="18">
        <f>SUMIFS(Budget_vs_Actual!$V:$V,Budget_vs_Actual!$G:$G,"Variance vs Prior Month",Budget_vs_Actual!$A:$A,"EMEA",Budget_vs_Actual!$X:$X,"Governance",Budget_vs_Actual!$Y:$Y,"GDS")</f>
        <v/>
      </c>
    </row>
    <row r="32">
      <c r="A32" s="7" t="inlineStr">
        <is>
          <t>EMEA</t>
        </is>
      </c>
      <c r="B32" s="7" t="inlineStr">
        <is>
          <t>Transferred (other functions)</t>
        </is>
      </c>
      <c r="C32" s="18">
        <f>SUMIFS(Budget_vs_Actual!$V:$V,Budget_vs_Actual!$G:$G,"Budget",Budget_vs_Actual!$A:$A,"EMEA",Budget_vs_Actual!$Y:$Y,"&lt;&gt;GDS")</f>
        <v/>
      </c>
      <c r="D32" s="18">
        <f>SUMIFS(Budget_vs_Actual!$T:$T,Budget_vs_Actual!$G:$G,"Budget",Budget_vs_Actual!$A:$A,"EMEA",Budget_vs_Actual!$Y:$Y,"&lt;&gt;GDS")</f>
        <v/>
      </c>
      <c r="E32" s="18">
        <f>SUMIFS(Budget_vs_Actual!$T:$T,Budget_vs_Actual!$G:$G,"Actual",Budget_vs_Actual!$A:$A,"EMEA",Budget_vs_Actual!$Y:$Y,"&lt;&gt;GDS")</f>
        <v/>
      </c>
      <c r="F32" s="18">
        <f>E32-D32</f>
        <v/>
      </c>
      <c r="G32" s="18">
        <f>SUMIFS(Budget_vs_Actual!$V:$V,Budget_vs_Actual!$G:$G,"Actual + Forecast",Budget_vs_Actual!$A:$A,"EMEA",Budget_vs_Actual!$Y:$Y,"&lt;&gt;GDS")</f>
        <v/>
      </c>
      <c r="H32" s="18">
        <f>G32-C32</f>
        <v/>
      </c>
      <c r="I32" s="18">
        <f>SUMIFS(Budget_vs_Actual!$V:$V,Budget_vs_Actual!$G:$G,"Variance vs Prior Month",Budget_vs_Actual!$A:$A,"EMEA",Budget_vs_Actual!$Y:$Y,"&lt;&gt;GDS")</f>
        <v/>
      </c>
    </row>
    <row r="33">
      <c r="A33" s="6" t="inlineStr">
        <is>
          <t>EMEA</t>
        </is>
      </c>
      <c r="B33" s="6" t="inlineStr">
        <is>
          <t>Subtotal</t>
        </is>
      </c>
      <c r="C33" s="19">
        <f>SUM(C27:C32)</f>
        <v/>
      </c>
      <c r="D33" s="19">
        <f>SUM(D27:D32)</f>
        <v/>
      </c>
      <c r="E33" s="19">
        <f>SUM(E27:E32)</f>
        <v/>
      </c>
      <c r="F33" s="19">
        <f>SUM(F27:F32)</f>
        <v/>
      </c>
      <c r="G33" s="19">
        <f>SUM(G27:G32)</f>
        <v/>
      </c>
      <c r="H33" s="19">
        <f>SUM(H27:H32)</f>
        <v/>
      </c>
      <c r="I33" s="19">
        <f>SUM(I27:I32)</f>
        <v/>
      </c>
    </row>
    <row r="34">
      <c r="A34" s="6" t="inlineStr">
        <is>
          <t>Total</t>
        </is>
      </c>
      <c r="B34" s="7" t="inlineStr"/>
      <c r="C34" s="20">
        <f>SUMIFS(C13:C33,$B13:$B33,"Subtotal")</f>
        <v/>
      </c>
      <c r="D34" s="20">
        <f>SUMIFS(D13:D33,$B13:$B33,"Subtotal")</f>
        <v/>
      </c>
      <c r="E34" s="20">
        <f>SUMIFS(E13:E33,$B13:$B33,"Subtotal")</f>
        <v/>
      </c>
      <c r="F34" s="20">
        <f>SUMIFS(F13:F33,$B13:$B33,"Subtotal")</f>
        <v/>
      </c>
      <c r="G34" s="20">
        <f>SUMIFS(G13:G33,$B13:$B33,"Subtotal")</f>
        <v/>
      </c>
      <c r="H34" s="20">
        <f>SUMIFS(H13:H33,$B13:$B33,"Subtotal")</f>
        <v/>
      </c>
      <c r="I34" s="20">
        <f>SUMIFS(I13:I33,$B13:$B33,"Subtotal")</f>
        <v/>
      </c>
    </row>
    <row r="37">
      <c r="A37" s="2" t="inlineStr">
        <is>
          <t>Monthly budget vs actual / 月次の予算と実績</t>
        </is>
      </c>
    </row>
    <row r="38">
      <c r="A38" s="4" t="inlineStr">
        <is>
          <t>Month</t>
        </is>
      </c>
      <c r="B38" s="4" t="inlineStr">
        <is>
          <t>Budget</t>
        </is>
      </c>
      <c r="C38" s="4" t="inlineStr">
        <is>
          <t>Actual</t>
        </is>
      </c>
      <c r="D38" s="4" t="inlineStr">
        <is>
          <t>Forecast</t>
        </is>
      </c>
      <c r="E38" s="4" t="inlineStr">
        <is>
          <t>Variance %</t>
        </is>
      </c>
    </row>
    <row r="39">
      <c r="A39" s="7" t="inlineStr">
        <is>
          <t>Jan</t>
        </is>
      </c>
      <c r="B39" s="18">
        <f>SUMIFS(Budget_vs_Actual!$H:$H,Budget_vs_Actual!$G:$G,"Budget")</f>
        <v/>
      </c>
      <c r="C39" s="18">
        <f>IF(1&lt;=Budget_vs_Actual!$C$4,SUMIFS(Budget_vs_Actual!$H:$H,Budget_vs_Actual!$G:$G,"Actual"),0)</f>
        <v/>
      </c>
      <c r="D39" s="18">
        <f>IF(1&gt;Budget_vs_Actual!$C$4,SUMIFS(Budget_vs_Actual!$H:$H,Budget_vs_Actual!$G:$G,"Actual + Forecast"),0)</f>
        <v/>
      </c>
      <c r="E39" s="21">
        <f>IFERROR((C39+D39-B39)/B39,0)</f>
        <v/>
      </c>
    </row>
    <row r="40">
      <c r="A40" s="7" t="inlineStr">
        <is>
          <t>Feb</t>
        </is>
      </c>
      <c r="B40" s="18">
        <f>SUMIFS(Budget_vs_Actual!$I:$I,Budget_vs_Actual!$G:$G,"Budget")</f>
        <v/>
      </c>
      <c r="C40" s="18">
        <f>IF(2&lt;=Budget_vs_Actual!$C$4,SUMIFS(Budget_vs_Actual!$I:$I,Budget_vs_Actual!$G:$G,"Actual"),0)</f>
        <v/>
      </c>
      <c r="D40" s="18">
        <f>IF(2&gt;Budget_vs_Actual!$C$4,SUMIFS(Budget_vs_Actual!$I:$I,Budget_vs_Actual!$G:$G,"Actual + Forecast"),0)</f>
        <v/>
      </c>
      <c r="E40" s="21">
        <f>IFERROR((C40+D40-B40)/B40,0)</f>
        <v/>
      </c>
    </row>
    <row r="41">
      <c r="A41" s="7" t="inlineStr">
        <is>
          <t>Mar</t>
        </is>
      </c>
      <c r="B41" s="18">
        <f>SUMIFS(Budget_vs_Actual!$J:$J,Budget_vs_Actual!$G:$G,"Budget")</f>
        <v/>
      </c>
      <c r="C41" s="18">
        <f>IF(3&lt;=Budget_vs_Actual!$C$4,SUMIFS(Budget_vs_Actual!$J:$J,Budget_vs_Actual!$G:$G,"Actual"),0)</f>
        <v/>
      </c>
      <c r="D41" s="18">
        <f>IF(3&gt;Budget_vs_Actual!$C$4,SUMIFS(Budget_vs_Actual!$J:$J,Budget_vs_Actual!$G:$G,"Actual + Forecast"),0)</f>
        <v/>
      </c>
      <c r="E41" s="21">
        <f>IFERROR((C41+D41-B41)/B41,0)</f>
        <v/>
      </c>
    </row>
    <row r="42">
      <c r="A42" s="7" t="inlineStr">
        <is>
          <t>Apr</t>
        </is>
      </c>
      <c r="B42" s="18">
        <f>SUMIFS(Budget_vs_Actual!$K:$K,Budget_vs_Actual!$G:$G,"Budget")</f>
        <v/>
      </c>
      <c r="C42" s="18">
        <f>IF(4&lt;=Budget_vs_Actual!$C$4,SUMIFS(Budget_vs_Actual!$K:$K,Budget_vs_Actual!$G:$G,"Actual"),0)</f>
        <v/>
      </c>
      <c r="D42" s="18">
        <f>IF(4&gt;Budget_vs_Actual!$C$4,SUMIFS(Budget_vs_Actual!$K:$K,Budget_vs_Actual!$G:$G,"Actual + Forecast"),0)</f>
        <v/>
      </c>
      <c r="E42" s="21">
        <f>IFERROR((C42+D42-B42)/B42,0)</f>
        <v/>
      </c>
    </row>
    <row r="43">
      <c r="A43" s="7" t="inlineStr">
        <is>
          <t>May</t>
        </is>
      </c>
      <c r="B43" s="18">
        <f>SUMIFS(Budget_vs_Actual!$L:$L,Budget_vs_Actual!$G:$G,"Budget")</f>
        <v/>
      </c>
      <c r="C43" s="18">
        <f>IF(5&lt;=Budget_vs_Actual!$C$4,SUMIFS(Budget_vs_Actual!$L:$L,Budget_vs_Actual!$G:$G,"Actual"),0)</f>
        <v/>
      </c>
      <c r="D43" s="18">
        <f>IF(5&gt;Budget_vs_Actual!$C$4,SUMIFS(Budget_vs_Actual!$L:$L,Budget_vs_Actual!$G:$G,"Actual + Forecast"),0)</f>
        <v/>
      </c>
      <c r="E43" s="21">
        <f>IFERROR((C43+D43-B43)/B43,0)</f>
        <v/>
      </c>
    </row>
    <row r="44">
      <c r="A44" s="7" t="inlineStr">
        <is>
          <t>Jun</t>
        </is>
      </c>
      <c r="B44" s="18">
        <f>SUMIFS(Budget_vs_Actual!$M:$M,Budget_vs_Actual!$G:$G,"Budget")</f>
        <v/>
      </c>
      <c r="C44" s="18">
        <f>IF(6&lt;=Budget_vs_Actual!$C$4,SUMIFS(Budget_vs_Actual!$M:$M,Budget_vs_Actual!$G:$G,"Actual"),0)</f>
        <v/>
      </c>
      <c r="D44" s="18">
        <f>IF(6&gt;Budget_vs_Actual!$C$4,SUMIFS(Budget_vs_Actual!$M:$M,Budget_vs_Actual!$G:$G,"Actual + Forecast"),0)</f>
        <v/>
      </c>
      <c r="E44" s="21">
        <f>IFERROR((C44+D44-B44)/B44,0)</f>
        <v/>
      </c>
    </row>
    <row r="45">
      <c r="A45" s="7" t="inlineStr">
        <is>
          <t>Jul</t>
        </is>
      </c>
      <c r="B45" s="18">
        <f>SUMIFS(Budget_vs_Actual!$N:$N,Budget_vs_Actual!$G:$G,"Budget")</f>
        <v/>
      </c>
      <c r="C45" s="18">
        <f>IF(7&lt;=Budget_vs_Actual!$C$4,SUMIFS(Budget_vs_Actual!$N:$N,Budget_vs_Actual!$G:$G,"Actual"),0)</f>
        <v/>
      </c>
      <c r="D45" s="18">
        <f>IF(7&gt;Budget_vs_Actual!$C$4,SUMIFS(Budget_vs_Actual!$N:$N,Budget_vs_Actual!$G:$G,"Actual + Forecast"),0)</f>
        <v/>
      </c>
      <c r="E45" s="21">
        <f>IFERROR((C45+D45-B45)/B45,0)</f>
        <v/>
      </c>
    </row>
    <row r="46">
      <c r="A46" s="7" t="inlineStr">
        <is>
          <t>Aug</t>
        </is>
      </c>
      <c r="B46" s="18">
        <f>SUMIFS(Budget_vs_Actual!$O:$O,Budget_vs_Actual!$G:$G,"Budget")</f>
        <v/>
      </c>
      <c r="C46" s="18">
        <f>IF(8&lt;=Budget_vs_Actual!$C$4,SUMIFS(Budget_vs_Actual!$O:$O,Budget_vs_Actual!$G:$G,"Actual"),0)</f>
        <v/>
      </c>
      <c r="D46" s="18">
        <f>IF(8&gt;Budget_vs_Actual!$C$4,SUMIFS(Budget_vs_Actual!$O:$O,Budget_vs_Actual!$G:$G,"Actual + Forecast"),0)</f>
        <v/>
      </c>
      <c r="E46" s="21">
        <f>IFERROR((C46+D46-B46)/B46,0)</f>
        <v/>
      </c>
    </row>
    <row r="47">
      <c r="A47" s="7" t="inlineStr">
        <is>
          <t>Sep</t>
        </is>
      </c>
      <c r="B47" s="18">
        <f>SUMIFS(Budget_vs_Actual!$P:$P,Budget_vs_Actual!$G:$G,"Budget")</f>
        <v/>
      </c>
      <c r="C47" s="18">
        <f>IF(9&lt;=Budget_vs_Actual!$C$4,SUMIFS(Budget_vs_Actual!$P:$P,Budget_vs_Actual!$G:$G,"Actual"),0)</f>
        <v/>
      </c>
      <c r="D47" s="18">
        <f>IF(9&gt;Budget_vs_Actual!$C$4,SUMIFS(Budget_vs_Actual!$P:$P,Budget_vs_Actual!$G:$G,"Actual + Forecast"),0)</f>
        <v/>
      </c>
      <c r="E47" s="21">
        <f>IFERROR((C47+D47-B47)/B47,0)</f>
        <v/>
      </c>
    </row>
    <row r="48">
      <c r="A48" s="7" t="inlineStr">
        <is>
          <t>Oct</t>
        </is>
      </c>
      <c r="B48" s="18">
        <f>SUMIFS(Budget_vs_Actual!$Q:$Q,Budget_vs_Actual!$G:$G,"Budget")</f>
        <v/>
      </c>
      <c r="C48" s="18">
        <f>IF(10&lt;=Budget_vs_Actual!$C$4,SUMIFS(Budget_vs_Actual!$Q:$Q,Budget_vs_Actual!$G:$G,"Actual"),0)</f>
        <v/>
      </c>
      <c r="D48" s="18">
        <f>IF(10&gt;Budget_vs_Actual!$C$4,SUMIFS(Budget_vs_Actual!$Q:$Q,Budget_vs_Actual!$G:$G,"Actual + Forecast"),0)</f>
        <v/>
      </c>
      <c r="E48" s="21">
        <f>IFERROR((C48+D48-B48)/B48,0)</f>
        <v/>
      </c>
    </row>
    <row r="49">
      <c r="A49" s="7" t="inlineStr">
        <is>
          <t>Nov</t>
        </is>
      </c>
      <c r="B49" s="18">
        <f>SUMIFS(Budget_vs_Actual!$R:$R,Budget_vs_Actual!$G:$G,"Budget")</f>
        <v/>
      </c>
      <c r="C49" s="18">
        <f>IF(11&lt;=Budget_vs_Actual!$C$4,SUMIFS(Budget_vs_Actual!$R:$R,Budget_vs_Actual!$G:$G,"Actual"),0)</f>
        <v/>
      </c>
      <c r="D49" s="18">
        <f>IF(11&gt;Budget_vs_Actual!$C$4,SUMIFS(Budget_vs_Actual!$R:$R,Budget_vs_Actual!$G:$G,"Actual + Forecast"),0)</f>
        <v/>
      </c>
      <c r="E49" s="21">
        <f>IFERROR((C49+D49-B49)/B49,0)</f>
        <v/>
      </c>
    </row>
    <row r="50">
      <c r="A50" s="7" t="inlineStr">
        <is>
          <t>Dec</t>
        </is>
      </c>
      <c r="B50" s="18">
        <f>SUMIFS(Budget_vs_Actual!$S:$S,Budget_vs_Actual!$G:$G,"Budget")</f>
        <v/>
      </c>
      <c r="C50" s="18">
        <f>IF(12&lt;=Budget_vs_Actual!$C$4,SUMIFS(Budget_vs_Actual!$S:$S,Budget_vs_Actual!$G:$G,"Actual"),0)</f>
        <v/>
      </c>
      <c r="D50" s="18">
        <f>IF(12&gt;Budget_vs_Actual!$C$4,SUMIFS(Budget_vs_Actual!$S:$S,Budget_vs_Actual!$G:$G,"Actual + Forecast"),0)</f>
        <v/>
      </c>
      <c r="E50" s="21">
        <f>IFERROR((C50+D50-B50)/B50,0)</f>
        <v/>
      </c>
    </row>
    <row r="51">
      <c r="A51" s="22" t="inlineStr">
        <is>
          <t>Bars: actual (dark) up to the close month, forecast (light) after. Dashed line: budget. Red line: (actual + forecast - budget) / budget on the right axis (±15%, 0 in the middle).</t>
        </is>
      </c>
    </row>
    <row r="61">
      <c r="A61" s="2" t="inlineStr">
        <is>
          <t>Largest variances vs budget (FY) / 対予算の差異が大きい項目（通期）</t>
        </is>
      </c>
    </row>
    <row r="62">
      <c r="A62" s="4" t="inlineStr">
        <is>
          <t>#</t>
        </is>
      </c>
      <c r="B62" s="4" t="inlineStr">
        <is>
          <t>Cost center</t>
        </is>
      </c>
      <c r="C62" s="4" t="inlineStr">
        <is>
          <t>Account</t>
        </is>
      </c>
      <c r="D62" s="4" t="inlineStr">
        <is>
          <t>Owner</t>
        </is>
      </c>
      <c r="E62" s="4" t="inlineStr">
        <is>
          <t>YTD Variance</t>
        </is>
      </c>
      <c r="F62" s="4" t="inlineStr">
        <is>
          <t>MTG Variance</t>
        </is>
      </c>
      <c r="G62" s="4" t="inlineStr">
        <is>
          <t>FY Variance</t>
        </is>
      </c>
      <c r="H62" s="4" t="inlineStr">
        <is>
          <t>Rationale (YTD)</t>
        </is>
      </c>
      <c r="I62" s="4" t="inlineStr">
        <is>
          <t>Rationale (MTG)</t>
        </is>
      </c>
    </row>
    <row r="63" ht="48" customHeight="1">
      <c r="A63" s="7" t="n">
        <v>1</v>
      </c>
      <c r="B63" s="7">
        <f>IF($L63="","",INDEX(Budget_vs_Actual!$C:$C,$L63+0)&amp;"")</f>
        <v/>
      </c>
      <c r="C63" s="7">
        <f>IF($L63="","",INDEX(Budget_vs_Actual!$E:$E,$L63+0)&amp;"")</f>
        <v/>
      </c>
      <c r="D63" s="7">
        <f>IF($L63="","",INDEX(Budget_vs_Actual!$F:$F,$L63+0)&amp;"")</f>
        <v/>
      </c>
      <c r="E63" s="18">
        <f>IF($L63="","",INDEX(Budget_vs_Actual!$T:$T,$L63+0))</f>
        <v/>
      </c>
      <c r="F63" s="18">
        <f>IF($L63="","",INDEX(Budget_vs_Actual!$U:$U,$L63+0))</f>
        <v/>
      </c>
      <c r="G63" s="18">
        <f>IF($L63="","",INDEX(Budget_vs_Actual!$V:$V,$L63+0))</f>
        <v/>
      </c>
      <c r="H63" s="3">
        <f>IF($L63="","",INDEX(Budget_vs_Actual!$T:$T,$L63+5)&amp;"")</f>
        <v/>
      </c>
      <c r="I63" s="3">
        <f>IF($L63="","",INDEX(Budget_vs_Actual!$U:$U,$L63+5)&amp;"")</f>
        <v/>
      </c>
      <c r="K63" s="23">
        <f>IFERROR(LARGE(Budget_vs_Actual!$Z:$Z,1),0)</f>
        <v/>
      </c>
      <c r="L63" s="23">
        <f>IF($K63&lt;1,"",MATCH($K63,Budget_vs_Actual!$Z:$Z,0))</f>
        <v/>
      </c>
    </row>
    <row r="64" ht="48" customHeight="1">
      <c r="A64" s="7" t="n">
        <v>2</v>
      </c>
      <c r="B64" s="7">
        <f>IF($L64="","",INDEX(Budget_vs_Actual!$C:$C,$L64+0)&amp;"")</f>
        <v/>
      </c>
      <c r="C64" s="7">
        <f>IF($L64="","",INDEX(Budget_vs_Actual!$E:$E,$L64+0)&amp;"")</f>
        <v/>
      </c>
      <c r="D64" s="7">
        <f>IF($L64="","",INDEX(Budget_vs_Actual!$F:$F,$L64+0)&amp;"")</f>
        <v/>
      </c>
      <c r="E64" s="18">
        <f>IF($L64="","",INDEX(Budget_vs_Actual!$T:$T,$L64+0))</f>
        <v/>
      </c>
      <c r="F64" s="18">
        <f>IF($L64="","",INDEX(Budget_vs_Actual!$U:$U,$L64+0))</f>
        <v/>
      </c>
      <c r="G64" s="18">
        <f>IF($L64="","",INDEX(Budget_vs_Actual!$V:$V,$L64+0))</f>
        <v/>
      </c>
      <c r="H64" s="3">
        <f>IF($L64="","",INDEX(Budget_vs_Actual!$T:$T,$L64+5)&amp;"")</f>
        <v/>
      </c>
      <c r="I64" s="3">
        <f>IF($L64="","",INDEX(Budget_vs_Actual!$U:$U,$L64+5)&amp;"")</f>
        <v/>
      </c>
      <c r="K64" s="23">
        <f>IFERROR(LARGE(Budget_vs_Actual!$Z:$Z,2),0)</f>
        <v/>
      </c>
      <c r="L64" s="23">
        <f>IF($K64&lt;1,"",MATCH($K64,Budget_vs_Actual!$Z:$Z,0))</f>
        <v/>
      </c>
    </row>
    <row r="65" ht="48" customHeight="1">
      <c r="A65" s="7" t="n">
        <v>3</v>
      </c>
      <c r="B65" s="7">
        <f>IF($L65="","",INDEX(Budget_vs_Actual!$C:$C,$L65+0)&amp;"")</f>
        <v/>
      </c>
      <c r="C65" s="7">
        <f>IF($L65="","",INDEX(Budget_vs_Actual!$E:$E,$L65+0)&amp;"")</f>
        <v/>
      </c>
      <c r="D65" s="7">
        <f>IF($L65="","",INDEX(Budget_vs_Actual!$F:$F,$L65+0)&amp;"")</f>
        <v/>
      </c>
      <c r="E65" s="18">
        <f>IF($L65="","",INDEX(Budget_vs_Actual!$T:$T,$L65+0))</f>
        <v/>
      </c>
      <c r="F65" s="18">
        <f>IF($L65="","",INDEX(Budget_vs_Actual!$U:$U,$L65+0))</f>
        <v/>
      </c>
      <c r="G65" s="18">
        <f>IF($L65="","",INDEX(Budget_vs_Actual!$V:$V,$L65+0))</f>
        <v/>
      </c>
      <c r="H65" s="3">
        <f>IF($L65="","",INDEX(Budget_vs_Actual!$T:$T,$L65+5)&amp;"")</f>
        <v/>
      </c>
      <c r="I65" s="3">
        <f>IF($L65="","",INDEX(Budget_vs_Actual!$U:$U,$L65+5)&amp;"")</f>
        <v/>
      </c>
      <c r="K65" s="23">
        <f>IFERROR(LARGE(Budget_vs_Actual!$Z:$Z,3),0)</f>
        <v/>
      </c>
      <c r="L65" s="23">
        <f>IF($K65&lt;1,"",MATCH($K65,Budget_vs_Actual!$Z:$Z,0))</f>
        <v/>
      </c>
    </row>
    <row r="66" ht="48" customHeight="1">
      <c r="A66" s="7" t="n">
        <v>4</v>
      </c>
      <c r="B66" s="7">
        <f>IF($L66="","",INDEX(Budget_vs_Actual!$C:$C,$L66+0)&amp;"")</f>
        <v/>
      </c>
      <c r="C66" s="7">
        <f>IF($L66="","",INDEX(Budget_vs_Actual!$E:$E,$L66+0)&amp;"")</f>
        <v/>
      </c>
      <c r="D66" s="7">
        <f>IF($L66="","",INDEX(Budget_vs_Actual!$F:$F,$L66+0)&amp;"")</f>
        <v/>
      </c>
      <c r="E66" s="18">
        <f>IF($L66="","",INDEX(Budget_vs_Actual!$T:$T,$L66+0))</f>
        <v/>
      </c>
      <c r="F66" s="18">
        <f>IF($L66="","",INDEX(Budget_vs_Actual!$U:$U,$L66+0))</f>
        <v/>
      </c>
      <c r="G66" s="18">
        <f>IF($L66="","",INDEX(Budget_vs_Actual!$V:$V,$L66+0))</f>
        <v/>
      </c>
      <c r="H66" s="3">
        <f>IF($L66="","",INDEX(Budget_vs_Actual!$T:$T,$L66+5)&amp;"")</f>
        <v/>
      </c>
      <c r="I66" s="3">
        <f>IF($L66="","",INDEX(Budget_vs_Actual!$U:$U,$L66+5)&amp;"")</f>
        <v/>
      </c>
      <c r="K66" s="23">
        <f>IFERROR(LARGE(Budget_vs_Actual!$Z:$Z,4),0)</f>
        <v/>
      </c>
      <c r="L66" s="23">
        <f>IF($K66&lt;1,"",MATCH($K66,Budget_vs_Actual!$Z:$Z,0))</f>
        <v/>
      </c>
    </row>
    <row r="67" ht="48" customHeight="1">
      <c r="A67" s="7" t="n">
        <v>5</v>
      </c>
      <c r="B67" s="7">
        <f>IF($L67="","",INDEX(Budget_vs_Actual!$C:$C,$L67+0)&amp;"")</f>
        <v/>
      </c>
      <c r="C67" s="7">
        <f>IF($L67="","",INDEX(Budget_vs_Actual!$E:$E,$L67+0)&amp;"")</f>
        <v/>
      </c>
      <c r="D67" s="7">
        <f>IF($L67="","",INDEX(Budget_vs_Actual!$F:$F,$L67+0)&amp;"")</f>
        <v/>
      </c>
      <c r="E67" s="18">
        <f>IF($L67="","",INDEX(Budget_vs_Actual!$T:$T,$L67+0))</f>
        <v/>
      </c>
      <c r="F67" s="18">
        <f>IF($L67="","",INDEX(Budget_vs_Actual!$U:$U,$L67+0))</f>
        <v/>
      </c>
      <c r="G67" s="18">
        <f>IF($L67="","",INDEX(Budget_vs_Actual!$V:$V,$L67+0))</f>
        <v/>
      </c>
      <c r="H67" s="3">
        <f>IF($L67="","",INDEX(Budget_vs_Actual!$T:$T,$L67+5)&amp;"")</f>
        <v/>
      </c>
      <c r="I67" s="3">
        <f>IF($L67="","",INDEX(Budget_vs_Actual!$U:$U,$L67+5)&amp;"")</f>
        <v/>
      </c>
      <c r="K67" s="23">
        <f>IFERROR(LARGE(Budget_vs_Actual!$Z:$Z,5),0)</f>
        <v/>
      </c>
      <c r="L67" s="23">
        <f>IF($K67&lt;1,"",MATCH($K67,Budget_vs_Actual!$Z:$Z,0))</f>
        <v/>
      </c>
    </row>
    <row r="68" ht="48" customHeight="1">
      <c r="A68" s="7" t="n">
        <v>6</v>
      </c>
      <c r="B68" s="7">
        <f>IF($L68="","",INDEX(Budget_vs_Actual!$C:$C,$L68+0)&amp;"")</f>
        <v/>
      </c>
      <c r="C68" s="7">
        <f>IF($L68="","",INDEX(Budget_vs_Actual!$E:$E,$L68+0)&amp;"")</f>
        <v/>
      </c>
      <c r="D68" s="7">
        <f>IF($L68="","",INDEX(Budget_vs_Actual!$F:$F,$L68+0)&amp;"")</f>
        <v/>
      </c>
      <c r="E68" s="18">
        <f>IF($L68="","",INDEX(Budget_vs_Actual!$T:$T,$L68+0))</f>
        <v/>
      </c>
      <c r="F68" s="18">
        <f>IF($L68="","",INDEX(Budget_vs_Actual!$U:$U,$L68+0))</f>
        <v/>
      </c>
      <c r="G68" s="18">
        <f>IF($L68="","",INDEX(Budget_vs_Actual!$V:$V,$L68+0))</f>
        <v/>
      </c>
      <c r="H68" s="3">
        <f>IF($L68="","",INDEX(Budget_vs_Actual!$T:$T,$L68+5)&amp;"")</f>
        <v/>
      </c>
      <c r="I68" s="3">
        <f>IF($L68="","",INDEX(Budget_vs_Actual!$U:$U,$L68+5)&amp;"")</f>
        <v/>
      </c>
      <c r="K68" s="23">
        <f>IFERROR(LARGE(Budget_vs_Actual!$Z:$Z,6),0)</f>
        <v/>
      </c>
      <c r="L68" s="23">
        <f>IF($K68&lt;1,"",MATCH($K68,Budget_vs_Actual!$Z:$Z,0))</f>
        <v/>
      </c>
    </row>
    <row r="69" ht="48" customHeight="1">
      <c r="A69" s="7" t="n">
        <v>7</v>
      </c>
      <c r="B69" s="7">
        <f>IF($L69="","",INDEX(Budget_vs_Actual!$C:$C,$L69+0)&amp;"")</f>
        <v/>
      </c>
      <c r="C69" s="7">
        <f>IF($L69="","",INDEX(Budget_vs_Actual!$E:$E,$L69+0)&amp;"")</f>
        <v/>
      </c>
      <c r="D69" s="7">
        <f>IF($L69="","",INDEX(Budget_vs_Actual!$F:$F,$L69+0)&amp;"")</f>
        <v/>
      </c>
      <c r="E69" s="18">
        <f>IF($L69="","",INDEX(Budget_vs_Actual!$T:$T,$L69+0))</f>
        <v/>
      </c>
      <c r="F69" s="18">
        <f>IF($L69="","",INDEX(Budget_vs_Actual!$U:$U,$L69+0))</f>
        <v/>
      </c>
      <c r="G69" s="18">
        <f>IF($L69="","",INDEX(Budget_vs_Actual!$V:$V,$L69+0))</f>
        <v/>
      </c>
      <c r="H69" s="3">
        <f>IF($L69="","",INDEX(Budget_vs_Actual!$T:$T,$L69+5)&amp;"")</f>
        <v/>
      </c>
      <c r="I69" s="3">
        <f>IF($L69="","",INDEX(Budget_vs_Actual!$U:$U,$L69+5)&amp;"")</f>
        <v/>
      </c>
      <c r="K69" s="23">
        <f>IFERROR(LARGE(Budget_vs_Actual!$Z:$Z,7),0)</f>
        <v/>
      </c>
      <c r="L69" s="23">
        <f>IF($K69&lt;1,"",MATCH($K69,Budget_vs_Actual!$Z:$Z,0))</f>
        <v/>
      </c>
    </row>
    <row r="70" ht="48" customHeight="1">
      <c r="A70" s="7" t="n">
        <v>8</v>
      </c>
      <c r="B70" s="7">
        <f>IF($L70="","",INDEX(Budget_vs_Actual!$C:$C,$L70+0)&amp;"")</f>
        <v/>
      </c>
      <c r="C70" s="7">
        <f>IF($L70="","",INDEX(Budget_vs_Actual!$E:$E,$L70+0)&amp;"")</f>
        <v/>
      </c>
      <c r="D70" s="7">
        <f>IF($L70="","",INDEX(Budget_vs_Actual!$F:$F,$L70+0)&amp;"")</f>
        <v/>
      </c>
      <c r="E70" s="18">
        <f>IF($L70="","",INDEX(Budget_vs_Actual!$T:$T,$L70+0))</f>
        <v/>
      </c>
      <c r="F70" s="18">
        <f>IF($L70="","",INDEX(Budget_vs_Actual!$U:$U,$L70+0))</f>
        <v/>
      </c>
      <c r="G70" s="18">
        <f>IF($L70="","",INDEX(Budget_vs_Actual!$V:$V,$L70+0))</f>
        <v/>
      </c>
      <c r="H70" s="3">
        <f>IF($L70="","",INDEX(Budget_vs_Actual!$T:$T,$L70+5)&amp;"")</f>
        <v/>
      </c>
      <c r="I70" s="3">
        <f>IF($L70="","",INDEX(Budget_vs_Actual!$U:$U,$L70+5)&amp;"")</f>
        <v/>
      </c>
      <c r="K70" s="23">
        <f>IFERROR(LARGE(Budget_vs_Actual!$Z:$Z,8),0)</f>
        <v/>
      </c>
      <c r="L70" s="23">
        <f>IF($K70&lt;1,"",MATCH($K70,Budget_vs_Actual!$Z:$Z,0))</f>
        <v/>
      </c>
    </row>
    <row r="71" ht="48" customHeight="1">
      <c r="A71" s="7" t="n">
        <v>9</v>
      </c>
      <c r="B71" s="7">
        <f>IF($L71="","",INDEX(Budget_vs_Actual!$C:$C,$L71+0)&amp;"")</f>
        <v/>
      </c>
      <c r="C71" s="7">
        <f>IF($L71="","",INDEX(Budget_vs_Actual!$E:$E,$L71+0)&amp;"")</f>
        <v/>
      </c>
      <c r="D71" s="7">
        <f>IF($L71="","",INDEX(Budget_vs_Actual!$F:$F,$L71+0)&amp;"")</f>
        <v/>
      </c>
      <c r="E71" s="18">
        <f>IF($L71="","",INDEX(Budget_vs_Actual!$T:$T,$L71+0))</f>
        <v/>
      </c>
      <c r="F71" s="18">
        <f>IF($L71="","",INDEX(Budget_vs_Actual!$U:$U,$L71+0))</f>
        <v/>
      </c>
      <c r="G71" s="18">
        <f>IF($L71="","",INDEX(Budget_vs_Actual!$V:$V,$L71+0))</f>
        <v/>
      </c>
      <c r="H71" s="3">
        <f>IF($L71="","",INDEX(Budget_vs_Actual!$T:$T,$L71+5)&amp;"")</f>
        <v/>
      </c>
      <c r="I71" s="3">
        <f>IF($L71="","",INDEX(Budget_vs_Actual!$U:$U,$L71+5)&amp;"")</f>
        <v/>
      </c>
      <c r="K71" s="23">
        <f>IFERROR(LARGE(Budget_vs_Actual!$Z:$Z,9),0)</f>
        <v/>
      </c>
      <c r="L71" s="23">
        <f>IF($K71&lt;1,"",MATCH($K71,Budget_vs_Actual!$Z:$Z,0))</f>
        <v/>
      </c>
    </row>
    <row r="72" ht="48" customHeight="1">
      <c r="A72" s="7" t="n">
        <v>10</v>
      </c>
      <c r="B72" s="7">
        <f>IF($L72="","",INDEX(Budget_vs_Actual!$C:$C,$L72+0)&amp;"")</f>
        <v/>
      </c>
      <c r="C72" s="7">
        <f>IF($L72="","",INDEX(Budget_vs_Actual!$E:$E,$L72+0)&amp;"")</f>
        <v/>
      </c>
      <c r="D72" s="7">
        <f>IF($L72="","",INDEX(Budget_vs_Actual!$F:$F,$L72+0)&amp;"")</f>
        <v/>
      </c>
      <c r="E72" s="18">
        <f>IF($L72="","",INDEX(Budget_vs_Actual!$T:$T,$L72+0))</f>
        <v/>
      </c>
      <c r="F72" s="18">
        <f>IF($L72="","",INDEX(Budget_vs_Actual!$U:$U,$L72+0))</f>
        <v/>
      </c>
      <c r="G72" s="18">
        <f>IF($L72="","",INDEX(Budget_vs_Actual!$V:$V,$L72+0))</f>
        <v/>
      </c>
      <c r="H72" s="3">
        <f>IF($L72="","",INDEX(Budget_vs_Actual!$T:$T,$L72+5)&amp;"")</f>
        <v/>
      </c>
      <c r="I72" s="3">
        <f>IF($L72="","",INDEX(Budget_vs_Actual!$U:$U,$L72+5)&amp;"")</f>
        <v/>
      </c>
      <c r="K72" s="23">
        <f>IFERROR(LARGE(Budget_vs_Actual!$Z:$Z,10),0)</f>
        <v/>
      </c>
      <c r="L72" s="23">
        <f>IF($K72&lt;1,"",MATCH($K72,Budget_vs_Actual!$Z:$Z,0))</f>
        <v/>
      </c>
    </row>
  </sheetData>
  <conditionalFormatting sqref="D7:D8">
    <cfRule type="expression" priority="1" dxfId="0">
      <formula>$D$7&gt;0</formula>
    </cfRule>
  </conditionalFormatting>
  <conditionalFormatting sqref="F7:F8">
    <cfRule type="expression" priority="2" dxfId="0">
      <formula>$F$7&gt;0</formula>
    </cfRule>
  </conditionalFormatting>
  <conditionalFormatting sqref="G7:G8">
    <cfRule type="expression" priority="3" dxfId="0">
      <formula>$G$7&gt;0</formula>
    </cfRule>
  </conditionalFormatting>
  <conditionalFormatting sqref="H7:H8">
    <cfRule type="expression" priority="4" dxfId="0">
      <formula>$H$7&gt;0</formula>
    </cfRule>
  </conditionalFormatting>
  <conditionalFormatting sqref="F13:F34">
    <cfRule type="expression" priority="5" dxfId="0">
      <formula>F13&gt;0</formula>
    </cfRule>
  </conditionalFormatting>
  <conditionalFormatting sqref="H13:H34">
    <cfRule type="expression" priority="6" dxfId="0">
      <formula>H13&gt;0</formula>
    </cfRule>
  </conditionalFormatting>
  <conditionalFormatting sqref="I13:I34">
    <cfRule type="expression" priority="7" dxfId="0">
      <formula>I13&gt;0</formula>
    </cfRule>
  </conditionalFormatting>
  <conditionalFormatting sqref="E39:E50">
    <cfRule type="expression" priority="8" dxfId="0">
      <formula>E39&gt;0</formula>
    </cfRule>
  </conditionalFormatting>
  <conditionalFormatting sqref="E63:G72">
    <cfRule type="expression" priority="9" dxfId="0">
      <formula>AND(ISNUMBER(E63),E63&gt;0)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209"/>
  <sheetViews>
    <sheetView showGridLines="0" workbookViewId="0">
      <pane xSplit="7" ySplit="9" topLeftCell="H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24" customWidth="1" min="3" max="3"/>
    <col width="12" customWidth="1" min="4" max="4"/>
    <col width="24" customWidth="1" min="5" max="5"/>
    <col width="14" customWidth="1" min="6" max="6"/>
    <col width="18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30" customWidth="1" min="20" max="20"/>
    <col width="30" customWidth="1" min="21" max="21"/>
    <col width="12" customWidth="1" min="22" max="22"/>
    <col width="14" customWidth="1" min="24" max="24"/>
    <col width="14" customWidth="1" min="25" max="25"/>
    <col width="14" customWidth="1" min="26" max="26"/>
  </cols>
  <sheetData>
    <row r="1">
      <c r="A1" s="1" t="inlineStr">
        <is>
          <t>Budget vs Actual / 予実対比</t>
        </is>
      </c>
    </row>
    <row r="3">
      <c r="A3" s="6" t="inlineStr">
        <is>
          <t>fiscal_year</t>
        </is>
      </c>
      <c r="C3" s="24" t="n">
        <v>2027</v>
      </c>
      <c r="E3" s="6" t="inlineStr">
        <is>
          <t>FX factor to display currency (budget rate)</t>
        </is>
      </c>
      <c r="J3" s="6" t="inlineStr">
        <is>
          <t>Checks (should be 0) / チェック（0であること）</t>
        </is>
      </c>
    </row>
    <row r="4">
      <c r="A4" s="6" t="inlineStr">
        <is>
          <t>close_month</t>
        </is>
      </c>
      <c r="C4" s="24" t="n">
        <v>1</v>
      </c>
      <c r="E4" s="6" t="inlineStr">
        <is>
          <t>JPY</t>
        </is>
      </c>
      <c r="F4" s="6" t="inlineStr">
        <is>
          <t>USD</t>
        </is>
      </c>
      <c r="G4" s="6" t="inlineStr">
        <is>
          <t>EUR</t>
        </is>
      </c>
      <c r="H4" s="6" t="inlineStr">
        <is>
          <t>GBP</t>
        </is>
      </c>
      <c r="J4" s="7" t="inlineStr">
        <is>
          <t>Budget not in any block / ブロック外の予算</t>
        </is>
      </c>
      <c r="P4" s="25">
        <f>ROUND((SUMPRODUCT((Opex_Budget!$A$2:$A$2001=$C$3)*(Opex_Budget!$N$2:$N$2001="JPY")*Opex_Budget!$O$2:$Z$2001)*$E$5+SUMPRODUCT((Opex_Budget!$A$2:$A$2001=$C$3)*(Opex_Budget!$N$2:$N$2001="USD")*Opex_Budget!$O$2:$Z$2001)*$F$5+SUMPRODUCT((Opex_Budget!$A$2:$A$2001=$C$3)*(Opex_Budget!$N$2:$N$2001="EUR")*Opex_Budget!$O$2:$Z$2001)*$G$5+SUMPRODUCT((Opex_Budget!$A$2:$A$2001=$C$3)*(Opex_Budget!$N$2:$N$2001="GBP")*Opex_Budget!$O$2:$Z$2001)*$H$5)-SUMIFS($V$10:$V$1210,$G$10:$G$1210,"Budget"),0)</f>
        <v/>
      </c>
    </row>
    <row r="5">
      <c r="A5" s="6" t="inlineStr">
        <is>
          <t>display_currency</t>
        </is>
      </c>
      <c r="C5" s="24" t="inlineStr">
        <is>
          <t>JPY</t>
        </is>
      </c>
      <c r="E5" s="26">
        <f>IF(E$4=$C$5,1,IFERROR(SUMIFS(FX_Rates!$D:$D,FX_Rates!$A:$A,$C$3,FX_Rates!$B:$B,"BUDGET",FX_Rates!$C:$C,E$4)/SUMIFS(FX_Rates!$D:$D,FX_Rates!$A:$A,$C$3,FX_Rates!$B:$B,"BUDGET",FX_Rates!$C:$C,$C$5),0))</f>
        <v/>
      </c>
      <c r="F5" s="26">
        <f>IF(F$4=$C$5,1,IFERROR(SUMIFS(FX_Rates!$D:$D,FX_Rates!$A:$A,$C$3,FX_Rates!$B:$B,"BUDGET",FX_Rates!$C:$C,F$4)/SUMIFS(FX_Rates!$D:$D,FX_Rates!$A:$A,$C$3,FX_Rates!$B:$B,"BUDGET",FX_Rates!$C:$C,$C$5),0))</f>
        <v/>
      </c>
      <c r="G5" s="26">
        <f>IF(G$4=$C$5,1,IFERROR(SUMIFS(FX_Rates!$D:$D,FX_Rates!$A:$A,$C$3,FX_Rates!$B:$B,"BUDGET",FX_Rates!$C:$C,G$4)/SUMIFS(FX_Rates!$D:$D,FX_Rates!$A:$A,$C$3,FX_Rates!$B:$B,"BUDGET",FX_Rates!$C:$C,$C$5),0))</f>
        <v/>
      </c>
      <c r="H5" s="26">
        <f>IF(H$4=$C$5,1,IFERROR(SUMIFS(FX_Rates!$D:$D,FX_Rates!$A:$A,$C$3,FX_Rates!$B:$B,"BUDGET",FX_Rates!$C:$C,H$4)/SUMIFS(FX_Rates!$D:$D,FX_Rates!$A:$A,$C$3,FX_Rates!$B:$B,"BUDGET",FX_Rates!$C:$C,$C$5),0))</f>
        <v/>
      </c>
      <c r="J5" s="7" t="inlineStr">
        <is>
          <t>Actual not in any block / ブロック外の実績</t>
        </is>
      </c>
      <c r="P5" s="25">
        <f>ROUND((SUMIFS(Actuals!$G:$G,Actuals!$B:$B,$C$3,Actuals!$C:$C,"&lt;="&amp;$C$4,Actuals!$F:$F,"JPY")*$E$5+SUMIFS(Actuals!$G:$G,Actuals!$B:$B,$C$3,Actuals!$C:$C,"&lt;="&amp;$C$4,Actuals!$F:$F,"USD")*$F$5+SUMIFS(Actuals!$G:$G,Actuals!$B:$B,$C$3,Actuals!$C:$C,"&lt;="&amp;$C$4,Actuals!$F:$F,"EUR")*$G$5+SUMIFS(Actuals!$G:$G,Actuals!$B:$B,$C$3,Actuals!$C:$C,"&lt;="&amp;$C$4,Actuals!$F:$F,"GBP")*$H$5)-SUMIFS($T$10:$T$1210,$G$10:$G$1210,"Actual"),0)</f>
        <v/>
      </c>
    </row>
    <row r="7">
      <c r="E7" s="15" t="inlineStr">
        <is>
          <t>Prior forecast as of close month / 前月見込みの基準月:</t>
        </is>
      </c>
      <c r="G7" s="14">
        <f>IFERROR(MAX(Prior_Forecast!$R:$R),"")</f>
        <v/>
      </c>
      <c r="H7" s="27" t="n">
        <v>1</v>
      </c>
      <c r="I7" s="27" t="n">
        <v>2</v>
      </c>
      <c r="J7" s="27" t="n">
        <v>3</v>
      </c>
      <c r="K7" s="27" t="n">
        <v>4</v>
      </c>
      <c r="L7" s="27" t="n">
        <v>5</v>
      </c>
      <c r="M7" s="27" t="n">
        <v>6</v>
      </c>
      <c r="N7" s="27" t="n">
        <v>7</v>
      </c>
      <c r="O7" s="27" t="n">
        <v>8</v>
      </c>
      <c r="P7" s="27" t="n">
        <v>9</v>
      </c>
      <c r="Q7" s="27" t="n">
        <v>10</v>
      </c>
      <c r="R7" s="27" t="n">
        <v>11</v>
      </c>
      <c r="S7" s="27" t="n">
        <v>12</v>
      </c>
    </row>
    <row r="8">
      <c r="A8" s="28" t="inlineStr">
        <is>
          <t>region</t>
        </is>
      </c>
      <c r="B8" s="28" t="inlineStr">
        <is>
          <t>cost_center_code</t>
        </is>
      </c>
      <c r="C8" s="28" t="inlineStr">
        <is>
          <t>cost_center_name</t>
        </is>
      </c>
      <c r="D8" s="28" t="inlineStr">
        <is>
          <t>account_key</t>
        </is>
      </c>
      <c r="E8" s="28" t="inlineStr">
        <is>
          <t>account_name</t>
        </is>
      </c>
      <c r="F8" s="28" t="inlineStr">
        <is>
          <t>owner</t>
        </is>
      </c>
      <c r="G8" s="28" t="inlineStr">
        <is>
          <t>line</t>
        </is>
      </c>
      <c r="H8" s="28" t="inlineStr">
        <is>
          <t>Jan</t>
        </is>
      </c>
      <c r="I8" s="28" t="inlineStr">
        <is>
          <t>Feb</t>
        </is>
      </c>
      <c r="J8" s="28" t="inlineStr">
        <is>
          <t>Mar</t>
        </is>
      </c>
      <c r="K8" s="28" t="inlineStr">
        <is>
          <t>Apr</t>
        </is>
      </c>
      <c r="L8" s="28" t="inlineStr">
        <is>
          <t>May</t>
        </is>
      </c>
      <c r="M8" s="28" t="inlineStr">
        <is>
          <t>Jun</t>
        </is>
      </c>
      <c r="N8" s="28" t="inlineStr">
        <is>
          <t>Jul</t>
        </is>
      </c>
      <c r="O8" s="28" t="inlineStr">
        <is>
          <t>Aug</t>
        </is>
      </c>
      <c r="P8" s="28" t="inlineStr">
        <is>
          <t>Sep</t>
        </is>
      </c>
      <c r="Q8" s="28" t="inlineStr">
        <is>
          <t>Oct</t>
        </is>
      </c>
      <c r="R8" s="28" t="inlineStr">
        <is>
          <t>Nov</t>
        </is>
      </c>
      <c r="S8" s="28" t="inlineStr">
        <is>
          <t>Dec</t>
        </is>
      </c>
      <c r="T8" s="28" t="inlineStr">
        <is>
          <t>YTD</t>
        </is>
      </c>
      <c r="U8" s="28" t="inlineStr">
        <is>
          <t>MTG</t>
        </is>
      </c>
      <c r="V8" s="28" t="inlineStr">
        <is>
          <t>FY</t>
        </is>
      </c>
      <c r="X8" s="29" t="inlineStr">
        <is>
          <t>sub_function</t>
        </is>
      </c>
      <c r="Y8" s="29" t="inlineStr">
        <is>
          <t>function</t>
        </is>
      </c>
      <c r="Z8" s="29" t="inlineStr">
        <is>
          <t>abs_fy_var</t>
        </is>
      </c>
    </row>
    <row r="10">
      <c r="A10" s="30">
        <f>IF($D$10="","",LEFT($D$10,FIND("|",$D$10&amp;"|")-1))</f>
        <v/>
      </c>
      <c r="B10" s="31" t="n"/>
      <c r="C10" s="30">
        <f>IF($B$10="","",IFERROR(INDEX(Cost_Centers!$B:$B,MATCH($B$10,Cost_Centers!$A:$A,0)),"(not in master)"))</f>
        <v/>
      </c>
      <c r="D10" s="31" t="n"/>
      <c r="E10" s="30">
        <f>IF($D$10="","",IFERROR(INDEX(Accounts!$D:$D,MATCH($D$10,Accounts!$A:$A,0)),"(not in master)"))</f>
        <v/>
      </c>
      <c r="F10" s="31" t="n"/>
      <c r="G10" s="30" t="inlineStr">
        <is>
          <t>Budget</t>
        </is>
      </c>
      <c r="H10" s="32">
        <f>IF($B$10="","",SUMIFS(Opex_Budget!$O:$O,Opex_Budget!$A:$A,$C$3,Opex_Budget!$E:$E,$B$10,Opex_Budget!$F:$F,$D$10,Opex_Budget!$N:$N,"JPY")*$E$5+SUMIFS(Opex_Budget!$O:$O,Opex_Budget!$A:$A,$C$3,Opex_Budget!$E:$E,$B$10,Opex_Budget!$F:$F,$D$10,Opex_Budget!$N:$N,"USD")*$F$5+SUMIFS(Opex_Budget!$O:$O,Opex_Budget!$A:$A,$C$3,Opex_Budget!$E:$E,$B$10,Opex_Budget!$F:$F,$D$10,Opex_Budget!$N:$N,"EUR")*$G$5+SUMIFS(Opex_Budget!$O:$O,Opex_Budget!$A:$A,$C$3,Opex_Budget!$E:$E,$B$10,Opex_Budget!$F:$F,$D$10,Opex_Budget!$N:$N,"GBP")*$H$5)</f>
        <v/>
      </c>
      <c r="I10" s="32">
        <f>IF($B$10="","",SUMIFS(Opex_Budget!$P:$P,Opex_Budget!$A:$A,$C$3,Opex_Budget!$E:$E,$B$10,Opex_Budget!$F:$F,$D$10,Opex_Budget!$N:$N,"JPY")*$E$5+SUMIFS(Opex_Budget!$P:$P,Opex_Budget!$A:$A,$C$3,Opex_Budget!$E:$E,$B$10,Opex_Budget!$F:$F,$D$10,Opex_Budget!$N:$N,"USD")*$F$5+SUMIFS(Opex_Budget!$P:$P,Opex_Budget!$A:$A,$C$3,Opex_Budget!$E:$E,$B$10,Opex_Budget!$F:$F,$D$10,Opex_Budget!$N:$N,"EUR")*$G$5+SUMIFS(Opex_Budget!$P:$P,Opex_Budget!$A:$A,$C$3,Opex_Budget!$E:$E,$B$10,Opex_Budget!$F:$F,$D$10,Opex_Budget!$N:$N,"GBP")*$H$5)</f>
        <v/>
      </c>
      <c r="J10" s="32">
        <f>IF($B$10="","",SUMIFS(Opex_Budget!$Q:$Q,Opex_Budget!$A:$A,$C$3,Opex_Budget!$E:$E,$B$10,Opex_Budget!$F:$F,$D$10,Opex_Budget!$N:$N,"JPY")*$E$5+SUMIFS(Opex_Budget!$Q:$Q,Opex_Budget!$A:$A,$C$3,Opex_Budget!$E:$E,$B$10,Opex_Budget!$F:$F,$D$10,Opex_Budget!$N:$N,"USD")*$F$5+SUMIFS(Opex_Budget!$Q:$Q,Opex_Budget!$A:$A,$C$3,Opex_Budget!$E:$E,$B$10,Opex_Budget!$F:$F,$D$10,Opex_Budget!$N:$N,"EUR")*$G$5+SUMIFS(Opex_Budget!$Q:$Q,Opex_Budget!$A:$A,$C$3,Opex_Budget!$E:$E,$B$10,Opex_Budget!$F:$F,$D$10,Opex_Budget!$N:$N,"GBP")*$H$5)</f>
        <v/>
      </c>
      <c r="K10" s="32">
        <f>IF($B$10="","",SUMIFS(Opex_Budget!$R:$R,Opex_Budget!$A:$A,$C$3,Opex_Budget!$E:$E,$B$10,Opex_Budget!$F:$F,$D$10,Opex_Budget!$N:$N,"JPY")*$E$5+SUMIFS(Opex_Budget!$R:$R,Opex_Budget!$A:$A,$C$3,Opex_Budget!$E:$E,$B$10,Opex_Budget!$F:$F,$D$10,Opex_Budget!$N:$N,"USD")*$F$5+SUMIFS(Opex_Budget!$R:$R,Opex_Budget!$A:$A,$C$3,Opex_Budget!$E:$E,$B$10,Opex_Budget!$F:$F,$D$10,Opex_Budget!$N:$N,"EUR")*$G$5+SUMIFS(Opex_Budget!$R:$R,Opex_Budget!$A:$A,$C$3,Opex_Budget!$E:$E,$B$10,Opex_Budget!$F:$F,$D$10,Opex_Budget!$N:$N,"GBP")*$H$5)</f>
        <v/>
      </c>
      <c r="L10" s="32">
        <f>IF($B$10="","",SUMIFS(Opex_Budget!$S:$S,Opex_Budget!$A:$A,$C$3,Opex_Budget!$E:$E,$B$10,Opex_Budget!$F:$F,$D$10,Opex_Budget!$N:$N,"JPY")*$E$5+SUMIFS(Opex_Budget!$S:$S,Opex_Budget!$A:$A,$C$3,Opex_Budget!$E:$E,$B$10,Opex_Budget!$F:$F,$D$10,Opex_Budget!$N:$N,"USD")*$F$5+SUMIFS(Opex_Budget!$S:$S,Opex_Budget!$A:$A,$C$3,Opex_Budget!$E:$E,$B$10,Opex_Budget!$F:$F,$D$10,Opex_Budget!$N:$N,"EUR")*$G$5+SUMIFS(Opex_Budget!$S:$S,Opex_Budget!$A:$A,$C$3,Opex_Budget!$E:$E,$B$10,Opex_Budget!$F:$F,$D$10,Opex_Budget!$N:$N,"GBP")*$H$5)</f>
        <v/>
      </c>
      <c r="M10" s="32">
        <f>IF($B$10="","",SUMIFS(Opex_Budget!$T:$T,Opex_Budget!$A:$A,$C$3,Opex_Budget!$E:$E,$B$10,Opex_Budget!$F:$F,$D$10,Opex_Budget!$N:$N,"JPY")*$E$5+SUMIFS(Opex_Budget!$T:$T,Opex_Budget!$A:$A,$C$3,Opex_Budget!$E:$E,$B$10,Opex_Budget!$F:$F,$D$10,Opex_Budget!$N:$N,"USD")*$F$5+SUMIFS(Opex_Budget!$T:$T,Opex_Budget!$A:$A,$C$3,Opex_Budget!$E:$E,$B$10,Opex_Budget!$F:$F,$D$10,Opex_Budget!$N:$N,"EUR")*$G$5+SUMIFS(Opex_Budget!$T:$T,Opex_Budget!$A:$A,$C$3,Opex_Budget!$E:$E,$B$10,Opex_Budget!$F:$F,$D$10,Opex_Budget!$N:$N,"GBP")*$H$5)</f>
        <v/>
      </c>
      <c r="N10" s="32">
        <f>IF($B$10="","",SUMIFS(Opex_Budget!$U:$U,Opex_Budget!$A:$A,$C$3,Opex_Budget!$E:$E,$B$10,Opex_Budget!$F:$F,$D$10,Opex_Budget!$N:$N,"JPY")*$E$5+SUMIFS(Opex_Budget!$U:$U,Opex_Budget!$A:$A,$C$3,Opex_Budget!$E:$E,$B$10,Opex_Budget!$F:$F,$D$10,Opex_Budget!$N:$N,"USD")*$F$5+SUMIFS(Opex_Budget!$U:$U,Opex_Budget!$A:$A,$C$3,Opex_Budget!$E:$E,$B$10,Opex_Budget!$F:$F,$D$10,Opex_Budget!$N:$N,"EUR")*$G$5+SUMIFS(Opex_Budget!$U:$U,Opex_Budget!$A:$A,$C$3,Opex_Budget!$E:$E,$B$10,Opex_Budget!$F:$F,$D$10,Opex_Budget!$N:$N,"GBP")*$H$5)</f>
        <v/>
      </c>
      <c r="O10" s="32">
        <f>IF($B$10="","",SUMIFS(Opex_Budget!$V:$V,Opex_Budget!$A:$A,$C$3,Opex_Budget!$E:$E,$B$10,Opex_Budget!$F:$F,$D$10,Opex_Budget!$N:$N,"JPY")*$E$5+SUMIFS(Opex_Budget!$V:$V,Opex_Budget!$A:$A,$C$3,Opex_Budget!$E:$E,$B$10,Opex_Budget!$F:$F,$D$10,Opex_Budget!$N:$N,"USD")*$F$5+SUMIFS(Opex_Budget!$V:$V,Opex_Budget!$A:$A,$C$3,Opex_Budget!$E:$E,$B$10,Opex_Budget!$F:$F,$D$10,Opex_Budget!$N:$N,"EUR")*$G$5+SUMIFS(Opex_Budget!$V:$V,Opex_Budget!$A:$A,$C$3,Opex_Budget!$E:$E,$B$10,Opex_Budget!$F:$F,$D$10,Opex_Budget!$N:$N,"GBP")*$H$5)</f>
        <v/>
      </c>
      <c r="P10" s="32">
        <f>IF($B$10="","",SUMIFS(Opex_Budget!$W:$W,Opex_Budget!$A:$A,$C$3,Opex_Budget!$E:$E,$B$10,Opex_Budget!$F:$F,$D$10,Opex_Budget!$N:$N,"JPY")*$E$5+SUMIFS(Opex_Budget!$W:$W,Opex_Budget!$A:$A,$C$3,Opex_Budget!$E:$E,$B$10,Opex_Budget!$F:$F,$D$10,Opex_Budget!$N:$N,"USD")*$F$5+SUMIFS(Opex_Budget!$W:$W,Opex_Budget!$A:$A,$C$3,Opex_Budget!$E:$E,$B$10,Opex_Budget!$F:$F,$D$10,Opex_Budget!$N:$N,"EUR")*$G$5+SUMIFS(Opex_Budget!$W:$W,Opex_Budget!$A:$A,$C$3,Opex_Budget!$E:$E,$B$10,Opex_Budget!$F:$F,$D$10,Opex_Budget!$N:$N,"GBP")*$H$5)</f>
        <v/>
      </c>
      <c r="Q10" s="32">
        <f>IF($B$10="","",SUMIFS(Opex_Budget!$X:$X,Opex_Budget!$A:$A,$C$3,Opex_Budget!$E:$E,$B$10,Opex_Budget!$F:$F,$D$10,Opex_Budget!$N:$N,"JPY")*$E$5+SUMIFS(Opex_Budget!$X:$X,Opex_Budget!$A:$A,$C$3,Opex_Budget!$E:$E,$B$10,Opex_Budget!$F:$F,$D$10,Opex_Budget!$N:$N,"USD")*$F$5+SUMIFS(Opex_Budget!$X:$X,Opex_Budget!$A:$A,$C$3,Opex_Budget!$E:$E,$B$10,Opex_Budget!$F:$F,$D$10,Opex_Budget!$N:$N,"EUR")*$G$5+SUMIFS(Opex_Budget!$X:$X,Opex_Budget!$A:$A,$C$3,Opex_Budget!$E:$E,$B$10,Opex_Budget!$F:$F,$D$10,Opex_Budget!$N:$N,"GBP")*$H$5)</f>
        <v/>
      </c>
      <c r="R10" s="32">
        <f>IF($B$10="","",SUMIFS(Opex_Budget!$Y:$Y,Opex_Budget!$A:$A,$C$3,Opex_Budget!$E:$E,$B$10,Opex_Budget!$F:$F,$D$10,Opex_Budget!$N:$N,"JPY")*$E$5+SUMIFS(Opex_Budget!$Y:$Y,Opex_Budget!$A:$A,$C$3,Opex_Budget!$E:$E,$B$10,Opex_Budget!$F:$F,$D$10,Opex_Budget!$N:$N,"USD")*$F$5+SUMIFS(Opex_Budget!$Y:$Y,Opex_Budget!$A:$A,$C$3,Opex_Budget!$E:$E,$B$10,Opex_Budget!$F:$F,$D$10,Opex_Budget!$N:$N,"EUR")*$G$5+SUMIFS(Opex_Budget!$Y:$Y,Opex_Budget!$A:$A,$C$3,Opex_Budget!$E:$E,$B$10,Opex_Budget!$F:$F,$D$10,Opex_Budget!$N:$N,"GBP")*$H$5)</f>
        <v/>
      </c>
      <c r="S10" s="32">
        <f>IF($B$10="","",SUMIFS(Opex_Budget!$Z:$Z,Opex_Budget!$A:$A,$C$3,Opex_Budget!$E:$E,$B$10,Opex_Budget!$F:$F,$D$10,Opex_Budget!$N:$N,"JPY")*$E$5+SUMIFS(Opex_Budget!$Z:$Z,Opex_Budget!$A:$A,$C$3,Opex_Budget!$E:$E,$B$10,Opex_Budget!$F:$F,$D$10,Opex_Budget!$N:$N,"USD")*$F$5+SUMIFS(Opex_Budget!$Z:$Z,Opex_Budget!$A:$A,$C$3,Opex_Budget!$E:$E,$B$10,Opex_Budget!$F:$F,$D$10,Opex_Budget!$N:$N,"EUR")*$G$5+SUMIFS(Opex_Budget!$Z:$Z,Opex_Budget!$A:$A,$C$3,Opex_Budget!$E:$E,$B$10,Opex_Budget!$F:$F,$D$10,Opex_Budget!$N:$N,"GBP")*$H$5)</f>
        <v/>
      </c>
      <c r="T10" s="32">
        <f>IF($B$10="","",SUMIF($H$7:$S$7,"&lt;="&amp;$C$4,$H10:$S10))</f>
        <v/>
      </c>
      <c r="U10" s="32">
        <f>IF($B$10="","",SUMIF($H$7:$S$7,"&gt;"&amp;$C$4,$H10:$S10))</f>
        <v/>
      </c>
      <c r="V10" s="32">
        <f>IF($B$10="","",SUM($H10:$S10))</f>
        <v/>
      </c>
      <c r="X10" s="22">
        <f>IF($B10="","",IFERROR(INDEX(Cost_Centers!$E:$E,MATCH($B10,Cost_Centers!$A:$A,0)),"(unknown)"))</f>
        <v/>
      </c>
      <c r="Y10" s="22">
        <f>IF($B10="","",IFERROR(INDEX(Cost_Centers!$D:$D,MATCH($B10,Cost_Centers!$A:$A,0)),"(unknown)"))</f>
        <v/>
      </c>
      <c r="Z10" s="22">
        <f>IF(OR($B10="",$G10&lt;&gt;"Variance vs Budget"),"",ABS(N($V10))+ROW()/1000000000)</f>
        <v/>
      </c>
    </row>
    <row r="11">
      <c r="A11" s="13">
        <f>IF(A$10="","",A$10)</f>
        <v/>
      </c>
      <c r="B11" s="13">
        <f>IF(B$10="","",B$10)</f>
        <v/>
      </c>
      <c r="C11" s="13">
        <f>IF(C$10="","",C$10)</f>
        <v/>
      </c>
      <c r="D11" s="13">
        <f>IF(D$10="","",D$10)</f>
        <v/>
      </c>
      <c r="E11" s="13">
        <f>IF(E$10="","",E$10)</f>
        <v/>
      </c>
      <c r="F11" s="13">
        <f>IF(F$10="","",F$10)</f>
        <v/>
      </c>
      <c r="G11" s="7" t="inlineStr">
        <is>
          <t>Actual</t>
        </is>
      </c>
      <c r="H11" s="18">
        <f>IF(OR($B$10="",1&gt;$C$4),"",SUMIFS(Actuals!$G:$G,Actuals!$B:$B,$C$3,Actuals!$C:$C,1,Actuals!$D:$D,$B$10,Actuals!$A:$A,LEFT($D$10,FIND("|",$D$10&amp;"|")-1),Actuals!$E:$E,MID($D$10,FIND("|",$D$10&amp;"|")+1,50),Actuals!$F:$F,"JPY")*$E$5+SUMIFS(Actuals!$G:$G,Actuals!$B:$B,$C$3,Actuals!$C:$C,1,Actuals!$D:$D,$B$10,Actuals!$A:$A,LEFT($D$10,FIND("|",$D$10&amp;"|")-1),Actuals!$E:$E,MID($D$10,FIND("|",$D$10&amp;"|")+1,50),Actuals!$F:$F,"USD")*$F$5+SUMIFS(Actuals!$G:$G,Actuals!$B:$B,$C$3,Actuals!$C:$C,1,Actuals!$D:$D,$B$10,Actuals!$A:$A,LEFT($D$10,FIND("|",$D$10&amp;"|")-1),Actuals!$E:$E,MID($D$10,FIND("|",$D$10&amp;"|")+1,50),Actuals!$F:$F,"EUR")*$G$5+SUMIFS(Actuals!$G:$G,Actuals!$B:$B,$C$3,Actuals!$C:$C,1,Actuals!$D:$D,$B$10,Actuals!$A:$A,LEFT($D$10,FIND("|",$D$10&amp;"|")-1),Actuals!$E:$E,MID($D$10,FIND("|",$D$10&amp;"|")+1,50),Actuals!$F:$F,"GBP")*$H$5)</f>
        <v/>
      </c>
      <c r="I11" s="18">
        <f>IF(OR($B$10="",2&gt;$C$4),"",SUMIFS(Actuals!$G:$G,Actuals!$B:$B,$C$3,Actuals!$C:$C,2,Actuals!$D:$D,$B$10,Actuals!$A:$A,LEFT($D$10,FIND("|",$D$10&amp;"|")-1),Actuals!$E:$E,MID($D$10,FIND("|",$D$10&amp;"|")+1,50),Actuals!$F:$F,"JPY")*$E$5+SUMIFS(Actuals!$G:$G,Actuals!$B:$B,$C$3,Actuals!$C:$C,2,Actuals!$D:$D,$B$10,Actuals!$A:$A,LEFT($D$10,FIND("|",$D$10&amp;"|")-1),Actuals!$E:$E,MID($D$10,FIND("|",$D$10&amp;"|")+1,50),Actuals!$F:$F,"USD")*$F$5+SUMIFS(Actuals!$G:$G,Actuals!$B:$B,$C$3,Actuals!$C:$C,2,Actuals!$D:$D,$B$10,Actuals!$A:$A,LEFT($D$10,FIND("|",$D$10&amp;"|")-1),Actuals!$E:$E,MID($D$10,FIND("|",$D$10&amp;"|")+1,50),Actuals!$F:$F,"EUR")*$G$5+SUMIFS(Actuals!$G:$G,Actuals!$B:$B,$C$3,Actuals!$C:$C,2,Actuals!$D:$D,$B$10,Actuals!$A:$A,LEFT($D$10,FIND("|",$D$10&amp;"|")-1),Actuals!$E:$E,MID($D$10,FIND("|",$D$10&amp;"|")+1,50),Actuals!$F:$F,"GBP")*$H$5)</f>
        <v/>
      </c>
      <c r="J11" s="18">
        <f>IF(OR($B$10="",3&gt;$C$4),"",SUMIFS(Actuals!$G:$G,Actuals!$B:$B,$C$3,Actuals!$C:$C,3,Actuals!$D:$D,$B$10,Actuals!$A:$A,LEFT($D$10,FIND("|",$D$10&amp;"|")-1),Actuals!$E:$E,MID($D$10,FIND("|",$D$10&amp;"|")+1,50),Actuals!$F:$F,"JPY")*$E$5+SUMIFS(Actuals!$G:$G,Actuals!$B:$B,$C$3,Actuals!$C:$C,3,Actuals!$D:$D,$B$10,Actuals!$A:$A,LEFT($D$10,FIND("|",$D$10&amp;"|")-1),Actuals!$E:$E,MID($D$10,FIND("|",$D$10&amp;"|")+1,50),Actuals!$F:$F,"USD")*$F$5+SUMIFS(Actuals!$G:$G,Actuals!$B:$B,$C$3,Actuals!$C:$C,3,Actuals!$D:$D,$B$10,Actuals!$A:$A,LEFT($D$10,FIND("|",$D$10&amp;"|")-1),Actuals!$E:$E,MID($D$10,FIND("|",$D$10&amp;"|")+1,50),Actuals!$F:$F,"EUR")*$G$5+SUMIFS(Actuals!$G:$G,Actuals!$B:$B,$C$3,Actuals!$C:$C,3,Actuals!$D:$D,$B$10,Actuals!$A:$A,LEFT($D$10,FIND("|",$D$10&amp;"|")-1),Actuals!$E:$E,MID($D$10,FIND("|",$D$10&amp;"|")+1,50),Actuals!$F:$F,"GBP")*$H$5)</f>
        <v/>
      </c>
      <c r="K11" s="18">
        <f>IF(OR($B$10="",4&gt;$C$4),"",SUMIFS(Actuals!$G:$G,Actuals!$B:$B,$C$3,Actuals!$C:$C,4,Actuals!$D:$D,$B$10,Actuals!$A:$A,LEFT($D$10,FIND("|",$D$10&amp;"|")-1),Actuals!$E:$E,MID($D$10,FIND("|",$D$10&amp;"|")+1,50),Actuals!$F:$F,"JPY")*$E$5+SUMIFS(Actuals!$G:$G,Actuals!$B:$B,$C$3,Actuals!$C:$C,4,Actuals!$D:$D,$B$10,Actuals!$A:$A,LEFT($D$10,FIND("|",$D$10&amp;"|")-1),Actuals!$E:$E,MID($D$10,FIND("|",$D$10&amp;"|")+1,50),Actuals!$F:$F,"USD")*$F$5+SUMIFS(Actuals!$G:$G,Actuals!$B:$B,$C$3,Actuals!$C:$C,4,Actuals!$D:$D,$B$10,Actuals!$A:$A,LEFT($D$10,FIND("|",$D$10&amp;"|")-1),Actuals!$E:$E,MID($D$10,FIND("|",$D$10&amp;"|")+1,50),Actuals!$F:$F,"EUR")*$G$5+SUMIFS(Actuals!$G:$G,Actuals!$B:$B,$C$3,Actuals!$C:$C,4,Actuals!$D:$D,$B$10,Actuals!$A:$A,LEFT($D$10,FIND("|",$D$10&amp;"|")-1),Actuals!$E:$E,MID($D$10,FIND("|",$D$10&amp;"|")+1,50),Actuals!$F:$F,"GBP")*$H$5)</f>
        <v/>
      </c>
      <c r="L11" s="18">
        <f>IF(OR($B$10="",5&gt;$C$4),"",SUMIFS(Actuals!$G:$G,Actuals!$B:$B,$C$3,Actuals!$C:$C,5,Actuals!$D:$D,$B$10,Actuals!$A:$A,LEFT($D$10,FIND("|",$D$10&amp;"|")-1),Actuals!$E:$E,MID($D$10,FIND("|",$D$10&amp;"|")+1,50),Actuals!$F:$F,"JPY")*$E$5+SUMIFS(Actuals!$G:$G,Actuals!$B:$B,$C$3,Actuals!$C:$C,5,Actuals!$D:$D,$B$10,Actuals!$A:$A,LEFT($D$10,FIND("|",$D$10&amp;"|")-1),Actuals!$E:$E,MID($D$10,FIND("|",$D$10&amp;"|")+1,50),Actuals!$F:$F,"USD")*$F$5+SUMIFS(Actuals!$G:$G,Actuals!$B:$B,$C$3,Actuals!$C:$C,5,Actuals!$D:$D,$B$10,Actuals!$A:$A,LEFT($D$10,FIND("|",$D$10&amp;"|")-1),Actuals!$E:$E,MID($D$10,FIND("|",$D$10&amp;"|")+1,50),Actuals!$F:$F,"EUR")*$G$5+SUMIFS(Actuals!$G:$G,Actuals!$B:$B,$C$3,Actuals!$C:$C,5,Actuals!$D:$D,$B$10,Actuals!$A:$A,LEFT($D$10,FIND("|",$D$10&amp;"|")-1),Actuals!$E:$E,MID($D$10,FIND("|",$D$10&amp;"|")+1,50),Actuals!$F:$F,"GBP")*$H$5)</f>
        <v/>
      </c>
      <c r="M11" s="18">
        <f>IF(OR($B$10="",6&gt;$C$4),"",SUMIFS(Actuals!$G:$G,Actuals!$B:$B,$C$3,Actuals!$C:$C,6,Actuals!$D:$D,$B$10,Actuals!$A:$A,LEFT($D$10,FIND("|",$D$10&amp;"|")-1),Actuals!$E:$E,MID($D$10,FIND("|",$D$10&amp;"|")+1,50),Actuals!$F:$F,"JPY")*$E$5+SUMIFS(Actuals!$G:$G,Actuals!$B:$B,$C$3,Actuals!$C:$C,6,Actuals!$D:$D,$B$10,Actuals!$A:$A,LEFT($D$10,FIND("|",$D$10&amp;"|")-1),Actuals!$E:$E,MID($D$10,FIND("|",$D$10&amp;"|")+1,50),Actuals!$F:$F,"USD")*$F$5+SUMIFS(Actuals!$G:$G,Actuals!$B:$B,$C$3,Actuals!$C:$C,6,Actuals!$D:$D,$B$10,Actuals!$A:$A,LEFT($D$10,FIND("|",$D$10&amp;"|")-1),Actuals!$E:$E,MID($D$10,FIND("|",$D$10&amp;"|")+1,50),Actuals!$F:$F,"EUR")*$G$5+SUMIFS(Actuals!$G:$G,Actuals!$B:$B,$C$3,Actuals!$C:$C,6,Actuals!$D:$D,$B$10,Actuals!$A:$A,LEFT($D$10,FIND("|",$D$10&amp;"|")-1),Actuals!$E:$E,MID($D$10,FIND("|",$D$10&amp;"|")+1,50),Actuals!$F:$F,"GBP")*$H$5)</f>
        <v/>
      </c>
      <c r="N11" s="18">
        <f>IF(OR($B$10="",7&gt;$C$4),"",SUMIFS(Actuals!$G:$G,Actuals!$B:$B,$C$3,Actuals!$C:$C,7,Actuals!$D:$D,$B$10,Actuals!$A:$A,LEFT($D$10,FIND("|",$D$10&amp;"|")-1),Actuals!$E:$E,MID($D$10,FIND("|",$D$10&amp;"|")+1,50),Actuals!$F:$F,"JPY")*$E$5+SUMIFS(Actuals!$G:$G,Actuals!$B:$B,$C$3,Actuals!$C:$C,7,Actuals!$D:$D,$B$10,Actuals!$A:$A,LEFT($D$10,FIND("|",$D$10&amp;"|")-1),Actuals!$E:$E,MID($D$10,FIND("|",$D$10&amp;"|")+1,50),Actuals!$F:$F,"USD")*$F$5+SUMIFS(Actuals!$G:$G,Actuals!$B:$B,$C$3,Actuals!$C:$C,7,Actuals!$D:$D,$B$10,Actuals!$A:$A,LEFT($D$10,FIND("|",$D$10&amp;"|")-1),Actuals!$E:$E,MID($D$10,FIND("|",$D$10&amp;"|")+1,50),Actuals!$F:$F,"EUR")*$G$5+SUMIFS(Actuals!$G:$G,Actuals!$B:$B,$C$3,Actuals!$C:$C,7,Actuals!$D:$D,$B$10,Actuals!$A:$A,LEFT($D$10,FIND("|",$D$10&amp;"|")-1),Actuals!$E:$E,MID($D$10,FIND("|",$D$10&amp;"|")+1,50),Actuals!$F:$F,"GBP")*$H$5)</f>
        <v/>
      </c>
      <c r="O11" s="18">
        <f>IF(OR($B$10="",8&gt;$C$4),"",SUMIFS(Actuals!$G:$G,Actuals!$B:$B,$C$3,Actuals!$C:$C,8,Actuals!$D:$D,$B$10,Actuals!$A:$A,LEFT($D$10,FIND("|",$D$10&amp;"|")-1),Actuals!$E:$E,MID($D$10,FIND("|",$D$10&amp;"|")+1,50),Actuals!$F:$F,"JPY")*$E$5+SUMIFS(Actuals!$G:$G,Actuals!$B:$B,$C$3,Actuals!$C:$C,8,Actuals!$D:$D,$B$10,Actuals!$A:$A,LEFT($D$10,FIND("|",$D$10&amp;"|")-1),Actuals!$E:$E,MID($D$10,FIND("|",$D$10&amp;"|")+1,50),Actuals!$F:$F,"USD")*$F$5+SUMIFS(Actuals!$G:$G,Actuals!$B:$B,$C$3,Actuals!$C:$C,8,Actuals!$D:$D,$B$10,Actuals!$A:$A,LEFT($D$10,FIND("|",$D$10&amp;"|")-1),Actuals!$E:$E,MID($D$10,FIND("|",$D$10&amp;"|")+1,50),Actuals!$F:$F,"EUR")*$G$5+SUMIFS(Actuals!$G:$G,Actuals!$B:$B,$C$3,Actuals!$C:$C,8,Actuals!$D:$D,$B$10,Actuals!$A:$A,LEFT($D$10,FIND("|",$D$10&amp;"|")-1),Actuals!$E:$E,MID($D$10,FIND("|",$D$10&amp;"|")+1,50),Actuals!$F:$F,"GBP")*$H$5)</f>
        <v/>
      </c>
      <c r="P11" s="18">
        <f>IF(OR($B$10="",9&gt;$C$4),"",SUMIFS(Actuals!$G:$G,Actuals!$B:$B,$C$3,Actuals!$C:$C,9,Actuals!$D:$D,$B$10,Actuals!$A:$A,LEFT($D$10,FIND("|",$D$10&amp;"|")-1),Actuals!$E:$E,MID($D$10,FIND("|",$D$10&amp;"|")+1,50),Actuals!$F:$F,"JPY")*$E$5+SUMIFS(Actuals!$G:$G,Actuals!$B:$B,$C$3,Actuals!$C:$C,9,Actuals!$D:$D,$B$10,Actuals!$A:$A,LEFT($D$10,FIND("|",$D$10&amp;"|")-1),Actuals!$E:$E,MID($D$10,FIND("|",$D$10&amp;"|")+1,50),Actuals!$F:$F,"USD")*$F$5+SUMIFS(Actuals!$G:$G,Actuals!$B:$B,$C$3,Actuals!$C:$C,9,Actuals!$D:$D,$B$10,Actuals!$A:$A,LEFT($D$10,FIND("|",$D$10&amp;"|")-1),Actuals!$E:$E,MID($D$10,FIND("|",$D$10&amp;"|")+1,50),Actuals!$F:$F,"EUR")*$G$5+SUMIFS(Actuals!$G:$G,Actuals!$B:$B,$C$3,Actuals!$C:$C,9,Actuals!$D:$D,$B$10,Actuals!$A:$A,LEFT($D$10,FIND("|",$D$10&amp;"|")-1),Actuals!$E:$E,MID($D$10,FIND("|",$D$10&amp;"|")+1,50),Actuals!$F:$F,"GBP")*$H$5)</f>
        <v/>
      </c>
      <c r="Q11" s="18">
        <f>IF(OR($B$10="",10&gt;$C$4),"",SUMIFS(Actuals!$G:$G,Actuals!$B:$B,$C$3,Actuals!$C:$C,10,Actuals!$D:$D,$B$10,Actuals!$A:$A,LEFT($D$10,FIND("|",$D$10&amp;"|")-1),Actuals!$E:$E,MID($D$10,FIND("|",$D$10&amp;"|")+1,50),Actuals!$F:$F,"JPY")*$E$5+SUMIFS(Actuals!$G:$G,Actuals!$B:$B,$C$3,Actuals!$C:$C,10,Actuals!$D:$D,$B$10,Actuals!$A:$A,LEFT($D$10,FIND("|",$D$10&amp;"|")-1),Actuals!$E:$E,MID($D$10,FIND("|",$D$10&amp;"|")+1,50),Actuals!$F:$F,"USD")*$F$5+SUMIFS(Actuals!$G:$G,Actuals!$B:$B,$C$3,Actuals!$C:$C,10,Actuals!$D:$D,$B$10,Actuals!$A:$A,LEFT($D$10,FIND("|",$D$10&amp;"|")-1),Actuals!$E:$E,MID($D$10,FIND("|",$D$10&amp;"|")+1,50),Actuals!$F:$F,"EUR")*$G$5+SUMIFS(Actuals!$G:$G,Actuals!$B:$B,$C$3,Actuals!$C:$C,10,Actuals!$D:$D,$B$10,Actuals!$A:$A,LEFT($D$10,FIND("|",$D$10&amp;"|")-1),Actuals!$E:$E,MID($D$10,FIND("|",$D$10&amp;"|")+1,50),Actuals!$F:$F,"GBP")*$H$5)</f>
        <v/>
      </c>
      <c r="R11" s="18">
        <f>IF(OR($B$10="",11&gt;$C$4),"",SUMIFS(Actuals!$G:$G,Actuals!$B:$B,$C$3,Actuals!$C:$C,11,Actuals!$D:$D,$B$10,Actuals!$A:$A,LEFT($D$10,FIND("|",$D$10&amp;"|")-1),Actuals!$E:$E,MID($D$10,FIND("|",$D$10&amp;"|")+1,50),Actuals!$F:$F,"JPY")*$E$5+SUMIFS(Actuals!$G:$G,Actuals!$B:$B,$C$3,Actuals!$C:$C,11,Actuals!$D:$D,$B$10,Actuals!$A:$A,LEFT($D$10,FIND("|",$D$10&amp;"|")-1),Actuals!$E:$E,MID($D$10,FIND("|",$D$10&amp;"|")+1,50),Actuals!$F:$F,"USD")*$F$5+SUMIFS(Actuals!$G:$G,Actuals!$B:$B,$C$3,Actuals!$C:$C,11,Actuals!$D:$D,$B$10,Actuals!$A:$A,LEFT($D$10,FIND("|",$D$10&amp;"|")-1),Actuals!$E:$E,MID($D$10,FIND("|",$D$10&amp;"|")+1,50),Actuals!$F:$F,"EUR")*$G$5+SUMIFS(Actuals!$G:$G,Actuals!$B:$B,$C$3,Actuals!$C:$C,11,Actuals!$D:$D,$B$10,Actuals!$A:$A,LEFT($D$10,FIND("|",$D$10&amp;"|")-1),Actuals!$E:$E,MID($D$10,FIND("|",$D$10&amp;"|")+1,50),Actuals!$F:$F,"GBP")*$H$5)</f>
        <v/>
      </c>
      <c r="S11" s="18">
        <f>IF(OR($B$10="",12&gt;$C$4),"",SUMIFS(Actuals!$G:$G,Actuals!$B:$B,$C$3,Actuals!$C:$C,12,Actuals!$D:$D,$B$10,Actuals!$A:$A,LEFT($D$10,FIND("|",$D$10&amp;"|")-1),Actuals!$E:$E,MID($D$10,FIND("|",$D$10&amp;"|")+1,50),Actuals!$F:$F,"JPY")*$E$5+SUMIFS(Actuals!$G:$G,Actuals!$B:$B,$C$3,Actuals!$C:$C,12,Actuals!$D:$D,$B$10,Actuals!$A:$A,LEFT($D$10,FIND("|",$D$10&amp;"|")-1),Actuals!$E:$E,MID($D$10,FIND("|",$D$10&amp;"|")+1,50),Actuals!$F:$F,"USD")*$F$5+SUMIFS(Actuals!$G:$G,Actuals!$B:$B,$C$3,Actuals!$C:$C,12,Actuals!$D:$D,$B$10,Actuals!$A:$A,LEFT($D$10,FIND("|",$D$10&amp;"|")-1),Actuals!$E:$E,MID($D$10,FIND("|",$D$10&amp;"|")+1,50),Actuals!$F:$F,"EUR")*$G$5+SUMIFS(Actuals!$G:$G,Actuals!$B:$B,$C$3,Actuals!$C:$C,12,Actuals!$D:$D,$B$10,Actuals!$A:$A,LEFT($D$10,FIND("|",$D$10&amp;"|")-1),Actuals!$E:$E,MID($D$10,FIND("|",$D$10&amp;"|")+1,50),Actuals!$F:$F,"GBP")*$H$5)</f>
        <v/>
      </c>
      <c r="T11" s="18">
        <f>IF($B$10="","",SUMIF($H$7:$S$7,"&lt;="&amp;$C$4,$H11:$S11))</f>
        <v/>
      </c>
      <c r="U11" s="18" t="n"/>
      <c r="V11" s="18" t="n"/>
      <c r="X11" s="22">
        <f>IF($B11="","",IFERROR(INDEX(Cost_Centers!$E:$E,MATCH($B11,Cost_Centers!$A:$A,0)),"(unknown)"))</f>
        <v/>
      </c>
      <c r="Y11" s="22">
        <f>IF($B11="","",IFERROR(INDEX(Cost_Centers!$D:$D,MATCH($B11,Cost_Centers!$A:$A,0)),"(unknown)"))</f>
        <v/>
      </c>
      <c r="Z11" s="22">
        <f>IF(OR($B11="",$G11&lt;&gt;"Variance vs Budget"),"",ABS(N($V11))+ROW()/1000000000)</f>
        <v/>
      </c>
    </row>
    <row r="12">
      <c r="A12" s="13">
        <f>IF(A$10="","",A$10)</f>
        <v/>
      </c>
      <c r="B12" s="13">
        <f>IF(B$10="","",B$10)</f>
        <v/>
      </c>
      <c r="C12" s="13">
        <f>IF(C$10="","",C$10)</f>
        <v/>
      </c>
      <c r="D12" s="13">
        <f>IF(D$10="","",D$10)</f>
        <v/>
      </c>
      <c r="E12" s="13">
        <f>IF(E$10="","",E$10)</f>
        <v/>
      </c>
      <c r="F12" s="13">
        <f>IF(F$10="","",F$10)</f>
        <v/>
      </c>
      <c r="G12" s="6" t="inlineStr">
        <is>
          <t>Variance vs Budget</t>
        </is>
      </c>
      <c r="H12" s="33">
        <f>IF(OR($B$10="",1&gt;$C$4),"",N(H11)-H10)</f>
        <v/>
      </c>
      <c r="I12" s="33">
        <f>IF(OR($B$10="",2&gt;$C$4),"",N(I11)-I10)</f>
        <v/>
      </c>
      <c r="J12" s="33">
        <f>IF(OR($B$10="",3&gt;$C$4),"",N(J11)-J10)</f>
        <v/>
      </c>
      <c r="K12" s="33">
        <f>IF(OR($B$10="",4&gt;$C$4),"",N(K11)-K10)</f>
        <v/>
      </c>
      <c r="L12" s="33">
        <f>IF(OR($B$10="",5&gt;$C$4),"",N(L11)-L10)</f>
        <v/>
      </c>
      <c r="M12" s="33">
        <f>IF(OR($B$10="",6&gt;$C$4),"",N(M11)-M10)</f>
        <v/>
      </c>
      <c r="N12" s="33">
        <f>IF(OR($B$10="",7&gt;$C$4),"",N(N11)-N10)</f>
        <v/>
      </c>
      <c r="O12" s="33">
        <f>IF(OR($B$10="",8&gt;$C$4),"",N(O11)-O10)</f>
        <v/>
      </c>
      <c r="P12" s="33">
        <f>IF(OR($B$10="",9&gt;$C$4),"",N(P11)-P10)</f>
        <v/>
      </c>
      <c r="Q12" s="33">
        <f>IF(OR($B$10="",10&gt;$C$4),"",N(Q11)-Q10)</f>
        <v/>
      </c>
      <c r="R12" s="33">
        <f>IF(OR($B$10="",11&gt;$C$4),"",N(R11)-R10)</f>
        <v/>
      </c>
      <c r="S12" s="33">
        <f>IF(OR($B$10="",12&gt;$C$4),"",N(S11)-S10)</f>
        <v/>
      </c>
      <c r="T12" s="33">
        <f>IF($B$10="","",T11-T10)</f>
        <v/>
      </c>
      <c r="U12" s="33">
        <f>IF($B$10="","",U14-U10)</f>
        <v/>
      </c>
      <c r="V12" s="33">
        <f>IF($B$10="","",V14-V10)</f>
        <v/>
      </c>
      <c r="X12" s="22">
        <f>IF($B12="","",IFERROR(INDEX(Cost_Centers!$E:$E,MATCH($B12,Cost_Centers!$A:$A,0)),"(unknown)"))</f>
        <v/>
      </c>
      <c r="Y12" s="22">
        <f>IF($B12="","",IFERROR(INDEX(Cost_Centers!$D:$D,MATCH($B12,Cost_Centers!$A:$A,0)),"(unknown)"))</f>
        <v/>
      </c>
      <c r="Z12" s="22">
        <f>IF(OR($B12="",$G12&lt;&gt;"Variance vs Budget"),"",ABS(N($V12))+ROW()/1000000000)</f>
        <v/>
      </c>
    </row>
    <row r="13">
      <c r="A13" s="13">
        <f>IF(A$10="","",A$10)</f>
        <v/>
      </c>
      <c r="B13" s="13">
        <f>IF(B$10="","",B$10)</f>
        <v/>
      </c>
      <c r="C13" s="13">
        <f>IF(C$10="","",C$10)</f>
        <v/>
      </c>
      <c r="D13" s="13">
        <f>IF(D$10="","",D$10)</f>
        <v/>
      </c>
      <c r="E13" s="13">
        <f>IF(E$10="","",E$10)</f>
        <v/>
      </c>
      <c r="F13" s="13">
        <f>IF(F$10="","",F$10)</f>
        <v/>
      </c>
      <c r="G13" s="7" t="inlineStr">
        <is>
          <t>Forecast (input)</t>
        </is>
      </c>
      <c r="H13" s="34" t="n"/>
      <c r="I13" s="34" t="n"/>
      <c r="J13" s="34" t="n"/>
      <c r="K13" s="34" t="n"/>
      <c r="L13" s="34" t="n"/>
      <c r="M13" s="34" t="n"/>
      <c r="N13" s="34" t="n"/>
      <c r="O13" s="34" t="n"/>
      <c r="P13" s="34" t="n"/>
      <c r="Q13" s="34" t="n"/>
      <c r="R13" s="34" t="n"/>
      <c r="S13" s="34" t="n"/>
      <c r="T13" s="18" t="n"/>
      <c r="U13" s="18" t="n"/>
      <c r="V13" s="18" t="n"/>
      <c r="X13" s="22">
        <f>IF($B13="","",IFERROR(INDEX(Cost_Centers!$E:$E,MATCH($B13,Cost_Centers!$A:$A,0)),"(unknown)"))</f>
        <v/>
      </c>
      <c r="Y13" s="22">
        <f>IF($B13="","",IFERROR(INDEX(Cost_Centers!$D:$D,MATCH($B13,Cost_Centers!$A:$A,0)),"(unknown)"))</f>
        <v/>
      </c>
      <c r="Z13" s="22">
        <f>IF(OR($B13="",$G13&lt;&gt;"Variance vs Budget"),"",ABS(N($V13))+ROW()/1000000000)</f>
        <v/>
      </c>
    </row>
    <row r="14">
      <c r="A14" s="13">
        <f>IF(A$10="","",A$10)</f>
        <v/>
      </c>
      <c r="B14" s="13">
        <f>IF(B$10="","",B$10)</f>
        <v/>
      </c>
      <c r="C14" s="13">
        <f>IF(C$10="","",C$10)</f>
        <v/>
      </c>
      <c r="D14" s="13">
        <f>IF(D$10="","",D$10)</f>
        <v/>
      </c>
      <c r="E14" s="13">
        <f>IF(E$10="","",E$10)</f>
        <v/>
      </c>
      <c r="F14" s="13">
        <f>IF(F$10="","",F$10)</f>
        <v/>
      </c>
      <c r="G14" s="35" t="inlineStr">
        <is>
          <t>Actual + Forecast</t>
        </is>
      </c>
      <c r="H14" s="18">
        <f>IF($B$10="","",IF(1&lt;=$C$4,N(H11),IF(H13="",H10,H13)))</f>
        <v/>
      </c>
      <c r="I14" s="18">
        <f>IF($B$10="","",IF(2&lt;=$C$4,N(I11),IF(I13="",I10,I13)))</f>
        <v/>
      </c>
      <c r="J14" s="18">
        <f>IF($B$10="","",IF(3&lt;=$C$4,N(J11),IF(J13="",J10,J13)))</f>
        <v/>
      </c>
      <c r="K14" s="18">
        <f>IF($B$10="","",IF(4&lt;=$C$4,N(K11),IF(K13="",K10,K13)))</f>
        <v/>
      </c>
      <c r="L14" s="18">
        <f>IF($B$10="","",IF(5&lt;=$C$4,N(L11),IF(L13="",L10,L13)))</f>
        <v/>
      </c>
      <c r="M14" s="18">
        <f>IF($B$10="","",IF(6&lt;=$C$4,N(M11),IF(M13="",M10,M13)))</f>
        <v/>
      </c>
      <c r="N14" s="18">
        <f>IF($B$10="","",IF(7&lt;=$C$4,N(N11),IF(N13="",N10,N13)))</f>
        <v/>
      </c>
      <c r="O14" s="18">
        <f>IF($B$10="","",IF(8&lt;=$C$4,N(O11),IF(O13="",O10,O13)))</f>
        <v/>
      </c>
      <c r="P14" s="18">
        <f>IF($B$10="","",IF(9&lt;=$C$4,N(P11),IF(P13="",P10,P13)))</f>
        <v/>
      </c>
      <c r="Q14" s="18">
        <f>IF($B$10="","",IF(10&lt;=$C$4,N(Q11),IF(Q13="",Q10,Q13)))</f>
        <v/>
      </c>
      <c r="R14" s="18">
        <f>IF($B$10="","",IF(11&lt;=$C$4,N(R11),IF(R13="",R10,R13)))</f>
        <v/>
      </c>
      <c r="S14" s="18">
        <f>IF($B$10="","",IF(12&lt;=$C$4,N(S11),IF(S13="",S10,S13)))</f>
        <v/>
      </c>
      <c r="T14" s="18">
        <f>IF($B$10="","",SUMIF($H$7:$S$7,"&lt;="&amp;$C$4,$H14:$S14))</f>
        <v/>
      </c>
      <c r="U14" s="18">
        <f>IF($B$10="","",SUMIF($H$7:$S$7,"&gt;"&amp;$C$4,$H14:$S14))</f>
        <v/>
      </c>
      <c r="V14" s="18">
        <f>IF($B$10="","",SUM($H14:$S14))</f>
        <v/>
      </c>
      <c r="X14" s="22">
        <f>IF($B14="","",IFERROR(INDEX(Cost_Centers!$E:$E,MATCH($B14,Cost_Centers!$A:$A,0)),"(unknown)"))</f>
        <v/>
      </c>
      <c r="Y14" s="22">
        <f>IF($B14="","",IFERROR(INDEX(Cost_Centers!$D:$D,MATCH($B14,Cost_Centers!$A:$A,0)),"(unknown)"))</f>
        <v/>
      </c>
      <c r="Z14" s="22">
        <f>IF(OR($B14="",$G14&lt;&gt;"Variance vs Budget"),"",ABS(N($V14))+ROW()/1000000000)</f>
        <v/>
      </c>
    </row>
    <row r="15">
      <c r="A15" s="13">
        <f>IF(A$10="","",A$10)</f>
        <v/>
      </c>
      <c r="B15" s="13">
        <f>IF(B$10="","",B$10)</f>
        <v/>
      </c>
      <c r="C15" s="13">
        <f>IF(C$10="","",C$10)</f>
        <v/>
      </c>
      <c r="D15" s="13">
        <f>IF(D$10="","",D$10)</f>
        <v/>
      </c>
      <c r="E15" s="13">
        <f>IF(E$10="","",E$10)</f>
        <v/>
      </c>
      <c r="F15" s="13">
        <f>IF(F$10="","",F$10)</f>
        <v/>
      </c>
      <c r="G15" s="36" t="inlineStr">
        <is>
          <t>Prior Month Forecast</t>
        </is>
      </c>
      <c r="H15" s="37">
        <f>IF($B$10="","",IF(COUNTIFS(Prior_Forecast!$A:$A,$B$10,Prior_Forecast!$B:$B,$D$10)&gt;0,SUMIFS(Prior_Forecast!$C:$C,Prior_Forecast!$A:$A,$B$10,Prior_Forecast!$B:$B,$D$10),""))</f>
        <v/>
      </c>
      <c r="I15" s="37">
        <f>IF($B$10="","",IF(COUNTIFS(Prior_Forecast!$A:$A,$B$10,Prior_Forecast!$B:$B,$D$10)&gt;0,SUMIFS(Prior_Forecast!$D:$D,Prior_Forecast!$A:$A,$B$10,Prior_Forecast!$B:$B,$D$10),""))</f>
        <v/>
      </c>
      <c r="J15" s="37">
        <f>IF($B$10="","",IF(COUNTIFS(Prior_Forecast!$A:$A,$B$10,Prior_Forecast!$B:$B,$D$10)&gt;0,SUMIFS(Prior_Forecast!$E:$E,Prior_Forecast!$A:$A,$B$10,Prior_Forecast!$B:$B,$D$10),""))</f>
        <v/>
      </c>
      <c r="K15" s="37">
        <f>IF($B$10="","",IF(COUNTIFS(Prior_Forecast!$A:$A,$B$10,Prior_Forecast!$B:$B,$D$10)&gt;0,SUMIFS(Prior_Forecast!$F:$F,Prior_Forecast!$A:$A,$B$10,Prior_Forecast!$B:$B,$D$10),""))</f>
        <v/>
      </c>
      <c r="L15" s="37">
        <f>IF($B$10="","",IF(COUNTIFS(Prior_Forecast!$A:$A,$B$10,Prior_Forecast!$B:$B,$D$10)&gt;0,SUMIFS(Prior_Forecast!$G:$G,Prior_Forecast!$A:$A,$B$10,Prior_Forecast!$B:$B,$D$10),""))</f>
        <v/>
      </c>
      <c r="M15" s="37">
        <f>IF($B$10="","",IF(COUNTIFS(Prior_Forecast!$A:$A,$B$10,Prior_Forecast!$B:$B,$D$10)&gt;0,SUMIFS(Prior_Forecast!$H:$H,Prior_Forecast!$A:$A,$B$10,Prior_Forecast!$B:$B,$D$10),""))</f>
        <v/>
      </c>
      <c r="N15" s="37">
        <f>IF($B$10="","",IF(COUNTIFS(Prior_Forecast!$A:$A,$B$10,Prior_Forecast!$B:$B,$D$10)&gt;0,SUMIFS(Prior_Forecast!$I:$I,Prior_Forecast!$A:$A,$B$10,Prior_Forecast!$B:$B,$D$10),""))</f>
        <v/>
      </c>
      <c r="O15" s="37">
        <f>IF($B$10="","",IF(COUNTIFS(Prior_Forecast!$A:$A,$B$10,Prior_Forecast!$B:$B,$D$10)&gt;0,SUMIFS(Prior_Forecast!$J:$J,Prior_Forecast!$A:$A,$B$10,Prior_Forecast!$B:$B,$D$10),""))</f>
        <v/>
      </c>
      <c r="P15" s="37">
        <f>IF($B$10="","",IF(COUNTIFS(Prior_Forecast!$A:$A,$B$10,Prior_Forecast!$B:$B,$D$10)&gt;0,SUMIFS(Prior_Forecast!$K:$K,Prior_Forecast!$A:$A,$B$10,Prior_Forecast!$B:$B,$D$10),""))</f>
        <v/>
      </c>
      <c r="Q15" s="37">
        <f>IF($B$10="","",IF(COUNTIFS(Prior_Forecast!$A:$A,$B$10,Prior_Forecast!$B:$B,$D$10)&gt;0,SUMIFS(Prior_Forecast!$L:$L,Prior_Forecast!$A:$A,$B$10,Prior_Forecast!$B:$B,$D$10),""))</f>
        <v/>
      </c>
      <c r="R15" s="37">
        <f>IF($B$10="","",IF(COUNTIFS(Prior_Forecast!$A:$A,$B$10,Prior_Forecast!$B:$B,$D$10)&gt;0,SUMIFS(Prior_Forecast!$M:$M,Prior_Forecast!$A:$A,$B$10,Prior_Forecast!$B:$B,$D$10),""))</f>
        <v/>
      </c>
      <c r="S15" s="37">
        <f>IF($B$10="","",IF(COUNTIFS(Prior_Forecast!$A:$A,$B$10,Prior_Forecast!$B:$B,$D$10)&gt;0,SUMIFS(Prior_Forecast!$N:$N,Prior_Forecast!$A:$A,$B$10,Prior_Forecast!$B:$B,$D$10),""))</f>
        <v/>
      </c>
      <c r="T15" s="37">
        <f>IF($B$10="","",IF(COUNTIFS(Prior_Forecast!$A:$A,$B$10,Prior_Forecast!$B:$B,$D$10)&gt;0,SUMIFS(Prior_Forecast!$O:$O,Prior_Forecast!$A:$A,$B$10,Prior_Forecast!$B:$B,$D$10),""))</f>
        <v/>
      </c>
      <c r="U15" s="37">
        <f>IF($B$10="","",IF(COUNTIFS(Prior_Forecast!$A:$A,$B$10,Prior_Forecast!$B:$B,$D$10)&gt;0,SUMIFS(Prior_Forecast!$P:$P,Prior_Forecast!$A:$A,$B$10,Prior_Forecast!$B:$B,$D$10),""))</f>
        <v/>
      </c>
      <c r="V15" s="37">
        <f>IF($B$10="","",IF(COUNTIFS(Prior_Forecast!$A:$A,$B$10,Prior_Forecast!$B:$B,$D$10)&gt;0,SUMIFS(Prior_Forecast!$Q:$Q,Prior_Forecast!$A:$A,$B$10,Prior_Forecast!$B:$B,$D$10),""))</f>
        <v/>
      </c>
      <c r="X15" s="22">
        <f>IF($B15="","",IFERROR(INDEX(Cost_Centers!$E:$E,MATCH($B15,Cost_Centers!$A:$A,0)),"(unknown)"))</f>
        <v/>
      </c>
      <c r="Y15" s="22">
        <f>IF($B15="","",IFERROR(INDEX(Cost_Centers!$D:$D,MATCH($B15,Cost_Centers!$A:$A,0)),"(unknown)"))</f>
        <v/>
      </c>
      <c r="Z15" s="22">
        <f>IF(OR($B15="",$G15&lt;&gt;"Variance vs Budget"),"",ABS(N($V15))+ROW()/1000000000)</f>
        <v/>
      </c>
    </row>
    <row r="16">
      <c r="A16" s="13">
        <f>IF(A$10="","",A$10)</f>
        <v/>
      </c>
      <c r="B16" s="13">
        <f>IF(B$10="","",B$10)</f>
        <v/>
      </c>
      <c r="C16" s="13">
        <f>IF(C$10="","",C$10)</f>
        <v/>
      </c>
      <c r="D16" s="13">
        <f>IF(D$10="","",D$10)</f>
        <v/>
      </c>
      <c r="E16" s="13">
        <f>IF(E$10="","",E$10)</f>
        <v/>
      </c>
      <c r="F16" s="13">
        <f>IF(F$10="","",F$10)</f>
        <v/>
      </c>
      <c r="G16" s="6" t="inlineStr">
        <is>
          <t>Variance vs Prior Month</t>
        </is>
      </c>
      <c r="H16" s="33">
        <f>IF(OR($B$10="",H15=""),"",H14-H15)</f>
        <v/>
      </c>
      <c r="I16" s="33">
        <f>IF(OR($B$10="",I15=""),"",I14-I15)</f>
        <v/>
      </c>
      <c r="J16" s="33">
        <f>IF(OR($B$10="",J15=""),"",J14-J15)</f>
        <v/>
      </c>
      <c r="K16" s="33">
        <f>IF(OR($B$10="",K15=""),"",K14-K15)</f>
        <v/>
      </c>
      <c r="L16" s="33">
        <f>IF(OR($B$10="",L15=""),"",L14-L15)</f>
        <v/>
      </c>
      <c r="M16" s="33">
        <f>IF(OR($B$10="",M15=""),"",M14-M15)</f>
        <v/>
      </c>
      <c r="N16" s="33">
        <f>IF(OR($B$10="",N15=""),"",N14-N15)</f>
        <v/>
      </c>
      <c r="O16" s="33">
        <f>IF(OR($B$10="",O15=""),"",O14-O15)</f>
        <v/>
      </c>
      <c r="P16" s="33">
        <f>IF(OR($B$10="",P15=""),"",P14-P15)</f>
        <v/>
      </c>
      <c r="Q16" s="33">
        <f>IF(OR($B$10="",Q15=""),"",Q14-Q15)</f>
        <v/>
      </c>
      <c r="R16" s="33">
        <f>IF(OR($B$10="",R15=""),"",R14-R15)</f>
        <v/>
      </c>
      <c r="S16" s="33">
        <f>IF(OR($B$10="",S15=""),"",S14-S15)</f>
        <v/>
      </c>
      <c r="T16" s="33">
        <f>IF(OR($B$10="",T15=""),"",T14-T15)</f>
        <v/>
      </c>
      <c r="U16" s="33">
        <f>IF(OR($B$10="",U15=""),"",U14-U15)</f>
        <v/>
      </c>
      <c r="V16" s="33">
        <f>IF(OR($B$10="",V15=""),"",V14-V15)</f>
        <v/>
      </c>
      <c r="X16" s="22">
        <f>IF($B16="","",IFERROR(INDEX(Cost_Centers!$E:$E,MATCH($B16,Cost_Centers!$A:$A,0)),"(unknown)"))</f>
        <v/>
      </c>
      <c r="Y16" s="22">
        <f>IF($B16="","",IFERROR(INDEX(Cost_Centers!$D:$D,MATCH($B16,Cost_Centers!$A:$A,0)),"(unknown)"))</f>
        <v/>
      </c>
      <c r="Z16" s="22">
        <f>IF(OR($B16="",$G16&lt;&gt;"Variance vs Budget"),"",ABS(N($V16))+ROW()/1000000000)</f>
        <v/>
      </c>
    </row>
    <row r="17" ht="45" customHeight="1">
      <c r="A17" s="13">
        <f>IF(A$10="","",A$10)</f>
        <v/>
      </c>
      <c r="B17" s="13">
        <f>IF(B$10="","",B$10)</f>
        <v/>
      </c>
      <c r="C17" s="13">
        <f>IF(C$10="","",C$10)</f>
        <v/>
      </c>
      <c r="D17" s="13">
        <f>IF(D$10="","",D$10)</f>
        <v/>
      </c>
      <c r="E17" s="13">
        <f>IF(E$10="","",E$10)</f>
        <v/>
      </c>
      <c r="F17" s="13">
        <f>IF(F$10="","",F$10)</f>
        <v/>
      </c>
      <c r="G17" s="7" t="inlineStr">
        <is>
          <t>Rationale</t>
        </is>
      </c>
      <c r="H17" s="38" t="n"/>
      <c r="I17" s="38" t="n"/>
      <c r="J17" s="38" t="n"/>
      <c r="K17" s="38" t="n"/>
      <c r="L17" s="38" t="n"/>
      <c r="M17" s="38" t="n"/>
      <c r="N17" s="38" t="n"/>
      <c r="O17" s="38" t="n"/>
      <c r="P17" s="38" t="n"/>
      <c r="Q17" s="38" t="n"/>
      <c r="R17" s="38" t="n"/>
      <c r="S17" s="38" t="n"/>
      <c r="T17" s="38" t="n"/>
      <c r="U17" s="38" t="n"/>
      <c r="V17" s="7" t="n"/>
      <c r="X17" s="22">
        <f>IF($B17="","",IFERROR(INDEX(Cost_Centers!$E:$E,MATCH($B17,Cost_Centers!$A:$A,0)),"(unknown)"))</f>
        <v/>
      </c>
      <c r="Y17" s="22">
        <f>IF($B17="","",IFERROR(INDEX(Cost_Centers!$D:$D,MATCH($B17,Cost_Centers!$A:$A,0)),"(unknown)"))</f>
        <v/>
      </c>
      <c r="Z17" s="22">
        <f>IF(OR($B17="",$G17&lt;&gt;"Variance vs Budget"),"",ABS(N($V17))+ROW()/1000000000)</f>
        <v/>
      </c>
    </row>
    <row r="18">
      <c r="A18" s="30">
        <f>IF($D$18="","",LEFT($D$18,FIND("|",$D$18&amp;"|")-1))</f>
        <v/>
      </c>
      <c r="B18" s="31" t="n"/>
      <c r="C18" s="30">
        <f>IF($B$18="","",IFERROR(INDEX(Cost_Centers!$B:$B,MATCH($B$18,Cost_Centers!$A:$A,0)),"(not in master)"))</f>
        <v/>
      </c>
      <c r="D18" s="31" t="n"/>
      <c r="E18" s="30">
        <f>IF($D$18="","",IFERROR(INDEX(Accounts!$D:$D,MATCH($D$18,Accounts!$A:$A,0)),"(not in master)"))</f>
        <v/>
      </c>
      <c r="F18" s="31" t="n"/>
      <c r="G18" s="30" t="inlineStr">
        <is>
          <t>Budget</t>
        </is>
      </c>
      <c r="H18" s="32">
        <f>IF($B$18="","",SUMIFS(Opex_Budget!$O:$O,Opex_Budget!$A:$A,$C$3,Opex_Budget!$E:$E,$B$18,Opex_Budget!$F:$F,$D$18,Opex_Budget!$N:$N,"JPY")*$E$5+SUMIFS(Opex_Budget!$O:$O,Opex_Budget!$A:$A,$C$3,Opex_Budget!$E:$E,$B$18,Opex_Budget!$F:$F,$D$18,Opex_Budget!$N:$N,"USD")*$F$5+SUMIFS(Opex_Budget!$O:$O,Opex_Budget!$A:$A,$C$3,Opex_Budget!$E:$E,$B$18,Opex_Budget!$F:$F,$D$18,Opex_Budget!$N:$N,"EUR")*$G$5+SUMIFS(Opex_Budget!$O:$O,Opex_Budget!$A:$A,$C$3,Opex_Budget!$E:$E,$B$18,Opex_Budget!$F:$F,$D$18,Opex_Budget!$N:$N,"GBP")*$H$5)</f>
        <v/>
      </c>
      <c r="I18" s="32">
        <f>IF($B$18="","",SUMIFS(Opex_Budget!$P:$P,Opex_Budget!$A:$A,$C$3,Opex_Budget!$E:$E,$B$18,Opex_Budget!$F:$F,$D$18,Opex_Budget!$N:$N,"JPY")*$E$5+SUMIFS(Opex_Budget!$P:$P,Opex_Budget!$A:$A,$C$3,Opex_Budget!$E:$E,$B$18,Opex_Budget!$F:$F,$D$18,Opex_Budget!$N:$N,"USD")*$F$5+SUMIFS(Opex_Budget!$P:$P,Opex_Budget!$A:$A,$C$3,Opex_Budget!$E:$E,$B$18,Opex_Budget!$F:$F,$D$18,Opex_Budget!$N:$N,"EUR")*$G$5+SUMIFS(Opex_Budget!$P:$P,Opex_Budget!$A:$A,$C$3,Opex_Budget!$E:$E,$B$18,Opex_Budget!$F:$F,$D$18,Opex_Budget!$N:$N,"GBP")*$H$5)</f>
        <v/>
      </c>
      <c r="J18" s="32">
        <f>IF($B$18="","",SUMIFS(Opex_Budget!$Q:$Q,Opex_Budget!$A:$A,$C$3,Opex_Budget!$E:$E,$B$18,Opex_Budget!$F:$F,$D$18,Opex_Budget!$N:$N,"JPY")*$E$5+SUMIFS(Opex_Budget!$Q:$Q,Opex_Budget!$A:$A,$C$3,Opex_Budget!$E:$E,$B$18,Opex_Budget!$F:$F,$D$18,Opex_Budget!$N:$N,"USD")*$F$5+SUMIFS(Opex_Budget!$Q:$Q,Opex_Budget!$A:$A,$C$3,Opex_Budget!$E:$E,$B$18,Opex_Budget!$F:$F,$D$18,Opex_Budget!$N:$N,"EUR")*$G$5+SUMIFS(Opex_Budget!$Q:$Q,Opex_Budget!$A:$A,$C$3,Opex_Budget!$E:$E,$B$18,Opex_Budget!$F:$F,$D$18,Opex_Budget!$N:$N,"GBP")*$H$5)</f>
        <v/>
      </c>
      <c r="K18" s="32">
        <f>IF($B$18="","",SUMIFS(Opex_Budget!$R:$R,Opex_Budget!$A:$A,$C$3,Opex_Budget!$E:$E,$B$18,Opex_Budget!$F:$F,$D$18,Opex_Budget!$N:$N,"JPY")*$E$5+SUMIFS(Opex_Budget!$R:$R,Opex_Budget!$A:$A,$C$3,Opex_Budget!$E:$E,$B$18,Opex_Budget!$F:$F,$D$18,Opex_Budget!$N:$N,"USD")*$F$5+SUMIFS(Opex_Budget!$R:$R,Opex_Budget!$A:$A,$C$3,Opex_Budget!$E:$E,$B$18,Opex_Budget!$F:$F,$D$18,Opex_Budget!$N:$N,"EUR")*$G$5+SUMIFS(Opex_Budget!$R:$R,Opex_Budget!$A:$A,$C$3,Opex_Budget!$E:$E,$B$18,Opex_Budget!$F:$F,$D$18,Opex_Budget!$N:$N,"GBP")*$H$5)</f>
        <v/>
      </c>
      <c r="L18" s="32">
        <f>IF($B$18="","",SUMIFS(Opex_Budget!$S:$S,Opex_Budget!$A:$A,$C$3,Opex_Budget!$E:$E,$B$18,Opex_Budget!$F:$F,$D$18,Opex_Budget!$N:$N,"JPY")*$E$5+SUMIFS(Opex_Budget!$S:$S,Opex_Budget!$A:$A,$C$3,Opex_Budget!$E:$E,$B$18,Opex_Budget!$F:$F,$D$18,Opex_Budget!$N:$N,"USD")*$F$5+SUMIFS(Opex_Budget!$S:$S,Opex_Budget!$A:$A,$C$3,Opex_Budget!$E:$E,$B$18,Opex_Budget!$F:$F,$D$18,Opex_Budget!$N:$N,"EUR")*$G$5+SUMIFS(Opex_Budget!$S:$S,Opex_Budget!$A:$A,$C$3,Opex_Budget!$E:$E,$B$18,Opex_Budget!$F:$F,$D$18,Opex_Budget!$N:$N,"GBP")*$H$5)</f>
        <v/>
      </c>
      <c r="M18" s="32">
        <f>IF($B$18="","",SUMIFS(Opex_Budget!$T:$T,Opex_Budget!$A:$A,$C$3,Opex_Budget!$E:$E,$B$18,Opex_Budget!$F:$F,$D$18,Opex_Budget!$N:$N,"JPY")*$E$5+SUMIFS(Opex_Budget!$T:$T,Opex_Budget!$A:$A,$C$3,Opex_Budget!$E:$E,$B$18,Opex_Budget!$F:$F,$D$18,Opex_Budget!$N:$N,"USD")*$F$5+SUMIFS(Opex_Budget!$T:$T,Opex_Budget!$A:$A,$C$3,Opex_Budget!$E:$E,$B$18,Opex_Budget!$F:$F,$D$18,Opex_Budget!$N:$N,"EUR")*$G$5+SUMIFS(Opex_Budget!$T:$T,Opex_Budget!$A:$A,$C$3,Opex_Budget!$E:$E,$B$18,Opex_Budget!$F:$F,$D$18,Opex_Budget!$N:$N,"GBP")*$H$5)</f>
        <v/>
      </c>
      <c r="N18" s="32">
        <f>IF($B$18="","",SUMIFS(Opex_Budget!$U:$U,Opex_Budget!$A:$A,$C$3,Opex_Budget!$E:$E,$B$18,Opex_Budget!$F:$F,$D$18,Opex_Budget!$N:$N,"JPY")*$E$5+SUMIFS(Opex_Budget!$U:$U,Opex_Budget!$A:$A,$C$3,Opex_Budget!$E:$E,$B$18,Opex_Budget!$F:$F,$D$18,Opex_Budget!$N:$N,"USD")*$F$5+SUMIFS(Opex_Budget!$U:$U,Opex_Budget!$A:$A,$C$3,Opex_Budget!$E:$E,$B$18,Opex_Budget!$F:$F,$D$18,Opex_Budget!$N:$N,"EUR")*$G$5+SUMIFS(Opex_Budget!$U:$U,Opex_Budget!$A:$A,$C$3,Opex_Budget!$E:$E,$B$18,Opex_Budget!$F:$F,$D$18,Opex_Budget!$N:$N,"GBP")*$H$5)</f>
        <v/>
      </c>
      <c r="O18" s="32">
        <f>IF($B$18="","",SUMIFS(Opex_Budget!$V:$V,Opex_Budget!$A:$A,$C$3,Opex_Budget!$E:$E,$B$18,Opex_Budget!$F:$F,$D$18,Opex_Budget!$N:$N,"JPY")*$E$5+SUMIFS(Opex_Budget!$V:$V,Opex_Budget!$A:$A,$C$3,Opex_Budget!$E:$E,$B$18,Opex_Budget!$F:$F,$D$18,Opex_Budget!$N:$N,"USD")*$F$5+SUMIFS(Opex_Budget!$V:$V,Opex_Budget!$A:$A,$C$3,Opex_Budget!$E:$E,$B$18,Opex_Budget!$F:$F,$D$18,Opex_Budget!$N:$N,"EUR")*$G$5+SUMIFS(Opex_Budget!$V:$V,Opex_Budget!$A:$A,$C$3,Opex_Budget!$E:$E,$B$18,Opex_Budget!$F:$F,$D$18,Opex_Budget!$N:$N,"GBP")*$H$5)</f>
        <v/>
      </c>
      <c r="P18" s="32">
        <f>IF($B$18="","",SUMIFS(Opex_Budget!$W:$W,Opex_Budget!$A:$A,$C$3,Opex_Budget!$E:$E,$B$18,Opex_Budget!$F:$F,$D$18,Opex_Budget!$N:$N,"JPY")*$E$5+SUMIFS(Opex_Budget!$W:$W,Opex_Budget!$A:$A,$C$3,Opex_Budget!$E:$E,$B$18,Opex_Budget!$F:$F,$D$18,Opex_Budget!$N:$N,"USD")*$F$5+SUMIFS(Opex_Budget!$W:$W,Opex_Budget!$A:$A,$C$3,Opex_Budget!$E:$E,$B$18,Opex_Budget!$F:$F,$D$18,Opex_Budget!$N:$N,"EUR")*$G$5+SUMIFS(Opex_Budget!$W:$W,Opex_Budget!$A:$A,$C$3,Opex_Budget!$E:$E,$B$18,Opex_Budget!$F:$F,$D$18,Opex_Budget!$N:$N,"GBP")*$H$5)</f>
        <v/>
      </c>
      <c r="Q18" s="32">
        <f>IF($B$18="","",SUMIFS(Opex_Budget!$X:$X,Opex_Budget!$A:$A,$C$3,Opex_Budget!$E:$E,$B$18,Opex_Budget!$F:$F,$D$18,Opex_Budget!$N:$N,"JPY")*$E$5+SUMIFS(Opex_Budget!$X:$X,Opex_Budget!$A:$A,$C$3,Opex_Budget!$E:$E,$B$18,Opex_Budget!$F:$F,$D$18,Opex_Budget!$N:$N,"USD")*$F$5+SUMIFS(Opex_Budget!$X:$X,Opex_Budget!$A:$A,$C$3,Opex_Budget!$E:$E,$B$18,Opex_Budget!$F:$F,$D$18,Opex_Budget!$N:$N,"EUR")*$G$5+SUMIFS(Opex_Budget!$X:$X,Opex_Budget!$A:$A,$C$3,Opex_Budget!$E:$E,$B$18,Opex_Budget!$F:$F,$D$18,Opex_Budget!$N:$N,"GBP")*$H$5)</f>
        <v/>
      </c>
      <c r="R18" s="32">
        <f>IF($B$18="","",SUMIFS(Opex_Budget!$Y:$Y,Opex_Budget!$A:$A,$C$3,Opex_Budget!$E:$E,$B$18,Opex_Budget!$F:$F,$D$18,Opex_Budget!$N:$N,"JPY")*$E$5+SUMIFS(Opex_Budget!$Y:$Y,Opex_Budget!$A:$A,$C$3,Opex_Budget!$E:$E,$B$18,Opex_Budget!$F:$F,$D$18,Opex_Budget!$N:$N,"USD")*$F$5+SUMIFS(Opex_Budget!$Y:$Y,Opex_Budget!$A:$A,$C$3,Opex_Budget!$E:$E,$B$18,Opex_Budget!$F:$F,$D$18,Opex_Budget!$N:$N,"EUR")*$G$5+SUMIFS(Opex_Budget!$Y:$Y,Opex_Budget!$A:$A,$C$3,Opex_Budget!$E:$E,$B$18,Opex_Budget!$F:$F,$D$18,Opex_Budget!$N:$N,"GBP")*$H$5)</f>
        <v/>
      </c>
      <c r="S18" s="32">
        <f>IF($B$18="","",SUMIFS(Opex_Budget!$Z:$Z,Opex_Budget!$A:$A,$C$3,Opex_Budget!$E:$E,$B$18,Opex_Budget!$F:$F,$D$18,Opex_Budget!$N:$N,"JPY")*$E$5+SUMIFS(Opex_Budget!$Z:$Z,Opex_Budget!$A:$A,$C$3,Opex_Budget!$E:$E,$B$18,Opex_Budget!$F:$F,$D$18,Opex_Budget!$N:$N,"USD")*$F$5+SUMIFS(Opex_Budget!$Z:$Z,Opex_Budget!$A:$A,$C$3,Opex_Budget!$E:$E,$B$18,Opex_Budget!$F:$F,$D$18,Opex_Budget!$N:$N,"EUR")*$G$5+SUMIFS(Opex_Budget!$Z:$Z,Opex_Budget!$A:$A,$C$3,Opex_Budget!$E:$E,$B$18,Opex_Budget!$F:$F,$D$18,Opex_Budget!$N:$N,"GBP")*$H$5)</f>
        <v/>
      </c>
      <c r="T18" s="32">
        <f>IF($B$18="","",SUMIF($H$7:$S$7,"&lt;="&amp;$C$4,$H18:$S18))</f>
        <v/>
      </c>
      <c r="U18" s="32">
        <f>IF($B$18="","",SUMIF($H$7:$S$7,"&gt;"&amp;$C$4,$H18:$S18))</f>
        <v/>
      </c>
      <c r="V18" s="32">
        <f>IF($B$18="","",SUM($H18:$S18))</f>
        <v/>
      </c>
      <c r="X18" s="22">
        <f>IF($B18="","",IFERROR(INDEX(Cost_Centers!$E:$E,MATCH($B18,Cost_Centers!$A:$A,0)),"(unknown)"))</f>
        <v/>
      </c>
      <c r="Y18" s="22">
        <f>IF($B18="","",IFERROR(INDEX(Cost_Centers!$D:$D,MATCH($B18,Cost_Centers!$A:$A,0)),"(unknown)"))</f>
        <v/>
      </c>
      <c r="Z18" s="22">
        <f>IF(OR($B18="",$G18&lt;&gt;"Variance vs Budget"),"",ABS(N($V18))+ROW()/1000000000)</f>
        <v/>
      </c>
    </row>
    <row r="19">
      <c r="A19" s="13">
        <f>IF(A$18="","",A$18)</f>
        <v/>
      </c>
      <c r="B19" s="13">
        <f>IF(B$18="","",B$18)</f>
        <v/>
      </c>
      <c r="C19" s="13">
        <f>IF(C$18="","",C$18)</f>
        <v/>
      </c>
      <c r="D19" s="13">
        <f>IF(D$18="","",D$18)</f>
        <v/>
      </c>
      <c r="E19" s="13">
        <f>IF(E$18="","",E$18)</f>
        <v/>
      </c>
      <c r="F19" s="13">
        <f>IF(F$18="","",F$18)</f>
        <v/>
      </c>
      <c r="G19" s="7" t="inlineStr">
        <is>
          <t>Actual</t>
        </is>
      </c>
      <c r="H19" s="18">
        <f>IF(OR($B$18="",1&gt;$C$4),"",SUMIFS(Actuals!$G:$G,Actuals!$B:$B,$C$3,Actuals!$C:$C,1,Actuals!$D:$D,$B$18,Actuals!$A:$A,LEFT($D$18,FIND("|",$D$18&amp;"|")-1),Actuals!$E:$E,MID($D$18,FIND("|",$D$18&amp;"|")+1,50),Actuals!$F:$F,"JPY")*$E$5+SUMIFS(Actuals!$G:$G,Actuals!$B:$B,$C$3,Actuals!$C:$C,1,Actuals!$D:$D,$B$18,Actuals!$A:$A,LEFT($D$18,FIND("|",$D$18&amp;"|")-1),Actuals!$E:$E,MID($D$18,FIND("|",$D$18&amp;"|")+1,50),Actuals!$F:$F,"USD")*$F$5+SUMIFS(Actuals!$G:$G,Actuals!$B:$B,$C$3,Actuals!$C:$C,1,Actuals!$D:$D,$B$18,Actuals!$A:$A,LEFT($D$18,FIND("|",$D$18&amp;"|")-1),Actuals!$E:$E,MID($D$18,FIND("|",$D$18&amp;"|")+1,50),Actuals!$F:$F,"EUR")*$G$5+SUMIFS(Actuals!$G:$G,Actuals!$B:$B,$C$3,Actuals!$C:$C,1,Actuals!$D:$D,$B$18,Actuals!$A:$A,LEFT($D$18,FIND("|",$D$18&amp;"|")-1),Actuals!$E:$E,MID($D$18,FIND("|",$D$18&amp;"|")+1,50),Actuals!$F:$F,"GBP")*$H$5)</f>
        <v/>
      </c>
      <c r="I19" s="18">
        <f>IF(OR($B$18="",2&gt;$C$4),"",SUMIFS(Actuals!$G:$G,Actuals!$B:$B,$C$3,Actuals!$C:$C,2,Actuals!$D:$D,$B$18,Actuals!$A:$A,LEFT($D$18,FIND("|",$D$18&amp;"|")-1),Actuals!$E:$E,MID($D$18,FIND("|",$D$18&amp;"|")+1,50),Actuals!$F:$F,"JPY")*$E$5+SUMIFS(Actuals!$G:$G,Actuals!$B:$B,$C$3,Actuals!$C:$C,2,Actuals!$D:$D,$B$18,Actuals!$A:$A,LEFT($D$18,FIND("|",$D$18&amp;"|")-1),Actuals!$E:$E,MID($D$18,FIND("|",$D$18&amp;"|")+1,50),Actuals!$F:$F,"USD")*$F$5+SUMIFS(Actuals!$G:$G,Actuals!$B:$B,$C$3,Actuals!$C:$C,2,Actuals!$D:$D,$B$18,Actuals!$A:$A,LEFT($D$18,FIND("|",$D$18&amp;"|")-1),Actuals!$E:$E,MID($D$18,FIND("|",$D$18&amp;"|")+1,50),Actuals!$F:$F,"EUR")*$G$5+SUMIFS(Actuals!$G:$G,Actuals!$B:$B,$C$3,Actuals!$C:$C,2,Actuals!$D:$D,$B$18,Actuals!$A:$A,LEFT($D$18,FIND("|",$D$18&amp;"|")-1),Actuals!$E:$E,MID($D$18,FIND("|",$D$18&amp;"|")+1,50),Actuals!$F:$F,"GBP")*$H$5)</f>
        <v/>
      </c>
      <c r="J19" s="18">
        <f>IF(OR($B$18="",3&gt;$C$4),"",SUMIFS(Actuals!$G:$G,Actuals!$B:$B,$C$3,Actuals!$C:$C,3,Actuals!$D:$D,$B$18,Actuals!$A:$A,LEFT($D$18,FIND("|",$D$18&amp;"|")-1),Actuals!$E:$E,MID($D$18,FIND("|",$D$18&amp;"|")+1,50),Actuals!$F:$F,"JPY")*$E$5+SUMIFS(Actuals!$G:$G,Actuals!$B:$B,$C$3,Actuals!$C:$C,3,Actuals!$D:$D,$B$18,Actuals!$A:$A,LEFT($D$18,FIND("|",$D$18&amp;"|")-1),Actuals!$E:$E,MID($D$18,FIND("|",$D$18&amp;"|")+1,50),Actuals!$F:$F,"USD")*$F$5+SUMIFS(Actuals!$G:$G,Actuals!$B:$B,$C$3,Actuals!$C:$C,3,Actuals!$D:$D,$B$18,Actuals!$A:$A,LEFT($D$18,FIND("|",$D$18&amp;"|")-1),Actuals!$E:$E,MID($D$18,FIND("|",$D$18&amp;"|")+1,50),Actuals!$F:$F,"EUR")*$G$5+SUMIFS(Actuals!$G:$G,Actuals!$B:$B,$C$3,Actuals!$C:$C,3,Actuals!$D:$D,$B$18,Actuals!$A:$A,LEFT($D$18,FIND("|",$D$18&amp;"|")-1),Actuals!$E:$E,MID($D$18,FIND("|",$D$18&amp;"|")+1,50),Actuals!$F:$F,"GBP")*$H$5)</f>
        <v/>
      </c>
      <c r="K19" s="18">
        <f>IF(OR($B$18="",4&gt;$C$4),"",SUMIFS(Actuals!$G:$G,Actuals!$B:$B,$C$3,Actuals!$C:$C,4,Actuals!$D:$D,$B$18,Actuals!$A:$A,LEFT($D$18,FIND("|",$D$18&amp;"|")-1),Actuals!$E:$E,MID($D$18,FIND("|",$D$18&amp;"|")+1,50),Actuals!$F:$F,"JPY")*$E$5+SUMIFS(Actuals!$G:$G,Actuals!$B:$B,$C$3,Actuals!$C:$C,4,Actuals!$D:$D,$B$18,Actuals!$A:$A,LEFT($D$18,FIND("|",$D$18&amp;"|")-1),Actuals!$E:$E,MID($D$18,FIND("|",$D$18&amp;"|")+1,50),Actuals!$F:$F,"USD")*$F$5+SUMIFS(Actuals!$G:$G,Actuals!$B:$B,$C$3,Actuals!$C:$C,4,Actuals!$D:$D,$B$18,Actuals!$A:$A,LEFT($D$18,FIND("|",$D$18&amp;"|")-1),Actuals!$E:$E,MID($D$18,FIND("|",$D$18&amp;"|")+1,50),Actuals!$F:$F,"EUR")*$G$5+SUMIFS(Actuals!$G:$G,Actuals!$B:$B,$C$3,Actuals!$C:$C,4,Actuals!$D:$D,$B$18,Actuals!$A:$A,LEFT($D$18,FIND("|",$D$18&amp;"|")-1),Actuals!$E:$E,MID($D$18,FIND("|",$D$18&amp;"|")+1,50),Actuals!$F:$F,"GBP")*$H$5)</f>
        <v/>
      </c>
      <c r="L19" s="18">
        <f>IF(OR($B$18="",5&gt;$C$4),"",SUMIFS(Actuals!$G:$G,Actuals!$B:$B,$C$3,Actuals!$C:$C,5,Actuals!$D:$D,$B$18,Actuals!$A:$A,LEFT($D$18,FIND("|",$D$18&amp;"|")-1),Actuals!$E:$E,MID($D$18,FIND("|",$D$18&amp;"|")+1,50),Actuals!$F:$F,"JPY")*$E$5+SUMIFS(Actuals!$G:$G,Actuals!$B:$B,$C$3,Actuals!$C:$C,5,Actuals!$D:$D,$B$18,Actuals!$A:$A,LEFT($D$18,FIND("|",$D$18&amp;"|")-1),Actuals!$E:$E,MID($D$18,FIND("|",$D$18&amp;"|")+1,50),Actuals!$F:$F,"USD")*$F$5+SUMIFS(Actuals!$G:$G,Actuals!$B:$B,$C$3,Actuals!$C:$C,5,Actuals!$D:$D,$B$18,Actuals!$A:$A,LEFT($D$18,FIND("|",$D$18&amp;"|")-1),Actuals!$E:$E,MID($D$18,FIND("|",$D$18&amp;"|")+1,50),Actuals!$F:$F,"EUR")*$G$5+SUMIFS(Actuals!$G:$G,Actuals!$B:$B,$C$3,Actuals!$C:$C,5,Actuals!$D:$D,$B$18,Actuals!$A:$A,LEFT($D$18,FIND("|",$D$18&amp;"|")-1),Actuals!$E:$E,MID($D$18,FIND("|",$D$18&amp;"|")+1,50),Actuals!$F:$F,"GBP")*$H$5)</f>
        <v/>
      </c>
      <c r="M19" s="18">
        <f>IF(OR($B$18="",6&gt;$C$4),"",SUMIFS(Actuals!$G:$G,Actuals!$B:$B,$C$3,Actuals!$C:$C,6,Actuals!$D:$D,$B$18,Actuals!$A:$A,LEFT($D$18,FIND("|",$D$18&amp;"|")-1),Actuals!$E:$E,MID($D$18,FIND("|",$D$18&amp;"|")+1,50),Actuals!$F:$F,"JPY")*$E$5+SUMIFS(Actuals!$G:$G,Actuals!$B:$B,$C$3,Actuals!$C:$C,6,Actuals!$D:$D,$B$18,Actuals!$A:$A,LEFT($D$18,FIND("|",$D$18&amp;"|")-1),Actuals!$E:$E,MID($D$18,FIND("|",$D$18&amp;"|")+1,50),Actuals!$F:$F,"USD")*$F$5+SUMIFS(Actuals!$G:$G,Actuals!$B:$B,$C$3,Actuals!$C:$C,6,Actuals!$D:$D,$B$18,Actuals!$A:$A,LEFT($D$18,FIND("|",$D$18&amp;"|")-1),Actuals!$E:$E,MID($D$18,FIND("|",$D$18&amp;"|")+1,50),Actuals!$F:$F,"EUR")*$G$5+SUMIFS(Actuals!$G:$G,Actuals!$B:$B,$C$3,Actuals!$C:$C,6,Actuals!$D:$D,$B$18,Actuals!$A:$A,LEFT($D$18,FIND("|",$D$18&amp;"|")-1),Actuals!$E:$E,MID($D$18,FIND("|",$D$18&amp;"|")+1,50),Actuals!$F:$F,"GBP")*$H$5)</f>
        <v/>
      </c>
      <c r="N19" s="18">
        <f>IF(OR($B$18="",7&gt;$C$4),"",SUMIFS(Actuals!$G:$G,Actuals!$B:$B,$C$3,Actuals!$C:$C,7,Actuals!$D:$D,$B$18,Actuals!$A:$A,LEFT($D$18,FIND("|",$D$18&amp;"|")-1),Actuals!$E:$E,MID($D$18,FIND("|",$D$18&amp;"|")+1,50),Actuals!$F:$F,"JPY")*$E$5+SUMIFS(Actuals!$G:$G,Actuals!$B:$B,$C$3,Actuals!$C:$C,7,Actuals!$D:$D,$B$18,Actuals!$A:$A,LEFT($D$18,FIND("|",$D$18&amp;"|")-1),Actuals!$E:$E,MID($D$18,FIND("|",$D$18&amp;"|")+1,50),Actuals!$F:$F,"USD")*$F$5+SUMIFS(Actuals!$G:$G,Actuals!$B:$B,$C$3,Actuals!$C:$C,7,Actuals!$D:$D,$B$18,Actuals!$A:$A,LEFT($D$18,FIND("|",$D$18&amp;"|")-1),Actuals!$E:$E,MID($D$18,FIND("|",$D$18&amp;"|")+1,50),Actuals!$F:$F,"EUR")*$G$5+SUMIFS(Actuals!$G:$G,Actuals!$B:$B,$C$3,Actuals!$C:$C,7,Actuals!$D:$D,$B$18,Actuals!$A:$A,LEFT($D$18,FIND("|",$D$18&amp;"|")-1),Actuals!$E:$E,MID($D$18,FIND("|",$D$18&amp;"|")+1,50),Actuals!$F:$F,"GBP")*$H$5)</f>
        <v/>
      </c>
      <c r="O19" s="18">
        <f>IF(OR($B$18="",8&gt;$C$4),"",SUMIFS(Actuals!$G:$G,Actuals!$B:$B,$C$3,Actuals!$C:$C,8,Actuals!$D:$D,$B$18,Actuals!$A:$A,LEFT($D$18,FIND("|",$D$18&amp;"|")-1),Actuals!$E:$E,MID($D$18,FIND("|",$D$18&amp;"|")+1,50),Actuals!$F:$F,"JPY")*$E$5+SUMIFS(Actuals!$G:$G,Actuals!$B:$B,$C$3,Actuals!$C:$C,8,Actuals!$D:$D,$B$18,Actuals!$A:$A,LEFT($D$18,FIND("|",$D$18&amp;"|")-1),Actuals!$E:$E,MID($D$18,FIND("|",$D$18&amp;"|")+1,50),Actuals!$F:$F,"USD")*$F$5+SUMIFS(Actuals!$G:$G,Actuals!$B:$B,$C$3,Actuals!$C:$C,8,Actuals!$D:$D,$B$18,Actuals!$A:$A,LEFT($D$18,FIND("|",$D$18&amp;"|")-1),Actuals!$E:$E,MID($D$18,FIND("|",$D$18&amp;"|")+1,50),Actuals!$F:$F,"EUR")*$G$5+SUMIFS(Actuals!$G:$G,Actuals!$B:$B,$C$3,Actuals!$C:$C,8,Actuals!$D:$D,$B$18,Actuals!$A:$A,LEFT($D$18,FIND("|",$D$18&amp;"|")-1),Actuals!$E:$E,MID($D$18,FIND("|",$D$18&amp;"|")+1,50),Actuals!$F:$F,"GBP")*$H$5)</f>
        <v/>
      </c>
      <c r="P19" s="18">
        <f>IF(OR($B$18="",9&gt;$C$4),"",SUMIFS(Actuals!$G:$G,Actuals!$B:$B,$C$3,Actuals!$C:$C,9,Actuals!$D:$D,$B$18,Actuals!$A:$A,LEFT($D$18,FIND("|",$D$18&amp;"|")-1),Actuals!$E:$E,MID($D$18,FIND("|",$D$18&amp;"|")+1,50),Actuals!$F:$F,"JPY")*$E$5+SUMIFS(Actuals!$G:$G,Actuals!$B:$B,$C$3,Actuals!$C:$C,9,Actuals!$D:$D,$B$18,Actuals!$A:$A,LEFT($D$18,FIND("|",$D$18&amp;"|")-1),Actuals!$E:$E,MID($D$18,FIND("|",$D$18&amp;"|")+1,50),Actuals!$F:$F,"USD")*$F$5+SUMIFS(Actuals!$G:$G,Actuals!$B:$B,$C$3,Actuals!$C:$C,9,Actuals!$D:$D,$B$18,Actuals!$A:$A,LEFT($D$18,FIND("|",$D$18&amp;"|")-1),Actuals!$E:$E,MID($D$18,FIND("|",$D$18&amp;"|")+1,50),Actuals!$F:$F,"EUR")*$G$5+SUMIFS(Actuals!$G:$G,Actuals!$B:$B,$C$3,Actuals!$C:$C,9,Actuals!$D:$D,$B$18,Actuals!$A:$A,LEFT($D$18,FIND("|",$D$18&amp;"|")-1),Actuals!$E:$E,MID($D$18,FIND("|",$D$18&amp;"|")+1,50),Actuals!$F:$F,"GBP")*$H$5)</f>
        <v/>
      </c>
      <c r="Q19" s="18">
        <f>IF(OR($B$18="",10&gt;$C$4),"",SUMIFS(Actuals!$G:$G,Actuals!$B:$B,$C$3,Actuals!$C:$C,10,Actuals!$D:$D,$B$18,Actuals!$A:$A,LEFT($D$18,FIND("|",$D$18&amp;"|")-1),Actuals!$E:$E,MID($D$18,FIND("|",$D$18&amp;"|")+1,50),Actuals!$F:$F,"JPY")*$E$5+SUMIFS(Actuals!$G:$G,Actuals!$B:$B,$C$3,Actuals!$C:$C,10,Actuals!$D:$D,$B$18,Actuals!$A:$A,LEFT($D$18,FIND("|",$D$18&amp;"|")-1),Actuals!$E:$E,MID($D$18,FIND("|",$D$18&amp;"|")+1,50),Actuals!$F:$F,"USD")*$F$5+SUMIFS(Actuals!$G:$G,Actuals!$B:$B,$C$3,Actuals!$C:$C,10,Actuals!$D:$D,$B$18,Actuals!$A:$A,LEFT($D$18,FIND("|",$D$18&amp;"|")-1),Actuals!$E:$E,MID($D$18,FIND("|",$D$18&amp;"|")+1,50),Actuals!$F:$F,"EUR")*$G$5+SUMIFS(Actuals!$G:$G,Actuals!$B:$B,$C$3,Actuals!$C:$C,10,Actuals!$D:$D,$B$18,Actuals!$A:$A,LEFT($D$18,FIND("|",$D$18&amp;"|")-1),Actuals!$E:$E,MID($D$18,FIND("|",$D$18&amp;"|")+1,50),Actuals!$F:$F,"GBP")*$H$5)</f>
        <v/>
      </c>
      <c r="R19" s="18">
        <f>IF(OR($B$18="",11&gt;$C$4),"",SUMIFS(Actuals!$G:$G,Actuals!$B:$B,$C$3,Actuals!$C:$C,11,Actuals!$D:$D,$B$18,Actuals!$A:$A,LEFT($D$18,FIND("|",$D$18&amp;"|")-1),Actuals!$E:$E,MID($D$18,FIND("|",$D$18&amp;"|")+1,50),Actuals!$F:$F,"JPY")*$E$5+SUMIFS(Actuals!$G:$G,Actuals!$B:$B,$C$3,Actuals!$C:$C,11,Actuals!$D:$D,$B$18,Actuals!$A:$A,LEFT($D$18,FIND("|",$D$18&amp;"|")-1),Actuals!$E:$E,MID($D$18,FIND("|",$D$18&amp;"|")+1,50),Actuals!$F:$F,"USD")*$F$5+SUMIFS(Actuals!$G:$G,Actuals!$B:$B,$C$3,Actuals!$C:$C,11,Actuals!$D:$D,$B$18,Actuals!$A:$A,LEFT($D$18,FIND("|",$D$18&amp;"|")-1),Actuals!$E:$E,MID($D$18,FIND("|",$D$18&amp;"|")+1,50),Actuals!$F:$F,"EUR")*$G$5+SUMIFS(Actuals!$G:$G,Actuals!$B:$B,$C$3,Actuals!$C:$C,11,Actuals!$D:$D,$B$18,Actuals!$A:$A,LEFT($D$18,FIND("|",$D$18&amp;"|")-1),Actuals!$E:$E,MID($D$18,FIND("|",$D$18&amp;"|")+1,50),Actuals!$F:$F,"GBP")*$H$5)</f>
        <v/>
      </c>
      <c r="S19" s="18">
        <f>IF(OR($B$18="",12&gt;$C$4),"",SUMIFS(Actuals!$G:$G,Actuals!$B:$B,$C$3,Actuals!$C:$C,12,Actuals!$D:$D,$B$18,Actuals!$A:$A,LEFT($D$18,FIND("|",$D$18&amp;"|")-1),Actuals!$E:$E,MID($D$18,FIND("|",$D$18&amp;"|")+1,50),Actuals!$F:$F,"JPY")*$E$5+SUMIFS(Actuals!$G:$G,Actuals!$B:$B,$C$3,Actuals!$C:$C,12,Actuals!$D:$D,$B$18,Actuals!$A:$A,LEFT($D$18,FIND("|",$D$18&amp;"|")-1),Actuals!$E:$E,MID($D$18,FIND("|",$D$18&amp;"|")+1,50),Actuals!$F:$F,"USD")*$F$5+SUMIFS(Actuals!$G:$G,Actuals!$B:$B,$C$3,Actuals!$C:$C,12,Actuals!$D:$D,$B$18,Actuals!$A:$A,LEFT($D$18,FIND("|",$D$18&amp;"|")-1),Actuals!$E:$E,MID($D$18,FIND("|",$D$18&amp;"|")+1,50),Actuals!$F:$F,"EUR")*$G$5+SUMIFS(Actuals!$G:$G,Actuals!$B:$B,$C$3,Actuals!$C:$C,12,Actuals!$D:$D,$B$18,Actuals!$A:$A,LEFT($D$18,FIND("|",$D$18&amp;"|")-1),Actuals!$E:$E,MID($D$18,FIND("|",$D$18&amp;"|")+1,50),Actuals!$F:$F,"GBP")*$H$5)</f>
        <v/>
      </c>
      <c r="T19" s="18">
        <f>IF($B$18="","",SUMIF($H$7:$S$7,"&lt;="&amp;$C$4,$H19:$S19))</f>
        <v/>
      </c>
      <c r="U19" s="18" t="n"/>
      <c r="V19" s="18" t="n"/>
      <c r="X19" s="22">
        <f>IF($B19="","",IFERROR(INDEX(Cost_Centers!$E:$E,MATCH($B19,Cost_Centers!$A:$A,0)),"(unknown)"))</f>
        <v/>
      </c>
      <c r="Y19" s="22">
        <f>IF($B19="","",IFERROR(INDEX(Cost_Centers!$D:$D,MATCH($B19,Cost_Centers!$A:$A,0)),"(unknown)"))</f>
        <v/>
      </c>
      <c r="Z19" s="22">
        <f>IF(OR($B19="",$G19&lt;&gt;"Variance vs Budget"),"",ABS(N($V19))+ROW()/1000000000)</f>
        <v/>
      </c>
    </row>
    <row r="20">
      <c r="A20" s="13">
        <f>IF(A$18="","",A$18)</f>
        <v/>
      </c>
      <c r="B20" s="13">
        <f>IF(B$18="","",B$18)</f>
        <v/>
      </c>
      <c r="C20" s="13">
        <f>IF(C$18="","",C$18)</f>
        <v/>
      </c>
      <c r="D20" s="13">
        <f>IF(D$18="","",D$18)</f>
        <v/>
      </c>
      <c r="E20" s="13">
        <f>IF(E$18="","",E$18)</f>
        <v/>
      </c>
      <c r="F20" s="13">
        <f>IF(F$18="","",F$18)</f>
        <v/>
      </c>
      <c r="G20" s="6" t="inlineStr">
        <is>
          <t>Variance vs Budget</t>
        </is>
      </c>
      <c r="H20" s="33">
        <f>IF(OR($B$18="",1&gt;$C$4),"",N(H19)-H18)</f>
        <v/>
      </c>
      <c r="I20" s="33">
        <f>IF(OR($B$18="",2&gt;$C$4),"",N(I19)-I18)</f>
        <v/>
      </c>
      <c r="J20" s="33">
        <f>IF(OR($B$18="",3&gt;$C$4),"",N(J19)-J18)</f>
        <v/>
      </c>
      <c r="K20" s="33">
        <f>IF(OR($B$18="",4&gt;$C$4),"",N(K19)-K18)</f>
        <v/>
      </c>
      <c r="L20" s="33">
        <f>IF(OR($B$18="",5&gt;$C$4),"",N(L19)-L18)</f>
        <v/>
      </c>
      <c r="M20" s="33">
        <f>IF(OR($B$18="",6&gt;$C$4),"",N(M19)-M18)</f>
        <v/>
      </c>
      <c r="N20" s="33">
        <f>IF(OR($B$18="",7&gt;$C$4),"",N(N19)-N18)</f>
        <v/>
      </c>
      <c r="O20" s="33">
        <f>IF(OR($B$18="",8&gt;$C$4),"",N(O19)-O18)</f>
        <v/>
      </c>
      <c r="P20" s="33">
        <f>IF(OR($B$18="",9&gt;$C$4),"",N(P19)-P18)</f>
        <v/>
      </c>
      <c r="Q20" s="33">
        <f>IF(OR($B$18="",10&gt;$C$4),"",N(Q19)-Q18)</f>
        <v/>
      </c>
      <c r="R20" s="33">
        <f>IF(OR($B$18="",11&gt;$C$4),"",N(R19)-R18)</f>
        <v/>
      </c>
      <c r="S20" s="33">
        <f>IF(OR($B$18="",12&gt;$C$4),"",N(S19)-S18)</f>
        <v/>
      </c>
      <c r="T20" s="33">
        <f>IF($B$18="","",T19-T18)</f>
        <v/>
      </c>
      <c r="U20" s="33">
        <f>IF($B$18="","",U22-U18)</f>
        <v/>
      </c>
      <c r="V20" s="33">
        <f>IF($B$18="","",V22-V18)</f>
        <v/>
      </c>
      <c r="X20" s="22">
        <f>IF($B20="","",IFERROR(INDEX(Cost_Centers!$E:$E,MATCH($B20,Cost_Centers!$A:$A,0)),"(unknown)"))</f>
        <v/>
      </c>
      <c r="Y20" s="22">
        <f>IF($B20="","",IFERROR(INDEX(Cost_Centers!$D:$D,MATCH($B20,Cost_Centers!$A:$A,0)),"(unknown)"))</f>
        <v/>
      </c>
      <c r="Z20" s="22">
        <f>IF(OR($B20="",$G20&lt;&gt;"Variance vs Budget"),"",ABS(N($V20))+ROW()/1000000000)</f>
        <v/>
      </c>
    </row>
    <row r="21">
      <c r="A21" s="13">
        <f>IF(A$18="","",A$18)</f>
        <v/>
      </c>
      <c r="B21" s="13">
        <f>IF(B$18="","",B$18)</f>
        <v/>
      </c>
      <c r="C21" s="13">
        <f>IF(C$18="","",C$18)</f>
        <v/>
      </c>
      <c r="D21" s="13">
        <f>IF(D$18="","",D$18)</f>
        <v/>
      </c>
      <c r="E21" s="13">
        <f>IF(E$18="","",E$18)</f>
        <v/>
      </c>
      <c r="F21" s="13">
        <f>IF(F$18="","",F$18)</f>
        <v/>
      </c>
      <c r="G21" s="7" t="inlineStr">
        <is>
          <t>Forecast (input)</t>
        </is>
      </c>
      <c r="H21" s="34" t="n"/>
      <c r="I21" s="34" t="n"/>
      <c r="J21" s="34" t="n"/>
      <c r="K21" s="34" t="n"/>
      <c r="L21" s="34" t="n"/>
      <c r="M21" s="34" t="n"/>
      <c r="N21" s="34" t="n"/>
      <c r="O21" s="34" t="n"/>
      <c r="P21" s="34" t="n"/>
      <c r="Q21" s="34" t="n"/>
      <c r="R21" s="34" t="n"/>
      <c r="S21" s="34" t="n"/>
      <c r="T21" s="18" t="n"/>
      <c r="U21" s="18" t="n"/>
      <c r="V21" s="18" t="n"/>
      <c r="X21" s="22">
        <f>IF($B21="","",IFERROR(INDEX(Cost_Centers!$E:$E,MATCH($B21,Cost_Centers!$A:$A,0)),"(unknown)"))</f>
        <v/>
      </c>
      <c r="Y21" s="22">
        <f>IF($B21="","",IFERROR(INDEX(Cost_Centers!$D:$D,MATCH($B21,Cost_Centers!$A:$A,0)),"(unknown)"))</f>
        <v/>
      </c>
      <c r="Z21" s="22">
        <f>IF(OR($B21="",$G21&lt;&gt;"Variance vs Budget"),"",ABS(N($V21))+ROW()/1000000000)</f>
        <v/>
      </c>
    </row>
    <row r="22">
      <c r="A22" s="13">
        <f>IF(A$18="","",A$18)</f>
        <v/>
      </c>
      <c r="B22" s="13">
        <f>IF(B$18="","",B$18)</f>
        <v/>
      </c>
      <c r="C22" s="13">
        <f>IF(C$18="","",C$18)</f>
        <v/>
      </c>
      <c r="D22" s="13">
        <f>IF(D$18="","",D$18)</f>
        <v/>
      </c>
      <c r="E22" s="13">
        <f>IF(E$18="","",E$18)</f>
        <v/>
      </c>
      <c r="F22" s="13">
        <f>IF(F$18="","",F$18)</f>
        <v/>
      </c>
      <c r="G22" s="35" t="inlineStr">
        <is>
          <t>Actual + Forecast</t>
        </is>
      </c>
      <c r="H22" s="18">
        <f>IF($B$18="","",IF(1&lt;=$C$4,N(H19),IF(H21="",H18,H21)))</f>
        <v/>
      </c>
      <c r="I22" s="18">
        <f>IF($B$18="","",IF(2&lt;=$C$4,N(I19),IF(I21="",I18,I21)))</f>
        <v/>
      </c>
      <c r="J22" s="18">
        <f>IF($B$18="","",IF(3&lt;=$C$4,N(J19),IF(J21="",J18,J21)))</f>
        <v/>
      </c>
      <c r="K22" s="18">
        <f>IF($B$18="","",IF(4&lt;=$C$4,N(K19),IF(K21="",K18,K21)))</f>
        <v/>
      </c>
      <c r="L22" s="18">
        <f>IF($B$18="","",IF(5&lt;=$C$4,N(L19),IF(L21="",L18,L21)))</f>
        <v/>
      </c>
      <c r="M22" s="18">
        <f>IF($B$18="","",IF(6&lt;=$C$4,N(M19),IF(M21="",M18,M21)))</f>
        <v/>
      </c>
      <c r="N22" s="18">
        <f>IF($B$18="","",IF(7&lt;=$C$4,N(N19),IF(N21="",N18,N21)))</f>
        <v/>
      </c>
      <c r="O22" s="18">
        <f>IF($B$18="","",IF(8&lt;=$C$4,N(O19),IF(O21="",O18,O21)))</f>
        <v/>
      </c>
      <c r="P22" s="18">
        <f>IF($B$18="","",IF(9&lt;=$C$4,N(P19),IF(P21="",P18,P21)))</f>
        <v/>
      </c>
      <c r="Q22" s="18">
        <f>IF($B$18="","",IF(10&lt;=$C$4,N(Q19),IF(Q21="",Q18,Q21)))</f>
        <v/>
      </c>
      <c r="R22" s="18">
        <f>IF($B$18="","",IF(11&lt;=$C$4,N(R19),IF(R21="",R18,R21)))</f>
        <v/>
      </c>
      <c r="S22" s="18">
        <f>IF($B$18="","",IF(12&lt;=$C$4,N(S19),IF(S21="",S18,S21)))</f>
        <v/>
      </c>
      <c r="T22" s="18">
        <f>IF($B$18="","",SUMIF($H$7:$S$7,"&lt;="&amp;$C$4,$H22:$S22))</f>
        <v/>
      </c>
      <c r="U22" s="18">
        <f>IF($B$18="","",SUMIF($H$7:$S$7,"&gt;"&amp;$C$4,$H22:$S22))</f>
        <v/>
      </c>
      <c r="V22" s="18">
        <f>IF($B$18="","",SUM($H22:$S22))</f>
        <v/>
      </c>
      <c r="X22" s="22">
        <f>IF($B22="","",IFERROR(INDEX(Cost_Centers!$E:$E,MATCH($B22,Cost_Centers!$A:$A,0)),"(unknown)"))</f>
        <v/>
      </c>
      <c r="Y22" s="22">
        <f>IF($B22="","",IFERROR(INDEX(Cost_Centers!$D:$D,MATCH($B22,Cost_Centers!$A:$A,0)),"(unknown)"))</f>
        <v/>
      </c>
      <c r="Z22" s="22">
        <f>IF(OR($B22="",$G22&lt;&gt;"Variance vs Budget"),"",ABS(N($V22))+ROW()/1000000000)</f>
        <v/>
      </c>
    </row>
    <row r="23">
      <c r="A23" s="13">
        <f>IF(A$18="","",A$18)</f>
        <v/>
      </c>
      <c r="B23" s="13">
        <f>IF(B$18="","",B$18)</f>
        <v/>
      </c>
      <c r="C23" s="13">
        <f>IF(C$18="","",C$18)</f>
        <v/>
      </c>
      <c r="D23" s="13">
        <f>IF(D$18="","",D$18)</f>
        <v/>
      </c>
      <c r="E23" s="13">
        <f>IF(E$18="","",E$18)</f>
        <v/>
      </c>
      <c r="F23" s="13">
        <f>IF(F$18="","",F$18)</f>
        <v/>
      </c>
      <c r="G23" s="36" t="inlineStr">
        <is>
          <t>Prior Month Forecast</t>
        </is>
      </c>
      <c r="H23" s="37">
        <f>IF($B$18="","",IF(COUNTIFS(Prior_Forecast!$A:$A,$B$18,Prior_Forecast!$B:$B,$D$18)&gt;0,SUMIFS(Prior_Forecast!$C:$C,Prior_Forecast!$A:$A,$B$18,Prior_Forecast!$B:$B,$D$18),""))</f>
        <v/>
      </c>
      <c r="I23" s="37">
        <f>IF($B$18="","",IF(COUNTIFS(Prior_Forecast!$A:$A,$B$18,Prior_Forecast!$B:$B,$D$18)&gt;0,SUMIFS(Prior_Forecast!$D:$D,Prior_Forecast!$A:$A,$B$18,Prior_Forecast!$B:$B,$D$18),""))</f>
        <v/>
      </c>
      <c r="J23" s="37">
        <f>IF($B$18="","",IF(COUNTIFS(Prior_Forecast!$A:$A,$B$18,Prior_Forecast!$B:$B,$D$18)&gt;0,SUMIFS(Prior_Forecast!$E:$E,Prior_Forecast!$A:$A,$B$18,Prior_Forecast!$B:$B,$D$18),""))</f>
        <v/>
      </c>
      <c r="K23" s="37">
        <f>IF($B$18="","",IF(COUNTIFS(Prior_Forecast!$A:$A,$B$18,Prior_Forecast!$B:$B,$D$18)&gt;0,SUMIFS(Prior_Forecast!$F:$F,Prior_Forecast!$A:$A,$B$18,Prior_Forecast!$B:$B,$D$18),""))</f>
        <v/>
      </c>
      <c r="L23" s="37">
        <f>IF($B$18="","",IF(COUNTIFS(Prior_Forecast!$A:$A,$B$18,Prior_Forecast!$B:$B,$D$18)&gt;0,SUMIFS(Prior_Forecast!$G:$G,Prior_Forecast!$A:$A,$B$18,Prior_Forecast!$B:$B,$D$18),""))</f>
        <v/>
      </c>
      <c r="M23" s="37">
        <f>IF($B$18="","",IF(COUNTIFS(Prior_Forecast!$A:$A,$B$18,Prior_Forecast!$B:$B,$D$18)&gt;0,SUMIFS(Prior_Forecast!$H:$H,Prior_Forecast!$A:$A,$B$18,Prior_Forecast!$B:$B,$D$18),""))</f>
        <v/>
      </c>
      <c r="N23" s="37">
        <f>IF($B$18="","",IF(COUNTIFS(Prior_Forecast!$A:$A,$B$18,Prior_Forecast!$B:$B,$D$18)&gt;0,SUMIFS(Prior_Forecast!$I:$I,Prior_Forecast!$A:$A,$B$18,Prior_Forecast!$B:$B,$D$18),""))</f>
        <v/>
      </c>
      <c r="O23" s="37">
        <f>IF($B$18="","",IF(COUNTIFS(Prior_Forecast!$A:$A,$B$18,Prior_Forecast!$B:$B,$D$18)&gt;0,SUMIFS(Prior_Forecast!$J:$J,Prior_Forecast!$A:$A,$B$18,Prior_Forecast!$B:$B,$D$18),""))</f>
        <v/>
      </c>
      <c r="P23" s="37">
        <f>IF($B$18="","",IF(COUNTIFS(Prior_Forecast!$A:$A,$B$18,Prior_Forecast!$B:$B,$D$18)&gt;0,SUMIFS(Prior_Forecast!$K:$K,Prior_Forecast!$A:$A,$B$18,Prior_Forecast!$B:$B,$D$18),""))</f>
        <v/>
      </c>
      <c r="Q23" s="37">
        <f>IF($B$18="","",IF(COUNTIFS(Prior_Forecast!$A:$A,$B$18,Prior_Forecast!$B:$B,$D$18)&gt;0,SUMIFS(Prior_Forecast!$L:$L,Prior_Forecast!$A:$A,$B$18,Prior_Forecast!$B:$B,$D$18),""))</f>
        <v/>
      </c>
      <c r="R23" s="37">
        <f>IF($B$18="","",IF(COUNTIFS(Prior_Forecast!$A:$A,$B$18,Prior_Forecast!$B:$B,$D$18)&gt;0,SUMIFS(Prior_Forecast!$M:$M,Prior_Forecast!$A:$A,$B$18,Prior_Forecast!$B:$B,$D$18),""))</f>
        <v/>
      </c>
      <c r="S23" s="37">
        <f>IF($B$18="","",IF(COUNTIFS(Prior_Forecast!$A:$A,$B$18,Prior_Forecast!$B:$B,$D$18)&gt;0,SUMIFS(Prior_Forecast!$N:$N,Prior_Forecast!$A:$A,$B$18,Prior_Forecast!$B:$B,$D$18),""))</f>
        <v/>
      </c>
      <c r="T23" s="37">
        <f>IF($B$18="","",IF(COUNTIFS(Prior_Forecast!$A:$A,$B$18,Prior_Forecast!$B:$B,$D$18)&gt;0,SUMIFS(Prior_Forecast!$O:$O,Prior_Forecast!$A:$A,$B$18,Prior_Forecast!$B:$B,$D$18),""))</f>
        <v/>
      </c>
      <c r="U23" s="37">
        <f>IF($B$18="","",IF(COUNTIFS(Prior_Forecast!$A:$A,$B$18,Prior_Forecast!$B:$B,$D$18)&gt;0,SUMIFS(Prior_Forecast!$P:$P,Prior_Forecast!$A:$A,$B$18,Prior_Forecast!$B:$B,$D$18),""))</f>
        <v/>
      </c>
      <c r="V23" s="37">
        <f>IF($B$18="","",IF(COUNTIFS(Prior_Forecast!$A:$A,$B$18,Prior_Forecast!$B:$B,$D$18)&gt;0,SUMIFS(Prior_Forecast!$Q:$Q,Prior_Forecast!$A:$A,$B$18,Prior_Forecast!$B:$B,$D$18),""))</f>
        <v/>
      </c>
      <c r="X23" s="22">
        <f>IF($B23="","",IFERROR(INDEX(Cost_Centers!$E:$E,MATCH($B23,Cost_Centers!$A:$A,0)),"(unknown)"))</f>
        <v/>
      </c>
      <c r="Y23" s="22">
        <f>IF($B23="","",IFERROR(INDEX(Cost_Centers!$D:$D,MATCH($B23,Cost_Centers!$A:$A,0)),"(unknown)"))</f>
        <v/>
      </c>
      <c r="Z23" s="22">
        <f>IF(OR($B23="",$G23&lt;&gt;"Variance vs Budget"),"",ABS(N($V23))+ROW()/1000000000)</f>
        <v/>
      </c>
    </row>
    <row r="24">
      <c r="A24" s="13">
        <f>IF(A$18="","",A$18)</f>
        <v/>
      </c>
      <c r="B24" s="13">
        <f>IF(B$18="","",B$18)</f>
        <v/>
      </c>
      <c r="C24" s="13">
        <f>IF(C$18="","",C$18)</f>
        <v/>
      </c>
      <c r="D24" s="13">
        <f>IF(D$18="","",D$18)</f>
        <v/>
      </c>
      <c r="E24" s="13">
        <f>IF(E$18="","",E$18)</f>
        <v/>
      </c>
      <c r="F24" s="13">
        <f>IF(F$18="","",F$18)</f>
        <v/>
      </c>
      <c r="G24" s="6" t="inlineStr">
        <is>
          <t>Variance vs Prior Month</t>
        </is>
      </c>
      <c r="H24" s="33">
        <f>IF(OR($B$18="",H23=""),"",H22-H23)</f>
        <v/>
      </c>
      <c r="I24" s="33">
        <f>IF(OR($B$18="",I23=""),"",I22-I23)</f>
        <v/>
      </c>
      <c r="J24" s="33">
        <f>IF(OR($B$18="",J23=""),"",J22-J23)</f>
        <v/>
      </c>
      <c r="K24" s="33">
        <f>IF(OR($B$18="",K23=""),"",K22-K23)</f>
        <v/>
      </c>
      <c r="L24" s="33">
        <f>IF(OR($B$18="",L23=""),"",L22-L23)</f>
        <v/>
      </c>
      <c r="M24" s="33">
        <f>IF(OR($B$18="",M23=""),"",M22-M23)</f>
        <v/>
      </c>
      <c r="N24" s="33">
        <f>IF(OR($B$18="",N23=""),"",N22-N23)</f>
        <v/>
      </c>
      <c r="O24" s="33">
        <f>IF(OR($B$18="",O23=""),"",O22-O23)</f>
        <v/>
      </c>
      <c r="P24" s="33">
        <f>IF(OR($B$18="",P23=""),"",P22-P23)</f>
        <v/>
      </c>
      <c r="Q24" s="33">
        <f>IF(OR($B$18="",Q23=""),"",Q22-Q23)</f>
        <v/>
      </c>
      <c r="R24" s="33">
        <f>IF(OR($B$18="",R23=""),"",R22-R23)</f>
        <v/>
      </c>
      <c r="S24" s="33">
        <f>IF(OR($B$18="",S23=""),"",S22-S23)</f>
        <v/>
      </c>
      <c r="T24" s="33">
        <f>IF(OR($B$18="",T23=""),"",T22-T23)</f>
        <v/>
      </c>
      <c r="U24" s="33">
        <f>IF(OR($B$18="",U23=""),"",U22-U23)</f>
        <v/>
      </c>
      <c r="V24" s="33">
        <f>IF(OR($B$18="",V23=""),"",V22-V23)</f>
        <v/>
      </c>
      <c r="X24" s="22">
        <f>IF($B24="","",IFERROR(INDEX(Cost_Centers!$E:$E,MATCH($B24,Cost_Centers!$A:$A,0)),"(unknown)"))</f>
        <v/>
      </c>
      <c r="Y24" s="22">
        <f>IF($B24="","",IFERROR(INDEX(Cost_Centers!$D:$D,MATCH($B24,Cost_Centers!$A:$A,0)),"(unknown)"))</f>
        <v/>
      </c>
      <c r="Z24" s="22">
        <f>IF(OR($B24="",$G24&lt;&gt;"Variance vs Budget"),"",ABS(N($V24))+ROW()/1000000000)</f>
        <v/>
      </c>
    </row>
    <row r="25" ht="45" customHeight="1">
      <c r="A25" s="13">
        <f>IF(A$18="","",A$18)</f>
        <v/>
      </c>
      <c r="B25" s="13">
        <f>IF(B$18="","",B$18)</f>
        <v/>
      </c>
      <c r="C25" s="13">
        <f>IF(C$18="","",C$18)</f>
        <v/>
      </c>
      <c r="D25" s="13">
        <f>IF(D$18="","",D$18)</f>
        <v/>
      </c>
      <c r="E25" s="13">
        <f>IF(E$18="","",E$18)</f>
        <v/>
      </c>
      <c r="F25" s="13">
        <f>IF(F$18="","",F$18)</f>
        <v/>
      </c>
      <c r="G25" s="7" t="inlineStr">
        <is>
          <t>Rationale</t>
        </is>
      </c>
      <c r="H25" s="38" t="n"/>
      <c r="I25" s="38" t="n"/>
      <c r="J25" s="38" t="n"/>
      <c r="K25" s="38" t="n"/>
      <c r="L25" s="38" t="n"/>
      <c r="M25" s="38" t="n"/>
      <c r="N25" s="38" t="n"/>
      <c r="O25" s="38" t="n"/>
      <c r="P25" s="38" t="n"/>
      <c r="Q25" s="38" t="n"/>
      <c r="R25" s="38" t="n"/>
      <c r="S25" s="38" t="n"/>
      <c r="T25" s="38" t="n"/>
      <c r="U25" s="38" t="n"/>
      <c r="V25" s="7" t="n"/>
      <c r="X25" s="22">
        <f>IF($B25="","",IFERROR(INDEX(Cost_Centers!$E:$E,MATCH($B25,Cost_Centers!$A:$A,0)),"(unknown)"))</f>
        <v/>
      </c>
      <c r="Y25" s="22">
        <f>IF($B25="","",IFERROR(INDEX(Cost_Centers!$D:$D,MATCH($B25,Cost_Centers!$A:$A,0)),"(unknown)"))</f>
        <v/>
      </c>
      <c r="Z25" s="22">
        <f>IF(OR($B25="",$G25&lt;&gt;"Variance vs Budget"),"",ABS(N($V25))+ROW()/1000000000)</f>
        <v/>
      </c>
    </row>
    <row r="26">
      <c r="A26" s="30">
        <f>IF($D$26="","",LEFT($D$26,FIND("|",$D$26&amp;"|")-1))</f>
        <v/>
      </c>
      <c r="B26" s="31" t="n"/>
      <c r="C26" s="30">
        <f>IF($B$26="","",IFERROR(INDEX(Cost_Centers!$B:$B,MATCH($B$26,Cost_Centers!$A:$A,0)),"(not in master)"))</f>
        <v/>
      </c>
      <c r="D26" s="31" t="n"/>
      <c r="E26" s="30">
        <f>IF($D$26="","",IFERROR(INDEX(Accounts!$D:$D,MATCH($D$26,Accounts!$A:$A,0)),"(not in master)"))</f>
        <v/>
      </c>
      <c r="F26" s="31" t="n"/>
      <c r="G26" s="30" t="inlineStr">
        <is>
          <t>Budget</t>
        </is>
      </c>
      <c r="H26" s="32">
        <f>IF($B$26="","",SUMIFS(Opex_Budget!$O:$O,Opex_Budget!$A:$A,$C$3,Opex_Budget!$E:$E,$B$26,Opex_Budget!$F:$F,$D$26,Opex_Budget!$N:$N,"JPY")*$E$5+SUMIFS(Opex_Budget!$O:$O,Opex_Budget!$A:$A,$C$3,Opex_Budget!$E:$E,$B$26,Opex_Budget!$F:$F,$D$26,Opex_Budget!$N:$N,"USD")*$F$5+SUMIFS(Opex_Budget!$O:$O,Opex_Budget!$A:$A,$C$3,Opex_Budget!$E:$E,$B$26,Opex_Budget!$F:$F,$D$26,Opex_Budget!$N:$N,"EUR")*$G$5+SUMIFS(Opex_Budget!$O:$O,Opex_Budget!$A:$A,$C$3,Opex_Budget!$E:$E,$B$26,Opex_Budget!$F:$F,$D$26,Opex_Budget!$N:$N,"GBP")*$H$5)</f>
        <v/>
      </c>
      <c r="I26" s="32">
        <f>IF($B$26="","",SUMIFS(Opex_Budget!$P:$P,Opex_Budget!$A:$A,$C$3,Opex_Budget!$E:$E,$B$26,Opex_Budget!$F:$F,$D$26,Opex_Budget!$N:$N,"JPY")*$E$5+SUMIFS(Opex_Budget!$P:$P,Opex_Budget!$A:$A,$C$3,Opex_Budget!$E:$E,$B$26,Opex_Budget!$F:$F,$D$26,Opex_Budget!$N:$N,"USD")*$F$5+SUMIFS(Opex_Budget!$P:$P,Opex_Budget!$A:$A,$C$3,Opex_Budget!$E:$E,$B$26,Opex_Budget!$F:$F,$D$26,Opex_Budget!$N:$N,"EUR")*$G$5+SUMIFS(Opex_Budget!$P:$P,Opex_Budget!$A:$A,$C$3,Opex_Budget!$E:$E,$B$26,Opex_Budget!$F:$F,$D$26,Opex_Budget!$N:$N,"GBP")*$H$5)</f>
        <v/>
      </c>
      <c r="J26" s="32">
        <f>IF($B$26="","",SUMIFS(Opex_Budget!$Q:$Q,Opex_Budget!$A:$A,$C$3,Opex_Budget!$E:$E,$B$26,Opex_Budget!$F:$F,$D$26,Opex_Budget!$N:$N,"JPY")*$E$5+SUMIFS(Opex_Budget!$Q:$Q,Opex_Budget!$A:$A,$C$3,Opex_Budget!$E:$E,$B$26,Opex_Budget!$F:$F,$D$26,Opex_Budget!$N:$N,"USD")*$F$5+SUMIFS(Opex_Budget!$Q:$Q,Opex_Budget!$A:$A,$C$3,Opex_Budget!$E:$E,$B$26,Opex_Budget!$F:$F,$D$26,Opex_Budget!$N:$N,"EUR")*$G$5+SUMIFS(Opex_Budget!$Q:$Q,Opex_Budget!$A:$A,$C$3,Opex_Budget!$E:$E,$B$26,Opex_Budget!$F:$F,$D$26,Opex_Budget!$N:$N,"GBP")*$H$5)</f>
        <v/>
      </c>
      <c r="K26" s="32">
        <f>IF($B$26="","",SUMIFS(Opex_Budget!$R:$R,Opex_Budget!$A:$A,$C$3,Opex_Budget!$E:$E,$B$26,Opex_Budget!$F:$F,$D$26,Opex_Budget!$N:$N,"JPY")*$E$5+SUMIFS(Opex_Budget!$R:$R,Opex_Budget!$A:$A,$C$3,Opex_Budget!$E:$E,$B$26,Opex_Budget!$F:$F,$D$26,Opex_Budget!$N:$N,"USD")*$F$5+SUMIFS(Opex_Budget!$R:$R,Opex_Budget!$A:$A,$C$3,Opex_Budget!$E:$E,$B$26,Opex_Budget!$F:$F,$D$26,Opex_Budget!$N:$N,"EUR")*$G$5+SUMIFS(Opex_Budget!$R:$R,Opex_Budget!$A:$A,$C$3,Opex_Budget!$E:$E,$B$26,Opex_Budget!$F:$F,$D$26,Opex_Budget!$N:$N,"GBP")*$H$5)</f>
        <v/>
      </c>
      <c r="L26" s="32">
        <f>IF($B$26="","",SUMIFS(Opex_Budget!$S:$S,Opex_Budget!$A:$A,$C$3,Opex_Budget!$E:$E,$B$26,Opex_Budget!$F:$F,$D$26,Opex_Budget!$N:$N,"JPY")*$E$5+SUMIFS(Opex_Budget!$S:$S,Opex_Budget!$A:$A,$C$3,Opex_Budget!$E:$E,$B$26,Opex_Budget!$F:$F,$D$26,Opex_Budget!$N:$N,"USD")*$F$5+SUMIFS(Opex_Budget!$S:$S,Opex_Budget!$A:$A,$C$3,Opex_Budget!$E:$E,$B$26,Opex_Budget!$F:$F,$D$26,Opex_Budget!$N:$N,"EUR")*$G$5+SUMIFS(Opex_Budget!$S:$S,Opex_Budget!$A:$A,$C$3,Opex_Budget!$E:$E,$B$26,Opex_Budget!$F:$F,$D$26,Opex_Budget!$N:$N,"GBP")*$H$5)</f>
        <v/>
      </c>
      <c r="M26" s="32">
        <f>IF($B$26="","",SUMIFS(Opex_Budget!$T:$T,Opex_Budget!$A:$A,$C$3,Opex_Budget!$E:$E,$B$26,Opex_Budget!$F:$F,$D$26,Opex_Budget!$N:$N,"JPY")*$E$5+SUMIFS(Opex_Budget!$T:$T,Opex_Budget!$A:$A,$C$3,Opex_Budget!$E:$E,$B$26,Opex_Budget!$F:$F,$D$26,Opex_Budget!$N:$N,"USD")*$F$5+SUMIFS(Opex_Budget!$T:$T,Opex_Budget!$A:$A,$C$3,Opex_Budget!$E:$E,$B$26,Opex_Budget!$F:$F,$D$26,Opex_Budget!$N:$N,"EUR")*$G$5+SUMIFS(Opex_Budget!$T:$T,Opex_Budget!$A:$A,$C$3,Opex_Budget!$E:$E,$B$26,Opex_Budget!$F:$F,$D$26,Opex_Budget!$N:$N,"GBP")*$H$5)</f>
        <v/>
      </c>
      <c r="N26" s="32">
        <f>IF($B$26="","",SUMIFS(Opex_Budget!$U:$U,Opex_Budget!$A:$A,$C$3,Opex_Budget!$E:$E,$B$26,Opex_Budget!$F:$F,$D$26,Opex_Budget!$N:$N,"JPY")*$E$5+SUMIFS(Opex_Budget!$U:$U,Opex_Budget!$A:$A,$C$3,Opex_Budget!$E:$E,$B$26,Opex_Budget!$F:$F,$D$26,Opex_Budget!$N:$N,"USD")*$F$5+SUMIFS(Opex_Budget!$U:$U,Opex_Budget!$A:$A,$C$3,Opex_Budget!$E:$E,$B$26,Opex_Budget!$F:$F,$D$26,Opex_Budget!$N:$N,"EUR")*$G$5+SUMIFS(Opex_Budget!$U:$U,Opex_Budget!$A:$A,$C$3,Opex_Budget!$E:$E,$B$26,Opex_Budget!$F:$F,$D$26,Opex_Budget!$N:$N,"GBP")*$H$5)</f>
        <v/>
      </c>
      <c r="O26" s="32">
        <f>IF($B$26="","",SUMIFS(Opex_Budget!$V:$V,Opex_Budget!$A:$A,$C$3,Opex_Budget!$E:$E,$B$26,Opex_Budget!$F:$F,$D$26,Opex_Budget!$N:$N,"JPY")*$E$5+SUMIFS(Opex_Budget!$V:$V,Opex_Budget!$A:$A,$C$3,Opex_Budget!$E:$E,$B$26,Opex_Budget!$F:$F,$D$26,Opex_Budget!$N:$N,"USD")*$F$5+SUMIFS(Opex_Budget!$V:$V,Opex_Budget!$A:$A,$C$3,Opex_Budget!$E:$E,$B$26,Opex_Budget!$F:$F,$D$26,Opex_Budget!$N:$N,"EUR")*$G$5+SUMIFS(Opex_Budget!$V:$V,Opex_Budget!$A:$A,$C$3,Opex_Budget!$E:$E,$B$26,Opex_Budget!$F:$F,$D$26,Opex_Budget!$N:$N,"GBP")*$H$5)</f>
        <v/>
      </c>
      <c r="P26" s="32">
        <f>IF($B$26="","",SUMIFS(Opex_Budget!$W:$W,Opex_Budget!$A:$A,$C$3,Opex_Budget!$E:$E,$B$26,Opex_Budget!$F:$F,$D$26,Opex_Budget!$N:$N,"JPY")*$E$5+SUMIFS(Opex_Budget!$W:$W,Opex_Budget!$A:$A,$C$3,Opex_Budget!$E:$E,$B$26,Opex_Budget!$F:$F,$D$26,Opex_Budget!$N:$N,"USD")*$F$5+SUMIFS(Opex_Budget!$W:$W,Opex_Budget!$A:$A,$C$3,Opex_Budget!$E:$E,$B$26,Opex_Budget!$F:$F,$D$26,Opex_Budget!$N:$N,"EUR")*$G$5+SUMIFS(Opex_Budget!$W:$W,Opex_Budget!$A:$A,$C$3,Opex_Budget!$E:$E,$B$26,Opex_Budget!$F:$F,$D$26,Opex_Budget!$N:$N,"GBP")*$H$5)</f>
        <v/>
      </c>
      <c r="Q26" s="32">
        <f>IF($B$26="","",SUMIFS(Opex_Budget!$X:$X,Opex_Budget!$A:$A,$C$3,Opex_Budget!$E:$E,$B$26,Opex_Budget!$F:$F,$D$26,Opex_Budget!$N:$N,"JPY")*$E$5+SUMIFS(Opex_Budget!$X:$X,Opex_Budget!$A:$A,$C$3,Opex_Budget!$E:$E,$B$26,Opex_Budget!$F:$F,$D$26,Opex_Budget!$N:$N,"USD")*$F$5+SUMIFS(Opex_Budget!$X:$X,Opex_Budget!$A:$A,$C$3,Opex_Budget!$E:$E,$B$26,Opex_Budget!$F:$F,$D$26,Opex_Budget!$N:$N,"EUR")*$G$5+SUMIFS(Opex_Budget!$X:$X,Opex_Budget!$A:$A,$C$3,Opex_Budget!$E:$E,$B$26,Opex_Budget!$F:$F,$D$26,Opex_Budget!$N:$N,"GBP")*$H$5)</f>
        <v/>
      </c>
      <c r="R26" s="32">
        <f>IF($B$26="","",SUMIFS(Opex_Budget!$Y:$Y,Opex_Budget!$A:$A,$C$3,Opex_Budget!$E:$E,$B$26,Opex_Budget!$F:$F,$D$26,Opex_Budget!$N:$N,"JPY")*$E$5+SUMIFS(Opex_Budget!$Y:$Y,Opex_Budget!$A:$A,$C$3,Opex_Budget!$E:$E,$B$26,Opex_Budget!$F:$F,$D$26,Opex_Budget!$N:$N,"USD")*$F$5+SUMIFS(Opex_Budget!$Y:$Y,Opex_Budget!$A:$A,$C$3,Opex_Budget!$E:$E,$B$26,Opex_Budget!$F:$F,$D$26,Opex_Budget!$N:$N,"EUR")*$G$5+SUMIFS(Opex_Budget!$Y:$Y,Opex_Budget!$A:$A,$C$3,Opex_Budget!$E:$E,$B$26,Opex_Budget!$F:$F,$D$26,Opex_Budget!$N:$N,"GBP")*$H$5)</f>
        <v/>
      </c>
      <c r="S26" s="32">
        <f>IF($B$26="","",SUMIFS(Opex_Budget!$Z:$Z,Opex_Budget!$A:$A,$C$3,Opex_Budget!$E:$E,$B$26,Opex_Budget!$F:$F,$D$26,Opex_Budget!$N:$N,"JPY")*$E$5+SUMIFS(Opex_Budget!$Z:$Z,Opex_Budget!$A:$A,$C$3,Opex_Budget!$E:$E,$B$26,Opex_Budget!$F:$F,$D$26,Opex_Budget!$N:$N,"USD")*$F$5+SUMIFS(Opex_Budget!$Z:$Z,Opex_Budget!$A:$A,$C$3,Opex_Budget!$E:$E,$B$26,Opex_Budget!$F:$F,$D$26,Opex_Budget!$N:$N,"EUR")*$G$5+SUMIFS(Opex_Budget!$Z:$Z,Opex_Budget!$A:$A,$C$3,Opex_Budget!$E:$E,$B$26,Opex_Budget!$F:$F,$D$26,Opex_Budget!$N:$N,"GBP")*$H$5)</f>
        <v/>
      </c>
      <c r="T26" s="32">
        <f>IF($B$26="","",SUMIF($H$7:$S$7,"&lt;="&amp;$C$4,$H26:$S26))</f>
        <v/>
      </c>
      <c r="U26" s="32">
        <f>IF($B$26="","",SUMIF($H$7:$S$7,"&gt;"&amp;$C$4,$H26:$S26))</f>
        <v/>
      </c>
      <c r="V26" s="32">
        <f>IF($B$26="","",SUM($H26:$S26))</f>
        <v/>
      </c>
      <c r="X26" s="22">
        <f>IF($B26="","",IFERROR(INDEX(Cost_Centers!$E:$E,MATCH($B26,Cost_Centers!$A:$A,0)),"(unknown)"))</f>
        <v/>
      </c>
      <c r="Y26" s="22">
        <f>IF($B26="","",IFERROR(INDEX(Cost_Centers!$D:$D,MATCH($B26,Cost_Centers!$A:$A,0)),"(unknown)"))</f>
        <v/>
      </c>
      <c r="Z26" s="22">
        <f>IF(OR($B26="",$G26&lt;&gt;"Variance vs Budget"),"",ABS(N($V26))+ROW()/1000000000)</f>
        <v/>
      </c>
    </row>
    <row r="27">
      <c r="A27" s="13">
        <f>IF(A$26="","",A$26)</f>
        <v/>
      </c>
      <c r="B27" s="13">
        <f>IF(B$26="","",B$26)</f>
        <v/>
      </c>
      <c r="C27" s="13">
        <f>IF(C$26="","",C$26)</f>
        <v/>
      </c>
      <c r="D27" s="13">
        <f>IF(D$26="","",D$26)</f>
        <v/>
      </c>
      <c r="E27" s="13">
        <f>IF(E$26="","",E$26)</f>
        <v/>
      </c>
      <c r="F27" s="13">
        <f>IF(F$26="","",F$26)</f>
        <v/>
      </c>
      <c r="G27" s="7" t="inlineStr">
        <is>
          <t>Actual</t>
        </is>
      </c>
      <c r="H27" s="18">
        <f>IF(OR($B$26="",1&gt;$C$4),"",SUMIFS(Actuals!$G:$G,Actuals!$B:$B,$C$3,Actuals!$C:$C,1,Actuals!$D:$D,$B$26,Actuals!$A:$A,LEFT($D$26,FIND("|",$D$26&amp;"|")-1),Actuals!$E:$E,MID($D$26,FIND("|",$D$26&amp;"|")+1,50),Actuals!$F:$F,"JPY")*$E$5+SUMIFS(Actuals!$G:$G,Actuals!$B:$B,$C$3,Actuals!$C:$C,1,Actuals!$D:$D,$B$26,Actuals!$A:$A,LEFT($D$26,FIND("|",$D$26&amp;"|")-1),Actuals!$E:$E,MID($D$26,FIND("|",$D$26&amp;"|")+1,50),Actuals!$F:$F,"USD")*$F$5+SUMIFS(Actuals!$G:$G,Actuals!$B:$B,$C$3,Actuals!$C:$C,1,Actuals!$D:$D,$B$26,Actuals!$A:$A,LEFT($D$26,FIND("|",$D$26&amp;"|")-1),Actuals!$E:$E,MID($D$26,FIND("|",$D$26&amp;"|")+1,50),Actuals!$F:$F,"EUR")*$G$5+SUMIFS(Actuals!$G:$G,Actuals!$B:$B,$C$3,Actuals!$C:$C,1,Actuals!$D:$D,$B$26,Actuals!$A:$A,LEFT($D$26,FIND("|",$D$26&amp;"|")-1),Actuals!$E:$E,MID($D$26,FIND("|",$D$26&amp;"|")+1,50),Actuals!$F:$F,"GBP")*$H$5)</f>
        <v/>
      </c>
      <c r="I27" s="18">
        <f>IF(OR($B$26="",2&gt;$C$4),"",SUMIFS(Actuals!$G:$G,Actuals!$B:$B,$C$3,Actuals!$C:$C,2,Actuals!$D:$D,$B$26,Actuals!$A:$A,LEFT($D$26,FIND("|",$D$26&amp;"|")-1),Actuals!$E:$E,MID($D$26,FIND("|",$D$26&amp;"|")+1,50),Actuals!$F:$F,"JPY")*$E$5+SUMIFS(Actuals!$G:$G,Actuals!$B:$B,$C$3,Actuals!$C:$C,2,Actuals!$D:$D,$B$26,Actuals!$A:$A,LEFT($D$26,FIND("|",$D$26&amp;"|")-1),Actuals!$E:$E,MID($D$26,FIND("|",$D$26&amp;"|")+1,50),Actuals!$F:$F,"USD")*$F$5+SUMIFS(Actuals!$G:$G,Actuals!$B:$B,$C$3,Actuals!$C:$C,2,Actuals!$D:$D,$B$26,Actuals!$A:$A,LEFT($D$26,FIND("|",$D$26&amp;"|")-1),Actuals!$E:$E,MID($D$26,FIND("|",$D$26&amp;"|")+1,50),Actuals!$F:$F,"EUR")*$G$5+SUMIFS(Actuals!$G:$G,Actuals!$B:$B,$C$3,Actuals!$C:$C,2,Actuals!$D:$D,$B$26,Actuals!$A:$A,LEFT($D$26,FIND("|",$D$26&amp;"|")-1),Actuals!$E:$E,MID($D$26,FIND("|",$D$26&amp;"|")+1,50),Actuals!$F:$F,"GBP")*$H$5)</f>
        <v/>
      </c>
      <c r="J27" s="18">
        <f>IF(OR($B$26="",3&gt;$C$4),"",SUMIFS(Actuals!$G:$G,Actuals!$B:$B,$C$3,Actuals!$C:$C,3,Actuals!$D:$D,$B$26,Actuals!$A:$A,LEFT($D$26,FIND("|",$D$26&amp;"|")-1),Actuals!$E:$E,MID($D$26,FIND("|",$D$26&amp;"|")+1,50),Actuals!$F:$F,"JPY")*$E$5+SUMIFS(Actuals!$G:$G,Actuals!$B:$B,$C$3,Actuals!$C:$C,3,Actuals!$D:$D,$B$26,Actuals!$A:$A,LEFT($D$26,FIND("|",$D$26&amp;"|")-1),Actuals!$E:$E,MID($D$26,FIND("|",$D$26&amp;"|")+1,50),Actuals!$F:$F,"USD")*$F$5+SUMIFS(Actuals!$G:$G,Actuals!$B:$B,$C$3,Actuals!$C:$C,3,Actuals!$D:$D,$B$26,Actuals!$A:$A,LEFT($D$26,FIND("|",$D$26&amp;"|")-1),Actuals!$E:$E,MID($D$26,FIND("|",$D$26&amp;"|")+1,50),Actuals!$F:$F,"EUR")*$G$5+SUMIFS(Actuals!$G:$G,Actuals!$B:$B,$C$3,Actuals!$C:$C,3,Actuals!$D:$D,$B$26,Actuals!$A:$A,LEFT($D$26,FIND("|",$D$26&amp;"|")-1),Actuals!$E:$E,MID($D$26,FIND("|",$D$26&amp;"|")+1,50),Actuals!$F:$F,"GBP")*$H$5)</f>
        <v/>
      </c>
      <c r="K27" s="18">
        <f>IF(OR($B$26="",4&gt;$C$4),"",SUMIFS(Actuals!$G:$G,Actuals!$B:$B,$C$3,Actuals!$C:$C,4,Actuals!$D:$D,$B$26,Actuals!$A:$A,LEFT($D$26,FIND("|",$D$26&amp;"|")-1),Actuals!$E:$E,MID($D$26,FIND("|",$D$26&amp;"|")+1,50),Actuals!$F:$F,"JPY")*$E$5+SUMIFS(Actuals!$G:$G,Actuals!$B:$B,$C$3,Actuals!$C:$C,4,Actuals!$D:$D,$B$26,Actuals!$A:$A,LEFT($D$26,FIND("|",$D$26&amp;"|")-1),Actuals!$E:$E,MID($D$26,FIND("|",$D$26&amp;"|")+1,50),Actuals!$F:$F,"USD")*$F$5+SUMIFS(Actuals!$G:$G,Actuals!$B:$B,$C$3,Actuals!$C:$C,4,Actuals!$D:$D,$B$26,Actuals!$A:$A,LEFT($D$26,FIND("|",$D$26&amp;"|")-1),Actuals!$E:$E,MID($D$26,FIND("|",$D$26&amp;"|")+1,50),Actuals!$F:$F,"EUR")*$G$5+SUMIFS(Actuals!$G:$G,Actuals!$B:$B,$C$3,Actuals!$C:$C,4,Actuals!$D:$D,$B$26,Actuals!$A:$A,LEFT($D$26,FIND("|",$D$26&amp;"|")-1),Actuals!$E:$E,MID($D$26,FIND("|",$D$26&amp;"|")+1,50),Actuals!$F:$F,"GBP")*$H$5)</f>
        <v/>
      </c>
      <c r="L27" s="18">
        <f>IF(OR($B$26="",5&gt;$C$4),"",SUMIFS(Actuals!$G:$G,Actuals!$B:$B,$C$3,Actuals!$C:$C,5,Actuals!$D:$D,$B$26,Actuals!$A:$A,LEFT($D$26,FIND("|",$D$26&amp;"|")-1),Actuals!$E:$E,MID($D$26,FIND("|",$D$26&amp;"|")+1,50),Actuals!$F:$F,"JPY")*$E$5+SUMIFS(Actuals!$G:$G,Actuals!$B:$B,$C$3,Actuals!$C:$C,5,Actuals!$D:$D,$B$26,Actuals!$A:$A,LEFT($D$26,FIND("|",$D$26&amp;"|")-1),Actuals!$E:$E,MID($D$26,FIND("|",$D$26&amp;"|")+1,50),Actuals!$F:$F,"USD")*$F$5+SUMIFS(Actuals!$G:$G,Actuals!$B:$B,$C$3,Actuals!$C:$C,5,Actuals!$D:$D,$B$26,Actuals!$A:$A,LEFT($D$26,FIND("|",$D$26&amp;"|")-1),Actuals!$E:$E,MID($D$26,FIND("|",$D$26&amp;"|")+1,50),Actuals!$F:$F,"EUR")*$G$5+SUMIFS(Actuals!$G:$G,Actuals!$B:$B,$C$3,Actuals!$C:$C,5,Actuals!$D:$D,$B$26,Actuals!$A:$A,LEFT($D$26,FIND("|",$D$26&amp;"|")-1),Actuals!$E:$E,MID($D$26,FIND("|",$D$26&amp;"|")+1,50),Actuals!$F:$F,"GBP")*$H$5)</f>
        <v/>
      </c>
      <c r="M27" s="18">
        <f>IF(OR($B$26="",6&gt;$C$4),"",SUMIFS(Actuals!$G:$G,Actuals!$B:$B,$C$3,Actuals!$C:$C,6,Actuals!$D:$D,$B$26,Actuals!$A:$A,LEFT($D$26,FIND("|",$D$26&amp;"|")-1),Actuals!$E:$E,MID($D$26,FIND("|",$D$26&amp;"|")+1,50),Actuals!$F:$F,"JPY")*$E$5+SUMIFS(Actuals!$G:$G,Actuals!$B:$B,$C$3,Actuals!$C:$C,6,Actuals!$D:$D,$B$26,Actuals!$A:$A,LEFT($D$26,FIND("|",$D$26&amp;"|")-1),Actuals!$E:$E,MID($D$26,FIND("|",$D$26&amp;"|")+1,50),Actuals!$F:$F,"USD")*$F$5+SUMIFS(Actuals!$G:$G,Actuals!$B:$B,$C$3,Actuals!$C:$C,6,Actuals!$D:$D,$B$26,Actuals!$A:$A,LEFT($D$26,FIND("|",$D$26&amp;"|")-1),Actuals!$E:$E,MID($D$26,FIND("|",$D$26&amp;"|")+1,50),Actuals!$F:$F,"EUR")*$G$5+SUMIFS(Actuals!$G:$G,Actuals!$B:$B,$C$3,Actuals!$C:$C,6,Actuals!$D:$D,$B$26,Actuals!$A:$A,LEFT($D$26,FIND("|",$D$26&amp;"|")-1),Actuals!$E:$E,MID($D$26,FIND("|",$D$26&amp;"|")+1,50),Actuals!$F:$F,"GBP")*$H$5)</f>
        <v/>
      </c>
      <c r="N27" s="18">
        <f>IF(OR($B$26="",7&gt;$C$4),"",SUMIFS(Actuals!$G:$G,Actuals!$B:$B,$C$3,Actuals!$C:$C,7,Actuals!$D:$D,$B$26,Actuals!$A:$A,LEFT($D$26,FIND("|",$D$26&amp;"|")-1),Actuals!$E:$E,MID($D$26,FIND("|",$D$26&amp;"|")+1,50),Actuals!$F:$F,"JPY")*$E$5+SUMIFS(Actuals!$G:$G,Actuals!$B:$B,$C$3,Actuals!$C:$C,7,Actuals!$D:$D,$B$26,Actuals!$A:$A,LEFT($D$26,FIND("|",$D$26&amp;"|")-1),Actuals!$E:$E,MID($D$26,FIND("|",$D$26&amp;"|")+1,50),Actuals!$F:$F,"USD")*$F$5+SUMIFS(Actuals!$G:$G,Actuals!$B:$B,$C$3,Actuals!$C:$C,7,Actuals!$D:$D,$B$26,Actuals!$A:$A,LEFT($D$26,FIND("|",$D$26&amp;"|")-1),Actuals!$E:$E,MID($D$26,FIND("|",$D$26&amp;"|")+1,50),Actuals!$F:$F,"EUR")*$G$5+SUMIFS(Actuals!$G:$G,Actuals!$B:$B,$C$3,Actuals!$C:$C,7,Actuals!$D:$D,$B$26,Actuals!$A:$A,LEFT($D$26,FIND("|",$D$26&amp;"|")-1),Actuals!$E:$E,MID($D$26,FIND("|",$D$26&amp;"|")+1,50),Actuals!$F:$F,"GBP")*$H$5)</f>
        <v/>
      </c>
      <c r="O27" s="18">
        <f>IF(OR($B$26="",8&gt;$C$4),"",SUMIFS(Actuals!$G:$G,Actuals!$B:$B,$C$3,Actuals!$C:$C,8,Actuals!$D:$D,$B$26,Actuals!$A:$A,LEFT($D$26,FIND("|",$D$26&amp;"|")-1),Actuals!$E:$E,MID($D$26,FIND("|",$D$26&amp;"|")+1,50),Actuals!$F:$F,"JPY")*$E$5+SUMIFS(Actuals!$G:$G,Actuals!$B:$B,$C$3,Actuals!$C:$C,8,Actuals!$D:$D,$B$26,Actuals!$A:$A,LEFT($D$26,FIND("|",$D$26&amp;"|")-1),Actuals!$E:$E,MID($D$26,FIND("|",$D$26&amp;"|")+1,50),Actuals!$F:$F,"USD")*$F$5+SUMIFS(Actuals!$G:$G,Actuals!$B:$B,$C$3,Actuals!$C:$C,8,Actuals!$D:$D,$B$26,Actuals!$A:$A,LEFT($D$26,FIND("|",$D$26&amp;"|")-1),Actuals!$E:$E,MID($D$26,FIND("|",$D$26&amp;"|")+1,50),Actuals!$F:$F,"EUR")*$G$5+SUMIFS(Actuals!$G:$G,Actuals!$B:$B,$C$3,Actuals!$C:$C,8,Actuals!$D:$D,$B$26,Actuals!$A:$A,LEFT($D$26,FIND("|",$D$26&amp;"|")-1),Actuals!$E:$E,MID($D$26,FIND("|",$D$26&amp;"|")+1,50),Actuals!$F:$F,"GBP")*$H$5)</f>
        <v/>
      </c>
      <c r="P27" s="18">
        <f>IF(OR($B$26="",9&gt;$C$4),"",SUMIFS(Actuals!$G:$G,Actuals!$B:$B,$C$3,Actuals!$C:$C,9,Actuals!$D:$D,$B$26,Actuals!$A:$A,LEFT($D$26,FIND("|",$D$26&amp;"|")-1),Actuals!$E:$E,MID($D$26,FIND("|",$D$26&amp;"|")+1,50),Actuals!$F:$F,"JPY")*$E$5+SUMIFS(Actuals!$G:$G,Actuals!$B:$B,$C$3,Actuals!$C:$C,9,Actuals!$D:$D,$B$26,Actuals!$A:$A,LEFT($D$26,FIND("|",$D$26&amp;"|")-1),Actuals!$E:$E,MID($D$26,FIND("|",$D$26&amp;"|")+1,50),Actuals!$F:$F,"USD")*$F$5+SUMIFS(Actuals!$G:$G,Actuals!$B:$B,$C$3,Actuals!$C:$C,9,Actuals!$D:$D,$B$26,Actuals!$A:$A,LEFT($D$26,FIND("|",$D$26&amp;"|")-1),Actuals!$E:$E,MID($D$26,FIND("|",$D$26&amp;"|")+1,50),Actuals!$F:$F,"EUR")*$G$5+SUMIFS(Actuals!$G:$G,Actuals!$B:$B,$C$3,Actuals!$C:$C,9,Actuals!$D:$D,$B$26,Actuals!$A:$A,LEFT($D$26,FIND("|",$D$26&amp;"|")-1),Actuals!$E:$E,MID($D$26,FIND("|",$D$26&amp;"|")+1,50),Actuals!$F:$F,"GBP")*$H$5)</f>
        <v/>
      </c>
      <c r="Q27" s="18">
        <f>IF(OR($B$26="",10&gt;$C$4),"",SUMIFS(Actuals!$G:$G,Actuals!$B:$B,$C$3,Actuals!$C:$C,10,Actuals!$D:$D,$B$26,Actuals!$A:$A,LEFT($D$26,FIND("|",$D$26&amp;"|")-1),Actuals!$E:$E,MID($D$26,FIND("|",$D$26&amp;"|")+1,50),Actuals!$F:$F,"JPY")*$E$5+SUMIFS(Actuals!$G:$G,Actuals!$B:$B,$C$3,Actuals!$C:$C,10,Actuals!$D:$D,$B$26,Actuals!$A:$A,LEFT($D$26,FIND("|",$D$26&amp;"|")-1),Actuals!$E:$E,MID($D$26,FIND("|",$D$26&amp;"|")+1,50),Actuals!$F:$F,"USD")*$F$5+SUMIFS(Actuals!$G:$G,Actuals!$B:$B,$C$3,Actuals!$C:$C,10,Actuals!$D:$D,$B$26,Actuals!$A:$A,LEFT($D$26,FIND("|",$D$26&amp;"|")-1),Actuals!$E:$E,MID($D$26,FIND("|",$D$26&amp;"|")+1,50),Actuals!$F:$F,"EUR")*$G$5+SUMIFS(Actuals!$G:$G,Actuals!$B:$B,$C$3,Actuals!$C:$C,10,Actuals!$D:$D,$B$26,Actuals!$A:$A,LEFT($D$26,FIND("|",$D$26&amp;"|")-1),Actuals!$E:$E,MID($D$26,FIND("|",$D$26&amp;"|")+1,50),Actuals!$F:$F,"GBP")*$H$5)</f>
        <v/>
      </c>
      <c r="R27" s="18">
        <f>IF(OR($B$26="",11&gt;$C$4),"",SUMIFS(Actuals!$G:$G,Actuals!$B:$B,$C$3,Actuals!$C:$C,11,Actuals!$D:$D,$B$26,Actuals!$A:$A,LEFT($D$26,FIND("|",$D$26&amp;"|")-1),Actuals!$E:$E,MID($D$26,FIND("|",$D$26&amp;"|")+1,50),Actuals!$F:$F,"JPY")*$E$5+SUMIFS(Actuals!$G:$G,Actuals!$B:$B,$C$3,Actuals!$C:$C,11,Actuals!$D:$D,$B$26,Actuals!$A:$A,LEFT($D$26,FIND("|",$D$26&amp;"|")-1),Actuals!$E:$E,MID($D$26,FIND("|",$D$26&amp;"|")+1,50),Actuals!$F:$F,"USD")*$F$5+SUMIFS(Actuals!$G:$G,Actuals!$B:$B,$C$3,Actuals!$C:$C,11,Actuals!$D:$D,$B$26,Actuals!$A:$A,LEFT($D$26,FIND("|",$D$26&amp;"|")-1),Actuals!$E:$E,MID($D$26,FIND("|",$D$26&amp;"|")+1,50),Actuals!$F:$F,"EUR")*$G$5+SUMIFS(Actuals!$G:$G,Actuals!$B:$B,$C$3,Actuals!$C:$C,11,Actuals!$D:$D,$B$26,Actuals!$A:$A,LEFT($D$26,FIND("|",$D$26&amp;"|")-1),Actuals!$E:$E,MID($D$26,FIND("|",$D$26&amp;"|")+1,50),Actuals!$F:$F,"GBP")*$H$5)</f>
        <v/>
      </c>
      <c r="S27" s="18">
        <f>IF(OR($B$26="",12&gt;$C$4),"",SUMIFS(Actuals!$G:$G,Actuals!$B:$B,$C$3,Actuals!$C:$C,12,Actuals!$D:$D,$B$26,Actuals!$A:$A,LEFT($D$26,FIND("|",$D$26&amp;"|")-1),Actuals!$E:$E,MID($D$26,FIND("|",$D$26&amp;"|")+1,50),Actuals!$F:$F,"JPY")*$E$5+SUMIFS(Actuals!$G:$G,Actuals!$B:$B,$C$3,Actuals!$C:$C,12,Actuals!$D:$D,$B$26,Actuals!$A:$A,LEFT($D$26,FIND("|",$D$26&amp;"|")-1),Actuals!$E:$E,MID($D$26,FIND("|",$D$26&amp;"|")+1,50),Actuals!$F:$F,"USD")*$F$5+SUMIFS(Actuals!$G:$G,Actuals!$B:$B,$C$3,Actuals!$C:$C,12,Actuals!$D:$D,$B$26,Actuals!$A:$A,LEFT($D$26,FIND("|",$D$26&amp;"|")-1),Actuals!$E:$E,MID($D$26,FIND("|",$D$26&amp;"|")+1,50),Actuals!$F:$F,"EUR")*$G$5+SUMIFS(Actuals!$G:$G,Actuals!$B:$B,$C$3,Actuals!$C:$C,12,Actuals!$D:$D,$B$26,Actuals!$A:$A,LEFT($D$26,FIND("|",$D$26&amp;"|")-1),Actuals!$E:$E,MID($D$26,FIND("|",$D$26&amp;"|")+1,50),Actuals!$F:$F,"GBP")*$H$5)</f>
        <v/>
      </c>
      <c r="T27" s="18">
        <f>IF($B$26="","",SUMIF($H$7:$S$7,"&lt;="&amp;$C$4,$H27:$S27))</f>
        <v/>
      </c>
      <c r="U27" s="18" t="n"/>
      <c r="V27" s="18" t="n"/>
      <c r="X27" s="22">
        <f>IF($B27="","",IFERROR(INDEX(Cost_Centers!$E:$E,MATCH($B27,Cost_Centers!$A:$A,0)),"(unknown)"))</f>
        <v/>
      </c>
      <c r="Y27" s="22">
        <f>IF($B27="","",IFERROR(INDEX(Cost_Centers!$D:$D,MATCH($B27,Cost_Centers!$A:$A,0)),"(unknown)"))</f>
        <v/>
      </c>
      <c r="Z27" s="22">
        <f>IF(OR($B27="",$G27&lt;&gt;"Variance vs Budget"),"",ABS(N($V27))+ROW()/1000000000)</f>
        <v/>
      </c>
    </row>
    <row r="28">
      <c r="A28" s="13">
        <f>IF(A$26="","",A$26)</f>
        <v/>
      </c>
      <c r="B28" s="13">
        <f>IF(B$26="","",B$26)</f>
        <v/>
      </c>
      <c r="C28" s="13">
        <f>IF(C$26="","",C$26)</f>
        <v/>
      </c>
      <c r="D28" s="13">
        <f>IF(D$26="","",D$26)</f>
        <v/>
      </c>
      <c r="E28" s="13">
        <f>IF(E$26="","",E$26)</f>
        <v/>
      </c>
      <c r="F28" s="13">
        <f>IF(F$26="","",F$26)</f>
        <v/>
      </c>
      <c r="G28" s="6" t="inlineStr">
        <is>
          <t>Variance vs Budget</t>
        </is>
      </c>
      <c r="H28" s="33">
        <f>IF(OR($B$26="",1&gt;$C$4),"",N(H27)-H26)</f>
        <v/>
      </c>
      <c r="I28" s="33">
        <f>IF(OR($B$26="",2&gt;$C$4),"",N(I27)-I26)</f>
        <v/>
      </c>
      <c r="J28" s="33">
        <f>IF(OR($B$26="",3&gt;$C$4),"",N(J27)-J26)</f>
        <v/>
      </c>
      <c r="K28" s="33">
        <f>IF(OR($B$26="",4&gt;$C$4),"",N(K27)-K26)</f>
        <v/>
      </c>
      <c r="L28" s="33">
        <f>IF(OR($B$26="",5&gt;$C$4),"",N(L27)-L26)</f>
        <v/>
      </c>
      <c r="M28" s="33">
        <f>IF(OR($B$26="",6&gt;$C$4),"",N(M27)-M26)</f>
        <v/>
      </c>
      <c r="N28" s="33">
        <f>IF(OR($B$26="",7&gt;$C$4),"",N(N27)-N26)</f>
        <v/>
      </c>
      <c r="O28" s="33">
        <f>IF(OR($B$26="",8&gt;$C$4),"",N(O27)-O26)</f>
        <v/>
      </c>
      <c r="P28" s="33">
        <f>IF(OR($B$26="",9&gt;$C$4),"",N(P27)-P26)</f>
        <v/>
      </c>
      <c r="Q28" s="33">
        <f>IF(OR($B$26="",10&gt;$C$4),"",N(Q27)-Q26)</f>
        <v/>
      </c>
      <c r="R28" s="33">
        <f>IF(OR($B$26="",11&gt;$C$4),"",N(R27)-R26)</f>
        <v/>
      </c>
      <c r="S28" s="33">
        <f>IF(OR($B$26="",12&gt;$C$4),"",N(S27)-S26)</f>
        <v/>
      </c>
      <c r="T28" s="33">
        <f>IF($B$26="","",T27-T26)</f>
        <v/>
      </c>
      <c r="U28" s="33">
        <f>IF($B$26="","",U30-U26)</f>
        <v/>
      </c>
      <c r="V28" s="33">
        <f>IF($B$26="","",V30-V26)</f>
        <v/>
      </c>
      <c r="X28" s="22">
        <f>IF($B28="","",IFERROR(INDEX(Cost_Centers!$E:$E,MATCH($B28,Cost_Centers!$A:$A,0)),"(unknown)"))</f>
        <v/>
      </c>
      <c r="Y28" s="22">
        <f>IF($B28="","",IFERROR(INDEX(Cost_Centers!$D:$D,MATCH($B28,Cost_Centers!$A:$A,0)),"(unknown)"))</f>
        <v/>
      </c>
      <c r="Z28" s="22">
        <f>IF(OR($B28="",$G28&lt;&gt;"Variance vs Budget"),"",ABS(N($V28))+ROW()/1000000000)</f>
        <v/>
      </c>
    </row>
    <row r="29">
      <c r="A29" s="13">
        <f>IF(A$26="","",A$26)</f>
        <v/>
      </c>
      <c r="B29" s="13">
        <f>IF(B$26="","",B$26)</f>
        <v/>
      </c>
      <c r="C29" s="13">
        <f>IF(C$26="","",C$26)</f>
        <v/>
      </c>
      <c r="D29" s="13">
        <f>IF(D$26="","",D$26)</f>
        <v/>
      </c>
      <c r="E29" s="13">
        <f>IF(E$26="","",E$26)</f>
        <v/>
      </c>
      <c r="F29" s="13">
        <f>IF(F$26="","",F$26)</f>
        <v/>
      </c>
      <c r="G29" s="7" t="inlineStr">
        <is>
          <t>Forecast (input)</t>
        </is>
      </c>
      <c r="H29" s="34" t="n"/>
      <c r="I29" s="34" t="n"/>
      <c r="J29" s="34" t="n"/>
      <c r="K29" s="34" t="n"/>
      <c r="L29" s="34" t="n"/>
      <c r="M29" s="34" t="n"/>
      <c r="N29" s="34" t="n"/>
      <c r="O29" s="34" t="n"/>
      <c r="P29" s="34" t="n"/>
      <c r="Q29" s="34" t="n"/>
      <c r="R29" s="34" t="n"/>
      <c r="S29" s="34" t="n"/>
      <c r="T29" s="18" t="n"/>
      <c r="U29" s="18" t="n"/>
      <c r="V29" s="18" t="n"/>
      <c r="X29" s="22">
        <f>IF($B29="","",IFERROR(INDEX(Cost_Centers!$E:$E,MATCH($B29,Cost_Centers!$A:$A,0)),"(unknown)"))</f>
        <v/>
      </c>
      <c r="Y29" s="22">
        <f>IF($B29="","",IFERROR(INDEX(Cost_Centers!$D:$D,MATCH($B29,Cost_Centers!$A:$A,0)),"(unknown)"))</f>
        <v/>
      </c>
      <c r="Z29" s="22">
        <f>IF(OR($B29="",$G29&lt;&gt;"Variance vs Budget"),"",ABS(N($V29))+ROW()/1000000000)</f>
        <v/>
      </c>
    </row>
    <row r="30">
      <c r="A30" s="13">
        <f>IF(A$26="","",A$26)</f>
        <v/>
      </c>
      <c r="B30" s="13">
        <f>IF(B$26="","",B$26)</f>
        <v/>
      </c>
      <c r="C30" s="13">
        <f>IF(C$26="","",C$26)</f>
        <v/>
      </c>
      <c r="D30" s="13">
        <f>IF(D$26="","",D$26)</f>
        <v/>
      </c>
      <c r="E30" s="13">
        <f>IF(E$26="","",E$26)</f>
        <v/>
      </c>
      <c r="F30" s="13">
        <f>IF(F$26="","",F$26)</f>
        <v/>
      </c>
      <c r="G30" s="35" t="inlineStr">
        <is>
          <t>Actual + Forecast</t>
        </is>
      </c>
      <c r="H30" s="18">
        <f>IF($B$26="","",IF(1&lt;=$C$4,N(H27),IF(H29="",H26,H29)))</f>
        <v/>
      </c>
      <c r="I30" s="18">
        <f>IF($B$26="","",IF(2&lt;=$C$4,N(I27),IF(I29="",I26,I29)))</f>
        <v/>
      </c>
      <c r="J30" s="18">
        <f>IF($B$26="","",IF(3&lt;=$C$4,N(J27),IF(J29="",J26,J29)))</f>
        <v/>
      </c>
      <c r="K30" s="18">
        <f>IF($B$26="","",IF(4&lt;=$C$4,N(K27),IF(K29="",K26,K29)))</f>
        <v/>
      </c>
      <c r="L30" s="18">
        <f>IF($B$26="","",IF(5&lt;=$C$4,N(L27),IF(L29="",L26,L29)))</f>
        <v/>
      </c>
      <c r="M30" s="18">
        <f>IF($B$26="","",IF(6&lt;=$C$4,N(M27),IF(M29="",M26,M29)))</f>
        <v/>
      </c>
      <c r="N30" s="18">
        <f>IF($B$26="","",IF(7&lt;=$C$4,N(N27),IF(N29="",N26,N29)))</f>
        <v/>
      </c>
      <c r="O30" s="18">
        <f>IF($B$26="","",IF(8&lt;=$C$4,N(O27),IF(O29="",O26,O29)))</f>
        <v/>
      </c>
      <c r="P30" s="18">
        <f>IF($B$26="","",IF(9&lt;=$C$4,N(P27),IF(P29="",P26,P29)))</f>
        <v/>
      </c>
      <c r="Q30" s="18">
        <f>IF($B$26="","",IF(10&lt;=$C$4,N(Q27),IF(Q29="",Q26,Q29)))</f>
        <v/>
      </c>
      <c r="R30" s="18">
        <f>IF($B$26="","",IF(11&lt;=$C$4,N(R27),IF(R29="",R26,R29)))</f>
        <v/>
      </c>
      <c r="S30" s="18">
        <f>IF($B$26="","",IF(12&lt;=$C$4,N(S27),IF(S29="",S26,S29)))</f>
        <v/>
      </c>
      <c r="T30" s="18">
        <f>IF($B$26="","",SUMIF($H$7:$S$7,"&lt;="&amp;$C$4,$H30:$S30))</f>
        <v/>
      </c>
      <c r="U30" s="18">
        <f>IF($B$26="","",SUMIF($H$7:$S$7,"&gt;"&amp;$C$4,$H30:$S30))</f>
        <v/>
      </c>
      <c r="V30" s="18">
        <f>IF($B$26="","",SUM($H30:$S30))</f>
        <v/>
      </c>
      <c r="X30" s="22">
        <f>IF($B30="","",IFERROR(INDEX(Cost_Centers!$E:$E,MATCH($B30,Cost_Centers!$A:$A,0)),"(unknown)"))</f>
        <v/>
      </c>
      <c r="Y30" s="22">
        <f>IF($B30="","",IFERROR(INDEX(Cost_Centers!$D:$D,MATCH($B30,Cost_Centers!$A:$A,0)),"(unknown)"))</f>
        <v/>
      </c>
      <c r="Z30" s="22">
        <f>IF(OR($B30="",$G30&lt;&gt;"Variance vs Budget"),"",ABS(N($V30))+ROW()/1000000000)</f>
        <v/>
      </c>
    </row>
    <row r="31">
      <c r="A31" s="13">
        <f>IF(A$26="","",A$26)</f>
        <v/>
      </c>
      <c r="B31" s="13">
        <f>IF(B$26="","",B$26)</f>
        <v/>
      </c>
      <c r="C31" s="13">
        <f>IF(C$26="","",C$26)</f>
        <v/>
      </c>
      <c r="D31" s="13">
        <f>IF(D$26="","",D$26)</f>
        <v/>
      </c>
      <c r="E31" s="13">
        <f>IF(E$26="","",E$26)</f>
        <v/>
      </c>
      <c r="F31" s="13">
        <f>IF(F$26="","",F$26)</f>
        <v/>
      </c>
      <c r="G31" s="36" t="inlineStr">
        <is>
          <t>Prior Month Forecast</t>
        </is>
      </c>
      <c r="H31" s="37">
        <f>IF($B$26="","",IF(COUNTIFS(Prior_Forecast!$A:$A,$B$26,Prior_Forecast!$B:$B,$D$26)&gt;0,SUMIFS(Prior_Forecast!$C:$C,Prior_Forecast!$A:$A,$B$26,Prior_Forecast!$B:$B,$D$26),""))</f>
        <v/>
      </c>
      <c r="I31" s="37">
        <f>IF($B$26="","",IF(COUNTIFS(Prior_Forecast!$A:$A,$B$26,Prior_Forecast!$B:$B,$D$26)&gt;0,SUMIFS(Prior_Forecast!$D:$D,Prior_Forecast!$A:$A,$B$26,Prior_Forecast!$B:$B,$D$26),""))</f>
        <v/>
      </c>
      <c r="J31" s="37">
        <f>IF($B$26="","",IF(COUNTIFS(Prior_Forecast!$A:$A,$B$26,Prior_Forecast!$B:$B,$D$26)&gt;0,SUMIFS(Prior_Forecast!$E:$E,Prior_Forecast!$A:$A,$B$26,Prior_Forecast!$B:$B,$D$26),""))</f>
        <v/>
      </c>
      <c r="K31" s="37">
        <f>IF($B$26="","",IF(COUNTIFS(Prior_Forecast!$A:$A,$B$26,Prior_Forecast!$B:$B,$D$26)&gt;0,SUMIFS(Prior_Forecast!$F:$F,Prior_Forecast!$A:$A,$B$26,Prior_Forecast!$B:$B,$D$26),""))</f>
        <v/>
      </c>
      <c r="L31" s="37">
        <f>IF($B$26="","",IF(COUNTIFS(Prior_Forecast!$A:$A,$B$26,Prior_Forecast!$B:$B,$D$26)&gt;0,SUMIFS(Prior_Forecast!$G:$G,Prior_Forecast!$A:$A,$B$26,Prior_Forecast!$B:$B,$D$26),""))</f>
        <v/>
      </c>
      <c r="M31" s="37">
        <f>IF($B$26="","",IF(COUNTIFS(Prior_Forecast!$A:$A,$B$26,Prior_Forecast!$B:$B,$D$26)&gt;0,SUMIFS(Prior_Forecast!$H:$H,Prior_Forecast!$A:$A,$B$26,Prior_Forecast!$B:$B,$D$26),""))</f>
        <v/>
      </c>
      <c r="N31" s="37">
        <f>IF($B$26="","",IF(COUNTIFS(Prior_Forecast!$A:$A,$B$26,Prior_Forecast!$B:$B,$D$26)&gt;0,SUMIFS(Prior_Forecast!$I:$I,Prior_Forecast!$A:$A,$B$26,Prior_Forecast!$B:$B,$D$26),""))</f>
        <v/>
      </c>
      <c r="O31" s="37">
        <f>IF($B$26="","",IF(COUNTIFS(Prior_Forecast!$A:$A,$B$26,Prior_Forecast!$B:$B,$D$26)&gt;0,SUMIFS(Prior_Forecast!$J:$J,Prior_Forecast!$A:$A,$B$26,Prior_Forecast!$B:$B,$D$26),""))</f>
        <v/>
      </c>
      <c r="P31" s="37">
        <f>IF($B$26="","",IF(COUNTIFS(Prior_Forecast!$A:$A,$B$26,Prior_Forecast!$B:$B,$D$26)&gt;0,SUMIFS(Prior_Forecast!$K:$K,Prior_Forecast!$A:$A,$B$26,Prior_Forecast!$B:$B,$D$26),""))</f>
        <v/>
      </c>
      <c r="Q31" s="37">
        <f>IF($B$26="","",IF(COUNTIFS(Prior_Forecast!$A:$A,$B$26,Prior_Forecast!$B:$B,$D$26)&gt;0,SUMIFS(Prior_Forecast!$L:$L,Prior_Forecast!$A:$A,$B$26,Prior_Forecast!$B:$B,$D$26),""))</f>
        <v/>
      </c>
      <c r="R31" s="37">
        <f>IF($B$26="","",IF(COUNTIFS(Prior_Forecast!$A:$A,$B$26,Prior_Forecast!$B:$B,$D$26)&gt;0,SUMIFS(Prior_Forecast!$M:$M,Prior_Forecast!$A:$A,$B$26,Prior_Forecast!$B:$B,$D$26),""))</f>
        <v/>
      </c>
      <c r="S31" s="37">
        <f>IF($B$26="","",IF(COUNTIFS(Prior_Forecast!$A:$A,$B$26,Prior_Forecast!$B:$B,$D$26)&gt;0,SUMIFS(Prior_Forecast!$N:$N,Prior_Forecast!$A:$A,$B$26,Prior_Forecast!$B:$B,$D$26),""))</f>
        <v/>
      </c>
      <c r="T31" s="37">
        <f>IF($B$26="","",IF(COUNTIFS(Prior_Forecast!$A:$A,$B$26,Prior_Forecast!$B:$B,$D$26)&gt;0,SUMIFS(Prior_Forecast!$O:$O,Prior_Forecast!$A:$A,$B$26,Prior_Forecast!$B:$B,$D$26),""))</f>
        <v/>
      </c>
      <c r="U31" s="37">
        <f>IF($B$26="","",IF(COUNTIFS(Prior_Forecast!$A:$A,$B$26,Prior_Forecast!$B:$B,$D$26)&gt;0,SUMIFS(Prior_Forecast!$P:$P,Prior_Forecast!$A:$A,$B$26,Prior_Forecast!$B:$B,$D$26),""))</f>
        <v/>
      </c>
      <c r="V31" s="37">
        <f>IF($B$26="","",IF(COUNTIFS(Prior_Forecast!$A:$A,$B$26,Prior_Forecast!$B:$B,$D$26)&gt;0,SUMIFS(Prior_Forecast!$Q:$Q,Prior_Forecast!$A:$A,$B$26,Prior_Forecast!$B:$B,$D$26),""))</f>
        <v/>
      </c>
      <c r="X31" s="22">
        <f>IF($B31="","",IFERROR(INDEX(Cost_Centers!$E:$E,MATCH($B31,Cost_Centers!$A:$A,0)),"(unknown)"))</f>
        <v/>
      </c>
      <c r="Y31" s="22">
        <f>IF($B31="","",IFERROR(INDEX(Cost_Centers!$D:$D,MATCH($B31,Cost_Centers!$A:$A,0)),"(unknown)"))</f>
        <v/>
      </c>
      <c r="Z31" s="22">
        <f>IF(OR($B31="",$G31&lt;&gt;"Variance vs Budget"),"",ABS(N($V31))+ROW()/1000000000)</f>
        <v/>
      </c>
    </row>
    <row r="32">
      <c r="A32" s="13">
        <f>IF(A$26="","",A$26)</f>
        <v/>
      </c>
      <c r="B32" s="13">
        <f>IF(B$26="","",B$26)</f>
        <v/>
      </c>
      <c r="C32" s="13">
        <f>IF(C$26="","",C$26)</f>
        <v/>
      </c>
      <c r="D32" s="13">
        <f>IF(D$26="","",D$26)</f>
        <v/>
      </c>
      <c r="E32" s="13">
        <f>IF(E$26="","",E$26)</f>
        <v/>
      </c>
      <c r="F32" s="13">
        <f>IF(F$26="","",F$26)</f>
        <v/>
      </c>
      <c r="G32" s="6" t="inlineStr">
        <is>
          <t>Variance vs Prior Month</t>
        </is>
      </c>
      <c r="H32" s="33">
        <f>IF(OR($B$26="",H31=""),"",H30-H31)</f>
        <v/>
      </c>
      <c r="I32" s="33">
        <f>IF(OR($B$26="",I31=""),"",I30-I31)</f>
        <v/>
      </c>
      <c r="J32" s="33">
        <f>IF(OR($B$26="",J31=""),"",J30-J31)</f>
        <v/>
      </c>
      <c r="K32" s="33">
        <f>IF(OR($B$26="",K31=""),"",K30-K31)</f>
        <v/>
      </c>
      <c r="L32" s="33">
        <f>IF(OR($B$26="",L31=""),"",L30-L31)</f>
        <v/>
      </c>
      <c r="M32" s="33">
        <f>IF(OR($B$26="",M31=""),"",M30-M31)</f>
        <v/>
      </c>
      <c r="N32" s="33">
        <f>IF(OR($B$26="",N31=""),"",N30-N31)</f>
        <v/>
      </c>
      <c r="O32" s="33">
        <f>IF(OR($B$26="",O31=""),"",O30-O31)</f>
        <v/>
      </c>
      <c r="P32" s="33">
        <f>IF(OR($B$26="",P31=""),"",P30-P31)</f>
        <v/>
      </c>
      <c r="Q32" s="33">
        <f>IF(OR($B$26="",Q31=""),"",Q30-Q31)</f>
        <v/>
      </c>
      <c r="R32" s="33">
        <f>IF(OR($B$26="",R31=""),"",R30-R31)</f>
        <v/>
      </c>
      <c r="S32" s="33">
        <f>IF(OR($B$26="",S31=""),"",S30-S31)</f>
        <v/>
      </c>
      <c r="T32" s="33">
        <f>IF(OR($B$26="",T31=""),"",T30-T31)</f>
        <v/>
      </c>
      <c r="U32" s="33">
        <f>IF(OR($B$26="",U31=""),"",U30-U31)</f>
        <v/>
      </c>
      <c r="V32" s="33">
        <f>IF(OR($B$26="",V31=""),"",V30-V31)</f>
        <v/>
      </c>
      <c r="X32" s="22">
        <f>IF($B32="","",IFERROR(INDEX(Cost_Centers!$E:$E,MATCH($B32,Cost_Centers!$A:$A,0)),"(unknown)"))</f>
        <v/>
      </c>
      <c r="Y32" s="22">
        <f>IF($B32="","",IFERROR(INDEX(Cost_Centers!$D:$D,MATCH($B32,Cost_Centers!$A:$A,0)),"(unknown)"))</f>
        <v/>
      </c>
      <c r="Z32" s="22">
        <f>IF(OR($B32="",$G32&lt;&gt;"Variance vs Budget"),"",ABS(N($V32))+ROW()/1000000000)</f>
        <v/>
      </c>
    </row>
    <row r="33" ht="45" customHeight="1">
      <c r="A33" s="13">
        <f>IF(A$26="","",A$26)</f>
        <v/>
      </c>
      <c r="B33" s="13">
        <f>IF(B$26="","",B$26)</f>
        <v/>
      </c>
      <c r="C33" s="13">
        <f>IF(C$26="","",C$26)</f>
        <v/>
      </c>
      <c r="D33" s="13">
        <f>IF(D$26="","",D$26)</f>
        <v/>
      </c>
      <c r="E33" s="13">
        <f>IF(E$26="","",E$26)</f>
        <v/>
      </c>
      <c r="F33" s="13">
        <f>IF(F$26="","",F$26)</f>
        <v/>
      </c>
      <c r="G33" s="7" t="inlineStr">
        <is>
          <t>Rationale</t>
        </is>
      </c>
      <c r="H33" s="38" t="n"/>
      <c r="I33" s="38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7" t="n"/>
      <c r="X33" s="22">
        <f>IF($B33="","",IFERROR(INDEX(Cost_Centers!$E:$E,MATCH($B33,Cost_Centers!$A:$A,0)),"(unknown)"))</f>
        <v/>
      </c>
      <c r="Y33" s="22">
        <f>IF($B33="","",IFERROR(INDEX(Cost_Centers!$D:$D,MATCH($B33,Cost_Centers!$A:$A,0)),"(unknown)"))</f>
        <v/>
      </c>
      <c r="Z33" s="22">
        <f>IF(OR($B33="",$G33&lt;&gt;"Variance vs Budget"),"",ABS(N($V33))+ROW()/1000000000)</f>
        <v/>
      </c>
    </row>
    <row r="34">
      <c r="A34" s="30">
        <f>IF($D$34="","",LEFT($D$34,FIND("|",$D$34&amp;"|")-1))</f>
        <v/>
      </c>
      <c r="B34" s="31" t="n"/>
      <c r="C34" s="30">
        <f>IF($B$34="","",IFERROR(INDEX(Cost_Centers!$B:$B,MATCH($B$34,Cost_Centers!$A:$A,0)),"(not in master)"))</f>
        <v/>
      </c>
      <c r="D34" s="31" t="n"/>
      <c r="E34" s="30">
        <f>IF($D$34="","",IFERROR(INDEX(Accounts!$D:$D,MATCH($D$34,Accounts!$A:$A,0)),"(not in master)"))</f>
        <v/>
      </c>
      <c r="F34" s="31" t="n"/>
      <c r="G34" s="30" t="inlineStr">
        <is>
          <t>Budget</t>
        </is>
      </c>
      <c r="H34" s="32">
        <f>IF($B$34="","",SUMIFS(Opex_Budget!$O:$O,Opex_Budget!$A:$A,$C$3,Opex_Budget!$E:$E,$B$34,Opex_Budget!$F:$F,$D$34,Opex_Budget!$N:$N,"JPY")*$E$5+SUMIFS(Opex_Budget!$O:$O,Opex_Budget!$A:$A,$C$3,Opex_Budget!$E:$E,$B$34,Opex_Budget!$F:$F,$D$34,Opex_Budget!$N:$N,"USD")*$F$5+SUMIFS(Opex_Budget!$O:$O,Opex_Budget!$A:$A,$C$3,Opex_Budget!$E:$E,$B$34,Opex_Budget!$F:$F,$D$34,Opex_Budget!$N:$N,"EUR")*$G$5+SUMIFS(Opex_Budget!$O:$O,Opex_Budget!$A:$A,$C$3,Opex_Budget!$E:$E,$B$34,Opex_Budget!$F:$F,$D$34,Opex_Budget!$N:$N,"GBP")*$H$5)</f>
        <v/>
      </c>
      <c r="I34" s="32">
        <f>IF($B$34="","",SUMIFS(Opex_Budget!$P:$P,Opex_Budget!$A:$A,$C$3,Opex_Budget!$E:$E,$B$34,Opex_Budget!$F:$F,$D$34,Opex_Budget!$N:$N,"JPY")*$E$5+SUMIFS(Opex_Budget!$P:$P,Opex_Budget!$A:$A,$C$3,Opex_Budget!$E:$E,$B$34,Opex_Budget!$F:$F,$D$34,Opex_Budget!$N:$N,"USD")*$F$5+SUMIFS(Opex_Budget!$P:$P,Opex_Budget!$A:$A,$C$3,Opex_Budget!$E:$E,$B$34,Opex_Budget!$F:$F,$D$34,Opex_Budget!$N:$N,"EUR")*$G$5+SUMIFS(Opex_Budget!$P:$P,Opex_Budget!$A:$A,$C$3,Opex_Budget!$E:$E,$B$34,Opex_Budget!$F:$F,$D$34,Opex_Budget!$N:$N,"GBP")*$H$5)</f>
        <v/>
      </c>
      <c r="J34" s="32">
        <f>IF($B$34="","",SUMIFS(Opex_Budget!$Q:$Q,Opex_Budget!$A:$A,$C$3,Opex_Budget!$E:$E,$B$34,Opex_Budget!$F:$F,$D$34,Opex_Budget!$N:$N,"JPY")*$E$5+SUMIFS(Opex_Budget!$Q:$Q,Opex_Budget!$A:$A,$C$3,Opex_Budget!$E:$E,$B$34,Opex_Budget!$F:$F,$D$34,Opex_Budget!$N:$N,"USD")*$F$5+SUMIFS(Opex_Budget!$Q:$Q,Opex_Budget!$A:$A,$C$3,Opex_Budget!$E:$E,$B$34,Opex_Budget!$F:$F,$D$34,Opex_Budget!$N:$N,"EUR")*$G$5+SUMIFS(Opex_Budget!$Q:$Q,Opex_Budget!$A:$A,$C$3,Opex_Budget!$E:$E,$B$34,Opex_Budget!$F:$F,$D$34,Opex_Budget!$N:$N,"GBP")*$H$5)</f>
        <v/>
      </c>
      <c r="K34" s="32">
        <f>IF($B$34="","",SUMIFS(Opex_Budget!$R:$R,Opex_Budget!$A:$A,$C$3,Opex_Budget!$E:$E,$B$34,Opex_Budget!$F:$F,$D$34,Opex_Budget!$N:$N,"JPY")*$E$5+SUMIFS(Opex_Budget!$R:$R,Opex_Budget!$A:$A,$C$3,Opex_Budget!$E:$E,$B$34,Opex_Budget!$F:$F,$D$34,Opex_Budget!$N:$N,"USD")*$F$5+SUMIFS(Opex_Budget!$R:$R,Opex_Budget!$A:$A,$C$3,Opex_Budget!$E:$E,$B$34,Opex_Budget!$F:$F,$D$34,Opex_Budget!$N:$N,"EUR")*$G$5+SUMIFS(Opex_Budget!$R:$R,Opex_Budget!$A:$A,$C$3,Opex_Budget!$E:$E,$B$34,Opex_Budget!$F:$F,$D$34,Opex_Budget!$N:$N,"GBP")*$H$5)</f>
        <v/>
      </c>
      <c r="L34" s="32">
        <f>IF($B$34="","",SUMIFS(Opex_Budget!$S:$S,Opex_Budget!$A:$A,$C$3,Opex_Budget!$E:$E,$B$34,Opex_Budget!$F:$F,$D$34,Opex_Budget!$N:$N,"JPY")*$E$5+SUMIFS(Opex_Budget!$S:$S,Opex_Budget!$A:$A,$C$3,Opex_Budget!$E:$E,$B$34,Opex_Budget!$F:$F,$D$34,Opex_Budget!$N:$N,"USD")*$F$5+SUMIFS(Opex_Budget!$S:$S,Opex_Budget!$A:$A,$C$3,Opex_Budget!$E:$E,$B$34,Opex_Budget!$F:$F,$D$34,Opex_Budget!$N:$N,"EUR")*$G$5+SUMIFS(Opex_Budget!$S:$S,Opex_Budget!$A:$A,$C$3,Opex_Budget!$E:$E,$B$34,Opex_Budget!$F:$F,$D$34,Opex_Budget!$N:$N,"GBP")*$H$5)</f>
        <v/>
      </c>
      <c r="M34" s="32">
        <f>IF($B$34="","",SUMIFS(Opex_Budget!$T:$T,Opex_Budget!$A:$A,$C$3,Opex_Budget!$E:$E,$B$34,Opex_Budget!$F:$F,$D$34,Opex_Budget!$N:$N,"JPY")*$E$5+SUMIFS(Opex_Budget!$T:$T,Opex_Budget!$A:$A,$C$3,Opex_Budget!$E:$E,$B$34,Opex_Budget!$F:$F,$D$34,Opex_Budget!$N:$N,"USD")*$F$5+SUMIFS(Opex_Budget!$T:$T,Opex_Budget!$A:$A,$C$3,Opex_Budget!$E:$E,$B$34,Opex_Budget!$F:$F,$D$34,Opex_Budget!$N:$N,"EUR")*$G$5+SUMIFS(Opex_Budget!$T:$T,Opex_Budget!$A:$A,$C$3,Opex_Budget!$E:$E,$B$34,Opex_Budget!$F:$F,$D$34,Opex_Budget!$N:$N,"GBP")*$H$5)</f>
        <v/>
      </c>
      <c r="N34" s="32">
        <f>IF($B$34="","",SUMIFS(Opex_Budget!$U:$U,Opex_Budget!$A:$A,$C$3,Opex_Budget!$E:$E,$B$34,Opex_Budget!$F:$F,$D$34,Opex_Budget!$N:$N,"JPY")*$E$5+SUMIFS(Opex_Budget!$U:$U,Opex_Budget!$A:$A,$C$3,Opex_Budget!$E:$E,$B$34,Opex_Budget!$F:$F,$D$34,Opex_Budget!$N:$N,"USD")*$F$5+SUMIFS(Opex_Budget!$U:$U,Opex_Budget!$A:$A,$C$3,Opex_Budget!$E:$E,$B$34,Opex_Budget!$F:$F,$D$34,Opex_Budget!$N:$N,"EUR")*$G$5+SUMIFS(Opex_Budget!$U:$U,Opex_Budget!$A:$A,$C$3,Opex_Budget!$E:$E,$B$34,Opex_Budget!$F:$F,$D$34,Opex_Budget!$N:$N,"GBP")*$H$5)</f>
        <v/>
      </c>
      <c r="O34" s="32">
        <f>IF($B$34="","",SUMIFS(Opex_Budget!$V:$V,Opex_Budget!$A:$A,$C$3,Opex_Budget!$E:$E,$B$34,Opex_Budget!$F:$F,$D$34,Opex_Budget!$N:$N,"JPY")*$E$5+SUMIFS(Opex_Budget!$V:$V,Opex_Budget!$A:$A,$C$3,Opex_Budget!$E:$E,$B$34,Opex_Budget!$F:$F,$D$34,Opex_Budget!$N:$N,"USD")*$F$5+SUMIFS(Opex_Budget!$V:$V,Opex_Budget!$A:$A,$C$3,Opex_Budget!$E:$E,$B$34,Opex_Budget!$F:$F,$D$34,Opex_Budget!$N:$N,"EUR")*$G$5+SUMIFS(Opex_Budget!$V:$V,Opex_Budget!$A:$A,$C$3,Opex_Budget!$E:$E,$B$34,Opex_Budget!$F:$F,$D$34,Opex_Budget!$N:$N,"GBP")*$H$5)</f>
        <v/>
      </c>
      <c r="P34" s="32">
        <f>IF($B$34="","",SUMIFS(Opex_Budget!$W:$W,Opex_Budget!$A:$A,$C$3,Opex_Budget!$E:$E,$B$34,Opex_Budget!$F:$F,$D$34,Opex_Budget!$N:$N,"JPY")*$E$5+SUMIFS(Opex_Budget!$W:$W,Opex_Budget!$A:$A,$C$3,Opex_Budget!$E:$E,$B$34,Opex_Budget!$F:$F,$D$34,Opex_Budget!$N:$N,"USD")*$F$5+SUMIFS(Opex_Budget!$W:$W,Opex_Budget!$A:$A,$C$3,Opex_Budget!$E:$E,$B$34,Opex_Budget!$F:$F,$D$34,Opex_Budget!$N:$N,"EUR")*$G$5+SUMIFS(Opex_Budget!$W:$W,Opex_Budget!$A:$A,$C$3,Opex_Budget!$E:$E,$B$34,Opex_Budget!$F:$F,$D$34,Opex_Budget!$N:$N,"GBP")*$H$5)</f>
        <v/>
      </c>
      <c r="Q34" s="32">
        <f>IF($B$34="","",SUMIFS(Opex_Budget!$X:$X,Opex_Budget!$A:$A,$C$3,Opex_Budget!$E:$E,$B$34,Opex_Budget!$F:$F,$D$34,Opex_Budget!$N:$N,"JPY")*$E$5+SUMIFS(Opex_Budget!$X:$X,Opex_Budget!$A:$A,$C$3,Opex_Budget!$E:$E,$B$34,Opex_Budget!$F:$F,$D$34,Opex_Budget!$N:$N,"USD")*$F$5+SUMIFS(Opex_Budget!$X:$X,Opex_Budget!$A:$A,$C$3,Opex_Budget!$E:$E,$B$34,Opex_Budget!$F:$F,$D$34,Opex_Budget!$N:$N,"EUR")*$G$5+SUMIFS(Opex_Budget!$X:$X,Opex_Budget!$A:$A,$C$3,Opex_Budget!$E:$E,$B$34,Opex_Budget!$F:$F,$D$34,Opex_Budget!$N:$N,"GBP")*$H$5)</f>
        <v/>
      </c>
      <c r="R34" s="32">
        <f>IF($B$34="","",SUMIFS(Opex_Budget!$Y:$Y,Opex_Budget!$A:$A,$C$3,Opex_Budget!$E:$E,$B$34,Opex_Budget!$F:$F,$D$34,Opex_Budget!$N:$N,"JPY")*$E$5+SUMIFS(Opex_Budget!$Y:$Y,Opex_Budget!$A:$A,$C$3,Opex_Budget!$E:$E,$B$34,Opex_Budget!$F:$F,$D$34,Opex_Budget!$N:$N,"USD")*$F$5+SUMIFS(Opex_Budget!$Y:$Y,Opex_Budget!$A:$A,$C$3,Opex_Budget!$E:$E,$B$34,Opex_Budget!$F:$F,$D$34,Opex_Budget!$N:$N,"EUR")*$G$5+SUMIFS(Opex_Budget!$Y:$Y,Opex_Budget!$A:$A,$C$3,Opex_Budget!$E:$E,$B$34,Opex_Budget!$F:$F,$D$34,Opex_Budget!$N:$N,"GBP")*$H$5)</f>
        <v/>
      </c>
      <c r="S34" s="32">
        <f>IF($B$34="","",SUMIFS(Opex_Budget!$Z:$Z,Opex_Budget!$A:$A,$C$3,Opex_Budget!$E:$E,$B$34,Opex_Budget!$F:$F,$D$34,Opex_Budget!$N:$N,"JPY")*$E$5+SUMIFS(Opex_Budget!$Z:$Z,Opex_Budget!$A:$A,$C$3,Opex_Budget!$E:$E,$B$34,Opex_Budget!$F:$F,$D$34,Opex_Budget!$N:$N,"USD")*$F$5+SUMIFS(Opex_Budget!$Z:$Z,Opex_Budget!$A:$A,$C$3,Opex_Budget!$E:$E,$B$34,Opex_Budget!$F:$F,$D$34,Opex_Budget!$N:$N,"EUR")*$G$5+SUMIFS(Opex_Budget!$Z:$Z,Opex_Budget!$A:$A,$C$3,Opex_Budget!$E:$E,$B$34,Opex_Budget!$F:$F,$D$34,Opex_Budget!$N:$N,"GBP")*$H$5)</f>
        <v/>
      </c>
      <c r="T34" s="32">
        <f>IF($B$34="","",SUMIF($H$7:$S$7,"&lt;="&amp;$C$4,$H34:$S34))</f>
        <v/>
      </c>
      <c r="U34" s="32">
        <f>IF($B$34="","",SUMIF($H$7:$S$7,"&gt;"&amp;$C$4,$H34:$S34))</f>
        <v/>
      </c>
      <c r="V34" s="32">
        <f>IF($B$34="","",SUM($H34:$S34))</f>
        <v/>
      </c>
      <c r="X34" s="22">
        <f>IF($B34="","",IFERROR(INDEX(Cost_Centers!$E:$E,MATCH($B34,Cost_Centers!$A:$A,0)),"(unknown)"))</f>
        <v/>
      </c>
      <c r="Y34" s="22">
        <f>IF($B34="","",IFERROR(INDEX(Cost_Centers!$D:$D,MATCH($B34,Cost_Centers!$A:$A,0)),"(unknown)"))</f>
        <v/>
      </c>
      <c r="Z34" s="22">
        <f>IF(OR($B34="",$G34&lt;&gt;"Variance vs Budget"),"",ABS(N($V34))+ROW()/1000000000)</f>
        <v/>
      </c>
    </row>
    <row r="35">
      <c r="A35" s="13">
        <f>IF(A$34="","",A$34)</f>
        <v/>
      </c>
      <c r="B35" s="13">
        <f>IF(B$34="","",B$34)</f>
        <v/>
      </c>
      <c r="C35" s="13">
        <f>IF(C$34="","",C$34)</f>
        <v/>
      </c>
      <c r="D35" s="13">
        <f>IF(D$34="","",D$34)</f>
        <v/>
      </c>
      <c r="E35" s="13">
        <f>IF(E$34="","",E$34)</f>
        <v/>
      </c>
      <c r="F35" s="13">
        <f>IF(F$34="","",F$34)</f>
        <v/>
      </c>
      <c r="G35" s="7" t="inlineStr">
        <is>
          <t>Actual</t>
        </is>
      </c>
      <c r="H35" s="18">
        <f>IF(OR($B$34="",1&gt;$C$4),"",SUMIFS(Actuals!$G:$G,Actuals!$B:$B,$C$3,Actuals!$C:$C,1,Actuals!$D:$D,$B$34,Actuals!$A:$A,LEFT($D$34,FIND("|",$D$34&amp;"|")-1),Actuals!$E:$E,MID($D$34,FIND("|",$D$34&amp;"|")+1,50),Actuals!$F:$F,"JPY")*$E$5+SUMIFS(Actuals!$G:$G,Actuals!$B:$B,$C$3,Actuals!$C:$C,1,Actuals!$D:$D,$B$34,Actuals!$A:$A,LEFT($D$34,FIND("|",$D$34&amp;"|")-1),Actuals!$E:$E,MID($D$34,FIND("|",$D$34&amp;"|")+1,50),Actuals!$F:$F,"USD")*$F$5+SUMIFS(Actuals!$G:$G,Actuals!$B:$B,$C$3,Actuals!$C:$C,1,Actuals!$D:$D,$B$34,Actuals!$A:$A,LEFT($D$34,FIND("|",$D$34&amp;"|")-1),Actuals!$E:$E,MID($D$34,FIND("|",$D$34&amp;"|")+1,50),Actuals!$F:$F,"EUR")*$G$5+SUMIFS(Actuals!$G:$G,Actuals!$B:$B,$C$3,Actuals!$C:$C,1,Actuals!$D:$D,$B$34,Actuals!$A:$A,LEFT($D$34,FIND("|",$D$34&amp;"|")-1),Actuals!$E:$E,MID($D$34,FIND("|",$D$34&amp;"|")+1,50),Actuals!$F:$F,"GBP")*$H$5)</f>
        <v/>
      </c>
      <c r="I35" s="18">
        <f>IF(OR($B$34="",2&gt;$C$4),"",SUMIFS(Actuals!$G:$G,Actuals!$B:$B,$C$3,Actuals!$C:$C,2,Actuals!$D:$D,$B$34,Actuals!$A:$A,LEFT($D$34,FIND("|",$D$34&amp;"|")-1),Actuals!$E:$E,MID($D$34,FIND("|",$D$34&amp;"|")+1,50),Actuals!$F:$F,"JPY")*$E$5+SUMIFS(Actuals!$G:$G,Actuals!$B:$B,$C$3,Actuals!$C:$C,2,Actuals!$D:$D,$B$34,Actuals!$A:$A,LEFT($D$34,FIND("|",$D$34&amp;"|")-1),Actuals!$E:$E,MID($D$34,FIND("|",$D$34&amp;"|")+1,50),Actuals!$F:$F,"USD")*$F$5+SUMIFS(Actuals!$G:$G,Actuals!$B:$B,$C$3,Actuals!$C:$C,2,Actuals!$D:$D,$B$34,Actuals!$A:$A,LEFT($D$34,FIND("|",$D$34&amp;"|")-1),Actuals!$E:$E,MID($D$34,FIND("|",$D$34&amp;"|")+1,50),Actuals!$F:$F,"EUR")*$G$5+SUMIFS(Actuals!$G:$G,Actuals!$B:$B,$C$3,Actuals!$C:$C,2,Actuals!$D:$D,$B$34,Actuals!$A:$A,LEFT($D$34,FIND("|",$D$34&amp;"|")-1),Actuals!$E:$E,MID($D$34,FIND("|",$D$34&amp;"|")+1,50),Actuals!$F:$F,"GBP")*$H$5)</f>
        <v/>
      </c>
      <c r="J35" s="18">
        <f>IF(OR($B$34="",3&gt;$C$4),"",SUMIFS(Actuals!$G:$G,Actuals!$B:$B,$C$3,Actuals!$C:$C,3,Actuals!$D:$D,$B$34,Actuals!$A:$A,LEFT($D$34,FIND("|",$D$34&amp;"|")-1),Actuals!$E:$E,MID($D$34,FIND("|",$D$34&amp;"|")+1,50),Actuals!$F:$F,"JPY")*$E$5+SUMIFS(Actuals!$G:$G,Actuals!$B:$B,$C$3,Actuals!$C:$C,3,Actuals!$D:$D,$B$34,Actuals!$A:$A,LEFT($D$34,FIND("|",$D$34&amp;"|")-1),Actuals!$E:$E,MID($D$34,FIND("|",$D$34&amp;"|")+1,50),Actuals!$F:$F,"USD")*$F$5+SUMIFS(Actuals!$G:$G,Actuals!$B:$B,$C$3,Actuals!$C:$C,3,Actuals!$D:$D,$B$34,Actuals!$A:$A,LEFT($D$34,FIND("|",$D$34&amp;"|")-1),Actuals!$E:$E,MID($D$34,FIND("|",$D$34&amp;"|")+1,50),Actuals!$F:$F,"EUR")*$G$5+SUMIFS(Actuals!$G:$G,Actuals!$B:$B,$C$3,Actuals!$C:$C,3,Actuals!$D:$D,$B$34,Actuals!$A:$A,LEFT($D$34,FIND("|",$D$34&amp;"|")-1),Actuals!$E:$E,MID($D$34,FIND("|",$D$34&amp;"|")+1,50),Actuals!$F:$F,"GBP")*$H$5)</f>
        <v/>
      </c>
      <c r="K35" s="18">
        <f>IF(OR($B$34="",4&gt;$C$4),"",SUMIFS(Actuals!$G:$G,Actuals!$B:$B,$C$3,Actuals!$C:$C,4,Actuals!$D:$D,$B$34,Actuals!$A:$A,LEFT($D$34,FIND("|",$D$34&amp;"|")-1),Actuals!$E:$E,MID($D$34,FIND("|",$D$34&amp;"|")+1,50),Actuals!$F:$F,"JPY")*$E$5+SUMIFS(Actuals!$G:$G,Actuals!$B:$B,$C$3,Actuals!$C:$C,4,Actuals!$D:$D,$B$34,Actuals!$A:$A,LEFT($D$34,FIND("|",$D$34&amp;"|")-1),Actuals!$E:$E,MID($D$34,FIND("|",$D$34&amp;"|")+1,50),Actuals!$F:$F,"USD")*$F$5+SUMIFS(Actuals!$G:$G,Actuals!$B:$B,$C$3,Actuals!$C:$C,4,Actuals!$D:$D,$B$34,Actuals!$A:$A,LEFT($D$34,FIND("|",$D$34&amp;"|")-1),Actuals!$E:$E,MID($D$34,FIND("|",$D$34&amp;"|")+1,50),Actuals!$F:$F,"EUR")*$G$5+SUMIFS(Actuals!$G:$G,Actuals!$B:$B,$C$3,Actuals!$C:$C,4,Actuals!$D:$D,$B$34,Actuals!$A:$A,LEFT($D$34,FIND("|",$D$34&amp;"|")-1),Actuals!$E:$E,MID($D$34,FIND("|",$D$34&amp;"|")+1,50),Actuals!$F:$F,"GBP")*$H$5)</f>
        <v/>
      </c>
      <c r="L35" s="18">
        <f>IF(OR($B$34="",5&gt;$C$4),"",SUMIFS(Actuals!$G:$G,Actuals!$B:$B,$C$3,Actuals!$C:$C,5,Actuals!$D:$D,$B$34,Actuals!$A:$A,LEFT($D$34,FIND("|",$D$34&amp;"|")-1),Actuals!$E:$E,MID($D$34,FIND("|",$D$34&amp;"|")+1,50),Actuals!$F:$F,"JPY")*$E$5+SUMIFS(Actuals!$G:$G,Actuals!$B:$B,$C$3,Actuals!$C:$C,5,Actuals!$D:$D,$B$34,Actuals!$A:$A,LEFT($D$34,FIND("|",$D$34&amp;"|")-1),Actuals!$E:$E,MID($D$34,FIND("|",$D$34&amp;"|")+1,50),Actuals!$F:$F,"USD")*$F$5+SUMIFS(Actuals!$G:$G,Actuals!$B:$B,$C$3,Actuals!$C:$C,5,Actuals!$D:$D,$B$34,Actuals!$A:$A,LEFT($D$34,FIND("|",$D$34&amp;"|")-1),Actuals!$E:$E,MID($D$34,FIND("|",$D$34&amp;"|")+1,50),Actuals!$F:$F,"EUR")*$G$5+SUMIFS(Actuals!$G:$G,Actuals!$B:$B,$C$3,Actuals!$C:$C,5,Actuals!$D:$D,$B$34,Actuals!$A:$A,LEFT($D$34,FIND("|",$D$34&amp;"|")-1),Actuals!$E:$E,MID($D$34,FIND("|",$D$34&amp;"|")+1,50),Actuals!$F:$F,"GBP")*$H$5)</f>
        <v/>
      </c>
      <c r="M35" s="18">
        <f>IF(OR($B$34="",6&gt;$C$4),"",SUMIFS(Actuals!$G:$G,Actuals!$B:$B,$C$3,Actuals!$C:$C,6,Actuals!$D:$D,$B$34,Actuals!$A:$A,LEFT($D$34,FIND("|",$D$34&amp;"|")-1),Actuals!$E:$E,MID($D$34,FIND("|",$D$34&amp;"|")+1,50),Actuals!$F:$F,"JPY")*$E$5+SUMIFS(Actuals!$G:$G,Actuals!$B:$B,$C$3,Actuals!$C:$C,6,Actuals!$D:$D,$B$34,Actuals!$A:$A,LEFT($D$34,FIND("|",$D$34&amp;"|")-1),Actuals!$E:$E,MID($D$34,FIND("|",$D$34&amp;"|")+1,50),Actuals!$F:$F,"USD")*$F$5+SUMIFS(Actuals!$G:$G,Actuals!$B:$B,$C$3,Actuals!$C:$C,6,Actuals!$D:$D,$B$34,Actuals!$A:$A,LEFT($D$34,FIND("|",$D$34&amp;"|")-1),Actuals!$E:$E,MID($D$34,FIND("|",$D$34&amp;"|")+1,50),Actuals!$F:$F,"EUR")*$G$5+SUMIFS(Actuals!$G:$G,Actuals!$B:$B,$C$3,Actuals!$C:$C,6,Actuals!$D:$D,$B$34,Actuals!$A:$A,LEFT($D$34,FIND("|",$D$34&amp;"|")-1),Actuals!$E:$E,MID($D$34,FIND("|",$D$34&amp;"|")+1,50),Actuals!$F:$F,"GBP")*$H$5)</f>
        <v/>
      </c>
      <c r="N35" s="18">
        <f>IF(OR($B$34="",7&gt;$C$4),"",SUMIFS(Actuals!$G:$G,Actuals!$B:$B,$C$3,Actuals!$C:$C,7,Actuals!$D:$D,$B$34,Actuals!$A:$A,LEFT($D$34,FIND("|",$D$34&amp;"|")-1),Actuals!$E:$E,MID($D$34,FIND("|",$D$34&amp;"|")+1,50),Actuals!$F:$F,"JPY")*$E$5+SUMIFS(Actuals!$G:$G,Actuals!$B:$B,$C$3,Actuals!$C:$C,7,Actuals!$D:$D,$B$34,Actuals!$A:$A,LEFT($D$34,FIND("|",$D$34&amp;"|")-1),Actuals!$E:$E,MID($D$34,FIND("|",$D$34&amp;"|")+1,50),Actuals!$F:$F,"USD")*$F$5+SUMIFS(Actuals!$G:$G,Actuals!$B:$B,$C$3,Actuals!$C:$C,7,Actuals!$D:$D,$B$34,Actuals!$A:$A,LEFT($D$34,FIND("|",$D$34&amp;"|")-1),Actuals!$E:$E,MID($D$34,FIND("|",$D$34&amp;"|")+1,50),Actuals!$F:$F,"EUR")*$G$5+SUMIFS(Actuals!$G:$G,Actuals!$B:$B,$C$3,Actuals!$C:$C,7,Actuals!$D:$D,$B$34,Actuals!$A:$A,LEFT($D$34,FIND("|",$D$34&amp;"|")-1),Actuals!$E:$E,MID($D$34,FIND("|",$D$34&amp;"|")+1,50),Actuals!$F:$F,"GBP")*$H$5)</f>
        <v/>
      </c>
      <c r="O35" s="18">
        <f>IF(OR($B$34="",8&gt;$C$4),"",SUMIFS(Actuals!$G:$G,Actuals!$B:$B,$C$3,Actuals!$C:$C,8,Actuals!$D:$D,$B$34,Actuals!$A:$A,LEFT($D$34,FIND("|",$D$34&amp;"|")-1),Actuals!$E:$E,MID($D$34,FIND("|",$D$34&amp;"|")+1,50),Actuals!$F:$F,"JPY")*$E$5+SUMIFS(Actuals!$G:$G,Actuals!$B:$B,$C$3,Actuals!$C:$C,8,Actuals!$D:$D,$B$34,Actuals!$A:$A,LEFT($D$34,FIND("|",$D$34&amp;"|")-1),Actuals!$E:$E,MID($D$34,FIND("|",$D$34&amp;"|")+1,50),Actuals!$F:$F,"USD")*$F$5+SUMIFS(Actuals!$G:$G,Actuals!$B:$B,$C$3,Actuals!$C:$C,8,Actuals!$D:$D,$B$34,Actuals!$A:$A,LEFT($D$34,FIND("|",$D$34&amp;"|")-1),Actuals!$E:$E,MID($D$34,FIND("|",$D$34&amp;"|")+1,50),Actuals!$F:$F,"EUR")*$G$5+SUMIFS(Actuals!$G:$G,Actuals!$B:$B,$C$3,Actuals!$C:$C,8,Actuals!$D:$D,$B$34,Actuals!$A:$A,LEFT($D$34,FIND("|",$D$34&amp;"|")-1),Actuals!$E:$E,MID($D$34,FIND("|",$D$34&amp;"|")+1,50),Actuals!$F:$F,"GBP")*$H$5)</f>
        <v/>
      </c>
      <c r="P35" s="18">
        <f>IF(OR($B$34="",9&gt;$C$4),"",SUMIFS(Actuals!$G:$G,Actuals!$B:$B,$C$3,Actuals!$C:$C,9,Actuals!$D:$D,$B$34,Actuals!$A:$A,LEFT($D$34,FIND("|",$D$34&amp;"|")-1),Actuals!$E:$E,MID($D$34,FIND("|",$D$34&amp;"|")+1,50),Actuals!$F:$F,"JPY")*$E$5+SUMIFS(Actuals!$G:$G,Actuals!$B:$B,$C$3,Actuals!$C:$C,9,Actuals!$D:$D,$B$34,Actuals!$A:$A,LEFT($D$34,FIND("|",$D$34&amp;"|")-1),Actuals!$E:$E,MID($D$34,FIND("|",$D$34&amp;"|")+1,50),Actuals!$F:$F,"USD")*$F$5+SUMIFS(Actuals!$G:$G,Actuals!$B:$B,$C$3,Actuals!$C:$C,9,Actuals!$D:$D,$B$34,Actuals!$A:$A,LEFT($D$34,FIND("|",$D$34&amp;"|")-1),Actuals!$E:$E,MID($D$34,FIND("|",$D$34&amp;"|")+1,50),Actuals!$F:$F,"EUR")*$G$5+SUMIFS(Actuals!$G:$G,Actuals!$B:$B,$C$3,Actuals!$C:$C,9,Actuals!$D:$D,$B$34,Actuals!$A:$A,LEFT($D$34,FIND("|",$D$34&amp;"|")-1),Actuals!$E:$E,MID($D$34,FIND("|",$D$34&amp;"|")+1,50),Actuals!$F:$F,"GBP")*$H$5)</f>
        <v/>
      </c>
      <c r="Q35" s="18">
        <f>IF(OR($B$34="",10&gt;$C$4),"",SUMIFS(Actuals!$G:$G,Actuals!$B:$B,$C$3,Actuals!$C:$C,10,Actuals!$D:$D,$B$34,Actuals!$A:$A,LEFT($D$34,FIND("|",$D$34&amp;"|")-1),Actuals!$E:$E,MID($D$34,FIND("|",$D$34&amp;"|")+1,50),Actuals!$F:$F,"JPY")*$E$5+SUMIFS(Actuals!$G:$G,Actuals!$B:$B,$C$3,Actuals!$C:$C,10,Actuals!$D:$D,$B$34,Actuals!$A:$A,LEFT($D$34,FIND("|",$D$34&amp;"|")-1),Actuals!$E:$E,MID($D$34,FIND("|",$D$34&amp;"|")+1,50),Actuals!$F:$F,"USD")*$F$5+SUMIFS(Actuals!$G:$G,Actuals!$B:$B,$C$3,Actuals!$C:$C,10,Actuals!$D:$D,$B$34,Actuals!$A:$A,LEFT($D$34,FIND("|",$D$34&amp;"|")-1),Actuals!$E:$E,MID($D$34,FIND("|",$D$34&amp;"|")+1,50),Actuals!$F:$F,"EUR")*$G$5+SUMIFS(Actuals!$G:$G,Actuals!$B:$B,$C$3,Actuals!$C:$C,10,Actuals!$D:$D,$B$34,Actuals!$A:$A,LEFT($D$34,FIND("|",$D$34&amp;"|")-1),Actuals!$E:$E,MID($D$34,FIND("|",$D$34&amp;"|")+1,50),Actuals!$F:$F,"GBP")*$H$5)</f>
        <v/>
      </c>
      <c r="R35" s="18">
        <f>IF(OR($B$34="",11&gt;$C$4),"",SUMIFS(Actuals!$G:$G,Actuals!$B:$B,$C$3,Actuals!$C:$C,11,Actuals!$D:$D,$B$34,Actuals!$A:$A,LEFT($D$34,FIND("|",$D$34&amp;"|")-1),Actuals!$E:$E,MID($D$34,FIND("|",$D$34&amp;"|")+1,50),Actuals!$F:$F,"JPY")*$E$5+SUMIFS(Actuals!$G:$G,Actuals!$B:$B,$C$3,Actuals!$C:$C,11,Actuals!$D:$D,$B$34,Actuals!$A:$A,LEFT($D$34,FIND("|",$D$34&amp;"|")-1),Actuals!$E:$E,MID($D$34,FIND("|",$D$34&amp;"|")+1,50),Actuals!$F:$F,"USD")*$F$5+SUMIFS(Actuals!$G:$G,Actuals!$B:$B,$C$3,Actuals!$C:$C,11,Actuals!$D:$D,$B$34,Actuals!$A:$A,LEFT($D$34,FIND("|",$D$34&amp;"|")-1),Actuals!$E:$E,MID($D$34,FIND("|",$D$34&amp;"|")+1,50),Actuals!$F:$F,"EUR")*$G$5+SUMIFS(Actuals!$G:$G,Actuals!$B:$B,$C$3,Actuals!$C:$C,11,Actuals!$D:$D,$B$34,Actuals!$A:$A,LEFT($D$34,FIND("|",$D$34&amp;"|")-1),Actuals!$E:$E,MID($D$34,FIND("|",$D$34&amp;"|")+1,50),Actuals!$F:$F,"GBP")*$H$5)</f>
        <v/>
      </c>
      <c r="S35" s="18">
        <f>IF(OR($B$34="",12&gt;$C$4),"",SUMIFS(Actuals!$G:$G,Actuals!$B:$B,$C$3,Actuals!$C:$C,12,Actuals!$D:$D,$B$34,Actuals!$A:$A,LEFT($D$34,FIND("|",$D$34&amp;"|")-1),Actuals!$E:$E,MID($D$34,FIND("|",$D$34&amp;"|")+1,50),Actuals!$F:$F,"JPY")*$E$5+SUMIFS(Actuals!$G:$G,Actuals!$B:$B,$C$3,Actuals!$C:$C,12,Actuals!$D:$D,$B$34,Actuals!$A:$A,LEFT($D$34,FIND("|",$D$34&amp;"|")-1),Actuals!$E:$E,MID($D$34,FIND("|",$D$34&amp;"|")+1,50),Actuals!$F:$F,"USD")*$F$5+SUMIFS(Actuals!$G:$G,Actuals!$B:$B,$C$3,Actuals!$C:$C,12,Actuals!$D:$D,$B$34,Actuals!$A:$A,LEFT($D$34,FIND("|",$D$34&amp;"|")-1),Actuals!$E:$E,MID($D$34,FIND("|",$D$34&amp;"|")+1,50),Actuals!$F:$F,"EUR")*$G$5+SUMIFS(Actuals!$G:$G,Actuals!$B:$B,$C$3,Actuals!$C:$C,12,Actuals!$D:$D,$B$34,Actuals!$A:$A,LEFT($D$34,FIND("|",$D$34&amp;"|")-1),Actuals!$E:$E,MID($D$34,FIND("|",$D$34&amp;"|")+1,50),Actuals!$F:$F,"GBP")*$H$5)</f>
        <v/>
      </c>
      <c r="T35" s="18">
        <f>IF($B$34="","",SUMIF($H$7:$S$7,"&lt;="&amp;$C$4,$H35:$S35))</f>
        <v/>
      </c>
      <c r="U35" s="18" t="n"/>
      <c r="V35" s="18" t="n"/>
      <c r="X35" s="22">
        <f>IF($B35="","",IFERROR(INDEX(Cost_Centers!$E:$E,MATCH($B35,Cost_Centers!$A:$A,0)),"(unknown)"))</f>
        <v/>
      </c>
      <c r="Y35" s="22">
        <f>IF($B35="","",IFERROR(INDEX(Cost_Centers!$D:$D,MATCH($B35,Cost_Centers!$A:$A,0)),"(unknown)"))</f>
        <v/>
      </c>
      <c r="Z35" s="22">
        <f>IF(OR($B35="",$G35&lt;&gt;"Variance vs Budget"),"",ABS(N($V35))+ROW()/1000000000)</f>
        <v/>
      </c>
    </row>
    <row r="36">
      <c r="A36" s="13">
        <f>IF(A$34="","",A$34)</f>
        <v/>
      </c>
      <c r="B36" s="13">
        <f>IF(B$34="","",B$34)</f>
        <v/>
      </c>
      <c r="C36" s="13">
        <f>IF(C$34="","",C$34)</f>
        <v/>
      </c>
      <c r="D36" s="13">
        <f>IF(D$34="","",D$34)</f>
        <v/>
      </c>
      <c r="E36" s="13">
        <f>IF(E$34="","",E$34)</f>
        <v/>
      </c>
      <c r="F36" s="13">
        <f>IF(F$34="","",F$34)</f>
        <v/>
      </c>
      <c r="G36" s="6" t="inlineStr">
        <is>
          <t>Variance vs Budget</t>
        </is>
      </c>
      <c r="H36" s="33">
        <f>IF(OR($B$34="",1&gt;$C$4),"",N(H35)-H34)</f>
        <v/>
      </c>
      <c r="I36" s="33">
        <f>IF(OR($B$34="",2&gt;$C$4),"",N(I35)-I34)</f>
        <v/>
      </c>
      <c r="J36" s="33">
        <f>IF(OR($B$34="",3&gt;$C$4),"",N(J35)-J34)</f>
        <v/>
      </c>
      <c r="K36" s="33">
        <f>IF(OR($B$34="",4&gt;$C$4),"",N(K35)-K34)</f>
        <v/>
      </c>
      <c r="L36" s="33">
        <f>IF(OR($B$34="",5&gt;$C$4),"",N(L35)-L34)</f>
        <v/>
      </c>
      <c r="M36" s="33">
        <f>IF(OR($B$34="",6&gt;$C$4),"",N(M35)-M34)</f>
        <v/>
      </c>
      <c r="N36" s="33">
        <f>IF(OR($B$34="",7&gt;$C$4),"",N(N35)-N34)</f>
        <v/>
      </c>
      <c r="O36" s="33">
        <f>IF(OR($B$34="",8&gt;$C$4),"",N(O35)-O34)</f>
        <v/>
      </c>
      <c r="P36" s="33">
        <f>IF(OR($B$34="",9&gt;$C$4),"",N(P35)-P34)</f>
        <v/>
      </c>
      <c r="Q36" s="33">
        <f>IF(OR($B$34="",10&gt;$C$4),"",N(Q35)-Q34)</f>
        <v/>
      </c>
      <c r="R36" s="33">
        <f>IF(OR($B$34="",11&gt;$C$4),"",N(R35)-R34)</f>
        <v/>
      </c>
      <c r="S36" s="33">
        <f>IF(OR($B$34="",12&gt;$C$4),"",N(S35)-S34)</f>
        <v/>
      </c>
      <c r="T36" s="33">
        <f>IF($B$34="","",T35-T34)</f>
        <v/>
      </c>
      <c r="U36" s="33">
        <f>IF($B$34="","",U38-U34)</f>
        <v/>
      </c>
      <c r="V36" s="33">
        <f>IF($B$34="","",V38-V34)</f>
        <v/>
      </c>
      <c r="X36" s="22">
        <f>IF($B36="","",IFERROR(INDEX(Cost_Centers!$E:$E,MATCH($B36,Cost_Centers!$A:$A,0)),"(unknown)"))</f>
        <v/>
      </c>
      <c r="Y36" s="22">
        <f>IF($B36="","",IFERROR(INDEX(Cost_Centers!$D:$D,MATCH($B36,Cost_Centers!$A:$A,0)),"(unknown)"))</f>
        <v/>
      </c>
      <c r="Z36" s="22">
        <f>IF(OR($B36="",$G36&lt;&gt;"Variance vs Budget"),"",ABS(N($V36))+ROW()/1000000000)</f>
        <v/>
      </c>
    </row>
    <row r="37">
      <c r="A37" s="13">
        <f>IF(A$34="","",A$34)</f>
        <v/>
      </c>
      <c r="B37" s="13">
        <f>IF(B$34="","",B$34)</f>
        <v/>
      </c>
      <c r="C37" s="13">
        <f>IF(C$34="","",C$34)</f>
        <v/>
      </c>
      <c r="D37" s="13">
        <f>IF(D$34="","",D$34)</f>
        <v/>
      </c>
      <c r="E37" s="13">
        <f>IF(E$34="","",E$34)</f>
        <v/>
      </c>
      <c r="F37" s="13">
        <f>IF(F$34="","",F$34)</f>
        <v/>
      </c>
      <c r="G37" s="7" t="inlineStr">
        <is>
          <t>Forecast (input)</t>
        </is>
      </c>
      <c r="H37" s="34" t="n"/>
      <c r="I37" s="34" t="n"/>
      <c r="J37" s="34" t="n"/>
      <c r="K37" s="34" t="n"/>
      <c r="L37" s="34" t="n"/>
      <c r="M37" s="34" t="n"/>
      <c r="N37" s="34" t="n"/>
      <c r="O37" s="34" t="n"/>
      <c r="P37" s="34" t="n"/>
      <c r="Q37" s="34" t="n"/>
      <c r="R37" s="34" t="n"/>
      <c r="S37" s="34" t="n"/>
      <c r="T37" s="18" t="n"/>
      <c r="U37" s="18" t="n"/>
      <c r="V37" s="18" t="n"/>
      <c r="X37" s="22">
        <f>IF($B37="","",IFERROR(INDEX(Cost_Centers!$E:$E,MATCH($B37,Cost_Centers!$A:$A,0)),"(unknown)"))</f>
        <v/>
      </c>
      <c r="Y37" s="22">
        <f>IF($B37="","",IFERROR(INDEX(Cost_Centers!$D:$D,MATCH($B37,Cost_Centers!$A:$A,0)),"(unknown)"))</f>
        <v/>
      </c>
      <c r="Z37" s="22">
        <f>IF(OR($B37="",$G37&lt;&gt;"Variance vs Budget"),"",ABS(N($V37))+ROW()/1000000000)</f>
        <v/>
      </c>
    </row>
    <row r="38">
      <c r="A38" s="13">
        <f>IF(A$34="","",A$34)</f>
        <v/>
      </c>
      <c r="B38" s="13">
        <f>IF(B$34="","",B$34)</f>
        <v/>
      </c>
      <c r="C38" s="13">
        <f>IF(C$34="","",C$34)</f>
        <v/>
      </c>
      <c r="D38" s="13">
        <f>IF(D$34="","",D$34)</f>
        <v/>
      </c>
      <c r="E38" s="13">
        <f>IF(E$34="","",E$34)</f>
        <v/>
      </c>
      <c r="F38" s="13">
        <f>IF(F$34="","",F$34)</f>
        <v/>
      </c>
      <c r="G38" s="35" t="inlineStr">
        <is>
          <t>Actual + Forecast</t>
        </is>
      </c>
      <c r="H38" s="18">
        <f>IF($B$34="","",IF(1&lt;=$C$4,N(H35),IF(H37="",H34,H37)))</f>
        <v/>
      </c>
      <c r="I38" s="18">
        <f>IF($B$34="","",IF(2&lt;=$C$4,N(I35),IF(I37="",I34,I37)))</f>
        <v/>
      </c>
      <c r="J38" s="18">
        <f>IF($B$34="","",IF(3&lt;=$C$4,N(J35),IF(J37="",J34,J37)))</f>
        <v/>
      </c>
      <c r="K38" s="18">
        <f>IF($B$34="","",IF(4&lt;=$C$4,N(K35),IF(K37="",K34,K37)))</f>
        <v/>
      </c>
      <c r="L38" s="18">
        <f>IF($B$34="","",IF(5&lt;=$C$4,N(L35),IF(L37="",L34,L37)))</f>
        <v/>
      </c>
      <c r="M38" s="18">
        <f>IF($B$34="","",IF(6&lt;=$C$4,N(M35),IF(M37="",M34,M37)))</f>
        <v/>
      </c>
      <c r="N38" s="18">
        <f>IF($B$34="","",IF(7&lt;=$C$4,N(N35),IF(N37="",N34,N37)))</f>
        <v/>
      </c>
      <c r="O38" s="18">
        <f>IF($B$34="","",IF(8&lt;=$C$4,N(O35),IF(O37="",O34,O37)))</f>
        <v/>
      </c>
      <c r="P38" s="18">
        <f>IF($B$34="","",IF(9&lt;=$C$4,N(P35),IF(P37="",P34,P37)))</f>
        <v/>
      </c>
      <c r="Q38" s="18">
        <f>IF($B$34="","",IF(10&lt;=$C$4,N(Q35),IF(Q37="",Q34,Q37)))</f>
        <v/>
      </c>
      <c r="R38" s="18">
        <f>IF($B$34="","",IF(11&lt;=$C$4,N(R35),IF(R37="",R34,R37)))</f>
        <v/>
      </c>
      <c r="S38" s="18">
        <f>IF($B$34="","",IF(12&lt;=$C$4,N(S35),IF(S37="",S34,S37)))</f>
        <v/>
      </c>
      <c r="T38" s="18">
        <f>IF($B$34="","",SUMIF($H$7:$S$7,"&lt;="&amp;$C$4,$H38:$S38))</f>
        <v/>
      </c>
      <c r="U38" s="18">
        <f>IF($B$34="","",SUMIF($H$7:$S$7,"&gt;"&amp;$C$4,$H38:$S38))</f>
        <v/>
      </c>
      <c r="V38" s="18">
        <f>IF($B$34="","",SUM($H38:$S38))</f>
        <v/>
      </c>
      <c r="X38" s="22">
        <f>IF($B38="","",IFERROR(INDEX(Cost_Centers!$E:$E,MATCH($B38,Cost_Centers!$A:$A,0)),"(unknown)"))</f>
        <v/>
      </c>
      <c r="Y38" s="22">
        <f>IF($B38="","",IFERROR(INDEX(Cost_Centers!$D:$D,MATCH($B38,Cost_Centers!$A:$A,0)),"(unknown)"))</f>
        <v/>
      </c>
      <c r="Z38" s="22">
        <f>IF(OR($B38="",$G38&lt;&gt;"Variance vs Budget"),"",ABS(N($V38))+ROW()/1000000000)</f>
        <v/>
      </c>
    </row>
    <row r="39">
      <c r="A39" s="13">
        <f>IF(A$34="","",A$34)</f>
        <v/>
      </c>
      <c r="B39" s="13">
        <f>IF(B$34="","",B$34)</f>
        <v/>
      </c>
      <c r="C39" s="13">
        <f>IF(C$34="","",C$34)</f>
        <v/>
      </c>
      <c r="D39" s="13">
        <f>IF(D$34="","",D$34)</f>
        <v/>
      </c>
      <c r="E39" s="13">
        <f>IF(E$34="","",E$34)</f>
        <v/>
      </c>
      <c r="F39" s="13">
        <f>IF(F$34="","",F$34)</f>
        <v/>
      </c>
      <c r="G39" s="36" t="inlineStr">
        <is>
          <t>Prior Month Forecast</t>
        </is>
      </c>
      <c r="H39" s="37">
        <f>IF($B$34="","",IF(COUNTIFS(Prior_Forecast!$A:$A,$B$34,Prior_Forecast!$B:$B,$D$34)&gt;0,SUMIFS(Prior_Forecast!$C:$C,Prior_Forecast!$A:$A,$B$34,Prior_Forecast!$B:$B,$D$34),""))</f>
        <v/>
      </c>
      <c r="I39" s="37">
        <f>IF($B$34="","",IF(COUNTIFS(Prior_Forecast!$A:$A,$B$34,Prior_Forecast!$B:$B,$D$34)&gt;0,SUMIFS(Prior_Forecast!$D:$D,Prior_Forecast!$A:$A,$B$34,Prior_Forecast!$B:$B,$D$34),""))</f>
        <v/>
      </c>
      <c r="J39" s="37">
        <f>IF($B$34="","",IF(COUNTIFS(Prior_Forecast!$A:$A,$B$34,Prior_Forecast!$B:$B,$D$34)&gt;0,SUMIFS(Prior_Forecast!$E:$E,Prior_Forecast!$A:$A,$B$34,Prior_Forecast!$B:$B,$D$34),""))</f>
        <v/>
      </c>
      <c r="K39" s="37">
        <f>IF($B$34="","",IF(COUNTIFS(Prior_Forecast!$A:$A,$B$34,Prior_Forecast!$B:$B,$D$34)&gt;0,SUMIFS(Prior_Forecast!$F:$F,Prior_Forecast!$A:$A,$B$34,Prior_Forecast!$B:$B,$D$34),""))</f>
        <v/>
      </c>
      <c r="L39" s="37">
        <f>IF($B$34="","",IF(COUNTIFS(Prior_Forecast!$A:$A,$B$34,Prior_Forecast!$B:$B,$D$34)&gt;0,SUMIFS(Prior_Forecast!$G:$G,Prior_Forecast!$A:$A,$B$34,Prior_Forecast!$B:$B,$D$34),""))</f>
        <v/>
      </c>
      <c r="M39" s="37">
        <f>IF($B$34="","",IF(COUNTIFS(Prior_Forecast!$A:$A,$B$34,Prior_Forecast!$B:$B,$D$34)&gt;0,SUMIFS(Prior_Forecast!$H:$H,Prior_Forecast!$A:$A,$B$34,Prior_Forecast!$B:$B,$D$34),""))</f>
        <v/>
      </c>
      <c r="N39" s="37">
        <f>IF($B$34="","",IF(COUNTIFS(Prior_Forecast!$A:$A,$B$34,Prior_Forecast!$B:$B,$D$34)&gt;0,SUMIFS(Prior_Forecast!$I:$I,Prior_Forecast!$A:$A,$B$34,Prior_Forecast!$B:$B,$D$34),""))</f>
        <v/>
      </c>
      <c r="O39" s="37">
        <f>IF($B$34="","",IF(COUNTIFS(Prior_Forecast!$A:$A,$B$34,Prior_Forecast!$B:$B,$D$34)&gt;0,SUMIFS(Prior_Forecast!$J:$J,Prior_Forecast!$A:$A,$B$34,Prior_Forecast!$B:$B,$D$34),""))</f>
        <v/>
      </c>
      <c r="P39" s="37">
        <f>IF($B$34="","",IF(COUNTIFS(Prior_Forecast!$A:$A,$B$34,Prior_Forecast!$B:$B,$D$34)&gt;0,SUMIFS(Prior_Forecast!$K:$K,Prior_Forecast!$A:$A,$B$34,Prior_Forecast!$B:$B,$D$34),""))</f>
        <v/>
      </c>
      <c r="Q39" s="37">
        <f>IF($B$34="","",IF(COUNTIFS(Prior_Forecast!$A:$A,$B$34,Prior_Forecast!$B:$B,$D$34)&gt;0,SUMIFS(Prior_Forecast!$L:$L,Prior_Forecast!$A:$A,$B$34,Prior_Forecast!$B:$B,$D$34),""))</f>
        <v/>
      </c>
      <c r="R39" s="37">
        <f>IF($B$34="","",IF(COUNTIFS(Prior_Forecast!$A:$A,$B$34,Prior_Forecast!$B:$B,$D$34)&gt;0,SUMIFS(Prior_Forecast!$M:$M,Prior_Forecast!$A:$A,$B$34,Prior_Forecast!$B:$B,$D$34),""))</f>
        <v/>
      </c>
      <c r="S39" s="37">
        <f>IF($B$34="","",IF(COUNTIFS(Prior_Forecast!$A:$A,$B$34,Prior_Forecast!$B:$B,$D$34)&gt;0,SUMIFS(Prior_Forecast!$N:$N,Prior_Forecast!$A:$A,$B$34,Prior_Forecast!$B:$B,$D$34),""))</f>
        <v/>
      </c>
      <c r="T39" s="37">
        <f>IF($B$34="","",IF(COUNTIFS(Prior_Forecast!$A:$A,$B$34,Prior_Forecast!$B:$B,$D$34)&gt;0,SUMIFS(Prior_Forecast!$O:$O,Prior_Forecast!$A:$A,$B$34,Prior_Forecast!$B:$B,$D$34),""))</f>
        <v/>
      </c>
      <c r="U39" s="37">
        <f>IF($B$34="","",IF(COUNTIFS(Prior_Forecast!$A:$A,$B$34,Prior_Forecast!$B:$B,$D$34)&gt;0,SUMIFS(Prior_Forecast!$P:$P,Prior_Forecast!$A:$A,$B$34,Prior_Forecast!$B:$B,$D$34),""))</f>
        <v/>
      </c>
      <c r="V39" s="37">
        <f>IF($B$34="","",IF(COUNTIFS(Prior_Forecast!$A:$A,$B$34,Prior_Forecast!$B:$B,$D$34)&gt;0,SUMIFS(Prior_Forecast!$Q:$Q,Prior_Forecast!$A:$A,$B$34,Prior_Forecast!$B:$B,$D$34),""))</f>
        <v/>
      </c>
      <c r="X39" s="22">
        <f>IF($B39="","",IFERROR(INDEX(Cost_Centers!$E:$E,MATCH($B39,Cost_Centers!$A:$A,0)),"(unknown)"))</f>
        <v/>
      </c>
      <c r="Y39" s="22">
        <f>IF($B39="","",IFERROR(INDEX(Cost_Centers!$D:$D,MATCH($B39,Cost_Centers!$A:$A,0)),"(unknown)"))</f>
        <v/>
      </c>
      <c r="Z39" s="22">
        <f>IF(OR($B39="",$G39&lt;&gt;"Variance vs Budget"),"",ABS(N($V39))+ROW()/1000000000)</f>
        <v/>
      </c>
    </row>
    <row r="40">
      <c r="A40" s="13">
        <f>IF(A$34="","",A$34)</f>
        <v/>
      </c>
      <c r="B40" s="13">
        <f>IF(B$34="","",B$34)</f>
        <v/>
      </c>
      <c r="C40" s="13">
        <f>IF(C$34="","",C$34)</f>
        <v/>
      </c>
      <c r="D40" s="13">
        <f>IF(D$34="","",D$34)</f>
        <v/>
      </c>
      <c r="E40" s="13">
        <f>IF(E$34="","",E$34)</f>
        <v/>
      </c>
      <c r="F40" s="13">
        <f>IF(F$34="","",F$34)</f>
        <v/>
      </c>
      <c r="G40" s="6" t="inlineStr">
        <is>
          <t>Variance vs Prior Month</t>
        </is>
      </c>
      <c r="H40" s="33">
        <f>IF(OR($B$34="",H39=""),"",H38-H39)</f>
        <v/>
      </c>
      <c r="I40" s="33">
        <f>IF(OR($B$34="",I39=""),"",I38-I39)</f>
        <v/>
      </c>
      <c r="J40" s="33">
        <f>IF(OR($B$34="",J39=""),"",J38-J39)</f>
        <v/>
      </c>
      <c r="K40" s="33">
        <f>IF(OR($B$34="",K39=""),"",K38-K39)</f>
        <v/>
      </c>
      <c r="L40" s="33">
        <f>IF(OR($B$34="",L39=""),"",L38-L39)</f>
        <v/>
      </c>
      <c r="M40" s="33">
        <f>IF(OR($B$34="",M39=""),"",M38-M39)</f>
        <v/>
      </c>
      <c r="N40" s="33">
        <f>IF(OR($B$34="",N39=""),"",N38-N39)</f>
        <v/>
      </c>
      <c r="O40" s="33">
        <f>IF(OR($B$34="",O39=""),"",O38-O39)</f>
        <v/>
      </c>
      <c r="P40" s="33">
        <f>IF(OR($B$34="",P39=""),"",P38-P39)</f>
        <v/>
      </c>
      <c r="Q40" s="33">
        <f>IF(OR($B$34="",Q39=""),"",Q38-Q39)</f>
        <v/>
      </c>
      <c r="R40" s="33">
        <f>IF(OR($B$34="",R39=""),"",R38-R39)</f>
        <v/>
      </c>
      <c r="S40" s="33">
        <f>IF(OR($B$34="",S39=""),"",S38-S39)</f>
        <v/>
      </c>
      <c r="T40" s="33">
        <f>IF(OR($B$34="",T39=""),"",T38-T39)</f>
        <v/>
      </c>
      <c r="U40" s="33">
        <f>IF(OR($B$34="",U39=""),"",U38-U39)</f>
        <v/>
      </c>
      <c r="V40" s="33">
        <f>IF(OR($B$34="",V39=""),"",V38-V39)</f>
        <v/>
      </c>
      <c r="X40" s="22">
        <f>IF($B40="","",IFERROR(INDEX(Cost_Centers!$E:$E,MATCH($B40,Cost_Centers!$A:$A,0)),"(unknown)"))</f>
        <v/>
      </c>
      <c r="Y40" s="22">
        <f>IF($B40="","",IFERROR(INDEX(Cost_Centers!$D:$D,MATCH($B40,Cost_Centers!$A:$A,0)),"(unknown)"))</f>
        <v/>
      </c>
      <c r="Z40" s="22">
        <f>IF(OR($B40="",$G40&lt;&gt;"Variance vs Budget"),"",ABS(N($V40))+ROW()/1000000000)</f>
        <v/>
      </c>
    </row>
    <row r="41" ht="45" customHeight="1">
      <c r="A41" s="13">
        <f>IF(A$34="","",A$34)</f>
        <v/>
      </c>
      <c r="B41" s="13">
        <f>IF(B$34="","",B$34)</f>
        <v/>
      </c>
      <c r="C41" s="13">
        <f>IF(C$34="","",C$34)</f>
        <v/>
      </c>
      <c r="D41" s="13">
        <f>IF(D$34="","",D$34)</f>
        <v/>
      </c>
      <c r="E41" s="13">
        <f>IF(E$34="","",E$34)</f>
        <v/>
      </c>
      <c r="F41" s="13">
        <f>IF(F$34="","",F$34)</f>
        <v/>
      </c>
      <c r="G41" s="7" t="inlineStr">
        <is>
          <t>Rationale</t>
        </is>
      </c>
      <c r="H41" s="38" t="n"/>
      <c r="I41" s="38" t="n"/>
      <c r="J41" s="38" t="n"/>
      <c r="K41" s="38" t="n"/>
      <c r="L41" s="38" t="n"/>
      <c r="M41" s="38" t="n"/>
      <c r="N41" s="38" t="n"/>
      <c r="O41" s="38" t="n"/>
      <c r="P41" s="38" t="n"/>
      <c r="Q41" s="38" t="n"/>
      <c r="R41" s="38" t="n"/>
      <c r="S41" s="38" t="n"/>
      <c r="T41" s="38" t="n"/>
      <c r="U41" s="38" t="n"/>
      <c r="V41" s="7" t="n"/>
      <c r="X41" s="22">
        <f>IF($B41="","",IFERROR(INDEX(Cost_Centers!$E:$E,MATCH($B41,Cost_Centers!$A:$A,0)),"(unknown)"))</f>
        <v/>
      </c>
      <c r="Y41" s="22">
        <f>IF($B41="","",IFERROR(INDEX(Cost_Centers!$D:$D,MATCH($B41,Cost_Centers!$A:$A,0)),"(unknown)"))</f>
        <v/>
      </c>
      <c r="Z41" s="22">
        <f>IF(OR($B41="",$G41&lt;&gt;"Variance vs Budget"),"",ABS(N($V41))+ROW()/1000000000)</f>
        <v/>
      </c>
    </row>
    <row r="42">
      <c r="A42" s="30">
        <f>IF($D$42="","",LEFT($D$42,FIND("|",$D$42&amp;"|")-1))</f>
        <v/>
      </c>
      <c r="B42" s="31" t="n"/>
      <c r="C42" s="30">
        <f>IF($B$42="","",IFERROR(INDEX(Cost_Centers!$B:$B,MATCH($B$42,Cost_Centers!$A:$A,0)),"(not in master)"))</f>
        <v/>
      </c>
      <c r="D42" s="31" t="n"/>
      <c r="E42" s="30">
        <f>IF($D$42="","",IFERROR(INDEX(Accounts!$D:$D,MATCH($D$42,Accounts!$A:$A,0)),"(not in master)"))</f>
        <v/>
      </c>
      <c r="F42" s="31" t="n"/>
      <c r="G42" s="30" t="inlineStr">
        <is>
          <t>Budget</t>
        </is>
      </c>
      <c r="H42" s="32">
        <f>IF($B$42="","",SUMIFS(Opex_Budget!$O:$O,Opex_Budget!$A:$A,$C$3,Opex_Budget!$E:$E,$B$42,Opex_Budget!$F:$F,$D$42,Opex_Budget!$N:$N,"JPY")*$E$5+SUMIFS(Opex_Budget!$O:$O,Opex_Budget!$A:$A,$C$3,Opex_Budget!$E:$E,$B$42,Opex_Budget!$F:$F,$D$42,Opex_Budget!$N:$N,"USD")*$F$5+SUMIFS(Opex_Budget!$O:$O,Opex_Budget!$A:$A,$C$3,Opex_Budget!$E:$E,$B$42,Opex_Budget!$F:$F,$D$42,Opex_Budget!$N:$N,"EUR")*$G$5+SUMIFS(Opex_Budget!$O:$O,Opex_Budget!$A:$A,$C$3,Opex_Budget!$E:$E,$B$42,Opex_Budget!$F:$F,$D$42,Opex_Budget!$N:$N,"GBP")*$H$5)</f>
        <v/>
      </c>
      <c r="I42" s="32">
        <f>IF($B$42="","",SUMIFS(Opex_Budget!$P:$P,Opex_Budget!$A:$A,$C$3,Opex_Budget!$E:$E,$B$42,Opex_Budget!$F:$F,$D$42,Opex_Budget!$N:$N,"JPY")*$E$5+SUMIFS(Opex_Budget!$P:$P,Opex_Budget!$A:$A,$C$3,Opex_Budget!$E:$E,$B$42,Opex_Budget!$F:$F,$D$42,Opex_Budget!$N:$N,"USD")*$F$5+SUMIFS(Opex_Budget!$P:$P,Opex_Budget!$A:$A,$C$3,Opex_Budget!$E:$E,$B$42,Opex_Budget!$F:$F,$D$42,Opex_Budget!$N:$N,"EUR")*$G$5+SUMIFS(Opex_Budget!$P:$P,Opex_Budget!$A:$A,$C$3,Opex_Budget!$E:$E,$B$42,Opex_Budget!$F:$F,$D$42,Opex_Budget!$N:$N,"GBP")*$H$5)</f>
        <v/>
      </c>
      <c r="J42" s="32">
        <f>IF($B$42="","",SUMIFS(Opex_Budget!$Q:$Q,Opex_Budget!$A:$A,$C$3,Opex_Budget!$E:$E,$B$42,Opex_Budget!$F:$F,$D$42,Opex_Budget!$N:$N,"JPY")*$E$5+SUMIFS(Opex_Budget!$Q:$Q,Opex_Budget!$A:$A,$C$3,Opex_Budget!$E:$E,$B$42,Opex_Budget!$F:$F,$D$42,Opex_Budget!$N:$N,"USD")*$F$5+SUMIFS(Opex_Budget!$Q:$Q,Opex_Budget!$A:$A,$C$3,Opex_Budget!$E:$E,$B$42,Opex_Budget!$F:$F,$D$42,Opex_Budget!$N:$N,"EUR")*$G$5+SUMIFS(Opex_Budget!$Q:$Q,Opex_Budget!$A:$A,$C$3,Opex_Budget!$E:$E,$B$42,Opex_Budget!$F:$F,$D$42,Opex_Budget!$N:$N,"GBP")*$H$5)</f>
        <v/>
      </c>
      <c r="K42" s="32">
        <f>IF($B$42="","",SUMIFS(Opex_Budget!$R:$R,Opex_Budget!$A:$A,$C$3,Opex_Budget!$E:$E,$B$42,Opex_Budget!$F:$F,$D$42,Opex_Budget!$N:$N,"JPY")*$E$5+SUMIFS(Opex_Budget!$R:$R,Opex_Budget!$A:$A,$C$3,Opex_Budget!$E:$E,$B$42,Opex_Budget!$F:$F,$D$42,Opex_Budget!$N:$N,"USD")*$F$5+SUMIFS(Opex_Budget!$R:$R,Opex_Budget!$A:$A,$C$3,Opex_Budget!$E:$E,$B$42,Opex_Budget!$F:$F,$D$42,Opex_Budget!$N:$N,"EUR")*$G$5+SUMIFS(Opex_Budget!$R:$R,Opex_Budget!$A:$A,$C$3,Opex_Budget!$E:$E,$B$42,Opex_Budget!$F:$F,$D$42,Opex_Budget!$N:$N,"GBP")*$H$5)</f>
        <v/>
      </c>
      <c r="L42" s="32">
        <f>IF($B$42="","",SUMIFS(Opex_Budget!$S:$S,Opex_Budget!$A:$A,$C$3,Opex_Budget!$E:$E,$B$42,Opex_Budget!$F:$F,$D$42,Opex_Budget!$N:$N,"JPY")*$E$5+SUMIFS(Opex_Budget!$S:$S,Opex_Budget!$A:$A,$C$3,Opex_Budget!$E:$E,$B$42,Opex_Budget!$F:$F,$D$42,Opex_Budget!$N:$N,"USD")*$F$5+SUMIFS(Opex_Budget!$S:$S,Opex_Budget!$A:$A,$C$3,Opex_Budget!$E:$E,$B$42,Opex_Budget!$F:$F,$D$42,Opex_Budget!$N:$N,"EUR")*$G$5+SUMIFS(Opex_Budget!$S:$S,Opex_Budget!$A:$A,$C$3,Opex_Budget!$E:$E,$B$42,Opex_Budget!$F:$F,$D$42,Opex_Budget!$N:$N,"GBP")*$H$5)</f>
        <v/>
      </c>
      <c r="M42" s="32">
        <f>IF($B$42="","",SUMIFS(Opex_Budget!$T:$T,Opex_Budget!$A:$A,$C$3,Opex_Budget!$E:$E,$B$42,Opex_Budget!$F:$F,$D$42,Opex_Budget!$N:$N,"JPY")*$E$5+SUMIFS(Opex_Budget!$T:$T,Opex_Budget!$A:$A,$C$3,Opex_Budget!$E:$E,$B$42,Opex_Budget!$F:$F,$D$42,Opex_Budget!$N:$N,"USD")*$F$5+SUMIFS(Opex_Budget!$T:$T,Opex_Budget!$A:$A,$C$3,Opex_Budget!$E:$E,$B$42,Opex_Budget!$F:$F,$D$42,Opex_Budget!$N:$N,"EUR")*$G$5+SUMIFS(Opex_Budget!$T:$T,Opex_Budget!$A:$A,$C$3,Opex_Budget!$E:$E,$B$42,Opex_Budget!$F:$F,$D$42,Opex_Budget!$N:$N,"GBP")*$H$5)</f>
        <v/>
      </c>
      <c r="N42" s="32">
        <f>IF($B$42="","",SUMIFS(Opex_Budget!$U:$U,Opex_Budget!$A:$A,$C$3,Opex_Budget!$E:$E,$B$42,Opex_Budget!$F:$F,$D$42,Opex_Budget!$N:$N,"JPY")*$E$5+SUMIFS(Opex_Budget!$U:$U,Opex_Budget!$A:$A,$C$3,Opex_Budget!$E:$E,$B$42,Opex_Budget!$F:$F,$D$42,Opex_Budget!$N:$N,"USD")*$F$5+SUMIFS(Opex_Budget!$U:$U,Opex_Budget!$A:$A,$C$3,Opex_Budget!$E:$E,$B$42,Opex_Budget!$F:$F,$D$42,Opex_Budget!$N:$N,"EUR")*$G$5+SUMIFS(Opex_Budget!$U:$U,Opex_Budget!$A:$A,$C$3,Opex_Budget!$E:$E,$B$42,Opex_Budget!$F:$F,$D$42,Opex_Budget!$N:$N,"GBP")*$H$5)</f>
        <v/>
      </c>
      <c r="O42" s="32">
        <f>IF($B$42="","",SUMIFS(Opex_Budget!$V:$V,Opex_Budget!$A:$A,$C$3,Opex_Budget!$E:$E,$B$42,Opex_Budget!$F:$F,$D$42,Opex_Budget!$N:$N,"JPY")*$E$5+SUMIFS(Opex_Budget!$V:$V,Opex_Budget!$A:$A,$C$3,Opex_Budget!$E:$E,$B$42,Opex_Budget!$F:$F,$D$42,Opex_Budget!$N:$N,"USD")*$F$5+SUMIFS(Opex_Budget!$V:$V,Opex_Budget!$A:$A,$C$3,Opex_Budget!$E:$E,$B$42,Opex_Budget!$F:$F,$D$42,Opex_Budget!$N:$N,"EUR")*$G$5+SUMIFS(Opex_Budget!$V:$V,Opex_Budget!$A:$A,$C$3,Opex_Budget!$E:$E,$B$42,Opex_Budget!$F:$F,$D$42,Opex_Budget!$N:$N,"GBP")*$H$5)</f>
        <v/>
      </c>
      <c r="P42" s="32">
        <f>IF($B$42="","",SUMIFS(Opex_Budget!$W:$W,Opex_Budget!$A:$A,$C$3,Opex_Budget!$E:$E,$B$42,Opex_Budget!$F:$F,$D$42,Opex_Budget!$N:$N,"JPY")*$E$5+SUMIFS(Opex_Budget!$W:$W,Opex_Budget!$A:$A,$C$3,Opex_Budget!$E:$E,$B$42,Opex_Budget!$F:$F,$D$42,Opex_Budget!$N:$N,"USD")*$F$5+SUMIFS(Opex_Budget!$W:$W,Opex_Budget!$A:$A,$C$3,Opex_Budget!$E:$E,$B$42,Opex_Budget!$F:$F,$D$42,Opex_Budget!$N:$N,"EUR")*$G$5+SUMIFS(Opex_Budget!$W:$W,Opex_Budget!$A:$A,$C$3,Opex_Budget!$E:$E,$B$42,Opex_Budget!$F:$F,$D$42,Opex_Budget!$N:$N,"GBP")*$H$5)</f>
        <v/>
      </c>
      <c r="Q42" s="32">
        <f>IF($B$42="","",SUMIFS(Opex_Budget!$X:$X,Opex_Budget!$A:$A,$C$3,Opex_Budget!$E:$E,$B$42,Opex_Budget!$F:$F,$D$42,Opex_Budget!$N:$N,"JPY")*$E$5+SUMIFS(Opex_Budget!$X:$X,Opex_Budget!$A:$A,$C$3,Opex_Budget!$E:$E,$B$42,Opex_Budget!$F:$F,$D$42,Opex_Budget!$N:$N,"USD")*$F$5+SUMIFS(Opex_Budget!$X:$X,Opex_Budget!$A:$A,$C$3,Opex_Budget!$E:$E,$B$42,Opex_Budget!$F:$F,$D$42,Opex_Budget!$N:$N,"EUR")*$G$5+SUMIFS(Opex_Budget!$X:$X,Opex_Budget!$A:$A,$C$3,Opex_Budget!$E:$E,$B$42,Opex_Budget!$F:$F,$D$42,Opex_Budget!$N:$N,"GBP")*$H$5)</f>
        <v/>
      </c>
      <c r="R42" s="32">
        <f>IF($B$42="","",SUMIFS(Opex_Budget!$Y:$Y,Opex_Budget!$A:$A,$C$3,Opex_Budget!$E:$E,$B$42,Opex_Budget!$F:$F,$D$42,Opex_Budget!$N:$N,"JPY")*$E$5+SUMIFS(Opex_Budget!$Y:$Y,Opex_Budget!$A:$A,$C$3,Opex_Budget!$E:$E,$B$42,Opex_Budget!$F:$F,$D$42,Opex_Budget!$N:$N,"USD")*$F$5+SUMIFS(Opex_Budget!$Y:$Y,Opex_Budget!$A:$A,$C$3,Opex_Budget!$E:$E,$B$42,Opex_Budget!$F:$F,$D$42,Opex_Budget!$N:$N,"EUR")*$G$5+SUMIFS(Opex_Budget!$Y:$Y,Opex_Budget!$A:$A,$C$3,Opex_Budget!$E:$E,$B$42,Opex_Budget!$F:$F,$D$42,Opex_Budget!$N:$N,"GBP")*$H$5)</f>
        <v/>
      </c>
      <c r="S42" s="32">
        <f>IF($B$42="","",SUMIFS(Opex_Budget!$Z:$Z,Opex_Budget!$A:$A,$C$3,Opex_Budget!$E:$E,$B$42,Opex_Budget!$F:$F,$D$42,Opex_Budget!$N:$N,"JPY")*$E$5+SUMIFS(Opex_Budget!$Z:$Z,Opex_Budget!$A:$A,$C$3,Opex_Budget!$E:$E,$B$42,Opex_Budget!$F:$F,$D$42,Opex_Budget!$N:$N,"USD")*$F$5+SUMIFS(Opex_Budget!$Z:$Z,Opex_Budget!$A:$A,$C$3,Opex_Budget!$E:$E,$B$42,Opex_Budget!$F:$F,$D$42,Opex_Budget!$N:$N,"EUR")*$G$5+SUMIFS(Opex_Budget!$Z:$Z,Opex_Budget!$A:$A,$C$3,Opex_Budget!$E:$E,$B$42,Opex_Budget!$F:$F,$D$42,Opex_Budget!$N:$N,"GBP")*$H$5)</f>
        <v/>
      </c>
      <c r="T42" s="32">
        <f>IF($B$42="","",SUMIF($H$7:$S$7,"&lt;="&amp;$C$4,$H42:$S42))</f>
        <v/>
      </c>
      <c r="U42" s="32">
        <f>IF($B$42="","",SUMIF($H$7:$S$7,"&gt;"&amp;$C$4,$H42:$S42))</f>
        <v/>
      </c>
      <c r="V42" s="32">
        <f>IF($B$42="","",SUM($H42:$S42))</f>
        <v/>
      </c>
      <c r="X42" s="22">
        <f>IF($B42="","",IFERROR(INDEX(Cost_Centers!$E:$E,MATCH($B42,Cost_Centers!$A:$A,0)),"(unknown)"))</f>
        <v/>
      </c>
      <c r="Y42" s="22">
        <f>IF($B42="","",IFERROR(INDEX(Cost_Centers!$D:$D,MATCH($B42,Cost_Centers!$A:$A,0)),"(unknown)"))</f>
        <v/>
      </c>
      <c r="Z42" s="22">
        <f>IF(OR($B42="",$G42&lt;&gt;"Variance vs Budget"),"",ABS(N($V42))+ROW()/1000000000)</f>
        <v/>
      </c>
    </row>
    <row r="43">
      <c r="A43" s="13">
        <f>IF(A$42="","",A$42)</f>
        <v/>
      </c>
      <c r="B43" s="13">
        <f>IF(B$42="","",B$42)</f>
        <v/>
      </c>
      <c r="C43" s="13">
        <f>IF(C$42="","",C$42)</f>
        <v/>
      </c>
      <c r="D43" s="13">
        <f>IF(D$42="","",D$42)</f>
        <v/>
      </c>
      <c r="E43" s="13">
        <f>IF(E$42="","",E$42)</f>
        <v/>
      </c>
      <c r="F43" s="13">
        <f>IF(F$42="","",F$42)</f>
        <v/>
      </c>
      <c r="G43" s="7" t="inlineStr">
        <is>
          <t>Actual</t>
        </is>
      </c>
      <c r="H43" s="18">
        <f>IF(OR($B$42="",1&gt;$C$4),"",SUMIFS(Actuals!$G:$G,Actuals!$B:$B,$C$3,Actuals!$C:$C,1,Actuals!$D:$D,$B$42,Actuals!$A:$A,LEFT($D$42,FIND("|",$D$42&amp;"|")-1),Actuals!$E:$E,MID($D$42,FIND("|",$D$42&amp;"|")+1,50),Actuals!$F:$F,"JPY")*$E$5+SUMIFS(Actuals!$G:$G,Actuals!$B:$B,$C$3,Actuals!$C:$C,1,Actuals!$D:$D,$B$42,Actuals!$A:$A,LEFT($D$42,FIND("|",$D$42&amp;"|")-1),Actuals!$E:$E,MID($D$42,FIND("|",$D$42&amp;"|")+1,50),Actuals!$F:$F,"USD")*$F$5+SUMIFS(Actuals!$G:$G,Actuals!$B:$B,$C$3,Actuals!$C:$C,1,Actuals!$D:$D,$B$42,Actuals!$A:$A,LEFT($D$42,FIND("|",$D$42&amp;"|")-1),Actuals!$E:$E,MID($D$42,FIND("|",$D$42&amp;"|")+1,50),Actuals!$F:$F,"EUR")*$G$5+SUMIFS(Actuals!$G:$G,Actuals!$B:$B,$C$3,Actuals!$C:$C,1,Actuals!$D:$D,$B$42,Actuals!$A:$A,LEFT($D$42,FIND("|",$D$42&amp;"|")-1),Actuals!$E:$E,MID($D$42,FIND("|",$D$42&amp;"|")+1,50),Actuals!$F:$F,"GBP")*$H$5)</f>
        <v/>
      </c>
      <c r="I43" s="18">
        <f>IF(OR($B$42="",2&gt;$C$4),"",SUMIFS(Actuals!$G:$G,Actuals!$B:$B,$C$3,Actuals!$C:$C,2,Actuals!$D:$D,$B$42,Actuals!$A:$A,LEFT($D$42,FIND("|",$D$42&amp;"|")-1),Actuals!$E:$E,MID($D$42,FIND("|",$D$42&amp;"|")+1,50),Actuals!$F:$F,"JPY")*$E$5+SUMIFS(Actuals!$G:$G,Actuals!$B:$B,$C$3,Actuals!$C:$C,2,Actuals!$D:$D,$B$42,Actuals!$A:$A,LEFT($D$42,FIND("|",$D$42&amp;"|")-1),Actuals!$E:$E,MID($D$42,FIND("|",$D$42&amp;"|")+1,50),Actuals!$F:$F,"USD")*$F$5+SUMIFS(Actuals!$G:$G,Actuals!$B:$B,$C$3,Actuals!$C:$C,2,Actuals!$D:$D,$B$42,Actuals!$A:$A,LEFT($D$42,FIND("|",$D$42&amp;"|")-1),Actuals!$E:$E,MID($D$42,FIND("|",$D$42&amp;"|")+1,50),Actuals!$F:$F,"EUR")*$G$5+SUMIFS(Actuals!$G:$G,Actuals!$B:$B,$C$3,Actuals!$C:$C,2,Actuals!$D:$D,$B$42,Actuals!$A:$A,LEFT($D$42,FIND("|",$D$42&amp;"|")-1),Actuals!$E:$E,MID($D$42,FIND("|",$D$42&amp;"|")+1,50),Actuals!$F:$F,"GBP")*$H$5)</f>
        <v/>
      </c>
      <c r="J43" s="18">
        <f>IF(OR($B$42="",3&gt;$C$4),"",SUMIFS(Actuals!$G:$G,Actuals!$B:$B,$C$3,Actuals!$C:$C,3,Actuals!$D:$D,$B$42,Actuals!$A:$A,LEFT($D$42,FIND("|",$D$42&amp;"|")-1),Actuals!$E:$E,MID($D$42,FIND("|",$D$42&amp;"|")+1,50),Actuals!$F:$F,"JPY")*$E$5+SUMIFS(Actuals!$G:$G,Actuals!$B:$B,$C$3,Actuals!$C:$C,3,Actuals!$D:$D,$B$42,Actuals!$A:$A,LEFT($D$42,FIND("|",$D$42&amp;"|")-1),Actuals!$E:$E,MID($D$42,FIND("|",$D$42&amp;"|")+1,50),Actuals!$F:$F,"USD")*$F$5+SUMIFS(Actuals!$G:$G,Actuals!$B:$B,$C$3,Actuals!$C:$C,3,Actuals!$D:$D,$B$42,Actuals!$A:$A,LEFT($D$42,FIND("|",$D$42&amp;"|")-1),Actuals!$E:$E,MID($D$42,FIND("|",$D$42&amp;"|")+1,50),Actuals!$F:$F,"EUR")*$G$5+SUMIFS(Actuals!$G:$G,Actuals!$B:$B,$C$3,Actuals!$C:$C,3,Actuals!$D:$D,$B$42,Actuals!$A:$A,LEFT($D$42,FIND("|",$D$42&amp;"|")-1),Actuals!$E:$E,MID($D$42,FIND("|",$D$42&amp;"|")+1,50),Actuals!$F:$F,"GBP")*$H$5)</f>
        <v/>
      </c>
      <c r="K43" s="18">
        <f>IF(OR($B$42="",4&gt;$C$4),"",SUMIFS(Actuals!$G:$G,Actuals!$B:$B,$C$3,Actuals!$C:$C,4,Actuals!$D:$D,$B$42,Actuals!$A:$A,LEFT($D$42,FIND("|",$D$42&amp;"|")-1),Actuals!$E:$E,MID($D$42,FIND("|",$D$42&amp;"|")+1,50),Actuals!$F:$F,"JPY")*$E$5+SUMIFS(Actuals!$G:$G,Actuals!$B:$B,$C$3,Actuals!$C:$C,4,Actuals!$D:$D,$B$42,Actuals!$A:$A,LEFT($D$42,FIND("|",$D$42&amp;"|")-1),Actuals!$E:$E,MID($D$42,FIND("|",$D$42&amp;"|")+1,50),Actuals!$F:$F,"USD")*$F$5+SUMIFS(Actuals!$G:$G,Actuals!$B:$B,$C$3,Actuals!$C:$C,4,Actuals!$D:$D,$B$42,Actuals!$A:$A,LEFT($D$42,FIND("|",$D$42&amp;"|")-1),Actuals!$E:$E,MID($D$42,FIND("|",$D$42&amp;"|")+1,50),Actuals!$F:$F,"EUR")*$G$5+SUMIFS(Actuals!$G:$G,Actuals!$B:$B,$C$3,Actuals!$C:$C,4,Actuals!$D:$D,$B$42,Actuals!$A:$A,LEFT($D$42,FIND("|",$D$42&amp;"|")-1),Actuals!$E:$E,MID($D$42,FIND("|",$D$42&amp;"|")+1,50),Actuals!$F:$F,"GBP")*$H$5)</f>
        <v/>
      </c>
      <c r="L43" s="18">
        <f>IF(OR($B$42="",5&gt;$C$4),"",SUMIFS(Actuals!$G:$G,Actuals!$B:$B,$C$3,Actuals!$C:$C,5,Actuals!$D:$D,$B$42,Actuals!$A:$A,LEFT($D$42,FIND("|",$D$42&amp;"|")-1),Actuals!$E:$E,MID($D$42,FIND("|",$D$42&amp;"|")+1,50),Actuals!$F:$F,"JPY")*$E$5+SUMIFS(Actuals!$G:$G,Actuals!$B:$B,$C$3,Actuals!$C:$C,5,Actuals!$D:$D,$B$42,Actuals!$A:$A,LEFT($D$42,FIND("|",$D$42&amp;"|")-1),Actuals!$E:$E,MID($D$42,FIND("|",$D$42&amp;"|")+1,50),Actuals!$F:$F,"USD")*$F$5+SUMIFS(Actuals!$G:$G,Actuals!$B:$B,$C$3,Actuals!$C:$C,5,Actuals!$D:$D,$B$42,Actuals!$A:$A,LEFT($D$42,FIND("|",$D$42&amp;"|")-1),Actuals!$E:$E,MID($D$42,FIND("|",$D$42&amp;"|")+1,50),Actuals!$F:$F,"EUR")*$G$5+SUMIFS(Actuals!$G:$G,Actuals!$B:$B,$C$3,Actuals!$C:$C,5,Actuals!$D:$D,$B$42,Actuals!$A:$A,LEFT($D$42,FIND("|",$D$42&amp;"|")-1),Actuals!$E:$E,MID($D$42,FIND("|",$D$42&amp;"|")+1,50),Actuals!$F:$F,"GBP")*$H$5)</f>
        <v/>
      </c>
      <c r="M43" s="18">
        <f>IF(OR($B$42="",6&gt;$C$4),"",SUMIFS(Actuals!$G:$G,Actuals!$B:$B,$C$3,Actuals!$C:$C,6,Actuals!$D:$D,$B$42,Actuals!$A:$A,LEFT($D$42,FIND("|",$D$42&amp;"|")-1),Actuals!$E:$E,MID($D$42,FIND("|",$D$42&amp;"|")+1,50),Actuals!$F:$F,"JPY")*$E$5+SUMIFS(Actuals!$G:$G,Actuals!$B:$B,$C$3,Actuals!$C:$C,6,Actuals!$D:$D,$B$42,Actuals!$A:$A,LEFT($D$42,FIND("|",$D$42&amp;"|")-1),Actuals!$E:$E,MID($D$42,FIND("|",$D$42&amp;"|")+1,50),Actuals!$F:$F,"USD")*$F$5+SUMIFS(Actuals!$G:$G,Actuals!$B:$B,$C$3,Actuals!$C:$C,6,Actuals!$D:$D,$B$42,Actuals!$A:$A,LEFT($D$42,FIND("|",$D$42&amp;"|")-1),Actuals!$E:$E,MID($D$42,FIND("|",$D$42&amp;"|")+1,50),Actuals!$F:$F,"EUR")*$G$5+SUMIFS(Actuals!$G:$G,Actuals!$B:$B,$C$3,Actuals!$C:$C,6,Actuals!$D:$D,$B$42,Actuals!$A:$A,LEFT($D$42,FIND("|",$D$42&amp;"|")-1),Actuals!$E:$E,MID($D$42,FIND("|",$D$42&amp;"|")+1,50),Actuals!$F:$F,"GBP")*$H$5)</f>
        <v/>
      </c>
      <c r="N43" s="18">
        <f>IF(OR($B$42="",7&gt;$C$4),"",SUMIFS(Actuals!$G:$G,Actuals!$B:$B,$C$3,Actuals!$C:$C,7,Actuals!$D:$D,$B$42,Actuals!$A:$A,LEFT($D$42,FIND("|",$D$42&amp;"|")-1),Actuals!$E:$E,MID($D$42,FIND("|",$D$42&amp;"|")+1,50),Actuals!$F:$F,"JPY")*$E$5+SUMIFS(Actuals!$G:$G,Actuals!$B:$B,$C$3,Actuals!$C:$C,7,Actuals!$D:$D,$B$42,Actuals!$A:$A,LEFT($D$42,FIND("|",$D$42&amp;"|")-1),Actuals!$E:$E,MID($D$42,FIND("|",$D$42&amp;"|")+1,50),Actuals!$F:$F,"USD")*$F$5+SUMIFS(Actuals!$G:$G,Actuals!$B:$B,$C$3,Actuals!$C:$C,7,Actuals!$D:$D,$B$42,Actuals!$A:$A,LEFT($D$42,FIND("|",$D$42&amp;"|")-1),Actuals!$E:$E,MID($D$42,FIND("|",$D$42&amp;"|")+1,50),Actuals!$F:$F,"EUR")*$G$5+SUMIFS(Actuals!$G:$G,Actuals!$B:$B,$C$3,Actuals!$C:$C,7,Actuals!$D:$D,$B$42,Actuals!$A:$A,LEFT($D$42,FIND("|",$D$42&amp;"|")-1),Actuals!$E:$E,MID($D$42,FIND("|",$D$42&amp;"|")+1,50),Actuals!$F:$F,"GBP")*$H$5)</f>
        <v/>
      </c>
      <c r="O43" s="18">
        <f>IF(OR($B$42="",8&gt;$C$4),"",SUMIFS(Actuals!$G:$G,Actuals!$B:$B,$C$3,Actuals!$C:$C,8,Actuals!$D:$D,$B$42,Actuals!$A:$A,LEFT($D$42,FIND("|",$D$42&amp;"|")-1),Actuals!$E:$E,MID($D$42,FIND("|",$D$42&amp;"|")+1,50),Actuals!$F:$F,"JPY")*$E$5+SUMIFS(Actuals!$G:$G,Actuals!$B:$B,$C$3,Actuals!$C:$C,8,Actuals!$D:$D,$B$42,Actuals!$A:$A,LEFT($D$42,FIND("|",$D$42&amp;"|")-1),Actuals!$E:$E,MID($D$42,FIND("|",$D$42&amp;"|")+1,50),Actuals!$F:$F,"USD")*$F$5+SUMIFS(Actuals!$G:$G,Actuals!$B:$B,$C$3,Actuals!$C:$C,8,Actuals!$D:$D,$B$42,Actuals!$A:$A,LEFT($D$42,FIND("|",$D$42&amp;"|")-1),Actuals!$E:$E,MID($D$42,FIND("|",$D$42&amp;"|")+1,50),Actuals!$F:$F,"EUR")*$G$5+SUMIFS(Actuals!$G:$G,Actuals!$B:$B,$C$3,Actuals!$C:$C,8,Actuals!$D:$D,$B$42,Actuals!$A:$A,LEFT($D$42,FIND("|",$D$42&amp;"|")-1),Actuals!$E:$E,MID($D$42,FIND("|",$D$42&amp;"|")+1,50),Actuals!$F:$F,"GBP")*$H$5)</f>
        <v/>
      </c>
      <c r="P43" s="18">
        <f>IF(OR($B$42="",9&gt;$C$4),"",SUMIFS(Actuals!$G:$G,Actuals!$B:$B,$C$3,Actuals!$C:$C,9,Actuals!$D:$D,$B$42,Actuals!$A:$A,LEFT($D$42,FIND("|",$D$42&amp;"|")-1),Actuals!$E:$E,MID($D$42,FIND("|",$D$42&amp;"|")+1,50),Actuals!$F:$F,"JPY")*$E$5+SUMIFS(Actuals!$G:$G,Actuals!$B:$B,$C$3,Actuals!$C:$C,9,Actuals!$D:$D,$B$42,Actuals!$A:$A,LEFT($D$42,FIND("|",$D$42&amp;"|")-1),Actuals!$E:$E,MID($D$42,FIND("|",$D$42&amp;"|")+1,50),Actuals!$F:$F,"USD")*$F$5+SUMIFS(Actuals!$G:$G,Actuals!$B:$B,$C$3,Actuals!$C:$C,9,Actuals!$D:$D,$B$42,Actuals!$A:$A,LEFT($D$42,FIND("|",$D$42&amp;"|")-1),Actuals!$E:$E,MID($D$42,FIND("|",$D$42&amp;"|")+1,50),Actuals!$F:$F,"EUR")*$G$5+SUMIFS(Actuals!$G:$G,Actuals!$B:$B,$C$3,Actuals!$C:$C,9,Actuals!$D:$D,$B$42,Actuals!$A:$A,LEFT($D$42,FIND("|",$D$42&amp;"|")-1),Actuals!$E:$E,MID($D$42,FIND("|",$D$42&amp;"|")+1,50),Actuals!$F:$F,"GBP")*$H$5)</f>
        <v/>
      </c>
      <c r="Q43" s="18">
        <f>IF(OR($B$42="",10&gt;$C$4),"",SUMIFS(Actuals!$G:$G,Actuals!$B:$B,$C$3,Actuals!$C:$C,10,Actuals!$D:$D,$B$42,Actuals!$A:$A,LEFT($D$42,FIND("|",$D$42&amp;"|")-1),Actuals!$E:$E,MID($D$42,FIND("|",$D$42&amp;"|")+1,50),Actuals!$F:$F,"JPY")*$E$5+SUMIFS(Actuals!$G:$G,Actuals!$B:$B,$C$3,Actuals!$C:$C,10,Actuals!$D:$D,$B$42,Actuals!$A:$A,LEFT($D$42,FIND("|",$D$42&amp;"|")-1),Actuals!$E:$E,MID($D$42,FIND("|",$D$42&amp;"|")+1,50),Actuals!$F:$F,"USD")*$F$5+SUMIFS(Actuals!$G:$G,Actuals!$B:$B,$C$3,Actuals!$C:$C,10,Actuals!$D:$D,$B$42,Actuals!$A:$A,LEFT($D$42,FIND("|",$D$42&amp;"|")-1),Actuals!$E:$E,MID($D$42,FIND("|",$D$42&amp;"|")+1,50),Actuals!$F:$F,"EUR")*$G$5+SUMIFS(Actuals!$G:$G,Actuals!$B:$B,$C$3,Actuals!$C:$C,10,Actuals!$D:$D,$B$42,Actuals!$A:$A,LEFT($D$42,FIND("|",$D$42&amp;"|")-1),Actuals!$E:$E,MID($D$42,FIND("|",$D$42&amp;"|")+1,50),Actuals!$F:$F,"GBP")*$H$5)</f>
        <v/>
      </c>
      <c r="R43" s="18">
        <f>IF(OR($B$42="",11&gt;$C$4),"",SUMIFS(Actuals!$G:$G,Actuals!$B:$B,$C$3,Actuals!$C:$C,11,Actuals!$D:$D,$B$42,Actuals!$A:$A,LEFT($D$42,FIND("|",$D$42&amp;"|")-1),Actuals!$E:$E,MID($D$42,FIND("|",$D$42&amp;"|")+1,50),Actuals!$F:$F,"JPY")*$E$5+SUMIFS(Actuals!$G:$G,Actuals!$B:$B,$C$3,Actuals!$C:$C,11,Actuals!$D:$D,$B$42,Actuals!$A:$A,LEFT($D$42,FIND("|",$D$42&amp;"|")-1),Actuals!$E:$E,MID($D$42,FIND("|",$D$42&amp;"|")+1,50),Actuals!$F:$F,"USD")*$F$5+SUMIFS(Actuals!$G:$G,Actuals!$B:$B,$C$3,Actuals!$C:$C,11,Actuals!$D:$D,$B$42,Actuals!$A:$A,LEFT($D$42,FIND("|",$D$42&amp;"|")-1),Actuals!$E:$E,MID($D$42,FIND("|",$D$42&amp;"|")+1,50),Actuals!$F:$F,"EUR")*$G$5+SUMIFS(Actuals!$G:$G,Actuals!$B:$B,$C$3,Actuals!$C:$C,11,Actuals!$D:$D,$B$42,Actuals!$A:$A,LEFT($D$42,FIND("|",$D$42&amp;"|")-1),Actuals!$E:$E,MID($D$42,FIND("|",$D$42&amp;"|")+1,50),Actuals!$F:$F,"GBP")*$H$5)</f>
        <v/>
      </c>
      <c r="S43" s="18">
        <f>IF(OR($B$42="",12&gt;$C$4),"",SUMIFS(Actuals!$G:$G,Actuals!$B:$B,$C$3,Actuals!$C:$C,12,Actuals!$D:$D,$B$42,Actuals!$A:$A,LEFT($D$42,FIND("|",$D$42&amp;"|")-1),Actuals!$E:$E,MID($D$42,FIND("|",$D$42&amp;"|")+1,50),Actuals!$F:$F,"JPY")*$E$5+SUMIFS(Actuals!$G:$G,Actuals!$B:$B,$C$3,Actuals!$C:$C,12,Actuals!$D:$D,$B$42,Actuals!$A:$A,LEFT($D$42,FIND("|",$D$42&amp;"|")-1),Actuals!$E:$E,MID($D$42,FIND("|",$D$42&amp;"|")+1,50),Actuals!$F:$F,"USD")*$F$5+SUMIFS(Actuals!$G:$G,Actuals!$B:$B,$C$3,Actuals!$C:$C,12,Actuals!$D:$D,$B$42,Actuals!$A:$A,LEFT($D$42,FIND("|",$D$42&amp;"|")-1),Actuals!$E:$E,MID($D$42,FIND("|",$D$42&amp;"|")+1,50),Actuals!$F:$F,"EUR")*$G$5+SUMIFS(Actuals!$G:$G,Actuals!$B:$B,$C$3,Actuals!$C:$C,12,Actuals!$D:$D,$B$42,Actuals!$A:$A,LEFT($D$42,FIND("|",$D$42&amp;"|")-1),Actuals!$E:$E,MID($D$42,FIND("|",$D$42&amp;"|")+1,50),Actuals!$F:$F,"GBP")*$H$5)</f>
        <v/>
      </c>
      <c r="T43" s="18">
        <f>IF($B$42="","",SUMIF($H$7:$S$7,"&lt;="&amp;$C$4,$H43:$S43))</f>
        <v/>
      </c>
      <c r="U43" s="18" t="n"/>
      <c r="V43" s="18" t="n"/>
      <c r="X43" s="22">
        <f>IF($B43="","",IFERROR(INDEX(Cost_Centers!$E:$E,MATCH($B43,Cost_Centers!$A:$A,0)),"(unknown)"))</f>
        <v/>
      </c>
      <c r="Y43" s="22">
        <f>IF($B43="","",IFERROR(INDEX(Cost_Centers!$D:$D,MATCH($B43,Cost_Centers!$A:$A,0)),"(unknown)"))</f>
        <v/>
      </c>
      <c r="Z43" s="22">
        <f>IF(OR($B43="",$G43&lt;&gt;"Variance vs Budget"),"",ABS(N($V43))+ROW()/1000000000)</f>
        <v/>
      </c>
    </row>
    <row r="44">
      <c r="A44" s="13">
        <f>IF(A$42="","",A$42)</f>
        <v/>
      </c>
      <c r="B44" s="13">
        <f>IF(B$42="","",B$42)</f>
        <v/>
      </c>
      <c r="C44" s="13">
        <f>IF(C$42="","",C$42)</f>
        <v/>
      </c>
      <c r="D44" s="13">
        <f>IF(D$42="","",D$42)</f>
        <v/>
      </c>
      <c r="E44" s="13">
        <f>IF(E$42="","",E$42)</f>
        <v/>
      </c>
      <c r="F44" s="13">
        <f>IF(F$42="","",F$42)</f>
        <v/>
      </c>
      <c r="G44" s="6" t="inlineStr">
        <is>
          <t>Variance vs Budget</t>
        </is>
      </c>
      <c r="H44" s="33">
        <f>IF(OR($B$42="",1&gt;$C$4),"",N(H43)-H42)</f>
        <v/>
      </c>
      <c r="I44" s="33">
        <f>IF(OR($B$42="",2&gt;$C$4),"",N(I43)-I42)</f>
        <v/>
      </c>
      <c r="J44" s="33">
        <f>IF(OR($B$42="",3&gt;$C$4),"",N(J43)-J42)</f>
        <v/>
      </c>
      <c r="K44" s="33">
        <f>IF(OR($B$42="",4&gt;$C$4),"",N(K43)-K42)</f>
        <v/>
      </c>
      <c r="L44" s="33">
        <f>IF(OR($B$42="",5&gt;$C$4),"",N(L43)-L42)</f>
        <v/>
      </c>
      <c r="M44" s="33">
        <f>IF(OR($B$42="",6&gt;$C$4),"",N(M43)-M42)</f>
        <v/>
      </c>
      <c r="N44" s="33">
        <f>IF(OR($B$42="",7&gt;$C$4),"",N(N43)-N42)</f>
        <v/>
      </c>
      <c r="O44" s="33">
        <f>IF(OR($B$42="",8&gt;$C$4),"",N(O43)-O42)</f>
        <v/>
      </c>
      <c r="P44" s="33">
        <f>IF(OR($B$42="",9&gt;$C$4),"",N(P43)-P42)</f>
        <v/>
      </c>
      <c r="Q44" s="33">
        <f>IF(OR($B$42="",10&gt;$C$4),"",N(Q43)-Q42)</f>
        <v/>
      </c>
      <c r="R44" s="33">
        <f>IF(OR($B$42="",11&gt;$C$4),"",N(R43)-R42)</f>
        <v/>
      </c>
      <c r="S44" s="33">
        <f>IF(OR($B$42="",12&gt;$C$4),"",N(S43)-S42)</f>
        <v/>
      </c>
      <c r="T44" s="33">
        <f>IF($B$42="","",T43-T42)</f>
        <v/>
      </c>
      <c r="U44" s="33">
        <f>IF($B$42="","",U46-U42)</f>
        <v/>
      </c>
      <c r="V44" s="33">
        <f>IF($B$42="","",V46-V42)</f>
        <v/>
      </c>
      <c r="X44" s="22">
        <f>IF($B44="","",IFERROR(INDEX(Cost_Centers!$E:$E,MATCH($B44,Cost_Centers!$A:$A,0)),"(unknown)"))</f>
        <v/>
      </c>
      <c r="Y44" s="22">
        <f>IF($B44="","",IFERROR(INDEX(Cost_Centers!$D:$D,MATCH($B44,Cost_Centers!$A:$A,0)),"(unknown)"))</f>
        <v/>
      </c>
      <c r="Z44" s="22">
        <f>IF(OR($B44="",$G44&lt;&gt;"Variance vs Budget"),"",ABS(N($V44))+ROW()/1000000000)</f>
        <v/>
      </c>
    </row>
    <row r="45">
      <c r="A45" s="13">
        <f>IF(A$42="","",A$42)</f>
        <v/>
      </c>
      <c r="B45" s="13">
        <f>IF(B$42="","",B$42)</f>
        <v/>
      </c>
      <c r="C45" s="13">
        <f>IF(C$42="","",C$42)</f>
        <v/>
      </c>
      <c r="D45" s="13">
        <f>IF(D$42="","",D$42)</f>
        <v/>
      </c>
      <c r="E45" s="13">
        <f>IF(E$42="","",E$42)</f>
        <v/>
      </c>
      <c r="F45" s="13">
        <f>IF(F$42="","",F$42)</f>
        <v/>
      </c>
      <c r="G45" s="7" t="inlineStr">
        <is>
          <t>Forecast (input)</t>
        </is>
      </c>
      <c r="H45" s="34" t="n"/>
      <c r="I45" s="34" t="n"/>
      <c r="J45" s="34" t="n"/>
      <c r="K45" s="34" t="n"/>
      <c r="L45" s="34" t="n"/>
      <c r="M45" s="34" t="n"/>
      <c r="N45" s="34" t="n"/>
      <c r="O45" s="34" t="n"/>
      <c r="P45" s="34" t="n"/>
      <c r="Q45" s="34" t="n"/>
      <c r="R45" s="34" t="n"/>
      <c r="S45" s="34" t="n"/>
      <c r="T45" s="18" t="n"/>
      <c r="U45" s="18" t="n"/>
      <c r="V45" s="18" t="n"/>
      <c r="X45" s="22">
        <f>IF($B45="","",IFERROR(INDEX(Cost_Centers!$E:$E,MATCH($B45,Cost_Centers!$A:$A,0)),"(unknown)"))</f>
        <v/>
      </c>
      <c r="Y45" s="22">
        <f>IF($B45="","",IFERROR(INDEX(Cost_Centers!$D:$D,MATCH($B45,Cost_Centers!$A:$A,0)),"(unknown)"))</f>
        <v/>
      </c>
      <c r="Z45" s="22">
        <f>IF(OR($B45="",$G45&lt;&gt;"Variance vs Budget"),"",ABS(N($V45))+ROW()/1000000000)</f>
        <v/>
      </c>
    </row>
    <row r="46">
      <c r="A46" s="13">
        <f>IF(A$42="","",A$42)</f>
        <v/>
      </c>
      <c r="B46" s="13">
        <f>IF(B$42="","",B$42)</f>
        <v/>
      </c>
      <c r="C46" s="13">
        <f>IF(C$42="","",C$42)</f>
        <v/>
      </c>
      <c r="D46" s="13">
        <f>IF(D$42="","",D$42)</f>
        <v/>
      </c>
      <c r="E46" s="13">
        <f>IF(E$42="","",E$42)</f>
        <v/>
      </c>
      <c r="F46" s="13">
        <f>IF(F$42="","",F$42)</f>
        <v/>
      </c>
      <c r="G46" s="35" t="inlineStr">
        <is>
          <t>Actual + Forecast</t>
        </is>
      </c>
      <c r="H46" s="18">
        <f>IF($B$42="","",IF(1&lt;=$C$4,N(H43),IF(H45="",H42,H45)))</f>
        <v/>
      </c>
      <c r="I46" s="18">
        <f>IF($B$42="","",IF(2&lt;=$C$4,N(I43),IF(I45="",I42,I45)))</f>
        <v/>
      </c>
      <c r="J46" s="18">
        <f>IF($B$42="","",IF(3&lt;=$C$4,N(J43),IF(J45="",J42,J45)))</f>
        <v/>
      </c>
      <c r="K46" s="18">
        <f>IF($B$42="","",IF(4&lt;=$C$4,N(K43),IF(K45="",K42,K45)))</f>
        <v/>
      </c>
      <c r="L46" s="18">
        <f>IF($B$42="","",IF(5&lt;=$C$4,N(L43),IF(L45="",L42,L45)))</f>
        <v/>
      </c>
      <c r="M46" s="18">
        <f>IF($B$42="","",IF(6&lt;=$C$4,N(M43),IF(M45="",M42,M45)))</f>
        <v/>
      </c>
      <c r="N46" s="18">
        <f>IF($B$42="","",IF(7&lt;=$C$4,N(N43),IF(N45="",N42,N45)))</f>
        <v/>
      </c>
      <c r="O46" s="18">
        <f>IF($B$42="","",IF(8&lt;=$C$4,N(O43),IF(O45="",O42,O45)))</f>
        <v/>
      </c>
      <c r="P46" s="18">
        <f>IF($B$42="","",IF(9&lt;=$C$4,N(P43),IF(P45="",P42,P45)))</f>
        <v/>
      </c>
      <c r="Q46" s="18">
        <f>IF($B$42="","",IF(10&lt;=$C$4,N(Q43),IF(Q45="",Q42,Q45)))</f>
        <v/>
      </c>
      <c r="R46" s="18">
        <f>IF($B$42="","",IF(11&lt;=$C$4,N(R43),IF(R45="",R42,R45)))</f>
        <v/>
      </c>
      <c r="S46" s="18">
        <f>IF($B$42="","",IF(12&lt;=$C$4,N(S43),IF(S45="",S42,S45)))</f>
        <v/>
      </c>
      <c r="T46" s="18">
        <f>IF($B$42="","",SUMIF($H$7:$S$7,"&lt;="&amp;$C$4,$H46:$S46))</f>
        <v/>
      </c>
      <c r="U46" s="18">
        <f>IF($B$42="","",SUMIF($H$7:$S$7,"&gt;"&amp;$C$4,$H46:$S46))</f>
        <v/>
      </c>
      <c r="V46" s="18">
        <f>IF($B$42="","",SUM($H46:$S46))</f>
        <v/>
      </c>
      <c r="X46" s="22">
        <f>IF($B46="","",IFERROR(INDEX(Cost_Centers!$E:$E,MATCH($B46,Cost_Centers!$A:$A,0)),"(unknown)"))</f>
        <v/>
      </c>
      <c r="Y46" s="22">
        <f>IF($B46="","",IFERROR(INDEX(Cost_Centers!$D:$D,MATCH($B46,Cost_Centers!$A:$A,0)),"(unknown)"))</f>
        <v/>
      </c>
      <c r="Z46" s="22">
        <f>IF(OR($B46="",$G46&lt;&gt;"Variance vs Budget"),"",ABS(N($V46))+ROW()/1000000000)</f>
        <v/>
      </c>
    </row>
    <row r="47">
      <c r="A47" s="13">
        <f>IF(A$42="","",A$42)</f>
        <v/>
      </c>
      <c r="B47" s="13">
        <f>IF(B$42="","",B$42)</f>
        <v/>
      </c>
      <c r="C47" s="13">
        <f>IF(C$42="","",C$42)</f>
        <v/>
      </c>
      <c r="D47" s="13">
        <f>IF(D$42="","",D$42)</f>
        <v/>
      </c>
      <c r="E47" s="13">
        <f>IF(E$42="","",E$42)</f>
        <v/>
      </c>
      <c r="F47" s="13">
        <f>IF(F$42="","",F$42)</f>
        <v/>
      </c>
      <c r="G47" s="36" t="inlineStr">
        <is>
          <t>Prior Month Forecast</t>
        </is>
      </c>
      <c r="H47" s="37">
        <f>IF($B$42="","",IF(COUNTIFS(Prior_Forecast!$A:$A,$B$42,Prior_Forecast!$B:$B,$D$42)&gt;0,SUMIFS(Prior_Forecast!$C:$C,Prior_Forecast!$A:$A,$B$42,Prior_Forecast!$B:$B,$D$42),""))</f>
        <v/>
      </c>
      <c r="I47" s="37">
        <f>IF($B$42="","",IF(COUNTIFS(Prior_Forecast!$A:$A,$B$42,Prior_Forecast!$B:$B,$D$42)&gt;0,SUMIFS(Prior_Forecast!$D:$D,Prior_Forecast!$A:$A,$B$42,Prior_Forecast!$B:$B,$D$42),""))</f>
        <v/>
      </c>
      <c r="J47" s="37">
        <f>IF($B$42="","",IF(COUNTIFS(Prior_Forecast!$A:$A,$B$42,Prior_Forecast!$B:$B,$D$42)&gt;0,SUMIFS(Prior_Forecast!$E:$E,Prior_Forecast!$A:$A,$B$42,Prior_Forecast!$B:$B,$D$42),""))</f>
        <v/>
      </c>
      <c r="K47" s="37">
        <f>IF($B$42="","",IF(COUNTIFS(Prior_Forecast!$A:$A,$B$42,Prior_Forecast!$B:$B,$D$42)&gt;0,SUMIFS(Prior_Forecast!$F:$F,Prior_Forecast!$A:$A,$B$42,Prior_Forecast!$B:$B,$D$42),""))</f>
        <v/>
      </c>
      <c r="L47" s="37">
        <f>IF($B$42="","",IF(COUNTIFS(Prior_Forecast!$A:$A,$B$42,Prior_Forecast!$B:$B,$D$42)&gt;0,SUMIFS(Prior_Forecast!$G:$G,Prior_Forecast!$A:$A,$B$42,Prior_Forecast!$B:$B,$D$42),""))</f>
        <v/>
      </c>
      <c r="M47" s="37">
        <f>IF($B$42="","",IF(COUNTIFS(Prior_Forecast!$A:$A,$B$42,Prior_Forecast!$B:$B,$D$42)&gt;0,SUMIFS(Prior_Forecast!$H:$H,Prior_Forecast!$A:$A,$B$42,Prior_Forecast!$B:$B,$D$42),""))</f>
        <v/>
      </c>
      <c r="N47" s="37">
        <f>IF($B$42="","",IF(COUNTIFS(Prior_Forecast!$A:$A,$B$42,Prior_Forecast!$B:$B,$D$42)&gt;0,SUMIFS(Prior_Forecast!$I:$I,Prior_Forecast!$A:$A,$B$42,Prior_Forecast!$B:$B,$D$42),""))</f>
        <v/>
      </c>
      <c r="O47" s="37">
        <f>IF($B$42="","",IF(COUNTIFS(Prior_Forecast!$A:$A,$B$42,Prior_Forecast!$B:$B,$D$42)&gt;0,SUMIFS(Prior_Forecast!$J:$J,Prior_Forecast!$A:$A,$B$42,Prior_Forecast!$B:$B,$D$42),""))</f>
        <v/>
      </c>
      <c r="P47" s="37">
        <f>IF($B$42="","",IF(COUNTIFS(Prior_Forecast!$A:$A,$B$42,Prior_Forecast!$B:$B,$D$42)&gt;0,SUMIFS(Prior_Forecast!$K:$K,Prior_Forecast!$A:$A,$B$42,Prior_Forecast!$B:$B,$D$42),""))</f>
        <v/>
      </c>
      <c r="Q47" s="37">
        <f>IF($B$42="","",IF(COUNTIFS(Prior_Forecast!$A:$A,$B$42,Prior_Forecast!$B:$B,$D$42)&gt;0,SUMIFS(Prior_Forecast!$L:$L,Prior_Forecast!$A:$A,$B$42,Prior_Forecast!$B:$B,$D$42),""))</f>
        <v/>
      </c>
      <c r="R47" s="37">
        <f>IF($B$42="","",IF(COUNTIFS(Prior_Forecast!$A:$A,$B$42,Prior_Forecast!$B:$B,$D$42)&gt;0,SUMIFS(Prior_Forecast!$M:$M,Prior_Forecast!$A:$A,$B$42,Prior_Forecast!$B:$B,$D$42),""))</f>
        <v/>
      </c>
      <c r="S47" s="37">
        <f>IF($B$42="","",IF(COUNTIFS(Prior_Forecast!$A:$A,$B$42,Prior_Forecast!$B:$B,$D$42)&gt;0,SUMIFS(Prior_Forecast!$N:$N,Prior_Forecast!$A:$A,$B$42,Prior_Forecast!$B:$B,$D$42),""))</f>
        <v/>
      </c>
      <c r="T47" s="37">
        <f>IF($B$42="","",IF(COUNTIFS(Prior_Forecast!$A:$A,$B$42,Prior_Forecast!$B:$B,$D$42)&gt;0,SUMIFS(Prior_Forecast!$O:$O,Prior_Forecast!$A:$A,$B$42,Prior_Forecast!$B:$B,$D$42),""))</f>
        <v/>
      </c>
      <c r="U47" s="37">
        <f>IF($B$42="","",IF(COUNTIFS(Prior_Forecast!$A:$A,$B$42,Prior_Forecast!$B:$B,$D$42)&gt;0,SUMIFS(Prior_Forecast!$P:$P,Prior_Forecast!$A:$A,$B$42,Prior_Forecast!$B:$B,$D$42),""))</f>
        <v/>
      </c>
      <c r="V47" s="37">
        <f>IF($B$42="","",IF(COUNTIFS(Prior_Forecast!$A:$A,$B$42,Prior_Forecast!$B:$B,$D$42)&gt;0,SUMIFS(Prior_Forecast!$Q:$Q,Prior_Forecast!$A:$A,$B$42,Prior_Forecast!$B:$B,$D$42),""))</f>
        <v/>
      </c>
      <c r="X47" s="22">
        <f>IF($B47="","",IFERROR(INDEX(Cost_Centers!$E:$E,MATCH($B47,Cost_Centers!$A:$A,0)),"(unknown)"))</f>
        <v/>
      </c>
      <c r="Y47" s="22">
        <f>IF($B47="","",IFERROR(INDEX(Cost_Centers!$D:$D,MATCH($B47,Cost_Centers!$A:$A,0)),"(unknown)"))</f>
        <v/>
      </c>
      <c r="Z47" s="22">
        <f>IF(OR($B47="",$G47&lt;&gt;"Variance vs Budget"),"",ABS(N($V47))+ROW()/1000000000)</f>
        <v/>
      </c>
    </row>
    <row r="48">
      <c r="A48" s="13">
        <f>IF(A$42="","",A$42)</f>
        <v/>
      </c>
      <c r="B48" s="13">
        <f>IF(B$42="","",B$42)</f>
        <v/>
      </c>
      <c r="C48" s="13">
        <f>IF(C$42="","",C$42)</f>
        <v/>
      </c>
      <c r="D48" s="13">
        <f>IF(D$42="","",D$42)</f>
        <v/>
      </c>
      <c r="E48" s="13">
        <f>IF(E$42="","",E$42)</f>
        <v/>
      </c>
      <c r="F48" s="13">
        <f>IF(F$42="","",F$42)</f>
        <v/>
      </c>
      <c r="G48" s="6" t="inlineStr">
        <is>
          <t>Variance vs Prior Month</t>
        </is>
      </c>
      <c r="H48" s="33">
        <f>IF(OR($B$42="",H47=""),"",H46-H47)</f>
        <v/>
      </c>
      <c r="I48" s="33">
        <f>IF(OR($B$42="",I47=""),"",I46-I47)</f>
        <v/>
      </c>
      <c r="J48" s="33">
        <f>IF(OR($B$42="",J47=""),"",J46-J47)</f>
        <v/>
      </c>
      <c r="K48" s="33">
        <f>IF(OR($B$42="",K47=""),"",K46-K47)</f>
        <v/>
      </c>
      <c r="L48" s="33">
        <f>IF(OR($B$42="",L47=""),"",L46-L47)</f>
        <v/>
      </c>
      <c r="M48" s="33">
        <f>IF(OR($B$42="",M47=""),"",M46-M47)</f>
        <v/>
      </c>
      <c r="N48" s="33">
        <f>IF(OR($B$42="",N47=""),"",N46-N47)</f>
        <v/>
      </c>
      <c r="O48" s="33">
        <f>IF(OR($B$42="",O47=""),"",O46-O47)</f>
        <v/>
      </c>
      <c r="P48" s="33">
        <f>IF(OR($B$42="",P47=""),"",P46-P47)</f>
        <v/>
      </c>
      <c r="Q48" s="33">
        <f>IF(OR($B$42="",Q47=""),"",Q46-Q47)</f>
        <v/>
      </c>
      <c r="R48" s="33">
        <f>IF(OR($B$42="",R47=""),"",R46-R47)</f>
        <v/>
      </c>
      <c r="S48" s="33">
        <f>IF(OR($B$42="",S47=""),"",S46-S47)</f>
        <v/>
      </c>
      <c r="T48" s="33">
        <f>IF(OR($B$42="",T47=""),"",T46-T47)</f>
        <v/>
      </c>
      <c r="U48" s="33">
        <f>IF(OR($B$42="",U47=""),"",U46-U47)</f>
        <v/>
      </c>
      <c r="V48" s="33">
        <f>IF(OR($B$42="",V47=""),"",V46-V47)</f>
        <v/>
      </c>
      <c r="X48" s="22">
        <f>IF($B48="","",IFERROR(INDEX(Cost_Centers!$E:$E,MATCH($B48,Cost_Centers!$A:$A,0)),"(unknown)"))</f>
        <v/>
      </c>
      <c r="Y48" s="22">
        <f>IF($B48="","",IFERROR(INDEX(Cost_Centers!$D:$D,MATCH($B48,Cost_Centers!$A:$A,0)),"(unknown)"))</f>
        <v/>
      </c>
      <c r="Z48" s="22">
        <f>IF(OR($B48="",$G48&lt;&gt;"Variance vs Budget"),"",ABS(N($V48))+ROW()/1000000000)</f>
        <v/>
      </c>
    </row>
    <row r="49" ht="45" customHeight="1">
      <c r="A49" s="13">
        <f>IF(A$42="","",A$42)</f>
        <v/>
      </c>
      <c r="B49" s="13">
        <f>IF(B$42="","",B$42)</f>
        <v/>
      </c>
      <c r="C49" s="13">
        <f>IF(C$42="","",C$42)</f>
        <v/>
      </c>
      <c r="D49" s="13">
        <f>IF(D$42="","",D$42)</f>
        <v/>
      </c>
      <c r="E49" s="13">
        <f>IF(E$42="","",E$42)</f>
        <v/>
      </c>
      <c r="F49" s="13">
        <f>IF(F$42="","",F$42)</f>
        <v/>
      </c>
      <c r="G49" s="7" t="inlineStr">
        <is>
          <t>Rationale</t>
        </is>
      </c>
      <c r="H49" s="38" t="n"/>
      <c r="I49" s="38" t="n"/>
      <c r="J49" s="38" t="n"/>
      <c r="K49" s="38" t="n"/>
      <c r="L49" s="38" t="n"/>
      <c r="M49" s="38" t="n"/>
      <c r="N49" s="38" t="n"/>
      <c r="O49" s="38" t="n"/>
      <c r="P49" s="38" t="n"/>
      <c r="Q49" s="38" t="n"/>
      <c r="R49" s="38" t="n"/>
      <c r="S49" s="38" t="n"/>
      <c r="T49" s="38" t="n"/>
      <c r="U49" s="38" t="n"/>
      <c r="V49" s="7" t="n"/>
      <c r="X49" s="22">
        <f>IF($B49="","",IFERROR(INDEX(Cost_Centers!$E:$E,MATCH($B49,Cost_Centers!$A:$A,0)),"(unknown)"))</f>
        <v/>
      </c>
      <c r="Y49" s="22">
        <f>IF($B49="","",IFERROR(INDEX(Cost_Centers!$D:$D,MATCH($B49,Cost_Centers!$A:$A,0)),"(unknown)"))</f>
        <v/>
      </c>
      <c r="Z49" s="22">
        <f>IF(OR($B49="",$G49&lt;&gt;"Variance vs Budget"),"",ABS(N($V49))+ROW()/1000000000)</f>
        <v/>
      </c>
    </row>
    <row r="50">
      <c r="A50" s="30">
        <f>IF($D$50="","",LEFT($D$50,FIND("|",$D$50&amp;"|")-1))</f>
        <v/>
      </c>
      <c r="B50" s="31" t="n"/>
      <c r="C50" s="30">
        <f>IF($B$50="","",IFERROR(INDEX(Cost_Centers!$B:$B,MATCH($B$50,Cost_Centers!$A:$A,0)),"(not in master)"))</f>
        <v/>
      </c>
      <c r="D50" s="31" t="n"/>
      <c r="E50" s="30">
        <f>IF($D$50="","",IFERROR(INDEX(Accounts!$D:$D,MATCH($D$50,Accounts!$A:$A,0)),"(not in master)"))</f>
        <v/>
      </c>
      <c r="F50" s="31" t="n"/>
      <c r="G50" s="30" t="inlineStr">
        <is>
          <t>Budget</t>
        </is>
      </c>
      <c r="H50" s="32">
        <f>IF($B$50="","",SUMIFS(Opex_Budget!$O:$O,Opex_Budget!$A:$A,$C$3,Opex_Budget!$E:$E,$B$50,Opex_Budget!$F:$F,$D$50,Opex_Budget!$N:$N,"JPY")*$E$5+SUMIFS(Opex_Budget!$O:$O,Opex_Budget!$A:$A,$C$3,Opex_Budget!$E:$E,$B$50,Opex_Budget!$F:$F,$D$50,Opex_Budget!$N:$N,"USD")*$F$5+SUMIFS(Opex_Budget!$O:$O,Opex_Budget!$A:$A,$C$3,Opex_Budget!$E:$E,$B$50,Opex_Budget!$F:$F,$D$50,Opex_Budget!$N:$N,"EUR")*$G$5+SUMIFS(Opex_Budget!$O:$O,Opex_Budget!$A:$A,$C$3,Opex_Budget!$E:$E,$B$50,Opex_Budget!$F:$F,$D$50,Opex_Budget!$N:$N,"GBP")*$H$5)</f>
        <v/>
      </c>
      <c r="I50" s="32">
        <f>IF($B$50="","",SUMIFS(Opex_Budget!$P:$P,Opex_Budget!$A:$A,$C$3,Opex_Budget!$E:$E,$B$50,Opex_Budget!$F:$F,$D$50,Opex_Budget!$N:$N,"JPY")*$E$5+SUMIFS(Opex_Budget!$P:$P,Opex_Budget!$A:$A,$C$3,Opex_Budget!$E:$E,$B$50,Opex_Budget!$F:$F,$D$50,Opex_Budget!$N:$N,"USD")*$F$5+SUMIFS(Opex_Budget!$P:$P,Opex_Budget!$A:$A,$C$3,Opex_Budget!$E:$E,$B$50,Opex_Budget!$F:$F,$D$50,Opex_Budget!$N:$N,"EUR")*$G$5+SUMIFS(Opex_Budget!$P:$P,Opex_Budget!$A:$A,$C$3,Opex_Budget!$E:$E,$B$50,Opex_Budget!$F:$F,$D$50,Opex_Budget!$N:$N,"GBP")*$H$5)</f>
        <v/>
      </c>
      <c r="J50" s="32">
        <f>IF($B$50="","",SUMIFS(Opex_Budget!$Q:$Q,Opex_Budget!$A:$A,$C$3,Opex_Budget!$E:$E,$B$50,Opex_Budget!$F:$F,$D$50,Opex_Budget!$N:$N,"JPY")*$E$5+SUMIFS(Opex_Budget!$Q:$Q,Opex_Budget!$A:$A,$C$3,Opex_Budget!$E:$E,$B$50,Opex_Budget!$F:$F,$D$50,Opex_Budget!$N:$N,"USD")*$F$5+SUMIFS(Opex_Budget!$Q:$Q,Opex_Budget!$A:$A,$C$3,Opex_Budget!$E:$E,$B$50,Opex_Budget!$F:$F,$D$50,Opex_Budget!$N:$N,"EUR")*$G$5+SUMIFS(Opex_Budget!$Q:$Q,Opex_Budget!$A:$A,$C$3,Opex_Budget!$E:$E,$B$50,Opex_Budget!$F:$F,$D$50,Opex_Budget!$N:$N,"GBP")*$H$5)</f>
        <v/>
      </c>
      <c r="K50" s="32">
        <f>IF($B$50="","",SUMIFS(Opex_Budget!$R:$R,Opex_Budget!$A:$A,$C$3,Opex_Budget!$E:$E,$B$50,Opex_Budget!$F:$F,$D$50,Opex_Budget!$N:$N,"JPY")*$E$5+SUMIFS(Opex_Budget!$R:$R,Opex_Budget!$A:$A,$C$3,Opex_Budget!$E:$E,$B$50,Opex_Budget!$F:$F,$D$50,Opex_Budget!$N:$N,"USD")*$F$5+SUMIFS(Opex_Budget!$R:$R,Opex_Budget!$A:$A,$C$3,Opex_Budget!$E:$E,$B$50,Opex_Budget!$F:$F,$D$50,Opex_Budget!$N:$N,"EUR")*$G$5+SUMIFS(Opex_Budget!$R:$R,Opex_Budget!$A:$A,$C$3,Opex_Budget!$E:$E,$B$50,Opex_Budget!$F:$F,$D$50,Opex_Budget!$N:$N,"GBP")*$H$5)</f>
        <v/>
      </c>
      <c r="L50" s="32">
        <f>IF($B$50="","",SUMIFS(Opex_Budget!$S:$S,Opex_Budget!$A:$A,$C$3,Opex_Budget!$E:$E,$B$50,Opex_Budget!$F:$F,$D$50,Opex_Budget!$N:$N,"JPY")*$E$5+SUMIFS(Opex_Budget!$S:$S,Opex_Budget!$A:$A,$C$3,Opex_Budget!$E:$E,$B$50,Opex_Budget!$F:$F,$D$50,Opex_Budget!$N:$N,"USD")*$F$5+SUMIFS(Opex_Budget!$S:$S,Opex_Budget!$A:$A,$C$3,Opex_Budget!$E:$E,$B$50,Opex_Budget!$F:$F,$D$50,Opex_Budget!$N:$N,"EUR")*$G$5+SUMIFS(Opex_Budget!$S:$S,Opex_Budget!$A:$A,$C$3,Opex_Budget!$E:$E,$B$50,Opex_Budget!$F:$F,$D$50,Opex_Budget!$N:$N,"GBP")*$H$5)</f>
        <v/>
      </c>
      <c r="M50" s="32">
        <f>IF($B$50="","",SUMIFS(Opex_Budget!$T:$T,Opex_Budget!$A:$A,$C$3,Opex_Budget!$E:$E,$B$50,Opex_Budget!$F:$F,$D$50,Opex_Budget!$N:$N,"JPY")*$E$5+SUMIFS(Opex_Budget!$T:$T,Opex_Budget!$A:$A,$C$3,Opex_Budget!$E:$E,$B$50,Opex_Budget!$F:$F,$D$50,Opex_Budget!$N:$N,"USD")*$F$5+SUMIFS(Opex_Budget!$T:$T,Opex_Budget!$A:$A,$C$3,Opex_Budget!$E:$E,$B$50,Opex_Budget!$F:$F,$D$50,Opex_Budget!$N:$N,"EUR")*$G$5+SUMIFS(Opex_Budget!$T:$T,Opex_Budget!$A:$A,$C$3,Opex_Budget!$E:$E,$B$50,Opex_Budget!$F:$F,$D$50,Opex_Budget!$N:$N,"GBP")*$H$5)</f>
        <v/>
      </c>
      <c r="N50" s="32">
        <f>IF($B$50="","",SUMIFS(Opex_Budget!$U:$U,Opex_Budget!$A:$A,$C$3,Opex_Budget!$E:$E,$B$50,Opex_Budget!$F:$F,$D$50,Opex_Budget!$N:$N,"JPY")*$E$5+SUMIFS(Opex_Budget!$U:$U,Opex_Budget!$A:$A,$C$3,Opex_Budget!$E:$E,$B$50,Opex_Budget!$F:$F,$D$50,Opex_Budget!$N:$N,"USD")*$F$5+SUMIFS(Opex_Budget!$U:$U,Opex_Budget!$A:$A,$C$3,Opex_Budget!$E:$E,$B$50,Opex_Budget!$F:$F,$D$50,Opex_Budget!$N:$N,"EUR")*$G$5+SUMIFS(Opex_Budget!$U:$U,Opex_Budget!$A:$A,$C$3,Opex_Budget!$E:$E,$B$50,Opex_Budget!$F:$F,$D$50,Opex_Budget!$N:$N,"GBP")*$H$5)</f>
        <v/>
      </c>
      <c r="O50" s="32">
        <f>IF($B$50="","",SUMIFS(Opex_Budget!$V:$V,Opex_Budget!$A:$A,$C$3,Opex_Budget!$E:$E,$B$50,Opex_Budget!$F:$F,$D$50,Opex_Budget!$N:$N,"JPY")*$E$5+SUMIFS(Opex_Budget!$V:$V,Opex_Budget!$A:$A,$C$3,Opex_Budget!$E:$E,$B$50,Opex_Budget!$F:$F,$D$50,Opex_Budget!$N:$N,"USD")*$F$5+SUMIFS(Opex_Budget!$V:$V,Opex_Budget!$A:$A,$C$3,Opex_Budget!$E:$E,$B$50,Opex_Budget!$F:$F,$D$50,Opex_Budget!$N:$N,"EUR")*$G$5+SUMIFS(Opex_Budget!$V:$V,Opex_Budget!$A:$A,$C$3,Opex_Budget!$E:$E,$B$50,Opex_Budget!$F:$F,$D$50,Opex_Budget!$N:$N,"GBP")*$H$5)</f>
        <v/>
      </c>
      <c r="P50" s="32">
        <f>IF($B$50="","",SUMIFS(Opex_Budget!$W:$W,Opex_Budget!$A:$A,$C$3,Opex_Budget!$E:$E,$B$50,Opex_Budget!$F:$F,$D$50,Opex_Budget!$N:$N,"JPY")*$E$5+SUMIFS(Opex_Budget!$W:$W,Opex_Budget!$A:$A,$C$3,Opex_Budget!$E:$E,$B$50,Opex_Budget!$F:$F,$D$50,Opex_Budget!$N:$N,"USD")*$F$5+SUMIFS(Opex_Budget!$W:$W,Opex_Budget!$A:$A,$C$3,Opex_Budget!$E:$E,$B$50,Opex_Budget!$F:$F,$D$50,Opex_Budget!$N:$N,"EUR")*$G$5+SUMIFS(Opex_Budget!$W:$W,Opex_Budget!$A:$A,$C$3,Opex_Budget!$E:$E,$B$50,Opex_Budget!$F:$F,$D$50,Opex_Budget!$N:$N,"GBP")*$H$5)</f>
        <v/>
      </c>
      <c r="Q50" s="32">
        <f>IF($B$50="","",SUMIFS(Opex_Budget!$X:$X,Opex_Budget!$A:$A,$C$3,Opex_Budget!$E:$E,$B$50,Opex_Budget!$F:$F,$D$50,Opex_Budget!$N:$N,"JPY")*$E$5+SUMIFS(Opex_Budget!$X:$X,Opex_Budget!$A:$A,$C$3,Opex_Budget!$E:$E,$B$50,Opex_Budget!$F:$F,$D$50,Opex_Budget!$N:$N,"USD")*$F$5+SUMIFS(Opex_Budget!$X:$X,Opex_Budget!$A:$A,$C$3,Opex_Budget!$E:$E,$B$50,Opex_Budget!$F:$F,$D$50,Opex_Budget!$N:$N,"EUR")*$G$5+SUMIFS(Opex_Budget!$X:$X,Opex_Budget!$A:$A,$C$3,Opex_Budget!$E:$E,$B$50,Opex_Budget!$F:$F,$D$50,Opex_Budget!$N:$N,"GBP")*$H$5)</f>
        <v/>
      </c>
      <c r="R50" s="32">
        <f>IF($B$50="","",SUMIFS(Opex_Budget!$Y:$Y,Opex_Budget!$A:$A,$C$3,Opex_Budget!$E:$E,$B$50,Opex_Budget!$F:$F,$D$50,Opex_Budget!$N:$N,"JPY")*$E$5+SUMIFS(Opex_Budget!$Y:$Y,Opex_Budget!$A:$A,$C$3,Opex_Budget!$E:$E,$B$50,Opex_Budget!$F:$F,$D$50,Opex_Budget!$N:$N,"USD")*$F$5+SUMIFS(Opex_Budget!$Y:$Y,Opex_Budget!$A:$A,$C$3,Opex_Budget!$E:$E,$B$50,Opex_Budget!$F:$F,$D$50,Opex_Budget!$N:$N,"EUR")*$G$5+SUMIFS(Opex_Budget!$Y:$Y,Opex_Budget!$A:$A,$C$3,Opex_Budget!$E:$E,$B$50,Opex_Budget!$F:$F,$D$50,Opex_Budget!$N:$N,"GBP")*$H$5)</f>
        <v/>
      </c>
      <c r="S50" s="32">
        <f>IF($B$50="","",SUMIFS(Opex_Budget!$Z:$Z,Opex_Budget!$A:$A,$C$3,Opex_Budget!$E:$E,$B$50,Opex_Budget!$F:$F,$D$50,Opex_Budget!$N:$N,"JPY")*$E$5+SUMIFS(Opex_Budget!$Z:$Z,Opex_Budget!$A:$A,$C$3,Opex_Budget!$E:$E,$B$50,Opex_Budget!$F:$F,$D$50,Opex_Budget!$N:$N,"USD")*$F$5+SUMIFS(Opex_Budget!$Z:$Z,Opex_Budget!$A:$A,$C$3,Opex_Budget!$E:$E,$B$50,Opex_Budget!$F:$F,$D$50,Opex_Budget!$N:$N,"EUR")*$G$5+SUMIFS(Opex_Budget!$Z:$Z,Opex_Budget!$A:$A,$C$3,Opex_Budget!$E:$E,$B$50,Opex_Budget!$F:$F,$D$50,Opex_Budget!$N:$N,"GBP")*$H$5)</f>
        <v/>
      </c>
      <c r="T50" s="32">
        <f>IF($B$50="","",SUMIF($H$7:$S$7,"&lt;="&amp;$C$4,$H50:$S50))</f>
        <v/>
      </c>
      <c r="U50" s="32">
        <f>IF($B$50="","",SUMIF($H$7:$S$7,"&gt;"&amp;$C$4,$H50:$S50))</f>
        <v/>
      </c>
      <c r="V50" s="32">
        <f>IF($B$50="","",SUM($H50:$S50))</f>
        <v/>
      </c>
      <c r="X50" s="22">
        <f>IF($B50="","",IFERROR(INDEX(Cost_Centers!$E:$E,MATCH($B50,Cost_Centers!$A:$A,0)),"(unknown)"))</f>
        <v/>
      </c>
      <c r="Y50" s="22">
        <f>IF($B50="","",IFERROR(INDEX(Cost_Centers!$D:$D,MATCH($B50,Cost_Centers!$A:$A,0)),"(unknown)"))</f>
        <v/>
      </c>
      <c r="Z50" s="22">
        <f>IF(OR($B50="",$G50&lt;&gt;"Variance vs Budget"),"",ABS(N($V50))+ROW()/1000000000)</f>
        <v/>
      </c>
    </row>
    <row r="51">
      <c r="A51" s="13">
        <f>IF(A$50="","",A$50)</f>
        <v/>
      </c>
      <c r="B51" s="13">
        <f>IF(B$50="","",B$50)</f>
        <v/>
      </c>
      <c r="C51" s="13">
        <f>IF(C$50="","",C$50)</f>
        <v/>
      </c>
      <c r="D51" s="13">
        <f>IF(D$50="","",D$50)</f>
        <v/>
      </c>
      <c r="E51" s="13">
        <f>IF(E$50="","",E$50)</f>
        <v/>
      </c>
      <c r="F51" s="13">
        <f>IF(F$50="","",F$50)</f>
        <v/>
      </c>
      <c r="G51" s="7" t="inlineStr">
        <is>
          <t>Actual</t>
        </is>
      </c>
      <c r="H51" s="18">
        <f>IF(OR($B$50="",1&gt;$C$4),"",SUMIFS(Actuals!$G:$G,Actuals!$B:$B,$C$3,Actuals!$C:$C,1,Actuals!$D:$D,$B$50,Actuals!$A:$A,LEFT($D$50,FIND("|",$D$50&amp;"|")-1),Actuals!$E:$E,MID($D$50,FIND("|",$D$50&amp;"|")+1,50),Actuals!$F:$F,"JPY")*$E$5+SUMIFS(Actuals!$G:$G,Actuals!$B:$B,$C$3,Actuals!$C:$C,1,Actuals!$D:$D,$B$50,Actuals!$A:$A,LEFT($D$50,FIND("|",$D$50&amp;"|")-1),Actuals!$E:$E,MID($D$50,FIND("|",$D$50&amp;"|")+1,50),Actuals!$F:$F,"USD")*$F$5+SUMIFS(Actuals!$G:$G,Actuals!$B:$B,$C$3,Actuals!$C:$C,1,Actuals!$D:$D,$B$50,Actuals!$A:$A,LEFT($D$50,FIND("|",$D$50&amp;"|")-1),Actuals!$E:$E,MID($D$50,FIND("|",$D$50&amp;"|")+1,50),Actuals!$F:$F,"EUR")*$G$5+SUMIFS(Actuals!$G:$G,Actuals!$B:$B,$C$3,Actuals!$C:$C,1,Actuals!$D:$D,$B$50,Actuals!$A:$A,LEFT($D$50,FIND("|",$D$50&amp;"|")-1),Actuals!$E:$E,MID($D$50,FIND("|",$D$50&amp;"|")+1,50),Actuals!$F:$F,"GBP")*$H$5)</f>
        <v/>
      </c>
      <c r="I51" s="18">
        <f>IF(OR($B$50="",2&gt;$C$4),"",SUMIFS(Actuals!$G:$G,Actuals!$B:$B,$C$3,Actuals!$C:$C,2,Actuals!$D:$D,$B$50,Actuals!$A:$A,LEFT($D$50,FIND("|",$D$50&amp;"|")-1),Actuals!$E:$E,MID($D$50,FIND("|",$D$50&amp;"|")+1,50),Actuals!$F:$F,"JPY")*$E$5+SUMIFS(Actuals!$G:$G,Actuals!$B:$B,$C$3,Actuals!$C:$C,2,Actuals!$D:$D,$B$50,Actuals!$A:$A,LEFT($D$50,FIND("|",$D$50&amp;"|")-1),Actuals!$E:$E,MID($D$50,FIND("|",$D$50&amp;"|")+1,50),Actuals!$F:$F,"USD")*$F$5+SUMIFS(Actuals!$G:$G,Actuals!$B:$B,$C$3,Actuals!$C:$C,2,Actuals!$D:$D,$B$50,Actuals!$A:$A,LEFT($D$50,FIND("|",$D$50&amp;"|")-1),Actuals!$E:$E,MID($D$50,FIND("|",$D$50&amp;"|")+1,50),Actuals!$F:$F,"EUR")*$G$5+SUMIFS(Actuals!$G:$G,Actuals!$B:$B,$C$3,Actuals!$C:$C,2,Actuals!$D:$D,$B$50,Actuals!$A:$A,LEFT($D$50,FIND("|",$D$50&amp;"|")-1),Actuals!$E:$E,MID($D$50,FIND("|",$D$50&amp;"|")+1,50),Actuals!$F:$F,"GBP")*$H$5)</f>
        <v/>
      </c>
      <c r="J51" s="18">
        <f>IF(OR($B$50="",3&gt;$C$4),"",SUMIFS(Actuals!$G:$G,Actuals!$B:$B,$C$3,Actuals!$C:$C,3,Actuals!$D:$D,$B$50,Actuals!$A:$A,LEFT($D$50,FIND("|",$D$50&amp;"|")-1),Actuals!$E:$E,MID($D$50,FIND("|",$D$50&amp;"|")+1,50),Actuals!$F:$F,"JPY")*$E$5+SUMIFS(Actuals!$G:$G,Actuals!$B:$B,$C$3,Actuals!$C:$C,3,Actuals!$D:$D,$B$50,Actuals!$A:$A,LEFT($D$50,FIND("|",$D$50&amp;"|")-1),Actuals!$E:$E,MID($D$50,FIND("|",$D$50&amp;"|")+1,50),Actuals!$F:$F,"USD")*$F$5+SUMIFS(Actuals!$G:$G,Actuals!$B:$B,$C$3,Actuals!$C:$C,3,Actuals!$D:$D,$B$50,Actuals!$A:$A,LEFT($D$50,FIND("|",$D$50&amp;"|")-1),Actuals!$E:$E,MID($D$50,FIND("|",$D$50&amp;"|")+1,50),Actuals!$F:$F,"EUR")*$G$5+SUMIFS(Actuals!$G:$G,Actuals!$B:$B,$C$3,Actuals!$C:$C,3,Actuals!$D:$D,$B$50,Actuals!$A:$A,LEFT($D$50,FIND("|",$D$50&amp;"|")-1),Actuals!$E:$E,MID($D$50,FIND("|",$D$50&amp;"|")+1,50),Actuals!$F:$F,"GBP")*$H$5)</f>
        <v/>
      </c>
      <c r="K51" s="18">
        <f>IF(OR($B$50="",4&gt;$C$4),"",SUMIFS(Actuals!$G:$G,Actuals!$B:$B,$C$3,Actuals!$C:$C,4,Actuals!$D:$D,$B$50,Actuals!$A:$A,LEFT($D$50,FIND("|",$D$50&amp;"|")-1),Actuals!$E:$E,MID($D$50,FIND("|",$D$50&amp;"|")+1,50),Actuals!$F:$F,"JPY")*$E$5+SUMIFS(Actuals!$G:$G,Actuals!$B:$B,$C$3,Actuals!$C:$C,4,Actuals!$D:$D,$B$50,Actuals!$A:$A,LEFT($D$50,FIND("|",$D$50&amp;"|")-1),Actuals!$E:$E,MID($D$50,FIND("|",$D$50&amp;"|")+1,50),Actuals!$F:$F,"USD")*$F$5+SUMIFS(Actuals!$G:$G,Actuals!$B:$B,$C$3,Actuals!$C:$C,4,Actuals!$D:$D,$B$50,Actuals!$A:$A,LEFT($D$50,FIND("|",$D$50&amp;"|")-1),Actuals!$E:$E,MID($D$50,FIND("|",$D$50&amp;"|")+1,50),Actuals!$F:$F,"EUR")*$G$5+SUMIFS(Actuals!$G:$G,Actuals!$B:$B,$C$3,Actuals!$C:$C,4,Actuals!$D:$D,$B$50,Actuals!$A:$A,LEFT($D$50,FIND("|",$D$50&amp;"|")-1),Actuals!$E:$E,MID($D$50,FIND("|",$D$50&amp;"|")+1,50),Actuals!$F:$F,"GBP")*$H$5)</f>
        <v/>
      </c>
      <c r="L51" s="18">
        <f>IF(OR($B$50="",5&gt;$C$4),"",SUMIFS(Actuals!$G:$G,Actuals!$B:$B,$C$3,Actuals!$C:$C,5,Actuals!$D:$D,$B$50,Actuals!$A:$A,LEFT($D$50,FIND("|",$D$50&amp;"|")-1),Actuals!$E:$E,MID($D$50,FIND("|",$D$50&amp;"|")+1,50),Actuals!$F:$F,"JPY")*$E$5+SUMIFS(Actuals!$G:$G,Actuals!$B:$B,$C$3,Actuals!$C:$C,5,Actuals!$D:$D,$B$50,Actuals!$A:$A,LEFT($D$50,FIND("|",$D$50&amp;"|")-1),Actuals!$E:$E,MID($D$50,FIND("|",$D$50&amp;"|")+1,50),Actuals!$F:$F,"USD")*$F$5+SUMIFS(Actuals!$G:$G,Actuals!$B:$B,$C$3,Actuals!$C:$C,5,Actuals!$D:$D,$B$50,Actuals!$A:$A,LEFT($D$50,FIND("|",$D$50&amp;"|")-1),Actuals!$E:$E,MID($D$50,FIND("|",$D$50&amp;"|")+1,50),Actuals!$F:$F,"EUR")*$G$5+SUMIFS(Actuals!$G:$G,Actuals!$B:$B,$C$3,Actuals!$C:$C,5,Actuals!$D:$D,$B$50,Actuals!$A:$A,LEFT($D$50,FIND("|",$D$50&amp;"|")-1),Actuals!$E:$E,MID($D$50,FIND("|",$D$50&amp;"|")+1,50),Actuals!$F:$F,"GBP")*$H$5)</f>
        <v/>
      </c>
      <c r="M51" s="18">
        <f>IF(OR($B$50="",6&gt;$C$4),"",SUMIFS(Actuals!$G:$G,Actuals!$B:$B,$C$3,Actuals!$C:$C,6,Actuals!$D:$D,$B$50,Actuals!$A:$A,LEFT($D$50,FIND("|",$D$50&amp;"|")-1),Actuals!$E:$E,MID($D$50,FIND("|",$D$50&amp;"|")+1,50),Actuals!$F:$F,"JPY")*$E$5+SUMIFS(Actuals!$G:$G,Actuals!$B:$B,$C$3,Actuals!$C:$C,6,Actuals!$D:$D,$B$50,Actuals!$A:$A,LEFT($D$50,FIND("|",$D$50&amp;"|")-1),Actuals!$E:$E,MID($D$50,FIND("|",$D$50&amp;"|")+1,50),Actuals!$F:$F,"USD")*$F$5+SUMIFS(Actuals!$G:$G,Actuals!$B:$B,$C$3,Actuals!$C:$C,6,Actuals!$D:$D,$B$50,Actuals!$A:$A,LEFT($D$50,FIND("|",$D$50&amp;"|")-1),Actuals!$E:$E,MID($D$50,FIND("|",$D$50&amp;"|")+1,50),Actuals!$F:$F,"EUR")*$G$5+SUMIFS(Actuals!$G:$G,Actuals!$B:$B,$C$3,Actuals!$C:$C,6,Actuals!$D:$D,$B$50,Actuals!$A:$A,LEFT($D$50,FIND("|",$D$50&amp;"|")-1),Actuals!$E:$E,MID($D$50,FIND("|",$D$50&amp;"|")+1,50),Actuals!$F:$F,"GBP")*$H$5)</f>
        <v/>
      </c>
      <c r="N51" s="18">
        <f>IF(OR($B$50="",7&gt;$C$4),"",SUMIFS(Actuals!$G:$G,Actuals!$B:$B,$C$3,Actuals!$C:$C,7,Actuals!$D:$D,$B$50,Actuals!$A:$A,LEFT($D$50,FIND("|",$D$50&amp;"|")-1),Actuals!$E:$E,MID($D$50,FIND("|",$D$50&amp;"|")+1,50),Actuals!$F:$F,"JPY")*$E$5+SUMIFS(Actuals!$G:$G,Actuals!$B:$B,$C$3,Actuals!$C:$C,7,Actuals!$D:$D,$B$50,Actuals!$A:$A,LEFT($D$50,FIND("|",$D$50&amp;"|")-1),Actuals!$E:$E,MID($D$50,FIND("|",$D$50&amp;"|")+1,50),Actuals!$F:$F,"USD")*$F$5+SUMIFS(Actuals!$G:$G,Actuals!$B:$B,$C$3,Actuals!$C:$C,7,Actuals!$D:$D,$B$50,Actuals!$A:$A,LEFT($D$50,FIND("|",$D$50&amp;"|")-1),Actuals!$E:$E,MID($D$50,FIND("|",$D$50&amp;"|")+1,50),Actuals!$F:$F,"EUR")*$G$5+SUMIFS(Actuals!$G:$G,Actuals!$B:$B,$C$3,Actuals!$C:$C,7,Actuals!$D:$D,$B$50,Actuals!$A:$A,LEFT($D$50,FIND("|",$D$50&amp;"|")-1),Actuals!$E:$E,MID($D$50,FIND("|",$D$50&amp;"|")+1,50),Actuals!$F:$F,"GBP")*$H$5)</f>
        <v/>
      </c>
      <c r="O51" s="18">
        <f>IF(OR($B$50="",8&gt;$C$4),"",SUMIFS(Actuals!$G:$G,Actuals!$B:$B,$C$3,Actuals!$C:$C,8,Actuals!$D:$D,$B$50,Actuals!$A:$A,LEFT($D$50,FIND("|",$D$50&amp;"|")-1),Actuals!$E:$E,MID($D$50,FIND("|",$D$50&amp;"|")+1,50),Actuals!$F:$F,"JPY")*$E$5+SUMIFS(Actuals!$G:$G,Actuals!$B:$B,$C$3,Actuals!$C:$C,8,Actuals!$D:$D,$B$50,Actuals!$A:$A,LEFT($D$50,FIND("|",$D$50&amp;"|")-1),Actuals!$E:$E,MID($D$50,FIND("|",$D$50&amp;"|")+1,50),Actuals!$F:$F,"USD")*$F$5+SUMIFS(Actuals!$G:$G,Actuals!$B:$B,$C$3,Actuals!$C:$C,8,Actuals!$D:$D,$B$50,Actuals!$A:$A,LEFT($D$50,FIND("|",$D$50&amp;"|")-1),Actuals!$E:$E,MID($D$50,FIND("|",$D$50&amp;"|")+1,50),Actuals!$F:$F,"EUR")*$G$5+SUMIFS(Actuals!$G:$G,Actuals!$B:$B,$C$3,Actuals!$C:$C,8,Actuals!$D:$D,$B$50,Actuals!$A:$A,LEFT($D$50,FIND("|",$D$50&amp;"|")-1),Actuals!$E:$E,MID($D$50,FIND("|",$D$50&amp;"|")+1,50),Actuals!$F:$F,"GBP")*$H$5)</f>
        <v/>
      </c>
      <c r="P51" s="18">
        <f>IF(OR($B$50="",9&gt;$C$4),"",SUMIFS(Actuals!$G:$G,Actuals!$B:$B,$C$3,Actuals!$C:$C,9,Actuals!$D:$D,$B$50,Actuals!$A:$A,LEFT($D$50,FIND("|",$D$50&amp;"|")-1),Actuals!$E:$E,MID($D$50,FIND("|",$D$50&amp;"|")+1,50),Actuals!$F:$F,"JPY")*$E$5+SUMIFS(Actuals!$G:$G,Actuals!$B:$B,$C$3,Actuals!$C:$C,9,Actuals!$D:$D,$B$50,Actuals!$A:$A,LEFT($D$50,FIND("|",$D$50&amp;"|")-1),Actuals!$E:$E,MID($D$50,FIND("|",$D$50&amp;"|")+1,50),Actuals!$F:$F,"USD")*$F$5+SUMIFS(Actuals!$G:$G,Actuals!$B:$B,$C$3,Actuals!$C:$C,9,Actuals!$D:$D,$B$50,Actuals!$A:$A,LEFT($D$50,FIND("|",$D$50&amp;"|")-1),Actuals!$E:$E,MID($D$50,FIND("|",$D$50&amp;"|")+1,50),Actuals!$F:$F,"EUR")*$G$5+SUMIFS(Actuals!$G:$G,Actuals!$B:$B,$C$3,Actuals!$C:$C,9,Actuals!$D:$D,$B$50,Actuals!$A:$A,LEFT($D$50,FIND("|",$D$50&amp;"|")-1),Actuals!$E:$E,MID($D$50,FIND("|",$D$50&amp;"|")+1,50),Actuals!$F:$F,"GBP")*$H$5)</f>
        <v/>
      </c>
      <c r="Q51" s="18">
        <f>IF(OR($B$50="",10&gt;$C$4),"",SUMIFS(Actuals!$G:$G,Actuals!$B:$B,$C$3,Actuals!$C:$C,10,Actuals!$D:$D,$B$50,Actuals!$A:$A,LEFT($D$50,FIND("|",$D$50&amp;"|")-1),Actuals!$E:$E,MID($D$50,FIND("|",$D$50&amp;"|")+1,50),Actuals!$F:$F,"JPY")*$E$5+SUMIFS(Actuals!$G:$G,Actuals!$B:$B,$C$3,Actuals!$C:$C,10,Actuals!$D:$D,$B$50,Actuals!$A:$A,LEFT($D$50,FIND("|",$D$50&amp;"|")-1),Actuals!$E:$E,MID($D$50,FIND("|",$D$50&amp;"|")+1,50),Actuals!$F:$F,"USD")*$F$5+SUMIFS(Actuals!$G:$G,Actuals!$B:$B,$C$3,Actuals!$C:$C,10,Actuals!$D:$D,$B$50,Actuals!$A:$A,LEFT($D$50,FIND("|",$D$50&amp;"|")-1),Actuals!$E:$E,MID($D$50,FIND("|",$D$50&amp;"|")+1,50),Actuals!$F:$F,"EUR")*$G$5+SUMIFS(Actuals!$G:$G,Actuals!$B:$B,$C$3,Actuals!$C:$C,10,Actuals!$D:$D,$B$50,Actuals!$A:$A,LEFT($D$50,FIND("|",$D$50&amp;"|")-1),Actuals!$E:$E,MID($D$50,FIND("|",$D$50&amp;"|")+1,50),Actuals!$F:$F,"GBP")*$H$5)</f>
        <v/>
      </c>
      <c r="R51" s="18">
        <f>IF(OR($B$50="",11&gt;$C$4),"",SUMIFS(Actuals!$G:$G,Actuals!$B:$B,$C$3,Actuals!$C:$C,11,Actuals!$D:$D,$B$50,Actuals!$A:$A,LEFT($D$50,FIND("|",$D$50&amp;"|")-1),Actuals!$E:$E,MID($D$50,FIND("|",$D$50&amp;"|")+1,50),Actuals!$F:$F,"JPY")*$E$5+SUMIFS(Actuals!$G:$G,Actuals!$B:$B,$C$3,Actuals!$C:$C,11,Actuals!$D:$D,$B$50,Actuals!$A:$A,LEFT($D$50,FIND("|",$D$50&amp;"|")-1),Actuals!$E:$E,MID($D$50,FIND("|",$D$50&amp;"|")+1,50),Actuals!$F:$F,"USD")*$F$5+SUMIFS(Actuals!$G:$G,Actuals!$B:$B,$C$3,Actuals!$C:$C,11,Actuals!$D:$D,$B$50,Actuals!$A:$A,LEFT($D$50,FIND("|",$D$50&amp;"|")-1),Actuals!$E:$E,MID($D$50,FIND("|",$D$50&amp;"|")+1,50),Actuals!$F:$F,"EUR")*$G$5+SUMIFS(Actuals!$G:$G,Actuals!$B:$B,$C$3,Actuals!$C:$C,11,Actuals!$D:$D,$B$50,Actuals!$A:$A,LEFT($D$50,FIND("|",$D$50&amp;"|")-1),Actuals!$E:$E,MID($D$50,FIND("|",$D$50&amp;"|")+1,50),Actuals!$F:$F,"GBP")*$H$5)</f>
        <v/>
      </c>
      <c r="S51" s="18">
        <f>IF(OR($B$50="",12&gt;$C$4),"",SUMIFS(Actuals!$G:$G,Actuals!$B:$B,$C$3,Actuals!$C:$C,12,Actuals!$D:$D,$B$50,Actuals!$A:$A,LEFT($D$50,FIND("|",$D$50&amp;"|")-1),Actuals!$E:$E,MID($D$50,FIND("|",$D$50&amp;"|")+1,50),Actuals!$F:$F,"JPY")*$E$5+SUMIFS(Actuals!$G:$G,Actuals!$B:$B,$C$3,Actuals!$C:$C,12,Actuals!$D:$D,$B$50,Actuals!$A:$A,LEFT($D$50,FIND("|",$D$50&amp;"|")-1),Actuals!$E:$E,MID($D$50,FIND("|",$D$50&amp;"|")+1,50),Actuals!$F:$F,"USD")*$F$5+SUMIFS(Actuals!$G:$G,Actuals!$B:$B,$C$3,Actuals!$C:$C,12,Actuals!$D:$D,$B$50,Actuals!$A:$A,LEFT($D$50,FIND("|",$D$50&amp;"|")-1),Actuals!$E:$E,MID($D$50,FIND("|",$D$50&amp;"|")+1,50),Actuals!$F:$F,"EUR")*$G$5+SUMIFS(Actuals!$G:$G,Actuals!$B:$B,$C$3,Actuals!$C:$C,12,Actuals!$D:$D,$B$50,Actuals!$A:$A,LEFT($D$50,FIND("|",$D$50&amp;"|")-1),Actuals!$E:$E,MID($D$50,FIND("|",$D$50&amp;"|")+1,50),Actuals!$F:$F,"GBP")*$H$5)</f>
        <v/>
      </c>
      <c r="T51" s="18">
        <f>IF($B$50="","",SUMIF($H$7:$S$7,"&lt;="&amp;$C$4,$H51:$S51))</f>
        <v/>
      </c>
      <c r="U51" s="18" t="n"/>
      <c r="V51" s="18" t="n"/>
      <c r="X51" s="22">
        <f>IF($B51="","",IFERROR(INDEX(Cost_Centers!$E:$E,MATCH($B51,Cost_Centers!$A:$A,0)),"(unknown)"))</f>
        <v/>
      </c>
      <c r="Y51" s="22">
        <f>IF($B51="","",IFERROR(INDEX(Cost_Centers!$D:$D,MATCH($B51,Cost_Centers!$A:$A,0)),"(unknown)"))</f>
        <v/>
      </c>
      <c r="Z51" s="22">
        <f>IF(OR($B51="",$G51&lt;&gt;"Variance vs Budget"),"",ABS(N($V51))+ROW()/1000000000)</f>
        <v/>
      </c>
    </row>
    <row r="52">
      <c r="A52" s="13">
        <f>IF(A$50="","",A$50)</f>
        <v/>
      </c>
      <c r="B52" s="13">
        <f>IF(B$50="","",B$50)</f>
        <v/>
      </c>
      <c r="C52" s="13">
        <f>IF(C$50="","",C$50)</f>
        <v/>
      </c>
      <c r="D52" s="13">
        <f>IF(D$50="","",D$50)</f>
        <v/>
      </c>
      <c r="E52" s="13">
        <f>IF(E$50="","",E$50)</f>
        <v/>
      </c>
      <c r="F52" s="13">
        <f>IF(F$50="","",F$50)</f>
        <v/>
      </c>
      <c r="G52" s="6" t="inlineStr">
        <is>
          <t>Variance vs Budget</t>
        </is>
      </c>
      <c r="H52" s="33">
        <f>IF(OR($B$50="",1&gt;$C$4),"",N(H51)-H50)</f>
        <v/>
      </c>
      <c r="I52" s="33">
        <f>IF(OR($B$50="",2&gt;$C$4),"",N(I51)-I50)</f>
        <v/>
      </c>
      <c r="J52" s="33">
        <f>IF(OR($B$50="",3&gt;$C$4),"",N(J51)-J50)</f>
        <v/>
      </c>
      <c r="K52" s="33">
        <f>IF(OR($B$50="",4&gt;$C$4),"",N(K51)-K50)</f>
        <v/>
      </c>
      <c r="L52" s="33">
        <f>IF(OR($B$50="",5&gt;$C$4),"",N(L51)-L50)</f>
        <v/>
      </c>
      <c r="M52" s="33">
        <f>IF(OR($B$50="",6&gt;$C$4),"",N(M51)-M50)</f>
        <v/>
      </c>
      <c r="N52" s="33">
        <f>IF(OR($B$50="",7&gt;$C$4),"",N(N51)-N50)</f>
        <v/>
      </c>
      <c r="O52" s="33">
        <f>IF(OR($B$50="",8&gt;$C$4),"",N(O51)-O50)</f>
        <v/>
      </c>
      <c r="P52" s="33">
        <f>IF(OR($B$50="",9&gt;$C$4),"",N(P51)-P50)</f>
        <v/>
      </c>
      <c r="Q52" s="33">
        <f>IF(OR($B$50="",10&gt;$C$4),"",N(Q51)-Q50)</f>
        <v/>
      </c>
      <c r="R52" s="33">
        <f>IF(OR($B$50="",11&gt;$C$4),"",N(R51)-R50)</f>
        <v/>
      </c>
      <c r="S52" s="33">
        <f>IF(OR($B$50="",12&gt;$C$4),"",N(S51)-S50)</f>
        <v/>
      </c>
      <c r="T52" s="33">
        <f>IF($B$50="","",T51-T50)</f>
        <v/>
      </c>
      <c r="U52" s="33">
        <f>IF($B$50="","",U54-U50)</f>
        <v/>
      </c>
      <c r="V52" s="33">
        <f>IF($B$50="","",V54-V50)</f>
        <v/>
      </c>
      <c r="X52" s="22">
        <f>IF($B52="","",IFERROR(INDEX(Cost_Centers!$E:$E,MATCH($B52,Cost_Centers!$A:$A,0)),"(unknown)"))</f>
        <v/>
      </c>
      <c r="Y52" s="22">
        <f>IF($B52="","",IFERROR(INDEX(Cost_Centers!$D:$D,MATCH($B52,Cost_Centers!$A:$A,0)),"(unknown)"))</f>
        <v/>
      </c>
      <c r="Z52" s="22">
        <f>IF(OR($B52="",$G52&lt;&gt;"Variance vs Budget"),"",ABS(N($V52))+ROW()/1000000000)</f>
        <v/>
      </c>
    </row>
    <row r="53">
      <c r="A53" s="13">
        <f>IF(A$50="","",A$50)</f>
        <v/>
      </c>
      <c r="B53" s="13">
        <f>IF(B$50="","",B$50)</f>
        <v/>
      </c>
      <c r="C53" s="13">
        <f>IF(C$50="","",C$50)</f>
        <v/>
      </c>
      <c r="D53" s="13">
        <f>IF(D$50="","",D$50)</f>
        <v/>
      </c>
      <c r="E53" s="13">
        <f>IF(E$50="","",E$50)</f>
        <v/>
      </c>
      <c r="F53" s="13">
        <f>IF(F$50="","",F$50)</f>
        <v/>
      </c>
      <c r="G53" s="7" t="inlineStr">
        <is>
          <t>Forecast (input)</t>
        </is>
      </c>
      <c r="H53" s="34" t="n"/>
      <c r="I53" s="34" t="n"/>
      <c r="J53" s="34" t="n"/>
      <c r="K53" s="34" t="n"/>
      <c r="L53" s="34" t="n"/>
      <c r="M53" s="34" t="n"/>
      <c r="N53" s="34" t="n"/>
      <c r="O53" s="34" t="n"/>
      <c r="P53" s="34" t="n"/>
      <c r="Q53" s="34" t="n"/>
      <c r="R53" s="34" t="n"/>
      <c r="S53" s="34" t="n"/>
      <c r="T53" s="18" t="n"/>
      <c r="U53" s="18" t="n"/>
      <c r="V53" s="18" t="n"/>
      <c r="X53" s="22">
        <f>IF($B53="","",IFERROR(INDEX(Cost_Centers!$E:$E,MATCH($B53,Cost_Centers!$A:$A,0)),"(unknown)"))</f>
        <v/>
      </c>
      <c r="Y53" s="22">
        <f>IF($B53="","",IFERROR(INDEX(Cost_Centers!$D:$D,MATCH($B53,Cost_Centers!$A:$A,0)),"(unknown)"))</f>
        <v/>
      </c>
      <c r="Z53" s="22">
        <f>IF(OR($B53="",$G53&lt;&gt;"Variance vs Budget"),"",ABS(N($V53))+ROW()/1000000000)</f>
        <v/>
      </c>
    </row>
    <row r="54">
      <c r="A54" s="13">
        <f>IF(A$50="","",A$50)</f>
        <v/>
      </c>
      <c r="B54" s="13">
        <f>IF(B$50="","",B$50)</f>
        <v/>
      </c>
      <c r="C54" s="13">
        <f>IF(C$50="","",C$50)</f>
        <v/>
      </c>
      <c r="D54" s="13">
        <f>IF(D$50="","",D$50)</f>
        <v/>
      </c>
      <c r="E54" s="13">
        <f>IF(E$50="","",E$50)</f>
        <v/>
      </c>
      <c r="F54" s="13">
        <f>IF(F$50="","",F$50)</f>
        <v/>
      </c>
      <c r="G54" s="35" t="inlineStr">
        <is>
          <t>Actual + Forecast</t>
        </is>
      </c>
      <c r="H54" s="18">
        <f>IF($B$50="","",IF(1&lt;=$C$4,N(H51),IF(H53="",H50,H53)))</f>
        <v/>
      </c>
      <c r="I54" s="18">
        <f>IF($B$50="","",IF(2&lt;=$C$4,N(I51),IF(I53="",I50,I53)))</f>
        <v/>
      </c>
      <c r="J54" s="18">
        <f>IF($B$50="","",IF(3&lt;=$C$4,N(J51),IF(J53="",J50,J53)))</f>
        <v/>
      </c>
      <c r="K54" s="18">
        <f>IF($B$50="","",IF(4&lt;=$C$4,N(K51),IF(K53="",K50,K53)))</f>
        <v/>
      </c>
      <c r="L54" s="18">
        <f>IF($B$50="","",IF(5&lt;=$C$4,N(L51),IF(L53="",L50,L53)))</f>
        <v/>
      </c>
      <c r="M54" s="18">
        <f>IF($B$50="","",IF(6&lt;=$C$4,N(M51),IF(M53="",M50,M53)))</f>
        <v/>
      </c>
      <c r="N54" s="18">
        <f>IF($B$50="","",IF(7&lt;=$C$4,N(N51),IF(N53="",N50,N53)))</f>
        <v/>
      </c>
      <c r="O54" s="18">
        <f>IF($B$50="","",IF(8&lt;=$C$4,N(O51),IF(O53="",O50,O53)))</f>
        <v/>
      </c>
      <c r="P54" s="18">
        <f>IF($B$50="","",IF(9&lt;=$C$4,N(P51),IF(P53="",P50,P53)))</f>
        <v/>
      </c>
      <c r="Q54" s="18">
        <f>IF($B$50="","",IF(10&lt;=$C$4,N(Q51),IF(Q53="",Q50,Q53)))</f>
        <v/>
      </c>
      <c r="R54" s="18">
        <f>IF($B$50="","",IF(11&lt;=$C$4,N(R51),IF(R53="",R50,R53)))</f>
        <v/>
      </c>
      <c r="S54" s="18">
        <f>IF($B$50="","",IF(12&lt;=$C$4,N(S51),IF(S53="",S50,S53)))</f>
        <v/>
      </c>
      <c r="T54" s="18">
        <f>IF($B$50="","",SUMIF($H$7:$S$7,"&lt;="&amp;$C$4,$H54:$S54))</f>
        <v/>
      </c>
      <c r="U54" s="18">
        <f>IF($B$50="","",SUMIF($H$7:$S$7,"&gt;"&amp;$C$4,$H54:$S54))</f>
        <v/>
      </c>
      <c r="V54" s="18">
        <f>IF($B$50="","",SUM($H54:$S54))</f>
        <v/>
      </c>
      <c r="X54" s="22">
        <f>IF($B54="","",IFERROR(INDEX(Cost_Centers!$E:$E,MATCH($B54,Cost_Centers!$A:$A,0)),"(unknown)"))</f>
        <v/>
      </c>
      <c r="Y54" s="22">
        <f>IF($B54="","",IFERROR(INDEX(Cost_Centers!$D:$D,MATCH($B54,Cost_Centers!$A:$A,0)),"(unknown)"))</f>
        <v/>
      </c>
      <c r="Z54" s="22">
        <f>IF(OR($B54="",$G54&lt;&gt;"Variance vs Budget"),"",ABS(N($V54))+ROW()/1000000000)</f>
        <v/>
      </c>
    </row>
    <row r="55">
      <c r="A55" s="13">
        <f>IF(A$50="","",A$50)</f>
        <v/>
      </c>
      <c r="B55" s="13">
        <f>IF(B$50="","",B$50)</f>
        <v/>
      </c>
      <c r="C55" s="13">
        <f>IF(C$50="","",C$50)</f>
        <v/>
      </c>
      <c r="D55" s="13">
        <f>IF(D$50="","",D$50)</f>
        <v/>
      </c>
      <c r="E55" s="13">
        <f>IF(E$50="","",E$50)</f>
        <v/>
      </c>
      <c r="F55" s="13">
        <f>IF(F$50="","",F$50)</f>
        <v/>
      </c>
      <c r="G55" s="36" t="inlineStr">
        <is>
          <t>Prior Month Forecast</t>
        </is>
      </c>
      <c r="H55" s="37">
        <f>IF($B$50="","",IF(COUNTIFS(Prior_Forecast!$A:$A,$B$50,Prior_Forecast!$B:$B,$D$50)&gt;0,SUMIFS(Prior_Forecast!$C:$C,Prior_Forecast!$A:$A,$B$50,Prior_Forecast!$B:$B,$D$50),""))</f>
        <v/>
      </c>
      <c r="I55" s="37">
        <f>IF($B$50="","",IF(COUNTIFS(Prior_Forecast!$A:$A,$B$50,Prior_Forecast!$B:$B,$D$50)&gt;0,SUMIFS(Prior_Forecast!$D:$D,Prior_Forecast!$A:$A,$B$50,Prior_Forecast!$B:$B,$D$50),""))</f>
        <v/>
      </c>
      <c r="J55" s="37">
        <f>IF($B$50="","",IF(COUNTIFS(Prior_Forecast!$A:$A,$B$50,Prior_Forecast!$B:$B,$D$50)&gt;0,SUMIFS(Prior_Forecast!$E:$E,Prior_Forecast!$A:$A,$B$50,Prior_Forecast!$B:$B,$D$50),""))</f>
        <v/>
      </c>
      <c r="K55" s="37">
        <f>IF($B$50="","",IF(COUNTIFS(Prior_Forecast!$A:$A,$B$50,Prior_Forecast!$B:$B,$D$50)&gt;0,SUMIFS(Prior_Forecast!$F:$F,Prior_Forecast!$A:$A,$B$50,Prior_Forecast!$B:$B,$D$50),""))</f>
        <v/>
      </c>
      <c r="L55" s="37">
        <f>IF($B$50="","",IF(COUNTIFS(Prior_Forecast!$A:$A,$B$50,Prior_Forecast!$B:$B,$D$50)&gt;0,SUMIFS(Prior_Forecast!$G:$G,Prior_Forecast!$A:$A,$B$50,Prior_Forecast!$B:$B,$D$50),""))</f>
        <v/>
      </c>
      <c r="M55" s="37">
        <f>IF($B$50="","",IF(COUNTIFS(Prior_Forecast!$A:$A,$B$50,Prior_Forecast!$B:$B,$D$50)&gt;0,SUMIFS(Prior_Forecast!$H:$H,Prior_Forecast!$A:$A,$B$50,Prior_Forecast!$B:$B,$D$50),""))</f>
        <v/>
      </c>
      <c r="N55" s="37">
        <f>IF($B$50="","",IF(COUNTIFS(Prior_Forecast!$A:$A,$B$50,Prior_Forecast!$B:$B,$D$50)&gt;0,SUMIFS(Prior_Forecast!$I:$I,Prior_Forecast!$A:$A,$B$50,Prior_Forecast!$B:$B,$D$50),""))</f>
        <v/>
      </c>
      <c r="O55" s="37">
        <f>IF($B$50="","",IF(COUNTIFS(Prior_Forecast!$A:$A,$B$50,Prior_Forecast!$B:$B,$D$50)&gt;0,SUMIFS(Prior_Forecast!$J:$J,Prior_Forecast!$A:$A,$B$50,Prior_Forecast!$B:$B,$D$50),""))</f>
        <v/>
      </c>
      <c r="P55" s="37">
        <f>IF($B$50="","",IF(COUNTIFS(Prior_Forecast!$A:$A,$B$50,Prior_Forecast!$B:$B,$D$50)&gt;0,SUMIFS(Prior_Forecast!$K:$K,Prior_Forecast!$A:$A,$B$50,Prior_Forecast!$B:$B,$D$50),""))</f>
        <v/>
      </c>
      <c r="Q55" s="37">
        <f>IF($B$50="","",IF(COUNTIFS(Prior_Forecast!$A:$A,$B$50,Prior_Forecast!$B:$B,$D$50)&gt;0,SUMIFS(Prior_Forecast!$L:$L,Prior_Forecast!$A:$A,$B$50,Prior_Forecast!$B:$B,$D$50),""))</f>
        <v/>
      </c>
      <c r="R55" s="37">
        <f>IF($B$50="","",IF(COUNTIFS(Prior_Forecast!$A:$A,$B$50,Prior_Forecast!$B:$B,$D$50)&gt;0,SUMIFS(Prior_Forecast!$M:$M,Prior_Forecast!$A:$A,$B$50,Prior_Forecast!$B:$B,$D$50),""))</f>
        <v/>
      </c>
      <c r="S55" s="37">
        <f>IF($B$50="","",IF(COUNTIFS(Prior_Forecast!$A:$A,$B$50,Prior_Forecast!$B:$B,$D$50)&gt;0,SUMIFS(Prior_Forecast!$N:$N,Prior_Forecast!$A:$A,$B$50,Prior_Forecast!$B:$B,$D$50),""))</f>
        <v/>
      </c>
      <c r="T55" s="37">
        <f>IF($B$50="","",IF(COUNTIFS(Prior_Forecast!$A:$A,$B$50,Prior_Forecast!$B:$B,$D$50)&gt;0,SUMIFS(Prior_Forecast!$O:$O,Prior_Forecast!$A:$A,$B$50,Prior_Forecast!$B:$B,$D$50),""))</f>
        <v/>
      </c>
      <c r="U55" s="37">
        <f>IF($B$50="","",IF(COUNTIFS(Prior_Forecast!$A:$A,$B$50,Prior_Forecast!$B:$B,$D$50)&gt;0,SUMIFS(Prior_Forecast!$P:$P,Prior_Forecast!$A:$A,$B$50,Prior_Forecast!$B:$B,$D$50),""))</f>
        <v/>
      </c>
      <c r="V55" s="37">
        <f>IF($B$50="","",IF(COUNTIFS(Prior_Forecast!$A:$A,$B$50,Prior_Forecast!$B:$B,$D$50)&gt;0,SUMIFS(Prior_Forecast!$Q:$Q,Prior_Forecast!$A:$A,$B$50,Prior_Forecast!$B:$B,$D$50),""))</f>
        <v/>
      </c>
      <c r="X55" s="22">
        <f>IF($B55="","",IFERROR(INDEX(Cost_Centers!$E:$E,MATCH($B55,Cost_Centers!$A:$A,0)),"(unknown)"))</f>
        <v/>
      </c>
      <c r="Y55" s="22">
        <f>IF($B55="","",IFERROR(INDEX(Cost_Centers!$D:$D,MATCH($B55,Cost_Centers!$A:$A,0)),"(unknown)"))</f>
        <v/>
      </c>
      <c r="Z55" s="22">
        <f>IF(OR($B55="",$G55&lt;&gt;"Variance vs Budget"),"",ABS(N($V55))+ROW()/1000000000)</f>
        <v/>
      </c>
    </row>
    <row r="56">
      <c r="A56" s="13">
        <f>IF(A$50="","",A$50)</f>
        <v/>
      </c>
      <c r="B56" s="13">
        <f>IF(B$50="","",B$50)</f>
        <v/>
      </c>
      <c r="C56" s="13">
        <f>IF(C$50="","",C$50)</f>
        <v/>
      </c>
      <c r="D56" s="13">
        <f>IF(D$50="","",D$50)</f>
        <v/>
      </c>
      <c r="E56" s="13">
        <f>IF(E$50="","",E$50)</f>
        <v/>
      </c>
      <c r="F56" s="13">
        <f>IF(F$50="","",F$50)</f>
        <v/>
      </c>
      <c r="G56" s="6" t="inlineStr">
        <is>
          <t>Variance vs Prior Month</t>
        </is>
      </c>
      <c r="H56" s="33">
        <f>IF(OR($B$50="",H55=""),"",H54-H55)</f>
        <v/>
      </c>
      <c r="I56" s="33">
        <f>IF(OR($B$50="",I55=""),"",I54-I55)</f>
        <v/>
      </c>
      <c r="J56" s="33">
        <f>IF(OR($B$50="",J55=""),"",J54-J55)</f>
        <v/>
      </c>
      <c r="K56" s="33">
        <f>IF(OR($B$50="",K55=""),"",K54-K55)</f>
        <v/>
      </c>
      <c r="L56" s="33">
        <f>IF(OR($B$50="",L55=""),"",L54-L55)</f>
        <v/>
      </c>
      <c r="M56" s="33">
        <f>IF(OR($B$50="",M55=""),"",M54-M55)</f>
        <v/>
      </c>
      <c r="N56" s="33">
        <f>IF(OR($B$50="",N55=""),"",N54-N55)</f>
        <v/>
      </c>
      <c r="O56" s="33">
        <f>IF(OR($B$50="",O55=""),"",O54-O55)</f>
        <v/>
      </c>
      <c r="P56" s="33">
        <f>IF(OR($B$50="",P55=""),"",P54-P55)</f>
        <v/>
      </c>
      <c r="Q56" s="33">
        <f>IF(OR($B$50="",Q55=""),"",Q54-Q55)</f>
        <v/>
      </c>
      <c r="R56" s="33">
        <f>IF(OR($B$50="",R55=""),"",R54-R55)</f>
        <v/>
      </c>
      <c r="S56" s="33">
        <f>IF(OR($B$50="",S55=""),"",S54-S55)</f>
        <v/>
      </c>
      <c r="T56" s="33">
        <f>IF(OR($B$50="",T55=""),"",T54-T55)</f>
        <v/>
      </c>
      <c r="U56" s="33">
        <f>IF(OR($B$50="",U55=""),"",U54-U55)</f>
        <v/>
      </c>
      <c r="V56" s="33">
        <f>IF(OR($B$50="",V55=""),"",V54-V55)</f>
        <v/>
      </c>
      <c r="X56" s="22">
        <f>IF($B56="","",IFERROR(INDEX(Cost_Centers!$E:$E,MATCH($B56,Cost_Centers!$A:$A,0)),"(unknown)"))</f>
        <v/>
      </c>
      <c r="Y56" s="22">
        <f>IF($B56="","",IFERROR(INDEX(Cost_Centers!$D:$D,MATCH($B56,Cost_Centers!$A:$A,0)),"(unknown)"))</f>
        <v/>
      </c>
      <c r="Z56" s="22">
        <f>IF(OR($B56="",$G56&lt;&gt;"Variance vs Budget"),"",ABS(N($V56))+ROW()/1000000000)</f>
        <v/>
      </c>
    </row>
    <row r="57" ht="45" customHeight="1">
      <c r="A57" s="13">
        <f>IF(A$50="","",A$50)</f>
        <v/>
      </c>
      <c r="B57" s="13">
        <f>IF(B$50="","",B$50)</f>
        <v/>
      </c>
      <c r="C57" s="13">
        <f>IF(C$50="","",C$50)</f>
        <v/>
      </c>
      <c r="D57" s="13">
        <f>IF(D$50="","",D$50)</f>
        <v/>
      </c>
      <c r="E57" s="13">
        <f>IF(E$50="","",E$50)</f>
        <v/>
      </c>
      <c r="F57" s="13">
        <f>IF(F$50="","",F$50)</f>
        <v/>
      </c>
      <c r="G57" s="7" t="inlineStr">
        <is>
          <t>Rationale</t>
        </is>
      </c>
      <c r="H57" s="38" t="n"/>
      <c r="I57" s="38" t="n"/>
      <c r="J57" s="38" t="n"/>
      <c r="K57" s="38" t="n"/>
      <c r="L57" s="38" t="n"/>
      <c r="M57" s="38" t="n"/>
      <c r="N57" s="38" t="n"/>
      <c r="O57" s="38" t="n"/>
      <c r="P57" s="38" t="n"/>
      <c r="Q57" s="38" t="n"/>
      <c r="R57" s="38" t="n"/>
      <c r="S57" s="38" t="n"/>
      <c r="T57" s="38" t="n"/>
      <c r="U57" s="38" t="n"/>
      <c r="V57" s="7" t="n"/>
      <c r="X57" s="22">
        <f>IF($B57="","",IFERROR(INDEX(Cost_Centers!$E:$E,MATCH($B57,Cost_Centers!$A:$A,0)),"(unknown)"))</f>
        <v/>
      </c>
      <c r="Y57" s="22">
        <f>IF($B57="","",IFERROR(INDEX(Cost_Centers!$D:$D,MATCH($B57,Cost_Centers!$A:$A,0)),"(unknown)"))</f>
        <v/>
      </c>
      <c r="Z57" s="22">
        <f>IF(OR($B57="",$G57&lt;&gt;"Variance vs Budget"),"",ABS(N($V57))+ROW()/1000000000)</f>
        <v/>
      </c>
    </row>
    <row r="58">
      <c r="A58" s="30">
        <f>IF($D$58="","",LEFT($D$58,FIND("|",$D$58&amp;"|")-1))</f>
        <v/>
      </c>
      <c r="B58" s="31" t="n"/>
      <c r="C58" s="30">
        <f>IF($B$58="","",IFERROR(INDEX(Cost_Centers!$B:$B,MATCH($B$58,Cost_Centers!$A:$A,0)),"(not in master)"))</f>
        <v/>
      </c>
      <c r="D58" s="31" t="n"/>
      <c r="E58" s="30">
        <f>IF($D$58="","",IFERROR(INDEX(Accounts!$D:$D,MATCH($D$58,Accounts!$A:$A,0)),"(not in master)"))</f>
        <v/>
      </c>
      <c r="F58" s="31" t="n"/>
      <c r="G58" s="30" t="inlineStr">
        <is>
          <t>Budget</t>
        </is>
      </c>
      <c r="H58" s="32">
        <f>IF($B$58="","",SUMIFS(Opex_Budget!$O:$O,Opex_Budget!$A:$A,$C$3,Opex_Budget!$E:$E,$B$58,Opex_Budget!$F:$F,$D$58,Opex_Budget!$N:$N,"JPY")*$E$5+SUMIFS(Opex_Budget!$O:$O,Opex_Budget!$A:$A,$C$3,Opex_Budget!$E:$E,$B$58,Opex_Budget!$F:$F,$D$58,Opex_Budget!$N:$N,"USD")*$F$5+SUMIFS(Opex_Budget!$O:$O,Opex_Budget!$A:$A,$C$3,Opex_Budget!$E:$E,$B$58,Opex_Budget!$F:$F,$D$58,Opex_Budget!$N:$N,"EUR")*$G$5+SUMIFS(Opex_Budget!$O:$O,Opex_Budget!$A:$A,$C$3,Opex_Budget!$E:$E,$B$58,Opex_Budget!$F:$F,$D$58,Opex_Budget!$N:$N,"GBP")*$H$5)</f>
        <v/>
      </c>
      <c r="I58" s="32">
        <f>IF($B$58="","",SUMIFS(Opex_Budget!$P:$P,Opex_Budget!$A:$A,$C$3,Opex_Budget!$E:$E,$B$58,Opex_Budget!$F:$F,$D$58,Opex_Budget!$N:$N,"JPY")*$E$5+SUMIFS(Opex_Budget!$P:$P,Opex_Budget!$A:$A,$C$3,Opex_Budget!$E:$E,$B$58,Opex_Budget!$F:$F,$D$58,Opex_Budget!$N:$N,"USD")*$F$5+SUMIFS(Opex_Budget!$P:$P,Opex_Budget!$A:$A,$C$3,Opex_Budget!$E:$E,$B$58,Opex_Budget!$F:$F,$D$58,Opex_Budget!$N:$N,"EUR")*$G$5+SUMIFS(Opex_Budget!$P:$P,Opex_Budget!$A:$A,$C$3,Opex_Budget!$E:$E,$B$58,Opex_Budget!$F:$F,$D$58,Opex_Budget!$N:$N,"GBP")*$H$5)</f>
        <v/>
      </c>
      <c r="J58" s="32">
        <f>IF($B$58="","",SUMIFS(Opex_Budget!$Q:$Q,Opex_Budget!$A:$A,$C$3,Opex_Budget!$E:$E,$B$58,Opex_Budget!$F:$F,$D$58,Opex_Budget!$N:$N,"JPY")*$E$5+SUMIFS(Opex_Budget!$Q:$Q,Opex_Budget!$A:$A,$C$3,Opex_Budget!$E:$E,$B$58,Opex_Budget!$F:$F,$D$58,Opex_Budget!$N:$N,"USD")*$F$5+SUMIFS(Opex_Budget!$Q:$Q,Opex_Budget!$A:$A,$C$3,Opex_Budget!$E:$E,$B$58,Opex_Budget!$F:$F,$D$58,Opex_Budget!$N:$N,"EUR")*$G$5+SUMIFS(Opex_Budget!$Q:$Q,Opex_Budget!$A:$A,$C$3,Opex_Budget!$E:$E,$B$58,Opex_Budget!$F:$F,$D$58,Opex_Budget!$N:$N,"GBP")*$H$5)</f>
        <v/>
      </c>
      <c r="K58" s="32">
        <f>IF($B$58="","",SUMIFS(Opex_Budget!$R:$R,Opex_Budget!$A:$A,$C$3,Opex_Budget!$E:$E,$B$58,Opex_Budget!$F:$F,$D$58,Opex_Budget!$N:$N,"JPY")*$E$5+SUMIFS(Opex_Budget!$R:$R,Opex_Budget!$A:$A,$C$3,Opex_Budget!$E:$E,$B$58,Opex_Budget!$F:$F,$D$58,Opex_Budget!$N:$N,"USD")*$F$5+SUMIFS(Opex_Budget!$R:$R,Opex_Budget!$A:$A,$C$3,Opex_Budget!$E:$E,$B$58,Opex_Budget!$F:$F,$D$58,Opex_Budget!$N:$N,"EUR")*$G$5+SUMIFS(Opex_Budget!$R:$R,Opex_Budget!$A:$A,$C$3,Opex_Budget!$E:$E,$B$58,Opex_Budget!$F:$F,$D$58,Opex_Budget!$N:$N,"GBP")*$H$5)</f>
        <v/>
      </c>
      <c r="L58" s="32">
        <f>IF($B$58="","",SUMIFS(Opex_Budget!$S:$S,Opex_Budget!$A:$A,$C$3,Opex_Budget!$E:$E,$B$58,Opex_Budget!$F:$F,$D$58,Opex_Budget!$N:$N,"JPY")*$E$5+SUMIFS(Opex_Budget!$S:$S,Opex_Budget!$A:$A,$C$3,Opex_Budget!$E:$E,$B$58,Opex_Budget!$F:$F,$D$58,Opex_Budget!$N:$N,"USD")*$F$5+SUMIFS(Opex_Budget!$S:$S,Opex_Budget!$A:$A,$C$3,Opex_Budget!$E:$E,$B$58,Opex_Budget!$F:$F,$D$58,Opex_Budget!$N:$N,"EUR")*$G$5+SUMIFS(Opex_Budget!$S:$S,Opex_Budget!$A:$A,$C$3,Opex_Budget!$E:$E,$B$58,Opex_Budget!$F:$F,$D$58,Opex_Budget!$N:$N,"GBP")*$H$5)</f>
        <v/>
      </c>
      <c r="M58" s="32">
        <f>IF($B$58="","",SUMIFS(Opex_Budget!$T:$T,Opex_Budget!$A:$A,$C$3,Opex_Budget!$E:$E,$B$58,Opex_Budget!$F:$F,$D$58,Opex_Budget!$N:$N,"JPY")*$E$5+SUMIFS(Opex_Budget!$T:$T,Opex_Budget!$A:$A,$C$3,Opex_Budget!$E:$E,$B$58,Opex_Budget!$F:$F,$D$58,Opex_Budget!$N:$N,"USD")*$F$5+SUMIFS(Opex_Budget!$T:$T,Opex_Budget!$A:$A,$C$3,Opex_Budget!$E:$E,$B$58,Opex_Budget!$F:$F,$D$58,Opex_Budget!$N:$N,"EUR")*$G$5+SUMIFS(Opex_Budget!$T:$T,Opex_Budget!$A:$A,$C$3,Opex_Budget!$E:$E,$B$58,Opex_Budget!$F:$F,$D$58,Opex_Budget!$N:$N,"GBP")*$H$5)</f>
        <v/>
      </c>
      <c r="N58" s="32">
        <f>IF($B$58="","",SUMIFS(Opex_Budget!$U:$U,Opex_Budget!$A:$A,$C$3,Opex_Budget!$E:$E,$B$58,Opex_Budget!$F:$F,$D$58,Opex_Budget!$N:$N,"JPY")*$E$5+SUMIFS(Opex_Budget!$U:$U,Opex_Budget!$A:$A,$C$3,Opex_Budget!$E:$E,$B$58,Opex_Budget!$F:$F,$D$58,Opex_Budget!$N:$N,"USD")*$F$5+SUMIFS(Opex_Budget!$U:$U,Opex_Budget!$A:$A,$C$3,Opex_Budget!$E:$E,$B$58,Opex_Budget!$F:$F,$D$58,Opex_Budget!$N:$N,"EUR")*$G$5+SUMIFS(Opex_Budget!$U:$U,Opex_Budget!$A:$A,$C$3,Opex_Budget!$E:$E,$B$58,Opex_Budget!$F:$F,$D$58,Opex_Budget!$N:$N,"GBP")*$H$5)</f>
        <v/>
      </c>
      <c r="O58" s="32">
        <f>IF($B$58="","",SUMIFS(Opex_Budget!$V:$V,Opex_Budget!$A:$A,$C$3,Opex_Budget!$E:$E,$B$58,Opex_Budget!$F:$F,$D$58,Opex_Budget!$N:$N,"JPY")*$E$5+SUMIFS(Opex_Budget!$V:$V,Opex_Budget!$A:$A,$C$3,Opex_Budget!$E:$E,$B$58,Opex_Budget!$F:$F,$D$58,Opex_Budget!$N:$N,"USD")*$F$5+SUMIFS(Opex_Budget!$V:$V,Opex_Budget!$A:$A,$C$3,Opex_Budget!$E:$E,$B$58,Opex_Budget!$F:$F,$D$58,Opex_Budget!$N:$N,"EUR")*$G$5+SUMIFS(Opex_Budget!$V:$V,Opex_Budget!$A:$A,$C$3,Opex_Budget!$E:$E,$B$58,Opex_Budget!$F:$F,$D$58,Opex_Budget!$N:$N,"GBP")*$H$5)</f>
        <v/>
      </c>
      <c r="P58" s="32">
        <f>IF($B$58="","",SUMIFS(Opex_Budget!$W:$W,Opex_Budget!$A:$A,$C$3,Opex_Budget!$E:$E,$B$58,Opex_Budget!$F:$F,$D$58,Opex_Budget!$N:$N,"JPY")*$E$5+SUMIFS(Opex_Budget!$W:$W,Opex_Budget!$A:$A,$C$3,Opex_Budget!$E:$E,$B$58,Opex_Budget!$F:$F,$D$58,Opex_Budget!$N:$N,"USD")*$F$5+SUMIFS(Opex_Budget!$W:$W,Opex_Budget!$A:$A,$C$3,Opex_Budget!$E:$E,$B$58,Opex_Budget!$F:$F,$D$58,Opex_Budget!$N:$N,"EUR")*$G$5+SUMIFS(Opex_Budget!$W:$W,Opex_Budget!$A:$A,$C$3,Opex_Budget!$E:$E,$B$58,Opex_Budget!$F:$F,$D$58,Opex_Budget!$N:$N,"GBP")*$H$5)</f>
        <v/>
      </c>
      <c r="Q58" s="32">
        <f>IF($B$58="","",SUMIFS(Opex_Budget!$X:$X,Opex_Budget!$A:$A,$C$3,Opex_Budget!$E:$E,$B$58,Opex_Budget!$F:$F,$D$58,Opex_Budget!$N:$N,"JPY")*$E$5+SUMIFS(Opex_Budget!$X:$X,Opex_Budget!$A:$A,$C$3,Opex_Budget!$E:$E,$B$58,Opex_Budget!$F:$F,$D$58,Opex_Budget!$N:$N,"USD")*$F$5+SUMIFS(Opex_Budget!$X:$X,Opex_Budget!$A:$A,$C$3,Opex_Budget!$E:$E,$B$58,Opex_Budget!$F:$F,$D$58,Opex_Budget!$N:$N,"EUR")*$G$5+SUMIFS(Opex_Budget!$X:$X,Opex_Budget!$A:$A,$C$3,Opex_Budget!$E:$E,$B$58,Opex_Budget!$F:$F,$D$58,Opex_Budget!$N:$N,"GBP")*$H$5)</f>
        <v/>
      </c>
      <c r="R58" s="32">
        <f>IF($B$58="","",SUMIFS(Opex_Budget!$Y:$Y,Opex_Budget!$A:$A,$C$3,Opex_Budget!$E:$E,$B$58,Opex_Budget!$F:$F,$D$58,Opex_Budget!$N:$N,"JPY")*$E$5+SUMIFS(Opex_Budget!$Y:$Y,Opex_Budget!$A:$A,$C$3,Opex_Budget!$E:$E,$B$58,Opex_Budget!$F:$F,$D$58,Opex_Budget!$N:$N,"USD")*$F$5+SUMIFS(Opex_Budget!$Y:$Y,Opex_Budget!$A:$A,$C$3,Opex_Budget!$E:$E,$B$58,Opex_Budget!$F:$F,$D$58,Opex_Budget!$N:$N,"EUR")*$G$5+SUMIFS(Opex_Budget!$Y:$Y,Opex_Budget!$A:$A,$C$3,Opex_Budget!$E:$E,$B$58,Opex_Budget!$F:$F,$D$58,Opex_Budget!$N:$N,"GBP")*$H$5)</f>
        <v/>
      </c>
      <c r="S58" s="32">
        <f>IF($B$58="","",SUMIFS(Opex_Budget!$Z:$Z,Opex_Budget!$A:$A,$C$3,Opex_Budget!$E:$E,$B$58,Opex_Budget!$F:$F,$D$58,Opex_Budget!$N:$N,"JPY")*$E$5+SUMIFS(Opex_Budget!$Z:$Z,Opex_Budget!$A:$A,$C$3,Opex_Budget!$E:$E,$B$58,Opex_Budget!$F:$F,$D$58,Opex_Budget!$N:$N,"USD")*$F$5+SUMIFS(Opex_Budget!$Z:$Z,Opex_Budget!$A:$A,$C$3,Opex_Budget!$E:$E,$B$58,Opex_Budget!$F:$F,$D$58,Opex_Budget!$N:$N,"EUR")*$G$5+SUMIFS(Opex_Budget!$Z:$Z,Opex_Budget!$A:$A,$C$3,Opex_Budget!$E:$E,$B$58,Opex_Budget!$F:$F,$D$58,Opex_Budget!$N:$N,"GBP")*$H$5)</f>
        <v/>
      </c>
      <c r="T58" s="32">
        <f>IF($B$58="","",SUMIF($H$7:$S$7,"&lt;="&amp;$C$4,$H58:$S58))</f>
        <v/>
      </c>
      <c r="U58" s="32">
        <f>IF($B$58="","",SUMIF($H$7:$S$7,"&gt;"&amp;$C$4,$H58:$S58))</f>
        <v/>
      </c>
      <c r="V58" s="32">
        <f>IF($B$58="","",SUM($H58:$S58))</f>
        <v/>
      </c>
      <c r="X58" s="22">
        <f>IF($B58="","",IFERROR(INDEX(Cost_Centers!$E:$E,MATCH($B58,Cost_Centers!$A:$A,0)),"(unknown)"))</f>
        <v/>
      </c>
      <c r="Y58" s="22">
        <f>IF($B58="","",IFERROR(INDEX(Cost_Centers!$D:$D,MATCH($B58,Cost_Centers!$A:$A,0)),"(unknown)"))</f>
        <v/>
      </c>
      <c r="Z58" s="22">
        <f>IF(OR($B58="",$G58&lt;&gt;"Variance vs Budget"),"",ABS(N($V58))+ROW()/1000000000)</f>
        <v/>
      </c>
    </row>
    <row r="59">
      <c r="A59" s="13">
        <f>IF(A$58="","",A$58)</f>
        <v/>
      </c>
      <c r="B59" s="13">
        <f>IF(B$58="","",B$58)</f>
        <v/>
      </c>
      <c r="C59" s="13">
        <f>IF(C$58="","",C$58)</f>
        <v/>
      </c>
      <c r="D59" s="13">
        <f>IF(D$58="","",D$58)</f>
        <v/>
      </c>
      <c r="E59" s="13">
        <f>IF(E$58="","",E$58)</f>
        <v/>
      </c>
      <c r="F59" s="13">
        <f>IF(F$58="","",F$58)</f>
        <v/>
      </c>
      <c r="G59" s="7" t="inlineStr">
        <is>
          <t>Actual</t>
        </is>
      </c>
      <c r="H59" s="18">
        <f>IF(OR($B$58="",1&gt;$C$4),"",SUMIFS(Actuals!$G:$G,Actuals!$B:$B,$C$3,Actuals!$C:$C,1,Actuals!$D:$D,$B$58,Actuals!$A:$A,LEFT($D$58,FIND("|",$D$58&amp;"|")-1),Actuals!$E:$E,MID($D$58,FIND("|",$D$58&amp;"|")+1,50),Actuals!$F:$F,"JPY")*$E$5+SUMIFS(Actuals!$G:$G,Actuals!$B:$B,$C$3,Actuals!$C:$C,1,Actuals!$D:$D,$B$58,Actuals!$A:$A,LEFT($D$58,FIND("|",$D$58&amp;"|")-1),Actuals!$E:$E,MID($D$58,FIND("|",$D$58&amp;"|")+1,50),Actuals!$F:$F,"USD")*$F$5+SUMIFS(Actuals!$G:$G,Actuals!$B:$B,$C$3,Actuals!$C:$C,1,Actuals!$D:$D,$B$58,Actuals!$A:$A,LEFT($D$58,FIND("|",$D$58&amp;"|")-1),Actuals!$E:$E,MID($D$58,FIND("|",$D$58&amp;"|")+1,50),Actuals!$F:$F,"EUR")*$G$5+SUMIFS(Actuals!$G:$G,Actuals!$B:$B,$C$3,Actuals!$C:$C,1,Actuals!$D:$D,$B$58,Actuals!$A:$A,LEFT($D$58,FIND("|",$D$58&amp;"|")-1),Actuals!$E:$E,MID($D$58,FIND("|",$D$58&amp;"|")+1,50),Actuals!$F:$F,"GBP")*$H$5)</f>
        <v/>
      </c>
      <c r="I59" s="18">
        <f>IF(OR($B$58="",2&gt;$C$4),"",SUMIFS(Actuals!$G:$G,Actuals!$B:$B,$C$3,Actuals!$C:$C,2,Actuals!$D:$D,$B$58,Actuals!$A:$A,LEFT($D$58,FIND("|",$D$58&amp;"|")-1),Actuals!$E:$E,MID($D$58,FIND("|",$D$58&amp;"|")+1,50),Actuals!$F:$F,"JPY")*$E$5+SUMIFS(Actuals!$G:$G,Actuals!$B:$B,$C$3,Actuals!$C:$C,2,Actuals!$D:$D,$B$58,Actuals!$A:$A,LEFT($D$58,FIND("|",$D$58&amp;"|")-1),Actuals!$E:$E,MID($D$58,FIND("|",$D$58&amp;"|")+1,50),Actuals!$F:$F,"USD")*$F$5+SUMIFS(Actuals!$G:$G,Actuals!$B:$B,$C$3,Actuals!$C:$C,2,Actuals!$D:$D,$B$58,Actuals!$A:$A,LEFT($D$58,FIND("|",$D$58&amp;"|")-1),Actuals!$E:$E,MID($D$58,FIND("|",$D$58&amp;"|")+1,50),Actuals!$F:$F,"EUR")*$G$5+SUMIFS(Actuals!$G:$G,Actuals!$B:$B,$C$3,Actuals!$C:$C,2,Actuals!$D:$D,$B$58,Actuals!$A:$A,LEFT($D$58,FIND("|",$D$58&amp;"|")-1),Actuals!$E:$E,MID($D$58,FIND("|",$D$58&amp;"|")+1,50),Actuals!$F:$F,"GBP")*$H$5)</f>
        <v/>
      </c>
      <c r="J59" s="18">
        <f>IF(OR($B$58="",3&gt;$C$4),"",SUMIFS(Actuals!$G:$G,Actuals!$B:$B,$C$3,Actuals!$C:$C,3,Actuals!$D:$D,$B$58,Actuals!$A:$A,LEFT($D$58,FIND("|",$D$58&amp;"|")-1),Actuals!$E:$E,MID($D$58,FIND("|",$D$58&amp;"|")+1,50),Actuals!$F:$F,"JPY")*$E$5+SUMIFS(Actuals!$G:$G,Actuals!$B:$B,$C$3,Actuals!$C:$C,3,Actuals!$D:$D,$B$58,Actuals!$A:$A,LEFT($D$58,FIND("|",$D$58&amp;"|")-1),Actuals!$E:$E,MID($D$58,FIND("|",$D$58&amp;"|")+1,50),Actuals!$F:$F,"USD")*$F$5+SUMIFS(Actuals!$G:$G,Actuals!$B:$B,$C$3,Actuals!$C:$C,3,Actuals!$D:$D,$B$58,Actuals!$A:$A,LEFT($D$58,FIND("|",$D$58&amp;"|")-1),Actuals!$E:$E,MID($D$58,FIND("|",$D$58&amp;"|")+1,50),Actuals!$F:$F,"EUR")*$G$5+SUMIFS(Actuals!$G:$G,Actuals!$B:$B,$C$3,Actuals!$C:$C,3,Actuals!$D:$D,$B$58,Actuals!$A:$A,LEFT($D$58,FIND("|",$D$58&amp;"|")-1),Actuals!$E:$E,MID($D$58,FIND("|",$D$58&amp;"|")+1,50),Actuals!$F:$F,"GBP")*$H$5)</f>
        <v/>
      </c>
      <c r="K59" s="18">
        <f>IF(OR($B$58="",4&gt;$C$4),"",SUMIFS(Actuals!$G:$G,Actuals!$B:$B,$C$3,Actuals!$C:$C,4,Actuals!$D:$D,$B$58,Actuals!$A:$A,LEFT($D$58,FIND("|",$D$58&amp;"|")-1),Actuals!$E:$E,MID($D$58,FIND("|",$D$58&amp;"|")+1,50),Actuals!$F:$F,"JPY")*$E$5+SUMIFS(Actuals!$G:$G,Actuals!$B:$B,$C$3,Actuals!$C:$C,4,Actuals!$D:$D,$B$58,Actuals!$A:$A,LEFT($D$58,FIND("|",$D$58&amp;"|")-1),Actuals!$E:$E,MID($D$58,FIND("|",$D$58&amp;"|")+1,50),Actuals!$F:$F,"USD")*$F$5+SUMIFS(Actuals!$G:$G,Actuals!$B:$B,$C$3,Actuals!$C:$C,4,Actuals!$D:$D,$B$58,Actuals!$A:$A,LEFT($D$58,FIND("|",$D$58&amp;"|")-1),Actuals!$E:$E,MID($D$58,FIND("|",$D$58&amp;"|")+1,50),Actuals!$F:$F,"EUR")*$G$5+SUMIFS(Actuals!$G:$G,Actuals!$B:$B,$C$3,Actuals!$C:$C,4,Actuals!$D:$D,$B$58,Actuals!$A:$A,LEFT($D$58,FIND("|",$D$58&amp;"|")-1),Actuals!$E:$E,MID($D$58,FIND("|",$D$58&amp;"|")+1,50),Actuals!$F:$F,"GBP")*$H$5)</f>
        <v/>
      </c>
      <c r="L59" s="18">
        <f>IF(OR($B$58="",5&gt;$C$4),"",SUMIFS(Actuals!$G:$G,Actuals!$B:$B,$C$3,Actuals!$C:$C,5,Actuals!$D:$D,$B$58,Actuals!$A:$A,LEFT($D$58,FIND("|",$D$58&amp;"|")-1),Actuals!$E:$E,MID($D$58,FIND("|",$D$58&amp;"|")+1,50),Actuals!$F:$F,"JPY")*$E$5+SUMIFS(Actuals!$G:$G,Actuals!$B:$B,$C$3,Actuals!$C:$C,5,Actuals!$D:$D,$B$58,Actuals!$A:$A,LEFT($D$58,FIND("|",$D$58&amp;"|")-1),Actuals!$E:$E,MID($D$58,FIND("|",$D$58&amp;"|")+1,50),Actuals!$F:$F,"USD")*$F$5+SUMIFS(Actuals!$G:$G,Actuals!$B:$B,$C$3,Actuals!$C:$C,5,Actuals!$D:$D,$B$58,Actuals!$A:$A,LEFT($D$58,FIND("|",$D$58&amp;"|")-1),Actuals!$E:$E,MID($D$58,FIND("|",$D$58&amp;"|")+1,50),Actuals!$F:$F,"EUR")*$G$5+SUMIFS(Actuals!$G:$G,Actuals!$B:$B,$C$3,Actuals!$C:$C,5,Actuals!$D:$D,$B$58,Actuals!$A:$A,LEFT($D$58,FIND("|",$D$58&amp;"|")-1),Actuals!$E:$E,MID($D$58,FIND("|",$D$58&amp;"|")+1,50),Actuals!$F:$F,"GBP")*$H$5)</f>
        <v/>
      </c>
      <c r="M59" s="18">
        <f>IF(OR($B$58="",6&gt;$C$4),"",SUMIFS(Actuals!$G:$G,Actuals!$B:$B,$C$3,Actuals!$C:$C,6,Actuals!$D:$D,$B$58,Actuals!$A:$A,LEFT($D$58,FIND("|",$D$58&amp;"|")-1),Actuals!$E:$E,MID($D$58,FIND("|",$D$58&amp;"|")+1,50),Actuals!$F:$F,"JPY")*$E$5+SUMIFS(Actuals!$G:$G,Actuals!$B:$B,$C$3,Actuals!$C:$C,6,Actuals!$D:$D,$B$58,Actuals!$A:$A,LEFT($D$58,FIND("|",$D$58&amp;"|")-1),Actuals!$E:$E,MID($D$58,FIND("|",$D$58&amp;"|")+1,50),Actuals!$F:$F,"USD")*$F$5+SUMIFS(Actuals!$G:$G,Actuals!$B:$B,$C$3,Actuals!$C:$C,6,Actuals!$D:$D,$B$58,Actuals!$A:$A,LEFT($D$58,FIND("|",$D$58&amp;"|")-1),Actuals!$E:$E,MID($D$58,FIND("|",$D$58&amp;"|")+1,50),Actuals!$F:$F,"EUR")*$G$5+SUMIFS(Actuals!$G:$G,Actuals!$B:$B,$C$3,Actuals!$C:$C,6,Actuals!$D:$D,$B$58,Actuals!$A:$A,LEFT($D$58,FIND("|",$D$58&amp;"|")-1),Actuals!$E:$E,MID($D$58,FIND("|",$D$58&amp;"|")+1,50),Actuals!$F:$F,"GBP")*$H$5)</f>
        <v/>
      </c>
      <c r="N59" s="18">
        <f>IF(OR($B$58="",7&gt;$C$4),"",SUMIFS(Actuals!$G:$G,Actuals!$B:$B,$C$3,Actuals!$C:$C,7,Actuals!$D:$D,$B$58,Actuals!$A:$A,LEFT($D$58,FIND("|",$D$58&amp;"|")-1),Actuals!$E:$E,MID($D$58,FIND("|",$D$58&amp;"|")+1,50),Actuals!$F:$F,"JPY")*$E$5+SUMIFS(Actuals!$G:$G,Actuals!$B:$B,$C$3,Actuals!$C:$C,7,Actuals!$D:$D,$B$58,Actuals!$A:$A,LEFT($D$58,FIND("|",$D$58&amp;"|")-1),Actuals!$E:$E,MID($D$58,FIND("|",$D$58&amp;"|")+1,50),Actuals!$F:$F,"USD")*$F$5+SUMIFS(Actuals!$G:$G,Actuals!$B:$B,$C$3,Actuals!$C:$C,7,Actuals!$D:$D,$B$58,Actuals!$A:$A,LEFT($D$58,FIND("|",$D$58&amp;"|")-1),Actuals!$E:$E,MID($D$58,FIND("|",$D$58&amp;"|")+1,50),Actuals!$F:$F,"EUR")*$G$5+SUMIFS(Actuals!$G:$G,Actuals!$B:$B,$C$3,Actuals!$C:$C,7,Actuals!$D:$D,$B$58,Actuals!$A:$A,LEFT($D$58,FIND("|",$D$58&amp;"|")-1),Actuals!$E:$E,MID($D$58,FIND("|",$D$58&amp;"|")+1,50),Actuals!$F:$F,"GBP")*$H$5)</f>
        <v/>
      </c>
      <c r="O59" s="18">
        <f>IF(OR($B$58="",8&gt;$C$4),"",SUMIFS(Actuals!$G:$G,Actuals!$B:$B,$C$3,Actuals!$C:$C,8,Actuals!$D:$D,$B$58,Actuals!$A:$A,LEFT($D$58,FIND("|",$D$58&amp;"|")-1),Actuals!$E:$E,MID($D$58,FIND("|",$D$58&amp;"|")+1,50),Actuals!$F:$F,"JPY")*$E$5+SUMIFS(Actuals!$G:$G,Actuals!$B:$B,$C$3,Actuals!$C:$C,8,Actuals!$D:$D,$B$58,Actuals!$A:$A,LEFT($D$58,FIND("|",$D$58&amp;"|")-1),Actuals!$E:$E,MID($D$58,FIND("|",$D$58&amp;"|")+1,50),Actuals!$F:$F,"USD")*$F$5+SUMIFS(Actuals!$G:$G,Actuals!$B:$B,$C$3,Actuals!$C:$C,8,Actuals!$D:$D,$B$58,Actuals!$A:$A,LEFT($D$58,FIND("|",$D$58&amp;"|")-1),Actuals!$E:$E,MID($D$58,FIND("|",$D$58&amp;"|")+1,50),Actuals!$F:$F,"EUR")*$G$5+SUMIFS(Actuals!$G:$G,Actuals!$B:$B,$C$3,Actuals!$C:$C,8,Actuals!$D:$D,$B$58,Actuals!$A:$A,LEFT($D$58,FIND("|",$D$58&amp;"|")-1),Actuals!$E:$E,MID($D$58,FIND("|",$D$58&amp;"|")+1,50),Actuals!$F:$F,"GBP")*$H$5)</f>
        <v/>
      </c>
      <c r="P59" s="18">
        <f>IF(OR($B$58="",9&gt;$C$4),"",SUMIFS(Actuals!$G:$G,Actuals!$B:$B,$C$3,Actuals!$C:$C,9,Actuals!$D:$D,$B$58,Actuals!$A:$A,LEFT($D$58,FIND("|",$D$58&amp;"|")-1),Actuals!$E:$E,MID($D$58,FIND("|",$D$58&amp;"|")+1,50),Actuals!$F:$F,"JPY")*$E$5+SUMIFS(Actuals!$G:$G,Actuals!$B:$B,$C$3,Actuals!$C:$C,9,Actuals!$D:$D,$B$58,Actuals!$A:$A,LEFT($D$58,FIND("|",$D$58&amp;"|")-1),Actuals!$E:$E,MID($D$58,FIND("|",$D$58&amp;"|")+1,50),Actuals!$F:$F,"USD")*$F$5+SUMIFS(Actuals!$G:$G,Actuals!$B:$B,$C$3,Actuals!$C:$C,9,Actuals!$D:$D,$B$58,Actuals!$A:$A,LEFT($D$58,FIND("|",$D$58&amp;"|")-1),Actuals!$E:$E,MID($D$58,FIND("|",$D$58&amp;"|")+1,50),Actuals!$F:$F,"EUR")*$G$5+SUMIFS(Actuals!$G:$G,Actuals!$B:$B,$C$3,Actuals!$C:$C,9,Actuals!$D:$D,$B$58,Actuals!$A:$A,LEFT($D$58,FIND("|",$D$58&amp;"|")-1),Actuals!$E:$E,MID($D$58,FIND("|",$D$58&amp;"|")+1,50),Actuals!$F:$F,"GBP")*$H$5)</f>
        <v/>
      </c>
      <c r="Q59" s="18">
        <f>IF(OR($B$58="",10&gt;$C$4),"",SUMIFS(Actuals!$G:$G,Actuals!$B:$B,$C$3,Actuals!$C:$C,10,Actuals!$D:$D,$B$58,Actuals!$A:$A,LEFT($D$58,FIND("|",$D$58&amp;"|")-1),Actuals!$E:$E,MID($D$58,FIND("|",$D$58&amp;"|")+1,50),Actuals!$F:$F,"JPY")*$E$5+SUMIFS(Actuals!$G:$G,Actuals!$B:$B,$C$3,Actuals!$C:$C,10,Actuals!$D:$D,$B$58,Actuals!$A:$A,LEFT($D$58,FIND("|",$D$58&amp;"|")-1),Actuals!$E:$E,MID($D$58,FIND("|",$D$58&amp;"|")+1,50),Actuals!$F:$F,"USD")*$F$5+SUMIFS(Actuals!$G:$G,Actuals!$B:$B,$C$3,Actuals!$C:$C,10,Actuals!$D:$D,$B$58,Actuals!$A:$A,LEFT($D$58,FIND("|",$D$58&amp;"|")-1),Actuals!$E:$E,MID($D$58,FIND("|",$D$58&amp;"|")+1,50),Actuals!$F:$F,"EUR")*$G$5+SUMIFS(Actuals!$G:$G,Actuals!$B:$B,$C$3,Actuals!$C:$C,10,Actuals!$D:$D,$B$58,Actuals!$A:$A,LEFT($D$58,FIND("|",$D$58&amp;"|")-1),Actuals!$E:$E,MID($D$58,FIND("|",$D$58&amp;"|")+1,50),Actuals!$F:$F,"GBP")*$H$5)</f>
        <v/>
      </c>
      <c r="R59" s="18">
        <f>IF(OR($B$58="",11&gt;$C$4),"",SUMIFS(Actuals!$G:$G,Actuals!$B:$B,$C$3,Actuals!$C:$C,11,Actuals!$D:$D,$B$58,Actuals!$A:$A,LEFT($D$58,FIND("|",$D$58&amp;"|")-1),Actuals!$E:$E,MID($D$58,FIND("|",$D$58&amp;"|")+1,50),Actuals!$F:$F,"JPY")*$E$5+SUMIFS(Actuals!$G:$G,Actuals!$B:$B,$C$3,Actuals!$C:$C,11,Actuals!$D:$D,$B$58,Actuals!$A:$A,LEFT($D$58,FIND("|",$D$58&amp;"|")-1),Actuals!$E:$E,MID($D$58,FIND("|",$D$58&amp;"|")+1,50),Actuals!$F:$F,"USD")*$F$5+SUMIFS(Actuals!$G:$G,Actuals!$B:$B,$C$3,Actuals!$C:$C,11,Actuals!$D:$D,$B$58,Actuals!$A:$A,LEFT($D$58,FIND("|",$D$58&amp;"|")-1),Actuals!$E:$E,MID($D$58,FIND("|",$D$58&amp;"|")+1,50),Actuals!$F:$F,"EUR")*$G$5+SUMIFS(Actuals!$G:$G,Actuals!$B:$B,$C$3,Actuals!$C:$C,11,Actuals!$D:$D,$B$58,Actuals!$A:$A,LEFT($D$58,FIND("|",$D$58&amp;"|")-1),Actuals!$E:$E,MID($D$58,FIND("|",$D$58&amp;"|")+1,50),Actuals!$F:$F,"GBP")*$H$5)</f>
        <v/>
      </c>
      <c r="S59" s="18">
        <f>IF(OR($B$58="",12&gt;$C$4),"",SUMIFS(Actuals!$G:$G,Actuals!$B:$B,$C$3,Actuals!$C:$C,12,Actuals!$D:$D,$B$58,Actuals!$A:$A,LEFT($D$58,FIND("|",$D$58&amp;"|")-1),Actuals!$E:$E,MID($D$58,FIND("|",$D$58&amp;"|")+1,50),Actuals!$F:$F,"JPY")*$E$5+SUMIFS(Actuals!$G:$G,Actuals!$B:$B,$C$3,Actuals!$C:$C,12,Actuals!$D:$D,$B$58,Actuals!$A:$A,LEFT($D$58,FIND("|",$D$58&amp;"|")-1),Actuals!$E:$E,MID($D$58,FIND("|",$D$58&amp;"|")+1,50),Actuals!$F:$F,"USD")*$F$5+SUMIFS(Actuals!$G:$G,Actuals!$B:$B,$C$3,Actuals!$C:$C,12,Actuals!$D:$D,$B$58,Actuals!$A:$A,LEFT($D$58,FIND("|",$D$58&amp;"|")-1),Actuals!$E:$E,MID($D$58,FIND("|",$D$58&amp;"|")+1,50),Actuals!$F:$F,"EUR")*$G$5+SUMIFS(Actuals!$G:$G,Actuals!$B:$B,$C$3,Actuals!$C:$C,12,Actuals!$D:$D,$B$58,Actuals!$A:$A,LEFT($D$58,FIND("|",$D$58&amp;"|")-1),Actuals!$E:$E,MID($D$58,FIND("|",$D$58&amp;"|")+1,50),Actuals!$F:$F,"GBP")*$H$5)</f>
        <v/>
      </c>
      <c r="T59" s="18">
        <f>IF($B$58="","",SUMIF($H$7:$S$7,"&lt;="&amp;$C$4,$H59:$S59))</f>
        <v/>
      </c>
      <c r="U59" s="18" t="n"/>
      <c r="V59" s="18" t="n"/>
      <c r="X59" s="22">
        <f>IF($B59="","",IFERROR(INDEX(Cost_Centers!$E:$E,MATCH($B59,Cost_Centers!$A:$A,0)),"(unknown)"))</f>
        <v/>
      </c>
      <c r="Y59" s="22">
        <f>IF($B59="","",IFERROR(INDEX(Cost_Centers!$D:$D,MATCH($B59,Cost_Centers!$A:$A,0)),"(unknown)"))</f>
        <v/>
      </c>
      <c r="Z59" s="22">
        <f>IF(OR($B59="",$G59&lt;&gt;"Variance vs Budget"),"",ABS(N($V59))+ROW()/1000000000)</f>
        <v/>
      </c>
    </row>
    <row r="60">
      <c r="A60" s="13">
        <f>IF(A$58="","",A$58)</f>
        <v/>
      </c>
      <c r="B60" s="13">
        <f>IF(B$58="","",B$58)</f>
        <v/>
      </c>
      <c r="C60" s="13">
        <f>IF(C$58="","",C$58)</f>
        <v/>
      </c>
      <c r="D60" s="13">
        <f>IF(D$58="","",D$58)</f>
        <v/>
      </c>
      <c r="E60" s="13">
        <f>IF(E$58="","",E$58)</f>
        <v/>
      </c>
      <c r="F60" s="13">
        <f>IF(F$58="","",F$58)</f>
        <v/>
      </c>
      <c r="G60" s="6" t="inlineStr">
        <is>
          <t>Variance vs Budget</t>
        </is>
      </c>
      <c r="H60" s="33">
        <f>IF(OR($B$58="",1&gt;$C$4),"",N(H59)-H58)</f>
        <v/>
      </c>
      <c r="I60" s="33">
        <f>IF(OR($B$58="",2&gt;$C$4),"",N(I59)-I58)</f>
        <v/>
      </c>
      <c r="J60" s="33">
        <f>IF(OR($B$58="",3&gt;$C$4),"",N(J59)-J58)</f>
        <v/>
      </c>
      <c r="K60" s="33">
        <f>IF(OR($B$58="",4&gt;$C$4),"",N(K59)-K58)</f>
        <v/>
      </c>
      <c r="L60" s="33">
        <f>IF(OR($B$58="",5&gt;$C$4),"",N(L59)-L58)</f>
        <v/>
      </c>
      <c r="M60" s="33">
        <f>IF(OR($B$58="",6&gt;$C$4),"",N(M59)-M58)</f>
        <v/>
      </c>
      <c r="N60" s="33">
        <f>IF(OR($B$58="",7&gt;$C$4),"",N(N59)-N58)</f>
        <v/>
      </c>
      <c r="O60" s="33">
        <f>IF(OR($B$58="",8&gt;$C$4),"",N(O59)-O58)</f>
        <v/>
      </c>
      <c r="P60" s="33">
        <f>IF(OR($B$58="",9&gt;$C$4),"",N(P59)-P58)</f>
        <v/>
      </c>
      <c r="Q60" s="33">
        <f>IF(OR($B$58="",10&gt;$C$4),"",N(Q59)-Q58)</f>
        <v/>
      </c>
      <c r="R60" s="33">
        <f>IF(OR($B$58="",11&gt;$C$4),"",N(R59)-R58)</f>
        <v/>
      </c>
      <c r="S60" s="33">
        <f>IF(OR($B$58="",12&gt;$C$4),"",N(S59)-S58)</f>
        <v/>
      </c>
      <c r="T60" s="33">
        <f>IF($B$58="","",T59-T58)</f>
        <v/>
      </c>
      <c r="U60" s="33">
        <f>IF($B$58="","",U62-U58)</f>
        <v/>
      </c>
      <c r="V60" s="33">
        <f>IF($B$58="","",V62-V58)</f>
        <v/>
      </c>
      <c r="X60" s="22">
        <f>IF($B60="","",IFERROR(INDEX(Cost_Centers!$E:$E,MATCH($B60,Cost_Centers!$A:$A,0)),"(unknown)"))</f>
        <v/>
      </c>
      <c r="Y60" s="22">
        <f>IF($B60="","",IFERROR(INDEX(Cost_Centers!$D:$D,MATCH($B60,Cost_Centers!$A:$A,0)),"(unknown)"))</f>
        <v/>
      </c>
      <c r="Z60" s="22">
        <f>IF(OR($B60="",$G60&lt;&gt;"Variance vs Budget"),"",ABS(N($V60))+ROW()/1000000000)</f>
        <v/>
      </c>
    </row>
    <row r="61">
      <c r="A61" s="13">
        <f>IF(A$58="","",A$58)</f>
        <v/>
      </c>
      <c r="B61" s="13">
        <f>IF(B$58="","",B$58)</f>
        <v/>
      </c>
      <c r="C61" s="13">
        <f>IF(C$58="","",C$58)</f>
        <v/>
      </c>
      <c r="D61" s="13">
        <f>IF(D$58="","",D$58)</f>
        <v/>
      </c>
      <c r="E61" s="13">
        <f>IF(E$58="","",E$58)</f>
        <v/>
      </c>
      <c r="F61" s="13">
        <f>IF(F$58="","",F$58)</f>
        <v/>
      </c>
      <c r="G61" s="7" t="inlineStr">
        <is>
          <t>Forecast (input)</t>
        </is>
      </c>
      <c r="H61" s="34" t="n"/>
      <c r="I61" s="34" t="n"/>
      <c r="J61" s="34" t="n"/>
      <c r="K61" s="34" t="n"/>
      <c r="L61" s="34" t="n"/>
      <c r="M61" s="34" t="n"/>
      <c r="N61" s="34" t="n"/>
      <c r="O61" s="34" t="n"/>
      <c r="P61" s="34" t="n"/>
      <c r="Q61" s="34" t="n"/>
      <c r="R61" s="34" t="n"/>
      <c r="S61" s="34" t="n"/>
      <c r="T61" s="18" t="n"/>
      <c r="U61" s="18" t="n"/>
      <c r="V61" s="18" t="n"/>
      <c r="X61" s="22">
        <f>IF($B61="","",IFERROR(INDEX(Cost_Centers!$E:$E,MATCH($B61,Cost_Centers!$A:$A,0)),"(unknown)"))</f>
        <v/>
      </c>
      <c r="Y61" s="22">
        <f>IF($B61="","",IFERROR(INDEX(Cost_Centers!$D:$D,MATCH($B61,Cost_Centers!$A:$A,0)),"(unknown)"))</f>
        <v/>
      </c>
      <c r="Z61" s="22">
        <f>IF(OR($B61="",$G61&lt;&gt;"Variance vs Budget"),"",ABS(N($V61))+ROW()/1000000000)</f>
        <v/>
      </c>
    </row>
    <row r="62">
      <c r="A62" s="13">
        <f>IF(A$58="","",A$58)</f>
        <v/>
      </c>
      <c r="B62" s="13">
        <f>IF(B$58="","",B$58)</f>
        <v/>
      </c>
      <c r="C62" s="13">
        <f>IF(C$58="","",C$58)</f>
        <v/>
      </c>
      <c r="D62" s="13">
        <f>IF(D$58="","",D$58)</f>
        <v/>
      </c>
      <c r="E62" s="13">
        <f>IF(E$58="","",E$58)</f>
        <v/>
      </c>
      <c r="F62" s="13">
        <f>IF(F$58="","",F$58)</f>
        <v/>
      </c>
      <c r="G62" s="35" t="inlineStr">
        <is>
          <t>Actual + Forecast</t>
        </is>
      </c>
      <c r="H62" s="18">
        <f>IF($B$58="","",IF(1&lt;=$C$4,N(H59),IF(H61="",H58,H61)))</f>
        <v/>
      </c>
      <c r="I62" s="18">
        <f>IF($B$58="","",IF(2&lt;=$C$4,N(I59),IF(I61="",I58,I61)))</f>
        <v/>
      </c>
      <c r="J62" s="18">
        <f>IF($B$58="","",IF(3&lt;=$C$4,N(J59),IF(J61="",J58,J61)))</f>
        <v/>
      </c>
      <c r="K62" s="18">
        <f>IF($B$58="","",IF(4&lt;=$C$4,N(K59),IF(K61="",K58,K61)))</f>
        <v/>
      </c>
      <c r="L62" s="18">
        <f>IF($B$58="","",IF(5&lt;=$C$4,N(L59),IF(L61="",L58,L61)))</f>
        <v/>
      </c>
      <c r="M62" s="18">
        <f>IF($B$58="","",IF(6&lt;=$C$4,N(M59),IF(M61="",M58,M61)))</f>
        <v/>
      </c>
      <c r="N62" s="18">
        <f>IF($B$58="","",IF(7&lt;=$C$4,N(N59),IF(N61="",N58,N61)))</f>
        <v/>
      </c>
      <c r="O62" s="18">
        <f>IF($B$58="","",IF(8&lt;=$C$4,N(O59),IF(O61="",O58,O61)))</f>
        <v/>
      </c>
      <c r="P62" s="18">
        <f>IF($B$58="","",IF(9&lt;=$C$4,N(P59),IF(P61="",P58,P61)))</f>
        <v/>
      </c>
      <c r="Q62" s="18">
        <f>IF($B$58="","",IF(10&lt;=$C$4,N(Q59),IF(Q61="",Q58,Q61)))</f>
        <v/>
      </c>
      <c r="R62" s="18">
        <f>IF($B$58="","",IF(11&lt;=$C$4,N(R59),IF(R61="",R58,R61)))</f>
        <v/>
      </c>
      <c r="S62" s="18">
        <f>IF($B$58="","",IF(12&lt;=$C$4,N(S59),IF(S61="",S58,S61)))</f>
        <v/>
      </c>
      <c r="T62" s="18">
        <f>IF($B$58="","",SUMIF($H$7:$S$7,"&lt;="&amp;$C$4,$H62:$S62))</f>
        <v/>
      </c>
      <c r="U62" s="18">
        <f>IF($B$58="","",SUMIF($H$7:$S$7,"&gt;"&amp;$C$4,$H62:$S62))</f>
        <v/>
      </c>
      <c r="V62" s="18">
        <f>IF($B$58="","",SUM($H62:$S62))</f>
        <v/>
      </c>
      <c r="X62" s="22">
        <f>IF($B62="","",IFERROR(INDEX(Cost_Centers!$E:$E,MATCH($B62,Cost_Centers!$A:$A,0)),"(unknown)"))</f>
        <v/>
      </c>
      <c r="Y62" s="22">
        <f>IF($B62="","",IFERROR(INDEX(Cost_Centers!$D:$D,MATCH($B62,Cost_Centers!$A:$A,0)),"(unknown)"))</f>
        <v/>
      </c>
      <c r="Z62" s="22">
        <f>IF(OR($B62="",$G62&lt;&gt;"Variance vs Budget"),"",ABS(N($V62))+ROW()/1000000000)</f>
        <v/>
      </c>
    </row>
    <row r="63">
      <c r="A63" s="13">
        <f>IF(A$58="","",A$58)</f>
        <v/>
      </c>
      <c r="B63" s="13">
        <f>IF(B$58="","",B$58)</f>
        <v/>
      </c>
      <c r="C63" s="13">
        <f>IF(C$58="","",C$58)</f>
        <v/>
      </c>
      <c r="D63" s="13">
        <f>IF(D$58="","",D$58)</f>
        <v/>
      </c>
      <c r="E63" s="13">
        <f>IF(E$58="","",E$58)</f>
        <v/>
      </c>
      <c r="F63" s="13">
        <f>IF(F$58="","",F$58)</f>
        <v/>
      </c>
      <c r="G63" s="36" t="inlineStr">
        <is>
          <t>Prior Month Forecast</t>
        </is>
      </c>
      <c r="H63" s="37">
        <f>IF($B$58="","",IF(COUNTIFS(Prior_Forecast!$A:$A,$B$58,Prior_Forecast!$B:$B,$D$58)&gt;0,SUMIFS(Prior_Forecast!$C:$C,Prior_Forecast!$A:$A,$B$58,Prior_Forecast!$B:$B,$D$58),""))</f>
        <v/>
      </c>
      <c r="I63" s="37">
        <f>IF($B$58="","",IF(COUNTIFS(Prior_Forecast!$A:$A,$B$58,Prior_Forecast!$B:$B,$D$58)&gt;0,SUMIFS(Prior_Forecast!$D:$D,Prior_Forecast!$A:$A,$B$58,Prior_Forecast!$B:$B,$D$58),""))</f>
        <v/>
      </c>
      <c r="J63" s="37">
        <f>IF($B$58="","",IF(COUNTIFS(Prior_Forecast!$A:$A,$B$58,Prior_Forecast!$B:$B,$D$58)&gt;0,SUMIFS(Prior_Forecast!$E:$E,Prior_Forecast!$A:$A,$B$58,Prior_Forecast!$B:$B,$D$58),""))</f>
        <v/>
      </c>
      <c r="K63" s="37">
        <f>IF($B$58="","",IF(COUNTIFS(Prior_Forecast!$A:$A,$B$58,Prior_Forecast!$B:$B,$D$58)&gt;0,SUMIFS(Prior_Forecast!$F:$F,Prior_Forecast!$A:$A,$B$58,Prior_Forecast!$B:$B,$D$58),""))</f>
        <v/>
      </c>
      <c r="L63" s="37">
        <f>IF($B$58="","",IF(COUNTIFS(Prior_Forecast!$A:$A,$B$58,Prior_Forecast!$B:$B,$D$58)&gt;0,SUMIFS(Prior_Forecast!$G:$G,Prior_Forecast!$A:$A,$B$58,Prior_Forecast!$B:$B,$D$58),""))</f>
        <v/>
      </c>
      <c r="M63" s="37">
        <f>IF($B$58="","",IF(COUNTIFS(Prior_Forecast!$A:$A,$B$58,Prior_Forecast!$B:$B,$D$58)&gt;0,SUMIFS(Prior_Forecast!$H:$H,Prior_Forecast!$A:$A,$B$58,Prior_Forecast!$B:$B,$D$58),""))</f>
        <v/>
      </c>
      <c r="N63" s="37">
        <f>IF($B$58="","",IF(COUNTIFS(Prior_Forecast!$A:$A,$B$58,Prior_Forecast!$B:$B,$D$58)&gt;0,SUMIFS(Prior_Forecast!$I:$I,Prior_Forecast!$A:$A,$B$58,Prior_Forecast!$B:$B,$D$58),""))</f>
        <v/>
      </c>
      <c r="O63" s="37">
        <f>IF($B$58="","",IF(COUNTIFS(Prior_Forecast!$A:$A,$B$58,Prior_Forecast!$B:$B,$D$58)&gt;0,SUMIFS(Prior_Forecast!$J:$J,Prior_Forecast!$A:$A,$B$58,Prior_Forecast!$B:$B,$D$58),""))</f>
        <v/>
      </c>
      <c r="P63" s="37">
        <f>IF($B$58="","",IF(COUNTIFS(Prior_Forecast!$A:$A,$B$58,Prior_Forecast!$B:$B,$D$58)&gt;0,SUMIFS(Prior_Forecast!$K:$K,Prior_Forecast!$A:$A,$B$58,Prior_Forecast!$B:$B,$D$58),""))</f>
        <v/>
      </c>
      <c r="Q63" s="37">
        <f>IF($B$58="","",IF(COUNTIFS(Prior_Forecast!$A:$A,$B$58,Prior_Forecast!$B:$B,$D$58)&gt;0,SUMIFS(Prior_Forecast!$L:$L,Prior_Forecast!$A:$A,$B$58,Prior_Forecast!$B:$B,$D$58),""))</f>
        <v/>
      </c>
      <c r="R63" s="37">
        <f>IF($B$58="","",IF(COUNTIFS(Prior_Forecast!$A:$A,$B$58,Prior_Forecast!$B:$B,$D$58)&gt;0,SUMIFS(Prior_Forecast!$M:$M,Prior_Forecast!$A:$A,$B$58,Prior_Forecast!$B:$B,$D$58),""))</f>
        <v/>
      </c>
      <c r="S63" s="37">
        <f>IF($B$58="","",IF(COUNTIFS(Prior_Forecast!$A:$A,$B$58,Prior_Forecast!$B:$B,$D$58)&gt;0,SUMIFS(Prior_Forecast!$N:$N,Prior_Forecast!$A:$A,$B$58,Prior_Forecast!$B:$B,$D$58),""))</f>
        <v/>
      </c>
      <c r="T63" s="37">
        <f>IF($B$58="","",IF(COUNTIFS(Prior_Forecast!$A:$A,$B$58,Prior_Forecast!$B:$B,$D$58)&gt;0,SUMIFS(Prior_Forecast!$O:$O,Prior_Forecast!$A:$A,$B$58,Prior_Forecast!$B:$B,$D$58),""))</f>
        <v/>
      </c>
      <c r="U63" s="37">
        <f>IF($B$58="","",IF(COUNTIFS(Prior_Forecast!$A:$A,$B$58,Prior_Forecast!$B:$B,$D$58)&gt;0,SUMIFS(Prior_Forecast!$P:$P,Prior_Forecast!$A:$A,$B$58,Prior_Forecast!$B:$B,$D$58),""))</f>
        <v/>
      </c>
      <c r="V63" s="37">
        <f>IF($B$58="","",IF(COUNTIFS(Prior_Forecast!$A:$A,$B$58,Prior_Forecast!$B:$B,$D$58)&gt;0,SUMIFS(Prior_Forecast!$Q:$Q,Prior_Forecast!$A:$A,$B$58,Prior_Forecast!$B:$B,$D$58),""))</f>
        <v/>
      </c>
      <c r="X63" s="22">
        <f>IF($B63="","",IFERROR(INDEX(Cost_Centers!$E:$E,MATCH($B63,Cost_Centers!$A:$A,0)),"(unknown)"))</f>
        <v/>
      </c>
      <c r="Y63" s="22">
        <f>IF($B63="","",IFERROR(INDEX(Cost_Centers!$D:$D,MATCH($B63,Cost_Centers!$A:$A,0)),"(unknown)"))</f>
        <v/>
      </c>
      <c r="Z63" s="22">
        <f>IF(OR($B63="",$G63&lt;&gt;"Variance vs Budget"),"",ABS(N($V63))+ROW()/1000000000)</f>
        <v/>
      </c>
    </row>
    <row r="64">
      <c r="A64" s="13">
        <f>IF(A$58="","",A$58)</f>
        <v/>
      </c>
      <c r="B64" s="13">
        <f>IF(B$58="","",B$58)</f>
        <v/>
      </c>
      <c r="C64" s="13">
        <f>IF(C$58="","",C$58)</f>
        <v/>
      </c>
      <c r="D64" s="13">
        <f>IF(D$58="","",D$58)</f>
        <v/>
      </c>
      <c r="E64" s="13">
        <f>IF(E$58="","",E$58)</f>
        <v/>
      </c>
      <c r="F64" s="13">
        <f>IF(F$58="","",F$58)</f>
        <v/>
      </c>
      <c r="G64" s="6" t="inlineStr">
        <is>
          <t>Variance vs Prior Month</t>
        </is>
      </c>
      <c r="H64" s="33">
        <f>IF(OR($B$58="",H63=""),"",H62-H63)</f>
        <v/>
      </c>
      <c r="I64" s="33">
        <f>IF(OR($B$58="",I63=""),"",I62-I63)</f>
        <v/>
      </c>
      <c r="J64" s="33">
        <f>IF(OR($B$58="",J63=""),"",J62-J63)</f>
        <v/>
      </c>
      <c r="K64" s="33">
        <f>IF(OR($B$58="",K63=""),"",K62-K63)</f>
        <v/>
      </c>
      <c r="L64" s="33">
        <f>IF(OR($B$58="",L63=""),"",L62-L63)</f>
        <v/>
      </c>
      <c r="M64" s="33">
        <f>IF(OR($B$58="",M63=""),"",M62-M63)</f>
        <v/>
      </c>
      <c r="N64" s="33">
        <f>IF(OR($B$58="",N63=""),"",N62-N63)</f>
        <v/>
      </c>
      <c r="O64" s="33">
        <f>IF(OR($B$58="",O63=""),"",O62-O63)</f>
        <v/>
      </c>
      <c r="P64" s="33">
        <f>IF(OR($B$58="",P63=""),"",P62-P63)</f>
        <v/>
      </c>
      <c r="Q64" s="33">
        <f>IF(OR($B$58="",Q63=""),"",Q62-Q63)</f>
        <v/>
      </c>
      <c r="R64" s="33">
        <f>IF(OR($B$58="",R63=""),"",R62-R63)</f>
        <v/>
      </c>
      <c r="S64" s="33">
        <f>IF(OR($B$58="",S63=""),"",S62-S63)</f>
        <v/>
      </c>
      <c r="T64" s="33">
        <f>IF(OR($B$58="",T63=""),"",T62-T63)</f>
        <v/>
      </c>
      <c r="U64" s="33">
        <f>IF(OR($B$58="",U63=""),"",U62-U63)</f>
        <v/>
      </c>
      <c r="V64" s="33">
        <f>IF(OR($B$58="",V63=""),"",V62-V63)</f>
        <v/>
      </c>
      <c r="X64" s="22">
        <f>IF($B64="","",IFERROR(INDEX(Cost_Centers!$E:$E,MATCH($B64,Cost_Centers!$A:$A,0)),"(unknown)"))</f>
        <v/>
      </c>
      <c r="Y64" s="22">
        <f>IF($B64="","",IFERROR(INDEX(Cost_Centers!$D:$D,MATCH($B64,Cost_Centers!$A:$A,0)),"(unknown)"))</f>
        <v/>
      </c>
      <c r="Z64" s="22">
        <f>IF(OR($B64="",$G64&lt;&gt;"Variance vs Budget"),"",ABS(N($V64))+ROW()/1000000000)</f>
        <v/>
      </c>
    </row>
    <row r="65" ht="45" customHeight="1">
      <c r="A65" s="13">
        <f>IF(A$58="","",A$58)</f>
        <v/>
      </c>
      <c r="B65" s="13">
        <f>IF(B$58="","",B$58)</f>
        <v/>
      </c>
      <c r="C65" s="13">
        <f>IF(C$58="","",C$58)</f>
        <v/>
      </c>
      <c r="D65" s="13">
        <f>IF(D$58="","",D$58)</f>
        <v/>
      </c>
      <c r="E65" s="13">
        <f>IF(E$58="","",E$58)</f>
        <v/>
      </c>
      <c r="F65" s="13">
        <f>IF(F$58="","",F$58)</f>
        <v/>
      </c>
      <c r="G65" s="7" t="inlineStr">
        <is>
          <t>Rationale</t>
        </is>
      </c>
      <c r="H65" s="38" t="n"/>
      <c r="I65" s="38" t="n"/>
      <c r="J65" s="38" t="n"/>
      <c r="K65" s="38" t="n"/>
      <c r="L65" s="38" t="n"/>
      <c r="M65" s="38" t="n"/>
      <c r="N65" s="38" t="n"/>
      <c r="O65" s="38" t="n"/>
      <c r="P65" s="38" t="n"/>
      <c r="Q65" s="38" t="n"/>
      <c r="R65" s="38" t="n"/>
      <c r="S65" s="38" t="n"/>
      <c r="T65" s="38" t="n"/>
      <c r="U65" s="38" t="n"/>
      <c r="V65" s="7" t="n"/>
      <c r="X65" s="22">
        <f>IF($B65="","",IFERROR(INDEX(Cost_Centers!$E:$E,MATCH($B65,Cost_Centers!$A:$A,0)),"(unknown)"))</f>
        <v/>
      </c>
      <c r="Y65" s="22">
        <f>IF($B65="","",IFERROR(INDEX(Cost_Centers!$D:$D,MATCH($B65,Cost_Centers!$A:$A,0)),"(unknown)"))</f>
        <v/>
      </c>
      <c r="Z65" s="22">
        <f>IF(OR($B65="",$G65&lt;&gt;"Variance vs Budget"),"",ABS(N($V65))+ROW()/1000000000)</f>
        <v/>
      </c>
    </row>
    <row r="66">
      <c r="A66" s="30">
        <f>IF($D$66="","",LEFT($D$66,FIND("|",$D$66&amp;"|")-1))</f>
        <v/>
      </c>
      <c r="B66" s="31" t="n"/>
      <c r="C66" s="30">
        <f>IF($B$66="","",IFERROR(INDEX(Cost_Centers!$B:$B,MATCH($B$66,Cost_Centers!$A:$A,0)),"(not in master)"))</f>
        <v/>
      </c>
      <c r="D66" s="31" t="n"/>
      <c r="E66" s="30">
        <f>IF($D$66="","",IFERROR(INDEX(Accounts!$D:$D,MATCH($D$66,Accounts!$A:$A,0)),"(not in master)"))</f>
        <v/>
      </c>
      <c r="F66" s="31" t="n"/>
      <c r="G66" s="30" t="inlineStr">
        <is>
          <t>Budget</t>
        </is>
      </c>
      <c r="H66" s="32">
        <f>IF($B$66="","",SUMIFS(Opex_Budget!$O:$O,Opex_Budget!$A:$A,$C$3,Opex_Budget!$E:$E,$B$66,Opex_Budget!$F:$F,$D$66,Opex_Budget!$N:$N,"JPY")*$E$5+SUMIFS(Opex_Budget!$O:$O,Opex_Budget!$A:$A,$C$3,Opex_Budget!$E:$E,$B$66,Opex_Budget!$F:$F,$D$66,Opex_Budget!$N:$N,"USD")*$F$5+SUMIFS(Opex_Budget!$O:$O,Opex_Budget!$A:$A,$C$3,Opex_Budget!$E:$E,$B$66,Opex_Budget!$F:$F,$D$66,Opex_Budget!$N:$N,"EUR")*$G$5+SUMIFS(Opex_Budget!$O:$O,Opex_Budget!$A:$A,$C$3,Opex_Budget!$E:$E,$B$66,Opex_Budget!$F:$F,$D$66,Opex_Budget!$N:$N,"GBP")*$H$5)</f>
        <v/>
      </c>
      <c r="I66" s="32">
        <f>IF($B$66="","",SUMIFS(Opex_Budget!$P:$P,Opex_Budget!$A:$A,$C$3,Opex_Budget!$E:$E,$B$66,Opex_Budget!$F:$F,$D$66,Opex_Budget!$N:$N,"JPY")*$E$5+SUMIFS(Opex_Budget!$P:$P,Opex_Budget!$A:$A,$C$3,Opex_Budget!$E:$E,$B$66,Opex_Budget!$F:$F,$D$66,Opex_Budget!$N:$N,"USD")*$F$5+SUMIFS(Opex_Budget!$P:$P,Opex_Budget!$A:$A,$C$3,Opex_Budget!$E:$E,$B$66,Opex_Budget!$F:$F,$D$66,Opex_Budget!$N:$N,"EUR")*$G$5+SUMIFS(Opex_Budget!$P:$P,Opex_Budget!$A:$A,$C$3,Opex_Budget!$E:$E,$B$66,Opex_Budget!$F:$F,$D$66,Opex_Budget!$N:$N,"GBP")*$H$5)</f>
        <v/>
      </c>
      <c r="J66" s="32">
        <f>IF($B$66="","",SUMIFS(Opex_Budget!$Q:$Q,Opex_Budget!$A:$A,$C$3,Opex_Budget!$E:$E,$B$66,Opex_Budget!$F:$F,$D$66,Opex_Budget!$N:$N,"JPY")*$E$5+SUMIFS(Opex_Budget!$Q:$Q,Opex_Budget!$A:$A,$C$3,Opex_Budget!$E:$E,$B$66,Opex_Budget!$F:$F,$D$66,Opex_Budget!$N:$N,"USD")*$F$5+SUMIFS(Opex_Budget!$Q:$Q,Opex_Budget!$A:$A,$C$3,Opex_Budget!$E:$E,$B$66,Opex_Budget!$F:$F,$D$66,Opex_Budget!$N:$N,"EUR")*$G$5+SUMIFS(Opex_Budget!$Q:$Q,Opex_Budget!$A:$A,$C$3,Opex_Budget!$E:$E,$B$66,Opex_Budget!$F:$F,$D$66,Opex_Budget!$N:$N,"GBP")*$H$5)</f>
        <v/>
      </c>
      <c r="K66" s="32">
        <f>IF($B$66="","",SUMIFS(Opex_Budget!$R:$R,Opex_Budget!$A:$A,$C$3,Opex_Budget!$E:$E,$B$66,Opex_Budget!$F:$F,$D$66,Opex_Budget!$N:$N,"JPY")*$E$5+SUMIFS(Opex_Budget!$R:$R,Opex_Budget!$A:$A,$C$3,Opex_Budget!$E:$E,$B$66,Opex_Budget!$F:$F,$D$66,Opex_Budget!$N:$N,"USD")*$F$5+SUMIFS(Opex_Budget!$R:$R,Opex_Budget!$A:$A,$C$3,Opex_Budget!$E:$E,$B$66,Opex_Budget!$F:$F,$D$66,Opex_Budget!$N:$N,"EUR")*$G$5+SUMIFS(Opex_Budget!$R:$R,Opex_Budget!$A:$A,$C$3,Opex_Budget!$E:$E,$B$66,Opex_Budget!$F:$F,$D$66,Opex_Budget!$N:$N,"GBP")*$H$5)</f>
        <v/>
      </c>
      <c r="L66" s="32">
        <f>IF($B$66="","",SUMIFS(Opex_Budget!$S:$S,Opex_Budget!$A:$A,$C$3,Opex_Budget!$E:$E,$B$66,Opex_Budget!$F:$F,$D$66,Opex_Budget!$N:$N,"JPY")*$E$5+SUMIFS(Opex_Budget!$S:$S,Opex_Budget!$A:$A,$C$3,Opex_Budget!$E:$E,$B$66,Opex_Budget!$F:$F,$D$66,Opex_Budget!$N:$N,"USD")*$F$5+SUMIFS(Opex_Budget!$S:$S,Opex_Budget!$A:$A,$C$3,Opex_Budget!$E:$E,$B$66,Opex_Budget!$F:$F,$D$66,Opex_Budget!$N:$N,"EUR")*$G$5+SUMIFS(Opex_Budget!$S:$S,Opex_Budget!$A:$A,$C$3,Opex_Budget!$E:$E,$B$66,Opex_Budget!$F:$F,$D$66,Opex_Budget!$N:$N,"GBP")*$H$5)</f>
        <v/>
      </c>
      <c r="M66" s="32">
        <f>IF($B$66="","",SUMIFS(Opex_Budget!$T:$T,Opex_Budget!$A:$A,$C$3,Opex_Budget!$E:$E,$B$66,Opex_Budget!$F:$F,$D$66,Opex_Budget!$N:$N,"JPY")*$E$5+SUMIFS(Opex_Budget!$T:$T,Opex_Budget!$A:$A,$C$3,Opex_Budget!$E:$E,$B$66,Opex_Budget!$F:$F,$D$66,Opex_Budget!$N:$N,"USD")*$F$5+SUMIFS(Opex_Budget!$T:$T,Opex_Budget!$A:$A,$C$3,Opex_Budget!$E:$E,$B$66,Opex_Budget!$F:$F,$D$66,Opex_Budget!$N:$N,"EUR")*$G$5+SUMIFS(Opex_Budget!$T:$T,Opex_Budget!$A:$A,$C$3,Opex_Budget!$E:$E,$B$66,Opex_Budget!$F:$F,$D$66,Opex_Budget!$N:$N,"GBP")*$H$5)</f>
        <v/>
      </c>
      <c r="N66" s="32">
        <f>IF($B$66="","",SUMIFS(Opex_Budget!$U:$U,Opex_Budget!$A:$A,$C$3,Opex_Budget!$E:$E,$B$66,Opex_Budget!$F:$F,$D$66,Opex_Budget!$N:$N,"JPY")*$E$5+SUMIFS(Opex_Budget!$U:$U,Opex_Budget!$A:$A,$C$3,Opex_Budget!$E:$E,$B$66,Opex_Budget!$F:$F,$D$66,Opex_Budget!$N:$N,"USD")*$F$5+SUMIFS(Opex_Budget!$U:$U,Opex_Budget!$A:$A,$C$3,Opex_Budget!$E:$E,$B$66,Opex_Budget!$F:$F,$D$66,Opex_Budget!$N:$N,"EUR")*$G$5+SUMIFS(Opex_Budget!$U:$U,Opex_Budget!$A:$A,$C$3,Opex_Budget!$E:$E,$B$66,Opex_Budget!$F:$F,$D$66,Opex_Budget!$N:$N,"GBP")*$H$5)</f>
        <v/>
      </c>
      <c r="O66" s="32">
        <f>IF($B$66="","",SUMIFS(Opex_Budget!$V:$V,Opex_Budget!$A:$A,$C$3,Opex_Budget!$E:$E,$B$66,Opex_Budget!$F:$F,$D$66,Opex_Budget!$N:$N,"JPY")*$E$5+SUMIFS(Opex_Budget!$V:$V,Opex_Budget!$A:$A,$C$3,Opex_Budget!$E:$E,$B$66,Opex_Budget!$F:$F,$D$66,Opex_Budget!$N:$N,"USD")*$F$5+SUMIFS(Opex_Budget!$V:$V,Opex_Budget!$A:$A,$C$3,Opex_Budget!$E:$E,$B$66,Opex_Budget!$F:$F,$D$66,Opex_Budget!$N:$N,"EUR")*$G$5+SUMIFS(Opex_Budget!$V:$V,Opex_Budget!$A:$A,$C$3,Opex_Budget!$E:$E,$B$66,Opex_Budget!$F:$F,$D$66,Opex_Budget!$N:$N,"GBP")*$H$5)</f>
        <v/>
      </c>
      <c r="P66" s="32">
        <f>IF($B$66="","",SUMIFS(Opex_Budget!$W:$W,Opex_Budget!$A:$A,$C$3,Opex_Budget!$E:$E,$B$66,Opex_Budget!$F:$F,$D$66,Opex_Budget!$N:$N,"JPY")*$E$5+SUMIFS(Opex_Budget!$W:$W,Opex_Budget!$A:$A,$C$3,Opex_Budget!$E:$E,$B$66,Opex_Budget!$F:$F,$D$66,Opex_Budget!$N:$N,"USD")*$F$5+SUMIFS(Opex_Budget!$W:$W,Opex_Budget!$A:$A,$C$3,Opex_Budget!$E:$E,$B$66,Opex_Budget!$F:$F,$D$66,Opex_Budget!$N:$N,"EUR")*$G$5+SUMIFS(Opex_Budget!$W:$W,Opex_Budget!$A:$A,$C$3,Opex_Budget!$E:$E,$B$66,Opex_Budget!$F:$F,$D$66,Opex_Budget!$N:$N,"GBP")*$H$5)</f>
        <v/>
      </c>
      <c r="Q66" s="32">
        <f>IF($B$66="","",SUMIFS(Opex_Budget!$X:$X,Opex_Budget!$A:$A,$C$3,Opex_Budget!$E:$E,$B$66,Opex_Budget!$F:$F,$D$66,Opex_Budget!$N:$N,"JPY")*$E$5+SUMIFS(Opex_Budget!$X:$X,Opex_Budget!$A:$A,$C$3,Opex_Budget!$E:$E,$B$66,Opex_Budget!$F:$F,$D$66,Opex_Budget!$N:$N,"USD")*$F$5+SUMIFS(Opex_Budget!$X:$X,Opex_Budget!$A:$A,$C$3,Opex_Budget!$E:$E,$B$66,Opex_Budget!$F:$F,$D$66,Opex_Budget!$N:$N,"EUR")*$G$5+SUMIFS(Opex_Budget!$X:$X,Opex_Budget!$A:$A,$C$3,Opex_Budget!$E:$E,$B$66,Opex_Budget!$F:$F,$D$66,Opex_Budget!$N:$N,"GBP")*$H$5)</f>
        <v/>
      </c>
      <c r="R66" s="32">
        <f>IF($B$66="","",SUMIFS(Opex_Budget!$Y:$Y,Opex_Budget!$A:$A,$C$3,Opex_Budget!$E:$E,$B$66,Opex_Budget!$F:$F,$D$66,Opex_Budget!$N:$N,"JPY")*$E$5+SUMIFS(Opex_Budget!$Y:$Y,Opex_Budget!$A:$A,$C$3,Opex_Budget!$E:$E,$B$66,Opex_Budget!$F:$F,$D$66,Opex_Budget!$N:$N,"USD")*$F$5+SUMIFS(Opex_Budget!$Y:$Y,Opex_Budget!$A:$A,$C$3,Opex_Budget!$E:$E,$B$66,Opex_Budget!$F:$F,$D$66,Opex_Budget!$N:$N,"EUR")*$G$5+SUMIFS(Opex_Budget!$Y:$Y,Opex_Budget!$A:$A,$C$3,Opex_Budget!$E:$E,$B$66,Opex_Budget!$F:$F,$D$66,Opex_Budget!$N:$N,"GBP")*$H$5)</f>
        <v/>
      </c>
      <c r="S66" s="32">
        <f>IF($B$66="","",SUMIFS(Opex_Budget!$Z:$Z,Opex_Budget!$A:$A,$C$3,Opex_Budget!$E:$E,$B$66,Opex_Budget!$F:$F,$D$66,Opex_Budget!$N:$N,"JPY")*$E$5+SUMIFS(Opex_Budget!$Z:$Z,Opex_Budget!$A:$A,$C$3,Opex_Budget!$E:$E,$B$66,Opex_Budget!$F:$F,$D$66,Opex_Budget!$N:$N,"USD")*$F$5+SUMIFS(Opex_Budget!$Z:$Z,Opex_Budget!$A:$A,$C$3,Opex_Budget!$E:$E,$B$66,Opex_Budget!$F:$F,$D$66,Opex_Budget!$N:$N,"EUR")*$G$5+SUMIFS(Opex_Budget!$Z:$Z,Opex_Budget!$A:$A,$C$3,Opex_Budget!$E:$E,$B$66,Opex_Budget!$F:$F,$D$66,Opex_Budget!$N:$N,"GBP")*$H$5)</f>
        <v/>
      </c>
      <c r="T66" s="32">
        <f>IF($B$66="","",SUMIF($H$7:$S$7,"&lt;="&amp;$C$4,$H66:$S66))</f>
        <v/>
      </c>
      <c r="U66" s="32">
        <f>IF($B$66="","",SUMIF($H$7:$S$7,"&gt;"&amp;$C$4,$H66:$S66))</f>
        <v/>
      </c>
      <c r="V66" s="32">
        <f>IF($B$66="","",SUM($H66:$S66))</f>
        <v/>
      </c>
      <c r="X66" s="22">
        <f>IF($B66="","",IFERROR(INDEX(Cost_Centers!$E:$E,MATCH($B66,Cost_Centers!$A:$A,0)),"(unknown)"))</f>
        <v/>
      </c>
      <c r="Y66" s="22">
        <f>IF($B66="","",IFERROR(INDEX(Cost_Centers!$D:$D,MATCH($B66,Cost_Centers!$A:$A,0)),"(unknown)"))</f>
        <v/>
      </c>
      <c r="Z66" s="22">
        <f>IF(OR($B66="",$G66&lt;&gt;"Variance vs Budget"),"",ABS(N($V66))+ROW()/1000000000)</f>
        <v/>
      </c>
    </row>
    <row r="67">
      <c r="A67" s="13">
        <f>IF(A$66="","",A$66)</f>
        <v/>
      </c>
      <c r="B67" s="13">
        <f>IF(B$66="","",B$66)</f>
        <v/>
      </c>
      <c r="C67" s="13">
        <f>IF(C$66="","",C$66)</f>
        <v/>
      </c>
      <c r="D67" s="13">
        <f>IF(D$66="","",D$66)</f>
        <v/>
      </c>
      <c r="E67" s="13">
        <f>IF(E$66="","",E$66)</f>
        <v/>
      </c>
      <c r="F67" s="13">
        <f>IF(F$66="","",F$66)</f>
        <v/>
      </c>
      <c r="G67" s="7" t="inlineStr">
        <is>
          <t>Actual</t>
        </is>
      </c>
      <c r="H67" s="18">
        <f>IF(OR($B$66="",1&gt;$C$4),"",SUMIFS(Actuals!$G:$G,Actuals!$B:$B,$C$3,Actuals!$C:$C,1,Actuals!$D:$D,$B$66,Actuals!$A:$A,LEFT($D$66,FIND("|",$D$66&amp;"|")-1),Actuals!$E:$E,MID($D$66,FIND("|",$D$66&amp;"|")+1,50),Actuals!$F:$F,"JPY")*$E$5+SUMIFS(Actuals!$G:$G,Actuals!$B:$B,$C$3,Actuals!$C:$C,1,Actuals!$D:$D,$B$66,Actuals!$A:$A,LEFT($D$66,FIND("|",$D$66&amp;"|")-1),Actuals!$E:$E,MID($D$66,FIND("|",$D$66&amp;"|")+1,50),Actuals!$F:$F,"USD")*$F$5+SUMIFS(Actuals!$G:$G,Actuals!$B:$B,$C$3,Actuals!$C:$C,1,Actuals!$D:$D,$B$66,Actuals!$A:$A,LEFT($D$66,FIND("|",$D$66&amp;"|")-1),Actuals!$E:$E,MID($D$66,FIND("|",$D$66&amp;"|")+1,50),Actuals!$F:$F,"EUR")*$G$5+SUMIFS(Actuals!$G:$G,Actuals!$B:$B,$C$3,Actuals!$C:$C,1,Actuals!$D:$D,$B$66,Actuals!$A:$A,LEFT($D$66,FIND("|",$D$66&amp;"|")-1),Actuals!$E:$E,MID($D$66,FIND("|",$D$66&amp;"|")+1,50),Actuals!$F:$F,"GBP")*$H$5)</f>
        <v/>
      </c>
      <c r="I67" s="18">
        <f>IF(OR($B$66="",2&gt;$C$4),"",SUMIFS(Actuals!$G:$G,Actuals!$B:$B,$C$3,Actuals!$C:$C,2,Actuals!$D:$D,$B$66,Actuals!$A:$A,LEFT($D$66,FIND("|",$D$66&amp;"|")-1),Actuals!$E:$E,MID($D$66,FIND("|",$D$66&amp;"|")+1,50),Actuals!$F:$F,"JPY")*$E$5+SUMIFS(Actuals!$G:$G,Actuals!$B:$B,$C$3,Actuals!$C:$C,2,Actuals!$D:$D,$B$66,Actuals!$A:$A,LEFT($D$66,FIND("|",$D$66&amp;"|")-1),Actuals!$E:$E,MID($D$66,FIND("|",$D$66&amp;"|")+1,50),Actuals!$F:$F,"USD")*$F$5+SUMIFS(Actuals!$G:$G,Actuals!$B:$B,$C$3,Actuals!$C:$C,2,Actuals!$D:$D,$B$66,Actuals!$A:$A,LEFT($D$66,FIND("|",$D$66&amp;"|")-1),Actuals!$E:$E,MID($D$66,FIND("|",$D$66&amp;"|")+1,50),Actuals!$F:$F,"EUR")*$G$5+SUMIFS(Actuals!$G:$G,Actuals!$B:$B,$C$3,Actuals!$C:$C,2,Actuals!$D:$D,$B$66,Actuals!$A:$A,LEFT($D$66,FIND("|",$D$66&amp;"|")-1),Actuals!$E:$E,MID($D$66,FIND("|",$D$66&amp;"|")+1,50),Actuals!$F:$F,"GBP")*$H$5)</f>
        <v/>
      </c>
      <c r="J67" s="18">
        <f>IF(OR($B$66="",3&gt;$C$4),"",SUMIFS(Actuals!$G:$G,Actuals!$B:$B,$C$3,Actuals!$C:$C,3,Actuals!$D:$D,$B$66,Actuals!$A:$A,LEFT($D$66,FIND("|",$D$66&amp;"|")-1),Actuals!$E:$E,MID($D$66,FIND("|",$D$66&amp;"|")+1,50),Actuals!$F:$F,"JPY")*$E$5+SUMIFS(Actuals!$G:$G,Actuals!$B:$B,$C$3,Actuals!$C:$C,3,Actuals!$D:$D,$B$66,Actuals!$A:$A,LEFT($D$66,FIND("|",$D$66&amp;"|")-1),Actuals!$E:$E,MID($D$66,FIND("|",$D$66&amp;"|")+1,50),Actuals!$F:$F,"USD")*$F$5+SUMIFS(Actuals!$G:$G,Actuals!$B:$B,$C$3,Actuals!$C:$C,3,Actuals!$D:$D,$B$66,Actuals!$A:$A,LEFT($D$66,FIND("|",$D$66&amp;"|")-1),Actuals!$E:$E,MID($D$66,FIND("|",$D$66&amp;"|")+1,50),Actuals!$F:$F,"EUR")*$G$5+SUMIFS(Actuals!$G:$G,Actuals!$B:$B,$C$3,Actuals!$C:$C,3,Actuals!$D:$D,$B$66,Actuals!$A:$A,LEFT($D$66,FIND("|",$D$66&amp;"|")-1),Actuals!$E:$E,MID($D$66,FIND("|",$D$66&amp;"|")+1,50),Actuals!$F:$F,"GBP")*$H$5)</f>
        <v/>
      </c>
      <c r="K67" s="18">
        <f>IF(OR($B$66="",4&gt;$C$4),"",SUMIFS(Actuals!$G:$G,Actuals!$B:$B,$C$3,Actuals!$C:$C,4,Actuals!$D:$D,$B$66,Actuals!$A:$A,LEFT($D$66,FIND("|",$D$66&amp;"|")-1),Actuals!$E:$E,MID($D$66,FIND("|",$D$66&amp;"|")+1,50),Actuals!$F:$F,"JPY")*$E$5+SUMIFS(Actuals!$G:$G,Actuals!$B:$B,$C$3,Actuals!$C:$C,4,Actuals!$D:$D,$B$66,Actuals!$A:$A,LEFT($D$66,FIND("|",$D$66&amp;"|")-1),Actuals!$E:$E,MID($D$66,FIND("|",$D$66&amp;"|")+1,50),Actuals!$F:$F,"USD")*$F$5+SUMIFS(Actuals!$G:$G,Actuals!$B:$B,$C$3,Actuals!$C:$C,4,Actuals!$D:$D,$B$66,Actuals!$A:$A,LEFT($D$66,FIND("|",$D$66&amp;"|")-1),Actuals!$E:$E,MID($D$66,FIND("|",$D$66&amp;"|")+1,50),Actuals!$F:$F,"EUR")*$G$5+SUMIFS(Actuals!$G:$G,Actuals!$B:$B,$C$3,Actuals!$C:$C,4,Actuals!$D:$D,$B$66,Actuals!$A:$A,LEFT($D$66,FIND("|",$D$66&amp;"|")-1),Actuals!$E:$E,MID($D$66,FIND("|",$D$66&amp;"|")+1,50),Actuals!$F:$F,"GBP")*$H$5)</f>
        <v/>
      </c>
      <c r="L67" s="18">
        <f>IF(OR($B$66="",5&gt;$C$4),"",SUMIFS(Actuals!$G:$G,Actuals!$B:$B,$C$3,Actuals!$C:$C,5,Actuals!$D:$D,$B$66,Actuals!$A:$A,LEFT($D$66,FIND("|",$D$66&amp;"|")-1),Actuals!$E:$E,MID($D$66,FIND("|",$D$66&amp;"|")+1,50),Actuals!$F:$F,"JPY")*$E$5+SUMIFS(Actuals!$G:$G,Actuals!$B:$B,$C$3,Actuals!$C:$C,5,Actuals!$D:$D,$B$66,Actuals!$A:$A,LEFT($D$66,FIND("|",$D$66&amp;"|")-1),Actuals!$E:$E,MID($D$66,FIND("|",$D$66&amp;"|")+1,50),Actuals!$F:$F,"USD")*$F$5+SUMIFS(Actuals!$G:$G,Actuals!$B:$B,$C$3,Actuals!$C:$C,5,Actuals!$D:$D,$B$66,Actuals!$A:$A,LEFT($D$66,FIND("|",$D$66&amp;"|")-1),Actuals!$E:$E,MID($D$66,FIND("|",$D$66&amp;"|")+1,50),Actuals!$F:$F,"EUR")*$G$5+SUMIFS(Actuals!$G:$G,Actuals!$B:$B,$C$3,Actuals!$C:$C,5,Actuals!$D:$D,$B$66,Actuals!$A:$A,LEFT($D$66,FIND("|",$D$66&amp;"|")-1),Actuals!$E:$E,MID($D$66,FIND("|",$D$66&amp;"|")+1,50),Actuals!$F:$F,"GBP")*$H$5)</f>
        <v/>
      </c>
      <c r="M67" s="18">
        <f>IF(OR($B$66="",6&gt;$C$4),"",SUMIFS(Actuals!$G:$G,Actuals!$B:$B,$C$3,Actuals!$C:$C,6,Actuals!$D:$D,$B$66,Actuals!$A:$A,LEFT($D$66,FIND("|",$D$66&amp;"|")-1),Actuals!$E:$E,MID($D$66,FIND("|",$D$66&amp;"|")+1,50),Actuals!$F:$F,"JPY")*$E$5+SUMIFS(Actuals!$G:$G,Actuals!$B:$B,$C$3,Actuals!$C:$C,6,Actuals!$D:$D,$B$66,Actuals!$A:$A,LEFT($D$66,FIND("|",$D$66&amp;"|")-1),Actuals!$E:$E,MID($D$66,FIND("|",$D$66&amp;"|")+1,50),Actuals!$F:$F,"USD")*$F$5+SUMIFS(Actuals!$G:$G,Actuals!$B:$B,$C$3,Actuals!$C:$C,6,Actuals!$D:$D,$B$66,Actuals!$A:$A,LEFT($D$66,FIND("|",$D$66&amp;"|")-1),Actuals!$E:$E,MID($D$66,FIND("|",$D$66&amp;"|")+1,50),Actuals!$F:$F,"EUR")*$G$5+SUMIFS(Actuals!$G:$G,Actuals!$B:$B,$C$3,Actuals!$C:$C,6,Actuals!$D:$D,$B$66,Actuals!$A:$A,LEFT($D$66,FIND("|",$D$66&amp;"|")-1),Actuals!$E:$E,MID($D$66,FIND("|",$D$66&amp;"|")+1,50),Actuals!$F:$F,"GBP")*$H$5)</f>
        <v/>
      </c>
      <c r="N67" s="18">
        <f>IF(OR($B$66="",7&gt;$C$4),"",SUMIFS(Actuals!$G:$G,Actuals!$B:$B,$C$3,Actuals!$C:$C,7,Actuals!$D:$D,$B$66,Actuals!$A:$A,LEFT($D$66,FIND("|",$D$66&amp;"|")-1),Actuals!$E:$E,MID($D$66,FIND("|",$D$66&amp;"|")+1,50),Actuals!$F:$F,"JPY")*$E$5+SUMIFS(Actuals!$G:$G,Actuals!$B:$B,$C$3,Actuals!$C:$C,7,Actuals!$D:$D,$B$66,Actuals!$A:$A,LEFT($D$66,FIND("|",$D$66&amp;"|")-1),Actuals!$E:$E,MID($D$66,FIND("|",$D$66&amp;"|")+1,50),Actuals!$F:$F,"USD")*$F$5+SUMIFS(Actuals!$G:$G,Actuals!$B:$B,$C$3,Actuals!$C:$C,7,Actuals!$D:$D,$B$66,Actuals!$A:$A,LEFT($D$66,FIND("|",$D$66&amp;"|")-1),Actuals!$E:$E,MID($D$66,FIND("|",$D$66&amp;"|")+1,50),Actuals!$F:$F,"EUR")*$G$5+SUMIFS(Actuals!$G:$G,Actuals!$B:$B,$C$3,Actuals!$C:$C,7,Actuals!$D:$D,$B$66,Actuals!$A:$A,LEFT($D$66,FIND("|",$D$66&amp;"|")-1),Actuals!$E:$E,MID($D$66,FIND("|",$D$66&amp;"|")+1,50),Actuals!$F:$F,"GBP")*$H$5)</f>
        <v/>
      </c>
      <c r="O67" s="18">
        <f>IF(OR($B$66="",8&gt;$C$4),"",SUMIFS(Actuals!$G:$G,Actuals!$B:$B,$C$3,Actuals!$C:$C,8,Actuals!$D:$D,$B$66,Actuals!$A:$A,LEFT($D$66,FIND("|",$D$66&amp;"|")-1),Actuals!$E:$E,MID($D$66,FIND("|",$D$66&amp;"|")+1,50),Actuals!$F:$F,"JPY")*$E$5+SUMIFS(Actuals!$G:$G,Actuals!$B:$B,$C$3,Actuals!$C:$C,8,Actuals!$D:$D,$B$66,Actuals!$A:$A,LEFT($D$66,FIND("|",$D$66&amp;"|")-1),Actuals!$E:$E,MID($D$66,FIND("|",$D$66&amp;"|")+1,50),Actuals!$F:$F,"USD")*$F$5+SUMIFS(Actuals!$G:$G,Actuals!$B:$B,$C$3,Actuals!$C:$C,8,Actuals!$D:$D,$B$66,Actuals!$A:$A,LEFT($D$66,FIND("|",$D$66&amp;"|")-1),Actuals!$E:$E,MID($D$66,FIND("|",$D$66&amp;"|")+1,50),Actuals!$F:$F,"EUR")*$G$5+SUMIFS(Actuals!$G:$G,Actuals!$B:$B,$C$3,Actuals!$C:$C,8,Actuals!$D:$D,$B$66,Actuals!$A:$A,LEFT($D$66,FIND("|",$D$66&amp;"|")-1),Actuals!$E:$E,MID($D$66,FIND("|",$D$66&amp;"|")+1,50),Actuals!$F:$F,"GBP")*$H$5)</f>
        <v/>
      </c>
      <c r="P67" s="18">
        <f>IF(OR($B$66="",9&gt;$C$4),"",SUMIFS(Actuals!$G:$G,Actuals!$B:$B,$C$3,Actuals!$C:$C,9,Actuals!$D:$D,$B$66,Actuals!$A:$A,LEFT($D$66,FIND("|",$D$66&amp;"|")-1),Actuals!$E:$E,MID($D$66,FIND("|",$D$66&amp;"|")+1,50),Actuals!$F:$F,"JPY")*$E$5+SUMIFS(Actuals!$G:$G,Actuals!$B:$B,$C$3,Actuals!$C:$C,9,Actuals!$D:$D,$B$66,Actuals!$A:$A,LEFT($D$66,FIND("|",$D$66&amp;"|")-1),Actuals!$E:$E,MID($D$66,FIND("|",$D$66&amp;"|")+1,50),Actuals!$F:$F,"USD")*$F$5+SUMIFS(Actuals!$G:$G,Actuals!$B:$B,$C$3,Actuals!$C:$C,9,Actuals!$D:$D,$B$66,Actuals!$A:$A,LEFT($D$66,FIND("|",$D$66&amp;"|")-1),Actuals!$E:$E,MID($D$66,FIND("|",$D$66&amp;"|")+1,50),Actuals!$F:$F,"EUR")*$G$5+SUMIFS(Actuals!$G:$G,Actuals!$B:$B,$C$3,Actuals!$C:$C,9,Actuals!$D:$D,$B$66,Actuals!$A:$A,LEFT($D$66,FIND("|",$D$66&amp;"|")-1),Actuals!$E:$E,MID($D$66,FIND("|",$D$66&amp;"|")+1,50),Actuals!$F:$F,"GBP")*$H$5)</f>
        <v/>
      </c>
      <c r="Q67" s="18">
        <f>IF(OR($B$66="",10&gt;$C$4),"",SUMIFS(Actuals!$G:$G,Actuals!$B:$B,$C$3,Actuals!$C:$C,10,Actuals!$D:$D,$B$66,Actuals!$A:$A,LEFT($D$66,FIND("|",$D$66&amp;"|")-1),Actuals!$E:$E,MID($D$66,FIND("|",$D$66&amp;"|")+1,50),Actuals!$F:$F,"JPY")*$E$5+SUMIFS(Actuals!$G:$G,Actuals!$B:$B,$C$3,Actuals!$C:$C,10,Actuals!$D:$D,$B$66,Actuals!$A:$A,LEFT($D$66,FIND("|",$D$66&amp;"|")-1),Actuals!$E:$E,MID($D$66,FIND("|",$D$66&amp;"|")+1,50),Actuals!$F:$F,"USD")*$F$5+SUMIFS(Actuals!$G:$G,Actuals!$B:$B,$C$3,Actuals!$C:$C,10,Actuals!$D:$D,$B$66,Actuals!$A:$A,LEFT($D$66,FIND("|",$D$66&amp;"|")-1),Actuals!$E:$E,MID($D$66,FIND("|",$D$66&amp;"|")+1,50),Actuals!$F:$F,"EUR")*$G$5+SUMIFS(Actuals!$G:$G,Actuals!$B:$B,$C$3,Actuals!$C:$C,10,Actuals!$D:$D,$B$66,Actuals!$A:$A,LEFT($D$66,FIND("|",$D$66&amp;"|")-1),Actuals!$E:$E,MID($D$66,FIND("|",$D$66&amp;"|")+1,50),Actuals!$F:$F,"GBP")*$H$5)</f>
        <v/>
      </c>
      <c r="R67" s="18">
        <f>IF(OR($B$66="",11&gt;$C$4),"",SUMIFS(Actuals!$G:$G,Actuals!$B:$B,$C$3,Actuals!$C:$C,11,Actuals!$D:$D,$B$66,Actuals!$A:$A,LEFT($D$66,FIND("|",$D$66&amp;"|")-1),Actuals!$E:$E,MID($D$66,FIND("|",$D$66&amp;"|")+1,50),Actuals!$F:$F,"JPY")*$E$5+SUMIFS(Actuals!$G:$G,Actuals!$B:$B,$C$3,Actuals!$C:$C,11,Actuals!$D:$D,$B$66,Actuals!$A:$A,LEFT($D$66,FIND("|",$D$66&amp;"|")-1),Actuals!$E:$E,MID($D$66,FIND("|",$D$66&amp;"|")+1,50),Actuals!$F:$F,"USD")*$F$5+SUMIFS(Actuals!$G:$G,Actuals!$B:$B,$C$3,Actuals!$C:$C,11,Actuals!$D:$D,$B$66,Actuals!$A:$A,LEFT($D$66,FIND("|",$D$66&amp;"|")-1),Actuals!$E:$E,MID($D$66,FIND("|",$D$66&amp;"|")+1,50),Actuals!$F:$F,"EUR")*$G$5+SUMIFS(Actuals!$G:$G,Actuals!$B:$B,$C$3,Actuals!$C:$C,11,Actuals!$D:$D,$B$66,Actuals!$A:$A,LEFT($D$66,FIND("|",$D$66&amp;"|")-1),Actuals!$E:$E,MID($D$66,FIND("|",$D$66&amp;"|")+1,50),Actuals!$F:$F,"GBP")*$H$5)</f>
        <v/>
      </c>
      <c r="S67" s="18">
        <f>IF(OR($B$66="",12&gt;$C$4),"",SUMIFS(Actuals!$G:$G,Actuals!$B:$B,$C$3,Actuals!$C:$C,12,Actuals!$D:$D,$B$66,Actuals!$A:$A,LEFT($D$66,FIND("|",$D$66&amp;"|")-1),Actuals!$E:$E,MID($D$66,FIND("|",$D$66&amp;"|")+1,50),Actuals!$F:$F,"JPY")*$E$5+SUMIFS(Actuals!$G:$G,Actuals!$B:$B,$C$3,Actuals!$C:$C,12,Actuals!$D:$D,$B$66,Actuals!$A:$A,LEFT($D$66,FIND("|",$D$66&amp;"|")-1),Actuals!$E:$E,MID($D$66,FIND("|",$D$66&amp;"|")+1,50),Actuals!$F:$F,"USD")*$F$5+SUMIFS(Actuals!$G:$G,Actuals!$B:$B,$C$3,Actuals!$C:$C,12,Actuals!$D:$D,$B$66,Actuals!$A:$A,LEFT($D$66,FIND("|",$D$66&amp;"|")-1),Actuals!$E:$E,MID($D$66,FIND("|",$D$66&amp;"|")+1,50),Actuals!$F:$F,"EUR")*$G$5+SUMIFS(Actuals!$G:$G,Actuals!$B:$B,$C$3,Actuals!$C:$C,12,Actuals!$D:$D,$B$66,Actuals!$A:$A,LEFT($D$66,FIND("|",$D$66&amp;"|")-1),Actuals!$E:$E,MID($D$66,FIND("|",$D$66&amp;"|")+1,50),Actuals!$F:$F,"GBP")*$H$5)</f>
        <v/>
      </c>
      <c r="T67" s="18">
        <f>IF($B$66="","",SUMIF($H$7:$S$7,"&lt;="&amp;$C$4,$H67:$S67))</f>
        <v/>
      </c>
      <c r="U67" s="18" t="n"/>
      <c r="V67" s="18" t="n"/>
      <c r="X67" s="22">
        <f>IF($B67="","",IFERROR(INDEX(Cost_Centers!$E:$E,MATCH($B67,Cost_Centers!$A:$A,0)),"(unknown)"))</f>
        <v/>
      </c>
      <c r="Y67" s="22">
        <f>IF($B67="","",IFERROR(INDEX(Cost_Centers!$D:$D,MATCH($B67,Cost_Centers!$A:$A,0)),"(unknown)"))</f>
        <v/>
      </c>
      <c r="Z67" s="22">
        <f>IF(OR($B67="",$G67&lt;&gt;"Variance vs Budget"),"",ABS(N($V67))+ROW()/1000000000)</f>
        <v/>
      </c>
    </row>
    <row r="68">
      <c r="A68" s="13">
        <f>IF(A$66="","",A$66)</f>
        <v/>
      </c>
      <c r="B68" s="13">
        <f>IF(B$66="","",B$66)</f>
        <v/>
      </c>
      <c r="C68" s="13">
        <f>IF(C$66="","",C$66)</f>
        <v/>
      </c>
      <c r="D68" s="13">
        <f>IF(D$66="","",D$66)</f>
        <v/>
      </c>
      <c r="E68" s="13">
        <f>IF(E$66="","",E$66)</f>
        <v/>
      </c>
      <c r="F68" s="13">
        <f>IF(F$66="","",F$66)</f>
        <v/>
      </c>
      <c r="G68" s="6" t="inlineStr">
        <is>
          <t>Variance vs Budget</t>
        </is>
      </c>
      <c r="H68" s="33">
        <f>IF(OR($B$66="",1&gt;$C$4),"",N(H67)-H66)</f>
        <v/>
      </c>
      <c r="I68" s="33">
        <f>IF(OR($B$66="",2&gt;$C$4),"",N(I67)-I66)</f>
        <v/>
      </c>
      <c r="J68" s="33">
        <f>IF(OR($B$66="",3&gt;$C$4),"",N(J67)-J66)</f>
        <v/>
      </c>
      <c r="K68" s="33">
        <f>IF(OR($B$66="",4&gt;$C$4),"",N(K67)-K66)</f>
        <v/>
      </c>
      <c r="L68" s="33">
        <f>IF(OR($B$66="",5&gt;$C$4),"",N(L67)-L66)</f>
        <v/>
      </c>
      <c r="M68" s="33">
        <f>IF(OR($B$66="",6&gt;$C$4),"",N(M67)-M66)</f>
        <v/>
      </c>
      <c r="N68" s="33">
        <f>IF(OR($B$66="",7&gt;$C$4),"",N(N67)-N66)</f>
        <v/>
      </c>
      <c r="O68" s="33">
        <f>IF(OR($B$66="",8&gt;$C$4),"",N(O67)-O66)</f>
        <v/>
      </c>
      <c r="P68" s="33">
        <f>IF(OR($B$66="",9&gt;$C$4),"",N(P67)-P66)</f>
        <v/>
      </c>
      <c r="Q68" s="33">
        <f>IF(OR($B$66="",10&gt;$C$4),"",N(Q67)-Q66)</f>
        <v/>
      </c>
      <c r="R68" s="33">
        <f>IF(OR($B$66="",11&gt;$C$4),"",N(R67)-R66)</f>
        <v/>
      </c>
      <c r="S68" s="33">
        <f>IF(OR($B$66="",12&gt;$C$4),"",N(S67)-S66)</f>
        <v/>
      </c>
      <c r="T68" s="33">
        <f>IF($B$66="","",T67-T66)</f>
        <v/>
      </c>
      <c r="U68" s="33">
        <f>IF($B$66="","",U70-U66)</f>
        <v/>
      </c>
      <c r="V68" s="33">
        <f>IF($B$66="","",V70-V66)</f>
        <v/>
      </c>
      <c r="X68" s="22">
        <f>IF($B68="","",IFERROR(INDEX(Cost_Centers!$E:$E,MATCH($B68,Cost_Centers!$A:$A,0)),"(unknown)"))</f>
        <v/>
      </c>
      <c r="Y68" s="22">
        <f>IF($B68="","",IFERROR(INDEX(Cost_Centers!$D:$D,MATCH($B68,Cost_Centers!$A:$A,0)),"(unknown)"))</f>
        <v/>
      </c>
      <c r="Z68" s="22">
        <f>IF(OR($B68="",$G68&lt;&gt;"Variance vs Budget"),"",ABS(N($V68))+ROW()/1000000000)</f>
        <v/>
      </c>
    </row>
    <row r="69">
      <c r="A69" s="13">
        <f>IF(A$66="","",A$66)</f>
        <v/>
      </c>
      <c r="B69" s="13">
        <f>IF(B$66="","",B$66)</f>
        <v/>
      </c>
      <c r="C69" s="13">
        <f>IF(C$66="","",C$66)</f>
        <v/>
      </c>
      <c r="D69" s="13">
        <f>IF(D$66="","",D$66)</f>
        <v/>
      </c>
      <c r="E69" s="13">
        <f>IF(E$66="","",E$66)</f>
        <v/>
      </c>
      <c r="F69" s="13">
        <f>IF(F$66="","",F$66)</f>
        <v/>
      </c>
      <c r="G69" s="7" t="inlineStr">
        <is>
          <t>Forecast (input)</t>
        </is>
      </c>
      <c r="H69" s="34" t="n"/>
      <c r="I69" s="34" t="n"/>
      <c r="J69" s="34" t="n"/>
      <c r="K69" s="34" t="n"/>
      <c r="L69" s="34" t="n"/>
      <c r="M69" s="34" t="n"/>
      <c r="N69" s="34" t="n"/>
      <c r="O69" s="34" t="n"/>
      <c r="P69" s="34" t="n"/>
      <c r="Q69" s="34" t="n"/>
      <c r="R69" s="34" t="n"/>
      <c r="S69" s="34" t="n"/>
      <c r="T69" s="18" t="n"/>
      <c r="U69" s="18" t="n"/>
      <c r="V69" s="18" t="n"/>
      <c r="X69" s="22">
        <f>IF($B69="","",IFERROR(INDEX(Cost_Centers!$E:$E,MATCH($B69,Cost_Centers!$A:$A,0)),"(unknown)"))</f>
        <v/>
      </c>
      <c r="Y69" s="22">
        <f>IF($B69="","",IFERROR(INDEX(Cost_Centers!$D:$D,MATCH($B69,Cost_Centers!$A:$A,0)),"(unknown)"))</f>
        <v/>
      </c>
      <c r="Z69" s="22">
        <f>IF(OR($B69="",$G69&lt;&gt;"Variance vs Budget"),"",ABS(N($V69))+ROW()/1000000000)</f>
        <v/>
      </c>
    </row>
    <row r="70">
      <c r="A70" s="13">
        <f>IF(A$66="","",A$66)</f>
        <v/>
      </c>
      <c r="B70" s="13">
        <f>IF(B$66="","",B$66)</f>
        <v/>
      </c>
      <c r="C70" s="13">
        <f>IF(C$66="","",C$66)</f>
        <v/>
      </c>
      <c r="D70" s="13">
        <f>IF(D$66="","",D$66)</f>
        <v/>
      </c>
      <c r="E70" s="13">
        <f>IF(E$66="","",E$66)</f>
        <v/>
      </c>
      <c r="F70" s="13">
        <f>IF(F$66="","",F$66)</f>
        <v/>
      </c>
      <c r="G70" s="35" t="inlineStr">
        <is>
          <t>Actual + Forecast</t>
        </is>
      </c>
      <c r="H70" s="18">
        <f>IF($B$66="","",IF(1&lt;=$C$4,N(H67),IF(H69="",H66,H69)))</f>
        <v/>
      </c>
      <c r="I70" s="18">
        <f>IF($B$66="","",IF(2&lt;=$C$4,N(I67),IF(I69="",I66,I69)))</f>
        <v/>
      </c>
      <c r="J70" s="18">
        <f>IF($B$66="","",IF(3&lt;=$C$4,N(J67),IF(J69="",J66,J69)))</f>
        <v/>
      </c>
      <c r="K70" s="18">
        <f>IF($B$66="","",IF(4&lt;=$C$4,N(K67),IF(K69="",K66,K69)))</f>
        <v/>
      </c>
      <c r="L70" s="18">
        <f>IF($B$66="","",IF(5&lt;=$C$4,N(L67),IF(L69="",L66,L69)))</f>
        <v/>
      </c>
      <c r="M70" s="18">
        <f>IF($B$66="","",IF(6&lt;=$C$4,N(M67),IF(M69="",M66,M69)))</f>
        <v/>
      </c>
      <c r="N70" s="18">
        <f>IF($B$66="","",IF(7&lt;=$C$4,N(N67),IF(N69="",N66,N69)))</f>
        <v/>
      </c>
      <c r="O70" s="18">
        <f>IF($B$66="","",IF(8&lt;=$C$4,N(O67),IF(O69="",O66,O69)))</f>
        <v/>
      </c>
      <c r="P70" s="18">
        <f>IF($B$66="","",IF(9&lt;=$C$4,N(P67),IF(P69="",P66,P69)))</f>
        <v/>
      </c>
      <c r="Q70" s="18">
        <f>IF($B$66="","",IF(10&lt;=$C$4,N(Q67),IF(Q69="",Q66,Q69)))</f>
        <v/>
      </c>
      <c r="R70" s="18">
        <f>IF($B$66="","",IF(11&lt;=$C$4,N(R67),IF(R69="",R66,R69)))</f>
        <v/>
      </c>
      <c r="S70" s="18">
        <f>IF($B$66="","",IF(12&lt;=$C$4,N(S67),IF(S69="",S66,S69)))</f>
        <v/>
      </c>
      <c r="T70" s="18">
        <f>IF($B$66="","",SUMIF($H$7:$S$7,"&lt;="&amp;$C$4,$H70:$S70))</f>
        <v/>
      </c>
      <c r="U70" s="18">
        <f>IF($B$66="","",SUMIF($H$7:$S$7,"&gt;"&amp;$C$4,$H70:$S70))</f>
        <v/>
      </c>
      <c r="V70" s="18">
        <f>IF($B$66="","",SUM($H70:$S70))</f>
        <v/>
      </c>
      <c r="X70" s="22">
        <f>IF($B70="","",IFERROR(INDEX(Cost_Centers!$E:$E,MATCH($B70,Cost_Centers!$A:$A,0)),"(unknown)"))</f>
        <v/>
      </c>
      <c r="Y70" s="22">
        <f>IF($B70="","",IFERROR(INDEX(Cost_Centers!$D:$D,MATCH($B70,Cost_Centers!$A:$A,0)),"(unknown)"))</f>
        <v/>
      </c>
      <c r="Z70" s="22">
        <f>IF(OR($B70="",$G70&lt;&gt;"Variance vs Budget"),"",ABS(N($V70))+ROW()/1000000000)</f>
        <v/>
      </c>
    </row>
    <row r="71">
      <c r="A71" s="13">
        <f>IF(A$66="","",A$66)</f>
        <v/>
      </c>
      <c r="B71" s="13">
        <f>IF(B$66="","",B$66)</f>
        <v/>
      </c>
      <c r="C71" s="13">
        <f>IF(C$66="","",C$66)</f>
        <v/>
      </c>
      <c r="D71" s="13">
        <f>IF(D$66="","",D$66)</f>
        <v/>
      </c>
      <c r="E71" s="13">
        <f>IF(E$66="","",E$66)</f>
        <v/>
      </c>
      <c r="F71" s="13">
        <f>IF(F$66="","",F$66)</f>
        <v/>
      </c>
      <c r="G71" s="36" t="inlineStr">
        <is>
          <t>Prior Month Forecast</t>
        </is>
      </c>
      <c r="H71" s="37">
        <f>IF($B$66="","",IF(COUNTIFS(Prior_Forecast!$A:$A,$B$66,Prior_Forecast!$B:$B,$D$66)&gt;0,SUMIFS(Prior_Forecast!$C:$C,Prior_Forecast!$A:$A,$B$66,Prior_Forecast!$B:$B,$D$66),""))</f>
        <v/>
      </c>
      <c r="I71" s="37">
        <f>IF($B$66="","",IF(COUNTIFS(Prior_Forecast!$A:$A,$B$66,Prior_Forecast!$B:$B,$D$66)&gt;0,SUMIFS(Prior_Forecast!$D:$D,Prior_Forecast!$A:$A,$B$66,Prior_Forecast!$B:$B,$D$66),""))</f>
        <v/>
      </c>
      <c r="J71" s="37">
        <f>IF($B$66="","",IF(COUNTIFS(Prior_Forecast!$A:$A,$B$66,Prior_Forecast!$B:$B,$D$66)&gt;0,SUMIFS(Prior_Forecast!$E:$E,Prior_Forecast!$A:$A,$B$66,Prior_Forecast!$B:$B,$D$66),""))</f>
        <v/>
      </c>
      <c r="K71" s="37">
        <f>IF($B$66="","",IF(COUNTIFS(Prior_Forecast!$A:$A,$B$66,Prior_Forecast!$B:$B,$D$66)&gt;0,SUMIFS(Prior_Forecast!$F:$F,Prior_Forecast!$A:$A,$B$66,Prior_Forecast!$B:$B,$D$66),""))</f>
        <v/>
      </c>
      <c r="L71" s="37">
        <f>IF($B$66="","",IF(COUNTIFS(Prior_Forecast!$A:$A,$B$66,Prior_Forecast!$B:$B,$D$66)&gt;0,SUMIFS(Prior_Forecast!$G:$G,Prior_Forecast!$A:$A,$B$66,Prior_Forecast!$B:$B,$D$66),""))</f>
        <v/>
      </c>
      <c r="M71" s="37">
        <f>IF($B$66="","",IF(COUNTIFS(Prior_Forecast!$A:$A,$B$66,Prior_Forecast!$B:$B,$D$66)&gt;0,SUMIFS(Prior_Forecast!$H:$H,Prior_Forecast!$A:$A,$B$66,Prior_Forecast!$B:$B,$D$66),""))</f>
        <v/>
      </c>
      <c r="N71" s="37">
        <f>IF($B$66="","",IF(COUNTIFS(Prior_Forecast!$A:$A,$B$66,Prior_Forecast!$B:$B,$D$66)&gt;0,SUMIFS(Prior_Forecast!$I:$I,Prior_Forecast!$A:$A,$B$66,Prior_Forecast!$B:$B,$D$66),""))</f>
        <v/>
      </c>
      <c r="O71" s="37">
        <f>IF($B$66="","",IF(COUNTIFS(Prior_Forecast!$A:$A,$B$66,Prior_Forecast!$B:$B,$D$66)&gt;0,SUMIFS(Prior_Forecast!$J:$J,Prior_Forecast!$A:$A,$B$66,Prior_Forecast!$B:$B,$D$66),""))</f>
        <v/>
      </c>
      <c r="P71" s="37">
        <f>IF($B$66="","",IF(COUNTIFS(Prior_Forecast!$A:$A,$B$66,Prior_Forecast!$B:$B,$D$66)&gt;0,SUMIFS(Prior_Forecast!$K:$K,Prior_Forecast!$A:$A,$B$66,Prior_Forecast!$B:$B,$D$66),""))</f>
        <v/>
      </c>
      <c r="Q71" s="37">
        <f>IF($B$66="","",IF(COUNTIFS(Prior_Forecast!$A:$A,$B$66,Prior_Forecast!$B:$B,$D$66)&gt;0,SUMIFS(Prior_Forecast!$L:$L,Prior_Forecast!$A:$A,$B$66,Prior_Forecast!$B:$B,$D$66),""))</f>
        <v/>
      </c>
      <c r="R71" s="37">
        <f>IF($B$66="","",IF(COUNTIFS(Prior_Forecast!$A:$A,$B$66,Prior_Forecast!$B:$B,$D$66)&gt;0,SUMIFS(Prior_Forecast!$M:$M,Prior_Forecast!$A:$A,$B$66,Prior_Forecast!$B:$B,$D$66),""))</f>
        <v/>
      </c>
      <c r="S71" s="37">
        <f>IF($B$66="","",IF(COUNTIFS(Prior_Forecast!$A:$A,$B$66,Prior_Forecast!$B:$B,$D$66)&gt;0,SUMIFS(Prior_Forecast!$N:$N,Prior_Forecast!$A:$A,$B$66,Prior_Forecast!$B:$B,$D$66),""))</f>
        <v/>
      </c>
      <c r="T71" s="37">
        <f>IF($B$66="","",IF(COUNTIFS(Prior_Forecast!$A:$A,$B$66,Prior_Forecast!$B:$B,$D$66)&gt;0,SUMIFS(Prior_Forecast!$O:$O,Prior_Forecast!$A:$A,$B$66,Prior_Forecast!$B:$B,$D$66),""))</f>
        <v/>
      </c>
      <c r="U71" s="37">
        <f>IF($B$66="","",IF(COUNTIFS(Prior_Forecast!$A:$A,$B$66,Prior_Forecast!$B:$B,$D$66)&gt;0,SUMIFS(Prior_Forecast!$P:$P,Prior_Forecast!$A:$A,$B$66,Prior_Forecast!$B:$B,$D$66),""))</f>
        <v/>
      </c>
      <c r="V71" s="37">
        <f>IF($B$66="","",IF(COUNTIFS(Prior_Forecast!$A:$A,$B$66,Prior_Forecast!$B:$B,$D$66)&gt;0,SUMIFS(Prior_Forecast!$Q:$Q,Prior_Forecast!$A:$A,$B$66,Prior_Forecast!$B:$B,$D$66),""))</f>
        <v/>
      </c>
      <c r="X71" s="22">
        <f>IF($B71="","",IFERROR(INDEX(Cost_Centers!$E:$E,MATCH($B71,Cost_Centers!$A:$A,0)),"(unknown)"))</f>
        <v/>
      </c>
      <c r="Y71" s="22">
        <f>IF($B71="","",IFERROR(INDEX(Cost_Centers!$D:$D,MATCH($B71,Cost_Centers!$A:$A,0)),"(unknown)"))</f>
        <v/>
      </c>
      <c r="Z71" s="22">
        <f>IF(OR($B71="",$G71&lt;&gt;"Variance vs Budget"),"",ABS(N($V71))+ROW()/1000000000)</f>
        <v/>
      </c>
    </row>
    <row r="72">
      <c r="A72" s="13">
        <f>IF(A$66="","",A$66)</f>
        <v/>
      </c>
      <c r="B72" s="13">
        <f>IF(B$66="","",B$66)</f>
        <v/>
      </c>
      <c r="C72" s="13">
        <f>IF(C$66="","",C$66)</f>
        <v/>
      </c>
      <c r="D72" s="13">
        <f>IF(D$66="","",D$66)</f>
        <v/>
      </c>
      <c r="E72" s="13">
        <f>IF(E$66="","",E$66)</f>
        <v/>
      </c>
      <c r="F72" s="13">
        <f>IF(F$66="","",F$66)</f>
        <v/>
      </c>
      <c r="G72" s="6" t="inlineStr">
        <is>
          <t>Variance vs Prior Month</t>
        </is>
      </c>
      <c r="H72" s="33">
        <f>IF(OR($B$66="",H71=""),"",H70-H71)</f>
        <v/>
      </c>
      <c r="I72" s="33">
        <f>IF(OR($B$66="",I71=""),"",I70-I71)</f>
        <v/>
      </c>
      <c r="J72" s="33">
        <f>IF(OR($B$66="",J71=""),"",J70-J71)</f>
        <v/>
      </c>
      <c r="K72" s="33">
        <f>IF(OR($B$66="",K71=""),"",K70-K71)</f>
        <v/>
      </c>
      <c r="L72" s="33">
        <f>IF(OR($B$66="",L71=""),"",L70-L71)</f>
        <v/>
      </c>
      <c r="M72" s="33">
        <f>IF(OR($B$66="",M71=""),"",M70-M71)</f>
        <v/>
      </c>
      <c r="N72" s="33">
        <f>IF(OR($B$66="",N71=""),"",N70-N71)</f>
        <v/>
      </c>
      <c r="O72" s="33">
        <f>IF(OR($B$66="",O71=""),"",O70-O71)</f>
        <v/>
      </c>
      <c r="P72" s="33">
        <f>IF(OR($B$66="",P71=""),"",P70-P71)</f>
        <v/>
      </c>
      <c r="Q72" s="33">
        <f>IF(OR($B$66="",Q71=""),"",Q70-Q71)</f>
        <v/>
      </c>
      <c r="R72" s="33">
        <f>IF(OR($B$66="",R71=""),"",R70-R71)</f>
        <v/>
      </c>
      <c r="S72" s="33">
        <f>IF(OR($B$66="",S71=""),"",S70-S71)</f>
        <v/>
      </c>
      <c r="T72" s="33">
        <f>IF(OR($B$66="",T71=""),"",T70-T71)</f>
        <v/>
      </c>
      <c r="U72" s="33">
        <f>IF(OR($B$66="",U71=""),"",U70-U71)</f>
        <v/>
      </c>
      <c r="V72" s="33">
        <f>IF(OR($B$66="",V71=""),"",V70-V71)</f>
        <v/>
      </c>
      <c r="X72" s="22">
        <f>IF($B72="","",IFERROR(INDEX(Cost_Centers!$E:$E,MATCH($B72,Cost_Centers!$A:$A,0)),"(unknown)"))</f>
        <v/>
      </c>
      <c r="Y72" s="22">
        <f>IF($B72="","",IFERROR(INDEX(Cost_Centers!$D:$D,MATCH($B72,Cost_Centers!$A:$A,0)),"(unknown)"))</f>
        <v/>
      </c>
      <c r="Z72" s="22">
        <f>IF(OR($B72="",$G72&lt;&gt;"Variance vs Budget"),"",ABS(N($V72))+ROW()/1000000000)</f>
        <v/>
      </c>
    </row>
    <row r="73" ht="45" customHeight="1">
      <c r="A73" s="13">
        <f>IF(A$66="","",A$66)</f>
        <v/>
      </c>
      <c r="B73" s="13">
        <f>IF(B$66="","",B$66)</f>
        <v/>
      </c>
      <c r="C73" s="13">
        <f>IF(C$66="","",C$66)</f>
        <v/>
      </c>
      <c r="D73" s="13">
        <f>IF(D$66="","",D$66)</f>
        <v/>
      </c>
      <c r="E73" s="13">
        <f>IF(E$66="","",E$66)</f>
        <v/>
      </c>
      <c r="F73" s="13">
        <f>IF(F$66="","",F$66)</f>
        <v/>
      </c>
      <c r="G73" s="7" t="inlineStr">
        <is>
          <t>Rationale</t>
        </is>
      </c>
      <c r="H73" s="38" t="n"/>
      <c r="I73" s="38" t="n"/>
      <c r="J73" s="38" t="n"/>
      <c r="K73" s="38" t="n"/>
      <c r="L73" s="38" t="n"/>
      <c r="M73" s="38" t="n"/>
      <c r="N73" s="38" t="n"/>
      <c r="O73" s="38" t="n"/>
      <c r="P73" s="38" t="n"/>
      <c r="Q73" s="38" t="n"/>
      <c r="R73" s="38" t="n"/>
      <c r="S73" s="38" t="n"/>
      <c r="T73" s="38" t="n"/>
      <c r="U73" s="38" t="n"/>
      <c r="V73" s="7" t="n"/>
      <c r="X73" s="22">
        <f>IF($B73="","",IFERROR(INDEX(Cost_Centers!$E:$E,MATCH($B73,Cost_Centers!$A:$A,0)),"(unknown)"))</f>
        <v/>
      </c>
      <c r="Y73" s="22">
        <f>IF($B73="","",IFERROR(INDEX(Cost_Centers!$D:$D,MATCH($B73,Cost_Centers!$A:$A,0)),"(unknown)"))</f>
        <v/>
      </c>
      <c r="Z73" s="22">
        <f>IF(OR($B73="",$G73&lt;&gt;"Variance vs Budget"),"",ABS(N($V73))+ROW()/1000000000)</f>
        <v/>
      </c>
    </row>
    <row r="74">
      <c r="A74" s="30">
        <f>IF($D$74="","",LEFT($D$74,FIND("|",$D$74&amp;"|")-1))</f>
        <v/>
      </c>
      <c r="B74" s="31" t="n"/>
      <c r="C74" s="30">
        <f>IF($B$74="","",IFERROR(INDEX(Cost_Centers!$B:$B,MATCH($B$74,Cost_Centers!$A:$A,0)),"(not in master)"))</f>
        <v/>
      </c>
      <c r="D74" s="31" t="n"/>
      <c r="E74" s="30">
        <f>IF($D$74="","",IFERROR(INDEX(Accounts!$D:$D,MATCH($D$74,Accounts!$A:$A,0)),"(not in master)"))</f>
        <v/>
      </c>
      <c r="F74" s="31" t="n"/>
      <c r="G74" s="30" t="inlineStr">
        <is>
          <t>Budget</t>
        </is>
      </c>
      <c r="H74" s="32">
        <f>IF($B$74="","",SUMIFS(Opex_Budget!$O:$O,Opex_Budget!$A:$A,$C$3,Opex_Budget!$E:$E,$B$74,Opex_Budget!$F:$F,$D$74,Opex_Budget!$N:$N,"JPY")*$E$5+SUMIFS(Opex_Budget!$O:$O,Opex_Budget!$A:$A,$C$3,Opex_Budget!$E:$E,$B$74,Opex_Budget!$F:$F,$D$74,Opex_Budget!$N:$N,"USD")*$F$5+SUMIFS(Opex_Budget!$O:$O,Opex_Budget!$A:$A,$C$3,Opex_Budget!$E:$E,$B$74,Opex_Budget!$F:$F,$D$74,Opex_Budget!$N:$N,"EUR")*$G$5+SUMIFS(Opex_Budget!$O:$O,Opex_Budget!$A:$A,$C$3,Opex_Budget!$E:$E,$B$74,Opex_Budget!$F:$F,$D$74,Opex_Budget!$N:$N,"GBP")*$H$5)</f>
        <v/>
      </c>
      <c r="I74" s="32">
        <f>IF($B$74="","",SUMIFS(Opex_Budget!$P:$P,Opex_Budget!$A:$A,$C$3,Opex_Budget!$E:$E,$B$74,Opex_Budget!$F:$F,$D$74,Opex_Budget!$N:$N,"JPY")*$E$5+SUMIFS(Opex_Budget!$P:$P,Opex_Budget!$A:$A,$C$3,Opex_Budget!$E:$E,$B$74,Opex_Budget!$F:$F,$D$74,Opex_Budget!$N:$N,"USD")*$F$5+SUMIFS(Opex_Budget!$P:$P,Opex_Budget!$A:$A,$C$3,Opex_Budget!$E:$E,$B$74,Opex_Budget!$F:$F,$D$74,Opex_Budget!$N:$N,"EUR")*$G$5+SUMIFS(Opex_Budget!$P:$P,Opex_Budget!$A:$A,$C$3,Opex_Budget!$E:$E,$B$74,Opex_Budget!$F:$F,$D$74,Opex_Budget!$N:$N,"GBP")*$H$5)</f>
        <v/>
      </c>
      <c r="J74" s="32">
        <f>IF($B$74="","",SUMIFS(Opex_Budget!$Q:$Q,Opex_Budget!$A:$A,$C$3,Opex_Budget!$E:$E,$B$74,Opex_Budget!$F:$F,$D$74,Opex_Budget!$N:$N,"JPY")*$E$5+SUMIFS(Opex_Budget!$Q:$Q,Opex_Budget!$A:$A,$C$3,Opex_Budget!$E:$E,$B$74,Opex_Budget!$F:$F,$D$74,Opex_Budget!$N:$N,"USD")*$F$5+SUMIFS(Opex_Budget!$Q:$Q,Opex_Budget!$A:$A,$C$3,Opex_Budget!$E:$E,$B$74,Opex_Budget!$F:$F,$D$74,Opex_Budget!$N:$N,"EUR")*$G$5+SUMIFS(Opex_Budget!$Q:$Q,Opex_Budget!$A:$A,$C$3,Opex_Budget!$E:$E,$B$74,Opex_Budget!$F:$F,$D$74,Opex_Budget!$N:$N,"GBP")*$H$5)</f>
        <v/>
      </c>
      <c r="K74" s="32">
        <f>IF($B$74="","",SUMIFS(Opex_Budget!$R:$R,Opex_Budget!$A:$A,$C$3,Opex_Budget!$E:$E,$B$74,Opex_Budget!$F:$F,$D$74,Opex_Budget!$N:$N,"JPY")*$E$5+SUMIFS(Opex_Budget!$R:$R,Opex_Budget!$A:$A,$C$3,Opex_Budget!$E:$E,$B$74,Opex_Budget!$F:$F,$D$74,Opex_Budget!$N:$N,"USD")*$F$5+SUMIFS(Opex_Budget!$R:$R,Opex_Budget!$A:$A,$C$3,Opex_Budget!$E:$E,$B$74,Opex_Budget!$F:$F,$D$74,Opex_Budget!$N:$N,"EUR")*$G$5+SUMIFS(Opex_Budget!$R:$R,Opex_Budget!$A:$A,$C$3,Opex_Budget!$E:$E,$B$74,Opex_Budget!$F:$F,$D$74,Opex_Budget!$N:$N,"GBP")*$H$5)</f>
        <v/>
      </c>
      <c r="L74" s="32">
        <f>IF($B$74="","",SUMIFS(Opex_Budget!$S:$S,Opex_Budget!$A:$A,$C$3,Opex_Budget!$E:$E,$B$74,Opex_Budget!$F:$F,$D$74,Opex_Budget!$N:$N,"JPY")*$E$5+SUMIFS(Opex_Budget!$S:$S,Opex_Budget!$A:$A,$C$3,Opex_Budget!$E:$E,$B$74,Opex_Budget!$F:$F,$D$74,Opex_Budget!$N:$N,"USD")*$F$5+SUMIFS(Opex_Budget!$S:$S,Opex_Budget!$A:$A,$C$3,Opex_Budget!$E:$E,$B$74,Opex_Budget!$F:$F,$D$74,Opex_Budget!$N:$N,"EUR")*$G$5+SUMIFS(Opex_Budget!$S:$S,Opex_Budget!$A:$A,$C$3,Opex_Budget!$E:$E,$B$74,Opex_Budget!$F:$F,$D$74,Opex_Budget!$N:$N,"GBP")*$H$5)</f>
        <v/>
      </c>
      <c r="M74" s="32">
        <f>IF($B$74="","",SUMIFS(Opex_Budget!$T:$T,Opex_Budget!$A:$A,$C$3,Opex_Budget!$E:$E,$B$74,Opex_Budget!$F:$F,$D$74,Opex_Budget!$N:$N,"JPY")*$E$5+SUMIFS(Opex_Budget!$T:$T,Opex_Budget!$A:$A,$C$3,Opex_Budget!$E:$E,$B$74,Opex_Budget!$F:$F,$D$74,Opex_Budget!$N:$N,"USD")*$F$5+SUMIFS(Opex_Budget!$T:$T,Opex_Budget!$A:$A,$C$3,Opex_Budget!$E:$E,$B$74,Opex_Budget!$F:$F,$D$74,Opex_Budget!$N:$N,"EUR")*$G$5+SUMIFS(Opex_Budget!$T:$T,Opex_Budget!$A:$A,$C$3,Opex_Budget!$E:$E,$B$74,Opex_Budget!$F:$F,$D$74,Opex_Budget!$N:$N,"GBP")*$H$5)</f>
        <v/>
      </c>
      <c r="N74" s="32">
        <f>IF($B$74="","",SUMIFS(Opex_Budget!$U:$U,Opex_Budget!$A:$A,$C$3,Opex_Budget!$E:$E,$B$74,Opex_Budget!$F:$F,$D$74,Opex_Budget!$N:$N,"JPY")*$E$5+SUMIFS(Opex_Budget!$U:$U,Opex_Budget!$A:$A,$C$3,Opex_Budget!$E:$E,$B$74,Opex_Budget!$F:$F,$D$74,Opex_Budget!$N:$N,"USD")*$F$5+SUMIFS(Opex_Budget!$U:$U,Opex_Budget!$A:$A,$C$3,Opex_Budget!$E:$E,$B$74,Opex_Budget!$F:$F,$D$74,Opex_Budget!$N:$N,"EUR")*$G$5+SUMIFS(Opex_Budget!$U:$U,Opex_Budget!$A:$A,$C$3,Opex_Budget!$E:$E,$B$74,Opex_Budget!$F:$F,$D$74,Opex_Budget!$N:$N,"GBP")*$H$5)</f>
        <v/>
      </c>
      <c r="O74" s="32">
        <f>IF($B$74="","",SUMIFS(Opex_Budget!$V:$V,Opex_Budget!$A:$A,$C$3,Opex_Budget!$E:$E,$B$74,Opex_Budget!$F:$F,$D$74,Opex_Budget!$N:$N,"JPY")*$E$5+SUMIFS(Opex_Budget!$V:$V,Opex_Budget!$A:$A,$C$3,Opex_Budget!$E:$E,$B$74,Opex_Budget!$F:$F,$D$74,Opex_Budget!$N:$N,"USD")*$F$5+SUMIFS(Opex_Budget!$V:$V,Opex_Budget!$A:$A,$C$3,Opex_Budget!$E:$E,$B$74,Opex_Budget!$F:$F,$D$74,Opex_Budget!$N:$N,"EUR")*$G$5+SUMIFS(Opex_Budget!$V:$V,Opex_Budget!$A:$A,$C$3,Opex_Budget!$E:$E,$B$74,Opex_Budget!$F:$F,$D$74,Opex_Budget!$N:$N,"GBP")*$H$5)</f>
        <v/>
      </c>
      <c r="P74" s="32">
        <f>IF($B$74="","",SUMIFS(Opex_Budget!$W:$W,Opex_Budget!$A:$A,$C$3,Opex_Budget!$E:$E,$B$74,Opex_Budget!$F:$F,$D$74,Opex_Budget!$N:$N,"JPY")*$E$5+SUMIFS(Opex_Budget!$W:$W,Opex_Budget!$A:$A,$C$3,Opex_Budget!$E:$E,$B$74,Opex_Budget!$F:$F,$D$74,Opex_Budget!$N:$N,"USD")*$F$5+SUMIFS(Opex_Budget!$W:$W,Opex_Budget!$A:$A,$C$3,Opex_Budget!$E:$E,$B$74,Opex_Budget!$F:$F,$D$74,Opex_Budget!$N:$N,"EUR")*$G$5+SUMIFS(Opex_Budget!$W:$W,Opex_Budget!$A:$A,$C$3,Opex_Budget!$E:$E,$B$74,Opex_Budget!$F:$F,$D$74,Opex_Budget!$N:$N,"GBP")*$H$5)</f>
        <v/>
      </c>
      <c r="Q74" s="32">
        <f>IF($B$74="","",SUMIFS(Opex_Budget!$X:$X,Opex_Budget!$A:$A,$C$3,Opex_Budget!$E:$E,$B$74,Opex_Budget!$F:$F,$D$74,Opex_Budget!$N:$N,"JPY")*$E$5+SUMIFS(Opex_Budget!$X:$X,Opex_Budget!$A:$A,$C$3,Opex_Budget!$E:$E,$B$74,Opex_Budget!$F:$F,$D$74,Opex_Budget!$N:$N,"USD")*$F$5+SUMIFS(Opex_Budget!$X:$X,Opex_Budget!$A:$A,$C$3,Opex_Budget!$E:$E,$B$74,Opex_Budget!$F:$F,$D$74,Opex_Budget!$N:$N,"EUR")*$G$5+SUMIFS(Opex_Budget!$X:$X,Opex_Budget!$A:$A,$C$3,Opex_Budget!$E:$E,$B$74,Opex_Budget!$F:$F,$D$74,Opex_Budget!$N:$N,"GBP")*$H$5)</f>
        <v/>
      </c>
      <c r="R74" s="32">
        <f>IF($B$74="","",SUMIFS(Opex_Budget!$Y:$Y,Opex_Budget!$A:$A,$C$3,Opex_Budget!$E:$E,$B$74,Opex_Budget!$F:$F,$D$74,Opex_Budget!$N:$N,"JPY")*$E$5+SUMIFS(Opex_Budget!$Y:$Y,Opex_Budget!$A:$A,$C$3,Opex_Budget!$E:$E,$B$74,Opex_Budget!$F:$F,$D$74,Opex_Budget!$N:$N,"USD")*$F$5+SUMIFS(Opex_Budget!$Y:$Y,Opex_Budget!$A:$A,$C$3,Opex_Budget!$E:$E,$B$74,Opex_Budget!$F:$F,$D$74,Opex_Budget!$N:$N,"EUR")*$G$5+SUMIFS(Opex_Budget!$Y:$Y,Opex_Budget!$A:$A,$C$3,Opex_Budget!$E:$E,$B$74,Opex_Budget!$F:$F,$D$74,Opex_Budget!$N:$N,"GBP")*$H$5)</f>
        <v/>
      </c>
      <c r="S74" s="32">
        <f>IF($B$74="","",SUMIFS(Opex_Budget!$Z:$Z,Opex_Budget!$A:$A,$C$3,Opex_Budget!$E:$E,$B$74,Opex_Budget!$F:$F,$D$74,Opex_Budget!$N:$N,"JPY")*$E$5+SUMIFS(Opex_Budget!$Z:$Z,Opex_Budget!$A:$A,$C$3,Opex_Budget!$E:$E,$B$74,Opex_Budget!$F:$F,$D$74,Opex_Budget!$N:$N,"USD")*$F$5+SUMIFS(Opex_Budget!$Z:$Z,Opex_Budget!$A:$A,$C$3,Opex_Budget!$E:$E,$B$74,Opex_Budget!$F:$F,$D$74,Opex_Budget!$N:$N,"EUR")*$G$5+SUMIFS(Opex_Budget!$Z:$Z,Opex_Budget!$A:$A,$C$3,Opex_Budget!$E:$E,$B$74,Opex_Budget!$F:$F,$D$74,Opex_Budget!$N:$N,"GBP")*$H$5)</f>
        <v/>
      </c>
      <c r="T74" s="32">
        <f>IF($B$74="","",SUMIF($H$7:$S$7,"&lt;="&amp;$C$4,$H74:$S74))</f>
        <v/>
      </c>
      <c r="U74" s="32">
        <f>IF($B$74="","",SUMIF($H$7:$S$7,"&gt;"&amp;$C$4,$H74:$S74))</f>
        <v/>
      </c>
      <c r="V74" s="32">
        <f>IF($B$74="","",SUM($H74:$S74))</f>
        <v/>
      </c>
      <c r="X74" s="22">
        <f>IF($B74="","",IFERROR(INDEX(Cost_Centers!$E:$E,MATCH($B74,Cost_Centers!$A:$A,0)),"(unknown)"))</f>
        <v/>
      </c>
      <c r="Y74" s="22">
        <f>IF($B74="","",IFERROR(INDEX(Cost_Centers!$D:$D,MATCH($B74,Cost_Centers!$A:$A,0)),"(unknown)"))</f>
        <v/>
      </c>
      <c r="Z74" s="22">
        <f>IF(OR($B74="",$G74&lt;&gt;"Variance vs Budget"),"",ABS(N($V74))+ROW()/1000000000)</f>
        <v/>
      </c>
    </row>
    <row r="75">
      <c r="A75" s="13">
        <f>IF(A$74="","",A$74)</f>
        <v/>
      </c>
      <c r="B75" s="13">
        <f>IF(B$74="","",B$74)</f>
        <v/>
      </c>
      <c r="C75" s="13">
        <f>IF(C$74="","",C$74)</f>
        <v/>
      </c>
      <c r="D75" s="13">
        <f>IF(D$74="","",D$74)</f>
        <v/>
      </c>
      <c r="E75" s="13">
        <f>IF(E$74="","",E$74)</f>
        <v/>
      </c>
      <c r="F75" s="13">
        <f>IF(F$74="","",F$74)</f>
        <v/>
      </c>
      <c r="G75" s="7" t="inlineStr">
        <is>
          <t>Actual</t>
        </is>
      </c>
      <c r="H75" s="18">
        <f>IF(OR($B$74="",1&gt;$C$4),"",SUMIFS(Actuals!$G:$G,Actuals!$B:$B,$C$3,Actuals!$C:$C,1,Actuals!$D:$D,$B$74,Actuals!$A:$A,LEFT($D$74,FIND("|",$D$74&amp;"|")-1),Actuals!$E:$E,MID($D$74,FIND("|",$D$74&amp;"|")+1,50),Actuals!$F:$F,"JPY")*$E$5+SUMIFS(Actuals!$G:$G,Actuals!$B:$B,$C$3,Actuals!$C:$C,1,Actuals!$D:$D,$B$74,Actuals!$A:$A,LEFT($D$74,FIND("|",$D$74&amp;"|")-1),Actuals!$E:$E,MID($D$74,FIND("|",$D$74&amp;"|")+1,50),Actuals!$F:$F,"USD")*$F$5+SUMIFS(Actuals!$G:$G,Actuals!$B:$B,$C$3,Actuals!$C:$C,1,Actuals!$D:$D,$B$74,Actuals!$A:$A,LEFT($D$74,FIND("|",$D$74&amp;"|")-1),Actuals!$E:$E,MID($D$74,FIND("|",$D$74&amp;"|")+1,50),Actuals!$F:$F,"EUR")*$G$5+SUMIFS(Actuals!$G:$G,Actuals!$B:$B,$C$3,Actuals!$C:$C,1,Actuals!$D:$D,$B$74,Actuals!$A:$A,LEFT($D$74,FIND("|",$D$74&amp;"|")-1),Actuals!$E:$E,MID($D$74,FIND("|",$D$74&amp;"|")+1,50),Actuals!$F:$F,"GBP")*$H$5)</f>
        <v/>
      </c>
      <c r="I75" s="18">
        <f>IF(OR($B$74="",2&gt;$C$4),"",SUMIFS(Actuals!$G:$G,Actuals!$B:$B,$C$3,Actuals!$C:$C,2,Actuals!$D:$D,$B$74,Actuals!$A:$A,LEFT($D$74,FIND("|",$D$74&amp;"|")-1),Actuals!$E:$E,MID($D$74,FIND("|",$D$74&amp;"|")+1,50),Actuals!$F:$F,"JPY")*$E$5+SUMIFS(Actuals!$G:$G,Actuals!$B:$B,$C$3,Actuals!$C:$C,2,Actuals!$D:$D,$B$74,Actuals!$A:$A,LEFT($D$74,FIND("|",$D$74&amp;"|")-1),Actuals!$E:$E,MID($D$74,FIND("|",$D$74&amp;"|")+1,50),Actuals!$F:$F,"USD")*$F$5+SUMIFS(Actuals!$G:$G,Actuals!$B:$B,$C$3,Actuals!$C:$C,2,Actuals!$D:$D,$B$74,Actuals!$A:$A,LEFT($D$74,FIND("|",$D$74&amp;"|")-1),Actuals!$E:$E,MID($D$74,FIND("|",$D$74&amp;"|")+1,50),Actuals!$F:$F,"EUR")*$G$5+SUMIFS(Actuals!$G:$G,Actuals!$B:$B,$C$3,Actuals!$C:$C,2,Actuals!$D:$D,$B$74,Actuals!$A:$A,LEFT($D$74,FIND("|",$D$74&amp;"|")-1),Actuals!$E:$E,MID($D$74,FIND("|",$D$74&amp;"|")+1,50),Actuals!$F:$F,"GBP")*$H$5)</f>
        <v/>
      </c>
      <c r="J75" s="18">
        <f>IF(OR($B$74="",3&gt;$C$4),"",SUMIFS(Actuals!$G:$G,Actuals!$B:$B,$C$3,Actuals!$C:$C,3,Actuals!$D:$D,$B$74,Actuals!$A:$A,LEFT($D$74,FIND("|",$D$74&amp;"|")-1),Actuals!$E:$E,MID($D$74,FIND("|",$D$74&amp;"|")+1,50),Actuals!$F:$F,"JPY")*$E$5+SUMIFS(Actuals!$G:$G,Actuals!$B:$B,$C$3,Actuals!$C:$C,3,Actuals!$D:$D,$B$74,Actuals!$A:$A,LEFT($D$74,FIND("|",$D$74&amp;"|")-1),Actuals!$E:$E,MID($D$74,FIND("|",$D$74&amp;"|")+1,50),Actuals!$F:$F,"USD")*$F$5+SUMIFS(Actuals!$G:$G,Actuals!$B:$B,$C$3,Actuals!$C:$C,3,Actuals!$D:$D,$B$74,Actuals!$A:$A,LEFT($D$74,FIND("|",$D$74&amp;"|")-1),Actuals!$E:$E,MID($D$74,FIND("|",$D$74&amp;"|")+1,50),Actuals!$F:$F,"EUR")*$G$5+SUMIFS(Actuals!$G:$G,Actuals!$B:$B,$C$3,Actuals!$C:$C,3,Actuals!$D:$D,$B$74,Actuals!$A:$A,LEFT($D$74,FIND("|",$D$74&amp;"|")-1),Actuals!$E:$E,MID($D$74,FIND("|",$D$74&amp;"|")+1,50),Actuals!$F:$F,"GBP")*$H$5)</f>
        <v/>
      </c>
      <c r="K75" s="18">
        <f>IF(OR($B$74="",4&gt;$C$4),"",SUMIFS(Actuals!$G:$G,Actuals!$B:$B,$C$3,Actuals!$C:$C,4,Actuals!$D:$D,$B$74,Actuals!$A:$A,LEFT($D$74,FIND("|",$D$74&amp;"|")-1),Actuals!$E:$E,MID($D$74,FIND("|",$D$74&amp;"|")+1,50),Actuals!$F:$F,"JPY")*$E$5+SUMIFS(Actuals!$G:$G,Actuals!$B:$B,$C$3,Actuals!$C:$C,4,Actuals!$D:$D,$B$74,Actuals!$A:$A,LEFT($D$74,FIND("|",$D$74&amp;"|")-1),Actuals!$E:$E,MID($D$74,FIND("|",$D$74&amp;"|")+1,50),Actuals!$F:$F,"USD")*$F$5+SUMIFS(Actuals!$G:$G,Actuals!$B:$B,$C$3,Actuals!$C:$C,4,Actuals!$D:$D,$B$74,Actuals!$A:$A,LEFT($D$74,FIND("|",$D$74&amp;"|")-1),Actuals!$E:$E,MID($D$74,FIND("|",$D$74&amp;"|")+1,50),Actuals!$F:$F,"EUR")*$G$5+SUMIFS(Actuals!$G:$G,Actuals!$B:$B,$C$3,Actuals!$C:$C,4,Actuals!$D:$D,$B$74,Actuals!$A:$A,LEFT($D$74,FIND("|",$D$74&amp;"|")-1),Actuals!$E:$E,MID($D$74,FIND("|",$D$74&amp;"|")+1,50),Actuals!$F:$F,"GBP")*$H$5)</f>
        <v/>
      </c>
      <c r="L75" s="18">
        <f>IF(OR($B$74="",5&gt;$C$4),"",SUMIFS(Actuals!$G:$G,Actuals!$B:$B,$C$3,Actuals!$C:$C,5,Actuals!$D:$D,$B$74,Actuals!$A:$A,LEFT($D$74,FIND("|",$D$74&amp;"|")-1),Actuals!$E:$E,MID($D$74,FIND("|",$D$74&amp;"|")+1,50),Actuals!$F:$F,"JPY")*$E$5+SUMIFS(Actuals!$G:$G,Actuals!$B:$B,$C$3,Actuals!$C:$C,5,Actuals!$D:$D,$B$74,Actuals!$A:$A,LEFT($D$74,FIND("|",$D$74&amp;"|")-1),Actuals!$E:$E,MID($D$74,FIND("|",$D$74&amp;"|")+1,50),Actuals!$F:$F,"USD")*$F$5+SUMIFS(Actuals!$G:$G,Actuals!$B:$B,$C$3,Actuals!$C:$C,5,Actuals!$D:$D,$B$74,Actuals!$A:$A,LEFT($D$74,FIND("|",$D$74&amp;"|")-1),Actuals!$E:$E,MID($D$74,FIND("|",$D$74&amp;"|")+1,50),Actuals!$F:$F,"EUR")*$G$5+SUMIFS(Actuals!$G:$G,Actuals!$B:$B,$C$3,Actuals!$C:$C,5,Actuals!$D:$D,$B$74,Actuals!$A:$A,LEFT($D$74,FIND("|",$D$74&amp;"|")-1),Actuals!$E:$E,MID($D$74,FIND("|",$D$74&amp;"|")+1,50),Actuals!$F:$F,"GBP")*$H$5)</f>
        <v/>
      </c>
      <c r="M75" s="18">
        <f>IF(OR($B$74="",6&gt;$C$4),"",SUMIFS(Actuals!$G:$G,Actuals!$B:$B,$C$3,Actuals!$C:$C,6,Actuals!$D:$D,$B$74,Actuals!$A:$A,LEFT($D$74,FIND("|",$D$74&amp;"|")-1),Actuals!$E:$E,MID($D$74,FIND("|",$D$74&amp;"|")+1,50),Actuals!$F:$F,"JPY")*$E$5+SUMIFS(Actuals!$G:$G,Actuals!$B:$B,$C$3,Actuals!$C:$C,6,Actuals!$D:$D,$B$74,Actuals!$A:$A,LEFT($D$74,FIND("|",$D$74&amp;"|")-1),Actuals!$E:$E,MID($D$74,FIND("|",$D$74&amp;"|")+1,50),Actuals!$F:$F,"USD")*$F$5+SUMIFS(Actuals!$G:$G,Actuals!$B:$B,$C$3,Actuals!$C:$C,6,Actuals!$D:$D,$B$74,Actuals!$A:$A,LEFT($D$74,FIND("|",$D$74&amp;"|")-1),Actuals!$E:$E,MID($D$74,FIND("|",$D$74&amp;"|")+1,50),Actuals!$F:$F,"EUR")*$G$5+SUMIFS(Actuals!$G:$G,Actuals!$B:$B,$C$3,Actuals!$C:$C,6,Actuals!$D:$D,$B$74,Actuals!$A:$A,LEFT($D$74,FIND("|",$D$74&amp;"|")-1),Actuals!$E:$E,MID($D$74,FIND("|",$D$74&amp;"|")+1,50),Actuals!$F:$F,"GBP")*$H$5)</f>
        <v/>
      </c>
      <c r="N75" s="18">
        <f>IF(OR($B$74="",7&gt;$C$4),"",SUMIFS(Actuals!$G:$G,Actuals!$B:$B,$C$3,Actuals!$C:$C,7,Actuals!$D:$D,$B$74,Actuals!$A:$A,LEFT($D$74,FIND("|",$D$74&amp;"|")-1),Actuals!$E:$E,MID($D$74,FIND("|",$D$74&amp;"|")+1,50),Actuals!$F:$F,"JPY")*$E$5+SUMIFS(Actuals!$G:$G,Actuals!$B:$B,$C$3,Actuals!$C:$C,7,Actuals!$D:$D,$B$74,Actuals!$A:$A,LEFT($D$74,FIND("|",$D$74&amp;"|")-1),Actuals!$E:$E,MID($D$74,FIND("|",$D$74&amp;"|")+1,50),Actuals!$F:$F,"USD")*$F$5+SUMIFS(Actuals!$G:$G,Actuals!$B:$B,$C$3,Actuals!$C:$C,7,Actuals!$D:$D,$B$74,Actuals!$A:$A,LEFT($D$74,FIND("|",$D$74&amp;"|")-1),Actuals!$E:$E,MID($D$74,FIND("|",$D$74&amp;"|")+1,50),Actuals!$F:$F,"EUR")*$G$5+SUMIFS(Actuals!$G:$G,Actuals!$B:$B,$C$3,Actuals!$C:$C,7,Actuals!$D:$D,$B$74,Actuals!$A:$A,LEFT($D$74,FIND("|",$D$74&amp;"|")-1),Actuals!$E:$E,MID($D$74,FIND("|",$D$74&amp;"|")+1,50),Actuals!$F:$F,"GBP")*$H$5)</f>
        <v/>
      </c>
      <c r="O75" s="18">
        <f>IF(OR($B$74="",8&gt;$C$4),"",SUMIFS(Actuals!$G:$G,Actuals!$B:$B,$C$3,Actuals!$C:$C,8,Actuals!$D:$D,$B$74,Actuals!$A:$A,LEFT($D$74,FIND("|",$D$74&amp;"|")-1),Actuals!$E:$E,MID($D$74,FIND("|",$D$74&amp;"|")+1,50),Actuals!$F:$F,"JPY")*$E$5+SUMIFS(Actuals!$G:$G,Actuals!$B:$B,$C$3,Actuals!$C:$C,8,Actuals!$D:$D,$B$74,Actuals!$A:$A,LEFT($D$74,FIND("|",$D$74&amp;"|")-1),Actuals!$E:$E,MID($D$74,FIND("|",$D$74&amp;"|")+1,50),Actuals!$F:$F,"USD")*$F$5+SUMIFS(Actuals!$G:$G,Actuals!$B:$B,$C$3,Actuals!$C:$C,8,Actuals!$D:$D,$B$74,Actuals!$A:$A,LEFT($D$74,FIND("|",$D$74&amp;"|")-1),Actuals!$E:$E,MID($D$74,FIND("|",$D$74&amp;"|")+1,50),Actuals!$F:$F,"EUR")*$G$5+SUMIFS(Actuals!$G:$G,Actuals!$B:$B,$C$3,Actuals!$C:$C,8,Actuals!$D:$D,$B$74,Actuals!$A:$A,LEFT($D$74,FIND("|",$D$74&amp;"|")-1),Actuals!$E:$E,MID($D$74,FIND("|",$D$74&amp;"|")+1,50),Actuals!$F:$F,"GBP")*$H$5)</f>
        <v/>
      </c>
      <c r="P75" s="18">
        <f>IF(OR($B$74="",9&gt;$C$4),"",SUMIFS(Actuals!$G:$G,Actuals!$B:$B,$C$3,Actuals!$C:$C,9,Actuals!$D:$D,$B$74,Actuals!$A:$A,LEFT($D$74,FIND("|",$D$74&amp;"|")-1),Actuals!$E:$E,MID($D$74,FIND("|",$D$74&amp;"|")+1,50),Actuals!$F:$F,"JPY")*$E$5+SUMIFS(Actuals!$G:$G,Actuals!$B:$B,$C$3,Actuals!$C:$C,9,Actuals!$D:$D,$B$74,Actuals!$A:$A,LEFT($D$74,FIND("|",$D$74&amp;"|")-1),Actuals!$E:$E,MID($D$74,FIND("|",$D$74&amp;"|")+1,50),Actuals!$F:$F,"USD")*$F$5+SUMIFS(Actuals!$G:$G,Actuals!$B:$B,$C$3,Actuals!$C:$C,9,Actuals!$D:$D,$B$74,Actuals!$A:$A,LEFT($D$74,FIND("|",$D$74&amp;"|")-1),Actuals!$E:$E,MID($D$74,FIND("|",$D$74&amp;"|")+1,50),Actuals!$F:$F,"EUR")*$G$5+SUMIFS(Actuals!$G:$G,Actuals!$B:$B,$C$3,Actuals!$C:$C,9,Actuals!$D:$D,$B$74,Actuals!$A:$A,LEFT($D$74,FIND("|",$D$74&amp;"|")-1),Actuals!$E:$E,MID($D$74,FIND("|",$D$74&amp;"|")+1,50),Actuals!$F:$F,"GBP")*$H$5)</f>
        <v/>
      </c>
      <c r="Q75" s="18">
        <f>IF(OR($B$74="",10&gt;$C$4),"",SUMIFS(Actuals!$G:$G,Actuals!$B:$B,$C$3,Actuals!$C:$C,10,Actuals!$D:$D,$B$74,Actuals!$A:$A,LEFT($D$74,FIND("|",$D$74&amp;"|")-1),Actuals!$E:$E,MID($D$74,FIND("|",$D$74&amp;"|")+1,50),Actuals!$F:$F,"JPY")*$E$5+SUMIFS(Actuals!$G:$G,Actuals!$B:$B,$C$3,Actuals!$C:$C,10,Actuals!$D:$D,$B$74,Actuals!$A:$A,LEFT($D$74,FIND("|",$D$74&amp;"|")-1),Actuals!$E:$E,MID($D$74,FIND("|",$D$74&amp;"|")+1,50),Actuals!$F:$F,"USD")*$F$5+SUMIFS(Actuals!$G:$G,Actuals!$B:$B,$C$3,Actuals!$C:$C,10,Actuals!$D:$D,$B$74,Actuals!$A:$A,LEFT($D$74,FIND("|",$D$74&amp;"|")-1),Actuals!$E:$E,MID($D$74,FIND("|",$D$74&amp;"|")+1,50),Actuals!$F:$F,"EUR")*$G$5+SUMIFS(Actuals!$G:$G,Actuals!$B:$B,$C$3,Actuals!$C:$C,10,Actuals!$D:$D,$B$74,Actuals!$A:$A,LEFT($D$74,FIND("|",$D$74&amp;"|")-1),Actuals!$E:$E,MID($D$74,FIND("|",$D$74&amp;"|")+1,50),Actuals!$F:$F,"GBP")*$H$5)</f>
        <v/>
      </c>
      <c r="R75" s="18">
        <f>IF(OR($B$74="",11&gt;$C$4),"",SUMIFS(Actuals!$G:$G,Actuals!$B:$B,$C$3,Actuals!$C:$C,11,Actuals!$D:$D,$B$74,Actuals!$A:$A,LEFT($D$74,FIND("|",$D$74&amp;"|")-1),Actuals!$E:$E,MID($D$74,FIND("|",$D$74&amp;"|")+1,50),Actuals!$F:$F,"JPY")*$E$5+SUMIFS(Actuals!$G:$G,Actuals!$B:$B,$C$3,Actuals!$C:$C,11,Actuals!$D:$D,$B$74,Actuals!$A:$A,LEFT($D$74,FIND("|",$D$74&amp;"|")-1),Actuals!$E:$E,MID($D$74,FIND("|",$D$74&amp;"|")+1,50),Actuals!$F:$F,"USD")*$F$5+SUMIFS(Actuals!$G:$G,Actuals!$B:$B,$C$3,Actuals!$C:$C,11,Actuals!$D:$D,$B$74,Actuals!$A:$A,LEFT($D$74,FIND("|",$D$74&amp;"|")-1),Actuals!$E:$E,MID($D$74,FIND("|",$D$74&amp;"|")+1,50),Actuals!$F:$F,"EUR")*$G$5+SUMIFS(Actuals!$G:$G,Actuals!$B:$B,$C$3,Actuals!$C:$C,11,Actuals!$D:$D,$B$74,Actuals!$A:$A,LEFT($D$74,FIND("|",$D$74&amp;"|")-1),Actuals!$E:$E,MID($D$74,FIND("|",$D$74&amp;"|")+1,50),Actuals!$F:$F,"GBP")*$H$5)</f>
        <v/>
      </c>
      <c r="S75" s="18">
        <f>IF(OR($B$74="",12&gt;$C$4),"",SUMIFS(Actuals!$G:$G,Actuals!$B:$B,$C$3,Actuals!$C:$C,12,Actuals!$D:$D,$B$74,Actuals!$A:$A,LEFT($D$74,FIND("|",$D$74&amp;"|")-1),Actuals!$E:$E,MID($D$74,FIND("|",$D$74&amp;"|")+1,50),Actuals!$F:$F,"JPY")*$E$5+SUMIFS(Actuals!$G:$G,Actuals!$B:$B,$C$3,Actuals!$C:$C,12,Actuals!$D:$D,$B$74,Actuals!$A:$A,LEFT($D$74,FIND("|",$D$74&amp;"|")-1),Actuals!$E:$E,MID($D$74,FIND("|",$D$74&amp;"|")+1,50),Actuals!$F:$F,"USD")*$F$5+SUMIFS(Actuals!$G:$G,Actuals!$B:$B,$C$3,Actuals!$C:$C,12,Actuals!$D:$D,$B$74,Actuals!$A:$A,LEFT($D$74,FIND("|",$D$74&amp;"|")-1),Actuals!$E:$E,MID($D$74,FIND("|",$D$74&amp;"|")+1,50),Actuals!$F:$F,"EUR")*$G$5+SUMIFS(Actuals!$G:$G,Actuals!$B:$B,$C$3,Actuals!$C:$C,12,Actuals!$D:$D,$B$74,Actuals!$A:$A,LEFT($D$74,FIND("|",$D$74&amp;"|")-1),Actuals!$E:$E,MID($D$74,FIND("|",$D$74&amp;"|")+1,50),Actuals!$F:$F,"GBP")*$H$5)</f>
        <v/>
      </c>
      <c r="T75" s="18">
        <f>IF($B$74="","",SUMIF($H$7:$S$7,"&lt;="&amp;$C$4,$H75:$S75))</f>
        <v/>
      </c>
      <c r="U75" s="18" t="n"/>
      <c r="V75" s="18" t="n"/>
      <c r="X75" s="22">
        <f>IF($B75="","",IFERROR(INDEX(Cost_Centers!$E:$E,MATCH($B75,Cost_Centers!$A:$A,0)),"(unknown)"))</f>
        <v/>
      </c>
      <c r="Y75" s="22">
        <f>IF($B75="","",IFERROR(INDEX(Cost_Centers!$D:$D,MATCH($B75,Cost_Centers!$A:$A,0)),"(unknown)"))</f>
        <v/>
      </c>
      <c r="Z75" s="22">
        <f>IF(OR($B75="",$G75&lt;&gt;"Variance vs Budget"),"",ABS(N($V75))+ROW()/1000000000)</f>
        <v/>
      </c>
    </row>
    <row r="76">
      <c r="A76" s="13">
        <f>IF(A$74="","",A$74)</f>
        <v/>
      </c>
      <c r="B76" s="13">
        <f>IF(B$74="","",B$74)</f>
        <v/>
      </c>
      <c r="C76" s="13">
        <f>IF(C$74="","",C$74)</f>
        <v/>
      </c>
      <c r="D76" s="13">
        <f>IF(D$74="","",D$74)</f>
        <v/>
      </c>
      <c r="E76" s="13">
        <f>IF(E$74="","",E$74)</f>
        <v/>
      </c>
      <c r="F76" s="13">
        <f>IF(F$74="","",F$74)</f>
        <v/>
      </c>
      <c r="G76" s="6" t="inlineStr">
        <is>
          <t>Variance vs Budget</t>
        </is>
      </c>
      <c r="H76" s="33">
        <f>IF(OR($B$74="",1&gt;$C$4),"",N(H75)-H74)</f>
        <v/>
      </c>
      <c r="I76" s="33">
        <f>IF(OR($B$74="",2&gt;$C$4),"",N(I75)-I74)</f>
        <v/>
      </c>
      <c r="J76" s="33">
        <f>IF(OR($B$74="",3&gt;$C$4),"",N(J75)-J74)</f>
        <v/>
      </c>
      <c r="K76" s="33">
        <f>IF(OR($B$74="",4&gt;$C$4),"",N(K75)-K74)</f>
        <v/>
      </c>
      <c r="L76" s="33">
        <f>IF(OR($B$74="",5&gt;$C$4),"",N(L75)-L74)</f>
        <v/>
      </c>
      <c r="M76" s="33">
        <f>IF(OR($B$74="",6&gt;$C$4),"",N(M75)-M74)</f>
        <v/>
      </c>
      <c r="N76" s="33">
        <f>IF(OR($B$74="",7&gt;$C$4),"",N(N75)-N74)</f>
        <v/>
      </c>
      <c r="O76" s="33">
        <f>IF(OR($B$74="",8&gt;$C$4),"",N(O75)-O74)</f>
        <v/>
      </c>
      <c r="P76" s="33">
        <f>IF(OR($B$74="",9&gt;$C$4),"",N(P75)-P74)</f>
        <v/>
      </c>
      <c r="Q76" s="33">
        <f>IF(OR($B$74="",10&gt;$C$4),"",N(Q75)-Q74)</f>
        <v/>
      </c>
      <c r="R76" s="33">
        <f>IF(OR($B$74="",11&gt;$C$4),"",N(R75)-R74)</f>
        <v/>
      </c>
      <c r="S76" s="33">
        <f>IF(OR($B$74="",12&gt;$C$4),"",N(S75)-S74)</f>
        <v/>
      </c>
      <c r="T76" s="33">
        <f>IF($B$74="","",T75-T74)</f>
        <v/>
      </c>
      <c r="U76" s="33">
        <f>IF($B$74="","",U78-U74)</f>
        <v/>
      </c>
      <c r="V76" s="33">
        <f>IF($B$74="","",V78-V74)</f>
        <v/>
      </c>
      <c r="X76" s="22">
        <f>IF($B76="","",IFERROR(INDEX(Cost_Centers!$E:$E,MATCH($B76,Cost_Centers!$A:$A,0)),"(unknown)"))</f>
        <v/>
      </c>
      <c r="Y76" s="22">
        <f>IF($B76="","",IFERROR(INDEX(Cost_Centers!$D:$D,MATCH($B76,Cost_Centers!$A:$A,0)),"(unknown)"))</f>
        <v/>
      </c>
      <c r="Z76" s="22">
        <f>IF(OR($B76="",$G76&lt;&gt;"Variance vs Budget"),"",ABS(N($V76))+ROW()/1000000000)</f>
        <v/>
      </c>
    </row>
    <row r="77">
      <c r="A77" s="13">
        <f>IF(A$74="","",A$74)</f>
        <v/>
      </c>
      <c r="B77" s="13">
        <f>IF(B$74="","",B$74)</f>
        <v/>
      </c>
      <c r="C77" s="13">
        <f>IF(C$74="","",C$74)</f>
        <v/>
      </c>
      <c r="D77" s="13">
        <f>IF(D$74="","",D$74)</f>
        <v/>
      </c>
      <c r="E77" s="13">
        <f>IF(E$74="","",E$74)</f>
        <v/>
      </c>
      <c r="F77" s="13">
        <f>IF(F$74="","",F$74)</f>
        <v/>
      </c>
      <c r="G77" s="7" t="inlineStr">
        <is>
          <t>Forecast (input)</t>
        </is>
      </c>
      <c r="H77" s="34" t="n"/>
      <c r="I77" s="34" t="n"/>
      <c r="J77" s="34" t="n"/>
      <c r="K77" s="34" t="n"/>
      <c r="L77" s="34" t="n"/>
      <c r="M77" s="34" t="n"/>
      <c r="N77" s="34" t="n"/>
      <c r="O77" s="34" t="n"/>
      <c r="P77" s="34" t="n"/>
      <c r="Q77" s="34" t="n"/>
      <c r="R77" s="34" t="n"/>
      <c r="S77" s="34" t="n"/>
      <c r="T77" s="18" t="n"/>
      <c r="U77" s="18" t="n"/>
      <c r="V77" s="18" t="n"/>
      <c r="X77" s="22">
        <f>IF($B77="","",IFERROR(INDEX(Cost_Centers!$E:$E,MATCH($B77,Cost_Centers!$A:$A,0)),"(unknown)"))</f>
        <v/>
      </c>
      <c r="Y77" s="22">
        <f>IF($B77="","",IFERROR(INDEX(Cost_Centers!$D:$D,MATCH($B77,Cost_Centers!$A:$A,0)),"(unknown)"))</f>
        <v/>
      </c>
      <c r="Z77" s="22">
        <f>IF(OR($B77="",$G77&lt;&gt;"Variance vs Budget"),"",ABS(N($V77))+ROW()/1000000000)</f>
        <v/>
      </c>
    </row>
    <row r="78">
      <c r="A78" s="13">
        <f>IF(A$74="","",A$74)</f>
        <v/>
      </c>
      <c r="B78" s="13">
        <f>IF(B$74="","",B$74)</f>
        <v/>
      </c>
      <c r="C78" s="13">
        <f>IF(C$74="","",C$74)</f>
        <v/>
      </c>
      <c r="D78" s="13">
        <f>IF(D$74="","",D$74)</f>
        <v/>
      </c>
      <c r="E78" s="13">
        <f>IF(E$74="","",E$74)</f>
        <v/>
      </c>
      <c r="F78" s="13">
        <f>IF(F$74="","",F$74)</f>
        <v/>
      </c>
      <c r="G78" s="35" t="inlineStr">
        <is>
          <t>Actual + Forecast</t>
        </is>
      </c>
      <c r="H78" s="18">
        <f>IF($B$74="","",IF(1&lt;=$C$4,N(H75),IF(H77="",H74,H77)))</f>
        <v/>
      </c>
      <c r="I78" s="18">
        <f>IF($B$74="","",IF(2&lt;=$C$4,N(I75),IF(I77="",I74,I77)))</f>
        <v/>
      </c>
      <c r="J78" s="18">
        <f>IF($B$74="","",IF(3&lt;=$C$4,N(J75),IF(J77="",J74,J77)))</f>
        <v/>
      </c>
      <c r="K78" s="18">
        <f>IF($B$74="","",IF(4&lt;=$C$4,N(K75),IF(K77="",K74,K77)))</f>
        <v/>
      </c>
      <c r="L78" s="18">
        <f>IF($B$74="","",IF(5&lt;=$C$4,N(L75),IF(L77="",L74,L77)))</f>
        <v/>
      </c>
      <c r="M78" s="18">
        <f>IF($B$74="","",IF(6&lt;=$C$4,N(M75),IF(M77="",M74,M77)))</f>
        <v/>
      </c>
      <c r="N78" s="18">
        <f>IF($B$74="","",IF(7&lt;=$C$4,N(N75),IF(N77="",N74,N77)))</f>
        <v/>
      </c>
      <c r="O78" s="18">
        <f>IF($B$74="","",IF(8&lt;=$C$4,N(O75),IF(O77="",O74,O77)))</f>
        <v/>
      </c>
      <c r="P78" s="18">
        <f>IF($B$74="","",IF(9&lt;=$C$4,N(P75),IF(P77="",P74,P77)))</f>
        <v/>
      </c>
      <c r="Q78" s="18">
        <f>IF($B$74="","",IF(10&lt;=$C$4,N(Q75),IF(Q77="",Q74,Q77)))</f>
        <v/>
      </c>
      <c r="R78" s="18">
        <f>IF($B$74="","",IF(11&lt;=$C$4,N(R75),IF(R77="",R74,R77)))</f>
        <v/>
      </c>
      <c r="S78" s="18">
        <f>IF($B$74="","",IF(12&lt;=$C$4,N(S75),IF(S77="",S74,S77)))</f>
        <v/>
      </c>
      <c r="T78" s="18">
        <f>IF($B$74="","",SUMIF($H$7:$S$7,"&lt;="&amp;$C$4,$H78:$S78))</f>
        <v/>
      </c>
      <c r="U78" s="18">
        <f>IF($B$74="","",SUMIF($H$7:$S$7,"&gt;"&amp;$C$4,$H78:$S78))</f>
        <v/>
      </c>
      <c r="V78" s="18">
        <f>IF($B$74="","",SUM($H78:$S78))</f>
        <v/>
      </c>
      <c r="X78" s="22">
        <f>IF($B78="","",IFERROR(INDEX(Cost_Centers!$E:$E,MATCH($B78,Cost_Centers!$A:$A,0)),"(unknown)"))</f>
        <v/>
      </c>
      <c r="Y78" s="22">
        <f>IF($B78="","",IFERROR(INDEX(Cost_Centers!$D:$D,MATCH($B78,Cost_Centers!$A:$A,0)),"(unknown)"))</f>
        <v/>
      </c>
      <c r="Z78" s="22">
        <f>IF(OR($B78="",$G78&lt;&gt;"Variance vs Budget"),"",ABS(N($V78))+ROW()/1000000000)</f>
        <v/>
      </c>
    </row>
    <row r="79">
      <c r="A79" s="13">
        <f>IF(A$74="","",A$74)</f>
        <v/>
      </c>
      <c r="B79" s="13">
        <f>IF(B$74="","",B$74)</f>
        <v/>
      </c>
      <c r="C79" s="13">
        <f>IF(C$74="","",C$74)</f>
        <v/>
      </c>
      <c r="D79" s="13">
        <f>IF(D$74="","",D$74)</f>
        <v/>
      </c>
      <c r="E79" s="13">
        <f>IF(E$74="","",E$74)</f>
        <v/>
      </c>
      <c r="F79" s="13">
        <f>IF(F$74="","",F$74)</f>
        <v/>
      </c>
      <c r="G79" s="36" t="inlineStr">
        <is>
          <t>Prior Month Forecast</t>
        </is>
      </c>
      <c r="H79" s="37">
        <f>IF($B$74="","",IF(COUNTIFS(Prior_Forecast!$A:$A,$B$74,Prior_Forecast!$B:$B,$D$74)&gt;0,SUMIFS(Prior_Forecast!$C:$C,Prior_Forecast!$A:$A,$B$74,Prior_Forecast!$B:$B,$D$74),""))</f>
        <v/>
      </c>
      <c r="I79" s="37">
        <f>IF($B$74="","",IF(COUNTIFS(Prior_Forecast!$A:$A,$B$74,Prior_Forecast!$B:$B,$D$74)&gt;0,SUMIFS(Prior_Forecast!$D:$D,Prior_Forecast!$A:$A,$B$74,Prior_Forecast!$B:$B,$D$74),""))</f>
        <v/>
      </c>
      <c r="J79" s="37">
        <f>IF($B$74="","",IF(COUNTIFS(Prior_Forecast!$A:$A,$B$74,Prior_Forecast!$B:$B,$D$74)&gt;0,SUMIFS(Prior_Forecast!$E:$E,Prior_Forecast!$A:$A,$B$74,Prior_Forecast!$B:$B,$D$74),""))</f>
        <v/>
      </c>
      <c r="K79" s="37">
        <f>IF($B$74="","",IF(COUNTIFS(Prior_Forecast!$A:$A,$B$74,Prior_Forecast!$B:$B,$D$74)&gt;0,SUMIFS(Prior_Forecast!$F:$F,Prior_Forecast!$A:$A,$B$74,Prior_Forecast!$B:$B,$D$74),""))</f>
        <v/>
      </c>
      <c r="L79" s="37">
        <f>IF($B$74="","",IF(COUNTIFS(Prior_Forecast!$A:$A,$B$74,Prior_Forecast!$B:$B,$D$74)&gt;0,SUMIFS(Prior_Forecast!$G:$G,Prior_Forecast!$A:$A,$B$74,Prior_Forecast!$B:$B,$D$74),""))</f>
        <v/>
      </c>
      <c r="M79" s="37">
        <f>IF($B$74="","",IF(COUNTIFS(Prior_Forecast!$A:$A,$B$74,Prior_Forecast!$B:$B,$D$74)&gt;0,SUMIFS(Prior_Forecast!$H:$H,Prior_Forecast!$A:$A,$B$74,Prior_Forecast!$B:$B,$D$74),""))</f>
        <v/>
      </c>
      <c r="N79" s="37">
        <f>IF($B$74="","",IF(COUNTIFS(Prior_Forecast!$A:$A,$B$74,Prior_Forecast!$B:$B,$D$74)&gt;0,SUMIFS(Prior_Forecast!$I:$I,Prior_Forecast!$A:$A,$B$74,Prior_Forecast!$B:$B,$D$74),""))</f>
        <v/>
      </c>
      <c r="O79" s="37">
        <f>IF($B$74="","",IF(COUNTIFS(Prior_Forecast!$A:$A,$B$74,Prior_Forecast!$B:$B,$D$74)&gt;0,SUMIFS(Prior_Forecast!$J:$J,Prior_Forecast!$A:$A,$B$74,Prior_Forecast!$B:$B,$D$74),""))</f>
        <v/>
      </c>
      <c r="P79" s="37">
        <f>IF($B$74="","",IF(COUNTIFS(Prior_Forecast!$A:$A,$B$74,Prior_Forecast!$B:$B,$D$74)&gt;0,SUMIFS(Prior_Forecast!$K:$K,Prior_Forecast!$A:$A,$B$74,Prior_Forecast!$B:$B,$D$74),""))</f>
        <v/>
      </c>
      <c r="Q79" s="37">
        <f>IF($B$74="","",IF(COUNTIFS(Prior_Forecast!$A:$A,$B$74,Prior_Forecast!$B:$B,$D$74)&gt;0,SUMIFS(Prior_Forecast!$L:$L,Prior_Forecast!$A:$A,$B$74,Prior_Forecast!$B:$B,$D$74),""))</f>
        <v/>
      </c>
      <c r="R79" s="37">
        <f>IF($B$74="","",IF(COUNTIFS(Prior_Forecast!$A:$A,$B$74,Prior_Forecast!$B:$B,$D$74)&gt;0,SUMIFS(Prior_Forecast!$M:$M,Prior_Forecast!$A:$A,$B$74,Prior_Forecast!$B:$B,$D$74),""))</f>
        <v/>
      </c>
      <c r="S79" s="37">
        <f>IF($B$74="","",IF(COUNTIFS(Prior_Forecast!$A:$A,$B$74,Prior_Forecast!$B:$B,$D$74)&gt;0,SUMIFS(Prior_Forecast!$N:$N,Prior_Forecast!$A:$A,$B$74,Prior_Forecast!$B:$B,$D$74),""))</f>
        <v/>
      </c>
      <c r="T79" s="37">
        <f>IF($B$74="","",IF(COUNTIFS(Prior_Forecast!$A:$A,$B$74,Prior_Forecast!$B:$B,$D$74)&gt;0,SUMIFS(Prior_Forecast!$O:$O,Prior_Forecast!$A:$A,$B$74,Prior_Forecast!$B:$B,$D$74),""))</f>
        <v/>
      </c>
      <c r="U79" s="37">
        <f>IF($B$74="","",IF(COUNTIFS(Prior_Forecast!$A:$A,$B$74,Prior_Forecast!$B:$B,$D$74)&gt;0,SUMIFS(Prior_Forecast!$P:$P,Prior_Forecast!$A:$A,$B$74,Prior_Forecast!$B:$B,$D$74),""))</f>
        <v/>
      </c>
      <c r="V79" s="37">
        <f>IF($B$74="","",IF(COUNTIFS(Prior_Forecast!$A:$A,$B$74,Prior_Forecast!$B:$B,$D$74)&gt;0,SUMIFS(Prior_Forecast!$Q:$Q,Prior_Forecast!$A:$A,$B$74,Prior_Forecast!$B:$B,$D$74),""))</f>
        <v/>
      </c>
      <c r="X79" s="22">
        <f>IF($B79="","",IFERROR(INDEX(Cost_Centers!$E:$E,MATCH($B79,Cost_Centers!$A:$A,0)),"(unknown)"))</f>
        <v/>
      </c>
      <c r="Y79" s="22">
        <f>IF($B79="","",IFERROR(INDEX(Cost_Centers!$D:$D,MATCH($B79,Cost_Centers!$A:$A,0)),"(unknown)"))</f>
        <v/>
      </c>
      <c r="Z79" s="22">
        <f>IF(OR($B79="",$G79&lt;&gt;"Variance vs Budget"),"",ABS(N($V79))+ROW()/1000000000)</f>
        <v/>
      </c>
    </row>
    <row r="80">
      <c r="A80" s="13">
        <f>IF(A$74="","",A$74)</f>
        <v/>
      </c>
      <c r="B80" s="13">
        <f>IF(B$74="","",B$74)</f>
        <v/>
      </c>
      <c r="C80" s="13">
        <f>IF(C$74="","",C$74)</f>
        <v/>
      </c>
      <c r="D80" s="13">
        <f>IF(D$74="","",D$74)</f>
        <v/>
      </c>
      <c r="E80" s="13">
        <f>IF(E$74="","",E$74)</f>
        <v/>
      </c>
      <c r="F80" s="13">
        <f>IF(F$74="","",F$74)</f>
        <v/>
      </c>
      <c r="G80" s="6" t="inlineStr">
        <is>
          <t>Variance vs Prior Month</t>
        </is>
      </c>
      <c r="H80" s="33">
        <f>IF(OR($B$74="",H79=""),"",H78-H79)</f>
        <v/>
      </c>
      <c r="I80" s="33">
        <f>IF(OR($B$74="",I79=""),"",I78-I79)</f>
        <v/>
      </c>
      <c r="J80" s="33">
        <f>IF(OR($B$74="",J79=""),"",J78-J79)</f>
        <v/>
      </c>
      <c r="K80" s="33">
        <f>IF(OR($B$74="",K79=""),"",K78-K79)</f>
        <v/>
      </c>
      <c r="L80" s="33">
        <f>IF(OR($B$74="",L79=""),"",L78-L79)</f>
        <v/>
      </c>
      <c r="M80" s="33">
        <f>IF(OR($B$74="",M79=""),"",M78-M79)</f>
        <v/>
      </c>
      <c r="N80" s="33">
        <f>IF(OR($B$74="",N79=""),"",N78-N79)</f>
        <v/>
      </c>
      <c r="O80" s="33">
        <f>IF(OR($B$74="",O79=""),"",O78-O79)</f>
        <v/>
      </c>
      <c r="P80" s="33">
        <f>IF(OR($B$74="",P79=""),"",P78-P79)</f>
        <v/>
      </c>
      <c r="Q80" s="33">
        <f>IF(OR($B$74="",Q79=""),"",Q78-Q79)</f>
        <v/>
      </c>
      <c r="R80" s="33">
        <f>IF(OR($B$74="",R79=""),"",R78-R79)</f>
        <v/>
      </c>
      <c r="S80" s="33">
        <f>IF(OR($B$74="",S79=""),"",S78-S79)</f>
        <v/>
      </c>
      <c r="T80" s="33">
        <f>IF(OR($B$74="",T79=""),"",T78-T79)</f>
        <v/>
      </c>
      <c r="U80" s="33">
        <f>IF(OR($B$74="",U79=""),"",U78-U79)</f>
        <v/>
      </c>
      <c r="V80" s="33">
        <f>IF(OR($B$74="",V79=""),"",V78-V79)</f>
        <v/>
      </c>
      <c r="X80" s="22">
        <f>IF($B80="","",IFERROR(INDEX(Cost_Centers!$E:$E,MATCH($B80,Cost_Centers!$A:$A,0)),"(unknown)"))</f>
        <v/>
      </c>
      <c r="Y80" s="22">
        <f>IF($B80="","",IFERROR(INDEX(Cost_Centers!$D:$D,MATCH($B80,Cost_Centers!$A:$A,0)),"(unknown)"))</f>
        <v/>
      </c>
      <c r="Z80" s="22">
        <f>IF(OR($B80="",$G80&lt;&gt;"Variance vs Budget"),"",ABS(N($V80))+ROW()/1000000000)</f>
        <v/>
      </c>
    </row>
    <row r="81" ht="45" customHeight="1">
      <c r="A81" s="13">
        <f>IF(A$74="","",A$74)</f>
        <v/>
      </c>
      <c r="B81" s="13">
        <f>IF(B$74="","",B$74)</f>
        <v/>
      </c>
      <c r="C81" s="13">
        <f>IF(C$74="","",C$74)</f>
        <v/>
      </c>
      <c r="D81" s="13">
        <f>IF(D$74="","",D$74)</f>
        <v/>
      </c>
      <c r="E81" s="13">
        <f>IF(E$74="","",E$74)</f>
        <v/>
      </c>
      <c r="F81" s="13">
        <f>IF(F$74="","",F$74)</f>
        <v/>
      </c>
      <c r="G81" s="7" t="inlineStr">
        <is>
          <t>Rationale</t>
        </is>
      </c>
      <c r="H81" s="38" t="n"/>
      <c r="I81" s="38" t="n"/>
      <c r="J81" s="38" t="n"/>
      <c r="K81" s="38" t="n"/>
      <c r="L81" s="38" t="n"/>
      <c r="M81" s="38" t="n"/>
      <c r="N81" s="38" t="n"/>
      <c r="O81" s="38" t="n"/>
      <c r="P81" s="38" t="n"/>
      <c r="Q81" s="38" t="n"/>
      <c r="R81" s="38" t="n"/>
      <c r="S81" s="38" t="n"/>
      <c r="T81" s="38" t="n"/>
      <c r="U81" s="38" t="n"/>
      <c r="V81" s="7" t="n"/>
      <c r="X81" s="22">
        <f>IF($B81="","",IFERROR(INDEX(Cost_Centers!$E:$E,MATCH($B81,Cost_Centers!$A:$A,0)),"(unknown)"))</f>
        <v/>
      </c>
      <c r="Y81" s="22">
        <f>IF($B81="","",IFERROR(INDEX(Cost_Centers!$D:$D,MATCH($B81,Cost_Centers!$A:$A,0)),"(unknown)"))</f>
        <v/>
      </c>
      <c r="Z81" s="22">
        <f>IF(OR($B81="",$G81&lt;&gt;"Variance vs Budget"),"",ABS(N($V81))+ROW()/1000000000)</f>
        <v/>
      </c>
    </row>
    <row r="82">
      <c r="A82" s="30">
        <f>IF($D$82="","",LEFT($D$82,FIND("|",$D$82&amp;"|")-1))</f>
        <v/>
      </c>
      <c r="B82" s="31" t="n"/>
      <c r="C82" s="30">
        <f>IF($B$82="","",IFERROR(INDEX(Cost_Centers!$B:$B,MATCH($B$82,Cost_Centers!$A:$A,0)),"(not in master)"))</f>
        <v/>
      </c>
      <c r="D82" s="31" t="n"/>
      <c r="E82" s="30">
        <f>IF($D$82="","",IFERROR(INDEX(Accounts!$D:$D,MATCH($D$82,Accounts!$A:$A,0)),"(not in master)"))</f>
        <v/>
      </c>
      <c r="F82" s="31" t="n"/>
      <c r="G82" s="30" t="inlineStr">
        <is>
          <t>Budget</t>
        </is>
      </c>
      <c r="H82" s="32">
        <f>IF($B$82="","",SUMIFS(Opex_Budget!$O:$O,Opex_Budget!$A:$A,$C$3,Opex_Budget!$E:$E,$B$82,Opex_Budget!$F:$F,$D$82,Opex_Budget!$N:$N,"JPY")*$E$5+SUMIFS(Opex_Budget!$O:$O,Opex_Budget!$A:$A,$C$3,Opex_Budget!$E:$E,$B$82,Opex_Budget!$F:$F,$D$82,Opex_Budget!$N:$N,"USD")*$F$5+SUMIFS(Opex_Budget!$O:$O,Opex_Budget!$A:$A,$C$3,Opex_Budget!$E:$E,$B$82,Opex_Budget!$F:$F,$D$82,Opex_Budget!$N:$N,"EUR")*$G$5+SUMIFS(Opex_Budget!$O:$O,Opex_Budget!$A:$A,$C$3,Opex_Budget!$E:$E,$B$82,Opex_Budget!$F:$F,$D$82,Opex_Budget!$N:$N,"GBP")*$H$5)</f>
        <v/>
      </c>
      <c r="I82" s="32">
        <f>IF($B$82="","",SUMIFS(Opex_Budget!$P:$P,Opex_Budget!$A:$A,$C$3,Opex_Budget!$E:$E,$B$82,Opex_Budget!$F:$F,$D$82,Opex_Budget!$N:$N,"JPY")*$E$5+SUMIFS(Opex_Budget!$P:$P,Opex_Budget!$A:$A,$C$3,Opex_Budget!$E:$E,$B$82,Opex_Budget!$F:$F,$D$82,Opex_Budget!$N:$N,"USD")*$F$5+SUMIFS(Opex_Budget!$P:$P,Opex_Budget!$A:$A,$C$3,Opex_Budget!$E:$E,$B$82,Opex_Budget!$F:$F,$D$82,Opex_Budget!$N:$N,"EUR")*$G$5+SUMIFS(Opex_Budget!$P:$P,Opex_Budget!$A:$A,$C$3,Opex_Budget!$E:$E,$B$82,Opex_Budget!$F:$F,$D$82,Opex_Budget!$N:$N,"GBP")*$H$5)</f>
        <v/>
      </c>
      <c r="J82" s="32">
        <f>IF($B$82="","",SUMIFS(Opex_Budget!$Q:$Q,Opex_Budget!$A:$A,$C$3,Opex_Budget!$E:$E,$B$82,Opex_Budget!$F:$F,$D$82,Opex_Budget!$N:$N,"JPY")*$E$5+SUMIFS(Opex_Budget!$Q:$Q,Opex_Budget!$A:$A,$C$3,Opex_Budget!$E:$E,$B$82,Opex_Budget!$F:$F,$D$82,Opex_Budget!$N:$N,"USD")*$F$5+SUMIFS(Opex_Budget!$Q:$Q,Opex_Budget!$A:$A,$C$3,Opex_Budget!$E:$E,$B$82,Opex_Budget!$F:$F,$D$82,Opex_Budget!$N:$N,"EUR")*$G$5+SUMIFS(Opex_Budget!$Q:$Q,Opex_Budget!$A:$A,$C$3,Opex_Budget!$E:$E,$B$82,Opex_Budget!$F:$F,$D$82,Opex_Budget!$N:$N,"GBP")*$H$5)</f>
        <v/>
      </c>
      <c r="K82" s="32">
        <f>IF($B$82="","",SUMIFS(Opex_Budget!$R:$R,Opex_Budget!$A:$A,$C$3,Opex_Budget!$E:$E,$B$82,Opex_Budget!$F:$F,$D$82,Opex_Budget!$N:$N,"JPY")*$E$5+SUMIFS(Opex_Budget!$R:$R,Opex_Budget!$A:$A,$C$3,Opex_Budget!$E:$E,$B$82,Opex_Budget!$F:$F,$D$82,Opex_Budget!$N:$N,"USD")*$F$5+SUMIFS(Opex_Budget!$R:$R,Opex_Budget!$A:$A,$C$3,Opex_Budget!$E:$E,$B$82,Opex_Budget!$F:$F,$D$82,Opex_Budget!$N:$N,"EUR")*$G$5+SUMIFS(Opex_Budget!$R:$R,Opex_Budget!$A:$A,$C$3,Opex_Budget!$E:$E,$B$82,Opex_Budget!$F:$F,$D$82,Opex_Budget!$N:$N,"GBP")*$H$5)</f>
        <v/>
      </c>
      <c r="L82" s="32">
        <f>IF($B$82="","",SUMIFS(Opex_Budget!$S:$S,Opex_Budget!$A:$A,$C$3,Opex_Budget!$E:$E,$B$82,Opex_Budget!$F:$F,$D$82,Opex_Budget!$N:$N,"JPY")*$E$5+SUMIFS(Opex_Budget!$S:$S,Opex_Budget!$A:$A,$C$3,Opex_Budget!$E:$E,$B$82,Opex_Budget!$F:$F,$D$82,Opex_Budget!$N:$N,"USD")*$F$5+SUMIFS(Opex_Budget!$S:$S,Opex_Budget!$A:$A,$C$3,Opex_Budget!$E:$E,$B$82,Opex_Budget!$F:$F,$D$82,Opex_Budget!$N:$N,"EUR")*$G$5+SUMIFS(Opex_Budget!$S:$S,Opex_Budget!$A:$A,$C$3,Opex_Budget!$E:$E,$B$82,Opex_Budget!$F:$F,$D$82,Opex_Budget!$N:$N,"GBP")*$H$5)</f>
        <v/>
      </c>
      <c r="M82" s="32">
        <f>IF($B$82="","",SUMIFS(Opex_Budget!$T:$T,Opex_Budget!$A:$A,$C$3,Opex_Budget!$E:$E,$B$82,Opex_Budget!$F:$F,$D$82,Opex_Budget!$N:$N,"JPY")*$E$5+SUMIFS(Opex_Budget!$T:$T,Opex_Budget!$A:$A,$C$3,Opex_Budget!$E:$E,$B$82,Opex_Budget!$F:$F,$D$82,Opex_Budget!$N:$N,"USD")*$F$5+SUMIFS(Opex_Budget!$T:$T,Opex_Budget!$A:$A,$C$3,Opex_Budget!$E:$E,$B$82,Opex_Budget!$F:$F,$D$82,Opex_Budget!$N:$N,"EUR")*$G$5+SUMIFS(Opex_Budget!$T:$T,Opex_Budget!$A:$A,$C$3,Opex_Budget!$E:$E,$B$82,Opex_Budget!$F:$F,$D$82,Opex_Budget!$N:$N,"GBP")*$H$5)</f>
        <v/>
      </c>
      <c r="N82" s="32">
        <f>IF($B$82="","",SUMIFS(Opex_Budget!$U:$U,Opex_Budget!$A:$A,$C$3,Opex_Budget!$E:$E,$B$82,Opex_Budget!$F:$F,$D$82,Opex_Budget!$N:$N,"JPY")*$E$5+SUMIFS(Opex_Budget!$U:$U,Opex_Budget!$A:$A,$C$3,Opex_Budget!$E:$E,$B$82,Opex_Budget!$F:$F,$D$82,Opex_Budget!$N:$N,"USD")*$F$5+SUMIFS(Opex_Budget!$U:$U,Opex_Budget!$A:$A,$C$3,Opex_Budget!$E:$E,$B$82,Opex_Budget!$F:$F,$D$82,Opex_Budget!$N:$N,"EUR")*$G$5+SUMIFS(Opex_Budget!$U:$U,Opex_Budget!$A:$A,$C$3,Opex_Budget!$E:$E,$B$82,Opex_Budget!$F:$F,$D$82,Opex_Budget!$N:$N,"GBP")*$H$5)</f>
        <v/>
      </c>
      <c r="O82" s="32">
        <f>IF($B$82="","",SUMIFS(Opex_Budget!$V:$V,Opex_Budget!$A:$A,$C$3,Opex_Budget!$E:$E,$B$82,Opex_Budget!$F:$F,$D$82,Opex_Budget!$N:$N,"JPY")*$E$5+SUMIFS(Opex_Budget!$V:$V,Opex_Budget!$A:$A,$C$3,Opex_Budget!$E:$E,$B$82,Opex_Budget!$F:$F,$D$82,Opex_Budget!$N:$N,"USD")*$F$5+SUMIFS(Opex_Budget!$V:$V,Opex_Budget!$A:$A,$C$3,Opex_Budget!$E:$E,$B$82,Opex_Budget!$F:$F,$D$82,Opex_Budget!$N:$N,"EUR")*$G$5+SUMIFS(Opex_Budget!$V:$V,Opex_Budget!$A:$A,$C$3,Opex_Budget!$E:$E,$B$82,Opex_Budget!$F:$F,$D$82,Opex_Budget!$N:$N,"GBP")*$H$5)</f>
        <v/>
      </c>
      <c r="P82" s="32">
        <f>IF($B$82="","",SUMIFS(Opex_Budget!$W:$W,Opex_Budget!$A:$A,$C$3,Opex_Budget!$E:$E,$B$82,Opex_Budget!$F:$F,$D$82,Opex_Budget!$N:$N,"JPY")*$E$5+SUMIFS(Opex_Budget!$W:$W,Opex_Budget!$A:$A,$C$3,Opex_Budget!$E:$E,$B$82,Opex_Budget!$F:$F,$D$82,Opex_Budget!$N:$N,"USD")*$F$5+SUMIFS(Opex_Budget!$W:$W,Opex_Budget!$A:$A,$C$3,Opex_Budget!$E:$E,$B$82,Opex_Budget!$F:$F,$D$82,Opex_Budget!$N:$N,"EUR")*$G$5+SUMIFS(Opex_Budget!$W:$W,Opex_Budget!$A:$A,$C$3,Opex_Budget!$E:$E,$B$82,Opex_Budget!$F:$F,$D$82,Opex_Budget!$N:$N,"GBP")*$H$5)</f>
        <v/>
      </c>
      <c r="Q82" s="32">
        <f>IF($B$82="","",SUMIFS(Opex_Budget!$X:$X,Opex_Budget!$A:$A,$C$3,Opex_Budget!$E:$E,$B$82,Opex_Budget!$F:$F,$D$82,Opex_Budget!$N:$N,"JPY")*$E$5+SUMIFS(Opex_Budget!$X:$X,Opex_Budget!$A:$A,$C$3,Opex_Budget!$E:$E,$B$82,Opex_Budget!$F:$F,$D$82,Opex_Budget!$N:$N,"USD")*$F$5+SUMIFS(Opex_Budget!$X:$X,Opex_Budget!$A:$A,$C$3,Opex_Budget!$E:$E,$B$82,Opex_Budget!$F:$F,$D$82,Opex_Budget!$N:$N,"EUR")*$G$5+SUMIFS(Opex_Budget!$X:$X,Opex_Budget!$A:$A,$C$3,Opex_Budget!$E:$E,$B$82,Opex_Budget!$F:$F,$D$82,Opex_Budget!$N:$N,"GBP")*$H$5)</f>
        <v/>
      </c>
      <c r="R82" s="32">
        <f>IF($B$82="","",SUMIFS(Opex_Budget!$Y:$Y,Opex_Budget!$A:$A,$C$3,Opex_Budget!$E:$E,$B$82,Opex_Budget!$F:$F,$D$82,Opex_Budget!$N:$N,"JPY")*$E$5+SUMIFS(Opex_Budget!$Y:$Y,Opex_Budget!$A:$A,$C$3,Opex_Budget!$E:$E,$B$82,Opex_Budget!$F:$F,$D$82,Opex_Budget!$N:$N,"USD")*$F$5+SUMIFS(Opex_Budget!$Y:$Y,Opex_Budget!$A:$A,$C$3,Opex_Budget!$E:$E,$B$82,Opex_Budget!$F:$F,$D$82,Opex_Budget!$N:$N,"EUR")*$G$5+SUMIFS(Opex_Budget!$Y:$Y,Opex_Budget!$A:$A,$C$3,Opex_Budget!$E:$E,$B$82,Opex_Budget!$F:$F,$D$82,Opex_Budget!$N:$N,"GBP")*$H$5)</f>
        <v/>
      </c>
      <c r="S82" s="32">
        <f>IF($B$82="","",SUMIFS(Opex_Budget!$Z:$Z,Opex_Budget!$A:$A,$C$3,Opex_Budget!$E:$E,$B$82,Opex_Budget!$F:$F,$D$82,Opex_Budget!$N:$N,"JPY")*$E$5+SUMIFS(Opex_Budget!$Z:$Z,Opex_Budget!$A:$A,$C$3,Opex_Budget!$E:$E,$B$82,Opex_Budget!$F:$F,$D$82,Opex_Budget!$N:$N,"USD")*$F$5+SUMIFS(Opex_Budget!$Z:$Z,Opex_Budget!$A:$A,$C$3,Opex_Budget!$E:$E,$B$82,Opex_Budget!$F:$F,$D$82,Opex_Budget!$N:$N,"EUR")*$G$5+SUMIFS(Opex_Budget!$Z:$Z,Opex_Budget!$A:$A,$C$3,Opex_Budget!$E:$E,$B$82,Opex_Budget!$F:$F,$D$82,Opex_Budget!$N:$N,"GBP")*$H$5)</f>
        <v/>
      </c>
      <c r="T82" s="32">
        <f>IF($B$82="","",SUMIF($H$7:$S$7,"&lt;="&amp;$C$4,$H82:$S82))</f>
        <v/>
      </c>
      <c r="U82" s="32">
        <f>IF($B$82="","",SUMIF($H$7:$S$7,"&gt;"&amp;$C$4,$H82:$S82))</f>
        <v/>
      </c>
      <c r="V82" s="32">
        <f>IF($B$82="","",SUM($H82:$S82))</f>
        <v/>
      </c>
      <c r="X82" s="22">
        <f>IF($B82="","",IFERROR(INDEX(Cost_Centers!$E:$E,MATCH($B82,Cost_Centers!$A:$A,0)),"(unknown)"))</f>
        <v/>
      </c>
      <c r="Y82" s="22">
        <f>IF($B82="","",IFERROR(INDEX(Cost_Centers!$D:$D,MATCH($B82,Cost_Centers!$A:$A,0)),"(unknown)"))</f>
        <v/>
      </c>
      <c r="Z82" s="22">
        <f>IF(OR($B82="",$G82&lt;&gt;"Variance vs Budget"),"",ABS(N($V82))+ROW()/1000000000)</f>
        <v/>
      </c>
    </row>
    <row r="83">
      <c r="A83" s="13">
        <f>IF(A$82="","",A$82)</f>
        <v/>
      </c>
      <c r="B83" s="13">
        <f>IF(B$82="","",B$82)</f>
        <v/>
      </c>
      <c r="C83" s="13">
        <f>IF(C$82="","",C$82)</f>
        <v/>
      </c>
      <c r="D83" s="13">
        <f>IF(D$82="","",D$82)</f>
        <v/>
      </c>
      <c r="E83" s="13">
        <f>IF(E$82="","",E$82)</f>
        <v/>
      </c>
      <c r="F83" s="13">
        <f>IF(F$82="","",F$82)</f>
        <v/>
      </c>
      <c r="G83" s="7" t="inlineStr">
        <is>
          <t>Actual</t>
        </is>
      </c>
      <c r="H83" s="18">
        <f>IF(OR($B$82="",1&gt;$C$4),"",SUMIFS(Actuals!$G:$G,Actuals!$B:$B,$C$3,Actuals!$C:$C,1,Actuals!$D:$D,$B$82,Actuals!$A:$A,LEFT($D$82,FIND("|",$D$82&amp;"|")-1),Actuals!$E:$E,MID($D$82,FIND("|",$D$82&amp;"|")+1,50),Actuals!$F:$F,"JPY")*$E$5+SUMIFS(Actuals!$G:$G,Actuals!$B:$B,$C$3,Actuals!$C:$C,1,Actuals!$D:$D,$B$82,Actuals!$A:$A,LEFT($D$82,FIND("|",$D$82&amp;"|")-1),Actuals!$E:$E,MID($D$82,FIND("|",$D$82&amp;"|")+1,50),Actuals!$F:$F,"USD")*$F$5+SUMIFS(Actuals!$G:$G,Actuals!$B:$B,$C$3,Actuals!$C:$C,1,Actuals!$D:$D,$B$82,Actuals!$A:$A,LEFT($D$82,FIND("|",$D$82&amp;"|")-1),Actuals!$E:$E,MID($D$82,FIND("|",$D$82&amp;"|")+1,50),Actuals!$F:$F,"EUR")*$G$5+SUMIFS(Actuals!$G:$G,Actuals!$B:$B,$C$3,Actuals!$C:$C,1,Actuals!$D:$D,$B$82,Actuals!$A:$A,LEFT($D$82,FIND("|",$D$82&amp;"|")-1),Actuals!$E:$E,MID($D$82,FIND("|",$D$82&amp;"|")+1,50),Actuals!$F:$F,"GBP")*$H$5)</f>
        <v/>
      </c>
      <c r="I83" s="18">
        <f>IF(OR($B$82="",2&gt;$C$4),"",SUMIFS(Actuals!$G:$G,Actuals!$B:$B,$C$3,Actuals!$C:$C,2,Actuals!$D:$D,$B$82,Actuals!$A:$A,LEFT($D$82,FIND("|",$D$82&amp;"|")-1),Actuals!$E:$E,MID($D$82,FIND("|",$D$82&amp;"|")+1,50),Actuals!$F:$F,"JPY")*$E$5+SUMIFS(Actuals!$G:$G,Actuals!$B:$B,$C$3,Actuals!$C:$C,2,Actuals!$D:$D,$B$82,Actuals!$A:$A,LEFT($D$82,FIND("|",$D$82&amp;"|")-1),Actuals!$E:$E,MID($D$82,FIND("|",$D$82&amp;"|")+1,50),Actuals!$F:$F,"USD")*$F$5+SUMIFS(Actuals!$G:$G,Actuals!$B:$B,$C$3,Actuals!$C:$C,2,Actuals!$D:$D,$B$82,Actuals!$A:$A,LEFT($D$82,FIND("|",$D$82&amp;"|")-1),Actuals!$E:$E,MID($D$82,FIND("|",$D$82&amp;"|")+1,50),Actuals!$F:$F,"EUR")*$G$5+SUMIFS(Actuals!$G:$G,Actuals!$B:$B,$C$3,Actuals!$C:$C,2,Actuals!$D:$D,$B$82,Actuals!$A:$A,LEFT($D$82,FIND("|",$D$82&amp;"|")-1),Actuals!$E:$E,MID($D$82,FIND("|",$D$82&amp;"|")+1,50),Actuals!$F:$F,"GBP")*$H$5)</f>
        <v/>
      </c>
      <c r="J83" s="18">
        <f>IF(OR($B$82="",3&gt;$C$4),"",SUMIFS(Actuals!$G:$G,Actuals!$B:$B,$C$3,Actuals!$C:$C,3,Actuals!$D:$D,$B$82,Actuals!$A:$A,LEFT($D$82,FIND("|",$D$82&amp;"|")-1),Actuals!$E:$E,MID($D$82,FIND("|",$D$82&amp;"|")+1,50),Actuals!$F:$F,"JPY")*$E$5+SUMIFS(Actuals!$G:$G,Actuals!$B:$B,$C$3,Actuals!$C:$C,3,Actuals!$D:$D,$B$82,Actuals!$A:$A,LEFT($D$82,FIND("|",$D$82&amp;"|")-1),Actuals!$E:$E,MID($D$82,FIND("|",$D$82&amp;"|")+1,50),Actuals!$F:$F,"USD")*$F$5+SUMIFS(Actuals!$G:$G,Actuals!$B:$B,$C$3,Actuals!$C:$C,3,Actuals!$D:$D,$B$82,Actuals!$A:$A,LEFT($D$82,FIND("|",$D$82&amp;"|")-1),Actuals!$E:$E,MID($D$82,FIND("|",$D$82&amp;"|")+1,50),Actuals!$F:$F,"EUR")*$G$5+SUMIFS(Actuals!$G:$G,Actuals!$B:$B,$C$3,Actuals!$C:$C,3,Actuals!$D:$D,$B$82,Actuals!$A:$A,LEFT($D$82,FIND("|",$D$82&amp;"|")-1),Actuals!$E:$E,MID($D$82,FIND("|",$D$82&amp;"|")+1,50),Actuals!$F:$F,"GBP")*$H$5)</f>
        <v/>
      </c>
      <c r="K83" s="18">
        <f>IF(OR($B$82="",4&gt;$C$4),"",SUMIFS(Actuals!$G:$G,Actuals!$B:$B,$C$3,Actuals!$C:$C,4,Actuals!$D:$D,$B$82,Actuals!$A:$A,LEFT($D$82,FIND("|",$D$82&amp;"|")-1),Actuals!$E:$E,MID($D$82,FIND("|",$D$82&amp;"|")+1,50),Actuals!$F:$F,"JPY")*$E$5+SUMIFS(Actuals!$G:$G,Actuals!$B:$B,$C$3,Actuals!$C:$C,4,Actuals!$D:$D,$B$82,Actuals!$A:$A,LEFT($D$82,FIND("|",$D$82&amp;"|")-1),Actuals!$E:$E,MID($D$82,FIND("|",$D$82&amp;"|")+1,50),Actuals!$F:$F,"USD")*$F$5+SUMIFS(Actuals!$G:$G,Actuals!$B:$B,$C$3,Actuals!$C:$C,4,Actuals!$D:$D,$B$82,Actuals!$A:$A,LEFT($D$82,FIND("|",$D$82&amp;"|")-1),Actuals!$E:$E,MID($D$82,FIND("|",$D$82&amp;"|")+1,50),Actuals!$F:$F,"EUR")*$G$5+SUMIFS(Actuals!$G:$G,Actuals!$B:$B,$C$3,Actuals!$C:$C,4,Actuals!$D:$D,$B$82,Actuals!$A:$A,LEFT($D$82,FIND("|",$D$82&amp;"|")-1),Actuals!$E:$E,MID($D$82,FIND("|",$D$82&amp;"|")+1,50),Actuals!$F:$F,"GBP")*$H$5)</f>
        <v/>
      </c>
      <c r="L83" s="18">
        <f>IF(OR($B$82="",5&gt;$C$4),"",SUMIFS(Actuals!$G:$G,Actuals!$B:$B,$C$3,Actuals!$C:$C,5,Actuals!$D:$D,$B$82,Actuals!$A:$A,LEFT($D$82,FIND("|",$D$82&amp;"|")-1),Actuals!$E:$E,MID($D$82,FIND("|",$D$82&amp;"|")+1,50),Actuals!$F:$F,"JPY")*$E$5+SUMIFS(Actuals!$G:$G,Actuals!$B:$B,$C$3,Actuals!$C:$C,5,Actuals!$D:$D,$B$82,Actuals!$A:$A,LEFT($D$82,FIND("|",$D$82&amp;"|")-1),Actuals!$E:$E,MID($D$82,FIND("|",$D$82&amp;"|")+1,50),Actuals!$F:$F,"USD")*$F$5+SUMIFS(Actuals!$G:$G,Actuals!$B:$B,$C$3,Actuals!$C:$C,5,Actuals!$D:$D,$B$82,Actuals!$A:$A,LEFT($D$82,FIND("|",$D$82&amp;"|")-1),Actuals!$E:$E,MID($D$82,FIND("|",$D$82&amp;"|")+1,50),Actuals!$F:$F,"EUR")*$G$5+SUMIFS(Actuals!$G:$G,Actuals!$B:$B,$C$3,Actuals!$C:$C,5,Actuals!$D:$D,$B$82,Actuals!$A:$A,LEFT($D$82,FIND("|",$D$82&amp;"|")-1),Actuals!$E:$E,MID($D$82,FIND("|",$D$82&amp;"|")+1,50),Actuals!$F:$F,"GBP")*$H$5)</f>
        <v/>
      </c>
      <c r="M83" s="18">
        <f>IF(OR($B$82="",6&gt;$C$4),"",SUMIFS(Actuals!$G:$G,Actuals!$B:$B,$C$3,Actuals!$C:$C,6,Actuals!$D:$D,$B$82,Actuals!$A:$A,LEFT($D$82,FIND("|",$D$82&amp;"|")-1),Actuals!$E:$E,MID($D$82,FIND("|",$D$82&amp;"|")+1,50),Actuals!$F:$F,"JPY")*$E$5+SUMIFS(Actuals!$G:$G,Actuals!$B:$B,$C$3,Actuals!$C:$C,6,Actuals!$D:$D,$B$82,Actuals!$A:$A,LEFT($D$82,FIND("|",$D$82&amp;"|")-1),Actuals!$E:$E,MID($D$82,FIND("|",$D$82&amp;"|")+1,50),Actuals!$F:$F,"USD")*$F$5+SUMIFS(Actuals!$G:$G,Actuals!$B:$B,$C$3,Actuals!$C:$C,6,Actuals!$D:$D,$B$82,Actuals!$A:$A,LEFT($D$82,FIND("|",$D$82&amp;"|")-1),Actuals!$E:$E,MID($D$82,FIND("|",$D$82&amp;"|")+1,50),Actuals!$F:$F,"EUR")*$G$5+SUMIFS(Actuals!$G:$G,Actuals!$B:$B,$C$3,Actuals!$C:$C,6,Actuals!$D:$D,$B$82,Actuals!$A:$A,LEFT($D$82,FIND("|",$D$82&amp;"|")-1),Actuals!$E:$E,MID($D$82,FIND("|",$D$82&amp;"|")+1,50),Actuals!$F:$F,"GBP")*$H$5)</f>
        <v/>
      </c>
      <c r="N83" s="18">
        <f>IF(OR($B$82="",7&gt;$C$4),"",SUMIFS(Actuals!$G:$G,Actuals!$B:$B,$C$3,Actuals!$C:$C,7,Actuals!$D:$D,$B$82,Actuals!$A:$A,LEFT($D$82,FIND("|",$D$82&amp;"|")-1),Actuals!$E:$E,MID($D$82,FIND("|",$D$82&amp;"|")+1,50),Actuals!$F:$F,"JPY")*$E$5+SUMIFS(Actuals!$G:$G,Actuals!$B:$B,$C$3,Actuals!$C:$C,7,Actuals!$D:$D,$B$82,Actuals!$A:$A,LEFT($D$82,FIND("|",$D$82&amp;"|")-1),Actuals!$E:$E,MID($D$82,FIND("|",$D$82&amp;"|")+1,50),Actuals!$F:$F,"USD")*$F$5+SUMIFS(Actuals!$G:$G,Actuals!$B:$B,$C$3,Actuals!$C:$C,7,Actuals!$D:$D,$B$82,Actuals!$A:$A,LEFT($D$82,FIND("|",$D$82&amp;"|")-1),Actuals!$E:$E,MID($D$82,FIND("|",$D$82&amp;"|")+1,50),Actuals!$F:$F,"EUR")*$G$5+SUMIFS(Actuals!$G:$G,Actuals!$B:$B,$C$3,Actuals!$C:$C,7,Actuals!$D:$D,$B$82,Actuals!$A:$A,LEFT($D$82,FIND("|",$D$82&amp;"|")-1),Actuals!$E:$E,MID($D$82,FIND("|",$D$82&amp;"|")+1,50),Actuals!$F:$F,"GBP")*$H$5)</f>
        <v/>
      </c>
      <c r="O83" s="18">
        <f>IF(OR($B$82="",8&gt;$C$4),"",SUMIFS(Actuals!$G:$G,Actuals!$B:$B,$C$3,Actuals!$C:$C,8,Actuals!$D:$D,$B$82,Actuals!$A:$A,LEFT($D$82,FIND("|",$D$82&amp;"|")-1),Actuals!$E:$E,MID($D$82,FIND("|",$D$82&amp;"|")+1,50),Actuals!$F:$F,"JPY")*$E$5+SUMIFS(Actuals!$G:$G,Actuals!$B:$B,$C$3,Actuals!$C:$C,8,Actuals!$D:$D,$B$82,Actuals!$A:$A,LEFT($D$82,FIND("|",$D$82&amp;"|")-1),Actuals!$E:$E,MID($D$82,FIND("|",$D$82&amp;"|")+1,50),Actuals!$F:$F,"USD")*$F$5+SUMIFS(Actuals!$G:$G,Actuals!$B:$B,$C$3,Actuals!$C:$C,8,Actuals!$D:$D,$B$82,Actuals!$A:$A,LEFT($D$82,FIND("|",$D$82&amp;"|")-1),Actuals!$E:$E,MID($D$82,FIND("|",$D$82&amp;"|")+1,50),Actuals!$F:$F,"EUR")*$G$5+SUMIFS(Actuals!$G:$G,Actuals!$B:$B,$C$3,Actuals!$C:$C,8,Actuals!$D:$D,$B$82,Actuals!$A:$A,LEFT($D$82,FIND("|",$D$82&amp;"|")-1),Actuals!$E:$E,MID($D$82,FIND("|",$D$82&amp;"|")+1,50),Actuals!$F:$F,"GBP")*$H$5)</f>
        <v/>
      </c>
      <c r="P83" s="18">
        <f>IF(OR($B$82="",9&gt;$C$4),"",SUMIFS(Actuals!$G:$G,Actuals!$B:$B,$C$3,Actuals!$C:$C,9,Actuals!$D:$D,$B$82,Actuals!$A:$A,LEFT($D$82,FIND("|",$D$82&amp;"|")-1),Actuals!$E:$E,MID($D$82,FIND("|",$D$82&amp;"|")+1,50),Actuals!$F:$F,"JPY")*$E$5+SUMIFS(Actuals!$G:$G,Actuals!$B:$B,$C$3,Actuals!$C:$C,9,Actuals!$D:$D,$B$82,Actuals!$A:$A,LEFT($D$82,FIND("|",$D$82&amp;"|")-1),Actuals!$E:$E,MID($D$82,FIND("|",$D$82&amp;"|")+1,50),Actuals!$F:$F,"USD")*$F$5+SUMIFS(Actuals!$G:$G,Actuals!$B:$B,$C$3,Actuals!$C:$C,9,Actuals!$D:$D,$B$82,Actuals!$A:$A,LEFT($D$82,FIND("|",$D$82&amp;"|")-1),Actuals!$E:$E,MID($D$82,FIND("|",$D$82&amp;"|")+1,50),Actuals!$F:$F,"EUR")*$G$5+SUMIFS(Actuals!$G:$G,Actuals!$B:$B,$C$3,Actuals!$C:$C,9,Actuals!$D:$D,$B$82,Actuals!$A:$A,LEFT($D$82,FIND("|",$D$82&amp;"|")-1),Actuals!$E:$E,MID($D$82,FIND("|",$D$82&amp;"|")+1,50),Actuals!$F:$F,"GBP")*$H$5)</f>
        <v/>
      </c>
      <c r="Q83" s="18">
        <f>IF(OR($B$82="",10&gt;$C$4),"",SUMIFS(Actuals!$G:$G,Actuals!$B:$B,$C$3,Actuals!$C:$C,10,Actuals!$D:$D,$B$82,Actuals!$A:$A,LEFT($D$82,FIND("|",$D$82&amp;"|")-1),Actuals!$E:$E,MID($D$82,FIND("|",$D$82&amp;"|")+1,50),Actuals!$F:$F,"JPY")*$E$5+SUMIFS(Actuals!$G:$G,Actuals!$B:$B,$C$3,Actuals!$C:$C,10,Actuals!$D:$D,$B$82,Actuals!$A:$A,LEFT($D$82,FIND("|",$D$82&amp;"|")-1),Actuals!$E:$E,MID($D$82,FIND("|",$D$82&amp;"|")+1,50),Actuals!$F:$F,"USD")*$F$5+SUMIFS(Actuals!$G:$G,Actuals!$B:$B,$C$3,Actuals!$C:$C,10,Actuals!$D:$D,$B$82,Actuals!$A:$A,LEFT($D$82,FIND("|",$D$82&amp;"|")-1),Actuals!$E:$E,MID($D$82,FIND("|",$D$82&amp;"|")+1,50),Actuals!$F:$F,"EUR")*$G$5+SUMIFS(Actuals!$G:$G,Actuals!$B:$B,$C$3,Actuals!$C:$C,10,Actuals!$D:$D,$B$82,Actuals!$A:$A,LEFT($D$82,FIND("|",$D$82&amp;"|")-1),Actuals!$E:$E,MID($D$82,FIND("|",$D$82&amp;"|")+1,50),Actuals!$F:$F,"GBP")*$H$5)</f>
        <v/>
      </c>
      <c r="R83" s="18">
        <f>IF(OR($B$82="",11&gt;$C$4),"",SUMIFS(Actuals!$G:$G,Actuals!$B:$B,$C$3,Actuals!$C:$C,11,Actuals!$D:$D,$B$82,Actuals!$A:$A,LEFT($D$82,FIND("|",$D$82&amp;"|")-1),Actuals!$E:$E,MID($D$82,FIND("|",$D$82&amp;"|")+1,50),Actuals!$F:$F,"JPY")*$E$5+SUMIFS(Actuals!$G:$G,Actuals!$B:$B,$C$3,Actuals!$C:$C,11,Actuals!$D:$D,$B$82,Actuals!$A:$A,LEFT($D$82,FIND("|",$D$82&amp;"|")-1),Actuals!$E:$E,MID($D$82,FIND("|",$D$82&amp;"|")+1,50),Actuals!$F:$F,"USD")*$F$5+SUMIFS(Actuals!$G:$G,Actuals!$B:$B,$C$3,Actuals!$C:$C,11,Actuals!$D:$D,$B$82,Actuals!$A:$A,LEFT($D$82,FIND("|",$D$82&amp;"|")-1),Actuals!$E:$E,MID($D$82,FIND("|",$D$82&amp;"|")+1,50),Actuals!$F:$F,"EUR")*$G$5+SUMIFS(Actuals!$G:$G,Actuals!$B:$B,$C$3,Actuals!$C:$C,11,Actuals!$D:$D,$B$82,Actuals!$A:$A,LEFT($D$82,FIND("|",$D$82&amp;"|")-1),Actuals!$E:$E,MID($D$82,FIND("|",$D$82&amp;"|")+1,50),Actuals!$F:$F,"GBP")*$H$5)</f>
        <v/>
      </c>
      <c r="S83" s="18">
        <f>IF(OR($B$82="",12&gt;$C$4),"",SUMIFS(Actuals!$G:$G,Actuals!$B:$B,$C$3,Actuals!$C:$C,12,Actuals!$D:$D,$B$82,Actuals!$A:$A,LEFT($D$82,FIND("|",$D$82&amp;"|")-1),Actuals!$E:$E,MID($D$82,FIND("|",$D$82&amp;"|")+1,50),Actuals!$F:$F,"JPY")*$E$5+SUMIFS(Actuals!$G:$G,Actuals!$B:$B,$C$3,Actuals!$C:$C,12,Actuals!$D:$D,$B$82,Actuals!$A:$A,LEFT($D$82,FIND("|",$D$82&amp;"|")-1),Actuals!$E:$E,MID($D$82,FIND("|",$D$82&amp;"|")+1,50),Actuals!$F:$F,"USD")*$F$5+SUMIFS(Actuals!$G:$G,Actuals!$B:$B,$C$3,Actuals!$C:$C,12,Actuals!$D:$D,$B$82,Actuals!$A:$A,LEFT($D$82,FIND("|",$D$82&amp;"|")-1),Actuals!$E:$E,MID($D$82,FIND("|",$D$82&amp;"|")+1,50),Actuals!$F:$F,"EUR")*$G$5+SUMIFS(Actuals!$G:$G,Actuals!$B:$B,$C$3,Actuals!$C:$C,12,Actuals!$D:$D,$B$82,Actuals!$A:$A,LEFT($D$82,FIND("|",$D$82&amp;"|")-1),Actuals!$E:$E,MID($D$82,FIND("|",$D$82&amp;"|")+1,50),Actuals!$F:$F,"GBP")*$H$5)</f>
        <v/>
      </c>
      <c r="T83" s="18">
        <f>IF($B$82="","",SUMIF($H$7:$S$7,"&lt;="&amp;$C$4,$H83:$S83))</f>
        <v/>
      </c>
      <c r="U83" s="18" t="n"/>
      <c r="V83" s="18" t="n"/>
      <c r="X83" s="22">
        <f>IF($B83="","",IFERROR(INDEX(Cost_Centers!$E:$E,MATCH($B83,Cost_Centers!$A:$A,0)),"(unknown)"))</f>
        <v/>
      </c>
      <c r="Y83" s="22">
        <f>IF($B83="","",IFERROR(INDEX(Cost_Centers!$D:$D,MATCH($B83,Cost_Centers!$A:$A,0)),"(unknown)"))</f>
        <v/>
      </c>
      <c r="Z83" s="22">
        <f>IF(OR($B83="",$G83&lt;&gt;"Variance vs Budget"),"",ABS(N($V83))+ROW()/1000000000)</f>
        <v/>
      </c>
    </row>
    <row r="84">
      <c r="A84" s="13">
        <f>IF(A$82="","",A$82)</f>
        <v/>
      </c>
      <c r="B84" s="13">
        <f>IF(B$82="","",B$82)</f>
        <v/>
      </c>
      <c r="C84" s="13">
        <f>IF(C$82="","",C$82)</f>
        <v/>
      </c>
      <c r="D84" s="13">
        <f>IF(D$82="","",D$82)</f>
        <v/>
      </c>
      <c r="E84" s="13">
        <f>IF(E$82="","",E$82)</f>
        <v/>
      </c>
      <c r="F84" s="13">
        <f>IF(F$82="","",F$82)</f>
        <v/>
      </c>
      <c r="G84" s="6" t="inlineStr">
        <is>
          <t>Variance vs Budget</t>
        </is>
      </c>
      <c r="H84" s="33">
        <f>IF(OR($B$82="",1&gt;$C$4),"",N(H83)-H82)</f>
        <v/>
      </c>
      <c r="I84" s="33">
        <f>IF(OR($B$82="",2&gt;$C$4),"",N(I83)-I82)</f>
        <v/>
      </c>
      <c r="J84" s="33">
        <f>IF(OR($B$82="",3&gt;$C$4),"",N(J83)-J82)</f>
        <v/>
      </c>
      <c r="K84" s="33">
        <f>IF(OR($B$82="",4&gt;$C$4),"",N(K83)-K82)</f>
        <v/>
      </c>
      <c r="L84" s="33">
        <f>IF(OR($B$82="",5&gt;$C$4),"",N(L83)-L82)</f>
        <v/>
      </c>
      <c r="M84" s="33">
        <f>IF(OR($B$82="",6&gt;$C$4),"",N(M83)-M82)</f>
        <v/>
      </c>
      <c r="N84" s="33">
        <f>IF(OR($B$82="",7&gt;$C$4),"",N(N83)-N82)</f>
        <v/>
      </c>
      <c r="O84" s="33">
        <f>IF(OR($B$82="",8&gt;$C$4),"",N(O83)-O82)</f>
        <v/>
      </c>
      <c r="P84" s="33">
        <f>IF(OR($B$82="",9&gt;$C$4),"",N(P83)-P82)</f>
        <v/>
      </c>
      <c r="Q84" s="33">
        <f>IF(OR($B$82="",10&gt;$C$4),"",N(Q83)-Q82)</f>
        <v/>
      </c>
      <c r="R84" s="33">
        <f>IF(OR($B$82="",11&gt;$C$4),"",N(R83)-R82)</f>
        <v/>
      </c>
      <c r="S84" s="33">
        <f>IF(OR($B$82="",12&gt;$C$4),"",N(S83)-S82)</f>
        <v/>
      </c>
      <c r="T84" s="33">
        <f>IF($B$82="","",T83-T82)</f>
        <v/>
      </c>
      <c r="U84" s="33">
        <f>IF($B$82="","",U86-U82)</f>
        <v/>
      </c>
      <c r="V84" s="33">
        <f>IF($B$82="","",V86-V82)</f>
        <v/>
      </c>
      <c r="X84" s="22">
        <f>IF($B84="","",IFERROR(INDEX(Cost_Centers!$E:$E,MATCH($B84,Cost_Centers!$A:$A,0)),"(unknown)"))</f>
        <v/>
      </c>
      <c r="Y84" s="22">
        <f>IF($B84="","",IFERROR(INDEX(Cost_Centers!$D:$D,MATCH($B84,Cost_Centers!$A:$A,0)),"(unknown)"))</f>
        <v/>
      </c>
      <c r="Z84" s="22">
        <f>IF(OR($B84="",$G84&lt;&gt;"Variance vs Budget"),"",ABS(N($V84))+ROW()/1000000000)</f>
        <v/>
      </c>
    </row>
    <row r="85">
      <c r="A85" s="13">
        <f>IF(A$82="","",A$82)</f>
        <v/>
      </c>
      <c r="B85" s="13">
        <f>IF(B$82="","",B$82)</f>
        <v/>
      </c>
      <c r="C85" s="13">
        <f>IF(C$82="","",C$82)</f>
        <v/>
      </c>
      <c r="D85" s="13">
        <f>IF(D$82="","",D$82)</f>
        <v/>
      </c>
      <c r="E85" s="13">
        <f>IF(E$82="","",E$82)</f>
        <v/>
      </c>
      <c r="F85" s="13">
        <f>IF(F$82="","",F$82)</f>
        <v/>
      </c>
      <c r="G85" s="7" t="inlineStr">
        <is>
          <t>Forecast (input)</t>
        </is>
      </c>
      <c r="H85" s="34" t="n"/>
      <c r="I85" s="34" t="n"/>
      <c r="J85" s="34" t="n"/>
      <c r="K85" s="34" t="n"/>
      <c r="L85" s="34" t="n"/>
      <c r="M85" s="34" t="n"/>
      <c r="N85" s="34" t="n"/>
      <c r="O85" s="34" t="n"/>
      <c r="P85" s="34" t="n"/>
      <c r="Q85" s="34" t="n"/>
      <c r="R85" s="34" t="n"/>
      <c r="S85" s="34" t="n"/>
      <c r="T85" s="18" t="n"/>
      <c r="U85" s="18" t="n"/>
      <c r="V85" s="18" t="n"/>
      <c r="X85" s="22">
        <f>IF($B85="","",IFERROR(INDEX(Cost_Centers!$E:$E,MATCH($B85,Cost_Centers!$A:$A,0)),"(unknown)"))</f>
        <v/>
      </c>
      <c r="Y85" s="22">
        <f>IF($B85="","",IFERROR(INDEX(Cost_Centers!$D:$D,MATCH($B85,Cost_Centers!$A:$A,0)),"(unknown)"))</f>
        <v/>
      </c>
      <c r="Z85" s="22">
        <f>IF(OR($B85="",$G85&lt;&gt;"Variance vs Budget"),"",ABS(N($V85))+ROW()/1000000000)</f>
        <v/>
      </c>
    </row>
    <row r="86">
      <c r="A86" s="13">
        <f>IF(A$82="","",A$82)</f>
        <v/>
      </c>
      <c r="B86" s="13">
        <f>IF(B$82="","",B$82)</f>
        <v/>
      </c>
      <c r="C86" s="13">
        <f>IF(C$82="","",C$82)</f>
        <v/>
      </c>
      <c r="D86" s="13">
        <f>IF(D$82="","",D$82)</f>
        <v/>
      </c>
      <c r="E86" s="13">
        <f>IF(E$82="","",E$82)</f>
        <v/>
      </c>
      <c r="F86" s="13">
        <f>IF(F$82="","",F$82)</f>
        <v/>
      </c>
      <c r="G86" s="35" t="inlineStr">
        <is>
          <t>Actual + Forecast</t>
        </is>
      </c>
      <c r="H86" s="18">
        <f>IF($B$82="","",IF(1&lt;=$C$4,N(H83),IF(H85="",H82,H85)))</f>
        <v/>
      </c>
      <c r="I86" s="18">
        <f>IF($B$82="","",IF(2&lt;=$C$4,N(I83),IF(I85="",I82,I85)))</f>
        <v/>
      </c>
      <c r="J86" s="18">
        <f>IF($B$82="","",IF(3&lt;=$C$4,N(J83),IF(J85="",J82,J85)))</f>
        <v/>
      </c>
      <c r="K86" s="18">
        <f>IF($B$82="","",IF(4&lt;=$C$4,N(K83),IF(K85="",K82,K85)))</f>
        <v/>
      </c>
      <c r="L86" s="18">
        <f>IF($B$82="","",IF(5&lt;=$C$4,N(L83),IF(L85="",L82,L85)))</f>
        <v/>
      </c>
      <c r="M86" s="18">
        <f>IF($B$82="","",IF(6&lt;=$C$4,N(M83),IF(M85="",M82,M85)))</f>
        <v/>
      </c>
      <c r="N86" s="18">
        <f>IF($B$82="","",IF(7&lt;=$C$4,N(N83),IF(N85="",N82,N85)))</f>
        <v/>
      </c>
      <c r="O86" s="18">
        <f>IF($B$82="","",IF(8&lt;=$C$4,N(O83),IF(O85="",O82,O85)))</f>
        <v/>
      </c>
      <c r="P86" s="18">
        <f>IF($B$82="","",IF(9&lt;=$C$4,N(P83),IF(P85="",P82,P85)))</f>
        <v/>
      </c>
      <c r="Q86" s="18">
        <f>IF($B$82="","",IF(10&lt;=$C$4,N(Q83),IF(Q85="",Q82,Q85)))</f>
        <v/>
      </c>
      <c r="R86" s="18">
        <f>IF($B$82="","",IF(11&lt;=$C$4,N(R83),IF(R85="",R82,R85)))</f>
        <v/>
      </c>
      <c r="S86" s="18">
        <f>IF($B$82="","",IF(12&lt;=$C$4,N(S83),IF(S85="",S82,S85)))</f>
        <v/>
      </c>
      <c r="T86" s="18">
        <f>IF($B$82="","",SUMIF($H$7:$S$7,"&lt;="&amp;$C$4,$H86:$S86))</f>
        <v/>
      </c>
      <c r="U86" s="18">
        <f>IF($B$82="","",SUMIF($H$7:$S$7,"&gt;"&amp;$C$4,$H86:$S86))</f>
        <v/>
      </c>
      <c r="V86" s="18">
        <f>IF($B$82="","",SUM($H86:$S86))</f>
        <v/>
      </c>
      <c r="X86" s="22">
        <f>IF($B86="","",IFERROR(INDEX(Cost_Centers!$E:$E,MATCH($B86,Cost_Centers!$A:$A,0)),"(unknown)"))</f>
        <v/>
      </c>
      <c r="Y86" s="22">
        <f>IF($B86="","",IFERROR(INDEX(Cost_Centers!$D:$D,MATCH($B86,Cost_Centers!$A:$A,0)),"(unknown)"))</f>
        <v/>
      </c>
      <c r="Z86" s="22">
        <f>IF(OR($B86="",$G86&lt;&gt;"Variance vs Budget"),"",ABS(N($V86))+ROW()/1000000000)</f>
        <v/>
      </c>
    </row>
    <row r="87">
      <c r="A87" s="13">
        <f>IF(A$82="","",A$82)</f>
        <v/>
      </c>
      <c r="B87" s="13">
        <f>IF(B$82="","",B$82)</f>
        <v/>
      </c>
      <c r="C87" s="13">
        <f>IF(C$82="","",C$82)</f>
        <v/>
      </c>
      <c r="D87" s="13">
        <f>IF(D$82="","",D$82)</f>
        <v/>
      </c>
      <c r="E87" s="13">
        <f>IF(E$82="","",E$82)</f>
        <v/>
      </c>
      <c r="F87" s="13">
        <f>IF(F$82="","",F$82)</f>
        <v/>
      </c>
      <c r="G87" s="36" t="inlineStr">
        <is>
          <t>Prior Month Forecast</t>
        </is>
      </c>
      <c r="H87" s="37">
        <f>IF($B$82="","",IF(COUNTIFS(Prior_Forecast!$A:$A,$B$82,Prior_Forecast!$B:$B,$D$82)&gt;0,SUMIFS(Prior_Forecast!$C:$C,Prior_Forecast!$A:$A,$B$82,Prior_Forecast!$B:$B,$D$82),""))</f>
        <v/>
      </c>
      <c r="I87" s="37">
        <f>IF($B$82="","",IF(COUNTIFS(Prior_Forecast!$A:$A,$B$82,Prior_Forecast!$B:$B,$D$82)&gt;0,SUMIFS(Prior_Forecast!$D:$D,Prior_Forecast!$A:$A,$B$82,Prior_Forecast!$B:$B,$D$82),""))</f>
        <v/>
      </c>
      <c r="J87" s="37">
        <f>IF($B$82="","",IF(COUNTIFS(Prior_Forecast!$A:$A,$B$82,Prior_Forecast!$B:$B,$D$82)&gt;0,SUMIFS(Prior_Forecast!$E:$E,Prior_Forecast!$A:$A,$B$82,Prior_Forecast!$B:$B,$D$82),""))</f>
        <v/>
      </c>
      <c r="K87" s="37">
        <f>IF($B$82="","",IF(COUNTIFS(Prior_Forecast!$A:$A,$B$82,Prior_Forecast!$B:$B,$D$82)&gt;0,SUMIFS(Prior_Forecast!$F:$F,Prior_Forecast!$A:$A,$B$82,Prior_Forecast!$B:$B,$D$82),""))</f>
        <v/>
      </c>
      <c r="L87" s="37">
        <f>IF($B$82="","",IF(COUNTIFS(Prior_Forecast!$A:$A,$B$82,Prior_Forecast!$B:$B,$D$82)&gt;0,SUMIFS(Prior_Forecast!$G:$G,Prior_Forecast!$A:$A,$B$82,Prior_Forecast!$B:$B,$D$82),""))</f>
        <v/>
      </c>
      <c r="M87" s="37">
        <f>IF($B$82="","",IF(COUNTIFS(Prior_Forecast!$A:$A,$B$82,Prior_Forecast!$B:$B,$D$82)&gt;0,SUMIFS(Prior_Forecast!$H:$H,Prior_Forecast!$A:$A,$B$82,Prior_Forecast!$B:$B,$D$82),""))</f>
        <v/>
      </c>
      <c r="N87" s="37">
        <f>IF($B$82="","",IF(COUNTIFS(Prior_Forecast!$A:$A,$B$82,Prior_Forecast!$B:$B,$D$82)&gt;0,SUMIFS(Prior_Forecast!$I:$I,Prior_Forecast!$A:$A,$B$82,Prior_Forecast!$B:$B,$D$82),""))</f>
        <v/>
      </c>
      <c r="O87" s="37">
        <f>IF($B$82="","",IF(COUNTIFS(Prior_Forecast!$A:$A,$B$82,Prior_Forecast!$B:$B,$D$82)&gt;0,SUMIFS(Prior_Forecast!$J:$J,Prior_Forecast!$A:$A,$B$82,Prior_Forecast!$B:$B,$D$82),""))</f>
        <v/>
      </c>
      <c r="P87" s="37">
        <f>IF($B$82="","",IF(COUNTIFS(Prior_Forecast!$A:$A,$B$82,Prior_Forecast!$B:$B,$D$82)&gt;0,SUMIFS(Prior_Forecast!$K:$K,Prior_Forecast!$A:$A,$B$82,Prior_Forecast!$B:$B,$D$82),""))</f>
        <v/>
      </c>
      <c r="Q87" s="37">
        <f>IF($B$82="","",IF(COUNTIFS(Prior_Forecast!$A:$A,$B$82,Prior_Forecast!$B:$B,$D$82)&gt;0,SUMIFS(Prior_Forecast!$L:$L,Prior_Forecast!$A:$A,$B$82,Prior_Forecast!$B:$B,$D$82),""))</f>
        <v/>
      </c>
      <c r="R87" s="37">
        <f>IF($B$82="","",IF(COUNTIFS(Prior_Forecast!$A:$A,$B$82,Prior_Forecast!$B:$B,$D$82)&gt;0,SUMIFS(Prior_Forecast!$M:$M,Prior_Forecast!$A:$A,$B$82,Prior_Forecast!$B:$B,$D$82),""))</f>
        <v/>
      </c>
      <c r="S87" s="37">
        <f>IF($B$82="","",IF(COUNTIFS(Prior_Forecast!$A:$A,$B$82,Prior_Forecast!$B:$B,$D$82)&gt;0,SUMIFS(Prior_Forecast!$N:$N,Prior_Forecast!$A:$A,$B$82,Prior_Forecast!$B:$B,$D$82),""))</f>
        <v/>
      </c>
      <c r="T87" s="37">
        <f>IF($B$82="","",IF(COUNTIFS(Prior_Forecast!$A:$A,$B$82,Prior_Forecast!$B:$B,$D$82)&gt;0,SUMIFS(Prior_Forecast!$O:$O,Prior_Forecast!$A:$A,$B$82,Prior_Forecast!$B:$B,$D$82),""))</f>
        <v/>
      </c>
      <c r="U87" s="37">
        <f>IF($B$82="","",IF(COUNTIFS(Prior_Forecast!$A:$A,$B$82,Prior_Forecast!$B:$B,$D$82)&gt;0,SUMIFS(Prior_Forecast!$P:$P,Prior_Forecast!$A:$A,$B$82,Prior_Forecast!$B:$B,$D$82),""))</f>
        <v/>
      </c>
      <c r="V87" s="37">
        <f>IF($B$82="","",IF(COUNTIFS(Prior_Forecast!$A:$A,$B$82,Prior_Forecast!$B:$B,$D$82)&gt;0,SUMIFS(Prior_Forecast!$Q:$Q,Prior_Forecast!$A:$A,$B$82,Prior_Forecast!$B:$B,$D$82),""))</f>
        <v/>
      </c>
      <c r="X87" s="22">
        <f>IF($B87="","",IFERROR(INDEX(Cost_Centers!$E:$E,MATCH($B87,Cost_Centers!$A:$A,0)),"(unknown)"))</f>
        <v/>
      </c>
      <c r="Y87" s="22">
        <f>IF($B87="","",IFERROR(INDEX(Cost_Centers!$D:$D,MATCH($B87,Cost_Centers!$A:$A,0)),"(unknown)"))</f>
        <v/>
      </c>
      <c r="Z87" s="22">
        <f>IF(OR($B87="",$G87&lt;&gt;"Variance vs Budget"),"",ABS(N($V87))+ROW()/1000000000)</f>
        <v/>
      </c>
    </row>
    <row r="88">
      <c r="A88" s="13">
        <f>IF(A$82="","",A$82)</f>
        <v/>
      </c>
      <c r="B88" s="13">
        <f>IF(B$82="","",B$82)</f>
        <v/>
      </c>
      <c r="C88" s="13">
        <f>IF(C$82="","",C$82)</f>
        <v/>
      </c>
      <c r="D88" s="13">
        <f>IF(D$82="","",D$82)</f>
        <v/>
      </c>
      <c r="E88" s="13">
        <f>IF(E$82="","",E$82)</f>
        <v/>
      </c>
      <c r="F88" s="13">
        <f>IF(F$82="","",F$82)</f>
        <v/>
      </c>
      <c r="G88" s="6" t="inlineStr">
        <is>
          <t>Variance vs Prior Month</t>
        </is>
      </c>
      <c r="H88" s="33">
        <f>IF(OR($B$82="",H87=""),"",H86-H87)</f>
        <v/>
      </c>
      <c r="I88" s="33">
        <f>IF(OR($B$82="",I87=""),"",I86-I87)</f>
        <v/>
      </c>
      <c r="J88" s="33">
        <f>IF(OR($B$82="",J87=""),"",J86-J87)</f>
        <v/>
      </c>
      <c r="K88" s="33">
        <f>IF(OR($B$82="",K87=""),"",K86-K87)</f>
        <v/>
      </c>
      <c r="L88" s="33">
        <f>IF(OR($B$82="",L87=""),"",L86-L87)</f>
        <v/>
      </c>
      <c r="M88" s="33">
        <f>IF(OR($B$82="",M87=""),"",M86-M87)</f>
        <v/>
      </c>
      <c r="N88" s="33">
        <f>IF(OR($B$82="",N87=""),"",N86-N87)</f>
        <v/>
      </c>
      <c r="O88" s="33">
        <f>IF(OR($B$82="",O87=""),"",O86-O87)</f>
        <v/>
      </c>
      <c r="P88" s="33">
        <f>IF(OR($B$82="",P87=""),"",P86-P87)</f>
        <v/>
      </c>
      <c r="Q88" s="33">
        <f>IF(OR($B$82="",Q87=""),"",Q86-Q87)</f>
        <v/>
      </c>
      <c r="R88" s="33">
        <f>IF(OR($B$82="",R87=""),"",R86-R87)</f>
        <v/>
      </c>
      <c r="S88" s="33">
        <f>IF(OR($B$82="",S87=""),"",S86-S87)</f>
        <v/>
      </c>
      <c r="T88" s="33">
        <f>IF(OR($B$82="",T87=""),"",T86-T87)</f>
        <v/>
      </c>
      <c r="U88" s="33">
        <f>IF(OR($B$82="",U87=""),"",U86-U87)</f>
        <v/>
      </c>
      <c r="V88" s="33">
        <f>IF(OR($B$82="",V87=""),"",V86-V87)</f>
        <v/>
      </c>
      <c r="X88" s="22">
        <f>IF($B88="","",IFERROR(INDEX(Cost_Centers!$E:$E,MATCH($B88,Cost_Centers!$A:$A,0)),"(unknown)"))</f>
        <v/>
      </c>
      <c r="Y88" s="22">
        <f>IF($B88="","",IFERROR(INDEX(Cost_Centers!$D:$D,MATCH($B88,Cost_Centers!$A:$A,0)),"(unknown)"))</f>
        <v/>
      </c>
      <c r="Z88" s="22">
        <f>IF(OR($B88="",$G88&lt;&gt;"Variance vs Budget"),"",ABS(N($V88))+ROW()/1000000000)</f>
        <v/>
      </c>
    </row>
    <row r="89" ht="45" customHeight="1">
      <c r="A89" s="13">
        <f>IF(A$82="","",A$82)</f>
        <v/>
      </c>
      <c r="B89" s="13">
        <f>IF(B$82="","",B$82)</f>
        <v/>
      </c>
      <c r="C89" s="13">
        <f>IF(C$82="","",C$82)</f>
        <v/>
      </c>
      <c r="D89" s="13">
        <f>IF(D$82="","",D$82)</f>
        <v/>
      </c>
      <c r="E89" s="13">
        <f>IF(E$82="","",E$82)</f>
        <v/>
      </c>
      <c r="F89" s="13">
        <f>IF(F$82="","",F$82)</f>
        <v/>
      </c>
      <c r="G89" s="7" t="inlineStr">
        <is>
          <t>Rationale</t>
        </is>
      </c>
      <c r="H89" s="38" t="n"/>
      <c r="I89" s="38" t="n"/>
      <c r="J89" s="38" t="n"/>
      <c r="K89" s="38" t="n"/>
      <c r="L89" s="38" t="n"/>
      <c r="M89" s="38" t="n"/>
      <c r="N89" s="38" t="n"/>
      <c r="O89" s="38" t="n"/>
      <c r="P89" s="38" t="n"/>
      <c r="Q89" s="38" t="n"/>
      <c r="R89" s="38" t="n"/>
      <c r="S89" s="38" t="n"/>
      <c r="T89" s="38" t="n"/>
      <c r="U89" s="38" t="n"/>
      <c r="V89" s="7" t="n"/>
      <c r="X89" s="22">
        <f>IF($B89="","",IFERROR(INDEX(Cost_Centers!$E:$E,MATCH($B89,Cost_Centers!$A:$A,0)),"(unknown)"))</f>
        <v/>
      </c>
      <c r="Y89" s="22">
        <f>IF($B89="","",IFERROR(INDEX(Cost_Centers!$D:$D,MATCH($B89,Cost_Centers!$A:$A,0)),"(unknown)"))</f>
        <v/>
      </c>
      <c r="Z89" s="22">
        <f>IF(OR($B89="",$G89&lt;&gt;"Variance vs Budget"),"",ABS(N($V89))+ROW()/1000000000)</f>
        <v/>
      </c>
    </row>
    <row r="90">
      <c r="A90" s="30">
        <f>IF($D$90="","",LEFT($D$90,FIND("|",$D$90&amp;"|")-1))</f>
        <v/>
      </c>
      <c r="B90" s="31" t="n"/>
      <c r="C90" s="30">
        <f>IF($B$90="","",IFERROR(INDEX(Cost_Centers!$B:$B,MATCH($B$90,Cost_Centers!$A:$A,0)),"(not in master)"))</f>
        <v/>
      </c>
      <c r="D90" s="31" t="n"/>
      <c r="E90" s="30">
        <f>IF($D$90="","",IFERROR(INDEX(Accounts!$D:$D,MATCH($D$90,Accounts!$A:$A,0)),"(not in master)"))</f>
        <v/>
      </c>
      <c r="F90" s="31" t="n"/>
      <c r="G90" s="30" t="inlineStr">
        <is>
          <t>Budget</t>
        </is>
      </c>
      <c r="H90" s="32">
        <f>IF($B$90="","",SUMIFS(Opex_Budget!$O:$O,Opex_Budget!$A:$A,$C$3,Opex_Budget!$E:$E,$B$90,Opex_Budget!$F:$F,$D$90,Opex_Budget!$N:$N,"JPY")*$E$5+SUMIFS(Opex_Budget!$O:$O,Opex_Budget!$A:$A,$C$3,Opex_Budget!$E:$E,$B$90,Opex_Budget!$F:$F,$D$90,Opex_Budget!$N:$N,"USD")*$F$5+SUMIFS(Opex_Budget!$O:$O,Opex_Budget!$A:$A,$C$3,Opex_Budget!$E:$E,$B$90,Opex_Budget!$F:$F,$D$90,Opex_Budget!$N:$N,"EUR")*$G$5+SUMIFS(Opex_Budget!$O:$O,Opex_Budget!$A:$A,$C$3,Opex_Budget!$E:$E,$B$90,Opex_Budget!$F:$F,$D$90,Opex_Budget!$N:$N,"GBP")*$H$5)</f>
        <v/>
      </c>
      <c r="I90" s="32">
        <f>IF($B$90="","",SUMIFS(Opex_Budget!$P:$P,Opex_Budget!$A:$A,$C$3,Opex_Budget!$E:$E,$B$90,Opex_Budget!$F:$F,$D$90,Opex_Budget!$N:$N,"JPY")*$E$5+SUMIFS(Opex_Budget!$P:$P,Opex_Budget!$A:$A,$C$3,Opex_Budget!$E:$E,$B$90,Opex_Budget!$F:$F,$D$90,Opex_Budget!$N:$N,"USD")*$F$5+SUMIFS(Opex_Budget!$P:$P,Opex_Budget!$A:$A,$C$3,Opex_Budget!$E:$E,$B$90,Opex_Budget!$F:$F,$D$90,Opex_Budget!$N:$N,"EUR")*$G$5+SUMIFS(Opex_Budget!$P:$P,Opex_Budget!$A:$A,$C$3,Opex_Budget!$E:$E,$B$90,Opex_Budget!$F:$F,$D$90,Opex_Budget!$N:$N,"GBP")*$H$5)</f>
        <v/>
      </c>
      <c r="J90" s="32">
        <f>IF($B$90="","",SUMIFS(Opex_Budget!$Q:$Q,Opex_Budget!$A:$A,$C$3,Opex_Budget!$E:$E,$B$90,Opex_Budget!$F:$F,$D$90,Opex_Budget!$N:$N,"JPY")*$E$5+SUMIFS(Opex_Budget!$Q:$Q,Opex_Budget!$A:$A,$C$3,Opex_Budget!$E:$E,$B$90,Opex_Budget!$F:$F,$D$90,Opex_Budget!$N:$N,"USD")*$F$5+SUMIFS(Opex_Budget!$Q:$Q,Opex_Budget!$A:$A,$C$3,Opex_Budget!$E:$E,$B$90,Opex_Budget!$F:$F,$D$90,Opex_Budget!$N:$N,"EUR")*$G$5+SUMIFS(Opex_Budget!$Q:$Q,Opex_Budget!$A:$A,$C$3,Opex_Budget!$E:$E,$B$90,Opex_Budget!$F:$F,$D$90,Opex_Budget!$N:$N,"GBP")*$H$5)</f>
        <v/>
      </c>
      <c r="K90" s="32">
        <f>IF($B$90="","",SUMIFS(Opex_Budget!$R:$R,Opex_Budget!$A:$A,$C$3,Opex_Budget!$E:$E,$B$90,Opex_Budget!$F:$F,$D$90,Opex_Budget!$N:$N,"JPY")*$E$5+SUMIFS(Opex_Budget!$R:$R,Opex_Budget!$A:$A,$C$3,Opex_Budget!$E:$E,$B$90,Opex_Budget!$F:$F,$D$90,Opex_Budget!$N:$N,"USD")*$F$5+SUMIFS(Opex_Budget!$R:$R,Opex_Budget!$A:$A,$C$3,Opex_Budget!$E:$E,$B$90,Opex_Budget!$F:$F,$D$90,Opex_Budget!$N:$N,"EUR")*$G$5+SUMIFS(Opex_Budget!$R:$R,Opex_Budget!$A:$A,$C$3,Opex_Budget!$E:$E,$B$90,Opex_Budget!$F:$F,$D$90,Opex_Budget!$N:$N,"GBP")*$H$5)</f>
        <v/>
      </c>
      <c r="L90" s="32">
        <f>IF($B$90="","",SUMIFS(Opex_Budget!$S:$S,Opex_Budget!$A:$A,$C$3,Opex_Budget!$E:$E,$B$90,Opex_Budget!$F:$F,$D$90,Opex_Budget!$N:$N,"JPY")*$E$5+SUMIFS(Opex_Budget!$S:$S,Opex_Budget!$A:$A,$C$3,Opex_Budget!$E:$E,$B$90,Opex_Budget!$F:$F,$D$90,Opex_Budget!$N:$N,"USD")*$F$5+SUMIFS(Opex_Budget!$S:$S,Opex_Budget!$A:$A,$C$3,Opex_Budget!$E:$E,$B$90,Opex_Budget!$F:$F,$D$90,Opex_Budget!$N:$N,"EUR")*$G$5+SUMIFS(Opex_Budget!$S:$S,Opex_Budget!$A:$A,$C$3,Opex_Budget!$E:$E,$B$90,Opex_Budget!$F:$F,$D$90,Opex_Budget!$N:$N,"GBP")*$H$5)</f>
        <v/>
      </c>
      <c r="M90" s="32">
        <f>IF($B$90="","",SUMIFS(Opex_Budget!$T:$T,Opex_Budget!$A:$A,$C$3,Opex_Budget!$E:$E,$B$90,Opex_Budget!$F:$F,$D$90,Opex_Budget!$N:$N,"JPY")*$E$5+SUMIFS(Opex_Budget!$T:$T,Opex_Budget!$A:$A,$C$3,Opex_Budget!$E:$E,$B$90,Opex_Budget!$F:$F,$D$90,Opex_Budget!$N:$N,"USD")*$F$5+SUMIFS(Opex_Budget!$T:$T,Opex_Budget!$A:$A,$C$3,Opex_Budget!$E:$E,$B$90,Opex_Budget!$F:$F,$D$90,Opex_Budget!$N:$N,"EUR")*$G$5+SUMIFS(Opex_Budget!$T:$T,Opex_Budget!$A:$A,$C$3,Opex_Budget!$E:$E,$B$90,Opex_Budget!$F:$F,$D$90,Opex_Budget!$N:$N,"GBP")*$H$5)</f>
        <v/>
      </c>
      <c r="N90" s="32">
        <f>IF($B$90="","",SUMIFS(Opex_Budget!$U:$U,Opex_Budget!$A:$A,$C$3,Opex_Budget!$E:$E,$B$90,Opex_Budget!$F:$F,$D$90,Opex_Budget!$N:$N,"JPY")*$E$5+SUMIFS(Opex_Budget!$U:$U,Opex_Budget!$A:$A,$C$3,Opex_Budget!$E:$E,$B$90,Opex_Budget!$F:$F,$D$90,Opex_Budget!$N:$N,"USD")*$F$5+SUMIFS(Opex_Budget!$U:$U,Opex_Budget!$A:$A,$C$3,Opex_Budget!$E:$E,$B$90,Opex_Budget!$F:$F,$D$90,Opex_Budget!$N:$N,"EUR")*$G$5+SUMIFS(Opex_Budget!$U:$U,Opex_Budget!$A:$A,$C$3,Opex_Budget!$E:$E,$B$90,Opex_Budget!$F:$F,$D$90,Opex_Budget!$N:$N,"GBP")*$H$5)</f>
        <v/>
      </c>
      <c r="O90" s="32">
        <f>IF($B$90="","",SUMIFS(Opex_Budget!$V:$V,Opex_Budget!$A:$A,$C$3,Opex_Budget!$E:$E,$B$90,Opex_Budget!$F:$F,$D$90,Opex_Budget!$N:$N,"JPY")*$E$5+SUMIFS(Opex_Budget!$V:$V,Opex_Budget!$A:$A,$C$3,Opex_Budget!$E:$E,$B$90,Opex_Budget!$F:$F,$D$90,Opex_Budget!$N:$N,"USD")*$F$5+SUMIFS(Opex_Budget!$V:$V,Opex_Budget!$A:$A,$C$3,Opex_Budget!$E:$E,$B$90,Opex_Budget!$F:$F,$D$90,Opex_Budget!$N:$N,"EUR")*$G$5+SUMIFS(Opex_Budget!$V:$V,Opex_Budget!$A:$A,$C$3,Opex_Budget!$E:$E,$B$90,Opex_Budget!$F:$F,$D$90,Opex_Budget!$N:$N,"GBP")*$H$5)</f>
        <v/>
      </c>
      <c r="P90" s="32">
        <f>IF($B$90="","",SUMIFS(Opex_Budget!$W:$W,Opex_Budget!$A:$A,$C$3,Opex_Budget!$E:$E,$B$90,Opex_Budget!$F:$F,$D$90,Opex_Budget!$N:$N,"JPY")*$E$5+SUMIFS(Opex_Budget!$W:$W,Opex_Budget!$A:$A,$C$3,Opex_Budget!$E:$E,$B$90,Opex_Budget!$F:$F,$D$90,Opex_Budget!$N:$N,"USD")*$F$5+SUMIFS(Opex_Budget!$W:$W,Opex_Budget!$A:$A,$C$3,Opex_Budget!$E:$E,$B$90,Opex_Budget!$F:$F,$D$90,Opex_Budget!$N:$N,"EUR")*$G$5+SUMIFS(Opex_Budget!$W:$W,Opex_Budget!$A:$A,$C$3,Opex_Budget!$E:$E,$B$90,Opex_Budget!$F:$F,$D$90,Opex_Budget!$N:$N,"GBP")*$H$5)</f>
        <v/>
      </c>
      <c r="Q90" s="32">
        <f>IF($B$90="","",SUMIFS(Opex_Budget!$X:$X,Opex_Budget!$A:$A,$C$3,Opex_Budget!$E:$E,$B$90,Opex_Budget!$F:$F,$D$90,Opex_Budget!$N:$N,"JPY")*$E$5+SUMIFS(Opex_Budget!$X:$X,Opex_Budget!$A:$A,$C$3,Opex_Budget!$E:$E,$B$90,Opex_Budget!$F:$F,$D$90,Opex_Budget!$N:$N,"USD")*$F$5+SUMIFS(Opex_Budget!$X:$X,Opex_Budget!$A:$A,$C$3,Opex_Budget!$E:$E,$B$90,Opex_Budget!$F:$F,$D$90,Opex_Budget!$N:$N,"EUR")*$G$5+SUMIFS(Opex_Budget!$X:$X,Opex_Budget!$A:$A,$C$3,Opex_Budget!$E:$E,$B$90,Opex_Budget!$F:$F,$D$90,Opex_Budget!$N:$N,"GBP")*$H$5)</f>
        <v/>
      </c>
      <c r="R90" s="32">
        <f>IF($B$90="","",SUMIFS(Opex_Budget!$Y:$Y,Opex_Budget!$A:$A,$C$3,Opex_Budget!$E:$E,$B$90,Opex_Budget!$F:$F,$D$90,Opex_Budget!$N:$N,"JPY")*$E$5+SUMIFS(Opex_Budget!$Y:$Y,Opex_Budget!$A:$A,$C$3,Opex_Budget!$E:$E,$B$90,Opex_Budget!$F:$F,$D$90,Opex_Budget!$N:$N,"USD")*$F$5+SUMIFS(Opex_Budget!$Y:$Y,Opex_Budget!$A:$A,$C$3,Opex_Budget!$E:$E,$B$90,Opex_Budget!$F:$F,$D$90,Opex_Budget!$N:$N,"EUR")*$G$5+SUMIFS(Opex_Budget!$Y:$Y,Opex_Budget!$A:$A,$C$3,Opex_Budget!$E:$E,$B$90,Opex_Budget!$F:$F,$D$90,Opex_Budget!$N:$N,"GBP")*$H$5)</f>
        <v/>
      </c>
      <c r="S90" s="32">
        <f>IF($B$90="","",SUMIFS(Opex_Budget!$Z:$Z,Opex_Budget!$A:$A,$C$3,Opex_Budget!$E:$E,$B$90,Opex_Budget!$F:$F,$D$90,Opex_Budget!$N:$N,"JPY")*$E$5+SUMIFS(Opex_Budget!$Z:$Z,Opex_Budget!$A:$A,$C$3,Opex_Budget!$E:$E,$B$90,Opex_Budget!$F:$F,$D$90,Opex_Budget!$N:$N,"USD")*$F$5+SUMIFS(Opex_Budget!$Z:$Z,Opex_Budget!$A:$A,$C$3,Opex_Budget!$E:$E,$B$90,Opex_Budget!$F:$F,$D$90,Opex_Budget!$N:$N,"EUR")*$G$5+SUMIFS(Opex_Budget!$Z:$Z,Opex_Budget!$A:$A,$C$3,Opex_Budget!$E:$E,$B$90,Opex_Budget!$F:$F,$D$90,Opex_Budget!$N:$N,"GBP")*$H$5)</f>
        <v/>
      </c>
      <c r="T90" s="32">
        <f>IF($B$90="","",SUMIF($H$7:$S$7,"&lt;="&amp;$C$4,$H90:$S90))</f>
        <v/>
      </c>
      <c r="U90" s="32">
        <f>IF($B$90="","",SUMIF($H$7:$S$7,"&gt;"&amp;$C$4,$H90:$S90))</f>
        <v/>
      </c>
      <c r="V90" s="32">
        <f>IF($B$90="","",SUM($H90:$S90))</f>
        <v/>
      </c>
      <c r="X90" s="22">
        <f>IF($B90="","",IFERROR(INDEX(Cost_Centers!$E:$E,MATCH($B90,Cost_Centers!$A:$A,0)),"(unknown)"))</f>
        <v/>
      </c>
      <c r="Y90" s="22">
        <f>IF($B90="","",IFERROR(INDEX(Cost_Centers!$D:$D,MATCH($B90,Cost_Centers!$A:$A,0)),"(unknown)"))</f>
        <v/>
      </c>
      <c r="Z90" s="22">
        <f>IF(OR($B90="",$G90&lt;&gt;"Variance vs Budget"),"",ABS(N($V90))+ROW()/1000000000)</f>
        <v/>
      </c>
    </row>
    <row r="91">
      <c r="A91" s="13">
        <f>IF(A$90="","",A$90)</f>
        <v/>
      </c>
      <c r="B91" s="13">
        <f>IF(B$90="","",B$90)</f>
        <v/>
      </c>
      <c r="C91" s="13">
        <f>IF(C$90="","",C$90)</f>
        <v/>
      </c>
      <c r="D91" s="13">
        <f>IF(D$90="","",D$90)</f>
        <v/>
      </c>
      <c r="E91" s="13">
        <f>IF(E$90="","",E$90)</f>
        <v/>
      </c>
      <c r="F91" s="13">
        <f>IF(F$90="","",F$90)</f>
        <v/>
      </c>
      <c r="G91" s="7" t="inlineStr">
        <is>
          <t>Actual</t>
        </is>
      </c>
      <c r="H91" s="18">
        <f>IF(OR($B$90="",1&gt;$C$4),"",SUMIFS(Actuals!$G:$G,Actuals!$B:$B,$C$3,Actuals!$C:$C,1,Actuals!$D:$D,$B$90,Actuals!$A:$A,LEFT($D$90,FIND("|",$D$90&amp;"|")-1),Actuals!$E:$E,MID($D$90,FIND("|",$D$90&amp;"|")+1,50),Actuals!$F:$F,"JPY")*$E$5+SUMIFS(Actuals!$G:$G,Actuals!$B:$B,$C$3,Actuals!$C:$C,1,Actuals!$D:$D,$B$90,Actuals!$A:$A,LEFT($D$90,FIND("|",$D$90&amp;"|")-1),Actuals!$E:$E,MID($D$90,FIND("|",$D$90&amp;"|")+1,50),Actuals!$F:$F,"USD")*$F$5+SUMIFS(Actuals!$G:$G,Actuals!$B:$B,$C$3,Actuals!$C:$C,1,Actuals!$D:$D,$B$90,Actuals!$A:$A,LEFT($D$90,FIND("|",$D$90&amp;"|")-1),Actuals!$E:$E,MID($D$90,FIND("|",$D$90&amp;"|")+1,50),Actuals!$F:$F,"EUR")*$G$5+SUMIFS(Actuals!$G:$G,Actuals!$B:$B,$C$3,Actuals!$C:$C,1,Actuals!$D:$D,$B$90,Actuals!$A:$A,LEFT($D$90,FIND("|",$D$90&amp;"|")-1),Actuals!$E:$E,MID($D$90,FIND("|",$D$90&amp;"|")+1,50),Actuals!$F:$F,"GBP")*$H$5)</f>
        <v/>
      </c>
      <c r="I91" s="18">
        <f>IF(OR($B$90="",2&gt;$C$4),"",SUMIFS(Actuals!$G:$G,Actuals!$B:$B,$C$3,Actuals!$C:$C,2,Actuals!$D:$D,$B$90,Actuals!$A:$A,LEFT($D$90,FIND("|",$D$90&amp;"|")-1),Actuals!$E:$E,MID($D$90,FIND("|",$D$90&amp;"|")+1,50),Actuals!$F:$F,"JPY")*$E$5+SUMIFS(Actuals!$G:$G,Actuals!$B:$B,$C$3,Actuals!$C:$C,2,Actuals!$D:$D,$B$90,Actuals!$A:$A,LEFT($D$90,FIND("|",$D$90&amp;"|")-1),Actuals!$E:$E,MID($D$90,FIND("|",$D$90&amp;"|")+1,50),Actuals!$F:$F,"USD")*$F$5+SUMIFS(Actuals!$G:$G,Actuals!$B:$B,$C$3,Actuals!$C:$C,2,Actuals!$D:$D,$B$90,Actuals!$A:$A,LEFT($D$90,FIND("|",$D$90&amp;"|")-1),Actuals!$E:$E,MID($D$90,FIND("|",$D$90&amp;"|")+1,50),Actuals!$F:$F,"EUR")*$G$5+SUMIFS(Actuals!$G:$G,Actuals!$B:$B,$C$3,Actuals!$C:$C,2,Actuals!$D:$D,$B$90,Actuals!$A:$A,LEFT($D$90,FIND("|",$D$90&amp;"|")-1),Actuals!$E:$E,MID($D$90,FIND("|",$D$90&amp;"|")+1,50),Actuals!$F:$F,"GBP")*$H$5)</f>
        <v/>
      </c>
      <c r="J91" s="18">
        <f>IF(OR($B$90="",3&gt;$C$4),"",SUMIFS(Actuals!$G:$G,Actuals!$B:$B,$C$3,Actuals!$C:$C,3,Actuals!$D:$D,$B$90,Actuals!$A:$A,LEFT($D$90,FIND("|",$D$90&amp;"|")-1),Actuals!$E:$E,MID($D$90,FIND("|",$D$90&amp;"|")+1,50),Actuals!$F:$F,"JPY")*$E$5+SUMIFS(Actuals!$G:$G,Actuals!$B:$B,$C$3,Actuals!$C:$C,3,Actuals!$D:$D,$B$90,Actuals!$A:$A,LEFT($D$90,FIND("|",$D$90&amp;"|")-1),Actuals!$E:$E,MID($D$90,FIND("|",$D$90&amp;"|")+1,50),Actuals!$F:$F,"USD")*$F$5+SUMIFS(Actuals!$G:$G,Actuals!$B:$B,$C$3,Actuals!$C:$C,3,Actuals!$D:$D,$B$90,Actuals!$A:$A,LEFT($D$90,FIND("|",$D$90&amp;"|")-1),Actuals!$E:$E,MID($D$90,FIND("|",$D$90&amp;"|")+1,50),Actuals!$F:$F,"EUR")*$G$5+SUMIFS(Actuals!$G:$G,Actuals!$B:$B,$C$3,Actuals!$C:$C,3,Actuals!$D:$D,$B$90,Actuals!$A:$A,LEFT($D$90,FIND("|",$D$90&amp;"|")-1),Actuals!$E:$E,MID($D$90,FIND("|",$D$90&amp;"|")+1,50),Actuals!$F:$F,"GBP")*$H$5)</f>
        <v/>
      </c>
      <c r="K91" s="18">
        <f>IF(OR($B$90="",4&gt;$C$4),"",SUMIFS(Actuals!$G:$G,Actuals!$B:$B,$C$3,Actuals!$C:$C,4,Actuals!$D:$D,$B$90,Actuals!$A:$A,LEFT($D$90,FIND("|",$D$90&amp;"|")-1),Actuals!$E:$E,MID($D$90,FIND("|",$D$90&amp;"|")+1,50),Actuals!$F:$F,"JPY")*$E$5+SUMIFS(Actuals!$G:$G,Actuals!$B:$B,$C$3,Actuals!$C:$C,4,Actuals!$D:$D,$B$90,Actuals!$A:$A,LEFT($D$90,FIND("|",$D$90&amp;"|")-1),Actuals!$E:$E,MID($D$90,FIND("|",$D$90&amp;"|")+1,50),Actuals!$F:$F,"USD")*$F$5+SUMIFS(Actuals!$G:$G,Actuals!$B:$B,$C$3,Actuals!$C:$C,4,Actuals!$D:$D,$B$90,Actuals!$A:$A,LEFT($D$90,FIND("|",$D$90&amp;"|")-1),Actuals!$E:$E,MID($D$90,FIND("|",$D$90&amp;"|")+1,50),Actuals!$F:$F,"EUR")*$G$5+SUMIFS(Actuals!$G:$G,Actuals!$B:$B,$C$3,Actuals!$C:$C,4,Actuals!$D:$D,$B$90,Actuals!$A:$A,LEFT($D$90,FIND("|",$D$90&amp;"|")-1),Actuals!$E:$E,MID($D$90,FIND("|",$D$90&amp;"|")+1,50),Actuals!$F:$F,"GBP")*$H$5)</f>
        <v/>
      </c>
      <c r="L91" s="18">
        <f>IF(OR($B$90="",5&gt;$C$4),"",SUMIFS(Actuals!$G:$G,Actuals!$B:$B,$C$3,Actuals!$C:$C,5,Actuals!$D:$D,$B$90,Actuals!$A:$A,LEFT($D$90,FIND("|",$D$90&amp;"|")-1),Actuals!$E:$E,MID($D$90,FIND("|",$D$90&amp;"|")+1,50),Actuals!$F:$F,"JPY")*$E$5+SUMIFS(Actuals!$G:$G,Actuals!$B:$B,$C$3,Actuals!$C:$C,5,Actuals!$D:$D,$B$90,Actuals!$A:$A,LEFT($D$90,FIND("|",$D$90&amp;"|")-1),Actuals!$E:$E,MID($D$90,FIND("|",$D$90&amp;"|")+1,50),Actuals!$F:$F,"USD")*$F$5+SUMIFS(Actuals!$G:$G,Actuals!$B:$B,$C$3,Actuals!$C:$C,5,Actuals!$D:$D,$B$90,Actuals!$A:$A,LEFT($D$90,FIND("|",$D$90&amp;"|")-1),Actuals!$E:$E,MID($D$90,FIND("|",$D$90&amp;"|")+1,50),Actuals!$F:$F,"EUR")*$G$5+SUMIFS(Actuals!$G:$G,Actuals!$B:$B,$C$3,Actuals!$C:$C,5,Actuals!$D:$D,$B$90,Actuals!$A:$A,LEFT($D$90,FIND("|",$D$90&amp;"|")-1),Actuals!$E:$E,MID($D$90,FIND("|",$D$90&amp;"|")+1,50),Actuals!$F:$F,"GBP")*$H$5)</f>
        <v/>
      </c>
      <c r="M91" s="18">
        <f>IF(OR($B$90="",6&gt;$C$4),"",SUMIFS(Actuals!$G:$G,Actuals!$B:$B,$C$3,Actuals!$C:$C,6,Actuals!$D:$D,$B$90,Actuals!$A:$A,LEFT($D$90,FIND("|",$D$90&amp;"|")-1),Actuals!$E:$E,MID($D$90,FIND("|",$D$90&amp;"|")+1,50),Actuals!$F:$F,"JPY")*$E$5+SUMIFS(Actuals!$G:$G,Actuals!$B:$B,$C$3,Actuals!$C:$C,6,Actuals!$D:$D,$B$90,Actuals!$A:$A,LEFT($D$90,FIND("|",$D$90&amp;"|")-1),Actuals!$E:$E,MID($D$90,FIND("|",$D$90&amp;"|")+1,50),Actuals!$F:$F,"USD")*$F$5+SUMIFS(Actuals!$G:$G,Actuals!$B:$B,$C$3,Actuals!$C:$C,6,Actuals!$D:$D,$B$90,Actuals!$A:$A,LEFT($D$90,FIND("|",$D$90&amp;"|")-1),Actuals!$E:$E,MID($D$90,FIND("|",$D$90&amp;"|")+1,50),Actuals!$F:$F,"EUR")*$G$5+SUMIFS(Actuals!$G:$G,Actuals!$B:$B,$C$3,Actuals!$C:$C,6,Actuals!$D:$D,$B$90,Actuals!$A:$A,LEFT($D$90,FIND("|",$D$90&amp;"|")-1),Actuals!$E:$E,MID($D$90,FIND("|",$D$90&amp;"|")+1,50),Actuals!$F:$F,"GBP")*$H$5)</f>
        <v/>
      </c>
      <c r="N91" s="18">
        <f>IF(OR($B$90="",7&gt;$C$4),"",SUMIFS(Actuals!$G:$G,Actuals!$B:$B,$C$3,Actuals!$C:$C,7,Actuals!$D:$D,$B$90,Actuals!$A:$A,LEFT($D$90,FIND("|",$D$90&amp;"|")-1),Actuals!$E:$E,MID($D$90,FIND("|",$D$90&amp;"|")+1,50),Actuals!$F:$F,"JPY")*$E$5+SUMIFS(Actuals!$G:$G,Actuals!$B:$B,$C$3,Actuals!$C:$C,7,Actuals!$D:$D,$B$90,Actuals!$A:$A,LEFT($D$90,FIND("|",$D$90&amp;"|")-1),Actuals!$E:$E,MID($D$90,FIND("|",$D$90&amp;"|")+1,50),Actuals!$F:$F,"USD")*$F$5+SUMIFS(Actuals!$G:$G,Actuals!$B:$B,$C$3,Actuals!$C:$C,7,Actuals!$D:$D,$B$90,Actuals!$A:$A,LEFT($D$90,FIND("|",$D$90&amp;"|")-1),Actuals!$E:$E,MID($D$90,FIND("|",$D$90&amp;"|")+1,50),Actuals!$F:$F,"EUR")*$G$5+SUMIFS(Actuals!$G:$G,Actuals!$B:$B,$C$3,Actuals!$C:$C,7,Actuals!$D:$D,$B$90,Actuals!$A:$A,LEFT($D$90,FIND("|",$D$90&amp;"|")-1),Actuals!$E:$E,MID($D$90,FIND("|",$D$90&amp;"|")+1,50),Actuals!$F:$F,"GBP")*$H$5)</f>
        <v/>
      </c>
      <c r="O91" s="18">
        <f>IF(OR($B$90="",8&gt;$C$4),"",SUMIFS(Actuals!$G:$G,Actuals!$B:$B,$C$3,Actuals!$C:$C,8,Actuals!$D:$D,$B$90,Actuals!$A:$A,LEFT($D$90,FIND("|",$D$90&amp;"|")-1),Actuals!$E:$E,MID($D$90,FIND("|",$D$90&amp;"|")+1,50),Actuals!$F:$F,"JPY")*$E$5+SUMIFS(Actuals!$G:$G,Actuals!$B:$B,$C$3,Actuals!$C:$C,8,Actuals!$D:$D,$B$90,Actuals!$A:$A,LEFT($D$90,FIND("|",$D$90&amp;"|")-1),Actuals!$E:$E,MID($D$90,FIND("|",$D$90&amp;"|")+1,50),Actuals!$F:$F,"USD")*$F$5+SUMIFS(Actuals!$G:$G,Actuals!$B:$B,$C$3,Actuals!$C:$C,8,Actuals!$D:$D,$B$90,Actuals!$A:$A,LEFT($D$90,FIND("|",$D$90&amp;"|")-1),Actuals!$E:$E,MID($D$90,FIND("|",$D$90&amp;"|")+1,50),Actuals!$F:$F,"EUR")*$G$5+SUMIFS(Actuals!$G:$G,Actuals!$B:$B,$C$3,Actuals!$C:$C,8,Actuals!$D:$D,$B$90,Actuals!$A:$A,LEFT($D$90,FIND("|",$D$90&amp;"|")-1),Actuals!$E:$E,MID($D$90,FIND("|",$D$90&amp;"|")+1,50),Actuals!$F:$F,"GBP")*$H$5)</f>
        <v/>
      </c>
      <c r="P91" s="18">
        <f>IF(OR($B$90="",9&gt;$C$4),"",SUMIFS(Actuals!$G:$G,Actuals!$B:$B,$C$3,Actuals!$C:$C,9,Actuals!$D:$D,$B$90,Actuals!$A:$A,LEFT($D$90,FIND("|",$D$90&amp;"|")-1),Actuals!$E:$E,MID($D$90,FIND("|",$D$90&amp;"|")+1,50),Actuals!$F:$F,"JPY")*$E$5+SUMIFS(Actuals!$G:$G,Actuals!$B:$B,$C$3,Actuals!$C:$C,9,Actuals!$D:$D,$B$90,Actuals!$A:$A,LEFT($D$90,FIND("|",$D$90&amp;"|")-1),Actuals!$E:$E,MID($D$90,FIND("|",$D$90&amp;"|")+1,50),Actuals!$F:$F,"USD")*$F$5+SUMIFS(Actuals!$G:$G,Actuals!$B:$B,$C$3,Actuals!$C:$C,9,Actuals!$D:$D,$B$90,Actuals!$A:$A,LEFT($D$90,FIND("|",$D$90&amp;"|")-1),Actuals!$E:$E,MID($D$90,FIND("|",$D$90&amp;"|")+1,50),Actuals!$F:$F,"EUR")*$G$5+SUMIFS(Actuals!$G:$G,Actuals!$B:$B,$C$3,Actuals!$C:$C,9,Actuals!$D:$D,$B$90,Actuals!$A:$A,LEFT($D$90,FIND("|",$D$90&amp;"|")-1),Actuals!$E:$E,MID($D$90,FIND("|",$D$90&amp;"|")+1,50),Actuals!$F:$F,"GBP")*$H$5)</f>
        <v/>
      </c>
      <c r="Q91" s="18">
        <f>IF(OR($B$90="",10&gt;$C$4),"",SUMIFS(Actuals!$G:$G,Actuals!$B:$B,$C$3,Actuals!$C:$C,10,Actuals!$D:$D,$B$90,Actuals!$A:$A,LEFT($D$90,FIND("|",$D$90&amp;"|")-1),Actuals!$E:$E,MID($D$90,FIND("|",$D$90&amp;"|")+1,50),Actuals!$F:$F,"JPY")*$E$5+SUMIFS(Actuals!$G:$G,Actuals!$B:$B,$C$3,Actuals!$C:$C,10,Actuals!$D:$D,$B$90,Actuals!$A:$A,LEFT($D$90,FIND("|",$D$90&amp;"|")-1),Actuals!$E:$E,MID($D$90,FIND("|",$D$90&amp;"|")+1,50),Actuals!$F:$F,"USD")*$F$5+SUMIFS(Actuals!$G:$G,Actuals!$B:$B,$C$3,Actuals!$C:$C,10,Actuals!$D:$D,$B$90,Actuals!$A:$A,LEFT($D$90,FIND("|",$D$90&amp;"|")-1),Actuals!$E:$E,MID($D$90,FIND("|",$D$90&amp;"|")+1,50),Actuals!$F:$F,"EUR")*$G$5+SUMIFS(Actuals!$G:$G,Actuals!$B:$B,$C$3,Actuals!$C:$C,10,Actuals!$D:$D,$B$90,Actuals!$A:$A,LEFT($D$90,FIND("|",$D$90&amp;"|")-1),Actuals!$E:$E,MID($D$90,FIND("|",$D$90&amp;"|")+1,50),Actuals!$F:$F,"GBP")*$H$5)</f>
        <v/>
      </c>
      <c r="R91" s="18">
        <f>IF(OR($B$90="",11&gt;$C$4),"",SUMIFS(Actuals!$G:$G,Actuals!$B:$B,$C$3,Actuals!$C:$C,11,Actuals!$D:$D,$B$90,Actuals!$A:$A,LEFT($D$90,FIND("|",$D$90&amp;"|")-1),Actuals!$E:$E,MID($D$90,FIND("|",$D$90&amp;"|")+1,50),Actuals!$F:$F,"JPY")*$E$5+SUMIFS(Actuals!$G:$G,Actuals!$B:$B,$C$3,Actuals!$C:$C,11,Actuals!$D:$D,$B$90,Actuals!$A:$A,LEFT($D$90,FIND("|",$D$90&amp;"|")-1),Actuals!$E:$E,MID($D$90,FIND("|",$D$90&amp;"|")+1,50),Actuals!$F:$F,"USD")*$F$5+SUMIFS(Actuals!$G:$G,Actuals!$B:$B,$C$3,Actuals!$C:$C,11,Actuals!$D:$D,$B$90,Actuals!$A:$A,LEFT($D$90,FIND("|",$D$90&amp;"|")-1),Actuals!$E:$E,MID($D$90,FIND("|",$D$90&amp;"|")+1,50),Actuals!$F:$F,"EUR")*$G$5+SUMIFS(Actuals!$G:$G,Actuals!$B:$B,$C$3,Actuals!$C:$C,11,Actuals!$D:$D,$B$90,Actuals!$A:$A,LEFT($D$90,FIND("|",$D$90&amp;"|")-1),Actuals!$E:$E,MID($D$90,FIND("|",$D$90&amp;"|")+1,50),Actuals!$F:$F,"GBP")*$H$5)</f>
        <v/>
      </c>
      <c r="S91" s="18">
        <f>IF(OR($B$90="",12&gt;$C$4),"",SUMIFS(Actuals!$G:$G,Actuals!$B:$B,$C$3,Actuals!$C:$C,12,Actuals!$D:$D,$B$90,Actuals!$A:$A,LEFT($D$90,FIND("|",$D$90&amp;"|")-1),Actuals!$E:$E,MID($D$90,FIND("|",$D$90&amp;"|")+1,50),Actuals!$F:$F,"JPY")*$E$5+SUMIFS(Actuals!$G:$G,Actuals!$B:$B,$C$3,Actuals!$C:$C,12,Actuals!$D:$D,$B$90,Actuals!$A:$A,LEFT($D$90,FIND("|",$D$90&amp;"|")-1),Actuals!$E:$E,MID($D$90,FIND("|",$D$90&amp;"|")+1,50),Actuals!$F:$F,"USD")*$F$5+SUMIFS(Actuals!$G:$G,Actuals!$B:$B,$C$3,Actuals!$C:$C,12,Actuals!$D:$D,$B$90,Actuals!$A:$A,LEFT($D$90,FIND("|",$D$90&amp;"|")-1),Actuals!$E:$E,MID($D$90,FIND("|",$D$90&amp;"|")+1,50),Actuals!$F:$F,"EUR")*$G$5+SUMIFS(Actuals!$G:$G,Actuals!$B:$B,$C$3,Actuals!$C:$C,12,Actuals!$D:$D,$B$90,Actuals!$A:$A,LEFT($D$90,FIND("|",$D$90&amp;"|")-1),Actuals!$E:$E,MID($D$90,FIND("|",$D$90&amp;"|")+1,50),Actuals!$F:$F,"GBP")*$H$5)</f>
        <v/>
      </c>
      <c r="T91" s="18">
        <f>IF($B$90="","",SUMIF($H$7:$S$7,"&lt;="&amp;$C$4,$H91:$S91))</f>
        <v/>
      </c>
      <c r="U91" s="18" t="n"/>
      <c r="V91" s="18" t="n"/>
      <c r="X91" s="22">
        <f>IF($B91="","",IFERROR(INDEX(Cost_Centers!$E:$E,MATCH($B91,Cost_Centers!$A:$A,0)),"(unknown)"))</f>
        <v/>
      </c>
      <c r="Y91" s="22">
        <f>IF($B91="","",IFERROR(INDEX(Cost_Centers!$D:$D,MATCH($B91,Cost_Centers!$A:$A,0)),"(unknown)"))</f>
        <v/>
      </c>
      <c r="Z91" s="22">
        <f>IF(OR($B91="",$G91&lt;&gt;"Variance vs Budget"),"",ABS(N($V91))+ROW()/1000000000)</f>
        <v/>
      </c>
    </row>
    <row r="92">
      <c r="A92" s="13">
        <f>IF(A$90="","",A$90)</f>
        <v/>
      </c>
      <c r="B92" s="13">
        <f>IF(B$90="","",B$90)</f>
        <v/>
      </c>
      <c r="C92" s="13">
        <f>IF(C$90="","",C$90)</f>
        <v/>
      </c>
      <c r="D92" s="13">
        <f>IF(D$90="","",D$90)</f>
        <v/>
      </c>
      <c r="E92" s="13">
        <f>IF(E$90="","",E$90)</f>
        <v/>
      </c>
      <c r="F92" s="13">
        <f>IF(F$90="","",F$90)</f>
        <v/>
      </c>
      <c r="G92" s="6" t="inlineStr">
        <is>
          <t>Variance vs Budget</t>
        </is>
      </c>
      <c r="H92" s="33">
        <f>IF(OR($B$90="",1&gt;$C$4),"",N(H91)-H90)</f>
        <v/>
      </c>
      <c r="I92" s="33">
        <f>IF(OR($B$90="",2&gt;$C$4),"",N(I91)-I90)</f>
        <v/>
      </c>
      <c r="J92" s="33">
        <f>IF(OR($B$90="",3&gt;$C$4),"",N(J91)-J90)</f>
        <v/>
      </c>
      <c r="K92" s="33">
        <f>IF(OR($B$90="",4&gt;$C$4),"",N(K91)-K90)</f>
        <v/>
      </c>
      <c r="L92" s="33">
        <f>IF(OR($B$90="",5&gt;$C$4),"",N(L91)-L90)</f>
        <v/>
      </c>
      <c r="M92" s="33">
        <f>IF(OR($B$90="",6&gt;$C$4),"",N(M91)-M90)</f>
        <v/>
      </c>
      <c r="N92" s="33">
        <f>IF(OR($B$90="",7&gt;$C$4),"",N(N91)-N90)</f>
        <v/>
      </c>
      <c r="O92" s="33">
        <f>IF(OR($B$90="",8&gt;$C$4),"",N(O91)-O90)</f>
        <v/>
      </c>
      <c r="P92" s="33">
        <f>IF(OR($B$90="",9&gt;$C$4),"",N(P91)-P90)</f>
        <v/>
      </c>
      <c r="Q92" s="33">
        <f>IF(OR($B$90="",10&gt;$C$4),"",N(Q91)-Q90)</f>
        <v/>
      </c>
      <c r="R92" s="33">
        <f>IF(OR($B$90="",11&gt;$C$4),"",N(R91)-R90)</f>
        <v/>
      </c>
      <c r="S92" s="33">
        <f>IF(OR($B$90="",12&gt;$C$4),"",N(S91)-S90)</f>
        <v/>
      </c>
      <c r="T92" s="33">
        <f>IF($B$90="","",T91-T90)</f>
        <v/>
      </c>
      <c r="U92" s="33">
        <f>IF($B$90="","",U94-U90)</f>
        <v/>
      </c>
      <c r="V92" s="33">
        <f>IF($B$90="","",V94-V90)</f>
        <v/>
      </c>
      <c r="X92" s="22">
        <f>IF($B92="","",IFERROR(INDEX(Cost_Centers!$E:$E,MATCH($B92,Cost_Centers!$A:$A,0)),"(unknown)"))</f>
        <v/>
      </c>
      <c r="Y92" s="22">
        <f>IF($B92="","",IFERROR(INDEX(Cost_Centers!$D:$D,MATCH($B92,Cost_Centers!$A:$A,0)),"(unknown)"))</f>
        <v/>
      </c>
      <c r="Z92" s="22">
        <f>IF(OR($B92="",$G92&lt;&gt;"Variance vs Budget"),"",ABS(N($V92))+ROW()/1000000000)</f>
        <v/>
      </c>
    </row>
    <row r="93">
      <c r="A93" s="13">
        <f>IF(A$90="","",A$90)</f>
        <v/>
      </c>
      <c r="B93" s="13">
        <f>IF(B$90="","",B$90)</f>
        <v/>
      </c>
      <c r="C93" s="13">
        <f>IF(C$90="","",C$90)</f>
        <v/>
      </c>
      <c r="D93" s="13">
        <f>IF(D$90="","",D$90)</f>
        <v/>
      </c>
      <c r="E93" s="13">
        <f>IF(E$90="","",E$90)</f>
        <v/>
      </c>
      <c r="F93" s="13">
        <f>IF(F$90="","",F$90)</f>
        <v/>
      </c>
      <c r="G93" s="7" t="inlineStr">
        <is>
          <t>Forecast (input)</t>
        </is>
      </c>
      <c r="H93" s="34" t="n"/>
      <c r="I93" s="34" t="n"/>
      <c r="J93" s="34" t="n"/>
      <c r="K93" s="34" t="n"/>
      <c r="L93" s="34" t="n"/>
      <c r="M93" s="34" t="n"/>
      <c r="N93" s="34" t="n"/>
      <c r="O93" s="34" t="n"/>
      <c r="P93" s="34" t="n"/>
      <c r="Q93" s="34" t="n"/>
      <c r="R93" s="34" t="n"/>
      <c r="S93" s="34" t="n"/>
      <c r="T93" s="18" t="n"/>
      <c r="U93" s="18" t="n"/>
      <c r="V93" s="18" t="n"/>
      <c r="X93" s="22">
        <f>IF($B93="","",IFERROR(INDEX(Cost_Centers!$E:$E,MATCH($B93,Cost_Centers!$A:$A,0)),"(unknown)"))</f>
        <v/>
      </c>
      <c r="Y93" s="22">
        <f>IF($B93="","",IFERROR(INDEX(Cost_Centers!$D:$D,MATCH($B93,Cost_Centers!$A:$A,0)),"(unknown)"))</f>
        <v/>
      </c>
      <c r="Z93" s="22">
        <f>IF(OR($B93="",$G93&lt;&gt;"Variance vs Budget"),"",ABS(N($V93))+ROW()/1000000000)</f>
        <v/>
      </c>
    </row>
    <row r="94">
      <c r="A94" s="13">
        <f>IF(A$90="","",A$90)</f>
        <v/>
      </c>
      <c r="B94" s="13">
        <f>IF(B$90="","",B$90)</f>
        <v/>
      </c>
      <c r="C94" s="13">
        <f>IF(C$90="","",C$90)</f>
        <v/>
      </c>
      <c r="D94" s="13">
        <f>IF(D$90="","",D$90)</f>
        <v/>
      </c>
      <c r="E94" s="13">
        <f>IF(E$90="","",E$90)</f>
        <v/>
      </c>
      <c r="F94" s="13">
        <f>IF(F$90="","",F$90)</f>
        <v/>
      </c>
      <c r="G94" s="35" t="inlineStr">
        <is>
          <t>Actual + Forecast</t>
        </is>
      </c>
      <c r="H94" s="18">
        <f>IF($B$90="","",IF(1&lt;=$C$4,N(H91),IF(H93="",H90,H93)))</f>
        <v/>
      </c>
      <c r="I94" s="18">
        <f>IF($B$90="","",IF(2&lt;=$C$4,N(I91),IF(I93="",I90,I93)))</f>
        <v/>
      </c>
      <c r="J94" s="18">
        <f>IF($B$90="","",IF(3&lt;=$C$4,N(J91),IF(J93="",J90,J93)))</f>
        <v/>
      </c>
      <c r="K94" s="18">
        <f>IF($B$90="","",IF(4&lt;=$C$4,N(K91),IF(K93="",K90,K93)))</f>
        <v/>
      </c>
      <c r="L94" s="18">
        <f>IF($B$90="","",IF(5&lt;=$C$4,N(L91),IF(L93="",L90,L93)))</f>
        <v/>
      </c>
      <c r="M94" s="18">
        <f>IF($B$90="","",IF(6&lt;=$C$4,N(M91),IF(M93="",M90,M93)))</f>
        <v/>
      </c>
      <c r="N94" s="18">
        <f>IF($B$90="","",IF(7&lt;=$C$4,N(N91),IF(N93="",N90,N93)))</f>
        <v/>
      </c>
      <c r="O94" s="18">
        <f>IF($B$90="","",IF(8&lt;=$C$4,N(O91),IF(O93="",O90,O93)))</f>
        <v/>
      </c>
      <c r="P94" s="18">
        <f>IF($B$90="","",IF(9&lt;=$C$4,N(P91),IF(P93="",P90,P93)))</f>
        <v/>
      </c>
      <c r="Q94" s="18">
        <f>IF($B$90="","",IF(10&lt;=$C$4,N(Q91),IF(Q93="",Q90,Q93)))</f>
        <v/>
      </c>
      <c r="R94" s="18">
        <f>IF($B$90="","",IF(11&lt;=$C$4,N(R91),IF(R93="",R90,R93)))</f>
        <v/>
      </c>
      <c r="S94" s="18">
        <f>IF($B$90="","",IF(12&lt;=$C$4,N(S91),IF(S93="",S90,S93)))</f>
        <v/>
      </c>
      <c r="T94" s="18">
        <f>IF($B$90="","",SUMIF($H$7:$S$7,"&lt;="&amp;$C$4,$H94:$S94))</f>
        <v/>
      </c>
      <c r="U94" s="18">
        <f>IF($B$90="","",SUMIF($H$7:$S$7,"&gt;"&amp;$C$4,$H94:$S94))</f>
        <v/>
      </c>
      <c r="V94" s="18">
        <f>IF($B$90="","",SUM($H94:$S94))</f>
        <v/>
      </c>
      <c r="X94" s="22">
        <f>IF($B94="","",IFERROR(INDEX(Cost_Centers!$E:$E,MATCH($B94,Cost_Centers!$A:$A,0)),"(unknown)"))</f>
        <v/>
      </c>
      <c r="Y94" s="22">
        <f>IF($B94="","",IFERROR(INDEX(Cost_Centers!$D:$D,MATCH($B94,Cost_Centers!$A:$A,0)),"(unknown)"))</f>
        <v/>
      </c>
      <c r="Z94" s="22">
        <f>IF(OR($B94="",$G94&lt;&gt;"Variance vs Budget"),"",ABS(N($V94))+ROW()/1000000000)</f>
        <v/>
      </c>
    </row>
    <row r="95">
      <c r="A95" s="13">
        <f>IF(A$90="","",A$90)</f>
        <v/>
      </c>
      <c r="B95" s="13">
        <f>IF(B$90="","",B$90)</f>
        <v/>
      </c>
      <c r="C95" s="13">
        <f>IF(C$90="","",C$90)</f>
        <v/>
      </c>
      <c r="D95" s="13">
        <f>IF(D$90="","",D$90)</f>
        <v/>
      </c>
      <c r="E95" s="13">
        <f>IF(E$90="","",E$90)</f>
        <v/>
      </c>
      <c r="F95" s="13">
        <f>IF(F$90="","",F$90)</f>
        <v/>
      </c>
      <c r="G95" s="36" t="inlineStr">
        <is>
          <t>Prior Month Forecast</t>
        </is>
      </c>
      <c r="H95" s="37">
        <f>IF($B$90="","",IF(COUNTIFS(Prior_Forecast!$A:$A,$B$90,Prior_Forecast!$B:$B,$D$90)&gt;0,SUMIFS(Prior_Forecast!$C:$C,Prior_Forecast!$A:$A,$B$90,Prior_Forecast!$B:$B,$D$90),""))</f>
        <v/>
      </c>
      <c r="I95" s="37">
        <f>IF($B$90="","",IF(COUNTIFS(Prior_Forecast!$A:$A,$B$90,Prior_Forecast!$B:$B,$D$90)&gt;0,SUMIFS(Prior_Forecast!$D:$D,Prior_Forecast!$A:$A,$B$90,Prior_Forecast!$B:$B,$D$90),""))</f>
        <v/>
      </c>
      <c r="J95" s="37">
        <f>IF($B$90="","",IF(COUNTIFS(Prior_Forecast!$A:$A,$B$90,Prior_Forecast!$B:$B,$D$90)&gt;0,SUMIFS(Prior_Forecast!$E:$E,Prior_Forecast!$A:$A,$B$90,Prior_Forecast!$B:$B,$D$90),""))</f>
        <v/>
      </c>
      <c r="K95" s="37">
        <f>IF($B$90="","",IF(COUNTIFS(Prior_Forecast!$A:$A,$B$90,Prior_Forecast!$B:$B,$D$90)&gt;0,SUMIFS(Prior_Forecast!$F:$F,Prior_Forecast!$A:$A,$B$90,Prior_Forecast!$B:$B,$D$90),""))</f>
        <v/>
      </c>
      <c r="L95" s="37">
        <f>IF($B$90="","",IF(COUNTIFS(Prior_Forecast!$A:$A,$B$90,Prior_Forecast!$B:$B,$D$90)&gt;0,SUMIFS(Prior_Forecast!$G:$G,Prior_Forecast!$A:$A,$B$90,Prior_Forecast!$B:$B,$D$90),""))</f>
        <v/>
      </c>
      <c r="M95" s="37">
        <f>IF($B$90="","",IF(COUNTIFS(Prior_Forecast!$A:$A,$B$90,Prior_Forecast!$B:$B,$D$90)&gt;0,SUMIFS(Prior_Forecast!$H:$H,Prior_Forecast!$A:$A,$B$90,Prior_Forecast!$B:$B,$D$90),""))</f>
        <v/>
      </c>
      <c r="N95" s="37">
        <f>IF($B$90="","",IF(COUNTIFS(Prior_Forecast!$A:$A,$B$90,Prior_Forecast!$B:$B,$D$90)&gt;0,SUMIFS(Prior_Forecast!$I:$I,Prior_Forecast!$A:$A,$B$90,Prior_Forecast!$B:$B,$D$90),""))</f>
        <v/>
      </c>
      <c r="O95" s="37">
        <f>IF($B$90="","",IF(COUNTIFS(Prior_Forecast!$A:$A,$B$90,Prior_Forecast!$B:$B,$D$90)&gt;0,SUMIFS(Prior_Forecast!$J:$J,Prior_Forecast!$A:$A,$B$90,Prior_Forecast!$B:$B,$D$90),""))</f>
        <v/>
      </c>
      <c r="P95" s="37">
        <f>IF($B$90="","",IF(COUNTIFS(Prior_Forecast!$A:$A,$B$90,Prior_Forecast!$B:$B,$D$90)&gt;0,SUMIFS(Prior_Forecast!$K:$K,Prior_Forecast!$A:$A,$B$90,Prior_Forecast!$B:$B,$D$90),""))</f>
        <v/>
      </c>
      <c r="Q95" s="37">
        <f>IF($B$90="","",IF(COUNTIFS(Prior_Forecast!$A:$A,$B$90,Prior_Forecast!$B:$B,$D$90)&gt;0,SUMIFS(Prior_Forecast!$L:$L,Prior_Forecast!$A:$A,$B$90,Prior_Forecast!$B:$B,$D$90),""))</f>
        <v/>
      </c>
      <c r="R95" s="37">
        <f>IF($B$90="","",IF(COUNTIFS(Prior_Forecast!$A:$A,$B$90,Prior_Forecast!$B:$B,$D$90)&gt;0,SUMIFS(Prior_Forecast!$M:$M,Prior_Forecast!$A:$A,$B$90,Prior_Forecast!$B:$B,$D$90),""))</f>
        <v/>
      </c>
      <c r="S95" s="37">
        <f>IF($B$90="","",IF(COUNTIFS(Prior_Forecast!$A:$A,$B$90,Prior_Forecast!$B:$B,$D$90)&gt;0,SUMIFS(Prior_Forecast!$N:$N,Prior_Forecast!$A:$A,$B$90,Prior_Forecast!$B:$B,$D$90),""))</f>
        <v/>
      </c>
      <c r="T95" s="37">
        <f>IF($B$90="","",IF(COUNTIFS(Prior_Forecast!$A:$A,$B$90,Prior_Forecast!$B:$B,$D$90)&gt;0,SUMIFS(Prior_Forecast!$O:$O,Prior_Forecast!$A:$A,$B$90,Prior_Forecast!$B:$B,$D$90),""))</f>
        <v/>
      </c>
      <c r="U95" s="37">
        <f>IF($B$90="","",IF(COUNTIFS(Prior_Forecast!$A:$A,$B$90,Prior_Forecast!$B:$B,$D$90)&gt;0,SUMIFS(Prior_Forecast!$P:$P,Prior_Forecast!$A:$A,$B$90,Prior_Forecast!$B:$B,$D$90),""))</f>
        <v/>
      </c>
      <c r="V95" s="37">
        <f>IF($B$90="","",IF(COUNTIFS(Prior_Forecast!$A:$A,$B$90,Prior_Forecast!$B:$B,$D$90)&gt;0,SUMIFS(Prior_Forecast!$Q:$Q,Prior_Forecast!$A:$A,$B$90,Prior_Forecast!$B:$B,$D$90),""))</f>
        <v/>
      </c>
      <c r="X95" s="22">
        <f>IF($B95="","",IFERROR(INDEX(Cost_Centers!$E:$E,MATCH($B95,Cost_Centers!$A:$A,0)),"(unknown)"))</f>
        <v/>
      </c>
      <c r="Y95" s="22">
        <f>IF($B95="","",IFERROR(INDEX(Cost_Centers!$D:$D,MATCH($B95,Cost_Centers!$A:$A,0)),"(unknown)"))</f>
        <v/>
      </c>
      <c r="Z95" s="22">
        <f>IF(OR($B95="",$G95&lt;&gt;"Variance vs Budget"),"",ABS(N($V95))+ROW()/1000000000)</f>
        <v/>
      </c>
    </row>
    <row r="96">
      <c r="A96" s="13">
        <f>IF(A$90="","",A$90)</f>
        <v/>
      </c>
      <c r="B96" s="13">
        <f>IF(B$90="","",B$90)</f>
        <v/>
      </c>
      <c r="C96" s="13">
        <f>IF(C$90="","",C$90)</f>
        <v/>
      </c>
      <c r="D96" s="13">
        <f>IF(D$90="","",D$90)</f>
        <v/>
      </c>
      <c r="E96" s="13">
        <f>IF(E$90="","",E$90)</f>
        <v/>
      </c>
      <c r="F96" s="13">
        <f>IF(F$90="","",F$90)</f>
        <v/>
      </c>
      <c r="G96" s="6" t="inlineStr">
        <is>
          <t>Variance vs Prior Month</t>
        </is>
      </c>
      <c r="H96" s="33">
        <f>IF(OR($B$90="",H95=""),"",H94-H95)</f>
        <v/>
      </c>
      <c r="I96" s="33">
        <f>IF(OR($B$90="",I95=""),"",I94-I95)</f>
        <v/>
      </c>
      <c r="J96" s="33">
        <f>IF(OR($B$90="",J95=""),"",J94-J95)</f>
        <v/>
      </c>
      <c r="K96" s="33">
        <f>IF(OR($B$90="",K95=""),"",K94-K95)</f>
        <v/>
      </c>
      <c r="L96" s="33">
        <f>IF(OR($B$90="",L95=""),"",L94-L95)</f>
        <v/>
      </c>
      <c r="M96" s="33">
        <f>IF(OR($B$90="",M95=""),"",M94-M95)</f>
        <v/>
      </c>
      <c r="N96" s="33">
        <f>IF(OR($B$90="",N95=""),"",N94-N95)</f>
        <v/>
      </c>
      <c r="O96" s="33">
        <f>IF(OR($B$90="",O95=""),"",O94-O95)</f>
        <v/>
      </c>
      <c r="P96" s="33">
        <f>IF(OR($B$90="",P95=""),"",P94-P95)</f>
        <v/>
      </c>
      <c r="Q96" s="33">
        <f>IF(OR($B$90="",Q95=""),"",Q94-Q95)</f>
        <v/>
      </c>
      <c r="R96" s="33">
        <f>IF(OR($B$90="",R95=""),"",R94-R95)</f>
        <v/>
      </c>
      <c r="S96" s="33">
        <f>IF(OR($B$90="",S95=""),"",S94-S95)</f>
        <v/>
      </c>
      <c r="T96" s="33">
        <f>IF(OR($B$90="",T95=""),"",T94-T95)</f>
        <v/>
      </c>
      <c r="U96" s="33">
        <f>IF(OR($B$90="",U95=""),"",U94-U95)</f>
        <v/>
      </c>
      <c r="V96" s="33">
        <f>IF(OR($B$90="",V95=""),"",V94-V95)</f>
        <v/>
      </c>
      <c r="X96" s="22">
        <f>IF($B96="","",IFERROR(INDEX(Cost_Centers!$E:$E,MATCH($B96,Cost_Centers!$A:$A,0)),"(unknown)"))</f>
        <v/>
      </c>
      <c r="Y96" s="22">
        <f>IF($B96="","",IFERROR(INDEX(Cost_Centers!$D:$D,MATCH($B96,Cost_Centers!$A:$A,0)),"(unknown)"))</f>
        <v/>
      </c>
      <c r="Z96" s="22">
        <f>IF(OR($B96="",$G96&lt;&gt;"Variance vs Budget"),"",ABS(N($V96))+ROW()/1000000000)</f>
        <v/>
      </c>
    </row>
    <row r="97" ht="45" customHeight="1">
      <c r="A97" s="13">
        <f>IF(A$90="","",A$90)</f>
        <v/>
      </c>
      <c r="B97" s="13">
        <f>IF(B$90="","",B$90)</f>
        <v/>
      </c>
      <c r="C97" s="13">
        <f>IF(C$90="","",C$90)</f>
        <v/>
      </c>
      <c r="D97" s="13">
        <f>IF(D$90="","",D$90)</f>
        <v/>
      </c>
      <c r="E97" s="13">
        <f>IF(E$90="","",E$90)</f>
        <v/>
      </c>
      <c r="F97" s="13">
        <f>IF(F$90="","",F$90)</f>
        <v/>
      </c>
      <c r="G97" s="7" t="inlineStr">
        <is>
          <t>Rationale</t>
        </is>
      </c>
      <c r="H97" s="38" t="n"/>
      <c r="I97" s="38" t="n"/>
      <c r="J97" s="38" t="n"/>
      <c r="K97" s="38" t="n"/>
      <c r="L97" s="38" t="n"/>
      <c r="M97" s="38" t="n"/>
      <c r="N97" s="38" t="n"/>
      <c r="O97" s="38" t="n"/>
      <c r="P97" s="38" t="n"/>
      <c r="Q97" s="38" t="n"/>
      <c r="R97" s="38" t="n"/>
      <c r="S97" s="38" t="n"/>
      <c r="T97" s="38" t="n"/>
      <c r="U97" s="38" t="n"/>
      <c r="V97" s="7" t="n"/>
      <c r="X97" s="22">
        <f>IF($B97="","",IFERROR(INDEX(Cost_Centers!$E:$E,MATCH($B97,Cost_Centers!$A:$A,0)),"(unknown)"))</f>
        <v/>
      </c>
      <c r="Y97" s="22">
        <f>IF($B97="","",IFERROR(INDEX(Cost_Centers!$D:$D,MATCH($B97,Cost_Centers!$A:$A,0)),"(unknown)"))</f>
        <v/>
      </c>
      <c r="Z97" s="22">
        <f>IF(OR($B97="",$G97&lt;&gt;"Variance vs Budget"),"",ABS(N($V97))+ROW()/1000000000)</f>
        <v/>
      </c>
    </row>
    <row r="98">
      <c r="A98" s="30">
        <f>IF($D$98="","",LEFT($D$98,FIND("|",$D$98&amp;"|")-1))</f>
        <v/>
      </c>
      <c r="B98" s="31" t="n"/>
      <c r="C98" s="30">
        <f>IF($B$98="","",IFERROR(INDEX(Cost_Centers!$B:$B,MATCH($B$98,Cost_Centers!$A:$A,0)),"(not in master)"))</f>
        <v/>
      </c>
      <c r="D98" s="31" t="n"/>
      <c r="E98" s="30">
        <f>IF($D$98="","",IFERROR(INDEX(Accounts!$D:$D,MATCH($D$98,Accounts!$A:$A,0)),"(not in master)"))</f>
        <v/>
      </c>
      <c r="F98" s="31" t="n"/>
      <c r="G98" s="30" t="inlineStr">
        <is>
          <t>Budget</t>
        </is>
      </c>
      <c r="H98" s="32">
        <f>IF($B$98="","",SUMIFS(Opex_Budget!$O:$O,Opex_Budget!$A:$A,$C$3,Opex_Budget!$E:$E,$B$98,Opex_Budget!$F:$F,$D$98,Opex_Budget!$N:$N,"JPY")*$E$5+SUMIFS(Opex_Budget!$O:$O,Opex_Budget!$A:$A,$C$3,Opex_Budget!$E:$E,$B$98,Opex_Budget!$F:$F,$D$98,Opex_Budget!$N:$N,"USD")*$F$5+SUMIFS(Opex_Budget!$O:$O,Opex_Budget!$A:$A,$C$3,Opex_Budget!$E:$E,$B$98,Opex_Budget!$F:$F,$D$98,Opex_Budget!$N:$N,"EUR")*$G$5+SUMIFS(Opex_Budget!$O:$O,Opex_Budget!$A:$A,$C$3,Opex_Budget!$E:$E,$B$98,Opex_Budget!$F:$F,$D$98,Opex_Budget!$N:$N,"GBP")*$H$5)</f>
        <v/>
      </c>
      <c r="I98" s="32">
        <f>IF($B$98="","",SUMIFS(Opex_Budget!$P:$P,Opex_Budget!$A:$A,$C$3,Opex_Budget!$E:$E,$B$98,Opex_Budget!$F:$F,$D$98,Opex_Budget!$N:$N,"JPY")*$E$5+SUMIFS(Opex_Budget!$P:$P,Opex_Budget!$A:$A,$C$3,Opex_Budget!$E:$E,$B$98,Opex_Budget!$F:$F,$D$98,Opex_Budget!$N:$N,"USD")*$F$5+SUMIFS(Opex_Budget!$P:$P,Opex_Budget!$A:$A,$C$3,Opex_Budget!$E:$E,$B$98,Opex_Budget!$F:$F,$D$98,Opex_Budget!$N:$N,"EUR")*$G$5+SUMIFS(Opex_Budget!$P:$P,Opex_Budget!$A:$A,$C$3,Opex_Budget!$E:$E,$B$98,Opex_Budget!$F:$F,$D$98,Opex_Budget!$N:$N,"GBP")*$H$5)</f>
        <v/>
      </c>
      <c r="J98" s="32">
        <f>IF($B$98="","",SUMIFS(Opex_Budget!$Q:$Q,Opex_Budget!$A:$A,$C$3,Opex_Budget!$E:$E,$B$98,Opex_Budget!$F:$F,$D$98,Opex_Budget!$N:$N,"JPY")*$E$5+SUMIFS(Opex_Budget!$Q:$Q,Opex_Budget!$A:$A,$C$3,Opex_Budget!$E:$E,$B$98,Opex_Budget!$F:$F,$D$98,Opex_Budget!$N:$N,"USD")*$F$5+SUMIFS(Opex_Budget!$Q:$Q,Opex_Budget!$A:$A,$C$3,Opex_Budget!$E:$E,$B$98,Opex_Budget!$F:$F,$D$98,Opex_Budget!$N:$N,"EUR")*$G$5+SUMIFS(Opex_Budget!$Q:$Q,Opex_Budget!$A:$A,$C$3,Opex_Budget!$E:$E,$B$98,Opex_Budget!$F:$F,$D$98,Opex_Budget!$N:$N,"GBP")*$H$5)</f>
        <v/>
      </c>
      <c r="K98" s="32">
        <f>IF($B$98="","",SUMIFS(Opex_Budget!$R:$R,Opex_Budget!$A:$A,$C$3,Opex_Budget!$E:$E,$B$98,Opex_Budget!$F:$F,$D$98,Opex_Budget!$N:$N,"JPY")*$E$5+SUMIFS(Opex_Budget!$R:$R,Opex_Budget!$A:$A,$C$3,Opex_Budget!$E:$E,$B$98,Opex_Budget!$F:$F,$D$98,Opex_Budget!$N:$N,"USD")*$F$5+SUMIFS(Opex_Budget!$R:$R,Opex_Budget!$A:$A,$C$3,Opex_Budget!$E:$E,$B$98,Opex_Budget!$F:$F,$D$98,Opex_Budget!$N:$N,"EUR")*$G$5+SUMIFS(Opex_Budget!$R:$R,Opex_Budget!$A:$A,$C$3,Opex_Budget!$E:$E,$B$98,Opex_Budget!$F:$F,$D$98,Opex_Budget!$N:$N,"GBP")*$H$5)</f>
        <v/>
      </c>
      <c r="L98" s="32">
        <f>IF($B$98="","",SUMIFS(Opex_Budget!$S:$S,Opex_Budget!$A:$A,$C$3,Opex_Budget!$E:$E,$B$98,Opex_Budget!$F:$F,$D$98,Opex_Budget!$N:$N,"JPY")*$E$5+SUMIFS(Opex_Budget!$S:$S,Opex_Budget!$A:$A,$C$3,Opex_Budget!$E:$E,$B$98,Opex_Budget!$F:$F,$D$98,Opex_Budget!$N:$N,"USD")*$F$5+SUMIFS(Opex_Budget!$S:$S,Opex_Budget!$A:$A,$C$3,Opex_Budget!$E:$E,$B$98,Opex_Budget!$F:$F,$D$98,Opex_Budget!$N:$N,"EUR")*$G$5+SUMIFS(Opex_Budget!$S:$S,Opex_Budget!$A:$A,$C$3,Opex_Budget!$E:$E,$B$98,Opex_Budget!$F:$F,$D$98,Opex_Budget!$N:$N,"GBP")*$H$5)</f>
        <v/>
      </c>
      <c r="M98" s="32">
        <f>IF($B$98="","",SUMIFS(Opex_Budget!$T:$T,Opex_Budget!$A:$A,$C$3,Opex_Budget!$E:$E,$B$98,Opex_Budget!$F:$F,$D$98,Opex_Budget!$N:$N,"JPY")*$E$5+SUMIFS(Opex_Budget!$T:$T,Opex_Budget!$A:$A,$C$3,Opex_Budget!$E:$E,$B$98,Opex_Budget!$F:$F,$D$98,Opex_Budget!$N:$N,"USD")*$F$5+SUMIFS(Opex_Budget!$T:$T,Opex_Budget!$A:$A,$C$3,Opex_Budget!$E:$E,$B$98,Opex_Budget!$F:$F,$D$98,Opex_Budget!$N:$N,"EUR")*$G$5+SUMIFS(Opex_Budget!$T:$T,Opex_Budget!$A:$A,$C$3,Opex_Budget!$E:$E,$B$98,Opex_Budget!$F:$F,$D$98,Opex_Budget!$N:$N,"GBP")*$H$5)</f>
        <v/>
      </c>
      <c r="N98" s="32">
        <f>IF($B$98="","",SUMIFS(Opex_Budget!$U:$U,Opex_Budget!$A:$A,$C$3,Opex_Budget!$E:$E,$B$98,Opex_Budget!$F:$F,$D$98,Opex_Budget!$N:$N,"JPY")*$E$5+SUMIFS(Opex_Budget!$U:$U,Opex_Budget!$A:$A,$C$3,Opex_Budget!$E:$E,$B$98,Opex_Budget!$F:$F,$D$98,Opex_Budget!$N:$N,"USD")*$F$5+SUMIFS(Opex_Budget!$U:$U,Opex_Budget!$A:$A,$C$3,Opex_Budget!$E:$E,$B$98,Opex_Budget!$F:$F,$D$98,Opex_Budget!$N:$N,"EUR")*$G$5+SUMIFS(Opex_Budget!$U:$U,Opex_Budget!$A:$A,$C$3,Opex_Budget!$E:$E,$B$98,Opex_Budget!$F:$F,$D$98,Opex_Budget!$N:$N,"GBP")*$H$5)</f>
        <v/>
      </c>
      <c r="O98" s="32">
        <f>IF($B$98="","",SUMIFS(Opex_Budget!$V:$V,Opex_Budget!$A:$A,$C$3,Opex_Budget!$E:$E,$B$98,Opex_Budget!$F:$F,$D$98,Opex_Budget!$N:$N,"JPY")*$E$5+SUMIFS(Opex_Budget!$V:$V,Opex_Budget!$A:$A,$C$3,Opex_Budget!$E:$E,$B$98,Opex_Budget!$F:$F,$D$98,Opex_Budget!$N:$N,"USD")*$F$5+SUMIFS(Opex_Budget!$V:$V,Opex_Budget!$A:$A,$C$3,Opex_Budget!$E:$E,$B$98,Opex_Budget!$F:$F,$D$98,Opex_Budget!$N:$N,"EUR")*$G$5+SUMIFS(Opex_Budget!$V:$V,Opex_Budget!$A:$A,$C$3,Opex_Budget!$E:$E,$B$98,Opex_Budget!$F:$F,$D$98,Opex_Budget!$N:$N,"GBP")*$H$5)</f>
        <v/>
      </c>
      <c r="P98" s="32">
        <f>IF($B$98="","",SUMIFS(Opex_Budget!$W:$W,Opex_Budget!$A:$A,$C$3,Opex_Budget!$E:$E,$B$98,Opex_Budget!$F:$F,$D$98,Opex_Budget!$N:$N,"JPY")*$E$5+SUMIFS(Opex_Budget!$W:$W,Opex_Budget!$A:$A,$C$3,Opex_Budget!$E:$E,$B$98,Opex_Budget!$F:$F,$D$98,Opex_Budget!$N:$N,"USD")*$F$5+SUMIFS(Opex_Budget!$W:$W,Opex_Budget!$A:$A,$C$3,Opex_Budget!$E:$E,$B$98,Opex_Budget!$F:$F,$D$98,Opex_Budget!$N:$N,"EUR")*$G$5+SUMIFS(Opex_Budget!$W:$W,Opex_Budget!$A:$A,$C$3,Opex_Budget!$E:$E,$B$98,Opex_Budget!$F:$F,$D$98,Opex_Budget!$N:$N,"GBP")*$H$5)</f>
        <v/>
      </c>
      <c r="Q98" s="32">
        <f>IF($B$98="","",SUMIFS(Opex_Budget!$X:$X,Opex_Budget!$A:$A,$C$3,Opex_Budget!$E:$E,$B$98,Opex_Budget!$F:$F,$D$98,Opex_Budget!$N:$N,"JPY")*$E$5+SUMIFS(Opex_Budget!$X:$X,Opex_Budget!$A:$A,$C$3,Opex_Budget!$E:$E,$B$98,Opex_Budget!$F:$F,$D$98,Opex_Budget!$N:$N,"USD")*$F$5+SUMIFS(Opex_Budget!$X:$X,Opex_Budget!$A:$A,$C$3,Opex_Budget!$E:$E,$B$98,Opex_Budget!$F:$F,$D$98,Opex_Budget!$N:$N,"EUR")*$G$5+SUMIFS(Opex_Budget!$X:$X,Opex_Budget!$A:$A,$C$3,Opex_Budget!$E:$E,$B$98,Opex_Budget!$F:$F,$D$98,Opex_Budget!$N:$N,"GBP")*$H$5)</f>
        <v/>
      </c>
      <c r="R98" s="32">
        <f>IF($B$98="","",SUMIFS(Opex_Budget!$Y:$Y,Opex_Budget!$A:$A,$C$3,Opex_Budget!$E:$E,$B$98,Opex_Budget!$F:$F,$D$98,Opex_Budget!$N:$N,"JPY")*$E$5+SUMIFS(Opex_Budget!$Y:$Y,Opex_Budget!$A:$A,$C$3,Opex_Budget!$E:$E,$B$98,Opex_Budget!$F:$F,$D$98,Opex_Budget!$N:$N,"USD")*$F$5+SUMIFS(Opex_Budget!$Y:$Y,Opex_Budget!$A:$A,$C$3,Opex_Budget!$E:$E,$B$98,Opex_Budget!$F:$F,$D$98,Opex_Budget!$N:$N,"EUR")*$G$5+SUMIFS(Opex_Budget!$Y:$Y,Opex_Budget!$A:$A,$C$3,Opex_Budget!$E:$E,$B$98,Opex_Budget!$F:$F,$D$98,Opex_Budget!$N:$N,"GBP")*$H$5)</f>
        <v/>
      </c>
      <c r="S98" s="32">
        <f>IF($B$98="","",SUMIFS(Opex_Budget!$Z:$Z,Opex_Budget!$A:$A,$C$3,Opex_Budget!$E:$E,$B$98,Opex_Budget!$F:$F,$D$98,Opex_Budget!$N:$N,"JPY")*$E$5+SUMIFS(Opex_Budget!$Z:$Z,Opex_Budget!$A:$A,$C$3,Opex_Budget!$E:$E,$B$98,Opex_Budget!$F:$F,$D$98,Opex_Budget!$N:$N,"USD")*$F$5+SUMIFS(Opex_Budget!$Z:$Z,Opex_Budget!$A:$A,$C$3,Opex_Budget!$E:$E,$B$98,Opex_Budget!$F:$F,$D$98,Opex_Budget!$N:$N,"EUR")*$G$5+SUMIFS(Opex_Budget!$Z:$Z,Opex_Budget!$A:$A,$C$3,Opex_Budget!$E:$E,$B$98,Opex_Budget!$F:$F,$D$98,Opex_Budget!$N:$N,"GBP")*$H$5)</f>
        <v/>
      </c>
      <c r="T98" s="32">
        <f>IF($B$98="","",SUMIF($H$7:$S$7,"&lt;="&amp;$C$4,$H98:$S98))</f>
        <v/>
      </c>
      <c r="U98" s="32">
        <f>IF($B$98="","",SUMIF($H$7:$S$7,"&gt;"&amp;$C$4,$H98:$S98))</f>
        <v/>
      </c>
      <c r="V98" s="32">
        <f>IF($B$98="","",SUM($H98:$S98))</f>
        <v/>
      </c>
      <c r="X98" s="22">
        <f>IF($B98="","",IFERROR(INDEX(Cost_Centers!$E:$E,MATCH($B98,Cost_Centers!$A:$A,0)),"(unknown)"))</f>
        <v/>
      </c>
      <c r="Y98" s="22">
        <f>IF($B98="","",IFERROR(INDEX(Cost_Centers!$D:$D,MATCH($B98,Cost_Centers!$A:$A,0)),"(unknown)"))</f>
        <v/>
      </c>
      <c r="Z98" s="22">
        <f>IF(OR($B98="",$G98&lt;&gt;"Variance vs Budget"),"",ABS(N($V98))+ROW()/1000000000)</f>
        <v/>
      </c>
    </row>
    <row r="99">
      <c r="A99" s="13">
        <f>IF(A$98="","",A$98)</f>
        <v/>
      </c>
      <c r="B99" s="13">
        <f>IF(B$98="","",B$98)</f>
        <v/>
      </c>
      <c r="C99" s="13">
        <f>IF(C$98="","",C$98)</f>
        <v/>
      </c>
      <c r="D99" s="13">
        <f>IF(D$98="","",D$98)</f>
        <v/>
      </c>
      <c r="E99" s="13">
        <f>IF(E$98="","",E$98)</f>
        <v/>
      </c>
      <c r="F99" s="13">
        <f>IF(F$98="","",F$98)</f>
        <v/>
      </c>
      <c r="G99" s="7" t="inlineStr">
        <is>
          <t>Actual</t>
        </is>
      </c>
      <c r="H99" s="18">
        <f>IF(OR($B$98="",1&gt;$C$4),"",SUMIFS(Actuals!$G:$G,Actuals!$B:$B,$C$3,Actuals!$C:$C,1,Actuals!$D:$D,$B$98,Actuals!$A:$A,LEFT($D$98,FIND("|",$D$98&amp;"|")-1),Actuals!$E:$E,MID($D$98,FIND("|",$D$98&amp;"|")+1,50),Actuals!$F:$F,"JPY")*$E$5+SUMIFS(Actuals!$G:$G,Actuals!$B:$B,$C$3,Actuals!$C:$C,1,Actuals!$D:$D,$B$98,Actuals!$A:$A,LEFT($D$98,FIND("|",$D$98&amp;"|")-1),Actuals!$E:$E,MID($D$98,FIND("|",$D$98&amp;"|")+1,50),Actuals!$F:$F,"USD")*$F$5+SUMIFS(Actuals!$G:$G,Actuals!$B:$B,$C$3,Actuals!$C:$C,1,Actuals!$D:$D,$B$98,Actuals!$A:$A,LEFT($D$98,FIND("|",$D$98&amp;"|")-1),Actuals!$E:$E,MID($D$98,FIND("|",$D$98&amp;"|")+1,50),Actuals!$F:$F,"EUR")*$G$5+SUMIFS(Actuals!$G:$G,Actuals!$B:$B,$C$3,Actuals!$C:$C,1,Actuals!$D:$D,$B$98,Actuals!$A:$A,LEFT($D$98,FIND("|",$D$98&amp;"|")-1),Actuals!$E:$E,MID($D$98,FIND("|",$D$98&amp;"|")+1,50),Actuals!$F:$F,"GBP")*$H$5)</f>
        <v/>
      </c>
      <c r="I99" s="18">
        <f>IF(OR($B$98="",2&gt;$C$4),"",SUMIFS(Actuals!$G:$G,Actuals!$B:$B,$C$3,Actuals!$C:$C,2,Actuals!$D:$D,$B$98,Actuals!$A:$A,LEFT($D$98,FIND("|",$D$98&amp;"|")-1),Actuals!$E:$E,MID($D$98,FIND("|",$D$98&amp;"|")+1,50),Actuals!$F:$F,"JPY")*$E$5+SUMIFS(Actuals!$G:$G,Actuals!$B:$B,$C$3,Actuals!$C:$C,2,Actuals!$D:$D,$B$98,Actuals!$A:$A,LEFT($D$98,FIND("|",$D$98&amp;"|")-1),Actuals!$E:$E,MID($D$98,FIND("|",$D$98&amp;"|")+1,50),Actuals!$F:$F,"USD")*$F$5+SUMIFS(Actuals!$G:$G,Actuals!$B:$B,$C$3,Actuals!$C:$C,2,Actuals!$D:$D,$B$98,Actuals!$A:$A,LEFT($D$98,FIND("|",$D$98&amp;"|")-1),Actuals!$E:$E,MID($D$98,FIND("|",$D$98&amp;"|")+1,50),Actuals!$F:$F,"EUR")*$G$5+SUMIFS(Actuals!$G:$G,Actuals!$B:$B,$C$3,Actuals!$C:$C,2,Actuals!$D:$D,$B$98,Actuals!$A:$A,LEFT($D$98,FIND("|",$D$98&amp;"|")-1),Actuals!$E:$E,MID($D$98,FIND("|",$D$98&amp;"|")+1,50),Actuals!$F:$F,"GBP")*$H$5)</f>
        <v/>
      </c>
      <c r="J99" s="18">
        <f>IF(OR($B$98="",3&gt;$C$4),"",SUMIFS(Actuals!$G:$G,Actuals!$B:$B,$C$3,Actuals!$C:$C,3,Actuals!$D:$D,$B$98,Actuals!$A:$A,LEFT($D$98,FIND("|",$D$98&amp;"|")-1),Actuals!$E:$E,MID($D$98,FIND("|",$D$98&amp;"|")+1,50),Actuals!$F:$F,"JPY")*$E$5+SUMIFS(Actuals!$G:$G,Actuals!$B:$B,$C$3,Actuals!$C:$C,3,Actuals!$D:$D,$B$98,Actuals!$A:$A,LEFT($D$98,FIND("|",$D$98&amp;"|")-1),Actuals!$E:$E,MID($D$98,FIND("|",$D$98&amp;"|")+1,50),Actuals!$F:$F,"USD")*$F$5+SUMIFS(Actuals!$G:$G,Actuals!$B:$B,$C$3,Actuals!$C:$C,3,Actuals!$D:$D,$B$98,Actuals!$A:$A,LEFT($D$98,FIND("|",$D$98&amp;"|")-1),Actuals!$E:$E,MID($D$98,FIND("|",$D$98&amp;"|")+1,50),Actuals!$F:$F,"EUR")*$G$5+SUMIFS(Actuals!$G:$G,Actuals!$B:$B,$C$3,Actuals!$C:$C,3,Actuals!$D:$D,$B$98,Actuals!$A:$A,LEFT($D$98,FIND("|",$D$98&amp;"|")-1),Actuals!$E:$E,MID($D$98,FIND("|",$D$98&amp;"|")+1,50),Actuals!$F:$F,"GBP")*$H$5)</f>
        <v/>
      </c>
      <c r="K99" s="18">
        <f>IF(OR($B$98="",4&gt;$C$4),"",SUMIFS(Actuals!$G:$G,Actuals!$B:$B,$C$3,Actuals!$C:$C,4,Actuals!$D:$D,$B$98,Actuals!$A:$A,LEFT($D$98,FIND("|",$D$98&amp;"|")-1),Actuals!$E:$E,MID($D$98,FIND("|",$D$98&amp;"|")+1,50),Actuals!$F:$F,"JPY")*$E$5+SUMIFS(Actuals!$G:$G,Actuals!$B:$B,$C$3,Actuals!$C:$C,4,Actuals!$D:$D,$B$98,Actuals!$A:$A,LEFT($D$98,FIND("|",$D$98&amp;"|")-1),Actuals!$E:$E,MID($D$98,FIND("|",$D$98&amp;"|")+1,50),Actuals!$F:$F,"USD")*$F$5+SUMIFS(Actuals!$G:$G,Actuals!$B:$B,$C$3,Actuals!$C:$C,4,Actuals!$D:$D,$B$98,Actuals!$A:$A,LEFT($D$98,FIND("|",$D$98&amp;"|")-1),Actuals!$E:$E,MID($D$98,FIND("|",$D$98&amp;"|")+1,50),Actuals!$F:$F,"EUR")*$G$5+SUMIFS(Actuals!$G:$G,Actuals!$B:$B,$C$3,Actuals!$C:$C,4,Actuals!$D:$D,$B$98,Actuals!$A:$A,LEFT($D$98,FIND("|",$D$98&amp;"|")-1),Actuals!$E:$E,MID($D$98,FIND("|",$D$98&amp;"|")+1,50),Actuals!$F:$F,"GBP")*$H$5)</f>
        <v/>
      </c>
      <c r="L99" s="18">
        <f>IF(OR($B$98="",5&gt;$C$4),"",SUMIFS(Actuals!$G:$G,Actuals!$B:$B,$C$3,Actuals!$C:$C,5,Actuals!$D:$D,$B$98,Actuals!$A:$A,LEFT($D$98,FIND("|",$D$98&amp;"|")-1),Actuals!$E:$E,MID($D$98,FIND("|",$D$98&amp;"|")+1,50),Actuals!$F:$F,"JPY")*$E$5+SUMIFS(Actuals!$G:$G,Actuals!$B:$B,$C$3,Actuals!$C:$C,5,Actuals!$D:$D,$B$98,Actuals!$A:$A,LEFT($D$98,FIND("|",$D$98&amp;"|")-1),Actuals!$E:$E,MID($D$98,FIND("|",$D$98&amp;"|")+1,50),Actuals!$F:$F,"USD")*$F$5+SUMIFS(Actuals!$G:$G,Actuals!$B:$B,$C$3,Actuals!$C:$C,5,Actuals!$D:$D,$B$98,Actuals!$A:$A,LEFT($D$98,FIND("|",$D$98&amp;"|")-1),Actuals!$E:$E,MID($D$98,FIND("|",$D$98&amp;"|")+1,50),Actuals!$F:$F,"EUR")*$G$5+SUMIFS(Actuals!$G:$G,Actuals!$B:$B,$C$3,Actuals!$C:$C,5,Actuals!$D:$D,$B$98,Actuals!$A:$A,LEFT($D$98,FIND("|",$D$98&amp;"|")-1),Actuals!$E:$E,MID($D$98,FIND("|",$D$98&amp;"|")+1,50),Actuals!$F:$F,"GBP")*$H$5)</f>
        <v/>
      </c>
      <c r="M99" s="18">
        <f>IF(OR($B$98="",6&gt;$C$4),"",SUMIFS(Actuals!$G:$G,Actuals!$B:$B,$C$3,Actuals!$C:$C,6,Actuals!$D:$D,$B$98,Actuals!$A:$A,LEFT($D$98,FIND("|",$D$98&amp;"|")-1),Actuals!$E:$E,MID($D$98,FIND("|",$D$98&amp;"|")+1,50),Actuals!$F:$F,"JPY")*$E$5+SUMIFS(Actuals!$G:$G,Actuals!$B:$B,$C$3,Actuals!$C:$C,6,Actuals!$D:$D,$B$98,Actuals!$A:$A,LEFT($D$98,FIND("|",$D$98&amp;"|")-1),Actuals!$E:$E,MID($D$98,FIND("|",$D$98&amp;"|")+1,50),Actuals!$F:$F,"USD")*$F$5+SUMIFS(Actuals!$G:$G,Actuals!$B:$B,$C$3,Actuals!$C:$C,6,Actuals!$D:$D,$B$98,Actuals!$A:$A,LEFT($D$98,FIND("|",$D$98&amp;"|")-1),Actuals!$E:$E,MID($D$98,FIND("|",$D$98&amp;"|")+1,50),Actuals!$F:$F,"EUR")*$G$5+SUMIFS(Actuals!$G:$G,Actuals!$B:$B,$C$3,Actuals!$C:$C,6,Actuals!$D:$D,$B$98,Actuals!$A:$A,LEFT($D$98,FIND("|",$D$98&amp;"|")-1),Actuals!$E:$E,MID($D$98,FIND("|",$D$98&amp;"|")+1,50),Actuals!$F:$F,"GBP")*$H$5)</f>
        <v/>
      </c>
      <c r="N99" s="18">
        <f>IF(OR($B$98="",7&gt;$C$4),"",SUMIFS(Actuals!$G:$G,Actuals!$B:$B,$C$3,Actuals!$C:$C,7,Actuals!$D:$D,$B$98,Actuals!$A:$A,LEFT($D$98,FIND("|",$D$98&amp;"|")-1),Actuals!$E:$E,MID($D$98,FIND("|",$D$98&amp;"|")+1,50),Actuals!$F:$F,"JPY")*$E$5+SUMIFS(Actuals!$G:$G,Actuals!$B:$B,$C$3,Actuals!$C:$C,7,Actuals!$D:$D,$B$98,Actuals!$A:$A,LEFT($D$98,FIND("|",$D$98&amp;"|")-1),Actuals!$E:$E,MID($D$98,FIND("|",$D$98&amp;"|")+1,50),Actuals!$F:$F,"USD")*$F$5+SUMIFS(Actuals!$G:$G,Actuals!$B:$B,$C$3,Actuals!$C:$C,7,Actuals!$D:$D,$B$98,Actuals!$A:$A,LEFT($D$98,FIND("|",$D$98&amp;"|")-1),Actuals!$E:$E,MID($D$98,FIND("|",$D$98&amp;"|")+1,50),Actuals!$F:$F,"EUR")*$G$5+SUMIFS(Actuals!$G:$G,Actuals!$B:$B,$C$3,Actuals!$C:$C,7,Actuals!$D:$D,$B$98,Actuals!$A:$A,LEFT($D$98,FIND("|",$D$98&amp;"|")-1),Actuals!$E:$E,MID($D$98,FIND("|",$D$98&amp;"|")+1,50),Actuals!$F:$F,"GBP")*$H$5)</f>
        <v/>
      </c>
      <c r="O99" s="18">
        <f>IF(OR($B$98="",8&gt;$C$4),"",SUMIFS(Actuals!$G:$G,Actuals!$B:$B,$C$3,Actuals!$C:$C,8,Actuals!$D:$D,$B$98,Actuals!$A:$A,LEFT($D$98,FIND("|",$D$98&amp;"|")-1),Actuals!$E:$E,MID($D$98,FIND("|",$D$98&amp;"|")+1,50),Actuals!$F:$F,"JPY")*$E$5+SUMIFS(Actuals!$G:$G,Actuals!$B:$B,$C$3,Actuals!$C:$C,8,Actuals!$D:$D,$B$98,Actuals!$A:$A,LEFT($D$98,FIND("|",$D$98&amp;"|")-1),Actuals!$E:$E,MID($D$98,FIND("|",$D$98&amp;"|")+1,50),Actuals!$F:$F,"USD")*$F$5+SUMIFS(Actuals!$G:$G,Actuals!$B:$B,$C$3,Actuals!$C:$C,8,Actuals!$D:$D,$B$98,Actuals!$A:$A,LEFT($D$98,FIND("|",$D$98&amp;"|")-1),Actuals!$E:$E,MID($D$98,FIND("|",$D$98&amp;"|")+1,50),Actuals!$F:$F,"EUR")*$G$5+SUMIFS(Actuals!$G:$G,Actuals!$B:$B,$C$3,Actuals!$C:$C,8,Actuals!$D:$D,$B$98,Actuals!$A:$A,LEFT($D$98,FIND("|",$D$98&amp;"|")-1),Actuals!$E:$E,MID($D$98,FIND("|",$D$98&amp;"|")+1,50),Actuals!$F:$F,"GBP")*$H$5)</f>
        <v/>
      </c>
      <c r="P99" s="18">
        <f>IF(OR($B$98="",9&gt;$C$4),"",SUMIFS(Actuals!$G:$G,Actuals!$B:$B,$C$3,Actuals!$C:$C,9,Actuals!$D:$D,$B$98,Actuals!$A:$A,LEFT($D$98,FIND("|",$D$98&amp;"|")-1),Actuals!$E:$E,MID($D$98,FIND("|",$D$98&amp;"|")+1,50),Actuals!$F:$F,"JPY")*$E$5+SUMIFS(Actuals!$G:$G,Actuals!$B:$B,$C$3,Actuals!$C:$C,9,Actuals!$D:$D,$B$98,Actuals!$A:$A,LEFT($D$98,FIND("|",$D$98&amp;"|")-1),Actuals!$E:$E,MID($D$98,FIND("|",$D$98&amp;"|")+1,50),Actuals!$F:$F,"USD")*$F$5+SUMIFS(Actuals!$G:$G,Actuals!$B:$B,$C$3,Actuals!$C:$C,9,Actuals!$D:$D,$B$98,Actuals!$A:$A,LEFT($D$98,FIND("|",$D$98&amp;"|")-1),Actuals!$E:$E,MID($D$98,FIND("|",$D$98&amp;"|")+1,50),Actuals!$F:$F,"EUR")*$G$5+SUMIFS(Actuals!$G:$G,Actuals!$B:$B,$C$3,Actuals!$C:$C,9,Actuals!$D:$D,$B$98,Actuals!$A:$A,LEFT($D$98,FIND("|",$D$98&amp;"|")-1),Actuals!$E:$E,MID($D$98,FIND("|",$D$98&amp;"|")+1,50),Actuals!$F:$F,"GBP")*$H$5)</f>
        <v/>
      </c>
      <c r="Q99" s="18">
        <f>IF(OR($B$98="",10&gt;$C$4),"",SUMIFS(Actuals!$G:$G,Actuals!$B:$B,$C$3,Actuals!$C:$C,10,Actuals!$D:$D,$B$98,Actuals!$A:$A,LEFT($D$98,FIND("|",$D$98&amp;"|")-1),Actuals!$E:$E,MID($D$98,FIND("|",$D$98&amp;"|")+1,50),Actuals!$F:$F,"JPY")*$E$5+SUMIFS(Actuals!$G:$G,Actuals!$B:$B,$C$3,Actuals!$C:$C,10,Actuals!$D:$D,$B$98,Actuals!$A:$A,LEFT($D$98,FIND("|",$D$98&amp;"|")-1),Actuals!$E:$E,MID($D$98,FIND("|",$D$98&amp;"|")+1,50),Actuals!$F:$F,"USD")*$F$5+SUMIFS(Actuals!$G:$G,Actuals!$B:$B,$C$3,Actuals!$C:$C,10,Actuals!$D:$D,$B$98,Actuals!$A:$A,LEFT($D$98,FIND("|",$D$98&amp;"|")-1),Actuals!$E:$E,MID($D$98,FIND("|",$D$98&amp;"|")+1,50),Actuals!$F:$F,"EUR")*$G$5+SUMIFS(Actuals!$G:$G,Actuals!$B:$B,$C$3,Actuals!$C:$C,10,Actuals!$D:$D,$B$98,Actuals!$A:$A,LEFT($D$98,FIND("|",$D$98&amp;"|")-1),Actuals!$E:$E,MID($D$98,FIND("|",$D$98&amp;"|")+1,50),Actuals!$F:$F,"GBP")*$H$5)</f>
        <v/>
      </c>
      <c r="R99" s="18">
        <f>IF(OR($B$98="",11&gt;$C$4),"",SUMIFS(Actuals!$G:$G,Actuals!$B:$B,$C$3,Actuals!$C:$C,11,Actuals!$D:$D,$B$98,Actuals!$A:$A,LEFT($D$98,FIND("|",$D$98&amp;"|")-1),Actuals!$E:$E,MID($D$98,FIND("|",$D$98&amp;"|")+1,50),Actuals!$F:$F,"JPY")*$E$5+SUMIFS(Actuals!$G:$G,Actuals!$B:$B,$C$3,Actuals!$C:$C,11,Actuals!$D:$D,$B$98,Actuals!$A:$A,LEFT($D$98,FIND("|",$D$98&amp;"|")-1),Actuals!$E:$E,MID($D$98,FIND("|",$D$98&amp;"|")+1,50),Actuals!$F:$F,"USD")*$F$5+SUMIFS(Actuals!$G:$G,Actuals!$B:$B,$C$3,Actuals!$C:$C,11,Actuals!$D:$D,$B$98,Actuals!$A:$A,LEFT($D$98,FIND("|",$D$98&amp;"|")-1),Actuals!$E:$E,MID($D$98,FIND("|",$D$98&amp;"|")+1,50),Actuals!$F:$F,"EUR")*$G$5+SUMIFS(Actuals!$G:$G,Actuals!$B:$B,$C$3,Actuals!$C:$C,11,Actuals!$D:$D,$B$98,Actuals!$A:$A,LEFT($D$98,FIND("|",$D$98&amp;"|")-1),Actuals!$E:$E,MID($D$98,FIND("|",$D$98&amp;"|")+1,50),Actuals!$F:$F,"GBP")*$H$5)</f>
        <v/>
      </c>
      <c r="S99" s="18">
        <f>IF(OR($B$98="",12&gt;$C$4),"",SUMIFS(Actuals!$G:$G,Actuals!$B:$B,$C$3,Actuals!$C:$C,12,Actuals!$D:$D,$B$98,Actuals!$A:$A,LEFT($D$98,FIND("|",$D$98&amp;"|")-1),Actuals!$E:$E,MID($D$98,FIND("|",$D$98&amp;"|")+1,50),Actuals!$F:$F,"JPY")*$E$5+SUMIFS(Actuals!$G:$G,Actuals!$B:$B,$C$3,Actuals!$C:$C,12,Actuals!$D:$D,$B$98,Actuals!$A:$A,LEFT($D$98,FIND("|",$D$98&amp;"|")-1),Actuals!$E:$E,MID($D$98,FIND("|",$D$98&amp;"|")+1,50),Actuals!$F:$F,"USD")*$F$5+SUMIFS(Actuals!$G:$G,Actuals!$B:$B,$C$3,Actuals!$C:$C,12,Actuals!$D:$D,$B$98,Actuals!$A:$A,LEFT($D$98,FIND("|",$D$98&amp;"|")-1),Actuals!$E:$E,MID($D$98,FIND("|",$D$98&amp;"|")+1,50),Actuals!$F:$F,"EUR")*$G$5+SUMIFS(Actuals!$G:$G,Actuals!$B:$B,$C$3,Actuals!$C:$C,12,Actuals!$D:$D,$B$98,Actuals!$A:$A,LEFT($D$98,FIND("|",$D$98&amp;"|")-1),Actuals!$E:$E,MID($D$98,FIND("|",$D$98&amp;"|")+1,50),Actuals!$F:$F,"GBP")*$H$5)</f>
        <v/>
      </c>
      <c r="T99" s="18">
        <f>IF($B$98="","",SUMIF($H$7:$S$7,"&lt;="&amp;$C$4,$H99:$S99))</f>
        <v/>
      </c>
      <c r="U99" s="18" t="n"/>
      <c r="V99" s="18" t="n"/>
      <c r="X99" s="22">
        <f>IF($B99="","",IFERROR(INDEX(Cost_Centers!$E:$E,MATCH($B99,Cost_Centers!$A:$A,0)),"(unknown)"))</f>
        <v/>
      </c>
      <c r="Y99" s="22">
        <f>IF($B99="","",IFERROR(INDEX(Cost_Centers!$D:$D,MATCH($B99,Cost_Centers!$A:$A,0)),"(unknown)"))</f>
        <v/>
      </c>
      <c r="Z99" s="22">
        <f>IF(OR($B99="",$G99&lt;&gt;"Variance vs Budget"),"",ABS(N($V99))+ROW()/1000000000)</f>
        <v/>
      </c>
    </row>
    <row r="100">
      <c r="A100" s="13">
        <f>IF(A$98="","",A$98)</f>
        <v/>
      </c>
      <c r="B100" s="13">
        <f>IF(B$98="","",B$98)</f>
        <v/>
      </c>
      <c r="C100" s="13">
        <f>IF(C$98="","",C$98)</f>
        <v/>
      </c>
      <c r="D100" s="13">
        <f>IF(D$98="","",D$98)</f>
        <v/>
      </c>
      <c r="E100" s="13">
        <f>IF(E$98="","",E$98)</f>
        <v/>
      </c>
      <c r="F100" s="13">
        <f>IF(F$98="","",F$98)</f>
        <v/>
      </c>
      <c r="G100" s="6" t="inlineStr">
        <is>
          <t>Variance vs Budget</t>
        </is>
      </c>
      <c r="H100" s="33">
        <f>IF(OR($B$98="",1&gt;$C$4),"",N(H99)-H98)</f>
        <v/>
      </c>
      <c r="I100" s="33">
        <f>IF(OR($B$98="",2&gt;$C$4),"",N(I99)-I98)</f>
        <v/>
      </c>
      <c r="J100" s="33">
        <f>IF(OR($B$98="",3&gt;$C$4),"",N(J99)-J98)</f>
        <v/>
      </c>
      <c r="K100" s="33">
        <f>IF(OR($B$98="",4&gt;$C$4),"",N(K99)-K98)</f>
        <v/>
      </c>
      <c r="L100" s="33">
        <f>IF(OR($B$98="",5&gt;$C$4),"",N(L99)-L98)</f>
        <v/>
      </c>
      <c r="M100" s="33">
        <f>IF(OR($B$98="",6&gt;$C$4),"",N(M99)-M98)</f>
        <v/>
      </c>
      <c r="N100" s="33">
        <f>IF(OR($B$98="",7&gt;$C$4),"",N(N99)-N98)</f>
        <v/>
      </c>
      <c r="O100" s="33">
        <f>IF(OR($B$98="",8&gt;$C$4),"",N(O99)-O98)</f>
        <v/>
      </c>
      <c r="P100" s="33">
        <f>IF(OR($B$98="",9&gt;$C$4),"",N(P99)-P98)</f>
        <v/>
      </c>
      <c r="Q100" s="33">
        <f>IF(OR($B$98="",10&gt;$C$4),"",N(Q99)-Q98)</f>
        <v/>
      </c>
      <c r="R100" s="33">
        <f>IF(OR($B$98="",11&gt;$C$4),"",N(R99)-R98)</f>
        <v/>
      </c>
      <c r="S100" s="33">
        <f>IF(OR($B$98="",12&gt;$C$4),"",N(S99)-S98)</f>
        <v/>
      </c>
      <c r="T100" s="33">
        <f>IF($B$98="","",T99-T98)</f>
        <v/>
      </c>
      <c r="U100" s="33">
        <f>IF($B$98="","",U102-U98)</f>
        <v/>
      </c>
      <c r="V100" s="33">
        <f>IF($B$98="","",V102-V98)</f>
        <v/>
      </c>
      <c r="X100" s="22">
        <f>IF($B100="","",IFERROR(INDEX(Cost_Centers!$E:$E,MATCH($B100,Cost_Centers!$A:$A,0)),"(unknown)"))</f>
        <v/>
      </c>
      <c r="Y100" s="22">
        <f>IF($B100="","",IFERROR(INDEX(Cost_Centers!$D:$D,MATCH($B100,Cost_Centers!$A:$A,0)),"(unknown)"))</f>
        <v/>
      </c>
      <c r="Z100" s="22">
        <f>IF(OR($B100="",$G100&lt;&gt;"Variance vs Budget"),"",ABS(N($V100))+ROW()/1000000000)</f>
        <v/>
      </c>
    </row>
    <row r="101">
      <c r="A101" s="13">
        <f>IF(A$98="","",A$98)</f>
        <v/>
      </c>
      <c r="B101" s="13">
        <f>IF(B$98="","",B$98)</f>
        <v/>
      </c>
      <c r="C101" s="13">
        <f>IF(C$98="","",C$98)</f>
        <v/>
      </c>
      <c r="D101" s="13">
        <f>IF(D$98="","",D$98)</f>
        <v/>
      </c>
      <c r="E101" s="13">
        <f>IF(E$98="","",E$98)</f>
        <v/>
      </c>
      <c r="F101" s="13">
        <f>IF(F$98="","",F$98)</f>
        <v/>
      </c>
      <c r="G101" s="7" t="inlineStr">
        <is>
          <t>Forecast (input)</t>
        </is>
      </c>
      <c r="H101" s="34" t="n"/>
      <c r="I101" s="34" t="n"/>
      <c r="J101" s="34" t="n"/>
      <c r="K101" s="34" t="n"/>
      <c r="L101" s="34" t="n"/>
      <c r="M101" s="34" t="n"/>
      <c r="N101" s="34" t="n"/>
      <c r="O101" s="34" t="n"/>
      <c r="P101" s="34" t="n"/>
      <c r="Q101" s="34" t="n"/>
      <c r="R101" s="34" t="n"/>
      <c r="S101" s="34" t="n"/>
      <c r="T101" s="18" t="n"/>
      <c r="U101" s="18" t="n"/>
      <c r="V101" s="18" t="n"/>
      <c r="X101" s="22">
        <f>IF($B101="","",IFERROR(INDEX(Cost_Centers!$E:$E,MATCH($B101,Cost_Centers!$A:$A,0)),"(unknown)"))</f>
        <v/>
      </c>
      <c r="Y101" s="22">
        <f>IF($B101="","",IFERROR(INDEX(Cost_Centers!$D:$D,MATCH($B101,Cost_Centers!$A:$A,0)),"(unknown)"))</f>
        <v/>
      </c>
      <c r="Z101" s="22">
        <f>IF(OR($B101="",$G101&lt;&gt;"Variance vs Budget"),"",ABS(N($V101))+ROW()/1000000000)</f>
        <v/>
      </c>
    </row>
    <row r="102">
      <c r="A102" s="13">
        <f>IF(A$98="","",A$98)</f>
        <v/>
      </c>
      <c r="B102" s="13">
        <f>IF(B$98="","",B$98)</f>
        <v/>
      </c>
      <c r="C102" s="13">
        <f>IF(C$98="","",C$98)</f>
        <v/>
      </c>
      <c r="D102" s="13">
        <f>IF(D$98="","",D$98)</f>
        <v/>
      </c>
      <c r="E102" s="13">
        <f>IF(E$98="","",E$98)</f>
        <v/>
      </c>
      <c r="F102" s="13">
        <f>IF(F$98="","",F$98)</f>
        <v/>
      </c>
      <c r="G102" s="35" t="inlineStr">
        <is>
          <t>Actual + Forecast</t>
        </is>
      </c>
      <c r="H102" s="18">
        <f>IF($B$98="","",IF(1&lt;=$C$4,N(H99),IF(H101="",H98,H101)))</f>
        <v/>
      </c>
      <c r="I102" s="18">
        <f>IF($B$98="","",IF(2&lt;=$C$4,N(I99),IF(I101="",I98,I101)))</f>
        <v/>
      </c>
      <c r="J102" s="18">
        <f>IF($B$98="","",IF(3&lt;=$C$4,N(J99),IF(J101="",J98,J101)))</f>
        <v/>
      </c>
      <c r="K102" s="18">
        <f>IF($B$98="","",IF(4&lt;=$C$4,N(K99),IF(K101="",K98,K101)))</f>
        <v/>
      </c>
      <c r="L102" s="18">
        <f>IF($B$98="","",IF(5&lt;=$C$4,N(L99),IF(L101="",L98,L101)))</f>
        <v/>
      </c>
      <c r="M102" s="18">
        <f>IF($B$98="","",IF(6&lt;=$C$4,N(M99),IF(M101="",M98,M101)))</f>
        <v/>
      </c>
      <c r="N102" s="18">
        <f>IF($B$98="","",IF(7&lt;=$C$4,N(N99),IF(N101="",N98,N101)))</f>
        <v/>
      </c>
      <c r="O102" s="18">
        <f>IF($B$98="","",IF(8&lt;=$C$4,N(O99),IF(O101="",O98,O101)))</f>
        <v/>
      </c>
      <c r="P102" s="18">
        <f>IF($B$98="","",IF(9&lt;=$C$4,N(P99),IF(P101="",P98,P101)))</f>
        <v/>
      </c>
      <c r="Q102" s="18">
        <f>IF($B$98="","",IF(10&lt;=$C$4,N(Q99),IF(Q101="",Q98,Q101)))</f>
        <v/>
      </c>
      <c r="R102" s="18">
        <f>IF($B$98="","",IF(11&lt;=$C$4,N(R99),IF(R101="",R98,R101)))</f>
        <v/>
      </c>
      <c r="S102" s="18">
        <f>IF($B$98="","",IF(12&lt;=$C$4,N(S99),IF(S101="",S98,S101)))</f>
        <v/>
      </c>
      <c r="T102" s="18">
        <f>IF($B$98="","",SUMIF($H$7:$S$7,"&lt;="&amp;$C$4,$H102:$S102))</f>
        <v/>
      </c>
      <c r="U102" s="18">
        <f>IF($B$98="","",SUMIF($H$7:$S$7,"&gt;"&amp;$C$4,$H102:$S102))</f>
        <v/>
      </c>
      <c r="V102" s="18">
        <f>IF($B$98="","",SUM($H102:$S102))</f>
        <v/>
      </c>
      <c r="X102" s="22">
        <f>IF($B102="","",IFERROR(INDEX(Cost_Centers!$E:$E,MATCH($B102,Cost_Centers!$A:$A,0)),"(unknown)"))</f>
        <v/>
      </c>
      <c r="Y102" s="22">
        <f>IF($B102="","",IFERROR(INDEX(Cost_Centers!$D:$D,MATCH($B102,Cost_Centers!$A:$A,0)),"(unknown)"))</f>
        <v/>
      </c>
      <c r="Z102" s="22">
        <f>IF(OR($B102="",$G102&lt;&gt;"Variance vs Budget"),"",ABS(N($V102))+ROW()/1000000000)</f>
        <v/>
      </c>
    </row>
    <row r="103">
      <c r="A103" s="13">
        <f>IF(A$98="","",A$98)</f>
        <v/>
      </c>
      <c r="B103" s="13">
        <f>IF(B$98="","",B$98)</f>
        <v/>
      </c>
      <c r="C103" s="13">
        <f>IF(C$98="","",C$98)</f>
        <v/>
      </c>
      <c r="D103" s="13">
        <f>IF(D$98="","",D$98)</f>
        <v/>
      </c>
      <c r="E103" s="13">
        <f>IF(E$98="","",E$98)</f>
        <v/>
      </c>
      <c r="F103" s="13">
        <f>IF(F$98="","",F$98)</f>
        <v/>
      </c>
      <c r="G103" s="36" t="inlineStr">
        <is>
          <t>Prior Month Forecast</t>
        </is>
      </c>
      <c r="H103" s="37">
        <f>IF($B$98="","",IF(COUNTIFS(Prior_Forecast!$A:$A,$B$98,Prior_Forecast!$B:$B,$D$98)&gt;0,SUMIFS(Prior_Forecast!$C:$C,Prior_Forecast!$A:$A,$B$98,Prior_Forecast!$B:$B,$D$98),""))</f>
        <v/>
      </c>
      <c r="I103" s="37">
        <f>IF($B$98="","",IF(COUNTIFS(Prior_Forecast!$A:$A,$B$98,Prior_Forecast!$B:$B,$D$98)&gt;0,SUMIFS(Prior_Forecast!$D:$D,Prior_Forecast!$A:$A,$B$98,Prior_Forecast!$B:$B,$D$98),""))</f>
        <v/>
      </c>
      <c r="J103" s="37">
        <f>IF($B$98="","",IF(COUNTIFS(Prior_Forecast!$A:$A,$B$98,Prior_Forecast!$B:$B,$D$98)&gt;0,SUMIFS(Prior_Forecast!$E:$E,Prior_Forecast!$A:$A,$B$98,Prior_Forecast!$B:$B,$D$98),""))</f>
        <v/>
      </c>
      <c r="K103" s="37">
        <f>IF($B$98="","",IF(COUNTIFS(Prior_Forecast!$A:$A,$B$98,Prior_Forecast!$B:$B,$D$98)&gt;0,SUMIFS(Prior_Forecast!$F:$F,Prior_Forecast!$A:$A,$B$98,Prior_Forecast!$B:$B,$D$98),""))</f>
        <v/>
      </c>
      <c r="L103" s="37">
        <f>IF($B$98="","",IF(COUNTIFS(Prior_Forecast!$A:$A,$B$98,Prior_Forecast!$B:$B,$D$98)&gt;0,SUMIFS(Prior_Forecast!$G:$G,Prior_Forecast!$A:$A,$B$98,Prior_Forecast!$B:$B,$D$98),""))</f>
        <v/>
      </c>
      <c r="M103" s="37">
        <f>IF($B$98="","",IF(COUNTIFS(Prior_Forecast!$A:$A,$B$98,Prior_Forecast!$B:$B,$D$98)&gt;0,SUMIFS(Prior_Forecast!$H:$H,Prior_Forecast!$A:$A,$B$98,Prior_Forecast!$B:$B,$D$98),""))</f>
        <v/>
      </c>
      <c r="N103" s="37">
        <f>IF($B$98="","",IF(COUNTIFS(Prior_Forecast!$A:$A,$B$98,Prior_Forecast!$B:$B,$D$98)&gt;0,SUMIFS(Prior_Forecast!$I:$I,Prior_Forecast!$A:$A,$B$98,Prior_Forecast!$B:$B,$D$98),""))</f>
        <v/>
      </c>
      <c r="O103" s="37">
        <f>IF($B$98="","",IF(COUNTIFS(Prior_Forecast!$A:$A,$B$98,Prior_Forecast!$B:$B,$D$98)&gt;0,SUMIFS(Prior_Forecast!$J:$J,Prior_Forecast!$A:$A,$B$98,Prior_Forecast!$B:$B,$D$98),""))</f>
        <v/>
      </c>
      <c r="P103" s="37">
        <f>IF($B$98="","",IF(COUNTIFS(Prior_Forecast!$A:$A,$B$98,Prior_Forecast!$B:$B,$D$98)&gt;0,SUMIFS(Prior_Forecast!$K:$K,Prior_Forecast!$A:$A,$B$98,Prior_Forecast!$B:$B,$D$98),""))</f>
        <v/>
      </c>
      <c r="Q103" s="37">
        <f>IF($B$98="","",IF(COUNTIFS(Prior_Forecast!$A:$A,$B$98,Prior_Forecast!$B:$B,$D$98)&gt;0,SUMIFS(Prior_Forecast!$L:$L,Prior_Forecast!$A:$A,$B$98,Prior_Forecast!$B:$B,$D$98),""))</f>
        <v/>
      </c>
      <c r="R103" s="37">
        <f>IF($B$98="","",IF(COUNTIFS(Prior_Forecast!$A:$A,$B$98,Prior_Forecast!$B:$B,$D$98)&gt;0,SUMIFS(Prior_Forecast!$M:$M,Prior_Forecast!$A:$A,$B$98,Prior_Forecast!$B:$B,$D$98),""))</f>
        <v/>
      </c>
      <c r="S103" s="37">
        <f>IF($B$98="","",IF(COUNTIFS(Prior_Forecast!$A:$A,$B$98,Prior_Forecast!$B:$B,$D$98)&gt;0,SUMIFS(Prior_Forecast!$N:$N,Prior_Forecast!$A:$A,$B$98,Prior_Forecast!$B:$B,$D$98),""))</f>
        <v/>
      </c>
      <c r="T103" s="37">
        <f>IF($B$98="","",IF(COUNTIFS(Prior_Forecast!$A:$A,$B$98,Prior_Forecast!$B:$B,$D$98)&gt;0,SUMIFS(Prior_Forecast!$O:$O,Prior_Forecast!$A:$A,$B$98,Prior_Forecast!$B:$B,$D$98),""))</f>
        <v/>
      </c>
      <c r="U103" s="37">
        <f>IF($B$98="","",IF(COUNTIFS(Prior_Forecast!$A:$A,$B$98,Prior_Forecast!$B:$B,$D$98)&gt;0,SUMIFS(Prior_Forecast!$P:$P,Prior_Forecast!$A:$A,$B$98,Prior_Forecast!$B:$B,$D$98),""))</f>
        <v/>
      </c>
      <c r="V103" s="37">
        <f>IF($B$98="","",IF(COUNTIFS(Prior_Forecast!$A:$A,$B$98,Prior_Forecast!$B:$B,$D$98)&gt;0,SUMIFS(Prior_Forecast!$Q:$Q,Prior_Forecast!$A:$A,$B$98,Prior_Forecast!$B:$B,$D$98),""))</f>
        <v/>
      </c>
      <c r="X103" s="22">
        <f>IF($B103="","",IFERROR(INDEX(Cost_Centers!$E:$E,MATCH($B103,Cost_Centers!$A:$A,0)),"(unknown)"))</f>
        <v/>
      </c>
      <c r="Y103" s="22">
        <f>IF($B103="","",IFERROR(INDEX(Cost_Centers!$D:$D,MATCH($B103,Cost_Centers!$A:$A,0)),"(unknown)"))</f>
        <v/>
      </c>
      <c r="Z103" s="22">
        <f>IF(OR($B103="",$G103&lt;&gt;"Variance vs Budget"),"",ABS(N($V103))+ROW()/1000000000)</f>
        <v/>
      </c>
    </row>
    <row r="104">
      <c r="A104" s="13">
        <f>IF(A$98="","",A$98)</f>
        <v/>
      </c>
      <c r="B104" s="13">
        <f>IF(B$98="","",B$98)</f>
        <v/>
      </c>
      <c r="C104" s="13">
        <f>IF(C$98="","",C$98)</f>
        <v/>
      </c>
      <c r="D104" s="13">
        <f>IF(D$98="","",D$98)</f>
        <v/>
      </c>
      <c r="E104" s="13">
        <f>IF(E$98="","",E$98)</f>
        <v/>
      </c>
      <c r="F104" s="13">
        <f>IF(F$98="","",F$98)</f>
        <v/>
      </c>
      <c r="G104" s="6" t="inlineStr">
        <is>
          <t>Variance vs Prior Month</t>
        </is>
      </c>
      <c r="H104" s="33">
        <f>IF(OR($B$98="",H103=""),"",H102-H103)</f>
        <v/>
      </c>
      <c r="I104" s="33">
        <f>IF(OR($B$98="",I103=""),"",I102-I103)</f>
        <v/>
      </c>
      <c r="J104" s="33">
        <f>IF(OR($B$98="",J103=""),"",J102-J103)</f>
        <v/>
      </c>
      <c r="K104" s="33">
        <f>IF(OR($B$98="",K103=""),"",K102-K103)</f>
        <v/>
      </c>
      <c r="L104" s="33">
        <f>IF(OR($B$98="",L103=""),"",L102-L103)</f>
        <v/>
      </c>
      <c r="M104" s="33">
        <f>IF(OR($B$98="",M103=""),"",M102-M103)</f>
        <v/>
      </c>
      <c r="N104" s="33">
        <f>IF(OR($B$98="",N103=""),"",N102-N103)</f>
        <v/>
      </c>
      <c r="O104" s="33">
        <f>IF(OR($B$98="",O103=""),"",O102-O103)</f>
        <v/>
      </c>
      <c r="P104" s="33">
        <f>IF(OR($B$98="",P103=""),"",P102-P103)</f>
        <v/>
      </c>
      <c r="Q104" s="33">
        <f>IF(OR($B$98="",Q103=""),"",Q102-Q103)</f>
        <v/>
      </c>
      <c r="R104" s="33">
        <f>IF(OR($B$98="",R103=""),"",R102-R103)</f>
        <v/>
      </c>
      <c r="S104" s="33">
        <f>IF(OR($B$98="",S103=""),"",S102-S103)</f>
        <v/>
      </c>
      <c r="T104" s="33">
        <f>IF(OR($B$98="",T103=""),"",T102-T103)</f>
        <v/>
      </c>
      <c r="U104" s="33">
        <f>IF(OR($B$98="",U103=""),"",U102-U103)</f>
        <v/>
      </c>
      <c r="V104" s="33">
        <f>IF(OR($B$98="",V103=""),"",V102-V103)</f>
        <v/>
      </c>
      <c r="X104" s="22">
        <f>IF($B104="","",IFERROR(INDEX(Cost_Centers!$E:$E,MATCH($B104,Cost_Centers!$A:$A,0)),"(unknown)"))</f>
        <v/>
      </c>
      <c r="Y104" s="22">
        <f>IF($B104="","",IFERROR(INDEX(Cost_Centers!$D:$D,MATCH($B104,Cost_Centers!$A:$A,0)),"(unknown)"))</f>
        <v/>
      </c>
      <c r="Z104" s="22">
        <f>IF(OR($B104="",$G104&lt;&gt;"Variance vs Budget"),"",ABS(N($V104))+ROW()/1000000000)</f>
        <v/>
      </c>
    </row>
    <row r="105" ht="45" customHeight="1">
      <c r="A105" s="13">
        <f>IF(A$98="","",A$98)</f>
        <v/>
      </c>
      <c r="B105" s="13">
        <f>IF(B$98="","",B$98)</f>
        <v/>
      </c>
      <c r="C105" s="13">
        <f>IF(C$98="","",C$98)</f>
        <v/>
      </c>
      <c r="D105" s="13">
        <f>IF(D$98="","",D$98)</f>
        <v/>
      </c>
      <c r="E105" s="13">
        <f>IF(E$98="","",E$98)</f>
        <v/>
      </c>
      <c r="F105" s="13">
        <f>IF(F$98="","",F$98)</f>
        <v/>
      </c>
      <c r="G105" s="7" t="inlineStr">
        <is>
          <t>Rationale</t>
        </is>
      </c>
      <c r="H105" s="38" t="n"/>
      <c r="I105" s="38" t="n"/>
      <c r="J105" s="38" t="n"/>
      <c r="K105" s="38" t="n"/>
      <c r="L105" s="38" t="n"/>
      <c r="M105" s="38" t="n"/>
      <c r="N105" s="38" t="n"/>
      <c r="O105" s="38" t="n"/>
      <c r="P105" s="38" t="n"/>
      <c r="Q105" s="38" t="n"/>
      <c r="R105" s="38" t="n"/>
      <c r="S105" s="38" t="n"/>
      <c r="T105" s="38" t="n"/>
      <c r="U105" s="38" t="n"/>
      <c r="V105" s="7" t="n"/>
      <c r="X105" s="22">
        <f>IF($B105="","",IFERROR(INDEX(Cost_Centers!$E:$E,MATCH($B105,Cost_Centers!$A:$A,0)),"(unknown)"))</f>
        <v/>
      </c>
      <c r="Y105" s="22">
        <f>IF($B105="","",IFERROR(INDEX(Cost_Centers!$D:$D,MATCH($B105,Cost_Centers!$A:$A,0)),"(unknown)"))</f>
        <v/>
      </c>
      <c r="Z105" s="22">
        <f>IF(OR($B105="",$G105&lt;&gt;"Variance vs Budget"),"",ABS(N($V105))+ROW()/1000000000)</f>
        <v/>
      </c>
    </row>
    <row r="106">
      <c r="A106" s="30">
        <f>IF($D$106="","",LEFT($D$106,FIND("|",$D$106&amp;"|")-1))</f>
        <v/>
      </c>
      <c r="B106" s="31" t="n"/>
      <c r="C106" s="30">
        <f>IF($B$106="","",IFERROR(INDEX(Cost_Centers!$B:$B,MATCH($B$106,Cost_Centers!$A:$A,0)),"(not in master)"))</f>
        <v/>
      </c>
      <c r="D106" s="31" t="n"/>
      <c r="E106" s="30">
        <f>IF($D$106="","",IFERROR(INDEX(Accounts!$D:$D,MATCH($D$106,Accounts!$A:$A,0)),"(not in master)"))</f>
        <v/>
      </c>
      <c r="F106" s="31" t="n"/>
      <c r="G106" s="30" t="inlineStr">
        <is>
          <t>Budget</t>
        </is>
      </c>
      <c r="H106" s="32">
        <f>IF($B$106="","",SUMIFS(Opex_Budget!$O:$O,Opex_Budget!$A:$A,$C$3,Opex_Budget!$E:$E,$B$106,Opex_Budget!$F:$F,$D$106,Opex_Budget!$N:$N,"JPY")*$E$5+SUMIFS(Opex_Budget!$O:$O,Opex_Budget!$A:$A,$C$3,Opex_Budget!$E:$E,$B$106,Opex_Budget!$F:$F,$D$106,Opex_Budget!$N:$N,"USD")*$F$5+SUMIFS(Opex_Budget!$O:$O,Opex_Budget!$A:$A,$C$3,Opex_Budget!$E:$E,$B$106,Opex_Budget!$F:$F,$D$106,Opex_Budget!$N:$N,"EUR")*$G$5+SUMIFS(Opex_Budget!$O:$O,Opex_Budget!$A:$A,$C$3,Opex_Budget!$E:$E,$B$106,Opex_Budget!$F:$F,$D$106,Opex_Budget!$N:$N,"GBP")*$H$5)</f>
        <v/>
      </c>
      <c r="I106" s="32">
        <f>IF($B$106="","",SUMIFS(Opex_Budget!$P:$P,Opex_Budget!$A:$A,$C$3,Opex_Budget!$E:$E,$B$106,Opex_Budget!$F:$F,$D$106,Opex_Budget!$N:$N,"JPY")*$E$5+SUMIFS(Opex_Budget!$P:$P,Opex_Budget!$A:$A,$C$3,Opex_Budget!$E:$E,$B$106,Opex_Budget!$F:$F,$D$106,Opex_Budget!$N:$N,"USD")*$F$5+SUMIFS(Opex_Budget!$P:$P,Opex_Budget!$A:$A,$C$3,Opex_Budget!$E:$E,$B$106,Opex_Budget!$F:$F,$D$106,Opex_Budget!$N:$N,"EUR")*$G$5+SUMIFS(Opex_Budget!$P:$P,Opex_Budget!$A:$A,$C$3,Opex_Budget!$E:$E,$B$106,Opex_Budget!$F:$F,$D$106,Opex_Budget!$N:$N,"GBP")*$H$5)</f>
        <v/>
      </c>
      <c r="J106" s="32">
        <f>IF($B$106="","",SUMIFS(Opex_Budget!$Q:$Q,Opex_Budget!$A:$A,$C$3,Opex_Budget!$E:$E,$B$106,Opex_Budget!$F:$F,$D$106,Opex_Budget!$N:$N,"JPY")*$E$5+SUMIFS(Opex_Budget!$Q:$Q,Opex_Budget!$A:$A,$C$3,Opex_Budget!$E:$E,$B$106,Opex_Budget!$F:$F,$D$106,Opex_Budget!$N:$N,"USD")*$F$5+SUMIFS(Opex_Budget!$Q:$Q,Opex_Budget!$A:$A,$C$3,Opex_Budget!$E:$E,$B$106,Opex_Budget!$F:$F,$D$106,Opex_Budget!$N:$N,"EUR")*$G$5+SUMIFS(Opex_Budget!$Q:$Q,Opex_Budget!$A:$A,$C$3,Opex_Budget!$E:$E,$B$106,Opex_Budget!$F:$F,$D$106,Opex_Budget!$N:$N,"GBP")*$H$5)</f>
        <v/>
      </c>
      <c r="K106" s="32">
        <f>IF($B$106="","",SUMIFS(Opex_Budget!$R:$R,Opex_Budget!$A:$A,$C$3,Opex_Budget!$E:$E,$B$106,Opex_Budget!$F:$F,$D$106,Opex_Budget!$N:$N,"JPY")*$E$5+SUMIFS(Opex_Budget!$R:$R,Opex_Budget!$A:$A,$C$3,Opex_Budget!$E:$E,$B$106,Opex_Budget!$F:$F,$D$106,Opex_Budget!$N:$N,"USD")*$F$5+SUMIFS(Opex_Budget!$R:$R,Opex_Budget!$A:$A,$C$3,Opex_Budget!$E:$E,$B$106,Opex_Budget!$F:$F,$D$106,Opex_Budget!$N:$N,"EUR")*$G$5+SUMIFS(Opex_Budget!$R:$R,Opex_Budget!$A:$A,$C$3,Opex_Budget!$E:$E,$B$106,Opex_Budget!$F:$F,$D$106,Opex_Budget!$N:$N,"GBP")*$H$5)</f>
        <v/>
      </c>
      <c r="L106" s="32">
        <f>IF($B$106="","",SUMIFS(Opex_Budget!$S:$S,Opex_Budget!$A:$A,$C$3,Opex_Budget!$E:$E,$B$106,Opex_Budget!$F:$F,$D$106,Opex_Budget!$N:$N,"JPY")*$E$5+SUMIFS(Opex_Budget!$S:$S,Opex_Budget!$A:$A,$C$3,Opex_Budget!$E:$E,$B$106,Opex_Budget!$F:$F,$D$106,Opex_Budget!$N:$N,"USD")*$F$5+SUMIFS(Opex_Budget!$S:$S,Opex_Budget!$A:$A,$C$3,Opex_Budget!$E:$E,$B$106,Opex_Budget!$F:$F,$D$106,Opex_Budget!$N:$N,"EUR")*$G$5+SUMIFS(Opex_Budget!$S:$S,Opex_Budget!$A:$A,$C$3,Opex_Budget!$E:$E,$B$106,Opex_Budget!$F:$F,$D$106,Opex_Budget!$N:$N,"GBP")*$H$5)</f>
        <v/>
      </c>
      <c r="M106" s="32">
        <f>IF($B$106="","",SUMIFS(Opex_Budget!$T:$T,Opex_Budget!$A:$A,$C$3,Opex_Budget!$E:$E,$B$106,Opex_Budget!$F:$F,$D$106,Opex_Budget!$N:$N,"JPY")*$E$5+SUMIFS(Opex_Budget!$T:$T,Opex_Budget!$A:$A,$C$3,Opex_Budget!$E:$E,$B$106,Opex_Budget!$F:$F,$D$106,Opex_Budget!$N:$N,"USD")*$F$5+SUMIFS(Opex_Budget!$T:$T,Opex_Budget!$A:$A,$C$3,Opex_Budget!$E:$E,$B$106,Opex_Budget!$F:$F,$D$106,Opex_Budget!$N:$N,"EUR")*$G$5+SUMIFS(Opex_Budget!$T:$T,Opex_Budget!$A:$A,$C$3,Opex_Budget!$E:$E,$B$106,Opex_Budget!$F:$F,$D$106,Opex_Budget!$N:$N,"GBP")*$H$5)</f>
        <v/>
      </c>
      <c r="N106" s="32">
        <f>IF($B$106="","",SUMIFS(Opex_Budget!$U:$U,Opex_Budget!$A:$A,$C$3,Opex_Budget!$E:$E,$B$106,Opex_Budget!$F:$F,$D$106,Opex_Budget!$N:$N,"JPY")*$E$5+SUMIFS(Opex_Budget!$U:$U,Opex_Budget!$A:$A,$C$3,Opex_Budget!$E:$E,$B$106,Opex_Budget!$F:$F,$D$106,Opex_Budget!$N:$N,"USD")*$F$5+SUMIFS(Opex_Budget!$U:$U,Opex_Budget!$A:$A,$C$3,Opex_Budget!$E:$E,$B$106,Opex_Budget!$F:$F,$D$106,Opex_Budget!$N:$N,"EUR")*$G$5+SUMIFS(Opex_Budget!$U:$U,Opex_Budget!$A:$A,$C$3,Opex_Budget!$E:$E,$B$106,Opex_Budget!$F:$F,$D$106,Opex_Budget!$N:$N,"GBP")*$H$5)</f>
        <v/>
      </c>
      <c r="O106" s="32">
        <f>IF($B$106="","",SUMIFS(Opex_Budget!$V:$V,Opex_Budget!$A:$A,$C$3,Opex_Budget!$E:$E,$B$106,Opex_Budget!$F:$F,$D$106,Opex_Budget!$N:$N,"JPY")*$E$5+SUMIFS(Opex_Budget!$V:$V,Opex_Budget!$A:$A,$C$3,Opex_Budget!$E:$E,$B$106,Opex_Budget!$F:$F,$D$106,Opex_Budget!$N:$N,"USD")*$F$5+SUMIFS(Opex_Budget!$V:$V,Opex_Budget!$A:$A,$C$3,Opex_Budget!$E:$E,$B$106,Opex_Budget!$F:$F,$D$106,Opex_Budget!$N:$N,"EUR")*$G$5+SUMIFS(Opex_Budget!$V:$V,Opex_Budget!$A:$A,$C$3,Opex_Budget!$E:$E,$B$106,Opex_Budget!$F:$F,$D$106,Opex_Budget!$N:$N,"GBP")*$H$5)</f>
        <v/>
      </c>
      <c r="P106" s="32">
        <f>IF($B$106="","",SUMIFS(Opex_Budget!$W:$W,Opex_Budget!$A:$A,$C$3,Opex_Budget!$E:$E,$B$106,Opex_Budget!$F:$F,$D$106,Opex_Budget!$N:$N,"JPY")*$E$5+SUMIFS(Opex_Budget!$W:$W,Opex_Budget!$A:$A,$C$3,Opex_Budget!$E:$E,$B$106,Opex_Budget!$F:$F,$D$106,Opex_Budget!$N:$N,"USD")*$F$5+SUMIFS(Opex_Budget!$W:$W,Opex_Budget!$A:$A,$C$3,Opex_Budget!$E:$E,$B$106,Opex_Budget!$F:$F,$D$106,Opex_Budget!$N:$N,"EUR")*$G$5+SUMIFS(Opex_Budget!$W:$W,Opex_Budget!$A:$A,$C$3,Opex_Budget!$E:$E,$B$106,Opex_Budget!$F:$F,$D$106,Opex_Budget!$N:$N,"GBP")*$H$5)</f>
        <v/>
      </c>
      <c r="Q106" s="32">
        <f>IF($B$106="","",SUMIFS(Opex_Budget!$X:$X,Opex_Budget!$A:$A,$C$3,Opex_Budget!$E:$E,$B$106,Opex_Budget!$F:$F,$D$106,Opex_Budget!$N:$N,"JPY")*$E$5+SUMIFS(Opex_Budget!$X:$X,Opex_Budget!$A:$A,$C$3,Opex_Budget!$E:$E,$B$106,Opex_Budget!$F:$F,$D$106,Opex_Budget!$N:$N,"USD")*$F$5+SUMIFS(Opex_Budget!$X:$X,Opex_Budget!$A:$A,$C$3,Opex_Budget!$E:$E,$B$106,Opex_Budget!$F:$F,$D$106,Opex_Budget!$N:$N,"EUR")*$G$5+SUMIFS(Opex_Budget!$X:$X,Opex_Budget!$A:$A,$C$3,Opex_Budget!$E:$E,$B$106,Opex_Budget!$F:$F,$D$106,Opex_Budget!$N:$N,"GBP")*$H$5)</f>
        <v/>
      </c>
      <c r="R106" s="32">
        <f>IF($B$106="","",SUMIFS(Opex_Budget!$Y:$Y,Opex_Budget!$A:$A,$C$3,Opex_Budget!$E:$E,$B$106,Opex_Budget!$F:$F,$D$106,Opex_Budget!$N:$N,"JPY")*$E$5+SUMIFS(Opex_Budget!$Y:$Y,Opex_Budget!$A:$A,$C$3,Opex_Budget!$E:$E,$B$106,Opex_Budget!$F:$F,$D$106,Opex_Budget!$N:$N,"USD")*$F$5+SUMIFS(Opex_Budget!$Y:$Y,Opex_Budget!$A:$A,$C$3,Opex_Budget!$E:$E,$B$106,Opex_Budget!$F:$F,$D$106,Opex_Budget!$N:$N,"EUR")*$G$5+SUMIFS(Opex_Budget!$Y:$Y,Opex_Budget!$A:$A,$C$3,Opex_Budget!$E:$E,$B$106,Opex_Budget!$F:$F,$D$106,Opex_Budget!$N:$N,"GBP")*$H$5)</f>
        <v/>
      </c>
      <c r="S106" s="32">
        <f>IF($B$106="","",SUMIFS(Opex_Budget!$Z:$Z,Opex_Budget!$A:$A,$C$3,Opex_Budget!$E:$E,$B$106,Opex_Budget!$F:$F,$D$106,Opex_Budget!$N:$N,"JPY")*$E$5+SUMIFS(Opex_Budget!$Z:$Z,Opex_Budget!$A:$A,$C$3,Opex_Budget!$E:$E,$B$106,Opex_Budget!$F:$F,$D$106,Opex_Budget!$N:$N,"USD")*$F$5+SUMIFS(Opex_Budget!$Z:$Z,Opex_Budget!$A:$A,$C$3,Opex_Budget!$E:$E,$B$106,Opex_Budget!$F:$F,$D$106,Opex_Budget!$N:$N,"EUR")*$G$5+SUMIFS(Opex_Budget!$Z:$Z,Opex_Budget!$A:$A,$C$3,Opex_Budget!$E:$E,$B$106,Opex_Budget!$F:$F,$D$106,Opex_Budget!$N:$N,"GBP")*$H$5)</f>
        <v/>
      </c>
      <c r="T106" s="32">
        <f>IF($B$106="","",SUMIF($H$7:$S$7,"&lt;="&amp;$C$4,$H106:$S106))</f>
        <v/>
      </c>
      <c r="U106" s="32">
        <f>IF($B$106="","",SUMIF($H$7:$S$7,"&gt;"&amp;$C$4,$H106:$S106))</f>
        <v/>
      </c>
      <c r="V106" s="32">
        <f>IF($B$106="","",SUM($H106:$S106))</f>
        <v/>
      </c>
      <c r="X106" s="22">
        <f>IF($B106="","",IFERROR(INDEX(Cost_Centers!$E:$E,MATCH($B106,Cost_Centers!$A:$A,0)),"(unknown)"))</f>
        <v/>
      </c>
      <c r="Y106" s="22">
        <f>IF($B106="","",IFERROR(INDEX(Cost_Centers!$D:$D,MATCH($B106,Cost_Centers!$A:$A,0)),"(unknown)"))</f>
        <v/>
      </c>
      <c r="Z106" s="22">
        <f>IF(OR($B106="",$G106&lt;&gt;"Variance vs Budget"),"",ABS(N($V106))+ROW()/1000000000)</f>
        <v/>
      </c>
    </row>
    <row r="107">
      <c r="A107" s="13">
        <f>IF(A$106="","",A$106)</f>
        <v/>
      </c>
      <c r="B107" s="13">
        <f>IF(B$106="","",B$106)</f>
        <v/>
      </c>
      <c r="C107" s="13">
        <f>IF(C$106="","",C$106)</f>
        <v/>
      </c>
      <c r="D107" s="13">
        <f>IF(D$106="","",D$106)</f>
        <v/>
      </c>
      <c r="E107" s="13">
        <f>IF(E$106="","",E$106)</f>
        <v/>
      </c>
      <c r="F107" s="13">
        <f>IF(F$106="","",F$106)</f>
        <v/>
      </c>
      <c r="G107" s="7" t="inlineStr">
        <is>
          <t>Actual</t>
        </is>
      </c>
      <c r="H107" s="18">
        <f>IF(OR($B$106="",1&gt;$C$4),"",SUMIFS(Actuals!$G:$G,Actuals!$B:$B,$C$3,Actuals!$C:$C,1,Actuals!$D:$D,$B$106,Actuals!$A:$A,LEFT($D$106,FIND("|",$D$106&amp;"|")-1),Actuals!$E:$E,MID($D$106,FIND("|",$D$106&amp;"|")+1,50),Actuals!$F:$F,"JPY")*$E$5+SUMIFS(Actuals!$G:$G,Actuals!$B:$B,$C$3,Actuals!$C:$C,1,Actuals!$D:$D,$B$106,Actuals!$A:$A,LEFT($D$106,FIND("|",$D$106&amp;"|")-1),Actuals!$E:$E,MID($D$106,FIND("|",$D$106&amp;"|")+1,50),Actuals!$F:$F,"USD")*$F$5+SUMIFS(Actuals!$G:$G,Actuals!$B:$B,$C$3,Actuals!$C:$C,1,Actuals!$D:$D,$B$106,Actuals!$A:$A,LEFT($D$106,FIND("|",$D$106&amp;"|")-1),Actuals!$E:$E,MID($D$106,FIND("|",$D$106&amp;"|")+1,50),Actuals!$F:$F,"EUR")*$G$5+SUMIFS(Actuals!$G:$G,Actuals!$B:$B,$C$3,Actuals!$C:$C,1,Actuals!$D:$D,$B$106,Actuals!$A:$A,LEFT($D$106,FIND("|",$D$106&amp;"|")-1),Actuals!$E:$E,MID($D$106,FIND("|",$D$106&amp;"|")+1,50),Actuals!$F:$F,"GBP")*$H$5)</f>
        <v/>
      </c>
      <c r="I107" s="18">
        <f>IF(OR($B$106="",2&gt;$C$4),"",SUMIFS(Actuals!$G:$G,Actuals!$B:$B,$C$3,Actuals!$C:$C,2,Actuals!$D:$D,$B$106,Actuals!$A:$A,LEFT($D$106,FIND("|",$D$106&amp;"|")-1),Actuals!$E:$E,MID($D$106,FIND("|",$D$106&amp;"|")+1,50),Actuals!$F:$F,"JPY")*$E$5+SUMIFS(Actuals!$G:$G,Actuals!$B:$B,$C$3,Actuals!$C:$C,2,Actuals!$D:$D,$B$106,Actuals!$A:$A,LEFT($D$106,FIND("|",$D$106&amp;"|")-1),Actuals!$E:$E,MID($D$106,FIND("|",$D$106&amp;"|")+1,50),Actuals!$F:$F,"USD")*$F$5+SUMIFS(Actuals!$G:$G,Actuals!$B:$B,$C$3,Actuals!$C:$C,2,Actuals!$D:$D,$B$106,Actuals!$A:$A,LEFT($D$106,FIND("|",$D$106&amp;"|")-1),Actuals!$E:$E,MID($D$106,FIND("|",$D$106&amp;"|")+1,50),Actuals!$F:$F,"EUR")*$G$5+SUMIFS(Actuals!$G:$G,Actuals!$B:$B,$C$3,Actuals!$C:$C,2,Actuals!$D:$D,$B$106,Actuals!$A:$A,LEFT($D$106,FIND("|",$D$106&amp;"|")-1),Actuals!$E:$E,MID($D$106,FIND("|",$D$106&amp;"|")+1,50),Actuals!$F:$F,"GBP")*$H$5)</f>
        <v/>
      </c>
      <c r="J107" s="18">
        <f>IF(OR($B$106="",3&gt;$C$4),"",SUMIFS(Actuals!$G:$G,Actuals!$B:$B,$C$3,Actuals!$C:$C,3,Actuals!$D:$D,$B$106,Actuals!$A:$A,LEFT($D$106,FIND("|",$D$106&amp;"|")-1),Actuals!$E:$E,MID($D$106,FIND("|",$D$106&amp;"|")+1,50),Actuals!$F:$F,"JPY")*$E$5+SUMIFS(Actuals!$G:$G,Actuals!$B:$B,$C$3,Actuals!$C:$C,3,Actuals!$D:$D,$B$106,Actuals!$A:$A,LEFT($D$106,FIND("|",$D$106&amp;"|")-1),Actuals!$E:$E,MID($D$106,FIND("|",$D$106&amp;"|")+1,50),Actuals!$F:$F,"USD")*$F$5+SUMIFS(Actuals!$G:$G,Actuals!$B:$B,$C$3,Actuals!$C:$C,3,Actuals!$D:$D,$B$106,Actuals!$A:$A,LEFT($D$106,FIND("|",$D$106&amp;"|")-1),Actuals!$E:$E,MID($D$106,FIND("|",$D$106&amp;"|")+1,50),Actuals!$F:$F,"EUR")*$G$5+SUMIFS(Actuals!$G:$G,Actuals!$B:$B,$C$3,Actuals!$C:$C,3,Actuals!$D:$D,$B$106,Actuals!$A:$A,LEFT($D$106,FIND("|",$D$106&amp;"|")-1),Actuals!$E:$E,MID($D$106,FIND("|",$D$106&amp;"|")+1,50),Actuals!$F:$F,"GBP")*$H$5)</f>
        <v/>
      </c>
      <c r="K107" s="18">
        <f>IF(OR($B$106="",4&gt;$C$4),"",SUMIFS(Actuals!$G:$G,Actuals!$B:$B,$C$3,Actuals!$C:$C,4,Actuals!$D:$D,$B$106,Actuals!$A:$A,LEFT($D$106,FIND("|",$D$106&amp;"|")-1),Actuals!$E:$E,MID($D$106,FIND("|",$D$106&amp;"|")+1,50),Actuals!$F:$F,"JPY")*$E$5+SUMIFS(Actuals!$G:$G,Actuals!$B:$B,$C$3,Actuals!$C:$C,4,Actuals!$D:$D,$B$106,Actuals!$A:$A,LEFT($D$106,FIND("|",$D$106&amp;"|")-1),Actuals!$E:$E,MID($D$106,FIND("|",$D$106&amp;"|")+1,50),Actuals!$F:$F,"USD")*$F$5+SUMIFS(Actuals!$G:$G,Actuals!$B:$B,$C$3,Actuals!$C:$C,4,Actuals!$D:$D,$B$106,Actuals!$A:$A,LEFT($D$106,FIND("|",$D$106&amp;"|")-1),Actuals!$E:$E,MID($D$106,FIND("|",$D$106&amp;"|")+1,50),Actuals!$F:$F,"EUR")*$G$5+SUMIFS(Actuals!$G:$G,Actuals!$B:$B,$C$3,Actuals!$C:$C,4,Actuals!$D:$D,$B$106,Actuals!$A:$A,LEFT($D$106,FIND("|",$D$106&amp;"|")-1),Actuals!$E:$E,MID($D$106,FIND("|",$D$106&amp;"|")+1,50),Actuals!$F:$F,"GBP")*$H$5)</f>
        <v/>
      </c>
      <c r="L107" s="18">
        <f>IF(OR($B$106="",5&gt;$C$4),"",SUMIFS(Actuals!$G:$G,Actuals!$B:$B,$C$3,Actuals!$C:$C,5,Actuals!$D:$D,$B$106,Actuals!$A:$A,LEFT($D$106,FIND("|",$D$106&amp;"|")-1),Actuals!$E:$E,MID($D$106,FIND("|",$D$106&amp;"|")+1,50),Actuals!$F:$F,"JPY")*$E$5+SUMIFS(Actuals!$G:$G,Actuals!$B:$B,$C$3,Actuals!$C:$C,5,Actuals!$D:$D,$B$106,Actuals!$A:$A,LEFT($D$106,FIND("|",$D$106&amp;"|")-1),Actuals!$E:$E,MID($D$106,FIND("|",$D$106&amp;"|")+1,50),Actuals!$F:$F,"USD")*$F$5+SUMIFS(Actuals!$G:$G,Actuals!$B:$B,$C$3,Actuals!$C:$C,5,Actuals!$D:$D,$B$106,Actuals!$A:$A,LEFT($D$106,FIND("|",$D$106&amp;"|")-1),Actuals!$E:$E,MID($D$106,FIND("|",$D$106&amp;"|")+1,50),Actuals!$F:$F,"EUR")*$G$5+SUMIFS(Actuals!$G:$G,Actuals!$B:$B,$C$3,Actuals!$C:$C,5,Actuals!$D:$D,$B$106,Actuals!$A:$A,LEFT($D$106,FIND("|",$D$106&amp;"|")-1),Actuals!$E:$E,MID($D$106,FIND("|",$D$106&amp;"|")+1,50),Actuals!$F:$F,"GBP")*$H$5)</f>
        <v/>
      </c>
      <c r="M107" s="18">
        <f>IF(OR($B$106="",6&gt;$C$4),"",SUMIFS(Actuals!$G:$G,Actuals!$B:$B,$C$3,Actuals!$C:$C,6,Actuals!$D:$D,$B$106,Actuals!$A:$A,LEFT($D$106,FIND("|",$D$106&amp;"|")-1),Actuals!$E:$E,MID($D$106,FIND("|",$D$106&amp;"|")+1,50),Actuals!$F:$F,"JPY")*$E$5+SUMIFS(Actuals!$G:$G,Actuals!$B:$B,$C$3,Actuals!$C:$C,6,Actuals!$D:$D,$B$106,Actuals!$A:$A,LEFT($D$106,FIND("|",$D$106&amp;"|")-1),Actuals!$E:$E,MID($D$106,FIND("|",$D$106&amp;"|")+1,50),Actuals!$F:$F,"USD")*$F$5+SUMIFS(Actuals!$G:$G,Actuals!$B:$B,$C$3,Actuals!$C:$C,6,Actuals!$D:$D,$B$106,Actuals!$A:$A,LEFT($D$106,FIND("|",$D$106&amp;"|")-1),Actuals!$E:$E,MID($D$106,FIND("|",$D$106&amp;"|")+1,50),Actuals!$F:$F,"EUR")*$G$5+SUMIFS(Actuals!$G:$G,Actuals!$B:$B,$C$3,Actuals!$C:$C,6,Actuals!$D:$D,$B$106,Actuals!$A:$A,LEFT($D$106,FIND("|",$D$106&amp;"|")-1),Actuals!$E:$E,MID($D$106,FIND("|",$D$106&amp;"|")+1,50),Actuals!$F:$F,"GBP")*$H$5)</f>
        <v/>
      </c>
      <c r="N107" s="18">
        <f>IF(OR($B$106="",7&gt;$C$4),"",SUMIFS(Actuals!$G:$G,Actuals!$B:$B,$C$3,Actuals!$C:$C,7,Actuals!$D:$D,$B$106,Actuals!$A:$A,LEFT($D$106,FIND("|",$D$106&amp;"|")-1),Actuals!$E:$E,MID($D$106,FIND("|",$D$106&amp;"|")+1,50),Actuals!$F:$F,"JPY")*$E$5+SUMIFS(Actuals!$G:$G,Actuals!$B:$B,$C$3,Actuals!$C:$C,7,Actuals!$D:$D,$B$106,Actuals!$A:$A,LEFT($D$106,FIND("|",$D$106&amp;"|")-1),Actuals!$E:$E,MID($D$106,FIND("|",$D$106&amp;"|")+1,50),Actuals!$F:$F,"USD")*$F$5+SUMIFS(Actuals!$G:$G,Actuals!$B:$B,$C$3,Actuals!$C:$C,7,Actuals!$D:$D,$B$106,Actuals!$A:$A,LEFT($D$106,FIND("|",$D$106&amp;"|")-1),Actuals!$E:$E,MID($D$106,FIND("|",$D$106&amp;"|")+1,50),Actuals!$F:$F,"EUR")*$G$5+SUMIFS(Actuals!$G:$G,Actuals!$B:$B,$C$3,Actuals!$C:$C,7,Actuals!$D:$D,$B$106,Actuals!$A:$A,LEFT($D$106,FIND("|",$D$106&amp;"|")-1),Actuals!$E:$E,MID($D$106,FIND("|",$D$106&amp;"|")+1,50),Actuals!$F:$F,"GBP")*$H$5)</f>
        <v/>
      </c>
      <c r="O107" s="18">
        <f>IF(OR($B$106="",8&gt;$C$4),"",SUMIFS(Actuals!$G:$G,Actuals!$B:$B,$C$3,Actuals!$C:$C,8,Actuals!$D:$D,$B$106,Actuals!$A:$A,LEFT($D$106,FIND("|",$D$106&amp;"|")-1),Actuals!$E:$E,MID($D$106,FIND("|",$D$106&amp;"|")+1,50),Actuals!$F:$F,"JPY")*$E$5+SUMIFS(Actuals!$G:$G,Actuals!$B:$B,$C$3,Actuals!$C:$C,8,Actuals!$D:$D,$B$106,Actuals!$A:$A,LEFT($D$106,FIND("|",$D$106&amp;"|")-1),Actuals!$E:$E,MID($D$106,FIND("|",$D$106&amp;"|")+1,50),Actuals!$F:$F,"USD")*$F$5+SUMIFS(Actuals!$G:$G,Actuals!$B:$B,$C$3,Actuals!$C:$C,8,Actuals!$D:$D,$B$106,Actuals!$A:$A,LEFT($D$106,FIND("|",$D$106&amp;"|")-1),Actuals!$E:$E,MID($D$106,FIND("|",$D$106&amp;"|")+1,50),Actuals!$F:$F,"EUR")*$G$5+SUMIFS(Actuals!$G:$G,Actuals!$B:$B,$C$3,Actuals!$C:$C,8,Actuals!$D:$D,$B$106,Actuals!$A:$A,LEFT($D$106,FIND("|",$D$106&amp;"|")-1),Actuals!$E:$E,MID($D$106,FIND("|",$D$106&amp;"|")+1,50),Actuals!$F:$F,"GBP")*$H$5)</f>
        <v/>
      </c>
      <c r="P107" s="18">
        <f>IF(OR($B$106="",9&gt;$C$4),"",SUMIFS(Actuals!$G:$G,Actuals!$B:$B,$C$3,Actuals!$C:$C,9,Actuals!$D:$D,$B$106,Actuals!$A:$A,LEFT($D$106,FIND("|",$D$106&amp;"|")-1),Actuals!$E:$E,MID($D$106,FIND("|",$D$106&amp;"|")+1,50),Actuals!$F:$F,"JPY")*$E$5+SUMIFS(Actuals!$G:$G,Actuals!$B:$B,$C$3,Actuals!$C:$C,9,Actuals!$D:$D,$B$106,Actuals!$A:$A,LEFT($D$106,FIND("|",$D$106&amp;"|")-1),Actuals!$E:$E,MID($D$106,FIND("|",$D$106&amp;"|")+1,50),Actuals!$F:$F,"USD")*$F$5+SUMIFS(Actuals!$G:$G,Actuals!$B:$B,$C$3,Actuals!$C:$C,9,Actuals!$D:$D,$B$106,Actuals!$A:$A,LEFT($D$106,FIND("|",$D$106&amp;"|")-1),Actuals!$E:$E,MID($D$106,FIND("|",$D$106&amp;"|")+1,50),Actuals!$F:$F,"EUR")*$G$5+SUMIFS(Actuals!$G:$G,Actuals!$B:$B,$C$3,Actuals!$C:$C,9,Actuals!$D:$D,$B$106,Actuals!$A:$A,LEFT($D$106,FIND("|",$D$106&amp;"|")-1),Actuals!$E:$E,MID($D$106,FIND("|",$D$106&amp;"|")+1,50),Actuals!$F:$F,"GBP")*$H$5)</f>
        <v/>
      </c>
      <c r="Q107" s="18">
        <f>IF(OR($B$106="",10&gt;$C$4),"",SUMIFS(Actuals!$G:$G,Actuals!$B:$B,$C$3,Actuals!$C:$C,10,Actuals!$D:$D,$B$106,Actuals!$A:$A,LEFT($D$106,FIND("|",$D$106&amp;"|")-1),Actuals!$E:$E,MID($D$106,FIND("|",$D$106&amp;"|")+1,50),Actuals!$F:$F,"JPY")*$E$5+SUMIFS(Actuals!$G:$G,Actuals!$B:$B,$C$3,Actuals!$C:$C,10,Actuals!$D:$D,$B$106,Actuals!$A:$A,LEFT($D$106,FIND("|",$D$106&amp;"|")-1),Actuals!$E:$E,MID($D$106,FIND("|",$D$106&amp;"|")+1,50),Actuals!$F:$F,"USD")*$F$5+SUMIFS(Actuals!$G:$G,Actuals!$B:$B,$C$3,Actuals!$C:$C,10,Actuals!$D:$D,$B$106,Actuals!$A:$A,LEFT($D$106,FIND("|",$D$106&amp;"|")-1),Actuals!$E:$E,MID($D$106,FIND("|",$D$106&amp;"|")+1,50),Actuals!$F:$F,"EUR")*$G$5+SUMIFS(Actuals!$G:$G,Actuals!$B:$B,$C$3,Actuals!$C:$C,10,Actuals!$D:$D,$B$106,Actuals!$A:$A,LEFT($D$106,FIND("|",$D$106&amp;"|")-1),Actuals!$E:$E,MID($D$106,FIND("|",$D$106&amp;"|")+1,50),Actuals!$F:$F,"GBP")*$H$5)</f>
        <v/>
      </c>
      <c r="R107" s="18">
        <f>IF(OR($B$106="",11&gt;$C$4),"",SUMIFS(Actuals!$G:$G,Actuals!$B:$B,$C$3,Actuals!$C:$C,11,Actuals!$D:$D,$B$106,Actuals!$A:$A,LEFT($D$106,FIND("|",$D$106&amp;"|")-1),Actuals!$E:$E,MID($D$106,FIND("|",$D$106&amp;"|")+1,50),Actuals!$F:$F,"JPY")*$E$5+SUMIFS(Actuals!$G:$G,Actuals!$B:$B,$C$3,Actuals!$C:$C,11,Actuals!$D:$D,$B$106,Actuals!$A:$A,LEFT($D$106,FIND("|",$D$106&amp;"|")-1),Actuals!$E:$E,MID($D$106,FIND("|",$D$106&amp;"|")+1,50),Actuals!$F:$F,"USD")*$F$5+SUMIFS(Actuals!$G:$G,Actuals!$B:$B,$C$3,Actuals!$C:$C,11,Actuals!$D:$D,$B$106,Actuals!$A:$A,LEFT($D$106,FIND("|",$D$106&amp;"|")-1),Actuals!$E:$E,MID($D$106,FIND("|",$D$106&amp;"|")+1,50),Actuals!$F:$F,"EUR")*$G$5+SUMIFS(Actuals!$G:$G,Actuals!$B:$B,$C$3,Actuals!$C:$C,11,Actuals!$D:$D,$B$106,Actuals!$A:$A,LEFT($D$106,FIND("|",$D$106&amp;"|")-1),Actuals!$E:$E,MID($D$106,FIND("|",$D$106&amp;"|")+1,50),Actuals!$F:$F,"GBP")*$H$5)</f>
        <v/>
      </c>
      <c r="S107" s="18">
        <f>IF(OR($B$106="",12&gt;$C$4),"",SUMIFS(Actuals!$G:$G,Actuals!$B:$B,$C$3,Actuals!$C:$C,12,Actuals!$D:$D,$B$106,Actuals!$A:$A,LEFT($D$106,FIND("|",$D$106&amp;"|")-1),Actuals!$E:$E,MID($D$106,FIND("|",$D$106&amp;"|")+1,50),Actuals!$F:$F,"JPY")*$E$5+SUMIFS(Actuals!$G:$G,Actuals!$B:$B,$C$3,Actuals!$C:$C,12,Actuals!$D:$D,$B$106,Actuals!$A:$A,LEFT($D$106,FIND("|",$D$106&amp;"|")-1),Actuals!$E:$E,MID($D$106,FIND("|",$D$106&amp;"|")+1,50),Actuals!$F:$F,"USD")*$F$5+SUMIFS(Actuals!$G:$G,Actuals!$B:$B,$C$3,Actuals!$C:$C,12,Actuals!$D:$D,$B$106,Actuals!$A:$A,LEFT($D$106,FIND("|",$D$106&amp;"|")-1),Actuals!$E:$E,MID($D$106,FIND("|",$D$106&amp;"|")+1,50),Actuals!$F:$F,"EUR")*$G$5+SUMIFS(Actuals!$G:$G,Actuals!$B:$B,$C$3,Actuals!$C:$C,12,Actuals!$D:$D,$B$106,Actuals!$A:$A,LEFT($D$106,FIND("|",$D$106&amp;"|")-1),Actuals!$E:$E,MID($D$106,FIND("|",$D$106&amp;"|")+1,50),Actuals!$F:$F,"GBP")*$H$5)</f>
        <v/>
      </c>
      <c r="T107" s="18">
        <f>IF($B$106="","",SUMIF($H$7:$S$7,"&lt;="&amp;$C$4,$H107:$S107))</f>
        <v/>
      </c>
      <c r="U107" s="18" t="n"/>
      <c r="V107" s="18" t="n"/>
      <c r="X107" s="22">
        <f>IF($B107="","",IFERROR(INDEX(Cost_Centers!$E:$E,MATCH($B107,Cost_Centers!$A:$A,0)),"(unknown)"))</f>
        <v/>
      </c>
      <c r="Y107" s="22">
        <f>IF($B107="","",IFERROR(INDEX(Cost_Centers!$D:$D,MATCH($B107,Cost_Centers!$A:$A,0)),"(unknown)"))</f>
        <v/>
      </c>
      <c r="Z107" s="22">
        <f>IF(OR($B107="",$G107&lt;&gt;"Variance vs Budget"),"",ABS(N($V107))+ROW()/1000000000)</f>
        <v/>
      </c>
    </row>
    <row r="108">
      <c r="A108" s="13">
        <f>IF(A$106="","",A$106)</f>
        <v/>
      </c>
      <c r="B108" s="13">
        <f>IF(B$106="","",B$106)</f>
        <v/>
      </c>
      <c r="C108" s="13">
        <f>IF(C$106="","",C$106)</f>
        <v/>
      </c>
      <c r="D108" s="13">
        <f>IF(D$106="","",D$106)</f>
        <v/>
      </c>
      <c r="E108" s="13">
        <f>IF(E$106="","",E$106)</f>
        <v/>
      </c>
      <c r="F108" s="13">
        <f>IF(F$106="","",F$106)</f>
        <v/>
      </c>
      <c r="G108" s="6" t="inlineStr">
        <is>
          <t>Variance vs Budget</t>
        </is>
      </c>
      <c r="H108" s="33">
        <f>IF(OR($B$106="",1&gt;$C$4),"",N(H107)-H106)</f>
        <v/>
      </c>
      <c r="I108" s="33">
        <f>IF(OR($B$106="",2&gt;$C$4),"",N(I107)-I106)</f>
        <v/>
      </c>
      <c r="J108" s="33">
        <f>IF(OR($B$106="",3&gt;$C$4),"",N(J107)-J106)</f>
        <v/>
      </c>
      <c r="K108" s="33">
        <f>IF(OR($B$106="",4&gt;$C$4),"",N(K107)-K106)</f>
        <v/>
      </c>
      <c r="L108" s="33">
        <f>IF(OR($B$106="",5&gt;$C$4),"",N(L107)-L106)</f>
        <v/>
      </c>
      <c r="M108" s="33">
        <f>IF(OR($B$106="",6&gt;$C$4),"",N(M107)-M106)</f>
        <v/>
      </c>
      <c r="N108" s="33">
        <f>IF(OR($B$106="",7&gt;$C$4),"",N(N107)-N106)</f>
        <v/>
      </c>
      <c r="O108" s="33">
        <f>IF(OR($B$106="",8&gt;$C$4),"",N(O107)-O106)</f>
        <v/>
      </c>
      <c r="P108" s="33">
        <f>IF(OR($B$106="",9&gt;$C$4),"",N(P107)-P106)</f>
        <v/>
      </c>
      <c r="Q108" s="33">
        <f>IF(OR($B$106="",10&gt;$C$4),"",N(Q107)-Q106)</f>
        <v/>
      </c>
      <c r="R108" s="33">
        <f>IF(OR($B$106="",11&gt;$C$4),"",N(R107)-R106)</f>
        <v/>
      </c>
      <c r="S108" s="33">
        <f>IF(OR($B$106="",12&gt;$C$4),"",N(S107)-S106)</f>
        <v/>
      </c>
      <c r="T108" s="33">
        <f>IF($B$106="","",T107-T106)</f>
        <v/>
      </c>
      <c r="U108" s="33">
        <f>IF($B$106="","",U110-U106)</f>
        <v/>
      </c>
      <c r="V108" s="33">
        <f>IF($B$106="","",V110-V106)</f>
        <v/>
      </c>
      <c r="X108" s="22">
        <f>IF($B108="","",IFERROR(INDEX(Cost_Centers!$E:$E,MATCH($B108,Cost_Centers!$A:$A,0)),"(unknown)"))</f>
        <v/>
      </c>
      <c r="Y108" s="22">
        <f>IF($B108="","",IFERROR(INDEX(Cost_Centers!$D:$D,MATCH($B108,Cost_Centers!$A:$A,0)),"(unknown)"))</f>
        <v/>
      </c>
      <c r="Z108" s="22">
        <f>IF(OR($B108="",$G108&lt;&gt;"Variance vs Budget"),"",ABS(N($V108))+ROW()/1000000000)</f>
        <v/>
      </c>
    </row>
    <row r="109">
      <c r="A109" s="13">
        <f>IF(A$106="","",A$106)</f>
        <v/>
      </c>
      <c r="B109" s="13">
        <f>IF(B$106="","",B$106)</f>
        <v/>
      </c>
      <c r="C109" s="13">
        <f>IF(C$106="","",C$106)</f>
        <v/>
      </c>
      <c r="D109" s="13">
        <f>IF(D$106="","",D$106)</f>
        <v/>
      </c>
      <c r="E109" s="13">
        <f>IF(E$106="","",E$106)</f>
        <v/>
      </c>
      <c r="F109" s="13">
        <f>IF(F$106="","",F$106)</f>
        <v/>
      </c>
      <c r="G109" s="7" t="inlineStr">
        <is>
          <t>Forecast (input)</t>
        </is>
      </c>
      <c r="H109" s="34" t="n"/>
      <c r="I109" s="34" t="n"/>
      <c r="J109" s="34" t="n"/>
      <c r="K109" s="34" t="n"/>
      <c r="L109" s="34" t="n"/>
      <c r="M109" s="34" t="n"/>
      <c r="N109" s="34" t="n"/>
      <c r="O109" s="34" t="n"/>
      <c r="P109" s="34" t="n"/>
      <c r="Q109" s="34" t="n"/>
      <c r="R109" s="34" t="n"/>
      <c r="S109" s="34" t="n"/>
      <c r="T109" s="18" t="n"/>
      <c r="U109" s="18" t="n"/>
      <c r="V109" s="18" t="n"/>
      <c r="X109" s="22">
        <f>IF($B109="","",IFERROR(INDEX(Cost_Centers!$E:$E,MATCH($B109,Cost_Centers!$A:$A,0)),"(unknown)"))</f>
        <v/>
      </c>
      <c r="Y109" s="22">
        <f>IF($B109="","",IFERROR(INDEX(Cost_Centers!$D:$D,MATCH($B109,Cost_Centers!$A:$A,0)),"(unknown)"))</f>
        <v/>
      </c>
      <c r="Z109" s="22">
        <f>IF(OR($B109="",$G109&lt;&gt;"Variance vs Budget"),"",ABS(N($V109))+ROW()/1000000000)</f>
        <v/>
      </c>
    </row>
    <row r="110">
      <c r="A110" s="13">
        <f>IF(A$106="","",A$106)</f>
        <v/>
      </c>
      <c r="B110" s="13">
        <f>IF(B$106="","",B$106)</f>
        <v/>
      </c>
      <c r="C110" s="13">
        <f>IF(C$106="","",C$106)</f>
        <v/>
      </c>
      <c r="D110" s="13">
        <f>IF(D$106="","",D$106)</f>
        <v/>
      </c>
      <c r="E110" s="13">
        <f>IF(E$106="","",E$106)</f>
        <v/>
      </c>
      <c r="F110" s="13">
        <f>IF(F$106="","",F$106)</f>
        <v/>
      </c>
      <c r="G110" s="35" t="inlineStr">
        <is>
          <t>Actual + Forecast</t>
        </is>
      </c>
      <c r="H110" s="18">
        <f>IF($B$106="","",IF(1&lt;=$C$4,N(H107),IF(H109="",H106,H109)))</f>
        <v/>
      </c>
      <c r="I110" s="18">
        <f>IF($B$106="","",IF(2&lt;=$C$4,N(I107),IF(I109="",I106,I109)))</f>
        <v/>
      </c>
      <c r="J110" s="18">
        <f>IF($B$106="","",IF(3&lt;=$C$4,N(J107),IF(J109="",J106,J109)))</f>
        <v/>
      </c>
      <c r="K110" s="18">
        <f>IF($B$106="","",IF(4&lt;=$C$4,N(K107),IF(K109="",K106,K109)))</f>
        <v/>
      </c>
      <c r="L110" s="18">
        <f>IF($B$106="","",IF(5&lt;=$C$4,N(L107),IF(L109="",L106,L109)))</f>
        <v/>
      </c>
      <c r="M110" s="18">
        <f>IF($B$106="","",IF(6&lt;=$C$4,N(M107),IF(M109="",M106,M109)))</f>
        <v/>
      </c>
      <c r="N110" s="18">
        <f>IF($B$106="","",IF(7&lt;=$C$4,N(N107),IF(N109="",N106,N109)))</f>
        <v/>
      </c>
      <c r="O110" s="18">
        <f>IF($B$106="","",IF(8&lt;=$C$4,N(O107),IF(O109="",O106,O109)))</f>
        <v/>
      </c>
      <c r="P110" s="18">
        <f>IF($B$106="","",IF(9&lt;=$C$4,N(P107),IF(P109="",P106,P109)))</f>
        <v/>
      </c>
      <c r="Q110" s="18">
        <f>IF($B$106="","",IF(10&lt;=$C$4,N(Q107),IF(Q109="",Q106,Q109)))</f>
        <v/>
      </c>
      <c r="R110" s="18">
        <f>IF($B$106="","",IF(11&lt;=$C$4,N(R107),IF(R109="",R106,R109)))</f>
        <v/>
      </c>
      <c r="S110" s="18">
        <f>IF($B$106="","",IF(12&lt;=$C$4,N(S107),IF(S109="",S106,S109)))</f>
        <v/>
      </c>
      <c r="T110" s="18">
        <f>IF($B$106="","",SUMIF($H$7:$S$7,"&lt;="&amp;$C$4,$H110:$S110))</f>
        <v/>
      </c>
      <c r="U110" s="18">
        <f>IF($B$106="","",SUMIF($H$7:$S$7,"&gt;"&amp;$C$4,$H110:$S110))</f>
        <v/>
      </c>
      <c r="V110" s="18">
        <f>IF($B$106="","",SUM($H110:$S110))</f>
        <v/>
      </c>
      <c r="X110" s="22">
        <f>IF($B110="","",IFERROR(INDEX(Cost_Centers!$E:$E,MATCH($B110,Cost_Centers!$A:$A,0)),"(unknown)"))</f>
        <v/>
      </c>
      <c r="Y110" s="22">
        <f>IF($B110="","",IFERROR(INDEX(Cost_Centers!$D:$D,MATCH($B110,Cost_Centers!$A:$A,0)),"(unknown)"))</f>
        <v/>
      </c>
      <c r="Z110" s="22">
        <f>IF(OR($B110="",$G110&lt;&gt;"Variance vs Budget"),"",ABS(N($V110))+ROW()/1000000000)</f>
        <v/>
      </c>
    </row>
    <row r="111">
      <c r="A111" s="13">
        <f>IF(A$106="","",A$106)</f>
        <v/>
      </c>
      <c r="B111" s="13">
        <f>IF(B$106="","",B$106)</f>
        <v/>
      </c>
      <c r="C111" s="13">
        <f>IF(C$106="","",C$106)</f>
        <v/>
      </c>
      <c r="D111" s="13">
        <f>IF(D$106="","",D$106)</f>
        <v/>
      </c>
      <c r="E111" s="13">
        <f>IF(E$106="","",E$106)</f>
        <v/>
      </c>
      <c r="F111" s="13">
        <f>IF(F$106="","",F$106)</f>
        <v/>
      </c>
      <c r="G111" s="36" t="inlineStr">
        <is>
          <t>Prior Month Forecast</t>
        </is>
      </c>
      <c r="H111" s="37">
        <f>IF($B$106="","",IF(COUNTIFS(Prior_Forecast!$A:$A,$B$106,Prior_Forecast!$B:$B,$D$106)&gt;0,SUMIFS(Prior_Forecast!$C:$C,Prior_Forecast!$A:$A,$B$106,Prior_Forecast!$B:$B,$D$106),""))</f>
        <v/>
      </c>
      <c r="I111" s="37">
        <f>IF($B$106="","",IF(COUNTIFS(Prior_Forecast!$A:$A,$B$106,Prior_Forecast!$B:$B,$D$106)&gt;0,SUMIFS(Prior_Forecast!$D:$D,Prior_Forecast!$A:$A,$B$106,Prior_Forecast!$B:$B,$D$106),""))</f>
        <v/>
      </c>
      <c r="J111" s="37">
        <f>IF($B$106="","",IF(COUNTIFS(Prior_Forecast!$A:$A,$B$106,Prior_Forecast!$B:$B,$D$106)&gt;0,SUMIFS(Prior_Forecast!$E:$E,Prior_Forecast!$A:$A,$B$106,Prior_Forecast!$B:$B,$D$106),""))</f>
        <v/>
      </c>
      <c r="K111" s="37">
        <f>IF($B$106="","",IF(COUNTIFS(Prior_Forecast!$A:$A,$B$106,Prior_Forecast!$B:$B,$D$106)&gt;0,SUMIFS(Prior_Forecast!$F:$F,Prior_Forecast!$A:$A,$B$106,Prior_Forecast!$B:$B,$D$106),""))</f>
        <v/>
      </c>
      <c r="L111" s="37">
        <f>IF($B$106="","",IF(COUNTIFS(Prior_Forecast!$A:$A,$B$106,Prior_Forecast!$B:$B,$D$106)&gt;0,SUMIFS(Prior_Forecast!$G:$G,Prior_Forecast!$A:$A,$B$106,Prior_Forecast!$B:$B,$D$106),""))</f>
        <v/>
      </c>
      <c r="M111" s="37">
        <f>IF($B$106="","",IF(COUNTIFS(Prior_Forecast!$A:$A,$B$106,Prior_Forecast!$B:$B,$D$106)&gt;0,SUMIFS(Prior_Forecast!$H:$H,Prior_Forecast!$A:$A,$B$106,Prior_Forecast!$B:$B,$D$106),""))</f>
        <v/>
      </c>
      <c r="N111" s="37">
        <f>IF($B$106="","",IF(COUNTIFS(Prior_Forecast!$A:$A,$B$106,Prior_Forecast!$B:$B,$D$106)&gt;0,SUMIFS(Prior_Forecast!$I:$I,Prior_Forecast!$A:$A,$B$106,Prior_Forecast!$B:$B,$D$106),""))</f>
        <v/>
      </c>
      <c r="O111" s="37">
        <f>IF($B$106="","",IF(COUNTIFS(Prior_Forecast!$A:$A,$B$106,Prior_Forecast!$B:$B,$D$106)&gt;0,SUMIFS(Prior_Forecast!$J:$J,Prior_Forecast!$A:$A,$B$106,Prior_Forecast!$B:$B,$D$106),""))</f>
        <v/>
      </c>
      <c r="P111" s="37">
        <f>IF($B$106="","",IF(COUNTIFS(Prior_Forecast!$A:$A,$B$106,Prior_Forecast!$B:$B,$D$106)&gt;0,SUMIFS(Prior_Forecast!$K:$K,Prior_Forecast!$A:$A,$B$106,Prior_Forecast!$B:$B,$D$106),""))</f>
        <v/>
      </c>
      <c r="Q111" s="37">
        <f>IF($B$106="","",IF(COUNTIFS(Prior_Forecast!$A:$A,$B$106,Prior_Forecast!$B:$B,$D$106)&gt;0,SUMIFS(Prior_Forecast!$L:$L,Prior_Forecast!$A:$A,$B$106,Prior_Forecast!$B:$B,$D$106),""))</f>
        <v/>
      </c>
      <c r="R111" s="37">
        <f>IF($B$106="","",IF(COUNTIFS(Prior_Forecast!$A:$A,$B$106,Prior_Forecast!$B:$B,$D$106)&gt;0,SUMIFS(Prior_Forecast!$M:$M,Prior_Forecast!$A:$A,$B$106,Prior_Forecast!$B:$B,$D$106),""))</f>
        <v/>
      </c>
      <c r="S111" s="37">
        <f>IF($B$106="","",IF(COUNTIFS(Prior_Forecast!$A:$A,$B$106,Prior_Forecast!$B:$B,$D$106)&gt;0,SUMIFS(Prior_Forecast!$N:$N,Prior_Forecast!$A:$A,$B$106,Prior_Forecast!$B:$B,$D$106),""))</f>
        <v/>
      </c>
      <c r="T111" s="37">
        <f>IF($B$106="","",IF(COUNTIFS(Prior_Forecast!$A:$A,$B$106,Prior_Forecast!$B:$B,$D$106)&gt;0,SUMIFS(Prior_Forecast!$O:$O,Prior_Forecast!$A:$A,$B$106,Prior_Forecast!$B:$B,$D$106),""))</f>
        <v/>
      </c>
      <c r="U111" s="37">
        <f>IF($B$106="","",IF(COUNTIFS(Prior_Forecast!$A:$A,$B$106,Prior_Forecast!$B:$B,$D$106)&gt;0,SUMIFS(Prior_Forecast!$P:$P,Prior_Forecast!$A:$A,$B$106,Prior_Forecast!$B:$B,$D$106),""))</f>
        <v/>
      </c>
      <c r="V111" s="37">
        <f>IF($B$106="","",IF(COUNTIFS(Prior_Forecast!$A:$A,$B$106,Prior_Forecast!$B:$B,$D$106)&gt;0,SUMIFS(Prior_Forecast!$Q:$Q,Prior_Forecast!$A:$A,$B$106,Prior_Forecast!$B:$B,$D$106),""))</f>
        <v/>
      </c>
      <c r="X111" s="22">
        <f>IF($B111="","",IFERROR(INDEX(Cost_Centers!$E:$E,MATCH($B111,Cost_Centers!$A:$A,0)),"(unknown)"))</f>
        <v/>
      </c>
      <c r="Y111" s="22">
        <f>IF($B111="","",IFERROR(INDEX(Cost_Centers!$D:$D,MATCH($B111,Cost_Centers!$A:$A,0)),"(unknown)"))</f>
        <v/>
      </c>
      <c r="Z111" s="22">
        <f>IF(OR($B111="",$G111&lt;&gt;"Variance vs Budget"),"",ABS(N($V111))+ROW()/1000000000)</f>
        <v/>
      </c>
    </row>
    <row r="112">
      <c r="A112" s="13">
        <f>IF(A$106="","",A$106)</f>
        <v/>
      </c>
      <c r="B112" s="13">
        <f>IF(B$106="","",B$106)</f>
        <v/>
      </c>
      <c r="C112" s="13">
        <f>IF(C$106="","",C$106)</f>
        <v/>
      </c>
      <c r="D112" s="13">
        <f>IF(D$106="","",D$106)</f>
        <v/>
      </c>
      <c r="E112" s="13">
        <f>IF(E$106="","",E$106)</f>
        <v/>
      </c>
      <c r="F112" s="13">
        <f>IF(F$106="","",F$106)</f>
        <v/>
      </c>
      <c r="G112" s="6" t="inlineStr">
        <is>
          <t>Variance vs Prior Month</t>
        </is>
      </c>
      <c r="H112" s="33">
        <f>IF(OR($B$106="",H111=""),"",H110-H111)</f>
        <v/>
      </c>
      <c r="I112" s="33">
        <f>IF(OR($B$106="",I111=""),"",I110-I111)</f>
        <v/>
      </c>
      <c r="J112" s="33">
        <f>IF(OR($B$106="",J111=""),"",J110-J111)</f>
        <v/>
      </c>
      <c r="K112" s="33">
        <f>IF(OR($B$106="",K111=""),"",K110-K111)</f>
        <v/>
      </c>
      <c r="L112" s="33">
        <f>IF(OR($B$106="",L111=""),"",L110-L111)</f>
        <v/>
      </c>
      <c r="M112" s="33">
        <f>IF(OR($B$106="",M111=""),"",M110-M111)</f>
        <v/>
      </c>
      <c r="N112" s="33">
        <f>IF(OR($B$106="",N111=""),"",N110-N111)</f>
        <v/>
      </c>
      <c r="O112" s="33">
        <f>IF(OR($B$106="",O111=""),"",O110-O111)</f>
        <v/>
      </c>
      <c r="P112" s="33">
        <f>IF(OR($B$106="",P111=""),"",P110-P111)</f>
        <v/>
      </c>
      <c r="Q112" s="33">
        <f>IF(OR($B$106="",Q111=""),"",Q110-Q111)</f>
        <v/>
      </c>
      <c r="R112" s="33">
        <f>IF(OR($B$106="",R111=""),"",R110-R111)</f>
        <v/>
      </c>
      <c r="S112" s="33">
        <f>IF(OR($B$106="",S111=""),"",S110-S111)</f>
        <v/>
      </c>
      <c r="T112" s="33">
        <f>IF(OR($B$106="",T111=""),"",T110-T111)</f>
        <v/>
      </c>
      <c r="U112" s="33">
        <f>IF(OR($B$106="",U111=""),"",U110-U111)</f>
        <v/>
      </c>
      <c r="V112" s="33">
        <f>IF(OR($B$106="",V111=""),"",V110-V111)</f>
        <v/>
      </c>
      <c r="X112" s="22">
        <f>IF($B112="","",IFERROR(INDEX(Cost_Centers!$E:$E,MATCH($B112,Cost_Centers!$A:$A,0)),"(unknown)"))</f>
        <v/>
      </c>
      <c r="Y112" s="22">
        <f>IF($B112="","",IFERROR(INDEX(Cost_Centers!$D:$D,MATCH($B112,Cost_Centers!$A:$A,0)),"(unknown)"))</f>
        <v/>
      </c>
      <c r="Z112" s="22">
        <f>IF(OR($B112="",$G112&lt;&gt;"Variance vs Budget"),"",ABS(N($V112))+ROW()/1000000000)</f>
        <v/>
      </c>
    </row>
    <row r="113" ht="45" customHeight="1">
      <c r="A113" s="13">
        <f>IF(A$106="","",A$106)</f>
        <v/>
      </c>
      <c r="B113" s="13">
        <f>IF(B$106="","",B$106)</f>
        <v/>
      </c>
      <c r="C113" s="13">
        <f>IF(C$106="","",C$106)</f>
        <v/>
      </c>
      <c r="D113" s="13">
        <f>IF(D$106="","",D$106)</f>
        <v/>
      </c>
      <c r="E113" s="13">
        <f>IF(E$106="","",E$106)</f>
        <v/>
      </c>
      <c r="F113" s="13">
        <f>IF(F$106="","",F$106)</f>
        <v/>
      </c>
      <c r="G113" s="7" t="inlineStr">
        <is>
          <t>Rationale</t>
        </is>
      </c>
      <c r="H113" s="38" t="n"/>
      <c r="I113" s="38" t="n"/>
      <c r="J113" s="38" t="n"/>
      <c r="K113" s="38" t="n"/>
      <c r="L113" s="38" t="n"/>
      <c r="M113" s="38" t="n"/>
      <c r="N113" s="38" t="n"/>
      <c r="O113" s="38" t="n"/>
      <c r="P113" s="38" t="n"/>
      <c r="Q113" s="38" t="n"/>
      <c r="R113" s="38" t="n"/>
      <c r="S113" s="38" t="n"/>
      <c r="T113" s="38" t="n"/>
      <c r="U113" s="38" t="n"/>
      <c r="V113" s="7" t="n"/>
      <c r="X113" s="22">
        <f>IF($B113="","",IFERROR(INDEX(Cost_Centers!$E:$E,MATCH($B113,Cost_Centers!$A:$A,0)),"(unknown)"))</f>
        <v/>
      </c>
      <c r="Y113" s="22">
        <f>IF($B113="","",IFERROR(INDEX(Cost_Centers!$D:$D,MATCH($B113,Cost_Centers!$A:$A,0)),"(unknown)"))</f>
        <v/>
      </c>
      <c r="Z113" s="22">
        <f>IF(OR($B113="",$G113&lt;&gt;"Variance vs Budget"),"",ABS(N($V113))+ROW()/1000000000)</f>
        <v/>
      </c>
    </row>
    <row r="114">
      <c r="A114" s="30">
        <f>IF($D$114="","",LEFT($D$114,FIND("|",$D$114&amp;"|")-1))</f>
        <v/>
      </c>
      <c r="B114" s="31" t="n"/>
      <c r="C114" s="30">
        <f>IF($B$114="","",IFERROR(INDEX(Cost_Centers!$B:$B,MATCH($B$114,Cost_Centers!$A:$A,0)),"(not in master)"))</f>
        <v/>
      </c>
      <c r="D114" s="31" t="n"/>
      <c r="E114" s="30">
        <f>IF($D$114="","",IFERROR(INDEX(Accounts!$D:$D,MATCH($D$114,Accounts!$A:$A,0)),"(not in master)"))</f>
        <v/>
      </c>
      <c r="F114" s="31" t="n"/>
      <c r="G114" s="30" t="inlineStr">
        <is>
          <t>Budget</t>
        </is>
      </c>
      <c r="H114" s="32">
        <f>IF($B$114="","",SUMIFS(Opex_Budget!$O:$O,Opex_Budget!$A:$A,$C$3,Opex_Budget!$E:$E,$B$114,Opex_Budget!$F:$F,$D$114,Opex_Budget!$N:$N,"JPY")*$E$5+SUMIFS(Opex_Budget!$O:$O,Opex_Budget!$A:$A,$C$3,Opex_Budget!$E:$E,$B$114,Opex_Budget!$F:$F,$D$114,Opex_Budget!$N:$N,"USD")*$F$5+SUMIFS(Opex_Budget!$O:$O,Opex_Budget!$A:$A,$C$3,Opex_Budget!$E:$E,$B$114,Opex_Budget!$F:$F,$D$114,Opex_Budget!$N:$N,"EUR")*$G$5+SUMIFS(Opex_Budget!$O:$O,Opex_Budget!$A:$A,$C$3,Opex_Budget!$E:$E,$B$114,Opex_Budget!$F:$F,$D$114,Opex_Budget!$N:$N,"GBP")*$H$5)</f>
        <v/>
      </c>
      <c r="I114" s="32">
        <f>IF($B$114="","",SUMIFS(Opex_Budget!$P:$P,Opex_Budget!$A:$A,$C$3,Opex_Budget!$E:$E,$B$114,Opex_Budget!$F:$F,$D$114,Opex_Budget!$N:$N,"JPY")*$E$5+SUMIFS(Opex_Budget!$P:$P,Opex_Budget!$A:$A,$C$3,Opex_Budget!$E:$E,$B$114,Opex_Budget!$F:$F,$D$114,Opex_Budget!$N:$N,"USD")*$F$5+SUMIFS(Opex_Budget!$P:$P,Opex_Budget!$A:$A,$C$3,Opex_Budget!$E:$E,$B$114,Opex_Budget!$F:$F,$D$114,Opex_Budget!$N:$N,"EUR")*$G$5+SUMIFS(Opex_Budget!$P:$P,Opex_Budget!$A:$A,$C$3,Opex_Budget!$E:$E,$B$114,Opex_Budget!$F:$F,$D$114,Opex_Budget!$N:$N,"GBP")*$H$5)</f>
        <v/>
      </c>
      <c r="J114" s="32">
        <f>IF($B$114="","",SUMIFS(Opex_Budget!$Q:$Q,Opex_Budget!$A:$A,$C$3,Opex_Budget!$E:$E,$B$114,Opex_Budget!$F:$F,$D$114,Opex_Budget!$N:$N,"JPY")*$E$5+SUMIFS(Opex_Budget!$Q:$Q,Opex_Budget!$A:$A,$C$3,Opex_Budget!$E:$E,$B$114,Opex_Budget!$F:$F,$D$114,Opex_Budget!$N:$N,"USD")*$F$5+SUMIFS(Opex_Budget!$Q:$Q,Opex_Budget!$A:$A,$C$3,Opex_Budget!$E:$E,$B$114,Opex_Budget!$F:$F,$D$114,Opex_Budget!$N:$N,"EUR")*$G$5+SUMIFS(Opex_Budget!$Q:$Q,Opex_Budget!$A:$A,$C$3,Opex_Budget!$E:$E,$B$114,Opex_Budget!$F:$F,$D$114,Opex_Budget!$N:$N,"GBP")*$H$5)</f>
        <v/>
      </c>
      <c r="K114" s="32">
        <f>IF($B$114="","",SUMIFS(Opex_Budget!$R:$R,Opex_Budget!$A:$A,$C$3,Opex_Budget!$E:$E,$B$114,Opex_Budget!$F:$F,$D$114,Opex_Budget!$N:$N,"JPY")*$E$5+SUMIFS(Opex_Budget!$R:$R,Opex_Budget!$A:$A,$C$3,Opex_Budget!$E:$E,$B$114,Opex_Budget!$F:$F,$D$114,Opex_Budget!$N:$N,"USD")*$F$5+SUMIFS(Opex_Budget!$R:$R,Opex_Budget!$A:$A,$C$3,Opex_Budget!$E:$E,$B$114,Opex_Budget!$F:$F,$D$114,Opex_Budget!$N:$N,"EUR")*$G$5+SUMIFS(Opex_Budget!$R:$R,Opex_Budget!$A:$A,$C$3,Opex_Budget!$E:$E,$B$114,Opex_Budget!$F:$F,$D$114,Opex_Budget!$N:$N,"GBP")*$H$5)</f>
        <v/>
      </c>
      <c r="L114" s="32">
        <f>IF($B$114="","",SUMIFS(Opex_Budget!$S:$S,Opex_Budget!$A:$A,$C$3,Opex_Budget!$E:$E,$B$114,Opex_Budget!$F:$F,$D$114,Opex_Budget!$N:$N,"JPY")*$E$5+SUMIFS(Opex_Budget!$S:$S,Opex_Budget!$A:$A,$C$3,Opex_Budget!$E:$E,$B$114,Opex_Budget!$F:$F,$D$114,Opex_Budget!$N:$N,"USD")*$F$5+SUMIFS(Opex_Budget!$S:$S,Opex_Budget!$A:$A,$C$3,Opex_Budget!$E:$E,$B$114,Opex_Budget!$F:$F,$D$114,Opex_Budget!$N:$N,"EUR")*$G$5+SUMIFS(Opex_Budget!$S:$S,Opex_Budget!$A:$A,$C$3,Opex_Budget!$E:$E,$B$114,Opex_Budget!$F:$F,$D$114,Opex_Budget!$N:$N,"GBP")*$H$5)</f>
        <v/>
      </c>
      <c r="M114" s="32">
        <f>IF($B$114="","",SUMIFS(Opex_Budget!$T:$T,Opex_Budget!$A:$A,$C$3,Opex_Budget!$E:$E,$B$114,Opex_Budget!$F:$F,$D$114,Opex_Budget!$N:$N,"JPY")*$E$5+SUMIFS(Opex_Budget!$T:$T,Opex_Budget!$A:$A,$C$3,Opex_Budget!$E:$E,$B$114,Opex_Budget!$F:$F,$D$114,Opex_Budget!$N:$N,"USD")*$F$5+SUMIFS(Opex_Budget!$T:$T,Opex_Budget!$A:$A,$C$3,Opex_Budget!$E:$E,$B$114,Opex_Budget!$F:$F,$D$114,Opex_Budget!$N:$N,"EUR")*$G$5+SUMIFS(Opex_Budget!$T:$T,Opex_Budget!$A:$A,$C$3,Opex_Budget!$E:$E,$B$114,Opex_Budget!$F:$F,$D$114,Opex_Budget!$N:$N,"GBP")*$H$5)</f>
        <v/>
      </c>
      <c r="N114" s="32">
        <f>IF($B$114="","",SUMIFS(Opex_Budget!$U:$U,Opex_Budget!$A:$A,$C$3,Opex_Budget!$E:$E,$B$114,Opex_Budget!$F:$F,$D$114,Opex_Budget!$N:$N,"JPY")*$E$5+SUMIFS(Opex_Budget!$U:$U,Opex_Budget!$A:$A,$C$3,Opex_Budget!$E:$E,$B$114,Opex_Budget!$F:$F,$D$114,Opex_Budget!$N:$N,"USD")*$F$5+SUMIFS(Opex_Budget!$U:$U,Opex_Budget!$A:$A,$C$3,Opex_Budget!$E:$E,$B$114,Opex_Budget!$F:$F,$D$114,Opex_Budget!$N:$N,"EUR")*$G$5+SUMIFS(Opex_Budget!$U:$U,Opex_Budget!$A:$A,$C$3,Opex_Budget!$E:$E,$B$114,Opex_Budget!$F:$F,$D$114,Opex_Budget!$N:$N,"GBP")*$H$5)</f>
        <v/>
      </c>
      <c r="O114" s="32">
        <f>IF($B$114="","",SUMIFS(Opex_Budget!$V:$V,Opex_Budget!$A:$A,$C$3,Opex_Budget!$E:$E,$B$114,Opex_Budget!$F:$F,$D$114,Opex_Budget!$N:$N,"JPY")*$E$5+SUMIFS(Opex_Budget!$V:$V,Opex_Budget!$A:$A,$C$3,Opex_Budget!$E:$E,$B$114,Opex_Budget!$F:$F,$D$114,Opex_Budget!$N:$N,"USD")*$F$5+SUMIFS(Opex_Budget!$V:$V,Opex_Budget!$A:$A,$C$3,Opex_Budget!$E:$E,$B$114,Opex_Budget!$F:$F,$D$114,Opex_Budget!$N:$N,"EUR")*$G$5+SUMIFS(Opex_Budget!$V:$V,Opex_Budget!$A:$A,$C$3,Opex_Budget!$E:$E,$B$114,Opex_Budget!$F:$F,$D$114,Opex_Budget!$N:$N,"GBP")*$H$5)</f>
        <v/>
      </c>
      <c r="P114" s="32">
        <f>IF($B$114="","",SUMIFS(Opex_Budget!$W:$W,Opex_Budget!$A:$A,$C$3,Opex_Budget!$E:$E,$B$114,Opex_Budget!$F:$F,$D$114,Opex_Budget!$N:$N,"JPY")*$E$5+SUMIFS(Opex_Budget!$W:$W,Opex_Budget!$A:$A,$C$3,Opex_Budget!$E:$E,$B$114,Opex_Budget!$F:$F,$D$114,Opex_Budget!$N:$N,"USD")*$F$5+SUMIFS(Opex_Budget!$W:$W,Opex_Budget!$A:$A,$C$3,Opex_Budget!$E:$E,$B$114,Opex_Budget!$F:$F,$D$114,Opex_Budget!$N:$N,"EUR")*$G$5+SUMIFS(Opex_Budget!$W:$W,Opex_Budget!$A:$A,$C$3,Opex_Budget!$E:$E,$B$114,Opex_Budget!$F:$F,$D$114,Opex_Budget!$N:$N,"GBP")*$H$5)</f>
        <v/>
      </c>
      <c r="Q114" s="32">
        <f>IF($B$114="","",SUMIFS(Opex_Budget!$X:$X,Opex_Budget!$A:$A,$C$3,Opex_Budget!$E:$E,$B$114,Opex_Budget!$F:$F,$D$114,Opex_Budget!$N:$N,"JPY")*$E$5+SUMIFS(Opex_Budget!$X:$X,Opex_Budget!$A:$A,$C$3,Opex_Budget!$E:$E,$B$114,Opex_Budget!$F:$F,$D$114,Opex_Budget!$N:$N,"USD")*$F$5+SUMIFS(Opex_Budget!$X:$X,Opex_Budget!$A:$A,$C$3,Opex_Budget!$E:$E,$B$114,Opex_Budget!$F:$F,$D$114,Opex_Budget!$N:$N,"EUR")*$G$5+SUMIFS(Opex_Budget!$X:$X,Opex_Budget!$A:$A,$C$3,Opex_Budget!$E:$E,$B$114,Opex_Budget!$F:$F,$D$114,Opex_Budget!$N:$N,"GBP")*$H$5)</f>
        <v/>
      </c>
      <c r="R114" s="32">
        <f>IF($B$114="","",SUMIFS(Opex_Budget!$Y:$Y,Opex_Budget!$A:$A,$C$3,Opex_Budget!$E:$E,$B$114,Opex_Budget!$F:$F,$D$114,Opex_Budget!$N:$N,"JPY")*$E$5+SUMIFS(Opex_Budget!$Y:$Y,Opex_Budget!$A:$A,$C$3,Opex_Budget!$E:$E,$B$114,Opex_Budget!$F:$F,$D$114,Opex_Budget!$N:$N,"USD")*$F$5+SUMIFS(Opex_Budget!$Y:$Y,Opex_Budget!$A:$A,$C$3,Opex_Budget!$E:$E,$B$114,Opex_Budget!$F:$F,$D$114,Opex_Budget!$N:$N,"EUR")*$G$5+SUMIFS(Opex_Budget!$Y:$Y,Opex_Budget!$A:$A,$C$3,Opex_Budget!$E:$E,$B$114,Opex_Budget!$F:$F,$D$114,Opex_Budget!$N:$N,"GBP")*$H$5)</f>
        <v/>
      </c>
      <c r="S114" s="32">
        <f>IF($B$114="","",SUMIFS(Opex_Budget!$Z:$Z,Opex_Budget!$A:$A,$C$3,Opex_Budget!$E:$E,$B$114,Opex_Budget!$F:$F,$D$114,Opex_Budget!$N:$N,"JPY")*$E$5+SUMIFS(Opex_Budget!$Z:$Z,Opex_Budget!$A:$A,$C$3,Opex_Budget!$E:$E,$B$114,Opex_Budget!$F:$F,$D$114,Opex_Budget!$N:$N,"USD")*$F$5+SUMIFS(Opex_Budget!$Z:$Z,Opex_Budget!$A:$A,$C$3,Opex_Budget!$E:$E,$B$114,Opex_Budget!$F:$F,$D$114,Opex_Budget!$N:$N,"EUR")*$G$5+SUMIFS(Opex_Budget!$Z:$Z,Opex_Budget!$A:$A,$C$3,Opex_Budget!$E:$E,$B$114,Opex_Budget!$F:$F,$D$114,Opex_Budget!$N:$N,"GBP")*$H$5)</f>
        <v/>
      </c>
      <c r="T114" s="32">
        <f>IF($B$114="","",SUMIF($H$7:$S$7,"&lt;="&amp;$C$4,$H114:$S114))</f>
        <v/>
      </c>
      <c r="U114" s="32">
        <f>IF($B$114="","",SUMIF($H$7:$S$7,"&gt;"&amp;$C$4,$H114:$S114))</f>
        <v/>
      </c>
      <c r="V114" s="32">
        <f>IF($B$114="","",SUM($H114:$S114))</f>
        <v/>
      </c>
      <c r="X114" s="22">
        <f>IF($B114="","",IFERROR(INDEX(Cost_Centers!$E:$E,MATCH($B114,Cost_Centers!$A:$A,0)),"(unknown)"))</f>
        <v/>
      </c>
      <c r="Y114" s="22">
        <f>IF($B114="","",IFERROR(INDEX(Cost_Centers!$D:$D,MATCH($B114,Cost_Centers!$A:$A,0)),"(unknown)"))</f>
        <v/>
      </c>
      <c r="Z114" s="22">
        <f>IF(OR($B114="",$G114&lt;&gt;"Variance vs Budget"),"",ABS(N($V114))+ROW()/1000000000)</f>
        <v/>
      </c>
    </row>
    <row r="115">
      <c r="A115" s="13">
        <f>IF(A$114="","",A$114)</f>
        <v/>
      </c>
      <c r="B115" s="13">
        <f>IF(B$114="","",B$114)</f>
        <v/>
      </c>
      <c r="C115" s="13">
        <f>IF(C$114="","",C$114)</f>
        <v/>
      </c>
      <c r="D115" s="13">
        <f>IF(D$114="","",D$114)</f>
        <v/>
      </c>
      <c r="E115" s="13">
        <f>IF(E$114="","",E$114)</f>
        <v/>
      </c>
      <c r="F115" s="13">
        <f>IF(F$114="","",F$114)</f>
        <v/>
      </c>
      <c r="G115" s="7" t="inlineStr">
        <is>
          <t>Actual</t>
        </is>
      </c>
      <c r="H115" s="18">
        <f>IF(OR($B$114="",1&gt;$C$4),"",SUMIFS(Actuals!$G:$G,Actuals!$B:$B,$C$3,Actuals!$C:$C,1,Actuals!$D:$D,$B$114,Actuals!$A:$A,LEFT($D$114,FIND("|",$D$114&amp;"|")-1),Actuals!$E:$E,MID($D$114,FIND("|",$D$114&amp;"|")+1,50),Actuals!$F:$F,"JPY")*$E$5+SUMIFS(Actuals!$G:$G,Actuals!$B:$B,$C$3,Actuals!$C:$C,1,Actuals!$D:$D,$B$114,Actuals!$A:$A,LEFT($D$114,FIND("|",$D$114&amp;"|")-1),Actuals!$E:$E,MID($D$114,FIND("|",$D$114&amp;"|")+1,50),Actuals!$F:$F,"USD")*$F$5+SUMIFS(Actuals!$G:$G,Actuals!$B:$B,$C$3,Actuals!$C:$C,1,Actuals!$D:$D,$B$114,Actuals!$A:$A,LEFT($D$114,FIND("|",$D$114&amp;"|")-1),Actuals!$E:$E,MID($D$114,FIND("|",$D$114&amp;"|")+1,50),Actuals!$F:$F,"EUR")*$G$5+SUMIFS(Actuals!$G:$G,Actuals!$B:$B,$C$3,Actuals!$C:$C,1,Actuals!$D:$D,$B$114,Actuals!$A:$A,LEFT($D$114,FIND("|",$D$114&amp;"|")-1),Actuals!$E:$E,MID($D$114,FIND("|",$D$114&amp;"|")+1,50),Actuals!$F:$F,"GBP")*$H$5)</f>
        <v/>
      </c>
      <c r="I115" s="18">
        <f>IF(OR($B$114="",2&gt;$C$4),"",SUMIFS(Actuals!$G:$G,Actuals!$B:$B,$C$3,Actuals!$C:$C,2,Actuals!$D:$D,$B$114,Actuals!$A:$A,LEFT($D$114,FIND("|",$D$114&amp;"|")-1),Actuals!$E:$E,MID($D$114,FIND("|",$D$114&amp;"|")+1,50),Actuals!$F:$F,"JPY")*$E$5+SUMIFS(Actuals!$G:$G,Actuals!$B:$B,$C$3,Actuals!$C:$C,2,Actuals!$D:$D,$B$114,Actuals!$A:$A,LEFT($D$114,FIND("|",$D$114&amp;"|")-1),Actuals!$E:$E,MID($D$114,FIND("|",$D$114&amp;"|")+1,50),Actuals!$F:$F,"USD")*$F$5+SUMIFS(Actuals!$G:$G,Actuals!$B:$B,$C$3,Actuals!$C:$C,2,Actuals!$D:$D,$B$114,Actuals!$A:$A,LEFT($D$114,FIND("|",$D$114&amp;"|")-1),Actuals!$E:$E,MID($D$114,FIND("|",$D$114&amp;"|")+1,50),Actuals!$F:$F,"EUR")*$G$5+SUMIFS(Actuals!$G:$G,Actuals!$B:$B,$C$3,Actuals!$C:$C,2,Actuals!$D:$D,$B$114,Actuals!$A:$A,LEFT($D$114,FIND("|",$D$114&amp;"|")-1),Actuals!$E:$E,MID($D$114,FIND("|",$D$114&amp;"|")+1,50),Actuals!$F:$F,"GBP")*$H$5)</f>
        <v/>
      </c>
      <c r="J115" s="18">
        <f>IF(OR($B$114="",3&gt;$C$4),"",SUMIFS(Actuals!$G:$G,Actuals!$B:$B,$C$3,Actuals!$C:$C,3,Actuals!$D:$D,$B$114,Actuals!$A:$A,LEFT($D$114,FIND("|",$D$114&amp;"|")-1),Actuals!$E:$E,MID($D$114,FIND("|",$D$114&amp;"|")+1,50),Actuals!$F:$F,"JPY")*$E$5+SUMIFS(Actuals!$G:$G,Actuals!$B:$B,$C$3,Actuals!$C:$C,3,Actuals!$D:$D,$B$114,Actuals!$A:$A,LEFT($D$114,FIND("|",$D$114&amp;"|")-1),Actuals!$E:$E,MID($D$114,FIND("|",$D$114&amp;"|")+1,50),Actuals!$F:$F,"USD")*$F$5+SUMIFS(Actuals!$G:$G,Actuals!$B:$B,$C$3,Actuals!$C:$C,3,Actuals!$D:$D,$B$114,Actuals!$A:$A,LEFT($D$114,FIND("|",$D$114&amp;"|")-1),Actuals!$E:$E,MID($D$114,FIND("|",$D$114&amp;"|")+1,50),Actuals!$F:$F,"EUR")*$G$5+SUMIFS(Actuals!$G:$G,Actuals!$B:$B,$C$3,Actuals!$C:$C,3,Actuals!$D:$D,$B$114,Actuals!$A:$A,LEFT($D$114,FIND("|",$D$114&amp;"|")-1),Actuals!$E:$E,MID($D$114,FIND("|",$D$114&amp;"|")+1,50),Actuals!$F:$F,"GBP")*$H$5)</f>
        <v/>
      </c>
      <c r="K115" s="18">
        <f>IF(OR($B$114="",4&gt;$C$4),"",SUMIFS(Actuals!$G:$G,Actuals!$B:$B,$C$3,Actuals!$C:$C,4,Actuals!$D:$D,$B$114,Actuals!$A:$A,LEFT($D$114,FIND("|",$D$114&amp;"|")-1),Actuals!$E:$E,MID($D$114,FIND("|",$D$114&amp;"|")+1,50),Actuals!$F:$F,"JPY")*$E$5+SUMIFS(Actuals!$G:$G,Actuals!$B:$B,$C$3,Actuals!$C:$C,4,Actuals!$D:$D,$B$114,Actuals!$A:$A,LEFT($D$114,FIND("|",$D$114&amp;"|")-1),Actuals!$E:$E,MID($D$114,FIND("|",$D$114&amp;"|")+1,50),Actuals!$F:$F,"USD")*$F$5+SUMIFS(Actuals!$G:$G,Actuals!$B:$B,$C$3,Actuals!$C:$C,4,Actuals!$D:$D,$B$114,Actuals!$A:$A,LEFT($D$114,FIND("|",$D$114&amp;"|")-1),Actuals!$E:$E,MID($D$114,FIND("|",$D$114&amp;"|")+1,50),Actuals!$F:$F,"EUR")*$G$5+SUMIFS(Actuals!$G:$G,Actuals!$B:$B,$C$3,Actuals!$C:$C,4,Actuals!$D:$D,$B$114,Actuals!$A:$A,LEFT($D$114,FIND("|",$D$114&amp;"|")-1),Actuals!$E:$E,MID($D$114,FIND("|",$D$114&amp;"|")+1,50),Actuals!$F:$F,"GBP")*$H$5)</f>
        <v/>
      </c>
      <c r="L115" s="18">
        <f>IF(OR($B$114="",5&gt;$C$4),"",SUMIFS(Actuals!$G:$G,Actuals!$B:$B,$C$3,Actuals!$C:$C,5,Actuals!$D:$D,$B$114,Actuals!$A:$A,LEFT($D$114,FIND("|",$D$114&amp;"|")-1),Actuals!$E:$E,MID($D$114,FIND("|",$D$114&amp;"|")+1,50),Actuals!$F:$F,"JPY")*$E$5+SUMIFS(Actuals!$G:$G,Actuals!$B:$B,$C$3,Actuals!$C:$C,5,Actuals!$D:$D,$B$114,Actuals!$A:$A,LEFT($D$114,FIND("|",$D$114&amp;"|")-1),Actuals!$E:$E,MID($D$114,FIND("|",$D$114&amp;"|")+1,50),Actuals!$F:$F,"USD")*$F$5+SUMIFS(Actuals!$G:$G,Actuals!$B:$B,$C$3,Actuals!$C:$C,5,Actuals!$D:$D,$B$114,Actuals!$A:$A,LEFT($D$114,FIND("|",$D$114&amp;"|")-1),Actuals!$E:$E,MID($D$114,FIND("|",$D$114&amp;"|")+1,50),Actuals!$F:$F,"EUR")*$G$5+SUMIFS(Actuals!$G:$G,Actuals!$B:$B,$C$3,Actuals!$C:$C,5,Actuals!$D:$D,$B$114,Actuals!$A:$A,LEFT($D$114,FIND("|",$D$114&amp;"|")-1),Actuals!$E:$E,MID($D$114,FIND("|",$D$114&amp;"|")+1,50),Actuals!$F:$F,"GBP")*$H$5)</f>
        <v/>
      </c>
      <c r="M115" s="18">
        <f>IF(OR($B$114="",6&gt;$C$4),"",SUMIFS(Actuals!$G:$G,Actuals!$B:$B,$C$3,Actuals!$C:$C,6,Actuals!$D:$D,$B$114,Actuals!$A:$A,LEFT($D$114,FIND("|",$D$114&amp;"|")-1),Actuals!$E:$E,MID($D$114,FIND("|",$D$114&amp;"|")+1,50),Actuals!$F:$F,"JPY")*$E$5+SUMIFS(Actuals!$G:$G,Actuals!$B:$B,$C$3,Actuals!$C:$C,6,Actuals!$D:$D,$B$114,Actuals!$A:$A,LEFT($D$114,FIND("|",$D$114&amp;"|")-1),Actuals!$E:$E,MID($D$114,FIND("|",$D$114&amp;"|")+1,50),Actuals!$F:$F,"USD")*$F$5+SUMIFS(Actuals!$G:$G,Actuals!$B:$B,$C$3,Actuals!$C:$C,6,Actuals!$D:$D,$B$114,Actuals!$A:$A,LEFT($D$114,FIND("|",$D$114&amp;"|")-1),Actuals!$E:$E,MID($D$114,FIND("|",$D$114&amp;"|")+1,50),Actuals!$F:$F,"EUR")*$G$5+SUMIFS(Actuals!$G:$G,Actuals!$B:$B,$C$3,Actuals!$C:$C,6,Actuals!$D:$D,$B$114,Actuals!$A:$A,LEFT($D$114,FIND("|",$D$114&amp;"|")-1),Actuals!$E:$E,MID($D$114,FIND("|",$D$114&amp;"|")+1,50),Actuals!$F:$F,"GBP")*$H$5)</f>
        <v/>
      </c>
      <c r="N115" s="18">
        <f>IF(OR($B$114="",7&gt;$C$4),"",SUMIFS(Actuals!$G:$G,Actuals!$B:$B,$C$3,Actuals!$C:$C,7,Actuals!$D:$D,$B$114,Actuals!$A:$A,LEFT($D$114,FIND("|",$D$114&amp;"|")-1),Actuals!$E:$E,MID($D$114,FIND("|",$D$114&amp;"|")+1,50),Actuals!$F:$F,"JPY")*$E$5+SUMIFS(Actuals!$G:$G,Actuals!$B:$B,$C$3,Actuals!$C:$C,7,Actuals!$D:$D,$B$114,Actuals!$A:$A,LEFT($D$114,FIND("|",$D$114&amp;"|")-1),Actuals!$E:$E,MID($D$114,FIND("|",$D$114&amp;"|")+1,50),Actuals!$F:$F,"USD")*$F$5+SUMIFS(Actuals!$G:$G,Actuals!$B:$B,$C$3,Actuals!$C:$C,7,Actuals!$D:$D,$B$114,Actuals!$A:$A,LEFT($D$114,FIND("|",$D$114&amp;"|")-1),Actuals!$E:$E,MID($D$114,FIND("|",$D$114&amp;"|")+1,50),Actuals!$F:$F,"EUR")*$G$5+SUMIFS(Actuals!$G:$G,Actuals!$B:$B,$C$3,Actuals!$C:$C,7,Actuals!$D:$D,$B$114,Actuals!$A:$A,LEFT($D$114,FIND("|",$D$114&amp;"|")-1),Actuals!$E:$E,MID($D$114,FIND("|",$D$114&amp;"|")+1,50),Actuals!$F:$F,"GBP")*$H$5)</f>
        <v/>
      </c>
      <c r="O115" s="18">
        <f>IF(OR($B$114="",8&gt;$C$4),"",SUMIFS(Actuals!$G:$G,Actuals!$B:$B,$C$3,Actuals!$C:$C,8,Actuals!$D:$D,$B$114,Actuals!$A:$A,LEFT($D$114,FIND("|",$D$114&amp;"|")-1),Actuals!$E:$E,MID($D$114,FIND("|",$D$114&amp;"|")+1,50),Actuals!$F:$F,"JPY")*$E$5+SUMIFS(Actuals!$G:$G,Actuals!$B:$B,$C$3,Actuals!$C:$C,8,Actuals!$D:$D,$B$114,Actuals!$A:$A,LEFT($D$114,FIND("|",$D$114&amp;"|")-1),Actuals!$E:$E,MID($D$114,FIND("|",$D$114&amp;"|")+1,50),Actuals!$F:$F,"USD")*$F$5+SUMIFS(Actuals!$G:$G,Actuals!$B:$B,$C$3,Actuals!$C:$C,8,Actuals!$D:$D,$B$114,Actuals!$A:$A,LEFT($D$114,FIND("|",$D$114&amp;"|")-1),Actuals!$E:$E,MID($D$114,FIND("|",$D$114&amp;"|")+1,50),Actuals!$F:$F,"EUR")*$G$5+SUMIFS(Actuals!$G:$G,Actuals!$B:$B,$C$3,Actuals!$C:$C,8,Actuals!$D:$D,$B$114,Actuals!$A:$A,LEFT($D$114,FIND("|",$D$114&amp;"|")-1),Actuals!$E:$E,MID($D$114,FIND("|",$D$114&amp;"|")+1,50),Actuals!$F:$F,"GBP")*$H$5)</f>
        <v/>
      </c>
      <c r="P115" s="18">
        <f>IF(OR($B$114="",9&gt;$C$4),"",SUMIFS(Actuals!$G:$G,Actuals!$B:$B,$C$3,Actuals!$C:$C,9,Actuals!$D:$D,$B$114,Actuals!$A:$A,LEFT($D$114,FIND("|",$D$114&amp;"|")-1),Actuals!$E:$E,MID($D$114,FIND("|",$D$114&amp;"|")+1,50),Actuals!$F:$F,"JPY")*$E$5+SUMIFS(Actuals!$G:$G,Actuals!$B:$B,$C$3,Actuals!$C:$C,9,Actuals!$D:$D,$B$114,Actuals!$A:$A,LEFT($D$114,FIND("|",$D$114&amp;"|")-1),Actuals!$E:$E,MID($D$114,FIND("|",$D$114&amp;"|")+1,50),Actuals!$F:$F,"USD")*$F$5+SUMIFS(Actuals!$G:$G,Actuals!$B:$B,$C$3,Actuals!$C:$C,9,Actuals!$D:$D,$B$114,Actuals!$A:$A,LEFT($D$114,FIND("|",$D$114&amp;"|")-1),Actuals!$E:$E,MID($D$114,FIND("|",$D$114&amp;"|")+1,50),Actuals!$F:$F,"EUR")*$G$5+SUMIFS(Actuals!$G:$G,Actuals!$B:$B,$C$3,Actuals!$C:$C,9,Actuals!$D:$D,$B$114,Actuals!$A:$A,LEFT($D$114,FIND("|",$D$114&amp;"|")-1),Actuals!$E:$E,MID($D$114,FIND("|",$D$114&amp;"|")+1,50),Actuals!$F:$F,"GBP")*$H$5)</f>
        <v/>
      </c>
      <c r="Q115" s="18">
        <f>IF(OR($B$114="",10&gt;$C$4),"",SUMIFS(Actuals!$G:$G,Actuals!$B:$B,$C$3,Actuals!$C:$C,10,Actuals!$D:$D,$B$114,Actuals!$A:$A,LEFT($D$114,FIND("|",$D$114&amp;"|")-1),Actuals!$E:$E,MID($D$114,FIND("|",$D$114&amp;"|")+1,50),Actuals!$F:$F,"JPY")*$E$5+SUMIFS(Actuals!$G:$G,Actuals!$B:$B,$C$3,Actuals!$C:$C,10,Actuals!$D:$D,$B$114,Actuals!$A:$A,LEFT($D$114,FIND("|",$D$114&amp;"|")-1),Actuals!$E:$E,MID($D$114,FIND("|",$D$114&amp;"|")+1,50),Actuals!$F:$F,"USD")*$F$5+SUMIFS(Actuals!$G:$G,Actuals!$B:$B,$C$3,Actuals!$C:$C,10,Actuals!$D:$D,$B$114,Actuals!$A:$A,LEFT($D$114,FIND("|",$D$114&amp;"|")-1),Actuals!$E:$E,MID($D$114,FIND("|",$D$114&amp;"|")+1,50),Actuals!$F:$F,"EUR")*$G$5+SUMIFS(Actuals!$G:$G,Actuals!$B:$B,$C$3,Actuals!$C:$C,10,Actuals!$D:$D,$B$114,Actuals!$A:$A,LEFT($D$114,FIND("|",$D$114&amp;"|")-1),Actuals!$E:$E,MID($D$114,FIND("|",$D$114&amp;"|")+1,50),Actuals!$F:$F,"GBP")*$H$5)</f>
        <v/>
      </c>
      <c r="R115" s="18">
        <f>IF(OR($B$114="",11&gt;$C$4),"",SUMIFS(Actuals!$G:$G,Actuals!$B:$B,$C$3,Actuals!$C:$C,11,Actuals!$D:$D,$B$114,Actuals!$A:$A,LEFT($D$114,FIND("|",$D$114&amp;"|")-1),Actuals!$E:$E,MID($D$114,FIND("|",$D$114&amp;"|")+1,50),Actuals!$F:$F,"JPY")*$E$5+SUMIFS(Actuals!$G:$G,Actuals!$B:$B,$C$3,Actuals!$C:$C,11,Actuals!$D:$D,$B$114,Actuals!$A:$A,LEFT($D$114,FIND("|",$D$114&amp;"|")-1),Actuals!$E:$E,MID($D$114,FIND("|",$D$114&amp;"|")+1,50),Actuals!$F:$F,"USD")*$F$5+SUMIFS(Actuals!$G:$G,Actuals!$B:$B,$C$3,Actuals!$C:$C,11,Actuals!$D:$D,$B$114,Actuals!$A:$A,LEFT($D$114,FIND("|",$D$114&amp;"|")-1),Actuals!$E:$E,MID($D$114,FIND("|",$D$114&amp;"|")+1,50),Actuals!$F:$F,"EUR")*$G$5+SUMIFS(Actuals!$G:$G,Actuals!$B:$B,$C$3,Actuals!$C:$C,11,Actuals!$D:$D,$B$114,Actuals!$A:$A,LEFT($D$114,FIND("|",$D$114&amp;"|")-1),Actuals!$E:$E,MID($D$114,FIND("|",$D$114&amp;"|")+1,50),Actuals!$F:$F,"GBP")*$H$5)</f>
        <v/>
      </c>
      <c r="S115" s="18">
        <f>IF(OR($B$114="",12&gt;$C$4),"",SUMIFS(Actuals!$G:$G,Actuals!$B:$B,$C$3,Actuals!$C:$C,12,Actuals!$D:$D,$B$114,Actuals!$A:$A,LEFT($D$114,FIND("|",$D$114&amp;"|")-1),Actuals!$E:$E,MID($D$114,FIND("|",$D$114&amp;"|")+1,50),Actuals!$F:$F,"JPY")*$E$5+SUMIFS(Actuals!$G:$G,Actuals!$B:$B,$C$3,Actuals!$C:$C,12,Actuals!$D:$D,$B$114,Actuals!$A:$A,LEFT($D$114,FIND("|",$D$114&amp;"|")-1),Actuals!$E:$E,MID($D$114,FIND("|",$D$114&amp;"|")+1,50),Actuals!$F:$F,"USD")*$F$5+SUMIFS(Actuals!$G:$G,Actuals!$B:$B,$C$3,Actuals!$C:$C,12,Actuals!$D:$D,$B$114,Actuals!$A:$A,LEFT($D$114,FIND("|",$D$114&amp;"|")-1),Actuals!$E:$E,MID($D$114,FIND("|",$D$114&amp;"|")+1,50),Actuals!$F:$F,"EUR")*$G$5+SUMIFS(Actuals!$G:$G,Actuals!$B:$B,$C$3,Actuals!$C:$C,12,Actuals!$D:$D,$B$114,Actuals!$A:$A,LEFT($D$114,FIND("|",$D$114&amp;"|")-1),Actuals!$E:$E,MID($D$114,FIND("|",$D$114&amp;"|")+1,50),Actuals!$F:$F,"GBP")*$H$5)</f>
        <v/>
      </c>
      <c r="T115" s="18">
        <f>IF($B$114="","",SUMIF($H$7:$S$7,"&lt;="&amp;$C$4,$H115:$S115))</f>
        <v/>
      </c>
      <c r="U115" s="18" t="n"/>
      <c r="V115" s="18" t="n"/>
      <c r="X115" s="22">
        <f>IF($B115="","",IFERROR(INDEX(Cost_Centers!$E:$E,MATCH($B115,Cost_Centers!$A:$A,0)),"(unknown)"))</f>
        <v/>
      </c>
      <c r="Y115" s="22">
        <f>IF($B115="","",IFERROR(INDEX(Cost_Centers!$D:$D,MATCH($B115,Cost_Centers!$A:$A,0)),"(unknown)"))</f>
        <v/>
      </c>
      <c r="Z115" s="22">
        <f>IF(OR($B115="",$G115&lt;&gt;"Variance vs Budget"),"",ABS(N($V115))+ROW()/1000000000)</f>
        <v/>
      </c>
    </row>
    <row r="116">
      <c r="A116" s="13">
        <f>IF(A$114="","",A$114)</f>
        <v/>
      </c>
      <c r="B116" s="13">
        <f>IF(B$114="","",B$114)</f>
        <v/>
      </c>
      <c r="C116" s="13">
        <f>IF(C$114="","",C$114)</f>
        <v/>
      </c>
      <c r="D116" s="13">
        <f>IF(D$114="","",D$114)</f>
        <v/>
      </c>
      <c r="E116" s="13">
        <f>IF(E$114="","",E$114)</f>
        <v/>
      </c>
      <c r="F116" s="13">
        <f>IF(F$114="","",F$114)</f>
        <v/>
      </c>
      <c r="G116" s="6" t="inlineStr">
        <is>
          <t>Variance vs Budget</t>
        </is>
      </c>
      <c r="H116" s="33">
        <f>IF(OR($B$114="",1&gt;$C$4),"",N(H115)-H114)</f>
        <v/>
      </c>
      <c r="I116" s="33">
        <f>IF(OR($B$114="",2&gt;$C$4),"",N(I115)-I114)</f>
        <v/>
      </c>
      <c r="J116" s="33">
        <f>IF(OR($B$114="",3&gt;$C$4),"",N(J115)-J114)</f>
        <v/>
      </c>
      <c r="K116" s="33">
        <f>IF(OR($B$114="",4&gt;$C$4),"",N(K115)-K114)</f>
        <v/>
      </c>
      <c r="L116" s="33">
        <f>IF(OR($B$114="",5&gt;$C$4),"",N(L115)-L114)</f>
        <v/>
      </c>
      <c r="M116" s="33">
        <f>IF(OR($B$114="",6&gt;$C$4),"",N(M115)-M114)</f>
        <v/>
      </c>
      <c r="N116" s="33">
        <f>IF(OR($B$114="",7&gt;$C$4),"",N(N115)-N114)</f>
        <v/>
      </c>
      <c r="O116" s="33">
        <f>IF(OR($B$114="",8&gt;$C$4),"",N(O115)-O114)</f>
        <v/>
      </c>
      <c r="P116" s="33">
        <f>IF(OR($B$114="",9&gt;$C$4),"",N(P115)-P114)</f>
        <v/>
      </c>
      <c r="Q116" s="33">
        <f>IF(OR($B$114="",10&gt;$C$4),"",N(Q115)-Q114)</f>
        <v/>
      </c>
      <c r="R116" s="33">
        <f>IF(OR($B$114="",11&gt;$C$4),"",N(R115)-R114)</f>
        <v/>
      </c>
      <c r="S116" s="33">
        <f>IF(OR($B$114="",12&gt;$C$4),"",N(S115)-S114)</f>
        <v/>
      </c>
      <c r="T116" s="33">
        <f>IF($B$114="","",T115-T114)</f>
        <v/>
      </c>
      <c r="U116" s="33">
        <f>IF($B$114="","",U118-U114)</f>
        <v/>
      </c>
      <c r="V116" s="33">
        <f>IF($B$114="","",V118-V114)</f>
        <v/>
      </c>
      <c r="X116" s="22">
        <f>IF($B116="","",IFERROR(INDEX(Cost_Centers!$E:$E,MATCH($B116,Cost_Centers!$A:$A,0)),"(unknown)"))</f>
        <v/>
      </c>
      <c r="Y116" s="22">
        <f>IF($B116="","",IFERROR(INDEX(Cost_Centers!$D:$D,MATCH($B116,Cost_Centers!$A:$A,0)),"(unknown)"))</f>
        <v/>
      </c>
      <c r="Z116" s="22">
        <f>IF(OR($B116="",$G116&lt;&gt;"Variance vs Budget"),"",ABS(N($V116))+ROW()/1000000000)</f>
        <v/>
      </c>
    </row>
    <row r="117">
      <c r="A117" s="13">
        <f>IF(A$114="","",A$114)</f>
        <v/>
      </c>
      <c r="B117" s="13">
        <f>IF(B$114="","",B$114)</f>
        <v/>
      </c>
      <c r="C117" s="13">
        <f>IF(C$114="","",C$114)</f>
        <v/>
      </c>
      <c r="D117" s="13">
        <f>IF(D$114="","",D$114)</f>
        <v/>
      </c>
      <c r="E117" s="13">
        <f>IF(E$114="","",E$114)</f>
        <v/>
      </c>
      <c r="F117" s="13">
        <f>IF(F$114="","",F$114)</f>
        <v/>
      </c>
      <c r="G117" s="7" t="inlineStr">
        <is>
          <t>Forecast (input)</t>
        </is>
      </c>
      <c r="H117" s="34" t="n"/>
      <c r="I117" s="34" t="n"/>
      <c r="J117" s="34" t="n"/>
      <c r="K117" s="34" t="n"/>
      <c r="L117" s="34" t="n"/>
      <c r="M117" s="34" t="n"/>
      <c r="N117" s="34" t="n"/>
      <c r="O117" s="34" t="n"/>
      <c r="P117" s="34" t="n"/>
      <c r="Q117" s="34" t="n"/>
      <c r="R117" s="34" t="n"/>
      <c r="S117" s="34" t="n"/>
      <c r="T117" s="18" t="n"/>
      <c r="U117" s="18" t="n"/>
      <c r="V117" s="18" t="n"/>
      <c r="X117" s="22">
        <f>IF($B117="","",IFERROR(INDEX(Cost_Centers!$E:$E,MATCH($B117,Cost_Centers!$A:$A,0)),"(unknown)"))</f>
        <v/>
      </c>
      <c r="Y117" s="22">
        <f>IF($B117="","",IFERROR(INDEX(Cost_Centers!$D:$D,MATCH($B117,Cost_Centers!$A:$A,0)),"(unknown)"))</f>
        <v/>
      </c>
      <c r="Z117" s="22">
        <f>IF(OR($B117="",$G117&lt;&gt;"Variance vs Budget"),"",ABS(N($V117))+ROW()/1000000000)</f>
        <v/>
      </c>
    </row>
    <row r="118">
      <c r="A118" s="13">
        <f>IF(A$114="","",A$114)</f>
        <v/>
      </c>
      <c r="B118" s="13">
        <f>IF(B$114="","",B$114)</f>
        <v/>
      </c>
      <c r="C118" s="13">
        <f>IF(C$114="","",C$114)</f>
        <v/>
      </c>
      <c r="D118" s="13">
        <f>IF(D$114="","",D$114)</f>
        <v/>
      </c>
      <c r="E118" s="13">
        <f>IF(E$114="","",E$114)</f>
        <v/>
      </c>
      <c r="F118" s="13">
        <f>IF(F$114="","",F$114)</f>
        <v/>
      </c>
      <c r="G118" s="35" t="inlineStr">
        <is>
          <t>Actual + Forecast</t>
        </is>
      </c>
      <c r="H118" s="18">
        <f>IF($B$114="","",IF(1&lt;=$C$4,N(H115),IF(H117="",H114,H117)))</f>
        <v/>
      </c>
      <c r="I118" s="18">
        <f>IF($B$114="","",IF(2&lt;=$C$4,N(I115),IF(I117="",I114,I117)))</f>
        <v/>
      </c>
      <c r="J118" s="18">
        <f>IF($B$114="","",IF(3&lt;=$C$4,N(J115),IF(J117="",J114,J117)))</f>
        <v/>
      </c>
      <c r="K118" s="18">
        <f>IF($B$114="","",IF(4&lt;=$C$4,N(K115),IF(K117="",K114,K117)))</f>
        <v/>
      </c>
      <c r="L118" s="18">
        <f>IF($B$114="","",IF(5&lt;=$C$4,N(L115),IF(L117="",L114,L117)))</f>
        <v/>
      </c>
      <c r="M118" s="18">
        <f>IF($B$114="","",IF(6&lt;=$C$4,N(M115),IF(M117="",M114,M117)))</f>
        <v/>
      </c>
      <c r="N118" s="18">
        <f>IF($B$114="","",IF(7&lt;=$C$4,N(N115),IF(N117="",N114,N117)))</f>
        <v/>
      </c>
      <c r="O118" s="18">
        <f>IF($B$114="","",IF(8&lt;=$C$4,N(O115),IF(O117="",O114,O117)))</f>
        <v/>
      </c>
      <c r="P118" s="18">
        <f>IF($B$114="","",IF(9&lt;=$C$4,N(P115),IF(P117="",P114,P117)))</f>
        <v/>
      </c>
      <c r="Q118" s="18">
        <f>IF($B$114="","",IF(10&lt;=$C$4,N(Q115),IF(Q117="",Q114,Q117)))</f>
        <v/>
      </c>
      <c r="R118" s="18">
        <f>IF($B$114="","",IF(11&lt;=$C$4,N(R115),IF(R117="",R114,R117)))</f>
        <v/>
      </c>
      <c r="S118" s="18">
        <f>IF($B$114="","",IF(12&lt;=$C$4,N(S115),IF(S117="",S114,S117)))</f>
        <v/>
      </c>
      <c r="T118" s="18">
        <f>IF($B$114="","",SUMIF($H$7:$S$7,"&lt;="&amp;$C$4,$H118:$S118))</f>
        <v/>
      </c>
      <c r="U118" s="18">
        <f>IF($B$114="","",SUMIF($H$7:$S$7,"&gt;"&amp;$C$4,$H118:$S118))</f>
        <v/>
      </c>
      <c r="V118" s="18">
        <f>IF($B$114="","",SUM($H118:$S118))</f>
        <v/>
      </c>
      <c r="X118" s="22">
        <f>IF($B118="","",IFERROR(INDEX(Cost_Centers!$E:$E,MATCH($B118,Cost_Centers!$A:$A,0)),"(unknown)"))</f>
        <v/>
      </c>
      <c r="Y118" s="22">
        <f>IF($B118="","",IFERROR(INDEX(Cost_Centers!$D:$D,MATCH($B118,Cost_Centers!$A:$A,0)),"(unknown)"))</f>
        <v/>
      </c>
      <c r="Z118" s="22">
        <f>IF(OR($B118="",$G118&lt;&gt;"Variance vs Budget"),"",ABS(N($V118))+ROW()/1000000000)</f>
        <v/>
      </c>
    </row>
    <row r="119">
      <c r="A119" s="13">
        <f>IF(A$114="","",A$114)</f>
        <v/>
      </c>
      <c r="B119" s="13">
        <f>IF(B$114="","",B$114)</f>
        <v/>
      </c>
      <c r="C119" s="13">
        <f>IF(C$114="","",C$114)</f>
        <v/>
      </c>
      <c r="D119" s="13">
        <f>IF(D$114="","",D$114)</f>
        <v/>
      </c>
      <c r="E119" s="13">
        <f>IF(E$114="","",E$114)</f>
        <v/>
      </c>
      <c r="F119" s="13">
        <f>IF(F$114="","",F$114)</f>
        <v/>
      </c>
      <c r="G119" s="36" t="inlineStr">
        <is>
          <t>Prior Month Forecast</t>
        </is>
      </c>
      <c r="H119" s="37">
        <f>IF($B$114="","",IF(COUNTIFS(Prior_Forecast!$A:$A,$B$114,Prior_Forecast!$B:$B,$D$114)&gt;0,SUMIFS(Prior_Forecast!$C:$C,Prior_Forecast!$A:$A,$B$114,Prior_Forecast!$B:$B,$D$114),""))</f>
        <v/>
      </c>
      <c r="I119" s="37">
        <f>IF($B$114="","",IF(COUNTIFS(Prior_Forecast!$A:$A,$B$114,Prior_Forecast!$B:$B,$D$114)&gt;0,SUMIFS(Prior_Forecast!$D:$D,Prior_Forecast!$A:$A,$B$114,Prior_Forecast!$B:$B,$D$114),""))</f>
        <v/>
      </c>
      <c r="J119" s="37">
        <f>IF($B$114="","",IF(COUNTIFS(Prior_Forecast!$A:$A,$B$114,Prior_Forecast!$B:$B,$D$114)&gt;0,SUMIFS(Prior_Forecast!$E:$E,Prior_Forecast!$A:$A,$B$114,Prior_Forecast!$B:$B,$D$114),""))</f>
        <v/>
      </c>
      <c r="K119" s="37">
        <f>IF($B$114="","",IF(COUNTIFS(Prior_Forecast!$A:$A,$B$114,Prior_Forecast!$B:$B,$D$114)&gt;0,SUMIFS(Prior_Forecast!$F:$F,Prior_Forecast!$A:$A,$B$114,Prior_Forecast!$B:$B,$D$114),""))</f>
        <v/>
      </c>
      <c r="L119" s="37">
        <f>IF($B$114="","",IF(COUNTIFS(Prior_Forecast!$A:$A,$B$114,Prior_Forecast!$B:$B,$D$114)&gt;0,SUMIFS(Prior_Forecast!$G:$G,Prior_Forecast!$A:$A,$B$114,Prior_Forecast!$B:$B,$D$114),""))</f>
        <v/>
      </c>
      <c r="M119" s="37">
        <f>IF($B$114="","",IF(COUNTIFS(Prior_Forecast!$A:$A,$B$114,Prior_Forecast!$B:$B,$D$114)&gt;0,SUMIFS(Prior_Forecast!$H:$H,Prior_Forecast!$A:$A,$B$114,Prior_Forecast!$B:$B,$D$114),""))</f>
        <v/>
      </c>
      <c r="N119" s="37">
        <f>IF($B$114="","",IF(COUNTIFS(Prior_Forecast!$A:$A,$B$114,Prior_Forecast!$B:$B,$D$114)&gt;0,SUMIFS(Prior_Forecast!$I:$I,Prior_Forecast!$A:$A,$B$114,Prior_Forecast!$B:$B,$D$114),""))</f>
        <v/>
      </c>
      <c r="O119" s="37">
        <f>IF($B$114="","",IF(COUNTIFS(Prior_Forecast!$A:$A,$B$114,Prior_Forecast!$B:$B,$D$114)&gt;0,SUMIFS(Prior_Forecast!$J:$J,Prior_Forecast!$A:$A,$B$114,Prior_Forecast!$B:$B,$D$114),""))</f>
        <v/>
      </c>
      <c r="P119" s="37">
        <f>IF($B$114="","",IF(COUNTIFS(Prior_Forecast!$A:$A,$B$114,Prior_Forecast!$B:$B,$D$114)&gt;0,SUMIFS(Prior_Forecast!$K:$K,Prior_Forecast!$A:$A,$B$114,Prior_Forecast!$B:$B,$D$114),""))</f>
        <v/>
      </c>
      <c r="Q119" s="37">
        <f>IF($B$114="","",IF(COUNTIFS(Prior_Forecast!$A:$A,$B$114,Prior_Forecast!$B:$B,$D$114)&gt;0,SUMIFS(Prior_Forecast!$L:$L,Prior_Forecast!$A:$A,$B$114,Prior_Forecast!$B:$B,$D$114),""))</f>
        <v/>
      </c>
      <c r="R119" s="37">
        <f>IF($B$114="","",IF(COUNTIFS(Prior_Forecast!$A:$A,$B$114,Prior_Forecast!$B:$B,$D$114)&gt;0,SUMIFS(Prior_Forecast!$M:$M,Prior_Forecast!$A:$A,$B$114,Prior_Forecast!$B:$B,$D$114),""))</f>
        <v/>
      </c>
      <c r="S119" s="37">
        <f>IF($B$114="","",IF(COUNTIFS(Prior_Forecast!$A:$A,$B$114,Prior_Forecast!$B:$B,$D$114)&gt;0,SUMIFS(Prior_Forecast!$N:$N,Prior_Forecast!$A:$A,$B$114,Prior_Forecast!$B:$B,$D$114),""))</f>
        <v/>
      </c>
      <c r="T119" s="37">
        <f>IF($B$114="","",IF(COUNTIFS(Prior_Forecast!$A:$A,$B$114,Prior_Forecast!$B:$B,$D$114)&gt;0,SUMIFS(Prior_Forecast!$O:$O,Prior_Forecast!$A:$A,$B$114,Prior_Forecast!$B:$B,$D$114),""))</f>
        <v/>
      </c>
      <c r="U119" s="37">
        <f>IF($B$114="","",IF(COUNTIFS(Prior_Forecast!$A:$A,$B$114,Prior_Forecast!$B:$B,$D$114)&gt;0,SUMIFS(Prior_Forecast!$P:$P,Prior_Forecast!$A:$A,$B$114,Prior_Forecast!$B:$B,$D$114),""))</f>
        <v/>
      </c>
      <c r="V119" s="37">
        <f>IF($B$114="","",IF(COUNTIFS(Prior_Forecast!$A:$A,$B$114,Prior_Forecast!$B:$B,$D$114)&gt;0,SUMIFS(Prior_Forecast!$Q:$Q,Prior_Forecast!$A:$A,$B$114,Prior_Forecast!$B:$B,$D$114),""))</f>
        <v/>
      </c>
      <c r="X119" s="22">
        <f>IF($B119="","",IFERROR(INDEX(Cost_Centers!$E:$E,MATCH($B119,Cost_Centers!$A:$A,0)),"(unknown)"))</f>
        <v/>
      </c>
      <c r="Y119" s="22">
        <f>IF($B119="","",IFERROR(INDEX(Cost_Centers!$D:$D,MATCH($B119,Cost_Centers!$A:$A,0)),"(unknown)"))</f>
        <v/>
      </c>
      <c r="Z119" s="22">
        <f>IF(OR($B119="",$G119&lt;&gt;"Variance vs Budget"),"",ABS(N($V119))+ROW()/1000000000)</f>
        <v/>
      </c>
    </row>
    <row r="120">
      <c r="A120" s="13">
        <f>IF(A$114="","",A$114)</f>
        <v/>
      </c>
      <c r="B120" s="13">
        <f>IF(B$114="","",B$114)</f>
        <v/>
      </c>
      <c r="C120" s="13">
        <f>IF(C$114="","",C$114)</f>
        <v/>
      </c>
      <c r="D120" s="13">
        <f>IF(D$114="","",D$114)</f>
        <v/>
      </c>
      <c r="E120" s="13">
        <f>IF(E$114="","",E$114)</f>
        <v/>
      </c>
      <c r="F120" s="13">
        <f>IF(F$114="","",F$114)</f>
        <v/>
      </c>
      <c r="G120" s="6" t="inlineStr">
        <is>
          <t>Variance vs Prior Month</t>
        </is>
      </c>
      <c r="H120" s="33">
        <f>IF(OR($B$114="",H119=""),"",H118-H119)</f>
        <v/>
      </c>
      <c r="I120" s="33">
        <f>IF(OR($B$114="",I119=""),"",I118-I119)</f>
        <v/>
      </c>
      <c r="J120" s="33">
        <f>IF(OR($B$114="",J119=""),"",J118-J119)</f>
        <v/>
      </c>
      <c r="K120" s="33">
        <f>IF(OR($B$114="",K119=""),"",K118-K119)</f>
        <v/>
      </c>
      <c r="L120" s="33">
        <f>IF(OR($B$114="",L119=""),"",L118-L119)</f>
        <v/>
      </c>
      <c r="M120" s="33">
        <f>IF(OR($B$114="",M119=""),"",M118-M119)</f>
        <v/>
      </c>
      <c r="N120" s="33">
        <f>IF(OR($B$114="",N119=""),"",N118-N119)</f>
        <v/>
      </c>
      <c r="O120" s="33">
        <f>IF(OR($B$114="",O119=""),"",O118-O119)</f>
        <v/>
      </c>
      <c r="P120" s="33">
        <f>IF(OR($B$114="",P119=""),"",P118-P119)</f>
        <v/>
      </c>
      <c r="Q120" s="33">
        <f>IF(OR($B$114="",Q119=""),"",Q118-Q119)</f>
        <v/>
      </c>
      <c r="R120" s="33">
        <f>IF(OR($B$114="",R119=""),"",R118-R119)</f>
        <v/>
      </c>
      <c r="S120" s="33">
        <f>IF(OR($B$114="",S119=""),"",S118-S119)</f>
        <v/>
      </c>
      <c r="T120" s="33">
        <f>IF(OR($B$114="",T119=""),"",T118-T119)</f>
        <v/>
      </c>
      <c r="U120" s="33">
        <f>IF(OR($B$114="",U119=""),"",U118-U119)</f>
        <v/>
      </c>
      <c r="V120" s="33">
        <f>IF(OR($B$114="",V119=""),"",V118-V119)</f>
        <v/>
      </c>
      <c r="X120" s="22">
        <f>IF($B120="","",IFERROR(INDEX(Cost_Centers!$E:$E,MATCH($B120,Cost_Centers!$A:$A,0)),"(unknown)"))</f>
        <v/>
      </c>
      <c r="Y120" s="22">
        <f>IF($B120="","",IFERROR(INDEX(Cost_Centers!$D:$D,MATCH($B120,Cost_Centers!$A:$A,0)),"(unknown)"))</f>
        <v/>
      </c>
      <c r="Z120" s="22">
        <f>IF(OR($B120="",$G120&lt;&gt;"Variance vs Budget"),"",ABS(N($V120))+ROW()/1000000000)</f>
        <v/>
      </c>
    </row>
    <row r="121" ht="45" customHeight="1">
      <c r="A121" s="13">
        <f>IF(A$114="","",A$114)</f>
        <v/>
      </c>
      <c r="B121" s="13">
        <f>IF(B$114="","",B$114)</f>
        <v/>
      </c>
      <c r="C121" s="13">
        <f>IF(C$114="","",C$114)</f>
        <v/>
      </c>
      <c r="D121" s="13">
        <f>IF(D$114="","",D$114)</f>
        <v/>
      </c>
      <c r="E121" s="13">
        <f>IF(E$114="","",E$114)</f>
        <v/>
      </c>
      <c r="F121" s="13">
        <f>IF(F$114="","",F$114)</f>
        <v/>
      </c>
      <c r="G121" s="7" t="inlineStr">
        <is>
          <t>Rationale</t>
        </is>
      </c>
      <c r="H121" s="38" t="n"/>
      <c r="I121" s="38" t="n"/>
      <c r="J121" s="38" t="n"/>
      <c r="K121" s="38" t="n"/>
      <c r="L121" s="38" t="n"/>
      <c r="M121" s="38" t="n"/>
      <c r="N121" s="38" t="n"/>
      <c r="O121" s="38" t="n"/>
      <c r="P121" s="38" t="n"/>
      <c r="Q121" s="38" t="n"/>
      <c r="R121" s="38" t="n"/>
      <c r="S121" s="38" t="n"/>
      <c r="T121" s="38" t="n"/>
      <c r="U121" s="38" t="n"/>
      <c r="V121" s="7" t="n"/>
      <c r="X121" s="22">
        <f>IF($B121="","",IFERROR(INDEX(Cost_Centers!$E:$E,MATCH($B121,Cost_Centers!$A:$A,0)),"(unknown)"))</f>
        <v/>
      </c>
      <c r="Y121" s="22">
        <f>IF($B121="","",IFERROR(INDEX(Cost_Centers!$D:$D,MATCH($B121,Cost_Centers!$A:$A,0)),"(unknown)"))</f>
        <v/>
      </c>
      <c r="Z121" s="22">
        <f>IF(OR($B121="",$G121&lt;&gt;"Variance vs Budget"),"",ABS(N($V121))+ROW()/1000000000)</f>
        <v/>
      </c>
    </row>
    <row r="122">
      <c r="A122" s="30">
        <f>IF($D$122="","",LEFT($D$122,FIND("|",$D$122&amp;"|")-1))</f>
        <v/>
      </c>
      <c r="B122" s="31" t="n"/>
      <c r="C122" s="30">
        <f>IF($B$122="","",IFERROR(INDEX(Cost_Centers!$B:$B,MATCH($B$122,Cost_Centers!$A:$A,0)),"(not in master)"))</f>
        <v/>
      </c>
      <c r="D122" s="31" t="n"/>
      <c r="E122" s="30">
        <f>IF($D$122="","",IFERROR(INDEX(Accounts!$D:$D,MATCH($D$122,Accounts!$A:$A,0)),"(not in master)"))</f>
        <v/>
      </c>
      <c r="F122" s="31" t="n"/>
      <c r="G122" s="30" t="inlineStr">
        <is>
          <t>Budget</t>
        </is>
      </c>
      <c r="H122" s="32">
        <f>IF($B$122="","",SUMIFS(Opex_Budget!$O:$O,Opex_Budget!$A:$A,$C$3,Opex_Budget!$E:$E,$B$122,Opex_Budget!$F:$F,$D$122,Opex_Budget!$N:$N,"JPY")*$E$5+SUMIFS(Opex_Budget!$O:$O,Opex_Budget!$A:$A,$C$3,Opex_Budget!$E:$E,$B$122,Opex_Budget!$F:$F,$D$122,Opex_Budget!$N:$N,"USD")*$F$5+SUMIFS(Opex_Budget!$O:$O,Opex_Budget!$A:$A,$C$3,Opex_Budget!$E:$E,$B$122,Opex_Budget!$F:$F,$D$122,Opex_Budget!$N:$N,"EUR")*$G$5+SUMIFS(Opex_Budget!$O:$O,Opex_Budget!$A:$A,$C$3,Opex_Budget!$E:$E,$B$122,Opex_Budget!$F:$F,$D$122,Opex_Budget!$N:$N,"GBP")*$H$5)</f>
        <v/>
      </c>
      <c r="I122" s="32">
        <f>IF($B$122="","",SUMIFS(Opex_Budget!$P:$P,Opex_Budget!$A:$A,$C$3,Opex_Budget!$E:$E,$B$122,Opex_Budget!$F:$F,$D$122,Opex_Budget!$N:$N,"JPY")*$E$5+SUMIFS(Opex_Budget!$P:$P,Opex_Budget!$A:$A,$C$3,Opex_Budget!$E:$E,$B$122,Opex_Budget!$F:$F,$D$122,Opex_Budget!$N:$N,"USD")*$F$5+SUMIFS(Opex_Budget!$P:$P,Opex_Budget!$A:$A,$C$3,Opex_Budget!$E:$E,$B$122,Opex_Budget!$F:$F,$D$122,Opex_Budget!$N:$N,"EUR")*$G$5+SUMIFS(Opex_Budget!$P:$P,Opex_Budget!$A:$A,$C$3,Opex_Budget!$E:$E,$B$122,Opex_Budget!$F:$F,$D$122,Opex_Budget!$N:$N,"GBP")*$H$5)</f>
        <v/>
      </c>
      <c r="J122" s="32">
        <f>IF($B$122="","",SUMIFS(Opex_Budget!$Q:$Q,Opex_Budget!$A:$A,$C$3,Opex_Budget!$E:$E,$B$122,Opex_Budget!$F:$F,$D$122,Opex_Budget!$N:$N,"JPY")*$E$5+SUMIFS(Opex_Budget!$Q:$Q,Opex_Budget!$A:$A,$C$3,Opex_Budget!$E:$E,$B$122,Opex_Budget!$F:$F,$D$122,Opex_Budget!$N:$N,"USD")*$F$5+SUMIFS(Opex_Budget!$Q:$Q,Opex_Budget!$A:$A,$C$3,Opex_Budget!$E:$E,$B$122,Opex_Budget!$F:$F,$D$122,Opex_Budget!$N:$N,"EUR")*$G$5+SUMIFS(Opex_Budget!$Q:$Q,Opex_Budget!$A:$A,$C$3,Opex_Budget!$E:$E,$B$122,Opex_Budget!$F:$F,$D$122,Opex_Budget!$N:$N,"GBP")*$H$5)</f>
        <v/>
      </c>
      <c r="K122" s="32">
        <f>IF($B$122="","",SUMIFS(Opex_Budget!$R:$R,Opex_Budget!$A:$A,$C$3,Opex_Budget!$E:$E,$B$122,Opex_Budget!$F:$F,$D$122,Opex_Budget!$N:$N,"JPY")*$E$5+SUMIFS(Opex_Budget!$R:$R,Opex_Budget!$A:$A,$C$3,Opex_Budget!$E:$E,$B$122,Opex_Budget!$F:$F,$D$122,Opex_Budget!$N:$N,"USD")*$F$5+SUMIFS(Opex_Budget!$R:$R,Opex_Budget!$A:$A,$C$3,Opex_Budget!$E:$E,$B$122,Opex_Budget!$F:$F,$D$122,Opex_Budget!$N:$N,"EUR")*$G$5+SUMIFS(Opex_Budget!$R:$R,Opex_Budget!$A:$A,$C$3,Opex_Budget!$E:$E,$B$122,Opex_Budget!$F:$F,$D$122,Opex_Budget!$N:$N,"GBP")*$H$5)</f>
        <v/>
      </c>
      <c r="L122" s="32">
        <f>IF($B$122="","",SUMIFS(Opex_Budget!$S:$S,Opex_Budget!$A:$A,$C$3,Opex_Budget!$E:$E,$B$122,Opex_Budget!$F:$F,$D$122,Opex_Budget!$N:$N,"JPY")*$E$5+SUMIFS(Opex_Budget!$S:$S,Opex_Budget!$A:$A,$C$3,Opex_Budget!$E:$E,$B$122,Opex_Budget!$F:$F,$D$122,Opex_Budget!$N:$N,"USD")*$F$5+SUMIFS(Opex_Budget!$S:$S,Opex_Budget!$A:$A,$C$3,Opex_Budget!$E:$E,$B$122,Opex_Budget!$F:$F,$D$122,Opex_Budget!$N:$N,"EUR")*$G$5+SUMIFS(Opex_Budget!$S:$S,Opex_Budget!$A:$A,$C$3,Opex_Budget!$E:$E,$B$122,Opex_Budget!$F:$F,$D$122,Opex_Budget!$N:$N,"GBP")*$H$5)</f>
        <v/>
      </c>
      <c r="M122" s="32">
        <f>IF($B$122="","",SUMIFS(Opex_Budget!$T:$T,Opex_Budget!$A:$A,$C$3,Opex_Budget!$E:$E,$B$122,Opex_Budget!$F:$F,$D$122,Opex_Budget!$N:$N,"JPY")*$E$5+SUMIFS(Opex_Budget!$T:$T,Opex_Budget!$A:$A,$C$3,Opex_Budget!$E:$E,$B$122,Opex_Budget!$F:$F,$D$122,Opex_Budget!$N:$N,"USD")*$F$5+SUMIFS(Opex_Budget!$T:$T,Opex_Budget!$A:$A,$C$3,Opex_Budget!$E:$E,$B$122,Opex_Budget!$F:$F,$D$122,Opex_Budget!$N:$N,"EUR")*$G$5+SUMIFS(Opex_Budget!$T:$T,Opex_Budget!$A:$A,$C$3,Opex_Budget!$E:$E,$B$122,Opex_Budget!$F:$F,$D$122,Opex_Budget!$N:$N,"GBP")*$H$5)</f>
        <v/>
      </c>
      <c r="N122" s="32">
        <f>IF($B$122="","",SUMIFS(Opex_Budget!$U:$U,Opex_Budget!$A:$A,$C$3,Opex_Budget!$E:$E,$B$122,Opex_Budget!$F:$F,$D$122,Opex_Budget!$N:$N,"JPY")*$E$5+SUMIFS(Opex_Budget!$U:$U,Opex_Budget!$A:$A,$C$3,Opex_Budget!$E:$E,$B$122,Opex_Budget!$F:$F,$D$122,Opex_Budget!$N:$N,"USD")*$F$5+SUMIFS(Opex_Budget!$U:$U,Opex_Budget!$A:$A,$C$3,Opex_Budget!$E:$E,$B$122,Opex_Budget!$F:$F,$D$122,Opex_Budget!$N:$N,"EUR")*$G$5+SUMIFS(Opex_Budget!$U:$U,Opex_Budget!$A:$A,$C$3,Opex_Budget!$E:$E,$B$122,Opex_Budget!$F:$F,$D$122,Opex_Budget!$N:$N,"GBP")*$H$5)</f>
        <v/>
      </c>
      <c r="O122" s="32">
        <f>IF($B$122="","",SUMIFS(Opex_Budget!$V:$V,Opex_Budget!$A:$A,$C$3,Opex_Budget!$E:$E,$B$122,Opex_Budget!$F:$F,$D$122,Opex_Budget!$N:$N,"JPY")*$E$5+SUMIFS(Opex_Budget!$V:$V,Opex_Budget!$A:$A,$C$3,Opex_Budget!$E:$E,$B$122,Opex_Budget!$F:$F,$D$122,Opex_Budget!$N:$N,"USD")*$F$5+SUMIFS(Opex_Budget!$V:$V,Opex_Budget!$A:$A,$C$3,Opex_Budget!$E:$E,$B$122,Opex_Budget!$F:$F,$D$122,Opex_Budget!$N:$N,"EUR")*$G$5+SUMIFS(Opex_Budget!$V:$V,Opex_Budget!$A:$A,$C$3,Opex_Budget!$E:$E,$B$122,Opex_Budget!$F:$F,$D$122,Opex_Budget!$N:$N,"GBP")*$H$5)</f>
        <v/>
      </c>
      <c r="P122" s="32">
        <f>IF($B$122="","",SUMIFS(Opex_Budget!$W:$W,Opex_Budget!$A:$A,$C$3,Opex_Budget!$E:$E,$B$122,Opex_Budget!$F:$F,$D$122,Opex_Budget!$N:$N,"JPY")*$E$5+SUMIFS(Opex_Budget!$W:$W,Opex_Budget!$A:$A,$C$3,Opex_Budget!$E:$E,$B$122,Opex_Budget!$F:$F,$D$122,Opex_Budget!$N:$N,"USD")*$F$5+SUMIFS(Opex_Budget!$W:$W,Opex_Budget!$A:$A,$C$3,Opex_Budget!$E:$E,$B$122,Opex_Budget!$F:$F,$D$122,Opex_Budget!$N:$N,"EUR")*$G$5+SUMIFS(Opex_Budget!$W:$W,Opex_Budget!$A:$A,$C$3,Opex_Budget!$E:$E,$B$122,Opex_Budget!$F:$F,$D$122,Opex_Budget!$N:$N,"GBP")*$H$5)</f>
        <v/>
      </c>
      <c r="Q122" s="32">
        <f>IF($B$122="","",SUMIFS(Opex_Budget!$X:$X,Opex_Budget!$A:$A,$C$3,Opex_Budget!$E:$E,$B$122,Opex_Budget!$F:$F,$D$122,Opex_Budget!$N:$N,"JPY")*$E$5+SUMIFS(Opex_Budget!$X:$X,Opex_Budget!$A:$A,$C$3,Opex_Budget!$E:$E,$B$122,Opex_Budget!$F:$F,$D$122,Opex_Budget!$N:$N,"USD")*$F$5+SUMIFS(Opex_Budget!$X:$X,Opex_Budget!$A:$A,$C$3,Opex_Budget!$E:$E,$B$122,Opex_Budget!$F:$F,$D$122,Opex_Budget!$N:$N,"EUR")*$G$5+SUMIFS(Opex_Budget!$X:$X,Opex_Budget!$A:$A,$C$3,Opex_Budget!$E:$E,$B$122,Opex_Budget!$F:$F,$D$122,Opex_Budget!$N:$N,"GBP")*$H$5)</f>
        <v/>
      </c>
      <c r="R122" s="32">
        <f>IF($B$122="","",SUMIFS(Opex_Budget!$Y:$Y,Opex_Budget!$A:$A,$C$3,Opex_Budget!$E:$E,$B$122,Opex_Budget!$F:$F,$D$122,Opex_Budget!$N:$N,"JPY")*$E$5+SUMIFS(Opex_Budget!$Y:$Y,Opex_Budget!$A:$A,$C$3,Opex_Budget!$E:$E,$B$122,Opex_Budget!$F:$F,$D$122,Opex_Budget!$N:$N,"USD")*$F$5+SUMIFS(Opex_Budget!$Y:$Y,Opex_Budget!$A:$A,$C$3,Opex_Budget!$E:$E,$B$122,Opex_Budget!$F:$F,$D$122,Opex_Budget!$N:$N,"EUR")*$G$5+SUMIFS(Opex_Budget!$Y:$Y,Opex_Budget!$A:$A,$C$3,Opex_Budget!$E:$E,$B$122,Opex_Budget!$F:$F,$D$122,Opex_Budget!$N:$N,"GBP")*$H$5)</f>
        <v/>
      </c>
      <c r="S122" s="32">
        <f>IF($B$122="","",SUMIFS(Opex_Budget!$Z:$Z,Opex_Budget!$A:$A,$C$3,Opex_Budget!$E:$E,$B$122,Opex_Budget!$F:$F,$D$122,Opex_Budget!$N:$N,"JPY")*$E$5+SUMIFS(Opex_Budget!$Z:$Z,Opex_Budget!$A:$A,$C$3,Opex_Budget!$E:$E,$B$122,Opex_Budget!$F:$F,$D$122,Opex_Budget!$N:$N,"USD")*$F$5+SUMIFS(Opex_Budget!$Z:$Z,Opex_Budget!$A:$A,$C$3,Opex_Budget!$E:$E,$B$122,Opex_Budget!$F:$F,$D$122,Opex_Budget!$N:$N,"EUR")*$G$5+SUMIFS(Opex_Budget!$Z:$Z,Opex_Budget!$A:$A,$C$3,Opex_Budget!$E:$E,$B$122,Opex_Budget!$F:$F,$D$122,Opex_Budget!$N:$N,"GBP")*$H$5)</f>
        <v/>
      </c>
      <c r="T122" s="32">
        <f>IF($B$122="","",SUMIF($H$7:$S$7,"&lt;="&amp;$C$4,$H122:$S122))</f>
        <v/>
      </c>
      <c r="U122" s="32">
        <f>IF($B$122="","",SUMIF($H$7:$S$7,"&gt;"&amp;$C$4,$H122:$S122))</f>
        <v/>
      </c>
      <c r="V122" s="32">
        <f>IF($B$122="","",SUM($H122:$S122))</f>
        <v/>
      </c>
      <c r="X122" s="22">
        <f>IF($B122="","",IFERROR(INDEX(Cost_Centers!$E:$E,MATCH($B122,Cost_Centers!$A:$A,0)),"(unknown)"))</f>
        <v/>
      </c>
      <c r="Y122" s="22">
        <f>IF($B122="","",IFERROR(INDEX(Cost_Centers!$D:$D,MATCH($B122,Cost_Centers!$A:$A,0)),"(unknown)"))</f>
        <v/>
      </c>
      <c r="Z122" s="22">
        <f>IF(OR($B122="",$G122&lt;&gt;"Variance vs Budget"),"",ABS(N($V122))+ROW()/1000000000)</f>
        <v/>
      </c>
    </row>
    <row r="123">
      <c r="A123" s="13">
        <f>IF(A$122="","",A$122)</f>
        <v/>
      </c>
      <c r="B123" s="13">
        <f>IF(B$122="","",B$122)</f>
        <v/>
      </c>
      <c r="C123" s="13">
        <f>IF(C$122="","",C$122)</f>
        <v/>
      </c>
      <c r="D123" s="13">
        <f>IF(D$122="","",D$122)</f>
        <v/>
      </c>
      <c r="E123" s="13">
        <f>IF(E$122="","",E$122)</f>
        <v/>
      </c>
      <c r="F123" s="13">
        <f>IF(F$122="","",F$122)</f>
        <v/>
      </c>
      <c r="G123" s="7" t="inlineStr">
        <is>
          <t>Actual</t>
        </is>
      </c>
      <c r="H123" s="18">
        <f>IF(OR($B$122="",1&gt;$C$4),"",SUMIFS(Actuals!$G:$G,Actuals!$B:$B,$C$3,Actuals!$C:$C,1,Actuals!$D:$D,$B$122,Actuals!$A:$A,LEFT($D$122,FIND("|",$D$122&amp;"|")-1),Actuals!$E:$E,MID($D$122,FIND("|",$D$122&amp;"|")+1,50),Actuals!$F:$F,"JPY")*$E$5+SUMIFS(Actuals!$G:$G,Actuals!$B:$B,$C$3,Actuals!$C:$C,1,Actuals!$D:$D,$B$122,Actuals!$A:$A,LEFT($D$122,FIND("|",$D$122&amp;"|")-1),Actuals!$E:$E,MID($D$122,FIND("|",$D$122&amp;"|")+1,50),Actuals!$F:$F,"USD")*$F$5+SUMIFS(Actuals!$G:$G,Actuals!$B:$B,$C$3,Actuals!$C:$C,1,Actuals!$D:$D,$B$122,Actuals!$A:$A,LEFT($D$122,FIND("|",$D$122&amp;"|")-1),Actuals!$E:$E,MID($D$122,FIND("|",$D$122&amp;"|")+1,50),Actuals!$F:$F,"EUR")*$G$5+SUMIFS(Actuals!$G:$G,Actuals!$B:$B,$C$3,Actuals!$C:$C,1,Actuals!$D:$D,$B$122,Actuals!$A:$A,LEFT($D$122,FIND("|",$D$122&amp;"|")-1),Actuals!$E:$E,MID($D$122,FIND("|",$D$122&amp;"|")+1,50),Actuals!$F:$F,"GBP")*$H$5)</f>
        <v/>
      </c>
      <c r="I123" s="18">
        <f>IF(OR($B$122="",2&gt;$C$4),"",SUMIFS(Actuals!$G:$G,Actuals!$B:$B,$C$3,Actuals!$C:$C,2,Actuals!$D:$D,$B$122,Actuals!$A:$A,LEFT($D$122,FIND("|",$D$122&amp;"|")-1),Actuals!$E:$E,MID($D$122,FIND("|",$D$122&amp;"|")+1,50),Actuals!$F:$F,"JPY")*$E$5+SUMIFS(Actuals!$G:$G,Actuals!$B:$B,$C$3,Actuals!$C:$C,2,Actuals!$D:$D,$B$122,Actuals!$A:$A,LEFT($D$122,FIND("|",$D$122&amp;"|")-1),Actuals!$E:$E,MID($D$122,FIND("|",$D$122&amp;"|")+1,50),Actuals!$F:$F,"USD")*$F$5+SUMIFS(Actuals!$G:$G,Actuals!$B:$B,$C$3,Actuals!$C:$C,2,Actuals!$D:$D,$B$122,Actuals!$A:$A,LEFT($D$122,FIND("|",$D$122&amp;"|")-1),Actuals!$E:$E,MID($D$122,FIND("|",$D$122&amp;"|")+1,50),Actuals!$F:$F,"EUR")*$G$5+SUMIFS(Actuals!$G:$G,Actuals!$B:$B,$C$3,Actuals!$C:$C,2,Actuals!$D:$D,$B$122,Actuals!$A:$A,LEFT($D$122,FIND("|",$D$122&amp;"|")-1),Actuals!$E:$E,MID($D$122,FIND("|",$D$122&amp;"|")+1,50),Actuals!$F:$F,"GBP")*$H$5)</f>
        <v/>
      </c>
      <c r="J123" s="18">
        <f>IF(OR($B$122="",3&gt;$C$4),"",SUMIFS(Actuals!$G:$G,Actuals!$B:$B,$C$3,Actuals!$C:$C,3,Actuals!$D:$D,$B$122,Actuals!$A:$A,LEFT($D$122,FIND("|",$D$122&amp;"|")-1),Actuals!$E:$E,MID($D$122,FIND("|",$D$122&amp;"|")+1,50),Actuals!$F:$F,"JPY")*$E$5+SUMIFS(Actuals!$G:$G,Actuals!$B:$B,$C$3,Actuals!$C:$C,3,Actuals!$D:$D,$B$122,Actuals!$A:$A,LEFT($D$122,FIND("|",$D$122&amp;"|")-1),Actuals!$E:$E,MID($D$122,FIND("|",$D$122&amp;"|")+1,50),Actuals!$F:$F,"USD")*$F$5+SUMIFS(Actuals!$G:$G,Actuals!$B:$B,$C$3,Actuals!$C:$C,3,Actuals!$D:$D,$B$122,Actuals!$A:$A,LEFT($D$122,FIND("|",$D$122&amp;"|")-1),Actuals!$E:$E,MID($D$122,FIND("|",$D$122&amp;"|")+1,50),Actuals!$F:$F,"EUR")*$G$5+SUMIFS(Actuals!$G:$G,Actuals!$B:$B,$C$3,Actuals!$C:$C,3,Actuals!$D:$D,$B$122,Actuals!$A:$A,LEFT($D$122,FIND("|",$D$122&amp;"|")-1),Actuals!$E:$E,MID($D$122,FIND("|",$D$122&amp;"|")+1,50),Actuals!$F:$F,"GBP")*$H$5)</f>
        <v/>
      </c>
      <c r="K123" s="18">
        <f>IF(OR($B$122="",4&gt;$C$4),"",SUMIFS(Actuals!$G:$G,Actuals!$B:$B,$C$3,Actuals!$C:$C,4,Actuals!$D:$D,$B$122,Actuals!$A:$A,LEFT($D$122,FIND("|",$D$122&amp;"|")-1),Actuals!$E:$E,MID($D$122,FIND("|",$D$122&amp;"|")+1,50),Actuals!$F:$F,"JPY")*$E$5+SUMIFS(Actuals!$G:$G,Actuals!$B:$B,$C$3,Actuals!$C:$C,4,Actuals!$D:$D,$B$122,Actuals!$A:$A,LEFT($D$122,FIND("|",$D$122&amp;"|")-1),Actuals!$E:$E,MID($D$122,FIND("|",$D$122&amp;"|")+1,50),Actuals!$F:$F,"USD")*$F$5+SUMIFS(Actuals!$G:$G,Actuals!$B:$B,$C$3,Actuals!$C:$C,4,Actuals!$D:$D,$B$122,Actuals!$A:$A,LEFT($D$122,FIND("|",$D$122&amp;"|")-1),Actuals!$E:$E,MID($D$122,FIND("|",$D$122&amp;"|")+1,50),Actuals!$F:$F,"EUR")*$G$5+SUMIFS(Actuals!$G:$G,Actuals!$B:$B,$C$3,Actuals!$C:$C,4,Actuals!$D:$D,$B$122,Actuals!$A:$A,LEFT($D$122,FIND("|",$D$122&amp;"|")-1),Actuals!$E:$E,MID($D$122,FIND("|",$D$122&amp;"|")+1,50),Actuals!$F:$F,"GBP")*$H$5)</f>
        <v/>
      </c>
      <c r="L123" s="18">
        <f>IF(OR($B$122="",5&gt;$C$4),"",SUMIFS(Actuals!$G:$G,Actuals!$B:$B,$C$3,Actuals!$C:$C,5,Actuals!$D:$D,$B$122,Actuals!$A:$A,LEFT($D$122,FIND("|",$D$122&amp;"|")-1),Actuals!$E:$E,MID($D$122,FIND("|",$D$122&amp;"|")+1,50),Actuals!$F:$F,"JPY")*$E$5+SUMIFS(Actuals!$G:$G,Actuals!$B:$B,$C$3,Actuals!$C:$C,5,Actuals!$D:$D,$B$122,Actuals!$A:$A,LEFT($D$122,FIND("|",$D$122&amp;"|")-1),Actuals!$E:$E,MID($D$122,FIND("|",$D$122&amp;"|")+1,50),Actuals!$F:$F,"USD")*$F$5+SUMIFS(Actuals!$G:$G,Actuals!$B:$B,$C$3,Actuals!$C:$C,5,Actuals!$D:$D,$B$122,Actuals!$A:$A,LEFT($D$122,FIND("|",$D$122&amp;"|")-1),Actuals!$E:$E,MID($D$122,FIND("|",$D$122&amp;"|")+1,50),Actuals!$F:$F,"EUR")*$G$5+SUMIFS(Actuals!$G:$G,Actuals!$B:$B,$C$3,Actuals!$C:$C,5,Actuals!$D:$D,$B$122,Actuals!$A:$A,LEFT($D$122,FIND("|",$D$122&amp;"|")-1),Actuals!$E:$E,MID($D$122,FIND("|",$D$122&amp;"|")+1,50),Actuals!$F:$F,"GBP")*$H$5)</f>
        <v/>
      </c>
      <c r="M123" s="18">
        <f>IF(OR($B$122="",6&gt;$C$4),"",SUMIFS(Actuals!$G:$G,Actuals!$B:$B,$C$3,Actuals!$C:$C,6,Actuals!$D:$D,$B$122,Actuals!$A:$A,LEFT($D$122,FIND("|",$D$122&amp;"|")-1),Actuals!$E:$E,MID($D$122,FIND("|",$D$122&amp;"|")+1,50),Actuals!$F:$F,"JPY")*$E$5+SUMIFS(Actuals!$G:$G,Actuals!$B:$B,$C$3,Actuals!$C:$C,6,Actuals!$D:$D,$B$122,Actuals!$A:$A,LEFT($D$122,FIND("|",$D$122&amp;"|")-1),Actuals!$E:$E,MID($D$122,FIND("|",$D$122&amp;"|")+1,50),Actuals!$F:$F,"USD")*$F$5+SUMIFS(Actuals!$G:$G,Actuals!$B:$B,$C$3,Actuals!$C:$C,6,Actuals!$D:$D,$B$122,Actuals!$A:$A,LEFT($D$122,FIND("|",$D$122&amp;"|")-1),Actuals!$E:$E,MID($D$122,FIND("|",$D$122&amp;"|")+1,50),Actuals!$F:$F,"EUR")*$G$5+SUMIFS(Actuals!$G:$G,Actuals!$B:$B,$C$3,Actuals!$C:$C,6,Actuals!$D:$D,$B$122,Actuals!$A:$A,LEFT($D$122,FIND("|",$D$122&amp;"|")-1),Actuals!$E:$E,MID($D$122,FIND("|",$D$122&amp;"|")+1,50),Actuals!$F:$F,"GBP")*$H$5)</f>
        <v/>
      </c>
      <c r="N123" s="18">
        <f>IF(OR($B$122="",7&gt;$C$4),"",SUMIFS(Actuals!$G:$G,Actuals!$B:$B,$C$3,Actuals!$C:$C,7,Actuals!$D:$D,$B$122,Actuals!$A:$A,LEFT($D$122,FIND("|",$D$122&amp;"|")-1),Actuals!$E:$E,MID($D$122,FIND("|",$D$122&amp;"|")+1,50),Actuals!$F:$F,"JPY")*$E$5+SUMIFS(Actuals!$G:$G,Actuals!$B:$B,$C$3,Actuals!$C:$C,7,Actuals!$D:$D,$B$122,Actuals!$A:$A,LEFT($D$122,FIND("|",$D$122&amp;"|")-1),Actuals!$E:$E,MID($D$122,FIND("|",$D$122&amp;"|")+1,50),Actuals!$F:$F,"USD")*$F$5+SUMIFS(Actuals!$G:$G,Actuals!$B:$B,$C$3,Actuals!$C:$C,7,Actuals!$D:$D,$B$122,Actuals!$A:$A,LEFT($D$122,FIND("|",$D$122&amp;"|")-1),Actuals!$E:$E,MID($D$122,FIND("|",$D$122&amp;"|")+1,50),Actuals!$F:$F,"EUR")*$G$5+SUMIFS(Actuals!$G:$G,Actuals!$B:$B,$C$3,Actuals!$C:$C,7,Actuals!$D:$D,$B$122,Actuals!$A:$A,LEFT($D$122,FIND("|",$D$122&amp;"|")-1),Actuals!$E:$E,MID($D$122,FIND("|",$D$122&amp;"|")+1,50),Actuals!$F:$F,"GBP")*$H$5)</f>
        <v/>
      </c>
      <c r="O123" s="18">
        <f>IF(OR($B$122="",8&gt;$C$4),"",SUMIFS(Actuals!$G:$G,Actuals!$B:$B,$C$3,Actuals!$C:$C,8,Actuals!$D:$D,$B$122,Actuals!$A:$A,LEFT($D$122,FIND("|",$D$122&amp;"|")-1),Actuals!$E:$E,MID($D$122,FIND("|",$D$122&amp;"|")+1,50),Actuals!$F:$F,"JPY")*$E$5+SUMIFS(Actuals!$G:$G,Actuals!$B:$B,$C$3,Actuals!$C:$C,8,Actuals!$D:$D,$B$122,Actuals!$A:$A,LEFT($D$122,FIND("|",$D$122&amp;"|")-1),Actuals!$E:$E,MID($D$122,FIND("|",$D$122&amp;"|")+1,50),Actuals!$F:$F,"USD")*$F$5+SUMIFS(Actuals!$G:$G,Actuals!$B:$B,$C$3,Actuals!$C:$C,8,Actuals!$D:$D,$B$122,Actuals!$A:$A,LEFT($D$122,FIND("|",$D$122&amp;"|")-1),Actuals!$E:$E,MID($D$122,FIND("|",$D$122&amp;"|")+1,50),Actuals!$F:$F,"EUR")*$G$5+SUMIFS(Actuals!$G:$G,Actuals!$B:$B,$C$3,Actuals!$C:$C,8,Actuals!$D:$D,$B$122,Actuals!$A:$A,LEFT($D$122,FIND("|",$D$122&amp;"|")-1),Actuals!$E:$E,MID($D$122,FIND("|",$D$122&amp;"|")+1,50),Actuals!$F:$F,"GBP")*$H$5)</f>
        <v/>
      </c>
      <c r="P123" s="18">
        <f>IF(OR($B$122="",9&gt;$C$4),"",SUMIFS(Actuals!$G:$G,Actuals!$B:$B,$C$3,Actuals!$C:$C,9,Actuals!$D:$D,$B$122,Actuals!$A:$A,LEFT($D$122,FIND("|",$D$122&amp;"|")-1),Actuals!$E:$E,MID($D$122,FIND("|",$D$122&amp;"|")+1,50),Actuals!$F:$F,"JPY")*$E$5+SUMIFS(Actuals!$G:$G,Actuals!$B:$B,$C$3,Actuals!$C:$C,9,Actuals!$D:$D,$B$122,Actuals!$A:$A,LEFT($D$122,FIND("|",$D$122&amp;"|")-1),Actuals!$E:$E,MID($D$122,FIND("|",$D$122&amp;"|")+1,50),Actuals!$F:$F,"USD")*$F$5+SUMIFS(Actuals!$G:$G,Actuals!$B:$B,$C$3,Actuals!$C:$C,9,Actuals!$D:$D,$B$122,Actuals!$A:$A,LEFT($D$122,FIND("|",$D$122&amp;"|")-1),Actuals!$E:$E,MID($D$122,FIND("|",$D$122&amp;"|")+1,50),Actuals!$F:$F,"EUR")*$G$5+SUMIFS(Actuals!$G:$G,Actuals!$B:$B,$C$3,Actuals!$C:$C,9,Actuals!$D:$D,$B$122,Actuals!$A:$A,LEFT($D$122,FIND("|",$D$122&amp;"|")-1),Actuals!$E:$E,MID($D$122,FIND("|",$D$122&amp;"|")+1,50),Actuals!$F:$F,"GBP")*$H$5)</f>
        <v/>
      </c>
      <c r="Q123" s="18">
        <f>IF(OR($B$122="",10&gt;$C$4),"",SUMIFS(Actuals!$G:$G,Actuals!$B:$B,$C$3,Actuals!$C:$C,10,Actuals!$D:$D,$B$122,Actuals!$A:$A,LEFT($D$122,FIND("|",$D$122&amp;"|")-1),Actuals!$E:$E,MID($D$122,FIND("|",$D$122&amp;"|")+1,50),Actuals!$F:$F,"JPY")*$E$5+SUMIFS(Actuals!$G:$G,Actuals!$B:$B,$C$3,Actuals!$C:$C,10,Actuals!$D:$D,$B$122,Actuals!$A:$A,LEFT($D$122,FIND("|",$D$122&amp;"|")-1),Actuals!$E:$E,MID($D$122,FIND("|",$D$122&amp;"|")+1,50),Actuals!$F:$F,"USD")*$F$5+SUMIFS(Actuals!$G:$G,Actuals!$B:$B,$C$3,Actuals!$C:$C,10,Actuals!$D:$D,$B$122,Actuals!$A:$A,LEFT($D$122,FIND("|",$D$122&amp;"|")-1),Actuals!$E:$E,MID($D$122,FIND("|",$D$122&amp;"|")+1,50),Actuals!$F:$F,"EUR")*$G$5+SUMIFS(Actuals!$G:$G,Actuals!$B:$B,$C$3,Actuals!$C:$C,10,Actuals!$D:$D,$B$122,Actuals!$A:$A,LEFT($D$122,FIND("|",$D$122&amp;"|")-1),Actuals!$E:$E,MID($D$122,FIND("|",$D$122&amp;"|")+1,50),Actuals!$F:$F,"GBP")*$H$5)</f>
        <v/>
      </c>
      <c r="R123" s="18">
        <f>IF(OR($B$122="",11&gt;$C$4),"",SUMIFS(Actuals!$G:$G,Actuals!$B:$B,$C$3,Actuals!$C:$C,11,Actuals!$D:$D,$B$122,Actuals!$A:$A,LEFT($D$122,FIND("|",$D$122&amp;"|")-1),Actuals!$E:$E,MID($D$122,FIND("|",$D$122&amp;"|")+1,50),Actuals!$F:$F,"JPY")*$E$5+SUMIFS(Actuals!$G:$G,Actuals!$B:$B,$C$3,Actuals!$C:$C,11,Actuals!$D:$D,$B$122,Actuals!$A:$A,LEFT($D$122,FIND("|",$D$122&amp;"|")-1),Actuals!$E:$E,MID($D$122,FIND("|",$D$122&amp;"|")+1,50),Actuals!$F:$F,"USD")*$F$5+SUMIFS(Actuals!$G:$G,Actuals!$B:$B,$C$3,Actuals!$C:$C,11,Actuals!$D:$D,$B$122,Actuals!$A:$A,LEFT($D$122,FIND("|",$D$122&amp;"|")-1),Actuals!$E:$E,MID($D$122,FIND("|",$D$122&amp;"|")+1,50),Actuals!$F:$F,"EUR")*$G$5+SUMIFS(Actuals!$G:$G,Actuals!$B:$B,$C$3,Actuals!$C:$C,11,Actuals!$D:$D,$B$122,Actuals!$A:$A,LEFT($D$122,FIND("|",$D$122&amp;"|")-1),Actuals!$E:$E,MID($D$122,FIND("|",$D$122&amp;"|")+1,50),Actuals!$F:$F,"GBP")*$H$5)</f>
        <v/>
      </c>
      <c r="S123" s="18">
        <f>IF(OR($B$122="",12&gt;$C$4),"",SUMIFS(Actuals!$G:$G,Actuals!$B:$B,$C$3,Actuals!$C:$C,12,Actuals!$D:$D,$B$122,Actuals!$A:$A,LEFT($D$122,FIND("|",$D$122&amp;"|")-1),Actuals!$E:$E,MID($D$122,FIND("|",$D$122&amp;"|")+1,50),Actuals!$F:$F,"JPY")*$E$5+SUMIFS(Actuals!$G:$G,Actuals!$B:$B,$C$3,Actuals!$C:$C,12,Actuals!$D:$D,$B$122,Actuals!$A:$A,LEFT($D$122,FIND("|",$D$122&amp;"|")-1),Actuals!$E:$E,MID($D$122,FIND("|",$D$122&amp;"|")+1,50),Actuals!$F:$F,"USD")*$F$5+SUMIFS(Actuals!$G:$G,Actuals!$B:$B,$C$3,Actuals!$C:$C,12,Actuals!$D:$D,$B$122,Actuals!$A:$A,LEFT($D$122,FIND("|",$D$122&amp;"|")-1),Actuals!$E:$E,MID($D$122,FIND("|",$D$122&amp;"|")+1,50),Actuals!$F:$F,"EUR")*$G$5+SUMIFS(Actuals!$G:$G,Actuals!$B:$B,$C$3,Actuals!$C:$C,12,Actuals!$D:$D,$B$122,Actuals!$A:$A,LEFT($D$122,FIND("|",$D$122&amp;"|")-1),Actuals!$E:$E,MID($D$122,FIND("|",$D$122&amp;"|")+1,50),Actuals!$F:$F,"GBP")*$H$5)</f>
        <v/>
      </c>
      <c r="T123" s="18">
        <f>IF($B$122="","",SUMIF($H$7:$S$7,"&lt;="&amp;$C$4,$H123:$S123))</f>
        <v/>
      </c>
      <c r="U123" s="18" t="n"/>
      <c r="V123" s="18" t="n"/>
      <c r="X123" s="22">
        <f>IF($B123="","",IFERROR(INDEX(Cost_Centers!$E:$E,MATCH($B123,Cost_Centers!$A:$A,0)),"(unknown)"))</f>
        <v/>
      </c>
      <c r="Y123" s="22">
        <f>IF($B123="","",IFERROR(INDEX(Cost_Centers!$D:$D,MATCH($B123,Cost_Centers!$A:$A,0)),"(unknown)"))</f>
        <v/>
      </c>
      <c r="Z123" s="22">
        <f>IF(OR($B123="",$G123&lt;&gt;"Variance vs Budget"),"",ABS(N($V123))+ROW()/1000000000)</f>
        <v/>
      </c>
    </row>
    <row r="124">
      <c r="A124" s="13">
        <f>IF(A$122="","",A$122)</f>
        <v/>
      </c>
      <c r="B124" s="13">
        <f>IF(B$122="","",B$122)</f>
        <v/>
      </c>
      <c r="C124" s="13">
        <f>IF(C$122="","",C$122)</f>
        <v/>
      </c>
      <c r="D124" s="13">
        <f>IF(D$122="","",D$122)</f>
        <v/>
      </c>
      <c r="E124" s="13">
        <f>IF(E$122="","",E$122)</f>
        <v/>
      </c>
      <c r="F124" s="13">
        <f>IF(F$122="","",F$122)</f>
        <v/>
      </c>
      <c r="G124" s="6" t="inlineStr">
        <is>
          <t>Variance vs Budget</t>
        </is>
      </c>
      <c r="H124" s="33">
        <f>IF(OR($B$122="",1&gt;$C$4),"",N(H123)-H122)</f>
        <v/>
      </c>
      <c r="I124" s="33">
        <f>IF(OR($B$122="",2&gt;$C$4),"",N(I123)-I122)</f>
        <v/>
      </c>
      <c r="J124" s="33">
        <f>IF(OR($B$122="",3&gt;$C$4),"",N(J123)-J122)</f>
        <v/>
      </c>
      <c r="K124" s="33">
        <f>IF(OR($B$122="",4&gt;$C$4),"",N(K123)-K122)</f>
        <v/>
      </c>
      <c r="L124" s="33">
        <f>IF(OR($B$122="",5&gt;$C$4),"",N(L123)-L122)</f>
        <v/>
      </c>
      <c r="M124" s="33">
        <f>IF(OR($B$122="",6&gt;$C$4),"",N(M123)-M122)</f>
        <v/>
      </c>
      <c r="N124" s="33">
        <f>IF(OR($B$122="",7&gt;$C$4),"",N(N123)-N122)</f>
        <v/>
      </c>
      <c r="O124" s="33">
        <f>IF(OR($B$122="",8&gt;$C$4),"",N(O123)-O122)</f>
        <v/>
      </c>
      <c r="P124" s="33">
        <f>IF(OR($B$122="",9&gt;$C$4),"",N(P123)-P122)</f>
        <v/>
      </c>
      <c r="Q124" s="33">
        <f>IF(OR($B$122="",10&gt;$C$4),"",N(Q123)-Q122)</f>
        <v/>
      </c>
      <c r="R124" s="33">
        <f>IF(OR($B$122="",11&gt;$C$4),"",N(R123)-R122)</f>
        <v/>
      </c>
      <c r="S124" s="33">
        <f>IF(OR($B$122="",12&gt;$C$4),"",N(S123)-S122)</f>
        <v/>
      </c>
      <c r="T124" s="33">
        <f>IF($B$122="","",T123-T122)</f>
        <v/>
      </c>
      <c r="U124" s="33">
        <f>IF($B$122="","",U126-U122)</f>
        <v/>
      </c>
      <c r="V124" s="33">
        <f>IF($B$122="","",V126-V122)</f>
        <v/>
      </c>
      <c r="X124" s="22">
        <f>IF($B124="","",IFERROR(INDEX(Cost_Centers!$E:$E,MATCH($B124,Cost_Centers!$A:$A,0)),"(unknown)"))</f>
        <v/>
      </c>
      <c r="Y124" s="22">
        <f>IF($B124="","",IFERROR(INDEX(Cost_Centers!$D:$D,MATCH($B124,Cost_Centers!$A:$A,0)),"(unknown)"))</f>
        <v/>
      </c>
      <c r="Z124" s="22">
        <f>IF(OR($B124="",$G124&lt;&gt;"Variance vs Budget"),"",ABS(N($V124))+ROW()/1000000000)</f>
        <v/>
      </c>
    </row>
    <row r="125">
      <c r="A125" s="13">
        <f>IF(A$122="","",A$122)</f>
        <v/>
      </c>
      <c r="B125" s="13">
        <f>IF(B$122="","",B$122)</f>
        <v/>
      </c>
      <c r="C125" s="13">
        <f>IF(C$122="","",C$122)</f>
        <v/>
      </c>
      <c r="D125" s="13">
        <f>IF(D$122="","",D$122)</f>
        <v/>
      </c>
      <c r="E125" s="13">
        <f>IF(E$122="","",E$122)</f>
        <v/>
      </c>
      <c r="F125" s="13">
        <f>IF(F$122="","",F$122)</f>
        <v/>
      </c>
      <c r="G125" s="7" t="inlineStr">
        <is>
          <t>Forecast (input)</t>
        </is>
      </c>
      <c r="H125" s="34" t="n"/>
      <c r="I125" s="34" t="n"/>
      <c r="J125" s="34" t="n"/>
      <c r="K125" s="34" t="n"/>
      <c r="L125" s="34" t="n"/>
      <c r="M125" s="34" t="n"/>
      <c r="N125" s="34" t="n"/>
      <c r="O125" s="34" t="n"/>
      <c r="P125" s="34" t="n"/>
      <c r="Q125" s="34" t="n"/>
      <c r="R125" s="34" t="n"/>
      <c r="S125" s="34" t="n"/>
      <c r="T125" s="18" t="n"/>
      <c r="U125" s="18" t="n"/>
      <c r="V125" s="18" t="n"/>
      <c r="X125" s="22">
        <f>IF($B125="","",IFERROR(INDEX(Cost_Centers!$E:$E,MATCH($B125,Cost_Centers!$A:$A,0)),"(unknown)"))</f>
        <v/>
      </c>
      <c r="Y125" s="22">
        <f>IF($B125="","",IFERROR(INDEX(Cost_Centers!$D:$D,MATCH($B125,Cost_Centers!$A:$A,0)),"(unknown)"))</f>
        <v/>
      </c>
      <c r="Z125" s="22">
        <f>IF(OR($B125="",$G125&lt;&gt;"Variance vs Budget"),"",ABS(N($V125))+ROW()/1000000000)</f>
        <v/>
      </c>
    </row>
    <row r="126">
      <c r="A126" s="13">
        <f>IF(A$122="","",A$122)</f>
        <v/>
      </c>
      <c r="B126" s="13">
        <f>IF(B$122="","",B$122)</f>
        <v/>
      </c>
      <c r="C126" s="13">
        <f>IF(C$122="","",C$122)</f>
        <v/>
      </c>
      <c r="D126" s="13">
        <f>IF(D$122="","",D$122)</f>
        <v/>
      </c>
      <c r="E126" s="13">
        <f>IF(E$122="","",E$122)</f>
        <v/>
      </c>
      <c r="F126" s="13">
        <f>IF(F$122="","",F$122)</f>
        <v/>
      </c>
      <c r="G126" s="35" t="inlineStr">
        <is>
          <t>Actual + Forecast</t>
        </is>
      </c>
      <c r="H126" s="18">
        <f>IF($B$122="","",IF(1&lt;=$C$4,N(H123),IF(H125="",H122,H125)))</f>
        <v/>
      </c>
      <c r="I126" s="18">
        <f>IF($B$122="","",IF(2&lt;=$C$4,N(I123),IF(I125="",I122,I125)))</f>
        <v/>
      </c>
      <c r="J126" s="18">
        <f>IF($B$122="","",IF(3&lt;=$C$4,N(J123),IF(J125="",J122,J125)))</f>
        <v/>
      </c>
      <c r="K126" s="18">
        <f>IF($B$122="","",IF(4&lt;=$C$4,N(K123),IF(K125="",K122,K125)))</f>
        <v/>
      </c>
      <c r="L126" s="18">
        <f>IF($B$122="","",IF(5&lt;=$C$4,N(L123),IF(L125="",L122,L125)))</f>
        <v/>
      </c>
      <c r="M126" s="18">
        <f>IF($B$122="","",IF(6&lt;=$C$4,N(M123),IF(M125="",M122,M125)))</f>
        <v/>
      </c>
      <c r="N126" s="18">
        <f>IF($B$122="","",IF(7&lt;=$C$4,N(N123),IF(N125="",N122,N125)))</f>
        <v/>
      </c>
      <c r="O126" s="18">
        <f>IF($B$122="","",IF(8&lt;=$C$4,N(O123),IF(O125="",O122,O125)))</f>
        <v/>
      </c>
      <c r="P126" s="18">
        <f>IF($B$122="","",IF(9&lt;=$C$4,N(P123),IF(P125="",P122,P125)))</f>
        <v/>
      </c>
      <c r="Q126" s="18">
        <f>IF($B$122="","",IF(10&lt;=$C$4,N(Q123),IF(Q125="",Q122,Q125)))</f>
        <v/>
      </c>
      <c r="R126" s="18">
        <f>IF($B$122="","",IF(11&lt;=$C$4,N(R123),IF(R125="",R122,R125)))</f>
        <v/>
      </c>
      <c r="S126" s="18">
        <f>IF($B$122="","",IF(12&lt;=$C$4,N(S123),IF(S125="",S122,S125)))</f>
        <v/>
      </c>
      <c r="T126" s="18">
        <f>IF($B$122="","",SUMIF($H$7:$S$7,"&lt;="&amp;$C$4,$H126:$S126))</f>
        <v/>
      </c>
      <c r="U126" s="18">
        <f>IF($B$122="","",SUMIF($H$7:$S$7,"&gt;"&amp;$C$4,$H126:$S126))</f>
        <v/>
      </c>
      <c r="V126" s="18">
        <f>IF($B$122="","",SUM($H126:$S126))</f>
        <v/>
      </c>
      <c r="X126" s="22">
        <f>IF($B126="","",IFERROR(INDEX(Cost_Centers!$E:$E,MATCH($B126,Cost_Centers!$A:$A,0)),"(unknown)"))</f>
        <v/>
      </c>
      <c r="Y126" s="22">
        <f>IF($B126="","",IFERROR(INDEX(Cost_Centers!$D:$D,MATCH($B126,Cost_Centers!$A:$A,0)),"(unknown)"))</f>
        <v/>
      </c>
      <c r="Z126" s="22">
        <f>IF(OR($B126="",$G126&lt;&gt;"Variance vs Budget"),"",ABS(N($V126))+ROW()/1000000000)</f>
        <v/>
      </c>
    </row>
    <row r="127">
      <c r="A127" s="13">
        <f>IF(A$122="","",A$122)</f>
        <v/>
      </c>
      <c r="B127" s="13">
        <f>IF(B$122="","",B$122)</f>
        <v/>
      </c>
      <c r="C127" s="13">
        <f>IF(C$122="","",C$122)</f>
        <v/>
      </c>
      <c r="D127" s="13">
        <f>IF(D$122="","",D$122)</f>
        <v/>
      </c>
      <c r="E127" s="13">
        <f>IF(E$122="","",E$122)</f>
        <v/>
      </c>
      <c r="F127" s="13">
        <f>IF(F$122="","",F$122)</f>
        <v/>
      </c>
      <c r="G127" s="36" t="inlineStr">
        <is>
          <t>Prior Month Forecast</t>
        </is>
      </c>
      <c r="H127" s="37">
        <f>IF($B$122="","",IF(COUNTIFS(Prior_Forecast!$A:$A,$B$122,Prior_Forecast!$B:$B,$D$122)&gt;0,SUMIFS(Prior_Forecast!$C:$C,Prior_Forecast!$A:$A,$B$122,Prior_Forecast!$B:$B,$D$122),""))</f>
        <v/>
      </c>
      <c r="I127" s="37">
        <f>IF($B$122="","",IF(COUNTIFS(Prior_Forecast!$A:$A,$B$122,Prior_Forecast!$B:$B,$D$122)&gt;0,SUMIFS(Prior_Forecast!$D:$D,Prior_Forecast!$A:$A,$B$122,Prior_Forecast!$B:$B,$D$122),""))</f>
        <v/>
      </c>
      <c r="J127" s="37">
        <f>IF($B$122="","",IF(COUNTIFS(Prior_Forecast!$A:$A,$B$122,Prior_Forecast!$B:$B,$D$122)&gt;0,SUMIFS(Prior_Forecast!$E:$E,Prior_Forecast!$A:$A,$B$122,Prior_Forecast!$B:$B,$D$122),""))</f>
        <v/>
      </c>
      <c r="K127" s="37">
        <f>IF($B$122="","",IF(COUNTIFS(Prior_Forecast!$A:$A,$B$122,Prior_Forecast!$B:$B,$D$122)&gt;0,SUMIFS(Prior_Forecast!$F:$F,Prior_Forecast!$A:$A,$B$122,Prior_Forecast!$B:$B,$D$122),""))</f>
        <v/>
      </c>
      <c r="L127" s="37">
        <f>IF($B$122="","",IF(COUNTIFS(Prior_Forecast!$A:$A,$B$122,Prior_Forecast!$B:$B,$D$122)&gt;0,SUMIFS(Prior_Forecast!$G:$G,Prior_Forecast!$A:$A,$B$122,Prior_Forecast!$B:$B,$D$122),""))</f>
        <v/>
      </c>
      <c r="M127" s="37">
        <f>IF($B$122="","",IF(COUNTIFS(Prior_Forecast!$A:$A,$B$122,Prior_Forecast!$B:$B,$D$122)&gt;0,SUMIFS(Prior_Forecast!$H:$H,Prior_Forecast!$A:$A,$B$122,Prior_Forecast!$B:$B,$D$122),""))</f>
        <v/>
      </c>
      <c r="N127" s="37">
        <f>IF($B$122="","",IF(COUNTIFS(Prior_Forecast!$A:$A,$B$122,Prior_Forecast!$B:$B,$D$122)&gt;0,SUMIFS(Prior_Forecast!$I:$I,Prior_Forecast!$A:$A,$B$122,Prior_Forecast!$B:$B,$D$122),""))</f>
        <v/>
      </c>
      <c r="O127" s="37">
        <f>IF($B$122="","",IF(COUNTIFS(Prior_Forecast!$A:$A,$B$122,Prior_Forecast!$B:$B,$D$122)&gt;0,SUMIFS(Prior_Forecast!$J:$J,Prior_Forecast!$A:$A,$B$122,Prior_Forecast!$B:$B,$D$122),""))</f>
        <v/>
      </c>
      <c r="P127" s="37">
        <f>IF($B$122="","",IF(COUNTIFS(Prior_Forecast!$A:$A,$B$122,Prior_Forecast!$B:$B,$D$122)&gt;0,SUMIFS(Prior_Forecast!$K:$K,Prior_Forecast!$A:$A,$B$122,Prior_Forecast!$B:$B,$D$122),""))</f>
        <v/>
      </c>
      <c r="Q127" s="37">
        <f>IF($B$122="","",IF(COUNTIFS(Prior_Forecast!$A:$A,$B$122,Prior_Forecast!$B:$B,$D$122)&gt;0,SUMIFS(Prior_Forecast!$L:$L,Prior_Forecast!$A:$A,$B$122,Prior_Forecast!$B:$B,$D$122),""))</f>
        <v/>
      </c>
      <c r="R127" s="37">
        <f>IF($B$122="","",IF(COUNTIFS(Prior_Forecast!$A:$A,$B$122,Prior_Forecast!$B:$B,$D$122)&gt;0,SUMIFS(Prior_Forecast!$M:$M,Prior_Forecast!$A:$A,$B$122,Prior_Forecast!$B:$B,$D$122),""))</f>
        <v/>
      </c>
      <c r="S127" s="37">
        <f>IF($B$122="","",IF(COUNTIFS(Prior_Forecast!$A:$A,$B$122,Prior_Forecast!$B:$B,$D$122)&gt;0,SUMIFS(Prior_Forecast!$N:$N,Prior_Forecast!$A:$A,$B$122,Prior_Forecast!$B:$B,$D$122),""))</f>
        <v/>
      </c>
      <c r="T127" s="37">
        <f>IF($B$122="","",IF(COUNTIFS(Prior_Forecast!$A:$A,$B$122,Prior_Forecast!$B:$B,$D$122)&gt;0,SUMIFS(Prior_Forecast!$O:$O,Prior_Forecast!$A:$A,$B$122,Prior_Forecast!$B:$B,$D$122),""))</f>
        <v/>
      </c>
      <c r="U127" s="37">
        <f>IF($B$122="","",IF(COUNTIFS(Prior_Forecast!$A:$A,$B$122,Prior_Forecast!$B:$B,$D$122)&gt;0,SUMIFS(Prior_Forecast!$P:$P,Prior_Forecast!$A:$A,$B$122,Prior_Forecast!$B:$B,$D$122),""))</f>
        <v/>
      </c>
      <c r="V127" s="37">
        <f>IF($B$122="","",IF(COUNTIFS(Prior_Forecast!$A:$A,$B$122,Prior_Forecast!$B:$B,$D$122)&gt;0,SUMIFS(Prior_Forecast!$Q:$Q,Prior_Forecast!$A:$A,$B$122,Prior_Forecast!$B:$B,$D$122),""))</f>
        <v/>
      </c>
      <c r="X127" s="22">
        <f>IF($B127="","",IFERROR(INDEX(Cost_Centers!$E:$E,MATCH($B127,Cost_Centers!$A:$A,0)),"(unknown)"))</f>
        <v/>
      </c>
      <c r="Y127" s="22">
        <f>IF($B127="","",IFERROR(INDEX(Cost_Centers!$D:$D,MATCH($B127,Cost_Centers!$A:$A,0)),"(unknown)"))</f>
        <v/>
      </c>
      <c r="Z127" s="22">
        <f>IF(OR($B127="",$G127&lt;&gt;"Variance vs Budget"),"",ABS(N($V127))+ROW()/1000000000)</f>
        <v/>
      </c>
    </row>
    <row r="128">
      <c r="A128" s="13">
        <f>IF(A$122="","",A$122)</f>
        <v/>
      </c>
      <c r="B128" s="13">
        <f>IF(B$122="","",B$122)</f>
        <v/>
      </c>
      <c r="C128" s="13">
        <f>IF(C$122="","",C$122)</f>
        <v/>
      </c>
      <c r="D128" s="13">
        <f>IF(D$122="","",D$122)</f>
        <v/>
      </c>
      <c r="E128" s="13">
        <f>IF(E$122="","",E$122)</f>
        <v/>
      </c>
      <c r="F128" s="13">
        <f>IF(F$122="","",F$122)</f>
        <v/>
      </c>
      <c r="G128" s="6" t="inlineStr">
        <is>
          <t>Variance vs Prior Month</t>
        </is>
      </c>
      <c r="H128" s="33">
        <f>IF(OR($B$122="",H127=""),"",H126-H127)</f>
        <v/>
      </c>
      <c r="I128" s="33">
        <f>IF(OR($B$122="",I127=""),"",I126-I127)</f>
        <v/>
      </c>
      <c r="J128" s="33">
        <f>IF(OR($B$122="",J127=""),"",J126-J127)</f>
        <v/>
      </c>
      <c r="K128" s="33">
        <f>IF(OR($B$122="",K127=""),"",K126-K127)</f>
        <v/>
      </c>
      <c r="L128" s="33">
        <f>IF(OR($B$122="",L127=""),"",L126-L127)</f>
        <v/>
      </c>
      <c r="M128" s="33">
        <f>IF(OR($B$122="",M127=""),"",M126-M127)</f>
        <v/>
      </c>
      <c r="N128" s="33">
        <f>IF(OR($B$122="",N127=""),"",N126-N127)</f>
        <v/>
      </c>
      <c r="O128" s="33">
        <f>IF(OR($B$122="",O127=""),"",O126-O127)</f>
        <v/>
      </c>
      <c r="P128" s="33">
        <f>IF(OR($B$122="",P127=""),"",P126-P127)</f>
        <v/>
      </c>
      <c r="Q128" s="33">
        <f>IF(OR($B$122="",Q127=""),"",Q126-Q127)</f>
        <v/>
      </c>
      <c r="R128" s="33">
        <f>IF(OR($B$122="",R127=""),"",R126-R127)</f>
        <v/>
      </c>
      <c r="S128" s="33">
        <f>IF(OR($B$122="",S127=""),"",S126-S127)</f>
        <v/>
      </c>
      <c r="T128" s="33">
        <f>IF(OR($B$122="",T127=""),"",T126-T127)</f>
        <v/>
      </c>
      <c r="U128" s="33">
        <f>IF(OR($B$122="",U127=""),"",U126-U127)</f>
        <v/>
      </c>
      <c r="V128" s="33">
        <f>IF(OR($B$122="",V127=""),"",V126-V127)</f>
        <v/>
      </c>
      <c r="X128" s="22">
        <f>IF($B128="","",IFERROR(INDEX(Cost_Centers!$E:$E,MATCH($B128,Cost_Centers!$A:$A,0)),"(unknown)"))</f>
        <v/>
      </c>
      <c r="Y128" s="22">
        <f>IF($B128="","",IFERROR(INDEX(Cost_Centers!$D:$D,MATCH($B128,Cost_Centers!$A:$A,0)),"(unknown)"))</f>
        <v/>
      </c>
      <c r="Z128" s="22">
        <f>IF(OR($B128="",$G128&lt;&gt;"Variance vs Budget"),"",ABS(N($V128))+ROW()/1000000000)</f>
        <v/>
      </c>
    </row>
    <row r="129" ht="45" customHeight="1">
      <c r="A129" s="13">
        <f>IF(A$122="","",A$122)</f>
        <v/>
      </c>
      <c r="B129" s="13">
        <f>IF(B$122="","",B$122)</f>
        <v/>
      </c>
      <c r="C129" s="13">
        <f>IF(C$122="","",C$122)</f>
        <v/>
      </c>
      <c r="D129" s="13">
        <f>IF(D$122="","",D$122)</f>
        <v/>
      </c>
      <c r="E129" s="13">
        <f>IF(E$122="","",E$122)</f>
        <v/>
      </c>
      <c r="F129" s="13">
        <f>IF(F$122="","",F$122)</f>
        <v/>
      </c>
      <c r="G129" s="7" t="inlineStr">
        <is>
          <t>Rationale</t>
        </is>
      </c>
      <c r="H129" s="38" t="n"/>
      <c r="I129" s="38" t="n"/>
      <c r="J129" s="38" t="n"/>
      <c r="K129" s="38" t="n"/>
      <c r="L129" s="38" t="n"/>
      <c r="M129" s="38" t="n"/>
      <c r="N129" s="38" t="n"/>
      <c r="O129" s="38" t="n"/>
      <c r="P129" s="38" t="n"/>
      <c r="Q129" s="38" t="n"/>
      <c r="R129" s="38" t="n"/>
      <c r="S129" s="38" t="n"/>
      <c r="T129" s="38" t="n"/>
      <c r="U129" s="38" t="n"/>
      <c r="V129" s="7" t="n"/>
      <c r="X129" s="22">
        <f>IF($B129="","",IFERROR(INDEX(Cost_Centers!$E:$E,MATCH($B129,Cost_Centers!$A:$A,0)),"(unknown)"))</f>
        <v/>
      </c>
      <c r="Y129" s="22">
        <f>IF($B129="","",IFERROR(INDEX(Cost_Centers!$D:$D,MATCH($B129,Cost_Centers!$A:$A,0)),"(unknown)"))</f>
        <v/>
      </c>
      <c r="Z129" s="22">
        <f>IF(OR($B129="",$G129&lt;&gt;"Variance vs Budget"),"",ABS(N($V129))+ROW()/1000000000)</f>
        <v/>
      </c>
    </row>
    <row r="130">
      <c r="A130" s="30">
        <f>IF($D$130="","",LEFT($D$130,FIND("|",$D$130&amp;"|")-1))</f>
        <v/>
      </c>
      <c r="B130" s="31" t="n"/>
      <c r="C130" s="30">
        <f>IF($B$130="","",IFERROR(INDEX(Cost_Centers!$B:$B,MATCH($B$130,Cost_Centers!$A:$A,0)),"(not in master)"))</f>
        <v/>
      </c>
      <c r="D130" s="31" t="n"/>
      <c r="E130" s="30">
        <f>IF($D$130="","",IFERROR(INDEX(Accounts!$D:$D,MATCH($D$130,Accounts!$A:$A,0)),"(not in master)"))</f>
        <v/>
      </c>
      <c r="F130" s="31" t="n"/>
      <c r="G130" s="30" t="inlineStr">
        <is>
          <t>Budget</t>
        </is>
      </c>
      <c r="H130" s="32">
        <f>IF($B$130="","",SUMIFS(Opex_Budget!$O:$O,Opex_Budget!$A:$A,$C$3,Opex_Budget!$E:$E,$B$130,Opex_Budget!$F:$F,$D$130,Opex_Budget!$N:$N,"JPY")*$E$5+SUMIFS(Opex_Budget!$O:$O,Opex_Budget!$A:$A,$C$3,Opex_Budget!$E:$E,$B$130,Opex_Budget!$F:$F,$D$130,Opex_Budget!$N:$N,"USD")*$F$5+SUMIFS(Opex_Budget!$O:$O,Opex_Budget!$A:$A,$C$3,Opex_Budget!$E:$E,$B$130,Opex_Budget!$F:$F,$D$130,Opex_Budget!$N:$N,"EUR")*$G$5+SUMIFS(Opex_Budget!$O:$O,Opex_Budget!$A:$A,$C$3,Opex_Budget!$E:$E,$B$130,Opex_Budget!$F:$F,$D$130,Opex_Budget!$N:$N,"GBP")*$H$5)</f>
        <v/>
      </c>
      <c r="I130" s="32">
        <f>IF($B$130="","",SUMIFS(Opex_Budget!$P:$P,Opex_Budget!$A:$A,$C$3,Opex_Budget!$E:$E,$B$130,Opex_Budget!$F:$F,$D$130,Opex_Budget!$N:$N,"JPY")*$E$5+SUMIFS(Opex_Budget!$P:$P,Opex_Budget!$A:$A,$C$3,Opex_Budget!$E:$E,$B$130,Opex_Budget!$F:$F,$D$130,Opex_Budget!$N:$N,"USD")*$F$5+SUMIFS(Opex_Budget!$P:$P,Opex_Budget!$A:$A,$C$3,Opex_Budget!$E:$E,$B$130,Opex_Budget!$F:$F,$D$130,Opex_Budget!$N:$N,"EUR")*$G$5+SUMIFS(Opex_Budget!$P:$P,Opex_Budget!$A:$A,$C$3,Opex_Budget!$E:$E,$B$130,Opex_Budget!$F:$F,$D$130,Opex_Budget!$N:$N,"GBP")*$H$5)</f>
        <v/>
      </c>
      <c r="J130" s="32">
        <f>IF($B$130="","",SUMIFS(Opex_Budget!$Q:$Q,Opex_Budget!$A:$A,$C$3,Opex_Budget!$E:$E,$B$130,Opex_Budget!$F:$F,$D$130,Opex_Budget!$N:$N,"JPY")*$E$5+SUMIFS(Opex_Budget!$Q:$Q,Opex_Budget!$A:$A,$C$3,Opex_Budget!$E:$E,$B$130,Opex_Budget!$F:$F,$D$130,Opex_Budget!$N:$N,"USD")*$F$5+SUMIFS(Opex_Budget!$Q:$Q,Opex_Budget!$A:$A,$C$3,Opex_Budget!$E:$E,$B$130,Opex_Budget!$F:$F,$D$130,Opex_Budget!$N:$N,"EUR")*$G$5+SUMIFS(Opex_Budget!$Q:$Q,Opex_Budget!$A:$A,$C$3,Opex_Budget!$E:$E,$B$130,Opex_Budget!$F:$F,$D$130,Opex_Budget!$N:$N,"GBP")*$H$5)</f>
        <v/>
      </c>
      <c r="K130" s="32">
        <f>IF($B$130="","",SUMIFS(Opex_Budget!$R:$R,Opex_Budget!$A:$A,$C$3,Opex_Budget!$E:$E,$B$130,Opex_Budget!$F:$F,$D$130,Opex_Budget!$N:$N,"JPY")*$E$5+SUMIFS(Opex_Budget!$R:$R,Opex_Budget!$A:$A,$C$3,Opex_Budget!$E:$E,$B$130,Opex_Budget!$F:$F,$D$130,Opex_Budget!$N:$N,"USD")*$F$5+SUMIFS(Opex_Budget!$R:$R,Opex_Budget!$A:$A,$C$3,Opex_Budget!$E:$E,$B$130,Opex_Budget!$F:$F,$D$130,Opex_Budget!$N:$N,"EUR")*$G$5+SUMIFS(Opex_Budget!$R:$R,Opex_Budget!$A:$A,$C$3,Opex_Budget!$E:$E,$B$130,Opex_Budget!$F:$F,$D$130,Opex_Budget!$N:$N,"GBP")*$H$5)</f>
        <v/>
      </c>
      <c r="L130" s="32">
        <f>IF($B$130="","",SUMIFS(Opex_Budget!$S:$S,Opex_Budget!$A:$A,$C$3,Opex_Budget!$E:$E,$B$130,Opex_Budget!$F:$F,$D$130,Opex_Budget!$N:$N,"JPY")*$E$5+SUMIFS(Opex_Budget!$S:$S,Opex_Budget!$A:$A,$C$3,Opex_Budget!$E:$E,$B$130,Opex_Budget!$F:$F,$D$130,Opex_Budget!$N:$N,"USD")*$F$5+SUMIFS(Opex_Budget!$S:$S,Opex_Budget!$A:$A,$C$3,Opex_Budget!$E:$E,$B$130,Opex_Budget!$F:$F,$D$130,Opex_Budget!$N:$N,"EUR")*$G$5+SUMIFS(Opex_Budget!$S:$S,Opex_Budget!$A:$A,$C$3,Opex_Budget!$E:$E,$B$130,Opex_Budget!$F:$F,$D$130,Opex_Budget!$N:$N,"GBP")*$H$5)</f>
        <v/>
      </c>
      <c r="M130" s="32">
        <f>IF($B$130="","",SUMIFS(Opex_Budget!$T:$T,Opex_Budget!$A:$A,$C$3,Opex_Budget!$E:$E,$B$130,Opex_Budget!$F:$F,$D$130,Opex_Budget!$N:$N,"JPY")*$E$5+SUMIFS(Opex_Budget!$T:$T,Opex_Budget!$A:$A,$C$3,Opex_Budget!$E:$E,$B$130,Opex_Budget!$F:$F,$D$130,Opex_Budget!$N:$N,"USD")*$F$5+SUMIFS(Opex_Budget!$T:$T,Opex_Budget!$A:$A,$C$3,Opex_Budget!$E:$E,$B$130,Opex_Budget!$F:$F,$D$130,Opex_Budget!$N:$N,"EUR")*$G$5+SUMIFS(Opex_Budget!$T:$T,Opex_Budget!$A:$A,$C$3,Opex_Budget!$E:$E,$B$130,Opex_Budget!$F:$F,$D$130,Opex_Budget!$N:$N,"GBP")*$H$5)</f>
        <v/>
      </c>
      <c r="N130" s="32">
        <f>IF($B$130="","",SUMIFS(Opex_Budget!$U:$U,Opex_Budget!$A:$A,$C$3,Opex_Budget!$E:$E,$B$130,Opex_Budget!$F:$F,$D$130,Opex_Budget!$N:$N,"JPY")*$E$5+SUMIFS(Opex_Budget!$U:$U,Opex_Budget!$A:$A,$C$3,Opex_Budget!$E:$E,$B$130,Opex_Budget!$F:$F,$D$130,Opex_Budget!$N:$N,"USD")*$F$5+SUMIFS(Opex_Budget!$U:$U,Opex_Budget!$A:$A,$C$3,Opex_Budget!$E:$E,$B$130,Opex_Budget!$F:$F,$D$130,Opex_Budget!$N:$N,"EUR")*$G$5+SUMIFS(Opex_Budget!$U:$U,Opex_Budget!$A:$A,$C$3,Opex_Budget!$E:$E,$B$130,Opex_Budget!$F:$F,$D$130,Opex_Budget!$N:$N,"GBP")*$H$5)</f>
        <v/>
      </c>
      <c r="O130" s="32">
        <f>IF($B$130="","",SUMIFS(Opex_Budget!$V:$V,Opex_Budget!$A:$A,$C$3,Opex_Budget!$E:$E,$B$130,Opex_Budget!$F:$F,$D$130,Opex_Budget!$N:$N,"JPY")*$E$5+SUMIFS(Opex_Budget!$V:$V,Opex_Budget!$A:$A,$C$3,Opex_Budget!$E:$E,$B$130,Opex_Budget!$F:$F,$D$130,Opex_Budget!$N:$N,"USD")*$F$5+SUMIFS(Opex_Budget!$V:$V,Opex_Budget!$A:$A,$C$3,Opex_Budget!$E:$E,$B$130,Opex_Budget!$F:$F,$D$130,Opex_Budget!$N:$N,"EUR")*$G$5+SUMIFS(Opex_Budget!$V:$V,Opex_Budget!$A:$A,$C$3,Opex_Budget!$E:$E,$B$130,Opex_Budget!$F:$F,$D$130,Opex_Budget!$N:$N,"GBP")*$H$5)</f>
        <v/>
      </c>
      <c r="P130" s="32">
        <f>IF($B$130="","",SUMIFS(Opex_Budget!$W:$W,Opex_Budget!$A:$A,$C$3,Opex_Budget!$E:$E,$B$130,Opex_Budget!$F:$F,$D$130,Opex_Budget!$N:$N,"JPY")*$E$5+SUMIFS(Opex_Budget!$W:$W,Opex_Budget!$A:$A,$C$3,Opex_Budget!$E:$E,$B$130,Opex_Budget!$F:$F,$D$130,Opex_Budget!$N:$N,"USD")*$F$5+SUMIFS(Opex_Budget!$W:$W,Opex_Budget!$A:$A,$C$3,Opex_Budget!$E:$E,$B$130,Opex_Budget!$F:$F,$D$130,Opex_Budget!$N:$N,"EUR")*$G$5+SUMIFS(Opex_Budget!$W:$W,Opex_Budget!$A:$A,$C$3,Opex_Budget!$E:$E,$B$130,Opex_Budget!$F:$F,$D$130,Opex_Budget!$N:$N,"GBP")*$H$5)</f>
        <v/>
      </c>
      <c r="Q130" s="32">
        <f>IF($B$130="","",SUMIFS(Opex_Budget!$X:$X,Opex_Budget!$A:$A,$C$3,Opex_Budget!$E:$E,$B$130,Opex_Budget!$F:$F,$D$130,Opex_Budget!$N:$N,"JPY")*$E$5+SUMIFS(Opex_Budget!$X:$X,Opex_Budget!$A:$A,$C$3,Opex_Budget!$E:$E,$B$130,Opex_Budget!$F:$F,$D$130,Opex_Budget!$N:$N,"USD")*$F$5+SUMIFS(Opex_Budget!$X:$X,Opex_Budget!$A:$A,$C$3,Opex_Budget!$E:$E,$B$130,Opex_Budget!$F:$F,$D$130,Opex_Budget!$N:$N,"EUR")*$G$5+SUMIFS(Opex_Budget!$X:$X,Opex_Budget!$A:$A,$C$3,Opex_Budget!$E:$E,$B$130,Opex_Budget!$F:$F,$D$130,Opex_Budget!$N:$N,"GBP")*$H$5)</f>
        <v/>
      </c>
      <c r="R130" s="32">
        <f>IF($B$130="","",SUMIFS(Opex_Budget!$Y:$Y,Opex_Budget!$A:$A,$C$3,Opex_Budget!$E:$E,$B$130,Opex_Budget!$F:$F,$D$130,Opex_Budget!$N:$N,"JPY")*$E$5+SUMIFS(Opex_Budget!$Y:$Y,Opex_Budget!$A:$A,$C$3,Opex_Budget!$E:$E,$B$130,Opex_Budget!$F:$F,$D$130,Opex_Budget!$N:$N,"USD")*$F$5+SUMIFS(Opex_Budget!$Y:$Y,Opex_Budget!$A:$A,$C$3,Opex_Budget!$E:$E,$B$130,Opex_Budget!$F:$F,$D$130,Opex_Budget!$N:$N,"EUR")*$G$5+SUMIFS(Opex_Budget!$Y:$Y,Opex_Budget!$A:$A,$C$3,Opex_Budget!$E:$E,$B$130,Opex_Budget!$F:$F,$D$130,Opex_Budget!$N:$N,"GBP")*$H$5)</f>
        <v/>
      </c>
      <c r="S130" s="32">
        <f>IF($B$130="","",SUMIFS(Opex_Budget!$Z:$Z,Opex_Budget!$A:$A,$C$3,Opex_Budget!$E:$E,$B$130,Opex_Budget!$F:$F,$D$130,Opex_Budget!$N:$N,"JPY")*$E$5+SUMIFS(Opex_Budget!$Z:$Z,Opex_Budget!$A:$A,$C$3,Opex_Budget!$E:$E,$B$130,Opex_Budget!$F:$F,$D$130,Opex_Budget!$N:$N,"USD")*$F$5+SUMIFS(Opex_Budget!$Z:$Z,Opex_Budget!$A:$A,$C$3,Opex_Budget!$E:$E,$B$130,Opex_Budget!$F:$F,$D$130,Opex_Budget!$N:$N,"EUR")*$G$5+SUMIFS(Opex_Budget!$Z:$Z,Opex_Budget!$A:$A,$C$3,Opex_Budget!$E:$E,$B$130,Opex_Budget!$F:$F,$D$130,Opex_Budget!$N:$N,"GBP")*$H$5)</f>
        <v/>
      </c>
      <c r="T130" s="32">
        <f>IF($B$130="","",SUMIF($H$7:$S$7,"&lt;="&amp;$C$4,$H130:$S130))</f>
        <v/>
      </c>
      <c r="U130" s="32">
        <f>IF($B$130="","",SUMIF($H$7:$S$7,"&gt;"&amp;$C$4,$H130:$S130))</f>
        <v/>
      </c>
      <c r="V130" s="32">
        <f>IF($B$130="","",SUM($H130:$S130))</f>
        <v/>
      </c>
      <c r="X130" s="22">
        <f>IF($B130="","",IFERROR(INDEX(Cost_Centers!$E:$E,MATCH($B130,Cost_Centers!$A:$A,0)),"(unknown)"))</f>
        <v/>
      </c>
      <c r="Y130" s="22">
        <f>IF($B130="","",IFERROR(INDEX(Cost_Centers!$D:$D,MATCH($B130,Cost_Centers!$A:$A,0)),"(unknown)"))</f>
        <v/>
      </c>
      <c r="Z130" s="22">
        <f>IF(OR($B130="",$G130&lt;&gt;"Variance vs Budget"),"",ABS(N($V130))+ROW()/1000000000)</f>
        <v/>
      </c>
    </row>
    <row r="131">
      <c r="A131" s="13">
        <f>IF(A$130="","",A$130)</f>
        <v/>
      </c>
      <c r="B131" s="13">
        <f>IF(B$130="","",B$130)</f>
        <v/>
      </c>
      <c r="C131" s="13">
        <f>IF(C$130="","",C$130)</f>
        <v/>
      </c>
      <c r="D131" s="13">
        <f>IF(D$130="","",D$130)</f>
        <v/>
      </c>
      <c r="E131" s="13">
        <f>IF(E$130="","",E$130)</f>
        <v/>
      </c>
      <c r="F131" s="13">
        <f>IF(F$130="","",F$130)</f>
        <v/>
      </c>
      <c r="G131" s="7" t="inlineStr">
        <is>
          <t>Actual</t>
        </is>
      </c>
      <c r="H131" s="18">
        <f>IF(OR($B$130="",1&gt;$C$4),"",SUMIFS(Actuals!$G:$G,Actuals!$B:$B,$C$3,Actuals!$C:$C,1,Actuals!$D:$D,$B$130,Actuals!$A:$A,LEFT($D$130,FIND("|",$D$130&amp;"|")-1),Actuals!$E:$E,MID($D$130,FIND("|",$D$130&amp;"|")+1,50),Actuals!$F:$F,"JPY")*$E$5+SUMIFS(Actuals!$G:$G,Actuals!$B:$B,$C$3,Actuals!$C:$C,1,Actuals!$D:$D,$B$130,Actuals!$A:$A,LEFT($D$130,FIND("|",$D$130&amp;"|")-1),Actuals!$E:$E,MID($D$130,FIND("|",$D$130&amp;"|")+1,50),Actuals!$F:$F,"USD")*$F$5+SUMIFS(Actuals!$G:$G,Actuals!$B:$B,$C$3,Actuals!$C:$C,1,Actuals!$D:$D,$B$130,Actuals!$A:$A,LEFT($D$130,FIND("|",$D$130&amp;"|")-1),Actuals!$E:$E,MID($D$130,FIND("|",$D$130&amp;"|")+1,50),Actuals!$F:$F,"EUR")*$G$5+SUMIFS(Actuals!$G:$G,Actuals!$B:$B,$C$3,Actuals!$C:$C,1,Actuals!$D:$D,$B$130,Actuals!$A:$A,LEFT($D$130,FIND("|",$D$130&amp;"|")-1),Actuals!$E:$E,MID($D$130,FIND("|",$D$130&amp;"|")+1,50),Actuals!$F:$F,"GBP")*$H$5)</f>
        <v/>
      </c>
      <c r="I131" s="18">
        <f>IF(OR($B$130="",2&gt;$C$4),"",SUMIFS(Actuals!$G:$G,Actuals!$B:$B,$C$3,Actuals!$C:$C,2,Actuals!$D:$D,$B$130,Actuals!$A:$A,LEFT($D$130,FIND("|",$D$130&amp;"|")-1),Actuals!$E:$E,MID($D$130,FIND("|",$D$130&amp;"|")+1,50),Actuals!$F:$F,"JPY")*$E$5+SUMIFS(Actuals!$G:$G,Actuals!$B:$B,$C$3,Actuals!$C:$C,2,Actuals!$D:$D,$B$130,Actuals!$A:$A,LEFT($D$130,FIND("|",$D$130&amp;"|")-1),Actuals!$E:$E,MID($D$130,FIND("|",$D$130&amp;"|")+1,50),Actuals!$F:$F,"USD")*$F$5+SUMIFS(Actuals!$G:$G,Actuals!$B:$B,$C$3,Actuals!$C:$C,2,Actuals!$D:$D,$B$130,Actuals!$A:$A,LEFT($D$130,FIND("|",$D$130&amp;"|")-1),Actuals!$E:$E,MID($D$130,FIND("|",$D$130&amp;"|")+1,50),Actuals!$F:$F,"EUR")*$G$5+SUMIFS(Actuals!$G:$G,Actuals!$B:$B,$C$3,Actuals!$C:$C,2,Actuals!$D:$D,$B$130,Actuals!$A:$A,LEFT($D$130,FIND("|",$D$130&amp;"|")-1),Actuals!$E:$E,MID($D$130,FIND("|",$D$130&amp;"|")+1,50),Actuals!$F:$F,"GBP")*$H$5)</f>
        <v/>
      </c>
      <c r="J131" s="18">
        <f>IF(OR($B$130="",3&gt;$C$4),"",SUMIFS(Actuals!$G:$G,Actuals!$B:$B,$C$3,Actuals!$C:$C,3,Actuals!$D:$D,$B$130,Actuals!$A:$A,LEFT($D$130,FIND("|",$D$130&amp;"|")-1),Actuals!$E:$E,MID($D$130,FIND("|",$D$130&amp;"|")+1,50),Actuals!$F:$F,"JPY")*$E$5+SUMIFS(Actuals!$G:$G,Actuals!$B:$B,$C$3,Actuals!$C:$C,3,Actuals!$D:$D,$B$130,Actuals!$A:$A,LEFT($D$130,FIND("|",$D$130&amp;"|")-1),Actuals!$E:$E,MID($D$130,FIND("|",$D$130&amp;"|")+1,50),Actuals!$F:$F,"USD")*$F$5+SUMIFS(Actuals!$G:$G,Actuals!$B:$B,$C$3,Actuals!$C:$C,3,Actuals!$D:$D,$B$130,Actuals!$A:$A,LEFT($D$130,FIND("|",$D$130&amp;"|")-1),Actuals!$E:$E,MID($D$130,FIND("|",$D$130&amp;"|")+1,50),Actuals!$F:$F,"EUR")*$G$5+SUMIFS(Actuals!$G:$G,Actuals!$B:$B,$C$3,Actuals!$C:$C,3,Actuals!$D:$D,$B$130,Actuals!$A:$A,LEFT($D$130,FIND("|",$D$130&amp;"|")-1),Actuals!$E:$E,MID($D$130,FIND("|",$D$130&amp;"|")+1,50),Actuals!$F:$F,"GBP")*$H$5)</f>
        <v/>
      </c>
      <c r="K131" s="18">
        <f>IF(OR($B$130="",4&gt;$C$4),"",SUMIFS(Actuals!$G:$G,Actuals!$B:$B,$C$3,Actuals!$C:$C,4,Actuals!$D:$D,$B$130,Actuals!$A:$A,LEFT($D$130,FIND("|",$D$130&amp;"|")-1),Actuals!$E:$E,MID($D$130,FIND("|",$D$130&amp;"|")+1,50),Actuals!$F:$F,"JPY")*$E$5+SUMIFS(Actuals!$G:$G,Actuals!$B:$B,$C$3,Actuals!$C:$C,4,Actuals!$D:$D,$B$130,Actuals!$A:$A,LEFT($D$130,FIND("|",$D$130&amp;"|")-1),Actuals!$E:$E,MID($D$130,FIND("|",$D$130&amp;"|")+1,50),Actuals!$F:$F,"USD")*$F$5+SUMIFS(Actuals!$G:$G,Actuals!$B:$B,$C$3,Actuals!$C:$C,4,Actuals!$D:$D,$B$130,Actuals!$A:$A,LEFT($D$130,FIND("|",$D$130&amp;"|")-1),Actuals!$E:$E,MID($D$130,FIND("|",$D$130&amp;"|")+1,50),Actuals!$F:$F,"EUR")*$G$5+SUMIFS(Actuals!$G:$G,Actuals!$B:$B,$C$3,Actuals!$C:$C,4,Actuals!$D:$D,$B$130,Actuals!$A:$A,LEFT($D$130,FIND("|",$D$130&amp;"|")-1),Actuals!$E:$E,MID($D$130,FIND("|",$D$130&amp;"|")+1,50),Actuals!$F:$F,"GBP")*$H$5)</f>
        <v/>
      </c>
      <c r="L131" s="18">
        <f>IF(OR($B$130="",5&gt;$C$4),"",SUMIFS(Actuals!$G:$G,Actuals!$B:$B,$C$3,Actuals!$C:$C,5,Actuals!$D:$D,$B$130,Actuals!$A:$A,LEFT($D$130,FIND("|",$D$130&amp;"|")-1),Actuals!$E:$E,MID($D$130,FIND("|",$D$130&amp;"|")+1,50),Actuals!$F:$F,"JPY")*$E$5+SUMIFS(Actuals!$G:$G,Actuals!$B:$B,$C$3,Actuals!$C:$C,5,Actuals!$D:$D,$B$130,Actuals!$A:$A,LEFT($D$130,FIND("|",$D$130&amp;"|")-1),Actuals!$E:$E,MID($D$130,FIND("|",$D$130&amp;"|")+1,50),Actuals!$F:$F,"USD")*$F$5+SUMIFS(Actuals!$G:$G,Actuals!$B:$B,$C$3,Actuals!$C:$C,5,Actuals!$D:$D,$B$130,Actuals!$A:$A,LEFT($D$130,FIND("|",$D$130&amp;"|")-1),Actuals!$E:$E,MID($D$130,FIND("|",$D$130&amp;"|")+1,50),Actuals!$F:$F,"EUR")*$G$5+SUMIFS(Actuals!$G:$G,Actuals!$B:$B,$C$3,Actuals!$C:$C,5,Actuals!$D:$D,$B$130,Actuals!$A:$A,LEFT($D$130,FIND("|",$D$130&amp;"|")-1),Actuals!$E:$E,MID($D$130,FIND("|",$D$130&amp;"|")+1,50),Actuals!$F:$F,"GBP")*$H$5)</f>
        <v/>
      </c>
      <c r="M131" s="18">
        <f>IF(OR($B$130="",6&gt;$C$4),"",SUMIFS(Actuals!$G:$G,Actuals!$B:$B,$C$3,Actuals!$C:$C,6,Actuals!$D:$D,$B$130,Actuals!$A:$A,LEFT($D$130,FIND("|",$D$130&amp;"|")-1),Actuals!$E:$E,MID($D$130,FIND("|",$D$130&amp;"|")+1,50),Actuals!$F:$F,"JPY")*$E$5+SUMIFS(Actuals!$G:$G,Actuals!$B:$B,$C$3,Actuals!$C:$C,6,Actuals!$D:$D,$B$130,Actuals!$A:$A,LEFT($D$130,FIND("|",$D$130&amp;"|")-1),Actuals!$E:$E,MID($D$130,FIND("|",$D$130&amp;"|")+1,50),Actuals!$F:$F,"USD")*$F$5+SUMIFS(Actuals!$G:$G,Actuals!$B:$B,$C$3,Actuals!$C:$C,6,Actuals!$D:$D,$B$130,Actuals!$A:$A,LEFT($D$130,FIND("|",$D$130&amp;"|")-1),Actuals!$E:$E,MID($D$130,FIND("|",$D$130&amp;"|")+1,50),Actuals!$F:$F,"EUR")*$G$5+SUMIFS(Actuals!$G:$G,Actuals!$B:$B,$C$3,Actuals!$C:$C,6,Actuals!$D:$D,$B$130,Actuals!$A:$A,LEFT($D$130,FIND("|",$D$130&amp;"|")-1),Actuals!$E:$E,MID($D$130,FIND("|",$D$130&amp;"|")+1,50),Actuals!$F:$F,"GBP")*$H$5)</f>
        <v/>
      </c>
      <c r="N131" s="18">
        <f>IF(OR($B$130="",7&gt;$C$4),"",SUMIFS(Actuals!$G:$G,Actuals!$B:$B,$C$3,Actuals!$C:$C,7,Actuals!$D:$D,$B$130,Actuals!$A:$A,LEFT($D$130,FIND("|",$D$130&amp;"|")-1),Actuals!$E:$E,MID($D$130,FIND("|",$D$130&amp;"|")+1,50),Actuals!$F:$F,"JPY")*$E$5+SUMIFS(Actuals!$G:$G,Actuals!$B:$B,$C$3,Actuals!$C:$C,7,Actuals!$D:$D,$B$130,Actuals!$A:$A,LEFT($D$130,FIND("|",$D$130&amp;"|")-1),Actuals!$E:$E,MID($D$130,FIND("|",$D$130&amp;"|")+1,50),Actuals!$F:$F,"USD")*$F$5+SUMIFS(Actuals!$G:$G,Actuals!$B:$B,$C$3,Actuals!$C:$C,7,Actuals!$D:$D,$B$130,Actuals!$A:$A,LEFT($D$130,FIND("|",$D$130&amp;"|")-1),Actuals!$E:$E,MID($D$130,FIND("|",$D$130&amp;"|")+1,50),Actuals!$F:$F,"EUR")*$G$5+SUMIFS(Actuals!$G:$G,Actuals!$B:$B,$C$3,Actuals!$C:$C,7,Actuals!$D:$D,$B$130,Actuals!$A:$A,LEFT($D$130,FIND("|",$D$130&amp;"|")-1),Actuals!$E:$E,MID($D$130,FIND("|",$D$130&amp;"|")+1,50),Actuals!$F:$F,"GBP")*$H$5)</f>
        <v/>
      </c>
      <c r="O131" s="18">
        <f>IF(OR($B$130="",8&gt;$C$4),"",SUMIFS(Actuals!$G:$G,Actuals!$B:$B,$C$3,Actuals!$C:$C,8,Actuals!$D:$D,$B$130,Actuals!$A:$A,LEFT($D$130,FIND("|",$D$130&amp;"|")-1),Actuals!$E:$E,MID($D$130,FIND("|",$D$130&amp;"|")+1,50),Actuals!$F:$F,"JPY")*$E$5+SUMIFS(Actuals!$G:$G,Actuals!$B:$B,$C$3,Actuals!$C:$C,8,Actuals!$D:$D,$B$130,Actuals!$A:$A,LEFT($D$130,FIND("|",$D$130&amp;"|")-1),Actuals!$E:$E,MID($D$130,FIND("|",$D$130&amp;"|")+1,50),Actuals!$F:$F,"USD")*$F$5+SUMIFS(Actuals!$G:$G,Actuals!$B:$B,$C$3,Actuals!$C:$C,8,Actuals!$D:$D,$B$130,Actuals!$A:$A,LEFT($D$130,FIND("|",$D$130&amp;"|")-1),Actuals!$E:$E,MID($D$130,FIND("|",$D$130&amp;"|")+1,50),Actuals!$F:$F,"EUR")*$G$5+SUMIFS(Actuals!$G:$G,Actuals!$B:$B,$C$3,Actuals!$C:$C,8,Actuals!$D:$D,$B$130,Actuals!$A:$A,LEFT($D$130,FIND("|",$D$130&amp;"|")-1),Actuals!$E:$E,MID($D$130,FIND("|",$D$130&amp;"|")+1,50),Actuals!$F:$F,"GBP")*$H$5)</f>
        <v/>
      </c>
      <c r="P131" s="18">
        <f>IF(OR($B$130="",9&gt;$C$4),"",SUMIFS(Actuals!$G:$G,Actuals!$B:$B,$C$3,Actuals!$C:$C,9,Actuals!$D:$D,$B$130,Actuals!$A:$A,LEFT($D$130,FIND("|",$D$130&amp;"|")-1),Actuals!$E:$E,MID($D$130,FIND("|",$D$130&amp;"|")+1,50),Actuals!$F:$F,"JPY")*$E$5+SUMIFS(Actuals!$G:$G,Actuals!$B:$B,$C$3,Actuals!$C:$C,9,Actuals!$D:$D,$B$130,Actuals!$A:$A,LEFT($D$130,FIND("|",$D$130&amp;"|")-1),Actuals!$E:$E,MID($D$130,FIND("|",$D$130&amp;"|")+1,50),Actuals!$F:$F,"USD")*$F$5+SUMIFS(Actuals!$G:$G,Actuals!$B:$B,$C$3,Actuals!$C:$C,9,Actuals!$D:$D,$B$130,Actuals!$A:$A,LEFT($D$130,FIND("|",$D$130&amp;"|")-1),Actuals!$E:$E,MID($D$130,FIND("|",$D$130&amp;"|")+1,50),Actuals!$F:$F,"EUR")*$G$5+SUMIFS(Actuals!$G:$G,Actuals!$B:$B,$C$3,Actuals!$C:$C,9,Actuals!$D:$D,$B$130,Actuals!$A:$A,LEFT($D$130,FIND("|",$D$130&amp;"|")-1),Actuals!$E:$E,MID($D$130,FIND("|",$D$130&amp;"|")+1,50),Actuals!$F:$F,"GBP")*$H$5)</f>
        <v/>
      </c>
      <c r="Q131" s="18">
        <f>IF(OR($B$130="",10&gt;$C$4),"",SUMIFS(Actuals!$G:$G,Actuals!$B:$B,$C$3,Actuals!$C:$C,10,Actuals!$D:$D,$B$130,Actuals!$A:$A,LEFT($D$130,FIND("|",$D$130&amp;"|")-1),Actuals!$E:$E,MID($D$130,FIND("|",$D$130&amp;"|")+1,50),Actuals!$F:$F,"JPY")*$E$5+SUMIFS(Actuals!$G:$G,Actuals!$B:$B,$C$3,Actuals!$C:$C,10,Actuals!$D:$D,$B$130,Actuals!$A:$A,LEFT($D$130,FIND("|",$D$130&amp;"|")-1),Actuals!$E:$E,MID($D$130,FIND("|",$D$130&amp;"|")+1,50),Actuals!$F:$F,"USD")*$F$5+SUMIFS(Actuals!$G:$G,Actuals!$B:$B,$C$3,Actuals!$C:$C,10,Actuals!$D:$D,$B$130,Actuals!$A:$A,LEFT($D$130,FIND("|",$D$130&amp;"|")-1),Actuals!$E:$E,MID($D$130,FIND("|",$D$130&amp;"|")+1,50),Actuals!$F:$F,"EUR")*$G$5+SUMIFS(Actuals!$G:$G,Actuals!$B:$B,$C$3,Actuals!$C:$C,10,Actuals!$D:$D,$B$130,Actuals!$A:$A,LEFT($D$130,FIND("|",$D$130&amp;"|")-1),Actuals!$E:$E,MID($D$130,FIND("|",$D$130&amp;"|")+1,50),Actuals!$F:$F,"GBP")*$H$5)</f>
        <v/>
      </c>
      <c r="R131" s="18">
        <f>IF(OR($B$130="",11&gt;$C$4),"",SUMIFS(Actuals!$G:$G,Actuals!$B:$B,$C$3,Actuals!$C:$C,11,Actuals!$D:$D,$B$130,Actuals!$A:$A,LEFT($D$130,FIND("|",$D$130&amp;"|")-1),Actuals!$E:$E,MID($D$130,FIND("|",$D$130&amp;"|")+1,50),Actuals!$F:$F,"JPY")*$E$5+SUMIFS(Actuals!$G:$G,Actuals!$B:$B,$C$3,Actuals!$C:$C,11,Actuals!$D:$D,$B$130,Actuals!$A:$A,LEFT($D$130,FIND("|",$D$130&amp;"|")-1),Actuals!$E:$E,MID($D$130,FIND("|",$D$130&amp;"|")+1,50),Actuals!$F:$F,"USD")*$F$5+SUMIFS(Actuals!$G:$G,Actuals!$B:$B,$C$3,Actuals!$C:$C,11,Actuals!$D:$D,$B$130,Actuals!$A:$A,LEFT($D$130,FIND("|",$D$130&amp;"|")-1),Actuals!$E:$E,MID($D$130,FIND("|",$D$130&amp;"|")+1,50),Actuals!$F:$F,"EUR")*$G$5+SUMIFS(Actuals!$G:$G,Actuals!$B:$B,$C$3,Actuals!$C:$C,11,Actuals!$D:$D,$B$130,Actuals!$A:$A,LEFT($D$130,FIND("|",$D$130&amp;"|")-1),Actuals!$E:$E,MID($D$130,FIND("|",$D$130&amp;"|")+1,50),Actuals!$F:$F,"GBP")*$H$5)</f>
        <v/>
      </c>
      <c r="S131" s="18">
        <f>IF(OR($B$130="",12&gt;$C$4),"",SUMIFS(Actuals!$G:$G,Actuals!$B:$B,$C$3,Actuals!$C:$C,12,Actuals!$D:$D,$B$130,Actuals!$A:$A,LEFT($D$130,FIND("|",$D$130&amp;"|")-1),Actuals!$E:$E,MID($D$130,FIND("|",$D$130&amp;"|")+1,50),Actuals!$F:$F,"JPY")*$E$5+SUMIFS(Actuals!$G:$G,Actuals!$B:$B,$C$3,Actuals!$C:$C,12,Actuals!$D:$D,$B$130,Actuals!$A:$A,LEFT($D$130,FIND("|",$D$130&amp;"|")-1),Actuals!$E:$E,MID($D$130,FIND("|",$D$130&amp;"|")+1,50),Actuals!$F:$F,"USD")*$F$5+SUMIFS(Actuals!$G:$G,Actuals!$B:$B,$C$3,Actuals!$C:$C,12,Actuals!$D:$D,$B$130,Actuals!$A:$A,LEFT($D$130,FIND("|",$D$130&amp;"|")-1),Actuals!$E:$E,MID($D$130,FIND("|",$D$130&amp;"|")+1,50),Actuals!$F:$F,"EUR")*$G$5+SUMIFS(Actuals!$G:$G,Actuals!$B:$B,$C$3,Actuals!$C:$C,12,Actuals!$D:$D,$B$130,Actuals!$A:$A,LEFT($D$130,FIND("|",$D$130&amp;"|")-1),Actuals!$E:$E,MID($D$130,FIND("|",$D$130&amp;"|")+1,50),Actuals!$F:$F,"GBP")*$H$5)</f>
        <v/>
      </c>
      <c r="T131" s="18">
        <f>IF($B$130="","",SUMIF($H$7:$S$7,"&lt;="&amp;$C$4,$H131:$S131))</f>
        <v/>
      </c>
      <c r="U131" s="18" t="n"/>
      <c r="V131" s="18" t="n"/>
      <c r="X131" s="22">
        <f>IF($B131="","",IFERROR(INDEX(Cost_Centers!$E:$E,MATCH($B131,Cost_Centers!$A:$A,0)),"(unknown)"))</f>
        <v/>
      </c>
      <c r="Y131" s="22">
        <f>IF($B131="","",IFERROR(INDEX(Cost_Centers!$D:$D,MATCH($B131,Cost_Centers!$A:$A,0)),"(unknown)"))</f>
        <v/>
      </c>
      <c r="Z131" s="22">
        <f>IF(OR($B131="",$G131&lt;&gt;"Variance vs Budget"),"",ABS(N($V131))+ROW()/1000000000)</f>
        <v/>
      </c>
    </row>
    <row r="132">
      <c r="A132" s="13">
        <f>IF(A$130="","",A$130)</f>
        <v/>
      </c>
      <c r="B132" s="13">
        <f>IF(B$130="","",B$130)</f>
        <v/>
      </c>
      <c r="C132" s="13">
        <f>IF(C$130="","",C$130)</f>
        <v/>
      </c>
      <c r="D132" s="13">
        <f>IF(D$130="","",D$130)</f>
        <v/>
      </c>
      <c r="E132" s="13">
        <f>IF(E$130="","",E$130)</f>
        <v/>
      </c>
      <c r="F132" s="13">
        <f>IF(F$130="","",F$130)</f>
        <v/>
      </c>
      <c r="G132" s="6" t="inlineStr">
        <is>
          <t>Variance vs Budget</t>
        </is>
      </c>
      <c r="H132" s="33">
        <f>IF(OR($B$130="",1&gt;$C$4),"",N(H131)-H130)</f>
        <v/>
      </c>
      <c r="I132" s="33">
        <f>IF(OR($B$130="",2&gt;$C$4),"",N(I131)-I130)</f>
        <v/>
      </c>
      <c r="J132" s="33">
        <f>IF(OR($B$130="",3&gt;$C$4),"",N(J131)-J130)</f>
        <v/>
      </c>
      <c r="K132" s="33">
        <f>IF(OR($B$130="",4&gt;$C$4),"",N(K131)-K130)</f>
        <v/>
      </c>
      <c r="L132" s="33">
        <f>IF(OR($B$130="",5&gt;$C$4),"",N(L131)-L130)</f>
        <v/>
      </c>
      <c r="M132" s="33">
        <f>IF(OR($B$130="",6&gt;$C$4),"",N(M131)-M130)</f>
        <v/>
      </c>
      <c r="N132" s="33">
        <f>IF(OR($B$130="",7&gt;$C$4),"",N(N131)-N130)</f>
        <v/>
      </c>
      <c r="O132" s="33">
        <f>IF(OR($B$130="",8&gt;$C$4),"",N(O131)-O130)</f>
        <v/>
      </c>
      <c r="P132" s="33">
        <f>IF(OR($B$130="",9&gt;$C$4),"",N(P131)-P130)</f>
        <v/>
      </c>
      <c r="Q132" s="33">
        <f>IF(OR($B$130="",10&gt;$C$4),"",N(Q131)-Q130)</f>
        <v/>
      </c>
      <c r="R132" s="33">
        <f>IF(OR($B$130="",11&gt;$C$4),"",N(R131)-R130)</f>
        <v/>
      </c>
      <c r="S132" s="33">
        <f>IF(OR($B$130="",12&gt;$C$4),"",N(S131)-S130)</f>
        <v/>
      </c>
      <c r="T132" s="33">
        <f>IF($B$130="","",T131-T130)</f>
        <v/>
      </c>
      <c r="U132" s="33">
        <f>IF($B$130="","",U134-U130)</f>
        <v/>
      </c>
      <c r="V132" s="33">
        <f>IF($B$130="","",V134-V130)</f>
        <v/>
      </c>
      <c r="X132" s="22">
        <f>IF($B132="","",IFERROR(INDEX(Cost_Centers!$E:$E,MATCH($B132,Cost_Centers!$A:$A,0)),"(unknown)"))</f>
        <v/>
      </c>
      <c r="Y132" s="22">
        <f>IF($B132="","",IFERROR(INDEX(Cost_Centers!$D:$D,MATCH($B132,Cost_Centers!$A:$A,0)),"(unknown)"))</f>
        <v/>
      </c>
      <c r="Z132" s="22">
        <f>IF(OR($B132="",$G132&lt;&gt;"Variance vs Budget"),"",ABS(N($V132))+ROW()/1000000000)</f>
        <v/>
      </c>
    </row>
    <row r="133">
      <c r="A133" s="13">
        <f>IF(A$130="","",A$130)</f>
        <v/>
      </c>
      <c r="B133" s="13">
        <f>IF(B$130="","",B$130)</f>
        <v/>
      </c>
      <c r="C133" s="13">
        <f>IF(C$130="","",C$130)</f>
        <v/>
      </c>
      <c r="D133" s="13">
        <f>IF(D$130="","",D$130)</f>
        <v/>
      </c>
      <c r="E133" s="13">
        <f>IF(E$130="","",E$130)</f>
        <v/>
      </c>
      <c r="F133" s="13">
        <f>IF(F$130="","",F$130)</f>
        <v/>
      </c>
      <c r="G133" s="7" t="inlineStr">
        <is>
          <t>Forecast (input)</t>
        </is>
      </c>
      <c r="H133" s="34" t="n"/>
      <c r="I133" s="34" t="n"/>
      <c r="J133" s="34" t="n"/>
      <c r="K133" s="34" t="n"/>
      <c r="L133" s="34" t="n"/>
      <c r="M133" s="34" t="n"/>
      <c r="N133" s="34" t="n"/>
      <c r="O133" s="34" t="n"/>
      <c r="P133" s="34" t="n"/>
      <c r="Q133" s="34" t="n"/>
      <c r="R133" s="34" t="n"/>
      <c r="S133" s="34" t="n"/>
      <c r="T133" s="18" t="n"/>
      <c r="U133" s="18" t="n"/>
      <c r="V133" s="18" t="n"/>
      <c r="X133" s="22">
        <f>IF($B133="","",IFERROR(INDEX(Cost_Centers!$E:$E,MATCH($B133,Cost_Centers!$A:$A,0)),"(unknown)"))</f>
        <v/>
      </c>
      <c r="Y133" s="22">
        <f>IF($B133="","",IFERROR(INDEX(Cost_Centers!$D:$D,MATCH($B133,Cost_Centers!$A:$A,0)),"(unknown)"))</f>
        <v/>
      </c>
      <c r="Z133" s="22">
        <f>IF(OR($B133="",$G133&lt;&gt;"Variance vs Budget"),"",ABS(N($V133))+ROW()/1000000000)</f>
        <v/>
      </c>
    </row>
    <row r="134">
      <c r="A134" s="13">
        <f>IF(A$130="","",A$130)</f>
        <v/>
      </c>
      <c r="B134" s="13">
        <f>IF(B$130="","",B$130)</f>
        <v/>
      </c>
      <c r="C134" s="13">
        <f>IF(C$130="","",C$130)</f>
        <v/>
      </c>
      <c r="D134" s="13">
        <f>IF(D$130="","",D$130)</f>
        <v/>
      </c>
      <c r="E134" s="13">
        <f>IF(E$130="","",E$130)</f>
        <v/>
      </c>
      <c r="F134" s="13">
        <f>IF(F$130="","",F$130)</f>
        <v/>
      </c>
      <c r="G134" s="35" t="inlineStr">
        <is>
          <t>Actual + Forecast</t>
        </is>
      </c>
      <c r="H134" s="18">
        <f>IF($B$130="","",IF(1&lt;=$C$4,N(H131),IF(H133="",H130,H133)))</f>
        <v/>
      </c>
      <c r="I134" s="18">
        <f>IF($B$130="","",IF(2&lt;=$C$4,N(I131),IF(I133="",I130,I133)))</f>
        <v/>
      </c>
      <c r="J134" s="18">
        <f>IF($B$130="","",IF(3&lt;=$C$4,N(J131),IF(J133="",J130,J133)))</f>
        <v/>
      </c>
      <c r="K134" s="18">
        <f>IF($B$130="","",IF(4&lt;=$C$4,N(K131),IF(K133="",K130,K133)))</f>
        <v/>
      </c>
      <c r="L134" s="18">
        <f>IF($B$130="","",IF(5&lt;=$C$4,N(L131),IF(L133="",L130,L133)))</f>
        <v/>
      </c>
      <c r="M134" s="18">
        <f>IF($B$130="","",IF(6&lt;=$C$4,N(M131),IF(M133="",M130,M133)))</f>
        <v/>
      </c>
      <c r="N134" s="18">
        <f>IF($B$130="","",IF(7&lt;=$C$4,N(N131),IF(N133="",N130,N133)))</f>
        <v/>
      </c>
      <c r="O134" s="18">
        <f>IF($B$130="","",IF(8&lt;=$C$4,N(O131),IF(O133="",O130,O133)))</f>
        <v/>
      </c>
      <c r="P134" s="18">
        <f>IF($B$130="","",IF(9&lt;=$C$4,N(P131),IF(P133="",P130,P133)))</f>
        <v/>
      </c>
      <c r="Q134" s="18">
        <f>IF($B$130="","",IF(10&lt;=$C$4,N(Q131),IF(Q133="",Q130,Q133)))</f>
        <v/>
      </c>
      <c r="R134" s="18">
        <f>IF($B$130="","",IF(11&lt;=$C$4,N(R131),IF(R133="",R130,R133)))</f>
        <v/>
      </c>
      <c r="S134" s="18">
        <f>IF($B$130="","",IF(12&lt;=$C$4,N(S131),IF(S133="",S130,S133)))</f>
        <v/>
      </c>
      <c r="T134" s="18">
        <f>IF($B$130="","",SUMIF($H$7:$S$7,"&lt;="&amp;$C$4,$H134:$S134))</f>
        <v/>
      </c>
      <c r="U134" s="18">
        <f>IF($B$130="","",SUMIF($H$7:$S$7,"&gt;"&amp;$C$4,$H134:$S134))</f>
        <v/>
      </c>
      <c r="V134" s="18">
        <f>IF($B$130="","",SUM($H134:$S134))</f>
        <v/>
      </c>
      <c r="X134" s="22">
        <f>IF($B134="","",IFERROR(INDEX(Cost_Centers!$E:$E,MATCH($B134,Cost_Centers!$A:$A,0)),"(unknown)"))</f>
        <v/>
      </c>
      <c r="Y134" s="22">
        <f>IF($B134="","",IFERROR(INDEX(Cost_Centers!$D:$D,MATCH($B134,Cost_Centers!$A:$A,0)),"(unknown)"))</f>
        <v/>
      </c>
      <c r="Z134" s="22">
        <f>IF(OR($B134="",$G134&lt;&gt;"Variance vs Budget"),"",ABS(N($V134))+ROW()/1000000000)</f>
        <v/>
      </c>
    </row>
    <row r="135">
      <c r="A135" s="13">
        <f>IF(A$130="","",A$130)</f>
        <v/>
      </c>
      <c r="B135" s="13">
        <f>IF(B$130="","",B$130)</f>
        <v/>
      </c>
      <c r="C135" s="13">
        <f>IF(C$130="","",C$130)</f>
        <v/>
      </c>
      <c r="D135" s="13">
        <f>IF(D$130="","",D$130)</f>
        <v/>
      </c>
      <c r="E135" s="13">
        <f>IF(E$130="","",E$130)</f>
        <v/>
      </c>
      <c r="F135" s="13">
        <f>IF(F$130="","",F$130)</f>
        <v/>
      </c>
      <c r="G135" s="36" t="inlineStr">
        <is>
          <t>Prior Month Forecast</t>
        </is>
      </c>
      <c r="H135" s="37">
        <f>IF($B$130="","",IF(COUNTIFS(Prior_Forecast!$A:$A,$B$130,Prior_Forecast!$B:$B,$D$130)&gt;0,SUMIFS(Prior_Forecast!$C:$C,Prior_Forecast!$A:$A,$B$130,Prior_Forecast!$B:$B,$D$130),""))</f>
        <v/>
      </c>
      <c r="I135" s="37">
        <f>IF($B$130="","",IF(COUNTIFS(Prior_Forecast!$A:$A,$B$130,Prior_Forecast!$B:$B,$D$130)&gt;0,SUMIFS(Prior_Forecast!$D:$D,Prior_Forecast!$A:$A,$B$130,Prior_Forecast!$B:$B,$D$130),""))</f>
        <v/>
      </c>
      <c r="J135" s="37">
        <f>IF($B$130="","",IF(COUNTIFS(Prior_Forecast!$A:$A,$B$130,Prior_Forecast!$B:$B,$D$130)&gt;0,SUMIFS(Prior_Forecast!$E:$E,Prior_Forecast!$A:$A,$B$130,Prior_Forecast!$B:$B,$D$130),""))</f>
        <v/>
      </c>
      <c r="K135" s="37">
        <f>IF($B$130="","",IF(COUNTIFS(Prior_Forecast!$A:$A,$B$130,Prior_Forecast!$B:$B,$D$130)&gt;0,SUMIFS(Prior_Forecast!$F:$F,Prior_Forecast!$A:$A,$B$130,Prior_Forecast!$B:$B,$D$130),""))</f>
        <v/>
      </c>
      <c r="L135" s="37">
        <f>IF($B$130="","",IF(COUNTIFS(Prior_Forecast!$A:$A,$B$130,Prior_Forecast!$B:$B,$D$130)&gt;0,SUMIFS(Prior_Forecast!$G:$G,Prior_Forecast!$A:$A,$B$130,Prior_Forecast!$B:$B,$D$130),""))</f>
        <v/>
      </c>
      <c r="M135" s="37">
        <f>IF($B$130="","",IF(COUNTIFS(Prior_Forecast!$A:$A,$B$130,Prior_Forecast!$B:$B,$D$130)&gt;0,SUMIFS(Prior_Forecast!$H:$H,Prior_Forecast!$A:$A,$B$130,Prior_Forecast!$B:$B,$D$130),""))</f>
        <v/>
      </c>
      <c r="N135" s="37">
        <f>IF($B$130="","",IF(COUNTIFS(Prior_Forecast!$A:$A,$B$130,Prior_Forecast!$B:$B,$D$130)&gt;0,SUMIFS(Prior_Forecast!$I:$I,Prior_Forecast!$A:$A,$B$130,Prior_Forecast!$B:$B,$D$130),""))</f>
        <v/>
      </c>
      <c r="O135" s="37">
        <f>IF($B$130="","",IF(COUNTIFS(Prior_Forecast!$A:$A,$B$130,Prior_Forecast!$B:$B,$D$130)&gt;0,SUMIFS(Prior_Forecast!$J:$J,Prior_Forecast!$A:$A,$B$130,Prior_Forecast!$B:$B,$D$130),""))</f>
        <v/>
      </c>
      <c r="P135" s="37">
        <f>IF($B$130="","",IF(COUNTIFS(Prior_Forecast!$A:$A,$B$130,Prior_Forecast!$B:$B,$D$130)&gt;0,SUMIFS(Prior_Forecast!$K:$K,Prior_Forecast!$A:$A,$B$130,Prior_Forecast!$B:$B,$D$130),""))</f>
        <v/>
      </c>
      <c r="Q135" s="37">
        <f>IF($B$130="","",IF(COUNTIFS(Prior_Forecast!$A:$A,$B$130,Prior_Forecast!$B:$B,$D$130)&gt;0,SUMIFS(Prior_Forecast!$L:$L,Prior_Forecast!$A:$A,$B$130,Prior_Forecast!$B:$B,$D$130),""))</f>
        <v/>
      </c>
      <c r="R135" s="37">
        <f>IF($B$130="","",IF(COUNTIFS(Prior_Forecast!$A:$A,$B$130,Prior_Forecast!$B:$B,$D$130)&gt;0,SUMIFS(Prior_Forecast!$M:$M,Prior_Forecast!$A:$A,$B$130,Prior_Forecast!$B:$B,$D$130),""))</f>
        <v/>
      </c>
      <c r="S135" s="37">
        <f>IF($B$130="","",IF(COUNTIFS(Prior_Forecast!$A:$A,$B$130,Prior_Forecast!$B:$B,$D$130)&gt;0,SUMIFS(Prior_Forecast!$N:$N,Prior_Forecast!$A:$A,$B$130,Prior_Forecast!$B:$B,$D$130),""))</f>
        <v/>
      </c>
      <c r="T135" s="37">
        <f>IF($B$130="","",IF(COUNTIFS(Prior_Forecast!$A:$A,$B$130,Prior_Forecast!$B:$B,$D$130)&gt;0,SUMIFS(Prior_Forecast!$O:$O,Prior_Forecast!$A:$A,$B$130,Prior_Forecast!$B:$B,$D$130),""))</f>
        <v/>
      </c>
      <c r="U135" s="37">
        <f>IF($B$130="","",IF(COUNTIFS(Prior_Forecast!$A:$A,$B$130,Prior_Forecast!$B:$B,$D$130)&gt;0,SUMIFS(Prior_Forecast!$P:$P,Prior_Forecast!$A:$A,$B$130,Prior_Forecast!$B:$B,$D$130),""))</f>
        <v/>
      </c>
      <c r="V135" s="37">
        <f>IF($B$130="","",IF(COUNTIFS(Prior_Forecast!$A:$A,$B$130,Prior_Forecast!$B:$B,$D$130)&gt;0,SUMIFS(Prior_Forecast!$Q:$Q,Prior_Forecast!$A:$A,$B$130,Prior_Forecast!$B:$B,$D$130),""))</f>
        <v/>
      </c>
      <c r="X135" s="22">
        <f>IF($B135="","",IFERROR(INDEX(Cost_Centers!$E:$E,MATCH($B135,Cost_Centers!$A:$A,0)),"(unknown)"))</f>
        <v/>
      </c>
      <c r="Y135" s="22">
        <f>IF($B135="","",IFERROR(INDEX(Cost_Centers!$D:$D,MATCH($B135,Cost_Centers!$A:$A,0)),"(unknown)"))</f>
        <v/>
      </c>
      <c r="Z135" s="22">
        <f>IF(OR($B135="",$G135&lt;&gt;"Variance vs Budget"),"",ABS(N($V135))+ROW()/1000000000)</f>
        <v/>
      </c>
    </row>
    <row r="136">
      <c r="A136" s="13">
        <f>IF(A$130="","",A$130)</f>
        <v/>
      </c>
      <c r="B136" s="13">
        <f>IF(B$130="","",B$130)</f>
        <v/>
      </c>
      <c r="C136" s="13">
        <f>IF(C$130="","",C$130)</f>
        <v/>
      </c>
      <c r="D136" s="13">
        <f>IF(D$130="","",D$130)</f>
        <v/>
      </c>
      <c r="E136" s="13">
        <f>IF(E$130="","",E$130)</f>
        <v/>
      </c>
      <c r="F136" s="13">
        <f>IF(F$130="","",F$130)</f>
        <v/>
      </c>
      <c r="G136" s="6" t="inlineStr">
        <is>
          <t>Variance vs Prior Month</t>
        </is>
      </c>
      <c r="H136" s="33">
        <f>IF(OR($B$130="",H135=""),"",H134-H135)</f>
        <v/>
      </c>
      <c r="I136" s="33">
        <f>IF(OR($B$130="",I135=""),"",I134-I135)</f>
        <v/>
      </c>
      <c r="J136" s="33">
        <f>IF(OR($B$130="",J135=""),"",J134-J135)</f>
        <v/>
      </c>
      <c r="K136" s="33">
        <f>IF(OR($B$130="",K135=""),"",K134-K135)</f>
        <v/>
      </c>
      <c r="L136" s="33">
        <f>IF(OR($B$130="",L135=""),"",L134-L135)</f>
        <v/>
      </c>
      <c r="M136" s="33">
        <f>IF(OR($B$130="",M135=""),"",M134-M135)</f>
        <v/>
      </c>
      <c r="N136" s="33">
        <f>IF(OR($B$130="",N135=""),"",N134-N135)</f>
        <v/>
      </c>
      <c r="O136" s="33">
        <f>IF(OR($B$130="",O135=""),"",O134-O135)</f>
        <v/>
      </c>
      <c r="P136" s="33">
        <f>IF(OR($B$130="",P135=""),"",P134-P135)</f>
        <v/>
      </c>
      <c r="Q136" s="33">
        <f>IF(OR($B$130="",Q135=""),"",Q134-Q135)</f>
        <v/>
      </c>
      <c r="R136" s="33">
        <f>IF(OR($B$130="",R135=""),"",R134-R135)</f>
        <v/>
      </c>
      <c r="S136" s="33">
        <f>IF(OR($B$130="",S135=""),"",S134-S135)</f>
        <v/>
      </c>
      <c r="T136" s="33">
        <f>IF(OR($B$130="",T135=""),"",T134-T135)</f>
        <v/>
      </c>
      <c r="U136" s="33">
        <f>IF(OR($B$130="",U135=""),"",U134-U135)</f>
        <v/>
      </c>
      <c r="V136" s="33">
        <f>IF(OR($B$130="",V135=""),"",V134-V135)</f>
        <v/>
      </c>
      <c r="X136" s="22">
        <f>IF($B136="","",IFERROR(INDEX(Cost_Centers!$E:$E,MATCH($B136,Cost_Centers!$A:$A,0)),"(unknown)"))</f>
        <v/>
      </c>
      <c r="Y136" s="22">
        <f>IF($B136="","",IFERROR(INDEX(Cost_Centers!$D:$D,MATCH($B136,Cost_Centers!$A:$A,0)),"(unknown)"))</f>
        <v/>
      </c>
      <c r="Z136" s="22">
        <f>IF(OR($B136="",$G136&lt;&gt;"Variance vs Budget"),"",ABS(N($V136))+ROW()/1000000000)</f>
        <v/>
      </c>
    </row>
    <row r="137" ht="45" customHeight="1">
      <c r="A137" s="13">
        <f>IF(A$130="","",A$130)</f>
        <v/>
      </c>
      <c r="B137" s="13">
        <f>IF(B$130="","",B$130)</f>
        <v/>
      </c>
      <c r="C137" s="13">
        <f>IF(C$130="","",C$130)</f>
        <v/>
      </c>
      <c r="D137" s="13">
        <f>IF(D$130="","",D$130)</f>
        <v/>
      </c>
      <c r="E137" s="13">
        <f>IF(E$130="","",E$130)</f>
        <v/>
      </c>
      <c r="F137" s="13">
        <f>IF(F$130="","",F$130)</f>
        <v/>
      </c>
      <c r="G137" s="7" t="inlineStr">
        <is>
          <t>Rationale</t>
        </is>
      </c>
      <c r="H137" s="38" t="n"/>
      <c r="I137" s="38" t="n"/>
      <c r="J137" s="38" t="n"/>
      <c r="K137" s="38" t="n"/>
      <c r="L137" s="38" t="n"/>
      <c r="M137" s="38" t="n"/>
      <c r="N137" s="38" t="n"/>
      <c r="O137" s="38" t="n"/>
      <c r="P137" s="38" t="n"/>
      <c r="Q137" s="38" t="n"/>
      <c r="R137" s="38" t="n"/>
      <c r="S137" s="38" t="n"/>
      <c r="T137" s="38" t="n"/>
      <c r="U137" s="38" t="n"/>
      <c r="V137" s="7" t="n"/>
      <c r="X137" s="22">
        <f>IF($B137="","",IFERROR(INDEX(Cost_Centers!$E:$E,MATCH($B137,Cost_Centers!$A:$A,0)),"(unknown)"))</f>
        <v/>
      </c>
      <c r="Y137" s="22">
        <f>IF($B137="","",IFERROR(INDEX(Cost_Centers!$D:$D,MATCH($B137,Cost_Centers!$A:$A,0)),"(unknown)"))</f>
        <v/>
      </c>
      <c r="Z137" s="22">
        <f>IF(OR($B137="",$G137&lt;&gt;"Variance vs Budget"),"",ABS(N($V137))+ROW()/1000000000)</f>
        <v/>
      </c>
    </row>
    <row r="138">
      <c r="A138" s="30">
        <f>IF($D$138="","",LEFT($D$138,FIND("|",$D$138&amp;"|")-1))</f>
        <v/>
      </c>
      <c r="B138" s="31" t="n"/>
      <c r="C138" s="30">
        <f>IF($B$138="","",IFERROR(INDEX(Cost_Centers!$B:$B,MATCH($B$138,Cost_Centers!$A:$A,0)),"(not in master)"))</f>
        <v/>
      </c>
      <c r="D138" s="31" t="n"/>
      <c r="E138" s="30">
        <f>IF($D$138="","",IFERROR(INDEX(Accounts!$D:$D,MATCH($D$138,Accounts!$A:$A,0)),"(not in master)"))</f>
        <v/>
      </c>
      <c r="F138" s="31" t="n"/>
      <c r="G138" s="30" t="inlineStr">
        <is>
          <t>Budget</t>
        </is>
      </c>
      <c r="H138" s="32">
        <f>IF($B$138="","",SUMIFS(Opex_Budget!$O:$O,Opex_Budget!$A:$A,$C$3,Opex_Budget!$E:$E,$B$138,Opex_Budget!$F:$F,$D$138,Opex_Budget!$N:$N,"JPY")*$E$5+SUMIFS(Opex_Budget!$O:$O,Opex_Budget!$A:$A,$C$3,Opex_Budget!$E:$E,$B$138,Opex_Budget!$F:$F,$D$138,Opex_Budget!$N:$N,"USD")*$F$5+SUMIFS(Opex_Budget!$O:$O,Opex_Budget!$A:$A,$C$3,Opex_Budget!$E:$E,$B$138,Opex_Budget!$F:$F,$D$138,Opex_Budget!$N:$N,"EUR")*$G$5+SUMIFS(Opex_Budget!$O:$O,Opex_Budget!$A:$A,$C$3,Opex_Budget!$E:$E,$B$138,Opex_Budget!$F:$F,$D$138,Opex_Budget!$N:$N,"GBP")*$H$5)</f>
        <v/>
      </c>
      <c r="I138" s="32">
        <f>IF($B$138="","",SUMIFS(Opex_Budget!$P:$P,Opex_Budget!$A:$A,$C$3,Opex_Budget!$E:$E,$B$138,Opex_Budget!$F:$F,$D$138,Opex_Budget!$N:$N,"JPY")*$E$5+SUMIFS(Opex_Budget!$P:$P,Opex_Budget!$A:$A,$C$3,Opex_Budget!$E:$E,$B$138,Opex_Budget!$F:$F,$D$138,Opex_Budget!$N:$N,"USD")*$F$5+SUMIFS(Opex_Budget!$P:$P,Opex_Budget!$A:$A,$C$3,Opex_Budget!$E:$E,$B$138,Opex_Budget!$F:$F,$D$138,Opex_Budget!$N:$N,"EUR")*$G$5+SUMIFS(Opex_Budget!$P:$P,Opex_Budget!$A:$A,$C$3,Opex_Budget!$E:$E,$B$138,Opex_Budget!$F:$F,$D$138,Opex_Budget!$N:$N,"GBP")*$H$5)</f>
        <v/>
      </c>
      <c r="J138" s="32">
        <f>IF($B$138="","",SUMIFS(Opex_Budget!$Q:$Q,Opex_Budget!$A:$A,$C$3,Opex_Budget!$E:$E,$B$138,Opex_Budget!$F:$F,$D$138,Opex_Budget!$N:$N,"JPY")*$E$5+SUMIFS(Opex_Budget!$Q:$Q,Opex_Budget!$A:$A,$C$3,Opex_Budget!$E:$E,$B$138,Opex_Budget!$F:$F,$D$138,Opex_Budget!$N:$N,"USD")*$F$5+SUMIFS(Opex_Budget!$Q:$Q,Opex_Budget!$A:$A,$C$3,Opex_Budget!$E:$E,$B$138,Opex_Budget!$F:$F,$D$138,Opex_Budget!$N:$N,"EUR")*$G$5+SUMIFS(Opex_Budget!$Q:$Q,Opex_Budget!$A:$A,$C$3,Opex_Budget!$E:$E,$B$138,Opex_Budget!$F:$F,$D$138,Opex_Budget!$N:$N,"GBP")*$H$5)</f>
        <v/>
      </c>
      <c r="K138" s="32">
        <f>IF($B$138="","",SUMIFS(Opex_Budget!$R:$R,Opex_Budget!$A:$A,$C$3,Opex_Budget!$E:$E,$B$138,Opex_Budget!$F:$F,$D$138,Opex_Budget!$N:$N,"JPY")*$E$5+SUMIFS(Opex_Budget!$R:$R,Opex_Budget!$A:$A,$C$3,Opex_Budget!$E:$E,$B$138,Opex_Budget!$F:$F,$D$138,Opex_Budget!$N:$N,"USD")*$F$5+SUMIFS(Opex_Budget!$R:$R,Opex_Budget!$A:$A,$C$3,Opex_Budget!$E:$E,$B$138,Opex_Budget!$F:$F,$D$138,Opex_Budget!$N:$N,"EUR")*$G$5+SUMIFS(Opex_Budget!$R:$R,Opex_Budget!$A:$A,$C$3,Opex_Budget!$E:$E,$B$138,Opex_Budget!$F:$F,$D$138,Opex_Budget!$N:$N,"GBP")*$H$5)</f>
        <v/>
      </c>
      <c r="L138" s="32">
        <f>IF($B$138="","",SUMIFS(Opex_Budget!$S:$S,Opex_Budget!$A:$A,$C$3,Opex_Budget!$E:$E,$B$138,Opex_Budget!$F:$F,$D$138,Opex_Budget!$N:$N,"JPY")*$E$5+SUMIFS(Opex_Budget!$S:$S,Opex_Budget!$A:$A,$C$3,Opex_Budget!$E:$E,$B$138,Opex_Budget!$F:$F,$D$138,Opex_Budget!$N:$N,"USD")*$F$5+SUMIFS(Opex_Budget!$S:$S,Opex_Budget!$A:$A,$C$3,Opex_Budget!$E:$E,$B$138,Opex_Budget!$F:$F,$D$138,Opex_Budget!$N:$N,"EUR")*$G$5+SUMIFS(Opex_Budget!$S:$S,Opex_Budget!$A:$A,$C$3,Opex_Budget!$E:$E,$B$138,Opex_Budget!$F:$F,$D$138,Opex_Budget!$N:$N,"GBP")*$H$5)</f>
        <v/>
      </c>
      <c r="M138" s="32">
        <f>IF($B$138="","",SUMIFS(Opex_Budget!$T:$T,Opex_Budget!$A:$A,$C$3,Opex_Budget!$E:$E,$B$138,Opex_Budget!$F:$F,$D$138,Opex_Budget!$N:$N,"JPY")*$E$5+SUMIFS(Opex_Budget!$T:$T,Opex_Budget!$A:$A,$C$3,Opex_Budget!$E:$E,$B$138,Opex_Budget!$F:$F,$D$138,Opex_Budget!$N:$N,"USD")*$F$5+SUMIFS(Opex_Budget!$T:$T,Opex_Budget!$A:$A,$C$3,Opex_Budget!$E:$E,$B$138,Opex_Budget!$F:$F,$D$138,Opex_Budget!$N:$N,"EUR")*$G$5+SUMIFS(Opex_Budget!$T:$T,Opex_Budget!$A:$A,$C$3,Opex_Budget!$E:$E,$B$138,Opex_Budget!$F:$F,$D$138,Opex_Budget!$N:$N,"GBP")*$H$5)</f>
        <v/>
      </c>
      <c r="N138" s="32">
        <f>IF($B$138="","",SUMIFS(Opex_Budget!$U:$U,Opex_Budget!$A:$A,$C$3,Opex_Budget!$E:$E,$B$138,Opex_Budget!$F:$F,$D$138,Opex_Budget!$N:$N,"JPY")*$E$5+SUMIFS(Opex_Budget!$U:$U,Opex_Budget!$A:$A,$C$3,Opex_Budget!$E:$E,$B$138,Opex_Budget!$F:$F,$D$138,Opex_Budget!$N:$N,"USD")*$F$5+SUMIFS(Opex_Budget!$U:$U,Opex_Budget!$A:$A,$C$3,Opex_Budget!$E:$E,$B$138,Opex_Budget!$F:$F,$D$138,Opex_Budget!$N:$N,"EUR")*$G$5+SUMIFS(Opex_Budget!$U:$U,Opex_Budget!$A:$A,$C$3,Opex_Budget!$E:$E,$B$138,Opex_Budget!$F:$F,$D$138,Opex_Budget!$N:$N,"GBP")*$H$5)</f>
        <v/>
      </c>
      <c r="O138" s="32">
        <f>IF($B$138="","",SUMIFS(Opex_Budget!$V:$V,Opex_Budget!$A:$A,$C$3,Opex_Budget!$E:$E,$B$138,Opex_Budget!$F:$F,$D$138,Opex_Budget!$N:$N,"JPY")*$E$5+SUMIFS(Opex_Budget!$V:$V,Opex_Budget!$A:$A,$C$3,Opex_Budget!$E:$E,$B$138,Opex_Budget!$F:$F,$D$138,Opex_Budget!$N:$N,"USD")*$F$5+SUMIFS(Opex_Budget!$V:$V,Opex_Budget!$A:$A,$C$3,Opex_Budget!$E:$E,$B$138,Opex_Budget!$F:$F,$D$138,Opex_Budget!$N:$N,"EUR")*$G$5+SUMIFS(Opex_Budget!$V:$V,Opex_Budget!$A:$A,$C$3,Opex_Budget!$E:$E,$B$138,Opex_Budget!$F:$F,$D$138,Opex_Budget!$N:$N,"GBP")*$H$5)</f>
        <v/>
      </c>
      <c r="P138" s="32">
        <f>IF($B$138="","",SUMIFS(Opex_Budget!$W:$W,Opex_Budget!$A:$A,$C$3,Opex_Budget!$E:$E,$B$138,Opex_Budget!$F:$F,$D$138,Opex_Budget!$N:$N,"JPY")*$E$5+SUMIFS(Opex_Budget!$W:$W,Opex_Budget!$A:$A,$C$3,Opex_Budget!$E:$E,$B$138,Opex_Budget!$F:$F,$D$138,Opex_Budget!$N:$N,"USD")*$F$5+SUMIFS(Opex_Budget!$W:$W,Opex_Budget!$A:$A,$C$3,Opex_Budget!$E:$E,$B$138,Opex_Budget!$F:$F,$D$138,Opex_Budget!$N:$N,"EUR")*$G$5+SUMIFS(Opex_Budget!$W:$W,Opex_Budget!$A:$A,$C$3,Opex_Budget!$E:$E,$B$138,Opex_Budget!$F:$F,$D$138,Opex_Budget!$N:$N,"GBP")*$H$5)</f>
        <v/>
      </c>
      <c r="Q138" s="32">
        <f>IF($B$138="","",SUMIFS(Opex_Budget!$X:$X,Opex_Budget!$A:$A,$C$3,Opex_Budget!$E:$E,$B$138,Opex_Budget!$F:$F,$D$138,Opex_Budget!$N:$N,"JPY")*$E$5+SUMIFS(Opex_Budget!$X:$X,Opex_Budget!$A:$A,$C$3,Opex_Budget!$E:$E,$B$138,Opex_Budget!$F:$F,$D$138,Opex_Budget!$N:$N,"USD")*$F$5+SUMIFS(Opex_Budget!$X:$X,Opex_Budget!$A:$A,$C$3,Opex_Budget!$E:$E,$B$138,Opex_Budget!$F:$F,$D$138,Opex_Budget!$N:$N,"EUR")*$G$5+SUMIFS(Opex_Budget!$X:$X,Opex_Budget!$A:$A,$C$3,Opex_Budget!$E:$E,$B$138,Opex_Budget!$F:$F,$D$138,Opex_Budget!$N:$N,"GBP")*$H$5)</f>
        <v/>
      </c>
      <c r="R138" s="32">
        <f>IF($B$138="","",SUMIFS(Opex_Budget!$Y:$Y,Opex_Budget!$A:$A,$C$3,Opex_Budget!$E:$E,$B$138,Opex_Budget!$F:$F,$D$138,Opex_Budget!$N:$N,"JPY")*$E$5+SUMIFS(Opex_Budget!$Y:$Y,Opex_Budget!$A:$A,$C$3,Opex_Budget!$E:$E,$B$138,Opex_Budget!$F:$F,$D$138,Opex_Budget!$N:$N,"USD")*$F$5+SUMIFS(Opex_Budget!$Y:$Y,Opex_Budget!$A:$A,$C$3,Opex_Budget!$E:$E,$B$138,Opex_Budget!$F:$F,$D$138,Opex_Budget!$N:$N,"EUR")*$G$5+SUMIFS(Opex_Budget!$Y:$Y,Opex_Budget!$A:$A,$C$3,Opex_Budget!$E:$E,$B$138,Opex_Budget!$F:$F,$D$138,Opex_Budget!$N:$N,"GBP")*$H$5)</f>
        <v/>
      </c>
      <c r="S138" s="32">
        <f>IF($B$138="","",SUMIFS(Opex_Budget!$Z:$Z,Opex_Budget!$A:$A,$C$3,Opex_Budget!$E:$E,$B$138,Opex_Budget!$F:$F,$D$138,Opex_Budget!$N:$N,"JPY")*$E$5+SUMIFS(Opex_Budget!$Z:$Z,Opex_Budget!$A:$A,$C$3,Opex_Budget!$E:$E,$B$138,Opex_Budget!$F:$F,$D$138,Opex_Budget!$N:$N,"USD")*$F$5+SUMIFS(Opex_Budget!$Z:$Z,Opex_Budget!$A:$A,$C$3,Opex_Budget!$E:$E,$B$138,Opex_Budget!$F:$F,$D$138,Opex_Budget!$N:$N,"EUR")*$G$5+SUMIFS(Opex_Budget!$Z:$Z,Opex_Budget!$A:$A,$C$3,Opex_Budget!$E:$E,$B$138,Opex_Budget!$F:$F,$D$138,Opex_Budget!$N:$N,"GBP")*$H$5)</f>
        <v/>
      </c>
      <c r="T138" s="32">
        <f>IF($B$138="","",SUMIF($H$7:$S$7,"&lt;="&amp;$C$4,$H138:$S138))</f>
        <v/>
      </c>
      <c r="U138" s="32">
        <f>IF($B$138="","",SUMIF($H$7:$S$7,"&gt;"&amp;$C$4,$H138:$S138))</f>
        <v/>
      </c>
      <c r="V138" s="32">
        <f>IF($B$138="","",SUM($H138:$S138))</f>
        <v/>
      </c>
      <c r="X138" s="22">
        <f>IF($B138="","",IFERROR(INDEX(Cost_Centers!$E:$E,MATCH($B138,Cost_Centers!$A:$A,0)),"(unknown)"))</f>
        <v/>
      </c>
      <c r="Y138" s="22">
        <f>IF($B138="","",IFERROR(INDEX(Cost_Centers!$D:$D,MATCH($B138,Cost_Centers!$A:$A,0)),"(unknown)"))</f>
        <v/>
      </c>
      <c r="Z138" s="22">
        <f>IF(OR($B138="",$G138&lt;&gt;"Variance vs Budget"),"",ABS(N($V138))+ROW()/1000000000)</f>
        <v/>
      </c>
    </row>
    <row r="139">
      <c r="A139" s="13">
        <f>IF(A$138="","",A$138)</f>
        <v/>
      </c>
      <c r="B139" s="13">
        <f>IF(B$138="","",B$138)</f>
        <v/>
      </c>
      <c r="C139" s="13">
        <f>IF(C$138="","",C$138)</f>
        <v/>
      </c>
      <c r="D139" s="13">
        <f>IF(D$138="","",D$138)</f>
        <v/>
      </c>
      <c r="E139" s="13">
        <f>IF(E$138="","",E$138)</f>
        <v/>
      </c>
      <c r="F139" s="13">
        <f>IF(F$138="","",F$138)</f>
        <v/>
      </c>
      <c r="G139" s="7" t="inlineStr">
        <is>
          <t>Actual</t>
        </is>
      </c>
      <c r="H139" s="18">
        <f>IF(OR($B$138="",1&gt;$C$4),"",SUMIFS(Actuals!$G:$G,Actuals!$B:$B,$C$3,Actuals!$C:$C,1,Actuals!$D:$D,$B$138,Actuals!$A:$A,LEFT($D$138,FIND("|",$D$138&amp;"|")-1),Actuals!$E:$E,MID($D$138,FIND("|",$D$138&amp;"|")+1,50),Actuals!$F:$F,"JPY")*$E$5+SUMIFS(Actuals!$G:$G,Actuals!$B:$B,$C$3,Actuals!$C:$C,1,Actuals!$D:$D,$B$138,Actuals!$A:$A,LEFT($D$138,FIND("|",$D$138&amp;"|")-1),Actuals!$E:$E,MID($D$138,FIND("|",$D$138&amp;"|")+1,50),Actuals!$F:$F,"USD")*$F$5+SUMIFS(Actuals!$G:$G,Actuals!$B:$B,$C$3,Actuals!$C:$C,1,Actuals!$D:$D,$B$138,Actuals!$A:$A,LEFT($D$138,FIND("|",$D$138&amp;"|")-1),Actuals!$E:$E,MID($D$138,FIND("|",$D$138&amp;"|")+1,50),Actuals!$F:$F,"EUR")*$G$5+SUMIFS(Actuals!$G:$G,Actuals!$B:$B,$C$3,Actuals!$C:$C,1,Actuals!$D:$D,$B$138,Actuals!$A:$A,LEFT($D$138,FIND("|",$D$138&amp;"|")-1),Actuals!$E:$E,MID($D$138,FIND("|",$D$138&amp;"|")+1,50),Actuals!$F:$F,"GBP")*$H$5)</f>
        <v/>
      </c>
      <c r="I139" s="18">
        <f>IF(OR($B$138="",2&gt;$C$4),"",SUMIFS(Actuals!$G:$G,Actuals!$B:$B,$C$3,Actuals!$C:$C,2,Actuals!$D:$D,$B$138,Actuals!$A:$A,LEFT($D$138,FIND("|",$D$138&amp;"|")-1),Actuals!$E:$E,MID($D$138,FIND("|",$D$138&amp;"|")+1,50),Actuals!$F:$F,"JPY")*$E$5+SUMIFS(Actuals!$G:$G,Actuals!$B:$B,$C$3,Actuals!$C:$C,2,Actuals!$D:$D,$B$138,Actuals!$A:$A,LEFT($D$138,FIND("|",$D$138&amp;"|")-1),Actuals!$E:$E,MID($D$138,FIND("|",$D$138&amp;"|")+1,50),Actuals!$F:$F,"USD")*$F$5+SUMIFS(Actuals!$G:$G,Actuals!$B:$B,$C$3,Actuals!$C:$C,2,Actuals!$D:$D,$B$138,Actuals!$A:$A,LEFT($D$138,FIND("|",$D$138&amp;"|")-1),Actuals!$E:$E,MID($D$138,FIND("|",$D$138&amp;"|")+1,50),Actuals!$F:$F,"EUR")*$G$5+SUMIFS(Actuals!$G:$G,Actuals!$B:$B,$C$3,Actuals!$C:$C,2,Actuals!$D:$D,$B$138,Actuals!$A:$A,LEFT($D$138,FIND("|",$D$138&amp;"|")-1),Actuals!$E:$E,MID($D$138,FIND("|",$D$138&amp;"|")+1,50),Actuals!$F:$F,"GBP")*$H$5)</f>
        <v/>
      </c>
      <c r="J139" s="18">
        <f>IF(OR($B$138="",3&gt;$C$4),"",SUMIFS(Actuals!$G:$G,Actuals!$B:$B,$C$3,Actuals!$C:$C,3,Actuals!$D:$D,$B$138,Actuals!$A:$A,LEFT($D$138,FIND("|",$D$138&amp;"|")-1),Actuals!$E:$E,MID($D$138,FIND("|",$D$138&amp;"|")+1,50),Actuals!$F:$F,"JPY")*$E$5+SUMIFS(Actuals!$G:$G,Actuals!$B:$B,$C$3,Actuals!$C:$C,3,Actuals!$D:$D,$B$138,Actuals!$A:$A,LEFT($D$138,FIND("|",$D$138&amp;"|")-1),Actuals!$E:$E,MID($D$138,FIND("|",$D$138&amp;"|")+1,50),Actuals!$F:$F,"USD")*$F$5+SUMIFS(Actuals!$G:$G,Actuals!$B:$B,$C$3,Actuals!$C:$C,3,Actuals!$D:$D,$B$138,Actuals!$A:$A,LEFT($D$138,FIND("|",$D$138&amp;"|")-1),Actuals!$E:$E,MID($D$138,FIND("|",$D$138&amp;"|")+1,50),Actuals!$F:$F,"EUR")*$G$5+SUMIFS(Actuals!$G:$G,Actuals!$B:$B,$C$3,Actuals!$C:$C,3,Actuals!$D:$D,$B$138,Actuals!$A:$A,LEFT($D$138,FIND("|",$D$138&amp;"|")-1),Actuals!$E:$E,MID($D$138,FIND("|",$D$138&amp;"|")+1,50),Actuals!$F:$F,"GBP")*$H$5)</f>
        <v/>
      </c>
      <c r="K139" s="18">
        <f>IF(OR($B$138="",4&gt;$C$4),"",SUMIFS(Actuals!$G:$G,Actuals!$B:$B,$C$3,Actuals!$C:$C,4,Actuals!$D:$D,$B$138,Actuals!$A:$A,LEFT($D$138,FIND("|",$D$138&amp;"|")-1),Actuals!$E:$E,MID($D$138,FIND("|",$D$138&amp;"|")+1,50),Actuals!$F:$F,"JPY")*$E$5+SUMIFS(Actuals!$G:$G,Actuals!$B:$B,$C$3,Actuals!$C:$C,4,Actuals!$D:$D,$B$138,Actuals!$A:$A,LEFT($D$138,FIND("|",$D$138&amp;"|")-1),Actuals!$E:$E,MID($D$138,FIND("|",$D$138&amp;"|")+1,50),Actuals!$F:$F,"USD")*$F$5+SUMIFS(Actuals!$G:$G,Actuals!$B:$B,$C$3,Actuals!$C:$C,4,Actuals!$D:$D,$B$138,Actuals!$A:$A,LEFT($D$138,FIND("|",$D$138&amp;"|")-1),Actuals!$E:$E,MID($D$138,FIND("|",$D$138&amp;"|")+1,50),Actuals!$F:$F,"EUR")*$G$5+SUMIFS(Actuals!$G:$G,Actuals!$B:$B,$C$3,Actuals!$C:$C,4,Actuals!$D:$D,$B$138,Actuals!$A:$A,LEFT($D$138,FIND("|",$D$138&amp;"|")-1),Actuals!$E:$E,MID($D$138,FIND("|",$D$138&amp;"|")+1,50),Actuals!$F:$F,"GBP")*$H$5)</f>
        <v/>
      </c>
      <c r="L139" s="18">
        <f>IF(OR($B$138="",5&gt;$C$4),"",SUMIFS(Actuals!$G:$G,Actuals!$B:$B,$C$3,Actuals!$C:$C,5,Actuals!$D:$D,$B$138,Actuals!$A:$A,LEFT($D$138,FIND("|",$D$138&amp;"|")-1),Actuals!$E:$E,MID($D$138,FIND("|",$D$138&amp;"|")+1,50),Actuals!$F:$F,"JPY")*$E$5+SUMIFS(Actuals!$G:$G,Actuals!$B:$B,$C$3,Actuals!$C:$C,5,Actuals!$D:$D,$B$138,Actuals!$A:$A,LEFT($D$138,FIND("|",$D$138&amp;"|")-1),Actuals!$E:$E,MID($D$138,FIND("|",$D$138&amp;"|")+1,50),Actuals!$F:$F,"USD")*$F$5+SUMIFS(Actuals!$G:$G,Actuals!$B:$B,$C$3,Actuals!$C:$C,5,Actuals!$D:$D,$B$138,Actuals!$A:$A,LEFT($D$138,FIND("|",$D$138&amp;"|")-1),Actuals!$E:$E,MID($D$138,FIND("|",$D$138&amp;"|")+1,50),Actuals!$F:$F,"EUR")*$G$5+SUMIFS(Actuals!$G:$G,Actuals!$B:$B,$C$3,Actuals!$C:$C,5,Actuals!$D:$D,$B$138,Actuals!$A:$A,LEFT($D$138,FIND("|",$D$138&amp;"|")-1),Actuals!$E:$E,MID($D$138,FIND("|",$D$138&amp;"|")+1,50),Actuals!$F:$F,"GBP")*$H$5)</f>
        <v/>
      </c>
      <c r="M139" s="18">
        <f>IF(OR($B$138="",6&gt;$C$4),"",SUMIFS(Actuals!$G:$G,Actuals!$B:$B,$C$3,Actuals!$C:$C,6,Actuals!$D:$D,$B$138,Actuals!$A:$A,LEFT($D$138,FIND("|",$D$138&amp;"|")-1),Actuals!$E:$E,MID($D$138,FIND("|",$D$138&amp;"|")+1,50),Actuals!$F:$F,"JPY")*$E$5+SUMIFS(Actuals!$G:$G,Actuals!$B:$B,$C$3,Actuals!$C:$C,6,Actuals!$D:$D,$B$138,Actuals!$A:$A,LEFT($D$138,FIND("|",$D$138&amp;"|")-1),Actuals!$E:$E,MID($D$138,FIND("|",$D$138&amp;"|")+1,50),Actuals!$F:$F,"USD")*$F$5+SUMIFS(Actuals!$G:$G,Actuals!$B:$B,$C$3,Actuals!$C:$C,6,Actuals!$D:$D,$B$138,Actuals!$A:$A,LEFT($D$138,FIND("|",$D$138&amp;"|")-1),Actuals!$E:$E,MID($D$138,FIND("|",$D$138&amp;"|")+1,50),Actuals!$F:$F,"EUR")*$G$5+SUMIFS(Actuals!$G:$G,Actuals!$B:$B,$C$3,Actuals!$C:$C,6,Actuals!$D:$D,$B$138,Actuals!$A:$A,LEFT($D$138,FIND("|",$D$138&amp;"|")-1),Actuals!$E:$E,MID($D$138,FIND("|",$D$138&amp;"|")+1,50),Actuals!$F:$F,"GBP")*$H$5)</f>
        <v/>
      </c>
      <c r="N139" s="18">
        <f>IF(OR($B$138="",7&gt;$C$4),"",SUMIFS(Actuals!$G:$G,Actuals!$B:$B,$C$3,Actuals!$C:$C,7,Actuals!$D:$D,$B$138,Actuals!$A:$A,LEFT($D$138,FIND("|",$D$138&amp;"|")-1),Actuals!$E:$E,MID($D$138,FIND("|",$D$138&amp;"|")+1,50),Actuals!$F:$F,"JPY")*$E$5+SUMIFS(Actuals!$G:$G,Actuals!$B:$B,$C$3,Actuals!$C:$C,7,Actuals!$D:$D,$B$138,Actuals!$A:$A,LEFT($D$138,FIND("|",$D$138&amp;"|")-1),Actuals!$E:$E,MID($D$138,FIND("|",$D$138&amp;"|")+1,50),Actuals!$F:$F,"USD")*$F$5+SUMIFS(Actuals!$G:$G,Actuals!$B:$B,$C$3,Actuals!$C:$C,7,Actuals!$D:$D,$B$138,Actuals!$A:$A,LEFT($D$138,FIND("|",$D$138&amp;"|")-1),Actuals!$E:$E,MID($D$138,FIND("|",$D$138&amp;"|")+1,50),Actuals!$F:$F,"EUR")*$G$5+SUMIFS(Actuals!$G:$G,Actuals!$B:$B,$C$3,Actuals!$C:$C,7,Actuals!$D:$D,$B$138,Actuals!$A:$A,LEFT($D$138,FIND("|",$D$138&amp;"|")-1),Actuals!$E:$E,MID($D$138,FIND("|",$D$138&amp;"|")+1,50),Actuals!$F:$F,"GBP")*$H$5)</f>
        <v/>
      </c>
      <c r="O139" s="18">
        <f>IF(OR($B$138="",8&gt;$C$4),"",SUMIFS(Actuals!$G:$G,Actuals!$B:$B,$C$3,Actuals!$C:$C,8,Actuals!$D:$D,$B$138,Actuals!$A:$A,LEFT($D$138,FIND("|",$D$138&amp;"|")-1),Actuals!$E:$E,MID($D$138,FIND("|",$D$138&amp;"|")+1,50),Actuals!$F:$F,"JPY")*$E$5+SUMIFS(Actuals!$G:$G,Actuals!$B:$B,$C$3,Actuals!$C:$C,8,Actuals!$D:$D,$B$138,Actuals!$A:$A,LEFT($D$138,FIND("|",$D$138&amp;"|")-1),Actuals!$E:$E,MID($D$138,FIND("|",$D$138&amp;"|")+1,50),Actuals!$F:$F,"USD")*$F$5+SUMIFS(Actuals!$G:$G,Actuals!$B:$B,$C$3,Actuals!$C:$C,8,Actuals!$D:$D,$B$138,Actuals!$A:$A,LEFT($D$138,FIND("|",$D$138&amp;"|")-1),Actuals!$E:$E,MID($D$138,FIND("|",$D$138&amp;"|")+1,50),Actuals!$F:$F,"EUR")*$G$5+SUMIFS(Actuals!$G:$G,Actuals!$B:$B,$C$3,Actuals!$C:$C,8,Actuals!$D:$D,$B$138,Actuals!$A:$A,LEFT($D$138,FIND("|",$D$138&amp;"|")-1),Actuals!$E:$E,MID($D$138,FIND("|",$D$138&amp;"|")+1,50),Actuals!$F:$F,"GBP")*$H$5)</f>
        <v/>
      </c>
      <c r="P139" s="18">
        <f>IF(OR($B$138="",9&gt;$C$4),"",SUMIFS(Actuals!$G:$G,Actuals!$B:$B,$C$3,Actuals!$C:$C,9,Actuals!$D:$D,$B$138,Actuals!$A:$A,LEFT($D$138,FIND("|",$D$138&amp;"|")-1),Actuals!$E:$E,MID($D$138,FIND("|",$D$138&amp;"|")+1,50),Actuals!$F:$F,"JPY")*$E$5+SUMIFS(Actuals!$G:$G,Actuals!$B:$B,$C$3,Actuals!$C:$C,9,Actuals!$D:$D,$B$138,Actuals!$A:$A,LEFT($D$138,FIND("|",$D$138&amp;"|")-1),Actuals!$E:$E,MID($D$138,FIND("|",$D$138&amp;"|")+1,50),Actuals!$F:$F,"USD")*$F$5+SUMIFS(Actuals!$G:$G,Actuals!$B:$B,$C$3,Actuals!$C:$C,9,Actuals!$D:$D,$B$138,Actuals!$A:$A,LEFT($D$138,FIND("|",$D$138&amp;"|")-1),Actuals!$E:$E,MID($D$138,FIND("|",$D$138&amp;"|")+1,50),Actuals!$F:$F,"EUR")*$G$5+SUMIFS(Actuals!$G:$G,Actuals!$B:$B,$C$3,Actuals!$C:$C,9,Actuals!$D:$D,$B$138,Actuals!$A:$A,LEFT($D$138,FIND("|",$D$138&amp;"|")-1),Actuals!$E:$E,MID($D$138,FIND("|",$D$138&amp;"|")+1,50),Actuals!$F:$F,"GBP")*$H$5)</f>
        <v/>
      </c>
      <c r="Q139" s="18">
        <f>IF(OR($B$138="",10&gt;$C$4),"",SUMIFS(Actuals!$G:$G,Actuals!$B:$B,$C$3,Actuals!$C:$C,10,Actuals!$D:$D,$B$138,Actuals!$A:$A,LEFT($D$138,FIND("|",$D$138&amp;"|")-1),Actuals!$E:$E,MID($D$138,FIND("|",$D$138&amp;"|")+1,50),Actuals!$F:$F,"JPY")*$E$5+SUMIFS(Actuals!$G:$G,Actuals!$B:$B,$C$3,Actuals!$C:$C,10,Actuals!$D:$D,$B$138,Actuals!$A:$A,LEFT($D$138,FIND("|",$D$138&amp;"|")-1),Actuals!$E:$E,MID($D$138,FIND("|",$D$138&amp;"|")+1,50),Actuals!$F:$F,"USD")*$F$5+SUMIFS(Actuals!$G:$G,Actuals!$B:$B,$C$3,Actuals!$C:$C,10,Actuals!$D:$D,$B$138,Actuals!$A:$A,LEFT($D$138,FIND("|",$D$138&amp;"|")-1),Actuals!$E:$E,MID($D$138,FIND("|",$D$138&amp;"|")+1,50),Actuals!$F:$F,"EUR")*$G$5+SUMIFS(Actuals!$G:$G,Actuals!$B:$B,$C$3,Actuals!$C:$C,10,Actuals!$D:$D,$B$138,Actuals!$A:$A,LEFT($D$138,FIND("|",$D$138&amp;"|")-1),Actuals!$E:$E,MID($D$138,FIND("|",$D$138&amp;"|")+1,50),Actuals!$F:$F,"GBP")*$H$5)</f>
        <v/>
      </c>
      <c r="R139" s="18">
        <f>IF(OR($B$138="",11&gt;$C$4),"",SUMIFS(Actuals!$G:$G,Actuals!$B:$B,$C$3,Actuals!$C:$C,11,Actuals!$D:$D,$B$138,Actuals!$A:$A,LEFT($D$138,FIND("|",$D$138&amp;"|")-1),Actuals!$E:$E,MID($D$138,FIND("|",$D$138&amp;"|")+1,50),Actuals!$F:$F,"JPY")*$E$5+SUMIFS(Actuals!$G:$G,Actuals!$B:$B,$C$3,Actuals!$C:$C,11,Actuals!$D:$D,$B$138,Actuals!$A:$A,LEFT($D$138,FIND("|",$D$138&amp;"|")-1),Actuals!$E:$E,MID($D$138,FIND("|",$D$138&amp;"|")+1,50),Actuals!$F:$F,"USD")*$F$5+SUMIFS(Actuals!$G:$G,Actuals!$B:$B,$C$3,Actuals!$C:$C,11,Actuals!$D:$D,$B$138,Actuals!$A:$A,LEFT($D$138,FIND("|",$D$138&amp;"|")-1),Actuals!$E:$E,MID($D$138,FIND("|",$D$138&amp;"|")+1,50),Actuals!$F:$F,"EUR")*$G$5+SUMIFS(Actuals!$G:$G,Actuals!$B:$B,$C$3,Actuals!$C:$C,11,Actuals!$D:$D,$B$138,Actuals!$A:$A,LEFT($D$138,FIND("|",$D$138&amp;"|")-1),Actuals!$E:$E,MID($D$138,FIND("|",$D$138&amp;"|")+1,50),Actuals!$F:$F,"GBP")*$H$5)</f>
        <v/>
      </c>
      <c r="S139" s="18">
        <f>IF(OR($B$138="",12&gt;$C$4),"",SUMIFS(Actuals!$G:$G,Actuals!$B:$B,$C$3,Actuals!$C:$C,12,Actuals!$D:$D,$B$138,Actuals!$A:$A,LEFT($D$138,FIND("|",$D$138&amp;"|")-1),Actuals!$E:$E,MID($D$138,FIND("|",$D$138&amp;"|")+1,50),Actuals!$F:$F,"JPY")*$E$5+SUMIFS(Actuals!$G:$G,Actuals!$B:$B,$C$3,Actuals!$C:$C,12,Actuals!$D:$D,$B$138,Actuals!$A:$A,LEFT($D$138,FIND("|",$D$138&amp;"|")-1),Actuals!$E:$E,MID($D$138,FIND("|",$D$138&amp;"|")+1,50),Actuals!$F:$F,"USD")*$F$5+SUMIFS(Actuals!$G:$G,Actuals!$B:$B,$C$3,Actuals!$C:$C,12,Actuals!$D:$D,$B$138,Actuals!$A:$A,LEFT($D$138,FIND("|",$D$138&amp;"|")-1),Actuals!$E:$E,MID($D$138,FIND("|",$D$138&amp;"|")+1,50),Actuals!$F:$F,"EUR")*$G$5+SUMIFS(Actuals!$G:$G,Actuals!$B:$B,$C$3,Actuals!$C:$C,12,Actuals!$D:$D,$B$138,Actuals!$A:$A,LEFT($D$138,FIND("|",$D$138&amp;"|")-1),Actuals!$E:$E,MID($D$138,FIND("|",$D$138&amp;"|")+1,50),Actuals!$F:$F,"GBP")*$H$5)</f>
        <v/>
      </c>
      <c r="T139" s="18">
        <f>IF($B$138="","",SUMIF($H$7:$S$7,"&lt;="&amp;$C$4,$H139:$S139))</f>
        <v/>
      </c>
      <c r="U139" s="18" t="n"/>
      <c r="V139" s="18" t="n"/>
      <c r="X139" s="22">
        <f>IF($B139="","",IFERROR(INDEX(Cost_Centers!$E:$E,MATCH($B139,Cost_Centers!$A:$A,0)),"(unknown)"))</f>
        <v/>
      </c>
      <c r="Y139" s="22">
        <f>IF($B139="","",IFERROR(INDEX(Cost_Centers!$D:$D,MATCH($B139,Cost_Centers!$A:$A,0)),"(unknown)"))</f>
        <v/>
      </c>
      <c r="Z139" s="22">
        <f>IF(OR($B139="",$G139&lt;&gt;"Variance vs Budget"),"",ABS(N($V139))+ROW()/1000000000)</f>
        <v/>
      </c>
    </row>
    <row r="140">
      <c r="A140" s="13">
        <f>IF(A$138="","",A$138)</f>
        <v/>
      </c>
      <c r="B140" s="13">
        <f>IF(B$138="","",B$138)</f>
        <v/>
      </c>
      <c r="C140" s="13">
        <f>IF(C$138="","",C$138)</f>
        <v/>
      </c>
      <c r="D140" s="13">
        <f>IF(D$138="","",D$138)</f>
        <v/>
      </c>
      <c r="E140" s="13">
        <f>IF(E$138="","",E$138)</f>
        <v/>
      </c>
      <c r="F140" s="13">
        <f>IF(F$138="","",F$138)</f>
        <v/>
      </c>
      <c r="G140" s="6" t="inlineStr">
        <is>
          <t>Variance vs Budget</t>
        </is>
      </c>
      <c r="H140" s="33">
        <f>IF(OR($B$138="",1&gt;$C$4),"",N(H139)-H138)</f>
        <v/>
      </c>
      <c r="I140" s="33">
        <f>IF(OR($B$138="",2&gt;$C$4),"",N(I139)-I138)</f>
        <v/>
      </c>
      <c r="J140" s="33">
        <f>IF(OR($B$138="",3&gt;$C$4),"",N(J139)-J138)</f>
        <v/>
      </c>
      <c r="K140" s="33">
        <f>IF(OR($B$138="",4&gt;$C$4),"",N(K139)-K138)</f>
        <v/>
      </c>
      <c r="L140" s="33">
        <f>IF(OR($B$138="",5&gt;$C$4),"",N(L139)-L138)</f>
        <v/>
      </c>
      <c r="M140" s="33">
        <f>IF(OR($B$138="",6&gt;$C$4),"",N(M139)-M138)</f>
        <v/>
      </c>
      <c r="N140" s="33">
        <f>IF(OR($B$138="",7&gt;$C$4),"",N(N139)-N138)</f>
        <v/>
      </c>
      <c r="O140" s="33">
        <f>IF(OR($B$138="",8&gt;$C$4),"",N(O139)-O138)</f>
        <v/>
      </c>
      <c r="P140" s="33">
        <f>IF(OR($B$138="",9&gt;$C$4),"",N(P139)-P138)</f>
        <v/>
      </c>
      <c r="Q140" s="33">
        <f>IF(OR($B$138="",10&gt;$C$4),"",N(Q139)-Q138)</f>
        <v/>
      </c>
      <c r="R140" s="33">
        <f>IF(OR($B$138="",11&gt;$C$4),"",N(R139)-R138)</f>
        <v/>
      </c>
      <c r="S140" s="33">
        <f>IF(OR($B$138="",12&gt;$C$4),"",N(S139)-S138)</f>
        <v/>
      </c>
      <c r="T140" s="33">
        <f>IF($B$138="","",T139-T138)</f>
        <v/>
      </c>
      <c r="U140" s="33">
        <f>IF($B$138="","",U142-U138)</f>
        <v/>
      </c>
      <c r="V140" s="33">
        <f>IF($B$138="","",V142-V138)</f>
        <v/>
      </c>
      <c r="X140" s="22">
        <f>IF($B140="","",IFERROR(INDEX(Cost_Centers!$E:$E,MATCH($B140,Cost_Centers!$A:$A,0)),"(unknown)"))</f>
        <v/>
      </c>
      <c r="Y140" s="22">
        <f>IF($B140="","",IFERROR(INDEX(Cost_Centers!$D:$D,MATCH($B140,Cost_Centers!$A:$A,0)),"(unknown)"))</f>
        <v/>
      </c>
      <c r="Z140" s="22">
        <f>IF(OR($B140="",$G140&lt;&gt;"Variance vs Budget"),"",ABS(N($V140))+ROW()/1000000000)</f>
        <v/>
      </c>
    </row>
    <row r="141">
      <c r="A141" s="13">
        <f>IF(A$138="","",A$138)</f>
        <v/>
      </c>
      <c r="B141" s="13">
        <f>IF(B$138="","",B$138)</f>
        <v/>
      </c>
      <c r="C141" s="13">
        <f>IF(C$138="","",C$138)</f>
        <v/>
      </c>
      <c r="D141" s="13">
        <f>IF(D$138="","",D$138)</f>
        <v/>
      </c>
      <c r="E141" s="13">
        <f>IF(E$138="","",E$138)</f>
        <v/>
      </c>
      <c r="F141" s="13">
        <f>IF(F$138="","",F$138)</f>
        <v/>
      </c>
      <c r="G141" s="7" t="inlineStr">
        <is>
          <t>Forecast (input)</t>
        </is>
      </c>
      <c r="H141" s="34" t="n"/>
      <c r="I141" s="34" t="n"/>
      <c r="J141" s="34" t="n"/>
      <c r="K141" s="34" t="n"/>
      <c r="L141" s="34" t="n"/>
      <c r="M141" s="34" t="n"/>
      <c r="N141" s="34" t="n"/>
      <c r="O141" s="34" t="n"/>
      <c r="P141" s="34" t="n"/>
      <c r="Q141" s="34" t="n"/>
      <c r="R141" s="34" t="n"/>
      <c r="S141" s="34" t="n"/>
      <c r="T141" s="18" t="n"/>
      <c r="U141" s="18" t="n"/>
      <c r="V141" s="18" t="n"/>
      <c r="X141" s="22">
        <f>IF($B141="","",IFERROR(INDEX(Cost_Centers!$E:$E,MATCH($B141,Cost_Centers!$A:$A,0)),"(unknown)"))</f>
        <v/>
      </c>
      <c r="Y141" s="22">
        <f>IF($B141="","",IFERROR(INDEX(Cost_Centers!$D:$D,MATCH($B141,Cost_Centers!$A:$A,0)),"(unknown)"))</f>
        <v/>
      </c>
      <c r="Z141" s="22">
        <f>IF(OR($B141="",$G141&lt;&gt;"Variance vs Budget"),"",ABS(N($V141))+ROW()/1000000000)</f>
        <v/>
      </c>
    </row>
    <row r="142">
      <c r="A142" s="13">
        <f>IF(A$138="","",A$138)</f>
        <v/>
      </c>
      <c r="B142" s="13">
        <f>IF(B$138="","",B$138)</f>
        <v/>
      </c>
      <c r="C142" s="13">
        <f>IF(C$138="","",C$138)</f>
        <v/>
      </c>
      <c r="D142" s="13">
        <f>IF(D$138="","",D$138)</f>
        <v/>
      </c>
      <c r="E142" s="13">
        <f>IF(E$138="","",E$138)</f>
        <v/>
      </c>
      <c r="F142" s="13">
        <f>IF(F$138="","",F$138)</f>
        <v/>
      </c>
      <c r="G142" s="35" t="inlineStr">
        <is>
          <t>Actual + Forecast</t>
        </is>
      </c>
      <c r="H142" s="18">
        <f>IF($B$138="","",IF(1&lt;=$C$4,N(H139),IF(H141="",H138,H141)))</f>
        <v/>
      </c>
      <c r="I142" s="18">
        <f>IF($B$138="","",IF(2&lt;=$C$4,N(I139),IF(I141="",I138,I141)))</f>
        <v/>
      </c>
      <c r="J142" s="18">
        <f>IF($B$138="","",IF(3&lt;=$C$4,N(J139),IF(J141="",J138,J141)))</f>
        <v/>
      </c>
      <c r="K142" s="18">
        <f>IF($B$138="","",IF(4&lt;=$C$4,N(K139),IF(K141="",K138,K141)))</f>
        <v/>
      </c>
      <c r="L142" s="18">
        <f>IF($B$138="","",IF(5&lt;=$C$4,N(L139),IF(L141="",L138,L141)))</f>
        <v/>
      </c>
      <c r="M142" s="18">
        <f>IF($B$138="","",IF(6&lt;=$C$4,N(M139),IF(M141="",M138,M141)))</f>
        <v/>
      </c>
      <c r="N142" s="18">
        <f>IF($B$138="","",IF(7&lt;=$C$4,N(N139),IF(N141="",N138,N141)))</f>
        <v/>
      </c>
      <c r="O142" s="18">
        <f>IF($B$138="","",IF(8&lt;=$C$4,N(O139),IF(O141="",O138,O141)))</f>
        <v/>
      </c>
      <c r="P142" s="18">
        <f>IF($B$138="","",IF(9&lt;=$C$4,N(P139),IF(P141="",P138,P141)))</f>
        <v/>
      </c>
      <c r="Q142" s="18">
        <f>IF($B$138="","",IF(10&lt;=$C$4,N(Q139),IF(Q141="",Q138,Q141)))</f>
        <v/>
      </c>
      <c r="R142" s="18">
        <f>IF($B$138="","",IF(11&lt;=$C$4,N(R139),IF(R141="",R138,R141)))</f>
        <v/>
      </c>
      <c r="S142" s="18">
        <f>IF($B$138="","",IF(12&lt;=$C$4,N(S139),IF(S141="",S138,S141)))</f>
        <v/>
      </c>
      <c r="T142" s="18">
        <f>IF($B$138="","",SUMIF($H$7:$S$7,"&lt;="&amp;$C$4,$H142:$S142))</f>
        <v/>
      </c>
      <c r="U142" s="18">
        <f>IF($B$138="","",SUMIF($H$7:$S$7,"&gt;"&amp;$C$4,$H142:$S142))</f>
        <v/>
      </c>
      <c r="V142" s="18">
        <f>IF($B$138="","",SUM($H142:$S142))</f>
        <v/>
      </c>
      <c r="X142" s="22">
        <f>IF($B142="","",IFERROR(INDEX(Cost_Centers!$E:$E,MATCH($B142,Cost_Centers!$A:$A,0)),"(unknown)"))</f>
        <v/>
      </c>
      <c r="Y142" s="22">
        <f>IF($B142="","",IFERROR(INDEX(Cost_Centers!$D:$D,MATCH($B142,Cost_Centers!$A:$A,0)),"(unknown)"))</f>
        <v/>
      </c>
      <c r="Z142" s="22">
        <f>IF(OR($B142="",$G142&lt;&gt;"Variance vs Budget"),"",ABS(N($V142))+ROW()/1000000000)</f>
        <v/>
      </c>
    </row>
    <row r="143">
      <c r="A143" s="13">
        <f>IF(A$138="","",A$138)</f>
        <v/>
      </c>
      <c r="B143" s="13">
        <f>IF(B$138="","",B$138)</f>
        <v/>
      </c>
      <c r="C143" s="13">
        <f>IF(C$138="","",C$138)</f>
        <v/>
      </c>
      <c r="D143" s="13">
        <f>IF(D$138="","",D$138)</f>
        <v/>
      </c>
      <c r="E143" s="13">
        <f>IF(E$138="","",E$138)</f>
        <v/>
      </c>
      <c r="F143" s="13">
        <f>IF(F$138="","",F$138)</f>
        <v/>
      </c>
      <c r="G143" s="36" t="inlineStr">
        <is>
          <t>Prior Month Forecast</t>
        </is>
      </c>
      <c r="H143" s="37">
        <f>IF($B$138="","",IF(COUNTIFS(Prior_Forecast!$A:$A,$B$138,Prior_Forecast!$B:$B,$D$138)&gt;0,SUMIFS(Prior_Forecast!$C:$C,Prior_Forecast!$A:$A,$B$138,Prior_Forecast!$B:$B,$D$138),""))</f>
        <v/>
      </c>
      <c r="I143" s="37">
        <f>IF($B$138="","",IF(COUNTIFS(Prior_Forecast!$A:$A,$B$138,Prior_Forecast!$B:$B,$D$138)&gt;0,SUMIFS(Prior_Forecast!$D:$D,Prior_Forecast!$A:$A,$B$138,Prior_Forecast!$B:$B,$D$138),""))</f>
        <v/>
      </c>
      <c r="J143" s="37">
        <f>IF($B$138="","",IF(COUNTIFS(Prior_Forecast!$A:$A,$B$138,Prior_Forecast!$B:$B,$D$138)&gt;0,SUMIFS(Prior_Forecast!$E:$E,Prior_Forecast!$A:$A,$B$138,Prior_Forecast!$B:$B,$D$138),""))</f>
        <v/>
      </c>
      <c r="K143" s="37">
        <f>IF($B$138="","",IF(COUNTIFS(Prior_Forecast!$A:$A,$B$138,Prior_Forecast!$B:$B,$D$138)&gt;0,SUMIFS(Prior_Forecast!$F:$F,Prior_Forecast!$A:$A,$B$138,Prior_Forecast!$B:$B,$D$138),""))</f>
        <v/>
      </c>
      <c r="L143" s="37">
        <f>IF($B$138="","",IF(COUNTIFS(Prior_Forecast!$A:$A,$B$138,Prior_Forecast!$B:$B,$D$138)&gt;0,SUMIFS(Prior_Forecast!$G:$G,Prior_Forecast!$A:$A,$B$138,Prior_Forecast!$B:$B,$D$138),""))</f>
        <v/>
      </c>
      <c r="M143" s="37">
        <f>IF($B$138="","",IF(COUNTIFS(Prior_Forecast!$A:$A,$B$138,Prior_Forecast!$B:$B,$D$138)&gt;0,SUMIFS(Prior_Forecast!$H:$H,Prior_Forecast!$A:$A,$B$138,Prior_Forecast!$B:$B,$D$138),""))</f>
        <v/>
      </c>
      <c r="N143" s="37">
        <f>IF($B$138="","",IF(COUNTIFS(Prior_Forecast!$A:$A,$B$138,Prior_Forecast!$B:$B,$D$138)&gt;0,SUMIFS(Prior_Forecast!$I:$I,Prior_Forecast!$A:$A,$B$138,Prior_Forecast!$B:$B,$D$138),""))</f>
        <v/>
      </c>
      <c r="O143" s="37">
        <f>IF($B$138="","",IF(COUNTIFS(Prior_Forecast!$A:$A,$B$138,Prior_Forecast!$B:$B,$D$138)&gt;0,SUMIFS(Prior_Forecast!$J:$J,Prior_Forecast!$A:$A,$B$138,Prior_Forecast!$B:$B,$D$138),""))</f>
        <v/>
      </c>
      <c r="P143" s="37">
        <f>IF($B$138="","",IF(COUNTIFS(Prior_Forecast!$A:$A,$B$138,Prior_Forecast!$B:$B,$D$138)&gt;0,SUMIFS(Prior_Forecast!$K:$K,Prior_Forecast!$A:$A,$B$138,Prior_Forecast!$B:$B,$D$138),""))</f>
        <v/>
      </c>
      <c r="Q143" s="37">
        <f>IF($B$138="","",IF(COUNTIFS(Prior_Forecast!$A:$A,$B$138,Prior_Forecast!$B:$B,$D$138)&gt;0,SUMIFS(Prior_Forecast!$L:$L,Prior_Forecast!$A:$A,$B$138,Prior_Forecast!$B:$B,$D$138),""))</f>
        <v/>
      </c>
      <c r="R143" s="37">
        <f>IF($B$138="","",IF(COUNTIFS(Prior_Forecast!$A:$A,$B$138,Prior_Forecast!$B:$B,$D$138)&gt;0,SUMIFS(Prior_Forecast!$M:$M,Prior_Forecast!$A:$A,$B$138,Prior_Forecast!$B:$B,$D$138),""))</f>
        <v/>
      </c>
      <c r="S143" s="37">
        <f>IF($B$138="","",IF(COUNTIFS(Prior_Forecast!$A:$A,$B$138,Prior_Forecast!$B:$B,$D$138)&gt;0,SUMIFS(Prior_Forecast!$N:$N,Prior_Forecast!$A:$A,$B$138,Prior_Forecast!$B:$B,$D$138),""))</f>
        <v/>
      </c>
      <c r="T143" s="37">
        <f>IF($B$138="","",IF(COUNTIFS(Prior_Forecast!$A:$A,$B$138,Prior_Forecast!$B:$B,$D$138)&gt;0,SUMIFS(Prior_Forecast!$O:$O,Prior_Forecast!$A:$A,$B$138,Prior_Forecast!$B:$B,$D$138),""))</f>
        <v/>
      </c>
      <c r="U143" s="37">
        <f>IF($B$138="","",IF(COUNTIFS(Prior_Forecast!$A:$A,$B$138,Prior_Forecast!$B:$B,$D$138)&gt;0,SUMIFS(Prior_Forecast!$P:$P,Prior_Forecast!$A:$A,$B$138,Prior_Forecast!$B:$B,$D$138),""))</f>
        <v/>
      </c>
      <c r="V143" s="37">
        <f>IF($B$138="","",IF(COUNTIFS(Prior_Forecast!$A:$A,$B$138,Prior_Forecast!$B:$B,$D$138)&gt;0,SUMIFS(Prior_Forecast!$Q:$Q,Prior_Forecast!$A:$A,$B$138,Prior_Forecast!$B:$B,$D$138),""))</f>
        <v/>
      </c>
      <c r="X143" s="22">
        <f>IF($B143="","",IFERROR(INDEX(Cost_Centers!$E:$E,MATCH($B143,Cost_Centers!$A:$A,0)),"(unknown)"))</f>
        <v/>
      </c>
      <c r="Y143" s="22">
        <f>IF($B143="","",IFERROR(INDEX(Cost_Centers!$D:$D,MATCH($B143,Cost_Centers!$A:$A,0)),"(unknown)"))</f>
        <v/>
      </c>
      <c r="Z143" s="22">
        <f>IF(OR($B143="",$G143&lt;&gt;"Variance vs Budget"),"",ABS(N($V143))+ROW()/1000000000)</f>
        <v/>
      </c>
    </row>
    <row r="144">
      <c r="A144" s="13">
        <f>IF(A$138="","",A$138)</f>
        <v/>
      </c>
      <c r="B144" s="13">
        <f>IF(B$138="","",B$138)</f>
        <v/>
      </c>
      <c r="C144" s="13">
        <f>IF(C$138="","",C$138)</f>
        <v/>
      </c>
      <c r="D144" s="13">
        <f>IF(D$138="","",D$138)</f>
        <v/>
      </c>
      <c r="E144" s="13">
        <f>IF(E$138="","",E$138)</f>
        <v/>
      </c>
      <c r="F144" s="13">
        <f>IF(F$138="","",F$138)</f>
        <v/>
      </c>
      <c r="G144" s="6" t="inlineStr">
        <is>
          <t>Variance vs Prior Month</t>
        </is>
      </c>
      <c r="H144" s="33">
        <f>IF(OR($B$138="",H143=""),"",H142-H143)</f>
        <v/>
      </c>
      <c r="I144" s="33">
        <f>IF(OR($B$138="",I143=""),"",I142-I143)</f>
        <v/>
      </c>
      <c r="J144" s="33">
        <f>IF(OR($B$138="",J143=""),"",J142-J143)</f>
        <v/>
      </c>
      <c r="K144" s="33">
        <f>IF(OR($B$138="",K143=""),"",K142-K143)</f>
        <v/>
      </c>
      <c r="L144" s="33">
        <f>IF(OR($B$138="",L143=""),"",L142-L143)</f>
        <v/>
      </c>
      <c r="M144" s="33">
        <f>IF(OR($B$138="",M143=""),"",M142-M143)</f>
        <v/>
      </c>
      <c r="N144" s="33">
        <f>IF(OR($B$138="",N143=""),"",N142-N143)</f>
        <v/>
      </c>
      <c r="O144" s="33">
        <f>IF(OR($B$138="",O143=""),"",O142-O143)</f>
        <v/>
      </c>
      <c r="P144" s="33">
        <f>IF(OR($B$138="",P143=""),"",P142-P143)</f>
        <v/>
      </c>
      <c r="Q144" s="33">
        <f>IF(OR($B$138="",Q143=""),"",Q142-Q143)</f>
        <v/>
      </c>
      <c r="R144" s="33">
        <f>IF(OR($B$138="",R143=""),"",R142-R143)</f>
        <v/>
      </c>
      <c r="S144" s="33">
        <f>IF(OR($B$138="",S143=""),"",S142-S143)</f>
        <v/>
      </c>
      <c r="T144" s="33">
        <f>IF(OR($B$138="",T143=""),"",T142-T143)</f>
        <v/>
      </c>
      <c r="U144" s="33">
        <f>IF(OR($B$138="",U143=""),"",U142-U143)</f>
        <v/>
      </c>
      <c r="V144" s="33">
        <f>IF(OR($B$138="",V143=""),"",V142-V143)</f>
        <v/>
      </c>
      <c r="X144" s="22">
        <f>IF($B144="","",IFERROR(INDEX(Cost_Centers!$E:$E,MATCH($B144,Cost_Centers!$A:$A,0)),"(unknown)"))</f>
        <v/>
      </c>
      <c r="Y144" s="22">
        <f>IF($B144="","",IFERROR(INDEX(Cost_Centers!$D:$D,MATCH($B144,Cost_Centers!$A:$A,0)),"(unknown)"))</f>
        <v/>
      </c>
      <c r="Z144" s="22">
        <f>IF(OR($B144="",$G144&lt;&gt;"Variance vs Budget"),"",ABS(N($V144))+ROW()/1000000000)</f>
        <v/>
      </c>
    </row>
    <row r="145" ht="45" customHeight="1">
      <c r="A145" s="13">
        <f>IF(A$138="","",A$138)</f>
        <v/>
      </c>
      <c r="B145" s="13">
        <f>IF(B$138="","",B$138)</f>
        <v/>
      </c>
      <c r="C145" s="13">
        <f>IF(C$138="","",C$138)</f>
        <v/>
      </c>
      <c r="D145" s="13">
        <f>IF(D$138="","",D$138)</f>
        <v/>
      </c>
      <c r="E145" s="13">
        <f>IF(E$138="","",E$138)</f>
        <v/>
      </c>
      <c r="F145" s="13">
        <f>IF(F$138="","",F$138)</f>
        <v/>
      </c>
      <c r="G145" s="7" t="inlineStr">
        <is>
          <t>Rationale</t>
        </is>
      </c>
      <c r="H145" s="38" t="n"/>
      <c r="I145" s="38" t="n"/>
      <c r="J145" s="38" t="n"/>
      <c r="K145" s="38" t="n"/>
      <c r="L145" s="38" t="n"/>
      <c r="M145" s="38" t="n"/>
      <c r="N145" s="38" t="n"/>
      <c r="O145" s="38" t="n"/>
      <c r="P145" s="38" t="n"/>
      <c r="Q145" s="38" t="n"/>
      <c r="R145" s="38" t="n"/>
      <c r="S145" s="38" t="n"/>
      <c r="T145" s="38" t="n"/>
      <c r="U145" s="38" t="n"/>
      <c r="V145" s="7" t="n"/>
      <c r="X145" s="22">
        <f>IF($B145="","",IFERROR(INDEX(Cost_Centers!$E:$E,MATCH($B145,Cost_Centers!$A:$A,0)),"(unknown)"))</f>
        <v/>
      </c>
      <c r="Y145" s="22">
        <f>IF($B145="","",IFERROR(INDEX(Cost_Centers!$D:$D,MATCH($B145,Cost_Centers!$A:$A,0)),"(unknown)"))</f>
        <v/>
      </c>
      <c r="Z145" s="22">
        <f>IF(OR($B145="",$G145&lt;&gt;"Variance vs Budget"),"",ABS(N($V145))+ROW()/1000000000)</f>
        <v/>
      </c>
    </row>
    <row r="146">
      <c r="A146" s="30">
        <f>IF($D$146="","",LEFT($D$146,FIND("|",$D$146&amp;"|")-1))</f>
        <v/>
      </c>
      <c r="B146" s="31" t="n"/>
      <c r="C146" s="30">
        <f>IF($B$146="","",IFERROR(INDEX(Cost_Centers!$B:$B,MATCH($B$146,Cost_Centers!$A:$A,0)),"(not in master)"))</f>
        <v/>
      </c>
      <c r="D146" s="31" t="n"/>
      <c r="E146" s="30">
        <f>IF($D$146="","",IFERROR(INDEX(Accounts!$D:$D,MATCH($D$146,Accounts!$A:$A,0)),"(not in master)"))</f>
        <v/>
      </c>
      <c r="F146" s="31" t="n"/>
      <c r="G146" s="30" t="inlineStr">
        <is>
          <t>Budget</t>
        </is>
      </c>
      <c r="H146" s="32">
        <f>IF($B$146="","",SUMIFS(Opex_Budget!$O:$O,Opex_Budget!$A:$A,$C$3,Opex_Budget!$E:$E,$B$146,Opex_Budget!$F:$F,$D$146,Opex_Budget!$N:$N,"JPY")*$E$5+SUMIFS(Opex_Budget!$O:$O,Opex_Budget!$A:$A,$C$3,Opex_Budget!$E:$E,$B$146,Opex_Budget!$F:$F,$D$146,Opex_Budget!$N:$N,"USD")*$F$5+SUMIFS(Opex_Budget!$O:$O,Opex_Budget!$A:$A,$C$3,Opex_Budget!$E:$E,$B$146,Opex_Budget!$F:$F,$D$146,Opex_Budget!$N:$N,"EUR")*$G$5+SUMIFS(Opex_Budget!$O:$O,Opex_Budget!$A:$A,$C$3,Opex_Budget!$E:$E,$B$146,Opex_Budget!$F:$F,$D$146,Opex_Budget!$N:$N,"GBP")*$H$5)</f>
        <v/>
      </c>
      <c r="I146" s="32">
        <f>IF($B$146="","",SUMIFS(Opex_Budget!$P:$P,Opex_Budget!$A:$A,$C$3,Opex_Budget!$E:$E,$B$146,Opex_Budget!$F:$F,$D$146,Opex_Budget!$N:$N,"JPY")*$E$5+SUMIFS(Opex_Budget!$P:$P,Opex_Budget!$A:$A,$C$3,Opex_Budget!$E:$E,$B$146,Opex_Budget!$F:$F,$D$146,Opex_Budget!$N:$N,"USD")*$F$5+SUMIFS(Opex_Budget!$P:$P,Opex_Budget!$A:$A,$C$3,Opex_Budget!$E:$E,$B$146,Opex_Budget!$F:$F,$D$146,Opex_Budget!$N:$N,"EUR")*$G$5+SUMIFS(Opex_Budget!$P:$P,Opex_Budget!$A:$A,$C$3,Opex_Budget!$E:$E,$B$146,Opex_Budget!$F:$F,$D$146,Opex_Budget!$N:$N,"GBP")*$H$5)</f>
        <v/>
      </c>
      <c r="J146" s="32">
        <f>IF($B$146="","",SUMIFS(Opex_Budget!$Q:$Q,Opex_Budget!$A:$A,$C$3,Opex_Budget!$E:$E,$B$146,Opex_Budget!$F:$F,$D$146,Opex_Budget!$N:$N,"JPY")*$E$5+SUMIFS(Opex_Budget!$Q:$Q,Opex_Budget!$A:$A,$C$3,Opex_Budget!$E:$E,$B$146,Opex_Budget!$F:$F,$D$146,Opex_Budget!$N:$N,"USD")*$F$5+SUMIFS(Opex_Budget!$Q:$Q,Opex_Budget!$A:$A,$C$3,Opex_Budget!$E:$E,$B$146,Opex_Budget!$F:$F,$D$146,Opex_Budget!$N:$N,"EUR")*$G$5+SUMIFS(Opex_Budget!$Q:$Q,Opex_Budget!$A:$A,$C$3,Opex_Budget!$E:$E,$B$146,Opex_Budget!$F:$F,$D$146,Opex_Budget!$N:$N,"GBP")*$H$5)</f>
        <v/>
      </c>
      <c r="K146" s="32">
        <f>IF($B$146="","",SUMIFS(Opex_Budget!$R:$R,Opex_Budget!$A:$A,$C$3,Opex_Budget!$E:$E,$B$146,Opex_Budget!$F:$F,$D$146,Opex_Budget!$N:$N,"JPY")*$E$5+SUMIFS(Opex_Budget!$R:$R,Opex_Budget!$A:$A,$C$3,Opex_Budget!$E:$E,$B$146,Opex_Budget!$F:$F,$D$146,Opex_Budget!$N:$N,"USD")*$F$5+SUMIFS(Opex_Budget!$R:$R,Opex_Budget!$A:$A,$C$3,Opex_Budget!$E:$E,$B$146,Opex_Budget!$F:$F,$D$146,Opex_Budget!$N:$N,"EUR")*$G$5+SUMIFS(Opex_Budget!$R:$R,Opex_Budget!$A:$A,$C$3,Opex_Budget!$E:$E,$B$146,Opex_Budget!$F:$F,$D$146,Opex_Budget!$N:$N,"GBP")*$H$5)</f>
        <v/>
      </c>
      <c r="L146" s="32">
        <f>IF($B$146="","",SUMIFS(Opex_Budget!$S:$S,Opex_Budget!$A:$A,$C$3,Opex_Budget!$E:$E,$B$146,Opex_Budget!$F:$F,$D$146,Opex_Budget!$N:$N,"JPY")*$E$5+SUMIFS(Opex_Budget!$S:$S,Opex_Budget!$A:$A,$C$3,Opex_Budget!$E:$E,$B$146,Opex_Budget!$F:$F,$D$146,Opex_Budget!$N:$N,"USD")*$F$5+SUMIFS(Opex_Budget!$S:$S,Opex_Budget!$A:$A,$C$3,Opex_Budget!$E:$E,$B$146,Opex_Budget!$F:$F,$D$146,Opex_Budget!$N:$N,"EUR")*$G$5+SUMIFS(Opex_Budget!$S:$S,Opex_Budget!$A:$A,$C$3,Opex_Budget!$E:$E,$B$146,Opex_Budget!$F:$F,$D$146,Opex_Budget!$N:$N,"GBP")*$H$5)</f>
        <v/>
      </c>
      <c r="M146" s="32">
        <f>IF($B$146="","",SUMIFS(Opex_Budget!$T:$T,Opex_Budget!$A:$A,$C$3,Opex_Budget!$E:$E,$B$146,Opex_Budget!$F:$F,$D$146,Opex_Budget!$N:$N,"JPY")*$E$5+SUMIFS(Opex_Budget!$T:$T,Opex_Budget!$A:$A,$C$3,Opex_Budget!$E:$E,$B$146,Opex_Budget!$F:$F,$D$146,Opex_Budget!$N:$N,"USD")*$F$5+SUMIFS(Opex_Budget!$T:$T,Opex_Budget!$A:$A,$C$3,Opex_Budget!$E:$E,$B$146,Opex_Budget!$F:$F,$D$146,Opex_Budget!$N:$N,"EUR")*$G$5+SUMIFS(Opex_Budget!$T:$T,Opex_Budget!$A:$A,$C$3,Opex_Budget!$E:$E,$B$146,Opex_Budget!$F:$F,$D$146,Opex_Budget!$N:$N,"GBP")*$H$5)</f>
        <v/>
      </c>
      <c r="N146" s="32">
        <f>IF($B$146="","",SUMIFS(Opex_Budget!$U:$U,Opex_Budget!$A:$A,$C$3,Opex_Budget!$E:$E,$B$146,Opex_Budget!$F:$F,$D$146,Opex_Budget!$N:$N,"JPY")*$E$5+SUMIFS(Opex_Budget!$U:$U,Opex_Budget!$A:$A,$C$3,Opex_Budget!$E:$E,$B$146,Opex_Budget!$F:$F,$D$146,Opex_Budget!$N:$N,"USD")*$F$5+SUMIFS(Opex_Budget!$U:$U,Opex_Budget!$A:$A,$C$3,Opex_Budget!$E:$E,$B$146,Opex_Budget!$F:$F,$D$146,Opex_Budget!$N:$N,"EUR")*$G$5+SUMIFS(Opex_Budget!$U:$U,Opex_Budget!$A:$A,$C$3,Opex_Budget!$E:$E,$B$146,Opex_Budget!$F:$F,$D$146,Opex_Budget!$N:$N,"GBP")*$H$5)</f>
        <v/>
      </c>
      <c r="O146" s="32">
        <f>IF($B$146="","",SUMIFS(Opex_Budget!$V:$V,Opex_Budget!$A:$A,$C$3,Opex_Budget!$E:$E,$B$146,Opex_Budget!$F:$F,$D$146,Opex_Budget!$N:$N,"JPY")*$E$5+SUMIFS(Opex_Budget!$V:$V,Opex_Budget!$A:$A,$C$3,Opex_Budget!$E:$E,$B$146,Opex_Budget!$F:$F,$D$146,Opex_Budget!$N:$N,"USD")*$F$5+SUMIFS(Opex_Budget!$V:$V,Opex_Budget!$A:$A,$C$3,Opex_Budget!$E:$E,$B$146,Opex_Budget!$F:$F,$D$146,Opex_Budget!$N:$N,"EUR")*$G$5+SUMIFS(Opex_Budget!$V:$V,Opex_Budget!$A:$A,$C$3,Opex_Budget!$E:$E,$B$146,Opex_Budget!$F:$F,$D$146,Opex_Budget!$N:$N,"GBP")*$H$5)</f>
        <v/>
      </c>
      <c r="P146" s="32">
        <f>IF($B$146="","",SUMIFS(Opex_Budget!$W:$W,Opex_Budget!$A:$A,$C$3,Opex_Budget!$E:$E,$B$146,Opex_Budget!$F:$F,$D$146,Opex_Budget!$N:$N,"JPY")*$E$5+SUMIFS(Opex_Budget!$W:$W,Opex_Budget!$A:$A,$C$3,Opex_Budget!$E:$E,$B$146,Opex_Budget!$F:$F,$D$146,Opex_Budget!$N:$N,"USD")*$F$5+SUMIFS(Opex_Budget!$W:$W,Opex_Budget!$A:$A,$C$3,Opex_Budget!$E:$E,$B$146,Opex_Budget!$F:$F,$D$146,Opex_Budget!$N:$N,"EUR")*$G$5+SUMIFS(Opex_Budget!$W:$W,Opex_Budget!$A:$A,$C$3,Opex_Budget!$E:$E,$B$146,Opex_Budget!$F:$F,$D$146,Opex_Budget!$N:$N,"GBP")*$H$5)</f>
        <v/>
      </c>
      <c r="Q146" s="32">
        <f>IF($B$146="","",SUMIFS(Opex_Budget!$X:$X,Opex_Budget!$A:$A,$C$3,Opex_Budget!$E:$E,$B$146,Opex_Budget!$F:$F,$D$146,Opex_Budget!$N:$N,"JPY")*$E$5+SUMIFS(Opex_Budget!$X:$X,Opex_Budget!$A:$A,$C$3,Opex_Budget!$E:$E,$B$146,Opex_Budget!$F:$F,$D$146,Opex_Budget!$N:$N,"USD")*$F$5+SUMIFS(Opex_Budget!$X:$X,Opex_Budget!$A:$A,$C$3,Opex_Budget!$E:$E,$B$146,Opex_Budget!$F:$F,$D$146,Opex_Budget!$N:$N,"EUR")*$G$5+SUMIFS(Opex_Budget!$X:$X,Opex_Budget!$A:$A,$C$3,Opex_Budget!$E:$E,$B$146,Opex_Budget!$F:$F,$D$146,Opex_Budget!$N:$N,"GBP")*$H$5)</f>
        <v/>
      </c>
      <c r="R146" s="32">
        <f>IF($B$146="","",SUMIFS(Opex_Budget!$Y:$Y,Opex_Budget!$A:$A,$C$3,Opex_Budget!$E:$E,$B$146,Opex_Budget!$F:$F,$D$146,Opex_Budget!$N:$N,"JPY")*$E$5+SUMIFS(Opex_Budget!$Y:$Y,Opex_Budget!$A:$A,$C$3,Opex_Budget!$E:$E,$B$146,Opex_Budget!$F:$F,$D$146,Opex_Budget!$N:$N,"USD")*$F$5+SUMIFS(Opex_Budget!$Y:$Y,Opex_Budget!$A:$A,$C$3,Opex_Budget!$E:$E,$B$146,Opex_Budget!$F:$F,$D$146,Opex_Budget!$N:$N,"EUR")*$G$5+SUMIFS(Opex_Budget!$Y:$Y,Opex_Budget!$A:$A,$C$3,Opex_Budget!$E:$E,$B$146,Opex_Budget!$F:$F,$D$146,Opex_Budget!$N:$N,"GBP")*$H$5)</f>
        <v/>
      </c>
      <c r="S146" s="32">
        <f>IF($B$146="","",SUMIFS(Opex_Budget!$Z:$Z,Opex_Budget!$A:$A,$C$3,Opex_Budget!$E:$E,$B$146,Opex_Budget!$F:$F,$D$146,Opex_Budget!$N:$N,"JPY")*$E$5+SUMIFS(Opex_Budget!$Z:$Z,Opex_Budget!$A:$A,$C$3,Opex_Budget!$E:$E,$B$146,Opex_Budget!$F:$F,$D$146,Opex_Budget!$N:$N,"USD")*$F$5+SUMIFS(Opex_Budget!$Z:$Z,Opex_Budget!$A:$A,$C$3,Opex_Budget!$E:$E,$B$146,Opex_Budget!$F:$F,$D$146,Opex_Budget!$N:$N,"EUR")*$G$5+SUMIFS(Opex_Budget!$Z:$Z,Opex_Budget!$A:$A,$C$3,Opex_Budget!$E:$E,$B$146,Opex_Budget!$F:$F,$D$146,Opex_Budget!$N:$N,"GBP")*$H$5)</f>
        <v/>
      </c>
      <c r="T146" s="32">
        <f>IF($B$146="","",SUMIF($H$7:$S$7,"&lt;="&amp;$C$4,$H146:$S146))</f>
        <v/>
      </c>
      <c r="U146" s="32">
        <f>IF($B$146="","",SUMIF($H$7:$S$7,"&gt;"&amp;$C$4,$H146:$S146))</f>
        <v/>
      </c>
      <c r="V146" s="32">
        <f>IF($B$146="","",SUM($H146:$S146))</f>
        <v/>
      </c>
      <c r="X146" s="22">
        <f>IF($B146="","",IFERROR(INDEX(Cost_Centers!$E:$E,MATCH($B146,Cost_Centers!$A:$A,0)),"(unknown)"))</f>
        <v/>
      </c>
      <c r="Y146" s="22">
        <f>IF($B146="","",IFERROR(INDEX(Cost_Centers!$D:$D,MATCH($B146,Cost_Centers!$A:$A,0)),"(unknown)"))</f>
        <v/>
      </c>
      <c r="Z146" s="22">
        <f>IF(OR($B146="",$G146&lt;&gt;"Variance vs Budget"),"",ABS(N($V146))+ROW()/1000000000)</f>
        <v/>
      </c>
    </row>
    <row r="147">
      <c r="A147" s="13">
        <f>IF(A$146="","",A$146)</f>
        <v/>
      </c>
      <c r="B147" s="13">
        <f>IF(B$146="","",B$146)</f>
        <v/>
      </c>
      <c r="C147" s="13">
        <f>IF(C$146="","",C$146)</f>
        <v/>
      </c>
      <c r="D147" s="13">
        <f>IF(D$146="","",D$146)</f>
        <v/>
      </c>
      <c r="E147" s="13">
        <f>IF(E$146="","",E$146)</f>
        <v/>
      </c>
      <c r="F147" s="13">
        <f>IF(F$146="","",F$146)</f>
        <v/>
      </c>
      <c r="G147" s="7" t="inlineStr">
        <is>
          <t>Actual</t>
        </is>
      </c>
      <c r="H147" s="18">
        <f>IF(OR($B$146="",1&gt;$C$4),"",SUMIFS(Actuals!$G:$G,Actuals!$B:$B,$C$3,Actuals!$C:$C,1,Actuals!$D:$D,$B$146,Actuals!$A:$A,LEFT($D$146,FIND("|",$D$146&amp;"|")-1),Actuals!$E:$E,MID($D$146,FIND("|",$D$146&amp;"|")+1,50),Actuals!$F:$F,"JPY")*$E$5+SUMIFS(Actuals!$G:$G,Actuals!$B:$B,$C$3,Actuals!$C:$C,1,Actuals!$D:$D,$B$146,Actuals!$A:$A,LEFT($D$146,FIND("|",$D$146&amp;"|")-1),Actuals!$E:$E,MID($D$146,FIND("|",$D$146&amp;"|")+1,50),Actuals!$F:$F,"USD")*$F$5+SUMIFS(Actuals!$G:$G,Actuals!$B:$B,$C$3,Actuals!$C:$C,1,Actuals!$D:$D,$B$146,Actuals!$A:$A,LEFT($D$146,FIND("|",$D$146&amp;"|")-1),Actuals!$E:$E,MID($D$146,FIND("|",$D$146&amp;"|")+1,50),Actuals!$F:$F,"EUR")*$G$5+SUMIFS(Actuals!$G:$G,Actuals!$B:$B,$C$3,Actuals!$C:$C,1,Actuals!$D:$D,$B$146,Actuals!$A:$A,LEFT($D$146,FIND("|",$D$146&amp;"|")-1),Actuals!$E:$E,MID($D$146,FIND("|",$D$146&amp;"|")+1,50),Actuals!$F:$F,"GBP")*$H$5)</f>
        <v/>
      </c>
      <c r="I147" s="18">
        <f>IF(OR($B$146="",2&gt;$C$4),"",SUMIFS(Actuals!$G:$G,Actuals!$B:$B,$C$3,Actuals!$C:$C,2,Actuals!$D:$D,$B$146,Actuals!$A:$A,LEFT($D$146,FIND("|",$D$146&amp;"|")-1),Actuals!$E:$E,MID($D$146,FIND("|",$D$146&amp;"|")+1,50),Actuals!$F:$F,"JPY")*$E$5+SUMIFS(Actuals!$G:$G,Actuals!$B:$B,$C$3,Actuals!$C:$C,2,Actuals!$D:$D,$B$146,Actuals!$A:$A,LEFT($D$146,FIND("|",$D$146&amp;"|")-1),Actuals!$E:$E,MID($D$146,FIND("|",$D$146&amp;"|")+1,50),Actuals!$F:$F,"USD")*$F$5+SUMIFS(Actuals!$G:$G,Actuals!$B:$B,$C$3,Actuals!$C:$C,2,Actuals!$D:$D,$B$146,Actuals!$A:$A,LEFT($D$146,FIND("|",$D$146&amp;"|")-1),Actuals!$E:$E,MID($D$146,FIND("|",$D$146&amp;"|")+1,50),Actuals!$F:$F,"EUR")*$G$5+SUMIFS(Actuals!$G:$G,Actuals!$B:$B,$C$3,Actuals!$C:$C,2,Actuals!$D:$D,$B$146,Actuals!$A:$A,LEFT($D$146,FIND("|",$D$146&amp;"|")-1),Actuals!$E:$E,MID($D$146,FIND("|",$D$146&amp;"|")+1,50),Actuals!$F:$F,"GBP")*$H$5)</f>
        <v/>
      </c>
      <c r="J147" s="18">
        <f>IF(OR($B$146="",3&gt;$C$4),"",SUMIFS(Actuals!$G:$G,Actuals!$B:$B,$C$3,Actuals!$C:$C,3,Actuals!$D:$D,$B$146,Actuals!$A:$A,LEFT($D$146,FIND("|",$D$146&amp;"|")-1),Actuals!$E:$E,MID($D$146,FIND("|",$D$146&amp;"|")+1,50),Actuals!$F:$F,"JPY")*$E$5+SUMIFS(Actuals!$G:$G,Actuals!$B:$B,$C$3,Actuals!$C:$C,3,Actuals!$D:$D,$B$146,Actuals!$A:$A,LEFT($D$146,FIND("|",$D$146&amp;"|")-1),Actuals!$E:$E,MID($D$146,FIND("|",$D$146&amp;"|")+1,50),Actuals!$F:$F,"USD")*$F$5+SUMIFS(Actuals!$G:$G,Actuals!$B:$B,$C$3,Actuals!$C:$C,3,Actuals!$D:$D,$B$146,Actuals!$A:$A,LEFT($D$146,FIND("|",$D$146&amp;"|")-1),Actuals!$E:$E,MID($D$146,FIND("|",$D$146&amp;"|")+1,50),Actuals!$F:$F,"EUR")*$G$5+SUMIFS(Actuals!$G:$G,Actuals!$B:$B,$C$3,Actuals!$C:$C,3,Actuals!$D:$D,$B$146,Actuals!$A:$A,LEFT($D$146,FIND("|",$D$146&amp;"|")-1),Actuals!$E:$E,MID($D$146,FIND("|",$D$146&amp;"|")+1,50),Actuals!$F:$F,"GBP")*$H$5)</f>
        <v/>
      </c>
      <c r="K147" s="18">
        <f>IF(OR($B$146="",4&gt;$C$4),"",SUMIFS(Actuals!$G:$G,Actuals!$B:$B,$C$3,Actuals!$C:$C,4,Actuals!$D:$D,$B$146,Actuals!$A:$A,LEFT($D$146,FIND("|",$D$146&amp;"|")-1),Actuals!$E:$E,MID($D$146,FIND("|",$D$146&amp;"|")+1,50),Actuals!$F:$F,"JPY")*$E$5+SUMIFS(Actuals!$G:$G,Actuals!$B:$B,$C$3,Actuals!$C:$C,4,Actuals!$D:$D,$B$146,Actuals!$A:$A,LEFT($D$146,FIND("|",$D$146&amp;"|")-1),Actuals!$E:$E,MID($D$146,FIND("|",$D$146&amp;"|")+1,50),Actuals!$F:$F,"USD")*$F$5+SUMIFS(Actuals!$G:$G,Actuals!$B:$B,$C$3,Actuals!$C:$C,4,Actuals!$D:$D,$B$146,Actuals!$A:$A,LEFT($D$146,FIND("|",$D$146&amp;"|")-1),Actuals!$E:$E,MID($D$146,FIND("|",$D$146&amp;"|")+1,50),Actuals!$F:$F,"EUR")*$G$5+SUMIFS(Actuals!$G:$G,Actuals!$B:$B,$C$3,Actuals!$C:$C,4,Actuals!$D:$D,$B$146,Actuals!$A:$A,LEFT($D$146,FIND("|",$D$146&amp;"|")-1),Actuals!$E:$E,MID($D$146,FIND("|",$D$146&amp;"|")+1,50),Actuals!$F:$F,"GBP")*$H$5)</f>
        <v/>
      </c>
      <c r="L147" s="18">
        <f>IF(OR($B$146="",5&gt;$C$4),"",SUMIFS(Actuals!$G:$G,Actuals!$B:$B,$C$3,Actuals!$C:$C,5,Actuals!$D:$D,$B$146,Actuals!$A:$A,LEFT($D$146,FIND("|",$D$146&amp;"|")-1),Actuals!$E:$E,MID($D$146,FIND("|",$D$146&amp;"|")+1,50),Actuals!$F:$F,"JPY")*$E$5+SUMIFS(Actuals!$G:$G,Actuals!$B:$B,$C$3,Actuals!$C:$C,5,Actuals!$D:$D,$B$146,Actuals!$A:$A,LEFT($D$146,FIND("|",$D$146&amp;"|")-1),Actuals!$E:$E,MID($D$146,FIND("|",$D$146&amp;"|")+1,50),Actuals!$F:$F,"USD")*$F$5+SUMIFS(Actuals!$G:$G,Actuals!$B:$B,$C$3,Actuals!$C:$C,5,Actuals!$D:$D,$B$146,Actuals!$A:$A,LEFT($D$146,FIND("|",$D$146&amp;"|")-1),Actuals!$E:$E,MID($D$146,FIND("|",$D$146&amp;"|")+1,50),Actuals!$F:$F,"EUR")*$G$5+SUMIFS(Actuals!$G:$G,Actuals!$B:$B,$C$3,Actuals!$C:$C,5,Actuals!$D:$D,$B$146,Actuals!$A:$A,LEFT($D$146,FIND("|",$D$146&amp;"|")-1),Actuals!$E:$E,MID($D$146,FIND("|",$D$146&amp;"|")+1,50),Actuals!$F:$F,"GBP")*$H$5)</f>
        <v/>
      </c>
      <c r="M147" s="18">
        <f>IF(OR($B$146="",6&gt;$C$4),"",SUMIFS(Actuals!$G:$G,Actuals!$B:$B,$C$3,Actuals!$C:$C,6,Actuals!$D:$D,$B$146,Actuals!$A:$A,LEFT($D$146,FIND("|",$D$146&amp;"|")-1),Actuals!$E:$E,MID($D$146,FIND("|",$D$146&amp;"|")+1,50),Actuals!$F:$F,"JPY")*$E$5+SUMIFS(Actuals!$G:$G,Actuals!$B:$B,$C$3,Actuals!$C:$C,6,Actuals!$D:$D,$B$146,Actuals!$A:$A,LEFT($D$146,FIND("|",$D$146&amp;"|")-1),Actuals!$E:$E,MID($D$146,FIND("|",$D$146&amp;"|")+1,50),Actuals!$F:$F,"USD")*$F$5+SUMIFS(Actuals!$G:$G,Actuals!$B:$B,$C$3,Actuals!$C:$C,6,Actuals!$D:$D,$B$146,Actuals!$A:$A,LEFT($D$146,FIND("|",$D$146&amp;"|")-1),Actuals!$E:$E,MID($D$146,FIND("|",$D$146&amp;"|")+1,50),Actuals!$F:$F,"EUR")*$G$5+SUMIFS(Actuals!$G:$G,Actuals!$B:$B,$C$3,Actuals!$C:$C,6,Actuals!$D:$D,$B$146,Actuals!$A:$A,LEFT($D$146,FIND("|",$D$146&amp;"|")-1),Actuals!$E:$E,MID($D$146,FIND("|",$D$146&amp;"|")+1,50),Actuals!$F:$F,"GBP")*$H$5)</f>
        <v/>
      </c>
      <c r="N147" s="18">
        <f>IF(OR($B$146="",7&gt;$C$4),"",SUMIFS(Actuals!$G:$G,Actuals!$B:$B,$C$3,Actuals!$C:$C,7,Actuals!$D:$D,$B$146,Actuals!$A:$A,LEFT($D$146,FIND("|",$D$146&amp;"|")-1),Actuals!$E:$E,MID($D$146,FIND("|",$D$146&amp;"|")+1,50),Actuals!$F:$F,"JPY")*$E$5+SUMIFS(Actuals!$G:$G,Actuals!$B:$B,$C$3,Actuals!$C:$C,7,Actuals!$D:$D,$B$146,Actuals!$A:$A,LEFT($D$146,FIND("|",$D$146&amp;"|")-1),Actuals!$E:$E,MID($D$146,FIND("|",$D$146&amp;"|")+1,50),Actuals!$F:$F,"USD")*$F$5+SUMIFS(Actuals!$G:$G,Actuals!$B:$B,$C$3,Actuals!$C:$C,7,Actuals!$D:$D,$B$146,Actuals!$A:$A,LEFT($D$146,FIND("|",$D$146&amp;"|")-1),Actuals!$E:$E,MID($D$146,FIND("|",$D$146&amp;"|")+1,50),Actuals!$F:$F,"EUR")*$G$5+SUMIFS(Actuals!$G:$G,Actuals!$B:$B,$C$3,Actuals!$C:$C,7,Actuals!$D:$D,$B$146,Actuals!$A:$A,LEFT($D$146,FIND("|",$D$146&amp;"|")-1),Actuals!$E:$E,MID($D$146,FIND("|",$D$146&amp;"|")+1,50),Actuals!$F:$F,"GBP")*$H$5)</f>
        <v/>
      </c>
      <c r="O147" s="18">
        <f>IF(OR($B$146="",8&gt;$C$4),"",SUMIFS(Actuals!$G:$G,Actuals!$B:$B,$C$3,Actuals!$C:$C,8,Actuals!$D:$D,$B$146,Actuals!$A:$A,LEFT($D$146,FIND("|",$D$146&amp;"|")-1),Actuals!$E:$E,MID($D$146,FIND("|",$D$146&amp;"|")+1,50),Actuals!$F:$F,"JPY")*$E$5+SUMIFS(Actuals!$G:$G,Actuals!$B:$B,$C$3,Actuals!$C:$C,8,Actuals!$D:$D,$B$146,Actuals!$A:$A,LEFT($D$146,FIND("|",$D$146&amp;"|")-1),Actuals!$E:$E,MID($D$146,FIND("|",$D$146&amp;"|")+1,50),Actuals!$F:$F,"USD")*$F$5+SUMIFS(Actuals!$G:$G,Actuals!$B:$B,$C$3,Actuals!$C:$C,8,Actuals!$D:$D,$B$146,Actuals!$A:$A,LEFT($D$146,FIND("|",$D$146&amp;"|")-1),Actuals!$E:$E,MID($D$146,FIND("|",$D$146&amp;"|")+1,50),Actuals!$F:$F,"EUR")*$G$5+SUMIFS(Actuals!$G:$G,Actuals!$B:$B,$C$3,Actuals!$C:$C,8,Actuals!$D:$D,$B$146,Actuals!$A:$A,LEFT($D$146,FIND("|",$D$146&amp;"|")-1),Actuals!$E:$E,MID($D$146,FIND("|",$D$146&amp;"|")+1,50),Actuals!$F:$F,"GBP")*$H$5)</f>
        <v/>
      </c>
      <c r="P147" s="18">
        <f>IF(OR($B$146="",9&gt;$C$4),"",SUMIFS(Actuals!$G:$G,Actuals!$B:$B,$C$3,Actuals!$C:$C,9,Actuals!$D:$D,$B$146,Actuals!$A:$A,LEFT($D$146,FIND("|",$D$146&amp;"|")-1),Actuals!$E:$E,MID($D$146,FIND("|",$D$146&amp;"|")+1,50),Actuals!$F:$F,"JPY")*$E$5+SUMIFS(Actuals!$G:$G,Actuals!$B:$B,$C$3,Actuals!$C:$C,9,Actuals!$D:$D,$B$146,Actuals!$A:$A,LEFT($D$146,FIND("|",$D$146&amp;"|")-1),Actuals!$E:$E,MID($D$146,FIND("|",$D$146&amp;"|")+1,50),Actuals!$F:$F,"USD")*$F$5+SUMIFS(Actuals!$G:$G,Actuals!$B:$B,$C$3,Actuals!$C:$C,9,Actuals!$D:$D,$B$146,Actuals!$A:$A,LEFT($D$146,FIND("|",$D$146&amp;"|")-1),Actuals!$E:$E,MID($D$146,FIND("|",$D$146&amp;"|")+1,50),Actuals!$F:$F,"EUR")*$G$5+SUMIFS(Actuals!$G:$G,Actuals!$B:$B,$C$3,Actuals!$C:$C,9,Actuals!$D:$D,$B$146,Actuals!$A:$A,LEFT($D$146,FIND("|",$D$146&amp;"|")-1),Actuals!$E:$E,MID($D$146,FIND("|",$D$146&amp;"|")+1,50),Actuals!$F:$F,"GBP")*$H$5)</f>
        <v/>
      </c>
      <c r="Q147" s="18">
        <f>IF(OR($B$146="",10&gt;$C$4),"",SUMIFS(Actuals!$G:$G,Actuals!$B:$B,$C$3,Actuals!$C:$C,10,Actuals!$D:$D,$B$146,Actuals!$A:$A,LEFT($D$146,FIND("|",$D$146&amp;"|")-1),Actuals!$E:$E,MID($D$146,FIND("|",$D$146&amp;"|")+1,50),Actuals!$F:$F,"JPY")*$E$5+SUMIFS(Actuals!$G:$G,Actuals!$B:$B,$C$3,Actuals!$C:$C,10,Actuals!$D:$D,$B$146,Actuals!$A:$A,LEFT($D$146,FIND("|",$D$146&amp;"|")-1),Actuals!$E:$E,MID($D$146,FIND("|",$D$146&amp;"|")+1,50),Actuals!$F:$F,"USD")*$F$5+SUMIFS(Actuals!$G:$G,Actuals!$B:$B,$C$3,Actuals!$C:$C,10,Actuals!$D:$D,$B$146,Actuals!$A:$A,LEFT($D$146,FIND("|",$D$146&amp;"|")-1),Actuals!$E:$E,MID($D$146,FIND("|",$D$146&amp;"|")+1,50),Actuals!$F:$F,"EUR")*$G$5+SUMIFS(Actuals!$G:$G,Actuals!$B:$B,$C$3,Actuals!$C:$C,10,Actuals!$D:$D,$B$146,Actuals!$A:$A,LEFT($D$146,FIND("|",$D$146&amp;"|")-1),Actuals!$E:$E,MID($D$146,FIND("|",$D$146&amp;"|")+1,50),Actuals!$F:$F,"GBP")*$H$5)</f>
        <v/>
      </c>
      <c r="R147" s="18">
        <f>IF(OR($B$146="",11&gt;$C$4),"",SUMIFS(Actuals!$G:$G,Actuals!$B:$B,$C$3,Actuals!$C:$C,11,Actuals!$D:$D,$B$146,Actuals!$A:$A,LEFT($D$146,FIND("|",$D$146&amp;"|")-1),Actuals!$E:$E,MID($D$146,FIND("|",$D$146&amp;"|")+1,50),Actuals!$F:$F,"JPY")*$E$5+SUMIFS(Actuals!$G:$G,Actuals!$B:$B,$C$3,Actuals!$C:$C,11,Actuals!$D:$D,$B$146,Actuals!$A:$A,LEFT($D$146,FIND("|",$D$146&amp;"|")-1),Actuals!$E:$E,MID($D$146,FIND("|",$D$146&amp;"|")+1,50),Actuals!$F:$F,"USD")*$F$5+SUMIFS(Actuals!$G:$G,Actuals!$B:$B,$C$3,Actuals!$C:$C,11,Actuals!$D:$D,$B$146,Actuals!$A:$A,LEFT($D$146,FIND("|",$D$146&amp;"|")-1),Actuals!$E:$E,MID($D$146,FIND("|",$D$146&amp;"|")+1,50),Actuals!$F:$F,"EUR")*$G$5+SUMIFS(Actuals!$G:$G,Actuals!$B:$B,$C$3,Actuals!$C:$C,11,Actuals!$D:$D,$B$146,Actuals!$A:$A,LEFT($D$146,FIND("|",$D$146&amp;"|")-1),Actuals!$E:$E,MID($D$146,FIND("|",$D$146&amp;"|")+1,50),Actuals!$F:$F,"GBP")*$H$5)</f>
        <v/>
      </c>
      <c r="S147" s="18">
        <f>IF(OR($B$146="",12&gt;$C$4),"",SUMIFS(Actuals!$G:$G,Actuals!$B:$B,$C$3,Actuals!$C:$C,12,Actuals!$D:$D,$B$146,Actuals!$A:$A,LEFT($D$146,FIND("|",$D$146&amp;"|")-1),Actuals!$E:$E,MID($D$146,FIND("|",$D$146&amp;"|")+1,50),Actuals!$F:$F,"JPY")*$E$5+SUMIFS(Actuals!$G:$G,Actuals!$B:$B,$C$3,Actuals!$C:$C,12,Actuals!$D:$D,$B$146,Actuals!$A:$A,LEFT($D$146,FIND("|",$D$146&amp;"|")-1),Actuals!$E:$E,MID($D$146,FIND("|",$D$146&amp;"|")+1,50),Actuals!$F:$F,"USD")*$F$5+SUMIFS(Actuals!$G:$G,Actuals!$B:$B,$C$3,Actuals!$C:$C,12,Actuals!$D:$D,$B$146,Actuals!$A:$A,LEFT($D$146,FIND("|",$D$146&amp;"|")-1),Actuals!$E:$E,MID($D$146,FIND("|",$D$146&amp;"|")+1,50),Actuals!$F:$F,"EUR")*$G$5+SUMIFS(Actuals!$G:$G,Actuals!$B:$B,$C$3,Actuals!$C:$C,12,Actuals!$D:$D,$B$146,Actuals!$A:$A,LEFT($D$146,FIND("|",$D$146&amp;"|")-1),Actuals!$E:$E,MID($D$146,FIND("|",$D$146&amp;"|")+1,50),Actuals!$F:$F,"GBP")*$H$5)</f>
        <v/>
      </c>
      <c r="T147" s="18">
        <f>IF($B$146="","",SUMIF($H$7:$S$7,"&lt;="&amp;$C$4,$H147:$S147))</f>
        <v/>
      </c>
      <c r="U147" s="18" t="n"/>
      <c r="V147" s="18" t="n"/>
      <c r="X147" s="22">
        <f>IF($B147="","",IFERROR(INDEX(Cost_Centers!$E:$E,MATCH($B147,Cost_Centers!$A:$A,0)),"(unknown)"))</f>
        <v/>
      </c>
      <c r="Y147" s="22">
        <f>IF($B147="","",IFERROR(INDEX(Cost_Centers!$D:$D,MATCH($B147,Cost_Centers!$A:$A,0)),"(unknown)"))</f>
        <v/>
      </c>
      <c r="Z147" s="22">
        <f>IF(OR($B147="",$G147&lt;&gt;"Variance vs Budget"),"",ABS(N($V147))+ROW()/1000000000)</f>
        <v/>
      </c>
    </row>
    <row r="148">
      <c r="A148" s="13">
        <f>IF(A$146="","",A$146)</f>
        <v/>
      </c>
      <c r="B148" s="13">
        <f>IF(B$146="","",B$146)</f>
        <v/>
      </c>
      <c r="C148" s="13">
        <f>IF(C$146="","",C$146)</f>
        <v/>
      </c>
      <c r="D148" s="13">
        <f>IF(D$146="","",D$146)</f>
        <v/>
      </c>
      <c r="E148" s="13">
        <f>IF(E$146="","",E$146)</f>
        <v/>
      </c>
      <c r="F148" s="13">
        <f>IF(F$146="","",F$146)</f>
        <v/>
      </c>
      <c r="G148" s="6" t="inlineStr">
        <is>
          <t>Variance vs Budget</t>
        </is>
      </c>
      <c r="H148" s="33">
        <f>IF(OR($B$146="",1&gt;$C$4),"",N(H147)-H146)</f>
        <v/>
      </c>
      <c r="I148" s="33">
        <f>IF(OR($B$146="",2&gt;$C$4),"",N(I147)-I146)</f>
        <v/>
      </c>
      <c r="J148" s="33">
        <f>IF(OR($B$146="",3&gt;$C$4),"",N(J147)-J146)</f>
        <v/>
      </c>
      <c r="K148" s="33">
        <f>IF(OR($B$146="",4&gt;$C$4),"",N(K147)-K146)</f>
        <v/>
      </c>
      <c r="L148" s="33">
        <f>IF(OR($B$146="",5&gt;$C$4),"",N(L147)-L146)</f>
        <v/>
      </c>
      <c r="M148" s="33">
        <f>IF(OR($B$146="",6&gt;$C$4),"",N(M147)-M146)</f>
        <v/>
      </c>
      <c r="N148" s="33">
        <f>IF(OR($B$146="",7&gt;$C$4),"",N(N147)-N146)</f>
        <v/>
      </c>
      <c r="O148" s="33">
        <f>IF(OR($B$146="",8&gt;$C$4),"",N(O147)-O146)</f>
        <v/>
      </c>
      <c r="P148" s="33">
        <f>IF(OR($B$146="",9&gt;$C$4),"",N(P147)-P146)</f>
        <v/>
      </c>
      <c r="Q148" s="33">
        <f>IF(OR($B$146="",10&gt;$C$4),"",N(Q147)-Q146)</f>
        <v/>
      </c>
      <c r="R148" s="33">
        <f>IF(OR($B$146="",11&gt;$C$4),"",N(R147)-R146)</f>
        <v/>
      </c>
      <c r="S148" s="33">
        <f>IF(OR($B$146="",12&gt;$C$4),"",N(S147)-S146)</f>
        <v/>
      </c>
      <c r="T148" s="33">
        <f>IF($B$146="","",T147-T146)</f>
        <v/>
      </c>
      <c r="U148" s="33">
        <f>IF($B$146="","",U150-U146)</f>
        <v/>
      </c>
      <c r="V148" s="33">
        <f>IF($B$146="","",V150-V146)</f>
        <v/>
      </c>
      <c r="X148" s="22">
        <f>IF($B148="","",IFERROR(INDEX(Cost_Centers!$E:$E,MATCH($B148,Cost_Centers!$A:$A,0)),"(unknown)"))</f>
        <v/>
      </c>
      <c r="Y148" s="22">
        <f>IF($B148="","",IFERROR(INDEX(Cost_Centers!$D:$D,MATCH($B148,Cost_Centers!$A:$A,0)),"(unknown)"))</f>
        <v/>
      </c>
      <c r="Z148" s="22">
        <f>IF(OR($B148="",$G148&lt;&gt;"Variance vs Budget"),"",ABS(N($V148))+ROW()/1000000000)</f>
        <v/>
      </c>
    </row>
    <row r="149">
      <c r="A149" s="13">
        <f>IF(A$146="","",A$146)</f>
        <v/>
      </c>
      <c r="B149" s="13">
        <f>IF(B$146="","",B$146)</f>
        <v/>
      </c>
      <c r="C149" s="13">
        <f>IF(C$146="","",C$146)</f>
        <v/>
      </c>
      <c r="D149" s="13">
        <f>IF(D$146="","",D$146)</f>
        <v/>
      </c>
      <c r="E149" s="13">
        <f>IF(E$146="","",E$146)</f>
        <v/>
      </c>
      <c r="F149" s="13">
        <f>IF(F$146="","",F$146)</f>
        <v/>
      </c>
      <c r="G149" s="7" t="inlineStr">
        <is>
          <t>Forecast (input)</t>
        </is>
      </c>
      <c r="H149" s="34" t="n"/>
      <c r="I149" s="34" t="n"/>
      <c r="J149" s="34" t="n"/>
      <c r="K149" s="34" t="n"/>
      <c r="L149" s="34" t="n"/>
      <c r="M149" s="34" t="n"/>
      <c r="N149" s="34" t="n"/>
      <c r="O149" s="34" t="n"/>
      <c r="P149" s="34" t="n"/>
      <c r="Q149" s="34" t="n"/>
      <c r="R149" s="34" t="n"/>
      <c r="S149" s="34" t="n"/>
      <c r="T149" s="18" t="n"/>
      <c r="U149" s="18" t="n"/>
      <c r="V149" s="18" t="n"/>
      <c r="X149" s="22">
        <f>IF($B149="","",IFERROR(INDEX(Cost_Centers!$E:$E,MATCH($B149,Cost_Centers!$A:$A,0)),"(unknown)"))</f>
        <v/>
      </c>
      <c r="Y149" s="22">
        <f>IF($B149="","",IFERROR(INDEX(Cost_Centers!$D:$D,MATCH($B149,Cost_Centers!$A:$A,0)),"(unknown)"))</f>
        <v/>
      </c>
      <c r="Z149" s="22">
        <f>IF(OR($B149="",$G149&lt;&gt;"Variance vs Budget"),"",ABS(N($V149))+ROW()/1000000000)</f>
        <v/>
      </c>
    </row>
    <row r="150">
      <c r="A150" s="13">
        <f>IF(A$146="","",A$146)</f>
        <v/>
      </c>
      <c r="B150" s="13">
        <f>IF(B$146="","",B$146)</f>
        <v/>
      </c>
      <c r="C150" s="13">
        <f>IF(C$146="","",C$146)</f>
        <v/>
      </c>
      <c r="D150" s="13">
        <f>IF(D$146="","",D$146)</f>
        <v/>
      </c>
      <c r="E150" s="13">
        <f>IF(E$146="","",E$146)</f>
        <v/>
      </c>
      <c r="F150" s="13">
        <f>IF(F$146="","",F$146)</f>
        <v/>
      </c>
      <c r="G150" s="35" t="inlineStr">
        <is>
          <t>Actual + Forecast</t>
        </is>
      </c>
      <c r="H150" s="18">
        <f>IF($B$146="","",IF(1&lt;=$C$4,N(H147),IF(H149="",H146,H149)))</f>
        <v/>
      </c>
      <c r="I150" s="18">
        <f>IF($B$146="","",IF(2&lt;=$C$4,N(I147),IF(I149="",I146,I149)))</f>
        <v/>
      </c>
      <c r="J150" s="18">
        <f>IF($B$146="","",IF(3&lt;=$C$4,N(J147),IF(J149="",J146,J149)))</f>
        <v/>
      </c>
      <c r="K150" s="18">
        <f>IF($B$146="","",IF(4&lt;=$C$4,N(K147),IF(K149="",K146,K149)))</f>
        <v/>
      </c>
      <c r="L150" s="18">
        <f>IF($B$146="","",IF(5&lt;=$C$4,N(L147),IF(L149="",L146,L149)))</f>
        <v/>
      </c>
      <c r="M150" s="18">
        <f>IF($B$146="","",IF(6&lt;=$C$4,N(M147),IF(M149="",M146,M149)))</f>
        <v/>
      </c>
      <c r="N150" s="18">
        <f>IF($B$146="","",IF(7&lt;=$C$4,N(N147),IF(N149="",N146,N149)))</f>
        <v/>
      </c>
      <c r="O150" s="18">
        <f>IF($B$146="","",IF(8&lt;=$C$4,N(O147),IF(O149="",O146,O149)))</f>
        <v/>
      </c>
      <c r="P150" s="18">
        <f>IF($B$146="","",IF(9&lt;=$C$4,N(P147),IF(P149="",P146,P149)))</f>
        <v/>
      </c>
      <c r="Q150" s="18">
        <f>IF($B$146="","",IF(10&lt;=$C$4,N(Q147),IF(Q149="",Q146,Q149)))</f>
        <v/>
      </c>
      <c r="R150" s="18">
        <f>IF($B$146="","",IF(11&lt;=$C$4,N(R147),IF(R149="",R146,R149)))</f>
        <v/>
      </c>
      <c r="S150" s="18">
        <f>IF($B$146="","",IF(12&lt;=$C$4,N(S147),IF(S149="",S146,S149)))</f>
        <v/>
      </c>
      <c r="T150" s="18">
        <f>IF($B$146="","",SUMIF($H$7:$S$7,"&lt;="&amp;$C$4,$H150:$S150))</f>
        <v/>
      </c>
      <c r="U150" s="18">
        <f>IF($B$146="","",SUMIF($H$7:$S$7,"&gt;"&amp;$C$4,$H150:$S150))</f>
        <v/>
      </c>
      <c r="V150" s="18">
        <f>IF($B$146="","",SUM($H150:$S150))</f>
        <v/>
      </c>
      <c r="X150" s="22">
        <f>IF($B150="","",IFERROR(INDEX(Cost_Centers!$E:$E,MATCH($B150,Cost_Centers!$A:$A,0)),"(unknown)"))</f>
        <v/>
      </c>
      <c r="Y150" s="22">
        <f>IF($B150="","",IFERROR(INDEX(Cost_Centers!$D:$D,MATCH($B150,Cost_Centers!$A:$A,0)),"(unknown)"))</f>
        <v/>
      </c>
      <c r="Z150" s="22">
        <f>IF(OR($B150="",$G150&lt;&gt;"Variance vs Budget"),"",ABS(N($V150))+ROW()/1000000000)</f>
        <v/>
      </c>
    </row>
    <row r="151">
      <c r="A151" s="13">
        <f>IF(A$146="","",A$146)</f>
        <v/>
      </c>
      <c r="B151" s="13">
        <f>IF(B$146="","",B$146)</f>
        <v/>
      </c>
      <c r="C151" s="13">
        <f>IF(C$146="","",C$146)</f>
        <v/>
      </c>
      <c r="D151" s="13">
        <f>IF(D$146="","",D$146)</f>
        <v/>
      </c>
      <c r="E151" s="13">
        <f>IF(E$146="","",E$146)</f>
        <v/>
      </c>
      <c r="F151" s="13">
        <f>IF(F$146="","",F$146)</f>
        <v/>
      </c>
      <c r="G151" s="36" t="inlineStr">
        <is>
          <t>Prior Month Forecast</t>
        </is>
      </c>
      <c r="H151" s="37">
        <f>IF($B$146="","",IF(COUNTIFS(Prior_Forecast!$A:$A,$B$146,Prior_Forecast!$B:$B,$D$146)&gt;0,SUMIFS(Prior_Forecast!$C:$C,Prior_Forecast!$A:$A,$B$146,Prior_Forecast!$B:$B,$D$146),""))</f>
        <v/>
      </c>
      <c r="I151" s="37">
        <f>IF($B$146="","",IF(COUNTIFS(Prior_Forecast!$A:$A,$B$146,Prior_Forecast!$B:$B,$D$146)&gt;0,SUMIFS(Prior_Forecast!$D:$D,Prior_Forecast!$A:$A,$B$146,Prior_Forecast!$B:$B,$D$146),""))</f>
        <v/>
      </c>
      <c r="J151" s="37">
        <f>IF($B$146="","",IF(COUNTIFS(Prior_Forecast!$A:$A,$B$146,Prior_Forecast!$B:$B,$D$146)&gt;0,SUMIFS(Prior_Forecast!$E:$E,Prior_Forecast!$A:$A,$B$146,Prior_Forecast!$B:$B,$D$146),""))</f>
        <v/>
      </c>
      <c r="K151" s="37">
        <f>IF($B$146="","",IF(COUNTIFS(Prior_Forecast!$A:$A,$B$146,Prior_Forecast!$B:$B,$D$146)&gt;0,SUMIFS(Prior_Forecast!$F:$F,Prior_Forecast!$A:$A,$B$146,Prior_Forecast!$B:$B,$D$146),""))</f>
        <v/>
      </c>
      <c r="L151" s="37">
        <f>IF($B$146="","",IF(COUNTIFS(Prior_Forecast!$A:$A,$B$146,Prior_Forecast!$B:$B,$D$146)&gt;0,SUMIFS(Prior_Forecast!$G:$G,Prior_Forecast!$A:$A,$B$146,Prior_Forecast!$B:$B,$D$146),""))</f>
        <v/>
      </c>
      <c r="M151" s="37">
        <f>IF($B$146="","",IF(COUNTIFS(Prior_Forecast!$A:$A,$B$146,Prior_Forecast!$B:$B,$D$146)&gt;0,SUMIFS(Prior_Forecast!$H:$H,Prior_Forecast!$A:$A,$B$146,Prior_Forecast!$B:$B,$D$146),""))</f>
        <v/>
      </c>
      <c r="N151" s="37">
        <f>IF($B$146="","",IF(COUNTIFS(Prior_Forecast!$A:$A,$B$146,Prior_Forecast!$B:$B,$D$146)&gt;0,SUMIFS(Prior_Forecast!$I:$I,Prior_Forecast!$A:$A,$B$146,Prior_Forecast!$B:$B,$D$146),""))</f>
        <v/>
      </c>
      <c r="O151" s="37">
        <f>IF($B$146="","",IF(COUNTIFS(Prior_Forecast!$A:$A,$B$146,Prior_Forecast!$B:$B,$D$146)&gt;0,SUMIFS(Prior_Forecast!$J:$J,Prior_Forecast!$A:$A,$B$146,Prior_Forecast!$B:$B,$D$146),""))</f>
        <v/>
      </c>
      <c r="P151" s="37">
        <f>IF($B$146="","",IF(COUNTIFS(Prior_Forecast!$A:$A,$B$146,Prior_Forecast!$B:$B,$D$146)&gt;0,SUMIFS(Prior_Forecast!$K:$K,Prior_Forecast!$A:$A,$B$146,Prior_Forecast!$B:$B,$D$146),""))</f>
        <v/>
      </c>
      <c r="Q151" s="37">
        <f>IF($B$146="","",IF(COUNTIFS(Prior_Forecast!$A:$A,$B$146,Prior_Forecast!$B:$B,$D$146)&gt;0,SUMIFS(Prior_Forecast!$L:$L,Prior_Forecast!$A:$A,$B$146,Prior_Forecast!$B:$B,$D$146),""))</f>
        <v/>
      </c>
      <c r="R151" s="37">
        <f>IF($B$146="","",IF(COUNTIFS(Prior_Forecast!$A:$A,$B$146,Prior_Forecast!$B:$B,$D$146)&gt;0,SUMIFS(Prior_Forecast!$M:$M,Prior_Forecast!$A:$A,$B$146,Prior_Forecast!$B:$B,$D$146),""))</f>
        <v/>
      </c>
      <c r="S151" s="37">
        <f>IF($B$146="","",IF(COUNTIFS(Prior_Forecast!$A:$A,$B$146,Prior_Forecast!$B:$B,$D$146)&gt;0,SUMIFS(Prior_Forecast!$N:$N,Prior_Forecast!$A:$A,$B$146,Prior_Forecast!$B:$B,$D$146),""))</f>
        <v/>
      </c>
      <c r="T151" s="37">
        <f>IF($B$146="","",IF(COUNTIFS(Prior_Forecast!$A:$A,$B$146,Prior_Forecast!$B:$B,$D$146)&gt;0,SUMIFS(Prior_Forecast!$O:$O,Prior_Forecast!$A:$A,$B$146,Prior_Forecast!$B:$B,$D$146),""))</f>
        <v/>
      </c>
      <c r="U151" s="37">
        <f>IF($B$146="","",IF(COUNTIFS(Prior_Forecast!$A:$A,$B$146,Prior_Forecast!$B:$B,$D$146)&gt;0,SUMIFS(Prior_Forecast!$P:$P,Prior_Forecast!$A:$A,$B$146,Prior_Forecast!$B:$B,$D$146),""))</f>
        <v/>
      </c>
      <c r="V151" s="37">
        <f>IF($B$146="","",IF(COUNTIFS(Prior_Forecast!$A:$A,$B$146,Prior_Forecast!$B:$B,$D$146)&gt;0,SUMIFS(Prior_Forecast!$Q:$Q,Prior_Forecast!$A:$A,$B$146,Prior_Forecast!$B:$B,$D$146),""))</f>
        <v/>
      </c>
      <c r="X151" s="22">
        <f>IF($B151="","",IFERROR(INDEX(Cost_Centers!$E:$E,MATCH($B151,Cost_Centers!$A:$A,0)),"(unknown)"))</f>
        <v/>
      </c>
      <c r="Y151" s="22">
        <f>IF($B151="","",IFERROR(INDEX(Cost_Centers!$D:$D,MATCH($B151,Cost_Centers!$A:$A,0)),"(unknown)"))</f>
        <v/>
      </c>
      <c r="Z151" s="22">
        <f>IF(OR($B151="",$G151&lt;&gt;"Variance vs Budget"),"",ABS(N($V151))+ROW()/1000000000)</f>
        <v/>
      </c>
    </row>
    <row r="152">
      <c r="A152" s="13">
        <f>IF(A$146="","",A$146)</f>
        <v/>
      </c>
      <c r="B152" s="13">
        <f>IF(B$146="","",B$146)</f>
        <v/>
      </c>
      <c r="C152" s="13">
        <f>IF(C$146="","",C$146)</f>
        <v/>
      </c>
      <c r="D152" s="13">
        <f>IF(D$146="","",D$146)</f>
        <v/>
      </c>
      <c r="E152" s="13">
        <f>IF(E$146="","",E$146)</f>
        <v/>
      </c>
      <c r="F152" s="13">
        <f>IF(F$146="","",F$146)</f>
        <v/>
      </c>
      <c r="G152" s="6" t="inlineStr">
        <is>
          <t>Variance vs Prior Month</t>
        </is>
      </c>
      <c r="H152" s="33">
        <f>IF(OR($B$146="",H151=""),"",H150-H151)</f>
        <v/>
      </c>
      <c r="I152" s="33">
        <f>IF(OR($B$146="",I151=""),"",I150-I151)</f>
        <v/>
      </c>
      <c r="J152" s="33">
        <f>IF(OR($B$146="",J151=""),"",J150-J151)</f>
        <v/>
      </c>
      <c r="K152" s="33">
        <f>IF(OR($B$146="",K151=""),"",K150-K151)</f>
        <v/>
      </c>
      <c r="L152" s="33">
        <f>IF(OR($B$146="",L151=""),"",L150-L151)</f>
        <v/>
      </c>
      <c r="M152" s="33">
        <f>IF(OR($B$146="",M151=""),"",M150-M151)</f>
        <v/>
      </c>
      <c r="N152" s="33">
        <f>IF(OR($B$146="",N151=""),"",N150-N151)</f>
        <v/>
      </c>
      <c r="O152" s="33">
        <f>IF(OR($B$146="",O151=""),"",O150-O151)</f>
        <v/>
      </c>
      <c r="P152" s="33">
        <f>IF(OR($B$146="",P151=""),"",P150-P151)</f>
        <v/>
      </c>
      <c r="Q152" s="33">
        <f>IF(OR($B$146="",Q151=""),"",Q150-Q151)</f>
        <v/>
      </c>
      <c r="R152" s="33">
        <f>IF(OR($B$146="",R151=""),"",R150-R151)</f>
        <v/>
      </c>
      <c r="S152" s="33">
        <f>IF(OR($B$146="",S151=""),"",S150-S151)</f>
        <v/>
      </c>
      <c r="T152" s="33">
        <f>IF(OR($B$146="",T151=""),"",T150-T151)</f>
        <v/>
      </c>
      <c r="U152" s="33">
        <f>IF(OR($B$146="",U151=""),"",U150-U151)</f>
        <v/>
      </c>
      <c r="V152" s="33">
        <f>IF(OR($B$146="",V151=""),"",V150-V151)</f>
        <v/>
      </c>
      <c r="X152" s="22">
        <f>IF($B152="","",IFERROR(INDEX(Cost_Centers!$E:$E,MATCH($B152,Cost_Centers!$A:$A,0)),"(unknown)"))</f>
        <v/>
      </c>
      <c r="Y152" s="22">
        <f>IF($B152="","",IFERROR(INDEX(Cost_Centers!$D:$D,MATCH($B152,Cost_Centers!$A:$A,0)),"(unknown)"))</f>
        <v/>
      </c>
      <c r="Z152" s="22">
        <f>IF(OR($B152="",$G152&lt;&gt;"Variance vs Budget"),"",ABS(N($V152))+ROW()/1000000000)</f>
        <v/>
      </c>
    </row>
    <row r="153" ht="45" customHeight="1">
      <c r="A153" s="13">
        <f>IF(A$146="","",A$146)</f>
        <v/>
      </c>
      <c r="B153" s="13">
        <f>IF(B$146="","",B$146)</f>
        <v/>
      </c>
      <c r="C153" s="13">
        <f>IF(C$146="","",C$146)</f>
        <v/>
      </c>
      <c r="D153" s="13">
        <f>IF(D$146="","",D$146)</f>
        <v/>
      </c>
      <c r="E153" s="13">
        <f>IF(E$146="","",E$146)</f>
        <v/>
      </c>
      <c r="F153" s="13">
        <f>IF(F$146="","",F$146)</f>
        <v/>
      </c>
      <c r="G153" s="7" t="inlineStr">
        <is>
          <t>Rationale</t>
        </is>
      </c>
      <c r="H153" s="38" t="n"/>
      <c r="I153" s="38" t="n"/>
      <c r="J153" s="38" t="n"/>
      <c r="K153" s="38" t="n"/>
      <c r="L153" s="38" t="n"/>
      <c r="M153" s="38" t="n"/>
      <c r="N153" s="38" t="n"/>
      <c r="O153" s="38" t="n"/>
      <c r="P153" s="38" t="n"/>
      <c r="Q153" s="38" t="n"/>
      <c r="R153" s="38" t="n"/>
      <c r="S153" s="38" t="n"/>
      <c r="T153" s="38" t="n"/>
      <c r="U153" s="38" t="n"/>
      <c r="V153" s="7" t="n"/>
      <c r="X153" s="22">
        <f>IF($B153="","",IFERROR(INDEX(Cost_Centers!$E:$E,MATCH($B153,Cost_Centers!$A:$A,0)),"(unknown)"))</f>
        <v/>
      </c>
      <c r="Y153" s="22">
        <f>IF($B153="","",IFERROR(INDEX(Cost_Centers!$D:$D,MATCH($B153,Cost_Centers!$A:$A,0)),"(unknown)"))</f>
        <v/>
      </c>
      <c r="Z153" s="22">
        <f>IF(OR($B153="",$G153&lt;&gt;"Variance vs Budget"),"",ABS(N($V153))+ROW()/1000000000)</f>
        <v/>
      </c>
    </row>
    <row r="154">
      <c r="A154" s="30">
        <f>IF($D$154="","",LEFT($D$154,FIND("|",$D$154&amp;"|")-1))</f>
        <v/>
      </c>
      <c r="B154" s="31" t="n"/>
      <c r="C154" s="30">
        <f>IF($B$154="","",IFERROR(INDEX(Cost_Centers!$B:$B,MATCH($B$154,Cost_Centers!$A:$A,0)),"(not in master)"))</f>
        <v/>
      </c>
      <c r="D154" s="31" t="n"/>
      <c r="E154" s="30">
        <f>IF($D$154="","",IFERROR(INDEX(Accounts!$D:$D,MATCH($D$154,Accounts!$A:$A,0)),"(not in master)"))</f>
        <v/>
      </c>
      <c r="F154" s="31" t="n"/>
      <c r="G154" s="30" t="inlineStr">
        <is>
          <t>Budget</t>
        </is>
      </c>
      <c r="H154" s="32">
        <f>IF($B$154="","",SUMIFS(Opex_Budget!$O:$O,Opex_Budget!$A:$A,$C$3,Opex_Budget!$E:$E,$B$154,Opex_Budget!$F:$F,$D$154,Opex_Budget!$N:$N,"JPY")*$E$5+SUMIFS(Opex_Budget!$O:$O,Opex_Budget!$A:$A,$C$3,Opex_Budget!$E:$E,$B$154,Opex_Budget!$F:$F,$D$154,Opex_Budget!$N:$N,"USD")*$F$5+SUMIFS(Opex_Budget!$O:$O,Opex_Budget!$A:$A,$C$3,Opex_Budget!$E:$E,$B$154,Opex_Budget!$F:$F,$D$154,Opex_Budget!$N:$N,"EUR")*$G$5+SUMIFS(Opex_Budget!$O:$O,Opex_Budget!$A:$A,$C$3,Opex_Budget!$E:$E,$B$154,Opex_Budget!$F:$F,$D$154,Opex_Budget!$N:$N,"GBP")*$H$5)</f>
        <v/>
      </c>
      <c r="I154" s="32">
        <f>IF($B$154="","",SUMIFS(Opex_Budget!$P:$P,Opex_Budget!$A:$A,$C$3,Opex_Budget!$E:$E,$B$154,Opex_Budget!$F:$F,$D$154,Opex_Budget!$N:$N,"JPY")*$E$5+SUMIFS(Opex_Budget!$P:$P,Opex_Budget!$A:$A,$C$3,Opex_Budget!$E:$E,$B$154,Opex_Budget!$F:$F,$D$154,Opex_Budget!$N:$N,"USD")*$F$5+SUMIFS(Opex_Budget!$P:$P,Opex_Budget!$A:$A,$C$3,Opex_Budget!$E:$E,$B$154,Opex_Budget!$F:$F,$D$154,Opex_Budget!$N:$N,"EUR")*$G$5+SUMIFS(Opex_Budget!$P:$P,Opex_Budget!$A:$A,$C$3,Opex_Budget!$E:$E,$B$154,Opex_Budget!$F:$F,$D$154,Opex_Budget!$N:$N,"GBP")*$H$5)</f>
        <v/>
      </c>
      <c r="J154" s="32">
        <f>IF($B$154="","",SUMIFS(Opex_Budget!$Q:$Q,Opex_Budget!$A:$A,$C$3,Opex_Budget!$E:$E,$B$154,Opex_Budget!$F:$F,$D$154,Opex_Budget!$N:$N,"JPY")*$E$5+SUMIFS(Opex_Budget!$Q:$Q,Opex_Budget!$A:$A,$C$3,Opex_Budget!$E:$E,$B$154,Opex_Budget!$F:$F,$D$154,Opex_Budget!$N:$N,"USD")*$F$5+SUMIFS(Opex_Budget!$Q:$Q,Opex_Budget!$A:$A,$C$3,Opex_Budget!$E:$E,$B$154,Opex_Budget!$F:$F,$D$154,Opex_Budget!$N:$N,"EUR")*$G$5+SUMIFS(Opex_Budget!$Q:$Q,Opex_Budget!$A:$A,$C$3,Opex_Budget!$E:$E,$B$154,Opex_Budget!$F:$F,$D$154,Opex_Budget!$N:$N,"GBP")*$H$5)</f>
        <v/>
      </c>
      <c r="K154" s="32">
        <f>IF($B$154="","",SUMIFS(Opex_Budget!$R:$R,Opex_Budget!$A:$A,$C$3,Opex_Budget!$E:$E,$B$154,Opex_Budget!$F:$F,$D$154,Opex_Budget!$N:$N,"JPY")*$E$5+SUMIFS(Opex_Budget!$R:$R,Opex_Budget!$A:$A,$C$3,Opex_Budget!$E:$E,$B$154,Opex_Budget!$F:$F,$D$154,Opex_Budget!$N:$N,"USD")*$F$5+SUMIFS(Opex_Budget!$R:$R,Opex_Budget!$A:$A,$C$3,Opex_Budget!$E:$E,$B$154,Opex_Budget!$F:$F,$D$154,Opex_Budget!$N:$N,"EUR")*$G$5+SUMIFS(Opex_Budget!$R:$R,Opex_Budget!$A:$A,$C$3,Opex_Budget!$E:$E,$B$154,Opex_Budget!$F:$F,$D$154,Opex_Budget!$N:$N,"GBP")*$H$5)</f>
        <v/>
      </c>
      <c r="L154" s="32">
        <f>IF($B$154="","",SUMIFS(Opex_Budget!$S:$S,Opex_Budget!$A:$A,$C$3,Opex_Budget!$E:$E,$B$154,Opex_Budget!$F:$F,$D$154,Opex_Budget!$N:$N,"JPY")*$E$5+SUMIFS(Opex_Budget!$S:$S,Opex_Budget!$A:$A,$C$3,Opex_Budget!$E:$E,$B$154,Opex_Budget!$F:$F,$D$154,Opex_Budget!$N:$N,"USD")*$F$5+SUMIFS(Opex_Budget!$S:$S,Opex_Budget!$A:$A,$C$3,Opex_Budget!$E:$E,$B$154,Opex_Budget!$F:$F,$D$154,Opex_Budget!$N:$N,"EUR")*$G$5+SUMIFS(Opex_Budget!$S:$S,Opex_Budget!$A:$A,$C$3,Opex_Budget!$E:$E,$B$154,Opex_Budget!$F:$F,$D$154,Opex_Budget!$N:$N,"GBP")*$H$5)</f>
        <v/>
      </c>
      <c r="M154" s="32">
        <f>IF($B$154="","",SUMIFS(Opex_Budget!$T:$T,Opex_Budget!$A:$A,$C$3,Opex_Budget!$E:$E,$B$154,Opex_Budget!$F:$F,$D$154,Opex_Budget!$N:$N,"JPY")*$E$5+SUMIFS(Opex_Budget!$T:$T,Opex_Budget!$A:$A,$C$3,Opex_Budget!$E:$E,$B$154,Opex_Budget!$F:$F,$D$154,Opex_Budget!$N:$N,"USD")*$F$5+SUMIFS(Opex_Budget!$T:$T,Opex_Budget!$A:$A,$C$3,Opex_Budget!$E:$E,$B$154,Opex_Budget!$F:$F,$D$154,Opex_Budget!$N:$N,"EUR")*$G$5+SUMIFS(Opex_Budget!$T:$T,Opex_Budget!$A:$A,$C$3,Opex_Budget!$E:$E,$B$154,Opex_Budget!$F:$F,$D$154,Opex_Budget!$N:$N,"GBP")*$H$5)</f>
        <v/>
      </c>
      <c r="N154" s="32">
        <f>IF($B$154="","",SUMIFS(Opex_Budget!$U:$U,Opex_Budget!$A:$A,$C$3,Opex_Budget!$E:$E,$B$154,Opex_Budget!$F:$F,$D$154,Opex_Budget!$N:$N,"JPY")*$E$5+SUMIFS(Opex_Budget!$U:$U,Opex_Budget!$A:$A,$C$3,Opex_Budget!$E:$E,$B$154,Opex_Budget!$F:$F,$D$154,Opex_Budget!$N:$N,"USD")*$F$5+SUMIFS(Opex_Budget!$U:$U,Opex_Budget!$A:$A,$C$3,Opex_Budget!$E:$E,$B$154,Opex_Budget!$F:$F,$D$154,Opex_Budget!$N:$N,"EUR")*$G$5+SUMIFS(Opex_Budget!$U:$U,Opex_Budget!$A:$A,$C$3,Opex_Budget!$E:$E,$B$154,Opex_Budget!$F:$F,$D$154,Opex_Budget!$N:$N,"GBP")*$H$5)</f>
        <v/>
      </c>
      <c r="O154" s="32">
        <f>IF($B$154="","",SUMIFS(Opex_Budget!$V:$V,Opex_Budget!$A:$A,$C$3,Opex_Budget!$E:$E,$B$154,Opex_Budget!$F:$F,$D$154,Opex_Budget!$N:$N,"JPY")*$E$5+SUMIFS(Opex_Budget!$V:$V,Opex_Budget!$A:$A,$C$3,Opex_Budget!$E:$E,$B$154,Opex_Budget!$F:$F,$D$154,Opex_Budget!$N:$N,"USD")*$F$5+SUMIFS(Opex_Budget!$V:$V,Opex_Budget!$A:$A,$C$3,Opex_Budget!$E:$E,$B$154,Opex_Budget!$F:$F,$D$154,Opex_Budget!$N:$N,"EUR")*$G$5+SUMIFS(Opex_Budget!$V:$V,Opex_Budget!$A:$A,$C$3,Opex_Budget!$E:$E,$B$154,Opex_Budget!$F:$F,$D$154,Opex_Budget!$N:$N,"GBP")*$H$5)</f>
        <v/>
      </c>
      <c r="P154" s="32">
        <f>IF($B$154="","",SUMIFS(Opex_Budget!$W:$W,Opex_Budget!$A:$A,$C$3,Opex_Budget!$E:$E,$B$154,Opex_Budget!$F:$F,$D$154,Opex_Budget!$N:$N,"JPY")*$E$5+SUMIFS(Opex_Budget!$W:$W,Opex_Budget!$A:$A,$C$3,Opex_Budget!$E:$E,$B$154,Opex_Budget!$F:$F,$D$154,Opex_Budget!$N:$N,"USD")*$F$5+SUMIFS(Opex_Budget!$W:$W,Opex_Budget!$A:$A,$C$3,Opex_Budget!$E:$E,$B$154,Opex_Budget!$F:$F,$D$154,Opex_Budget!$N:$N,"EUR")*$G$5+SUMIFS(Opex_Budget!$W:$W,Opex_Budget!$A:$A,$C$3,Opex_Budget!$E:$E,$B$154,Opex_Budget!$F:$F,$D$154,Opex_Budget!$N:$N,"GBP")*$H$5)</f>
        <v/>
      </c>
      <c r="Q154" s="32">
        <f>IF($B$154="","",SUMIFS(Opex_Budget!$X:$X,Opex_Budget!$A:$A,$C$3,Opex_Budget!$E:$E,$B$154,Opex_Budget!$F:$F,$D$154,Opex_Budget!$N:$N,"JPY")*$E$5+SUMIFS(Opex_Budget!$X:$X,Opex_Budget!$A:$A,$C$3,Opex_Budget!$E:$E,$B$154,Opex_Budget!$F:$F,$D$154,Opex_Budget!$N:$N,"USD")*$F$5+SUMIFS(Opex_Budget!$X:$X,Opex_Budget!$A:$A,$C$3,Opex_Budget!$E:$E,$B$154,Opex_Budget!$F:$F,$D$154,Opex_Budget!$N:$N,"EUR")*$G$5+SUMIFS(Opex_Budget!$X:$X,Opex_Budget!$A:$A,$C$3,Opex_Budget!$E:$E,$B$154,Opex_Budget!$F:$F,$D$154,Opex_Budget!$N:$N,"GBP")*$H$5)</f>
        <v/>
      </c>
      <c r="R154" s="32">
        <f>IF($B$154="","",SUMIFS(Opex_Budget!$Y:$Y,Opex_Budget!$A:$A,$C$3,Opex_Budget!$E:$E,$B$154,Opex_Budget!$F:$F,$D$154,Opex_Budget!$N:$N,"JPY")*$E$5+SUMIFS(Opex_Budget!$Y:$Y,Opex_Budget!$A:$A,$C$3,Opex_Budget!$E:$E,$B$154,Opex_Budget!$F:$F,$D$154,Opex_Budget!$N:$N,"USD")*$F$5+SUMIFS(Opex_Budget!$Y:$Y,Opex_Budget!$A:$A,$C$3,Opex_Budget!$E:$E,$B$154,Opex_Budget!$F:$F,$D$154,Opex_Budget!$N:$N,"EUR")*$G$5+SUMIFS(Opex_Budget!$Y:$Y,Opex_Budget!$A:$A,$C$3,Opex_Budget!$E:$E,$B$154,Opex_Budget!$F:$F,$D$154,Opex_Budget!$N:$N,"GBP")*$H$5)</f>
        <v/>
      </c>
      <c r="S154" s="32">
        <f>IF($B$154="","",SUMIFS(Opex_Budget!$Z:$Z,Opex_Budget!$A:$A,$C$3,Opex_Budget!$E:$E,$B$154,Opex_Budget!$F:$F,$D$154,Opex_Budget!$N:$N,"JPY")*$E$5+SUMIFS(Opex_Budget!$Z:$Z,Opex_Budget!$A:$A,$C$3,Opex_Budget!$E:$E,$B$154,Opex_Budget!$F:$F,$D$154,Opex_Budget!$N:$N,"USD")*$F$5+SUMIFS(Opex_Budget!$Z:$Z,Opex_Budget!$A:$A,$C$3,Opex_Budget!$E:$E,$B$154,Opex_Budget!$F:$F,$D$154,Opex_Budget!$N:$N,"EUR")*$G$5+SUMIFS(Opex_Budget!$Z:$Z,Opex_Budget!$A:$A,$C$3,Opex_Budget!$E:$E,$B$154,Opex_Budget!$F:$F,$D$154,Opex_Budget!$N:$N,"GBP")*$H$5)</f>
        <v/>
      </c>
      <c r="T154" s="32">
        <f>IF($B$154="","",SUMIF($H$7:$S$7,"&lt;="&amp;$C$4,$H154:$S154))</f>
        <v/>
      </c>
      <c r="U154" s="32">
        <f>IF($B$154="","",SUMIF($H$7:$S$7,"&gt;"&amp;$C$4,$H154:$S154))</f>
        <v/>
      </c>
      <c r="V154" s="32">
        <f>IF($B$154="","",SUM($H154:$S154))</f>
        <v/>
      </c>
      <c r="X154" s="22">
        <f>IF($B154="","",IFERROR(INDEX(Cost_Centers!$E:$E,MATCH($B154,Cost_Centers!$A:$A,0)),"(unknown)"))</f>
        <v/>
      </c>
      <c r="Y154" s="22">
        <f>IF($B154="","",IFERROR(INDEX(Cost_Centers!$D:$D,MATCH($B154,Cost_Centers!$A:$A,0)),"(unknown)"))</f>
        <v/>
      </c>
      <c r="Z154" s="22">
        <f>IF(OR($B154="",$G154&lt;&gt;"Variance vs Budget"),"",ABS(N($V154))+ROW()/1000000000)</f>
        <v/>
      </c>
    </row>
    <row r="155">
      <c r="A155" s="13">
        <f>IF(A$154="","",A$154)</f>
        <v/>
      </c>
      <c r="B155" s="13">
        <f>IF(B$154="","",B$154)</f>
        <v/>
      </c>
      <c r="C155" s="13">
        <f>IF(C$154="","",C$154)</f>
        <v/>
      </c>
      <c r="D155" s="13">
        <f>IF(D$154="","",D$154)</f>
        <v/>
      </c>
      <c r="E155" s="13">
        <f>IF(E$154="","",E$154)</f>
        <v/>
      </c>
      <c r="F155" s="13">
        <f>IF(F$154="","",F$154)</f>
        <v/>
      </c>
      <c r="G155" s="7" t="inlineStr">
        <is>
          <t>Actual</t>
        </is>
      </c>
      <c r="H155" s="18">
        <f>IF(OR($B$154="",1&gt;$C$4),"",SUMIFS(Actuals!$G:$G,Actuals!$B:$B,$C$3,Actuals!$C:$C,1,Actuals!$D:$D,$B$154,Actuals!$A:$A,LEFT($D$154,FIND("|",$D$154&amp;"|")-1),Actuals!$E:$E,MID($D$154,FIND("|",$D$154&amp;"|")+1,50),Actuals!$F:$F,"JPY")*$E$5+SUMIFS(Actuals!$G:$G,Actuals!$B:$B,$C$3,Actuals!$C:$C,1,Actuals!$D:$D,$B$154,Actuals!$A:$A,LEFT($D$154,FIND("|",$D$154&amp;"|")-1),Actuals!$E:$E,MID($D$154,FIND("|",$D$154&amp;"|")+1,50),Actuals!$F:$F,"USD")*$F$5+SUMIFS(Actuals!$G:$G,Actuals!$B:$B,$C$3,Actuals!$C:$C,1,Actuals!$D:$D,$B$154,Actuals!$A:$A,LEFT($D$154,FIND("|",$D$154&amp;"|")-1),Actuals!$E:$E,MID($D$154,FIND("|",$D$154&amp;"|")+1,50),Actuals!$F:$F,"EUR")*$G$5+SUMIFS(Actuals!$G:$G,Actuals!$B:$B,$C$3,Actuals!$C:$C,1,Actuals!$D:$D,$B$154,Actuals!$A:$A,LEFT($D$154,FIND("|",$D$154&amp;"|")-1),Actuals!$E:$E,MID($D$154,FIND("|",$D$154&amp;"|")+1,50),Actuals!$F:$F,"GBP")*$H$5)</f>
        <v/>
      </c>
      <c r="I155" s="18">
        <f>IF(OR($B$154="",2&gt;$C$4),"",SUMIFS(Actuals!$G:$G,Actuals!$B:$B,$C$3,Actuals!$C:$C,2,Actuals!$D:$D,$B$154,Actuals!$A:$A,LEFT($D$154,FIND("|",$D$154&amp;"|")-1),Actuals!$E:$E,MID($D$154,FIND("|",$D$154&amp;"|")+1,50),Actuals!$F:$F,"JPY")*$E$5+SUMIFS(Actuals!$G:$G,Actuals!$B:$B,$C$3,Actuals!$C:$C,2,Actuals!$D:$D,$B$154,Actuals!$A:$A,LEFT($D$154,FIND("|",$D$154&amp;"|")-1),Actuals!$E:$E,MID($D$154,FIND("|",$D$154&amp;"|")+1,50),Actuals!$F:$F,"USD")*$F$5+SUMIFS(Actuals!$G:$G,Actuals!$B:$B,$C$3,Actuals!$C:$C,2,Actuals!$D:$D,$B$154,Actuals!$A:$A,LEFT($D$154,FIND("|",$D$154&amp;"|")-1),Actuals!$E:$E,MID($D$154,FIND("|",$D$154&amp;"|")+1,50),Actuals!$F:$F,"EUR")*$G$5+SUMIFS(Actuals!$G:$G,Actuals!$B:$B,$C$3,Actuals!$C:$C,2,Actuals!$D:$D,$B$154,Actuals!$A:$A,LEFT($D$154,FIND("|",$D$154&amp;"|")-1),Actuals!$E:$E,MID($D$154,FIND("|",$D$154&amp;"|")+1,50),Actuals!$F:$F,"GBP")*$H$5)</f>
        <v/>
      </c>
      <c r="J155" s="18">
        <f>IF(OR($B$154="",3&gt;$C$4),"",SUMIFS(Actuals!$G:$G,Actuals!$B:$B,$C$3,Actuals!$C:$C,3,Actuals!$D:$D,$B$154,Actuals!$A:$A,LEFT($D$154,FIND("|",$D$154&amp;"|")-1),Actuals!$E:$E,MID($D$154,FIND("|",$D$154&amp;"|")+1,50),Actuals!$F:$F,"JPY")*$E$5+SUMIFS(Actuals!$G:$G,Actuals!$B:$B,$C$3,Actuals!$C:$C,3,Actuals!$D:$D,$B$154,Actuals!$A:$A,LEFT($D$154,FIND("|",$D$154&amp;"|")-1),Actuals!$E:$E,MID($D$154,FIND("|",$D$154&amp;"|")+1,50),Actuals!$F:$F,"USD")*$F$5+SUMIFS(Actuals!$G:$G,Actuals!$B:$B,$C$3,Actuals!$C:$C,3,Actuals!$D:$D,$B$154,Actuals!$A:$A,LEFT($D$154,FIND("|",$D$154&amp;"|")-1),Actuals!$E:$E,MID($D$154,FIND("|",$D$154&amp;"|")+1,50),Actuals!$F:$F,"EUR")*$G$5+SUMIFS(Actuals!$G:$G,Actuals!$B:$B,$C$3,Actuals!$C:$C,3,Actuals!$D:$D,$B$154,Actuals!$A:$A,LEFT($D$154,FIND("|",$D$154&amp;"|")-1),Actuals!$E:$E,MID($D$154,FIND("|",$D$154&amp;"|")+1,50),Actuals!$F:$F,"GBP")*$H$5)</f>
        <v/>
      </c>
      <c r="K155" s="18">
        <f>IF(OR($B$154="",4&gt;$C$4),"",SUMIFS(Actuals!$G:$G,Actuals!$B:$B,$C$3,Actuals!$C:$C,4,Actuals!$D:$D,$B$154,Actuals!$A:$A,LEFT($D$154,FIND("|",$D$154&amp;"|")-1),Actuals!$E:$E,MID($D$154,FIND("|",$D$154&amp;"|")+1,50),Actuals!$F:$F,"JPY")*$E$5+SUMIFS(Actuals!$G:$G,Actuals!$B:$B,$C$3,Actuals!$C:$C,4,Actuals!$D:$D,$B$154,Actuals!$A:$A,LEFT($D$154,FIND("|",$D$154&amp;"|")-1),Actuals!$E:$E,MID($D$154,FIND("|",$D$154&amp;"|")+1,50),Actuals!$F:$F,"USD")*$F$5+SUMIFS(Actuals!$G:$G,Actuals!$B:$B,$C$3,Actuals!$C:$C,4,Actuals!$D:$D,$B$154,Actuals!$A:$A,LEFT($D$154,FIND("|",$D$154&amp;"|")-1),Actuals!$E:$E,MID($D$154,FIND("|",$D$154&amp;"|")+1,50),Actuals!$F:$F,"EUR")*$G$5+SUMIFS(Actuals!$G:$G,Actuals!$B:$B,$C$3,Actuals!$C:$C,4,Actuals!$D:$D,$B$154,Actuals!$A:$A,LEFT($D$154,FIND("|",$D$154&amp;"|")-1),Actuals!$E:$E,MID($D$154,FIND("|",$D$154&amp;"|")+1,50),Actuals!$F:$F,"GBP")*$H$5)</f>
        <v/>
      </c>
      <c r="L155" s="18">
        <f>IF(OR($B$154="",5&gt;$C$4),"",SUMIFS(Actuals!$G:$G,Actuals!$B:$B,$C$3,Actuals!$C:$C,5,Actuals!$D:$D,$B$154,Actuals!$A:$A,LEFT($D$154,FIND("|",$D$154&amp;"|")-1),Actuals!$E:$E,MID($D$154,FIND("|",$D$154&amp;"|")+1,50),Actuals!$F:$F,"JPY")*$E$5+SUMIFS(Actuals!$G:$G,Actuals!$B:$B,$C$3,Actuals!$C:$C,5,Actuals!$D:$D,$B$154,Actuals!$A:$A,LEFT($D$154,FIND("|",$D$154&amp;"|")-1),Actuals!$E:$E,MID($D$154,FIND("|",$D$154&amp;"|")+1,50),Actuals!$F:$F,"USD")*$F$5+SUMIFS(Actuals!$G:$G,Actuals!$B:$B,$C$3,Actuals!$C:$C,5,Actuals!$D:$D,$B$154,Actuals!$A:$A,LEFT($D$154,FIND("|",$D$154&amp;"|")-1),Actuals!$E:$E,MID($D$154,FIND("|",$D$154&amp;"|")+1,50),Actuals!$F:$F,"EUR")*$G$5+SUMIFS(Actuals!$G:$G,Actuals!$B:$B,$C$3,Actuals!$C:$C,5,Actuals!$D:$D,$B$154,Actuals!$A:$A,LEFT($D$154,FIND("|",$D$154&amp;"|")-1),Actuals!$E:$E,MID($D$154,FIND("|",$D$154&amp;"|")+1,50),Actuals!$F:$F,"GBP")*$H$5)</f>
        <v/>
      </c>
      <c r="M155" s="18">
        <f>IF(OR($B$154="",6&gt;$C$4),"",SUMIFS(Actuals!$G:$G,Actuals!$B:$B,$C$3,Actuals!$C:$C,6,Actuals!$D:$D,$B$154,Actuals!$A:$A,LEFT($D$154,FIND("|",$D$154&amp;"|")-1),Actuals!$E:$E,MID($D$154,FIND("|",$D$154&amp;"|")+1,50),Actuals!$F:$F,"JPY")*$E$5+SUMIFS(Actuals!$G:$G,Actuals!$B:$B,$C$3,Actuals!$C:$C,6,Actuals!$D:$D,$B$154,Actuals!$A:$A,LEFT($D$154,FIND("|",$D$154&amp;"|")-1),Actuals!$E:$E,MID($D$154,FIND("|",$D$154&amp;"|")+1,50),Actuals!$F:$F,"USD")*$F$5+SUMIFS(Actuals!$G:$G,Actuals!$B:$B,$C$3,Actuals!$C:$C,6,Actuals!$D:$D,$B$154,Actuals!$A:$A,LEFT($D$154,FIND("|",$D$154&amp;"|")-1),Actuals!$E:$E,MID($D$154,FIND("|",$D$154&amp;"|")+1,50),Actuals!$F:$F,"EUR")*$G$5+SUMIFS(Actuals!$G:$G,Actuals!$B:$B,$C$3,Actuals!$C:$C,6,Actuals!$D:$D,$B$154,Actuals!$A:$A,LEFT($D$154,FIND("|",$D$154&amp;"|")-1),Actuals!$E:$E,MID($D$154,FIND("|",$D$154&amp;"|")+1,50),Actuals!$F:$F,"GBP")*$H$5)</f>
        <v/>
      </c>
      <c r="N155" s="18">
        <f>IF(OR($B$154="",7&gt;$C$4),"",SUMIFS(Actuals!$G:$G,Actuals!$B:$B,$C$3,Actuals!$C:$C,7,Actuals!$D:$D,$B$154,Actuals!$A:$A,LEFT($D$154,FIND("|",$D$154&amp;"|")-1),Actuals!$E:$E,MID($D$154,FIND("|",$D$154&amp;"|")+1,50),Actuals!$F:$F,"JPY")*$E$5+SUMIFS(Actuals!$G:$G,Actuals!$B:$B,$C$3,Actuals!$C:$C,7,Actuals!$D:$D,$B$154,Actuals!$A:$A,LEFT($D$154,FIND("|",$D$154&amp;"|")-1),Actuals!$E:$E,MID($D$154,FIND("|",$D$154&amp;"|")+1,50),Actuals!$F:$F,"USD")*$F$5+SUMIFS(Actuals!$G:$G,Actuals!$B:$B,$C$3,Actuals!$C:$C,7,Actuals!$D:$D,$B$154,Actuals!$A:$A,LEFT($D$154,FIND("|",$D$154&amp;"|")-1),Actuals!$E:$E,MID($D$154,FIND("|",$D$154&amp;"|")+1,50),Actuals!$F:$F,"EUR")*$G$5+SUMIFS(Actuals!$G:$G,Actuals!$B:$B,$C$3,Actuals!$C:$C,7,Actuals!$D:$D,$B$154,Actuals!$A:$A,LEFT($D$154,FIND("|",$D$154&amp;"|")-1),Actuals!$E:$E,MID($D$154,FIND("|",$D$154&amp;"|")+1,50),Actuals!$F:$F,"GBP")*$H$5)</f>
        <v/>
      </c>
      <c r="O155" s="18">
        <f>IF(OR($B$154="",8&gt;$C$4),"",SUMIFS(Actuals!$G:$G,Actuals!$B:$B,$C$3,Actuals!$C:$C,8,Actuals!$D:$D,$B$154,Actuals!$A:$A,LEFT($D$154,FIND("|",$D$154&amp;"|")-1),Actuals!$E:$E,MID($D$154,FIND("|",$D$154&amp;"|")+1,50),Actuals!$F:$F,"JPY")*$E$5+SUMIFS(Actuals!$G:$G,Actuals!$B:$B,$C$3,Actuals!$C:$C,8,Actuals!$D:$D,$B$154,Actuals!$A:$A,LEFT($D$154,FIND("|",$D$154&amp;"|")-1),Actuals!$E:$E,MID($D$154,FIND("|",$D$154&amp;"|")+1,50),Actuals!$F:$F,"USD")*$F$5+SUMIFS(Actuals!$G:$G,Actuals!$B:$B,$C$3,Actuals!$C:$C,8,Actuals!$D:$D,$B$154,Actuals!$A:$A,LEFT($D$154,FIND("|",$D$154&amp;"|")-1),Actuals!$E:$E,MID($D$154,FIND("|",$D$154&amp;"|")+1,50),Actuals!$F:$F,"EUR")*$G$5+SUMIFS(Actuals!$G:$G,Actuals!$B:$B,$C$3,Actuals!$C:$C,8,Actuals!$D:$D,$B$154,Actuals!$A:$A,LEFT($D$154,FIND("|",$D$154&amp;"|")-1),Actuals!$E:$E,MID($D$154,FIND("|",$D$154&amp;"|")+1,50),Actuals!$F:$F,"GBP")*$H$5)</f>
        <v/>
      </c>
      <c r="P155" s="18">
        <f>IF(OR($B$154="",9&gt;$C$4),"",SUMIFS(Actuals!$G:$G,Actuals!$B:$B,$C$3,Actuals!$C:$C,9,Actuals!$D:$D,$B$154,Actuals!$A:$A,LEFT($D$154,FIND("|",$D$154&amp;"|")-1),Actuals!$E:$E,MID($D$154,FIND("|",$D$154&amp;"|")+1,50),Actuals!$F:$F,"JPY")*$E$5+SUMIFS(Actuals!$G:$G,Actuals!$B:$B,$C$3,Actuals!$C:$C,9,Actuals!$D:$D,$B$154,Actuals!$A:$A,LEFT($D$154,FIND("|",$D$154&amp;"|")-1),Actuals!$E:$E,MID($D$154,FIND("|",$D$154&amp;"|")+1,50),Actuals!$F:$F,"USD")*$F$5+SUMIFS(Actuals!$G:$G,Actuals!$B:$B,$C$3,Actuals!$C:$C,9,Actuals!$D:$D,$B$154,Actuals!$A:$A,LEFT($D$154,FIND("|",$D$154&amp;"|")-1),Actuals!$E:$E,MID($D$154,FIND("|",$D$154&amp;"|")+1,50),Actuals!$F:$F,"EUR")*$G$5+SUMIFS(Actuals!$G:$G,Actuals!$B:$B,$C$3,Actuals!$C:$C,9,Actuals!$D:$D,$B$154,Actuals!$A:$A,LEFT($D$154,FIND("|",$D$154&amp;"|")-1),Actuals!$E:$E,MID($D$154,FIND("|",$D$154&amp;"|")+1,50),Actuals!$F:$F,"GBP")*$H$5)</f>
        <v/>
      </c>
      <c r="Q155" s="18">
        <f>IF(OR($B$154="",10&gt;$C$4),"",SUMIFS(Actuals!$G:$G,Actuals!$B:$B,$C$3,Actuals!$C:$C,10,Actuals!$D:$D,$B$154,Actuals!$A:$A,LEFT($D$154,FIND("|",$D$154&amp;"|")-1),Actuals!$E:$E,MID($D$154,FIND("|",$D$154&amp;"|")+1,50),Actuals!$F:$F,"JPY")*$E$5+SUMIFS(Actuals!$G:$G,Actuals!$B:$B,$C$3,Actuals!$C:$C,10,Actuals!$D:$D,$B$154,Actuals!$A:$A,LEFT($D$154,FIND("|",$D$154&amp;"|")-1),Actuals!$E:$E,MID($D$154,FIND("|",$D$154&amp;"|")+1,50),Actuals!$F:$F,"USD")*$F$5+SUMIFS(Actuals!$G:$G,Actuals!$B:$B,$C$3,Actuals!$C:$C,10,Actuals!$D:$D,$B$154,Actuals!$A:$A,LEFT($D$154,FIND("|",$D$154&amp;"|")-1),Actuals!$E:$E,MID($D$154,FIND("|",$D$154&amp;"|")+1,50),Actuals!$F:$F,"EUR")*$G$5+SUMIFS(Actuals!$G:$G,Actuals!$B:$B,$C$3,Actuals!$C:$C,10,Actuals!$D:$D,$B$154,Actuals!$A:$A,LEFT($D$154,FIND("|",$D$154&amp;"|")-1),Actuals!$E:$E,MID($D$154,FIND("|",$D$154&amp;"|")+1,50),Actuals!$F:$F,"GBP")*$H$5)</f>
        <v/>
      </c>
      <c r="R155" s="18">
        <f>IF(OR($B$154="",11&gt;$C$4),"",SUMIFS(Actuals!$G:$G,Actuals!$B:$B,$C$3,Actuals!$C:$C,11,Actuals!$D:$D,$B$154,Actuals!$A:$A,LEFT($D$154,FIND("|",$D$154&amp;"|")-1),Actuals!$E:$E,MID($D$154,FIND("|",$D$154&amp;"|")+1,50),Actuals!$F:$F,"JPY")*$E$5+SUMIFS(Actuals!$G:$G,Actuals!$B:$B,$C$3,Actuals!$C:$C,11,Actuals!$D:$D,$B$154,Actuals!$A:$A,LEFT($D$154,FIND("|",$D$154&amp;"|")-1),Actuals!$E:$E,MID($D$154,FIND("|",$D$154&amp;"|")+1,50),Actuals!$F:$F,"USD")*$F$5+SUMIFS(Actuals!$G:$G,Actuals!$B:$B,$C$3,Actuals!$C:$C,11,Actuals!$D:$D,$B$154,Actuals!$A:$A,LEFT($D$154,FIND("|",$D$154&amp;"|")-1),Actuals!$E:$E,MID($D$154,FIND("|",$D$154&amp;"|")+1,50),Actuals!$F:$F,"EUR")*$G$5+SUMIFS(Actuals!$G:$G,Actuals!$B:$B,$C$3,Actuals!$C:$C,11,Actuals!$D:$D,$B$154,Actuals!$A:$A,LEFT($D$154,FIND("|",$D$154&amp;"|")-1),Actuals!$E:$E,MID($D$154,FIND("|",$D$154&amp;"|")+1,50),Actuals!$F:$F,"GBP")*$H$5)</f>
        <v/>
      </c>
      <c r="S155" s="18">
        <f>IF(OR($B$154="",12&gt;$C$4),"",SUMIFS(Actuals!$G:$G,Actuals!$B:$B,$C$3,Actuals!$C:$C,12,Actuals!$D:$D,$B$154,Actuals!$A:$A,LEFT($D$154,FIND("|",$D$154&amp;"|")-1),Actuals!$E:$E,MID($D$154,FIND("|",$D$154&amp;"|")+1,50),Actuals!$F:$F,"JPY")*$E$5+SUMIFS(Actuals!$G:$G,Actuals!$B:$B,$C$3,Actuals!$C:$C,12,Actuals!$D:$D,$B$154,Actuals!$A:$A,LEFT($D$154,FIND("|",$D$154&amp;"|")-1),Actuals!$E:$E,MID($D$154,FIND("|",$D$154&amp;"|")+1,50),Actuals!$F:$F,"USD")*$F$5+SUMIFS(Actuals!$G:$G,Actuals!$B:$B,$C$3,Actuals!$C:$C,12,Actuals!$D:$D,$B$154,Actuals!$A:$A,LEFT($D$154,FIND("|",$D$154&amp;"|")-1),Actuals!$E:$E,MID($D$154,FIND("|",$D$154&amp;"|")+1,50),Actuals!$F:$F,"EUR")*$G$5+SUMIFS(Actuals!$G:$G,Actuals!$B:$B,$C$3,Actuals!$C:$C,12,Actuals!$D:$D,$B$154,Actuals!$A:$A,LEFT($D$154,FIND("|",$D$154&amp;"|")-1),Actuals!$E:$E,MID($D$154,FIND("|",$D$154&amp;"|")+1,50),Actuals!$F:$F,"GBP")*$H$5)</f>
        <v/>
      </c>
      <c r="T155" s="18">
        <f>IF($B$154="","",SUMIF($H$7:$S$7,"&lt;="&amp;$C$4,$H155:$S155))</f>
        <v/>
      </c>
      <c r="U155" s="18" t="n"/>
      <c r="V155" s="18" t="n"/>
      <c r="X155" s="22">
        <f>IF($B155="","",IFERROR(INDEX(Cost_Centers!$E:$E,MATCH($B155,Cost_Centers!$A:$A,0)),"(unknown)"))</f>
        <v/>
      </c>
      <c r="Y155" s="22">
        <f>IF($B155="","",IFERROR(INDEX(Cost_Centers!$D:$D,MATCH($B155,Cost_Centers!$A:$A,0)),"(unknown)"))</f>
        <v/>
      </c>
      <c r="Z155" s="22">
        <f>IF(OR($B155="",$G155&lt;&gt;"Variance vs Budget"),"",ABS(N($V155))+ROW()/1000000000)</f>
        <v/>
      </c>
    </row>
    <row r="156">
      <c r="A156" s="13">
        <f>IF(A$154="","",A$154)</f>
        <v/>
      </c>
      <c r="B156" s="13">
        <f>IF(B$154="","",B$154)</f>
        <v/>
      </c>
      <c r="C156" s="13">
        <f>IF(C$154="","",C$154)</f>
        <v/>
      </c>
      <c r="D156" s="13">
        <f>IF(D$154="","",D$154)</f>
        <v/>
      </c>
      <c r="E156" s="13">
        <f>IF(E$154="","",E$154)</f>
        <v/>
      </c>
      <c r="F156" s="13">
        <f>IF(F$154="","",F$154)</f>
        <v/>
      </c>
      <c r="G156" s="6" t="inlineStr">
        <is>
          <t>Variance vs Budget</t>
        </is>
      </c>
      <c r="H156" s="33">
        <f>IF(OR($B$154="",1&gt;$C$4),"",N(H155)-H154)</f>
        <v/>
      </c>
      <c r="I156" s="33">
        <f>IF(OR($B$154="",2&gt;$C$4),"",N(I155)-I154)</f>
        <v/>
      </c>
      <c r="J156" s="33">
        <f>IF(OR($B$154="",3&gt;$C$4),"",N(J155)-J154)</f>
        <v/>
      </c>
      <c r="K156" s="33">
        <f>IF(OR($B$154="",4&gt;$C$4),"",N(K155)-K154)</f>
        <v/>
      </c>
      <c r="L156" s="33">
        <f>IF(OR($B$154="",5&gt;$C$4),"",N(L155)-L154)</f>
        <v/>
      </c>
      <c r="M156" s="33">
        <f>IF(OR($B$154="",6&gt;$C$4),"",N(M155)-M154)</f>
        <v/>
      </c>
      <c r="N156" s="33">
        <f>IF(OR($B$154="",7&gt;$C$4),"",N(N155)-N154)</f>
        <v/>
      </c>
      <c r="O156" s="33">
        <f>IF(OR($B$154="",8&gt;$C$4),"",N(O155)-O154)</f>
        <v/>
      </c>
      <c r="P156" s="33">
        <f>IF(OR($B$154="",9&gt;$C$4),"",N(P155)-P154)</f>
        <v/>
      </c>
      <c r="Q156" s="33">
        <f>IF(OR($B$154="",10&gt;$C$4),"",N(Q155)-Q154)</f>
        <v/>
      </c>
      <c r="R156" s="33">
        <f>IF(OR($B$154="",11&gt;$C$4),"",N(R155)-R154)</f>
        <v/>
      </c>
      <c r="S156" s="33">
        <f>IF(OR($B$154="",12&gt;$C$4),"",N(S155)-S154)</f>
        <v/>
      </c>
      <c r="T156" s="33">
        <f>IF($B$154="","",T155-T154)</f>
        <v/>
      </c>
      <c r="U156" s="33">
        <f>IF($B$154="","",U158-U154)</f>
        <v/>
      </c>
      <c r="V156" s="33">
        <f>IF($B$154="","",V158-V154)</f>
        <v/>
      </c>
      <c r="X156" s="22">
        <f>IF($B156="","",IFERROR(INDEX(Cost_Centers!$E:$E,MATCH($B156,Cost_Centers!$A:$A,0)),"(unknown)"))</f>
        <v/>
      </c>
      <c r="Y156" s="22">
        <f>IF($B156="","",IFERROR(INDEX(Cost_Centers!$D:$D,MATCH($B156,Cost_Centers!$A:$A,0)),"(unknown)"))</f>
        <v/>
      </c>
      <c r="Z156" s="22">
        <f>IF(OR($B156="",$G156&lt;&gt;"Variance vs Budget"),"",ABS(N($V156))+ROW()/1000000000)</f>
        <v/>
      </c>
    </row>
    <row r="157">
      <c r="A157" s="13">
        <f>IF(A$154="","",A$154)</f>
        <v/>
      </c>
      <c r="B157" s="13">
        <f>IF(B$154="","",B$154)</f>
        <v/>
      </c>
      <c r="C157" s="13">
        <f>IF(C$154="","",C$154)</f>
        <v/>
      </c>
      <c r="D157" s="13">
        <f>IF(D$154="","",D$154)</f>
        <v/>
      </c>
      <c r="E157" s="13">
        <f>IF(E$154="","",E$154)</f>
        <v/>
      </c>
      <c r="F157" s="13">
        <f>IF(F$154="","",F$154)</f>
        <v/>
      </c>
      <c r="G157" s="7" t="inlineStr">
        <is>
          <t>Forecast (input)</t>
        </is>
      </c>
      <c r="H157" s="34" t="n"/>
      <c r="I157" s="34" t="n"/>
      <c r="J157" s="34" t="n"/>
      <c r="K157" s="34" t="n"/>
      <c r="L157" s="34" t="n"/>
      <c r="M157" s="34" t="n"/>
      <c r="N157" s="34" t="n"/>
      <c r="O157" s="34" t="n"/>
      <c r="P157" s="34" t="n"/>
      <c r="Q157" s="34" t="n"/>
      <c r="R157" s="34" t="n"/>
      <c r="S157" s="34" t="n"/>
      <c r="T157" s="18" t="n"/>
      <c r="U157" s="18" t="n"/>
      <c r="V157" s="18" t="n"/>
      <c r="X157" s="22">
        <f>IF($B157="","",IFERROR(INDEX(Cost_Centers!$E:$E,MATCH($B157,Cost_Centers!$A:$A,0)),"(unknown)"))</f>
        <v/>
      </c>
      <c r="Y157" s="22">
        <f>IF($B157="","",IFERROR(INDEX(Cost_Centers!$D:$D,MATCH($B157,Cost_Centers!$A:$A,0)),"(unknown)"))</f>
        <v/>
      </c>
      <c r="Z157" s="22">
        <f>IF(OR($B157="",$G157&lt;&gt;"Variance vs Budget"),"",ABS(N($V157))+ROW()/1000000000)</f>
        <v/>
      </c>
    </row>
    <row r="158">
      <c r="A158" s="13">
        <f>IF(A$154="","",A$154)</f>
        <v/>
      </c>
      <c r="B158" s="13">
        <f>IF(B$154="","",B$154)</f>
        <v/>
      </c>
      <c r="C158" s="13">
        <f>IF(C$154="","",C$154)</f>
        <v/>
      </c>
      <c r="D158" s="13">
        <f>IF(D$154="","",D$154)</f>
        <v/>
      </c>
      <c r="E158" s="13">
        <f>IF(E$154="","",E$154)</f>
        <v/>
      </c>
      <c r="F158" s="13">
        <f>IF(F$154="","",F$154)</f>
        <v/>
      </c>
      <c r="G158" s="35" t="inlineStr">
        <is>
          <t>Actual + Forecast</t>
        </is>
      </c>
      <c r="H158" s="18">
        <f>IF($B$154="","",IF(1&lt;=$C$4,N(H155),IF(H157="",H154,H157)))</f>
        <v/>
      </c>
      <c r="I158" s="18">
        <f>IF($B$154="","",IF(2&lt;=$C$4,N(I155),IF(I157="",I154,I157)))</f>
        <v/>
      </c>
      <c r="J158" s="18">
        <f>IF($B$154="","",IF(3&lt;=$C$4,N(J155),IF(J157="",J154,J157)))</f>
        <v/>
      </c>
      <c r="K158" s="18">
        <f>IF($B$154="","",IF(4&lt;=$C$4,N(K155),IF(K157="",K154,K157)))</f>
        <v/>
      </c>
      <c r="L158" s="18">
        <f>IF($B$154="","",IF(5&lt;=$C$4,N(L155),IF(L157="",L154,L157)))</f>
        <v/>
      </c>
      <c r="M158" s="18">
        <f>IF($B$154="","",IF(6&lt;=$C$4,N(M155),IF(M157="",M154,M157)))</f>
        <v/>
      </c>
      <c r="N158" s="18">
        <f>IF($B$154="","",IF(7&lt;=$C$4,N(N155),IF(N157="",N154,N157)))</f>
        <v/>
      </c>
      <c r="O158" s="18">
        <f>IF($B$154="","",IF(8&lt;=$C$4,N(O155),IF(O157="",O154,O157)))</f>
        <v/>
      </c>
      <c r="P158" s="18">
        <f>IF($B$154="","",IF(9&lt;=$C$4,N(P155),IF(P157="",P154,P157)))</f>
        <v/>
      </c>
      <c r="Q158" s="18">
        <f>IF($B$154="","",IF(10&lt;=$C$4,N(Q155),IF(Q157="",Q154,Q157)))</f>
        <v/>
      </c>
      <c r="R158" s="18">
        <f>IF($B$154="","",IF(11&lt;=$C$4,N(R155),IF(R157="",R154,R157)))</f>
        <v/>
      </c>
      <c r="S158" s="18">
        <f>IF($B$154="","",IF(12&lt;=$C$4,N(S155),IF(S157="",S154,S157)))</f>
        <v/>
      </c>
      <c r="T158" s="18">
        <f>IF($B$154="","",SUMIF($H$7:$S$7,"&lt;="&amp;$C$4,$H158:$S158))</f>
        <v/>
      </c>
      <c r="U158" s="18">
        <f>IF($B$154="","",SUMIF($H$7:$S$7,"&gt;"&amp;$C$4,$H158:$S158))</f>
        <v/>
      </c>
      <c r="V158" s="18">
        <f>IF($B$154="","",SUM($H158:$S158))</f>
        <v/>
      </c>
      <c r="X158" s="22">
        <f>IF($B158="","",IFERROR(INDEX(Cost_Centers!$E:$E,MATCH($B158,Cost_Centers!$A:$A,0)),"(unknown)"))</f>
        <v/>
      </c>
      <c r="Y158" s="22">
        <f>IF($B158="","",IFERROR(INDEX(Cost_Centers!$D:$D,MATCH($B158,Cost_Centers!$A:$A,0)),"(unknown)"))</f>
        <v/>
      </c>
      <c r="Z158" s="22">
        <f>IF(OR($B158="",$G158&lt;&gt;"Variance vs Budget"),"",ABS(N($V158))+ROW()/1000000000)</f>
        <v/>
      </c>
    </row>
    <row r="159">
      <c r="A159" s="13">
        <f>IF(A$154="","",A$154)</f>
        <v/>
      </c>
      <c r="B159" s="13">
        <f>IF(B$154="","",B$154)</f>
        <v/>
      </c>
      <c r="C159" s="13">
        <f>IF(C$154="","",C$154)</f>
        <v/>
      </c>
      <c r="D159" s="13">
        <f>IF(D$154="","",D$154)</f>
        <v/>
      </c>
      <c r="E159" s="13">
        <f>IF(E$154="","",E$154)</f>
        <v/>
      </c>
      <c r="F159" s="13">
        <f>IF(F$154="","",F$154)</f>
        <v/>
      </c>
      <c r="G159" s="36" t="inlineStr">
        <is>
          <t>Prior Month Forecast</t>
        </is>
      </c>
      <c r="H159" s="37">
        <f>IF($B$154="","",IF(COUNTIFS(Prior_Forecast!$A:$A,$B$154,Prior_Forecast!$B:$B,$D$154)&gt;0,SUMIFS(Prior_Forecast!$C:$C,Prior_Forecast!$A:$A,$B$154,Prior_Forecast!$B:$B,$D$154),""))</f>
        <v/>
      </c>
      <c r="I159" s="37">
        <f>IF($B$154="","",IF(COUNTIFS(Prior_Forecast!$A:$A,$B$154,Prior_Forecast!$B:$B,$D$154)&gt;0,SUMIFS(Prior_Forecast!$D:$D,Prior_Forecast!$A:$A,$B$154,Prior_Forecast!$B:$B,$D$154),""))</f>
        <v/>
      </c>
      <c r="J159" s="37">
        <f>IF($B$154="","",IF(COUNTIFS(Prior_Forecast!$A:$A,$B$154,Prior_Forecast!$B:$B,$D$154)&gt;0,SUMIFS(Prior_Forecast!$E:$E,Prior_Forecast!$A:$A,$B$154,Prior_Forecast!$B:$B,$D$154),""))</f>
        <v/>
      </c>
      <c r="K159" s="37">
        <f>IF($B$154="","",IF(COUNTIFS(Prior_Forecast!$A:$A,$B$154,Prior_Forecast!$B:$B,$D$154)&gt;0,SUMIFS(Prior_Forecast!$F:$F,Prior_Forecast!$A:$A,$B$154,Prior_Forecast!$B:$B,$D$154),""))</f>
        <v/>
      </c>
      <c r="L159" s="37">
        <f>IF($B$154="","",IF(COUNTIFS(Prior_Forecast!$A:$A,$B$154,Prior_Forecast!$B:$B,$D$154)&gt;0,SUMIFS(Prior_Forecast!$G:$G,Prior_Forecast!$A:$A,$B$154,Prior_Forecast!$B:$B,$D$154),""))</f>
        <v/>
      </c>
      <c r="M159" s="37">
        <f>IF($B$154="","",IF(COUNTIFS(Prior_Forecast!$A:$A,$B$154,Prior_Forecast!$B:$B,$D$154)&gt;0,SUMIFS(Prior_Forecast!$H:$H,Prior_Forecast!$A:$A,$B$154,Prior_Forecast!$B:$B,$D$154),""))</f>
        <v/>
      </c>
      <c r="N159" s="37">
        <f>IF($B$154="","",IF(COUNTIFS(Prior_Forecast!$A:$A,$B$154,Prior_Forecast!$B:$B,$D$154)&gt;0,SUMIFS(Prior_Forecast!$I:$I,Prior_Forecast!$A:$A,$B$154,Prior_Forecast!$B:$B,$D$154),""))</f>
        <v/>
      </c>
      <c r="O159" s="37">
        <f>IF($B$154="","",IF(COUNTIFS(Prior_Forecast!$A:$A,$B$154,Prior_Forecast!$B:$B,$D$154)&gt;0,SUMIFS(Prior_Forecast!$J:$J,Prior_Forecast!$A:$A,$B$154,Prior_Forecast!$B:$B,$D$154),""))</f>
        <v/>
      </c>
      <c r="P159" s="37">
        <f>IF($B$154="","",IF(COUNTIFS(Prior_Forecast!$A:$A,$B$154,Prior_Forecast!$B:$B,$D$154)&gt;0,SUMIFS(Prior_Forecast!$K:$K,Prior_Forecast!$A:$A,$B$154,Prior_Forecast!$B:$B,$D$154),""))</f>
        <v/>
      </c>
      <c r="Q159" s="37">
        <f>IF($B$154="","",IF(COUNTIFS(Prior_Forecast!$A:$A,$B$154,Prior_Forecast!$B:$B,$D$154)&gt;0,SUMIFS(Prior_Forecast!$L:$L,Prior_Forecast!$A:$A,$B$154,Prior_Forecast!$B:$B,$D$154),""))</f>
        <v/>
      </c>
      <c r="R159" s="37">
        <f>IF($B$154="","",IF(COUNTIFS(Prior_Forecast!$A:$A,$B$154,Prior_Forecast!$B:$B,$D$154)&gt;0,SUMIFS(Prior_Forecast!$M:$M,Prior_Forecast!$A:$A,$B$154,Prior_Forecast!$B:$B,$D$154),""))</f>
        <v/>
      </c>
      <c r="S159" s="37">
        <f>IF($B$154="","",IF(COUNTIFS(Prior_Forecast!$A:$A,$B$154,Prior_Forecast!$B:$B,$D$154)&gt;0,SUMIFS(Prior_Forecast!$N:$N,Prior_Forecast!$A:$A,$B$154,Prior_Forecast!$B:$B,$D$154),""))</f>
        <v/>
      </c>
      <c r="T159" s="37">
        <f>IF($B$154="","",IF(COUNTIFS(Prior_Forecast!$A:$A,$B$154,Prior_Forecast!$B:$B,$D$154)&gt;0,SUMIFS(Prior_Forecast!$O:$O,Prior_Forecast!$A:$A,$B$154,Prior_Forecast!$B:$B,$D$154),""))</f>
        <v/>
      </c>
      <c r="U159" s="37">
        <f>IF($B$154="","",IF(COUNTIFS(Prior_Forecast!$A:$A,$B$154,Prior_Forecast!$B:$B,$D$154)&gt;0,SUMIFS(Prior_Forecast!$P:$P,Prior_Forecast!$A:$A,$B$154,Prior_Forecast!$B:$B,$D$154),""))</f>
        <v/>
      </c>
      <c r="V159" s="37">
        <f>IF($B$154="","",IF(COUNTIFS(Prior_Forecast!$A:$A,$B$154,Prior_Forecast!$B:$B,$D$154)&gt;0,SUMIFS(Prior_Forecast!$Q:$Q,Prior_Forecast!$A:$A,$B$154,Prior_Forecast!$B:$B,$D$154),""))</f>
        <v/>
      </c>
      <c r="X159" s="22">
        <f>IF($B159="","",IFERROR(INDEX(Cost_Centers!$E:$E,MATCH($B159,Cost_Centers!$A:$A,0)),"(unknown)"))</f>
        <v/>
      </c>
      <c r="Y159" s="22">
        <f>IF($B159="","",IFERROR(INDEX(Cost_Centers!$D:$D,MATCH($B159,Cost_Centers!$A:$A,0)),"(unknown)"))</f>
        <v/>
      </c>
      <c r="Z159" s="22">
        <f>IF(OR($B159="",$G159&lt;&gt;"Variance vs Budget"),"",ABS(N($V159))+ROW()/1000000000)</f>
        <v/>
      </c>
    </row>
    <row r="160">
      <c r="A160" s="13">
        <f>IF(A$154="","",A$154)</f>
        <v/>
      </c>
      <c r="B160" s="13">
        <f>IF(B$154="","",B$154)</f>
        <v/>
      </c>
      <c r="C160" s="13">
        <f>IF(C$154="","",C$154)</f>
        <v/>
      </c>
      <c r="D160" s="13">
        <f>IF(D$154="","",D$154)</f>
        <v/>
      </c>
      <c r="E160" s="13">
        <f>IF(E$154="","",E$154)</f>
        <v/>
      </c>
      <c r="F160" s="13">
        <f>IF(F$154="","",F$154)</f>
        <v/>
      </c>
      <c r="G160" s="6" t="inlineStr">
        <is>
          <t>Variance vs Prior Month</t>
        </is>
      </c>
      <c r="H160" s="33">
        <f>IF(OR($B$154="",H159=""),"",H158-H159)</f>
        <v/>
      </c>
      <c r="I160" s="33">
        <f>IF(OR($B$154="",I159=""),"",I158-I159)</f>
        <v/>
      </c>
      <c r="J160" s="33">
        <f>IF(OR($B$154="",J159=""),"",J158-J159)</f>
        <v/>
      </c>
      <c r="K160" s="33">
        <f>IF(OR($B$154="",K159=""),"",K158-K159)</f>
        <v/>
      </c>
      <c r="L160" s="33">
        <f>IF(OR($B$154="",L159=""),"",L158-L159)</f>
        <v/>
      </c>
      <c r="M160" s="33">
        <f>IF(OR($B$154="",M159=""),"",M158-M159)</f>
        <v/>
      </c>
      <c r="N160" s="33">
        <f>IF(OR($B$154="",N159=""),"",N158-N159)</f>
        <v/>
      </c>
      <c r="O160" s="33">
        <f>IF(OR($B$154="",O159=""),"",O158-O159)</f>
        <v/>
      </c>
      <c r="P160" s="33">
        <f>IF(OR($B$154="",P159=""),"",P158-P159)</f>
        <v/>
      </c>
      <c r="Q160" s="33">
        <f>IF(OR($B$154="",Q159=""),"",Q158-Q159)</f>
        <v/>
      </c>
      <c r="R160" s="33">
        <f>IF(OR($B$154="",R159=""),"",R158-R159)</f>
        <v/>
      </c>
      <c r="S160" s="33">
        <f>IF(OR($B$154="",S159=""),"",S158-S159)</f>
        <v/>
      </c>
      <c r="T160" s="33">
        <f>IF(OR($B$154="",T159=""),"",T158-T159)</f>
        <v/>
      </c>
      <c r="U160" s="33">
        <f>IF(OR($B$154="",U159=""),"",U158-U159)</f>
        <v/>
      </c>
      <c r="V160" s="33">
        <f>IF(OR($B$154="",V159=""),"",V158-V159)</f>
        <v/>
      </c>
      <c r="X160" s="22">
        <f>IF($B160="","",IFERROR(INDEX(Cost_Centers!$E:$E,MATCH($B160,Cost_Centers!$A:$A,0)),"(unknown)"))</f>
        <v/>
      </c>
      <c r="Y160" s="22">
        <f>IF($B160="","",IFERROR(INDEX(Cost_Centers!$D:$D,MATCH($B160,Cost_Centers!$A:$A,0)),"(unknown)"))</f>
        <v/>
      </c>
      <c r="Z160" s="22">
        <f>IF(OR($B160="",$G160&lt;&gt;"Variance vs Budget"),"",ABS(N($V160))+ROW()/1000000000)</f>
        <v/>
      </c>
    </row>
    <row r="161" ht="45" customHeight="1">
      <c r="A161" s="13">
        <f>IF(A$154="","",A$154)</f>
        <v/>
      </c>
      <c r="B161" s="13">
        <f>IF(B$154="","",B$154)</f>
        <v/>
      </c>
      <c r="C161" s="13">
        <f>IF(C$154="","",C$154)</f>
        <v/>
      </c>
      <c r="D161" s="13">
        <f>IF(D$154="","",D$154)</f>
        <v/>
      </c>
      <c r="E161" s="13">
        <f>IF(E$154="","",E$154)</f>
        <v/>
      </c>
      <c r="F161" s="13">
        <f>IF(F$154="","",F$154)</f>
        <v/>
      </c>
      <c r="G161" s="7" t="inlineStr">
        <is>
          <t>Rationale</t>
        </is>
      </c>
      <c r="H161" s="38" t="n"/>
      <c r="I161" s="38" t="n"/>
      <c r="J161" s="38" t="n"/>
      <c r="K161" s="38" t="n"/>
      <c r="L161" s="38" t="n"/>
      <c r="M161" s="38" t="n"/>
      <c r="N161" s="38" t="n"/>
      <c r="O161" s="38" t="n"/>
      <c r="P161" s="38" t="n"/>
      <c r="Q161" s="38" t="n"/>
      <c r="R161" s="38" t="n"/>
      <c r="S161" s="38" t="n"/>
      <c r="T161" s="38" t="n"/>
      <c r="U161" s="38" t="n"/>
      <c r="V161" s="7" t="n"/>
      <c r="X161" s="22">
        <f>IF($B161="","",IFERROR(INDEX(Cost_Centers!$E:$E,MATCH($B161,Cost_Centers!$A:$A,0)),"(unknown)"))</f>
        <v/>
      </c>
      <c r="Y161" s="22">
        <f>IF($B161="","",IFERROR(INDEX(Cost_Centers!$D:$D,MATCH($B161,Cost_Centers!$A:$A,0)),"(unknown)"))</f>
        <v/>
      </c>
      <c r="Z161" s="22">
        <f>IF(OR($B161="",$G161&lt;&gt;"Variance vs Budget"),"",ABS(N($V161))+ROW()/1000000000)</f>
        <v/>
      </c>
    </row>
    <row r="162">
      <c r="A162" s="30">
        <f>IF($D$162="","",LEFT($D$162,FIND("|",$D$162&amp;"|")-1))</f>
        <v/>
      </c>
      <c r="B162" s="31" t="n"/>
      <c r="C162" s="30">
        <f>IF($B$162="","",IFERROR(INDEX(Cost_Centers!$B:$B,MATCH($B$162,Cost_Centers!$A:$A,0)),"(not in master)"))</f>
        <v/>
      </c>
      <c r="D162" s="31" t="n"/>
      <c r="E162" s="30">
        <f>IF($D$162="","",IFERROR(INDEX(Accounts!$D:$D,MATCH($D$162,Accounts!$A:$A,0)),"(not in master)"))</f>
        <v/>
      </c>
      <c r="F162" s="31" t="n"/>
      <c r="G162" s="30" t="inlineStr">
        <is>
          <t>Budget</t>
        </is>
      </c>
      <c r="H162" s="32">
        <f>IF($B$162="","",SUMIFS(Opex_Budget!$O:$O,Opex_Budget!$A:$A,$C$3,Opex_Budget!$E:$E,$B$162,Opex_Budget!$F:$F,$D$162,Opex_Budget!$N:$N,"JPY")*$E$5+SUMIFS(Opex_Budget!$O:$O,Opex_Budget!$A:$A,$C$3,Opex_Budget!$E:$E,$B$162,Opex_Budget!$F:$F,$D$162,Opex_Budget!$N:$N,"USD")*$F$5+SUMIFS(Opex_Budget!$O:$O,Opex_Budget!$A:$A,$C$3,Opex_Budget!$E:$E,$B$162,Opex_Budget!$F:$F,$D$162,Opex_Budget!$N:$N,"EUR")*$G$5+SUMIFS(Opex_Budget!$O:$O,Opex_Budget!$A:$A,$C$3,Opex_Budget!$E:$E,$B$162,Opex_Budget!$F:$F,$D$162,Opex_Budget!$N:$N,"GBP")*$H$5)</f>
        <v/>
      </c>
      <c r="I162" s="32">
        <f>IF($B$162="","",SUMIFS(Opex_Budget!$P:$P,Opex_Budget!$A:$A,$C$3,Opex_Budget!$E:$E,$B$162,Opex_Budget!$F:$F,$D$162,Opex_Budget!$N:$N,"JPY")*$E$5+SUMIFS(Opex_Budget!$P:$P,Opex_Budget!$A:$A,$C$3,Opex_Budget!$E:$E,$B$162,Opex_Budget!$F:$F,$D$162,Opex_Budget!$N:$N,"USD")*$F$5+SUMIFS(Opex_Budget!$P:$P,Opex_Budget!$A:$A,$C$3,Opex_Budget!$E:$E,$B$162,Opex_Budget!$F:$F,$D$162,Opex_Budget!$N:$N,"EUR")*$G$5+SUMIFS(Opex_Budget!$P:$P,Opex_Budget!$A:$A,$C$3,Opex_Budget!$E:$E,$B$162,Opex_Budget!$F:$F,$D$162,Opex_Budget!$N:$N,"GBP")*$H$5)</f>
        <v/>
      </c>
      <c r="J162" s="32">
        <f>IF($B$162="","",SUMIFS(Opex_Budget!$Q:$Q,Opex_Budget!$A:$A,$C$3,Opex_Budget!$E:$E,$B$162,Opex_Budget!$F:$F,$D$162,Opex_Budget!$N:$N,"JPY")*$E$5+SUMIFS(Opex_Budget!$Q:$Q,Opex_Budget!$A:$A,$C$3,Opex_Budget!$E:$E,$B$162,Opex_Budget!$F:$F,$D$162,Opex_Budget!$N:$N,"USD")*$F$5+SUMIFS(Opex_Budget!$Q:$Q,Opex_Budget!$A:$A,$C$3,Opex_Budget!$E:$E,$B$162,Opex_Budget!$F:$F,$D$162,Opex_Budget!$N:$N,"EUR")*$G$5+SUMIFS(Opex_Budget!$Q:$Q,Opex_Budget!$A:$A,$C$3,Opex_Budget!$E:$E,$B$162,Opex_Budget!$F:$F,$D$162,Opex_Budget!$N:$N,"GBP")*$H$5)</f>
        <v/>
      </c>
      <c r="K162" s="32">
        <f>IF($B$162="","",SUMIFS(Opex_Budget!$R:$R,Opex_Budget!$A:$A,$C$3,Opex_Budget!$E:$E,$B$162,Opex_Budget!$F:$F,$D$162,Opex_Budget!$N:$N,"JPY")*$E$5+SUMIFS(Opex_Budget!$R:$R,Opex_Budget!$A:$A,$C$3,Opex_Budget!$E:$E,$B$162,Opex_Budget!$F:$F,$D$162,Opex_Budget!$N:$N,"USD")*$F$5+SUMIFS(Opex_Budget!$R:$R,Opex_Budget!$A:$A,$C$3,Opex_Budget!$E:$E,$B$162,Opex_Budget!$F:$F,$D$162,Opex_Budget!$N:$N,"EUR")*$G$5+SUMIFS(Opex_Budget!$R:$R,Opex_Budget!$A:$A,$C$3,Opex_Budget!$E:$E,$B$162,Opex_Budget!$F:$F,$D$162,Opex_Budget!$N:$N,"GBP")*$H$5)</f>
        <v/>
      </c>
      <c r="L162" s="32">
        <f>IF($B$162="","",SUMIFS(Opex_Budget!$S:$S,Opex_Budget!$A:$A,$C$3,Opex_Budget!$E:$E,$B$162,Opex_Budget!$F:$F,$D$162,Opex_Budget!$N:$N,"JPY")*$E$5+SUMIFS(Opex_Budget!$S:$S,Opex_Budget!$A:$A,$C$3,Opex_Budget!$E:$E,$B$162,Opex_Budget!$F:$F,$D$162,Opex_Budget!$N:$N,"USD")*$F$5+SUMIFS(Opex_Budget!$S:$S,Opex_Budget!$A:$A,$C$3,Opex_Budget!$E:$E,$B$162,Opex_Budget!$F:$F,$D$162,Opex_Budget!$N:$N,"EUR")*$G$5+SUMIFS(Opex_Budget!$S:$S,Opex_Budget!$A:$A,$C$3,Opex_Budget!$E:$E,$B$162,Opex_Budget!$F:$F,$D$162,Opex_Budget!$N:$N,"GBP")*$H$5)</f>
        <v/>
      </c>
      <c r="M162" s="32">
        <f>IF($B$162="","",SUMIFS(Opex_Budget!$T:$T,Opex_Budget!$A:$A,$C$3,Opex_Budget!$E:$E,$B$162,Opex_Budget!$F:$F,$D$162,Opex_Budget!$N:$N,"JPY")*$E$5+SUMIFS(Opex_Budget!$T:$T,Opex_Budget!$A:$A,$C$3,Opex_Budget!$E:$E,$B$162,Opex_Budget!$F:$F,$D$162,Opex_Budget!$N:$N,"USD")*$F$5+SUMIFS(Opex_Budget!$T:$T,Opex_Budget!$A:$A,$C$3,Opex_Budget!$E:$E,$B$162,Opex_Budget!$F:$F,$D$162,Opex_Budget!$N:$N,"EUR")*$G$5+SUMIFS(Opex_Budget!$T:$T,Opex_Budget!$A:$A,$C$3,Opex_Budget!$E:$E,$B$162,Opex_Budget!$F:$F,$D$162,Opex_Budget!$N:$N,"GBP")*$H$5)</f>
        <v/>
      </c>
      <c r="N162" s="32">
        <f>IF($B$162="","",SUMIFS(Opex_Budget!$U:$U,Opex_Budget!$A:$A,$C$3,Opex_Budget!$E:$E,$B$162,Opex_Budget!$F:$F,$D$162,Opex_Budget!$N:$N,"JPY")*$E$5+SUMIFS(Opex_Budget!$U:$U,Opex_Budget!$A:$A,$C$3,Opex_Budget!$E:$E,$B$162,Opex_Budget!$F:$F,$D$162,Opex_Budget!$N:$N,"USD")*$F$5+SUMIFS(Opex_Budget!$U:$U,Opex_Budget!$A:$A,$C$3,Opex_Budget!$E:$E,$B$162,Opex_Budget!$F:$F,$D$162,Opex_Budget!$N:$N,"EUR")*$G$5+SUMIFS(Opex_Budget!$U:$U,Opex_Budget!$A:$A,$C$3,Opex_Budget!$E:$E,$B$162,Opex_Budget!$F:$F,$D$162,Opex_Budget!$N:$N,"GBP")*$H$5)</f>
        <v/>
      </c>
      <c r="O162" s="32">
        <f>IF($B$162="","",SUMIFS(Opex_Budget!$V:$V,Opex_Budget!$A:$A,$C$3,Opex_Budget!$E:$E,$B$162,Opex_Budget!$F:$F,$D$162,Opex_Budget!$N:$N,"JPY")*$E$5+SUMIFS(Opex_Budget!$V:$V,Opex_Budget!$A:$A,$C$3,Opex_Budget!$E:$E,$B$162,Opex_Budget!$F:$F,$D$162,Opex_Budget!$N:$N,"USD")*$F$5+SUMIFS(Opex_Budget!$V:$V,Opex_Budget!$A:$A,$C$3,Opex_Budget!$E:$E,$B$162,Opex_Budget!$F:$F,$D$162,Opex_Budget!$N:$N,"EUR")*$G$5+SUMIFS(Opex_Budget!$V:$V,Opex_Budget!$A:$A,$C$3,Opex_Budget!$E:$E,$B$162,Opex_Budget!$F:$F,$D$162,Opex_Budget!$N:$N,"GBP")*$H$5)</f>
        <v/>
      </c>
      <c r="P162" s="32">
        <f>IF($B$162="","",SUMIFS(Opex_Budget!$W:$W,Opex_Budget!$A:$A,$C$3,Opex_Budget!$E:$E,$B$162,Opex_Budget!$F:$F,$D$162,Opex_Budget!$N:$N,"JPY")*$E$5+SUMIFS(Opex_Budget!$W:$W,Opex_Budget!$A:$A,$C$3,Opex_Budget!$E:$E,$B$162,Opex_Budget!$F:$F,$D$162,Opex_Budget!$N:$N,"USD")*$F$5+SUMIFS(Opex_Budget!$W:$W,Opex_Budget!$A:$A,$C$3,Opex_Budget!$E:$E,$B$162,Opex_Budget!$F:$F,$D$162,Opex_Budget!$N:$N,"EUR")*$G$5+SUMIFS(Opex_Budget!$W:$W,Opex_Budget!$A:$A,$C$3,Opex_Budget!$E:$E,$B$162,Opex_Budget!$F:$F,$D$162,Opex_Budget!$N:$N,"GBP")*$H$5)</f>
        <v/>
      </c>
      <c r="Q162" s="32">
        <f>IF($B$162="","",SUMIFS(Opex_Budget!$X:$X,Opex_Budget!$A:$A,$C$3,Opex_Budget!$E:$E,$B$162,Opex_Budget!$F:$F,$D$162,Opex_Budget!$N:$N,"JPY")*$E$5+SUMIFS(Opex_Budget!$X:$X,Opex_Budget!$A:$A,$C$3,Opex_Budget!$E:$E,$B$162,Opex_Budget!$F:$F,$D$162,Opex_Budget!$N:$N,"USD")*$F$5+SUMIFS(Opex_Budget!$X:$X,Opex_Budget!$A:$A,$C$3,Opex_Budget!$E:$E,$B$162,Opex_Budget!$F:$F,$D$162,Opex_Budget!$N:$N,"EUR")*$G$5+SUMIFS(Opex_Budget!$X:$X,Opex_Budget!$A:$A,$C$3,Opex_Budget!$E:$E,$B$162,Opex_Budget!$F:$F,$D$162,Opex_Budget!$N:$N,"GBP")*$H$5)</f>
        <v/>
      </c>
      <c r="R162" s="32">
        <f>IF($B$162="","",SUMIFS(Opex_Budget!$Y:$Y,Opex_Budget!$A:$A,$C$3,Opex_Budget!$E:$E,$B$162,Opex_Budget!$F:$F,$D$162,Opex_Budget!$N:$N,"JPY")*$E$5+SUMIFS(Opex_Budget!$Y:$Y,Opex_Budget!$A:$A,$C$3,Opex_Budget!$E:$E,$B$162,Opex_Budget!$F:$F,$D$162,Opex_Budget!$N:$N,"USD")*$F$5+SUMIFS(Opex_Budget!$Y:$Y,Opex_Budget!$A:$A,$C$3,Opex_Budget!$E:$E,$B$162,Opex_Budget!$F:$F,$D$162,Opex_Budget!$N:$N,"EUR")*$G$5+SUMIFS(Opex_Budget!$Y:$Y,Opex_Budget!$A:$A,$C$3,Opex_Budget!$E:$E,$B$162,Opex_Budget!$F:$F,$D$162,Opex_Budget!$N:$N,"GBP")*$H$5)</f>
        <v/>
      </c>
      <c r="S162" s="32">
        <f>IF($B$162="","",SUMIFS(Opex_Budget!$Z:$Z,Opex_Budget!$A:$A,$C$3,Opex_Budget!$E:$E,$B$162,Opex_Budget!$F:$F,$D$162,Opex_Budget!$N:$N,"JPY")*$E$5+SUMIFS(Opex_Budget!$Z:$Z,Opex_Budget!$A:$A,$C$3,Opex_Budget!$E:$E,$B$162,Opex_Budget!$F:$F,$D$162,Opex_Budget!$N:$N,"USD")*$F$5+SUMIFS(Opex_Budget!$Z:$Z,Opex_Budget!$A:$A,$C$3,Opex_Budget!$E:$E,$B$162,Opex_Budget!$F:$F,$D$162,Opex_Budget!$N:$N,"EUR")*$G$5+SUMIFS(Opex_Budget!$Z:$Z,Opex_Budget!$A:$A,$C$3,Opex_Budget!$E:$E,$B$162,Opex_Budget!$F:$F,$D$162,Opex_Budget!$N:$N,"GBP")*$H$5)</f>
        <v/>
      </c>
      <c r="T162" s="32">
        <f>IF($B$162="","",SUMIF($H$7:$S$7,"&lt;="&amp;$C$4,$H162:$S162))</f>
        <v/>
      </c>
      <c r="U162" s="32">
        <f>IF($B$162="","",SUMIF($H$7:$S$7,"&gt;"&amp;$C$4,$H162:$S162))</f>
        <v/>
      </c>
      <c r="V162" s="32">
        <f>IF($B$162="","",SUM($H162:$S162))</f>
        <v/>
      </c>
      <c r="X162" s="22">
        <f>IF($B162="","",IFERROR(INDEX(Cost_Centers!$E:$E,MATCH($B162,Cost_Centers!$A:$A,0)),"(unknown)"))</f>
        <v/>
      </c>
      <c r="Y162" s="22">
        <f>IF($B162="","",IFERROR(INDEX(Cost_Centers!$D:$D,MATCH($B162,Cost_Centers!$A:$A,0)),"(unknown)"))</f>
        <v/>
      </c>
      <c r="Z162" s="22">
        <f>IF(OR($B162="",$G162&lt;&gt;"Variance vs Budget"),"",ABS(N($V162))+ROW()/1000000000)</f>
        <v/>
      </c>
    </row>
    <row r="163">
      <c r="A163" s="13">
        <f>IF(A$162="","",A$162)</f>
        <v/>
      </c>
      <c r="B163" s="13">
        <f>IF(B$162="","",B$162)</f>
        <v/>
      </c>
      <c r="C163" s="13">
        <f>IF(C$162="","",C$162)</f>
        <v/>
      </c>
      <c r="D163" s="13">
        <f>IF(D$162="","",D$162)</f>
        <v/>
      </c>
      <c r="E163" s="13">
        <f>IF(E$162="","",E$162)</f>
        <v/>
      </c>
      <c r="F163" s="13">
        <f>IF(F$162="","",F$162)</f>
        <v/>
      </c>
      <c r="G163" s="7" t="inlineStr">
        <is>
          <t>Actual</t>
        </is>
      </c>
      <c r="H163" s="18">
        <f>IF(OR($B$162="",1&gt;$C$4),"",SUMIFS(Actuals!$G:$G,Actuals!$B:$B,$C$3,Actuals!$C:$C,1,Actuals!$D:$D,$B$162,Actuals!$A:$A,LEFT($D$162,FIND("|",$D$162&amp;"|")-1),Actuals!$E:$E,MID($D$162,FIND("|",$D$162&amp;"|")+1,50),Actuals!$F:$F,"JPY")*$E$5+SUMIFS(Actuals!$G:$G,Actuals!$B:$B,$C$3,Actuals!$C:$C,1,Actuals!$D:$D,$B$162,Actuals!$A:$A,LEFT($D$162,FIND("|",$D$162&amp;"|")-1),Actuals!$E:$E,MID($D$162,FIND("|",$D$162&amp;"|")+1,50),Actuals!$F:$F,"USD")*$F$5+SUMIFS(Actuals!$G:$G,Actuals!$B:$B,$C$3,Actuals!$C:$C,1,Actuals!$D:$D,$B$162,Actuals!$A:$A,LEFT($D$162,FIND("|",$D$162&amp;"|")-1),Actuals!$E:$E,MID($D$162,FIND("|",$D$162&amp;"|")+1,50),Actuals!$F:$F,"EUR")*$G$5+SUMIFS(Actuals!$G:$G,Actuals!$B:$B,$C$3,Actuals!$C:$C,1,Actuals!$D:$D,$B$162,Actuals!$A:$A,LEFT($D$162,FIND("|",$D$162&amp;"|")-1),Actuals!$E:$E,MID($D$162,FIND("|",$D$162&amp;"|")+1,50),Actuals!$F:$F,"GBP")*$H$5)</f>
        <v/>
      </c>
      <c r="I163" s="18">
        <f>IF(OR($B$162="",2&gt;$C$4),"",SUMIFS(Actuals!$G:$G,Actuals!$B:$B,$C$3,Actuals!$C:$C,2,Actuals!$D:$D,$B$162,Actuals!$A:$A,LEFT($D$162,FIND("|",$D$162&amp;"|")-1),Actuals!$E:$E,MID($D$162,FIND("|",$D$162&amp;"|")+1,50),Actuals!$F:$F,"JPY")*$E$5+SUMIFS(Actuals!$G:$G,Actuals!$B:$B,$C$3,Actuals!$C:$C,2,Actuals!$D:$D,$B$162,Actuals!$A:$A,LEFT($D$162,FIND("|",$D$162&amp;"|")-1),Actuals!$E:$E,MID($D$162,FIND("|",$D$162&amp;"|")+1,50),Actuals!$F:$F,"USD")*$F$5+SUMIFS(Actuals!$G:$G,Actuals!$B:$B,$C$3,Actuals!$C:$C,2,Actuals!$D:$D,$B$162,Actuals!$A:$A,LEFT($D$162,FIND("|",$D$162&amp;"|")-1),Actuals!$E:$E,MID($D$162,FIND("|",$D$162&amp;"|")+1,50),Actuals!$F:$F,"EUR")*$G$5+SUMIFS(Actuals!$G:$G,Actuals!$B:$B,$C$3,Actuals!$C:$C,2,Actuals!$D:$D,$B$162,Actuals!$A:$A,LEFT($D$162,FIND("|",$D$162&amp;"|")-1),Actuals!$E:$E,MID($D$162,FIND("|",$D$162&amp;"|")+1,50),Actuals!$F:$F,"GBP")*$H$5)</f>
        <v/>
      </c>
      <c r="J163" s="18">
        <f>IF(OR($B$162="",3&gt;$C$4),"",SUMIFS(Actuals!$G:$G,Actuals!$B:$B,$C$3,Actuals!$C:$C,3,Actuals!$D:$D,$B$162,Actuals!$A:$A,LEFT($D$162,FIND("|",$D$162&amp;"|")-1),Actuals!$E:$E,MID($D$162,FIND("|",$D$162&amp;"|")+1,50),Actuals!$F:$F,"JPY")*$E$5+SUMIFS(Actuals!$G:$G,Actuals!$B:$B,$C$3,Actuals!$C:$C,3,Actuals!$D:$D,$B$162,Actuals!$A:$A,LEFT($D$162,FIND("|",$D$162&amp;"|")-1),Actuals!$E:$E,MID($D$162,FIND("|",$D$162&amp;"|")+1,50),Actuals!$F:$F,"USD")*$F$5+SUMIFS(Actuals!$G:$G,Actuals!$B:$B,$C$3,Actuals!$C:$C,3,Actuals!$D:$D,$B$162,Actuals!$A:$A,LEFT($D$162,FIND("|",$D$162&amp;"|")-1),Actuals!$E:$E,MID($D$162,FIND("|",$D$162&amp;"|")+1,50),Actuals!$F:$F,"EUR")*$G$5+SUMIFS(Actuals!$G:$G,Actuals!$B:$B,$C$3,Actuals!$C:$C,3,Actuals!$D:$D,$B$162,Actuals!$A:$A,LEFT($D$162,FIND("|",$D$162&amp;"|")-1),Actuals!$E:$E,MID($D$162,FIND("|",$D$162&amp;"|")+1,50),Actuals!$F:$F,"GBP")*$H$5)</f>
        <v/>
      </c>
      <c r="K163" s="18">
        <f>IF(OR($B$162="",4&gt;$C$4),"",SUMIFS(Actuals!$G:$G,Actuals!$B:$B,$C$3,Actuals!$C:$C,4,Actuals!$D:$D,$B$162,Actuals!$A:$A,LEFT($D$162,FIND("|",$D$162&amp;"|")-1),Actuals!$E:$E,MID($D$162,FIND("|",$D$162&amp;"|")+1,50),Actuals!$F:$F,"JPY")*$E$5+SUMIFS(Actuals!$G:$G,Actuals!$B:$B,$C$3,Actuals!$C:$C,4,Actuals!$D:$D,$B$162,Actuals!$A:$A,LEFT($D$162,FIND("|",$D$162&amp;"|")-1),Actuals!$E:$E,MID($D$162,FIND("|",$D$162&amp;"|")+1,50),Actuals!$F:$F,"USD")*$F$5+SUMIFS(Actuals!$G:$G,Actuals!$B:$B,$C$3,Actuals!$C:$C,4,Actuals!$D:$D,$B$162,Actuals!$A:$A,LEFT($D$162,FIND("|",$D$162&amp;"|")-1),Actuals!$E:$E,MID($D$162,FIND("|",$D$162&amp;"|")+1,50),Actuals!$F:$F,"EUR")*$G$5+SUMIFS(Actuals!$G:$G,Actuals!$B:$B,$C$3,Actuals!$C:$C,4,Actuals!$D:$D,$B$162,Actuals!$A:$A,LEFT($D$162,FIND("|",$D$162&amp;"|")-1),Actuals!$E:$E,MID($D$162,FIND("|",$D$162&amp;"|")+1,50),Actuals!$F:$F,"GBP")*$H$5)</f>
        <v/>
      </c>
      <c r="L163" s="18">
        <f>IF(OR($B$162="",5&gt;$C$4),"",SUMIFS(Actuals!$G:$G,Actuals!$B:$B,$C$3,Actuals!$C:$C,5,Actuals!$D:$D,$B$162,Actuals!$A:$A,LEFT($D$162,FIND("|",$D$162&amp;"|")-1),Actuals!$E:$E,MID($D$162,FIND("|",$D$162&amp;"|")+1,50),Actuals!$F:$F,"JPY")*$E$5+SUMIFS(Actuals!$G:$G,Actuals!$B:$B,$C$3,Actuals!$C:$C,5,Actuals!$D:$D,$B$162,Actuals!$A:$A,LEFT($D$162,FIND("|",$D$162&amp;"|")-1),Actuals!$E:$E,MID($D$162,FIND("|",$D$162&amp;"|")+1,50),Actuals!$F:$F,"USD")*$F$5+SUMIFS(Actuals!$G:$G,Actuals!$B:$B,$C$3,Actuals!$C:$C,5,Actuals!$D:$D,$B$162,Actuals!$A:$A,LEFT($D$162,FIND("|",$D$162&amp;"|")-1),Actuals!$E:$E,MID($D$162,FIND("|",$D$162&amp;"|")+1,50),Actuals!$F:$F,"EUR")*$G$5+SUMIFS(Actuals!$G:$G,Actuals!$B:$B,$C$3,Actuals!$C:$C,5,Actuals!$D:$D,$B$162,Actuals!$A:$A,LEFT($D$162,FIND("|",$D$162&amp;"|")-1),Actuals!$E:$E,MID($D$162,FIND("|",$D$162&amp;"|")+1,50),Actuals!$F:$F,"GBP")*$H$5)</f>
        <v/>
      </c>
      <c r="M163" s="18">
        <f>IF(OR($B$162="",6&gt;$C$4),"",SUMIFS(Actuals!$G:$G,Actuals!$B:$B,$C$3,Actuals!$C:$C,6,Actuals!$D:$D,$B$162,Actuals!$A:$A,LEFT($D$162,FIND("|",$D$162&amp;"|")-1),Actuals!$E:$E,MID($D$162,FIND("|",$D$162&amp;"|")+1,50),Actuals!$F:$F,"JPY")*$E$5+SUMIFS(Actuals!$G:$G,Actuals!$B:$B,$C$3,Actuals!$C:$C,6,Actuals!$D:$D,$B$162,Actuals!$A:$A,LEFT($D$162,FIND("|",$D$162&amp;"|")-1),Actuals!$E:$E,MID($D$162,FIND("|",$D$162&amp;"|")+1,50),Actuals!$F:$F,"USD")*$F$5+SUMIFS(Actuals!$G:$G,Actuals!$B:$B,$C$3,Actuals!$C:$C,6,Actuals!$D:$D,$B$162,Actuals!$A:$A,LEFT($D$162,FIND("|",$D$162&amp;"|")-1),Actuals!$E:$E,MID($D$162,FIND("|",$D$162&amp;"|")+1,50),Actuals!$F:$F,"EUR")*$G$5+SUMIFS(Actuals!$G:$G,Actuals!$B:$B,$C$3,Actuals!$C:$C,6,Actuals!$D:$D,$B$162,Actuals!$A:$A,LEFT($D$162,FIND("|",$D$162&amp;"|")-1),Actuals!$E:$E,MID($D$162,FIND("|",$D$162&amp;"|")+1,50),Actuals!$F:$F,"GBP")*$H$5)</f>
        <v/>
      </c>
      <c r="N163" s="18">
        <f>IF(OR($B$162="",7&gt;$C$4),"",SUMIFS(Actuals!$G:$G,Actuals!$B:$B,$C$3,Actuals!$C:$C,7,Actuals!$D:$D,$B$162,Actuals!$A:$A,LEFT($D$162,FIND("|",$D$162&amp;"|")-1),Actuals!$E:$E,MID($D$162,FIND("|",$D$162&amp;"|")+1,50),Actuals!$F:$F,"JPY")*$E$5+SUMIFS(Actuals!$G:$G,Actuals!$B:$B,$C$3,Actuals!$C:$C,7,Actuals!$D:$D,$B$162,Actuals!$A:$A,LEFT($D$162,FIND("|",$D$162&amp;"|")-1),Actuals!$E:$E,MID($D$162,FIND("|",$D$162&amp;"|")+1,50),Actuals!$F:$F,"USD")*$F$5+SUMIFS(Actuals!$G:$G,Actuals!$B:$B,$C$3,Actuals!$C:$C,7,Actuals!$D:$D,$B$162,Actuals!$A:$A,LEFT($D$162,FIND("|",$D$162&amp;"|")-1),Actuals!$E:$E,MID($D$162,FIND("|",$D$162&amp;"|")+1,50),Actuals!$F:$F,"EUR")*$G$5+SUMIFS(Actuals!$G:$G,Actuals!$B:$B,$C$3,Actuals!$C:$C,7,Actuals!$D:$D,$B$162,Actuals!$A:$A,LEFT($D$162,FIND("|",$D$162&amp;"|")-1),Actuals!$E:$E,MID($D$162,FIND("|",$D$162&amp;"|")+1,50),Actuals!$F:$F,"GBP")*$H$5)</f>
        <v/>
      </c>
      <c r="O163" s="18">
        <f>IF(OR($B$162="",8&gt;$C$4),"",SUMIFS(Actuals!$G:$G,Actuals!$B:$B,$C$3,Actuals!$C:$C,8,Actuals!$D:$D,$B$162,Actuals!$A:$A,LEFT($D$162,FIND("|",$D$162&amp;"|")-1),Actuals!$E:$E,MID($D$162,FIND("|",$D$162&amp;"|")+1,50),Actuals!$F:$F,"JPY")*$E$5+SUMIFS(Actuals!$G:$G,Actuals!$B:$B,$C$3,Actuals!$C:$C,8,Actuals!$D:$D,$B$162,Actuals!$A:$A,LEFT($D$162,FIND("|",$D$162&amp;"|")-1),Actuals!$E:$E,MID($D$162,FIND("|",$D$162&amp;"|")+1,50),Actuals!$F:$F,"USD")*$F$5+SUMIFS(Actuals!$G:$G,Actuals!$B:$B,$C$3,Actuals!$C:$C,8,Actuals!$D:$D,$B$162,Actuals!$A:$A,LEFT($D$162,FIND("|",$D$162&amp;"|")-1),Actuals!$E:$E,MID($D$162,FIND("|",$D$162&amp;"|")+1,50),Actuals!$F:$F,"EUR")*$G$5+SUMIFS(Actuals!$G:$G,Actuals!$B:$B,$C$3,Actuals!$C:$C,8,Actuals!$D:$D,$B$162,Actuals!$A:$A,LEFT($D$162,FIND("|",$D$162&amp;"|")-1),Actuals!$E:$E,MID($D$162,FIND("|",$D$162&amp;"|")+1,50),Actuals!$F:$F,"GBP")*$H$5)</f>
        <v/>
      </c>
      <c r="P163" s="18">
        <f>IF(OR($B$162="",9&gt;$C$4),"",SUMIFS(Actuals!$G:$G,Actuals!$B:$B,$C$3,Actuals!$C:$C,9,Actuals!$D:$D,$B$162,Actuals!$A:$A,LEFT($D$162,FIND("|",$D$162&amp;"|")-1),Actuals!$E:$E,MID($D$162,FIND("|",$D$162&amp;"|")+1,50),Actuals!$F:$F,"JPY")*$E$5+SUMIFS(Actuals!$G:$G,Actuals!$B:$B,$C$3,Actuals!$C:$C,9,Actuals!$D:$D,$B$162,Actuals!$A:$A,LEFT($D$162,FIND("|",$D$162&amp;"|")-1),Actuals!$E:$E,MID($D$162,FIND("|",$D$162&amp;"|")+1,50),Actuals!$F:$F,"USD")*$F$5+SUMIFS(Actuals!$G:$G,Actuals!$B:$B,$C$3,Actuals!$C:$C,9,Actuals!$D:$D,$B$162,Actuals!$A:$A,LEFT($D$162,FIND("|",$D$162&amp;"|")-1),Actuals!$E:$E,MID($D$162,FIND("|",$D$162&amp;"|")+1,50),Actuals!$F:$F,"EUR")*$G$5+SUMIFS(Actuals!$G:$G,Actuals!$B:$B,$C$3,Actuals!$C:$C,9,Actuals!$D:$D,$B$162,Actuals!$A:$A,LEFT($D$162,FIND("|",$D$162&amp;"|")-1),Actuals!$E:$E,MID($D$162,FIND("|",$D$162&amp;"|")+1,50),Actuals!$F:$F,"GBP")*$H$5)</f>
        <v/>
      </c>
      <c r="Q163" s="18">
        <f>IF(OR($B$162="",10&gt;$C$4),"",SUMIFS(Actuals!$G:$G,Actuals!$B:$B,$C$3,Actuals!$C:$C,10,Actuals!$D:$D,$B$162,Actuals!$A:$A,LEFT($D$162,FIND("|",$D$162&amp;"|")-1),Actuals!$E:$E,MID($D$162,FIND("|",$D$162&amp;"|")+1,50),Actuals!$F:$F,"JPY")*$E$5+SUMIFS(Actuals!$G:$G,Actuals!$B:$B,$C$3,Actuals!$C:$C,10,Actuals!$D:$D,$B$162,Actuals!$A:$A,LEFT($D$162,FIND("|",$D$162&amp;"|")-1),Actuals!$E:$E,MID($D$162,FIND("|",$D$162&amp;"|")+1,50),Actuals!$F:$F,"USD")*$F$5+SUMIFS(Actuals!$G:$G,Actuals!$B:$B,$C$3,Actuals!$C:$C,10,Actuals!$D:$D,$B$162,Actuals!$A:$A,LEFT($D$162,FIND("|",$D$162&amp;"|")-1),Actuals!$E:$E,MID($D$162,FIND("|",$D$162&amp;"|")+1,50),Actuals!$F:$F,"EUR")*$G$5+SUMIFS(Actuals!$G:$G,Actuals!$B:$B,$C$3,Actuals!$C:$C,10,Actuals!$D:$D,$B$162,Actuals!$A:$A,LEFT($D$162,FIND("|",$D$162&amp;"|")-1),Actuals!$E:$E,MID($D$162,FIND("|",$D$162&amp;"|")+1,50),Actuals!$F:$F,"GBP")*$H$5)</f>
        <v/>
      </c>
      <c r="R163" s="18">
        <f>IF(OR($B$162="",11&gt;$C$4),"",SUMIFS(Actuals!$G:$G,Actuals!$B:$B,$C$3,Actuals!$C:$C,11,Actuals!$D:$D,$B$162,Actuals!$A:$A,LEFT($D$162,FIND("|",$D$162&amp;"|")-1),Actuals!$E:$E,MID($D$162,FIND("|",$D$162&amp;"|")+1,50),Actuals!$F:$F,"JPY")*$E$5+SUMIFS(Actuals!$G:$G,Actuals!$B:$B,$C$3,Actuals!$C:$C,11,Actuals!$D:$D,$B$162,Actuals!$A:$A,LEFT($D$162,FIND("|",$D$162&amp;"|")-1),Actuals!$E:$E,MID($D$162,FIND("|",$D$162&amp;"|")+1,50),Actuals!$F:$F,"USD")*$F$5+SUMIFS(Actuals!$G:$G,Actuals!$B:$B,$C$3,Actuals!$C:$C,11,Actuals!$D:$D,$B$162,Actuals!$A:$A,LEFT($D$162,FIND("|",$D$162&amp;"|")-1),Actuals!$E:$E,MID($D$162,FIND("|",$D$162&amp;"|")+1,50),Actuals!$F:$F,"EUR")*$G$5+SUMIFS(Actuals!$G:$G,Actuals!$B:$B,$C$3,Actuals!$C:$C,11,Actuals!$D:$D,$B$162,Actuals!$A:$A,LEFT($D$162,FIND("|",$D$162&amp;"|")-1),Actuals!$E:$E,MID($D$162,FIND("|",$D$162&amp;"|")+1,50),Actuals!$F:$F,"GBP")*$H$5)</f>
        <v/>
      </c>
      <c r="S163" s="18">
        <f>IF(OR($B$162="",12&gt;$C$4),"",SUMIFS(Actuals!$G:$G,Actuals!$B:$B,$C$3,Actuals!$C:$C,12,Actuals!$D:$D,$B$162,Actuals!$A:$A,LEFT($D$162,FIND("|",$D$162&amp;"|")-1),Actuals!$E:$E,MID($D$162,FIND("|",$D$162&amp;"|")+1,50),Actuals!$F:$F,"JPY")*$E$5+SUMIFS(Actuals!$G:$G,Actuals!$B:$B,$C$3,Actuals!$C:$C,12,Actuals!$D:$D,$B$162,Actuals!$A:$A,LEFT($D$162,FIND("|",$D$162&amp;"|")-1),Actuals!$E:$E,MID($D$162,FIND("|",$D$162&amp;"|")+1,50),Actuals!$F:$F,"USD")*$F$5+SUMIFS(Actuals!$G:$G,Actuals!$B:$B,$C$3,Actuals!$C:$C,12,Actuals!$D:$D,$B$162,Actuals!$A:$A,LEFT($D$162,FIND("|",$D$162&amp;"|")-1),Actuals!$E:$E,MID($D$162,FIND("|",$D$162&amp;"|")+1,50),Actuals!$F:$F,"EUR")*$G$5+SUMIFS(Actuals!$G:$G,Actuals!$B:$B,$C$3,Actuals!$C:$C,12,Actuals!$D:$D,$B$162,Actuals!$A:$A,LEFT($D$162,FIND("|",$D$162&amp;"|")-1),Actuals!$E:$E,MID($D$162,FIND("|",$D$162&amp;"|")+1,50),Actuals!$F:$F,"GBP")*$H$5)</f>
        <v/>
      </c>
      <c r="T163" s="18">
        <f>IF($B$162="","",SUMIF($H$7:$S$7,"&lt;="&amp;$C$4,$H163:$S163))</f>
        <v/>
      </c>
      <c r="U163" s="18" t="n"/>
      <c r="V163" s="18" t="n"/>
      <c r="X163" s="22">
        <f>IF($B163="","",IFERROR(INDEX(Cost_Centers!$E:$E,MATCH($B163,Cost_Centers!$A:$A,0)),"(unknown)"))</f>
        <v/>
      </c>
      <c r="Y163" s="22">
        <f>IF($B163="","",IFERROR(INDEX(Cost_Centers!$D:$D,MATCH($B163,Cost_Centers!$A:$A,0)),"(unknown)"))</f>
        <v/>
      </c>
      <c r="Z163" s="22">
        <f>IF(OR($B163="",$G163&lt;&gt;"Variance vs Budget"),"",ABS(N($V163))+ROW()/1000000000)</f>
        <v/>
      </c>
    </row>
    <row r="164">
      <c r="A164" s="13">
        <f>IF(A$162="","",A$162)</f>
        <v/>
      </c>
      <c r="B164" s="13">
        <f>IF(B$162="","",B$162)</f>
        <v/>
      </c>
      <c r="C164" s="13">
        <f>IF(C$162="","",C$162)</f>
        <v/>
      </c>
      <c r="D164" s="13">
        <f>IF(D$162="","",D$162)</f>
        <v/>
      </c>
      <c r="E164" s="13">
        <f>IF(E$162="","",E$162)</f>
        <v/>
      </c>
      <c r="F164" s="13">
        <f>IF(F$162="","",F$162)</f>
        <v/>
      </c>
      <c r="G164" s="6" t="inlineStr">
        <is>
          <t>Variance vs Budget</t>
        </is>
      </c>
      <c r="H164" s="33">
        <f>IF(OR($B$162="",1&gt;$C$4),"",N(H163)-H162)</f>
        <v/>
      </c>
      <c r="I164" s="33">
        <f>IF(OR($B$162="",2&gt;$C$4),"",N(I163)-I162)</f>
        <v/>
      </c>
      <c r="J164" s="33">
        <f>IF(OR($B$162="",3&gt;$C$4),"",N(J163)-J162)</f>
        <v/>
      </c>
      <c r="K164" s="33">
        <f>IF(OR($B$162="",4&gt;$C$4),"",N(K163)-K162)</f>
        <v/>
      </c>
      <c r="L164" s="33">
        <f>IF(OR($B$162="",5&gt;$C$4),"",N(L163)-L162)</f>
        <v/>
      </c>
      <c r="M164" s="33">
        <f>IF(OR($B$162="",6&gt;$C$4),"",N(M163)-M162)</f>
        <v/>
      </c>
      <c r="N164" s="33">
        <f>IF(OR($B$162="",7&gt;$C$4),"",N(N163)-N162)</f>
        <v/>
      </c>
      <c r="O164" s="33">
        <f>IF(OR($B$162="",8&gt;$C$4),"",N(O163)-O162)</f>
        <v/>
      </c>
      <c r="P164" s="33">
        <f>IF(OR($B$162="",9&gt;$C$4),"",N(P163)-P162)</f>
        <v/>
      </c>
      <c r="Q164" s="33">
        <f>IF(OR($B$162="",10&gt;$C$4),"",N(Q163)-Q162)</f>
        <v/>
      </c>
      <c r="R164" s="33">
        <f>IF(OR($B$162="",11&gt;$C$4),"",N(R163)-R162)</f>
        <v/>
      </c>
      <c r="S164" s="33">
        <f>IF(OR($B$162="",12&gt;$C$4),"",N(S163)-S162)</f>
        <v/>
      </c>
      <c r="T164" s="33">
        <f>IF($B$162="","",T163-T162)</f>
        <v/>
      </c>
      <c r="U164" s="33">
        <f>IF($B$162="","",U166-U162)</f>
        <v/>
      </c>
      <c r="V164" s="33">
        <f>IF($B$162="","",V166-V162)</f>
        <v/>
      </c>
      <c r="X164" s="22">
        <f>IF($B164="","",IFERROR(INDEX(Cost_Centers!$E:$E,MATCH($B164,Cost_Centers!$A:$A,0)),"(unknown)"))</f>
        <v/>
      </c>
      <c r="Y164" s="22">
        <f>IF($B164="","",IFERROR(INDEX(Cost_Centers!$D:$D,MATCH($B164,Cost_Centers!$A:$A,0)),"(unknown)"))</f>
        <v/>
      </c>
      <c r="Z164" s="22">
        <f>IF(OR($B164="",$G164&lt;&gt;"Variance vs Budget"),"",ABS(N($V164))+ROW()/1000000000)</f>
        <v/>
      </c>
    </row>
    <row r="165">
      <c r="A165" s="13">
        <f>IF(A$162="","",A$162)</f>
        <v/>
      </c>
      <c r="B165" s="13">
        <f>IF(B$162="","",B$162)</f>
        <v/>
      </c>
      <c r="C165" s="13">
        <f>IF(C$162="","",C$162)</f>
        <v/>
      </c>
      <c r="D165" s="13">
        <f>IF(D$162="","",D$162)</f>
        <v/>
      </c>
      <c r="E165" s="13">
        <f>IF(E$162="","",E$162)</f>
        <v/>
      </c>
      <c r="F165" s="13">
        <f>IF(F$162="","",F$162)</f>
        <v/>
      </c>
      <c r="G165" s="7" t="inlineStr">
        <is>
          <t>Forecast (input)</t>
        </is>
      </c>
      <c r="H165" s="34" t="n"/>
      <c r="I165" s="34" t="n"/>
      <c r="J165" s="34" t="n"/>
      <c r="K165" s="34" t="n"/>
      <c r="L165" s="34" t="n"/>
      <c r="M165" s="34" t="n"/>
      <c r="N165" s="34" t="n"/>
      <c r="O165" s="34" t="n"/>
      <c r="P165" s="34" t="n"/>
      <c r="Q165" s="34" t="n"/>
      <c r="R165" s="34" t="n"/>
      <c r="S165" s="34" t="n"/>
      <c r="T165" s="18" t="n"/>
      <c r="U165" s="18" t="n"/>
      <c r="V165" s="18" t="n"/>
      <c r="X165" s="22">
        <f>IF($B165="","",IFERROR(INDEX(Cost_Centers!$E:$E,MATCH($B165,Cost_Centers!$A:$A,0)),"(unknown)"))</f>
        <v/>
      </c>
      <c r="Y165" s="22">
        <f>IF($B165="","",IFERROR(INDEX(Cost_Centers!$D:$D,MATCH($B165,Cost_Centers!$A:$A,0)),"(unknown)"))</f>
        <v/>
      </c>
      <c r="Z165" s="22">
        <f>IF(OR($B165="",$G165&lt;&gt;"Variance vs Budget"),"",ABS(N($V165))+ROW()/1000000000)</f>
        <v/>
      </c>
    </row>
    <row r="166">
      <c r="A166" s="13">
        <f>IF(A$162="","",A$162)</f>
        <v/>
      </c>
      <c r="B166" s="13">
        <f>IF(B$162="","",B$162)</f>
        <v/>
      </c>
      <c r="C166" s="13">
        <f>IF(C$162="","",C$162)</f>
        <v/>
      </c>
      <c r="D166" s="13">
        <f>IF(D$162="","",D$162)</f>
        <v/>
      </c>
      <c r="E166" s="13">
        <f>IF(E$162="","",E$162)</f>
        <v/>
      </c>
      <c r="F166" s="13">
        <f>IF(F$162="","",F$162)</f>
        <v/>
      </c>
      <c r="G166" s="35" t="inlineStr">
        <is>
          <t>Actual + Forecast</t>
        </is>
      </c>
      <c r="H166" s="18">
        <f>IF($B$162="","",IF(1&lt;=$C$4,N(H163),IF(H165="",H162,H165)))</f>
        <v/>
      </c>
      <c r="I166" s="18">
        <f>IF($B$162="","",IF(2&lt;=$C$4,N(I163),IF(I165="",I162,I165)))</f>
        <v/>
      </c>
      <c r="J166" s="18">
        <f>IF($B$162="","",IF(3&lt;=$C$4,N(J163),IF(J165="",J162,J165)))</f>
        <v/>
      </c>
      <c r="K166" s="18">
        <f>IF($B$162="","",IF(4&lt;=$C$4,N(K163),IF(K165="",K162,K165)))</f>
        <v/>
      </c>
      <c r="L166" s="18">
        <f>IF($B$162="","",IF(5&lt;=$C$4,N(L163),IF(L165="",L162,L165)))</f>
        <v/>
      </c>
      <c r="M166" s="18">
        <f>IF($B$162="","",IF(6&lt;=$C$4,N(M163),IF(M165="",M162,M165)))</f>
        <v/>
      </c>
      <c r="N166" s="18">
        <f>IF($B$162="","",IF(7&lt;=$C$4,N(N163),IF(N165="",N162,N165)))</f>
        <v/>
      </c>
      <c r="O166" s="18">
        <f>IF($B$162="","",IF(8&lt;=$C$4,N(O163),IF(O165="",O162,O165)))</f>
        <v/>
      </c>
      <c r="P166" s="18">
        <f>IF($B$162="","",IF(9&lt;=$C$4,N(P163),IF(P165="",P162,P165)))</f>
        <v/>
      </c>
      <c r="Q166" s="18">
        <f>IF($B$162="","",IF(10&lt;=$C$4,N(Q163),IF(Q165="",Q162,Q165)))</f>
        <v/>
      </c>
      <c r="R166" s="18">
        <f>IF($B$162="","",IF(11&lt;=$C$4,N(R163),IF(R165="",R162,R165)))</f>
        <v/>
      </c>
      <c r="S166" s="18">
        <f>IF($B$162="","",IF(12&lt;=$C$4,N(S163),IF(S165="",S162,S165)))</f>
        <v/>
      </c>
      <c r="T166" s="18">
        <f>IF($B$162="","",SUMIF($H$7:$S$7,"&lt;="&amp;$C$4,$H166:$S166))</f>
        <v/>
      </c>
      <c r="U166" s="18">
        <f>IF($B$162="","",SUMIF($H$7:$S$7,"&gt;"&amp;$C$4,$H166:$S166))</f>
        <v/>
      </c>
      <c r="V166" s="18">
        <f>IF($B$162="","",SUM($H166:$S166))</f>
        <v/>
      </c>
      <c r="X166" s="22">
        <f>IF($B166="","",IFERROR(INDEX(Cost_Centers!$E:$E,MATCH($B166,Cost_Centers!$A:$A,0)),"(unknown)"))</f>
        <v/>
      </c>
      <c r="Y166" s="22">
        <f>IF($B166="","",IFERROR(INDEX(Cost_Centers!$D:$D,MATCH($B166,Cost_Centers!$A:$A,0)),"(unknown)"))</f>
        <v/>
      </c>
      <c r="Z166" s="22">
        <f>IF(OR($B166="",$G166&lt;&gt;"Variance vs Budget"),"",ABS(N($V166))+ROW()/1000000000)</f>
        <v/>
      </c>
    </row>
    <row r="167">
      <c r="A167" s="13">
        <f>IF(A$162="","",A$162)</f>
        <v/>
      </c>
      <c r="B167" s="13">
        <f>IF(B$162="","",B$162)</f>
        <v/>
      </c>
      <c r="C167" s="13">
        <f>IF(C$162="","",C$162)</f>
        <v/>
      </c>
      <c r="D167" s="13">
        <f>IF(D$162="","",D$162)</f>
        <v/>
      </c>
      <c r="E167" s="13">
        <f>IF(E$162="","",E$162)</f>
        <v/>
      </c>
      <c r="F167" s="13">
        <f>IF(F$162="","",F$162)</f>
        <v/>
      </c>
      <c r="G167" s="36" t="inlineStr">
        <is>
          <t>Prior Month Forecast</t>
        </is>
      </c>
      <c r="H167" s="37">
        <f>IF($B$162="","",IF(COUNTIFS(Prior_Forecast!$A:$A,$B$162,Prior_Forecast!$B:$B,$D$162)&gt;0,SUMIFS(Prior_Forecast!$C:$C,Prior_Forecast!$A:$A,$B$162,Prior_Forecast!$B:$B,$D$162),""))</f>
        <v/>
      </c>
      <c r="I167" s="37">
        <f>IF($B$162="","",IF(COUNTIFS(Prior_Forecast!$A:$A,$B$162,Prior_Forecast!$B:$B,$D$162)&gt;0,SUMIFS(Prior_Forecast!$D:$D,Prior_Forecast!$A:$A,$B$162,Prior_Forecast!$B:$B,$D$162),""))</f>
        <v/>
      </c>
      <c r="J167" s="37">
        <f>IF($B$162="","",IF(COUNTIFS(Prior_Forecast!$A:$A,$B$162,Prior_Forecast!$B:$B,$D$162)&gt;0,SUMIFS(Prior_Forecast!$E:$E,Prior_Forecast!$A:$A,$B$162,Prior_Forecast!$B:$B,$D$162),""))</f>
        <v/>
      </c>
      <c r="K167" s="37">
        <f>IF($B$162="","",IF(COUNTIFS(Prior_Forecast!$A:$A,$B$162,Prior_Forecast!$B:$B,$D$162)&gt;0,SUMIFS(Prior_Forecast!$F:$F,Prior_Forecast!$A:$A,$B$162,Prior_Forecast!$B:$B,$D$162),""))</f>
        <v/>
      </c>
      <c r="L167" s="37">
        <f>IF($B$162="","",IF(COUNTIFS(Prior_Forecast!$A:$A,$B$162,Prior_Forecast!$B:$B,$D$162)&gt;0,SUMIFS(Prior_Forecast!$G:$G,Prior_Forecast!$A:$A,$B$162,Prior_Forecast!$B:$B,$D$162),""))</f>
        <v/>
      </c>
      <c r="M167" s="37">
        <f>IF($B$162="","",IF(COUNTIFS(Prior_Forecast!$A:$A,$B$162,Prior_Forecast!$B:$B,$D$162)&gt;0,SUMIFS(Prior_Forecast!$H:$H,Prior_Forecast!$A:$A,$B$162,Prior_Forecast!$B:$B,$D$162),""))</f>
        <v/>
      </c>
      <c r="N167" s="37">
        <f>IF($B$162="","",IF(COUNTIFS(Prior_Forecast!$A:$A,$B$162,Prior_Forecast!$B:$B,$D$162)&gt;0,SUMIFS(Prior_Forecast!$I:$I,Prior_Forecast!$A:$A,$B$162,Prior_Forecast!$B:$B,$D$162),""))</f>
        <v/>
      </c>
      <c r="O167" s="37">
        <f>IF($B$162="","",IF(COUNTIFS(Prior_Forecast!$A:$A,$B$162,Prior_Forecast!$B:$B,$D$162)&gt;0,SUMIFS(Prior_Forecast!$J:$J,Prior_Forecast!$A:$A,$B$162,Prior_Forecast!$B:$B,$D$162),""))</f>
        <v/>
      </c>
      <c r="P167" s="37">
        <f>IF($B$162="","",IF(COUNTIFS(Prior_Forecast!$A:$A,$B$162,Prior_Forecast!$B:$B,$D$162)&gt;0,SUMIFS(Prior_Forecast!$K:$K,Prior_Forecast!$A:$A,$B$162,Prior_Forecast!$B:$B,$D$162),""))</f>
        <v/>
      </c>
      <c r="Q167" s="37">
        <f>IF($B$162="","",IF(COUNTIFS(Prior_Forecast!$A:$A,$B$162,Prior_Forecast!$B:$B,$D$162)&gt;0,SUMIFS(Prior_Forecast!$L:$L,Prior_Forecast!$A:$A,$B$162,Prior_Forecast!$B:$B,$D$162),""))</f>
        <v/>
      </c>
      <c r="R167" s="37">
        <f>IF($B$162="","",IF(COUNTIFS(Prior_Forecast!$A:$A,$B$162,Prior_Forecast!$B:$B,$D$162)&gt;0,SUMIFS(Prior_Forecast!$M:$M,Prior_Forecast!$A:$A,$B$162,Prior_Forecast!$B:$B,$D$162),""))</f>
        <v/>
      </c>
      <c r="S167" s="37">
        <f>IF($B$162="","",IF(COUNTIFS(Prior_Forecast!$A:$A,$B$162,Prior_Forecast!$B:$B,$D$162)&gt;0,SUMIFS(Prior_Forecast!$N:$N,Prior_Forecast!$A:$A,$B$162,Prior_Forecast!$B:$B,$D$162),""))</f>
        <v/>
      </c>
      <c r="T167" s="37">
        <f>IF($B$162="","",IF(COUNTIFS(Prior_Forecast!$A:$A,$B$162,Prior_Forecast!$B:$B,$D$162)&gt;0,SUMIFS(Prior_Forecast!$O:$O,Prior_Forecast!$A:$A,$B$162,Prior_Forecast!$B:$B,$D$162),""))</f>
        <v/>
      </c>
      <c r="U167" s="37">
        <f>IF($B$162="","",IF(COUNTIFS(Prior_Forecast!$A:$A,$B$162,Prior_Forecast!$B:$B,$D$162)&gt;0,SUMIFS(Prior_Forecast!$P:$P,Prior_Forecast!$A:$A,$B$162,Prior_Forecast!$B:$B,$D$162),""))</f>
        <v/>
      </c>
      <c r="V167" s="37">
        <f>IF($B$162="","",IF(COUNTIFS(Prior_Forecast!$A:$A,$B$162,Prior_Forecast!$B:$B,$D$162)&gt;0,SUMIFS(Prior_Forecast!$Q:$Q,Prior_Forecast!$A:$A,$B$162,Prior_Forecast!$B:$B,$D$162),""))</f>
        <v/>
      </c>
      <c r="X167" s="22">
        <f>IF($B167="","",IFERROR(INDEX(Cost_Centers!$E:$E,MATCH($B167,Cost_Centers!$A:$A,0)),"(unknown)"))</f>
        <v/>
      </c>
      <c r="Y167" s="22">
        <f>IF($B167="","",IFERROR(INDEX(Cost_Centers!$D:$D,MATCH($B167,Cost_Centers!$A:$A,0)),"(unknown)"))</f>
        <v/>
      </c>
      <c r="Z167" s="22">
        <f>IF(OR($B167="",$G167&lt;&gt;"Variance vs Budget"),"",ABS(N($V167))+ROW()/1000000000)</f>
        <v/>
      </c>
    </row>
    <row r="168">
      <c r="A168" s="13">
        <f>IF(A$162="","",A$162)</f>
        <v/>
      </c>
      <c r="B168" s="13">
        <f>IF(B$162="","",B$162)</f>
        <v/>
      </c>
      <c r="C168" s="13">
        <f>IF(C$162="","",C$162)</f>
        <v/>
      </c>
      <c r="D168" s="13">
        <f>IF(D$162="","",D$162)</f>
        <v/>
      </c>
      <c r="E168" s="13">
        <f>IF(E$162="","",E$162)</f>
        <v/>
      </c>
      <c r="F168" s="13">
        <f>IF(F$162="","",F$162)</f>
        <v/>
      </c>
      <c r="G168" s="6" t="inlineStr">
        <is>
          <t>Variance vs Prior Month</t>
        </is>
      </c>
      <c r="H168" s="33">
        <f>IF(OR($B$162="",H167=""),"",H166-H167)</f>
        <v/>
      </c>
      <c r="I168" s="33">
        <f>IF(OR($B$162="",I167=""),"",I166-I167)</f>
        <v/>
      </c>
      <c r="J168" s="33">
        <f>IF(OR($B$162="",J167=""),"",J166-J167)</f>
        <v/>
      </c>
      <c r="K168" s="33">
        <f>IF(OR($B$162="",K167=""),"",K166-K167)</f>
        <v/>
      </c>
      <c r="L168" s="33">
        <f>IF(OR($B$162="",L167=""),"",L166-L167)</f>
        <v/>
      </c>
      <c r="M168" s="33">
        <f>IF(OR($B$162="",M167=""),"",M166-M167)</f>
        <v/>
      </c>
      <c r="N168" s="33">
        <f>IF(OR($B$162="",N167=""),"",N166-N167)</f>
        <v/>
      </c>
      <c r="O168" s="33">
        <f>IF(OR($B$162="",O167=""),"",O166-O167)</f>
        <v/>
      </c>
      <c r="P168" s="33">
        <f>IF(OR($B$162="",P167=""),"",P166-P167)</f>
        <v/>
      </c>
      <c r="Q168" s="33">
        <f>IF(OR($B$162="",Q167=""),"",Q166-Q167)</f>
        <v/>
      </c>
      <c r="R168" s="33">
        <f>IF(OR($B$162="",R167=""),"",R166-R167)</f>
        <v/>
      </c>
      <c r="S168" s="33">
        <f>IF(OR($B$162="",S167=""),"",S166-S167)</f>
        <v/>
      </c>
      <c r="T168" s="33">
        <f>IF(OR($B$162="",T167=""),"",T166-T167)</f>
        <v/>
      </c>
      <c r="U168" s="33">
        <f>IF(OR($B$162="",U167=""),"",U166-U167)</f>
        <v/>
      </c>
      <c r="V168" s="33">
        <f>IF(OR($B$162="",V167=""),"",V166-V167)</f>
        <v/>
      </c>
      <c r="X168" s="22">
        <f>IF($B168="","",IFERROR(INDEX(Cost_Centers!$E:$E,MATCH($B168,Cost_Centers!$A:$A,0)),"(unknown)"))</f>
        <v/>
      </c>
      <c r="Y168" s="22">
        <f>IF($B168="","",IFERROR(INDEX(Cost_Centers!$D:$D,MATCH($B168,Cost_Centers!$A:$A,0)),"(unknown)"))</f>
        <v/>
      </c>
      <c r="Z168" s="22">
        <f>IF(OR($B168="",$G168&lt;&gt;"Variance vs Budget"),"",ABS(N($V168))+ROW()/1000000000)</f>
        <v/>
      </c>
    </row>
    <row r="169" ht="45" customHeight="1">
      <c r="A169" s="13">
        <f>IF(A$162="","",A$162)</f>
        <v/>
      </c>
      <c r="B169" s="13">
        <f>IF(B$162="","",B$162)</f>
        <v/>
      </c>
      <c r="C169" s="13">
        <f>IF(C$162="","",C$162)</f>
        <v/>
      </c>
      <c r="D169" s="13">
        <f>IF(D$162="","",D$162)</f>
        <v/>
      </c>
      <c r="E169" s="13">
        <f>IF(E$162="","",E$162)</f>
        <v/>
      </c>
      <c r="F169" s="13">
        <f>IF(F$162="","",F$162)</f>
        <v/>
      </c>
      <c r="G169" s="7" t="inlineStr">
        <is>
          <t>Rationale</t>
        </is>
      </c>
      <c r="H169" s="38" t="n"/>
      <c r="I169" s="38" t="n"/>
      <c r="J169" s="38" t="n"/>
      <c r="K169" s="38" t="n"/>
      <c r="L169" s="38" t="n"/>
      <c r="M169" s="38" t="n"/>
      <c r="N169" s="38" t="n"/>
      <c r="O169" s="38" t="n"/>
      <c r="P169" s="38" t="n"/>
      <c r="Q169" s="38" t="n"/>
      <c r="R169" s="38" t="n"/>
      <c r="S169" s="38" t="n"/>
      <c r="T169" s="38" t="n"/>
      <c r="U169" s="38" t="n"/>
      <c r="V169" s="7" t="n"/>
      <c r="X169" s="22">
        <f>IF($B169="","",IFERROR(INDEX(Cost_Centers!$E:$E,MATCH($B169,Cost_Centers!$A:$A,0)),"(unknown)"))</f>
        <v/>
      </c>
      <c r="Y169" s="22">
        <f>IF($B169="","",IFERROR(INDEX(Cost_Centers!$D:$D,MATCH($B169,Cost_Centers!$A:$A,0)),"(unknown)"))</f>
        <v/>
      </c>
      <c r="Z169" s="22">
        <f>IF(OR($B169="",$G169&lt;&gt;"Variance vs Budget"),"",ABS(N($V169))+ROW()/1000000000)</f>
        <v/>
      </c>
    </row>
    <row r="170">
      <c r="A170" s="30">
        <f>IF($D$170="","",LEFT($D$170,FIND("|",$D$170&amp;"|")-1))</f>
        <v/>
      </c>
      <c r="B170" s="31" t="n"/>
      <c r="C170" s="30">
        <f>IF($B$170="","",IFERROR(INDEX(Cost_Centers!$B:$B,MATCH($B$170,Cost_Centers!$A:$A,0)),"(not in master)"))</f>
        <v/>
      </c>
      <c r="D170" s="31" t="n"/>
      <c r="E170" s="30">
        <f>IF($D$170="","",IFERROR(INDEX(Accounts!$D:$D,MATCH($D$170,Accounts!$A:$A,0)),"(not in master)"))</f>
        <v/>
      </c>
      <c r="F170" s="31" t="n"/>
      <c r="G170" s="30" t="inlineStr">
        <is>
          <t>Budget</t>
        </is>
      </c>
      <c r="H170" s="32">
        <f>IF($B$170="","",SUMIFS(Opex_Budget!$O:$O,Opex_Budget!$A:$A,$C$3,Opex_Budget!$E:$E,$B$170,Opex_Budget!$F:$F,$D$170,Opex_Budget!$N:$N,"JPY")*$E$5+SUMIFS(Opex_Budget!$O:$O,Opex_Budget!$A:$A,$C$3,Opex_Budget!$E:$E,$B$170,Opex_Budget!$F:$F,$D$170,Opex_Budget!$N:$N,"USD")*$F$5+SUMIFS(Opex_Budget!$O:$O,Opex_Budget!$A:$A,$C$3,Opex_Budget!$E:$E,$B$170,Opex_Budget!$F:$F,$D$170,Opex_Budget!$N:$N,"EUR")*$G$5+SUMIFS(Opex_Budget!$O:$O,Opex_Budget!$A:$A,$C$3,Opex_Budget!$E:$E,$B$170,Opex_Budget!$F:$F,$D$170,Opex_Budget!$N:$N,"GBP")*$H$5)</f>
        <v/>
      </c>
      <c r="I170" s="32">
        <f>IF($B$170="","",SUMIFS(Opex_Budget!$P:$P,Opex_Budget!$A:$A,$C$3,Opex_Budget!$E:$E,$B$170,Opex_Budget!$F:$F,$D$170,Opex_Budget!$N:$N,"JPY")*$E$5+SUMIFS(Opex_Budget!$P:$P,Opex_Budget!$A:$A,$C$3,Opex_Budget!$E:$E,$B$170,Opex_Budget!$F:$F,$D$170,Opex_Budget!$N:$N,"USD")*$F$5+SUMIFS(Opex_Budget!$P:$P,Opex_Budget!$A:$A,$C$3,Opex_Budget!$E:$E,$B$170,Opex_Budget!$F:$F,$D$170,Opex_Budget!$N:$N,"EUR")*$G$5+SUMIFS(Opex_Budget!$P:$P,Opex_Budget!$A:$A,$C$3,Opex_Budget!$E:$E,$B$170,Opex_Budget!$F:$F,$D$170,Opex_Budget!$N:$N,"GBP")*$H$5)</f>
        <v/>
      </c>
      <c r="J170" s="32">
        <f>IF($B$170="","",SUMIFS(Opex_Budget!$Q:$Q,Opex_Budget!$A:$A,$C$3,Opex_Budget!$E:$E,$B$170,Opex_Budget!$F:$F,$D$170,Opex_Budget!$N:$N,"JPY")*$E$5+SUMIFS(Opex_Budget!$Q:$Q,Opex_Budget!$A:$A,$C$3,Opex_Budget!$E:$E,$B$170,Opex_Budget!$F:$F,$D$170,Opex_Budget!$N:$N,"USD")*$F$5+SUMIFS(Opex_Budget!$Q:$Q,Opex_Budget!$A:$A,$C$3,Opex_Budget!$E:$E,$B$170,Opex_Budget!$F:$F,$D$170,Opex_Budget!$N:$N,"EUR")*$G$5+SUMIFS(Opex_Budget!$Q:$Q,Opex_Budget!$A:$A,$C$3,Opex_Budget!$E:$E,$B$170,Opex_Budget!$F:$F,$D$170,Opex_Budget!$N:$N,"GBP")*$H$5)</f>
        <v/>
      </c>
      <c r="K170" s="32">
        <f>IF($B$170="","",SUMIFS(Opex_Budget!$R:$R,Opex_Budget!$A:$A,$C$3,Opex_Budget!$E:$E,$B$170,Opex_Budget!$F:$F,$D$170,Opex_Budget!$N:$N,"JPY")*$E$5+SUMIFS(Opex_Budget!$R:$R,Opex_Budget!$A:$A,$C$3,Opex_Budget!$E:$E,$B$170,Opex_Budget!$F:$F,$D$170,Opex_Budget!$N:$N,"USD")*$F$5+SUMIFS(Opex_Budget!$R:$R,Opex_Budget!$A:$A,$C$3,Opex_Budget!$E:$E,$B$170,Opex_Budget!$F:$F,$D$170,Opex_Budget!$N:$N,"EUR")*$G$5+SUMIFS(Opex_Budget!$R:$R,Opex_Budget!$A:$A,$C$3,Opex_Budget!$E:$E,$B$170,Opex_Budget!$F:$F,$D$170,Opex_Budget!$N:$N,"GBP")*$H$5)</f>
        <v/>
      </c>
      <c r="L170" s="32">
        <f>IF($B$170="","",SUMIFS(Opex_Budget!$S:$S,Opex_Budget!$A:$A,$C$3,Opex_Budget!$E:$E,$B$170,Opex_Budget!$F:$F,$D$170,Opex_Budget!$N:$N,"JPY")*$E$5+SUMIFS(Opex_Budget!$S:$S,Opex_Budget!$A:$A,$C$3,Opex_Budget!$E:$E,$B$170,Opex_Budget!$F:$F,$D$170,Opex_Budget!$N:$N,"USD")*$F$5+SUMIFS(Opex_Budget!$S:$S,Opex_Budget!$A:$A,$C$3,Opex_Budget!$E:$E,$B$170,Opex_Budget!$F:$F,$D$170,Opex_Budget!$N:$N,"EUR")*$G$5+SUMIFS(Opex_Budget!$S:$S,Opex_Budget!$A:$A,$C$3,Opex_Budget!$E:$E,$B$170,Opex_Budget!$F:$F,$D$170,Opex_Budget!$N:$N,"GBP")*$H$5)</f>
        <v/>
      </c>
      <c r="M170" s="32">
        <f>IF($B$170="","",SUMIFS(Opex_Budget!$T:$T,Opex_Budget!$A:$A,$C$3,Opex_Budget!$E:$E,$B$170,Opex_Budget!$F:$F,$D$170,Opex_Budget!$N:$N,"JPY")*$E$5+SUMIFS(Opex_Budget!$T:$T,Opex_Budget!$A:$A,$C$3,Opex_Budget!$E:$E,$B$170,Opex_Budget!$F:$F,$D$170,Opex_Budget!$N:$N,"USD")*$F$5+SUMIFS(Opex_Budget!$T:$T,Opex_Budget!$A:$A,$C$3,Opex_Budget!$E:$E,$B$170,Opex_Budget!$F:$F,$D$170,Opex_Budget!$N:$N,"EUR")*$G$5+SUMIFS(Opex_Budget!$T:$T,Opex_Budget!$A:$A,$C$3,Opex_Budget!$E:$E,$B$170,Opex_Budget!$F:$F,$D$170,Opex_Budget!$N:$N,"GBP")*$H$5)</f>
        <v/>
      </c>
      <c r="N170" s="32">
        <f>IF($B$170="","",SUMIFS(Opex_Budget!$U:$U,Opex_Budget!$A:$A,$C$3,Opex_Budget!$E:$E,$B$170,Opex_Budget!$F:$F,$D$170,Opex_Budget!$N:$N,"JPY")*$E$5+SUMIFS(Opex_Budget!$U:$U,Opex_Budget!$A:$A,$C$3,Opex_Budget!$E:$E,$B$170,Opex_Budget!$F:$F,$D$170,Opex_Budget!$N:$N,"USD")*$F$5+SUMIFS(Opex_Budget!$U:$U,Opex_Budget!$A:$A,$C$3,Opex_Budget!$E:$E,$B$170,Opex_Budget!$F:$F,$D$170,Opex_Budget!$N:$N,"EUR")*$G$5+SUMIFS(Opex_Budget!$U:$U,Opex_Budget!$A:$A,$C$3,Opex_Budget!$E:$E,$B$170,Opex_Budget!$F:$F,$D$170,Opex_Budget!$N:$N,"GBP")*$H$5)</f>
        <v/>
      </c>
      <c r="O170" s="32">
        <f>IF($B$170="","",SUMIFS(Opex_Budget!$V:$V,Opex_Budget!$A:$A,$C$3,Opex_Budget!$E:$E,$B$170,Opex_Budget!$F:$F,$D$170,Opex_Budget!$N:$N,"JPY")*$E$5+SUMIFS(Opex_Budget!$V:$V,Opex_Budget!$A:$A,$C$3,Opex_Budget!$E:$E,$B$170,Opex_Budget!$F:$F,$D$170,Opex_Budget!$N:$N,"USD")*$F$5+SUMIFS(Opex_Budget!$V:$V,Opex_Budget!$A:$A,$C$3,Opex_Budget!$E:$E,$B$170,Opex_Budget!$F:$F,$D$170,Opex_Budget!$N:$N,"EUR")*$G$5+SUMIFS(Opex_Budget!$V:$V,Opex_Budget!$A:$A,$C$3,Opex_Budget!$E:$E,$B$170,Opex_Budget!$F:$F,$D$170,Opex_Budget!$N:$N,"GBP")*$H$5)</f>
        <v/>
      </c>
      <c r="P170" s="32">
        <f>IF($B$170="","",SUMIFS(Opex_Budget!$W:$W,Opex_Budget!$A:$A,$C$3,Opex_Budget!$E:$E,$B$170,Opex_Budget!$F:$F,$D$170,Opex_Budget!$N:$N,"JPY")*$E$5+SUMIFS(Opex_Budget!$W:$W,Opex_Budget!$A:$A,$C$3,Opex_Budget!$E:$E,$B$170,Opex_Budget!$F:$F,$D$170,Opex_Budget!$N:$N,"USD")*$F$5+SUMIFS(Opex_Budget!$W:$W,Opex_Budget!$A:$A,$C$3,Opex_Budget!$E:$E,$B$170,Opex_Budget!$F:$F,$D$170,Opex_Budget!$N:$N,"EUR")*$G$5+SUMIFS(Opex_Budget!$W:$W,Opex_Budget!$A:$A,$C$3,Opex_Budget!$E:$E,$B$170,Opex_Budget!$F:$F,$D$170,Opex_Budget!$N:$N,"GBP")*$H$5)</f>
        <v/>
      </c>
      <c r="Q170" s="32">
        <f>IF($B$170="","",SUMIFS(Opex_Budget!$X:$X,Opex_Budget!$A:$A,$C$3,Opex_Budget!$E:$E,$B$170,Opex_Budget!$F:$F,$D$170,Opex_Budget!$N:$N,"JPY")*$E$5+SUMIFS(Opex_Budget!$X:$X,Opex_Budget!$A:$A,$C$3,Opex_Budget!$E:$E,$B$170,Opex_Budget!$F:$F,$D$170,Opex_Budget!$N:$N,"USD")*$F$5+SUMIFS(Opex_Budget!$X:$X,Opex_Budget!$A:$A,$C$3,Opex_Budget!$E:$E,$B$170,Opex_Budget!$F:$F,$D$170,Opex_Budget!$N:$N,"EUR")*$G$5+SUMIFS(Opex_Budget!$X:$X,Opex_Budget!$A:$A,$C$3,Opex_Budget!$E:$E,$B$170,Opex_Budget!$F:$F,$D$170,Opex_Budget!$N:$N,"GBP")*$H$5)</f>
        <v/>
      </c>
      <c r="R170" s="32">
        <f>IF($B$170="","",SUMIFS(Opex_Budget!$Y:$Y,Opex_Budget!$A:$A,$C$3,Opex_Budget!$E:$E,$B$170,Opex_Budget!$F:$F,$D$170,Opex_Budget!$N:$N,"JPY")*$E$5+SUMIFS(Opex_Budget!$Y:$Y,Opex_Budget!$A:$A,$C$3,Opex_Budget!$E:$E,$B$170,Opex_Budget!$F:$F,$D$170,Opex_Budget!$N:$N,"USD")*$F$5+SUMIFS(Opex_Budget!$Y:$Y,Opex_Budget!$A:$A,$C$3,Opex_Budget!$E:$E,$B$170,Opex_Budget!$F:$F,$D$170,Opex_Budget!$N:$N,"EUR")*$G$5+SUMIFS(Opex_Budget!$Y:$Y,Opex_Budget!$A:$A,$C$3,Opex_Budget!$E:$E,$B$170,Opex_Budget!$F:$F,$D$170,Opex_Budget!$N:$N,"GBP")*$H$5)</f>
        <v/>
      </c>
      <c r="S170" s="32">
        <f>IF($B$170="","",SUMIFS(Opex_Budget!$Z:$Z,Opex_Budget!$A:$A,$C$3,Opex_Budget!$E:$E,$B$170,Opex_Budget!$F:$F,$D$170,Opex_Budget!$N:$N,"JPY")*$E$5+SUMIFS(Opex_Budget!$Z:$Z,Opex_Budget!$A:$A,$C$3,Opex_Budget!$E:$E,$B$170,Opex_Budget!$F:$F,$D$170,Opex_Budget!$N:$N,"USD")*$F$5+SUMIFS(Opex_Budget!$Z:$Z,Opex_Budget!$A:$A,$C$3,Opex_Budget!$E:$E,$B$170,Opex_Budget!$F:$F,$D$170,Opex_Budget!$N:$N,"EUR")*$G$5+SUMIFS(Opex_Budget!$Z:$Z,Opex_Budget!$A:$A,$C$3,Opex_Budget!$E:$E,$B$170,Opex_Budget!$F:$F,$D$170,Opex_Budget!$N:$N,"GBP")*$H$5)</f>
        <v/>
      </c>
      <c r="T170" s="32">
        <f>IF($B$170="","",SUMIF($H$7:$S$7,"&lt;="&amp;$C$4,$H170:$S170))</f>
        <v/>
      </c>
      <c r="U170" s="32">
        <f>IF($B$170="","",SUMIF($H$7:$S$7,"&gt;"&amp;$C$4,$H170:$S170))</f>
        <v/>
      </c>
      <c r="V170" s="32">
        <f>IF($B$170="","",SUM($H170:$S170))</f>
        <v/>
      </c>
      <c r="X170" s="22">
        <f>IF($B170="","",IFERROR(INDEX(Cost_Centers!$E:$E,MATCH($B170,Cost_Centers!$A:$A,0)),"(unknown)"))</f>
        <v/>
      </c>
      <c r="Y170" s="22">
        <f>IF($B170="","",IFERROR(INDEX(Cost_Centers!$D:$D,MATCH($B170,Cost_Centers!$A:$A,0)),"(unknown)"))</f>
        <v/>
      </c>
      <c r="Z170" s="22">
        <f>IF(OR($B170="",$G170&lt;&gt;"Variance vs Budget"),"",ABS(N($V170))+ROW()/1000000000)</f>
        <v/>
      </c>
    </row>
    <row r="171">
      <c r="A171" s="13">
        <f>IF(A$170="","",A$170)</f>
        <v/>
      </c>
      <c r="B171" s="13">
        <f>IF(B$170="","",B$170)</f>
        <v/>
      </c>
      <c r="C171" s="13">
        <f>IF(C$170="","",C$170)</f>
        <v/>
      </c>
      <c r="D171" s="13">
        <f>IF(D$170="","",D$170)</f>
        <v/>
      </c>
      <c r="E171" s="13">
        <f>IF(E$170="","",E$170)</f>
        <v/>
      </c>
      <c r="F171" s="13">
        <f>IF(F$170="","",F$170)</f>
        <v/>
      </c>
      <c r="G171" s="7" t="inlineStr">
        <is>
          <t>Actual</t>
        </is>
      </c>
      <c r="H171" s="18">
        <f>IF(OR($B$170="",1&gt;$C$4),"",SUMIFS(Actuals!$G:$G,Actuals!$B:$B,$C$3,Actuals!$C:$C,1,Actuals!$D:$D,$B$170,Actuals!$A:$A,LEFT($D$170,FIND("|",$D$170&amp;"|")-1),Actuals!$E:$E,MID($D$170,FIND("|",$D$170&amp;"|")+1,50),Actuals!$F:$F,"JPY")*$E$5+SUMIFS(Actuals!$G:$G,Actuals!$B:$B,$C$3,Actuals!$C:$C,1,Actuals!$D:$D,$B$170,Actuals!$A:$A,LEFT($D$170,FIND("|",$D$170&amp;"|")-1),Actuals!$E:$E,MID($D$170,FIND("|",$D$170&amp;"|")+1,50),Actuals!$F:$F,"USD")*$F$5+SUMIFS(Actuals!$G:$G,Actuals!$B:$B,$C$3,Actuals!$C:$C,1,Actuals!$D:$D,$B$170,Actuals!$A:$A,LEFT($D$170,FIND("|",$D$170&amp;"|")-1),Actuals!$E:$E,MID($D$170,FIND("|",$D$170&amp;"|")+1,50),Actuals!$F:$F,"EUR")*$G$5+SUMIFS(Actuals!$G:$G,Actuals!$B:$B,$C$3,Actuals!$C:$C,1,Actuals!$D:$D,$B$170,Actuals!$A:$A,LEFT($D$170,FIND("|",$D$170&amp;"|")-1),Actuals!$E:$E,MID($D$170,FIND("|",$D$170&amp;"|")+1,50),Actuals!$F:$F,"GBP")*$H$5)</f>
        <v/>
      </c>
      <c r="I171" s="18">
        <f>IF(OR($B$170="",2&gt;$C$4),"",SUMIFS(Actuals!$G:$G,Actuals!$B:$B,$C$3,Actuals!$C:$C,2,Actuals!$D:$D,$B$170,Actuals!$A:$A,LEFT($D$170,FIND("|",$D$170&amp;"|")-1),Actuals!$E:$E,MID($D$170,FIND("|",$D$170&amp;"|")+1,50),Actuals!$F:$F,"JPY")*$E$5+SUMIFS(Actuals!$G:$G,Actuals!$B:$B,$C$3,Actuals!$C:$C,2,Actuals!$D:$D,$B$170,Actuals!$A:$A,LEFT($D$170,FIND("|",$D$170&amp;"|")-1),Actuals!$E:$E,MID($D$170,FIND("|",$D$170&amp;"|")+1,50),Actuals!$F:$F,"USD")*$F$5+SUMIFS(Actuals!$G:$G,Actuals!$B:$B,$C$3,Actuals!$C:$C,2,Actuals!$D:$D,$B$170,Actuals!$A:$A,LEFT($D$170,FIND("|",$D$170&amp;"|")-1),Actuals!$E:$E,MID($D$170,FIND("|",$D$170&amp;"|")+1,50),Actuals!$F:$F,"EUR")*$G$5+SUMIFS(Actuals!$G:$G,Actuals!$B:$B,$C$3,Actuals!$C:$C,2,Actuals!$D:$D,$B$170,Actuals!$A:$A,LEFT($D$170,FIND("|",$D$170&amp;"|")-1),Actuals!$E:$E,MID($D$170,FIND("|",$D$170&amp;"|")+1,50),Actuals!$F:$F,"GBP")*$H$5)</f>
        <v/>
      </c>
      <c r="J171" s="18">
        <f>IF(OR($B$170="",3&gt;$C$4),"",SUMIFS(Actuals!$G:$G,Actuals!$B:$B,$C$3,Actuals!$C:$C,3,Actuals!$D:$D,$B$170,Actuals!$A:$A,LEFT($D$170,FIND("|",$D$170&amp;"|")-1),Actuals!$E:$E,MID($D$170,FIND("|",$D$170&amp;"|")+1,50),Actuals!$F:$F,"JPY")*$E$5+SUMIFS(Actuals!$G:$G,Actuals!$B:$B,$C$3,Actuals!$C:$C,3,Actuals!$D:$D,$B$170,Actuals!$A:$A,LEFT($D$170,FIND("|",$D$170&amp;"|")-1),Actuals!$E:$E,MID($D$170,FIND("|",$D$170&amp;"|")+1,50),Actuals!$F:$F,"USD")*$F$5+SUMIFS(Actuals!$G:$G,Actuals!$B:$B,$C$3,Actuals!$C:$C,3,Actuals!$D:$D,$B$170,Actuals!$A:$A,LEFT($D$170,FIND("|",$D$170&amp;"|")-1),Actuals!$E:$E,MID($D$170,FIND("|",$D$170&amp;"|")+1,50),Actuals!$F:$F,"EUR")*$G$5+SUMIFS(Actuals!$G:$G,Actuals!$B:$B,$C$3,Actuals!$C:$C,3,Actuals!$D:$D,$B$170,Actuals!$A:$A,LEFT($D$170,FIND("|",$D$170&amp;"|")-1),Actuals!$E:$E,MID($D$170,FIND("|",$D$170&amp;"|")+1,50),Actuals!$F:$F,"GBP")*$H$5)</f>
        <v/>
      </c>
      <c r="K171" s="18">
        <f>IF(OR($B$170="",4&gt;$C$4),"",SUMIFS(Actuals!$G:$G,Actuals!$B:$B,$C$3,Actuals!$C:$C,4,Actuals!$D:$D,$B$170,Actuals!$A:$A,LEFT($D$170,FIND("|",$D$170&amp;"|")-1),Actuals!$E:$E,MID($D$170,FIND("|",$D$170&amp;"|")+1,50),Actuals!$F:$F,"JPY")*$E$5+SUMIFS(Actuals!$G:$G,Actuals!$B:$B,$C$3,Actuals!$C:$C,4,Actuals!$D:$D,$B$170,Actuals!$A:$A,LEFT($D$170,FIND("|",$D$170&amp;"|")-1),Actuals!$E:$E,MID($D$170,FIND("|",$D$170&amp;"|")+1,50),Actuals!$F:$F,"USD")*$F$5+SUMIFS(Actuals!$G:$G,Actuals!$B:$B,$C$3,Actuals!$C:$C,4,Actuals!$D:$D,$B$170,Actuals!$A:$A,LEFT($D$170,FIND("|",$D$170&amp;"|")-1),Actuals!$E:$E,MID($D$170,FIND("|",$D$170&amp;"|")+1,50),Actuals!$F:$F,"EUR")*$G$5+SUMIFS(Actuals!$G:$G,Actuals!$B:$B,$C$3,Actuals!$C:$C,4,Actuals!$D:$D,$B$170,Actuals!$A:$A,LEFT($D$170,FIND("|",$D$170&amp;"|")-1),Actuals!$E:$E,MID($D$170,FIND("|",$D$170&amp;"|")+1,50),Actuals!$F:$F,"GBP")*$H$5)</f>
        <v/>
      </c>
      <c r="L171" s="18">
        <f>IF(OR($B$170="",5&gt;$C$4),"",SUMIFS(Actuals!$G:$G,Actuals!$B:$B,$C$3,Actuals!$C:$C,5,Actuals!$D:$D,$B$170,Actuals!$A:$A,LEFT($D$170,FIND("|",$D$170&amp;"|")-1),Actuals!$E:$E,MID($D$170,FIND("|",$D$170&amp;"|")+1,50),Actuals!$F:$F,"JPY")*$E$5+SUMIFS(Actuals!$G:$G,Actuals!$B:$B,$C$3,Actuals!$C:$C,5,Actuals!$D:$D,$B$170,Actuals!$A:$A,LEFT($D$170,FIND("|",$D$170&amp;"|")-1),Actuals!$E:$E,MID($D$170,FIND("|",$D$170&amp;"|")+1,50),Actuals!$F:$F,"USD")*$F$5+SUMIFS(Actuals!$G:$G,Actuals!$B:$B,$C$3,Actuals!$C:$C,5,Actuals!$D:$D,$B$170,Actuals!$A:$A,LEFT($D$170,FIND("|",$D$170&amp;"|")-1),Actuals!$E:$E,MID($D$170,FIND("|",$D$170&amp;"|")+1,50),Actuals!$F:$F,"EUR")*$G$5+SUMIFS(Actuals!$G:$G,Actuals!$B:$B,$C$3,Actuals!$C:$C,5,Actuals!$D:$D,$B$170,Actuals!$A:$A,LEFT($D$170,FIND("|",$D$170&amp;"|")-1),Actuals!$E:$E,MID($D$170,FIND("|",$D$170&amp;"|")+1,50),Actuals!$F:$F,"GBP")*$H$5)</f>
        <v/>
      </c>
      <c r="M171" s="18">
        <f>IF(OR($B$170="",6&gt;$C$4),"",SUMIFS(Actuals!$G:$G,Actuals!$B:$B,$C$3,Actuals!$C:$C,6,Actuals!$D:$D,$B$170,Actuals!$A:$A,LEFT($D$170,FIND("|",$D$170&amp;"|")-1),Actuals!$E:$E,MID($D$170,FIND("|",$D$170&amp;"|")+1,50),Actuals!$F:$F,"JPY")*$E$5+SUMIFS(Actuals!$G:$G,Actuals!$B:$B,$C$3,Actuals!$C:$C,6,Actuals!$D:$D,$B$170,Actuals!$A:$A,LEFT($D$170,FIND("|",$D$170&amp;"|")-1),Actuals!$E:$E,MID($D$170,FIND("|",$D$170&amp;"|")+1,50),Actuals!$F:$F,"USD")*$F$5+SUMIFS(Actuals!$G:$G,Actuals!$B:$B,$C$3,Actuals!$C:$C,6,Actuals!$D:$D,$B$170,Actuals!$A:$A,LEFT($D$170,FIND("|",$D$170&amp;"|")-1),Actuals!$E:$E,MID($D$170,FIND("|",$D$170&amp;"|")+1,50),Actuals!$F:$F,"EUR")*$G$5+SUMIFS(Actuals!$G:$G,Actuals!$B:$B,$C$3,Actuals!$C:$C,6,Actuals!$D:$D,$B$170,Actuals!$A:$A,LEFT($D$170,FIND("|",$D$170&amp;"|")-1),Actuals!$E:$E,MID($D$170,FIND("|",$D$170&amp;"|")+1,50),Actuals!$F:$F,"GBP")*$H$5)</f>
        <v/>
      </c>
      <c r="N171" s="18">
        <f>IF(OR($B$170="",7&gt;$C$4),"",SUMIFS(Actuals!$G:$G,Actuals!$B:$B,$C$3,Actuals!$C:$C,7,Actuals!$D:$D,$B$170,Actuals!$A:$A,LEFT($D$170,FIND("|",$D$170&amp;"|")-1),Actuals!$E:$E,MID($D$170,FIND("|",$D$170&amp;"|")+1,50),Actuals!$F:$F,"JPY")*$E$5+SUMIFS(Actuals!$G:$G,Actuals!$B:$B,$C$3,Actuals!$C:$C,7,Actuals!$D:$D,$B$170,Actuals!$A:$A,LEFT($D$170,FIND("|",$D$170&amp;"|")-1),Actuals!$E:$E,MID($D$170,FIND("|",$D$170&amp;"|")+1,50),Actuals!$F:$F,"USD")*$F$5+SUMIFS(Actuals!$G:$G,Actuals!$B:$B,$C$3,Actuals!$C:$C,7,Actuals!$D:$D,$B$170,Actuals!$A:$A,LEFT($D$170,FIND("|",$D$170&amp;"|")-1),Actuals!$E:$E,MID($D$170,FIND("|",$D$170&amp;"|")+1,50),Actuals!$F:$F,"EUR")*$G$5+SUMIFS(Actuals!$G:$G,Actuals!$B:$B,$C$3,Actuals!$C:$C,7,Actuals!$D:$D,$B$170,Actuals!$A:$A,LEFT($D$170,FIND("|",$D$170&amp;"|")-1),Actuals!$E:$E,MID($D$170,FIND("|",$D$170&amp;"|")+1,50),Actuals!$F:$F,"GBP")*$H$5)</f>
        <v/>
      </c>
      <c r="O171" s="18">
        <f>IF(OR($B$170="",8&gt;$C$4),"",SUMIFS(Actuals!$G:$G,Actuals!$B:$B,$C$3,Actuals!$C:$C,8,Actuals!$D:$D,$B$170,Actuals!$A:$A,LEFT($D$170,FIND("|",$D$170&amp;"|")-1),Actuals!$E:$E,MID($D$170,FIND("|",$D$170&amp;"|")+1,50),Actuals!$F:$F,"JPY")*$E$5+SUMIFS(Actuals!$G:$G,Actuals!$B:$B,$C$3,Actuals!$C:$C,8,Actuals!$D:$D,$B$170,Actuals!$A:$A,LEFT($D$170,FIND("|",$D$170&amp;"|")-1),Actuals!$E:$E,MID($D$170,FIND("|",$D$170&amp;"|")+1,50),Actuals!$F:$F,"USD")*$F$5+SUMIFS(Actuals!$G:$G,Actuals!$B:$B,$C$3,Actuals!$C:$C,8,Actuals!$D:$D,$B$170,Actuals!$A:$A,LEFT($D$170,FIND("|",$D$170&amp;"|")-1),Actuals!$E:$E,MID($D$170,FIND("|",$D$170&amp;"|")+1,50),Actuals!$F:$F,"EUR")*$G$5+SUMIFS(Actuals!$G:$G,Actuals!$B:$B,$C$3,Actuals!$C:$C,8,Actuals!$D:$D,$B$170,Actuals!$A:$A,LEFT($D$170,FIND("|",$D$170&amp;"|")-1),Actuals!$E:$E,MID($D$170,FIND("|",$D$170&amp;"|")+1,50),Actuals!$F:$F,"GBP")*$H$5)</f>
        <v/>
      </c>
      <c r="P171" s="18">
        <f>IF(OR($B$170="",9&gt;$C$4),"",SUMIFS(Actuals!$G:$G,Actuals!$B:$B,$C$3,Actuals!$C:$C,9,Actuals!$D:$D,$B$170,Actuals!$A:$A,LEFT($D$170,FIND("|",$D$170&amp;"|")-1),Actuals!$E:$E,MID($D$170,FIND("|",$D$170&amp;"|")+1,50),Actuals!$F:$F,"JPY")*$E$5+SUMIFS(Actuals!$G:$G,Actuals!$B:$B,$C$3,Actuals!$C:$C,9,Actuals!$D:$D,$B$170,Actuals!$A:$A,LEFT($D$170,FIND("|",$D$170&amp;"|")-1),Actuals!$E:$E,MID($D$170,FIND("|",$D$170&amp;"|")+1,50),Actuals!$F:$F,"USD")*$F$5+SUMIFS(Actuals!$G:$G,Actuals!$B:$B,$C$3,Actuals!$C:$C,9,Actuals!$D:$D,$B$170,Actuals!$A:$A,LEFT($D$170,FIND("|",$D$170&amp;"|")-1),Actuals!$E:$E,MID($D$170,FIND("|",$D$170&amp;"|")+1,50),Actuals!$F:$F,"EUR")*$G$5+SUMIFS(Actuals!$G:$G,Actuals!$B:$B,$C$3,Actuals!$C:$C,9,Actuals!$D:$D,$B$170,Actuals!$A:$A,LEFT($D$170,FIND("|",$D$170&amp;"|")-1),Actuals!$E:$E,MID($D$170,FIND("|",$D$170&amp;"|")+1,50),Actuals!$F:$F,"GBP")*$H$5)</f>
        <v/>
      </c>
      <c r="Q171" s="18">
        <f>IF(OR($B$170="",10&gt;$C$4),"",SUMIFS(Actuals!$G:$G,Actuals!$B:$B,$C$3,Actuals!$C:$C,10,Actuals!$D:$D,$B$170,Actuals!$A:$A,LEFT($D$170,FIND("|",$D$170&amp;"|")-1),Actuals!$E:$E,MID($D$170,FIND("|",$D$170&amp;"|")+1,50),Actuals!$F:$F,"JPY")*$E$5+SUMIFS(Actuals!$G:$G,Actuals!$B:$B,$C$3,Actuals!$C:$C,10,Actuals!$D:$D,$B$170,Actuals!$A:$A,LEFT($D$170,FIND("|",$D$170&amp;"|")-1),Actuals!$E:$E,MID($D$170,FIND("|",$D$170&amp;"|")+1,50),Actuals!$F:$F,"USD")*$F$5+SUMIFS(Actuals!$G:$G,Actuals!$B:$B,$C$3,Actuals!$C:$C,10,Actuals!$D:$D,$B$170,Actuals!$A:$A,LEFT($D$170,FIND("|",$D$170&amp;"|")-1),Actuals!$E:$E,MID($D$170,FIND("|",$D$170&amp;"|")+1,50),Actuals!$F:$F,"EUR")*$G$5+SUMIFS(Actuals!$G:$G,Actuals!$B:$B,$C$3,Actuals!$C:$C,10,Actuals!$D:$D,$B$170,Actuals!$A:$A,LEFT($D$170,FIND("|",$D$170&amp;"|")-1),Actuals!$E:$E,MID($D$170,FIND("|",$D$170&amp;"|")+1,50),Actuals!$F:$F,"GBP")*$H$5)</f>
        <v/>
      </c>
      <c r="R171" s="18">
        <f>IF(OR($B$170="",11&gt;$C$4),"",SUMIFS(Actuals!$G:$G,Actuals!$B:$B,$C$3,Actuals!$C:$C,11,Actuals!$D:$D,$B$170,Actuals!$A:$A,LEFT($D$170,FIND("|",$D$170&amp;"|")-1),Actuals!$E:$E,MID($D$170,FIND("|",$D$170&amp;"|")+1,50),Actuals!$F:$F,"JPY")*$E$5+SUMIFS(Actuals!$G:$G,Actuals!$B:$B,$C$3,Actuals!$C:$C,11,Actuals!$D:$D,$B$170,Actuals!$A:$A,LEFT($D$170,FIND("|",$D$170&amp;"|")-1),Actuals!$E:$E,MID($D$170,FIND("|",$D$170&amp;"|")+1,50),Actuals!$F:$F,"USD")*$F$5+SUMIFS(Actuals!$G:$G,Actuals!$B:$B,$C$3,Actuals!$C:$C,11,Actuals!$D:$D,$B$170,Actuals!$A:$A,LEFT($D$170,FIND("|",$D$170&amp;"|")-1),Actuals!$E:$E,MID($D$170,FIND("|",$D$170&amp;"|")+1,50),Actuals!$F:$F,"EUR")*$G$5+SUMIFS(Actuals!$G:$G,Actuals!$B:$B,$C$3,Actuals!$C:$C,11,Actuals!$D:$D,$B$170,Actuals!$A:$A,LEFT($D$170,FIND("|",$D$170&amp;"|")-1),Actuals!$E:$E,MID($D$170,FIND("|",$D$170&amp;"|")+1,50),Actuals!$F:$F,"GBP")*$H$5)</f>
        <v/>
      </c>
      <c r="S171" s="18">
        <f>IF(OR($B$170="",12&gt;$C$4),"",SUMIFS(Actuals!$G:$G,Actuals!$B:$B,$C$3,Actuals!$C:$C,12,Actuals!$D:$D,$B$170,Actuals!$A:$A,LEFT($D$170,FIND("|",$D$170&amp;"|")-1),Actuals!$E:$E,MID($D$170,FIND("|",$D$170&amp;"|")+1,50),Actuals!$F:$F,"JPY")*$E$5+SUMIFS(Actuals!$G:$G,Actuals!$B:$B,$C$3,Actuals!$C:$C,12,Actuals!$D:$D,$B$170,Actuals!$A:$A,LEFT($D$170,FIND("|",$D$170&amp;"|")-1),Actuals!$E:$E,MID($D$170,FIND("|",$D$170&amp;"|")+1,50),Actuals!$F:$F,"USD")*$F$5+SUMIFS(Actuals!$G:$G,Actuals!$B:$B,$C$3,Actuals!$C:$C,12,Actuals!$D:$D,$B$170,Actuals!$A:$A,LEFT($D$170,FIND("|",$D$170&amp;"|")-1),Actuals!$E:$E,MID($D$170,FIND("|",$D$170&amp;"|")+1,50),Actuals!$F:$F,"EUR")*$G$5+SUMIFS(Actuals!$G:$G,Actuals!$B:$B,$C$3,Actuals!$C:$C,12,Actuals!$D:$D,$B$170,Actuals!$A:$A,LEFT($D$170,FIND("|",$D$170&amp;"|")-1),Actuals!$E:$E,MID($D$170,FIND("|",$D$170&amp;"|")+1,50),Actuals!$F:$F,"GBP")*$H$5)</f>
        <v/>
      </c>
      <c r="T171" s="18">
        <f>IF($B$170="","",SUMIF($H$7:$S$7,"&lt;="&amp;$C$4,$H171:$S171))</f>
        <v/>
      </c>
      <c r="U171" s="18" t="n"/>
      <c r="V171" s="18" t="n"/>
      <c r="X171" s="22">
        <f>IF($B171="","",IFERROR(INDEX(Cost_Centers!$E:$E,MATCH($B171,Cost_Centers!$A:$A,0)),"(unknown)"))</f>
        <v/>
      </c>
      <c r="Y171" s="22">
        <f>IF($B171="","",IFERROR(INDEX(Cost_Centers!$D:$D,MATCH($B171,Cost_Centers!$A:$A,0)),"(unknown)"))</f>
        <v/>
      </c>
      <c r="Z171" s="22">
        <f>IF(OR($B171="",$G171&lt;&gt;"Variance vs Budget"),"",ABS(N($V171))+ROW()/1000000000)</f>
        <v/>
      </c>
    </row>
    <row r="172">
      <c r="A172" s="13">
        <f>IF(A$170="","",A$170)</f>
        <v/>
      </c>
      <c r="B172" s="13">
        <f>IF(B$170="","",B$170)</f>
        <v/>
      </c>
      <c r="C172" s="13">
        <f>IF(C$170="","",C$170)</f>
        <v/>
      </c>
      <c r="D172" s="13">
        <f>IF(D$170="","",D$170)</f>
        <v/>
      </c>
      <c r="E172" s="13">
        <f>IF(E$170="","",E$170)</f>
        <v/>
      </c>
      <c r="F172" s="13">
        <f>IF(F$170="","",F$170)</f>
        <v/>
      </c>
      <c r="G172" s="6" t="inlineStr">
        <is>
          <t>Variance vs Budget</t>
        </is>
      </c>
      <c r="H172" s="33">
        <f>IF(OR($B$170="",1&gt;$C$4),"",N(H171)-H170)</f>
        <v/>
      </c>
      <c r="I172" s="33">
        <f>IF(OR($B$170="",2&gt;$C$4),"",N(I171)-I170)</f>
        <v/>
      </c>
      <c r="J172" s="33">
        <f>IF(OR($B$170="",3&gt;$C$4),"",N(J171)-J170)</f>
        <v/>
      </c>
      <c r="K172" s="33">
        <f>IF(OR($B$170="",4&gt;$C$4),"",N(K171)-K170)</f>
        <v/>
      </c>
      <c r="L172" s="33">
        <f>IF(OR($B$170="",5&gt;$C$4),"",N(L171)-L170)</f>
        <v/>
      </c>
      <c r="M172" s="33">
        <f>IF(OR($B$170="",6&gt;$C$4),"",N(M171)-M170)</f>
        <v/>
      </c>
      <c r="N172" s="33">
        <f>IF(OR($B$170="",7&gt;$C$4),"",N(N171)-N170)</f>
        <v/>
      </c>
      <c r="O172" s="33">
        <f>IF(OR($B$170="",8&gt;$C$4),"",N(O171)-O170)</f>
        <v/>
      </c>
      <c r="P172" s="33">
        <f>IF(OR($B$170="",9&gt;$C$4),"",N(P171)-P170)</f>
        <v/>
      </c>
      <c r="Q172" s="33">
        <f>IF(OR($B$170="",10&gt;$C$4),"",N(Q171)-Q170)</f>
        <v/>
      </c>
      <c r="R172" s="33">
        <f>IF(OR($B$170="",11&gt;$C$4),"",N(R171)-R170)</f>
        <v/>
      </c>
      <c r="S172" s="33">
        <f>IF(OR($B$170="",12&gt;$C$4),"",N(S171)-S170)</f>
        <v/>
      </c>
      <c r="T172" s="33">
        <f>IF($B$170="","",T171-T170)</f>
        <v/>
      </c>
      <c r="U172" s="33">
        <f>IF($B$170="","",U174-U170)</f>
        <v/>
      </c>
      <c r="V172" s="33">
        <f>IF($B$170="","",V174-V170)</f>
        <v/>
      </c>
      <c r="X172" s="22">
        <f>IF($B172="","",IFERROR(INDEX(Cost_Centers!$E:$E,MATCH($B172,Cost_Centers!$A:$A,0)),"(unknown)"))</f>
        <v/>
      </c>
      <c r="Y172" s="22">
        <f>IF($B172="","",IFERROR(INDEX(Cost_Centers!$D:$D,MATCH($B172,Cost_Centers!$A:$A,0)),"(unknown)"))</f>
        <v/>
      </c>
      <c r="Z172" s="22">
        <f>IF(OR($B172="",$G172&lt;&gt;"Variance vs Budget"),"",ABS(N($V172))+ROW()/1000000000)</f>
        <v/>
      </c>
    </row>
    <row r="173">
      <c r="A173" s="13">
        <f>IF(A$170="","",A$170)</f>
        <v/>
      </c>
      <c r="B173" s="13">
        <f>IF(B$170="","",B$170)</f>
        <v/>
      </c>
      <c r="C173" s="13">
        <f>IF(C$170="","",C$170)</f>
        <v/>
      </c>
      <c r="D173" s="13">
        <f>IF(D$170="","",D$170)</f>
        <v/>
      </c>
      <c r="E173" s="13">
        <f>IF(E$170="","",E$170)</f>
        <v/>
      </c>
      <c r="F173" s="13">
        <f>IF(F$170="","",F$170)</f>
        <v/>
      </c>
      <c r="G173" s="7" t="inlineStr">
        <is>
          <t>Forecast (input)</t>
        </is>
      </c>
      <c r="H173" s="34" t="n"/>
      <c r="I173" s="34" t="n"/>
      <c r="J173" s="34" t="n"/>
      <c r="K173" s="34" t="n"/>
      <c r="L173" s="34" t="n"/>
      <c r="M173" s="34" t="n"/>
      <c r="N173" s="34" t="n"/>
      <c r="O173" s="34" t="n"/>
      <c r="P173" s="34" t="n"/>
      <c r="Q173" s="34" t="n"/>
      <c r="R173" s="34" t="n"/>
      <c r="S173" s="34" t="n"/>
      <c r="T173" s="18" t="n"/>
      <c r="U173" s="18" t="n"/>
      <c r="V173" s="18" t="n"/>
      <c r="X173" s="22">
        <f>IF($B173="","",IFERROR(INDEX(Cost_Centers!$E:$E,MATCH($B173,Cost_Centers!$A:$A,0)),"(unknown)"))</f>
        <v/>
      </c>
      <c r="Y173" s="22">
        <f>IF($B173="","",IFERROR(INDEX(Cost_Centers!$D:$D,MATCH($B173,Cost_Centers!$A:$A,0)),"(unknown)"))</f>
        <v/>
      </c>
      <c r="Z173" s="22">
        <f>IF(OR($B173="",$G173&lt;&gt;"Variance vs Budget"),"",ABS(N($V173))+ROW()/1000000000)</f>
        <v/>
      </c>
    </row>
    <row r="174">
      <c r="A174" s="13">
        <f>IF(A$170="","",A$170)</f>
        <v/>
      </c>
      <c r="B174" s="13">
        <f>IF(B$170="","",B$170)</f>
        <v/>
      </c>
      <c r="C174" s="13">
        <f>IF(C$170="","",C$170)</f>
        <v/>
      </c>
      <c r="D174" s="13">
        <f>IF(D$170="","",D$170)</f>
        <v/>
      </c>
      <c r="E174" s="13">
        <f>IF(E$170="","",E$170)</f>
        <v/>
      </c>
      <c r="F174" s="13">
        <f>IF(F$170="","",F$170)</f>
        <v/>
      </c>
      <c r="G174" s="35" t="inlineStr">
        <is>
          <t>Actual + Forecast</t>
        </is>
      </c>
      <c r="H174" s="18">
        <f>IF($B$170="","",IF(1&lt;=$C$4,N(H171),IF(H173="",H170,H173)))</f>
        <v/>
      </c>
      <c r="I174" s="18">
        <f>IF($B$170="","",IF(2&lt;=$C$4,N(I171),IF(I173="",I170,I173)))</f>
        <v/>
      </c>
      <c r="J174" s="18">
        <f>IF($B$170="","",IF(3&lt;=$C$4,N(J171),IF(J173="",J170,J173)))</f>
        <v/>
      </c>
      <c r="K174" s="18">
        <f>IF($B$170="","",IF(4&lt;=$C$4,N(K171),IF(K173="",K170,K173)))</f>
        <v/>
      </c>
      <c r="L174" s="18">
        <f>IF($B$170="","",IF(5&lt;=$C$4,N(L171),IF(L173="",L170,L173)))</f>
        <v/>
      </c>
      <c r="M174" s="18">
        <f>IF($B$170="","",IF(6&lt;=$C$4,N(M171),IF(M173="",M170,M173)))</f>
        <v/>
      </c>
      <c r="N174" s="18">
        <f>IF($B$170="","",IF(7&lt;=$C$4,N(N171),IF(N173="",N170,N173)))</f>
        <v/>
      </c>
      <c r="O174" s="18">
        <f>IF($B$170="","",IF(8&lt;=$C$4,N(O171),IF(O173="",O170,O173)))</f>
        <v/>
      </c>
      <c r="P174" s="18">
        <f>IF($B$170="","",IF(9&lt;=$C$4,N(P171),IF(P173="",P170,P173)))</f>
        <v/>
      </c>
      <c r="Q174" s="18">
        <f>IF($B$170="","",IF(10&lt;=$C$4,N(Q171),IF(Q173="",Q170,Q173)))</f>
        <v/>
      </c>
      <c r="R174" s="18">
        <f>IF($B$170="","",IF(11&lt;=$C$4,N(R171),IF(R173="",R170,R173)))</f>
        <v/>
      </c>
      <c r="S174" s="18">
        <f>IF($B$170="","",IF(12&lt;=$C$4,N(S171),IF(S173="",S170,S173)))</f>
        <v/>
      </c>
      <c r="T174" s="18">
        <f>IF($B$170="","",SUMIF($H$7:$S$7,"&lt;="&amp;$C$4,$H174:$S174))</f>
        <v/>
      </c>
      <c r="U174" s="18">
        <f>IF($B$170="","",SUMIF($H$7:$S$7,"&gt;"&amp;$C$4,$H174:$S174))</f>
        <v/>
      </c>
      <c r="V174" s="18">
        <f>IF($B$170="","",SUM($H174:$S174))</f>
        <v/>
      </c>
      <c r="X174" s="22">
        <f>IF($B174="","",IFERROR(INDEX(Cost_Centers!$E:$E,MATCH($B174,Cost_Centers!$A:$A,0)),"(unknown)"))</f>
        <v/>
      </c>
      <c r="Y174" s="22">
        <f>IF($B174="","",IFERROR(INDEX(Cost_Centers!$D:$D,MATCH($B174,Cost_Centers!$A:$A,0)),"(unknown)"))</f>
        <v/>
      </c>
      <c r="Z174" s="22">
        <f>IF(OR($B174="",$G174&lt;&gt;"Variance vs Budget"),"",ABS(N($V174))+ROW()/1000000000)</f>
        <v/>
      </c>
    </row>
    <row r="175">
      <c r="A175" s="13">
        <f>IF(A$170="","",A$170)</f>
        <v/>
      </c>
      <c r="B175" s="13">
        <f>IF(B$170="","",B$170)</f>
        <v/>
      </c>
      <c r="C175" s="13">
        <f>IF(C$170="","",C$170)</f>
        <v/>
      </c>
      <c r="D175" s="13">
        <f>IF(D$170="","",D$170)</f>
        <v/>
      </c>
      <c r="E175" s="13">
        <f>IF(E$170="","",E$170)</f>
        <v/>
      </c>
      <c r="F175" s="13">
        <f>IF(F$170="","",F$170)</f>
        <v/>
      </c>
      <c r="G175" s="36" t="inlineStr">
        <is>
          <t>Prior Month Forecast</t>
        </is>
      </c>
      <c r="H175" s="37">
        <f>IF($B$170="","",IF(COUNTIFS(Prior_Forecast!$A:$A,$B$170,Prior_Forecast!$B:$B,$D$170)&gt;0,SUMIFS(Prior_Forecast!$C:$C,Prior_Forecast!$A:$A,$B$170,Prior_Forecast!$B:$B,$D$170),""))</f>
        <v/>
      </c>
      <c r="I175" s="37">
        <f>IF($B$170="","",IF(COUNTIFS(Prior_Forecast!$A:$A,$B$170,Prior_Forecast!$B:$B,$D$170)&gt;0,SUMIFS(Prior_Forecast!$D:$D,Prior_Forecast!$A:$A,$B$170,Prior_Forecast!$B:$B,$D$170),""))</f>
        <v/>
      </c>
      <c r="J175" s="37">
        <f>IF($B$170="","",IF(COUNTIFS(Prior_Forecast!$A:$A,$B$170,Prior_Forecast!$B:$B,$D$170)&gt;0,SUMIFS(Prior_Forecast!$E:$E,Prior_Forecast!$A:$A,$B$170,Prior_Forecast!$B:$B,$D$170),""))</f>
        <v/>
      </c>
      <c r="K175" s="37">
        <f>IF($B$170="","",IF(COUNTIFS(Prior_Forecast!$A:$A,$B$170,Prior_Forecast!$B:$B,$D$170)&gt;0,SUMIFS(Prior_Forecast!$F:$F,Prior_Forecast!$A:$A,$B$170,Prior_Forecast!$B:$B,$D$170),""))</f>
        <v/>
      </c>
      <c r="L175" s="37">
        <f>IF($B$170="","",IF(COUNTIFS(Prior_Forecast!$A:$A,$B$170,Prior_Forecast!$B:$B,$D$170)&gt;0,SUMIFS(Prior_Forecast!$G:$G,Prior_Forecast!$A:$A,$B$170,Prior_Forecast!$B:$B,$D$170),""))</f>
        <v/>
      </c>
      <c r="M175" s="37">
        <f>IF($B$170="","",IF(COUNTIFS(Prior_Forecast!$A:$A,$B$170,Prior_Forecast!$B:$B,$D$170)&gt;0,SUMIFS(Prior_Forecast!$H:$H,Prior_Forecast!$A:$A,$B$170,Prior_Forecast!$B:$B,$D$170),""))</f>
        <v/>
      </c>
      <c r="N175" s="37">
        <f>IF($B$170="","",IF(COUNTIFS(Prior_Forecast!$A:$A,$B$170,Prior_Forecast!$B:$B,$D$170)&gt;0,SUMIFS(Prior_Forecast!$I:$I,Prior_Forecast!$A:$A,$B$170,Prior_Forecast!$B:$B,$D$170),""))</f>
        <v/>
      </c>
      <c r="O175" s="37">
        <f>IF($B$170="","",IF(COUNTIFS(Prior_Forecast!$A:$A,$B$170,Prior_Forecast!$B:$B,$D$170)&gt;0,SUMIFS(Prior_Forecast!$J:$J,Prior_Forecast!$A:$A,$B$170,Prior_Forecast!$B:$B,$D$170),""))</f>
        <v/>
      </c>
      <c r="P175" s="37">
        <f>IF($B$170="","",IF(COUNTIFS(Prior_Forecast!$A:$A,$B$170,Prior_Forecast!$B:$B,$D$170)&gt;0,SUMIFS(Prior_Forecast!$K:$K,Prior_Forecast!$A:$A,$B$170,Prior_Forecast!$B:$B,$D$170),""))</f>
        <v/>
      </c>
      <c r="Q175" s="37">
        <f>IF($B$170="","",IF(COUNTIFS(Prior_Forecast!$A:$A,$B$170,Prior_Forecast!$B:$B,$D$170)&gt;0,SUMIFS(Prior_Forecast!$L:$L,Prior_Forecast!$A:$A,$B$170,Prior_Forecast!$B:$B,$D$170),""))</f>
        <v/>
      </c>
      <c r="R175" s="37">
        <f>IF($B$170="","",IF(COUNTIFS(Prior_Forecast!$A:$A,$B$170,Prior_Forecast!$B:$B,$D$170)&gt;0,SUMIFS(Prior_Forecast!$M:$M,Prior_Forecast!$A:$A,$B$170,Prior_Forecast!$B:$B,$D$170),""))</f>
        <v/>
      </c>
      <c r="S175" s="37">
        <f>IF($B$170="","",IF(COUNTIFS(Prior_Forecast!$A:$A,$B$170,Prior_Forecast!$B:$B,$D$170)&gt;0,SUMIFS(Prior_Forecast!$N:$N,Prior_Forecast!$A:$A,$B$170,Prior_Forecast!$B:$B,$D$170),""))</f>
        <v/>
      </c>
      <c r="T175" s="37">
        <f>IF($B$170="","",IF(COUNTIFS(Prior_Forecast!$A:$A,$B$170,Prior_Forecast!$B:$B,$D$170)&gt;0,SUMIFS(Prior_Forecast!$O:$O,Prior_Forecast!$A:$A,$B$170,Prior_Forecast!$B:$B,$D$170),""))</f>
        <v/>
      </c>
      <c r="U175" s="37">
        <f>IF($B$170="","",IF(COUNTIFS(Prior_Forecast!$A:$A,$B$170,Prior_Forecast!$B:$B,$D$170)&gt;0,SUMIFS(Prior_Forecast!$P:$P,Prior_Forecast!$A:$A,$B$170,Prior_Forecast!$B:$B,$D$170),""))</f>
        <v/>
      </c>
      <c r="V175" s="37">
        <f>IF($B$170="","",IF(COUNTIFS(Prior_Forecast!$A:$A,$B$170,Prior_Forecast!$B:$B,$D$170)&gt;0,SUMIFS(Prior_Forecast!$Q:$Q,Prior_Forecast!$A:$A,$B$170,Prior_Forecast!$B:$B,$D$170),""))</f>
        <v/>
      </c>
      <c r="X175" s="22">
        <f>IF($B175="","",IFERROR(INDEX(Cost_Centers!$E:$E,MATCH($B175,Cost_Centers!$A:$A,0)),"(unknown)"))</f>
        <v/>
      </c>
      <c r="Y175" s="22">
        <f>IF($B175="","",IFERROR(INDEX(Cost_Centers!$D:$D,MATCH($B175,Cost_Centers!$A:$A,0)),"(unknown)"))</f>
        <v/>
      </c>
      <c r="Z175" s="22">
        <f>IF(OR($B175="",$G175&lt;&gt;"Variance vs Budget"),"",ABS(N($V175))+ROW()/1000000000)</f>
        <v/>
      </c>
    </row>
    <row r="176">
      <c r="A176" s="13">
        <f>IF(A$170="","",A$170)</f>
        <v/>
      </c>
      <c r="B176" s="13">
        <f>IF(B$170="","",B$170)</f>
        <v/>
      </c>
      <c r="C176" s="13">
        <f>IF(C$170="","",C$170)</f>
        <v/>
      </c>
      <c r="D176" s="13">
        <f>IF(D$170="","",D$170)</f>
        <v/>
      </c>
      <c r="E176" s="13">
        <f>IF(E$170="","",E$170)</f>
        <v/>
      </c>
      <c r="F176" s="13">
        <f>IF(F$170="","",F$170)</f>
        <v/>
      </c>
      <c r="G176" s="6" t="inlineStr">
        <is>
          <t>Variance vs Prior Month</t>
        </is>
      </c>
      <c r="H176" s="33">
        <f>IF(OR($B$170="",H175=""),"",H174-H175)</f>
        <v/>
      </c>
      <c r="I176" s="33">
        <f>IF(OR($B$170="",I175=""),"",I174-I175)</f>
        <v/>
      </c>
      <c r="J176" s="33">
        <f>IF(OR($B$170="",J175=""),"",J174-J175)</f>
        <v/>
      </c>
      <c r="K176" s="33">
        <f>IF(OR($B$170="",K175=""),"",K174-K175)</f>
        <v/>
      </c>
      <c r="L176" s="33">
        <f>IF(OR($B$170="",L175=""),"",L174-L175)</f>
        <v/>
      </c>
      <c r="M176" s="33">
        <f>IF(OR($B$170="",M175=""),"",M174-M175)</f>
        <v/>
      </c>
      <c r="N176" s="33">
        <f>IF(OR($B$170="",N175=""),"",N174-N175)</f>
        <v/>
      </c>
      <c r="O176" s="33">
        <f>IF(OR($B$170="",O175=""),"",O174-O175)</f>
        <v/>
      </c>
      <c r="P176" s="33">
        <f>IF(OR($B$170="",P175=""),"",P174-P175)</f>
        <v/>
      </c>
      <c r="Q176" s="33">
        <f>IF(OR($B$170="",Q175=""),"",Q174-Q175)</f>
        <v/>
      </c>
      <c r="R176" s="33">
        <f>IF(OR($B$170="",R175=""),"",R174-R175)</f>
        <v/>
      </c>
      <c r="S176" s="33">
        <f>IF(OR($B$170="",S175=""),"",S174-S175)</f>
        <v/>
      </c>
      <c r="T176" s="33">
        <f>IF(OR($B$170="",T175=""),"",T174-T175)</f>
        <v/>
      </c>
      <c r="U176" s="33">
        <f>IF(OR($B$170="",U175=""),"",U174-U175)</f>
        <v/>
      </c>
      <c r="V176" s="33">
        <f>IF(OR($B$170="",V175=""),"",V174-V175)</f>
        <v/>
      </c>
      <c r="X176" s="22">
        <f>IF($B176="","",IFERROR(INDEX(Cost_Centers!$E:$E,MATCH($B176,Cost_Centers!$A:$A,0)),"(unknown)"))</f>
        <v/>
      </c>
      <c r="Y176" s="22">
        <f>IF($B176="","",IFERROR(INDEX(Cost_Centers!$D:$D,MATCH($B176,Cost_Centers!$A:$A,0)),"(unknown)"))</f>
        <v/>
      </c>
      <c r="Z176" s="22">
        <f>IF(OR($B176="",$G176&lt;&gt;"Variance vs Budget"),"",ABS(N($V176))+ROW()/1000000000)</f>
        <v/>
      </c>
    </row>
    <row r="177" ht="45" customHeight="1">
      <c r="A177" s="13">
        <f>IF(A$170="","",A$170)</f>
        <v/>
      </c>
      <c r="B177" s="13">
        <f>IF(B$170="","",B$170)</f>
        <v/>
      </c>
      <c r="C177" s="13">
        <f>IF(C$170="","",C$170)</f>
        <v/>
      </c>
      <c r="D177" s="13">
        <f>IF(D$170="","",D$170)</f>
        <v/>
      </c>
      <c r="E177" s="13">
        <f>IF(E$170="","",E$170)</f>
        <v/>
      </c>
      <c r="F177" s="13">
        <f>IF(F$170="","",F$170)</f>
        <v/>
      </c>
      <c r="G177" s="7" t="inlineStr">
        <is>
          <t>Rationale</t>
        </is>
      </c>
      <c r="H177" s="38" t="n"/>
      <c r="I177" s="38" t="n"/>
      <c r="J177" s="38" t="n"/>
      <c r="K177" s="38" t="n"/>
      <c r="L177" s="38" t="n"/>
      <c r="M177" s="38" t="n"/>
      <c r="N177" s="38" t="n"/>
      <c r="O177" s="38" t="n"/>
      <c r="P177" s="38" t="n"/>
      <c r="Q177" s="38" t="n"/>
      <c r="R177" s="38" t="n"/>
      <c r="S177" s="38" t="n"/>
      <c r="T177" s="38" t="n"/>
      <c r="U177" s="38" t="n"/>
      <c r="V177" s="7" t="n"/>
      <c r="X177" s="22">
        <f>IF($B177="","",IFERROR(INDEX(Cost_Centers!$E:$E,MATCH($B177,Cost_Centers!$A:$A,0)),"(unknown)"))</f>
        <v/>
      </c>
      <c r="Y177" s="22">
        <f>IF($B177="","",IFERROR(INDEX(Cost_Centers!$D:$D,MATCH($B177,Cost_Centers!$A:$A,0)),"(unknown)"))</f>
        <v/>
      </c>
      <c r="Z177" s="22">
        <f>IF(OR($B177="",$G177&lt;&gt;"Variance vs Budget"),"",ABS(N($V177))+ROW()/1000000000)</f>
        <v/>
      </c>
    </row>
    <row r="178">
      <c r="A178" s="30">
        <f>IF($D$178="","",LEFT($D$178,FIND("|",$D$178&amp;"|")-1))</f>
        <v/>
      </c>
      <c r="B178" s="31" t="n"/>
      <c r="C178" s="30">
        <f>IF($B$178="","",IFERROR(INDEX(Cost_Centers!$B:$B,MATCH($B$178,Cost_Centers!$A:$A,0)),"(not in master)"))</f>
        <v/>
      </c>
      <c r="D178" s="31" t="n"/>
      <c r="E178" s="30">
        <f>IF($D$178="","",IFERROR(INDEX(Accounts!$D:$D,MATCH($D$178,Accounts!$A:$A,0)),"(not in master)"))</f>
        <v/>
      </c>
      <c r="F178" s="31" t="n"/>
      <c r="G178" s="30" t="inlineStr">
        <is>
          <t>Budget</t>
        </is>
      </c>
      <c r="H178" s="32">
        <f>IF($B$178="","",SUMIFS(Opex_Budget!$O:$O,Opex_Budget!$A:$A,$C$3,Opex_Budget!$E:$E,$B$178,Opex_Budget!$F:$F,$D$178,Opex_Budget!$N:$N,"JPY")*$E$5+SUMIFS(Opex_Budget!$O:$O,Opex_Budget!$A:$A,$C$3,Opex_Budget!$E:$E,$B$178,Opex_Budget!$F:$F,$D$178,Opex_Budget!$N:$N,"USD")*$F$5+SUMIFS(Opex_Budget!$O:$O,Opex_Budget!$A:$A,$C$3,Opex_Budget!$E:$E,$B$178,Opex_Budget!$F:$F,$D$178,Opex_Budget!$N:$N,"EUR")*$G$5+SUMIFS(Opex_Budget!$O:$O,Opex_Budget!$A:$A,$C$3,Opex_Budget!$E:$E,$B$178,Opex_Budget!$F:$F,$D$178,Opex_Budget!$N:$N,"GBP")*$H$5)</f>
        <v/>
      </c>
      <c r="I178" s="32">
        <f>IF($B$178="","",SUMIFS(Opex_Budget!$P:$P,Opex_Budget!$A:$A,$C$3,Opex_Budget!$E:$E,$B$178,Opex_Budget!$F:$F,$D$178,Opex_Budget!$N:$N,"JPY")*$E$5+SUMIFS(Opex_Budget!$P:$P,Opex_Budget!$A:$A,$C$3,Opex_Budget!$E:$E,$B$178,Opex_Budget!$F:$F,$D$178,Opex_Budget!$N:$N,"USD")*$F$5+SUMIFS(Opex_Budget!$P:$P,Opex_Budget!$A:$A,$C$3,Opex_Budget!$E:$E,$B$178,Opex_Budget!$F:$F,$D$178,Opex_Budget!$N:$N,"EUR")*$G$5+SUMIFS(Opex_Budget!$P:$P,Opex_Budget!$A:$A,$C$3,Opex_Budget!$E:$E,$B$178,Opex_Budget!$F:$F,$D$178,Opex_Budget!$N:$N,"GBP")*$H$5)</f>
        <v/>
      </c>
      <c r="J178" s="32">
        <f>IF($B$178="","",SUMIFS(Opex_Budget!$Q:$Q,Opex_Budget!$A:$A,$C$3,Opex_Budget!$E:$E,$B$178,Opex_Budget!$F:$F,$D$178,Opex_Budget!$N:$N,"JPY")*$E$5+SUMIFS(Opex_Budget!$Q:$Q,Opex_Budget!$A:$A,$C$3,Opex_Budget!$E:$E,$B$178,Opex_Budget!$F:$F,$D$178,Opex_Budget!$N:$N,"USD")*$F$5+SUMIFS(Opex_Budget!$Q:$Q,Opex_Budget!$A:$A,$C$3,Opex_Budget!$E:$E,$B$178,Opex_Budget!$F:$F,$D$178,Opex_Budget!$N:$N,"EUR")*$G$5+SUMIFS(Opex_Budget!$Q:$Q,Opex_Budget!$A:$A,$C$3,Opex_Budget!$E:$E,$B$178,Opex_Budget!$F:$F,$D$178,Opex_Budget!$N:$N,"GBP")*$H$5)</f>
        <v/>
      </c>
      <c r="K178" s="32">
        <f>IF($B$178="","",SUMIFS(Opex_Budget!$R:$R,Opex_Budget!$A:$A,$C$3,Opex_Budget!$E:$E,$B$178,Opex_Budget!$F:$F,$D$178,Opex_Budget!$N:$N,"JPY")*$E$5+SUMIFS(Opex_Budget!$R:$R,Opex_Budget!$A:$A,$C$3,Opex_Budget!$E:$E,$B$178,Opex_Budget!$F:$F,$D$178,Opex_Budget!$N:$N,"USD")*$F$5+SUMIFS(Opex_Budget!$R:$R,Opex_Budget!$A:$A,$C$3,Opex_Budget!$E:$E,$B$178,Opex_Budget!$F:$F,$D$178,Opex_Budget!$N:$N,"EUR")*$G$5+SUMIFS(Opex_Budget!$R:$R,Opex_Budget!$A:$A,$C$3,Opex_Budget!$E:$E,$B$178,Opex_Budget!$F:$F,$D$178,Opex_Budget!$N:$N,"GBP")*$H$5)</f>
        <v/>
      </c>
      <c r="L178" s="32">
        <f>IF($B$178="","",SUMIFS(Opex_Budget!$S:$S,Opex_Budget!$A:$A,$C$3,Opex_Budget!$E:$E,$B$178,Opex_Budget!$F:$F,$D$178,Opex_Budget!$N:$N,"JPY")*$E$5+SUMIFS(Opex_Budget!$S:$S,Opex_Budget!$A:$A,$C$3,Opex_Budget!$E:$E,$B$178,Opex_Budget!$F:$F,$D$178,Opex_Budget!$N:$N,"USD")*$F$5+SUMIFS(Opex_Budget!$S:$S,Opex_Budget!$A:$A,$C$3,Opex_Budget!$E:$E,$B$178,Opex_Budget!$F:$F,$D$178,Opex_Budget!$N:$N,"EUR")*$G$5+SUMIFS(Opex_Budget!$S:$S,Opex_Budget!$A:$A,$C$3,Opex_Budget!$E:$E,$B$178,Opex_Budget!$F:$F,$D$178,Opex_Budget!$N:$N,"GBP")*$H$5)</f>
        <v/>
      </c>
      <c r="M178" s="32">
        <f>IF($B$178="","",SUMIFS(Opex_Budget!$T:$T,Opex_Budget!$A:$A,$C$3,Opex_Budget!$E:$E,$B$178,Opex_Budget!$F:$F,$D$178,Opex_Budget!$N:$N,"JPY")*$E$5+SUMIFS(Opex_Budget!$T:$T,Opex_Budget!$A:$A,$C$3,Opex_Budget!$E:$E,$B$178,Opex_Budget!$F:$F,$D$178,Opex_Budget!$N:$N,"USD")*$F$5+SUMIFS(Opex_Budget!$T:$T,Opex_Budget!$A:$A,$C$3,Opex_Budget!$E:$E,$B$178,Opex_Budget!$F:$F,$D$178,Opex_Budget!$N:$N,"EUR")*$G$5+SUMIFS(Opex_Budget!$T:$T,Opex_Budget!$A:$A,$C$3,Opex_Budget!$E:$E,$B$178,Opex_Budget!$F:$F,$D$178,Opex_Budget!$N:$N,"GBP")*$H$5)</f>
        <v/>
      </c>
      <c r="N178" s="32">
        <f>IF($B$178="","",SUMIFS(Opex_Budget!$U:$U,Opex_Budget!$A:$A,$C$3,Opex_Budget!$E:$E,$B$178,Opex_Budget!$F:$F,$D$178,Opex_Budget!$N:$N,"JPY")*$E$5+SUMIFS(Opex_Budget!$U:$U,Opex_Budget!$A:$A,$C$3,Opex_Budget!$E:$E,$B$178,Opex_Budget!$F:$F,$D$178,Opex_Budget!$N:$N,"USD")*$F$5+SUMIFS(Opex_Budget!$U:$U,Opex_Budget!$A:$A,$C$3,Opex_Budget!$E:$E,$B$178,Opex_Budget!$F:$F,$D$178,Opex_Budget!$N:$N,"EUR")*$G$5+SUMIFS(Opex_Budget!$U:$U,Opex_Budget!$A:$A,$C$3,Opex_Budget!$E:$E,$B$178,Opex_Budget!$F:$F,$D$178,Opex_Budget!$N:$N,"GBP")*$H$5)</f>
        <v/>
      </c>
      <c r="O178" s="32">
        <f>IF($B$178="","",SUMIFS(Opex_Budget!$V:$V,Opex_Budget!$A:$A,$C$3,Opex_Budget!$E:$E,$B$178,Opex_Budget!$F:$F,$D$178,Opex_Budget!$N:$N,"JPY")*$E$5+SUMIFS(Opex_Budget!$V:$V,Opex_Budget!$A:$A,$C$3,Opex_Budget!$E:$E,$B$178,Opex_Budget!$F:$F,$D$178,Opex_Budget!$N:$N,"USD")*$F$5+SUMIFS(Opex_Budget!$V:$V,Opex_Budget!$A:$A,$C$3,Opex_Budget!$E:$E,$B$178,Opex_Budget!$F:$F,$D$178,Opex_Budget!$N:$N,"EUR")*$G$5+SUMIFS(Opex_Budget!$V:$V,Opex_Budget!$A:$A,$C$3,Opex_Budget!$E:$E,$B$178,Opex_Budget!$F:$F,$D$178,Opex_Budget!$N:$N,"GBP")*$H$5)</f>
        <v/>
      </c>
      <c r="P178" s="32">
        <f>IF($B$178="","",SUMIFS(Opex_Budget!$W:$W,Opex_Budget!$A:$A,$C$3,Opex_Budget!$E:$E,$B$178,Opex_Budget!$F:$F,$D$178,Opex_Budget!$N:$N,"JPY")*$E$5+SUMIFS(Opex_Budget!$W:$W,Opex_Budget!$A:$A,$C$3,Opex_Budget!$E:$E,$B$178,Opex_Budget!$F:$F,$D$178,Opex_Budget!$N:$N,"USD")*$F$5+SUMIFS(Opex_Budget!$W:$W,Opex_Budget!$A:$A,$C$3,Opex_Budget!$E:$E,$B$178,Opex_Budget!$F:$F,$D$178,Opex_Budget!$N:$N,"EUR")*$G$5+SUMIFS(Opex_Budget!$W:$W,Opex_Budget!$A:$A,$C$3,Opex_Budget!$E:$E,$B$178,Opex_Budget!$F:$F,$D$178,Opex_Budget!$N:$N,"GBP")*$H$5)</f>
        <v/>
      </c>
      <c r="Q178" s="32">
        <f>IF($B$178="","",SUMIFS(Opex_Budget!$X:$X,Opex_Budget!$A:$A,$C$3,Opex_Budget!$E:$E,$B$178,Opex_Budget!$F:$F,$D$178,Opex_Budget!$N:$N,"JPY")*$E$5+SUMIFS(Opex_Budget!$X:$X,Opex_Budget!$A:$A,$C$3,Opex_Budget!$E:$E,$B$178,Opex_Budget!$F:$F,$D$178,Opex_Budget!$N:$N,"USD")*$F$5+SUMIFS(Opex_Budget!$X:$X,Opex_Budget!$A:$A,$C$3,Opex_Budget!$E:$E,$B$178,Opex_Budget!$F:$F,$D$178,Opex_Budget!$N:$N,"EUR")*$G$5+SUMIFS(Opex_Budget!$X:$X,Opex_Budget!$A:$A,$C$3,Opex_Budget!$E:$E,$B$178,Opex_Budget!$F:$F,$D$178,Opex_Budget!$N:$N,"GBP")*$H$5)</f>
        <v/>
      </c>
      <c r="R178" s="32">
        <f>IF($B$178="","",SUMIFS(Opex_Budget!$Y:$Y,Opex_Budget!$A:$A,$C$3,Opex_Budget!$E:$E,$B$178,Opex_Budget!$F:$F,$D$178,Opex_Budget!$N:$N,"JPY")*$E$5+SUMIFS(Opex_Budget!$Y:$Y,Opex_Budget!$A:$A,$C$3,Opex_Budget!$E:$E,$B$178,Opex_Budget!$F:$F,$D$178,Opex_Budget!$N:$N,"USD")*$F$5+SUMIFS(Opex_Budget!$Y:$Y,Opex_Budget!$A:$A,$C$3,Opex_Budget!$E:$E,$B$178,Opex_Budget!$F:$F,$D$178,Opex_Budget!$N:$N,"EUR")*$G$5+SUMIFS(Opex_Budget!$Y:$Y,Opex_Budget!$A:$A,$C$3,Opex_Budget!$E:$E,$B$178,Opex_Budget!$F:$F,$D$178,Opex_Budget!$N:$N,"GBP")*$H$5)</f>
        <v/>
      </c>
      <c r="S178" s="32">
        <f>IF($B$178="","",SUMIFS(Opex_Budget!$Z:$Z,Opex_Budget!$A:$A,$C$3,Opex_Budget!$E:$E,$B$178,Opex_Budget!$F:$F,$D$178,Opex_Budget!$N:$N,"JPY")*$E$5+SUMIFS(Opex_Budget!$Z:$Z,Opex_Budget!$A:$A,$C$3,Opex_Budget!$E:$E,$B$178,Opex_Budget!$F:$F,$D$178,Opex_Budget!$N:$N,"USD")*$F$5+SUMIFS(Opex_Budget!$Z:$Z,Opex_Budget!$A:$A,$C$3,Opex_Budget!$E:$E,$B$178,Opex_Budget!$F:$F,$D$178,Opex_Budget!$N:$N,"EUR")*$G$5+SUMIFS(Opex_Budget!$Z:$Z,Opex_Budget!$A:$A,$C$3,Opex_Budget!$E:$E,$B$178,Opex_Budget!$F:$F,$D$178,Opex_Budget!$N:$N,"GBP")*$H$5)</f>
        <v/>
      </c>
      <c r="T178" s="32">
        <f>IF($B$178="","",SUMIF($H$7:$S$7,"&lt;="&amp;$C$4,$H178:$S178))</f>
        <v/>
      </c>
      <c r="U178" s="32">
        <f>IF($B$178="","",SUMIF($H$7:$S$7,"&gt;"&amp;$C$4,$H178:$S178))</f>
        <v/>
      </c>
      <c r="V178" s="32">
        <f>IF($B$178="","",SUM($H178:$S178))</f>
        <v/>
      </c>
      <c r="X178" s="22">
        <f>IF($B178="","",IFERROR(INDEX(Cost_Centers!$E:$E,MATCH($B178,Cost_Centers!$A:$A,0)),"(unknown)"))</f>
        <v/>
      </c>
      <c r="Y178" s="22">
        <f>IF($B178="","",IFERROR(INDEX(Cost_Centers!$D:$D,MATCH($B178,Cost_Centers!$A:$A,0)),"(unknown)"))</f>
        <v/>
      </c>
      <c r="Z178" s="22">
        <f>IF(OR($B178="",$G178&lt;&gt;"Variance vs Budget"),"",ABS(N($V178))+ROW()/1000000000)</f>
        <v/>
      </c>
    </row>
    <row r="179">
      <c r="A179" s="13">
        <f>IF(A$178="","",A$178)</f>
        <v/>
      </c>
      <c r="B179" s="13">
        <f>IF(B$178="","",B$178)</f>
        <v/>
      </c>
      <c r="C179" s="13">
        <f>IF(C$178="","",C$178)</f>
        <v/>
      </c>
      <c r="D179" s="13">
        <f>IF(D$178="","",D$178)</f>
        <v/>
      </c>
      <c r="E179" s="13">
        <f>IF(E$178="","",E$178)</f>
        <v/>
      </c>
      <c r="F179" s="13">
        <f>IF(F$178="","",F$178)</f>
        <v/>
      </c>
      <c r="G179" s="7" t="inlineStr">
        <is>
          <t>Actual</t>
        </is>
      </c>
      <c r="H179" s="18">
        <f>IF(OR($B$178="",1&gt;$C$4),"",SUMIFS(Actuals!$G:$G,Actuals!$B:$B,$C$3,Actuals!$C:$C,1,Actuals!$D:$D,$B$178,Actuals!$A:$A,LEFT($D$178,FIND("|",$D$178&amp;"|")-1),Actuals!$E:$E,MID($D$178,FIND("|",$D$178&amp;"|")+1,50),Actuals!$F:$F,"JPY")*$E$5+SUMIFS(Actuals!$G:$G,Actuals!$B:$B,$C$3,Actuals!$C:$C,1,Actuals!$D:$D,$B$178,Actuals!$A:$A,LEFT($D$178,FIND("|",$D$178&amp;"|")-1),Actuals!$E:$E,MID($D$178,FIND("|",$D$178&amp;"|")+1,50),Actuals!$F:$F,"USD")*$F$5+SUMIFS(Actuals!$G:$G,Actuals!$B:$B,$C$3,Actuals!$C:$C,1,Actuals!$D:$D,$B$178,Actuals!$A:$A,LEFT($D$178,FIND("|",$D$178&amp;"|")-1),Actuals!$E:$E,MID($D$178,FIND("|",$D$178&amp;"|")+1,50),Actuals!$F:$F,"EUR")*$G$5+SUMIFS(Actuals!$G:$G,Actuals!$B:$B,$C$3,Actuals!$C:$C,1,Actuals!$D:$D,$B$178,Actuals!$A:$A,LEFT($D$178,FIND("|",$D$178&amp;"|")-1),Actuals!$E:$E,MID($D$178,FIND("|",$D$178&amp;"|")+1,50),Actuals!$F:$F,"GBP")*$H$5)</f>
        <v/>
      </c>
      <c r="I179" s="18">
        <f>IF(OR($B$178="",2&gt;$C$4),"",SUMIFS(Actuals!$G:$G,Actuals!$B:$B,$C$3,Actuals!$C:$C,2,Actuals!$D:$D,$B$178,Actuals!$A:$A,LEFT($D$178,FIND("|",$D$178&amp;"|")-1),Actuals!$E:$E,MID($D$178,FIND("|",$D$178&amp;"|")+1,50),Actuals!$F:$F,"JPY")*$E$5+SUMIFS(Actuals!$G:$G,Actuals!$B:$B,$C$3,Actuals!$C:$C,2,Actuals!$D:$D,$B$178,Actuals!$A:$A,LEFT($D$178,FIND("|",$D$178&amp;"|")-1),Actuals!$E:$E,MID($D$178,FIND("|",$D$178&amp;"|")+1,50),Actuals!$F:$F,"USD")*$F$5+SUMIFS(Actuals!$G:$G,Actuals!$B:$B,$C$3,Actuals!$C:$C,2,Actuals!$D:$D,$B$178,Actuals!$A:$A,LEFT($D$178,FIND("|",$D$178&amp;"|")-1),Actuals!$E:$E,MID($D$178,FIND("|",$D$178&amp;"|")+1,50),Actuals!$F:$F,"EUR")*$G$5+SUMIFS(Actuals!$G:$G,Actuals!$B:$B,$C$3,Actuals!$C:$C,2,Actuals!$D:$D,$B$178,Actuals!$A:$A,LEFT($D$178,FIND("|",$D$178&amp;"|")-1),Actuals!$E:$E,MID($D$178,FIND("|",$D$178&amp;"|")+1,50),Actuals!$F:$F,"GBP")*$H$5)</f>
        <v/>
      </c>
      <c r="J179" s="18">
        <f>IF(OR($B$178="",3&gt;$C$4),"",SUMIFS(Actuals!$G:$G,Actuals!$B:$B,$C$3,Actuals!$C:$C,3,Actuals!$D:$D,$B$178,Actuals!$A:$A,LEFT($D$178,FIND("|",$D$178&amp;"|")-1),Actuals!$E:$E,MID($D$178,FIND("|",$D$178&amp;"|")+1,50),Actuals!$F:$F,"JPY")*$E$5+SUMIFS(Actuals!$G:$G,Actuals!$B:$B,$C$3,Actuals!$C:$C,3,Actuals!$D:$D,$B$178,Actuals!$A:$A,LEFT($D$178,FIND("|",$D$178&amp;"|")-1),Actuals!$E:$E,MID($D$178,FIND("|",$D$178&amp;"|")+1,50),Actuals!$F:$F,"USD")*$F$5+SUMIFS(Actuals!$G:$G,Actuals!$B:$B,$C$3,Actuals!$C:$C,3,Actuals!$D:$D,$B$178,Actuals!$A:$A,LEFT($D$178,FIND("|",$D$178&amp;"|")-1),Actuals!$E:$E,MID($D$178,FIND("|",$D$178&amp;"|")+1,50),Actuals!$F:$F,"EUR")*$G$5+SUMIFS(Actuals!$G:$G,Actuals!$B:$B,$C$3,Actuals!$C:$C,3,Actuals!$D:$D,$B$178,Actuals!$A:$A,LEFT($D$178,FIND("|",$D$178&amp;"|")-1),Actuals!$E:$E,MID($D$178,FIND("|",$D$178&amp;"|")+1,50),Actuals!$F:$F,"GBP")*$H$5)</f>
        <v/>
      </c>
      <c r="K179" s="18">
        <f>IF(OR($B$178="",4&gt;$C$4),"",SUMIFS(Actuals!$G:$G,Actuals!$B:$B,$C$3,Actuals!$C:$C,4,Actuals!$D:$D,$B$178,Actuals!$A:$A,LEFT($D$178,FIND("|",$D$178&amp;"|")-1),Actuals!$E:$E,MID($D$178,FIND("|",$D$178&amp;"|")+1,50),Actuals!$F:$F,"JPY")*$E$5+SUMIFS(Actuals!$G:$G,Actuals!$B:$B,$C$3,Actuals!$C:$C,4,Actuals!$D:$D,$B$178,Actuals!$A:$A,LEFT($D$178,FIND("|",$D$178&amp;"|")-1),Actuals!$E:$E,MID($D$178,FIND("|",$D$178&amp;"|")+1,50),Actuals!$F:$F,"USD")*$F$5+SUMIFS(Actuals!$G:$G,Actuals!$B:$B,$C$3,Actuals!$C:$C,4,Actuals!$D:$D,$B$178,Actuals!$A:$A,LEFT($D$178,FIND("|",$D$178&amp;"|")-1),Actuals!$E:$E,MID($D$178,FIND("|",$D$178&amp;"|")+1,50),Actuals!$F:$F,"EUR")*$G$5+SUMIFS(Actuals!$G:$G,Actuals!$B:$B,$C$3,Actuals!$C:$C,4,Actuals!$D:$D,$B$178,Actuals!$A:$A,LEFT($D$178,FIND("|",$D$178&amp;"|")-1),Actuals!$E:$E,MID($D$178,FIND("|",$D$178&amp;"|")+1,50),Actuals!$F:$F,"GBP")*$H$5)</f>
        <v/>
      </c>
      <c r="L179" s="18">
        <f>IF(OR($B$178="",5&gt;$C$4),"",SUMIFS(Actuals!$G:$G,Actuals!$B:$B,$C$3,Actuals!$C:$C,5,Actuals!$D:$D,$B$178,Actuals!$A:$A,LEFT($D$178,FIND("|",$D$178&amp;"|")-1),Actuals!$E:$E,MID($D$178,FIND("|",$D$178&amp;"|")+1,50),Actuals!$F:$F,"JPY")*$E$5+SUMIFS(Actuals!$G:$G,Actuals!$B:$B,$C$3,Actuals!$C:$C,5,Actuals!$D:$D,$B$178,Actuals!$A:$A,LEFT($D$178,FIND("|",$D$178&amp;"|")-1),Actuals!$E:$E,MID($D$178,FIND("|",$D$178&amp;"|")+1,50),Actuals!$F:$F,"USD")*$F$5+SUMIFS(Actuals!$G:$G,Actuals!$B:$B,$C$3,Actuals!$C:$C,5,Actuals!$D:$D,$B$178,Actuals!$A:$A,LEFT($D$178,FIND("|",$D$178&amp;"|")-1),Actuals!$E:$E,MID($D$178,FIND("|",$D$178&amp;"|")+1,50),Actuals!$F:$F,"EUR")*$G$5+SUMIFS(Actuals!$G:$G,Actuals!$B:$B,$C$3,Actuals!$C:$C,5,Actuals!$D:$D,$B$178,Actuals!$A:$A,LEFT($D$178,FIND("|",$D$178&amp;"|")-1),Actuals!$E:$E,MID($D$178,FIND("|",$D$178&amp;"|")+1,50),Actuals!$F:$F,"GBP")*$H$5)</f>
        <v/>
      </c>
      <c r="M179" s="18">
        <f>IF(OR($B$178="",6&gt;$C$4),"",SUMIFS(Actuals!$G:$G,Actuals!$B:$B,$C$3,Actuals!$C:$C,6,Actuals!$D:$D,$B$178,Actuals!$A:$A,LEFT($D$178,FIND("|",$D$178&amp;"|")-1),Actuals!$E:$E,MID($D$178,FIND("|",$D$178&amp;"|")+1,50),Actuals!$F:$F,"JPY")*$E$5+SUMIFS(Actuals!$G:$G,Actuals!$B:$B,$C$3,Actuals!$C:$C,6,Actuals!$D:$D,$B$178,Actuals!$A:$A,LEFT($D$178,FIND("|",$D$178&amp;"|")-1),Actuals!$E:$E,MID($D$178,FIND("|",$D$178&amp;"|")+1,50),Actuals!$F:$F,"USD")*$F$5+SUMIFS(Actuals!$G:$G,Actuals!$B:$B,$C$3,Actuals!$C:$C,6,Actuals!$D:$D,$B$178,Actuals!$A:$A,LEFT($D$178,FIND("|",$D$178&amp;"|")-1),Actuals!$E:$E,MID($D$178,FIND("|",$D$178&amp;"|")+1,50),Actuals!$F:$F,"EUR")*$G$5+SUMIFS(Actuals!$G:$G,Actuals!$B:$B,$C$3,Actuals!$C:$C,6,Actuals!$D:$D,$B$178,Actuals!$A:$A,LEFT($D$178,FIND("|",$D$178&amp;"|")-1),Actuals!$E:$E,MID($D$178,FIND("|",$D$178&amp;"|")+1,50),Actuals!$F:$F,"GBP")*$H$5)</f>
        <v/>
      </c>
      <c r="N179" s="18">
        <f>IF(OR($B$178="",7&gt;$C$4),"",SUMIFS(Actuals!$G:$G,Actuals!$B:$B,$C$3,Actuals!$C:$C,7,Actuals!$D:$D,$B$178,Actuals!$A:$A,LEFT($D$178,FIND("|",$D$178&amp;"|")-1),Actuals!$E:$E,MID($D$178,FIND("|",$D$178&amp;"|")+1,50),Actuals!$F:$F,"JPY")*$E$5+SUMIFS(Actuals!$G:$G,Actuals!$B:$B,$C$3,Actuals!$C:$C,7,Actuals!$D:$D,$B$178,Actuals!$A:$A,LEFT($D$178,FIND("|",$D$178&amp;"|")-1),Actuals!$E:$E,MID($D$178,FIND("|",$D$178&amp;"|")+1,50),Actuals!$F:$F,"USD")*$F$5+SUMIFS(Actuals!$G:$G,Actuals!$B:$B,$C$3,Actuals!$C:$C,7,Actuals!$D:$D,$B$178,Actuals!$A:$A,LEFT($D$178,FIND("|",$D$178&amp;"|")-1),Actuals!$E:$E,MID($D$178,FIND("|",$D$178&amp;"|")+1,50),Actuals!$F:$F,"EUR")*$G$5+SUMIFS(Actuals!$G:$G,Actuals!$B:$B,$C$3,Actuals!$C:$C,7,Actuals!$D:$D,$B$178,Actuals!$A:$A,LEFT($D$178,FIND("|",$D$178&amp;"|")-1),Actuals!$E:$E,MID($D$178,FIND("|",$D$178&amp;"|")+1,50),Actuals!$F:$F,"GBP")*$H$5)</f>
        <v/>
      </c>
      <c r="O179" s="18">
        <f>IF(OR($B$178="",8&gt;$C$4),"",SUMIFS(Actuals!$G:$G,Actuals!$B:$B,$C$3,Actuals!$C:$C,8,Actuals!$D:$D,$B$178,Actuals!$A:$A,LEFT($D$178,FIND("|",$D$178&amp;"|")-1),Actuals!$E:$E,MID($D$178,FIND("|",$D$178&amp;"|")+1,50),Actuals!$F:$F,"JPY")*$E$5+SUMIFS(Actuals!$G:$G,Actuals!$B:$B,$C$3,Actuals!$C:$C,8,Actuals!$D:$D,$B$178,Actuals!$A:$A,LEFT($D$178,FIND("|",$D$178&amp;"|")-1),Actuals!$E:$E,MID($D$178,FIND("|",$D$178&amp;"|")+1,50),Actuals!$F:$F,"USD")*$F$5+SUMIFS(Actuals!$G:$G,Actuals!$B:$B,$C$3,Actuals!$C:$C,8,Actuals!$D:$D,$B$178,Actuals!$A:$A,LEFT($D$178,FIND("|",$D$178&amp;"|")-1),Actuals!$E:$E,MID($D$178,FIND("|",$D$178&amp;"|")+1,50),Actuals!$F:$F,"EUR")*$G$5+SUMIFS(Actuals!$G:$G,Actuals!$B:$B,$C$3,Actuals!$C:$C,8,Actuals!$D:$D,$B$178,Actuals!$A:$A,LEFT($D$178,FIND("|",$D$178&amp;"|")-1),Actuals!$E:$E,MID($D$178,FIND("|",$D$178&amp;"|")+1,50),Actuals!$F:$F,"GBP")*$H$5)</f>
        <v/>
      </c>
      <c r="P179" s="18">
        <f>IF(OR($B$178="",9&gt;$C$4),"",SUMIFS(Actuals!$G:$G,Actuals!$B:$B,$C$3,Actuals!$C:$C,9,Actuals!$D:$D,$B$178,Actuals!$A:$A,LEFT($D$178,FIND("|",$D$178&amp;"|")-1),Actuals!$E:$E,MID($D$178,FIND("|",$D$178&amp;"|")+1,50),Actuals!$F:$F,"JPY")*$E$5+SUMIFS(Actuals!$G:$G,Actuals!$B:$B,$C$3,Actuals!$C:$C,9,Actuals!$D:$D,$B$178,Actuals!$A:$A,LEFT($D$178,FIND("|",$D$178&amp;"|")-1),Actuals!$E:$E,MID($D$178,FIND("|",$D$178&amp;"|")+1,50),Actuals!$F:$F,"USD")*$F$5+SUMIFS(Actuals!$G:$G,Actuals!$B:$B,$C$3,Actuals!$C:$C,9,Actuals!$D:$D,$B$178,Actuals!$A:$A,LEFT($D$178,FIND("|",$D$178&amp;"|")-1),Actuals!$E:$E,MID($D$178,FIND("|",$D$178&amp;"|")+1,50),Actuals!$F:$F,"EUR")*$G$5+SUMIFS(Actuals!$G:$G,Actuals!$B:$B,$C$3,Actuals!$C:$C,9,Actuals!$D:$D,$B$178,Actuals!$A:$A,LEFT($D$178,FIND("|",$D$178&amp;"|")-1),Actuals!$E:$E,MID($D$178,FIND("|",$D$178&amp;"|")+1,50),Actuals!$F:$F,"GBP")*$H$5)</f>
        <v/>
      </c>
      <c r="Q179" s="18">
        <f>IF(OR($B$178="",10&gt;$C$4),"",SUMIFS(Actuals!$G:$G,Actuals!$B:$B,$C$3,Actuals!$C:$C,10,Actuals!$D:$D,$B$178,Actuals!$A:$A,LEFT($D$178,FIND("|",$D$178&amp;"|")-1),Actuals!$E:$E,MID($D$178,FIND("|",$D$178&amp;"|")+1,50),Actuals!$F:$F,"JPY")*$E$5+SUMIFS(Actuals!$G:$G,Actuals!$B:$B,$C$3,Actuals!$C:$C,10,Actuals!$D:$D,$B$178,Actuals!$A:$A,LEFT($D$178,FIND("|",$D$178&amp;"|")-1),Actuals!$E:$E,MID($D$178,FIND("|",$D$178&amp;"|")+1,50),Actuals!$F:$F,"USD")*$F$5+SUMIFS(Actuals!$G:$G,Actuals!$B:$B,$C$3,Actuals!$C:$C,10,Actuals!$D:$D,$B$178,Actuals!$A:$A,LEFT($D$178,FIND("|",$D$178&amp;"|")-1),Actuals!$E:$E,MID($D$178,FIND("|",$D$178&amp;"|")+1,50),Actuals!$F:$F,"EUR")*$G$5+SUMIFS(Actuals!$G:$G,Actuals!$B:$B,$C$3,Actuals!$C:$C,10,Actuals!$D:$D,$B$178,Actuals!$A:$A,LEFT($D$178,FIND("|",$D$178&amp;"|")-1),Actuals!$E:$E,MID($D$178,FIND("|",$D$178&amp;"|")+1,50),Actuals!$F:$F,"GBP")*$H$5)</f>
        <v/>
      </c>
      <c r="R179" s="18">
        <f>IF(OR($B$178="",11&gt;$C$4),"",SUMIFS(Actuals!$G:$G,Actuals!$B:$B,$C$3,Actuals!$C:$C,11,Actuals!$D:$D,$B$178,Actuals!$A:$A,LEFT($D$178,FIND("|",$D$178&amp;"|")-1),Actuals!$E:$E,MID($D$178,FIND("|",$D$178&amp;"|")+1,50),Actuals!$F:$F,"JPY")*$E$5+SUMIFS(Actuals!$G:$G,Actuals!$B:$B,$C$3,Actuals!$C:$C,11,Actuals!$D:$D,$B$178,Actuals!$A:$A,LEFT($D$178,FIND("|",$D$178&amp;"|")-1),Actuals!$E:$E,MID($D$178,FIND("|",$D$178&amp;"|")+1,50),Actuals!$F:$F,"USD")*$F$5+SUMIFS(Actuals!$G:$G,Actuals!$B:$B,$C$3,Actuals!$C:$C,11,Actuals!$D:$D,$B$178,Actuals!$A:$A,LEFT($D$178,FIND("|",$D$178&amp;"|")-1),Actuals!$E:$E,MID($D$178,FIND("|",$D$178&amp;"|")+1,50),Actuals!$F:$F,"EUR")*$G$5+SUMIFS(Actuals!$G:$G,Actuals!$B:$B,$C$3,Actuals!$C:$C,11,Actuals!$D:$D,$B$178,Actuals!$A:$A,LEFT($D$178,FIND("|",$D$178&amp;"|")-1),Actuals!$E:$E,MID($D$178,FIND("|",$D$178&amp;"|")+1,50),Actuals!$F:$F,"GBP")*$H$5)</f>
        <v/>
      </c>
      <c r="S179" s="18">
        <f>IF(OR($B$178="",12&gt;$C$4),"",SUMIFS(Actuals!$G:$G,Actuals!$B:$B,$C$3,Actuals!$C:$C,12,Actuals!$D:$D,$B$178,Actuals!$A:$A,LEFT($D$178,FIND("|",$D$178&amp;"|")-1),Actuals!$E:$E,MID($D$178,FIND("|",$D$178&amp;"|")+1,50),Actuals!$F:$F,"JPY")*$E$5+SUMIFS(Actuals!$G:$G,Actuals!$B:$B,$C$3,Actuals!$C:$C,12,Actuals!$D:$D,$B$178,Actuals!$A:$A,LEFT($D$178,FIND("|",$D$178&amp;"|")-1),Actuals!$E:$E,MID($D$178,FIND("|",$D$178&amp;"|")+1,50),Actuals!$F:$F,"USD")*$F$5+SUMIFS(Actuals!$G:$G,Actuals!$B:$B,$C$3,Actuals!$C:$C,12,Actuals!$D:$D,$B$178,Actuals!$A:$A,LEFT($D$178,FIND("|",$D$178&amp;"|")-1),Actuals!$E:$E,MID($D$178,FIND("|",$D$178&amp;"|")+1,50),Actuals!$F:$F,"EUR")*$G$5+SUMIFS(Actuals!$G:$G,Actuals!$B:$B,$C$3,Actuals!$C:$C,12,Actuals!$D:$D,$B$178,Actuals!$A:$A,LEFT($D$178,FIND("|",$D$178&amp;"|")-1),Actuals!$E:$E,MID($D$178,FIND("|",$D$178&amp;"|")+1,50),Actuals!$F:$F,"GBP")*$H$5)</f>
        <v/>
      </c>
      <c r="T179" s="18">
        <f>IF($B$178="","",SUMIF($H$7:$S$7,"&lt;="&amp;$C$4,$H179:$S179))</f>
        <v/>
      </c>
      <c r="U179" s="18" t="n"/>
      <c r="V179" s="18" t="n"/>
      <c r="X179" s="22">
        <f>IF($B179="","",IFERROR(INDEX(Cost_Centers!$E:$E,MATCH($B179,Cost_Centers!$A:$A,0)),"(unknown)"))</f>
        <v/>
      </c>
      <c r="Y179" s="22">
        <f>IF($B179="","",IFERROR(INDEX(Cost_Centers!$D:$D,MATCH($B179,Cost_Centers!$A:$A,0)),"(unknown)"))</f>
        <v/>
      </c>
      <c r="Z179" s="22">
        <f>IF(OR($B179="",$G179&lt;&gt;"Variance vs Budget"),"",ABS(N($V179))+ROW()/1000000000)</f>
        <v/>
      </c>
    </row>
    <row r="180">
      <c r="A180" s="13">
        <f>IF(A$178="","",A$178)</f>
        <v/>
      </c>
      <c r="B180" s="13">
        <f>IF(B$178="","",B$178)</f>
        <v/>
      </c>
      <c r="C180" s="13">
        <f>IF(C$178="","",C$178)</f>
        <v/>
      </c>
      <c r="D180" s="13">
        <f>IF(D$178="","",D$178)</f>
        <v/>
      </c>
      <c r="E180" s="13">
        <f>IF(E$178="","",E$178)</f>
        <v/>
      </c>
      <c r="F180" s="13">
        <f>IF(F$178="","",F$178)</f>
        <v/>
      </c>
      <c r="G180" s="6" t="inlineStr">
        <is>
          <t>Variance vs Budget</t>
        </is>
      </c>
      <c r="H180" s="33">
        <f>IF(OR($B$178="",1&gt;$C$4),"",N(H179)-H178)</f>
        <v/>
      </c>
      <c r="I180" s="33">
        <f>IF(OR($B$178="",2&gt;$C$4),"",N(I179)-I178)</f>
        <v/>
      </c>
      <c r="J180" s="33">
        <f>IF(OR($B$178="",3&gt;$C$4),"",N(J179)-J178)</f>
        <v/>
      </c>
      <c r="K180" s="33">
        <f>IF(OR($B$178="",4&gt;$C$4),"",N(K179)-K178)</f>
        <v/>
      </c>
      <c r="L180" s="33">
        <f>IF(OR($B$178="",5&gt;$C$4),"",N(L179)-L178)</f>
        <v/>
      </c>
      <c r="M180" s="33">
        <f>IF(OR($B$178="",6&gt;$C$4),"",N(M179)-M178)</f>
        <v/>
      </c>
      <c r="N180" s="33">
        <f>IF(OR($B$178="",7&gt;$C$4),"",N(N179)-N178)</f>
        <v/>
      </c>
      <c r="O180" s="33">
        <f>IF(OR($B$178="",8&gt;$C$4),"",N(O179)-O178)</f>
        <v/>
      </c>
      <c r="P180" s="33">
        <f>IF(OR($B$178="",9&gt;$C$4),"",N(P179)-P178)</f>
        <v/>
      </c>
      <c r="Q180" s="33">
        <f>IF(OR($B$178="",10&gt;$C$4),"",N(Q179)-Q178)</f>
        <v/>
      </c>
      <c r="R180" s="33">
        <f>IF(OR($B$178="",11&gt;$C$4),"",N(R179)-R178)</f>
        <v/>
      </c>
      <c r="S180" s="33">
        <f>IF(OR($B$178="",12&gt;$C$4),"",N(S179)-S178)</f>
        <v/>
      </c>
      <c r="T180" s="33">
        <f>IF($B$178="","",T179-T178)</f>
        <v/>
      </c>
      <c r="U180" s="33">
        <f>IF($B$178="","",U182-U178)</f>
        <v/>
      </c>
      <c r="V180" s="33">
        <f>IF($B$178="","",V182-V178)</f>
        <v/>
      </c>
      <c r="X180" s="22">
        <f>IF($B180="","",IFERROR(INDEX(Cost_Centers!$E:$E,MATCH($B180,Cost_Centers!$A:$A,0)),"(unknown)"))</f>
        <v/>
      </c>
      <c r="Y180" s="22">
        <f>IF($B180="","",IFERROR(INDEX(Cost_Centers!$D:$D,MATCH($B180,Cost_Centers!$A:$A,0)),"(unknown)"))</f>
        <v/>
      </c>
      <c r="Z180" s="22">
        <f>IF(OR($B180="",$G180&lt;&gt;"Variance vs Budget"),"",ABS(N($V180))+ROW()/1000000000)</f>
        <v/>
      </c>
    </row>
    <row r="181">
      <c r="A181" s="13">
        <f>IF(A$178="","",A$178)</f>
        <v/>
      </c>
      <c r="B181" s="13">
        <f>IF(B$178="","",B$178)</f>
        <v/>
      </c>
      <c r="C181" s="13">
        <f>IF(C$178="","",C$178)</f>
        <v/>
      </c>
      <c r="D181" s="13">
        <f>IF(D$178="","",D$178)</f>
        <v/>
      </c>
      <c r="E181" s="13">
        <f>IF(E$178="","",E$178)</f>
        <v/>
      </c>
      <c r="F181" s="13">
        <f>IF(F$178="","",F$178)</f>
        <v/>
      </c>
      <c r="G181" s="7" t="inlineStr">
        <is>
          <t>Forecast (input)</t>
        </is>
      </c>
      <c r="H181" s="34" t="n"/>
      <c r="I181" s="34" t="n"/>
      <c r="J181" s="34" t="n"/>
      <c r="K181" s="34" t="n"/>
      <c r="L181" s="34" t="n"/>
      <c r="M181" s="34" t="n"/>
      <c r="N181" s="34" t="n"/>
      <c r="O181" s="34" t="n"/>
      <c r="P181" s="34" t="n"/>
      <c r="Q181" s="34" t="n"/>
      <c r="R181" s="34" t="n"/>
      <c r="S181" s="34" t="n"/>
      <c r="T181" s="18" t="n"/>
      <c r="U181" s="18" t="n"/>
      <c r="V181" s="18" t="n"/>
      <c r="X181" s="22">
        <f>IF($B181="","",IFERROR(INDEX(Cost_Centers!$E:$E,MATCH($B181,Cost_Centers!$A:$A,0)),"(unknown)"))</f>
        <v/>
      </c>
      <c r="Y181" s="22">
        <f>IF($B181="","",IFERROR(INDEX(Cost_Centers!$D:$D,MATCH($B181,Cost_Centers!$A:$A,0)),"(unknown)"))</f>
        <v/>
      </c>
      <c r="Z181" s="22">
        <f>IF(OR($B181="",$G181&lt;&gt;"Variance vs Budget"),"",ABS(N($V181))+ROW()/1000000000)</f>
        <v/>
      </c>
    </row>
    <row r="182">
      <c r="A182" s="13">
        <f>IF(A$178="","",A$178)</f>
        <v/>
      </c>
      <c r="B182" s="13">
        <f>IF(B$178="","",B$178)</f>
        <v/>
      </c>
      <c r="C182" s="13">
        <f>IF(C$178="","",C$178)</f>
        <v/>
      </c>
      <c r="D182" s="13">
        <f>IF(D$178="","",D$178)</f>
        <v/>
      </c>
      <c r="E182" s="13">
        <f>IF(E$178="","",E$178)</f>
        <v/>
      </c>
      <c r="F182" s="13">
        <f>IF(F$178="","",F$178)</f>
        <v/>
      </c>
      <c r="G182" s="35" t="inlineStr">
        <is>
          <t>Actual + Forecast</t>
        </is>
      </c>
      <c r="H182" s="18">
        <f>IF($B$178="","",IF(1&lt;=$C$4,N(H179),IF(H181="",H178,H181)))</f>
        <v/>
      </c>
      <c r="I182" s="18">
        <f>IF($B$178="","",IF(2&lt;=$C$4,N(I179),IF(I181="",I178,I181)))</f>
        <v/>
      </c>
      <c r="J182" s="18">
        <f>IF($B$178="","",IF(3&lt;=$C$4,N(J179),IF(J181="",J178,J181)))</f>
        <v/>
      </c>
      <c r="K182" s="18">
        <f>IF($B$178="","",IF(4&lt;=$C$4,N(K179),IF(K181="",K178,K181)))</f>
        <v/>
      </c>
      <c r="L182" s="18">
        <f>IF($B$178="","",IF(5&lt;=$C$4,N(L179),IF(L181="",L178,L181)))</f>
        <v/>
      </c>
      <c r="M182" s="18">
        <f>IF($B$178="","",IF(6&lt;=$C$4,N(M179),IF(M181="",M178,M181)))</f>
        <v/>
      </c>
      <c r="N182" s="18">
        <f>IF($B$178="","",IF(7&lt;=$C$4,N(N179),IF(N181="",N178,N181)))</f>
        <v/>
      </c>
      <c r="O182" s="18">
        <f>IF($B$178="","",IF(8&lt;=$C$4,N(O179),IF(O181="",O178,O181)))</f>
        <v/>
      </c>
      <c r="P182" s="18">
        <f>IF($B$178="","",IF(9&lt;=$C$4,N(P179),IF(P181="",P178,P181)))</f>
        <v/>
      </c>
      <c r="Q182" s="18">
        <f>IF($B$178="","",IF(10&lt;=$C$4,N(Q179),IF(Q181="",Q178,Q181)))</f>
        <v/>
      </c>
      <c r="R182" s="18">
        <f>IF($B$178="","",IF(11&lt;=$C$4,N(R179),IF(R181="",R178,R181)))</f>
        <v/>
      </c>
      <c r="S182" s="18">
        <f>IF($B$178="","",IF(12&lt;=$C$4,N(S179),IF(S181="",S178,S181)))</f>
        <v/>
      </c>
      <c r="T182" s="18">
        <f>IF($B$178="","",SUMIF($H$7:$S$7,"&lt;="&amp;$C$4,$H182:$S182))</f>
        <v/>
      </c>
      <c r="U182" s="18">
        <f>IF($B$178="","",SUMIF($H$7:$S$7,"&gt;"&amp;$C$4,$H182:$S182))</f>
        <v/>
      </c>
      <c r="V182" s="18">
        <f>IF($B$178="","",SUM($H182:$S182))</f>
        <v/>
      </c>
      <c r="X182" s="22">
        <f>IF($B182="","",IFERROR(INDEX(Cost_Centers!$E:$E,MATCH($B182,Cost_Centers!$A:$A,0)),"(unknown)"))</f>
        <v/>
      </c>
      <c r="Y182" s="22">
        <f>IF($B182="","",IFERROR(INDEX(Cost_Centers!$D:$D,MATCH($B182,Cost_Centers!$A:$A,0)),"(unknown)"))</f>
        <v/>
      </c>
      <c r="Z182" s="22">
        <f>IF(OR($B182="",$G182&lt;&gt;"Variance vs Budget"),"",ABS(N($V182))+ROW()/1000000000)</f>
        <v/>
      </c>
    </row>
    <row r="183">
      <c r="A183" s="13">
        <f>IF(A$178="","",A$178)</f>
        <v/>
      </c>
      <c r="B183" s="13">
        <f>IF(B$178="","",B$178)</f>
        <v/>
      </c>
      <c r="C183" s="13">
        <f>IF(C$178="","",C$178)</f>
        <v/>
      </c>
      <c r="D183" s="13">
        <f>IF(D$178="","",D$178)</f>
        <v/>
      </c>
      <c r="E183" s="13">
        <f>IF(E$178="","",E$178)</f>
        <v/>
      </c>
      <c r="F183" s="13">
        <f>IF(F$178="","",F$178)</f>
        <v/>
      </c>
      <c r="G183" s="36" t="inlineStr">
        <is>
          <t>Prior Month Forecast</t>
        </is>
      </c>
      <c r="H183" s="37">
        <f>IF($B$178="","",IF(COUNTIFS(Prior_Forecast!$A:$A,$B$178,Prior_Forecast!$B:$B,$D$178)&gt;0,SUMIFS(Prior_Forecast!$C:$C,Prior_Forecast!$A:$A,$B$178,Prior_Forecast!$B:$B,$D$178),""))</f>
        <v/>
      </c>
      <c r="I183" s="37">
        <f>IF($B$178="","",IF(COUNTIFS(Prior_Forecast!$A:$A,$B$178,Prior_Forecast!$B:$B,$D$178)&gt;0,SUMIFS(Prior_Forecast!$D:$D,Prior_Forecast!$A:$A,$B$178,Prior_Forecast!$B:$B,$D$178),""))</f>
        <v/>
      </c>
      <c r="J183" s="37">
        <f>IF($B$178="","",IF(COUNTIFS(Prior_Forecast!$A:$A,$B$178,Prior_Forecast!$B:$B,$D$178)&gt;0,SUMIFS(Prior_Forecast!$E:$E,Prior_Forecast!$A:$A,$B$178,Prior_Forecast!$B:$B,$D$178),""))</f>
        <v/>
      </c>
      <c r="K183" s="37">
        <f>IF($B$178="","",IF(COUNTIFS(Prior_Forecast!$A:$A,$B$178,Prior_Forecast!$B:$B,$D$178)&gt;0,SUMIFS(Prior_Forecast!$F:$F,Prior_Forecast!$A:$A,$B$178,Prior_Forecast!$B:$B,$D$178),""))</f>
        <v/>
      </c>
      <c r="L183" s="37">
        <f>IF($B$178="","",IF(COUNTIFS(Prior_Forecast!$A:$A,$B$178,Prior_Forecast!$B:$B,$D$178)&gt;0,SUMIFS(Prior_Forecast!$G:$G,Prior_Forecast!$A:$A,$B$178,Prior_Forecast!$B:$B,$D$178),""))</f>
        <v/>
      </c>
      <c r="M183" s="37">
        <f>IF($B$178="","",IF(COUNTIFS(Prior_Forecast!$A:$A,$B$178,Prior_Forecast!$B:$B,$D$178)&gt;0,SUMIFS(Prior_Forecast!$H:$H,Prior_Forecast!$A:$A,$B$178,Prior_Forecast!$B:$B,$D$178),""))</f>
        <v/>
      </c>
      <c r="N183" s="37">
        <f>IF($B$178="","",IF(COUNTIFS(Prior_Forecast!$A:$A,$B$178,Prior_Forecast!$B:$B,$D$178)&gt;0,SUMIFS(Prior_Forecast!$I:$I,Prior_Forecast!$A:$A,$B$178,Prior_Forecast!$B:$B,$D$178),""))</f>
        <v/>
      </c>
      <c r="O183" s="37">
        <f>IF($B$178="","",IF(COUNTIFS(Prior_Forecast!$A:$A,$B$178,Prior_Forecast!$B:$B,$D$178)&gt;0,SUMIFS(Prior_Forecast!$J:$J,Prior_Forecast!$A:$A,$B$178,Prior_Forecast!$B:$B,$D$178),""))</f>
        <v/>
      </c>
      <c r="P183" s="37">
        <f>IF($B$178="","",IF(COUNTIFS(Prior_Forecast!$A:$A,$B$178,Prior_Forecast!$B:$B,$D$178)&gt;0,SUMIFS(Prior_Forecast!$K:$K,Prior_Forecast!$A:$A,$B$178,Prior_Forecast!$B:$B,$D$178),""))</f>
        <v/>
      </c>
      <c r="Q183" s="37">
        <f>IF($B$178="","",IF(COUNTIFS(Prior_Forecast!$A:$A,$B$178,Prior_Forecast!$B:$B,$D$178)&gt;0,SUMIFS(Prior_Forecast!$L:$L,Prior_Forecast!$A:$A,$B$178,Prior_Forecast!$B:$B,$D$178),""))</f>
        <v/>
      </c>
      <c r="R183" s="37">
        <f>IF($B$178="","",IF(COUNTIFS(Prior_Forecast!$A:$A,$B$178,Prior_Forecast!$B:$B,$D$178)&gt;0,SUMIFS(Prior_Forecast!$M:$M,Prior_Forecast!$A:$A,$B$178,Prior_Forecast!$B:$B,$D$178),""))</f>
        <v/>
      </c>
      <c r="S183" s="37">
        <f>IF($B$178="","",IF(COUNTIFS(Prior_Forecast!$A:$A,$B$178,Prior_Forecast!$B:$B,$D$178)&gt;0,SUMIFS(Prior_Forecast!$N:$N,Prior_Forecast!$A:$A,$B$178,Prior_Forecast!$B:$B,$D$178),""))</f>
        <v/>
      </c>
      <c r="T183" s="37">
        <f>IF($B$178="","",IF(COUNTIFS(Prior_Forecast!$A:$A,$B$178,Prior_Forecast!$B:$B,$D$178)&gt;0,SUMIFS(Prior_Forecast!$O:$O,Prior_Forecast!$A:$A,$B$178,Prior_Forecast!$B:$B,$D$178),""))</f>
        <v/>
      </c>
      <c r="U183" s="37">
        <f>IF($B$178="","",IF(COUNTIFS(Prior_Forecast!$A:$A,$B$178,Prior_Forecast!$B:$B,$D$178)&gt;0,SUMIFS(Prior_Forecast!$P:$P,Prior_Forecast!$A:$A,$B$178,Prior_Forecast!$B:$B,$D$178),""))</f>
        <v/>
      </c>
      <c r="V183" s="37">
        <f>IF($B$178="","",IF(COUNTIFS(Prior_Forecast!$A:$A,$B$178,Prior_Forecast!$B:$B,$D$178)&gt;0,SUMIFS(Prior_Forecast!$Q:$Q,Prior_Forecast!$A:$A,$B$178,Prior_Forecast!$B:$B,$D$178),""))</f>
        <v/>
      </c>
      <c r="X183" s="22">
        <f>IF($B183="","",IFERROR(INDEX(Cost_Centers!$E:$E,MATCH($B183,Cost_Centers!$A:$A,0)),"(unknown)"))</f>
        <v/>
      </c>
      <c r="Y183" s="22">
        <f>IF($B183="","",IFERROR(INDEX(Cost_Centers!$D:$D,MATCH($B183,Cost_Centers!$A:$A,0)),"(unknown)"))</f>
        <v/>
      </c>
      <c r="Z183" s="22">
        <f>IF(OR($B183="",$G183&lt;&gt;"Variance vs Budget"),"",ABS(N($V183))+ROW()/1000000000)</f>
        <v/>
      </c>
    </row>
    <row r="184">
      <c r="A184" s="13">
        <f>IF(A$178="","",A$178)</f>
        <v/>
      </c>
      <c r="B184" s="13">
        <f>IF(B$178="","",B$178)</f>
        <v/>
      </c>
      <c r="C184" s="13">
        <f>IF(C$178="","",C$178)</f>
        <v/>
      </c>
      <c r="D184" s="13">
        <f>IF(D$178="","",D$178)</f>
        <v/>
      </c>
      <c r="E184" s="13">
        <f>IF(E$178="","",E$178)</f>
        <v/>
      </c>
      <c r="F184" s="13">
        <f>IF(F$178="","",F$178)</f>
        <v/>
      </c>
      <c r="G184" s="6" t="inlineStr">
        <is>
          <t>Variance vs Prior Month</t>
        </is>
      </c>
      <c r="H184" s="33">
        <f>IF(OR($B$178="",H183=""),"",H182-H183)</f>
        <v/>
      </c>
      <c r="I184" s="33">
        <f>IF(OR($B$178="",I183=""),"",I182-I183)</f>
        <v/>
      </c>
      <c r="J184" s="33">
        <f>IF(OR($B$178="",J183=""),"",J182-J183)</f>
        <v/>
      </c>
      <c r="K184" s="33">
        <f>IF(OR($B$178="",K183=""),"",K182-K183)</f>
        <v/>
      </c>
      <c r="L184" s="33">
        <f>IF(OR($B$178="",L183=""),"",L182-L183)</f>
        <v/>
      </c>
      <c r="M184" s="33">
        <f>IF(OR($B$178="",M183=""),"",M182-M183)</f>
        <v/>
      </c>
      <c r="N184" s="33">
        <f>IF(OR($B$178="",N183=""),"",N182-N183)</f>
        <v/>
      </c>
      <c r="O184" s="33">
        <f>IF(OR($B$178="",O183=""),"",O182-O183)</f>
        <v/>
      </c>
      <c r="P184" s="33">
        <f>IF(OR($B$178="",P183=""),"",P182-P183)</f>
        <v/>
      </c>
      <c r="Q184" s="33">
        <f>IF(OR($B$178="",Q183=""),"",Q182-Q183)</f>
        <v/>
      </c>
      <c r="R184" s="33">
        <f>IF(OR($B$178="",R183=""),"",R182-R183)</f>
        <v/>
      </c>
      <c r="S184" s="33">
        <f>IF(OR($B$178="",S183=""),"",S182-S183)</f>
        <v/>
      </c>
      <c r="T184" s="33">
        <f>IF(OR($B$178="",T183=""),"",T182-T183)</f>
        <v/>
      </c>
      <c r="U184" s="33">
        <f>IF(OR($B$178="",U183=""),"",U182-U183)</f>
        <v/>
      </c>
      <c r="V184" s="33">
        <f>IF(OR($B$178="",V183=""),"",V182-V183)</f>
        <v/>
      </c>
      <c r="X184" s="22">
        <f>IF($B184="","",IFERROR(INDEX(Cost_Centers!$E:$E,MATCH($B184,Cost_Centers!$A:$A,0)),"(unknown)"))</f>
        <v/>
      </c>
      <c r="Y184" s="22">
        <f>IF($B184="","",IFERROR(INDEX(Cost_Centers!$D:$D,MATCH($B184,Cost_Centers!$A:$A,0)),"(unknown)"))</f>
        <v/>
      </c>
      <c r="Z184" s="22">
        <f>IF(OR($B184="",$G184&lt;&gt;"Variance vs Budget"),"",ABS(N($V184))+ROW()/1000000000)</f>
        <v/>
      </c>
    </row>
    <row r="185" ht="45" customHeight="1">
      <c r="A185" s="13">
        <f>IF(A$178="","",A$178)</f>
        <v/>
      </c>
      <c r="B185" s="13">
        <f>IF(B$178="","",B$178)</f>
        <v/>
      </c>
      <c r="C185" s="13">
        <f>IF(C$178="","",C$178)</f>
        <v/>
      </c>
      <c r="D185" s="13">
        <f>IF(D$178="","",D$178)</f>
        <v/>
      </c>
      <c r="E185" s="13">
        <f>IF(E$178="","",E$178)</f>
        <v/>
      </c>
      <c r="F185" s="13">
        <f>IF(F$178="","",F$178)</f>
        <v/>
      </c>
      <c r="G185" s="7" t="inlineStr">
        <is>
          <t>Rationale</t>
        </is>
      </c>
      <c r="H185" s="38" t="n"/>
      <c r="I185" s="38" t="n"/>
      <c r="J185" s="38" t="n"/>
      <c r="K185" s="38" t="n"/>
      <c r="L185" s="38" t="n"/>
      <c r="M185" s="38" t="n"/>
      <c r="N185" s="38" t="n"/>
      <c r="O185" s="38" t="n"/>
      <c r="P185" s="38" t="n"/>
      <c r="Q185" s="38" t="n"/>
      <c r="R185" s="38" t="n"/>
      <c r="S185" s="38" t="n"/>
      <c r="T185" s="38" t="n"/>
      <c r="U185" s="38" t="n"/>
      <c r="V185" s="7" t="n"/>
      <c r="X185" s="22">
        <f>IF($B185="","",IFERROR(INDEX(Cost_Centers!$E:$E,MATCH($B185,Cost_Centers!$A:$A,0)),"(unknown)"))</f>
        <v/>
      </c>
      <c r="Y185" s="22">
        <f>IF($B185="","",IFERROR(INDEX(Cost_Centers!$D:$D,MATCH($B185,Cost_Centers!$A:$A,0)),"(unknown)"))</f>
        <v/>
      </c>
      <c r="Z185" s="22">
        <f>IF(OR($B185="",$G185&lt;&gt;"Variance vs Budget"),"",ABS(N($V185))+ROW()/1000000000)</f>
        <v/>
      </c>
    </row>
    <row r="186">
      <c r="A186" s="30">
        <f>IF($D$186="","",LEFT($D$186,FIND("|",$D$186&amp;"|")-1))</f>
        <v/>
      </c>
      <c r="B186" s="31" t="n"/>
      <c r="C186" s="30">
        <f>IF($B$186="","",IFERROR(INDEX(Cost_Centers!$B:$B,MATCH($B$186,Cost_Centers!$A:$A,0)),"(not in master)"))</f>
        <v/>
      </c>
      <c r="D186" s="31" t="n"/>
      <c r="E186" s="30">
        <f>IF($D$186="","",IFERROR(INDEX(Accounts!$D:$D,MATCH($D$186,Accounts!$A:$A,0)),"(not in master)"))</f>
        <v/>
      </c>
      <c r="F186" s="31" t="n"/>
      <c r="G186" s="30" t="inlineStr">
        <is>
          <t>Budget</t>
        </is>
      </c>
      <c r="H186" s="32">
        <f>IF($B$186="","",SUMIFS(Opex_Budget!$O:$O,Opex_Budget!$A:$A,$C$3,Opex_Budget!$E:$E,$B$186,Opex_Budget!$F:$F,$D$186,Opex_Budget!$N:$N,"JPY")*$E$5+SUMIFS(Opex_Budget!$O:$O,Opex_Budget!$A:$A,$C$3,Opex_Budget!$E:$E,$B$186,Opex_Budget!$F:$F,$D$186,Opex_Budget!$N:$N,"USD")*$F$5+SUMIFS(Opex_Budget!$O:$O,Opex_Budget!$A:$A,$C$3,Opex_Budget!$E:$E,$B$186,Opex_Budget!$F:$F,$D$186,Opex_Budget!$N:$N,"EUR")*$G$5+SUMIFS(Opex_Budget!$O:$O,Opex_Budget!$A:$A,$C$3,Opex_Budget!$E:$E,$B$186,Opex_Budget!$F:$F,$D$186,Opex_Budget!$N:$N,"GBP")*$H$5)</f>
        <v/>
      </c>
      <c r="I186" s="32">
        <f>IF($B$186="","",SUMIFS(Opex_Budget!$P:$P,Opex_Budget!$A:$A,$C$3,Opex_Budget!$E:$E,$B$186,Opex_Budget!$F:$F,$D$186,Opex_Budget!$N:$N,"JPY")*$E$5+SUMIFS(Opex_Budget!$P:$P,Opex_Budget!$A:$A,$C$3,Opex_Budget!$E:$E,$B$186,Opex_Budget!$F:$F,$D$186,Opex_Budget!$N:$N,"USD")*$F$5+SUMIFS(Opex_Budget!$P:$P,Opex_Budget!$A:$A,$C$3,Opex_Budget!$E:$E,$B$186,Opex_Budget!$F:$F,$D$186,Opex_Budget!$N:$N,"EUR")*$G$5+SUMIFS(Opex_Budget!$P:$P,Opex_Budget!$A:$A,$C$3,Opex_Budget!$E:$E,$B$186,Opex_Budget!$F:$F,$D$186,Opex_Budget!$N:$N,"GBP")*$H$5)</f>
        <v/>
      </c>
      <c r="J186" s="32">
        <f>IF($B$186="","",SUMIFS(Opex_Budget!$Q:$Q,Opex_Budget!$A:$A,$C$3,Opex_Budget!$E:$E,$B$186,Opex_Budget!$F:$F,$D$186,Opex_Budget!$N:$N,"JPY")*$E$5+SUMIFS(Opex_Budget!$Q:$Q,Opex_Budget!$A:$A,$C$3,Opex_Budget!$E:$E,$B$186,Opex_Budget!$F:$F,$D$186,Opex_Budget!$N:$N,"USD")*$F$5+SUMIFS(Opex_Budget!$Q:$Q,Opex_Budget!$A:$A,$C$3,Opex_Budget!$E:$E,$B$186,Opex_Budget!$F:$F,$D$186,Opex_Budget!$N:$N,"EUR")*$G$5+SUMIFS(Opex_Budget!$Q:$Q,Opex_Budget!$A:$A,$C$3,Opex_Budget!$E:$E,$B$186,Opex_Budget!$F:$F,$D$186,Opex_Budget!$N:$N,"GBP")*$H$5)</f>
        <v/>
      </c>
      <c r="K186" s="32">
        <f>IF($B$186="","",SUMIFS(Opex_Budget!$R:$R,Opex_Budget!$A:$A,$C$3,Opex_Budget!$E:$E,$B$186,Opex_Budget!$F:$F,$D$186,Opex_Budget!$N:$N,"JPY")*$E$5+SUMIFS(Opex_Budget!$R:$R,Opex_Budget!$A:$A,$C$3,Opex_Budget!$E:$E,$B$186,Opex_Budget!$F:$F,$D$186,Opex_Budget!$N:$N,"USD")*$F$5+SUMIFS(Opex_Budget!$R:$R,Opex_Budget!$A:$A,$C$3,Opex_Budget!$E:$E,$B$186,Opex_Budget!$F:$F,$D$186,Opex_Budget!$N:$N,"EUR")*$G$5+SUMIFS(Opex_Budget!$R:$R,Opex_Budget!$A:$A,$C$3,Opex_Budget!$E:$E,$B$186,Opex_Budget!$F:$F,$D$186,Opex_Budget!$N:$N,"GBP")*$H$5)</f>
        <v/>
      </c>
      <c r="L186" s="32">
        <f>IF($B$186="","",SUMIFS(Opex_Budget!$S:$S,Opex_Budget!$A:$A,$C$3,Opex_Budget!$E:$E,$B$186,Opex_Budget!$F:$F,$D$186,Opex_Budget!$N:$N,"JPY")*$E$5+SUMIFS(Opex_Budget!$S:$S,Opex_Budget!$A:$A,$C$3,Opex_Budget!$E:$E,$B$186,Opex_Budget!$F:$F,$D$186,Opex_Budget!$N:$N,"USD")*$F$5+SUMIFS(Opex_Budget!$S:$S,Opex_Budget!$A:$A,$C$3,Opex_Budget!$E:$E,$B$186,Opex_Budget!$F:$F,$D$186,Opex_Budget!$N:$N,"EUR")*$G$5+SUMIFS(Opex_Budget!$S:$S,Opex_Budget!$A:$A,$C$3,Opex_Budget!$E:$E,$B$186,Opex_Budget!$F:$F,$D$186,Opex_Budget!$N:$N,"GBP")*$H$5)</f>
        <v/>
      </c>
      <c r="M186" s="32">
        <f>IF($B$186="","",SUMIFS(Opex_Budget!$T:$T,Opex_Budget!$A:$A,$C$3,Opex_Budget!$E:$E,$B$186,Opex_Budget!$F:$F,$D$186,Opex_Budget!$N:$N,"JPY")*$E$5+SUMIFS(Opex_Budget!$T:$T,Opex_Budget!$A:$A,$C$3,Opex_Budget!$E:$E,$B$186,Opex_Budget!$F:$F,$D$186,Opex_Budget!$N:$N,"USD")*$F$5+SUMIFS(Opex_Budget!$T:$T,Opex_Budget!$A:$A,$C$3,Opex_Budget!$E:$E,$B$186,Opex_Budget!$F:$F,$D$186,Opex_Budget!$N:$N,"EUR")*$G$5+SUMIFS(Opex_Budget!$T:$T,Opex_Budget!$A:$A,$C$3,Opex_Budget!$E:$E,$B$186,Opex_Budget!$F:$F,$D$186,Opex_Budget!$N:$N,"GBP")*$H$5)</f>
        <v/>
      </c>
      <c r="N186" s="32">
        <f>IF($B$186="","",SUMIFS(Opex_Budget!$U:$U,Opex_Budget!$A:$A,$C$3,Opex_Budget!$E:$E,$B$186,Opex_Budget!$F:$F,$D$186,Opex_Budget!$N:$N,"JPY")*$E$5+SUMIFS(Opex_Budget!$U:$U,Opex_Budget!$A:$A,$C$3,Opex_Budget!$E:$E,$B$186,Opex_Budget!$F:$F,$D$186,Opex_Budget!$N:$N,"USD")*$F$5+SUMIFS(Opex_Budget!$U:$U,Opex_Budget!$A:$A,$C$3,Opex_Budget!$E:$E,$B$186,Opex_Budget!$F:$F,$D$186,Opex_Budget!$N:$N,"EUR")*$G$5+SUMIFS(Opex_Budget!$U:$U,Opex_Budget!$A:$A,$C$3,Opex_Budget!$E:$E,$B$186,Opex_Budget!$F:$F,$D$186,Opex_Budget!$N:$N,"GBP")*$H$5)</f>
        <v/>
      </c>
      <c r="O186" s="32">
        <f>IF($B$186="","",SUMIFS(Opex_Budget!$V:$V,Opex_Budget!$A:$A,$C$3,Opex_Budget!$E:$E,$B$186,Opex_Budget!$F:$F,$D$186,Opex_Budget!$N:$N,"JPY")*$E$5+SUMIFS(Opex_Budget!$V:$V,Opex_Budget!$A:$A,$C$3,Opex_Budget!$E:$E,$B$186,Opex_Budget!$F:$F,$D$186,Opex_Budget!$N:$N,"USD")*$F$5+SUMIFS(Opex_Budget!$V:$V,Opex_Budget!$A:$A,$C$3,Opex_Budget!$E:$E,$B$186,Opex_Budget!$F:$F,$D$186,Opex_Budget!$N:$N,"EUR")*$G$5+SUMIFS(Opex_Budget!$V:$V,Opex_Budget!$A:$A,$C$3,Opex_Budget!$E:$E,$B$186,Opex_Budget!$F:$F,$D$186,Opex_Budget!$N:$N,"GBP")*$H$5)</f>
        <v/>
      </c>
      <c r="P186" s="32">
        <f>IF($B$186="","",SUMIFS(Opex_Budget!$W:$W,Opex_Budget!$A:$A,$C$3,Opex_Budget!$E:$E,$B$186,Opex_Budget!$F:$F,$D$186,Opex_Budget!$N:$N,"JPY")*$E$5+SUMIFS(Opex_Budget!$W:$W,Opex_Budget!$A:$A,$C$3,Opex_Budget!$E:$E,$B$186,Opex_Budget!$F:$F,$D$186,Opex_Budget!$N:$N,"USD")*$F$5+SUMIFS(Opex_Budget!$W:$W,Opex_Budget!$A:$A,$C$3,Opex_Budget!$E:$E,$B$186,Opex_Budget!$F:$F,$D$186,Opex_Budget!$N:$N,"EUR")*$G$5+SUMIFS(Opex_Budget!$W:$W,Opex_Budget!$A:$A,$C$3,Opex_Budget!$E:$E,$B$186,Opex_Budget!$F:$F,$D$186,Opex_Budget!$N:$N,"GBP")*$H$5)</f>
        <v/>
      </c>
      <c r="Q186" s="32">
        <f>IF($B$186="","",SUMIFS(Opex_Budget!$X:$X,Opex_Budget!$A:$A,$C$3,Opex_Budget!$E:$E,$B$186,Opex_Budget!$F:$F,$D$186,Opex_Budget!$N:$N,"JPY")*$E$5+SUMIFS(Opex_Budget!$X:$X,Opex_Budget!$A:$A,$C$3,Opex_Budget!$E:$E,$B$186,Opex_Budget!$F:$F,$D$186,Opex_Budget!$N:$N,"USD")*$F$5+SUMIFS(Opex_Budget!$X:$X,Opex_Budget!$A:$A,$C$3,Opex_Budget!$E:$E,$B$186,Opex_Budget!$F:$F,$D$186,Opex_Budget!$N:$N,"EUR")*$G$5+SUMIFS(Opex_Budget!$X:$X,Opex_Budget!$A:$A,$C$3,Opex_Budget!$E:$E,$B$186,Opex_Budget!$F:$F,$D$186,Opex_Budget!$N:$N,"GBP")*$H$5)</f>
        <v/>
      </c>
      <c r="R186" s="32">
        <f>IF($B$186="","",SUMIFS(Opex_Budget!$Y:$Y,Opex_Budget!$A:$A,$C$3,Opex_Budget!$E:$E,$B$186,Opex_Budget!$F:$F,$D$186,Opex_Budget!$N:$N,"JPY")*$E$5+SUMIFS(Opex_Budget!$Y:$Y,Opex_Budget!$A:$A,$C$3,Opex_Budget!$E:$E,$B$186,Opex_Budget!$F:$F,$D$186,Opex_Budget!$N:$N,"USD")*$F$5+SUMIFS(Opex_Budget!$Y:$Y,Opex_Budget!$A:$A,$C$3,Opex_Budget!$E:$E,$B$186,Opex_Budget!$F:$F,$D$186,Opex_Budget!$N:$N,"EUR")*$G$5+SUMIFS(Opex_Budget!$Y:$Y,Opex_Budget!$A:$A,$C$3,Opex_Budget!$E:$E,$B$186,Opex_Budget!$F:$F,$D$186,Opex_Budget!$N:$N,"GBP")*$H$5)</f>
        <v/>
      </c>
      <c r="S186" s="32">
        <f>IF($B$186="","",SUMIFS(Opex_Budget!$Z:$Z,Opex_Budget!$A:$A,$C$3,Opex_Budget!$E:$E,$B$186,Opex_Budget!$F:$F,$D$186,Opex_Budget!$N:$N,"JPY")*$E$5+SUMIFS(Opex_Budget!$Z:$Z,Opex_Budget!$A:$A,$C$3,Opex_Budget!$E:$E,$B$186,Opex_Budget!$F:$F,$D$186,Opex_Budget!$N:$N,"USD")*$F$5+SUMIFS(Opex_Budget!$Z:$Z,Opex_Budget!$A:$A,$C$3,Opex_Budget!$E:$E,$B$186,Opex_Budget!$F:$F,$D$186,Opex_Budget!$N:$N,"EUR")*$G$5+SUMIFS(Opex_Budget!$Z:$Z,Opex_Budget!$A:$A,$C$3,Opex_Budget!$E:$E,$B$186,Opex_Budget!$F:$F,$D$186,Opex_Budget!$N:$N,"GBP")*$H$5)</f>
        <v/>
      </c>
      <c r="T186" s="32">
        <f>IF($B$186="","",SUMIF($H$7:$S$7,"&lt;="&amp;$C$4,$H186:$S186))</f>
        <v/>
      </c>
      <c r="U186" s="32">
        <f>IF($B$186="","",SUMIF($H$7:$S$7,"&gt;"&amp;$C$4,$H186:$S186))</f>
        <v/>
      </c>
      <c r="V186" s="32">
        <f>IF($B$186="","",SUM($H186:$S186))</f>
        <v/>
      </c>
      <c r="X186" s="22">
        <f>IF($B186="","",IFERROR(INDEX(Cost_Centers!$E:$E,MATCH($B186,Cost_Centers!$A:$A,0)),"(unknown)"))</f>
        <v/>
      </c>
      <c r="Y186" s="22">
        <f>IF($B186="","",IFERROR(INDEX(Cost_Centers!$D:$D,MATCH($B186,Cost_Centers!$A:$A,0)),"(unknown)"))</f>
        <v/>
      </c>
      <c r="Z186" s="22">
        <f>IF(OR($B186="",$G186&lt;&gt;"Variance vs Budget"),"",ABS(N($V186))+ROW()/1000000000)</f>
        <v/>
      </c>
    </row>
    <row r="187">
      <c r="A187" s="13">
        <f>IF(A$186="","",A$186)</f>
        <v/>
      </c>
      <c r="B187" s="13">
        <f>IF(B$186="","",B$186)</f>
        <v/>
      </c>
      <c r="C187" s="13">
        <f>IF(C$186="","",C$186)</f>
        <v/>
      </c>
      <c r="D187" s="13">
        <f>IF(D$186="","",D$186)</f>
        <v/>
      </c>
      <c r="E187" s="13">
        <f>IF(E$186="","",E$186)</f>
        <v/>
      </c>
      <c r="F187" s="13">
        <f>IF(F$186="","",F$186)</f>
        <v/>
      </c>
      <c r="G187" s="7" t="inlineStr">
        <is>
          <t>Actual</t>
        </is>
      </c>
      <c r="H187" s="18">
        <f>IF(OR($B$186="",1&gt;$C$4),"",SUMIFS(Actuals!$G:$G,Actuals!$B:$B,$C$3,Actuals!$C:$C,1,Actuals!$D:$D,$B$186,Actuals!$A:$A,LEFT($D$186,FIND("|",$D$186&amp;"|")-1),Actuals!$E:$E,MID($D$186,FIND("|",$D$186&amp;"|")+1,50),Actuals!$F:$F,"JPY")*$E$5+SUMIFS(Actuals!$G:$G,Actuals!$B:$B,$C$3,Actuals!$C:$C,1,Actuals!$D:$D,$B$186,Actuals!$A:$A,LEFT($D$186,FIND("|",$D$186&amp;"|")-1),Actuals!$E:$E,MID($D$186,FIND("|",$D$186&amp;"|")+1,50),Actuals!$F:$F,"USD")*$F$5+SUMIFS(Actuals!$G:$G,Actuals!$B:$B,$C$3,Actuals!$C:$C,1,Actuals!$D:$D,$B$186,Actuals!$A:$A,LEFT($D$186,FIND("|",$D$186&amp;"|")-1),Actuals!$E:$E,MID($D$186,FIND("|",$D$186&amp;"|")+1,50),Actuals!$F:$F,"EUR")*$G$5+SUMIFS(Actuals!$G:$G,Actuals!$B:$B,$C$3,Actuals!$C:$C,1,Actuals!$D:$D,$B$186,Actuals!$A:$A,LEFT($D$186,FIND("|",$D$186&amp;"|")-1),Actuals!$E:$E,MID($D$186,FIND("|",$D$186&amp;"|")+1,50),Actuals!$F:$F,"GBP")*$H$5)</f>
        <v/>
      </c>
      <c r="I187" s="18">
        <f>IF(OR($B$186="",2&gt;$C$4),"",SUMIFS(Actuals!$G:$G,Actuals!$B:$B,$C$3,Actuals!$C:$C,2,Actuals!$D:$D,$B$186,Actuals!$A:$A,LEFT($D$186,FIND("|",$D$186&amp;"|")-1),Actuals!$E:$E,MID($D$186,FIND("|",$D$186&amp;"|")+1,50),Actuals!$F:$F,"JPY")*$E$5+SUMIFS(Actuals!$G:$G,Actuals!$B:$B,$C$3,Actuals!$C:$C,2,Actuals!$D:$D,$B$186,Actuals!$A:$A,LEFT($D$186,FIND("|",$D$186&amp;"|")-1),Actuals!$E:$E,MID($D$186,FIND("|",$D$186&amp;"|")+1,50),Actuals!$F:$F,"USD")*$F$5+SUMIFS(Actuals!$G:$G,Actuals!$B:$B,$C$3,Actuals!$C:$C,2,Actuals!$D:$D,$B$186,Actuals!$A:$A,LEFT($D$186,FIND("|",$D$186&amp;"|")-1),Actuals!$E:$E,MID($D$186,FIND("|",$D$186&amp;"|")+1,50),Actuals!$F:$F,"EUR")*$G$5+SUMIFS(Actuals!$G:$G,Actuals!$B:$B,$C$3,Actuals!$C:$C,2,Actuals!$D:$D,$B$186,Actuals!$A:$A,LEFT($D$186,FIND("|",$D$186&amp;"|")-1),Actuals!$E:$E,MID($D$186,FIND("|",$D$186&amp;"|")+1,50),Actuals!$F:$F,"GBP")*$H$5)</f>
        <v/>
      </c>
      <c r="J187" s="18">
        <f>IF(OR($B$186="",3&gt;$C$4),"",SUMIFS(Actuals!$G:$G,Actuals!$B:$B,$C$3,Actuals!$C:$C,3,Actuals!$D:$D,$B$186,Actuals!$A:$A,LEFT($D$186,FIND("|",$D$186&amp;"|")-1),Actuals!$E:$E,MID($D$186,FIND("|",$D$186&amp;"|")+1,50),Actuals!$F:$F,"JPY")*$E$5+SUMIFS(Actuals!$G:$G,Actuals!$B:$B,$C$3,Actuals!$C:$C,3,Actuals!$D:$D,$B$186,Actuals!$A:$A,LEFT($D$186,FIND("|",$D$186&amp;"|")-1),Actuals!$E:$E,MID($D$186,FIND("|",$D$186&amp;"|")+1,50),Actuals!$F:$F,"USD")*$F$5+SUMIFS(Actuals!$G:$G,Actuals!$B:$B,$C$3,Actuals!$C:$C,3,Actuals!$D:$D,$B$186,Actuals!$A:$A,LEFT($D$186,FIND("|",$D$186&amp;"|")-1),Actuals!$E:$E,MID($D$186,FIND("|",$D$186&amp;"|")+1,50),Actuals!$F:$F,"EUR")*$G$5+SUMIFS(Actuals!$G:$G,Actuals!$B:$B,$C$3,Actuals!$C:$C,3,Actuals!$D:$D,$B$186,Actuals!$A:$A,LEFT($D$186,FIND("|",$D$186&amp;"|")-1),Actuals!$E:$E,MID($D$186,FIND("|",$D$186&amp;"|")+1,50),Actuals!$F:$F,"GBP")*$H$5)</f>
        <v/>
      </c>
      <c r="K187" s="18">
        <f>IF(OR($B$186="",4&gt;$C$4),"",SUMIFS(Actuals!$G:$G,Actuals!$B:$B,$C$3,Actuals!$C:$C,4,Actuals!$D:$D,$B$186,Actuals!$A:$A,LEFT($D$186,FIND("|",$D$186&amp;"|")-1),Actuals!$E:$E,MID($D$186,FIND("|",$D$186&amp;"|")+1,50),Actuals!$F:$F,"JPY")*$E$5+SUMIFS(Actuals!$G:$G,Actuals!$B:$B,$C$3,Actuals!$C:$C,4,Actuals!$D:$D,$B$186,Actuals!$A:$A,LEFT($D$186,FIND("|",$D$186&amp;"|")-1),Actuals!$E:$E,MID($D$186,FIND("|",$D$186&amp;"|")+1,50),Actuals!$F:$F,"USD")*$F$5+SUMIFS(Actuals!$G:$G,Actuals!$B:$B,$C$3,Actuals!$C:$C,4,Actuals!$D:$D,$B$186,Actuals!$A:$A,LEFT($D$186,FIND("|",$D$186&amp;"|")-1),Actuals!$E:$E,MID($D$186,FIND("|",$D$186&amp;"|")+1,50),Actuals!$F:$F,"EUR")*$G$5+SUMIFS(Actuals!$G:$G,Actuals!$B:$B,$C$3,Actuals!$C:$C,4,Actuals!$D:$D,$B$186,Actuals!$A:$A,LEFT($D$186,FIND("|",$D$186&amp;"|")-1),Actuals!$E:$E,MID($D$186,FIND("|",$D$186&amp;"|")+1,50),Actuals!$F:$F,"GBP")*$H$5)</f>
        <v/>
      </c>
      <c r="L187" s="18">
        <f>IF(OR($B$186="",5&gt;$C$4),"",SUMIFS(Actuals!$G:$G,Actuals!$B:$B,$C$3,Actuals!$C:$C,5,Actuals!$D:$D,$B$186,Actuals!$A:$A,LEFT($D$186,FIND("|",$D$186&amp;"|")-1),Actuals!$E:$E,MID($D$186,FIND("|",$D$186&amp;"|")+1,50),Actuals!$F:$F,"JPY")*$E$5+SUMIFS(Actuals!$G:$G,Actuals!$B:$B,$C$3,Actuals!$C:$C,5,Actuals!$D:$D,$B$186,Actuals!$A:$A,LEFT($D$186,FIND("|",$D$186&amp;"|")-1),Actuals!$E:$E,MID($D$186,FIND("|",$D$186&amp;"|")+1,50),Actuals!$F:$F,"USD")*$F$5+SUMIFS(Actuals!$G:$G,Actuals!$B:$B,$C$3,Actuals!$C:$C,5,Actuals!$D:$D,$B$186,Actuals!$A:$A,LEFT($D$186,FIND("|",$D$186&amp;"|")-1),Actuals!$E:$E,MID($D$186,FIND("|",$D$186&amp;"|")+1,50),Actuals!$F:$F,"EUR")*$G$5+SUMIFS(Actuals!$G:$G,Actuals!$B:$B,$C$3,Actuals!$C:$C,5,Actuals!$D:$D,$B$186,Actuals!$A:$A,LEFT($D$186,FIND("|",$D$186&amp;"|")-1),Actuals!$E:$E,MID($D$186,FIND("|",$D$186&amp;"|")+1,50),Actuals!$F:$F,"GBP")*$H$5)</f>
        <v/>
      </c>
      <c r="M187" s="18">
        <f>IF(OR($B$186="",6&gt;$C$4),"",SUMIFS(Actuals!$G:$G,Actuals!$B:$B,$C$3,Actuals!$C:$C,6,Actuals!$D:$D,$B$186,Actuals!$A:$A,LEFT($D$186,FIND("|",$D$186&amp;"|")-1),Actuals!$E:$E,MID($D$186,FIND("|",$D$186&amp;"|")+1,50),Actuals!$F:$F,"JPY")*$E$5+SUMIFS(Actuals!$G:$G,Actuals!$B:$B,$C$3,Actuals!$C:$C,6,Actuals!$D:$D,$B$186,Actuals!$A:$A,LEFT($D$186,FIND("|",$D$186&amp;"|")-1),Actuals!$E:$E,MID($D$186,FIND("|",$D$186&amp;"|")+1,50),Actuals!$F:$F,"USD")*$F$5+SUMIFS(Actuals!$G:$G,Actuals!$B:$B,$C$3,Actuals!$C:$C,6,Actuals!$D:$D,$B$186,Actuals!$A:$A,LEFT($D$186,FIND("|",$D$186&amp;"|")-1),Actuals!$E:$E,MID($D$186,FIND("|",$D$186&amp;"|")+1,50),Actuals!$F:$F,"EUR")*$G$5+SUMIFS(Actuals!$G:$G,Actuals!$B:$B,$C$3,Actuals!$C:$C,6,Actuals!$D:$D,$B$186,Actuals!$A:$A,LEFT($D$186,FIND("|",$D$186&amp;"|")-1),Actuals!$E:$E,MID($D$186,FIND("|",$D$186&amp;"|")+1,50),Actuals!$F:$F,"GBP")*$H$5)</f>
        <v/>
      </c>
      <c r="N187" s="18">
        <f>IF(OR($B$186="",7&gt;$C$4),"",SUMIFS(Actuals!$G:$G,Actuals!$B:$B,$C$3,Actuals!$C:$C,7,Actuals!$D:$D,$B$186,Actuals!$A:$A,LEFT($D$186,FIND("|",$D$186&amp;"|")-1),Actuals!$E:$E,MID($D$186,FIND("|",$D$186&amp;"|")+1,50),Actuals!$F:$F,"JPY")*$E$5+SUMIFS(Actuals!$G:$G,Actuals!$B:$B,$C$3,Actuals!$C:$C,7,Actuals!$D:$D,$B$186,Actuals!$A:$A,LEFT($D$186,FIND("|",$D$186&amp;"|")-1),Actuals!$E:$E,MID($D$186,FIND("|",$D$186&amp;"|")+1,50),Actuals!$F:$F,"USD")*$F$5+SUMIFS(Actuals!$G:$G,Actuals!$B:$B,$C$3,Actuals!$C:$C,7,Actuals!$D:$D,$B$186,Actuals!$A:$A,LEFT($D$186,FIND("|",$D$186&amp;"|")-1),Actuals!$E:$E,MID($D$186,FIND("|",$D$186&amp;"|")+1,50),Actuals!$F:$F,"EUR")*$G$5+SUMIFS(Actuals!$G:$G,Actuals!$B:$B,$C$3,Actuals!$C:$C,7,Actuals!$D:$D,$B$186,Actuals!$A:$A,LEFT($D$186,FIND("|",$D$186&amp;"|")-1),Actuals!$E:$E,MID($D$186,FIND("|",$D$186&amp;"|")+1,50),Actuals!$F:$F,"GBP")*$H$5)</f>
        <v/>
      </c>
      <c r="O187" s="18">
        <f>IF(OR($B$186="",8&gt;$C$4),"",SUMIFS(Actuals!$G:$G,Actuals!$B:$B,$C$3,Actuals!$C:$C,8,Actuals!$D:$D,$B$186,Actuals!$A:$A,LEFT($D$186,FIND("|",$D$186&amp;"|")-1),Actuals!$E:$E,MID($D$186,FIND("|",$D$186&amp;"|")+1,50),Actuals!$F:$F,"JPY")*$E$5+SUMIFS(Actuals!$G:$G,Actuals!$B:$B,$C$3,Actuals!$C:$C,8,Actuals!$D:$D,$B$186,Actuals!$A:$A,LEFT($D$186,FIND("|",$D$186&amp;"|")-1),Actuals!$E:$E,MID($D$186,FIND("|",$D$186&amp;"|")+1,50),Actuals!$F:$F,"USD")*$F$5+SUMIFS(Actuals!$G:$G,Actuals!$B:$B,$C$3,Actuals!$C:$C,8,Actuals!$D:$D,$B$186,Actuals!$A:$A,LEFT($D$186,FIND("|",$D$186&amp;"|")-1),Actuals!$E:$E,MID($D$186,FIND("|",$D$186&amp;"|")+1,50),Actuals!$F:$F,"EUR")*$G$5+SUMIFS(Actuals!$G:$G,Actuals!$B:$B,$C$3,Actuals!$C:$C,8,Actuals!$D:$D,$B$186,Actuals!$A:$A,LEFT($D$186,FIND("|",$D$186&amp;"|")-1),Actuals!$E:$E,MID($D$186,FIND("|",$D$186&amp;"|")+1,50),Actuals!$F:$F,"GBP")*$H$5)</f>
        <v/>
      </c>
      <c r="P187" s="18">
        <f>IF(OR($B$186="",9&gt;$C$4),"",SUMIFS(Actuals!$G:$G,Actuals!$B:$B,$C$3,Actuals!$C:$C,9,Actuals!$D:$D,$B$186,Actuals!$A:$A,LEFT($D$186,FIND("|",$D$186&amp;"|")-1),Actuals!$E:$E,MID($D$186,FIND("|",$D$186&amp;"|")+1,50),Actuals!$F:$F,"JPY")*$E$5+SUMIFS(Actuals!$G:$G,Actuals!$B:$B,$C$3,Actuals!$C:$C,9,Actuals!$D:$D,$B$186,Actuals!$A:$A,LEFT($D$186,FIND("|",$D$186&amp;"|")-1),Actuals!$E:$E,MID($D$186,FIND("|",$D$186&amp;"|")+1,50),Actuals!$F:$F,"USD")*$F$5+SUMIFS(Actuals!$G:$G,Actuals!$B:$B,$C$3,Actuals!$C:$C,9,Actuals!$D:$D,$B$186,Actuals!$A:$A,LEFT($D$186,FIND("|",$D$186&amp;"|")-1),Actuals!$E:$E,MID($D$186,FIND("|",$D$186&amp;"|")+1,50),Actuals!$F:$F,"EUR")*$G$5+SUMIFS(Actuals!$G:$G,Actuals!$B:$B,$C$3,Actuals!$C:$C,9,Actuals!$D:$D,$B$186,Actuals!$A:$A,LEFT($D$186,FIND("|",$D$186&amp;"|")-1),Actuals!$E:$E,MID($D$186,FIND("|",$D$186&amp;"|")+1,50),Actuals!$F:$F,"GBP")*$H$5)</f>
        <v/>
      </c>
      <c r="Q187" s="18">
        <f>IF(OR($B$186="",10&gt;$C$4),"",SUMIFS(Actuals!$G:$G,Actuals!$B:$B,$C$3,Actuals!$C:$C,10,Actuals!$D:$D,$B$186,Actuals!$A:$A,LEFT($D$186,FIND("|",$D$186&amp;"|")-1),Actuals!$E:$E,MID($D$186,FIND("|",$D$186&amp;"|")+1,50),Actuals!$F:$F,"JPY")*$E$5+SUMIFS(Actuals!$G:$G,Actuals!$B:$B,$C$3,Actuals!$C:$C,10,Actuals!$D:$D,$B$186,Actuals!$A:$A,LEFT($D$186,FIND("|",$D$186&amp;"|")-1),Actuals!$E:$E,MID($D$186,FIND("|",$D$186&amp;"|")+1,50),Actuals!$F:$F,"USD")*$F$5+SUMIFS(Actuals!$G:$G,Actuals!$B:$B,$C$3,Actuals!$C:$C,10,Actuals!$D:$D,$B$186,Actuals!$A:$A,LEFT($D$186,FIND("|",$D$186&amp;"|")-1),Actuals!$E:$E,MID($D$186,FIND("|",$D$186&amp;"|")+1,50),Actuals!$F:$F,"EUR")*$G$5+SUMIFS(Actuals!$G:$G,Actuals!$B:$B,$C$3,Actuals!$C:$C,10,Actuals!$D:$D,$B$186,Actuals!$A:$A,LEFT($D$186,FIND("|",$D$186&amp;"|")-1),Actuals!$E:$E,MID($D$186,FIND("|",$D$186&amp;"|")+1,50),Actuals!$F:$F,"GBP")*$H$5)</f>
        <v/>
      </c>
      <c r="R187" s="18">
        <f>IF(OR($B$186="",11&gt;$C$4),"",SUMIFS(Actuals!$G:$G,Actuals!$B:$B,$C$3,Actuals!$C:$C,11,Actuals!$D:$D,$B$186,Actuals!$A:$A,LEFT($D$186,FIND("|",$D$186&amp;"|")-1),Actuals!$E:$E,MID($D$186,FIND("|",$D$186&amp;"|")+1,50),Actuals!$F:$F,"JPY")*$E$5+SUMIFS(Actuals!$G:$G,Actuals!$B:$B,$C$3,Actuals!$C:$C,11,Actuals!$D:$D,$B$186,Actuals!$A:$A,LEFT($D$186,FIND("|",$D$186&amp;"|")-1),Actuals!$E:$E,MID($D$186,FIND("|",$D$186&amp;"|")+1,50),Actuals!$F:$F,"USD")*$F$5+SUMIFS(Actuals!$G:$G,Actuals!$B:$B,$C$3,Actuals!$C:$C,11,Actuals!$D:$D,$B$186,Actuals!$A:$A,LEFT($D$186,FIND("|",$D$186&amp;"|")-1),Actuals!$E:$E,MID($D$186,FIND("|",$D$186&amp;"|")+1,50),Actuals!$F:$F,"EUR")*$G$5+SUMIFS(Actuals!$G:$G,Actuals!$B:$B,$C$3,Actuals!$C:$C,11,Actuals!$D:$D,$B$186,Actuals!$A:$A,LEFT($D$186,FIND("|",$D$186&amp;"|")-1),Actuals!$E:$E,MID($D$186,FIND("|",$D$186&amp;"|")+1,50),Actuals!$F:$F,"GBP")*$H$5)</f>
        <v/>
      </c>
      <c r="S187" s="18">
        <f>IF(OR($B$186="",12&gt;$C$4),"",SUMIFS(Actuals!$G:$G,Actuals!$B:$B,$C$3,Actuals!$C:$C,12,Actuals!$D:$D,$B$186,Actuals!$A:$A,LEFT($D$186,FIND("|",$D$186&amp;"|")-1),Actuals!$E:$E,MID($D$186,FIND("|",$D$186&amp;"|")+1,50),Actuals!$F:$F,"JPY")*$E$5+SUMIFS(Actuals!$G:$G,Actuals!$B:$B,$C$3,Actuals!$C:$C,12,Actuals!$D:$D,$B$186,Actuals!$A:$A,LEFT($D$186,FIND("|",$D$186&amp;"|")-1),Actuals!$E:$E,MID($D$186,FIND("|",$D$186&amp;"|")+1,50),Actuals!$F:$F,"USD")*$F$5+SUMIFS(Actuals!$G:$G,Actuals!$B:$B,$C$3,Actuals!$C:$C,12,Actuals!$D:$D,$B$186,Actuals!$A:$A,LEFT($D$186,FIND("|",$D$186&amp;"|")-1),Actuals!$E:$E,MID($D$186,FIND("|",$D$186&amp;"|")+1,50),Actuals!$F:$F,"EUR")*$G$5+SUMIFS(Actuals!$G:$G,Actuals!$B:$B,$C$3,Actuals!$C:$C,12,Actuals!$D:$D,$B$186,Actuals!$A:$A,LEFT($D$186,FIND("|",$D$186&amp;"|")-1),Actuals!$E:$E,MID($D$186,FIND("|",$D$186&amp;"|")+1,50),Actuals!$F:$F,"GBP")*$H$5)</f>
        <v/>
      </c>
      <c r="T187" s="18">
        <f>IF($B$186="","",SUMIF($H$7:$S$7,"&lt;="&amp;$C$4,$H187:$S187))</f>
        <v/>
      </c>
      <c r="U187" s="18" t="n"/>
      <c r="V187" s="18" t="n"/>
      <c r="X187" s="22">
        <f>IF($B187="","",IFERROR(INDEX(Cost_Centers!$E:$E,MATCH($B187,Cost_Centers!$A:$A,0)),"(unknown)"))</f>
        <v/>
      </c>
      <c r="Y187" s="22">
        <f>IF($B187="","",IFERROR(INDEX(Cost_Centers!$D:$D,MATCH($B187,Cost_Centers!$A:$A,0)),"(unknown)"))</f>
        <v/>
      </c>
      <c r="Z187" s="22">
        <f>IF(OR($B187="",$G187&lt;&gt;"Variance vs Budget"),"",ABS(N($V187))+ROW()/1000000000)</f>
        <v/>
      </c>
    </row>
    <row r="188">
      <c r="A188" s="13">
        <f>IF(A$186="","",A$186)</f>
        <v/>
      </c>
      <c r="B188" s="13">
        <f>IF(B$186="","",B$186)</f>
        <v/>
      </c>
      <c r="C188" s="13">
        <f>IF(C$186="","",C$186)</f>
        <v/>
      </c>
      <c r="D188" s="13">
        <f>IF(D$186="","",D$186)</f>
        <v/>
      </c>
      <c r="E188" s="13">
        <f>IF(E$186="","",E$186)</f>
        <v/>
      </c>
      <c r="F188" s="13">
        <f>IF(F$186="","",F$186)</f>
        <v/>
      </c>
      <c r="G188" s="6" t="inlineStr">
        <is>
          <t>Variance vs Budget</t>
        </is>
      </c>
      <c r="H188" s="33">
        <f>IF(OR($B$186="",1&gt;$C$4),"",N(H187)-H186)</f>
        <v/>
      </c>
      <c r="I188" s="33">
        <f>IF(OR($B$186="",2&gt;$C$4),"",N(I187)-I186)</f>
        <v/>
      </c>
      <c r="J188" s="33">
        <f>IF(OR($B$186="",3&gt;$C$4),"",N(J187)-J186)</f>
        <v/>
      </c>
      <c r="K188" s="33">
        <f>IF(OR($B$186="",4&gt;$C$4),"",N(K187)-K186)</f>
        <v/>
      </c>
      <c r="L188" s="33">
        <f>IF(OR($B$186="",5&gt;$C$4),"",N(L187)-L186)</f>
        <v/>
      </c>
      <c r="M188" s="33">
        <f>IF(OR($B$186="",6&gt;$C$4),"",N(M187)-M186)</f>
        <v/>
      </c>
      <c r="N188" s="33">
        <f>IF(OR($B$186="",7&gt;$C$4),"",N(N187)-N186)</f>
        <v/>
      </c>
      <c r="O188" s="33">
        <f>IF(OR($B$186="",8&gt;$C$4),"",N(O187)-O186)</f>
        <v/>
      </c>
      <c r="P188" s="33">
        <f>IF(OR($B$186="",9&gt;$C$4),"",N(P187)-P186)</f>
        <v/>
      </c>
      <c r="Q188" s="33">
        <f>IF(OR($B$186="",10&gt;$C$4),"",N(Q187)-Q186)</f>
        <v/>
      </c>
      <c r="R188" s="33">
        <f>IF(OR($B$186="",11&gt;$C$4),"",N(R187)-R186)</f>
        <v/>
      </c>
      <c r="S188" s="33">
        <f>IF(OR($B$186="",12&gt;$C$4),"",N(S187)-S186)</f>
        <v/>
      </c>
      <c r="T188" s="33">
        <f>IF($B$186="","",T187-T186)</f>
        <v/>
      </c>
      <c r="U188" s="33">
        <f>IF($B$186="","",U190-U186)</f>
        <v/>
      </c>
      <c r="V188" s="33">
        <f>IF($B$186="","",V190-V186)</f>
        <v/>
      </c>
      <c r="X188" s="22">
        <f>IF($B188="","",IFERROR(INDEX(Cost_Centers!$E:$E,MATCH($B188,Cost_Centers!$A:$A,0)),"(unknown)"))</f>
        <v/>
      </c>
      <c r="Y188" s="22">
        <f>IF($B188="","",IFERROR(INDEX(Cost_Centers!$D:$D,MATCH($B188,Cost_Centers!$A:$A,0)),"(unknown)"))</f>
        <v/>
      </c>
      <c r="Z188" s="22">
        <f>IF(OR($B188="",$G188&lt;&gt;"Variance vs Budget"),"",ABS(N($V188))+ROW()/1000000000)</f>
        <v/>
      </c>
    </row>
    <row r="189">
      <c r="A189" s="13">
        <f>IF(A$186="","",A$186)</f>
        <v/>
      </c>
      <c r="B189" s="13">
        <f>IF(B$186="","",B$186)</f>
        <v/>
      </c>
      <c r="C189" s="13">
        <f>IF(C$186="","",C$186)</f>
        <v/>
      </c>
      <c r="D189" s="13">
        <f>IF(D$186="","",D$186)</f>
        <v/>
      </c>
      <c r="E189" s="13">
        <f>IF(E$186="","",E$186)</f>
        <v/>
      </c>
      <c r="F189" s="13">
        <f>IF(F$186="","",F$186)</f>
        <v/>
      </c>
      <c r="G189" s="7" t="inlineStr">
        <is>
          <t>Forecast (input)</t>
        </is>
      </c>
      <c r="H189" s="34" t="n"/>
      <c r="I189" s="34" t="n"/>
      <c r="J189" s="34" t="n"/>
      <c r="K189" s="34" t="n"/>
      <c r="L189" s="34" t="n"/>
      <c r="M189" s="34" t="n"/>
      <c r="N189" s="34" t="n"/>
      <c r="O189" s="34" t="n"/>
      <c r="P189" s="34" t="n"/>
      <c r="Q189" s="34" t="n"/>
      <c r="R189" s="34" t="n"/>
      <c r="S189" s="34" t="n"/>
      <c r="T189" s="18" t="n"/>
      <c r="U189" s="18" t="n"/>
      <c r="V189" s="18" t="n"/>
      <c r="X189" s="22">
        <f>IF($B189="","",IFERROR(INDEX(Cost_Centers!$E:$E,MATCH($B189,Cost_Centers!$A:$A,0)),"(unknown)"))</f>
        <v/>
      </c>
      <c r="Y189" s="22">
        <f>IF($B189="","",IFERROR(INDEX(Cost_Centers!$D:$D,MATCH($B189,Cost_Centers!$A:$A,0)),"(unknown)"))</f>
        <v/>
      </c>
      <c r="Z189" s="22">
        <f>IF(OR($B189="",$G189&lt;&gt;"Variance vs Budget"),"",ABS(N($V189))+ROW()/1000000000)</f>
        <v/>
      </c>
    </row>
    <row r="190">
      <c r="A190" s="13">
        <f>IF(A$186="","",A$186)</f>
        <v/>
      </c>
      <c r="B190" s="13">
        <f>IF(B$186="","",B$186)</f>
        <v/>
      </c>
      <c r="C190" s="13">
        <f>IF(C$186="","",C$186)</f>
        <v/>
      </c>
      <c r="D190" s="13">
        <f>IF(D$186="","",D$186)</f>
        <v/>
      </c>
      <c r="E190" s="13">
        <f>IF(E$186="","",E$186)</f>
        <v/>
      </c>
      <c r="F190" s="13">
        <f>IF(F$186="","",F$186)</f>
        <v/>
      </c>
      <c r="G190" s="35" t="inlineStr">
        <is>
          <t>Actual + Forecast</t>
        </is>
      </c>
      <c r="H190" s="18">
        <f>IF($B$186="","",IF(1&lt;=$C$4,N(H187),IF(H189="",H186,H189)))</f>
        <v/>
      </c>
      <c r="I190" s="18">
        <f>IF($B$186="","",IF(2&lt;=$C$4,N(I187),IF(I189="",I186,I189)))</f>
        <v/>
      </c>
      <c r="J190" s="18">
        <f>IF($B$186="","",IF(3&lt;=$C$4,N(J187),IF(J189="",J186,J189)))</f>
        <v/>
      </c>
      <c r="K190" s="18">
        <f>IF($B$186="","",IF(4&lt;=$C$4,N(K187),IF(K189="",K186,K189)))</f>
        <v/>
      </c>
      <c r="L190" s="18">
        <f>IF($B$186="","",IF(5&lt;=$C$4,N(L187),IF(L189="",L186,L189)))</f>
        <v/>
      </c>
      <c r="M190" s="18">
        <f>IF($B$186="","",IF(6&lt;=$C$4,N(M187),IF(M189="",M186,M189)))</f>
        <v/>
      </c>
      <c r="N190" s="18">
        <f>IF($B$186="","",IF(7&lt;=$C$4,N(N187),IF(N189="",N186,N189)))</f>
        <v/>
      </c>
      <c r="O190" s="18">
        <f>IF($B$186="","",IF(8&lt;=$C$4,N(O187),IF(O189="",O186,O189)))</f>
        <v/>
      </c>
      <c r="P190" s="18">
        <f>IF($B$186="","",IF(9&lt;=$C$4,N(P187),IF(P189="",P186,P189)))</f>
        <v/>
      </c>
      <c r="Q190" s="18">
        <f>IF($B$186="","",IF(10&lt;=$C$4,N(Q187),IF(Q189="",Q186,Q189)))</f>
        <v/>
      </c>
      <c r="R190" s="18">
        <f>IF($B$186="","",IF(11&lt;=$C$4,N(R187),IF(R189="",R186,R189)))</f>
        <v/>
      </c>
      <c r="S190" s="18">
        <f>IF($B$186="","",IF(12&lt;=$C$4,N(S187),IF(S189="",S186,S189)))</f>
        <v/>
      </c>
      <c r="T190" s="18">
        <f>IF($B$186="","",SUMIF($H$7:$S$7,"&lt;="&amp;$C$4,$H190:$S190))</f>
        <v/>
      </c>
      <c r="U190" s="18">
        <f>IF($B$186="","",SUMIF($H$7:$S$7,"&gt;"&amp;$C$4,$H190:$S190))</f>
        <v/>
      </c>
      <c r="V190" s="18">
        <f>IF($B$186="","",SUM($H190:$S190))</f>
        <v/>
      </c>
      <c r="X190" s="22">
        <f>IF($B190="","",IFERROR(INDEX(Cost_Centers!$E:$E,MATCH($B190,Cost_Centers!$A:$A,0)),"(unknown)"))</f>
        <v/>
      </c>
      <c r="Y190" s="22">
        <f>IF($B190="","",IFERROR(INDEX(Cost_Centers!$D:$D,MATCH($B190,Cost_Centers!$A:$A,0)),"(unknown)"))</f>
        <v/>
      </c>
      <c r="Z190" s="22">
        <f>IF(OR($B190="",$G190&lt;&gt;"Variance vs Budget"),"",ABS(N($V190))+ROW()/1000000000)</f>
        <v/>
      </c>
    </row>
    <row r="191">
      <c r="A191" s="13">
        <f>IF(A$186="","",A$186)</f>
        <v/>
      </c>
      <c r="B191" s="13">
        <f>IF(B$186="","",B$186)</f>
        <v/>
      </c>
      <c r="C191" s="13">
        <f>IF(C$186="","",C$186)</f>
        <v/>
      </c>
      <c r="D191" s="13">
        <f>IF(D$186="","",D$186)</f>
        <v/>
      </c>
      <c r="E191" s="13">
        <f>IF(E$186="","",E$186)</f>
        <v/>
      </c>
      <c r="F191" s="13">
        <f>IF(F$186="","",F$186)</f>
        <v/>
      </c>
      <c r="G191" s="36" t="inlineStr">
        <is>
          <t>Prior Month Forecast</t>
        </is>
      </c>
      <c r="H191" s="37">
        <f>IF($B$186="","",IF(COUNTIFS(Prior_Forecast!$A:$A,$B$186,Prior_Forecast!$B:$B,$D$186)&gt;0,SUMIFS(Prior_Forecast!$C:$C,Prior_Forecast!$A:$A,$B$186,Prior_Forecast!$B:$B,$D$186),""))</f>
        <v/>
      </c>
      <c r="I191" s="37">
        <f>IF($B$186="","",IF(COUNTIFS(Prior_Forecast!$A:$A,$B$186,Prior_Forecast!$B:$B,$D$186)&gt;0,SUMIFS(Prior_Forecast!$D:$D,Prior_Forecast!$A:$A,$B$186,Prior_Forecast!$B:$B,$D$186),""))</f>
        <v/>
      </c>
      <c r="J191" s="37">
        <f>IF($B$186="","",IF(COUNTIFS(Prior_Forecast!$A:$A,$B$186,Prior_Forecast!$B:$B,$D$186)&gt;0,SUMIFS(Prior_Forecast!$E:$E,Prior_Forecast!$A:$A,$B$186,Prior_Forecast!$B:$B,$D$186),""))</f>
        <v/>
      </c>
      <c r="K191" s="37">
        <f>IF($B$186="","",IF(COUNTIFS(Prior_Forecast!$A:$A,$B$186,Prior_Forecast!$B:$B,$D$186)&gt;0,SUMIFS(Prior_Forecast!$F:$F,Prior_Forecast!$A:$A,$B$186,Prior_Forecast!$B:$B,$D$186),""))</f>
        <v/>
      </c>
      <c r="L191" s="37">
        <f>IF($B$186="","",IF(COUNTIFS(Prior_Forecast!$A:$A,$B$186,Prior_Forecast!$B:$B,$D$186)&gt;0,SUMIFS(Prior_Forecast!$G:$G,Prior_Forecast!$A:$A,$B$186,Prior_Forecast!$B:$B,$D$186),""))</f>
        <v/>
      </c>
      <c r="M191" s="37">
        <f>IF($B$186="","",IF(COUNTIFS(Prior_Forecast!$A:$A,$B$186,Prior_Forecast!$B:$B,$D$186)&gt;0,SUMIFS(Prior_Forecast!$H:$H,Prior_Forecast!$A:$A,$B$186,Prior_Forecast!$B:$B,$D$186),""))</f>
        <v/>
      </c>
      <c r="N191" s="37">
        <f>IF($B$186="","",IF(COUNTIFS(Prior_Forecast!$A:$A,$B$186,Prior_Forecast!$B:$B,$D$186)&gt;0,SUMIFS(Prior_Forecast!$I:$I,Prior_Forecast!$A:$A,$B$186,Prior_Forecast!$B:$B,$D$186),""))</f>
        <v/>
      </c>
      <c r="O191" s="37">
        <f>IF($B$186="","",IF(COUNTIFS(Prior_Forecast!$A:$A,$B$186,Prior_Forecast!$B:$B,$D$186)&gt;0,SUMIFS(Prior_Forecast!$J:$J,Prior_Forecast!$A:$A,$B$186,Prior_Forecast!$B:$B,$D$186),""))</f>
        <v/>
      </c>
      <c r="P191" s="37">
        <f>IF($B$186="","",IF(COUNTIFS(Prior_Forecast!$A:$A,$B$186,Prior_Forecast!$B:$B,$D$186)&gt;0,SUMIFS(Prior_Forecast!$K:$K,Prior_Forecast!$A:$A,$B$186,Prior_Forecast!$B:$B,$D$186),""))</f>
        <v/>
      </c>
      <c r="Q191" s="37">
        <f>IF($B$186="","",IF(COUNTIFS(Prior_Forecast!$A:$A,$B$186,Prior_Forecast!$B:$B,$D$186)&gt;0,SUMIFS(Prior_Forecast!$L:$L,Prior_Forecast!$A:$A,$B$186,Prior_Forecast!$B:$B,$D$186),""))</f>
        <v/>
      </c>
      <c r="R191" s="37">
        <f>IF($B$186="","",IF(COUNTIFS(Prior_Forecast!$A:$A,$B$186,Prior_Forecast!$B:$B,$D$186)&gt;0,SUMIFS(Prior_Forecast!$M:$M,Prior_Forecast!$A:$A,$B$186,Prior_Forecast!$B:$B,$D$186),""))</f>
        <v/>
      </c>
      <c r="S191" s="37">
        <f>IF($B$186="","",IF(COUNTIFS(Prior_Forecast!$A:$A,$B$186,Prior_Forecast!$B:$B,$D$186)&gt;0,SUMIFS(Prior_Forecast!$N:$N,Prior_Forecast!$A:$A,$B$186,Prior_Forecast!$B:$B,$D$186),""))</f>
        <v/>
      </c>
      <c r="T191" s="37">
        <f>IF($B$186="","",IF(COUNTIFS(Prior_Forecast!$A:$A,$B$186,Prior_Forecast!$B:$B,$D$186)&gt;0,SUMIFS(Prior_Forecast!$O:$O,Prior_Forecast!$A:$A,$B$186,Prior_Forecast!$B:$B,$D$186),""))</f>
        <v/>
      </c>
      <c r="U191" s="37">
        <f>IF($B$186="","",IF(COUNTIFS(Prior_Forecast!$A:$A,$B$186,Prior_Forecast!$B:$B,$D$186)&gt;0,SUMIFS(Prior_Forecast!$P:$P,Prior_Forecast!$A:$A,$B$186,Prior_Forecast!$B:$B,$D$186),""))</f>
        <v/>
      </c>
      <c r="V191" s="37">
        <f>IF($B$186="","",IF(COUNTIFS(Prior_Forecast!$A:$A,$B$186,Prior_Forecast!$B:$B,$D$186)&gt;0,SUMIFS(Prior_Forecast!$Q:$Q,Prior_Forecast!$A:$A,$B$186,Prior_Forecast!$B:$B,$D$186),""))</f>
        <v/>
      </c>
      <c r="X191" s="22">
        <f>IF($B191="","",IFERROR(INDEX(Cost_Centers!$E:$E,MATCH($B191,Cost_Centers!$A:$A,0)),"(unknown)"))</f>
        <v/>
      </c>
      <c r="Y191" s="22">
        <f>IF($B191="","",IFERROR(INDEX(Cost_Centers!$D:$D,MATCH($B191,Cost_Centers!$A:$A,0)),"(unknown)"))</f>
        <v/>
      </c>
      <c r="Z191" s="22">
        <f>IF(OR($B191="",$G191&lt;&gt;"Variance vs Budget"),"",ABS(N($V191))+ROW()/1000000000)</f>
        <v/>
      </c>
    </row>
    <row r="192">
      <c r="A192" s="13">
        <f>IF(A$186="","",A$186)</f>
        <v/>
      </c>
      <c r="B192" s="13">
        <f>IF(B$186="","",B$186)</f>
        <v/>
      </c>
      <c r="C192" s="13">
        <f>IF(C$186="","",C$186)</f>
        <v/>
      </c>
      <c r="D192" s="13">
        <f>IF(D$186="","",D$186)</f>
        <v/>
      </c>
      <c r="E192" s="13">
        <f>IF(E$186="","",E$186)</f>
        <v/>
      </c>
      <c r="F192" s="13">
        <f>IF(F$186="","",F$186)</f>
        <v/>
      </c>
      <c r="G192" s="6" t="inlineStr">
        <is>
          <t>Variance vs Prior Month</t>
        </is>
      </c>
      <c r="H192" s="33">
        <f>IF(OR($B$186="",H191=""),"",H190-H191)</f>
        <v/>
      </c>
      <c r="I192" s="33">
        <f>IF(OR($B$186="",I191=""),"",I190-I191)</f>
        <v/>
      </c>
      <c r="J192" s="33">
        <f>IF(OR($B$186="",J191=""),"",J190-J191)</f>
        <v/>
      </c>
      <c r="K192" s="33">
        <f>IF(OR($B$186="",K191=""),"",K190-K191)</f>
        <v/>
      </c>
      <c r="L192" s="33">
        <f>IF(OR($B$186="",L191=""),"",L190-L191)</f>
        <v/>
      </c>
      <c r="M192" s="33">
        <f>IF(OR($B$186="",M191=""),"",M190-M191)</f>
        <v/>
      </c>
      <c r="N192" s="33">
        <f>IF(OR($B$186="",N191=""),"",N190-N191)</f>
        <v/>
      </c>
      <c r="O192" s="33">
        <f>IF(OR($B$186="",O191=""),"",O190-O191)</f>
        <v/>
      </c>
      <c r="P192" s="33">
        <f>IF(OR($B$186="",P191=""),"",P190-P191)</f>
        <v/>
      </c>
      <c r="Q192" s="33">
        <f>IF(OR($B$186="",Q191=""),"",Q190-Q191)</f>
        <v/>
      </c>
      <c r="R192" s="33">
        <f>IF(OR($B$186="",R191=""),"",R190-R191)</f>
        <v/>
      </c>
      <c r="S192" s="33">
        <f>IF(OR($B$186="",S191=""),"",S190-S191)</f>
        <v/>
      </c>
      <c r="T192" s="33">
        <f>IF(OR($B$186="",T191=""),"",T190-T191)</f>
        <v/>
      </c>
      <c r="U192" s="33">
        <f>IF(OR($B$186="",U191=""),"",U190-U191)</f>
        <v/>
      </c>
      <c r="V192" s="33">
        <f>IF(OR($B$186="",V191=""),"",V190-V191)</f>
        <v/>
      </c>
      <c r="X192" s="22">
        <f>IF($B192="","",IFERROR(INDEX(Cost_Centers!$E:$E,MATCH($B192,Cost_Centers!$A:$A,0)),"(unknown)"))</f>
        <v/>
      </c>
      <c r="Y192" s="22">
        <f>IF($B192="","",IFERROR(INDEX(Cost_Centers!$D:$D,MATCH($B192,Cost_Centers!$A:$A,0)),"(unknown)"))</f>
        <v/>
      </c>
      <c r="Z192" s="22">
        <f>IF(OR($B192="",$G192&lt;&gt;"Variance vs Budget"),"",ABS(N($V192))+ROW()/1000000000)</f>
        <v/>
      </c>
    </row>
    <row r="193" ht="45" customHeight="1">
      <c r="A193" s="13">
        <f>IF(A$186="","",A$186)</f>
        <v/>
      </c>
      <c r="B193" s="13">
        <f>IF(B$186="","",B$186)</f>
        <v/>
      </c>
      <c r="C193" s="13">
        <f>IF(C$186="","",C$186)</f>
        <v/>
      </c>
      <c r="D193" s="13">
        <f>IF(D$186="","",D$186)</f>
        <v/>
      </c>
      <c r="E193" s="13">
        <f>IF(E$186="","",E$186)</f>
        <v/>
      </c>
      <c r="F193" s="13">
        <f>IF(F$186="","",F$186)</f>
        <v/>
      </c>
      <c r="G193" s="7" t="inlineStr">
        <is>
          <t>Rationale</t>
        </is>
      </c>
      <c r="H193" s="38" t="n"/>
      <c r="I193" s="38" t="n"/>
      <c r="J193" s="38" t="n"/>
      <c r="K193" s="38" t="n"/>
      <c r="L193" s="38" t="n"/>
      <c r="M193" s="38" t="n"/>
      <c r="N193" s="38" t="n"/>
      <c r="O193" s="38" t="n"/>
      <c r="P193" s="38" t="n"/>
      <c r="Q193" s="38" t="n"/>
      <c r="R193" s="38" t="n"/>
      <c r="S193" s="38" t="n"/>
      <c r="T193" s="38" t="n"/>
      <c r="U193" s="38" t="n"/>
      <c r="V193" s="7" t="n"/>
      <c r="X193" s="22">
        <f>IF($B193="","",IFERROR(INDEX(Cost_Centers!$E:$E,MATCH($B193,Cost_Centers!$A:$A,0)),"(unknown)"))</f>
        <v/>
      </c>
      <c r="Y193" s="22">
        <f>IF($B193="","",IFERROR(INDEX(Cost_Centers!$D:$D,MATCH($B193,Cost_Centers!$A:$A,0)),"(unknown)"))</f>
        <v/>
      </c>
      <c r="Z193" s="22">
        <f>IF(OR($B193="",$G193&lt;&gt;"Variance vs Budget"),"",ABS(N($V193))+ROW()/1000000000)</f>
        <v/>
      </c>
    </row>
    <row r="194">
      <c r="A194" s="30">
        <f>IF($D$194="","",LEFT($D$194,FIND("|",$D$194&amp;"|")-1))</f>
        <v/>
      </c>
      <c r="B194" s="31" t="n"/>
      <c r="C194" s="30">
        <f>IF($B$194="","",IFERROR(INDEX(Cost_Centers!$B:$B,MATCH($B$194,Cost_Centers!$A:$A,0)),"(not in master)"))</f>
        <v/>
      </c>
      <c r="D194" s="31" t="n"/>
      <c r="E194" s="30">
        <f>IF($D$194="","",IFERROR(INDEX(Accounts!$D:$D,MATCH($D$194,Accounts!$A:$A,0)),"(not in master)"))</f>
        <v/>
      </c>
      <c r="F194" s="31" t="n"/>
      <c r="G194" s="30" t="inlineStr">
        <is>
          <t>Budget</t>
        </is>
      </c>
      <c r="H194" s="32">
        <f>IF($B$194="","",SUMIFS(Opex_Budget!$O:$O,Opex_Budget!$A:$A,$C$3,Opex_Budget!$E:$E,$B$194,Opex_Budget!$F:$F,$D$194,Opex_Budget!$N:$N,"JPY")*$E$5+SUMIFS(Opex_Budget!$O:$O,Opex_Budget!$A:$A,$C$3,Opex_Budget!$E:$E,$B$194,Opex_Budget!$F:$F,$D$194,Opex_Budget!$N:$N,"USD")*$F$5+SUMIFS(Opex_Budget!$O:$O,Opex_Budget!$A:$A,$C$3,Opex_Budget!$E:$E,$B$194,Opex_Budget!$F:$F,$D$194,Opex_Budget!$N:$N,"EUR")*$G$5+SUMIFS(Opex_Budget!$O:$O,Opex_Budget!$A:$A,$C$3,Opex_Budget!$E:$E,$B$194,Opex_Budget!$F:$F,$D$194,Opex_Budget!$N:$N,"GBP")*$H$5)</f>
        <v/>
      </c>
      <c r="I194" s="32">
        <f>IF($B$194="","",SUMIFS(Opex_Budget!$P:$P,Opex_Budget!$A:$A,$C$3,Opex_Budget!$E:$E,$B$194,Opex_Budget!$F:$F,$D$194,Opex_Budget!$N:$N,"JPY")*$E$5+SUMIFS(Opex_Budget!$P:$P,Opex_Budget!$A:$A,$C$3,Opex_Budget!$E:$E,$B$194,Opex_Budget!$F:$F,$D$194,Opex_Budget!$N:$N,"USD")*$F$5+SUMIFS(Opex_Budget!$P:$P,Opex_Budget!$A:$A,$C$3,Opex_Budget!$E:$E,$B$194,Opex_Budget!$F:$F,$D$194,Opex_Budget!$N:$N,"EUR")*$G$5+SUMIFS(Opex_Budget!$P:$P,Opex_Budget!$A:$A,$C$3,Opex_Budget!$E:$E,$B$194,Opex_Budget!$F:$F,$D$194,Opex_Budget!$N:$N,"GBP")*$H$5)</f>
        <v/>
      </c>
      <c r="J194" s="32">
        <f>IF($B$194="","",SUMIFS(Opex_Budget!$Q:$Q,Opex_Budget!$A:$A,$C$3,Opex_Budget!$E:$E,$B$194,Opex_Budget!$F:$F,$D$194,Opex_Budget!$N:$N,"JPY")*$E$5+SUMIFS(Opex_Budget!$Q:$Q,Opex_Budget!$A:$A,$C$3,Opex_Budget!$E:$E,$B$194,Opex_Budget!$F:$F,$D$194,Opex_Budget!$N:$N,"USD")*$F$5+SUMIFS(Opex_Budget!$Q:$Q,Opex_Budget!$A:$A,$C$3,Opex_Budget!$E:$E,$B$194,Opex_Budget!$F:$F,$D$194,Opex_Budget!$N:$N,"EUR")*$G$5+SUMIFS(Opex_Budget!$Q:$Q,Opex_Budget!$A:$A,$C$3,Opex_Budget!$E:$E,$B$194,Opex_Budget!$F:$F,$D$194,Opex_Budget!$N:$N,"GBP")*$H$5)</f>
        <v/>
      </c>
      <c r="K194" s="32">
        <f>IF($B$194="","",SUMIFS(Opex_Budget!$R:$R,Opex_Budget!$A:$A,$C$3,Opex_Budget!$E:$E,$B$194,Opex_Budget!$F:$F,$D$194,Opex_Budget!$N:$N,"JPY")*$E$5+SUMIFS(Opex_Budget!$R:$R,Opex_Budget!$A:$A,$C$3,Opex_Budget!$E:$E,$B$194,Opex_Budget!$F:$F,$D$194,Opex_Budget!$N:$N,"USD")*$F$5+SUMIFS(Opex_Budget!$R:$R,Opex_Budget!$A:$A,$C$3,Opex_Budget!$E:$E,$B$194,Opex_Budget!$F:$F,$D$194,Opex_Budget!$N:$N,"EUR")*$G$5+SUMIFS(Opex_Budget!$R:$R,Opex_Budget!$A:$A,$C$3,Opex_Budget!$E:$E,$B$194,Opex_Budget!$F:$F,$D$194,Opex_Budget!$N:$N,"GBP")*$H$5)</f>
        <v/>
      </c>
      <c r="L194" s="32">
        <f>IF($B$194="","",SUMIFS(Opex_Budget!$S:$S,Opex_Budget!$A:$A,$C$3,Opex_Budget!$E:$E,$B$194,Opex_Budget!$F:$F,$D$194,Opex_Budget!$N:$N,"JPY")*$E$5+SUMIFS(Opex_Budget!$S:$S,Opex_Budget!$A:$A,$C$3,Opex_Budget!$E:$E,$B$194,Opex_Budget!$F:$F,$D$194,Opex_Budget!$N:$N,"USD")*$F$5+SUMIFS(Opex_Budget!$S:$S,Opex_Budget!$A:$A,$C$3,Opex_Budget!$E:$E,$B$194,Opex_Budget!$F:$F,$D$194,Opex_Budget!$N:$N,"EUR")*$G$5+SUMIFS(Opex_Budget!$S:$S,Opex_Budget!$A:$A,$C$3,Opex_Budget!$E:$E,$B$194,Opex_Budget!$F:$F,$D$194,Opex_Budget!$N:$N,"GBP")*$H$5)</f>
        <v/>
      </c>
      <c r="M194" s="32">
        <f>IF($B$194="","",SUMIFS(Opex_Budget!$T:$T,Opex_Budget!$A:$A,$C$3,Opex_Budget!$E:$E,$B$194,Opex_Budget!$F:$F,$D$194,Opex_Budget!$N:$N,"JPY")*$E$5+SUMIFS(Opex_Budget!$T:$T,Opex_Budget!$A:$A,$C$3,Opex_Budget!$E:$E,$B$194,Opex_Budget!$F:$F,$D$194,Opex_Budget!$N:$N,"USD")*$F$5+SUMIFS(Opex_Budget!$T:$T,Opex_Budget!$A:$A,$C$3,Opex_Budget!$E:$E,$B$194,Opex_Budget!$F:$F,$D$194,Opex_Budget!$N:$N,"EUR")*$G$5+SUMIFS(Opex_Budget!$T:$T,Opex_Budget!$A:$A,$C$3,Opex_Budget!$E:$E,$B$194,Opex_Budget!$F:$F,$D$194,Opex_Budget!$N:$N,"GBP")*$H$5)</f>
        <v/>
      </c>
      <c r="N194" s="32">
        <f>IF($B$194="","",SUMIFS(Opex_Budget!$U:$U,Opex_Budget!$A:$A,$C$3,Opex_Budget!$E:$E,$B$194,Opex_Budget!$F:$F,$D$194,Opex_Budget!$N:$N,"JPY")*$E$5+SUMIFS(Opex_Budget!$U:$U,Opex_Budget!$A:$A,$C$3,Opex_Budget!$E:$E,$B$194,Opex_Budget!$F:$F,$D$194,Opex_Budget!$N:$N,"USD")*$F$5+SUMIFS(Opex_Budget!$U:$U,Opex_Budget!$A:$A,$C$3,Opex_Budget!$E:$E,$B$194,Opex_Budget!$F:$F,$D$194,Opex_Budget!$N:$N,"EUR")*$G$5+SUMIFS(Opex_Budget!$U:$U,Opex_Budget!$A:$A,$C$3,Opex_Budget!$E:$E,$B$194,Opex_Budget!$F:$F,$D$194,Opex_Budget!$N:$N,"GBP")*$H$5)</f>
        <v/>
      </c>
      <c r="O194" s="32">
        <f>IF($B$194="","",SUMIFS(Opex_Budget!$V:$V,Opex_Budget!$A:$A,$C$3,Opex_Budget!$E:$E,$B$194,Opex_Budget!$F:$F,$D$194,Opex_Budget!$N:$N,"JPY")*$E$5+SUMIFS(Opex_Budget!$V:$V,Opex_Budget!$A:$A,$C$3,Opex_Budget!$E:$E,$B$194,Opex_Budget!$F:$F,$D$194,Opex_Budget!$N:$N,"USD")*$F$5+SUMIFS(Opex_Budget!$V:$V,Opex_Budget!$A:$A,$C$3,Opex_Budget!$E:$E,$B$194,Opex_Budget!$F:$F,$D$194,Opex_Budget!$N:$N,"EUR")*$G$5+SUMIFS(Opex_Budget!$V:$V,Opex_Budget!$A:$A,$C$3,Opex_Budget!$E:$E,$B$194,Opex_Budget!$F:$F,$D$194,Opex_Budget!$N:$N,"GBP")*$H$5)</f>
        <v/>
      </c>
      <c r="P194" s="32">
        <f>IF($B$194="","",SUMIFS(Opex_Budget!$W:$W,Opex_Budget!$A:$A,$C$3,Opex_Budget!$E:$E,$B$194,Opex_Budget!$F:$F,$D$194,Opex_Budget!$N:$N,"JPY")*$E$5+SUMIFS(Opex_Budget!$W:$W,Opex_Budget!$A:$A,$C$3,Opex_Budget!$E:$E,$B$194,Opex_Budget!$F:$F,$D$194,Opex_Budget!$N:$N,"USD")*$F$5+SUMIFS(Opex_Budget!$W:$W,Opex_Budget!$A:$A,$C$3,Opex_Budget!$E:$E,$B$194,Opex_Budget!$F:$F,$D$194,Opex_Budget!$N:$N,"EUR")*$G$5+SUMIFS(Opex_Budget!$W:$W,Opex_Budget!$A:$A,$C$3,Opex_Budget!$E:$E,$B$194,Opex_Budget!$F:$F,$D$194,Opex_Budget!$N:$N,"GBP")*$H$5)</f>
        <v/>
      </c>
      <c r="Q194" s="32">
        <f>IF($B$194="","",SUMIFS(Opex_Budget!$X:$X,Opex_Budget!$A:$A,$C$3,Opex_Budget!$E:$E,$B$194,Opex_Budget!$F:$F,$D$194,Opex_Budget!$N:$N,"JPY")*$E$5+SUMIFS(Opex_Budget!$X:$X,Opex_Budget!$A:$A,$C$3,Opex_Budget!$E:$E,$B$194,Opex_Budget!$F:$F,$D$194,Opex_Budget!$N:$N,"USD")*$F$5+SUMIFS(Opex_Budget!$X:$X,Opex_Budget!$A:$A,$C$3,Opex_Budget!$E:$E,$B$194,Opex_Budget!$F:$F,$D$194,Opex_Budget!$N:$N,"EUR")*$G$5+SUMIFS(Opex_Budget!$X:$X,Opex_Budget!$A:$A,$C$3,Opex_Budget!$E:$E,$B$194,Opex_Budget!$F:$F,$D$194,Opex_Budget!$N:$N,"GBP")*$H$5)</f>
        <v/>
      </c>
      <c r="R194" s="32">
        <f>IF($B$194="","",SUMIFS(Opex_Budget!$Y:$Y,Opex_Budget!$A:$A,$C$3,Opex_Budget!$E:$E,$B$194,Opex_Budget!$F:$F,$D$194,Opex_Budget!$N:$N,"JPY")*$E$5+SUMIFS(Opex_Budget!$Y:$Y,Opex_Budget!$A:$A,$C$3,Opex_Budget!$E:$E,$B$194,Opex_Budget!$F:$F,$D$194,Opex_Budget!$N:$N,"USD")*$F$5+SUMIFS(Opex_Budget!$Y:$Y,Opex_Budget!$A:$A,$C$3,Opex_Budget!$E:$E,$B$194,Opex_Budget!$F:$F,$D$194,Opex_Budget!$N:$N,"EUR")*$G$5+SUMIFS(Opex_Budget!$Y:$Y,Opex_Budget!$A:$A,$C$3,Opex_Budget!$E:$E,$B$194,Opex_Budget!$F:$F,$D$194,Opex_Budget!$N:$N,"GBP")*$H$5)</f>
        <v/>
      </c>
      <c r="S194" s="32">
        <f>IF($B$194="","",SUMIFS(Opex_Budget!$Z:$Z,Opex_Budget!$A:$A,$C$3,Opex_Budget!$E:$E,$B$194,Opex_Budget!$F:$F,$D$194,Opex_Budget!$N:$N,"JPY")*$E$5+SUMIFS(Opex_Budget!$Z:$Z,Opex_Budget!$A:$A,$C$3,Opex_Budget!$E:$E,$B$194,Opex_Budget!$F:$F,$D$194,Opex_Budget!$N:$N,"USD")*$F$5+SUMIFS(Opex_Budget!$Z:$Z,Opex_Budget!$A:$A,$C$3,Opex_Budget!$E:$E,$B$194,Opex_Budget!$F:$F,$D$194,Opex_Budget!$N:$N,"EUR")*$G$5+SUMIFS(Opex_Budget!$Z:$Z,Opex_Budget!$A:$A,$C$3,Opex_Budget!$E:$E,$B$194,Opex_Budget!$F:$F,$D$194,Opex_Budget!$N:$N,"GBP")*$H$5)</f>
        <v/>
      </c>
      <c r="T194" s="32">
        <f>IF($B$194="","",SUMIF($H$7:$S$7,"&lt;="&amp;$C$4,$H194:$S194))</f>
        <v/>
      </c>
      <c r="U194" s="32">
        <f>IF($B$194="","",SUMIF($H$7:$S$7,"&gt;"&amp;$C$4,$H194:$S194))</f>
        <v/>
      </c>
      <c r="V194" s="32">
        <f>IF($B$194="","",SUM($H194:$S194))</f>
        <v/>
      </c>
      <c r="X194" s="22">
        <f>IF($B194="","",IFERROR(INDEX(Cost_Centers!$E:$E,MATCH($B194,Cost_Centers!$A:$A,0)),"(unknown)"))</f>
        <v/>
      </c>
      <c r="Y194" s="22">
        <f>IF($B194="","",IFERROR(INDEX(Cost_Centers!$D:$D,MATCH($B194,Cost_Centers!$A:$A,0)),"(unknown)"))</f>
        <v/>
      </c>
      <c r="Z194" s="22">
        <f>IF(OR($B194="",$G194&lt;&gt;"Variance vs Budget"),"",ABS(N($V194))+ROW()/1000000000)</f>
        <v/>
      </c>
    </row>
    <row r="195">
      <c r="A195" s="13">
        <f>IF(A$194="","",A$194)</f>
        <v/>
      </c>
      <c r="B195" s="13">
        <f>IF(B$194="","",B$194)</f>
        <v/>
      </c>
      <c r="C195" s="13">
        <f>IF(C$194="","",C$194)</f>
        <v/>
      </c>
      <c r="D195" s="13">
        <f>IF(D$194="","",D$194)</f>
        <v/>
      </c>
      <c r="E195" s="13">
        <f>IF(E$194="","",E$194)</f>
        <v/>
      </c>
      <c r="F195" s="13">
        <f>IF(F$194="","",F$194)</f>
        <v/>
      </c>
      <c r="G195" s="7" t="inlineStr">
        <is>
          <t>Actual</t>
        </is>
      </c>
      <c r="H195" s="18">
        <f>IF(OR($B$194="",1&gt;$C$4),"",SUMIFS(Actuals!$G:$G,Actuals!$B:$B,$C$3,Actuals!$C:$C,1,Actuals!$D:$D,$B$194,Actuals!$A:$A,LEFT($D$194,FIND("|",$D$194&amp;"|")-1),Actuals!$E:$E,MID($D$194,FIND("|",$D$194&amp;"|")+1,50),Actuals!$F:$F,"JPY")*$E$5+SUMIFS(Actuals!$G:$G,Actuals!$B:$B,$C$3,Actuals!$C:$C,1,Actuals!$D:$D,$B$194,Actuals!$A:$A,LEFT($D$194,FIND("|",$D$194&amp;"|")-1),Actuals!$E:$E,MID($D$194,FIND("|",$D$194&amp;"|")+1,50),Actuals!$F:$F,"USD")*$F$5+SUMIFS(Actuals!$G:$G,Actuals!$B:$B,$C$3,Actuals!$C:$C,1,Actuals!$D:$D,$B$194,Actuals!$A:$A,LEFT($D$194,FIND("|",$D$194&amp;"|")-1),Actuals!$E:$E,MID($D$194,FIND("|",$D$194&amp;"|")+1,50),Actuals!$F:$F,"EUR")*$G$5+SUMIFS(Actuals!$G:$G,Actuals!$B:$B,$C$3,Actuals!$C:$C,1,Actuals!$D:$D,$B$194,Actuals!$A:$A,LEFT($D$194,FIND("|",$D$194&amp;"|")-1),Actuals!$E:$E,MID($D$194,FIND("|",$D$194&amp;"|")+1,50),Actuals!$F:$F,"GBP")*$H$5)</f>
        <v/>
      </c>
      <c r="I195" s="18">
        <f>IF(OR($B$194="",2&gt;$C$4),"",SUMIFS(Actuals!$G:$G,Actuals!$B:$B,$C$3,Actuals!$C:$C,2,Actuals!$D:$D,$B$194,Actuals!$A:$A,LEFT($D$194,FIND("|",$D$194&amp;"|")-1),Actuals!$E:$E,MID($D$194,FIND("|",$D$194&amp;"|")+1,50),Actuals!$F:$F,"JPY")*$E$5+SUMIFS(Actuals!$G:$G,Actuals!$B:$B,$C$3,Actuals!$C:$C,2,Actuals!$D:$D,$B$194,Actuals!$A:$A,LEFT($D$194,FIND("|",$D$194&amp;"|")-1),Actuals!$E:$E,MID($D$194,FIND("|",$D$194&amp;"|")+1,50),Actuals!$F:$F,"USD")*$F$5+SUMIFS(Actuals!$G:$G,Actuals!$B:$B,$C$3,Actuals!$C:$C,2,Actuals!$D:$D,$B$194,Actuals!$A:$A,LEFT($D$194,FIND("|",$D$194&amp;"|")-1),Actuals!$E:$E,MID($D$194,FIND("|",$D$194&amp;"|")+1,50),Actuals!$F:$F,"EUR")*$G$5+SUMIFS(Actuals!$G:$G,Actuals!$B:$B,$C$3,Actuals!$C:$C,2,Actuals!$D:$D,$B$194,Actuals!$A:$A,LEFT($D$194,FIND("|",$D$194&amp;"|")-1),Actuals!$E:$E,MID($D$194,FIND("|",$D$194&amp;"|")+1,50),Actuals!$F:$F,"GBP")*$H$5)</f>
        <v/>
      </c>
      <c r="J195" s="18">
        <f>IF(OR($B$194="",3&gt;$C$4),"",SUMIFS(Actuals!$G:$G,Actuals!$B:$B,$C$3,Actuals!$C:$C,3,Actuals!$D:$D,$B$194,Actuals!$A:$A,LEFT($D$194,FIND("|",$D$194&amp;"|")-1),Actuals!$E:$E,MID($D$194,FIND("|",$D$194&amp;"|")+1,50),Actuals!$F:$F,"JPY")*$E$5+SUMIFS(Actuals!$G:$G,Actuals!$B:$B,$C$3,Actuals!$C:$C,3,Actuals!$D:$D,$B$194,Actuals!$A:$A,LEFT($D$194,FIND("|",$D$194&amp;"|")-1),Actuals!$E:$E,MID($D$194,FIND("|",$D$194&amp;"|")+1,50),Actuals!$F:$F,"USD")*$F$5+SUMIFS(Actuals!$G:$G,Actuals!$B:$B,$C$3,Actuals!$C:$C,3,Actuals!$D:$D,$B$194,Actuals!$A:$A,LEFT($D$194,FIND("|",$D$194&amp;"|")-1),Actuals!$E:$E,MID($D$194,FIND("|",$D$194&amp;"|")+1,50),Actuals!$F:$F,"EUR")*$G$5+SUMIFS(Actuals!$G:$G,Actuals!$B:$B,$C$3,Actuals!$C:$C,3,Actuals!$D:$D,$B$194,Actuals!$A:$A,LEFT($D$194,FIND("|",$D$194&amp;"|")-1),Actuals!$E:$E,MID($D$194,FIND("|",$D$194&amp;"|")+1,50),Actuals!$F:$F,"GBP")*$H$5)</f>
        <v/>
      </c>
      <c r="K195" s="18">
        <f>IF(OR($B$194="",4&gt;$C$4),"",SUMIFS(Actuals!$G:$G,Actuals!$B:$B,$C$3,Actuals!$C:$C,4,Actuals!$D:$D,$B$194,Actuals!$A:$A,LEFT($D$194,FIND("|",$D$194&amp;"|")-1),Actuals!$E:$E,MID($D$194,FIND("|",$D$194&amp;"|")+1,50),Actuals!$F:$F,"JPY")*$E$5+SUMIFS(Actuals!$G:$G,Actuals!$B:$B,$C$3,Actuals!$C:$C,4,Actuals!$D:$D,$B$194,Actuals!$A:$A,LEFT($D$194,FIND("|",$D$194&amp;"|")-1),Actuals!$E:$E,MID($D$194,FIND("|",$D$194&amp;"|")+1,50),Actuals!$F:$F,"USD")*$F$5+SUMIFS(Actuals!$G:$G,Actuals!$B:$B,$C$3,Actuals!$C:$C,4,Actuals!$D:$D,$B$194,Actuals!$A:$A,LEFT($D$194,FIND("|",$D$194&amp;"|")-1),Actuals!$E:$E,MID($D$194,FIND("|",$D$194&amp;"|")+1,50),Actuals!$F:$F,"EUR")*$G$5+SUMIFS(Actuals!$G:$G,Actuals!$B:$B,$C$3,Actuals!$C:$C,4,Actuals!$D:$D,$B$194,Actuals!$A:$A,LEFT($D$194,FIND("|",$D$194&amp;"|")-1),Actuals!$E:$E,MID($D$194,FIND("|",$D$194&amp;"|")+1,50),Actuals!$F:$F,"GBP")*$H$5)</f>
        <v/>
      </c>
      <c r="L195" s="18">
        <f>IF(OR($B$194="",5&gt;$C$4),"",SUMIFS(Actuals!$G:$G,Actuals!$B:$B,$C$3,Actuals!$C:$C,5,Actuals!$D:$D,$B$194,Actuals!$A:$A,LEFT($D$194,FIND("|",$D$194&amp;"|")-1),Actuals!$E:$E,MID($D$194,FIND("|",$D$194&amp;"|")+1,50),Actuals!$F:$F,"JPY")*$E$5+SUMIFS(Actuals!$G:$G,Actuals!$B:$B,$C$3,Actuals!$C:$C,5,Actuals!$D:$D,$B$194,Actuals!$A:$A,LEFT($D$194,FIND("|",$D$194&amp;"|")-1),Actuals!$E:$E,MID($D$194,FIND("|",$D$194&amp;"|")+1,50),Actuals!$F:$F,"USD")*$F$5+SUMIFS(Actuals!$G:$G,Actuals!$B:$B,$C$3,Actuals!$C:$C,5,Actuals!$D:$D,$B$194,Actuals!$A:$A,LEFT($D$194,FIND("|",$D$194&amp;"|")-1),Actuals!$E:$E,MID($D$194,FIND("|",$D$194&amp;"|")+1,50),Actuals!$F:$F,"EUR")*$G$5+SUMIFS(Actuals!$G:$G,Actuals!$B:$B,$C$3,Actuals!$C:$C,5,Actuals!$D:$D,$B$194,Actuals!$A:$A,LEFT($D$194,FIND("|",$D$194&amp;"|")-1),Actuals!$E:$E,MID($D$194,FIND("|",$D$194&amp;"|")+1,50),Actuals!$F:$F,"GBP")*$H$5)</f>
        <v/>
      </c>
      <c r="M195" s="18">
        <f>IF(OR($B$194="",6&gt;$C$4),"",SUMIFS(Actuals!$G:$G,Actuals!$B:$B,$C$3,Actuals!$C:$C,6,Actuals!$D:$D,$B$194,Actuals!$A:$A,LEFT($D$194,FIND("|",$D$194&amp;"|")-1),Actuals!$E:$E,MID($D$194,FIND("|",$D$194&amp;"|")+1,50),Actuals!$F:$F,"JPY")*$E$5+SUMIFS(Actuals!$G:$G,Actuals!$B:$B,$C$3,Actuals!$C:$C,6,Actuals!$D:$D,$B$194,Actuals!$A:$A,LEFT($D$194,FIND("|",$D$194&amp;"|")-1),Actuals!$E:$E,MID($D$194,FIND("|",$D$194&amp;"|")+1,50),Actuals!$F:$F,"USD")*$F$5+SUMIFS(Actuals!$G:$G,Actuals!$B:$B,$C$3,Actuals!$C:$C,6,Actuals!$D:$D,$B$194,Actuals!$A:$A,LEFT($D$194,FIND("|",$D$194&amp;"|")-1),Actuals!$E:$E,MID($D$194,FIND("|",$D$194&amp;"|")+1,50),Actuals!$F:$F,"EUR")*$G$5+SUMIFS(Actuals!$G:$G,Actuals!$B:$B,$C$3,Actuals!$C:$C,6,Actuals!$D:$D,$B$194,Actuals!$A:$A,LEFT($D$194,FIND("|",$D$194&amp;"|")-1),Actuals!$E:$E,MID($D$194,FIND("|",$D$194&amp;"|")+1,50),Actuals!$F:$F,"GBP")*$H$5)</f>
        <v/>
      </c>
      <c r="N195" s="18">
        <f>IF(OR($B$194="",7&gt;$C$4),"",SUMIFS(Actuals!$G:$G,Actuals!$B:$B,$C$3,Actuals!$C:$C,7,Actuals!$D:$D,$B$194,Actuals!$A:$A,LEFT($D$194,FIND("|",$D$194&amp;"|")-1),Actuals!$E:$E,MID($D$194,FIND("|",$D$194&amp;"|")+1,50),Actuals!$F:$F,"JPY")*$E$5+SUMIFS(Actuals!$G:$G,Actuals!$B:$B,$C$3,Actuals!$C:$C,7,Actuals!$D:$D,$B$194,Actuals!$A:$A,LEFT($D$194,FIND("|",$D$194&amp;"|")-1),Actuals!$E:$E,MID($D$194,FIND("|",$D$194&amp;"|")+1,50),Actuals!$F:$F,"USD")*$F$5+SUMIFS(Actuals!$G:$G,Actuals!$B:$B,$C$3,Actuals!$C:$C,7,Actuals!$D:$D,$B$194,Actuals!$A:$A,LEFT($D$194,FIND("|",$D$194&amp;"|")-1),Actuals!$E:$E,MID($D$194,FIND("|",$D$194&amp;"|")+1,50),Actuals!$F:$F,"EUR")*$G$5+SUMIFS(Actuals!$G:$G,Actuals!$B:$B,$C$3,Actuals!$C:$C,7,Actuals!$D:$D,$B$194,Actuals!$A:$A,LEFT($D$194,FIND("|",$D$194&amp;"|")-1),Actuals!$E:$E,MID($D$194,FIND("|",$D$194&amp;"|")+1,50),Actuals!$F:$F,"GBP")*$H$5)</f>
        <v/>
      </c>
      <c r="O195" s="18">
        <f>IF(OR($B$194="",8&gt;$C$4),"",SUMIFS(Actuals!$G:$G,Actuals!$B:$B,$C$3,Actuals!$C:$C,8,Actuals!$D:$D,$B$194,Actuals!$A:$A,LEFT($D$194,FIND("|",$D$194&amp;"|")-1),Actuals!$E:$E,MID($D$194,FIND("|",$D$194&amp;"|")+1,50),Actuals!$F:$F,"JPY")*$E$5+SUMIFS(Actuals!$G:$G,Actuals!$B:$B,$C$3,Actuals!$C:$C,8,Actuals!$D:$D,$B$194,Actuals!$A:$A,LEFT($D$194,FIND("|",$D$194&amp;"|")-1),Actuals!$E:$E,MID($D$194,FIND("|",$D$194&amp;"|")+1,50),Actuals!$F:$F,"USD")*$F$5+SUMIFS(Actuals!$G:$G,Actuals!$B:$B,$C$3,Actuals!$C:$C,8,Actuals!$D:$D,$B$194,Actuals!$A:$A,LEFT($D$194,FIND("|",$D$194&amp;"|")-1),Actuals!$E:$E,MID($D$194,FIND("|",$D$194&amp;"|")+1,50),Actuals!$F:$F,"EUR")*$G$5+SUMIFS(Actuals!$G:$G,Actuals!$B:$B,$C$3,Actuals!$C:$C,8,Actuals!$D:$D,$B$194,Actuals!$A:$A,LEFT($D$194,FIND("|",$D$194&amp;"|")-1),Actuals!$E:$E,MID($D$194,FIND("|",$D$194&amp;"|")+1,50),Actuals!$F:$F,"GBP")*$H$5)</f>
        <v/>
      </c>
      <c r="P195" s="18">
        <f>IF(OR($B$194="",9&gt;$C$4),"",SUMIFS(Actuals!$G:$G,Actuals!$B:$B,$C$3,Actuals!$C:$C,9,Actuals!$D:$D,$B$194,Actuals!$A:$A,LEFT($D$194,FIND("|",$D$194&amp;"|")-1),Actuals!$E:$E,MID($D$194,FIND("|",$D$194&amp;"|")+1,50),Actuals!$F:$F,"JPY")*$E$5+SUMIFS(Actuals!$G:$G,Actuals!$B:$B,$C$3,Actuals!$C:$C,9,Actuals!$D:$D,$B$194,Actuals!$A:$A,LEFT($D$194,FIND("|",$D$194&amp;"|")-1),Actuals!$E:$E,MID($D$194,FIND("|",$D$194&amp;"|")+1,50),Actuals!$F:$F,"USD")*$F$5+SUMIFS(Actuals!$G:$G,Actuals!$B:$B,$C$3,Actuals!$C:$C,9,Actuals!$D:$D,$B$194,Actuals!$A:$A,LEFT($D$194,FIND("|",$D$194&amp;"|")-1),Actuals!$E:$E,MID($D$194,FIND("|",$D$194&amp;"|")+1,50),Actuals!$F:$F,"EUR")*$G$5+SUMIFS(Actuals!$G:$G,Actuals!$B:$B,$C$3,Actuals!$C:$C,9,Actuals!$D:$D,$B$194,Actuals!$A:$A,LEFT($D$194,FIND("|",$D$194&amp;"|")-1),Actuals!$E:$E,MID($D$194,FIND("|",$D$194&amp;"|")+1,50),Actuals!$F:$F,"GBP")*$H$5)</f>
        <v/>
      </c>
      <c r="Q195" s="18">
        <f>IF(OR($B$194="",10&gt;$C$4),"",SUMIFS(Actuals!$G:$G,Actuals!$B:$B,$C$3,Actuals!$C:$C,10,Actuals!$D:$D,$B$194,Actuals!$A:$A,LEFT($D$194,FIND("|",$D$194&amp;"|")-1),Actuals!$E:$E,MID($D$194,FIND("|",$D$194&amp;"|")+1,50),Actuals!$F:$F,"JPY")*$E$5+SUMIFS(Actuals!$G:$G,Actuals!$B:$B,$C$3,Actuals!$C:$C,10,Actuals!$D:$D,$B$194,Actuals!$A:$A,LEFT($D$194,FIND("|",$D$194&amp;"|")-1),Actuals!$E:$E,MID($D$194,FIND("|",$D$194&amp;"|")+1,50),Actuals!$F:$F,"USD")*$F$5+SUMIFS(Actuals!$G:$G,Actuals!$B:$B,$C$3,Actuals!$C:$C,10,Actuals!$D:$D,$B$194,Actuals!$A:$A,LEFT($D$194,FIND("|",$D$194&amp;"|")-1),Actuals!$E:$E,MID($D$194,FIND("|",$D$194&amp;"|")+1,50),Actuals!$F:$F,"EUR")*$G$5+SUMIFS(Actuals!$G:$G,Actuals!$B:$B,$C$3,Actuals!$C:$C,10,Actuals!$D:$D,$B$194,Actuals!$A:$A,LEFT($D$194,FIND("|",$D$194&amp;"|")-1),Actuals!$E:$E,MID($D$194,FIND("|",$D$194&amp;"|")+1,50),Actuals!$F:$F,"GBP")*$H$5)</f>
        <v/>
      </c>
      <c r="R195" s="18">
        <f>IF(OR($B$194="",11&gt;$C$4),"",SUMIFS(Actuals!$G:$G,Actuals!$B:$B,$C$3,Actuals!$C:$C,11,Actuals!$D:$D,$B$194,Actuals!$A:$A,LEFT($D$194,FIND("|",$D$194&amp;"|")-1),Actuals!$E:$E,MID($D$194,FIND("|",$D$194&amp;"|")+1,50),Actuals!$F:$F,"JPY")*$E$5+SUMIFS(Actuals!$G:$G,Actuals!$B:$B,$C$3,Actuals!$C:$C,11,Actuals!$D:$D,$B$194,Actuals!$A:$A,LEFT($D$194,FIND("|",$D$194&amp;"|")-1),Actuals!$E:$E,MID($D$194,FIND("|",$D$194&amp;"|")+1,50),Actuals!$F:$F,"USD")*$F$5+SUMIFS(Actuals!$G:$G,Actuals!$B:$B,$C$3,Actuals!$C:$C,11,Actuals!$D:$D,$B$194,Actuals!$A:$A,LEFT($D$194,FIND("|",$D$194&amp;"|")-1),Actuals!$E:$E,MID($D$194,FIND("|",$D$194&amp;"|")+1,50),Actuals!$F:$F,"EUR")*$G$5+SUMIFS(Actuals!$G:$G,Actuals!$B:$B,$C$3,Actuals!$C:$C,11,Actuals!$D:$D,$B$194,Actuals!$A:$A,LEFT($D$194,FIND("|",$D$194&amp;"|")-1),Actuals!$E:$E,MID($D$194,FIND("|",$D$194&amp;"|")+1,50),Actuals!$F:$F,"GBP")*$H$5)</f>
        <v/>
      </c>
      <c r="S195" s="18">
        <f>IF(OR($B$194="",12&gt;$C$4),"",SUMIFS(Actuals!$G:$G,Actuals!$B:$B,$C$3,Actuals!$C:$C,12,Actuals!$D:$D,$B$194,Actuals!$A:$A,LEFT($D$194,FIND("|",$D$194&amp;"|")-1),Actuals!$E:$E,MID($D$194,FIND("|",$D$194&amp;"|")+1,50),Actuals!$F:$F,"JPY")*$E$5+SUMIFS(Actuals!$G:$G,Actuals!$B:$B,$C$3,Actuals!$C:$C,12,Actuals!$D:$D,$B$194,Actuals!$A:$A,LEFT($D$194,FIND("|",$D$194&amp;"|")-1),Actuals!$E:$E,MID($D$194,FIND("|",$D$194&amp;"|")+1,50),Actuals!$F:$F,"USD")*$F$5+SUMIFS(Actuals!$G:$G,Actuals!$B:$B,$C$3,Actuals!$C:$C,12,Actuals!$D:$D,$B$194,Actuals!$A:$A,LEFT($D$194,FIND("|",$D$194&amp;"|")-1),Actuals!$E:$E,MID($D$194,FIND("|",$D$194&amp;"|")+1,50),Actuals!$F:$F,"EUR")*$G$5+SUMIFS(Actuals!$G:$G,Actuals!$B:$B,$C$3,Actuals!$C:$C,12,Actuals!$D:$D,$B$194,Actuals!$A:$A,LEFT($D$194,FIND("|",$D$194&amp;"|")-1),Actuals!$E:$E,MID($D$194,FIND("|",$D$194&amp;"|")+1,50),Actuals!$F:$F,"GBP")*$H$5)</f>
        <v/>
      </c>
      <c r="T195" s="18">
        <f>IF($B$194="","",SUMIF($H$7:$S$7,"&lt;="&amp;$C$4,$H195:$S195))</f>
        <v/>
      </c>
      <c r="U195" s="18" t="n"/>
      <c r="V195" s="18" t="n"/>
      <c r="X195" s="22">
        <f>IF($B195="","",IFERROR(INDEX(Cost_Centers!$E:$E,MATCH($B195,Cost_Centers!$A:$A,0)),"(unknown)"))</f>
        <v/>
      </c>
      <c r="Y195" s="22">
        <f>IF($B195="","",IFERROR(INDEX(Cost_Centers!$D:$D,MATCH($B195,Cost_Centers!$A:$A,0)),"(unknown)"))</f>
        <v/>
      </c>
      <c r="Z195" s="22">
        <f>IF(OR($B195="",$G195&lt;&gt;"Variance vs Budget"),"",ABS(N($V195))+ROW()/1000000000)</f>
        <v/>
      </c>
    </row>
    <row r="196">
      <c r="A196" s="13">
        <f>IF(A$194="","",A$194)</f>
        <v/>
      </c>
      <c r="B196" s="13">
        <f>IF(B$194="","",B$194)</f>
        <v/>
      </c>
      <c r="C196" s="13">
        <f>IF(C$194="","",C$194)</f>
        <v/>
      </c>
      <c r="D196" s="13">
        <f>IF(D$194="","",D$194)</f>
        <v/>
      </c>
      <c r="E196" s="13">
        <f>IF(E$194="","",E$194)</f>
        <v/>
      </c>
      <c r="F196" s="13">
        <f>IF(F$194="","",F$194)</f>
        <v/>
      </c>
      <c r="G196" s="6" t="inlineStr">
        <is>
          <t>Variance vs Budget</t>
        </is>
      </c>
      <c r="H196" s="33">
        <f>IF(OR($B$194="",1&gt;$C$4),"",N(H195)-H194)</f>
        <v/>
      </c>
      <c r="I196" s="33">
        <f>IF(OR($B$194="",2&gt;$C$4),"",N(I195)-I194)</f>
        <v/>
      </c>
      <c r="J196" s="33">
        <f>IF(OR($B$194="",3&gt;$C$4),"",N(J195)-J194)</f>
        <v/>
      </c>
      <c r="K196" s="33">
        <f>IF(OR($B$194="",4&gt;$C$4),"",N(K195)-K194)</f>
        <v/>
      </c>
      <c r="L196" s="33">
        <f>IF(OR($B$194="",5&gt;$C$4),"",N(L195)-L194)</f>
        <v/>
      </c>
      <c r="M196" s="33">
        <f>IF(OR($B$194="",6&gt;$C$4),"",N(M195)-M194)</f>
        <v/>
      </c>
      <c r="N196" s="33">
        <f>IF(OR($B$194="",7&gt;$C$4),"",N(N195)-N194)</f>
        <v/>
      </c>
      <c r="O196" s="33">
        <f>IF(OR($B$194="",8&gt;$C$4),"",N(O195)-O194)</f>
        <v/>
      </c>
      <c r="P196" s="33">
        <f>IF(OR($B$194="",9&gt;$C$4),"",N(P195)-P194)</f>
        <v/>
      </c>
      <c r="Q196" s="33">
        <f>IF(OR($B$194="",10&gt;$C$4),"",N(Q195)-Q194)</f>
        <v/>
      </c>
      <c r="R196" s="33">
        <f>IF(OR($B$194="",11&gt;$C$4),"",N(R195)-R194)</f>
        <v/>
      </c>
      <c r="S196" s="33">
        <f>IF(OR($B$194="",12&gt;$C$4),"",N(S195)-S194)</f>
        <v/>
      </c>
      <c r="T196" s="33">
        <f>IF($B$194="","",T195-T194)</f>
        <v/>
      </c>
      <c r="U196" s="33">
        <f>IF($B$194="","",U198-U194)</f>
        <v/>
      </c>
      <c r="V196" s="33">
        <f>IF($B$194="","",V198-V194)</f>
        <v/>
      </c>
      <c r="X196" s="22">
        <f>IF($B196="","",IFERROR(INDEX(Cost_Centers!$E:$E,MATCH($B196,Cost_Centers!$A:$A,0)),"(unknown)"))</f>
        <v/>
      </c>
      <c r="Y196" s="22">
        <f>IF($B196="","",IFERROR(INDEX(Cost_Centers!$D:$D,MATCH($B196,Cost_Centers!$A:$A,0)),"(unknown)"))</f>
        <v/>
      </c>
      <c r="Z196" s="22">
        <f>IF(OR($B196="",$G196&lt;&gt;"Variance vs Budget"),"",ABS(N($V196))+ROW()/1000000000)</f>
        <v/>
      </c>
    </row>
    <row r="197">
      <c r="A197" s="13">
        <f>IF(A$194="","",A$194)</f>
        <v/>
      </c>
      <c r="B197" s="13">
        <f>IF(B$194="","",B$194)</f>
        <v/>
      </c>
      <c r="C197" s="13">
        <f>IF(C$194="","",C$194)</f>
        <v/>
      </c>
      <c r="D197" s="13">
        <f>IF(D$194="","",D$194)</f>
        <v/>
      </c>
      <c r="E197" s="13">
        <f>IF(E$194="","",E$194)</f>
        <v/>
      </c>
      <c r="F197" s="13">
        <f>IF(F$194="","",F$194)</f>
        <v/>
      </c>
      <c r="G197" s="7" t="inlineStr">
        <is>
          <t>Forecast (input)</t>
        </is>
      </c>
      <c r="H197" s="34" t="n"/>
      <c r="I197" s="34" t="n"/>
      <c r="J197" s="34" t="n"/>
      <c r="K197" s="34" t="n"/>
      <c r="L197" s="34" t="n"/>
      <c r="M197" s="34" t="n"/>
      <c r="N197" s="34" t="n"/>
      <c r="O197" s="34" t="n"/>
      <c r="P197" s="34" t="n"/>
      <c r="Q197" s="34" t="n"/>
      <c r="R197" s="34" t="n"/>
      <c r="S197" s="34" t="n"/>
      <c r="T197" s="18" t="n"/>
      <c r="U197" s="18" t="n"/>
      <c r="V197" s="18" t="n"/>
      <c r="X197" s="22">
        <f>IF($B197="","",IFERROR(INDEX(Cost_Centers!$E:$E,MATCH($B197,Cost_Centers!$A:$A,0)),"(unknown)"))</f>
        <v/>
      </c>
      <c r="Y197" s="22">
        <f>IF($B197="","",IFERROR(INDEX(Cost_Centers!$D:$D,MATCH($B197,Cost_Centers!$A:$A,0)),"(unknown)"))</f>
        <v/>
      </c>
      <c r="Z197" s="22">
        <f>IF(OR($B197="",$G197&lt;&gt;"Variance vs Budget"),"",ABS(N($V197))+ROW()/1000000000)</f>
        <v/>
      </c>
    </row>
    <row r="198">
      <c r="A198" s="13">
        <f>IF(A$194="","",A$194)</f>
        <v/>
      </c>
      <c r="B198" s="13">
        <f>IF(B$194="","",B$194)</f>
        <v/>
      </c>
      <c r="C198" s="13">
        <f>IF(C$194="","",C$194)</f>
        <v/>
      </c>
      <c r="D198" s="13">
        <f>IF(D$194="","",D$194)</f>
        <v/>
      </c>
      <c r="E198" s="13">
        <f>IF(E$194="","",E$194)</f>
        <v/>
      </c>
      <c r="F198" s="13">
        <f>IF(F$194="","",F$194)</f>
        <v/>
      </c>
      <c r="G198" s="35" t="inlineStr">
        <is>
          <t>Actual + Forecast</t>
        </is>
      </c>
      <c r="H198" s="18">
        <f>IF($B$194="","",IF(1&lt;=$C$4,N(H195),IF(H197="",H194,H197)))</f>
        <v/>
      </c>
      <c r="I198" s="18">
        <f>IF($B$194="","",IF(2&lt;=$C$4,N(I195),IF(I197="",I194,I197)))</f>
        <v/>
      </c>
      <c r="J198" s="18">
        <f>IF($B$194="","",IF(3&lt;=$C$4,N(J195),IF(J197="",J194,J197)))</f>
        <v/>
      </c>
      <c r="K198" s="18">
        <f>IF($B$194="","",IF(4&lt;=$C$4,N(K195),IF(K197="",K194,K197)))</f>
        <v/>
      </c>
      <c r="L198" s="18">
        <f>IF($B$194="","",IF(5&lt;=$C$4,N(L195),IF(L197="",L194,L197)))</f>
        <v/>
      </c>
      <c r="M198" s="18">
        <f>IF($B$194="","",IF(6&lt;=$C$4,N(M195),IF(M197="",M194,M197)))</f>
        <v/>
      </c>
      <c r="N198" s="18">
        <f>IF($B$194="","",IF(7&lt;=$C$4,N(N195),IF(N197="",N194,N197)))</f>
        <v/>
      </c>
      <c r="O198" s="18">
        <f>IF($B$194="","",IF(8&lt;=$C$4,N(O195),IF(O197="",O194,O197)))</f>
        <v/>
      </c>
      <c r="P198" s="18">
        <f>IF($B$194="","",IF(9&lt;=$C$4,N(P195),IF(P197="",P194,P197)))</f>
        <v/>
      </c>
      <c r="Q198" s="18">
        <f>IF($B$194="","",IF(10&lt;=$C$4,N(Q195),IF(Q197="",Q194,Q197)))</f>
        <v/>
      </c>
      <c r="R198" s="18">
        <f>IF($B$194="","",IF(11&lt;=$C$4,N(R195),IF(R197="",R194,R197)))</f>
        <v/>
      </c>
      <c r="S198" s="18">
        <f>IF($B$194="","",IF(12&lt;=$C$4,N(S195),IF(S197="",S194,S197)))</f>
        <v/>
      </c>
      <c r="T198" s="18">
        <f>IF($B$194="","",SUMIF($H$7:$S$7,"&lt;="&amp;$C$4,$H198:$S198))</f>
        <v/>
      </c>
      <c r="U198" s="18">
        <f>IF($B$194="","",SUMIF($H$7:$S$7,"&gt;"&amp;$C$4,$H198:$S198))</f>
        <v/>
      </c>
      <c r="V198" s="18">
        <f>IF($B$194="","",SUM($H198:$S198))</f>
        <v/>
      </c>
      <c r="X198" s="22">
        <f>IF($B198="","",IFERROR(INDEX(Cost_Centers!$E:$E,MATCH($B198,Cost_Centers!$A:$A,0)),"(unknown)"))</f>
        <v/>
      </c>
      <c r="Y198" s="22">
        <f>IF($B198="","",IFERROR(INDEX(Cost_Centers!$D:$D,MATCH($B198,Cost_Centers!$A:$A,0)),"(unknown)"))</f>
        <v/>
      </c>
      <c r="Z198" s="22">
        <f>IF(OR($B198="",$G198&lt;&gt;"Variance vs Budget"),"",ABS(N($V198))+ROW()/1000000000)</f>
        <v/>
      </c>
    </row>
    <row r="199">
      <c r="A199" s="13">
        <f>IF(A$194="","",A$194)</f>
        <v/>
      </c>
      <c r="B199" s="13">
        <f>IF(B$194="","",B$194)</f>
        <v/>
      </c>
      <c r="C199" s="13">
        <f>IF(C$194="","",C$194)</f>
        <v/>
      </c>
      <c r="D199" s="13">
        <f>IF(D$194="","",D$194)</f>
        <v/>
      </c>
      <c r="E199" s="13">
        <f>IF(E$194="","",E$194)</f>
        <v/>
      </c>
      <c r="F199" s="13">
        <f>IF(F$194="","",F$194)</f>
        <v/>
      </c>
      <c r="G199" s="36" t="inlineStr">
        <is>
          <t>Prior Month Forecast</t>
        </is>
      </c>
      <c r="H199" s="37">
        <f>IF($B$194="","",IF(COUNTIFS(Prior_Forecast!$A:$A,$B$194,Prior_Forecast!$B:$B,$D$194)&gt;0,SUMIFS(Prior_Forecast!$C:$C,Prior_Forecast!$A:$A,$B$194,Prior_Forecast!$B:$B,$D$194),""))</f>
        <v/>
      </c>
      <c r="I199" s="37">
        <f>IF($B$194="","",IF(COUNTIFS(Prior_Forecast!$A:$A,$B$194,Prior_Forecast!$B:$B,$D$194)&gt;0,SUMIFS(Prior_Forecast!$D:$D,Prior_Forecast!$A:$A,$B$194,Prior_Forecast!$B:$B,$D$194),""))</f>
        <v/>
      </c>
      <c r="J199" s="37">
        <f>IF($B$194="","",IF(COUNTIFS(Prior_Forecast!$A:$A,$B$194,Prior_Forecast!$B:$B,$D$194)&gt;0,SUMIFS(Prior_Forecast!$E:$E,Prior_Forecast!$A:$A,$B$194,Prior_Forecast!$B:$B,$D$194),""))</f>
        <v/>
      </c>
      <c r="K199" s="37">
        <f>IF($B$194="","",IF(COUNTIFS(Prior_Forecast!$A:$A,$B$194,Prior_Forecast!$B:$B,$D$194)&gt;0,SUMIFS(Prior_Forecast!$F:$F,Prior_Forecast!$A:$A,$B$194,Prior_Forecast!$B:$B,$D$194),""))</f>
        <v/>
      </c>
      <c r="L199" s="37">
        <f>IF($B$194="","",IF(COUNTIFS(Prior_Forecast!$A:$A,$B$194,Prior_Forecast!$B:$B,$D$194)&gt;0,SUMIFS(Prior_Forecast!$G:$G,Prior_Forecast!$A:$A,$B$194,Prior_Forecast!$B:$B,$D$194),""))</f>
        <v/>
      </c>
      <c r="M199" s="37">
        <f>IF($B$194="","",IF(COUNTIFS(Prior_Forecast!$A:$A,$B$194,Prior_Forecast!$B:$B,$D$194)&gt;0,SUMIFS(Prior_Forecast!$H:$H,Prior_Forecast!$A:$A,$B$194,Prior_Forecast!$B:$B,$D$194),""))</f>
        <v/>
      </c>
      <c r="N199" s="37">
        <f>IF($B$194="","",IF(COUNTIFS(Prior_Forecast!$A:$A,$B$194,Prior_Forecast!$B:$B,$D$194)&gt;0,SUMIFS(Prior_Forecast!$I:$I,Prior_Forecast!$A:$A,$B$194,Prior_Forecast!$B:$B,$D$194),""))</f>
        <v/>
      </c>
      <c r="O199" s="37">
        <f>IF($B$194="","",IF(COUNTIFS(Prior_Forecast!$A:$A,$B$194,Prior_Forecast!$B:$B,$D$194)&gt;0,SUMIFS(Prior_Forecast!$J:$J,Prior_Forecast!$A:$A,$B$194,Prior_Forecast!$B:$B,$D$194),""))</f>
        <v/>
      </c>
      <c r="P199" s="37">
        <f>IF($B$194="","",IF(COUNTIFS(Prior_Forecast!$A:$A,$B$194,Prior_Forecast!$B:$B,$D$194)&gt;0,SUMIFS(Prior_Forecast!$K:$K,Prior_Forecast!$A:$A,$B$194,Prior_Forecast!$B:$B,$D$194),""))</f>
        <v/>
      </c>
      <c r="Q199" s="37">
        <f>IF($B$194="","",IF(COUNTIFS(Prior_Forecast!$A:$A,$B$194,Prior_Forecast!$B:$B,$D$194)&gt;0,SUMIFS(Prior_Forecast!$L:$L,Prior_Forecast!$A:$A,$B$194,Prior_Forecast!$B:$B,$D$194),""))</f>
        <v/>
      </c>
      <c r="R199" s="37">
        <f>IF($B$194="","",IF(COUNTIFS(Prior_Forecast!$A:$A,$B$194,Prior_Forecast!$B:$B,$D$194)&gt;0,SUMIFS(Prior_Forecast!$M:$M,Prior_Forecast!$A:$A,$B$194,Prior_Forecast!$B:$B,$D$194),""))</f>
        <v/>
      </c>
      <c r="S199" s="37">
        <f>IF($B$194="","",IF(COUNTIFS(Prior_Forecast!$A:$A,$B$194,Prior_Forecast!$B:$B,$D$194)&gt;0,SUMIFS(Prior_Forecast!$N:$N,Prior_Forecast!$A:$A,$B$194,Prior_Forecast!$B:$B,$D$194),""))</f>
        <v/>
      </c>
      <c r="T199" s="37">
        <f>IF($B$194="","",IF(COUNTIFS(Prior_Forecast!$A:$A,$B$194,Prior_Forecast!$B:$B,$D$194)&gt;0,SUMIFS(Prior_Forecast!$O:$O,Prior_Forecast!$A:$A,$B$194,Prior_Forecast!$B:$B,$D$194),""))</f>
        <v/>
      </c>
      <c r="U199" s="37">
        <f>IF($B$194="","",IF(COUNTIFS(Prior_Forecast!$A:$A,$B$194,Prior_Forecast!$B:$B,$D$194)&gt;0,SUMIFS(Prior_Forecast!$P:$P,Prior_Forecast!$A:$A,$B$194,Prior_Forecast!$B:$B,$D$194),""))</f>
        <v/>
      </c>
      <c r="V199" s="37">
        <f>IF($B$194="","",IF(COUNTIFS(Prior_Forecast!$A:$A,$B$194,Prior_Forecast!$B:$B,$D$194)&gt;0,SUMIFS(Prior_Forecast!$Q:$Q,Prior_Forecast!$A:$A,$B$194,Prior_Forecast!$B:$B,$D$194),""))</f>
        <v/>
      </c>
      <c r="X199" s="22">
        <f>IF($B199="","",IFERROR(INDEX(Cost_Centers!$E:$E,MATCH($B199,Cost_Centers!$A:$A,0)),"(unknown)"))</f>
        <v/>
      </c>
      <c r="Y199" s="22">
        <f>IF($B199="","",IFERROR(INDEX(Cost_Centers!$D:$D,MATCH($B199,Cost_Centers!$A:$A,0)),"(unknown)"))</f>
        <v/>
      </c>
      <c r="Z199" s="22">
        <f>IF(OR($B199="",$G199&lt;&gt;"Variance vs Budget"),"",ABS(N($V199))+ROW()/1000000000)</f>
        <v/>
      </c>
    </row>
    <row r="200">
      <c r="A200" s="13">
        <f>IF(A$194="","",A$194)</f>
        <v/>
      </c>
      <c r="B200" s="13">
        <f>IF(B$194="","",B$194)</f>
        <v/>
      </c>
      <c r="C200" s="13">
        <f>IF(C$194="","",C$194)</f>
        <v/>
      </c>
      <c r="D200" s="13">
        <f>IF(D$194="","",D$194)</f>
        <v/>
      </c>
      <c r="E200" s="13">
        <f>IF(E$194="","",E$194)</f>
        <v/>
      </c>
      <c r="F200" s="13">
        <f>IF(F$194="","",F$194)</f>
        <v/>
      </c>
      <c r="G200" s="6" t="inlineStr">
        <is>
          <t>Variance vs Prior Month</t>
        </is>
      </c>
      <c r="H200" s="33">
        <f>IF(OR($B$194="",H199=""),"",H198-H199)</f>
        <v/>
      </c>
      <c r="I200" s="33">
        <f>IF(OR($B$194="",I199=""),"",I198-I199)</f>
        <v/>
      </c>
      <c r="J200" s="33">
        <f>IF(OR($B$194="",J199=""),"",J198-J199)</f>
        <v/>
      </c>
      <c r="K200" s="33">
        <f>IF(OR($B$194="",K199=""),"",K198-K199)</f>
        <v/>
      </c>
      <c r="L200" s="33">
        <f>IF(OR($B$194="",L199=""),"",L198-L199)</f>
        <v/>
      </c>
      <c r="M200" s="33">
        <f>IF(OR($B$194="",M199=""),"",M198-M199)</f>
        <v/>
      </c>
      <c r="N200" s="33">
        <f>IF(OR($B$194="",N199=""),"",N198-N199)</f>
        <v/>
      </c>
      <c r="O200" s="33">
        <f>IF(OR($B$194="",O199=""),"",O198-O199)</f>
        <v/>
      </c>
      <c r="P200" s="33">
        <f>IF(OR($B$194="",P199=""),"",P198-P199)</f>
        <v/>
      </c>
      <c r="Q200" s="33">
        <f>IF(OR($B$194="",Q199=""),"",Q198-Q199)</f>
        <v/>
      </c>
      <c r="R200" s="33">
        <f>IF(OR($B$194="",R199=""),"",R198-R199)</f>
        <v/>
      </c>
      <c r="S200" s="33">
        <f>IF(OR($B$194="",S199=""),"",S198-S199)</f>
        <v/>
      </c>
      <c r="T200" s="33">
        <f>IF(OR($B$194="",T199=""),"",T198-T199)</f>
        <v/>
      </c>
      <c r="U200" s="33">
        <f>IF(OR($B$194="",U199=""),"",U198-U199)</f>
        <v/>
      </c>
      <c r="V200" s="33">
        <f>IF(OR($B$194="",V199=""),"",V198-V199)</f>
        <v/>
      </c>
      <c r="X200" s="22">
        <f>IF($B200="","",IFERROR(INDEX(Cost_Centers!$E:$E,MATCH($B200,Cost_Centers!$A:$A,0)),"(unknown)"))</f>
        <v/>
      </c>
      <c r="Y200" s="22">
        <f>IF($B200="","",IFERROR(INDEX(Cost_Centers!$D:$D,MATCH($B200,Cost_Centers!$A:$A,0)),"(unknown)"))</f>
        <v/>
      </c>
      <c r="Z200" s="22">
        <f>IF(OR($B200="",$G200&lt;&gt;"Variance vs Budget"),"",ABS(N($V200))+ROW()/1000000000)</f>
        <v/>
      </c>
    </row>
    <row r="201" ht="45" customHeight="1">
      <c r="A201" s="13">
        <f>IF(A$194="","",A$194)</f>
        <v/>
      </c>
      <c r="B201" s="13">
        <f>IF(B$194="","",B$194)</f>
        <v/>
      </c>
      <c r="C201" s="13">
        <f>IF(C$194="","",C$194)</f>
        <v/>
      </c>
      <c r="D201" s="13">
        <f>IF(D$194="","",D$194)</f>
        <v/>
      </c>
      <c r="E201" s="13">
        <f>IF(E$194="","",E$194)</f>
        <v/>
      </c>
      <c r="F201" s="13">
        <f>IF(F$194="","",F$194)</f>
        <v/>
      </c>
      <c r="G201" s="7" t="inlineStr">
        <is>
          <t>Rationale</t>
        </is>
      </c>
      <c r="H201" s="38" t="n"/>
      <c r="I201" s="38" t="n"/>
      <c r="J201" s="38" t="n"/>
      <c r="K201" s="38" t="n"/>
      <c r="L201" s="38" t="n"/>
      <c r="M201" s="38" t="n"/>
      <c r="N201" s="38" t="n"/>
      <c r="O201" s="38" t="n"/>
      <c r="P201" s="38" t="n"/>
      <c r="Q201" s="38" t="n"/>
      <c r="R201" s="38" t="n"/>
      <c r="S201" s="38" t="n"/>
      <c r="T201" s="38" t="n"/>
      <c r="U201" s="38" t="n"/>
      <c r="V201" s="7" t="n"/>
      <c r="X201" s="22">
        <f>IF($B201="","",IFERROR(INDEX(Cost_Centers!$E:$E,MATCH($B201,Cost_Centers!$A:$A,0)),"(unknown)"))</f>
        <v/>
      </c>
      <c r="Y201" s="22">
        <f>IF($B201="","",IFERROR(INDEX(Cost_Centers!$D:$D,MATCH($B201,Cost_Centers!$A:$A,0)),"(unknown)"))</f>
        <v/>
      </c>
      <c r="Z201" s="22">
        <f>IF(OR($B201="",$G201&lt;&gt;"Variance vs Budget"),"",ABS(N($V201))+ROW()/1000000000)</f>
        <v/>
      </c>
    </row>
    <row r="202">
      <c r="A202" s="30">
        <f>IF($D$202="","",LEFT($D$202,FIND("|",$D$202&amp;"|")-1))</f>
        <v/>
      </c>
      <c r="B202" s="31" t="n"/>
      <c r="C202" s="30">
        <f>IF($B$202="","",IFERROR(INDEX(Cost_Centers!$B:$B,MATCH($B$202,Cost_Centers!$A:$A,0)),"(not in master)"))</f>
        <v/>
      </c>
      <c r="D202" s="31" t="n"/>
      <c r="E202" s="30">
        <f>IF($D$202="","",IFERROR(INDEX(Accounts!$D:$D,MATCH($D$202,Accounts!$A:$A,0)),"(not in master)"))</f>
        <v/>
      </c>
      <c r="F202" s="31" t="n"/>
      <c r="G202" s="30" t="inlineStr">
        <is>
          <t>Budget</t>
        </is>
      </c>
      <c r="H202" s="32">
        <f>IF($B$202="","",SUMIFS(Opex_Budget!$O:$O,Opex_Budget!$A:$A,$C$3,Opex_Budget!$E:$E,$B$202,Opex_Budget!$F:$F,$D$202,Opex_Budget!$N:$N,"JPY")*$E$5+SUMIFS(Opex_Budget!$O:$O,Opex_Budget!$A:$A,$C$3,Opex_Budget!$E:$E,$B$202,Opex_Budget!$F:$F,$D$202,Opex_Budget!$N:$N,"USD")*$F$5+SUMIFS(Opex_Budget!$O:$O,Opex_Budget!$A:$A,$C$3,Opex_Budget!$E:$E,$B$202,Opex_Budget!$F:$F,$D$202,Opex_Budget!$N:$N,"EUR")*$G$5+SUMIFS(Opex_Budget!$O:$O,Opex_Budget!$A:$A,$C$3,Opex_Budget!$E:$E,$B$202,Opex_Budget!$F:$F,$D$202,Opex_Budget!$N:$N,"GBP")*$H$5)</f>
        <v/>
      </c>
      <c r="I202" s="32">
        <f>IF($B$202="","",SUMIFS(Opex_Budget!$P:$P,Opex_Budget!$A:$A,$C$3,Opex_Budget!$E:$E,$B$202,Opex_Budget!$F:$F,$D$202,Opex_Budget!$N:$N,"JPY")*$E$5+SUMIFS(Opex_Budget!$P:$P,Opex_Budget!$A:$A,$C$3,Opex_Budget!$E:$E,$B$202,Opex_Budget!$F:$F,$D$202,Opex_Budget!$N:$N,"USD")*$F$5+SUMIFS(Opex_Budget!$P:$P,Opex_Budget!$A:$A,$C$3,Opex_Budget!$E:$E,$B$202,Opex_Budget!$F:$F,$D$202,Opex_Budget!$N:$N,"EUR")*$G$5+SUMIFS(Opex_Budget!$P:$P,Opex_Budget!$A:$A,$C$3,Opex_Budget!$E:$E,$B$202,Opex_Budget!$F:$F,$D$202,Opex_Budget!$N:$N,"GBP")*$H$5)</f>
        <v/>
      </c>
      <c r="J202" s="32">
        <f>IF($B$202="","",SUMIFS(Opex_Budget!$Q:$Q,Opex_Budget!$A:$A,$C$3,Opex_Budget!$E:$E,$B$202,Opex_Budget!$F:$F,$D$202,Opex_Budget!$N:$N,"JPY")*$E$5+SUMIFS(Opex_Budget!$Q:$Q,Opex_Budget!$A:$A,$C$3,Opex_Budget!$E:$E,$B$202,Opex_Budget!$F:$F,$D$202,Opex_Budget!$N:$N,"USD")*$F$5+SUMIFS(Opex_Budget!$Q:$Q,Opex_Budget!$A:$A,$C$3,Opex_Budget!$E:$E,$B$202,Opex_Budget!$F:$F,$D$202,Opex_Budget!$N:$N,"EUR")*$G$5+SUMIFS(Opex_Budget!$Q:$Q,Opex_Budget!$A:$A,$C$3,Opex_Budget!$E:$E,$B$202,Opex_Budget!$F:$F,$D$202,Opex_Budget!$N:$N,"GBP")*$H$5)</f>
        <v/>
      </c>
      <c r="K202" s="32">
        <f>IF($B$202="","",SUMIFS(Opex_Budget!$R:$R,Opex_Budget!$A:$A,$C$3,Opex_Budget!$E:$E,$B$202,Opex_Budget!$F:$F,$D$202,Opex_Budget!$N:$N,"JPY")*$E$5+SUMIFS(Opex_Budget!$R:$R,Opex_Budget!$A:$A,$C$3,Opex_Budget!$E:$E,$B$202,Opex_Budget!$F:$F,$D$202,Opex_Budget!$N:$N,"USD")*$F$5+SUMIFS(Opex_Budget!$R:$R,Opex_Budget!$A:$A,$C$3,Opex_Budget!$E:$E,$B$202,Opex_Budget!$F:$F,$D$202,Opex_Budget!$N:$N,"EUR")*$G$5+SUMIFS(Opex_Budget!$R:$R,Opex_Budget!$A:$A,$C$3,Opex_Budget!$E:$E,$B$202,Opex_Budget!$F:$F,$D$202,Opex_Budget!$N:$N,"GBP")*$H$5)</f>
        <v/>
      </c>
      <c r="L202" s="32">
        <f>IF($B$202="","",SUMIFS(Opex_Budget!$S:$S,Opex_Budget!$A:$A,$C$3,Opex_Budget!$E:$E,$B$202,Opex_Budget!$F:$F,$D$202,Opex_Budget!$N:$N,"JPY")*$E$5+SUMIFS(Opex_Budget!$S:$S,Opex_Budget!$A:$A,$C$3,Opex_Budget!$E:$E,$B$202,Opex_Budget!$F:$F,$D$202,Opex_Budget!$N:$N,"USD")*$F$5+SUMIFS(Opex_Budget!$S:$S,Opex_Budget!$A:$A,$C$3,Opex_Budget!$E:$E,$B$202,Opex_Budget!$F:$F,$D$202,Opex_Budget!$N:$N,"EUR")*$G$5+SUMIFS(Opex_Budget!$S:$S,Opex_Budget!$A:$A,$C$3,Opex_Budget!$E:$E,$B$202,Opex_Budget!$F:$F,$D$202,Opex_Budget!$N:$N,"GBP")*$H$5)</f>
        <v/>
      </c>
      <c r="M202" s="32">
        <f>IF($B$202="","",SUMIFS(Opex_Budget!$T:$T,Opex_Budget!$A:$A,$C$3,Opex_Budget!$E:$E,$B$202,Opex_Budget!$F:$F,$D$202,Opex_Budget!$N:$N,"JPY")*$E$5+SUMIFS(Opex_Budget!$T:$T,Opex_Budget!$A:$A,$C$3,Opex_Budget!$E:$E,$B$202,Opex_Budget!$F:$F,$D$202,Opex_Budget!$N:$N,"USD")*$F$5+SUMIFS(Opex_Budget!$T:$T,Opex_Budget!$A:$A,$C$3,Opex_Budget!$E:$E,$B$202,Opex_Budget!$F:$F,$D$202,Opex_Budget!$N:$N,"EUR")*$G$5+SUMIFS(Opex_Budget!$T:$T,Opex_Budget!$A:$A,$C$3,Opex_Budget!$E:$E,$B$202,Opex_Budget!$F:$F,$D$202,Opex_Budget!$N:$N,"GBP")*$H$5)</f>
        <v/>
      </c>
      <c r="N202" s="32">
        <f>IF($B$202="","",SUMIFS(Opex_Budget!$U:$U,Opex_Budget!$A:$A,$C$3,Opex_Budget!$E:$E,$B$202,Opex_Budget!$F:$F,$D$202,Opex_Budget!$N:$N,"JPY")*$E$5+SUMIFS(Opex_Budget!$U:$U,Opex_Budget!$A:$A,$C$3,Opex_Budget!$E:$E,$B$202,Opex_Budget!$F:$F,$D$202,Opex_Budget!$N:$N,"USD")*$F$5+SUMIFS(Opex_Budget!$U:$U,Opex_Budget!$A:$A,$C$3,Opex_Budget!$E:$E,$B$202,Opex_Budget!$F:$F,$D$202,Opex_Budget!$N:$N,"EUR")*$G$5+SUMIFS(Opex_Budget!$U:$U,Opex_Budget!$A:$A,$C$3,Opex_Budget!$E:$E,$B$202,Opex_Budget!$F:$F,$D$202,Opex_Budget!$N:$N,"GBP")*$H$5)</f>
        <v/>
      </c>
      <c r="O202" s="32">
        <f>IF($B$202="","",SUMIFS(Opex_Budget!$V:$V,Opex_Budget!$A:$A,$C$3,Opex_Budget!$E:$E,$B$202,Opex_Budget!$F:$F,$D$202,Opex_Budget!$N:$N,"JPY")*$E$5+SUMIFS(Opex_Budget!$V:$V,Opex_Budget!$A:$A,$C$3,Opex_Budget!$E:$E,$B$202,Opex_Budget!$F:$F,$D$202,Opex_Budget!$N:$N,"USD")*$F$5+SUMIFS(Opex_Budget!$V:$V,Opex_Budget!$A:$A,$C$3,Opex_Budget!$E:$E,$B$202,Opex_Budget!$F:$F,$D$202,Opex_Budget!$N:$N,"EUR")*$G$5+SUMIFS(Opex_Budget!$V:$V,Opex_Budget!$A:$A,$C$3,Opex_Budget!$E:$E,$B$202,Opex_Budget!$F:$F,$D$202,Opex_Budget!$N:$N,"GBP")*$H$5)</f>
        <v/>
      </c>
      <c r="P202" s="32">
        <f>IF($B$202="","",SUMIFS(Opex_Budget!$W:$W,Opex_Budget!$A:$A,$C$3,Opex_Budget!$E:$E,$B$202,Opex_Budget!$F:$F,$D$202,Opex_Budget!$N:$N,"JPY")*$E$5+SUMIFS(Opex_Budget!$W:$W,Opex_Budget!$A:$A,$C$3,Opex_Budget!$E:$E,$B$202,Opex_Budget!$F:$F,$D$202,Opex_Budget!$N:$N,"USD")*$F$5+SUMIFS(Opex_Budget!$W:$W,Opex_Budget!$A:$A,$C$3,Opex_Budget!$E:$E,$B$202,Opex_Budget!$F:$F,$D$202,Opex_Budget!$N:$N,"EUR")*$G$5+SUMIFS(Opex_Budget!$W:$W,Opex_Budget!$A:$A,$C$3,Opex_Budget!$E:$E,$B$202,Opex_Budget!$F:$F,$D$202,Opex_Budget!$N:$N,"GBP")*$H$5)</f>
        <v/>
      </c>
      <c r="Q202" s="32">
        <f>IF($B$202="","",SUMIFS(Opex_Budget!$X:$X,Opex_Budget!$A:$A,$C$3,Opex_Budget!$E:$E,$B$202,Opex_Budget!$F:$F,$D$202,Opex_Budget!$N:$N,"JPY")*$E$5+SUMIFS(Opex_Budget!$X:$X,Opex_Budget!$A:$A,$C$3,Opex_Budget!$E:$E,$B$202,Opex_Budget!$F:$F,$D$202,Opex_Budget!$N:$N,"USD")*$F$5+SUMIFS(Opex_Budget!$X:$X,Opex_Budget!$A:$A,$C$3,Opex_Budget!$E:$E,$B$202,Opex_Budget!$F:$F,$D$202,Opex_Budget!$N:$N,"EUR")*$G$5+SUMIFS(Opex_Budget!$X:$X,Opex_Budget!$A:$A,$C$3,Opex_Budget!$E:$E,$B$202,Opex_Budget!$F:$F,$D$202,Opex_Budget!$N:$N,"GBP")*$H$5)</f>
        <v/>
      </c>
      <c r="R202" s="32">
        <f>IF($B$202="","",SUMIFS(Opex_Budget!$Y:$Y,Opex_Budget!$A:$A,$C$3,Opex_Budget!$E:$E,$B$202,Opex_Budget!$F:$F,$D$202,Opex_Budget!$N:$N,"JPY")*$E$5+SUMIFS(Opex_Budget!$Y:$Y,Opex_Budget!$A:$A,$C$3,Opex_Budget!$E:$E,$B$202,Opex_Budget!$F:$F,$D$202,Opex_Budget!$N:$N,"USD")*$F$5+SUMIFS(Opex_Budget!$Y:$Y,Opex_Budget!$A:$A,$C$3,Opex_Budget!$E:$E,$B$202,Opex_Budget!$F:$F,$D$202,Opex_Budget!$N:$N,"EUR")*$G$5+SUMIFS(Opex_Budget!$Y:$Y,Opex_Budget!$A:$A,$C$3,Opex_Budget!$E:$E,$B$202,Opex_Budget!$F:$F,$D$202,Opex_Budget!$N:$N,"GBP")*$H$5)</f>
        <v/>
      </c>
      <c r="S202" s="32">
        <f>IF($B$202="","",SUMIFS(Opex_Budget!$Z:$Z,Opex_Budget!$A:$A,$C$3,Opex_Budget!$E:$E,$B$202,Opex_Budget!$F:$F,$D$202,Opex_Budget!$N:$N,"JPY")*$E$5+SUMIFS(Opex_Budget!$Z:$Z,Opex_Budget!$A:$A,$C$3,Opex_Budget!$E:$E,$B$202,Opex_Budget!$F:$F,$D$202,Opex_Budget!$N:$N,"USD")*$F$5+SUMIFS(Opex_Budget!$Z:$Z,Opex_Budget!$A:$A,$C$3,Opex_Budget!$E:$E,$B$202,Opex_Budget!$F:$F,$D$202,Opex_Budget!$N:$N,"EUR")*$G$5+SUMIFS(Opex_Budget!$Z:$Z,Opex_Budget!$A:$A,$C$3,Opex_Budget!$E:$E,$B$202,Opex_Budget!$F:$F,$D$202,Opex_Budget!$N:$N,"GBP")*$H$5)</f>
        <v/>
      </c>
      <c r="T202" s="32">
        <f>IF($B$202="","",SUMIF($H$7:$S$7,"&lt;="&amp;$C$4,$H202:$S202))</f>
        <v/>
      </c>
      <c r="U202" s="32">
        <f>IF($B$202="","",SUMIF($H$7:$S$7,"&gt;"&amp;$C$4,$H202:$S202))</f>
        <v/>
      </c>
      <c r="V202" s="32">
        <f>IF($B$202="","",SUM($H202:$S202))</f>
        <v/>
      </c>
      <c r="X202" s="22">
        <f>IF($B202="","",IFERROR(INDEX(Cost_Centers!$E:$E,MATCH($B202,Cost_Centers!$A:$A,0)),"(unknown)"))</f>
        <v/>
      </c>
      <c r="Y202" s="22">
        <f>IF($B202="","",IFERROR(INDEX(Cost_Centers!$D:$D,MATCH($B202,Cost_Centers!$A:$A,0)),"(unknown)"))</f>
        <v/>
      </c>
      <c r="Z202" s="22">
        <f>IF(OR($B202="",$G202&lt;&gt;"Variance vs Budget"),"",ABS(N($V202))+ROW()/1000000000)</f>
        <v/>
      </c>
    </row>
    <row r="203">
      <c r="A203" s="13">
        <f>IF(A$202="","",A$202)</f>
        <v/>
      </c>
      <c r="B203" s="13">
        <f>IF(B$202="","",B$202)</f>
        <v/>
      </c>
      <c r="C203" s="13">
        <f>IF(C$202="","",C$202)</f>
        <v/>
      </c>
      <c r="D203" s="13">
        <f>IF(D$202="","",D$202)</f>
        <v/>
      </c>
      <c r="E203" s="13">
        <f>IF(E$202="","",E$202)</f>
        <v/>
      </c>
      <c r="F203" s="13">
        <f>IF(F$202="","",F$202)</f>
        <v/>
      </c>
      <c r="G203" s="7" t="inlineStr">
        <is>
          <t>Actual</t>
        </is>
      </c>
      <c r="H203" s="18">
        <f>IF(OR($B$202="",1&gt;$C$4),"",SUMIFS(Actuals!$G:$G,Actuals!$B:$B,$C$3,Actuals!$C:$C,1,Actuals!$D:$D,$B$202,Actuals!$A:$A,LEFT($D$202,FIND("|",$D$202&amp;"|")-1),Actuals!$E:$E,MID($D$202,FIND("|",$D$202&amp;"|")+1,50),Actuals!$F:$F,"JPY")*$E$5+SUMIFS(Actuals!$G:$G,Actuals!$B:$B,$C$3,Actuals!$C:$C,1,Actuals!$D:$D,$B$202,Actuals!$A:$A,LEFT($D$202,FIND("|",$D$202&amp;"|")-1),Actuals!$E:$E,MID($D$202,FIND("|",$D$202&amp;"|")+1,50),Actuals!$F:$F,"USD")*$F$5+SUMIFS(Actuals!$G:$G,Actuals!$B:$B,$C$3,Actuals!$C:$C,1,Actuals!$D:$D,$B$202,Actuals!$A:$A,LEFT($D$202,FIND("|",$D$202&amp;"|")-1),Actuals!$E:$E,MID($D$202,FIND("|",$D$202&amp;"|")+1,50),Actuals!$F:$F,"EUR")*$G$5+SUMIFS(Actuals!$G:$G,Actuals!$B:$B,$C$3,Actuals!$C:$C,1,Actuals!$D:$D,$B$202,Actuals!$A:$A,LEFT($D$202,FIND("|",$D$202&amp;"|")-1),Actuals!$E:$E,MID($D$202,FIND("|",$D$202&amp;"|")+1,50),Actuals!$F:$F,"GBP")*$H$5)</f>
        <v/>
      </c>
      <c r="I203" s="18">
        <f>IF(OR($B$202="",2&gt;$C$4),"",SUMIFS(Actuals!$G:$G,Actuals!$B:$B,$C$3,Actuals!$C:$C,2,Actuals!$D:$D,$B$202,Actuals!$A:$A,LEFT($D$202,FIND("|",$D$202&amp;"|")-1),Actuals!$E:$E,MID($D$202,FIND("|",$D$202&amp;"|")+1,50),Actuals!$F:$F,"JPY")*$E$5+SUMIFS(Actuals!$G:$G,Actuals!$B:$B,$C$3,Actuals!$C:$C,2,Actuals!$D:$D,$B$202,Actuals!$A:$A,LEFT($D$202,FIND("|",$D$202&amp;"|")-1),Actuals!$E:$E,MID($D$202,FIND("|",$D$202&amp;"|")+1,50),Actuals!$F:$F,"USD")*$F$5+SUMIFS(Actuals!$G:$G,Actuals!$B:$B,$C$3,Actuals!$C:$C,2,Actuals!$D:$D,$B$202,Actuals!$A:$A,LEFT($D$202,FIND("|",$D$202&amp;"|")-1),Actuals!$E:$E,MID($D$202,FIND("|",$D$202&amp;"|")+1,50),Actuals!$F:$F,"EUR")*$G$5+SUMIFS(Actuals!$G:$G,Actuals!$B:$B,$C$3,Actuals!$C:$C,2,Actuals!$D:$D,$B$202,Actuals!$A:$A,LEFT($D$202,FIND("|",$D$202&amp;"|")-1),Actuals!$E:$E,MID($D$202,FIND("|",$D$202&amp;"|")+1,50),Actuals!$F:$F,"GBP")*$H$5)</f>
        <v/>
      </c>
      <c r="J203" s="18">
        <f>IF(OR($B$202="",3&gt;$C$4),"",SUMIFS(Actuals!$G:$G,Actuals!$B:$B,$C$3,Actuals!$C:$C,3,Actuals!$D:$D,$B$202,Actuals!$A:$A,LEFT($D$202,FIND("|",$D$202&amp;"|")-1),Actuals!$E:$E,MID($D$202,FIND("|",$D$202&amp;"|")+1,50),Actuals!$F:$F,"JPY")*$E$5+SUMIFS(Actuals!$G:$G,Actuals!$B:$B,$C$3,Actuals!$C:$C,3,Actuals!$D:$D,$B$202,Actuals!$A:$A,LEFT($D$202,FIND("|",$D$202&amp;"|")-1),Actuals!$E:$E,MID($D$202,FIND("|",$D$202&amp;"|")+1,50),Actuals!$F:$F,"USD")*$F$5+SUMIFS(Actuals!$G:$G,Actuals!$B:$B,$C$3,Actuals!$C:$C,3,Actuals!$D:$D,$B$202,Actuals!$A:$A,LEFT($D$202,FIND("|",$D$202&amp;"|")-1),Actuals!$E:$E,MID($D$202,FIND("|",$D$202&amp;"|")+1,50),Actuals!$F:$F,"EUR")*$G$5+SUMIFS(Actuals!$G:$G,Actuals!$B:$B,$C$3,Actuals!$C:$C,3,Actuals!$D:$D,$B$202,Actuals!$A:$A,LEFT($D$202,FIND("|",$D$202&amp;"|")-1),Actuals!$E:$E,MID($D$202,FIND("|",$D$202&amp;"|")+1,50),Actuals!$F:$F,"GBP")*$H$5)</f>
        <v/>
      </c>
      <c r="K203" s="18">
        <f>IF(OR($B$202="",4&gt;$C$4),"",SUMIFS(Actuals!$G:$G,Actuals!$B:$B,$C$3,Actuals!$C:$C,4,Actuals!$D:$D,$B$202,Actuals!$A:$A,LEFT($D$202,FIND("|",$D$202&amp;"|")-1),Actuals!$E:$E,MID($D$202,FIND("|",$D$202&amp;"|")+1,50),Actuals!$F:$F,"JPY")*$E$5+SUMIFS(Actuals!$G:$G,Actuals!$B:$B,$C$3,Actuals!$C:$C,4,Actuals!$D:$D,$B$202,Actuals!$A:$A,LEFT($D$202,FIND("|",$D$202&amp;"|")-1),Actuals!$E:$E,MID($D$202,FIND("|",$D$202&amp;"|")+1,50),Actuals!$F:$F,"USD")*$F$5+SUMIFS(Actuals!$G:$G,Actuals!$B:$B,$C$3,Actuals!$C:$C,4,Actuals!$D:$D,$B$202,Actuals!$A:$A,LEFT($D$202,FIND("|",$D$202&amp;"|")-1),Actuals!$E:$E,MID($D$202,FIND("|",$D$202&amp;"|")+1,50),Actuals!$F:$F,"EUR")*$G$5+SUMIFS(Actuals!$G:$G,Actuals!$B:$B,$C$3,Actuals!$C:$C,4,Actuals!$D:$D,$B$202,Actuals!$A:$A,LEFT($D$202,FIND("|",$D$202&amp;"|")-1),Actuals!$E:$E,MID($D$202,FIND("|",$D$202&amp;"|")+1,50),Actuals!$F:$F,"GBP")*$H$5)</f>
        <v/>
      </c>
      <c r="L203" s="18">
        <f>IF(OR($B$202="",5&gt;$C$4),"",SUMIFS(Actuals!$G:$G,Actuals!$B:$B,$C$3,Actuals!$C:$C,5,Actuals!$D:$D,$B$202,Actuals!$A:$A,LEFT($D$202,FIND("|",$D$202&amp;"|")-1),Actuals!$E:$E,MID($D$202,FIND("|",$D$202&amp;"|")+1,50),Actuals!$F:$F,"JPY")*$E$5+SUMIFS(Actuals!$G:$G,Actuals!$B:$B,$C$3,Actuals!$C:$C,5,Actuals!$D:$D,$B$202,Actuals!$A:$A,LEFT($D$202,FIND("|",$D$202&amp;"|")-1),Actuals!$E:$E,MID($D$202,FIND("|",$D$202&amp;"|")+1,50),Actuals!$F:$F,"USD")*$F$5+SUMIFS(Actuals!$G:$G,Actuals!$B:$B,$C$3,Actuals!$C:$C,5,Actuals!$D:$D,$B$202,Actuals!$A:$A,LEFT($D$202,FIND("|",$D$202&amp;"|")-1),Actuals!$E:$E,MID($D$202,FIND("|",$D$202&amp;"|")+1,50),Actuals!$F:$F,"EUR")*$G$5+SUMIFS(Actuals!$G:$G,Actuals!$B:$B,$C$3,Actuals!$C:$C,5,Actuals!$D:$D,$B$202,Actuals!$A:$A,LEFT($D$202,FIND("|",$D$202&amp;"|")-1),Actuals!$E:$E,MID($D$202,FIND("|",$D$202&amp;"|")+1,50),Actuals!$F:$F,"GBP")*$H$5)</f>
        <v/>
      </c>
      <c r="M203" s="18">
        <f>IF(OR($B$202="",6&gt;$C$4),"",SUMIFS(Actuals!$G:$G,Actuals!$B:$B,$C$3,Actuals!$C:$C,6,Actuals!$D:$D,$B$202,Actuals!$A:$A,LEFT($D$202,FIND("|",$D$202&amp;"|")-1),Actuals!$E:$E,MID($D$202,FIND("|",$D$202&amp;"|")+1,50),Actuals!$F:$F,"JPY")*$E$5+SUMIFS(Actuals!$G:$G,Actuals!$B:$B,$C$3,Actuals!$C:$C,6,Actuals!$D:$D,$B$202,Actuals!$A:$A,LEFT($D$202,FIND("|",$D$202&amp;"|")-1),Actuals!$E:$E,MID($D$202,FIND("|",$D$202&amp;"|")+1,50),Actuals!$F:$F,"USD")*$F$5+SUMIFS(Actuals!$G:$G,Actuals!$B:$B,$C$3,Actuals!$C:$C,6,Actuals!$D:$D,$B$202,Actuals!$A:$A,LEFT($D$202,FIND("|",$D$202&amp;"|")-1),Actuals!$E:$E,MID($D$202,FIND("|",$D$202&amp;"|")+1,50),Actuals!$F:$F,"EUR")*$G$5+SUMIFS(Actuals!$G:$G,Actuals!$B:$B,$C$3,Actuals!$C:$C,6,Actuals!$D:$D,$B$202,Actuals!$A:$A,LEFT($D$202,FIND("|",$D$202&amp;"|")-1),Actuals!$E:$E,MID($D$202,FIND("|",$D$202&amp;"|")+1,50),Actuals!$F:$F,"GBP")*$H$5)</f>
        <v/>
      </c>
      <c r="N203" s="18">
        <f>IF(OR($B$202="",7&gt;$C$4),"",SUMIFS(Actuals!$G:$G,Actuals!$B:$B,$C$3,Actuals!$C:$C,7,Actuals!$D:$D,$B$202,Actuals!$A:$A,LEFT($D$202,FIND("|",$D$202&amp;"|")-1),Actuals!$E:$E,MID($D$202,FIND("|",$D$202&amp;"|")+1,50),Actuals!$F:$F,"JPY")*$E$5+SUMIFS(Actuals!$G:$G,Actuals!$B:$B,$C$3,Actuals!$C:$C,7,Actuals!$D:$D,$B$202,Actuals!$A:$A,LEFT($D$202,FIND("|",$D$202&amp;"|")-1),Actuals!$E:$E,MID($D$202,FIND("|",$D$202&amp;"|")+1,50),Actuals!$F:$F,"USD")*$F$5+SUMIFS(Actuals!$G:$G,Actuals!$B:$B,$C$3,Actuals!$C:$C,7,Actuals!$D:$D,$B$202,Actuals!$A:$A,LEFT($D$202,FIND("|",$D$202&amp;"|")-1),Actuals!$E:$E,MID($D$202,FIND("|",$D$202&amp;"|")+1,50),Actuals!$F:$F,"EUR")*$G$5+SUMIFS(Actuals!$G:$G,Actuals!$B:$B,$C$3,Actuals!$C:$C,7,Actuals!$D:$D,$B$202,Actuals!$A:$A,LEFT($D$202,FIND("|",$D$202&amp;"|")-1),Actuals!$E:$E,MID($D$202,FIND("|",$D$202&amp;"|")+1,50),Actuals!$F:$F,"GBP")*$H$5)</f>
        <v/>
      </c>
      <c r="O203" s="18">
        <f>IF(OR($B$202="",8&gt;$C$4),"",SUMIFS(Actuals!$G:$G,Actuals!$B:$B,$C$3,Actuals!$C:$C,8,Actuals!$D:$D,$B$202,Actuals!$A:$A,LEFT($D$202,FIND("|",$D$202&amp;"|")-1),Actuals!$E:$E,MID($D$202,FIND("|",$D$202&amp;"|")+1,50),Actuals!$F:$F,"JPY")*$E$5+SUMIFS(Actuals!$G:$G,Actuals!$B:$B,$C$3,Actuals!$C:$C,8,Actuals!$D:$D,$B$202,Actuals!$A:$A,LEFT($D$202,FIND("|",$D$202&amp;"|")-1),Actuals!$E:$E,MID($D$202,FIND("|",$D$202&amp;"|")+1,50),Actuals!$F:$F,"USD")*$F$5+SUMIFS(Actuals!$G:$G,Actuals!$B:$B,$C$3,Actuals!$C:$C,8,Actuals!$D:$D,$B$202,Actuals!$A:$A,LEFT($D$202,FIND("|",$D$202&amp;"|")-1),Actuals!$E:$E,MID($D$202,FIND("|",$D$202&amp;"|")+1,50),Actuals!$F:$F,"EUR")*$G$5+SUMIFS(Actuals!$G:$G,Actuals!$B:$B,$C$3,Actuals!$C:$C,8,Actuals!$D:$D,$B$202,Actuals!$A:$A,LEFT($D$202,FIND("|",$D$202&amp;"|")-1),Actuals!$E:$E,MID($D$202,FIND("|",$D$202&amp;"|")+1,50),Actuals!$F:$F,"GBP")*$H$5)</f>
        <v/>
      </c>
      <c r="P203" s="18">
        <f>IF(OR($B$202="",9&gt;$C$4),"",SUMIFS(Actuals!$G:$G,Actuals!$B:$B,$C$3,Actuals!$C:$C,9,Actuals!$D:$D,$B$202,Actuals!$A:$A,LEFT($D$202,FIND("|",$D$202&amp;"|")-1),Actuals!$E:$E,MID($D$202,FIND("|",$D$202&amp;"|")+1,50),Actuals!$F:$F,"JPY")*$E$5+SUMIFS(Actuals!$G:$G,Actuals!$B:$B,$C$3,Actuals!$C:$C,9,Actuals!$D:$D,$B$202,Actuals!$A:$A,LEFT($D$202,FIND("|",$D$202&amp;"|")-1),Actuals!$E:$E,MID($D$202,FIND("|",$D$202&amp;"|")+1,50),Actuals!$F:$F,"USD")*$F$5+SUMIFS(Actuals!$G:$G,Actuals!$B:$B,$C$3,Actuals!$C:$C,9,Actuals!$D:$D,$B$202,Actuals!$A:$A,LEFT($D$202,FIND("|",$D$202&amp;"|")-1),Actuals!$E:$E,MID($D$202,FIND("|",$D$202&amp;"|")+1,50),Actuals!$F:$F,"EUR")*$G$5+SUMIFS(Actuals!$G:$G,Actuals!$B:$B,$C$3,Actuals!$C:$C,9,Actuals!$D:$D,$B$202,Actuals!$A:$A,LEFT($D$202,FIND("|",$D$202&amp;"|")-1),Actuals!$E:$E,MID($D$202,FIND("|",$D$202&amp;"|")+1,50),Actuals!$F:$F,"GBP")*$H$5)</f>
        <v/>
      </c>
      <c r="Q203" s="18">
        <f>IF(OR($B$202="",10&gt;$C$4),"",SUMIFS(Actuals!$G:$G,Actuals!$B:$B,$C$3,Actuals!$C:$C,10,Actuals!$D:$D,$B$202,Actuals!$A:$A,LEFT($D$202,FIND("|",$D$202&amp;"|")-1),Actuals!$E:$E,MID($D$202,FIND("|",$D$202&amp;"|")+1,50),Actuals!$F:$F,"JPY")*$E$5+SUMIFS(Actuals!$G:$G,Actuals!$B:$B,$C$3,Actuals!$C:$C,10,Actuals!$D:$D,$B$202,Actuals!$A:$A,LEFT($D$202,FIND("|",$D$202&amp;"|")-1),Actuals!$E:$E,MID($D$202,FIND("|",$D$202&amp;"|")+1,50),Actuals!$F:$F,"USD")*$F$5+SUMIFS(Actuals!$G:$G,Actuals!$B:$B,$C$3,Actuals!$C:$C,10,Actuals!$D:$D,$B$202,Actuals!$A:$A,LEFT($D$202,FIND("|",$D$202&amp;"|")-1),Actuals!$E:$E,MID($D$202,FIND("|",$D$202&amp;"|")+1,50),Actuals!$F:$F,"EUR")*$G$5+SUMIFS(Actuals!$G:$G,Actuals!$B:$B,$C$3,Actuals!$C:$C,10,Actuals!$D:$D,$B$202,Actuals!$A:$A,LEFT($D$202,FIND("|",$D$202&amp;"|")-1),Actuals!$E:$E,MID($D$202,FIND("|",$D$202&amp;"|")+1,50),Actuals!$F:$F,"GBP")*$H$5)</f>
        <v/>
      </c>
      <c r="R203" s="18">
        <f>IF(OR($B$202="",11&gt;$C$4),"",SUMIFS(Actuals!$G:$G,Actuals!$B:$B,$C$3,Actuals!$C:$C,11,Actuals!$D:$D,$B$202,Actuals!$A:$A,LEFT($D$202,FIND("|",$D$202&amp;"|")-1),Actuals!$E:$E,MID($D$202,FIND("|",$D$202&amp;"|")+1,50),Actuals!$F:$F,"JPY")*$E$5+SUMIFS(Actuals!$G:$G,Actuals!$B:$B,$C$3,Actuals!$C:$C,11,Actuals!$D:$D,$B$202,Actuals!$A:$A,LEFT($D$202,FIND("|",$D$202&amp;"|")-1),Actuals!$E:$E,MID($D$202,FIND("|",$D$202&amp;"|")+1,50),Actuals!$F:$F,"USD")*$F$5+SUMIFS(Actuals!$G:$G,Actuals!$B:$B,$C$3,Actuals!$C:$C,11,Actuals!$D:$D,$B$202,Actuals!$A:$A,LEFT($D$202,FIND("|",$D$202&amp;"|")-1),Actuals!$E:$E,MID($D$202,FIND("|",$D$202&amp;"|")+1,50),Actuals!$F:$F,"EUR")*$G$5+SUMIFS(Actuals!$G:$G,Actuals!$B:$B,$C$3,Actuals!$C:$C,11,Actuals!$D:$D,$B$202,Actuals!$A:$A,LEFT($D$202,FIND("|",$D$202&amp;"|")-1),Actuals!$E:$E,MID($D$202,FIND("|",$D$202&amp;"|")+1,50),Actuals!$F:$F,"GBP")*$H$5)</f>
        <v/>
      </c>
      <c r="S203" s="18">
        <f>IF(OR($B$202="",12&gt;$C$4),"",SUMIFS(Actuals!$G:$G,Actuals!$B:$B,$C$3,Actuals!$C:$C,12,Actuals!$D:$D,$B$202,Actuals!$A:$A,LEFT($D$202,FIND("|",$D$202&amp;"|")-1),Actuals!$E:$E,MID($D$202,FIND("|",$D$202&amp;"|")+1,50),Actuals!$F:$F,"JPY")*$E$5+SUMIFS(Actuals!$G:$G,Actuals!$B:$B,$C$3,Actuals!$C:$C,12,Actuals!$D:$D,$B$202,Actuals!$A:$A,LEFT($D$202,FIND("|",$D$202&amp;"|")-1),Actuals!$E:$E,MID($D$202,FIND("|",$D$202&amp;"|")+1,50),Actuals!$F:$F,"USD")*$F$5+SUMIFS(Actuals!$G:$G,Actuals!$B:$B,$C$3,Actuals!$C:$C,12,Actuals!$D:$D,$B$202,Actuals!$A:$A,LEFT($D$202,FIND("|",$D$202&amp;"|")-1),Actuals!$E:$E,MID($D$202,FIND("|",$D$202&amp;"|")+1,50),Actuals!$F:$F,"EUR")*$G$5+SUMIFS(Actuals!$G:$G,Actuals!$B:$B,$C$3,Actuals!$C:$C,12,Actuals!$D:$D,$B$202,Actuals!$A:$A,LEFT($D$202,FIND("|",$D$202&amp;"|")-1),Actuals!$E:$E,MID($D$202,FIND("|",$D$202&amp;"|")+1,50),Actuals!$F:$F,"GBP")*$H$5)</f>
        <v/>
      </c>
      <c r="T203" s="18">
        <f>IF($B$202="","",SUMIF($H$7:$S$7,"&lt;="&amp;$C$4,$H203:$S203))</f>
        <v/>
      </c>
      <c r="U203" s="18" t="n"/>
      <c r="V203" s="18" t="n"/>
      <c r="X203" s="22">
        <f>IF($B203="","",IFERROR(INDEX(Cost_Centers!$E:$E,MATCH($B203,Cost_Centers!$A:$A,0)),"(unknown)"))</f>
        <v/>
      </c>
      <c r="Y203" s="22">
        <f>IF($B203="","",IFERROR(INDEX(Cost_Centers!$D:$D,MATCH($B203,Cost_Centers!$A:$A,0)),"(unknown)"))</f>
        <v/>
      </c>
      <c r="Z203" s="22">
        <f>IF(OR($B203="",$G203&lt;&gt;"Variance vs Budget"),"",ABS(N($V203))+ROW()/1000000000)</f>
        <v/>
      </c>
    </row>
    <row r="204">
      <c r="A204" s="13">
        <f>IF(A$202="","",A$202)</f>
        <v/>
      </c>
      <c r="B204" s="13">
        <f>IF(B$202="","",B$202)</f>
        <v/>
      </c>
      <c r="C204" s="13">
        <f>IF(C$202="","",C$202)</f>
        <v/>
      </c>
      <c r="D204" s="13">
        <f>IF(D$202="","",D$202)</f>
        <v/>
      </c>
      <c r="E204" s="13">
        <f>IF(E$202="","",E$202)</f>
        <v/>
      </c>
      <c r="F204" s="13">
        <f>IF(F$202="","",F$202)</f>
        <v/>
      </c>
      <c r="G204" s="6" t="inlineStr">
        <is>
          <t>Variance vs Budget</t>
        </is>
      </c>
      <c r="H204" s="33">
        <f>IF(OR($B$202="",1&gt;$C$4),"",N(H203)-H202)</f>
        <v/>
      </c>
      <c r="I204" s="33">
        <f>IF(OR($B$202="",2&gt;$C$4),"",N(I203)-I202)</f>
        <v/>
      </c>
      <c r="J204" s="33">
        <f>IF(OR($B$202="",3&gt;$C$4),"",N(J203)-J202)</f>
        <v/>
      </c>
      <c r="K204" s="33">
        <f>IF(OR($B$202="",4&gt;$C$4),"",N(K203)-K202)</f>
        <v/>
      </c>
      <c r="L204" s="33">
        <f>IF(OR($B$202="",5&gt;$C$4),"",N(L203)-L202)</f>
        <v/>
      </c>
      <c r="M204" s="33">
        <f>IF(OR($B$202="",6&gt;$C$4),"",N(M203)-M202)</f>
        <v/>
      </c>
      <c r="N204" s="33">
        <f>IF(OR($B$202="",7&gt;$C$4),"",N(N203)-N202)</f>
        <v/>
      </c>
      <c r="O204" s="33">
        <f>IF(OR($B$202="",8&gt;$C$4),"",N(O203)-O202)</f>
        <v/>
      </c>
      <c r="P204" s="33">
        <f>IF(OR($B$202="",9&gt;$C$4),"",N(P203)-P202)</f>
        <v/>
      </c>
      <c r="Q204" s="33">
        <f>IF(OR($B$202="",10&gt;$C$4),"",N(Q203)-Q202)</f>
        <v/>
      </c>
      <c r="R204" s="33">
        <f>IF(OR($B$202="",11&gt;$C$4),"",N(R203)-R202)</f>
        <v/>
      </c>
      <c r="S204" s="33">
        <f>IF(OR($B$202="",12&gt;$C$4),"",N(S203)-S202)</f>
        <v/>
      </c>
      <c r="T204" s="33">
        <f>IF($B$202="","",T203-T202)</f>
        <v/>
      </c>
      <c r="U204" s="33">
        <f>IF($B$202="","",U206-U202)</f>
        <v/>
      </c>
      <c r="V204" s="33">
        <f>IF($B$202="","",V206-V202)</f>
        <v/>
      </c>
      <c r="X204" s="22">
        <f>IF($B204="","",IFERROR(INDEX(Cost_Centers!$E:$E,MATCH($B204,Cost_Centers!$A:$A,0)),"(unknown)"))</f>
        <v/>
      </c>
      <c r="Y204" s="22">
        <f>IF($B204="","",IFERROR(INDEX(Cost_Centers!$D:$D,MATCH($B204,Cost_Centers!$A:$A,0)),"(unknown)"))</f>
        <v/>
      </c>
      <c r="Z204" s="22">
        <f>IF(OR($B204="",$G204&lt;&gt;"Variance vs Budget"),"",ABS(N($V204))+ROW()/1000000000)</f>
        <v/>
      </c>
    </row>
    <row r="205">
      <c r="A205" s="13">
        <f>IF(A$202="","",A$202)</f>
        <v/>
      </c>
      <c r="B205" s="13">
        <f>IF(B$202="","",B$202)</f>
        <v/>
      </c>
      <c r="C205" s="13">
        <f>IF(C$202="","",C$202)</f>
        <v/>
      </c>
      <c r="D205" s="13">
        <f>IF(D$202="","",D$202)</f>
        <v/>
      </c>
      <c r="E205" s="13">
        <f>IF(E$202="","",E$202)</f>
        <v/>
      </c>
      <c r="F205" s="13">
        <f>IF(F$202="","",F$202)</f>
        <v/>
      </c>
      <c r="G205" s="7" t="inlineStr">
        <is>
          <t>Forecast (input)</t>
        </is>
      </c>
      <c r="H205" s="34" t="n"/>
      <c r="I205" s="34" t="n"/>
      <c r="J205" s="34" t="n"/>
      <c r="K205" s="34" t="n"/>
      <c r="L205" s="34" t="n"/>
      <c r="M205" s="34" t="n"/>
      <c r="N205" s="34" t="n"/>
      <c r="O205" s="34" t="n"/>
      <c r="P205" s="34" t="n"/>
      <c r="Q205" s="34" t="n"/>
      <c r="R205" s="34" t="n"/>
      <c r="S205" s="34" t="n"/>
      <c r="T205" s="18" t="n"/>
      <c r="U205" s="18" t="n"/>
      <c r="V205" s="18" t="n"/>
      <c r="X205" s="22">
        <f>IF($B205="","",IFERROR(INDEX(Cost_Centers!$E:$E,MATCH($B205,Cost_Centers!$A:$A,0)),"(unknown)"))</f>
        <v/>
      </c>
      <c r="Y205" s="22">
        <f>IF($B205="","",IFERROR(INDEX(Cost_Centers!$D:$D,MATCH($B205,Cost_Centers!$A:$A,0)),"(unknown)"))</f>
        <v/>
      </c>
      <c r="Z205" s="22">
        <f>IF(OR($B205="",$G205&lt;&gt;"Variance vs Budget"),"",ABS(N($V205))+ROW()/1000000000)</f>
        <v/>
      </c>
    </row>
    <row r="206">
      <c r="A206" s="13">
        <f>IF(A$202="","",A$202)</f>
        <v/>
      </c>
      <c r="B206" s="13">
        <f>IF(B$202="","",B$202)</f>
        <v/>
      </c>
      <c r="C206" s="13">
        <f>IF(C$202="","",C$202)</f>
        <v/>
      </c>
      <c r="D206" s="13">
        <f>IF(D$202="","",D$202)</f>
        <v/>
      </c>
      <c r="E206" s="13">
        <f>IF(E$202="","",E$202)</f>
        <v/>
      </c>
      <c r="F206" s="13">
        <f>IF(F$202="","",F$202)</f>
        <v/>
      </c>
      <c r="G206" s="35" t="inlineStr">
        <is>
          <t>Actual + Forecast</t>
        </is>
      </c>
      <c r="H206" s="18">
        <f>IF($B$202="","",IF(1&lt;=$C$4,N(H203),IF(H205="",H202,H205)))</f>
        <v/>
      </c>
      <c r="I206" s="18">
        <f>IF($B$202="","",IF(2&lt;=$C$4,N(I203),IF(I205="",I202,I205)))</f>
        <v/>
      </c>
      <c r="J206" s="18">
        <f>IF($B$202="","",IF(3&lt;=$C$4,N(J203),IF(J205="",J202,J205)))</f>
        <v/>
      </c>
      <c r="K206" s="18">
        <f>IF($B$202="","",IF(4&lt;=$C$4,N(K203),IF(K205="",K202,K205)))</f>
        <v/>
      </c>
      <c r="L206" s="18">
        <f>IF($B$202="","",IF(5&lt;=$C$4,N(L203),IF(L205="",L202,L205)))</f>
        <v/>
      </c>
      <c r="M206" s="18">
        <f>IF($B$202="","",IF(6&lt;=$C$4,N(M203),IF(M205="",M202,M205)))</f>
        <v/>
      </c>
      <c r="N206" s="18">
        <f>IF($B$202="","",IF(7&lt;=$C$4,N(N203),IF(N205="",N202,N205)))</f>
        <v/>
      </c>
      <c r="O206" s="18">
        <f>IF($B$202="","",IF(8&lt;=$C$4,N(O203),IF(O205="",O202,O205)))</f>
        <v/>
      </c>
      <c r="P206" s="18">
        <f>IF($B$202="","",IF(9&lt;=$C$4,N(P203),IF(P205="",P202,P205)))</f>
        <v/>
      </c>
      <c r="Q206" s="18">
        <f>IF($B$202="","",IF(10&lt;=$C$4,N(Q203),IF(Q205="",Q202,Q205)))</f>
        <v/>
      </c>
      <c r="R206" s="18">
        <f>IF($B$202="","",IF(11&lt;=$C$4,N(R203),IF(R205="",R202,R205)))</f>
        <v/>
      </c>
      <c r="S206" s="18">
        <f>IF($B$202="","",IF(12&lt;=$C$4,N(S203),IF(S205="",S202,S205)))</f>
        <v/>
      </c>
      <c r="T206" s="18">
        <f>IF($B$202="","",SUMIF($H$7:$S$7,"&lt;="&amp;$C$4,$H206:$S206))</f>
        <v/>
      </c>
      <c r="U206" s="18">
        <f>IF($B$202="","",SUMIF($H$7:$S$7,"&gt;"&amp;$C$4,$H206:$S206))</f>
        <v/>
      </c>
      <c r="V206" s="18">
        <f>IF($B$202="","",SUM($H206:$S206))</f>
        <v/>
      </c>
      <c r="X206" s="22">
        <f>IF($B206="","",IFERROR(INDEX(Cost_Centers!$E:$E,MATCH($B206,Cost_Centers!$A:$A,0)),"(unknown)"))</f>
        <v/>
      </c>
      <c r="Y206" s="22">
        <f>IF($B206="","",IFERROR(INDEX(Cost_Centers!$D:$D,MATCH($B206,Cost_Centers!$A:$A,0)),"(unknown)"))</f>
        <v/>
      </c>
      <c r="Z206" s="22">
        <f>IF(OR($B206="",$G206&lt;&gt;"Variance vs Budget"),"",ABS(N($V206))+ROW()/1000000000)</f>
        <v/>
      </c>
    </row>
    <row r="207">
      <c r="A207" s="13">
        <f>IF(A$202="","",A$202)</f>
        <v/>
      </c>
      <c r="B207" s="13">
        <f>IF(B$202="","",B$202)</f>
        <v/>
      </c>
      <c r="C207" s="13">
        <f>IF(C$202="","",C$202)</f>
        <v/>
      </c>
      <c r="D207" s="13">
        <f>IF(D$202="","",D$202)</f>
        <v/>
      </c>
      <c r="E207" s="13">
        <f>IF(E$202="","",E$202)</f>
        <v/>
      </c>
      <c r="F207" s="13">
        <f>IF(F$202="","",F$202)</f>
        <v/>
      </c>
      <c r="G207" s="36" t="inlineStr">
        <is>
          <t>Prior Month Forecast</t>
        </is>
      </c>
      <c r="H207" s="37">
        <f>IF($B$202="","",IF(COUNTIFS(Prior_Forecast!$A:$A,$B$202,Prior_Forecast!$B:$B,$D$202)&gt;0,SUMIFS(Prior_Forecast!$C:$C,Prior_Forecast!$A:$A,$B$202,Prior_Forecast!$B:$B,$D$202),""))</f>
        <v/>
      </c>
      <c r="I207" s="37">
        <f>IF($B$202="","",IF(COUNTIFS(Prior_Forecast!$A:$A,$B$202,Prior_Forecast!$B:$B,$D$202)&gt;0,SUMIFS(Prior_Forecast!$D:$D,Prior_Forecast!$A:$A,$B$202,Prior_Forecast!$B:$B,$D$202),""))</f>
        <v/>
      </c>
      <c r="J207" s="37">
        <f>IF($B$202="","",IF(COUNTIFS(Prior_Forecast!$A:$A,$B$202,Prior_Forecast!$B:$B,$D$202)&gt;0,SUMIFS(Prior_Forecast!$E:$E,Prior_Forecast!$A:$A,$B$202,Prior_Forecast!$B:$B,$D$202),""))</f>
        <v/>
      </c>
      <c r="K207" s="37">
        <f>IF($B$202="","",IF(COUNTIFS(Prior_Forecast!$A:$A,$B$202,Prior_Forecast!$B:$B,$D$202)&gt;0,SUMIFS(Prior_Forecast!$F:$F,Prior_Forecast!$A:$A,$B$202,Prior_Forecast!$B:$B,$D$202),""))</f>
        <v/>
      </c>
      <c r="L207" s="37">
        <f>IF($B$202="","",IF(COUNTIFS(Prior_Forecast!$A:$A,$B$202,Prior_Forecast!$B:$B,$D$202)&gt;0,SUMIFS(Prior_Forecast!$G:$G,Prior_Forecast!$A:$A,$B$202,Prior_Forecast!$B:$B,$D$202),""))</f>
        <v/>
      </c>
      <c r="M207" s="37">
        <f>IF($B$202="","",IF(COUNTIFS(Prior_Forecast!$A:$A,$B$202,Prior_Forecast!$B:$B,$D$202)&gt;0,SUMIFS(Prior_Forecast!$H:$H,Prior_Forecast!$A:$A,$B$202,Prior_Forecast!$B:$B,$D$202),""))</f>
        <v/>
      </c>
      <c r="N207" s="37">
        <f>IF($B$202="","",IF(COUNTIFS(Prior_Forecast!$A:$A,$B$202,Prior_Forecast!$B:$B,$D$202)&gt;0,SUMIFS(Prior_Forecast!$I:$I,Prior_Forecast!$A:$A,$B$202,Prior_Forecast!$B:$B,$D$202),""))</f>
        <v/>
      </c>
      <c r="O207" s="37">
        <f>IF($B$202="","",IF(COUNTIFS(Prior_Forecast!$A:$A,$B$202,Prior_Forecast!$B:$B,$D$202)&gt;0,SUMIFS(Prior_Forecast!$J:$J,Prior_Forecast!$A:$A,$B$202,Prior_Forecast!$B:$B,$D$202),""))</f>
        <v/>
      </c>
      <c r="P207" s="37">
        <f>IF($B$202="","",IF(COUNTIFS(Prior_Forecast!$A:$A,$B$202,Prior_Forecast!$B:$B,$D$202)&gt;0,SUMIFS(Prior_Forecast!$K:$K,Prior_Forecast!$A:$A,$B$202,Prior_Forecast!$B:$B,$D$202),""))</f>
        <v/>
      </c>
      <c r="Q207" s="37">
        <f>IF($B$202="","",IF(COUNTIFS(Prior_Forecast!$A:$A,$B$202,Prior_Forecast!$B:$B,$D$202)&gt;0,SUMIFS(Prior_Forecast!$L:$L,Prior_Forecast!$A:$A,$B$202,Prior_Forecast!$B:$B,$D$202),""))</f>
        <v/>
      </c>
      <c r="R207" s="37">
        <f>IF($B$202="","",IF(COUNTIFS(Prior_Forecast!$A:$A,$B$202,Prior_Forecast!$B:$B,$D$202)&gt;0,SUMIFS(Prior_Forecast!$M:$M,Prior_Forecast!$A:$A,$B$202,Prior_Forecast!$B:$B,$D$202),""))</f>
        <v/>
      </c>
      <c r="S207" s="37">
        <f>IF($B$202="","",IF(COUNTIFS(Prior_Forecast!$A:$A,$B$202,Prior_Forecast!$B:$B,$D$202)&gt;0,SUMIFS(Prior_Forecast!$N:$N,Prior_Forecast!$A:$A,$B$202,Prior_Forecast!$B:$B,$D$202),""))</f>
        <v/>
      </c>
      <c r="T207" s="37">
        <f>IF($B$202="","",IF(COUNTIFS(Prior_Forecast!$A:$A,$B$202,Prior_Forecast!$B:$B,$D$202)&gt;0,SUMIFS(Prior_Forecast!$O:$O,Prior_Forecast!$A:$A,$B$202,Prior_Forecast!$B:$B,$D$202),""))</f>
        <v/>
      </c>
      <c r="U207" s="37">
        <f>IF($B$202="","",IF(COUNTIFS(Prior_Forecast!$A:$A,$B$202,Prior_Forecast!$B:$B,$D$202)&gt;0,SUMIFS(Prior_Forecast!$P:$P,Prior_Forecast!$A:$A,$B$202,Prior_Forecast!$B:$B,$D$202),""))</f>
        <v/>
      </c>
      <c r="V207" s="37">
        <f>IF($B$202="","",IF(COUNTIFS(Prior_Forecast!$A:$A,$B$202,Prior_Forecast!$B:$B,$D$202)&gt;0,SUMIFS(Prior_Forecast!$Q:$Q,Prior_Forecast!$A:$A,$B$202,Prior_Forecast!$B:$B,$D$202),""))</f>
        <v/>
      </c>
      <c r="X207" s="22">
        <f>IF($B207="","",IFERROR(INDEX(Cost_Centers!$E:$E,MATCH($B207,Cost_Centers!$A:$A,0)),"(unknown)"))</f>
        <v/>
      </c>
      <c r="Y207" s="22">
        <f>IF($B207="","",IFERROR(INDEX(Cost_Centers!$D:$D,MATCH($B207,Cost_Centers!$A:$A,0)),"(unknown)"))</f>
        <v/>
      </c>
      <c r="Z207" s="22">
        <f>IF(OR($B207="",$G207&lt;&gt;"Variance vs Budget"),"",ABS(N($V207))+ROW()/1000000000)</f>
        <v/>
      </c>
    </row>
    <row r="208">
      <c r="A208" s="13">
        <f>IF(A$202="","",A$202)</f>
        <v/>
      </c>
      <c r="B208" s="13">
        <f>IF(B$202="","",B$202)</f>
        <v/>
      </c>
      <c r="C208" s="13">
        <f>IF(C$202="","",C$202)</f>
        <v/>
      </c>
      <c r="D208" s="13">
        <f>IF(D$202="","",D$202)</f>
        <v/>
      </c>
      <c r="E208" s="13">
        <f>IF(E$202="","",E$202)</f>
        <v/>
      </c>
      <c r="F208" s="13">
        <f>IF(F$202="","",F$202)</f>
        <v/>
      </c>
      <c r="G208" s="6" t="inlineStr">
        <is>
          <t>Variance vs Prior Month</t>
        </is>
      </c>
      <c r="H208" s="33">
        <f>IF(OR($B$202="",H207=""),"",H206-H207)</f>
        <v/>
      </c>
      <c r="I208" s="33">
        <f>IF(OR($B$202="",I207=""),"",I206-I207)</f>
        <v/>
      </c>
      <c r="J208" s="33">
        <f>IF(OR($B$202="",J207=""),"",J206-J207)</f>
        <v/>
      </c>
      <c r="K208" s="33">
        <f>IF(OR($B$202="",K207=""),"",K206-K207)</f>
        <v/>
      </c>
      <c r="L208" s="33">
        <f>IF(OR($B$202="",L207=""),"",L206-L207)</f>
        <v/>
      </c>
      <c r="M208" s="33">
        <f>IF(OR($B$202="",M207=""),"",M206-M207)</f>
        <v/>
      </c>
      <c r="N208" s="33">
        <f>IF(OR($B$202="",N207=""),"",N206-N207)</f>
        <v/>
      </c>
      <c r="O208" s="33">
        <f>IF(OR($B$202="",O207=""),"",O206-O207)</f>
        <v/>
      </c>
      <c r="P208" s="33">
        <f>IF(OR($B$202="",P207=""),"",P206-P207)</f>
        <v/>
      </c>
      <c r="Q208" s="33">
        <f>IF(OR($B$202="",Q207=""),"",Q206-Q207)</f>
        <v/>
      </c>
      <c r="R208" s="33">
        <f>IF(OR($B$202="",R207=""),"",R206-R207)</f>
        <v/>
      </c>
      <c r="S208" s="33">
        <f>IF(OR($B$202="",S207=""),"",S206-S207)</f>
        <v/>
      </c>
      <c r="T208" s="33">
        <f>IF(OR($B$202="",T207=""),"",T206-T207)</f>
        <v/>
      </c>
      <c r="U208" s="33">
        <f>IF(OR($B$202="",U207=""),"",U206-U207)</f>
        <v/>
      </c>
      <c r="V208" s="33">
        <f>IF(OR($B$202="",V207=""),"",V206-V207)</f>
        <v/>
      </c>
      <c r="X208" s="22">
        <f>IF($B208="","",IFERROR(INDEX(Cost_Centers!$E:$E,MATCH($B208,Cost_Centers!$A:$A,0)),"(unknown)"))</f>
        <v/>
      </c>
      <c r="Y208" s="22">
        <f>IF($B208="","",IFERROR(INDEX(Cost_Centers!$D:$D,MATCH($B208,Cost_Centers!$A:$A,0)),"(unknown)"))</f>
        <v/>
      </c>
      <c r="Z208" s="22">
        <f>IF(OR($B208="",$G208&lt;&gt;"Variance vs Budget"),"",ABS(N($V208))+ROW()/1000000000)</f>
        <v/>
      </c>
    </row>
    <row r="209" ht="45" customHeight="1">
      <c r="A209" s="13">
        <f>IF(A$202="","",A$202)</f>
        <v/>
      </c>
      <c r="B209" s="13">
        <f>IF(B$202="","",B$202)</f>
        <v/>
      </c>
      <c r="C209" s="13">
        <f>IF(C$202="","",C$202)</f>
        <v/>
      </c>
      <c r="D209" s="13">
        <f>IF(D$202="","",D$202)</f>
        <v/>
      </c>
      <c r="E209" s="13">
        <f>IF(E$202="","",E$202)</f>
        <v/>
      </c>
      <c r="F209" s="13">
        <f>IF(F$202="","",F$202)</f>
        <v/>
      </c>
      <c r="G209" s="7" t="inlineStr">
        <is>
          <t>Rationale</t>
        </is>
      </c>
      <c r="H209" s="38" t="n"/>
      <c r="I209" s="38" t="n"/>
      <c r="J209" s="38" t="n"/>
      <c r="K209" s="38" t="n"/>
      <c r="L209" s="38" t="n"/>
      <c r="M209" s="38" t="n"/>
      <c r="N209" s="38" t="n"/>
      <c r="O209" s="38" t="n"/>
      <c r="P209" s="38" t="n"/>
      <c r="Q209" s="38" t="n"/>
      <c r="R209" s="38" t="n"/>
      <c r="S209" s="38" t="n"/>
      <c r="T209" s="38" t="n"/>
      <c r="U209" s="38" t="n"/>
      <c r="V209" s="7" t="n"/>
      <c r="X209" s="22">
        <f>IF($B209="","",IFERROR(INDEX(Cost_Centers!$E:$E,MATCH($B209,Cost_Centers!$A:$A,0)),"(unknown)"))</f>
        <v/>
      </c>
      <c r="Y209" s="22">
        <f>IF($B209="","",IFERROR(INDEX(Cost_Centers!$D:$D,MATCH($B209,Cost_Centers!$A:$A,0)),"(unknown)"))</f>
        <v/>
      </c>
      <c r="Z209" s="22">
        <f>IF(OR($B209="",$G209&lt;&gt;"Variance vs Budget"),"",ABS(N($V209))+ROW()/1000000000)</f>
        <v/>
      </c>
    </row>
    <row r="210">
      <c r="A210" s="30">
        <f>IF($D$210="","",LEFT($D$210,FIND("|",$D$210&amp;"|")-1))</f>
        <v/>
      </c>
      <c r="B210" s="31" t="n"/>
      <c r="C210" s="30">
        <f>IF($B$210="","",IFERROR(INDEX(Cost_Centers!$B:$B,MATCH($B$210,Cost_Centers!$A:$A,0)),"(not in master)"))</f>
        <v/>
      </c>
      <c r="D210" s="31" t="n"/>
      <c r="E210" s="30">
        <f>IF($D$210="","",IFERROR(INDEX(Accounts!$D:$D,MATCH($D$210,Accounts!$A:$A,0)),"(not in master)"))</f>
        <v/>
      </c>
      <c r="F210" s="31" t="n"/>
      <c r="G210" s="30" t="inlineStr">
        <is>
          <t>Budget</t>
        </is>
      </c>
      <c r="H210" s="32">
        <f>IF($B$210="","",SUMIFS(Opex_Budget!$O:$O,Opex_Budget!$A:$A,$C$3,Opex_Budget!$E:$E,$B$210,Opex_Budget!$F:$F,$D$210,Opex_Budget!$N:$N,"JPY")*$E$5+SUMIFS(Opex_Budget!$O:$O,Opex_Budget!$A:$A,$C$3,Opex_Budget!$E:$E,$B$210,Opex_Budget!$F:$F,$D$210,Opex_Budget!$N:$N,"USD")*$F$5+SUMIFS(Opex_Budget!$O:$O,Opex_Budget!$A:$A,$C$3,Opex_Budget!$E:$E,$B$210,Opex_Budget!$F:$F,$D$210,Opex_Budget!$N:$N,"EUR")*$G$5+SUMIFS(Opex_Budget!$O:$O,Opex_Budget!$A:$A,$C$3,Opex_Budget!$E:$E,$B$210,Opex_Budget!$F:$F,$D$210,Opex_Budget!$N:$N,"GBP")*$H$5)</f>
        <v/>
      </c>
      <c r="I210" s="32">
        <f>IF($B$210="","",SUMIFS(Opex_Budget!$P:$P,Opex_Budget!$A:$A,$C$3,Opex_Budget!$E:$E,$B$210,Opex_Budget!$F:$F,$D$210,Opex_Budget!$N:$N,"JPY")*$E$5+SUMIFS(Opex_Budget!$P:$P,Opex_Budget!$A:$A,$C$3,Opex_Budget!$E:$E,$B$210,Opex_Budget!$F:$F,$D$210,Opex_Budget!$N:$N,"USD")*$F$5+SUMIFS(Opex_Budget!$P:$P,Opex_Budget!$A:$A,$C$3,Opex_Budget!$E:$E,$B$210,Opex_Budget!$F:$F,$D$210,Opex_Budget!$N:$N,"EUR")*$G$5+SUMIFS(Opex_Budget!$P:$P,Opex_Budget!$A:$A,$C$3,Opex_Budget!$E:$E,$B$210,Opex_Budget!$F:$F,$D$210,Opex_Budget!$N:$N,"GBP")*$H$5)</f>
        <v/>
      </c>
      <c r="J210" s="32">
        <f>IF($B$210="","",SUMIFS(Opex_Budget!$Q:$Q,Opex_Budget!$A:$A,$C$3,Opex_Budget!$E:$E,$B$210,Opex_Budget!$F:$F,$D$210,Opex_Budget!$N:$N,"JPY")*$E$5+SUMIFS(Opex_Budget!$Q:$Q,Opex_Budget!$A:$A,$C$3,Opex_Budget!$E:$E,$B$210,Opex_Budget!$F:$F,$D$210,Opex_Budget!$N:$N,"USD")*$F$5+SUMIFS(Opex_Budget!$Q:$Q,Opex_Budget!$A:$A,$C$3,Opex_Budget!$E:$E,$B$210,Opex_Budget!$F:$F,$D$210,Opex_Budget!$N:$N,"EUR")*$G$5+SUMIFS(Opex_Budget!$Q:$Q,Opex_Budget!$A:$A,$C$3,Opex_Budget!$E:$E,$B$210,Opex_Budget!$F:$F,$D$210,Opex_Budget!$N:$N,"GBP")*$H$5)</f>
        <v/>
      </c>
      <c r="K210" s="32">
        <f>IF($B$210="","",SUMIFS(Opex_Budget!$R:$R,Opex_Budget!$A:$A,$C$3,Opex_Budget!$E:$E,$B$210,Opex_Budget!$F:$F,$D$210,Opex_Budget!$N:$N,"JPY")*$E$5+SUMIFS(Opex_Budget!$R:$R,Opex_Budget!$A:$A,$C$3,Opex_Budget!$E:$E,$B$210,Opex_Budget!$F:$F,$D$210,Opex_Budget!$N:$N,"USD")*$F$5+SUMIFS(Opex_Budget!$R:$R,Opex_Budget!$A:$A,$C$3,Opex_Budget!$E:$E,$B$210,Opex_Budget!$F:$F,$D$210,Opex_Budget!$N:$N,"EUR")*$G$5+SUMIFS(Opex_Budget!$R:$R,Opex_Budget!$A:$A,$C$3,Opex_Budget!$E:$E,$B$210,Opex_Budget!$F:$F,$D$210,Opex_Budget!$N:$N,"GBP")*$H$5)</f>
        <v/>
      </c>
      <c r="L210" s="32">
        <f>IF($B$210="","",SUMIFS(Opex_Budget!$S:$S,Opex_Budget!$A:$A,$C$3,Opex_Budget!$E:$E,$B$210,Opex_Budget!$F:$F,$D$210,Opex_Budget!$N:$N,"JPY")*$E$5+SUMIFS(Opex_Budget!$S:$S,Opex_Budget!$A:$A,$C$3,Opex_Budget!$E:$E,$B$210,Opex_Budget!$F:$F,$D$210,Opex_Budget!$N:$N,"USD")*$F$5+SUMIFS(Opex_Budget!$S:$S,Opex_Budget!$A:$A,$C$3,Opex_Budget!$E:$E,$B$210,Opex_Budget!$F:$F,$D$210,Opex_Budget!$N:$N,"EUR")*$G$5+SUMIFS(Opex_Budget!$S:$S,Opex_Budget!$A:$A,$C$3,Opex_Budget!$E:$E,$B$210,Opex_Budget!$F:$F,$D$210,Opex_Budget!$N:$N,"GBP")*$H$5)</f>
        <v/>
      </c>
      <c r="M210" s="32">
        <f>IF($B$210="","",SUMIFS(Opex_Budget!$T:$T,Opex_Budget!$A:$A,$C$3,Opex_Budget!$E:$E,$B$210,Opex_Budget!$F:$F,$D$210,Opex_Budget!$N:$N,"JPY")*$E$5+SUMIFS(Opex_Budget!$T:$T,Opex_Budget!$A:$A,$C$3,Opex_Budget!$E:$E,$B$210,Opex_Budget!$F:$F,$D$210,Opex_Budget!$N:$N,"USD")*$F$5+SUMIFS(Opex_Budget!$T:$T,Opex_Budget!$A:$A,$C$3,Opex_Budget!$E:$E,$B$210,Opex_Budget!$F:$F,$D$210,Opex_Budget!$N:$N,"EUR")*$G$5+SUMIFS(Opex_Budget!$T:$T,Opex_Budget!$A:$A,$C$3,Opex_Budget!$E:$E,$B$210,Opex_Budget!$F:$F,$D$210,Opex_Budget!$N:$N,"GBP")*$H$5)</f>
        <v/>
      </c>
      <c r="N210" s="32">
        <f>IF($B$210="","",SUMIFS(Opex_Budget!$U:$U,Opex_Budget!$A:$A,$C$3,Opex_Budget!$E:$E,$B$210,Opex_Budget!$F:$F,$D$210,Opex_Budget!$N:$N,"JPY")*$E$5+SUMIFS(Opex_Budget!$U:$U,Opex_Budget!$A:$A,$C$3,Opex_Budget!$E:$E,$B$210,Opex_Budget!$F:$F,$D$210,Opex_Budget!$N:$N,"USD")*$F$5+SUMIFS(Opex_Budget!$U:$U,Opex_Budget!$A:$A,$C$3,Opex_Budget!$E:$E,$B$210,Opex_Budget!$F:$F,$D$210,Opex_Budget!$N:$N,"EUR")*$G$5+SUMIFS(Opex_Budget!$U:$U,Opex_Budget!$A:$A,$C$3,Opex_Budget!$E:$E,$B$210,Opex_Budget!$F:$F,$D$210,Opex_Budget!$N:$N,"GBP")*$H$5)</f>
        <v/>
      </c>
      <c r="O210" s="32">
        <f>IF($B$210="","",SUMIFS(Opex_Budget!$V:$V,Opex_Budget!$A:$A,$C$3,Opex_Budget!$E:$E,$B$210,Opex_Budget!$F:$F,$D$210,Opex_Budget!$N:$N,"JPY")*$E$5+SUMIFS(Opex_Budget!$V:$V,Opex_Budget!$A:$A,$C$3,Opex_Budget!$E:$E,$B$210,Opex_Budget!$F:$F,$D$210,Opex_Budget!$N:$N,"USD")*$F$5+SUMIFS(Opex_Budget!$V:$V,Opex_Budget!$A:$A,$C$3,Opex_Budget!$E:$E,$B$210,Opex_Budget!$F:$F,$D$210,Opex_Budget!$N:$N,"EUR")*$G$5+SUMIFS(Opex_Budget!$V:$V,Opex_Budget!$A:$A,$C$3,Opex_Budget!$E:$E,$B$210,Opex_Budget!$F:$F,$D$210,Opex_Budget!$N:$N,"GBP")*$H$5)</f>
        <v/>
      </c>
      <c r="P210" s="32">
        <f>IF($B$210="","",SUMIFS(Opex_Budget!$W:$W,Opex_Budget!$A:$A,$C$3,Opex_Budget!$E:$E,$B$210,Opex_Budget!$F:$F,$D$210,Opex_Budget!$N:$N,"JPY")*$E$5+SUMIFS(Opex_Budget!$W:$W,Opex_Budget!$A:$A,$C$3,Opex_Budget!$E:$E,$B$210,Opex_Budget!$F:$F,$D$210,Opex_Budget!$N:$N,"USD")*$F$5+SUMIFS(Opex_Budget!$W:$W,Opex_Budget!$A:$A,$C$3,Opex_Budget!$E:$E,$B$210,Opex_Budget!$F:$F,$D$210,Opex_Budget!$N:$N,"EUR")*$G$5+SUMIFS(Opex_Budget!$W:$W,Opex_Budget!$A:$A,$C$3,Opex_Budget!$E:$E,$B$210,Opex_Budget!$F:$F,$D$210,Opex_Budget!$N:$N,"GBP")*$H$5)</f>
        <v/>
      </c>
      <c r="Q210" s="32">
        <f>IF($B$210="","",SUMIFS(Opex_Budget!$X:$X,Opex_Budget!$A:$A,$C$3,Opex_Budget!$E:$E,$B$210,Opex_Budget!$F:$F,$D$210,Opex_Budget!$N:$N,"JPY")*$E$5+SUMIFS(Opex_Budget!$X:$X,Opex_Budget!$A:$A,$C$3,Opex_Budget!$E:$E,$B$210,Opex_Budget!$F:$F,$D$210,Opex_Budget!$N:$N,"USD")*$F$5+SUMIFS(Opex_Budget!$X:$X,Opex_Budget!$A:$A,$C$3,Opex_Budget!$E:$E,$B$210,Opex_Budget!$F:$F,$D$210,Opex_Budget!$N:$N,"EUR")*$G$5+SUMIFS(Opex_Budget!$X:$X,Opex_Budget!$A:$A,$C$3,Opex_Budget!$E:$E,$B$210,Opex_Budget!$F:$F,$D$210,Opex_Budget!$N:$N,"GBP")*$H$5)</f>
        <v/>
      </c>
      <c r="R210" s="32">
        <f>IF($B$210="","",SUMIFS(Opex_Budget!$Y:$Y,Opex_Budget!$A:$A,$C$3,Opex_Budget!$E:$E,$B$210,Opex_Budget!$F:$F,$D$210,Opex_Budget!$N:$N,"JPY")*$E$5+SUMIFS(Opex_Budget!$Y:$Y,Opex_Budget!$A:$A,$C$3,Opex_Budget!$E:$E,$B$210,Opex_Budget!$F:$F,$D$210,Opex_Budget!$N:$N,"USD")*$F$5+SUMIFS(Opex_Budget!$Y:$Y,Opex_Budget!$A:$A,$C$3,Opex_Budget!$E:$E,$B$210,Opex_Budget!$F:$F,$D$210,Opex_Budget!$N:$N,"EUR")*$G$5+SUMIFS(Opex_Budget!$Y:$Y,Opex_Budget!$A:$A,$C$3,Opex_Budget!$E:$E,$B$210,Opex_Budget!$F:$F,$D$210,Opex_Budget!$N:$N,"GBP")*$H$5)</f>
        <v/>
      </c>
      <c r="S210" s="32">
        <f>IF($B$210="","",SUMIFS(Opex_Budget!$Z:$Z,Opex_Budget!$A:$A,$C$3,Opex_Budget!$E:$E,$B$210,Opex_Budget!$F:$F,$D$210,Opex_Budget!$N:$N,"JPY")*$E$5+SUMIFS(Opex_Budget!$Z:$Z,Opex_Budget!$A:$A,$C$3,Opex_Budget!$E:$E,$B$210,Opex_Budget!$F:$F,$D$210,Opex_Budget!$N:$N,"USD")*$F$5+SUMIFS(Opex_Budget!$Z:$Z,Opex_Budget!$A:$A,$C$3,Opex_Budget!$E:$E,$B$210,Opex_Budget!$F:$F,$D$210,Opex_Budget!$N:$N,"EUR")*$G$5+SUMIFS(Opex_Budget!$Z:$Z,Opex_Budget!$A:$A,$C$3,Opex_Budget!$E:$E,$B$210,Opex_Budget!$F:$F,$D$210,Opex_Budget!$N:$N,"GBP")*$H$5)</f>
        <v/>
      </c>
      <c r="T210" s="32">
        <f>IF($B$210="","",SUMIF($H$7:$S$7,"&lt;="&amp;$C$4,$H210:$S210))</f>
        <v/>
      </c>
      <c r="U210" s="32">
        <f>IF($B$210="","",SUMIF($H$7:$S$7,"&gt;"&amp;$C$4,$H210:$S210))</f>
        <v/>
      </c>
      <c r="V210" s="32">
        <f>IF($B$210="","",SUM($H210:$S210))</f>
        <v/>
      </c>
      <c r="X210" s="22">
        <f>IF($B210="","",IFERROR(INDEX(Cost_Centers!$E:$E,MATCH($B210,Cost_Centers!$A:$A,0)),"(unknown)"))</f>
        <v/>
      </c>
      <c r="Y210" s="22">
        <f>IF($B210="","",IFERROR(INDEX(Cost_Centers!$D:$D,MATCH($B210,Cost_Centers!$A:$A,0)),"(unknown)"))</f>
        <v/>
      </c>
      <c r="Z210" s="22">
        <f>IF(OR($B210="",$G210&lt;&gt;"Variance vs Budget"),"",ABS(N($V210))+ROW()/1000000000)</f>
        <v/>
      </c>
    </row>
    <row r="211">
      <c r="A211" s="13">
        <f>IF(A$210="","",A$210)</f>
        <v/>
      </c>
      <c r="B211" s="13">
        <f>IF(B$210="","",B$210)</f>
        <v/>
      </c>
      <c r="C211" s="13">
        <f>IF(C$210="","",C$210)</f>
        <v/>
      </c>
      <c r="D211" s="13">
        <f>IF(D$210="","",D$210)</f>
        <v/>
      </c>
      <c r="E211" s="13">
        <f>IF(E$210="","",E$210)</f>
        <v/>
      </c>
      <c r="F211" s="13">
        <f>IF(F$210="","",F$210)</f>
        <v/>
      </c>
      <c r="G211" s="7" t="inlineStr">
        <is>
          <t>Actual</t>
        </is>
      </c>
      <c r="H211" s="18">
        <f>IF(OR($B$210="",1&gt;$C$4),"",SUMIFS(Actuals!$G:$G,Actuals!$B:$B,$C$3,Actuals!$C:$C,1,Actuals!$D:$D,$B$210,Actuals!$A:$A,LEFT($D$210,FIND("|",$D$210&amp;"|")-1),Actuals!$E:$E,MID($D$210,FIND("|",$D$210&amp;"|")+1,50),Actuals!$F:$F,"JPY")*$E$5+SUMIFS(Actuals!$G:$G,Actuals!$B:$B,$C$3,Actuals!$C:$C,1,Actuals!$D:$D,$B$210,Actuals!$A:$A,LEFT($D$210,FIND("|",$D$210&amp;"|")-1),Actuals!$E:$E,MID($D$210,FIND("|",$D$210&amp;"|")+1,50),Actuals!$F:$F,"USD")*$F$5+SUMIFS(Actuals!$G:$G,Actuals!$B:$B,$C$3,Actuals!$C:$C,1,Actuals!$D:$D,$B$210,Actuals!$A:$A,LEFT($D$210,FIND("|",$D$210&amp;"|")-1),Actuals!$E:$E,MID($D$210,FIND("|",$D$210&amp;"|")+1,50),Actuals!$F:$F,"EUR")*$G$5+SUMIFS(Actuals!$G:$G,Actuals!$B:$B,$C$3,Actuals!$C:$C,1,Actuals!$D:$D,$B$210,Actuals!$A:$A,LEFT($D$210,FIND("|",$D$210&amp;"|")-1),Actuals!$E:$E,MID($D$210,FIND("|",$D$210&amp;"|")+1,50),Actuals!$F:$F,"GBP")*$H$5)</f>
        <v/>
      </c>
      <c r="I211" s="18">
        <f>IF(OR($B$210="",2&gt;$C$4),"",SUMIFS(Actuals!$G:$G,Actuals!$B:$B,$C$3,Actuals!$C:$C,2,Actuals!$D:$D,$B$210,Actuals!$A:$A,LEFT($D$210,FIND("|",$D$210&amp;"|")-1),Actuals!$E:$E,MID($D$210,FIND("|",$D$210&amp;"|")+1,50),Actuals!$F:$F,"JPY")*$E$5+SUMIFS(Actuals!$G:$G,Actuals!$B:$B,$C$3,Actuals!$C:$C,2,Actuals!$D:$D,$B$210,Actuals!$A:$A,LEFT($D$210,FIND("|",$D$210&amp;"|")-1),Actuals!$E:$E,MID($D$210,FIND("|",$D$210&amp;"|")+1,50),Actuals!$F:$F,"USD")*$F$5+SUMIFS(Actuals!$G:$G,Actuals!$B:$B,$C$3,Actuals!$C:$C,2,Actuals!$D:$D,$B$210,Actuals!$A:$A,LEFT($D$210,FIND("|",$D$210&amp;"|")-1),Actuals!$E:$E,MID($D$210,FIND("|",$D$210&amp;"|")+1,50),Actuals!$F:$F,"EUR")*$G$5+SUMIFS(Actuals!$G:$G,Actuals!$B:$B,$C$3,Actuals!$C:$C,2,Actuals!$D:$D,$B$210,Actuals!$A:$A,LEFT($D$210,FIND("|",$D$210&amp;"|")-1),Actuals!$E:$E,MID($D$210,FIND("|",$D$210&amp;"|")+1,50),Actuals!$F:$F,"GBP")*$H$5)</f>
        <v/>
      </c>
      <c r="J211" s="18">
        <f>IF(OR($B$210="",3&gt;$C$4),"",SUMIFS(Actuals!$G:$G,Actuals!$B:$B,$C$3,Actuals!$C:$C,3,Actuals!$D:$D,$B$210,Actuals!$A:$A,LEFT($D$210,FIND("|",$D$210&amp;"|")-1),Actuals!$E:$E,MID($D$210,FIND("|",$D$210&amp;"|")+1,50),Actuals!$F:$F,"JPY")*$E$5+SUMIFS(Actuals!$G:$G,Actuals!$B:$B,$C$3,Actuals!$C:$C,3,Actuals!$D:$D,$B$210,Actuals!$A:$A,LEFT($D$210,FIND("|",$D$210&amp;"|")-1),Actuals!$E:$E,MID($D$210,FIND("|",$D$210&amp;"|")+1,50),Actuals!$F:$F,"USD")*$F$5+SUMIFS(Actuals!$G:$G,Actuals!$B:$B,$C$3,Actuals!$C:$C,3,Actuals!$D:$D,$B$210,Actuals!$A:$A,LEFT($D$210,FIND("|",$D$210&amp;"|")-1),Actuals!$E:$E,MID($D$210,FIND("|",$D$210&amp;"|")+1,50),Actuals!$F:$F,"EUR")*$G$5+SUMIFS(Actuals!$G:$G,Actuals!$B:$B,$C$3,Actuals!$C:$C,3,Actuals!$D:$D,$B$210,Actuals!$A:$A,LEFT($D$210,FIND("|",$D$210&amp;"|")-1),Actuals!$E:$E,MID($D$210,FIND("|",$D$210&amp;"|")+1,50),Actuals!$F:$F,"GBP")*$H$5)</f>
        <v/>
      </c>
      <c r="K211" s="18">
        <f>IF(OR($B$210="",4&gt;$C$4),"",SUMIFS(Actuals!$G:$G,Actuals!$B:$B,$C$3,Actuals!$C:$C,4,Actuals!$D:$D,$B$210,Actuals!$A:$A,LEFT($D$210,FIND("|",$D$210&amp;"|")-1),Actuals!$E:$E,MID($D$210,FIND("|",$D$210&amp;"|")+1,50),Actuals!$F:$F,"JPY")*$E$5+SUMIFS(Actuals!$G:$G,Actuals!$B:$B,$C$3,Actuals!$C:$C,4,Actuals!$D:$D,$B$210,Actuals!$A:$A,LEFT($D$210,FIND("|",$D$210&amp;"|")-1),Actuals!$E:$E,MID($D$210,FIND("|",$D$210&amp;"|")+1,50),Actuals!$F:$F,"USD")*$F$5+SUMIFS(Actuals!$G:$G,Actuals!$B:$B,$C$3,Actuals!$C:$C,4,Actuals!$D:$D,$B$210,Actuals!$A:$A,LEFT($D$210,FIND("|",$D$210&amp;"|")-1),Actuals!$E:$E,MID($D$210,FIND("|",$D$210&amp;"|")+1,50),Actuals!$F:$F,"EUR")*$G$5+SUMIFS(Actuals!$G:$G,Actuals!$B:$B,$C$3,Actuals!$C:$C,4,Actuals!$D:$D,$B$210,Actuals!$A:$A,LEFT($D$210,FIND("|",$D$210&amp;"|")-1),Actuals!$E:$E,MID($D$210,FIND("|",$D$210&amp;"|")+1,50),Actuals!$F:$F,"GBP")*$H$5)</f>
        <v/>
      </c>
      <c r="L211" s="18">
        <f>IF(OR($B$210="",5&gt;$C$4),"",SUMIFS(Actuals!$G:$G,Actuals!$B:$B,$C$3,Actuals!$C:$C,5,Actuals!$D:$D,$B$210,Actuals!$A:$A,LEFT($D$210,FIND("|",$D$210&amp;"|")-1),Actuals!$E:$E,MID($D$210,FIND("|",$D$210&amp;"|")+1,50),Actuals!$F:$F,"JPY")*$E$5+SUMIFS(Actuals!$G:$G,Actuals!$B:$B,$C$3,Actuals!$C:$C,5,Actuals!$D:$D,$B$210,Actuals!$A:$A,LEFT($D$210,FIND("|",$D$210&amp;"|")-1),Actuals!$E:$E,MID($D$210,FIND("|",$D$210&amp;"|")+1,50),Actuals!$F:$F,"USD")*$F$5+SUMIFS(Actuals!$G:$G,Actuals!$B:$B,$C$3,Actuals!$C:$C,5,Actuals!$D:$D,$B$210,Actuals!$A:$A,LEFT($D$210,FIND("|",$D$210&amp;"|")-1),Actuals!$E:$E,MID($D$210,FIND("|",$D$210&amp;"|")+1,50),Actuals!$F:$F,"EUR")*$G$5+SUMIFS(Actuals!$G:$G,Actuals!$B:$B,$C$3,Actuals!$C:$C,5,Actuals!$D:$D,$B$210,Actuals!$A:$A,LEFT($D$210,FIND("|",$D$210&amp;"|")-1),Actuals!$E:$E,MID($D$210,FIND("|",$D$210&amp;"|")+1,50),Actuals!$F:$F,"GBP")*$H$5)</f>
        <v/>
      </c>
      <c r="M211" s="18">
        <f>IF(OR($B$210="",6&gt;$C$4),"",SUMIFS(Actuals!$G:$G,Actuals!$B:$B,$C$3,Actuals!$C:$C,6,Actuals!$D:$D,$B$210,Actuals!$A:$A,LEFT($D$210,FIND("|",$D$210&amp;"|")-1),Actuals!$E:$E,MID($D$210,FIND("|",$D$210&amp;"|")+1,50),Actuals!$F:$F,"JPY")*$E$5+SUMIFS(Actuals!$G:$G,Actuals!$B:$B,$C$3,Actuals!$C:$C,6,Actuals!$D:$D,$B$210,Actuals!$A:$A,LEFT($D$210,FIND("|",$D$210&amp;"|")-1),Actuals!$E:$E,MID($D$210,FIND("|",$D$210&amp;"|")+1,50),Actuals!$F:$F,"USD")*$F$5+SUMIFS(Actuals!$G:$G,Actuals!$B:$B,$C$3,Actuals!$C:$C,6,Actuals!$D:$D,$B$210,Actuals!$A:$A,LEFT($D$210,FIND("|",$D$210&amp;"|")-1),Actuals!$E:$E,MID($D$210,FIND("|",$D$210&amp;"|")+1,50),Actuals!$F:$F,"EUR")*$G$5+SUMIFS(Actuals!$G:$G,Actuals!$B:$B,$C$3,Actuals!$C:$C,6,Actuals!$D:$D,$B$210,Actuals!$A:$A,LEFT($D$210,FIND("|",$D$210&amp;"|")-1),Actuals!$E:$E,MID($D$210,FIND("|",$D$210&amp;"|")+1,50),Actuals!$F:$F,"GBP")*$H$5)</f>
        <v/>
      </c>
      <c r="N211" s="18">
        <f>IF(OR($B$210="",7&gt;$C$4),"",SUMIFS(Actuals!$G:$G,Actuals!$B:$B,$C$3,Actuals!$C:$C,7,Actuals!$D:$D,$B$210,Actuals!$A:$A,LEFT($D$210,FIND("|",$D$210&amp;"|")-1),Actuals!$E:$E,MID($D$210,FIND("|",$D$210&amp;"|")+1,50),Actuals!$F:$F,"JPY")*$E$5+SUMIFS(Actuals!$G:$G,Actuals!$B:$B,$C$3,Actuals!$C:$C,7,Actuals!$D:$D,$B$210,Actuals!$A:$A,LEFT($D$210,FIND("|",$D$210&amp;"|")-1),Actuals!$E:$E,MID($D$210,FIND("|",$D$210&amp;"|")+1,50),Actuals!$F:$F,"USD")*$F$5+SUMIFS(Actuals!$G:$G,Actuals!$B:$B,$C$3,Actuals!$C:$C,7,Actuals!$D:$D,$B$210,Actuals!$A:$A,LEFT($D$210,FIND("|",$D$210&amp;"|")-1),Actuals!$E:$E,MID($D$210,FIND("|",$D$210&amp;"|")+1,50),Actuals!$F:$F,"EUR")*$G$5+SUMIFS(Actuals!$G:$G,Actuals!$B:$B,$C$3,Actuals!$C:$C,7,Actuals!$D:$D,$B$210,Actuals!$A:$A,LEFT($D$210,FIND("|",$D$210&amp;"|")-1),Actuals!$E:$E,MID($D$210,FIND("|",$D$210&amp;"|")+1,50),Actuals!$F:$F,"GBP")*$H$5)</f>
        <v/>
      </c>
      <c r="O211" s="18">
        <f>IF(OR($B$210="",8&gt;$C$4),"",SUMIFS(Actuals!$G:$G,Actuals!$B:$B,$C$3,Actuals!$C:$C,8,Actuals!$D:$D,$B$210,Actuals!$A:$A,LEFT($D$210,FIND("|",$D$210&amp;"|")-1),Actuals!$E:$E,MID($D$210,FIND("|",$D$210&amp;"|")+1,50),Actuals!$F:$F,"JPY")*$E$5+SUMIFS(Actuals!$G:$G,Actuals!$B:$B,$C$3,Actuals!$C:$C,8,Actuals!$D:$D,$B$210,Actuals!$A:$A,LEFT($D$210,FIND("|",$D$210&amp;"|")-1),Actuals!$E:$E,MID($D$210,FIND("|",$D$210&amp;"|")+1,50),Actuals!$F:$F,"USD")*$F$5+SUMIFS(Actuals!$G:$G,Actuals!$B:$B,$C$3,Actuals!$C:$C,8,Actuals!$D:$D,$B$210,Actuals!$A:$A,LEFT($D$210,FIND("|",$D$210&amp;"|")-1),Actuals!$E:$E,MID($D$210,FIND("|",$D$210&amp;"|")+1,50),Actuals!$F:$F,"EUR")*$G$5+SUMIFS(Actuals!$G:$G,Actuals!$B:$B,$C$3,Actuals!$C:$C,8,Actuals!$D:$D,$B$210,Actuals!$A:$A,LEFT($D$210,FIND("|",$D$210&amp;"|")-1),Actuals!$E:$E,MID($D$210,FIND("|",$D$210&amp;"|")+1,50),Actuals!$F:$F,"GBP")*$H$5)</f>
        <v/>
      </c>
      <c r="P211" s="18">
        <f>IF(OR($B$210="",9&gt;$C$4),"",SUMIFS(Actuals!$G:$G,Actuals!$B:$B,$C$3,Actuals!$C:$C,9,Actuals!$D:$D,$B$210,Actuals!$A:$A,LEFT($D$210,FIND("|",$D$210&amp;"|")-1),Actuals!$E:$E,MID($D$210,FIND("|",$D$210&amp;"|")+1,50),Actuals!$F:$F,"JPY")*$E$5+SUMIFS(Actuals!$G:$G,Actuals!$B:$B,$C$3,Actuals!$C:$C,9,Actuals!$D:$D,$B$210,Actuals!$A:$A,LEFT($D$210,FIND("|",$D$210&amp;"|")-1),Actuals!$E:$E,MID($D$210,FIND("|",$D$210&amp;"|")+1,50),Actuals!$F:$F,"USD")*$F$5+SUMIFS(Actuals!$G:$G,Actuals!$B:$B,$C$3,Actuals!$C:$C,9,Actuals!$D:$D,$B$210,Actuals!$A:$A,LEFT($D$210,FIND("|",$D$210&amp;"|")-1),Actuals!$E:$E,MID($D$210,FIND("|",$D$210&amp;"|")+1,50),Actuals!$F:$F,"EUR")*$G$5+SUMIFS(Actuals!$G:$G,Actuals!$B:$B,$C$3,Actuals!$C:$C,9,Actuals!$D:$D,$B$210,Actuals!$A:$A,LEFT($D$210,FIND("|",$D$210&amp;"|")-1),Actuals!$E:$E,MID($D$210,FIND("|",$D$210&amp;"|")+1,50),Actuals!$F:$F,"GBP")*$H$5)</f>
        <v/>
      </c>
      <c r="Q211" s="18">
        <f>IF(OR($B$210="",10&gt;$C$4),"",SUMIFS(Actuals!$G:$G,Actuals!$B:$B,$C$3,Actuals!$C:$C,10,Actuals!$D:$D,$B$210,Actuals!$A:$A,LEFT($D$210,FIND("|",$D$210&amp;"|")-1),Actuals!$E:$E,MID($D$210,FIND("|",$D$210&amp;"|")+1,50),Actuals!$F:$F,"JPY")*$E$5+SUMIFS(Actuals!$G:$G,Actuals!$B:$B,$C$3,Actuals!$C:$C,10,Actuals!$D:$D,$B$210,Actuals!$A:$A,LEFT($D$210,FIND("|",$D$210&amp;"|")-1),Actuals!$E:$E,MID($D$210,FIND("|",$D$210&amp;"|")+1,50),Actuals!$F:$F,"USD")*$F$5+SUMIFS(Actuals!$G:$G,Actuals!$B:$B,$C$3,Actuals!$C:$C,10,Actuals!$D:$D,$B$210,Actuals!$A:$A,LEFT($D$210,FIND("|",$D$210&amp;"|")-1),Actuals!$E:$E,MID($D$210,FIND("|",$D$210&amp;"|")+1,50),Actuals!$F:$F,"EUR")*$G$5+SUMIFS(Actuals!$G:$G,Actuals!$B:$B,$C$3,Actuals!$C:$C,10,Actuals!$D:$D,$B$210,Actuals!$A:$A,LEFT($D$210,FIND("|",$D$210&amp;"|")-1),Actuals!$E:$E,MID($D$210,FIND("|",$D$210&amp;"|")+1,50),Actuals!$F:$F,"GBP")*$H$5)</f>
        <v/>
      </c>
      <c r="R211" s="18">
        <f>IF(OR($B$210="",11&gt;$C$4),"",SUMIFS(Actuals!$G:$G,Actuals!$B:$B,$C$3,Actuals!$C:$C,11,Actuals!$D:$D,$B$210,Actuals!$A:$A,LEFT($D$210,FIND("|",$D$210&amp;"|")-1),Actuals!$E:$E,MID($D$210,FIND("|",$D$210&amp;"|")+1,50),Actuals!$F:$F,"JPY")*$E$5+SUMIFS(Actuals!$G:$G,Actuals!$B:$B,$C$3,Actuals!$C:$C,11,Actuals!$D:$D,$B$210,Actuals!$A:$A,LEFT($D$210,FIND("|",$D$210&amp;"|")-1),Actuals!$E:$E,MID($D$210,FIND("|",$D$210&amp;"|")+1,50),Actuals!$F:$F,"USD")*$F$5+SUMIFS(Actuals!$G:$G,Actuals!$B:$B,$C$3,Actuals!$C:$C,11,Actuals!$D:$D,$B$210,Actuals!$A:$A,LEFT($D$210,FIND("|",$D$210&amp;"|")-1),Actuals!$E:$E,MID($D$210,FIND("|",$D$210&amp;"|")+1,50),Actuals!$F:$F,"EUR")*$G$5+SUMIFS(Actuals!$G:$G,Actuals!$B:$B,$C$3,Actuals!$C:$C,11,Actuals!$D:$D,$B$210,Actuals!$A:$A,LEFT($D$210,FIND("|",$D$210&amp;"|")-1),Actuals!$E:$E,MID($D$210,FIND("|",$D$210&amp;"|")+1,50),Actuals!$F:$F,"GBP")*$H$5)</f>
        <v/>
      </c>
      <c r="S211" s="18">
        <f>IF(OR($B$210="",12&gt;$C$4),"",SUMIFS(Actuals!$G:$G,Actuals!$B:$B,$C$3,Actuals!$C:$C,12,Actuals!$D:$D,$B$210,Actuals!$A:$A,LEFT($D$210,FIND("|",$D$210&amp;"|")-1),Actuals!$E:$E,MID($D$210,FIND("|",$D$210&amp;"|")+1,50),Actuals!$F:$F,"JPY")*$E$5+SUMIFS(Actuals!$G:$G,Actuals!$B:$B,$C$3,Actuals!$C:$C,12,Actuals!$D:$D,$B$210,Actuals!$A:$A,LEFT($D$210,FIND("|",$D$210&amp;"|")-1),Actuals!$E:$E,MID($D$210,FIND("|",$D$210&amp;"|")+1,50),Actuals!$F:$F,"USD")*$F$5+SUMIFS(Actuals!$G:$G,Actuals!$B:$B,$C$3,Actuals!$C:$C,12,Actuals!$D:$D,$B$210,Actuals!$A:$A,LEFT($D$210,FIND("|",$D$210&amp;"|")-1),Actuals!$E:$E,MID($D$210,FIND("|",$D$210&amp;"|")+1,50),Actuals!$F:$F,"EUR")*$G$5+SUMIFS(Actuals!$G:$G,Actuals!$B:$B,$C$3,Actuals!$C:$C,12,Actuals!$D:$D,$B$210,Actuals!$A:$A,LEFT($D$210,FIND("|",$D$210&amp;"|")-1),Actuals!$E:$E,MID($D$210,FIND("|",$D$210&amp;"|")+1,50),Actuals!$F:$F,"GBP")*$H$5)</f>
        <v/>
      </c>
      <c r="T211" s="18">
        <f>IF($B$210="","",SUMIF($H$7:$S$7,"&lt;="&amp;$C$4,$H211:$S211))</f>
        <v/>
      </c>
      <c r="U211" s="18" t="n"/>
      <c r="V211" s="18" t="n"/>
      <c r="X211" s="22">
        <f>IF($B211="","",IFERROR(INDEX(Cost_Centers!$E:$E,MATCH($B211,Cost_Centers!$A:$A,0)),"(unknown)"))</f>
        <v/>
      </c>
      <c r="Y211" s="22">
        <f>IF($B211="","",IFERROR(INDEX(Cost_Centers!$D:$D,MATCH($B211,Cost_Centers!$A:$A,0)),"(unknown)"))</f>
        <v/>
      </c>
      <c r="Z211" s="22">
        <f>IF(OR($B211="",$G211&lt;&gt;"Variance vs Budget"),"",ABS(N($V211))+ROW()/1000000000)</f>
        <v/>
      </c>
    </row>
    <row r="212">
      <c r="A212" s="13">
        <f>IF(A$210="","",A$210)</f>
        <v/>
      </c>
      <c r="B212" s="13">
        <f>IF(B$210="","",B$210)</f>
        <v/>
      </c>
      <c r="C212" s="13">
        <f>IF(C$210="","",C$210)</f>
        <v/>
      </c>
      <c r="D212" s="13">
        <f>IF(D$210="","",D$210)</f>
        <v/>
      </c>
      <c r="E212" s="13">
        <f>IF(E$210="","",E$210)</f>
        <v/>
      </c>
      <c r="F212" s="13">
        <f>IF(F$210="","",F$210)</f>
        <v/>
      </c>
      <c r="G212" s="6" t="inlineStr">
        <is>
          <t>Variance vs Budget</t>
        </is>
      </c>
      <c r="H212" s="33">
        <f>IF(OR($B$210="",1&gt;$C$4),"",N(H211)-H210)</f>
        <v/>
      </c>
      <c r="I212" s="33">
        <f>IF(OR($B$210="",2&gt;$C$4),"",N(I211)-I210)</f>
        <v/>
      </c>
      <c r="J212" s="33">
        <f>IF(OR($B$210="",3&gt;$C$4),"",N(J211)-J210)</f>
        <v/>
      </c>
      <c r="K212" s="33">
        <f>IF(OR($B$210="",4&gt;$C$4),"",N(K211)-K210)</f>
        <v/>
      </c>
      <c r="L212" s="33">
        <f>IF(OR($B$210="",5&gt;$C$4),"",N(L211)-L210)</f>
        <v/>
      </c>
      <c r="M212" s="33">
        <f>IF(OR($B$210="",6&gt;$C$4),"",N(M211)-M210)</f>
        <v/>
      </c>
      <c r="N212" s="33">
        <f>IF(OR($B$210="",7&gt;$C$4),"",N(N211)-N210)</f>
        <v/>
      </c>
      <c r="O212" s="33">
        <f>IF(OR($B$210="",8&gt;$C$4),"",N(O211)-O210)</f>
        <v/>
      </c>
      <c r="P212" s="33">
        <f>IF(OR($B$210="",9&gt;$C$4),"",N(P211)-P210)</f>
        <v/>
      </c>
      <c r="Q212" s="33">
        <f>IF(OR($B$210="",10&gt;$C$4),"",N(Q211)-Q210)</f>
        <v/>
      </c>
      <c r="R212" s="33">
        <f>IF(OR($B$210="",11&gt;$C$4),"",N(R211)-R210)</f>
        <v/>
      </c>
      <c r="S212" s="33">
        <f>IF(OR($B$210="",12&gt;$C$4),"",N(S211)-S210)</f>
        <v/>
      </c>
      <c r="T212" s="33">
        <f>IF($B$210="","",T211-T210)</f>
        <v/>
      </c>
      <c r="U212" s="33">
        <f>IF($B$210="","",U214-U210)</f>
        <v/>
      </c>
      <c r="V212" s="33">
        <f>IF($B$210="","",V214-V210)</f>
        <v/>
      </c>
      <c r="X212" s="22">
        <f>IF($B212="","",IFERROR(INDEX(Cost_Centers!$E:$E,MATCH($B212,Cost_Centers!$A:$A,0)),"(unknown)"))</f>
        <v/>
      </c>
      <c r="Y212" s="22">
        <f>IF($B212="","",IFERROR(INDEX(Cost_Centers!$D:$D,MATCH($B212,Cost_Centers!$A:$A,0)),"(unknown)"))</f>
        <v/>
      </c>
      <c r="Z212" s="22">
        <f>IF(OR($B212="",$G212&lt;&gt;"Variance vs Budget"),"",ABS(N($V212))+ROW()/1000000000)</f>
        <v/>
      </c>
    </row>
    <row r="213">
      <c r="A213" s="13">
        <f>IF(A$210="","",A$210)</f>
        <v/>
      </c>
      <c r="B213" s="13">
        <f>IF(B$210="","",B$210)</f>
        <v/>
      </c>
      <c r="C213" s="13">
        <f>IF(C$210="","",C$210)</f>
        <v/>
      </c>
      <c r="D213" s="13">
        <f>IF(D$210="","",D$210)</f>
        <v/>
      </c>
      <c r="E213" s="13">
        <f>IF(E$210="","",E$210)</f>
        <v/>
      </c>
      <c r="F213" s="13">
        <f>IF(F$210="","",F$210)</f>
        <v/>
      </c>
      <c r="G213" s="7" t="inlineStr">
        <is>
          <t>Forecast (input)</t>
        </is>
      </c>
      <c r="H213" s="34" t="n"/>
      <c r="I213" s="34" t="n"/>
      <c r="J213" s="34" t="n"/>
      <c r="K213" s="34" t="n"/>
      <c r="L213" s="34" t="n"/>
      <c r="M213" s="34" t="n"/>
      <c r="N213" s="34" t="n"/>
      <c r="O213" s="34" t="n"/>
      <c r="P213" s="34" t="n"/>
      <c r="Q213" s="34" t="n"/>
      <c r="R213" s="34" t="n"/>
      <c r="S213" s="34" t="n"/>
      <c r="T213" s="18" t="n"/>
      <c r="U213" s="18" t="n"/>
      <c r="V213" s="18" t="n"/>
      <c r="X213" s="22">
        <f>IF($B213="","",IFERROR(INDEX(Cost_Centers!$E:$E,MATCH($B213,Cost_Centers!$A:$A,0)),"(unknown)"))</f>
        <v/>
      </c>
      <c r="Y213" s="22">
        <f>IF($B213="","",IFERROR(INDEX(Cost_Centers!$D:$D,MATCH($B213,Cost_Centers!$A:$A,0)),"(unknown)"))</f>
        <v/>
      </c>
      <c r="Z213" s="22">
        <f>IF(OR($B213="",$G213&lt;&gt;"Variance vs Budget"),"",ABS(N($V213))+ROW()/1000000000)</f>
        <v/>
      </c>
    </row>
    <row r="214">
      <c r="A214" s="13">
        <f>IF(A$210="","",A$210)</f>
        <v/>
      </c>
      <c r="B214" s="13">
        <f>IF(B$210="","",B$210)</f>
        <v/>
      </c>
      <c r="C214" s="13">
        <f>IF(C$210="","",C$210)</f>
        <v/>
      </c>
      <c r="D214" s="13">
        <f>IF(D$210="","",D$210)</f>
        <v/>
      </c>
      <c r="E214" s="13">
        <f>IF(E$210="","",E$210)</f>
        <v/>
      </c>
      <c r="F214" s="13">
        <f>IF(F$210="","",F$210)</f>
        <v/>
      </c>
      <c r="G214" s="35" t="inlineStr">
        <is>
          <t>Actual + Forecast</t>
        </is>
      </c>
      <c r="H214" s="18">
        <f>IF($B$210="","",IF(1&lt;=$C$4,N(H211),IF(H213="",H210,H213)))</f>
        <v/>
      </c>
      <c r="I214" s="18">
        <f>IF($B$210="","",IF(2&lt;=$C$4,N(I211),IF(I213="",I210,I213)))</f>
        <v/>
      </c>
      <c r="J214" s="18">
        <f>IF($B$210="","",IF(3&lt;=$C$4,N(J211),IF(J213="",J210,J213)))</f>
        <v/>
      </c>
      <c r="K214" s="18">
        <f>IF($B$210="","",IF(4&lt;=$C$4,N(K211),IF(K213="",K210,K213)))</f>
        <v/>
      </c>
      <c r="L214" s="18">
        <f>IF($B$210="","",IF(5&lt;=$C$4,N(L211),IF(L213="",L210,L213)))</f>
        <v/>
      </c>
      <c r="M214" s="18">
        <f>IF($B$210="","",IF(6&lt;=$C$4,N(M211),IF(M213="",M210,M213)))</f>
        <v/>
      </c>
      <c r="N214" s="18">
        <f>IF($B$210="","",IF(7&lt;=$C$4,N(N211),IF(N213="",N210,N213)))</f>
        <v/>
      </c>
      <c r="O214" s="18">
        <f>IF($B$210="","",IF(8&lt;=$C$4,N(O211),IF(O213="",O210,O213)))</f>
        <v/>
      </c>
      <c r="P214" s="18">
        <f>IF($B$210="","",IF(9&lt;=$C$4,N(P211),IF(P213="",P210,P213)))</f>
        <v/>
      </c>
      <c r="Q214" s="18">
        <f>IF($B$210="","",IF(10&lt;=$C$4,N(Q211),IF(Q213="",Q210,Q213)))</f>
        <v/>
      </c>
      <c r="R214" s="18">
        <f>IF($B$210="","",IF(11&lt;=$C$4,N(R211),IF(R213="",R210,R213)))</f>
        <v/>
      </c>
      <c r="S214" s="18">
        <f>IF($B$210="","",IF(12&lt;=$C$4,N(S211),IF(S213="",S210,S213)))</f>
        <v/>
      </c>
      <c r="T214" s="18">
        <f>IF($B$210="","",SUMIF($H$7:$S$7,"&lt;="&amp;$C$4,$H214:$S214))</f>
        <v/>
      </c>
      <c r="U214" s="18">
        <f>IF($B$210="","",SUMIF($H$7:$S$7,"&gt;"&amp;$C$4,$H214:$S214))</f>
        <v/>
      </c>
      <c r="V214" s="18">
        <f>IF($B$210="","",SUM($H214:$S214))</f>
        <v/>
      </c>
      <c r="X214" s="22">
        <f>IF($B214="","",IFERROR(INDEX(Cost_Centers!$E:$E,MATCH($B214,Cost_Centers!$A:$A,0)),"(unknown)"))</f>
        <v/>
      </c>
      <c r="Y214" s="22">
        <f>IF($B214="","",IFERROR(INDEX(Cost_Centers!$D:$D,MATCH($B214,Cost_Centers!$A:$A,0)),"(unknown)"))</f>
        <v/>
      </c>
      <c r="Z214" s="22">
        <f>IF(OR($B214="",$G214&lt;&gt;"Variance vs Budget"),"",ABS(N($V214))+ROW()/1000000000)</f>
        <v/>
      </c>
    </row>
    <row r="215">
      <c r="A215" s="13">
        <f>IF(A$210="","",A$210)</f>
        <v/>
      </c>
      <c r="B215" s="13">
        <f>IF(B$210="","",B$210)</f>
        <v/>
      </c>
      <c r="C215" s="13">
        <f>IF(C$210="","",C$210)</f>
        <v/>
      </c>
      <c r="D215" s="13">
        <f>IF(D$210="","",D$210)</f>
        <v/>
      </c>
      <c r="E215" s="13">
        <f>IF(E$210="","",E$210)</f>
        <v/>
      </c>
      <c r="F215" s="13">
        <f>IF(F$210="","",F$210)</f>
        <v/>
      </c>
      <c r="G215" s="36" t="inlineStr">
        <is>
          <t>Prior Month Forecast</t>
        </is>
      </c>
      <c r="H215" s="37">
        <f>IF($B$210="","",IF(COUNTIFS(Prior_Forecast!$A:$A,$B$210,Prior_Forecast!$B:$B,$D$210)&gt;0,SUMIFS(Prior_Forecast!$C:$C,Prior_Forecast!$A:$A,$B$210,Prior_Forecast!$B:$B,$D$210),""))</f>
        <v/>
      </c>
      <c r="I215" s="37">
        <f>IF($B$210="","",IF(COUNTIFS(Prior_Forecast!$A:$A,$B$210,Prior_Forecast!$B:$B,$D$210)&gt;0,SUMIFS(Prior_Forecast!$D:$D,Prior_Forecast!$A:$A,$B$210,Prior_Forecast!$B:$B,$D$210),""))</f>
        <v/>
      </c>
      <c r="J215" s="37">
        <f>IF($B$210="","",IF(COUNTIFS(Prior_Forecast!$A:$A,$B$210,Prior_Forecast!$B:$B,$D$210)&gt;0,SUMIFS(Prior_Forecast!$E:$E,Prior_Forecast!$A:$A,$B$210,Prior_Forecast!$B:$B,$D$210),""))</f>
        <v/>
      </c>
      <c r="K215" s="37">
        <f>IF($B$210="","",IF(COUNTIFS(Prior_Forecast!$A:$A,$B$210,Prior_Forecast!$B:$B,$D$210)&gt;0,SUMIFS(Prior_Forecast!$F:$F,Prior_Forecast!$A:$A,$B$210,Prior_Forecast!$B:$B,$D$210),""))</f>
        <v/>
      </c>
      <c r="L215" s="37">
        <f>IF($B$210="","",IF(COUNTIFS(Prior_Forecast!$A:$A,$B$210,Prior_Forecast!$B:$B,$D$210)&gt;0,SUMIFS(Prior_Forecast!$G:$G,Prior_Forecast!$A:$A,$B$210,Prior_Forecast!$B:$B,$D$210),""))</f>
        <v/>
      </c>
      <c r="M215" s="37">
        <f>IF($B$210="","",IF(COUNTIFS(Prior_Forecast!$A:$A,$B$210,Prior_Forecast!$B:$B,$D$210)&gt;0,SUMIFS(Prior_Forecast!$H:$H,Prior_Forecast!$A:$A,$B$210,Prior_Forecast!$B:$B,$D$210),""))</f>
        <v/>
      </c>
      <c r="N215" s="37">
        <f>IF($B$210="","",IF(COUNTIFS(Prior_Forecast!$A:$A,$B$210,Prior_Forecast!$B:$B,$D$210)&gt;0,SUMIFS(Prior_Forecast!$I:$I,Prior_Forecast!$A:$A,$B$210,Prior_Forecast!$B:$B,$D$210),""))</f>
        <v/>
      </c>
      <c r="O215" s="37">
        <f>IF($B$210="","",IF(COUNTIFS(Prior_Forecast!$A:$A,$B$210,Prior_Forecast!$B:$B,$D$210)&gt;0,SUMIFS(Prior_Forecast!$J:$J,Prior_Forecast!$A:$A,$B$210,Prior_Forecast!$B:$B,$D$210),""))</f>
        <v/>
      </c>
      <c r="P215" s="37">
        <f>IF($B$210="","",IF(COUNTIFS(Prior_Forecast!$A:$A,$B$210,Prior_Forecast!$B:$B,$D$210)&gt;0,SUMIFS(Prior_Forecast!$K:$K,Prior_Forecast!$A:$A,$B$210,Prior_Forecast!$B:$B,$D$210),""))</f>
        <v/>
      </c>
      <c r="Q215" s="37">
        <f>IF($B$210="","",IF(COUNTIFS(Prior_Forecast!$A:$A,$B$210,Prior_Forecast!$B:$B,$D$210)&gt;0,SUMIFS(Prior_Forecast!$L:$L,Prior_Forecast!$A:$A,$B$210,Prior_Forecast!$B:$B,$D$210),""))</f>
        <v/>
      </c>
      <c r="R215" s="37">
        <f>IF($B$210="","",IF(COUNTIFS(Prior_Forecast!$A:$A,$B$210,Prior_Forecast!$B:$B,$D$210)&gt;0,SUMIFS(Prior_Forecast!$M:$M,Prior_Forecast!$A:$A,$B$210,Prior_Forecast!$B:$B,$D$210),""))</f>
        <v/>
      </c>
      <c r="S215" s="37">
        <f>IF($B$210="","",IF(COUNTIFS(Prior_Forecast!$A:$A,$B$210,Prior_Forecast!$B:$B,$D$210)&gt;0,SUMIFS(Prior_Forecast!$N:$N,Prior_Forecast!$A:$A,$B$210,Prior_Forecast!$B:$B,$D$210),""))</f>
        <v/>
      </c>
      <c r="T215" s="37">
        <f>IF($B$210="","",IF(COUNTIFS(Prior_Forecast!$A:$A,$B$210,Prior_Forecast!$B:$B,$D$210)&gt;0,SUMIFS(Prior_Forecast!$O:$O,Prior_Forecast!$A:$A,$B$210,Prior_Forecast!$B:$B,$D$210),""))</f>
        <v/>
      </c>
      <c r="U215" s="37">
        <f>IF($B$210="","",IF(COUNTIFS(Prior_Forecast!$A:$A,$B$210,Prior_Forecast!$B:$B,$D$210)&gt;0,SUMIFS(Prior_Forecast!$P:$P,Prior_Forecast!$A:$A,$B$210,Prior_Forecast!$B:$B,$D$210),""))</f>
        <v/>
      </c>
      <c r="V215" s="37">
        <f>IF($B$210="","",IF(COUNTIFS(Prior_Forecast!$A:$A,$B$210,Prior_Forecast!$B:$B,$D$210)&gt;0,SUMIFS(Prior_Forecast!$Q:$Q,Prior_Forecast!$A:$A,$B$210,Prior_Forecast!$B:$B,$D$210),""))</f>
        <v/>
      </c>
      <c r="X215" s="22">
        <f>IF($B215="","",IFERROR(INDEX(Cost_Centers!$E:$E,MATCH($B215,Cost_Centers!$A:$A,0)),"(unknown)"))</f>
        <v/>
      </c>
      <c r="Y215" s="22">
        <f>IF($B215="","",IFERROR(INDEX(Cost_Centers!$D:$D,MATCH($B215,Cost_Centers!$A:$A,0)),"(unknown)"))</f>
        <v/>
      </c>
      <c r="Z215" s="22">
        <f>IF(OR($B215="",$G215&lt;&gt;"Variance vs Budget"),"",ABS(N($V215))+ROW()/1000000000)</f>
        <v/>
      </c>
    </row>
    <row r="216">
      <c r="A216" s="13">
        <f>IF(A$210="","",A$210)</f>
        <v/>
      </c>
      <c r="B216" s="13">
        <f>IF(B$210="","",B$210)</f>
        <v/>
      </c>
      <c r="C216" s="13">
        <f>IF(C$210="","",C$210)</f>
        <v/>
      </c>
      <c r="D216" s="13">
        <f>IF(D$210="","",D$210)</f>
        <v/>
      </c>
      <c r="E216" s="13">
        <f>IF(E$210="","",E$210)</f>
        <v/>
      </c>
      <c r="F216" s="13">
        <f>IF(F$210="","",F$210)</f>
        <v/>
      </c>
      <c r="G216" s="6" t="inlineStr">
        <is>
          <t>Variance vs Prior Month</t>
        </is>
      </c>
      <c r="H216" s="33">
        <f>IF(OR($B$210="",H215=""),"",H214-H215)</f>
        <v/>
      </c>
      <c r="I216" s="33">
        <f>IF(OR($B$210="",I215=""),"",I214-I215)</f>
        <v/>
      </c>
      <c r="J216" s="33">
        <f>IF(OR($B$210="",J215=""),"",J214-J215)</f>
        <v/>
      </c>
      <c r="K216" s="33">
        <f>IF(OR($B$210="",K215=""),"",K214-K215)</f>
        <v/>
      </c>
      <c r="L216" s="33">
        <f>IF(OR($B$210="",L215=""),"",L214-L215)</f>
        <v/>
      </c>
      <c r="M216" s="33">
        <f>IF(OR($B$210="",M215=""),"",M214-M215)</f>
        <v/>
      </c>
      <c r="N216" s="33">
        <f>IF(OR($B$210="",N215=""),"",N214-N215)</f>
        <v/>
      </c>
      <c r="O216" s="33">
        <f>IF(OR($B$210="",O215=""),"",O214-O215)</f>
        <v/>
      </c>
      <c r="P216" s="33">
        <f>IF(OR($B$210="",P215=""),"",P214-P215)</f>
        <v/>
      </c>
      <c r="Q216" s="33">
        <f>IF(OR($B$210="",Q215=""),"",Q214-Q215)</f>
        <v/>
      </c>
      <c r="R216" s="33">
        <f>IF(OR($B$210="",R215=""),"",R214-R215)</f>
        <v/>
      </c>
      <c r="S216" s="33">
        <f>IF(OR($B$210="",S215=""),"",S214-S215)</f>
        <v/>
      </c>
      <c r="T216" s="33">
        <f>IF(OR($B$210="",T215=""),"",T214-T215)</f>
        <v/>
      </c>
      <c r="U216" s="33">
        <f>IF(OR($B$210="",U215=""),"",U214-U215)</f>
        <v/>
      </c>
      <c r="V216" s="33">
        <f>IF(OR($B$210="",V215=""),"",V214-V215)</f>
        <v/>
      </c>
      <c r="X216" s="22">
        <f>IF($B216="","",IFERROR(INDEX(Cost_Centers!$E:$E,MATCH($B216,Cost_Centers!$A:$A,0)),"(unknown)"))</f>
        <v/>
      </c>
      <c r="Y216" s="22">
        <f>IF($B216="","",IFERROR(INDEX(Cost_Centers!$D:$D,MATCH($B216,Cost_Centers!$A:$A,0)),"(unknown)"))</f>
        <v/>
      </c>
      <c r="Z216" s="22">
        <f>IF(OR($B216="",$G216&lt;&gt;"Variance vs Budget"),"",ABS(N($V216))+ROW()/1000000000)</f>
        <v/>
      </c>
    </row>
    <row r="217" ht="45" customHeight="1">
      <c r="A217" s="13">
        <f>IF(A$210="","",A$210)</f>
        <v/>
      </c>
      <c r="B217" s="13">
        <f>IF(B$210="","",B$210)</f>
        <v/>
      </c>
      <c r="C217" s="13">
        <f>IF(C$210="","",C$210)</f>
        <v/>
      </c>
      <c r="D217" s="13">
        <f>IF(D$210="","",D$210)</f>
        <v/>
      </c>
      <c r="E217" s="13">
        <f>IF(E$210="","",E$210)</f>
        <v/>
      </c>
      <c r="F217" s="13">
        <f>IF(F$210="","",F$210)</f>
        <v/>
      </c>
      <c r="G217" s="7" t="inlineStr">
        <is>
          <t>Rationale</t>
        </is>
      </c>
      <c r="H217" s="38" t="n"/>
      <c r="I217" s="38" t="n"/>
      <c r="J217" s="38" t="n"/>
      <c r="K217" s="38" t="n"/>
      <c r="L217" s="38" t="n"/>
      <c r="M217" s="38" t="n"/>
      <c r="N217" s="38" t="n"/>
      <c r="O217" s="38" t="n"/>
      <c r="P217" s="38" t="n"/>
      <c r="Q217" s="38" t="n"/>
      <c r="R217" s="38" t="n"/>
      <c r="S217" s="38" t="n"/>
      <c r="T217" s="38" t="n"/>
      <c r="U217" s="38" t="n"/>
      <c r="V217" s="7" t="n"/>
      <c r="X217" s="22">
        <f>IF($B217="","",IFERROR(INDEX(Cost_Centers!$E:$E,MATCH($B217,Cost_Centers!$A:$A,0)),"(unknown)"))</f>
        <v/>
      </c>
      <c r="Y217" s="22">
        <f>IF($B217="","",IFERROR(INDEX(Cost_Centers!$D:$D,MATCH($B217,Cost_Centers!$A:$A,0)),"(unknown)"))</f>
        <v/>
      </c>
      <c r="Z217" s="22">
        <f>IF(OR($B217="",$G217&lt;&gt;"Variance vs Budget"),"",ABS(N($V217))+ROW()/1000000000)</f>
        <v/>
      </c>
    </row>
    <row r="218">
      <c r="A218" s="30">
        <f>IF($D$218="","",LEFT($D$218,FIND("|",$D$218&amp;"|")-1))</f>
        <v/>
      </c>
      <c r="B218" s="31" t="n"/>
      <c r="C218" s="30">
        <f>IF($B$218="","",IFERROR(INDEX(Cost_Centers!$B:$B,MATCH($B$218,Cost_Centers!$A:$A,0)),"(not in master)"))</f>
        <v/>
      </c>
      <c r="D218" s="31" t="n"/>
      <c r="E218" s="30">
        <f>IF($D$218="","",IFERROR(INDEX(Accounts!$D:$D,MATCH($D$218,Accounts!$A:$A,0)),"(not in master)"))</f>
        <v/>
      </c>
      <c r="F218" s="31" t="n"/>
      <c r="G218" s="30" t="inlineStr">
        <is>
          <t>Budget</t>
        </is>
      </c>
      <c r="H218" s="32">
        <f>IF($B$218="","",SUMIFS(Opex_Budget!$O:$O,Opex_Budget!$A:$A,$C$3,Opex_Budget!$E:$E,$B$218,Opex_Budget!$F:$F,$D$218,Opex_Budget!$N:$N,"JPY")*$E$5+SUMIFS(Opex_Budget!$O:$O,Opex_Budget!$A:$A,$C$3,Opex_Budget!$E:$E,$B$218,Opex_Budget!$F:$F,$D$218,Opex_Budget!$N:$N,"USD")*$F$5+SUMIFS(Opex_Budget!$O:$O,Opex_Budget!$A:$A,$C$3,Opex_Budget!$E:$E,$B$218,Opex_Budget!$F:$F,$D$218,Opex_Budget!$N:$N,"EUR")*$G$5+SUMIFS(Opex_Budget!$O:$O,Opex_Budget!$A:$A,$C$3,Opex_Budget!$E:$E,$B$218,Opex_Budget!$F:$F,$D$218,Opex_Budget!$N:$N,"GBP")*$H$5)</f>
        <v/>
      </c>
      <c r="I218" s="32">
        <f>IF($B$218="","",SUMIFS(Opex_Budget!$P:$P,Opex_Budget!$A:$A,$C$3,Opex_Budget!$E:$E,$B$218,Opex_Budget!$F:$F,$D$218,Opex_Budget!$N:$N,"JPY")*$E$5+SUMIFS(Opex_Budget!$P:$P,Opex_Budget!$A:$A,$C$3,Opex_Budget!$E:$E,$B$218,Opex_Budget!$F:$F,$D$218,Opex_Budget!$N:$N,"USD")*$F$5+SUMIFS(Opex_Budget!$P:$P,Opex_Budget!$A:$A,$C$3,Opex_Budget!$E:$E,$B$218,Opex_Budget!$F:$F,$D$218,Opex_Budget!$N:$N,"EUR")*$G$5+SUMIFS(Opex_Budget!$P:$P,Opex_Budget!$A:$A,$C$3,Opex_Budget!$E:$E,$B$218,Opex_Budget!$F:$F,$D$218,Opex_Budget!$N:$N,"GBP")*$H$5)</f>
        <v/>
      </c>
      <c r="J218" s="32">
        <f>IF($B$218="","",SUMIFS(Opex_Budget!$Q:$Q,Opex_Budget!$A:$A,$C$3,Opex_Budget!$E:$E,$B$218,Opex_Budget!$F:$F,$D$218,Opex_Budget!$N:$N,"JPY")*$E$5+SUMIFS(Opex_Budget!$Q:$Q,Opex_Budget!$A:$A,$C$3,Opex_Budget!$E:$E,$B$218,Opex_Budget!$F:$F,$D$218,Opex_Budget!$N:$N,"USD")*$F$5+SUMIFS(Opex_Budget!$Q:$Q,Opex_Budget!$A:$A,$C$3,Opex_Budget!$E:$E,$B$218,Opex_Budget!$F:$F,$D$218,Opex_Budget!$N:$N,"EUR")*$G$5+SUMIFS(Opex_Budget!$Q:$Q,Opex_Budget!$A:$A,$C$3,Opex_Budget!$E:$E,$B$218,Opex_Budget!$F:$F,$D$218,Opex_Budget!$N:$N,"GBP")*$H$5)</f>
        <v/>
      </c>
      <c r="K218" s="32">
        <f>IF($B$218="","",SUMIFS(Opex_Budget!$R:$R,Opex_Budget!$A:$A,$C$3,Opex_Budget!$E:$E,$B$218,Opex_Budget!$F:$F,$D$218,Opex_Budget!$N:$N,"JPY")*$E$5+SUMIFS(Opex_Budget!$R:$R,Opex_Budget!$A:$A,$C$3,Opex_Budget!$E:$E,$B$218,Opex_Budget!$F:$F,$D$218,Opex_Budget!$N:$N,"USD")*$F$5+SUMIFS(Opex_Budget!$R:$R,Opex_Budget!$A:$A,$C$3,Opex_Budget!$E:$E,$B$218,Opex_Budget!$F:$F,$D$218,Opex_Budget!$N:$N,"EUR")*$G$5+SUMIFS(Opex_Budget!$R:$R,Opex_Budget!$A:$A,$C$3,Opex_Budget!$E:$E,$B$218,Opex_Budget!$F:$F,$D$218,Opex_Budget!$N:$N,"GBP")*$H$5)</f>
        <v/>
      </c>
      <c r="L218" s="32">
        <f>IF($B$218="","",SUMIFS(Opex_Budget!$S:$S,Opex_Budget!$A:$A,$C$3,Opex_Budget!$E:$E,$B$218,Opex_Budget!$F:$F,$D$218,Opex_Budget!$N:$N,"JPY")*$E$5+SUMIFS(Opex_Budget!$S:$S,Opex_Budget!$A:$A,$C$3,Opex_Budget!$E:$E,$B$218,Opex_Budget!$F:$F,$D$218,Opex_Budget!$N:$N,"USD")*$F$5+SUMIFS(Opex_Budget!$S:$S,Opex_Budget!$A:$A,$C$3,Opex_Budget!$E:$E,$B$218,Opex_Budget!$F:$F,$D$218,Opex_Budget!$N:$N,"EUR")*$G$5+SUMIFS(Opex_Budget!$S:$S,Opex_Budget!$A:$A,$C$3,Opex_Budget!$E:$E,$B$218,Opex_Budget!$F:$F,$D$218,Opex_Budget!$N:$N,"GBP")*$H$5)</f>
        <v/>
      </c>
      <c r="M218" s="32">
        <f>IF($B$218="","",SUMIFS(Opex_Budget!$T:$T,Opex_Budget!$A:$A,$C$3,Opex_Budget!$E:$E,$B$218,Opex_Budget!$F:$F,$D$218,Opex_Budget!$N:$N,"JPY")*$E$5+SUMIFS(Opex_Budget!$T:$T,Opex_Budget!$A:$A,$C$3,Opex_Budget!$E:$E,$B$218,Opex_Budget!$F:$F,$D$218,Opex_Budget!$N:$N,"USD")*$F$5+SUMIFS(Opex_Budget!$T:$T,Opex_Budget!$A:$A,$C$3,Opex_Budget!$E:$E,$B$218,Opex_Budget!$F:$F,$D$218,Opex_Budget!$N:$N,"EUR")*$G$5+SUMIFS(Opex_Budget!$T:$T,Opex_Budget!$A:$A,$C$3,Opex_Budget!$E:$E,$B$218,Opex_Budget!$F:$F,$D$218,Opex_Budget!$N:$N,"GBP")*$H$5)</f>
        <v/>
      </c>
      <c r="N218" s="32">
        <f>IF($B$218="","",SUMIFS(Opex_Budget!$U:$U,Opex_Budget!$A:$A,$C$3,Opex_Budget!$E:$E,$B$218,Opex_Budget!$F:$F,$D$218,Opex_Budget!$N:$N,"JPY")*$E$5+SUMIFS(Opex_Budget!$U:$U,Opex_Budget!$A:$A,$C$3,Opex_Budget!$E:$E,$B$218,Opex_Budget!$F:$F,$D$218,Opex_Budget!$N:$N,"USD")*$F$5+SUMIFS(Opex_Budget!$U:$U,Opex_Budget!$A:$A,$C$3,Opex_Budget!$E:$E,$B$218,Opex_Budget!$F:$F,$D$218,Opex_Budget!$N:$N,"EUR")*$G$5+SUMIFS(Opex_Budget!$U:$U,Opex_Budget!$A:$A,$C$3,Opex_Budget!$E:$E,$B$218,Opex_Budget!$F:$F,$D$218,Opex_Budget!$N:$N,"GBP")*$H$5)</f>
        <v/>
      </c>
      <c r="O218" s="32">
        <f>IF($B$218="","",SUMIFS(Opex_Budget!$V:$V,Opex_Budget!$A:$A,$C$3,Opex_Budget!$E:$E,$B$218,Opex_Budget!$F:$F,$D$218,Opex_Budget!$N:$N,"JPY")*$E$5+SUMIFS(Opex_Budget!$V:$V,Opex_Budget!$A:$A,$C$3,Opex_Budget!$E:$E,$B$218,Opex_Budget!$F:$F,$D$218,Opex_Budget!$N:$N,"USD")*$F$5+SUMIFS(Opex_Budget!$V:$V,Opex_Budget!$A:$A,$C$3,Opex_Budget!$E:$E,$B$218,Opex_Budget!$F:$F,$D$218,Opex_Budget!$N:$N,"EUR")*$G$5+SUMIFS(Opex_Budget!$V:$V,Opex_Budget!$A:$A,$C$3,Opex_Budget!$E:$E,$B$218,Opex_Budget!$F:$F,$D$218,Opex_Budget!$N:$N,"GBP")*$H$5)</f>
        <v/>
      </c>
      <c r="P218" s="32">
        <f>IF($B$218="","",SUMIFS(Opex_Budget!$W:$W,Opex_Budget!$A:$A,$C$3,Opex_Budget!$E:$E,$B$218,Opex_Budget!$F:$F,$D$218,Opex_Budget!$N:$N,"JPY")*$E$5+SUMIFS(Opex_Budget!$W:$W,Opex_Budget!$A:$A,$C$3,Opex_Budget!$E:$E,$B$218,Opex_Budget!$F:$F,$D$218,Opex_Budget!$N:$N,"USD")*$F$5+SUMIFS(Opex_Budget!$W:$W,Opex_Budget!$A:$A,$C$3,Opex_Budget!$E:$E,$B$218,Opex_Budget!$F:$F,$D$218,Opex_Budget!$N:$N,"EUR")*$G$5+SUMIFS(Opex_Budget!$W:$W,Opex_Budget!$A:$A,$C$3,Opex_Budget!$E:$E,$B$218,Opex_Budget!$F:$F,$D$218,Opex_Budget!$N:$N,"GBP")*$H$5)</f>
        <v/>
      </c>
      <c r="Q218" s="32">
        <f>IF($B$218="","",SUMIFS(Opex_Budget!$X:$X,Opex_Budget!$A:$A,$C$3,Opex_Budget!$E:$E,$B$218,Opex_Budget!$F:$F,$D$218,Opex_Budget!$N:$N,"JPY")*$E$5+SUMIFS(Opex_Budget!$X:$X,Opex_Budget!$A:$A,$C$3,Opex_Budget!$E:$E,$B$218,Opex_Budget!$F:$F,$D$218,Opex_Budget!$N:$N,"USD")*$F$5+SUMIFS(Opex_Budget!$X:$X,Opex_Budget!$A:$A,$C$3,Opex_Budget!$E:$E,$B$218,Opex_Budget!$F:$F,$D$218,Opex_Budget!$N:$N,"EUR")*$G$5+SUMIFS(Opex_Budget!$X:$X,Opex_Budget!$A:$A,$C$3,Opex_Budget!$E:$E,$B$218,Opex_Budget!$F:$F,$D$218,Opex_Budget!$N:$N,"GBP")*$H$5)</f>
        <v/>
      </c>
      <c r="R218" s="32">
        <f>IF($B$218="","",SUMIFS(Opex_Budget!$Y:$Y,Opex_Budget!$A:$A,$C$3,Opex_Budget!$E:$E,$B$218,Opex_Budget!$F:$F,$D$218,Opex_Budget!$N:$N,"JPY")*$E$5+SUMIFS(Opex_Budget!$Y:$Y,Opex_Budget!$A:$A,$C$3,Opex_Budget!$E:$E,$B$218,Opex_Budget!$F:$F,$D$218,Opex_Budget!$N:$N,"USD")*$F$5+SUMIFS(Opex_Budget!$Y:$Y,Opex_Budget!$A:$A,$C$3,Opex_Budget!$E:$E,$B$218,Opex_Budget!$F:$F,$D$218,Opex_Budget!$N:$N,"EUR")*$G$5+SUMIFS(Opex_Budget!$Y:$Y,Opex_Budget!$A:$A,$C$3,Opex_Budget!$E:$E,$B$218,Opex_Budget!$F:$F,$D$218,Opex_Budget!$N:$N,"GBP")*$H$5)</f>
        <v/>
      </c>
      <c r="S218" s="32">
        <f>IF($B$218="","",SUMIFS(Opex_Budget!$Z:$Z,Opex_Budget!$A:$A,$C$3,Opex_Budget!$E:$E,$B$218,Opex_Budget!$F:$F,$D$218,Opex_Budget!$N:$N,"JPY")*$E$5+SUMIFS(Opex_Budget!$Z:$Z,Opex_Budget!$A:$A,$C$3,Opex_Budget!$E:$E,$B$218,Opex_Budget!$F:$F,$D$218,Opex_Budget!$N:$N,"USD")*$F$5+SUMIFS(Opex_Budget!$Z:$Z,Opex_Budget!$A:$A,$C$3,Opex_Budget!$E:$E,$B$218,Opex_Budget!$F:$F,$D$218,Opex_Budget!$N:$N,"EUR")*$G$5+SUMIFS(Opex_Budget!$Z:$Z,Opex_Budget!$A:$A,$C$3,Opex_Budget!$E:$E,$B$218,Opex_Budget!$F:$F,$D$218,Opex_Budget!$N:$N,"GBP")*$H$5)</f>
        <v/>
      </c>
      <c r="T218" s="32">
        <f>IF($B$218="","",SUMIF($H$7:$S$7,"&lt;="&amp;$C$4,$H218:$S218))</f>
        <v/>
      </c>
      <c r="U218" s="32">
        <f>IF($B$218="","",SUMIF($H$7:$S$7,"&gt;"&amp;$C$4,$H218:$S218))</f>
        <v/>
      </c>
      <c r="V218" s="32">
        <f>IF($B$218="","",SUM($H218:$S218))</f>
        <v/>
      </c>
      <c r="X218" s="22">
        <f>IF($B218="","",IFERROR(INDEX(Cost_Centers!$E:$E,MATCH($B218,Cost_Centers!$A:$A,0)),"(unknown)"))</f>
        <v/>
      </c>
      <c r="Y218" s="22">
        <f>IF($B218="","",IFERROR(INDEX(Cost_Centers!$D:$D,MATCH($B218,Cost_Centers!$A:$A,0)),"(unknown)"))</f>
        <v/>
      </c>
      <c r="Z218" s="22">
        <f>IF(OR($B218="",$G218&lt;&gt;"Variance vs Budget"),"",ABS(N($V218))+ROW()/1000000000)</f>
        <v/>
      </c>
    </row>
    <row r="219">
      <c r="A219" s="13">
        <f>IF(A$218="","",A$218)</f>
        <v/>
      </c>
      <c r="B219" s="13">
        <f>IF(B$218="","",B$218)</f>
        <v/>
      </c>
      <c r="C219" s="13">
        <f>IF(C$218="","",C$218)</f>
        <v/>
      </c>
      <c r="D219" s="13">
        <f>IF(D$218="","",D$218)</f>
        <v/>
      </c>
      <c r="E219" s="13">
        <f>IF(E$218="","",E$218)</f>
        <v/>
      </c>
      <c r="F219" s="13">
        <f>IF(F$218="","",F$218)</f>
        <v/>
      </c>
      <c r="G219" s="7" t="inlineStr">
        <is>
          <t>Actual</t>
        </is>
      </c>
      <c r="H219" s="18">
        <f>IF(OR($B$218="",1&gt;$C$4),"",SUMIFS(Actuals!$G:$G,Actuals!$B:$B,$C$3,Actuals!$C:$C,1,Actuals!$D:$D,$B$218,Actuals!$A:$A,LEFT($D$218,FIND("|",$D$218&amp;"|")-1),Actuals!$E:$E,MID($D$218,FIND("|",$D$218&amp;"|")+1,50),Actuals!$F:$F,"JPY")*$E$5+SUMIFS(Actuals!$G:$G,Actuals!$B:$B,$C$3,Actuals!$C:$C,1,Actuals!$D:$D,$B$218,Actuals!$A:$A,LEFT($D$218,FIND("|",$D$218&amp;"|")-1),Actuals!$E:$E,MID($D$218,FIND("|",$D$218&amp;"|")+1,50),Actuals!$F:$F,"USD")*$F$5+SUMIFS(Actuals!$G:$G,Actuals!$B:$B,$C$3,Actuals!$C:$C,1,Actuals!$D:$D,$B$218,Actuals!$A:$A,LEFT($D$218,FIND("|",$D$218&amp;"|")-1),Actuals!$E:$E,MID($D$218,FIND("|",$D$218&amp;"|")+1,50),Actuals!$F:$F,"EUR")*$G$5+SUMIFS(Actuals!$G:$G,Actuals!$B:$B,$C$3,Actuals!$C:$C,1,Actuals!$D:$D,$B$218,Actuals!$A:$A,LEFT($D$218,FIND("|",$D$218&amp;"|")-1),Actuals!$E:$E,MID($D$218,FIND("|",$D$218&amp;"|")+1,50),Actuals!$F:$F,"GBP")*$H$5)</f>
        <v/>
      </c>
      <c r="I219" s="18">
        <f>IF(OR($B$218="",2&gt;$C$4),"",SUMIFS(Actuals!$G:$G,Actuals!$B:$B,$C$3,Actuals!$C:$C,2,Actuals!$D:$D,$B$218,Actuals!$A:$A,LEFT($D$218,FIND("|",$D$218&amp;"|")-1),Actuals!$E:$E,MID($D$218,FIND("|",$D$218&amp;"|")+1,50),Actuals!$F:$F,"JPY")*$E$5+SUMIFS(Actuals!$G:$G,Actuals!$B:$B,$C$3,Actuals!$C:$C,2,Actuals!$D:$D,$B$218,Actuals!$A:$A,LEFT($D$218,FIND("|",$D$218&amp;"|")-1),Actuals!$E:$E,MID($D$218,FIND("|",$D$218&amp;"|")+1,50),Actuals!$F:$F,"USD")*$F$5+SUMIFS(Actuals!$G:$G,Actuals!$B:$B,$C$3,Actuals!$C:$C,2,Actuals!$D:$D,$B$218,Actuals!$A:$A,LEFT($D$218,FIND("|",$D$218&amp;"|")-1),Actuals!$E:$E,MID($D$218,FIND("|",$D$218&amp;"|")+1,50),Actuals!$F:$F,"EUR")*$G$5+SUMIFS(Actuals!$G:$G,Actuals!$B:$B,$C$3,Actuals!$C:$C,2,Actuals!$D:$D,$B$218,Actuals!$A:$A,LEFT($D$218,FIND("|",$D$218&amp;"|")-1),Actuals!$E:$E,MID($D$218,FIND("|",$D$218&amp;"|")+1,50),Actuals!$F:$F,"GBP")*$H$5)</f>
        <v/>
      </c>
      <c r="J219" s="18">
        <f>IF(OR($B$218="",3&gt;$C$4),"",SUMIFS(Actuals!$G:$G,Actuals!$B:$B,$C$3,Actuals!$C:$C,3,Actuals!$D:$D,$B$218,Actuals!$A:$A,LEFT($D$218,FIND("|",$D$218&amp;"|")-1),Actuals!$E:$E,MID($D$218,FIND("|",$D$218&amp;"|")+1,50),Actuals!$F:$F,"JPY")*$E$5+SUMIFS(Actuals!$G:$G,Actuals!$B:$B,$C$3,Actuals!$C:$C,3,Actuals!$D:$D,$B$218,Actuals!$A:$A,LEFT($D$218,FIND("|",$D$218&amp;"|")-1),Actuals!$E:$E,MID($D$218,FIND("|",$D$218&amp;"|")+1,50),Actuals!$F:$F,"USD")*$F$5+SUMIFS(Actuals!$G:$G,Actuals!$B:$B,$C$3,Actuals!$C:$C,3,Actuals!$D:$D,$B$218,Actuals!$A:$A,LEFT($D$218,FIND("|",$D$218&amp;"|")-1),Actuals!$E:$E,MID($D$218,FIND("|",$D$218&amp;"|")+1,50),Actuals!$F:$F,"EUR")*$G$5+SUMIFS(Actuals!$G:$G,Actuals!$B:$B,$C$3,Actuals!$C:$C,3,Actuals!$D:$D,$B$218,Actuals!$A:$A,LEFT($D$218,FIND("|",$D$218&amp;"|")-1),Actuals!$E:$E,MID($D$218,FIND("|",$D$218&amp;"|")+1,50),Actuals!$F:$F,"GBP")*$H$5)</f>
        <v/>
      </c>
      <c r="K219" s="18">
        <f>IF(OR($B$218="",4&gt;$C$4),"",SUMIFS(Actuals!$G:$G,Actuals!$B:$B,$C$3,Actuals!$C:$C,4,Actuals!$D:$D,$B$218,Actuals!$A:$A,LEFT($D$218,FIND("|",$D$218&amp;"|")-1),Actuals!$E:$E,MID($D$218,FIND("|",$D$218&amp;"|")+1,50),Actuals!$F:$F,"JPY")*$E$5+SUMIFS(Actuals!$G:$G,Actuals!$B:$B,$C$3,Actuals!$C:$C,4,Actuals!$D:$D,$B$218,Actuals!$A:$A,LEFT($D$218,FIND("|",$D$218&amp;"|")-1),Actuals!$E:$E,MID($D$218,FIND("|",$D$218&amp;"|")+1,50),Actuals!$F:$F,"USD")*$F$5+SUMIFS(Actuals!$G:$G,Actuals!$B:$B,$C$3,Actuals!$C:$C,4,Actuals!$D:$D,$B$218,Actuals!$A:$A,LEFT($D$218,FIND("|",$D$218&amp;"|")-1),Actuals!$E:$E,MID($D$218,FIND("|",$D$218&amp;"|")+1,50),Actuals!$F:$F,"EUR")*$G$5+SUMIFS(Actuals!$G:$G,Actuals!$B:$B,$C$3,Actuals!$C:$C,4,Actuals!$D:$D,$B$218,Actuals!$A:$A,LEFT($D$218,FIND("|",$D$218&amp;"|")-1),Actuals!$E:$E,MID($D$218,FIND("|",$D$218&amp;"|")+1,50),Actuals!$F:$F,"GBP")*$H$5)</f>
        <v/>
      </c>
      <c r="L219" s="18">
        <f>IF(OR($B$218="",5&gt;$C$4),"",SUMIFS(Actuals!$G:$G,Actuals!$B:$B,$C$3,Actuals!$C:$C,5,Actuals!$D:$D,$B$218,Actuals!$A:$A,LEFT($D$218,FIND("|",$D$218&amp;"|")-1),Actuals!$E:$E,MID($D$218,FIND("|",$D$218&amp;"|")+1,50),Actuals!$F:$F,"JPY")*$E$5+SUMIFS(Actuals!$G:$G,Actuals!$B:$B,$C$3,Actuals!$C:$C,5,Actuals!$D:$D,$B$218,Actuals!$A:$A,LEFT($D$218,FIND("|",$D$218&amp;"|")-1),Actuals!$E:$E,MID($D$218,FIND("|",$D$218&amp;"|")+1,50),Actuals!$F:$F,"USD")*$F$5+SUMIFS(Actuals!$G:$G,Actuals!$B:$B,$C$3,Actuals!$C:$C,5,Actuals!$D:$D,$B$218,Actuals!$A:$A,LEFT($D$218,FIND("|",$D$218&amp;"|")-1),Actuals!$E:$E,MID($D$218,FIND("|",$D$218&amp;"|")+1,50),Actuals!$F:$F,"EUR")*$G$5+SUMIFS(Actuals!$G:$G,Actuals!$B:$B,$C$3,Actuals!$C:$C,5,Actuals!$D:$D,$B$218,Actuals!$A:$A,LEFT($D$218,FIND("|",$D$218&amp;"|")-1),Actuals!$E:$E,MID($D$218,FIND("|",$D$218&amp;"|")+1,50),Actuals!$F:$F,"GBP")*$H$5)</f>
        <v/>
      </c>
      <c r="M219" s="18">
        <f>IF(OR($B$218="",6&gt;$C$4),"",SUMIFS(Actuals!$G:$G,Actuals!$B:$B,$C$3,Actuals!$C:$C,6,Actuals!$D:$D,$B$218,Actuals!$A:$A,LEFT($D$218,FIND("|",$D$218&amp;"|")-1),Actuals!$E:$E,MID($D$218,FIND("|",$D$218&amp;"|")+1,50),Actuals!$F:$F,"JPY")*$E$5+SUMIFS(Actuals!$G:$G,Actuals!$B:$B,$C$3,Actuals!$C:$C,6,Actuals!$D:$D,$B$218,Actuals!$A:$A,LEFT($D$218,FIND("|",$D$218&amp;"|")-1),Actuals!$E:$E,MID($D$218,FIND("|",$D$218&amp;"|")+1,50),Actuals!$F:$F,"USD")*$F$5+SUMIFS(Actuals!$G:$G,Actuals!$B:$B,$C$3,Actuals!$C:$C,6,Actuals!$D:$D,$B$218,Actuals!$A:$A,LEFT($D$218,FIND("|",$D$218&amp;"|")-1),Actuals!$E:$E,MID($D$218,FIND("|",$D$218&amp;"|")+1,50),Actuals!$F:$F,"EUR")*$G$5+SUMIFS(Actuals!$G:$G,Actuals!$B:$B,$C$3,Actuals!$C:$C,6,Actuals!$D:$D,$B$218,Actuals!$A:$A,LEFT($D$218,FIND("|",$D$218&amp;"|")-1),Actuals!$E:$E,MID($D$218,FIND("|",$D$218&amp;"|")+1,50),Actuals!$F:$F,"GBP")*$H$5)</f>
        <v/>
      </c>
      <c r="N219" s="18">
        <f>IF(OR($B$218="",7&gt;$C$4),"",SUMIFS(Actuals!$G:$G,Actuals!$B:$B,$C$3,Actuals!$C:$C,7,Actuals!$D:$D,$B$218,Actuals!$A:$A,LEFT($D$218,FIND("|",$D$218&amp;"|")-1),Actuals!$E:$E,MID($D$218,FIND("|",$D$218&amp;"|")+1,50),Actuals!$F:$F,"JPY")*$E$5+SUMIFS(Actuals!$G:$G,Actuals!$B:$B,$C$3,Actuals!$C:$C,7,Actuals!$D:$D,$B$218,Actuals!$A:$A,LEFT($D$218,FIND("|",$D$218&amp;"|")-1),Actuals!$E:$E,MID($D$218,FIND("|",$D$218&amp;"|")+1,50),Actuals!$F:$F,"USD")*$F$5+SUMIFS(Actuals!$G:$G,Actuals!$B:$B,$C$3,Actuals!$C:$C,7,Actuals!$D:$D,$B$218,Actuals!$A:$A,LEFT($D$218,FIND("|",$D$218&amp;"|")-1),Actuals!$E:$E,MID($D$218,FIND("|",$D$218&amp;"|")+1,50),Actuals!$F:$F,"EUR")*$G$5+SUMIFS(Actuals!$G:$G,Actuals!$B:$B,$C$3,Actuals!$C:$C,7,Actuals!$D:$D,$B$218,Actuals!$A:$A,LEFT($D$218,FIND("|",$D$218&amp;"|")-1),Actuals!$E:$E,MID($D$218,FIND("|",$D$218&amp;"|")+1,50),Actuals!$F:$F,"GBP")*$H$5)</f>
        <v/>
      </c>
      <c r="O219" s="18">
        <f>IF(OR($B$218="",8&gt;$C$4),"",SUMIFS(Actuals!$G:$G,Actuals!$B:$B,$C$3,Actuals!$C:$C,8,Actuals!$D:$D,$B$218,Actuals!$A:$A,LEFT($D$218,FIND("|",$D$218&amp;"|")-1),Actuals!$E:$E,MID($D$218,FIND("|",$D$218&amp;"|")+1,50),Actuals!$F:$F,"JPY")*$E$5+SUMIFS(Actuals!$G:$G,Actuals!$B:$B,$C$3,Actuals!$C:$C,8,Actuals!$D:$D,$B$218,Actuals!$A:$A,LEFT($D$218,FIND("|",$D$218&amp;"|")-1),Actuals!$E:$E,MID($D$218,FIND("|",$D$218&amp;"|")+1,50),Actuals!$F:$F,"USD")*$F$5+SUMIFS(Actuals!$G:$G,Actuals!$B:$B,$C$3,Actuals!$C:$C,8,Actuals!$D:$D,$B$218,Actuals!$A:$A,LEFT($D$218,FIND("|",$D$218&amp;"|")-1),Actuals!$E:$E,MID($D$218,FIND("|",$D$218&amp;"|")+1,50),Actuals!$F:$F,"EUR")*$G$5+SUMIFS(Actuals!$G:$G,Actuals!$B:$B,$C$3,Actuals!$C:$C,8,Actuals!$D:$D,$B$218,Actuals!$A:$A,LEFT($D$218,FIND("|",$D$218&amp;"|")-1),Actuals!$E:$E,MID($D$218,FIND("|",$D$218&amp;"|")+1,50),Actuals!$F:$F,"GBP")*$H$5)</f>
        <v/>
      </c>
      <c r="P219" s="18">
        <f>IF(OR($B$218="",9&gt;$C$4),"",SUMIFS(Actuals!$G:$G,Actuals!$B:$B,$C$3,Actuals!$C:$C,9,Actuals!$D:$D,$B$218,Actuals!$A:$A,LEFT($D$218,FIND("|",$D$218&amp;"|")-1),Actuals!$E:$E,MID($D$218,FIND("|",$D$218&amp;"|")+1,50),Actuals!$F:$F,"JPY")*$E$5+SUMIFS(Actuals!$G:$G,Actuals!$B:$B,$C$3,Actuals!$C:$C,9,Actuals!$D:$D,$B$218,Actuals!$A:$A,LEFT($D$218,FIND("|",$D$218&amp;"|")-1),Actuals!$E:$E,MID($D$218,FIND("|",$D$218&amp;"|")+1,50),Actuals!$F:$F,"USD")*$F$5+SUMIFS(Actuals!$G:$G,Actuals!$B:$B,$C$3,Actuals!$C:$C,9,Actuals!$D:$D,$B$218,Actuals!$A:$A,LEFT($D$218,FIND("|",$D$218&amp;"|")-1),Actuals!$E:$E,MID($D$218,FIND("|",$D$218&amp;"|")+1,50),Actuals!$F:$F,"EUR")*$G$5+SUMIFS(Actuals!$G:$G,Actuals!$B:$B,$C$3,Actuals!$C:$C,9,Actuals!$D:$D,$B$218,Actuals!$A:$A,LEFT($D$218,FIND("|",$D$218&amp;"|")-1),Actuals!$E:$E,MID($D$218,FIND("|",$D$218&amp;"|")+1,50),Actuals!$F:$F,"GBP")*$H$5)</f>
        <v/>
      </c>
      <c r="Q219" s="18">
        <f>IF(OR($B$218="",10&gt;$C$4),"",SUMIFS(Actuals!$G:$G,Actuals!$B:$B,$C$3,Actuals!$C:$C,10,Actuals!$D:$D,$B$218,Actuals!$A:$A,LEFT($D$218,FIND("|",$D$218&amp;"|")-1),Actuals!$E:$E,MID($D$218,FIND("|",$D$218&amp;"|")+1,50),Actuals!$F:$F,"JPY")*$E$5+SUMIFS(Actuals!$G:$G,Actuals!$B:$B,$C$3,Actuals!$C:$C,10,Actuals!$D:$D,$B$218,Actuals!$A:$A,LEFT($D$218,FIND("|",$D$218&amp;"|")-1),Actuals!$E:$E,MID($D$218,FIND("|",$D$218&amp;"|")+1,50),Actuals!$F:$F,"USD")*$F$5+SUMIFS(Actuals!$G:$G,Actuals!$B:$B,$C$3,Actuals!$C:$C,10,Actuals!$D:$D,$B$218,Actuals!$A:$A,LEFT($D$218,FIND("|",$D$218&amp;"|")-1),Actuals!$E:$E,MID($D$218,FIND("|",$D$218&amp;"|")+1,50),Actuals!$F:$F,"EUR")*$G$5+SUMIFS(Actuals!$G:$G,Actuals!$B:$B,$C$3,Actuals!$C:$C,10,Actuals!$D:$D,$B$218,Actuals!$A:$A,LEFT($D$218,FIND("|",$D$218&amp;"|")-1),Actuals!$E:$E,MID($D$218,FIND("|",$D$218&amp;"|")+1,50),Actuals!$F:$F,"GBP")*$H$5)</f>
        <v/>
      </c>
      <c r="R219" s="18">
        <f>IF(OR($B$218="",11&gt;$C$4),"",SUMIFS(Actuals!$G:$G,Actuals!$B:$B,$C$3,Actuals!$C:$C,11,Actuals!$D:$D,$B$218,Actuals!$A:$A,LEFT($D$218,FIND("|",$D$218&amp;"|")-1),Actuals!$E:$E,MID($D$218,FIND("|",$D$218&amp;"|")+1,50),Actuals!$F:$F,"JPY")*$E$5+SUMIFS(Actuals!$G:$G,Actuals!$B:$B,$C$3,Actuals!$C:$C,11,Actuals!$D:$D,$B$218,Actuals!$A:$A,LEFT($D$218,FIND("|",$D$218&amp;"|")-1),Actuals!$E:$E,MID($D$218,FIND("|",$D$218&amp;"|")+1,50),Actuals!$F:$F,"USD")*$F$5+SUMIFS(Actuals!$G:$G,Actuals!$B:$B,$C$3,Actuals!$C:$C,11,Actuals!$D:$D,$B$218,Actuals!$A:$A,LEFT($D$218,FIND("|",$D$218&amp;"|")-1),Actuals!$E:$E,MID($D$218,FIND("|",$D$218&amp;"|")+1,50),Actuals!$F:$F,"EUR")*$G$5+SUMIFS(Actuals!$G:$G,Actuals!$B:$B,$C$3,Actuals!$C:$C,11,Actuals!$D:$D,$B$218,Actuals!$A:$A,LEFT($D$218,FIND("|",$D$218&amp;"|")-1),Actuals!$E:$E,MID($D$218,FIND("|",$D$218&amp;"|")+1,50),Actuals!$F:$F,"GBP")*$H$5)</f>
        <v/>
      </c>
      <c r="S219" s="18">
        <f>IF(OR($B$218="",12&gt;$C$4),"",SUMIFS(Actuals!$G:$G,Actuals!$B:$B,$C$3,Actuals!$C:$C,12,Actuals!$D:$D,$B$218,Actuals!$A:$A,LEFT($D$218,FIND("|",$D$218&amp;"|")-1),Actuals!$E:$E,MID($D$218,FIND("|",$D$218&amp;"|")+1,50),Actuals!$F:$F,"JPY")*$E$5+SUMIFS(Actuals!$G:$G,Actuals!$B:$B,$C$3,Actuals!$C:$C,12,Actuals!$D:$D,$B$218,Actuals!$A:$A,LEFT($D$218,FIND("|",$D$218&amp;"|")-1),Actuals!$E:$E,MID($D$218,FIND("|",$D$218&amp;"|")+1,50),Actuals!$F:$F,"USD")*$F$5+SUMIFS(Actuals!$G:$G,Actuals!$B:$B,$C$3,Actuals!$C:$C,12,Actuals!$D:$D,$B$218,Actuals!$A:$A,LEFT($D$218,FIND("|",$D$218&amp;"|")-1),Actuals!$E:$E,MID($D$218,FIND("|",$D$218&amp;"|")+1,50),Actuals!$F:$F,"EUR")*$G$5+SUMIFS(Actuals!$G:$G,Actuals!$B:$B,$C$3,Actuals!$C:$C,12,Actuals!$D:$D,$B$218,Actuals!$A:$A,LEFT($D$218,FIND("|",$D$218&amp;"|")-1),Actuals!$E:$E,MID($D$218,FIND("|",$D$218&amp;"|")+1,50),Actuals!$F:$F,"GBP")*$H$5)</f>
        <v/>
      </c>
      <c r="T219" s="18">
        <f>IF($B$218="","",SUMIF($H$7:$S$7,"&lt;="&amp;$C$4,$H219:$S219))</f>
        <v/>
      </c>
      <c r="U219" s="18" t="n"/>
      <c r="V219" s="18" t="n"/>
      <c r="X219" s="22">
        <f>IF($B219="","",IFERROR(INDEX(Cost_Centers!$E:$E,MATCH($B219,Cost_Centers!$A:$A,0)),"(unknown)"))</f>
        <v/>
      </c>
      <c r="Y219" s="22">
        <f>IF($B219="","",IFERROR(INDEX(Cost_Centers!$D:$D,MATCH($B219,Cost_Centers!$A:$A,0)),"(unknown)"))</f>
        <v/>
      </c>
      <c r="Z219" s="22">
        <f>IF(OR($B219="",$G219&lt;&gt;"Variance vs Budget"),"",ABS(N($V219))+ROW()/1000000000)</f>
        <v/>
      </c>
    </row>
    <row r="220">
      <c r="A220" s="13">
        <f>IF(A$218="","",A$218)</f>
        <v/>
      </c>
      <c r="B220" s="13">
        <f>IF(B$218="","",B$218)</f>
        <v/>
      </c>
      <c r="C220" s="13">
        <f>IF(C$218="","",C$218)</f>
        <v/>
      </c>
      <c r="D220" s="13">
        <f>IF(D$218="","",D$218)</f>
        <v/>
      </c>
      <c r="E220" s="13">
        <f>IF(E$218="","",E$218)</f>
        <v/>
      </c>
      <c r="F220" s="13">
        <f>IF(F$218="","",F$218)</f>
        <v/>
      </c>
      <c r="G220" s="6" t="inlineStr">
        <is>
          <t>Variance vs Budget</t>
        </is>
      </c>
      <c r="H220" s="33">
        <f>IF(OR($B$218="",1&gt;$C$4),"",N(H219)-H218)</f>
        <v/>
      </c>
      <c r="I220" s="33">
        <f>IF(OR($B$218="",2&gt;$C$4),"",N(I219)-I218)</f>
        <v/>
      </c>
      <c r="J220" s="33">
        <f>IF(OR($B$218="",3&gt;$C$4),"",N(J219)-J218)</f>
        <v/>
      </c>
      <c r="K220" s="33">
        <f>IF(OR($B$218="",4&gt;$C$4),"",N(K219)-K218)</f>
        <v/>
      </c>
      <c r="L220" s="33">
        <f>IF(OR($B$218="",5&gt;$C$4),"",N(L219)-L218)</f>
        <v/>
      </c>
      <c r="M220" s="33">
        <f>IF(OR($B$218="",6&gt;$C$4),"",N(M219)-M218)</f>
        <v/>
      </c>
      <c r="N220" s="33">
        <f>IF(OR($B$218="",7&gt;$C$4),"",N(N219)-N218)</f>
        <v/>
      </c>
      <c r="O220" s="33">
        <f>IF(OR($B$218="",8&gt;$C$4),"",N(O219)-O218)</f>
        <v/>
      </c>
      <c r="P220" s="33">
        <f>IF(OR($B$218="",9&gt;$C$4),"",N(P219)-P218)</f>
        <v/>
      </c>
      <c r="Q220" s="33">
        <f>IF(OR($B$218="",10&gt;$C$4),"",N(Q219)-Q218)</f>
        <v/>
      </c>
      <c r="R220" s="33">
        <f>IF(OR($B$218="",11&gt;$C$4),"",N(R219)-R218)</f>
        <v/>
      </c>
      <c r="S220" s="33">
        <f>IF(OR($B$218="",12&gt;$C$4),"",N(S219)-S218)</f>
        <v/>
      </c>
      <c r="T220" s="33">
        <f>IF($B$218="","",T219-T218)</f>
        <v/>
      </c>
      <c r="U220" s="33">
        <f>IF($B$218="","",U222-U218)</f>
        <v/>
      </c>
      <c r="V220" s="33">
        <f>IF($B$218="","",V222-V218)</f>
        <v/>
      </c>
      <c r="X220" s="22">
        <f>IF($B220="","",IFERROR(INDEX(Cost_Centers!$E:$E,MATCH($B220,Cost_Centers!$A:$A,0)),"(unknown)"))</f>
        <v/>
      </c>
      <c r="Y220" s="22">
        <f>IF($B220="","",IFERROR(INDEX(Cost_Centers!$D:$D,MATCH($B220,Cost_Centers!$A:$A,0)),"(unknown)"))</f>
        <v/>
      </c>
      <c r="Z220" s="22">
        <f>IF(OR($B220="",$G220&lt;&gt;"Variance vs Budget"),"",ABS(N($V220))+ROW()/1000000000)</f>
        <v/>
      </c>
    </row>
    <row r="221">
      <c r="A221" s="13">
        <f>IF(A$218="","",A$218)</f>
        <v/>
      </c>
      <c r="B221" s="13">
        <f>IF(B$218="","",B$218)</f>
        <v/>
      </c>
      <c r="C221" s="13">
        <f>IF(C$218="","",C$218)</f>
        <v/>
      </c>
      <c r="D221" s="13">
        <f>IF(D$218="","",D$218)</f>
        <v/>
      </c>
      <c r="E221" s="13">
        <f>IF(E$218="","",E$218)</f>
        <v/>
      </c>
      <c r="F221" s="13">
        <f>IF(F$218="","",F$218)</f>
        <v/>
      </c>
      <c r="G221" s="7" t="inlineStr">
        <is>
          <t>Forecast (input)</t>
        </is>
      </c>
      <c r="H221" s="34" t="n"/>
      <c r="I221" s="34" t="n"/>
      <c r="J221" s="34" t="n"/>
      <c r="K221" s="34" t="n"/>
      <c r="L221" s="34" t="n"/>
      <c r="M221" s="34" t="n"/>
      <c r="N221" s="34" t="n"/>
      <c r="O221" s="34" t="n"/>
      <c r="P221" s="34" t="n"/>
      <c r="Q221" s="34" t="n"/>
      <c r="R221" s="34" t="n"/>
      <c r="S221" s="34" t="n"/>
      <c r="T221" s="18" t="n"/>
      <c r="U221" s="18" t="n"/>
      <c r="V221" s="18" t="n"/>
      <c r="X221" s="22">
        <f>IF($B221="","",IFERROR(INDEX(Cost_Centers!$E:$E,MATCH($B221,Cost_Centers!$A:$A,0)),"(unknown)"))</f>
        <v/>
      </c>
      <c r="Y221" s="22">
        <f>IF($B221="","",IFERROR(INDEX(Cost_Centers!$D:$D,MATCH($B221,Cost_Centers!$A:$A,0)),"(unknown)"))</f>
        <v/>
      </c>
      <c r="Z221" s="22">
        <f>IF(OR($B221="",$G221&lt;&gt;"Variance vs Budget"),"",ABS(N($V221))+ROW()/1000000000)</f>
        <v/>
      </c>
    </row>
    <row r="222">
      <c r="A222" s="13">
        <f>IF(A$218="","",A$218)</f>
        <v/>
      </c>
      <c r="B222" s="13">
        <f>IF(B$218="","",B$218)</f>
        <v/>
      </c>
      <c r="C222" s="13">
        <f>IF(C$218="","",C$218)</f>
        <v/>
      </c>
      <c r="D222" s="13">
        <f>IF(D$218="","",D$218)</f>
        <v/>
      </c>
      <c r="E222" s="13">
        <f>IF(E$218="","",E$218)</f>
        <v/>
      </c>
      <c r="F222" s="13">
        <f>IF(F$218="","",F$218)</f>
        <v/>
      </c>
      <c r="G222" s="35" t="inlineStr">
        <is>
          <t>Actual + Forecast</t>
        </is>
      </c>
      <c r="H222" s="18">
        <f>IF($B$218="","",IF(1&lt;=$C$4,N(H219),IF(H221="",H218,H221)))</f>
        <v/>
      </c>
      <c r="I222" s="18">
        <f>IF($B$218="","",IF(2&lt;=$C$4,N(I219),IF(I221="",I218,I221)))</f>
        <v/>
      </c>
      <c r="J222" s="18">
        <f>IF($B$218="","",IF(3&lt;=$C$4,N(J219),IF(J221="",J218,J221)))</f>
        <v/>
      </c>
      <c r="K222" s="18">
        <f>IF($B$218="","",IF(4&lt;=$C$4,N(K219),IF(K221="",K218,K221)))</f>
        <v/>
      </c>
      <c r="L222" s="18">
        <f>IF($B$218="","",IF(5&lt;=$C$4,N(L219),IF(L221="",L218,L221)))</f>
        <v/>
      </c>
      <c r="M222" s="18">
        <f>IF($B$218="","",IF(6&lt;=$C$4,N(M219),IF(M221="",M218,M221)))</f>
        <v/>
      </c>
      <c r="N222" s="18">
        <f>IF($B$218="","",IF(7&lt;=$C$4,N(N219),IF(N221="",N218,N221)))</f>
        <v/>
      </c>
      <c r="O222" s="18">
        <f>IF($B$218="","",IF(8&lt;=$C$4,N(O219),IF(O221="",O218,O221)))</f>
        <v/>
      </c>
      <c r="P222" s="18">
        <f>IF($B$218="","",IF(9&lt;=$C$4,N(P219),IF(P221="",P218,P221)))</f>
        <v/>
      </c>
      <c r="Q222" s="18">
        <f>IF($B$218="","",IF(10&lt;=$C$4,N(Q219),IF(Q221="",Q218,Q221)))</f>
        <v/>
      </c>
      <c r="R222" s="18">
        <f>IF($B$218="","",IF(11&lt;=$C$4,N(R219),IF(R221="",R218,R221)))</f>
        <v/>
      </c>
      <c r="S222" s="18">
        <f>IF($B$218="","",IF(12&lt;=$C$4,N(S219),IF(S221="",S218,S221)))</f>
        <v/>
      </c>
      <c r="T222" s="18">
        <f>IF($B$218="","",SUMIF($H$7:$S$7,"&lt;="&amp;$C$4,$H222:$S222))</f>
        <v/>
      </c>
      <c r="U222" s="18">
        <f>IF($B$218="","",SUMIF($H$7:$S$7,"&gt;"&amp;$C$4,$H222:$S222))</f>
        <v/>
      </c>
      <c r="V222" s="18">
        <f>IF($B$218="","",SUM($H222:$S222))</f>
        <v/>
      </c>
      <c r="X222" s="22">
        <f>IF($B222="","",IFERROR(INDEX(Cost_Centers!$E:$E,MATCH($B222,Cost_Centers!$A:$A,0)),"(unknown)"))</f>
        <v/>
      </c>
      <c r="Y222" s="22">
        <f>IF($B222="","",IFERROR(INDEX(Cost_Centers!$D:$D,MATCH($B222,Cost_Centers!$A:$A,0)),"(unknown)"))</f>
        <v/>
      </c>
      <c r="Z222" s="22">
        <f>IF(OR($B222="",$G222&lt;&gt;"Variance vs Budget"),"",ABS(N($V222))+ROW()/1000000000)</f>
        <v/>
      </c>
    </row>
    <row r="223">
      <c r="A223" s="13">
        <f>IF(A$218="","",A$218)</f>
        <v/>
      </c>
      <c r="B223" s="13">
        <f>IF(B$218="","",B$218)</f>
        <v/>
      </c>
      <c r="C223" s="13">
        <f>IF(C$218="","",C$218)</f>
        <v/>
      </c>
      <c r="D223" s="13">
        <f>IF(D$218="","",D$218)</f>
        <v/>
      </c>
      <c r="E223" s="13">
        <f>IF(E$218="","",E$218)</f>
        <v/>
      </c>
      <c r="F223" s="13">
        <f>IF(F$218="","",F$218)</f>
        <v/>
      </c>
      <c r="G223" s="36" t="inlineStr">
        <is>
          <t>Prior Month Forecast</t>
        </is>
      </c>
      <c r="H223" s="37">
        <f>IF($B$218="","",IF(COUNTIFS(Prior_Forecast!$A:$A,$B$218,Prior_Forecast!$B:$B,$D$218)&gt;0,SUMIFS(Prior_Forecast!$C:$C,Prior_Forecast!$A:$A,$B$218,Prior_Forecast!$B:$B,$D$218),""))</f>
        <v/>
      </c>
      <c r="I223" s="37">
        <f>IF($B$218="","",IF(COUNTIFS(Prior_Forecast!$A:$A,$B$218,Prior_Forecast!$B:$B,$D$218)&gt;0,SUMIFS(Prior_Forecast!$D:$D,Prior_Forecast!$A:$A,$B$218,Prior_Forecast!$B:$B,$D$218),""))</f>
        <v/>
      </c>
      <c r="J223" s="37">
        <f>IF($B$218="","",IF(COUNTIFS(Prior_Forecast!$A:$A,$B$218,Prior_Forecast!$B:$B,$D$218)&gt;0,SUMIFS(Prior_Forecast!$E:$E,Prior_Forecast!$A:$A,$B$218,Prior_Forecast!$B:$B,$D$218),""))</f>
        <v/>
      </c>
      <c r="K223" s="37">
        <f>IF($B$218="","",IF(COUNTIFS(Prior_Forecast!$A:$A,$B$218,Prior_Forecast!$B:$B,$D$218)&gt;0,SUMIFS(Prior_Forecast!$F:$F,Prior_Forecast!$A:$A,$B$218,Prior_Forecast!$B:$B,$D$218),""))</f>
        <v/>
      </c>
      <c r="L223" s="37">
        <f>IF($B$218="","",IF(COUNTIFS(Prior_Forecast!$A:$A,$B$218,Prior_Forecast!$B:$B,$D$218)&gt;0,SUMIFS(Prior_Forecast!$G:$G,Prior_Forecast!$A:$A,$B$218,Prior_Forecast!$B:$B,$D$218),""))</f>
        <v/>
      </c>
      <c r="M223" s="37">
        <f>IF($B$218="","",IF(COUNTIFS(Prior_Forecast!$A:$A,$B$218,Prior_Forecast!$B:$B,$D$218)&gt;0,SUMIFS(Prior_Forecast!$H:$H,Prior_Forecast!$A:$A,$B$218,Prior_Forecast!$B:$B,$D$218),""))</f>
        <v/>
      </c>
      <c r="N223" s="37">
        <f>IF($B$218="","",IF(COUNTIFS(Prior_Forecast!$A:$A,$B$218,Prior_Forecast!$B:$B,$D$218)&gt;0,SUMIFS(Prior_Forecast!$I:$I,Prior_Forecast!$A:$A,$B$218,Prior_Forecast!$B:$B,$D$218),""))</f>
        <v/>
      </c>
      <c r="O223" s="37">
        <f>IF($B$218="","",IF(COUNTIFS(Prior_Forecast!$A:$A,$B$218,Prior_Forecast!$B:$B,$D$218)&gt;0,SUMIFS(Prior_Forecast!$J:$J,Prior_Forecast!$A:$A,$B$218,Prior_Forecast!$B:$B,$D$218),""))</f>
        <v/>
      </c>
      <c r="P223" s="37">
        <f>IF($B$218="","",IF(COUNTIFS(Prior_Forecast!$A:$A,$B$218,Prior_Forecast!$B:$B,$D$218)&gt;0,SUMIFS(Prior_Forecast!$K:$K,Prior_Forecast!$A:$A,$B$218,Prior_Forecast!$B:$B,$D$218),""))</f>
        <v/>
      </c>
      <c r="Q223" s="37">
        <f>IF($B$218="","",IF(COUNTIFS(Prior_Forecast!$A:$A,$B$218,Prior_Forecast!$B:$B,$D$218)&gt;0,SUMIFS(Prior_Forecast!$L:$L,Prior_Forecast!$A:$A,$B$218,Prior_Forecast!$B:$B,$D$218),""))</f>
        <v/>
      </c>
      <c r="R223" s="37">
        <f>IF($B$218="","",IF(COUNTIFS(Prior_Forecast!$A:$A,$B$218,Prior_Forecast!$B:$B,$D$218)&gt;0,SUMIFS(Prior_Forecast!$M:$M,Prior_Forecast!$A:$A,$B$218,Prior_Forecast!$B:$B,$D$218),""))</f>
        <v/>
      </c>
      <c r="S223" s="37">
        <f>IF($B$218="","",IF(COUNTIFS(Prior_Forecast!$A:$A,$B$218,Prior_Forecast!$B:$B,$D$218)&gt;0,SUMIFS(Prior_Forecast!$N:$N,Prior_Forecast!$A:$A,$B$218,Prior_Forecast!$B:$B,$D$218),""))</f>
        <v/>
      </c>
      <c r="T223" s="37">
        <f>IF($B$218="","",IF(COUNTIFS(Prior_Forecast!$A:$A,$B$218,Prior_Forecast!$B:$B,$D$218)&gt;0,SUMIFS(Prior_Forecast!$O:$O,Prior_Forecast!$A:$A,$B$218,Prior_Forecast!$B:$B,$D$218),""))</f>
        <v/>
      </c>
      <c r="U223" s="37">
        <f>IF($B$218="","",IF(COUNTIFS(Prior_Forecast!$A:$A,$B$218,Prior_Forecast!$B:$B,$D$218)&gt;0,SUMIFS(Prior_Forecast!$P:$P,Prior_Forecast!$A:$A,$B$218,Prior_Forecast!$B:$B,$D$218),""))</f>
        <v/>
      </c>
      <c r="V223" s="37">
        <f>IF($B$218="","",IF(COUNTIFS(Prior_Forecast!$A:$A,$B$218,Prior_Forecast!$B:$B,$D$218)&gt;0,SUMIFS(Prior_Forecast!$Q:$Q,Prior_Forecast!$A:$A,$B$218,Prior_Forecast!$B:$B,$D$218),""))</f>
        <v/>
      </c>
      <c r="X223" s="22">
        <f>IF($B223="","",IFERROR(INDEX(Cost_Centers!$E:$E,MATCH($B223,Cost_Centers!$A:$A,0)),"(unknown)"))</f>
        <v/>
      </c>
      <c r="Y223" s="22">
        <f>IF($B223="","",IFERROR(INDEX(Cost_Centers!$D:$D,MATCH($B223,Cost_Centers!$A:$A,0)),"(unknown)"))</f>
        <v/>
      </c>
      <c r="Z223" s="22">
        <f>IF(OR($B223="",$G223&lt;&gt;"Variance vs Budget"),"",ABS(N($V223))+ROW()/1000000000)</f>
        <v/>
      </c>
    </row>
    <row r="224">
      <c r="A224" s="13">
        <f>IF(A$218="","",A$218)</f>
        <v/>
      </c>
      <c r="B224" s="13">
        <f>IF(B$218="","",B$218)</f>
        <v/>
      </c>
      <c r="C224" s="13">
        <f>IF(C$218="","",C$218)</f>
        <v/>
      </c>
      <c r="D224" s="13">
        <f>IF(D$218="","",D$218)</f>
        <v/>
      </c>
      <c r="E224" s="13">
        <f>IF(E$218="","",E$218)</f>
        <v/>
      </c>
      <c r="F224" s="13">
        <f>IF(F$218="","",F$218)</f>
        <v/>
      </c>
      <c r="G224" s="6" t="inlineStr">
        <is>
          <t>Variance vs Prior Month</t>
        </is>
      </c>
      <c r="H224" s="33">
        <f>IF(OR($B$218="",H223=""),"",H222-H223)</f>
        <v/>
      </c>
      <c r="I224" s="33">
        <f>IF(OR($B$218="",I223=""),"",I222-I223)</f>
        <v/>
      </c>
      <c r="J224" s="33">
        <f>IF(OR($B$218="",J223=""),"",J222-J223)</f>
        <v/>
      </c>
      <c r="K224" s="33">
        <f>IF(OR($B$218="",K223=""),"",K222-K223)</f>
        <v/>
      </c>
      <c r="L224" s="33">
        <f>IF(OR($B$218="",L223=""),"",L222-L223)</f>
        <v/>
      </c>
      <c r="M224" s="33">
        <f>IF(OR($B$218="",M223=""),"",M222-M223)</f>
        <v/>
      </c>
      <c r="N224" s="33">
        <f>IF(OR($B$218="",N223=""),"",N222-N223)</f>
        <v/>
      </c>
      <c r="O224" s="33">
        <f>IF(OR($B$218="",O223=""),"",O222-O223)</f>
        <v/>
      </c>
      <c r="P224" s="33">
        <f>IF(OR($B$218="",P223=""),"",P222-P223)</f>
        <v/>
      </c>
      <c r="Q224" s="33">
        <f>IF(OR($B$218="",Q223=""),"",Q222-Q223)</f>
        <v/>
      </c>
      <c r="R224" s="33">
        <f>IF(OR($B$218="",R223=""),"",R222-R223)</f>
        <v/>
      </c>
      <c r="S224" s="33">
        <f>IF(OR($B$218="",S223=""),"",S222-S223)</f>
        <v/>
      </c>
      <c r="T224" s="33">
        <f>IF(OR($B$218="",T223=""),"",T222-T223)</f>
        <v/>
      </c>
      <c r="U224" s="33">
        <f>IF(OR($B$218="",U223=""),"",U222-U223)</f>
        <v/>
      </c>
      <c r="V224" s="33">
        <f>IF(OR($B$218="",V223=""),"",V222-V223)</f>
        <v/>
      </c>
      <c r="X224" s="22">
        <f>IF($B224="","",IFERROR(INDEX(Cost_Centers!$E:$E,MATCH($B224,Cost_Centers!$A:$A,0)),"(unknown)"))</f>
        <v/>
      </c>
      <c r="Y224" s="22">
        <f>IF($B224="","",IFERROR(INDEX(Cost_Centers!$D:$D,MATCH($B224,Cost_Centers!$A:$A,0)),"(unknown)"))</f>
        <v/>
      </c>
      <c r="Z224" s="22">
        <f>IF(OR($B224="",$G224&lt;&gt;"Variance vs Budget"),"",ABS(N($V224))+ROW()/1000000000)</f>
        <v/>
      </c>
    </row>
    <row r="225" ht="45" customHeight="1">
      <c r="A225" s="13">
        <f>IF(A$218="","",A$218)</f>
        <v/>
      </c>
      <c r="B225" s="13">
        <f>IF(B$218="","",B$218)</f>
        <v/>
      </c>
      <c r="C225" s="13">
        <f>IF(C$218="","",C$218)</f>
        <v/>
      </c>
      <c r="D225" s="13">
        <f>IF(D$218="","",D$218)</f>
        <v/>
      </c>
      <c r="E225" s="13">
        <f>IF(E$218="","",E$218)</f>
        <v/>
      </c>
      <c r="F225" s="13">
        <f>IF(F$218="","",F$218)</f>
        <v/>
      </c>
      <c r="G225" s="7" t="inlineStr">
        <is>
          <t>Rationale</t>
        </is>
      </c>
      <c r="H225" s="38" t="n"/>
      <c r="I225" s="38" t="n"/>
      <c r="J225" s="38" t="n"/>
      <c r="K225" s="38" t="n"/>
      <c r="L225" s="38" t="n"/>
      <c r="M225" s="38" t="n"/>
      <c r="N225" s="38" t="n"/>
      <c r="O225" s="38" t="n"/>
      <c r="P225" s="38" t="n"/>
      <c r="Q225" s="38" t="n"/>
      <c r="R225" s="38" t="n"/>
      <c r="S225" s="38" t="n"/>
      <c r="T225" s="38" t="n"/>
      <c r="U225" s="38" t="n"/>
      <c r="V225" s="7" t="n"/>
      <c r="X225" s="22">
        <f>IF($B225="","",IFERROR(INDEX(Cost_Centers!$E:$E,MATCH($B225,Cost_Centers!$A:$A,0)),"(unknown)"))</f>
        <v/>
      </c>
      <c r="Y225" s="22">
        <f>IF($B225="","",IFERROR(INDEX(Cost_Centers!$D:$D,MATCH($B225,Cost_Centers!$A:$A,0)),"(unknown)"))</f>
        <v/>
      </c>
      <c r="Z225" s="22">
        <f>IF(OR($B225="",$G225&lt;&gt;"Variance vs Budget"),"",ABS(N($V225))+ROW()/1000000000)</f>
        <v/>
      </c>
    </row>
    <row r="226">
      <c r="A226" s="30">
        <f>IF($D$226="","",LEFT($D$226,FIND("|",$D$226&amp;"|")-1))</f>
        <v/>
      </c>
      <c r="B226" s="31" t="n"/>
      <c r="C226" s="30">
        <f>IF($B$226="","",IFERROR(INDEX(Cost_Centers!$B:$B,MATCH($B$226,Cost_Centers!$A:$A,0)),"(not in master)"))</f>
        <v/>
      </c>
      <c r="D226" s="31" t="n"/>
      <c r="E226" s="30">
        <f>IF($D$226="","",IFERROR(INDEX(Accounts!$D:$D,MATCH($D$226,Accounts!$A:$A,0)),"(not in master)"))</f>
        <v/>
      </c>
      <c r="F226" s="31" t="n"/>
      <c r="G226" s="30" t="inlineStr">
        <is>
          <t>Budget</t>
        </is>
      </c>
      <c r="H226" s="32">
        <f>IF($B$226="","",SUMIFS(Opex_Budget!$O:$O,Opex_Budget!$A:$A,$C$3,Opex_Budget!$E:$E,$B$226,Opex_Budget!$F:$F,$D$226,Opex_Budget!$N:$N,"JPY")*$E$5+SUMIFS(Opex_Budget!$O:$O,Opex_Budget!$A:$A,$C$3,Opex_Budget!$E:$E,$B$226,Opex_Budget!$F:$F,$D$226,Opex_Budget!$N:$N,"USD")*$F$5+SUMIFS(Opex_Budget!$O:$O,Opex_Budget!$A:$A,$C$3,Opex_Budget!$E:$E,$B$226,Opex_Budget!$F:$F,$D$226,Opex_Budget!$N:$N,"EUR")*$G$5+SUMIFS(Opex_Budget!$O:$O,Opex_Budget!$A:$A,$C$3,Opex_Budget!$E:$E,$B$226,Opex_Budget!$F:$F,$D$226,Opex_Budget!$N:$N,"GBP")*$H$5)</f>
        <v/>
      </c>
      <c r="I226" s="32">
        <f>IF($B$226="","",SUMIFS(Opex_Budget!$P:$P,Opex_Budget!$A:$A,$C$3,Opex_Budget!$E:$E,$B$226,Opex_Budget!$F:$F,$D$226,Opex_Budget!$N:$N,"JPY")*$E$5+SUMIFS(Opex_Budget!$P:$P,Opex_Budget!$A:$A,$C$3,Opex_Budget!$E:$E,$B$226,Opex_Budget!$F:$F,$D$226,Opex_Budget!$N:$N,"USD")*$F$5+SUMIFS(Opex_Budget!$P:$P,Opex_Budget!$A:$A,$C$3,Opex_Budget!$E:$E,$B$226,Opex_Budget!$F:$F,$D$226,Opex_Budget!$N:$N,"EUR")*$G$5+SUMIFS(Opex_Budget!$P:$P,Opex_Budget!$A:$A,$C$3,Opex_Budget!$E:$E,$B$226,Opex_Budget!$F:$F,$D$226,Opex_Budget!$N:$N,"GBP")*$H$5)</f>
        <v/>
      </c>
      <c r="J226" s="32">
        <f>IF($B$226="","",SUMIFS(Opex_Budget!$Q:$Q,Opex_Budget!$A:$A,$C$3,Opex_Budget!$E:$E,$B$226,Opex_Budget!$F:$F,$D$226,Opex_Budget!$N:$N,"JPY")*$E$5+SUMIFS(Opex_Budget!$Q:$Q,Opex_Budget!$A:$A,$C$3,Opex_Budget!$E:$E,$B$226,Opex_Budget!$F:$F,$D$226,Opex_Budget!$N:$N,"USD")*$F$5+SUMIFS(Opex_Budget!$Q:$Q,Opex_Budget!$A:$A,$C$3,Opex_Budget!$E:$E,$B$226,Opex_Budget!$F:$F,$D$226,Opex_Budget!$N:$N,"EUR")*$G$5+SUMIFS(Opex_Budget!$Q:$Q,Opex_Budget!$A:$A,$C$3,Opex_Budget!$E:$E,$B$226,Opex_Budget!$F:$F,$D$226,Opex_Budget!$N:$N,"GBP")*$H$5)</f>
        <v/>
      </c>
      <c r="K226" s="32">
        <f>IF($B$226="","",SUMIFS(Opex_Budget!$R:$R,Opex_Budget!$A:$A,$C$3,Opex_Budget!$E:$E,$B$226,Opex_Budget!$F:$F,$D$226,Opex_Budget!$N:$N,"JPY")*$E$5+SUMIFS(Opex_Budget!$R:$R,Opex_Budget!$A:$A,$C$3,Opex_Budget!$E:$E,$B$226,Opex_Budget!$F:$F,$D$226,Opex_Budget!$N:$N,"USD")*$F$5+SUMIFS(Opex_Budget!$R:$R,Opex_Budget!$A:$A,$C$3,Opex_Budget!$E:$E,$B$226,Opex_Budget!$F:$F,$D$226,Opex_Budget!$N:$N,"EUR")*$G$5+SUMIFS(Opex_Budget!$R:$R,Opex_Budget!$A:$A,$C$3,Opex_Budget!$E:$E,$B$226,Opex_Budget!$F:$F,$D$226,Opex_Budget!$N:$N,"GBP")*$H$5)</f>
        <v/>
      </c>
      <c r="L226" s="32">
        <f>IF($B$226="","",SUMIFS(Opex_Budget!$S:$S,Opex_Budget!$A:$A,$C$3,Opex_Budget!$E:$E,$B$226,Opex_Budget!$F:$F,$D$226,Opex_Budget!$N:$N,"JPY")*$E$5+SUMIFS(Opex_Budget!$S:$S,Opex_Budget!$A:$A,$C$3,Opex_Budget!$E:$E,$B$226,Opex_Budget!$F:$F,$D$226,Opex_Budget!$N:$N,"USD")*$F$5+SUMIFS(Opex_Budget!$S:$S,Opex_Budget!$A:$A,$C$3,Opex_Budget!$E:$E,$B$226,Opex_Budget!$F:$F,$D$226,Opex_Budget!$N:$N,"EUR")*$G$5+SUMIFS(Opex_Budget!$S:$S,Opex_Budget!$A:$A,$C$3,Opex_Budget!$E:$E,$B$226,Opex_Budget!$F:$F,$D$226,Opex_Budget!$N:$N,"GBP")*$H$5)</f>
        <v/>
      </c>
      <c r="M226" s="32">
        <f>IF($B$226="","",SUMIFS(Opex_Budget!$T:$T,Opex_Budget!$A:$A,$C$3,Opex_Budget!$E:$E,$B$226,Opex_Budget!$F:$F,$D$226,Opex_Budget!$N:$N,"JPY")*$E$5+SUMIFS(Opex_Budget!$T:$T,Opex_Budget!$A:$A,$C$3,Opex_Budget!$E:$E,$B$226,Opex_Budget!$F:$F,$D$226,Opex_Budget!$N:$N,"USD")*$F$5+SUMIFS(Opex_Budget!$T:$T,Opex_Budget!$A:$A,$C$3,Opex_Budget!$E:$E,$B$226,Opex_Budget!$F:$F,$D$226,Opex_Budget!$N:$N,"EUR")*$G$5+SUMIFS(Opex_Budget!$T:$T,Opex_Budget!$A:$A,$C$3,Opex_Budget!$E:$E,$B$226,Opex_Budget!$F:$F,$D$226,Opex_Budget!$N:$N,"GBP")*$H$5)</f>
        <v/>
      </c>
      <c r="N226" s="32">
        <f>IF($B$226="","",SUMIFS(Opex_Budget!$U:$U,Opex_Budget!$A:$A,$C$3,Opex_Budget!$E:$E,$B$226,Opex_Budget!$F:$F,$D$226,Opex_Budget!$N:$N,"JPY")*$E$5+SUMIFS(Opex_Budget!$U:$U,Opex_Budget!$A:$A,$C$3,Opex_Budget!$E:$E,$B$226,Opex_Budget!$F:$F,$D$226,Opex_Budget!$N:$N,"USD")*$F$5+SUMIFS(Opex_Budget!$U:$U,Opex_Budget!$A:$A,$C$3,Opex_Budget!$E:$E,$B$226,Opex_Budget!$F:$F,$D$226,Opex_Budget!$N:$N,"EUR")*$G$5+SUMIFS(Opex_Budget!$U:$U,Opex_Budget!$A:$A,$C$3,Opex_Budget!$E:$E,$B$226,Opex_Budget!$F:$F,$D$226,Opex_Budget!$N:$N,"GBP")*$H$5)</f>
        <v/>
      </c>
      <c r="O226" s="32">
        <f>IF($B$226="","",SUMIFS(Opex_Budget!$V:$V,Opex_Budget!$A:$A,$C$3,Opex_Budget!$E:$E,$B$226,Opex_Budget!$F:$F,$D$226,Opex_Budget!$N:$N,"JPY")*$E$5+SUMIFS(Opex_Budget!$V:$V,Opex_Budget!$A:$A,$C$3,Opex_Budget!$E:$E,$B$226,Opex_Budget!$F:$F,$D$226,Opex_Budget!$N:$N,"USD")*$F$5+SUMIFS(Opex_Budget!$V:$V,Opex_Budget!$A:$A,$C$3,Opex_Budget!$E:$E,$B$226,Opex_Budget!$F:$F,$D$226,Opex_Budget!$N:$N,"EUR")*$G$5+SUMIFS(Opex_Budget!$V:$V,Opex_Budget!$A:$A,$C$3,Opex_Budget!$E:$E,$B$226,Opex_Budget!$F:$F,$D$226,Opex_Budget!$N:$N,"GBP")*$H$5)</f>
        <v/>
      </c>
      <c r="P226" s="32">
        <f>IF($B$226="","",SUMIFS(Opex_Budget!$W:$W,Opex_Budget!$A:$A,$C$3,Opex_Budget!$E:$E,$B$226,Opex_Budget!$F:$F,$D$226,Opex_Budget!$N:$N,"JPY")*$E$5+SUMIFS(Opex_Budget!$W:$W,Opex_Budget!$A:$A,$C$3,Opex_Budget!$E:$E,$B$226,Opex_Budget!$F:$F,$D$226,Opex_Budget!$N:$N,"USD")*$F$5+SUMIFS(Opex_Budget!$W:$W,Opex_Budget!$A:$A,$C$3,Opex_Budget!$E:$E,$B$226,Opex_Budget!$F:$F,$D$226,Opex_Budget!$N:$N,"EUR")*$G$5+SUMIFS(Opex_Budget!$W:$W,Opex_Budget!$A:$A,$C$3,Opex_Budget!$E:$E,$B$226,Opex_Budget!$F:$F,$D$226,Opex_Budget!$N:$N,"GBP")*$H$5)</f>
        <v/>
      </c>
      <c r="Q226" s="32">
        <f>IF($B$226="","",SUMIFS(Opex_Budget!$X:$X,Opex_Budget!$A:$A,$C$3,Opex_Budget!$E:$E,$B$226,Opex_Budget!$F:$F,$D$226,Opex_Budget!$N:$N,"JPY")*$E$5+SUMIFS(Opex_Budget!$X:$X,Opex_Budget!$A:$A,$C$3,Opex_Budget!$E:$E,$B$226,Opex_Budget!$F:$F,$D$226,Opex_Budget!$N:$N,"USD")*$F$5+SUMIFS(Opex_Budget!$X:$X,Opex_Budget!$A:$A,$C$3,Opex_Budget!$E:$E,$B$226,Opex_Budget!$F:$F,$D$226,Opex_Budget!$N:$N,"EUR")*$G$5+SUMIFS(Opex_Budget!$X:$X,Opex_Budget!$A:$A,$C$3,Opex_Budget!$E:$E,$B$226,Opex_Budget!$F:$F,$D$226,Opex_Budget!$N:$N,"GBP")*$H$5)</f>
        <v/>
      </c>
      <c r="R226" s="32">
        <f>IF($B$226="","",SUMIFS(Opex_Budget!$Y:$Y,Opex_Budget!$A:$A,$C$3,Opex_Budget!$E:$E,$B$226,Opex_Budget!$F:$F,$D$226,Opex_Budget!$N:$N,"JPY")*$E$5+SUMIFS(Opex_Budget!$Y:$Y,Opex_Budget!$A:$A,$C$3,Opex_Budget!$E:$E,$B$226,Opex_Budget!$F:$F,$D$226,Opex_Budget!$N:$N,"USD")*$F$5+SUMIFS(Opex_Budget!$Y:$Y,Opex_Budget!$A:$A,$C$3,Opex_Budget!$E:$E,$B$226,Opex_Budget!$F:$F,$D$226,Opex_Budget!$N:$N,"EUR")*$G$5+SUMIFS(Opex_Budget!$Y:$Y,Opex_Budget!$A:$A,$C$3,Opex_Budget!$E:$E,$B$226,Opex_Budget!$F:$F,$D$226,Opex_Budget!$N:$N,"GBP")*$H$5)</f>
        <v/>
      </c>
      <c r="S226" s="32">
        <f>IF($B$226="","",SUMIFS(Opex_Budget!$Z:$Z,Opex_Budget!$A:$A,$C$3,Opex_Budget!$E:$E,$B$226,Opex_Budget!$F:$F,$D$226,Opex_Budget!$N:$N,"JPY")*$E$5+SUMIFS(Opex_Budget!$Z:$Z,Opex_Budget!$A:$A,$C$3,Opex_Budget!$E:$E,$B$226,Opex_Budget!$F:$F,$D$226,Opex_Budget!$N:$N,"USD")*$F$5+SUMIFS(Opex_Budget!$Z:$Z,Opex_Budget!$A:$A,$C$3,Opex_Budget!$E:$E,$B$226,Opex_Budget!$F:$F,$D$226,Opex_Budget!$N:$N,"EUR")*$G$5+SUMIFS(Opex_Budget!$Z:$Z,Opex_Budget!$A:$A,$C$3,Opex_Budget!$E:$E,$B$226,Opex_Budget!$F:$F,$D$226,Opex_Budget!$N:$N,"GBP")*$H$5)</f>
        <v/>
      </c>
      <c r="T226" s="32">
        <f>IF($B$226="","",SUMIF($H$7:$S$7,"&lt;="&amp;$C$4,$H226:$S226))</f>
        <v/>
      </c>
      <c r="U226" s="32">
        <f>IF($B$226="","",SUMIF($H$7:$S$7,"&gt;"&amp;$C$4,$H226:$S226))</f>
        <v/>
      </c>
      <c r="V226" s="32">
        <f>IF($B$226="","",SUM($H226:$S226))</f>
        <v/>
      </c>
      <c r="X226" s="22">
        <f>IF($B226="","",IFERROR(INDEX(Cost_Centers!$E:$E,MATCH($B226,Cost_Centers!$A:$A,0)),"(unknown)"))</f>
        <v/>
      </c>
      <c r="Y226" s="22">
        <f>IF($B226="","",IFERROR(INDEX(Cost_Centers!$D:$D,MATCH($B226,Cost_Centers!$A:$A,0)),"(unknown)"))</f>
        <v/>
      </c>
      <c r="Z226" s="22">
        <f>IF(OR($B226="",$G226&lt;&gt;"Variance vs Budget"),"",ABS(N($V226))+ROW()/1000000000)</f>
        <v/>
      </c>
    </row>
    <row r="227">
      <c r="A227" s="13">
        <f>IF(A$226="","",A$226)</f>
        <v/>
      </c>
      <c r="B227" s="13">
        <f>IF(B$226="","",B$226)</f>
        <v/>
      </c>
      <c r="C227" s="13">
        <f>IF(C$226="","",C$226)</f>
        <v/>
      </c>
      <c r="D227" s="13">
        <f>IF(D$226="","",D$226)</f>
        <v/>
      </c>
      <c r="E227" s="13">
        <f>IF(E$226="","",E$226)</f>
        <v/>
      </c>
      <c r="F227" s="13">
        <f>IF(F$226="","",F$226)</f>
        <v/>
      </c>
      <c r="G227" s="7" t="inlineStr">
        <is>
          <t>Actual</t>
        </is>
      </c>
      <c r="H227" s="18">
        <f>IF(OR($B$226="",1&gt;$C$4),"",SUMIFS(Actuals!$G:$G,Actuals!$B:$B,$C$3,Actuals!$C:$C,1,Actuals!$D:$D,$B$226,Actuals!$A:$A,LEFT($D$226,FIND("|",$D$226&amp;"|")-1),Actuals!$E:$E,MID($D$226,FIND("|",$D$226&amp;"|")+1,50),Actuals!$F:$F,"JPY")*$E$5+SUMIFS(Actuals!$G:$G,Actuals!$B:$B,$C$3,Actuals!$C:$C,1,Actuals!$D:$D,$B$226,Actuals!$A:$A,LEFT($D$226,FIND("|",$D$226&amp;"|")-1),Actuals!$E:$E,MID($D$226,FIND("|",$D$226&amp;"|")+1,50),Actuals!$F:$F,"USD")*$F$5+SUMIFS(Actuals!$G:$G,Actuals!$B:$B,$C$3,Actuals!$C:$C,1,Actuals!$D:$D,$B$226,Actuals!$A:$A,LEFT($D$226,FIND("|",$D$226&amp;"|")-1),Actuals!$E:$E,MID($D$226,FIND("|",$D$226&amp;"|")+1,50),Actuals!$F:$F,"EUR")*$G$5+SUMIFS(Actuals!$G:$G,Actuals!$B:$B,$C$3,Actuals!$C:$C,1,Actuals!$D:$D,$B$226,Actuals!$A:$A,LEFT($D$226,FIND("|",$D$226&amp;"|")-1),Actuals!$E:$E,MID($D$226,FIND("|",$D$226&amp;"|")+1,50),Actuals!$F:$F,"GBP")*$H$5)</f>
        <v/>
      </c>
      <c r="I227" s="18">
        <f>IF(OR($B$226="",2&gt;$C$4),"",SUMIFS(Actuals!$G:$G,Actuals!$B:$B,$C$3,Actuals!$C:$C,2,Actuals!$D:$D,$B$226,Actuals!$A:$A,LEFT($D$226,FIND("|",$D$226&amp;"|")-1),Actuals!$E:$E,MID($D$226,FIND("|",$D$226&amp;"|")+1,50),Actuals!$F:$F,"JPY")*$E$5+SUMIFS(Actuals!$G:$G,Actuals!$B:$B,$C$3,Actuals!$C:$C,2,Actuals!$D:$D,$B$226,Actuals!$A:$A,LEFT($D$226,FIND("|",$D$226&amp;"|")-1),Actuals!$E:$E,MID($D$226,FIND("|",$D$226&amp;"|")+1,50),Actuals!$F:$F,"USD")*$F$5+SUMIFS(Actuals!$G:$G,Actuals!$B:$B,$C$3,Actuals!$C:$C,2,Actuals!$D:$D,$B$226,Actuals!$A:$A,LEFT($D$226,FIND("|",$D$226&amp;"|")-1),Actuals!$E:$E,MID($D$226,FIND("|",$D$226&amp;"|")+1,50),Actuals!$F:$F,"EUR")*$G$5+SUMIFS(Actuals!$G:$G,Actuals!$B:$B,$C$3,Actuals!$C:$C,2,Actuals!$D:$D,$B$226,Actuals!$A:$A,LEFT($D$226,FIND("|",$D$226&amp;"|")-1),Actuals!$E:$E,MID($D$226,FIND("|",$D$226&amp;"|")+1,50),Actuals!$F:$F,"GBP")*$H$5)</f>
        <v/>
      </c>
      <c r="J227" s="18">
        <f>IF(OR($B$226="",3&gt;$C$4),"",SUMIFS(Actuals!$G:$G,Actuals!$B:$B,$C$3,Actuals!$C:$C,3,Actuals!$D:$D,$B$226,Actuals!$A:$A,LEFT($D$226,FIND("|",$D$226&amp;"|")-1),Actuals!$E:$E,MID($D$226,FIND("|",$D$226&amp;"|")+1,50),Actuals!$F:$F,"JPY")*$E$5+SUMIFS(Actuals!$G:$G,Actuals!$B:$B,$C$3,Actuals!$C:$C,3,Actuals!$D:$D,$B$226,Actuals!$A:$A,LEFT($D$226,FIND("|",$D$226&amp;"|")-1),Actuals!$E:$E,MID($D$226,FIND("|",$D$226&amp;"|")+1,50),Actuals!$F:$F,"USD")*$F$5+SUMIFS(Actuals!$G:$G,Actuals!$B:$B,$C$3,Actuals!$C:$C,3,Actuals!$D:$D,$B$226,Actuals!$A:$A,LEFT($D$226,FIND("|",$D$226&amp;"|")-1),Actuals!$E:$E,MID($D$226,FIND("|",$D$226&amp;"|")+1,50),Actuals!$F:$F,"EUR")*$G$5+SUMIFS(Actuals!$G:$G,Actuals!$B:$B,$C$3,Actuals!$C:$C,3,Actuals!$D:$D,$B$226,Actuals!$A:$A,LEFT($D$226,FIND("|",$D$226&amp;"|")-1),Actuals!$E:$E,MID($D$226,FIND("|",$D$226&amp;"|")+1,50),Actuals!$F:$F,"GBP")*$H$5)</f>
        <v/>
      </c>
      <c r="K227" s="18">
        <f>IF(OR($B$226="",4&gt;$C$4),"",SUMIFS(Actuals!$G:$G,Actuals!$B:$B,$C$3,Actuals!$C:$C,4,Actuals!$D:$D,$B$226,Actuals!$A:$A,LEFT($D$226,FIND("|",$D$226&amp;"|")-1),Actuals!$E:$E,MID($D$226,FIND("|",$D$226&amp;"|")+1,50),Actuals!$F:$F,"JPY")*$E$5+SUMIFS(Actuals!$G:$G,Actuals!$B:$B,$C$3,Actuals!$C:$C,4,Actuals!$D:$D,$B$226,Actuals!$A:$A,LEFT($D$226,FIND("|",$D$226&amp;"|")-1),Actuals!$E:$E,MID($D$226,FIND("|",$D$226&amp;"|")+1,50),Actuals!$F:$F,"USD")*$F$5+SUMIFS(Actuals!$G:$G,Actuals!$B:$B,$C$3,Actuals!$C:$C,4,Actuals!$D:$D,$B$226,Actuals!$A:$A,LEFT($D$226,FIND("|",$D$226&amp;"|")-1),Actuals!$E:$E,MID($D$226,FIND("|",$D$226&amp;"|")+1,50),Actuals!$F:$F,"EUR")*$G$5+SUMIFS(Actuals!$G:$G,Actuals!$B:$B,$C$3,Actuals!$C:$C,4,Actuals!$D:$D,$B$226,Actuals!$A:$A,LEFT($D$226,FIND("|",$D$226&amp;"|")-1),Actuals!$E:$E,MID($D$226,FIND("|",$D$226&amp;"|")+1,50),Actuals!$F:$F,"GBP")*$H$5)</f>
        <v/>
      </c>
      <c r="L227" s="18">
        <f>IF(OR($B$226="",5&gt;$C$4),"",SUMIFS(Actuals!$G:$G,Actuals!$B:$B,$C$3,Actuals!$C:$C,5,Actuals!$D:$D,$B$226,Actuals!$A:$A,LEFT($D$226,FIND("|",$D$226&amp;"|")-1),Actuals!$E:$E,MID($D$226,FIND("|",$D$226&amp;"|")+1,50),Actuals!$F:$F,"JPY")*$E$5+SUMIFS(Actuals!$G:$G,Actuals!$B:$B,$C$3,Actuals!$C:$C,5,Actuals!$D:$D,$B$226,Actuals!$A:$A,LEFT($D$226,FIND("|",$D$226&amp;"|")-1),Actuals!$E:$E,MID($D$226,FIND("|",$D$226&amp;"|")+1,50),Actuals!$F:$F,"USD")*$F$5+SUMIFS(Actuals!$G:$G,Actuals!$B:$B,$C$3,Actuals!$C:$C,5,Actuals!$D:$D,$B$226,Actuals!$A:$A,LEFT($D$226,FIND("|",$D$226&amp;"|")-1),Actuals!$E:$E,MID($D$226,FIND("|",$D$226&amp;"|")+1,50),Actuals!$F:$F,"EUR")*$G$5+SUMIFS(Actuals!$G:$G,Actuals!$B:$B,$C$3,Actuals!$C:$C,5,Actuals!$D:$D,$B$226,Actuals!$A:$A,LEFT($D$226,FIND("|",$D$226&amp;"|")-1),Actuals!$E:$E,MID($D$226,FIND("|",$D$226&amp;"|")+1,50),Actuals!$F:$F,"GBP")*$H$5)</f>
        <v/>
      </c>
      <c r="M227" s="18">
        <f>IF(OR($B$226="",6&gt;$C$4),"",SUMIFS(Actuals!$G:$G,Actuals!$B:$B,$C$3,Actuals!$C:$C,6,Actuals!$D:$D,$B$226,Actuals!$A:$A,LEFT($D$226,FIND("|",$D$226&amp;"|")-1),Actuals!$E:$E,MID($D$226,FIND("|",$D$226&amp;"|")+1,50),Actuals!$F:$F,"JPY")*$E$5+SUMIFS(Actuals!$G:$G,Actuals!$B:$B,$C$3,Actuals!$C:$C,6,Actuals!$D:$D,$B$226,Actuals!$A:$A,LEFT($D$226,FIND("|",$D$226&amp;"|")-1),Actuals!$E:$E,MID($D$226,FIND("|",$D$226&amp;"|")+1,50),Actuals!$F:$F,"USD")*$F$5+SUMIFS(Actuals!$G:$G,Actuals!$B:$B,$C$3,Actuals!$C:$C,6,Actuals!$D:$D,$B$226,Actuals!$A:$A,LEFT($D$226,FIND("|",$D$226&amp;"|")-1),Actuals!$E:$E,MID($D$226,FIND("|",$D$226&amp;"|")+1,50),Actuals!$F:$F,"EUR")*$G$5+SUMIFS(Actuals!$G:$G,Actuals!$B:$B,$C$3,Actuals!$C:$C,6,Actuals!$D:$D,$B$226,Actuals!$A:$A,LEFT($D$226,FIND("|",$D$226&amp;"|")-1),Actuals!$E:$E,MID($D$226,FIND("|",$D$226&amp;"|")+1,50),Actuals!$F:$F,"GBP")*$H$5)</f>
        <v/>
      </c>
      <c r="N227" s="18">
        <f>IF(OR($B$226="",7&gt;$C$4),"",SUMIFS(Actuals!$G:$G,Actuals!$B:$B,$C$3,Actuals!$C:$C,7,Actuals!$D:$D,$B$226,Actuals!$A:$A,LEFT($D$226,FIND("|",$D$226&amp;"|")-1),Actuals!$E:$E,MID($D$226,FIND("|",$D$226&amp;"|")+1,50),Actuals!$F:$F,"JPY")*$E$5+SUMIFS(Actuals!$G:$G,Actuals!$B:$B,$C$3,Actuals!$C:$C,7,Actuals!$D:$D,$B$226,Actuals!$A:$A,LEFT($D$226,FIND("|",$D$226&amp;"|")-1),Actuals!$E:$E,MID($D$226,FIND("|",$D$226&amp;"|")+1,50),Actuals!$F:$F,"USD")*$F$5+SUMIFS(Actuals!$G:$G,Actuals!$B:$B,$C$3,Actuals!$C:$C,7,Actuals!$D:$D,$B$226,Actuals!$A:$A,LEFT($D$226,FIND("|",$D$226&amp;"|")-1),Actuals!$E:$E,MID($D$226,FIND("|",$D$226&amp;"|")+1,50),Actuals!$F:$F,"EUR")*$G$5+SUMIFS(Actuals!$G:$G,Actuals!$B:$B,$C$3,Actuals!$C:$C,7,Actuals!$D:$D,$B$226,Actuals!$A:$A,LEFT($D$226,FIND("|",$D$226&amp;"|")-1),Actuals!$E:$E,MID($D$226,FIND("|",$D$226&amp;"|")+1,50),Actuals!$F:$F,"GBP")*$H$5)</f>
        <v/>
      </c>
      <c r="O227" s="18">
        <f>IF(OR($B$226="",8&gt;$C$4),"",SUMIFS(Actuals!$G:$G,Actuals!$B:$B,$C$3,Actuals!$C:$C,8,Actuals!$D:$D,$B$226,Actuals!$A:$A,LEFT($D$226,FIND("|",$D$226&amp;"|")-1),Actuals!$E:$E,MID($D$226,FIND("|",$D$226&amp;"|")+1,50),Actuals!$F:$F,"JPY")*$E$5+SUMIFS(Actuals!$G:$G,Actuals!$B:$B,$C$3,Actuals!$C:$C,8,Actuals!$D:$D,$B$226,Actuals!$A:$A,LEFT($D$226,FIND("|",$D$226&amp;"|")-1),Actuals!$E:$E,MID($D$226,FIND("|",$D$226&amp;"|")+1,50),Actuals!$F:$F,"USD")*$F$5+SUMIFS(Actuals!$G:$G,Actuals!$B:$B,$C$3,Actuals!$C:$C,8,Actuals!$D:$D,$B$226,Actuals!$A:$A,LEFT($D$226,FIND("|",$D$226&amp;"|")-1),Actuals!$E:$E,MID($D$226,FIND("|",$D$226&amp;"|")+1,50),Actuals!$F:$F,"EUR")*$G$5+SUMIFS(Actuals!$G:$G,Actuals!$B:$B,$C$3,Actuals!$C:$C,8,Actuals!$D:$D,$B$226,Actuals!$A:$A,LEFT($D$226,FIND("|",$D$226&amp;"|")-1),Actuals!$E:$E,MID($D$226,FIND("|",$D$226&amp;"|")+1,50),Actuals!$F:$F,"GBP")*$H$5)</f>
        <v/>
      </c>
      <c r="P227" s="18">
        <f>IF(OR($B$226="",9&gt;$C$4),"",SUMIFS(Actuals!$G:$G,Actuals!$B:$B,$C$3,Actuals!$C:$C,9,Actuals!$D:$D,$B$226,Actuals!$A:$A,LEFT($D$226,FIND("|",$D$226&amp;"|")-1),Actuals!$E:$E,MID($D$226,FIND("|",$D$226&amp;"|")+1,50),Actuals!$F:$F,"JPY")*$E$5+SUMIFS(Actuals!$G:$G,Actuals!$B:$B,$C$3,Actuals!$C:$C,9,Actuals!$D:$D,$B$226,Actuals!$A:$A,LEFT($D$226,FIND("|",$D$226&amp;"|")-1),Actuals!$E:$E,MID($D$226,FIND("|",$D$226&amp;"|")+1,50),Actuals!$F:$F,"USD")*$F$5+SUMIFS(Actuals!$G:$G,Actuals!$B:$B,$C$3,Actuals!$C:$C,9,Actuals!$D:$D,$B$226,Actuals!$A:$A,LEFT($D$226,FIND("|",$D$226&amp;"|")-1),Actuals!$E:$E,MID($D$226,FIND("|",$D$226&amp;"|")+1,50),Actuals!$F:$F,"EUR")*$G$5+SUMIFS(Actuals!$G:$G,Actuals!$B:$B,$C$3,Actuals!$C:$C,9,Actuals!$D:$D,$B$226,Actuals!$A:$A,LEFT($D$226,FIND("|",$D$226&amp;"|")-1),Actuals!$E:$E,MID($D$226,FIND("|",$D$226&amp;"|")+1,50),Actuals!$F:$F,"GBP")*$H$5)</f>
        <v/>
      </c>
      <c r="Q227" s="18">
        <f>IF(OR($B$226="",10&gt;$C$4),"",SUMIFS(Actuals!$G:$G,Actuals!$B:$B,$C$3,Actuals!$C:$C,10,Actuals!$D:$D,$B$226,Actuals!$A:$A,LEFT($D$226,FIND("|",$D$226&amp;"|")-1),Actuals!$E:$E,MID($D$226,FIND("|",$D$226&amp;"|")+1,50),Actuals!$F:$F,"JPY")*$E$5+SUMIFS(Actuals!$G:$G,Actuals!$B:$B,$C$3,Actuals!$C:$C,10,Actuals!$D:$D,$B$226,Actuals!$A:$A,LEFT($D$226,FIND("|",$D$226&amp;"|")-1),Actuals!$E:$E,MID($D$226,FIND("|",$D$226&amp;"|")+1,50),Actuals!$F:$F,"USD")*$F$5+SUMIFS(Actuals!$G:$G,Actuals!$B:$B,$C$3,Actuals!$C:$C,10,Actuals!$D:$D,$B$226,Actuals!$A:$A,LEFT($D$226,FIND("|",$D$226&amp;"|")-1),Actuals!$E:$E,MID($D$226,FIND("|",$D$226&amp;"|")+1,50),Actuals!$F:$F,"EUR")*$G$5+SUMIFS(Actuals!$G:$G,Actuals!$B:$B,$C$3,Actuals!$C:$C,10,Actuals!$D:$D,$B$226,Actuals!$A:$A,LEFT($D$226,FIND("|",$D$226&amp;"|")-1),Actuals!$E:$E,MID($D$226,FIND("|",$D$226&amp;"|")+1,50),Actuals!$F:$F,"GBP")*$H$5)</f>
        <v/>
      </c>
      <c r="R227" s="18">
        <f>IF(OR($B$226="",11&gt;$C$4),"",SUMIFS(Actuals!$G:$G,Actuals!$B:$B,$C$3,Actuals!$C:$C,11,Actuals!$D:$D,$B$226,Actuals!$A:$A,LEFT($D$226,FIND("|",$D$226&amp;"|")-1),Actuals!$E:$E,MID($D$226,FIND("|",$D$226&amp;"|")+1,50),Actuals!$F:$F,"JPY")*$E$5+SUMIFS(Actuals!$G:$G,Actuals!$B:$B,$C$3,Actuals!$C:$C,11,Actuals!$D:$D,$B$226,Actuals!$A:$A,LEFT($D$226,FIND("|",$D$226&amp;"|")-1),Actuals!$E:$E,MID($D$226,FIND("|",$D$226&amp;"|")+1,50),Actuals!$F:$F,"USD")*$F$5+SUMIFS(Actuals!$G:$G,Actuals!$B:$B,$C$3,Actuals!$C:$C,11,Actuals!$D:$D,$B$226,Actuals!$A:$A,LEFT($D$226,FIND("|",$D$226&amp;"|")-1),Actuals!$E:$E,MID($D$226,FIND("|",$D$226&amp;"|")+1,50),Actuals!$F:$F,"EUR")*$G$5+SUMIFS(Actuals!$G:$G,Actuals!$B:$B,$C$3,Actuals!$C:$C,11,Actuals!$D:$D,$B$226,Actuals!$A:$A,LEFT($D$226,FIND("|",$D$226&amp;"|")-1),Actuals!$E:$E,MID($D$226,FIND("|",$D$226&amp;"|")+1,50),Actuals!$F:$F,"GBP")*$H$5)</f>
        <v/>
      </c>
      <c r="S227" s="18">
        <f>IF(OR($B$226="",12&gt;$C$4),"",SUMIFS(Actuals!$G:$G,Actuals!$B:$B,$C$3,Actuals!$C:$C,12,Actuals!$D:$D,$B$226,Actuals!$A:$A,LEFT($D$226,FIND("|",$D$226&amp;"|")-1),Actuals!$E:$E,MID($D$226,FIND("|",$D$226&amp;"|")+1,50),Actuals!$F:$F,"JPY")*$E$5+SUMIFS(Actuals!$G:$G,Actuals!$B:$B,$C$3,Actuals!$C:$C,12,Actuals!$D:$D,$B$226,Actuals!$A:$A,LEFT($D$226,FIND("|",$D$226&amp;"|")-1),Actuals!$E:$E,MID($D$226,FIND("|",$D$226&amp;"|")+1,50),Actuals!$F:$F,"USD")*$F$5+SUMIFS(Actuals!$G:$G,Actuals!$B:$B,$C$3,Actuals!$C:$C,12,Actuals!$D:$D,$B$226,Actuals!$A:$A,LEFT($D$226,FIND("|",$D$226&amp;"|")-1),Actuals!$E:$E,MID($D$226,FIND("|",$D$226&amp;"|")+1,50),Actuals!$F:$F,"EUR")*$G$5+SUMIFS(Actuals!$G:$G,Actuals!$B:$B,$C$3,Actuals!$C:$C,12,Actuals!$D:$D,$B$226,Actuals!$A:$A,LEFT($D$226,FIND("|",$D$226&amp;"|")-1),Actuals!$E:$E,MID($D$226,FIND("|",$D$226&amp;"|")+1,50),Actuals!$F:$F,"GBP")*$H$5)</f>
        <v/>
      </c>
      <c r="T227" s="18">
        <f>IF($B$226="","",SUMIF($H$7:$S$7,"&lt;="&amp;$C$4,$H227:$S227))</f>
        <v/>
      </c>
      <c r="U227" s="18" t="n"/>
      <c r="V227" s="18" t="n"/>
      <c r="X227" s="22">
        <f>IF($B227="","",IFERROR(INDEX(Cost_Centers!$E:$E,MATCH($B227,Cost_Centers!$A:$A,0)),"(unknown)"))</f>
        <v/>
      </c>
      <c r="Y227" s="22">
        <f>IF($B227="","",IFERROR(INDEX(Cost_Centers!$D:$D,MATCH($B227,Cost_Centers!$A:$A,0)),"(unknown)"))</f>
        <v/>
      </c>
      <c r="Z227" s="22">
        <f>IF(OR($B227="",$G227&lt;&gt;"Variance vs Budget"),"",ABS(N($V227))+ROW()/1000000000)</f>
        <v/>
      </c>
    </row>
    <row r="228">
      <c r="A228" s="13">
        <f>IF(A$226="","",A$226)</f>
        <v/>
      </c>
      <c r="B228" s="13">
        <f>IF(B$226="","",B$226)</f>
        <v/>
      </c>
      <c r="C228" s="13">
        <f>IF(C$226="","",C$226)</f>
        <v/>
      </c>
      <c r="D228" s="13">
        <f>IF(D$226="","",D$226)</f>
        <v/>
      </c>
      <c r="E228" s="13">
        <f>IF(E$226="","",E$226)</f>
        <v/>
      </c>
      <c r="F228" s="13">
        <f>IF(F$226="","",F$226)</f>
        <v/>
      </c>
      <c r="G228" s="6" t="inlineStr">
        <is>
          <t>Variance vs Budget</t>
        </is>
      </c>
      <c r="H228" s="33">
        <f>IF(OR($B$226="",1&gt;$C$4),"",N(H227)-H226)</f>
        <v/>
      </c>
      <c r="I228" s="33">
        <f>IF(OR($B$226="",2&gt;$C$4),"",N(I227)-I226)</f>
        <v/>
      </c>
      <c r="J228" s="33">
        <f>IF(OR($B$226="",3&gt;$C$4),"",N(J227)-J226)</f>
        <v/>
      </c>
      <c r="K228" s="33">
        <f>IF(OR($B$226="",4&gt;$C$4),"",N(K227)-K226)</f>
        <v/>
      </c>
      <c r="L228" s="33">
        <f>IF(OR($B$226="",5&gt;$C$4),"",N(L227)-L226)</f>
        <v/>
      </c>
      <c r="M228" s="33">
        <f>IF(OR($B$226="",6&gt;$C$4),"",N(M227)-M226)</f>
        <v/>
      </c>
      <c r="N228" s="33">
        <f>IF(OR($B$226="",7&gt;$C$4),"",N(N227)-N226)</f>
        <v/>
      </c>
      <c r="O228" s="33">
        <f>IF(OR($B$226="",8&gt;$C$4),"",N(O227)-O226)</f>
        <v/>
      </c>
      <c r="P228" s="33">
        <f>IF(OR($B$226="",9&gt;$C$4),"",N(P227)-P226)</f>
        <v/>
      </c>
      <c r="Q228" s="33">
        <f>IF(OR($B$226="",10&gt;$C$4),"",N(Q227)-Q226)</f>
        <v/>
      </c>
      <c r="R228" s="33">
        <f>IF(OR($B$226="",11&gt;$C$4),"",N(R227)-R226)</f>
        <v/>
      </c>
      <c r="S228" s="33">
        <f>IF(OR($B$226="",12&gt;$C$4),"",N(S227)-S226)</f>
        <v/>
      </c>
      <c r="T228" s="33">
        <f>IF($B$226="","",T227-T226)</f>
        <v/>
      </c>
      <c r="U228" s="33">
        <f>IF($B$226="","",U230-U226)</f>
        <v/>
      </c>
      <c r="V228" s="33">
        <f>IF($B$226="","",V230-V226)</f>
        <v/>
      </c>
      <c r="X228" s="22">
        <f>IF($B228="","",IFERROR(INDEX(Cost_Centers!$E:$E,MATCH($B228,Cost_Centers!$A:$A,0)),"(unknown)"))</f>
        <v/>
      </c>
      <c r="Y228" s="22">
        <f>IF($B228="","",IFERROR(INDEX(Cost_Centers!$D:$D,MATCH($B228,Cost_Centers!$A:$A,0)),"(unknown)"))</f>
        <v/>
      </c>
      <c r="Z228" s="22">
        <f>IF(OR($B228="",$G228&lt;&gt;"Variance vs Budget"),"",ABS(N($V228))+ROW()/1000000000)</f>
        <v/>
      </c>
    </row>
    <row r="229">
      <c r="A229" s="13">
        <f>IF(A$226="","",A$226)</f>
        <v/>
      </c>
      <c r="B229" s="13">
        <f>IF(B$226="","",B$226)</f>
        <v/>
      </c>
      <c r="C229" s="13">
        <f>IF(C$226="","",C$226)</f>
        <v/>
      </c>
      <c r="D229" s="13">
        <f>IF(D$226="","",D$226)</f>
        <v/>
      </c>
      <c r="E229" s="13">
        <f>IF(E$226="","",E$226)</f>
        <v/>
      </c>
      <c r="F229" s="13">
        <f>IF(F$226="","",F$226)</f>
        <v/>
      </c>
      <c r="G229" s="7" t="inlineStr">
        <is>
          <t>Forecast (input)</t>
        </is>
      </c>
      <c r="H229" s="34" t="n"/>
      <c r="I229" s="34" t="n"/>
      <c r="J229" s="34" t="n"/>
      <c r="K229" s="34" t="n"/>
      <c r="L229" s="34" t="n"/>
      <c r="M229" s="34" t="n"/>
      <c r="N229" s="34" t="n"/>
      <c r="O229" s="34" t="n"/>
      <c r="P229" s="34" t="n"/>
      <c r="Q229" s="34" t="n"/>
      <c r="R229" s="34" t="n"/>
      <c r="S229" s="34" t="n"/>
      <c r="T229" s="18" t="n"/>
      <c r="U229" s="18" t="n"/>
      <c r="V229" s="18" t="n"/>
      <c r="X229" s="22">
        <f>IF($B229="","",IFERROR(INDEX(Cost_Centers!$E:$E,MATCH($B229,Cost_Centers!$A:$A,0)),"(unknown)"))</f>
        <v/>
      </c>
      <c r="Y229" s="22">
        <f>IF($B229="","",IFERROR(INDEX(Cost_Centers!$D:$D,MATCH($B229,Cost_Centers!$A:$A,0)),"(unknown)"))</f>
        <v/>
      </c>
      <c r="Z229" s="22">
        <f>IF(OR($B229="",$G229&lt;&gt;"Variance vs Budget"),"",ABS(N($V229))+ROW()/1000000000)</f>
        <v/>
      </c>
    </row>
    <row r="230">
      <c r="A230" s="13">
        <f>IF(A$226="","",A$226)</f>
        <v/>
      </c>
      <c r="B230" s="13">
        <f>IF(B$226="","",B$226)</f>
        <v/>
      </c>
      <c r="C230" s="13">
        <f>IF(C$226="","",C$226)</f>
        <v/>
      </c>
      <c r="D230" s="13">
        <f>IF(D$226="","",D$226)</f>
        <v/>
      </c>
      <c r="E230" s="13">
        <f>IF(E$226="","",E$226)</f>
        <v/>
      </c>
      <c r="F230" s="13">
        <f>IF(F$226="","",F$226)</f>
        <v/>
      </c>
      <c r="G230" s="35" t="inlineStr">
        <is>
          <t>Actual + Forecast</t>
        </is>
      </c>
      <c r="H230" s="18">
        <f>IF($B$226="","",IF(1&lt;=$C$4,N(H227),IF(H229="",H226,H229)))</f>
        <v/>
      </c>
      <c r="I230" s="18">
        <f>IF($B$226="","",IF(2&lt;=$C$4,N(I227),IF(I229="",I226,I229)))</f>
        <v/>
      </c>
      <c r="J230" s="18">
        <f>IF($B$226="","",IF(3&lt;=$C$4,N(J227),IF(J229="",J226,J229)))</f>
        <v/>
      </c>
      <c r="K230" s="18">
        <f>IF($B$226="","",IF(4&lt;=$C$4,N(K227),IF(K229="",K226,K229)))</f>
        <v/>
      </c>
      <c r="L230" s="18">
        <f>IF($B$226="","",IF(5&lt;=$C$4,N(L227),IF(L229="",L226,L229)))</f>
        <v/>
      </c>
      <c r="M230" s="18">
        <f>IF($B$226="","",IF(6&lt;=$C$4,N(M227),IF(M229="",M226,M229)))</f>
        <v/>
      </c>
      <c r="N230" s="18">
        <f>IF($B$226="","",IF(7&lt;=$C$4,N(N227),IF(N229="",N226,N229)))</f>
        <v/>
      </c>
      <c r="O230" s="18">
        <f>IF($B$226="","",IF(8&lt;=$C$4,N(O227),IF(O229="",O226,O229)))</f>
        <v/>
      </c>
      <c r="P230" s="18">
        <f>IF($B$226="","",IF(9&lt;=$C$4,N(P227),IF(P229="",P226,P229)))</f>
        <v/>
      </c>
      <c r="Q230" s="18">
        <f>IF($B$226="","",IF(10&lt;=$C$4,N(Q227),IF(Q229="",Q226,Q229)))</f>
        <v/>
      </c>
      <c r="R230" s="18">
        <f>IF($B$226="","",IF(11&lt;=$C$4,N(R227),IF(R229="",R226,R229)))</f>
        <v/>
      </c>
      <c r="S230" s="18">
        <f>IF($B$226="","",IF(12&lt;=$C$4,N(S227),IF(S229="",S226,S229)))</f>
        <v/>
      </c>
      <c r="T230" s="18">
        <f>IF($B$226="","",SUMIF($H$7:$S$7,"&lt;="&amp;$C$4,$H230:$S230))</f>
        <v/>
      </c>
      <c r="U230" s="18">
        <f>IF($B$226="","",SUMIF($H$7:$S$7,"&gt;"&amp;$C$4,$H230:$S230))</f>
        <v/>
      </c>
      <c r="V230" s="18">
        <f>IF($B$226="","",SUM($H230:$S230))</f>
        <v/>
      </c>
      <c r="X230" s="22">
        <f>IF($B230="","",IFERROR(INDEX(Cost_Centers!$E:$E,MATCH($B230,Cost_Centers!$A:$A,0)),"(unknown)"))</f>
        <v/>
      </c>
      <c r="Y230" s="22">
        <f>IF($B230="","",IFERROR(INDEX(Cost_Centers!$D:$D,MATCH($B230,Cost_Centers!$A:$A,0)),"(unknown)"))</f>
        <v/>
      </c>
      <c r="Z230" s="22">
        <f>IF(OR($B230="",$G230&lt;&gt;"Variance vs Budget"),"",ABS(N($V230))+ROW()/1000000000)</f>
        <v/>
      </c>
    </row>
    <row r="231">
      <c r="A231" s="13">
        <f>IF(A$226="","",A$226)</f>
        <v/>
      </c>
      <c r="B231" s="13">
        <f>IF(B$226="","",B$226)</f>
        <v/>
      </c>
      <c r="C231" s="13">
        <f>IF(C$226="","",C$226)</f>
        <v/>
      </c>
      <c r="D231" s="13">
        <f>IF(D$226="","",D$226)</f>
        <v/>
      </c>
      <c r="E231" s="13">
        <f>IF(E$226="","",E$226)</f>
        <v/>
      </c>
      <c r="F231" s="13">
        <f>IF(F$226="","",F$226)</f>
        <v/>
      </c>
      <c r="G231" s="36" t="inlineStr">
        <is>
          <t>Prior Month Forecast</t>
        </is>
      </c>
      <c r="H231" s="37">
        <f>IF($B$226="","",IF(COUNTIFS(Prior_Forecast!$A:$A,$B$226,Prior_Forecast!$B:$B,$D$226)&gt;0,SUMIFS(Prior_Forecast!$C:$C,Prior_Forecast!$A:$A,$B$226,Prior_Forecast!$B:$B,$D$226),""))</f>
        <v/>
      </c>
      <c r="I231" s="37">
        <f>IF($B$226="","",IF(COUNTIFS(Prior_Forecast!$A:$A,$B$226,Prior_Forecast!$B:$B,$D$226)&gt;0,SUMIFS(Prior_Forecast!$D:$D,Prior_Forecast!$A:$A,$B$226,Prior_Forecast!$B:$B,$D$226),""))</f>
        <v/>
      </c>
      <c r="J231" s="37">
        <f>IF($B$226="","",IF(COUNTIFS(Prior_Forecast!$A:$A,$B$226,Prior_Forecast!$B:$B,$D$226)&gt;0,SUMIFS(Prior_Forecast!$E:$E,Prior_Forecast!$A:$A,$B$226,Prior_Forecast!$B:$B,$D$226),""))</f>
        <v/>
      </c>
      <c r="K231" s="37">
        <f>IF($B$226="","",IF(COUNTIFS(Prior_Forecast!$A:$A,$B$226,Prior_Forecast!$B:$B,$D$226)&gt;0,SUMIFS(Prior_Forecast!$F:$F,Prior_Forecast!$A:$A,$B$226,Prior_Forecast!$B:$B,$D$226),""))</f>
        <v/>
      </c>
      <c r="L231" s="37">
        <f>IF($B$226="","",IF(COUNTIFS(Prior_Forecast!$A:$A,$B$226,Prior_Forecast!$B:$B,$D$226)&gt;0,SUMIFS(Prior_Forecast!$G:$G,Prior_Forecast!$A:$A,$B$226,Prior_Forecast!$B:$B,$D$226),""))</f>
        <v/>
      </c>
      <c r="M231" s="37">
        <f>IF($B$226="","",IF(COUNTIFS(Prior_Forecast!$A:$A,$B$226,Prior_Forecast!$B:$B,$D$226)&gt;0,SUMIFS(Prior_Forecast!$H:$H,Prior_Forecast!$A:$A,$B$226,Prior_Forecast!$B:$B,$D$226),""))</f>
        <v/>
      </c>
      <c r="N231" s="37">
        <f>IF($B$226="","",IF(COUNTIFS(Prior_Forecast!$A:$A,$B$226,Prior_Forecast!$B:$B,$D$226)&gt;0,SUMIFS(Prior_Forecast!$I:$I,Prior_Forecast!$A:$A,$B$226,Prior_Forecast!$B:$B,$D$226),""))</f>
        <v/>
      </c>
      <c r="O231" s="37">
        <f>IF($B$226="","",IF(COUNTIFS(Prior_Forecast!$A:$A,$B$226,Prior_Forecast!$B:$B,$D$226)&gt;0,SUMIFS(Prior_Forecast!$J:$J,Prior_Forecast!$A:$A,$B$226,Prior_Forecast!$B:$B,$D$226),""))</f>
        <v/>
      </c>
      <c r="P231" s="37">
        <f>IF($B$226="","",IF(COUNTIFS(Prior_Forecast!$A:$A,$B$226,Prior_Forecast!$B:$B,$D$226)&gt;0,SUMIFS(Prior_Forecast!$K:$K,Prior_Forecast!$A:$A,$B$226,Prior_Forecast!$B:$B,$D$226),""))</f>
        <v/>
      </c>
      <c r="Q231" s="37">
        <f>IF($B$226="","",IF(COUNTIFS(Prior_Forecast!$A:$A,$B$226,Prior_Forecast!$B:$B,$D$226)&gt;0,SUMIFS(Prior_Forecast!$L:$L,Prior_Forecast!$A:$A,$B$226,Prior_Forecast!$B:$B,$D$226),""))</f>
        <v/>
      </c>
      <c r="R231" s="37">
        <f>IF($B$226="","",IF(COUNTIFS(Prior_Forecast!$A:$A,$B$226,Prior_Forecast!$B:$B,$D$226)&gt;0,SUMIFS(Prior_Forecast!$M:$M,Prior_Forecast!$A:$A,$B$226,Prior_Forecast!$B:$B,$D$226),""))</f>
        <v/>
      </c>
      <c r="S231" s="37">
        <f>IF($B$226="","",IF(COUNTIFS(Prior_Forecast!$A:$A,$B$226,Prior_Forecast!$B:$B,$D$226)&gt;0,SUMIFS(Prior_Forecast!$N:$N,Prior_Forecast!$A:$A,$B$226,Prior_Forecast!$B:$B,$D$226),""))</f>
        <v/>
      </c>
      <c r="T231" s="37">
        <f>IF($B$226="","",IF(COUNTIFS(Prior_Forecast!$A:$A,$B$226,Prior_Forecast!$B:$B,$D$226)&gt;0,SUMIFS(Prior_Forecast!$O:$O,Prior_Forecast!$A:$A,$B$226,Prior_Forecast!$B:$B,$D$226),""))</f>
        <v/>
      </c>
      <c r="U231" s="37">
        <f>IF($B$226="","",IF(COUNTIFS(Prior_Forecast!$A:$A,$B$226,Prior_Forecast!$B:$B,$D$226)&gt;0,SUMIFS(Prior_Forecast!$P:$P,Prior_Forecast!$A:$A,$B$226,Prior_Forecast!$B:$B,$D$226),""))</f>
        <v/>
      </c>
      <c r="V231" s="37">
        <f>IF($B$226="","",IF(COUNTIFS(Prior_Forecast!$A:$A,$B$226,Prior_Forecast!$B:$B,$D$226)&gt;0,SUMIFS(Prior_Forecast!$Q:$Q,Prior_Forecast!$A:$A,$B$226,Prior_Forecast!$B:$B,$D$226),""))</f>
        <v/>
      </c>
      <c r="X231" s="22">
        <f>IF($B231="","",IFERROR(INDEX(Cost_Centers!$E:$E,MATCH($B231,Cost_Centers!$A:$A,0)),"(unknown)"))</f>
        <v/>
      </c>
      <c r="Y231" s="22">
        <f>IF($B231="","",IFERROR(INDEX(Cost_Centers!$D:$D,MATCH($B231,Cost_Centers!$A:$A,0)),"(unknown)"))</f>
        <v/>
      </c>
      <c r="Z231" s="22">
        <f>IF(OR($B231="",$G231&lt;&gt;"Variance vs Budget"),"",ABS(N($V231))+ROW()/1000000000)</f>
        <v/>
      </c>
    </row>
    <row r="232">
      <c r="A232" s="13">
        <f>IF(A$226="","",A$226)</f>
        <v/>
      </c>
      <c r="B232" s="13">
        <f>IF(B$226="","",B$226)</f>
        <v/>
      </c>
      <c r="C232" s="13">
        <f>IF(C$226="","",C$226)</f>
        <v/>
      </c>
      <c r="D232" s="13">
        <f>IF(D$226="","",D$226)</f>
        <v/>
      </c>
      <c r="E232" s="13">
        <f>IF(E$226="","",E$226)</f>
        <v/>
      </c>
      <c r="F232" s="13">
        <f>IF(F$226="","",F$226)</f>
        <v/>
      </c>
      <c r="G232" s="6" t="inlineStr">
        <is>
          <t>Variance vs Prior Month</t>
        </is>
      </c>
      <c r="H232" s="33">
        <f>IF(OR($B$226="",H231=""),"",H230-H231)</f>
        <v/>
      </c>
      <c r="I232" s="33">
        <f>IF(OR($B$226="",I231=""),"",I230-I231)</f>
        <v/>
      </c>
      <c r="J232" s="33">
        <f>IF(OR($B$226="",J231=""),"",J230-J231)</f>
        <v/>
      </c>
      <c r="K232" s="33">
        <f>IF(OR($B$226="",K231=""),"",K230-K231)</f>
        <v/>
      </c>
      <c r="L232" s="33">
        <f>IF(OR($B$226="",L231=""),"",L230-L231)</f>
        <v/>
      </c>
      <c r="M232" s="33">
        <f>IF(OR($B$226="",M231=""),"",M230-M231)</f>
        <v/>
      </c>
      <c r="N232" s="33">
        <f>IF(OR($B$226="",N231=""),"",N230-N231)</f>
        <v/>
      </c>
      <c r="O232" s="33">
        <f>IF(OR($B$226="",O231=""),"",O230-O231)</f>
        <v/>
      </c>
      <c r="P232" s="33">
        <f>IF(OR($B$226="",P231=""),"",P230-P231)</f>
        <v/>
      </c>
      <c r="Q232" s="33">
        <f>IF(OR($B$226="",Q231=""),"",Q230-Q231)</f>
        <v/>
      </c>
      <c r="R232" s="33">
        <f>IF(OR($B$226="",R231=""),"",R230-R231)</f>
        <v/>
      </c>
      <c r="S232" s="33">
        <f>IF(OR($B$226="",S231=""),"",S230-S231)</f>
        <v/>
      </c>
      <c r="T232" s="33">
        <f>IF(OR($B$226="",T231=""),"",T230-T231)</f>
        <v/>
      </c>
      <c r="U232" s="33">
        <f>IF(OR($B$226="",U231=""),"",U230-U231)</f>
        <v/>
      </c>
      <c r="V232" s="33">
        <f>IF(OR($B$226="",V231=""),"",V230-V231)</f>
        <v/>
      </c>
      <c r="X232" s="22">
        <f>IF($B232="","",IFERROR(INDEX(Cost_Centers!$E:$E,MATCH($B232,Cost_Centers!$A:$A,0)),"(unknown)"))</f>
        <v/>
      </c>
      <c r="Y232" s="22">
        <f>IF($B232="","",IFERROR(INDEX(Cost_Centers!$D:$D,MATCH($B232,Cost_Centers!$A:$A,0)),"(unknown)"))</f>
        <v/>
      </c>
      <c r="Z232" s="22">
        <f>IF(OR($B232="",$G232&lt;&gt;"Variance vs Budget"),"",ABS(N($V232))+ROW()/1000000000)</f>
        <v/>
      </c>
    </row>
    <row r="233" ht="45" customHeight="1">
      <c r="A233" s="13">
        <f>IF(A$226="","",A$226)</f>
        <v/>
      </c>
      <c r="B233" s="13">
        <f>IF(B$226="","",B$226)</f>
        <v/>
      </c>
      <c r="C233" s="13">
        <f>IF(C$226="","",C$226)</f>
        <v/>
      </c>
      <c r="D233" s="13">
        <f>IF(D$226="","",D$226)</f>
        <v/>
      </c>
      <c r="E233" s="13">
        <f>IF(E$226="","",E$226)</f>
        <v/>
      </c>
      <c r="F233" s="13">
        <f>IF(F$226="","",F$226)</f>
        <v/>
      </c>
      <c r="G233" s="7" t="inlineStr">
        <is>
          <t>Rationale</t>
        </is>
      </c>
      <c r="H233" s="38" t="n"/>
      <c r="I233" s="38" t="n"/>
      <c r="J233" s="38" t="n"/>
      <c r="K233" s="38" t="n"/>
      <c r="L233" s="38" t="n"/>
      <c r="M233" s="38" t="n"/>
      <c r="N233" s="38" t="n"/>
      <c r="O233" s="38" t="n"/>
      <c r="P233" s="38" t="n"/>
      <c r="Q233" s="38" t="n"/>
      <c r="R233" s="38" t="n"/>
      <c r="S233" s="38" t="n"/>
      <c r="T233" s="38" t="n"/>
      <c r="U233" s="38" t="n"/>
      <c r="V233" s="7" t="n"/>
      <c r="X233" s="22">
        <f>IF($B233="","",IFERROR(INDEX(Cost_Centers!$E:$E,MATCH($B233,Cost_Centers!$A:$A,0)),"(unknown)"))</f>
        <v/>
      </c>
      <c r="Y233" s="22">
        <f>IF($B233="","",IFERROR(INDEX(Cost_Centers!$D:$D,MATCH($B233,Cost_Centers!$A:$A,0)),"(unknown)"))</f>
        <v/>
      </c>
      <c r="Z233" s="22">
        <f>IF(OR($B233="",$G233&lt;&gt;"Variance vs Budget"),"",ABS(N($V233))+ROW()/1000000000)</f>
        <v/>
      </c>
    </row>
    <row r="234">
      <c r="A234" s="30">
        <f>IF($D$234="","",LEFT($D$234,FIND("|",$D$234&amp;"|")-1))</f>
        <v/>
      </c>
      <c r="B234" s="31" t="n"/>
      <c r="C234" s="30">
        <f>IF($B$234="","",IFERROR(INDEX(Cost_Centers!$B:$B,MATCH($B$234,Cost_Centers!$A:$A,0)),"(not in master)"))</f>
        <v/>
      </c>
      <c r="D234" s="31" t="n"/>
      <c r="E234" s="30">
        <f>IF($D$234="","",IFERROR(INDEX(Accounts!$D:$D,MATCH($D$234,Accounts!$A:$A,0)),"(not in master)"))</f>
        <v/>
      </c>
      <c r="F234" s="31" t="n"/>
      <c r="G234" s="30" t="inlineStr">
        <is>
          <t>Budget</t>
        </is>
      </c>
      <c r="H234" s="32">
        <f>IF($B$234="","",SUMIFS(Opex_Budget!$O:$O,Opex_Budget!$A:$A,$C$3,Opex_Budget!$E:$E,$B$234,Opex_Budget!$F:$F,$D$234,Opex_Budget!$N:$N,"JPY")*$E$5+SUMIFS(Opex_Budget!$O:$O,Opex_Budget!$A:$A,$C$3,Opex_Budget!$E:$E,$B$234,Opex_Budget!$F:$F,$D$234,Opex_Budget!$N:$N,"USD")*$F$5+SUMIFS(Opex_Budget!$O:$O,Opex_Budget!$A:$A,$C$3,Opex_Budget!$E:$E,$B$234,Opex_Budget!$F:$F,$D$234,Opex_Budget!$N:$N,"EUR")*$G$5+SUMIFS(Opex_Budget!$O:$O,Opex_Budget!$A:$A,$C$3,Opex_Budget!$E:$E,$B$234,Opex_Budget!$F:$F,$D$234,Opex_Budget!$N:$N,"GBP")*$H$5)</f>
        <v/>
      </c>
      <c r="I234" s="32">
        <f>IF($B$234="","",SUMIFS(Opex_Budget!$P:$P,Opex_Budget!$A:$A,$C$3,Opex_Budget!$E:$E,$B$234,Opex_Budget!$F:$F,$D$234,Opex_Budget!$N:$N,"JPY")*$E$5+SUMIFS(Opex_Budget!$P:$P,Opex_Budget!$A:$A,$C$3,Opex_Budget!$E:$E,$B$234,Opex_Budget!$F:$F,$D$234,Opex_Budget!$N:$N,"USD")*$F$5+SUMIFS(Opex_Budget!$P:$P,Opex_Budget!$A:$A,$C$3,Opex_Budget!$E:$E,$B$234,Opex_Budget!$F:$F,$D$234,Opex_Budget!$N:$N,"EUR")*$G$5+SUMIFS(Opex_Budget!$P:$P,Opex_Budget!$A:$A,$C$3,Opex_Budget!$E:$E,$B$234,Opex_Budget!$F:$F,$D$234,Opex_Budget!$N:$N,"GBP")*$H$5)</f>
        <v/>
      </c>
      <c r="J234" s="32">
        <f>IF($B$234="","",SUMIFS(Opex_Budget!$Q:$Q,Opex_Budget!$A:$A,$C$3,Opex_Budget!$E:$E,$B$234,Opex_Budget!$F:$F,$D$234,Opex_Budget!$N:$N,"JPY")*$E$5+SUMIFS(Opex_Budget!$Q:$Q,Opex_Budget!$A:$A,$C$3,Opex_Budget!$E:$E,$B$234,Opex_Budget!$F:$F,$D$234,Opex_Budget!$N:$N,"USD")*$F$5+SUMIFS(Opex_Budget!$Q:$Q,Opex_Budget!$A:$A,$C$3,Opex_Budget!$E:$E,$B$234,Opex_Budget!$F:$F,$D$234,Opex_Budget!$N:$N,"EUR")*$G$5+SUMIFS(Opex_Budget!$Q:$Q,Opex_Budget!$A:$A,$C$3,Opex_Budget!$E:$E,$B$234,Opex_Budget!$F:$F,$D$234,Opex_Budget!$N:$N,"GBP")*$H$5)</f>
        <v/>
      </c>
      <c r="K234" s="32">
        <f>IF($B$234="","",SUMIFS(Opex_Budget!$R:$R,Opex_Budget!$A:$A,$C$3,Opex_Budget!$E:$E,$B$234,Opex_Budget!$F:$F,$D$234,Opex_Budget!$N:$N,"JPY")*$E$5+SUMIFS(Opex_Budget!$R:$R,Opex_Budget!$A:$A,$C$3,Opex_Budget!$E:$E,$B$234,Opex_Budget!$F:$F,$D$234,Opex_Budget!$N:$N,"USD")*$F$5+SUMIFS(Opex_Budget!$R:$R,Opex_Budget!$A:$A,$C$3,Opex_Budget!$E:$E,$B$234,Opex_Budget!$F:$F,$D$234,Opex_Budget!$N:$N,"EUR")*$G$5+SUMIFS(Opex_Budget!$R:$R,Opex_Budget!$A:$A,$C$3,Opex_Budget!$E:$E,$B$234,Opex_Budget!$F:$F,$D$234,Opex_Budget!$N:$N,"GBP")*$H$5)</f>
        <v/>
      </c>
      <c r="L234" s="32">
        <f>IF($B$234="","",SUMIFS(Opex_Budget!$S:$S,Opex_Budget!$A:$A,$C$3,Opex_Budget!$E:$E,$B$234,Opex_Budget!$F:$F,$D$234,Opex_Budget!$N:$N,"JPY")*$E$5+SUMIFS(Opex_Budget!$S:$S,Opex_Budget!$A:$A,$C$3,Opex_Budget!$E:$E,$B$234,Opex_Budget!$F:$F,$D$234,Opex_Budget!$N:$N,"USD")*$F$5+SUMIFS(Opex_Budget!$S:$S,Opex_Budget!$A:$A,$C$3,Opex_Budget!$E:$E,$B$234,Opex_Budget!$F:$F,$D$234,Opex_Budget!$N:$N,"EUR")*$G$5+SUMIFS(Opex_Budget!$S:$S,Opex_Budget!$A:$A,$C$3,Opex_Budget!$E:$E,$B$234,Opex_Budget!$F:$F,$D$234,Opex_Budget!$N:$N,"GBP")*$H$5)</f>
        <v/>
      </c>
      <c r="M234" s="32">
        <f>IF($B$234="","",SUMIFS(Opex_Budget!$T:$T,Opex_Budget!$A:$A,$C$3,Opex_Budget!$E:$E,$B$234,Opex_Budget!$F:$F,$D$234,Opex_Budget!$N:$N,"JPY")*$E$5+SUMIFS(Opex_Budget!$T:$T,Opex_Budget!$A:$A,$C$3,Opex_Budget!$E:$E,$B$234,Opex_Budget!$F:$F,$D$234,Opex_Budget!$N:$N,"USD")*$F$5+SUMIFS(Opex_Budget!$T:$T,Opex_Budget!$A:$A,$C$3,Opex_Budget!$E:$E,$B$234,Opex_Budget!$F:$F,$D$234,Opex_Budget!$N:$N,"EUR")*$G$5+SUMIFS(Opex_Budget!$T:$T,Opex_Budget!$A:$A,$C$3,Opex_Budget!$E:$E,$B$234,Opex_Budget!$F:$F,$D$234,Opex_Budget!$N:$N,"GBP")*$H$5)</f>
        <v/>
      </c>
      <c r="N234" s="32">
        <f>IF($B$234="","",SUMIFS(Opex_Budget!$U:$U,Opex_Budget!$A:$A,$C$3,Opex_Budget!$E:$E,$B$234,Opex_Budget!$F:$F,$D$234,Opex_Budget!$N:$N,"JPY")*$E$5+SUMIFS(Opex_Budget!$U:$U,Opex_Budget!$A:$A,$C$3,Opex_Budget!$E:$E,$B$234,Opex_Budget!$F:$F,$D$234,Opex_Budget!$N:$N,"USD")*$F$5+SUMIFS(Opex_Budget!$U:$U,Opex_Budget!$A:$A,$C$3,Opex_Budget!$E:$E,$B$234,Opex_Budget!$F:$F,$D$234,Opex_Budget!$N:$N,"EUR")*$G$5+SUMIFS(Opex_Budget!$U:$U,Opex_Budget!$A:$A,$C$3,Opex_Budget!$E:$E,$B$234,Opex_Budget!$F:$F,$D$234,Opex_Budget!$N:$N,"GBP")*$H$5)</f>
        <v/>
      </c>
      <c r="O234" s="32">
        <f>IF($B$234="","",SUMIFS(Opex_Budget!$V:$V,Opex_Budget!$A:$A,$C$3,Opex_Budget!$E:$E,$B$234,Opex_Budget!$F:$F,$D$234,Opex_Budget!$N:$N,"JPY")*$E$5+SUMIFS(Opex_Budget!$V:$V,Opex_Budget!$A:$A,$C$3,Opex_Budget!$E:$E,$B$234,Opex_Budget!$F:$F,$D$234,Opex_Budget!$N:$N,"USD")*$F$5+SUMIFS(Opex_Budget!$V:$V,Opex_Budget!$A:$A,$C$3,Opex_Budget!$E:$E,$B$234,Opex_Budget!$F:$F,$D$234,Opex_Budget!$N:$N,"EUR")*$G$5+SUMIFS(Opex_Budget!$V:$V,Opex_Budget!$A:$A,$C$3,Opex_Budget!$E:$E,$B$234,Opex_Budget!$F:$F,$D$234,Opex_Budget!$N:$N,"GBP")*$H$5)</f>
        <v/>
      </c>
      <c r="P234" s="32">
        <f>IF($B$234="","",SUMIFS(Opex_Budget!$W:$W,Opex_Budget!$A:$A,$C$3,Opex_Budget!$E:$E,$B$234,Opex_Budget!$F:$F,$D$234,Opex_Budget!$N:$N,"JPY")*$E$5+SUMIFS(Opex_Budget!$W:$W,Opex_Budget!$A:$A,$C$3,Opex_Budget!$E:$E,$B$234,Opex_Budget!$F:$F,$D$234,Opex_Budget!$N:$N,"USD")*$F$5+SUMIFS(Opex_Budget!$W:$W,Opex_Budget!$A:$A,$C$3,Opex_Budget!$E:$E,$B$234,Opex_Budget!$F:$F,$D$234,Opex_Budget!$N:$N,"EUR")*$G$5+SUMIFS(Opex_Budget!$W:$W,Opex_Budget!$A:$A,$C$3,Opex_Budget!$E:$E,$B$234,Opex_Budget!$F:$F,$D$234,Opex_Budget!$N:$N,"GBP")*$H$5)</f>
        <v/>
      </c>
      <c r="Q234" s="32">
        <f>IF($B$234="","",SUMIFS(Opex_Budget!$X:$X,Opex_Budget!$A:$A,$C$3,Opex_Budget!$E:$E,$B$234,Opex_Budget!$F:$F,$D$234,Opex_Budget!$N:$N,"JPY")*$E$5+SUMIFS(Opex_Budget!$X:$X,Opex_Budget!$A:$A,$C$3,Opex_Budget!$E:$E,$B$234,Opex_Budget!$F:$F,$D$234,Opex_Budget!$N:$N,"USD")*$F$5+SUMIFS(Opex_Budget!$X:$X,Opex_Budget!$A:$A,$C$3,Opex_Budget!$E:$E,$B$234,Opex_Budget!$F:$F,$D$234,Opex_Budget!$N:$N,"EUR")*$G$5+SUMIFS(Opex_Budget!$X:$X,Opex_Budget!$A:$A,$C$3,Opex_Budget!$E:$E,$B$234,Opex_Budget!$F:$F,$D$234,Opex_Budget!$N:$N,"GBP")*$H$5)</f>
        <v/>
      </c>
      <c r="R234" s="32">
        <f>IF($B$234="","",SUMIFS(Opex_Budget!$Y:$Y,Opex_Budget!$A:$A,$C$3,Opex_Budget!$E:$E,$B$234,Opex_Budget!$F:$F,$D$234,Opex_Budget!$N:$N,"JPY")*$E$5+SUMIFS(Opex_Budget!$Y:$Y,Opex_Budget!$A:$A,$C$3,Opex_Budget!$E:$E,$B$234,Opex_Budget!$F:$F,$D$234,Opex_Budget!$N:$N,"USD")*$F$5+SUMIFS(Opex_Budget!$Y:$Y,Opex_Budget!$A:$A,$C$3,Opex_Budget!$E:$E,$B$234,Opex_Budget!$F:$F,$D$234,Opex_Budget!$N:$N,"EUR")*$G$5+SUMIFS(Opex_Budget!$Y:$Y,Opex_Budget!$A:$A,$C$3,Opex_Budget!$E:$E,$B$234,Opex_Budget!$F:$F,$D$234,Opex_Budget!$N:$N,"GBP")*$H$5)</f>
        <v/>
      </c>
      <c r="S234" s="32">
        <f>IF($B$234="","",SUMIFS(Opex_Budget!$Z:$Z,Opex_Budget!$A:$A,$C$3,Opex_Budget!$E:$E,$B$234,Opex_Budget!$F:$F,$D$234,Opex_Budget!$N:$N,"JPY")*$E$5+SUMIFS(Opex_Budget!$Z:$Z,Opex_Budget!$A:$A,$C$3,Opex_Budget!$E:$E,$B$234,Opex_Budget!$F:$F,$D$234,Opex_Budget!$N:$N,"USD")*$F$5+SUMIFS(Opex_Budget!$Z:$Z,Opex_Budget!$A:$A,$C$3,Opex_Budget!$E:$E,$B$234,Opex_Budget!$F:$F,$D$234,Opex_Budget!$N:$N,"EUR")*$G$5+SUMIFS(Opex_Budget!$Z:$Z,Opex_Budget!$A:$A,$C$3,Opex_Budget!$E:$E,$B$234,Opex_Budget!$F:$F,$D$234,Opex_Budget!$N:$N,"GBP")*$H$5)</f>
        <v/>
      </c>
      <c r="T234" s="32">
        <f>IF($B$234="","",SUMIF($H$7:$S$7,"&lt;="&amp;$C$4,$H234:$S234))</f>
        <v/>
      </c>
      <c r="U234" s="32">
        <f>IF($B$234="","",SUMIF($H$7:$S$7,"&gt;"&amp;$C$4,$H234:$S234))</f>
        <v/>
      </c>
      <c r="V234" s="32">
        <f>IF($B$234="","",SUM($H234:$S234))</f>
        <v/>
      </c>
      <c r="X234" s="22">
        <f>IF($B234="","",IFERROR(INDEX(Cost_Centers!$E:$E,MATCH($B234,Cost_Centers!$A:$A,0)),"(unknown)"))</f>
        <v/>
      </c>
      <c r="Y234" s="22">
        <f>IF($B234="","",IFERROR(INDEX(Cost_Centers!$D:$D,MATCH($B234,Cost_Centers!$A:$A,0)),"(unknown)"))</f>
        <v/>
      </c>
      <c r="Z234" s="22">
        <f>IF(OR($B234="",$G234&lt;&gt;"Variance vs Budget"),"",ABS(N($V234))+ROW()/1000000000)</f>
        <v/>
      </c>
    </row>
    <row r="235">
      <c r="A235" s="13">
        <f>IF(A$234="","",A$234)</f>
        <v/>
      </c>
      <c r="B235" s="13">
        <f>IF(B$234="","",B$234)</f>
        <v/>
      </c>
      <c r="C235" s="13">
        <f>IF(C$234="","",C$234)</f>
        <v/>
      </c>
      <c r="D235" s="13">
        <f>IF(D$234="","",D$234)</f>
        <v/>
      </c>
      <c r="E235" s="13">
        <f>IF(E$234="","",E$234)</f>
        <v/>
      </c>
      <c r="F235" s="13">
        <f>IF(F$234="","",F$234)</f>
        <v/>
      </c>
      <c r="G235" s="7" t="inlineStr">
        <is>
          <t>Actual</t>
        </is>
      </c>
      <c r="H235" s="18">
        <f>IF(OR($B$234="",1&gt;$C$4),"",SUMIFS(Actuals!$G:$G,Actuals!$B:$B,$C$3,Actuals!$C:$C,1,Actuals!$D:$D,$B$234,Actuals!$A:$A,LEFT($D$234,FIND("|",$D$234&amp;"|")-1),Actuals!$E:$E,MID($D$234,FIND("|",$D$234&amp;"|")+1,50),Actuals!$F:$F,"JPY")*$E$5+SUMIFS(Actuals!$G:$G,Actuals!$B:$B,$C$3,Actuals!$C:$C,1,Actuals!$D:$D,$B$234,Actuals!$A:$A,LEFT($D$234,FIND("|",$D$234&amp;"|")-1),Actuals!$E:$E,MID($D$234,FIND("|",$D$234&amp;"|")+1,50),Actuals!$F:$F,"USD")*$F$5+SUMIFS(Actuals!$G:$G,Actuals!$B:$B,$C$3,Actuals!$C:$C,1,Actuals!$D:$D,$B$234,Actuals!$A:$A,LEFT($D$234,FIND("|",$D$234&amp;"|")-1),Actuals!$E:$E,MID($D$234,FIND("|",$D$234&amp;"|")+1,50),Actuals!$F:$F,"EUR")*$G$5+SUMIFS(Actuals!$G:$G,Actuals!$B:$B,$C$3,Actuals!$C:$C,1,Actuals!$D:$D,$B$234,Actuals!$A:$A,LEFT($D$234,FIND("|",$D$234&amp;"|")-1),Actuals!$E:$E,MID($D$234,FIND("|",$D$234&amp;"|")+1,50),Actuals!$F:$F,"GBP")*$H$5)</f>
        <v/>
      </c>
      <c r="I235" s="18">
        <f>IF(OR($B$234="",2&gt;$C$4),"",SUMIFS(Actuals!$G:$G,Actuals!$B:$B,$C$3,Actuals!$C:$C,2,Actuals!$D:$D,$B$234,Actuals!$A:$A,LEFT($D$234,FIND("|",$D$234&amp;"|")-1),Actuals!$E:$E,MID($D$234,FIND("|",$D$234&amp;"|")+1,50),Actuals!$F:$F,"JPY")*$E$5+SUMIFS(Actuals!$G:$G,Actuals!$B:$B,$C$3,Actuals!$C:$C,2,Actuals!$D:$D,$B$234,Actuals!$A:$A,LEFT($D$234,FIND("|",$D$234&amp;"|")-1),Actuals!$E:$E,MID($D$234,FIND("|",$D$234&amp;"|")+1,50),Actuals!$F:$F,"USD")*$F$5+SUMIFS(Actuals!$G:$G,Actuals!$B:$B,$C$3,Actuals!$C:$C,2,Actuals!$D:$D,$B$234,Actuals!$A:$A,LEFT($D$234,FIND("|",$D$234&amp;"|")-1),Actuals!$E:$E,MID($D$234,FIND("|",$D$234&amp;"|")+1,50),Actuals!$F:$F,"EUR")*$G$5+SUMIFS(Actuals!$G:$G,Actuals!$B:$B,$C$3,Actuals!$C:$C,2,Actuals!$D:$D,$B$234,Actuals!$A:$A,LEFT($D$234,FIND("|",$D$234&amp;"|")-1),Actuals!$E:$E,MID($D$234,FIND("|",$D$234&amp;"|")+1,50),Actuals!$F:$F,"GBP")*$H$5)</f>
        <v/>
      </c>
      <c r="J235" s="18">
        <f>IF(OR($B$234="",3&gt;$C$4),"",SUMIFS(Actuals!$G:$G,Actuals!$B:$B,$C$3,Actuals!$C:$C,3,Actuals!$D:$D,$B$234,Actuals!$A:$A,LEFT($D$234,FIND("|",$D$234&amp;"|")-1),Actuals!$E:$E,MID($D$234,FIND("|",$D$234&amp;"|")+1,50),Actuals!$F:$F,"JPY")*$E$5+SUMIFS(Actuals!$G:$G,Actuals!$B:$B,$C$3,Actuals!$C:$C,3,Actuals!$D:$D,$B$234,Actuals!$A:$A,LEFT($D$234,FIND("|",$D$234&amp;"|")-1),Actuals!$E:$E,MID($D$234,FIND("|",$D$234&amp;"|")+1,50),Actuals!$F:$F,"USD")*$F$5+SUMIFS(Actuals!$G:$G,Actuals!$B:$B,$C$3,Actuals!$C:$C,3,Actuals!$D:$D,$B$234,Actuals!$A:$A,LEFT($D$234,FIND("|",$D$234&amp;"|")-1),Actuals!$E:$E,MID($D$234,FIND("|",$D$234&amp;"|")+1,50),Actuals!$F:$F,"EUR")*$G$5+SUMIFS(Actuals!$G:$G,Actuals!$B:$B,$C$3,Actuals!$C:$C,3,Actuals!$D:$D,$B$234,Actuals!$A:$A,LEFT($D$234,FIND("|",$D$234&amp;"|")-1),Actuals!$E:$E,MID($D$234,FIND("|",$D$234&amp;"|")+1,50),Actuals!$F:$F,"GBP")*$H$5)</f>
        <v/>
      </c>
      <c r="K235" s="18">
        <f>IF(OR($B$234="",4&gt;$C$4),"",SUMIFS(Actuals!$G:$G,Actuals!$B:$B,$C$3,Actuals!$C:$C,4,Actuals!$D:$D,$B$234,Actuals!$A:$A,LEFT($D$234,FIND("|",$D$234&amp;"|")-1),Actuals!$E:$E,MID($D$234,FIND("|",$D$234&amp;"|")+1,50),Actuals!$F:$F,"JPY")*$E$5+SUMIFS(Actuals!$G:$G,Actuals!$B:$B,$C$3,Actuals!$C:$C,4,Actuals!$D:$D,$B$234,Actuals!$A:$A,LEFT($D$234,FIND("|",$D$234&amp;"|")-1),Actuals!$E:$E,MID($D$234,FIND("|",$D$234&amp;"|")+1,50),Actuals!$F:$F,"USD")*$F$5+SUMIFS(Actuals!$G:$G,Actuals!$B:$B,$C$3,Actuals!$C:$C,4,Actuals!$D:$D,$B$234,Actuals!$A:$A,LEFT($D$234,FIND("|",$D$234&amp;"|")-1),Actuals!$E:$E,MID($D$234,FIND("|",$D$234&amp;"|")+1,50),Actuals!$F:$F,"EUR")*$G$5+SUMIFS(Actuals!$G:$G,Actuals!$B:$B,$C$3,Actuals!$C:$C,4,Actuals!$D:$D,$B$234,Actuals!$A:$A,LEFT($D$234,FIND("|",$D$234&amp;"|")-1),Actuals!$E:$E,MID($D$234,FIND("|",$D$234&amp;"|")+1,50),Actuals!$F:$F,"GBP")*$H$5)</f>
        <v/>
      </c>
      <c r="L235" s="18">
        <f>IF(OR($B$234="",5&gt;$C$4),"",SUMIFS(Actuals!$G:$G,Actuals!$B:$B,$C$3,Actuals!$C:$C,5,Actuals!$D:$D,$B$234,Actuals!$A:$A,LEFT($D$234,FIND("|",$D$234&amp;"|")-1),Actuals!$E:$E,MID($D$234,FIND("|",$D$234&amp;"|")+1,50),Actuals!$F:$F,"JPY")*$E$5+SUMIFS(Actuals!$G:$G,Actuals!$B:$B,$C$3,Actuals!$C:$C,5,Actuals!$D:$D,$B$234,Actuals!$A:$A,LEFT($D$234,FIND("|",$D$234&amp;"|")-1),Actuals!$E:$E,MID($D$234,FIND("|",$D$234&amp;"|")+1,50),Actuals!$F:$F,"USD")*$F$5+SUMIFS(Actuals!$G:$G,Actuals!$B:$B,$C$3,Actuals!$C:$C,5,Actuals!$D:$D,$B$234,Actuals!$A:$A,LEFT($D$234,FIND("|",$D$234&amp;"|")-1),Actuals!$E:$E,MID($D$234,FIND("|",$D$234&amp;"|")+1,50),Actuals!$F:$F,"EUR")*$G$5+SUMIFS(Actuals!$G:$G,Actuals!$B:$B,$C$3,Actuals!$C:$C,5,Actuals!$D:$D,$B$234,Actuals!$A:$A,LEFT($D$234,FIND("|",$D$234&amp;"|")-1),Actuals!$E:$E,MID($D$234,FIND("|",$D$234&amp;"|")+1,50),Actuals!$F:$F,"GBP")*$H$5)</f>
        <v/>
      </c>
      <c r="M235" s="18">
        <f>IF(OR($B$234="",6&gt;$C$4),"",SUMIFS(Actuals!$G:$G,Actuals!$B:$B,$C$3,Actuals!$C:$C,6,Actuals!$D:$D,$B$234,Actuals!$A:$A,LEFT($D$234,FIND("|",$D$234&amp;"|")-1),Actuals!$E:$E,MID($D$234,FIND("|",$D$234&amp;"|")+1,50),Actuals!$F:$F,"JPY")*$E$5+SUMIFS(Actuals!$G:$G,Actuals!$B:$B,$C$3,Actuals!$C:$C,6,Actuals!$D:$D,$B$234,Actuals!$A:$A,LEFT($D$234,FIND("|",$D$234&amp;"|")-1),Actuals!$E:$E,MID($D$234,FIND("|",$D$234&amp;"|")+1,50),Actuals!$F:$F,"USD")*$F$5+SUMIFS(Actuals!$G:$G,Actuals!$B:$B,$C$3,Actuals!$C:$C,6,Actuals!$D:$D,$B$234,Actuals!$A:$A,LEFT($D$234,FIND("|",$D$234&amp;"|")-1),Actuals!$E:$E,MID($D$234,FIND("|",$D$234&amp;"|")+1,50),Actuals!$F:$F,"EUR")*$G$5+SUMIFS(Actuals!$G:$G,Actuals!$B:$B,$C$3,Actuals!$C:$C,6,Actuals!$D:$D,$B$234,Actuals!$A:$A,LEFT($D$234,FIND("|",$D$234&amp;"|")-1),Actuals!$E:$E,MID($D$234,FIND("|",$D$234&amp;"|")+1,50),Actuals!$F:$F,"GBP")*$H$5)</f>
        <v/>
      </c>
      <c r="N235" s="18">
        <f>IF(OR($B$234="",7&gt;$C$4),"",SUMIFS(Actuals!$G:$G,Actuals!$B:$B,$C$3,Actuals!$C:$C,7,Actuals!$D:$D,$B$234,Actuals!$A:$A,LEFT($D$234,FIND("|",$D$234&amp;"|")-1),Actuals!$E:$E,MID($D$234,FIND("|",$D$234&amp;"|")+1,50),Actuals!$F:$F,"JPY")*$E$5+SUMIFS(Actuals!$G:$G,Actuals!$B:$B,$C$3,Actuals!$C:$C,7,Actuals!$D:$D,$B$234,Actuals!$A:$A,LEFT($D$234,FIND("|",$D$234&amp;"|")-1),Actuals!$E:$E,MID($D$234,FIND("|",$D$234&amp;"|")+1,50),Actuals!$F:$F,"USD")*$F$5+SUMIFS(Actuals!$G:$G,Actuals!$B:$B,$C$3,Actuals!$C:$C,7,Actuals!$D:$D,$B$234,Actuals!$A:$A,LEFT($D$234,FIND("|",$D$234&amp;"|")-1),Actuals!$E:$E,MID($D$234,FIND("|",$D$234&amp;"|")+1,50),Actuals!$F:$F,"EUR")*$G$5+SUMIFS(Actuals!$G:$G,Actuals!$B:$B,$C$3,Actuals!$C:$C,7,Actuals!$D:$D,$B$234,Actuals!$A:$A,LEFT($D$234,FIND("|",$D$234&amp;"|")-1),Actuals!$E:$E,MID($D$234,FIND("|",$D$234&amp;"|")+1,50),Actuals!$F:$F,"GBP")*$H$5)</f>
        <v/>
      </c>
      <c r="O235" s="18">
        <f>IF(OR($B$234="",8&gt;$C$4),"",SUMIFS(Actuals!$G:$G,Actuals!$B:$B,$C$3,Actuals!$C:$C,8,Actuals!$D:$D,$B$234,Actuals!$A:$A,LEFT($D$234,FIND("|",$D$234&amp;"|")-1),Actuals!$E:$E,MID($D$234,FIND("|",$D$234&amp;"|")+1,50),Actuals!$F:$F,"JPY")*$E$5+SUMIFS(Actuals!$G:$G,Actuals!$B:$B,$C$3,Actuals!$C:$C,8,Actuals!$D:$D,$B$234,Actuals!$A:$A,LEFT($D$234,FIND("|",$D$234&amp;"|")-1),Actuals!$E:$E,MID($D$234,FIND("|",$D$234&amp;"|")+1,50),Actuals!$F:$F,"USD")*$F$5+SUMIFS(Actuals!$G:$G,Actuals!$B:$B,$C$3,Actuals!$C:$C,8,Actuals!$D:$D,$B$234,Actuals!$A:$A,LEFT($D$234,FIND("|",$D$234&amp;"|")-1),Actuals!$E:$E,MID($D$234,FIND("|",$D$234&amp;"|")+1,50),Actuals!$F:$F,"EUR")*$G$5+SUMIFS(Actuals!$G:$G,Actuals!$B:$B,$C$3,Actuals!$C:$C,8,Actuals!$D:$D,$B$234,Actuals!$A:$A,LEFT($D$234,FIND("|",$D$234&amp;"|")-1),Actuals!$E:$E,MID($D$234,FIND("|",$D$234&amp;"|")+1,50),Actuals!$F:$F,"GBP")*$H$5)</f>
        <v/>
      </c>
      <c r="P235" s="18">
        <f>IF(OR($B$234="",9&gt;$C$4),"",SUMIFS(Actuals!$G:$G,Actuals!$B:$B,$C$3,Actuals!$C:$C,9,Actuals!$D:$D,$B$234,Actuals!$A:$A,LEFT($D$234,FIND("|",$D$234&amp;"|")-1),Actuals!$E:$E,MID($D$234,FIND("|",$D$234&amp;"|")+1,50),Actuals!$F:$F,"JPY")*$E$5+SUMIFS(Actuals!$G:$G,Actuals!$B:$B,$C$3,Actuals!$C:$C,9,Actuals!$D:$D,$B$234,Actuals!$A:$A,LEFT($D$234,FIND("|",$D$234&amp;"|")-1),Actuals!$E:$E,MID($D$234,FIND("|",$D$234&amp;"|")+1,50),Actuals!$F:$F,"USD")*$F$5+SUMIFS(Actuals!$G:$G,Actuals!$B:$B,$C$3,Actuals!$C:$C,9,Actuals!$D:$D,$B$234,Actuals!$A:$A,LEFT($D$234,FIND("|",$D$234&amp;"|")-1),Actuals!$E:$E,MID($D$234,FIND("|",$D$234&amp;"|")+1,50),Actuals!$F:$F,"EUR")*$G$5+SUMIFS(Actuals!$G:$G,Actuals!$B:$B,$C$3,Actuals!$C:$C,9,Actuals!$D:$D,$B$234,Actuals!$A:$A,LEFT($D$234,FIND("|",$D$234&amp;"|")-1),Actuals!$E:$E,MID($D$234,FIND("|",$D$234&amp;"|")+1,50),Actuals!$F:$F,"GBP")*$H$5)</f>
        <v/>
      </c>
      <c r="Q235" s="18">
        <f>IF(OR($B$234="",10&gt;$C$4),"",SUMIFS(Actuals!$G:$G,Actuals!$B:$B,$C$3,Actuals!$C:$C,10,Actuals!$D:$D,$B$234,Actuals!$A:$A,LEFT($D$234,FIND("|",$D$234&amp;"|")-1),Actuals!$E:$E,MID($D$234,FIND("|",$D$234&amp;"|")+1,50),Actuals!$F:$F,"JPY")*$E$5+SUMIFS(Actuals!$G:$G,Actuals!$B:$B,$C$3,Actuals!$C:$C,10,Actuals!$D:$D,$B$234,Actuals!$A:$A,LEFT($D$234,FIND("|",$D$234&amp;"|")-1),Actuals!$E:$E,MID($D$234,FIND("|",$D$234&amp;"|")+1,50),Actuals!$F:$F,"USD")*$F$5+SUMIFS(Actuals!$G:$G,Actuals!$B:$B,$C$3,Actuals!$C:$C,10,Actuals!$D:$D,$B$234,Actuals!$A:$A,LEFT($D$234,FIND("|",$D$234&amp;"|")-1),Actuals!$E:$E,MID($D$234,FIND("|",$D$234&amp;"|")+1,50),Actuals!$F:$F,"EUR")*$G$5+SUMIFS(Actuals!$G:$G,Actuals!$B:$B,$C$3,Actuals!$C:$C,10,Actuals!$D:$D,$B$234,Actuals!$A:$A,LEFT($D$234,FIND("|",$D$234&amp;"|")-1),Actuals!$E:$E,MID($D$234,FIND("|",$D$234&amp;"|")+1,50),Actuals!$F:$F,"GBP")*$H$5)</f>
        <v/>
      </c>
      <c r="R235" s="18">
        <f>IF(OR($B$234="",11&gt;$C$4),"",SUMIFS(Actuals!$G:$G,Actuals!$B:$B,$C$3,Actuals!$C:$C,11,Actuals!$D:$D,$B$234,Actuals!$A:$A,LEFT($D$234,FIND("|",$D$234&amp;"|")-1),Actuals!$E:$E,MID($D$234,FIND("|",$D$234&amp;"|")+1,50),Actuals!$F:$F,"JPY")*$E$5+SUMIFS(Actuals!$G:$G,Actuals!$B:$B,$C$3,Actuals!$C:$C,11,Actuals!$D:$D,$B$234,Actuals!$A:$A,LEFT($D$234,FIND("|",$D$234&amp;"|")-1),Actuals!$E:$E,MID($D$234,FIND("|",$D$234&amp;"|")+1,50),Actuals!$F:$F,"USD")*$F$5+SUMIFS(Actuals!$G:$G,Actuals!$B:$B,$C$3,Actuals!$C:$C,11,Actuals!$D:$D,$B$234,Actuals!$A:$A,LEFT($D$234,FIND("|",$D$234&amp;"|")-1),Actuals!$E:$E,MID($D$234,FIND("|",$D$234&amp;"|")+1,50),Actuals!$F:$F,"EUR")*$G$5+SUMIFS(Actuals!$G:$G,Actuals!$B:$B,$C$3,Actuals!$C:$C,11,Actuals!$D:$D,$B$234,Actuals!$A:$A,LEFT($D$234,FIND("|",$D$234&amp;"|")-1),Actuals!$E:$E,MID($D$234,FIND("|",$D$234&amp;"|")+1,50),Actuals!$F:$F,"GBP")*$H$5)</f>
        <v/>
      </c>
      <c r="S235" s="18">
        <f>IF(OR($B$234="",12&gt;$C$4),"",SUMIFS(Actuals!$G:$G,Actuals!$B:$B,$C$3,Actuals!$C:$C,12,Actuals!$D:$D,$B$234,Actuals!$A:$A,LEFT($D$234,FIND("|",$D$234&amp;"|")-1),Actuals!$E:$E,MID($D$234,FIND("|",$D$234&amp;"|")+1,50),Actuals!$F:$F,"JPY")*$E$5+SUMIFS(Actuals!$G:$G,Actuals!$B:$B,$C$3,Actuals!$C:$C,12,Actuals!$D:$D,$B$234,Actuals!$A:$A,LEFT($D$234,FIND("|",$D$234&amp;"|")-1),Actuals!$E:$E,MID($D$234,FIND("|",$D$234&amp;"|")+1,50),Actuals!$F:$F,"USD")*$F$5+SUMIFS(Actuals!$G:$G,Actuals!$B:$B,$C$3,Actuals!$C:$C,12,Actuals!$D:$D,$B$234,Actuals!$A:$A,LEFT($D$234,FIND("|",$D$234&amp;"|")-1),Actuals!$E:$E,MID($D$234,FIND("|",$D$234&amp;"|")+1,50),Actuals!$F:$F,"EUR")*$G$5+SUMIFS(Actuals!$G:$G,Actuals!$B:$B,$C$3,Actuals!$C:$C,12,Actuals!$D:$D,$B$234,Actuals!$A:$A,LEFT($D$234,FIND("|",$D$234&amp;"|")-1),Actuals!$E:$E,MID($D$234,FIND("|",$D$234&amp;"|")+1,50),Actuals!$F:$F,"GBP")*$H$5)</f>
        <v/>
      </c>
      <c r="T235" s="18">
        <f>IF($B$234="","",SUMIF($H$7:$S$7,"&lt;="&amp;$C$4,$H235:$S235))</f>
        <v/>
      </c>
      <c r="U235" s="18" t="n"/>
      <c r="V235" s="18" t="n"/>
      <c r="X235" s="22">
        <f>IF($B235="","",IFERROR(INDEX(Cost_Centers!$E:$E,MATCH($B235,Cost_Centers!$A:$A,0)),"(unknown)"))</f>
        <v/>
      </c>
      <c r="Y235" s="22">
        <f>IF($B235="","",IFERROR(INDEX(Cost_Centers!$D:$D,MATCH($B235,Cost_Centers!$A:$A,0)),"(unknown)"))</f>
        <v/>
      </c>
      <c r="Z235" s="22">
        <f>IF(OR($B235="",$G235&lt;&gt;"Variance vs Budget"),"",ABS(N($V235))+ROW()/1000000000)</f>
        <v/>
      </c>
    </row>
    <row r="236">
      <c r="A236" s="13">
        <f>IF(A$234="","",A$234)</f>
        <v/>
      </c>
      <c r="B236" s="13">
        <f>IF(B$234="","",B$234)</f>
        <v/>
      </c>
      <c r="C236" s="13">
        <f>IF(C$234="","",C$234)</f>
        <v/>
      </c>
      <c r="D236" s="13">
        <f>IF(D$234="","",D$234)</f>
        <v/>
      </c>
      <c r="E236" s="13">
        <f>IF(E$234="","",E$234)</f>
        <v/>
      </c>
      <c r="F236" s="13">
        <f>IF(F$234="","",F$234)</f>
        <v/>
      </c>
      <c r="G236" s="6" t="inlineStr">
        <is>
          <t>Variance vs Budget</t>
        </is>
      </c>
      <c r="H236" s="33">
        <f>IF(OR($B$234="",1&gt;$C$4),"",N(H235)-H234)</f>
        <v/>
      </c>
      <c r="I236" s="33">
        <f>IF(OR($B$234="",2&gt;$C$4),"",N(I235)-I234)</f>
        <v/>
      </c>
      <c r="J236" s="33">
        <f>IF(OR($B$234="",3&gt;$C$4),"",N(J235)-J234)</f>
        <v/>
      </c>
      <c r="K236" s="33">
        <f>IF(OR($B$234="",4&gt;$C$4),"",N(K235)-K234)</f>
        <v/>
      </c>
      <c r="L236" s="33">
        <f>IF(OR($B$234="",5&gt;$C$4),"",N(L235)-L234)</f>
        <v/>
      </c>
      <c r="M236" s="33">
        <f>IF(OR($B$234="",6&gt;$C$4),"",N(M235)-M234)</f>
        <v/>
      </c>
      <c r="N236" s="33">
        <f>IF(OR($B$234="",7&gt;$C$4),"",N(N235)-N234)</f>
        <v/>
      </c>
      <c r="O236" s="33">
        <f>IF(OR($B$234="",8&gt;$C$4),"",N(O235)-O234)</f>
        <v/>
      </c>
      <c r="P236" s="33">
        <f>IF(OR($B$234="",9&gt;$C$4),"",N(P235)-P234)</f>
        <v/>
      </c>
      <c r="Q236" s="33">
        <f>IF(OR($B$234="",10&gt;$C$4),"",N(Q235)-Q234)</f>
        <v/>
      </c>
      <c r="R236" s="33">
        <f>IF(OR($B$234="",11&gt;$C$4),"",N(R235)-R234)</f>
        <v/>
      </c>
      <c r="S236" s="33">
        <f>IF(OR($B$234="",12&gt;$C$4),"",N(S235)-S234)</f>
        <v/>
      </c>
      <c r="T236" s="33">
        <f>IF($B$234="","",T235-T234)</f>
        <v/>
      </c>
      <c r="U236" s="33">
        <f>IF($B$234="","",U238-U234)</f>
        <v/>
      </c>
      <c r="V236" s="33">
        <f>IF($B$234="","",V238-V234)</f>
        <v/>
      </c>
      <c r="X236" s="22">
        <f>IF($B236="","",IFERROR(INDEX(Cost_Centers!$E:$E,MATCH($B236,Cost_Centers!$A:$A,0)),"(unknown)"))</f>
        <v/>
      </c>
      <c r="Y236" s="22">
        <f>IF($B236="","",IFERROR(INDEX(Cost_Centers!$D:$D,MATCH($B236,Cost_Centers!$A:$A,0)),"(unknown)"))</f>
        <v/>
      </c>
      <c r="Z236" s="22">
        <f>IF(OR($B236="",$G236&lt;&gt;"Variance vs Budget"),"",ABS(N($V236))+ROW()/1000000000)</f>
        <v/>
      </c>
    </row>
    <row r="237">
      <c r="A237" s="13">
        <f>IF(A$234="","",A$234)</f>
        <v/>
      </c>
      <c r="B237" s="13">
        <f>IF(B$234="","",B$234)</f>
        <v/>
      </c>
      <c r="C237" s="13">
        <f>IF(C$234="","",C$234)</f>
        <v/>
      </c>
      <c r="D237" s="13">
        <f>IF(D$234="","",D$234)</f>
        <v/>
      </c>
      <c r="E237" s="13">
        <f>IF(E$234="","",E$234)</f>
        <v/>
      </c>
      <c r="F237" s="13">
        <f>IF(F$234="","",F$234)</f>
        <v/>
      </c>
      <c r="G237" s="7" t="inlineStr">
        <is>
          <t>Forecast (input)</t>
        </is>
      </c>
      <c r="H237" s="34" t="n"/>
      <c r="I237" s="34" t="n"/>
      <c r="J237" s="34" t="n"/>
      <c r="K237" s="34" t="n"/>
      <c r="L237" s="34" t="n"/>
      <c r="M237" s="34" t="n"/>
      <c r="N237" s="34" t="n"/>
      <c r="O237" s="34" t="n"/>
      <c r="P237" s="34" t="n"/>
      <c r="Q237" s="34" t="n"/>
      <c r="R237" s="34" t="n"/>
      <c r="S237" s="34" t="n"/>
      <c r="T237" s="18" t="n"/>
      <c r="U237" s="18" t="n"/>
      <c r="V237" s="18" t="n"/>
      <c r="X237" s="22">
        <f>IF($B237="","",IFERROR(INDEX(Cost_Centers!$E:$E,MATCH($B237,Cost_Centers!$A:$A,0)),"(unknown)"))</f>
        <v/>
      </c>
      <c r="Y237" s="22">
        <f>IF($B237="","",IFERROR(INDEX(Cost_Centers!$D:$D,MATCH($B237,Cost_Centers!$A:$A,0)),"(unknown)"))</f>
        <v/>
      </c>
      <c r="Z237" s="22">
        <f>IF(OR($B237="",$G237&lt;&gt;"Variance vs Budget"),"",ABS(N($V237))+ROW()/1000000000)</f>
        <v/>
      </c>
    </row>
    <row r="238">
      <c r="A238" s="13">
        <f>IF(A$234="","",A$234)</f>
        <v/>
      </c>
      <c r="B238" s="13">
        <f>IF(B$234="","",B$234)</f>
        <v/>
      </c>
      <c r="C238" s="13">
        <f>IF(C$234="","",C$234)</f>
        <v/>
      </c>
      <c r="D238" s="13">
        <f>IF(D$234="","",D$234)</f>
        <v/>
      </c>
      <c r="E238" s="13">
        <f>IF(E$234="","",E$234)</f>
        <v/>
      </c>
      <c r="F238" s="13">
        <f>IF(F$234="","",F$234)</f>
        <v/>
      </c>
      <c r="G238" s="35" t="inlineStr">
        <is>
          <t>Actual + Forecast</t>
        </is>
      </c>
      <c r="H238" s="18">
        <f>IF($B$234="","",IF(1&lt;=$C$4,N(H235),IF(H237="",H234,H237)))</f>
        <v/>
      </c>
      <c r="I238" s="18">
        <f>IF($B$234="","",IF(2&lt;=$C$4,N(I235),IF(I237="",I234,I237)))</f>
        <v/>
      </c>
      <c r="J238" s="18">
        <f>IF($B$234="","",IF(3&lt;=$C$4,N(J235),IF(J237="",J234,J237)))</f>
        <v/>
      </c>
      <c r="K238" s="18">
        <f>IF($B$234="","",IF(4&lt;=$C$4,N(K235),IF(K237="",K234,K237)))</f>
        <v/>
      </c>
      <c r="L238" s="18">
        <f>IF($B$234="","",IF(5&lt;=$C$4,N(L235),IF(L237="",L234,L237)))</f>
        <v/>
      </c>
      <c r="M238" s="18">
        <f>IF($B$234="","",IF(6&lt;=$C$4,N(M235),IF(M237="",M234,M237)))</f>
        <v/>
      </c>
      <c r="N238" s="18">
        <f>IF($B$234="","",IF(7&lt;=$C$4,N(N235),IF(N237="",N234,N237)))</f>
        <v/>
      </c>
      <c r="O238" s="18">
        <f>IF($B$234="","",IF(8&lt;=$C$4,N(O235),IF(O237="",O234,O237)))</f>
        <v/>
      </c>
      <c r="P238" s="18">
        <f>IF($B$234="","",IF(9&lt;=$C$4,N(P235),IF(P237="",P234,P237)))</f>
        <v/>
      </c>
      <c r="Q238" s="18">
        <f>IF($B$234="","",IF(10&lt;=$C$4,N(Q235),IF(Q237="",Q234,Q237)))</f>
        <v/>
      </c>
      <c r="R238" s="18">
        <f>IF($B$234="","",IF(11&lt;=$C$4,N(R235),IF(R237="",R234,R237)))</f>
        <v/>
      </c>
      <c r="S238" s="18">
        <f>IF($B$234="","",IF(12&lt;=$C$4,N(S235),IF(S237="",S234,S237)))</f>
        <v/>
      </c>
      <c r="T238" s="18">
        <f>IF($B$234="","",SUMIF($H$7:$S$7,"&lt;="&amp;$C$4,$H238:$S238))</f>
        <v/>
      </c>
      <c r="U238" s="18">
        <f>IF($B$234="","",SUMIF($H$7:$S$7,"&gt;"&amp;$C$4,$H238:$S238))</f>
        <v/>
      </c>
      <c r="V238" s="18">
        <f>IF($B$234="","",SUM($H238:$S238))</f>
        <v/>
      </c>
      <c r="X238" s="22">
        <f>IF($B238="","",IFERROR(INDEX(Cost_Centers!$E:$E,MATCH($B238,Cost_Centers!$A:$A,0)),"(unknown)"))</f>
        <v/>
      </c>
      <c r="Y238" s="22">
        <f>IF($B238="","",IFERROR(INDEX(Cost_Centers!$D:$D,MATCH($B238,Cost_Centers!$A:$A,0)),"(unknown)"))</f>
        <v/>
      </c>
      <c r="Z238" s="22">
        <f>IF(OR($B238="",$G238&lt;&gt;"Variance vs Budget"),"",ABS(N($V238))+ROW()/1000000000)</f>
        <v/>
      </c>
    </row>
    <row r="239">
      <c r="A239" s="13">
        <f>IF(A$234="","",A$234)</f>
        <v/>
      </c>
      <c r="B239" s="13">
        <f>IF(B$234="","",B$234)</f>
        <v/>
      </c>
      <c r="C239" s="13">
        <f>IF(C$234="","",C$234)</f>
        <v/>
      </c>
      <c r="D239" s="13">
        <f>IF(D$234="","",D$234)</f>
        <v/>
      </c>
      <c r="E239" s="13">
        <f>IF(E$234="","",E$234)</f>
        <v/>
      </c>
      <c r="F239" s="13">
        <f>IF(F$234="","",F$234)</f>
        <v/>
      </c>
      <c r="G239" s="36" t="inlineStr">
        <is>
          <t>Prior Month Forecast</t>
        </is>
      </c>
      <c r="H239" s="37">
        <f>IF($B$234="","",IF(COUNTIFS(Prior_Forecast!$A:$A,$B$234,Prior_Forecast!$B:$B,$D$234)&gt;0,SUMIFS(Prior_Forecast!$C:$C,Prior_Forecast!$A:$A,$B$234,Prior_Forecast!$B:$B,$D$234),""))</f>
        <v/>
      </c>
      <c r="I239" s="37">
        <f>IF($B$234="","",IF(COUNTIFS(Prior_Forecast!$A:$A,$B$234,Prior_Forecast!$B:$B,$D$234)&gt;0,SUMIFS(Prior_Forecast!$D:$D,Prior_Forecast!$A:$A,$B$234,Prior_Forecast!$B:$B,$D$234),""))</f>
        <v/>
      </c>
      <c r="J239" s="37">
        <f>IF($B$234="","",IF(COUNTIFS(Prior_Forecast!$A:$A,$B$234,Prior_Forecast!$B:$B,$D$234)&gt;0,SUMIFS(Prior_Forecast!$E:$E,Prior_Forecast!$A:$A,$B$234,Prior_Forecast!$B:$B,$D$234),""))</f>
        <v/>
      </c>
      <c r="K239" s="37">
        <f>IF($B$234="","",IF(COUNTIFS(Prior_Forecast!$A:$A,$B$234,Prior_Forecast!$B:$B,$D$234)&gt;0,SUMIFS(Prior_Forecast!$F:$F,Prior_Forecast!$A:$A,$B$234,Prior_Forecast!$B:$B,$D$234),""))</f>
        <v/>
      </c>
      <c r="L239" s="37">
        <f>IF($B$234="","",IF(COUNTIFS(Prior_Forecast!$A:$A,$B$234,Prior_Forecast!$B:$B,$D$234)&gt;0,SUMIFS(Prior_Forecast!$G:$G,Prior_Forecast!$A:$A,$B$234,Prior_Forecast!$B:$B,$D$234),""))</f>
        <v/>
      </c>
      <c r="M239" s="37">
        <f>IF($B$234="","",IF(COUNTIFS(Prior_Forecast!$A:$A,$B$234,Prior_Forecast!$B:$B,$D$234)&gt;0,SUMIFS(Prior_Forecast!$H:$H,Prior_Forecast!$A:$A,$B$234,Prior_Forecast!$B:$B,$D$234),""))</f>
        <v/>
      </c>
      <c r="N239" s="37">
        <f>IF($B$234="","",IF(COUNTIFS(Prior_Forecast!$A:$A,$B$234,Prior_Forecast!$B:$B,$D$234)&gt;0,SUMIFS(Prior_Forecast!$I:$I,Prior_Forecast!$A:$A,$B$234,Prior_Forecast!$B:$B,$D$234),""))</f>
        <v/>
      </c>
      <c r="O239" s="37">
        <f>IF($B$234="","",IF(COUNTIFS(Prior_Forecast!$A:$A,$B$234,Prior_Forecast!$B:$B,$D$234)&gt;0,SUMIFS(Prior_Forecast!$J:$J,Prior_Forecast!$A:$A,$B$234,Prior_Forecast!$B:$B,$D$234),""))</f>
        <v/>
      </c>
      <c r="P239" s="37">
        <f>IF($B$234="","",IF(COUNTIFS(Prior_Forecast!$A:$A,$B$234,Prior_Forecast!$B:$B,$D$234)&gt;0,SUMIFS(Prior_Forecast!$K:$K,Prior_Forecast!$A:$A,$B$234,Prior_Forecast!$B:$B,$D$234),""))</f>
        <v/>
      </c>
      <c r="Q239" s="37">
        <f>IF($B$234="","",IF(COUNTIFS(Prior_Forecast!$A:$A,$B$234,Prior_Forecast!$B:$B,$D$234)&gt;0,SUMIFS(Prior_Forecast!$L:$L,Prior_Forecast!$A:$A,$B$234,Prior_Forecast!$B:$B,$D$234),""))</f>
        <v/>
      </c>
      <c r="R239" s="37">
        <f>IF($B$234="","",IF(COUNTIFS(Prior_Forecast!$A:$A,$B$234,Prior_Forecast!$B:$B,$D$234)&gt;0,SUMIFS(Prior_Forecast!$M:$M,Prior_Forecast!$A:$A,$B$234,Prior_Forecast!$B:$B,$D$234),""))</f>
        <v/>
      </c>
      <c r="S239" s="37">
        <f>IF($B$234="","",IF(COUNTIFS(Prior_Forecast!$A:$A,$B$234,Prior_Forecast!$B:$B,$D$234)&gt;0,SUMIFS(Prior_Forecast!$N:$N,Prior_Forecast!$A:$A,$B$234,Prior_Forecast!$B:$B,$D$234),""))</f>
        <v/>
      </c>
      <c r="T239" s="37">
        <f>IF($B$234="","",IF(COUNTIFS(Prior_Forecast!$A:$A,$B$234,Prior_Forecast!$B:$B,$D$234)&gt;0,SUMIFS(Prior_Forecast!$O:$O,Prior_Forecast!$A:$A,$B$234,Prior_Forecast!$B:$B,$D$234),""))</f>
        <v/>
      </c>
      <c r="U239" s="37">
        <f>IF($B$234="","",IF(COUNTIFS(Prior_Forecast!$A:$A,$B$234,Prior_Forecast!$B:$B,$D$234)&gt;0,SUMIFS(Prior_Forecast!$P:$P,Prior_Forecast!$A:$A,$B$234,Prior_Forecast!$B:$B,$D$234),""))</f>
        <v/>
      </c>
      <c r="V239" s="37">
        <f>IF($B$234="","",IF(COUNTIFS(Prior_Forecast!$A:$A,$B$234,Prior_Forecast!$B:$B,$D$234)&gt;0,SUMIFS(Prior_Forecast!$Q:$Q,Prior_Forecast!$A:$A,$B$234,Prior_Forecast!$B:$B,$D$234),""))</f>
        <v/>
      </c>
      <c r="X239" s="22">
        <f>IF($B239="","",IFERROR(INDEX(Cost_Centers!$E:$E,MATCH($B239,Cost_Centers!$A:$A,0)),"(unknown)"))</f>
        <v/>
      </c>
      <c r="Y239" s="22">
        <f>IF($B239="","",IFERROR(INDEX(Cost_Centers!$D:$D,MATCH($B239,Cost_Centers!$A:$A,0)),"(unknown)"))</f>
        <v/>
      </c>
      <c r="Z239" s="22">
        <f>IF(OR($B239="",$G239&lt;&gt;"Variance vs Budget"),"",ABS(N($V239))+ROW()/1000000000)</f>
        <v/>
      </c>
    </row>
    <row r="240">
      <c r="A240" s="13">
        <f>IF(A$234="","",A$234)</f>
        <v/>
      </c>
      <c r="B240" s="13">
        <f>IF(B$234="","",B$234)</f>
        <v/>
      </c>
      <c r="C240" s="13">
        <f>IF(C$234="","",C$234)</f>
        <v/>
      </c>
      <c r="D240" s="13">
        <f>IF(D$234="","",D$234)</f>
        <v/>
      </c>
      <c r="E240" s="13">
        <f>IF(E$234="","",E$234)</f>
        <v/>
      </c>
      <c r="F240" s="13">
        <f>IF(F$234="","",F$234)</f>
        <v/>
      </c>
      <c r="G240" s="6" t="inlineStr">
        <is>
          <t>Variance vs Prior Month</t>
        </is>
      </c>
      <c r="H240" s="33">
        <f>IF(OR($B$234="",H239=""),"",H238-H239)</f>
        <v/>
      </c>
      <c r="I240" s="33">
        <f>IF(OR($B$234="",I239=""),"",I238-I239)</f>
        <v/>
      </c>
      <c r="J240" s="33">
        <f>IF(OR($B$234="",J239=""),"",J238-J239)</f>
        <v/>
      </c>
      <c r="K240" s="33">
        <f>IF(OR($B$234="",K239=""),"",K238-K239)</f>
        <v/>
      </c>
      <c r="L240" s="33">
        <f>IF(OR($B$234="",L239=""),"",L238-L239)</f>
        <v/>
      </c>
      <c r="M240" s="33">
        <f>IF(OR($B$234="",M239=""),"",M238-M239)</f>
        <v/>
      </c>
      <c r="N240" s="33">
        <f>IF(OR($B$234="",N239=""),"",N238-N239)</f>
        <v/>
      </c>
      <c r="O240" s="33">
        <f>IF(OR($B$234="",O239=""),"",O238-O239)</f>
        <v/>
      </c>
      <c r="P240" s="33">
        <f>IF(OR($B$234="",P239=""),"",P238-P239)</f>
        <v/>
      </c>
      <c r="Q240" s="33">
        <f>IF(OR($B$234="",Q239=""),"",Q238-Q239)</f>
        <v/>
      </c>
      <c r="R240" s="33">
        <f>IF(OR($B$234="",R239=""),"",R238-R239)</f>
        <v/>
      </c>
      <c r="S240" s="33">
        <f>IF(OR($B$234="",S239=""),"",S238-S239)</f>
        <v/>
      </c>
      <c r="T240" s="33">
        <f>IF(OR($B$234="",T239=""),"",T238-T239)</f>
        <v/>
      </c>
      <c r="U240" s="33">
        <f>IF(OR($B$234="",U239=""),"",U238-U239)</f>
        <v/>
      </c>
      <c r="V240" s="33">
        <f>IF(OR($B$234="",V239=""),"",V238-V239)</f>
        <v/>
      </c>
      <c r="X240" s="22">
        <f>IF($B240="","",IFERROR(INDEX(Cost_Centers!$E:$E,MATCH($B240,Cost_Centers!$A:$A,0)),"(unknown)"))</f>
        <v/>
      </c>
      <c r="Y240" s="22">
        <f>IF($B240="","",IFERROR(INDEX(Cost_Centers!$D:$D,MATCH($B240,Cost_Centers!$A:$A,0)),"(unknown)"))</f>
        <v/>
      </c>
      <c r="Z240" s="22">
        <f>IF(OR($B240="",$G240&lt;&gt;"Variance vs Budget"),"",ABS(N($V240))+ROW()/1000000000)</f>
        <v/>
      </c>
    </row>
    <row r="241" ht="45" customHeight="1">
      <c r="A241" s="13">
        <f>IF(A$234="","",A$234)</f>
        <v/>
      </c>
      <c r="B241" s="13">
        <f>IF(B$234="","",B$234)</f>
        <v/>
      </c>
      <c r="C241" s="13">
        <f>IF(C$234="","",C$234)</f>
        <v/>
      </c>
      <c r="D241" s="13">
        <f>IF(D$234="","",D$234)</f>
        <v/>
      </c>
      <c r="E241" s="13">
        <f>IF(E$234="","",E$234)</f>
        <v/>
      </c>
      <c r="F241" s="13">
        <f>IF(F$234="","",F$234)</f>
        <v/>
      </c>
      <c r="G241" s="7" t="inlineStr">
        <is>
          <t>Rationale</t>
        </is>
      </c>
      <c r="H241" s="38" t="n"/>
      <c r="I241" s="38" t="n"/>
      <c r="J241" s="38" t="n"/>
      <c r="K241" s="38" t="n"/>
      <c r="L241" s="38" t="n"/>
      <c r="M241" s="38" t="n"/>
      <c r="N241" s="38" t="n"/>
      <c r="O241" s="38" t="n"/>
      <c r="P241" s="38" t="n"/>
      <c r="Q241" s="38" t="n"/>
      <c r="R241" s="38" t="n"/>
      <c r="S241" s="38" t="n"/>
      <c r="T241" s="38" t="n"/>
      <c r="U241" s="38" t="n"/>
      <c r="V241" s="7" t="n"/>
      <c r="X241" s="22">
        <f>IF($B241="","",IFERROR(INDEX(Cost_Centers!$E:$E,MATCH($B241,Cost_Centers!$A:$A,0)),"(unknown)"))</f>
        <v/>
      </c>
      <c r="Y241" s="22">
        <f>IF($B241="","",IFERROR(INDEX(Cost_Centers!$D:$D,MATCH($B241,Cost_Centers!$A:$A,0)),"(unknown)"))</f>
        <v/>
      </c>
      <c r="Z241" s="22">
        <f>IF(OR($B241="",$G241&lt;&gt;"Variance vs Budget"),"",ABS(N($V241))+ROW()/1000000000)</f>
        <v/>
      </c>
    </row>
    <row r="242">
      <c r="A242" s="30">
        <f>IF($D$242="","",LEFT($D$242,FIND("|",$D$242&amp;"|")-1))</f>
        <v/>
      </c>
      <c r="B242" s="31" t="n"/>
      <c r="C242" s="30">
        <f>IF($B$242="","",IFERROR(INDEX(Cost_Centers!$B:$B,MATCH($B$242,Cost_Centers!$A:$A,0)),"(not in master)"))</f>
        <v/>
      </c>
      <c r="D242" s="31" t="n"/>
      <c r="E242" s="30">
        <f>IF($D$242="","",IFERROR(INDEX(Accounts!$D:$D,MATCH($D$242,Accounts!$A:$A,0)),"(not in master)"))</f>
        <v/>
      </c>
      <c r="F242" s="31" t="n"/>
      <c r="G242" s="30" t="inlineStr">
        <is>
          <t>Budget</t>
        </is>
      </c>
      <c r="H242" s="32">
        <f>IF($B$242="","",SUMIFS(Opex_Budget!$O:$O,Opex_Budget!$A:$A,$C$3,Opex_Budget!$E:$E,$B$242,Opex_Budget!$F:$F,$D$242,Opex_Budget!$N:$N,"JPY")*$E$5+SUMIFS(Opex_Budget!$O:$O,Opex_Budget!$A:$A,$C$3,Opex_Budget!$E:$E,$B$242,Opex_Budget!$F:$F,$D$242,Opex_Budget!$N:$N,"USD")*$F$5+SUMIFS(Opex_Budget!$O:$O,Opex_Budget!$A:$A,$C$3,Opex_Budget!$E:$E,$B$242,Opex_Budget!$F:$F,$D$242,Opex_Budget!$N:$N,"EUR")*$G$5+SUMIFS(Opex_Budget!$O:$O,Opex_Budget!$A:$A,$C$3,Opex_Budget!$E:$E,$B$242,Opex_Budget!$F:$F,$D$242,Opex_Budget!$N:$N,"GBP")*$H$5)</f>
        <v/>
      </c>
      <c r="I242" s="32">
        <f>IF($B$242="","",SUMIFS(Opex_Budget!$P:$P,Opex_Budget!$A:$A,$C$3,Opex_Budget!$E:$E,$B$242,Opex_Budget!$F:$F,$D$242,Opex_Budget!$N:$N,"JPY")*$E$5+SUMIFS(Opex_Budget!$P:$P,Opex_Budget!$A:$A,$C$3,Opex_Budget!$E:$E,$B$242,Opex_Budget!$F:$F,$D$242,Opex_Budget!$N:$N,"USD")*$F$5+SUMIFS(Opex_Budget!$P:$P,Opex_Budget!$A:$A,$C$3,Opex_Budget!$E:$E,$B$242,Opex_Budget!$F:$F,$D$242,Opex_Budget!$N:$N,"EUR")*$G$5+SUMIFS(Opex_Budget!$P:$P,Opex_Budget!$A:$A,$C$3,Opex_Budget!$E:$E,$B$242,Opex_Budget!$F:$F,$D$242,Opex_Budget!$N:$N,"GBP")*$H$5)</f>
        <v/>
      </c>
      <c r="J242" s="32">
        <f>IF($B$242="","",SUMIFS(Opex_Budget!$Q:$Q,Opex_Budget!$A:$A,$C$3,Opex_Budget!$E:$E,$B$242,Opex_Budget!$F:$F,$D$242,Opex_Budget!$N:$N,"JPY")*$E$5+SUMIFS(Opex_Budget!$Q:$Q,Opex_Budget!$A:$A,$C$3,Opex_Budget!$E:$E,$B$242,Opex_Budget!$F:$F,$D$242,Opex_Budget!$N:$N,"USD")*$F$5+SUMIFS(Opex_Budget!$Q:$Q,Opex_Budget!$A:$A,$C$3,Opex_Budget!$E:$E,$B$242,Opex_Budget!$F:$F,$D$242,Opex_Budget!$N:$N,"EUR")*$G$5+SUMIFS(Opex_Budget!$Q:$Q,Opex_Budget!$A:$A,$C$3,Opex_Budget!$E:$E,$B$242,Opex_Budget!$F:$F,$D$242,Opex_Budget!$N:$N,"GBP")*$H$5)</f>
        <v/>
      </c>
      <c r="K242" s="32">
        <f>IF($B$242="","",SUMIFS(Opex_Budget!$R:$R,Opex_Budget!$A:$A,$C$3,Opex_Budget!$E:$E,$B$242,Opex_Budget!$F:$F,$D$242,Opex_Budget!$N:$N,"JPY")*$E$5+SUMIFS(Opex_Budget!$R:$R,Opex_Budget!$A:$A,$C$3,Opex_Budget!$E:$E,$B$242,Opex_Budget!$F:$F,$D$242,Opex_Budget!$N:$N,"USD")*$F$5+SUMIFS(Opex_Budget!$R:$R,Opex_Budget!$A:$A,$C$3,Opex_Budget!$E:$E,$B$242,Opex_Budget!$F:$F,$D$242,Opex_Budget!$N:$N,"EUR")*$G$5+SUMIFS(Opex_Budget!$R:$R,Opex_Budget!$A:$A,$C$3,Opex_Budget!$E:$E,$B$242,Opex_Budget!$F:$F,$D$242,Opex_Budget!$N:$N,"GBP")*$H$5)</f>
        <v/>
      </c>
      <c r="L242" s="32">
        <f>IF($B$242="","",SUMIFS(Opex_Budget!$S:$S,Opex_Budget!$A:$A,$C$3,Opex_Budget!$E:$E,$B$242,Opex_Budget!$F:$F,$D$242,Opex_Budget!$N:$N,"JPY")*$E$5+SUMIFS(Opex_Budget!$S:$S,Opex_Budget!$A:$A,$C$3,Opex_Budget!$E:$E,$B$242,Opex_Budget!$F:$F,$D$242,Opex_Budget!$N:$N,"USD")*$F$5+SUMIFS(Opex_Budget!$S:$S,Opex_Budget!$A:$A,$C$3,Opex_Budget!$E:$E,$B$242,Opex_Budget!$F:$F,$D$242,Opex_Budget!$N:$N,"EUR")*$G$5+SUMIFS(Opex_Budget!$S:$S,Opex_Budget!$A:$A,$C$3,Opex_Budget!$E:$E,$B$242,Opex_Budget!$F:$F,$D$242,Opex_Budget!$N:$N,"GBP")*$H$5)</f>
        <v/>
      </c>
      <c r="M242" s="32">
        <f>IF($B$242="","",SUMIFS(Opex_Budget!$T:$T,Opex_Budget!$A:$A,$C$3,Opex_Budget!$E:$E,$B$242,Opex_Budget!$F:$F,$D$242,Opex_Budget!$N:$N,"JPY")*$E$5+SUMIFS(Opex_Budget!$T:$T,Opex_Budget!$A:$A,$C$3,Opex_Budget!$E:$E,$B$242,Opex_Budget!$F:$F,$D$242,Opex_Budget!$N:$N,"USD")*$F$5+SUMIFS(Opex_Budget!$T:$T,Opex_Budget!$A:$A,$C$3,Opex_Budget!$E:$E,$B$242,Opex_Budget!$F:$F,$D$242,Opex_Budget!$N:$N,"EUR")*$G$5+SUMIFS(Opex_Budget!$T:$T,Opex_Budget!$A:$A,$C$3,Opex_Budget!$E:$E,$B$242,Opex_Budget!$F:$F,$D$242,Opex_Budget!$N:$N,"GBP")*$H$5)</f>
        <v/>
      </c>
      <c r="N242" s="32">
        <f>IF($B$242="","",SUMIFS(Opex_Budget!$U:$U,Opex_Budget!$A:$A,$C$3,Opex_Budget!$E:$E,$B$242,Opex_Budget!$F:$F,$D$242,Opex_Budget!$N:$N,"JPY")*$E$5+SUMIFS(Opex_Budget!$U:$U,Opex_Budget!$A:$A,$C$3,Opex_Budget!$E:$E,$B$242,Opex_Budget!$F:$F,$D$242,Opex_Budget!$N:$N,"USD")*$F$5+SUMIFS(Opex_Budget!$U:$U,Opex_Budget!$A:$A,$C$3,Opex_Budget!$E:$E,$B$242,Opex_Budget!$F:$F,$D$242,Opex_Budget!$N:$N,"EUR")*$G$5+SUMIFS(Opex_Budget!$U:$U,Opex_Budget!$A:$A,$C$3,Opex_Budget!$E:$E,$B$242,Opex_Budget!$F:$F,$D$242,Opex_Budget!$N:$N,"GBP")*$H$5)</f>
        <v/>
      </c>
      <c r="O242" s="32">
        <f>IF($B$242="","",SUMIFS(Opex_Budget!$V:$V,Opex_Budget!$A:$A,$C$3,Opex_Budget!$E:$E,$B$242,Opex_Budget!$F:$F,$D$242,Opex_Budget!$N:$N,"JPY")*$E$5+SUMIFS(Opex_Budget!$V:$V,Opex_Budget!$A:$A,$C$3,Opex_Budget!$E:$E,$B$242,Opex_Budget!$F:$F,$D$242,Opex_Budget!$N:$N,"USD")*$F$5+SUMIFS(Opex_Budget!$V:$V,Opex_Budget!$A:$A,$C$3,Opex_Budget!$E:$E,$B$242,Opex_Budget!$F:$F,$D$242,Opex_Budget!$N:$N,"EUR")*$G$5+SUMIFS(Opex_Budget!$V:$V,Opex_Budget!$A:$A,$C$3,Opex_Budget!$E:$E,$B$242,Opex_Budget!$F:$F,$D$242,Opex_Budget!$N:$N,"GBP")*$H$5)</f>
        <v/>
      </c>
      <c r="P242" s="32">
        <f>IF($B$242="","",SUMIFS(Opex_Budget!$W:$W,Opex_Budget!$A:$A,$C$3,Opex_Budget!$E:$E,$B$242,Opex_Budget!$F:$F,$D$242,Opex_Budget!$N:$N,"JPY")*$E$5+SUMIFS(Opex_Budget!$W:$W,Opex_Budget!$A:$A,$C$3,Opex_Budget!$E:$E,$B$242,Opex_Budget!$F:$F,$D$242,Opex_Budget!$N:$N,"USD")*$F$5+SUMIFS(Opex_Budget!$W:$W,Opex_Budget!$A:$A,$C$3,Opex_Budget!$E:$E,$B$242,Opex_Budget!$F:$F,$D$242,Opex_Budget!$N:$N,"EUR")*$G$5+SUMIFS(Opex_Budget!$W:$W,Opex_Budget!$A:$A,$C$3,Opex_Budget!$E:$E,$B$242,Opex_Budget!$F:$F,$D$242,Opex_Budget!$N:$N,"GBP")*$H$5)</f>
        <v/>
      </c>
      <c r="Q242" s="32">
        <f>IF($B$242="","",SUMIFS(Opex_Budget!$X:$X,Opex_Budget!$A:$A,$C$3,Opex_Budget!$E:$E,$B$242,Opex_Budget!$F:$F,$D$242,Opex_Budget!$N:$N,"JPY")*$E$5+SUMIFS(Opex_Budget!$X:$X,Opex_Budget!$A:$A,$C$3,Opex_Budget!$E:$E,$B$242,Opex_Budget!$F:$F,$D$242,Opex_Budget!$N:$N,"USD")*$F$5+SUMIFS(Opex_Budget!$X:$X,Opex_Budget!$A:$A,$C$3,Opex_Budget!$E:$E,$B$242,Opex_Budget!$F:$F,$D$242,Opex_Budget!$N:$N,"EUR")*$G$5+SUMIFS(Opex_Budget!$X:$X,Opex_Budget!$A:$A,$C$3,Opex_Budget!$E:$E,$B$242,Opex_Budget!$F:$F,$D$242,Opex_Budget!$N:$N,"GBP")*$H$5)</f>
        <v/>
      </c>
      <c r="R242" s="32">
        <f>IF($B$242="","",SUMIFS(Opex_Budget!$Y:$Y,Opex_Budget!$A:$A,$C$3,Opex_Budget!$E:$E,$B$242,Opex_Budget!$F:$F,$D$242,Opex_Budget!$N:$N,"JPY")*$E$5+SUMIFS(Opex_Budget!$Y:$Y,Opex_Budget!$A:$A,$C$3,Opex_Budget!$E:$E,$B$242,Opex_Budget!$F:$F,$D$242,Opex_Budget!$N:$N,"USD")*$F$5+SUMIFS(Opex_Budget!$Y:$Y,Opex_Budget!$A:$A,$C$3,Opex_Budget!$E:$E,$B$242,Opex_Budget!$F:$F,$D$242,Opex_Budget!$N:$N,"EUR")*$G$5+SUMIFS(Opex_Budget!$Y:$Y,Opex_Budget!$A:$A,$C$3,Opex_Budget!$E:$E,$B$242,Opex_Budget!$F:$F,$D$242,Opex_Budget!$N:$N,"GBP")*$H$5)</f>
        <v/>
      </c>
      <c r="S242" s="32">
        <f>IF($B$242="","",SUMIFS(Opex_Budget!$Z:$Z,Opex_Budget!$A:$A,$C$3,Opex_Budget!$E:$E,$B$242,Opex_Budget!$F:$F,$D$242,Opex_Budget!$N:$N,"JPY")*$E$5+SUMIFS(Opex_Budget!$Z:$Z,Opex_Budget!$A:$A,$C$3,Opex_Budget!$E:$E,$B$242,Opex_Budget!$F:$F,$D$242,Opex_Budget!$N:$N,"USD")*$F$5+SUMIFS(Opex_Budget!$Z:$Z,Opex_Budget!$A:$A,$C$3,Opex_Budget!$E:$E,$B$242,Opex_Budget!$F:$F,$D$242,Opex_Budget!$N:$N,"EUR")*$G$5+SUMIFS(Opex_Budget!$Z:$Z,Opex_Budget!$A:$A,$C$3,Opex_Budget!$E:$E,$B$242,Opex_Budget!$F:$F,$D$242,Opex_Budget!$N:$N,"GBP")*$H$5)</f>
        <v/>
      </c>
      <c r="T242" s="32">
        <f>IF($B$242="","",SUMIF($H$7:$S$7,"&lt;="&amp;$C$4,$H242:$S242))</f>
        <v/>
      </c>
      <c r="U242" s="32">
        <f>IF($B$242="","",SUMIF($H$7:$S$7,"&gt;"&amp;$C$4,$H242:$S242))</f>
        <v/>
      </c>
      <c r="V242" s="32">
        <f>IF($B$242="","",SUM($H242:$S242))</f>
        <v/>
      </c>
      <c r="X242" s="22">
        <f>IF($B242="","",IFERROR(INDEX(Cost_Centers!$E:$E,MATCH($B242,Cost_Centers!$A:$A,0)),"(unknown)"))</f>
        <v/>
      </c>
      <c r="Y242" s="22">
        <f>IF($B242="","",IFERROR(INDEX(Cost_Centers!$D:$D,MATCH($B242,Cost_Centers!$A:$A,0)),"(unknown)"))</f>
        <v/>
      </c>
      <c r="Z242" s="22">
        <f>IF(OR($B242="",$G242&lt;&gt;"Variance vs Budget"),"",ABS(N($V242))+ROW()/1000000000)</f>
        <v/>
      </c>
    </row>
    <row r="243">
      <c r="A243" s="13">
        <f>IF(A$242="","",A$242)</f>
        <v/>
      </c>
      <c r="B243" s="13">
        <f>IF(B$242="","",B$242)</f>
        <v/>
      </c>
      <c r="C243" s="13">
        <f>IF(C$242="","",C$242)</f>
        <v/>
      </c>
      <c r="D243" s="13">
        <f>IF(D$242="","",D$242)</f>
        <v/>
      </c>
      <c r="E243" s="13">
        <f>IF(E$242="","",E$242)</f>
        <v/>
      </c>
      <c r="F243" s="13">
        <f>IF(F$242="","",F$242)</f>
        <v/>
      </c>
      <c r="G243" s="7" t="inlineStr">
        <is>
          <t>Actual</t>
        </is>
      </c>
      <c r="H243" s="18">
        <f>IF(OR($B$242="",1&gt;$C$4),"",SUMIFS(Actuals!$G:$G,Actuals!$B:$B,$C$3,Actuals!$C:$C,1,Actuals!$D:$D,$B$242,Actuals!$A:$A,LEFT($D$242,FIND("|",$D$242&amp;"|")-1),Actuals!$E:$E,MID($D$242,FIND("|",$D$242&amp;"|")+1,50),Actuals!$F:$F,"JPY")*$E$5+SUMIFS(Actuals!$G:$G,Actuals!$B:$B,$C$3,Actuals!$C:$C,1,Actuals!$D:$D,$B$242,Actuals!$A:$A,LEFT($D$242,FIND("|",$D$242&amp;"|")-1),Actuals!$E:$E,MID($D$242,FIND("|",$D$242&amp;"|")+1,50),Actuals!$F:$F,"USD")*$F$5+SUMIFS(Actuals!$G:$G,Actuals!$B:$B,$C$3,Actuals!$C:$C,1,Actuals!$D:$D,$B$242,Actuals!$A:$A,LEFT($D$242,FIND("|",$D$242&amp;"|")-1),Actuals!$E:$E,MID($D$242,FIND("|",$D$242&amp;"|")+1,50),Actuals!$F:$F,"EUR")*$G$5+SUMIFS(Actuals!$G:$G,Actuals!$B:$B,$C$3,Actuals!$C:$C,1,Actuals!$D:$D,$B$242,Actuals!$A:$A,LEFT($D$242,FIND("|",$D$242&amp;"|")-1),Actuals!$E:$E,MID($D$242,FIND("|",$D$242&amp;"|")+1,50),Actuals!$F:$F,"GBP")*$H$5)</f>
        <v/>
      </c>
      <c r="I243" s="18">
        <f>IF(OR($B$242="",2&gt;$C$4),"",SUMIFS(Actuals!$G:$G,Actuals!$B:$B,$C$3,Actuals!$C:$C,2,Actuals!$D:$D,$B$242,Actuals!$A:$A,LEFT($D$242,FIND("|",$D$242&amp;"|")-1),Actuals!$E:$E,MID($D$242,FIND("|",$D$242&amp;"|")+1,50),Actuals!$F:$F,"JPY")*$E$5+SUMIFS(Actuals!$G:$G,Actuals!$B:$B,$C$3,Actuals!$C:$C,2,Actuals!$D:$D,$B$242,Actuals!$A:$A,LEFT($D$242,FIND("|",$D$242&amp;"|")-1),Actuals!$E:$E,MID($D$242,FIND("|",$D$242&amp;"|")+1,50),Actuals!$F:$F,"USD")*$F$5+SUMIFS(Actuals!$G:$G,Actuals!$B:$B,$C$3,Actuals!$C:$C,2,Actuals!$D:$D,$B$242,Actuals!$A:$A,LEFT($D$242,FIND("|",$D$242&amp;"|")-1),Actuals!$E:$E,MID($D$242,FIND("|",$D$242&amp;"|")+1,50),Actuals!$F:$F,"EUR")*$G$5+SUMIFS(Actuals!$G:$G,Actuals!$B:$B,$C$3,Actuals!$C:$C,2,Actuals!$D:$D,$B$242,Actuals!$A:$A,LEFT($D$242,FIND("|",$D$242&amp;"|")-1),Actuals!$E:$E,MID($D$242,FIND("|",$D$242&amp;"|")+1,50),Actuals!$F:$F,"GBP")*$H$5)</f>
        <v/>
      </c>
      <c r="J243" s="18">
        <f>IF(OR($B$242="",3&gt;$C$4),"",SUMIFS(Actuals!$G:$G,Actuals!$B:$B,$C$3,Actuals!$C:$C,3,Actuals!$D:$D,$B$242,Actuals!$A:$A,LEFT($D$242,FIND("|",$D$242&amp;"|")-1),Actuals!$E:$E,MID($D$242,FIND("|",$D$242&amp;"|")+1,50),Actuals!$F:$F,"JPY")*$E$5+SUMIFS(Actuals!$G:$G,Actuals!$B:$B,$C$3,Actuals!$C:$C,3,Actuals!$D:$D,$B$242,Actuals!$A:$A,LEFT($D$242,FIND("|",$D$242&amp;"|")-1),Actuals!$E:$E,MID($D$242,FIND("|",$D$242&amp;"|")+1,50),Actuals!$F:$F,"USD")*$F$5+SUMIFS(Actuals!$G:$G,Actuals!$B:$B,$C$3,Actuals!$C:$C,3,Actuals!$D:$D,$B$242,Actuals!$A:$A,LEFT($D$242,FIND("|",$D$242&amp;"|")-1),Actuals!$E:$E,MID($D$242,FIND("|",$D$242&amp;"|")+1,50),Actuals!$F:$F,"EUR")*$G$5+SUMIFS(Actuals!$G:$G,Actuals!$B:$B,$C$3,Actuals!$C:$C,3,Actuals!$D:$D,$B$242,Actuals!$A:$A,LEFT($D$242,FIND("|",$D$242&amp;"|")-1),Actuals!$E:$E,MID($D$242,FIND("|",$D$242&amp;"|")+1,50),Actuals!$F:$F,"GBP")*$H$5)</f>
        <v/>
      </c>
      <c r="K243" s="18">
        <f>IF(OR($B$242="",4&gt;$C$4),"",SUMIFS(Actuals!$G:$G,Actuals!$B:$B,$C$3,Actuals!$C:$C,4,Actuals!$D:$D,$B$242,Actuals!$A:$A,LEFT($D$242,FIND("|",$D$242&amp;"|")-1),Actuals!$E:$E,MID($D$242,FIND("|",$D$242&amp;"|")+1,50),Actuals!$F:$F,"JPY")*$E$5+SUMIFS(Actuals!$G:$G,Actuals!$B:$B,$C$3,Actuals!$C:$C,4,Actuals!$D:$D,$B$242,Actuals!$A:$A,LEFT($D$242,FIND("|",$D$242&amp;"|")-1),Actuals!$E:$E,MID($D$242,FIND("|",$D$242&amp;"|")+1,50),Actuals!$F:$F,"USD")*$F$5+SUMIFS(Actuals!$G:$G,Actuals!$B:$B,$C$3,Actuals!$C:$C,4,Actuals!$D:$D,$B$242,Actuals!$A:$A,LEFT($D$242,FIND("|",$D$242&amp;"|")-1),Actuals!$E:$E,MID($D$242,FIND("|",$D$242&amp;"|")+1,50),Actuals!$F:$F,"EUR")*$G$5+SUMIFS(Actuals!$G:$G,Actuals!$B:$B,$C$3,Actuals!$C:$C,4,Actuals!$D:$D,$B$242,Actuals!$A:$A,LEFT($D$242,FIND("|",$D$242&amp;"|")-1),Actuals!$E:$E,MID($D$242,FIND("|",$D$242&amp;"|")+1,50),Actuals!$F:$F,"GBP")*$H$5)</f>
        <v/>
      </c>
      <c r="L243" s="18">
        <f>IF(OR($B$242="",5&gt;$C$4),"",SUMIFS(Actuals!$G:$G,Actuals!$B:$B,$C$3,Actuals!$C:$C,5,Actuals!$D:$D,$B$242,Actuals!$A:$A,LEFT($D$242,FIND("|",$D$242&amp;"|")-1),Actuals!$E:$E,MID($D$242,FIND("|",$D$242&amp;"|")+1,50),Actuals!$F:$F,"JPY")*$E$5+SUMIFS(Actuals!$G:$G,Actuals!$B:$B,$C$3,Actuals!$C:$C,5,Actuals!$D:$D,$B$242,Actuals!$A:$A,LEFT($D$242,FIND("|",$D$242&amp;"|")-1),Actuals!$E:$E,MID($D$242,FIND("|",$D$242&amp;"|")+1,50),Actuals!$F:$F,"USD")*$F$5+SUMIFS(Actuals!$G:$G,Actuals!$B:$B,$C$3,Actuals!$C:$C,5,Actuals!$D:$D,$B$242,Actuals!$A:$A,LEFT($D$242,FIND("|",$D$242&amp;"|")-1),Actuals!$E:$E,MID($D$242,FIND("|",$D$242&amp;"|")+1,50),Actuals!$F:$F,"EUR")*$G$5+SUMIFS(Actuals!$G:$G,Actuals!$B:$B,$C$3,Actuals!$C:$C,5,Actuals!$D:$D,$B$242,Actuals!$A:$A,LEFT($D$242,FIND("|",$D$242&amp;"|")-1),Actuals!$E:$E,MID($D$242,FIND("|",$D$242&amp;"|")+1,50),Actuals!$F:$F,"GBP")*$H$5)</f>
        <v/>
      </c>
      <c r="M243" s="18">
        <f>IF(OR($B$242="",6&gt;$C$4),"",SUMIFS(Actuals!$G:$G,Actuals!$B:$B,$C$3,Actuals!$C:$C,6,Actuals!$D:$D,$B$242,Actuals!$A:$A,LEFT($D$242,FIND("|",$D$242&amp;"|")-1),Actuals!$E:$E,MID($D$242,FIND("|",$D$242&amp;"|")+1,50),Actuals!$F:$F,"JPY")*$E$5+SUMIFS(Actuals!$G:$G,Actuals!$B:$B,$C$3,Actuals!$C:$C,6,Actuals!$D:$D,$B$242,Actuals!$A:$A,LEFT($D$242,FIND("|",$D$242&amp;"|")-1),Actuals!$E:$E,MID($D$242,FIND("|",$D$242&amp;"|")+1,50),Actuals!$F:$F,"USD")*$F$5+SUMIFS(Actuals!$G:$G,Actuals!$B:$B,$C$3,Actuals!$C:$C,6,Actuals!$D:$D,$B$242,Actuals!$A:$A,LEFT($D$242,FIND("|",$D$242&amp;"|")-1),Actuals!$E:$E,MID($D$242,FIND("|",$D$242&amp;"|")+1,50),Actuals!$F:$F,"EUR")*$G$5+SUMIFS(Actuals!$G:$G,Actuals!$B:$B,$C$3,Actuals!$C:$C,6,Actuals!$D:$D,$B$242,Actuals!$A:$A,LEFT($D$242,FIND("|",$D$242&amp;"|")-1),Actuals!$E:$E,MID($D$242,FIND("|",$D$242&amp;"|")+1,50),Actuals!$F:$F,"GBP")*$H$5)</f>
        <v/>
      </c>
      <c r="N243" s="18">
        <f>IF(OR($B$242="",7&gt;$C$4),"",SUMIFS(Actuals!$G:$G,Actuals!$B:$B,$C$3,Actuals!$C:$C,7,Actuals!$D:$D,$B$242,Actuals!$A:$A,LEFT($D$242,FIND("|",$D$242&amp;"|")-1),Actuals!$E:$E,MID($D$242,FIND("|",$D$242&amp;"|")+1,50),Actuals!$F:$F,"JPY")*$E$5+SUMIFS(Actuals!$G:$G,Actuals!$B:$B,$C$3,Actuals!$C:$C,7,Actuals!$D:$D,$B$242,Actuals!$A:$A,LEFT($D$242,FIND("|",$D$242&amp;"|")-1),Actuals!$E:$E,MID($D$242,FIND("|",$D$242&amp;"|")+1,50),Actuals!$F:$F,"USD")*$F$5+SUMIFS(Actuals!$G:$G,Actuals!$B:$B,$C$3,Actuals!$C:$C,7,Actuals!$D:$D,$B$242,Actuals!$A:$A,LEFT($D$242,FIND("|",$D$242&amp;"|")-1),Actuals!$E:$E,MID($D$242,FIND("|",$D$242&amp;"|")+1,50),Actuals!$F:$F,"EUR")*$G$5+SUMIFS(Actuals!$G:$G,Actuals!$B:$B,$C$3,Actuals!$C:$C,7,Actuals!$D:$D,$B$242,Actuals!$A:$A,LEFT($D$242,FIND("|",$D$242&amp;"|")-1),Actuals!$E:$E,MID($D$242,FIND("|",$D$242&amp;"|")+1,50),Actuals!$F:$F,"GBP")*$H$5)</f>
        <v/>
      </c>
      <c r="O243" s="18">
        <f>IF(OR($B$242="",8&gt;$C$4),"",SUMIFS(Actuals!$G:$G,Actuals!$B:$B,$C$3,Actuals!$C:$C,8,Actuals!$D:$D,$B$242,Actuals!$A:$A,LEFT($D$242,FIND("|",$D$242&amp;"|")-1),Actuals!$E:$E,MID($D$242,FIND("|",$D$242&amp;"|")+1,50),Actuals!$F:$F,"JPY")*$E$5+SUMIFS(Actuals!$G:$G,Actuals!$B:$B,$C$3,Actuals!$C:$C,8,Actuals!$D:$D,$B$242,Actuals!$A:$A,LEFT($D$242,FIND("|",$D$242&amp;"|")-1),Actuals!$E:$E,MID($D$242,FIND("|",$D$242&amp;"|")+1,50),Actuals!$F:$F,"USD")*$F$5+SUMIFS(Actuals!$G:$G,Actuals!$B:$B,$C$3,Actuals!$C:$C,8,Actuals!$D:$D,$B$242,Actuals!$A:$A,LEFT($D$242,FIND("|",$D$242&amp;"|")-1),Actuals!$E:$E,MID($D$242,FIND("|",$D$242&amp;"|")+1,50),Actuals!$F:$F,"EUR")*$G$5+SUMIFS(Actuals!$G:$G,Actuals!$B:$B,$C$3,Actuals!$C:$C,8,Actuals!$D:$D,$B$242,Actuals!$A:$A,LEFT($D$242,FIND("|",$D$242&amp;"|")-1),Actuals!$E:$E,MID($D$242,FIND("|",$D$242&amp;"|")+1,50),Actuals!$F:$F,"GBP")*$H$5)</f>
        <v/>
      </c>
      <c r="P243" s="18">
        <f>IF(OR($B$242="",9&gt;$C$4),"",SUMIFS(Actuals!$G:$G,Actuals!$B:$B,$C$3,Actuals!$C:$C,9,Actuals!$D:$D,$B$242,Actuals!$A:$A,LEFT($D$242,FIND("|",$D$242&amp;"|")-1),Actuals!$E:$E,MID($D$242,FIND("|",$D$242&amp;"|")+1,50),Actuals!$F:$F,"JPY")*$E$5+SUMIFS(Actuals!$G:$G,Actuals!$B:$B,$C$3,Actuals!$C:$C,9,Actuals!$D:$D,$B$242,Actuals!$A:$A,LEFT($D$242,FIND("|",$D$242&amp;"|")-1),Actuals!$E:$E,MID($D$242,FIND("|",$D$242&amp;"|")+1,50),Actuals!$F:$F,"USD")*$F$5+SUMIFS(Actuals!$G:$G,Actuals!$B:$B,$C$3,Actuals!$C:$C,9,Actuals!$D:$D,$B$242,Actuals!$A:$A,LEFT($D$242,FIND("|",$D$242&amp;"|")-1),Actuals!$E:$E,MID($D$242,FIND("|",$D$242&amp;"|")+1,50),Actuals!$F:$F,"EUR")*$G$5+SUMIFS(Actuals!$G:$G,Actuals!$B:$B,$C$3,Actuals!$C:$C,9,Actuals!$D:$D,$B$242,Actuals!$A:$A,LEFT($D$242,FIND("|",$D$242&amp;"|")-1),Actuals!$E:$E,MID($D$242,FIND("|",$D$242&amp;"|")+1,50),Actuals!$F:$F,"GBP")*$H$5)</f>
        <v/>
      </c>
      <c r="Q243" s="18">
        <f>IF(OR($B$242="",10&gt;$C$4),"",SUMIFS(Actuals!$G:$G,Actuals!$B:$B,$C$3,Actuals!$C:$C,10,Actuals!$D:$D,$B$242,Actuals!$A:$A,LEFT($D$242,FIND("|",$D$242&amp;"|")-1),Actuals!$E:$E,MID($D$242,FIND("|",$D$242&amp;"|")+1,50),Actuals!$F:$F,"JPY")*$E$5+SUMIFS(Actuals!$G:$G,Actuals!$B:$B,$C$3,Actuals!$C:$C,10,Actuals!$D:$D,$B$242,Actuals!$A:$A,LEFT($D$242,FIND("|",$D$242&amp;"|")-1),Actuals!$E:$E,MID($D$242,FIND("|",$D$242&amp;"|")+1,50),Actuals!$F:$F,"USD")*$F$5+SUMIFS(Actuals!$G:$G,Actuals!$B:$B,$C$3,Actuals!$C:$C,10,Actuals!$D:$D,$B$242,Actuals!$A:$A,LEFT($D$242,FIND("|",$D$242&amp;"|")-1),Actuals!$E:$E,MID($D$242,FIND("|",$D$242&amp;"|")+1,50),Actuals!$F:$F,"EUR")*$G$5+SUMIFS(Actuals!$G:$G,Actuals!$B:$B,$C$3,Actuals!$C:$C,10,Actuals!$D:$D,$B$242,Actuals!$A:$A,LEFT($D$242,FIND("|",$D$242&amp;"|")-1),Actuals!$E:$E,MID($D$242,FIND("|",$D$242&amp;"|")+1,50),Actuals!$F:$F,"GBP")*$H$5)</f>
        <v/>
      </c>
      <c r="R243" s="18">
        <f>IF(OR($B$242="",11&gt;$C$4),"",SUMIFS(Actuals!$G:$G,Actuals!$B:$B,$C$3,Actuals!$C:$C,11,Actuals!$D:$D,$B$242,Actuals!$A:$A,LEFT($D$242,FIND("|",$D$242&amp;"|")-1),Actuals!$E:$E,MID($D$242,FIND("|",$D$242&amp;"|")+1,50),Actuals!$F:$F,"JPY")*$E$5+SUMIFS(Actuals!$G:$G,Actuals!$B:$B,$C$3,Actuals!$C:$C,11,Actuals!$D:$D,$B$242,Actuals!$A:$A,LEFT($D$242,FIND("|",$D$242&amp;"|")-1),Actuals!$E:$E,MID($D$242,FIND("|",$D$242&amp;"|")+1,50),Actuals!$F:$F,"USD")*$F$5+SUMIFS(Actuals!$G:$G,Actuals!$B:$B,$C$3,Actuals!$C:$C,11,Actuals!$D:$D,$B$242,Actuals!$A:$A,LEFT($D$242,FIND("|",$D$242&amp;"|")-1),Actuals!$E:$E,MID($D$242,FIND("|",$D$242&amp;"|")+1,50),Actuals!$F:$F,"EUR")*$G$5+SUMIFS(Actuals!$G:$G,Actuals!$B:$B,$C$3,Actuals!$C:$C,11,Actuals!$D:$D,$B$242,Actuals!$A:$A,LEFT($D$242,FIND("|",$D$242&amp;"|")-1),Actuals!$E:$E,MID($D$242,FIND("|",$D$242&amp;"|")+1,50),Actuals!$F:$F,"GBP")*$H$5)</f>
        <v/>
      </c>
      <c r="S243" s="18">
        <f>IF(OR($B$242="",12&gt;$C$4),"",SUMIFS(Actuals!$G:$G,Actuals!$B:$B,$C$3,Actuals!$C:$C,12,Actuals!$D:$D,$B$242,Actuals!$A:$A,LEFT($D$242,FIND("|",$D$242&amp;"|")-1),Actuals!$E:$E,MID($D$242,FIND("|",$D$242&amp;"|")+1,50),Actuals!$F:$F,"JPY")*$E$5+SUMIFS(Actuals!$G:$G,Actuals!$B:$B,$C$3,Actuals!$C:$C,12,Actuals!$D:$D,$B$242,Actuals!$A:$A,LEFT($D$242,FIND("|",$D$242&amp;"|")-1),Actuals!$E:$E,MID($D$242,FIND("|",$D$242&amp;"|")+1,50),Actuals!$F:$F,"USD")*$F$5+SUMIFS(Actuals!$G:$G,Actuals!$B:$B,$C$3,Actuals!$C:$C,12,Actuals!$D:$D,$B$242,Actuals!$A:$A,LEFT($D$242,FIND("|",$D$242&amp;"|")-1),Actuals!$E:$E,MID($D$242,FIND("|",$D$242&amp;"|")+1,50),Actuals!$F:$F,"EUR")*$G$5+SUMIFS(Actuals!$G:$G,Actuals!$B:$B,$C$3,Actuals!$C:$C,12,Actuals!$D:$D,$B$242,Actuals!$A:$A,LEFT($D$242,FIND("|",$D$242&amp;"|")-1),Actuals!$E:$E,MID($D$242,FIND("|",$D$242&amp;"|")+1,50),Actuals!$F:$F,"GBP")*$H$5)</f>
        <v/>
      </c>
      <c r="T243" s="18">
        <f>IF($B$242="","",SUMIF($H$7:$S$7,"&lt;="&amp;$C$4,$H243:$S243))</f>
        <v/>
      </c>
      <c r="U243" s="18" t="n"/>
      <c r="V243" s="18" t="n"/>
      <c r="X243" s="22">
        <f>IF($B243="","",IFERROR(INDEX(Cost_Centers!$E:$E,MATCH($B243,Cost_Centers!$A:$A,0)),"(unknown)"))</f>
        <v/>
      </c>
      <c r="Y243" s="22">
        <f>IF($B243="","",IFERROR(INDEX(Cost_Centers!$D:$D,MATCH($B243,Cost_Centers!$A:$A,0)),"(unknown)"))</f>
        <v/>
      </c>
      <c r="Z243" s="22">
        <f>IF(OR($B243="",$G243&lt;&gt;"Variance vs Budget"),"",ABS(N($V243))+ROW()/1000000000)</f>
        <v/>
      </c>
    </row>
    <row r="244">
      <c r="A244" s="13">
        <f>IF(A$242="","",A$242)</f>
        <v/>
      </c>
      <c r="B244" s="13">
        <f>IF(B$242="","",B$242)</f>
        <v/>
      </c>
      <c r="C244" s="13">
        <f>IF(C$242="","",C$242)</f>
        <v/>
      </c>
      <c r="D244" s="13">
        <f>IF(D$242="","",D$242)</f>
        <v/>
      </c>
      <c r="E244" s="13">
        <f>IF(E$242="","",E$242)</f>
        <v/>
      </c>
      <c r="F244" s="13">
        <f>IF(F$242="","",F$242)</f>
        <v/>
      </c>
      <c r="G244" s="6" t="inlineStr">
        <is>
          <t>Variance vs Budget</t>
        </is>
      </c>
      <c r="H244" s="33">
        <f>IF(OR($B$242="",1&gt;$C$4),"",N(H243)-H242)</f>
        <v/>
      </c>
      <c r="I244" s="33">
        <f>IF(OR($B$242="",2&gt;$C$4),"",N(I243)-I242)</f>
        <v/>
      </c>
      <c r="J244" s="33">
        <f>IF(OR($B$242="",3&gt;$C$4),"",N(J243)-J242)</f>
        <v/>
      </c>
      <c r="K244" s="33">
        <f>IF(OR($B$242="",4&gt;$C$4),"",N(K243)-K242)</f>
        <v/>
      </c>
      <c r="L244" s="33">
        <f>IF(OR($B$242="",5&gt;$C$4),"",N(L243)-L242)</f>
        <v/>
      </c>
      <c r="M244" s="33">
        <f>IF(OR($B$242="",6&gt;$C$4),"",N(M243)-M242)</f>
        <v/>
      </c>
      <c r="N244" s="33">
        <f>IF(OR($B$242="",7&gt;$C$4),"",N(N243)-N242)</f>
        <v/>
      </c>
      <c r="O244" s="33">
        <f>IF(OR($B$242="",8&gt;$C$4),"",N(O243)-O242)</f>
        <v/>
      </c>
      <c r="P244" s="33">
        <f>IF(OR($B$242="",9&gt;$C$4),"",N(P243)-P242)</f>
        <v/>
      </c>
      <c r="Q244" s="33">
        <f>IF(OR($B$242="",10&gt;$C$4),"",N(Q243)-Q242)</f>
        <v/>
      </c>
      <c r="R244" s="33">
        <f>IF(OR($B$242="",11&gt;$C$4),"",N(R243)-R242)</f>
        <v/>
      </c>
      <c r="S244" s="33">
        <f>IF(OR($B$242="",12&gt;$C$4),"",N(S243)-S242)</f>
        <v/>
      </c>
      <c r="T244" s="33">
        <f>IF($B$242="","",T243-T242)</f>
        <v/>
      </c>
      <c r="U244" s="33">
        <f>IF($B$242="","",U246-U242)</f>
        <v/>
      </c>
      <c r="V244" s="33">
        <f>IF($B$242="","",V246-V242)</f>
        <v/>
      </c>
      <c r="X244" s="22">
        <f>IF($B244="","",IFERROR(INDEX(Cost_Centers!$E:$E,MATCH($B244,Cost_Centers!$A:$A,0)),"(unknown)"))</f>
        <v/>
      </c>
      <c r="Y244" s="22">
        <f>IF($B244="","",IFERROR(INDEX(Cost_Centers!$D:$D,MATCH($B244,Cost_Centers!$A:$A,0)),"(unknown)"))</f>
        <v/>
      </c>
      <c r="Z244" s="22">
        <f>IF(OR($B244="",$G244&lt;&gt;"Variance vs Budget"),"",ABS(N($V244))+ROW()/1000000000)</f>
        <v/>
      </c>
    </row>
    <row r="245">
      <c r="A245" s="13">
        <f>IF(A$242="","",A$242)</f>
        <v/>
      </c>
      <c r="B245" s="13">
        <f>IF(B$242="","",B$242)</f>
        <v/>
      </c>
      <c r="C245" s="13">
        <f>IF(C$242="","",C$242)</f>
        <v/>
      </c>
      <c r="D245" s="13">
        <f>IF(D$242="","",D$242)</f>
        <v/>
      </c>
      <c r="E245" s="13">
        <f>IF(E$242="","",E$242)</f>
        <v/>
      </c>
      <c r="F245" s="13">
        <f>IF(F$242="","",F$242)</f>
        <v/>
      </c>
      <c r="G245" s="7" t="inlineStr">
        <is>
          <t>Forecast (input)</t>
        </is>
      </c>
      <c r="H245" s="34" t="n"/>
      <c r="I245" s="34" t="n"/>
      <c r="J245" s="34" t="n"/>
      <c r="K245" s="34" t="n"/>
      <c r="L245" s="34" t="n"/>
      <c r="M245" s="34" t="n"/>
      <c r="N245" s="34" t="n"/>
      <c r="O245" s="34" t="n"/>
      <c r="P245" s="34" t="n"/>
      <c r="Q245" s="34" t="n"/>
      <c r="R245" s="34" t="n"/>
      <c r="S245" s="34" t="n"/>
      <c r="T245" s="18" t="n"/>
      <c r="U245" s="18" t="n"/>
      <c r="V245" s="18" t="n"/>
      <c r="X245" s="22">
        <f>IF($B245="","",IFERROR(INDEX(Cost_Centers!$E:$E,MATCH($B245,Cost_Centers!$A:$A,0)),"(unknown)"))</f>
        <v/>
      </c>
      <c r="Y245" s="22">
        <f>IF($B245="","",IFERROR(INDEX(Cost_Centers!$D:$D,MATCH($B245,Cost_Centers!$A:$A,0)),"(unknown)"))</f>
        <v/>
      </c>
      <c r="Z245" s="22">
        <f>IF(OR($B245="",$G245&lt;&gt;"Variance vs Budget"),"",ABS(N($V245))+ROW()/1000000000)</f>
        <v/>
      </c>
    </row>
    <row r="246">
      <c r="A246" s="13">
        <f>IF(A$242="","",A$242)</f>
        <v/>
      </c>
      <c r="B246" s="13">
        <f>IF(B$242="","",B$242)</f>
        <v/>
      </c>
      <c r="C246" s="13">
        <f>IF(C$242="","",C$242)</f>
        <v/>
      </c>
      <c r="D246" s="13">
        <f>IF(D$242="","",D$242)</f>
        <v/>
      </c>
      <c r="E246" s="13">
        <f>IF(E$242="","",E$242)</f>
        <v/>
      </c>
      <c r="F246" s="13">
        <f>IF(F$242="","",F$242)</f>
        <v/>
      </c>
      <c r="G246" s="35" t="inlineStr">
        <is>
          <t>Actual + Forecast</t>
        </is>
      </c>
      <c r="H246" s="18">
        <f>IF($B$242="","",IF(1&lt;=$C$4,N(H243),IF(H245="",H242,H245)))</f>
        <v/>
      </c>
      <c r="I246" s="18">
        <f>IF($B$242="","",IF(2&lt;=$C$4,N(I243),IF(I245="",I242,I245)))</f>
        <v/>
      </c>
      <c r="J246" s="18">
        <f>IF($B$242="","",IF(3&lt;=$C$4,N(J243),IF(J245="",J242,J245)))</f>
        <v/>
      </c>
      <c r="K246" s="18">
        <f>IF($B$242="","",IF(4&lt;=$C$4,N(K243),IF(K245="",K242,K245)))</f>
        <v/>
      </c>
      <c r="L246" s="18">
        <f>IF($B$242="","",IF(5&lt;=$C$4,N(L243),IF(L245="",L242,L245)))</f>
        <v/>
      </c>
      <c r="M246" s="18">
        <f>IF($B$242="","",IF(6&lt;=$C$4,N(M243),IF(M245="",M242,M245)))</f>
        <v/>
      </c>
      <c r="N246" s="18">
        <f>IF($B$242="","",IF(7&lt;=$C$4,N(N243),IF(N245="",N242,N245)))</f>
        <v/>
      </c>
      <c r="O246" s="18">
        <f>IF($B$242="","",IF(8&lt;=$C$4,N(O243),IF(O245="",O242,O245)))</f>
        <v/>
      </c>
      <c r="P246" s="18">
        <f>IF($B$242="","",IF(9&lt;=$C$4,N(P243),IF(P245="",P242,P245)))</f>
        <v/>
      </c>
      <c r="Q246" s="18">
        <f>IF($B$242="","",IF(10&lt;=$C$4,N(Q243),IF(Q245="",Q242,Q245)))</f>
        <v/>
      </c>
      <c r="R246" s="18">
        <f>IF($B$242="","",IF(11&lt;=$C$4,N(R243),IF(R245="",R242,R245)))</f>
        <v/>
      </c>
      <c r="S246" s="18">
        <f>IF($B$242="","",IF(12&lt;=$C$4,N(S243),IF(S245="",S242,S245)))</f>
        <v/>
      </c>
      <c r="T246" s="18">
        <f>IF($B$242="","",SUMIF($H$7:$S$7,"&lt;="&amp;$C$4,$H246:$S246))</f>
        <v/>
      </c>
      <c r="U246" s="18">
        <f>IF($B$242="","",SUMIF($H$7:$S$7,"&gt;"&amp;$C$4,$H246:$S246))</f>
        <v/>
      </c>
      <c r="V246" s="18">
        <f>IF($B$242="","",SUM($H246:$S246))</f>
        <v/>
      </c>
      <c r="X246" s="22">
        <f>IF($B246="","",IFERROR(INDEX(Cost_Centers!$E:$E,MATCH($B246,Cost_Centers!$A:$A,0)),"(unknown)"))</f>
        <v/>
      </c>
      <c r="Y246" s="22">
        <f>IF($B246="","",IFERROR(INDEX(Cost_Centers!$D:$D,MATCH($B246,Cost_Centers!$A:$A,0)),"(unknown)"))</f>
        <v/>
      </c>
      <c r="Z246" s="22">
        <f>IF(OR($B246="",$G246&lt;&gt;"Variance vs Budget"),"",ABS(N($V246))+ROW()/1000000000)</f>
        <v/>
      </c>
    </row>
    <row r="247">
      <c r="A247" s="13">
        <f>IF(A$242="","",A$242)</f>
        <v/>
      </c>
      <c r="B247" s="13">
        <f>IF(B$242="","",B$242)</f>
        <v/>
      </c>
      <c r="C247" s="13">
        <f>IF(C$242="","",C$242)</f>
        <v/>
      </c>
      <c r="D247" s="13">
        <f>IF(D$242="","",D$242)</f>
        <v/>
      </c>
      <c r="E247" s="13">
        <f>IF(E$242="","",E$242)</f>
        <v/>
      </c>
      <c r="F247" s="13">
        <f>IF(F$242="","",F$242)</f>
        <v/>
      </c>
      <c r="G247" s="36" t="inlineStr">
        <is>
          <t>Prior Month Forecast</t>
        </is>
      </c>
      <c r="H247" s="37">
        <f>IF($B$242="","",IF(COUNTIFS(Prior_Forecast!$A:$A,$B$242,Prior_Forecast!$B:$B,$D$242)&gt;0,SUMIFS(Prior_Forecast!$C:$C,Prior_Forecast!$A:$A,$B$242,Prior_Forecast!$B:$B,$D$242),""))</f>
        <v/>
      </c>
      <c r="I247" s="37">
        <f>IF($B$242="","",IF(COUNTIFS(Prior_Forecast!$A:$A,$B$242,Prior_Forecast!$B:$B,$D$242)&gt;0,SUMIFS(Prior_Forecast!$D:$D,Prior_Forecast!$A:$A,$B$242,Prior_Forecast!$B:$B,$D$242),""))</f>
        <v/>
      </c>
      <c r="J247" s="37">
        <f>IF($B$242="","",IF(COUNTIFS(Prior_Forecast!$A:$A,$B$242,Prior_Forecast!$B:$B,$D$242)&gt;0,SUMIFS(Prior_Forecast!$E:$E,Prior_Forecast!$A:$A,$B$242,Prior_Forecast!$B:$B,$D$242),""))</f>
        <v/>
      </c>
      <c r="K247" s="37">
        <f>IF($B$242="","",IF(COUNTIFS(Prior_Forecast!$A:$A,$B$242,Prior_Forecast!$B:$B,$D$242)&gt;0,SUMIFS(Prior_Forecast!$F:$F,Prior_Forecast!$A:$A,$B$242,Prior_Forecast!$B:$B,$D$242),""))</f>
        <v/>
      </c>
      <c r="L247" s="37">
        <f>IF($B$242="","",IF(COUNTIFS(Prior_Forecast!$A:$A,$B$242,Prior_Forecast!$B:$B,$D$242)&gt;0,SUMIFS(Prior_Forecast!$G:$G,Prior_Forecast!$A:$A,$B$242,Prior_Forecast!$B:$B,$D$242),""))</f>
        <v/>
      </c>
      <c r="M247" s="37">
        <f>IF($B$242="","",IF(COUNTIFS(Prior_Forecast!$A:$A,$B$242,Prior_Forecast!$B:$B,$D$242)&gt;0,SUMIFS(Prior_Forecast!$H:$H,Prior_Forecast!$A:$A,$B$242,Prior_Forecast!$B:$B,$D$242),""))</f>
        <v/>
      </c>
      <c r="N247" s="37">
        <f>IF($B$242="","",IF(COUNTIFS(Prior_Forecast!$A:$A,$B$242,Prior_Forecast!$B:$B,$D$242)&gt;0,SUMIFS(Prior_Forecast!$I:$I,Prior_Forecast!$A:$A,$B$242,Prior_Forecast!$B:$B,$D$242),""))</f>
        <v/>
      </c>
      <c r="O247" s="37">
        <f>IF($B$242="","",IF(COUNTIFS(Prior_Forecast!$A:$A,$B$242,Prior_Forecast!$B:$B,$D$242)&gt;0,SUMIFS(Prior_Forecast!$J:$J,Prior_Forecast!$A:$A,$B$242,Prior_Forecast!$B:$B,$D$242),""))</f>
        <v/>
      </c>
      <c r="P247" s="37">
        <f>IF($B$242="","",IF(COUNTIFS(Prior_Forecast!$A:$A,$B$242,Prior_Forecast!$B:$B,$D$242)&gt;0,SUMIFS(Prior_Forecast!$K:$K,Prior_Forecast!$A:$A,$B$242,Prior_Forecast!$B:$B,$D$242),""))</f>
        <v/>
      </c>
      <c r="Q247" s="37">
        <f>IF($B$242="","",IF(COUNTIFS(Prior_Forecast!$A:$A,$B$242,Prior_Forecast!$B:$B,$D$242)&gt;0,SUMIFS(Prior_Forecast!$L:$L,Prior_Forecast!$A:$A,$B$242,Prior_Forecast!$B:$B,$D$242),""))</f>
        <v/>
      </c>
      <c r="R247" s="37">
        <f>IF($B$242="","",IF(COUNTIFS(Prior_Forecast!$A:$A,$B$242,Prior_Forecast!$B:$B,$D$242)&gt;0,SUMIFS(Prior_Forecast!$M:$M,Prior_Forecast!$A:$A,$B$242,Prior_Forecast!$B:$B,$D$242),""))</f>
        <v/>
      </c>
      <c r="S247" s="37">
        <f>IF($B$242="","",IF(COUNTIFS(Prior_Forecast!$A:$A,$B$242,Prior_Forecast!$B:$B,$D$242)&gt;0,SUMIFS(Prior_Forecast!$N:$N,Prior_Forecast!$A:$A,$B$242,Prior_Forecast!$B:$B,$D$242),""))</f>
        <v/>
      </c>
      <c r="T247" s="37">
        <f>IF($B$242="","",IF(COUNTIFS(Prior_Forecast!$A:$A,$B$242,Prior_Forecast!$B:$B,$D$242)&gt;0,SUMIFS(Prior_Forecast!$O:$O,Prior_Forecast!$A:$A,$B$242,Prior_Forecast!$B:$B,$D$242),""))</f>
        <v/>
      </c>
      <c r="U247" s="37">
        <f>IF($B$242="","",IF(COUNTIFS(Prior_Forecast!$A:$A,$B$242,Prior_Forecast!$B:$B,$D$242)&gt;0,SUMIFS(Prior_Forecast!$P:$P,Prior_Forecast!$A:$A,$B$242,Prior_Forecast!$B:$B,$D$242),""))</f>
        <v/>
      </c>
      <c r="V247" s="37">
        <f>IF($B$242="","",IF(COUNTIFS(Prior_Forecast!$A:$A,$B$242,Prior_Forecast!$B:$B,$D$242)&gt;0,SUMIFS(Prior_Forecast!$Q:$Q,Prior_Forecast!$A:$A,$B$242,Prior_Forecast!$B:$B,$D$242),""))</f>
        <v/>
      </c>
      <c r="X247" s="22">
        <f>IF($B247="","",IFERROR(INDEX(Cost_Centers!$E:$E,MATCH($B247,Cost_Centers!$A:$A,0)),"(unknown)"))</f>
        <v/>
      </c>
      <c r="Y247" s="22">
        <f>IF($B247="","",IFERROR(INDEX(Cost_Centers!$D:$D,MATCH($B247,Cost_Centers!$A:$A,0)),"(unknown)"))</f>
        <v/>
      </c>
      <c r="Z247" s="22">
        <f>IF(OR($B247="",$G247&lt;&gt;"Variance vs Budget"),"",ABS(N($V247))+ROW()/1000000000)</f>
        <v/>
      </c>
    </row>
    <row r="248">
      <c r="A248" s="13">
        <f>IF(A$242="","",A$242)</f>
        <v/>
      </c>
      <c r="B248" s="13">
        <f>IF(B$242="","",B$242)</f>
        <v/>
      </c>
      <c r="C248" s="13">
        <f>IF(C$242="","",C$242)</f>
        <v/>
      </c>
      <c r="D248" s="13">
        <f>IF(D$242="","",D$242)</f>
        <v/>
      </c>
      <c r="E248" s="13">
        <f>IF(E$242="","",E$242)</f>
        <v/>
      </c>
      <c r="F248" s="13">
        <f>IF(F$242="","",F$242)</f>
        <v/>
      </c>
      <c r="G248" s="6" t="inlineStr">
        <is>
          <t>Variance vs Prior Month</t>
        </is>
      </c>
      <c r="H248" s="33">
        <f>IF(OR($B$242="",H247=""),"",H246-H247)</f>
        <v/>
      </c>
      <c r="I248" s="33">
        <f>IF(OR($B$242="",I247=""),"",I246-I247)</f>
        <v/>
      </c>
      <c r="J248" s="33">
        <f>IF(OR($B$242="",J247=""),"",J246-J247)</f>
        <v/>
      </c>
      <c r="K248" s="33">
        <f>IF(OR($B$242="",K247=""),"",K246-K247)</f>
        <v/>
      </c>
      <c r="L248" s="33">
        <f>IF(OR($B$242="",L247=""),"",L246-L247)</f>
        <v/>
      </c>
      <c r="M248" s="33">
        <f>IF(OR($B$242="",M247=""),"",M246-M247)</f>
        <v/>
      </c>
      <c r="N248" s="33">
        <f>IF(OR($B$242="",N247=""),"",N246-N247)</f>
        <v/>
      </c>
      <c r="O248" s="33">
        <f>IF(OR($B$242="",O247=""),"",O246-O247)</f>
        <v/>
      </c>
      <c r="P248" s="33">
        <f>IF(OR($B$242="",P247=""),"",P246-P247)</f>
        <v/>
      </c>
      <c r="Q248" s="33">
        <f>IF(OR($B$242="",Q247=""),"",Q246-Q247)</f>
        <v/>
      </c>
      <c r="R248" s="33">
        <f>IF(OR($B$242="",R247=""),"",R246-R247)</f>
        <v/>
      </c>
      <c r="S248" s="33">
        <f>IF(OR($B$242="",S247=""),"",S246-S247)</f>
        <v/>
      </c>
      <c r="T248" s="33">
        <f>IF(OR($B$242="",T247=""),"",T246-T247)</f>
        <v/>
      </c>
      <c r="U248" s="33">
        <f>IF(OR($B$242="",U247=""),"",U246-U247)</f>
        <v/>
      </c>
      <c r="V248" s="33">
        <f>IF(OR($B$242="",V247=""),"",V246-V247)</f>
        <v/>
      </c>
      <c r="X248" s="22">
        <f>IF($B248="","",IFERROR(INDEX(Cost_Centers!$E:$E,MATCH($B248,Cost_Centers!$A:$A,0)),"(unknown)"))</f>
        <v/>
      </c>
      <c r="Y248" s="22">
        <f>IF($B248="","",IFERROR(INDEX(Cost_Centers!$D:$D,MATCH($B248,Cost_Centers!$A:$A,0)),"(unknown)"))</f>
        <v/>
      </c>
      <c r="Z248" s="22">
        <f>IF(OR($B248="",$G248&lt;&gt;"Variance vs Budget"),"",ABS(N($V248))+ROW()/1000000000)</f>
        <v/>
      </c>
    </row>
    <row r="249" ht="45" customHeight="1">
      <c r="A249" s="13">
        <f>IF(A$242="","",A$242)</f>
        <v/>
      </c>
      <c r="B249" s="13">
        <f>IF(B$242="","",B$242)</f>
        <v/>
      </c>
      <c r="C249" s="13">
        <f>IF(C$242="","",C$242)</f>
        <v/>
      </c>
      <c r="D249" s="13">
        <f>IF(D$242="","",D$242)</f>
        <v/>
      </c>
      <c r="E249" s="13">
        <f>IF(E$242="","",E$242)</f>
        <v/>
      </c>
      <c r="F249" s="13">
        <f>IF(F$242="","",F$242)</f>
        <v/>
      </c>
      <c r="G249" s="7" t="inlineStr">
        <is>
          <t>Rationale</t>
        </is>
      </c>
      <c r="H249" s="38" t="n"/>
      <c r="I249" s="38" t="n"/>
      <c r="J249" s="38" t="n"/>
      <c r="K249" s="38" t="n"/>
      <c r="L249" s="38" t="n"/>
      <c r="M249" s="38" t="n"/>
      <c r="N249" s="38" t="n"/>
      <c r="O249" s="38" t="n"/>
      <c r="P249" s="38" t="n"/>
      <c r="Q249" s="38" t="n"/>
      <c r="R249" s="38" t="n"/>
      <c r="S249" s="38" t="n"/>
      <c r="T249" s="38" t="n"/>
      <c r="U249" s="38" t="n"/>
      <c r="V249" s="7" t="n"/>
      <c r="X249" s="22">
        <f>IF($B249="","",IFERROR(INDEX(Cost_Centers!$E:$E,MATCH($B249,Cost_Centers!$A:$A,0)),"(unknown)"))</f>
        <v/>
      </c>
      <c r="Y249" s="22">
        <f>IF($B249="","",IFERROR(INDEX(Cost_Centers!$D:$D,MATCH($B249,Cost_Centers!$A:$A,0)),"(unknown)"))</f>
        <v/>
      </c>
      <c r="Z249" s="22">
        <f>IF(OR($B249="",$G249&lt;&gt;"Variance vs Budget"),"",ABS(N($V249))+ROW()/1000000000)</f>
        <v/>
      </c>
    </row>
    <row r="250">
      <c r="A250" s="30">
        <f>IF($D$250="","",LEFT($D$250,FIND("|",$D$250&amp;"|")-1))</f>
        <v/>
      </c>
      <c r="B250" s="31" t="n"/>
      <c r="C250" s="30">
        <f>IF($B$250="","",IFERROR(INDEX(Cost_Centers!$B:$B,MATCH($B$250,Cost_Centers!$A:$A,0)),"(not in master)"))</f>
        <v/>
      </c>
      <c r="D250" s="31" t="n"/>
      <c r="E250" s="30">
        <f>IF($D$250="","",IFERROR(INDEX(Accounts!$D:$D,MATCH($D$250,Accounts!$A:$A,0)),"(not in master)"))</f>
        <v/>
      </c>
      <c r="F250" s="31" t="n"/>
      <c r="G250" s="30" t="inlineStr">
        <is>
          <t>Budget</t>
        </is>
      </c>
      <c r="H250" s="32">
        <f>IF($B$250="","",SUMIFS(Opex_Budget!$O:$O,Opex_Budget!$A:$A,$C$3,Opex_Budget!$E:$E,$B$250,Opex_Budget!$F:$F,$D$250,Opex_Budget!$N:$N,"JPY")*$E$5+SUMIFS(Opex_Budget!$O:$O,Opex_Budget!$A:$A,$C$3,Opex_Budget!$E:$E,$B$250,Opex_Budget!$F:$F,$D$250,Opex_Budget!$N:$N,"USD")*$F$5+SUMIFS(Opex_Budget!$O:$O,Opex_Budget!$A:$A,$C$3,Opex_Budget!$E:$E,$B$250,Opex_Budget!$F:$F,$D$250,Opex_Budget!$N:$N,"EUR")*$G$5+SUMIFS(Opex_Budget!$O:$O,Opex_Budget!$A:$A,$C$3,Opex_Budget!$E:$E,$B$250,Opex_Budget!$F:$F,$D$250,Opex_Budget!$N:$N,"GBP")*$H$5)</f>
        <v/>
      </c>
      <c r="I250" s="32">
        <f>IF($B$250="","",SUMIFS(Opex_Budget!$P:$P,Opex_Budget!$A:$A,$C$3,Opex_Budget!$E:$E,$B$250,Opex_Budget!$F:$F,$D$250,Opex_Budget!$N:$N,"JPY")*$E$5+SUMIFS(Opex_Budget!$P:$P,Opex_Budget!$A:$A,$C$3,Opex_Budget!$E:$E,$B$250,Opex_Budget!$F:$F,$D$250,Opex_Budget!$N:$N,"USD")*$F$5+SUMIFS(Opex_Budget!$P:$P,Opex_Budget!$A:$A,$C$3,Opex_Budget!$E:$E,$B$250,Opex_Budget!$F:$F,$D$250,Opex_Budget!$N:$N,"EUR")*$G$5+SUMIFS(Opex_Budget!$P:$P,Opex_Budget!$A:$A,$C$3,Opex_Budget!$E:$E,$B$250,Opex_Budget!$F:$F,$D$250,Opex_Budget!$N:$N,"GBP")*$H$5)</f>
        <v/>
      </c>
      <c r="J250" s="32">
        <f>IF($B$250="","",SUMIFS(Opex_Budget!$Q:$Q,Opex_Budget!$A:$A,$C$3,Opex_Budget!$E:$E,$B$250,Opex_Budget!$F:$F,$D$250,Opex_Budget!$N:$N,"JPY")*$E$5+SUMIFS(Opex_Budget!$Q:$Q,Opex_Budget!$A:$A,$C$3,Opex_Budget!$E:$E,$B$250,Opex_Budget!$F:$F,$D$250,Opex_Budget!$N:$N,"USD")*$F$5+SUMIFS(Opex_Budget!$Q:$Q,Opex_Budget!$A:$A,$C$3,Opex_Budget!$E:$E,$B$250,Opex_Budget!$F:$F,$D$250,Opex_Budget!$N:$N,"EUR")*$G$5+SUMIFS(Opex_Budget!$Q:$Q,Opex_Budget!$A:$A,$C$3,Opex_Budget!$E:$E,$B$250,Opex_Budget!$F:$F,$D$250,Opex_Budget!$N:$N,"GBP")*$H$5)</f>
        <v/>
      </c>
      <c r="K250" s="32">
        <f>IF($B$250="","",SUMIFS(Opex_Budget!$R:$R,Opex_Budget!$A:$A,$C$3,Opex_Budget!$E:$E,$B$250,Opex_Budget!$F:$F,$D$250,Opex_Budget!$N:$N,"JPY")*$E$5+SUMIFS(Opex_Budget!$R:$R,Opex_Budget!$A:$A,$C$3,Opex_Budget!$E:$E,$B$250,Opex_Budget!$F:$F,$D$250,Opex_Budget!$N:$N,"USD")*$F$5+SUMIFS(Opex_Budget!$R:$R,Opex_Budget!$A:$A,$C$3,Opex_Budget!$E:$E,$B$250,Opex_Budget!$F:$F,$D$250,Opex_Budget!$N:$N,"EUR")*$G$5+SUMIFS(Opex_Budget!$R:$R,Opex_Budget!$A:$A,$C$3,Opex_Budget!$E:$E,$B$250,Opex_Budget!$F:$F,$D$250,Opex_Budget!$N:$N,"GBP")*$H$5)</f>
        <v/>
      </c>
      <c r="L250" s="32">
        <f>IF($B$250="","",SUMIFS(Opex_Budget!$S:$S,Opex_Budget!$A:$A,$C$3,Opex_Budget!$E:$E,$B$250,Opex_Budget!$F:$F,$D$250,Opex_Budget!$N:$N,"JPY")*$E$5+SUMIFS(Opex_Budget!$S:$S,Opex_Budget!$A:$A,$C$3,Opex_Budget!$E:$E,$B$250,Opex_Budget!$F:$F,$D$250,Opex_Budget!$N:$N,"USD")*$F$5+SUMIFS(Opex_Budget!$S:$S,Opex_Budget!$A:$A,$C$3,Opex_Budget!$E:$E,$B$250,Opex_Budget!$F:$F,$D$250,Opex_Budget!$N:$N,"EUR")*$G$5+SUMIFS(Opex_Budget!$S:$S,Opex_Budget!$A:$A,$C$3,Opex_Budget!$E:$E,$B$250,Opex_Budget!$F:$F,$D$250,Opex_Budget!$N:$N,"GBP")*$H$5)</f>
        <v/>
      </c>
      <c r="M250" s="32">
        <f>IF($B$250="","",SUMIFS(Opex_Budget!$T:$T,Opex_Budget!$A:$A,$C$3,Opex_Budget!$E:$E,$B$250,Opex_Budget!$F:$F,$D$250,Opex_Budget!$N:$N,"JPY")*$E$5+SUMIFS(Opex_Budget!$T:$T,Opex_Budget!$A:$A,$C$3,Opex_Budget!$E:$E,$B$250,Opex_Budget!$F:$F,$D$250,Opex_Budget!$N:$N,"USD")*$F$5+SUMIFS(Opex_Budget!$T:$T,Opex_Budget!$A:$A,$C$3,Opex_Budget!$E:$E,$B$250,Opex_Budget!$F:$F,$D$250,Opex_Budget!$N:$N,"EUR")*$G$5+SUMIFS(Opex_Budget!$T:$T,Opex_Budget!$A:$A,$C$3,Opex_Budget!$E:$E,$B$250,Opex_Budget!$F:$F,$D$250,Opex_Budget!$N:$N,"GBP")*$H$5)</f>
        <v/>
      </c>
      <c r="N250" s="32">
        <f>IF($B$250="","",SUMIFS(Opex_Budget!$U:$U,Opex_Budget!$A:$A,$C$3,Opex_Budget!$E:$E,$B$250,Opex_Budget!$F:$F,$D$250,Opex_Budget!$N:$N,"JPY")*$E$5+SUMIFS(Opex_Budget!$U:$U,Opex_Budget!$A:$A,$C$3,Opex_Budget!$E:$E,$B$250,Opex_Budget!$F:$F,$D$250,Opex_Budget!$N:$N,"USD")*$F$5+SUMIFS(Opex_Budget!$U:$U,Opex_Budget!$A:$A,$C$3,Opex_Budget!$E:$E,$B$250,Opex_Budget!$F:$F,$D$250,Opex_Budget!$N:$N,"EUR")*$G$5+SUMIFS(Opex_Budget!$U:$U,Opex_Budget!$A:$A,$C$3,Opex_Budget!$E:$E,$B$250,Opex_Budget!$F:$F,$D$250,Opex_Budget!$N:$N,"GBP")*$H$5)</f>
        <v/>
      </c>
      <c r="O250" s="32">
        <f>IF($B$250="","",SUMIFS(Opex_Budget!$V:$V,Opex_Budget!$A:$A,$C$3,Opex_Budget!$E:$E,$B$250,Opex_Budget!$F:$F,$D$250,Opex_Budget!$N:$N,"JPY")*$E$5+SUMIFS(Opex_Budget!$V:$V,Opex_Budget!$A:$A,$C$3,Opex_Budget!$E:$E,$B$250,Opex_Budget!$F:$F,$D$250,Opex_Budget!$N:$N,"USD")*$F$5+SUMIFS(Opex_Budget!$V:$V,Opex_Budget!$A:$A,$C$3,Opex_Budget!$E:$E,$B$250,Opex_Budget!$F:$F,$D$250,Opex_Budget!$N:$N,"EUR")*$G$5+SUMIFS(Opex_Budget!$V:$V,Opex_Budget!$A:$A,$C$3,Opex_Budget!$E:$E,$B$250,Opex_Budget!$F:$F,$D$250,Opex_Budget!$N:$N,"GBP")*$H$5)</f>
        <v/>
      </c>
      <c r="P250" s="32">
        <f>IF($B$250="","",SUMIFS(Opex_Budget!$W:$W,Opex_Budget!$A:$A,$C$3,Opex_Budget!$E:$E,$B$250,Opex_Budget!$F:$F,$D$250,Opex_Budget!$N:$N,"JPY")*$E$5+SUMIFS(Opex_Budget!$W:$W,Opex_Budget!$A:$A,$C$3,Opex_Budget!$E:$E,$B$250,Opex_Budget!$F:$F,$D$250,Opex_Budget!$N:$N,"USD")*$F$5+SUMIFS(Opex_Budget!$W:$W,Opex_Budget!$A:$A,$C$3,Opex_Budget!$E:$E,$B$250,Opex_Budget!$F:$F,$D$250,Opex_Budget!$N:$N,"EUR")*$G$5+SUMIFS(Opex_Budget!$W:$W,Opex_Budget!$A:$A,$C$3,Opex_Budget!$E:$E,$B$250,Opex_Budget!$F:$F,$D$250,Opex_Budget!$N:$N,"GBP")*$H$5)</f>
        <v/>
      </c>
      <c r="Q250" s="32">
        <f>IF($B$250="","",SUMIFS(Opex_Budget!$X:$X,Opex_Budget!$A:$A,$C$3,Opex_Budget!$E:$E,$B$250,Opex_Budget!$F:$F,$D$250,Opex_Budget!$N:$N,"JPY")*$E$5+SUMIFS(Opex_Budget!$X:$X,Opex_Budget!$A:$A,$C$3,Opex_Budget!$E:$E,$B$250,Opex_Budget!$F:$F,$D$250,Opex_Budget!$N:$N,"USD")*$F$5+SUMIFS(Opex_Budget!$X:$X,Opex_Budget!$A:$A,$C$3,Opex_Budget!$E:$E,$B$250,Opex_Budget!$F:$F,$D$250,Opex_Budget!$N:$N,"EUR")*$G$5+SUMIFS(Opex_Budget!$X:$X,Opex_Budget!$A:$A,$C$3,Opex_Budget!$E:$E,$B$250,Opex_Budget!$F:$F,$D$250,Opex_Budget!$N:$N,"GBP")*$H$5)</f>
        <v/>
      </c>
      <c r="R250" s="32">
        <f>IF($B$250="","",SUMIFS(Opex_Budget!$Y:$Y,Opex_Budget!$A:$A,$C$3,Opex_Budget!$E:$E,$B$250,Opex_Budget!$F:$F,$D$250,Opex_Budget!$N:$N,"JPY")*$E$5+SUMIFS(Opex_Budget!$Y:$Y,Opex_Budget!$A:$A,$C$3,Opex_Budget!$E:$E,$B$250,Opex_Budget!$F:$F,$D$250,Opex_Budget!$N:$N,"USD")*$F$5+SUMIFS(Opex_Budget!$Y:$Y,Opex_Budget!$A:$A,$C$3,Opex_Budget!$E:$E,$B$250,Opex_Budget!$F:$F,$D$250,Opex_Budget!$N:$N,"EUR")*$G$5+SUMIFS(Opex_Budget!$Y:$Y,Opex_Budget!$A:$A,$C$3,Opex_Budget!$E:$E,$B$250,Opex_Budget!$F:$F,$D$250,Opex_Budget!$N:$N,"GBP")*$H$5)</f>
        <v/>
      </c>
      <c r="S250" s="32">
        <f>IF($B$250="","",SUMIFS(Opex_Budget!$Z:$Z,Opex_Budget!$A:$A,$C$3,Opex_Budget!$E:$E,$B$250,Opex_Budget!$F:$F,$D$250,Opex_Budget!$N:$N,"JPY")*$E$5+SUMIFS(Opex_Budget!$Z:$Z,Opex_Budget!$A:$A,$C$3,Opex_Budget!$E:$E,$B$250,Opex_Budget!$F:$F,$D$250,Opex_Budget!$N:$N,"USD")*$F$5+SUMIFS(Opex_Budget!$Z:$Z,Opex_Budget!$A:$A,$C$3,Opex_Budget!$E:$E,$B$250,Opex_Budget!$F:$F,$D$250,Opex_Budget!$N:$N,"EUR")*$G$5+SUMIFS(Opex_Budget!$Z:$Z,Opex_Budget!$A:$A,$C$3,Opex_Budget!$E:$E,$B$250,Opex_Budget!$F:$F,$D$250,Opex_Budget!$N:$N,"GBP")*$H$5)</f>
        <v/>
      </c>
      <c r="T250" s="32">
        <f>IF($B$250="","",SUMIF($H$7:$S$7,"&lt;="&amp;$C$4,$H250:$S250))</f>
        <v/>
      </c>
      <c r="U250" s="32">
        <f>IF($B$250="","",SUMIF($H$7:$S$7,"&gt;"&amp;$C$4,$H250:$S250))</f>
        <v/>
      </c>
      <c r="V250" s="32">
        <f>IF($B$250="","",SUM($H250:$S250))</f>
        <v/>
      </c>
      <c r="X250" s="22">
        <f>IF($B250="","",IFERROR(INDEX(Cost_Centers!$E:$E,MATCH($B250,Cost_Centers!$A:$A,0)),"(unknown)"))</f>
        <v/>
      </c>
      <c r="Y250" s="22">
        <f>IF($B250="","",IFERROR(INDEX(Cost_Centers!$D:$D,MATCH($B250,Cost_Centers!$A:$A,0)),"(unknown)"))</f>
        <v/>
      </c>
      <c r="Z250" s="22">
        <f>IF(OR($B250="",$G250&lt;&gt;"Variance vs Budget"),"",ABS(N($V250))+ROW()/1000000000)</f>
        <v/>
      </c>
    </row>
    <row r="251">
      <c r="A251" s="13">
        <f>IF(A$250="","",A$250)</f>
        <v/>
      </c>
      <c r="B251" s="13">
        <f>IF(B$250="","",B$250)</f>
        <v/>
      </c>
      <c r="C251" s="13">
        <f>IF(C$250="","",C$250)</f>
        <v/>
      </c>
      <c r="D251" s="13">
        <f>IF(D$250="","",D$250)</f>
        <v/>
      </c>
      <c r="E251" s="13">
        <f>IF(E$250="","",E$250)</f>
        <v/>
      </c>
      <c r="F251" s="13">
        <f>IF(F$250="","",F$250)</f>
        <v/>
      </c>
      <c r="G251" s="7" t="inlineStr">
        <is>
          <t>Actual</t>
        </is>
      </c>
      <c r="H251" s="18">
        <f>IF(OR($B$250="",1&gt;$C$4),"",SUMIFS(Actuals!$G:$G,Actuals!$B:$B,$C$3,Actuals!$C:$C,1,Actuals!$D:$D,$B$250,Actuals!$A:$A,LEFT($D$250,FIND("|",$D$250&amp;"|")-1),Actuals!$E:$E,MID($D$250,FIND("|",$D$250&amp;"|")+1,50),Actuals!$F:$F,"JPY")*$E$5+SUMIFS(Actuals!$G:$G,Actuals!$B:$B,$C$3,Actuals!$C:$C,1,Actuals!$D:$D,$B$250,Actuals!$A:$A,LEFT($D$250,FIND("|",$D$250&amp;"|")-1),Actuals!$E:$E,MID($D$250,FIND("|",$D$250&amp;"|")+1,50),Actuals!$F:$F,"USD")*$F$5+SUMIFS(Actuals!$G:$G,Actuals!$B:$B,$C$3,Actuals!$C:$C,1,Actuals!$D:$D,$B$250,Actuals!$A:$A,LEFT($D$250,FIND("|",$D$250&amp;"|")-1),Actuals!$E:$E,MID($D$250,FIND("|",$D$250&amp;"|")+1,50),Actuals!$F:$F,"EUR")*$G$5+SUMIFS(Actuals!$G:$G,Actuals!$B:$B,$C$3,Actuals!$C:$C,1,Actuals!$D:$D,$B$250,Actuals!$A:$A,LEFT($D$250,FIND("|",$D$250&amp;"|")-1),Actuals!$E:$E,MID($D$250,FIND("|",$D$250&amp;"|")+1,50),Actuals!$F:$F,"GBP")*$H$5)</f>
        <v/>
      </c>
      <c r="I251" s="18">
        <f>IF(OR($B$250="",2&gt;$C$4),"",SUMIFS(Actuals!$G:$G,Actuals!$B:$B,$C$3,Actuals!$C:$C,2,Actuals!$D:$D,$B$250,Actuals!$A:$A,LEFT($D$250,FIND("|",$D$250&amp;"|")-1),Actuals!$E:$E,MID($D$250,FIND("|",$D$250&amp;"|")+1,50),Actuals!$F:$F,"JPY")*$E$5+SUMIFS(Actuals!$G:$G,Actuals!$B:$B,$C$3,Actuals!$C:$C,2,Actuals!$D:$D,$B$250,Actuals!$A:$A,LEFT($D$250,FIND("|",$D$250&amp;"|")-1),Actuals!$E:$E,MID($D$250,FIND("|",$D$250&amp;"|")+1,50),Actuals!$F:$F,"USD")*$F$5+SUMIFS(Actuals!$G:$G,Actuals!$B:$B,$C$3,Actuals!$C:$C,2,Actuals!$D:$D,$B$250,Actuals!$A:$A,LEFT($D$250,FIND("|",$D$250&amp;"|")-1),Actuals!$E:$E,MID($D$250,FIND("|",$D$250&amp;"|")+1,50),Actuals!$F:$F,"EUR")*$G$5+SUMIFS(Actuals!$G:$G,Actuals!$B:$B,$C$3,Actuals!$C:$C,2,Actuals!$D:$D,$B$250,Actuals!$A:$A,LEFT($D$250,FIND("|",$D$250&amp;"|")-1),Actuals!$E:$E,MID($D$250,FIND("|",$D$250&amp;"|")+1,50),Actuals!$F:$F,"GBP")*$H$5)</f>
        <v/>
      </c>
      <c r="J251" s="18">
        <f>IF(OR($B$250="",3&gt;$C$4),"",SUMIFS(Actuals!$G:$G,Actuals!$B:$B,$C$3,Actuals!$C:$C,3,Actuals!$D:$D,$B$250,Actuals!$A:$A,LEFT($D$250,FIND("|",$D$250&amp;"|")-1),Actuals!$E:$E,MID($D$250,FIND("|",$D$250&amp;"|")+1,50),Actuals!$F:$F,"JPY")*$E$5+SUMIFS(Actuals!$G:$G,Actuals!$B:$B,$C$3,Actuals!$C:$C,3,Actuals!$D:$D,$B$250,Actuals!$A:$A,LEFT($D$250,FIND("|",$D$250&amp;"|")-1),Actuals!$E:$E,MID($D$250,FIND("|",$D$250&amp;"|")+1,50),Actuals!$F:$F,"USD")*$F$5+SUMIFS(Actuals!$G:$G,Actuals!$B:$B,$C$3,Actuals!$C:$C,3,Actuals!$D:$D,$B$250,Actuals!$A:$A,LEFT($D$250,FIND("|",$D$250&amp;"|")-1),Actuals!$E:$E,MID($D$250,FIND("|",$D$250&amp;"|")+1,50),Actuals!$F:$F,"EUR")*$G$5+SUMIFS(Actuals!$G:$G,Actuals!$B:$B,$C$3,Actuals!$C:$C,3,Actuals!$D:$D,$B$250,Actuals!$A:$A,LEFT($D$250,FIND("|",$D$250&amp;"|")-1),Actuals!$E:$E,MID($D$250,FIND("|",$D$250&amp;"|")+1,50),Actuals!$F:$F,"GBP")*$H$5)</f>
        <v/>
      </c>
      <c r="K251" s="18">
        <f>IF(OR($B$250="",4&gt;$C$4),"",SUMIFS(Actuals!$G:$G,Actuals!$B:$B,$C$3,Actuals!$C:$C,4,Actuals!$D:$D,$B$250,Actuals!$A:$A,LEFT($D$250,FIND("|",$D$250&amp;"|")-1),Actuals!$E:$E,MID($D$250,FIND("|",$D$250&amp;"|")+1,50),Actuals!$F:$F,"JPY")*$E$5+SUMIFS(Actuals!$G:$G,Actuals!$B:$B,$C$3,Actuals!$C:$C,4,Actuals!$D:$D,$B$250,Actuals!$A:$A,LEFT($D$250,FIND("|",$D$250&amp;"|")-1),Actuals!$E:$E,MID($D$250,FIND("|",$D$250&amp;"|")+1,50),Actuals!$F:$F,"USD")*$F$5+SUMIFS(Actuals!$G:$G,Actuals!$B:$B,$C$3,Actuals!$C:$C,4,Actuals!$D:$D,$B$250,Actuals!$A:$A,LEFT($D$250,FIND("|",$D$250&amp;"|")-1),Actuals!$E:$E,MID($D$250,FIND("|",$D$250&amp;"|")+1,50),Actuals!$F:$F,"EUR")*$G$5+SUMIFS(Actuals!$G:$G,Actuals!$B:$B,$C$3,Actuals!$C:$C,4,Actuals!$D:$D,$B$250,Actuals!$A:$A,LEFT($D$250,FIND("|",$D$250&amp;"|")-1),Actuals!$E:$E,MID($D$250,FIND("|",$D$250&amp;"|")+1,50),Actuals!$F:$F,"GBP")*$H$5)</f>
        <v/>
      </c>
      <c r="L251" s="18">
        <f>IF(OR($B$250="",5&gt;$C$4),"",SUMIFS(Actuals!$G:$G,Actuals!$B:$B,$C$3,Actuals!$C:$C,5,Actuals!$D:$D,$B$250,Actuals!$A:$A,LEFT($D$250,FIND("|",$D$250&amp;"|")-1),Actuals!$E:$E,MID($D$250,FIND("|",$D$250&amp;"|")+1,50),Actuals!$F:$F,"JPY")*$E$5+SUMIFS(Actuals!$G:$G,Actuals!$B:$B,$C$3,Actuals!$C:$C,5,Actuals!$D:$D,$B$250,Actuals!$A:$A,LEFT($D$250,FIND("|",$D$250&amp;"|")-1),Actuals!$E:$E,MID($D$250,FIND("|",$D$250&amp;"|")+1,50),Actuals!$F:$F,"USD")*$F$5+SUMIFS(Actuals!$G:$G,Actuals!$B:$B,$C$3,Actuals!$C:$C,5,Actuals!$D:$D,$B$250,Actuals!$A:$A,LEFT($D$250,FIND("|",$D$250&amp;"|")-1),Actuals!$E:$E,MID($D$250,FIND("|",$D$250&amp;"|")+1,50),Actuals!$F:$F,"EUR")*$G$5+SUMIFS(Actuals!$G:$G,Actuals!$B:$B,$C$3,Actuals!$C:$C,5,Actuals!$D:$D,$B$250,Actuals!$A:$A,LEFT($D$250,FIND("|",$D$250&amp;"|")-1),Actuals!$E:$E,MID($D$250,FIND("|",$D$250&amp;"|")+1,50),Actuals!$F:$F,"GBP")*$H$5)</f>
        <v/>
      </c>
      <c r="M251" s="18">
        <f>IF(OR($B$250="",6&gt;$C$4),"",SUMIFS(Actuals!$G:$G,Actuals!$B:$B,$C$3,Actuals!$C:$C,6,Actuals!$D:$D,$B$250,Actuals!$A:$A,LEFT($D$250,FIND("|",$D$250&amp;"|")-1),Actuals!$E:$E,MID($D$250,FIND("|",$D$250&amp;"|")+1,50),Actuals!$F:$F,"JPY")*$E$5+SUMIFS(Actuals!$G:$G,Actuals!$B:$B,$C$3,Actuals!$C:$C,6,Actuals!$D:$D,$B$250,Actuals!$A:$A,LEFT($D$250,FIND("|",$D$250&amp;"|")-1),Actuals!$E:$E,MID($D$250,FIND("|",$D$250&amp;"|")+1,50),Actuals!$F:$F,"USD")*$F$5+SUMIFS(Actuals!$G:$G,Actuals!$B:$B,$C$3,Actuals!$C:$C,6,Actuals!$D:$D,$B$250,Actuals!$A:$A,LEFT($D$250,FIND("|",$D$250&amp;"|")-1),Actuals!$E:$E,MID($D$250,FIND("|",$D$250&amp;"|")+1,50),Actuals!$F:$F,"EUR")*$G$5+SUMIFS(Actuals!$G:$G,Actuals!$B:$B,$C$3,Actuals!$C:$C,6,Actuals!$D:$D,$B$250,Actuals!$A:$A,LEFT($D$250,FIND("|",$D$250&amp;"|")-1),Actuals!$E:$E,MID($D$250,FIND("|",$D$250&amp;"|")+1,50),Actuals!$F:$F,"GBP")*$H$5)</f>
        <v/>
      </c>
      <c r="N251" s="18">
        <f>IF(OR($B$250="",7&gt;$C$4),"",SUMIFS(Actuals!$G:$G,Actuals!$B:$B,$C$3,Actuals!$C:$C,7,Actuals!$D:$D,$B$250,Actuals!$A:$A,LEFT($D$250,FIND("|",$D$250&amp;"|")-1),Actuals!$E:$E,MID($D$250,FIND("|",$D$250&amp;"|")+1,50),Actuals!$F:$F,"JPY")*$E$5+SUMIFS(Actuals!$G:$G,Actuals!$B:$B,$C$3,Actuals!$C:$C,7,Actuals!$D:$D,$B$250,Actuals!$A:$A,LEFT($D$250,FIND("|",$D$250&amp;"|")-1),Actuals!$E:$E,MID($D$250,FIND("|",$D$250&amp;"|")+1,50),Actuals!$F:$F,"USD")*$F$5+SUMIFS(Actuals!$G:$G,Actuals!$B:$B,$C$3,Actuals!$C:$C,7,Actuals!$D:$D,$B$250,Actuals!$A:$A,LEFT($D$250,FIND("|",$D$250&amp;"|")-1),Actuals!$E:$E,MID($D$250,FIND("|",$D$250&amp;"|")+1,50),Actuals!$F:$F,"EUR")*$G$5+SUMIFS(Actuals!$G:$G,Actuals!$B:$B,$C$3,Actuals!$C:$C,7,Actuals!$D:$D,$B$250,Actuals!$A:$A,LEFT($D$250,FIND("|",$D$250&amp;"|")-1),Actuals!$E:$E,MID($D$250,FIND("|",$D$250&amp;"|")+1,50),Actuals!$F:$F,"GBP")*$H$5)</f>
        <v/>
      </c>
      <c r="O251" s="18">
        <f>IF(OR($B$250="",8&gt;$C$4),"",SUMIFS(Actuals!$G:$G,Actuals!$B:$B,$C$3,Actuals!$C:$C,8,Actuals!$D:$D,$B$250,Actuals!$A:$A,LEFT($D$250,FIND("|",$D$250&amp;"|")-1),Actuals!$E:$E,MID($D$250,FIND("|",$D$250&amp;"|")+1,50),Actuals!$F:$F,"JPY")*$E$5+SUMIFS(Actuals!$G:$G,Actuals!$B:$B,$C$3,Actuals!$C:$C,8,Actuals!$D:$D,$B$250,Actuals!$A:$A,LEFT($D$250,FIND("|",$D$250&amp;"|")-1),Actuals!$E:$E,MID($D$250,FIND("|",$D$250&amp;"|")+1,50),Actuals!$F:$F,"USD")*$F$5+SUMIFS(Actuals!$G:$G,Actuals!$B:$B,$C$3,Actuals!$C:$C,8,Actuals!$D:$D,$B$250,Actuals!$A:$A,LEFT($D$250,FIND("|",$D$250&amp;"|")-1),Actuals!$E:$E,MID($D$250,FIND("|",$D$250&amp;"|")+1,50),Actuals!$F:$F,"EUR")*$G$5+SUMIFS(Actuals!$G:$G,Actuals!$B:$B,$C$3,Actuals!$C:$C,8,Actuals!$D:$D,$B$250,Actuals!$A:$A,LEFT($D$250,FIND("|",$D$250&amp;"|")-1),Actuals!$E:$E,MID($D$250,FIND("|",$D$250&amp;"|")+1,50),Actuals!$F:$F,"GBP")*$H$5)</f>
        <v/>
      </c>
      <c r="P251" s="18">
        <f>IF(OR($B$250="",9&gt;$C$4),"",SUMIFS(Actuals!$G:$G,Actuals!$B:$B,$C$3,Actuals!$C:$C,9,Actuals!$D:$D,$B$250,Actuals!$A:$A,LEFT($D$250,FIND("|",$D$250&amp;"|")-1),Actuals!$E:$E,MID($D$250,FIND("|",$D$250&amp;"|")+1,50),Actuals!$F:$F,"JPY")*$E$5+SUMIFS(Actuals!$G:$G,Actuals!$B:$B,$C$3,Actuals!$C:$C,9,Actuals!$D:$D,$B$250,Actuals!$A:$A,LEFT($D$250,FIND("|",$D$250&amp;"|")-1),Actuals!$E:$E,MID($D$250,FIND("|",$D$250&amp;"|")+1,50),Actuals!$F:$F,"USD")*$F$5+SUMIFS(Actuals!$G:$G,Actuals!$B:$B,$C$3,Actuals!$C:$C,9,Actuals!$D:$D,$B$250,Actuals!$A:$A,LEFT($D$250,FIND("|",$D$250&amp;"|")-1),Actuals!$E:$E,MID($D$250,FIND("|",$D$250&amp;"|")+1,50),Actuals!$F:$F,"EUR")*$G$5+SUMIFS(Actuals!$G:$G,Actuals!$B:$B,$C$3,Actuals!$C:$C,9,Actuals!$D:$D,$B$250,Actuals!$A:$A,LEFT($D$250,FIND("|",$D$250&amp;"|")-1),Actuals!$E:$E,MID($D$250,FIND("|",$D$250&amp;"|")+1,50),Actuals!$F:$F,"GBP")*$H$5)</f>
        <v/>
      </c>
      <c r="Q251" s="18">
        <f>IF(OR($B$250="",10&gt;$C$4),"",SUMIFS(Actuals!$G:$G,Actuals!$B:$B,$C$3,Actuals!$C:$C,10,Actuals!$D:$D,$B$250,Actuals!$A:$A,LEFT($D$250,FIND("|",$D$250&amp;"|")-1),Actuals!$E:$E,MID($D$250,FIND("|",$D$250&amp;"|")+1,50),Actuals!$F:$F,"JPY")*$E$5+SUMIFS(Actuals!$G:$G,Actuals!$B:$B,$C$3,Actuals!$C:$C,10,Actuals!$D:$D,$B$250,Actuals!$A:$A,LEFT($D$250,FIND("|",$D$250&amp;"|")-1),Actuals!$E:$E,MID($D$250,FIND("|",$D$250&amp;"|")+1,50),Actuals!$F:$F,"USD")*$F$5+SUMIFS(Actuals!$G:$G,Actuals!$B:$B,$C$3,Actuals!$C:$C,10,Actuals!$D:$D,$B$250,Actuals!$A:$A,LEFT($D$250,FIND("|",$D$250&amp;"|")-1),Actuals!$E:$E,MID($D$250,FIND("|",$D$250&amp;"|")+1,50),Actuals!$F:$F,"EUR")*$G$5+SUMIFS(Actuals!$G:$G,Actuals!$B:$B,$C$3,Actuals!$C:$C,10,Actuals!$D:$D,$B$250,Actuals!$A:$A,LEFT($D$250,FIND("|",$D$250&amp;"|")-1),Actuals!$E:$E,MID($D$250,FIND("|",$D$250&amp;"|")+1,50),Actuals!$F:$F,"GBP")*$H$5)</f>
        <v/>
      </c>
      <c r="R251" s="18">
        <f>IF(OR($B$250="",11&gt;$C$4),"",SUMIFS(Actuals!$G:$G,Actuals!$B:$B,$C$3,Actuals!$C:$C,11,Actuals!$D:$D,$B$250,Actuals!$A:$A,LEFT($D$250,FIND("|",$D$250&amp;"|")-1),Actuals!$E:$E,MID($D$250,FIND("|",$D$250&amp;"|")+1,50),Actuals!$F:$F,"JPY")*$E$5+SUMIFS(Actuals!$G:$G,Actuals!$B:$B,$C$3,Actuals!$C:$C,11,Actuals!$D:$D,$B$250,Actuals!$A:$A,LEFT($D$250,FIND("|",$D$250&amp;"|")-1),Actuals!$E:$E,MID($D$250,FIND("|",$D$250&amp;"|")+1,50),Actuals!$F:$F,"USD")*$F$5+SUMIFS(Actuals!$G:$G,Actuals!$B:$B,$C$3,Actuals!$C:$C,11,Actuals!$D:$D,$B$250,Actuals!$A:$A,LEFT($D$250,FIND("|",$D$250&amp;"|")-1),Actuals!$E:$E,MID($D$250,FIND("|",$D$250&amp;"|")+1,50),Actuals!$F:$F,"EUR")*$G$5+SUMIFS(Actuals!$G:$G,Actuals!$B:$B,$C$3,Actuals!$C:$C,11,Actuals!$D:$D,$B$250,Actuals!$A:$A,LEFT($D$250,FIND("|",$D$250&amp;"|")-1),Actuals!$E:$E,MID($D$250,FIND("|",$D$250&amp;"|")+1,50),Actuals!$F:$F,"GBP")*$H$5)</f>
        <v/>
      </c>
      <c r="S251" s="18">
        <f>IF(OR($B$250="",12&gt;$C$4),"",SUMIFS(Actuals!$G:$G,Actuals!$B:$B,$C$3,Actuals!$C:$C,12,Actuals!$D:$D,$B$250,Actuals!$A:$A,LEFT($D$250,FIND("|",$D$250&amp;"|")-1),Actuals!$E:$E,MID($D$250,FIND("|",$D$250&amp;"|")+1,50),Actuals!$F:$F,"JPY")*$E$5+SUMIFS(Actuals!$G:$G,Actuals!$B:$B,$C$3,Actuals!$C:$C,12,Actuals!$D:$D,$B$250,Actuals!$A:$A,LEFT($D$250,FIND("|",$D$250&amp;"|")-1),Actuals!$E:$E,MID($D$250,FIND("|",$D$250&amp;"|")+1,50),Actuals!$F:$F,"USD")*$F$5+SUMIFS(Actuals!$G:$G,Actuals!$B:$B,$C$3,Actuals!$C:$C,12,Actuals!$D:$D,$B$250,Actuals!$A:$A,LEFT($D$250,FIND("|",$D$250&amp;"|")-1),Actuals!$E:$E,MID($D$250,FIND("|",$D$250&amp;"|")+1,50),Actuals!$F:$F,"EUR")*$G$5+SUMIFS(Actuals!$G:$G,Actuals!$B:$B,$C$3,Actuals!$C:$C,12,Actuals!$D:$D,$B$250,Actuals!$A:$A,LEFT($D$250,FIND("|",$D$250&amp;"|")-1),Actuals!$E:$E,MID($D$250,FIND("|",$D$250&amp;"|")+1,50),Actuals!$F:$F,"GBP")*$H$5)</f>
        <v/>
      </c>
      <c r="T251" s="18">
        <f>IF($B$250="","",SUMIF($H$7:$S$7,"&lt;="&amp;$C$4,$H251:$S251))</f>
        <v/>
      </c>
      <c r="U251" s="18" t="n"/>
      <c r="V251" s="18" t="n"/>
      <c r="X251" s="22">
        <f>IF($B251="","",IFERROR(INDEX(Cost_Centers!$E:$E,MATCH($B251,Cost_Centers!$A:$A,0)),"(unknown)"))</f>
        <v/>
      </c>
      <c r="Y251" s="22">
        <f>IF($B251="","",IFERROR(INDEX(Cost_Centers!$D:$D,MATCH($B251,Cost_Centers!$A:$A,0)),"(unknown)"))</f>
        <v/>
      </c>
      <c r="Z251" s="22">
        <f>IF(OR($B251="",$G251&lt;&gt;"Variance vs Budget"),"",ABS(N($V251))+ROW()/1000000000)</f>
        <v/>
      </c>
    </row>
    <row r="252">
      <c r="A252" s="13">
        <f>IF(A$250="","",A$250)</f>
        <v/>
      </c>
      <c r="B252" s="13">
        <f>IF(B$250="","",B$250)</f>
        <v/>
      </c>
      <c r="C252" s="13">
        <f>IF(C$250="","",C$250)</f>
        <v/>
      </c>
      <c r="D252" s="13">
        <f>IF(D$250="","",D$250)</f>
        <v/>
      </c>
      <c r="E252" s="13">
        <f>IF(E$250="","",E$250)</f>
        <v/>
      </c>
      <c r="F252" s="13">
        <f>IF(F$250="","",F$250)</f>
        <v/>
      </c>
      <c r="G252" s="6" t="inlineStr">
        <is>
          <t>Variance vs Budget</t>
        </is>
      </c>
      <c r="H252" s="33">
        <f>IF(OR($B$250="",1&gt;$C$4),"",N(H251)-H250)</f>
        <v/>
      </c>
      <c r="I252" s="33">
        <f>IF(OR($B$250="",2&gt;$C$4),"",N(I251)-I250)</f>
        <v/>
      </c>
      <c r="J252" s="33">
        <f>IF(OR($B$250="",3&gt;$C$4),"",N(J251)-J250)</f>
        <v/>
      </c>
      <c r="K252" s="33">
        <f>IF(OR($B$250="",4&gt;$C$4),"",N(K251)-K250)</f>
        <v/>
      </c>
      <c r="L252" s="33">
        <f>IF(OR($B$250="",5&gt;$C$4),"",N(L251)-L250)</f>
        <v/>
      </c>
      <c r="M252" s="33">
        <f>IF(OR($B$250="",6&gt;$C$4),"",N(M251)-M250)</f>
        <v/>
      </c>
      <c r="N252" s="33">
        <f>IF(OR($B$250="",7&gt;$C$4),"",N(N251)-N250)</f>
        <v/>
      </c>
      <c r="O252" s="33">
        <f>IF(OR($B$250="",8&gt;$C$4),"",N(O251)-O250)</f>
        <v/>
      </c>
      <c r="P252" s="33">
        <f>IF(OR($B$250="",9&gt;$C$4),"",N(P251)-P250)</f>
        <v/>
      </c>
      <c r="Q252" s="33">
        <f>IF(OR($B$250="",10&gt;$C$4),"",N(Q251)-Q250)</f>
        <v/>
      </c>
      <c r="R252" s="33">
        <f>IF(OR($B$250="",11&gt;$C$4),"",N(R251)-R250)</f>
        <v/>
      </c>
      <c r="S252" s="33">
        <f>IF(OR($B$250="",12&gt;$C$4),"",N(S251)-S250)</f>
        <v/>
      </c>
      <c r="T252" s="33">
        <f>IF($B$250="","",T251-T250)</f>
        <v/>
      </c>
      <c r="U252" s="33">
        <f>IF($B$250="","",U254-U250)</f>
        <v/>
      </c>
      <c r="V252" s="33">
        <f>IF($B$250="","",V254-V250)</f>
        <v/>
      </c>
      <c r="X252" s="22">
        <f>IF($B252="","",IFERROR(INDEX(Cost_Centers!$E:$E,MATCH($B252,Cost_Centers!$A:$A,0)),"(unknown)"))</f>
        <v/>
      </c>
      <c r="Y252" s="22">
        <f>IF($B252="","",IFERROR(INDEX(Cost_Centers!$D:$D,MATCH($B252,Cost_Centers!$A:$A,0)),"(unknown)"))</f>
        <v/>
      </c>
      <c r="Z252" s="22">
        <f>IF(OR($B252="",$G252&lt;&gt;"Variance vs Budget"),"",ABS(N($V252))+ROW()/1000000000)</f>
        <v/>
      </c>
    </row>
    <row r="253">
      <c r="A253" s="13">
        <f>IF(A$250="","",A$250)</f>
        <v/>
      </c>
      <c r="B253" s="13">
        <f>IF(B$250="","",B$250)</f>
        <v/>
      </c>
      <c r="C253" s="13">
        <f>IF(C$250="","",C$250)</f>
        <v/>
      </c>
      <c r="D253" s="13">
        <f>IF(D$250="","",D$250)</f>
        <v/>
      </c>
      <c r="E253" s="13">
        <f>IF(E$250="","",E$250)</f>
        <v/>
      </c>
      <c r="F253" s="13">
        <f>IF(F$250="","",F$250)</f>
        <v/>
      </c>
      <c r="G253" s="7" t="inlineStr">
        <is>
          <t>Forecast (input)</t>
        </is>
      </c>
      <c r="H253" s="34" t="n"/>
      <c r="I253" s="34" t="n"/>
      <c r="J253" s="34" t="n"/>
      <c r="K253" s="34" t="n"/>
      <c r="L253" s="34" t="n"/>
      <c r="M253" s="34" t="n"/>
      <c r="N253" s="34" t="n"/>
      <c r="O253" s="34" t="n"/>
      <c r="P253" s="34" t="n"/>
      <c r="Q253" s="34" t="n"/>
      <c r="R253" s="34" t="n"/>
      <c r="S253" s="34" t="n"/>
      <c r="T253" s="18" t="n"/>
      <c r="U253" s="18" t="n"/>
      <c r="V253" s="18" t="n"/>
      <c r="X253" s="22">
        <f>IF($B253="","",IFERROR(INDEX(Cost_Centers!$E:$E,MATCH($B253,Cost_Centers!$A:$A,0)),"(unknown)"))</f>
        <v/>
      </c>
      <c r="Y253" s="22">
        <f>IF($B253="","",IFERROR(INDEX(Cost_Centers!$D:$D,MATCH($B253,Cost_Centers!$A:$A,0)),"(unknown)"))</f>
        <v/>
      </c>
      <c r="Z253" s="22">
        <f>IF(OR($B253="",$G253&lt;&gt;"Variance vs Budget"),"",ABS(N($V253))+ROW()/1000000000)</f>
        <v/>
      </c>
    </row>
    <row r="254">
      <c r="A254" s="13">
        <f>IF(A$250="","",A$250)</f>
        <v/>
      </c>
      <c r="B254" s="13">
        <f>IF(B$250="","",B$250)</f>
        <v/>
      </c>
      <c r="C254" s="13">
        <f>IF(C$250="","",C$250)</f>
        <v/>
      </c>
      <c r="D254" s="13">
        <f>IF(D$250="","",D$250)</f>
        <v/>
      </c>
      <c r="E254" s="13">
        <f>IF(E$250="","",E$250)</f>
        <v/>
      </c>
      <c r="F254" s="13">
        <f>IF(F$250="","",F$250)</f>
        <v/>
      </c>
      <c r="G254" s="35" t="inlineStr">
        <is>
          <t>Actual + Forecast</t>
        </is>
      </c>
      <c r="H254" s="18">
        <f>IF($B$250="","",IF(1&lt;=$C$4,N(H251),IF(H253="",H250,H253)))</f>
        <v/>
      </c>
      <c r="I254" s="18">
        <f>IF($B$250="","",IF(2&lt;=$C$4,N(I251),IF(I253="",I250,I253)))</f>
        <v/>
      </c>
      <c r="J254" s="18">
        <f>IF($B$250="","",IF(3&lt;=$C$4,N(J251),IF(J253="",J250,J253)))</f>
        <v/>
      </c>
      <c r="K254" s="18">
        <f>IF($B$250="","",IF(4&lt;=$C$4,N(K251),IF(K253="",K250,K253)))</f>
        <v/>
      </c>
      <c r="L254" s="18">
        <f>IF($B$250="","",IF(5&lt;=$C$4,N(L251),IF(L253="",L250,L253)))</f>
        <v/>
      </c>
      <c r="M254" s="18">
        <f>IF($B$250="","",IF(6&lt;=$C$4,N(M251),IF(M253="",M250,M253)))</f>
        <v/>
      </c>
      <c r="N254" s="18">
        <f>IF($B$250="","",IF(7&lt;=$C$4,N(N251),IF(N253="",N250,N253)))</f>
        <v/>
      </c>
      <c r="O254" s="18">
        <f>IF($B$250="","",IF(8&lt;=$C$4,N(O251),IF(O253="",O250,O253)))</f>
        <v/>
      </c>
      <c r="P254" s="18">
        <f>IF($B$250="","",IF(9&lt;=$C$4,N(P251),IF(P253="",P250,P253)))</f>
        <v/>
      </c>
      <c r="Q254" s="18">
        <f>IF($B$250="","",IF(10&lt;=$C$4,N(Q251),IF(Q253="",Q250,Q253)))</f>
        <v/>
      </c>
      <c r="R254" s="18">
        <f>IF($B$250="","",IF(11&lt;=$C$4,N(R251),IF(R253="",R250,R253)))</f>
        <v/>
      </c>
      <c r="S254" s="18">
        <f>IF($B$250="","",IF(12&lt;=$C$4,N(S251),IF(S253="",S250,S253)))</f>
        <v/>
      </c>
      <c r="T254" s="18">
        <f>IF($B$250="","",SUMIF($H$7:$S$7,"&lt;="&amp;$C$4,$H254:$S254))</f>
        <v/>
      </c>
      <c r="U254" s="18">
        <f>IF($B$250="","",SUMIF($H$7:$S$7,"&gt;"&amp;$C$4,$H254:$S254))</f>
        <v/>
      </c>
      <c r="V254" s="18">
        <f>IF($B$250="","",SUM($H254:$S254))</f>
        <v/>
      </c>
      <c r="X254" s="22">
        <f>IF($B254="","",IFERROR(INDEX(Cost_Centers!$E:$E,MATCH($B254,Cost_Centers!$A:$A,0)),"(unknown)"))</f>
        <v/>
      </c>
      <c r="Y254" s="22">
        <f>IF($B254="","",IFERROR(INDEX(Cost_Centers!$D:$D,MATCH($B254,Cost_Centers!$A:$A,0)),"(unknown)"))</f>
        <v/>
      </c>
      <c r="Z254" s="22">
        <f>IF(OR($B254="",$G254&lt;&gt;"Variance vs Budget"),"",ABS(N($V254))+ROW()/1000000000)</f>
        <v/>
      </c>
    </row>
    <row r="255">
      <c r="A255" s="13">
        <f>IF(A$250="","",A$250)</f>
        <v/>
      </c>
      <c r="B255" s="13">
        <f>IF(B$250="","",B$250)</f>
        <v/>
      </c>
      <c r="C255" s="13">
        <f>IF(C$250="","",C$250)</f>
        <v/>
      </c>
      <c r="D255" s="13">
        <f>IF(D$250="","",D$250)</f>
        <v/>
      </c>
      <c r="E255" s="13">
        <f>IF(E$250="","",E$250)</f>
        <v/>
      </c>
      <c r="F255" s="13">
        <f>IF(F$250="","",F$250)</f>
        <v/>
      </c>
      <c r="G255" s="36" t="inlineStr">
        <is>
          <t>Prior Month Forecast</t>
        </is>
      </c>
      <c r="H255" s="37">
        <f>IF($B$250="","",IF(COUNTIFS(Prior_Forecast!$A:$A,$B$250,Prior_Forecast!$B:$B,$D$250)&gt;0,SUMIFS(Prior_Forecast!$C:$C,Prior_Forecast!$A:$A,$B$250,Prior_Forecast!$B:$B,$D$250),""))</f>
        <v/>
      </c>
      <c r="I255" s="37">
        <f>IF($B$250="","",IF(COUNTIFS(Prior_Forecast!$A:$A,$B$250,Prior_Forecast!$B:$B,$D$250)&gt;0,SUMIFS(Prior_Forecast!$D:$D,Prior_Forecast!$A:$A,$B$250,Prior_Forecast!$B:$B,$D$250),""))</f>
        <v/>
      </c>
      <c r="J255" s="37">
        <f>IF($B$250="","",IF(COUNTIFS(Prior_Forecast!$A:$A,$B$250,Prior_Forecast!$B:$B,$D$250)&gt;0,SUMIFS(Prior_Forecast!$E:$E,Prior_Forecast!$A:$A,$B$250,Prior_Forecast!$B:$B,$D$250),""))</f>
        <v/>
      </c>
      <c r="K255" s="37">
        <f>IF($B$250="","",IF(COUNTIFS(Prior_Forecast!$A:$A,$B$250,Prior_Forecast!$B:$B,$D$250)&gt;0,SUMIFS(Prior_Forecast!$F:$F,Prior_Forecast!$A:$A,$B$250,Prior_Forecast!$B:$B,$D$250),""))</f>
        <v/>
      </c>
      <c r="L255" s="37">
        <f>IF($B$250="","",IF(COUNTIFS(Prior_Forecast!$A:$A,$B$250,Prior_Forecast!$B:$B,$D$250)&gt;0,SUMIFS(Prior_Forecast!$G:$G,Prior_Forecast!$A:$A,$B$250,Prior_Forecast!$B:$B,$D$250),""))</f>
        <v/>
      </c>
      <c r="M255" s="37">
        <f>IF($B$250="","",IF(COUNTIFS(Prior_Forecast!$A:$A,$B$250,Prior_Forecast!$B:$B,$D$250)&gt;0,SUMIFS(Prior_Forecast!$H:$H,Prior_Forecast!$A:$A,$B$250,Prior_Forecast!$B:$B,$D$250),""))</f>
        <v/>
      </c>
      <c r="N255" s="37">
        <f>IF($B$250="","",IF(COUNTIFS(Prior_Forecast!$A:$A,$B$250,Prior_Forecast!$B:$B,$D$250)&gt;0,SUMIFS(Prior_Forecast!$I:$I,Prior_Forecast!$A:$A,$B$250,Prior_Forecast!$B:$B,$D$250),""))</f>
        <v/>
      </c>
      <c r="O255" s="37">
        <f>IF($B$250="","",IF(COUNTIFS(Prior_Forecast!$A:$A,$B$250,Prior_Forecast!$B:$B,$D$250)&gt;0,SUMIFS(Prior_Forecast!$J:$J,Prior_Forecast!$A:$A,$B$250,Prior_Forecast!$B:$B,$D$250),""))</f>
        <v/>
      </c>
      <c r="P255" s="37">
        <f>IF($B$250="","",IF(COUNTIFS(Prior_Forecast!$A:$A,$B$250,Prior_Forecast!$B:$B,$D$250)&gt;0,SUMIFS(Prior_Forecast!$K:$K,Prior_Forecast!$A:$A,$B$250,Prior_Forecast!$B:$B,$D$250),""))</f>
        <v/>
      </c>
      <c r="Q255" s="37">
        <f>IF($B$250="","",IF(COUNTIFS(Prior_Forecast!$A:$A,$B$250,Prior_Forecast!$B:$B,$D$250)&gt;0,SUMIFS(Prior_Forecast!$L:$L,Prior_Forecast!$A:$A,$B$250,Prior_Forecast!$B:$B,$D$250),""))</f>
        <v/>
      </c>
      <c r="R255" s="37">
        <f>IF($B$250="","",IF(COUNTIFS(Prior_Forecast!$A:$A,$B$250,Prior_Forecast!$B:$B,$D$250)&gt;0,SUMIFS(Prior_Forecast!$M:$M,Prior_Forecast!$A:$A,$B$250,Prior_Forecast!$B:$B,$D$250),""))</f>
        <v/>
      </c>
      <c r="S255" s="37">
        <f>IF($B$250="","",IF(COUNTIFS(Prior_Forecast!$A:$A,$B$250,Prior_Forecast!$B:$B,$D$250)&gt;0,SUMIFS(Prior_Forecast!$N:$N,Prior_Forecast!$A:$A,$B$250,Prior_Forecast!$B:$B,$D$250),""))</f>
        <v/>
      </c>
      <c r="T255" s="37">
        <f>IF($B$250="","",IF(COUNTIFS(Prior_Forecast!$A:$A,$B$250,Prior_Forecast!$B:$B,$D$250)&gt;0,SUMIFS(Prior_Forecast!$O:$O,Prior_Forecast!$A:$A,$B$250,Prior_Forecast!$B:$B,$D$250),""))</f>
        <v/>
      </c>
      <c r="U255" s="37">
        <f>IF($B$250="","",IF(COUNTIFS(Prior_Forecast!$A:$A,$B$250,Prior_Forecast!$B:$B,$D$250)&gt;0,SUMIFS(Prior_Forecast!$P:$P,Prior_Forecast!$A:$A,$B$250,Prior_Forecast!$B:$B,$D$250),""))</f>
        <v/>
      </c>
      <c r="V255" s="37">
        <f>IF($B$250="","",IF(COUNTIFS(Prior_Forecast!$A:$A,$B$250,Prior_Forecast!$B:$B,$D$250)&gt;0,SUMIFS(Prior_Forecast!$Q:$Q,Prior_Forecast!$A:$A,$B$250,Prior_Forecast!$B:$B,$D$250),""))</f>
        <v/>
      </c>
      <c r="X255" s="22">
        <f>IF($B255="","",IFERROR(INDEX(Cost_Centers!$E:$E,MATCH($B255,Cost_Centers!$A:$A,0)),"(unknown)"))</f>
        <v/>
      </c>
      <c r="Y255" s="22">
        <f>IF($B255="","",IFERROR(INDEX(Cost_Centers!$D:$D,MATCH($B255,Cost_Centers!$A:$A,0)),"(unknown)"))</f>
        <v/>
      </c>
      <c r="Z255" s="22">
        <f>IF(OR($B255="",$G255&lt;&gt;"Variance vs Budget"),"",ABS(N($V255))+ROW()/1000000000)</f>
        <v/>
      </c>
    </row>
    <row r="256">
      <c r="A256" s="13">
        <f>IF(A$250="","",A$250)</f>
        <v/>
      </c>
      <c r="B256" s="13">
        <f>IF(B$250="","",B$250)</f>
        <v/>
      </c>
      <c r="C256" s="13">
        <f>IF(C$250="","",C$250)</f>
        <v/>
      </c>
      <c r="D256" s="13">
        <f>IF(D$250="","",D$250)</f>
        <v/>
      </c>
      <c r="E256" s="13">
        <f>IF(E$250="","",E$250)</f>
        <v/>
      </c>
      <c r="F256" s="13">
        <f>IF(F$250="","",F$250)</f>
        <v/>
      </c>
      <c r="G256" s="6" t="inlineStr">
        <is>
          <t>Variance vs Prior Month</t>
        </is>
      </c>
      <c r="H256" s="33">
        <f>IF(OR($B$250="",H255=""),"",H254-H255)</f>
        <v/>
      </c>
      <c r="I256" s="33">
        <f>IF(OR($B$250="",I255=""),"",I254-I255)</f>
        <v/>
      </c>
      <c r="J256" s="33">
        <f>IF(OR($B$250="",J255=""),"",J254-J255)</f>
        <v/>
      </c>
      <c r="K256" s="33">
        <f>IF(OR($B$250="",K255=""),"",K254-K255)</f>
        <v/>
      </c>
      <c r="L256" s="33">
        <f>IF(OR($B$250="",L255=""),"",L254-L255)</f>
        <v/>
      </c>
      <c r="M256" s="33">
        <f>IF(OR($B$250="",M255=""),"",M254-M255)</f>
        <v/>
      </c>
      <c r="N256" s="33">
        <f>IF(OR($B$250="",N255=""),"",N254-N255)</f>
        <v/>
      </c>
      <c r="O256" s="33">
        <f>IF(OR($B$250="",O255=""),"",O254-O255)</f>
        <v/>
      </c>
      <c r="P256" s="33">
        <f>IF(OR($B$250="",P255=""),"",P254-P255)</f>
        <v/>
      </c>
      <c r="Q256" s="33">
        <f>IF(OR($B$250="",Q255=""),"",Q254-Q255)</f>
        <v/>
      </c>
      <c r="R256" s="33">
        <f>IF(OR($B$250="",R255=""),"",R254-R255)</f>
        <v/>
      </c>
      <c r="S256" s="33">
        <f>IF(OR($B$250="",S255=""),"",S254-S255)</f>
        <v/>
      </c>
      <c r="T256" s="33">
        <f>IF(OR($B$250="",T255=""),"",T254-T255)</f>
        <v/>
      </c>
      <c r="U256" s="33">
        <f>IF(OR($B$250="",U255=""),"",U254-U255)</f>
        <v/>
      </c>
      <c r="V256" s="33">
        <f>IF(OR($B$250="",V255=""),"",V254-V255)</f>
        <v/>
      </c>
      <c r="X256" s="22">
        <f>IF($B256="","",IFERROR(INDEX(Cost_Centers!$E:$E,MATCH($B256,Cost_Centers!$A:$A,0)),"(unknown)"))</f>
        <v/>
      </c>
      <c r="Y256" s="22">
        <f>IF($B256="","",IFERROR(INDEX(Cost_Centers!$D:$D,MATCH($B256,Cost_Centers!$A:$A,0)),"(unknown)"))</f>
        <v/>
      </c>
      <c r="Z256" s="22">
        <f>IF(OR($B256="",$G256&lt;&gt;"Variance vs Budget"),"",ABS(N($V256))+ROW()/1000000000)</f>
        <v/>
      </c>
    </row>
    <row r="257" ht="45" customHeight="1">
      <c r="A257" s="13">
        <f>IF(A$250="","",A$250)</f>
        <v/>
      </c>
      <c r="B257" s="13">
        <f>IF(B$250="","",B$250)</f>
        <v/>
      </c>
      <c r="C257" s="13">
        <f>IF(C$250="","",C$250)</f>
        <v/>
      </c>
      <c r="D257" s="13">
        <f>IF(D$250="","",D$250)</f>
        <v/>
      </c>
      <c r="E257" s="13">
        <f>IF(E$250="","",E$250)</f>
        <v/>
      </c>
      <c r="F257" s="13">
        <f>IF(F$250="","",F$250)</f>
        <v/>
      </c>
      <c r="G257" s="7" t="inlineStr">
        <is>
          <t>Rationale</t>
        </is>
      </c>
      <c r="H257" s="38" t="n"/>
      <c r="I257" s="38" t="n"/>
      <c r="J257" s="38" t="n"/>
      <c r="K257" s="38" t="n"/>
      <c r="L257" s="38" t="n"/>
      <c r="M257" s="38" t="n"/>
      <c r="N257" s="38" t="n"/>
      <c r="O257" s="38" t="n"/>
      <c r="P257" s="38" t="n"/>
      <c r="Q257" s="38" t="n"/>
      <c r="R257" s="38" t="n"/>
      <c r="S257" s="38" t="n"/>
      <c r="T257" s="38" t="n"/>
      <c r="U257" s="38" t="n"/>
      <c r="V257" s="7" t="n"/>
      <c r="X257" s="22">
        <f>IF($B257="","",IFERROR(INDEX(Cost_Centers!$E:$E,MATCH($B257,Cost_Centers!$A:$A,0)),"(unknown)"))</f>
        <v/>
      </c>
      <c r="Y257" s="22">
        <f>IF($B257="","",IFERROR(INDEX(Cost_Centers!$D:$D,MATCH($B257,Cost_Centers!$A:$A,0)),"(unknown)"))</f>
        <v/>
      </c>
      <c r="Z257" s="22">
        <f>IF(OR($B257="",$G257&lt;&gt;"Variance vs Budget"),"",ABS(N($V257))+ROW()/1000000000)</f>
        <v/>
      </c>
    </row>
    <row r="258">
      <c r="A258" s="30">
        <f>IF($D$258="","",LEFT($D$258,FIND("|",$D$258&amp;"|")-1))</f>
        <v/>
      </c>
      <c r="B258" s="31" t="n"/>
      <c r="C258" s="30">
        <f>IF($B$258="","",IFERROR(INDEX(Cost_Centers!$B:$B,MATCH($B$258,Cost_Centers!$A:$A,0)),"(not in master)"))</f>
        <v/>
      </c>
      <c r="D258" s="31" t="n"/>
      <c r="E258" s="30">
        <f>IF($D$258="","",IFERROR(INDEX(Accounts!$D:$D,MATCH($D$258,Accounts!$A:$A,0)),"(not in master)"))</f>
        <v/>
      </c>
      <c r="F258" s="31" t="n"/>
      <c r="G258" s="30" t="inlineStr">
        <is>
          <t>Budget</t>
        </is>
      </c>
      <c r="H258" s="32">
        <f>IF($B$258="","",SUMIFS(Opex_Budget!$O:$O,Opex_Budget!$A:$A,$C$3,Opex_Budget!$E:$E,$B$258,Opex_Budget!$F:$F,$D$258,Opex_Budget!$N:$N,"JPY")*$E$5+SUMIFS(Opex_Budget!$O:$O,Opex_Budget!$A:$A,$C$3,Opex_Budget!$E:$E,$B$258,Opex_Budget!$F:$F,$D$258,Opex_Budget!$N:$N,"USD")*$F$5+SUMIFS(Opex_Budget!$O:$O,Opex_Budget!$A:$A,$C$3,Opex_Budget!$E:$E,$B$258,Opex_Budget!$F:$F,$D$258,Opex_Budget!$N:$N,"EUR")*$G$5+SUMIFS(Opex_Budget!$O:$O,Opex_Budget!$A:$A,$C$3,Opex_Budget!$E:$E,$B$258,Opex_Budget!$F:$F,$D$258,Opex_Budget!$N:$N,"GBP")*$H$5)</f>
        <v/>
      </c>
      <c r="I258" s="32">
        <f>IF($B$258="","",SUMIFS(Opex_Budget!$P:$P,Opex_Budget!$A:$A,$C$3,Opex_Budget!$E:$E,$B$258,Opex_Budget!$F:$F,$D$258,Opex_Budget!$N:$N,"JPY")*$E$5+SUMIFS(Opex_Budget!$P:$P,Opex_Budget!$A:$A,$C$3,Opex_Budget!$E:$E,$B$258,Opex_Budget!$F:$F,$D$258,Opex_Budget!$N:$N,"USD")*$F$5+SUMIFS(Opex_Budget!$P:$P,Opex_Budget!$A:$A,$C$3,Opex_Budget!$E:$E,$B$258,Opex_Budget!$F:$F,$D$258,Opex_Budget!$N:$N,"EUR")*$G$5+SUMIFS(Opex_Budget!$P:$P,Opex_Budget!$A:$A,$C$3,Opex_Budget!$E:$E,$B$258,Opex_Budget!$F:$F,$D$258,Opex_Budget!$N:$N,"GBP")*$H$5)</f>
        <v/>
      </c>
      <c r="J258" s="32">
        <f>IF($B$258="","",SUMIFS(Opex_Budget!$Q:$Q,Opex_Budget!$A:$A,$C$3,Opex_Budget!$E:$E,$B$258,Opex_Budget!$F:$F,$D$258,Opex_Budget!$N:$N,"JPY")*$E$5+SUMIFS(Opex_Budget!$Q:$Q,Opex_Budget!$A:$A,$C$3,Opex_Budget!$E:$E,$B$258,Opex_Budget!$F:$F,$D$258,Opex_Budget!$N:$N,"USD")*$F$5+SUMIFS(Opex_Budget!$Q:$Q,Opex_Budget!$A:$A,$C$3,Opex_Budget!$E:$E,$B$258,Opex_Budget!$F:$F,$D$258,Opex_Budget!$N:$N,"EUR")*$G$5+SUMIFS(Opex_Budget!$Q:$Q,Opex_Budget!$A:$A,$C$3,Opex_Budget!$E:$E,$B$258,Opex_Budget!$F:$F,$D$258,Opex_Budget!$N:$N,"GBP")*$H$5)</f>
        <v/>
      </c>
      <c r="K258" s="32">
        <f>IF($B$258="","",SUMIFS(Opex_Budget!$R:$R,Opex_Budget!$A:$A,$C$3,Opex_Budget!$E:$E,$B$258,Opex_Budget!$F:$F,$D$258,Opex_Budget!$N:$N,"JPY")*$E$5+SUMIFS(Opex_Budget!$R:$R,Opex_Budget!$A:$A,$C$3,Opex_Budget!$E:$E,$B$258,Opex_Budget!$F:$F,$D$258,Opex_Budget!$N:$N,"USD")*$F$5+SUMIFS(Opex_Budget!$R:$R,Opex_Budget!$A:$A,$C$3,Opex_Budget!$E:$E,$B$258,Opex_Budget!$F:$F,$D$258,Opex_Budget!$N:$N,"EUR")*$G$5+SUMIFS(Opex_Budget!$R:$R,Opex_Budget!$A:$A,$C$3,Opex_Budget!$E:$E,$B$258,Opex_Budget!$F:$F,$D$258,Opex_Budget!$N:$N,"GBP")*$H$5)</f>
        <v/>
      </c>
      <c r="L258" s="32">
        <f>IF($B$258="","",SUMIFS(Opex_Budget!$S:$S,Opex_Budget!$A:$A,$C$3,Opex_Budget!$E:$E,$B$258,Opex_Budget!$F:$F,$D$258,Opex_Budget!$N:$N,"JPY")*$E$5+SUMIFS(Opex_Budget!$S:$S,Opex_Budget!$A:$A,$C$3,Opex_Budget!$E:$E,$B$258,Opex_Budget!$F:$F,$D$258,Opex_Budget!$N:$N,"USD")*$F$5+SUMIFS(Opex_Budget!$S:$S,Opex_Budget!$A:$A,$C$3,Opex_Budget!$E:$E,$B$258,Opex_Budget!$F:$F,$D$258,Opex_Budget!$N:$N,"EUR")*$G$5+SUMIFS(Opex_Budget!$S:$S,Opex_Budget!$A:$A,$C$3,Opex_Budget!$E:$E,$B$258,Opex_Budget!$F:$F,$D$258,Opex_Budget!$N:$N,"GBP")*$H$5)</f>
        <v/>
      </c>
      <c r="M258" s="32">
        <f>IF($B$258="","",SUMIFS(Opex_Budget!$T:$T,Opex_Budget!$A:$A,$C$3,Opex_Budget!$E:$E,$B$258,Opex_Budget!$F:$F,$D$258,Opex_Budget!$N:$N,"JPY")*$E$5+SUMIFS(Opex_Budget!$T:$T,Opex_Budget!$A:$A,$C$3,Opex_Budget!$E:$E,$B$258,Opex_Budget!$F:$F,$D$258,Opex_Budget!$N:$N,"USD")*$F$5+SUMIFS(Opex_Budget!$T:$T,Opex_Budget!$A:$A,$C$3,Opex_Budget!$E:$E,$B$258,Opex_Budget!$F:$F,$D$258,Opex_Budget!$N:$N,"EUR")*$G$5+SUMIFS(Opex_Budget!$T:$T,Opex_Budget!$A:$A,$C$3,Opex_Budget!$E:$E,$B$258,Opex_Budget!$F:$F,$D$258,Opex_Budget!$N:$N,"GBP")*$H$5)</f>
        <v/>
      </c>
      <c r="N258" s="32">
        <f>IF($B$258="","",SUMIFS(Opex_Budget!$U:$U,Opex_Budget!$A:$A,$C$3,Opex_Budget!$E:$E,$B$258,Opex_Budget!$F:$F,$D$258,Opex_Budget!$N:$N,"JPY")*$E$5+SUMIFS(Opex_Budget!$U:$U,Opex_Budget!$A:$A,$C$3,Opex_Budget!$E:$E,$B$258,Opex_Budget!$F:$F,$D$258,Opex_Budget!$N:$N,"USD")*$F$5+SUMIFS(Opex_Budget!$U:$U,Opex_Budget!$A:$A,$C$3,Opex_Budget!$E:$E,$B$258,Opex_Budget!$F:$F,$D$258,Opex_Budget!$N:$N,"EUR")*$G$5+SUMIFS(Opex_Budget!$U:$U,Opex_Budget!$A:$A,$C$3,Opex_Budget!$E:$E,$B$258,Opex_Budget!$F:$F,$D$258,Opex_Budget!$N:$N,"GBP")*$H$5)</f>
        <v/>
      </c>
      <c r="O258" s="32">
        <f>IF($B$258="","",SUMIFS(Opex_Budget!$V:$V,Opex_Budget!$A:$A,$C$3,Opex_Budget!$E:$E,$B$258,Opex_Budget!$F:$F,$D$258,Opex_Budget!$N:$N,"JPY")*$E$5+SUMIFS(Opex_Budget!$V:$V,Opex_Budget!$A:$A,$C$3,Opex_Budget!$E:$E,$B$258,Opex_Budget!$F:$F,$D$258,Opex_Budget!$N:$N,"USD")*$F$5+SUMIFS(Opex_Budget!$V:$V,Opex_Budget!$A:$A,$C$3,Opex_Budget!$E:$E,$B$258,Opex_Budget!$F:$F,$D$258,Opex_Budget!$N:$N,"EUR")*$G$5+SUMIFS(Opex_Budget!$V:$V,Opex_Budget!$A:$A,$C$3,Opex_Budget!$E:$E,$B$258,Opex_Budget!$F:$F,$D$258,Opex_Budget!$N:$N,"GBP")*$H$5)</f>
        <v/>
      </c>
      <c r="P258" s="32">
        <f>IF($B$258="","",SUMIFS(Opex_Budget!$W:$W,Opex_Budget!$A:$A,$C$3,Opex_Budget!$E:$E,$B$258,Opex_Budget!$F:$F,$D$258,Opex_Budget!$N:$N,"JPY")*$E$5+SUMIFS(Opex_Budget!$W:$W,Opex_Budget!$A:$A,$C$3,Opex_Budget!$E:$E,$B$258,Opex_Budget!$F:$F,$D$258,Opex_Budget!$N:$N,"USD")*$F$5+SUMIFS(Opex_Budget!$W:$W,Opex_Budget!$A:$A,$C$3,Opex_Budget!$E:$E,$B$258,Opex_Budget!$F:$F,$D$258,Opex_Budget!$N:$N,"EUR")*$G$5+SUMIFS(Opex_Budget!$W:$W,Opex_Budget!$A:$A,$C$3,Opex_Budget!$E:$E,$B$258,Opex_Budget!$F:$F,$D$258,Opex_Budget!$N:$N,"GBP")*$H$5)</f>
        <v/>
      </c>
      <c r="Q258" s="32">
        <f>IF($B$258="","",SUMIFS(Opex_Budget!$X:$X,Opex_Budget!$A:$A,$C$3,Opex_Budget!$E:$E,$B$258,Opex_Budget!$F:$F,$D$258,Opex_Budget!$N:$N,"JPY")*$E$5+SUMIFS(Opex_Budget!$X:$X,Opex_Budget!$A:$A,$C$3,Opex_Budget!$E:$E,$B$258,Opex_Budget!$F:$F,$D$258,Opex_Budget!$N:$N,"USD")*$F$5+SUMIFS(Opex_Budget!$X:$X,Opex_Budget!$A:$A,$C$3,Opex_Budget!$E:$E,$B$258,Opex_Budget!$F:$F,$D$258,Opex_Budget!$N:$N,"EUR")*$G$5+SUMIFS(Opex_Budget!$X:$X,Opex_Budget!$A:$A,$C$3,Opex_Budget!$E:$E,$B$258,Opex_Budget!$F:$F,$D$258,Opex_Budget!$N:$N,"GBP")*$H$5)</f>
        <v/>
      </c>
      <c r="R258" s="32">
        <f>IF($B$258="","",SUMIFS(Opex_Budget!$Y:$Y,Opex_Budget!$A:$A,$C$3,Opex_Budget!$E:$E,$B$258,Opex_Budget!$F:$F,$D$258,Opex_Budget!$N:$N,"JPY")*$E$5+SUMIFS(Opex_Budget!$Y:$Y,Opex_Budget!$A:$A,$C$3,Opex_Budget!$E:$E,$B$258,Opex_Budget!$F:$F,$D$258,Opex_Budget!$N:$N,"USD")*$F$5+SUMIFS(Opex_Budget!$Y:$Y,Opex_Budget!$A:$A,$C$3,Opex_Budget!$E:$E,$B$258,Opex_Budget!$F:$F,$D$258,Opex_Budget!$N:$N,"EUR")*$G$5+SUMIFS(Opex_Budget!$Y:$Y,Opex_Budget!$A:$A,$C$3,Opex_Budget!$E:$E,$B$258,Opex_Budget!$F:$F,$D$258,Opex_Budget!$N:$N,"GBP")*$H$5)</f>
        <v/>
      </c>
      <c r="S258" s="32">
        <f>IF($B$258="","",SUMIFS(Opex_Budget!$Z:$Z,Opex_Budget!$A:$A,$C$3,Opex_Budget!$E:$E,$B$258,Opex_Budget!$F:$F,$D$258,Opex_Budget!$N:$N,"JPY")*$E$5+SUMIFS(Opex_Budget!$Z:$Z,Opex_Budget!$A:$A,$C$3,Opex_Budget!$E:$E,$B$258,Opex_Budget!$F:$F,$D$258,Opex_Budget!$N:$N,"USD")*$F$5+SUMIFS(Opex_Budget!$Z:$Z,Opex_Budget!$A:$A,$C$3,Opex_Budget!$E:$E,$B$258,Opex_Budget!$F:$F,$D$258,Opex_Budget!$N:$N,"EUR")*$G$5+SUMIFS(Opex_Budget!$Z:$Z,Opex_Budget!$A:$A,$C$3,Opex_Budget!$E:$E,$B$258,Opex_Budget!$F:$F,$D$258,Opex_Budget!$N:$N,"GBP")*$H$5)</f>
        <v/>
      </c>
      <c r="T258" s="32">
        <f>IF($B$258="","",SUMIF($H$7:$S$7,"&lt;="&amp;$C$4,$H258:$S258))</f>
        <v/>
      </c>
      <c r="U258" s="32">
        <f>IF($B$258="","",SUMIF($H$7:$S$7,"&gt;"&amp;$C$4,$H258:$S258))</f>
        <v/>
      </c>
      <c r="V258" s="32">
        <f>IF($B$258="","",SUM($H258:$S258))</f>
        <v/>
      </c>
      <c r="X258" s="22">
        <f>IF($B258="","",IFERROR(INDEX(Cost_Centers!$E:$E,MATCH($B258,Cost_Centers!$A:$A,0)),"(unknown)"))</f>
        <v/>
      </c>
      <c r="Y258" s="22">
        <f>IF($B258="","",IFERROR(INDEX(Cost_Centers!$D:$D,MATCH($B258,Cost_Centers!$A:$A,0)),"(unknown)"))</f>
        <v/>
      </c>
      <c r="Z258" s="22">
        <f>IF(OR($B258="",$G258&lt;&gt;"Variance vs Budget"),"",ABS(N($V258))+ROW()/1000000000)</f>
        <v/>
      </c>
    </row>
    <row r="259">
      <c r="A259" s="13">
        <f>IF(A$258="","",A$258)</f>
        <v/>
      </c>
      <c r="B259" s="13">
        <f>IF(B$258="","",B$258)</f>
        <v/>
      </c>
      <c r="C259" s="13">
        <f>IF(C$258="","",C$258)</f>
        <v/>
      </c>
      <c r="D259" s="13">
        <f>IF(D$258="","",D$258)</f>
        <v/>
      </c>
      <c r="E259" s="13">
        <f>IF(E$258="","",E$258)</f>
        <v/>
      </c>
      <c r="F259" s="13">
        <f>IF(F$258="","",F$258)</f>
        <v/>
      </c>
      <c r="G259" s="7" t="inlineStr">
        <is>
          <t>Actual</t>
        </is>
      </c>
      <c r="H259" s="18">
        <f>IF(OR($B$258="",1&gt;$C$4),"",SUMIFS(Actuals!$G:$G,Actuals!$B:$B,$C$3,Actuals!$C:$C,1,Actuals!$D:$D,$B$258,Actuals!$A:$A,LEFT($D$258,FIND("|",$D$258&amp;"|")-1),Actuals!$E:$E,MID($D$258,FIND("|",$D$258&amp;"|")+1,50),Actuals!$F:$F,"JPY")*$E$5+SUMIFS(Actuals!$G:$G,Actuals!$B:$B,$C$3,Actuals!$C:$C,1,Actuals!$D:$D,$B$258,Actuals!$A:$A,LEFT($D$258,FIND("|",$D$258&amp;"|")-1),Actuals!$E:$E,MID($D$258,FIND("|",$D$258&amp;"|")+1,50),Actuals!$F:$F,"USD")*$F$5+SUMIFS(Actuals!$G:$G,Actuals!$B:$B,$C$3,Actuals!$C:$C,1,Actuals!$D:$D,$B$258,Actuals!$A:$A,LEFT($D$258,FIND("|",$D$258&amp;"|")-1),Actuals!$E:$E,MID($D$258,FIND("|",$D$258&amp;"|")+1,50),Actuals!$F:$F,"EUR")*$G$5+SUMIFS(Actuals!$G:$G,Actuals!$B:$B,$C$3,Actuals!$C:$C,1,Actuals!$D:$D,$B$258,Actuals!$A:$A,LEFT($D$258,FIND("|",$D$258&amp;"|")-1),Actuals!$E:$E,MID($D$258,FIND("|",$D$258&amp;"|")+1,50),Actuals!$F:$F,"GBP")*$H$5)</f>
        <v/>
      </c>
      <c r="I259" s="18">
        <f>IF(OR($B$258="",2&gt;$C$4),"",SUMIFS(Actuals!$G:$G,Actuals!$B:$B,$C$3,Actuals!$C:$C,2,Actuals!$D:$D,$B$258,Actuals!$A:$A,LEFT($D$258,FIND("|",$D$258&amp;"|")-1),Actuals!$E:$E,MID($D$258,FIND("|",$D$258&amp;"|")+1,50),Actuals!$F:$F,"JPY")*$E$5+SUMIFS(Actuals!$G:$G,Actuals!$B:$B,$C$3,Actuals!$C:$C,2,Actuals!$D:$D,$B$258,Actuals!$A:$A,LEFT($D$258,FIND("|",$D$258&amp;"|")-1),Actuals!$E:$E,MID($D$258,FIND("|",$D$258&amp;"|")+1,50),Actuals!$F:$F,"USD")*$F$5+SUMIFS(Actuals!$G:$G,Actuals!$B:$B,$C$3,Actuals!$C:$C,2,Actuals!$D:$D,$B$258,Actuals!$A:$A,LEFT($D$258,FIND("|",$D$258&amp;"|")-1),Actuals!$E:$E,MID($D$258,FIND("|",$D$258&amp;"|")+1,50),Actuals!$F:$F,"EUR")*$G$5+SUMIFS(Actuals!$G:$G,Actuals!$B:$B,$C$3,Actuals!$C:$C,2,Actuals!$D:$D,$B$258,Actuals!$A:$A,LEFT($D$258,FIND("|",$D$258&amp;"|")-1),Actuals!$E:$E,MID($D$258,FIND("|",$D$258&amp;"|")+1,50),Actuals!$F:$F,"GBP")*$H$5)</f>
        <v/>
      </c>
      <c r="J259" s="18">
        <f>IF(OR($B$258="",3&gt;$C$4),"",SUMIFS(Actuals!$G:$G,Actuals!$B:$B,$C$3,Actuals!$C:$C,3,Actuals!$D:$D,$B$258,Actuals!$A:$A,LEFT($D$258,FIND("|",$D$258&amp;"|")-1),Actuals!$E:$E,MID($D$258,FIND("|",$D$258&amp;"|")+1,50),Actuals!$F:$F,"JPY")*$E$5+SUMIFS(Actuals!$G:$G,Actuals!$B:$B,$C$3,Actuals!$C:$C,3,Actuals!$D:$D,$B$258,Actuals!$A:$A,LEFT($D$258,FIND("|",$D$258&amp;"|")-1),Actuals!$E:$E,MID($D$258,FIND("|",$D$258&amp;"|")+1,50),Actuals!$F:$F,"USD")*$F$5+SUMIFS(Actuals!$G:$G,Actuals!$B:$B,$C$3,Actuals!$C:$C,3,Actuals!$D:$D,$B$258,Actuals!$A:$A,LEFT($D$258,FIND("|",$D$258&amp;"|")-1),Actuals!$E:$E,MID($D$258,FIND("|",$D$258&amp;"|")+1,50),Actuals!$F:$F,"EUR")*$G$5+SUMIFS(Actuals!$G:$G,Actuals!$B:$B,$C$3,Actuals!$C:$C,3,Actuals!$D:$D,$B$258,Actuals!$A:$A,LEFT($D$258,FIND("|",$D$258&amp;"|")-1),Actuals!$E:$E,MID($D$258,FIND("|",$D$258&amp;"|")+1,50),Actuals!$F:$F,"GBP")*$H$5)</f>
        <v/>
      </c>
      <c r="K259" s="18">
        <f>IF(OR($B$258="",4&gt;$C$4),"",SUMIFS(Actuals!$G:$G,Actuals!$B:$B,$C$3,Actuals!$C:$C,4,Actuals!$D:$D,$B$258,Actuals!$A:$A,LEFT($D$258,FIND("|",$D$258&amp;"|")-1),Actuals!$E:$E,MID($D$258,FIND("|",$D$258&amp;"|")+1,50),Actuals!$F:$F,"JPY")*$E$5+SUMIFS(Actuals!$G:$G,Actuals!$B:$B,$C$3,Actuals!$C:$C,4,Actuals!$D:$D,$B$258,Actuals!$A:$A,LEFT($D$258,FIND("|",$D$258&amp;"|")-1),Actuals!$E:$E,MID($D$258,FIND("|",$D$258&amp;"|")+1,50),Actuals!$F:$F,"USD")*$F$5+SUMIFS(Actuals!$G:$G,Actuals!$B:$B,$C$3,Actuals!$C:$C,4,Actuals!$D:$D,$B$258,Actuals!$A:$A,LEFT($D$258,FIND("|",$D$258&amp;"|")-1),Actuals!$E:$E,MID($D$258,FIND("|",$D$258&amp;"|")+1,50),Actuals!$F:$F,"EUR")*$G$5+SUMIFS(Actuals!$G:$G,Actuals!$B:$B,$C$3,Actuals!$C:$C,4,Actuals!$D:$D,$B$258,Actuals!$A:$A,LEFT($D$258,FIND("|",$D$258&amp;"|")-1),Actuals!$E:$E,MID($D$258,FIND("|",$D$258&amp;"|")+1,50),Actuals!$F:$F,"GBP")*$H$5)</f>
        <v/>
      </c>
      <c r="L259" s="18">
        <f>IF(OR($B$258="",5&gt;$C$4),"",SUMIFS(Actuals!$G:$G,Actuals!$B:$B,$C$3,Actuals!$C:$C,5,Actuals!$D:$D,$B$258,Actuals!$A:$A,LEFT($D$258,FIND("|",$D$258&amp;"|")-1),Actuals!$E:$E,MID($D$258,FIND("|",$D$258&amp;"|")+1,50),Actuals!$F:$F,"JPY")*$E$5+SUMIFS(Actuals!$G:$G,Actuals!$B:$B,$C$3,Actuals!$C:$C,5,Actuals!$D:$D,$B$258,Actuals!$A:$A,LEFT($D$258,FIND("|",$D$258&amp;"|")-1),Actuals!$E:$E,MID($D$258,FIND("|",$D$258&amp;"|")+1,50),Actuals!$F:$F,"USD")*$F$5+SUMIFS(Actuals!$G:$G,Actuals!$B:$B,$C$3,Actuals!$C:$C,5,Actuals!$D:$D,$B$258,Actuals!$A:$A,LEFT($D$258,FIND("|",$D$258&amp;"|")-1),Actuals!$E:$E,MID($D$258,FIND("|",$D$258&amp;"|")+1,50),Actuals!$F:$F,"EUR")*$G$5+SUMIFS(Actuals!$G:$G,Actuals!$B:$B,$C$3,Actuals!$C:$C,5,Actuals!$D:$D,$B$258,Actuals!$A:$A,LEFT($D$258,FIND("|",$D$258&amp;"|")-1),Actuals!$E:$E,MID($D$258,FIND("|",$D$258&amp;"|")+1,50),Actuals!$F:$F,"GBP")*$H$5)</f>
        <v/>
      </c>
      <c r="M259" s="18">
        <f>IF(OR($B$258="",6&gt;$C$4),"",SUMIFS(Actuals!$G:$G,Actuals!$B:$B,$C$3,Actuals!$C:$C,6,Actuals!$D:$D,$B$258,Actuals!$A:$A,LEFT($D$258,FIND("|",$D$258&amp;"|")-1),Actuals!$E:$E,MID($D$258,FIND("|",$D$258&amp;"|")+1,50),Actuals!$F:$F,"JPY")*$E$5+SUMIFS(Actuals!$G:$G,Actuals!$B:$B,$C$3,Actuals!$C:$C,6,Actuals!$D:$D,$B$258,Actuals!$A:$A,LEFT($D$258,FIND("|",$D$258&amp;"|")-1),Actuals!$E:$E,MID($D$258,FIND("|",$D$258&amp;"|")+1,50),Actuals!$F:$F,"USD")*$F$5+SUMIFS(Actuals!$G:$G,Actuals!$B:$B,$C$3,Actuals!$C:$C,6,Actuals!$D:$D,$B$258,Actuals!$A:$A,LEFT($D$258,FIND("|",$D$258&amp;"|")-1),Actuals!$E:$E,MID($D$258,FIND("|",$D$258&amp;"|")+1,50),Actuals!$F:$F,"EUR")*$G$5+SUMIFS(Actuals!$G:$G,Actuals!$B:$B,$C$3,Actuals!$C:$C,6,Actuals!$D:$D,$B$258,Actuals!$A:$A,LEFT($D$258,FIND("|",$D$258&amp;"|")-1),Actuals!$E:$E,MID($D$258,FIND("|",$D$258&amp;"|")+1,50),Actuals!$F:$F,"GBP")*$H$5)</f>
        <v/>
      </c>
      <c r="N259" s="18">
        <f>IF(OR($B$258="",7&gt;$C$4),"",SUMIFS(Actuals!$G:$G,Actuals!$B:$B,$C$3,Actuals!$C:$C,7,Actuals!$D:$D,$B$258,Actuals!$A:$A,LEFT($D$258,FIND("|",$D$258&amp;"|")-1),Actuals!$E:$E,MID($D$258,FIND("|",$D$258&amp;"|")+1,50),Actuals!$F:$F,"JPY")*$E$5+SUMIFS(Actuals!$G:$G,Actuals!$B:$B,$C$3,Actuals!$C:$C,7,Actuals!$D:$D,$B$258,Actuals!$A:$A,LEFT($D$258,FIND("|",$D$258&amp;"|")-1),Actuals!$E:$E,MID($D$258,FIND("|",$D$258&amp;"|")+1,50),Actuals!$F:$F,"USD")*$F$5+SUMIFS(Actuals!$G:$G,Actuals!$B:$B,$C$3,Actuals!$C:$C,7,Actuals!$D:$D,$B$258,Actuals!$A:$A,LEFT($D$258,FIND("|",$D$258&amp;"|")-1),Actuals!$E:$E,MID($D$258,FIND("|",$D$258&amp;"|")+1,50),Actuals!$F:$F,"EUR")*$G$5+SUMIFS(Actuals!$G:$G,Actuals!$B:$B,$C$3,Actuals!$C:$C,7,Actuals!$D:$D,$B$258,Actuals!$A:$A,LEFT($D$258,FIND("|",$D$258&amp;"|")-1),Actuals!$E:$E,MID($D$258,FIND("|",$D$258&amp;"|")+1,50),Actuals!$F:$F,"GBP")*$H$5)</f>
        <v/>
      </c>
      <c r="O259" s="18">
        <f>IF(OR($B$258="",8&gt;$C$4),"",SUMIFS(Actuals!$G:$G,Actuals!$B:$B,$C$3,Actuals!$C:$C,8,Actuals!$D:$D,$B$258,Actuals!$A:$A,LEFT($D$258,FIND("|",$D$258&amp;"|")-1),Actuals!$E:$E,MID($D$258,FIND("|",$D$258&amp;"|")+1,50),Actuals!$F:$F,"JPY")*$E$5+SUMIFS(Actuals!$G:$G,Actuals!$B:$B,$C$3,Actuals!$C:$C,8,Actuals!$D:$D,$B$258,Actuals!$A:$A,LEFT($D$258,FIND("|",$D$258&amp;"|")-1),Actuals!$E:$E,MID($D$258,FIND("|",$D$258&amp;"|")+1,50),Actuals!$F:$F,"USD")*$F$5+SUMIFS(Actuals!$G:$G,Actuals!$B:$B,$C$3,Actuals!$C:$C,8,Actuals!$D:$D,$B$258,Actuals!$A:$A,LEFT($D$258,FIND("|",$D$258&amp;"|")-1),Actuals!$E:$E,MID($D$258,FIND("|",$D$258&amp;"|")+1,50),Actuals!$F:$F,"EUR")*$G$5+SUMIFS(Actuals!$G:$G,Actuals!$B:$B,$C$3,Actuals!$C:$C,8,Actuals!$D:$D,$B$258,Actuals!$A:$A,LEFT($D$258,FIND("|",$D$258&amp;"|")-1),Actuals!$E:$E,MID($D$258,FIND("|",$D$258&amp;"|")+1,50),Actuals!$F:$F,"GBP")*$H$5)</f>
        <v/>
      </c>
      <c r="P259" s="18">
        <f>IF(OR($B$258="",9&gt;$C$4),"",SUMIFS(Actuals!$G:$G,Actuals!$B:$B,$C$3,Actuals!$C:$C,9,Actuals!$D:$D,$B$258,Actuals!$A:$A,LEFT($D$258,FIND("|",$D$258&amp;"|")-1),Actuals!$E:$E,MID($D$258,FIND("|",$D$258&amp;"|")+1,50),Actuals!$F:$F,"JPY")*$E$5+SUMIFS(Actuals!$G:$G,Actuals!$B:$B,$C$3,Actuals!$C:$C,9,Actuals!$D:$D,$B$258,Actuals!$A:$A,LEFT($D$258,FIND("|",$D$258&amp;"|")-1),Actuals!$E:$E,MID($D$258,FIND("|",$D$258&amp;"|")+1,50),Actuals!$F:$F,"USD")*$F$5+SUMIFS(Actuals!$G:$G,Actuals!$B:$B,$C$3,Actuals!$C:$C,9,Actuals!$D:$D,$B$258,Actuals!$A:$A,LEFT($D$258,FIND("|",$D$258&amp;"|")-1),Actuals!$E:$E,MID($D$258,FIND("|",$D$258&amp;"|")+1,50),Actuals!$F:$F,"EUR")*$G$5+SUMIFS(Actuals!$G:$G,Actuals!$B:$B,$C$3,Actuals!$C:$C,9,Actuals!$D:$D,$B$258,Actuals!$A:$A,LEFT($D$258,FIND("|",$D$258&amp;"|")-1),Actuals!$E:$E,MID($D$258,FIND("|",$D$258&amp;"|")+1,50),Actuals!$F:$F,"GBP")*$H$5)</f>
        <v/>
      </c>
      <c r="Q259" s="18">
        <f>IF(OR($B$258="",10&gt;$C$4),"",SUMIFS(Actuals!$G:$G,Actuals!$B:$B,$C$3,Actuals!$C:$C,10,Actuals!$D:$D,$B$258,Actuals!$A:$A,LEFT($D$258,FIND("|",$D$258&amp;"|")-1),Actuals!$E:$E,MID($D$258,FIND("|",$D$258&amp;"|")+1,50),Actuals!$F:$F,"JPY")*$E$5+SUMIFS(Actuals!$G:$G,Actuals!$B:$B,$C$3,Actuals!$C:$C,10,Actuals!$D:$D,$B$258,Actuals!$A:$A,LEFT($D$258,FIND("|",$D$258&amp;"|")-1),Actuals!$E:$E,MID($D$258,FIND("|",$D$258&amp;"|")+1,50),Actuals!$F:$F,"USD")*$F$5+SUMIFS(Actuals!$G:$G,Actuals!$B:$B,$C$3,Actuals!$C:$C,10,Actuals!$D:$D,$B$258,Actuals!$A:$A,LEFT($D$258,FIND("|",$D$258&amp;"|")-1),Actuals!$E:$E,MID($D$258,FIND("|",$D$258&amp;"|")+1,50),Actuals!$F:$F,"EUR")*$G$5+SUMIFS(Actuals!$G:$G,Actuals!$B:$B,$C$3,Actuals!$C:$C,10,Actuals!$D:$D,$B$258,Actuals!$A:$A,LEFT($D$258,FIND("|",$D$258&amp;"|")-1),Actuals!$E:$E,MID($D$258,FIND("|",$D$258&amp;"|")+1,50),Actuals!$F:$F,"GBP")*$H$5)</f>
        <v/>
      </c>
      <c r="R259" s="18">
        <f>IF(OR($B$258="",11&gt;$C$4),"",SUMIFS(Actuals!$G:$G,Actuals!$B:$B,$C$3,Actuals!$C:$C,11,Actuals!$D:$D,$B$258,Actuals!$A:$A,LEFT($D$258,FIND("|",$D$258&amp;"|")-1),Actuals!$E:$E,MID($D$258,FIND("|",$D$258&amp;"|")+1,50),Actuals!$F:$F,"JPY")*$E$5+SUMIFS(Actuals!$G:$G,Actuals!$B:$B,$C$3,Actuals!$C:$C,11,Actuals!$D:$D,$B$258,Actuals!$A:$A,LEFT($D$258,FIND("|",$D$258&amp;"|")-1),Actuals!$E:$E,MID($D$258,FIND("|",$D$258&amp;"|")+1,50),Actuals!$F:$F,"USD")*$F$5+SUMIFS(Actuals!$G:$G,Actuals!$B:$B,$C$3,Actuals!$C:$C,11,Actuals!$D:$D,$B$258,Actuals!$A:$A,LEFT($D$258,FIND("|",$D$258&amp;"|")-1),Actuals!$E:$E,MID($D$258,FIND("|",$D$258&amp;"|")+1,50),Actuals!$F:$F,"EUR")*$G$5+SUMIFS(Actuals!$G:$G,Actuals!$B:$B,$C$3,Actuals!$C:$C,11,Actuals!$D:$D,$B$258,Actuals!$A:$A,LEFT($D$258,FIND("|",$D$258&amp;"|")-1),Actuals!$E:$E,MID($D$258,FIND("|",$D$258&amp;"|")+1,50),Actuals!$F:$F,"GBP")*$H$5)</f>
        <v/>
      </c>
      <c r="S259" s="18">
        <f>IF(OR($B$258="",12&gt;$C$4),"",SUMIFS(Actuals!$G:$G,Actuals!$B:$B,$C$3,Actuals!$C:$C,12,Actuals!$D:$D,$B$258,Actuals!$A:$A,LEFT($D$258,FIND("|",$D$258&amp;"|")-1),Actuals!$E:$E,MID($D$258,FIND("|",$D$258&amp;"|")+1,50),Actuals!$F:$F,"JPY")*$E$5+SUMIFS(Actuals!$G:$G,Actuals!$B:$B,$C$3,Actuals!$C:$C,12,Actuals!$D:$D,$B$258,Actuals!$A:$A,LEFT($D$258,FIND("|",$D$258&amp;"|")-1),Actuals!$E:$E,MID($D$258,FIND("|",$D$258&amp;"|")+1,50),Actuals!$F:$F,"USD")*$F$5+SUMIFS(Actuals!$G:$G,Actuals!$B:$B,$C$3,Actuals!$C:$C,12,Actuals!$D:$D,$B$258,Actuals!$A:$A,LEFT($D$258,FIND("|",$D$258&amp;"|")-1),Actuals!$E:$E,MID($D$258,FIND("|",$D$258&amp;"|")+1,50),Actuals!$F:$F,"EUR")*$G$5+SUMIFS(Actuals!$G:$G,Actuals!$B:$B,$C$3,Actuals!$C:$C,12,Actuals!$D:$D,$B$258,Actuals!$A:$A,LEFT($D$258,FIND("|",$D$258&amp;"|")-1),Actuals!$E:$E,MID($D$258,FIND("|",$D$258&amp;"|")+1,50),Actuals!$F:$F,"GBP")*$H$5)</f>
        <v/>
      </c>
      <c r="T259" s="18">
        <f>IF($B$258="","",SUMIF($H$7:$S$7,"&lt;="&amp;$C$4,$H259:$S259))</f>
        <v/>
      </c>
      <c r="U259" s="18" t="n"/>
      <c r="V259" s="18" t="n"/>
      <c r="X259" s="22">
        <f>IF($B259="","",IFERROR(INDEX(Cost_Centers!$E:$E,MATCH($B259,Cost_Centers!$A:$A,0)),"(unknown)"))</f>
        <v/>
      </c>
      <c r="Y259" s="22">
        <f>IF($B259="","",IFERROR(INDEX(Cost_Centers!$D:$D,MATCH($B259,Cost_Centers!$A:$A,0)),"(unknown)"))</f>
        <v/>
      </c>
      <c r="Z259" s="22">
        <f>IF(OR($B259="",$G259&lt;&gt;"Variance vs Budget"),"",ABS(N($V259))+ROW()/1000000000)</f>
        <v/>
      </c>
    </row>
    <row r="260">
      <c r="A260" s="13">
        <f>IF(A$258="","",A$258)</f>
        <v/>
      </c>
      <c r="B260" s="13">
        <f>IF(B$258="","",B$258)</f>
        <v/>
      </c>
      <c r="C260" s="13">
        <f>IF(C$258="","",C$258)</f>
        <v/>
      </c>
      <c r="D260" s="13">
        <f>IF(D$258="","",D$258)</f>
        <v/>
      </c>
      <c r="E260" s="13">
        <f>IF(E$258="","",E$258)</f>
        <v/>
      </c>
      <c r="F260" s="13">
        <f>IF(F$258="","",F$258)</f>
        <v/>
      </c>
      <c r="G260" s="6" t="inlineStr">
        <is>
          <t>Variance vs Budget</t>
        </is>
      </c>
      <c r="H260" s="33">
        <f>IF(OR($B$258="",1&gt;$C$4),"",N(H259)-H258)</f>
        <v/>
      </c>
      <c r="I260" s="33">
        <f>IF(OR($B$258="",2&gt;$C$4),"",N(I259)-I258)</f>
        <v/>
      </c>
      <c r="J260" s="33">
        <f>IF(OR($B$258="",3&gt;$C$4),"",N(J259)-J258)</f>
        <v/>
      </c>
      <c r="K260" s="33">
        <f>IF(OR($B$258="",4&gt;$C$4),"",N(K259)-K258)</f>
        <v/>
      </c>
      <c r="L260" s="33">
        <f>IF(OR($B$258="",5&gt;$C$4),"",N(L259)-L258)</f>
        <v/>
      </c>
      <c r="M260" s="33">
        <f>IF(OR($B$258="",6&gt;$C$4),"",N(M259)-M258)</f>
        <v/>
      </c>
      <c r="N260" s="33">
        <f>IF(OR($B$258="",7&gt;$C$4),"",N(N259)-N258)</f>
        <v/>
      </c>
      <c r="O260" s="33">
        <f>IF(OR($B$258="",8&gt;$C$4),"",N(O259)-O258)</f>
        <v/>
      </c>
      <c r="P260" s="33">
        <f>IF(OR($B$258="",9&gt;$C$4),"",N(P259)-P258)</f>
        <v/>
      </c>
      <c r="Q260" s="33">
        <f>IF(OR($B$258="",10&gt;$C$4),"",N(Q259)-Q258)</f>
        <v/>
      </c>
      <c r="R260" s="33">
        <f>IF(OR($B$258="",11&gt;$C$4),"",N(R259)-R258)</f>
        <v/>
      </c>
      <c r="S260" s="33">
        <f>IF(OR($B$258="",12&gt;$C$4),"",N(S259)-S258)</f>
        <v/>
      </c>
      <c r="T260" s="33">
        <f>IF($B$258="","",T259-T258)</f>
        <v/>
      </c>
      <c r="U260" s="33">
        <f>IF($B$258="","",U262-U258)</f>
        <v/>
      </c>
      <c r="V260" s="33">
        <f>IF($B$258="","",V262-V258)</f>
        <v/>
      </c>
      <c r="X260" s="22">
        <f>IF($B260="","",IFERROR(INDEX(Cost_Centers!$E:$E,MATCH($B260,Cost_Centers!$A:$A,0)),"(unknown)"))</f>
        <v/>
      </c>
      <c r="Y260" s="22">
        <f>IF($B260="","",IFERROR(INDEX(Cost_Centers!$D:$D,MATCH($B260,Cost_Centers!$A:$A,0)),"(unknown)"))</f>
        <v/>
      </c>
      <c r="Z260" s="22">
        <f>IF(OR($B260="",$G260&lt;&gt;"Variance vs Budget"),"",ABS(N($V260))+ROW()/1000000000)</f>
        <v/>
      </c>
    </row>
    <row r="261">
      <c r="A261" s="13">
        <f>IF(A$258="","",A$258)</f>
        <v/>
      </c>
      <c r="B261" s="13">
        <f>IF(B$258="","",B$258)</f>
        <v/>
      </c>
      <c r="C261" s="13">
        <f>IF(C$258="","",C$258)</f>
        <v/>
      </c>
      <c r="D261" s="13">
        <f>IF(D$258="","",D$258)</f>
        <v/>
      </c>
      <c r="E261" s="13">
        <f>IF(E$258="","",E$258)</f>
        <v/>
      </c>
      <c r="F261" s="13">
        <f>IF(F$258="","",F$258)</f>
        <v/>
      </c>
      <c r="G261" s="7" t="inlineStr">
        <is>
          <t>Forecast (input)</t>
        </is>
      </c>
      <c r="H261" s="34" t="n"/>
      <c r="I261" s="34" t="n"/>
      <c r="J261" s="34" t="n"/>
      <c r="K261" s="34" t="n"/>
      <c r="L261" s="34" t="n"/>
      <c r="M261" s="34" t="n"/>
      <c r="N261" s="34" t="n"/>
      <c r="O261" s="34" t="n"/>
      <c r="P261" s="34" t="n"/>
      <c r="Q261" s="34" t="n"/>
      <c r="R261" s="34" t="n"/>
      <c r="S261" s="34" t="n"/>
      <c r="T261" s="18" t="n"/>
      <c r="U261" s="18" t="n"/>
      <c r="V261" s="18" t="n"/>
      <c r="X261" s="22">
        <f>IF($B261="","",IFERROR(INDEX(Cost_Centers!$E:$E,MATCH($B261,Cost_Centers!$A:$A,0)),"(unknown)"))</f>
        <v/>
      </c>
      <c r="Y261" s="22">
        <f>IF($B261="","",IFERROR(INDEX(Cost_Centers!$D:$D,MATCH($B261,Cost_Centers!$A:$A,0)),"(unknown)"))</f>
        <v/>
      </c>
      <c r="Z261" s="22">
        <f>IF(OR($B261="",$G261&lt;&gt;"Variance vs Budget"),"",ABS(N($V261))+ROW()/1000000000)</f>
        <v/>
      </c>
    </row>
    <row r="262">
      <c r="A262" s="13">
        <f>IF(A$258="","",A$258)</f>
        <v/>
      </c>
      <c r="B262" s="13">
        <f>IF(B$258="","",B$258)</f>
        <v/>
      </c>
      <c r="C262" s="13">
        <f>IF(C$258="","",C$258)</f>
        <v/>
      </c>
      <c r="D262" s="13">
        <f>IF(D$258="","",D$258)</f>
        <v/>
      </c>
      <c r="E262" s="13">
        <f>IF(E$258="","",E$258)</f>
        <v/>
      </c>
      <c r="F262" s="13">
        <f>IF(F$258="","",F$258)</f>
        <v/>
      </c>
      <c r="G262" s="35" t="inlineStr">
        <is>
          <t>Actual + Forecast</t>
        </is>
      </c>
      <c r="H262" s="18">
        <f>IF($B$258="","",IF(1&lt;=$C$4,N(H259),IF(H261="",H258,H261)))</f>
        <v/>
      </c>
      <c r="I262" s="18">
        <f>IF($B$258="","",IF(2&lt;=$C$4,N(I259),IF(I261="",I258,I261)))</f>
        <v/>
      </c>
      <c r="J262" s="18">
        <f>IF($B$258="","",IF(3&lt;=$C$4,N(J259),IF(J261="",J258,J261)))</f>
        <v/>
      </c>
      <c r="K262" s="18">
        <f>IF($B$258="","",IF(4&lt;=$C$4,N(K259),IF(K261="",K258,K261)))</f>
        <v/>
      </c>
      <c r="L262" s="18">
        <f>IF($B$258="","",IF(5&lt;=$C$4,N(L259),IF(L261="",L258,L261)))</f>
        <v/>
      </c>
      <c r="M262" s="18">
        <f>IF($B$258="","",IF(6&lt;=$C$4,N(M259),IF(M261="",M258,M261)))</f>
        <v/>
      </c>
      <c r="N262" s="18">
        <f>IF($B$258="","",IF(7&lt;=$C$4,N(N259),IF(N261="",N258,N261)))</f>
        <v/>
      </c>
      <c r="O262" s="18">
        <f>IF($B$258="","",IF(8&lt;=$C$4,N(O259),IF(O261="",O258,O261)))</f>
        <v/>
      </c>
      <c r="P262" s="18">
        <f>IF($B$258="","",IF(9&lt;=$C$4,N(P259),IF(P261="",P258,P261)))</f>
        <v/>
      </c>
      <c r="Q262" s="18">
        <f>IF($B$258="","",IF(10&lt;=$C$4,N(Q259),IF(Q261="",Q258,Q261)))</f>
        <v/>
      </c>
      <c r="R262" s="18">
        <f>IF($B$258="","",IF(11&lt;=$C$4,N(R259),IF(R261="",R258,R261)))</f>
        <v/>
      </c>
      <c r="S262" s="18">
        <f>IF($B$258="","",IF(12&lt;=$C$4,N(S259),IF(S261="",S258,S261)))</f>
        <v/>
      </c>
      <c r="T262" s="18">
        <f>IF($B$258="","",SUMIF($H$7:$S$7,"&lt;="&amp;$C$4,$H262:$S262))</f>
        <v/>
      </c>
      <c r="U262" s="18">
        <f>IF($B$258="","",SUMIF($H$7:$S$7,"&gt;"&amp;$C$4,$H262:$S262))</f>
        <v/>
      </c>
      <c r="V262" s="18">
        <f>IF($B$258="","",SUM($H262:$S262))</f>
        <v/>
      </c>
      <c r="X262" s="22">
        <f>IF($B262="","",IFERROR(INDEX(Cost_Centers!$E:$E,MATCH($B262,Cost_Centers!$A:$A,0)),"(unknown)"))</f>
        <v/>
      </c>
      <c r="Y262" s="22">
        <f>IF($B262="","",IFERROR(INDEX(Cost_Centers!$D:$D,MATCH($B262,Cost_Centers!$A:$A,0)),"(unknown)"))</f>
        <v/>
      </c>
      <c r="Z262" s="22">
        <f>IF(OR($B262="",$G262&lt;&gt;"Variance vs Budget"),"",ABS(N($V262))+ROW()/1000000000)</f>
        <v/>
      </c>
    </row>
    <row r="263">
      <c r="A263" s="13">
        <f>IF(A$258="","",A$258)</f>
        <v/>
      </c>
      <c r="B263" s="13">
        <f>IF(B$258="","",B$258)</f>
        <v/>
      </c>
      <c r="C263" s="13">
        <f>IF(C$258="","",C$258)</f>
        <v/>
      </c>
      <c r="D263" s="13">
        <f>IF(D$258="","",D$258)</f>
        <v/>
      </c>
      <c r="E263" s="13">
        <f>IF(E$258="","",E$258)</f>
        <v/>
      </c>
      <c r="F263" s="13">
        <f>IF(F$258="","",F$258)</f>
        <v/>
      </c>
      <c r="G263" s="36" t="inlineStr">
        <is>
          <t>Prior Month Forecast</t>
        </is>
      </c>
      <c r="H263" s="37">
        <f>IF($B$258="","",IF(COUNTIFS(Prior_Forecast!$A:$A,$B$258,Prior_Forecast!$B:$B,$D$258)&gt;0,SUMIFS(Prior_Forecast!$C:$C,Prior_Forecast!$A:$A,$B$258,Prior_Forecast!$B:$B,$D$258),""))</f>
        <v/>
      </c>
      <c r="I263" s="37">
        <f>IF($B$258="","",IF(COUNTIFS(Prior_Forecast!$A:$A,$B$258,Prior_Forecast!$B:$B,$D$258)&gt;0,SUMIFS(Prior_Forecast!$D:$D,Prior_Forecast!$A:$A,$B$258,Prior_Forecast!$B:$B,$D$258),""))</f>
        <v/>
      </c>
      <c r="J263" s="37">
        <f>IF($B$258="","",IF(COUNTIFS(Prior_Forecast!$A:$A,$B$258,Prior_Forecast!$B:$B,$D$258)&gt;0,SUMIFS(Prior_Forecast!$E:$E,Prior_Forecast!$A:$A,$B$258,Prior_Forecast!$B:$B,$D$258),""))</f>
        <v/>
      </c>
      <c r="K263" s="37">
        <f>IF($B$258="","",IF(COUNTIFS(Prior_Forecast!$A:$A,$B$258,Prior_Forecast!$B:$B,$D$258)&gt;0,SUMIFS(Prior_Forecast!$F:$F,Prior_Forecast!$A:$A,$B$258,Prior_Forecast!$B:$B,$D$258),""))</f>
        <v/>
      </c>
      <c r="L263" s="37">
        <f>IF($B$258="","",IF(COUNTIFS(Prior_Forecast!$A:$A,$B$258,Prior_Forecast!$B:$B,$D$258)&gt;0,SUMIFS(Prior_Forecast!$G:$G,Prior_Forecast!$A:$A,$B$258,Prior_Forecast!$B:$B,$D$258),""))</f>
        <v/>
      </c>
      <c r="M263" s="37">
        <f>IF($B$258="","",IF(COUNTIFS(Prior_Forecast!$A:$A,$B$258,Prior_Forecast!$B:$B,$D$258)&gt;0,SUMIFS(Prior_Forecast!$H:$H,Prior_Forecast!$A:$A,$B$258,Prior_Forecast!$B:$B,$D$258),""))</f>
        <v/>
      </c>
      <c r="N263" s="37">
        <f>IF($B$258="","",IF(COUNTIFS(Prior_Forecast!$A:$A,$B$258,Prior_Forecast!$B:$B,$D$258)&gt;0,SUMIFS(Prior_Forecast!$I:$I,Prior_Forecast!$A:$A,$B$258,Prior_Forecast!$B:$B,$D$258),""))</f>
        <v/>
      </c>
      <c r="O263" s="37">
        <f>IF($B$258="","",IF(COUNTIFS(Prior_Forecast!$A:$A,$B$258,Prior_Forecast!$B:$B,$D$258)&gt;0,SUMIFS(Prior_Forecast!$J:$J,Prior_Forecast!$A:$A,$B$258,Prior_Forecast!$B:$B,$D$258),""))</f>
        <v/>
      </c>
      <c r="P263" s="37">
        <f>IF($B$258="","",IF(COUNTIFS(Prior_Forecast!$A:$A,$B$258,Prior_Forecast!$B:$B,$D$258)&gt;0,SUMIFS(Prior_Forecast!$K:$K,Prior_Forecast!$A:$A,$B$258,Prior_Forecast!$B:$B,$D$258),""))</f>
        <v/>
      </c>
      <c r="Q263" s="37">
        <f>IF($B$258="","",IF(COUNTIFS(Prior_Forecast!$A:$A,$B$258,Prior_Forecast!$B:$B,$D$258)&gt;0,SUMIFS(Prior_Forecast!$L:$L,Prior_Forecast!$A:$A,$B$258,Prior_Forecast!$B:$B,$D$258),""))</f>
        <v/>
      </c>
      <c r="R263" s="37">
        <f>IF($B$258="","",IF(COUNTIFS(Prior_Forecast!$A:$A,$B$258,Prior_Forecast!$B:$B,$D$258)&gt;0,SUMIFS(Prior_Forecast!$M:$M,Prior_Forecast!$A:$A,$B$258,Prior_Forecast!$B:$B,$D$258),""))</f>
        <v/>
      </c>
      <c r="S263" s="37">
        <f>IF($B$258="","",IF(COUNTIFS(Prior_Forecast!$A:$A,$B$258,Prior_Forecast!$B:$B,$D$258)&gt;0,SUMIFS(Prior_Forecast!$N:$N,Prior_Forecast!$A:$A,$B$258,Prior_Forecast!$B:$B,$D$258),""))</f>
        <v/>
      </c>
      <c r="T263" s="37">
        <f>IF($B$258="","",IF(COUNTIFS(Prior_Forecast!$A:$A,$B$258,Prior_Forecast!$B:$B,$D$258)&gt;0,SUMIFS(Prior_Forecast!$O:$O,Prior_Forecast!$A:$A,$B$258,Prior_Forecast!$B:$B,$D$258),""))</f>
        <v/>
      </c>
      <c r="U263" s="37">
        <f>IF($B$258="","",IF(COUNTIFS(Prior_Forecast!$A:$A,$B$258,Prior_Forecast!$B:$B,$D$258)&gt;0,SUMIFS(Prior_Forecast!$P:$P,Prior_Forecast!$A:$A,$B$258,Prior_Forecast!$B:$B,$D$258),""))</f>
        <v/>
      </c>
      <c r="V263" s="37">
        <f>IF($B$258="","",IF(COUNTIFS(Prior_Forecast!$A:$A,$B$258,Prior_Forecast!$B:$B,$D$258)&gt;0,SUMIFS(Prior_Forecast!$Q:$Q,Prior_Forecast!$A:$A,$B$258,Prior_Forecast!$B:$B,$D$258),""))</f>
        <v/>
      </c>
      <c r="X263" s="22">
        <f>IF($B263="","",IFERROR(INDEX(Cost_Centers!$E:$E,MATCH($B263,Cost_Centers!$A:$A,0)),"(unknown)"))</f>
        <v/>
      </c>
      <c r="Y263" s="22">
        <f>IF($B263="","",IFERROR(INDEX(Cost_Centers!$D:$D,MATCH($B263,Cost_Centers!$A:$A,0)),"(unknown)"))</f>
        <v/>
      </c>
      <c r="Z263" s="22">
        <f>IF(OR($B263="",$G263&lt;&gt;"Variance vs Budget"),"",ABS(N($V263))+ROW()/1000000000)</f>
        <v/>
      </c>
    </row>
    <row r="264">
      <c r="A264" s="13">
        <f>IF(A$258="","",A$258)</f>
        <v/>
      </c>
      <c r="B264" s="13">
        <f>IF(B$258="","",B$258)</f>
        <v/>
      </c>
      <c r="C264" s="13">
        <f>IF(C$258="","",C$258)</f>
        <v/>
      </c>
      <c r="D264" s="13">
        <f>IF(D$258="","",D$258)</f>
        <v/>
      </c>
      <c r="E264" s="13">
        <f>IF(E$258="","",E$258)</f>
        <v/>
      </c>
      <c r="F264" s="13">
        <f>IF(F$258="","",F$258)</f>
        <v/>
      </c>
      <c r="G264" s="6" t="inlineStr">
        <is>
          <t>Variance vs Prior Month</t>
        </is>
      </c>
      <c r="H264" s="33">
        <f>IF(OR($B$258="",H263=""),"",H262-H263)</f>
        <v/>
      </c>
      <c r="I264" s="33">
        <f>IF(OR($B$258="",I263=""),"",I262-I263)</f>
        <v/>
      </c>
      <c r="J264" s="33">
        <f>IF(OR($B$258="",J263=""),"",J262-J263)</f>
        <v/>
      </c>
      <c r="K264" s="33">
        <f>IF(OR($B$258="",K263=""),"",K262-K263)</f>
        <v/>
      </c>
      <c r="L264" s="33">
        <f>IF(OR($B$258="",L263=""),"",L262-L263)</f>
        <v/>
      </c>
      <c r="M264" s="33">
        <f>IF(OR($B$258="",M263=""),"",M262-M263)</f>
        <v/>
      </c>
      <c r="N264" s="33">
        <f>IF(OR($B$258="",N263=""),"",N262-N263)</f>
        <v/>
      </c>
      <c r="O264" s="33">
        <f>IF(OR($B$258="",O263=""),"",O262-O263)</f>
        <v/>
      </c>
      <c r="P264" s="33">
        <f>IF(OR($B$258="",P263=""),"",P262-P263)</f>
        <v/>
      </c>
      <c r="Q264" s="33">
        <f>IF(OR($B$258="",Q263=""),"",Q262-Q263)</f>
        <v/>
      </c>
      <c r="R264" s="33">
        <f>IF(OR($B$258="",R263=""),"",R262-R263)</f>
        <v/>
      </c>
      <c r="S264" s="33">
        <f>IF(OR($B$258="",S263=""),"",S262-S263)</f>
        <v/>
      </c>
      <c r="T264" s="33">
        <f>IF(OR($B$258="",T263=""),"",T262-T263)</f>
        <v/>
      </c>
      <c r="U264" s="33">
        <f>IF(OR($B$258="",U263=""),"",U262-U263)</f>
        <v/>
      </c>
      <c r="V264" s="33">
        <f>IF(OR($B$258="",V263=""),"",V262-V263)</f>
        <v/>
      </c>
      <c r="X264" s="22">
        <f>IF($B264="","",IFERROR(INDEX(Cost_Centers!$E:$E,MATCH($B264,Cost_Centers!$A:$A,0)),"(unknown)"))</f>
        <v/>
      </c>
      <c r="Y264" s="22">
        <f>IF($B264="","",IFERROR(INDEX(Cost_Centers!$D:$D,MATCH($B264,Cost_Centers!$A:$A,0)),"(unknown)"))</f>
        <v/>
      </c>
      <c r="Z264" s="22">
        <f>IF(OR($B264="",$G264&lt;&gt;"Variance vs Budget"),"",ABS(N($V264))+ROW()/1000000000)</f>
        <v/>
      </c>
    </row>
    <row r="265" ht="45" customHeight="1">
      <c r="A265" s="13">
        <f>IF(A$258="","",A$258)</f>
        <v/>
      </c>
      <c r="B265" s="13">
        <f>IF(B$258="","",B$258)</f>
        <v/>
      </c>
      <c r="C265" s="13">
        <f>IF(C$258="","",C$258)</f>
        <v/>
      </c>
      <c r="D265" s="13">
        <f>IF(D$258="","",D$258)</f>
        <v/>
      </c>
      <c r="E265" s="13">
        <f>IF(E$258="","",E$258)</f>
        <v/>
      </c>
      <c r="F265" s="13">
        <f>IF(F$258="","",F$258)</f>
        <v/>
      </c>
      <c r="G265" s="7" t="inlineStr">
        <is>
          <t>Rationale</t>
        </is>
      </c>
      <c r="H265" s="38" t="n"/>
      <c r="I265" s="38" t="n"/>
      <c r="J265" s="38" t="n"/>
      <c r="K265" s="38" t="n"/>
      <c r="L265" s="38" t="n"/>
      <c r="M265" s="38" t="n"/>
      <c r="N265" s="38" t="n"/>
      <c r="O265" s="38" t="n"/>
      <c r="P265" s="38" t="n"/>
      <c r="Q265" s="38" t="n"/>
      <c r="R265" s="38" t="n"/>
      <c r="S265" s="38" t="n"/>
      <c r="T265" s="38" t="n"/>
      <c r="U265" s="38" t="n"/>
      <c r="V265" s="7" t="n"/>
      <c r="X265" s="22">
        <f>IF($B265="","",IFERROR(INDEX(Cost_Centers!$E:$E,MATCH($B265,Cost_Centers!$A:$A,0)),"(unknown)"))</f>
        <v/>
      </c>
      <c r="Y265" s="22">
        <f>IF($B265="","",IFERROR(INDEX(Cost_Centers!$D:$D,MATCH($B265,Cost_Centers!$A:$A,0)),"(unknown)"))</f>
        <v/>
      </c>
      <c r="Z265" s="22">
        <f>IF(OR($B265="",$G265&lt;&gt;"Variance vs Budget"),"",ABS(N($V265))+ROW()/1000000000)</f>
        <v/>
      </c>
    </row>
    <row r="266">
      <c r="A266" s="30">
        <f>IF($D$266="","",LEFT($D$266,FIND("|",$D$266&amp;"|")-1))</f>
        <v/>
      </c>
      <c r="B266" s="31" t="n"/>
      <c r="C266" s="30">
        <f>IF($B$266="","",IFERROR(INDEX(Cost_Centers!$B:$B,MATCH($B$266,Cost_Centers!$A:$A,0)),"(not in master)"))</f>
        <v/>
      </c>
      <c r="D266" s="31" t="n"/>
      <c r="E266" s="30">
        <f>IF($D$266="","",IFERROR(INDEX(Accounts!$D:$D,MATCH($D$266,Accounts!$A:$A,0)),"(not in master)"))</f>
        <v/>
      </c>
      <c r="F266" s="31" t="n"/>
      <c r="G266" s="30" t="inlineStr">
        <is>
          <t>Budget</t>
        </is>
      </c>
      <c r="H266" s="32">
        <f>IF($B$266="","",SUMIFS(Opex_Budget!$O:$O,Opex_Budget!$A:$A,$C$3,Opex_Budget!$E:$E,$B$266,Opex_Budget!$F:$F,$D$266,Opex_Budget!$N:$N,"JPY")*$E$5+SUMIFS(Opex_Budget!$O:$O,Opex_Budget!$A:$A,$C$3,Opex_Budget!$E:$E,$B$266,Opex_Budget!$F:$F,$D$266,Opex_Budget!$N:$N,"USD")*$F$5+SUMIFS(Opex_Budget!$O:$O,Opex_Budget!$A:$A,$C$3,Opex_Budget!$E:$E,$B$266,Opex_Budget!$F:$F,$D$266,Opex_Budget!$N:$N,"EUR")*$G$5+SUMIFS(Opex_Budget!$O:$O,Opex_Budget!$A:$A,$C$3,Opex_Budget!$E:$E,$B$266,Opex_Budget!$F:$F,$D$266,Opex_Budget!$N:$N,"GBP")*$H$5)</f>
        <v/>
      </c>
      <c r="I266" s="32">
        <f>IF($B$266="","",SUMIFS(Opex_Budget!$P:$P,Opex_Budget!$A:$A,$C$3,Opex_Budget!$E:$E,$B$266,Opex_Budget!$F:$F,$D$266,Opex_Budget!$N:$N,"JPY")*$E$5+SUMIFS(Opex_Budget!$P:$P,Opex_Budget!$A:$A,$C$3,Opex_Budget!$E:$E,$B$266,Opex_Budget!$F:$F,$D$266,Opex_Budget!$N:$N,"USD")*$F$5+SUMIFS(Opex_Budget!$P:$P,Opex_Budget!$A:$A,$C$3,Opex_Budget!$E:$E,$B$266,Opex_Budget!$F:$F,$D$266,Opex_Budget!$N:$N,"EUR")*$G$5+SUMIFS(Opex_Budget!$P:$P,Opex_Budget!$A:$A,$C$3,Opex_Budget!$E:$E,$B$266,Opex_Budget!$F:$F,$D$266,Opex_Budget!$N:$N,"GBP")*$H$5)</f>
        <v/>
      </c>
      <c r="J266" s="32">
        <f>IF($B$266="","",SUMIFS(Opex_Budget!$Q:$Q,Opex_Budget!$A:$A,$C$3,Opex_Budget!$E:$E,$B$266,Opex_Budget!$F:$F,$D$266,Opex_Budget!$N:$N,"JPY")*$E$5+SUMIFS(Opex_Budget!$Q:$Q,Opex_Budget!$A:$A,$C$3,Opex_Budget!$E:$E,$B$266,Opex_Budget!$F:$F,$D$266,Opex_Budget!$N:$N,"USD")*$F$5+SUMIFS(Opex_Budget!$Q:$Q,Opex_Budget!$A:$A,$C$3,Opex_Budget!$E:$E,$B$266,Opex_Budget!$F:$F,$D$266,Opex_Budget!$N:$N,"EUR")*$G$5+SUMIFS(Opex_Budget!$Q:$Q,Opex_Budget!$A:$A,$C$3,Opex_Budget!$E:$E,$B$266,Opex_Budget!$F:$F,$D$266,Opex_Budget!$N:$N,"GBP")*$H$5)</f>
        <v/>
      </c>
      <c r="K266" s="32">
        <f>IF($B$266="","",SUMIFS(Opex_Budget!$R:$R,Opex_Budget!$A:$A,$C$3,Opex_Budget!$E:$E,$B$266,Opex_Budget!$F:$F,$D$266,Opex_Budget!$N:$N,"JPY")*$E$5+SUMIFS(Opex_Budget!$R:$R,Opex_Budget!$A:$A,$C$3,Opex_Budget!$E:$E,$B$266,Opex_Budget!$F:$F,$D$266,Opex_Budget!$N:$N,"USD")*$F$5+SUMIFS(Opex_Budget!$R:$R,Opex_Budget!$A:$A,$C$3,Opex_Budget!$E:$E,$B$266,Opex_Budget!$F:$F,$D$266,Opex_Budget!$N:$N,"EUR")*$G$5+SUMIFS(Opex_Budget!$R:$R,Opex_Budget!$A:$A,$C$3,Opex_Budget!$E:$E,$B$266,Opex_Budget!$F:$F,$D$266,Opex_Budget!$N:$N,"GBP")*$H$5)</f>
        <v/>
      </c>
      <c r="L266" s="32">
        <f>IF($B$266="","",SUMIFS(Opex_Budget!$S:$S,Opex_Budget!$A:$A,$C$3,Opex_Budget!$E:$E,$B$266,Opex_Budget!$F:$F,$D$266,Opex_Budget!$N:$N,"JPY")*$E$5+SUMIFS(Opex_Budget!$S:$S,Opex_Budget!$A:$A,$C$3,Opex_Budget!$E:$E,$B$266,Opex_Budget!$F:$F,$D$266,Opex_Budget!$N:$N,"USD")*$F$5+SUMIFS(Opex_Budget!$S:$S,Opex_Budget!$A:$A,$C$3,Opex_Budget!$E:$E,$B$266,Opex_Budget!$F:$F,$D$266,Opex_Budget!$N:$N,"EUR")*$G$5+SUMIFS(Opex_Budget!$S:$S,Opex_Budget!$A:$A,$C$3,Opex_Budget!$E:$E,$B$266,Opex_Budget!$F:$F,$D$266,Opex_Budget!$N:$N,"GBP")*$H$5)</f>
        <v/>
      </c>
      <c r="M266" s="32">
        <f>IF($B$266="","",SUMIFS(Opex_Budget!$T:$T,Opex_Budget!$A:$A,$C$3,Opex_Budget!$E:$E,$B$266,Opex_Budget!$F:$F,$D$266,Opex_Budget!$N:$N,"JPY")*$E$5+SUMIFS(Opex_Budget!$T:$T,Opex_Budget!$A:$A,$C$3,Opex_Budget!$E:$E,$B$266,Opex_Budget!$F:$F,$D$266,Opex_Budget!$N:$N,"USD")*$F$5+SUMIFS(Opex_Budget!$T:$T,Opex_Budget!$A:$A,$C$3,Opex_Budget!$E:$E,$B$266,Opex_Budget!$F:$F,$D$266,Opex_Budget!$N:$N,"EUR")*$G$5+SUMIFS(Opex_Budget!$T:$T,Opex_Budget!$A:$A,$C$3,Opex_Budget!$E:$E,$B$266,Opex_Budget!$F:$F,$D$266,Opex_Budget!$N:$N,"GBP")*$H$5)</f>
        <v/>
      </c>
      <c r="N266" s="32">
        <f>IF($B$266="","",SUMIFS(Opex_Budget!$U:$U,Opex_Budget!$A:$A,$C$3,Opex_Budget!$E:$E,$B$266,Opex_Budget!$F:$F,$D$266,Opex_Budget!$N:$N,"JPY")*$E$5+SUMIFS(Opex_Budget!$U:$U,Opex_Budget!$A:$A,$C$3,Opex_Budget!$E:$E,$B$266,Opex_Budget!$F:$F,$D$266,Opex_Budget!$N:$N,"USD")*$F$5+SUMIFS(Opex_Budget!$U:$U,Opex_Budget!$A:$A,$C$3,Opex_Budget!$E:$E,$B$266,Opex_Budget!$F:$F,$D$266,Opex_Budget!$N:$N,"EUR")*$G$5+SUMIFS(Opex_Budget!$U:$U,Opex_Budget!$A:$A,$C$3,Opex_Budget!$E:$E,$B$266,Opex_Budget!$F:$F,$D$266,Opex_Budget!$N:$N,"GBP")*$H$5)</f>
        <v/>
      </c>
      <c r="O266" s="32">
        <f>IF($B$266="","",SUMIFS(Opex_Budget!$V:$V,Opex_Budget!$A:$A,$C$3,Opex_Budget!$E:$E,$B$266,Opex_Budget!$F:$F,$D$266,Opex_Budget!$N:$N,"JPY")*$E$5+SUMIFS(Opex_Budget!$V:$V,Opex_Budget!$A:$A,$C$3,Opex_Budget!$E:$E,$B$266,Opex_Budget!$F:$F,$D$266,Opex_Budget!$N:$N,"USD")*$F$5+SUMIFS(Opex_Budget!$V:$V,Opex_Budget!$A:$A,$C$3,Opex_Budget!$E:$E,$B$266,Opex_Budget!$F:$F,$D$266,Opex_Budget!$N:$N,"EUR")*$G$5+SUMIFS(Opex_Budget!$V:$V,Opex_Budget!$A:$A,$C$3,Opex_Budget!$E:$E,$B$266,Opex_Budget!$F:$F,$D$266,Opex_Budget!$N:$N,"GBP")*$H$5)</f>
        <v/>
      </c>
      <c r="P266" s="32">
        <f>IF($B$266="","",SUMIFS(Opex_Budget!$W:$W,Opex_Budget!$A:$A,$C$3,Opex_Budget!$E:$E,$B$266,Opex_Budget!$F:$F,$D$266,Opex_Budget!$N:$N,"JPY")*$E$5+SUMIFS(Opex_Budget!$W:$W,Opex_Budget!$A:$A,$C$3,Opex_Budget!$E:$E,$B$266,Opex_Budget!$F:$F,$D$266,Opex_Budget!$N:$N,"USD")*$F$5+SUMIFS(Opex_Budget!$W:$W,Opex_Budget!$A:$A,$C$3,Opex_Budget!$E:$E,$B$266,Opex_Budget!$F:$F,$D$266,Opex_Budget!$N:$N,"EUR")*$G$5+SUMIFS(Opex_Budget!$W:$W,Opex_Budget!$A:$A,$C$3,Opex_Budget!$E:$E,$B$266,Opex_Budget!$F:$F,$D$266,Opex_Budget!$N:$N,"GBP")*$H$5)</f>
        <v/>
      </c>
      <c r="Q266" s="32">
        <f>IF($B$266="","",SUMIFS(Opex_Budget!$X:$X,Opex_Budget!$A:$A,$C$3,Opex_Budget!$E:$E,$B$266,Opex_Budget!$F:$F,$D$266,Opex_Budget!$N:$N,"JPY")*$E$5+SUMIFS(Opex_Budget!$X:$X,Opex_Budget!$A:$A,$C$3,Opex_Budget!$E:$E,$B$266,Opex_Budget!$F:$F,$D$266,Opex_Budget!$N:$N,"USD")*$F$5+SUMIFS(Opex_Budget!$X:$X,Opex_Budget!$A:$A,$C$3,Opex_Budget!$E:$E,$B$266,Opex_Budget!$F:$F,$D$266,Opex_Budget!$N:$N,"EUR")*$G$5+SUMIFS(Opex_Budget!$X:$X,Opex_Budget!$A:$A,$C$3,Opex_Budget!$E:$E,$B$266,Opex_Budget!$F:$F,$D$266,Opex_Budget!$N:$N,"GBP")*$H$5)</f>
        <v/>
      </c>
      <c r="R266" s="32">
        <f>IF($B$266="","",SUMIFS(Opex_Budget!$Y:$Y,Opex_Budget!$A:$A,$C$3,Opex_Budget!$E:$E,$B$266,Opex_Budget!$F:$F,$D$266,Opex_Budget!$N:$N,"JPY")*$E$5+SUMIFS(Opex_Budget!$Y:$Y,Opex_Budget!$A:$A,$C$3,Opex_Budget!$E:$E,$B$266,Opex_Budget!$F:$F,$D$266,Opex_Budget!$N:$N,"USD")*$F$5+SUMIFS(Opex_Budget!$Y:$Y,Opex_Budget!$A:$A,$C$3,Opex_Budget!$E:$E,$B$266,Opex_Budget!$F:$F,$D$266,Opex_Budget!$N:$N,"EUR")*$G$5+SUMIFS(Opex_Budget!$Y:$Y,Opex_Budget!$A:$A,$C$3,Opex_Budget!$E:$E,$B$266,Opex_Budget!$F:$F,$D$266,Opex_Budget!$N:$N,"GBP")*$H$5)</f>
        <v/>
      </c>
      <c r="S266" s="32">
        <f>IF($B$266="","",SUMIFS(Opex_Budget!$Z:$Z,Opex_Budget!$A:$A,$C$3,Opex_Budget!$E:$E,$B$266,Opex_Budget!$F:$F,$D$266,Opex_Budget!$N:$N,"JPY")*$E$5+SUMIFS(Opex_Budget!$Z:$Z,Opex_Budget!$A:$A,$C$3,Opex_Budget!$E:$E,$B$266,Opex_Budget!$F:$F,$D$266,Opex_Budget!$N:$N,"USD")*$F$5+SUMIFS(Opex_Budget!$Z:$Z,Opex_Budget!$A:$A,$C$3,Opex_Budget!$E:$E,$B$266,Opex_Budget!$F:$F,$D$266,Opex_Budget!$N:$N,"EUR")*$G$5+SUMIFS(Opex_Budget!$Z:$Z,Opex_Budget!$A:$A,$C$3,Opex_Budget!$E:$E,$B$266,Opex_Budget!$F:$F,$D$266,Opex_Budget!$N:$N,"GBP")*$H$5)</f>
        <v/>
      </c>
      <c r="T266" s="32">
        <f>IF($B$266="","",SUMIF($H$7:$S$7,"&lt;="&amp;$C$4,$H266:$S266))</f>
        <v/>
      </c>
      <c r="U266" s="32">
        <f>IF($B$266="","",SUMIF($H$7:$S$7,"&gt;"&amp;$C$4,$H266:$S266))</f>
        <v/>
      </c>
      <c r="V266" s="32">
        <f>IF($B$266="","",SUM($H266:$S266))</f>
        <v/>
      </c>
      <c r="X266" s="22">
        <f>IF($B266="","",IFERROR(INDEX(Cost_Centers!$E:$E,MATCH($B266,Cost_Centers!$A:$A,0)),"(unknown)"))</f>
        <v/>
      </c>
      <c r="Y266" s="22">
        <f>IF($B266="","",IFERROR(INDEX(Cost_Centers!$D:$D,MATCH($B266,Cost_Centers!$A:$A,0)),"(unknown)"))</f>
        <v/>
      </c>
      <c r="Z266" s="22">
        <f>IF(OR($B266="",$G266&lt;&gt;"Variance vs Budget"),"",ABS(N($V266))+ROW()/1000000000)</f>
        <v/>
      </c>
    </row>
    <row r="267">
      <c r="A267" s="13">
        <f>IF(A$266="","",A$266)</f>
        <v/>
      </c>
      <c r="B267" s="13">
        <f>IF(B$266="","",B$266)</f>
        <v/>
      </c>
      <c r="C267" s="13">
        <f>IF(C$266="","",C$266)</f>
        <v/>
      </c>
      <c r="D267" s="13">
        <f>IF(D$266="","",D$266)</f>
        <v/>
      </c>
      <c r="E267" s="13">
        <f>IF(E$266="","",E$266)</f>
        <v/>
      </c>
      <c r="F267" s="13">
        <f>IF(F$266="","",F$266)</f>
        <v/>
      </c>
      <c r="G267" s="7" t="inlineStr">
        <is>
          <t>Actual</t>
        </is>
      </c>
      <c r="H267" s="18">
        <f>IF(OR($B$266="",1&gt;$C$4),"",SUMIFS(Actuals!$G:$G,Actuals!$B:$B,$C$3,Actuals!$C:$C,1,Actuals!$D:$D,$B$266,Actuals!$A:$A,LEFT($D$266,FIND("|",$D$266&amp;"|")-1),Actuals!$E:$E,MID($D$266,FIND("|",$D$266&amp;"|")+1,50),Actuals!$F:$F,"JPY")*$E$5+SUMIFS(Actuals!$G:$G,Actuals!$B:$B,$C$3,Actuals!$C:$C,1,Actuals!$D:$D,$B$266,Actuals!$A:$A,LEFT($D$266,FIND("|",$D$266&amp;"|")-1),Actuals!$E:$E,MID($D$266,FIND("|",$D$266&amp;"|")+1,50),Actuals!$F:$F,"USD")*$F$5+SUMIFS(Actuals!$G:$G,Actuals!$B:$B,$C$3,Actuals!$C:$C,1,Actuals!$D:$D,$B$266,Actuals!$A:$A,LEFT($D$266,FIND("|",$D$266&amp;"|")-1),Actuals!$E:$E,MID($D$266,FIND("|",$D$266&amp;"|")+1,50),Actuals!$F:$F,"EUR")*$G$5+SUMIFS(Actuals!$G:$G,Actuals!$B:$B,$C$3,Actuals!$C:$C,1,Actuals!$D:$D,$B$266,Actuals!$A:$A,LEFT($D$266,FIND("|",$D$266&amp;"|")-1),Actuals!$E:$E,MID($D$266,FIND("|",$D$266&amp;"|")+1,50),Actuals!$F:$F,"GBP")*$H$5)</f>
        <v/>
      </c>
      <c r="I267" s="18">
        <f>IF(OR($B$266="",2&gt;$C$4),"",SUMIFS(Actuals!$G:$G,Actuals!$B:$B,$C$3,Actuals!$C:$C,2,Actuals!$D:$D,$B$266,Actuals!$A:$A,LEFT($D$266,FIND("|",$D$266&amp;"|")-1),Actuals!$E:$E,MID($D$266,FIND("|",$D$266&amp;"|")+1,50),Actuals!$F:$F,"JPY")*$E$5+SUMIFS(Actuals!$G:$G,Actuals!$B:$B,$C$3,Actuals!$C:$C,2,Actuals!$D:$D,$B$266,Actuals!$A:$A,LEFT($D$266,FIND("|",$D$266&amp;"|")-1),Actuals!$E:$E,MID($D$266,FIND("|",$D$266&amp;"|")+1,50),Actuals!$F:$F,"USD")*$F$5+SUMIFS(Actuals!$G:$G,Actuals!$B:$B,$C$3,Actuals!$C:$C,2,Actuals!$D:$D,$B$266,Actuals!$A:$A,LEFT($D$266,FIND("|",$D$266&amp;"|")-1),Actuals!$E:$E,MID($D$266,FIND("|",$D$266&amp;"|")+1,50),Actuals!$F:$F,"EUR")*$G$5+SUMIFS(Actuals!$G:$G,Actuals!$B:$B,$C$3,Actuals!$C:$C,2,Actuals!$D:$D,$B$266,Actuals!$A:$A,LEFT($D$266,FIND("|",$D$266&amp;"|")-1),Actuals!$E:$E,MID($D$266,FIND("|",$D$266&amp;"|")+1,50),Actuals!$F:$F,"GBP")*$H$5)</f>
        <v/>
      </c>
      <c r="J267" s="18">
        <f>IF(OR($B$266="",3&gt;$C$4),"",SUMIFS(Actuals!$G:$G,Actuals!$B:$B,$C$3,Actuals!$C:$C,3,Actuals!$D:$D,$B$266,Actuals!$A:$A,LEFT($D$266,FIND("|",$D$266&amp;"|")-1),Actuals!$E:$E,MID($D$266,FIND("|",$D$266&amp;"|")+1,50),Actuals!$F:$F,"JPY")*$E$5+SUMIFS(Actuals!$G:$G,Actuals!$B:$B,$C$3,Actuals!$C:$C,3,Actuals!$D:$D,$B$266,Actuals!$A:$A,LEFT($D$266,FIND("|",$D$266&amp;"|")-1),Actuals!$E:$E,MID($D$266,FIND("|",$D$266&amp;"|")+1,50),Actuals!$F:$F,"USD")*$F$5+SUMIFS(Actuals!$G:$G,Actuals!$B:$B,$C$3,Actuals!$C:$C,3,Actuals!$D:$D,$B$266,Actuals!$A:$A,LEFT($D$266,FIND("|",$D$266&amp;"|")-1),Actuals!$E:$E,MID($D$266,FIND("|",$D$266&amp;"|")+1,50),Actuals!$F:$F,"EUR")*$G$5+SUMIFS(Actuals!$G:$G,Actuals!$B:$B,$C$3,Actuals!$C:$C,3,Actuals!$D:$D,$B$266,Actuals!$A:$A,LEFT($D$266,FIND("|",$D$266&amp;"|")-1),Actuals!$E:$E,MID($D$266,FIND("|",$D$266&amp;"|")+1,50),Actuals!$F:$F,"GBP")*$H$5)</f>
        <v/>
      </c>
      <c r="K267" s="18">
        <f>IF(OR($B$266="",4&gt;$C$4),"",SUMIFS(Actuals!$G:$G,Actuals!$B:$B,$C$3,Actuals!$C:$C,4,Actuals!$D:$D,$B$266,Actuals!$A:$A,LEFT($D$266,FIND("|",$D$266&amp;"|")-1),Actuals!$E:$E,MID($D$266,FIND("|",$D$266&amp;"|")+1,50),Actuals!$F:$F,"JPY")*$E$5+SUMIFS(Actuals!$G:$G,Actuals!$B:$B,$C$3,Actuals!$C:$C,4,Actuals!$D:$D,$B$266,Actuals!$A:$A,LEFT($D$266,FIND("|",$D$266&amp;"|")-1),Actuals!$E:$E,MID($D$266,FIND("|",$D$266&amp;"|")+1,50),Actuals!$F:$F,"USD")*$F$5+SUMIFS(Actuals!$G:$G,Actuals!$B:$B,$C$3,Actuals!$C:$C,4,Actuals!$D:$D,$B$266,Actuals!$A:$A,LEFT($D$266,FIND("|",$D$266&amp;"|")-1),Actuals!$E:$E,MID($D$266,FIND("|",$D$266&amp;"|")+1,50),Actuals!$F:$F,"EUR")*$G$5+SUMIFS(Actuals!$G:$G,Actuals!$B:$B,$C$3,Actuals!$C:$C,4,Actuals!$D:$D,$B$266,Actuals!$A:$A,LEFT($D$266,FIND("|",$D$266&amp;"|")-1),Actuals!$E:$E,MID($D$266,FIND("|",$D$266&amp;"|")+1,50),Actuals!$F:$F,"GBP")*$H$5)</f>
        <v/>
      </c>
      <c r="L267" s="18">
        <f>IF(OR($B$266="",5&gt;$C$4),"",SUMIFS(Actuals!$G:$G,Actuals!$B:$B,$C$3,Actuals!$C:$C,5,Actuals!$D:$D,$B$266,Actuals!$A:$A,LEFT($D$266,FIND("|",$D$266&amp;"|")-1),Actuals!$E:$E,MID($D$266,FIND("|",$D$266&amp;"|")+1,50),Actuals!$F:$F,"JPY")*$E$5+SUMIFS(Actuals!$G:$G,Actuals!$B:$B,$C$3,Actuals!$C:$C,5,Actuals!$D:$D,$B$266,Actuals!$A:$A,LEFT($D$266,FIND("|",$D$266&amp;"|")-1),Actuals!$E:$E,MID($D$266,FIND("|",$D$266&amp;"|")+1,50),Actuals!$F:$F,"USD")*$F$5+SUMIFS(Actuals!$G:$G,Actuals!$B:$B,$C$3,Actuals!$C:$C,5,Actuals!$D:$D,$B$266,Actuals!$A:$A,LEFT($D$266,FIND("|",$D$266&amp;"|")-1),Actuals!$E:$E,MID($D$266,FIND("|",$D$266&amp;"|")+1,50),Actuals!$F:$F,"EUR")*$G$5+SUMIFS(Actuals!$G:$G,Actuals!$B:$B,$C$3,Actuals!$C:$C,5,Actuals!$D:$D,$B$266,Actuals!$A:$A,LEFT($D$266,FIND("|",$D$266&amp;"|")-1),Actuals!$E:$E,MID($D$266,FIND("|",$D$266&amp;"|")+1,50),Actuals!$F:$F,"GBP")*$H$5)</f>
        <v/>
      </c>
      <c r="M267" s="18">
        <f>IF(OR($B$266="",6&gt;$C$4),"",SUMIFS(Actuals!$G:$G,Actuals!$B:$B,$C$3,Actuals!$C:$C,6,Actuals!$D:$D,$B$266,Actuals!$A:$A,LEFT($D$266,FIND("|",$D$266&amp;"|")-1),Actuals!$E:$E,MID($D$266,FIND("|",$D$266&amp;"|")+1,50),Actuals!$F:$F,"JPY")*$E$5+SUMIFS(Actuals!$G:$G,Actuals!$B:$B,$C$3,Actuals!$C:$C,6,Actuals!$D:$D,$B$266,Actuals!$A:$A,LEFT($D$266,FIND("|",$D$266&amp;"|")-1),Actuals!$E:$E,MID($D$266,FIND("|",$D$266&amp;"|")+1,50),Actuals!$F:$F,"USD")*$F$5+SUMIFS(Actuals!$G:$G,Actuals!$B:$B,$C$3,Actuals!$C:$C,6,Actuals!$D:$D,$B$266,Actuals!$A:$A,LEFT($D$266,FIND("|",$D$266&amp;"|")-1),Actuals!$E:$E,MID($D$266,FIND("|",$D$266&amp;"|")+1,50),Actuals!$F:$F,"EUR")*$G$5+SUMIFS(Actuals!$G:$G,Actuals!$B:$B,$C$3,Actuals!$C:$C,6,Actuals!$D:$D,$B$266,Actuals!$A:$A,LEFT($D$266,FIND("|",$D$266&amp;"|")-1),Actuals!$E:$E,MID($D$266,FIND("|",$D$266&amp;"|")+1,50),Actuals!$F:$F,"GBP")*$H$5)</f>
        <v/>
      </c>
      <c r="N267" s="18">
        <f>IF(OR($B$266="",7&gt;$C$4),"",SUMIFS(Actuals!$G:$G,Actuals!$B:$B,$C$3,Actuals!$C:$C,7,Actuals!$D:$D,$B$266,Actuals!$A:$A,LEFT($D$266,FIND("|",$D$266&amp;"|")-1),Actuals!$E:$E,MID($D$266,FIND("|",$D$266&amp;"|")+1,50),Actuals!$F:$F,"JPY")*$E$5+SUMIFS(Actuals!$G:$G,Actuals!$B:$B,$C$3,Actuals!$C:$C,7,Actuals!$D:$D,$B$266,Actuals!$A:$A,LEFT($D$266,FIND("|",$D$266&amp;"|")-1),Actuals!$E:$E,MID($D$266,FIND("|",$D$266&amp;"|")+1,50),Actuals!$F:$F,"USD")*$F$5+SUMIFS(Actuals!$G:$G,Actuals!$B:$B,$C$3,Actuals!$C:$C,7,Actuals!$D:$D,$B$266,Actuals!$A:$A,LEFT($D$266,FIND("|",$D$266&amp;"|")-1),Actuals!$E:$E,MID($D$266,FIND("|",$D$266&amp;"|")+1,50),Actuals!$F:$F,"EUR")*$G$5+SUMIFS(Actuals!$G:$G,Actuals!$B:$B,$C$3,Actuals!$C:$C,7,Actuals!$D:$D,$B$266,Actuals!$A:$A,LEFT($D$266,FIND("|",$D$266&amp;"|")-1),Actuals!$E:$E,MID($D$266,FIND("|",$D$266&amp;"|")+1,50),Actuals!$F:$F,"GBP")*$H$5)</f>
        <v/>
      </c>
      <c r="O267" s="18">
        <f>IF(OR($B$266="",8&gt;$C$4),"",SUMIFS(Actuals!$G:$G,Actuals!$B:$B,$C$3,Actuals!$C:$C,8,Actuals!$D:$D,$B$266,Actuals!$A:$A,LEFT($D$266,FIND("|",$D$266&amp;"|")-1),Actuals!$E:$E,MID($D$266,FIND("|",$D$266&amp;"|")+1,50),Actuals!$F:$F,"JPY")*$E$5+SUMIFS(Actuals!$G:$G,Actuals!$B:$B,$C$3,Actuals!$C:$C,8,Actuals!$D:$D,$B$266,Actuals!$A:$A,LEFT($D$266,FIND("|",$D$266&amp;"|")-1),Actuals!$E:$E,MID($D$266,FIND("|",$D$266&amp;"|")+1,50),Actuals!$F:$F,"USD")*$F$5+SUMIFS(Actuals!$G:$G,Actuals!$B:$B,$C$3,Actuals!$C:$C,8,Actuals!$D:$D,$B$266,Actuals!$A:$A,LEFT($D$266,FIND("|",$D$266&amp;"|")-1),Actuals!$E:$E,MID($D$266,FIND("|",$D$266&amp;"|")+1,50),Actuals!$F:$F,"EUR")*$G$5+SUMIFS(Actuals!$G:$G,Actuals!$B:$B,$C$3,Actuals!$C:$C,8,Actuals!$D:$D,$B$266,Actuals!$A:$A,LEFT($D$266,FIND("|",$D$266&amp;"|")-1),Actuals!$E:$E,MID($D$266,FIND("|",$D$266&amp;"|")+1,50),Actuals!$F:$F,"GBP")*$H$5)</f>
        <v/>
      </c>
      <c r="P267" s="18">
        <f>IF(OR($B$266="",9&gt;$C$4),"",SUMIFS(Actuals!$G:$G,Actuals!$B:$B,$C$3,Actuals!$C:$C,9,Actuals!$D:$D,$B$266,Actuals!$A:$A,LEFT($D$266,FIND("|",$D$266&amp;"|")-1),Actuals!$E:$E,MID($D$266,FIND("|",$D$266&amp;"|")+1,50),Actuals!$F:$F,"JPY")*$E$5+SUMIFS(Actuals!$G:$G,Actuals!$B:$B,$C$3,Actuals!$C:$C,9,Actuals!$D:$D,$B$266,Actuals!$A:$A,LEFT($D$266,FIND("|",$D$266&amp;"|")-1),Actuals!$E:$E,MID($D$266,FIND("|",$D$266&amp;"|")+1,50),Actuals!$F:$F,"USD")*$F$5+SUMIFS(Actuals!$G:$G,Actuals!$B:$B,$C$3,Actuals!$C:$C,9,Actuals!$D:$D,$B$266,Actuals!$A:$A,LEFT($D$266,FIND("|",$D$266&amp;"|")-1),Actuals!$E:$E,MID($D$266,FIND("|",$D$266&amp;"|")+1,50),Actuals!$F:$F,"EUR")*$G$5+SUMIFS(Actuals!$G:$G,Actuals!$B:$B,$C$3,Actuals!$C:$C,9,Actuals!$D:$D,$B$266,Actuals!$A:$A,LEFT($D$266,FIND("|",$D$266&amp;"|")-1),Actuals!$E:$E,MID($D$266,FIND("|",$D$266&amp;"|")+1,50),Actuals!$F:$F,"GBP")*$H$5)</f>
        <v/>
      </c>
      <c r="Q267" s="18">
        <f>IF(OR($B$266="",10&gt;$C$4),"",SUMIFS(Actuals!$G:$G,Actuals!$B:$B,$C$3,Actuals!$C:$C,10,Actuals!$D:$D,$B$266,Actuals!$A:$A,LEFT($D$266,FIND("|",$D$266&amp;"|")-1),Actuals!$E:$E,MID($D$266,FIND("|",$D$266&amp;"|")+1,50),Actuals!$F:$F,"JPY")*$E$5+SUMIFS(Actuals!$G:$G,Actuals!$B:$B,$C$3,Actuals!$C:$C,10,Actuals!$D:$D,$B$266,Actuals!$A:$A,LEFT($D$266,FIND("|",$D$266&amp;"|")-1),Actuals!$E:$E,MID($D$266,FIND("|",$D$266&amp;"|")+1,50),Actuals!$F:$F,"USD")*$F$5+SUMIFS(Actuals!$G:$G,Actuals!$B:$B,$C$3,Actuals!$C:$C,10,Actuals!$D:$D,$B$266,Actuals!$A:$A,LEFT($D$266,FIND("|",$D$266&amp;"|")-1),Actuals!$E:$E,MID($D$266,FIND("|",$D$266&amp;"|")+1,50),Actuals!$F:$F,"EUR")*$G$5+SUMIFS(Actuals!$G:$G,Actuals!$B:$B,$C$3,Actuals!$C:$C,10,Actuals!$D:$D,$B$266,Actuals!$A:$A,LEFT($D$266,FIND("|",$D$266&amp;"|")-1),Actuals!$E:$E,MID($D$266,FIND("|",$D$266&amp;"|")+1,50),Actuals!$F:$F,"GBP")*$H$5)</f>
        <v/>
      </c>
      <c r="R267" s="18">
        <f>IF(OR($B$266="",11&gt;$C$4),"",SUMIFS(Actuals!$G:$G,Actuals!$B:$B,$C$3,Actuals!$C:$C,11,Actuals!$D:$D,$B$266,Actuals!$A:$A,LEFT($D$266,FIND("|",$D$266&amp;"|")-1),Actuals!$E:$E,MID($D$266,FIND("|",$D$266&amp;"|")+1,50),Actuals!$F:$F,"JPY")*$E$5+SUMIFS(Actuals!$G:$G,Actuals!$B:$B,$C$3,Actuals!$C:$C,11,Actuals!$D:$D,$B$266,Actuals!$A:$A,LEFT($D$266,FIND("|",$D$266&amp;"|")-1),Actuals!$E:$E,MID($D$266,FIND("|",$D$266&amp;"|")+1,50),Actuals!$F:$F,"USD")*$F$5+SUMIFS(Actuals!$G:$G,Actuals!$B:$B,$C$3,Actuals!$C:$C,11,Actuals!$D:$D,$B$266,Actuals!$A:$A,LEFT($D$266,FIND("|",$D$266&amp;"|")-1),Actuals!$E:$E,MID($D$266,FIND("|",$D$266&amp;"|")+1,50),Actuals!$F:$F,"EUR")*$G$5+SUMIFS(Actuals!$G:$G,Actuals!$B:$B,$C$3,Actuals!$C:$C,11,Actuals!$D:$D,$B$266,Actuals!$A:$A,LEFT($D$266,FIND("|",$D$266&amp;"|")-1),Actuals!$E:$E,MID($D$266,FIND("|",$D$266&amp;"|")+1,50),Actuals!$F:$F,"GBP")*$H$5)</f>
        <v/>
      </c>
      <c r="S267" s="18">
        <f>IF(OR($B$266="",12&gt;$C$4),"",SUMIFS(Actuals!$G:$G,Actuals!$B:$B,$C$3,Actuals!$C:$C,12,Actuals!$D:$D,$B$266,Actuals!$A:$A,LEFT($D$266,FIND("|",$D$266&amp;"|")-1),Actuals!$E:$E,MID($D$266,FIND("|",$D$266&amp;"|")+1,50),Actuals!$F:$F,"JPY")*$E$5+SUMIFS(Actuals!$G:$G,Actuals!$B:$B,$C$3,Actuals!$C:$C,12,Actuals!$D:$D,$B$266,Actuals!$A:$A,LEFT($D$266,FIND("|",$D$266&amp;"|")-1),Actuals!$E:$E,MID($D$266,FIND("|",$D$266&amp;"|")+1,50),Actuals!$F:$F,"USD")*$F$5+SUMIFS(Actuals!$G:$G,Actuals!$B:$B,$C$3,Actuals!$C:$C,12,Actuals!$D:$D,$B$266,Actuals!$A:$A,LEFT($D$266,FIND("|",$D$266&amp;"|")-1),Actuals!$E:$E,MID($D$266,FIND("|",$D$266&amp;"|")+1,50),Actuals!$F:$F,"EUR")*$G$5+SUMIFS(Actuals!$G:$G,Actuals!$B:$B,$C$3,Actuals!$C:$C,12,Actuals!$D:$D,$B$266,Actuals!$A:$A,LEFT($D$266,FIND("|",$D$266&amp;"|")-1),Actuals!$E:$E,MID($D$266,FIND("|",$D$266&amp;"|")+1,50),Actuals!$F:$F,"GBP")*$H$5)</f>
        <v/>
      </c>
      <c r="T267" s="18">
        <f>IF($B$266="","",SUMIF($H$7:$S$7,"&lt;="&amp;$C$4,$H267:$S267))</f>
        <v/>
      </c>
      <c r="U267" s="18" t="n"/>
      <c r="V267" s="18" t="n"/>
      <c r="X267" s="22">
        <f>IF($B267="","",IFERROR(INDEX(Cost_Centers!$E:$E,MATCH($B267,Cost_Centers!$A:$A,0)),"(unknown)"))</f>
        <v/>
      </c>
      <c r="Y267" s="22">
        <f>IF($B267="","",IFERROR(INDEX(Cost_Centers!$D:$D,MATCH($B267,Cost_Centers!$A:$A,0)),"(unknown)"))</f>
        <v/>
      </c>
      <c r="Z267" s="22">
        <f>IF(OR($B267="",$G267&lt;&gt;"Variance vs Budget"),"",ABS(N($V267))+ROW()/1000000000)</f>
        <v/>
      </c>
    </row>
    <row r="268">
      <c r="A268" s="13">
        <f>IF(A$266="","",A$266)</f>
        <v/>
      </c>
      <c r="B268" s="13">
        <f>IF(B$266="","",B$266)</f>
        <v/>
      </c>
      <c r="C268" s="13">
        <f>IF(C$266="","",C$266)</f>
        <v/>
      </c>
      <c r="D268" s="13">
        <f>IF(D$266="","",D$266)</f>
        <v/>
      </c>
      <c r="E268" s="13">
        <f>IF(E$266="","",E$266)</f>
        <v/>
      </c>
      <c r="F268" s="13">
        <f>IF(F$266="","",F$266)</f>
        <v/>
      </c>
      <c r="G268" s="6" t="inlineStr">
        <is>
          <t>Variance vs Budget</t>
        </is>
      </c>
      <c r="H268" s="33">
        <f>IF(OR($B$266="",1&gt;$C$4),"",N(H267)-H266)</f>
        <v/>
      </c>
      <c r="I268" s="33">
        <f>IF(OR($B$266="",2&gt;$C$4),"",N(I267)-I266)</f>
        <v/>
      </c>
      <c r="J268" s="33">
        <f>IF(OR($B$266="",3&gt;$C$4),"",N(J267)-J266)</f>
        <v/>
      </c>
      <c r="K268" s="33">
        <f>IF(OR($B$266="",4&gt;$C$4),"",N(K267)-K266)</f>
        <v/>
      </c>
      <c r="L268" s="33">
        <f>IF(OR($B$266="",5&gt;$C$4),"",N(L267)-L266)</f>
        <v/>
      </c>
      <c r="M268" s="33">
        <f>IF(OR($B$266="",6&gt;$C$4),"",N(M267)-M266)</f>
        <v/>
      </c>
      <c r="N268" s="33">
        <f>IF(OR($B$266="",7&gt;$C$4),"",N(N267)-N266)</f>
        <v/>
      </c>
      <c r="O268" s="33">
        <f>IF(OR($B$266="",8&gt;$C$4),"",N(O267)-O266)</f>
        <v/>
      </c>
      <c r="P268" s="33">
        <f>IF(OR($B$266="",9&gt;$C$4),"",N(P267)-P266)</f>
        <v/>
      </c>
      <c r="Q268" s="33">
        <f>IF(OR($B$266="",10&gt;$C$4),"",N(Q267)-Q266)</f>
        <v/>
      </c>
      <c r="R268" s="33">
        <f>IF(OR($B$266="",11&gt;$C$4),"",N(R267)-R266)</f>
        <v/>
      </c>
      <c r="S268" s="33">
        <f>IF(OR($B$266="",12&gt;$C$4),"",N(S267)-S266)</f>
        <v/>
      </c>
      <c r="T268" s="33">
        <f>IF($B$266="","",T267-T266)</f>
        <v/>
      </c>
      <c r="U268" s="33">
        <f>IF($B$266="","",U270-U266)</f>
        <v/>
      </c>
      <c r="V268" s="33">
        <f>IF($B$266="","",V270-V266)</f>
        <v/>
      </c>
      <c r="X268" s="22">
        <f>IF($B268="","",IFERROR(INDEX(Cost_Centers!$E:$E,MATCH($B268,Cost_Centers!$A:$A,0)),"(unknown)"))</f>
        <v/>
      </c>
      <c r="Y268" s="22">
        <f>IF($B268="","",IFERROR(INDEX(Cost_Centers!$D:$D,MATCH($B268,Cost_Centers!$A:$A,0)),"(unknown)"))</f>
        <v/>
      </c>
      <c r="Z268" s="22">
        <f>IF(OR($B268="",$G268&lt;&gt;"Variance vs Budget"),"",ABS(N($V268))+ROW()/1000000000)</f>
        <v/>
      </c>
    </row>
    <row r="269">
      <c r="A269" s="13">
        <f>IF(A$266="","",A$266)</f>
        <v/>
      </c>
      <c r="B269" s="13">
        <f>IF(B$266="","",B$266)</f>
        <v/>
      </c>
      <c r="C269" s="13">
        <f>IF(C$266="","",C$266)</f>
        <v/>
      </c>
      <c r="D269" s="13">
        <f>IF(D$266="","",D$266)</f>
        <v/>
      </c>
      <c r="E269" s="13">
        <f>IF(E$266="","",E$266)</f>
        <v/>
      </c>
      <c r="F269" s="13">
        <f>IF(F$266="","",F$266)</f>
        <v/>
      </c>
      <c r="G269" s="7" t="inlineStr">
        <is>
          <t>Forecast (input)</t>
        </is>
      </c>
      <c r="H269" s="34" t="n"/>
      <c r="I269" s="34" t="n"/>
      <c r="J269" s="34" t="n"/>
      <c r="K269" s="34" t="n"/>
      <c r="L269" s="34" t="n"/>
      <c r="M269" s="34" t="n"/>
      <c r="N269" s="34" t="n"/>
      <c r="O269" s="34" t="n"/>
      <c r="P269" s="34" t="n"/>
      <c r="Q269" s="34" t="n"/>
      <c r="R269" s="34" t="n"/>
      <c r="S269" s="34" t="n"/>
      <c r="T269" s="18" t="n"/>
      <c r="U269" s="18" t="n"/>
      <c r="V269" s="18" t="n"/>
      <c r="X269" s="22">
        <f>IF($B269="","",IFERROR(INDEX(Cost_Centers!$E:$E,MATCH($B269,Cost_Centers!$A:$A,0)),"(unknown)"))</f>
        <v/>
      </c>
      <c r="Y269" s="22">
        <f>IF($B269="","",IFERROR(INDEX(Cost_Centers!$D:$D,MATCH($B269,Cost_Centers!$A:$A,0)),"(unknown)"))</f>
        <v/>
      </c>
      <c r="Z269" s="22">
        <f>IF(OR($B269="",$G269&lt;&gt;"Variance vs Budget"),"",ABS(N($V269))+ROW()/1000000000)</f>
        <v/>
      </c>
    </row>
    <row r="270">
      <c r="A270" s="13">
        <f>IF(A$266="","",A$266)</f>
        <v/>
      </c>
      <c r="B270" s="13">
        <f>IF(B$266="","",B$266)</f>
        <v/>
      </c>
      <c r="C270" s="13">
        <f>IF(C$266="","",C$266)</f>
        <v/>
      </c>
      <c r="D270" s="13">
        <f>IF(D$266="","",D$266)</f>
        <v/>
      </c>
      <c r="E270" s="13">
        <f>IF(E$266="","",E$266)</f>
        <v/>
      </c>
      <c r="F270" s="13">
        <f>IF(F$266="","",F$266)</f>
        <v/>
      </c>
      <c r="G270" s="35" t="inlineStr">
        <is>
          <t>Actual + Forecast</t>
        </is>
      </c>
      <c r="H270" s="18">
        <f>IF($B$266="","",IF(1&lt;=$C$4,N(H267),IF(H269="",H266,H269)))</f>
        <v/>
      </c>
      <c r="I270" s="18">
        <f>IF($B$266="","",IF(2&lt;=$C$4,N(I267),IF(I269="",I266,I269)))</f>
        <v/>
      </c>
      <c r="J270" s="18">
        <f>IF($B$266="","",IF(3&lt;=$C$4,N(J267),IF(J269="",J266,J269)))</f>
        <v/>
      </c>
      <c r="K270" s="18">
        <f>IF($B$266="","",IF(4&lt;=$C$4,N(K267),IF(K269="",K266,K269)))</f>
        <v/>
      </c>
      <c r="L270" s="18">
        <f>IF($B$266="","",IF(5&lt;=$C$4,N(L267),IF(L269="",L266,L269)))</f>
        <v/>
      </c>
      <c r="M270" s="18">
        <f>IF($B$266="","",IF(6&lt;=$C$4,N(M267),IF(M269="",M266,M269)))</f>
        <v/>
      </c>
      <c r="N270" s="18">
        <f>IF($B$266="","",IF(7&lt;=$C$4,N(N267),IF(N269="",N266,N269)))</f>
        <v/>
      </c>
      <c r="O270" s="18">
        <f>IF($B$266="","",IF(8&lt;=$C$4,N(O267),IF(O269="",O266,O269)))</f>
        <v/>
      </c>
      <c r="P270" s="18">
        <f>IF($B$266="","",IF(9&lt;=$C$4,N(P267),IF(P269="",P266,P269)))</f>
        <v/>
      </c>
      <c r="Q270" s="18">
        <f>IF($B$266="","",IF(10&lt;=$C$4,N(Q267),IF(Q269="",Q266,Q269)))</f>
        <v/>
      </c>
      <c r="R270" s="18">
        <f>IF($B$266="","",IF(11&lt;=$C$4,N(R267),IF(R269="",R266,R269)))</f>
        <v/>
      </c>
      <c r="S270" s="18">
        <f>IF($B$266="","",IF(12&lt;=$C$4,N(S267),IF(S269="",S266,S269)))</f>
        <v/>
      </c>
      <c r="T270" s="18">
        <f>IF($B$266="","",SUMIF($H$7:$S$7,"&lt;="&amp;$C$4,$H270:$S270))</f>
        <v/>
      </c>
      <c r="U270" s="18">
        <f>IF($B$266="","",SUMIF($H$7:$S$7,"&gt;"&amp;$C$4,$H270:$S270))</f>
        <v/>
      </c>
      <c r="V270" s="18">
        <f>IF($B$266="","",SUM($H270:$S270))</f>
        <v/>
      </c>
      <c r="X270" s="22">
        <f>IF($B270="","",IFERROR(INDEX(Cost_Centers!$E:$E,MATCH($B270,Cost_Centers!$A:$A,0)),"(unknown)"))</f>
        <v/>
      </c>
      <c r="Y270" s="22">
        <f>IF($B270="","",IFERROR(INDEX(Cost_Centers!$D:$D,MATCH($B270,Cost_Centers!$A:$A,0)),"(unknown)"))</f>
        <v/>
      </c>
      <c r="Z270" s="22">
        <f>IF(OR($B270="",$G270&lt;&gt;"Variance vs Budget"),"",ABS(N($V270))+ROW()/1000000000)</f>
        <v/>
      </c>
    </row>
    <row r="271">
      <c r="A271" s="13">
        <f>IF(A$266="","",A$266)</f>
        <v/>
      </c>
      <c r="B271" s="13">
        <f>IF(B$266="","",B$266)</f>
        <v/>
      </c>
      <c r="C271" s="13">
        <f>IF(C$266="","",C$266)</f>
        <v/>
      </c>
      <c r="D271" s="13">
        <f>IF(D$266="","",D$266)</f>
        <v/>
      </c>
      <c r="E271" s="13">
        <f>IF(E$266="","",E$266)</f>
        <v/>
      </c>
      <c r="F271" s="13">
        <f>IF(F$266="","",F$266)</f>
        <v/>
      </c>
      <c r="G271" s="36" t="inlineStr">
        <is>
          <t>Prior Month Forecast</t>
        </is>
      </c>
      <c r="H271" s="37">
        <f>IF($B$266="","",IF(COUNTIFS(Prior_Forecast!$A:$A,$B$266,Prior_Forecast!$B:$B,$D$266)&gt;0,SUMIFS(Prior_Forecast!$C:$C,Prior_Forecast!$A:$A,$B$266,Prior_Forecast!$B:$B,$D$266),""))</f>
        <v/>
      </c>
      <c r="I271" s="37">
        <f>IF($B$266="","",IF(COUNTIFS(Prior_Forecast!$A:$A,$B$266,Prior_Forecast!$B:$B,$D$266)&gt;0,SUMIFS(Prior_Forecast!$D:$D,Prior_Forecast!$A:$A,$B$266,Prior_Forecast!$B:$B,$D$266),""))</f>
        <v/>
      </c>
      <c r="J271" s="37">
        <f>IF($B$266="","",IF(COUNTIFS(Prior_Forecast!$A:$A,$B$266,Prior_Forecast!$B:$B,$D$266)&gt;0,SUMIFS(Prior_Forecast!$E:$E,Prior_Forecast!$A:$A,$B$266,Prior_Forecast!$B:$B,$D$266),""))</f>
        <v/>
      </c>
      <c r="K271" s="37">
        <f>IF($B$266="","",IF(COUNTIFS(Prior_Forecast!$A:$A,$B$266,Prior_Forecast!$B:$B,$D$266)&gt;0,SUMIFS(Prior_Forecast!$F:$F,Prior_Forecast!$A:$A,$B$266,Prior_Forecast!$B:$B,$D$266),""))</f>
        <v/>
      </c>
      <c r="L271" s="37">
        <f>IF($B$266="","",IF(COUNTIFS(Prior_Forecast!$A:$A,$B$266,Prior_Forecast!$B:$B,$D$266)&gt;0,SUMIFS(Prior_Forecast!$G:$G,Prior_Forecast!$A:$A,$B$266,Prior_Forecast!$B:$B,$D$266),""))</f>
        <v/>
      </c>
      <c r="M271" s="37">
        <f>IF($B$266="","",IF(COUNTIFS(Prior_Forecast!$A:$A,$B$266,Prior_Forecast!$B:$B,$D$266)&gt;0,SUMIFS(Prior_Forecast!$H:$H,Prior_Forecast!$A:$A,$B$266,Prior_Forecast!$B:$B,$D$266),""))</f>
        <v/>
      </c>
      <c r="N271" s="37">
        <f>IF($B$266="","",IF(COUNTIFS(Prior_Forecast!$A:$A,$B$266,Prior_Forecast!$B:$B,$D$266)&gt;0,SUMIFS(Prior_Forecast!$I:$I,Prior_Forecast!$A:$A,$B$266,Prior_Forecast!$B:$B,$D$266),""))</f>
        <v/>
      </c>
      <c r="O271" s="37">
        <f>IF($B$266="","",IF(COUNTIFS(Prior_Forecast!$A:$A,$B$266,Prior_Forecast!$B:$B,$D$266)&gt;0,SUMIFS(Prior_Forecast!$J:$J,Prior_Forecast!$A:$A,$B$266,Prior_Forecast!$B:$B,$D$266),""))</f>
        <v/>
      </c>
      <c r="P271" s="37">
        <f>IF($B$266="","",IF(COUNTIFS(Prior_Forecast!$A:$A,$B$266,Prior_Forecast!$B:$B,$D$266)&gt;0,SUMIFS(Prior_Forecast!$K:$K,Prior_Forecast!$A:$A,$B$266,Prior_Forecast!$B:$B,$D$266),""))</f>
        <v/>
      </c>
      <c r="Q271" s="37">
        <f>IF($B$266="","",IF(COUNTIFS(Prior_Forecast!$A:$A,$B$266,Prior_Forecast!$B:$B,$D$266)&gt;0,SUMIFS(Prior_Forecast!$L:$L,Prior_Forecast!$A:$A,$B$266,Prior_Forecast!$B:$B,$D$266),""))</f>
        <v/>
      </c>
      <c r="R271" s="37">
        <f>IF($B$266="","",IF(COUNTIFS(Prior_Forecast!$A:$A,$B$266,Prior_Forecast!$B:$B,$D$266)&gt;0,SUMIFS(Prior_Forecast!$M:$M,Prior_Forecast!$A:$A,$B$266,Prior_Forecast!$B:$B,$D$266),""))</f>
        <v/>
      </c>
      <c r="S271" s="37">
        <f>IF($B$266="","",IF(COUNTIFS(Prior_Forecast!$A:$A,$B$266,Prior_Forecast!$B:$B,$D$266)&gt;0,SUMIFS(Prior_Forecast!$N:$N,Prior_Forecast!$A:$A,$B$266,Prior_Forecast!$B:$B,$D$266),""))</f>
        <v/>
      </c>
      <c r="T271" s="37">
        <f>IF($B$266="","",IF(COUNTIFS(Prior_Forecast!$A:$A,$B$266,Prior_Forecast!$B:$B,$D$266)&gt;0,SUMIFS(Prior_Forecast!$O:$O,Prior_Forecast!$A:$A,$B$266,Prior_Forecast!$B:$B,$D$266),""))</f>
        <v/>
      </c>
      <c r="U271" s="37">
        <f>IF($B$266="","",IF(COUNTIFS(Prior_Forecast!$A:$A,$B$266,Prior_Forecast!$B:$B,$D$266)&gt;0,SUMIFS(Prior_Forecast!$P:$P,Prior_Forecast!$A:$A,$B$266,Prior_Forecast!$B:$B,$D$266),""))</f>
        <v/>
      </c>
      <c r="V271" s="37">
        <f>IF($B$266="","",IF(COUNTIFS(Prior_Forecast!$A:$A,$B$266,Prior_Forecast!$B:$B,$D$266)&gt;0,SUMIFS(Prior_Forecast!$Q:$Q,Prior_Forecast!$A:$A,$B$266,Prior_Forecast!$B:$B,$D$266),""))</f>
        <v/>
      </c>
      <c r="X271" s="22">
        <f>IF($B271="","",IFERROR(INDEX(Cost_Centers!$E:$E,MATCH($B271,Cost_Centers!$A:$A,0)),"(unknown)"))</f>
        <v/>
      </c>
      <c r="Y271" s="22">
        <f>IF($B271="","",IFERROR(INDEX(Cost_Centers!$D:$D,MATCH($B271,Cost_Centers!$A:$A,0)),"(unknown)"))</f>
        <v/>
      </c>
      <c r="Z271" s="22">
        <f>IF(OR($B271="",$G271&lt;&gt;"Variance vs Budget"),"",ABS(N($V271))+ROW()/1000000000)</f>
        <v/>
      </c>
    </row>
    <row r="272">
      <c r="A272" s="13">
        <f>IF(A$266="","",A$266)</f>
        <v/>
      </c>
      <c r="B272" s="13">
        <f>IF(B$266="","",B$266)</f>
        <v/>
      </c>
      <c r="C272" s="13">
        <f>IF(C$266="","",C$266)</f>
        <v/>
      </c>
      <c r="D272" s="13">
        <f>IF(D$266="","",D$266)</f>
        <v/>
      </c>
      <c r="E272" s="13">
        <f>IF(E$266="","",E$266)</f>
        <v/>
      </c>
      <c r="F272" s="13">
        <f>IF(F$266="","",F$266)</f>
        <v/>
      </c>
      <c r="G272" s="6" t="inlineStr">
        <is>
          <t>Variance vs Prior Month</t>
        </is>
      </c>
      <c r="H272" s="33">
        <f>IF(OR($B$266="",H271=""),"",H270-H271)</f>
        <v/>
      </c>
      <c r="I272" s="33">
        <f>IF(OR($B$266="",I271=""),"",I270-I271)</f>
        <v/>
      </c>
      <c r="J272" s="33">
        <f>IF(OR($B$266="",J271=""),"",J270-J271)</f>
        <v/>
      </c>
      <c r="K272" s="33">
        <f>IF(OR($B$266="",K271=""),"",K270-K271)</f>
        <v/>
      </c>
      <c r="L272" s="33">
        <f>IF(OR($B$266="",L271=""),"",L270-L271)</f>
        <v/>
      </c>
      <c r="M272" s="33">
        <f>IF(OR($B$266="",M271=""),"",M270-M271)</f>
        <v/>
      </c>
      <c r="N272" s="33">
        <f>IF(OR($B$266="",N271=""),"",N270-N271)</f>
        <v/>
      </c>
      <c r="O272" s="33">
        <f>IF(OR($B$266="",O271=""),"",O270-O271)</f>
        <v/>
      </c>
      <c r="P272" s="33">
        <f>IF(OR($B$266="",P271=""),"",P270-P271)</f>
        <v/>
      </c>
      <c r="Q272" s="33">
        <f>IF(OR($B$266="",Q271=""),"",Q270-Q271)</f>
        <v/>
      </c>
      <c r="R272" s="33">
        <f>IF(OR($B$266="",R271=""),"",R270-R271)</f>
        <v/>
      </c>
      <c r="S272" s="33">
        <f>IF(OR($B$266="",S271=""),"",S270-S271)</f>
        <v/>
      </c>
      <c r="T272" s="33">
        <f>IF(OR($B$266="",T271=""),"",T270-T271)</f>
        <v/>
      </c>
      <c r="U272" s="33">
        <f>IF(OR($B$266="",U271=""),"",U270-U271)</f>
        <v/>
      </c>
      <c r="V272" s="33">
        <f>IF(OR($B$266="",V271=""),"",V270-V271)</f>
        <v/>
      </c>
      <c r="X272" s="22">
        <f>IF($B272="","",IFERROR(INDEX(Cost_Centers!$E:$E,MATCH($B272,Cost_Centers!$A:$A,0)),"(unknown)"))</f>
        <v/>
      </c>
      <c r="Y272" s="22">
        <f>IF($B272="","",IFERROR(INDEX(Cost_Centers!$D:$D,MATCH($B272,Cost_Centers!$A:$A,0)),"(unknown)"))</f>
        <v/>
      </c>
      <c r="Z272" s="22">
        <f>IF(OR($B272="",$G272&lt;&gt;"Variance vs Budget"),"",ABS(N($V272))+ROW()/1000000000)</f>
        <v/>
      </c>
    </row>
    <row r="273" ht="45" customHeight="1">
      <c r="A273" s="13">
        <f>IF(A$266="","",A$266)</f>
        <v/>
      </c>
      <c r="B273" s="13">
        <f>IF(B$266="","",B$266)</f>
        <v/>
      </c>
      <c r="C273" s="13">
        <f>IF(C$266="","",C$266)</f>
        <v/>
      </c>
      <c r="D273" s="13">
        <f>IF(D$266="","",D$266)</f>
        <v/>
      </c>
      <c r="E273" s="13">
        <f>IF(E$266="","",E$266)</f>
        <v/>
      </c>
      <c r="F273" s="13">
        <f>IF(F$266="","",F$266)</f>
        <v/>
      </c>
      <c r="G273" s="7" t="inlineStr">
        <is>
          <t>Rationale</t>
        </is>
      </c>
      <c r="H273" s="38" t="n"/>
      <c r="I273" s="38" t="n"/>
      <c r="J273" s="38" t="n"/>
      <c r="K273" s="38" t="n"/>
      <c r="L273" s="38" t="n"/>
      <c r="M273" s="38" t="n"/>
      <c r="N273" s="38" t="n"/>
      <c r="O273" s="38" t="n"/>
      <c r="P273" s="38" t="n"/>
      <c r="Q273" s="38" t="n"/>
      <c r="R273" s="38" t="n"/>
      <c r="S273" s="38" t="n"/>
      <c r="T273" s="38" t="n"/>
      <c r="U273" s="38" t="n"/>
      <c r="V273" s="7" t="n"/>
      <c r="X273" s="22">
        <f>IF($B273="","",IFERROR(INDEX(Cost_Centers!$E:$E,MATCH($B273,Cost_Centers!$A:$A,0)),"(unknown)"))</f>
        <v/>
      </c>
      <c r="Y273" s="22">
        <f>IF($B273="","",IFERROR(INDEX(Cost_Centers!$D:$D,MATCH($B273,Cost_Centers!$A:$A,0)),"(unknown)"))</f>
        <v/>
      </c>
      <c r="Z273" s="22">
        <f>IF(OR($B273="",$G273&lt;&gt;"Variance vs Budget"),"",ABS(N($V273))+ROW()/1000000000)</f>
        <v/>
      </c>
    </row>
    <row r="274">
      <c r="A274" s="30">
        <f>IF($D$274="","",LEFT($D$274,FIND("|",$D$274&amp;"|")-1))</f>
        <v/>
      </c>
      <c r="B274" s="31" t="n"/>
      <c r="C274" s="30">
        <f>IF($B$274="","",IFERROR(INDEX(Cost_Centers!$B:$B,MATCH($B$274,Cost_Centers!$A:$A,0)),"(not in master)"))</f>
        <v/>
      </c>
      <c r="D274" s="31" t="n"/>
      <c r="E274" s="30">
        <f>IF($D$274="","",IFERROR(INDEX(Accounts!$D:$D,MATCH($D$274,Accounts!$A:$A,0)),"(not in master)"))</f>
        <v/>
      </c>
      <c r="F274" s="31" t="n"/>
      <c r="G274" s="30" t="inlineStr">
        <is>
          <t>Budget</t>
        </is>
      </c>
      <c r="H274" s="32">
        <f>IF($B$274="","",SUMIFS(Opex_Budget!$O:$O,Opex_Budget!$A:$A,$C$3,Opex_Budget!$E:$E,$B$274,Opex_Budget!$F:$F,$D$274,Opex_Budget!$N:$N,"JPY")*$E$5+SUMIFS(Opex_Budget!$O:$O,Opex_Budget!$A:$A,$C$3,Opex_Budget!$E:$E,$B$274,Opex_Budget!$F:$F,$D$274,Opex_Budget!$N:$N,"USD")*$F$5+SUMIFS(Opex_Budget!$O:$O,Opex_Budget!$A:$A,$C$3,Opex_Budget!$E:$E,$B$274,Opex_Budget!$F:$F,$D$274,Opex_Budget!$N:$N,"EUR")*$G$5+SUMIFS(Opex_Budget!$O:$O,Opex_Budget!$A:$A,$C$3,Opex_Budget!$E:$E,$B$274,Opex_Budget!$F:$F,$D$274,Opex_Budget!$N:$N,"GBP")*$H$5)</f>
        <v/>
      </c>
      <c r="I274" s="32">
        <f>IF($B$274="","",SUMIFS(Opex_Budget!$P:$P,Opex_Budget!$A:$A,$C$3,Opex_Budget!$E:$E,$B$274,Opex_Budget!$F:$F,$D$274,Opex_Budget!$N:$N,"JPY")*$E$5+SUMIFS(Opex_Budget!$P:$P,Opex_Budget!$A:$A,$C$3,Opex_Budget!$E:$E,$B$274,Opex_Budget!$F:$F,$D$274,Opex_Budget!$N:$N,"USD")*$F$5+SUMIFS(Opex_Budget!$P:$P,Opex_Budget!$A:$A,$C$3,Opex_Budget!$E:$E,$B$274,Opex_Budget!$F:$F,$D$274,Opex_Budget!$N:$N,"EUR")*$G$5+SUMIFS(Opex_Budget!$P:$P,Opex_Budget!$A:$A,$C$3,Opex_Budget!$E:$E,$B$274,Opex_Budget!$F:$F,$D$274,Opex_Budget!$N:$N,"GBP")*$H$5)</f>
        <v/>
      </c>
      <c r="J274" s="32">
        <f>IF($B$274="","",SUMIFS(Opex_Budget!$Q:$Q,Opex_Budget!$A:$A,$C$3,Opex_Budget!$E:$E,$B$274,Opex_Budget!$F:$F,$D$274,Opex_Budget!$N:$N,"JPY")*$E$5+SUMIFS(Opex_Budget!$Q:$Q,Opex_Budget!$A:$A,$C$3,Opex_Budget!$E:$E,$B$274,Opex_Budget!$F:$F,$D$274,Opex_Budget!$N:$N,"USD")*$F$5+SUMIFS(Opex_Budget!$Q:$Q,Opex_Budget!$A:$A,$C$3,Opex_Budget!$E:$E,$B$274,Opex_Budget!$F:$F,$D$274,Opex_Budget!$N:$N,"EUR")*$G$5+SUMIFS(Opex_Budget!$Q:$Q,Opex_Budget!$A:$A,$C$3,Opex_Budget!$E:$E,$B$274,Opex_Budget!$F:$F,$D$274,Opex_Budget!$N:$N,"GBP")*$H$5)</f>
        <v/>
      </c>
      <c r="K274" s="32">
        <f>IF($B$274="","",SUMIFS(Opex_Budget!$R:$R,Opex_Budget!$A:$A,$C$3,Opex_Budget!$E:$E,$B$274,Opex_Budget!$F:$F,$D$274,Opex_Budget!$N:$N,"JPY")*$E$5+SUMIFS(Opex_Budget!$R:$R,Opex_Budget!$A:$A,$C$3,Opex_Budget!$E:$E,$B$274,Opex_Budget!$F:$F,$D$274,Opex_Budget!$N:$N,"USD")*$F$5+SUMIFS(Opex_Budget!$R:$R,Opex_Budget!$A:$A,$C$3,Opex_Budget!$E:$E,$B$274,Opex_Budget!$F:$F,$D$274,Opex_Budget!$N:$N,"EUR")*$G$5+SUMIFS(Opex_Budget!$R:$R,Opex_Budget!$A:$A,$C$3,Opex_Budget!$E:$E,$B$274,Opex_Budget!$F:$F,$D$274,Opex_Budget!$N:$N,"GBP")*$H$5)</f>
        <v/>
      </c>
      <c r="L274" s="32">
        <f>IF($B$274="","",SUMIFS(Opex_Budget!$S:$S,Opex_Budget!$A:$A,$C$3,Opex_Budget!$E:$E,$B$274,Opex_Budget!$F:$F,$D$274,Opex_Budget!$N:$N,"JPY")*$E$5+SUMIFS(Opex_Budget!$S:$S,Opex_Budget!$A:$A,$C$3,Opex_Budget!$E:$E,$B$274,Opex_Budget!$F:$F,$D$274,Opex_Budget!$N:$N,"USD")*$F$5+SUMIFS(Opex_Budget!$S:$S,Opex_Budget!$A:$A,$C$3,Opex_Budget!$E:$E,$B$274,Opex_Budget!$F:$F,$D$274,Opex_Budget!$N:$N,"EUR")*$G$5+SUMIFS(Opex_Budget!$S:$S,Opex_Budget!$A:$A,$C$3,Opex_Budget!$E:$E,$B$274,Opex_Budget!$F:$F,$D$274,Opex_Budget!$N:$N,"GBP")*$H$5)</f>
        <v/>
      </c>
      <c r="M274" s="32">
        <f>IF($B$274="","",SUMIFS(Opex_Budget!$T:$T,Opex_Budget!$A:$A,$C$3,Opex_Budget!$E:$E,$B$274,Opex_Budget!$F:$F,$D$274,Opex_Budget!$N:$N,"JPY")*$E$5+SUMIFS(Opex_Budget!$T:$T,Opex_Budget!$A:$A,$C$3,Opex_Budget!$E:$E,$B$274,Opex_Budget!$F:$F,$D$274,Opex_Budget!$N:$N,"USD")*$F$5+SUMIFS(Opex_Budget!$T:$T,Opex_Budget!$A:$A,$C$3,Opex_Budget!$E:$E,$B$274,Opex_Budget!$F:$F,$D$274,Opex_Budget!$N:$N,"EUR")*$G$5+SUMIFS(Opex_Budget!$T:$T,Opex_Budget!$A:$A,$C$3,Opex_Budget!$E:$E,$B$274,Opex_Budget!$F:$F,$D$274,Opex_Budget!$N:$N,"GBP")*$H$5)</f>
        <v/>
      </c>
      <c r="N274" s="32">
        <f>IF($B$274="","",SUMIFS(Opex_Budget!$U:$U,Opex_Budget!$A:$A,$C$3,Opex_Budget!$E:$E,$B$274,Opex_Budget!$F:$F,$D$274,Opex_Budget!$N:$N,"JPY")*$E$5+SUMIFS(Opex_Budget!$U:$U,Opex_Budget!$A:$A,$C$3,Opex_Budget!$E:$E,$B$274,Opex_Budget!$F:$F,$D$274,Opex_Budget!$N:$N,"USD")*$F$5+SUMIFS(Opex_Budget!$U:$U,Opex_Budget!$A:$A,$C$3,Opex_Budget!$E:$E,$B$274,Opex_Budget!$F:$F,$D$274,Opex_Budget!$N:$N,"EUR")*$G$5+SUMIFS(Opex_Budget!$U:$U,Opex_Budget!$A:$A,$C$3,Opex_Budget!$E:$E,$B$274,Opex_Budget!$F:$F,$D$274,Opex_Budget!$N:$N,"GBP")*$H$5)</f>
        <v/>
      </c>
      <c r="O274" s="32">
        <f>IF($B$274="","",SUMIFS(Opex_Budget!$V:$V,Opex_Budget!$A:$A,$C$3,Opex_Budget!$E:$E,$B$274,Opex_Budget!$F:$F,$D$274,Opex_Budget!$N:$N,"JPY")*$E$5+SUMIFS(Opex_Budget!$V:$V,Opex_Budget!$A:$A,$C$3,Opex_Budget!$E:$E,$B$274,Opex_Budget!$F:$F,$D$274,Opex_Budget!$N:$N,"USD")*$F$5+SUMIFS(Opex_Budget!$V:$V,Opex_Budget!$A:$A,$C$3,Opex_Budget!$E:$E,$B$274,Opex_Budget!$F:$F,$D$274,Opex_Budget!$N:$N,"EUR")*$G$5+SUMIFS(Opex_Budget!$V:$V,Opex_Budget!$A:$A,$C$3,Opex_Budget!$E:$E,$B$274,Opex_Budget!$F:$F,$D$274,Opex_Budget!$N:$N,"GBP")*$H$5)</f>
        <v/>
      </c>
      <c r="P274" s="32">
        <f>IF($B$274="","",SUMIFS(Opex_Budget!$W:$W,Opex_Budget!$A:$A,$C$3,Opex_Budget!$E:$E,$B$274,Opex_Budget!$F:$F,$D$274,Opex_Budget!$N:$N,"JPY")*$E$5+SUMIFS(Opex_Budget!$W:$W,Opex_Budget!$A:$A,$C$3,Opex_Budget!$E:$E,$B$274,Opex_Budget!$F:$F,$D$274,Opex_Budget!$N:$N,"USD")*$F$5+SUMIFS(Opex_Budget!$W:$W,Opex_Budget!$A:$A,$C$3,Opex_Budget!$E:$E,$B$274,Opex_Budget!$F:$F,$D$274,Opex_Budget!$N:$N,"EUR")*$G$5+SUMIFS(Opex_Budget!$W:$W,Opex_Budget!$A:$A,$C$3,Opex_Budget!$E:$E,$B$274,Opex_Budget!$F:$F,$D$274,Opex_Budget!$N:$N,"GBP")*$H$5)</f>
        <v/>
      </c>
      <c r="Q274" s="32">
        <f>IF($B$274="","",SUMIFS(Opex_Budget!$X:$X,Opex_Budget!$A:$A,$C$3,Opex_Budget!$E:$E,$B$274,Opex_Budget!$F:$F,$D$274,Opex_Budget!$N:$N,"JPY")*$E$5+SUMIFS(Opex_Budget!$X:$X,Opex_Budget!$A:$A,$C$3,Opex_Budget!$E:$E,$B$274,Opex_Budget!$F:$F,$D$274,Opex_Budget!$N:$N,"USD")*$F$5+SUMIFS(Opex_Budget!$X:$X,Opex_Budget!$A:$A,$C$3,Opex_Budget!$E:$E,$B$274,Opex_Budget!$F:$F,$D$274,Opex_Budget!$N:$N,"EUR")*$G$5+SUMIFS(Opex_Budget!$X:$X,Opex_Budget!$A:$A,$C$3,Opex_Budget!$E:$E,$B$274,Opex_Budget!$F:$F,$D$274,Opex_Budget!$N:$N,"GBP")*$H$5)</f>
        <v/>
      </c>
      <c r="R274" s="32">
        <f>IF($B$274="","",SUMIFS(Opex_Budget!$Y:$Y,Opex_Budget!$A:$A,$C$3,Opex_Budget!$E:$E,$B$274,Opex_Budget!$F:$F,$D$274,Opex_Budget!$N:$N,"JPY")*$E$5+SUMIFS(Opex_Budget!$Y:$Y,Opex_Budget!$A:$A,$C$3,Opex_Budget!$E:$E,$B$274,Opex_Budget!$F:$F,$D$274,Opex_Budget!$N:$N,"USD")*$F$5+SUMIFS(Opex_Budget!$Y:$Y,Opex_Budget!$A:$A,$C$3,Opex_Budget!$E:$E,$B$274,Opex_Budget!$F:$F,$D$274,Opex_Budget!$N:$N,"EUR")*$G$5+SUMIFS(Opex_Budget!$Y:$Y,Opex_Budget!$A:$A,$C$3,Opex_Budget!$E:$E,$B$274,Opex_Budget!$F:$F,$D$274,Opex_Budget!$N:$N,"GBP")*$H$5)</f>
        <v/>
      </c>
      <c r="S274" s="32">
        <f>IF($B$274="","",SUMIFS(Opex_Budget!$Z:$Z,Opex_Budget!$A:$A,$C$3,Opex_Budget!$E:$E,$B$274,Opex_Budget!$F:$F,$D$274,Opex_Budget!$N:$N,"JPY")*$E$5+SUMIFS(Opex_Budget!$Z:$Z,Opex_Budget!$A:$A,$C$3,Opex_Budget!$E:$E,$B$274,Opex_Budget!$F:$F,$D$274,Opex_Budget!$N:$N,"USD")*$F$5+SUMIFS(Opex_Budget!$Z:$Z,Opex_Budget!$A:$A,$C$3,Opex_Budget!$E:$E,$B$274,Opex_Budget!$F:$F,$D$274,Opex_Budget!$N:$N,"EUR")*$G$5+SUMIFS(Opex_Budget!$Z:$Z,Opex_Budget!$A:$A,$C$3,Opex_Budget!$E:$E,$B$274,Opex_Budget!$F:$F,$D$274,Opex_Budget!$N:$N,"GBP")*$H$5)</f>
        <v/>
      </c>
      <c r="T274" s="32">
        <f>IF($B$274="","",SUMIF($H$7:$S$7,"&lt;="&amp;$C$4,$H274:$S274))</f>
        <v/>
      </c>
      <c r="U274" s="32">
        <f>IF($B$274="","",SUMIF($H$7:$S$7,"&gt;"&amp;$C$4,$H274:$S274))</f>
        <v/>
      </c>
      <c r="V274" s="32">
        <f>IF($B$274="","",SUM($H274:$S274))</f>
        <v/>
      </c>
      <c r="X274" s="22">
        <f>IF($B274="","",IFERROR(INDEX(Cost_Centers!$E:$E,MATCH($B274,Cost_Centers!$A:$A,0)),"(unknown)"))</f>
        <v/>
      </c>
      <c r="Y274" s="22">
        <f>IF($B274="","",IFERROR(INDEX(Cost_Centers!$D:$D,MATCH($B274,Cost_Centers!$A:$A,0)),"(unknown)"))</f>
        <v/>
      </c>
      <c r="Z274" s="22">
        <f>IF(OR($B274="",$G274&lt;&gt;"Variance vs Budget"),"",ABS(N($V274))+ROW()/1000000000)</f>
        <v/>
      </c>
    </row>
    <row r="275">
      <c r="A275" s="13">
        <f>IF(A$274="","",A$274)</f>
        <v/>
      </c>
      <c r="B275" s="13">
        <f>IF(B$274="","",B$274)</f>
        <v/>
      </c>
      <c r="C275" s="13">
        <f>IF(C$274="","",C$274)</f>
        <v/>
      </c>
      <c r="D275" s="13">
        <f>IF(D$274="","",D$274)</f>
        <v/>
      </c>
      <c r="E275" s="13">
        <f>IF(E$274="","",E$274)</f>
        <v/>
      </c>
      <c r="F275" s="13">
        <f>IF(F$274="","",F$274)</f>
        <v/>
      </c>
      <c r="G275" s="7" t="inlineStr">
        <is>
          <t>Actual</t>
        </is>
      </c>
      <c r="H275" s="18">
        <f>IF(OR($B$274="",1&gt;$C$4),"",SUMIFS(Actuals!$G:$G,Actuals!$B:$B,$C$3,Actuals!$C:$C,1,Actuals!$D:$D,$B$274,Actuals!$A:$A,LEFT($D$274,FIND("|",$D$274&amp;"|")-1),Actuals!$E:$E,MID($D$274,FIND("|",$D$274&amp;"|")+1,50),Actuals!$F:$F,"JPY")*$E$5+SUMIFS(Actuals!$G:$G,Actuals!$B:$B,$C$3,Actuals!$C:$C,1,Actuals!$D:$D,$B$274,Actuals!$A:$A,LEFT($D$274,FIND("|",$D$274&amp;"|")-1),Actuals!$E:$E,MID($D$274,FIND("|",$D$274&amp;"|")+1,50),Actuals!$F:$F,"USD")*$F$5+SUMIFS(Actuals!$G:$G,Actuals!$B:$B,$C$3,Actuals!$C:$C,1,Actuals!$D:$D,$B$274,Actuals!$A:$A,LEFT($D$274,FIND("|",$D$274&amp;"|")-1),Actuals!$E:$E,MID($D$274,FIND("|",$D$274&amp;"|")+1,50),Actuals!$F:$F,"EUR")*$G$5+SUMIFS(Actuals!$G:$G,Actuals!$B:$B,$C$3,Actuals!$C:$C,1,Actuals!$D:$D,$B$274,Actuals!$A:$A,LEFT($D$274,FIND("|",$D$274&amp;"|")-1),Actuals!$E:$E,MID($D$274,FIND("|",$D$274&amp;"|")+1,50),Actuals!$F:$F,"GBP")*$H$5)</f>
        <v/>
      </c>
      <c r="I275" s="18">
        <f>IF(OR($B$274="",2&gt;$C$4),"",SUMIFS(Actuals!$G:$G,Actuals!$B:$B,$C$3,Actuals!$C:$C,2,Actuals!$D:$D,$B$274,Actuals!$A:$A,LEFT($D$274,FIND("|",$D$274&amp;"|")-1),Actuals!$E:$E,MID($D$274,FIND("|",$D$274&amp;"|")+1,50),Actuals!$F:$F,"JPY")*$E$5+SUMIFS(Actuals!$G:$G,Actuals!$B:$B,$C$3,Actuals!$C:$C,2,Actuals!$D:$D,$B$274,Actuals!$A:$A,LEFT($D$274,FIND("|",$D$274&amp;"|")-1),Actuals!$E:$E,MID($D$274,FIND("|",$D$274&amp;"|")+1,50),Actuals!$F:$F,"USD")*$F$5+SUMIFS(Actuals!$G:$G,Actuals!$B:$B,$C$3,Actuals!$C:$C,2,Actuals!$D:$D,$B$274,Actuals!$A:$A,LEFT($D$274,FIND("|",$D$274&amp;"|")-1),Actuals!$E:$E,MID($D$274,FIND("|",$D$274&amp;"|")+1,50),Actuals!$F:$F,"EUR")*$G$5+SUMIFS(Actuals!$G:$G,Actuals!$B:$B,$C$3,Actuals!$C:$C,2,Actuals!$D:$D,$B$274,Actuals!$A:$A,LEFT($D$274,FIND("|",$D$274&amp;"|")-1),Actuals!$E:$E,MID($D$274,FIND("|",$D$274&amp;"|")+1,50),Actuals!$F:$F,"GBP")*$H$5)</f>
        <v/>
      </c>
      <c r="J275" s="18">
        <f>IF(OR($B$274="",3&gt;$C$4),"",SUMIFS(Actuals!$G:$G,Actuals!$B:$B,$C$3,Actuals!$C:$C,3,Actuals!$D:$D,$B$274,Actuals!$A:$A,LEFT($D$274,FIND("|",$D$274&amp;"|")-1),Actuals!$E:$E,MID($D$274,FIND("|",$D$274&amp;"|")+1,50),Actuals!$F:$F,"JPY")*$E$5+SUMIFS(Actuals!$G:$G,Actuals!$B:$B,$C$3,Actuals!$C:$C,3,Actuals!$D:$D,$B$274,Actuals!$A:$A,LEFT($D$274,FIND("|",$D$274&amp;"|")-1),Actuals!$E:$E,MID($D$274,FIND("|",$D$274&amp;"|")+1,50),Actuals!$F:$F,"USD")*$F$5+SUMIFS(Actuals!$G:$G,Actuals!$B:$B,$C$3,Actuals!$C:$C,3,Actuals!$D:$D,$B$274,Actuals!$A:$A,LEFT($D$274,FIND("|",$D$274&amp;"|")-1),Actuals!$E:$E,MID($D$274,FIND("|",$D$274&amp;"|")+1,50),Actuals!$F:$F,"EUR")*$G$5+SUMIFS(Actuals!$G:$G,Actuals!$B:$B,$C$3,Actuals!$C:$C,3,Actuals!$D:$D,$B$274,Actuals!$A:$A,LEFT($D$274,FIND("|",$D$274&amp;"|")-1),Actuals!$E:$E,MID($D$274,FIND("|",$D$274&amp;"|")+1,50),Actuals!$F:$F,"GBP")*$H$5)</f>
        <v/>
      </c>
      <c r="K275" s="18">
        <f>IF(OR($B$274="",4&gt;$C$4),"",SUMIFS(Actuals!$G:$G,Actuals!$B:$B,$C$3,Actuals!$C:$C,4,Actuals!$D:$D,$B$274,Actuals!$A:$A,LEFT($D$274,FIND("|",$D$274&amp;"|")-1),Actuals!$E:$E,MID($D$274,FIND("|",$D$274&amp;"|")+1,50),Actuals!$F:$F,"JPY")*$E$5+SUMIFS(Actuals!$G:$G,Actuals!$B:$B,$C$3,Actuals!$C:$C,4,Actuals!$D:$D,$B$274,Actuals!$A:$A,LEFT($D$274,FIND("|",$D$274&amp;"|")-1),Actuals!$E:$E,MID($D$274,FIND("|",$D$274&amp;"|")+1,50),Actuals!$F:$F,"USD")*$F$5+SUMIFS(Actuals!$G:$G,Actuals!$B:$B,$C$3,Actuals!$C:$C,4,Actuals!$D:$D,$B$274,Actuals!$A:$A,LEFT($D$274,FIND("|",$D$274&amp;"|")-1),Actuals!$E:$E,MID($D$274,FIND("|",$D$274&amp;"|")+1,50),Actuals!$F:$F,"EUR")*$G$5+SUMIFS(Actuals!$G:$G,Actuals!$B:$B,$C$3,Actuals!$C:$C,4,Actuals!$D:$D,$B$274,Actuals!$A:$A,LEFT($D$274,FIND("|",$D$274&amp;"|")-1),Actuals!$E:$E,MID($D$274,FIND("|",$D$274&amp;"|")+1,50),Actuals!$F:$F,"GBP")*$H$5)</f>
        <v/>
      </c>
      <c r="L275" s="18">
        <f>IF(OR($B$274="",5&gt;$C$4),"",SUMIFS(Actuals!$G:$G,Actuals!$B:$B,$C$3,Actuals!$C:$C,5,Actuals!$D:$D,$B$274,Actuals!$A:$A,LEFT($D$274,FIND("|",$D$274&amp;"|")-1),Actuals!$E:$E,MID($D$274,FIND("|",$D$274&amp;"|")+1,50),Actuals!$F:$F,"JPY")*$E$5+SUMIFS(Actuals!$G:$G,Actuals!$B:$B,$C$3,Actuals!$C:$C,5,Actuals!$D:$D,$B$274,Actuals!$A:$A,LEFT($D$274,FIND("|",$D$274&amp;"|")-1),Actuals!$E:$E,MID($D$274,FIND("|",$D$274&amp;"|")+1,50),Actuals!$F:$F,"USD")*$F$5+SUMIFS(Actuals!$G:$G,Actuals!$B:$B,$C$3,Actuals!$C:$C,5,Actuals!$D:$D,$B$274,Actuals!$A:$A,LEFT($D$274,FIND("|",$D$274&amp;"|")-1),Actuals!$E:$E,MID($D$274,FIND("|",$D$274&amp;"|")+1,50),Actuals!$F:$F,"EUR")*$G$5+SUMIFS(Actuals!$G:$G,Actuals!$B:$B,$C$3,Actuals!$C:$C,5,Actuals!$D:$D,$B$274,Actuals!$A:$A,LEFT($D$274,FIND("|",$D$274&amp;"|")-1),Actuals!$E:$E,MID($D$274,FIND("|",$D$274&amp;"|")+1,50),Actuals!$F:$F,"GBP")*$H$5)</f>
        <v/>
      </c>
      <c r="M275" s="18">
        <f>IF(OR($B$274="",6&gt;$C$4),"",SUMIFS(Actuals!$G:$G,Actuals!$B:$B,$C$3,Actuals!$C:$C,6,Actuals!$D:$D,$B$274,Actuals!$A:$A,LEFT($D$274,FIND("|",$D$274&amp;"|")-1),Actuals!$E:$E,MID($D$274,FIND("|",$D$274&amp;"|")+1,50),Actuals!$F:$F,"JPY")*$E$5+SUMIFS(Actuals!$G:$G,Actuals!$B:$B,$C$3,Actuals!$C:$C,6,Actuals!$D:$D,$B$274,Actuals!$A:$A,LEFT($D$274,FIND("|",$D$274&amp;"|")-1),Actuals!$E:$E,MID($D$274,FIND("|",$D$274&amp;"|")+1,50),Actuals!$F:$F,"USD")*$F$5+SUMIFS(Actuals!$G:$G,Actuals!$B:$B,$C$3,Actuals!$C:$C,6,Actuals!$D:$D,$B$274,Actuals!$A:$A,LEFT($D$274,FIND("|",$D$274&amp;"|")-1),Actuals!$E:$E,MID($D$274,FIND("|",$D$274&amp;"|")+1,50),Actuals!$F:$F,"EUR")*$G$5+SUMIFS(Actuals!$G:$G,Actuals!$B:$B,$C$3,Actuals!$C:$C,6,Actuals!$D:$D,$B$274,Actuals!$A:$A,LEFT($D$274,FIND("|",$D$274&amp;"|")-1),Actuals!$E:$E,MID($D$274,FIND("|",$D$274&amp;"|")+1,50),Actuals!$F:$F,"GBP")*$H$5)</f>
        <v/>
      </c>
      <c r="N275" s="18">
        <f>IF(OR($B$274="",7&gt;$C$4),"",SUMIFS(Actuals!$G:$G,Actuals!$B:$B,$C$3,Actuals!$C:$C,7,Actuals!$D:$D,$B$274,Actuals!$A:$A,LEFT($D$274,FIND("|",$D$274&amp;"|")-1),Actuals!$E:$E,MID($D$274,FIND("|",$D$274&amp;"|")+1,50),Actuals!$F:$F,"JPY")*$E$5+SUMIFS(Actuals!$G:$G,Actuals!$B:$B,$C$3,Actuals!$C:$C,7,Actuals!$D:$D,$B$274,Actuals!$A:$A,LEFT($D$274,FIND("|",$D$274&amp;"|")-1),Actuals!$E:$E,MID($D$274,FIND("|",$D$274&amp;"|")+1,50),Actuals!$F:$F,"USD")*$F$5+SUMIFS(Actuals!$G:$G,Actuals!$B:$B,$C$3,Actuals!$C:$C,7,Actuals!$D:$D,$B$274,Actuals!$A:$A,LEFT($D$274,FIND("|",$D$274&amp;"|")-1),Actuals!$E:$E,MID($D$274,FIND("|",$D$274&amp;"|")+1,50),Actuals!$F:$F,"EUR")*$G$5+SUMIFS(Actuals!$G:$G,Actuals!$B:$B,$C$3,Actuals!$C:$C,7,Actuals!$D:$D,$B$274,Actuals!$A:$A,LEFT($D$274,FIND("|",$D$274&amp;"|")-1),Actuals!$E:$E,MID($D$274,FIND("|",$D$274&amp;"|")+1,50),Actuals!$F:$F,"GBP")*$H$5)</f>
        <v/>
      </c>
      <c r="O275" s="18">
        <f>IF(OR($B$274="",8&gt;$C$4),"",SUMIFS(Actuals!$G:$G,Actuals!$B:$B,$C$3,Actuals!$C:$C,8,Actuals!$D:$D,$B$274,Actuals!$A:$A,LEFT($D$274,FIND("|",$D$274&amp;"|")-1),Actuals!$E:$E,MID($D$274,FIND("|",$D$274&amp;"|")+1,50),Actuals!$F:$F,"JPY")*$E$5+SUMIFS(Actuals!$G:$G,Actuals!$B:$B,$C$3,Actuals!$C:$C,8,Actuals!$D:$D,$B$274,Actuals!$A:$A,LEFT($D$274,FIND("|",$D$274&amp;"|")-1),Actuals!$E:$E,MID($D$274,FIND("|",$D$274&amp;"|")+1,50),Actuals!$F:$F,"USD")*$F$5+SUMIFS(Actuals!$G:$G,Actuals!$B:$B,$C$3,Actuals!$C:$C,8,Actuals!$D:$D,$B$274,Actuals!$A:$A,LEFT($D$274,FIND("|",$D$274&amp;"|")-1),Actuals!$E:$E,MID($D$274,FIND("|",$D$274&amp;"|")+1,50),Actuals!$F:$F,"EUR")*$G$5+SUMIFS(Actuals!$G:$G,Actuals!$B:$B,$C$3,Actuals!$C:$C,8,Actuals!$D:$D,$B$274,Actuals!$A:$A,LEFT($D$274,FIND("|",$D$274&amp;"|")-1),Actuals!$E:$E,MID($D$274,FIND("|",$D$274&amp;"|")+1,50),Actuals!$F:$F,"GBP")*$H$5)</f>
        <v/>
      </c>
      <c r="P275" s="18">
        <f>IF(OR($B$274="",9&gt;$C$4),"",SUMIFS(Actuals!$G:$G,Actuals!$B:$B,$C$3,Actuals!$C:$C,9,Actuals!$D:$D,$B$274,Actuals!$A:$A,LEFT($D$274,FIND("|",$D$274&amp;"|")-1),Actuals!$E:$E,MID($D$274,FIND("|",$D$274&amp;"|")+1,50),Actuals!$F:$F,"JPY")*$E$5+SUMIFS(Actuals!$G:$G,Actuals!$B:$B,$C$3,Actuals!$C:$C,9,Actuals!$D:$D,$B$274,Actuals!$A:$A,LEFT($D$274,FIND("|",$D$274&amp;"|")-1),Actuals!$E:$E,MID($D$274,FIND("|",$D$274&amp;"|")+1,50),Actuals!$F:$F,"USD")*$F$5+SUMIFS(Actuals!$G:$G,Actuals!$B:$B,$C$3,Actuals!$C:$C,9,Actuals!$D:$D,$B$274,Actuals!$A:$A,LEFT($D$274,FIND("|",$D$274&amp;"|")-1),Actuals!$E:$E,MID($D$274,FIND("|",$D$274&amp;"|")+1,50),Actuals!$F:$F,"EUR")*$G$5+SUMIFS(Actuals!$G:$G,Actuals!$B:$B,$C$3,Actuals!$C:$C,9,Actuals!$D:$D,$B$274,Actuals!$A:$A,LEFT($D$274,FIND("|",$D$274&amp;"|")-1),Actuals!$E:$E,MID($D$274,FIND("|",$D$274&amp;"|")+1,50),Actuals!$F:$F,"GBP")*$H$5)</f>
        <v/>
      </c>
      <c r="Q275" s="18">
        <f>IF(OR($B$274="",10&gt;$C$4),"",SUMIFS(Actuals!$G:$G,Actuals!$B:$B,$C$3,Actuals!$C:$C,10,Actuals!$D:$D,$B$274,Actuals!$A:$A,LEFT($D$274,FIND("|",$D$274&amp;"|")-1),Actuals!$E:$E,MID($D$274,FIND("|",$D$274&amp;"|")+1,50),Actuals!$F:$F,"JPY")*$E$5+SUMIFS(Actuals!$G:$G,Actuals!$B:$B,$C$3,Actuals!$C:$C,10,Actuals!$D:$D,$B$274,Actuals!$A:$A,LEFT($D$274,FIND("|",$D$274&amp;"|")-1),Actuals!$E:$E,MID($D$274,FIND("|",$D$274&amp;"|")+1,50),Actuals!$F:$F,"USD")*$F$5+SUMIFS(Actuals!$G:$G,Actuals!$B:$B,$C$3,Actuals!$C:$C,10,Actuals!$D:$D,$B$274,Actuals!$A:$A,LEFT($D$274,FIND("|",$D$274&amp;"|")-1),Actuals!$E:$E,MID($D$274,FIND("|",$D$274&amp;"|")+1,50),Actuals!$F:$F,"EUR")*$G$5+SUMIFS(Actuals!$G:$G,Actuals!$B:$B,$C$3,Actuals!$C:$C,10,Actuals!$D:$D,$B$274,Actuals!$A:$A,LEFT($D$274,FIND("|",$D$274&amp;"|")-1),Actuals!$E:$E,MID($D$274,FIND("|",$D$274&amp;"|")+1,50),Actuals!$F:$F,"GBP")*$H$5)</f>
        <v/>
      </c>
      <c r="R275" s="18">
        <f>IF(OR($B$274="",11&gt;$C$4),"",SUMIFS(Actuals!$G:$G,Actuals!$B:$B,$C$3,Actuals!$C:$C,11,Actuals!$D:$D,$B$274,Actuals!$A:$A,LEFT($D$274,FIND("|",$D$274&amp;"|")-1),Actuals!$E:$E,MID($D$274,FIND("|",$D$274&amp;"|")+1,50),Actuals!$F:$F,"JPY")*$E$5+SUMIFS(Actuals!$G:$G,Actuals!$B:$B,$C$3,Actuals!$C:$C,11,Actuals!$D:$D,$B$274,Actuals!$A:$A,LEFT($D$274,FIND("|",$D$274&amp;"|")-1),Actuals!$E:$E,MID($D$274,FIND("|",$D$274&amp;"|")+1,50),Actuals!$F:$F,"USD")*$F$5+SUMIFS(Actuals!$G:$G,Actuals!$B:$B,$C$3,Actuals!$C:$C,11,Actuals!$D:$D,$B$274,Actuals!$A:$A,LEFT($D$274,FIND("|",$D$274&amp;"|")-1),Actuals!$E:$E,MID($D$274,FIND("|",$D$274&amp;"|")+1,50),Actuals!$F:$F,"EUR")*$G$5+SUMIFS(Actuals!$G:$G,Actuals!$B:$B,$C$3,Actuals!$C:$C,11,Actuals!$D:$D,$B$274,Actuals!$A:$A,LEFT($D$274,FIND("|",$D$274&amp;"|")-1),Actuals!$E:$E,MID($D$274,FIND("|",$D$274&amp;"|")+1,50),Actuals!$F:$F,"GBP")*$H$5)</f>
        <v/>
      </c>
      <c r="S275" s="18">
        <f>IF(OR($B$274="",12&gt;$C$4),"",SUMIFS(Actuals!$G:$G,Actuals!$B:$B,$C$3,Actuals!$C:$C,12,Actuals!$D:$D,$B$274,Actuals!$A:$A,LEFT($D$274,FIND("|",$D$274&amp;"|")-1),Actuals!$E:$E,MID($D$274,FIND("|",$D$274&amp;"|")+1,50),Actuals!$F:$F,"JPY")*$E$5+SUMIFS(Actuals!$G:$G,Actuals!$B:$B,$C$3,Actuals!$C:$C,12,Actuals!$D:$D,$B$274,Actuals!$A:$A,LEFT($D$274,FIND("|",$D$274&amp;"|")-1),Actuals!$E:$E,MID($D$274,FIND("|",$D$274&amp;"|")+1,50),Actuals!$F:$F,"USD")*$F$5+SUMIFS(Actuals!$G:$G,Actuals!$B:$B,$C$3,Actuals!$C:$C,12,Actuals!$D:$D,$B$274,Actuals!$A:$A,LEFT($D$274,FIND("|",$D$274&amp;"|")-1),Actuals!$E:$E,MID($D$274,FIND("|",$D$274&amp;"|")+1,50),Actuals!$F:$F,"EUR")*$G$5+SUMIFS(Actuals!$G:$G,Actuals!$B:$B,$C$3,Actuals!$C:$C,12,Actuals!$D:$D,$B$274,Actuals!$A:$A,LEFT($D$274,FIND("|",$D$274&amp;"|")-1),Actuals!$E:$E,MID($D$274,FIND("|",$D$274&amp;"|")+1,50),Actuals!$F:$F,"GBP")*$H$5)</f>
        <v/>
      </c>
      <c r="T275" s="18">
        <f>IF($B$274="","",SUMIF($H$7:$S$7,"&lt;="&amp;$C$4,$H275:$S275))</f>
        <v/>
      </c>
      <c r="U275" s="18" t="n"/>
      <c r="V275" s="18" t="n"/>
      <c r="X275" s="22">
        <f>IF($B275="","",IFERROR(INDEX(Cost_Centers!$E:$E,MATCH($B275,Cost_Centers!$A:$A,0)),"(unknown)"))</f>
        <v/>
      </c>
      <c r="Y275" s="22">
        <f>IF($B275="","",IFERROR(INDEX(Cost_Centers!$D:$D,MATCH($B275,Cost_Centers!$A:$A,0)),"(unknown)"))</f>
        <v/>
      </c>
      <c r="Z275" s="22">
        <f>IF(OR($B275="",$G275&lt;&gt;"Variance vs Budget"),"",ABS(N($V275))+ROW()/1000000000)</f>
        <v/>
      </c>
    </row>
    <row r="276">
      <c r="A276" s="13">
        <f>IF(A$274="","",A$274)</f>
        <v/>
      </c>
      <c r="B276" s="13">
        <f>IF(B$274="","",B$274)</f>
        <v/>
      </c>
      <c r="C276" s="13">
        <f>IF(C$274="","",C$274)</f>
        <v/>
      </c>
      <c r="D276" s="13">
        <f>IF(D$274="","",D$274)</f>
        <v/>
      </c>
      <c r="E276" s="13">
        <f>IF(E$274="","",E$274)</f>
        <v/>
      </c>
      <c r="F276" s="13">
        <f>IF(F$274="","",F$274)</f>
        <v/>
      </c>
      <c r="G276" s="6" t="inlineStr">
        <is>
          <t>Variance vs Budget</t>
        </is>
      </c>
      <c r="H276" s="33">
        <f>IF(OR($B$274="",1&gt;$C$4),"",N(H275)-H274)</f>
        <v/>
      </c>
      <c r="I276" s="33">
        <f>IF(OR($B$274="",2&gt;$C$4),"",N(I275)-I274)</f>
        <v/>
      </c>
      <c r="J276" s="33">
        <f>IF(OR($B$274="",3&gt;$C$4),"",N(J275)-J274)</f>
        <v/>
      </c>
      <c r="K276" s="33">
        <f>IF(OR($B$274="",4&gt;$C$4),"",N(K275)-K274)</f>
        <v/>
      </c>
      <c r="L276" s="33">
        <f>IF(OR($B$274="",5&gt;$C$4),"",N(L275)-L274)</f>
        <v/>
      </c>
      <c r="M276" s="33">
        <f>IF(OR($B$274="",6&gt;$C$4),"",N(M275)-M274)</f>
        <v/>
      </c>
      <c r="N276" s="33">
        <f>IF(OR($B$274="",7&gt;$C$4),"",N(N275)-N274)</f>
        <v/>
      </c>
      <c r="O276" s="33">
        <f>IF(OR($B$274="",8&gt;$C$4),"",N(O275)-O274)</f>
        <v/>
      </c>
      <c r="P276" s="33">
        <f>IF(OR($B$274="",9&gt;$C$4),"",N(P275)-P274)</f>
        <v/>
      </c>
      <c r="Q276" s="33">
        <f>IF(OR($B$274="",10&gt;$C$4),"",N(Q275)-Q274)</f>
        <v/>
      </c>
      <c r="R276" s="33">
        <f>IF(OR($B$274="",11&gt;$C$4),"",N(R275)-R274)</f>
        <v/>
      </c>
      <c r="S276" s="33">
        <f>IF(OR($B$274="",12&gt;$C$4),"",N(S275)-S274)</f>
        <v/>
      </c>
      <c r="T276" s="33">
        <f>IF($B$274="","",T275-T274)</f>
        <v/>
      </c>
      <c r="U276" s="33">
        <f>IF($B$274="","",U278-U274)</f>
        <v/>
      </c>
      <c r="V276" s="33">
        <f>IF($B$274="","",V278-V274)</f>
        <v/>
      </c>
      <c r="X276" s="22">
        <f>IF($B276="","",IFERROR(INDEX(Cost_Centers!$E:$E,MATCH($B276,Cost_Centers!$A:$A,0)),"(unknown)"))</f>
        <v/>
      </c>
      <c r="Y276" s="22">
        <f>IF($B276="","",IFERROR(INDEX(Cost_Centers!$D:$D,MATCH($B276,Cost_Centers!$A:$A,0)),"(unknown)"))</f>
        <v/>
      </c>
      <c r="Z276" s="22">
        <f>IF(OR($B276="",$G276&lt;&gt;"Variance vs Budget"),"",ABS(N($V276))+ROW()/1000000000)</f>
        <v/>
      </c>
    </row>
    <row r="277">
      <c r="A277" s="13">
        <f>IF(A$274="","",A$274)</f>
        <v/>
      </c>
      <c r="B277" s="13">
        <f>IF(B$274="","",B$274)</f>
        <v/>
      </c>
      <c r="C277" s="13">
        <f>IF(C$274="","",C$274)</f>
        <v/>
      </c>
      <c r="D277" s="13">
        <f>IF(D$274="","",D$274)</f>
        <v/>
      </c>
      <c r="E277" s="13">
        <f>IF(E$274="","",E$274)</f>
        <v/>
      </c>
      <c r="F277" s="13">
        <f>IF(F$274="","",F$274)</f>
        <v/>
      </c>
      <c r="G277" s="7" t="inlineStr">
        <is>
          <t>Forecast (input)</t>
        </is>
      </c>
      <c r="H277" s="34" t="n"/>
      <c r="I277" s="34" t="n"/>
      <c r="J277" s="34" t="n"/>
      <c r="K277" s="34" t="n"/>
      <c r="L277" s="34" t="n"/>
      <c r="M277" s="34" t="n"/>
      <c r="N277" s="34" t="n"/>
      <c r="O277" s="34" t="n"/>
      <c r="P277" s="34" t="n"/>
      <c r="Q277" s="34" t="n"/>
      <c r="R277" s="34" t="n"/>
      <c r="S277" s="34" t="n"/>
      <c r="T277" s="18" t="n"/>
      <c r="U277" s="18" t="n"/>
      <c r="V277" s="18" t="n"/>
      <c r="X277" s="22">
        <f>IF($B277="","",IFERROR(INDEX(Cost_Centers!$E:$E,MATCH($B277,Cost_Centers!$A:$A,0)),"(unknown)"))</f>
        <v/>
      </c>
      <c r="Y277" s="22">
        <f>IF($B277="","",IFERROR(INDEX(Cost_Centers!$D:$D,MATCH($B277,Cost_Centers!$A:$A,0)),"(unknown)"))</f>
        <v/>
      </c>
      <c r="Z277" s="22">
        <f>IF(OR($B277="",$G277&lt;&gt;"Variance vs Budget"),"",ABS(N($V277))+ROW()/1000000000)</f>
        <v/>
      </c>
    </row>
    <row r="278">
      <c r="A278" s="13">
        <f>IF(A$274="","",A$274)</f>
        <v/>
      </c>
      <c r="B278" s="13">
        <f>IF(B$274="","",B$274)</f>
        <v/>
      </c>
      <c r="C278" s="13">
        <f>IF(C$274="","",C$274)</f>
        <v/>
      </c>
      <c r="D278" s="13">
        <f>IF(D$274="","",D$274)</f>
        <v/>
      </c>
      <c r="E278" s="13">
        <f>IF(E$274="","",E$274)</f>
        <v/>
      </c>
      <c r="F278" s="13">
        <f>IF(F$274="","",F$274)</f>
        <v/>
      </c>
      <c r="G278" s="35" t="inlineStr">
        <is>
          <t>Actual + Forecast</t>
        </is>
      </c>
      <c r="H278" s="18">
        <f>IF($B$274="","",IF(1&lt;=$C$4,N(H275),IF(H277="",H274,H277)))</f>
        <v/>
      </c>
      <c r="I278" s="18">
        <f>IF($B$274="","",IF(2&lt;=$C$4,N(I275),IF(I277="",I274,I277)))</f>
        <v/>
      </c>
      <c r="J278" s="18">
        <f>IF($B$274="","",IF(3&lt;=$C$4,N(J275),IF(J277="",J274,J277)))</f>
        <v/>
      </c>
      <c r="K278" s="18">
        <f>IF($B$274="","",IF(4&lt;=$C$4,N(K275),IF(K277="",K274,K277)))</f>
        <v/>
      </c>
      <c r="L278" s="18">
        <f>IF($B$274="","",IF(5&lt;=$C$4,N(L275),IF(L277="",L274,L277)))</f>
        <v/>
      </c>
      <c r="M278" s="18">
        <f>IF($B$274="","",IF(6&lt;=$C$4,N(M275),IF(M277="",M274,M277)))</f>
        <v/>
      </c>
      <c r="N278" s="18">
        <f>IF($B$274="","",IF(7&lt;=$C$4,N(N275),IF(N277="",N274,N277)))</f>
        <v/>
      </c>
      <c r="O278" s="18">
        <f>IF($B$274="","",IF(8&lt;=$C$4,N(O275),IF(O277="",O274,O277)))</f>
        <v/>
      </c>
      <c r="P278" s="18">
        <f>IF($B$274="","",IF(9&lt;=$C$4,N(P275),IF(P277="",P274,P277)))</f>
        <v/>
      </c>
      <c r="Q278" s="18">
        <f>IF($B$274="","",IF(10&lt;=$C$4,N(Q275),IF(Q277="",Q274,Q277)))</f>
        <v/>
      </c>
      <c r="R278" s="18">
        <f>IF($B$274="","",IF(11&lt;=$C$4,N(R275),IF(R277="",R274,R277)))</f>
        <v/>
      </c>
      <c r="S278" s="18">
        <f>IF($B$274="","",IF(12&lt;=$C$4,N(S275),IF(S277="",S274,S277)))</f>
        <v/>
      </c>
      <c r="T278" s="18">
        <f>IF($B$274="","",SUMIF($H$7:$S$7,"&lt;="&amp;$C$4,$H278:$S278))</f>
        <v/>
      </c>
      <c r="U278" s="18">
        <f>IF($B$274="","",SUMIF($H$7:$S$7,"&gt;"&amp;$C$4,$H278:$S278))</f>
        <v/>
      </c>
      <c r="V278" s="18">
        <f>IF($B$274="","",SUM($H278:$S278))</f>
        <v/>
      </c>
      <c r="X278" s="22">
        <f>IF($B278="","",IFERROR(INDEX(Cost_Centers!$E:$E,MATCH($B278,Cost_Centers!$A:$A,0)),"(unknown)"))</f>
        <v/>
      </c>
      <c r="Y278" s="22">
        <f>IF($B278="","",IFERROR(INDEX(Cost_Centers!$D:$D,MATCH($B278,Cost_Centers!$A:$A,0)),"(unknown)"))</f>
        <v/>
      </c>
      <c r="Z278" s="22">
        <f>IF(OR($B278="",$G278&lt;&gt;"Variance vs Budget"),"",ABS(N($V278))+ROW()/1000000000)</f>
        <v/>
      </c>
    </row>
    <row r="279">
      <c r="A279" s="13">
        <f>IF(A$274="","",A$274)</f>
        <v/>
      </c>
      <c r="B279" s="13">
        <f>IF(B$274="","",B$274)</f>
        <v/>
      </c>
      <c r="C279" s="13">
        <f>IF(C$274="","",C$274)</f>
        <v/>
      </c>
      <c r="D279" s="13">
        <f>IF(D$274="","",D$274)</f>
        <v/>
      </c>
      <c r="E279" s="13">
        <f>IF(E$274="","",E$274)</f>
        <v/>
      </c>
      <c r="F279" s="13">
        <f>IF(F$274="","",F$274)</f>
        <v/>
      </c>
      <c r="G279" s="36" t="inlineStr">
        <is>
          <t>Prior Month Forecast</t>
        </is>
      </c>
      <c r="H279" s="37">
        <f>IF($B$274="","",IF(COUNTIFS(Prior_Forecast!$A:$A,$B$274,Prior_Forecast!$B:$B,$D$274)&gt;0,SUMIFS(Prior_Forecast!$C:$C,Prior_Forecast!$A:$A,$B$274,Prior_Forecast!$B:$B,$D$274),""))</f>
        <v/>
      </c>
      <c r="I279" s="37">
        <f>IF($B$274="","",IF(COUNTIFS(Prior_Forecast!$A:$A,$B$274,Prior_Forecast!$B:$B,$D$274)&gt;0,SUMIFS(Prior_Forecast!$D:$D,Prior_Forecast!$A:$A,$B$274,Prior_Forecast!$B:$B,$D$274),""))</f>
        <v/>
      </c>
      <c r="J279" s="37">
        <f>IF($B$274="","",IF(COUNTIFS(Prior_Forecast!$A:$A,$B$274,Prior_Forecast!$B:$B,$D$274)&gt;0,SUMIFS(Prior_Forecast!$E:$E,Prior_Forecast!$A:$A,$B$274,Prior_Forecast!$B:$B,$D$274),""))</f>
        <v/>
      </c>
      <c r="K279" s="37">
        <f>IF($B$274="","",IF(COUNTIFS(Prior_Forecast!$A:$A,$B$274,Prior_Forecast!$B:$B,$D$274)&gt;0,SUMIFS(Prior_Forecast!$F:$F,Prior_Forecast!$A:$A,$B$274,Prior_Forecast!$B:$B,$D$274),""))</f>
        <v/>
      </c>
      <c r="L279" s="37">
        <f>IF($B$274="","",IF(COUNTIFS(Prior_Forecast!$A:$A,$B$274,Prior_Forecast!$B:$B,$D$274)&gt;0,SUMIFS(Prior_Forecast!$G:$G,Prior_Forecast!$A:$A,$B$274,Prior_Forecast!$B:$B,$D$274),""))</f>
        <v/>
      </c>
      <c r="M279" s="37">
        <f>IF($B$274="","",IF(COUNTIFS(Prior_Forecast!$A:$A,$B$274,Prior_Forecast!$B:$B,$D$274)&gt;0,SUMIFS(Prior_Forecast!$H:$H,Prior_Forecast!$A:$A,$B$274,Prior_Forecast!$B:$B,$D$274),""))</f>
        <v/>
      </c>
      <c r="N279" s="37">
        <f>IF($B$274="","",IF(COUNTIFS(Prior_Forecast!$A:$A,$B$274,Prior_Forecast!$B:$B,$D$274)&gt;0,SUMIFS(Prior_Forecast!$I:$I,Prior_Forecast!$A:$A,$B$274,Prior_Forecast!$B:$B,$D$274),""))</f>
        <v/>
      </c>
      <c r="O279" s="37">
        <f>IF($B$274="","",IF(COUNTIFS(Prior_Forecast!$A:$A,$B$274,Prior_Forecast!$B:$B,$D$274)&gt;0,SUMIFS(Prior_Forecast!$J:$J,Prior_Forecast!$A:$A,$B$274,Prior_Forecast!$B:$B,$D$274),""))</f>
        <v/>
      </c>
      <c r="P279" s="37">
        <f>IF($B$274="","",IF(COUNTIFS(Prior_Forecast!$A:$A,$B$274,Prior_Forecast!$B:$B,$D$274)&gt;0,SUMIFS(Prior_Forecast!$K:$K,Prior_Forecast!$A:$A,$B$274,Prior_Forecast!$B:$B,$D$274),""))</f>
        <v/>
      </c>
      <c r="Q279" s="37">
        <f>IF($B$274="","",IF(COUNTIFS(Prior_Forecast!$A:$A,$B$274,Prior_Forecast!$B:$B,$D$274)&gt;0,SUMIFS(Prior_Forecast!$L:$L,Prior_Forecast!$A:$A,$B$274,Prior_Forecast!$B:$B,$D$274),""))</f>
        <v/>
      </c>
      <c r="R279" s="37">
        <f>IF($B$274="","",IF(COUNTIFS(Prior_Forecast!$A:$A,$B$274,Prior_Forecast!$B:$B,$D$274)&gt;0,SUMIFS(Prior_Forecast!$M:$M,Prior_Forecast!$A:$A,$B$274,Prior_Forecast!$B:$B,$D$274),""))</f>
        <v/>
      </c>
      <c r="S279" s="37">
        <f>IF($B$274="","",IF(COUNTIFS(Prior_Forecast!$A:$A,$B$274,Prior_Forecast!$B:$B,$D$274)&gt;0,SUMIFS(Prior_Forecast!$N:$N,Prior_Forecast!$A:$A,$B$274,Prior_Forecast!$B:$B,$D$274),""))</f>
        <v/>
      </c>
      <c r="T279" s="37">
        <f>IF($B$274="","",IF(COUNTIFS(Prior_Forecast!$A:$A,$B$274,Prior_Forecast!$B:$B,$D$274)&gt;0,SUMIFS(Prior_Forecast!$O:$O,Prior_Forecast!$A:$A,$B$274,Prior_Forecast!$B:$B,$D$274),""))</f>
        <v/>
      </c>
      <c r="U279" s="37">
        <f>IF($B$274="","",IF(COUNTIFS(Prior_Forecast!$A:$A,$B$274,Prior_Forecast!$B:$B,$D$274)&gt;0,SUMIFS(Prior_Forecast!$P:$P,Prior_Forecast!$A:$A,$B$274,Prior_Forecast!$B:$B,$D$274),""))</f>
        <v/>
      </c>
      <c r="V279" s="37">
        <f>IF($B$274="","",IF(COUNTIFS(Prior_Forecast!$A:$A,$B$274,Prior_Forecast!$B:$B,$D$274)&gt;0,SUMIFS(Prior_Forecast!$Q:$Q,Prior_Forecast!$A:$A,$B$274,Prior_Forecast!$B:$B,$D$274),""))</f>
        <v/>
      </c>
      <c r="X279" s="22">
        <f>IF($B279="","",IFERROR(INDEX(Cost_Centers!$E:$E,MATCH($B279,Cost_Centers!$A:$A,0)),"(unknown)"))</f>
        <v/>
      </c>
      <c r="Y279" s="22">
        <f>IF($B279="","",IFERROR(INDEX(Cost_Centers!$D:$D,MATCH($B279,Cost_Centers!$A:$A,0)),"(unknown)"))</f>
        <v/>
      </c>
      <c r="Z279" s="22">
        <f>IF(OR($B279="",$G279&lt;&gt;"Variance vs Budget"),"",ABS(N($V279))+ROW()/1000000000)</f>
        <v/>
      </c>
    </row>
    <row r="280">
      <c r="A280" s="13">
        <f>IF(A$274="","",A$274)</f>
        <v/>
      </c>
      <c r="B280" s="13">
        <f>IF(B$274="","",B$274)</f>
        <v/>
      </c>
      <c r="C280" s="13">
        <f>IF(C$274="","",C$274)</f>
        <v/>
      </c>
      <c r="D280" s="13">
        <f>IF(D$274="","",D$274)</f>
        <v/>
      </c>
      <c r="E280" s="13">
        <f>IF(E$274="","",E$274)</f>
        <v/>
      </c>
      <c r="F280" s="13">
        <f>IF(F$274="","",F$274)</f>
        <v/>
      </c>
      <c r="G280" s="6" t="inlineStr">
        <is>
          <t>Variance vs Prior Month</t>
        </is>
      </c>
      <c r="H280" s="33">
        <f>IF(OR($B$274="",H279=""),"",H278-H279)</f>
        <v/>
      </c>
      <c r="I280" s="33">
        <f>IF(OR($B$274="",I279=""),"",I278-I279)</f>
        <v/>
      </c>
      <c r="J280" s="33">
        <f>IF(OR($B$274="",J279=""),"",J278-J279)</f>
        <v/>
      </c>
      <c r="K280" s="33">
        <f>IF(OR($B$274="",K279=""),"",K278-K279)</f>
        <v/>
      </c>
      <c r="L280" s="33">
        <f>IF(OR($B$274="",L279=""),"",L278-L279)</f>
        <v/>
      </c>
      <c r="M280" s="33">
        <f>IF(OR($B$274="",M279=""),"",M278-M279)</f>
        <v/>
      </c>
      <c r="N280" s="33">
        <f>IF(OR($B$274="",N279=""),"",N278-N279)</f>
        <v/>
      </c>
      <c r="O280" s="33">
        <f>IF(OR($B$274="",O279=""),"",O278-O279)</f>
        <v/>
      </c>
      <c r="P280" s="33">
        <f>IF(OR($B$274="",P279=""),"",P278-P279)</f>
        <v/>
      </c>
      <c r="Q280" s="33">
        <f>IF(OR($B$274="",Q279=""),"",Q278-Q279)</f>
        <v/>
      </c>
      <c r="R280" s="33">
        <f>IF(OR($B$274="",R279=""),"",R278-R279)</f>
        <v/>
      </c>
      <c r="S280" s="33">
        <f>IF(OR($B$274="",S279=""),"",S278-S279)</f>
        <v/>
      </c>
      <c r="T280" s="33">
        <f>IF(OR($B$274="",T279=""),"",T278-T279)</f>
        <v/>
      </c>
      <c r="U280" s="33">
        <f>IF(OR($B$274="",U279=""),"",U278-U279)</f>
        <v/>
      </c>
      <c r="V280" s="33">
        <f>IF(OR($B$274="",V279=""),"",V278-V279)</f>
        <v/>
      </c>
      <c r="X280" s="22">
        <f>IF($B280="","",IFERROR(INDEX(Cost_Centers!$E:$E,MATCH($B280,Cost_Centers!$A:$A,0)),"(unknown)"))</f>
        <v/>
      </c>
      <c r="Y280" s="22">
        <f>IF($B280="","",IFERROR(INDEX(Cost_Centers!$D:$D,MATCH($B280,Cost_Centers!$A:$A,0)),"(unknown)"))</f>
        <v/>
      </c>
      <c r="Z280" s="22">
        <f>IF(OR($B280="",$G280&lt;&gt;"Variance vs Budget"),"",ABS(N($V280))+ROW()/1000000000)</f>
        <v/>
      </c>
    </row>
    <row r="281" ht="45" customHeight="1">
      <c r="A281" s="13">
        <f>IF(A$274="","",A$274)</f>
        <v/>
      </c>
      <c r="B281" s="13">
        <f>IF(B$274="","",B$274)</f>
        <v/>
      </c>
      <c r="C281" s="13">
        <f>IF(C$274="","",C$274)</f>
        <v/>
      </c>
      <c r="D281" s="13">
        <f>IF(D$274="","",D$274)</f>
        <v/>
      </c>
      <c r="E281" s="13">
        <f>IF(E$274="","",E$274)</f>
        <v/>
      </c>
      <c r="F281" s="13">
        <f>IF(F$274="","",F$274)</f>
        <v/>
      </c>
      <c r="G281" s="7" t="inlineStr">
        <is>
          <t>Rationale</t>
        </is>
      </c>
      <c r="H281" s="38" t="n"/>
      <c r="I281" s="38" t="n"/>
      <c r="J281" s="38" t="n"/>
      <c r="K281" s="38" t="n"/>
      <c r="L281" s="38" t="n"/>
      <c r="M281" s="38" t="n"/>
      <c r="N281" s="38" t="n"/>
      <c r="O281" s="38" t="n"/>
      <c r="P281" s="38" t="n"/>
      <c r="Q281" s="38" t="n"/>
      <c r="R281" s="38" t="n"/>
      <c r="S281" s="38" t="n"/>
      <c r="T281" s="38" t="n"/>
      <c r="U281" s="38" t="n"/>
      <c r="V281" s="7" t="n"/>
      <c r="X281" s="22">
        <f>IF($B281="","",IFERROR(INDEX(Cost_Centers!$E:$E,MATCH($B281,Cost_Centers!$A:$A,0)),"(unknown)"))</f>
        <v/>
      </c>
      <c r="Y281" s="22">
        <f>IF($B281="","",IFERROR(INDEX(Cost_Centers!$D:$D,MATCH($B281,Cost_Centers!$A:$A,0)),"(unknown)"))</f>
        <v/>
      </c>
      <c r="Z281" s="22">
        <f>IF(OR($B281="",$G281&lt;&gt;"Variance vs Budget"),"",ABS(N($V281))+ROW()/1000000000)</f>
        <v/>
      </c>
    </row>
    <row r="282">
      <c r="A282" s="30">
        <f>IF($D$282="","",LEFT($D$282,FIND("|",$D$282&amp;"|")-1))</f>
        <v/>
      </c>
      <c r="B282" s="31" t="n"/>
      <c r="C282" s="30">
        <f>IF($B$282="","",IFERROR(INDEX(Cost_Centers!$B:$B,MATCH($B$282,Cost_Centers!$A:$A,0)),"(not in master)"))</f>
        <v/>
      </c>
      <c r="D282" s="31" t="n"/>
      <c r="E282" s="30">
        <f>IF($D$282="","",IFERROR(INDEX(Accounts!$D:$D,MATCH($D$282,Accounts!$A:$A,0)),"(not in master)"))</f>
        <v/>
      </c>
      <c r="F282" s="31" t="n"/>
      <c r="G282" s="30" t="inlineStr">
        <is>
          <t>Budget</t>
        </is>
      </c>
      <c r="H282" s="32">
        <f>IF($B$282="","",SUMIFS(Opex_Budget!$O:$O,Opex_Budget!$A:$A,$C$3,Opex_Budget!$E:$E,$B$282,Opex_Budget!$F:$F,$D$282,Opex_Budget!$N:$N,"JPY")*$E$5+SUMIFS(Opex_Budget!$O:$O,Opex_Budget!$A:$A,$C$3,Opex_Budget!$E:$E,$B$282,Opex_Budget!$F:$F,$D$282,Opex_Budget!$N:$N,"USD")*$F$5+SUMIFS(Opex_Budget!$O:$O,Opex_Budget!$A:$A,$C$3,Opex_Budget!$E:$E,$B$282,Opex_Budget!$F:$F,$D$282,Opex_Budget!$N:$N,"EUR")*$G$5+SUMIFS(Opex_Budget!$O:$O,Opex_Budget!$A:$A,$C$3,Opex_Budget!$E:$E,$B$282,Opex_Budget!$F:$F,$D$282,Opex_Budget!$N:$N,"GBP")*$H$5)</f>
        <v/>
      </c>
      <c r="I282" s="32">
        <f>IF($B$282="","",SUMIFS(Opex_Budget!$P:$P,Opex_Budget!$A:$A,$C$3,Opex_Budget!$E:$E,$B$282,Opex_Budget!$F:$F,$D$282,Opex_Budget!$N:$N,"JPY")*$E$5+SUMIFS(Opex_Budget!$P:$P,Opex_Budget!$A:$A,$C$3,Opex_Budget!$E:$E,$B$282,Opex_Budget!$F:$F,$D$282,Opex_Budget!$N:$N,"USD")*$F$5+SUMIFS(Opex_Budget!$P:$P,Opex_Budget!$A:$A,$C$3,Opex_Budget!$E:$E,$B$282,Opex_Budget!$F:$F,$D$282,Opex_Budget!$N:$N,"EUR")*$G$5+SUMIFS(Opex_Budget!$P:$P,Opex_Budget!$A:$A,$C$3,Opex_Budget!$E:$E,$B$282,Opex_Budget!$F:$F,$D$282,Opex_Budget!$N:$N,"GBP")*$H$5)</f>
        <v/>
      </c>
      <c r="J282" s="32">
        <f>IF($B$282="","",SUMIFS(Opex_Budget!$Q:$Q,Opex_Budget!$A:$A,$C$3,Opex_Budget!$E:$E,$B$282,Opex_Budget!$F:$F,$D$282,Opex_Budget!$N:$N,"JPY")*$E$5+SUMIFS(Opex_Budget!$Q:$Q,Opex_Budget!$A:$A,$C$3,Opex_Budget!$E:$E,$B$282,Opex_Budget!$F:$F,$D$282,Opex_Budget!$N:$N,"USD")*$F$5+SUMIFS(Opex_Budget!$Q:$Q,Opex_Budget!$A:$A,$C$3,Opex_Budget!$E:$E,$B$282,Opex_Budget!$F:$F,$D$282,Opex_Budget!$N:$N,"EUR")*$G$5+SUMIFS(Opex_Budget!$Q:$Q,Opex_Budget!$A:$A,$C$3,Opex_Budget!$E:$E,$B$282,Opex_Budget!$F:$F,$D$282,Opex_Budget!$N:$N,"GBP")*$H$5)</f>
        <v/>
      </c>
      <c r="K282" s="32">
        <f>IF($B$282="","",SUMIFS(Opex_Budget!$R:$R,Opex_Budget!$A:$A,$C$3,Opex_Budget!$E:$E,$B$282,Opex_Budget!$F:$F,$D$282,Opex_Budget!$N:$N,"JPY")*$E$5+SUMIFS(Opex_Budget!$R:$R,Opex_Budget!$A:$A,$C$3,Opex_Budget!$E:$E,$B$282,Opex_Budget!$F:$F,$D$282,Opex_Budget!$N:$N,"USD")*$F$5+SUMIFS(Opex_Budget!$R:$R,Opex_Budget!$A:$A,$C$3,Opex_Budget!$E:$E,$B$282,Opex_Budget!$F:$F,$D$282,Opex_Budget!$N:$N,"EUR")*$G$5+SUMIFS(Opex_Budget!$R:$R,Opex_Budget!$A:$A,$C$3,Opex_Budget!$E:$E,$B$282,Opex_Budget!$F:$F,$D$282,Opex_Budget!$N:$N,"GBP")*$H$5)</f>
        <v/>
      </c>
      <c r="L282" s="32">
        <f>IF($B$282="","",SUMIFS(Opex_Budget!$S:$S,Opex_Budget!$A:$A,$C$3,Opex_Budget!$E:$E,$B$282,Opex_Budget!$F:$F,$D$282,Opex_Budget!$N:$N,"JPY")*$E$5+SUMIFS(Opex_Budget!$S:$S,Opex_Budget!$A:$A,$C$3,Opex_Budget!$E:$E,$B$282,Opex_Budget!$F:$F,$D$282,Opex_Budget!$N:$N,"USD")*$F$5+SUMIFS(Opex_Budget!$S:$S,Opex_Budget!$A:$A,$C$3,Opex_Budget!$E:$E,$B$282,Opex_Budget!$F:$F,$D$282,Opex_Budget!$N:$N,"EUR")*$G$5+SUMIFS(Opex_Budget!$S:$S,Opex_Budget!$A:$A,$C$3,Opex_Budget!$E:$E,$B$282,Opex_Budget!$F:$F,$D$282,Opex_Budget!$N:$N,"GBP")*$H$5)</f>
        <v/>
      </c>
      <c r="M282" s="32">
        <f>IF($B$282="","",SUMIFS(Opex_Budget!$T:$T,Opex_Budget!$A:$A,$C$3,Opex_Budget!$E:$E,$B$282,Opex_Budget!$F:$F,$D$282,Opex_Budget!$N:$N,"JPY")*$E$5+SUMIFS(Opex_Budget!$T:$T,Opex_Budget!$A:$A,$C$3,Opex_Budget!$E:$E,$B$282,Opex_Budget!$F:$F,$D$282,Opex_Budget!$N:$N,"USD")*$F$5+SUMIFS(Opex_Budget!$T:$T,Opex_Budget!$A:$A,$C$3,Opex_Budget!$E:$E,$B$282,Opex_Budget!$F:$F,$D$282,Opex_Budget!$N:$N,"EUR")*$G$5+SUMIFS(Opex_Budget!$T:$T,Opex_Budget!$A:$A,$C$3,Opex_Budget!$E:$E,$B$282,Opex_Budget!$F:$F,$D$282,Opex_Budget!$N:$N,"GBP")*$H$5)</f>
        <v/>
      </c>
      <c r="N282" s="32">
        <f>IF($B$282="","",SUMIFS(Opex_Budget!$U:$U,Opex_Budget!$A:$A,$C$3,Opex_Budget!$E:$E,$B$282,Opex_Budget!$F:$F,$D$282,Opex_Budget!$N:$N,"JPY")*$E$5+SUMIFS(Opex_Budget!$U:$U,Opex_Budget!$A:$A,$C$3,Opex_Budget!$E:$E,$B$282,Opex_Budget!$F:$F,$D$282,Opex_Budget!$N:$N,"USD")*$F$5+SUMIFS(Opex_Budget!$U:$U,Opex_Budget!$A:$A,$C$3,Opex_Budget!$E:$E,$B$282,Opex_Budget!$F:$F,$D$282,Opex_Budget!$N:$N,"EUR")*$G$5+SUMIFS(Opex_Budget!$U:$U,Opex_Budget!$A:$A,$C$3,Opex_Budget!$E:$E,$B$282,Opex_Budget!$F:$F,$D$282,Opex_Budget!$N:$N,"GBP")*$H$5)</f>
        <v/>
      </c>
      <c r="O282" s="32">
        <f>IF($B$282="","",SUMIFS(Opex_Budget!$V:$V,Opex_Budget!$A:$A,$C$3,Opex_Budget!$E:$E,$B$282,Opex_Budget!$F:$F,$D$282,Opex_Budget!$N:$N,"JPY")*$E$5+SUMIFS(Opex_Budget!$V:$V,Opex_Budget!$A:$A,$C$3,Opex_Budget!$E:$E,$B$282,Opex_Budget!$F:$F,$D$282,Opex_Budget!$N:$N,"USD")*$F$5+SUMIFS(Opex_Budget!$V:$V,Opex_Budget!$A:$A,$C$3,Opex_Budget!$E:$E,$B$282,Opex_Budget!$F:$F,$D$282,Opex_Budget!$N:$N,"EUR")*$G$5+SUMIFS(Opex_Budget!$V:$V,Opex_Budget!$A:$A,$C$3,Opex_Budget!$E:$E,$B$282,Opex_Budget!$F:$F,$D$282,Opex_Budget!$N:$N,"GBP")*$H$5)</f>
        <v/>
      </c>
      <c r="P282" s="32">
        <f>IF($B$282="","",SUMIFS(Opex_Budget!$W:$W,Opex_Budget!$A:$A,$C$3,Opex_Budget!$E:$E,$B$282,Opex_Budget!$F:$F,$D$282,Opex_Budget!$N:$N,"JPY")*$E$5+SUMIFS(Opex_Budget!$W:$W,Opex_Budget!$A:$A,$C$3,Opex_Budget!$E:$E,$B$282,Opex_Budget!$F:$F,$D$282,Opex_Budget!$N:$N,"USD")*$F$5+SUMIFS(Opex_Budget!$W:$W,Opex_Budget!$A:$A,$C$3,Opex_Budget!$E:$E,$B$282,Opex_Budget!$F:$F,$D$282,Opex_Budget!$N:$N,"EUR")*$G$5+SUMIFS(Opex_Budget!$W:$W,Opex_Budget!$A:$A,$C$3,Opex_Budget!$E:$E,$B$282,Opex_Budget!$F:$F,$D$282,Opex_Budget!$N:$N,"GBP")*$H$5)</f>
        <v/>
      </c>
      <c r="Q282" s="32">
        <f>IF($B$282="","",SUMIFS(Opex_Budget!$X:$X,Opex_Budget!$A:$A,$C$3,Opex_Budget!$E:$E,$B$282,Opex_Budget!$F:$F,$D$282,Opex_Budget!$N:$N,"JPY")*$E$5+SUMIFS(Opex_Budget!$X:$X,Opex_Budget!$A:$A,$C$3,Opex_Budget!$E:$E,$B$282,Opex_Budget!$F:$F,$D$282,Opex_Budget!$N:$N,"USD")*$F$5+SUMIFS(Opex_Budget!$X:$X,Opex_Budget!$A:$A,$C$3,Opex_Budget!$E:$E,$B$282,Opex_Budget!$F:$F,$D$282,Opex_Budget!$N:$N,"EUR")*$G$5+SUMIFS(Opex_Budget!$X:$X,Opex_Budget!$A:$A,$C$3,Opex_Budget!$E:$E,$B$282,Opex_Budget!$F:$F,$D$282,Opex_Budget!$N:$N,"GBP")*$H$5)</f>
        <v/>
      </c>
      <c r="R282" s="32">
        <f>IF($B$282="","",SUMIFS(Opex_Budget!$Y:$Y,Opex_Budget!$A:$A,$C$3,Opex_Budget!$E:$E,$B$282,Opex_Budget!$F:$F,$D$282,Opex_Budget!$N:$N,"JPY")*$E$5+SUMIFS(Opex_Budget!$Y:$Y,Opex_Budget!$A:$A,$C$3,Opex_Budget!$E:$E,$B$282,Opex_Budget!$F:$F,$D$282,Opex_Budget!$N:$N,"USD")*$F$5+SUMIFS(Opex_Budget!$Y:$Y,Opex_Budget!$A:$A,$C$3,Opex_Budget!$E:$E,$B$282,Opex_Budget!$F:$F,$D$282,Opex_Budget!$N:$N,"EUR")*$G$5+SUMIFS(Opex_Budget!$Y:$Y,Opex_Budget!$A:$A,$C$3,Opex_Budget!$E:$E,$B$282,Opex_Budget!$F:$F,$D$282,Opex_Budget!$N:$N,"GBP")*$H$5)</f>
        <v/>
      </c>
      <c r="S282" s="32">
        <f>IF($B$282="","",SUMIFS(Opex_Budget!$Z:$Z,Opex_Budget!$A:$A,$C$3,Opex_Budget!$E:$E,$B$282,Opex_Budget!$F:$F,$D$282,Opex_Budget!$N:$N,"JPY")*$E$5+SUMIFS(Opex_Budget!$Z:$Z,Opex_Budget!$A:$A,$C$3,Opex_Budget!$E:$E,$B$282,Opex_Budget!$F:$F,$D$282,Opex_Budget!$N:$N,"USD")*$F$5+SUMIFS(Opex_Budget!$Z:$Z,Opex_Budget!$A:$A,$C$3,Opex_Budget!$E:$E,$B$282,Opex_Budget!$F:$F,$D$282,Opex_Budget!$N:$N,"EUR")*$G$5+SUMIFS(Opex_Budget!$Z:$Z,Opex_Budget!$A:$A,$C$3,Opex_Budget!$E:$E,$B$282,Opex_Budget!$F:$F,$D$282,Opex_Budget!$N:$N,"GBP")*$H$5)</f>
        <v/>
      </c>
      <c r="T282" s="32">
        <f>IF($B$282="","",SUMIF($H$7:$S$7,"&lt;="&amp;$C$4,$H282:$S282))</f>
        <v/>
      </c>
      <c r="U282" s="32">
        <f>IF($B$282="","",SUMIF($H$7:$S$7,"&gt;"&amp;$C$4,$H282:$S282))</f>
        <v/>
      </c>
      <c r="V282" s="32">
        <f>IF($B$282="","",SUM($H282:$S282))</f>
        <v/>
      </c>
      <c r="X282" s="22">
        <f>IF($B282="","",IFERROR(INDEX(Cost_Centers!$E:$E,MATCH($B282,Cost_Centers!$A:$A,0)),"(unknown)"))</f>
        <v/>
      </c>
      <c r="Y282" s="22">
        <f>IF($B282="","",IFERROR(INDEX(Cost_Centers!$D:$D,MATCH($B282,Cost_Centers!$A:$A,0)),"(unknown)"))</f>
        <v/>
      </c>
      <c r="Z282" s="22">
        <f>IF(OR($B282="",$G282&lt;&gt;"Variance vs Budget"),"",ABS(N($V282))+ROW()/1000000000)</f>
        <v/>
      </c>
    </row>
    <row r="283">
      <c r="A283" s="13">
        <f>IF(A$282="","",A$282)</f>
        <v/>
      </c>
      <c r="B283" s="13">
        <f>IF(B$282="","",B$282)</f>
        <v/>
      </c>
      <c r="C283" s="13">
        <f>IF(C$282="","",C$282)</f>
        <v/>
      </c>
      <c r="D283" s="13">
        <f>IF(D$282="","",D$282)</f>
        <v/>
      </c>
      <c r="E283" s="13">
        <f>IF(E$282="","",E$282)</f>
        <v/>
      </c>
      <c r="F283" s="13">
        <f>IF(F$282="","",F$282)</f>
        <v/>
      </c>
      <c r="G283" s="7" t="inlineStr">
        <is>
          <t>Actual</t>
        </is>
      </c>
      <c r="H283" s="18">
        <f>IF(OR($B$282="",1&gt;$C$4),"",SUMIFS(Actuals!$G:$G,Actuals!$B:$B,$C$3,Actuals!$C:$C,1,Actuals!$D:$D,$B$282,Actuals!$A:$A,LEFT($D$282,FIND("|",$D$282&amp;"|")-1),Actuals!$E:$E,MID($D$282,FIND("|",$D$282&amp;"|")+1,50),Actuals!$F:$F,"JPY")*$E$5+SUMIFS(Actuals!$G:$G,Actuals!$B:$B,$C$3,Actuals!$C:$C,1,Actuals!$D:$D,$B$282,Actuals!$A:$A,LEFT($D$282,FIND("|",$D$282&amp;"|")-1),Actuals!$E:$E,MID($D$282,FIND("|",$D$282&amp;"|")+1,50),Actuals!$F:$F,"USD")*$F$5+SUMIFS(Actuals!$G:$G,Actuals!$B:$B,$C$3,Actuals!$C:$C,1,Actuals!$D:$D,$B$282,Actuals!$A:$A,LEFT($D$282,FIND("|",$D$282&amp;"|")-1),Actuals!$E:$E,MID($D$282,FIND("|",$D$282&amp;"|")+1,50),Actuals!$F:$F,"EUR")*$G$5+SUMIFS(Actuals!$G:$G,Actuals!$B:$B,$C$3,Actuals!$C:$C,1,Actuals!$D:$D,$B$282,Actuals!$A:$A,LEFT($D$282,FIND("|",$D$282&amp;"|")-1),Actuals!$E:$E,MID($D$282,FIND("|",$D$282&amp;"|")+1,50),Actuals!$F:$F,"GBP")*$H$5)</f>
        <v/>
      </c>
      <c r="I283" s="18">
        <f>IF(OR($B$282="",2&gt;$C$4),"",SUMIFS(Actuals!$G:$G,Actuals!$B:$B,$C$3,Actuals!$C:$C,2,Actuals!$D:$D,$B$282,Actuals!$A:$A,LEFT($D$282,FIND("|",$D$282&amp;"|")-1),Actuals!$E:$E,MID($D$282,FIND("|",$D$282&amp;"|")+1,50),Actuals!$F:$F,"JPY")*$E$5+SUMIFS(Actuals!$G:$G,Actuals!$B:$B,$C$3,Actuals!$C:$C,2,Actuals!$D:$D,$B$282,Actuals!$A:$A,LEFT($D$282,FIND("|",$D$282&amp;"|")-1),Actuals!$E:$E,MID($D$282,FIND("|",$D$282&amp;"|")+1,50),Actuals!$F:$F,"USD")*$F$5+SUMIFS(Actuals!$G:$G,Actuals!$B:$B,$C$3,Actuals!$C:$C,2,Actuals!$D:$D,$B$282,Actuals!$A:$A,LEFT($D$282,FIND("|",$D$282&amp;"|")-1),Actuals!$E:$E,MID($D$282,FIND("|",$D$282&amp;"|")+1,50),Actuals!$F:$F,"EUR")*$G$5+SUMIFS(Actuals!$G:$G,Actuals!$B:$B,$C$3,Actuals!$C:$C,2,Actuals!$D:$D,$B$282,Actuals!$A:$A,LEFT($D$282,FIND("|",$D$282&amp;"|")-1),Actuals!$E:$E,MID($D$282,FIND("|",$D$282&amp;"|")+1,50),Actuals!$F:$F,"GBP")*$H$5)</f>
        <v/>
      </c>
      <c r="J283" s="18">
        <f>IF(OR($B$282="",3&gt;$C$4),"",SUMIFS(Actuals!$G:$G,Actuals!$B:$B,$C$3,Actuals!$C:$C,3,Actuals!$D:$D,$B$282,Actuals!$A:$A,LEFT($D$282,FIND("|",$D$282&amp;"|")-1),Actuals!$E:$E,MID($D$282,FIND("|",$D$282&amp;"|")+1,50),Actuals!$F:$F,"JPY")*$E$5+SUMIFS(Actuals!$G:$G,Actuals!$B:$B,$C$3,Actuals!$C:$C,3,Actuals!$D:$D,$B$282,Actuals!$A:$A,LEFT($D$282,FIND("|",$D$282&amp;"|")-1),Actuals!$E:$E,MID($D$282,FIND("|",$D$282&amp;"|")+1,50),Actuals!$F:$F,"USD")*$F$5+SUMIFS(Actuals!$G:$G,Actuals!$B:$B,$C$3,Actuals!$C:$C,3,Actuals!$D:$D,$B$282,Actuals!$A:$A,LEFT($D$282,FIND("|",$D$282&amp;"|")-1),Actuals!$E:$E,MID($D$282,FIND("|",$D$282&amp;"|")+1,50),Actuals!$F:$F,"EUR")*$G$5+SUMIFS(Actuals!$G:$G,Actuals!$B:$B,$C$3,Actuals!$C:$C,3,Actuals!$D:$D,$B$282,Actuals!$A:$A,LEFT($D$282,FIND("|",$D$282&amp;"|")-1),Actuals!$E:$E,MID($D$282,FIND("|",$D$282&amp;"|")+1,50),Actuals!$F:$F,"GBP")*$H$5)</f>
        <v/>
      </c>
      <c r="K283" s="18">
        <f>IF(OR($B$282="",4&gt;$C$4),"",SUMIFS(Actuals!$G:$G,Actuals!$B:$B,$C$3,Actuals!$C:$C,4,Actuals!$D:$D,$B$282,Actuals!$A:$A,LEFT($D$282,FIND("|",$D$282&amp;"|")-1),Actuals!$E:$E,MID($D$282,FIND("|",$D$282&amp;"|")+1,50),Actuals!$F:$F,"JPY")*$E$5+SUMIFS(Actuals!$G:$G,Actuals!$B:$B,$C$3,Actuals!$C:$C,4,Actuals!$D:$D,$B$282,Actuals!$A:$A,LEFT($D$282,FIND("|",$D$282&amp;"|")-1),Actuals!$E:$E,MID($D$282,FIND("|",$D$282&amp;"|")+1,50),Actuals!$F:$F,"USD")*$F$5+SUMIFS(Actuals!$G:$G,Actuals!$B:$B,$C$3,Actuals!$C:$C,4,Actuals!$D:$D,$B$282,Actuals!$A:$A,LEFT($D$282,FIND("|",$D$282&amp;"|")-1),Actuals!$E:$E,MID($D$282,FIND("|",$D$282&amp;"|")+1,50),Actuals!$F:$F,"EUR")*$G$5+SUMIFS(Actuals!$G:$G,Actuals!$B:$B,$C$3,Actuals!$C:$C,4,Actuals!$D:$D,$B$282,Actuals!$A:$A,LEFT($D$282,FIND("|",$D$282&amp;"|")-1),Actuals!$E:$E,MID($D$282,FIND("|",$D$282&amp;"|")+1,50),Actuals!$F:$F,"GBP")*$H$5)</f>
        <v/>
      </c>
      <c r="L283" s="18">
        <f>IF(OR($B$282="",5&gt;$C$4),"",SUMIFS(Actuals!$G:$G,Actuals!$B:$B,$C$3,Actuals!$C:$C,5,Actuals!$D:$D,$B$282,Actuals!$A:$A,LEFT($D$282,FIND("|",$D$282&amp;"|")-1),Actuals!$E:$E,MID($D$282,FIND("|",$D$282&amp;"|")+1,50),Actuals!$F:$F,"JPY")*$E$5+SUMIFS(Actuals!$G:$G,Actuals!$B:$B,$C$3,Actuals!$C:$C,5,Actuals!$D:$D,$B$282,Actuals!$A:$A,LEFT($D$282,FIND("|",$D$282&amp;"|")-1),Actuals!$E:$E,MID($D$282,FIND("|",$D$282&amp;"|")+1,50),Actuals!$F:$F,"USD")*$F$5+SUMIFS(Actuals!$G:$G,Actuals!$B:$B,$C$3,Actuals!$C:$C,5,Actuals!$D:$D,$B$282,Actuals!$A:$A,LEFT($D$282,FIND("|",$D$282&amp;"|")-1),Actuals!$E:$E,MID($D$282,FIND("|",$D$282&amp;"|")+1,50),Actuals!$F:$F,"EUR")*$G$5+SUMIFS(Actuals!$G:$G,Actuals!$B:$B,$C$3,Actuals!$C:$C,5,Actuals!$D:$D,$B$282,Actuals!$A:$A,LEFT($D$282,FIND("|",$D$282&amp;"|")-1),Actuals!$E:$E,MID($D$282,FIND("|",$D$282&amp;"|")+1,50),Actuals!$F:$F,"GBP")*$H$5)</f>
        <v/>
      </c>
      <c r="M283" s="18">
        <f>IF(OR($B$282="",6&gt;$C$4),"",SUMIFS(Actuals!$G:$G,Actuals!$B:$B,$C$3,Actuals!$C:$C,6,Actuals!$D:$D,$B$282,Actuals!$A:$A,LEFT($D$282,FIND("|",$D$282&amp;"|")-1),Actuals!$E:$E,MID($D$282,FIND("|",$D$282&amp;"|")+1,50),Actuals!$F:$F,"JPY")*$E$5+SUMIFS(Actuals!$G:$G,Actuals!$B:$B,$C$3,Actuals!$C:$C,6,Actuals!$D:$D,$B$282,Actuals!$A:$A,LEFT($D$282,FIND("|",$D$282&amp;"|")-1),Actuals!$E:$E,MID($D$282,FIND("|",$D$282&amp;"|")+1,50),Actuals!$F:$F,"USD")*$F$5+SUMIFS(Actuals!$G:$G,Actuals!$B:$B,$C$3,Actuals!$C:$C,6,Actuals!$D:$D,$B$282,Actuals!$A:$A,LEFT($D$282,FIND("|",$D$282&amp;"|")-1),Actuals!$E:$E,MID($D$282,FIND("|",$D$282&amp;"|")+1,50),Actuals!$F:$F,"EUR")*$G$5+SUMIFS(Actuals!$G:$G,Actuals!$B:$B,$C$3,Actuals!$C:$C,6,Actuals!$D:$D,$B$282,Actuals!$A:$A,LEFT($D$282,FIND("|",$D$282&amp;"|")-1),Actuals!$E:$E,MID($D$282,FIND("|",$D$282&amp;"|")+1,50),Actuals!$F:$F,"GBP")*$H$5)</f>
        <v/>
      </c>
      <c r="N283" s="18">
        <f>IF(OR($B$282="",7&gt;$C$4),"",SUMIFS(Actuals!$G:$G,Actuals!$B:$B,$C$3,Actuals!$C:$C,7,Actuals!$D:$D,$B$282,Actuals!$A:$A,LEFT($D$282,FIND("|",$D$282&amp;"|")-1),Actuals!$E:$E,MID($D$282,FIND("|",$D$282&amp;"|")+1,50),Actuals!$F:$F,"JPY")*$E$5+SUMIFS(Actuals!$G:$G,Actuals!$B:$B,$C$3,Actuals!$C:$C,7,Actuals!$D:$D,$B$282,Actuals!$A:$A,LEFT($D$282,FIND("|",$D$282&amp;"|")-1),Actuals!$E:$E,MID($D$282,FIND("|",$D$282&amp;"|")+1,50),Actuals!$F:$F,"USD")*$F$5+SUMIFS(Actuals!$G:$G,Actuals!$B:$B,$C$3,Actuals!$C:$C,7,Actuals!$D:$D,$B$282,Actuals!$A:$A,LEFT($D$282,FIND("|",$D$282&amp;"|")-1),Actuals!$E:$E,MID($D$282,FIND("|",$D$282&amp;"|")+1,50),Actuals!$F:$F,"EUR")*$G$5+SUMIFS(Actuals!$G:$G,Actuals!$B:$B,$C$3,Actuals!$C:$C,7,Actuals!$D:$D,$B$282,Actuals!$A:$A,LEFT($D$282,FIND("|",$D$282&amp;"|")-1),Actuals!$E:$E,MID($D$282,FIND("|",$D$282&amp;"|")+1,50),Actuals!$F:$F,"GBP")*$H$5)</f>
        <v/>
      </c>
      <c r="O283" s="18">
        <f>IF(OR($B$282="",8&gt;$C$4),"",SUMIFS(Actuals!$G:$G,Actuals!$B:$B,$C$3,Actuals!$C:$C,8,Actuals!$D:$D,$B$282,Actuals!$A:$A,LEFT($D$282,FIND("|",$D$282&amp;"|")-1),Actuals!$E:$E,MID($D$282,FIND("|",$D$282&amp;"|")+1,50),Actuals!$F:$F,"JPY")*$E$5+SUMIFS(Actuals!$G:$G,Actuals!$B:$B,$C$3,Actuals!$C:$C,8,Actuals!$D:$D,$B$282,Actuals!$A:$A,LEFT($D$282,FIND("|",$D$282&amp;"|")-1),Actuals!$E:$E,MID($D$282,FIND("|",$D$282&amp;"|")+1,50),Actuals!$F:$F,"USD")*$F$5+SUMIFS(Actuals!$G:$G,Actuals!$B:$B,$C$3,Actuals!$C:$C,8,Actuals!$D:$D,$B$282,Actuals!$A:$A,LEFT($D$282,FIND("|",$D$282&amp;"|")-1),Actuals!$E:$E,MID($D$282,FIND("|",$D$282&amp;"|")+1,50),Actuals!$F:$F,"EUR")*$G$5+SUMIFS(Actuals!$G:$G,Actuals!$B:$B,$C$3,Actuals!$C:$C,8,Actuals!$D:$D,$B$282,Actuals!$A:$A,LEFT($D$282,FIND("|",$D$282&amp;"|")-1),Actuals!$E:$E,MID($D$282,FIND("|",$D$282&amp;"|")+1,50),Actuals!$F:$F,"GBP")*$H$5)</f>
        <v/>
      </c>
      <c r="P283" s="18">
        <f>IF(OR($B$282="",9&gt;$C$4),"",SUMIFS(Actuals!$G:$G,Actuals!$B:$B,$C$3,Actuals!$C:$C,9,Actuals!$D:$D,$B$282,Actuals!$A:$A,LEFT($D$282,FIND("|",$D$282&amp;"|")-1),Actuals!$E:$E,MID($D$282,FIND("|",$D$282&amp;"|")+1,50),Actuals!$F:$F,"JPY")*$E$5+SUMIFS(Actuals!$G:$G,Actuals!$B:$B,$C$3,Actuals!$C:$C,9,Actuals!$D:$D,$B$282,Actuals!$A:$A,LEFT($D$282,FIND("|",$D$282&amp;"|")-1),Actuals!$E:$E,MID($D$282,FIND("|",$D$282&amp;"|")+1,50),Actuals!$F:$F,"USD")*$F$5+SUMIFS(Actuals!$G:$G,Actuals!$B:$B,$C$3,Actuals!$C:$C,9,Actuals!$D:$D,$B$282,Actuals!$A:$A,LEFT($D$282,FIND("|",$D$282&amp;"|")-1),Actuals!$E:$E,MID($D$282,FIND("|",$D$282&amp;"|")+1,50),Actuals!$F:$F,"EUR")*$G$5+SUMIFS(Actuals!$G:$G,Actuals!$B:$B,$C$3,Actuals!$C:$C,9,Actuals!$D:$D,$B$282,Actuals!$A:$A,LEFT($D$282,FIND("|",$D$282&amp;"|")-1),Actuals!$E:$E,MID($D$282,FIND("|",$D$282&amp;"|")+1,50),Actuals!$F:$F,"GBP")*$H$5)</f>
        <v/>
      </c>
      <c r="Q283" s="18">
        <f>IF(OR($B$282="",10&gt;$C$4),"",SUMIFS(Actuals!$G:$G,Actuals!$B:$B,$C$3,Actuals!$C:$C,10,Actuals!$D:$D,$B$282,Actuals!$A:$A,LEFT($D$282,FIND("|",$D$282&amp;"|")-1),Actuals!$E:$E,MID($D$282,FIND("|",$D$282&amp;"|")+1,50),Actuals!$F:$F,"JPY")*$E$5+SUMIFS(Actuals!$G:$G,Actuals!$B:$B,$C$3,Actuals!$C:$C,10,Actuals!$D:$D,$B$282,Actuals!$A:$A,LEFT($D$282,FIND("|",$D$282&amp;"|")-1),Actuals!$E:$E,MID($D$282,FIND("|",$D$282&amp;"|")+1,50),Actuals!$F:$F,"USD")*$F$5+SUMIFS(Actuals!$G:$G,Actuals!$B:$B,$C$3,Actuals!$C:$C,10,Actuals!$D:$D,$B$282,Actuals!$A:$A,LEFT($D$282,FIND("|",$D$282&amp;"|")-1),Actuals!$E:$E,MID($D$282,FIND("|",$D$282&amp;"|")+1,50),Actuals!$F:$F,"EUR")*$G$5+SUMIFS(Actuals!$G:$G,Actuals!$B:$B,$C$3,Actuals!$C:$C,10,Actuals!$D:$D,$B$282,Actuals!$A:$A,LEFT($D$282,FIND("|",$D$282&amp;"|")-1),Actuals!$E:$E,MID($D$282,FIND("|",$D$282&amp;"|")+1,50),Actuals!$F:$F,"GBP")*$H$5)</f>
        <v/>
      </c>
      <c r="R283" s="18">
        <f>IF(OR($B$282="",11&gt;$C$4),"",SUMIFS(Actuals!$G:$G,Actuals!$B:$B,$C$3,Actuals!$C:$C,11,Actuals!$D:$D,$B$282,Actuals!$A:$A,LEFT($D$282,FIND("|",$D$282&amp;"|")-1),Actuals!$E:$E,MID($D$282,FIND("|",$D$282&amp;"|")+1,50),Actuals!$F:$F,"JPY")*$E$5+SUMIFS(Actuals!$G:$G,Actuals!$B:$B,$C$3,Actuals!$C:$C,11,Actuals!$D:$D,$B$282,Actuals!$A:$A,LEFT($D$282,FIND("|",$D$282&amp;"|")-1),Actuals!$E:$E,MID($D$282,FIND("|",$D$282&amp;"|")+1,50),Actuals!$F:$F,"USD")*$F$5+SUMIFS(Actuals!$G:$G,Actuals!$B:$B,$C$3,Actuals!$C:$C,11,Actuals!$D:$D,$B$282,Actuals!$A:$A,LEFT($D$282,FIND("|",$D$282&amp;"|")-1),Actuals!$E:$E,MID($D$282,FIND("|",$D$282&amp;"|")+1,50),Actuals!$F:$F,"EUR")*$G$5+SUMIFS(Actuals!$G:$G,Actuals!$B:$B,$C$3,Actuals!$C:$C,11,Actuals!$D:$D,$B$282,Actuals!$A:$A,LEFT($D$282,FIND("|",$D$282&amp;"|")-1),Actuals!$E:$E,MID($D$282,FIND("|",$D$282&amp;"|")+1,50),Actuals!$F:$F,"GBP")*$H$5)</f>
        <v/>
      </c>
      <c r="S283" s="18">
        <f>IF(OR($B$282="",12&gt;$C$4),"",SUMIFS(Actuals!$G:$G,Actuals!$B:$B,$C$3,Actuals!$C:$C,12,Actuals!$D:$D,$B$282,Actuals!$A:$A,LEFT($D$282,FIND("|",$D$282&amp;"|")-1),Actuals!$E:$E,MID($D$282,FIND("|",$D$282&amp;"|")+1,50),Actuals!$F:$F,"JPY")*$E$5+SUMIFS(Actuals!$G:$G,Actuals!$B:$B,$C$3,Actuals!$C:$C,12,Actuals!$D:$D,$B$282,Actuals!$A:$A,LEFT($D$282,FIND("|",$D$282&amp;"|")-1),Actuals!$E:$E,MID($D$282,FIND("|",$D$282&amp;"|")+1,50),Actuals!$F:$F,"USD")*$F$5+SUMIFS(Actuals!$G:$G,Actuals!$B:$B,$C$3,Actuals!$C:$C,12,Actuals!$D:$D,$B$282,Actuals!$A:$A,LEFT($D$282,FIND("|",$D$282&amp;"|")-1),Actuals!$E:$E,MID($D$282,FIND("|",$D$282&amp;"|")+1,50),Actuals!$F:$F,"EUR")*$G$5+SUMIFS(Actuals!$G:$G,Actuals!$B:$B,$C$3,Actuals!$C:$C,12,Actuals!$D:$D,$B$282,Actuals!$A:$A,LEFT($D$282,FIND("|",$D$282&amp;"|")-1),Actuals!$E:$E,MID($D$282,FIND("|",$D$282&amp;"|")+1,50),Actuals!$F:$F,"GBP")*$H$5)</f>
        <v/>
      </c>
      <c r="T283" s="18">
        <f>IF($B$282="","",SUMIF($H$7:$S$7,"&lt;="&amp;$C$4,$H283:$S283))</f>
        <v/>
      </c>
      <c r="U283" s="18" t="n"/>
      <c r="V283" s="18" t="n"/>
      <c r="X283" s="22">
        <f>IF($B283="","",IFERROR(INDEX(Cost_Centers!$E:$E,MATCH($B283,Cost_Centers!$A:$A,0)),"(unknown)"))</f>
        <v/>
      </c>
      <c r="Y283" s="22">
        <f>IF($B283="","",IFERROR(INDEX(Cost_Centers!$D:$D,MATCH($B283,Cost_Centers!$A:$A,0)),"(unknown)"))</f>
        <v/>
      </c>
      <c r="Z283" s="22">
        <f>IF(OR($B283="",$G283&lt;&gt;"Variance vs Budget"),"",ABS(N($V283))+ROW()/1000000000)</f>
        <v/>
      </c>
    </row>
    <row r="284">
      <c r="A284" s="13">
        <f>IF(A$282="","",A$282)</f>
        <v/>
      </c>
      <c r="B284" s="13">
        <f>IF(B$282="","",B$282)</f>
        <v/>
      </c>
      <c r="C284" s="13">
        <f>IF(C$282="","",C$282)</f>
        <v/>
      </c>
      <c r="D284" s="13">
        <f>IF(D$282="","",D$282)</f>
        <v/>
      </c>
      <c r="E284" s="13">
        <f>IF(E$282="","",E$282)</f>
        <v/>
      </c>
      <c r="F284" s="13">
        <f>IF(F$282="","",F$282)</f>
        <v/>
      </c>
      <c r="G284" s="6" t="inlineStr">
        <is>
          <t>Variance vs Budget</t>
        </is>
      </c>
      <c r="H284" s="33">
        <f>IF(OR($B$282="",1&gt;$C$4),"",N(H283)-H282)</f>
        <v/>
      </c>
      <c r="I284" s="33">
        <f>IF(OR($B$282="",2&gt;$C$4),"",N(I283)-I282)</f>
        <v/>
      </c>
      <c r="J284" s="33">
        <f>IF(OR($B$282="",3&gt;$C$4),"",N(J283)-J282)</f>
        <v/>
      </c>
      <c r="K284" s="33">
        <f>IF(OR($B$282="",4&gt;$C$4),"",N(K283)-K282)</f>
        <v/>
      </c>
      <c r="L284" s="33">
        <f>IF(OR($B$282="",5&gt;$C$4),"",N(L283)-L282)</f>
        <v/>
      </c>
      <c r="M284" s="33">
        <f>IF(OR($B$282="",6&gt;$C$4),"",N(M283)-M282)</f>
        <v/>
      </c>
      <c r="N284" s="33">
        <f>IF(OR($B$282="",7&gt;$C$4),"",N(N283)-N282)</f>
        <v/>
      </c>
      <c r="O284" s="33">
        <f>IF(OR($B$282="",8&gt;$C$4),"",N(O283)-O282)</f>
        <v/>
      </c>
      <c r="P284" s="33">
        <f>IF(OR($B$282="",9&gt;$C$4),"",N(P283)-P282)</f>
        <v/>
      </c>
      <c r="Q284" s="33">
        <f>IF(OR($B$282="",10&gt;$C$4),"",N(Q283)-Q282)</f>
        <v/>
      </c>
      <c r="R284" s="33">
        <f>IF(OR($B$282="",11&gt;$C$4),"",N(R283)-R282)</f>
        <v/>
      </c>
      <c r="S284" s="33">
        <f>IF(OR($B$282="",12&gt;$C$4),"",N(S283)-S282)</f>
        <v/>
      </c>
      <c r="T284" s="33">
        <f>IF($B$282="","",T283-T282)</f>
        <v/>
      </c>
      <c r="U284" s="33">
        <f>IF($B$282="","",U286-U282)</f>
        <v/>
      </c>
      <c r="V284" s="33">
        <f>IF($B$282="","",V286-V282)</f>
        <v/>
      </c>
      <c r="X284" s="22">
        <f>IF($B284="","",IFERROR(INDEX(Cost_Centers!$E:$E,MATCH($B284,Cost_Centers!$A:$A,0)),"(unknown)"))</f>
        <v/>
      </c>
      <c r="Y284" s="22">
        <f>IF($B284="","",IFERROR(INDEX(Cost_Centers!$D:$D,MATCH($B284,Cost_Centers!$A:$A,0)),"(unknown)"))</f>
        <v/>
      </c>
      <c r="Z284" s="22">
        <f>IF(OR($B284="",$G284&lt;&gt;"Variance vs Budget"),"",ABS(N($V284))+ROW()/1000000000)</f>
        <v/>
      </c>
    </row>
    <row r="285">
      <c r="A285" s="13">
        <f>IF(A$282="","",A$282)</f>
        <v/>
      </c>
      <c r="B285" s="13">
        <f>IF(B$282="","",B$282)</f>
        <v/>
      </c>
      <c r="C285" s="13">
        <f>IF(C$282="","",C$282)</f>
        <v/>
      </c>
      <c r="D285" s="13">
        <f>IF(D$282="","",D$282)</f>
        <v/>
      </c>
      <c r="E285" s="13">
        <f>IF(E$282="","",E$282)</f>
        <v/>
      </c>
      <c r="F285" s="13">
        <f>IF(F$282="","",F$282)</f>
        <v/>
      </c>
      <c r="G285" s="7" t="inlineStr">
        <is>
          <t>Forecast (input)</t>
        </is>
      </c>
      <c r="H285" s="34" t="n"/>
      <c r="I285" s="34" t="n"/>
      <c r="J285" s="34" t="n"/>
      <c r="K285" s="34" t="n"/>
      <c r="L285" s="34" t="n"/>
      <c r="M285" s="34" t="n"/>
      <c r="N285" s="34" t="n"/>
      <c r="O285" s="34" t="n"/>
      <c r="P285" s="34" t="n"/>
      <c r="Q285" s="34" t="n"/>
      <c r="R285" s="34" t="n"/>
      <c r="S285" s="34" t="n"/>
      <c r="T285" s="18" t="n"/>
      <c r="U285" s="18" t="n"/>
      <c r="V285" s="18" t="n"/>
      <c r="X285" s="22">
        <f>IF($B285="","",IFERROR(INDEX(Cost_Centers!$E:$E,MATCH($B285,Cost_Centers!$A:$A,0)),"(unknown)"))</f>
        <v/>
      </c>
      <c r="Y285" s="22">
        <f>IF($B285="","",IFERROR(INDEX(Cost_Centers!$D:$D,MATCH($B285,Cost_Centers!$A:$A,0)),"(unknown)"))</f>
        <v/>
      </c>
      <c r="Z285" s="22">
        <f>IF(OR($B285="",$G285&lt;&gt;"Variance vs Budget"),"",ABS(N($V285))+ROW()/1000000000)</f>
        <v/>
      </c>
    </row>
    <row r="286">
      <c r="A286" s="13">
        <f>IF(A$282="","",A$282)</f>
        <v/>
      </c>
      <c r="B286" s="13">
        <f>IF(B$282="","",B$282)</f>
        <v/>
      </c>
      <c r="C286" s="13">
        <f>IF(C$282="","",C$282)</f>
        <v/>
      </c>
      <c r="D286" s="13">
        <f>IF(D$282="","",D$282)</f>
        <v/>
      </c>
      <c r="E286" s="13">
        <f>IF(E$282="","",E$282)</f>
        <v/>
      </c>
      <c r="F286" s="13">
        <f>IF(F$282="","",F$282)</f>
        <v/>
      </c>
      <c r="G286" s="35" t="inlineStr">
        <is>
          <t>Actual + Forecast</t>
        </is>
      </c>
      <c r="H286" s="18">
        <f>IF($B$282="","",IF(1&lt;=$C$4,N(H283),IF(H285="",H282,H285)))</f>
        <v/>
      </c>
      <c r="I286" s="18">
        <f>IF($B$282="","",IF(2&lt;=$C$4,N(I283),IF(I285="",I282,I285)))</f>
        <v/>
      </c>
      <c r="J286" s="18">
        <f>IF($B$282="","",IF(3&lt;=$C$4,N(J283),IF(J285="",J282,J285)))</f>
        <v/>
      </c>
      <c r="K286" s="18">
        <f>IF($B$282="","",IF(4&lt;=$C$4,N(K283),IF(K285="",K282,K285)))</f>
        <v/>
      </c>
      <c r="L286" s="18">
        <f>IF($B$282="","",IF(5&lt;=$C$4,N(L283),IF(L285="",L282,L285)))</f>
        <v/>
      </c>
      <c r="M286" s="18">
        <f>IF($B$282="","",IF(6&lt;=$C$4,N(M283),IF(M285="",M282,M285)))</f>
        <v/>
      </c>
      <c r="N286" s="18">
        <f>IF($B$282="","",IF(7&lt;=$C$4,N(N283),IF(N285="",N282,N285)))</f>
        <v/>
      </c>
      <c r="O286" s="18">
        <f>IF($B$282="","",IF(8&lt;=$C$4,N(O283),IF(O285="",O282,O285)))</f>
        <v/>
      </c>
      <c r="P286" s="18">
        <f>IF($B$282="","",IF(9&lt;=$C$4,N(P283),IF(P285="",P282,P285)))</f>
        <v/>
      </c>
      <c r="Q286" s="18">
        <f>IF($B$282="","",IF(10&lt;=$C$4,N(Q283),IF(Q285="",Q282,Q285)))</f>
        <v/>
      </c>
      <c r="R286" s="18">
        <f>IF($B$282="","",IF(11&lt;=$C$4,N(R283),IF(R285="",R282,R285)))</f>
        <v/>
      </c>
      <c r="S286" s="18">
        <f>IF($B$282="","",IF(12&lt;=$C$4,N(S283),IF(S285="",S282,S285)))</f>
        <v/>
      </c>
      <c r="T286" s="18">
        <f>IF($B$282="","",SUMIF($H$7:$S$7,"&lt;="&amp;$C$4,$H286:$S286))</f>
        <v/>
      </c>
      <c r="U286" s="18">
        <f>IF($B$282="","",SUMIF($H$7:$S$7,"&gt;"&amp;$C$4,$H286:$S286))</f>
        <v/>
      </c>
      <c r="V286" s="18">
        <f>IF($B$282="","",SUM($H286:$S286))</f>
        <v/>
      </c>
      <c r="X286" s="22">
        <f>IF($B286="","",IFERROR(INDEX(Cost_Centers!$E:$E,MATCH($B286,Cost_Centers!$A:$A,0)),"(unknown)"))</f>
        <v/>
      </c>
      <c r="Y286" s="22">
        <f>IF($B286="","",IFERROR(INDEX(Cost_Centers!$D:$D,MATCH($B286,Cost_Centers!$A:$A,0)),"(unknown)"))</f>
        <v/>
      </c>
      <c r="Z286" s="22">
        <f>IF(OR($B286="",$G286&lt;&gt;"Variance vs Budget"),"",ABS(N($V286))+ROW()/1000000000)</f>
        <v/>
      </c>
    </row>
    <row r="287">
      <c r="A287" s="13">
        <f>IF(A$282="","",A$282)</f>
        <v/>
      </c>
      <c r="B287" s="13">
        <f>IF(B$282="","",B$282)</f>
        <v/>
      </c>
      <c r="C287" s="13">
        <f>IF(C$282="","",C$282)</f>
        <v/>
      </c>
      <c r="D287" s="13">
        <f>IF(D$282="","",D$282)</f>
        <v/>
      </c>
      <c r="E287" s="13">
        <f>IF(E$282="","",E$282)</f>
        <v/>
      </c>
      <c r="F287" s="13">
        <f>IF(F$282="","",F$282)</f>
        <v/>
      </c>
      <c r="G287" s="36" t="inlineStr">
        <is>
          <t>Prior Month Forecast</t>
        </is>
      </c>
      <c r="H287" s="37">
        <f>IF($B$282="","",IF(COUNTIFS(Prior_Forecast!$A:$A,$B$282,Prior_Forecast!$B:$B,$D$282)&gt;0,SUMIFS(Prior_Forecast!$C:$C,Prior_Forecast!$A:$A,$B$282,Prior_Forecast!$B:$B,$D$282),""))</f>
        <v/>
      </c>
      <c r="I287" s="37">
        <f>IF($B$282="","",IF(COUNTIFS(Prior_Forecast!$A:$A,$B$282,Prior_Forecast!$B:$B,$D$282)&gt;0,SUMIFS(Prior_Forecast!$D:$D,Prior_Forecast!$A:$A,$B$282,Prior_Forecast!$B:$B,$D$282),""))</f>
        <v/>
      </c>
      <c r="J287" s="37">
        <f>IF($B$282="","",IF(COUNTIFS(Prior_Forecast!$A:$A,$B$282,Prior_Forecast!$B:$B,$D$282)&gt;0,SUMIFS(Prior_Forecast!$E:$E,Prior_Forecast!$A:$A,$B$282,Prior_Forecast!$B:$B,$D$282),""))</f>
        <v/>
      </c>
      <c r="K287" s="37">
        <f>IF($B$282="","",IF(COUNTIFS(Prior_Forecast!$A:$A,$B$282,Prior_Forecast!$B:$B,$D$282)&gt;0,SUMIFS(Prior_Forecast!$F:$F,Prior_Forecast!$A:$A,$B$282,Prior_Forecast!$B:$B,$D$282),""))</f>
        <v/>
      </c>
      <c r="L287" s="37">
        <f>IF($B$282="","",IF(COUNTIFS(Prior_Forecast!$A:$A,$B$282,Prior_Forecast!$B:$B,$D$282)&gt;0,SUMIFS(Prior_Forecast!$G:$G,Prior_Forecast!$A:$A,$B$282,Prior_Forecast!$B:$B,$D$282),""))</f>
        <v/>
      </c>
      <c r="M287" s="37">
        <f>IF($B$282="","",IF(COUNTIFS(Prior_Forecast!$A:$A,$B$282,Prior_Forecast!$B:$B,$D$282)&gt;0,SUMIFS(Prior_Forecast!$H:$H,Prior_Forecast!$A:$A,$B$282,Prior_Forecast!$B:$B,$D$282),""))</f>
        <v/>
      </c>
      <c r="N287" s="37">
        <f>IF($B$282="","",IF(COUNTIFS(Prior_Forecast!$A:$A,$B$282,Prior_Forecast!$B:$B,$D$282)&gt;0,SUMIFS(Prior_Forecast!$I:$I,Prior_Forecast!$A:$A,$B$282,Prior_Forecast!$B:$B,$D$282),""))</f>
        <v/>
      </c>
      <c r="O287" s="37">
        <f>IF($B$282="","",IF(COUNTIFS(Prior_Forecast!$A:$A,$B$282,Prior_Forecast!$B:$B,$D$282)&gt;0,SUMIFS(Prior_Forecast!$J:$J,Prior_Forecast!$A:$A,$B$282,Prior_Forecast!$B:$B,$D$282),""))</f>
        <v/>
      </c>
      <c r="P287" s="37">
        <f>IF($B$282="","",IF(COUNTIFS(Prior_Forecast!$A:$A,$B$282,Prior_Forecast!$B:$B,$D$282)&gt;0,SUMIFS(Prior_Forecast!$K:$K,Prior_Forecast!$A:$A,$B$282,Prior_Forecast!$B:$B,$D$282),""))</f>
        <v/>
      </c>
      <c r="Q287" s="37">
        <f>IF($B$282="","",IF(COUNTIFS(Prior_Forecast!$A:$A,$B$282,Prior_Forecast!$B:$B,$D$282)&gt;0,SUMIFS(Prior_Forecast!$L:$L,Prior_Forecast!$A:$A,$B$282,Prior_Forecast!$B:$B,$D$282),""))</f>
        <v/>
      </c>
      <c r="R287" s="37">
        <f>IF($B$282="","",IF(COUNTIFS(Prior_Forecast!$A:$A,$B$282,Prior_Forecast!$B:$B,$D$282)&gt;0,SUMIFS(Prior_Forecast!$M:$M,Prior_Forecast!$A:$A,$B$282,Prior_Forecast!$B:$B,$D$282),""))</f>
        <v/>
      </c>
      <c r="S287" s="37">
        <f>IF($B$282="","",IF(COUNTIFS(Prior_Forecast!$A:$A,$B$282,Prior_Forecast!$B:$B,$D$282)&gt;0,SUMIFS(Prior_Forecast!$N:$N,Prior_Forecast!$A:$A,$B$282,Prior_Forecast!$B:$B,$D$282),""))</f>
        <v/>
      </c>
      <c r="T287" s="37">
        <f>IF($B$282="","",IF(COUNTIFS(Prior_Forecast!$A:$A,$B$282,Prior_Forecast!$B:$B,$D$282)&gt;0,SUMIFS(Prior_Forecast!$O:$O,Prior_Forecast!$A:$A,$B$282,Prior_Forecast!$B:$B,$D$282),""))</f>
        <v/>
      </c>
      <c r="U287" s="37">
        <f>IF($B$282="","",IF(COUNTIFS(Prior_Forecast!$A:$A,$B$282,Prior_Forecast!$B:$B,$D$282)&gt;0,SUMIFS(Prior_Forecast!$P:$P,Prior_Forecast!$A:$A,$B$282,Prior_Forecast!$B:$B,$D$282),""))</f>
        <v/>
      </c>
      <c r="V287" s="37">
        <f>IF($B$282="","",IF(COUNTIFS(Prior_Forecast!$A:$A,$B$282,Prior_Forecast!$B:$B,$D$282)&gt;0,SUMIFS(Prior_Forecast!$Q:$Q,Prior_Forecast!$A:$A,$B$282,Prior_Forecast!$B:$B,$D$282),""))</f>
        <v/>
      </c>
      <c r="X287" s="22">
        <f>IF($B287="","",IFERROR(INDEX(Cost_Centers!$E:$E,MATCH($B287,Cost_Centers!$A:$A,0)),"(unknown)"))</f>
        <v/>
      </c>
      <c r="Y287" s="22">
        <f>IF($B287="","",IFERROR(INDEX(Cost_Centers!$D:$D,MATCH($B287,Cost_Centers!$A:$A,0)),"(unknown)"))</f>
        <v/>
      </c>
      <c r="Z287" s="22">
        <f>IF(OR($B287="",$G287&lt;&gt;"Variance vs Budget"),"",ABS(N($V287))+ROW()/1000000000)</f>
        <v/>
      </c>
    </row>
    <row r="288">
      <c r="A288" s="13">
        <f>IF(A$282="","",A$282)</f>
        <v/>
      </c>
      <c r="B288" s="13">
        <f>IF(B$282="","",B$282)</f>
        <v/>
      </c>
      <c r="C288" s="13">
        <f>IF(C$282="","",C$282)</f>
        <v/>
      </c>
      <c r="D288" s="13">
        <f>IF(D$282="","",D$282)</f>
        <v/>
      </c>
      <c r="E288" s="13">
        <f>IF(E$282="","",E$282)</f>
        <v/>
      </c>
      <c r="F288" s="13">
        <f>IF(F$282="","",F$282)</f>
        <v/>
      </c>
      <c r="G288" s="6" t="inlineStr">
        <is>
          <t>Variance vs Prior Month</t>
        </is>
      </c>
      <c r="H288" s="33">
        <f>IF(OR($B$282="",H287=""),"",H286-H287)</f>
        <v/>
      </c>
      <c r="I288" s="33">
        <f>IF(OR($B$282="",I287=""),"",I286-I287)</f>
        <v/>
      </c>
      <c r="J288" s="33">
        <f>IF(OR($B$282="",J287=""),"",J286-J287)</f>
        <v/>
      </c>
      <c r="K288" s="33">
        <f>IF(OR($B$282="",K287=""),"",K286-K287)</f>
        <v/>
      </c>
      <c r="L288" s="33">
        <f>IF(OR($B$282="",L287=""),"",L286-L287)</f>
        <v/>
      </c>
      <c r="M288" s="33">
        <f>IF(OR($B$282="",M287=""),"",M286-M287)</f>
        <v/>
      </c>
      <c r="N288" s="33">
        <f>IF(OR($B$282="",N287=""),"",N286-N287)</f>
        <v/>
      </c>
      <c r="O288" s="33">
        <f>IF(OR($B$282="",O287=""),"",O286-O287)</f>
        <v/>
      </c>
      <c r="P288" s="33">
        <f>IF(OR($B$282="",P287=""),"",P286-P287)</f>
        <v/>
      </c>
      <c r="Q288" s="33">
        <f>IF(OR($B$282="",Q287=""),"",Q286-Q287)</f>
        <v/>
      </c>
      <c r="R288" s="33">
        <f>IF(OR($B$282="",R287=""),"",R286-R287)</f>
        <v/>
      </c>
      <c r="S288" s="33">
        <f>IF(OR($B$282="",S287=""),"",S286-S287)</f>
        <v/>
      </c>
      <c r="T288" s="33">
        <f>IF(OR($B$282="",T287=""),"",T286-T287)</f>
        <v/>
      </c>
      <c r="U288" s="33">
        <f>IF(OR($B$282="",U287=""),"",U286-U287)</f>
        <v/>
      </c>
      <c r="V288" s="33">
        <f>IF(OR($B$282="",V287=""),"",V286-V287)</f>
        <v/>
      </c>
      <c r="X288" s="22">
        <f>IF($B288="","",IFERROR(INDEX(Cost_Centers!$E:$E,MATCH($B288,Cost_Centers!$A:$A,0)),"(unknown)"))</f>
        <v/>
      </c>
      <c r="Y288" s="22">
        <f>IF($B288="","",IFERROR(INDEX(Cost_Centers!$D:$D,MATCH($B288,Cost_Centers!$A:$A,0)),"(unknown)"))</f>
        <v/>
      </c>
      <c r="Z288" s="22">
        <f>IF(OR($B288="",$G288&lt;&gt;"Variance vs Budget"),"",ABS(N($V288))+ROW()/1000000000)</f>
        <v/>
      </c>
    </row>
    <row r="289" ht="45" customHeight="1">
      <c r="A289" s="13">
        <f>IF(A$282="","",A$282)</f>
        <v/>
      </c>
      <c r="B289" s="13">
        <f>IF(B$282="","",B$282)</f>
        <v/>
      </c>
      <c r="C289" s="13">
        <f>IF(C$282="","",C$282)</f>
        <v/>
      </c>
      <c r="D289" s="13">
        <f>IF(D$282="","",D$282)</f>
        <v/>
      </c>
      <c r="E289" s="13">
        <f>IF(E$282="","",E$282)</f>
        <v/>
      </c>
      <c r="F289" s="13">
        <f>IF(F$282="","",F$282)</f>
        <v/>
      </c>
      <c r="G289" s="7" t="inlineStr">
        <is>
          <t>Rationale</t>
        </is>
      </c>
      <c r="H289" s="38" t="n"/>
      <c r="I289" s="38" t="n"/>
      <c r="J289" s="38" t="n"/>
      <c r="K289" s="38" t="n"/>
      <c r="L289" s="38" t="n"/>
      <c r="M289" s="38" t="n"/>
      <c r="N289" s="38" t="n"/>
      <c r="O289" s="38" t="n"/>
      <c r="P289" s="38" t="n"/>
      <c r="Q289" s="38" t="n"/>
      <c r="R289" s="38" t="n"/>
      <c r="S289" s="38" t="n"/>
      <c r="T289" s="38" t="n"/>
      <c r="U289" s="38" t="n"/>
      <c r="V289" s="7" t="n"/>
      <c r="X289" s="22">
        <f>IF($B289="","",IFERROR(INDEX(Cost_Centers!$E:$E,MATCH($B289,Cost_Centers!$A:$A,0)),"(unknown)"))</f>
        <v/>
      </c>
      <c r="Y289" s="22">
        <f>IF($B289="","",IFERROR(INDEX(Cost_Centers!$D:$D,MATCH($B289,Cost_Centers!$A:$A,0)),"(unknown)"))</f>
        <v/>
      </c>
      <c r="Z289" s="22">
        <f>IF(OR($B289="",$G289&lt;&gt;"Variance vs Budget"),"",ABS(N($V289))+ROW()/1000000000)</f>
        <v/>
      </c>
    </row>
    <row r="290">
      <c r="A290" s="30">
        <f>IF($D$290="","",LEFT($D$290,FIND("|",$D$290&amp;"|")-1))</f>
        <v/>
      </c>
      <c r="B290" s="31" t="n"/>
      <c r="C290" s="30">
        <f>IF($B$290="","",IFERROR(INDEX(Cost_Centers!$B:$B,MATCH($B$290,Cost_Centers!$A:$A,0)),"(not in master)"))</f>
        <v/>
      </c>
      <c r="D290" s="31" t="n"/>
      <c r="E290" s="30">
        <f>IF($D$290="","",IFERROR(INDEX(Accounts!$D:$D,MATCH($D$290,Accounts!$A:$A,0)),"(not in master)"))</f>
        <v/>
      </c>
      <c r="F290" s="31" t="n"/>
      <c r="G290" s="30" t="inlineStr">
        <is>
          <t>Budget</t>
        </is>
      </c>
      <c r="H290" s="32">
        <f>IF($B$290="","",SUMIFS(Opex_Budget!$O:$O,Opex_Budget!$A:$A,$C$3,Opex_Budget!$E:$E,$B$290,Opex_Budget!$F:$F,$D$290,Opex_Budget!$N:$N,"JPY")*$E$5+SUMIFS(Opex_Budget!$O:$O,Opex_Budget!$A:$A,$C$3,Opex_Budget!$E:$E,$B$290,Opex_Budget!$F:$F,$D$290,Opex_Budget!$N:$N,"USD")*$F$5+SUMIFS(Opex_Budget!$O:$O,Opex_Budget!$A:$A,$C$3,Opex_Budget!$E:$E,$B$290,Opex_Budget!$F:$F,$D$290,Opex_Budget!$N:$N,"EUR")*$G$5+SUMIFS(Opex_Budget!$O:$O,Opex_Budget!$A:$A,$C$3,Opex_Budget!$E:$E,$B$290,Opex_Budget!$F:$F,$D$290,Opex_Budget!$N:$N,"GBP")*$H$5)</f>
        <v/>
      </c>
      <c r="I290" s="32">
        <f>IF($B$290="","",SUMIFS(Opex_Budget!$P:$P,Opex_Budget!$A:$A,$C$3,Opex_Budget!$E:$E,$B$290,Opex_Budget!$F:$F,$D$290,Opex_Budget!$N:$N,"JPY")*$E$5+SUMIFS(Opex_Budget!$P:$P,Opex_Budget!$A:$A,$C$3,Opex_Budget!$E:$E,$B$290,Opex_Budget!$F:$F,$D$290,Opex_Budget!$N:$N,"USD")*$F$5+SUMIFS(Opex_Budget!$P:$P,Opex_Budget!$A:$A,$C$3,Opex_Budget!$E:$E,$B$290,Opex_Budget!$F:$F,$D$290,Opex_Budget!$N:$N,"EUR")*$G$5+SUMIFS(Opex_Budget!$P:$P,Opex_Budget!$A:$A,$C$3,Opex_Budget!$E:$E,$B$290,Opex_Budget!$F:$F,$D$290,Opex_Budget!$N:$N,"GBP")*$H$5)</f>
        <v/>
      </c>
      <c r="J290" s="32">
        <f>IF($B$290="","",SUMIFS(Opex_Budget!$Q:$Q,Opex_Budget!$A:$A,$C$3,Opex_Budget!$E:$E,$B$290,Opex_Budget!$F:$F,$D$290,Opex_Budget!$N:$N,"JPY")*$E$5+SUMIFS(Opex_Budget!$Q:$Q,Opex_Budget!$A:$A,$C$3,Opex_Budget!$E:$E,$B$290,Opex_Budget!$F:$F,$D$290,Opex_Budget!$N:$N,"USD")*$F$5+SUMIFS(Opex_Budget!$Q:$Q,Opex_Budget!$A:$A,$C$3,Opex_Budget!$E:$E,$B$290,Opex_Budget!$F:$F,$D$290,Opex_Budget!$N:$N,"EUR")*$G$5+SUMIFS(Opex_Budget!$Q:$Q,Opex_Budget!$A:$A,$C$3,Opex_Budget!$E:$E,$B$290,Opex_Budget!$F:$F,$D$290,Opex_Budget!$N:$N,"GBP")*$H$5)</f>
        <v/>
      </c>
      <c r="K290" s="32">
        <f>IF($B$290="","",SUMIFS(Opex_Budget!$R:$R,Opex_Budget!$A:$A,$C$3,Opex_Budget!$E:$E,$B$290,Opex_Budget!$F:$F,$D$290,Opex_Budget!$N:$N,"JPY")*$E$5+SUMIFS(Opex_Budget!$R:$R,Opex_Budget!$A:$A,$C$3,Opex_Budget!$E:$E,$B$290,Opex_Budget!$F:$F,$D$290,Opex_Budget!$N:$N,"USD")*$F$5+SUMIFS(Opex_Budget!$R:$R,Opex_Budget!$A:$A,$C$3,Opex_Budget!$E:$E,$B$290,Opex_Budget!$F:$F,$D$290,Opex_Budget!$N:$N,"EUR")*$G$5+SUMIFS(Opex_Budget!$R:$R,Opex_Budget!$A:$A,$C$3,Opex_Budget!$E:$E,$B$290,Opex_Budget!$F:$F,$D$290,Opex_Budget!$N:$N,"GBP")*$H$5)</f>
        <v/>
      </c>
      <c r="L290" s="32">
        <f>IF($B$290="","",SUMIFS(Opex_Budget!$S:$S,Opex_Budget!$A:$A,$C$3,Opex_Budget!$E:$E,$B$290,Opex_Budget!$F:$F,$D$290,Opex_Budget!$N:$N,"JPY")*$E$5+SUMIFS(Opex_Budget!$S:$S,Opex_Budget!$A:$A,$C$3,Opex_Budget!$E:$E,$B$290,Opex_Budget!$F:$F,$D$290,Opex_Budget!$N:$N,"USD")*$F$5+SUMIFS(Opex_Budget!$S:$S,Opex_Budget!$A:$A,$C$3,Opex_Budget!$E:$E,$B$290,Opex_Budget!$F:$F,$D$290,Opex_Budget!$N:$N,"EUR")*$G$5+SUMIFS(Opex_Budget!$S:$S,Opex_Budget!$A:$A,$C$3,Opex_Budget!$E:$E,$B$290,Opex_Budget!$F:$F,$D$290,Opex_Budget!$N:$N,"GBP")*$H$5)</f>
        <v/>
      </c>
      <c r="M290" s="32">
        <f>IF($B$290="","",SUMIFS(Opex_Budget!$T:$T,Opex_Budget!$A:$A,$C$3,Opex_Budget!$E:$E,$B$290,Opex_Budget!$F:$F,$D$290,Opex_Budget!$N:$N,"JPY")*$E$5+SUMIFS(Opex_Budget!$T:$T,Opex_Budget!$A:$A,$C$3,Opex_Budget!$E:$E,$B$290,Opex_Budget!$F:$F,$D$290,Opex_Budget!$N:$N,"USD")*$F$5+SUMIFS(Opex_Budget!$T:$T,Opex_Budget!$A:$A,$C$3,Opex_Budget!$E:$E,$B$290,Opex_Budget!$F:$F,$D$290,Opex_Budget!$N:$N,"EUR")*$G$5+SUMIFS(Opex_Budget!$T:$T,Opex_Budget!$A:$A,$C$3,Opex_Budget!$E:$E,$B$290,Opex_Budget!$F:$F,$D$290,Opex_Budget!$N:$N,"GBP")*$H$5)</f>
        <v/>
      </c>
      <c r="N290" s="32">
        <f>IF($B$290="","",SUMIFS(Opex_Budget!$U:$U,Opex_Budget!$A:$A,$C$3,Opex_Budget!$E:$E,$B$290,Opex_Budget!$F:$F,$D$290,Opex_Budget!$N:$N,"JPY")*$E$5+SUMIFS(Opex_Budget!$U:$U,Opex_Budget!$A:$A,$C$3,Opex_Budget!$E:$E,$B$290,Opex_Budget!$F:$F,$D$290,Opex_Budget!$N:$N,"USD")*$F$5+SUMIFS(Opex_Budget!$U:$U,Opex_Budget!$A:$A,$C$3,Opex_Budget!$E:$E,$B$290,Opex_Budget!$F:$F,$D$290,Opex_Budget!$N:$N,"EUR")*$G$5+SUMIFS(Opex_Budget!$U:$U,Opex_Budget!$A:$A,$C$3,Opex_Budget!$E:$E,$B$290,Opex_Budget!$F:$F,$D$290,Opex_Budget!$N:$N,"GBP")*$H$5)</f>
        <v/>
      </c>
      <c r="O290" s="32">
        <f>IF($B$290="","",SUMIFS(Opex_Budget!$V:$V,Opex_Budget!$A:$A,$C$3,Opex_Budget!$E:$E,$B$290,Opex_Budget!$F:$F,$D$290,Opex_Budget!$N:$N,"JPY")*$E$5+SUMIFS(Opex_Budget!$V:$V,Opex_Budget!$A:$A,$C$3,Opex_Budget!$E:$E,$B$290,Opex_Budget!$F:$F,$D$290,Opex_Budget!$N:$N,"USD")*$F$5+SUMIFS(Opex_Budget!$V:$V,Opex_Budget!$A:$A,$C$3,Opex_Budget!$E:$E,$B$290,Opex_Budget!$F:$F,$D$290,Opex_Budget!$N:$N,"EUR")*$G$5+SUMIFS(Opex_Budget!$V:$V,Opex_Budget!$A:$A,$C$3,Opex_Budget!$E:$E,$B$290,Opex_Budget!$F:$F,$D$290,Opex_Budget!$N:$N,"GBP")*$H$5)</f>
        <v/>
      </c>
      <c r="P290" s="32">
        <f>IF($B$290="","",SUMIFS(Opex_Budget!$W:$W,Opex_Budget!$A:$A,$C$3,Opex_Budget!$E:$E,$B$290,Opex_Budget!$F:$F,$D$290,Opex_Budget!$N:$N,"JPY")*$E$5+SUMIFS(Opex_Budget!$W:$W,Opex_Budget!$A:$A,$C$3,Opex_Budget!$E:$E,$B$290,Opex_Budget!$F:$F,$D$290,Opex_Budget!$N:$N,"USD")*$F$5+SUMIFS(Opex_Budget!$W:$W,Opex_Budget!$A:$A,$C$3,Opex_Budget!$E:$E,$B$290,Opex_Budget!$F:$F,$D$290,Opex_Budget!$N:$N,"EUR")*$G$5+SUMIFS(Opex_Budget!$W:$W,Opex_Budget!$A:$A,$C$3,Opex_Budget!$E:$E,$B$290,Opex_Budget!$F:$F,$D$290,Opex_Budget!$N:$N,"GBP")*$H$5)</f>
        <v/>
      </c>
      <c r="Q290" s="32">
        <f>IF($B$290="","",SUMIFS(Opex_Budget!$X:$X,Opex_Budget!$A:$A,$C$3,Opex_Budget!$E:$E,$B$290,Opex_Budget!$F:$F,$D$290,Opex_Budget!$N:$N,"JPY")*$E$5+SUMIFS(Opex_Budget!$X:$X,Opex_Budget!$A:$A,$C$3,Opex_Budget!$E:$E,$B$290,Opex_Budget!$F:$F,$D$290,Opex_Budget!$N:$N,"USD")*$F$5+SUMIFS(Opex_Budget!$X:$X,Opex_Budget!$A:$A,$C$3,Opex_Budget!$E:$E,$B$290,Opex_Budget!$F:$F,$D$290,Opex_Budget!$N:$N,"EUR")*$G$5+SUMIFS(Opex_Budget!$X:$X,Opex_Budget!$A:$A,$C$3,Opex_Budget!$E:$E,$B$290,Opex_Budget!$F:$F,$D$290,Opex_Budget!$N:$N,"GBP")*$H$5)</f>
        <v/>
      </c>
      <c r="R290" s="32">
        <f>IF($B$290="","",SUMIFS(Opex_Budget!$Y:$Y,Opex_Budget!$A:$A,$C$3,Opex_Budget!$E:$E,$B$290,Opex_Budget!$F:$F,$D$290,Opex_Budget!$N:$N,"JPY")*$E$5+SUMIFS(Opex_Budget!$Y:$Y,Opex_Budget!$A:$A,$C$3,Opex_Budget!$E:$E,$B$290,Opex_Budget!$F:$F,$D$290,Opex_Budget!$N:$N,"USD")*$F$5+SUMIFS(Opex_Budget!$Y:$Y,Opex_Budget!$A:$A,$C$3,Opex_Budget!$E:$E,$B$290,Opex_Budget!$F:$F,$D$290,Opex_Budget!$N:$N,"EUR")*$G$5+SUMIFS(Opex_Budget!$Y:$Y,Opex_Budget!$A:$A,$C$3,Opex_Budget!$E:$E,$B$290,Opex_Budget!$F:$F,$D$290,Opex_Budget!$N:$N,"GBP")*$H$5)</f>
        <v/>
      </c>
      <c r="S290" s="32">
        <f>IF($B$290="","",SUMIFS(Opex_Budget!$Z:$Z,Opex_Budget!$A:$A,$C$3,Opex_Budget!$E:$E,$B$290,Opex_Budget!$F:$F,$D$290,Opex_Budget!$N:$N,"JPY")*$E$5+SUMIFS(Opex_Budget!$Z:$Z,Opex_Budget!$A:$A,$C$3,Opex_Budget!$E:$E,$B$290,Opex_Budget!$F:$F,$D$290,Opex_Budget!$N:$N,"USD")*$F$5+SUMIFS(Opex_Budget!$Z:$Z,Opex_Budget!$A:$A,$C$3,Opex_Budget!$E:$E,$B$290,Opex_Budget!$F:$F,$D$290,Opex_Budget!$N:$N,"EUR")*$G$5+SUMIFS(Opex_Budget!$Z:$Z,Opex_Budget!$A:$A,$C$3,Opex_Budget!$E:$E,$B$290,Opex_Budget!$F:$F,$D$290,Opex_Budget!$N:$N,"GBP")*$H$5)</f>
        <v/>
      </c>
      <c r="T290" s="32">
        <f>IF($B$290="","",SUMIF($H$7:$S$7,"&lt;="&amp;$C$4,$H290:$S290))</f>
        <v/>
      </c>
      <c r="U290" s="32">
        <f>IF($B$290="","",SUMIF($H$7:$S$7,"&gt;"&amp;$C$4,$H290:$S290))</f>
        <v/>
      </c>
      <c r="V290" s="32">
        <f>IF($B$290="","",SUM($H290:$S290))</f>
        <v/>
      </c>
      <c r="X290" s="22">
        <f>IF($B290="","",IFERROR(INDEX(Cost_Centers!$E:$E,MATCH($B290,Cost_Centers!$A:$A,0)),"(unknown)"))</f>
        <v/>
      </c>
      <c r="Y290" s="22">
        <f>IF($B290="","",IFERROR(INDEX(Cost_Centers!$D:$D,MATCH($B290,Cost_Centers!$A:$A,0)),"(unknown)"))</f>
        <v/>
      </c>
      <c r="Z290" s="22">
        <f>IF(OR($B290="",$G290&lt;&gt;"Variance vs Budget"),"",ABS(N($V290))+ROW()/1000000000)</f>
        <v/>
      </c>
    </row>
    <row r="291">
      <c r="A291" s="13">
        <f>IF(A$290="","",A$290)</f>
        <v/>
      </c>
      <c r="B291" s="13">
        <f>IF(B$290="","",B$290)</f>
        <v/>
      </c>
      <c r="C291" s="13">
        <f>IF(C$290="","",C$290)</f>
        <v/>
      </c>
      <c r="D291" s="13">
        <f>IF(D$290="","",D$290)</f>
        <v/>
      </c>
      <c r="E291" s="13">
        <f>IF(E$290="","",E$290)</f>
        <v/>
      </c>
      <c r="F291" s="13">
        <f>IF(F$290="","",F$290)</f>
        <v/>
      </c>
      <c r="G291" s="7" t="inlineStr">
        <is>
          <t>Actual</t>
        </is>
      </c>
      <c r="H291" s="18">
        <f>IF(OR($B$290="",1&gt;$C$4),"",SUMIFS(Actuals!$G:$G,Actuals!$B:$B,$C$3,Actuals!$C:$C,1,Actuals!$D:$D,$B$290,Actuals!$A:$A,LEFT($D$290,FIND("|",$D$290&amp;"|")-1),Actuals!$E:$E,MID($D$290,FIND("|",$D$290&amp;"|")+1,50),Actuals!$F:$F,"JPY")*$E$5+SUMIFS(Actuals!$G:$G,Actuals!$B:$B,$C$3,Actuals!$C:$C,1,Actuals!$D:$D,$B$290,Actuals!$A:$A,LEFT($D$290,FIND("|",$D$290&amp;"|")-1),Actuals!$E:$E,MID($D$290,FIND("|",$D$290&amp;"|")+1,50),Actuals!$F:$F,"USD")*$F$5+SUMIFS(Actuals!$G:$G,Actuals!$B:$B,$C$3,Actuals!$C:$C,1,Actuals!$D:$D,$B$290,Actuals!$A:$A,LEFT($D$290,FIND("|",$D$290&amp;"|")-1),Actuals!$E:$E,MID($D$290,FIND("|",$D$290&amp;"|")+1,50),Actuals!$F:$F,"EUR")*$G$5+SUMIFS(Actuals!$G:$G,Actuals!$B:$B,$C$3,Actuals!$C:$C,1,Actuals!$D:$D,$B$290,Actuals!$A:$A,LEFT($D$290,FIND("|",$D$290&amp;"|")-1),Actuals!$E:$E,MID($D$290,FIND("|",$D$290&amp;"|")+1,50),Actuals!$F:$F,"GBP")*$H$5)</f>
        <v/>
      </c>
      <c r="I291" s="18">
        <f>IF(OR($B$290="",2&gt;$C$4),"",SUMIFS(Actuals!$G:$G,Actuals!$B:$B,$C$3,Actuals!$C:$C,2,Actuals!$D:$D,$B$290,Actuals!$A:$A,LEFT($D$290,FIND("|",$D$290&amp;"|")-1),Actuals!$E:$E,MID($D$290,FIND("|",$D$290&amp;"|")+1,50),Actuals!$F:$F,"JPY")*$E$5+SUMIFS(Actuals!$G:$G,Actuals!$B:$B,$C$3,Actuals!$C:$C,2,Actuals!$D:$D,$B$290,Actuals!$A:$A,LEFT($D$290,FIND("|",$D$290&amp;"|")-1),Actuals!$E:$E,MID($D$290,FIND("|",$D$290&amp;"|")+1,50),Actuals!$F:$F,"USD")*$F$5+SUMIFS(Actuals!$G:$G,Actuals!$B:$B,$C$3,Actuals!$C:$C,2,Actuals!$D:$D,$B$290,Actuals!$A:$A,LEFT($D$290,FIND("|",$D$290&amp;"|")-1),Actuals!$E:$E,MID($D$290,FIND("|",$D$290&amp;"|")+1,50),Actuals!$F:$F,"EUR")*$G$5+SUMIFS(Actuals!$G:$G,Actuals!$B:$B,$C$3,Actuals!$C:$C,2,Actuals!$D:$D,$B$290,Actuals!$A:$A,LEFT($D$290,FIND("|",$D$290&amp;"|")-1),Actuals!$E:$E,MID($D$290,FIND("|",$D$290&amp;"|")+1,50),Actuals!$F:$F,"GBP")*$H$5)</f>
        <v/>
      </c>
      <c r="J291" s="18">
        <f>IF(OR($B$290="",3&gt;$C$4),"",SUMIFS(Actuals!$G:$G,Actuals!$B:$B,$C$3,Actuals!$C:$C,3,Actuals!$D:$D,$B$290,Actuals!$A:$A,LEFT($D$290,FIND("|",$D$290&amp;"|")-1),Actuals!$E:$E,MID($D$290,FIND("|",$D$290&amp;"|")+1,50),Actuals!$F:$F,"JPY")*$E$5+SUMIFS(Actuals!$G:$G,Actuals!$B:$B,$C$3,Actuals!$C:$C,3,Actuals!$D:$D,$B$290,Actuals!$A:$A,LEFT($D$290,FIND("|",$D$290&amp;"|")-1),Actuals!$E:$E,MID($D$290,FIND("|",$D$290&amp;"|")+1,50),Actuals!$F:$F,"USD")*$F$5+SUMIFS(Actuals!$G:$G,Actuals!$B:$B,$C$3,Actuals!$C:$C,3,Actuals!$D:$D,$B$290,Actuals!$A:$A,LEFT($D$290,FIND("|",$D$290&amp;"|")-1),Actuals!$E:$E,MID($D$290,FIND("|",$D$290&amp;"|")+1,50),Actuals!$F:$F,"EUR")*$G$5+SUMIFS(Actuals!$G:$G,Actuals!$B:$B,$C$3,Actuals!$C:$C,3,Actuals!$D:$D,$B$290,Actuals!$A:$A,LEFT($D$290,FIND("|",$D$290&amp;"|")-1),Actuals!$E:$E,MID($D$290,FIND("|",$D$290&amp;"|")+1,50),Actuals!$F:$F,"GBP")*$H$5)</f>
        <v/>
      </c>
      <c r="K291" s="18">
        <f>IF(OR($B$290="",4&gt;$C$4),"",SUMIFS(Actuals!$G:$G,Actuals!$B:$B,$C$3,Actuals!$C:$C,4,Actuals!$D:$D,$B$290,Actuals!$A:$A,LEFT($D$290,FIND("|",$D$290&amp;"|")-1),Actuals!$E:$E,MID($D$290,FIND("|",$D$290&amp;"|")+1,50),Actuals!$F:$F,"JPY")*$E$5+SUMIFS(Actuals!$G:$G,Actuals!$B:$B,$C$3,Actuals!$C:$C,4,Actuals!$D:$D,$B$290,Actuals!$A:$A,LEFT($D$290,FIND("|",$D$290&amp;"|")-1),Actuals!$E:$E,MID($D$290,FIND("|",$D$290&amp;"|")+1,50),Actuals!$F:$F,"USD")*$F$5+SUMIFS(Actuals!$G:$G,Actuals!$B:$B,$C$3,Actuals!$C:$C,4,Actuals!$D:$D,$B$290,Actuals!$A:$A,LEFT($D$290,FIND("|",$D$290&amp;"|")-1),Actuals!$E:$E,MID($D$290,FIND("|",$D$290&amp;"|")+1,50),Actuals!$F:$F,"EUR")*$G$5+SUMIFS(Actuals!$G:$G,Actuals!$B:$B,$C$3,Actuals!$C:$C,4,Actuals!$D:$D,$B$290,Actuals!$A:$A,LEFT($D$290,FIND("|",$D$290&amp;"|")-1),Actuals!$E:$E,MID($D$290,FIND("|",$D$290&amp;"|")+1,50),Actuals!$F:$F,"GBP")*$H$5)</f>
        <v/>
      </c>
      <c r="L291" s="18">
        <f>IF(OR($B$290="",5&gt;$C$4),"",SUMIFS(Actuals!$G:$G,Actuals!$B:$B,$C$3,Actuals!$C:$C,5,Actuals!$D:$D,$B$290,Actuals!$A:$A,LEFT($D$290,FIND("|",$D$290&amp;"|")-1),Actuals!$E:$E,MID($D$290,FIND("|",$D$290&amp;"|")+1,50),Actuals!$F:$F,"JPY")*$E$5+SUMIFS(Actuals!$G:$G,Actuals!$B:$B,$C$3,Actuals!$C:$C,5,Actuals!$D:$D,$B$290,Actuals!$A:$A,LEFT($D$290,FIND("|",$D$290&amp;"|")-1),Actuals!$E:$E,MID($D$290,FIND("|",$D$290&amp;"|")+1,50),Actuals!$F:$F,"USD")*$F$5+SUMIFS(Actuals!$G:$G,Actuals!$B:$B,$C$3,Actuals!$C:$C,5,Actuals!$D:$D,$B$290,Actuals!$A:$A,LEFT($D$290,FIND("|",$D$290&amp;"|")-1),Actuals!$E:$E,MID($D$290,FIND("|",$D$290&amp;"|")+1,50),Actuals!$F:$F,"EUR")*$G$5+SUMIFS(Actuals!$G:$G,Actuals!$B:$B,$C$3,Actuals!$C:$C,5,Actuals!$D:$D,$B$290,Actuals!$A:$A,LEFT($D$290,FIND("|",$D$290&amp;"|")-1),Actuals!$E:$E,MID($D$290,FIND("|",$D$290&amp;"|")+1,50),Actuals!$F:$F,"GBP")*$H$5)</f>
        <v/>
      </c>
      <c r="M291" s="18">
        <f>IF(OR($B$290="",6&gt;$C$4),"",SUMIFS(Actuals!$G:$G,Actuals!$B:$B,$C$3,Actuals!$C:$C,6,Actuals!$D:$D,$B$290,Actuals!$A:$A,LEFT($D$290,FIND("|",$D$290&amp;"|")-1),Actuals!$E:$E,MID($D$290,FIND("|",$D$290&amp;"|")+1,50),Actuals!$F:$F,"JPY")*$E$5+SUMIFS(Actuals!$G:$G,Actuals!$B:$B,$C$3,Actuals!$C:$C,6,Actuals!$D:$D,$B$290,Actuals!$A:$A,LEFT($D$290,FIND("|",$D$290&amp;"|")-1),Actuals!$E:$E,MID($D$290,FIND("|",$D$290&amp;"|")+1,50),Actuals!$F:$F,"USD")*$F$5+SUMIFS(Actuals!$G:$G,Actuals!$B:$B,$C$3,Actuals!$C:$C,6,Actuals!$D:$D,$B$290,Actuals!$A:$A,LEFT($D$290,FIND("|",$D$290&amp;"|")-1),Actuals!$E:$E,MID($D$290,FIND("|",$D$290&amp;"|")+1,50),Actuals!$F:$F,"EUR")*$G$5+SUMIFS(Actuals!$G:$G,Actuals!$B:$B,$C$3,Actuals!$C:$C,6,Actuals!$D:$D,$B$290,Actuals!$A:$A,LEFT($D$290,FIND("|",$D$290&amp;"|")-1),Actuals!$E:$E,MID($D$290,FIND("|",$D$290&amp;"|")+1,50),Actuals!$F:$F,"GBP")*$H$5)</f>
        <v/>
      </c>
      <c r="N291" s="18">
        <f>IF(OR($B$290="",7&gt;$C$4),"",SUMIFS(Actuals!$G:$G,Actuals!$B:$B,$C$3,Actuals!$C:$C,7,Actuals!$D:$D,$B$290,Actuals!$A:$A,LEFT($D$290,FIND("|",$D$290&amp;"|")-1),Actuals!$E:$E,MID($D$290,FIND("|",$D$290&amp;"|")+1,50),Actuals!$F:$F,"JPY")*$E$5+SUMIFS(Actuals!$G:$G,Actuals!$B:$B,$C$3,Actuals!$C:$C,7,Actuals!$D:$D,$B$290,Actuals!$A:$A,LEFT($D$290,FIND("|",$D$290&amp;"|")-1),Actuals!$E:$E,MID($D$290,FIND("|",$D$290&amp;"|")+1,50),Actuals!$F:$F,"USD")*$F$5+SUMIFS(Actuals!$G:$G,Actuals!$B:$B,$C$3,Actuals!$C:$C,7,Actuals!$D:$D,$B$290,Actuals!$A:$A,LEFT($D$290,FIND("|",$D$290&amp;"|")-1),Actuals!$E:$E,MID($D$290,FIND("|",$D$290&amp;"|")+1,50),Actuals!$F:$F,"EUR")*$G$5+SUMIFS(Actuals!$G:$G,Actuals!$B:$B,$C$3,Actuals!$C:$C,7,Actuals!$D:$D,$B$290,Actuals!$A:$A,LEFT($D$290,FIND("|",$D$290&amp;"|")-1),Actuals!$E:$E,MID($D$290,FIND("|",$D$290&amp;"|")+1,50),Actuals!$F:$F,"GBP")*$H$5)</f>
        <v/>
      </c>
      <c r="O291" s="18">
        <f>IF(OR($B$290="",8&gt;$C$4),"",SUMIFS(Actuals!$G:$G,Actuals!$B:$B,$C$3,Actuals!$C:$C,8,Actuals!$D:$D,$B$290,Actuals!$A:$A,LEFT($D$290,FIND("|",$D$290&amp;"|")-1),Actuals!$E:$E,MID($D$290,FIND("|",$D$290&amp;"|")+1,50),Actuals!$F:$F,"JPY")*$E$5+SUMIFS(Actuals!$G:$G,Actuals!$B:$B,$C$3,Actuals!$C:$C,8,Actuals!$D:$D,$B$290,Actuals!$A:$A,LEFT($D$290,FIND("|",$D$290&amp;"|")-1),Actuals!$E:$E,MID($D$290,FIND("|",$D$290&amp;"|")+1,50),Actuals!$F:$F,"USD")*$F$5+SUMIFS(Actuals!$G:$G,Actuals!$B:$B,$C$3,Actuals!$C:$C,8,Actuals!$D:$D,$B$290,Actuals!$A:$A,LEFT($D$290,FIND("|",$D$290&amp;"|")-1),Actuals!$E:$E,MID($D$290,FIND("|",$D$290&amp;"|")+1,50),Actuals!$F:$F,"EUR")*$G$5+SUMIFS(Actuals!$G:$G,Actuals!$B:$B,$C$3,Actuals!$C:$C,8,Actuals!$D:$D,$B$290,Actuals!$A:$A,LEFT($D$290,FIND("|",$D$290&amp;"|")-1),Actuals!$E:$E,MID($D$290,FIND("|",$D$290&amp;"|")+1,50),Actuals!$F:$F,"GBP")*$H$5)</f>
        <v/>
      </c>
      <c r="P291" s="18">
        <f>IF(OR($B$290="",9&gt;$C$4),"",SUMIFS(Actuals!$G:$G,Actuals!$B:$B,$C$3,Actuals!$C:$C,9,Actuals!$D:$D,$B$290,Actuals!$A:$A,LEFT($D$290,FIND("|",$D$290&amp;"|")-1),Actuals!$E:$E,MID($D$290,FIND("|",$D$290&amp;"|")+1,50),Actuals!$F:$F,"JPY")*$E$5+SUMIFS(Actuals!$G:$G,Actuals!$B:$B,$C$3,Actuals!$C:$C,9,Actuals!$D:$D,$B$290,Actuals!$A:$A,LEFT($D$290,FIND("|",$D$290&amp;"|")-1),Actuals!$E:$E,MID($D$290,FIND("|",$D$290&amp;"|")+1,50),Actuals!$F:$F,"USD")*$F$5+SUMIFS(Actuals!$G:$G,Actuals!$B:$B,$C$3,Actuals!$C:$C,9,Actuals!$D:$D,$B$290,Actuals!$A:$A,LEFT($D$290,FIND("|",$D$290&amp;"|")-1),Actuals!$E:$E,MID($D$290,FIND("|",$D$290&amp;"|")+1,50),Actuals!$F:$F,"EUR")*$G$5+SUMIFS(Actuals!$G:$G,Actuals!$B:$B,$C$3,Actuals!$C:$C,9,Actuals!$D:$D,$B$290,Actuals!$A:$A,LEFT($D$290,FIND("|",$D$290&amp;"|")-1),Actuals!$E:$E,MID($D$290,FIND("|",$D$290&amp;"|")+1,50),Actuals!$F:$F,"GBP")*$H$5)</f>
        <v/>
      </c>
      <c r="Q291" s="18">
        <f>IF(OR($B$290="",10&gt;$C$4),"",SUMIFS(Actuals!$G:$G,Actuals!$B:$B,$C$3,Actuals!$C:$C,10,Actuals!$D:$D,$B$290,Actuals!$A:$A,LEFT($D$290,FIND("|",$D$290&amp;"|")-1),Actuals!$E:$E,MID($D$290,FIND("|",$D$290&amp;"|")+1,50),Actuals!$F:$F,"JPY")*$E$5+SUMIFS(Actuals!$G:$G,Actuals!$B:$B,$C$3,Actuals!$C:$C,10,Actuals!$D:$D,$B$290,Actuals!$A:$A,LEFT($D$290,FIND("|",$D$290&amp;"|")-1),Actuals!$E:$E,MID($D$290,FIND("|",$D$290&amp;"|")+1,50),Actuals!$F:$F,"USD")*$F$5+SUMIFS(Actuals!$G:$G,Actuals!$B:$B,$C$3,Actuals!$C:$C,10,Actuals!$D:$D,$B$290,Actuals!$A:$A,LEFT($D$290,FIND("|",$D$290&amp;"|")-1),Actuals!$E:$E,MID($D$290,FIND("|",$D$290&amp;"|")+1,50),Actuals!$F:$F,"EUR")*$G$5+SUMIFS(Actuals!$G:$G,Actuals!$B:$B,$C$3,Actuals!$C:$C,10,Actuals!$D:$D,$B$290,Actuals!$A:$A,LEFT($D$290,FIND("|",$D$290&amp;"|")-1),Actuals!$E:$E,MID($D$290,FIND("|",$D$290&amp;"|")+1,50),Actuals!$F:$F,"GBP")*$H$5)</f>
        <v/>
      </c>
      <c r="R291" s="18">
        <f>IF(OR($B$290="",11&gt;$C$4),"",SUMIFS(Actuals!$G:$G,Actuals!$B:$B,$C$3,Actuals!$C:$C,11,Actuals!$D:$D,$B$290,Actuals!$A:$A,LEFT($D$290,FIND("|",$D$290&amp;"|")-1),Actuals!$E:$E,MID($D$290,FIND("|",$D$290&amp;"|")+1,50),Actuals!$F:$F,"JPY")*$E$5+SUMIFS(Actuals!$G:$G,Actuals!$B:$B,$C$3,Actuals!$C:$C,11,Actuals!$D:$D,$B$290,Actuals!$A:$A,LEFT($D$290,FIND("|",$D$290&amp;"|")-1),Actuals!$E:$E,MID($D$290,FIND("|",$D$290&amp;"|")+1,50),Actuals!$F:$F,"USD")*$F$5+SUMIFS(Actuals!$G:$G,Actuals!$B:$B,$C$3,Actuals!$C:$C,11,Actuals!$D:$D,$B$290,Actuals!$A:$A,LEFT($D$290,FIND("|",$D$290&amp;"|")-1),Actuals!$E:$E,MID($D$290,FIND("|",$D$290&amp;"|")+1,50),Actuals!$F:$F,"EUR")*$G$5+SUMIFS(Actuals!$G:$G,Actuals!$B:$B,$C$3,Actuals!$C:$C,11,Actuals!$D:$D,$B$290,Actuals!$A:$A,LEFT($D$290,FIND("|",$D$290&amp;"|")-1),Actuals!$E:$E,MID($D$290,FIND("|",$D$290&amp;"|")+1,50),Actuals!$F:$F,"GBP")*$H$5)</f>
        <v/>
      </c>
      <c r="S291" s="18">
        <f>IF(OR($B$290="",12&gt;$C$4),"",SUMIFS(Actuals!$G:$G,Actuals!$B:$B,$C$3,Actuals!$C:$C,12,Actuals!$D:$D,$B$290,Actuals!$A:$A,LEFT($D$290,FIND("|",$D$290&amp;"|")-1),Actuals!$E:$E,MID($D$290,FIND("|",$D$290&amp;"|")+1,50),Actuals!$F:$F,"JPY")*$E$5+SUMIFS(Actuals!$G:$G,Actuals!$B:$B,$C$3,Actuals!$C:$C,12,Actuals!$D:$D,$B$290,Actuals!$A:$A,LEFT($D$290,FIND("|",$D$290&amp;"|")-1),Actuals!$E:$E,MID($D$290,FIND("|",$D$290&amp;"|")+1,50),Actuals!$F:$F,"USD")*$F$5+SUMIFS(Actuals!$G:$G,Actuals!$B:$B,$C$3,Actuals!$C:$C,12,Actuals!$D:$D,$B$290,Actuals!$A:$A,LEFT($D$290,FIND("|",$D$290&amp;"|")-1),Actuals!$E:$E,MID($D$290,FIND("|",$D$290&amp;"|")+1,50),Actuals!$F:$F,"EUR")*$G$5+SUMIFS(Actuals!$G:$G,Actuals!$B:$B,$C$3,Actuals!$C:$C,12,Actuals!$D:$D,$B$290,Actuals!$A:$A,LEFT($D$290,FIND("|",$D$290&amp;"|")-1),Actuals!$E:$E,MID($D$290,FIND("|",$D$290&amp;"|")+1,50),Actuals!$F:$F,"GBP")*$H$5)</f>
        <v/>
      </c>
      <c r="T291" s="18">
        <f>IF($B$290="","",SUMIF($H$7:$S$7,"&lt;="&amp;$C$4,$H291:$S291))</f>
        <v/>
      </c>
      <c r="U291" s="18" t="n"/>
      <c r="V291" s="18" t="n"/>
      <c r="X291" s="22">
        <f>IF($B291="","",IFERROR(INDEX(Cost_Centers!$E:$E,MATCH($B291,Cost_Centers!$A:$A,0)),"(unknown)"))</f>
        <v/>
      </c>
      <c r="Y291" s="22">
        <f>IF($B291="","",IFERROR(INDEX(Cost_Centers!$D:$D,MATCH($B291,Cost_Centers!$A:$A,0)),"(unknown)"))</f>
        <v/>
      </c>
      <c r="Z291" s="22">
        <f>IF(OR($B291="",$G291&lt;&gt;"Variance vs Budget"),"",ABS(N($V291))+ROW()/1000000000)</f>
        <v/>
      </c>
    </row>
    <row r="292">
      <c r="A292" s="13">
        <f>IF(A$290="","",A$290)</f>
        <v/>
      </c>
      <c r="B292" s="13">
        <f>IF(B$290="","",B$290)</f>
        <v/>
      </c>
      <c r="C292" s="13">
        <f>IF(C$290="","",C$290)</f>
        <v/>
      </c>
      <c r="D292" s="13">
        <f>IF(D$290="","",D$290)</f>
        <v/>
      </c>
      <c r="E292" s="13">
        <f>IF(E$290="","",E$290)</f>
        <v/>
      </c>
      <c r="F292" s="13">
        <f>IF(F$290="","",F$290)</f>
        <v/>
      </c>
      <c r="G292" s="6" t="inlineStr">
        <is>
          <t>Variance vs Budget</t>
        </is>
      </c>
      <c r="H292" s="33">
        <f>IF(OR($B$290="",1&gt;$C$4),"",N(H291)-H290)</f>
        <v/>
      </c>
      <c r="I292" s="33">
        <f>IF(OR($B$290="",2&gt;$C$4),"",N(I291)-I290)</f>
        <v/>
      </c>
      <c r="J292" s="33">
        <f>IF(OR($B$290="",3&gt;$C$4),"",N(J291)-J290)</f>
        <v/>
      </c>
      <c r="K292" s="33">
        <f>IF(OR($B$290="",4&gt;$C$4),"",N(K291)-K290)</f>
        <v/>
      </c>
      <c r="L292" s="33">
        <f>IF(OR($B$290="",5&gt;$C$4),"",N(L291)-L290)</f>
        <v/>
      </c>
      <c r="M292" s="33">
        <f>IF(OR($B$290="",6&gt;$C$4),"",N(M291)-M290)</f>
        <v/>
      </c>
      <c r="N292" s="33">
        <f>IF(OR($B$290="",7&gt;$C$4),"",N(N291)-N290)</f>
        <v/>
      </c>
      <c r="O292" s="33">
        <f>IF(OR($B$290="",8&gt;$C$4),"",N(O291)-O290)</f>
        <v/>
      </c>
      <c r="P292" s="33">
        <f>IF(OR($B$290="",9&gt;$C$4),"",N(P291)-P290)</f>
        <v/>
      </c>
      <c r="Q292" s="33">
        <f>IF(OR($B$290="",10&gt;$C$4),"",N(Q291)-Q290)</f>
        <v/>
      </c>
      <c r="R292" s="33">
        <f>IF(OR($B$290="",11&gt;$C$4),"",N(R291)-R290)</f>
        <v/>
      </c>
      <c r="S292" s="33">
        <f>IF(OR($B$290="",12&gt;$C$4),"",N(S291)-S290)</f>
        <v/>
      </c>
      <c r="T292" s="33">
        <f>IF($B$290="","",T291-T290)</f>
        <v/>
      </c>
      <c r="U292" s="33">
        <f>IF($B$290="","",U294-U290)</f>
        <v/>
      </c>
      <c r="V292" s="33">
        <f>IF($B$290="","",V294-V290)</f>
        <v/>
      </c>
      <c r="X292" s="22">
        <f>IF($B292="","",IFERROR(INDEX(Cost_Centers!$E:$E,MATCH($B292,Cost_Centers!$A:$A,0)),"(unknown)"))</f>
        <v/>
      </c>
      <c r="Y292" s="22">
        <f>IF($B292="","",IFERROR(INDEX(Cost_Centers!$D:$D,MATCH($B292,Cost_Centers!$A:$A,0)),"(unknown)"))</f>
        <v/>
      </c>
      <c r="Z292" s="22">
        <f>IF(OR($B292="",$G292&lt;&gt;"Variance vs Budget"),"",ABS(N($V292))+ROW()/1000000000)</f>
        <v/>
      </c>
    </row>
    <row r="293">
      <c r="A293" s="13">
        <f>IF(A$290="","",A$290)</f>
        <v/>
      </c>
      <c r="B293" s="13">
        <f>IF(B$290="","",B$290)</f>
        <v/>
      </c>
      <c r="C293" s="13">
        <f>IF(C$290="","",C$290)</f>
        <v/>
      </c>
      <c r="D293" s="13">
        <f>IF(D$290="","",D$290)</f>
        <v/>
      </c>
      <c r="E293" s="13">
        <f>IF(E$290="","",E$290)</f>
        <v/>
      </c>
      <c r="F293" s="13">
        <f>IF(F$290="","",F$290)</f>
        <v/>
      </c>
      <c r="G293" s="7" t="inlineStr">
        <is>
          <t>Forecast (input)</t>
        </is>
      </c>
      <c r="H293" s="34" t="n"/>
      <c r="I293" s="34" t="n"/>
      <c r="J293" s="34" t="n"/>
      <c r="K293" s="34" t="n"/>
      <c r="L293" s="34" t="n"/>
      <c r="M293" s="34" t="n"/>
      <c r="N293" s="34" t="n"/>
      <c r="O293" s="34" t="n"/>
      <c r="P293" s="34" t="n"/>
      <c r="Q293" s="34" t="n"/>
      <c r="R293" s="34" t="n"/>
      <c r="S293" s="34" t="n"/>
      <c r="T293" s="18" t="n"/>
      <c r="U293" s="18" t="n"/>
      <c r="V293" s="18" t="n"/>
      <c r="X293" s="22">
        <f>IF($B293="","",IFERROR(INDEX(Cost_Centers!$E:$E,MATCH($B293,Cost_Centers!$A:$A,0)),"(unknown)"))</f>
        <v/>
      </c>
      <c r="Y293" s="22">
        <f>IF($B293="","",IFERROR(INDEX(Cost_Centers!$D:$D,MATCH($B293,Cost_Centers!$A:$A,0)),"(unknown)"))</f>
        <v/>
      </c>
      <c r="Z293" s="22">
        <f>IF(OR($B293="",$G293&lt;&gt;"Variance vs Budget"),"",ABS(N($V293))+ROW()/1000000000)</f>
        <v/>
      </c>
    </row>
    <row r="294">
      <c r="A294" s="13">
        <f>IF(A$290="","",A$290)</f>
        <v/>
      </c>
      <c r="B294" s="13">
        <f>IF(B$290="","",B$290)</f>
        <v/>
      </c>
      <c r="C294" s="13">
        <f>IF(C$290="","",C$290)</f>
        <v/>
      </c>
      <c r="D294" s="13">
        <f>IF(D$290="","",D$290)</f>
        <v/>
      </c>
      <c r="E294" s="13">
        <f>IF(E$290="","",E$290)</f>
        <v/>
      </c>
      <c r="F294" s="13">
        <f>IF(F$290="","",F$290)</f>
        <v/>
      </c>
      <c r="G294" s="35" t="inlineStr">
        <is>
          <t>Actual + Forecast</t>
        </is>
      </c>
      <c r="H294" s="18">
        <f>IF($B$290="","",IF(1&lt;=$C$4,N(H291),IF(H293="",H290,H293)))</f>
        <v/>
      </c>
      <c r="I294" s="18">
        <f>IF($B$290="","",IF(2&lt;=$C$4,N(I291),IF(I293="",I290,I293)))</f>
        <v/>
      </c>
      <c r="J294" s="18">
        <f>IF($B$290="","",IF(3&lt;=$C$4,N(J291),IF(J293="",J290,J293)))</f>
        <v/>
      </c>
      <c r="K294" s="18">
        <f>IF($B$290="","",IF(4&lt;=$C$4,N(K291),IF(K293="",K290,K293)))</f>
        <v/>
      </c>
      <c r="L294" s="18">
        <f>IF($B$290="","",IF(5&lt;=$C$4,N(L291),IF(L293="",L290,L293)))</f>
        <v/>
      </c>
      <c r="M294" s="18">
        <f>IF($B$290="","",IF(6&lt;=$C$4,N(M291),IF(M293="",M290,M293)))</f>
        <v/>
      </c>
      <c r="N294" s="18">
        <f>IF($B$290="","",IF(7&lt;=$C$4,N(N291),IF(N293="",N290,N293)))</f>
        <v/>
      </c>
      <c r="O294" s="18">
        <f>IF($B$290="","",IF(8&lt;=$C$4,N(O291),IF(O293="",O290,O293)))</f>
        <v/>
      </c>
      <c r="P294" s="18">
        <f>IF($B$290="","",IF(9&lt;=$C$4,N(P291),IF(P293="",P290,P293)))</f>
        <v/>
      </c>
      <c r="Q294" s="18">
        <f>IF($B$290="","",IF(10&lt;=$C$4,N(Q291),IF(Q293="",Q290,Q293)))</f>
        <v/>
      </c>
      <c r="R294" s="18">
        <f>IF($B$290="","",IF(11&lt;=$C$4,N(R291),IF(R293="",R290,R293)))</f>
        <v/>
      </c>
      <c r="S294" s="18">
        <f>IF($B$290="","",IF(12&lt;=$C$4,N(S291),IF(S293="",S290,S293)))</f>
        <v/>
      </c>
      <c r="T294" s="18">
        <f>IF($B$290="","",SUMIF($H$7:$S$7,"&lt;="&amp;$C$4,$H294:$S294))</f>
        <v/>
      </c>
      <c r="U294" s="18">
        <f>IF($B$290="","",SUMIF($H$7:$S$7,"&gt;"&amp;$C$4,$H294:$S294))</f>
        <v/>
      </c>
      <c r="V294" s="18">
        <f>IF($B$290="","",SUM($H294:$S294))</f>
        <v/>
      </c>
      <c r="X294" s="22">
        <f>IF($B294="","",IFERROR(INDEX(Cost_Centers!$E:$E,MATCH($B294,Cost_Centers!$A:$A,0)),"(unknown)"))</f>
        <v/>
      </c>
      <c r="Y294" s="22">
        <f>IF($B294="","",IFERROR(INDEX(Cost_Centers!$D:$D,MATCH($B294,Cost_Centers!$A:$A,0)),"(unknown)"))</f>
        <v/>
      </c>
      <c r="Z294" s="22">
        <f>IF(OR($B294="",$G294&lt;&gt;"Variance vs Budget"),"",ABS(N($V294))+ROW()/1000000000)</f>
        <v/>
      </c>
    </row>
    <row r="295">
      <c r="A295" s="13">
        <f>IF(A$290="","",A$290)</f>
        <v/>
      </c>
      <c r="B295" s="13">
        <f>IF(B$290="","",B$290)</f>
        <v/>
      </c>
      <c r="C295" s="13">
        <f>IF(C$290="","",C$290)</f>
        <v/>
      </c>
      <c r="D295" s="13">
        <f>IF(D$290="","",D$290)</f>
        <v/>
      </c>
      <c r="E295" s="13">
        <f>IF(E$290="","",E$290)</f>
        <v/>
      </c>
      <c r="F295" s="13">
        <f>IF(F$290="","",F$290)</f>
        <v/>
      </c>
      <c r="G295" s="36" t="inlineStr">
        <is>
          <t>Prior Month Forecast</t>
        </is>
      </c>
      <c r="H295" s="37">
        <f>IF($B$290="","",IF(COUNTIFS(Prior_Forecast!$A:$A,$B$290,Prior_Forecast!$B:$B,$D$290)&gt;0,SUMIFS(Prior_Forecast!$C:$C,Prior_Forecast!$A:$A,$B$290,Prior_Forecast!$B:$B,$D$290),""))</f>
        <v/>
      </c>
      <c r="I295" s="37">
        <f>IF($B$290="","",IF(COUNTIFS(Prior_Forecast!$A:$A,$B$290,Prior_Forecast!$B:$B,$D$290)&gt;0,SUMIFS(Prior_Forecast!$D:$D,Prior_Forecast!$A:$A,$B$290,Prior_Forecast!$B:$B,$D$290),""))</f>
        <v/>
      </c>
      <c r="J295" s="37">
        <f>IF($B$290="","",IF(COUNTIFS(Prior_Forecast!$A:$A,$B$290,Prior_Forecast!$B:$B,$D$290)&gt;0,SUMIFS(Prior_Forecast!$E:$E,Prior_Forecast!$A:$A,$B$290,Prior_Forecast!$B:$B,$D$290),""))</f>
        <v/>
      </c>
      <c r="K295" s="37">
        <f>IF($B$290="","",IF(COUNTIFS(Prior_Forecast!$A:$A,$B$290,Prior_Forecast!$B:$B,$D$290)&gt;0,SUMIFS(Prior_Forecast!$F:$F,Prior_Forecast!$A:$A,$B$290,Prior_Forecast!$B:$B,$D$290),""))</f>
        <v/>
      </c>
      <c r="L295" s="37">
        <f>IF($B$290="","",IF(COUNTIFS(Prior_Forecast!$A:$A,$B$290,Prior_Forecast!$B:$B,$D$290)&gt;0,SUMIFS(Prior_Forecast!$G:$G,Prior_Forecast!$A:$A,$B$290,Prior_Forecast!$B:$B,$D$290),""))</f>
        <v/>
      </c>
      <c r="M295" s="37">
        <f>IF($B$290="","",IF(COUNTIFS(Prior_Forecast!$A:$A,$B$290,Prior_Forecast!$B:$B,$D$290)&gt;0,SUMIFS(Prior_Forecast!$H:$H,Prior_Forecast!$A:$A,$B$290,Prior_Forecast!$B:$B,$D$290),""))</f>
        <v/>
      </c>
      <c r="N295" s="37">
        <f>IF($B$290="","",IF(COUNTIFS(Prior_Forecast!$A:$A,$B$290,Prior_Forecast!$B:$B,$D$290)&gt;0,SUMIFS(Prior_Forecast!$I:$I,Prior_Forecast!$A:$A,$B$290,Prior_Forecast!$B:$B,$D$290),""))</f>
        <v/>
      </c>
      <c r="O295" s="37">
        <f>IF($B$290="","",IF(COUNTIFS(Prior_Forecast!$A:$A,$B$290,Prior_Forecast!$B:$B,$D$290)&gt;0,SUMIFS(Prior_Forecast!$J:$J,Prior_Forecast!$A:$A,$B$290,Prior_Forecast!$B:$B,$D$290),""))</f>
        <v/>
      </c>
      <c r="P295" s="37">
        <f>IF($B$290="","",IF(COUNTIFS(Prior_Forecast!$A:$A,$B$290,Prior_Forecast!$B:$B,$D$290)&gt;0,SUMIFS(Prior_Forecast!$K:$K,Prior_Forecast!$A:$A,$B$290,Prior_Forecast!$B:$B,$D$290),""))</f>
        <v/>
      </c>
      <c r="Q295" s="37">
        <f>IF($B$290="","",IF(COUNTIFS(Prior_Forecast!$A:$A,$B$290,Prior_Forecast!$B:$B,$D$290)&gt;0,SUMIFS(Prior_Forecast!$L:$L,Prior_Forecast!$A:$A,$B$290,Prior_Forecast!$B:$B,$D$290),""))</f>
        <v/>
      </c>
      <c r="R295" s="37">
        <f>IF($B$290="","",IF(COUNTIFS(Prior_Forecast!$A:$A,$B$290,Prior_Forecast!$B:$B,$D$290)&gt;0,SUMIFS(Prior_Forecast!$M:$M,Prior_Forecast!$A:$A,$B$290,Prior_Forecast!$B:$B,$D$290),""))</f>
        <v/>
      </c>
      <c r="S295" s="37">
        <f>IF($B$290="","",IF(COUNTIFS(Prior_Forecast!$A:$A,$B$290,Prior_Forecast!$B:$B,$D$290)&gt;0,SUMIFS(Prior_Forecast!$N:$N,Prior_Forecast!$A:$A,$B$290,Prior_Forecast!$B:$B,$D$290),""))</f>
        <v/>
      </c>
      <c r="T295" s="37">
        <f>IF($B$290="","",IF(COUNTIFS(Prior_Forecast!$A:$A,$B$290,Prior_Forecast!$B:$B,$D$290)&gt;0,SUMIFS(Prior_Forecast!$O:$O,Prior_Forecast!$A:$A,$B$290,Prior_Forecast!$B:$B,$D$290),""))</f>
        <v/>
      </c>
      <c r="U295" s="37">
        <f>IF($B$290="","",IF(COUNTIFS(Prior_Forecast!$A:$A,$B$290,Prior_Forecast!$B:$B,$D$290)&gt;0,SUMIFS(Prior_Forecast!$P:$P,Prior_Forecast!$A:$A,$B$290,Prior_Forecast!$B:$B,$D$290),""))</f>
        <v/>
      </c>
      <c r="V295" s="37">
        <f>IF($B$290="","",IF(COUNTIFS(Prior_Forecast!$A:$A,$B$290,Prior_Forecast!$B:$B,$D$290)&gt;0,SUMIFS(Prior_Forecast!$Q:$Q,Prior_Forecast!$A:$A,$B$290,Prior_Forecast!$B:$B,$D$290),""))</f>
        <v/>
      </c>
      <c r="X295" s="22">
        <f>IF($B295="","",IFERROR(INDEX(Cost_Centers!$E:$E,MATCH($B295,Cost_Centers!$A:$A,0)),"(unknown)"))</f>
        <v/>
      </c>
      <c r="Y295" s="22">
        <f>IF($B295="","",IFERROR(INDEX(Cost_Centers!$D:$D,MATCH($B295,Cost_Centers!$A:$A,0)),"(unknown)"))</f>
        <v/>
      </c>
      <c r="Z295" s="22">
        <f>IF(OR($B295="",$G295&lt;&gt;"Variance vs Budget"),"",ABS(N($V295))+ROW()/1000000000)</f>
        <v/>
      </c>
    </row>
    <row r="296">
      <c r="A296" s="13">
        <f>IF(A$290="","",A$290)</f>
        <v/>
      </c>
      <c r="B296" s="13">
        <f>IF(B$290="","",B$290)</f>
        <v/>
      </c>
      <c r="C296" s="13">
        <f>IF(C$290="","",C$290)</f>
        <v/>
      </c>
      <c r="D296" s="13">
        <f>IF(D$290="","",D$290)</f>
        <v/>
      </c>
      <c r="E296" s="13">
        <f>IF(E$290="","",E$290)</f>
        <v/>
      </c>
      <c r="F296" s="13">
        <f>IF(F$290="","",F$290)</f>
        <v/>
      </c>
      <c r="G296" s="6" t="inlineStr">
        <is>
          <t>Variance vs Prior Month</t>
        </is>
      </c>
      <c r="H296" s="33">
        <f>IF(OR($B$290="",H295=""),"",H294-H295)</f>
        <v/>
      </c>
      <c r="I296" s="33">
        <f>IF(OR($B$290="",I295=""),"",I294-I295)</f>
        <v/>
      </c>
      <c r="J296" s="33">
        <f>IF(OR($B$290="",J295=""),"",J294-J295)</f>
        <v/>
      </c>
      <c r="K296" s="33">
        <f>IF(OR($B$290="",K295=""),"",K294-K295)</f>
        <v/>
      </c>
      <c r="L296" s="33">
        <f>IF(OR($B$290="",L295=""),"",L294-L295)</f>
        <v/>
      </c>
      <c r="M296" s="33">
        <f>IF(OR($B$290="",M295=""),"",M294-M295)</f>
        <v/>
      </c>
      <c r="N296" s="33">
        <f>IF(OR($B$290="",N295=""),"",N294-N295)</f>
        <v/>
      </c>
      <c r="O296" s="33">
        <f>IF(OR($B$290="",O295=""),"",O294-O295)</f>
        <v/>
      </c>
      <c r="P296" s="33">
        <f>IF(OR($B$290="",P295=""),"",P294-P295)</f>
        <v/>
      </c>
      <c r="Q296" s="33">
        <f>IF(OR($B$290="",Q295=""),"",Q294-Q295)</f>
        <v/>
      </c>
      <c r="R296" s="33">
        <f>IF(OR($B$290="",R295=""),"",R294-R295)</f>
        <v/>
      </c>
      <c r="S296" s="33">
        <f>IF(OR($B$290="",S295=""),"",S294-S295)</f>
        <v/>
      </c>
      <c r="T296" s="33">
        <f>IF(OR($B$290="",T295=""),"",T294-T295)</f>
        <v/>
      </c>
      <c r="U296" s="33">
        <f>IF(OR($B$290="",U295=""),"",U294-U295)</f>
        <v/>
      </c>
      <c r="V296" s="33">
        <f>IF(OR($B$290="",V295=""),"",V294-V295)</f>
        <v/>
      </c>
      <c r="X296" s="22">
        <f>IF($B296="","",IFERROR(INDEX(Cost_Centers!$E:$E,MATCH($B296,Cost_Centers!$A:$A,0)),"(unknown)"))</f>
        <v/>
      </c>
      <c r="Y296" s="22">
        <f>IF($B296="","",IFERROR(INDEX(Cost_Centers!$D:$D,MATCH($B296,Cost_Centers!$A:$A,0)),"(unknown)"))</f>
        <v/>
      </c>
      <c r="Z296" s="22">
        <f>IF(OR($B296="",$G296&lt;&gt;"Variance vs Budget"),"",ABS(N($V296))+ROW()/1000000000)</f>
        <v/>
      </c>
    </row>
    <row r="297" ht="45" customHeight="1">
      <c r="A297" s="13">
        <f>IF(A$290="","",A$290)</f>
        <v/>
      </c>
      <c r="B297" s="13">
        <f>IF(B$290="","",B$290)</f>
        <v/>
      </c>
      <c r="C297" s="13">
        <f>IF(C$290="","",C$290)</f>
        <v/>
      </c>
      <c r="D297" s="13">
        <f>IF(D$290="","",D$290)</f>
        <v/>
      </c>
      <c r="E297" s="13">
        <f>IF(E$290="","",E$290)</f>
        <v/>
      </c>
      <c r="F297" s="13">
        <f>IF(F$290="","",F$290)</f>
        <v/>
      </c>
      <c r="G297" s="7" t="inlineStr">
        <is>
          <t>Rationale</t>
        </is>
      </c>
      <c r="H297" s="38" t="n"/>
      <c r="I297" s="38" t="n"/>
      <c r="J297" s="38" t="n"/>
      <c r="K297" s="38" t="n"/>
      <c r="L297" s="38" t="n"/>
      <c r="M297" s="38" t="n"/>
      <c r="N297" s="38" t="n"/>
      <c r="O297" s="38" t="n"/>
      <c r="P297" s="38" t="n"/>
      <c r="Q297" s="38" t="n"/>
      <c r="R297" s="38" t="n"/>
      <c r="S297" s="38" t="n"/>
      <c r="T297" s="38" t="n"/>
      <c r="U297" s="38" t="n"/>
      <c r="V297" s="7" t="n"/>
      <c r="X297" s="22">
        <f>IF($B297="","",IFERROR(INDEX(Cost_Centers!$E:$E,MATCH($B297,Cost_Centers!$A:$A,0)),"(unknown)"))</f>
        <v/>
      </c>
      <c r="Y297" s="22">
        <f>IF($B297="","",IFERROR(INDEX(Cost_Centers!$D:$D,MATCH($B297,Cost_Centers!$A:$A,0)),"(unknown)"))</f>
        <v/>
      </c>
      <c r="Z297" s="22">
        <f>IF(OR($B297="",$G297&lt;&gt;"Variance vs Budget"),"",ABS(N($V297))+ROW()/1000000000)</f>
        <v/>
      </c>
    </row>
    <row r="298">
      <c r="A298" s="30">
        <f>IF($D$298="","",LEFT($D$298,FIND("|",$D$298&amp;"|")-1))</f>
        <v/>
      </c>
      <c r="B298" s="31" t="n"/>
      <c r="C298" s="30">
        <f>IF($B$298="","",IFERROR(INDEX(Cost_Centers!$B:$B,MATCH($B$298,Cost_Centers!$A:$A,0)),"(not in master)"))</f>
        <v/>
      </c>
      <c r="D298" s="31" t="n"/>
      <c r="E298" s="30">
        <f>IF($D$298="","",IFERROR(INDEX(Accounts!$D:$D,MATCH($D$298,Accounts!$A:$A,0)),"(not in master)"))</f>
        <v/>
      </c>
      <c r="F298" s="31" t="n"/>
      <c r="G298" s="30" t="inlineStr">
        <is>
          <t>Budget</t>
        </is>
      </c>
      <c r="H298" s="32">
        <f>IF($B$298="","",SUMIFS(Opex_Budget!$O:$O,Opex_Budget!$A:$A,$C$3,Opex_Budget!$E:$E,$B$298,Opex_Budget!$F:$F,$D$298,Opex_Budget!$N:$N,"JPY")*$E$5+SUMIFS(Opex_Budget!$O:$O,Opex_Budget!$A:$A,$C$3,Opex_Budget!$E:$E,$B$298,Opex_Budget!$F:$F,$D$298,Opex_Budget!$N:$N,"USD")*$F$5+SUMIFS(Opex_Budget!$O:$O,Opex_Budget!$A:$A,$C$3,Opex_Budget!$E:$E,$B$298,Opex_Budget!$F:$F,$D$298,Opex_Budget!$N:$N,"EUR")*$G$5+SUMIFS(Opex_Budget!$O:$O,Opex_Budget!$A:$A,$C$3,Opex_Budget!$E:$E,$B$298,Opex_Budget!$F:$F,$D$298,Opex_Budget!$N:$N,"GBP")*$H$5)</f>
        <v/>
      </c>
      <c r="I298" s="32">
        <f>IF($B$298="","",SUMIFS(Opex_Budget!$P:$P,Opex_Budget!$A:$A,$C$3,Opex_Budget!$E:$E,$B$298,Opex_Budget!$F:$F,$D$298,Opex_Budget!$N:$N,"JPY")*$E$5+SUMIFS(Opex_Budget!$P:$P,Opex_Budget!$A:$A,$C$3,Opex_Budget!$E:$E,$B$298,Opex_Budget!$F:$F,$D$298,Opex_Budget!$N:$N,"USD")*$F$5+SUMIFS(Opex_Budget!$P:$P,Opex_Budget!$A:$A,$C$3,Opex_Budget!$E:$E,$B$298,Opex_Budget!$F:$F,$D$298,Opex_Budget!$N:$N,"EUR")*$G$5+SUMIFS(Opex_Budget!$P:$P,Opex_Budget!$A:$A,$C$3,Opex_Budget!$E:$E,$B$298,Opex_Budget!$F:$F,$D$298,Opex_Budget!$N:$N,"GBP")*$H$5)</f>
        <v/>
      </c>
      <c r="J298" s="32">
        <f>IF($B$298="","",SUMIFS(Opex_Budget!$Q:$Q,Opex_Budget!$A:$A,$C$3,Opex_Budget!$E:$E,$B$298,Opex_Budget!$F:$F,$D$298,Opex_Budget!$N:$N,"JPY")*$E$5+SUMIFS(Opex_Budget!$Q:$Q,Opex_Budget!$A:$A,$C$3,Opex_Budget!$E:$E,$B$298,Opex_Budget!$F:$F,$D$298,Opex_Budget!$N:$N,"USD")*$F$5+SUMIFS(Opex_Budget!$Q:$Q,Opex_Budget!$A:$A,$C$3,Opex_Budget!$E:$E,$B$298,Opex_Budget!$F:$F,$D$298,Opex_Budget!$N:$N,"EUR")*$G$5+SUMIFS(Opex_Budget!$Q:$Q,Opex_Budget!$A:$A,$C$3,Opex_Budget!$E:$E,$B$298,Opex_Budget!$F:$F,$D$298,Opex_Budget!$N:$N,"GBP")*$H$5)</f>
        <v/>
      </c>
      <c r="K298" s="32">
        <f>IF($B$298="","",SUMIFS(Opex_Budget!$R:$R,Opex_Budget!$A:$A,$C$3,Opex_Budget!$E:$E,$B$298,Opex_Budget!$F:$F,$D$298,Opex_Budget!$N:$N,"JPY")*$E$5+SUMIFS(Opex_Budget!$R:$R,Opex_Budget!$A:$A,$C$3,Opex_Budget!$E:$E,$B$298,Opex_Budget!$F:$F,$D$298,Opex_Budget!$N:$N,"USD")*$F$5+SUMIFS(Opex_Budget!$R:$R,Opex_Budget!$A:$A,$C$3,Opex_Budget!$E:$E,$B$298,Opex_Budget!$F:$F,$D$298,Opex_Budget!$N:$N,"EUR")*$G$5+SUMIFS(Opex_Budget!$R:$R,Opex_Budget!$A:$A,$C$3,Opex_Budget!$E:$E,$B$298,Opex_Budget!$F:$F,$D$298,Opex_Budget!$N:$N,"GBP")*$H$5)</f>
        <v/>
      </c>
      <c r="L298" s="32">
        <f>IF($B$298="","",SUMIFS(Opex_Budget!$S:$S,Opex_Budget!$A:$A,$C$3,Opex_Budget!$E:$E,$B$298,Opex_Budget!$F:$F,$D$298,Opex_Budget!$N:$N,"JPY")*$E$5+SUMIFS(Opex_Budget!$S:$S,Opex_Budget!$A:$A,$C$3,Opex_Budget!$E:$E,$B$298,Opex_Budget!$F:$F,$D$298,Opex_Budget!$N:$N,"USD")*$F$5+SUMIFS(Opex_Budget!$S:$S,Opex_Budget!$A:$A,$C$3,Opex_Budget!$E:$E,$B$298,Opex_Budget!$F:$F,$D$298,Opex_Budget!$N:$N,"EUR")*$G$5+SUMIFS(Opex_Budget!$S:$S,Opex_Budget!$A:$A,$C$3,Opex_Budget!$E:$E,$B$298,Opex_Budget!$F:$F,$D$298,Opex_Budget!$N:$N,"GBP")*$H$5)</f>
        <v/>
      </c>
      <c r="M298" s="32">
        <f>IF($B$298="","",SUMIFS(Opex_Budget!$T:$T,Opex_Budget!$A:$A,$C$3,Opex_Budget!$E:$E,$B$298,Opex_Budget!$F:$F,$D$298,Opex_Budget!$N:$N,"JPY")*$E$5+SUMIFS(Opex_Budget!$T:$T,Opex_Budget!$A:$A,$C$3,Opex_Budget!$E:$E,$B$298,Opex_Budget!$F:$F,$D$298,Opex_Budget!$N:$N,"USD")*$F$5+SUMIFS(Opex_Budget!$T:$T,Opex_Budget!$A:$A,$C$3,Opex_Budget!$E:$E,$B$298,Opex_Budget!$F:$F,$D$298,Opex_Budget!$N:$N,"EUR")*$G$5+SUMIFS(Opex_Budget!$T:$T,Opex_Budget!$A:$A,$C$3,Opex_Budget!$E:$E,$B$298,Opex_Budget!$F:$F,$D$298,Opex_Budget!$N:$N,"GBP")*$H$5)</f>
        <v/>
      </c>
      <c r="N298" s="32">
        <f>IF($B$298="","",SUMIFS(Opex_Budget!$U:$U,Opex_Budget!$A:$A,$C$3,Opex_Budget!$E:$E,$B$298,Opex_Budget!$F:$F,$D$298,Opex_Budget!$N:$N,"JPY")*$E$5+SUMIFS(Opex_Budget!$U:$U,Opex_Budget!$A:$A,$C$3,Opex_Budget!$E:$E,$B$298,Opex_Budget!$F:$F,$D$298,Opex_Budget!$N:$N,"USD")*$F$5+SUMIFS(Opex_Budget!$U:$U,Opex_Budget!$A:$A,$C$3,Opex_Budget!$E:$E,$B$298,Opex_Budget!$F:$F,$D$298,Opex_Budget!$N:$N,"EUR")*$G$5+SUMIFS(Opex_Budget!$U:$U,Opex_Budget!$A:$A,$C$3,Opex_Budget!$E:$E,$B$298,Opex_Budget!$F:$F,$D$298,Opex_Budget!$N:$N,"GBP")*$H$5)</f>
        <v/>
      </c>
      <c r="O298" s="32">
        <f>IF($B$298="","",SUMIFS(Opex_Budget!$V:$V,Opex_Budget!$A:$A,$C$3,Opex_Budget!$E:$E,$B$298,Opex_Budget!$F:$F,$D$298,Opex_Budget!$N:$N,"JPY")*$E$5+SUMIFS(Opex_Budget!$V:$V,Opex_Budget!$A:$A,$C$3,Opex_Budget!$E:$E,$B$298,Opex_Budget!$F:$F,$D$298,Opex_Budget!$N:$N,"USD")*$F$5+SUMIFS(Opex_Budget!$V:$V,Opex_Budget!$A:$A,$C$3,Opex_Budget!$E:$E,$B$298,Opex_Budget!$F:$F,$D$298,Opex_Budget!$N:$N,"EUR")*$G$5+SUMIFS(Opex_Budget!$V:$V,Opex_Budget!$A:$A,$C$3,Opex_Budget!$E:$E,$B$298,Opex_Budget!$F:$F,$D$298,Opex_Budget!$N:$N,"GBP")*$H$5)</f>
        <v/>
      </c>
      <c r="P298" s="32">
        <f>IF($B$298="","",SUMIFS(Opex_Budget!$W:$W,Opex_Budget!$A:$A,$C$3,Opex_Budget!$E:$E,$B$298,Opex_Budget!$F:$F,$D$298,Opex_Budget!$N:$N,"JPY")*$E$5+SUMIFS(Opex_Budget!$W:$W,Opex_Budget!$A:$A,$C$3,Opex_Budget!$E:$E,$B$298,Opex_Budget!$F:$F,$D$298,Opex_Budget!$N:$N,"USD")*$F$5+SUMIFS(Opex_Budget!$W:$W,Opex_Budget!$A:$A,$C$3,Opex_Budget!$E:$E,$B$298,Opex_Budget!$F:$F,$D$298,Opex_Budget!$N:$N,"EUR")*$G$5+SUMIFS(Opex_Budget!$W:$W,Opex_Budget!$A:$A,$C$3,Opex_Budget!$E:$E,$B$298,Opex_Budget!$F:$F,$D$298,Opex_Budget!$N:$N,"GBP")*$H$5)</f>
        <v/>
      </c>
      <c r="Q298" s="32">
        <f>IF($B$298="","",SUMIFS(Opex_Budget!$X:$X,Opex_Budget!$A:$A,$C$3,Opex_Budget!$E:$E,$B$298,Opex_Budget!$F:$F,$D$298,Opex_Budget!$N:$N,"JPY")*$E$5+SUMIFS(Opex_Budget!$X:$X,Opex_Budget!$A:$A,$C$3,Opex_Budget!$E:$E,$B$298,Opex_Budget!$F:$F,$D$298,Opex_Budget!$N:$N,"USD")*$F$5+SUMIFS(Opex_Budget!$X:$X,Opex_Budget!$A:$A,$C$3,Opex_Budget!$E:$E,$B$298,Opex_Budget!$F:$F,$D$298,Opex_Budget!$N:$N,"EUR")*$G$5+SUMIFS(Opex_Budget!$X:$X,Opex_Budget!$A:$A,$C$3,Opex_Budget!$E:$E,$B$298,Opex_Budget!$F:$F,$D$298,Opex_Budget!$N:$N,"GBP")*$H$5)</f>
        <v/>
      </c>
      <c r="R298" s="32">
        <f>IF($B$298="","",SUMIFS(Opex_Budget!$Y:$Y,Opex_Budget!$A:$A,$C$3,Opex_Budget!$E:$E,$B$298,Opex_Budget!$F:$F,$D$298,Opex_Budget!$N:$N,"JPY")*$E$5+SUMIFS(Opex_Budget!$Y:$Y,Opex_Budget!$A:$A,$C$3,Opex_Budget!$E:$E,$B$298,Opex_Budget!$F:$F,$D$298,Opex_Budget!$N:$N,"USD")*$F$5+SUMIFS(Opex_Budget!$Y:$Y,Opex_Budget!$A:$A,$C$3,Opex_Budget!$E:$E,$B$298,Opex_Budget!$F:$F,$D$298,Opex_Budget!$N:$N,"EUR")*$G$5+SUMIFS(Opex_Budget!$Y:$Y,Opex_Budget!$A:$A,$C$3,Opex_Budget!$E:$E,$B$298,Opex_Budget!$F:$F,$D$298,Opex_Budget!$N:$N,"GBP")*$H$5)</f>
        <v/>
      </c>
      <c r="S298" s="32">
        <f>IF($B$298="","",SUMIFS(Opex_Budget!$Z:$Z,Opex_Budget!$A:$A,$C$3,Opex_Budget!$E:$E,$B$298,Opex_Budget!$F:$F,$D$298,Opex_Budget!$N:$N,"JPY")*$E$5+SUMIFS(Opex_Budget!$Z:$Z,Opex_Budget!$A:$A,$C$3,Opex_Budget!$E:$E,$B$298,Opex_Budget!$F:$F,$D$298,Opex_Budget!$N:$N,"USD")*$F$5+SUMIFS(Opex_Budget!$Z:$Z,Opex_Budget!$A:$A,$C$3,Opex_Budget!$E:$E,$B$298,Opex_Budget!$F:$F,$D$298,Opex_Budget!$N:$N,"EUR")*$G$5+SUMIFS(Opex_Budget!$Z:$Z,Opex_Budget!$A:$A,$C$3,Opex_Budget!$E:$E,$B$298,Opex_Budget!$F:$F,$D$298,Opex_Budget!$N:$N,"GBP")*$H$5)</f>
        <v/>
      </c>
      <c r="T298" s="32">
        <f>IF($B$298="","",SUMIF($H$7:$S$7,"&lt;="&amp;$C$4,$H298:$S298))</f>
        <v/>
      </c>
      <c r="U298" s="32">
        <f>IF($B$298="","",SUMIF($H$7:$S$7,"&gt;"&amp;$C$4,$H298:$S298))</f>
        <v/>
      </c>
      <c r="V298" s="32">
        <f>IF($B$298="","",SUM($H298:$S298))</f>
        <v/>
      </c>
      <c r="X298" s="22">
        <f>IF($B298="","",IFERROR(INDEX(Cost_Centers!$E:$E,MATCH($B298,Cost_Centers!$A:$A,0)),"(unknown)"))</f>
        <v/>
      </c>
      <c r="Y298" s="22">
        <f>IF($B298="","",IFERROR(INDEX(Cost_Centers!$D:$D,MATCH($B298,Cost_Centers!$A:$A,0)),"(unknown)"))</f>
        <v/>
      </c>
      <c r="Z298" s="22">
        <f>IF(OR($B298="",$G298&lt;&gt;"Variance vs Budget"),"",ABS(N($V298))+ROW()/1000000000)</f>
        <v/>
      </c>
    </row>
    <row r="299">
      <c r="A299" s="13">
        <f>IF(A$298="","",A$298)</f>
        <v/>
      </c>
      <c r="B299" s="13">
        <f>IF(B$298="","",B$298)</f>
        <v/>
      </c>
      <c r="C299" s="13">
        <f>IF(C$298="","",C$298)</f>
        <v/>
      </c>
      <c r="D299" s="13">
        <f>IF(D$298="","",D$298)</f>
        <v/>
      </c>
      <c r="E299" s="13">
        <f>IF(E$298="","",E$298)</f>
        <v/>
      </c>
      <c r="F299" s="13">
        <f>IF(F$298="","",F$298)</f>
        <v/>
      </c>
      <c r="G299" s="7" t="inlineStr">
        <is>
          <t>Actual</t>
        </is>
      </c>
      <c r="H299" s="18">
        <f>IF(OR($B$298="",1&gt;$C$4),"",SUMIFS(Actuals!$G:$G,Actuals!$B:$B,$C$3,Actuals!$C:$C,1,Actuals!$D:$D,$B$298,Actuals!$A:$A,LEFT($D$298,FIND("|",$D$298&amp;"|")-1),Actuals!$E:$E,MID($D$298,FIND("|",$D$298&amp;"|")+1,50),Actuals!$F:$F,"JPY")*$E$5+SUMIFS(Actuals!$G:$G,Actuals!$B:$B,$C$3,Actuals!$C:$C,1,Actuals!$D:$D,$B$298,Actuals!$A:$A,LEFT($D$298,FIND("|",$D$298&amp;"|")-1),Actuals!$E:$E,MID($D$298,FIND("|",$D$298&amp;"|")+1,50),Actuals!$F:$F,"USD")*$F$5+SUMIFS(Actuals!$G:$G,Actuals!$B:$B,$C$3,Actuals!$C:$C,1,Actuals!$D:$D,$B$298,Actuals!$A:$A,LEFT($D$298,FIND("|",$D$298&amp;"|")-1),Actuals!$E:$E,MID($D$298,FIND("|",$D$298&amp;"|")+1,50),Actuals!$F:$F,"EUR")*$G$5+SUMIFS(Actuals!$G:$G,Actuals!$B:$B,$C$3,Actuals!$C:$C,1,Actuals!$D:$D,$B$298,Actuals!$A:$A,LEFT($D$298,FIND("|",$D$298&amp;"|")-1),Actuals!$E:$E,MID($D$298,FIND("|",$D$298&amp;"|")+1,50),Actuals!$F:$F,"GBP")*$H$5)</f>
        <v/>
      </c>
      <c r="I299" s="18">
        <f>IF(OR($B$298="",2&gt;$C$4),"",SUMIFS(Actuals!$G:$G,Actuals!$B:$B,$C$3,Actuals!$C:$C,2,Actuals!$D:$D,$B$298,Actuals!$A:$A,LEFT($D$298,FIND("|",$D$298&amp;"|")-1),Actuals!$E:$E,MID($D$298,FIND("|",$D$298&amp;"|")+1,50),Actuals!$F:$F,"JPY")*$E$5+SUMIFS(Actuals!$G:$G,Actuals!$B:$B,$C$3,Actuals!$C:$C,2,Actuals!$D:$D,$B$298,Actuals!$A:$A,LEFT($D$298,FIND("|",$D$298&amp;"|")-1),Actuals!$E:$E,MID($D$298,FIND("|",$D$298&amp;"|")+1,50),Actuals!$F:$F,"USD")*$F$5+SUMIFS(Actuals!$G:$G,Actuals!$B:$B,$C$3,Actuals!$C:$C,2,Actuals!$D:$D,$B$298,Actuals!$A:$A,LEFT($D$298,FIND("|",$D$298&amp;"|")-1),Actuals!$E:$E,MID($D$298,FIND("|",$D$298&amp;"|")+1,50),Actuals!$F:$F,"EUR")*$G$5+SUMIFS(Actuals!$G:$G,Actuals!$B:$B,$C$3,Actuals!$C:$C,2,Actuals!$D:$D,$B$298,Actuals!$A:$A,LEFT($D$298,FIND("|",$D$298&amp;"|")-1),Actuals!$E:$E,MID($D$298,FIND("|",$D$298&amp;"|")+1,50),Actuals!$F:$F,"GBP")*$H$5)</f>
        <v/>
      </c>
      <c r="J299" s="18">
        <f>IF(OR($B$298="",3&gt;$C$4),"",SUMIFS(Actuals!$G:$G,Actuals!$B:$B,$C$3,Actuals!$C:$C,3,Actuals!$D:$D,$B$298,Actuals!$A:$A,LEFT($D$298,FIND("|",$D$298&amp;"|")-1),Actuals!$E:$E,MID($D$298,FIND("|",$D$298&amp;"|")+1,50),Actuals!$F:$F,"JPY")*$E$5+SUMIFS(Actuals!$G:$G,Actuals!$B:$B,$C$3,Actuals!$C:$C,3,Actuals!$D:$D,$B$298,Actuals!$A:$A,LEFT($D$298,FIND("|",$D$298&amp;"|")-1),Actuals!$E:$E,MID($D$298,FIND("|",$D$298&amp;"|")+1,50),Actuals!$F:$F,"USD")*$F$5+SUMIFS(Actuals!$G:$G,Actuals!$B:$B,$C$3,Actuals!$C:$C,3,Actuals!$D:$D,$B$298,Actuals!$A:$A,LEFT($D$298,FIND("|",$D$298&amp;"|")-1),Actuals!$E:$E,MID($D$298,FIND("|",$D$298&amp;"|")+1,50),Actuals!$F:$F,"EUR")*$G$5+SUMIFS(Actuals!$G:$G,Actuals!$B:$B,$C$3,Actuals!$C:$C,3,Actuals!$D:$D,$B$298,Actuals!$A:$A,LEFT($D$298,FIND("|",$D$298&amp;"|")-1),Actuals!$E:$E,MID($D$298,FIND("|",$D$298&amp;"|")+1,50),Actuals!$F:$F,"GBP")*$H$5)</f>
        <v/>
      </c>
      <c r="K299" s="18">
        <f>IF(OR($B$298="",4&gt;$C$4),"",SUMIFS(Actuals!$G:$G,Actuals!$B:$B,$C$3,Actuals!$C:$C,4,Actuals!$D:$D,$B$298,Actuals!$A:$A,LEFT($D$298,FIND("|",$D$298&amp;"|")-1),Actuals!$E:$E,MID($D$298,FIND("|",$D$298&amp;"|")+1,50),Actuals!$F:$F,"JPY")*$E$5+SUMIFS(Actuals!$G:$G,Actuals!$B:$B,$C$3,Actuals!$C:$C,4,Actuals!$D:$D,$B$298,Actuals!$A:$A,LEFT($D$298,FIND("|",$D$298&amp;"|")-1),Actuals!$E:$E,MID($D$298,FIND("|",$D$298&amp;"|")+1,50),Actuals!$F:$F,"USD")*$F$5+SUMIFS(Actuals!$G:$G,Actuals!$B:$B,$C$3,Actuals!$C:$C,4,Actuals!$D:$D,$B$298,Actuals!$A:$A,LEFT($D$298,FIND("|",$D$298&amp;"|")-1),Actuals!$E:$E,MID($D$298,FIND("|",$D$298&amp;"|")+1,50),Actuals!$F:$F,"EUR")*$G$5+SUMIFS(Actuals!$G:$G,Actuals!$B:$B,$C$3,Actuals!$C:$C,4,Actuals!$D:$D,$B$298,Actuals!$A:$A,LEFT($D$298,FIND("|",$D$298&amp;"|")-1),Actuals!$E:$E,MID($D$298,FIND("|",$D$298&amp;"|")+1,50),Actuals!$F:$F,"GBP")*$H$5)</f>
        <v/>
      </c>
      <c r="L299" s="18">
        <f>IF(OR($B$298="",5&gt;$C$4),"",SUMIFS(Actuals!$G:$G,Actuals!$B:$B,$C$3,Actuals!$C:$C,5,Actuals!$D:$D,$B$298,Actuals!$A:$A,LEFT($D$298,FIND("|",$D$298&amp;"|")-1),Actuals!$E:$E,MID($D$298,FIND("|",$D$298&amp;"|")+1,50),Actuals!$F:$F,"JPY")*$E$5+SUMIFS(Actuals!$G:$G,Actuals!$B:$B,$C$3,Actuals!$C:$C,5,Actuals!$D:$D,$B$298,Actuals!$A:$A,LEFT($D$298,FIND("|",$D$298&amp;"|")-1),Actuals!$E:$E,MID($D$298,FIND("|",$D$298&amp;"|")+1,50),Actuals!$F:$F,"USD")*$F$5+SUMIFS(Actuals!$G:$G,Actuals!$B:$B,$C$3,Actuals!$C:$C,5,Actuals!$D:$D,$B$298,Actuals!$A:$A,LEFT($D$298,FIND("|",$D$298&amp;"|")-1),Actuals!$E:$E,MID($D$298,FIND("|",$D$298&amp;"|")+1,50),Actuals!$F:$F,"EUR")*$G$5+SUMIFS(Actuals!$G:$G,Actuals!$B:$B,$C$3,Actuals!$C:$C,5,Actuals!$D:$D,$B$298,Actuals!$A:$A,LEFT($D$298,FIND("|",$D$298&amp;"|")-1),Actuals!$E:$E,MID($D$298,FIND("|",$D$298&amp;"|")+1,50),Actuals!$F:$F,"GBP")*$H$5)</f>
        <v/>
      </c>
      <c r="M299" s="18">
        <f>IF(OR($B$298="",6&gt;$C$4),"",SUMIFS(Actuals!$G:$G,Actuals!$B:$B,$C$3,Actuals!$C:$C,6,Actuals!$D:$D,$B$298,Actuals!$A:$A,LEFT($D$298,FIND("|",$D$298&amp;"|")-1),Actuals!$E:$E,MID($D$298,FIND("|",$D$298&amp;"|")+1,50),Actuals!$F:$F,"JPY")*$E$5+SUMIFS(Actuals!$G:$G,Actuals!$B:$B,$C$3,Actuals!$C:$C,6,Actuals!$D:$D,$B$298,Actuals!$A:$A,LEFT($D$298,FIND("|",$D$298&amp;"|")-1),Actuals!$E:$E,MID($D$298,FIND("|",$D$298&amp;"|")+1,50),Actuals!$F:$F,"USD")*$F$5+SUMIFS(Actuals!$G:$G,Actuals!$B:$B,$C$3,Actuals!$C:$C,6,Actuals!$D:$D,$B$298,Actuals!$A:$A,LEFT($D$298,FIND("|",$D$298&amp;"|")-1),Actuals!$E:$E,MID($D$298,FIND("|",$D$298&amp;"|")+1,50),Actuals!$F:$F,"EUR")*$G$5+SUMIFS(Actuals!$G:$G,Actuals!$B:$B,$C$3,Actuals!$C:$C,6,Actuals!$D:$D,$B$298,Actuals!$A:$A,LEFT($D$298,FIND("|",$D$298&amp;"|")-1),Actuals!$E:$E,MID($D$298,FIND("|",$D$298&amp;"|")+1,50),Actuals!$F:$F,"GBP")*$H$5)</f>
        <v/>
      </c>
      <c r="N299" s="18">
        <f>IF(OR($B$298="",7&gt;$C$4),"",SUMIFS(Actuals!$G:$G,Actuals!$B:$B,$C$3,Actuals!$C:$C,7,Actuals!$D:$D,$B$298,Actuals!$A:$A,LEFT($D$298,FIND("|",$D$298&amp;"|")-1),Actuals!$E:$E,MID($D$298,FIND("|",$D$298&amp;"|")+1,50),Actuals!$F:$F,"JPY")*$E$5+SUMIFS(Actuals!$G:$G,Actuals!$B:$B,$C$3,Actuals!$C:$C,7,Actuals!$D:$D,$B$298,Actuals!$A:$A,LEFT($D$298,FIND("|",$D$298&amp;"|")-1),Actuals!$E:$E,MID($D$298,FIND("|",$D$298&amp;"|")+1,50),Actuals!$F:$F,"USD")*$F$5+SUMIFS(Actuals!$G:$G,Actuals!$B:$B,$C$3,Actuals!$C:$C,7,Actuals!$D:$D,$B$298,Actuals!$A:$A,LEFT($D$298,FIND("|",$D$298&amp;"|")-1),Actuals!$E:$E,MID($D$298,FIND("|",$D$298&amp;"|")+1,50),Actuals!$F:$F,"EUR")*$G$5+SUMIFS(Actuals!$G:$G,Actuals!$B:$B,$C$3,Actuals!$C:$C,7,Actuals!$D:$D,$B$298,Actuals!$A:$A,LEFT($D$298,FIND("|",$D$298&amp;"|")-1),Actuals!$E:$E,MID($D$298,FIND("|",$D$298&amp;"|")+1,50),Actuals!$F:$F,"GBP")*$H$5)</f>
        <v/>
      </c>
      <c r="O299" s="18">
        <f>IF(OR($B$298="",8&gt;$C$4),"",SUMIFS(Actuals!$G:$G,Actuals!$B:$B,$C$3,Actuals!$C:$C,8,Actuals!$D:$D,$B$298,Actuals!$A:$A,LEFT($D$298,FIND("|",$D$298&amp;"|")-1),Actuals!$E:$E,MID($D$298,FIND("|",$D$298&amp;"|")+1,50),Actuals!$F:$F,"JPY")*$E$5+SUMIFS(Actuals!$G:$G,Actuals!$B:$B,$C$3,Actuals!$C:$C,8,Actuals!$D:$D,$B$298,Actuals!$A:$A,LEFT($D$298,FIND("|",$D$298&amp;"|")-1),Actuals!$E:$E,MID($D$298,FIND("|",$D$298&amp;"|")+1,50),Actuals!$F:$F,"USD")*$F$5+SUMIFS(Actuals!$G:$G,Actuals!$B:$B,$C$3,Actuals!$C:$C,8,Actuals!$D:$D,$B$298,Actuals!$A:$A,LEFT($D$298,FIND("|",$D$298&amp;"|")-1),Actuals!$E:$E,MID($D$298,FIND("|",$D$298&amp;"|")+1,50),Actuals!$F:$F,"EUR")*$G$5+SUMIFS(Actuals!$G:$G,Actuals!$B:$B,$C$3,Actuals!$C:$C,8,Actuals!$D:$D,$B$298,Actuals!$A:$A,LEFT($D$298,FIND("|",$D$298&amp;"|")-1),Actuals!$E:$E,MID($D$298,FIND("|",$D$298&amp;"|")+1,50),Actuals!$F:$F,"GBP")*$H$5)</f>
        <v/>
      </c>
      <c r="P299" s="18">
        <f>IF(OR($B$298="",9&gt;$C$4),"",SUMIFS(Actuals!$G:$G,Actuals!$B:$B,$C$3,Actuals!$C:$C,9,Actuals!$D:$D,$B$298,Actuals!$A:$A,LEFT($D$298,FIND("|",$D$298&amp;"|")-1),Actuals!$E:$E,MID($D$298,FIND("|",$D$298&amp;"|")+1,50),Actuals!$F:$F,"JPY")*$E$5+SUMIFS(Actuals!$G:$G,Actuals!$B:$B,$C$3,Actuals!$C:$C,9,Actuals!$D:$D,$B$298,Actuals!$A:$A,LEFT($D$298,FIND("|",$D$298&amp;"|")-1),Actuals!$E:$E,MID($D$298,FIND("|",$D$298&amp;"|")+1,50),Actuals!$F:$F,"USD")*$F$5+SUMIFS(Actuals!$G:$G,Actuals!$B:$B,$C$3,Actuals!$C:$C,9,Actuals!$D:$D,$B$298,Actuals!$A:$A,LEFT($D$298,FIND("|",$D$298&amp;"|")-1),Actuals!$E:$E,MID($D$298,FIND("|",$D$298&amp;"|")+1,50),Actuals!$F:$F,"EUR")*$G$5+SUMIFS(Actuals!$G:$G,Actuals!$B:$B,$C$3,Actuals!$C:$C,9,Actuals!$D:$D,$B$298,Actuals!$A:$A,LEFT($D$298,FIND("|",$D$298&amp;"|")-1),Actuals!$E:$E,MID($D$298,FIND("|",$D$298&amp;"|")+1,50),Actuals!$F:$F,"GBP")*$H$5)</f>
        <v/>
      </c>
      <c r="Q299" s="18">
        <f>IF(OR($B$298="",10&gt;$C$4),"",SUMIFS(Actuals!$G:$G,Actuals!$B:$B,$C$3,Actuals!$C:$C,10,Actuals!$D:$D,$B$298,Actuals!$A:$A,LEFT($D$298,FIND("|",$D$298&amp;"|")-1),Actuals!$E:$E,MID($D$298,FIND("|",$D$298&amp;"|")+1,50),Actuals!$F:$F,"JPY")*$E$5+SUMIFS(Actuals!$G:$G,Actuals!$B:$B,$C$3,Actuals!$C:$C,10,Actuals!$D:$D,$B$298,Actuals!$A:$A,LEFT($D$298,FIND("|",$D$298&amp;"|")-1),Actuals!$E:$E,MID($D$298,FIND("|",$D$298&amp;"|")+1,50),Actuals!$F:$F,"USD")*$F$5+SUMIFS(Actuals!$G:$G,Actuals!$B:$B,$C$3,Actuals!$C:$C,10,Actuals!$D:$D,$B$298,Actuals!$A:$A,LEFT($D$298,FIND("|",$D$298&amp;"|")-1),Actuals!$E:$E,MID($D$298,FIND("|",$D$298&amp;"|")+1,50),Actuals!$F:$F,"EUR")*$G$5+SUMIFS(Actuals!$G:$G,Actuals!$B:$B,$C$3,Actuals!$C:$C,10,Actuals!$D:$D,$B$298,Actuals!$A:$A,LEFT($D$298,FIND("|",$D$298&amp;"|")-1),Actuals!$E:$E,MID($D$298,FIND("|",$D$298&amp;"|")+1,50),Actuals!$F:$F,"GBP")*$H$5)</f>
        <v/>
      </c>
      <c r="R299" s="18">
        <f>IF(OR($B$298="",11&gt;$C$4),"",SUMIFS(Actuals!$G:$G,Actuals!$B:$B,$C$3,Actuals!$C:$C,11,Actuals!$D:$D,$B$298,Actuals!$A:$A,LEFT($D$298,FIND("|",$D$298&amp;"|")-1),Actuals!$E:$E,MID($D$298,FIND("|",$D$298&amp;"|")+1,50),Actuals!$F:$F,"JPY")*$E$5+SUMIFS(Actuals!$G:$G,Actuals!$B:$B,$C$3,Actuals!$C:$C,11,Actuals!$D:$D,$B$298,Actuals!$A:$A,LEFT($D$298,FIND("|",$D$298&amp;"|")-1),Actuals!$E:$E,MID($D$298,FIND("|",$D$298&amp;"|")+1,50),Actuals!$F:$F,"USD")*$F$5+SUMIFS(Actuals!$G:$G,Actuals!$B:$B,$C$3,Actuals!$C:$C,11,Actuals!$D:$D,$B$298,Actuals!$A:$A,LEFT($D$298,FIND("|",$D$298&amp;"|")-1),Actuals!$E:$E,MID($D$298,FIND("|",$D$298&amp;"|")+1,50),Actuals!$F:$F,"EUR")*$G$5+SUMIFS(Actuals!$G:$G,Actuals!$B:$B,$C$3,Actuals!$C:$C,11,Actuals!$D:$D,$B$298,Actuals!$A:$A,LEFT($D$298,FIND("|",$D$298&amp;"|")-1),Actuals!$E:$E,MID($D$298,FIND("|",$D$298&amp;"|")+1,50),Actuals!$F:$F,"GBP")*$H$5)</f>
        <v/>
      </c>
      <c r="S299" s="18">
        <f>IF(OR($B$298="",12&gt;$C$4),"",SUMIFS(Actuals!$G:$G,Actuals!$B:$B,$C$3,Actuals!$C:$C,12,Actuals!$D:$D,$B$298,Actuals!$A:$A,LEFT($D$298,FIND("|",$D$298&amp;"|")-1),Actuals!$E:$E,MID($D$298,FIND("|",$D$298&amp;"|")+1,50),Actuals!$F:$F,"JPY")*$E$5+SUMIFS(Actuals!$G:$G,Actuals!$B:$B,$C$3,Actuals!$C:$C,12,Actuals!$D:$D,$B$298,Actuals!$A:$A,LEFT($D$298,FIND("|",$D$298&amp;"|")-1),Actuals!$E:$E,MID($D$298,FIND("|",$D$298&amp;"|")+1,50),Actuals!$F:$F,"USD")*$F$5+SUMIFS(Actuals!$G:$G,Actuals!$B:$B,$C$3,Actuals!$C:$C,12,Actuals!$D:$D,$B$298,Actuals!$A:$A,LEFT($D$298,FIND("|",$D$298&amp;"|")-1),Actuals!$E:$E,MID($D$298,FIND("|",$D$298&amp;"|")+1,50),Actuals!$F:$F,"EUR")*$G$5+SUMIFS(Actuals!$G:$G,Actuals!$B:$B,$C$3,Actuals!$C:$C,12,Actuals!$D:$D,$B$298,Actuals!$A:$A,LEFT($D$298,FIND("|",$D$298&amp;"|")-1),Actuals!$E:$E,MID($D$298,FIND("|",$D$298&amp;"|")+1,50),Actuals!$F:$F,"GBP")*$H$5)</f>
        <v/>
      </c>
      <c r="T299" s="18">
        <f>IF($B$298="","",SUMIF($H$7:$S$7,"&lt;="&amp;$C$4,$H299:$S299))</f>
        <v/>
      </c>
      <c r="U299" s="18" t="n"/>
      <c r="V299" s="18" t="n"/>
      <c r="X299" s="22">
        <f>IF($B299="","",IFERROR(INDEX(Cost_Centers!$E:$E,MATCH($B299,Cost_Centers!$A:$A,0)),"(unknown)"))</f>
        <v/>
      </c>
      <c r="Y299" s="22">
        <f>IF($B299="","",IFERROR(INDEX(Cost_Centers!$D:$D,MATCH($B299,Cost_Centers!$A:$A,0)),"(unknown)"))</f>
        <v/>
      </c>
      <c r="Z299" s="22">
        <f>IF(OR($B299="",$G299&lt;&gt;"Variance vs Budget"),"",ABS(N($V299))+ROW()/1000000000)</f>
        <v/>
      </c>
    </row>
    <row r="300">
      <c r="A300" s="13">
        <f>IF(A$298="","",A$298)</f>
        <v/>
      </c>
      <c r="B300" s="13">
        <f>IF(B$298="","",B$298)</f>
        <v/>
      </c>
      <c r="C300" s="13">
        <f>IF(C$298="","",C$298)</f>
        <v/>
      </c>
      <c r="D300" s="13">
        <f>IF(D$298="","",D$298)</f>
        <v/>
      </c>
      <c r="E300" s="13">
        <f>IF(E$298="","",E$298)</f>
        <v/>
      </c>
      <c r="F300" s="13">
        <f>IF(F$298="","",F$298)</f>
        <v/>
      </c>
      <c r="G300" s="6" t="inlineStr">
        <is>
          <t>Variance vs Budget</t>
        </is>
      </c>
      <c r="H300" s="33">
        <f>IF(OR($B$298="",1&gt;$C$4),"",N(H299)-H298)</f>
        <v/>
      </c>
      <c r="I300" s="33">
        <f>IF(OR($B$298="",2&gt;$C$4),"",N(I299)-I298)</f>
        <v/>
      </c>
      <c r="J300" s="33">
        <f>IF(OR($B$298="",3&gt;$C$4),"",N(J299)-J298)</f>
        <v/>
      </c>
      <c r="K300" s="33">
        <f>IF(OR($B$298="",4&gt;$C$4),"",N(K299)-K298)</f>
        <v/>
      </c>
      <c r="L300" s="33">
        <f>IF(OR($B$298="",5&gt;$C$4),"",N(L299)-L298)</f>
        <v/>
      </c>
      <c r="M300" s="33">
        <f>IF(OR($B$298="",6&gt;$C$4),"",N(M299)-M298)</f>
        <v/>
      </c>
      <c r="N300" s="33">
        <f>IF(OR($B$298="",7&gt;$C$4),"",N(N299)-N298)</f>
        <v/>
      </c>
      <c r="O300" s="33">
        <f>IF(OR($B$298="",8&gt;$C$4),"",N(O299)-O298)</f>
        <v/>
      </c>
      <c r="P300" s="33">
        <f>IF(OR($B$298="",9&gt;$C$4),"",N(P299)-P298)</f>
        <v/>
      </c>
      <c r="Q300" s="33">
        <f>IF(OR($B$298="",10&gt;$C$4),"",N(Q299)-Q298)</f>
        <v/>
      </c>
      <c r="R300" s="33">
        <f>IF(OR($B$298="",11&gt;$C$4),"",N(R299)-R298)</f>
        <v/>
      </c>
      <c r="S300" s="33">
        <f>IF(OR($B$298="",12&gt;$C$4),"",N(S299)-S298)</f>
        <v/>
      </c>
      <c r="T300" s="33">
        <f>IF($B$298="","",T299-T298)</f>
        <v/>
      </c>
      <c r="U300" s="33">
        <f>IF($B$298="","",U302-U298)</f>
        <v/>
      </c>
      <c r="V300" s="33">
        <f>IF($B$298="","",V302-V298)</f>
        <v/>
      </c>
      <c r="X300" s="22">
        <f>IF($B300="","",IFERROR(INDEX(Cost_Centers!$E:$E,MATCH($B300,Cost_Centers!$A:$A,0)),"(unknown)"))</f>
        <v/>
      </c>
      <c r="Y300" s="22">
        <f>IF($B300="","",IFERROR(INDEX(Cost_Centers!$D:$D,MATCH($B300,Cost_Centers!$A:$A,0)),"(unknown)"))</f>
        <v/>
      </c>
      <c r="Z300" s="22">
        <f>IF(OR($B300="",$G300&lt;&gt;"Variance vs Budget"),"",ABS(N($V300))+ROW()/1000000000)</f>
        <v/>
      </c>
    </row>
    <row r="301">
      <c r="A301" s="13">
        <f>IF(A$298="","",A$298)</f>
        <v/>
      </c>
      <c r="B301" s="13">
        <f>IF(B$298="","",B$298)</f>
        <v/>
      </c>
      <c r="C301" s="13">
        <f>IF(C$298="","",C$298)</f>
        <v/>
      </c>
      <c r="D301" s="13">
        <f>IF(D$298="","",D$298)</f>
        <v/>
      </c>
      <c r="E301" s="13">
        <f>IF(E$298="","",E$298)</f>
        <v/>
      </c>
      <c r="F301" s="13">
        <f>IF(F$298="","",F$298)</f>
        <v/>
      </c>
      <c r="G301" s="7" t="inlineStr">
        <is>
          <t>Forecast (input)</t>
        </is>
      </c>
      <c r="H301" s="34" t="n"/>
      <c r="I301" s="34" t="n"/>
      <c r="J301" s="34" t="n"/>
      <c r="K301" s="34" t="n"/>
      <c r="L301" s="34" t="n"/>
      <c r="M301" s="34" t="n"/>
      <c r="N301" s="34" t="n"/>
      <c r="O301" s="34" t="n"/>
      <c r="P301" s="34" t="n"/>
      <c r="Q301" s="34" t="n"/>
      <c r="R301" s="34" t="n"/>
      <c r="S301" s="34" t="n"/>
      <c r="T301" s="18" t="n"/>
      <c r="U301" s="18" t="n"/>
      <c r="V301" s="18" t="n"/>
      <c r="X301" s="22">
        <f>IF($B301="","",IFERROR(INDEX(Cost_Centers!$E:$E,MATCH($B301,Cost_Centers!$A:$A,0)),"(unknown)"))</f>
        <v/>
      </c>
      <c r="Y301" s="22">
        <f>IF($B301="","",IFERROR(INDEX(Cost_Centers!$D:$D,MATCH($B301,Cost_Centers!$A:$A,0)),"(unknown)"))</f>
        <v/>
      </c>
      <c r="Z301" s="22">
        <f>IF(OR($B301="",$G301&lt;&gt;"Variance vs Budget"),"",ABS(N($V301))+ROW()/1000000000)</f>
        <v/>
      </c>
    </row>
    <row r="302">
      <c r="A302" s="13">
        <f>IF(A$298="","",A$298)</f>
        <v/>
      </c>
      <c r="B302" s="13">
        <f>IF(B$298="","",B$298)</f>
        <v/>
      </c>
      <c r="C302" s="13">
        <f>IF(C$298="","",C$298)</f>
        <v/>
      </c>
      <c r="D302" s="13">
        <f>IF(D$298="","",D$298)</f>
        <v/>
      </c>
      <c r="E302" s="13">
        <f>IF(E$298="","",E$298)</f>
        <v/>
      </c>
      <c r="F302" s="13">
        <f>IF(F$298="","",F$298)</f>
        <v/>
      </c>
      <c r="G302" s="35" t="inlineStr">
        <is>
          <t>Actual + Forecast</t>
        </is>
      </c>
      <c r="H302" s="18">
        <f>IF($B$298="","",IF(1&lt;=$C$4,N(H299),IF(H301="",H298,H301)))</f>
        <v/>
      </c>
      <c r="I302" s="18">
        <f>IF($B$298="","",IF(2&lt;=$C$4,N(I299),IF(I301="",I298,I301)))</f>
        <v/>
      </c>
      <c r="J302" s="18">
        <f>IF($B$298="","",IF(3&lt;=$C$4,N(J299),IF(J301="",J298,J301)))</f>
        <v/>
      </c>
      <c r="K302" s="18">
        <f>IF($B$298="","",IF(4&lt;=$C$4,N(K299),IF(K301="",K298,K301)))</f>
        <v/>
      </c>
      <c r="L302" s="18">
        <f>IF($B$298="","",IF(5&lt;=$C$4,N(L299),IF(L301="",L298,L301)))</f>
        <v/>
      </c>
      <c r="M302" s="18">
        <f>IF($B$298="","",IF(6&lt;=$C$4,N(M299),IF(M301="",M298,M301)))</f>
        <v/>
      </c>
      <c r="N302" s="18">
        <f>IF($B$298="","",IF(7&lt;=$C$4,N(N299),IF(N301="",N298,N301)))</f>
        <v/>
      </c>
      <c r="O302" s="18">
        <f>IF($B$298="","",IF(8&lt;=$C$4,N(O299),IF(O301="",O298,O301)))</f>
        <v/>
      </c>
      <c r="P302" s="18">
        <f>IF($B$298="","",IF(9&lt;=$C$4,N(P299),IF(P301="",P298,P301)))</f>
        <v/>
      </c>
      <c r="Q302" s="18">
        <f>IF($B$298="","",IF(10&lt;=$C$4,N(Q299),IF(Q301="",Q298,Q301)))</f>
        <v/>
      </c>
      <c r="R302" s="18">
        <f>IF($B$298="","",IF(11&lt;=$C$4,N(R299),IF(R301="",R298,R301)))</f>
        <v/>
      </c>
      <c r="S302" s="18">
        <f>IF($B$298="","",IF(12&lt;=$C$4,N(S299),IF(S301="",S298,S301)))</f>
        <v/>
      </c>
      <c r="T302" s="18">
        <f>IF($B$298="","",SUMIF($H$7:$S$7,"&lt;="&amp;$C$4,$H302:$S302))</f>
        <v/>
      </c>
      <c r="U302" s="18">
        <f>IF($B$298="","",SUMIF($H$7:$S$7,"&gt;"&amp;$C$4,$H302:$S302))</f>
        <v/>
      </c>
      <c r="V302" s="18">
        <f>IF($B$298="","",SUM($H302:$S302))</f>
        <v/>
      </c>
      <c r="X302" s="22">
        <f>IF($B302="","",IFERROR(INDEX(Cost_Centers!$E:$E,MATCH($B302,Cost_Centers!$A:$A,0)),"(unknown)"))</f>
        <v/>
      </c>
      <c r="Y302" s="22">
        <f>IF($B302="","",IFERROR(INDEX(Cost_Centers!$D:$D,MATCH($B302,Cost_Centers!$A:$A,0)),"(unknown)"))</f>
        <v/>
      </c>
      <c r="Z302" s="22">
        <f>IF(OR($B302="",$G302&lt;&gt;"Variance vs Budget"),"",ABS(N($V302))+ROW()/1000000000)</f>
        <v/>
      </c>
    </row>
    <row r="303">
      <c r="A303" s="13">
        <f>IF(A$298="","",A$298)</f>
        <v/>
      </c>
      <c r="B303" s="13">
        <f>IF(B$298="","",B$298)</f>
        <v/>
      </c>
      <c r="C303" s="13">
        <f>IF(C$298="","",C$298)</f>
        <v/>
      </c>
      <c r="D303" s="13">
        <f>IF(D$298="","",D$298)</f>
        <v/>
      </c>
      <c r="E303" s="13">
        <f>IF(E$298="","",E$298)</f>
        <v/>
      </c>
      <c r="F303" s="13">
        <f>IF(F$298="","",F$298)</f>
        <v/>
      </c>
      <c r="G303" s="36" t="inlineStr">
        <is>
          <t>Prior Month Forecast</t>
        </is>
      </c>
      <c r="H303" s="37">
        <f>IF($B$298="","",IF(COUNTIFS(Prior_Forecast!$A:$A,$B$298,Prior_Forecast!$B:$B,$D$298)&gt;0,SUMIFS(Prior_Forecast!$C:$C,Prior_Forecast!$A:$A,$B$298,Prior_Forecast!$B:$B,$D$298),""))</f>
        <v/>
      </c>
      <c r="I303" s="37">
        <f>IF($B$298="","",IF(COUNTIFS(Prior_Forecast!$A:$A,$B$298,Prior_Forecast!$B:$B,$D$298)&gt;0,SUMIFS(Prior_Forecast!$D:$D,Prior_Forecast!$A:$A,$B$298,Prior_Forecast!$B:$B,$D$298),""))</f>
        <v/>
      </c>
      <c r="J303" s="37">
        <f>IF($B$298="","",IF(COUNTIFS(Prior_Forecast!$A:$A,$B$298,Prior_Forecast!$B:$B,$D$298)&gt;0,SUMIFS(Prior_Forecast!$E:$E,Prior_Forecast!$A:$A,$B$298,Prior_Forecast!$B:$B,$D$298),""))</f>
        <v/>
      </c>
      <c r="K303" s="37">
        <f>IF($B$298="","",IF(COUNTIFS(Prior_Forecast!$A:$A,$B$298,Prior_Forecast!$B:$B,$D$298)&gt;0,SUMIFS(Prior_Forecast!$F:$F,Prior_Forecast!$A:$A,$B$298,Prior_Forecast!$B:$B,$D$298),""))</f>
        <v/>
      </c>
      <c r="L303" s="37">
        <f>IF($B$298="","",IF(COUNTIFS(Prior_Forecast!$A:$A,$B$298,Prior_Forecast!$B:$B,$D$298)&gt;0,SUMIFS(Prior_Forecast!$G:$G,Prior_Forecast!$A:$A,$B$298,Prior_Forecast!$B:$B,$D$298),""))</f>
        <v/>
      </c>
      <c r="M303" s="37">
        <f>IF($B$298="","",IF(COUNTIFS(Prior_Forecast!$A:$A,$B$298,Prior_Forecast!$B:$B,$D$298)&gt;0,SUMIFS(Prior_Forecast!$H:$H,Prior_Forecast!$A:$A,$B$298,Prior_Forecast!$B:$B,$D$298),""))</f>
        <v/>
      </c>
      <c r="N303" s="37">
        <f>IF($B$298="","",IF(COUNTIFS(Prior_Forecast!$A:$A,$B$298,Prior_Forecast!$B:$B,$D$298)&gt;0,SUMIFS(Prior_Forecast!$I:$I,Prior_Forecast!$A:$A,$B$298,Prior_Forecast!$B:$B,$D$298),""))</f>
        <v/>
      </c>
      <c r="O303" s="37">
        <f>IF($B$298="","",IF(COUNTIFS(Prior_Forecast!$A:$A,$B$298,Prior_Forecast!$B:$B,$D$298)&gt;0,SUMIFS(Prior_Forecast!$J:$J,Prior_Forecast!$A:$A,$B$298,Prior_Forecast!$B:$B,$D$298),""))</f>
        <v/>
      </c>
      <c r="P303" s="37">
        <f>IF($B$298="","",IF(COUNTIFS(Prior_Forecast!$A:$A,$B$298,Prior_Forecast!$B:$B,$D$298)&gt;0,SUMIFS(Prior_Forecast!$K:$K,Prior_Forecast!$A:$A,$B$298,Prior_Forecast!$B:$B,$D$298),""))</f>
        <v/>
      </c>
      <c r="Q303" s="37">
        <f>IF($B$298="","",IF(COUNTIFS(Prior_Forecast!$A:$A,$B$298,Prior_Forecast!$B:$B,$D$298)&gt;0,SUMIFS(Prior_Forecast!$L:$L,Prior_Forecast!$A:$A,$B$298,Prior_Forecast!$B:$B,$D$298),""))</f>
        <v/>
      </c>
      <c r="R303" s="37">
        <f>IF($B$298="","",IF(COUNTIFS(Prior_Forecast!$A:$A,$B$298,Prior_Forecast!$B:$B,$D$298)&gt;0,SUMIFS(Prior_Forecast!$M:$M,Prior_Forecast!$A:$A,$B$298,Prior_Forecast!$B:$B,$D$298),""))</f>
        <v/>
      </c>
      <c r="S303" s="37">
        <f>IF($B$298="","",IF(COUNTIFS(Prior_Forecast!$A:$A,$B$298,Prior_Forecast!$B:$B,$D$298)&gt;0,SUMIFS(Prior_Forecast!$N:$N,Prior_Forecast!$A:$A,$B$298,Prior_Forecast!$B:$B,$D$298),""))</f>
        <v/>
      </c>
      <c r="T303" s="37">
        <f>IF($B$298="","",IF(COUNTIFS(Prior_Forecast!$A:$A,$B$298,Prior_Forecast!$B:$B,$D$298)&gt;0,SUMIFS(Prior_Forecast!$O:$O,Prior_Forecast!$A:$A,$B$298,Prior_Forecast!$B:$B,$D$298),""))</f>
        <v/>
      </c>
      <c r="U303" s="37">
        <f>IF($B$298="","",IF(COUNTIFS(Prior_Forecast!$A:$A,$B$298,Prior_Forecast!$B:$B,$D$298)&gt;0,SUMIFS(Prior_Forecast!$P:$P,Prior_Forecast!$A:$A,$B$298,Prior_Forecast!$B:$B,$D$298),""))</f>
        <v/>
      </c>
      <c r="V303" s="37">
        <f>IF($B$298="","",IF(COUNTIFS(Prior_Forecast!$A:$A,$B$298,Prior_Forecast!$B:$B,$D$298)&gt;0,SUMIFS(Prior_Forecast!$Q:$Q,Prior_Forecast!$A:$A,$B$298,Prior_Forecast!$B:$B,$D$298),""))</f>
        <v/>
      </c>
      <c r="X303" s="22">
        <f>IF($B303="","",IFERROR(INDEX(Cost_Centers!$E:$E,MATCH($B303,Cost_Centers!$A:$A,0)),"(unknown)"))</f>
        <v/>
      </c>
      <c r="Y303" s="22">
        <f>IF($B303="","",IFERROR(INDEX(Cost_Centers!$D:$D,MATCH($B303,Cost_Centers!$A:$A,0)),"(unknown)"))</f>
        <v/>
      </c>
      <c r="Z303" s="22">
        <f>IF(OR($B303="",$G303&lt;&gt;"Variance vs Budget"),"",ABS(N($V303))+ROW()/1000000000)</f>
        <v/>
      </c>
    </row>
    <row r="304">
      <c r="A304" s="13">
        <f>IF(A$298="","",A$298)</f>
        <v/>
      </c>
      <c r="B304" s="13">
        <f>IF(B$298="","",B$298)</f>
        <v/>
      </c>
      <c r="C304" s="13">
        <f>IF(C$298="","",C$298)</f>
        <v/>
      </c>
      <c r="D304" s="13">
        <f>IF(D$298="","",D$298)</f>
        <v/>
      </c>
      <c r="E304" s="13">
        <f>IF(E$298="","",E$298)</f>
        <v/>
      </c>
      <c r="F304" s="13">
        <f>IF(F$298="","",F$298)</f>
        <v/>
      </c>
      <c r="G304" s="6" t="inlineStr">
        <is>
          <t>Variance vs Prior Month</t>
        </is>
      </c>
      <c r="H304" s="33">
        <f>IF(OR($B$298="",H303=""),"",H302-H303)</f>
        <v/>
      </c>
      <c r="I304" s="33">
        <f>IF(OR($B$298="",I303=""),"",I302-I303)</f>
        <v/>
      </c>
      <c r="J304" s="33">
        <f>IF(OR($B$298="",J303=""),"",J302-J303)</f>
        <v/>
      </c>
      <c r="K304" s="33">
        <f>IF(OR($B$298="",K303=""),"",K302-K303)</f>
        <v/>
      </c>
      <c r="L304" s="33">
        <f>IF(OR($B$298="",L303=""),"",L302-L303)</f>
        <v/>
      </c>
      <c r="M304" s="33">
        <f>IF(OR($B$298="",M303=""),"",M302-M303)</f>
        <v/>
      </c>
      <c r="N304" s="33">
        <f>IF(OR($B$298="",N303=""),"",N302-N303)</f>
        <v/>
      </c>
      <c r="O304" s="33">
        <f>IF(OR($B$298="",O303=""),"",O302-O303)</f>
        <v/>
      </c>
      <c r="P304" s="33">
        <f>IF(OR($B$298="",P303=""),"",P302-P303)</f>
        <v/>
      </c>
      <c r="Q304" s="33">
        <f>IF(OR($B$298="",Q303=""),"",Q302-Q303)</f>
        <v/>
      </c>
      <c r="R304" s="33">
        <f>IF(OR($B$298="",R303=""),"",R302-R303)</f>
        <v/>
      </c>
      <c r="S304" s="33">
        <f>IF(OR($B$298="",S303=""),"",S302-S303)</f>
        <v/>
      </c>
      <c r="T304" s="33">
        <f>IF(OR($B$298="",T303=""),"",T302-T303)</f>
        <v/>
      </c>
      <c r="U304" s="33">
        <f>IF(OR($B$298="",U303=""),"",U302-U303)</f>
        <v/>
      </c>
      <c r="V304" s="33">
        <f>IF(OR($B$298="",V303=""),"",V302-V303)</f>
        <v/>
      </c>
      <c r="X304" s="22">
        <f>IF($B304="","",IFERROR(INDEX(Cost_Centers!$E:$E,MATCH($B304,Cost_Centers!$A:$A,0)),"(unknown)"))</f>
        <v/>
      </c>
      <c r="Y304" s="22">
        <f>IF($B304="","",IFERROR(INDEX(Cost_Centers!$D:$D,MATCH($B304,Cost_Centers!$A:$A,0)),"(unknown)"))</f>
        <v/>
      </c>
      <c r="Z304" s="22">
        <f>IF(OR($B304="",$G304&lt;&gt;"Variance vs Budget"),"",ABS(N($V304))+ROW()/1000000000)</f>
        <v/>
      </c>
    </row>
    <row r="305" ht="45" customHeight="1">
      <c r="A305" s="13">
        <f>IF(A$298="","",A$298)</f>
        <v/>
      </c>
      <c r="B305" s="13">
        <f>IF(B$298="","",B$298)</f>
        <v/>
      </c>
      <c r="C305" s="13">
        <f>IF(C$298="","",C$298)</f>
        <v/>
      </c>
      <c r="D305" s="13">
        <f>IF(D$298="","",D$298)</f>
        <v/>
      </c>
      <c r="E305" s="13">
        <f>IF(E$298="","",E$298)</f>
        <v/>
      </c>
      <c r="F305" s="13">
        <f>IF(F$298="","",F$298)</f>
        <v/>
      </c>
      <c r="G305" s="7" t="inlineStr">
        <is>
          <t>Rationale</t>
        </is>
      </c>
      <c r="H305" s="38" t="n"/>
      <c r="I305" s="38" t="n"/>
      <c r="J305" s="38" t="n"/>
      <c r="K305" s="38" t="n"/>
      <c r="L305" s="38" t="n"/>
      <c r="M305" s="38" t="n"/>
      <c r="N305" s="38" t="n"/>
      <c r="O305" s="38" t="n"/>
      <c r="P305" s="38" t="n"/>
      <c r="Q305" s="38" t="n"/>
      <c r="R305" s="38" t="n"/>
      <c r="S305" s="38" t="n"/>
      <c r="T305" s="38" t="n"/>
      <c r="U305" s="38" t="n"/>
      <c r="V305" s="7" t="n"/>
      <c r="X305" s="22">
        <f>IF($B305="","",IFERROR(INDEX(Cost_Centers!$E:$E,MATCH($B305,Cost_Centers!$A:$A,0)),"(unknown)"))</f>
        <v/>
      </c>
      <c r="Y305" s="22">
        <f>IF($B305="","",IFERROR(INDEX(Cost_Centers!$D:$D,MATCH($B305,Cost_Centers!$A:$A,0)),"(unknown)"))</f>
        <v/>
      </c>
      <c r="Z305" s="22">
        <f>IF(OR($B305="",$G305&lt;&gt;"Variance vs Budget"),"",ABS(N($V305))+ROW()/1000000000)</f>
        <v/>
      </c>
    </row>
    <row r="306">
      <c r="A306" s="30">
        <f>IF($D$306="","",LEFT($D$306,FIND("|",$D$306&amp;"|")-1))</f>
        <v/>
      </c>
      <c r="B306" s="31" t="n"/>
      <c r="C306" s="30">
        <f>IF($B$306="","",IFERROR(INDEX(Cost_Centers!$B:$B,MATCH($B$306,Cost_Centers!$A:$A,0)),"(not in master)"))</f>
        <v/>
      </c>
      <c r="D306" s="31" t="n"/>
      <c r="E306" s="30">
        <f>IF($D$306="","",IFERROR(INDEX(Accounts!$D:$D,MATCH($D$306,Accounts!$A:$A,0)),"(not in master)"))</f>
        <v/>
      </c>
      <c r="F306" s="31" t="n"/>
      <c r="G306" s="30" t="inlineStr">
        <is>
          <t>Budget</t>
        </is>
      </c>
      <c r="H306" s="32">
        <f>IF($B$306="","",SUMIFS(Opex_Budget!$O:$O,Opex_Budget!$A:$A,$C$3,Opex_Budget!$E:$E,$B$306,Opex_Budget!$F:$F,$D$306,Opex_Budget!$N:$N,"JPY")*$E$5+SUMIFS(Opex_Budget!$O:$O,Opex_Budget!$A:$A,$C$3,Opex_Budget!$E:$E,$B$306,Opex_Budget!$F:$F,$D$306,Opex_Budget!$N:$N,"USD")*$F$5+SUMIFS(Opex_Budget!$O:$O,Opex_Budget!$A:$A,$C$3,Opex_Budget!$E:$E,$B$306,Opex_Budget!$F:$F,$D$306,Opex_Budget!$N:$N,"EUR")*$G$5+SUMIFS(Opex_Budget!$O:$O,Opex_Budget!$A:$A,$C$3,Opex_Budget!$E:$E,$B$306,Opex_Budget!$F:$F,$D$306,Opex_Budget!$N:$N,"GBP")*$H$5)</f>
        <v/>
      </c>
      <c r="I306" s="32">
        <f>IF($B$306="","",SUMIFS(Opex_Budget!$P:$P,Opex_Budget!$A:$A,$C$3,Opex_Budget!$E:$E,$B$306,Opex_Budget!$F:$F,$D$306,Opex_Budget!$N:$N,"JPY")*$E$5+SUMIFS(Opex_Budget!$P:$P,Opex_Budget!$A:$A,$C$3,Opex_Budget!$E:$E,$B$306,Opex_Budget!$F:$F,$D$306,Opex_Budget!$N:$N,"USD")*$F$5+SUMIFS(Opex_Budget!$P:$P,Opex_Budget!$A:$A,$C$3,Opex_Budget!$E:$E,$B$306,Opex_Budget!$F:$F,$D$306,Opex_Budget!$N:$N,"EUR")*$G$5+SUMIFS(Opex_Budget!$P:$P,Opex_Budget!$A:$A,$C$3,Opex_Budget!$E:$E,$B$306,Opex_Budget!$F:$F,$D$306,Opex_Budget!$N:$N,"GBP")*$H$5)</f>
        <v/>
      </c>
      <c r="J306" s="32">
        <f>IF($B$306="","",SUMIFS(Opex_Budget!$Q:$Q,Opex_Budget!$A:$A,$C$3,Opex_Budget!$E:$E,$B$306,Opex_Budget!$F:$F,$D$306,Opex_Budget!$N:$N,"JPY")*$E$5+SUMIFS(Opex_Budget!$Q:$Q,Opex_Budget!$A:$A,$C$3,Opex_Budget!$E:$E,$B$306,Opex_Budget!$F:$F,$D$306,Opex_Budget!$N:$N,"USD")*$F$5+SUMIFS(Opex_Budget!$Q:$Q,Opex_Budget!$A:$A,$C$3,Opex_Budget!$E:$E,$B$306,Opex_Budget!$F:$F,$D$306,Opex_Budget!$N:$N,"EUR")*$G$5+SUMIFS(Opex_Budget!$Q:$Q,Opex_Budget!$A:$A,$C$3,Opex_Budget!$E:$E,$B$306,Opex_Budget!$F:$F,$D$306,Opex_Budget!$N:$N,"GBP")*$H$5)</f>
        <v/>
      </c>
      <c r="K306" s="32">
        <f>IF($B$306="","",SUMIFS(Opex_Budget!$R:$R,Opex_Budget!$A:$A,$C$3,Opex_Budget!$E:$E,$B$306,Opex_Budget!$F:$F,$D$306,Opex_Budget!$N:$N,"JPY")*$E$5+SUMIFS(Opex_Budget!$R:$R,Opex_Budget!$A:$A,$C$3,Opex_Budget!$E:$E,$B$306,Opex_Budget!$F:$F,$D$306,Opex_Budget!$N:$N,"USD")*$F$5+SUMIFS(Opex_Budget!$R:$R,Opex_Budget!$A:$A,$C$3,Opex_Budget!$E:$E,$B$306,Opex_Budget!$F:$F,$D$306,Opex_Budget!$N:$N,"EUR")*$G$5+SUMIFS(Opex_Budget!$R:$R,Opex_Budget!$A:$A,$C$3,Opex_Budget!$E:$E,$B$306,Opex_Budget!$F:$F,$D$306,Opex_Budget!$N:$N,"GBP")*$H$5)</f>
        <v/>
      </c>
      <c r="L306" s="32">
        <f>IF($B$306="","",SUMIFS(Opex_Budget!$S:$S,Opex_Budget!$A:$A,$C$3,Opex_Budget!$E:$E,$B$306,Opex_Budget!$F:$F,$D$306,Opex_Budget!$N:$N,"JPY")*$E$5+SUMIFS(Opex_Budget!$S:$S,Opex_Budget!$A:$A,$C$3,Opex_Budget!$E:$E,$B$306,Opex_Budget!$F:$F,$D$306,Opex_Budget!$N:$N,"USD")*$F$5+SUMIFS(Opex_Budget!$S:$S,Opex_Budget!$A:$A,$C$3,Opex_Budget!$E:$E,$B$306,Opex_Budget!$F:$F,$D$306,Opex_Budget!$N:$N,"EUR")*$G$5+SUMIFS(Opex_Budget!$S:$S,Opex_Budget!$A:$A,$C$3,Opex_Budget!$E:$E,$B$306,Opex_Budget!$F:$F,$D$306,Opex_Budget!$N:$N,"GBP")*$H$5)</f>
        <v/>
      </c>
      <c r="M306" s="32">
        <f>IF($B$306="","",SUMIFS(Opex_Budget!$T:$T,Opex_Budget!$A:$A,$C$3,Opex_Budget!$E:$E,$B$306,Opex_Budget!$F:$F,$D$306,Opex_Budget!$N:$N,"JPY")*$E$5+SUMIFS(Opex_Budget!$T:$T,Opex_Budget!$A:$A,$C$3,Opex_Budget!$E:$E,$B$306,Opex_Budget!$F:$F,$D$306,Opex_Budget!$N:$N,"USD")*$F$5+SUMIFS(Opex_Budget!$T:$T,Opex_Budget!$A:$A,$C$3,Opex_Budget!$E:$E,$B$306,Opex_Budget!$F:$F,$D$306,Opex_Budget!$N:$N,"EUR")*$G$5+SUMIFS(Opex_Budget!$T:$T,Opex_Budget!$A:$A,$C$3,Opex_Budget!$E:$E,$B$306,Opex_Budget!$F:$F,$D$306,Opex_Budget!$N:$N,"GBP")*$H$5)</f>
        <v/>
      </c>
      <c r="N306" s="32">
        <f>IF($B$306="","",SUMIFS(Opex_Budget!$U:$U,Opex_Budget!$A:$A,$C$3,Opex_Budget!$E:$E,$B$306,Opex_Budget!$F:$F,$D$306,Opex_Budget!$N:$N,"JPY")*$E$5+SUMIFS(Opex_Budget!$U:$U,Opex_Budget!$A:$A,$C$3,Opex_Budget!$E:$E,$B$306,Opex_Budget!$F:$F,$D$306,Opex_Budget!$N:$N,"USD")*$F$5+SUMIFS(Opex_Budget!$U:$U,Opex_Budget!$A:$A,$C$3,Opex_Budget!$E:$E,$B$306,Opex_Budget!$F:$F,$D$306,Opex_Budget!$N:$N,"EUR")*$G$5+SUMIFS(Opex_Budget!$U:$U,Opex_Budget!$A:$A,$C$3,Opex_Budget!$E:$E,$B$306,Opex_Budget!$F:$F,$D$306,Opex_Budget!$N:$N,"GBP")*$H$5)</f>
        <v/>
      </c>
      <c r="O306" s="32">
        <f>IF($B$306="","",SUMIFS(Opex_Budget!$V:$V,Opex_Budget!$A:$A,$C$3,Opex_Budget!$E:$E,$B$306,Opex_Budget!$F:$F,$D$306,Opex_Budget!$N:$N,"JPY")*$E$5+SUMIFS(Opex_Budget!$V:$V,Opex_Budget!$A:$A,$C$3,Opex_Budget!$E:$E,$B$306,Opex_Budget!$F:$F,$D$306,Opex_Budget!$N:$N,"USD")*$F$5+SUMIFS(Opex_Budget!$V:$V,Opex_Budget!$A:$A,$C$3,Opex_Budget!$E:$E,$B$306,Opex_Budget!$F:$F,$D$306,Opex_Budget!$N:$N,"EUR")*$G$5+SUMIFS(Opex_Budget!$V:$V,Opex_Budget!$A:$A,$C$3,Opex_Budget!$E:$E,$B$306,Opex_Budget!$F:$F,$D$306,Opex_Budget!$N:$N,"GBP")*$H$5)</f>
        <v/>
      </c>
      <c r="P306" s="32">
        <f>IF($B$306="","",SUMIFS(Opex_Budget!$W:$W,Opex_Budget!$A:$A,$C$3,Opex_Budget!$E:$E,$B$306,Opex_Budget!$F:$F,$D$306,Opex_Budget!$N:$N,"JPY")*$E$5+SUMIFS(Opex_Budget!$W:$W,Opex_Budget!$A:$A,$C$3,Opex_Budget!$E:$E,$B$306,Opex_Budget!$F:$F,$D$306,Opex_Budget!$N:$N,"USD")*$F$5+SUMIFS(Opex_Budget!$W:$W,Opex_Budget!$A:$A,$C$3,Opex_Budget!$E:$E,$B$306,Opex_Budget!$F:$F,$D$306,Opex_Budget!$N:$N,"EUR")*$G$5+SUMIFS(Opex_Budget!$W:$W,Opex_Budget!$A:$A,$C$3,Opex_Budget!$E:$E,$B$306,Opex_Budget!$F:$F,$D$306,Opex_Budget!$N:$N,"GBP")*$H$5)</f>
        <v/>
      </c>
      <c r="Q306" s="32">
        <f>IF($B$306="","",SUMIFS(Opex_Budget!$X:$X,Opex_Budget!$A:$A,$C$3,Opex_Budget!$E:$E,$B$306,Opex_Budget!$F:$F,$D$306,Opex_Budget!$N:$N,"JPY")*$E$5+SUMIFS(Opex_Budget!$X:$X,Opex_Budget!$A:$A,$C$3,Opex_Budget!$E:$E,$B$306,Opex_Budget!$F:$F,$D$306,Opex_Budget!$N:$N,"USD")*$F$5+SUMIFS(Opex_Budget!$X:$X,Opex_Budget!$A:$A,$C$3,Opex_Budget!$E:$E,$B$306,Opex_Budget!$F:$F,$D$306,Opex_Budget!$N:$N,"EUR")*$G$5+SUMIFS(Opex_Budget!$X:$X,Opex_Budget!$A:$A,$C$3,Opex_Budget!$E:$E,$B$306,Opex_Budget!$F:$F,$D$306,Opex_Budget!$N:$N,"GBP")*$H$5)</f>
        <v/>
      </c>
      <c r="R306" s="32">
        <f>IF($B$306="","",SUMIFS(Opex_Budget!$Y:$Y,Opex_Budget!$A:$A,$C$3,Opex_Budget!$E:$E,$B$306,Opex_Budget!$F:$F,$D$306,Opex_Budget!$N:$N,"JPY")*$E$5+SUMIFS(Opex_Budget!$Y:$Y,Opex_Budget!$A:$A,$C$3,Opex_Budget!$E:$E,$B$306,Opex_Budget!$F:$F,$D$306,Opex_Budget!$N:$N,"USD")*$F$5+SUMIFS(Opex_Budget!$Y:$Y,Opex_Budget!$A:$A,$C$3,Opex_Budget!$E:$E,$B$306,Opex_Budget!$F:$F,$D$306,Opex_Budget!$N:$N,"EUR")*$G$5+SUMIFS(Opex_Budget!$Y:$Y,Opex_Budget!$A:$A,$C$3,Opex_Budget!$E:$E,$B$306,Opex_Budget!$F:$F,$D$306,Opex_Budget!$N:$N,"GBP")*$H$5)</f>
        <v/>
      </c>
      <c r="S306" s="32">
        <f>IF($B$306="","",SUMIFS(Opex_Budget!$Z:$Z,Opex_Budget!$A:$A,$C$3,Opex_Budget!$E:$E,$B$306,Opex_Budget!$F:$F,$D$306,Opex_Budget!$N:$N,"JPY")*$E$5+SUMIFS(Opex_Budget!$Z:$Z,Opex_Budget!$A:$A,$C$3,Opex_Budget!$E:$E,$B$306,Opex_Budget!$F:$F,$D$306,Opex_Budget!$N:$N,"USD")*$F$5+SUMIFS(Opex_Budget!$Z:$Z,Opex_Budget!$A:$A,$C$3,Opex_Budget!$E:$E,$B$306,Opex_Budget!$F:$F,$D$306,Opex_Budget!$N:$N,"EUR")*$G$5+SUMIFS(Opex_Budget!$Z:$Z,Opex_Budget!$A:$A,$C$3,Opex_Budget!$E:$E,$B$306,Opex_Budget!$F:$F,$D$306,Opex_Budget!$N:$N,"GBP")*$H$5)</f>
        <v/>
      </c>
      <c r="T306" s="32">
        <f>IF($B$306="","",SUMIF($H$7:$S$7,"&lt;="&amp;$C$4,$H306:$S306))</f>
        <v/>
      </c>
      <c r="U306" s="32">
        <f>IF($B$306="","",SUMIF($H$7:$S$7,"&gt;"&amp;$C$4,$H306:$S306))</f>
        <v/>
      </c>
      <c r="V306" s="32">
        <f>IF($B$306="","",SUM($H306:$S306))</f>
        <v/>
      </c>
      <c r="X306" s="22">
        <f>IF($B306="","",IFERROR(INDEX(Cost_Centers!$E:$E,MATCH($B306,Cost_Centers!$A:$A,0)),"(unknown)"))</f>
        <v/>
      </c>
      <c r="Y306" s="22">
        <f>IF($B306="","",IFERROR(INDEX(Cost_Centers!$D:$D,MATCH($B306,Cost_Centers!$A:$A,0)),"(unknown)"))</f>
        <v/>
      </c>
      <c r="Z306" s="22">
        <f>IF(OR($B306="",$G306&lt;&gt;"Variance vs Budget"),"",ABS(N($V306))+ROW()/1000000000)</f>
        <v/>
      </c>
    </row>
    <row r="307">
      <c r="A307" s="13">
        <f>IF(A$306="","",A$306)</f>
        <v/>
      </c>
      <c r="B307" s="13">
        <f>IF(B$306="","",B$306)</f>
        <v/>
      </c>
      <c r="C307" s="13">
        <f>IF(C$306="","",C$306)</f>
        <v/>
      </c>
      <c r="D307" s="13">
        <f>IF(D$306="","",D$306)</f>
        <v/>
      </c>
      <c r="E307" s="13">
        <f>IF(E$306="","",E$306)</f>
        <v/>
      </c>
      <c r="F307" s="13">
        <f>IF(F$306="","",F$306)</f>
        <v/>
      </c>
      <c r="G307" s="7" t="inlineStr">
        <is>
          <t>Actual</t>
        </is>
      </c>
      <c r="H307" s="18">
        <f>IF(OR($B$306="",1&gt;$C$4),"",SUMIFS(Actuals!$G:$G,Actuals!$B:$B,$C$3,Actuals!$C:$C,1,Actuals!$D:$D,$B$306,Actuals!$A:$A,LEFT($D$306,FIND("|",$D$306&amp;"|")-1),Actuals!$E:$E,MID($D$306,FIND("|",$D$306&amp;"|")+1,50),Actuals!$F:$F,"JPY")*$E$5+SUMIFS(Actuals!$G:$G,Actuals!$B:$B,$C$3,Actuals!$C:$C,1,Actuals!$D:$D,$B$306,Actuals!$A:$A,LEFT($D$306,FIND("|",$D$306&amp;"|")-1),Actuals!$E:$E,MID($D$306,FIND("|",$D$306&amp;"|")+1,50),Actuals!$F:$F,"USD")*$F$5+SUMIFS(Actuals!$G:$G,Actuals!$B:$B,$C$3,Actuals!$C:$C,1,Actuals!$D:$D,$B$306,Actuals!$A:$A,LEFT($D$306,FIND("|",$D$306&amp;"|")-1),Actuals!$E:$E,MID($D$306,FIND("|",$D$306&amp;"|")+1,50),Actuals!$F:$F,"EUR")*$G$5+SUMIFS(Actuals!$G:$G,Actuals!$B:$B,$C$3,Actuals!$C:$C,1,Actuals!$D:$D,$B$306,Actuals!$A:$A,LEFT($D$306,FIND("|",$D$306&amp;"|")-1),Actuals!$E:$E,MID($D$306,FIND("|",$D$306&amp;"|")+1,50),Actuals!$F:$F,"GBP")*$H$5)</f>
        <v/>
      </c>
      <c r="I307" s="18">
        <f>IF(OR($B$306="",2&gt;$C$4),"",SUMIFS(Actuals!$G:$G,Actuals!$B:$B,$C$3,Actuals!$C:$C,2,Actuals!$D:$D,$B$306,Actuals!$A:$A,LEFT($D$306,FIND("|",$D$306&amp;"|")-1),Actuals!$E:$E,MID($D$306,FIND("|",$D$306&amp;"|")+1,50),Actuals!$F:$F,"JPY")*$E$5+SUMIFS(Actuals!$G:$G,Actuals!$B:$B,$C$3,Actuals!$C:$C,2,Actuals!$D:$D,$B$306,Actuals!$A:$A,LEFT($D$306,FIND("|",$D$306&amp;"|")-1),Actuals!$E:$E,MID($D$306,FIND("|",$D$306&amp;"|")+1,50),Actuals!$F:$F,"USD")*$F$5+SUMIFS(Actuals!$G:$G,Actuals!$B:$B,$C$3,Actuals!$C:$C,2,Actuals!$D:$D,$B$306,Actuals!$A:$A,LEFT($D$306,FIND("|",$D$306&amp;"|")-1),Actuals!$E:$E,MID($D$306,FIND("|",$D$306&amp;"|")+1,50),Actuals!$F:$F,"EUR")*$G$5+SUMIFS(Actuals!$G:$G,Actuals!$B:$B,$C$3,Actuals!$C:$C,2,Actuals!$D:$D,$B$306,Actuals!$A:$A,LEFT($D$306,FIND("|",$D$306&amp;"|")-1),Actuals!$E:$E,MID($D$306,FIND("|",$D$306&amp;"|")+1,50),Actuals!$F:$F,"GBP")*$H$5)</f>
        <v/>
      </c>
      <c r="J307" s="18">
        <f>IF(OR($B$306="",3&gt;$C$4),"",SUMIFS(Actuals!$G:$G,Actuals!$B:$B,$C$3,Actuals!$C:$C,3,Actuals!$D:$D,$B$306,Actuals!$A:$A,LEFT($D$306,FIND("|",$D$306&amp;"|")-1),Actuals!$E:$E,MID($D$306,FIND("|",$D$306&amp;"|")+1,50),Actuals!$F:$F,"JPY")*$E$5+SUMIFS(Actuals!$G:$G,Actuals!$B:$B,$C$3,Actuals!$C:$C,3,Actuals!$D:$D,$B$306,Actuals!$A:$A,LEFT($D$306,FIND("|",$D$306&amp;"|")-1),Actuals!$E:$E,MID($D$306,FIND("|",$D$306&amp;"|")+1,50),Actuals!$F:$F,"USD")*$F$5+SUMIFS(Actuals!$G:$G,Actuals!$B:$B,$C$3,Actuals!$C:$C,3,Actuals!$D:$D,$B$306,Actuals!$A:$A,LEFT($D$306,FIND("|",$D$306&amp;"|")-1),Actuals!$E:$E,MID($D$306,FIND("|",$D$306&amp;"|")+1,50),Actuals!$F:$F,"EUR")*$G$5+SUMIFS(Actuals!$G:$G,Actuals!$B:$B,$C$3,Actuals!$C:$C,3,Actuals!$D:$D,$B$306,Actuals!$A:$A,LEFT($D$306,FIND("|",$D$306&amp;"|")-1),Actuals!$E:$E,MID($D$306,FIND("|",$D$306&amp;"|")+1,50),Actuals!$F:$F,"GBP")*$H$5)</f>
        <v/>
      </c>
      <c r="K307" s="18">
        <f>IF(OR($B$306="",4&gt;$C$4),"",SUMIFS(Actuals!$G:$G,Actuals!$B:$B,$C$3,Actuals!$C:$C,4,Actuals!$D:$D,$B$306,Actuals!$A:$A,LEFT($D$306,FIND("|",$D$306&amp;"|")-1),Actuals!$E:$E,MID($D$306,FIND("|",$D$306&amp;"|")+1,50),Actuals!$F:$F,"JPY")*$E$5+SUMIFS(Actuals!$G:$G,Actuals!$B:$B,$C$3,Actuals!$C:$C,4,Actuals!$D:$D,$B$306,Actuals!$A:$A,LEFT($D$306,FIND("|",$D$306&amp;"|")-1),Actuals!$E:$E,MID($D$306,FIND("|",$D$306&amp;"|")+1,50),Actuals!$F:$F,"USD")*$F$5+SUMIFS(Actuals!$G:$G,Actuals!$B:$B,$C$3,Actuals!$C:$C,4,Actuals!$D:$D,$B$306,Actuals!$A:$A,LEFT($D$306,FIND("|",$D$306&amp;"|")-1),Actuals!$E:$E,MID($D$306,FIND("|",$D$306&amp;"|")+1,50),Actuals!$F:$F,"EUR")*$G$5+SUMIFS(Actuals!$G:$G,Actuals!$B:$B,$C$3,Actuals!$C:$C,4,Actuals!$D:$D,$B$306,Actuals!$A:$A,LEFT($D$306,FIND("|",$D$306&amp;"|")-1),Actuals!$E:$E,MID($D$306,FIND("|",$D$306&amp;"|")+1,50),Actuals!$F:$F,"GBP")*$H$5)</f>
        <v/>
      </c>
      <c r="L307" s="18">
        <f>IF(OR($B$306="",5&gt;$C$4),"",SUMIFS(Actuals!$G:$G,Actuals!$B:$B,$C$3,Actuals!$C:$C,5,Actuals!$D:$D,$B$306,Actuals!$A:$A,LEFT($D$306,FIND("|",$D$306&amp;"|")-1),Actuals!$E:$E,MID($D$306,FIND("|",$D$306&amp;"|")+1,50),Actuals!$F:$F,"JPY")*$E$5+SUMIFS(Actuals!$G:$G,Actuals!$B:$B,$C$3,Actuals!$C:$C,5,Actuals!$D:$D,$B$306,Actuals!$A:$A,LEFT($D$306,FIND("|",$D$306&amp;"|")-1),Actuals!$E:$E,MID($D$306,FIND("|",$D$306&amp;"|")+1,50),Actuals!$F:$F,"USD")*$F$5+SUMIFS(Actuals!$G:$G,Actuals!$B:$B,$C$3,Actuals!$C:$C,5,Actuals!$D:$D,$B$306,Actuals!$A:$A,LEFT($D$306,FIND("|",$D$306&amp;"|")-1),Actuals!$E:$E,MID($D$306,FIND("|",$D$306&amp;"|")+1,50),Actuals!$F:$F,"EUR")*$G$5+SUMIFS(Actuals!$G:$G,Actuals!$B:$B,$C$3,Actuals!$C:$C,5,Actuals!$D:$D,$B$306,Actuals!$A:$A,LEFT($D$306,FIND("|",$D$306&amp;"|")-1),Actuals!$E:$E,MID($D$306,FIND("|",$D$306&amp;"|")+1,50),Actuals!$F:$F,"GBP")*$H$5)</f>
        <v/>
      </c>
      <c r="M307" s="18">
        <f>IF(OR($B$306="",6&gt;$C$4),"",SUMIFS(Actuals!$G:$G,Actuals!$B:$B,$C$3,Actuals!$C:$C,6,Actuals!$D:$D,$B$306,Actuals!$A:$A,LEFT($D$306,FIND("|",$D$306&amp;"|")-1),Actuals!$E:$E,MID($D$306,FIND("|",$D$306&amp;"|")+1,50),Actuals!$F:$F,"JPY")*$E$5+SUMIFS(Actuals!$G:$G,Actuals!$B:$B,$C$3,Actuals!$C:$C,6,Actuals!$D:$D,$B$306,Actuals!$A:$A,LEFT($D$306,FIND("|",$D$306&amp;"|")-1),Actuals!$E:$E,MID($D$306,FIND("|",$D$306&amp;"|")+1,50),Actuals!$F:$F,"USD")*$F$5+SUMIFS(Actuals!$G:$G,Actuals!$B:$B,$C$3,Actuals!$C:$C,6,Actuals!$D:$D,$B$306,Actuals!$A:$A,LEFT($D$306,FIND("|",$D$306&amp;"|")-1),Actuals!$E:$E,MID($D$306,FIND("|",$D$306&amp;"|")+1,50),Actuals!$F:$F,"EUR")*$G$5+SUMIFS(Actuals!$G:$G,Actuals!$B:$B,$C$3,Actuals!$C:$C,6,Actuals!$D:$D,$B$306,Actuals!$A:$A,LEFT($D$306,FIND("|",$D$306&amp;"|")-1),Actuals!$E:$E,MID($D$306,FIND("|",$D$306&amp;"|")+1,50),Actuals!$F:$F,"GBP")*$H$5)</f>
        <v/>
      </c>
      <c r="N307" s="18">
        <f>IF(OR($B$306="",7&gt;$C$4),"",SUMIFS(Actuals!$G:$G,Actuals!$B:$B,$C$3,Actuals!$C:$C,7,Actuals!$D:$D,$B$306,Actuals!$A:$A,LEFT($D$306,FIND("|",$D$306&amp;"|")-1),Actuals!$E:$E,MID($D$306,FIND("|",$D$306&amp;"|")+1,50),Actuals!$F:$F,"JPY")*$E$5+SUMIFS(Actuals!$G:$G,Actuals!$B:$B,$C$3,Actuals!$C:$C,7,Actuals!$D:$D,$B$306,Actuals!$A:$A,LEFT($D$306,FIND("|",$D$306&amp;"|")-1),Actuals!$E:$E,MID($D$306,FIND("|",$D$306&amp;"|")+1,50),Actuals!$F:$F,"USD")*$F$5+SUMIFS(Actuals!$G:$G,Actuals!$B:$B,$C$3,Actuals!$C:$C,7,Actuals!$D:$D,$B$306,Actuals!$A:$A,LEFT($D$306,FIND("|",$D$306&amp;"|")-1),Actuals!$E:$E,MID($D$306,FIND("|",$D$306&amp;"|")+1,50),Actuals!$F:$F,"EUR")*$G$5+SUMIFS(Actuals!$G:$G,Actuals!$B:$B,$C$3,Actuals!$C:$C,7,Actuals!$D:$D,$B$306,Actuals!$A:$A,LEFT($D$306,FIND("|",$D$306&amp;"|")-1),Actuals!$E:$E,MID($D$306,FIND("|",$D$306&amp;"|")+1,50),Actuals!$F:$F,"GBP")*$H$5)</f>
        <v/>
      </c>
      <c r="O307" s="18">
        <f>IF(OR($B$306="",8&gt;$C$4),"",SUMIFS(Actuals!$G:$G,Actuals!$B:$B,$C$3,Actuals!$C:$C,8,Actuals!$D:$D,$B$306,Actuals!$A:$A,LEFT($D$306,FIND("|",$D$306&amp;"|")-1),Actuals!$E:$E,MID($D$306,FIND("|",$D$306&amp;"|")+1,50),Actuals!$F:$F,"JPY")*$E$5+SUMIFS(Actuals!$G:$G,Actuals!$B:$B,$C$3,Actuals!$C:$C,8,Actuals!$D:$D,$B$306,Actuals!$A:$A,LEFT($D$306,FIND("|",$D$306&amp;"|")-1),Actuals!$E:$E,MID($D$306,FIND("|",$D$306&amp;"|")+1,50),Actuals!$F:$F,"USD")*$F$5+SUMIFS(Actuals!$G:$G,Actuals!$B:$B,$C$3,Actuals!$C:$C,8,Actuals!$D:$D,$B$306,Actuals!$A:$A,LEFT($D$306,FIND("|",$D$306&amp;"|")-1),Actuals!$E:$E,MID($D$306,FIND("|",$D$306&amp;"|")+1,50),Actuals!$F:$F,"EUR")*$G$5+SUMIFS(Actuals!$G:$G,Actuals!$B:$B,$C$3,Actuals!$C:$C,8,Actuals!$D:$D,$B$306,Actuals!$A:$A,LEFT($D$306,FIND("|",$D$306&amp;"|")-1),Actuals!$E:$E,MID($D$306,FIND("|",$D$306&amp;"|")+1,50),Actuals!$F:$F,"GBP")*$H$5)</f>
        <v/>
      </c>
      <c r="P307" s="18">
        <f>IF(OR($B$306="",9&gt;$C$4),"",SUMIFS(Actuals!$G:$G,Actuals!$B:$B,$C$3,Actuals!$C:$C,9,Actuals!$D:$D,$B$306,Actuals!$A:$A,LEFT($D$306,FIND("|",$D$306&amp;"|")-1),Actuals!$E:$E,MID($D$306,FIND("|",$D$306&amp;"|")+1,50),Actuals!$F:$F,"JPY")*$E$5+SUMIFS(Actuals!$G:$G,Actuals!$B:$B,$C$3,Actuals!$C:$C,9,Actuals!$D:$D,$B$306,Actuals!$A:$A,LEFT($D$306,FIND("|",$D$306&amp;"|")-1),Actuals!$E:$E,MID($D$306,FIND("|",$D$306&amp;"|")+1,50),Actuals!$F:$F,"USD")*$F$5+SUMIFS(Actuals!$G:$G,Actuals!$B:$B,$C$3,Actuals!$C:$C,9,Actuals!$D:$D,$B$306,Actuals!$A:$A,LEFT($D$306,FIND("|",$D$306&amp;"|")-1),Actuals!$E:$E,MID($D$306,FIND("|",$D$306&amp;"|")+1,50),Actuals!$F:$F,"EUR")*$G$5+SUMIFS(Actuals!$G:$G,Actuals!$B:$B,$C$3,Actuals!$C:$C,9,Actuals!$D:$D,$B$306,Actuals!$A:$A,LEFT($D$306,FIND("|",$D$306&amp;"|")-1),Actuals!$E:$E,MID($D$306,FIND("|",$D$306&amp;"|")+1,50),Actuals!$F:$F,"GBP")*$H$5)</f>
        <v/>
      </c>
      <c r="Q307" s="18">
        <f>IF(OR($B$306="",10&gt;$C$4),"",SUMIFS(Actuals!$G:$G,Actuals!$B:$B,$C$3,Actuals!$C:$C,10,Actuals!$D:$D,$B$306,Actuals!$A:$A,LEFT($D$306,FIND("|",$D$306&amp;"|")-1),Actuals!$E:$E,MID($D$306,FIND("|",$D$306&amp;"|")+1,50),Actuals!$F:$F,"JPY")*$E$5+SUMIFS(Actuals!$G:$G,Actuals!$B:$B,$C$3,Actuals!$C:$C,10,Actuals!$D:$D,$B$306,Actuals!$A:$A,LEFT($D$306,FIND("|",$D$306&amp;"|")-1),Actuals!$E:$E,MID($D$306,FIND("|",$D$306&amp;"|")+1,50),Actuals!$F:$F,"USD")*$F$5+SUMIFS(Actuals!$G:$G,Actuals!$B:$B,$C$3,Actuals!$C:$C,10,Actuals!$D:$D,$B$306,Actuals!$A:$A,LEFT($D$306,FIND("|",$D$306&amp;"|")-1),Actuals!$E:$E,MID($D$306,FIND("|",$D$306&amp;"|")+1,50),Actuals!$F:$F,"EUR")*$G$5+SUMIFS(Actuals!$G:$G,Actuals!$B:$B,$C$3,Actuals!$C:$C,10,Actuals!$D:$D,$B$306,Actuals!$A:$A,LEFT($D$306,FIND("|",$D$306&amp;"|")-1),Actuals!$E:$E,MID($D$306,FIND("|",$D$306&amp;"|")+1,50),Actuals!$F:$F,"GBP")*$H$5)</f>
        <v/>
      </c>
      <c r="R307" s="18">
        <f>IF(OR($B$306="",11&gt;$C$4),"",SUMIFS(Actuals!$G:$G,Actuals!$B:$B,$C$3,Actuals!$C:$C,11,Actuals!$D:$D,$B$306,Actuals!$A:$A,LEFT($D$306,FIND("|",$D$306&amp;"|")-1),Actuals!$E:$E,MID($D$306,FIND("|",$D$306&amp;"|")+1,50),Actuals!$F:$F,"JPY")*$E$5+SUMIFS(Actuals!$G:$G,Actuals!$B:$B,$C$3,Actuals!$C:$C,11,Actuals!$D:$D,$B$306,Actuals!$A:$A,LEFT($D$306,FIND("|",$D$306&amp;"|")-1),Actuals!$E:$E,MID($D$306,FIND("|",$D$306&amp;"|")+1,50),Actuals!$F:$F,"USD")*$F$5+SUMIFS(Actuals!$G:$G,Actuals!$B:$B,$C$3,Actuals!$C:$C,11,Actuals!$D:$D,$B$306,Actuals!$A:$A,LEFT($D$306,FIND("|",$D$306&amp;"|")-1),Actuals!$E:$E,MID($D$306,FIND("|",$D$306&amp;"|")+1,50),Actuals!$F:$F,"EUR")*$G$5+SUMIFS(Actuals!$G:$G,Actuals!$B:$B,$C$3,Actuals!$C:$C,11,Actuals!$D:$D,$B$306,Actuals!$A:$A,LEFT($D$306,FIND("|",$D$306&amp;"|")-1),Actuals!$E:$E,MID($D$306,FIND("|",$D$306&amp;"|")+1,50),Actuals!$F:$F,"GBP")*$H$5)</f>
        <v/>
      </c>
      <c r="S307" s="18">
        <f>IF(OR($B$306="",12&gt;$C$4),"",SUMIFS(Actuals!$G:$G,Actuals!$B:$B,$C$3,Actuals!$C:$C,12,Actuals!$D:$D,$B$306,Actuals!$A:$A,LEFT($D$306,FIND("|",$D$306&amp;"|")-1),Actuals!$E:$E,MID($D$306,FIND("|",$D$306&amp;"|")+1,50),Actuals!$F:$F,"JPY")*$E$5+SUMIFS(Actuals!$G:$G,Actuals!$B:$B,$C$3,Actuals!$C:$C,12,Actuals!$D:$D,$B$306,Actuals!$A:$A,LEFT($D$306,FIND("|",$D$306&amp;"|")-1),Actuals!$E:$E,MID($D$306,FIND("|",$D$306&amp;"|")+1,50),Actuals!$F:$F,"USD")*$F$5+SUMIFS(Actuals!$G:$G,Actuals!$B:$B,$C$3,Actuals!$C:$C,12,Actuals!$D:$D,$B$306,Actuals!$A:$A,LEFT($D$306,FIND("|",$D$306&amp;"|")-1),Actuals!$E:$E,MID($D$306,FIND("|",$D$306&amp;"|")+1,50),Actuals!$F:$F,"EUR")*$G$5+SUMIFS(Actuals!$G:$G,Actuals!$B:$B,$C$3,Actuals!$C:$C,12,Actuals!$D:$D,$B$306,Actuals!$A:$A,LEFT($D$306,FIND("|",$D$306&amp;"|")-1),Actuals!$E:$E,MID($D$306,FIND("|",$D$306&amp;"|")+1,50),Actuals!$F:$F,"GBP")*$H$5)</f>
        <v/>
      </c>
      <c r="T307" s="18">
        <f>IF($B$306="","",SUMIF($H$7:$S$7,"&lt;="&amp;$C$4,$H307:$S307))</f>
        <v/>
      </c>
      <c r="U307" s="18" t="n"/>
      <c r="V307" s="18" t="n"/>
      <c r="X307" s="22">
        <f>IF($B307="","",IFERROR(INDEX(Cost_Centers!$E:$E,MATCH($B307,Cost_Centers!$A:$A,0)),"(unknown)"))</f>
        <v/>
      </c>
      <c r="Y307" s="22">
        <f>IF($B307="","",IFERROR(INDEX(Cost_Centers!$D:$D,MATCH($B307,Cost_Centers!$A:$A,0)),"(unknown)"))</f>
        <v/>
      </c>
      <c r="Z307" s="22">
        <f>IF(OR($B307="",$G307&lt;&gt;"Variance vs Budget"),"",ABS(N($V307))+ROW()/1000000000)</f>
        <v/>
      </c>
    </row>
    <row r="308">
      <c r="A308" s="13">
        <f>IF(A$306="","",A$306)</f>
        <v/>
      </c>
      <c r="B308" s="13">
        <f>IF(B$306="","",B$306)</f>
        <v/>
      </c>
      <c r="C308" s="13">
        <f>IF(C$306="","",C$306)</f>
        <v/>
      </c>
      <c r="D308" s="13">
        <f>IF(D$306="","",D$306)</f>
        <v/>
      </c>
      <c r="E308" s="13">
        <f>IF(E$306="","",E$306)</f>
        <v/>
      </c>
      <c r="F308" s="13">
        <f>IF(F$306="","",F$306)</f>
        <v/>
      </c>
      <c r="G308" s="6" t="inlineStr">
        <is>
          <t>Variance vs Budget</t>
        </is>
      </c>
      <c r="H308" s="33">
        <f>IF(OR($B$306="",1&gt;$C$4),"",N(H307)-H306)</f>
        <v/>
      </c>
      <c r="I308" s="33">
        <f>IF(OR($B$306="",2&gt;$C$4),"",N(I307)-I306)</f>
        <v/>
      </c>
      <c r="J308" s="33">
        <f>IF(OR($B$306="",3&gt;$C$4),"",N(J307)-J306)</f>
        <v/>
      </c>
      <c r="K308" s="33">
        <f>IF(OR($B$306="",4&gt;$C$4),"",N(K307)-K306)</f>
        <v/>
      </c>
      <c r="L308" s="33">
        <f>IF(OR($B$306="",5&gt;$C$4),"",N(L307)-L306)</f>
        <v/>
      </c>
      <c r="M308" s="33">
        <f>IF(OR($B$306="",6&gt;$C$4),"",N(M307)-M306)</f>
        <v/>
      </c>
      <c r="N308" s="33">
        <f>IF(OR($B$306="",7&gt;$C$4),"",N(N307)-N306)</f>
        <v/>
      </c>
      <c r="O308" s="33">
        <f>IF(OR($B$306="",8&gt;$C$4),"",N(O307)-O306)</f>
        <v/>
      </c>
      <c r="P308" s="33">
        <f>IF(OR($B$306="",9&gt;$C$4),"",N(P307)-P306)</f>
        <v/>
      </c>
      <c r="Q308" s="33">
        <f>IF(OR($B$306="",10&gt;$C$4),"",N(Q307)-Q306)</f>
        <v/>
      </c>
      <c r="R308" s="33">
        <f>IF(OR($B$306="",11&gt;$C$4),"",N(R307)-R306)</f>
        <v/>
      </c>
      <c r="S308" s="33">
        <f>IF(OR($B$306="",12&gt;$C$4),"",N(S307)-S306)</f>
        <v/>
      </c>
      <c r="T308" s="33">
        <f>IF($B$306="","",T307-T306)</f>
        <v/>
      </c>
      <c r="U308" s="33">
        <f>IF($B$306="","",U310-U306)</f>
        <v/>
      </c>
      <c r="V308" s="33">
        <f>IF($B$306="","",V310-V306)</f>
        <v/>
      </c>
      <c r="X308" s="22">
        <f>IF($B308="","",IFERROR(INDEX(Cost_Centers!$E:$E,MATCH($B308,Cost_Centers!$A:$A,0)),"(unknown)"))</f>
        <v/>
      </c>
      <c r="Y308" s="22">
        <f>IF($B308="","",IFERROR(INDEX(Cost_Centers!$D:$D,MATCH($B308,Cost_Centers!$A:$A,0)),"(unknown)"))</f>
        <v/>
      </c>
      <c r="Z308" s="22">
        <f>IF(OR($B308="",$G308&lt;&gt;"Variance vs Budget"),"",ABS(N($V308))+ROW()/1000000000)</f>
        <v/>
      </c>
    </row>
    <row r="309">
      <c r="A309" s="13">
        <f>IF(A$306="","",A$306)</f>
        <v/>
      </c>
      <c r="B309" s="13">
        <f>IF(B$306="","",B$306)</f>
        <v/>
      </c>
      <c r="C309" s="13">
        <f>IF(C$306="","",C$306)</f>
        <v/>
      </c>
      <c r="D309" s="13">
        <f>IF(D$306="","",D$306)</f>
        <v/>
      </c>
      <c r="E309" s="13">
        <f>IF(E$306="","",E$306)</f>
        <v/>
      </c>
      <c r="F309" s="13">
        <f>IF(F$306="","",F$306)</f>
        <v/>
      </c>
      <c r="G309" s="7" t="inlineStr">
        <is>
          <t>Forecast (input)</t>
        </is>
      </c>
      <c r="H309" s="34" t="n"/>
      <c r="I309" s="34" t="n"/>
      <c r="J309" s="34" t="n"/>
      <c r="K309" s="34" t="n"/>
      <c r="L309" s="34" t="n"/>
      <c r="M309" s="34" t="n"/>
      <c r="N309" s="34" t="n"/>
      <c r="O309" s="34" t="n"/>
      <c r="P309" s="34" t="n"/>
      <c r="Q309" s="34" t="n"/>
      <c r="R309" s="34" t="n"/>
      <c r="S309" s="34" t="n"/>
      <c r="T309" s="18" t="n"/>
      <c r="U309" s="18" t="n"/>
      <c r="V309" s="18" t="n"/>
      <c r="X309" s="22">
        <f>IF($B309="","",IFERROR(INDEX(Cost_Centers!$E:$E,MATCH($B309,Cost_Centers!$A:$A,0)),"(unknown)"))</f>
        <v/>
      </c>
      <c r="Y309" s="22">
        <f>IF($B309="","",IFERROR(INDEX(Cost_Centers!$D:$D,MATCH($B309,Cost_Centers!$A:$A,0)),"(unknown)"))</f>
        <v/>
      </c>
      <c r="Z309" s="22">
        <f>IF(OR($B309="",$G309&lt;&gt;"Variance vs Budget"),"",ABS(N($V309))+ROW()/1000000000)</f>
        <v/>
      </c>
    </row>
    <row r="310">
      <c r="A310" s="13">
        <f>IF(A$306="","",A$306)</f>
        <v/>
      </c>
      <c r="B310" s="13">
        <f>IF(B$306="","",B$306)</f>
        <v/>
      </c>
      <c r="C310" s="13">
        <f>IF(C$306="","",C$306)</f>
        <v/>
      </c>
      <c r="D310" s="13">
        <f>IF(D$306="","",D$306)</f>
        <v/>
      </c>
      <c r="E310" s="13">
        <f>IF(E$306="","",E$306)</f>
        <v/>
      </c>
      <c r="F310" s="13">
        <f>IF(F$306="","",F$306)</f>
        <v/>
      </c>
      <c r="G310" s="35" t="inlineStr">
        <is>
          <t>Actual + Forecast</t>
        </is>
      </c>
      <c r="H310" s="18">
        <f>IF($B$306="","",IF(1&lt;=$C$4,N(H307),IF(H309="",H306,H309)))</f>
        <v/>
      </c>
      <c r="I310" s="18">
        <f>IF($B$306="","",IF(2&lt;=$C$4,N(I307),IF(I309="",I306,I309)))</f>
        <v/>
      </c>
      <c r="J310" s="18">
        <f>IF($B$306="","",IF(3&lt;=$C$4,N(J307),IF(J309="",J306,J309)))</f>
        <v/>
      </c>
      <c r="K310" s="18">
        <f>IF($B$306="","",IF(4&lt;=$C$4,N(K307),IF(K309="",K306,K309)))</f>
        <v/>
      </c>
      <c r="L310" s="18">
        <f>IF($B$306="","",IF(5&lt;=$C$4,N(L307),IF(L309="",L306,L309)))</f>
        <v/>
      </c>
      <c r="M310" s="18">
        <f>IF($B$306="","",IF(6&lt;=$C$4,N(M307),IF(M309="",M306,M309)))</f>
        <v/>
      </c>
      <c r="N310" s="18">
        <f>IF($B$306="","",IF(7&lt;=$C$4,N(N307),IF(N309="",N306,N309)))</f>
        <v/>
      </c>
      <c r="O310" s="18">
        <f>IF($B$306="","",IF(8&lt;=$C$4,N(O307),IF(O309="",O306,O309)))</f>
        <v/>
      </c>
      <c r="P310" s="18">
        <f>IF($B$306="","",IF(9&lt;=$C$4,N(P307),IF(P309="",P306,P309)))</f>
        <v/>
      </c>
      <c r="Q310" s="18">
        <f>IF($B$306="","",IF(10&lt;=$C$4,N(Q307),IF(Q309="",Q306,Q309)))</f>
        <v/>
      </c>
      <c r="R310" s="18">
        <f>IF($B$306="","",IF(11&lt;=$C$4,N(R307),IF(R309="",R306,R309)))</f>
        <v/>
      </c>
      <c r="S310" s="18">
        <f>IF($B$306="","",IF(12&lt;=$C$4,N(S307),IF(S309="",S306,S309)))</f>
        <v/>
      </c>
      <c r="T310" s="18">
        <f>IF($B$306="","",SUMIF($H$7:$S$7,"&lt;="&amp;$C$4,$H310:$S310))</f>
        <v/>
      </c>
      <c r="U310" s="18">
        <f>IF($B$306="","",SUMIF($H$7:$S$7,"&gt;"&amp;$C$4,$H310:$S310))</f>
        <v/>
      </c>
      <c r="V310" s="18">
        <f>IF($B$306="","",SUM($H310:$S310))</f>
        <v/>
      </c>
      <c r="X310" s="22">
        <f>IF($B310="","",IFERROR(INDEX(Cost_Centers!$E:$E,MATCH($B310,Cost_Centers!$A:$A,0)),"(unknown)"))</f>
        <v/>
      </c>
      <c r="Y310" s="22">
        <f>IF($B310="","",IFERROR(INDEX(Cost_Centers!$D:$D,MATCH($B310,Cost_Centers!$A:$A,0)),"(unknown)"))</f>
        <v/>
      </c>
      <c r="Z310" s="22">
        <f>IF(OR($B310="",$G310&lt;&gt;"Variance vs Budget"),"",ABS(N($V310))+ROW()/1000000000)</f>
        <v/>
      </c>
    </row>
    <row r="311">
      <c r="A311" s="13">
        <f>IF(A$306="","",A$306)</f>
        <v/>
      </c>
      <c r="B311" s="13">
        <f>IF(B$306="","",B$306)</f>
        <v/>
      </c>
      <c r="C311" s="13">
        <f>IF(C$306="","",C$306)</f>
        <v/>
      </c>
      <c r="D311" s="13">
        <f>IF(D$306="","",D$306)</f>
        <v/>
      </c>
      <c r="E311" s="13">
        <f>IF(E$306="","",E$306)</f>
        <v/>
      </c>
      <c r="F311" s="13">
        <f>IF(F$306="","",F$306)</f>
        <v/>
      </c>
      <c r="G311" s="36" t="inlineStr">
        <is>
          <t>Prior Month Forecast</t>
        </is>
      </c>
      <c r="H311" s="37">
        <f>IF($B$306="","",IF(COUNTIFS(Prior_Forecast!$A:$A,$B$306,Prior_Forecast!$B:$B,$D$306)&gt;0,SUMIFS(Prior_Forecast!$C:$C,Prior_Forecast!$A:$A,$B$306,Prior_Forecast!$B:$B,$D$306),""))</f>
        <v/>
      </c>
      <c r="I311" s="37">
        <f>IF($B$306="","",IF(COUNTIFS(Prior_Forecast!$A:$A,$B$306,Prior_Forecast!$B:$B,$D$306)&gt;0,SUMIFS(Prior_Forecast!$D:$D,Prior_Forecast!$A:$A,$B$306,Prior_Forecast!$B:$B,$D$306),""))</f>
        <v/>
      </c>
      <c r="J311" s="37">
        <f>IF($B$306="","",IF(COUNTIFS(Prior_Forecast!$A:$A,$B$306,Prior_Forecast!$B:$B,$D$306)&gt;0,SUMIFS(Prior_Forecast!$E:$E,Prior_Forecast!$A:$A,$B$306,Prior_Forecast!$B:$B,$D$306),""))</f>
        <v/>
      </c>
      <c r="K311" s="37">
        <f>IF($B$306="","",IF(COUNTIFS(Prior_Forecast!$A:$A,$B$306,Prior_Forecast!$B:$B,$D$306)&gt;0,SUMIFS(Prior_Forecast!$F:$F,Prior_Forecast!$A:$A,$B$306,Prior_Forecast!$B:$B,$D$306),""))</f>
        <v/>
      </c>
      <c r="L311" s="37">
        <f>IF($B$306="","",IF(COUNTIFS(Prior_Forecast!$A:$A,$B$306,Prior_Forecast!$B:$B,$D$306)&gt;0,SUMIFS(Prior_Forecast!$G:$G,Prior_Forecast!$A:$A,$B$306,Prior_Forecast!$B:$B,$D$306),""))</f>
        <v/>
      </c>
      <c r="M311" s="37">
        <f>IF($B$306="","",IF(COUNTIFS(Prior_Forecast!$A:$A,$B$306,Prior_Forecast!$B:$B,$D$306)&gt;0,SUMIFS(Prior_Forecast!$H:$H,Prior_Forecast!$A:$A,$B$306,Prior_Forecast!$B:$B,$D$306),""))</f>
        <v/>
      </c>
      <c r="N311" s="37">
        <f>IF($B$306="","",IF(COUNTIFS(Prior_Forecast!$A:$A,$B$306,Prior_Forecast!$B:$B,$D$306)&gt;0,SUMIFS(Prior_Forecast!$I:$I,Prior_Forecast!$A:$A,$B$306,Prior_Forecast!$B:$B,$D$306),""))</f>
        <v/>
      </c>
      <c r="O311" s="37">
        <f>IF($B$306="","",IF(COUNTIFS(Prior_Forecast!$A:$A,$B$306,Prior_Forecast!$B:$B,$D$306)&gt;0,SUMIFS(Prior_Forecast!$J:$J,Prior_Forecast!$A:$A,$B$306,Prior_Forecast!$B:$B,$D$306),""))</f>
        <v/>
      </c>
      <c r="P311" s="37">
        <f>IF($B$306="","",IF(COUNTIFS(Prior_Forecast!$A:$A,$B$306,Prior_Forecast!$B:$B,$D$306)&gt;0,SUMIFS(Prior_Forecast!$K:$K,Prior_Forecast!$A:$A,$B$306,Prior_Forecast!$B:$B,$D$306),""))</f>
        <v/>
      </c>
      <c r="Q311" s="37">
        <f>IF($B$306="","",IF(COUNTIFS(Prior_Forecast!$A:$A,$B$306,Prior_Forecast!$B:$B,$D$306)&gt;0,SUMIFS(Prior_Forecast!$L:$L,Prior_Forecast!$A:$A,$B$306,Prior_Forecast!$B:$B,$D$306),""))</f>
        <v/>
      </c>
      <c r="R311" s="37">
        <f>IF($B$306="","",IF(COUNTIFS(Prior_Forecast!$A:$A,$B$306,Prior_Forecast!$B:$B,$D$306)&gt;0,SUMIFS(Prior_Forecast!$M:$M,Prior_Forecast!$A:$A,$B$306,Prior_Forecast!$B:$B,$D$306),""))</f>
        <v/>
      </c>
      <c r="S311" s="37">
        <f>IF($B$306="","",IF(COUNTIFS(Prior_Forecast!$A:$A,$B$306,Prior_Forecast!$B:$B,$D$306)&gt;0,SUMIFS(Prior_Forecast!$N:$N,Prior_Forecast!$A:$A,$B$306,Prior_Forecast!$B:$B,$D$306),""))</f>
        <v/>
      </c>
      <c r="T311" s="37">
        <f>IF($B$306="","",IF(COUNTIFS(Prior_Forecast!$A:$A,$B$306,Prior_Forecast!$B:$B,$D$306)&gt;0,SUMIFS(Prior_Forecast!$O:$O,Prior_Forecast!$A:$A,$B$306,Prior_Forecast!$B:$B,$D$306),""))</f>
        <v/>
      </c>
      <c r="U311" s="37">
        <f>IF($B$306="","",IF(COUNTIFS(Prior_Forecast!$A:$A,$B$306,Prior_Forecast!$B:$B,$D$306)&gt;0,SUMIFS(Prior_Forecast!$P:$P,Prior_Forecast!$A:$A,$B$306,Prior_Forecast!$B:$B,$D$306),""))</f>
        <v/>
      </c>
      <c r="V311" s="37">
        <f>IF($B$306="","",IF(COUNTIFS(Prior_Forecast!$A:$A,$B$306,Prior_Forecast!$B:$B,$D$306)&gt;0,SUMIFS(Prior_Forecast!$Q:$Q,Prior_Forecast!$A:$A,$B$306,Prior_Forecast!$B:$B,$D$306),""))</f>
        <v/>
      </c>
      <c r="X311" s="22">
        <f>IF($B311="","",IFERROR(INDEX(Cost_Centers!$E:$E,MATCH($B311,Cost_Centers!$A:$A,0)),"(unknown)"))</f>
        <v/>
      </c>
      <c r="Y311" s="22">
        <f>IF($B311="","",IFERROR(INDEX(Cost_Centers!$D:$D,MATCH($B311,Cost_Centers!$A:$A,0)),"(unknown)"))</f>
        <v/>
      </c>
      <c r="Z311" s="22">
        <f>IF(OR($B311="",$G311&lt;&gt;"Variance vs Budget"),"",ABS(N($V311))+ROW()/1000000000)</f>
        <v/>
      </c>
    </row>
    <row r="312">
      <c r="A312" s="13">
        <f>IF(A$306="","",A$306)</f>
        <v/>
      </c>
      <c r="B312" s="13">
        <f>IF(B$306="","",B$306)</f>
        <v/>
      </c>
      <c r="C312" s="13">
        <f>IF(C$306="","",C$306)</f>
        <v/>
      </c>
      <c r="D312" s="13">
        <f>IF(D$306="","",D$306)</f>
        <v/>
      </c>
      <c r="E312" s="13">
        <f>IF(E$306="","",E$306)</f>
        <v/>
      </c>
      <c r="F312" s="13">
        <f>IF(F$306="","",F$306)</f>
        <v/>
      </c>
      <c r="G312" s="6" t="inlineStr">
        <is>
          <t>Variance vs Prior Month</t>
        </is>
      </c>
      <c r="H312" s="33">
        <f>IF(OR($B$306="",H311=""),"",H310-H311)</f>
        <v/>
      </c>
      <c r="I312" s="33">
        <f>IF(OR($B$306="",I311=""),"",I310-I311)</f>
        <v/>
      </c>
      <c r="J312" s="33">
        <f>IF(OR($B$306="",J311=""),"",J310-J311)</f>
        <v/>
      </c>
      <c r="K312" s="33">
        <f>IF(OR($B$306="",K311=""),"",K310-K311)</f>
        <v/>
      </c>
      <c r="L312" s="33">
        <f>IF(OR($B$306="",L311=""),"",L310-L311)</f>
        <v/>
      </c>
      <c r="M312" s="33">
        <f>IF(OR($B$306="",M311=""),"",M310-M311)</f>
        <v/>
      </c>
      <c r="N312" s="33">
        <f>IF(OR($B$306="",N311=""),"",N310-N311)</f>
        <v/>
      </c>
      <c r="O312" s="33">
        <f>IF(OR($B$306="",O311=""),"",O310-O311)</f>
        <v/>
      </c>
      <c r="P312" s="33">
        <f>IF(OR($B$306="",P311=""),"",P310-P311)</f>
        <v/>
      </c>
      <c r="Q312" s="33">
        <f>IF(OR($B$306="",Q311=""),"",Q310-Q311)</f>
        <v/>
      </c>
      <c r="R312" s="33">
        <f>IF(OR($B$306="",R311=""),"",R310-R311)</f>
        <v/>
      </c>
      <c r="S312" s="33">
        <f>IF(OR($B$306="",S311=""),"",S310-S311)</f>
        <v/>
      </c>
      <c r="T312" s="33">
        <f>IF(OR($B$306="",T311=""),"",T310-T311)</f>
        <v/>
      </c>
      <c r="U312" s="33">
        <f>IF(OR($B$306="",U311=""),"",U310-U311)</f>
        <v/>
      </c>
      <c r="V312" s="33">
        <f>IF(OR($B$306="",V311=""),"",V310-V311)</f>
        <v/>
      </c>
      <c r="X312" s="22">
        <f>IF($B312="","",IFERROR(INDEX(Cost_Centers!$E:$E,MATCH($B312,Cost_Centers!$A:$A,0)),"(unknown)"))</f>
        <v/>
      </c>
      <c r="Y312" s="22">
        <f>IF($B312="","",IFERROR(INDEX(Cost_Centers!$D:$D,MATCH($B312,Cost_Centers!$A:$A,0)),"(unknown)"))</f>
        <v/>
      </c>
      <c r="Z312" s="22">
        <f>IF(OR($B312="",$G312&lt;&gt;"Variance vs Budget"),"",ABS(N($V312))+ROW()/1000000000)</f>
        <v/>
      </c>
    </row>
    <row r="313" ht="45" customHeight="1">
      <c r="A313" s="13">
        <f>IF(A$306="","",A$306)</f>
        <v/>
      </c>
      <c r="B313" s="13">
        <f>IF(B$306="","",B$306)</f>
        <v/>
      </c>
      <c r="C313" s="13">
        <f>IF(C$306="","",C$306)</f>
        <v/>
      </c>
      <c r="D313" s="13">
        <f>IF(D$306="","",D$306)</f>
        <v/>
      </c>
      <c r="E313" s="13">
        <f>IF(E$306="","",E$306)</f>
        <v/>
      </c>
      <c r="F313" s="13">
        <f>IF(F$306="","",F$306)</f>
        <v/>
      </c>
      <c r="G313" s="7" t="inlineStr">
        <is>
          <t>Rationale</t>
        </is>
      </c>
      <c r="H313" s="38" t="n"/>
      <c r="I313" s="38" t="n"/>
      <c r="J313" s="38" t="n"/>
      <c r="K313" s="38" t="n"/>
      <c r="L313" s="38" t="n"/>
      <c r="M313" s="38" t="n"/>
      <c r="N313" s="38" t="n"/>
      <c r="O313" s="38" t="n"/>
      <c r="P313" s="38" t="n"/>
      <c r="Q313" s="38" t="n"/>
      <c r="R313" s="38" t="n"/>
      <c r="S313" s="38" t="n"/>
      <c r="T313" s="38" t="n"/>
      <c r="U313" s="38" t="n"/>
      <c r="V313" s="7" t="n"/>
      <c r="X313" s="22">
        <f>IF($B313="","",IFERROR(INDEX(Cost_Centers!$E:$E,MATCH($B313,Cost_Centers!$A:$A,0)),"(unknown)"))</f>
        <v/>
      </c>
      <c r="Y313" s="22">
        <f>IF($B313="","",IFERROR(INDEX(Cost_Centers!$D:$D,MATCH($B313,Cost_Centers!$A:$A,0)),"(unknown)"))</f>
        <v/>
      </c>
      <c r="Z313" s="22">
        <f>IF(OR($B313="",$G313&lt;&gt;"Variance vs Budget"),"",ABS(N($V313))+ROW()/1000000000)</f>
        <v/>
      </c>
    </row>
    <row r="314">
      <c r="A314" s="30">
        <f>IF($D$314="","",LEFT($D$314,FIND("|",$D$314&amp;"|")-1))</f>
        <v/>
      </c>
      <c r="B314" s="31" t="n"/>
      <c r="C314" s="30">
        <f>IF($B$314="","",IFERROR(INDEX(Cost_Centers!$B:$B,MATCH($B$314,Cost_Centers!$A:$A,0)),"(not in master)"))</f>
        <v/>
      </c>
      <c r="D314" s="31" t="n"/>
      <c r="E314" s="30">
        <f>IF($D$314="","",IFERROR(INDEX(Accounts!$D:$D,MATCH($D$314,Accounts!$A:$A,0)),"(not in master)"))</f>
        <v/>
      </c>
      <c r="F314" s="31" t="n"/>
      <c r="G314" s="30" t="inlineStr">
        <is>
          <t>Budget</t>
        </is>
      </c>
      <c r="H314" s="32">
        <f>IF($B$314="","",SUMIFS(Opex_Budget!$O:$O,Opex_Budget!$A:$A,$C$3,Opex_Budget!$E:$E,$B$314,Opex_Budget!$F:$F,$D$314,Opex_Budget!$N:$N,"JPY")*$E$5+SUMIFS(Opex_Budget!$O:$O,Opex_Budget!$A:$A,$C$3,Opex_Budget!$E:$E,$B$314,Opex_Budget!$F:$F,$D$314,Opex_Budget!$N:$N,"USD")*$F$5+SUMIFS(Opex_Budget!$O:$O,Opex_Budget!$A:$A,$C$3,Opex_Budget!$E:$E,$B$314,Opex_Budget!$F:$F,$D$314,Opex_Budget!$N:$N,"EUR")*$G$5+SUMIFS(Opex_Budget!$O:$O,Opex_Budget!$A:$A,$C$3,Opex_Budget!$E:$E,$B$314,Opex_Budget!$F:$F,$D$314,Opex_Budget!$N:$N,"GBP")*$H$5)</f>
        <v/>
      </c>
      <c r="I314" s="32">
        <f>IF($B$314="","",SUMIFS(Opex_Budget!$P:$P,Opex_Budget!$A:$A,$C$3,Opex_Budget!$E:$E,$B$314,Opex_Budget!$F:$F,$D$314,Opex_Budget!$N:$N,"JPY")*$E$5+SUMIFS(Opex_Budget!$P:$P,Opex_Budget!$A:$A,$C$3,Opex_Budget!$E:$E,$B$314,Opex_Budget!$F:$F,$D$314,Opex_Budget!$N:$N,"USD")*$F$5+SUMIFS(Opex_Budget!$P:$P,Opex_Budget!$A:$A,$C$3,Opex_Budget!$E:$E,$B$314,Opex_Budget!$F:$F,$D$314,Opex_Budget!$N:$N,"EUR")*$G$5+SUMIFS(Opex_Budget!$P:$P,Opex_Budget!$A:$A,$C$3,Opex_Budget!$E:$E,$B$314,Opex_Budget!$F:$F,$D$314,Opex_Budget!$N:$N,"GBP")*$H$5)</f>
        <v/>
      </c>
      <c r="J314" s="32">
        <f>IF($B$314="","",SUMIFS(Opex_Budget!$Q:$Q,Opex_Budget!$A:$A,$C$3,Opex_Budget!$E:$E,$B$314,Opex_Budget!$F:$F,$D$314,Opex_Budget!$N:$N,"JPY")*$E$5+SUMIFS(Opex_Budget!$Q:$Q,Opex_Budget!$A:$A,$C$3,Opex_Budget!$E:$E,$B$314,Opex_Budget!$F:$F,$D$314,Opex_Budget!$N:$N,"USD")*$F$5+SUMIFS(Opex_Budget!$Q:$Q,Opex_Budget!$A:$A,$C$3,Opex_Budget!$E:$E,$B$314,Opex_Budget!$F:$F,$D$314,Opex_Budget!$N:$N,"EUR")*$G$5+SUMIFS(Opex_Budget!$Q:$Q,Opex_Budget!$A:$A,$C$3,Opex_Budget!$E:$E,$B$314,Opex_Budget!$F:$F,$D$314,Opex_Budget!$N:$N,"GBP")*$H$5)</f>
        <v/>
      </c>
      <c r="K314" s="32">
        <f>IF($B$314="","",SUMIFS(Opex_Budget!$R:$R,Opex_Budget!$A:$A,$C$3,Opex_Budget!$E:$E,$B$314,Opex_Budget!$F:$F,$D$314,Opex_Budget!$N:$N,"JPY")*$E$5+SUMIFS(Opex_Budget!$R:$R,Opex_Budget!$A:$A,$C$3,Opex_Budget!$E:$E,$B$314,Opex_Budget!$F:$F,$D$314,Opex_Budget!$N:$N,"USD")*$F$5+SUMIFS(Opex_Budget!$R:$R,Opex_Budget!$A:$A,$C$3,Opex_Budget!$E:$E,$B$314,Opex_Budget!$F:$F,$D$314,Opex_Budget!$N:$N,"EUR")*$G$5+SUMIFS(Opex_Budget!$R:$R,Opex_Budget!$A:$A,$C$3,Opex_Budget!$E:$E,$B$314,Opex_Budget!$F:$F,$D$314,Opex_Budget!$N:$N,"GBP")*$H$5)</f>
        <v/>
      </c>
      <c r="L314" s="32">
        <f>IF($B$314="","",SUMIFS(Opex_Budget!$S:$S,Opex_Budget!$A:$A,$C$3,Opex_Budget!$E:$E,$B$314,Opex_Budget!$F:$F,$D$314,Opex_Budget!$N:$N,"JPY")*$E$5+SUMIFS(Opex_Budget!$S:$S,Opex_Budget!$A:$A,$C$3,Opex_Budget!$E:$E,$B$314,Opex_Budget!$F:$F,$D$314,Opex_Budget!$N:$N,"USD")*$F$5+SUMIFS(Opex_Budget!$S:$S,Opex_Budget!$A:$A,$C$3,Opex_Budget!$E:$E,$B$314,Opex_Budget!$F:$F,$D$314,Opex_Budget!$N:$N,"EUR")*$G$5+SUMIFS(Opex_Budget!$S:$S,Opex_Budget!$A:$A,$C$3,Opex_Budget!$E:$E,$B$314,Opex_Budget!$F:$F,$D$314,Opex_Budget!$N:$N,"GBP")*$H$5)</f>
        <v/>
      </c>
      <c r="M314" s="32">
        <f>IF($B$314="","",SUMIFS(Opex_Budget!$T:$T,Opex_Budget!$A:$A,$C$3,Opex_Budget!$E:$E,$B$314,Opex_Budget!$F:$F,$D$314,Opex_Budget!$N:$N,"JPY")*$E$5+SUMIFS(Opex_Budget!$T:$T,Opex_Budget!$A:$A,$C$3,Opex_Budget!$E:$E,$B$314,Opex_Budget!$F:$F,$D$314,Opex_Budget!$N:$N,"USD")*$F$5+SUMIFS(Opex_Budget!$T:$T,Opex_Budget!$A:$A,$C$3,Opex_Budget!$E:$E,$B$314,Opex_Budget!$F:$F,$D$314,Opex_Budget!$N:$N,"EUR")*$G$5+SUMIFS(Opex_Budget!$T:$T,Opex_Budget!$A:$A,$C$3,Opex_Budget!$E:$E,$B$314,Opex_Budget!$F:$F,$D$314,Opex_Budget!$N:$N,"GBP")*$H$5)</f>
        <v/>
      </c>
      <c r="N314" s="32">
        <f>IF($B$314="","",SUMIFS(Opex_Budget!$U:$U,Opex_Budget!$A:$A,$C$3,Opex_Budget!$E:$E,$B$314,Opex_Budget!$F:$F,$D$314,Opex_Budget!$N:$N,"JPY")*$E$5+SUMIFS(Opex_Budget!$U:$U,Opex_Budget!$A:$A,$C$3,Opex_Budget!$E:$E,$B$314,Opex_Budget!$F:$F,$D$314,Opex_Budget!$N:$N,"USD")*$F$5+SUMIFS(Opex_Budget!$U:$U,Opex_Budget!$A:$A,$C$3,Opex_Budget!$E:$E,$B$314,Opex_Budget!$F:$F,$D$314,Opex_Budget!$N:$N,"EUR")*$G$5+SUMIFS(Opex_Budget!$U:$U,Opex_Budget!$A:$A,$C$3,Opex_Budget!$E:$E,$B$314,Opex_Budget!$F:$F,$D$314,Opex_Budget!$N:$N,"GBP")*$H$5)</f>
        <v/>
      </c>
      <c r="O314" s="32">
        <f>IF($B$314="","",SUMIFS(Opex_Budget!$V:$V,Opex_Budget!$A:$A,$C$3,Opex_Budget!$E:$E,$B$314,Opex_Budget!$F:$F,$D$314,Opex_Budget!$N:$N,"JPY")*$E$5+SUMIFS(Opex_Budget!$V:$V,Opex_Budget!$A:$A,$C$3,Opex_Budget!$E:$E,$B$314,Opex_Budget!$F:$F,$D$314,Opex_Budget!$N:$N,"USD")*$F$5+SUMIFS(Opex_Budget!$V:$V,Opex_Budget!$A:$A,$C$3,Opex_Budget!$E:$E,$B$314,Opex_Budget!$F:$F,$D$314,Opex_Budget!$N:$N,"EUR")*$G$5+SUMIFS(Opex_Budget!$V:$V,Opex_Budget!$A:$A,$C$3,Opex_Budget!$E:$E,$B$314,Opex_Budget!$F:$F,$D$314,Opex_Budget!$N:$N,"GBP")*$H$5)</f>
        <v/>
      </c>
      <c r="P314" s="32">
        <f>IF($B$314="","",SUMIFS(Opex_Budget!$W:$W,Opex_Budget!$A:$A,$C$3,Opex_Budget!$E:$E,$B$314,Opex_Budget!$F:$F,$D$314,Opex_Budget!$N:$N,"JPY")*$E$5+SUMIFS(Opex_Budget!$W:$W,Opex_Budget!$A:$A,$C$3,Opex_Budget!$E:$E,$B$314,Opex_Budget!$F:$F,$D$314,Opex_Budget!$N:$N,"USD")*$F$5+SUMIFS(Opex_Budget!$W:$W,Opex_Budget!$A:$A,$C$3,Opex_Budget!$E:$E,$B$314,Opex_Budget!$F:$F,$D$314,Opex_Budget!$N:$N,"EUR")*$G$5+SUMIFS(Opex_Budget!$W:$W,Opex_Budget!$A:$A,$C$3,Opex_Budget!$E:$E,$B$314,Opex_Budget!$F:$F,$D$314,Opex_Budget!$N:$N,"GBP")*$H$5)</f>
        <v/>
      </c>
      <c r="Q314" s="32">
        <f>IF($B$314="","",SUMIFS(Opex_Budget!$X:$X,Opex_Budget!$A:$A,$C$3,Opex_Budget!$E:$E,$B$314,Opex_Budget!$F:$F,$D$314,Opex_Budget!$N:$N,"JPY")*$E$5+SUMIFS(Opex_Budget!$X:$X,Opex_Budget!$A:$A,$C$3,Opex_Budget!$E:$E,$B$314,Opex_Budget!$F:$F,$D$314,Opex_Budget!$N:$N,"USD")*$F$5+SUMIFS(Opex_Budget!$X:$X,Opex_Budget!$A:$A,$C$3,Opex_Budget!$E:$E,$B$314,Opex_Budget!$F:$F,$D$314,Opex_Budget!$N:$N,"EUR")*$G$5+SUMIFS(Opex_Budget!$X:$X,Opex_Budget!$A:$A,$C$3,Opex_Budget!$E:$E,$B$314,Opex_Budget!$F:$F,$D$314,Opex_Budget!$N:$N,"GBP")*$H$5)</f>
        <v/>
      </c>
      <c r="R314" s="32">
        <f>IF($B$314="","",SUMIFS(Opex_Budget!$Y:$Y,Opex_Budget!$A:$A,$C$3,Opex_Budget!$E:$E,$B$314,Opex_Budget!$F:$F,$D$314,Opex_Budget!$N:$N,"JPY")*$E$5+SUMIFS(Opex_Budget!$Y:$Y,Opex_Budget!$A:$A,$C$3,Opex_Budget!$E:$E,$B$314,Opex_Budget!$F:$F,$D$314,Opex_Budget!$N:$N,"USD")*$F$5+SUMIFS(Opex_Budget!$Y:$Y,Opex_Budget!$A:$A,$C$3,Opex_Budget!$E:$E,$B$314,Opex_Budget!$F:$F,$D$314,Opex_Budget!$N:$N,"EUR")*$G$5+SUMIFS(Opex_Budget!$Y:$Y,Opex_Budget!$A:$A,$C$3,Opex_Budget!$E:$E,$B$314,Opex_Budget!$F:$F,$D$314,Opex_Budget!$N:$N,"GBP")*$H$5)</f>
        <v/>
      </c>
      <c r="S314" s="32">
        <f>IF($B$314="","",SUMIFS(Opex_Budget!$Z:$Z,Opex_Budget!$A:$A,$C$3,Opex_Budget!$E:$E,$B$314,Opex_Budget!$F:$F,$D$314,Opex_Budget!$N:$N,"JPY")*$E$5+SUMIFS(Opex_Budget!$Z:$Z,Opex_Budget!$A:$A,$C$3,Opex_Budget!$E:$E,$B$314,Opex_Budget!$F:$F,$D$314,Opex_Budget!$N:$N,"USD")*$F$5+SUMIFS(Opex_Budget!$Z:$Z,Opex_Budget!$A:$A,$C$3,Opex_Budget!$E:$E,$B$314,Opex_Budget!$F:$F,$D$314,Opex_Budget!$N:$N,"EUR")*$G$5+SUMIFS(Opex_Budget!$Z:$Z,Opex_Budget!$A:$A,$C$3,Opex_Budget!$E:$E,$B$314,Opex_Budget!$F:$F,$D$314,Opex_Budget!$N:$N,"GBP")*$H$5)</f>
        <v/>
      </c>
      <c r="T314" s="32">
        <f>IF($B$314="","",SUMIF($H$7:$S$7,"&lt;="&amp;$C$4,$H314:$S314))</f>
        <v/>
      </c>
      <c r="U314" s="32">
        <f>IF($B$314="","",SUMIF($H$7:$S$7,"&gt;"&amp;$C$4,$H314:$S314))</f>
        <v/>
      </c>
      <c r="V314" s="32">
        <f>IF($B$314="","",SUM($H314:$S314))</f>
        <v/>
      </c>
      <c r="X314" s="22">
        <f>IF($B314="","",IFERROR(INDEX(Cost_Centers!$E:$E,MATCH($B314,Cost_Centers!$A:$A,0)),"(unknown)"))</f>
        <v/>
      </c>
      <c r="Y314" s="22">
        <f>IF($B314="","",IFERROR(INDEX(Cost_Centers!$D:$D,MATCH($B314,Cost_Centers!$A:$A,0)),"(unknown)"))</f>
        <v/>
      </c>
      <c r="Z314" s="22">
        <f>IF(OR($B314="",$G314&lt;&gt;"Variance vs Budget"),"",ABS(N($V314))+ROW()/1000000000)</f>
        <v/>
      </c>
    </row>
    <row r="315">
      <c r="A315" s="13">
        <f>IF(A$314="","",A$314)</f>
        <v/>
      </c>
      <c r="B315" s="13">
        <f>IF(B$314="","",B$314)</f>
        <v/>
      </c>
      <c r="C315" s="13">
        <f>IF(C$314="","",C$314)</f>
        <v/>
      </c>
      <c r="D315" s="13">
        <f>IF(D$314="","",D$314)</f>
        <v/>
      </c>
      <c r="E315" s="13">
        <f>IF(E$314="","",E$314)</f>
        <v/>
      </c>
      <c r="F315" s="13">
        <f>IF(F$314="","",F$314)</f>
        <v/>
      </c>
      <c r="G315" s="7" t="inlineStr">
        <is>
          <t>Actual</t>
        </is>
      </c>
      <c r="H315" s="18">
        <f>IF(OR($B$314="",1&gt;$C$4),"",SUMIFS(Actuals!$G:$G,Actuals!$B:$B,$C$3,Actuals!$C:$C,1,Actuals!$D:$D,$B$314,Actuals!$A:$A,LEFT($D$314,FIND("|",$D$314&amp;"|")-1),Actuals!$E:$E,MID($D$314,FIND("|",$D$314&amp;"|")+1,50),Actuals!$F:$F,"JPY")*$E$5+SUMIFS(Actuals!$G:$G,Actuals!$B:$B,$C$3,Actuals!$C:$C,1,Actuals!$D:$D,$B$314,Actuals!$A:$A,LEFT($D$314,FIND("|",$D$314&amp;"|")-1),Actuals!$E:$E,MID($D$314,FIND("|",$D$314&amp;"|")+1,50),Actuals!$F:$F,"USD")*$F$5+SUMIFS(Actuals!$G:$G,Actuals!$B:$B,$C$3,Actuals!$C:$C,1,Actuals!$D:$D,$B$314,Actuals!$A:$A,LEFT($D$314,FIND("|",$D$314&amp;"|")-1),Actuals!$E:$E,MID($D$314,FIND("|",$D$314&amp;"|")+1,50),Actuals!$F:$F,"EUR")*$G$5+SUMIFS(Actuals!$G:$G,Actuals!$B:$B,$C$3,Actuals!$C:$C,1,Actuals!$D:$D,$B$314,Actuals!$A:$A,LEFT($D$314,FIND("|",$D$314&amp;"|")-1),Actuals!$E:$E,MID($D$314,FIND("|",$D$314&amp;"|")+1,50),Actuals!$F:$F,"GBP")*$H$5)</f>
        <v/>
      </c>
      <c r="I315" s="18">
        <f>IF(OR($B$314="",2&gt;$C$4),"",SUMIFS(Actuals!$G:$G,Actuals!$B:$B,$C$3,Actuals!$C:$C,2,Actuals!$D:$D,$B$314,Actuals!$A:$A,LEFT($D$314,FIND("|",$D$314&amp;"|")-1),Actuals!$E:$E,MID($D$314,FIND("|",$D$314&amp;"|")+1,50),Actuals!$F:$F,"JPY")*$E$5+SUMIFS(Actuals!$G:$G,Actuals!$B:$B,$C$3,Actuals!$C:$C,2,Actuals!$D:$D,$B$314,Actuals!$A:$A,LEFT($D$314,FIND("|",$D$314&amp;"|")-1),Actuals!$E:$E,MID($D$314,FIND("|",$D$314&amp;"|")+1,50),Actuals!$F:$F,"USD")*$F$5+SUMIFS(Actuals!$G:$G,Actuals!$B:$B,$C$3,Actuals!$C:$C,2,Actuals!$D:$D,$B$314,Actuals!$A:$A,LEFT($D$314,FIND("|",$D$314&amp;"|")-1),Actuals!$E:$E,MID($D$314,FIND("|",$D$314&amp;"|")+1,50),Actuals!$F:$F,"EUR")*$G$5+SUMIFS(Actuals!$G:$G,Actuals!$B:$B,$C$3,Actuals!$C:$C,2,Actuals!$D:$D,$B$314,Actuals!$A:$A,LEFT($D$314,FIND("|",$D$314&amp;"|")-1),Actuals!$E:$E,MID($D$314,FIND("|",$D$314&amp;"|")+1,50),Actuals!$F:$F,"GBP")*$H$5)</f>
        <v/>
      </c>
      <c r="J315" s="18">
        <f>IF(OR($B$314="",3&gt;$C$4),"",SUMIFS(Actuals!$G:$G,Actuals!$B:$B,$C$3,Actuals!$C:$C,3,Actuals!$D:$D,$B$314,Actuals!$A:$A,LEFT($D$314,FIND("|",$D$314&amp;"|")-1),Actuals!$E:$E,MID($D$314,FIND("|",$D$314&amp;"|")+1,50),Actuals!$F:$F,"JPY")*$E$5+SUMIFS(Actuals!$G:$G,Actuals!$B:$B,$C$3,Actuals!$C:$C,3,Actuals!$D:$D,$B$314,Actuals!$A:$A,LEFT($D$314,FIND("|",$D$314&amp;"|")-1),Actuals!$E:$E,MID($D$314,FIND("|",$D$314&amp;"|")+1,50),Actuals!$F:$F,"USD")*$F$5+SUMIFS(Actuals!$G:$G,Actuals!$B:$B,$C$3,Actuals!$C:$C,3,Actuals!$D:$D,$B$314,Actuals!$A:$A,LEFT($D$314,FIND("|",$D$314&amp;"|")-1),Actuals!$E:$E,MID($D$314,FIND("|",$D$314&amp;"|")+1,50),Actuals!$F:$F,"EUR")*$G$5+SUMIFS(Actuals!$G:$G,Actuals!$B:$B,$C$3,Actuals!$C:$C,3,Actuals!$D:$D,$B$314,Actuals!$A:$A,LEFT($D$314,FIND("|",$D$314&amp;"|")-1),Actuals!$E:$E,MID($D$314,FIND("|",$D$314&amp;"|")+1,50),Actuals!$F:$F,"GBP")*$H$5)</f>
        <v/>
      </c>
      <c r="K315" s="18">
        <f>IF(OR($B$314="",4&gt;$C$4),"",SUMIFS(Actuals!$G:$G,Actuals!$B:$B,$C$3,Actuals!$C:$C,4,Actuals!$D:$D,$B$314,Actuals!$A:$A,LEFT($D$314,FIND("|",$D$314&amp;"|")-1),Actuals!$E:$E,MID($D$314,FIND("|",$D$314&amp;"|")+1,50),Actuals!$F:$F,"JPY")*$E$5+SUMIFS(Actuals!$G:$G,Actuals!$B:$B,$C$3,Actuals!$C:$C,4,Actuals!$D:$D,$B$314,Actuals!$A:$A,LEFT($D$314,FIND("|",$D$314&amp;"|")-1),Actuals!$E:$E,MID($D$314,FIND("|",$D$314&amp;"|")+1,50),Actuals!$F:$F,"USD")*$F$5+SUMIFS(Actuals!$G:$G,Actuals!$B:$B,$C$3,Actuals!$C:$C,4,Actuals!$D:$D,$B$314,Actuals!$A:$A,LEFT($D$314,FIND("|",$D$314&amp;"|")-1),Actuals!$E:$E,MID($D$314,FIND("|",$D$314&amp;"|")+1,50),Actuals!$F:$F,"EUR")*$G$5+SUMIFS(Actuals!$G:$G,Actuals!$B:$B,$C$3,Actuals!$C:$C,4,Actuals!$D:$D,$B$314,Actuals!$A:$A,LEFT($D$314,FIND("|",$D$314&amp;"|")-1),Actuals!$E:$E,MID($D$314,FIND("|",$D$314&amp;"|")+1,50),Actuals!$F:$F,"GBP")*$H$5)</f>
        <v/>
      </c>
      <c r="L315" s="18">
        <f>IF(OR($B$314="",5&gt;$C$4),"",SUMIFS(Actuals!$G:$G,Actuals!$B:$B,$C$3,Actuals!$C:$C,5,Actuals!$D:$D,$B$314,Actuals!$A:$A,LEFT($D$314,FIND("|",$D$314&amp;"|")-1),Actuals!$E:$E,MID($D$314,FIND("|",$D$314&amp;"|")+1,50),Actuals!$F:$F,"JPY")*$E$5+SUMIFS(Actuals!$G:$G,Actuals!$B:$B,$C$3,Actuals!$C:$C,5,Actuals!$D:$D,$B$314,Actuals!$A:$A,LEFT($D$314,FIND("|",$D$314&amp;"|")-1),Actuals!$E:$E,MID($D$314,FIND("|",$D$314&amp;"|")+1,50),Actuals!$F:$F,"USD")*$F$5+SUMIFS(Actuals!$G:$G,Actuals!$B:$B,$C$3,Actuals!$C:$C,5,Actuals!$D:$D,$B$314,Actuals!$A:$A,LEFT($D$314,FIND("|",$D$314&amp;"|")-1),Actuals!$E:$E,MID($D$314,FIND("|",$D$314&amp;"|")+1,50),Actuals!$F:$F,"EUR")*$G$5+SUMIFS(Actuals!$G:$G,Actuals!$B:$B,$C$3,Actuals!$C:$C,5,Actuals!$D:$D,$B$314,Actuals!$A:$A,LEFT($D$314,FIND("|",$D$314&amp;"|")-1),Actuals!$E:$E,MID($D$314,FIND("|",$D$314&amp;"|")+1,50),Actuals!$F:$F,"GBP")*$H$5)</f>
        <v/>
      </c>
      <c r="M315" s="18">
        <f>IF(OR($B$314="",6&gt;$C$4),"",SUMIFS(Actuals!$G:$G,Actuals!$B:$B,$C$3,Actuals!$C:$C,6,Actuals!$D:$D,$B$314,Actuals!$A:$A,LEFT($D$314,FIND("|",$D$314&amp;"|")-1),Actuals!$E:$E,MID($D$314,FIND("|",$D$314&amp;"|")+1,50),Actuals!$F:$F,"JPY")*$E$5+SUMIFS(Actuals!$G:$G,Actuals!$B:$B,$C$3,Actuals!$C:$C,6,Actuals!$D:$D,$B$314,Actuals!$A:$A,LEFT($D$314,FIND("|",$D$314&amp;"|")-1),Actuals!$E:$E,MID($D$314,FIND("|",$D$314&amp;"|")+1,50),Actuals!$F:$F,"USD")*$F$5+SUMIFS(Actuals!$G:$G,Actuals!$B:$B,$C$3,Actuals!$C:$C,6,Actuals!$D:$D,$B$314,Actuals!$A:$A,LEFT($D$314,FIND("|",$D$314&amp;"|")-1),Actuals!$E:$E,MID($D$314,FIND("|",$D$314&amp;"|")+1,50),Actuals!$F:$F,"EUR")*$G$5+SUMIFS(Actuals!$G:$G,Actuals!$B:$B,$C$3,Actuals!$C:$C,6,Actuals!$D:$D,$B$314,Actuals!$A:$A,LEFT($D$314,FIND("|",$D$314&amp;"|")-1),Actuals!$E:$E,MID($D$314,FIND("|",$D$314&amp;"|")+1,50),Actuals!$F:$F,"GBP")*$H$5)</f>
        <v/>
      </c>
      <c r="N315" s="18">
        <f>IF(OR($B$314="",7&gt;$C$4),"",SUMIFS(Actuals!$G:$G,Actuals!$B:$B,$C$3,Actuals!$C:$C,7,Actuals!$D:$D,$B$314,Actuals!$A:$A,LEFT($D$314,FIND("|",$D$314&amp;"|")-1),Actuals!$E:$E,MID($D$314,FIND("|",$D$314&amp;"|")+1,50),Actuals!$F:$F,"JPY")*$E$5+SUMIFS(Actuals!$G:$G,Actuals!$B:$B,$C$3,Actuals!$C:$C,7,Actuals!$D:$D,$B$314,Actuals!$A:$A,LEFT($D$314,FIND("|",$D$314&amp;"|")-1),Actuals!$E:$E,MID($D$314,FIND("|",$D$314&amp;"|")+1,50),Actuals!$F:$F,"USD")*$F$5+SUMIFS(Actuals!$G:$G,Actuals!$B:$B,$C$3,Actuals!$C:$C,7,Actuals!$D:$D,$B$314,Actuals!$A:$A,LEFT($D$314,FIND("|",$D$314&amp;"|")-1),Actuals!$E:$E,MID($D$314,FIND("|",$D$314&amp;"|")+1,50),Actuals!$F:$F,"EUR")*$G$5+SUMIFS(Actuals!$G:$G,Actuals!$B:$B,$C$3,Actuals!$C:$C,7,Actuals!$D:$D,$B$314,Actuals!$A:$A,LEFT($D$314,FIND("|",$D$314&amp;"|")-1),Actuals!$E:$E,MID($D$314,FIND("|",$D$314&amp;"|")+1,50),Actuals!$F:$F,"GBP")*$H$5)</f>
        <v/>
      </c>
      <c r="O315" s="18">
        <f>IF(OR($B$314="",8&gt;$C$4),"",SUMIFS(Actuals!$G:$G,Actuals!$B:$B,$C$3,Actuals!$C:$C,8,Actuals!$D:$D,$B$314,Actuals!$A:$A,LEFT($D$314,FIND("|",$D$314&amp;"|")-1),Actuals!$E:$E,MID($D$314,FIND("|",$D$314&amp;"|")+1,50),Actuals!$F:$F,"JPY")*$E$5+SUMIFS(Actuals!$G:$G,Actuals!$B:$B,$C$3,Actuals!$C:$C,8,Actuals!$D:$D,$B$314,Actuals!$A:$A,LEFT($D$314,FIND("|",$D$314&amp;"|")-1),Actuals!$E:$E,MID($D$314,FIND("|",$D$314&amp;"|")+1,50),Actuals!$F:$F,"USD")*$F$5+SUMIFS(Actuals!$G:$G,Actuals!$B:$B,$C$3,Actuals!$C:$C,8,Actuals!$D:$D,$B$314,Actuals!$A:$A,LEFT($D$314,FIND("|",$D$314&amp;"|")-1),Actuals!$E:$E,MID($D$314,FIND("|",$D$314&amp;"|")+1,50),Actuals!$F:$F,"EUR")*$G$5+SUMIFS(Actuals!$G:$G,Actuals!$B:$B,$C$3,Actuals!$C:$C,8,Actuals!$D:$D,$B$314,Actuals!$A:$A,LEFT($D$314,FIND("|",$D$314&amp;"|")-1),Actuals!$E:$E,MID($D$314,FIND("|",$D$314&amp;"|")+1,50),Actuals!$F:$F,"GBP")*$H$5)</f>
        <v/>
      </c>
      <c r="P315" s="18">
        <f>IF(OR($B$314="",9&gt;$C$4),"",SUMIFS(Actuals!$G:$G,Actuals!$B:$B,$C$3,Actuals!$C:$C,9,Actuals!$D:$D,$B$314,Actuals!$A:$A,LEFT($D$314,FIND("|",$D$314&amp;"|")-1),Actuals!$E:$E,MID($D$314,FIND("|",$D$314&amp;"|")+1,50),Actuals!$F:$F,"JPY")*$E$5+SUMIFS(Actuals!$G:$G,Actuals!$B:$B,$C$3,Actuals!$C:$C,9,Actuals!$D:$D,$B$314,Actuals!$A:$A,LEFT($D$314,FIND("|",$D$314&amp;"|")-1),Actuals!$E:$E,MID($D$314,FIND("|",$D$314&amp;"|")+1,50),Actuals!$F:$F,"USD")*$F$5+SUMIFS(Actuals!$G:$G,Actuals!$B:$B,$C$3,Actuals!$C:$C,9,Actuals!$D:$D,$B$314,Actuals!$A:$A,LEFT($D$314,FIND("|",$D$314&amp;"|")-1),Actuals!$E:$E,MID($D$314,FIND("|",$D$314&amp;"|")+1,50),Actuals!$F:$F,"EUR")*$G$5+SUMIFS(Actuals!$G:$G,Actuals!$B:$B,$C$3,Actuals!$C:$C,9,Actuals!$D:$D,$B$314,Actuals!$A:$A,LEFT($D$314,FIND("|",$D$314&amp;"|")-1),Actuals!$E:$E,MID($D$314,FIND("|",$D$314&amp;"|")+1,50),Actuals!$F:$F,"GBP")*$H$5)</f>
        <v/>
      </c>
      <c r="Q315" s="18">
        <f>IF(OR($B$314="",10&gt;$C$4),"",SUMIFS(Actuals!$G:$G,Actuals!$B:$B,$C$3,Actuals!$C:$C,10,Actuals!$D:$D,$B$314,Actuals!$A:$A,LEFT($D$314,FIND("|",$D$314&amp;"|")-1),Actuals!$E:$E,MID($D$314,FIND("|",$D$314&amp;"|")+1,50),Actuals!$F:$F,"JPY")*$E$5+SUMIFS(Actuals!$G:$G,Actuals!$B:$B,$C$3,Actuals!$C:$C,10,Actuals!$D:$D,$B$314,Actuals!$A:$A,LEFT($D$314,FIND("|",$D$314&amp;"|")-1),Actuals!$E:$E,MID($D$314,FIND("|",$D$314&amp;"|")+1,50),Actuals!$F:$F,"USD")*$F$5+SUMIFS(Actuals!$G:$G,Actuals!$B:$B,$C$3,Actuals!$C:$C,10,Actuals!$D:$D,$B$314,Actuals!$A:$A,LEFT($D$314,FIND("|",$D$314&amp;"|")-1),Actuals!$E:$E,MID($D$314,FIND("|",$D$314&amp;"|")+1,50),Actuals!$F:$F,"EUR")*$G$5+SUMIFS(Actuals!$G:$G,Actuals!$B:$B,$C$3,Actuals!$C:$C,10,Actuals!$D:$D,$B$314,Actuals!$A:$A,LEFT($D$314,FIND("|",$D$314&amp;"|")-1),Actuals!$E:$E,MID($D$314,FIND("|",$D$314&amp;"|")+1,50),Actuals!$F:$F,"GBP")*$H$5)</f>
        <v/>
      </c>
      <c r="R315" s="18">
        <f>IF(OR($B$314="",11&gt;$C$4),"",SUMIFS(Actuals!$G:$G,Actuals!$B:$B,$C$3,Actuals!$C:$C,11,Actuals!$D:$D,$B$314,Actuals!$A:$A,LEFT($D$314,FIND("|",$D$314&amp;"|")-1),Actuals!$E:$E,MID($D$314,FIND("|",$D$314&amp;"|")+1,50),Actuals!$F:$F,"JPY")*$E$5+SUMIFS(Actuals!$G:$G,Actuals!$B:$B,$C$3,Actuals!$C:$C,11,Actuals!$D:$D,$B$314,Actuals!$A:$A,LEFT($D$314,FIND("|",$D$314&amp;"|")-1),Actuals!$E:$E,MID($D$314,FIND("|",$D$314&amp;"|")+1,50),Actuals!$F:$F,"USD")*$F$5+SUMIFS(Actuals!$G:$G,Actuals!$B:$B,$C$3,Actuals!$C:$C,11,Actuals!$D:$D,$B$314,Actuals!$A:$A,LEFT($D$314,FIND("|",$D$314&amp;"|")-1),Actuals!$E:$E,MID($D$314,FIND("|",$D$314&amp;"|")+1,50),Actuals!$F:$F,"EUR")*$G$5+SUMIFS(Actuals!$G:$G,Actuals!$B:$B,$C$3,Actuals!$C:$C,11,Actuals!$D:$D,$B$314,Actuals!$A:$A,LEFT($D$314,FIND("|",$D$314&amp;"|")-1),Actuals!$E:$E,MID($D$314,FIND("|",$D$314&amp;"|")+1,50),Actuals!$F:$F,"GBP")*$H$5)</f>
        <v/>
      </c>
      <c r="S315" s="18">
        <f>IF(OR($B$314="",12&gt;$C$4),"",SUMIFS(Actuals!$G:$G,Actuals!$B:$B,$C$3,Actuals!$C:$C,12,Actuals!$D:$D,$B$314,Actuals!$A:$A,LEFT($D$314,FIND("|",$D$314&amp;"|")-1),Actuals!$E:$E,MID($D$314,FIND("|",$D$314&amp;"|")+1,50),Actuals!$F:$F,"JPY")*$E$5+SUMIFS(Actuals!$G:$G,Actuals!$B:$B,$C$3,Actuals!$C:$C,12,Actuals!$D:$D,$B$314,Actuals!$A:$A,LEFT($D$314,FIND("|",$D$314&amp;"|")-1),Actuals!$E:$E,MID($D$314,FIND("|",$D$314&amp;"|")+1,50),Actuals!$F:$F,"USD")*$F$5+SUMIFS(Actuals!$G:$G,Actuals!$B:$B,$C$3,Actuals!$C:$C,12,Actuals!$D:$D,$B$314,Actuals!$A:$A,LEFT($D$314,FIND("|",$D$314&amp;"|")-1),Actuals!$E:$E,MID($D$314,FIND("|",$D$314&amp;"|")+1,50),Actuals!$F:$F,"EUR")*$G$5+SUMIFS(Actuals!$G:$G,Actuals!$B:$B,$C$3,Actuals!$C:$C,12,Actuals!$D:$D,$B$314,Actuals!$A:$A,LEFT($D$314,FIND("|",$D$314&amp;"|")-1),Actuals!$E:$E,MID($D$314,FIND("|",$D$314&amp;"|")+1,50),Actuals!$F:$F,"GBP")*$H$5)</f>
        <v/>
      </c>
      <c r="T315" s="18">
        <f>IF($B$314="","",SUMIF($H$7:$S$7,"&lt;="&amp;$C$4,$H315:$S315))</f>
        <v/>
      </c>
      <c r="U315" s="18" t="n"/>
      <c r="V315" s="18" t="n"/>
      <c r="X315" s="22">
        <f>IF($B315="","",IFERROR(INDEX(Cost_Centers!$E:$E,MATCH($B315,Cost_Centers!$A:$A,0)),"(unknown)"))</f>
        <v/>
      </c>
      <c r="Y315" s="22">
        <f>IF($B315="","",IFERROR(INDEX(Cost_Centers!$D:$D,MATCH($B315,Cost_Centers!$A:$A,0)),"(unknown)"))</f>
        <v/>
      </c>
      <c r="Z315" s="22">
        <f>IF(OR($B315="",$G315&lt;&gt;"Variance vs Budget"),"",ABS(N($V315))+ROW()/1000000000)</f>
        <v/>
      </c>
    </row>
    <row r="316">
      <c r="A316" s="13">
        <f>IF(A$314="","",A$314)</f>
        <v/>
      </c>
      <c r="B316" s="13">
        <f>IF(B$314="","",B$314)</f>
        <v/>
      </c>
      <c r="C316" s="13">
        <f>IF(C$314="","",C$314)</f>
        <v/>
      </c>
      <c r="D316" s="13">
        <f>IF(D$314="","",D$314)</f>
        <v/>
      </c>
      <c r="E316" s="13">
        <f>IF(E$314="","",E$314)</f>
        <v/>
      </c>
      <c r="F316" s="13">
        <f>IF(F$314="","",F$314)</f>
        <v/>
      </c>
      <c r="G316" s="6" t="inlineStr">
        <is>
          <t>Variance vs Budget</t>
        </is>
      </c>
      <c r="H316" s="33">
        <f>IF(OR($B$314="",1&gt;$C$4),"",N(H315)-H314)</f>
        <v/>
      </c>
      <c r="I316" s="33">
        <f>IF(OR($B$314="",2&gt;$C$4),"",N(I315)-I314)</f>
        <v/>
      </c>
      <c r="J316" s="33">
        <f>IF(OR($B$314="",3&gt;$C$4),"",N(J315)-J314)</f>
        <v/>
      </c>
      <c r="K316" s="33">
        <f>IF(OR($B$314="",4&gt;$C$4),"",N(K315)-K314)</f>
        <v/>
      </c>
      <c r="L316" s="33">
        <f>IF(OR($B$314="",5&gt;$C$4),"",N(L315)-L314)</f>
        <v/>
      </c>
      <c r="M316" s="33">
        <f>IF(OR($B$314="",6&gt;$C$4),"",N(M315)-M314)</f>
        <v/>
      </c>
      <c r="N316" s="33">
        <f>IF(OR($B$314="",7&gt;$C$4),"",N(N315)-N314)</f>
        <v/>
      </c>
      <c r="O316" s="33">
        <f>IF(OR($B$314="",8&gt;$C$4),"",N(O315)-O314)</f>
        <v/>
      </c>
      <c r="P316" s="33">
        <f>IF(OR($B$314="",9&gt;$C$4),"",N(P315)-P314)</f>
        <v/>
      </c>
      <c r="Q316" s="33">
        <f>IF(OR($B$314="",10&gt;$C$4),"",N(Q315)-Q314)</f>
        <v/>
      </c>
      <c r="R316" s="33">
        <f>IF(OR($B$314="",11&gt;$C$4),"",N(R315)-R314)</f>
        <v/>
      </c>
      <c r="S316" s="33">
        <f>IF(OR($B$314="",12&gt;$C$4),"",N(S315)-S314)</f>
        <v/>
      </c>
      <c r="T316" s="33">
        <f>IF($B$314="","",T315-T314)</f>
        <v/>
      </c>
      <c r="U316" s="33">
        <f>IF($B$314="","",U318-U314)</f>
        <v/>
      </c>
      <c r="V316" s="33">
        <f>IF($B$314="","",V318-V314)</f>
        <v/>
      </c>
      <c r="X316" s="22">
        <f>IF($B316="","",IFERROR(INDEX(Cost_Centers!$E:$E,MATCH($B316,Cost_Centers!$A:$A,0)),"(unknown)"))</f>
        <v/>
      </c>
      <c r="Y316" s="22">
        <f>IF($B316="","",IFERROR(INDEX(Cost_Centers!$D:$D,MATCH($B316,Cost_Centers!$A:$A,0)),"(unknown)"))</f>
        <v/>
      </c>
      <c r="Z316" s="22">
        <f>IF(OR($B316="",$G316&lt;&gt;"Variance vs Budget"),"",ABS(N($V316))+ROW()/1000000000)</f>
        <v/>
      </c>
    </row>
    <row r="317">
      <c r="A317" s="13">
        <f>IF(A$314="","",A$314)</f>
        <v/>
      </c>
      <c r="B317" s="13">
        <f>IF(B$314="","",B$314)</f>
        <v/>
      </c>
      <c r="C317" s="13">
        <f>IF(C$314="","",C$314)</f>
        <v/>
      </c>
      <c r="D317" s="13">
        <f>IF(D$314="","",D$314)</f>
        <v/>
      </c>
      <c r="E317" s="13">
        <f>IF(E$314="","",E$314)</f>
        <v/>
      </c>
      <c r="F317" s="13">
        <f>IF(F$314="","",F$314)</f>
        <v/>
      </c>
      <c r="G317" s="7" t="inlineStr">
        <is>
          <t>Forecast (input)</t>
        </is>
      </c>
      <c r="H317" s="34" t="n"/>
      <c r="I317" s="34" t="n"/>
      <c r="J317" s="34" t="n"/>
      <c r="K317" s="34" t="n"/>
      <c r="L317" s="34" t="n"/>
      <c r="M317" s="34" t="n"/>
      <c r="N317" s="34" t="n"/>
      <c r="O317" s="34" t="n"/>
      <c r="P317" s="34" t="n"/>
      <c r="Q317" s="34" t="n"/>
      <c r="R317" s="34" t="n"/>
      <c r="S317" s="34" t="n"/>
      <c r="T317" s="18" t="n"/>
      <c r="U317" s="18" t="n"/>
      <c r="V317" s="18" t="n"/>
      <c r="X317" s="22">
        <f>IF($B317="","",IFERROR(INDEX(Cost_Centers!$E:$E,MATCH($B317,Cost_Centers!$A:$A,0)),"(unknown)"))</f>
        <v/>
      </c>
      <c r="Y317" s="22">
        <f>IF($B317="","",IFERROR(INDEX(Cost_Centers!$D:$D,MATCH($B317,Cost_Centers!$A:$A,0)),"(unknown)"))</f>
        <v/>
      </c>
      <c r="Z317" s="22">
        <f>IF(OR($B317="",$G317&lt;&gt;"Variance vs Budget"),"",ABS(N($V317))+ROW()/1000000000)</f>
        <v/>
      </c>
    </row>
    <row r="318">
      <c r="A318" s="13">
        <f>IF(A$314="","",A$314)</f>
        <v/>
      </c>
      <c r="B318" s="13">
        <f>IF(B$314="","",B$314)</f>
        <v/>
      </c>
      <c r="C318" s="13">
        <f>IF(C$314="","",C$314)</f>
        <v/>
      </c>
      <c r="D318" s="13">
        <f>IF(D$314="","",D$314)</f>
        <v/>
      </c>
      <c r="E318" s="13">
        <f>IF(E$314="","",E$314)</f>
        <v/>
      </c>
      <c r="F318" s="13">
        <f>IF(F$314="","",F$314)</f>
        <v/>
      </c>
      <c r="G318" s="35" t="inlineStr">
        <is>
          <t>Actual + Forecast</t>
        </is>
      </c>
      <c r="H318" s="18">
        <f>IF($B$314="","",IF(1&lt;=$C$4,N(H315),IF(H317="",H314,H317)))</f>
        <v/>
      </c>
      <c r="I318" s="18">
        <f>IF($B$314="","",IF(2&lt;=$C$4,N(I315),IF(I317="",I314,I317)))</f>
        <v/>
      </c>
      <c r="J318" s="18">
        <f>IF($B$314="","",IF(3&lt;=$C$4,N(J315),IF(J317="",J314,J317)))</f>
        <v/>
      </c>
      <c r="K318" s="18">
        <f>IF($B$314="","",IF(4&lt;=$C$4,N(K315),IF(K317="",K314,K317)))</f>
        <v/>
      </c>
      <c r="L318" s="18">
        <f>IF($B$314="","",IF(5&lt;=$C$4,N(L315),IF(L317="",L314,L317)))</f>
        <v/>
      </c>
      <c r="M318" s="18">
        <f>IF($B$314="","",IF(6&lt;=$C$4,N(M315),IF(M317="",M314,M317)))</f>
        <v/>
      </c>
      <c r="N318" s="18">
        <f>IF($B$314="","",IF(7&lt;=$C$4,N(N315),IF(N317="",N314,N317)))</f>
        <v/>
      </c>
      <c r="O318" s="18">
        <f>IF($B$314="","",IF(8&lt;=$C$4,N(O315),IF(O317="",O314,O317)))</f>
        <v/>
      </c>
      <c r="P318" s="18">
        <f>IF($B$314="","",IF(9&lt;=$C$4,N(P315),IF(P317="",P314,P317)))</f>
        <v/>
      </c>
      <c r="Q318" s="18">
        <f>IF($B$314="","",IF(10&lt;=$C$4,N(Q315),IF(Q317="",Q314,Q317)))</f>
        <v/>
      </c>
      <c r="R318" s="18">
        <f>IF($B$314="","",IF(11&lt;=$C$4,N(R315),IF(R317="",R314,R317)))</f>
        <v/>
      </c>
      <c r="S318" s="18">
        <f>IF($B$314="","",IF(12&lt;=$C$4,N(S315),IF(S317="",S314,S317)))</f>
        <v/>
      </c>
      <c r="T318" s="18">
        <f>IF($B$314="","",SUMIF($H$7:$S$7,"&lt;="&amp;$C$4,$H318:$S318))</f>
        <v/>
      </c>
      <c r="U318" s="18">
        <f>IF($B$314="","",SUMIF($H$7:$S$7,"&gt;"&amp;$C$4,$H318:$S318))</f>
        <v/>
      </c>
      <c r="V318" s="18">
        <f>IF($B$314="","",SUM($H318:$S318))</f>
        <v/>
      </c>
      <c r="X318" s="22">
        <f>IF($B318="","",IFERROR(INDEX(Cost_Centers!$E:$E,MATCH($B318,Cost_Centers!$A:$A,0)),"(unknown)"))</f>
        <v/>
      </c>
      <c r="Y318" s="22">
        <f>IF($B318="","",IFERROR(INDEX(Cost_Centers!$D:$D,MATCH($B318,Cost_Centers!$A:$A,0)),"(unknown)"))</f>
        <v/>
      </c>
      <c r="Z318" s="22">
        <f>IF(OR($B318="",$G318&lt;&gt;"Variance vs Budget"),"",ABS(N($V318))+ROW()/1000000000)</f>
        <v/>
      </c>
    </row>
    <row r="319">
      <c r="A319" s="13">
        <f>IF(A$314="","",A$314)</f>
        <v/>
      </c>
      <c r="B319" s="13">
        <f>IF(B$314="","",B$314)</f>
        <v/>
      </c>
      <c r="C319" s="13">
        <f>IF(C$314="","",C$314)</f>
        <v/>
      </c>
      <c r="D319" s="13">
        <f>IF(D$314="","",D$314)</f>
        <v/>
      </c>
      <c r="E319" s="13">
        <f>IF(E$314="","",E$314)</f>
        <v/>
      </c>
      <c r="F319" s="13">
        <f>IF(F$314="","",F$314)</f>
        <v/>
      </c>
      <c r="G319" s="36" t="inlineStr">
        <is>
          <t>Prior Month Forecast</t>
        </is>
      </c>
      <c r="H319" s="37">
        <f>IF($B$314="","",IF(COUNTIFS(Prior_Forecast!$A:$A,$B$314,Prior_Forecast!$B:$B,$D$314)&gt;0,SUMIFS(Prior_Forecast!$C:$C,Prior_Forecast!$A:$A,$B$314,Prior_Forecast!$B:$B,$D$314),""))</f>
        <v/>
      </c>
      <c r="I319" s="37">
        <f>IF($B$314="","",IF(COUNTIFS(Prior_Forecast!$A:$A,$B$314,Prior_Forecast!$B:$B,$D$314)&gt;0,SUMIFS(Prior_Forecast!$D:$D,Prior_Forecast!$A:$A,$B$314,Prior_Forecast!$B:$B,$D$314),""))</f>
        <v/>
      </c>
      <c r="J319" s="37">
        <f>IF($B$314="","",IF(COUNTIFS(Prior_Forecast!$A:$A,$B$314,Prior_Forecast!$B:$B,$D$314)&gt;0,SUMIFS(Prior_Forecast!$E:$E,Prior_Forecast!$A:$A,$B$314,Prior_Forecast!$B:$B,$D$314),""))</f>
        <v/>
      </c>
      <c r="K319" s="37">
        <f>IF($B$314="","",IF(COUNTIFS(Prior_Forecast!$A:$A,$B$314,Prior_Forecast!$B:$B,$D$314)&gt;0,SUMIFS(Prior_Forecast!$F:$F,Prior_Forecast!$A:$A,$B$314,Prior_Forecast!$B:$B,$D$314),""))</f>
        <v/>
      </c>
      <c r="L319" s="37">
        <f>IF($B$314="","",IF(COUNTIFS(Prior_Forecast!$A:$A,$B$314,Prior_Forecast!$B:$B,$D$314)&gt;0,SUMIFS(Prior_Forecast!$G:$G,Prior_Forecast!$A:$A,$B$314,Prior_Forecast!$B:$B,$D$314),""))</f>
        <v/>
      </c>
      <c r="M319" s="37">
        <f>IF($B$314="","",IF(COUNTIFS(Prior_Forecast!$A:$A,$B$314,Prior_Forecast!$B:$B,$D$314)&gt;0,SUMIFS(Prior_Forecast!$H:$H,Prior_Forecast!$A:$A,$B$314,Prior_Forecast!$B:$B,$D$314),""))</f>
        <v/>
      </c>
      <c r="N319" s="37">
        <f>IF($B$314="","",IF(COUNTIFS(Prior_Forecast!$A:$A,$B$314,Prior_Forecast!$B:$B,$D$314)&gt;0,SUMIFS(Prior_Forecast!$I:$I,Prior_Forecast!$A:$A,$B$314,Prior_Forecast!$B:$B,$D$314),""))</f>
        <v/>
      </c>
      <c r="O319" s="37">
        <f>IF($B$314="","",IF(COUNTIFS(Prior_Forecast!$A:$A,$B$314,Prior_Forecast!$B:$B,$D$314)&gt;0,SUMIFS(Prior_Forecast!$J:$J,Prior_Forecast!$A:$A,$B$314,Prior_Forecast!$B:$B,$D$314),""))</f>
        <v/>
      </c>
      <c r="P319" s="37">
        <f>IF($B$314="","",IF(COUNTIFS(Prior_Forecast!$A:$A,$B$314,Prior_Forecast!$B:$B,$D$314)&gt;0,SUMIFS(Prior_Forecast!$K:$K,Prior_Forecast!$A:$A,$B$314,Prior_Forecast!$B:$B,$D$314),""))</f>
        <v/>
      </c>
      <c r="Q319" s="37">
        <f>IF($B$314="","",IF(COUNTIFS(Prior_Forecast!$A:$A,$B$314,Prior_Forecast!$B:$B,$D$314)&gt;0,SUMIFS(Prior_Forecast!$L:$L,Prior_Forecast!$A:$A,$B$314,Prior_Forecast!$B:$B,$D$314),""))</f>
        <v/>
      </c>
      <c r="R319" s="37">
        <f>IF($B$314="","",IF(COUNTIFS(Prior_Forecast!$A:$A,$B$314,Prior_Forecast!$B:$B,$D$314)&gt;0,SUMIFS(Prior_Forecast!$M:$M,Prior_Forecast!$A:$A,$B$314,Prior_Forecast!$B:$B,$D$314),""))</f>
        <v/>
      </c>
      <c r="S319" s="37">
        <f>IF($B$314="","",IF(COUNTIFS(Prior_Forecast!$A:$A,$B$314,Prior_Forecast!$B:$B,$D$314)&gt;0,SUMIFS(Prior_Forecast!$N:$N,Prior_Forecast!$A:$A,$B$314,Prior_Forecast!$B:$B,$D$314),""))</f>
        <v/>
      </c>
      <c r="T319" s="37">
        <f>IF($B$314="","",IF(COUNTIFS(Prior_Forecast!$A:$A,$B$314,Prior_Forecast!$B:$B,$D$314)&gt;0,SUMIFS(Prior_Forecast!$O:$O,Prior_Forecast!$A:$A,$B$314,Prior_Forecast!$B:$B,$D$314),""))</f>
        <v/>
      </c>
      <c r="U319" s="37">
        <f>IF($B$314="","",IF(COUNTIFS(Prior_Forecast!$A:$A,$B$314,Prior_Forecast!$B:$B,$D$314)&gt;0,SUMIFS(Prior_Forecast!$P:$P,Prior_Forecast!$A:$A,$B$314,Prior_Forecast!$B:$B,$D$314),""))</f>
        <v/>
      </c>
      <c r="V319" s="37">
        <f>IF($B$314="","",IF(COUNTIFS(Prior_Forecast!$A:$A,$B$314,Prior_Forecast!$B:$B,$D$314)&gt;0,SUMIFS(Prior_Forecast!$Q:$Q,Prior_Forecast!$A:$A,$B$314,Prior_Forecast!$B:$B,$D$314),""))</f>
        <v/>
      </c>
      <c r="X319" s="22">
        <f>IF($B319="","",IFERROR(INDEX(Cost_Centers!$E:$E,MATCH($B319,Cost_Centers!$A:$A,0)),"(unknown)"))</f>
        <v/>
      </c>
      <c r="Y319" s="22">
        <f>IF($B319="","",IFERROR(INDEX(Cost_Centers!$D:$D,MATCH($B319,Cost_Centers!$A:$A,0)),"(unknown)"))</f>
        <v/>
      </c>
      <c r="Z319" s="22">
        <f>IF(OR($B319="",$G319&lt;&gt;"Variance vs Budget"),"",ABS(N($V319))+ROW()/1000000000)</f>
        <v/>
      </c>
    </row>
    <row r="320">
      <c r="A320" s="13">
        <f>IF(A$314="","",A$314)</f>
        <v/>
      </c>
      <c r="B320" s="13">
        <f>IF(B$314="","",B$314)</f>
        <v/>
      </c>
      <c r="C320" s="13">
        <f>IF(C$314="","",C$314)</f>
        <v/>
      </c>
      <c r="D320" s="13">
        <f>IF(D$314="","",D$314)</f>
        <v/>
      </c>
      <c r="E320" s="13">
        <f>IF(E$314="","",E$314)</f>
        <v/>
      </c>
      <c r="F320" s="13">
        <f>IF(F$314="","",F$314)</f>
        <v/>
      </c>
      <c r="G320" s="6" t="inlineStr">
        <is>
          <t>Variance vs Prior Month</t>
        </is>
      </c>
      <c r="H320" s="33">
        <f>IF(OR($B$314="",H319=""),"",H318-H319)</f>
        <v/>
      </c>
      <c r="I320" s="33">
        <f>IF(OR($B$314="",I319=""),"",I318-I319)</f>
        <v/>
      </c>
      <c r="J320" s="33">
        <f>IF(OR($B$314="",J319=""),"",J318-J319)</f>
        <v/>
      </c>
      <c r="K320" s="33">
        <f>IF(OR($B$314="",K319=""),"",K318-K319)</f>
        <v/>
      </c>
      <c r="L320" s="33">
        <f>IF(OR($B$314="",L319=""),"",L318-L319)</f>
        <v/>
      </c>
      <c r="M320" s="33">
        <f>IF(OR($B$314="",M319=""),"",M318-M319)</f>
        <v/>
      </c>
      <c r="N320" s="33">
        <f>IF(OR($B$314="",N319=""),"",N318-N319)</f>
        <v/>
      </c>
      <c r="O320" s="33">
        <f>IF(OR($B$314="",O319=""),"",O318-O319)</f>
        <v/>
      </c>
      <c r="P320" s="33">
        <f>IF(OR($B$314="",P319=""),"",P318-P319)</f>
        <v/>
      </c>
      <c r="Q320" s="33">
        <f>IF(OR($B$314="",Q319=""),"",Q318-Q319)</f>
        <v/>
      </c>
      <c r="R320" s="33">
        <f>IF(OR($B$314="",R319=""),"",R318-R319)</f>
        <v/>
      </c>
      <c r="S320" s="33">
        <f>IF(OR($B$314="",S319=""),"",S318-S319)</f>
        <v/>
      </c>
      <c r="T320" s="33">
        <f>IF(OR($B$314="",T319=""),"",T318-T319)</f>
        <v/>
      </c>
      <c r="U320" s="33">
        <f>IF(OR($B$314="",U319=""),"",U318-U319)</f>
        <v/>
      </c>
      <c r="V320" s="33">
        <f>IF(OR($B$314="",V319=""),"",V318-V319)</f>
        <v/>
      </c>
      <c r="X320" s="22">
        <f>IF($B320="","",IFERROR(INDEX(Cost_Centers!$E:$E,MATCH($B320,Cost_Centers!$A:$A,0)),"(unknown)"))</f>
        <v/>
      </c>
      <c r="Y320" s="22">
        <f>IF($B320="","",IFERROR(INDEX(Cost_Centers!$D:$D,MATCH($B320,Cost_Centers!$A:$A,0)),"(unknown)"))</f>
        <v/>
      </c>
      <c r="Z320" s="22">
        <f>IF(OR($B320="",$G320&lt;&gt;"Variance vs Budget"),"",ABS(N($V320))+ROW()/1000000000)</f>
        <v/>
      </c>
    </row>
    <row r="321" ht="45" customHeight="1">
      <c r="A321" s="13">
        <f>IF(A$314="","",A$314)</f>
        <v/>
      </c>
      <c r="B321" s="13">
        <f>IF(B$314="","",B$314)</f>
        <v/>
      </c>
      <c r="C321" s="13">
        <f>IF(C$314="","",C$314)</f>
        <v/>
      </c>
      <c r="D321" s="13">
        <f>IF(D$314="","",D$314)</f>
        <v/>
      </c>
      <c r="E321" s="13">
        <f>IF(E$314="","",E$314)</f>
        <v/>
      </c>
      <c r="F321" s="13">
        <f>IF(F$314="","",F$314)</f>
        <v/>
      </c>
      <c r="G321" s="7" t="inlineStr">
        <is>
          <t>Rationale</t>
        </is>
      </c>
      <c r="H321" s="38" t="n"/>
      <c r="I321" s="38" t="n"/>
      <c r="J321" s="38" t="n"/>
      <c r="K321" s="38" t="n"/>
      <c r="L321" s="38" t="n"/>
      <c r="M321" s="38" t="n"/>
      <c r="N321" s="38" t="n"/>
      <c r="O321" s="38" t="n"/>
      <c r="P321" s="38" t="n"/>
      <c r="Q321" s="38" t="n"/>
      <c r="R321" s="38" t="n"/>
      <c r="S321" s="38" t="n"/>
      <c r="T321" s="38" t="n"/>
      <c r="U321" s="38" t="n"/>
      <c r="V321" s="7" t="n"/>
      <c r="X321" s="22">
        <f>IF($B321="","",IFERROR(INDEX(Cost_Centers!$E:$E,MATCH($B321,Cost_Centers!$A:$A,0)),"(unknown)"))</f>
        <v/>
      </c>
      <c r="Y321" s="22">
        <f>IF($B321="","",IFERROR(INDEX(Cost_Centers!$D:$D,MATCH($B321,Cost_Centers!$A:$A,0)),"(unknown)"))</f>
        <v/>
      </c>
      <c r="Z321" s="22">
        <f>IF(OR($B321="",$G321&lt;&gt;"Variance vs Budget"),"",ABS(N($V321))+ROW()/1000000000)</f>
        <v/>
      </c>
    </row>
    <row r="322">
      <c r="A322" s="30">
        <f>IF($D$322="","",LEFT($D$322,FIND("|",$D$322&amp;"|")-1))</f>
        <v/>
      </c>
      <c r="B322" s="31" t="n"/>
      <c r="C322" s="30">
        <f>IF($B$322="","",IFERROR(INDEX(Cost_Centers!$B:$B,MATCH($B$322,Cost_Centers!$A:$A,0)),"(not in master)"))</f>
        <v/>
      </c>
      <c r="D322" s="31" t="n"/>
      <c r="E322" s="30">
        <f>IF($D$322="","",IFERROR(INDEX(Accounts!$D:$D,MATCH($D$322,Accounts!$A:$A,0)),"(not in master)"))</f>
        <v/>
      </c>
      <c r="F322" s="31" t="n"/>
      <c r="G322" s="30" t="inlineStr">
        <is>
          <t>Budget</t>
        </is>
      </c>
      <c r="H322" s="32">
        <f>IF($B$322="","",SUMIFS(Opex_Budget!$O:$O,Opex_Budget!$A:$A,$C$3,Opex_Budget!$E:$E,$B$322,Opex_Budget!$F:$F,$D$322,Opex_Budget!$N:$N,"JPY")*$E$5+SUMIFS(Opex_Budget!$O:$O,Opex_Budget!$A:$A,$C$3,Opex_Budget!$E:$E,$B$322,Opex_Budget!$F:$F,$D$322,Opex_Budget!$N:$N,"USD")*$F$5+SUMIFS(Opex_Budget!$O:$O,Opex_Budget!$A:$A,$C$3,Opex_Budget!$E:$E,$B$322,Opex_Budget!$F:$F,$D$322,Opex_Budget!$N:$N,"EUR")*$G$5+SUMIFS(Opex_Budget!$O:$O,Opex_Budget!$A:$A,$C$3,Opex_Budget!$E:$E,$B$322,Opex_Budget!$F:$F,$D$322,Opex_Budget!$N:$N,"GBP")*$H$5)</f>
        <v/>
      </c>
      <c r="I322" s="32">
        <f>IF($B$322="","",SUMIFS(Opex_Budget!$P:$P,Opex_Budget!$A:$A,$C$3,Opex_Budget!$E:$E,$B$322,Opex_Budget!$F:$F,$D$322,Opex_Budget!$N:$N,"JPY")*$E$5+SUMIFS(Opex_Budget!$P:$P,Opex_Budget!$A:$A,$C$3,Opex_Budget!$E:$E,$B$322,Opex_Budget!$F:$F,$D$322,Opex_Budget!$N:$N,"USD")*$F$5+SUMIFS(Opex_Budget!$P:$P,Opex_Budget!$A:$A,$C$3,Opex_Budget!$E:$E,$B$322,Opex_Budget!$F:$F,$D$322,Opex_Budget!$N:$N,"EUR")*$G$5+SUMIFS(Opex_Budget!$P:$P,Opex_Budget!$A:$A,$C$3,Opex_Budget!$E:$E,$B$322,Opex_Budget!$F:$F,$D$322,Opex_Budget!$N:$N,"GBP")*$H$5)</f>
        <v/>
      </c>
      <c r="J322" s="32">
        <f>IF($B$322="","",SUMIFS(Opex_Budget!$Q:$Q,Opex_Budget!$A:$A,$C$3,Opex_Budget!$E:$E,$B$322,Opex_Budget!$F:$F,$D$322,Opex_Budget!$N:$N,"JPY")*$E$5+SUMIFS(Opex_Budget!$Q:$Q,Opex_Budget!$A:$A,$C$3,Opex_Budget!$E:$E,$B$322,Opex_Budget!$F:$F,$D$322,Opex_Budget!$N:$N,"USD")*$F$5+SUMIFS(Opex_Budget!$Q:$Q,Opex_Budget!$A:$A,$C$3,Opex_Budget!$E:$E,$B$322,Opex_Budget!$F:$F,$D$322,Opex_Budget!$N:$N,"EUR")*$G$5+SUMIFS(Opex_Budget!$Q:$Q,Opex_Budget!$A:$A,$C$3,Opex_Budget!$E:$E,$B$322,Opex_Budget!$F:$F,$D$322,Opex_Budget!$N:$N,"GBP")*$H$5)</f>
        <v/>
      </c>
      <c r="K322" s="32">
        <f>IF($B$322="","",SUMIFS(Opex_Budget!$R:$R,Opex_Budget!$A:$A,$C$3,Opex_Budget!$E:$E,$B$322,Opex_Budget!$F:$F,$D$322,Opex_Budget!$N:$N,"JPY")*$E$5+SUMIFS(Opex_Budget!$R:$R,Opex_Budget!$A:$A,$C$3,Opex_Budget!$E:$E,$B$322,Opex_Budget!$F:$F,$D$322,Opex_Budget!$N:$N,"USD")*$F$5+SUMIFS(Opex_Budget!$R:$R,Opex_Budget!$A:$A,$C$3,Opex_Budget!$E:$E,$B$322,Opex_Budget!$F:$F,$D$322,Opex_Budget!$N:$N,"EUR")*$G$5+SUMIFS(Opex_Budget!$R:$R,Opex_Budget!$A:$A,$C$3,Opex_Budget!$E:$E,$B$322,Opex_Budget!$F:$F,$D$322,Opex_Budget!$N:$N,"GBP")*$H$5)</f>
        <v/>
      </c>
      <c r="L322" s="32">
        <f>IF($B$322="","",SUMIFS(Opex_Budget!$S:$S,Opex_Budget!$A:$A,$C$3,Opex_Budget!$E:$E,$B$322,Opex_Budget!$F:$F,$D$322,Opex_Budget!$N:$N,"JPY")*$E$5+SUMIFS(Opex_Budget!$S:$S,Opex_Budget!$A:$A,$C$3,Opex_Budget!$E:$E,$B$322,Opex_Budget!$F:$F,$D$322,Opex_Budget!$N:$N,"USD")*$F$5+SUMIFS(Opex_Budget!$S:$S,Opex_Budget!$A:$A,$C$3,Opex_Budget!$E:$E,$B$322,Opex_Budget!$F:$F,$D$322,Opex_Budget!$N:$N,"EUR")*$G$5+SUMIFS(Opex_Budget!$S:$S,Opex_Budget!$A:$A,$C$3,Opex_Budget!$E:$E,$B$322,Opex_Budget!$F:$F,$D$322,Opex_Budget!$N:$N,"GBP")*$H$5)</f>
        <v/>
      </c>
      <c r="M322" s="32">
        <f>IF($B$322="","",SUMIFS(Opex_Budget!$T:$T,Opex_Budget!$A:$A,$C$3,Opex_Budget!$E:$E,$B$322,Opex_Budget!$F:$F,$D$322,Opex_Budget!$N:$N,"JPY")*$E$5+SUMIFS(Opex_Budget!$T:$T,Opex_Budget!$A:$A,$C$3,Opex_Budget!$E:$E,$B$322,Opex_Budget!$F:$F,$D$322,Opex_Budget!$N:$N,"USD")*$F$5+SUMIFS(Opex_Budget!$T:$T,Opex_Budget!$A:$A,$C$3,Opex_Budget!$E:$E,$B$322,Opex_Budget!$F:$F,$D$322,Opex_Budget!$N:$N,"EUR")*$G$5+SUMIFS(Opex_Budget!$T:$T,Opex_Budget!$A:$A,$C$3,Opex_Budget!$E:$E,$B$322,Opex_Budget!$F:$F,$D$322,Opex_Budget!$N:$N,"GBP")*$H$5)</f>
        <v/>
      </c>
      <c r="N322" s="32">
        <f>IF($B$322="","",SUMIFS(Opex_Budget!$U:$U,Opex_Budget!$A:$A,$C$3,Opex_Budget!$E:$E,$B$322,Opex_Budget!$F:$F,$D$322,Opex_Budget!$N:$N,"JPY")*$E$5+SUMIFS(Opex_Budget!$U:$U,Opex_Budget!$A:$A,$C$3,Opex_Budget!$E:$E,$B$322,Opex_Budget!$F:$F,$D$322,Opex_Budget!$N:$N,"USD")*$F$5+SUMIFS(Opex_Budget!$U:$U,Opex_Budget!$A:$A,$C$3,Opex_Budget!$E:$E,$B$322,Opex_Budget!$F:$F,$D$322,Opex_Budget!$N:$N,"EUR")*$G$5+SUMIFS(Opex_Budget!$U:$U,Opex_Budget!$A:$A,$C$3,Opex_Budget!$E:$E,$B$322,Opex_Budget!$F:$F,$D$322,Opex_Budget!$N:$N,"GBP")*$H$5)</f>
        <v/>
      </c>
      <c r="O322" s="32">
        <f>IF($B$322="","",SUMIFS(Opex_Budget!$V:$V,Opex_Budget!$A:$A,$C$3,Opex_Budget!$E:$E,$B$322,Opex_Budget!$F:$F,$D$322,Opex_Budget!$N:$N,"JPY")*$E$5+SUMIFS(Opex_Budget!$V:$V,Opex_Budget!$A:$A,$C$3,Opex_Budget!$E:$E,$B$322,Opex_Budget!$F:$F,$D$322,Opex_Budget!$N:$N,"USD")*$F$5+SUMIFS(Opex_Budget!$V:$V,Opex_Budget!$A:$A,$C$3,Opex_Budget!$E:$E,$B$322,Opex_Budget!$F:$F,$D$322,Opex_Budget!$N:$N,"EUR")*$G$5+SUMIFS(Opex_Budget!$V:$V,Opex_Budget!$A:$A,$C$3,Opex_Budget!$E:$E,$B$322,Opex_Budget!$F:$F,$D$322,Opex_Budget!$N:$N,"GBP")*$H$5)</f>
        <v/>
      </c>
      <c r="P322" s="32">
        <f>IF($B$322="","",SUMIFS(Opex_Budget!$W:$W,Opex_Budget!$A:$A,$C$3,Opex_Budget!$E:$E,$B$322,Opex_Budget!$F:$F,$D$322,Opex_Budget!$N:$N,"JPY")*$E$5+SUMIFS(Opex_Budget!$W:$W,Opex_Budget!$A:$A,$C$3,Opex_Budget!$E:$E,$B$322,Opex_Budget!$F:$F,$D$322,Opex_Budget!$N:$N,"USD")*$F$5+SUMIFS(Opex_Budget!$W:$W,Opex_Budget!$A:$A,$C$3,Opex_Budget!$E:$E,$B$322,Opex_Budget!$F:$F,$D$322,Opex_Budget!$N:$N,"EUR")*$G$5+SUMIFS(Opex_Budget!$W:$W,Opex_Budget!$A:$A,$C$3,Opex_Budget!$E:$E,$B$322,Opex_Budget!$F:$F,$D$322,Opex_Budget!$N:$N,"GBP")*$H$5)</f>
        <v/>
      </c>
      <c r="Q322" s="32">
        <f>IF($B$322="","",SUMIFS(Opex_Budget!$X:$X,Opex_Budget!$A:$A,$C$3,Opex_Budget!$E:$E,$B$322,Opex_Budget!$F:$F,$D$322,Opex_Budget!$N:$N,"JPY")*$E$5+SUMIFS(Opex_Budget!$X:$X,Opex_Budget!$A:$A,$C$3,Opex_Budget!$E:$E,$B$322,Opex_Budget!$F:$F,$D$322,Opex_Budget!$N:$N,"USD")*$F$5+SUMIFS(Opex_Budget!$X:$X,Opex_Budget!$A:$A,$C$3,Opex_Budget!$E:$E,$B$322,Opex_Budget!$F:$F,$D$322,Opex_Budget!$N:$N,"EUR")*$G$5+SUMIFS(Opex_Budget!$X:$X,Opex_Budget!$A:$A,$C$3,Opex_Budget!$E:$E,$B$322,Opex_Budget!$F:$F,$D$322,Opex_Budget!$N:$N,"GBP")*$H$5)</f>
        <v/>
      </c>
      <c r="R322" s="32">
        <f>IF($B$322="","",SUMIFS(Opex_Budget!$Y:$Y,Opex_Budget!$A:$A,$C$3,Opex_Budget!$E:$E,$B$322,Opex_Budget!$F:$F,$D$322,Opex_Budget!$N:$N,"JPY")*$E$5+SUMIFS(Opex_Budget!$Y:$Y,Opex_Budget!$A:$A,$C$3,Opex_Budget!$E:$E,$B$322,Opex_Budget!$F:$F,$D$322,Opex_Budget!$N:$N,"USD")*$F$5+SUMIFS(Opex_Budget!$Y:$Y,Opex_Budget!$A:$A,$C$3,Opex_Budget!$E:$E,$B$322,Opex_Budget!$F:$F,$D$322,Opex_Budget!$N:$N,"EUR")*$G$5+SUMIFS(Opex_Budget!$Y:$Y,Opex_Budget!$A:$A,$C$3,Opex_Budget!$E:$E,$B$322,Opex_Budget!$F:$F,$D$322,Opex_Budget!$N:$N,"GBP")*$H$5)</f>
        <v/>
      </c>
      <c r="S322" s="32">
        <f>IF($B$322="","",SUMIFS(Opex_Budget!$Z:$Z,Opex_Budget!$A:$A,$C$3,Opex_Budget!$E:$E,$B$322,Opex_Budget!$F:$F,$D$322,Opex_Budget!$N:$N,"JPY")*$E$5+SUMIFS(Opex_Budget!$Z:$Z,Opex_Budget!$A:$A,$C$3,Opex_Budget!$E:$E,$B$322,Opex_Budget!$F:$F,$D$322,Opex_Budget!$N:$N,"USD")*$F$5+SUMIFS(Opex_Budget!$Z:$Z,Opex_Budget!$A:$A,$C$3,Opex_Budget!$E:$E,$B$322,Opex_Budget!$F:$F,$D$322,Opex_Budget!$N:$N,"EUR")*$G$5+SUMIFS(Opex_Budget!$Z:$Z,Opex_Budget!$A:$A,$C$3,Opex_Budget!$E:$E,$B$322,Opex_Budget!$F:$F,$D$322,Opex_Budget!$N:$N,"GBP")*$H$5)</f>
        <v/>
      </c>
      <c r="T322" s="32">
        <f>IF($B$322="","",SUMIF($H$7:$S$7,"&lt;="&amp;$C$4,$H322:$S322))</f>
        <v/>
      </c>
      <c r="U322" s="32">
        <f>IF($B$322="","",SUMIF($H$7:$S$7,"&gt;"&amp;$C$4,$H322:$S322))</f>
        <v/>
      </c>
      <c r="V322" s="32">
        <f>IF($B$322="","",SUM($H322:$S322))</f>
        <v/>
      </c>
      <c r="X322" s="22">
        <f>IF($B322="","",IFERROR(INDEX(Cost_Centers!$E:$E,MATCH($B322,Cost_Centers!$A:$A,0)),"(unknown)"))</f>
        <v/>
      </c>
      <c r="Y322" s="22">
        <f>IF($B322="","",IFERROR(INDEX(Cost_Centers!$D:$D,MATCH($B322,Cost_Centers!$A:$A,0)),"(unknown)"))</f>
        <v/>
      </c>
      <c r="Z322" s="22">
        <f>IF(OR($B322="",$G322&lt;&gt;"Variance vs Budget"),"",ABS(N($V322))+ROW()/1000000000)</f>
        <v/>
      </c>
    </row>
    <row r="323">
      <c r="A323" s="13">
        <f>IF(A$322="","",A$322)</f>
        <v/>
      </c>
      <c r="B323" s="13">
        <f>IF(B$322="","",B$322)</f>
        <v/>
      </c>
      <c r="C323" s="13">
        <f>IF(C$322="","",C$322)</f>
        <v/>
      </c>
      <c r="D323" s="13">
        <f>IF(D$322="","",D$322)</f>
        <v/>
      </c>
      <c r="E323" s="13">
        <f>IF(E$322="","",E$322)</f>
        <v/>
      </c>
      <c r="F323" s="13">
        <f>IF(F$322="","",F$322)</f>
        <v/>
      </c>
      <c r="G323" s="7" t="inlineStr">
        <is>
          <t>Actual</t>
        </is>
      </c>
      <c r="H323" s="18">
        <f>IF(OR($B$322="",1&gt;$C$4),"",SUMIFS(Actuals!$G:$G,Actuals!$B:$B,$C$3,Actuals!$C:$C,1,Actuals!$D:$D,$B$322,Actuals!$A:$A,LEFT($D$322,FIND("|",$D$322&amp;"|")-1),Actuals!$E:$E,MID($D$322,FIND("|",$D$322&amp;"|")+1,50),Actuals!$F:$F,"JPY")*$E$5+SUMIFS(Actuals!$G:$G,Actuals!$B:$B,$C$3,Actuals!$C:$C,1,Actuals!$D:$D,$B$322,Actuals!$A:$A,LEFT($D$322,FIND("|",$D$322&amp;"|")-1),Actuals!$E:$E,MID($D$322,FIND("|",$D$322&amp;"|")+1,50),Actuals!$F:$F,"USD")*$F$5+SUMIFS(Actuals!$G:$G,Actuals!$B:$B,$C$3,Actuals!$C:$C,1,Actuals!$D:$D,$B$322,Actuals!$A:$A,LEFT($D$322,FIND("|",$D$322&amp;"|")-1),Actuals!$E:$E,MID($D$322,FIND("|",$D$322&amp;"|")+1,50),Actuals!$F:$F,"EUR")*$G$5+SUMIFS(Actuals!$G:$G,Actuals!$B:$B,$C$3,Actuals!$C:$C,1,Actuals!$D:$D,$B$322,Actuals!$A:$A,LEFT($D$322,FIND("|",$D$322&amp;"|")-1),Actuals!$E:$E,MID($D$322,FIND("|",$D$322&amp;"|")+1,50),Actuals!$F:$F,"GBP")*$H$5)</f>
        <v/>
      </c>
      <c r="I323" s="18">
        <f>IF(OR($B$322="",2&gt;$C$4),"",SUMIFS(Actuals!$G:$G,Actuals!$B:$B,$C$3,Actuals!$C:$C,2,Actuals!$D:$D,$B$322,Actuals!$A:$A,LEFT($D$322,FIND("|",$D$322&amp;"|")-1),Actuals!$E:$E,MID($D$322,FIND("|",$D$322&amp;"|")+1,50),Actuals!$F:$F,"JPY")*$E$5+SUMIFS(Actuals!$G:$G,Actuals!$B:$B,$C$3,Actuals!$C:$C,2,Actuals!$D:$D,$B$322,Actuals!$A:$A,LEFT($D$322,FIND("|",$D$322&amp;"|")-1),Actuals!$E:$E,MID($D$322,FIND("|",$D$322&amp;"|")+1,50),Actuals!$F:$F,"USD")*$F$5+SUMIFS(Actuals!$G:$G,Actuals!$B:$B,$C$3,Actuals!$C:$C,2,Actuals!$D:$D,$B$322,Actuals!$A:$A,LEFT($D$322,FIND("|",$D$322&amp;"|")-1),Actuals!$E:$E,MID($D$322,FIND("|",$D$322&amp;"|")+1,50),Actuals!$F:$F,"EUR")*$G$5+SUMIFS(Actuals!$G:$G,Actuals!$B:$B,$C$3,Actuals!$C:$C,2,Actuals!$D:$D,$B$322,Actuals!$A:$A,LEFT($D$322,FIND("|",$D$322&amp;"|")-1),Actuals!$E:$E,MID($D$322,FIND("|",$D$322&amp;"|")+1,50),Actuals!$F:$F,"GBP")*$H$5)</f>
        <v/>
      </c>
      <c r="J323" s="18">
        <f>IF(OR($B$322="",3&gt;$C$4),"",SUMIFS(Actuals!$G:$G,Actuals!$B:$B,$C$3,Actuals!$C:$C,3,Actuals!$D:$D,$B$322,Actuals!$A:$A,LEFT($D$322,FIND("|",$D$322&amp;"|")-1),Actuals!$E:$E,MID($D$322,FIND("|",$D$322&amp;"|")+1,50),Actuals!$F:$F,"JPY")*$E$5+SUMIFS(Actuals!$G:$G,Actuals!$B:$B,$C$3,Actuals!$C:$C,3,Actuals!$D:$D,$B$322,Actuals!$A:$A,LEFT($D$322,FIND("|",$D$322&amp;"|")-1),Actuals!$E:$E,MID($D$322,FIND("|",$D$322&amp;"|")+1,50),Actuals!$F:$F,"USD")*$F$5+SUMIFS(Actuals!$G:$G,Actuals!$B:$B,$C$3,Actuals!$C:$C,3,Actuals!$D:$D,$B$322,Actuals!$A:$A,LEFT($D$322,FIND("|",$D$322&amp;"|")-1),Actuals!$E:$E,MID($D$322,FIND("|",$D$322&amp;"|")+1,50),Actuals!$F:$F,"EUR")*$G$5+SUMIFS(Actuals!$G:$G,Actuals!$B:$B,$C$3,Actuals!$C:$C,3,Actuals!$D:$D,$B$322,Actuals!$A:$A,LEFT($D$322,FIND("|",$D$322&amp;"|")-1),Actuals!$E:$E,MID($D$322,FIND("|",$D$322&amp;"|")+1,50),Actuals!$F:$F,"GBP")*$H$5)</f>
        <v/>
      </c>
      <c r="K323" s="18">
        <f>IF(OR($B$322="",4&gt;$C$4),"",SUMIFS(Actuals!$G:$G,Actuals!$B:$B,$C$3,Actuals!$C:$C,4,Actuals!$D:$D,$B$322,Actuals!$A:$A,LEFT($D$322,FIND("|",$D$322&amp;"|")-1),Actuals!$E:$E,MID($D$322,FIND("|",$D$322&amp;"|")+1,50),Actuals!$F:$F,"JPY")*$E$5+SUMIFS(Actuals!$G:$G,Actuals!$B:$B,$C$3,Actuals!$C:$C,4,Actuals!$D:$D,$B$322,Actuals!$A:$A,LEFT($D$322,FIND("|",$D$322&amp;"|")-1),Actuals!$E:$E,MID($D$322,FIND("|",$D$322&amp;"|")+1,50),Actuals!$F:$F,"USD")*$F$5+SUMIFS(Actuals!$G:$G,Actuals!$B:$B,$C$3,Actuals!$C:$C,4,Actuals!$D:$D,$B$322,Actuals!$A:$A,LEFT($D$322,FIND("|",$D$322&amp;"|")-1),Actuals!$E:$E,MID($D$322,FIND("|",$D$322&amp;"|")+1,50),Actuals!$F:$F,"EUR")*$G$5+SUMIFS(Actuals!$G:$G,Actuals!$B:$B,$C$3,Actuals!$C:$C,4,Actuals!$D:$D,$B$322,Actuals!$A:$A,LEFT($D$322,FIND("|",$D$322&amp;"|")-1),Actuals!$E:$E,MID($D$322,FIND("|",$D$322&amp;"|")+1,50),Actuals!$F:$F,"GBP")*$H$5)</f>
        <v/>
      </c>
      <c r="L323" s="18">
        <f>IF(OR($B$322="",5&gt;$C$4),"",SUMIFS(Actuals!$G:$G,Actuals!$B:$B,$C$3,Actuals!$C:$C,5,Actuals!$D:$D,$B$322,Actuals!$A:$A,LEFT($D$322,FIND("|",$D$322&amp;"|")-1),Actuals!$E:$E,MID($D$322,FIND("|",$D$322&amp;"|")+1,50),Actuals!$F:$F,"JPY")*$E$5+SUMIFS(Actuals!$G:$G,Actuals!$B:$B,$C$3,Actuals!$C:$C,5,Actuals!$D:$D,$B$322,Actuals!$A:$A,LEFT($D$322,FIND("|",$D$322&amp;"|")-1),Actuals!$E:$E,MID($D$322,FIND("|",$D$322&amp;"|")+1,50),Actuals!$F:$F,"USD")*$F$5+SUMIFS(Actuals!$G:$G,Actuals!$B:$B,$C$3,Actuals!$C:$C,5,Actuals!$D:$D,$B$322,Actuals!$A:$A,LEFT($D$322,FIND("|",$D$322&amp;"|")-1),Actuals!$E:$E,MID($D$322,FIND("|",$D$322&amp;"|")+1,50),Actuals!$F:$F,"EUR")*$G$5+SUMIFS(Actuals!$G:$G,Actuals!$B:$B,$C$3,Actuals!$C:$C,5,Actuals!$D:$D,$B$322,Actuals!$A:$A,LEFT($D$322,FIND("|",$D$322&amp;"|")-1),Actuals!$E:$E,MID($D$322,FIND("|",$D$322&amp;"|")+1,50),Actuals!$F:$F,"GBP")*$H$5)</f>
        <v/>
      </c>
      <c r="M323" s="18">
        <f>IF(OR($B$322="",6&gt;$C$4),"",SUMIFS(Actuals!$G:$G,Actuals!$B:$B,$C$3,Actuals!$C:$C,6,Actuals!$D:$D,$B$322,Actuals!$A:$A,LEFT($D$322,FIND("|",$D$322&amp;"|")-1),Actuals!$E:$E,MID($D$322,FIND("|",$D$322&amp;"|")+1,50),Actuals!$F:$F,"JPY")*$E$5+SUMIFS(Actuals!$G:$G,Actuals!$B:$B,$C$3,Actuals!$C:$C,6,Actuals!$D:$D,$B$322,Actuals!$A:$A,LEFT($D$322,FIND("|",$D$322&amp;"|")-1),Actuals!$E:$E,MID($D$322,FIND("|",$D$322&amp;"|")+1,50),Actuals!$F:$F,"USD")*$F$5+SUMIFS(Actuals!$G:$G,Actuals!$B:$B,$C$3,Actuals!$C:$C,6,Actuals!$D:$D,$B$322,Actuals!$A:$A,LEFT($D$322,FIND("|",$D$322&amp;"|")-1),Actuals!$E:$E,MID($D$322,FIND("|",$D$322&amp;"|")+1,50),Actuals!$F:$F,"EUR")*$G$5+SUMIFS(Actuals!$G:$G,Actuals!$B:$B,$C$3,Actuals!$C:$C,6,Actuals!$D:$D,$B$322,Actuals!$A:$A,LEFT($D$322,FIND("|",$D$322&amp;"|")-1),Actuals!$E:$E,MID($D$322,FIND("|",$D$322&amp;"|")+1,50),Actuals!$F:$F,"GBP")*$H$5)</f>
        <v/>
      </c>
      <c r="N323" s="18">
        <f>IF(OR($B$322="",7&gt;$C$4),"",SUMIFS(Actuals!$G:$G,Actuals!$B:$B,$C$3,Actuals!$C:$C,7,Actuals!$D:$D,$B$322,Actuals!$A:$A,LEFT($D$322,FIND("|",$D$322&amp;"|")-1),Actuals!$E:$E,MID($D$322,FIND("|",$D$322&amp;"|")+1,50),Actuals!$F:$F,"JPY")*$E$5+SUMIFS(Actuals!$G:$G,Actuals!$B:$B,$C$3,Actuals!$C:$C,7,Actuals!$D:$D,$B$322,Actuals!$A:$A,LEFT($D$322,FIND("|",$D$322&amp;"|")-1),Actuals!$E:$E,MID($D$322,FIND("|",$D$322&amp;"|")+1,50),Actuals!$F:$F,"USD")*$F$5+SUMIFS(Actuals!$G:$G,Actuals!$B:$B,$C$3,Actuals!$C:$C,7,Actuals!$D:$D,$B$322,Actuals!$A:$A,LEFT($D$322,FIND("|",$D$322&amp;"|")-1),Actuals!$E:$E,MID($D$322,FIND("|",$D$322&amp;"|")+1,50),Actuals!$F:$F,"EUR")*$G$5+SUMIFS(Actuals!$G:$G,Actuals!$B:$B,$C$3,Actuals!$C:$C,7,Actuals!$D:$D,$B$322,Actuals!$A:$A,LEFT($D$322,FIND("|",$D$322&amp;"|")-1),Actuals!$E:$E,MID($D$322,FIND("|",$D$322&amp;"|")+1,50),Actuals!$F:$F,"GBP")*$H$5)</f>
        <v/>
      </c>
      <c r="O323" s="18">
        <f>IF(OR($B$322="",8&gt;$C$4),"",SUMIFS(Actuals!$G:$G,Actuals!$B:$B,$C$3,Actuals!$C:$C,8,Actuals!$D:$D,$B$322,Actuals!$A:$A,LEFT($D$322,FIND("|",$D$322&amp;"|")-1),Actuals!$E:$E,MID($D$322,FIND("|",$D$322&amp;"|")+1,50),Actuals!$F:$F,"JPY")*$E$5+SUMIFS(Actuals!$G:$G,Actuals!$B:$B,$C$3,Actuals!$C:$C,8,Actuals!$D:$D,$B$322,Actuals!$A:$A,LEFT($D$322,FIND("|",$D$322&amp;"|")-1),Actuals!$E:$E,MID($D$322,FIND("|",$D$322&amp;"|")+1,50),Actuals!$F:$F,"USD")*$F$5+SUMIFS(Actuals!$G:$G,Actuals!$B:$B,$C$3,Actuals!$C:$C,8,Actuals!$D:$D,$B$322,Actuals!$A:$A,LEFT($D$322,FIND("|",$D$322&amp;"|")-1),Actuals!$E:$E,MID($D$322,FIND("|",$D$322&amp;"|")+1,50),Actuals!$F:$F,"EUR")*$G$5+SUMIFS(Actuals!$G:$G,Actuals!$B:$B,$C$3,Actuals!$C:$C,8,Actuals!$D:$D,$B$322,Actuals!$A:$A,LEFT($D$322,FIND("|",$D$322&amp;"|")-1),Actuals!$E:$E,MID($D$322,FIND("|",$D$322&amp;"|")+1,50),Actuals!$F:$F,"GBP")*$H$5)</f>
        <v/>
      </c>
      <c r="P323" s="18">
        <f>IF(OR($B$322="",9&gt;$C$4),"",SUMIFS(Actuals!$G:$G,Actuals!$B:$B,$C$3,Actuals!$C:$C,9,Actuals!$D:$D,$B$322,Actuals!$A:$A,LEFT($D$322,FIND("|",$D$322&amp;"|")-1),Actuals!$E:$E,MID($D$322,FIND("|",$D$322&amp;"|")+1,50),Actuals!$F:$F,"JPY")*$E$5+SUMIFS(Actuals!$G:$G,Actuals!$B:$B,$C$3,Actuals!$C:$C,9,Actuals!$D:$D,$B$322,Actuals!$A:$A,LEFT($D$322,FIND("|",$D$322&amp;"|")-1),Actuals!$E:$E,MID($D$322,FIND("|",$D$322&amp;"|")+1,50),Actuals!$F:$F,"USD")*$F$5+SUMIFS(Actuals!$G:$G,Actuals!$B:$B,$C$3,Actuals!$C:$C,9,Actuals!$D:$D,$B$322,Actuals!$A:$A,LEFT($D$322,FIND("|",$D$322&amp;"|")-1),Actuals!$E:$E,MID($D$322,FIND("|",$D$322&amp;"|")+1,50),Actuals!$F:$F,"EUR")*$G$5+SUMIFS(Actuals!$G:$G,Actuals!$B:$B,$C$3,Actuals!$C:$C,9,Actuals!$D:$D,$B$322,Actuals!$A:$A,LEFT($D$322,FIND("|",$D$322&amp;"|")-1),Actuals!$E:$E,MID($D$322,FIND("|",$D$322&amp;"|")+1,50),Actuals!$F:$F,"GBP")*$H$5)</f>
        <v/>
      </c>
      <c r="Q323" s="18">
        <f>IF(OR($B$322="",10&gt;$C$4),"",SUMIFS(Actuals!$G:$G,Actuals!$B:$B,$C$3,Actuals!$C:$C,10,Actuals!$D:$D,$B$322,Actuals!$A:$A,LEFT($D$322,FIND("|",$D$322&amp;"|")-1),Actuals!$E:$E,MID($D$322,FIND("|",$D$322&amp;"|")+1,50),Actuals!$F:$F,"JPY")*$E$5+SUMIFS(Actuals!$G:$G,Actuals!$B:$B,$C$3,Actuals!$C:$C,10,Actuals!$D:$D,$B$322,Actuals!$A:$A,LEFT($D$322,FIND("|",$D$322&amp;"|")-1),Actuals!$E:$E,MID($D$322,FIND("|",$D$322&amp;"|")+1,50),Actuals!$F:$F,"USD")*$F$5+SUMIFS(Actuals!$G:$G,Actuals!$B:$B,$C$3,Actuals!$C:$C,10,Actuals!$D:$D,$B$322,Actuals!$A:$A,LEFT($D$322,FIND("|",$D$322&amp;"|")-1),Actuals!$E:$E,MID($D$322,FIND("|",$D$322&amp;"|")+1,50),Actuals!$F:$F,"EUR")*$G$5+SUMIFS(Actuals!$G:$G,Actuals!$B:$B,$C$3,Actuals!$C:$C,10,Actuals!$D:$D,$B$322,Actuals!$A:$A,LEFT($D$322,FIND("|",$D$322&amp;"|")-1),Actuals!$E:$E,MID($D$322,FIND("|",$D$322&amp;"|")+1,50),Actuals!$F:$F,"GBP")*$H$5)</f>
        <v/>
      </c>
      <c r="R323" s="18">
        <f>IF(OR($B$322="",11&gt;$C$4),"",SUMIFS(Actuals!$G:$G,Actuals!$B:$B,$C$3,Actuals!$C:$C,11,Actuals!$D:$D,$B$322,Actuals!$A:$A,LEFT($D$322,FIND("|",$D$322&amp;"|")-1),Actuals!$E:$E,MID($D$322,FIND("|",$D$322&amp;"|")+1,50),Actuals!$F:$F,"JPY")*$E$5+SUMIFS(Actuals!$G:$G,Actuals!$B:$B,$C$3,Actuals!$C:$C,11,Actuals!$D:$D,$B$322,Actuals!$A:$A,LEFT($D$322,FIND("|",$D$322&amp;"|")-1),Actuals!$E:$E,MID($D$322,FIND("|",$D$322&amp;"|")+1,50),Actuals!$F:$F,"USD")*$F$5+SUMIFS(Actuals!$G:$G,Actuals!$B:$B,$C$3,Actuals!$C:$C,11,Actuals!$D:$D,$B$322,Actuals!$A:$A,LEFT($D$322,FIND("|",$D$322&amp;"|")-1),Actuals!$E:$E,MID($D$322,FIND("|",$D$322&amp;"|")+1,50),Actuals!$F:$F,"EUR")*$G$5+SUMIFS(Actuals!$G:$G,Actuals!$B:$B,$C$3,Actuals!$C:$C,11,Actuals!$D:$D,$B$322,Actuals!$A:$A,LEFT($D$322,FIND("|",$D$322&amp;"|")-1),Actuals!$E:$E,MID($D$322,FIND("|",$D$322&amp;"|")+1,50),Actuals!$F:$F,"GBP")*$H$5)</f>
        <v/>
      </c>
      <c r="S323" s="18">
        <f>IF(OR($B$322="",12&gt;$C$4),"",SUMIFS(Actuals!$G:$G,Actuals!$B:$B,$C$3,Actuals!$C:$C,12,Actuals!$D:$D,$B$322,Actuals!$A:$A,LEFT($D$322,FIND("|",$D$322&amp;"|")-1),Actuals!$E:$E,MID($D$322,FIND("|",$D$322&amp;"|")+1,50),Actuals!$F:$F,"JPY")*$E$5+SUMIFS(Actuals!$G:$G,Actuals!$B:$B,$C$3,Actuals!$C:$C,12,Actuals!$D:$D,$B$322,Actuals!$A:$A,LEFT($D$322,FIND("|",$D$322&amp;"|")-1),Actuals!$E:$E,MID($D$322,FIND("|",$D$322&amp;"|")+1,50),Actuals!$F:$F,"USD")*$F$5+SUMIFS(Actuals!$G:$G,Actuals!$B:$B,$C$3,Actuals!$C:$C,12,Actuals!$D:$D,$B$322,Actuals!$A:$A,LEFT($D$322,FIND("|",$D$322&amp;"|")-1),Actuals!$E:$E,MID($D$322,FIND("|",$D$322&amp;"|")+1,50),Actuals!$F:$F,"EUR")*$G$5+SUMIFS(Actuals!$G:$G,Actuals!$B:$B,$C$3,Actuals!$C:$C,12,Actuals!$D:$D,$B$322,Actuals!$A:$A,LEFT($D$322,FIND("|",$D$322&amp;"|")-1),Actuals!$E:$E,MID($D$322,FIND("|",$D$322&amp;"|")+1,50),Actuals!$F:$F,"GBP")*$H$5)</f>
        <v/>
      </c>
      <c r="T323" s="18">
        <f>IF($B$322="","",SUMIF($H$7:$S$7,"&lt;="&amp;$C$4,$H323:$S323))</f>
        <v/>
      </c>
      <c r="U323" s="18" t="n"/>
      <c r="V323" s="18" t="n"/>
      <c r="X323" s="22">
        <f>IF($B323="","",IFERROR(INDEX(Cost_Centers!$E:$E,MATCH($B323,Cost_Centers!$A:$A,0)),"(unknown)"))</f>
        <v/>
      </c>
      <c r="Y323" s="22">
        <f>IF($B323="","",IFERROR(INDEX(Cost_Centers!$D:$D,MATCH($B323,Cost_Centers!$A:$A,0)),"(unknown)"))</f>
        <v/>
      </c>
      <c r="Z323" s="22">
        <f>IF(OR($B323="",$G323&lt;&gt;"Variance vs Budget"),"",ABS(N($V323))+ROW()/1000000000)</f>
        <v/>
      </c>
    </row>
    <row r="324">
      <c r="A324" s="13">
        <f>IF(A$322="","",A$322)</f>
        <v/>
      </c>
      <c r="B324" s="13">
        <f>IF(B$322="","",B$322)</f>
        <v/>
      </c>
      <c r="C324" s="13">
        <f>IF(C$322="","",C$322)</f>
        <v/>
      </c>
      <c r="D324" s="13">
        <f>IF(D$322="","",D$322)</f>
        <v/>
      </c>
      <c r="E324" s="13">
        <f>IF(E$322="","",E$322)</f>
        <v/>
      </c>
      <c r="F324" s="13">
        <f>IF(F$322="","",F$322)</f>
        <v/>
      </c>
      <c r="G324" s="6" t="inlineStr">
        <is>
          <t>Variance vs Budget</t>
        </is>
      </c>
      <c r="H324" s="33">
        <f>IF(OR($B$322="",1&gt;$C$4),"",N(H323)-H322)</f>
        <v/>
      </c>
      <c r="I324" s="33">
        <f>IF(OR($B$322="",2&gt;$C$4),"",N(I323)-I322)</f>
        <v/>
      </c>
      <c r="J324" s="33">
        <f>IF(OR($B$322="",3&gt;$C$4),"",N(J323)-J322)</f>
        <v/>
      </c>
      <c r="K324" s="33">
        <f>IF(OR($B$322="",4&gt;$C$4),"",N(K323)-K322)</f>
        <v/>
      </c>
      <c r="L324" s="33">
        <f>IF(OR($B$322="",5&gt;$C$4),"",N(L323)-L322)</f>
        <v/>
      </c>
      <c r="M324" s="33">
        <f>IF(OR($B$322="",6&gt;$C$4),"",N(M323)-M322)</f>
        <v/>
      </c>
      <c r="N324" s="33">
        <f>IF(OR($B$322="",7&gt;$C$4),"",N(N323)-N322)</f>
        <v/>
      </c>
      <c r="O324" s="33">
        <f>IF(OR($B$322="",8&gt;$C$4),"",N(O323)-O322)</f>
        <v/>
      </c>
      <c r="P324" s="33">
        <f>IF(OR($B$322="",9&gt;$C$4),"",N(P323)-P322)</f>
        <v/>
      </c>
      <c r="Q324" s="33">
        <f>IF(OR($B$322="",10&gt;$C$4),"",N(Q323)-Q322)</f>
        <v/>
      </c>
      <c r="R324" s="33">
        <f>IF(OR($B$322="",11&gt;$C$4),"",N(R323)-R322)</f>
        <v/>
      </c>
      <c r="S324" s="33">
        <f>IF(OR($B$322="",12&gt;$C$4),"",N(S323)-S322)</f>
        <v/>
      </c>
      <c r="T324" s="33">
        <f>IF($B$322="","",T323-T322)</f>
        <v/>
      </c>
      <c r="U324" s="33">
        <f>IF($B$322="","",U326-U322)</f>
        <v/>
      </c>
      <c r="V324" s="33">
        <f>IF($B$322="","",V326-V322)</f>
        <v/>
      </c>
      <c r="X324" s="22">
        <f>IF($B324="","",IFERROR(INDEX(Cost_Centers!$E:$E,MATCH($B324,Cost_Centers!$A:$A,0)),"(unknown)"))</f>
        <v/>
      </c>
      <c r="Y324" s="22">
        <f>IF($B324="","",IFERROR(INDEX(Cost_Centers!$D:$D,MATCH($B324,Cost_Centers!$A:$A,0)),"(unknown)"))</f>
        <v/>
      </c>
      <c r="Z324" s="22">
        <f>IF(OR($B324="",$G324&lt;&gt;"Variance vs Budget"),"",ABS(N($V324))+ROW()/1000000000)</f>
        <v/>
      </c>
    </row>
    <row r="325">
      <c r="A325" s="13">
        <f>IF(A$322="","",A$322)</f>
        <v/>
      </c>
      <c r="B325" s="13">
        <f>IF(B$322="","",B$322)</f>
        <v/>
      </c>
      <c r="C325" s="13">
        <f>IF(C$322="","",C$322)</f>
        <v/>
      </c>
      <c r="D325" s="13">
        <f>IF(D$322="","",D$322)</f>
        <v/>
      </c>
      <c r="E325" s="13">
        <f>IF(E$322="","",E$322)</f>
        <v/>
      </c>
      <c r="F325" s="13">
        <f>IF(F$322="","",F$322)</f>
        <v/>
      </c>
      <c r="G325" s="7" t="inlineStr">
        <is>
          <t>Forecast (input)</t>
        </is>
      </c>
      <c r="H325" s="34" t="n"/>
      <c r="I325" s="34" t="n"/>
      <c r="J325" s="34" t="n"/>
      <c r="K325" s="34" t="n"/>
      <c r="L325" s="34" t="n"/>
      <c r="M325" s="34" t="n"/>
      <c r="N325" s="34" t="n"/>
      <c r="O325" s="34" t="n"/>
      <c r="P325" s="34" t="n"/>
      <c r="Q325" s="34" t="n"/>
      <c r="R325" s="34" t="n"/>
      <c r="S325" s="34" t="n"/>
      <c r="T325" s="18" t="n"/>
      <c r="U325" s="18" t="n"/>
      <c r="V325" s="18" t="n"/>
      <c r="X325" s="22">
        <f>IF($B325="","",IFERROR(INDEX(Cost_Centers!$E:$E,MATCH($B325,Cost_Centers!$A:$A,0)),"(unknown)"))</f>
        <v/>
      </c>
      <c r="Y325" s="22">
        <f>IF($B325="","",IFERROR(INDEX(Cost_Centers!$D:$D,MATCH($B325,Cost_Centers!$A:$A,0)),"(unknown)"))</f>
        <v/>
      </c>
      <c r="Z325" s="22">
        <f>IF(OR($B325="",$G325&lt;&gt;"Variance vs Budget"),"",ABS(N($V325))+ROW()/1000000000)</f>
        <v/>
      </c>
    </row>
    <row r="326">
      <c r="A326" s="13">
        <f>IF(A$322="","",A$322)</f>
        <v/>
      </c>
      <c r="B326" s="13">
        <f>IF(B$322="","",B$322)</f>
        <v/>
      </c>
      <c r="C326" s="13">
        <f>IF(C$322="","",C$322)</f>
        <v/>
      </c>
      <c r="D326" s="13">
        <f>IF(D$322="","",D$322)</f>
        <v/>
      </c>
      <c r="E326" s="13">
        <f>IF(E$322="","",E$322)</f>
        <v/>
      </c>
      <c r="F326" s="13">
        <f>IF(F$322="","",F$322)</f>
        <v/>
      </c>
      <c r="G326" s="35" t="inlineStr">
        <is>
          <t>Actual + Forecast</t>
        </is>
      </c>
      <c r="H326" s="18">
        <f>IF($B$322="","",IF(1&lt;=$C$4,N(H323),IF(H325="",H322,H325)))</f>
        <v/>
      </c>
      <c r="I326" s="18">
        <f>IF($B$322="","",IF(2&lt;=$C$4,N(I323),IF(I325="",I322,I325)))</f>
        <v/>
      </c>
      <c r="J326" s="18">
        <f>IF($B$322="","",IF(3&lt;=$C$4,N(J323),IF(J325="",J322,J325)))</f>
        <v/>
      </c>
      <c r="K326" s="18">
        <f>IF($B$322="","",IF(4&lt;=$C$4,N(K323),IF(K325="",K322,K325)))</f>
        <v/>
      </c>
      <c r="L326" s="18">
        <f>IF($B$322="","",IF(5&lt;=$C$4,N(L323),IF(L325="",L322,L325)))</f>
        <v/>
      </c>
      <c r="M326" s="18">
        <f>IF($B$322="","",IF(6&lt;=$C$4,N(M323),IF(M325="",M322,M325)))</f>
        <v/>
      </c>
      <c r="N326" s="18">
        <f>IF($B$322="","",IF(7&lt;=$C$4,N(N323),IF(N325="",N322,N325)))</f>
        <v/>
      </c>
      <c r="O326" s="18">
        <f>IF($B$322="","",IF(8&lt;=$C$4,N(O323),IF(O325="",O322,O325)))</f>
        <v/>
      </c>
      <c r="P326" s="18">
        <f>IF($B$322="","",IF(9&lt;=$C$4,N(P323),IF(P325="",P322,P325)))</f>
        <v/>
      </c>
      <c r="Q326" s="18">
        <f>IF($B$322="","",IF(10&lt;=$C$4,N(Q323),IF(Q325="",Q322,Q325)))</f>
        <v/>
      </c>
      <c r="R326" s="18">
        <f>IF($B$322="","",IF(11&lt;=$C$4,N(R323),IF(R325="",R322,R325)))</f>
        <v/>
      </c>
      <c r="S326" s="18">
        <f>IF($B$322="","",IF(12&lt;=$C$4,N(S323),IF(S325="",S322,S325)))</f>
        <v/>
      </c>
      <c r="T326" s="18">
        <f>IF($B$322="","",SUMIF($H$7:$S$7,"&lt;="&amp;$C$4,$H326:$S326))</f>
        <v/>
      </c>
      <c r="U326" s="18">
        <f>IF($B$322="","",SUMIF($H$7:$S$7,"&gt;"&amp;$C$4,$H326:$S326))</f>
        <v/>
      </c>
      <c r="V326" s="18">
        <f>IF($B$322="","",SUM($H326:$S326))</f>
        <v/>
      </c>
      <c r="X326" s="22">
        <f>IF($B326="","",IFERROR(INDEX(Cost_Centers!$E:$E,MATCH($B326,Cost_Centers!$A:$A,0)),"(unknown)"))</f>
        <v/>
      </c>
      <c r="Y326" s="22">
        <f>IF($B326="","",IFERROR(INDEX(Cost_Centers!$D:$D,MATCH($B326,Cost_Centers!$A:$A,0)),"(unknown)"))</f>
        <v/>
      </c>
      <c r="Z326" s="22">
        <f>IF(OR($B326="",$G326&lt;&gt;"Variance vs Budget"),"",ABS(N($V326))+ROW()/1000000000)</f>
        <v/>
      </c>
    </row>
    <row r="327">
      <c r="A327" s="13">
        <f>IF(A$322="","",A$322)</f>
        <v/>
      </c>
      <c r="B327" s="13">
        <f>IF(B$322="","",B$322)</f>
        <v/>
      </c>
      <c r="C327" s="13">
        <f>IF(C$322="","",C$322)</f>
        <v/>
      </c>
      <c r="D327" s="13">
        <f>IF(D$322="","",D$322)</f>
        <v/>
      </c>
      <c r="E327" s="13">
        <f>IF(E$322="","",E$322)</f>
        <v/>
      </c>
      <c r="F327" s="13">
        <f>IF(F$322="","",F$322)</f>
        <v/>
      </c>
      <c r="G327" s="36" t="inlineStr">
        <is>
          <t>Prior Month Forecast</t>
        </is>
      </c>
      <c r="H327" s="37">
        <f>IF($B$322="","",IF(COUNTIFS(Prior_Forecast!$A:$A,$B$322,Prior_Forecast!$B:$B,$D$322)&gt;0,SUMIFS(Prior_Forecast!$C:$C,Prior_Forecast!$A:$A,$B$322,Prior_Forecast!$B:$B,$D$322),""))</f>
        <v/>
      </c>
      <c r="I327" s="37">
        <f>IF($B$322="","",IF(COUNTIFS(Prior_Forecast!$A:$A,$B$322,Prior_Forecast!$B:$B,$D$322)&gt;0,SUMIFS(Prior_Forecast!$D:$D,Prior_Forecast!$A:$A,$B$322,Prior_Forecast!$B:$B,$D$322),""))</f>
        <v/>
      </c>
      <c r="J327" s="37">
        <f>IF($B$322="","",IF(COUNTIFS(Prior_Forecast!$A:$A,$B$322,Prior_Forecast!$B:$B,$D$322)&gt;0,SUMIFS(Prior_Forecast!$E:$E,Prior_Forecast!$A:$A,$B$322,Prior_Forecast!$B:$B,$D$322),""))</f>
        <v/>
      </c>
      <c r="K327" s="37">
        <f>IF($B$322="","",IF(COUNTIFS(Prior_Forecast!$A:$A,$B$322,Prior_Forecast!$B:$B,$D$322)&gt;0,SUMIFS(Prior_Forecast!$F:$F,Prior_Forecast!$A:$A,$B$322,Prior_Forecast!$B:$B,$D$322),""))</f>
        <v/>
      </c>
      <c r="L327" s="37">
        <f>IF($B$322="","",IF(COUNTIFS(Prior_Forecast!$A:$A,$B$322,Prior_Forecast!$B:$B,$D$322)&gt;0,SUMIFS(Prior_Forecast!$G:$G,Prior_Forecast!$A:$A,$B$322,Prior_Forecast!$B:$B,$D$322),""))</f>
        <v/>
      </c>
      <c r="M327" s="37">
        <f>IF($B$322="","",IF(COUNTIFS(Prior_Forecast!$A:$A,$B$322,Prior_Forecast!$B:$B,$D$322)&gt;0,SUMIFS(Prior_Forecast!$H:$H,Prior_Forecast!$A:$A,$B$322,Prior_Forecast!$B:$B,$D$322),""))</f>
        <v/>
      </c>
      <c r="N327" s="37">
        <f>IF($B$322="","",IF(COUNTIFS(Prior_Forecast!$A:$A,$B$322,Prior_Forecast!$B:$B,$D$322)&gt;0,SUMIFS(Prior_Forecast!$I:$I,Prior_Forecast!$A:$A,$B$322,Prior_Forecast!$B:$B,$D$322),""))</f>
        <v/>
      </c>
      <c r="O327" s="37">
        <f>IF($B$322="","",IF(COUNTIFS(Prior_Forecast!$A:$A,$B$322,Prior_Forecast!$B:$B,$D$322)&gt;0,SUMIFS(Prior_Forecast!$J:$J,Prior_Forecast!$A:$A,$B$322,Prior_Forecast!$B:$B,$D$322),""))</f>
        <v/>
      </c>
      <c r="P327" s="37">
        <f>IF($B$322="","",IF(COUNTIFS(Prior_Forecast!$A:$A,$B$322,Prior_Forecast!$B:$B,$D$322)&gt;0,SUMIFS(Prior_Forecast!$K:$K,Prior_Forecast!$A:$A,$B$322,Prior_Forecast!$B:$B,$D$322),""))</f>
        <v/>
      </c>
      <c r="Q327" s="37">
        <f>IF($B$322="","",IF(COUNTIFS(Prior_Forecast!$A:$A,$B$322,Prior_Forecast!$B:$B,$D$322)&gt;0,SUMIFS(Prior_Forecast!$L:$L,Prior_Forecast!$A:$A,$B$322,Prior_Forecast!$B:$B,$D$322),""))</f>
        <v/>
      </c>
      <c r="R327" s="37">
        <f>IF($B$322="","",IF(COUNTIFS(Prior_Forecast!$A:$A,$B$322,Prior_Forecast!$B:$B,$D$322)&gt;0,SUMIFS(Prior_Forecast!$M:$M,Prior_Forecast!$A:$A,$B$322,Prior_Forecast!$B:$B,$D$322),""))</f>
        <v/>
      </c>
      <c r="S327" s="37">
        <f>IF($B$322="","",IF(COUNTIFS(Prior_Forecast!$A:$A,$B$322,Prior_Forecast!$B:$B,$D$322)&gt;0,SUMIFS(Prior_Forecast!$N:$N,Prior_Forecast!$A:$A,$B$322,Prior_Forecast!$B:$B,$D$322),""))</f>
        <v/>
      </c>
      <c r="T327" s="37">
        <f>IF($B$322="","",IF(COUNTIFS(Prior_Forecast!$A:$A,$B$322,Prior_Forecast!$B:$B,$D$322)&gt;0,SUMIFS(Prior_Forecast!$O:$O,Prior_Forecast!$A:$A,$B$322,Prior_Forecast!$B:$B,$D$322),""))</f>
        <v/>
      </c>
      <c r="U327" s="37">
        <f>IF($B$322="","",IF(COUNTIFS(Prior_Forecast!$A:$A,$B$322,Prior_Forecast!$B:$B,$D$322)&gt;0,SUMIFS(Prior_Forecast!$P:$P,Prior_Forecast!$A:$A,$B$322,Prior_Forecast!$B:$B,$D$322),""))</f>
        <v/>
      </c>
      <c r="V327" s="37">
        <f>IF($B$322="","",IF(COUNTIFS(Prior_Forecast!$A:$A,$B$322,Prior_Forecast!$B:$B,$D$322)&gt;0,SUMIFS(Prior_Forecast!$Q:$Q,Prior_Forecast!$A:$A,$B$322,Prior_Forecast!$B:$B,$D$322),""))</f>
        <v/>
      </c>
      <c r="X327" s="22">
        <f>IF($B327="","",IFERROR(INDEX(Cost_Centers!$E:$E,MATCH($B327,Cost_Centers!$A:$A,0)),"(unknown)"))</f>
        <v/>
      </c>
      <c r="Y327" s="22">
        <f>IF($B327="","",IFERROR(INDEX(Cost_Centers!$D:$D,MATCH($B327,Cost_Centers!$A:$A,0)),"(unknown)"))</f>
        <v/>
      </c>
      <c r="Z327" s="22">
        <f>IF(OR($B327="",$G327&lt;&gt;"Variance vs Budget"),"",ABS(N($V327))+ROW()/1000000000)</f>
        <v/>
      </c>
    </row>
    <row r="328">
      <c r="A328" s="13">
        <f>IF(A$322="","",A$322)</f>
        <v/>
      </c>
      <c r="B328" s="13">
        <f>IF(B$322="","",B$322)</f>
        <v/>
      </c>
      <c r="C328" s="13">
        <f>IF(C$322="","",C$322)</f>
        <v/>
      </c>
      <c r="D328" s="13">
        <f>IF(D$322="","",D$322)</f>
        <v/>
      </c>
      <c r="E328" s="13">
        <f>IF(E$322="","",E$322)</f>
        <v/>
      </c>
      <c r="F328" s="13">
        <f>IF(F$322="","",F$322)</f>
        <v/>
      </c>
      <c r="G328" s="6" t="inlineStr">
        <is>
          <t>Variance vs Prior Month</t>
        </is>
      </c>
      <c r="H328" s="33">
        <f>IF(OR($B$322="",H327=""),"",H326-H327)</f>
        <v/>
      </c>
      <c r="I328" s="33">
        <f>IF(OR($B$322="",I327=""),"",I326-I327)</f>
        <v/>
      </c>
      <c r="J328" s="33">
        <f>IF(OR($B$322="",J327=""),"",J326-J327)</f>
        <v/>
      </c>
      <c r="K328" s="33">
        <f>IF(OR($B$322="",K327=""),"",K326-K327)</f>
        <v/>
      </c>
      <c r="L328" s="33">
        <f>IF(OR($B$322="",L327=""),"",L326-L327)</f>
        <v/>
      </c>
      <c r="M328" s="33">
        <f>IF(OR($B$322="",M327=""),"",M326-M327)</f>
        <v/>
      </c>
      <c r="N328" s="33">
        <f>IF(OR($B$322="",N327=""),"",N326-N327)</f>
        <v/>
      </c>
      <c r="O328" s="33">
        <f>IF(OR($B$322="",O327=""),"",O326-O327)</f>
        <v/>
      </c>
      <c r="P328" s="33">
        <f>IF(OR($B$322="",P327=""),"",P326-P327)</f>
        <v/>
      </c>
      <c r="Q328" s="33">
        <f>IF(OR($B$322="",Q327=""),"",Q326-Q327)</f>
        <v/>
      </c>
      <c r="R328" s="33">
        <f>IF(OR($B$322="",R327=""),"",R326-R327)</f>
        <v/>
      </c>
      <c r="S328" s="33">
        <f>IF(OR($B$322="",S327=""),"",S326-S327)</f>
        <v/>
      </c>
      <c r="T328" s="33">
        <f>IF(OR($B$322="",T327=""),"",T326-T327)</f>
        <v/>
      </c>
      <c r="U328" s="33">
        <f>IF(OR($B$322="",U327=""),"",U326-U327)</f>
        <v/>
      </c>
      <c r="V328" s="33">
        <f>IF(OR($B$322="",V327=""),"",V326-V327)</f>
        <v/>
      </c>
      <c r="X328" s="22">
        <f>IF($B328="","",IFERROR(INDEX(Cost_Centers!$E:$E,MATCH($B328,Cost_Centers!$A:$A,0)),"(unknown)"))</f>
        <v/>
      </c>
      <c r="Y328" s="22">
        <f>IF($B328="","",IFERROR(INDEX(Cost_Centers!$D:$D,MATCH($B328,Cost_Centers!$A:$A,0)),"(unknown)"))</f>
        <v/>
      </c>
      <c r="Z328" s="22">
        <f>IF(OR($B328="",$G328&lt;&gt;"Variance vs Budget"),"",ABS(N($V328))+ROW()/1000000000)</f>
        <v/>
      </c>
    </row>
    <row r="329" ht="45" customHeight="1">
      <c r="A329" s="13">
        <f>IF(A$322="","",A$322)</f>
        <v/>
      </c>
      <c r="B329" s="13">
        <f>IF(B$322="","",B$322)</f>
        <v/>
      </c>
      <c r="C329" s="13">
        <f>IF(C$322="","",C$322)</f>
        <v/>
      </c>
      <c r="D329" s="13">
        <f>IF(D$322="","",D$322)</f>
        <v/>
      </c>
      <c r="E329" s="13">
        <f>IF(E$322="","",E$322)</f>
        <v/>
      </c>
      <c r="F329" s="13">
        <f>IF(F$322="","",F$322)</f>
        <v/>
      </c>
      <c r="G329" s="7" t="inlineStr">
        <is>
          <t>Rationale</t>
        </is>
      </c>
      <c r="H329" s="38" t="n"/>
      <c r="I329" s="38" t="n"/>
      <c r="J329" s="38" t="n"/>
      <c r="K329" s="38" t="n"/>
      <c r="L329" s="38" t="n"/>
      <c r="M329" s="38" t="n"/>
      <c r="N329" s="38" t="n"/>
      <c r="O329" s="38" t="n"/>
      <c r="P329" s="38" t="n"/>
      <c r="Q329" s="38" t="n"/>
      <c r="R329" s="38" t="n"/>
      <c r="S329" s="38" t="n"/>
      <c r="T329" s="38" t="n"/>
      <c r="U329" s="38" t="n"/>
      <c r="V329" s="7" t="n"/>
      <c r="X329" s="22">
        <f>IF($B329="","",IFERROR(INDEX(Cost_Centers!$E:$E,MATCH($B329,Cost_Centers!$A:$A,0)),"(unknown)"))</f>
        <v/>
      </c>
      <c r="Y329" s="22">
        <f>IF($B329="","",IFERROR(INDEX(Cost_Centers!$D:$D,MATCH($B329,Cost_Centers!$A:$A,0)),"(unknown)"))</f>
        <v/>
      </c>
      <c r="Z329" s="22">
        <f>IF(OR($B329="",$G329&lt;&gt;"Variance vs Budget"),"",ABS(N($V329))+ROW()/1000000000)</f>
        <v/>
      </c>
    </row>
    <row r="330">
      <c r="A330" s="30">
        <f>IF($D$330="","",LEFT($D$330,FIND("|",$D$330&amp;"|")-1))</f>
        <v/>
      </c>
      <c r="B330" s="31" t="n"/>
      <c r="C330" s="30">
        <f>IF($B$330="","",IFERROR(INDEX(Cost_Centers!$B:$B,MATCH($B$330,Cost_Centers!$A:$A,0)),"(not in master)"))</f>
        <v/>
      </c>
      <c r="D330" s="31" t="n"/>
      <c r="E330" s="30">
        <f>IF($D$330="","",IFERROR(INDEX(Accounts!$D:$D,MATCH($D$330,Accounts!$A:$A,0)),"(not in master)"))</f>
        <v/>
      </c>
      <c r="F330" s="31" t="n"/>
      <c r="G330" s="30" t="inlineStr">
        <is>
          <t>Budget</t>
        </is>
      </c>
      <c r="H330" s="32">
        <f>IF($B$330="","",SUMIFS(Opex_Budget!$O:$O,Opex_Budget!$A:$A,$C$3,Opex_Budget!$E:$E,$B$330,Opex_Budget!$F:$F,$D$330,Opex_Budget!$N:$N,"JPY")*$E$5+SUMIFS(Opex_Budget!$O:$O,Opex_Budget!$A:$A,$C$3,Opex_Budget!$E:$E,$B$330,Opex_Budget!$F:$F,$D$330,Opex_Budget!$N:$N,"USD")*$F$5+SUMIFS(Opex_Budget!$O:$O,Opex_Budget!$A:$A,$C$3,Opex_Budget!$E:$E,$B$330,Opex_Budget!$F:$F,$D$330,Opex_Budget!$N:$N,"EUR")*$G$5+SUMIFS(Opex_Budget!$O:$O,Opex_Budget!$A:$A,$C$3,Opex_Budget!$E:$E,$B$330,Opex_Budget!$F:$F,$D$330,Opex_Budget!$N:$N,"GBP")*$H$5)</f>
        <v/>
      </c>
      <c r="I330" s="32">
        <f>IF($B$330="","",SUMIFS(Opex_Budget!$P:$P,Opex_Budget!$A:$A,$C$3,Opex_Budget!$E:$E,$B$330,Opex_Budget!$F:$F,$D$330,Opex_Budget!$N:$N,"JPY")*$E$5+SUMIFS(Opex_Budget!$P:$P,Opex_Budget!$A:$A,$C$3,Opex_Budget!$E:$E,$B$330,Opex_Budget!$F:$F,$D$330,Opex_Budget!$N:$N,"USD")*$F$5+SUMIFS(Opex_Budget!$P:$P,Opex_Budget!$A:$A,$C$3,Opex_Budget!$E:$E,$B$330,Opex_Budget!$F:$F,$D$330,Opex_Budget!$N:$N,"EUR")*$G$5+SUMIFS(Opex_Budget!$P:$P,Opex_Budget!$A:$A,$C$3,Opex_Budget!$E:$E,$B$330,Opex_Budget!$F:$F,$D$330,Opex_Budget!$N:$N,"GBP")*$H$5)</f>
        <v/>
      </c>
      <c r="J330" s="32">
        <f>IF($B$330="","",SUMIFS(Opex_Budget!$Q:$Q,Opex_Budget!$A:$A,$C$3,Opex_Budget!$E:$E,$B$330,Opex_Budget!$F:$F,$D$330,Opex_Budget!$N:$N,"JPY")*$E$5+SUMIFS(Opex_Budget!$Q:$Q,Opex_Budget!$A:$A,$C$3,Opex_Budget!$E:$E,$B$330,Opex_Budget!$F:$F,$D$330,Opex_Budget!$N:$N,"USD")*$F$5+SUMIFS(Opex_Budget!$Q:$Q,Opex_Budget!$A:$A,$C$3,Opex_Budget!$E:$E,$B$330,Opex_Budget!$F:$F,$D$330,Opex_Budget!$N:$N,"EUR")*$G$5+SUMIFS(Opex_Budget!$Q:$Q,Opex_Budget!$A:$A,$C$3,Opex_Budget!$E:$E,$B$330,Opex_Budget!$F:$F,$D$330,Opex_Budget!$N:$N,"GBP")*$H$5)</f>
        <v/>
      </c>
      <c r="K330" s="32">
        <f>IF($B$330="","",SUMIFS(Opex_Budget!$R:$R,Opex_Budget!$A:$A,$C$3,Opex_Budget!$E:$E,$B$330,Opex_Budget!$F:$F,$D$330,Opex_Budget!$N:$N,"JPY")*$E$5+SUMIFS(Opex_Budget!$R:$R,Opex_Budget!$A:$A,$C$3,Opex_Budget!$E:$E,$B$330,Opex_Budget!$F:$F,$D$330,Opex_Budget!$N:$N,"USD")*$F$5+SUMIFS(Opex_Budget!$R:$R,Opex_Budget!$A:$A,$C$3,Opex_Budget!$E:$E,$B$330,Opex_Budget!$F:$F,$D$330,Opex_Budget!$N:$N,"EUR")*$G$5+SUMIFS(Opex_Budget!$R:$R,Opex_Budget!$A:$A,$C$3,Opex_Budget!$E:$E,$B$330,Opex_Budget!$F:$F,$D$330,Opex_Budget!$N:$N,"GBP")*$H$5)</f>
        <v/>
      </c>
      <c r="L330" s="32">
        <f>IF($B$330="","",SUMIFS(Opex_Budget!$S:$S,Opex_Budget!$A:$A,$C$3,Opex_Budget!$E:$E,$B$330,Opex_Budget!$F:$F,$D$330,Opex_Budget!$N:$N,"JPY")*$E$5+SUMIFS(Opex_Budget!$S:$S,Opex_Budget!$A:$A,$C$3,Opex_Budget!$E:$E,$B$330,Opex_Budget!$F:$F,$D$330,Opex_Budget!$N:$N,"USD")*$F$5+SUMIFS(Opex_Budget!$S:$S,Opex_Budget!$A:$A,$C$3,Opex_Budget!$E:$E,$B$330,Opex_Budget!$F:$F,$D$330,Opex_Budget!$N:$N,"EUR")*$G$5+SUMIFS(Opex_Budget!$S:$S,Opex_Budget!$A:$A,$C$3,Opex_Budget!$E:$E,$B$330,Opex_Budget!$F:$F,$D$330,Opex_Budget!$N:$N,"GBP")*$H$5)</f>
        <v/>
      </c>
      <c r="M330" s="32">
        <f>IF($B$330="","",SUMIFS(Opex_Budget!$T:$T,Opex_Budget!$A:$A,$C$3,Opex_Budget!$E:$E,$B$330,Opex_Budget!$F:$F,$D$330,Opex_Budget!$N:$N,"JPY")*$E$5+SUMIFS(Opex_Budget!$T:$T,Opex_Budget!$A:$A,$C$3,Opex_Budget!$E:$E,$B$330,Opex_Budget!$F:$F,$D$330,Opex_Budget!$N:$N,"USD")*$F$5+SUMIFS(Opex_Budget!$T:$T,Opex_Budget!$A:$A,$C$3,Opex_Budget!$E:$E,$B$330,Opex_Budget!$F:$F,$D$330,Opex_Budget!$N:$N,"EUR")*$G$5+SUMIFS(Opex_Budget!$T:$T,Opex_Budget!$A:$A,$C$3,Opex_Budget!$E:$E,$B$330,Opex_Budget!$F:$F,$D$330,Opex_Budget!$N:$N,"GBP")*$H$5)</f>
        <v/>
      </c>
      <c r="N330" s="32">
        <f>IF($B$330="","",SUMIFS(Opex_Budget!$U:$U,Opex_Budget!$A:$A,$C$3,Opex_Budget!$E:$E,$B$330,Opex_Budget!$F:$F,$D$330,Opex_Budget!$N:$N,"JPY")*$E$5+SUMIFS(Opex_Budget!$U:$U,Opex_Budget!$A:$A,$C$3,Opex_Budget!$E:$E,$B$330,Opex_Budget!$F:$F,$D$330,Opex_Budget!$N:$N,"USD")*$F$5+SUMIFS(Opex_Budget!$U:$U,Opex_Budget!$A:$A,$C$3,Opex_Budget!$E:$E,$B$330,Opex_Budget!$F:$F,$D$330,Opex_Budget!$N:$N,"EUR")*$G$5+SUMIFS(Opex_Budget!$U:$U,Opex_Budget!$A:$A,$C$3,Opex_Budget!$E:$E,$B$330,Opex_Budget!$F:$F,$D$330,Opex_Budget!$N:$N,"GBP")*$H$5)</f>
        <v/>
      </c>
      <c r="O330" s="32">
        <f>IF($B$330="","",SUMIFS(Opex_Budget!$V:$V,Opex_Budget!$A:$A,$C$3,Opex_Budget!$E:$E,$B$330,Opex_Budget!$F:$F,$D$330,Opex_Budget!$N:$N,"JPY")*$E$5+SUMIFS(Opex_Budget!$V:$V,Opex_Budget!$A:$A,$C$3,Opex_Budget!$E:$E,$B$330,Opex_Budget!$F:$F,$D$330,Opex_Budget!$N:$N,"USD")*$F$5+SUMIFS(Opex_Budget!$V:$V,Opex_Budget!$A:$A,$C$3,Opex_Budget!$E:$E,$B$330,Opex_Budget!$F:$F,$D$330,Opex_Budget!$N:$N,"EUR")*$G$5+SUMIFS(Opex_Budget!$V:$V,Opex_Budget!$A:$A,$C$3,Opex_Budget!$E:$E,$B$330,Opex_Budget!$F:$F,$D$330,Opex_Budget!$N:$N,"GBP")*$H$5)</f>
        <v/>
      </c>
      <c r="P330" s="32">
        <f>IF($B$330="","",SUMIFS(Opex_Budget!$W:$W,Opex_Budget!$A:$A,$C$3,Opex_Budget!$E:$E,$B$330,Opex_Budget!$F:$F,$D$330,Opex_Budget!$N:$N,"JPY")*$E$5+SUMIFS(Opex_Budget!$W:$W,Opex_Budget!$A:$A,$C$3,Opex_Budget!$E:$E,$B$330,Opex_Budget!$F:$F,$D$330,Opex_Budget!$N:$N,"USD")*$F$5+SUMIFS(Opex_Budget!$W:$W,Opex_Budget!$A:$A,$C$3,Opex_Budget!$E:$E,$B$330,Opex_Budget!$F:$F,$D$330,Opex_Budget!$N:$N,"EUR")*$G$5+SUMIFS(Opex_Budget!$W:$W,Opex_Budget!$A:$A,$C$3,Opex_Budget!$E:$E,$B$330,Opex_Budget!$F:$F,$D$330,Opex_Budget!$N:$N,"GBP")*$H$5)</f>
        <v/>
      </c>
      <c r="Q330" s="32">
        <f>IF($B$330="","",SUMIFS(Opex_Budget!$X:$X,Opex_Budget!$A:$A,$C$3,Opex_Budget!$E:$E,$B$330,Opex_Budget!$F:$F,$D$330,Opex_Budget!$N:$N,"JPY")*$E$5+SUMIFS(Opex_Budget!$X:$X,Opex_Budget!$A:$A,$C$3,Opex_Budget!$E:$E,$B$330,Opex_Budget!$F:$F,$D$330,Opex_Budget!$N:$N,"USD")*$F$5+SUMIFS(Opex_Budget!$X:$X,Opex_Budget!$A:$A,$C$3,Opex_Budget!$E:$E,$B$330,Opex_Budget!$F:$F,$D$330,Opex_Budget!$N:$N,"EUR")*$G$5+SUMIFS(Opex_Budget!$X:$X,Opex_Budget!$A:$A,$C$3,Opex_Budget!$E:$E,$B$330,Opex_Budget!$F:$F,$D$330,Opex_Budget!$N:$N,"GBP")*$H$5)</f>
        <v/>
      </c>
      <c r="R330" s="32">
        <f>IF($B$330="","",SUMIFS(Opex_Budget!$Y:$Y,Opex_Budget!$A:$A,$C$3,Opex_Budget!$E:$E,$B$330,Opex_Budget!$F:$F,$D$330,Opex_Budget!$N:$N,"JPY")*$E$5+SUMIFS(Opex_Budget!$Y:$Y,Opex_Budget!$A:$A,$C$3,Opex_Budget!$E:$E,$B$330,Opex_Budget!$F:$F,$D$330,Opex_Budget!$N:$N,"USD")*$F$5+SUMIFS(Opex_Budget!$Y:$Y,Opex_Budget!$A:$A,$C$3,Opex_Budget!$E:$E,$B$330,Opex_Budget!$F:$F,$D$330,Opex_Budget!$N:$N,"EUR")*$G$5+SUMIFS(Opex_Budget!$Y:$Y,Opex_Budget!$A:$A,$C$3,Opex_Budget!$E:$E,$B$330,Opex_Budget!$F:$F,$D$330,Opex_Budget!$N:$N,"GBP")*$H$5)</f>
        <v/>
      </c>
      <c r="S330" s="32">
        <f>IF($B$330="","",SUMIFS(Opex_Budget!$Z:$Z,Opex_Budget!$A:$A,$C$3,Opex_Budget!$E:$E,$B$330,Opex_Budget!$F:$F,$D$330,Opex_Budget!$N:$N,"JPY")*$E$5+SUMIFS(Opex_Budget!$Z:$Z,Opex_Budget!$A:$A,$C$3,Opex_Budget!$E:$E,$B$330,Opex_Budget!$F:$F,$D$330,Opex_Budget!$N:$N,"USD")*$F$5+SUMIFS(Opex_Budget!$Z:$Z,Opex_Budget!$A:$A,$C$3,Opex_Budget!$E:$E,$B$330,Opex_Budget!$F:$F,$D$330,Opex_Budget!$N:$N,"EUR")*$G$5+SUMIFS(Opex_Budget!$Z:$Z,Opex_Budget!$A:$A,$C$3,Opex_Budget!$E:$E,$B$330,Opex_Budget!$F:$F,$D$330,Opex_Budget!$N:$N,"GBP")*$H$5)</f>
        <v/>
      </c>
      <c r="T330" s="32">
        <f>IF($B$330="","",SUMIF($H$7:$S$7,"&lt;="&amp;$C$4,$H330:$S330))</f>
        <v/>
      </c>
      <c r="U330" s="32">
        <f>IF($B$330="","",SUMIF($H$7:$S$7,"&gt;"&amp;$C$4,$H330:$S330))</f>
        <v/>
      </c>
      <c r="V330" s="32">
        <f>IF($B$330="","",SUM($H330:$S330))</f>
        <v/>
      </c>
      <c r="X330" s="22">
        <f>IF($B330="","",IFERROR(INDEX(Cost_Centers!$E:$E,MATCH($B330,Cost_Centers!$A:$A,0)),"(unknown)"))</f>
        <v/>
      </c>
      <c r="Y330" s="22">
        <f>IF($B330="","",IFERROR(INDEX(Cost_Centers!$D:$D,MATCH($B330,Cost_Centers!$A:$A,0)),"(unknown)"))</f>
        <v/>
      </c>
      <c r="Z330" s="22">
        <f>IF(OR($B330="",$G330&lt;&gt;"Variance vs Budget"),"",ABS(N($V330))+ROW()/1000000000)</f>
        <v/>
      </c>
    </row>
    <row r="331">
      <c r="A331" s="13">
        <f>IF(A$330="","",A$330)</f>
        <v/>
      </c>
      <c r="B331" s="13">
        <f>IF(B$330="","",B$330)</f>
        <v/>
      </c>
      <c r="C331" s="13">
        <f>IF(C$330="","",C$330)</f>
        <v/>
      </c>
      <c r="D331" s="13">
        <f>IF(D$330="","",D$330)</f>
        <v/>
      </c>
      <c r="E331" s="13">
        <f>IF(E$330="","",E$330)</f>
        <v/>
      </c>
      <c r="F331" s="13">
        <f>IF(F$330="","",F$330)</f>
        <v/>
      </c>
      <c r="G331" s="7" t="inlineStr">
        <is>
          <t>Actual</t>
        </is>
      </c>
      <c r="H331" s="18">
        <f>IF(OR($B$330="",1&gt;$C$4),"",SUMIFS(Actuals!$G:$G,Actuals!$B:$B,$C$3,Actuals!$C:$C,1,Actuals!$D:$D,$B$330,Actuals!$A:$A,LEFT($D$330,FIND("|",$D$330&amp;"|")-1),Actuals!$E:$E,MID($D$330,FIND("|",$D$330&amp;"|")+1,50),Actuals!$F:$F,"JPY")*$E$5+SUMIFS(Actuals!$G:$G,Actuals!$B:$B,$C$3,Actuals!$C:$C,1,Actuals!$D:$D,$B$330,Actuals!$A:$A,LEFT($D$330,FIND("|",$D$330&amp;"|")-1),Actuals!$E:$E,MID($D$330,FIND("|",$D$330&amp;"|")+1,50),Actuals!$F:$F,"USD")*$F$5+SUMIFS(Actuals!$G:$G,Actuals!$B:$B,$C$3,Actuals!$C:$C,1,Actuals!$D:$D,$B$330,Actuals!$A:$A,LEFT($D$330,FIND("|",$D$330&amp;"|")-1),Actuals!$E:$E,MID($D$330,FIND("|",$D$330&amp;"|")+1,50),Actuals!$F:$F,"EUR")*$G$5+SUMIFS(Actuals!$G:$G,Actuals!$B:$B,$C$3,Actuals!$C:$C,1,Actuals!$D:$D,$B$330,Actuals!$A:$A,LEFT($D$330,FIND("|",$D$330&amp;"|")-1),Actuals!$E:$E,MID($D$330,FIND("|",$D$330&amp;"|")+1,50),Actuals!$F:$F,"GBP")*$H$5)</f>
        <v/>
      </c>
      <c r="I331" s="18">
        <f>IF(OR($B$330="",2&gt;$C$4),"",SUMIFS(Actuals!$G:$G,Actuals!$B:$B,$C$3,Actuals!$C:$C,2,Actuals!$D:$D,$B$330,Actuals!$A:$A,LEFT($D$330,FIND("|",$D$330&amp;"|")-1),Actuals!$E:$E,MID($D$330,FIND("|",$D$330&amp;"|")+1,50),Actuals!$F:$F,"JPY")*$E$5+SUMIFS(Actuals!$G:$G,Actuals!$B:$B,$C$3,Actuals!$C:$C,2,Actuals!$D:$D,$B$330,Actuals!$A:$A,LEFT($D$330,FIND("|",$D$330&amp;"|")-1),Actuals!$E:$E,MID($D$330,FIND("|",$D$330&amp;"|")+1,50),Actuals!$F:$F,"USD")*$F$5+SUMIFS(Actuals!$G:$G,Actuals!$B:$B,$C$3,Actuals!$C:$C,2,Actuals!$D:$D,$B$330,Actuals!$A:$A,LEFT($D$330,FIND("|",$D$330&amp;"|")-1),Actuals!$E:$E,MID($D$330,FIND("|",$D$330&amp;"|")+1,50),Actuals!$F:$F,"EUR")*$G$5+SUMIFS(Actuals!$G:$G,Actuals!$B:$B,$C$3,Actuals!$C:$C,2,Actuals!$D:$D,$B$330,Actuals!$A:$A,LEFT($D$330,FIND("|",$D$330&amp;"|")-1),Actuals!$E:$E,MID($D$330,FIND("|",$D$330&amp;"|")+1,50),Actuals!$F:$F,"GBP")*$H$5)</f>
        <v/>
      </c>
      <c r="J331" s="18">
        <f>IF(OR($B$330="",3&gt;$C$4),"",SUMIFS(Actuals!$G:$G,Actuals!$B:$B,$C$3,Actuals!$C:$C,3,Actuals!$D:$D,$B$330,Actuals!$A:$A,LEFT($D$330,FIND("|",$D$330&amp;"|")-1),Actuals!$E:$E,MID($D$330,FIND("|",$D$330&amp;"|")+1,50),Actuals!$F:$F,"JPY")*$E$5+SUMIFS(Actuals!$G:$G,Actuals!$B:$B,$C$3,Actuals!$C:$C,3,Actuals!$D:$D,$B$330,Actuals!$A:$A,LEFT($D$330,FIND("|",$D$330&amp;"|")-1),Actuals!$E:$E,MID($D$330,FIND("|",$D$330&amp;"|")+1,50),Actuals!$F:$F,"USD")*$F$5+SUMIFS(Actuals!$G:$G,Actuals!$B:$B,$C$3,Actuals!$C:$C,3,Actuals!$D:$D,$B$330,Actuals!$A:$A,LEFT($D$330,FIND("|",$D$330&amp;"|")-1),Actuals!$E:$E,MID($D$330,FIND("|",$D$330&amp;"|")+1,50),Actuals!$F:$F,"EUR")*$G$5+SUMIFS(Actuals!$G:$G,Actuals!$B:$B,$C$3,Actuals!$C:$C,3,Actuals!$D:$D,$B$330,Actuals!$A:$A,LEFT($D$330,FIND("|",$D$330&amp;"|")-1),Actuals!$E:$E,MID($D$330,FIND("|",$D$330&amp;"|")+1,50),Actuals!$F:$F,"GBP")*$H$5)</f>
        <v/>
      </c>
      <c r="K331" s="18">
        <f>IF(OR($B$330="",4&gt;$C$4),"",SUMIFS(Actuals!$G:$G,Actuals!$B:$B,$C$3,Actuals!$C:$C,4,Actuals!$D:$D,$B$330,Actuals!$A:$A,LEFT($D$330,FIND("|",$D$330&amp;"|")-1),Actuals!$E:$E,MID($D$330,FIND("|",$D$330&amp;"|")+1,50),Actuals!$F:$F,"JPY")*$E$5+SUMIFS(Actuals!$G:$G,Actuals!$B:$B,$C$3,Actuals!$C:$C,4,Actuals!$D:$D,$B$330,Actuals!$A:$A,LEFT($D$330,FIND("|",$D$330&amp;"|")-1),Actuals!$E:$E,MID($D$330,FIND("|",$D$330&amp;"|")+1,50),Actuals!$F:$F,"USD")*$F$5+SUMIFS(Actuals!$G:$G,Actuals!$B:$B,$C$3,Actuals!$C:$C,4,Actuals!$D:$D,$B$330,Actuals!$A:$A,LEFT($D$330,FIND("|",$D$330&amp;"|")-1),Actuals!$E:$E,MID($D$330,FIND("|",$D$330&amp;"|")+1,50),Actuals!$F:$F,"EUR")*$G$5+SUMIFS(Actuals!$G:$G,Actuals!$B:$B,$C$3,Actuals!$C:$C,4,Actuals!$D:$D,$B$330,Actuals!$A:$A,LEFT($D$330,FIND("|",$D$330&amp;"|")-1),Actuals!$E:$E,MID($D$330,FIND("|",$D$330&amp;"|")+1,50),Actuals!$F:$F,"GBP")*$H$5)</f>
        <v/>
      </c>
      <c r="L331" s="18">
        <f>IF(OR($B$330="",5&gt;$C$4),"",SUMIFS(Actuals!$G:$G,Actuals!$B:$B,$C$3,Actuals!$C:$C,5,Actuals!$D:$D,$B$330,Actuals!$A:$A,LEFT($D$330,FIND("|",$D$330&amp;"|")-1),Actuals!$E:$E,MID($D$330,FIND("|",$D$330&amp;"|")+1,50),Actuals!$F:$F,"JPY")*$E$5+SUMIFS(Actuals!$G:$G,Actuals!$B:$B,$C$3,Actuals!$C:$C,5,Actuals!$D:$D,$B$330,Actuals!$A:$A,LEFT($D$330,FIND("|",$D$330&amp;"|")-1),Actuals!$E:$E,MID($D$330,FIND("|",$D$330&amp;"|")+1,50),Actuals!$F:$F,"USD")*$F$5+SUMIFS(Actuals!$G:$G,Actuals!$B:$B,$C$3,Actuals!$C:$C,5,Actuals!$D:$D,$B$330,Actuals!$A:$A,LEFT($D$330,FIND("|",$D$330&amp;"|")-1),Actuals!$E:$E,MID($D$330,FIND("|",$D$330&amp;"|")+1,50),Actuals!$F:$F,"EUR")*$G$5+SUMIFS(Actuals!$G:$G,Actuals!$B:$B,$C$3,Actuals!$C:$C,5,Actuals!$D:$D,$B$330,Actuals!$A:$A,LEFT($D$330,FIND("|",$D$330&amp;"|")-1),Actuals!$E:$E,MID($D$330,FIND("|",$D$330&amp;"|")+1,50),Actuals!$F:$F,"GBP")*$H$5)</f>
        <v/>
      </c>
      <c r="M331" s="18">
        <f>IF(OR($B$330="",6&gt;$C$4),"",SUMIFS(Actuals!$G:$G,Actuals!$B:$B,$C$3,Actuals!$C:$C,6,Actuals!$D:$D,$B$330,Actuals!$A:$A,LEFT($D$330,FIND("|",$D$330&amp;"|")-1),Actuals!$E:$E,MID($D$330,FIND("|",$D$330&amp;"|")+1,50),Actuals!$F:$F,"JPY")*$E$5+SUMIFS(Actuals!$G:$G,Actuals!$B:$B,$C$3,Actuals!$C:$C,6,Actuals!$D:$D,$B$330,Actuals!$A:$A,LEFT($D$330,FIND("|",$D$330&amp;"|")-1),Actuals!$E:$E,MID($D$330,FIND("|",$D$330&amp;"|")+1,50),Actuals!$F:$F,"USD")*$F$5+SUMIFS(Actuals!$G:$G,Actuals!$B:$B,$C$3,Actuals!$C:$C,6,Actuals!$D:$D,$B$330,Actuals!$A:$A,LEFT($D$330,FIND("|",$D$330&amp;"|")-1),Actuals!$E:$E,MID($D$330,FIND("|",$D$330&amp;"|")+1,50),Actuals!$F:$F,"EUR")*$G$5+SUMIFS(Actuals!$G:$G,Actuals!$B:$B,$C$3,Actuals!$C:$C,6,Actuals!$D:$D,$B$330,Actuals!$A:$A,LEFT($D$330,FIND("|",$D$330&amp;"|")-1),Actuals!$E:$E,MID($D$330,FIND("|",$D$330&amp;"|")+1,50),Actuals!$F:$F,"GBP")*$H$5)</f>
        <v/>
      </c>
      <c r="N331" s="18">
        <f>IF(OR($B$330="",7&gt;$C$4),"",SUMIFS(Actuals!$G:$G,Actuals!$B:$B,$C$3,Actuals!$C:$C,7,Actuals!$D:$D,$B$330,Actuals!$A:$A,LEFT($D$330,FIND("|",$D$330&amp;"|")-1),Actuals!$E:$E,MID($D$330,FIND("|",$D$330&amp;"|")+1,50),Actuals!$F:$F,"JPY")*$E$5+SUMIFS(Actuals!$G:$G,Actuals!$B:$B,$C$3,Actuals!$C:$C,7,Actuals!$D:$D,$B$330,Actuals!$A:$A,LEFT($D$330,FIND("|",$D$330&amp;"|")-1),Actuals!$E:$E,MID($D$330,FIND("|",$D$330&amp;"|")+1,50),Actuals!$F:$F,"USD")*$F$5+SUMIFS(Actuals!$G:$G,Actuals!$B:$B,$C$3,Actuals!$C:$C,7,Actuals!$D:$D,$B$330,Actuals!$A:$A,LEFT($D$330,FIND("|",$D$330&amp;"|")-1),Actuals!$E:$E,MID($D$330,FIND("|",$D$330&amp;"|")+1,50),Actuals!$F:$F,"EUR")*$G$5+SUMIFS(Actuals!$G:$G,Actuals!$B:$B,$C$3,Actuals!$C:$C,7,Actuals!$D:$D,$B$330,Actuals!$A:$A,LEFT($D$330,FIND("|",$D$330&amp;"|")-1),Actuals!$E:$E,MID($D$330,FIND("|",$D$330&amp;"|")+1,50),Actuals!$F:$F,"GBP")*$H$5)</f>
        <v/>
      </c>
      <c r="O331" s="18">
        <f>IF(OR($B$330="",8&gt;$C$4),"",SUMIFS(Actuals!$G:$G,Actuals!$B:$B,$C$3,Actuals!$C:$C,8,Actuals!$D:$D,$B$330,Actuals!$A:$A,LEFT($D$330,FIND("|",$D$330&amp;"|")-1),Actuals!$E:$E,MID($D$330,FIND("|",$D$330&amp;"|")+1,50),Actuals!$F:$F,"JPY")*$E$5+SUMIFS(Actuals!$G:$G,Actuals!$B:$B,$C$3,Actuals!$C:$C,8,Actuals!$D:$D,$B$330,Actuals!$A:$A,LEFT($D$330,FIND("|",$D$330&amp;"|")-1),Actuals!$E:$E,MID($D$330,FIND("|",$D$330&amp;"|")+1,50),Actuals!$F:$F,"USD")*$F$5+SUMIFS(Actuals!$G:$G,Actuals!$B:$B,$C$3,Actuals!$C:$C,8,Actuals!$D:$D,$B$330,Actuals!$A:$A,LEFT($D$330,FIND("|",$D$330&amp;"|")-1),Actuals!$E:$E,MID($D$330,FIND("|",$D$330&amp;"|")+1,50),Actuals!$F:$F,"EUR")*$G$5+SUMIFS(Actuals!$G:$G,Actuals!$B:$B,$C$3,Actuals!$C:$C,8,Actuals!$D:$D,$B$330,Actuals!$A:$A,LEFT($D$330,FIND("|",$D$330&amp;"|")-1),Actuals!$E:$E,MID($D$330,FIND("|",$D$330&amp;"|")+1,50),Actuals!$F:$F,"GBP")*$H$5)</f>
        <v/>
      </c>
      <c r="P331" s="18">
        <f>IF(OR($B$330="",9&gt;$C$4),"",SUMIFS(Actuals!$G:$G,Actuals!$B:$B,$C$3,Actuals!$C:$C,9,Actuals!$D:$D,$B$330,Actuals!$A:$A,LEFT($D$330,FIND("|",$D$330&amp;"|")-1),Actuals!$E:$E,MID($D$330,FIND("|",$D$330&amp;"|")+1,50),Actuals!$F:$F,"JPY")*$E$5+SUMIFS(Actuals!$G:$G,Actuals!$B:$B,$C$3,Actuals!$C:$C,9,Actuals!$D:$D,$B$330,Actuals!$A:$A,LEFT($D$330,FIND("|",$D$330&amp;"|")-1),Actuals!$E:$E,MID($D$330,FIND("|",$D$330&amp;"|")+1,50),Actuals!$F:$F,"USD")*$F$5+SUMIFS(Actuals!$G:$G,Actuals!$B:$B,$C$3,Actuals!$C:$C,9,Actuals!$D:$D,$B$330,Actuals!$A:$A,LEFT($D$330,FIND("|",$D$330&amp;"|")-1),Actuals!$E:$E,MID($D$330,FIND("|",$D$330&amp;"|")+1,50),Actuals!$F:$F,"EUR")*$G$5+SUMIFS(Actuals!$G:$G,Actuals!$B:$B,$C$3,Actuals!$C:$C,9,Actuals!$D:$D,$B$330,Actuals!$A:$A,LEFT($D$330,FIND("|",$D$330&amp;"|")-1),Actuals!$E:$E,MID($D$330,FIND("|",$D$330&amp;"|")+1,50),Actuals!$F:$F,"GBP")*$H$5)</f>
        <v/>
      </c>
      <c r="Q331" s="18">
        <f>IF(OR($B$330="",10&gt;$C$4),"",SUMIFS(Actuals!$G:$G,Actuals!$B:$B,$C$3,Actuals!$C:$C,10,Actuals!$D:$D,$B$330,Actuals!$A:$A,LEFT($D$330,FIND("|",$D$330&amp;"|")-1),Actuals!$E:$E,MID($D$330,FIND("|",$D$330&amp;"|")+1,50),Actuals!$F:$F,"JPY")*$E$5+SUMIFS(Actuals!$G:$G,Actuals!$B:$B,$C$3,Actuals!$C:$C,10,Actuals!$D:$D,$B$330,Actuals!$A:$A,LEFT($D$330,FIND("|",$D$330&amp;"|")-1),Actuals!$E:$E,MID($D$330,FIND("|",$D$330&amp;"|")+1,50),Actuals!$F:$F,"USD")*$F$5+SUMIFS(Actuals!$G:$G,Actuals!$B:$B,$C$3,Actuals!$C:$C,10,Actuals!$D:$D,$B$330,Actuals!$A:$A,LEFT($D$330,FIND("|",$D$330&amp;"|")-1),Actuals!$E:$E,MID($D$330,FIND("|",$D$330&amp;"|")+1,50),Actuals!$F:$F,"EUR")*$G$5+SUMIFS(Actuals!$G:$G,Actuals!$B:$B,$C$3,Actuals!$C:$C,10,Actuals!$D:$D,$B$330,Actuals!$A:$A,LEFT($D$330,FIND("|",$D$330&amp;"|")-1),Actuals!$E:$E,MID($D$330,FIND("|",$D$330&amp;"|")+1,50),Actuals!$F:$F,"GBP")*$H$5)</f>
        <v/>
      </c>
      <c r="R331" s="18">
        <f>IF(OR($B$330="",11&gt;$C$4),"",SUMIFS(Actuals!$G:$G,Actuals!$B:$B,$C$3,Actuals!$C:$C,11,Actuals!$D:$D,$B$330,Actuals!$A:$A,LEFT($D$330,FIND("|",$D$330&amp;"|")-1),Actuals!$E:$E,MID($D$330,FIND("|",$D$330&amp;"|")+1,50),Actuals!$F:$F,"JPY")*$E$5+SUMIFS(Actuals!$G:$G,Actuals!$B:$B,$C$3,Actuals!$C:$C,11,Actuals!$D:$D,$B$330,Actuals!$A:$A,LEFT($D$330,FIND("|",$D$330&amp;"|")-1),Actuals!$E:$E,MID($D$330,FIND("|",$D$330&amp;"|")+1,50),Actuals!$F:$F,"USD")*$F$5+SUMIFS(Actuals!$G:$G,Actuals!$B:$B,$C$3,Actuals!$C:$C,11,Actuals!$D:$D,$B$330,Actuals!$A:$A,LEFT($D$330,FIND("|",$D$330&amp;"|")-1),Actuals!$E:$E,MID($D$330,FIND("|",$D$330&amp;"|")+1,50),Actuals!$F:$F,"EUR")*$G$5+SUMIFS(Actuals!$G:$G,Actuals!$B:$B,$C$3,Actuals!$C:$C,11,Actuals!$D:$D,$B$330,Actuals!$A:$A,LEFT($D$330,FIND("|",$D$330&amp;"|")-1),Actuals!$E:$E,MID($D$330,FIND("|",$D$330&amp;"|")+1,50),Actuals!$F:$F,"GBP")*$H$5)</f>
        <v/>
      </c>
      <c r="S331" s="18">
        <f>IF(OR($B$330="",12&gt;$C$4),"",SUMIFS(Actuals!$G:$G,Actuals!$B:$B,$C$3,Actuals!$C:$C,12,Actuals!$D:$D,$B$330,Actuals!$A:$A,LEFT($D$330,FIND("|",$D$330&amp;"|")-1),Actuals!$E:$E,MID($D$330,FIND("|",$D$330&amp;"|")+1,50),Actuals!$F:$F,"JPY")*$E$5+SUMIFS(Actuals!$G:$G,Actuals!$B:$B,$C$3,Actuals!$C:$C,12,Actuals!$D:$D,$B$330,Actuals!$A:$A,LEFT($D$330,FIND("|",$D$330&amp;"|")-1),Actuals!$E:$E,MID($D$330,FIND("|",$D$330&amp;"|")+1,50),Actuals!$F:$F,"USD")*$F$5+SUMIFS(Actuals!$G:$G,Actuals!$B:$B,$C$3,Actuals!$C:$C,12,Actuals!$D:$D,$B$330,Actuals!$A:$A,LEFT($D$330,FIND("|",$D$330&amp;"|")-1),Actuals!$E:$E,MID($D$330,FIND("|",$D$330&amp;"|")+1,50),Actuals!$F:$F,"EUR")*$G$5+SUMIFS(Actuals!$G:$G,Actuals!$B:$B,$C$3,Actuals!$C:$C,12,Actuals!$D:$D,$B$330,Actuals!$A:$A,LEFT($D$330,FIND("|",$D$330&amp;"|")-1),Actuals!$E:$E,MID($D$330,FIND("|",$D$330&amp;"|")+1,50),Actuals!$F:$F,"GBP")*$H$5)</f>
        <v/>
      </c>
      <c r="T331" s="18">
        <f>IF($B$330="","",SUMIF($H$7:$S$7,"&lt;="&amp;$C$4,$H331:$S331))</f>
        <v/>
      </c>
      <c r="U331" s="18" t="n"/>
      <c r="V331" s="18" t="n"/>
      <c r="X331" s="22">
        <f>IF($B331="","",IFERROR(INDEX(Cost_Centers!$E:$E,MATCH($B331,Cost_Centers!$A:$A,0)),"(unknown)"))</f>
        <v/>
      </c>
      <c r="Y331" s="22">
        <f>IF($B331="","",IFERROR(INDEX(Cost_Centers!$D:$D,MATCH($B331,Cost_Centers!$A:$A,0)),"(unknown)"))</f>
        <v/>
      </c>
      <c r="Z331" s="22">
        <f>IF(OR($B331="",$G331&lt;&gt;"Variance vs Budget"),"",ABS(N($V331))+ROW()/1000000000)</f>
        <v/>
      </c>
    </row>
    <row r="332">
      <c r="A332" s="13">
        <f>IF(A$330="","",A$330)</f>
        <v/>
      </c>
      <c r="B332" s="13">
        <f>IF(B$330="","",B$330)</f>
        <v/>
      </c>
      <c r="C332" s="13">
        <f>IF(C$330="","",C$330)</f>
        <v/>
      </c>
      <c r="D332" s="13">
        <f>IF(D$330="","",D$330)</f>
        <v/>
      </c>
      <c r="E332" s="13">
        <f>IF(E$330="","",E$330)</f>
        <v/>
      </c>
      <c r="F332" s="13">
        <f>IF(F$330="","",F$330)</f>
        <v/>
      </c>
      <c r="G332" s="6" t="inlineStr">
        <is>
          <t>Variance vs Budget</t>
        </is>
      </c>
      <c r="H332" s="33">
        <f>IF(OR($B$330="",1&gt;$C$4),"",N(H331)-H330)</f>
        <v/>
      </c>
      <c r="I332" s="33">
        <f>IF(OR($B$330="",2&gt;$C$4),"",N(I331)-I330)</f>
        <v/>
      </c>
      <c r="J332" s="33">
        <f>IF(OR($B$330="",3&gt;$C$4),"",N(J331)-J330)</f>
        <v/>
      </c>
      <c r="K332" s="33">
        <f>IF(OR($B$330="",4&gt;$C$4),"",N(K331)-K330)</f>
        <v/>
      </c>
      <c r="L332" s="33">
        <f>IF(OR($B$330="",5&gt;$C$4),"",N(L331)-L330)</f>
        <v/>
      </c>
      <c r="M332" s="33">
        <f>IF(OR($B$330="",6&gt;$C$4),"",N(M331)-M330)</f>
        <v/>
      </c>
      <c r="N332" s="33">
        <f>IF(OR($B$330="",7&gt;$C$4),"",N(N331)-N330)</f>
        <v/>
      </c>
      <c r="O332" s="33">
        <f>IF(OR($B$330="",8&gt;$C$4),"",N(O331)-O330)</f>
        <v/>
      </c>
      <c r="P332" s="33">
        <f>IF(OR($B$330="",9&gt;$C$4),"",N(P331)-P330)</f>
        <v/>
      </c>
      <c r="Q332" s="33">
        <f>IF(OR($B$330="",10&gt;$C$4),"",N(Q331)-Q330)</f>
        <v/>
      </c>
      <c r="R332" s="33">
        <f>IF(OR($B$330="",11&gt;$C$4),"",N(R331)-R330)</f>
        <v/>
      </c>
      <c r="S332" s="33">
        <f>IF(OR($B$330="",12&gt;$C$4),"",N(S331)-S330)</f>
        <v/>
      </c>
      <c r="T332" s="33">
        <f>IF($B$330="","",T331-T330)</f>
        <v/>
      </c>
      <c r="U332" s="33">
        <f>IF($B$330="","",U334-U330)</f>
        <v/>
      </c>
      <c r="V332" s="33">
        <f>IF($B$330="","",V334-V330)</f>
        <v/>
      </c>
      <c r="X332" s="22">
        <f>IF($B332="","",IFERROR(INDEX(Cost_Centers!$E:$E,MATCH($B332,Cost_Centers!$A:$A,0)),"(unknown)"))</f>
        <v/>
      </c>
      <c r="Y332" s="22">
        <f>IF($B332="","",IFERROR(INDEX(Cost_Centers!$D:$D,MATCH($B332,Cost_Centers!$A:$A,0)),"(unknown)"))</f>
        <v/>
      </c>
      <c r="Z332" s="22">
        <f>IF(OR($B332="",$G332&lt;&gt;"Variance vs Budget"),"",ABS(N($V332))+ROW()/1000000000)</f>
        <v/>
      </c>
    </row>
    <row r="333">
      <c r="A333" s="13">
        <f>IF(A$330="","",A$330)</f>
        <v/>
      </c>
      <c r="B333" s="13">
        <f>IF(B$330="","",B$330)</f>
        <v/>
      </c>
      <c r="C333" s="13">
        <f>IF(C$330="","",C$330)</f>
        <v/>
      </c>
      <c r="D333" s="13">
        <f>IF(D$330="","",D$330)</f>
        <v/>
      </c>
      <c r="E333" s="13">
        <f>IF(E$330="","",E$330)</f>
        <v/>
      </c>
      <c r="F333" s="13">
        <f>IF(F$330="","",F$330)</f>
        <v/>
      </c>
      <c r="G333" s="7" t="inlineStr">
        <is>
          <t>Forecast (input)</t>
        </is>
      </c>
      <c r="H333" s="34" t="n"/>
      <c r="I333" s="34" t="n"/>
      <c r="J333" s="34" t="n"/>
      <c r="K333" s="34" t="n"/>
      <c r="L333" s="34" t="n"/>
      <c r="M333" s="34" t="n"/>
      <c r="N333" s="34" t="n"/>
      <c r="O333" s="34" t="n"/>
      <c r="P333" s="34" t="n"/>
      <c r="Q333" s="34" t="n"/>
      <c r="R333" s="34" t="n"/>
      <c r="S333" s="34" t="n"/>
      <c r="T333" s="18" t="n"/>
      <c r="U333" s="18" t="n"/>
      <c r="V333" s="18" t="n"/>
      <c r="X333" s="22">
        <f>IF($B333="","",IFERROR(INDEX(Cost_Centers!$E:$E,MATCH($B333,Cost_Centers!$A:$A,0)),"(unknown)"))</f>
        <v/>
      </c>
      <c r="Y333" s="22">
        <f>IF($B333="","",IFERROR(INDEX(Cost_Centers!$D:$D,MATCH($B333,Cost_Centers!$A:$A,0)),"(unknown)"))</f>
        <v/>
      </c>
      <c r="Z333" s="22">
        <f>IF(OR($B333="",$G333&lt;&gt;"Variance vs Budget"),"",ABS(N($V333))+ROW()/1000000000)</f>
        <v/>
      </c>
    </row>
    <row r="334">
      <c r="A334" s="13">
        <f>IF(A$330="","",A$330)</f>
        <v/>
      </c>
      <c r="B334" s="13">
        <f>IF(B$330="","",B$330)</f>
        <v/>
      </c>
      <c r="C334" s="13">
        <f>IF(C$330="","",C$330)</f>
        <v/>
      </c>
      <c r="D334" s="13">
        <f>IF(D$330="","",D$330)</f>
        <v/>
      </c>
      <c r="E334" s="13">
        <f>IF(E$330="","",E$330)</f>
        <v/>
      </c>
      <c r="F334" s="13">
        <f>IF(F$330="","",F$330)</f>
        <v/>
      </c>
      <c r="G334" s="35" t="inlineStr">
        <is>
          <t>Actual + Forecast</t>
        </is>
      </c>
      <c r="H334" s="18">
        <f>IF($B$330="","",IF(1&lt;=$C$4,N(H331),IF(H333="",H330,H333)))</f>
        <v/>
      </c>
      <c r="I334" s="18">
        <f>IF($B$330="","",IF(2&lt;=$C$4,N(I331),IF(I333="",I330,I333)))</f>
        <v/>
      </c>
      <c r="J334" s="18">
        <f>IF($B$330="","",IF(3&lt;=$C$4,N(J331),IF(J333="",J330,J333)))</f>
        <v/>
      </c>
      <c r="K334" s="18">
        <f>IF($B$330="","",IF(4&lt;=$C$4,N(K331),IF(K333="",K330,K333)))</f>
        <v/>
      </c>
      <c r="L334" s="18">
        <f>IF($B$330="","",IF(5&lt;=$C$4,N(L331),IF(L333="",L330,L333)))</f>
        <v/>
      </c>
      <c r="M334" s="18">
        <f>IF($B$330="","",IF(6&lt;=$C$4,N(M331),IF(M333="",M330,M333)))</f>
        <v/>
      </c>
      <c r="N334" s="18">
        <f>IF($B$330="","",IF(7&lt;=$C$4,N(N331),IF(N333="",N330,N333)))</f>
        <v/>
      </c>
      <c r="O334" s="18">
        <f>IF($B$330="","",IF(8&lt;=$C$4,N(O331),IF(O333="",O330,O333)))</f>
        <v/>
      </c>
      <c r="P334" s="18">
        <f>IF($B$330="","",IF(9&lt;=$C$4,N(P331),IF(P333="",P330,P333)))</f>
        <v/>
      </c>
      <c r="Q334" s="18">
        <f>IF($B$330="","",IF(10&lt;=$C$4,N(Q331),IF(Q333="",Q330,Q333)))</f>
        <v/>
      </c>
      <c r="R334" s="18">
        <f>IF($B$330="","",IF(11&lt;=$C$4,N(R331),IF(R333="",R330,R333)))</f>
        <v/>
      </c>
      <c r="S334" s="18">
        <f>IF($B$330="","",IF(12&lt;=$C$4,N(S331),IF(S333="",S330,S333)))</f>
        <v/>
      </c>
      <c r="T334" s="18">
        <f>IF($B$330="","",SUMIF($H$7:$S$7,"&lt;="&amp;$C$4,$H334:$S334))</f>
        <v/>
      </c>
      <c r="U334" s="18">
        <f>IF($B$330="","",SUMIF($H$7:$S$7,"&gt;"&amp;$C$4,$H334:$S334))</f>
        <v/>
      </c>
      <c r="V334" s="18">
        <f>IF($B$330="","",SUM($H334:$S334))</f>
        <v/>
      </c>
      <c r="X334" s="22">
        <f>IF($B334="","",IFERROR(INDEX(Cost_Centers!$E:$E,MATCH($B334,Cost_Centers!$A:$A,0)),"(unknown)"))</f>
        <v/>
      </c>
      <c r="Y334" s="22">
        <f>IF($B334="","",IFERROR(INDEX(Cost_Centers!$D:$D,MATCH($B334,Cost_Centers!$A:$A,0)),"(unknown)"))</f>
        <v/>
      </c>
      <c r="Z334" s="22">
        <f>IF(OR($B334="",$G334&lt;&gt;"Variance vs Budget"),"",ABS(N($V334))+ROW()/1000000000)</f>
        <v/>
      </c>
    </row>
    <row r="335">
      <c r="A335" s="13">
        <f>IF(A$330="","",A$330)</f>
        <v/>
      </c>
      <c r="B335" s="13">
        <f>IF(B$330="","",B$330)</f>
        <v/>
      </c>
      <c r="C335" s="13">
        <f>IF(C$330="","",C$330)</f>
        <v/>
      </c>
      <c r="D335" s="13">
        <f>IF(D$330="","",D$330)</f>
        <v/>
      </c>
      <c r="E335" s="13">
        <f>IF(E$330="","",E$330)</f>
        <v/>
      </c>
      <c r="F335" s="13">
        <f>IF(F$330="","",F$330)</f>
        <v/>
      </c>
      <c r="G335" s="36" t="inlineStr">
        <is>
          <t>Prior Month Forecast</t>
        </is>
      </c>
      <c r="H335" s="37">
        <f>IF($B$330="","",IF(COUNTIFS(Prior_Forecast!$A:$A,$B$330,Prior_Forecast!$B:$B,$D$330)&gt;0,SUMIFS(Prior_Forecast!$C:$C,Prior_Forecast!$A:$A,$B$330,Prior_Forecast!$B:$B,$D$330),""))</f>
        <v/>
      </c>
      <c r="I335" s="37">
        <f>IF($B$330="","",IF(COUNTIFS(Prior_Forecast!$A:$A,$B$330,Prior_Forecast!$B:$B,$D$330)&gt;0,SUMIFS(Prior_Forecast!$D:$D,Prior_Forecast!$A:$A,$B$330,Prior_Forecast!$B:$B,$D$330),""))</f>
        <v/>
      </c>
      <c r="J335" s="37">
        <f>IF($B$330="","",IF(COUNTIFS(Prior_Forecast!$A:$A,$B$330,Prior_Forecast!$B:$B,$D$330)&gt;0,SUMIFS(Prior_Forecast!$E:$E,Prior_Forecast!$A:$A,$B$330,Prior_Forecast!$B:$B,$D$330),""))</f>
        <v/>
      </c>
      <c r="K335" s="37">
        <f>IF($B$330="","",IF(COUNTIFS(Prior_Forecast!$A:$A,$B$330,Prior_Forecast!$B:$B,$D$330)&gt;0,SUMIFS(Prior_Forecast!$F:$F,Prior_Forecast!$A:$A,$B$330,Prior_Forecast!$B:$B,$D$330),""))</f>
        <v/>
      </c>
      <c r="L335" s="37">
        <f>IF($B$330="","",IF(COUNTIFS(Prior_Forecast!$A:$A,$B$330,Prior_Forecast!$B:$B,$D$330)&gt;0,SUMIFS(Prior_Forecast!$G:$G,Prior_Forecast!$A:$A,$B$330,Prior_Forecast!$B:$B,$D$330),""))</f>
        <v/>
      </c>
      <c r="M335" s="37">
        <f>IF($B$330="","",IF(COUNTIFS(Prior_Forecast!$A:$A,$B$330,Prior_Forecast!$B:$B,$D$330)&gt;0,SUMIFS(Prior_Forecast!$H:$H,Prior_Forecast!$A:$A,$B$330,Prior_Forecast!$B:$B,$D$330),""))</f>
        <v/>
      </c>
      <c r="N335" s="37">
        <f>IF($B$330="","",IF(COUNTIFS(Prior_Forecast!$A:$A,$B$330,Prior_Forecast!$B:$B,$D$330)&gt;0,SUMIFS(Prior_Forecast!$I:$I,Prior_Forecast!$A:$A,$B$330,Prior_Forecast!$B:$B,$D$330),""))</f>
        <v/>
      </c>
      <c r="O335" s="37">
        <f>IF($B$330="","",IF(COUNTIFS(Prior_Forecast!$A:$A,$B$330,Prior_Forecast!$B:$B,$D$330)&gt;0,SUMIFS(Prior_Forecast!$J:$J,Prior_Forecast!$A:$A,$B$330,Prior_Forecast!$B:$B,$D$330),""))</f>
        <v/>
      </c>
      <c r="P335" s="37">
        <f>IF($B$330="","",IF(COUNTIFS(Prior_Forecast!$A:$A,$B$330,Prior_Forecast!$B:$B,$D$330)&gt;0,SUMIFS(Prior_Forecast!$K:$K,Prior_Forecast!$A:$A,$B$330,Prior_Forecast!$B:$B,$D$330),""))</f>
        <v/>
      </c>
      <c r="Q335" s="37">
        <f>IF($B$330="","",IF(COUNTIFS(Prior_Forecast!$A:$A,$B$330,Prior_Forecast!$B:$B,$D$330)&gt;0,SUMIFS(Prior_Forecast!$L:$L,Prior_Forecast!$A:$A,$B$330,Prior_Forecast!$B:$B,$D$330),""))</f>
        <v/>
      </c>
      <c r="R335" s="37">
        <f>IF($B$330="","",IF(COUNTIFS(Prior_Forecast!$A:$A,$B$330,Prior_Forecast!$B:$B,$D$330)&gt;0,SUMIFS(Prior_Forecast!$M:$M,Prior_Forecast!$A:$A,$B$330,Prior_Forecast!$B:$B,$D$330),""))</f>
        <v/>
      </c>
      <c r="S335" s="37">
        <f>IF($B$330="","",IF(COUNTIFS(Prior_Forecast!$A:$A,$B$330,Prior_Forecast!$B:$B,$D$330)&gt;0,SUMIFS(Prior_Forecast!$N:$N,Prior_Forecast!$A:$A,$B$330,Prior_Forecast!$B:$B,$D$330),""))</f>
        <v/>
      </c>
      <c r="T335" s="37">
        <f>IF($B$330="","",IF(COUNTIFS(Prior_Forecast!$A:$A,$B$330,Prior_Forecast!$B:$B,$D$330)&gt;0,SUMIFS(Prior_Forecast!$O:$O,Prior_Forecast!$A:$A,$B$330,Prior_Forecast!$B:$B,$D$330),""))</f>
        <v/>
      </c>
      <c r="U335" s="37">
        <f>IF($B$330="","",IF(COUNTIFS(Prior_Forecast!$A:$A,$B$330,Prior_Forecast!$B:$B,$D$330)&gt;0,SUMIFS(Prior_Forecast!$P:$P,Prior_Forecast!$A:$A,$B$330,Prior_Forecast!$B:$B,$D$330),""))</f>
        <v/>
      </c>
      <c r="V335" s="37">
        <f>IF($B$330="","",IF(COUNTIFS(Prior_Forecast!$A:$A,$B$330,Prior_Forecast!$B:$B,$D$330)&gt;0,SUMIFS(Prior_Forecast!$Q:$Q,Prior_Forecast!$A:$A,$B$330,Prior_Forecast!$B:$B,$D$330),""))</f>
        <v/>
      </c>
      <c r="X335" s="22">
        <f>IF($B335="","",IFERROR(INDEX(Cost_Centers!$E:$E,MATCH($B335,Cost_Centers!$A:$A,0)),"(unknown)"))</f>
        <v/>
      </c>
      <c r="Y335" s="22">
        <f>IF($B335="","",IFERROR(INDEX(Cost_Centers!$D:$D,MATCH($B335,Cost_Centers!$A:$A,0)),"(unknown)"))</f>
        <v/>
      </c>
      <c r="Z335" s="22">
        <f>IF(OR($B335="",$G335&lt;&gt;"Variance vs Budget"),"",ABS(N($V335))+ROW()/1000000000)</f>
        <v/>
      </c>
    </row>
    <row r="336">
      <c r="A336" s="13">
        <f>IF(A$330="","",A$330)</f>
        <v/>
      </c>
      <c r="B336" s="13">
        <f>IF(B$330="","",B$330)</f>
        <v/>
      </c>
      <c r="C336" s="13">
        <f>IF(C$330="","",C$330)</f>
        <v/>
      </c>
      <c r="D336" s="13">
        <f>IF(D$330="","",D$330)</f>
        <v/>
      </c>
      <c r="E336" s="13">
        <f>IF(E$330="","",E$330)</f>
        <v/>
      </c>
      <c r="F336" s="13">
        <f>IF(F$330="","",F$330)</f>
        <v/>
      </c>
      <c r="G336" s="6" t="inlineStr">
        <is>
          <t>Variance vs Prior Month</t>
        </is>
      </c>
      <c r="H336" s="33">
        <f>IF(OR($B$330="",H335=""),"",H334-H335)</f>
        <v/>
      </c>
      <c r="I336" s="33">
        <f>IF(OR($B$330="",I335=""),"",I334-I335)</f>
        <v/>
      </c>
      <c r="J336" s="33">
        <f>IF(OR($B$330="",J335=""),"",J334-J335)</f>
        <v/>
      </c>
      <c r="K336" s="33">
        <f>IF(OR($B$330="",K335=""),"",K334-K335)</f>
        <v/>
      </c>
      <c r="L336" s="33">
        <f>IF(OR($B$330="",L335=""),"",L334-L335)</f>
        <v/>
      </c>
      <c r="M336" s="33">
        <f>IF(OR($B$330="",M335=""),"",M334-M335)</f>
        <v/>
      </c>
      <c r="N336" s="33">
        <f>IF(OR($B$330="",N335=""),"",N334-N335)</f>
        <v/>
      </c>
      <c r="O336" s="33">
        <f>IF(OR($B$330="",O335=""),"",O334-O335)</f>
        <v/>
      </c>
      <c r="P336" s="33">
        <f>IF(OR($B$330="",P335=""),"",P334-P335)</f>
        <v/>
      </c>
      <c r="Q336" s="33">
        <f>IF(OR($B$330="",Q335=""),"",Q334-Q335)</f>
        <v/>
      </c>
      <c r="R336" s="33">
        <f>IF(OR($B$330="",R335=""),"",R334-R335)</f>
        <v/>
      </c>
      <c r="S336" s="33">
        <f>IF(OR($B$330="",S335=""),"",S334-S335)</f>
        <v/>
      </c>
      <c r="T336" s="33">
        <f>IF(OR($B$330="",T335=""),"",T334-T335)</f>
        <v/>
      </c>
      <c r="U336" s="33">
        <f>IF(OR($B$330="",U335=""),"",U334-U335)</f>
        <v/>
      </c>
      <c r="V336" s="33">
        <f>IF(OR($B$330="",V335=""),"",V334-V335)</f>
        <v/>
      </c>
      <c r="X336" s="22">
        <f>IF($B336="","",IFERROR(INDEX(Cost_Centers!$E:$E,MATCH($B336,Cost_Centers!$A:$A,0)),"(unknown)"))</f>
        <v/>
      </c>
      <c r="Y336" s="22">
        <f>IF($B336="","",IFERROR(INDEX(Cost_Centers!$D:$D,MATCH($B336,Cost_Centers!$A:$A,0)),"(unknown)"))</f>
        <v/>
      </c>
      <c r="Z336" s="22">
        <f>IF(OR($B336="",$G336&lt;&gt;"Variance vs Budget"),"",ABS(N($V336))+ROW()/1000000000)</f>
        <v/>
      </c>
    </row>
    <row r="337" ht="45" customHeight="1">
      <c r="A337" s="13">
        <f>IF(A$330="","",A$330)</f>
        <v/>
      </c>
      <c r="B337" s="13">
        <f>IF(B$330="","",B$330)</f>
        <v/>
      </c>
      <c r="C337" s="13">
        <f>IF(C$330="","",C$330)</f>
        <v/>
      </c>
      <c r="D337" s="13">
        <f>IF(D$330="","",D$330)</f>
        <v/>
      </c>
      <c r="E337" s="13">
        <f>IF(E$330="","",E$330)</f>
        <v/>
      </c>
      <c r="F337" s="13">
        <f>IF(F$330="","",F$330)</f>
        <v/>
      </c>
      <c r="G337" s="7" t="inlineStr">
        <is>
          <t>Rationale</t>
        </is>
      </c>
      <c r="H337" s="38" t="n"/>
      <c r="I337" s="38" t="n"/>
      <c r="J337" s="38" t="n"/>
      <c r="K337" s="38" t="n"/>
      <c r="L337" s="38" t="n"/>
      <c r="M337" s="38" t="n"/>
      <c r="N337" s="38" t="n"/>
      <c r="O337" s="38" t="n"/>
      <c r="P337" s="38" t="n"/>
      <c r="Q337" s="38" t="n"/>
      <c r="R337" s="38" t="n"/>
      <c r="S337" s="38" t="n"/>
      <c r="T337" s="38" t="n"/>
      <c r="U337" s="38" t="n"/>
      <c r="V337" s="7" t="n"/>
      <c r="X337" s="22">
        <f>IF($B337="","",IFERROR(INDEX(Cost_Centers!$E:$E,MATCH($B337,Cost_Centers!$A:$A,0)),"(unknown)"))</f>
        <v/>
      </c>
      <c r="Y337" s="22">
        <f>IF($B337="","",IFERROR(INDEX(Cost_Centers!$D:$D,MATCH($B337,Cost_Centers!$A:$A,0)),"(unknown)"))</f>
        <v/>
      </c>
      <c r="Z337" s="22">
        <f>IF(OR($B337="",$G337&lt;&gt;"Variance vs Budget"),"",ABS(N($V337))+ROW()/1000000000)</f>
        <v/>
      </c>
    </row>
    <row r="338">
      <c r="A338" s="30">
        <f>IF($D$338="","",LEFT($D$338,FIND("|",$D$338&amp;"|")-1))</f>
        <v/>
      </c>
      <c r="B338" s="31" t="n"/>
      <c r="C338" s="30">
        <f>IF($B$338="","",IFERROR(INDEX(Cost_Centers!$B:$B,MATCH($B$338,Cost_Centers!$A:$A,0)),"(not in master)"))</f>
        <v/>
      </c>
      <c r="D338" s="31" t="n"/>
      <c r="E338" s="30">
        <f>IF($D$338="","",IFERROR(INDEX(Accounts!$D:$D,MATCH($D$338,Accounts!$A:$A,0)),"(not in master)"))</f>
        <v/>
      </c>
      <c r="F338" s="31" t="n"/>
      <c r="G338" s="30" t="inlineStr">
        <is>
          <t>Budget</t>
        </is>
      </c>
      <c r="H338" s="32">
        <f>IF($B$338="","",SUMIFS(Opex_Budget!$O:$O,Opex_Budget!$A:$A,$C$3,Opex_Budget!$E:$E,$B$338,Opex_Budget!$F:$F,$D$338,Opex_Budget!$N:$N,"JPY")*$E$5+SUMIFS(Opex_Budget!$O:$O,Opex_Budget!$A:$A,$C$3,Opex_Budget!$E:$E,$B$338,Opex_Budget!$F:$F,$D$338,Opex_Budget!$N:$N,"USD")*$F$5+SUMIFS(Opex_Budget!$O:$O,Opex_Budget!$A:$A,$C$3,Opex_Budget!$E:$E,$B$338,Opex_Budget!$F:$F,$D$338,Opex_Budget!$N:$N,"EUR")*$G$5+SUMIFS(Opex_Budget!$O:$O,Opex_Budget!$A:$A,$C$3,Opex_Budget!$E:$E,$B$338,Opex_Budget!$F:$F,$D$338,Opex_Budget!$N:$N,"GBP")*$H$5)</f>
        <v/>
      </c>
      <c r="I338" s="32">
        <f>IF($B$338="","",SUMIFS(Opex_Budget!$P:$P,Opex_Budget!$A:$A,$C$3,Opex_Budget!$E:$E,$B$338,Opex_Budget!$F:$F,$D$338,Opex_Budget!$N:$N,"JPY")*$E$5+SUMIFS(Opex_Budget!$P:$P,Opex_Budget!$A:$A,$C$3,Opex_Budget!$E:$E,$B$338,Opex_Budget!$F:$F,$D$338,Opex_Budget!$N:$N,"USD")*$F$5+SUMIFS(Opex_Budget!$P:$P,Opex_Budget!$A:$A,$C$3,Opex_Budget!$E:$E,$B$338,Opex_Budget!$F:$F,$D$338,Opex_Budget!$N:$N,"EUR")*$G$5+SUMIFS(Opex_Budget!$P:$P,Opex_Budget!$A:$A,$C$3,Opex_Budget!$E:$E,$B$338,Opex_Budget!$F:$F,$D$338,Opex_Budget!$N:$N,"GBP")*$H$5)</f>
        <v/>
      </c>
      <c r="J338" s="32">
        <f>IF($B$338="","",SUMIFS(Opex_Budget!$Q:$Q,Opex_Budget!$A:$A,$C$3,Opex_Budget!$E:$E,$B$338,Opex_Budget!$F:$F,$D$338,Opex_Budget!$N:$N,"JPY")*$E$5+SUMIFS(Opex_Budget!$Q:$Q,Opex_Budget!$A:$A,$C$3,Opex_Budget!$E:$E,$B$338,Opex_Budget!$F:$F,$D$338,Opex_Budget!$N:$N,"USD")*$F$5+SUMIFS(Opex_Budget!$Q:$Q,Opex_Budget!$A:$A,$C$3,Opex_Budget!$E:$E,$B$338,Opex_Budget!$F:$F,$D$338,Opex_Budget!$N:$N,"EUR")*$G$5+SUMIFS(Opex_Budget!$Q:$Q,Opex_Budget!$A:$A,$C$3,Opex_Budget!$E:$E,$B$338,Opex_Budget!$F:$F,$D$338,Opex_Budget!$N:$N,"GBP")*$H$5)</f>
        <v/>
      </c>
      <c r="K338" s="32">
        <f>IF($B$338="","",SUMIFS(Opex_Budget!$R:$R,Opex_Budget!$A:$A,$C$3,Opex_Budget!$E:$E,$B$338,Opex_Budget!$F:$F,$D$338,Opex_Budget!$N:$N,"JPY")*$E$5+SUMIFS(Opex_Budget!$R:$R,Opex_Budget!$A:$A,$C$3,Opex_Budget!$E:$E,$B$338,Opex_Budget!$F:$F,$D$338,Opex_Budget!$N:$N,"USD")*$F$5+SUMIFS(Opex_Budget!$R:$R,Opex_Budget!$A:$A,$C$3,Opex_Budget!$E:$E,$B$338,Opex_Budget!$F:$F,$D$338,Opex_Budget!$N:$N,"EUR")*$G$5+SUMIFS(Opex_Budget!$R:$R,Opex_Budget!$A:$A,$C$3,Opex_Budget!$E:$E,$B$338,Opex_Budget!$F:$F,$D$338,Opex_Budget!$N:$N,"GBP")*$H$5)</f>
        <v/>
      </c>
      <c r="L338" s="32">
        <f>IF($B$338="","",SUMIFS(Opex_Budget!$S:$S,Opex_Budget!$A:$A,$C$3,Opex_Budget!$E:$E,$B$338,Opex_Budget!$F:$F,$D$338,Opex_Budget!$N:$N,"JPY")*$E$5+SUMIFS(Opex_Budget!$S:$S,Opex_Budget!$A:$A,$C$3,Opex_Budget!$E:$E,$B$338,Opex_Budget!$F:$F,$D$338,Opex_Budget!$N:$N,"USD")*$F$5+SUMIFS(Opex_Budget!$S:$S,Opex_Budget!$A:$A,$C$3,Opex_Budget!$E:$E,$B$338,Opex_Budget!$F:$F,$D$338,Opex_Budget!$N:$N,"EUR")*$G$5+SUMIFS(Opex_Budget!$S:$S,Opex_Budget!$A:$A,$C$3,Opex_Budget!$E:$E,$B$338,Opex_Budget!$F:$F,$D$338,Opex_Budget!$N:$N,"GBP")*$H$5)</f>
        <v/>
      </c>
      <c r="M338" s="32">
        <f>IF($B$338="","",SUMIFS(Opex_Budget!$T:$T,Opex_Budget!$A:$A,$C$3,Opex_Budget!$E:$E,$B$338,Opex_Budget!$F:$F,$D$338,Opex_Budget!$N:$N,"JPY")*$E$5+SUMIFS(Opex_Budget!$T:$T,Opex_Budget!$A:$A,$C$3,Opex_Budget!$E:$E,$B$338,Opex_Budget!$F:$F,$D$338,Opex_Budget!$N:$N,"USD")*$F$5+SUMIFS(Opex_Budget!$T:$T,Opex_Budget!$A:$A,$C$3,Opex_Budget!$E:$E,$B$338,Opex_Budget!$F:$F,$D$338,Opex_Budget!$N:$N,"EUR")*$G$5+SUMIFS(Opex_Budget!$T:$T,Opex_Budget!$A:$A,$C$3,Opex_Budget!$E:$E,$B$338,Opex_Budget!$F:$F,$D$338,Opex_Budget!$N:$N,"GBP")*$H$5)</f>
        <v/>
      </c>
      <c r="N338" s="32">
        <f>IF($B$338="","",SUMIFS(Opex_Budget!$U:$U,Opex_Budget!$A:$A,$C$3,Opex_Budget!$E:$E,$B$338,Opex_Budget!$F:$F,$D$338,Opex_Budget!$N:$N,"JPY")*$E$5+SUMIFS(Opex_Budget!$U:$U,Opex_Budget!$A:$A,$C$3,Opex_Budget!$E:$E,$B$338,Opex_Budget!$F:$F,$D$338,Opex_Budget!$N:$N,"USD")*$F$5+SUMIFS(Opex_Budget!$U:$U,Opex_Budget!$A:$A,$C$3,Opex_Budget!$E:$E,$B$338,Opex_Budget!$F:$F,$D$338,Opex_Budget!$N:$N,"EUR")*$G$5+SUMIFS(Opex_Budget!$U:$U,Opex_Budget!$A:$A,$C$3,Opex_Budget!$E:$E,$B$338,Opex_Budget!$F:$F,$D$338,Opex_Budget!$N:$N,"GBP")*$H$5)</f>
        <v/>
      </c>
      <c r="O338" s="32">
        <f>IF($B$338="","",SUMIFS(Opex_Budget!$V:$V,Opex_Budget!$A:$A,$C$3,Opex_Budget!$E:$E,$B$338,Opex_Budget!$F:$F,$D$338,Opex_Budget!$N:$N,"JPY")*$E$5+SUMIFS(Opex_Budget!$V:$V,Opex_Budget!$A:$A,$C$3,Opex_Budget!$E:$E,$B$338,Opex_Budget!$F:$F,$D$338,Opex_Budget!$N:$N,"USD")*$F$5+SUMIFS(Opex_Budget!$V:$V,Opex_Budget!$A:$A,$C$3,Opex_Budget!$E:$E,$B$338,Opex_Budget!$F:$F,$D$338,Opex_Budget!$N:$N,"EUR")*$G$5+SUMIFS(Opex_Budget!$V:$V,Opex_Budget!$A:$A,$C$3,Opex_Budget!$E:$E,$B$338,Opex_Budget!$F:$F,$D$338,Opex_Budget!$N:$N,"GBP")*$H$5)</f>
        <v/>
      </c>
      <c r="P338" s="32">
        <f>IF($B$338="","",SUMIFS(Opex_Budget!$W:$W,Opex_Budget!$A:$A,$C$3,Opex_Budget!$E:$E,$B$338,Opex_Budget!$F:$F,$D$338,Opex_Budget!$N:$N,"JPY")*$E$5+SUMIFS(Opex_Budget!$W:$W,Opex_Budget!$A:$A,$C$3,Opex_Budget!$E:$E,$B$338,Opex_Budget!$F:$F,$D$338,Opex_Budget!$N:$N,"USD")*$F$5+SUMIFS(Opex_Budget!$W:$W,Opex_Budget!$A:$A,$C$3,Opex_Budget!$E:$E,$B$338,Opex_Budget!$F:$F,$D$338,Opex_Budget!$N:$N,"EUR")*$G$5+SUMIFS(Opex_Budget!$W:$W,Opex_Budget!$A:$A,$C$3,Opex_Budget!$E:$E,$B$338,Opex_Budget!$F:$F,$D$338,Opex_Budget!$N:$N,"GBP")*$H$5)</f>
        <v/>
      </c>
      <c r="Q338" s="32">
        <f>IF($B$338="","",SUMIFS(Opex_Budget!$X:$X,Opex_Budget!$A:$A,$C$3,Opex_Budget!$E:$E,$B$338,Opex_Budget!$F:$F,$D$338,Opex_Budget!$N:$N,"JPY")*$E$5+SUMIFS(Opex_Budget!$X:$X,Opex_Budget!$A:$A,$C$3,Opex_Budget!$E:$E,$B$338,Opex_Budget!$F:$F,$D$338,Opex_Budget!$N:$N,"USD")*$F$5+SUMIFS(Opex_Budget!$X:$X,Opex_Budget!$A:$A,$C$3,Opex_Budget!$E:$E,$B$338,Opex_Budget!$F:$F,$D$338,Opex_Budget!$N:$N,"EUR")*$G$5+SUMIFS(Opex_Budget!$X:$X,Opex_Budget!$A:$A,$C$3,Opex_Budget!$E:$E,$B$338,Opex_Budget!$F:$F,$D$338,Opex_Budget!$N:$N,"GBP")*$H$5)</f>
        <v/>
      </c>
      <c r="R338" s="32">
        <f>IF($B$338="","",SUMIFS(Opex_Budget!$Y:$Y,Opex_Budget!$A:$A,$C$3,Opex_Budget!$E:$E,$B$338,Opex_Budget!$F:$F,$D$338,Opex_Budget!$N:$N,"JPY")*$E$5+SUMIFS(Opex_Budget!$Y:$Y,Opex_Budget!$A:$A,$C$3,Opex_Budget!$E:$E,$B$338,Opex_Budget!$F:$F,$D$338,Opex_Budget!$N:$N,"USD")*$F$5+SUMIFS(Opex_Budget!$Y:$Y,Opex_Budget!$A:$A,$C$3,Opex_Budget!$E:$E,$B$338,Opex_Budget!$F:$F,$D$338,Opex_Budget!$N:$N,"EUR")*$G$5+SUMIFS(Opex_Budget!$Y:$Y,Opex_Budget!$A:$A,$C$3,Opex_Budget!$E:$E,$B$338,Opex_Budget!$F:$F,$D$338,Opex_Budget!$N:$N,"GBP")*$H$5)</f>
        <v/>
      </c>
      <c r="S338" s="32">
        <f>IF($B$338="","",SUMIFS(Opex_Budget!$Z:$Z,Opex_Budget!$A:$A,$C$3,Opex_Budget!$E:$E,$B$338,Opex_Budget!$F:$F,$D$338,Opex_Budget!$N:$N,"JPY")*$E$5+SUMIFS(Opex_Budget!$Z:$Z,Opex_Budget!$A:$A,$C$3,Opex_Budget!$E:$E,$B$338,Opex_Budget!$F:$F,$D$338,Opex_Budget!$N:$N,"USD")*$F$5+SUMIFS(Opex_Budget!$Z:$Z,Opex_Budget!$A:$A,$C$3,Opex_Budget!$E:$E,$B$338,Opex_Budget!$F:$F,$D$338,Opex_Budget!$N:$N,"EUR")*$G$5+SUMIFS(Opex_Budget!$Z:$Z,Opex_Budget!$A:$A,$C$3,Opex_Budget!$E:$E,$B$338,Opex_Budget!$F:$F,$D$338,Opex_Budget!$N:$N,"GBP")*$H$5)</f>
        <v/>
      </c>
      <c r="T338" s="32">
        <f>IF($B$338="","",SUMIF($H$7:$S$7,"&lt;="&amp;$C$4,$H338:$S338))</f>
        <v/>
      </c>
      <c r="U338" s="32">
        <f>IF($B$338="","",SUMIF($H$7:$S$7,"&gt;"&amp;$C$4,$H338:$S338))</f>
        <v/>
      </c>
      <c r="V338" s="32">
        <f>IF($B$338="","",SUM($H338:$S338))</f>
        <v/>
      </c>
      <c r="X338" s="22">
        <f>IF($B338="","",IFERROR(INDEX(Cost_Centers!$E:$E,MATCH($B338,Cost_Centers!$A:$A,0)),"(unknown)"))</f>
        <v/>
      </c>
      <c r="Y338" s="22">
        <f>IF($B338="","",IFERROR(INDEX(Cost_Centers!$D:$D,MATCH($B338,Cost_Centers!$A:$A,0)),"(unknown)"))</f>
        <v/>
      </c>
      <c r="Z338" s="22">
        <f>IF(OR($B338="",$G338&lt;&gt;"Variance vs Budget"),"",ABS(N($V338))+ROW()/1000000000)</f>
        <v/>
      </c>
    </row>
    <row r="339">
      <c r="A339" s="13">
        <f>IF(A$338="","",A$338)</f>
        <v/>
      </c>
      <c r="B339" s="13">
        <f>IF(B$338="","",B$338)</f>
        <v/>
      </c>
      <c r="C339" s="13">
        <f>IF(C$338="","",C$338)</f>
        <v/>
      </c>
      <c r="D339" s="13">
        <f>IF(D$338="","",D$338)</f>
        <v/>
      </c>
      <c r="E339" s="13">
        <f>IF(E$338="","",E$338)</f>
        <v/>
      </c>
      <c r="F339" s="13">
        <f>IF(F$338="","",F$338)</f>
        <v/>
      </c>
      <c r="G339" s="7" t="inlineStr">
        <is>
          <t>Actual</t>
        </is>
      </c>
      <c r="H339" s="18">
        <f>IF(OR($B$338="",1&gt;$C$4),"",SUMIFS(Actuals!$G:$G,Actuals!$B:$B,$C$3,Actuals!$C:$C,1,Actuals!$D:$D,$B$338,Actuals!$A:$A,LEFT($D$338,FIND("|",$D$338&amp;"|")-1),Actuals!$E:$E,MID($D$338,FIND("|",$D$338&amp;"|")+1,50),Actuals!$F:$F,"JPY")*$E$5+SUMIFS(Actuals!$G:$G,Actuals!$B:$B,$C$3,Actuals!$C:$C,1,Actuals!$D:$D,$B$338,Actuals!$A:$A,LEFT($D$338,FIND("|",$D$338&amp;"|")-1),Actuals!$E:$E,MID($D$338,FIND("|",$D$338&amp;"|")+1,50),Actuals!$F:$F,"USD")*$F$5+SUMIFS(Actuals!$G:$G,Actuals!$B:$B,$C$3,Actuals!$C:$C,1,Actuals!$D:$D,$B$338,Actuals!$A:$A,LEFT($D$338,FIND("|",$D$338&amp;"|")-1),Actuals!$E:$E,MID($D$338,FIND("|",$D$338&amp;"|")+1,50),Actuals!$F:$F,"EUR")*$G$5+SUMIFS(Actuals!$G:$G,Actuals!$B:$B,$C$3,Actuals!$C:$C,1,Actuals!$D:$D,$B$338,Actuals!$A:$A,LEFT($D$338,FIND("|",$D$338&amp;"|")-1),Actuals!$E:$E,MID($D$338,FIND("|",$D$338&amp;"|")+1,50),Actuals!$F:$F,"GBP")*$H$5)</f>
        <v/>
      </c>
      <c r="I339" s="18">
        <f>IF(OR($B$338="",2&gt;$C$4),"",SUMIFS(Actuals!$G:$G,Actuals!$B:$B,$C$3,Actuals!$C:$C,2,Actuals!$D:$D,$B$338,Actuals!$A:$A,LEFT($D$338,FIND("|",$D$338&amp;"|")-1),Actuals!$E:$E,MID($D$338,FIND("|",$D$338&amp;"|")+1,50),Actuals!$F:$F,"JPY")*$E$5+SUMIFS(Actuals!$G:$G,Actuals!$B:$B,$C$3,Actuals!$C:$C,2,Actuals!$D:$D,$B$338,Actuals!$A:$A,LEFT($D$338,FIND("|",$D$338&amp;"|")-1),Actuals!$E:$E,MID($D$338,FIND("|",$D$338&amp;"|")+1,50),Actuals!$F:$F,"USD")*$F$5+SUMIFS(Actuals!$G:$G,Actuals!$B:$B,$C$3,Actuals!$C:$C,2,Actuals!$D:$D,$B$338,Actuals!$A:$A,LEFT($D$338,FIND("|",$D$338&amp;"|")-1),Actuals!$E:$E,MID($D$338,FIND("|",$D$338&amp;"|")+1,50),Actuals!$F:$F,"EUR")*$G$5+SUMIFS(Actuals!$G:$G,Actuals!$B:$B,$C$3,Actuals!$C:$C,2,Actuals!$D:$D,$B$338,Actuals!$A:$A,LEFT($D$338,FIND("|",$D$338&amp;"|")-1),Actuals!$E:$E,MID($D$338,FIND("|",$D$338&amp;"|")+1,50),Actuals!$F:$F,"GBP")*$H$5)</f>
        <v/>
      </c>
      <c r="J339" s="18">
        <f>IF(OR($B$338="",3&gt;$C$4),"",SUMIFS(Actuals!$G:$G,Actuals!$B:$B,$C$3,Actuals!$C:$C,3,Actuals!$D:$D,$B$338,Actuals!$A:$A,LEFT($D$338,FIND("|",$D$338&amp;"|")-1),Actuals!$E:$E,MID($D$338,FIND("|",$D$338&amp;"|")+1,50),Actuals!$F:$F,"JPY")*$E$5+SUMIFS(Actuals!$G:$G,Actuals!$B:$B,$C$3,Actuals!$C:$C,3,Actuals!$D:$D,$B$338,Actuals!$A:$A,LEFT($D$338,FIND("|",$D$338&amp;"|")-1),Actuals!$E:$E,MID($D$338,FIND("|",$D$338&amp;"|")+1,50),Actuals!$F:$F,"USD")*$F$5+SUMIFS(Actuals!$G:$G,Actuals!$B:$B,$C$3,Actuals!$C:$C,3,Actuals!$D:$D,$B$338,Actuals!$A:$A,LEFT($D$338,FIND("|",$D$338&amp;"|")-1),Actuals!$E:$E,MID($D$338,FIND("|",$D$338&amp;"|")+1,50),Actuals!$F:$F,"EUR")*$G$5+SUMIFS(Actuals!$G:$G,Actuals!$B:$B,$C$3,Actuals!$C:$C,3,Actuals!$D:$D,$B$338,Actuals!$A:$A,LEFT($D$338,FIND("|",$D$338&amp;"|")-1),Actuals!$E:$E,MID($D$338,FIND("|",$D$338&amp;"|")+1,50),Actuals!$F:$F,"GBP")*$H$5)</f>
        <v/>
      </c>
      <c r="K339" s="18">
        <f>IF(OR($B$338="",4&gt;$C$4),"",SUMIFS(Actuals!$G:$G,Actuals!$B:$B,$C$3,Actuals!$C:$C,4,Actuals!$D:$D,$B$338,Actuals!$A:$A,LEFT($D$338,FIND("|",$D$338&amp;"|")-1),Actuals!$E:$E,MID($D$338,FIND("|",$D$338&amp;"|")+1,50),Actuals!$F:$F,"JPY")*$E$5+SUMIFS(Actuals!$G:$G,Actuals!$B:$B,$C$3,Actuals!$C:$C,4,Actuals!$D:$D,$B$338,Actuals!$A:$A,LEFT($D$338,FIND("|",$D$338&amp;"|")-1),Actuals!$E:$E,MID($D$338,FIND("|",$D$338&amp;"|")+1,50),Actuals!$F:$F,"USD")*$F$5+SUMIFS(Actuals!$G:$G,Actuals!$B:$B,$C$3,Actuals!$C:$C,4,Actuals!$D:$D,$B$338,Actuals!$A:$A,LEFT($D$338,FIND("|",$D$338&amp;"|")-1),Actuals!$E:$E,MID($D$338,FIND("|",$D$338&amp;"|")+1,50),Actuals!$F:$F,"EUR")*$G$5+SUMIFS(Actuals!$G:$G,Actuals!$B:$B,$C$3,Actuals!$C:$C,4,Actuals!$D:$D,$B$338,Actuals!$A:$A,LEFT($D$338,FIND("|",$D$338&amp;"|")-1),Actuals!$E:$E,MID($D$338,FIND("|",$D$338&amp;"|")+1,50),Actuals!$F:$F,"GBP")*$H$5)</f>
        <v/>
      </c>
      <c r="L339" s="18">
        <f>IF(OR($B$338="",5&gt;$C$4),"",SUMIFS(Actuals!$G:$G,Actuals!$B:$B,$C$3,Actuals!$C:$C,5,Actuals!$D:$D,$B$338,Actuals!$A:$A,LEFT($D$338,FIND("|",$D$338&amp;"|")-1),Actuals!$E:$E,MID($D$338,FIND("|",$D$338&amp;"|")+1,50),Actuals!$F:$F,"JPY")*$E$5+SUMIFS(Actuals!$G:$G,Actuals!$B:$B,$C$3,Actuals!$C:$C,5,Actuals!$D:$D,$B$338,Actuals!$A:$A,LEFT($D$338,FIND("|",$D$338&amp;"|")-1),Actuals!$E:$E,MID($D$338,FIND("|",$D$338&amp;"|")+1,50),Actuals!$F:$F,"USD")*$F$5+SUMIFS(Actuals!$G:$G,Actuals!$B:$B,$C$3,Actuals!$C:$C,5,Actuals!$D:$D,$B$338,Actuals!$A:$A,LEFT($D$338,FIND("|",$D$338&amp;"|")-1),Actuals!$E:$E,MID($D$338,FIND("|",$D$338&amp;"|")+1,50),Actuals!$F:$F,"EUR")*$G$5+SUMIFS(Actuals!$G:$G,Actuals!$B:$B,$C$3,Actuals!$C:$C,5,Actuals!$D:$D,$B$338,Actuals!$A:$A,LEFT($D$338,FIND("|",$D$338&amp;"|")-1),Actuals!$E:$E,MID($D$338,FIND("|",$D$338&amp;"|")+1,50),Actuals!$F:$F,"GBP")*$H$5)</f>
        <v/>
      </c>
      <c r="M339" s="18">
        <f>IF(OR($B$338="",6&gt;$C$4),"",SUMIFS(Actuals!$G:$G,Actuals!$B:$B,$C$3,Actuals!$C:$C,6,Actuals!$D:$D,$B$338,Actuals!$A:$A,LEFT($D$338,FIND("|",$D$338&amp;"|")-1),Actuals!$E:$E,MID($D$338,FIND("|",$D$338&amp;"|")+1,50),Actuals!$F:$F,"JPY")*$E$5+SUMIFS(Actuals!$G:$G,Actuals!$B:$B,$C$3,Actuals!$C:$C,6,Actuals!$D:$D,$B$338,Actuals!$A:$A,LEFT($D$338,FIND("|",$D$338&amp;"|")-1),Actuals!$E:$E,MID($D$338,FIND("|",$D$338&amp;"|")+1,50),Actuals!$F:$F,"USD")*$F$5+SUMIFS(Actuals!$G:$G,Actuals!$B:$B,$C$3,Actuals!$C:$C,6,Actuals!$D:$D,$B$338,Actuals!$A:$A,LEFT($D$338,FIND("|",$D$338&amp;"|")-1),Actuals!$E:$E,MID($D$338,FIND("|",$D$338&amp;"|")+1,50),Actuals!$F:$F,"EUR")*$G$5+SUMIFS(Actuals!$G:$G,Actuals!$B:$B,$C$3,Actuals!$C:$C,6,Actuals!$D:$D,$B$338,Actuals!$A:$A,LEFT($D$338,FIND("|",$D$338&amp;"|")-1),Actuals!$E:$E,MID($D$338,FIND("|",$D$338&amp;"|")+1,50),Actuals!$F:$F,"GBP")*$H$5)</f>
        <v/>
      </c>
      <c r="N339" s="18">
        <f>IF(OR($B$338="",7&gt;$C$4),"",SUMIFS(Actuals!$G:$G,Actuals!$B:$B,$C$3,Actuals!$C:$C,7,Actuals!$D:$D,$B$338,Actuals!$A:$A,LEFT($D$338,FIND("|",$D$338&amp;"|")-1),Actuals!$E:$E,MID($D$338,FIND("|",$D$338&amp;"|")+1,50),Actuals!$F:$F,"JPY")*$E$5+SUMIFS(Actuals!$G:$G,Actuals!$B:$B,$C$3,Actuals!$C:$C,7,Actuals!$D:$D,$B$338,Actuals!$A:$A,LEFT($D$338,FIND("|",$D$338&amp;"|")-1),Actuals!$E:$E,MID($D$338,FIND("|",$D$338&amp;"|")+1,50),Actuals!$F:$F,"USD")*$F$5+SUMIFS(Actuals!$G:$G,Actuals!$B:$B,$C$3,Actuals!$C:$C,7,Actuals!$D:$D,$B$338,Actuals!$A:$A,LEFT($D$338,FIND("|",$D$338&amp;"|")-1),Actuals!$E:$E,MID($D$338,FIND("|",$D$338&amp;"|")+1,50),Actuals!$F:$F,"EUR")*$G$5+SUMIFS(Actuals!$G:$G,Actuals!$B:$B,$C$3,Actuals!$C:$C,7,Actuals!$D:$D,$B$338,Actuals!$A:$A,LEFT($D$338,FIND("|",$D$338&amp;"|")-1),Actuals!$E:$E,MID($D$338,FIND("|",$D$338&amp;"|")+1,50),Actuals!$F:$F,"GBP")*$H$5)</f>
        <v/>
      </c>
      <c r="O339" s="18">
        <f>IF(OR($B$338="",8&gt;$C$4),"",SUMIFS(Actuals!$G:$G,Actuals!$B:$B,$C$3,Actuals!$C:$C,8,Actuals!$D:$D,$B$338,Actuals!$A:$A,LEFT($D$338,FIND("|",$D$338&amp;"|")-1),Actuals!$E:$E,MID($D$338,FIND("|",$D$338&amp;"|")+1,50),Actuals!$F:$F,"JPY")*$E$5+SUMIFS(Actuals!$G:$G,Actuals!$B:$B,$C$3,Actuals!$C:$C,8,Actuals!$D:$D,$B$338,Actuals!$A:$A,LEFT($D$338,FIND("|",$D$338&amp;"|")-1),Actuals!$E:$E,MID($D$338,FIND("|",$D$338&amp;"|")+1,50),Actuals!$F:$F,"USD")*$F$5+SUMIFS(Actuals!$G:$G,Actuals!$B:$B,$C$3,Actuals!$C:$C,8,Actuals!$D:$D,$B$338,Actuals!$A:$A,LEFT($D$338,FIND("|",$D$338&amp;"|")-1),Actuals!$E:$E,MID($D$338,FIND("|",$D$338&amp;"|")+1,50),Actuals!$F:$F,"EUR")*$G$5+SUMIFS(Actuals!$G:$G,Actuals!$B:$B,$C$3,Actuals!$C:$C,8,Actuals!$D:$D,$B$338,Actuals!$A:$A,LEFT($D$338,FIND("|",$D$338&amp;"|")-1),Actuals!$E:$E,MID($D$338,FIND("|",$D$338&amp;"|")+1,50),Actuals!$F:$F,"GBP")*$H$5)</f>
        <v/>
      </c>
      <c r="P339" s="18">
        <f>IF(OR($B$338="",9&gt;$C$4),"",SUMIFS(Actuals!$G:$G,Actuals!$B:$B,$C$3,Actuals!$C:$C,9,Actuals!$D:$D,$B$338,Actuals!$A:$A,LEFT($D$338,FIND("|",$D$338&amp;"|")-1),Actuals!$E:$E,MID($D$338,FIND("|",$D$338&amp;"|")+1,50),Actuals!$F:$F,"JPY")*$E$5+SUMIFS(Actuals!$G:$G,Actuals!$B:$B,$C$3,Actuals!$C:$C,9,Actuals!$D:$D,$B$338,Actuals!$A:$A,LEFT($D$338,FIND("|",$D$338&amp;"|")-1),Actuals!$E:$E,MID($D$338,FIND("|",$D$338&amp;"|")+1,50),Actuals!$F:$F,"USD")*$F$5+SUMIFS(Actuals!$G:$G,Actuals!$B:$B,$C$3,Actuals!$C:$C,9,Actuals!$D:$D,$B$338,Actuals!$A:$A,LEFT($D$338,FIND("|",$D$338&amp;"|")-1),Actuals!$E:$E,MID($D$338,FIND("|",$D$338&amp;"|")+1,50),Actuals!$F:$F,"EUR")*$G$5+SUMIFS(Actuals!$G:$G,Actuals!$B:$B,$C$3,Actuals!$C:$C,9,Actuals!$D:$D,$B$338,Actuals!$A:$A,LEFT($D$338,FIND("|",$D$338&amp;"|")-1),Actuals!$E:$E,MID($D$338,FIND("|",$D$338&amp;"|")+1,50),Actuals!$F:$F,"GBP")*$H$5)</f>
        <v/>
      </c>
      <c r="Q339" s="18">
        <f>IF(OR($B$338="",10&gt;$C$4),"",SUMIFS(Actuals!$G:$G,Actuals!$B:$B,$C$3,Actuals!$C:$C,10,Actuals!$D:$D,$B$338,Actuals!$A:$A,LEFT($D$338,FIND("|",$D$338&amp;"|")-1),Actuals!$E:$E,MID($D$338,FIND("|",$D$338&amp;"|")+1,50),Actuals!$F:$F,"JPY")*$E$5+SUMIFS(Actuals!$G:$G,Actuals!$B:$B,$C$3,Actuals!$C:$C,10,Actuals!$D:$D,$B$338,Actuals!$A:$A,LEFT($D$338,FIND("|",$D$338&amp;"|")-1),Actuals!$E:$E,MID($D$338,FIND("|",$D$338&amp;"|")+1,50),Actuals!$F:$F,"USD")*$F$5+SUMIFS(Actuals!$G:$G,Actuals!$B:$B,$C$3,Actuals!$C:$C,10,Actuals!$D:$D,$B$338,Actuals!$A:$A,LEFT($D$338,FIND("|",$D$338&amp;"|")-1),Actuals!$E:$E,MID($D$338,FIND("|",$D$338&amp;"|")+1,50),Actuals!$F:$F,"EUR")*$G$5+SUMIFS(Actuals!$G:$G,Actuals!$B:$B,$C$3,Actuals!$C:$C,10,Actuals!$D:$D,$B$338,Actuals!$A:$A,LEFT($D$338,FIND("|",$D$338&amp;"|")-1),Actuals!$E:$E,MID($D$338,FIND("|",$D$338&amp;"|")+1,50),Actuals!$F:$F,"GBP")*$H$5)</f>
        <v/>
      </c>
      <c r="R339" s="18">
        <f>IF(OR($B$338="",11&gt;$C$4),"",SUMIFS(Actuals!$G:$G,Actuals!$B:$B,$C$3,Actuals!$C:$C,11,Actuals!$D:$D,$B$338,Actuals!$A:$A,LEFT($D$338,FIND("|",$D$338&amp;"|")-1),Actuals!$E:$E,MID($D$338,FIND("|",$D$338&amp;"|")+1,50),Actuals!$F:$F,"JPY")*$E$5+SUMIFS(Actuals!$G:$G,Actuals!$B:$B,$C$3,Actuals!$C:$C,11,Actuals!$D:$D,$B$338,Actuals!$A:$A,LEFT($D$338,FIND("|",$D$338&amp;"|")-1),Actuals!$E:$E,MID($D$338,FIND("|",$D$338&amp;"|")+1,50),Actuals!$F:$F,"USD")*$F$5+SUMIFS(Actuals!$G:$G,Actuals!$B:$B,$C$3,Actuals!$C:$C,11,Actuals!$D:$D,$B$338,Actuals!$A:$A,LEFT($D$338,FIND("|",$D$338&amp;"|")-1),Actuals!$E:$E,MID($D$338,FIND("|",$D$338&amp;"|")+1,50),Actuals!$F:$F,"EUR")*$G$5+SUMIFS(Actuals!$G:$G,Actuals!$B:$B,$C$3,Actuals!$C:$C,11,Actuals!$D:$D,$B$338,Actuals!$A:$A,LEFT($D$338,FIND("|",$D$338&amp;"|")-1),Actuals!$E:$E,MID($D$338,FIND("|",$D$338&amp;"|")+1,50),Actuals!$F:$F,"GBP")*$H$5)</f>
        <v/>
      </c>
      <c r="S339" s="18">
        <f>IF(OR($B$338="",12&gt;$C$4),"",SUMIFS(Actuals!$G:$G,Actuals!$B:$B,$C$3,Actuals!$C:$C,12,Actuals!$D:$D,$B$338,Actuals!$A:$A,LEFT($D$338,FIND("|",$D$338&amp;"|")-1),Actuals!$E:$E,MID($D$338,FIND("|",$D$338&amp;"|")+1,50),Actuals!$F:$F,"JPY")*$E$5+SUMIFS(Actuals!$G:$G,Actuals!$B:$B,$C$3,Actuals!$C:$C,12,Actuals!$D:$D,$B$338,Actuals!$A:$A,LEFT($D$338,FIND("|",$D$338&amp;"|")-1),Actuals!$E:$E,MID($D$338,FIND("|",$D$338&amp;"|")+1,50),Actuals!$F:$F,"USD")*$F$5+SUMIFS(Actuals!$G:$G,Actuals!$B:$B,$C$3,Actuals!$C:$C,12,Actuals!$D:$D,$B$338,Actuals!$A:$A,LEFT($D$338,FIND("|",$D$338&amp;"|")-1),Actuals!$E:$E,MID($D$338,FIND("|",$D$338&amp;"|")+1,50),Actuals!$F:$F,"EUR")*$G$5+SUMIFS(Actuals!$G:$G,Actuals!$B:$B,$C$3,Actuals!$C:$C,12,Actuals!$D:$D,$B$338,Actuals!$A:$A,LEFT($D$338,FIND("|",$D$338&amp;"|")-1),Actuals!$E:$E,MID($D$338,FIND("|",$D$338&amp;"|")+1,50),Actuals!$F:$F,"GBP")*$H$5)</f>
        <v/>
      </c>
      <c r="T339" s="18">
        <f>IF($B$338="","",SUMIF($H$7:$S$7,"&lt;="&amp;$C$4,$H339:$S339))</f>
        <v/>
      </c>
      <c r="U339" s="18" t="n"/>
      <c r="V339" s="18" t="n"/>
      <c r="X339" s="22">
        <f>IF($B339="","",IFERROR(INDEX(Cost_Centers!$E:$E,MATCH($B339,Cost_Centers!$A:$A,0)),"(unknown)"))</f>
        <v/>
      </c>
      <c r="Y339" s="22">
        <f>IF($B339="","",IFERROR(INDEX(Cost_Centers!$D:$D,MATCH($B339,Cost_Centers!$A:$A,0)),"(unknown)"))</f>
        <v/>
      </c>
      <c r="Z339" s="22">
        <f>IF(OR($B339="",$G339&lt;&gt;"Variance vs Budget"),"",ABS(N($V339))+ROW()/1000000000)</f>
        <v/>
      </c>
    </row>
    <row r="340">
      <c r="A340" s="13">
        <f>IF(A$338="","",A$338)</f>
        <v/>
      </c>
      <c r="B340" s="13">
        <f>IF(B$338="","",B$338)</f>
        <v/>
      </c>
      <c r="C340" s="13">
        <f>IF(C$338="","",C$338)</f>
        <v/>
      </c>
      <c r="D340" s="13">
        <f>IF(D$338="","",D$338)</f>
        <v/>
      </c>
      <c r="E340" s="13">
        <f>IF(E$338="","",E$338)</f>
        <v/>
      </c>
      <c r="F340" s="13">
        <f>IF(F$338="","",F$338)</f>
        <v/>
      </c>
      <c r="G340" s="6" t="inlineStr">
        <is>
          <t>Variance vs Budget</t>
        </is>
      </c>
      <c r="H340" s="33">
        <f>IF(OR($B$338="",1&gt;$C$4),"",N(H339)-H338)</f>
        <v/>
      </c>
      <c r="I340" s="33">
        <f>IF(OR($B$338="",2&gt;$C$4),"",N(I339)-I338)</f>
        <v/>
      </c>
      <c r="J340" s="33">
        <f>IF(OR($B$338="",3&gt;$C$4),"",N(J339)-J338)</f>
        <v/>
      </c>
      <c r="K340" s="33">
        <f>IF(OR($B$338="",4&gt;$C$4),"",N(K339)-K338)</f>
        <v/>
      </c>
      <c r="L340" s="33">
        <f>IF(OR($B$338="",5&gt;$C$4),"",N(L339)-L338)</f>
        <v/>
      </c>
      <c r="M340" s="33">
        <f>IF(OR($B$338="",6&gt;$C$4),"",N(M339)-M338)</f>
        <v/>
      </c>
      <c r="N340" s="33">
        <f>IF(OR($B$338="",7&gt;$C$4),"",N(N339)-N338)</f>
        <v/>
      </c>
      <c r="O340" s="33">
        <f>IF(OR($B$338="",8&gt;$C$4),"",N(O339)-O338)</f>
        <v/>
      </c>
      <c r="P340" s="33">
        <f>IF(OR($B$338="",9&gt;$C$4),"",N(P339)-P338)</f>
        <v/>
      </c>
      <c r="Q340" s="33">
        <f>IF(OR($B$338="",10&gt;$C$4),"",N(Q339)-Q338)</f>
        <v/>
      </c>
      <c r="R340" s="33">
        <f>IF(OR($B$338="",11&gt;$C$4),"",N(R339)-R338)</f>
        <v/>
      </c>
      <c r="S340" s="33">
        <f>IF(OR($B$338="",12&gt;$C$4),"",N(S339)-S338)</f>
        <v/>
      </c>
      <c r="T340" s="33">
        <f>IF($B$338="","",T339-T338)</f>
        <v/>
      </c>
      <c r="U340" s="33">
        <f>IF($B$338="","",U342-U338)</f>
        <v/>
      </c>
      <c r="V340" s="33">
        <f>IF($B$338="","",V342-V338)</f>
        <v/>
      </c>
      <c r="X340" s="22">
        <f>IF($B340="","",IFERROR(INDEX(Cost_Centers!$E:$E,MATCH($B340,Cost_Centers!$A:$A,0)),"(unknown)"))</f>
        <v/>
      </c>
      <c r="Y340" s="22">
        <f>IF($B340="","",IFERROR(INDEX(Cost_Centers!$D:$D,MATCH($B340,Cost_Centers!$A:$A,0)),"(unknown)"))</f>
        <v/>
      </c>
      <c r="Z340" s="22">
        <f>IF(OR($B340="",$G340&lt;&gt;"Variance vs Budget"),"",ABS(N($V340))+ROW()/1000000000)</f>
        <v/>
      </c>
    </row>
    <row r="341">
      <c r="A341" s="13">
        <f>IF(A$338="","",A$338)</f>
        <v/>
      </c>
      <c r="B341" s="13">
        <f>IF(B$338="","",B$338)</f>
        <v/>
      </c>
      <c r="C341" s="13">
        <f>IF(C$338="","",C$338)</f>
        <v/>
      </c>
      <c r="D341" s="13">
        <f>IF(D$338="","",D$338)</f>
        <v/>
      </c>
      <c r="E341" s="13">
        <f>IF(E$338="","",E$338)</f>
        <v/>
      </c>
      <c r="F341" s="13">
        <f>IF(F$338="","",F$338)</f>
        <v/>
      </c>
      <c r="G341" s="7" t="inlineStr">
        <is>
          <t>Forecast (input)</t>
        </is>
      </c>
      <c r="H341" s="34" t="n"/>
      <c r="I341" s="34" t="n"/>
      <c r="J341" s="34" t="n"/>
      <c r="K341" s="34" t="n"/>
      <c r="L341" s="34" t="n"/>
      <c r="M341" s="34" t="n"/>
      <c r="N341" s="34" t="n"/>
      <c r="O341" s="34" t="n"/>
      <c r="P341" s="34" t="n"/>
      <c r="Q341" s="34" t="n"/>
      <c r="R341" s="34" t="n"/>
      <c r="S341" s="34" t="n"/>
      <c r="T341" s="18" t="n"/>
      <c r="U341" s="18" t="n"/>
      <c r="V341" s="18" t="n"/>
      <c r="X341" s="22">
        <f>IF($B341="","",IFERROR(INDEX(Cost_Centers!$E:$E,MATCH($B341,Cost_Centers!$A:$A,0)),"(unknown)"))</f>
        <v/>
      </c>
      <c r="Y341" s="22">
        <f>IF($B341="","",IFERROR(INDEX(Cost_Centers!$D:$D,MATCH($B341,Cost_Centers!$A:$A,0)),"(unknown)"))</f>
        <v/>
      </c>
      <c r="Z341" s="22">
        <f>IF(OR($B341="",$G341&lt;&gt;"Variance vs Budget"),"",ABS(N($V341))+ROW()/1000000000)</f>
        <v/>
      </c>
    </row>
    <row r="342">
      <c r="A342" s="13">
        <f>IF(A$338="","",A$338)</f>
        <v/>
      </c>
      <c r="B342" s="13">
        <f>IF(B$338="","",B$338)</f>
        <v/>
      </c>
      <c r="C342" s="13">
        <f>IF(C$338="","",C$338)</f>
        <v/>
      </c>
      <c r="D342" s="13">
        <f>IF(D$338="","",D$338)</f>
        <v/>
      </c>
      <c r="E342" s="13">
        <f>IF(E$338="","",E$338)</f>
        <v/>
      </c>
      <c r="F342" s="13">
        <f>IF(F$338="","",F$338)</f>
        <v/>
      </c>
      <c r="G342" s="35" t="inlineStr">
        <is>
          <t>Actual + Forecast</t>
        </is>
      </c>
      <c r="H342" s="18">
        <f>IF($B$338="","",IF(1&lt;=$C$4,N(H339),IF(H341="",H338,H341)))</f>
        <v/>
      </c>
      <c r="I342" s="18">
        <f>IF($B$338="","",IF(2&lt;=$C$4,N(I339),IF(I341="",I338,I341)))</f>
        <v/>
      </c>
      <c r="J342" s="18">
        <f>IF($B$338="","",IF(3&lt;=$C$4,N(J339),IF(J341="",J338,J341)))</f>
        <v/>
      </c>
      <c r="K342" s="18">
        <f>IF($B$338="","",IF(4&lt;=$C$4,N(K339),IF(K341="",K338,K341)))</f>
        <v/>
      </c>
      <c r="L342" s="18">
        <f>IF($B$338="","",IF(5&lt;=$C$4,N(L339),IF(L341="",L338,L341)))</f>
        <v/>
      </c>
      <c r="M342" s="18">
        <f>IF($B$338="","",IF(6&lt;=$C$4,N(M339),IF(M341="",M338,M341)))</f>
        <v/>
      </c>
      <c r="N342" s="18">
        <f>IF($B$338="","",IF(7&lt;=$C$4,N(N339),IF(N341="",N338,N341)))</f>
        <v/>
      </c>
      <c r="O342" s="18">
        <f>IF($B$338="","",IF(8&lt;=$C$4,N(O339),IF(O341="",O338,O341)))</f>
        <v/>
      </c>
      <c r="P342" s="18">
        <f>IF($B$338="","",IF(9&lt;=$C$4,N(P339),IF(P341="",P338,P341)))</f>
        <v/>
      </c>
      <c r="Q342" s="18">
        <f>IF($B$338="","",IF(10&lt;=$C$4,N(Q339),IF(Q341="",Q338,Q341)))</f>
        <v/>
      </c>
      <c r="R342" s="18">
        <f>IF($B$338="","",IF(11&lt;=$C$4,N(R339),IF(R341="",R338,R341)))</f>
        <v/>
      </c>
      <c r="S342" s="18">
        <f>IF($B$338="","",IF(12&lt;=$C$4,N(S339),IF(S341="",S338,S341)))</f>
        <v/>
      </c>
      <c r="T342" s="18">
        <f>IF($B$338="","",SUMIF($H$7:$S$7,"&lt;="&amp;$C$4,$H342:$S342))</f>
        <v/>
      </c>
      <c r="U342" s="18">
        <f>IF($B$338="","",SUMIF($H$7:$S$7,"&gt;"&amp;$C$4,$H342:$S342))</f>
        <v/>
      </c>
      <c r="V342" s="18">
        <f>IF($B$338="","",SUM($H342:$S342))</f>
        <v/>
      </c>
      <c r="X342" s="22">
        <f>IF($B342="","",IFERROR(INDEX(Cost_Centers!$E:$E,MATCH($B342,Cost_Centers!$A:$A,0)),"(unknown)"))</f>
        <v/>
      </c>
      <c r="Y342" s="22">
        <f>IF($B342="","",IFERROR(INDEX(Cost_Centers!$D:$D,MATCH($B342,Cost_Centers!$A:$A,0)),"(unknown)"))</f>
        <v/>
      </c>
      <c r="Z342" s="22">
        <f>IF(OR($B342="",$G342&lt;&gt;"Variance vs Budget"),"",ABS(N($V342))+ROW()/1000000000)</f>
        <v/>
      </c>
    </row>
    <row r="343">
      <c r="A343" s="13">
        <f>IF(A$338="","",A$338)</f>
        <v/>
      </c>
      <c r="B343" s="13">
        <f>IF(B$338="","",B$338)</f>
        <v/>
      </c>
      <c r="C343" s="13">
        <f>IF(C$338="","",C$338)</f>
        <v/>
      </c>
      <c r="D343" s="13">
        <f>IF(D$338="","",D$338)</f>
        <v/>
      </c>
      <c r="E343" s="13">
        <f>IF(E$338="","",E$338)</f>
        <v/>
      </c>
      <c r="F343" s="13">
        <f>IF(F$338="","",F$338)</f>
        <v/>
      </c>
      <c r="G343" s="36" t="inlineStr">
        <is>
          <t>Prior Month Forecast</t>
        </is>
      </c>
      <c r="H343" s="37">
        <f>IF($B$338="","",IF(COUNTIFS(Prior_Forecast!$A:$A,$B$338,Prior_Forecast!$B:$B,$D$338)&gt;0,SUMIFS(Prior_Forecast!$C:$C,Prior_Forecast!$A:$A,$B$338,Prior_Forecast!$B:$B,$D$338),""))</f>
        <v/>
      </c>
      <c r="I343" s="37">
        <f>IF($B$338="","",IF(COUNTIFS(Prior_Forecast!$A:$A,$B$338,Prior_Forecast!$B:$B,$D$338)&gt;0,SUMIFS(Prior_Forecast!$D:$D,Prior_Forecast!$A:$A,$B$338,Prior_Forecast!$B:$B,$D$338),""))</f>
        <v/>
      </c>
      <c r="J343" s="37">
        <f>IF($B$338="","",IF(COUNTIFS(Prior_Forecast!$A:$A,$B$338,Prior_Forecast!$B:$B,$D$338)&gt;0,SUMIFS(Prior_Forecast!$E:$E,Prior_Forecast!$A:$A,$B$338,Prior_Forecast!$B:$B,$D$338),""))</f>
        <v/>
      </c>
      <c r="K343" s="37">
        <f>IF($B$338="","",IF(COUNTIFS(Prior_Forecast!$A:$A,$B$338,Prior_Forecast!$B:$B,$D$338)&gt;0,SUMIFS(Prior_Forecast!$F:$F,Prior_Forecast!$A:$A,$B$338,Prior_Forecast!$B:$B,$D$338),""))</f>
        <v/>
      </c>
      <c r="L343" s="37">
        <f>IF($B$338="","",IF(COUNTIFS(Prior_Forecast!$A:$A,$B$338,Prior_Forecast!$B:$B,$D$338)&gt;0,SUMIFS(Prior_Forecast!$G:$G,Prior_Forecast!$A:$A,$B$338,Prior_Forecast!$B:$B,$D$338),""))</f>
        <v/>
      </c>
      <c r="M343" s="37">
        <f>IF($B$338="","",IF(COUNTIFS(Prior_Forecast!$A:$A,$B$338,Prior_Forecast!$B:$B,$D$338)&gt;0,SUMIFS(Prior_Forecast!$H:$H,Prior_Forecast!$A:$A,$B$338,Prior_Forecast!$B:$B,$D$338),""))</f>
        <v/>
      </c>
      <c r="N343" s="37">
        <f>IF($B$338="","",IF(COUNTIFS(Prior_Forecast!$A:$A,$B$338,Prior_Forecast!$B:$B,$D$338)&gt;0,SUMIFS(Prior_Forecast!$I:$I,Prior_Forecast!$A:$A,$B$338,Prior_Forecast!$B:$B,$D$338),""))</f>
        <v/>
      </c>
      <c r="O343" s="37">
        <f>IF($B$338="","",IF(COUNTIFS(Prior_Forecast!$A:$A,$B$338,Prior_Forecast!$B:$B,$D$338)&gt;0,SUMIFS(Prior_Forecast!$J:$J,Prior_Forecast!$A:$A,$B$338,Prior_Forecast!$B:$B,$D$338),""))</f>
        <v/>
      </c>
      <c r="P343" s="37">
        <f>IF($B$338="","",IF(COUNTIFS(Prior_Forecast!$A:$A,$B$338,Prior_Forecast!$B:$B,$D$338)&gt;0,SUMIFS(Prior_Forecast!$K:$K,Prior_Forecast!$A:$A,$B$338,Prior_Forecast!$B:$B,$D$338),""))</f>
        <v/>
      </c>
      <c r="Q343" s="37">
        <f>IF($B$338="","",IF(COUNTIFS(Prior_Forecast!$A:$A,$B$338,Prior_Forecast!$B:$B,$D$338)&gt;0,SUMIFS(Prior_Forecast!$L:$L,Prior_Forecast!$A:$A,$B$338,Prior_Forecast!$B:$B,$D$338),""))</f>
        <v/>
      </c>
      <c r="R343" s="37">
        <f>IF($B$338="","",IF(COUNTIFS(Prior_Forecast!$A:$A,$B$338,Prior_Forecast!$B:$B,$D$338)&gt;0,SUMIFS(Prior_Forecast!$M:$M,Prior_Forecast!$A:$A,$B$338,Prior_Forecast!$B:$B,$D$338),""))</f>
        <v/>
      </c>
      <c r="S343" s="37">
        <f>IF($B$338="","",IF(COUNTIFS(Prior_Forecast!$A:$A,$B$338,Prior_Forecast!$B:$B,$D$338)&gt;0,SUMIFS(Prior_Forecast!$N:$N,Prior_Forecast!$A:$A,$B$338,Prior_Forecast!$B:$B,$D$338),""))</f>
        <v/>
      </c>
      <c r="T343" s="37">
        <f>IF($B$338="","",IF(COUNTIFS(Prior_Forecast!$A:$A,$B$338,Prior_Forecast!$B:$B,$D$338)&gt;0,SUMIFS(Prior_Forecast!$O:$O,Prior_Forecast!$A:$A,$B$338,Prior_Forecast!$B:$B,$D$338),""))</f>
        <v/>
      </c>
      <c r="U343" s="37">
        <f>IF($B$338="","",IF(COUNTIFS(Prior_Forecast!$A:$A,$B$338,Prior_Forecast!$B:$B,$D$338)&gt;0,SUMIFS(Prior_Forecast!$P:$P,Prior_Forecast!$A:$A,$B$338,Prior_Forecast!$B:$B,$D$338),""))</f>
        <v/>
      </c>
      <c r="V343" s="37">
        <f>IF($B$338="","",IF(COUNTIFS(Prior_Forecast!$A:$A,$B$338,Prior_Forecast!$B:$B,$D$338)&gt;0,SUMIFS(Prior_Forecast!$Q:$Q,Prior_Forecast!$A:$A,$B$338,Prior_Forecast!$B:$B,$D$338),""))</f>
        <v/>
      </c>
      <c r="X343" s="22">
        <f>IF($B343="","",IFERROR(INDEX(Cost_Centers!$E:$E,MATCH($B343,Cost_Centers!$A:$A,0)),"(unknown)"))</f>
        <v/>
      </c>
      <c r="Y343" s="22">
        <f>IF($B343="","",IFERROR(INDEX(Cost_Centers!$D:$D,MATCH($B343,Cost_Centers!$A:$A,0)),"(unknown)"))</f>
        <v/>
      </c>
      <c r="Z343" s="22">
        <f>IF(OR($B343="",$G343&lt;&gt;"Variance vs Budget"),"",ABS(N($V343))+ROW()/1000000000)</f>
        <v/>
      </c>
    </row>
    <row r="344">
      <c r="A344" s="13">
        <f>IF(A$338="","",A$338)</f>
        <v/>
      </c>
      <c r="B344" s="13">
        <f>IF(B$338="","",B$338)</f>
        <v/>
      </c>
      <c r="C344" s="13">
        <f>IF(C$338="","",C$338)</f>
        <v/>
      </c>
      <c r="D344" s="13">
        <f>IF(D$338="","",D$338)</f>
        <v/>
      </c>
      <c r="E344" s="13">
        <f>IF(E$338="","",E$338)</f>
        <v/>
      </c>
      <c r="F344" s="13">
        <f>IF(F$338="","",F$338)</f>
        <v/>
      </c>
      <c r="G344" s="6" t="inlineStr">
        <is>
          <t>Variance vs Prior Month</t>
        </is>
      </c>
      <c r="H344" s="33">
        <f>IF(OR($B$338="",H343=""),"",H342-H343)</f>
        <v/>
      </c>
      <c r="I344" s="33">
        <f>IF(OR($B$338="",I343=""),"",I342-I343)</f>
        <v/>
      </c>
      <c r="J344" s="33">
        <f>IF(OR($B$338="",J343=""),"",J342-J343)</f>
        <v/>
      </c>
      <c r="K344" s="33">
        <f>IF(OR($B$338="",K343=""),"",K342-K343)</f>
        <v/>
      </c>
      <c r="L344" s="33">
        <f>IF(OR($B$338="",L343=""),"",L342-L343)</f>
        <v/>
      </c>
      <c r="M344" s="33">
        <f>IF(OR($B$338="",M343=""),"",M342-M343)</f>
        <v/>
      </c>
      <c r="N344" s="33">
        <f>IF(OR($B$338="",N343=""),"",N342-N343)</f>
        <v/>
      </c>
      <c r="O344" s="33">
        <f>IF(OR($B$338="",O343=""),"",O342-O343)</f>
        <v/>
      </c>
      <c r="P344" s="33">
        <f>IF(OR($B$338="",P343=""),"",P342-P343)</f>
        <v/>
      </c>
      <c r="Q344" s="33">
        <f>IF(OR($B$338="",Q343=""),"",Q342-Q343)</f>
        <v/>
      </c>
      <c r="R344" s="33">
        <f>IF(OR($B$338="",R343=""),"",R342-R343)</f>
        <v/>
      </c>
      <c r="S344" s="33">
        <f>IF(OR($B$338="",S343=""),"",S342-S343)</f>
        <v/>
      </c>
      <c r="T344" s="33">
        <f>IF(OR($B$338="",T343=""),"",T342-T343)</f>
        <v/>
      </c>
      <c r="U344" s="33">
        <f>IF(OR($B$338="",U343=""),"",U342-U343)</f>
        <v/>
      </c>
      <c r="V344" s="33">
        <f>IF(OR($B$338="",V343=""),"",V342-V343)</f>
        <v/>
      </c>
      <c r="X344" s="22">
        <f>IF($B344="","",IFERROR(INDEX(Cost_Centers!$E:$E,MATCH($B344,Cost_Centers!$A:$A,0)),"(unknown)"))</f>
        <v/>
      </c>
      <c r="Y344" s="22">
        <f>IF($B344="","",IFERROR(INDEX(Cost_Centers!$D:$D,MATCH($B344,Cost_Centers!$A:$A,0)),"(unknown)"))</f>
        <v/>
      </c>
      <c r="Z344" s="22">
        <f>IF(OR($B344="",$G344&lt;&gt;"Variance vs Budget"),"",ABS(N($V344))+ROW()/1000000000)</f>
        <v/>
      </c>
    </row>
    <row r="345" ht="45" customHeight="1">
      <c r="A345" s="13">
        <f>IF(A$338="","",A$338)</f>
        <v/>
      </c>
      <c r="B345" s="13">
        <f>IF(B$338="","",B$338)</f>
        <v/>
      </c>
      <c r="C345" s="13">
        <f>IF(C$338="","",C$338)</f>
        <v/>
      </c>
      <c r="D345" s="13">
        <f>IF(D$338="","",D$338)</f>
        <v/>
      </c>
      <c r="E345" s="13">
        <f>IF(E$338="","",E$338)</f>
        <v/>
      </c>
      <c r="F345" s="13">
        <f>IF(F$338="","",F$338)</f>
        <v/>
      </c>
      <c r="G345" s="7" t="inlineStr">
        <is>
          <t>Rationale</t>
        </is>
      </c>
      <c r="H345" s="38" t="n"/>
      <c r="I345" s="38" t="n"/>
      <c r="J345" s="38" t="n"/>
      <c r="K345" s="38" t="n"/>
      <c r="L345" s="38" t="n"/>
      <c r="M345" s="38" t="n"/>
      <c r="N345" s="38" t="n"/>
      <c r="O345" s="38" t="n"/>
      <c r="P345" s="38" t="n"/>
      <c r="Q345" s="38" t="n"/>
      <c r="R345" s="38" t="n"/>
      <c r="S345" s="38" t="n"/>
      <c r="T345" s="38" t="n"/>
      <c r="U345" s="38" t="n"/>
      <c r="V345" s="7" t="n"/>
      <c r="X345" s="22">
        <f>IF($B345="","",IFERROR(INDEX(Cost_Centers!$E:$E,MATCH($B345,Cost_Centers!$A:$A,0)),"(unknown)"))</f>
        <v/>
      </c>
      <c r="Y345" s="22">
        <f>IF($B345="","",IFERROR(INDEX(Cost_Centers!$D:$D,MATCH($B345,Cost_Centers!$A:$A,0)),"(unknown)"))</f>
        <v/>
      </c>
      <c r="Z345" s="22">
        <f>IF(OR($B345="",$G345&lt;&gt;"Variance vs Budget"),"",ABS(N($V345))+ROW()/1000000000)</f>
        <v/>
      </c>
    </row>
    <row r="346">
      <c r="A346" s="30">
        <f>IF($D$346="","",LEFT($D$346,FIND("|",$D$346&amp;"|")-1))</f>
        <v/>
      </c>
      <c r="B346" s="31" t="n"/>
      <c r="C346" s="30">
        <f>IF($B$346="","",IFERROR(INDEX(Cost_Centers!$B:$B,MATCH($B$346,Cost_Centers!$A:$A,0)),"(not in master)"))</f>
        <v/>
      </c>
      <c r="D346" s="31" t="n"/>
      <c r="E346" s="30">
        <f>IF($D$346="","",IFERROR(INDEX(Accounts!$D:$D,MATCH($D$346,Accounts!$A:$A,0)),"(not in master)"))</f>
        <v/>
      </c>
      <c r="F346" s="31" t="n"/>
      <c r="G346" s="30" t="inlineStr">
        <is>
          <t>Budget</t>
        </is>
      </c>
      <c r="H346" s="32">
        <f>IF($B$346="","",SUMIFS(Opex_Budget!$O:$O,Opex_Budget!$A:$A,$C$3,Opex_Budget!$E:$E,$B$346,Opex_Budget!$F:$F,$D$346,Opex_Budget!$N:$N,"JPY")*$E$5+SUMIFS(Opex_Budget!$O:$O,Opex_Budget!$A:$A,$C$3,Opex_Budget!$E:$E,$B$346,Opex_Budget!$F:$F,$D$346,Opex_Budget!$N:$N,"USD")*$F$5+SUMIFS(Opex_Budget!$O:$O,Opex_Budget!$A:$A,$C$3,Opex_Budget!$E:$E,$B$346,Opex_Budget!$F:$F,$D$346,Opex_Budget!$N:$N,"EUR")*$G$5+SUMIFS(Opex_Budget!$O:$O,Opex_Budget!$A:$A,$C$3,Opex_Budget!$E:$E,$B$346,Opex_Budget!$F:$F,$D$346,Opex_Budget!$N:$N,"GBP")*$H$5)</f>
        <v/>
      </c>
      <c r="I346" s="32">
        <f>IF($B$346="","",SUMIFS(Opex_Budget!$P:$P,Opex_Budget!$A:$A,$C$3,Opex_Budget!$E:$E,$B$346,Opex_Budget!$F:$F,$D$346,Opex_Budget!$N:$N,"JPY")*$E$5+SUMIFS(Opex_Budget!$P:$P,Opex_Budget!$A:$A,$C$3,Opex_Budget!$E:$E,$B$346,Opex_Budget!$F:$F,$D$346,Opex_Budget!$N:$N,"USD")*$F$5+SUMIFS(Opex_Budget!$P:$P,Opex_Budget!$A:$A,$C$3,Opex_Budget!$E:$E,$B$346,Opex_Budget!$F:$F,$D$346,Opex_Budget!$N:$N,"EUR")*$G$5+SUMIFS(Opex_Budget!$P:$P,Opex_Budget!$A:$A,$C$3,Opex_Budget!$E:$E,$B$346,Opex_Budget!$F:$F,$D$346,Opex_Budget!$N:$N,"GBP")*$H$5)</f>
        <v/>
      </c>
      <c r="J346" s="32">
        <f>IF($B$346="","",SUMIFS(Opex_Budget!$Q:$Q,Opex_Budget!$A:$A,$C$3,Opex_Budget!$E:$E,$B$346,Opex_Budget!$F:$F,$D$346,Opex_Budget!$N:$N,"JPY")*$E$5+SUMIFS(Opex_Budget!$Q:$Q,Opex_Budget!$A:$A,$C$3,Opex_Budget!$E:$E,$B$346,Opex_Budget!$F:$F,$D$346,Opex_Budget!$N:$N,"USD")*$F$5+SUMIFS(Opex_Budget!$Q:$Q,Opex_Budget!$A:$A,$C$3,Opex_Budget!$E:$E,$B$346,Opex_Budget!$F:$F,$D$346,Opex_Budget!$N:$N,"EUR")*$G$5+SUMIFS(Opex_Budget!$Q:$Q,Opex_Budget!$A:$A,$C$3,Opex_Budget!$E:$E,$B$346,Opex_Budget!$F:$F,$D$346,Opex_Budget!$N:$N,"GBP")*$H$5)</f>
        <v/>
      </c>
      <c r="K346" s="32">
        <f>IF($B$346="","",SUMIFS(Opex_Budget!$R:$R,Opex_Budget!$A:$A,$C$3,Opex_Budget!$E:$E,$B$346,Opex_Budget!$F:$F,$D$346,Opex_Budget!$N:$N,"JPY")*$E$5+SUMIFS(Opex_Budget!$R:$R,Opex_Budget!$A:$A,$C$3,Opex_Budget!$E:$E,$B$346,Opex_Budget!$F:$F,$D$346,Opex_Budget!$N:$N,"USD")*$F$5+SUMIFS(Opex_Budget!$R:$R,Opex_Budget!$A:$A,$C$3,Opex_Budget!$E:$E,$B$346,Opex_Budget!$F:$F,$D$346,Opex_Budget!$N:$N,"EUR")*$G$5+SUMIFS(Opex_Budget!$R:$R,Opex_Budget!$A:$A,$C$3,Opex_Budget!$E:$E,$B$346,Opex_Budget!$F:$F,$D$346,Opex_Budget!$N:$N,"GBP")*$H$5)</f>
        <v/>
      </c>
      <c r="L346" s="32">
        <f>IF($B$346="","",SUMIFS(Opex_Budget!$S:$S,Opex_Budget!$A:$A,$C$3,Opex_Budget!$E:$E,$B$346,Opex_Budget!$F:$F,$D$346,Opex_Budget!$N:$N,"JPY")*$E$5+SUMIFS(Opex_Budget!$S:$S,Opex_Budget!$A:$A,$C$3,Opex_Budget!$E:$E,$B$346,Opex_Budget!$F:$F,$D$346,Opex_Budget!$N:$N,"USD")*$F$5+SUMIFS(Opex_Budget!$S:$S,Opex_Budget!$A:$A,$C$3,Opex_Budget!$E:$E,$B$346,Opex_Budget!$F:$F,$D$346,Opex_Budget!$N:$N,"EUR")*$G$5+SUMIFS(Opex_Budget!$S:$S,Opex_Budget!$A:$A,$C$3,Opex_Budget!$E:$E,$B$346,Opex_Budget!$F:$F,$D$346,Opex_Budget!$N:$N,"GBP")*$H$5)</f>
        <v/>
      </c>
      <c r="M346" s="32">
        <f>IF($B$346="","",SUMIFS(Opex_Budget!$T:$T,Opex_Budget!$A:$A,$C$3,Opex_Budget!$E:$E,$B$346,Opex_Budget!$F:$F,$D$346,Opex_Budget!$N:$N,"JPY")*$E$5+SUMIFS(Opex_Budget!$T:$T,Opex_Budget!$A:$A,$C$3,Opex_Budget!$E:$E,$B$346,Opex_Budget!$F:$F,$D$346,Opex_Budget!$N:$N,"USD")*$F$5+SUMIFS(Opex_Budget!$T:$T,Opex_Budget!$A:$A,$C$3,Opex_Budget!$E:$E,$B$346,Opex_Budget!$F:$F,$D$346,Opex_Budget!$N:$N,"EUR")*$G$5+SUMIFS(Opex_Budget!$T:$T,Opex_Budget!$A:$A,$C$3,Opex_Budget!$E:$E,$B$346,Opex_Budget!$F:$F,$D$346,Opex_Budget!$N:$N,"GBP")*$H$5)</f>
        <v/>
      </c>
      <c r="N346" s="32">
        <f>IF($B$346="","",SUMIFS(Opex_Budget!$U:$U,Opex_Budget!$A:$A,$C$3,Opex_Budget!$E:$E,$B$346,Opex_Budget!$F:$F,$D$346,Opex_Budget!$N:$N,"JPY")*$E$5+SUMIFS(Opex_Budget!$U:$U,Opex_Budget!$A:$A,$C$3,Opex_Budget!$E:$E,$B$346,Opex_Budget!$F:$F,$D$346,Opex_Budget!$N:$N,"USD")*$F$5+SUMIFS(Opex_Budget!$U:$U,Opex_Budget!$A:$A,$C$3,Opex_Budget!$E:$E,$B$346,Opex_Budget!$F:$F,$D$346,Opex_Budget!$N:$N,"EUR")*$G$5+SUMIFS(Opex_Budget!$U:$U,Opex_Budget!$A:$A,$C$3,Opex_Budget!$E:$E,$B$346,Opex_Budget!$F:$F,$D$346,Opex_Budget!$N:$N,"GBP")*$H$5)</f>
        <v/>
      </c>
      <c r="O346" s="32">
        <f>IF($B$346="","",SUMIFS(Opex_Budget!$V:$V,Opex_Budget!$A:$A,$C$3,Opex_Budget!$E:$E,$B$346,Opex_Budget!$F:$F,$D$346,Opex_Budget!$N:$N,"JPY")*$E$5+SUMIFS(Opex_Budget!$V:$V,Opex_Budget!$A:$A,$C$3,Opex_Budget!$E:$E,$B$346,Opex_Budget!$F:$F,$D$346,Opex_Budget!$N:$N,"USD")*$F$5+SUMIFS(Opex_Budget!$V:$V,Opex_Budget!$A:$A,$C$3,Opex_Budget!$E:$E,$B$346,Opex_Budget!$F:$F,$D$346,Opex_Budget!$N:$N,"EUR")*$G$5+SUMIFS(Opex_Budget!$V:$V,Opex_Budget!$A:$A,$C$3,Opex_Budget!$E:$E,$B$346,Opex_Budget!$F:$F,$D$346,Opex_Budget!$N:$N,"GBP")*$H$5)</f>
        <v/>
      </c>
      <c r="P346" s="32">
        <f>IF($B$346="","",SUMIFS(Opex_Budget!$W:$W,Opex_Budget!$A:$A,$C$3,Opex_Budget!$E:$E,$B$346,Opex_Budget!$F:$F,$D$346,Opex_Budget!$N:$N,"JPY")*$E$5+SUMIFS(Opex_Budget!$W:$W,Opex_Budget!$A:$A,$C$3,Opex_Budget!$E:$E,$B$346,Opex_Budget!$F:$F,$D$346,Opex_Budget!$N:$N,"USD")*$F$5+SUMIFS(Opex_Budget!$W:$W,Opex_Budget!$A:$A,$C$3,Opex_Budget!$E:$E,$B$346,Opex_Budget!$F:$F,$D$346,Opex_Budget!$N:$N,"EUR")*$G$5+SUMIFS(Opex_Budget!$W:$W,Opex_Budget!$A:$A,$C$3,Opex_Budget!$E:$E,$B$346,Opex_Budget!$F:$F,$D$346,Opex_Budget!$N:$N,"GBP")*$H$5)</f>
        <v/>
      </c>
      <c r="Q346" s="32">
        <f>IF($B$346="","",SUMIFS(Opex_Budget!$X:$X,Opex_Budget!$A:$A,$C$3,Opex_Budget!$E:$E,$B$346,Opex_Budget!$F:$F,$D$346,Opex_Budget!$N:$N,"JPY")*$E$5+SUMIFS(Opex_Budget!$X:$X,Opex_Budget!$A:$A,$C$3,Opex_Budget!$E:$E,$B$346,Opex_Budget!$F:$F,$D$346,Opex_Budget!$N:$N,"USD")*$F$5+SUMIFS(Opex_Budget!$X:$X,Opex_Budget!$A:$A,$C$3,Opex_Budget!$E:$E,$B$346,Opex_Budget!$F:$F,$D$346,Opex_Budget!$N:$N,"EUR")*$G$5+SUMIFS(Opex_Budget!$X:$X,Opex_Budget!$A:$A,$C$3,Opex_Budget!$E:$E,$B$346,Opex_Budget!$F:$F,$D$346,Opex_Budget!$N:$N,"GBP")*$H$5)</f>
        <v/>
      </c>
      <c r="R346" s="32">
        <f>IF($B$346="","",SUMIFS(Opex_Budget!$Y:$Y,Opex_Budget!$A:$A,$C$3,Opex_Budget!$E:$E,$B$346,Opex_Budget!$F:$F,$D$346,Opex_Budget!$N:$N,"JPY")*$E$5+SUMIFS(Opex_Budget!$Y:$Y,Opex_Budget!$A:$A,$C$3,Opex_Budget!$E:$E,$B$346,Opex_Budget!$F:$F,$D$346,Opex_Budget!$N:$N,"USD")*$F$5+SUMIFS(Opex_Budget!$Y:$Y,Opex_Budget!$A:$A,$C$3,Opex_Budget!$E:$E,$B$346,Opex_Budget!$F:$F,$D$346,Opex_Budget!$N:$N,"EUR")*$G$5+SUMIFS(Opex_Budget!$Y:$Y,Opex_Budget!$A:$A,$C$3,Opex_Budget!$E:$E,$B$346,Opex_Budget!$F:$F,$D$346,Opex_Budget!$N:$N,"GBP")*$H$5)</f>
        <v/>
      </c>
      <c r="S346" s="32">
        <f>IF($B$346="","",SUMIFS(Opex_Budget!$Z:$Z,Opex_Budget!$A:$A,$C$3,Opex_Budget!$E:$E,$B$346,Opex_Budget!$F:$F,$D$346,Opex_Budget!$N:$N,"JPY")*$E$5+SUMIFS(Opex_Budget!$Z:$Z,Opex_Budget!$A:$A,$C$3,Opex_Budget!$E:$E,$B$346,Opex_Budget!$F:$F,$D$346,Opex_Budget!$N:$N,"USD")*$F$5+SUMIFS(Opex_Budget!$Z:$Z,Opex_Budget!$A:$A,$C$3,Opex_Budget!$E:$E,$B$346,Opex_Budget!$F:$F,$D$346,Opex_Budget!$N:$N,"EUR")*$G$5+SUMIFS(Opex_Budget!$Z:$Z,Opex_Budget!$A:$A,$C$3,Opex_Budget!$E:$E,$B$346,Opex_Budget!$F:$F,$D$346,Opex_Budget!$N:$N,"GBP")*$H$5)</f>
        <v/>
      </c>
      <c r="T346" s="32">
        <f>IF($B$346="","",SUMIF($H$7:$S$7,"&lt;="&amp;$C$4,$H346:$S346))</f>
        <v/>
      </c>
      <c r="U346" s="32">
        <f>IF($B$346="","",SUMIF($H$7:$S$7,"&gt;"&amp;$C$4,$H346:$S346))</f>
        <v/>
      </c>
      <c r="V346" s="32">
        <f>IF($B$346="","",SUM($H346:$S346))</f>
        <v/>
      </c>
      <c r="X346" s="22">
        <f>IF($B346="","",IFERROR(INDEX(Cost_Centers!$E:$E,MATCH($B346,Cost_Centers!$A:$A,0)),"(unknown)"))</f>
        <v/>
      </c>
      <c r="Y346" s="22">
        <f>IF($B346="","",IFERROR(INDEX(Cost_Centers!$D:$D,MATCH($B346,Cost_Centers!$A:$A,0)),"(unknown)"))</f>
        <v/>
      </c>
      <c r="Z346" s="22">
        <f>IF(OR($B346="",$G346&lt;&gt;"Variance vs Budget"),"",ABS(N($V346))+ROW()/1000000000)</f>
        <v/>
      </c>
    </row>
    <row r="347">
      <c r="A347" s="13">
        <f>IF(A$346="","",A$346)</f>
        <v/>
      </c>
      <c r="B347" s="13">
        <f>IF(B$346="","",B$346)</f>
        <v/>
      </c>
      <c r="C347" s="13">
        <f>IF(C$346="","",C$346)</f>
        <v/>
      </c>
      <c r="D347" s="13">
        <f>IF(D$346="","",D$346)</f>
        <v/>
      </c>
      <c r="E347" s="13">
        <f>IF(E$346="","",E$346)</f>
        <v/>
      </c>
      <c r="F347" s="13">
        <f>IF(F$346="","",F$346)</f>
        <v/>
      </c>
      <c r="G347" s="7" t="inlineStr">
        <is>
          <t>Actual</t>
        </is>
      </c>
      <c r="H347" s="18">
        <f>IF(OR($B$346="",1&gt;$C$4),"",SUMIFS(Actuals!$G:$G,Actuals!$B:$B,$C$3,Actuals!$C:$C,1,Actuals!$D:$D,$B$346,Actuals!$A:$A,LEFT($D$346,FIND("|",$D$346&amp;"|")-1),Actuals!$E:$E,MID($D$346,FIND("|",$D$346&amp;"|")+1,50),Actuals!$F:$F,"JPY")*$E$5+SUMIFS(Actuals!$G:$G,Actuals!$B:$B,$C$3,Actuals!$C:$C,1,Actuals!$D:$D,$B$346,Actuals!$A:$A,LEFT($D$346,FIND("|",$D$346&amp;"|")-1),Actuals!$E:$E,MID($D$346,FIND("|",$D$346&amp;"|")+1,50),Actuals!$F:$F,"USD")*$F$5+SUMIFS(Actuals!$G:$G,Actuals!$B:$B,$C$3,Actuals!$C:$C,1,Actuals!$D:$D,$B$346,Actuals!$A:$A,LEFT($D$346,FIND("|",$D$346&amp;"|")-1),Actuals!$E:$E,MID($D$346,FIND("|",$D$346&amp;"|")+1,50),Actuals!$F:$F,"EUR")*$G$5+SUMIFS(Actuals!$G:$G,Actuals!$B:$B,$C$3,Actuals!$C:$C,1,Actuals!$D:$D,$B$346,Actuals!$A:$A,LEFT($D$346,FIND("|",$D$346&amp;"|")-1),Actuals!$E:$E,MID($D$346,FIND("|",$D$346&amp;"|")+1,50),Actuals!$F:$F,"GBP")*$H$5)</f>
        <v/>
      </c>
      <c r="I347" s="18">
        <f>IF(OR($B$346="",2&gt;$C$4),"",SUMIFS(Actuals!$G:$G,Actuals!$B:$B,$C$3,Actuals!$C:$C,2,Actuals!$D:$D,$B$346,Actuals!$A:$A,LEFT($D$346,FIND("|",$D$346&amp;"|")-1),Actuals!$E:$E,MID($D$346,FIND("|",$D$346&amp;"|")+1,50),Actuals!$F:$F,"JPY")*$E$5+SUMIFS(Actuals!$G:$G,Actuals!$B:$B,$C$3,Actuals!$C:$C,2,Actuals!$D:$D,$B$346,Actuals!$A:$A,LEFT($D$346,FIND("|",$D$346&amp;"|")-1),Actuals!$E:$E,MID($D$346,FIND("|",$D$346&amp;"|")+1,50),Actuals!$F:$F,"USD")*$F$5+SUMIFS(Actuals!$G:$G,Actuals!$B:$B,$C$3,Actuals!$C:$C,2,Actuals!$D:$D,$B$346,Actuals!$A:$A,LEFT($D$346,FIND("|",$D$346&amp;"|")-1),Actuals!$E:$E,MID($D$346,FIND("|",$D$346&amp;"|")+1,50),Actuals!$F:$F,"EUR")*$G$5+SUMIFS(Actuals!$G:$G,Actuals!$B:$B,$C$3,Actuals!$C:$C,2,Actuals!$D:$D,$B$346,Actuals!$A:$A,LEFT($D$346,FIND("|",$D$346&amp;"|")-1),Actuals!$E:$E,MID($D$346,FIND("|",$D$346&amp;"|")+1,50),Actuals!$F:$F,"GBP")*$H$5)</f>
        <v/>
      </c>
      <c r="J347" s="18">
        <f>IF(OR($B$346="",3&gt;$C$4),"",SUMIFS(Actuals!$G:$G,Actuals!$B:$B,$C$3,Actuals!$C:$C,3,Actuals!$D:$D,$B$346,Actuals!$A:$A,LEFT($D$346,FIND("|",$D$346&amp;"|")-1),Actuals!$E:$E,MID($D$346,FIND("|",$D$346&amp;"|")+1,50),Actuals!$F:$F,"JPY")*$E$5+SUMIFS(Actuals!$G:$G,Actuals!$B:$B,$C$3,Actuals!$C:$C,3,Actuals!$D:$D,$B$346,Actuals!$A:$A,LEFT($D$346,FIND("|",$D$346&amp;"|")-1),Actuals!$E:$E,MID($D$346,FIND("|",$D$346&amp;"|")+1,50),Actuals!$F:$F,"USD")*$F$5+SUMIFS(Actuals!$G:$G,Actuals!$B:$B,$C$3,Actuals!$C:$C,3,Actuals!$D:$D,$B$346,Actuals!$A:$A,LEFT($D$346,FIND("|",$D$346&amp;"|")-1),Actuals!$E:$E,MID($D$346,FIND("|",$D$346&amp;"|")+1,50),Actuals!$F:$F,"EUR")*$G$5+SUMIFS(Actuals!$G:$G,Actuals!$B:$B,$C$3,Actuals!$C:$C,3,Actuals!$D:$D,$B$346,Actuals!$A:$A,LEFT($D$346,FIND("|",$D$346&amp;"|")-1),Actuals!$E:$E,MID($D$346,FIND("|",$D$346&amp;"|")+1,50),Actuals!$F:$F,"GBP")*$H$5)</f>
        <v/>
      </c>
      <c r="K347" s="18">
        <f>IF(OR($B$346="",4&gt;$C$4),"",SUMIFS(Actuals!$G:$G,Actuals!$B:$B,$C$3,Actuals!$C:$C,4,Actuals!$D:$D,$B$346,Actuals!$A:$A,LEFT($D$346,FIND("|",$D$346&amp;"|")-1),Actuals!$E:$E,MID($D$346,FIND("|",$D$346&amp;"|")+1,50),Actuals!$F:$F,"JPY")*$E$5+SUMIFS(Actuals!$G:$G,Actuals!$B:$B,$C$3,Actuals!$C:$C,4,Actuals!$D:$D,$B$346,Actuals!$A:$A,LEFT($D$346,FIND("|",$D$346&amp;"|")-1),Actuals!$E:$E,MID($D$346,FIND("|",$D$346&amp;"|")+1,50),Actuals!$F:$F,"USD")*$F$5+SUMIFS(Actuals!$G:$G,Actuals!$B:$B,$C$3,Actuals!$C:$C,4,Actuals!$D:$D,$B$346,Actuals!$A:$A,LEFT($D$346,FIND("|",$D$346&amp;"|")-1),Actuals!$E:$E,MID($D$346,FIND("|",$D$346&amp;"|")+1,50),Actuals!$F:$F,"EUR")*$G$5+SUMIFS(Actuals!$G:$G,Actuals!$B:$B,$C$3,Actuals!$C:$C,4,Actuals!$D:$D,$B$346,Actuals!$A:$A,LEFT($D$346,FIND("|",$D$346&amp;"|")-1),Actuals!$E:$E,MID($D$346,FIND("|",$D$346&amp;"|")+1,50),Actuals!$F:$F,"GBP")*$H$5)</f>
        <v/>
      </c>
      <c r="L347" s="18">
        <f>IF(OR($B$346="",5&gt;$C$4),"",SUMIFS(Actuals!$G:$G,Actuals!$B:$B,$C$3,Actuals!$C:$C,5,Actuals!$D:$D,$B$346,Actuals!$A:$A,LEFT($D$346,FIND("|",$D$346&amp;"|")-1),Actuals!$E:$E,MID($D$346,FIND("|",$D$346&amp;"|")+1,50),Actuals!$F:$F,"JPY")*$E$5+SUMIFS(Actuals!$G:$G,Actuals!$B:$B,$C$3,Actuals!$C:$C,5,Actuals!$D:$D,$B$346,Actuals!$A:$A,LEFT($D$346,FIND("|",$D$346&amp;"|")-1),Actuals!$E:$E,MID($D$346,FIND("|",$D$346&amp;"|")+1,50),Actuals!$F:$F,"USD")*$F$5+SUMIFS(Actuals!$G:$G,Actuals!$B:$B,$C$3,Actuals!$C:$C,5,Actuals!$D:$D,$B$346,Actuals!$A:$A,LEFT($D$346,FIND("|",$D$346&amp;"|")-1),Actuals!$E:$E,MID($D$346,FIND("|",$D$346&amp;"|")+1,50),Actuals!$F:$F,"EUR")*$G$5+SUMIFS(Actuals!$G:$G,Actuals!$B:$B,$C$3,Actuals!$C:$C,5,Actuals!$D:$D,$B$346,Actuals!$A:$A,LEFT($D$346,FIND("|",$D$346&amp;"|")-1),Actuals!$E:$E,MID($D$346,FIND("|",$D$346&amp;"|")+1,50),Actuals!$F:$F,"GBP")*$H$5)</f>
        <v/>
      </c>
      <c r="M347" s="18">
        <f>IF(OR($B$346="",6&gt;$C$4),"",SUMIFS(Actuals!$G:$G,Actuals!$B:$B,$C$3,Actuals!$C:$C,6,Actuals!$D:$D,$B$346,Actuals!$A:$A,LEFT($D$346,FIND("|",$D$346&amp;"|")-1),Actuals!$E:$E,MID($D$346,FIND("|",$D$346&amp;"|")+1,50),Actuals!$F:$F,"JPY")*$E$5+SUMIFS(Actuals!$G:$G,Actuals!$B:$B,$C$3,Actuals!$C:$C,6,Actuals!$D:$D,$B$346,Actuals!$A:$A,LEFT($D$346,FIND("|",$D$346&amp;"|")-1),Actuals!$E:$E,MID($D$346,FIND("|",$D$346&amp;"|")+1,50),Actuals!$F:$F,"USD")*$F$5+SUMIFS(Actuals!$G:$G,Actuals!$B:$B,$C$3,Actuals!$C:$C,6,Actuals!$D:$D,$B$346,Actuals!$A:$A,LEFT($D$346,FIND("|",$D$346&amp;"|")-1),Actuals!$E:$E,MID($D$346,FIND("|",$D$346&amp;"|")+1,50),Actuals!$F:$F,"EUR")*$G$5+SUMIFS(Actuals!$G:$G,Actuals!$B:$B,$C$3,Actuals!$C:$C,6,Actuals!$D:$D,$B$346,Actuals!$A:$A,LEFT($D$346,FIND("|",$D$346&amp;"|")-1),Actuals!$E:$E,MID($D$346,FIND("|",$D$346&amp;"|")+1,50),Actuals!$F:$F,"GBP")*$H$5)</f>
        <v/>
      </c>
      <c r="N347" s="18">
        <f>IF(OR($B$346="",7&gt;$C$4),"",SUMIFS(Actuals!$G:$G,Actuals!$B:$B,$C$3,Actuals!$C:$C,7,Actuals!$D:$D,$B$346,Actuals!$A:$A,LEFT($D$346,FIND("|",$D$346&amp;"|")-1),Actuals!$E:$E,MID($D$346,FIND("|",$D$346&amp;"|")+1,50),Actuals!$F:$F,"JPY")*$E$5+SUMIFS(Actuals!$G:$G,Actuals!$B:$B,$C$3,Actuals!$C:$C,7,Actuals!$D:$D,$B$346,Actuals!$A:$A,LEFT($D$346,FIND("|",$D$346&amp;"|")-1),Actuals!$E:$E,MID($D$346,FIND("|",$D$346&amp;"|")+1,50),Actuals!$F:$F,"USD")*$F$5+SUMIFS(Actuals!$G:$G,Actuals!$B:$B,$C$3,Actuals!$C:$C,7,Actuals!$D:$D,$B$346,Actuals!$A:$A,LEFT($D$346,FIND("|",$D$346&amp;"|")-1),Actuals!$E:$E,MID($D$346,FIND("|",$D$346&amp;"|")+1,50),Actuals!$F:$F,"EUR")*$G$5+SUMIFS(Actuals!$G:$G,Actuals!$B:$B,$C$3,Actuals!$C:$C,7,Actuals!$D:$D,$B$346,Actuals!$A:$A,LEFT($D$346,FIND("|",$D$346&amp;"|")-1),Actuals!$E:$E,MID($D$346,FIND("|",$D$346&amp;"|")+1,50),Actuals!$F:$F,"GBP")*$H$5)</f>
        <v/>
      </c>
      <c r="O347" s="18">
        <f>IF(OR($B$346="",8&gt;$C$4),"",SUMIFS(Actuals!$G:$G,Actuals!$B:$B,$C$3,Actuals!$C:$C,8,Actuals!$D:$D,$B$346,Actuals!$A:$A,LEFT($D$346,FIND("|",$D$346&amp;"|")-1),Actuals!$E:$E,MID($D$346,FIND("|",$D$346&amp;"|")+1,50),Actuals!$F:$F,"JPY")*$E$5+SUMIFS(Actuals!$G:$G,Actuals!$B:$B,$C$3,Actuals!$C:$C,8,Actuals!$D:$D,$B$346,Actuals!$A:$A,LEFT($D$346,FIND("|",$D$346&amp;"|")-1),Actuals!$E:$E,MID($D$346,FIND("|",$D$346&amp;"|")+1,50),Actuals!$F:$F,"USD")*$F$5+SUMIFS(Actuals!$G:$G,Actuals!$B:$B,$C$3,Actuals!$C:$C,8,Actuals!$D:$D,$B$346,Actuals!$A:$A,LEFT($D$346,FIND("|",$D$346&amp;"|")-1),Actuals!$E:$E,MID($D$346,FIND("|",$D$346&amp;"|")+1,50),Actuals!$F:$F,"EUR")*$G$5+SUMIFS(Actuals!$G:$G,Actuals!$B:$B,$C$3,Actuals!$C:$C,8,Actuals!$D:$D,$B$346,Actuals!$A:$A,LEFT($D$346,FIND("|",$D$346&amp;"|")-1),Actuals!$E:$E,MID($D$346,FIND("|",$D$346&amp;"|")+1,50),Actuals!$F:$F,"GBP")*$H$5)</f>
        <v/>
      </c>
      <c r="P347" s="18">
        <f>IF(OR($B$346="",9&gt;$C$4),"",SUMIFS(Actuals!$G:$G,Actuals!$B:$B,$C$3,Actuals!$C:$C,9,Actuals!$D:$D,$B$346,Actuals!$A:$A,LEFT($D$346,FIND("|",$D$346&amp;"|")-1),Actuals!$E:$E,MID($D$346,FIND("|",$D$346&amp;"|")+1,50),Actuals!$F:$F,"JPY")*$E$5+SUMIFS(Actuals!$G:$G,Actuals!$B:$B,$C$3,Actuals!$C:$C,9,Actuals!$D:$D,$B$346,Actuals!$A:$A,LEFT($D$346,FIND("|",$D$346&amp;"|")-1),Actuals!$E:$E,MID($D$346,FIND("|",$D$346&amp;"|")+1,50),Actuals!$F:$F,"USD")*$F$5+SUMIFS(Actuals!$G:$G,Actuals!$B:$B,$C$3,Actuals!$C:$C,9,Actuals!$D:$D,$B$346,Actuals!$A:$A,LEFT($D$346,FIND("|",$D$346&amp;"|")-1),Actuals!$E:$E,MID($D$346,FIND("|",$D$346&amp;"|")+1,50),Actuals!$F:$F,"EUR")*$G$5+SUMIFS(Actuals!$G:$G,Actuals!$B:$B,$C$3,Actuals!$C:$C,9,Actuals!$D:$D,$B$346,Actuals!$A:$A,LEFT($D$346,FIND("|",$D$346&amp;"|")-1),Actuals!$E:$E,MID($D$346,FIND("|",$D$346&amp;"|")+1,50),Actuals!$F:$F,"GBP")*$H$5)</f>
        <v/>
      </c>
      <c r="Q347" s="18">
        <f>IF(OR($B$346="",10&gt;$C$4),"",SUMIFS(Actuals!$G:$G,Actuals!$B:$B,$C$3,Actuals!$C:$C,10,Actuals!$D:$D,$B$346,Actuals!$A:$A,LEFT($D$346,FIND("|",$D$346&amp;"|")-1),Actuals!$E:$E,MID($D$346,FIND("|",$D$346&amp;"|")+1,50),Actuals!$F:$F,"JPY")*$E$5+SUMIFS(Actuals!$G:$G,Actuals!$B:$B,$C$3,Actuals!$C:$C,10,Actuals!$D:$D,$B$346,Actuals!$A:$A,LEFT($D$346,FIND("|",$D$346&amp;"|")-1),Actuals!$E:$E,MID($D$346,FIND("|",$D$346&amp;"|")+1,50),Actuals!$F:$F,"USD")*$F$5+SUMIFS(Actuals!$G:$G,Actuals!$B:$B,$C$3,Actuals!$C:$C,10,Actuals!$D:$D,$B$346,Actuals!$A:$A,LEFT($D$346,FIND("|",$D$346&amp;"|")-1),Actuals!$E:$E,MID($D$346,FIND("|",$D$346&amp;"|")+1,50),Actuals!$F:$F,"EUR")*$G$5+SUMIFS(Actuals!$G:$G,Actuals!$B:$B,$C$3,Actuals!$C:$C,10,Actuals!$D:$D,$B$346,Actuals!$A:$A,LEFT($D$346,FIND("|",$D$346&amp;"|")-1),Actuals!$E:$E,MID($D$346,FIND("|",$D$346&amp;"|")+1,50),Actuals!$F:$F,"GBP")*$H$5)</f>
        <v/>
      </c>
      <c r="R347" s="18">
        <f>IF(OR($B$346="",11&gt;$C$4),"",SUMIFS(Actuals!$G:$G,Actuals!$B:$B,$C$3,Actuals!$C:$C,11,Actuals!$D:$D,$B$346,Actuals!$A:$A,LEFT($D$346,FIND("|",$D$346&amp;"|")-1),Actuals!$E:$E,MID($D$346,FIND("|",$D$346&amp;"|")+1,50),Actuals!$F:$F,"JPY")*$E$5+SUMIFS(Actuals!$G:$G,Actuals!$B:$B,$C$3,Actuals!$C:$C,11,Actuals!$D:$D,$B$346,Actuals!$A:$A,LEFT($D$346,FIND("|",$D$346&amp;"|")-1),Actuals!$E:$E,MID($D$346,FIND("|",$D$346&amp;"|")+1,50),Actuals!$F:$F,"USD")*$F$5+SUMIFS(Actuals!$G:$G,Actuals!$B:$B,$C$3,Actuals!$C:$C,11,Actuals!$D:$D,$B$346,Actuals!$A:$A,LEFT($D$346,FIND("|",$D$346&amp;"|")-1),Actuals!$E:$E,MID($D$346,FIND("|",$D$346&amp;"|")+1,50),Actuals!$F:$F,"EUR")*$G$5+SUMIFS(Actuals!$G:$G,Actuals!$B:$B,$C$3,Actuals!$C:$C,11,Actuals!$D:$D,$B$346,Actuals!$A:$A,LEFT($D$346,FIND("|",$D$346&amp;"|")-1),Actuals!$E:$E,MID($D$346,FIND("|",$D$346&amp;"|")+1,50),Actuals!$F:$F,"GBP")*$H$5)</f>
        <v/>
      </c>
      <c r="S347" s="18">
        <f>IF(OR($B$346="",12&gt;$C$4),"",SUMIFS(Actuals!$G:$G,Actuals!$B:$B,$C$3,Actuals!$C:$C,12,Actuals!$D:$D,$B$346,Actuals!$A:$A,LEFT($D$346,FIND("|",$D$346&amp;"|")-1),Actuals!$E:$E,MID($D$346,FIND("|",$D$346&amp;"|")+1,50),Actuals!$F:$F,"JPY")*$E$5+SUMIFS(Actuals!$G:$G,Actuals!$B:$B,$C$3,Actuals!$C:$C,12,Actuals!$D:$D,$B$346,Actuals!$A:$A,LEFT($D$346,FIND("|",$D$346&amp;"|")-1),Actuals!$E:$E,MID($D$346,FIND("|",$D$346&amp;"|")+1,50),Actuals!$F:$F,"USD")*$F$5+SUMIFS(Actuals!$G:$G,Actuals!$B:$B,$C$3,Actuals!$C:$C,12,Actuals!$D:$D,$B$346,Actuals!$A:$A,LEFT($D$346,FIND("|",$D$346&amp;"|")-1),Actuals!$E:$E,MID($D$346,FIND("|",$D$346&amp;"|")+1,50),Actuals!$F:$F,"EUR")*$G$5+SUMIFS(Actuals!$G:$G,Actuals!$B:$B,$C$3,Actuals!$C:$C,12,Actuals!$D:$D,$B$346,Actuals!$A:$A,LEFT($D$346,FIND("|",$D$346&amp;"|")-1),Actuals!$E:$E,MID($D$346,FIND("|",$D$346&amp;"|")+1,50),Actuals!$F:$F,"GBP")*$H$5)</f>
        <v/>
      </c>
      <c r="T347" s="18">
        <f>IF($B$346="","",SUMIF($H$7:$S$7,"&lt;="&amp;$C$4,$H347:$S347))</f>
        <v/>
      </c>
      <c r="U347" s="18" t="n"/>
      <c r="V347" s="18" t="n"/>
      <c r="X347" s="22">
        <f>IF($B347="","",IFERROR(INDEX(Cost_Centers!$E:$E,MATCH($B347,Cost_Centers!$A:$A,0)),"(unknown)"))</f>
        <v/>
      </c>
      <c r="Y347" s="22">
        <f>IF($B347="","",IFERROR(INDEX(Cost_Centers!$D:$D,MATCH($B347,Cost_Centers!$A:$A,0)),"(unknown)"))</f>
        <v/>
      </c>
      <c r="Z347" s="22">
        <f>IF(OR($B347="",$G347&lt;&gt;"Variance vs Budget"),"",ABS(N($V347))+ROW()/1000000000)</f>
        <v/>
      </c>
    </row>
    <row r="348">
      <c r="A348" s="13">
        <f>IF(A$346="","",A$346)</f>
        <v/>
      </c>
      <c r="B348" s="13">
        <f>IF(B$346="","",B$346)</f>
        <v/>
      </c>
      <c r="C348" s="13">
        <f>IF(C$346="","",C$346)</f>
        <v/>
      </c>
      <c r="D348" s="13">
        <f>IF(D$346="","",D$346)</f>
        <v/>
      </c>
      <c r="E348" s="13">
        <f>IF(E$346="","",E$346)</f>
        <v/>
      </c>
      <c r="F348" s="13">
        <f>IF(F$346="","",F$346)</f>
        <v/>
      </c>
      <c r="G348" s="6" t="inlineStr">
        <is>
          <t>Variance vs Budget</t>
        </is>
      </c>
      <c r="H348" s="33">
        <f>IF(OR($B$346="",1&gt;$C$4),"",N(H347)-H346)</f>
        <v/>
      </c>
      <c r="I348" s="33">
        <f>IF(OR($B$346="",2&gt;$C$4),"",N(I347)-I346)</f>
        <v/>
      </c>
      <c r="J348" s="33">
        <f>IF(OR($B$346="",3&gt;$C$4),"",N(J347)-J346)</f>
        <v/>
      </c>
      <c r="K348" s="33">
        <f>IF(OR($B$346="",4&gt;$C$4),"",N(K347)-K346)</f>
        <v/>
      </c>
      <c r="L348" s="33">
        <f>IF(OR($B$346="",5&gt;$C$4),"",N(L347)-L346)</f>
        <v/>
      </c>
      <c r="M348" s="33">
        <f>IF(OR($B$346="",6&gt;$C$4),"",N(M347)-M346)</f>
        <v/>
      </c>
      <c r="N348" s="33">
        <f>IF(OR($B$346="",7&gt;$C$4),"",N(N347)-N346)</f>
        <v/>
      </c>
      <c r="O348" s="33">
        <f>IF(OR($B$346="",8&gt;$C$4),"",N(O347)-O346)</f>
        <v/>
      </c>
      <c r="P348" s="33">
        <f>IF(OR($B$346="",9&gt;$C$4),"",N(P347)-P346)</f>
        <v/>
      </c>
      <c r="Q348" s="33">
        <f>IF(OR($B$346="",10&gt;$C$4),"",N(Q347)-Q346)</f>
        <v/>
      </c>
      <c r="R348" s="33">
        <f>IF(OR($B$346="",11&gt;$C$4),"",N(R347)-R346)</f>
        <v/>
      </c>
      <c r="S348" s="33">
        <f>IF(OR($B$346="",12&gt;$C$4),"",N(S347)-S346)</f>
        <v/>
      </c>
      <c r="T348" s="33">
        <f>IF($B$346="","",T347-T346)</f>
        <v/>
      </c>
      <c r="U348" s="33">
        <f>IF($B$346="","",U350-U346)</f>
        <v/>
      </c>
      <c r="V348" s="33">
        <f>IF($B$346="","",V350-V346)</f>
        <v/>
      </c>
      <c r="X348" s="22">
        <f>IF($B348="","",IFERROR(INDEX(Cost_Centers!$E:$E,MATCH($B348,Cost_Centers!$A:$A,0)),"(unknown)"))</f>
        <v/>
      </c>
      <c r="Y348" s="22">
        <f>IF($B348="","",IFERROR(INDEX(Cost_Centers!$D:$D,MATCH($B348,Cost_Centers!$A:$A,0)),"(unknown)"))</f>
        <v/>
      </c>
      <c r="Z348" s="22">
        <f>IF(OR($B348="",$G348&lt;&gt;"Variance vs Budget"),"",ABS(N($V348))+ROW()/1000000000)</f>
        <v/>
      </c>
    </row>
    <row r="349">
      <c r="A349" s="13">
        <f>IF(A$346="","",A$346)</f>
        <v/>
      </c>
      <c r="B349" s="13">
        <f>IF(B$346="","",B$346)</f>
        <v/>
      </c>
      <c r="C349" s="13">
        <f>IF(C$346="","",C$346)</f>
        <v/>
      </c>
      <c r="D349" s="13">
        <f>IF(D$346="","",D$346)</f>
        <v/>
      </c>
      <c r="E349" s="13">
        <f>IF(E$346="","",E$346)</f>
        <v/>
      </c>
      <c r="F349" s="13">
        <f>IF(F$346="","",F$346)</f>
        <v/>
      </c>
      <c r="G349" s="7" t="inlineStr">
        <is>
          <t>Forecast (input)</t>
        </is>
      </c>
      <c r="H349" s="34" t="n"/>
      <c r="I349" s="34" t="n"/>
      <c r="J349" s="34" t="n"/>
      <c r="K349" s="34" t="n"/>
      <c r="L349" s="34" t="n"/>
      <c r="M349" s="34" t="n"/>
      <c r="N349" s="34" t="n"/>
      <c r="O349" s="34" t="n"/>
      <c r="P349" s="34" t="n"/>
      <c r="Q349" s="34" t="n"/>
      <c r="R349" s="34" t="n"/>
      <c r="S349" s="34" t="n"/>
      <c r="T349" s="18" t="n"/>
      <c r="U349" s="18" t="n"/>
      <c r="V349" s="18" t="n"/>
      <c r="X349" s="22">
        <f>IF($B349="","",IFERROR(INDEX(Cost_Centers!$E:$E,MATCH($B349,Cost_Centers!$A:$A,0)),"(unknown)"))</f>
        <v/>
      </c>
      <c r="Y349" s="22">
        <f>IF($B349="","",IFERROR(INDEX(Cost_Centers!$D:$D,MATCH($B349,Cost_Centers!$A:$A,0)),"(unknown)"))</f>
        <v/>
      </c>
      <c r="Z349" s="22">
        <f>IF(OR($B349="",$G349&lt;&gt;"Variance vs Budget"),"",ABS(N($V349))+ROW()/1000000000)</f>
        <v/>
      </c>
    </row>
    <row r="350">
      <c r="A350" s="13">
        <f>IF(A$346="","",A$346)</f>
        <v/>
      </c>
      <c r="B350" s="13">
        <f>IF(B$346="","",B$346)</f>
        <v/>
      </c>
      <c r="C350" s="13">
        <f>IF(C$346="","",C$346)</f>
        <v/>
      </c>
      <c r="D350" s="13">
        <f>IF(D$346="","",D$346)</f>
        <v/>
      </c>
      <c r="E350" s="13">
        <f>IF(E$346="","",E$346)</f>
        <v/>
      </c>
      <c r="F350" s="13">
        <f>IF(F$346="","",F$346)</f>
        <v/>
      </c>
      <c r="G350" s="35" t="inlineStr">
        <is>
          <t>Actual + Forecast</t>
        </is>
      </c>
      <c r="H350" s="18">
        <f>IF($B$346="","",IF(1&lt;=$C$4,N(H347),IF(H349="",H346,H349)))</f>
        <v/>
      </c>
      <c r="I350" s="18">
        <f>IF($B$346="","",IF(2&lt;=$C$4,N(I347),IF(I349="",I346,I349)))</f>
        <v/>
      </c>
      <c r="J350" s="18">
        <f>IF($B$346="","",IF(3&lt;=$C$4,N(J347),IF(J349="",J346,J349)))</f>
        <v/>
      </c>
      <c r="K350" s="18">
        <f>IF($B$346="","",IF(4&lt;=$C$4,N(K347),IF(K349="",K346,K349)))</f>
        <v/>
      </c>
      <c r="L350" s="18">
        <f>IF($B$346="","",IF(5&lt;=$C$4,N(L347),IF(L349="",L346,L349)))</f>
        <v/>
      </c>
      <c r="M350" s="18">
        <f>IF($B$346="","",IF(6&lt;=$C$4,N(M347),IF(M349="",M346,M349)))</f>
        <v/>
      </c>
      <c r="N350" s="18">
        <f>IF($B$346="","",IF(7&lt;=$C$4,N(N347),IF(N349="",N346,N349)))</f>
        <v/>
      </c>
      <c r="O350" s="18">
        <f>IF($B$346="","",IF(8&lt;=$C$4,N(O347),IF(O349="",O346,O349)))</f>
        <v/>
      </c>
      <c r="P350" s="18">
        <f>IF($B$346="","",IF(9&lt;=$C$4,N(P347),IF(P349="",P346,P349)))</f>
        <v/>
      </c>
      <c r="Q350" s="18">
        <f>IF($B$346="","",IF(10&lt;=$C$4,N(Q347),IF(Q349="",Q346,Q349)))</f>
        <v/>
      </c>
      <c r="R350" s="18">
        <f>IF($B$346="","",IF(11&lt;=$C$4,N(R347),IF(R349="",R346,R349)))</f>
        <v/>
      </c>
      <c r="S350" s="18">
        <f>IF($B$346="","",IF(12&lt;=$C$4,N(S347),IF(S349="",S346,S349)))</f>
        <v/>
      </c>
      <c r="T350" s="18">
        <f>IF($B$346="","",SUMIF($H$7:$S$7,"&lt;="&amp;$C$4,$H350:$S350))</f>
        <v/>
      </c>
      <c r="U350" s="18">
        <f>IF($B$346="","",SUMIF($H$7:$S$7,"&gt;"&amp;$C$4,$H350:$S350))</f>
        <v/>
      </c>
      <c r="V350" s="18">
        <f>IF($B$346="","",SUM($H350:$S350))</f>
        <v/>
      </c>
      <c r="X350" s="22">
        <f>IF($B350="","",IFERROR(INDEX(Cost_Centers!$E:$E,MATCH($B350,Cost_Centers!$A:$A,0)),"(unknown)"))</f>
        <v/>
      </c>
      <c r="Y350" s="22">
        <f>IF($B350="","",IFERROR(INDEX(Cost_Centers!$D:$D,MATCH($B350,Cost_Centers!$A:$A,0)),"(unknown)"))</f>
        <v/>
      </c>
      <c r="Z350" s="22">
        <f>IF(OR($B350="",$G350&lt;&gt;"Variance vs Budget"),"",ABS(N($V350))+ROW()/1000000000)</f>
        <v/>
      </c>
    </row>
    <row r="351">
      <c r="A351" s="13">
        <f>IF(A$346="","",A$346)</f>
        <v/>
      </c>
      <c r="B351" s="13">
        <f>IF(B$346="","",B$346)</f>
        <v/>
      </c>
      <c r="C351" s="13">
        <f>IF(C$346="","",C$346)</f>
        <v/>
      </c>
      <c r="D351" s="13">
        <f>IF(D$346="","",D$346)</f>
        <v/>
      </c>
      <c r="E351" s="13">
        <f>IF(E$346="","",E$346)</f>
        <v/>
      </c>
      <c r="F351" s="13">
        <f>IF(F$346="","",F$346)</f>
        <v/>
      </c>
      <c r="G351" s="36" t="inlineStr">
        <is>
          <t>Prior Month Forecast</t>
        </is>
      </c>
      <c r="H351" s="37">
        <f>IF($B$346="","",IF(COUNTIFS(Prior_Forecast!$A:$A,$B$346,Prior_Forecast!$B:$B,$D$346)&gt;0,SUMIFS(Prior_Forecast!$C:$C,Prior_Forecast!$A:$A,$B$346,Prior_Forecast!$B:$B,$D$346),""))</f>
        <v/>
      </c>
      <c r="I351" s="37">
        <f>IF($B$346="","",IF(COUNTIFS(Prior_Forecast!$A:$A,$B$346,Prior_Forecast!$B:$B,$D$346)&gt;0,SUMIFS(Prior_Forecast!$D:$D,Prior_Forecast!$A:$A,$B$346,Prior_Forecast!$B:$B,$D$346),""))</f>
        <v/>
      </c>
      <c r="J351" s="37">
        <f>IF($B$346="","",IF(COUNTIFS(Prior_Forecast!$A:$A,$B$346,Prior_Forecast!$B:$B,$D$346)&gt;0,SUMIFS(Prior_Forecast!$E:$E,Prior_Forecast!$A:$A,$B$346,Prior_Forecast!$B:$B,$D$346),""))</f>
        <v/>
      </c>
      <c r="K351" s="37">
        <f>IF($B$346="","",IF(COUNTIFS(Prior_Forecast!$A:$A,$B$346,Prior_Forecast!$B:$B,$D$346)&gt;0,SUMIFS(Prior_Forecast!$F:$F,Prior_Forecast!$A:$A,$B$346,Prior_Forecast!$B:$B,$D$346),""))</f>
        <v/>
      </c>
      <c r="L351" s="37">
        <f>IF($B$346="","",IF(COUNTIFS(Prior_Forecast!$A:$A,$B$346,Prior_Forecast!$B:$B,$D$346)&gt;0,SUMIFS(Prior_Forecast!$G:$G,Prior_Forecast!$A:$A,$B$346,Prior_Forecast!$B:$B,$D$346),""))</f>
        <v/>
      </c>
      <c r="M351" s="37">
        <f>IF($B$346="","",IF(COUNTIFS(Prior_Forecast!$A:$A,$B$346,Prior_Forecast!$B:$B,$D$346)&gt;0,SUMIFS(Prior_Forecast!$H:$H,Prior_Forecast!$A:$A,$B$346,Prior_Forecast!$B:$B,$D$346),""))</f>
        <v/>
      </c>
      <c r="N351" s="37">
        <f>IF($B$346="","",IF(COUNTIFS(Prior_Forecast!$A:$A,$B$346,Prior_Forecast!$B:$B,$D$346)&gt;0,SUMIFS(Prior_Forecast!$I:$I,Prior_Forecast!$A:$A,$B$346,Prior_Forecast!$B:$B,$D$346),""))</f>
        <v/>
      </c>
      <c r="O351" s="37">
        <f>IF($B$346="","",IF(COUNTIFS(Prior_Forecast!$A:$A,$B$346,Prior_Forecast!$B:$B,$D$346)&gt;0,SUMIFS(Prior_Forecast!$J:$J,Prior_Forecast!$A:$A,$B$346,Prior_Forecast!$B:$B,$D$346),""))</f>
        <v/>
      </c>
      <c r="P351" s="37">
        <f>IF($B$346="","",IF(COUNTIFS(Prior_Forecast!$A:$A,$B$346,Prior_Forecast!$B:$B,$D$346)&gt;0,SUMIFS(Prior_Forecast!$K:$K,Prior_Forecast!$A:$A,$B$346,Prior_Forecast!$B:$B,$D$346),""))</f>
        <v/>
      </c>
      <c r="Q351" s="37">
        <f>IF($B$346="","",IF(COUNTIFS(Prior_Forecast!$A:$A,$B$346,Prior_Forecast!$B:$B,$D$346)&gt;0,SUMIFS(Prior_Forecast!$L:$L,Prior_Forecast!$A:$A,$B$346,Prior_Forecast!$B:$B,$D$346),""))</f>
        <v/>
      </c>
      <c r="R351" s="37">
        <f>IF($B$346="","",IF(COUNTIFS(Prior_Forecast!$A:$A,$B$346,Prior_Forecast!$B:$B,$D$346)&gt;0,SUMIFS(Prior_Forecast!$M:$M,Prior_Forecast!$A:$A,$B$346,Prior_Forecast!$B:$B,$D$346),""))</f>
        <v/>
      </c>
      <c r="S351" s="37">
        <f>IF($B$346="","",IF(COUNTIFS(Prior_Forecast!$A:$A,$B$346,Prior_Forecast!$B:$B,$D$346)&gt;0,SUMIFS(Prior_Forecast!$N:$N,Prior_Forecast!$A:$A,$B$346,Prior_Forecast!$B:$B,$D$346),""))</f>
        <v/>
      </c>
      <c r="T351" s="37">
        <f>IF($B$346="","",IF(COUNTIFS(Prior_Forecast!$A:$A,$B$346,Prior_Forecast!$B:$B,$D$346)&gt;0,SUMIFS(Prior_Forecast!$O:$O,Prior_Forecast!$A:$A,$B$346,Prior_Forecast!$B:$B,$D$346),""))</f>
        <v/>
      </c>
      <c r="U351" s="37">
        <f>IF($B$346="","",IF(COUNTIFS(Prior_Forecast!$A:$A,$B$346,Prior_Forecast!$B:$B,$D$346)&gt;0,SUMIFS(Prior_Forecast!$P:$P,Prior_Forecast!$A:$A,$B$346,Prior_Forecast!$B:$B,$D$346),""))</f>
        <v/>
      </c>
      <c r="V351" s="37">
        <f>IF($B$346="","",IF(COUNTIFS(Prior_Forecast!$A:$A,$B$346,Prior_Forecast!$B:$B,$D$346)&gt;0,SUMIFS(Prior_Forecast!$Q:$Q,Prior_Forecast!$A:$A,$B$346,Prior_Forecast!$B:$B,$D$346),""))</f>
        <v/>
      </c>
      <c r="X351" s="22">
        <f>IF($B351="","",IFERROR(INDEX(Cost_Centers!$E:$E,MATCH($B351,Cost_Centers!$A:$A,0)),"(unknown)"))</f>
        <v/>
      </c>
      <c r="Y351" s="22">
        <f>IF($B351="","",IFERROR(INDEX(Cost_Centers!$D:$D,MATCH($B351,Cost_Centers!$A:$A,0)),"(unknown)"))</f>
        <v/>
      </c>
      <c r="Z351" s="22">
        <f>IF(OR($B351="",$G351&lt;&gt;"Variance vs Budget"),"",ABS(N($V351))+ROW()/1000000000)</f>
        <v/>
      </c>
    </row>
    <row r="352">
      <c r="A352" s="13">
        <f>IF(A$346="","",A$346)</f>
        <v/>
      </c>
      <c r="B352" s="13">
        <f>IF(B$346="","",B$346)</f>
        <v/>
      </c>
      <c r="C352" s="13">
        <f>IF(C$346="","",C$346)</f>
        <v/>
      </c>
      <c r="D352" s="13">
        <f>IF(D$346="","",D$346)</f>
        <v/>
      </c>
      <c r="E352" s="13">
        <f>IF(E$346="","",E$346)</f>
        <v/>
      </c>
      <c r="F352" s="13">
        <f>IF(F$346="","",F$346)</f>
        <v/>
      </c>
      <c r="G352" s="6" t="inlineStr">
        <is>
          <t>Variance vs Prior Month</t>
        </is>
      </c>
      <c r="H352" s="33">
        <f>IF(OR($B$346="",H351=""),"",H350-H351)</f>
        <v/>
      </c>
      <c r="I352" s="33">
        <f>IF(OR($B$346="",I351=""),"",I350-I351)</f>
        <v/>
      </c>
      <c r="J352" s="33">
        <f>IF(OR($B$346="",J351=""),"",J350-J351)</f>
        <v/>
      </c>
      <c r="K352" s="33">
        <f>IF(OR($B$346="",K351=""),"",K350-K351)</f>
        <v/>
      </c>
      <c r="L352" s="33">
        <f>IF(OR($B$346="",L351=""),"",L350-L351)</f>
        <v/>
      </c>
      <c r="M352" s="33">
        <f>IF(OR($B$346="",M351=""),"",M350-M351)</f>
        <v/>
      </c>
      <c r="N352" s="33">
        <f>IF(OR($B$346="",N351=""),"",N350-N351)</f>
        <v/>
      </c>
      <c r="O352" s="33">
        <f>IF(OR($B$346="",O351=""),"",O350-O351)</f>
        <v/>
      </c>
      <c r="P352" s="33">
        <f>IF(OR($B$346="",P351=""),"",P350-P351)</f>
        <v/>
      </c>
      <c r="Q352" s="33">
        <f>IF(OR($B$346="",Q351=""),"",Q350-Q351)</f>
        <v/>
      </c>
      <c r="R352" s="33">
        <f>IF(OR($B$346="",R351=""),"",R350-R351)</f>
        <v/>
      </c>
      <c r="S352" s="33">
        <f>IF(OR($B$346="",S351=""),"",S350-S351)</f>
        <v/>
      </c>
      <c r="T352" s="33">
        <f>IF(OR($B$346="",T351=""),"",T350-T351)</f>
        <v/>
      </c>
      <c r="U352" s="33">
        <f>IF(OR($B$346="",U351=""),"",U350-U351)</f>
        <v/>
      </c>
      <c r="V352" s="33">
        <f>IF(OR($B$346="",V351=""),"",V350-V351)</f>
        <v/>
      </c>
      <c r="X352" s="22">
        <f>IF($B352="","",IFERROR(INDEX(Cost_Centers!$E:$E,MATCH($B352,Cost_Centers!$A:$A,0)),"(unknown)"))</f>
        <v/>
      </c>
      <c r="Y352" s="22">
        <f>IF($B352="","",IFERROR(INDEX(Cost_Centers!$D:$D,MATCH($B352,Cost_Centers!$A:$A,0)),"(unknown)"))</f>
        <v/>
      </c>
      <c r="Z352" s="22">
        <f>IF(OR($B352="",$G352&lt;&gt;"Variance vs Budget"),"",ABS(N($V352))+ROW()/1000000000)</f>
        <v/>
      </c>
    </row>
    <row r="353" ht="45" customHeight="1">
      <c r="A353" s="13">
        <f>IF(A$346="","",A$346)</f>
        <v/>
      </c>
      <c r="B353" s="13">
        <f>IF(B$346="","",B$346)</f>
        <v/>
      </c>
      <c r="C353" s="13">
        <f>IF(C$346="","",C$346)</f>
        <v/>
      </c>
      <c r="D353" s="13">
        <f>IF(D$346="","",D$346)</f>
        <v/>
      </c>
      <c r="E353" s="13">
        <f>IF(E$346="","",E$346)</f>
        <v/>
      </c>
      <c r="F353" s="13">
        <f>IF(F$346="","",F$346)</f>
        <v/>
      </c>
      <c r="G353" s="7" t="inlineStr">
        <is>
          <t>Rationale</t>
        </is>
      </c>
      <c r="H353" s="38" t="n"/>
      <c r="I353" s="38" t="n"/>
      <c r="J353" s="38" t="n"/>
      <c r="K353" s="38" t="n"/>
      <c r="L353" s="38" t="n"/>
      <c r="M353" s="38" t="n"/>
      <c r="N353" s="38" t="n"/>
      <c r="O353" s="38" t="n"/>
      <c r="P353" s="38" t="n"/>
      <c r="Q353" s="38" t="n"/>
      <c r="R353" s="38" t="n"/>
      <c r="S353" s="38" t="n"/>
      <c r="T353" s="38" t="n"/>
      <c r="U353" s="38" t="n"/>
      <c r="V353" s="7" t="n"/>
      <c r="X353" s="22">
        <f>IF($B353="","",IFERROR(INDEX(Cost_Centers!$E:$E,MATCH($B353,Cost_Centers!$A:$A,0)),"(unknown)"))</f>
        <v/>
      </c>
      <c r="Y353" s="22">
        <f>IF($B353="","",IFERROR(INDEX(Cost_Centers!$D:$D,MATCH($B353,Cost_Centers!$A:$A,0)),"(unknown)"))</f>
        <v/>
      </c>
      <c r="Z353" s="22">
        <f>IF(OR($B353="",$G353&lt;&gt;"Variance vs Budget"),"",ABS(N($V353))+ROW()/1000000000)</f>
        <v/>
      </c>
    </row>
    <row r="354">
      <c r="A354" s="30">
        <f>IF($D$354="","",LEFT($D$354,FIND("|",$D$354&amp;"|")-1))</f>
        <v/>
      </c>
      <c r="B354" s="31" t="n"/>
      <c r="C354" s="30">
        <f>IF($B$354="","",IFERROR(INDEX(Cost_Centers!$B:$B,MATCH($B$354,Cost_Centers!$A:$A,0)),"(not in master)"))</f>
        <v/>
      </c>
      <c r="D354" s="31" t="n"/>
      <c r="E354" s="30">
        <f>IF($D$354="","",IFERROR(INDEX(Accounts!$D:$D,MATCH($D$354,Accounts!$A:$A,0)),"(not in master)"))</f>
        <v/>
      </c>
      <c r="F354" s="31" t="n"/>
      <c r="G354" s="30" t="inlineStr">
        <is>
          <t>Budget</t>
        </is>
      </c>
      <c r="H354" s="32">
        <f>IF($B$354="","",SUMIFS(Opex_Budget!$O:$O,Opex_Budget!$A:$A,$C$3,Opex_Budget!$E:$E,$B$354,Opex_Budget!$F:$F,$D$354,Opex_Budget!$N:$N,"JPY")*$E$5+SUMIFS(Opex_Budget!$O:$O,Opex_Budget!$A:$A,$C$3,Opex_Budget!$E:$E,$B$354,Opex_Budget!$F:$F,$D$354,Opex_Budget!$N:$N,"USD")*$F$5+SUMIFS(Opex_Budget!$O:$O,Opex_Budget!$A:$A,$C$3,Opex_Budget!$E:$E,$B$354,Opex_Budget!$F:$F,$D$354,Opex_Budget!$N:$N,"EUR")*$G$5+SUMIFS(Opex_Budget!$O:$O,Opex_Budget!$A:$A,$C$3,Opex_Budget!$E:$E,$B$354,Opex_Budget!$F:$F,$D$354,Opex_Budget!$N:$N,"GBP")*$H$5)</f>
        <v/>
      </c>
      <c r="I354" s="32">
        <f>IF($B$354="","",SUMIFS(Opex_Budget!$P:$P,Opex_Budget!$A:$A,$C$3,Opex_Budget!$E:$E,$B$354,Opex_Budget!$F:$F,$D$354,Opex_Budget!$N:$N,"JPY")*$E$5+SUMIFS(Opex_Budget!$P:$P,Opex_Budget!$A:$A,$C$3,Opex_Budget!$E:$E,$B$354,Opex_Budget!$F:$F,$D$354,Opex_Budget!$N:$N,"USD")*$F$5+SUMIFS(Opex_Budget!$P:$P,Opex_Budget!$A:$A,$C$3,Opex_Budget!$E:$E,$B$354,Opex_Budget!$F:$F,$D$354,Opex_Budget!$N:$N,"EUR")*$G$5+SUMIFS(Opex_Budget!$P:$P,Opex_Budget!$A:$A,$C$3,Opex_Budget!$E:$E,$B$354,Opex_Budget!$F:$F,$D$354,Opex_Budget!$N:$N,"GBP")*$H$5)</f>
        <v/>
      </c>
      <c r="J354" s="32">
        <f>IF($B$354="","",SUMIFS(Opex_Budget!$Q:$Q,Opex_Budget!$A:$A,$C$3,Opex_Budget!$E:$E,$B$354,Opex_Budget!$F:$F,$D$354,Opex_Budget!$N:$N,"JPY")*$E$5+SUMIFS(Opex_Budget!$Q:$Q,Opex_Budget!$A:$A,$C$3,Opex_Budget!$E:$E,$B$354,Opex_Budget!$F:$F,$D$354,Opex_Budget!$N:$N,"USD")*$F$5+SUMIFS(Opex_Budget!$Q:$Q,Opex_Budget!$A:$A,$C$3,Opex_Budget!$E:$E,$B$354,Opex_Budget!$F:$F,$D$354,Opex_Budget!$N:$N,"EUR")*$G$5+SUMIFS(Opex_Budget!$Q:$Q,Opex_Budget!$A:$A,$C$3,Opex_Budget!$E:$E,$B$354,Opex_Budget!$F:$F,$D$354,Opex_Budget!$N:$N,"GBP")*$H$5)</f>
        <v/>
      </c>
      <c r="K354" s="32">
        <f>IF($B$354="","",SUMIFS(Opex_Budget!$R:$R,Opex_Budget!$A:$A,$C$3,Opex_Budget!$E:$E,$B$354,Opex_Budget!$F:$F,$D$354,Opex_Budget!$N:$N,"JPY")*$E$5+SUMIFS(Opex_Budget!$R:$R,Opex_Budget!$A:$A,$C$3,Opex_Budget!$E:$E,$B$354,Opex_Budget!$F:$F,$D$354,Opex_Budget!$N:$N,"USD")*$F$5+SUMIFS(Opex_Budget!$R:$R,Opex_Budget!$A:$A,$C$3,Opex_Budget!$E:$E,$B$354,Opex_Budget!$F:$F,$D$354,Opex_Budget!$N:$N,"EUR")*$G$5+SUMIFS(Opex_Budget!$R:$R,Opex_Budget!$A:$A,$C$3,Opex_Budget!$E:$E,$B$354,Opex_Budget!$F:$F,$D$354,Opex_Budget!$N:$N,"GBP")*$H$5)</f>
        <v/>
      </c>
      <c r="L354" s="32">
        <f>IF($B$354="","",SUMIFS(Opex_Budget!$S:$S,Opex_Budget!$A:$A,$C$3,Opex_Budget!$E:$E,$B$354,Opex_Budget!$F:$F,$D$354,Opex_Budget!$N:$N,"JPY")*$E$5+SUMIFS(Opex_Budget!$S:$S,Opex_Budget!$A:$A,$C$3,Opex_Budget!$E:$E,$B$354,Opex_Budget!$F:$F,$D$354,Opex_Budget!$N:$N,"USD")*$F$5+SUMIFS(Opex_Budget!$S:$S,Opex_Budget!$A:$A,$C$3,Opex_Budget!$E:$E,$B$354,Opex_Budget!$F:$F,$D$354,Opex_Budget!$N:$N,"EUR")*$G$5+SUMIFS(Opex_Budget!$S:$S,Opex_Budget!$A:$A,$C$3,Opex_Budget!$E:$E,$B$354,Opex_Budget!$F:$F,$D$354,Opex_Budget!$N:$N,"GBP")*$H$5)</f>
        <v/>
      </c>
      <c r="M354" s="32">
        <f>IF($B$354="","",SUMIFS(Opex_Budget!$T:$T,Opex_Budget!$A:$A,$C$3,Opex_Budget!$E:$E,$B$354,Opex_Budget!$F:$F,$D$354,Opex_Budget!$N:$N,"JPY")*$E$5+SUMIFS(Opex_Budget!$T:$T,Opex_Budget!$A:$A,$C$3,Opex_Budget!$E:$E,$B$354,Opex_Budget!$F:$F,$D$354,Opex_Budget!$N:$N,"USD")*$F$5+SUMIFS(Opex_Budget!$T:$T,Opex_Budget!$A:$A,$C$3,Opex_Budget!$E:$E,$B$354,Opex_Budget!$F:$F,$D$354,Opex_Budget!$N:$N,"EUR")*$G$5+SUMIFS(Opex_Budget!$T:$T,Opex_Budget!$A:$A,$C$3,Opex_Budget!$E:$E,$B$354,Opex_Budget!$F:$F,$D$354,Opex_Budget!$N:$N,"GBP")*$H$5)</f>
        <v/>
      </c>
      <c r="N354" s="32">
        <f>IF($B$354="","",SUMIFS(Opex_Budget!$U:$U,Opex_Budget!$A:$A,$C$3,Opex_Budget!$E:$E,$B$354,Opex_Budget!$F:$F,$D$354,Opex_Budget!$N:$N,"JPY")*$E$5+SUMIFS(Opex_Budget!$U:$U,Opex_Budget!$A:$A,$C$3,Opex_Budget!$E:$E,$B$354,Opex_Budget!$F:$F,$D$354,Opex_Budget!$N:$N,"USD")*$F$5+SUMIFS(Opex_Budget!$U:$U,Opex_Budget!$A:$A,$C$3,Opex_Budget!$E:$E,$B$354,Opex_Budget!$F:$F,$D$354,Opex_Budget!$N:$N,"EUR")*$G$5+SUMIFS(Opex_Budget!$U:$U,Opex_Budget!$A:$A,$C$3,Opex_Budget!$E:$E,$B$354,Opex_Budget!$F:$F,$D$354,Opex_Budget!$N:$N,"GBP")*$H$5)</f>
        <v/>
      </c>
      <c r="O354" s="32">
        <f>IF($B$354="","",SUMIFS(Opex_Budget!$V:$V,Opex_Budget!$A:$A,$C$3,Opex_Budget!$E:$E,$B$354,Opex_Budget!$F:$F,$D$354,Opex_Budget!$N:$N,"JPY")*$E$5+SUMIFS(Opex_Budget!$V:$V,Opex_Budget!$A:$A,$C$3,Opex_Budget!$E:$E,$B$354,Opex_Budget!$F:$F,$D$354,Opex_Budget!$N:$N,"USD")*$F$5+SUMIFS(Opex_Budget!$V:$V,Opex_Budget!$A:$A,$C$3,Opex_Budget!$E:$E,$B$354,Opex_Budget!$F:$F,$D$354,Opex_Budget!$N:$N,"EUR")*$G$5+SUMIFS(Opex_Budget!$V:$V,Opex_Budget!$A:$A,$C$3,Opex_Budget!$E:$E,$B$354,Opex_Budget!$F:$F,$D$354,Opex_Budget!$N:$N,"GBP")*$H$5)</f>
        <v/>
      </c>
      <c r="P354" s="32">
        <f>IF($B$354="","",SUMIFS(Opex_Budget!$W:$W,Opex_Budget!$A:$A,$C$3,Opex_Budget!$E:$E,$B$354,Opex_Budget!$F:$F,$D$354,Opex_Budget!$N:$N,"JPY")*$E$5+SUMIFS(Opex_Budget!$W:$W,Opex_Budget!$A:$A,$C$3,Opex_Budget!$E:$E,$B$354,Opex_Budget!$F:$F,$D$354,Opex_Budget!$N:$N,"USD")*$F$5+SUMIFS(Opex_Budget!$W:$W,Opex_Budget!$A:$A,$C$3,Opex_Budget!$E:$E,$B$354,Opex_Budget!$F:$F,$D$354,Opex_Budget!$N:$N,"EUR")*$G$5+SUMIFS(Opex_Budget!$W:$W,Opex_Budget!$A:$A,$C$3,Opex_Budget!$E:$E,$B$354,Opex_Budget!$F:$F,$D$354,Opex_Budget!$N:$N,"GBP")*$H$5)</f>
        <v/>
      </c>
      <c r="Q354" s="32">
        <f>IF($B$354="","",SUMIFS(Opex_Budget!$X:$X,Opex_Budget!$A:$A,$C$3,Opex_Budget!$E:$E,$B$354,Opex_Budget!$F:$F,$D$354,Opex_Budget!$N:$N,"JPY")*$E$5+SUMIFS(Opex_Budget!$X:$X,Opex_Budget!$A:$A,$C$3,Opex_Budget!$E:$E,$B$354,Opex_Budget!$F:$F,$D$354,Opex_Budget!$N:$N,"USD")*$F$5+SUMIFS(Opex_Budget!$X:$X,Opex_Budget!$A:$A,$C$3,Opex_Budget!$E:$E,$B$354,Opex_Budget!$F:$F,$D$354,Opex_Budget!$N:$N,"EUR")*$G$5+SUMIFS(Opex_Budget!$X:$X,Opex_Budget!$A:$A,$C$3,Opex_Budget!$E:$E,$B$354,Opex_Budget!$F:$F,$D$354,Opex_Budget!$N:$N,"GBP")*$H$5)</f>
        <v/>
      </c>
      <c r="R354" s="32">
        <f>IF($B$354="","",SUMIFS(Opex_Budget!$Y:$Y,Opex_Budget!$A:$A,$C$3,Opex_Budget!$E:$E,$B$354,Opex_Budget!$F:$F,$D$354,Opex_Budget!$N:$N,"JPY")*$E$5+SUMIFS(Opex_Budget!$Y:$Y,Opex_Budget!$A:$A,$C$3,Opex_Budget!$E:$E,$B$354,Opex_Budget!$F:$F,$D$354,Opex_Budget!$N:$N,"USD")*$F$5+SUMIFS(Opex_Budget!$Y:$Y,Opex_Budget!$A:$A,$C$3,Opex_Budget!$E:$E,$B$354,Opex_Budget!$F:$F,$D$354,Opex_Budget!$N:$N,"EUR")*$G$5+SUMIFS(Opex_Budget!$Y:$Y,Opex_Budget!$A:$A,$C$3,Opex_Budget!$E:$E,$B$354,Opex_Budget!$F:$F,$D$354,Opex_Budget!$N:$N,"GBP")*$H$5)</f>
        <v/>
      </c>
      <c r="S354" s="32">
        <f>IF($B$354="","",SUMIFS(Opex_Budget!$Z:$Z,Opex_Budget!$A:$A,$C$3,Opex_Budget!$E:$E,$B$354,Opex_Budget!$F:$F,$D$354,Opex_Budget!$N:$N,"JPY")*$E$5+SUMIFS(Opex_Budget!$Z:$Z,Opex_Budget!$A:$A,$C$3,Opex_Budget!$E:$E,$B$354,Opex_Budget!$F:$F,$D$354,Opex_Budget!$N:$N,"USD")*$F$5+SUMIFS(Opex_Budget!$Z:$Z,Opex_Budget!$A:$A,$C$3,Opex_Budget!$E:$E,$B$354,Opex_Budget!$F:$F,$D$354,Opex_Budget!$N:$N,"EUR")*$G$5+SUMIFS(Opex_Budget!$Z:$Z,Opex_Budget!$A:$A,$C$3,Opex_Budget!$E:$E,$B$354,Opex_Budget!$F:$F,$D$354,Opex_Budget!$N:$N,"GBP")*$H$5)</f>
        <v/>
      </c>
      <c r="T354" s="32">
        <f>IF($B$354="","",SUMIF($H$7:$S$7,"&lt;="&amp;$C$4,$H354:$S354))</f>
        <v/>
      </c>
      <c r="U354" s="32">
        <f>IF($B$354="","",SUMIF($H$7:$S$7,"&gt;"&amp;$C$4,$H354:$S354))</f>
        <v/>
      </c>
      <c r="V354" s="32">
        <f>IF($B$354="","",SUM($H354:$S354))</f>
        <v/>
      </c>
      <c r="X354" s="22">
        <f>IF($B354="","",IFERROR(INDEX(Cost_Centers!$E:$E,MATCH($B354,Cost_Centers!$A:$A,0)),"(unknown)"))</f>
        <v/>
      </c>
      <c r="Y354" s="22">
        <f>IF($B354="","",IFERROR(INDEX(Cost_Centers!$D:$D,MATCH($B354,Cost_Centers!$A:$A,0)),"(unknown)"))</f>
        <v/>
      </c>
      <c r="Z354" s="22">
        <f>IF(OR($B354="",$G354&lt;&gt;"Variance vs Budget"),"",ABS(N($V354))+ROW()/1000000000)</f>
        <v/>
      </c>
    </row>
    <row r="355">
      <c r="A355" s="13">
        <f>IF(A$354="","",A$354)</f>
        <v/>
      </c>
      <c r="B355" s="13">
        <f>IF(B$354="","",B$354)</f>
        <v/>
      </c>
      <c r="C355" s="13">
        <f>IF(C$354="","",C$354)</f>
        <v/>
      </c>
      <c r="D355" s="13">
        <f>IF(D$354="","",D$354)</f>
        <v/>
      </c>
      <c r="E355" s="13">
        <f>IF(E$354="","",E$354)</f>
        <v/>
      </c>
      <c r="F355" s="13">
        <f>IF(F$354="","",F$354)</f>
        <v/>
      </c>
      <c r="G355" s="7" t="inlineStr">
        <is>
          <t>Actual</t>
        </is>
      </c>
      <c r="H355" s="18">
        <f>IF(OR($B$354="",1&gt;$C$4),"",SUMIFS(Actuals!$G:$G,Actuals!$B:$B,$C$3,Actuals!$C:$C,1,Actuals!$D:$D,$B$354,Actuals!$A:$A,LEFT($D$354,FIND("|",$D$354&amp;"|")-1),Actuals!$E:$E,MID($D$354,FIND("|",$D$354&amp;"|")+1,50),Actuals!$F:$F,"JPY")*$E$5+SUMIFS(Actuals!$G:$G,Actuals!$B:$B,$C$3,Actuals!$C:$C,1,Actuals!$D:$D,$B$354,Actuals!$A:$A,LEFT($D$354,FIND("|",$D$354&amp;"|")-1),Actuals!$E:$E,MID($D$354,FIND("|",$D$354&amp;"|")+1,50),Actuals!$F:$F,"USD")*$F$5+SUMIFS(Actuals!$G:$G,Actuals!$B:$B,$C$3,Actuals!$C:$C,1,Actuals!$D:$D,$B$354,Actuals!$A:$A,LEFT($D$354,FIND("|",$D$354&amp;"|")-1),Actuals!$E:$E,MID($D$354,FIND("|",$D$354&amp;"|")+1,50),Actuals!$F:$F,"EUR")*$G$5+SUMIFS(Actuals!$G:$G,Actuals!$B:$B,$C$3,Actuals!$C:$C,1,Actuals!$D:$D,$B$354,Actuals!$A:$A,LEFT($D$354,FIND("|",$D$354&amp;"|")-1),Actuals!$E:$E,MID($D$354,FIND("|",$D$354&amp;"|")+1,50),Actuals!$F:$F,"GBP")*$H$5)</f>
        <v/>
      </c>
      <c r="I355" s="18">
        <f>IF(OR($B$354="",2&gt;$C$4),"",SUMIFS(Actuals!$G:$G,Actuals!$B:$B,$C$3,Actuals!$C:$C,2,Actuals!$D:$D,$B$354,Actuals!$A:$A,LEFT($D$354,FIND("|",$D$354&amp;"|")-1),Actuals!$E:$E,MID($D$354,FIND("|",$D$354&amp;"|")+1,50),Actuals!$F:$F,"JPY")*$E$5+SUMIFS(Actuals!$G:$G,Actuals!$B:$B,$C$3,Actuals!$C:$C,2,Actuals!$D:$D,$B$354,Actuals!$A:$A,LEFT($D$354,FIND("|",$D$354&amp;"|")-1),Actuals!$E:$E,MID($D$354,FIND("|",$D$354&amp;"|")+1,50),Actuals!$F:$F,"USD")*$F$5+SUMIFS(Actuals!$G:$G,Actuals!$B:$B,$C$3,Actuals!$C:$C,2,Actuals!$D:$D,$B$354,Actuals!$A:$A,LEFT($D$354,FIND("|",$D$354&amp;"|")-1),Actuals!$E:$E,MID($D$354,FIND("|",$D$354&amp;"|")+1,50),Actuals!$F:$F,"EUR")*$G$5+SUMIFS(Actuals!$G:$G,Actuals!$B:$B,$C$3,Actuals!$C:$C,2,Actuals!$D:$D,$B$354,Actuals!$A:$A,LEFT($D$354,FIND("|",$D$354&amp;"|")-1),Actuals!$E:$E,MID($D$354,FIND("|",$D$354&amp;"|")+1,50),Actuals!$F:$F,"GBP")*$H$5)</f>
        <v/>
      </c>
      <c r="J355" s="18">
        <f>IF(OR($B$354="",3&gt;$C$4),"",SUMIFS(Actuals!$G:$G,Actuals!$B:$B,$C$3,Actuals!$C:$C,3,Actuals!$D:$D,$B$354,Actuals!$A:$A,LEFT($D$354,FIND("|",$D$354&amp;"|")-1),Actuals!$E:$E,MID($D$354,FIND("|",$D$354&amp;"|")+1,50),Actuals!$F:$F,"JPY")*$E$5+SUMIFS(Actuals!$G:$G,Actuals!$B:$B,$C$3,Actuals!$C:$C,3,Actuals!$D:$D,$B$354,Actuals!$A:$A,LEFT($D$354,FIND("|",$D$354&amp;"|")-1),Actuals!$E:$E,MID($D$354,FIND("|",$D$354&amp;"|")+1,50),Actuals!$F:$F,"USD")*$F$5+SUMIFS(Actuals!$G:$G,Actuals!$B:$B,$C$3,Actuals!$C:$C,3,Actuals!$D:$D,$B$354,Actuals!$A:$A,LEFT($D$354,FIND("|",$D$354&amp;"|")-1),Actuals!$E:$E,MID($D$354,FIND("|",$D$354&amp;"|")+1,50),Actuals!$F:$F,"EUR")*$G$5+SUMIFS(Actuals!$G:$G,Actuals!$B:$B,$C$3,Actuals!$C:$C,3,Actuals!$D:$D,$B$354,Actuals!$A:$A,LEFT($D$354,FIND("|",$D$354&amp;"|")-1),Actuals!$E:$E,MID($D$354,FIND("|",$D$354&amp;"|")+1,50),Actuals!$F:$F,"GBP")*$H$5)</f>
        <v/>
      </c>
      <c r="K355" s="18">
        <f>IF(OR($B$354="",4&gt;$C$4),"",SUMIFS(Actuals!$G:$G,Actuals!$B:$B,$C$3,Actuals!$C:$C,4,Actuals!$D:$D,$B$354,Actuals!$A:$A,LEFT($D$354,FIND("|",$D$354&amp;"|")-1),Actuals!$E:$E,MID($D$354,FIND("|",$D$354&amp;"|")+1,50),Actuals!$F:$F,"JPY")*$E$5+SUMIFS(Actuals!$G:$G,Actuals!$B:$B,$C$3,Actuals!$C:$C,4,Actuals!$D:$D,$B$354,Actuals!$A:$A,LEFT($D$354,FIND("|",$D$354&amp;"|")-1),Actuals!$E:$E,MID($D$354,FIND("|",$D$354&amp;"|")+1,50),Actuals!$F:$F,"USD")*$F$5+SUMIFS(Actuals!$G:$G,Actuals!$B:$B,$C$3,Actuals!$C:$C,4,Actuals!$D:$D,$B$354,Actuals!$A:$A,LEFT($D$354,FIND("|",$D$354&amp;"|")-1),Actuals!$E:$E,MID($D$354,FIND("|",$D$354&amp;"|")+1,50),Actuals!$F:$F,"EUR")*$G$5+SUMIFS(Actuals!$G:$G,Actuals!$B:$B,$C$3,Actuals!$C:$C,4,Actuals!$D:$D,$B$354,Actuals!$A:$A,LEFT($D$354,FIND("|",$D$354&amp;"|")-1),Actuals!$E:$E,MID($D$354,FIND("|",$D$354&amp;"|")+1,50),Actuals!$F:$F,"GBP")*$H$5)</f>
        <v/>
      </c>
      <c r="L355" s="18">
        <f>IF(OR($B$354="",5&gt;$C$4),"",SUMIFS(Actuals!$G:$G,Actuals!$B:$B,$C$3,Actuals!$C:$C,5,Actuals!$D:$D,$B$354,Actuals!$A:$A,LEFT($D$354,FIND("|",$D$354&amp;"|")-1),Actuals!$E:$E,MID($D$354,FIND("|",$D$354&amp;"|")+1,50),Actuals!$F:$F,"JPY")*$E$5+SUMIFS(Actuals!$G:$G,Actuals!$B:$B,$C$3,Actuals!$C:$C,5,Actuals!$D:$D,$B$354,Actuals!$A:$A,LEFT($D$354,FIND("|",$D$354&amp;"|")-1),Actuals!$E:$E,MID($D$354,FIND("|",$D$354&amp;"|")+1,50),Actuals!$F:$F,"USD")*$F$5+SUMIFS(Actuals!$G:$G,Actuals!$B:$B,$C$3,Actuals!$C:$C,5,Actuals!$D:$D,$B$354,Actuals!$A:$A,LEFT($D$354,FIND("|",$D$354&amp;"|")-1),Actuals!$E:$E,MID($D$354,FIND("|",$D$354&amp;"|")+1,50),Actuals!$F:$F,"EUR")*$G$5+SUMIFS(Actuals!$G:$G,Actuals!$B:$B,$C$3,Actuals!$C:$C,5,Actuals!$D:$D,$B$354,Actuals!$A:$A,LEFT($D$354,FIND("|",$D$354&amp;"|")-1),Actuals!$E:$E,MID($D$354,FIND("|",$D$354&amp;"|")+1,50),Actuals!$F:$F,"GBP")*$H$5)</f>
        <v/>
      </c>
      <c r="M355" s="18">
        <f>IF(OR($B$354="",6&gt;$C$4),"",SUMIFS(Actuals!$G:$G,Actuals!$B:$B,$C$3,Actuals!$C:$C,6,Actuals!$D:$D,$B$354,Actuals!$A:$A,LEFT($D$354,FIND("|",$D$354&amp;"|")-1),Actuals!$E:$E,MID($D$354,FIND("|",$D$354&amp;"|")+1,50),Actuals!$F:$F,"JPY")*$E$5+SUMIFS(Actuals!$G:$G,Actuals!$B:$B,$C$3,Actuals!$C:$C,6,Actuals!$D:$D,$B$354,Actuals!$A:$A,LEFT($D$354,FIND("|",$D$354&amp;"|")-1),Actuals!$E:$E,MID($D$354,FIND("|",$D$354&amp;"|")+1,50),Actuals!$F:$F,"USD")*$F$5+SUMIFS(Actuals!$G:$G,Actuals!$B:$B,$C$3,Actuals!$C:$C,6,Actuals!$D:$D,$B$354,Actuals!$A:$A,LEFT($D$354,FIND("|",$D$354&amp;"|")-1),Actuals!$E:$E,MID($D$354,FIND("|",$D$354&amp;"|")+1,50),Actuals!$F:$F,"EUR")*$G$5+SUMIFS(Actuals!$G:$G,Actuals!$B:$B,$C$3,Actuals!$C:$C,6,Actuals!$D:$D,$B$354,Actuals!$A:$A,LEFT($D$354,FIND("|",$D$354&amp;"|")-1),Actuals!$E:$E,MID($D$354,FIND("|",$D$354&amp;"|")+1,50),Actuals!$F:$F,"GBP")*$H$5)</f>
        <v/>
      </c>
      <c r="N355" s="18">
        <f>IF(OR($B$354="",7&gt;$C$4),"",SUMIFS(Actuals!$G:$G,Actuals!$B:$B,$C$3,Actuals!$C:$C,7,Actuals!$D:$D,$B$354,Actuals!$A:$A,LEFT($D$354,FIND("|",$D$354&amp;"|")-1),Actuals!$E:$E,MID($D$354,FIND("|",$D$354&amp;"|")+1,50),Actuals!$F:$F,"JPY")*$E$5+SUMIFS(Actuals!$G:$G,Actuals!$B:$B,$C$3,Actuals!$C:$C,7,Actuals!$D:$D,$B$354,Actuals!$A:$A,LEFT($D$354,FIND("|",$D$354&amp;"|")-1),Actuals!$E:$E,MID($D$354,FIND("|",$D$354&amp;"|")+1,50),Actuals!$F:$F,"USD")*$F$5+SUMIFS(Actuals!$G:$G,Actuals!$B:$B,$C$3,Actuals!$C:$C,7,Actuals!$D:$D,$B$354,Actuals!$A:$A,LEFT($D$354,FIND("|",$D$354&amp;"|")-1),Actuals!$E:$E,MID($D$354,FIND("|",$D$354&amp;"|")+1,50),Actuals!$F:$F,"EUR")*$G$5+SUMIFS(Actuals!$G:$G,Actuals!$B:$B,$C$3,Actuals!$C:$C,7,Actuals!$D:$D,$B$354,Actuals!$A:$A,LEFT($D$354,FIND("|",$D$354&amp;"|")-1),Actuals!$E:$E,MID($D$354,FIND("|",$D$354&amp;"|")+1,50),Actuals!$F:$F,"GBP")*$H$5)</f>
        <v/>
      </c>
      <c r="O355" s="18">
        <f>IF(OR($B$354="",8&gt;$C$4),"",SUMIFS(Actuals!$G:$G,Actuals!$B:$B,$C$3,Actuals!$C:$C,8,Actuals!$D:$D,$B$354,Actuals!$A:$A,LEFT($D$354,FIND("|",$D$354&amp;"|")-1),Actuals!$E:$E,MID($D$354,FIND("|",$D$354&amp;"|")+1,50),Actuals!$F:$F,"JPY")*$E$5+SUMIFS(Actuals!$G:$G,Actuals!$B:$B,$C$3,Actuals!$C:$C,8,Actuals!$D:$D,$B$354,Actuals!$A:$A,LEFT($D$354,FIND("|",$D$354&amp;"|")-1),Actuals!$E:$E,MID($D$354,FIND("|",$D$354&amp;"|")+1,50),Actuals!$F:$F,"USD")*$F$5+SUMIFS(Actuals!$G:$G,Actuals!$B:$B,$C$3,Actuals!$C:$C,8,Actuals!$D:$D,$B$354,Actuals!$A:$A,LEFT($D$354,FIND("|",$D$354&amp;"|")-1),Actuals!$E:$E,MID($D$354,FIND("|",$D$354&amp;"|")+1,50),Actuals!$F:$F,"EUR")*$G$5+SUMIFS(Actuals!$G:$G,Actuals!$B:$B,$C$3,Actuals!$C:$C,8,Actuals!$D:$D,$B$354,Actuals!$A:$A,LEFT($D$354,FIND("|",$D$354&amp;"|")-1),Actuals!$E:$E,MID($D$354,FIND("|",$D$354&amp;"|")+1,50),Actuals!$F:$F,"GBP")*$H$5)</f>
        <v/>
      </c>
      <c r="P355" s="18">
        <f>IF(OR($B$354="",9&gt;$C$4),"",SUMIFS(Actuals!$G:$G,Actuals!$B:$B,$C$3,Actuals!$C:$C,9,Actuals!$D:$D,$B$354,Actuals!$A:$A,LEFT($D$354,FIND("|",$D$354&amp;"|")-1),Actuals!$E:$E,MID($D$354,FIND("|",$D$354&amp;"|")+1,50),Actuals!$F:$F,"JPY")*$E$5+SUMIFS(Actuals!$G:$G,Actuals!$B:$B,$C$3,Actuals!$C:$C,9,Actuals!$D:$D,$B$354,Actuals!$A:$A,LEFT($D$354,FIND("|",$D$354&amp;"|")-1),Actuals!$E:$E,MID($D$354,FIND("|",$D$354&amp;"|")+1,50),Actuals!$F:$F,"USD")*$F$5+SUMIFS(Actuals!$G:$G,Actuals!$B:$B,$C$3,Actuals!$C:$C,9,Actuals!$D:$D,$B$354,Actuals!$A:$A,LEFT($D$354,FIND("|",$D$354&amp;"|")-1),Actuals!$E:$E,MID($D$354,FIND("|",$D$354&amp;"|")+1,50),Actuals!$F:$F,"EUR")*$G$5+SUMIFS(Actuals!$G:$G,Actuals!$B:$B,$C$3,Actuals!$C:$C,9,Actuals!$D:$D,$B$354,Actuals!$A:$A,LEFT($D$354,FIND("|",$D$354&amp;"|")-1),Actuals!$E:$E,MID($D$354,FIND("|",$D$354&amp;"|")+1,50),Actuals!$F:$F,"GBP")*$H$5)</f>
        <v/>
      </c>
      <c r="Q355" s="18">
        <f>IF(OR($B$354="",10&gt;$C$4),"",SUMIFS(Actuals!$G:$G,Actuals!$B:$B,$C$3,Actuals!$C:$C,10,Actuals!$D:$D,$B$354,Actuals!$A:$A,LEFT($D$354,FIND("|",$D$354&amp;"|")-1),Actuals!$E:$E,MID($D$354,FIND("|",$D$354&amp;"|")+1,50),Actuals!$F:$F,"JPY")*$E$5+SUMIFS(Actuals!$G:$G,Actuals!$B:$B,$C$3,Actuals!$C:$C,10,Actuals!$D:$D,$B$354,Actuals!$A:$A,LEFT($D$354,FIND("|",$D$354&amp;"|")-1),Actuals!$E:$E,MID($D$354,FIND("|",$D$354&amp;"|")+1,50),Actuals!$F:$F,"USD")*$F$5+SUMIFS(Actuals!$G:$G,Actuals!$B:$B,$C$3,Actuals!$C:$C,10,Actuals!$D:$D,$B$354,Actuals!$A:$A,LEFT($D$354,FIND("|",$D$354&amp;"|")-1),Actuals!$E:$E,MID($D$354,FIND("|",$D$354&amp;"|")+1,50),Actuals!$F:$F,"EUR")*$G$5+SUMIFS(Actuals!$G:$G,Actuals!$B:$B,$C$3,Actuals!$C:$C,10,Actuals!$D:$D,$B$354,Actuals!$A:$A,LEFT($D$354,FIND("|",$D$354&amp;"|")-1),Actuals!$E:$E,MID($D$354,FIND("|",$D$354&amp;"|")+1,50),Actuals!$F:$F,"GBP")*$H$5)</f>
        <v/>
      </c>
      <c r="R355" s="18">
        <f>IF(OR($B$354="",11&gt;$C$4),"",SUMIFS(Actuals!$G:$G,Actuals!$B:$B,$C$3,Actuals!$C:$C,11,Actuals!$D:$D,$B$354,Actuals!$A:$A,LEFT($D$354,FIND("|",$D$354&amp;"|")-1),Actuals!$E:$E,MID($D$354,FIND("|",$D$354&amp;"|")+1,50),Actuals!$F:$F,"JPY")*$E$5+SUMIFS(Actuals!$G:$G,Actuals!$B:$B,$C$3,Actuals!$C:$C,11,Actuals!$D:$D,$B$354,Actuals!$A:$A,LEFT($D$354,FIND("|",$D$354&amp;"|")-1),Actuals!$E:$E,MID($D$354,FIND("|",$D$354&amp;"|")+1,50),Actuals!$F:$F,"USD")*$F$5+SUMIFS(Actuals!$G:$G,Actuals!$B:$B,$C$3,Actuals!$C:$C,11,Actuals!$D:$D,$B$354,Actuals!$A:$A,LEFT($D$354,FIND("|",$D$354&amp;"|")-1),Actuals!$E:$E,MID($D$354,FIND("|",$D$354&amp;"|")+1,50),Actuals!$F:$F,"EUR")*$G$5+SUMIFS(Actuals!$G:$G,Actuals!$B:$B,$C$3,Actuals!$C:$C,11,Actuals!$D:$D,$B$354,Actuals!$A:$A,LEFT($D$354,FIND("|",$D$354&amp;"|")-1),Actuals!$E:$E,MID($D$354,FIND("|",$D$354&amp;"|")+1,50),Actuals!$F:$F,"GBP")*$H$5)</f>
        <v/>
      </c>
      <c r="S355" s="18">
        <f>IF(OR($B$354="",12&gt;$C$4),"",SUMIFS(Actuals!$G:$G,Actuals!$B:$B,$C$3,Actuals!$C:$C,12,Actuals!$D:$D,$B$354,Actuals!$A:$A,LEFT($D$354,FIND("|",$D$354&amp;"|")-1),Actuals!$E:$E,MID($D$354,FIND("|",$D$354&amp;"|")+1,50),Actuals!$F:$F,"JPY")*$E$5+SUMIFS(Actuals!$G:$G,Actuals!$B:$B,$C$3,Actuals!$C:$C,12,Actuals!$D:$D,$B$354,Actuals!$A:$A,LEFT($D$354,FIND("|",$D$354&amp;"|")-1),Actuals!$E:$E,MID($D$354,FIND("|",$D$354&amp;"|")+1,50),Actuals!$F:$F,"USD")*$F$5+SUMIFS(Actuals!$G:$G,Actuals!$B:$B,$C$3,Actuals!$C:$C,12,Actuals!$D:$D,$B$354,Actuals!$A:$A,LEFT($D$354,FIND("|",$D$354&amp;"|")-1),Actuals!$E:$E,MID($D$354,FIND("|",$D$354&amp;"|")+1,50),Actuals!$F:$F,"EUR")*$G$5+SUMIFS(Actuals!$G:$G,Actuals!$B:$B,$C$3,Actuals!$C:$C,12,Actuals!$D:$D,$B$354,Actuals!$A:$A,LEFT($D$354,FIND("|",$D$354&amp;"|")-1),Actuals!$E:$E,MID($D$354,FIND("|",$D$354&amp;"|")+1,50),Actuals!$F:$F,"GBP")*$H$5)</f>
        <v/>
      </c>
      <c r="T355" s="18">
        <f>IF($B$354="","",SUMIF($H$7:$S$7,"&lt;="&amp;$C$4,$H355:$S355))</f>
        <v/>
      </c>
      <c r="U355" s="18" t="n"/>
      <c r="V355" s="18" t="n"/>
      <c r="X355" s="22">
        <f>IF($B355="","",IFERROR(INDEX(Cost_Centers!$E:$E,MATCH($B355,Cost_Centers!$A:$A,0)),"(unknown)"))</f>
        <v/>
      </c>
      <c r="Y355" s="22">
        <f>IF($B355="","",IFERROR(INDEX(Cost_Centers!$D:$D,MATCH($B355,Cost_Centers!$A:$A,0)),"(unknown)"))</f>
        <v/>
      </c>
      <c r="Z355" s="22">
        <f>IF(OR($B355="",$G355&lt;&gt;"Variance vs Budget"),"",ABS(N($V355))+ROW()/1000000000)</f>
        <v/>
      </c>
    </row>
    <row r="356">
      <c r="A356" s="13">
        <f>IF(A$354="","",A$354)</f>
        <v/>
      </c>
      <c r="B356" s="13">
        <f>IF(B$354="","",B$354)</f>
        <v/>
      </c>
      <c r="C356" s="13">
        <f>IF(C$354="","",C$354)</f>
        <v/>
      </c>
      <c r="D356" s="13">
        <f>IF(D$354="","",D$354)</f>
        <v/>
      </c>
      <c r="E356" s="13">
        <f>IF(E$354="","",E$354)</f>
        <v/>
      </c>
      <c r="F356" s="13">
        <f>IF(F$354="","",F$354)</f>
        <v/>
      </c>
      <c r="G356" s="6" t="inlineStr">
        <is>
          <t>Variance vs Budget</t>
        </is>
      </c>
      <c r="H356" s="33">
        <f>IF(OR($B$354="",1&gt;$C$4),"",N(H355)-H354)</f>
        <v/>
      </c>
      <c r="I356" s="33">
        <f>IF(OR($B$354="",2&gt;$C$4),"",N(I355)-I354)</f>
        <v/>
      </c>
      <c r="J356" s="33">
        <f>IF(OR($B$354="",3&gt;$C$4),"",N(J355)-J354)</f>
        <v/>
      </c>
      <c r="K356" s="33">
        <f>IF(OR($B$354="",4&gt;$C$4),"",N(K355)-K354)</f>
        <v/>
      </c>
      <c r="L356" s="33">
        <f>IF(OR($B$354="",5&gt;$C$4),"",N(L355)-L354)</f>
        <v/>
      </c>
      <c r="M356" s="33">
        <f>IF(OR($B$354="",6&gt;$C$4),"",N(M355)-M354)</f>
        <v/>
      </c>
      <c r="N356" s="33">
        <f>IF(OR($B$354="",7&gt;$C$4),"",N(N355)-N354)</f>
        <v/>
      </c>
      <c r="O356" s="33">
        <f>IF(OR($B$354="",8&gt;$C$4),"",N(O355)-O354)</f>
        <v/>
      </c>
      <c r="P356" s="33">
        <f>IF(OR($B$354="",9&gt;$C$4),"",N(P355)-P354)</f>
        <v/>
      </c>
      <c r="Q356" s="33">
        <f>IF(OR($B$354="",10&gt;$C$4),"",N(Q355)-Q354)</f>
        <v/>
      </c>
      <c r="R356" s="33">
        <f>IF(OR($B$354="",11&gt;$C$4),"",N(R355)-R354)</f>
        <v/>
      </c>
      <c r="S356" s="33">
        <f>IF(OR($B$354="",12&gt;$C$4),"",N(S355)-S354)</f>
        <v/>
      </c>
      <c r="T356" s="33">
        <f>IF($B$354="","",T355-T354)</f>
        <v/>
      </c>
      <c r="U356" s="33">
        <f>IF($B$354="","",U358-U354)</f>
        <v/>
      </c>
      <c r="V356" s="33">
        <f>IF($B$354="","",V358-V354)</f>
        <v/>
      </c>
      <c r="X356" s="22">
        <f>IF($B356="","",IFERROR(INDEX(Cost_Centers!$E:$E,MATCH($B356,Cost_Centers!$A:$A,0)),"(unknown)"))</f>
        <v/>
      </c>
      <c r="Y356" s="22">
        <f>IF($B356="","",IFERROR(INDEX(Cost_Centers!$D:$D,MATCH($B356,Cost_Centers!$A:$A,0)),"(unknown)"))</f>
        <v/>
      </c>
      <c r="Z356" s="22">
        <f>IF(OR($B356="",$G356&lt;&gt;"Variance vs Budget"),"",ABS(N($V356))+ROW()/1000000000)</f>
        <v/>
      </c>
    </row>
    <row r="357">
      <c r="A357" s="13">
        <f>IF(A$354="","",A$354)</f>
        <v/>
      </c>
      <c r="B357" s="13">
        <f>IF(B$354="","",B$354)</f>
        <v/>
      </c>
      <c r="C357" s="13">
        <f>IF(C$354="","",C$354)</f>
        <v/>
      </c>
      <c r="D357" s="13">
        <f>IF(D$354="","",D$354)</f>
        <v/>
      </c>
      <c r="E357" s="13">
        <f>IF(E$354="","",E$354)</f>
        <v/>
      </c>
      <c r="F357" s="13">
        <f>IF(F$354="","",F$354)</f>
        <v/>
      </c>
      <c r="G357" s="7" t="inlineStr">
        <is>
          <t>Forecast (input)</t>
        </is>
      </c>
      <c r="H357" s="34" t="n"/>
      <c r="I357" s="34" t="n"/>
      <c r="J357" s="34" t="n"/>
      <c r="K357" s="34" t="n"/>
      <c r="L357" s="34" t="n"/>
      <c r="M357" s="34" t="n"/>
      <c r="N357" s="34" t="n"/>
      <c r="O357" s="34" t="n"/>
      <c r="P357" s="34" t="n"/>
      <c r="Q357" s="34" t="n"/>
      <c r="R357" s="34" t="n"/>
      <c r="S357" s="34" t="n"/>
      <c r="T357" s="18" t="n"/>
      <c r="U357" s="18" t="n"/>
      <c r="V357" s="18" t="n"/>
      <c r="X357" s="22">
        <f>IF($B357="","",IFERROR(INDEX(Cost_Centers!$E:$E,MATCH($B357,Cost_Centers!$A:$A,0)),"(unknown)"))</f>
        <v/>
      </c>
      <c r="Y357" s="22">
        <f>IF($B357="","",IFERROR(INDEX(Cost_Centers!$D:$D,MATCH($B357,Cost_Centers!$A:$A,0)),"(unknown)"))</f>
        <v/>
      </c>
      <c r="Z357" s="22">
        <f>IF(OR($B357="",$G357&lt;&gt;"Variance vs Budget"),"",ABS(N($V357))+ROW()/1000000000)</f>
        <v/>
      </c>
    </row>
    <row r="358">
      <c r="A358" s="13">
        <f>IF(A$354="","",A$354)</f>
        <v/>
      </c>
      <c r="B358" s="13">
        <f>IF(B$354="","",B$354)</f>
        <v/>
      </c>
      <c r="C358" s="13">
        <f>IF(C$354="","",C$354)</f>
        <v/>
      </c>
      <c r="D358" s="13">
        <f>IF(D$354="","",D$354)</f>
        <v/>
      </c>
      <c r="E358" s="13">
        <f>IF(E$354="","",E$354)</f>
        <v/>
      </c>
      <c r="F358" s="13">
        <f>IF(F$354="","",F$354)</f>
        <v/>
      </c>
      <c r="G358" s="35" t="inlineStr">
        <is>
          <t>Actual + Forecast</t>
        </is>
      </c>
      <c r="H358" s="18">
        <f>IF($B$354="","",IF(1&lt;=$C$4,N(H355),IF(H357="",H354,H357)))</f>
        <v/>
      </c>
      <c r="I358" s="18">
        <f>IF($B$354="","",IF(2&lt;=$C$4,N(I355),IF(I357="",I354,I357)))</f>
        <v/>
      </c>
      <c r="J358" s="18">
        <f>IF($B$354="","",IF(3&lt;=$C$4,N(J355),IF(J357="",J354,J357)))</f>
        <v/>
      </c>
      <c r="K358" s="18">
        <f>IF($B$354="","",IF(4&lt;=$C$4,N(K355),IF(K357="",K354,K357)))</f>
        <v/>
      </c>
      <c r="L358" s="18">
        <f>IF($B$354="","",IF(5&lt;=$C$4,N(L355),IF(L357="",L354,L357)))</f>
        <v/>
      </c>
      <c r="M358" s="18">
        <f>IF($B$354="","",IF(6&lt;=$C$4,N(M355),IF(M357="",M354,M357)))</f>
        <v/>
      </c>
      <c r="N358" s="18">
        <f>IF($B$354="","",IF(7&lt;=$C$4,N(N355),IF(N357="",N354,N357)))</f>
        <v/>
      </c>
      <c r="O358" s="18">
        <f>IF($B$354="","",IF(8&lt;=$C$4,N(O355),IF(O357="",O354,O357)))</f>
        <v/>
      </c>
      <c r="P358" s="18">
        <f>IF($B$354="","",IF(9&lt;=$C$4,N(P355),IF(P357="",P354,P357)))</f>
        <v/>
      </c>
      <c r="Q358" s="18">
        <f>IF($B$354="","",IF(10&lt;=$C$4,N(Q355),IF(Q357="",Q354,Q357)))</f>
        <v/>
      </c>
      <c r="R358" s="18">
        <f>IF($B$354="","",IF(11&lt;=$C$4,N(R355),IF(R357="",R354,R357)))</f>
        <v/>
      </c>
      <c r="S358" s="18">
        <f>IF($B$354="","",IF(12&lt;=$C$4,N(S355),IF(S357="",S354,S357)))</f>
        <v/>
      </c>
      <c r="T358" s="18">
        <f>IF($B$354="","",SUMIF($H$7:$S$7,"&lt;="&amp;$C$4,$H358:$S358))</f>
        <v/>
      </c>
      <c r="U358" s="18">
        <f>IF($B$354="","",SUMIF($H$7:$S$7,"&gt;"&amp;$C$4,$H358:$S358))</f>
        <v/>
      </c>
      <c r="V358" s="18">
        <f>IF($B$354="","",SUM($H358:$S358))</f>
        <v/>
      </c>
      <c r="X358" s="22">
        <f>IF($B358="","",IFERROR(INDEX(Cost_Centers!$E:$E,MATCH($B358,Cost_Centers!$A:$A,0)),"(unknown)"))</f>
        <v/>
      </c>
      <c r="Y358" s="22">
        <f>IF($B358="","",IFERROR(INDEX(Cost_Centers!$D:$D,MATCH($B358,Cost_Centers!$A:$A,0)),"(unknown)"))</f>
        <v/>
      </c>
      <c r="Z358" s="22">
        <f>IF(OR($B358="",$G358&lt;&gt;"Variance vs Budget"),"",ABS(N($V358))+ROW()/1000000000)</f>
        <v/>
      </c>
    </row>
    <row r="359">
      <c r="A359" s="13">
        <f>IF(A$354="","",A$354)</f>
        <v/>
      </c>
      <c r="B359" s="13">
        <f>IF(B$354="","",B$354)</f>
        <v/>
      </c>
      <c r="C359" s="13">
        <f>IF(C$354="","",C$354)</f>
        <v/>
      </c>
      <c r="D359" s="13">
        <f>IF(D$354="","",D$354)</f>
        <v/>
      </c>
      <c r="E359" s="13">
        <f>IF(E$354="","",E$354)</f>
        <v/>
      </c>
      <c r="F359" s="13">
        <f>IF(F$354="","",F$354)</f>
        <v/>
      </c>
      <c r="G359" s="36" t="inlineStr">
        <is>
          <t>Prior Month Forecast</t>
        </is>
      </c>
      <c r="H359" s="37">
        <f>IF($B$354="","",IF(COUNTIFS(Prior_Forecast!$A:$A,$B$354,Prior_Forecast!$B:$B,$D$354)&gt;0,SUMIFS(Prior_Forecast!$C:$C,Prior_Forecast!$A:$A,$B$354,Prior_Forecast!$B:$B,$D$354),""))</f>
        <v/>
      </c>
      <c r="I359" s="37">
        <f>IF($B$354="","",IF(COUNTIFS(Prior_Forecast!$A:$A,$B$354,Prior_Forecast!$B:$B,$D$354)&gt;0,SUMIFS(Prior_Forecast!$D:$D,Prior_Forecast!$A:$A,$B$354,Prior_Forecast!$B:$B,$D$354),""))</f>
        <v/>
      </c>
      <c r="J359" s="37">
        <f>IF($B$354="","",IF(COUNTIFS(Prior_Forecast!$A:$A,$B$354,Prior_Forecast!$B:$B,$D$354)&gt;0,SUMIFS(Prior_Forecast!$E:$E,Prior_Forecast!$A:$A,$B$354,Prior_Forecast!$B:$B,$D$354),""))</f>
        <v/>
      </c>
      <c r="K359" s="37">
        <f>IF($B$354="","",IF(COUNTIFS(Prior_Forecast!$A:$A,$B$354,Prior_Forecast!$B:$B,$D$354)&gt;0,SUMIFS(Prior_Forecast!$F:$F,Prior_Forecast!$A:$A,$B$354,Prior_Forecast!$B:$B,$D$354),""))</f>
        <v/>
      </c>
      <c r="L359" s="37">
        <f>IF($B$354="","",IF(COUNTIFS(Prior_Forecast!$A:$A,$B$354,Prior_Forecast!$B:$B,$D$354)&gt;0,SUMIFS(Prior_Forecast!$G:$G,Prior_Forecast!$A:$A,$B$354,Prior_Forecast!$B:$B,$D$354),""))</f>
        <v/>
      </c>
      <c r="M359" s="37">
        <f>IF($B$354="","",IF(COUNTIFS(Prior_Forecast!$A:$A,$B$354,Prior_Forecast!$B:$B,$D$354)&gt;0,SUMIFS(Prior_Forecast!$H:$H,Prior_Forecast!$A:$A,$B$354,Prior_Forecast!$B:$B,$D$354),""))</f>
        <v/>
      </c>
      <c r="N359" s="37">
        <f>IF($B$354="","",IF(COUNTIFS(Prior_Forecast!$A:$A,$B$354,Prior_Forecast!$B:$B,$D$354)&gt;0,SUMIFS(Prior_Forecast!$I:$I,Prior_Forecast!$A:$A,$B$354,Prior_Forecast!$B:$B,$D$354),""))</f>
        <v/>
      </c>
      <c r="O359" s="37">
        <f>IF($B$354="","",IF(COUNTIFS(Prior_Forecast!$A:$A,$B$354,Prior_Forecast!$B:$B,$D$354)&gt;0,SUMIFS(Prior_Forecast!$J:$J,Prior_Forecast!$A:$A,$B$354,Prior_Forecast!$B:$B,$D$354),""))</f>
        <v/>
      </c>
      <c r="P359" s="37">
        <f>IF($B$354="","",IF(COUNTIFS(Prior_Forecast!$A:$A,$B$354,Prior_Forecast!$B:$B,$D$354)&gt;0,SUMIFS(Prior_Forecast!$K:$K,Prior_Forecast!$A:$A,$B$354,Prior_Forecast!$B:$B,$D$354),""))</f>
        <v/>
      </c>
      <c r="Q359" s="37">
        <f>IF($B$354="","",IF(COUNTIFS(Prior_Forecast!$A:$A,$B$354,Prior_Forecast!$B:$B,$D$354)&gt;0,SUMIFS(Prior_Forecast!$L:$L,Prior_Forecast!$A:$A,$B$354,Prior_Forecast!$B:$B,$D$354),""))</f>
        <v/>
      </c>
      <c r="R359" s="37">
        <f>IF($B$354="","",IF(COUNTIFS(Prior_Forecast!$A:$A,$B$354,Prior_Forecast!$B:$B,$D$354)&gt;0,SUMIFS(Prior_Forecast!$M:$M,Prior_Forecast!$A:$A,$B$354,Prior_Forecast!$B:$B,$D$354),""))</f>
        <v/>
      </c>
      <c r="S359" s="37">
        <f>IF($B$354="","",IF(COUNTIFS(Prior_Forecast!$A:$A,$B$354,Prior_Forecast!$B:$B,$D$354)&gt;0,SUMIFS(Prior_Forecast!$N:$N,Prior_Forecast!$A:$A,$B$354,Prior_Forecast!$B:$B,$D$354),""))</f>
        <v/>
      </c>
      <c r="T359" s="37">
        <f>IF($B$354="","",IF(COUNTIFS(Prior_Forecast!$A:$A,$B$354,Prior_Forecast!$B:$B,$D$354)&gt;0,SUMIFS(Prior_Forecast!$O:$O,Prior_Forecast!$A:$A,$B$354,Prior_Forecast!$B:$B,$D$354),""))</f>
        <v/>
      </c>
      <c r="U359" s="37">
        <f>IF($B$354="","",IF(COUNTIFS(Prior_Forecast!$A:$A,$B$354,Prior_Forecast!$B:$B,$D$354)&gt;0,SUMIFS(Prior_Forecast!$P:$P,Prior_Forecast!$A:$A,$B$354,Prior_Forecast!$B:$B,$D$354),""))</f>
        <v/>
      </c>
      <c r="V359" s="37">
        <f>IF($B$354="","",IF(COUNTIFS(Prior_Forecast!$A:$A,$B$354,Prior_Forecast!$B:$B,$D$354)&gt;0,SUMIFS(Prior_Forecast!$Q:$Q,Prior_Forecast!$A:$A,$B$354,Prior_Forecast!$B:$B,$D$354),""))</f>
        <v/>
      </c>
      <c r="X359" s="22">
        <f>IF($B359="","",IFERROR(INDEX(Cost_Centers!$E:$E,MATCH($B359,Cost_Centers!$A:$A,0)),"(unknown)"))</f>
        <v/>
      </c>
      <c r="Y359" s="22">
        <f>IF($B359="","",IFERROR(INDEX(Cost_Centers!$D:$D,MATCH($B359,Cost_Centers!$A:$A,0)),"(unknown)"))</f>
        <v/>
      </c>
      <c r="Z359" s="22">
        <f>IF(OR($B359="",$G359&lt;&gt;"Variance vs Budget"),"",ABS(N($V359))+ROW()/1000000000)</f>
        <v/>
      </c>
    </row>
    <row r="360">
      <c r="A360" s="13">
        <f>IF(A$354="","",A$354)</f>
        <v/>
      </c>
      <c r="B360" s="13">
        <f>IF(B$354="","",B$354)</f>
        <v/>
      </c>
      <c r="C360" s="13">
        <f>IF(C$354="","",C$354)</f>
        <v/>
      </c>
      <c r="D360" s="13">
        <f>IF(D$354="","",D$354)</f>
        <v/>
      </c>
      <c r="E360" s="13">
        <f>IF(E$354="","",E$354)</f>
        <v/>
      </c>
      <c r="F360" s="13">
        <f>IF(F$354="","",F$354)</f>
        <v/>
      </c>
      <c r="G360" s="6" t="inlineStr">
        <is>
          <t>Variance vs Prior Month</t>
        </is>
      </c>
      <c r="H360" s="33">
        <f>IF(OR($B$354="",H359=""),"",H358-H359)</f>
        <v/>
      </c>
      <c r="I360" s="33">
        <f>IF(OR($B$354="",I359=""),"",I358-I359)</f>
        <v/>
      </c>
      <c r="J360" s="33">
        <f>IF(OR($B$354="",J359=""),"",J358-J359)</f>
        <v/>
      </c>
      <c r="K360" s="33">
        <f>IF(OR($B$354="",K359=""),"",K358-K359)</f>
        <v/>
      </c>
      <c r="L360" s="33">
        <f>IF(OR($B$354="",L359=""),"",L358-L359)</f>
        <v/>
      </c>
      <c r="M360" s="33">
        <f>IF(OR($B$354="",M359=""),"",M358-M359)</f>
        <v/>
      </c>
      <c r="N360" s="33">
        <f>IF(OR($B$354="",N359=""),"",N358-N359)</f>
        <v/>
      </c>
      <c r="O360" s="33">
        <f>IF(OR($B$354="",O359=""),"",O358-O359)</f>
        <v/>
      </c>
      <c r="P360" s="33">
        <f>IF(OR($B$354="",P359=""),"",P358-P359)</f>
        <v/>
      </c>
      <c r="Q360" s="33">
        <f>IF(OR($B$354="",Q359=""),"",Q358-Q359)</f>
        <v/>
      </c>
      <c r="R360" s="33">
        <f>IF(OR($B$354="",R359=""),"",R358-R359)</f>
        <v/>
      </c>
      <c r="S360" s="33">
        <f>IF(OR($B$354="",S359=""),"",S358-S359)</f>
        <v/>
      </c>
      <c r="T360" s="33">
        <f>IF(OR($B$354="",T359=""),"",T358-T359)</f>
        <v/>
      </c>
      <c r="U360" s="33">
        <f>IF(OR($B$354="",U359=""),"",U358-U359)</f>
        <v/>
      </c>
      <c r="V360" s="33">
        <f>IF(OR($B$354="",V359=""),"",V358-V359)</f>
        <v/>
      </c>
      <c r="X360" s="22">
        <f>IF($B360="","",IFERROR(INDEX(Cost_Centers!$E:$E,MATCH($B360,Cost_Centers!$A:$A,0)),"(unknown)"))</f>
        <v/>
      </c>
      <c r="Y360" s="22">
        <f>IF($B360="","",IFERROR(INDEX(Cost_Centers!$D:$D,MATCH($B360,Cost_Centers!$A:$A,0)),"(unknown)"))</f>
        <v/>
      </c>
      <c r="Z360" s="22">
        <f>IF(OR($B360="",$G360&lt;&gt;"Variance vs Budget"),"",ABS(N($V360))+ROW()/1000000000)</f>
        <v/>
      </c>
    </row>
    <row r="361" ht="45" customHeight="1">
      <c r="A361" s="13">
        <f>IF(A$354="","",A$354)</f>
        <v/>
      </c>
      <c r="B361" s="13">
        <f>IF(B$354="","",B$354)</f>
        <v/>
      </c>
      <c r="C361" s="13">
        <f>IF(C$354="","",C$354)</f>
        <v/>
      </c>
      <c r="D361" s="13">
        <f>IF(D$354="","",D$354)</f>
        <v/>
      </c>
      <c r="E361" s="13">
        <f>IF(E$354="","",E$354)</f>
        <v/>
      </c>
      <c r="F361" s="13">
        <f>IF(F$354="","",F$354)</f>
        <v/>
      </c>
      <c r="G361" s="7" t="inlineStr">
        <is>
          <t>Rationale</t>
        </is>
      </c>
      <c r="H361" s="38" t="n"/>
      <c r="I361" s="38" t="n"/>
      <c r="J361" s="38" t="n"/>
      <c r="K361" s="38" t="n"/>
      <c r="L361" s="38" t="n"/>
      <c r="M361" s="38" t="n"/>
      <c r="N361" s="38" t="n"/>
      <c r="O361" s="38" t="n"/>
      <c r="P361" s="38" t="n"/>
      <c r="Q361" s="38" t="n"/>
      <c r="R361" s="38" t="n"/>
      <c r="S361" s="38" t="n"/>
      <c r="T361" s="38" t="n"/>
      <c r="U361" s="38" t="n"/>
      <c r="V361" s="7" t="n"/>
      <c r="X361" s="22">
        <f>IF($B361="","",IFERROR(INDEX(Cost_Centers!$E:$E,MATCH($B361,Cost_Centers!$A:$A,0)),"(unknown)"))</f>
        <v/>
      </c>
      <c r="Y361" s="22">
        <f>IF($B361="","",IFERROR(INDEX(Cost_Centers!$D:$D,MATCH($B361,Cost_Centers!$A:$A,0)),"(unknown)"))</f>
        <v/>
      </c>
      <c r="Z361" s="22">
        <f>IF(OR($B361="",$G361&lt;&gt;"Variance vs Budget"),"",ABS(N($V361))+ROW()/1000000000)</f>
        <v/>
      </c>
    </row>
    <row r="362">
      <c r="A362" s="30">
        <f>IF($D$362="","",LEFT($D$362,FIND("|",$D$362&amp;"|")-1))</f>
        <v/>
      </c>
      <c r="B362" s="31" t="n"/>
      <c r="C362" s="30">
        <f>IF($B$362="","",IFERROR(INDEX(Cost_Centers!$B:$B,MATCH($B$362,Cost_Centers!$A:$A,0)),"(not in master)"))</f>
        <v/>
      </c>
      <c r="D362" s="31" t="n"/>
      <c r="E362" s="30">
        <f>IF($D$362="","",IFERROR(INDEX(Accounts!$D:$D,MATCH($D$362,Accounts!$A:$A,0)),"(not in master)"))</f>
        <v/>
      </c>
      <c r="F362" s="31" t="n"/>
      <c r="G362" s="30" t="inlineStr">
        <is>
          <t>Budget</t>
        </is>
      </c>
      <c r="H362" s="32">
        <f>IF($B$362="","",SUMIFS(Opex_Budget!$O:$O,Opex_Budget!$A:$A,$C$3,Opex_Budget!$E:$E,$B$362,Opex_Budget!$F:$F,$D$362,Opex_Budget!$N:$N,"JPY")*$E$5+SUMIFS(Opex_Budget!$O:$O,Opex_Budget!$A:$A,$C$3,Opex_Budget!$E:$E,$B$362,Opex_Budget!$F:$F,$D$362,Opex_Budget!$N:$N,"USD")*$F$5+SUMIFS(Opex_Budget!$O:$O,Opex_Budget!$A:$A,$C$3,Opex_Budget!$E:$E,$B$362,Opex_Budget!$F:$F,$D$362,Opex_Budget!$N:$N,"EUR")*$G$5+SUMIFS(Opex_Budget!$O:$O,Opex_Budget!$A:$A,$C$3,Opex_Budget!$E:$E,$B$362,Opex_Budget!$F:$F,$D$362,Opex_Budget!$N:$N,"GBP")*$H$5)</f>
        <v/>
      </c>
      <c r="I362" s="32">
        <f>IF($B$362="","",SUMIFS(Opex_Budget!$P:$P,Opex_Budget!$A:$A,$C$3,Opex_Budget!$E:$E,$B$362,Opex_Budget!$F:$F,$D$362,Opex_Budget!$N:$N,"JPY")*$E$5+SUMIFS(Opex_Budget!$P:$P,Opex_Budget!$A:$A,$C$3,Opex_Budget!$E:$E,$B$362,Opex_Budget!$F:$F,$D$362,Opex_Budget!$N:$N,"USD")*$F$5+SUMIFS(Opex_Budget!$P:$P,Opex_Budget!$A:$A,$C$3,Opex_Budget!$E:$E,$B$362,Opex_Budget!$F:$F,$D$362,Opex_Budget!$N:$N,"EUR")*$G$5+SUMIFS(Opex_Budget!$P:$P,Opex_Budget!$A:$A,$C$3,Opex_Budget!$E:$E,$B$362,Opex_Budget!$F:$F,$D$362,Opex_Budget!$N:$N,"GBP")*$H$5)</f>
        <v/>
      </c>
      <c r="J362" s="32">
        <f>IF($B$362="","",SUMIFS(Opex_Budget!$Q:$Q,Opex_Budget!$A:$A,$C$3,Opex_Budget!$E:$E,$B$362,Opex_Budget!$F:$F,$D$362,Opex_Budget!$N:$N,"JPY")*$E$5+SUMIFS(Opex_Budget!$Q:$Q,Opex_Budget!$A:$A,$C$3,Opex_Budget!$E:$E,$B$362,Opex_Budget!$F:$F,$D$362,Opex_Budget!$N:$N,"USD")*$F$5+SUMIFS(Opex_Budget!$Q:$Q,Opex_Budget!$A:$A,$C$3,Opex_Budget!$E:$E,$B$362,Opex_Budget!$F:$F,$D$362,Opex_Budget!$N:$N,"EUR")*$G$5+SUMIFS(Opex_Budget!$Q:$Q,Opex_Budget!$A:$A,$C$3,Opex_Budget!$E:$E,$B$362,Opex_Budget!$F:$F,$D$362,Opex_Budget!$N:$N,"GBP")*$H$5)</f>
        <v/>
      </c>
      <c r="K362" s="32">
        <f>IF($B$362="","",SUMIFS(Opex_Budget!$R:$R,Opex_Budget!$A:$A,$C$3,Opex_Budget!$E:$E,$B$362,Opex_Budget!$F:$F,$D$362,Opex_Budget!$N:$N,"JPY")*$E$5+SUMIFS(Opex_Budget!$R:$R,Opex_Budget!$A:$A,$C$3,Opex_Budget!$E:$E,$B$362,Opex_Budget!$F:$F,$D$362,Opex_Budget!$N:$N,"USD")*$F$5+SUMIFS(Opex_Budget!$R:$R,Opex_Budget!$A:$A,$C$3,Opex_Budget!$E:$E,$B$362,Opex_Budget!$F:$F,$D$362,Opex_Budget!$N:$N,"EUR")*$G$5+SUMIFS(Opex_Budget!$R:$R,Opex_Budget!$A:$A,$C$3,Opex_Budget!$E:$E,$B$362,Opex_Budget!$F:$F,$D$362,Opex_Budget!$N:$N,"GBP")*$H$5)</f>
        <v/>
      </c>
      <c r="L362" s="32">
        <f>IF($B$362="","",SUMIFS(Opex_Budget!$S:$S,Opex_Budget!$A:$A,$C$3,Opex_Budget!$E:$E,$B$362,Opex_Budget!$F:$F,$D$362,Opex_Budget!$N:$N,"JPY")*$E$5+SUMIFS(Opex_Budget!$S:$S,Opex_Budget!$A:$A,$C$3,Opex_Budget!$E:$E,$B$362,Opex_Budget!$F:$F,$D$362,Opex_Budget!$N:$N,"USD")*$F$5+SUMIFS(Opex_Budget!$S:$S,Opex_Budget!$A:$A,$C$3,Opex_Budget!$E:$E,$B$362,Opex_Budget!$F:$F,$D$362,Opex_Budget!$N:$N,"EUR")*$G$5+SUMIFS(Opex_Budget!$S:$S,Opex_Budget!$A:$A,$C$3,Opex_Budget!$E:$E,$B$362,Opex_Budget!$F:$F,$D$362,Opex_Budget!$N:$N,"GBP")*$H$5)</f>
        <v/>
      </c>
      <c r="M362" s="32">
        <f>IF($B$362="","",SUMIFS(Opex_Budget!$T:$T,Opex_Budget!$A:$A,$C$3,Opex_Budget!$E:$E,$B$362,Opex_Budget!$F:$F,$D$362,Opex_Budget!$N:$N,"JPY")*$E$5+SUMIFS(Opex_Budget!$T:$T,Opex_Budget!$A:$A,$C$3,Opex_Budget!$E:$E,$B$362,Opex_Budget!$F:$F,$D$362,Opex_Budget!$N:$N,"USD")*$F$5+SUMIFS(Opex_Budget!$T:$T,Opex_Budget!$A:$A,$C$3,Opex_Budget!$E:$E,$B$362,Opex_Budget!$F:$F,$D$362,Opex_Budget!$N:$N,"EUR")*$G$5+SUMIFS(Opex_Budget!$T:$T,Opex_Budget!$A:$A,$C$3,Opex_Budget!$E:$E,$B$362,Opex_Budget!$F:$F,$D$362,Opex_Budget!$N:$N,"GBP")*$H$5)</f>
        <v/>
      </c>
      <c r="N362" s="32">
        <f>IF($B$362="","",SUMIFS(Opex_Budget!$U:$U,Opex_Budget!$A:$A,$C$3,Opex_Budget!$E:$E,$B$362,Opex_Budget!$F:$F,$D$362,Opex_Budget!$N:$N,"JPY")*$E$5+SUMIFS(Opex_Budget!$U:$U,Opex_Budget!$A:$A,$C$3,Opex_Budget!$E:$E,$B$362,Opex_Budget!$F:$F,$D$362,Opex_Budget!$N:$N,"USD")*$F$5+SUMIFS(Opex_Budget!$U:$U,Opex_Budget!$A:$A,$C$3,Opex_Budget!$E:$E,$B$362,Opex_Budget!$F:$F,$D$362,Opex_Budget!$N:$N,"EUR")*$G$5+SUMIFS(Opex_Budget!$U:$U,Opex_Budget!$A:$A,$C$3,Opex_Budget!$E:$E,$B$362,Opex_Budget!$F:$F,$D$362,Opex_Budget!$N:$N,"GBP")*$H$5)</f>
        <v/>
      </c>
      <c r="O362" s="32">
        <f>IF($B$362="","",SUMIFS(Opex_Budget!$V:$V,Opex_Budget!$A:$A,$C$3,Opex_Budget!$E:$E,$B$362,Opex_Budget!$F:$F,$D$362,Opex_Budget!$N:$N,"JPY")*$E$5+SUMIFS(Opex_Budget!$V:$V,Opex_Budget!$A:$A,$C$3,Opex_Budget!$E:$E,$B$362,Opex_Budget!$F:$F,$D$362,Opex_Budget!$N:$N,"USD")*$F$5+SUMIFS(Opex_Budget!$V:$V,Opex_Budget!$A:$A,$C$3,Opex_Budget!$E:$E,$B$362,Opex_Budget!$F:$F,$D$362,Opex_Budget!$N:$N,"EUR")*$G$5+SUMIFS(Opex_Budget!$V:$V,Opex_Budget!$A:$A,$C$3,Opex_Budget!$E:$E,$B$362,Opex_Budget!$F:$F,$D$362,Opex_Budget!$N:$N,"GBP")*$H$5)</f>
        <v/>
      </c>
      <c r="P362" s="32">
        <f>IF($B$362="","",SUMIFS(Opex_Budget!$W:$W,Opex_Budget!$A:$A,$C$3,Opex_Budget!$E:$E,$B$362,Opex_Budget!$F:$F,$D$362,Opex_Budget!$N:$N,"JPY")*$E$5+SUMIFS(Opex_Budget!$W:$W,Opex_Budget!$A:$A,$C$3,Opex_Budget!$E:$E,$B$362,Opex_Budget!$F:$F,$D$362,Opex_Budget!$N:$N,"USD")*$F$5+SUMIFS(Opex_Budget!$W:$W,Opex_Budget!$A:$A,$C$3,Opex_Budget!$E:$E,$B$362,Opex_Budget!$F:$F,$D$362,Opex_Budget!$N:$N,"EUR")*$G$5+SUMIFS(Opex_Budget!$W:$W,Opex_Budget!$A:$A,$C$3,Opex_Budget!$E:$E,$B$362,Opex_Budget!$F:$F,$D$362,Opex_Budget!$N:$N,"GBP")*$H$5)</f>
        <v/>
      </c>
      <c r="Q362" s="32">
        <f>IF($B$362="","",SUMIFS(Opex_Budget!$X:$X,Opex_Budget!$A:$A,$C$3,Opex_Budget!$E:$E,$B$362,Opex_Budget!$F:$F,$D$362,Opex_Budget!$N:$N,"JPY")*$E$5+SUMIFS(Opex_Budget!$X:$X,Opex_Budget!$A:$A,$C$3,Opex_Budget!$E:$E,$B$362,Opex_Budget!$F:$F,$D$362,Opex_Budget!$N:$N,"USD")*$F$5+SUMIFS(Opex_Budget!$X:$X,Opex_Budget!$A:$A,$C$3,Opex_Budget!$E:$E,$B$362,Opex_Budget!$F:$F,$D$362,Opex_Budget!$N:$N,"EUR")*$G$5+SUMIFS(Opex_Budget!$X:$X,Opex_Budget!$A:$A,$C$3,Opex_Budget!$E:$E,$B$362,Opex_Budget!$F:$F,$D$362,Opex_Budget!$N:$N,"GBP")*$H$5)</f>
        <v/>
      </c>
      <c r="R362" s="32">
        <f>IF($B$362="","",SUMIFS(Opex_Budget!$Y:$Y,Opex_Budget!$A:$A,$C$3,Opex_Budget!$E:$E,$B$362,Opex_Budget!$F:$F,$D$362,Opex_Budget!$N:$N,"JPY")*$E$5+SUMIFS(Opex_Budget!$Y:$Y,Opex_Budget!$A:$A,$C$3,Opex_Budget!$E:$E,$B$362,Opex_Budget!$F:$F,$D$362,Opex_Budget!$N:$N,"USD")*$F$5+SUMIFS(Opex_Budget!$Y:$Y,Opex_Budget!$A:$A,$C$3,Opex_Budget!$E:$E,$B$362,Opex_Budget!$F:$F,$D$362,Opex_Budget!$N:$N,"EUR")*$G$5+SUMIFS(Opex_Budget!$Y:$Y,Opex_Budget!$A:$A,$C$3,Opex_Budget!$E:$E,$B$362,Opex_Budget!$F:$F,$D$362,Opex_Budget!$N:$N,"GBP")*$H$5)</f>
        <v/>
      </c>
      <c r="S362" s="32">
        <f>IF($B$362="","",SUMIFS(Opex_Budget!$Z:$Z,Opex_Budget!$A:$A,$C$3,Opex_Budget!$E:$E,$B$362,Opex_Budget!$F:$F,$D$362,Opex_Budget!$N:$N,"JPY")*$E$5+SUMIFS(Opex_Budget!$Z:$Z,Opex_Budget!$A:$A,$C$3,Opex_Budget!$E:$E,$B$362,Opex_Budget!$F:$F,$D$362,Opex_Budget!$N:$N,"USD")*$F$5+SUMIFS(Opex_Budget!$Z:$Z,Opex_Budget!$A:$A,$C$3,Opex_Budget!$E:$E,$B$362,Opex_Budget!$F:$F,$D$362,Opex_Budget!$N:$N,"EUR")*$G$5+SUMIFS(Opex_Budget!$Z:$Z,Opex_Budget!$A:$A,$C$3,Opex_Budget!$E:$E,$B$362,Opex_Budget!$F:$F,$D$362,Opex_Budget!$N:$N,"GBP")*$H$5)</f>
        <v/>
      </c>
      <c r="T362" s="32">
        <f>IF($B$362="","",SUMIF($H$7:$S$7,"&lt;="&amp;$C$4,$H362:$S362))</f>
        <v/>
      </c>
      <c r="U362" s="32">
        <f>IF($B$362="","",SUMIF($H$7:$S$7,"&gt;"&amp;$C$4,$H362:$S362))</f>
        <v/>
      </c>
      <c r="V362" s="32">
        <f>IF($B$362="","",SUM($H362:$S362))</f>
        <v/>
      </c>
      <c r="X362" s="22">
        <f>IF($B362="","",IFERROR(INDEX(Cost_Centers!$E:$E,MATCH($B362,Cost_Centers!$A:$A,0)),"(unknown)"))</f>
        <v/>
      </c>
      <c r="Y362" s="22">
        <f>IF($B362="","",IFERROR(INDEX(Cost_Centers!$D:$D,MATCH($B362,Cost_Centers!$A:$A,0)),"(unknown)"))</f>
        <v/>
      </c>
      <c r="Z362" s="22">
        <f>IF(OR($B362="",$G362&lt;&gt;"Variance vs Budget"),"",ABS(N($V362))+ROW()/1000000000)</f>
        <v/>
      </c>
    </row>
    <row r="363">
      <c r="A363" s="13">
        <f>IF(A$362="","",A$362)</f>
        <v/>
      </c>
      <c r="B363" s="13">
        <f>IF(B$362="","",B$362)</f>
        <v/>
      </c>
      <c r="C363" s="13">
        <f>IF(C$362="","",C$362)</f>
        <v/>
      </c>
      <c r="D363" s="13">
        <f>IF(D$362="","",D$362)</f>
        <v/>
      </c>
      <c r="E363" s="13">
        <f>IF(E$362="","",E$362)</f>
        <v/>
      </c>
      <c r="F363" s="13">
        <f>IF(F$362="","",F$362)</f>
        <v/>
      </c>
      <c r="G363" s="7" t="inlineStr">
        <is>
          <t>Actual</t>
        </is>
      </c>
      <c r="H363" s="18">
        <f>IF(OR($B$362="",1&gt;$C$4),"",SUMIFS(Actuals!$G:$G,Actuals!$B:$B,$C$3,Actuals!$C:$C,1,Actuals!$D:$D,$B$362,Actuals!$A:$A,LEFT($D$362,FIND("|",$D$362&amp;"|")-1),Actuals!$E:$E,MID($D$362,FIND("|",$D$362&amp;"|")+1,50),Actuals!$F:$F,"JPY")*$E$5+SUMIFS(Actuals!$G:$G,Actuals!$B:$B,$C$3,Actuals!$C:$C,1,Actuals!$D:$D,$B$362,Actuals!$A:$A,LEFT($D$362,FIND("|",$D$362&amp;"|")-1),Actuals!$E:$E,MID($D$362,FIND("|",$D$362&amp;"|")+1,50),Actuals!$F:$F,"USD")*$F$5+SUMIFS(Actuals!$G:$G,Actuals!$B:$B,$C$3,Actuals!$C:$C,1,Actuals!$D:$D,$B$362,Actuals!$A:$A,LEFT($D$362,FIND("|",$D$362&amp;"|")-1),Actuals!$E:$E,MID($D$362,FIND("|",$D$362&amp;"|")+1,50),Actuals!$F:$F,"EUR")*$G$5+SUMIFS(Actuals!$G:$G,Actuals!$B:$B,$C$3,Actuals!$C:$C,1,Actuals!$D:$D,$B$362,Actuals!$A:$A,LEFT($D$362,FIND("|",$D$362&amp;"|")-1),Actuals!$E:$E,MID($D$362,FIND("|",$D$362&amp;"|")+1,50),Actuals!$F:$F,"GBP")*$H$5)</f>
        <v/>
      </c>
      <c r="I363" s="18">
        <f>IF(OR($B$362="",2&gt;$C$4),"",SUMIFS(Actuals!$G:$G,Actuals!$B:$B,$C$3,Actuals!$C:$C,2,Actuals!$D:$D,$B$362,Actuals!$A:$A,LEFT($D$362,FIND("|",$D$362&amp;"|")-1),Actuals!$E:$E,MID($D$362,FIND("|",$D$362&amp;"|")+1,50),Actuals!$F:$F,"JPY")*$E$5+SUMIFS(Actuals!$G:$G,Actuals!$B:$B,$C$3,Actuals!$C:$C,2,Actuals!$D:$D,$B$362,Actuals!$A:$A,LEFT($D$362,FIND("|",$D$362&amp;"|")-1),Actuals!$E:$E,MID($D$362,FIND("|",$D$362&amp;"|")+1,50),Actuals!$F:$F,"USD")*$F$5+SUMIFS(Actuals!$G:$G,Actuals!$B:$B,$C$3,Actuals!$C:$C,2,Actuals!$D:$D,$B$362,Actuals!$A:$A,LEFT($D$362,FIND("|",$D$362&amp;"|")-1),Actuals!$E:$E,MID($D$362,FIND("|",$D$362&amp;"|")+1,50),Actuals!$F:$F,"EUR")*$G$5+SUMIFS(Actuals!$G:$G,Actuals!$B:$B,$C$3,Actuals!$C:$C,2,Actuals!$D:$D,$B$362,Actuals!$A:$A,LEFT($D$362,FIND("|",$D$362&amp;"|")-1),Actuals!$E:$E,MID($D$362,FIND("|",$D$362&amp;"|")+1,50),Actuals!$F:$F,"GBP")*$H$5)</f>
        <v/>
      </c>
      <c r="J363" s="18">
        <f>IF(OR($B$362="",3&gt;$C$4),"",SUMIFS(Actuals!$G:$G,Actuals!$B:$B,$C$3,Actuals!$C:$C,3,Actuals!$D:$D,$B$362,Actuals!$A:$A,LEFT($D$362,FIND("|",$D$362&amp;"|")-1),Actuals!$E:$E,MID($D$362,FIND("|",$D$362&amp;"|")+1,50),Actuals!$F:$F,"JPY")*$E$5+SUMIFS(Actuals!$G:$G,Actuals!$B:$B,$C$3,Actuals!$C:$C,3,Actuals!$D:$D,$B$362,Actuals!$A:$A,LEFT($D$362,FIND("|",$D$362&amp;"|")-1),Actuals!$E:$E,MID($D$362,FIND("|",$D$362&amp;"|")+1,50),Actuals!$F:$F,"USD")*$F$5+SUMIFS(Actuals!$G:$G,Actuals!$B:$B,$C$3,Actuals!$C:$C,3,Actuals!$D:$D,$B$362,Actuals!$A:$A,LEFT($D$362,FIND("|",$D$362&amp;"|")-1),Actuals!$E:$E,MID($D$362,FIND("|",$D$362&amp;"|")+1,50),Actuals!$F:$F,"EUR")*$G$5+SUMIFS(Actuals!$G:$G,Actuals!$B:$B,$C$3,Actuals!$C:$C,3,Actuals!$D:$D,$B$362,Actuals!$A:$A,LEFT($D$362,FIND("|",$D$362&amp;"|")-1),Actuals!$E:$E,MID($D$362,FIND("|",$D$362&amp;"|")+1,50),Actuals!$F:$F,"GBP")*$H$5)</f>
        <v/>
      </c>
      <c r="K363" s="18">
        <f>IF(OR($B$362="",4&gt;$C$4),"",SUMIFS(Actuals!$G:$G,Actuals!$B:$B,$C$3,Actuals!$C:$C,4,Actuals!$D:$D,$B$362,Actuals!$A:$A,LEFT($D$362,FIND("|",$D$362&amp;"|")-1),Actuals!$E:$E,MID($D$362,FIND("|",$D$362&amp;"|")+1,50),Actuals!$F:$F,"JPY")*$E$5+SUMIFS(Actuals!$G:$G,Actuals!$B:$B,$C$3,Actuals!$C:$C,4,Actuals!$D:$D,$B$362,Actuals!$A:$A,LEFT($D$362,FIND("|",$D$362&amp;"|")-1),Actuals!$E:$E,MID($D$362,FIND("|",$D$362&amp;"|")+1,50),Actuals!$F:$F,"USD")*$F$5+SUMIFS(Actuals!$G:$G,Actuals!$B:$B,$C$3,Actuals!$C:$C,4,Actuals!$D:$D,$B$362,Actuals!$A:$A,LEFT($D$362,FIND("|",$D$362&amp;"|")-1),Actuals!$E:$E,MID($D$362,FIND("|",$D$362&amp;"|")+1,50),Actuals!$F:$F,"EUR")*$G$5+SUMIFS(Actuals!$G:$G,Actuals!$B:$B,$C$3,Actuals!$C:$C,4,Actuals!$D:$D,$B$362,Actuals!$A:$A,LEFT($D$362,FIND("|",$D$362&amp;"|")-1),Actuals!$E:$E,MID($D$362,FIND("|",$D$362&amp;"|")+1,50),Actuals!$F:$F,"GBP")*$H$5)</f>
        <v/>
      </c>
      <c r="L363" s="18">
        <f>IF(OR($B$362="",5&gt;$C$4),"",SUMIFS(Actuals!$G:$G,Actuals!$B:$B,$C$3,Actuals!$C:$C,5,Actuals!$D:$D,$B$362,Actuals!$A:$A,LEFT($D$362,FIND("|",$D$362&amp;"|")-1),Actuals!$E:$E,MID($D$362,FIND("|",$D$362&amp;"|")+1,50),Actuals!$F:$F,"JPY")*$E$5+SUMIFS(Actuals!$G:$G,Actuals!$B:$B,$C$3,Actuals!$C:$C,5,Actuals!$D:$D,$B$362,Actuals!$A:$A,LEFT($D$362,FIND("|",$D$362&amp;"|")-1),Actuals!$E:$E,MID($D$362,FIND("|",$D$362&amp;"|")+1,50),Actuals!$F:$F,"USD")*$F$5+SUMIFS(Actuals!$G:$G,Actuals!$B:$B,$C$3,Actuals!$C:$C,5,Actuals!$D:$D,$B$362,Actuals!$A:$A,LEFT($D$362,FIND("|",$D$362&amp;"|")-1),Actuals!$E:$E,MID($D$362,FIND("|",$D$362&amp;"|")+1,50),Actuals!$F:$F,"EUR")*$G$5+SUMIFS(Actuals!$G:$G,Actuals!$B:$B,$C$3,Actuals!$C:$C,5,Actuals!$D:$D,$B$362,Actuals!$A:$A,LEFT($D$362,FIND("|",$D$362&amp;"|")-1),Actuals!$E:$E,MID($D$362,FIND("|",$D$362&amp;"|")+1,50),Actuals!$F:$F,"GBP")*$H$5)</f>
        <v/>
      </c>
      <c r="M363" s="18">
        <f>IF(OR($B$362="",6&gt;$C$4),"",SUMIFS(Actuals!$G:$G,Actuals!$B:$B,$C$3,Actuals!$C:$C,6,Actuals!$D:$D,$B$362,Actuals!$A:$A,LEFT($D$362,FIND("|",$D$362&amp;"|")-1),Actuals!$E:$E,MID($D$362,FIND("|",$D$362&amp;"|")+1,50),Actuals!$F:$F,"JPY")*$E$5+SUMIFS(Actuals!$G:$G,Actuals!$B:$B,$C$3,Actuals!$C:$C,6,Actuals!$D:$D,$B$362,Actuals!$A:$A,LEFT($D$362,FIND("|",$D$362&amp;"|")-1),Actuals!$E:$E,MID($D$362,FIND("|",$D$362&amp;"|")+1,50),Actuals!$F:$F,"USD")*$F$5+SUMIFS(Actuals!$G:$G,Actuals!$B:$B,$C$3,Actuals!$C:$C,6,Actuals!$D:$D,$B$362,Actuals!$A:$A,LEFT($D$362,FIND("|",$D$362&amp;"|")-1),Actuals!$E:$E,MID($D$362,FIND("|",$D$362&amp;"|")+1,50),Actuals!$F:$F,"EUR")*$G$5+SUMIFS(Actuals!$G:$G,Actuals!$B:$B,$C$3,Actuals!$C:$C,6,Actuals!$D:$D,$B$362,Actuals!$A:$A,LEFT($D$362,FIND("|",$D$362&amp;"|")-1),Actuals!$E:$E,MID($D$362,FIND("|",$D$362&amp;"|")+1,50),Actuals!$F:$F,"GBP")*$H$5)</f>
        <v/>
      </c>
      <c r="N363" s="18">
        <f>IF(OR($B$362="",7&gt;$C$4),"",SUMIFS(Actuals!$G:$G,Actuals!$B:$B,$C$3,Actuals!$C:$C,7,Actuals!$D:$D,$B$362,Actuals!$A:$A,LEFT($D$362,FIND("|",$D$362&amp;"|")-1),Actuals!$E:$E,MID($D$362,FIND("|",$D$362&amp;"|")+1,50),Actuals!$F:$F,"JPY")*$E$5+SUMIFS(Actuals!$G:$G,Actuals!$B:$B,$C$3,Actuals!$C:$C,7,Actuals!$D:$D,$B$362,Actuals!$A:$A,LEFT($D$362,FIND("|",$D$362&amp;"|")-1),Actuals!$E:$E,MID($D$362,FIND("|",$D$362&amp;"|")+1,50),Actuals!$F:$F,"USD")*$F$5+SUMIFS(Actuals!$G:$G,Actuals!$B:$B,$C$3,Actuals!$C:$C,7,Actuals!$D:$D,$B$362,Actuals!$A:$A,LEFT($D$362,FIND("|",$D$362&amp;"|")-1),Actuals!$E:$E,MID($D$362,FIND("|",$D$362&amp;"|")+1,50),Actuals!$F:$F,"EUR")*$G$5+SUMIFS(Actuals!$G:$G,Actuals!$B:$B,$C$3,Actuals!$C:$C,7,Actuals!$D:$D,$B$362,Actuals!$A:$A,LEFT($D$362,FIND("|",$D$362&amp;"|")-1),Actuals!$E:$E,MID($D$362,FIND("|",$D$362&amp;"|")+1,50),Actuals!$F:$F,"GBP")*$H$5)</f>
        <v/>
      </c>
      <c r="O363" s="18">
        <f>IF(OR($B$362="",8&gt;$C$4),"",SUMIFS(Actuals!$G:$G,Actuals!$B:$B,$C$3,Actuals!$C:$C,8,Actuals!$D:$D,$B$362,Actuals!$A:$A,LEFT($D$362,FIND("|",$D$362&amp;"|")-1),Actuals!$E:$E,MID($D$362,FIND("|",$D$362&amp;"|")+1,50),Actuals!$F:$F,"JPY")*$E$5+SUMIFS(Actuals!$G:$G,Actuals!$B:$B,$C$3,Actuals!$C:$C,8,Actuals!$D:$D,$B$362,Actuals!$A:$A,LEFT($D$362,FIND("|",$D$362&amp;"|")-1),Actuals!$E:$E,MID($D$362,FIND("|",$D$362&amp;"|")+1,50),Actuals!$F:$F,"USD")*$F$5+SUMIFS(Actuals!$G:$G,Actuals!$B:$B,$C$3,Actuals!$C:$C,8,Actuals!$D:$D,$B$362,Actuals!$A:$A,LEFT($D$362,FIND("|",$D$362&amp;"|")-1),Actuals!$E:$E,MID($D$362,FIND("|",$D$362&amp;"|")+1,50),Actuals!$F:$F,"EUR")*$G$5+SUMIFS(Actuals!$G:$G,Actuals!$B:$B,$C$3,Actuals!$C:$C,8,Actuals!$D:$D,$B$362,Actuals!$A:$A,LEFT($D$362,FIND("|",$D$362&amp;"|")-1),Actuals!$E:$E,MID($D$362,FIND("|",$D$362&amp;"|")+1,50),Actuals!$F:$F,"GBP")*$H$5)</f>
        <v/>
      </c>
      <c r="P363" s="18">
        <f>IF(OR($B$362="",9&gt;$C$4),"",SUMIFS(Actuals!$G:$G,Actuals!$B:$B,$C$3,Actuals!$C:$C,9,Actuals!$D:$D,$B$362,Actuals!$A:$A,LEFT($D$362,FIND("|",$D$362&amp;"|")-1),Actuals!$E:$E,MID($D$362,FIND("|",$D$362&amp;"|")+1,50),Actuals!$F:$F,"JPY")*$E$5+SUMIFS(Actuals!$G:$G,Actuals!$B:$B,$C$3,Actuals!$C:$C,9,Actuals!$D:$D,$B$362,Actuals!$A:$A,LEFT($D$362,FIND("|",$D$362&amp;"|")-1),Actuals!$E:$E,MID($D$362,FIND("|",$D$362&amp;"|")+1,50),Actuals!$F:$F,"USD")*$F$5+SUMIFS(Actuals!$G:$G,Actuals!$B:$B,$C$3,Actuals!$C:$C,9,Actuals!$D:$D,$B$362,Actuals!$A:$A,LEFT($D$362,FIND("|",$D$362&amp;"|")-1),Actuals!$E:$E,MID($D$362,FIND("|",$D$362&amp;"|")+1,50),Actuals!$F:$F,"EUR")*$G$5+SUMIFS(Actuals!$G:$G,Actuals!$B:$B,$C$3,Actuals!$C:$C,9,Actuals!$D:$D,$B$362,Actuals!$A:$A,LEFT($D$362,FIND("|",$D$362&amp;"|")-1),Actuals!$E:$E,MID($D$362,FIND("|",$D$362&amp;"|")+1,50),Actuals!$F:$F,"GBP")*$H$5)</f>
        <v/>
      </c>
      <c r="Q363" s="18">
        <f>IF(OR($B$362="",10&gt;$C$4),"",SUMIFS(Actuals!$G:$G,Actuals!$B:$B,$C$3,Actuals!$C:$C,10,Actuals!$D:$D,$B$362,Actuals!$A:$A,LEFT($D$362,FIND("|",$D$362&amp;"|")-1),Actuals!$E:$E,MID($D$362,FIND("|",$D$362&amp;"|")+1,50),Actuals!$F:$F,"JPY")*$E$5+SUMIFS(Actuals!$G:$G,Actuals!$B:$B,$C$3,Actuals!$C:$C,10,Actuals!$D:$D,$B$362,Actuals!$A:$A,LEFT($D$362,FIND("|",$D$362&amp;"|")-1),Actuals!$E:$E,MID($D$362,FIND("|",$D$362&amp;"|")+1,50),Actuals!$F:$F,"USD")*$F$5+SUMIFS(Actuals!$G:$G,Actuals!$B:$B,$C$3,Actuals!$C:$C,10,Actuals!$D:$D,$B$362,Actuals!$A:$A,LEFT($D$362,FIND("|",$D$362&amp;"|")-1),Actuals!$E:$E,MID($D$362,FIND("|",$D$362&amp;"|")+1,50),Actuals!$F:$F,"EUR")*$G$5+SUMIFS(Actuals!$G:$G,Actuals!$B:$B,$C$3,Actuals!$C:$C,10,Actuals!$D:$D,$B$362,Actuals!$A:$A,LEFT($D$362,FIND("|",$D$362&amp;"|")-1),Actuals!$E:$E,MID($D$362,FIND("|",$D$362&amp;"|")+1,50),Actuals!$F:$F,"GBP")*$H$5)</f>
        <v/>
      </c>
      <c r="R363" s="18">
        <f>IF(OR($B$362="",11&gt;$C$4),"",SUMIFS(Actuals!$G:$G,Actuals!$B:$B,$C$3,Actuals!$C:$C,11,Actuals!$D:$D,$B$362,Actuals!$A:$A,LEFT($D$362,FIND("|",$D$362&amp;"|")-1),Actuals!$E:$E,MID($D$362,FIND("|",$D$362&amp;"|")+1,50),Actuals!$F:$F,"JPY")*$E$5+SUMIFS(Actuals!$G:$G,Actuals!$B:$B,$C$3,Actuals!$C:$C,11,Actuals!$D:$D,$B$362,Actuals!$A:$A,LEFT($D$362,FIND("|",$D$362&amp;"|")-1),Actuals!$E:$E,MID($D$362,FIND("|",$D$362&amp;"|")+1,50),Actuals!$F:$F,"USD")*$F$5+SUMIFS(Actuals!$G:$G,Actuals!$B:$B,$C$3,Actuals!$C:$C,11,Actuals!$D:$D,$B$362,Actuals!$A:$A,LEFT($D$362,FIND("|",$D$362&amp;"|")-1),Actuals!$E:$E,MID($D$362,FIND("|",$D$362&amp;"|")+1,50),Actuals!$F:$F,"EUR")*$G$5+SUMIFS(Actuals!$G:$G,Actuals!$B:$B,$C$3,Actuals!$C:$C,11,Actuals!$D:$D,$B$362,Actuals!$A:$A,LEFT($D$362,FIND("|",$D$362&amp;"|")-1),Actuals!$E:$E,MID($D$362,FIND("|",$D$362&amp;"|")+1,50),Actuals!$F:$F,"GBP")*$H$5)</f>
        <v/>
      </c>
      <c r="S363" s="18">
        <f>IF(OR($B$362="",12&gt;$C$4),"",SUMIFS(Actuals!$G:$G,Actuals!$B:$B,$C$3,Actuals!$C:$C,12,Actuals!$D:$D,$B$362,Actuals!$A:$A,LEFT($D$362,FIND("|",$D$362&amp;"|")-1),Actuals!$E:$E,MID($D$362,FIND("|",$D$362&amp;"|")+1,50),Actuals!$F:$F,"JPY")*$E$5+SUMIFS(Actuals!$G:$G,Actuals!$B:$B,$C$3,Actuals!$C:$C,12,Actuals!$D:$D,$B$362,Actuals!$A:$A,LEFT($D$362,FIND("|",$D$362&amp;"|")-1),Actuals!$E:$E,MID($D$362,FIND("|",$D$362&amp;"|")+1,50),Actuals!$F:$F,"USD")*$F$5+SUMIFS(Actuals!$G:$G,Actuals!$B:$B,$C$3,Actuals!$C:$C,12,Actuals!$D:$D,$B$362,Actuals!$A:$A,LEFT($D$362,FIND("|",$D$362&amp;"|")-1),Actuals!$E:$E,MID($D$362,FIND("|",$D$362&amp;"|")+1,50),Actuals!$F:$F,"EUR")*$G$5+SUMIFS(Actuals!$G:$G,Actuals!$B:$B,$C$3,Actuals!$C:$C,12,Actuals!$D:$D,$B$362,Actuals!$A:$A,LEFT($D$362,FIND("|",$D$362&amp;"|")-1),Actuals!$E:$E,MID($D$362,FIND("|",$D$362&amp;"|")+1,50),Actuals!$F:$F,"GBP")*$H$5)</f>
        <v/>
      </c>
      <c r="T363" s="18">
        <f>IF($B$362="","",SUMIF($H$7:$S$7,"&lt;="&amp;$C$4,$H363:$S363))</f>
        <v/>
      </c>
      <c r="U363" s="18" t="n"/>
      <c r="V363" s="18" t="n"/>
      <c r="X363" s="22">
        <f>IF($B363="","",IFERROR(INDEX(Cost_Centers!$E:$E,MATCH($B363,Cost_Centers!$A:$A,0)),"(unknown)"))</f>
        <v/>
      </c>
      <c r="Y363" s="22">
        <f>IF($B363="","",IFERROR(INDEX(Cost_Centers!$D:$D,MATCH($B363,Cost_Centers!$A:$A,0)),"(unknown)"))</f>
        <v/>
      </c>
      <c r="Z363" s="22">
        <f>IF(OR($B363="",$G363&lt;&gt;"Variance vs Budget"),"",ABS(N($V363))+ROW()/1000000000)</f>
        <v/>
      </c>
    </row>
    <row r="364">
      <c r="A364" s="13">
        <f>IF(A$362="","",A$362)</f>
        <v/>
      </c>
      <c r="B364" s="13">
        <f>IF(B$362="","",B$362)</f>
        <v/>
      </c>
      <c r="C364" s="13">
        <f>IF(C$362="","",C$362)</f>
        <v/>
      </c>
      <c r="D364" s="13">
        <f>IF(D$362="","",D$362)</f>
        <v/>
      </c>
      <c r="E364" s="13">
        <f>IF(E$362="","",E$362)</f>
        <v/>
      </c>
      <c r="F364" s="13">
        <f>IF(F$362="","",F$362)</f>
        <v/>
      </c>
      <c r="G364" s="6" t="inlineStr">
        <is>
          <t>Variance vs Budget</t>
        </is>
      </c>
      <c r="H364" s="33">
        <f>IF(OR($B$362="",1&gt;$C$4),"",N(H363)-H362)</f>
        <v/>
      </c>
      <c r="I364" s="33">
        <f>IF(OR($B$362="",2&gt;$C$4),"",N(I363)-I362)</f>
        <v/>
      </c>
      <c r="J364" s="33">
        <f>IF(OR($B$362="",3&gt;$C$4),"",N(J363)-J362)</f>
        <v/>
      </c>
      <c r="K364" s="33">
        <f>IF(OR($B$362="",4&gt;$C$4),"",N(K363)-K362)</f>
        <v/>
      </c>
      <c r="L364" s="33">
        <f>IF(OR($B$362="",5&gt;$C$4),"",N(L363)-L362)</f>
        <v/>
      </c>
      <c r="M364" s="33">
        <f>IF(OR($B$362="",6&gt;$C$4),"",N(M363)-M362)</f>
        <v/>
      </c>
      <c r="N364" s="33">
        <f>IF(OR($B$362="",7&gt;$C$4),"",N(N363)-N362)</f>
        <v/>
      </c>
      <c r="O364" s="33">
        <f>IF(OR($B$362="",8&gt;$C$4),"",N(O363)-O362)</f>
        <v/>
      </c>
      <c r="P364" s="33">
        <f>IF(OR($B$362="",9&gt;$C$4),"",N(P363)-P362)</f>
        <v/>
      </c>
      <c r="Q364" s="33">
        <f>IF(OR($B$362="",10&gt;$C$4),"",N(Q363)-Q362)</f>
        <v/>
      </c>
      <c r="R364" s="33">
        <f>IF(OR($B$362="",11&gt;$C$4),"",N(R363)-R362)</f>
        <v/>
      </c>
      <c r="S364" s="33">
        <f>IF(OR($B$362="",12&gt;$C$4),"",N(S363)-S362)</f>
        <v/>
      </c>
      <c r="T364" s="33">
        <f>IF($B$362="","",T363-T362)</f>
        <v/>
      </c>
      <c r="U364" s="33">
        <f>IF($B$362="","",U366-U362)</f>
        <v/>
      </c>
      <c r="V364" s="33">
        <f>IF($B$362="","",V366-V362)</f>
        <v/>
      </c>
      <c r="X364" s="22">
        <f>IF($B364="","",IFERROR(INDEX(Cost_Centers!$E:$E,MATCH($B364,Cost_Centers!$A:$A,0)),"(unknown)"))</f>
        <v/>
      </c>
      <c r="Y364" s="22">
        <f>IF($B364="","",IFERROR(INDEX(Cost_Centers!$D:$D,MATCH($B364,Cost_Centers!$A:$A,0)),"(unknown)"))</f>
        <v/>
      </c>
      <c r="Z364" s="22">
        <f>IF(OR($B364="",$G364&lt;&gt;"Variance vs Budget"),"",ABS(N($V364))+ROW()/1000000000)</f>
        <v/>
      </c>
    </row>
    <row r="365">
      <c r="A365" s="13">
        <f>IF(A$362="","",A$362)</f>
        <v/>
      </c>
      <c r="B365" s="13">
        <f>IF(B$362="","",B$362)</f>
        <v/>
      </c>
      <c r="C365" s="13">
        <f>IF(C$362="","",C$362)</f>
        <v/>
      </c>
      <c r="D365" s="13">
        <f>IF(D$362="","",D$362)</f>
        <v/>
      </c>
      <c r="E365" s="13">
        <f>IF(E$362="","",E$362)</f>
        <v/>
      </c>
      <c r="F365" s="13">
        <f>IF(F$362="","",F$362)</f>
        <v/>
      </c>
      <c r="G365" s="7" t="inlineStr">
        <is>
          <t>Forecast (input)</t>
        </is>
      </c>
      <c r="H365" s="34" t="n"/>
      <c r="I365" s="34" t="n"/>
      <c r="J365" s="34" t="n"/>
      <c r="K365" s="34" t="n"/>
      <c r="L365" s="34" t="n"/>
      <c r="M365" s="34" t="n"/>
      <c r="N365" s="34" t="n"/>
      <c r="O365" s="34" t="n"/>
      <c r="P365" s="34" t="n"/>
      <c r="Q365" s="34" t="n"/>
      <c r="R365" s="34" t="n"/>
      <c r="S365" s="34" t="n"/>
      <c r="T365" s="18" t="n"/>
      <c r="U365" s="18" t="n"/>
      <c r="V365" s="18" t="n"/>
      <c r="X365" s="22">
        <f>IF($B365="","",IFERROR(INDEX(Cost_Centers!$E:$E,MATCH($B365,Cost_Centers!$A:$A,0)),"(unknown)"))</f>
        <v/>
      </c>
      <c r="Y365" s="22">
        <f>IF($B365="","",IFERROR(INDEX(Cost_Centers!$D:$D,MATCH($B365,Cost_Centers!$A:$A,0)),"(unknown)"))</f>
        <v/>
      </c>
      <c r="Z365" s="22">
        <f>IF(OR($B365="",$G365&lt;&gt;"Variance vs Budget"),"",ABS(N($V365))+ROW()/1000000000)</f>
        <v/>
      </c>
    </row>
    <row r="366">
      <c r="A366" s="13">
        <f>IF(A$362="","",A$362)</f>
        <v/>
      </c>
      <c r="B366" s="13">
        <f>IF(B$362="","",B$362)</f>
        <v/>
      </c>
      <c r="C366" s="13">
        <f>IF(C$362="","",C$362)</f>
        <v/>
      </c>
      <c r="D366" s="13">
        <f>IF(D$362="","",D$362)</f>
        <v/>
      </c>
      <c r="E366" s="13">
        <f>IF(E$362="","",E$362)</f>
        <v/>
      </c>
      <c r="F366" s="13">
        <f>IF(F$362="","",F$362)</f>
        <v/>
      </c>
      <c r="G366" s="35" t="inlineStr">
        <is>
          <t>Actual + Forecast</t>
        </is>
      </c>
      <c r="H366" s="18">
        <f>IF($B$362="","",IF(1&lt;=$C$4,N(H363),IF(H365="",H362,H365)))</f>
        <v/>
      </c>
      <c r="I366" s="18">
        <f>IF($B$362="","",IF(2&lt;=$C$4,N(I363),IF(I365="",I362,I365)))</f>
        <v/>
      </c>
      <c r="J366" s="18">
        <f>IF($B$362="","",IF(3&lt;=$C$4,N(J363),IF(J365="",J362,J365)))</f>
        <v/>
      </c>
      <c r="K366" s="18">
        <f>IF($B$362="","",IF(4&lt;=$C$4,N(K363),IF(K365="",K362,K365)))</f>
        <v/>
      </c>
      <c r="L366" s="18">
        <f>IF($B$362="","",IF(5&lt;=$C$4,N(L363),IF(L365="",L362,L365)))</f>
        <v/>
      </c>
      <c r="M366" s="18">
        <f>IF($B$362="","",IF(6&lt;=$C$4,N(M363),IF(M365="",M362,M365)))</f>
        <v/>
      </c>
      <c r="N366" s="18">
        <f>IF($B$362="","",IF(7&lt;=$C$4,N(N363),IF(N365="",N362,N365)))</f>
        <v/>
      </c>
      <c r="O366" s="18">
        <f>IF($B$362="","",IF(8&lt;=$C$4,N(O363),IF(O365="",O362,O365)))</f>
        <v/>
      </c>
      <c r="P366" s="18">
        <f>IF($B$362="","",IF(9&lt;=$C$4,N(P363),IF(P365="",P362,P365)))</f>
        <v/>
      </c>
      <c r="Q366" s="18">
        <f>IF($B$362="","",IF(10&lt;=$C$4,N(Q363),IF(Q365="",Q362,Q365)))</f>
        <v/>
      </c>
      <c r="R366" s="18">
        <f>IF($B$362="","",IF(11&lt;=$C$4,N(R363),IF(R365="",R362,R365)))</f>
        <v/>
      </c>
      <c r="S366" s="18">
        <f>IF($B$362="","",IF(12&lt;=$C$4,N(S363),IF(S365="",S362,S365)))</f>
        <v/>
      </c>
      <c r="T366" s="18">
        <f>IF($B$362="","",SUMIF($H$7:$S$7,"&lt;="&amp;$C$4,$H366:$S366))</f>
        <v/>
      </c>
      <c r="U366" s="18">
        <f>IF($B$362="","",SUMIF($H$7:$S$7,"&gt;"&amp;$C$4,$H366:$S366))</f>
        <v/>
      </c>
      <c r="V366" s="18">
        <f>IF($B$362="","",SUM($H366:$S366))</f>
        <v/>
      </c>
      <c r="X366" s="22">
        <f>IF($B366="","",IFERROR(INDEX(Cost_Centers!$E:$E,MATCH($B366,Cost_Centers!$A:$A,0)),"(unknown)"))</f>
        <v/>
      </c>
      <c r="Y366" s="22">
        <f>IF($B366="","",IFERROR(INDEX(Cost_Centers!$D:$D,MATCH($B366,Cost_Centers!$A:$A,0)),"(unknown)"))</f>
        <v/>
      </c>
      <c r="Z366" s="22">
        <f>IF(OR($B366="",$G366&lt;&gt;"Variance vs Budget"),"",ABS(N($V366))+ROW()/1000000000)</f>
        <v/>
      </c>
    </row>
    <row r="367">
      <c r="A367" s="13">
        <f>IF(A$362="","",A$362)</f>
        <v/>
      </c>
      <c r="B367" s="13">
        <f>IF(B$362="","",B$362)</f>
        <v/>
      </c>
      <c r="C367" s="13">
        <f>IF(C$362="","",C$362)</f>
        <v/>
      </c>
      <c r="D367" s="13">
        <f>IF(D$362="","",D$362)</f>
        <v/>
      </c>
      <c r="E367" s="13">
        <f>IF(E$362="","",E$362)</f>
        <v/>
      </c>
      <c r="F367" s="13">
        <f>IF(F$362="","",F$362)</f>
        <v/>
      </c>
      <c r="G367" s="36" t="inlineStr">
        <is>
          <t>Prior Month Forecast</t>
        </is>
      </c>
      <c r="H367" s="37">
        <f>IF($B$362="","",IF(COUNTIFS(Prior_Forecast!$A:$A,$B$362,Prior_Forecast!$B:$B,$D$362)&gt;0,SUMIFS(Prior_Forecast!$C:$C,Prior_Forecast!$A:$A,$B$362,Prior_Forecast!$B:$B,$D$362),""))</f>
        <v/>
      </c>
      <c r="I367" s="37">
        <f>IF($B$362="","",IF(COUNTIFS(Prior_Forecast!$A:$A,$B$362,Prior_Forecast!$B:$B,$D$362)&gt;0,SUMIFS(Prior_Forecast!$D:$D,Prior_Forecast!$A:$A,$B$362,Prior_Forecast!$B:$B,$D$362),""))</f>
        <v/>
      </c>
      <c r="J367" s="37">
        <f>IF($B$362="","",IF(COUNTIFS(Prior_Forecast!$A:$A,$B$362,Prior_Forecast!$B:$B,$D$362)&gt;0,SUMIFS(Prior_Forecast!$E:$E,Prior_Forecast!$A:$A,$B$362,Prior_Forecast!$B:$B,$D$362),""))</f>
        <v/>
      </c>
      <c r="K367" s="37">
        <f>IF($B$362="","",IF(COUNTIFS(Prior_Forecast!$A:$A,$B$362,Prior_Forecast!$B:$B,$D$362)&gt;0,SUMIFS(Prior_Forecast!$F:$F,Prior_Forecast!$A:$A,$B$362,Prior_Forecast!$B:$B,$D$362),""))</f>
        <v/>
      </c>
      <c r="L367" s="37">
        <f>IF($B$362="","",IF(COUNTIFS(Prior_Forecast!$A:$A,$B$362,Prior_Forecast!$B:$B,$D$362)&gt;0,SUMIFS(Prior_Forecast!$G:$G,Prior_Forecast!$A:$A,$B$362,Prior_Forecast!$B:$B,$D$362),""))</f>
        <v/>
      </c>
      <c r="M367" s="37">
        <f>IF($B$362="","",IF(COUNTIFS(Prior_Forecast!$A:$A,$B$362,Prior_Forecast!$B:$B,$D$362)&gt;0,SUMIFS(Prior_Forecast!$H:$H,Prior_Forecast!$A:$A,$B$362,Prior_Forecast!$B:$B,$D$362),""))</f>
        <v/>
      </c>
      <c r="N367" s="37">
        <f>IF($B$362="","",IF(COUNTIFS(Prior_Forecast!$A:$A,$B$362,Prior_Forecast!$B:$B,$D$362)&gt;0,SUMIFS(Prior_Forecast!$I:$I,Prior_Forecast!$A:$A,$B$362,Prior_Forecast!$B:$B,$D$362),""))</f>
        <v/>
      </c>
      <c r="O367" s="37">
        <f>IF($B$362="","",IF(COUNTIFS(Prior_Forecast!$A:$A,$B$362,Prior_Forecast!$B:$B,$D$362)&gt;0,SUMIFS(Prior_Forecast!$J:$J,Prior_Forecast!$A:$A,$B$362,Prior_Forecast!$B:$B,$D$362),""))</f>
        <v/>
      </c>
      <c r="P367" s="37">
        <f>IF($B$362="","",IF(COUNTIFS(Prior_Forecast!$A:$A,$B$362,Prior_Forecast!$B:$B,$D$362)&gt;0,SUMIFS(Prior_Forecast!$K:$K,Prior_Forecast!$A:$A,$B$362,Prior_Forecast!$B:$B,$D$362),""))</f>
        <v/>
      </c>
      <c r="Q367" s="37">
        <f>IF($B$362="","",IF(COUNTIFS(Prior_Forecast!$A:$A,$B$362,Prior_Forecast!$B:$B,$D$362)&gt;0,SUMIFS(Prior_Forecast!$L:$L,Prior_Forecast!$A:$A,$B$362,Prior_Forecast!$B:$B,$D$362),""))</f>
        <v/>
      </c>
      <c r="R367" s="37">
        <f>IF($B$362="","",IF(COUNTIFS(Prior_Forecast!$A:$A,$B$362,Prior_Forecast!$B:$B,$D$362)&gt;0,SUMIFS(Prior_Forecast!$M:$M,Prior_Forecast!$A:$A,$B$362,Prior_Forecast!$B:$B,$D$362),""))</f>
        <v/>
      </c>
      <c r="S367" s="37">
        <f>IF($B$362="","",IF(COUNTIFS(Prior_Forecast!$A:$A,$B$362,Prior_Forecast!$B:$B,$D$362)&gt;0,SUMIFS(Prior_Forecast!$N:$N,Prior_Forecast!$A:$A,$B$362,Prior_Forecast!$B:$B,$D$362),""))</f>
        <v/>
      </c>
      <c r="T367" s="37">
        <f>IF($B$362="","",IF(COUNTIFS(Prior_Forecast!$A:$A,$B$362,Prior_Forecast!$B:$B,$D$362)&gt;0,SUMIFS(Prior_Forecast!$O:$O,Prior_Forecast!$A:$A,$B$362,Prior_Forecast!$B:$B,$D$362),""))</f>
        <v/>
      </c>
      <c r="U367" s="37">
        <f>IF($B$362="","",IF(COUNTIFS(Prior_Forecast!$A:$A,$B$362,Prior_Forecast!$B:$B,$D$362)&gt;0,SUMIFS(Prior_Forecast!$P:$P,Prior_Forecast!$A:$A,$B$362,Prior_Forecast!$B:$B,$D$362),""))</f>
        <v/>
      </c>
      <c r="V367" s="37">
        <f>IF($B$362="","",IF(COUNTIFS(Prior_Forecast!$A:$A,$B$362,Prior_Forecast!$B:$B,$D$362)&gt;0,SUMIFS(Prior_Forecast!$Q:$Q,Prior_Forecast!$A:$A,$B$362,Prior_Forecast!$B:$B,$D$362),""))</f>
        <v/>
      </c>
      <c r="X367" s="22">
        <f>IF($B367="","",IFERROR(INDEX(Cost_Centers!$E:$E,MATCH($B367,Cost_Centers!$A:$A,0)),"(unknown)"))</f>
        <v/>
      </c>
      <c r="Y367" s="22">
        <f>IF($B367="","",IFERROR(INDEX(Cost_Centers!$D:$D,MATCH($B367,Cost_Centers!$A:$A,0)),"(unknown)"))</f>
        <v/>
      </c>
      <c r="Z367" s="22">
        <f>IF(OR($B367="",$G367&lt;&gt;"Variance vs Budget"),"",ABS(N($V367))+ROW()/1000000000)</f>
        <v/>
      </c>
    </row>
    <row r="368">
      <c r="A368" s="13">
        <f>IF(A$362="","",A$362)</f>
        <v/>
      </c>
      <c r="B368" s="13">
        <f>IF(B$362="","",B$362)</f>
        <v/>
      </c>
      <c r="C368" s="13">
        <f>IF(C$362="","",C$362)</f>
        <v/>
      </c>
      <c r="D368" s="13">
        <f>IF(D$362="","",D$362)</f>
        <v/>
      </c>
      <c r="E368" s="13">
        <f>IF(E$362="","",E$362)</f>
        <v/>
      </c>
      <c r="F368" s="13">
        <f>IF(F$362="","",F$362)</f>
        <v/>
      </c>
      <c r="G368" s="6" t="inlineStr">
        <is>
          <t>Variance vs Prior Month</t>
        </is>
      </c>
      <c r="H368" s="33">
        <f>IF(OR($B$362="",H367=""),"",H366-H367)</f>
        <v/>
      </c>
      <c r="I368" s="33">
        <f>IF(OR($B$362="",I367=""),"",I366-I367)</f>
        <v/>
      </c>
      <c r="J368" s="33">
        <f>IF(OR($B$362="",J367=""),"",J366-J367)</f>
        <v/>
      </c>
      <c r="K368" s="33">
        <f>IF(OR($B$362="",K367=""),"",K366-K367)</f>
        <v/>
      </c>
      <c r="L368" s="33">
        <f>IF(OR($B$362="",L367=""),"",L366-L367)</f>
        <v/>
      </c>
      <c r="M368" s="33">
        <f>IF(OR($B$362="",M367=""),"",M366-M367)</f>
        <v/>
      </c>
      <c r="N368" s="33">
        <f>IF(OR($B$362="",N367=""),"",N366-N367)</f>
        <v/>
      </c>
      <c r="O368" s="33">
        <f>IF(OR($B$362="",O367=""),"",O366-O367)</f>
        <v/>
      </c>
      <c r="P368" s="33">
        <f>IF(OR($B$362="",P367=""),"",P366-P367)</f>
        <v/>
      </c>
      <c r="Q368" s="33">
        <f>IF(OR($B$362="",Q367=""),"",Q366-Q367)</f>
        <v/>
      </c>
      <c r="R368" s="33">
        <f>IF(OR($B$362="",R367=""),"",R366-R367)</f>
        <v/>
      </c>
      <c r="S368" s="33">
        <f>IF(OR($B$362="",S367=""),"",S366-S367)</f>
        <v/>
      </c>
      <c r="T368" s="33">
        <f>IF(OR($B$362="",T367=""),"",T366-T367)</f>
        <v/>
      </c>
      <c r="U368" s="33">
        <f>IF(OR($B$362="",U367=""),"",U366-U367)</f>
        <v/>
      </c>
      <c r="V368" s="33">
        <f>IF(OR($B$362="",V367=""),"",V366-V367)</f>
        <v/>
      </c>
      <c r="X368" s="22">
        <f>IF($B368="","",IFERROR(INDEX(Cost_Centers!$E:$E,MATCH($B368,Cost_Centers!$A:$A,0)),"(unknown)"))</f>
        <v/>
      </c>
      <c r="Y368" s="22">
        <f>IF($B368="","",IFERROR(INDEX(Cost_Centers!$D:$D,MATCH($B368,Cost_Centers!$A:$A,0)),"(unknown)"))</f>
        <v/>
      </c>
      <c r="Z368" s="22">
        <f>IF(OR($B368="",$G368&lt;&gt;"Variance vs Budget"),"",ABS(N($V368))+ROW()/1000000000)</f>
        <v/>
      </c>
    </row>
    <row r="369" ht="45" customHeight="1">
      <c r="A369" s="13">
        <f>IF(A$362="","",A$362)</f>
        <v/>
      </c>
      <c r="B369" s="13">
        <f>IF(B$362="","",B$362)</f>
        <v/>
      </c>
      <c r="C369" s="13">
        <f>IF(C$362="","",C$362)</f>
        <v/>
      </c>
      <c r="D369" s="13">
        <f>IF(D$362="","",D$362)</f>
        <v/>
      </c>
      <c r="E369" s="13">
        <f>IF(E$362="","",E$362)</f>
        <v/>
      </c>
      <c r="F369" s="13">
        <f>IF(F$362="","",F$362)</f>
        <v/>
      </c>
      <c r="G369" s="7" t="inlineStr">
        <is>
          <t>Rationale</t>
        </is>
      </c>
      <c r="H369" s="38" t="n"/>
      <c r="I369" s="38" t="n"/>
      <c r="J369" s="38" t="n"/>
      <c r="K369" s="38" t="n"/>
      <c r="L369" s="38" t="n"/>
      <c r="M369" s="38" t="n"/>
      <c r="N369" s="38" t="n"/>
      <c r="O369" s="38" t="n"/>
      <c r="P369" s="38" t="n"/>
      <c r="Q369" s="38" t="n"/>
      <c r="R369" s="38" t="n"/>
      <c r="S369" s="38" t="n"/>
      <c r="T369" s="38" t="n"/>
      <c r="U369" s="38" t="n"/>
      <c r="V369" s="7" t="n"/>
      <c r="X369" s="22">
        <f>IF($B369="","",IFERROR(INDEX(Cost_Centers!$E:$E,MATCH($B369,Cost_Centers!$A:$A,0)),"(unknown)"))</f>
        <v/>
      </c>
      <c r="Y369" s="22">
        <f>IF($B369="","",IFERROR(INDEX(Cost_Centers!$D:$D,MATCH($B369,Cost_Centers!$A:$A,0)),"(unknown)"))</f>
        <v/>
      </c>
      <c r="Z369" s="22">
        <f>IF(OR($B369="",$G369&lt;&gt;"Variance vs Budget"),"",ABS(N($V369))+ROW()/1000000000)</f>
        <v/>
      </c>
    </row>
    <row r="370">
      <c r="A370" s="30">
        <f>IF($D$370="","",LEFT($D$370,FIND("|",$D$370&amp;"|")-1))</f>
        <v/>
      </c>
      <c r="B370" s="31" t="n"/>
      <c r="C370" s="30">
        <f>IF($B$370="","",IFERROR(INDEX(Cost_Centers!$B:$B,MATCH($B$370,Cost_Centers!$A:$A,0)),"(not in master)"))</f>
        <v/>
      </c>
      <c r="D370" s="31" t="n"/>
      <c r="E370" s="30">
        <f>IF($D$370="","",IFERROR(INDEX(Accounts!$D:$D,MATCH($D$370,Accounts!$A:$A,0)),"(not in master)"))</f>
        <v/>
      </c>
      <c r="F370" s="31" t="n"/>
      <c r="G370" s="30" t="inlineStr">
        <is>
          <t>Budget</t>
        </is>
      </c>
      <c r="H370" s="32">
        <f>IF($B$370="","",SUMIFS(Opex_Budget!$O:$O,Opex_Budget!$A:$A,$C$3,Opex_Budget!$E:$E,$B$370,Opex_Budget!$F:$F,$D$370,Opex_Budget!$N:$N,"JPY")*$E$5+SUMIFS(Opex_Budget!$O:$O,Opex_Budget!$A:$A,$C$3,Opex_Budget!$E:$E,$B$370,Opex_Budget!$F:$F,$D$370,Opex_Budget!$N:$N,"USD")*$F$5+SUMIFS(Opex_Budget!$O:$O,Opex_Budget!$A:$A,$C$3,Opex_Budget!$E:$E,$B$370,Opex_Budget!$F:$F,$D$370,Opex_Budget!$N:$N,"EUR")*$G$5+SUMIFS(Opex_Budget!$O:$O,Opex_Budget!$A:$A,$C$3,Opex_Budget!$E:$E,$B$370,Opex_Budget!$F:$F,$D$370,Opex_Budget!$N:$N,"GBP")*$H$5)</f>
        <v/>
      </c>
      <c r="I370" s="32">
        <f>IF($B$370="","",SUMIFS(Opex_Budget!$P:$P,Opex_Budget!$A:$A,$C$3,Opex_Budget!$E:$E,$B$370,Opex_Budget!$F:$F,$D$370,Opex_Budget!$N:$N,"JPY")*$E$5+SUMIFS(Opex_Budget!$P:$P,Opex_Budget!$A:$A,$C$3,Opex_Budget!$E:$E,$B$370,Opex_Budget!$F:$F,$D$370,Opex_Budget!$N:$N,"USD")*$F$5+SUMIFS(Opex_Budget!$P:$P,Opex_Budget!$A:$A,$C$3,Opex_Budget!$E:$E,$B$370,Opex_Budget!$F:$F,$D$370,Opex_Budget!$N:$N,"EUR")*$G$5+SUMIFS(Opex_Budget!$P:$P,Opex_Budget!$A:$A,$C$3,Opex_Budget!$E:$E,$B$370,Opex_Budget!$F:$F,$D$370,Opex_Budget!$N:$N,"GBP")*$H$5)</f>
        <v/>
      </c>
      <c r="J370" s="32">
        <f>IF($B$370="","",SUMIFS(Opex_Budget!$Q:$Q,Opex_Budget!$A:$A,$C$3,Opex_Budget!$E:$E,$B$370,Opex_Budget!$F:$F,$D$370,Opex_Budget!$N:$N,"JPY")*$E$5+SUMIFS(Opex_Budget!$Q:$Q,Opex_Budget!$A:$A,$C$3,Opex_Budget!$E:$E,$B$370,Opex_Budget!$F:$F,$D$370,Opex_Budget!$N:$N,"USD")*$F$5+SUMIFS(Opex_Budget!$Q:$Q,Opex_Budget!$A:$A,$C$3,Opex_Budget!$E:$E,$B$370,Opex_Budget!$F:$F,$D$370,Opex_Budget!$N:$N,"EUR")*$G$5+SUMIFS(Opex_Budget!$Q:$Q,Opex_Budget!$A:$A,$C$3,Opex_Budget!$E:$E,$B$370,Opex_Budget!$F:$F,$D$370,Opex_Budget!$N:$N,"GBP")*$H$5)</f>
        <v/>
      </c>
      <c r="K370" s="32">
        <f>IF($B$370="","",SUMIFS(Opex_Budget!$R:$R,Opex_Budget!$A:$A,$C$3,Opex_Budget!$E:$E,$B$370,Opex_Budget!$F:$F,$D$370,Opex_Budget!$N:$N,"JPY")*$E$5+SUMIFS(Opex_Budget!$R:$R,Opex_Budget!$A:$A,$C$3,Opex_Budget!$E:$E,$B$370,Opex_Budget!$F:$F,$D$370,Opex_Budget!$N:$N,"USD")*$F$5+SUMIFS(Opex_Budget!$R:$R,Opex_Budget!$A:$A,$C$3,Opex_Budget!$E:$E,$B$370,Opex_Budget!$F:$F,$D$370,Opex_Budget!$N:$N,"EUR")*$G$5+SUMIFS(Opex_Budget!$R:$R,Opex_Budget!$A:$A,$C$3,Opex_Budget!$E:$E,$B$370,Opex_Budget!$F:$F,$D$370,Opex_Budget!$N:$N,"GBP")*$H$5)</f>
        <v/>
      </c>
      <c r="L370" s="32">
        <f>IF($B$370="","",SUMIFS(Opex_Budget!$S:$S,Opex_Budget!$A:$A,$C$3,Opex_Budget!$E:$E,$B$370,Opex_Budget!$F:$F,$D$370,Opex_Budget!$N:$N,"JPY")*$E$5+SUMIFS(Opex_Budget!$S:$S,Opex_Budget!$A:$A,$C$3,Opex_Budget!$E:$E,$B$370,Opex_Budget!$F:$F,$D$370,Opex_Budget!$N:$N,"USD")*$F$5+SUMIFS(Opex_Budget!$S:$S,Opex_Budget!$A:$A,$C$3,Opex_Budget!$E:$E,$B$370,Opex_Budget!$F:$F,$D$370,Opex_Budget!$N:$N,"EUR")*$G$5+SUMIFS(Opex_Budget!$S:$S,Opex_Budget!$A:$A,$C$3,Opex_Budget!$E:$E,$B$370,Opex_Budget!$F:$F,$D$370,Opex_Budget!$N:$N,"GBP")*$H$5)</f>
        <v/>
      </c>
      <c r="M370" s="32">
        <f>IF($B$370="","",SUMIFS(Opex_Budget!$T:$T,Opex_Budget!$A:$A,$C$3,Opex_Budget!$E:$E,$B$370,Opex_Budget!$F:$F,$D$370,Opex_Budget!$N:$N,"JPY")*$E$5+SUMIFS(Opex_Budget!$T:$T,Opex_Budget!$A:$A,$C$3,Opex_Budget!$E:$E,$B$370,Opex_Budget!$F:$F,$D$370,Opex_Budget!$N:$N,"USD")*$F$5+SUMIFS(Opex_Budget!$T:$T,Opex_Budget!$A:$A,$C$3,Opex_Budget!$E:$E,$B$370,Opex_Budget!$F:$F,$D$370,Opex_Budget!$N:$N,"EUR")*$G$5+SUMIFS(Opex_Budget!$T:$T,Opex_Budget!$A:$A,$C$3,Opex_Budget!$E:$E,$B$370,Opex_Budget!$F:$F,$D$370,Opex_Budget!$N:$N,"GBP")*$H$5)</f>
        <v/>
      </c>
      <c r="N370" s="32">
        <f>IF($B$370="","",SUMIFS(Opex_Budget!$U:$U,Opex_Budget!$A:$A,$C$3,Opex_Budget!$E:$E,$B$370,Opex_Budget!$F:$F,$D$370,Opex_Budget!$N:$N,"JPY")*$E$5+SUMIFS(Opex_Budget!$U:$U,Opex_Budget!$A:$A,$C$3,Opex_Budget!$E:$E,$B$370,Opex_Budget!$F:$F,$D$370,Opex_Budget!$N:$N,"USD")*$F$5+SUMIFS(Opex_Budget!$U:$U,Opex_Budget!$A:$A,$C$3,Opex_Budget!$E:$E,$B$370,Opex_Budget!$F:$F,$D$370,Opex_Budget!$N:$N,"EUR")*$G$5+SUMIFS(Opex_Budget!$U:$U,Opex_Budget!$A:$A,$C$3,Opex_Budget!$E:$E,$B$370,Opex_Budget!$F:$F,$D$370,Opex_Budget!$N:$N,"GBP")*$H$5)</f>
        <v/>
      </c>
      <c r="O370" s="32">
        <f>IF($B$370="","",SUMIFS(Opex_Budget!$V:$V,Opex_Budget!$A:$A,$C$3,Opex_Budget!$E:$E,$B$370,Opex_Budget!$F:$F,$D$370,Opex_Budget!$N:$N,"JPY")*$E$5+SUMIFS(Opex_Budget!$V:$V,Opex_Budget!$A:$A,$C$3,Opex_Budget!$E:$E,$B$370,Opex_Budget!$F:$F,$D$370,Opex_Budget!$N:$N,"USD")*$F$5+SUMIFS(Opex_Budget!$V:$V,Opex_Budget!$A:$A,$C$3,Opex_Budget!$E:$E,$B$370,Opex_Budget!$F:$F,$D$370,Opex_Budget!$N:$N,"EUR")*$G$5+SUMIFS(Opex_Budget!$V:$V,Opex_Budget!$A:$A,$C$3,Opex_Budget!$E:$E,$B$370,Opex_Budget!$F:$F,$D$370,Opex_Budget!$N:$N,"GBP")*$H$5)</f>
        <v/>
      </c>
      <c r="P370" s="32">
        <f>IF($B$370="","",SUMIFS(Opex_Budget!$W:$W,Opex_Budget!$A:$A,$C$3,Opex_Budget!$E:$E,$B$370,Opex_Budget!$F:$F,$D$370,Opex_Budget!$N:$N,"JPY")*$E$5+SUMIFS(Opex_Budget!$W:$W,Opex_Budget!$A:$A,$C$3,Opex_Budget!$E:$E,$B$370,Opex_Budget!$F:$F,$D$370,Opex_Budget!$N:$N,"USD")*$F$5+SUMIFS(Opex_Budget!$W:$W,Opex_Budget!$A:$A,$C$3,Opex_Budget!$E:$E,$B$370,Opex_Budget!$F:$F,$D$370,Opex_Budget!$N:$N,"EUR")*$G$5+SUMIFS(Opex_Budget!$W:$W,Opex_Budget!$A:$A,$C$3,Opex_Budget!$E:$E,$B$370,Opex_Budget!$F:$F,$D$370,Opex_Budget!$N:$N,"GBP")*$H$5)</f>
        <v/>
      </c>
      <c r="Q370" s="32">
        <f>IF($B$370="","",SUMIFS(Opex_Budget!$X:$X,Opex_Budget!$A:$A,$C$3,Opex_Budget!$E:$E,$B$370,Opex_Budget!$F:$F,$D$370,Opex_Budget!$N:$N,"JPY")*$E$5+SUMIFS(Opex_Budget!$X:$X,Opex_Budget!$A:$A,$C$3,Opex_Budget!$E:$E,$B$370,Opex_Budget!$F:$F,$D$370,Opex_Budget!$N:$N,"USD")*$F$5+SUMIFS(Opex_Budget!$X:$X,Opex_Budget!$A:$A,$C$3,Opex_Budget!$E:$E,$B$370,Opex_Budget!$F:$F,$D$370,Opex_Budget!$N:$N,"EUR")*$G$5+SUMIFS(Opex_Budget!$X:$X,Opex_Budget!$A:$A,$C$3,Opex_Budget!$E:$E,$B$370,Opex_Budget!$F:$F,$D$370,Opex_Budget!$N:$N,"GBP")*$H$5)</f>
        <v/>
      </c>
      <c r="R370" s="32">
        <f>IF($B$370="","",SUMIFS(Opex_Budget!$Y:$Y,Opex_Budget!$A:$A,$C$3,Opex_Budget!$E:$E,$B$370,Opex_Budget!$F:$F,$D$370,Opex_Budget!$N:$N,"JPY")*$E$5+SUMIFS(Opex_Budget!$Y:$Y,Opex_Budget!$A:$A,$C$3,Opex_Budget!$E:$E,$B$370,Opex_Budget!$F:$F,$D$370,Opex_Budget!$N:$N,"USD")*$F$5+SUMIFS(Opex_Budget!$Y:$Y,Opex_Budget!$A:$A,$C$3,Opex_Budget!$E:$E,$B$370,Opex_Budget!$F:$F,$D$370,Opex_Budget!$N:$N,"EUR")*$G$5+SUMIFS(Opex_Budget!$Y:$Y,Opex_Budget!$A:$A,$C$3,Opex_Budget!$E:$E,$B$370,Opex_Budget!$F:$F,$D$370,Opex_Budget!$N:$N,"GBP")*$H$5)</f>
        <v/>
      </c>
      <c r="S370" s="32">
        <f>IF($B$370="","",SUMIFS(Opex_Budget!$Z:$Z,Opex_Budget!$A:$A,$C$3,Opex_Budget!$E:$E,$B$370,Opex_Budget!$F:$F,$D$370,Opex_Budget!$N:$N,"JPY")*$E$5+SUMIFS(Opex_Budget!$Z:$Z,Opex_Budget!$A:$A,$C$3,Opex_Budget!$E:$E,$B$370,Opex_Budget!$F:$F,$D$370,Opex_Budget!$N:$N,"USD")*$F$5+SUMIFS(Opex_Budget!$Z:$Z,Opex_Budget!$A:$A,$C$3,Opex_Budget!$E:$E,$B$370,Opex_Budget!$F:$F,$D$370,Opex_Budget!$N:$N,"EUR")*$G$5+SUMIFS(Opex_Budget!$Z:$Z,Opex_Budget!$A:$A,$C$3,Opex_Budget!$E:$E,$B$370,Opex_Budget!$F:$F,$D$370,Opex_Budget!$N:$N,"GBP")*$H$5)</f>
        <v/>
      </c>
      <c r="T370" s="32">
        <f>IF($B$370="","",SUMIF($H$7:$S$7,"&lt;="&amp;$C$4,$H370:$S370))</f>
        <v/>
      </c>
      <c r="U370" s="32">
        <f>IF($B$370="","",SUMIF($H$7:$S$7,"&gt;"&amp;$C$4,$H370:$S370))</f>
        <v/>
      </c>
      <c r="V370" s="32">
        <f>IF($B$370="","",SUM($H370:$S370))</f>
        <v/>
      </c>
      <c r="X370" s="22">
        <f>IF($B370="","",IFERROR(INDEX(Cost_Centers!$E:$E,MATCH($B370,Cost_Centers!$A:$A,0)),"(unknown)"))</f>
        <v/>
      </c>
      <c r="Y370" s="22">
        <f>IF($B370="","",IFERROR(INDEX(Cost_Centers!$D:$D,MATCH($B370,Cost_Centers!$A:$A,0)),"(unknown)"))</f>
        <v/>
      </c>
      <c r="Z370" s="22">
        <f>IF(OR($B370="",$G370&lt;&gt;"Variance vs Budget"),"",ABS(N($V370))+ROW()/1000000000)</f>
        <v/>
      </c>
    </row>
    <row r="371">
      <c r="A371" s="13">
        <f>IF(A$370="","",A$370)</f>
        <v/>
      </c>
      <c r="B371" s="13">
        <f>IF(B$370="","",B$370)</f>
        <v/>
      </c>
      <c r="C371" s="13">
        <f>IF(C$370="","",C$370)</f>
        <v/>
      </c>
      <c r="D371" s="13">
        <f>IF(D$370="","",D$370)</f>
        <v/>
      </c>
      <c r="E371" s="13">
        <f>IF(E$370="","",E$370)</f>
        <v/>
      </c>
      <c r="F371" s="13">
        <f>IF(F$370="","",F$370)</f>
        <v/>
      </c>
      <c r="G371" s="7" t="inlineStr">
        <is>
          <t>Actual</t>
        </is>
      </c>
      <c r="H371" s="18">
        <f>IF(OR($B$370="",1&gt;$C$4),"",SUMIFS(Actuals!$G:$G,Actuals!$B:$B,$C$3,Actuals!$C:$C,1,Actuals!$D:$D,$B$370,Actuals!$A:$A,LEFT($D$370,FIND("|",$D$370&amp;"|")-1),Actuals!$E:$E,MID($D$370,FIND("|",$D$370&amp;"|")+1,50),Actuals!$F:$F,"JPY")*$E$5+SUMIFS(Actuals!$G:$G,Actuals!$B:$B,$C$3,Actuals!$C:$C,1,Actuals!$D:$D,$B$370,Actuals!$A:$A,LEFT($D$370,FIND("|",$D$370&amp;"|")-1),Actuals!$E:$E,MID($D$370,FIND("|",$D$370&amp;"|")+1,50),Actuals!$F:$F,"USD")*$F$5+SUMIFS(Actuals!$G:$G,Actuals!$B:$B,$C$3,Actuals!$C:$C,1,Actuals!$D:$D,$B$370,Actuals!$A:$A,LEFT($D$370,FIND("|",$D$370&amp;"|")-1),Actuals!$E:$E,MID($D$370,FIND("|",$D$370&amp;"|")+1,50),Actuals!$F:$F,"EUR")*$G$5+SUMIFS(Actuals!$G:$G,Actuals!$B:$B,$C$3,Actuals!$C:$C,1,Actuals!$D:$D,$B$370,Actuals!$A:$A,LEFT($D$370,FIND("|",$D$370&amp;"|")-1),Actuals!$E:$E,MID($D$370,FIND("|",$D$370&amp;"|")+1,50),Actuals!$F:$F,"GBP")*$H$5)</f>
        <v/>
      </c>
      <c r="I371" s="18">
        <f>IF(OR($B$370="",2&gt;$C$4),"",SUMIFS(Actuals!$G:$G,Actuals!$B:$B,$C$3,Actuals!$C:$C,2,Actuals!$D:$D,$B$370,Actuals!$A:$A,LEFT($D$370,FIND("|",$D$370&amp;"|")-1),Actuals!$E:$E,MID($D$370,FIND("|",$D$370&amp;"|")+1,50),Actuals!$F:$F,"JPY")*$E$5+SUMIFS(Actuals!$G:$G,Actuals!$B:$B,$C$3,Actuals!$C:$C,2,Actuals!$D:$D,$B$370,Actuals!$A:$A,LEFT($D$370,FIND("|",$D$370&amp;"|")-1),Actuals!$E:$E,MID($D$370,FIND("|",$D$370&amp;"|")+1,50),Actuals!$F:$F,"USD")*$F$5+SUMIFS(Actuals!$G:$G,Actuals!$B:$B,$C$3,Actuals!$C:$C,2,Actuals!$D:$D,$B$370,Actuals!$A:$A,LEFT($D$370,FIND("|",$D$370&amp;"|")-1),Actuals!$E:$E,MID($D$370,FIND("|",$D$370&amp;"|")+1,50),Actuals!$F:$F,"EUR")*$G$5+SUMIFS(Actuals!$G:$G,Actuals!$B:$B,$C$3,Actuals!$C:$C,2,Actuals!$D:$D,$B$370,Actuals!$A:$A,LEFT($D$370,FIND("|",$D$370&amp;"|")-1),Actuals!$E:$E,MID($D$370,FIND("|",$D$370&amp;"|")+1,50),Actuals!$F:$F,"GBP")*$H$5)</f>
        <v/>
      </c>
      <c r="J371" s="18">
        <f>IF(OR($B$370="",3&gt;$C$4),"",SUMIFS(Actuals!$G:$G,Actuals!$B:$B,$C$3,Actuals!$C:$C,3,Actuals!$D:$D,$B$370,Actuals!$A:$A,LEFT($D$370,FIND("|",$D$370&amp;"|")-1),Actuals!$E:$E,MID($D$370,FIND("|",$D$370&amp;"|")+1,50),Actuals!$F:$F,"JPY")*$E$5+SUMIFS(Actuals!$G:$G,Actuals!$B:$B,$C$3,Actuals!$C:$C,3,Actuals!$D:$D,$B$370,Actuals!$A:$A,LEFT($D$370,FIND("|",$D$370&amp;"|")-1),Actuals!$E:$E,MID($D$370,FIND("|",$D$370&amp;"|")+1,50),Actuals!$F:$F,"USD")*$F$5+SUMIFS(Actuals!$G:$G,Actuals!$B:$B,$C$3,Actuals!$C:$C,3,Actuals!$D:$D,$B$370,Actuals!$A:$A,LEFT($D$370,FIND("|",$D$370&amp;"|")-1),Actuals!$E:$E,MID($D$370,FIND("|",$D$370&amp;"|")+1,50),Actuals!$F:$F,"EUR")*$G$5+SUMIFS(Actuals!$G:$G,Actuals!$B:$B,$C$3,Actuals!$C:$C,3,Actuals!$D:$D,$B$370,Actuals!$A:$A,LEFT($D$370,FIND("|",$D$370&amp;"|")-1),Actuals!$E:$E,MID($D$370,FIND("|",$D$370&amp;"|")+1,50),Actuals!$F:$F,"GBP")*$H$5)</f>
        <v/>
      </c>
      <c r="K371" s="18">
        <f>IF(OR($B$370="",4&gt;$C$4),"",SUMIFS(Actuals!$G:$G,Actuals!$B:$B,$C$3,Actuals!$C:$C,4,Actuals!$D:$D,$B$370,Actuals!$A:$A,LEFT($D$370,FIND("|",$D$370&amp;"|")-1),Actuals!$E:$E,MID($D$370,FIND("|",$D$370&amp;"|")+1,50),Actuals!$F:$F,"JPY")*$E$5+SUMIFS(Actuals!$G:$G,Actuals!$B:$B,$C$3,Actuals!$C:$C,4,Actuals!$D:$D,$B$370,Actuals!$A:$A,LEFT($D$370,FIND("|",$D$370&amp;"|")-1),Actuals!$E:$E,MID($D$370,FIND("|",$D$370&amp;"|")+1,50),Actuals!$F:$F,"USD")*$F$5+SUMIFS(Actuals!$G:$G,Actuals!$B:$B,$C$3,Actuals!$C:$C,4,Actuals!$D:$D,$B$370,Actuals!$A:$A,LEFT($D$370,FIND("|",$D$370&amp;"|")-1),Actuals!$E:$E,MID($D$370,FIND("|",$D$370&amp;"|")+1,50),Actuals!$F:$F,"EUR")*$G$5+SUMIFS(Actuals!$G:$G,Actuals!$B:$B,$C$3,Actuals!$C:$C,4,Actuals!$D:$D,$B$370,Actuals!$A:$A,LEFT($D$370,FIND("|",$D$370&amp;"|")-1),Actuals!$E:$E,MID($D$370,FIND("|",$D$370&amp;"|")+1,50),Actuals!$F:$F,"GBP")*$H$5)</f>
        <v/>
      </c>
      <c r="L371" s="18">
        <f>IF(OR($B$370="",5&gt;$C$4),"",SUMIFS(Actuals!$G:$G,Actuals!$B:$B,$C$3,Actuals!$C:$C,5,Actuals!$D:$D,$B$370,Actuals!$A:$A,LEFT($D$370,FIND("|",$D$370&amp;"|")-1),Actuals!$E:$E,MID($D$370,FIND("|",$D$370&amp;"|")+1,50),Actuals!$F:$F,"JPY")*$E$5+SUMIFS(Actuals!$G:$G,Actuals!$B:$B,$C$3,Actuals!$C:$C,5,Actuals!$D:$D,$B$370,Actuals!$A:$A,LEFT($D$370,FIND("|",$D$370&amp;"|")-1),Actuals!$E:$E,MID($D$370,FIND("|",$D$370&amp;"|")+1,50),Actuals!$F:$F,"USD")*$F$5+SUMIFS(Actuals!$G:$G,Actuals!$B:$B,$C$3,Actuals!$C:$C,5,Actuals!$D:$D,$B$370,Actuals!$A:$A,LEFT($D$370,FIND("|",$D$370&amp;"|")-1),Actuals!$E:$E,MID($D$370,FIND("|",$D$370&amp;"|")+1,50),Actuals!$F:$F,"EUR")*$G$5+SUMIFS(Actuals!$G:$G,Actuals!$B:$B,$C$3,Actuals!$C:$C,5,Actuals!$D:$D,$B$370,Actuals!$A:$A,LEFT($D$370,FIND("|",$D$370&amp;"|")-1),Actuals!$E:$E,MID($D$370,FIND("|",$D$370&amp;"|")+1,50),Actuals!$F:$F,"GBP")*$H$5)</f>
        <v/>
      </c>
      <c r="M371" s="18">
        <f>IF(OR($B$370="",6&gt;$C$4),"",SUMIFS(Actuals!$G:$G,Actuals!$B:$B,$C$3,Actuals!$C:$C,6,Actuals!$D:$D,$B$370,Actuals!$A:$A,LEFT($D$370,FIND("|",$D$370&amp;"|")-1),Actuals!$E:$E,MID($D$370,FIND("|",$D$370&amp;"|")+1,50),Actuals!$F:$F,"JPY")*$E$5+SUMIFS(Actuals!$G:$G,Actuals!$B:$B,$C$3,Actuals!$C:$C,6,Actuals!$D:$D,$B$370,Actuals!$A:$A,LEFT($D$370,FIND("|",$D$370&amp;"|")-1),Actuals!$E:$E,MID($D$370,FIND("|",$D$370&amp;"|")+1,50),Actuals!$F:$F,"USD")*$F$5+SUMIFS(Actuals!$G:$G,Actuals!$B:$B,$C$3,Actuals!$C:$C,6,Actuals!$D:$D,$B$370,Actuals!$A:$A,LEFT($D$370,FIND("|",$D$370&amp;"|")-1),Actuals!$E:$E,MID($D$370,FIND("|",$D$370&amp;"|")+1,50),Actuals!$F:$F,"EUR")*$G$5+SUMIFS(Actuals!$G:$G,Actuals!$B:$B,$C$3,Actuals!$C:$C,6,Actuals!$D:$D,$B$370,Actuals!$A:$A,LEFT($D$370,FIND("|",$D$370&amp;"|")-1),Actuals!$E:$E,MID($D$370,FIND("|",$D$370&amp;"|")+1,50),Actuals!$F:$F,"GBP")*$H$5)</f>
        <v/>
      </c>
      <c r="N371" s="18">
        <f>IF(OR($B$370="",7&gt;$C$4),"",SUMIFS(Actuals!$G:$G,Actuals!$B:$B,$C$3,Actuals!$C:$C,7,Actuals!$D:$D,$B$370,Actuals!$A:$A,LEFT($D$370,FIND("|",$D$370&amp;"|")-1),Actuals!$E:$E,MID($D$370,FIND("|",$D$370&amp;"|")+1,50),Actuals!$F:$F,"JPY")*$E$5+SUMIFS(Actuals!$G:$G,Actuals!$B:$B,$C$3,Actuals!$C:$C,7,Actuals!$D:$D,$B$370,Actuals!$A:$A,LEFT($D$370,FIND("|",$D$370&amp;"|")-1),Actuals!$E:$E,MID($D$370,FIND("|",$D$370&amp;"|")+1,50),Actuals!$F:$F,"USD")*$F$5+SUMIFS(Actuals!$G:$G,Actuals!$B:$B,$C$3,Actuals!$C:$C,7,Actuals!$D:$D,$B$370,Actuals!$A:$A,LEFT($D$370,FIND("|",$D$370&amp;"|")-1),Actuals!$E:$E,MID($D$370,FIND("|",$D$370&amp;"|")+1,50),Actuals!$F:$F,"EUR")*$G$5+SUMIFS(Actuals!$G:$G,Actuals!$B:$B,$C$3,Actuals!$C:$C,7,Actuals!$D:$D,$B$370,Actuals!$A:$A,LEFT($D$370,FIND("|",$D$370&amp;"|")-1),Actuals!$E:$E,MID($D$370,FIND("|",$D$370&amp;"|")+1,50),Actuals!$F:$F,"GBP")*$H$5)</f>
        <v/>
      </c>
      <c r="O371" s="18">
        <f>IF(OR($B$370="",8&gt;$C$4),"",SUMIFS(Actuals!$G:$G,Actuals!$B:$B,$C$3,Actuals!$C:$C,8,Actuals!$D:$D,$B$370,Actuals!$A:$A,LEFT($D$370,FIND("|",$D$370&amp;"|")-1),Actuals!$E:$E,MID($D$370,FIND("|",$D$370&amp;"|")+1,50),Actuals!$F:$F,"JPY")*$E$5+SUMIFS(Actuals!$G:$G,Actuals!$B:$B,$C$3,Actuals!$C:$C,8,Actuals!$D:$D,$B$370,Actuals!$A:$A,LEFT($D$370,FIND("|",$D$370&amp;"|")-1),Actuals!$E:$E,MID($D$370,FIND("|",$D$370&amp;"|")+1,50),Actuals!$F:$F,"USD")*$F$5+SUMIFS(Actuals!$G:$G,Actuals!$B:$B,$C$3,Actuals!$C:$C,8,Actuals!$D:$D,$B$370,Actuals!$A:$A,LEFT($D$370,FIND("|",$D$370&amp;"|")-1),Actuals!$E:$E,MID($D$370,FIND("|",$D$370&amp;"|")+1,50),Actuals!$F:$F,"EUR")*$G$5+SUMIFS(Actuals!$G:$G,Actuals!$B:$B,$C$3,Actuals!$C:$C,8,Actuals!$D:$D,$B$370,Actuals!$A:$A,LEFT($D$370,FIND("|",$D$370&amp;"|")-1),Actuals!$E:$E,MID($D$370,FIND("|",$D$370&amp;"|")+1,50),Actuals!$F:$F,"GBP")*$H$5)</f>
        <v/>
      </c>
      <c r="P371" s="18">
        <f>IF(OR($B$370="",9&gt;$C$4),"",SUMIFS(Actuals!$G:$G,Actuals!$B:$B,$C$3,Actuals!$C:$C,9,Actuals!$D:$D,$B$370,Actuals!$A:$A,LEFT($D$370,FIND("|",$D$370&amp;"|")-1),Actuals!$E:$E,MID($D$370,FIND("|",$D$370&amp;"|")+1,50),Actuals!$F:$F,"JPY")*$E$5+SUMIFS(Actuals!$G:$G,Actuals!$B:$B,$C$3,Actuals!$C:$C,9,Actuals!$D:$D,$B$370,Actuals!$A:$A,LEFT($D$370,FIND("|",$D$370&amp;"|")-1),Actuals!$E:$E,MID($D$370,FIND("|",$D$370&amp;"|")+1,50),Actuals!$F:$F,"USD")*$F$5+SUMIFS(Actuals!$G:$G,Actuals!$B:$B,$C$3,Actuals!$C:$C,9,Actuals!$D:$D,$B$370,Actuals!$A:$A,LEFT($D$370,FIND("|",$D$370&amp;"|")-1),Actuals!$E:$E,MID($D$370,FIND("|",$D$370&amp;"|")+1,50),Actuals!$F:$F,"EUR")*$G$5+SUMIFS(Actuals!$G:$G,Actuals!$B:$B,$C$3,Actuals!$C:$C,9,Actuals!$D:$D,$B$370,Actuals!$A:$A,LEFT($D$370,FIND("|",$D$370&amp;"|")-1),Actuals!$E:$E,MID($D$370,FIND("|",$D$370&amp;"|")+1,50),Actuals!$F:$F,"GBP")*$H$5)</f>
        <v/>
      </c>
      <c r="Q371" s="18">
        <f>IF(OR($B$370="",10&gt;$C$4),"",SUMIFS(Actuals!$G:$G,Actuals!$B:$B,$C$3,Actuals!$C:$C,10,Actuals!$D:$D,$B$370,Actuals!$A:$A,LEFT($D$370,FIND("|",$D$370&amp;"|")-1),Actuals!$E:$E,MID($D$370,FIND("|",$D$370&amp;"|")+1,50),Actuals!$F:$F,"JPY")*$E$5+SUMIFS(Actuals!$G:$G,Actuals!$B:$B,$C$3,Actuals!$C:$C,10,Actuals!$D:$D,$B$370,Actuals!$A:$A,LEFT($D$370,FIND("|",$D$370&amp;"|")-1),Actuals!$E:$E,MID($D$370,FIND("|",$D$370&amp;"|")+1,50),Actuals!$F:$F,"USD")*$F$5+SUMIFS(Actuals!$G:$G,Actuals!$B:$B,$C$3,Actuals!$C:$C,10,Actuals!$D:$D,$B$370,Actuals!$A:$A,LEFT($D$370,FIND("|",$D$370&amp;"|")-1),Actuals!$E:$E,MID($D$370,FIND("|",$D$370&amp;"|")+1,50),Actuals!$F:$F,"EUR")*$G$5+SUMIFS(Actuals!$G:$G,Actuals!$B:$B,$C$3,Actuals!$C:$C,10,Actuals!$D:$D,$B$370,Actuals!$A:$A,LEFT($D$370,FIND("|",$D$370&amp;"|")-1),Actuals!$E:$E,MID($D$370,FIND("|",$D$370&amp;"|")+1,50),Actuals!$F:$F,"GBP")*$H$5)</f>
        <v/>
      </c>
      <c r="R371" s="18">
        <f>IF(OR($B$370="",11&gt;$C$4),"",SUMIFS(Actuals!$G:$G,Actuals!$B:$B,$C$3,Actuals!$C:$C,11,Actuals!$D:$D,$B$370,Actuals!$A:$A,LEFT($D$370,FIND("|",$D$370&amp;"|")-1),Actuals!$E:$E,MID($D$370,FIND("|",$D$370&amp;"|")+1,50),Actuals!$F:$F,"JPY")*$E$5+SUMIFS(Actuals!$G:$G,Actuals!$B:$B,$C$3,Actuals!$C:$C,11,Actuals!$D:$D,$B$370,Actuals!$A:$A,LEFT($D$370,FIND("|",$D$370&amp;"|")-1),Actuals!$E:$E,MID($D$370,FIND("|",$D$370&amp;"|")+1,50),Actuals!$F:$F,"USD")*$F$5+SUMIFS(Actuals!$G:$G,Actuals!$B:$B,$C$3,Actuals!$C:$C,11,Actuals!$D:$D,$B$370,Actuals!$A:$A,LEFT($D$370,FIND("|",$D$370&amp;"|")-1),Actuals!$E:$E,MID($D$370,FIND("|",$D$370&amp;"|")+1,50),Actuals!$F:$F,"EUR")*$G$5+SUMIFS(Actuals!$G:$G,Actuals!$B:$B,$C$3,Actuals!$C:$C,11,Actuals!$D:$D,$B$370,Actuals!$A:$A,LEFT($D$370,FIND("|",$D$370&amp;"|")-1),Actuals!$E:$E,MID($D$370,FIND("|",$D$370&amp;"|")+1,50),Actuals!$F:$F,"GBP")*$H$5)</f>
        <v/>
      </c>
      <c r="S371" s="18">
        <f>IF(OR($B$370="",12&gt;$C$4),"",SUMIFS(Actuals!$G:$G,Actuals!$B:$B,$C$3,Actuals!$C:$C,12,Actuals!$D:$D,$B$370,Actuals!$A:$A,LEFT($D$370,FIND("|",$D$370&amp;"|")-1),Actuals!$E:$E,MID($D$370,FIND("|",$D$370&amp;"|")+1,50),Actuals!$F:$F,"JPY")*$E$5+SUMIFS(Actuals!$G:$G,Actuals!$B:$B,$C$3,Actuals!$C:$C,12,Actuals!$D:$D,$B$370,Actuals!$A:$A,LEFT($D$370,FIND("|",$D$370&amp;"|")-1),Actuals!$E:$E,MID($D$370,FIND("|",$D$370&amp;"|")+1,50),Actuals!$F:$F,"USD")*$F$5+SUMIFS(Actuals!$G:$G,Actuals!$B:$B,$C$3,Actuals!$C:$C,12,Actuals!$D:$D,$B$370,Actuals!$A:$A,LEFT($D$370,FIND("|",$D$370&amp;"|")-1),Actuals!$E:$E,MID($D$370,FIND("|",$D$370&amp;"|")+1,50),Actuals!$F:$F,"EUR")*$G$5+SUMIFS(Actuals!$G:$G,Actuals!$B:$B,$C$3,Actuals!$C:$C,12,Actuals!$D:$D,$B$370,Actuals!$A:$A,LEFT($D$370,FIND("|",$D$370&amp;"|")-1),Actuals!$E:$E,MID($D$370,FIND("|",$D$370&amp;"|")+1,50),Actuals!$F:$F,"GBP")*$H$5)</f>
        <v/>
      </c>
      <c r="T371" s="18">
        <f>IF($B$370="","",SUMIF($H$7:$S$7,"&lt;="&amp;$C$4,$H371:$S371))</f>
        <v/>
      </c>
      <c r="U371" s="18" t="n"/>
      <c r="V371" s="18" t="n"/>
      <c r="X371" s="22">
        <f>IF($B371="","",IFERROR(INDEX(Cost_Centers!$E:$E,MATCH($B371,Cost_Centers!$A:$A,0)),"(unknown)"))</f>
        <v/>
      </c>
      <c r="Y371" s="22">
        <f>IF($B371="","",IFERROR(INDEX(Cost_Centers!$D:$D,MATCH($B371,Cost_Centers!$A:$A,0)),"(unknown)"))</f>
        <v/>
      </c>
      <c r="Z371" s="22">
        <f>IF(OR($B371="",$G371&lt;&gt;"Variance vs Budget"),"",ABS(N($V371))+ROW()/1000000000)</f>
        <v/>
      </c>
    </row>
    <row r="372">
      <c r="A372" s="13">
        <f>IF(A$370="","",A$370)</f>
        <v/>
      </c>
      <c r="B372" s="13">
        <f>IF(B$370="","",B$370)</f>
        <v/>
      </c>
      <c r="C372" s="13">
        <f>IF(C$370="","",C$370)</f>
        <v/>
      </c>
      <c r="D372" s="13">
        <f>IF(D$370="","",D$370)</f>
        <v/>
      </c>
      <c r="E372" s="13">
        <f>IF(E$370="","",E$370)</f>
        <v/>
      </c>
      <c r="F372" s="13">
        <f>IF(F$370="","",F$370)</f>
        <v/>
      </c>
      <c r="G372" s="6" t="inlineStr">
        <is>
          <t>Variance vs Budget</t>
        </is>
      </c>
      <c r="H372" s="33">
        <f>IF(OR($B$370="",1&gt;$C$4),"",N(H371)-H370)</f>
        <v/>
      </c>
      <c r="I372" s="33">
        <f>IF(OR($B$370="",2&gt;$C$4),"",N(I371)-I370)</f>
        <v/>
      </c>
      <c r="J372" s="33">
        <f>IF(OR($B$370="",3&gt;$C$4),"",N(J371)-J370)</f>
        <v/>
      </c>
      <c r="K372" s="33">
        <f>IF(OR($B$370="",4&gt;$C$4),"",N(K371)-K370)</f>
        <v/>
      </c>
      <c r="L372" s="33">
        <f>IF(OR($B$370="",5&gt;$C$4),"",N(L371)-L370)</f>
        <v/>
      </c>
      <c r="M372" s="33">
        <f>IF(OR($B$370="",6&gt;$C$4),"",N(M371)-M370)</f>
        <v/>
      </c>
      <c r="N372" s="33">
        <f>IF(OR($B$370="",7&gt;$C$4),"",N(N371)-N370)</f>
        <v/>
      </c>
      <c r="O372" s="33">
        <f>IF(OR($B$370="",8&gt;$C$4),"",N(O371)-O370)</f>
        <v/>
      </c>
      <c r="P372" s="33">
        <f>IF(OR($B$370="",9&gt;$C$4),"",N(P371)-P370)</f>
        <v/>
      </c>
      <c r="Q372" s="33">
        <f>IF(OR($B$370="",10&gt;$C$4),"",N(Q371)-Q370)</f>
        <v/>
      </c>
      <c r="R372" s="33">
        <f>IF(OR($B$370="",11&gt;$C$4),"",N(R371)-R370)</f>
        <v/>
      </c>
      <c r="S372" s="33">
        <f>IF(OR($B$370="",12&gt;$C$4),"",N(S371)-S370)</f>
        <v/>
      </c>
      <c r="T372" s="33">
        <f>IF($B$370="","",T371-T370)</f>
        <v/>
      </c>
      <c r="U372" s="33">
        <f>IF($B$370="","",U374-U370)</f>
        <v/>
      </c>
      <c r="V372" s="33">
        <f>IF($B$370="","",V374-V370)</f>
        <v/>
      </c>
      <c r="X372" s="22">
        <f>IF($B372="","",IFERROR(INDEX(Cost_Centers!$E:$E,MATCH($B372,Cost_Centers!$A:$A,0)),"(unknown)"))</f>
        <v/>
      </c>
      <c r="Y372" s="22">
        <f>IF($B372="","",IFERROR(INDEX(Cost_Centers!$D:$D,MATCH($B372,Cost_Centers!$A:$A,0)),"(unknown)"))</f>
        <v/>
      </c>
      <c r="Z372" s="22">
        <f>IF(OR($B372="",$G372&lt;&gt;"Variance vs Budget"),"",ABS(N($V372))+ROW()/1000000000)</f>
        <v/>
      </c>
    </row>
    <row r="373">
      <c r="A373" s="13">
        <f>IF(A$370="","",A$370)</f>
        <v/>
      </c>
      <c r="B373" s="13">
        <f>IF(B$370="","",B$370)</f>
        <v/>
      </c>
      <c r="C373" s="13">
        <f>IF(C$370="","",C$370)</f>
        <v/>
      </c>
      <c r="D373" s="13">
        <f>IF(D$370="","",D$370)</f>
        <v/>
      </c>
      <c r="E373" s="13">
        <f>IF(E$370="","",E$370)</f>
        <v/>
      </c>
      <c r="F373" s="13">
        <f>IF(F$370="","",F$370)</f>
        <v/>
      </c>
      <c r="G373" s="7" t="inlineStr">
        <is>
          <t>Forecast (input)</t>
        </is>
      </c>
      <c r="H373" s="34" t="n"/>
      <c r="I373" s="34" t="n"/>
      <c r="J373" s="34" t="n"/>
      <c r="K373" s="34" t="n"/>
      <c r="L373" s="34" t="n"/>
      <c r="M373" s="34" t="n"/>
      <c r="N373" s="34" t="n"/>
      <c r="O373" s="34" t="n"/>
      <c r="P373" s="34" t="n"/>
      <c r="Q373" s="34" t="n"/>
      <c r="R373" s="34" t="n"/>
      <c r="S373" s="34" t="n"/>
      <c r="T373" s="18" t="n"/>
      <c r="U373" s="18" t="n"/>
      <c r="V373" s="18" t="n"/>
      <c r="X373" s="22">
        <f>IF($B373="","",IFERROR(INDEX(Cost_Centers!$E:$E,MATCH($B373,Cost_Centers!$A:$A,0)),"(unknown)"))</f>
        <v/>
      </c>
      <c r="Y373" s="22">
        <f>IF($B373="","",IFERROR(INDEX(Cost_Centers!$D:$D,MATCH($B373,Cost_Centers!$A:$A,0)),"(unknown)"))</f>
        <v/>
      </c>
      <c r="Z373" s="22">
        <f>IF(OR($B373="",$G373&lt;&gt;"Variance vs Budget"),"",ABS(N($V373))+ROW()/1000000000)</f>
        <v/>
      </c>
    </row>
    <row r="374">
      <c r="A374" s="13">
        <f>IF(A$370="","",A$370)</f>
        <v/>
      </c>
      <c r="B374" s="13">
        <f>IF(B$370="","",B$370)</f>
        <v/>
      </c>
      <c r="C374" s="13">
        <f>IF(C$370="","",C$370)</f>
        <v/>
      </c>
      <c r="D374" s="13">
        <f>IF(D$370="","",D$370)</f>
        <v/>
      </c>
      <c r="E374" s="13">
        <f>IF(E$370="","",E$370)</f>
        <v/>
      </c>
      <c r="F374" s="13">
        <f>IF(F$370="","",F$370)</f>
        <v/>
      </c>
      <c r="G374" s="35" t="inlineStr">
        <is>
          <t>Actual + Forecast</t>
        </is>
      </c>
      <c r="H374" s="18">
        <f>IF($B$370="","",IF(1&lt;=$C$4,N(H371),IF(H373="",H370,H373)))</f>
        <v/>
      </c>
      <c r="I374" s="18">
        <f>IF($B$370="","",IF(2&lt;=$C$4,N(I371),IF(I373="",I370,I373)))</f>
        <v/>
      </c>
      <c r="J374" s="18">
        <f>IF($B$370="","",IF(3&lt;=$C$4,N(J371),IF(J373="",J370,J373)))</f>
        <v/>
      </c>
      <c r="K374" s="18">
        <f>IF($B$370="","",IF(4&lt;=$C$4,N(K371),IF(K373="",K370,K373)))</f>
        <v/>
      </c>
      <c r="L374" s="18">
        <f>IF($B$370="","",IF(5&lt;=$C$4,N(L371),IF(L373="",L370,L373)))</f>
        <v/>
      </c>
      <c r="M374" s="18">
        <f>IF($B$370="","",IF(6&lt;=$C$4,N(M371),IF(M373="",M370,M373)))</f>
        <v/>
      </c>
      <c r="N374" s="18">
        <f>IF($B$370="","",IF(7&lt;=$C$4,N(N371),IF(N373="",N370,N373)))</f>
        <v/>
      </c>
      <c r="O374" s="18">
        <f>IF($B$370="","",IF(8&lt;=$C$4,N(O371),IF(O373="",O370,O373)))</f>
        <v/>
      </c>
      <c r="P374" s="18">
        <f>IF($B$370="","",IF(9&lt;=$C$4,N(P371),IF(P373="",P370,P373)))</f>
        <v/>
      </c>
      <c r="Q374" s="18">
        <f>IF($B$370="","",IF(10&lt;=$C$4,N(Q371),IF(Q373="",Q370,Q373)))</f>
        <v/>
      </c>
      <c r="R374" s="18">
        <f>IF($B$370="","",IF(11&lt;=$C$4,N(R371),IF(R373="",R370,R373)))</f>
        <v/>
      </c>
      <c r="S374" s="18">
        <f>IF($B$370="","",IF(12&lt;=$C$4,N(S371),IF(S373="",S370,S373)))</f>
        <v/>
      </c>
      <c r="T374" s="18">
        <f>IF($B$370="","",SUMIF($H$7:$S$7,"&lt;="&amp;$C$4,$H374:$S374))</f>
        <v/>
      </c>
      <c r="U374" s="18">
        <f>IF($B$370="","",SUMIF($H$7:$S$7,"&gt;"&amp;$C$4,$H374:$S374))</f>
        <v/>
      </c>
      <c r="V374" s="18">
        <f>IF($B$370="","",SUM($H374:$S374))</f>
        <v/>
      </c>
      <c r="X374" s="22">
        <f>IF($B374="","",IFERROR(INDEX(Cost_Centers!$E:$E,MATCH($B374,Cost_Centers!$A:$A,0)),"(unknown)"))</f>
        <v/>
      </c>
      <c r="Y374" s="22">
        <f>IF($B374="","",IFERROR(INDEX(Cost_Centers!$D:$D,MATCH($B374,Cost_Centers!$A:$A,0)),"(unknown)"))</f>
        <v/>
      </c>
      <c r="Z374" s="22">
        <f>IF(OR($B374="",$G374&lt;&gt;"Variance vs Budget"),"",ABS(N($V374))+ROW()/1000000000)</f>
        <v/>
      </c>
    </row>
    <row r="375">
      <c r="A375" s="13">
        <f>IF(A$370="","",A$370)</f>
        <v/>
      </c>
      <c r="B375" s="13">
        <f>IF(B$370="","",B$370)</f>
        <v/>
      </c>
      <c r="C375" s="13">
        <f>IF(C$370="","",C$370)</f>
        <v/>
      </c>
      <c r="D375" s="13">
        <f>IF(D$370="","",D$370)</f>
        <v/>
      </c>
      <c r="E375" s="13">
        <f>IF(E$370="","",E$370)</f>
        <v/>
      </c>
      <c r="F375" s="13">
        <f>IF(F$370="","",F$370)</f>
        <v/>
      </c>
      <c r="G375" s="36" t="inlineStr">
        <is>
          <t>Prior Month Forecast</t>
        </is>
      </c>
      <c r="H375" s="37">
        <f>IF($B$370="","",IF(COUNTIFS(Prior_Forecast!$A:$A,$B$370,Prior_Forecast!$B:$B,$D$370)&gt;0,SUMIFS(Prior_Forecast!$C:$C,Prior_Forecast!$A:$A,$B$370,Prior_Forecast!$B:$B,$D$370),""))</f>
        <v/>
      </c>
      <c r="I375" s="37">
        <f>IF($B$370="","",IF(COUNTIFS(Prior_Forecast!$A:$A,$B$370,Prior_Forecast!$B:$B,$D$370)&gt;0,SUMIFS(Prior_Forecast!$D:$D,Prior_Forecast!$A:$A,$B$370,Prior_Forecast!$B:$B,$D$370),""))</f>
        <v/>
      </c>
      <c r="J375" s="37">
        <f>IF($B$370="","",IF(COUNTIFS(Prior_Forecast!$A:$A,$B$370,Prior_Forecast!$B:$B,$D$370)&gt;0,SUMIFS(Prior_Forecast!$E:$E,Prior_Forecast!$A:$A,$B$370,Prior_Forecast!$B:$B,$D$370),""))</f>
        <v/>
      </c>
      <c r="K375" s="37">
        <f>IF($B$370="","",IF(COUNTIFS(Prior_Forecast!$A:$A,$B$370,Prior_Forecast!$B:$B,$D$370)&gt;0,SUMIFS(Prior_Forecast!$F:$F,Prior_Forecast!$A:$A,$B$370,Prior_Forecast!$B:$B,$D$370),""))</f>
        <v/>
      </c>
      <c r="L375" s="37">
        <f>IF($B$370="","",IF(COUNTIFS(Prior_Forecast!$A:$A,$B$370,Prior_Forecast!$B:$B,$D$370)&gt;0,SUMIFS(Prior_Forecast!$G:$G,Prior_Forecast!$A:$A,$B$370,Prior_Forecast!$B:$B,$D$370),""))</f>
        <v/>
      </c>
      <c r="M375" s="37">
        <f>IF($B$370="","",IF(COUNTIFS(Prior_Forecast!$A:$A,$B$370,Prior_Forecast!$B:$B,$D$370)&gt;0,SUMIFS(Prior_Forecast!$H:$H,Prior_Forecast!$A:$A,$B$370,Prior_Forecast!$B:$B,$D$370),""))</f>
        <v/>
      </c>
      <c r="N375" s="37">
        <f>IF($B$370="","",IF(COUNTIFS(Prior_Forecast!$A:$A,$B$370,Prior_Forecast!$B:$B,$D$370)&gt;0,SUMIFS(Prior_Forecast!$I:$I,Prior_Forecast!$A:$A,$B$370,Prior_Forecast!$B:$B,$D$370),""))</f>
        <v/>
      </c>
      <c r="O375" s="37">
        <f>IF($B$370="","",IF(COUNTIFS(Prior_Forecast!$A:$A,$B$370,Prior_Forecast!$B:$B,$D$370)&gt;0,SUMIFS(Prior_Forecast!$J:$J,Prior_Forecast!$A:$A,$B$370,Prior_Forecast!$B:$B,$D$370),""))</f>
        <v/>
      </c>
      <c r="P375" s="37">
        <f>IF($B$370="","",IF(COUNTIFS(Prior_Forecast!$A:$A,$B$370,Prior_Forecast!$B:$B,$D$370)&gt;0,SUMIFS(Prior_Forecast!$K:$K,Prior_Forecast!$A:$A,$B$370,Prior_Forecast!$B:$B,$D$370),""))</f>
        <v/>
      </c>
      <c r="Q375" s="37">
        <f>IF($B$370="","",IF(COUNTIFS(Prior_Forecast!$A:$A,$B$370,Prior_Forecast!$B:$B,$D$370)&gt;0,SUMIFS(Prior_Forecast!$L:$L,Prior_Forecast!$A:$A,$B$370,Prior_Forecast!$B:$B,$D$370),""))</f>
        <v/>
      </c>
      <c r="R375" s="37">
        <f>IF($B$370="","",IF(COUNTIFS(Prior_Forecast!$A:$A,$B$370,Prior_Forecast!$B:$B,$D$370)&gt;0,SUMIFS(Prior_Forecast!$M:$M,Prior_Forecast!$A:$A,$B$370,Prior_Forecast!$B:$B,$D$370),""))</f>
        <v/>
      </c>
      <c r="S375" s="37">
        <f>IF($B$370="","",IF(COUNTIFS(Prior_Forecast!$A:$A,$B$370,Prior_Forecast!$B:$B,$D$370)&gt;0,SUMIFS(Prior_Forecast!$N:$N,Prior_Forecast!$A:$A,$B$370,Prior_Forecast!$B:$B,$D$370),""))</f>
        <v/>
      </c>
      <c r="T375" s="37">
        <f>IF($B$370="","",IF(COUNTIFS(Prior_Forecast!$A:$A,$B$370,Prior_Forecast!$B:$B,$D$370)&gt;0,SUMIFS(Prior_Forecast!$O:$O,Prior_Forecast!$A:$A,$B$370,Prior_Forecast!$B:$B,$D$370),""))</f>
        <v/>
      </c>
      <c r="U375" s="37">
        <f>IF($B$370="","",IF(COUNTIFS(Prior_Forecast!$A:$A,$B$370,Prior_Forecast!$B:$B,$D$370)&gt;0,SUMIFS(Prior_Forecast!$P:$P,Prior_Forecast!$A:$A,$B$370,Prior_Forecast!$B:$B,$D$370),""))</f>
        <v/>
      </c>
      <c r="V375" s="37">
        <f>IF($B$370="","",IF(COUNTIFS(Prior_Forecast!$A:$A,$B$370,Prior_Forecast!$B:$B,$D$370)&gt;0,SUMIFS(Prior_Forecast!$Q:$Q,Prior_Forecast!$A:$A,$B$370,Prior_Forecast!$B:$B,$D$370),""))</f>
        <v/>
      </c>
      <c r="X375" s="22">
        <f>IF($B375="","",IFERROR(INDEX(Cost_Centers!$E:$E,MATCH($B375,Cost_Centers!$A:$A,0)),"(unknown)"))</f>
        <v/>
      </c>
      <c r="Y375" s="22">
        <f>IF($B375="","",IFERROR(INDEX(Cost_Centers!$D:$D,MATCH($B375,Cost_Centers!$A:$A,0)),"(unknown)"))</f>
        <v/>
      </c>
      <c r="Z375" s="22">
        <f>IF(OR($B375="",$G375&lt;&gt;"Variance vs Budget"),"",ABS(N($V375))+ROW()/1000000000)</f>
        <v/>
      </c>
    </row>
    <row r="376">
      <c r="A376" s="13">
        <f>IF(A$370="","",A$370)</f>
        <v/>
      </c>
      <c r="B376" s="13">
        <f>IF(B$370="","",B$370)</f>
        <v/>
      </c>
      <c r="C376" s="13">
        <f>IF(C$370="","",C$370)</f>
        <v/>
      </c>
      <c r="D376" s="13">
        <f>IF(D$370="","",D$370)</f>
        <v/>
      </c>
      <c r="E376" s="13">
        <f>IF(E$370="","",E$370)</f>
        <v/>
      </c>
      <c r="F376" s="13">
        <f>IF(F$370="","",F$370)</f>
        <v/>
      </c>
      <c r="G376" s="6" t="inlineStr">
        <is>
          <t>Variance vs Prior Month</t>
        </is>
      </c>
      <c r="H376" s="33">
        <f>IF(OR($B$370="",H375=""),"",H374-H375)</f>
        <v/>
      </c>
      <c r="I376" s="33">
        <f>IF(OR($B$370="",I375=""),"",I374-I375)</f>
        <v/>
      </c>
      <c r="J376" s="33">
        <f>IF(OR($B$370="",J375=""),"",J374-J375)</f>
        <v/>
      </c>
      <c r="K376" s="33">
        <f>IF(OR($B$370="",K375=""),"",K374-K375)</f>
        <v/>
      </c>
      <c r="L376" s="33">
        <f>IF(OR($B$370="",L375=""),"",L374-L375)</f>
        <v/>
      </c>
      <c r="M376" s="33">
        <f>IF(OR($B$370="",M375=""),"",M374-M375)</f>
        <v/>
      </c>
      <c r="N376" s="33">
        <f>IF(OR($B$370="",N375=""),"",N374-N375)</f>
        <v/>
      </c>
      <c r="O376" s="33">
        <f>IF(OR($B$370="",O375=""),"",O374-O375)</f>
        <v/>
      </c>
      <c r="P376" s="33">
        <f>IF(OR($B$370="",P375=""),"",P374-P375)</f>
        <v/>
      </c>
      <c r="Q376" s="33">
        <f>IF(OR($B$370="",Q375=""),"",Q374-Q375)</f>
        <v/>
      </c>
      <c r="R376" s="33">
        <f>IF(OR($B$370="",R375=""),"",R374-R375)</f>
        <v/>
      </c>
      <c r="S376" s="33">
        <f>IF(OR($B$370="",S375=""),"",S374-S375)</f>
        <v/>
      </c>
      <c r="T376" s="33">
        <f>IF(OR($B$370="",T375=""),"",T374-T375)</f>
        <v/>
      </c>
      <c r="U376" s="33">
        <f>IF(OR($B$370="",U375=""),"",U374-U375)</f>
        <v/>
      </c>
      <c r="V376" s="33">
        <f>IF(OR($B$370="",V375=""),"",V374-V375)</f>
        <v/>
      </c>
      <c r="X376" s="22">
        <f>IF($B376="","",IFERROR(INDEX(Cost_Centers!$E:$E,MATCH($B376,Cost_Centers!$A:$A,0)),"(unknown)"))</f>
        <v/>
      </c>
      <c r="Y376" s="22">
        <f>IF($B376="","",IFERROR(INDEX(Cost_Centers!$D:$D,MATCH($B376,Cost_Centers!$A:$A,0)),"(unknown)"))</f>
        <v/>
      </c>
      <c r="Z376" s="22">
        <f>IF(OR($B376="",$G376&lt;&gt;"Variance vs Budget"),"",ABS(N($V376))+ROW()/1000000000)</f>
        <v/>
      </c>
    </row>
    <row r="377" ht="45" customHeight="1">
      <c r="A377" s="13">
        <f>IF(A$370="","",A$370)</f>
        <v/>
      </c>
      <c r="B377" s="13">
        <f>IF(B$370="","",B$370)</f>
        <v/>
      </c>
      <c r="C377" s="13">
        <f>IF(C$370="","",C$370)</f>
        <v/>
      </c>
      <c r="D377" s="13">
        <f>IF(D$370="","",D$370)</f>
        <v/>
      </c>
      <c r="E377" s="13">
        <f>IF(E$370="","",E$370)</f>
        <v/>
      </c>
      <c r="F377" s="13">
        <f>IF(F$370="","",F$370)</f>
        <v/>
      </c>
      <c r="G377" s="7" t="inlineStr">
        <is>
          <t>Rationale</t>
        </is>
      </c>
      <c r="H377" s="38" t="n"/>
      <c r="I377" s="38" t="n"/>
      <c r="J377" s="38" t="n"/>
      <c r="K377" s="38" t="n"/>
      <c r="L377" s="38" t="n"/>
      <c r="M377" s="38" t="n"/>
      <c r="N377" s="38" t="n"/>
      <c r="O377" s="38" t="n"/>
      <c r="P377" s="38" t="n"/>
      <c r="Q377" s="38" t="n"/>
      <c r="R377" s="38" t="n"/>
      <c r="S377" s="38" t="n"/>
      <c r="T377" s="38" t="n"/>
      <c r="U377" s="38" t="n"/>
      <c r="V377" s="7" t="n"/>
      <c r="X377" s="22">
        <f>IF($B377="","",IFERROR(INDEX(Cost_Centers!$E:$E,MATCH($B377,Cost_Centers!$A:$A,0)),"(unknown)"))</f>
        <v/>
      </c>
      <c r="Y377" s="22">
        <f>IF($B377="","",IFERROR(INDEX(Cost_Centers!$D:$D,MATCH($B377,Cost_Centers!$A:$A,0)),"(unknown)"))</f>
        <v/>
      </c>
      <c r="Z377" s="22">
        <f>IF(OR($B377="",$G377&lt;&gt;"Variance vs Budget"),"",ABS(N($V377))+ROW()/1000000000)</f>
        <v/>
      </c>
    </row>
    <row r="378">
      <c r="A378" s="30">
        <f>IF($D$378="","",LEFT($D$378,FIND("|",$D$378&amp;"|")-1))</f>
        <v/>
      </c>
      <c r="B378" s="31" t="n"/>
      <c r="C378" s="30">
        <f>IF($B$378="","",IFERROR(INDEX(Cost_Centers!$B:$B,MATCH($B$378,Cost_Centers!$A:$A,0)),"(not in master)"))</f>
        <v/>
      </c>
      <c r="D378" s="31" t="n"/>
      <c r="E378" s="30">
        <f>IF($D$378="","",IFERROR(INDEX(Accounts!$D:$D,MATCH($D$378,Accounts!$A:$A,0)),"(not in master)"))</f>
        <v/>
      </c>
      <c r="F378" s="31" t="n"/>
      <c r="G378" s="30" t="inlineStr">
        <is>
          <t>Budget</t>
        </is>
      </c>
      <c r="H378" s="32">
        <f>IF($B$378="","",SUMIFS(Opex_Budget!$O:$O,Opex_Budget!$A:$A,$C$3,Opex_Budget!$E:$E,$B$378,Opex_Budget!$F:$F,$D$378,Opex_Budget!$N:$N,"JPY")*$E$5+SUMIFS(Opex_Budget!$O:$O,Opex_Budget!$A:$A,$C$3,Opex_Budget!$E:$E,$B$378,Opex_Budget!$F:$F,$D$378,Opex_Budget!$N:$N,"USD")*$F$5+SUMIFS(Opex_Budget!$O:$O,Opex_Budget!$A:$A,$C$3,Opex_Budget!$E:$E,$B$378,Opex_Budget!$F:$F,$D$378,Opex_Budget!$N:$N,"EUR")*$G$5+SUMIFS(Opex_Budget!$O:$O,Opex_Budget!$A:$A,$C$3,Opex_Budget!$E:$E,$B$378,Opex_Budget!$F:$F,$D$378,Opex_Budget!$N:$N,"GBP")*$H$5)</f>
        <v/>
      </c>
      <c r="I378" s="32">
        <f>IF($B$378="","",SUMIFS(Opex_Budget!$P:$P,Opex_Budget!$A:$A,$C$3,Opex_Budget!$E:$E,$B$378,Opex_Budget!$F:$F,$D$378,Opex_Budget!$N:$N,"JPY")*$E$5+SUMIFS(Opex_Budget!$P:$P,Opex_Budget!$A:$A,$C$3,Opex_Budget!$E:$E,$B$378,Opex_Budget!$F:$F,$D$378,Opex_Budget!$N:$N,"USD")*$F$5+SUMIFS(Opex_Budget!$P:$P,Opex_Budget!$A:$A,$C$3,Opex_Budget!$E:$E,$B$378,Opex_Budget!$F:$F,$D$378,Opex_Budget!$N:$N,"EUR")*$G$5+SUMIFS(Opex_Budget!$P:$P,Opex_Budget!$A:$A,$C$3,Opex_Budget!$E:$E,$B$378,Opex_Budget!$F:$F,$D$378,Opex_Budget!$N:$N,"GBP")*$H$5)</f>
        <v/>
      </c>
      <c r="J378" s="32">
        <f>IF($B$378="","",SUMIFS(Opex_Budget!$Q:$Q,Opex_Budget!$A:$A,$C$3,Opex_Budget!$E:$E,$B$378,Opex_Budget!$F:$F,$D$378,Opex_Budget!$N:$N,"JPY")*$E$5+SUMIFS(Opex_Budget!$Q:$Q,Opex_Budget!$A:$A,$C$3,Opex_Budget!$E:$E,$B$378,Opex_Budget!$F:$F,$D$378,Opex_Budget!$N:$N,"USD")*$F$5+SUMIFS(Opex_Budget!$Q:$Q,Opex_Budget!$A:$A,$C$3,Opex_Budget!$E:$E,$B$378,Opex_Budget!$F:$F,$D$378,Opex_Budget!$N:$N,"EUR")*$G$5+SUMIFS(Opex_Budget!$Q:$Q,Opex_Budget!$A:$A,$C$3,Opex_Budget!$E:$E,$B$378,Opex_Budget!$F:$F,$D$378,Opex_Budget!$N:$N,"GBP")*$H$5)</f>
        <v/>
      </c>
      <c r="K378" s="32">
        <f>IF($B$378="","",SUMIFS(Opex_Budget!$R:$R,Opex_Budget!$A:$A,$C$3,Opex_Budget!$E:$E,$B$378,Opex_Budget!$F:$F,$D$378,Opex_Budget!$N:$N,"JPY")*$E$5+SUMIFS(Opex_Budget!$R:$R,Opex_Budget!$A:$A,$C$3,Opex_Budget!$E:$E,$B$378,Opex_Budget!$F:$F,$D$378,Opex_Budget!$N:$N,"USD")*$F$5+SUMIFS(Opex_Budget!$R:$R,Opex_Budget!$A:$A,$C$3,Opex_Budget!$E:$E,$B$378,Opex_Budget!$F:$F,$D$378,Opex_Budget!$N:$N,"EUR")*$G$5+SUMIFS(Opex_Budget!$R:$R,Opex_Budget!$A:$A,$C$3,Opex_Budget!$E:$E,$B$378,Opex_Budget!$F:$F,$D$378,Opex_Budget!$N:$N,"GBP")*$H$5)</f>
        <v/>
      </c>
      <c r="L378" s="32">
        <f>IF($B$378="","",SUMIFS(Opex_Budget!$S:$S,Opex_Budget!$A:$A,$C$3,Opex_Budget!$E:$E,$B$378,Opex_Budget!$F:$F,$D$378,Opex_Budget!$N:$N,"JPY")*$E$5+SUMIFS(Opex_Budget!$S:$S,Opex_Budget!$A:$A,$C$3,Opex_Budget!$E:$E,$B$378,Opex_Budget!$F:$F,$D$378,Opex_Budget!$N:$N,"USD")*$F$5+SUMIFS(Opex_Budget!$S:$S,Opex_Budget!$A:$A,$C$3,Opex_Budget!$E:$E,$B$378,Opex_Budget!$F:$F,$D$378,Opex_Budget!$N:$N,"EUR")*$G$5+SUMIFS(Opex_Budget!$S:$S,Opex_Budget!$A:$A,$C$3,Opex_Budget!$E:$E,$B$378,Opex_Budget!$F:$F,$D$378,Opex_Budget!$N:$N,"GBP")*$H$5)</f>
        <v/>
      </c>
      <c r="M378" s="32">
        <f>IF($B$378="","",SUMIFS(Opex_Budget!$T:$T,Opex_Budget!$A:$A,$C$3,Opex_Budget!$E:$E,$B$378,Opex_Budget!$F:$F,$D$378,Opex_Budget!$N:$N,"JPY")*$E$5+SUMIFS(Opex_Budget!$T:$T,Opex_Budget!$A:$A,$C$3,Opex_Budget!$E:$E,$B$378,Opex_Budget!$F:$F,$D$378,Opex_Budget!$N:$N,"USD")*$F$5+SUMIFS(Opex_Budget!$T:$T,Opex_Budget!$A:$A,$C$3,Opex_Budget!$E:$E,$B$378,Opex_Budget!$F:$F,$D$378,Opex_Budget!$N:$N,"EUR")*$G$5+SUMIFS(Opex_Budget!$T:$T,Opex_Budget!$A:$A,$C$3,Opex_Budget!$E:$E,$B$378,Opex_Budget!$F:$F,$D$378,Opex_Budget!$N:$N,"GBP")*$H$5)</f>
        <v/>
      </c>
      <c r="N378" s="32">
        <f>IF($B$378="","",SUMIFS(Opex_Budget!$U:$U,Opex_Budget!$A:$A,$C$3,Opex_Budget!$E:$E,$B$378,Opex_Budget!$F:$F,$D$378,Opex_Budget!$N:$N,"JPY")*$E$5+SUMIFS(Opex_Budget!$U:$U,Opex_Budget!$A:$A,$C$3,Opex_Budget!$E:$E,$B$378,Opex_Budget!$F:$F,$D$378,Opex_Budget!$N:$N,"USD")*$F$5+SUMIFS(Opex_Budget!$U:$U,Opex_Budget!$A:$A,$C$3,Opex_Budget!$E:$E,$B$378,Opex_Budget!$F:$F,$D$378,Opex_Budget!$N:$N,"EUR")*$G$5+SUMIFS(Opex_Budget!$U:$U,Opex_Budget!$A:$A,$C$3,Opex_Budget!$E:$E,$B$378,Opex_Budget!$F:$F,$D$378,Opex_Budget!$N:$N,"GBP")*$H$5)</f>
        <v/>
      </c>
      <c r="O378" s="32">
        <f>IF($B$378="","",SUMIFS(Opex_Budget!$V:$V,Opex_Budget!$A:$A,$C$3,Opex_Budget!$E:$E,$B$378,Opex_Budget!$F:$F,$D$378,Opex_Budget!$N:$N,"JPY")*$E$5+SUMIFS(Opex_Budget!$V:$V,Opex_Budget!$A:$A,$C$3,Opex_Budget!$E:$E,$B$378,Opex_Budget!$F:$F,$D$378,Opex_Budget!$N:$N,"USD")*$F$5+SUMIFS(Opex_Budget!$V:$V,Opex_Budget!$A:$A,$C$3,Opex_Budget!$E:$E,$B$378,Opex_Budget!$F:$F,$D$378,Opex_Budget!$N:$N,"EUR")*$G$5+SUMIFS(Opex_Budget!$V:$V,Opex_Budget!$A:$A,$C$3,Opex_Budget!$E:$E,$B$378,Opex_Budget!$F:$F,$D$378,Opex_Budget!$N:$N,"GBP")*$H$5)</f>
        <v/>
      </c>
      <c r="P378" s="32">
        <f>IF($B$378="","",SUMIFS(Opex_Budget!$W:$W,Opex_Budget!$A:$A,$C$3,Opex_Budget!$E:$E,$B$378,Opex_Budget!$F:$F,$D$378,Opex_Budget!$N:$N,"JPY")*$E$5+SUMIFS(Opex_Budget!$W:$W,Opex_Budget!$A:$A,$C$3,Opex_Budget!$E:$E,$B$378,Opex_Budget!$F:$F,$D$378,Opex_Budget!$N:$N,"USD")*$F$5+SUMIFS(Opex_Budget!$W:$W,Opex_Budget!$A:$A,$C$3,Opex_Budget!$E:$E,$B$378,Opex_Budget!$F:$F,$D$378,Opex_Budget!$N:$N,"EUR")*$G$5+SUMIFS(Opex_Budget!$W:$W,Opex_Budget!$A:$A,$C$3,Opex_Budget!$E:$E,$B$378,Opex_Budget!$F:$F,$D$378,Opex_Budget!$N:$N,"GBP")*$H$5)</f>
        <v/>
      </c>
      <c r="Q378" s="32">
        <f>IF($B$378="","",SUMIFS(Opex_Budget!$X:$X,Opex_Budget!$A:$A,$C$3,Opex_Budget!$E:$E,$B$378,Opex_Budget!$F:$F,$D$378,Opex_Budget!$N:$N,"JPY")*$E$5+SUMIFS(Opex_Budget!$X:$X,Opex_Budget!$A:$A,$C$3,Opex_Budget!$E:$E,$B$378,Opex_Budget!$F:$F,$D$378,Opex_Budget!$N:$N,"USD")*$F$5+SUMIFS(Opex_Budget!$X:$X,Opex_Budget!$A:$A,$C$3,Opex_Budget!$E:$E,$B$378,Opex_Budget!$F:$F,$D$378,Opex_Budget!$N:$N,"EUR")*$G$5+SUMIFS(Opex_Budget!$X:$X,Opex_Budget!$A:$A,$C$3,Opex_Budget!$E:$E,$B$378,Opex_Budget!$F:$F,$D$378,Opex_Budget!$N:$N,"GBP")*$H$5)</f>
        <v/>
      </c>
      <c r="R378" s="32">
        <f>IF($B$378="","",SUMIFS(Opex_Budget!$Y:$Y,Opex_Budget!$A:$A,$C$3,Opex_Budget!$E:$E,$B$378,Opex_Budget!$F:$F,$D$378,Opex_Budget!$N:$N,"JPY")*$E$5+SUMIFS(Opex_Budget!$Y:$Y,Opex_Budget!$A:$A,$C$3,Opex_Budget!$E:$E,$B$378,Opex_Budget!$F:$F,$D$378,Opex_Budget!$N:$N,"USD")*$F$5+SUMIFS(Opex_Budget!$Y:$Y,Opex_Budget!$A:$A,$C$3,Opex_Budget!$E:$E,$B$378,Opex_Budget!$F:$F,$D$378,Opex_Budget!$N:$N,"EUR")*$G$5+SUMIFS(Opex_Budget!$Y:$Y,Opex_Budget!$A:$A,$C$3,Opex_Budget!$E:$E,$B$378,Opex_Budget!$F:$F,$D$378,Opex_Budget!$N:$N,"GBP")*$H$5)</f>
        <v/>
      </c>
      <c r="S378" s="32">
        <f>IF($B$378="","",SUMIFS(Opex_Budget!$Z:$Z,Opex_Budget!$A:$A,$C$3,Opex_Budget!$E:$E,$B$378,Opex_Budget!$F:$F,$D$378,Opex_Budget!$N:$N,"JPY")*$E$5+SUMIFS(Opex_Budget!$Z:$Z,Opex_Budget!$A:$A,$C$3,Opex_Budget!$E:$E,$B$378,Opex_Budget!$F:$F,$D$378,Opex_Budget!$N:$N,"USD")*$F$5+SUMIFS(Opex_Budget!$Z:$Z,Opex_Budget!$A:$A,$C$3,Opex_Budget!$E:$E,$B$378,Opex_Budget!$F:$F,$D$378,Opex_Budget!$N:$N,"EUR")*$G$5+SUMIFS(Opex_Budget!$Z:$Z,Opex_Budget!$A:$A,$C$3,Opex_Budget!$E:$E,$B$378,Opex_Budget!$F:$F,$D$378,Opex_Budget!$N:$N,"GBP")*$H$5)</f>
        <v/>
      </c>
      <c r="T378" s="32">
        <f>IF($B$378="","",SUMIF($H$7:$S$7,"&lt;="&amp;$C$4,$H378:$S378))</f>
        <v/>
      </c>
      <c r="U378" s="32">
        <f>IF($B$378="","",SUMIF($H$7:$S$7,"&gt;"&amp;$C$4,$H378:$S378))</f>
        <v/>
      </c>
      <c r="V378" s="32">
        <f>IF($B$378="","",SUM($H378:$S378))</f>
        <v/>
      </c>
      <c r="X378" s="22">
        <f>IF($B378="","",IFERROR(INDEX(Cost_Centers!$E:$E,MATCH($B378,Cost_Centers!$A:$A,0)),"(unknown)"))</f>
        <v/>
      </c>
      <c r="Y378" s="22">
        <f>IF($B378="","",IFERROR(INDEX(Cost_Centers!$D:$D,MATCH($B378,Cost_Centers!$A:$A,0)),"(unknown)"))</f>
        <v/>
      </c>
      <c r="Z378" s="22">
        <f>IF(OR($B378="",$G378&lt;&gt;"Variance vs Budget"),"",ABS(N($V378))+ROW()/1000000000)</f>
        <v/>
      </c>
    </row>
    <row r="379">
      <c r="A379" s="13">
        <f>IF(A$378="","",A$378)</f>
        <v/>
      </c>
      <c r="B379" s="13">
        <f>IF(B$378="","",B$378)</f>
        <v/>
      </c>
      <c r="C379" s="13">
        <f>IF(C$378="","",C$378)</f>
        <v/>
      </c>
      <c r="D379" s="13">
        <f>IF(D$378="","",D$378)</f>
        <v/>
      </c>
      <c r="E379" s="13">
        <f>IF(E$378="","",E$378)</f>
        <v/>
      </c>
      <c r="F379" s="13">
        <f>IF(F$378="","",F$378)</f>
        <v/>
      </c>
      <c r="G379" s="7" t="inlineStr">
        <is>
          <t>Actual</t>
        </is>
      </c>
      <c r="H379" s="18">
        <f>IF(OR($B$378="",1&gt;$C$4),"",SUMIFS(Actuals!$G:$G,Actuals!$B:$B,$C$3,Actuals!$C:$C,1,Actuals!$D:$D,$B$378,Actuals!$A:$A,LEFT($D$378,FIND("|",$D$378&amp;"|")-1),Actuals!$E:$E,MID($D$378,FIND("|",$D$378&amp;"|")+1,50),Actuals!$F:$F,"JPY")*$E$5+SUMIFS(Actuals!$G:$G,Actuals!$B:$B,$C$3,Actuals!$C:$C,1,Actuals!$D:$D,$B$378,Actuals!$A:$A,LEFT($D$378,FIND("|",$D$378&amp;"|")-1),Actuals!$E:$E,MID($D$378,FIND("|",$D$378&amp;"|")+1,50),Actuals!$F:$F,"USD")*$F$5+SUMIFS(Actuals!$G:$G,Actuals!$B:$B,$C$3,Actuals!$C:$C,1,Actuals!$D:$D,$B$378,Actuals!$A:$A,LEFT($D$378,FIND("|",$D$378&amp;"|")-1),Actuals!$E:$E,MID($D$378,FIND("|",$D$378&amp;"|")+1,50),Actuals!$F:$F,"EUR")*$G$5+SUMIFS(Actuals!$G:$G,Actuals!$B:$B,$C$3,Actuals!$C:$C,1,Actuals!$D:$D,$B$378,Actuals!$A:$A,LEFT($D$378,FIND("|",$D$378&amp;"|")-1),Actuals!$E:$E,MID($D$378,FIND("|",$D$378&amp;"|")+1,50),Actuals!$F:$F,"GBP")*$H$5)</f>
        <v/>
      </c>
      <c r="I379" s="18">
        <f>IF(OR($B$378="",2&gt;$C$4),"",SUMIFS(Actuals!$G:$G,Actuals!$B:$B,$C$3,Actuals!$C:$C,2,Actuals!$D:$D,$B$378,Actuals!$A:$A,LEFT($D$378,FIND("|",$D$378&amp;"|")-1),Actuals!$E:$E,MID($D$378,FIND("|",$D$378&amp;"|")+1,50),Actuals!$F:$F,"JPY")*$E$5+SUMIFS(Actuals!$G:$G,Actuals!$B:$B,$C$3,Actuals!$C:$C,2,Actuals!$D:$D,$B$378,Actuals!$A:$A,LEFT($D$378,FIND("|",$D$378&amp;"|")-1),Actuals!$E:$E,MID($D$378,FIND("|",$D$378&amp;"|")+1,50),Actuals!$F:$F,"USD")*$F$5+SUMIFS(Actuals!$G:$G,Actuals!$B:$B,$C$3,Actuals!$C:$C,2,Actuals!$D:$D,$B$378,Actuals!$A:$A,LEFT($D$378,FIND("|",$D$378&amp;"|")-1),Actuals!$E:$E,MID($D$378,FIND("|",$D$378&amp;"|")+1,50),Actuals!$F:$F,"EUR")*$G$5+SUMIFS(Actuals!$G:$G,Actuals!$B:$B,$C$3,Actuals!$C:$C,2,Actuals!$D:$D,$B$378,Actuals!$A:$A,LEFT($D$378,FIND("|",$D$378&amp;"|")-1),Actuals!$E:$E,MID($D$378,FIND("|",$D$378&amp;"|")+1,50),Actuals!$F:$F,"GBP")*$H$5)</f>
        <v/>
      </c>
      <c r="J379" s="18">
        <f>IF(OR($B$378="",3&gt;$C$4),"",SUMIFS(Actuals!$G:$G,Actuals!$B:$B,$C$3,Actuals!$C:$C,3,Actuals!$D:$D,$B$378,Actuals!$A:$A,LEFT($D$378,FIND("|",$D$378&amp;"|")-1),Actuals!$E:$E,MID($D$378,FIND("|",$D$378&amp;"|")+1,50),Actuals!$F:$F,"JPY")*$E$5+SUMIFS(Actuals!$G:$G,Actuals!$B:$B,$C$3,Actuals!$C:$C,3,Actuals!$D:$D,$B$378,Actuals!$A:$A,LEFT($D$378,FIND("|",$D$378&amp;"|")-1),Actuals!$E:$E,MID($D$378,FIND("|",$D$378&amp;"|")+1,50),Actuals!$F:$F,"USD")*$F$5+SUMIFS(Actuals!$G:$G,Actuals!$B:$B,$C$3,Actuals!$C:$C,3,Actuals!$D:$D,$B$378,Actuals!$A:$A,LEFT($D$378,FIND("|",$D$378&amp;"|")-1),Actuals!$E:$E,MID($D$378,FIND("|",$D$378&amp;"|")+1,50),Actuals!$F:$F,"EUR")*$G$5+SUMIFS(Actuals!$G:$G,Actuals!$B:$B,$C$3,Actuals!$C:$C,3,Actuals!$D:$D,$B$378,Actuals!$A:$A,LEFT($D$378,FIND("|",$D$378&amp;"|")-1),Actuals!$E:$E,MID($D$378,FIND("|",$D$378&amp;"|")+1,50),Actuals!$F:$F,"GBP")*$H$5)</f>
        <v/>
      </c>
      <c r="K379" s="18">
        <f>IF(OR($B$378="",4&gt;$C$4),"",SUMIFS(Actuals!$G:$G,Actuals!$B:$B,$C$3,Actuals!$C:$C,4,Actuals!$D:$D,$B$378,Actuals!$A:$A,LEFT($D$378,FIND("|",$D$378&amp;"|")-1),Actuals!$E:$E,MID($D$378,FIND("|",$D$378&amp;"|")+1,50),Actuals!$F:$F,"JPY")*$E$5+SUMIFS(Actuals!$G:$G,Actuals!$B:$B,$C$3,Actuals!$C:$C,4,Actuals!$D:$D,$B$378,Actuals!$A:$A,LEFT($D$378,FIND("|",$D$378&amp;"|")-1),Actuals!$E:$E,MID($D$378,FIND("|",$D$378&amp;"|")+1,50),Actuals!$F:$F,"USD")*$F$5+SUMIFS(Actuals!$G:$G,Actuals!$B:$B,$C$3,Actuals!$C:$C,4,Actuals!$D:$D,$B$378,Actuals!$A:$A,LEFT($D$378,FIND("|",$D$378&amp;"|")-1),Actuals!$E:$E,MID($D$378,FIND("|",$D$378&amp;"|")+1,50),Actuals!$F:$F,"EUR")*$G$5+SUMIFS(Actuals!$G:$G,Actuals!$B:$B,$C$3,Actuals!$C:$C,4,Actuals!$D:$D,$B$378,Actuals!$A:$A,LEFT($D$378,FIND("|",$D$378&amp;"|")-1),Actuals!$E:$E,MID($D$378,FIND("|",$D$378&amp;"|")+1,50),Actuals!$F:$F,"GBP")*$H$5)</f>
        <v/>
      </c>
      <c r="L379" s="18">
        <f>IF(OR($B$378="",5&gt;$C$4),"",SUMIFS(Actuals!$G:$G,Actuals!$B:$B,$C$3,Actuals!$C:$C,5,Actuals!$D:$D,$B$378,Actuals!$A:$A,LEFT($D$378,FIND("|",$D$378&amp;"|")-1),Actuals!$E:$E,MID($D$378,FIND("|",$D$378&amp;"|")+1,50),Actuals!$F:$F,"JPY")*$E$5+SUMIFS(Actuals!$G:$G,Actuals!$B:$B,$C$3,Actuals!$C:$C,5,Actuals!$D:$D,$B$378,Actuals!$A:$A,LEFT($D$378,FIND("|",$D$378&amp;"|")-1),Actuals!$E:$E,MID($D$378,FIND("|",$D$378&amp;"|")+1,50),Actuals!$F:$F,"USD")*$F$5+SUMIFS(Actuals!$G:$G,Actuals!$B:$B,$C$3,Actuals!$C:$C,5,Actuals!$D:$D,$B$378,Actuals!$A:$A,LEFT($D$378,FIND("|",$D$378&amp;"|")-1),Actuals!$E:$E,MID($D$378,FIND("|",$D$378&amp;"|")+1,50),Actuals!$F:$F,"EUR")*$G$5+SUMIFS(Actuals!$G:$G,Actuals!$B:$B,$C$3,Actuals!$C:$C,5,Actuals!$D:$D,$B$378,Actuals!$A:$A,LEFT($D$378,FIND("|",$D$378&amp;"|")-1),Actuals!$E:$E,MID($D$378,FIND("|",$D$378&amp;"|")+1,50),Actuals!$F:$F,"GBP")*$H$5)</f>
        <v/>
      </c>
      <c r="M379" s="18">
        <f>IF(OR($B$378="",6&gt;$C$4),"",SUMIFS(Actuals!$G:$G,Actuals!$B:$B,$C$3,Actuals!$C:$C,6,Actuals!$D:$D,$B$378,Actuals!$A:$A,LEFT($D$378,FIND("|",$D$378&amp;"|")-1),Actuals!$E:$E,MID($D$378,FIND("|",$D$378&amp;"|")+1,50),Actuals!$F:$F,"JPY")*$E$5+SUMIFS(Actuals!$G:$G,Actuals!$B:$B,$C$3,Actuals!$C:$C,6,Actuals!$D:$D,$B$378,Actuals!$A:$A,LEFT($D$378,FIND("|",$D$378&amp;"|")-1),Actuals!$E:$E,MID($D$378,FIND("|",$D$378&amp;"|")+1,50),Actuals!$F:$F,"USD")*$F$5+SUMIFS(Actuals!$G:$G,Actuals!$B:$B,$C$3,Actuals!$C:$C,6,Actuals!$D:$D,$B$378,Actuals!$A:$A,LEFT($D$378,FIND("|",$D$378&amp;"|")-1),Actuals!$E:$E,MID($D$378,FIND("|",$D$378&amp;"|")+1,50),Actuals!$F:$F,"EUR")*$G$5+SUMIFS(Actuals!$G:$G,Actuals!$B:$B,$C$3,Actuals!$C:$C,6,Actuals!$D:$D,$B$378,Actuals!$A:$A,LEFT($D$378,FIND("|",$D$378&amp;"|")-1),Actuals!$E:$E,MID($D$378,FIND("|",$D$378&amp;"|")+1,50),Actuals!$F:$F,"GBP")*$H$5)</f>
        <v/>
      </c>
      <c r="N379" s="18">
        <f>IF(OR($B$378="",7&gt;$C$4),"",SUMIFS(Actuals!$G:$G,Actuals!$B:$B,$C$3,Actuals!$C:$C,7,Actuals!$D:$D,$B$378,Actuals!$A:$A,LEFT($D$378,FIND("|",$D$378&amp;"|")-1),Actuals!$E:$E,MID($D$378,FIND("|",$D$378&amp;"|")+1,50),Actuals!$F:$F,"JPY")*$E$5+SUMIFS(Actuals!$G:$G,Actuals!$B:$B,$C$3,Actuals!$C:$C,7,Actuals!$D:$D,$B$378,Actuals!$A:$A,LEFT($D$378,FIND("|",$D$378&amp;"|")-1),Actuals!$E:$E,MID($D$378,FIND("|",$D$378&amp;"|")+1,50),Actuals!$F:$F,"USD")*$F$5+SUMIFS(Actuals!$G:$G,Actuals!$B:$B,$C$3,Actuals!$C:$C,7,Actuals!$D:$D,$B$378,Actuals!$A:$A,LEFT($D$378,FIND("|",$D$378&amp;"|")-1),Actuals!$E:$E,MID($D$378,FIND("|",$D$378&amp;"|")+1,50),Actuals!$F:$F,"EUR")*$G$5+SUMIFS(Actuals!$G:$G,Actuals!$B:$B,$C$3,Actuals!$C:$C,7,Actuals!$D:$D,$B$378,Actuals!$A:$A,LEFT($D$378,FIND("|",$D$378&amp;"|")-1),Actuals!$E:$E,MID($D$378,FIND("|",$D$378&amp;"|")+1,50),Actuals!$F:$F,"GBP")*$H$5)</f>
        <v/>
      </c>
      <c r="O379" s="18">
        <f>IF(OR($B$378="",8&gt;$C$4),"",SUMIFS(Actuals!$G:$G,Actuals!$B:$B,$C$3,Actuals!$C:$C,8,Actuals!$D:$D,$B$378,Actuals!$A:$A,LEFT($D$378,FIND("|",$D$378&amp;"|")-1),Actuals!$E:$E,MID($D$378,FIND("|",$D$378&amp;"|")+1,50),Actuals!$F:$F,"JPY")*$E$5+SUMIFS(Actuals!$G:$G,Actuals!$B:$B,$C$3,Actuals!$C:$C,8,Actuals!$D:$D,$B$378,Actuals!$A:$A,LEFT($D$378,FIND("|",$D$378&amp;"|")-1),Actuals!$E:$E,MID($D$378,FIND("|",$D$378&amp;"|")+1,50),Actuals!$F:$F,"USD")*$F$5+SUMIFS(Actuals!$G:$G,Actuals!$B:$B,$C$3,Actuals!$C:$C,8,Actuals!$D:$D,$B$378,Actuals!$A:$A,LEFT($D$378,FIND("|",$D$378&amp;"|")-1),Actuals!$E:$E,MID($D$378,FIND("|",$D$378&amp;"|")+1,50),Actuals!$F:$F,"EUR")*$G$5+SUMIFS(Actuals!$G:$G,Actuals!$B:$B,$C$3,Actuals!$C:$C,8,Actuals!$D:$D,$B$378,Actuals!$A:$A,LEFT($D$378,FIND("|",$D$378&amp;"|")-1),Actuals!$E:$E,MID($D$378,FIND("|",$D$378&amp;"|")+1,50),Actuals!$F:$F,"GBP")*$H$5)</f>
        <v/>
      </c>
      <c r="P379" s="18">
        <f>IF(OR($B$378="",9&gt;$C$4),"",SUMIFS(Actuals!$G:$G,Actuals!$B:$B,$C$3,Actuals!$C:$C,9,Actuals!$D:$D,$B$378,Actuals!$A:$A,LEFT($D$378,FIND("|",$D$378&amp;"|")-1),Actuals!$E:$E,MID($D$378,FIND("|",$D$378&amp;"|")+1,50),Actuals!$F:$F,"JPY")*$E$5+SUMIFS(Actuals!$G:$G,Actuals!$B:$B,$C$3,Actuals!$C:$C,9,Actuals!$D:$D,$B$378,Actuals!$A:$A,LEFT($D$378,FIND("|",$D$378&amp;"|")-1),Actuals!$E:$E,MID($D$378,FIND("|",$D$378&amp;"|")+1,50),Actuals!$F:$F,"USD")*$F$5+SUMIFS(Actuals!$G:$G,Actuals!$B:$B,$C$3,Actuals!$C:$C,9,Actuals!$D:$D,$B$378,Actuals!$A:$A,LEFT($D$378,FIND("|",$D$378&amp;"|")-1),Actuals!$E:$E,MID($D$378,FIND("|",$D$378&amp;"|")+1,50),Actuals!$F:$F,"EUR")*$G$5+SUMIFS(Actuals!$G:$G,Actuals!$B:$B,$C$3,Actuals!$C:$C,9,Actuals!$D:$D,$B$378,Actuals!$A:$A,LEFT($D$378,FIND("|",$D$378&amp;"|")-1),Actuals!$E:$E,MID($D$378,FIND("|",$D$378&amp;"|")+1,50),Actuals!$F:$F,"GBP")*$H$5)</f>
        <v/>
      </c>
      <c r="Q379" s="18">
        <f>IF(OR($B$378="",10&gt;$C$4),"",SUMIFS(Actuals!$G:$G,Actuals!$B:$B,$C$3,Actuals!$C:$C,10,Actuals!$D:$D,$B$378,Actuals!$A:$A,LEFT($D$378,FIND("|",$D$378&amp;"|")-1),Actuals!$E:$E,MID($D$378,FIND("|",$D$378&amp;"|")+1,50),Actuals!$F:$F,"JPY")*$E$5+SUMIFS(Actuals!$G:$G,Actuals!$B:$B,$C$3,Actuals!$C:$C,10,Actuals!$D:$D,$B$378,Actuals!$A:$A,LEFT($D$378,FIND("|",$D$378&amp;"|")-1),Actuals!$E:$E,MID($D$378,FIND("|",$D$378&amp;"|")+1,50),Actuals!$F:$F,"USD")*$F$5+SUMIFS(Actuals!$G:$G,Actuals!$B:$B,$C$3,Actuals!$C:$C,10,Actuals!$D:$D,$B$378,Actuals!$A:$A,LEFT($D$378,FIND("|",$D$378&amp;"|")-1),Actuals!$E:$E,MID($D$378,FIND("|",$D$378&amp;"|")+1,50),Actuals!$F:$F,"EUR")*$G$5+SUMIFS(Actuals!$G:$G,Actuals!$B:$B,$C$3,Actuals!$C:$C,10,Actuals!$D:$D,$B$378,Actuals!$A:$A,LEFT($D$378,FIND("|",$D$378&amp;"|")-1),Actuals!$E:$E,MID($D$378,FIND("|",$D$378&amp;"|")+1,50),Actuals!$F:$F,"GBP")*$H$5)</f>
        <v/>
      </c>
      <c r="R379" s="18">
        <f>IF(OR($B$378="",11&gt;$C$4),"",SUMIFS(Actuals!$G:$G,Actuals!$B:$B,$C$3,Actuals!$C:$C,11,Actuals!$D:$D,$B$378,Actuals!$A:$A,LEFT($D$378,FIND("|",$D$378&amp;"|")-1),Actuals!$E:$E,MID($D$378,FIND("|",$D$378&amp;"|")+1,50),Actuals!$F:$F,"JPY")*$E$5+SUMIFS(Actuals!$G:$G,Actuals!$B:$B,$C$3,Actuals!$C:$C,11,Actuals!$D:$D,$B$378,Actuals!$A:$A,LEFT($D$378,FIND("|",$D$378&amp;"|")-1),Actuals!$E:$E,MID($D$378,FIND("|",$D$378&amp;"|")+1,50),Actuals!$F:$F,"USD")*$F$5+SUMIFS(Actuals!$G:$G,Actuals!$B:$B,$C$3,Actuals!$C:$C,11,Actuals!$D:$D,$B$378,Actuals!$A:$A,LEFT($D$378,FIND("|",$D$378&amp;"|")-1),Actuals!$E:$E,MID($D$378,FIND("|",$D$378&amp;"|")+1,50),Actuals!$F:$F,"EUR")*$G$5+SUMIFS(Actuals!$G:$G,Actuals!$B:$B,$C$3,Actuals!$C:$C,11,Actuals!$D:$D,$B$378,Actuals!$A:$A,LEFT($D$378,FIND("|",$D$378&amp;"|")-1),Actuals!$E:$E,MID($D$378,FIND("|",$D$378&amp;"|")+1,50),Actuals!$F:$F,"GBP")*$H$5)</f>
        <v/>
      </c>
      <c r="S379" s="18">
        <f>IF(OR($B$378="",12&gt;$C$4),"",SUMIFS(Actuals!$G:$G,Actuals!$B:$B,$C$3,Actuals!$C:$C,12,Actuals!$D:$D,$B$378,Actuals!$A:$A,LEFT($D$378,FIND("|",$D$378&amp;"|")-1),Actuals!$E:$E,MID($D$378,FIND("|",$D$378&amp;"|")+1,50),Actuals!$F:$F,"JPY")*$E$5+SUMIFS(Actuals!$G:$G,Actuals!$B:$B,$C$3,Actuals!$C:$C,12,Actuals!$D:$D,$B$378,Actuals!$A:$A,LEFT($D$378,FIND("|",$D$378&amp;"|")-1),Actuals!$E:$E,MID($D$378,FIND("|",$D$378&amp;"|")+1,50),Actuals!$F:$F,"USD")*$F$5+SUMIFS(Actuals!$G:$G,Actuals!$B:$B,$C$3,Actuals!$C:$C,12,Actuals!$D:$D,$B$378,Actuals!$A:$A,LEFT($D$378,FIND("|",$D$378&amp;"|")-1),Actuals!$E:$E,MID($D$378,FIND("|",$D$378&amp;"|")+1,50),Actuals!$F:$F,"EUR")*$G$5+SUMIFS(Actuals!$G:$G,Actuals!$B:$B,$C$3,Actuals!$C:$C,12,Actuals!$D:$D,$B$378,Actuals!$A:$A,LEFT($D$378,FIND("|",$D$378&amp;"|")-1),Actuals!$E:$E,MID($D$378,FIND("|",$D$378&amp;"|")+1,50),Actuals!$F:$F,"GBP")*$H$5)</f>
        <v/>
      </c>
      <c r="T379" s="18">
        <f>IF($B$378="","",SUMIF($H$7:$S$7,"&lt;="&amp;$C$4,$H379:$S379))</f>
        <v/>
      </c>
      <c r="U379" s="18" t="n"/>
      <c r="V379" s="18" t="n"/>
      <c r="X379" s="22">
        <f>IF($B379="","",IFERROR(INDEX(Cost_Centers!$E:$E,MATCH($B379,Cost_Centers!$A:$A,0)),"(unknown)"))</f>
        <v/>
      </c>
      <c r="Y379" s="22">
        <f>IF($B379="","",IFERROR(INDEX(Cost_Centers!$D:$D,MATCH($B379,Cost_Centers!$A:$A,0)),"(unknown)"))</f>
        <v/>
      </c>
      <c r="Z379" s="22">
        <f>IF(OR($B379="",$G379&lt;&gt;"Variance vs Budget"),"",ABS(N($V379))+ROW()/1000000000)</f>
        <v/>
      </c>
    </row>
    <row r="380">
      <c r="A380" s="13">
        <f>IF(A$378="","",A$378)</f>
        <v/>
      </c>
      <c r="B380" s="13">
        <f>IF(B$378="","",B$378)</f>
        <v/>
      </c>
      <c r="C380" s="13">
        <f>IF(C$378="","",C$378)</f>
        <v/>
      </c>
      <c r="D380" s="13">
        <f>IF(D$378="","",D$378)</f>
        <v/>
      </c>
      <c r="E380" s="13">
        <f>IF(E$378="","",E$378)</f>
        <v/>
      </c>
      <c r="F380" s="13">
        <f>IF(F$378="","",F$378)</f>
        <v/>
      </c>
      <c r="G380" s="6" t="inlineStr">
        <is>
          <t>Variance vs Budget</t>
        </is>
      </c>
      <c r="H380" s="33">
        <f>IF(OR($B$378="",1&gt;$C$4),"",N(H379)-H378)</f>
        <v/>
      </c>
      <c r="I380" s="33">
        <f>IF(OR($B$378="",2&gt;$C$4),"",N(I379)-I378)</f>
        <v/>
      </c>
      <c r="J380" s="33">
        <f>IF(OR($B$378="",3&gt;$C$4),"",N(J379)-J378)</f>
        <v/>
      </c>
      <c r="K380" s="33">
        <f>IF(OR($B$378="",4&gt;$C$4),"",N(K379)-K378)</f>
        <v/>
      </c>
      <c r="L380" s="33">
        <f>IF(OR($B$378="",5&gt;$C$4),"",N(L379)-L378)</f>
        <v/>
      </c>
      <c r="M380" s="33">
        <f>IF(OR($B$378="",6&gt;$C$4),"",N(M379)-M378)</f>
        <v/>
      </c>
      <c r="N380" s="33">
        <f>IF(OR($B$378="",7&gt;$C$4),"",N(N379)-N378)</f>
        <v/>
      </c>
      <c r="O380" s="33">
        <f>IF(OR($B$378="",8&gt;$C$4),"",N(O379)-O378)</f>
        <v/>
      </c>
      <c r="P380" s="33">
        <f>IF(OR($B$378="",9&gt;$C$4),"",N(P379)-P378)</f>
        <v/>
      </c>
      <c r="Q380" s="33">
        <f>IF(OR($B$378="",10&gt;$C$4),"",N(Q379)-Q378)</f>
        <v/>
      </c>
      <c r="R380" s="33">
        <f>IF(OR($B$378="",11&gt;$C$4),"",N(R379)-R378)</f>
        <v/>
      </c>
      <c r="S380" s="33">
        <f>IF(OR($B$378="",12&gt;$C$4),"",N(S379)-S378)</f>
        <v/>
      </c>
      <c r="T380" s="33">
        <f>IF($B$378="","",T379-T378)</f>
        <v/>
      </c>
      <c r="U380" s="33">
        <f>IF($B$378="","",U382-U378)</f>
        <v/>
      </c>
      <c r="V380" s="33">
        <f>IF($B$378="","",V382-V378)</f>
        <v/>
      </c>
      <c r="X380" s="22">
        <f>IF($B380="","",IFERROR(INDEX(Cost_Centers!$E:$E,MATCH($B380,Cost_Centers!$A:$A,0)),"(unknown)"))</f>
        <v/>
      </c>
      <c r="Y380" s="22">
        <f>IF($B380="","",IFERROR(INDEX(Cost_Centers!$D:$D,MATCH($B380,Cost_Centers!$A:$A,0)),"(unknown)"))</f>
        <v/>
      </c>
      <c r="Z380" s="22">
        <f>IF(OR($B380="",$G380&lt;&gt;"Variance vs Budget"),"",ABS(N($V380))+ROW()/1000000000)</f>
        <v/>
      </c>
    </row>
    <row r="381">
      <c r="A381" s="13">
        <f>IF(A$378="","",A$378)</f>
        <v/>
      </c>
      <c r="B381" s="13">
        <f>IF(B$378="","",B$378)</f>
        <v/>
      </c>
      <c r="C381" s="13">
        <f>IF(C$378="","",C$378)</f>
        <v/>
      </c>
      <c r="D381" s="13">
        <f>IF(D$378="","",D$378)</f>
        <v/>
      </c>
      <c r="E381" s="13">
        <f>IF(E$378="","",E$378)</f>
        <v/>
      </c>
      <c r="F381" s="13">
        <f>IF(F$378="","",F$378)</f>
        <v/>
      </c>
      <c r="G381" s="7" t="inlineStr">
        <is>
          <t>Forecast (input)</t>
        </is>
      </c>
      <c r="H381" s="34" t="n"/>
      <c r="I381" s="34" t="n"/>
      <c r="J381" s="34" t="n"/>
      <c r="K381" s="34" t="n"/>
      <c r="L381" s="34" t="n"/>
      <c r="M381" s="34" t="n"/>
      <c r="N381" s="34" t="n"/>
      <c r="O381" s="34" t="n"/>
      <c r="P381" s="34" t="n"/>
      <c r="Q381" s="34" t="n"/>
      <c r="R381" s="34" t="n"/>
      <c r="S381" s="34" t="n"/>
      <c r="T381" s="18" t="n"/>
      <c r="U381" s="18" t="n"/>
      <c r="V381" s="18" t="n"/>
      <c r="X381" s="22">
        <f>IF($B381="","",IFERROR(INDEX(Cost_Centers!$E:$E,MATCH($B381,Cost_Centers!$A:$A,0)),"(unknown)"))</f>
        <v/>
      </c>
      <c r="Y381" s="22">
        <f>IF($B381="","",IFERROR(INDEX(Cost_Centers!$D:$D,MATCH($B381,Cost_Centers!$A:$A,0)),"(unknown)"))</f>
        <v/>
      </c>
      <c r="Z381" s="22">
        <f>IF(OR($B381="",$G381&lt;&gt;"Variance vs Budget"),"",ABS(N($V381))+ROW()/1000000000)</f>
        <v/>
      </c>
    </row>
    <row r="382">
      <c r="A382" s="13">
        <f>IF(A$378="","",A$378)</f>
        <v/>
      </c>
      <c r="B382" s="13">
        <f>IF(B$378="","",B$378)</f>
        <v/>
      </c>
      <c r="C382" s="13">
        <f>IF(C$378="","",C$378)</f>
        <v/>
      </c>
      <c r="D382" s="13">
        <f>IF(D$378="","",D$378)</f>
        <v/>
      </c>
      <c r="E382" s="13">
        <f>IF(E$378="","",E$378)</f>
        <v/>
      </c>
      <c r="F382" s="13">
        <f>IF(F$378="","",F$378)</f>
        <v/>
      </c>
      <c r="G382" s="35" t="inlineStr">
        <is>
          <t>Actual + Forecast</t>
        </is>
      </c>
      <c r="H382" s="18">
        <f>IF($B$378="","",IF(1&lt;=$C$4,N(H379),IF(H381="",H378,H381)))</f>
        <v/>
      </c>
      <c r="I382" s="18">
        <f>IF($B$378="","",IF(2&lt;=$C$4,N(I379),IF(I381="",I378,I381)))</f>
        <v/>
      </c>
      <c r="J382" s="18">
        <f>IF($B$378="","",IF(3&lt;=$C$4,N(J379),IF(J381="",J378,J381)))</f>
        <v/>
      </c>
      <c r="K382" s="18">
        <f>IF($B$378="","",IF(4&lt;=$C$4,N(K379),IF(K381="",K378,K381)))</f>
        <v/>
      </c>
      <c r="L382" s="18">
        <f>IF($B$378="","",IF(5&lt;=$C$4,N(L379),IF(L381="",L378,L381)))</f>
        <v/>
      </c>
      <c r="M382" s="18">
        <f>IF($B$378="","",IF(6&lt;=$C$4,N(M379),IF(M381="",M378,M381)))</f>
        <v/>
      </c>
      <c r="N382" s="18">
        <f>IF($B$378="","",IF(7&lt;=$C$4,N(N379),IF(N381="",N378,N381)))</f>
        <v/>
      </c>
      <c r="O382" s="18">
        <f>IF($B$378="","",IF(8&lt;=$C$4,N(O379),IF(O381="",O378,O381)))</f>
        <v/>
      </c>
      <c r="P382" s="18">
        <f>IF($B$378="","",IF(9&lt;=$C$4,N(P379),IF(P381="",P378,P381)))</f>
        <v/>
      </c>
      <c r="Q382" s="18">
        <f>IF($B$378="","",IF(10&lt;=$C$4,N(Q379),IF(Q381="",Q378,Q381)))</f>
        <v/>
      </c>
      <c r="R382" s="18">
        <f>IF($B$378="","",IF(11&lt;=$C$4,N(R379),IF(R381="",R378,R381)))</f>
        <v/>
      </c>
      <c r="S382" s="18">
        <f>IF($B$378="","",IF(12&lt;=$C$4,N(S379),IF(S381="",S378,S381)))</f>
        <v/>
      </c>
      <c r="T382" s="18">
        <f>IF($B$378="","",SUMIF($H$7:$S$7,"&lt;="&amp;$C$4,$H382:$S382))</f>
        <v/>
      </c>
      <c r="U382" s="18">
        <f>IF($B$378="","",SUMIF($H$7:$S$7,"&gt;"&amp;$C$4,$H382:$S382))</f>
        <v/>
      </c>
      <c r="V382" s="18">
        <f>IF($B$378="","",SUM($H382:$S382))</f>
        <v/>
      </c>
      <c r="X382" s="22">
        <f>IF($B382="","",IFERROR(INDEX(Cost_Centers!$E:$E,MATCH($B382,Cost_Centers!$A:$A,0)),"(unknown)"))</f>
        <v/>
      </c>
      <c r="Y382" s="22">
        <f>IF($B382="","",IFERROR(INDEX(Cost_Centers!$D:$D,MATCH($B382,Cost_Centers!$A:$A,0)),"(unknown)"))</f>
        <v/>
      </c>
      <c r="Z382" s="22">
        <f>IF(OR($B382="",$G382&lt;&gt;"Variance vs Budget"),"",ABS(N($V382))+ROW()/1000000000)</f>
        <v/>
      </c>
    </row>
    <row r="383">
      <c r="A383" s="13">
        <f>IF(A$378="","",A$378)</f>
        <v/>
      </c>
      <c r="B383" s="13">
        <f>IF(B$378="","",B$378)</f>
        <v/>
      </c>
      <c r="C383" s="13">
        <f>IF(C$378="","",C$378)</f>
        <v/>
      </c>
      <c r="D383" s="13">
        <f>IF(D$378="","",D$378)</f>
        <v/>
      </c>
      <c r="E383" s="13">
        <f>IF(E$378="","",E$378)</f>
        <v/>
      </c>
      <c r="F383" s="13">
        <f>IF(F$378="","",F$378)</f>
        <v/>
      </c>
      <c r="G383" s="36" t="inlineStr">
        <is>
          <t>Prior Month Forecast</t>
        </is>
      </c>
      <c r="H383" s="37">
        <f>IF($B$378="","",IF(COUNTIFS(Prior_Forecast!$A:$A,$B$378,Prior_Forecast!$B:$B,$D$378)&gt;0,SUMIFS(Prior_Forecast!$C:$C,Prior_Forecast!$A:$A,$B$378,Prior_Forecast!$B:$B,$D$378),""))</f>
        <v/>
      </c>
      <c r="I383" s="37">
        <f>IF($B$378="","",IF(COUNTIFS(Prior_Forecast!$A:$A,$B$378,Prior_Forecast!$B:$B,$D$378)&gt;0,SUMIFS(Prior_Forecast!$D:$D,Prior_Forecast!$A:$A,$B$378,Prior_Forecast!$B:$B,$D$378),""))</f>
        <v/>
      </c>
      <c r="J383" s="37">
        <f>IF($B$378="","",IF(COUNTIFS(Prior_Forecast!$A:$A,$B$378,Prior_Forecast!$B:$B,$D$378)&gt;0,SUMIFS(Prior_Forecast!$E:$E,Prior_Forecast!$A:$A,$B$378,Prior_Forecast!$B:$B,$D$378),""))</f>
        <v/>
      </c>
      <c r="K383" s="37">
        <f>IF($B$378="","",IF(COUNTIFS(Prior_Forecast!$A:$A,$B$378,Prior_Forecast!$B:$B,$D$378)&gt;0,SUMIFS(Prior_Forecast!$F:$F,Prior_Forecast!$A:$A,$B$378,Prior_Forecast!$B:$B,$D$378),""))</f>
        <v/>
      </c>
      <c r="L383" s="37">
        <f>IF($B$378="","",IF(COUNTIFS(Prior_Forecast!$A:$A,$B$378,Prior_Forecast!$B:$B,$D$378)&gt;0,SUMIFS(Prior_Forecast!$G:$G,Prior_Forecast!$A:$A,$B$378,Prior_Forecast!$B:$B,$D$378),""))</f>
        <v/>
      </c>
      <c r="M383" s="37">
        <f>IF($B$378="","",IF(COUNTIFS(Prior_Forecast!$A:$A,$B$378,Prior_Forecast!$B:$B,$D$378)&gt;0,SUMIFS(Prior_Forecast!$H:$H,Prior_Forecast!$A:$A,$B$378,Prior_Forecast!$B:$B,$D$378),""))</f>
        <v/>
      </c>
      <c r="N383" s="37">
        <f>IF($B$378="","",IF(COUNTIFS(Prior_Forecast!$A:$A,$B$378,Prior_Forecast!$B:$B,$D$378)&gt;0,SUMIFS(Prior_Forecast!$I:$I,Prior_Forecast!$A:$A,$B$378,Prior_Forecast!$B:$B,$D$378),""))</f>
        <v/>
      </c>
      <c r="O383" s="37">
        <f>IF($B$378="","",IF(COUNTIFS(Prior_Forecast!$A:$A,$B$378,Prior_Forecast!$B:$B,$D$378)&gt;0,SUMIFS(Prior_Forecast!$J:$J,Prior_Forecast!$A:$A,$B$378,Prior_Forecast!$B:$B,$D$378),""))</f>
        <v/>
      </c>
      <c r="P383" s="37">
        <f>IF($B$378="","",IF(COUNTIFS(Prior_Forecast!$A:$A,$B$378,Prior_Forecast!$B:$B,$D$378)&gt;0,SUMIFS(Prior_Forecast!$K:$K,Prior_Forecast!$A:$A,$B$378,Prior_Forecast!$B:$B,$D$378),""))</f>
        <v/>
      </c>
      <c r="Q383" s="37">
        <f>IF($B$378="","",IF(COUNTIFS(Prior_Forecast!$A:$A,$B$378,Prior_Forecast!$B:$B,$D$378)&gt;0,SUMIFS(Prior_Forecast!$L:$L,Prior_Forecast!$A:$A,$B$378,Prior_Forecast!$B:$B,$D$378),""))</f>
        <v/>
      </c>
      <c r="R383" s="37">
        <f>IF($B$378="","",IF(COUNTIFS(Prior_Forecast!$A:$A,$B$378,Prior_Forecast!$B:$B,$D$378)&gt;0,SUMIFS(Prior_Forecast!$M:$M,Prior_Forecast!$A:$A,$B$378,Prior_Forecast!$B:$B,$D$378),""))</f>
        <v/>
      </c>
      <c r="S383" s="37">
        <f>IF($B$378="","",IF(COUNTIFS(Prior_Forecast!$A:$A,$B$378,Prior_Forecast!$B:$B,$D$378)&gt;0,SUMIFS(Prior_Forecast!$N:$N,Prior_Forecast!$A:$A,$B$378,Prior_Forecast!$B:$B,$D$378),""))</f>
        <v/>
      </c>
      <c r="T383" s="37">
        <f>IF($B$378="","",IF(COUNTIFS(Prior_Forecast!$A:$A,$B$378,Prior_Forecast!$B:$B,$D$378)&gt;0,SUMIFS(Prior_Forecast!$O:$O,Prior_Forecast!$A:$A,$B$378,Prior_Forecast!$B:$B,$D$378),""))</f>
        <v/>
      </c>
      <c r="U383" s="37">
        <f>IF($B$378="","",IF(COUNTIFS(Prior_Forecast!$A:$A,$B$378,Prior_Forecast!$B:$B,$D$378)&gt;0,SUMIFS(Prior_Forecast!$P:$P,Prior_Forecast!$A:$A,$B$378,Prior_Forecast!$B:$B,$D$378),""))</f>
        <v/>
      </c>
      <c r="V383" s="37">
        <f>IF($B$378="","",IF(COUNTIFS(Prior_Forecast!$A:$A,$B$378,Prior_Forecast!$B:$B,$D$378)&gt;0,SUMIFS(Prior_Forecast!$Q:$Q,Prior_Forecast!$A:$A,$B$378,Prior_Forecast!$B:$B,$D$378),""))</f>
        <v/>
      </c>
      <c r="X383" s="22">
        <f>IF($B383="","",IFERROR(INDEX(Cost_Centers!$E:$E,MATCH($B383,Cost_Centers!$A:$A,0)),"(unknown)"))</f>
        <v/>
      </c>
      <c r="Y383" s="22">
        <f>IF($B383="","",IFERROR(INDEX(Cost_Centers!$D:$D,MATCH($B383,Cost_Centers!$A:$A,0)),"(unknown)"))</f>
        <v/>
      </c>
      <c r="Z383" s="22">
        <f>IF(OR($B383="",$G383&lt;&gt;"Variance vs Budget"),"",ABS(N($V383))+ROW()/1000000000)</f>
        <v/>
      </c>
    </row>
    <row r="384">
      <c r="A384" s="13">
        <f>IF(A$378="","",A$378)</f>
        <v/>
      </c>
      <c r="B384" s="13">
        <f>IF(B$378="","",B$378)</f>
        <v/>
      </c>
      <c r="C384" s="13">
        <f>IF(C$378="","",C$378)</f>
        <v/>
      </c>
      <c r="D384" s="13">
        <f>IF(D$378="","",D$378)</f>
        <v/>
      </c>
      <c r="E384" s="13">
        <f>IF(E$378="","",E$378)</f>
        <v/>
      </c>
      <c r="F384" s="13">
        <f>IF(F$378="","",F$378)</f>
        <v/>
      </c>
      <c r="G384" s="6" t="inlineStr">
        <is>
          <t>Variance vs Prior Month</t>
        </is>
      </c>
      <c r="H384" s="33">
        <f>IF(OR($B$378="",H383=""),"",H382-H383)</f>
        <v/>
      </c>
      <c r="I384" s="33">
        <f>IF(OR($B$378="",I383=""),"",I382-I383)</f>
        <v/>
      </c>
      <c r="J384" s="33">
        <f>IF(OR($B$378="",J383=""),"",J382-J383)</f>
        <v/>
      </c>
      <c r="K384" s="33">
        <f>IF(OR($B$378="",K383=""),"",K382-K383)</f>
        <v/>
      </c>
      <c r="L384" s="33">
        <f>IF(OR($B$378="",L383=""),"",L382-L383)</f>
        <v/>
      </c>
      <c r="M384" s="33">
        <f>IF(OR($B$378="",M383=""),"",M382-M383)</f>
        <v/>
      </c>
      <c r="N384" s="33">
        <f>IF(OR($B$378="",N383=""),"",N382-N383)</f>
        <v/>
      </c>
      <c r="O384" s="33">
        <f>IF(OR($B$378="",O383=""),"",O382-O383)</f>
        <v/>
      </c>
      <c r="P384" s="33">
        <f>IF(OR($B$378="",P383=""),"",P382-P383)</f>
        <v/>
      </c>
      <c r="Q384" s="33">
        <f>IF(OR($B$378="",Q383=""),"",Q382-Q383)</f>
        <v/>
      </c>
      <c r="R384" s="33">
        <f>IF(OR($B$378="",R383=""),"",R382-R383)</f>
        <v/>
      </c>
      <c r="S384" s="33">
        <f>IF(OR($B$378="",S383=""),"",S382-S383)</f>
        <v/>
      </c>
      <c r="T384" s="33">
        <f>IF(OR($B$378="",T383=""),"",T382-T383)</f>
        <v/>
      </c>
      <c r="U384" s="33">
        <f>IF(OR($B$378="",U383=""),"",U382-U383)</f>
        <v/>
      </c>
      <c r="V384" s="33">
        <f>IF(OR($B$378="",V383=""),"",V382-V383)</f>
        <v/>
      </c>
      <c r="X384" s="22">
        <f>IF($B384="","",IFERROR(INDEX(Cost_Centers!$E:$E,MATCH($B384,Cost_Centers!$A:$A,0)),"(unknown)"))</f>
        <v/>
      </c>
      <c r="Y384" s="22">
        <f>IF($B384="","",IFERROR(INDEX(Cost_Centers!$D:$D,MATCH($B384,Cost_Centers!$A:$A,0)),"(unknown)"))</f>
        <v/>
      </c>
      <c r="Z384" s="22">
        <f>IF(OR($B384="",$G384&lt;&gt;"Variance vs Budget"),"",ABS(N($V384))+ROW()/1000000000)</f>
        <v/>
      </c>
    </row>
    <row r="385" ht="45" customHeight="1">
      <c r="A385" s="13">
        <f>IF(A$378="","",A$378)</f>
        <v/>
      </c>
      <c r="B385" s="13">
        <f>IF(B$378="","",B$378)</f>
        <v/>
      </c>
      <c r="C385" s="13">
        <f>IF(C$378="","",C$378)</f>
        <v/>
      </c>
      <c r="D385" s="13">
        <f>IF(D$378="","",D$378)</f>
        <v/>
      </c>
      <c r="E385" s="13">
        <f>IF(E$378="","",E$378)</f>
        <v/>
      </c>
      <c r="F385" s="13">
        <f>IF(F$378="","",F$378)</f>
        <v/>
      </c>
      <c r="G385" s="7" t="inlineStr">
        <is>
          <t>Rationale</t>
        </is>
      </c>
      <c r="H385" s="38" t="n"/>
      <c r="I385" s="38" t="n"/>
      <c r="J385" s="38" t="n"/>
      <c r="K385" s="38" t="n"/>
      <c r="L385" s="38" t="n"/>
      <c r="M385" s="38" t="n"/>
      <c r="N385" s="38" t="n"/>
      <c r="O385" s="38" t="n"/>
      <c r="P385" s="38" t="n"/>
      <c r="Q385" s="38" t="n"/>
      <c r="R385" s="38" t="n"/>
      <c r="S385" s="38" t="n"/>
      <c r="T385" s="38" t="n"/>
      <c r="U385" s="38" t="n"/>
      <c r="V385" s="7" t="n"/>
      <c r="X385" s="22">
        <f>IF($B385="","",IFERROR(INDEX(Cost_Centers!$E:$E,MATCH($B385,Cost_Centers!$A:$A,0)),"(unknown)"))</f>
        <v/>
      </c>
      <c r="Y385" s="22">
        <f>IF($B385="","",IFERROR(INDEX(Cost_Centers!$D:$D,MATCH($B385,Cost_Centers!$A:$A,0)),"(unknown)"))</f>
        <v/>
      </c>
      <c r="Z385" s="22">
        <f>IF(OR($B385="",$G385&lt;&gt;"Variance vs Budget"),"",ABS(N($V385))+ROW()/1000000000)</f>
        <v/>
      </c>
    </row>
    <row r="386">
      <c r="A386" s="30">
        <f>IF($D$386="","",LEFT($D$386,FIND("|",$D$386&amp;"|")-1))</f>
        <v/>
      </c>
      <c r="B386" s="31" t="n"/>
      <c r="C386" s="30">
        <f>IF($B$386="","",IFERROR(INDEX(Cost_Centers!$B:$B,MATCH($B$386,Cost_Centers!$A:$A,0)),"(not in master)"))</f>
        <v/>
      </c>
      <c r="D386" s="31" t="n"/>
      <c r="E386" s="30">
        <f>IF($D$386="","",IFERROR(INDEX(Accounts!$D:$D,MATCH($D$386,Accounts!$A:$A,0)),"(not in master)"))</f>
        <v/>
      </c>
      <c r="F386" s="31" t="n"/>
      <c r="G386" s="30" t="inlineStr">
        <is>
          <t>Budget</t>
        </is>
      </c>
      <c r="H386" s="32">
        <f>IF($B$386="","",SUMIFS(Opex_Budget!$O:$O,Opex_Budget!$A:$A,$C$3,Opex_Budget!$E:$E,$B$386,Opex_Budget!$F:$F,$D$386,Opex_Budget!$N:$N,"JPY")*$E$5+SUMIFS(Opex_Budget!$O:$O,Opex_Budget!$A:$A,$C$3,Opex_Budget!$E:$E,$B$386,Opex_Budget!$F:$F,$D$386,Opex_Budget!$N:$N,"USD")*$F$5+SUMIFS(Opex_Budget!$O:$O,Opex_Budget!$A:$A,$C$3,Opex_Budget!$E:$E,$B$386,Opex_Budget!$F:$F,$D$386,Opex_Budget!$N:$N,"EUR")*$G$5+SUMIFS(Opex_Budget!$O:$O,Opex_Budget!$A:$A,$C$3,Opex_Budget!$E:$E,$B$386,Opex_Budget!$F:$F,$D$386,Opex_Budget!$N:$N,"GBP")*$H$5)</f>
        <v/>
      </c>
      <c r="I386" s="32">
        <f>IF($B$386="","",SUMIFS(Opex_Budget!$P:$P,Opex_Budget!$A:$A,$C$3,Opex_Budget!$E:$E,$B$386,Opex_Budget!$F:$F,$D$386,Opex_Budget!$N:$N,"JPY")*$E$5+SUMIFS(Opex_Budget!$P:$P,Opex_Budget!$A:$A,$C$3,Opex_Budget!$E:$E,$B$386,Opex_Budget!$F:$F,$D$386,Opex_Budget!$N:$N,"USD")*$F$5+SUMIFS(Opex_Budget!$P:$P,Opex_Budget!$A:$A,$C$3,Opex_Budget!$E:$E,$B$386,Opex_Budget!$F:$F,$D$386,Opex_Budget!$N:$N,"EUR")*$G$5+SUMIFS(Opex_Budget!$P:$P,Opex_Budget!$A:$A,$C$3,Opex_Budget!$E:$E,$B$386,Opex_Budget!$F:$F,$D$386,Opex_Budget!$N:$N,"GBP")*$H$5)</f>
        <v/>
      </c>
      <c r="J386" s="32">
        <f>IF($B$386="","",SUMIFS(Opex_Budget!$Q:$Q,Opex_Budget!$A:$A,$C$3,Opex_Budget!$E:$E,$B$386,Opex_Budget!$F:$F,$D$386,Opex_Budget!$N:$N,"JPY")*$E$5+SUMIFS(Opex_Budget!$Q:$Q,Opex_Budget!$A:$A,$C$3,Opex_Budget!$E:$E,$B$386,Opex_Budget!$F:$F,$D$386,Opex_Budget!$N:$N,"USD")*$F$5+SUMIFS(Opex_Budget!$Q:$Q,Opex_Budget!$A:$A,$C$3,Opex_Budget!$E:$E,$B$386,Opex_Budget!$F:$F,$D$386,Opex_Budget!$N:$N,"EUR")*$G$5+SUMIFS(Opex_Budget!$Q:$Q,Opex_Budget!$A:$A,$C$3,Opex_Budget!$E:$E,$B$386,Opex_Budget!$F:$F,$D$386,Opex_Budget!$N:$N,"GBP")*$H$5)</f>
        <v/>
      </c>
      <c r="K386" s="32">
        <f>IF($B$386="","",SUMIFS(Opex_Budget!$R:$R,Opex_Budget!$A:$A,$C$3,Opex_Budget!$E:$E,$B$386,Opex_Budget!$F:$F,$D$386,Opex_Budget!$N:$N,"JPY")*$E$5+SUMIFS(Opex_Budget!$R:$R,Opex_Budget!$A:$A,$C$3,Opex_Budget!$E:$E,$B$386,Opex_Budget!$F:$F,$D$386,Opex_Budget!$N:$N,"USD")*$F$5+SUMIFS(Opex_Budget!$R:$R,Opex_Budget!$A:$A,$C$3,Opex_Budget!$E:$E,$B$386,Opex_Budget!$F:$F,$D$386,Opex_Budget!$N:$N,"EUR")*$G$5+SUMIFS(Opex_Budget!$R:$R,Opex_Budget!$A:$A,$C$3,Opex_Budget!$E:$E,$B$386,Opex_Budget!$F:$F,$D$386,Opex_Budget!$N:$N,"GBP")*$H$5)</f>
        <v/>
      </c>
      <c r="L386" s="32">
        <f>IF($B$386="","",SUMIFS(Opex_Budget!$S:$S,Opex_Budget!$A:$A,$C$3,Opex_Budget!$E:$E,$B$386,Opex_Budget!$F:$F,$D$386,Opex_Budget!$N:$N,"JPY")*$E$5+SUMIFS(Opex_Budget!$S:$S,Opex_Budget!$A:$A,$C$3,Opex_Budget!$E:$E,$B$386,Opex_Budget!$F:$F,$D$386,Opex_Budget!$N:$N,"USD")*$F$5+SUMIFS(Opex_Budget!$S:$S,Opex_Budget!$A:$A,$C$3,Opex_Budget!$E:$E,$B$386,Opex_Budget!$F:$F,$D$386,Opex_Budget!$N:$N,"EUR")*$G$5+SUMIFS(Opex_Budget!$S:$S,Opex_Budget!$A:$A,$C$3,Opex_Budget!$E:$E,$B$386,Opex_Budget!$F:$F,$D$386,Opex_Budget!$N:$N,"GBP")*$H$5)</f>
        <v/>
      </c>
      <c r="M386" s="32">
        <f>IF($B$386="","",SUMIFS(Opex_Budget!$T:$T,Opex_Budget!$A:$A,$C$3,Opex_Budget!$E:$E,$B$386,Opex_Budget!$F:$F,$D$386,Opex_Budget!$N:$N,"JPY")*$E$5+SUMIFS(Opex_Budget!$T:$T,Opex_Budget!$A:$A,$C$3,Opex_Budget!$E:$E,$B$386,Opex_Budget!$F:$F,$D$386,Opex_Budget!$N:$N,"USD")*$F$5+SUMIFS(Opex_Budget!$T:$T,Opex_Budget!$A:$A,$C$3,Opex_Budget!$E:$E,$B$386,Opex_Budget!$F:$F,$D$386,Opex_Budget!$N:$N,"EUR")*$G$5+SUMIFS(Opex_Budget!$T:$T,Opex_Budget!$A:$A,$C$3,Opex_Budget!$E:$E,$B$386,Opex_Budget!$F:$F,$D$386,Opex_Budget!$N:$N,"GBP")*$H$5)</f>
        <v/>
      </c>
      <c r="N386" s="32">
        <f>IF($B$386="","",SUMIFS(Opex_Budget!$U:$U,Opex_Budget!$A:$A,$C$3,Opex_Budget!$E:$E,$B$386,Opex_Budget!$F:$F,$D$386,Opex_Budget!$N:$N,"JPY")*$E$5+SUMIFS(Opex_Budget!$U:$U,Opex_Budget!$A:$A,$C$3,Opex_Budget!$E:$E,$B$386,Opex_Budget!$F:$F,$D$386,Opex_Budget!$N:$N,"USD")*$F$5+SUMIFS(Opex_Budget!$U:$U,Opex_Budget!$A:$A,$C$3,Opex_Budget!$E:$E,$B$386,Opex_Budget!$F:$F,$D$386,Opex_Budget!$N:$N,"EUR")*$G$5+SUMIFS(Opex_Budget!$U:$U,Opex_Budget!$A:$A,$C$3,Opex_Budget!$E:$E,$B$386,Opex_Budget!$F:$F,$D$386,Opex_Budget!$N:$N,"GBP")*$H$5)</f>
        <v/>
      </c>
      <c r="O386" s="32">
        <f>IF($B$386="","",SUMIFS(Opex_Budget!$V:$V,Opex_Budget!$A:$A,$C$3,Opex_Budget!$E:$E,$B$386,Opex_Budget!$F:$F,$D$386,Opex_Budget!$N:$N,"JPY")*$E$5+SUMIFS(Opex_Budget!$V:$V,Opex_Budget!$A:$A,$C$3,Opex_Budget!$E:$E,$B$386,Opex_Budget!$F:$F,$D$386,Opex_Budget!$N:$N,"USD")*$F$5+SUMIFS(Opex_Budget!$V:$V,Opex_Budget!$A:$A,$C$3,Opex_Budget!$E:$E,$B$386,Opex_Budget!$F:$F,$D$386,Opex_Budget!$N:$N,"EUR")*$G$5+SUMIFS(Opex_Budget!$V:$V,Opex_Budget!$A:$A,$C$3,Opex_Budget!$E:$E,$B$386,Opex_Budget!$F:$F,$D$386,Opex_Budget!$N:$N,"GBP")*$H$5)</f>
        <v/>
      </c>
      <c r="P386" s="32">
        <f>IF($B$386="","",SUMIFS(Opex_Budget!$W:$W,Opex_Budget!$A:$A,$C$3,Opex_Budget!$E:$E,$B$386,Opex_Budget!$F:$F,$D$386,Opex_Budget!$N:$N,"JPY")*$E$5+SUMIFS(Opex_Budget!$W:$W,Opex_Budget!$A:$A,$C$3,Opex_Budget!$E:$E,$B$386,Opex_Budget!$F:$F,$D$386,Opex_Budget!$N:$N,"USD")*$F$5+SUMIFS(Opex_Budget!$W:$W,Opex_Budget!$A:$A,$C$3,Opex_Budget!$E:$E,$B$386,Opex_Budget!$F:$F,$D$386,Opex_Budget!$N:$N,"EUR")*$G$5+SUMIFS(Opex_Budget!$W:$W,Opex_Budget!$A:$A,$C$3,Opex_Budget!$E:$E,$B$386,Opex_Budget!$F:$F,$D$386,Opex_Budget!$N:$N,"GBP")*$H$5)</f>
        <v/>
      </c>
      <c r="Q386" s="32">
        <f>IF($B$386="","",SUMIFS(Opex_Budget!$X:$X,Opex_Budget!$A:$A,$C$3,Opex_Budget!$E:$E,$B$386,Opex_Budget!$F:$F,$D$386,Opex_Budget!$N:$N,"JPY")*$E$5+SUMIFS(Opex_Budget!$X:$X,Opex_Budget!$A:$A,$C$3,Opex_Budget!$E:$E,$B$386,Opex_Budget!$F:$F,$D$386,Opex_Budget!$N:$N,"USD")*$F$5+SUMIFS(Opex_Budget!$X:$X,Opex_Budget!$A:$A,$C$3,Opex_Budget!$E:$E,$B$386,Opex_Budget!$F:$F,$D$386,Opex_Budget!$N:$N,"EUR")*$G$5+SUMIFS(Opex_Budget!$X:$X,Opex_Budget!$A:$A,$C$3,Opex_Budget!$E:$E,$B$386,Opex_Budget!$F:$F,$D$386,Opex_Budget!$N:$N,"GBP")*$H$5)</f>
        <v/>
      </c>
      <c r="R386" s="32">
        <f>IF($B$386="","",SUMIFS(Opex_Budget!$Y:$Y,Opex_Budget!$A:$A,$C$3,Opex_Budget!$E:$E,$B$386,Opex_Budget!$F:$F,$D$386,Opex_Budget!$N:$N,"JPY")*$E$5+SUMIFS(Opex_Budget!$Y:$Y,Opex_Budget!$A:$A,$C$3,Opex_Budget!$E:$E,$B$386,Opex_Budget!$F:$F,$D$386,Opex_Budget!$N:$N,"USD")*$F$5+SUMIFS(Opex_Budget!$Y:$Y,Opex_Budget!$A:$A,$C$3,Opex_Budget!$E:$E,$B$386,Opex_Budget!$F:$F,$D$386,Opex_Budget!$N:$N,"EUR")*$G$5+SUMIFS(Opex_Budget!$Y:$Y,Opex_Budget!$A:$A,$C$3,Opex_Budget!$E:$E,$B$386,Opex_Budget!$F:$F,$D$386,Opex_Budget!$N:$N,"GBP")*$H$5)</f>
        <v/>
      </c>
      <c r="S386" s="32">
        <f>IF($B$386="","",SUMIFS(Opex_Budget!$Z:$Z,Opex_Budget!$A:$A,$C$3,Opex_Budget!$E:$E,$B$386,Opex_Budget!$F:$F,$D$386,Opex_Budget!$N:$N,"JPY")*$E$5+SUMIFS(Opex_Budget!$Z:$Z,Opex_Budget!$A:$A,$C$3,Opex_Budget!$E:$E,$B$386,Opex_Budget!$F:$F,$D$386,Opex_Budget!$N:$N,"USD")*$F$5+SUMIFS(Opex_Budget!$Z:$Z,Opex_Budget!$A:$A,$C$3,Opex_Budget!$E:$E,$B$386,Opex_Budget!$F:$F,$D$386,Opex_Budget!$N:$N,"EUR")*$G$5+SUMIFS(Opex_Budget!$Z:$Z,Opex_Budget!$A:$A,$C$3,Opex_Budget!$E:$E,$B$386,Opex_Budget!$F:$F,$D$386,Opex_Budget!$N:$N,"GBP")*$H$5)</f>
        <v/>
      </c>
      <c r="T386" s="32">
        <f>IF($B$386="","",SUMIF($H$7:$S$7,"&lt;="&amp;$C$4,$H386:$S386))</f>
        <v/>
      </c>
      <c r="U386" s="32">
        <f>IF($B$386="","",SUMIF($H$7:$S$7,"&gt;"&amp;$C$4,$H386:$S386))</f>
        <v/>
      </c>
      <c r="V386" s="32">
        <f>IF($B$386="","",SUM($H386:$S386))</f>
        <v/>
      </c>
      <c r="X386" s="22">
        <f>IF($B386="","",IFERROR(INDEX(Cost_Centers!$E:$E,MATCH($B386,Cost_Centers!$A:$A,0)),"(unknown)"))</f>
        <v/>
      </c>
      <c r="Y386" s="22">
        <f>IF($B386="","",IFERROR(INDEX(Cost_Centers!$D:$D,MATCH($B386,Cost_Centers!$A:$A,0)),"(unknown)"))</f>
        <v/>
      </c>
      <c r="Z386" s="22">
        <f>IF(OR($B386="",$G386&lt;&gt;"Variance vs Budget"),"",ABS(N($V386))+ROW()/1000000000)</f>
        <v/>
      </c>
    </row>
    <row r="387">
      <c r="A387" s="13">
        <f>IF(A$386="","",A$386)</f>
        <v/>
      </c>
      <c r="B387" s="13">
        <f>IF(B$386="","",B$386)</f>
        <v/>
      </c>
      <c r="C387" s="13">
        <f>IF(C$386="","",C$386)</f>
        <v/>
      </c>
      <c r="D387" s="13">
        <f>IF(D$386="","",D$386)</f>
        <v/>
      </c>
      <c r="E387" s="13">
        <f>IF(E$386="","",E$386)</f>
        <v/>
      </c>
      <c r="F387" s="13">
        <f>IF(F$386="","",F$386)</f>
        <v/>
      </c>
      <c r="G387" s="7" t="inlineStr">
        <is>
          <t>Actual</t>
        </is>
      </c>
      <c r="H387" s="18">
        <f>IF(OR($B$386="",1&gt;$C$4),"",SUMIFS(Actuals!$G:$G,Actuals!$B:$B,$C$3,Actuals!$C:$C,1,Actuals!$D:$D,$B$386,Actuals!$A:$A,LEFT($D$386,FIND("|",$D$386&amp;"|")-1),Actuals!$E:$E,MID($D$386,FIND("|",$D$386&amp;"|")+1,50),Actuals!$F:$F,"JPY")*$E$5+SUMIFS(Actuals!$G:$G,Actuals!$B:$B,$C$3,Actuals!$C:$C,1,Actuals!$D:$D,$B$386,Actuals!$A:$A,LEFT($D$386,FIND("|",$D$386&amp;"|")-1),Actuals!$E:$E,MID($D$386,FIND("|",$D$386&amp;"|")+1,50),Actuals!$F:$F,"USD")*$F$5+SUMIFS(Actuals!$G:$G,Actuals!$B:$B,$C$3,Actuals!$C:$C,1,Actuals!$D:$D,$B$386,Actuals!$A:$A,LEFT($D$386,FIND("|",$D$386&amp;"|")-1),Actuals!$E:$E,MID($D$386,FIND("|",$D$386&amp;"|")+1,50),Actuals!$F:$F,"EUR")*$G$5+SUMIFS(Actuals!$G:$G,Actuals!$B:$B,$C$3,Actuals!$C:$C,1,Actuals!$D:$D,$B$386,Actuals!$A:$A,LEFT($D$386,FIND("|",$D$386&amp;"|")-1),Actuals!$E:$E,MID($D$386,FIND("|",$D$386&amp;"|")+1,50),Actuals!$F:$F,"GBP")*$H$5)</f>
        <v/>
      </c>
      <c r="I387" s="18">
        <f>IF(OR($B$386="",2&gt;$C$4),"",SUMIFS(Actuals!$G:$G,Actuals!$B:$B,$C$3,Actuals!$C:$C,2,Actuals!$D:$D,$B$386,Actuals!$A:$A,LEFT($D$386,FIND("|",$D$386&amp;"|")-1),Actuals!$E:$E,MID($D$386,FIND("|",$D$386&amp;"|")+1,50),Actuals!$F:$F,"JPY")*$E$5+SUMIFS(Actuals!$G:$G,Actuals!$B:$B,$C$3,Actuals!$C:$C,2,Actuals!$D:$D,$B$386,Actuals!$A:$A,LEFT($D$386,FIND("|",$D$386&amp;"|")-1),Actuals!$E:$E,MID($D$386,FIND("|",$D$386&amp;"|")+1,50),Actuals!$F:$F,"USD")*$F$5+SUMIFS(Actuals!$G:$G,Actuals!$B:$B,$C$3,Actuals!$C:$C,2,Actuals!$D:$D,$B$386,Actuals!$A:$A,LEFT($D$386,FIND("|",$D$386&amp;"|")-1),Actuals!$E:$E,MID($D$386,FIND("|",$D$386&amp;"|")+1,50),Actuals!$F:$F,"EUR")*$G$5+SUMIFS(Actuals!$G:$G,Actuals!$B:$B,$C$3,Actuals!$C:$C,2,Actuals!$D:$D,$B$386,Actuals!$A:$A,LEFT($D$386,FIND("|",$D$386&amp;"|")-1),Actuals!$E:$E,MID($D$386,FIND("|",$D$386&amp;"|")+1,50),Actuals!$F:$F,"GBP")*$H$5)</f>
        <v/>
      </c>
      <c r="J387" s="18">
        <f>IF(OR($B$386="",3&gt;$C$4),"",SUMIFS(Actuals!$G:$G,Actuals!$B:$B,$C$3,Actuals!$C:$C,3,Actuals!$D:$D,$B$386,Actuals!$A:$A,LEFT($D$386,FIND("|",$D$386&amp;"|")-1),Actuals!$E:$E,MID($D$386,FIND("|",$D$386&amp;"|")+1,50),Actuals!$F:$F,"JPY")*$E$5+SUMIFS(Actuals!$G:$G,Actuals!$B:$B,$C$3,Actuals!$C:$C,3,Actuals!$D:$D,$B$386,Actuals!$A:$A,LEFT($D$386,FIND("|",$D$386&amp;"|")-1),Actuals!$E:$E,MID($D$386,FIND("|",$D$386&amp;"|")+1,50),Actuals!$F:$F,"USD")*$F$5+SUMIFS(Actuals!$G:$G,Actuals!$B:$B,$C$3,Actuals!$C:$C,3,Actuals!$D:$D,$B$386,Actuals!$A:$A,LEFT($D$386,FIND("|",$D$386&amp;"|")-1),Actuals!$E:$E,MID($D$386,FIND("|",$D$386&amp;"|")+1,50),Actuals!$F:$F,"EUR")*$G$5+SUMIFS(Actuals!$G:$G,Actuals!$B:$B,$C$3,Actuals!$C:$C,3,Actuals!$D:$D,$B$386,Actuals!$A:$A,LEFT($D$386,FIND("|",$D$386&amp;"|")-1),Actuals!$E:$E,MID($D$386,FIND("|",$D$386&amp;"|")+1,50),Actuals!$F:$F,"GBP")*$H$5)</f>
        <v/>
      </c>
      <c r="K387" s="18">
        <f>IF(OR($B$386="",4&gt;$C$4),"",SUMIFS(Actuals!$G:$G,Actuals!$B:$B,$C$3,Actuals!$C:$C,4,Actuals!$D:$D,$B$386,Actuals!$A:$A,LEFT($D$386,FIND("|",$D$386&amp;"|")-1),Actuals!$E:$E,MID($D$386,FIND("|",$D$386&amp;"|")+1,50),Actuals!$F:$F,"JPY")*$E$5+SUMIFS(Actuals!$G:$G,Actuals!$B:$B,$C$3,Actuals!$C:$C,4,Actuals!$D:$D,$B$386,Actuals!$A:$A,LEFT($D$386,FIND("|",$D$386&amp;"|")-1),Actuals!$E:$E,MID($D$386,FIND("|",$D$386&amp;"|")+1,50),Actuals!$F:$F,"USD")*$F$5+SUMIFS(Actuals!$G:$G,Actuals!$B:$B,$C$3,Actuals!$C:$C,4,Actuals!$D:$D,$B$386,Actuals!$A:$A,LEFT($D$386,FIND("|",$D$386&amp;"|")-1),Actuals!$E:$E,MID($D$386,FIND("|",$D$386&amp;"|")+1,50),Actuals!$F:$F,"EUR")*$G$5+SUMIFS(Actuals!$G:$G,Actuals!$B:$B,$C$3,Actuals!$C:$C,4,Actuals!$D:$D,$B$386,Actuals!$A:$A,LEFT($D$386,FIND("|",$D$386&amp;"|")-1),Actuals!$E:$E,MID($D$386,FIND("|",$D$386&amp;"|")+1,50),Actuals!$F:$F,"GBP")*$H$5)</f>
        <v/>
      </c>
      <c r="L387" s="18">
        <f>IF(OR($B$386="",5&gt;$C$4),"",SUMIFS(Actuals!$G:$G,Actuals!$B:$B,$C$3,Actuals!$C:$C,5,Actuals!$D:$D,$B$386,Actuals!$A:$A,LEFT($D$386,FIND("|",$D$386&amp;"|")-1),Actuals!$E:$E,MID($D$386,FIND("|",$D$386&amp;"|")+1,50),Actuals!$F:$F,"JPY")*$E$5+SUMIFS(Actuals!$G:$G,Actuals!$B:$B,$C$3,Actuals!$C:$C,5,Actuals!$D:$D,$B$386,Actuals!$A:$A,LEFT($D$386,FIND("|",$D$386&amp;"|")-1),Actuals!$E:$E,MID($D$386,FIND("|",$D$386&amp;"|")+1,50),Actuals!$F:$F,"USD")*$F$5+SUMIFS(Actuals!$G:$G,Actuals!$B:$B,$C$3,Actuals!$C:$C,5,Actuals!$D:$D,$B$386,Actuals!$A:$A,LEFT($D$386,FIND("|",$D$386&amp;"|")-1),Actuals!$E:$E,MID($D$386,FIND("|",$D$386&amp;"|")+1,50),Actuals!$F:$F,"EUR")*$G$5+SUMIFS(Actuals!$G:$G,Actuals!$B:$B,$C$3,Actuals!$C:$C,5,Actuals!$D:$D,$B$386,Actuals!$A:$A,LEFT($D$386,FIND("|",$D$386&amp;"|")-1),Actuals!$E:$E,MID($D$386,FIND("|",$D$386&amp;"|")+1,50),Actuals!$F:$F,"GBP")*$H$5)</f>
        <v/>
      </c>
      <c r="M387" s="18">
        <f>IF(OR($B$386="",6&gt;$C$4),"",SUMIFS(Actuals!$G:$G,Actuals!$B:$B,$C$3,Actuals!$C:$C,6,Actuals!$D:$D,$B$386,Actuals!$A:$A,LEFT($D$386,FIND("|",$D$386&amp;"|")-1),Actuals!$E:$E,MID($D$386,FIND("|",$D$386&amp;"|")+1,50),Actuals!$F:$F,"JPY")*$E$5+SUMIFS(Actuals!$G:$G,Actuals!$B:$B,$C$3,Actuals!$C:$C,6,Actuals!$D:$D,$B$386,Actuals!$A:$A,LEFT($D$386,FIND("|",$D$386&amp;"|")-1),Actuals!$E:$E,MID($D$386,FIND("|",$D$386&amp;"|")+1,50),Actuals!$F:$F,"USD")*$F$5+SUMIFS(Actuals!$G:$G,Actuals!$B:$B,$C$3,Actuals!$C:$C,6,Actuals!$D:$D,$B$386,Actuals!$A:$A,LEFT($D$386,FIND("|",$D$386&amp;"|")-1),Actuals!$E:$E,MID($D$386,FIND("|",$D$386&amp;"|")+1,50),Actuals!$F:$F,"EUR")*$G$5+SUMIFS(Actuals!$G:$G,Actuals!$B:$B,$C$3,Actuals!$C:$C,6,Actuals!$D:$D,$B$386,Actuals!$A:$A,LEFT($D$386,FIND("|",$D$386&amp;"|")-1),Actuals!$E:$E,MID($D$386,FIND("|",$D$386&amp;"|")+1,50),Actuals!$F:$F,"GBP")*$H$5)</f>
        <v/>
      </c>
      <c r="N387" s="18">
        <f>IF(OR($B$386="",7&gt;$C$4),"",SUMIFS(Actuals!$G:$G,Actuals!$B:$B,$C$3,Actuals!$C:$C,7,Actuals!$D:$D,$B$386,Actuals!$A:$A,LEFT($D$386,FIND("|",$D$386&amp;"|")-1),Actuals!$E:$E,MID($D$386,FIND("|",$D$386&amp;"|")+1,50),Actuals!$F:$F,"JPY")*$E$5+SUMIFS(Actuals!$G:$G,Actuals!$B:$B,$C$3,Actuals!$C:$C,7,Actuals!$D:$D,$B$386,Actuals!$A:$A,LEFT($D$386,FIND("|",$D$386&amp;"|")-1),Actuals!$E:$E,MID($D$386,FIND("|",$D$386&amp;"|")+1,50),Actuals!$F:$F,"USD")*$F$5+SUMIFS(Actuals!$G:$G,Actuals!$B:$B,$C$3,Actuals!$C:$C,7,Actuals!$D:$D,$B$386,Actuals!$A:$A,LEFT($D$386,FIND("|",$D$386&amp;"|")-1),Actuals!$E:$E,MID($D$386,FIND("|",$D$386&amp;"|")+1,50),Actuals!$F:$F,"EUR")*$G$5+SUMIFS(Actuals!$G:$G,Actuals!$B:$B,$C$3,Actuals!$C:$C,7,Actuals!$D:$D,$B$386,Actuals!$A:$A,LEFT($D$386,FIND("|",$D$386&amp;"|")-1),Actuals!$E:$E,MID($D$386,FIND("|",$D$386&amp;"|")+1,50),Actuals!$F:$F,"GBP")*$H$5)</f>
        <v/>
      </c>
      <c r="O387" s="18">
        <f>IF(OR($B$386="",8&gt;$C$4),"",SUMIFS(Actuals!$G:$G,Actuals!$B:$B,$C$3,Actuals!$C:$C,8,Actuals!$D:$D,$B$386,Actuals!$A:$A,LEFT($D$386,FIND("|",$D$386&amp;"|")-1),Actuals!$E:$E,MID($D$386,FIND("|",$D$386&amp;"|")+1,50),Actuals!$F:$F,"JPY")*$E$5+SUMIFS(Actuals!$G:$G,Actuals!$B:$B,$C$3,Actuals!$C:$C,8,Actuals!$D:$D,$B$386,Actuals!$A:$A,LEFT($D$386,FIND("|",$D$386&amp;"|")-1),Actuals!$E:$E,MID($D$386,FIND("|",$D$386&amp;"|")+1,50),Actuals!$F:$F,"USD")*$F$5+SUMIFS(Actuals!$G:$G,Actuals!$B:$B,$C$3,Actuals!$C:$C,8,Actuals!$D:$D,$B$386,Actuals!$A:$A,LEFT($D$386,FIND("|",$D$386&amp;"|")-1),Actuals!$E:$E,MID($D$386,FIND("|",$D$386&amp;"|")+1,50),Actuals!$F:$F,"EUR")*$G$5+SUMIFS(Actuals!$G:$G,Actuals!$B:$B,$C$3,Actuals!$C:$C,8,Actuals!$D:$D,$B$386,Actuals!$A:$A,LEFT($D$386,FIND("|",$D$386&amp;"|")-1),Actuals!$E:$E,MID($D$386,FIND("|",$D$386&amp;"|")+1,50),Actuals!$F:$F,"GBP")*$H$5)</f>
        <v/>
      </c>
      <c r="P387" s="18">
        <f>IF(OR($B$386="",9&gt;$C$4),"",SUMIFS(Actuals!$G:$G,Actuals!$B:$B,$C$3,Actuals!$C:$C,9,Actuals!$D:$D,$B$386,Actuals!$A:$A,LEFT($D$386,FIND("|",$D$386&amp;"|")-1),Actuals!$E:$E,MID($D$386,FIND("|",$D$386&amp;"|")+1,50),Actuals!$F:$F,"JPY")*$E$5+SUMIFS(Actuals!$G:$G,Actuals!$B:$B,$C$3,Actuals!$C:$C,9,Actuals!$D:$D,$B$386,Actuals!$A:$A,LEFT($D$386,FIND("|",$D$386&amp;"|")-1),Actuals!$E:$E,MID($D$386,FIND("|",$D$386&amp;"|")+1,50),Actuals!$F:$F,"USD")*$F$5+SUMIFS(Actuals!$G:$G,Actuals!$B:$B,$C$3,Actuals!$C:$C,9,Actuals!$D:$D,$B$386,Actuals!$A:$A,LEFT($D$386,FIND("|",$D$386&amp;"|")-1),Actuals!$E:$E,MID($D$386,FIND("|",$D$386&amp;"|")+1,50),Actuals!$F:$F,"EUR")*$G$5+SUMIFS(Actuals!$G:$G,Actuals!$B:$B,$C$3,Actuals!$C:$C,9,Actuals!$D:$D,$B$386,Actuals!$A:$A,LEFT($D$386,FIND("|",$D$386&amp;"|")-1),Actuals!$E:$E,MID($D$386,FIND("|",$D$386&amp;"|")+1,50),Actuals!$F:$F,"GBP")*$H$5)</f>
        <v/>
      </c>
      <c r="Q387" s="18">
        <f>IF(OR($B$386="",10&gt;$C$4),"",SUMIFS(Actuals!$G:$G,Actuals!$B:$B,$C$3,Actuals!$C:$C,10,Actuals!$D:$D,$B$386,Actuals!$A:$A,LEFT($D$386,FIND("|",$D$386&amp;"|")-1),Actuals!$E:$E,MID($D$386,FIND("|",$D$386&amp;"|")+1,50),Actuals!$F:$F,"JPY")*$E$5+SUMIFS(Actuals!$G:$G,Actuals!$B:$B,$C$3,Actuals!$C:$C,10,Actuals!$D:$D,$B$386,Actuals!$A:$A,LEFT($D$386,FIND("|",$D$386&amp;"|")-1),Actuals!$E:$E,MID($D$386,FIND("|",$D$386&amp;"|")+1,50),Actuals!$F:$F,"USD")*$F$5+SUMIFS(Actuals!$G:$G,Actuals!$B:$B,$C$3,Actuals!$C:$C,10,Actuals!$D:$D,$B$386,Actuals!$A:$A,LEFT($D$386,FIND("|",$D$386&amp;"|")-1),Actuals!$E:$E,MID($D$386,FIND("|",$D$386&amp;"|")+1,50),Actuals!$F:$F,"EUR")*$G$5+SUMIFS(Actuals!$G:$G,Actuals!$B:$B,$C$3,Actuals!$C:$C,10,Actuals!$D:$D,$B$386,Actuals!$A:$A,LEFT($D$386,FIND("|",$D$386&amp;"|")-1),Actuals!$E:$E,MID($D$386,FIND("|",$D$386&amp;"|")+1,50),Actuals!$F:$F,"GBP")*$H$5)</f>
        <v/>
      </c>
      <c r="R387" s="18">
        <f>IF(OR($B$386="",11&gt;$C$4),"",SUMIFS(Actuals!$G:$G,Actuals!$B:$B,$C$3,Actuals!$C:$C,11,Actuals!$D:$D,$B$386,Actuals!$A:$A,LEFT($D$386,FIND("|",$D$386&amp;"|")-1),Actuals!$E:$E,MID($D$386,FIND("|",$D$386&amp;"|")+1,50),Actuals!$F:$F,"JPY")*$E$5+SUMIFS(Actuals!$G:$G,Actuals!$B:$B,$C$3,Actuals!$C:$C,11,Actuals!$D:$D,$B$386,Actuals!$A:$A,LEFT($D$386,FIND("|",$D$386&amp;"|")-1),Actuals!$E:$E,MID($D$386,FIND("|",$D$386&amp;"|")+1,50),Actuals!$F:$F,"USD")*$F$5+SUMIFS(Actuals!$G:$G,Actuals!$B:$B,$C$3,Actuals!$C:$C,11,Actuals!$D:$D,$B$386,Actuals!$A:$A,LEFT($D$386,FIND("|",$D$386&amp;"|")-1),Actuals!$E:$E,MID($D$386,FIND("|",$D$386&amp;"|")+1,50),Actuals!$F:$F,"EUR")*$G$5+SUMIFS(Actuals!$G:$G,Actuals!$B:$B,$C$3,Actuals!$C:$C,11,Actuals!$D:$D,$B$386,Actuals!$A:$A,LEFT($D$386,FIND("|",$D$386&amp;"|")-1),Actuals!$E:$E,MID($D$386,FIND("|",$D$386&amp;"|")+1,50),Actuals!$F:$F,"GBP")*$H$5)</f>
        <v/>
      </c>
      <c r="S387" s="18">
        <f>IF(OR($B$386="",12&gt;$C$4),"",SUMIFS(Actuals!$G:$G,Actuals!$B:$B,$C$3,Actuals!$C:$C,12,Actuals!$D:$D,$B$386,Actuals!$A:$A,LEFT($D$386,FIND("|",$D$386&amp;"|")-1),Actuals!$E:$E,MID($D$386,FIND("|",$D$386&amp;"|")+1,50),Actuals!$F:$F,"JPY")*$E$5+SUMIFS(Actuals!$G:$G,Actuals!$B:$B,$C$3,Actuals!$C:$C,12,Actuals!$D:$D,$B$386,Actuals!$A:$A,LEFT($D$386,FIND("|",$D$386&amp;"|")-1),Actuals!$E:$E,MID($D$386,FIND("|",$D$386&amp;"|")+1,50),Actuals!$F:$F,"USD")*$F$5+SUMIFS(Actuals!$G:$G,Actuals!$B:$B,$C$3,Actuals!$C:$C,12,Actuals!$D:$D,$B$386,Actuals!$A:$A,LEFT($D$386,FIND("|",$D$386&amp;"|")-1),Actuals!$E:$E,MID($D$386,FIND("|",$D$386&amp;"|")+1,50),Actuals!$F:$F,"EUR")*$G$5+SUMIFS(Actuals!$G:$G,Actuals!$B:$B,$C$3,Actuals!$C:$C,12,Actuals!$D:$D,$B$386,Actuals!$A:$A,LEFT($D$386,FIND("|",$D$386&amp;"|")-1),Actuals!$E:$E,MID($D$386,FIND("|",$D$386&amp;"|")+1,50),Actuals!$F:$F,"GBP")*$H$5)</f>
        <v/>
      </c>
      <c r="T387" s="18">
        <f>IF($B$386="","",SUMIF($H$7:$S$7,"&lt;="&amp;$C$4,$H387:$S387))</f>
        <v/>
      </c>
      <c r="U387" s="18" t="n"/>
      <c r="V387" s="18" t="n"/>
      <c r="X387" s="22">
        <f>IF($B387="","",IFERROR(INDEX(Cost_Centers!$E:$E,MATCH($B387,Cost_Centers!$A:$A,0)),"(unknown)"))</f>
        <v/>
      </c>
      <c r="Y387" s="22">
        <f>IF($B387="","",IFERROR(INDEX(Cost_Centers!$D:$D,MATCH($B387,Cost_Centers!$A:$A,0)),"(unknown)"))</f>
        <v/>
      </c>
      <c r="Z387" s="22">
        <f>IF(OR($B387="",$G387&lt;&gt;"Variance vs Budget"),"",ABS(N($V387))+ROW()/1000000000)</f>
        <v/>
      </c>
    </row>
    <row r="388">
      <c r="A388" s="13">
        <f>IF(A$386="","",A$386)</f>
        <v/>
      </c>
      <c r="B388" s="13">
        <f>IF(B$386="","",B$386)</f>
        <v/>
      </c>
      <c r="C388" s="13">
        <f>IF(C$386="","",C$386)</f>
        <v/>
      </c>
      <c r="D388" s="13">
        <f>IF(D$386="","",D$386)</f>
        <v/>
      </c>
      <c r="E388" s="13">
        <f>IF(E$386="","",E$386)</f>
        <v/>
      </c>
      <c r="F388" s="13">
        <f>IF(F$386="","",F$386)</f>
        <v/>
      </c>
      <c r="G388" s="6" t="inlineStr">
        <is>
          <t>Variance vs Budget</t>
        </is>
      </c>
      <c r="H388" s="33">
        <f>IF(OR($B$386="",1&gt;$C$4),"",N(H387)-H386)</f>
        <v/>
      </c>
      <c r="I388" s="33">
        <f>IF(OR($B$386="",2&gt;$C$4),"",N(I387)-I386)</f>
        <v/>
      </c>
      <c r="J388" s="33">
        <f>IF(OR($B$386="",3&gt;$C$4),"",N(J387)-J386)</f>
        <v/>
      </c>
      <c r="K388" s="33">
        <f>IF(OR($B$386="",4&gt;$C$4),"",N(K387)-K386)</f>
        <v/>
      </c>
      <c r="L388" s="33">
        <f>IF(OR($B$386="",5&gt;$C$4),"",N(L387)-L386)</f>
        <v/>
      </c>
      <c r="M388" s="33">
        <f>IF(OR($B$386="",6&gt;$C$4),"",N(M387)-M386)</f>
        <v/>
      </c>
      <c r="N388" s="33">
        <f>IF(OR($B$386="",7&gt;$C$4),"",N(N387)-N386)</f>
        <v/>
      </c>
      <c r="O388" s="33">
        <f>IF(OR($B$386="",8&gt;$C$4),"",N(O387)-O386)</f>
        <v/>
      </c>
      <c r="P388" s="33">
        <f>IF(OR($B$386="",9&gt;$C$4),"",N(P387)-P386)</f>
        <v/>
      </c>
      <c r="Q388" s="33">
        <f>IF(OR($B$386="",10&gt;$C$4),"",N(Q387)-Q386)</f>
        <v/>
      </c>
      <c r="R388" s="33">
        <f>IF(OR($B$386="",11&gt;$C$4),"",N(R387)-R386)</f>
        <v/>
      </c>
      <c r="S388" s="33">
        <f>IF(OR($B$386="",12&gt;$C$4),"",N(S387)-S386)</f>
        <v/>
      </c>
      <c r="T388" s="33">
        <f>IF($B$386="","",T387-T386)</f>
        <v/>
      </c>
      <c r="U388" s="33">
        <f>IF($B$386="","",U390-U386)</f>
        <v/>
      </c>
      <c r="V388" s="33">
        <f>IF($B$386="","",V390-V386)</f>
        <v/>
      </c>
      <c r="X388" s="22">
        <f>IF($B388="","",IFERROR(INDEX(Cost_Centers!$E:$E,MATCH($B388,Cost_Centers!$A:$A,0)),"(unknown)"))</f>
        <v/>
      </c>
      <c r="Y388" s="22">
        <f>IF($B388="","",IFERROR(INDEX(Cost_Centers!$D:$D,MATCH($B388,Cost_Centers!$A:$A,0)),"(unknown)"))</f>
        <v/>
      </c>
      <c r="Z388" s="22">
        <f>IF(OR($B388="",$G388&lt;&gt;"Variance vs Budget"),"",ABS(N($V388))+ROW()/1000000000)</f>
        <v/>
      </c>
    </row>
    <row r="389">
      <c r="A389" s="13">
        <f>IF(A$386="","",A$386)</f>
        <v/>
      </c>
      <c r="B389" s="13">
        <f>IF(B$386="","",B$386)</f>
        <v/>
      </c>
      <c r="C389" s="13">
        <f>IF(C$386="","",C$386)</f>
        <v/>
      </c>
      <c r="D389" s="13">
        <f>IF(D$386="","",D$386)</f>
        <v/>
      </c>
      <c r="E389" s="13">
        <f>IF(E$386="","",E$386)</f>
        <v/>
      </c>
      <c r="F389" s="13">
        <f>IF(F$386="","",F$386)</f>
        <v/>
      </c>
      <c r="G389" s="7" t="inlineStr">
        <is>
          <t>Forecast (input)</t>
        </is>
      </c>
      <c r="H389" s="34" t="n"/>
      <c r="I389" s="34" t="n"/>
      <c r="J389" s="34" t="n"/>
      <c r="K389" s="34" t="n"/>
      <c r="L389" s="34" t="n"/>
      <c r="M389" s="34" t="n"/>
      <c r="N389" s="34" t="n"/>
      <c r="O389" s="34" t="n"/>
      <c r="P389" s="34" t="n"/>
      <c r="Q389" s="34" t="n"/>
      <c r="R389" s="34" t="n"/>
      <c r="S389" s="34" t="n"/>
      <c r="T389" s="18" t="n"/>
      <c r="U389" s="18" t="n"/>
      <c r="V389" s="18" t="n"/>
      <c r="X389" s="22">
        <f>IF($B389="","",IFERROR(INDEX(Cost_Centers!$E:$E,MATCH($B389,Cost_Centers!$A:$A,0)),"(unknown)"))</f>
        <v/>
      </c>
      <c r="Y389" s="22">
        <f>IF($B389="","",IFERROR(INDEX(Cost_Centers!$D:$D,MATCH($B389,Cost_Centers!$A:$A,0)),"(unknown)"))</f>
        <v/>
      </c>
      <c r="Z389" s="22">
        <f>IF(OR($B389="",$G389&lt;&gt;"Variance vs Budget"),"",ABS(N($V389))+ROW()/1000000000)</f>
        <v/>
      </c>
    </row>
    <row r="390">
      <c r="A390" s="13">
        <f>IF(A$386="","",A$386)</f>
        <v/>
      </c>
      <c r="B390" s="13">
        <f>IF(B$386="","",B$386)</f>
        <v/>
      </c>
      <c r="C390" s="13">
        <f>IF(C$386="","",C$386)</f>
        <v/>
      </c>
      <c r="D390" s="13">
        <f>IF(D$386="","",D$386)</f>
        <v/>
      </c>
      <c r="E390" s="13">
        <f>IF(E$386="","",E$386)</f>
        <v/>
      </c>
      <c r="F390" s="13">
        <f>IF(F$386="","",F$386)</f>
        <v/>
      </c>
      <c r="G390" s="35" t="inlineStr">
        <is>
          <t>Actual + Forecast</t>
        </is>
      </c>
      <c r="H390" s="18">
        <f>IF($B$386="","",IF(1&lt;=$C$4,N(H387),IF(H389="",H386,H389)))</f>
        <v/>
      </c>
      <c r="I390" s="18">
        <f>IF($B$386="","",IF(2&lt;=$C$4,N(I387),IF(I389="",I386,I389)))</f>
        <v/>
      </c>
      <c r="J390" s="18">
        <f>IF($B$386="","",IF(3&lt;=$C$4,N(J387),IF(J389="",J386,J389)))</f>
        <v/>
      </c>
      <c r="K390" s="18">
        <f>IF($B$386="","",IF(4&lt;=$C$4,N(K387),IF(K389="",K386,K389)))</f>
        <v/>
      </c>
      <c r="L390" s="18">
        <f>IF($B$386="","",IF(5&lt;=$C$4,N(L387),IF(L389="",L386,L389)))</f>
        <v/>
      </c>
      <c r="M390" s="18">
        <f>IF($B$386="","",IF(6&lt;=$C$4,N(M387),IF(M389="",M386,M389)))</f>
        <v/>
      </c>
      <c r="N390" s="18">
        <f>IF($B$386="","",IF(7&lt;=$C$4,N(N387),IF(N389="",N386,N389)))</f>
        <v/>
      </c>
      <c r="O390" s="18">
        <f>IF($B$386="","",IF(8&lt;=$C$4,N(O387),IF(O389="",O386,O389)))</f>
        <v/>
      </c>
      <c r="P390" s="18">
        <f>IF($B$386="","",IF(9&lt;=$C$4,N(P387),IF(P389="",P386,P389)))</f>
        <v/>
      </c>
      <c r="Q390" s="18">
        <f>IF($B$386="","",IF(10&lt;=$C$4,N(Q387),IF(Q389="",Q386,Q389)))</f>
        <v/>
      </c>
      <c r="R390" s="18">
        <f>IF($B$386="","",IF(11&lt;=$C$4,N(R387),IF(R389="",R386,R389)))</f>
        <v/>
      </c>
      <c r="S390" s="18">
        <f>IF($B$386="","",IF(12&lt;=$C$4,N(S387),IF(S389="",S386,S389)))</f>
        <v/>
      </c>
      <c r="T390" s="18">
        <f>IF($B$386="","",SUMIF($H$7:$S$7,"&lt;="&amp;$C$4,$H390:$S390))</f>
        <v/>
      </c>
      <c r="U390" s="18">
        <f>IF($B$386="","",SUMIF($H$7:$S$7,"&gt;"&amp;$C$4,$H390:$S390))</f>
        <v/>
      </c>
      <c r="V390" s="18">
        <f>IF($B$386="","",SUM($H390:$S390))</f>
        <v/>
      </c>
      <c r="X390" s="22">
        <f>IF($B390="","",IFERROR(INDEX(Cost_Centers!$E:$E,MATCH($B390,Cost_Centers!$A:$A,0)),"(unknown)"))</f>
        <v/>
      </c>
      <c r="Y390" s="22">
        <f>IF($B390="","",IFERROR(INDEX(Cost_Centers!$D:$D,MATCH($B390,Cost_Centers!$A:$A,0)),"(unknown)"))</f>
        <v/>
      </c>
      <c r="Z390" s="22">
        <f>IF(OR($B390="",$G390&lt;&gt;"Variance vs Budget"),"",ABS(N($V390))+ROW()/1000000000)</f>
        <v/>
      </c>
    </row>
    <row r="391">
      <c r="A391" s="13">
        <f>IF(A$386="","",A$386)</f>
        <v/>
      </c>
      <c r="B391" s="13">
        <f>IF(B$386="","",B$386)</f>
        <v/>
      </c>
      <c r="C391" s="13">
        <f>IF(C$386="","",C$386)</f>
        <v/>
      </c>
      <c r="D391" s="13">
        <f>IF(D$386="","",D$386)</f>
        <v/>
      </c>
      <c r="E391" s="13">
        <f>IF(E$386="","",E$386)</f>
        <v/>
      </c>
      <c r="F391" s="13">
        <f>IF(F$386="","",F$386)</f>
        <v/>
      </c>
      <c r="G391" s="36" t="inlineStr">
        <is>
          <t>Prior Month Forecast</t>
        </is>
      </c>
      <c r="H391" s="37">
        <f>IF($B$386="","",IF(COUNTIFS(Prior_Forecast!$A:$A,$B$386,Prior_Forecast!$B:$B,$D$386)&gt;0,SUMIFS(Prior_Forecast!$C:$C,Prior_Forecast!$A:$A,$B$386,Prior_Forecast!$B:$B,$D$386),""))</f>
        <v/>
      </c>
      <c r="I391" s="37">
        <f>IF($B$386="","",IF(COUNTIFS(Prior_Forecast!$A:$A,$B$386,Prior_Forecast!$B:$B,$D$386)&gt;0,SUMIFS(Prior_Forecast!$D:$D,Prior_Forecast!$A:$A,$B$386,Prior_Forecast!$B:$B,$D$386),""))</f>
        <v/>
      </c>
      <c r="J391" s="37">
        <f>IF($B$386="","",IF(COUNTIFS(Prior_Forecast!$A:$A,$B$386,Prior_Forecast!$B:$B,$D$386)&gt;0,SUMIFS(Prior_Forecast!$E:$E,Prior_Forecast!$A:$A,$B$386,Prior_Forecast!$B:$B,$D$386),""))</f>
        <v/>
      </c>
      <c r="K391" s="37">
        <f>IF($B$386="","",IF(COUNTIFS(Prior_Forecast!$A:$A,$B$386,Prior_Forecast!$B:$B,$D$386)&gt;0,SUMIFS(Prior_Forecast!$F:$F,Prior_Forecast!$A:$A,$B$386,Prior_Forecast!$B:$B,$D$386),""))</f>
        <v/>
      </c>
      <c r="L391" s="37">
        <f>IF($B$386="","",IF(COUNTIFS(Prior_Forecast!$A:$A,$B$386,Prior_Forecast!$B:$B,$D$386)&gt;0,SUMIFS(Prior_Forecast!$G:$G,Prior_Forecast!$A:$A,$B$386,Prior_Forecast!$B:$B,$D$386),""))</f>
        <v/>
      </c>
      <c r="M391" s="37">
        <f>IF($B$386="","",IF(COUNTIFS(Prior_Forecast!$A:$A,$B$386,Prior_Forecast!$B:$B,$D$386)&gt;0,SUMIFS(Prior_Forecast!$H:$H,Prior_Forecast!$A:$A,$B$386,Prior_Forecast!$B:$B,$D$386),""))</f>
        <v/>
      </c>
      <c r="N391" s="37">
        <f>IF($B$386="","",IF(COUNTIFS(Prior_Forecast!$A:$A,$B$386,Prior_Forecast!$B:$B,$D$386)&gt;0,SUMIFS(Prior_Forecast!$I:$I,Prior_Forecast!$A:$A,$B$386,Prior_Forecast!$B:$B,$D$386),""))</f>
        <v/>
      </c>
      <c r="O391" s="37">
        <f>IF($B$386="","",IF(COUNTIFS(Prior_Forecast!$A:$A,$B$386,Prior_Forecast!$B:$B,$D$386)&gt;0,SUMIFS(Prior_Forecast!$J:$J,Prior_Forecast!$A:$A,$B$386,Prior_Forecast!$B:$B,$D$386),""))</f>
        <v/>
      </c>
      <c r="P391" s="37">
        <f>IF($B$386="","",IF(COUNTIFS(Prior_Forecast!$A:$A,$B$386,Prior_Forecast!$B:$B,$D$386)&gt;0,SUMIFS(Prior_Forecast!$K:$K,Prior_Forecast!$A:$A,$B$386,Prior_Forecast!$B:$B,$D$386),""))</f>
        <v/>
      </c>
      <c r="Q391" s="37">
        <f>IF($B$386="","",IF(COUNTIFS(Prior_Forecast!$A:$A,$B$386,Prior_Forecast!$B:$B,$D$386)&gt;0,SUMIFS(Prior_Forecast!$L:$L,Prior_Forecast!$A:$A,$B$386,Prior_Forecast!$B:$B,$D$386),""))</f>
        <v/>
      </c>
      <c r="R391" s="37">
        <f>IF($B$386="","",IF(COUNTIFS(Prior_Forecast!$A:$A,$B$386,Prior_Forecast!$B:$B,$D$386)&gt;0,SUMIFS(Prior_Forecast!$M:$M,Prior_Forecast!$A:$A,$B$386,Prior_Forecast!$B:$B,$D$386),""))</f>
        <v/>
      </c>
      <c r="S391" s="37">
        <f>IF($B$386="","",IF(COUNTIFS(Prior_Forecast!$A:$A,$B$386,Prior_Forecast!$B:$B,$D$386)&gt;0,SUMIFS(Prior_Forecast!$N:$N,Prior_Forecast!$A:$A,$B$386,Prior_Forecast!$B:$B,$D$386),""))</f>
        <v/>
      </c>
      <c r="T391" s="37">
        <f>IF($B$386="","",IF(COUNTIFS(Prior_Forecast!$A:$A,$B$386,Prior_Forecast!$B:$B,$D$386)&gt;0,SUMIFS(Prior_Forecast!$O:$O,Prior_Forecast!$A:$A,$B$386,Prior_Forecast!$B:$B,$D$386),""))</f>
        <v/>
      </c>
      <c r="U391" s="37">
        <f>IF($B$386="","",IF(COUNTIFS(Prior_Forecast!$A:$A,$B$386,Prior_Forecast!$B:$B,$D$386)&gt;0,SUMIFS(Prior_Forecast!$P:$P,Prior_Forecast!$A:$A,$B$386,Prior_Forecast!$B:$B,$D$386),""))</f>
        <v/>
      </c>
      <c r="V391" s="37">
        <f>IF($B$386="","",IF(COUNTIFS(Prior_Forecast!$A:$A,$B$386,Prior_Forecast!$B:$B,$D$386)&gt;0,SUMIFS(Prior_Forecast!$Q:$Q,Prior_Forecast!$A:$A,$B$386,Prior_Forecast!$B:$B,$D$386),""))</f>
        <v/>
      </c>
      <c r="X391" s="22">
        <f>IF($B391="","",IFERROR(INDEX(Cost_Centers!$E:$E,MATCH($B391,Cost_Centers!$A:$A,0)),"(unknown)"))</f>
        <v/>
      </c>
      <c r="Y391" s="22">
        <f>IF($B391="","",IFERROR(INDEX(Cost_Centers!$D:$D,MATCH($B391,Cost_Centers!$A:$A,0)),"(unknown)"))</f>
        <v/>
      </c>
      <c r="Z391" s="22">
        <f>IF(OR($B391="",$G391&lt;&gt;"Variance vs Budget"),"",ABS(N($V391))+ROW()/1000000000)</f>
        <v/>
      </c>
    </row>
    <row r="392">
      <c r="A392" s="13">
        <f>IF(A$386="","",A$386)</f>
        <v/>
      </c>
      <c r="B392" s="13">
        <f>IF(B$386="","",B$386)</f>
        <v/>
      </c>
      <c r="C392" s="13">
        <f>IF(C$386="","",C$386)</f>
        <v/>
      </c>
      <c r="D392" s="13">
        <f>IF(D$386="","",D$386)</f>
        <v/>
      </c>
      <c r="E392" s="13">
        <f>IF(E$386="","",E$386)</f>
        <v/>
      </c>
      <c r="F392" s="13">
        <f>IF(F$386="","",F$386)</f>
        <v/>
      </c>
      <c r="G392" s="6" t="inlineStr">
        <is>
          <t>Variance vs Prior Month</t>
        </is>
      </c>
      <c r="H392" s="33">
        <f>IF(OR($B$386="",H391=""),"",H390-H391)</f>
        <v/>
      </c>
      <c r="I392" s="33">
        <f>IF(OR($B$386="",I391=""),"",I390-I391)</f>
        <v/>
      </c>
      <c r="J392" s="33">
        <f>IF(OR($B$386="",J391=""),"",J390-J391)</f>
        <v/>
      </c>
      <c r="K392" s="33">
        <f>IF(OR($B$386="",K391=""),"",K390-K391)</f>
        <v/>
      </c>
      <c r="L392" s="33">
        <f>IF(OR($B$386="",L391=""),"",L390-L391)</f>
        <v/>
      </c>
      <c r="M392" s="33">
        <f>IF(OR($B$386="",M391=""),"",M390-M391)</f>
        <v/>
      </c>
      <c r="N392" s="33">
        <f>IF(OR($B$386="",N391=""),"",N390-N391)</f>
        <v/>
      </c>
      <c r="O392" s="33">
        <f>IF(OR($B$386="",O391=""),"",O390-O391)</f>
        <v/>
      </c>
      <c r="P392" s="33">
        <f>IF(OR($B$386="",P391=""),"",P390-P391)</f>
        <v/>
      </c>
      <c r="Q392" s="33">
        <f>IF(OR($B$386="",Q391=""),"",Q390-Q391)</f>
        <v/>
      </c>
      <c r="R392" s="33">
        <f>IF(OR($B$386="",R391=""),"",R390-R391)</f>
        <v/>
      </c>
      <c r="S392" s="33">
        <f>IF(OR($B$386="",S391=""),"",S390-S391)</f>
        <v/>
      </c>
      <c r="T392" s="33">
        <f>IF(OR($B$386="",T391=""),"",T390-T391)</f>
        <v/>
      </c>
      <c r="U392" s="33">
        <f>IF(OR($B$386="",U391=""),"",U390-U391)</f>
        <v/>
      </c>
      <c r="V392" s="33">
        <f>IF(OR($B$386="",V391=""),"",V390-V391)</f>
        <v/>
      </c>
      <c r="X392" s="22">
        <f>IF($B392="","",IFERROR(INDEX(Cost_Centers!$E:$E,MATCH($B392,Cost_Centers!$A:$A,0)),"(unknown)"))</f>
        <v/>
      </c>
      <c r="Y392" s="22">
        <f>IF($B392="","",IFERROR(INDEX(Cost_Centers!$D:$D,MATCH($B392,Cost_Centers!$A:$A,0)),"(unknown)"))</f>
        <v/>
      </c>
      <c r="Z392" s="22">
        <f>IF(OR($B392="",$G392&lt;&gt;"Variance vs Budget"),"",ABS(N($V392))+ROW()/1000000000)</f>
        <v/>
      </c>
    </row>
    <row r="393" ht="45" customHeight="1">
      <c r="A393" s="13">
        <f>IF(A$386="","",A$386)</f>
        <v/>
      </c>
      <c r="B393" s="13">
        <f>IF(B$386="","",B$386)</f>
        <v/>
      </c>
      <c r="C393" s="13">
        <f>IF(C$386="","",C$386)</f>
        <v/>
      </c>
      <c r="D393" s="13">
        <f>IF(D$386="","",D$386)</f>
        <v/>
      </c>
      <c r="E393" s="13">
        <f>IF(E$386="","",E$386)</f>
        <v/>
      </c>
      <c r="F393" s="13">
        <f>IF(F$386="","",F$386)</f>
        <v/>
      </c>
      <c r="G393" s="7" t="inlineStr">
        <is>
          <t>Rationale</t>
        </is>
      </c>
      <c r="H393" s="38" t="n"/>
      <c r="I393" s="38" t="n"/>
      <c r="J393" s="38" t="n"/>
      <c r="K393" s="38" t="n"/>
      <c r="L393" s="38" t="n"/>
      <c r="M393" s="38" t="n"/>
      <c r="N393" s="38" t="n"/>
      <c r="O393" s="38" t="n"/>
      <c r="P393" s="38" t="n"/>
      <c r="Q393" s="38" t="n"/>
      <c r="R393" s="38" t="n"/>
      <c r="S393" s="38" t="n"/>
      <c r="T393" s="38" t="n"/>
      <c r="U393" s="38" t="n"/>
      <c r="V393" s="7" t="n"/>
      <c r="X393" s="22">
        <f>IF($B393="","",IFERROR(INDEX(Cost_Centers!$E:$E,MATCH($B393,Cost_Centers!$A:$A,0)),"(unknown)"))</f>
        <v/>
      </c>
      <c r="Y393" s="22">
        <f>IF($B393="","",IFERROR(INDEX(Cost_Centers!$D:$D,MATCH($B393,Cost_Centers!$A:$A,0)),"(unknown)"))</f>
        <v/>
      </c>
      <c r="Z393" s="22">
        <f>IF(OR($B393="",$G393&lt;&gt;"Variance vs Budget"),"",ABS(N($V393))+ROW()/1000000000)</f>
        <v/>
      </c>
    </row>
    <row r="394">
      <c r="A394" s="30">
        <f>IF($D$394="","",LEFT($D$394,FIND("|",$D$394&amp;"|")-1))</f>
        <v/>
      </c>
      <c r="B394" s="31" t="n"/>
      <c r="C394" s="30">
        <f>IF($B$394="","",IFERROR(INDEX(Cost_Centers!$B:$B,MATCH($B$394,Cost_Centers!$A:$A,0)),"(not in master)"))</f>
        <v/>
      </c>
      <c r="D394" s="31" t="n"/>
      <c r="E394" s="30">
        <f>IF($D$394="","",IFERROR(INDEX(Accounts!$D:$D,MATCH($D$394,Accounts!$A:$A,0)),"(not in master)"))</f>
        <v/>
      </c>
      <c r="F394" s="31" t="n"/>
      <c r="G394" s="30" t="inlineStr">
        <is>
          <t>Budget</t>
        </is>
      </c>
      <c r="H394" s="32">
        <f>IF($B$394="","",SUMIFS(Opex_Budget!$O:$O,Opex_Budget!$A:$A,$C$3,Opex_Budget!$E:$E,$B$394,Opex_Budget!$F:$F,$D$394,Opex_Budget!$N:$N,"JPY")*$E$5+SUMIFS(Opex_Budget!$O:$O,Opex_Budget!$A:$A,$C$3,Opex_Budget!$E:$E,$B$394,Opex_Budget!$F:$F,$D$394,Opex_Budget!$N:$N,"USD")*$F$5+SUMIFS(Opex_Budget!$O:$O,Opex_Budget!$A:$A,$C$3,Opex_Budget!$E:$E,$B$394,Opex_Budget!$F:$F,$D$394,Opex_Budget!$N:$N,"EUR")*$G$5+SUMIFS(Opex_Budget!$O:$O,Opex_Budget!$A:$A,$C$3,Opex_Budget!$E:$E,$B$394,Opex_Budget!$F:$F,$D$394,Opex_Budget!$N:$N,"GBP")*$H$5)</f>
        <v/>
      </c>
      <c r="I394" s="32">
        <f>IF($B$394="","",SUMIFS(Opex_Budget!$P:$P,Opex_Budget!$A:$A,$C$3,Opex_Budget!$E:$E,$B$394,Opex_Budget!$F:$F,$D$394,Opex_Budget!$N:$N,"JPY")*$E$5+SUMIFS(Opex_Budget!$P:$P,Opex_Budget!$A:$A,$C$3,Opex_Budget!$E:$E,$B$394,Opex_Budget!$F:$F,$D$394,Opex_Budget!$N:$N,"USD")*$F$5+SUMIFS(Opex_Budget!$P:$P,Opex_Budget!$A:$A,$C$3,Opex_Budget!$E:$E,$B$394,Opex_Budget!$F:$F,$D$394,Opex_Budget!$N:$N,"EUR")*$G$5+SUMIFS(Opex_Budget!$P:$P,Opex_Budget!$A:$A,$C$3,Opex_Budget!$E:$E,$B$394,Opex_Budget!$F:$F,$D$394,Opex_Budget!$N:$N,"GBP")*$H$5)</f>
        <v/>
      </c>
      <c r="J394" s="32">
        <f>IF($B$394="","",SUMIFS(Opex_Budget!$Q:$Q,Opex_Budget!$A:$A,$C$3,Opex_Budget!$E:$E,$B$394,Opex_Budget!$F:$F,$D$394,Opex_Budget!$N:$N,"JPY")*$E$5+SUMIFS(Opex_Budget!$Q:$Q,Opex_Budget!$A:$A,$C$3,Opex_Budget!$E:$E,$B$394,Opex_Budget!$F:$F,$D$394,Opex_Budget!$N:$N,"USD")*$F$5+SUMIFS(Opex_Budget!$Q:$Q,Opex_Budget!$A:$A,$C$3,Opex_Budget!$E:$E,$B$394,Opex_Budget!$F:$F,$D$394,Opex_Budget!$N:$N,"EUR")*$G$5+SUMIFS(Opex_Budget!$Q:$Q,Opex_Budget!$A:$A,$C$3,Opex_Budget!$E:$E,$B$394,Opex_Budget!$F:$F,$D$394,Opex_Budget!$N:$N,"GBP")*$H$5)</f>
        <v/>
      </c>
      <c r="K394" s="32">
        <f>IF($B$394="","",SUMIFS(Opex_Budget!$R:$R,Opex_Budget!$A:$A,$C$3,Opex_Budget!$E:$E,$B$394,Opex_Budget!$F:$F,$D$394,Opex_Budget!$N:$N,"JPY")*$E$5+SUMIFS(Opex_Budget!$R:$R,Opex_Budget!$A:$A,$C$3,Opex_Budget!$E:$E,$B$394,Opex_Budget!$F:$F,$D$394,Opex_Budget!$N:$N,"USD")*$F$5+SUMIFS(Opex_Budget!$R:$R,Opex_Budget!$A:$A,$C$3,Opex_Budget!$E:$E,$B$394,Opex_Budget!$F:$F,$D$394,Opex_Budget!$N:$N,"EUR")*$G$5+SUMIFS(Opex_Budget!$R:$R,Opex_Budget!$A:$A,$C$3,Opex_Budget!$E:$E,$B$394,Opex_Budget!$F:$F,$D$394,Opex_Budget!$N:$N,"GBP")*$H$5)</f>
        <v/>
      </c>
      <c r="L394" s="32">
        <f>IF($B$394="","",SUMIFS(Opex_Budget!$S:$S,Opex_Budget!$A:$A,$C$3,Opex_Budget!$E:$E,$B$394,Opex_Budget!$F:$F,$D$394,Opex_Budget!$N:$N,"JPY")*$E$5+SUMIFS(Opex_Budget!$S:$S,Opex_Budget!$A:$A,$C$3,Opex_Budget!$E:$E,$B$394,Opex_Budget!$F:$F,$D$394,Opex_Budget!$N:$N,"USD")*$F$5+SUMIFS(Opex_Budget!$S:$S,Opex_Budget!$A:$A,$C$3,Opex_Budget!$E:$E,$B$394,Opex_Budget!$F:$F,$D$394,Opex_Budget!$N:$N,"EUR")*$G$5+SUMIFS(Opex_Budget!$S:$S,Opex_Budget!$A:$A,$C$3,Opex_Budget!$E:$E,$B$394,Opex_Budget!$F:$F,$D$394,Opex_Budget!$N:$N,"GBP")*$H$5)</f>
        <v/>
      </c>
      <c r="M394" s="32">
        <f>IF($B$394="","",SUMIFS(Opex_Budget!$T:$T,Opex_Budget!$A:$A,$C$3,Opex_Budget!$E:$E,$B$394,Opex_Budget!$F:$F,$D$394,Opex_Budget!$N:$N,"JPY")*$E$5+SUMIFS(Opex_Budget!$T:$T,Opex_Budget!$A:$A,$C$3,Opex_Budget!$E:$E,$B$394,Opex_Budget!$F:$F,$D$394,Opex_Budget!$N:$N,"USD")*$F$5+SUMIFS(Opex_Budget!$T:$T,Opex_Budget!$A:$A,$C$3,Opex_Budget!$E:$E,$B$394,Opex_Budget!$F:$F,$D$394,Opex_Budget!$N:$N,"EUR")*$G$5+SUMIFS(Opex_Budget!$T:$T,Opex_Budget!$A:$A,$C$3,Opex_Budget!$E:$E,$B$394,Opex_Budget!$F:$F,$D$394,Opex_Budget!$N:$N,"GBP")*$H$5)</f>
        <v/>
      </c>
      <c r="N394" s="32">
        <f>IF($B$394="","",SUMIFS(Opex_Budget!$U:$U,Opex_Budget!$A:$A,$C$3,Opex_Budget!$E:$E,$B$394,Opex_Budget!$F:$F,$D$394,Opex_Budget!$N:$N,"JPY")*$E$5+SUMIFS(Opex_Budget!$U:$U,Opex_Budget!$A:$A,$C$3,Opex_Budget!$E:$E,$B$394,Opex_Budget!$F:$F,$D$394,Opex_Budget!$N:$N,"USD")*$F$5+SUMIFS(Opex_Budget!$U:$U,Opex_Budget!$A:$A,$C$3,Opex_Budget!$E:$E,$B$394,Opex_Budget!$F:$F,$D$394,Opex_Budget!$N:$N,"EUR")*$G$5+SUMIFS(Opex_Budget!$U:$U,Opex_Budget!$A:$A,$C$3,Opex_Budget!$E:$E,$B$394,Opex_Budget!$F:$F,$D$394,Opex_Budget!$N:$N,"GBP")*$H$5)</f>
        <v/>
      </c>
      <c r="O394" s="32">
        <f>IF($B$394="","",SUMIFS(Opex_Budget!$V:$V,Opex_Budget!$A:$A,$C$3,Opex_Budget!$E:$E,$B$394,Opex_Budget!$F:$F,$D$394,Opex_Budget!$N:$N,"JPY")*$E$5+SUMIFS(Opex_Budget!$V:$V,Opex_Budget!$A:$A,$C$3,Opex_Budget!$E:$E,$B$394,Opex_Budget!$F:$F,$D$394,Opex_Budget!$N:$N,"USD")*$F$5+SUMIFS(Opex_Budget!$V:$V,Opex_Budget!$A:$A,$C$3,Opex_Budget!$E:$E,$B$394,Opex_Budget!$F:$F,$D$394,Opex_Budget!$N:$N,"EUR")*$G$5+SUMIFS(Opex_Budget!$V:$V,Opex_Budget!$A:$A,$C$3,Opex_Budget!$E:$E,$B$394,Opex_Budget!$F:$F,$D$394,Opex_Budget!$N:$N,"GBP")*$H$5)</f>
        <v/>
      </c>
      <c r="P394" s="32">
        <f>IF($B$394="","",SUMIFS(Opex_Budget!$W:$W,Opex_Budget!$A:$A,$C$3,Opex_Budget!$E:$E,$B$394,Opex_Budget!$F:$F,$D$394,Opex_Budget!$N:$N,"JPY")*$E$5+SUMIFS(Opex_Budget!$W:$W,Opex_Budget!$A:$A,$C$3,Opex_Budget!$E:$E,$B$394,Opex_Budget!$F:$F,$D$394,Opex_Budget!$N:$N,"USD")*$F$5+SUMIFS(Opex_Budget!$W:$W,Opex_Budget!$A:$A,$C$3,Opex_Budget!$E:$E,$B$394,Opex_Budget!$F:$F,$D$394,Opex_Budget!$N:$N,"EUR")*$G$5+SUMIFS(Opex_Budget!$W:$W,Opex_Budget!$A:$A,$C$3,Opex_Budget!$E:$E,$B$394,Opex_Budget!$F:$F,$D$394,Opex_Budget!$N:$N,"GBP")*$H$5)</f>
        <v/>
      </c>
      <c r="Q394" s="32">
        <f>IF($B$394="","",SUMIFS(Opex_Budget!$X:$X,Opex_Budget!$A:$A,$C$3,Opex_Budget!$E:$E,$B$394,Opex_Budget!$F:$F,$D$394,Opex_Budget!$N:$N,"JPY")*$E$5+SUMIFS(Opex_Budget!$X:$X,Opex_Budget!$A:$A,$C$3,Opex_Budget!$E:$E,$B$394,Opex_Budget!$F:$F,$D$394,Opex_Budget!$N:$N,"USD")*$F$5+SUMIFS(Opex_Budget!$X:$X,Opex_Budget!$A:$A,$C$3,Opex_Budget!$E:$E,$B$394,Opex_Budget!$F:$F,$D$394,Opex_Budget!$N:$N,"EUR")*$G$5+SUMIFS(Opex_Budget!$X:$X,Opex_Budget!$A:$A,$C$3,Opex_Budget!$E:$E,$B$394,Opex_Budget!$F:$F,$D$394,Opex_Budget!$N:$N,"GBP")*$H$5)</f>
        <v/>
      </c>
      <c r="R394" s="32">
        <f>IF($B$394="","",SUMIFS(Opex_Budget!$Y:$Y,Opex_Budget!$A:$A,$C$3,Opex_Budget!$E:$E,$B$394,Opex_Budget!$F:$F,$D$394,Opex_Budget!$N:$N,"JPY")*$E$5+SUMIFS(Opex_Budget!$Y:$Y,Opex_Budget!$A:$A,$C$3,Opex_Budget!$E:$E,$B$394,Opex_Budget!$F:$F,$D$394,Opex_Budget!$N:$N,"USD")*$F$5+SUMIFS(Opex_Budget!$Y:$Y,Opex_Budget!$A:$A,$C$3,Opex_Budget!$E:$E,$B$394,Opex_Budget!$F:$F,$D$394,Opex_Budget!$N:$N,"EUR")*$G$5+SUMIFS(Opex_Budget!$Y:$Y,Opex_Budget!$A:$A,$C$3,Opex_Budget!$E:$E,$B$394,Opex_Budget!$F:$F,$D$394,Opex_Budget!$N:$N,"GBP")*$H$5)</f>
        <v/>
      </c>
      <c r="S394" s="32">
        <f>IF($B$394="","",SUMIFS(Opex_Budget!$Z:$Z,Opex_Budget!$A:$A,$C$3,Opex_Budget!$E:$E,$B$394,Opex_Budget!$F:$F,$D$394,Opex_Budget!$N:$N,"JPY")*$E$5+SUMIFS(Opex_Budget!$Z:$Z,Opex_Budget!$A:$A,$C$3,Opex_Budget!$E:$E,$B$394,Opex_Budget!$F:$F,$D$394,Opex_Budget!$N:$N,"USD")*$F$5+SUMIFS(Opex_Budget!$Z:$Z,Opex_Budget!$A:$A,$C$3,Opex_Budget!$E:$E,$B$394,Opex_Budget!$F:$F,$D$394,Opex_Budget!$N:$N,"EUR")*$G$5+SUMIFS(Opex_Budget!$Z:$Z,Opex_Budget!$A:$A,$C$3,Opex_Budget!$E:$E,$B$394,Opex_Budget!$F:$F,$D$394,Opex_Budget!$N:$N,"GBP")*$H$5)</f>
        <v/>
      </c>
      <c r="T394" s="32">
        <f>IF($B$394="","",SUMIF($H$7:$S$7,"&lt;="&amp;$C$4,$H394:$S394))</f>
        <v/>
      </c>
      <c r="U394" s="32">
        <f>IF($B$394="","",SUMIF($H$7:$S$7,"&gt;"&amp;$C$4,$H394:$S394))</f>
        <v/>
      </c>
      <c r="V394" s="32">
        <f>IF($B$394="","",SUM($H394:$S394))</f>
        <v/>
      </c>
      <c r="X394" s="22">
        <f>IF($B394="","",IFERROR(INDEX(Cost_Centers!$E:$E,MATCH($B394,Cost_Centers!$A:$A,0)),"(unknown)"))</f>
        <v/>
      </c>
      <c r="Y394" s="22">
        <f>IF($B394="","",IFERROR(INDEX(Cost_Centers!$D:$D,MATCH($B394,Cost_Centers!$A:$A,0)),"(unknown)"))</f>
        <v/>
      </c>
      <c r="Z394" s="22">
        <f>IF(OR($B394="",$G394&lt;&gt;"Variance vs Budget"),"",ABS(N($V394))+ROW()/1000000000)</f>
        <v/>
      </c>
    </row>
    <row r="395">
      <c r="A395" s="13">
        <f>IF(A$394="","",A$394)</f>
        <v/>
      </c>
      <c r="B395" s="13">
        <f>IF(B$394="","",B$394)</f>
        <v/>
      </c>
      <c r="C395" s="13">
        <f>IF(C$394="","",C$394)</f>
        <v/>
      </c>
      <c r="D395" s="13">
        <f>IF(D$394="","",D$394)</f>
        <v/>
      </c>
      <c r="E395" s="13">
        <f>IF(E$394="","",E$394)</f>
        <v/>
      </c>
      <c r="F395" s="13">
        <f>IF(F$394="","",F$394)</f>
        <v/>
      </c>
      <c r="G395" s="7" t="inlineStr">
        <is>
          <t>Actual</t>
        </is>
      </c>
      <c r="H395" s="18">
        <f>IF(OR($B$394="",1&gt;$C$4),"",SUMIFS(Actuals!$G:$G,Actuals!$B:$B,$C$3,Actuals!$C:$C,1,Actuals!$D:$D,$B$394,Actuals!$A:$A,LEFT($D$394,FIND("|",$D$394&amp;"|")-1),Actuals!$E:$E,MID($D$394,FIND("|",$D$394&amp;"|")+1,50),Actuals!$F:$F,"JPY")*$E$5+SUMIFS(Actuals!$G:$G,Actuals!$B:$B,$C$3,Actuals!$C:$C,1,Actuals!$D:$D,$B$394,Actuals!$A:$A,LEFT($D$394,FIND("|",$D$394&amp;"|")-1),Actuals!$E:$E,MID($D$394,FIND("|",$D$394&amp;"|")+1,50),Actuals!$F:$F,"USD")*$F$5+SUMIFS(Actuals!$G:$G,Actuals!$B:$B,$C$3,Actuals!$C:$C,1,Actuals!$D:$D,$B$394,Actuals!$A:$A,LEFT($D$394,FIND("|",$D$394&amp;"|")-1),Actuals!$E:$E,MID($D$394,FIND("|",$D$394&amp;"|")+1,50),Actuals!$F:$F,"EUR")*$G$5+SUMIFS(Actuals!$G:$G,Actuals!$B:$B,$C$3,Actuals!$C:$C,1,Actuals!$D:$D,$B$394,Actuals!$A:$A,LEFT($D$394,FIND("|",$D$394&amp;"|")-1),Actuals!$E:$E,MID($D$394,FIND("|",$D$394&amp;"|")+1,50),Actuals!$F:$F,"GBP")*$H$5)</f>
        <v/>
      </c>
      <c r="I395" s="18">
        <f>IF(OR($B$394="",2&gt;$C$4),"",SUMIFS(Actuals!$G:$G,Actuals!$B:$B,$C$3,Actuals!$C:$C,2,Actuals!$D:$D,$B$394,Actuals!$A:$A,LEFT($D$394,FIND("|",$D$394&amp;"|")-1),Actuals!$E:$E,MID($D$394,FIND("|",$D$394&amp;"|")+1,50),Actuals!$F:$F,"JPY")*$E$5+SUMIFS(Actuals!$G:$G,Actuals!$B:$B,$C$3,Actuals!$C:$C,2,Actuals!$D:$D,$B$394,Actuals!$A:$A,LEFT($D$394,FIND("|",$D$394&amp;"|")-1),Actuals!$E:$E,MID($D$394,FIND("|",$D$394&amp;"|")+1,50),Actuals!$F:$F,"USD")*$F$5+SUMIFS(Actuals!$G:$G,Actuals!$B:$B,$C$3,Actuals!$C:$C,2,Actuals!$D:$D,$B$394,Actuals!$A:$A,LEFT($D$394,FIND("|",$D$394&amp;"|")-1),Actuals!$E:$E,MID($D$394,FIND("|",$D$394&amp;"|")+1,50),Actuals!$F:$F,"EUR")*$G$5+SUMIFS(Actuals!$G:$G,Actuals!$B:$B,$C$3,Actuals!$C:$C,2,Actuals!$D:$D,$B$394,Actuals!$A:$A,LEFT($D$394,FIND("|",$D$394&amp;"|")-1),Actuals!$E:$E,MID($D$394,FIND("|",$D$394&amp;"|")+1,50),Actuals!$F:$F,"GBP")*$H$5)</f>
        <v/>
      </c>
      <c r="J395" s="18">
        <f>IF(OR($B$394="",3&gt;$C$4),"",SUMIFS(Actuals!$G:$G,Actuals!$B:$B,$C$3,Actuals!$C:$C,3,Actuals!$D:$D,$B$394,Actuals!$A:$A,LEFT($D$394,FIND("|",$D$394&amp;"|")-1),Actuals!$E:$E,MID($D$394,FIND("|",$D$394&amp;"|")+1,50),Actuals!$F:$F,"JPY")*$E$5+SUMIFS(Actuals!$G:$G,Actuals!$B:$B,$C$3,Actuals!$C:$C,3,Actuals!$D:$D,$B$394,Actuals!$A:$A,LEFT($D$394,FIND("|",$D$394&amp;"|")-1),Actuals!$E:$E,MID($D$394,FIND("|",$D$394&amp;"|")+1,50),Actuals!$F:$F,"USD")*$F$5+SUMIFS(Actuals!$G:$G,Actuals!$B:$B,$C$3,Actuals!$C:$C,3,Actuals!$D:$D,$B$394,Actuals!$A:$A,LEFT($D$394,FIND("|",$D$394&amp;"|")-1),Actuals!$E:$E,MID($D$394,FIND("|",$D$394&amp;"|")+1,50),Actuals!$F:$F,"EUR")*$G$5+SUMIFS(Actuals!$G:$G,Actuals!$B:$B,$C$3,Actuals!$C:$C,3,Actuals!$D:$D,$B$394,Actuals!$A:$A,LEFT($D$394,FIND("|",$D$394&amp;"|")-1),Actuals!$E:$E,MID($D$394,FIND("|",$D$394&amp;"|")+1,50),Actuals!$F:$F,"GBP")*$H$5)</f>
        <v/>
      </c>
      <c r="K395" s="18">
        <f>IF(OR($B$394="",4&gt;$C$4),"",SUMIFS(Actuals!$G:$G,Actuals!$B:$B,$C$3,Actuals!$C:$C,4,Actuals!$D:$D,$B$394,Actuals!$A:$A,LEFT($D$394,FIND("|",$D$394&amp;"|")-1),Actuals!$E:$E,MID($D$394,FIND("|",$D$394&amp;"|")+1,50),Actuals!$F:$F,"JPY")*$E$5+SUMIFS(Actuals!$G:$G,Actuals!$B:$B,$C$3,Actuals!$C:$C,4,Actuals!$D:$D,$B$394,Actuals!$A:$A,LEFT($D$394,FIND("|",$D$394&amp;"|")-1),Actuals!$E:$E,MID($D$394,FIND("|",$D$394&amp;"|")+1,50),Actuals!$F:$F,"USD")*$F$5+SUMIFS(Actuals!$G:$G,Actuals!$B:$B,$C$3,Actuals!$C:$C,4,Actuals!$D:$D,$B$394,Actuals!$A:$A,LEFT($D$394,FIND("|",$D$394&amp;"|")-1),Actuals!$E:$E,MID($D$394,FIND("|",$D$394&amp;"|")+1,50),Actuals!$F:$F,"EUR")*$G$5+SUMIFS(Actuals!$G:$G,Actuals!$B:$B,$C$3,Actuals!$C:$C,4,Actuals!$D:$D,$B$394,Actuals!$A:$A,LEFT($D$394,FIND("|",$D$394&amp;"|")-1),Actuals!$E:$E,MID($D$394,FIND("|",$D$394&amp;"|")+1,50),Actuals!$F:$F,"GBP")*$H$5)</f>
        <v/>
      </c>
      <c r="L395" s="18">
        <f>IF(OR($B$394="",5&gt;$C$4),"",SUMIFS(Actuals!$G:$G,Actuals!$B:$B,$C$3,Actuals!$C:$C,5,Actuals!$D:$D,$B$394,Actuals!$A:$A,LEFT($D$394,FIND("|",$D$394&amp;"|")-1),Actuals!$E:$E,MID($D$394,FIND("|",$D$394&amp;"|")+1,50),Actuals!$F:$F,"JPY")*$E$5+SUMIFS(Actuals!$G:$G,Actuals!$B:$B,$C$3,Actuals!$C:$C,5,Actuals!$D:$D,$B$394,Actuals!$A:$A,LEFT($D$394,FIND("|",$D$394&amp;"|")-1),Actuals!$E:$E,MID($D$394,FIND("|",$D$394&amp;"|")+1,50),Actuals!$F:$F,"USD")*$F$5+SUMIFS(Actuals!$G:$G,Actuals!$B:$B,$C$3,Actuals!$C:$C,5,Actuals!$D:$D,$B$394,Actuals!$A:$A,LEFT($D$394,FIND("|",$D$394&amp;"|")-1),Actuals!$E:$E,MID($D$394,FIND("|",$D$394&amp;"|")+1,50),Actuals!$F:$F,"EUR")*$G$5+SUMIFS(Actuals!$G:$G,Actuals!$B:$B,$C$3,Actuals!$C:$C,5,Actuals!$D:$D,$B$394,Actuals!$A:$A,LEFT($D$394,FIND("|",$D$394&amp;"|")-1),Actuals!$E:$E,MID($D$394,FIND("|",$D$394&amp;"|")+1,50),Actuals!$F:$F,"GBP")*$H$5)</f>
        <v/>
      </c>
      <c r="M395" s="18">
        <f>IF(OR($B$394="",6&gt;$C$4),"",SUMIFS(Actuals!$G:$G,Actuals!$B:$B,$C$3,Actuals!$C:$C,6,Actuals!$D:$D,$B$394,Actuals!$A:$A,LEFT($D$394,FIND("|",$D$394&amp;"|")-1),Actuals!$E:$E,MID($D$394,FIND("|",$D$394&amp;"|")+1,50),Actuals!$F:$F,"JPY")*$E$5+SUMIFS(Actuals!$G:$G,Actuals!$B:$B,$C$3,Actuals!$C:$C,6,Actuals!$D:$D,$B$394,Actuals!$A:$A,LEFT($D$394,FIND("|",$D$394&amp;"|")-1),Actuals!$E:$E,MID($D$394,FIND("|",$D$394&amp;"|")+1,50),Actuals!$F:$F,"USD")*$F$5+SUMIFS(Actuals!$G:$G,Actuals!$B:$B,$C$3,Actuals!$C:$C,6,Actuals!$D:$D,$B$394,Actuals!$A:$A,LEFT($D$394,FIND("|",$D$394&amp;"|")-1),Actuals!$E:$E,MID($D$394,FIND("|",$D$394&amp;"|")+1,50),Actuals!$F:$F,"EUR")*$G$5+SUMIFS(Actuals!$G:$G,Actuals!$B:$B,$C$3,Actuals!$C:$C,6,Actuals!$D:$D,$B$394,Actuals!$A:$A,LEFT($D$394,FIND("|",$D$394&amp;"|")-1),Actuals!$E:$E,MID($D$394,FIND("|",$D$394&amp;"|")+1,50),Actuals!$F:$F,"GBP")*$H$5)</f>
        <v/>
      </c>
      <c r="N395" s="18">
        <f>IF(OR($B$394="",7&gt;$C$4),"",SUMIFS(Actuals!$G:$G,Actuals!$B:$B,$C$3,Actuals!$C:$C,7,Actuals!$D:$D,$B$394,Actuals!$A:$A,LEFT($D$394,FIND("|",$D$394&amp;"|")-1),Actuals!$E:$E,MID($D$394,FIND("|",$D$394&amp;"|")+1,50),Actuals!$F:$F,"JPY")*$E$5+SUMIFS(Actuals!$G:$G,Actuals!$B:$B,$C$3,Actuals!$C:$C,7,Actuals!$D:$D,$B$394,Actuals!$A:$A,LEFT($D$394,FIND("|",$D$394&amp;"|")-1),Actuals!$E:$E,MID($D$394,FIND("|",$D$394&amp;"|")+1,50),Actuals!$F:$F,"USD")*$F$5+SUMIFS(Actuals!$G:$G,Actuals!$B:$B,$C$3,Actuals!$C:$C,7,Actuals!$D:$D,$B$394,Actuals!$A:$A,LEFT($D$394,FIND("|",$D$394&amp;"|")-1),Actuals!$E:$E,MID($D$394,FIND("|",$D$394&amp;"|")+1,50),Actuals!$F:$F,"EUR")*$G$5+SUMIFS(Actuals!$G:$G,Actuals!$B:$B,$C$3,Actuals!$C:$C,7,Actuals!$D:$D,$B$394,Actuals!$A:$A,LEFT($D$394,FIND("|",$D$394&amp;"|")-1),Actuals!$E:$E,MID($D$394,FIND("|",$D$394&amp;"|")+1,50),Actuals!$F:$F,"GBP")*$H$5)</f>
        <v/>
      </c>
      <c r="O395" s="18">
        <f>IF(OR($B$394="",8&gt;$C$4),"",SUMIFS(Actuals!$G:$G,Actuals!$B:$B,$C$3,Actuals!$C:$C,8,Actuals!$D:$D,$B$394,Actuals!$A:$A,LEFT($D$394,FIND("|",$D$394&amp;"|")-1),Actuals!$E:$E,MID($D$394,FIND("|",$D$394&amp;"|")+1,50),Actuals!$F:$F,"JPY")*$E$5+SUMIFS(Actuals!$G:$G,Actuals!$B:$B,$C$3,Actuals!$C:$C,8,Actuals!$D:$D,$B$394,Actuals!$A:$A,LEFT($D$394,FIND("|",$D$394&amp;"|")-1),Actuals!$E:$E,MID($D$394,FIND("|",$D$394&amp;"|")+1,50),Actuals!$F:$F,"USD")*$F$5+SUMIFS(Actuals!$G:$G,Actuals!$B:$B,$C$3,Actuals!$C:$C,8,Actuals!$D:$D,$B$394,Actuals!$A:$A,LEFT($D$394,FIND("|",$D$394&amp;"|")-1),Actuals!$E:$E,MID($D$394,FIND("|",$D$394&amp;"|")+1,50),Actuals!$F:$F,"EUR")*$G$5+SUMIFS(Actuals!$G:$G,Actuals!$B:$B,$C$3,Actuals!$C:$C,8,Actuals!$D:$D,$B$394,Actuals!$A:$A,LEFT($D$394,FIND("|",$D$394&amp;"|")-1),Actuals!$E:$E,MID($D$394,FIND("|",$D$394&amp;"|")+1,50),Actuals!$F:$F,"GBP")*$H$5)</f>
        <v/>
      </c>
      <c r="P395" s="18">
        <f>IF(OR($B$394="",9&gt;$C$4),"",SUMIFS(Actuals!$G:$G,Actuals!$B:$B,$C$3,Actuals!$C:$C,9,Actuals!$D:$D,$B$394,Actuals!$A:$A,LEFT($D$394,FIND("|",$D$394&amp;"|")-1),Actuals!$E:$E,MID($D$394,FIND("|",$D$394&amp;"|")+1,50),Actuals!$F:$F,"JPY")*$E$5+SUMIFS(Actuals!$G:$G,Actuals!$B:$B,$C$3,Actuals!$C:$C,9,Actuals!$D:$D,$B$394,Actuals!$A:$A,LEFT($D$394,FIND("|",$D$394&amp;"|")-1),Actuals!$E:$E,MID($D$394,FIND("|",$D$394&amp;"|")+1,50),Actuals!$F:$F,"USD")*$F$5+SUMIFS(Actuals!$G:$G,Actuals!$B:$B,$C$3,Actuals!$C:$C,9,Actuals!$D:$D,$B$394,Actuals!$A:$A,LEFT($D$394,FIND("|",$D$394&amp;"|")-1),Actuals!$E:$E,MID($D$394,FIND("|",$D$394&amp;"|")+1,50),Actuals!$F:$F,"EUR")*$G$5+SUMIFS(Actuals!$G:$G,Actuals!$B:$B,$C$3,Actuals!$C:$C,9,Actuals!$D:$D,$B$394,Actuals!$A:$A,LEFT($D$394,FIND("|",$D$394&amp;"|")-1),Actuals!$E:$E,MID($D$394,FIND("|",$D$394&amp;"|")+1,50),Actuals!$F:$F,"GBP")*$H$5)</f>
        <v/>
      </c>
      <c r="Q395" s="18">
        <f>IF(OR($B$394="",10&gt;$C$4),"",SUMIFS(Actuals!$G:$G,Actuals!$B:$B,$C$3,Actuals!$C:$C,10,Actuals!$D:$D,$B$394,Actuals!$A:$A,LEFT($D$394,FIND("|",$D$394&amp;"|")-1),Actuals!$E:$E,MID($D$394,FIND("|",$D$394&amp;"|")+1,50),Actuals!$F:$F,"JPY")*$E$5+SUMIFS(Actuals!$G:$G,Actuals!$B:$B,$C$3,Actuals!$C:$C,10,Actuals!$D:$D,$B$394,Actuals!$A:$A,LEFT($D$394,FIND("|",$D$394&amp;"|")-1),Actuals!$E:$E,MID($D$394,FIND("|",$D$394&amp;"|")+1,50),Actuals!$F:$F,"USD")*$F$5+SUMIFS(Actuals!$G:$G,Actuals!$B:$B,$C$3,Actuals!$C:$C,10,Actuals!$D:$D,$B$394,Actuals!$A:$A,LEFT($D$394,FIND("|",$D$394&amp;"|")-1),Actuals!$E:$E,MID($D$394,FIND("|",$D$394&amp;"|")+1,50),Actuals!$F:$F,"EUR")*$G$5+SUMIFS(Actuals!$G:$G,Actuals!$B:$B,$C$3,Actuals!$C:$C,10,Actuals!$D:$D,$B$394,Actuals!$A:$A,LEFT($D$394,FIND("|",$D$394&amp;"|")-1),Actuals!$E:$E,MID($D$394,FIND("|",$D$394&amp;"|")+1,50),Actuals!$F:$F,"GBP")*$H$5)</f>
        <v/>
      </c>
      <c r="R395" s="18">
        <f>IF(OR($B$394="",11&gt;$C$4),"",SUMIFS(Actuals!$G:$G,Actuals!$B:$B,$C$3,Actuals!$C:$C,11,Actuals!$D:$D,$B$394,Actuals!$A:$A,LEFT($D$394,FIND("|",$D$394&amp;"|")-1),Actuals!$E:$E,MID($D$394,FIND("|",$D$394&amp;"|")+1,50),Actuals!$F:$F,"JPY")*$E$5+SUMIFS(Actuals!$G:$G,Actuals!$B:$B,$C$3,Actuals!$C:$C,11,Actuals!$D:$D,$B$394,Actuals!$A:$A,LEFT($D$394,FIND("|",$D$394&amp;"|")-1),Actuals!$E:$E,MID($D$394,FIND("|",$D$394&amp;"|")+1,50),Actuals!$F:$F,"USD")*$F$5+SUMIFS(Actuals!$G:$G,Actuals!$B:$B,$C$3,Actuals!$C:$C,11,Actuals!$D:$D,$B$394,Actuals!$A:$A,LEFT($D$394,FIND("|",$D$394&amp;"|")-1),Actuals!$E:$E,MID($D$394,FIND("|",$D$394&amp;"|")+1,50),Actuals!$F:$F,"EUR")*$G$5+SUMIFS(Actuals!$G:$G,Actuals!$B:$B,$C$3,Actuals!$C:$C,11,Actuals!$D:$D,$B$394,Actuals!$A:$A,LEFT($D$394,FIND("|",$D$394&amp;"|")-1),Actuals!$E:$E,MID($D$394,FIND("|",$D$394&amp;"|")+1,50),Actuals!$F:$F,"GBP")*$H$5)</f>
        <v/>
      </c>
      <c r="S395" s="18">
        <f>IF(OR($B$394="",12&gt;$C$4),"",SUMIFS(Actuals!$G:$G,Actuals!$B:$B,$C$3,Actuals!$C:$C,12,Actuals!$D:$D,$B$394,Actuals!$A:$A,LEFT($D$394,FIND("|",$D$394&amp;"|")-1),Actuals!$E:$E,MID($D$394,FIND("|",$D$394&amp;"|")+1,50),Actuals!$F:$F,"JPY")*$E$5+SUMIFS(Actuals!$G:$G,Actuals!$B:$B,$C$3,Actuals!$C:$C,12,Actuals!$D:$D,$B$394,Actuals!$A:$A,LEFT($D$394,FIND("|",$D$394&amp;"|")-1),Actuals!$E:$E,MID($D$394,FIND("|",$D$394&amp;"|")+1,50),Actuals!$F:$F,"USD")*$F$5+SUMIFS(Actuals!$G:$G,Actuals!$B:$B,$C$3,Actuals!$C:$C,12,Actuals!$D:$D,$B$394,Actuals!$A:$A,LEFT($D$394,FIND("|",$D$394&amp;"|")-1),Actuals!$E:$E,MID($D$394,FIND("|",$D$394&amp;"|")+1,50),Actuals!$F:$F,"EUR")*$G$5+SUMIFS(Actuals!$G:$G,Actuals!$B:$B,$C$3,Actuals!$C:$C,12,Actuals!$D:$D,$B$394,Actuals!$A:$A,LEFT($D$394,FIND("|",$D$394&amp;"|")-1),Actuals!$E:$E,MID($D$394,FIND("|",$D$394&amp;"|")+1,50),Actuals!$F:$F,"GBP")*$H$5)</f>
        <v/>
      </c>
      <c r="T395" s="18">
        <f>IF($B$394="","",SUMIF($H$7:$S$7,"&lt;="&amp;$C$4,$H395:$S395))</f>
        <v/>
      </c>
      <c r="U395" s="18" t="n"/>
      <c r="V395" s="18" t="n"/>
      <c r="X395" s="22">
        <f>IF($B395="","",IFERROR(INDEX(Cost_Centers!$E:$E,MATCH($B395,Cost_Centers!$A:$A,0)),"(unknown)"))</f>
        <v/>
      </c>
      <c r="Y395" s="22">
        <f>IF($B395="","",IFERROR(INDEX(Cost_Centers!$D:$D,MATCH($B395,Cost_Centers!$A:$A,0)),"(unknown)"))</f>
        <v/>
      </c>
      <c r="Z395" s="22">
        <f>IF(OR($B395="",$G395&lt;&gt;"Variance vs Budget"),"",ABS(N($V395))+ROW()/1000000000)</f>
        <v/>
      </c>
    </row>
    <row r="396">
      <c r="A396" s="13">
        <f>IF(A$394="","",A$394)</f>
        <v/>
      </c>
      <c r="B396" s="13">
        <f>IF(B$394="","",B$394)</f>
        <v/>
      </c>
      <c r="C396" s="13">
        <f>IF(C$394="","",C$394)</f>
        <v/>
      </c>
      <c r="D396" s="13">
        <f>IF(D$394="","",D$394)</f>
        <v/>
      </c>
      <c r="E396" s="13">
        <f>IF(E$394="","",E$394)</f>
        <v/>
      </c>
      <c r="F396" s="13">
        <f>IF(F$394="","",F$394)</f>
        <v/>
      </c>
      <c r="G396" s="6" t="inlineStr">
        <is>
          <t>Variance vs Budget</t>
        </is>
      </c>
      <c r="H396" s="33">
        <f>IF(OR($B$394="",1&gt;$C$4),"",N(H395)-H394)</f>
        <v/>
      </c>
      <c r="I396" s="33">
        <f>IF(OR($B$394="",2&gt;$C$4),"",N(I395)-I394)</f>
        <v/>
      </c>
      <c r="J396" s="33">
        <f>IF(OR($B$394="",3&gt;$C$4),"",N(J395)-J394)</f>
        <v/>
      </c>
      <c r="K396" s="33">
        <f>IF(OR($B$394="",4&gt;$C$4),"",N(K395)-K394)</f>
        <v/>
      </c>
      <c r="L396" s="33">
        <f>IF(OR($B$394="",5&gt;$C$4),"",N(L395)-L394)</f>
        <v/>
      </c>
      <c r="M396" s="33">
        <f>IF(OR($B$394="",6&gt;$C$4),"",N(M395)-M394)</f>
        <v/>
      </c>
      <c r="N396" s="33">
        <f>IF(OR($B$394="",7&gt;$C$4),"",N(N395)-N394)</f>
        <v/>
      </c>
      <c r="O396" s="33">
        <f>IF(OR($B$394="",8&gt;$C$4),"",N(O395)-O394)</f>
        <v/>
      </c>
      <c r="P396" s="33">
        <f>IF(OR($B$394="",9&gt;$C$4),"",N(P395)-P394)</f>
        <v/>
      </c>
      <c r="Q396" s="33">
        <f>IF(OR($B$394="",10&gt;$C$4),"",N(Q395)-Q394)</f>
        <v/>
      </c>
      <c r="R396" s="33">
        <f>IF(OR($B$394="",11&gt;$C$4),"",N(R395)-R394)</f>
        <v/>
      </c>
      <c r="S396" s="33">
        <f>IF(OR($B$394="",12&gt;$C$4),"",N(S395)-S394)</f>
        <v/>
      </c>
      <c r="T396" s="33">
        <f>IF($B$394="","",T395-T394)</f>
        <v/>
      </c>
      <c r="U396" s="33">
        <f>IF($B$394="","",U398-U394)</f>
        <v/>
      </c>
      <c r="V396" s="33">
        <f>IF($B$394="","",V398-V394)</f>
        <v/>
      </c>
      <c r="X396" s="22">
        <f>IF($B396="","",IFERROR(INDEX(Cost_Centers!$E:$E,MATCH($B396,Cost_Centers!$A:$A,0)),"(unknown)"))</f>
        <v/>
      </c>
      <c r="Y396" s="22">
        <f>IF($B396="","",IFERROR(INDEX(Cost_Centers!$D:$D,MATCH($B396,Cost_Centers!$A:$A,0)),"(unknown)"))</f>
        <v/>
      </c>
      <c r="Z396" s="22">
        <f>IF(OR($B396="",$G396&lt;&gt;"Variance vs Budget"),"",ABS(N($V396))+ROW()/1000000000)</f>
        <v/>
      </c>
    </row>
    <row r="397">
      <c r="A397" s="13">
        <f>IF(A$394="","",A$394)</f>
        <v/>
      </c>
      <c r="B397" s="13">
        <f>IF(B$394="","",B$394)</f>
        <v/>
      </c>
      <c r="C397" s="13">
        <f>IF(C$394="","",C$394)</f>
        <v/>
      </c>
      <c r="D397" s="13">
        <f>IF(D$394="","",D$394)</f>
        <v/>
      </c>
      <c r="E397" s="13">
        <f>IF(E$394="","",E$394)</f>
        <v/>
      </c>
      <c r="F397" s="13">
        <f>IF(F$394="","",F$394)</f>
        <v/>
      </c>
      <c r="G397" s="7" t="inlineStr">
        <is>
          <t>Forecast (input)</t>
        </is>
      </c>
      <c r="H397" s="34" t="n"/>
      <c r="I397" s="34" t="n"/>
      <c r="J397" s="34" t="n"/>
      <c r="K397" s="34" t="n"/>
      <c r="L397" s="34" t="n"/>
      <c r="M397" s="34" t="n"/>
      <c r="N397" s="34" t="n"/>
      <c r="O397" s="34" t="n"/>
      <c r="P397" s="34" t="n"/>
      <c r="Q397" s="34" t="n"/>
      <c r="R397" s="34" t="n"/>
      <c r="S397" s="34" t="n"/>
      <c r="T397" s="18" t="n"/>
      <c r="U397" s="18" t="n"/>
      <c r="V397" s="18" t="n"/>
      <c r="X397" s="22">
        <f>IF($B397="","",IFERROR(INDEX(Cost_Centers!$E:$E,MATCH($B397,Cost_Centers!$A:$A,0)),"(unknown)"))</f>
        <v/>
      </c>
      <c r="Y397" s="22">
        <f>IF($B397="","",IFERROR(INDEX(Cost_Centers!$D:$D,MATCH($B397,Cost_Centers!$A:$A,0)),"(unknown)"))</f>
        <v/>
      </c>
      <c r="Z397" s="22">
        <f>IF(OR($B397="",$G397&lt;&gt;"Variance vs Budget"),"",ABS(N($V397))+ROW()/1000000000)</f>
        <v/>
      </c>
    </row>
    <row r="398">
      <c r="A398" s="13">
        <f>IF(A$394="","",A$394)</f>
        <v/>
      </c>
      <c r="B398" s="13">
        <f>IF(B$394="","",B$394)</f>
        <v/>
      </c>
      <c r="C398" s="13">
        <f>IF(C$394="","",C$394)</f>
        <v/>
      </c>
      <c r="D398" s="13">
        <f>IF(D$394="","",D$394)</f>
        <v/>
      </c>
      <c r="E398" s="13">
        <f>IF(E$394="","",E$394)</f>
        <v/>
      </c>
      <c r="F398" s="13">
        <f>IF(F$394="","",F$394)</f>
        <v/>
      </c>
      <c r="G398" s="35" t="inlineStr">
        <is>
          <t>Actual + Forecast</t>
        </is>
      </c>
      <c r="H398" s="18">
        <f>IF($B$394="","",IF(1&lt;=$C$4,N(H395),IF(H397="",H394,H397)))</f>
        <v/>
      </c>
      <c r="I398" s="18">
        <f>IF($B$394="","",IF(2&lt;=$C$4,N(I395),IF(I397="",I394,I397)))</f>
        <v/>
      </c>
      <c r="J398" s="18">
        <f>IF($B$394="","",IF(3&lt;=$C$4,N(J395),IF(J397="",J394,J397)))</f>
        <v/>
      </c>
      <c r="K398" s="18">
        <f>IF($B$394="","",IF(4&lt;=$C$4,N(K395),IF(K397="",K394,K397)))</f>
        <v/>
      </c>
      <c r="L398" s="18">
        <f>IF($B$394="","",IF(5&lt;=$C$4,N(L395),IF(L397="",L394,L397)))</f>
        <v/>
      </c>
      <c r="M398" s="18">
        <f>IF($B$394="","",IF(6&lt;=$C$4,N(M395),IF(M397="",M394,M397)))</f>
        <v/>
      </c>
      <c r="N398" s="18">
        <f>IF($B$394="","",IF(7&lt;=$C$4,N(N395),IF(N397="",N394,N397)))</f>
        <v/>
      </c>
      <c r="O398" s="18">
        <f>IF($B$394="","",IF(8&lt;=$C$4,N(O395),IF(O397="",O394,O397)))</f>
        <v/>
      </c>
      <c r="P398" s="18">
        <f>IF($B$394="","",IF(9&lt;=$C$4,N(P395),IF(P397="",P394,P397)))</f>
        <v/>
      </c>
      <c r="Q398" s="18">
        <f>IF($B$394="","",IF(10&lt;=$C$4,N(Q395),IF(Q397="",Q394,Q397)))</f>
        <v/>
      </c>
      <c r="R398" s="18">
        <f>IF($B$394="","",IF(11&lt;=$C$4,N(R395),IF(R397="",R394,R397)))</f>
        <v/>
      </c>
      <c r="S398" s="18">
        <f>IF($B$394="","",IF(12&lt;=$C$4,N(S395),IF(S397="",S394,S397)))</f>
        <v/>
      </c>
      <c r="T398" s="18">
        <f>IF($B$394="","",SUMIF($H$7:$S$7,"&lt;="&amp;$C$4,$H398:$S398))</f>
        <v/>
      </c>
      <c r="U398" s="18">
        <f>IF($B$394="","",SUMIF($H$7:$S$7,"&gt;"&amp;$C$4,$H398:$S398))</f>
        <v/>
      </c>
      <c r="V398" s="18">
        <f>IF($B$394="","",SUM($H398:$S398))</f>
        <v/>
      </c>
      <c r="X398" s="22">
        <f>IF($B398="","",IFERROR(INDEX(Cost_Centers!$E:$E,MATCH($B398,Cost_Centers!$A:$A,0)),"(unknown)"))</f>
        <v/>
      </c>
      <c r="Y398" s="22">
        <f>IF($B398="","",IFERROR(INDEX(Cost_Centers!$D:$D,MATCH($B398,Cost_Centers!$A:$A,0)),"(unknown)"))</f>
        <v/>
      </c>
      <c r="Z398" s="22">
        <f>IF(OR($B398="",$G398&lt;&gt;"Variance vs Budget"),"",ABS(N($V398))+ROW()/1000000000)</f>
        <v/>
      </c>
    </row>
    <row r="399">
      <c r="A399" s="13">
        <f>IF(A$394="","",A$394)</f>
        <v/>
      </c>
      <c r="B399" s="13">
        <f>IF(B$394="","",B$394)</f>
        <v/>
      </c>
      <c r="C399" s="13">
        <f>IF(C$394="","",C$394)</f>
        <v/>
      </c>
      <c r="D399" s="13">
        <f>IF(D$394="","",D$394)</f>
        <v/>
      </c>
      <c r="E399" s="13">
        <f>IF(E$394="","",E$394)</f>
        <v/>
      </c>
      <c r="F399" s="13">
        <f>IF(F$394="","",F$394)</f>
        <v/>
      </c>
      <c r="G399" s="36" t="inlineStr">
        <is>
          <t>Prior Month Forecast</t>
        </is>
      </c>
      <c r="H399" s="37">
        <f>IF($B$394="","",IF(COUNTIFS(Prior_Forecast!$A:$A,$B$394,Prior_Forecast!$B:$B,$D$394)&gt;0,SUMIFS(Prior_Forecast!$C:$C,Prior_Forecast!$A:$A,$B$394,Prior_Forecast!$B:$B,$D$394),""))</f>
        <v/>
      </c>
      <c r="I399" s="37">
        <f>IF($B$394="","",IF(COUNTIFS(Prior_Forecast!$A:$A,$B$394,Prior_Forecast!$B:$B,$D$394)&gt;0,SUMIFS(Prior_Forecast!$D:$D,Prior_Forecast!$A:$A,$B$394,Prior_Forecast!$B:$B,$D$394),""))</f>
        <v/>
      </c>
      <c r="J399" s="37">
        <f>IF($B$394="","",IF(COUNTIFS(Prior_Forecast!$A:$A,$B$394,Prior_Forecast!$B:$B,$D$394)&gt;0,SUMIFS(Prior_Forecast!$E:$E,Prior_Forecast!$A:$A,$B$394,Prior_Forecast!$B:$B,$D$394),""))</f>
        <v/>
      </c>
      <c r="K399" s="37">
        <f>IF($B$394="","",IF(COUNTIFS(Prior_Forecast!$A:$A,$B$394,Prior_Forecast!$B:$B,$D$394)&gt;0,SUMIFS(Prior_Forecast!$F:$F,Prior_Forecast!$A:$A,$B$394,Prior_Forecast!$B:$B,$D$394),""))</f>
        <v/>
      </c>
      <c r="L399" s="37">
        <f>IF($B$394="","",IF(COUNTIFS(Prior_Forecast!$A:$A,$B$394,Prior_Forecast!$B:$B,$D$394)&gt;0,SUMIFS(Prior_Forecast!$G:$G,Prior_Forecast!$A:$A,$B$394,Prior_Forecast!$B:$B,$D$394),""))</f>
        <v/>
      </c>
      <c r="M399" s="37">
        <f>IF($B$394="","",IF(COUNTIFS(Prior_Forecast!$A:$A,$B$394,Prior_Forecast!$B:$B,$D$394)&gt;0,SUMIFS(Prior_Forecast!$H:$H,Prior_Forecast!$A:$A,$B$394,Prior_Forecast!$B:$B,$D$394),""))</f>
        <v/>
      </c>
      <c r="N399" s="37">
        <f>IF($B$394="","",IF(COUNTIFS(Prior_Forecast!$A:$A,$B$394,Prior_Forecast!$B:$B,$D$394)&gt;0,SUMIFS(Prior_Forecast!$I:$I,Prior_Forecast!$A:$A,$B$394,Prior_Forecast!$B:$B,$D$394),""))</f>
        <v/>
      </c>
      <c r="O399" s="37">
        <f>IF($B$394="","",IF(COUNTIFS(Prior_Forecast!$A:$A,$B$394,Prior_Forecast!$B:$B,$D$394)&gt;0,SUMIFS(Prior_Forecast!$J:$J,Prior_Forecast!$A:$A,$B$394,Prior_Forecast!$B:$B,$D$394),""))</f>
        <v/>
      </c>
      <c r="P399" s="37">
        <f>IF($B$394="","",IF(COUNTIFS(Prior_Forecast!$A:$A,$B$394,Prior_Forecast!$B:$B,$D$394)&gt;0,SUMIFS(Prior_Forecast!$K:$K,Prior_Forecast!$A:$A,$B$394,Prior_Forecast!$B:$B,$D$394),""))</f>
        <v/>
      </c>
      <c r="Q399" s="37">
        <f>IF($B$394="","",IF(COUNTIFS(Prior_Forecast!$A:$A,$B$394,Prior_Forecast!$B:$B,$D$394)&gt;0,SUMIFS(Prior_Forecast!$L:$L,Prior_Forecast!$A:$A,$B$394,Prior_Forecast!$B:$B,$D$394),""))</f>
        <v/>
      </c>
      <c r="R399" s="37">
        <f>IF($B$394="","",IF(COUNTIFS(Prior_Forecast!$A:$A,$B$394,Prior_Forecast!$B:$B,$D$394)&gt;0,SUMIFS(Prior_Forecast!$M:$M,Prior_Forecast!$A:$A,$B$394,Prior_Forecast!$B:$B,$D$394),""))</f>
        <v/>
      </c>
      <c r="S399" s="37">
        <f>IF($B$394="","",IF(COUNTIFS(Prior_Forecast!$A:$A,$B$394,Prior_Forecast!$B:$B,$D$394)&gt;0,SUMIFS(Prior_Forecast!$N:$N,Prior_Forecast!$A:$A,$B$394,Prior_Forecast!$B:$B,$D$394),""))</f>
        <v/>
      </c>
      <c r="T399" s="37">
        <f>IF($B$394="","",IF(COUNTIFS(Prior_Forecast!$A:$A,$B$394,Prior_Forecast!$B:$B,$D$394)&gt;0,SUMIFS(Prior_Forecast!$O:$O,Prior_Forecast!$A:$A,$B$394,Prior_Forecast!$B:$B,$D$394),""))</f>
        <v/>
      </c>
      <c r="U399" s="37">
        <f>IF($B$394="","",IF(COUNTIFS(Prior_Forecast!$A:$A,$B$394,Prior_Forecast!$B:$B,$D$394)&gt;0,SUMIFS(Prior_Forecast!$P:$P,Prior_Forecast!$A:$A,$B$394,Prior_Forecast!$B:$B,$D$394),""))</f>
        <v/>
      </c>
      <c r="V399" s="37">
        <f>IF($B$394="","",IF(COUNTIFS(Prior_Forecast!$A:$A,$B$394,Prior_Forecast!$B:$B,$D$394)&gt;0,SUMIFS(Prior_Forecast!$Q:$Q,Prior_Forecast!$A:$A,$B$394,Prior_Forecast!$B:$B,$D$394),""))</f>
        <v/>
      </c>
      <c r="X399" s="22">
        <f>IF($B399="","",IFERROR(INDEX(Cost_Centers!$E:$E,MATCH($B399,Cost_Centers!$A:$A,0)),"(unknown)"))</f>
        <v/>
      </c>
      <c r="Y399" s="22">
        <f>IF($B399="","",IFERROR(INDEX(Cost_Centers!$D:$D,MATCH($B399,Cost_Centers!$A:$A,0)),"(unknown)"))</f>
        <v/>
      </c>
      <c r="Z399" s="22">
        <f>IF(OR($B399="",$G399&lt;&gt;"Variance vs Budget"),"",ABS(N($V399))+ROW()/1000000000)</f>
        <v/>
      </c>
    </row>
    <row r="400">
      <c r="A400" s="13">
        <f>IF(A$394="","",A$394)</f>
        <v/>
      </c>
      <c r="B400" s="13">
        <f>IF(B$394="","",B$394)</f>
        <v/>
      </c>
      <c r="C400" s="13">
        <f>IF(C$394="","",C$394)</f>
        <v/>
      </c>
      <c r="D400" s="13">
        <f>IF(D$394="","",D$394)</f>
        <v/>
      </c>
      <c r="E400" s="13">
        <f>IF(E$394="","",E$394)</f>
        <v/>
      </c>
      <c r="F400" s="13">
        <f>IF(F$394="","",F$394)</f>
        <v/>
      </c>
      <c r="G400" s="6" t="inlineStr">
        <is>
          <t>Variance vs Prior Month</t>
        </is>
      </c>
      <c r="H400" s="33">
        <f>IF(OR($B$394="",H399=""),"",H398-H399)</f>
        <v/>
      </c>
      <c r="I400" s="33">
        <f>IF(OR($B$394="",I399=""),"",I398-I399)</f>
        <v/>
      </c>
      <c r="J400" s="33">
        <f>IF(OR($B$394="",J399=""),"",J398-J399)</f>
        <v/>
      </c>
      <c r="K400" s="33">
        <f>IF(OR($B$394="",K399=""),"",K398-K399)</f>
        <v/>
      </c>
      <c r="L400" s="33">
        <f>IF(OR($B$394="",L399=""),"",L398-L399)</f>
        <v/>
      </c>
      <c r="M400" s="33">
        <f>IF(OR($B$394="",M399=""),"",M398-M399)</f>
        <v/>
      </c>
      <c r="N400" s="33">
        <f>IF(OR($B$394="",N399=""),"",N398-N399)</f>
        <v/>
      </c>
      <c r="O400" s="33">
        <f>IF(OR($B$394="",O399=""),"",O398-O399)</f>
        <v/>
      </c>
      <c r="P400" s="33">
        <f>IF(OR($B$394="",P399=""),"",P398-P399)</f>
        <v/>
      </c>
      <c r="Q400" s="33">
        <f>IF(OR($B$394="",Q399=""),"",Q398-Q399)</f>
        <v/>
      </c>
      <c r="R400" s="33">
        <f>IF(OR($B$394="",R399=""),"",R398-R399)</f>
        <v/>
      </c>
      <c r="S400" s="33">
        <f>IF(OR($B$394="",S399=""),"",S398-S399)</f>
        <v/>
      </c>
      <c r="T400" s="33">
        <f>IF(OR($B$394="",T399=""),"",T398-T399)</f>
        <v/>
      </c>
      <c r="U400" s="33">
        <f>IF(OR($B$394="",U399=""),"",U398-U399)</f>
        <v/>
      </c>
      <c r="V400" s="33">
        <f>IF(OR($B$394="",V399=""),"",V398-V399)</f>
        <v/>
      </c>
      <c r="X400" s="22">
        <f>IF($B400="","",IFERROR(INDEX(Cost_Centers!$E:$E,MATCH($B400,Cost_Centers!$A:$A,0)),"(unknown)"))</f>
        <v/>
      </c>
      <c r="Y400" s="22">
        <f>IF($B400="","",IFERROR(INDEX(Cost_Centers!$D:$D,MATCH($B400,Cost_Centers!$A:$A,0)),"(unknown)"))</f>
        <v/>
      </c>
      <c r="Z400" s="22">
        <f>IF(OR($B400="",$G400&lt;&gt;"Variance vs Budget"),"",ABS(N($V400))+ROW()/1000000000)</f>
        <v/>
      </c>
    </row>
    <row r="401" ht="45" customHeight="1">
      <c r="A401" s="13">
        <f>IF(A$394="","",A$394)</f>
        <v/>
      </c>
      <c r="B401" s="13">
        <f>IF(B$394="","",B$394)</f>
        <v/>
      </c>
      <c r="C401" s="13">
        <f>IF(C$394="","",C$394)</f>
        <v/>
      </c>
      <c r="D401" s="13">
        <f>IF(D$394="","",D$394)</f>
        <v/>
      </c>
      <c r="E401" s="13">
        <f>IF(E$394="","",E$394)</f>
        <v/>
      </c>
      <c r="F401" s="13">
        <f>IF(F$394="","",F$394)</f>
        <v/>
      </c>
      <c r="G401" s="7" t="inlineStr">
        <is>
          <t>Rationale</t>
        </is>
      </c>
      <c r="H401" s="38" t="n"/>
      <c r="I401" s="38" t="n"/>
      <c r="J401" s="38" t="n"/>
      <c r="K401" s="38" t="n"/>
      <c r="L401" s="38" t="n"/>
      <c r="M401" s="38" t="n"/>
      <c r="N401" s="38" t="n"/>
      <c r="O401" s="38" t="n"/>
      <c r="P401" s="38" t="n"/>
      <c r="Q401" s="38" t="n"/>
      <c r="R401" s="38" t="n"/>
      <c r="S401" s="38" t="n"/>
      <c r="T401" s="38" t="n"/>
      <c r="U401" s="38" t="n"/>
      <c r="V401" s="7" t="n"/>
      <c r="X401" s="22">
        <f>IF($B401="","",IFERROR(INDEX(Cost_Centers!$E:$E,MATCH($B401,Cost_Centers!$A:$A,0)),"(unknown)"))</f>
        <v/>
      </c>
      <c r="Y401" s="22">
        <f>IF($B401="","",IFERROR(INDEX(Cost_Centers!$D:$D,MATCH($B401,Cost_Centers!$A:$A,0)),"(unknown)"))</f>
        <v/>
      </c>
      <c r="Z401" s="22">
        <f>IF(OR($B401="",$G401&lt;&gt;"Variance vs Budget"),"",ABS(N($V401))+ROW()/1000000000)</f>
        <v/>
      </c>
    </row>
    <row r="402">
      <c r="A402" s="30">
        <f>IF($D$402="","",LEFT($D$402,FIND("|",$D$402&amp;"|")-1))</f>
        <v/>
      </c>
      <c r="B402" s="31" t="n"/>
      <c r="C402" s="30">
        <f>IF($B$402="","",IFERROR(INDEX(Cost_Centers!$B:$B,MATCH($B$402,Cost_Centers!$A:$A,0)),"(not in master)"))</f>
        <v/>
      </c>
      <c r="D402" s="31" t="n"/>
      <c r="E402" s="30">
        <f>IF($D$402="","",IFERROR(INDEX(Accounts!$D:$D,MATCH($D$402,Accounts!$A:$A,0)),"(not in master)"))</f>
        <v/>
      </c>
      <c r="F402" s="31" t="n"/>
      <c r="G402" s="30" t="inlineStr">
        <is>
          <t>Budget</t>
        </is>
      </c>
      <c r="H402" s="32">
        <f>IF($B$402="","",SUMIFS(Opex_Budget!$O:$O,Opex_Budget!$A:$A,$C$3,Opex_Budget!$E:$E,$B$402,Opex_Budget!$F:$F,$D$402,Opex_Budget!$N:$N,"JPY")*$E$5+SUMIFS(Opex_Budget!$O:$O,Opex_Budget!$A:$A,$C$3,Opex_Budget!$E:$E,$B$402,Opex_Budget!$F:$F,$D$402,Opex_Budget!$N:$N,"USD")*$F$5+SUMIFS(Opex_Budget!$O:$O,Opex_Budget!$A:$A,$C$3,Opex_Budget!$E:$E,$B$402,Opex_Budget!$F:$F,$D$402,Opex_Budget!$N:$N,"EUR")*$G$5+SUMIFS(Opex_Budget!$O:$O,Opex_Budget!$A:$A,$C$3,Opex_Budget!$E:$E,$B$402,Opex_Budget!$F:$F,$D$402,Opex_Budget!$N:$N,"GBP")*$H$5)</f>
        <v/>
      </c>
      <c r="I402" s="32">
        <f>IF($B$402="","",SUMIFS(Opex_Budget!$P:$P,Opex_Budget!$A:$A,$C$3,Opex_Budget!$E:$E,$B$402,Opex_Budget!$F:$F,$D$402,Opex_Budget!$N:$N,"JPY")*$E$5+SUMIFS(Opex_Budget!$P:$P,Opex_Budget!$A:$A,$C$3,Opex_Budget!$E:$E,$B$402,Opex_Budget!$F:$F,$D$402,Opex_Budget!$N:$N,"USD")*$F$5+SUMIFS(Opex_Budget!$P:$P,Opex_Budget!$A:$A,$C$3,Opex_Budget!$E:$E,$B$402,Opex_Budget!$F:$F,$D$402,Opex_Budget!$N:$N,"EUR")*$G$5+SUMIFS(Opex_Budget!$P:$P,Opex_Budget!$A:$A,$C$3,Opex_Budget!$E:$E,$B$402,Opex_Budget!$F:$F,$D$402,Opex_Budget!$N:$N,"GBP")*$H$5)</f>
        <v/>
      </c>
      <c r="J402" s="32">
        <f>IF($B$402="","",SUMIFS(Opex_Budget!$Q:$Q,Opex_Budget!$A:$A,$C$3,Opex_Budget!$E:$E,$B$402,Opex_Budget!$F:$F,$D$402,Opex_Budget!$N:$N,"JPY")*$E$5+SUMIFS(Opex_Budget!$Q:$Q,Opex_Budget!$A:$A,$C$3,Opex_Budget!$E:$E,$B$402,Opex_Budget!$F:$F,$D$402,Opex_Budget!$N:$N,"USD")*$F$5+SUMIFS(Opex_Budget!$Q:$Q,Opex_Budget!$A:$A,$C$3,Opex_Budget!$E:$E,$B$402,Opex_Budget!$F:$F,$D$402,Opex_Budget!$N:$N,"EUR")*$G$5+SUMIFS(Opex_Budget!$Q:$Q,Opex_Budget!$A:$A,$C$3,Opex_Budget!$E:$E,$B$402,Opex_Budget!$F:$F,$D$402,Opex_Budget!$N:$N,"GBP")*$H$5)</f>
        <v/>
      </c>
      <c r="K402" s="32">
        <f>IF($B$402="","",SUMIFS(Opex_Budget!$R:$R,Opex_Budget!$A:$A,$C$3,Opex_Budget!$E:$E,$B$402,Opex_Budget!$F:$F,$D$402,Opex_Budget!$N:$N,"JPY")*$E$5+SUMIFS(Opex_Budget!$R:$R,Opex_Budget!$A:$A,$C$3,Opex_Budget!$E:$E,$B$402,Opex_Budget!$F:$F,$D$402,Opex_Budget!$N:$N,"USD")*$F$5+SUMIFS(Opex_Budget!$R:$R,Opex_Budget!$A:$A,$C$3,Opex_Budget!$E:$E,$B$402,Opex_Budget!$F:$F,$D$402,Opex_Budget!$N:$N,"EUR")*$G$5+SUMIFS(Opex_Budget!$R:$R,Opex_Budget!$A:$A,$C$3,Opex_Budget!$E:$E,$B$402,Opex_Budget!$F:$F,$D$402,Opex_Budget!$N:$N,"GBP")*$H$5)</f>
        <v/>
      </c>
      <c r="L402" s="32">
        <f>IF($B$402="","",SUMIFS(Opex_Budget!$S:$S,Opex_Budget!$A:$A,$C$3,Opex_Budget!$E:$E,$B$402,Opex_Budget!$F:$F,$D$402,Opex_Budget!$N:$N,"JPY")*$E$5+SUMIFS(Opex_Budget!$S:$S,Opex_Budget!$A:$A,$C$3,Opex_Budget!$E:$E,$B$402,Opex_Budget!$F:$F,$D$402,Opex_Budget!$N:$N,"USD")*$F$5+SUMIFS(Opex_Budget!$S:$S,Opex_Budget!$A:$A,$C$3,Opex_Budget!$E:$E,$B$402,Opex_Budget!$F:$F,$D$402,Opex_Budget!$N:$N,"EUR")*$G$5+SUMIFS(Opex_Budget!$S:$S,Opex_Budget!$A:$A,$C$3,Opex_Budget!$E:$E,$B$402,Opex_Budget!$F:$F,$D$402,Opex_Budget!$N:$N,"GBP")*$H$5)</f>
        <v/>
      </c>
      <c r="M402" s="32">
        <f>IF($B$402="","",SUMIFS(Opex_Budget!$T:$T,Opex_Budget!$A:$A,$C$3,Opex_Budget!$E:$E,$B$402,Opex_Budget!$F:$F,$D$402,Opex_Budget!$N:$N,"JPY")*$E$5+SUMIFS(Opex_Budget!$T:$T,Opex_Budget!$A:$A,$C$3,Opex_Budget!$E:$E,$B$402,Opex_Budget!$F:$F,$D$402,Opex_Budget!$N:$N,"USD")*$F$5+SUMIFS(Opex_Budget!$T:$T,Opex_Budget!$A:$A,$C$3,Opex_Budget!$E:$E,$B$402,Opex_Budget!$F:$F,$D$402,Opex_Budget!$N:$N,"EUR")*$G$5+SUMIFS(Opex_Budget!$T:$T,Opex_Budget!$A:$A,$C$3,Opex_Budget!$E:$E,$B$402,Opex_Budget!$F:$F,$D$402,Opex_Budget!$N:$N,"GBP")*$H$5)</f>
        <v/>
      </c>
      <c r="N402" s="32">
        <f>IF($B$402="","",SUMIFS(Opex_Budget!$U:$U,Opex_Budget!$A:$A,$C$3,Opex_Budget!$E:$E,$B$402,Opex_Budget!$F:$F,$D$402,Opex_Budget!$N:$N,"JPY")*$E$5+SUMIFS(Opex_Budget!$U:$U,Opex_Budget!$A:$A,$C$3,Opex_Budget!$E:$E,$B$402,Opex_Budget!$F:$F,$D$402,Opex_Budget!$N:$N,"USD")*$F$5+SUMIFS(Opex_Budget!$U:$U,Opex_Budget!$A:$A,$C$3,Opex_Budget!$E:$E,$B$402,Opex_Budget!$F:$F,$D$402,Opex_Budget!$N:$N,"EUR")*$G$5+SUMIFS(Opex_Budget!$U:$U,Opex_Budget!$A:$A,$C$3,Opex_Budget!$E:$E,$B$402,Opex_Budget!$F:$F,$D$402,Opex_Budget!$N:$N,"GBP")*$H$5)</f>
        <v/>
      </c>
      <c r="O402" s="32">
        <f>IF($B$402="","",SUMIFS(Opex_Budget!$V:$V,Opex_Budget!$A:$A,$C$3,Opex_Budget!$E:$E,$B$402,Opex_Budget!$F:$F,$D$402,Opex_Budget!$N:$N,"JPY")*$E$5+SUMIFS(Opex_Budget!$V:$V,Opex_Budget!$A:$A,$C$3,Opex_Budget!$E:$E,$B$402,Opex_Budget!$F:$F,$D$402,Opex_Budget!$N:$N,"USD")*$F$5+SUMIFS(Opex_Budget!$V:$V,Opex_Budget!$A:$A,$C$3,Opex_Budget!$E:$E,$B$402,Opex_Budget!$F:$F,$D$402,Opex_Budget!$N:$N,"EUR")*$G$5+SUMIFS(Opex_Budget!$V:$V,Opex_Budget!$A:$A,$C$3,Opex_Budget!$E:$E,$B$402,Opex_Budget!$F:$F,$D$402,Opex_Budget!$N:$N,"GBP")*$H$5)</f>
        <v/>
      </c>
      <c r="P402" s="32">
        <f>IF($B$402="","",SUMIFS(Opex_Budget!$W:$W,Opex_Budget!$A:$A,$C$3,Opex_Budget!$E:$E,$B$402,Opex_Budget!$F:$F,$D$402,Opex_Budget!$N:$N,"JPY")*$E$5+SUMIFS(Opex_Budget!$W:$W,Opex_Budget!$A:$A,$C$3,Opex_Budget!$E:$E,$B$402,Opex_Budget!$F:$F,$D$402,Opex_Budget!$N:$N,"USD")*$F$5+SUMIFS(Opex_Budget!$W:$W,Opex_Budget!$A:$A,$C$3,Opex_Budget!$E:$E,$B$402,Opex_Budget!$F:$F,$D$402,Opex_Budget!$N:$N,"EUR")*$G$5+SUMIFS(Opex_Budget!$W:$W,Opex_Budget!$A:$A,$C$3,Opex_Budget!$E:$E,$B$402,Opex_Budget!$F:$F,$D$402,Opex_Budget!$N:$N,"GBP")*$H$5)</f>
        <v/>
      </c>
      <c r="Q402" s="32">
        <f>IF($B$402="","",SUMIFS(Opex_Budget!$X:$X,Opex_Budget!$A:$A,$C$3,Opex_Budget!$E:$E,$B$402,Opex_Budget!$F:$F,$D$402,Opex_Budget!$N:$N,"JPY")*$E$5+SUMIFS(Opex_Budget!$X:$X,Opex_Budget!$A:$A,$C$3,Opex_Budget!$E:$E,$B$402,Opex_Budget!$F:$F,$D$402,Opex_Budget!$N:$N,"USD")*$F$5+SUMIFS(Opex_Budget!$X:$X,Opex_Budget!$A:$A,$C$3,Opex_Budget!$E:$E,$B$402,Opex_Budget!$F:$F,$D$402,Opex_Budget!$N:$N,"EUR")*$G$5+SUMIFS(Opex_Budget!$X:$X,Opex_Budget!$A:$A,$C$3,Opex_Budget!$E:$E,$B$402,Opex_Budget!$F:$F,$D$402,Opex_Budget!$N:$N,"GBP")*$H$5)</f>
        <v/>
      </c>
      <c r="R402" s="32">
        <f>IF($B$402="","",SUMIFS(Opex_Budget!$Y:$Y,Opex_Budget!$A:$A,$C$3,Opex_Budget!$E:$E,$B$402,Opex_Budget!$F:$F,$D$402,Opex_Budget!$N:$N,"JPY")*$E$5+SUMIFS(Opex_Budget!$Y:$Y,Opex_Budget!$A:$A,$C$3,Opex_Budget!$E:$E,$B$402,Opex_Budget!$F:$F,$D$402,Opex_Budget!$N:$N,"USD")*$F$5+SUMIFS(Opex_Budget!$Y:$Y,Opex_Budget!$A:$A,$C$3,Opex_Budget!$E:$E,$B$402,Opex_Budget!$F:$F,$D$402,Opex_Budget!$N:$N,"EUR")*$G$5+SUMIFS(Opex_Budget!$Y:$Y,Opex_Budget!$A:$A,$C$3,Opex_Budget!$E:$E,$B$402,Opex_Budget!$F:$F,$D$402,Opex_Budget!$N:$N,"GBP")*$H$5)</f>
        <v/>
      </c>
      <c r="S402" s="32">
        <f>IF($B$402="","",SUMIFS(Opex_Budget!$Z:$Z,Opex_Budget!$A:$A,$C$3,Opex_Budget!$E:$E,$B$402,Opex_Budget!$F:$F,$D$402,Opex_Budget!$N:$N,"JPY")*$E$5+SUMIFS(Opex_Budget!$Z:$Z,Opex_Budget!$A:$A,$C$3,Opex_Budget!$E:$E,$B$402,Opex_Budget!$F:$F,$D$402,Opex_Budget!$N:$N,"USD")*$F$5+SUMIFS(Opex_Budget!$Z:$Z,Opex_Budget!$A:$A,$C$3,Opex_Budget!$E:$E,$B$402,Opex_Budget!$F:$F,$D$402,Opex_Budget!$N:$N,"EUR")*$G$5+SUMIFS(Opex_Budget!$Z:$Z,Opex_Budget!$A:$A,$C$3,Opex_Budget!$E:$E,$B$402,Opex_Budget!$F:$F,$D$402,Opex_Budget!$N:$N,"GBP")*$H$5)</f>
        <v/>
      </c>
      <c r="T402" s="32">
        <f>IF($B$402="","",SUMIF($H$7:$S$7,"&lt;="&amp;$C$4,$H402:$S402))</f>
        <v/>
      </c>
      <c r="U402" s="32">
        <f>IF($B$402="","",SUMIF($H$7:$S$7,"&gt;"&amp;$C$4,$H402:$S402))</f>
        <v/>
      </c>
      <c r="V402" s="32">
        <f>IF($B$402="","",SUM($H402:$S402))</f>
        <v/>
      </c>
      <c r="X402" s="22">
        <f>IF($B402="","",IFERROR(INDEX(Cost_Centers!$E:$E,MATCH($B402,Cost_Centers!$A:$A,0)),"(unknown)"))</f>
        <v/>
      </c>
      <c r="Y402" s="22">
        <f>IF($B402="","",IFERROR(INDEX(Cost_Centers!$D:$D,MATCH($B402,Cost_Centers!$A:$A,0)),"(unknown)"))</f>
        <v/>
      </c>
      <c r="Z402" s="22">
        <f>IF(OR($B402="",$G402&lt;&gt;"Variance vs Budget"),"",ABS(N($V402))+ROW()/1000000000)</f>
        <v/>
      </c>
    </row>
    <row r="403">
      <c r="A403" s="13">
        <f>IF(A$402="","",A$402)</f>
        <v/>
      </c>
      <c r="B403" s="13">
        <f>IF(B$402="","",B$402)</f>
        <v/>
      </c>
      <c r="C403" s="13">
        <f>IF(C$402="","",C$402)</f>
        <v/>
      </c>
      <c r="D403" s="13">
        <f>IF(D$402="","",D$402)</f>
        <v/>
      </c>
      <c r="E403" s="13">
        <f>IF(E$402="","",E$402)</f>
        <v/>
      </c>
      <c r="F403" s="13">
        <f>IF(F$402="","",F$402)</f>
        <v/>
      </c>
      <c r="G403" s="7" t="inlineStr">
        <is>
          <t>Actual</t>
        </is>
      </c>
      <c r="H403" s="18">
        <f>IF(OR($B$402="",1&gt;$C$4),"",SUMIFS(Actuals!$G:$G,Actuals!$B:$B,$C$3,Actuals!$C:$C,1,Actuals!$D:$D,$B$402,Actuals!$A:$A,LEFT($D$402,FIND("|",$D$402&amp;"|")-1),Actuals!$E:$E,MID($D$402,FIND("|",$D$402&amp;"|")+1,50),Actuals!$F:$F,"JPY")*$E$5+SUMIFS(Actuals!$G:$G,Actuals!$B:$B,$C$3,Actuals!$C:$C,1,Actuals!$D:$D,$B$402,Actuals!$A:$A,LEFT($D$402,FIND("|",$D$402&amp;"|")-1),Actuals!$E:$E,MID($D$402,FIND("|",$D$402&amp;"|")+1,50),Actuals!$F:$F,"USD")*$F$5+SUMIFS(Actuals!$G:$G,Actuals!$B:$B,$C$3,Actuals!$C:$C,1,Actuals!$D:$D,$B$402,Actuals!$A:$A,LEFT($D$402,FIND("|",$D$402&amp;"|")-1),Actuals!$E:$E,MID($D$402,FIND("|",$D$402&amp;"|")+1,50),Actuals!$F:$F,"EUR")*$G$5+SUMIFS(Actuals!$G:$G,Actuals!$B:$B,$C$3,Actuals!$C:$C,1,Actuals!$D:$D,$B$402,Actuals!$A:$A,LEFT($D$402,FIND("|",$D$402&amp;"|")-1),Actuals!$E:$E,MID($D$402,FIND("|",$D$402&amp;"|")+1,50),Actuals!$F:$F,"GBP")*$H$5)</f>
        <v/>
      </c>
      <c r="I403" s="18">
        <f>IF(OR($B$402="",2&gt;$C$4),"",SUMIFS(Actuals!$G:$G,Actuals!$B:$B,$C$3,Actuals!$C:$C,2,Actuals!$D:$D,$B$402,Actuals!$A:$A,LEFT($D$402,FIND("|",$D$402&amp;"|")-1),Actuals!$E:$E,MID($D$402,FIND("|",$D$402&amp;"|")+1,50),Actuals!$F:$F,"JPY")*$E$5+SUMIFS(Actuals!$G:$G,Actuals!$B:$B,$C$3,Actuals!$C:$C,2,Actuals!$D:$D,$B$402,Actuals!$A:$A,LEFT($D$402,FIND("|",$D$402&amp;"|")-1),Actuals!$E:$E,MID($D$402,FIND("|",$D$402&amp;"|")+1,50),Actuals!$F:$F,"USD")*$F$5+SUMIFS(Actuals!$G:$G,Actuals!$B:$B,$C$3,Actuals!$C:$C,2,Actuals!$D:$D,$B$402,Actuals!$A:$A,LEFT($D$402,FIND("|",$D$402&amp;"|")-1),Actuals!$E:$E,MID($D$402,FIND("|",$D$402&amp;"|")+1,50),Actuals!$F:$F,"EUR")*$G$5+SUMIFS(Actuals!$G:$G,Actuals!$B:$B,$C$3,Actuals!$C:$C,2,Actuals!$D:$D,$B$402,Actuals!$A:$A,LEFT($D$402,FIND("|",$D$402&amp;"|")-1),Actuals!$E:$E,MID($D$402,FIND("|",$D$402&amp;"|")+1,50),Actuals!$F:$F,"GBP")*$H$5)</f>
        <v/>
      </c>
      <c r="J403" s="18">
        <f>IF(OR($B$402="",3&gt;$C$4),"",SUMIFS(Actuals!$G:$G,Actuals!$B:$B,$C$3,Actuals!$C:$C,3,Actuals!$D:$D,$B$402,Actuals!$A:$A,LEFT($D$402,FIND("|",$D$402&amp;"|")-1),Actuals!$E:$E,MID($D$402,FIND("|",$D$402&amp;"|")+1,50),Actuals!$F:$F,"JPY")*$E$5+SUMIFS(Actuals!$G:$G,Actuals!$B:$B,$C$3,Actuals!$C:$C,3,Actuals!$D:$D,$B$402,Actuals!$A:$A,LEFT($D$402,FIND("|",$D$402&amp;"|")-1),Actuals!$E:$E,MID($D$402,FIND("|",$D$402&amp;"|")+1,50),Actuals!$F:$F,"USD")*$F$5+SUMIFS(Actuals!$G:$G,Actuals!$B:$B,$C$3,Actuals!$C:$C,3,Actuals!$D:$D,$B$402,Actuals!$A:$A,LEFT($D$402,FIND("|",$D$402&amp;"|")-1),Actuals!$E:$E,MID($D$402,FIND("|",$D$402&amp;"|")+1,50),Actuals!$F:$F,"EUR")*$G$5+SUMIFS(Actuals!$G:$G,Actuals!$B:$B,$C$3,Actuals!$C:$C,3,Actuals!$D:$D,$B$402,Actuals!$A:$A,LEFT($D$402,FIND("|",$D$402&amp;"|")-1),Actuals!$E:$E,MID($D$402,FIND("|",$D$402&amp;"|")+1,50),Actuals!$F:$F,"GBP")*$H$5)</f>
        <v/>
      </c>
      <c r="K403" s="18">
        <f>IF(OR($B$402="",4&gt;$C$4),"",SUMIFS(Actuals!$G:$G,Actuals!$B:$B,$C$3,Actuals!$C:$C,4,Actuals!$D:$D,$B$402,Actuals!$A:$A,LEFT($D$402,FIND("|",$D$402&amp;"|")-1),Actuals!$E:$E,MID($D$402,FIND("|",$D$402&amp;"|")+1,50),Actuals!$F:$F,"JPY")*$E$5+SUMIFS(Actuals!$G:$G,Actuals!$B:$B,$C$3,Actuals!$C:$C,4,Actuals!$D:$D,$B$402,Actuals!$A:$A,LEFT($D$402,FIND("|",$D$402&amp;"|")-1),Actuals!$E:$E,MID($D$402,FIND("|",$D$402&amp;"|")+1,50),Actuals!$F:$F,"USD")*$F$5+SUMIFS(Actuals!$G:$G,Actuals!$B:$B,$C$3,Actuals!$C:$C,4,Actuals!$D:$D,$B$402,Actuals!$A:$A,LEFT($D$402,FIND("|",$D$402&amp;"|")-1),Actuals!$E:$E,MID($D$402,FIND("|",$D$402&amp;"|")+1,50),Actuals!$F:$F,"EUR")*$G$5+SUMIFS(Actuals!$G:$G,Actuals!$B:$B,$C$3,Actuals!$C:$C,4,Actuals!$D:$D,$B$402,Actuals!$A:$A,LEFT($D$402,FIND("|",$D$402&amp;"|")-1),Actuals!$E:$E,MID($D$402,FIND("|",$D$402&amp;"|")+1,50),Actuals!$F:$F,"GBP")*$H$5)</f>
        <v/>
      </c>
      <c r="L403" s="18">
        <f>IF(OR($B$402="",5&gt;$C$4),"",SUMIFS(Actuals!$G:$G,Actuals!$B:$B,$C$3,Actuals!$C:$C,5,Actuals!$D:$D,$B$402,Actuals!$A:$A,LEFT($D$402,FIND("|",$D$402&amp;"|")-1),Actuals!$E:$E,MID($D$402,FIND("|",$D$402&amp;"|")+1,50),Actuals!$F:$F,"JPY")*$E$5+SUMIFS(Actuals!$G:$G,Actuals!$B:$B,$C$3,Actuals!$C:$C,5,Actuals!$D:$D,$B$402,Actuals!$A:$A,LEFT($D$402,FIND("|",$D$402&amp;"|")-1),Actuals!$E:$E,MID($D$402,FIND("|",$D$402&amp;"|")+1,50),Actuals!$F:$F,"USD")*$F$5+SUMIFS(Actuals!$G:$G,Actuals!$B:$B,$C$3,Actuals!$C:$C,5,Actuals!$D:$D,$B$402,Actuals!$A:$A,LEFT($D$402,FIND("|",$D$402&amp;"|")-1),Actuals!$E:$E,MID($D$402,FIND("|",$D$402&amp;"|")+1,50),Actuals!$F:$F,"EUR")*$G$5+SUMIFS(Actuals!$G:$G,Actuals!$B:$B,$C$3,Actuals!$C:$C,5,Actuals!$D:$D,$B$402,Actuals!$A:$A,LEFT($D$402,FIND("|",$D$402&amp;"|")-1),Actuals!$E:$E,MID($D$402,FIND("|",$D$402&amp;"|")+1,50),Actuals!$F:$F,"GBP")*$H$5)</f>
        <v/>
      </c>
      <c r="M403" s="18">
        <f>IF(OR($B$402="",6&gt;$C$4),"",SUMIFS(Actuals!$G:$G,Actuals!$B:$B,$C$3,Actuals!$C:$C,6,Actuals!$D:$D,$B$402,Actuals!$A:$A,LEFT($D$402,FIND("|",$D$402&amp;"|")-1),Actuals!$E:$E,MID($D$402,FIND("|",$D$402&amp;"|")+1,50),Actuals!$F:$F,"JPY")*$E$5+SUMIFS(Actuals!$G:$G,Actuals!$B:$B,$C$3,Actuals!$C:$C,6,Actuals!$D:$D,$B$402,Actuals!$A:$A,LEFT($D$402,FIND("|",$D$402&amp;"|")-1),Actuals!$E:$E,MID($D$402,FIND("|",$D$402&amp;"|")+1,50),Actuals!$F:$F,"USD")*$F$5+SUMIFS(Actuals!$G:$G,Actuals!$B:$B,$C$3,Actuals!$C:$C,6,Actuals!$D:$D,$B$402,Actuals!$A:$A,LEFT($D$402,FIND("|",$D$402&amp;"|")-1),Actuals!$E:$E,MID($D$402,FIND("|",$D$402&amp;"|")+1,50),Actuals!$F:$F,"EUR")*$G$5+SUMIFS(Actuals!$G:$G,Actuals!$B:$B,$C$3,Actuals!$C:$C,6,Actuals!$D:$D,$B$402,Actuals!$A:$A,LEFT($D$402,FIND("|",$D$402&amp;"|")-1),Actuals!$E:$E,MID($D$402,FIND("|",$D$402&amp;"|")+1,50),Actuals!$F:$F,"GBP")*$H$5)</f>
        <v/>
      </c>
      <c r="N403" s="18">
        <f>IF(OR($B$402="",7&gt;$C$4),"",SUMIFS(Actuals!$G:$G,Actuals!$B:$B,$C$3,Actuals!$C:$C,7,Actuals!$D:$D,$B$402,Actuals!$A:$A,LEFT($D$402,FIND("|",$D$402&amp;"|")-1),Actuals!$E:$E,MID($D$402,FIND("|",$D$402&amp;"|")+1,50),Actuals!$F:$F,"JPY")*$E$5+SUMIFS(Actuals!$G:$G,Actuals!$B:$B,$C$3,Actuals!$C:$C,7,Actuals!$D:$D,$B$402,Actuals!$A:$A,LEFT($D$402,FIND("|",$D$402&amp;"|")-1),Actuals!$E:$E,MID($D$402,FIND("|",$D$402&amp;"|")+1,50),Actuals!$F:$F,"USD")*$F$5+SUMIFS(Actuals!$G:$G,Actuals!$B:$B,$C$3,Actuals!$C:$C,7,Actuals!$D:$D,$B$402,Actuals!$A:$A,LEFT($D$402,FIND("|",$D$402&amp;"|")-1),Actuals!$E:$E,MID($D$402,FIND("|",$D$402&amp;"|")+1,50),Actuals!$F:$F,"EUR")*$G$5+SUMIFS(Actuals!$G:$G,Actuals!$B:$B,$C$3,Actuals!$C:$C,7,Actuals!$D:$D,$B$402,Actuals!$A:$A,LEFT($D$402,FIND("|",$D$402&amp;"|")-1),Actuals!$E:$E,MID($D$402,FIND("|",$D$402&amp;"|")+1,50),Actuals!$F:$F,"GBP")*$H$5)</f>
        <v/>
      </c>
      <c r="O403" s="18">
        <f>IF(OR($B$402="",8&gt;$C$4),"",SUMIFS(Actuals!$G:$G,Actuals!$B:$B,$C$3,Actuals!$C:$C,8,Actuals!$D:$D,$B$402,Actuals!$A:$A,LEFT($D$402,FIND("|",$D$402&amp;"|")-1),Actuals!$E:$E,MID($D$402,FIND("|",$D$402&amp;"|")+1,50),Actuals!$F:$F,"JPY")*$E$5+SUMIFS(Actuals!$G:$G,Actuals!$B:$B,$C$3,Actuals!$C:$C,8,Actuals!$D:$D,$B$402,Actuals!$A:$A,LEFT($D$402,FIND("|",$D$402&amp;"|")-1),Actuals!$E:$E,MID($D$402,FIND("|",$D$402&amp;"|")+1,50),Actuals!$F:$F,"USD")*$F$5+SUMIFS(Actuals!$G:$G,Actuals!$B:$B,$C$3,Actuals!$C:$C,8,Actuals!$D:$D,$B$402,Actuals!$A:$A,LEFT($D$402,FIND("|",$D$402&amp;"|")-1),Actuals!$E:$E,MID($D$402,FIND("|",$D$402&amp;"|")+1,50),Actuals!$F:$F,"EUR")*$G$5+SUMIFS(Actuals!$G:$G,Actuals!$B:$B,$C$3,Actuals!$C:$C,8,Actuals!$D:$D,$B$402,Actuals!$A:$A,LEFT($D$402,FIND("|",$D$402&amp;"|")-1),Actuals!$E:$E,MID($D$402,FIND("|",$D$402&amp;"|")+1,50),Actuals!$F:$F,"GBP")*$H$5)</f>
        <v/>
      </c>
      <c r="P403" s="18">
        <f>IF(OR($B$402="",9&gt;$C$4),"",SUMIFS(Actuals!$G:$G,Actuals!$B:$B,$C$3,Actuals!$C:$C,9,Actuals!$D:$D,$B$402,Actuals!$A:$A,LEFT($D$402,FIND("|",$D$402&amp;"|")-1),Actuals!$E:$E,MID($D$402,FIND("|",$D$402&amp;"|")+1,50),Actuals!$F:$F,"JPY")*$E$5+SUMIFS(Actuals!$G:$G,Actuals!$B:$B,$C$3,Actuals!$C:$C,9,Actuals!$D:$D,$B$402,Actuals!$A:$A,LEFT($D$402,FIND("|",$D$402&amp;"|")-1),Actuals!$E:$E,MID($D$402,FIND("|",$D$402&amp;"|")+1,50),Actuals!$F:$F,"USD")*$F$5+SUMIFS(Actuals!$G:$G,Actuals!$B:$B,$C$3,Actuals!$C:$C,9,Actuals!$D:$D,$B$402,Actuals!$A:$A,LEFT($D$402,FIND("|",$D$402&amp;"|")-1),Actuals!$E:$E,MID($D$402,FIND("|",$D$402&amp;"|")+1,50),Actuals!$F:$F,"EUR")*$G$5+SUMIFS(Actuals!$G:$G,Actuals!$B:$B,$C$3,Actuals!$C:$C,9,Actuals!$D:$D,$B$402,Actuals!$A:$A,LEFT($D$402,FIND("|",$D$402&amp;"|")-1),Actuals!$E:$E,MID($D$402,FIND("|",$D$402&amp;"|")+1,50),Actuals!$F:$F,"GBP")*$H$5)</f>
        <v/>
      </c>
      <c r="Q403" s="18">
        <f>IF(OR($B$402="",10&gt;$C$4),"",SUMIFS(Actuals!$G:$G,Actuals!$B:$B,$C$3,Actuals!$C:$C,10,Actuals!$D:$D,$B$402,Actuals!$A:$A,LEFT($D$402,FIND("|",$D$402&amp;"|")-1),Actuals!$E:$E,MID($D$402,FIND("|",$D$402&amp;"|")+1,50),Actuals!$F:$F,"JPY")*$E$5+SUMIFS(Actuals!$G:$G,Actuals!$B:$B,$C$3,Actuals!$C:$C,10,Actuals!$D:$D,$B$402,Actuals!$A:$A,LEFT($D$402,FIND("|",$D$402&amp;"|")-1),Actuals!$E:$E,MID($D$402,FIND("|",$D$402&amp;"|")+1,50),Actuals!$F:$F,"USD")*$F$5+SUMIFS(Actuals!$G:$G,Actuals!$B:$B,$C$3,Actuals!$C:$C,10,Actuals!$D:$D,$B$402,Actuals!$A:$A,LEFT($D$402,FIND("|",$D$402&amp;"|")-1),Actuals!$E:$E,MID($D$402,FIND("|",$D$402&amp;"|")+1,50),Actuals!$F:$F,"EUR")*$G$5+SUMIFS(Actuals!$G:$G,Actuals!$B:$B,$C$3,Actuals!$C:$C,10,Actuals!$D:$D,$B$402,Actuals!$A:$A,LEFT($D$402,FIND("|",$D$402&amp;"|")-1),Actuals!$E:$E,MID($D$402,FIND("|",$D$402&amp;"|")+1,50),Actuals!$F:$F,"GBP")*$H$5)</f>
        <v/>
      </c>
      <c r="R403" s="18">
        <f>IF(OR($B$402="",11&gt;$C$4),"",SUMIFS(Actuals!$G:$G,Actuals!$B:$B,$C$3,Actuals!$C:$C,11,Actuals!$D:$D,$B$402,Actuals!$A:$A,LEFT($D$402,FIND("|",$D$402&amp;"|")-1),Actuals!$E:$E,MID($D$402,FIND("|",$D$402&amp;"|")+1,50),Actuals!$F:$F,"JPY")*$E$5+SUMIFS(Actuals!$G:$G,Actuals!$B:$B,$C$3,Actuals!$C:$C,11,Actuals!$D:$D,$B$402,Actuals!$A:$A,LEFT($D$402,FIND("|",$D$402&amp;"|")-1),Actuals!$E:$E,MID($D$402,FIND("|",$D$402&amp;"|")+1,50),Actuals!$F:$F,"USD")*$F$5+SUMIFS(Actuals!$G:$G,Actuals!$B:$B,$C$3,Actuals!$C:$C,11,Actuals!$D:$D,$B$402,Actuals!$A:$A,LEFT($D$402,FIND("|",$D$402&amp;"|")-1),Actuals!$E:$E,MID($D$402,FIND("|",$D$402&amp;"|")+1,50),Actuals!$F:$F,"EUR")*$G$5+SUMIFS(Actuals!$G:$G,Actuals!$B:$B,$C$3,Actuals!$C:$C,11,Actuals!$D:$D,$B$402,Actuals!$A:$A,LEFT($D$402,FIND("|",$D$402&amp;"|")-1),Actuals!$E:$E,MID($D$402,FIND("|",$D$402&amp;"|")+1,50),Actuals!$F:$F,"GBP")*$H$5)</f>
        <v/>
      </c>
      <c r="S403" s="18">
        <f>IF(OR($B$402="",12&gt;$C$4),"",SUMIFS(Actuals!$G:$G,Actuals!$B:$B,$C$3,Actuals!$C:$C,12,Actuals!$D:$D,$B$402,Actuals!$A:$A,LEFT($D$402,FIND("|",$D$402&amp;"|")-1),Actuals!$E:$E,MID($D$402,FIND("|",$D$402&amp;"|")+1,50),Actuals!$F:$F,"JPY")*$E$5+SUMIFS(Actuals!$G:$G,Actuals!$B:$B,$C$3,Actuals!$C:$C,12,Actuals!$D:$D,$B$402,Actuals!$A:$A,LEFT($D$402,FIND("|",$D$402&amp;"|")-1),Actuals!$E:$E,MID($D$402,FIND("|",$D$402&amp;"|")+1,50),Actuals!$F:$F,"USD")*$F$5+SUMIFS(Actuals!$G:$G,Actuals!$B:$B,$C$3,Actuals!$C:$C,12,Actuals!$D:$D,$B$402,Actuals!$A:$A,LEFT($D$402,FIND("|",$D$402&amp;"|")-1),Actuals!$E:$E,MID($D$402,FIND("|",$D$402&amp;"|")+1,50),Actuals!$F:$F,"EUR")*$G$5+SUMIFS(Actuals!$G:$G,Actuals!$B:$B,$C$3,Actuals!$C:$C,12,Actuals!$D:$D,$B$402,Actuals!$A:$A,LEFT($D$402,FIND("|",$D$402&amp;"|")-1),Actuals!$E:$E,MID($D$402,FIND("|",$D$402&amp;"|")+1,50),Actuals!$F:$F,"GBP")*$H$5)</f>
        <v/>
      </c>
      <c r="T403" s="18">
        <f>IF($B$402="","",SUMIF($H$7:$S$7,"&lt;="&amp;$C$4,$H403:$S403))</f>
        <v/>
      </c>
      <c r="U403" s="18" t="n"/>
      <c r="V403" s="18" t="n"/>
      <c r="X403" s="22">
        <f>IF($B403="","",IFERROR(INDEX(Cost_Centers!$E:$E,MATCH($B403,Cost_Centers!$A:$A,0)),"(unknown)"))</f>
        <v/>
      </c>
      <c r="Y403" s="22">
        <f>IF($B403="","",IFERROR(INDEX(Cost_Centers!$D:$D,MATCH($B403,Cost_Centers!$A:$A,0)),"(unknown)"))</f>
        <v/>
      </c>
      <c r="Z403" s="22">
        <f>IF(OR($B403="",$G403&lt;&gt;"Variance vs Budget"),"",ABS(N($V403))+ROW()/1000000000)</f>
        <v/>
      </c>
    </row>
    <row r="404">
      <c r="A404" s="13">
        <f>IF(A$402="","",A$402)</f>
        <v/>
      </c>
      <c r="B404" s="13">
        <f>IF(B$402="","",B$402)</f>
        <v/>
      </c>
      <c r="C404" s="13">
        <f>IF(C$402="","",C$402)</f>
        <v/>
      </c>
      <c r="D404" s="13">
        <f>IF(D$402="","",D$402)</f>
        <v/>
      </c>
      <c r="E404" s="13">
        <f>IF(E$402="","",E$402)</f>
        <v/>
      </c>
      <c r="F404" s="13">
        <f>IF(F$402="","",F$402)</f>
        <v/>
      </c>
      <c r="G404" s="6" t="inlineStr">
        <is>
          <t>Variance vs Budget</t>
        </is>
      </c>
      <c r="H404" s="33">
        <f>IF(OR($B$402="",1&gt;$C$4),"",N(H403)-H402)</f>
        <v/>
      </c>
      <c r="I404" s="33">
        <f>IF(OR($B$402="",2&gt;$C$4),"",N(I403)-I402)</f>
        <v/>
      </c>
      <c r="J404" s="33">
        <f>IF(OR($B$402="",3&gt;$C$4),"",N(J403)-J402)</f>
        <v/>
      </c>
      <c r="K404" s="33">
        <f>IF(OR($B$402="",4&gt;$C$4),"",N(K403)-K402)</f>
        <v/>
      </c>
      <c r="L404" s="33">
        <f>IF(OR($B$402="",5&gt;$C$4),"",N(L403)-L402)</f>
        <v/>
      </c>
      <c r="M404" s="33">
        <f>IF(OR($B$402="",6&gt;$C$4),"",N(M403)-M402)</f>
        <v/>
      </c>
      <c r="N404" s="33">
        <f>IF(OR($B$402="",7&gt;$C$4),"",N(N403)-N402)</f>
        <v/>
      </c>
      <c r="O404" s="33">
        <f>IF(OR($B$402="",8&gt;$C$4),"",N(O403)-O402)</f>
        <v/>
      </c>
      <c r="P404" s="33">
        <f>IF(OR($B$402="",9&gt;$C$4),"",N(P403)-P402)</f>
        <v/>
      </c>
      <c r="Q404" s="33">
        <f>IF(OR($B$402="",10&gt;$C$4),"",N(Q403)-Q402)</f>
        <v/>
      </c>
      <c r="R404" s="33">
        <f>IF(OR($B$402="",11&gt;$C$4),"",N(R403)-R402)</f>
        <v/>
      </c>
      <c r="S404" s="33">
        <f>IF(OR($B$402="",12&gt;$C$4),"",N(S403)-S402)</f>
        <v/>
      </c>
      <c r="T404" s="33">
        <f>IF($B$402="","",T403-T402)</f>
        <v/>
      </c>
      <c r="U404" s="33">
        <f>IF($B$402="","",U406-U402)</f>
        <v/>
      </c>
      <c r="V404" s="33">
        <f>IF($B$402="","",V406-V402)</f>
        <v/>
      </c>
      <c r="X404" s="22">
        <f>IF($B404="","",IFERROR(INDEX(Cost_Centers!$E:$E,MATCH($B404,Cost_Centers!$A:$A,0)),"(unknown)"))</f>
        <v/>
      </c>
      <c r="Y404" s="22">
        <f>IF($B404="","",IFERROR(INDEX(Cost_Centers!$D:$D,MATCH($B404,Cost_Centers!$A:$A,0)),"(unknown)"))</f>
        <v/>
      </c>
      <c r="Z404" s="22">
        <f>IF(OR($B404="",$G404&lt;&gt;"Variance vs Budget"),"",ABS(N($V404))+ROW()/1000000000)</f>
        <v/>
      </c>
    </row>
    <row r="405">
      <c r="A405" s="13">
        <f>IF(A$402="","",A$402)</f>
        <v/>
      </c>
      <c r="B405" s="13">
        <f>IF(B$402="","",B$402)</f>
        <v/>
      </c>
      <c r="C405" s="13">
        <f>IF(C$402="","",C$402)</f>
        <v/>
      </c>
      <c r="D405" s="13">
        <f>IF(D$402="","",D$402)</f>
        <v/>
      </c>
      <c r="E405" s="13">
        <f>IF(E$402="","",E$402)</f>
        <v/>
      </c>
      <c r="F405" s="13">
        <f>IF(F$402="","",F$402)</f>
        <v/>
      </c>
      <c r="G405" s="7" t="inlineStr">
        <is>
          <t>Forecast (input)</t>
        </is>
      </c>
      <c r="H405" s="34" t="n"/>
      <c r="I405" s="34" t="n"/>
      <c r="J405" s="34" t="n"/>
      <c r="K405" s="34" t="n"/>
      <c r="L405" s="34" t="n"/>
      <c r="M405" s="34" t="n"/>
      <c r="N405" s="34" t="n"/>
      <c r="O405" s="34" t="n"/>
      <c r="P405" s="34" t="n"/>
      <c r="Q405" s="34" t="n"/>
      <c r="R405" s="34" t="n"/>
      <c r="S405" s="34" t="n"/>
      <c r="T405" s="18" t="n"/>
      <c r="U405" s="18" t="n"/>
      <c r="V405" s="18" t="n"/>
      <c r="X405" s="22">
        <f>IF($B405="","",IFERROR(INDEX(Cost_Centers!$E:$E,MATCH($B405,Cost_Centers!$A:$A,0)),"(unknown)"))</f>
        <v/>
      </c>
      <c r="Y405" s="22">
        <f>IF($B405="","",IFERROR(INDEX(Cost_Centers!$D:$D,MATCH($B405,Cost_Centers!$A:$A,0)),"(unknown)"))</f>
        <v/>
      </c>
      <c r="Z405" s="22">
        <f>IF(OR($B405="",$G405&lt;&gt;"Variance vs Budget"),"",ABS(N($V405))+ROW()/1000000000)</f>
        <v/>
      </c>
    </row>
    <row r="406">
      <c r="A406" s="13">
        <f>IF(A$402="","",A$402)</f>
        <v/>
      </c>
      <c r="B406" s="13">
        <f>IF(B$402="","",B$402)</f>
        <v/>
      </c>
      <c r="C406" s="13">
        <f>IF(C$402="","",C$402)</f>
        <v/>
      </c>
      <c r="D406" s="13">
        <f>IF(D$402="","",D$402)</f>
        <v/>
      </c>
      <c r="E406" s="13">
        <f>IF(E$402="","",E$402)</f>
        <v/>
      </c>
      <c r="F406" s="13">
        <f>IF(F$402="","",F$402)</f>
        <v/>
      </c>
      <c r="G406" s="35" t="inlineStr">
        <is>
          <t>Actual + Forecast</t>
        </is>
      </c>
      <c r="H406" s="18">
        <f>IF($B$402="","",IF(1&lt;=$C$4,N(H403),IF(H405="",H402,H405)))</f>
        <v/>
      </c>
      <c r="I406" s="18">
        <f>IF($B$402="","",IF(2&lt;=$C$4,N(I403),IF(I405="",I402,I405)))</f>
        <v/>
      </c>
      <c r="J406" s="18">
        <f>IF($B$402="","",IF(3&lt;=$C$4,N(J403),IF(J405="",J402,J405)))</f>
        <v/>
      </c>
      <c r="K406" s="18">
        <f>IF($B$402="","",IF(4&lt;=$C$4,N(K403),IF(K405="",K402,K405)))</f>
        <v/>
      </c>
      <c r="L406" s="18">
        <f>IF($B$402="","",IF(5&lt;=$C$4,N(L403),IF(L405="",L402,L405)))</f>
        <v/>
      </c>
      <c r="M406" s="18">
        <f>IF($B$402="","",IF(6&lt;=$C$4,N(M403),IF(M405="",M402,M405)))</f>
        <v/>
      </c>
      <c r="N406" s="18">
        <f>IF($B$402="","",IF(7&lt;=$C$4,N(N403),IF(N405="",N402,N405)))</f>
        <v/>
      </c>
      <c r="O406" s="18">
        <f>IF($B$402="","",IF(8&lt;=$C$4,N(O403),IF(O405="",O402,O405)))</f>
        <v/>
      </c>
      <c r="P406" s="18">
        <f>IF($B$402="","",IF(9&lt;=$C$4,N(P403),IF(P405="",P402,P405)))</f>
        <v/>
      </c>
      <c r="Q406" s="18">
        <f>IF($B$402="","",IF(10&lt;=$C$4,N(Q403),IF(Q405="",Q402,Q405)))</f>
        <v/>
      </c>
      <c r="R406" s="18">
        <f>IF($B$402="","",IF(11&lt;=$C$4,N(R403),IF(R405="",R402,R405)))</f>
        <v/>
      </c>
      <c r="S406" s="18">
        <f>IF($B$402="","",IF(12&lt;=$C$4,N(S403),IF(S405="",S402,S405)))</f>
        <v/>
      </c>
      <c r="T406" s="18">
        <f>IF($B$402="","",SUMIF($H$7:$S$7,"&lt;="&amp;$C$4,$H406:$S406))</f>
        <v/>
      </c>
      <c r="U406" s="18">
        <f>IF($B$402="","",SUMIF($H$7:$S$7,"&gt;"&amp;$C$4,$H406:$S406))</f>
        <v/>
      </c>
      <c r="V406" s="18">
        <f>IF($B$402="","",SUM($H406:$S406))</f>
        <v/>
      </c>
      <c r="X406" s="22">
        <f>IF($B406="","",IFERROR(INDEX(Cost_Centers!$E:$E,MATCH($B406,Cost_Centers!$A:$A,0)),"(unknown)"))</f>
        <v/>
      </c>
      <c r="Y406" s="22">
        <f>IF($B406="","",IFERROR(INDEX(Cost_Centers!$D:$D,MATCH($B406,Cost_Centers!$A:$A,0)),"(unknown)"))</f>
        <v/>
      </c>
      <c r="Z406" s="22">
        <f>IF(OR($B406="",$G406&lt;&gt;"Variance vs Budget"),"",ABS(N($V406))+ROW()/1000000000)</f>
        <v/>
      </c>
    </row>
    <row r="407">
      <c r="A407" s="13">
        <f>IF(A$402="","",A$402)</f>
        <v/>
      </c>
      <c r="B407" s="13">
        <f>IF(B$402="","",B$402)</f>
        <v/>
      </c>
      <c r="C407" s="13">
        <f>IF(C$402="","",C$402)</f>
        <v/>
      </c>
      <c r="D407" s="13">
        <f>IF(D$402="","",D$402)</f>
        <v/>
      </c>
      <c r="E407" s="13">
        <f>IF(E$402="","",E$402)</f>
        <v/>
      </c>
      <c r="F407" s="13">
        <f>IF(F$402="","",F$402)</f>
        <v/>
      </c>
      <c r="G407" s="36" t="inlineStr">
        <is>
          <t>Prior Month Forecast</t>
        </is>
      </c>
      <c r="H407" s="37">
        <f>IF($B$402="","",IF(COUNTIFS(Prior_Forecast!$A:$A,$B$402,Prior_Forecast!$B:$B,$D$402)&gt;0,SUMIFS(Prior_Forecast!$C:$C,Prior_Forecast!$A:$A,$B$402,Prior_Forecast!$B:$B,$D$402),""))</f>
        <v/>
      </c>
      <c r="I407" s="37">
        <f>IF($B$402="","",IF(COUNTIFS(Prior_Forecast!$A:$A,$B$402,Prior_Forecast!$B:$B,$D$402)&gt;0,SUMIFS(Prior_Forecast!$D:$D,Prior_Forecast!$A:$A,$B$402,Prior_Forecast!$B:$B,$D$402),""))</f>
        <v/>
      </c>
      <c r="J407" s="37">
        <f>IF($B$402="","",IF(COUNTIFS(Prior_Forecast!$A:$A,$B$402,Prior_Forecast!$B:$B,$D$402)&gt;0,SUMIFS(Prior_Forecast!$E:$E,Prior_Forecast!$A:$A,$B$402,Prior_Forecast!$B:$B,$D$402),""))</f>
        <v/>
      </c>
      <c r="K407" s="37">
        <f>IF($B$402="","",IF(COUNTIFS(Prior_Forecast!$A:$A,$B$402,Prior_Forecast!$B:$B,$D$402)&gt;0,SUMIFS(Prior_Forecast!$F:$F,Prior_Forecast!$A:$A,$B$402,Prior_Forecast!$B:$B,$D$402),""))</f>
        <v/>
      </c>
      <c r="L407" s="37">
        <f>IF($B$402="","",IF(COUNTIFS(Prior_Forecast!$A:$A,$B$402,Prior_Forecast!$B:$B,$D$402)&gt;0,SUMIFS(Prior_Forecast!$G:$G,Prior_Forecast!$A:$A,$B$402,Prior_Forecast!$B:$B,$D$402),""))</f>
        <v/>
      </c>
      <c r="M407" s="37">
        <f>IF($B$402="","",IF(COUNTIFS(Prior_Forecast!$A:$A,$B$402,Prior_Forecast!$B:$B,$D$402)&gt;0,SUMIFS(Prior_Forecast!$H:$H,Prior_Forecast!$A:$A,$B$402,Prior_Forecast!$B:$B,$D$402),""))</f>
        <v/>
      </c>
      <c r="N407" s="37">
        <f>IF($B$402="","",IF(COUNTIFS(Prior_Forecast!$A:$A,$B$402,Prior_Forecast!$B:$B,$D$402)&gt;0,SUMIFS(Prior_Forecast!$I:$I,Prior_Forecast!$A:$A,$B$402,Prior_Forecast!$B:$B,$D$402),""))</f>
        <v/>
      </c>
      <c r="O407" s="37">
        <f>IF($B$402="","",IF(COUNTIFS(Prior_Forecast!$A:$A,$B$402,Prior_Forecast!$B:$B,$D$402)&gt;0,SUMIFS(Prior_Forecast!$J:$J,Prior_Forecast!$A:$A,$B$402,Prior_Forecast!$B:$B,$D$402),""))</f>
        <v/>
      </c>
      <c r="P407" s="37">
        <f>IF($B$402="","",IF(COUNTIFS(Prior_Forecast!$A:$A,$B$402,Prior_Forecast!$B:$B,$D$402)&gt;0,SUMIFS(Prior_Forecast!$K:$K,Prior_Forecast!$A:$A,$B$402,Prior_Forecast!$B:$B,$D$402),""))</f>
        <v/>
      </c>
      <c r="Q407" s="37">
        <f>IF($B$402="","",IF(COUNTIFS(Prior_Forecast!$A:$A,$B$402,Prior_Forecast!$B:$B,$D$402)&gt;0,SUMIFS(Prior_Forecast!$L:$L,Prior_Forecast!$A:$A,$B$402,Prior_Forecast!$B:$B,$D$402),""))</f>
        <v/>
      </c>
      <c r="R407" s="37">
        <f>IF($B$402="","",IF(COUNTIFS(Prior_Forecast!$A:$A,$B$402,Prior_Forecast!$B:$B,$D$402)&gt;0,SUMIFS(Prior_Forecast!$M:$M,Prior_Forecast!$A:$A,$B$402,Prior_Forecast!$B:$B,$D$402),""))</f>
        <v/>
      </c>
      <c r="S407" s="37">
        <f>IF($B$402="","",IF(COUNTIFS(Prior_Forecast!$A:$A,$B$402,Prior_Forecast!$B:$B,$D$402)&gt;0,SUMIFS(Prior_Forecast!$N:$N,Prior_Forecast!$A:$A,$B$402,Prior_Forecast!$B:$B,$D$402),""))</f>
        <v/>
      </c>
      <c r="T407" s="37">
        <f>IF($B$402="","",IF(COUNTIFS(Prior_Forecast!$A:$A,$B$402,Prior_Forecast!$B:$B,$D$402)&gt;0,SUMIFS(Prior_Forecast!$O:$O,Prior_Forecast!$A:$A,$B$402,Prior_Forecast!$B:$B,$D$402),""))</f>
        <v/>
      </c>
      <c r="U407" s="37">
        <f>IF($B$402="","",IF(COUNTIFS(Prior_Forecast!$A:$A,$B$402,Prior_Forecast!$B:$B,$D$402)&gt;0,SUMIFS(Prior_Forecast!$P:$P,Prior_Forecast!$A:$A,$B$402,Prior_Forecast!$B:$B,$D$402),""))</f>
        <v/>
      </c>
      <c r="V407" s="37">
        <f>IF($B$402="","",IF(COUNTIFS(Prior_Forecast!$A:$A,$B$402,Prior_Forecast!$B:$B,$D$402)&gt;0,SUMIFS(Prior_Forecast!$Q:$Q,Prior_Forecast!$A:$A,$B$402,Prior_Forecast!$B:$B,$D$402),""))</f>
        <v/>
      </c>
      <c r="X407" s="22">
        <f>IF($B407="","",IFERROR(INDEX(Cost_Centers!$E:$E,MATCH($B407,Cost_Centers!$A:$A,0)),"(unknown)"))</f>
        <v/>
      </c>
      <c r="Y407" s="22">
        <f>IF($B407="","",IFERROR(INDEX(Cost_Centers!$D:$D,MATCH($B407,Cost_Centers!$A:$A,0)),"(unknown)"))</f>
        <v/>
      </c>
      <c r="Z407" s="22">
        <f>IF(OR($B407="",$G407&lt;&gt;"Variance vs Budget"),"",ABS(N($V407))+ROW()/1000000000)</f>
        <v/>
      </c>
    </row>
    <row r="408">
      <c r="A408" s="13">
        <f>IF(A$402="","",A$402)</f>
        <v/>
      </c>
      <c r="B408" s="13">
        <f>IF(B$402="","",B$402)</f>
        <v/>
      </c>
      <c r="C408" s="13">
        <f>IF(C$402="","",C$402)</f>
        <v/>
      </c>
      <c r="D408" s="13">
        <f>IF(D$402="","",D$402)</f>
        <v/>
      </c>
      <c r="E408" s="13">
        <f>IF(E$402="","",E$402)</f>
        <v/>
      </c>
      <c r="F408" s="13">
        <f>IF(F$402="","",F$402)</f>
        <v/>
      </c>
      <c r="G408" s="6" t="inlineStr">
        <is>
          <t>Variance vs Prior Month</t>
        </is>
      </c>
      <c r="H408" s="33">
        <f>IF(OR($B$402="",H407=""),"",H406-H407)</f>
        <v/>
      </c>
      <c r="I408" s="33">
        <f>IF(OR($B$402="",I407=""),"",I406-I407)</f>
        <v/>
      </c>
      <c r="J408" s="33">
        <f>IF(OR($B$402="",J407=""),"",J406-J407)</f>
        <v/>
      </c>
      <c r="K408" s="33">
        <f>IF(OR($B$402="",K407=""),"",K406-K407)</f>
        <v/>
      </c>
      <c r="L408" s="33">
        <f>IF(OR($B$402="",L407=""),"",L406-L407)</f>
        <v/>
      </c>
      <c r="M408" s="33">
        <f>IF(OR($B$402="",M407=""),"",M406-M407)</f>
        <v/>
      </c>
      <c r="N408" s="33">
        <f>IF(OR($B$402="",N407=""),"",N406-N407)</f>
        <v/>
      </c>
      <c r="O408" s="33">
        <f>IF(OR($B$402="",O407=""),"",O406-O407)</f>
        <v/>
      </c>
      <c r="P408" s="33">
        <f>IF(OR($B$402="",P407=""),"",P406-P407)</f>
        <v/>
      </c>
      <c r="Q408" s="33">
        <f>IF(OR($B$402="",Q407=""),"",Q406-Q407)</f>
        <v/>
      </c>
      <c r="R408" s="33">
        <f>IF(OR($B$402="",R407=""),"",R406-R407)</f>
        <v/>
      </c>
      <c r="S408" s="33">
        <f>IF(OR($B$402="",S407=""),"",S406-S407)</f>
        <v/>
      </c>
      <c r="T408" s="33">
        <f>IF(OR($B$402="",T407=""),"",T406-T407)</f>
        <v/>
      </c>
      <c r="U408" s="33">
        <f>IF(OR($B$402="",U407=""),"",U406-U407)</f>
        <v/>
      </c>
      <c r="V408" s="33">
        <f>IF(OR($B$402="",V407=""),"",V406-V407)</f>
        <v/>
      </c>
      <c r="X408" s="22">
        <f>IF($B408="","",IFERROR(INDEX(Cost_Centers!$E:$E,MATCH($B408,Cost_Centers!$A:$A,0)),"(unknown)"))</f>
        <v/>
      </c>
      <c r="Y408" s="22">
        <f>IF($B408="","",IFERROR(INDEX(Cost_Centers!$D:$D,MATCH($B408,Cost_Centers!$A:$A,0)),"(unknown)"))</f>
        <v/>
      </c>
      <c r="Z408" s="22">
        <f>IF(OR($B408="",$G408&lt;&gt;"Variance vs Budget"),"",ABS(N($V408))+ROW()/1000000000)</f>
        <v/>
      </c>
    </row>
    <row r="409" ht="45" customHeight="1">
      <c r="A409" s="13">
        <f>IF(A$402="","",A$402)</f>
        <v/>
      </c>
      <c r="B409" s="13">
        <f>IF(B$402="","",B$402)</f>
        <v/>
      </c>
      <c r="C409" s="13">
        <f>IF(C$402="","",C$402)</f>
        <v/>
      </c>
      <c r="D409" s="13">
        <f>IF(D$402="","",D$402)</f>
        <v/>
      </c>
      <c r="E409" s="13">
        <f>IF(E$402="","",E$402)</f>
        <v/>
      </c>
      <c r="F409" s="13">
        <f>IF(F$402="","",F$402)</f>
        <v/>
      </c>
      <c r="G409" s="7" t="inlineStr">
        <is>
          <t>Rationale</t>
        </is>
      </c>
      <c r="H409" s="38" t="n"/>
      <c r="I409" s="38" t="n"/>
      <c r="J409" s="38" t="n"/>
      <c r="K409" s="38" t="n"/>
      <c r="L409" s="38" t="n"/>
      <c r="M409" s="38" t="n"/>
      <c r="N409" s="38" t="n"/>
      <c r="O409" s="38" t="n"/>
      <c r="P409" s="38" t="n"/>
      <c r="Q409" s="38" t="n"/>
      <c r="R409" s="38" t="n"/>
      <c r="S409" s="38" t="n"/>
      <c r="T409" s="38" t="n"/>
      <c r="U409" s="38" t="n"/>
      <c r="V409" s="7" t="n"/>
      <c r="X409" s="22">
        <f>IF($B409="","",IFERROR(INDEX(Cost_Centers!$E:$E,MATCH($B409,Cost_Centers!$A:$A,0)),"(unknown)"))</f>
        <v/>
      </c>
      <c r="Y409" s="22">
        <f>IF($B409="","",IFERROR(INDEX(Cost_Centers!$D:$D,MATCH($B409,Cost_Centers!$A:$A,0)),"(unknown)"))</f>
        <v/>
      </c>
      <c r="Z409" s="22">
        <f>IF(OR($B409="",$G409&lt;&gt;"Variance vs Budget"),"",ABS(N($V409))+ROW()/1000000000)</f>
        <v/>
      </c>
    </row>
    <row r="410">
      <c r="A410" s="30">
        <f>IF($D$410="","",LEFT($D$410,FIND("|",$D$410&amp;"|")-1))</f>
        <v/>
      </c>
      <c r="B410" s="31" t="n"/>
      <c r="C410" s="30">
        <f>IF($B$410="","",IFERROR(INDEX(Cost_Centers!$B:$B,MATCH($B$410,Cost_Centers!$A:$A,0)),"(not in master)"))</f>
        <v/>
      </c>
      <c r="D410" s="31" t="n"/>
      <c r="E410" s="30">
        <f>IF($D$410="","",IFERROR(INDEX(Accounts!$D:$D,MATCH($D$410,Accounts!$A:$A,0)),"(not in master)"))</f>
        <v/>
      </c>
      <c r="F410" s="31" t="n"/>
      <c r="G410" s="30" t="inlineStr">
        <is>
          <t>Budget</t>
        </is>
      </c>
      <c r="H410" s="32">
        <f>IF($B$410="","",SUMIFS(Opex_Budget!$O:$O,Opex_Budget!$A:$A,$C$3,Opex_Budget!$E:$E,$B$410,Opex_Budget!$F:$F,$D$410,Opex_Budget!$N:$N,"JPY")*$E$5+SUMIFS(Opex_Budget!$O:$O,Opex_Budget!$A:$A,$C$3,Opex_Budget!$E:$E,$B$410,Opex_Budget!$F:$F,$D$410,Opex_Budget!$N:$N,"USD")*$F$5+SUMIFS(Opex_Budget!$O:$O,Opex_Budget!$A:$A,$C$3,Opex_Budget!$E:$E,$B$410,Opex_Budget!$F:$F,$D$410,Opex_Budget!$N:$N,"EUR")*$G$5+SUMIFS(Opex_Budget!$O:$O,Opex_Budget!$A:$A,$C$3,Opex_Budget!$E:$E,$B$410,Opex_Budget!$F:$F,$D$410,Opex_Budget!$N:$N,"GBP")*$H$5)</f>
        <v/>
      </c>
      <c r="I410" s="32">
        <f>IF($B$410="","",SUMIFS(Opex_Budget!$P:$P,Opex_Budget!$A:$A,$C$3,Opex_Budget!$E:$E,$B$410,Opex_Budget!$F:$F,$D$410,Opex_Budget!$N:$N,"JPY")*$E$5+SUMIFS(Opex_Budget!$P:$P,Opex_Budget!$A:$A,$C$3,Opex_Budget!$E:$E,$B$410,Opex_Budget!$F:$F,$D$410,Opex_Budget!$N:$N,"USD")*$F$5+SUMIFS(Opex_Budget!$P:$P,Opex_Budget!$A:$A,$C$3,Opex_Budget!$E:$E,$B$410,Opex_Budget!$F:$F,$D$410,Opex_Budget!$N:$N,"EUR")*$G$5+SUMIFS(Opex_Budget!$P:$P,Opex_Budget!$A:$A,$C$3,Opex_Budget!$E:$E,$B$410,Opex_Budget!$F:$F,$D$410,Opex_Budget!$N:$N,"GBP")*$H$5)</f>
        <v/>
      </c>
      <c r="J410" s="32">
        <f>IF($B$410="","",SUMIFS(Opex_Budget!$Q:$Q,Opex_Budget!$A:$A,$C$3,Opex_Budget!$E:$E,$B$410,Opex_Budget!$F:$F,$D$410,Opex_Budget!$N:$N,"JPY")*$E$5+SUMIFS(Opex_Budget!$Q:$Q,Opex_Budget!$A:$A,$C$3,Opex_Budget!$E:$E,$B$410,Opex_Budget!$F:$F,$D$410,Opex_Budget!$N:$N,"USD")*$F$5+SUMIFS(Opex_Budget!$Q:$Q,Opex_Budget!$A:$A,$C$3,Opex_Budget!$E:$E,$B$410,Opex_Budget!$F:$F,$D$410,Opex_Budget!$N:$N,"EUR")*$G$5+SUMIFS(Opex_Budget!$Q:$Q,Opex_Budget!$A:$A,$C$3,Opex_Budget!$E:$E,$B$410,Opex_Budget!$F:$F,$D$410,Opex_Budget!$N:$N,"GBP")*$H$5)</f>
        <v/>
      </c>
      <c r="K410" s="32">
        <f>IF($B$410="","",SUMIFS(Opex_Budget!$R:$R,Opex_Budget!$A:$A,$C$3,Opex_Budget!$E:$E,$B$410,Opex_Budget!$F:$F,$D$410,Opex_Budget!$N:$N,"JPY")*$E$5+SUMIFS(Opex_Budget!$R:$R,Opex_Budget!$A:$A,$C$3,Opex_Budget!$E:$E,$B$410,Opex_Budget!$F:$F,$D$410,Opex_Budget!$N:$N,"USD")*$F$5+SUMIFS(Opex_Budget!$R:$R,Opex_Budget!$A:$A,$C$3,Opex_Budget!$E:$E,$B$410,Opex_Budget!$F:$F,$D$410,Opex_Budget!$N:$N,"EUR")*$G$5+SUMIFS(Opex_Budget!$R:$R,Opex_Budget!$A:$A,$C$3,Opex_Budget!$E:$E,$B$410,Opex_Budget!$F:$F,$D$410,Opex_Budget!$N:$N,"GBP")*$H$5)</f>
        <v/>
      </c>
      <c r="L410" s="32">
        <f>IF($B$410="","",SUMIFS(Opex_Budget!$S:$S,Opex_Budget!$A:$A,$C$3,Opex_Budget!$E:$E,$B$410,Opex_Budget!$F:$F,$D$410,Opex_Budget!$N:$N,"JPY")*$E$5+SUMIFS(Opex_Budget!$S:$S,Opex_Budget!$A:$A,$C$3,Opex_Budget!$E:$E,$B$410,Opex_Budget!$F:$F,$D$410,Opex_Budget!$N:$N,"USD")*$F$5+SUMIFS(Opex_Budget!$S:$S,Opex_Budget!$A:$A,$C$3,Opex_Budget!$E:$E,$B$410,Opex_Budget!$F:$F,$D$410,Opex_Budget!$N:$N,"EUR")*$G$5+SUMIFS(Opex_Budget!$S:$S,Opex_Budget!$A:$A,$C$3,Opex_Budget!$E:$E,$B$410,Opex_Budget!$F:$F,$D$410,Opex_Budget!$N:$N,"GBP")*$H$5)</f>
        <v/>
      </c>
      <c r="M410" s="32">
        <f>IF($B$410="","",SUMIFS(Opex_Budget!$T:$T,Opex_Budget!$A:$A,$C$3,Opex_Budget!$E:$E,$B$410,Opex_Budget!$F:$F,$D$410,Opex_Budget!$N:$N,"JPY")*$E$5+SUMIFS(Opex_Budget!$T:$T,Opex_Budget!$A:$A,$C$3,Opex_Budget!$E:$E,$B$410,Opex_Budget!$F:$F,$D$410,Opex_Budget!$N:$N,"USD")*$F$5+SUMIFS(Opex_Budget!$T:$T,Opex_Budget!$A:$A,$C$3,Opex_Budget!$E:$E,$B$410,Opex_Budget!$F:$F,$D$410,Opex_Budget!$N:$N,"EUR")*$G$5+SUMIFS(Opex_Budget!$T:$T,Opex_Budget!$A:$A,$C$3,Opex_Budget!$E:$E,$B$410,Opex_Budget!$F:$F,$D$410,Opex_Budget!$N:$N,"GBP")*$H$5)</f>
        <v/>
      </c>
      <c r="N410" s="32">
        <f>IF($B$410="","",SUMIFS(Opex_Budget!$U:$U,Opex_Budget!$A:$A,$C$3,Opex_Budget!$E:$E,$B$410,Opex_Budget!$F:$F,$D$410,Opex_Budget!$N:$N,"JPY")*$E$5+SUMIFS(Opex_Budget!$U:$U,Opex_Budget!$A:$A,$C$3,Opex_Budget!$E:$E,$B$410,Opex_Budget!$F:$F,$D$410,Opex_Budget!$N:$N,"USD")*$F$5+SUMIFS(Opex_Budget!$U:$U,Opex_Budget!$A:$A,$C$3,Opex_Budget!$E:$E,$B$410,Opex_Budget!$F:$F,$D$410,Opex_Budget!$N:$N,"EUR")*$G$5+SUMIFS(Opex_Budget!$U:$U,Opex_Budget!$A:$A,$C$3,Opex_Budget!$E:$E,$B$410,Opex_Budget!$F:$F,$D$410,Opex_Budget!$N:$N,"GBP")*$H$5)</f>
        <v/>
      </c>
      <c r="O410" s="32">
        <f>IF($B$410="","",SUMIFS(Opex_Budget!$V:$V,Opex_Budget!$A:$A,$C$3,Opex_Budget!$E:$E,$B$410,Opex_Budget!$F:$F,$D$410,Opex_Budget!$N:$N,"JPY")*$E$5+SUMIFS(Opex_Budget!$V:$V,Opex_Budget!$A:$A,$C$3,Opex_Budget!$E:$E,$B$410,Opex_Budget!$F:$F,$D$410,Opex_Budget!$N:$N,"USD")*$F$5+SUMIFS(Opex_Budget!$V:$V,Opex_Budget!$A:$A,$C$3,Opex_Budget!$E:$E,$B$410,Opex_Budget!$F:$F,$D$410,Opex_Budget!$N:$N,"EUR")*$G$5+SUMIFS(Opex_Budget!$V:$V,Opex_Budget!$A:$A,$C$3,Opex_Budget!$E:$E,$B$410,Opex_Budget!$F:$F,$D$410,Opex_Budget!$N:$N,"GBP")*$H$5)</f>
        <v/>
      </c>
      <c r="P410" s="32">
        <f>IF($B$410="","",SUMIFS(Opex_Budget!$W:$W,Opex_Budget!$A:$A,$C$3,Opex_Budget!$E:$E,$B$410,Opex_Budget!$F:$F,$D$410,Opex_Budget!$N:$N,"JPY")*$E$5+SUMIFS(Opex_Budget!$W:$W,Opex_Budget!$A:$A,$C$3,Opex_Budget!$E:$E,$B$410,Opex_Budget!$F:$F,$D$410,Opex_Budget!$N:$N,"USD")*$F$5+SUMIFS(Opex_Budget!$W:$W,Opex_Budget!$A:$A,$C$3,Opex_Budget!$E:$E,$B$410,Opex_Budget!$F:$F,$D$410,Opex_Budget!$N:$N,"EUR")*$G$5+SUMIFS(Opex_Budget!$W:$W,Opex_Budget!$A:$A,$C$3,Opex_Budget!$E:$E,$B$410,Opex_Budget!$F:$F,$D$410,Opex_Budget!$N:$N,"GBP")*$H$5)</f>
        <v/>
      </c>
      <c r="Q410" s="32">
        <f>IF($B$410="","",SUMIFS(Opex_Budget!$X:$X,Opex_Budget!$A:$A,$C$3,Opex_Budget!$E:$E,$B$410,Opex_Budget!$F:$F,$D$410,Opex_Budget!$N:$N,"JPY")*$E$5+SUMIFS(Opex_Budget!$X:$X,Opex_Budget!$A:$A,$C$3,Opex_Budget!$E:$E,$B$410,Opex_Budget!$F:$F,$D$410,Opex_Budget!$N:$N,"USD")*$F$5+SUMIFS(Opex_Budget!$X:$X,Opex_Budget!$A:$A,$C$3,Opex_Budget!$E:$E,$B$410,Opex_Budget!$F:$F,$D$410,Opex_Budget!$N:$N,"EUR")*$G$5+SUMIFS(Opex_Budget!$X:$X,Opex_Budget!$A:$A,$C$3,Opex_Budget!$E:$E,$B$410,Opex_Budget!$F:$F,$D$410,Opex_Budget!$N:$N,"GBP")*$H$5)</f>
        <v/>
      </c>
      <c r="R410" s="32">
        <f>IF($B$410="","",SUMIFS(Opex_Budget!$Y:$Y,Opex_Budget!$A:$A,$C$3,Opex_Budget!$E:$E,$B$410,Opex_Budget!$F:$F,$D$410,Opex_Budget!$N:$N,"JPY")*$E$5+SUMIFS(Opex_Budget!$Y:$Y,Opex_Budget!$A:$A,$C$3,Opex_Budget!$E:$E,$B$410,Opex_Budget!$F:$F,$D$410,Opex_Budget!$N:$N,"USD")*$F$5+SUMIFS(Opex_Budget!$Y:$Y,Opex_Budget!$A:$A,$C$3,Opex_Budget!$E:$E,$B$410,Opex_Budget!$F:$F,$D$410,Opex_Budget!$N:$N,"EUR")*$G$5+SUMIFS(Opex_Budget!$Y:$Y,Opex_Budget!$A:$A,$C$3,Opex_Budget!$E:$E,$B$410,Opex_Budget!$F:$F,$D$410,Opex_Budget!$N:$N,"GBP")*$H$5)</f>
        <v/>
      </c>
      <c r="S410" s="32">
        <f>IF($B$410="","",SUMIFS(Opex_Budget!$Z:$Z,Opex_Budget!$A:$A,$C$3,Opex_Budget!$E:$E,$B$410,Opex_Budget!$F:$F,$D$410,Opex_Budget!$N:$N,"JPY")*$E$5+SUMIFS(Opex_Budget!$Z:$Z,Opex_Budget!$A:$A,$C$3,Opex_Budget!$E:$E,$B$410,Opex_Budget!$F:$F,$D$410,Opex_Budget!$N:$N,"USD")*$F$5+SUMIFS(Opex_Budget!$Z:$Z,Opex_Budget!$A:$A,$C$3,Opex_Budget!$E:$E,$B$410,Opex_Budget!$F:$F,$D$410,Opex_Budget!$N:$N,"EUR")*$G$5+SUMIFS(Opex_Budget!$Z:$Z,Opex_Budget!$A:$A,$C$3,Opex_Budget!$E:$E,$B$410,Opex_Budget!$F:$F,$D$410,Opex_Budget!$N:$N,"GBP")*$H$5)</f>
        <v/>
      </c>
      <c r="T410" s="32">
        <f>IF($B$410="","",SUMIF($H$7:$S$7,"&lt;="&amp;$C$4,$H410:$S410))</f>
        <v/>
      </c>
      <c r="U410" s="32">
        <f>IF($B$410="","",SUMIF($H$7:$S$7,"&gt;"&amp;$C$4,$H410:$S410))</f>
        <v/>
      </c>
      <c r="V410" s="32">
        <f>IF($B$410="","",SUM($H410:$S410))</f>
        <v/>
      </c>
      <c r="X410" s="22">
        <f>IF($B410="","",IFERROR(INDEX(Cost_Centers!$E:$E,MATCH($B410,Cost_Centers!$A:$A,0)),"(unknown)"))</f>
        <v/>
      </c>
      <c r="Y410" s="22">
        <f>IF($B410="","",IFERROR(INDEX(Cost_Centers!$D:$D,MATCH($B410,Cost_Centers!$A:$A,0)),"(unknown)"))</f>
        <v/>
      </c>
      <c r="Z410" s="22">
        <f>IF(OR($B410="",$G410&lt;&gt;"Variance vs Budget"),"",ABS(N($V410))+ROW()/1000000000)</f>
        <v/>
      </c>
    </row>
    <row r="411">
      <c r="A411" s="13">
        <f>IF(A$410="","",A$410)</f>
        <v/>
      </c>
      <c r="B411" s="13">
        <f>IF(B$410="","",B$410)</f>
        <v/>
      </c>
      <c r="C411" s="13">
        <f>IF(C$410="","",C$410)</f>
        <v/>
      </c>
      <c r="D411" s="13">
        <f>IF(D$410="","",D$410)</f>
        <v/>
      </c>
      <c r="E411" s="13">
        <f>IF(E$410="","",E$410)</f>
        <v/>
      </c>
      <c r="F411" s="13">
        <f>IF(F$410="","",F$410)</f>
        <v/>
      </c>
      <c r="G411" s="7" t="inlineStr">
        <is>
          <t>Actual</t>
        </is>
      </c>
      <c r="H411" s="18">
        <f>IF(OR($B$410="",1&gt;$C$4),"",SUMIFS(Actuals!$G:$G,Actuals!$B:$B,$C$3,Actuals!$C:$C,1,Actuals!$D:$D,$B$410,Actuals!$A:$A,LEFT($D$410,FIND("|",$D$410&amp;"|")-1),Actuals!$E:$E,MID($D$410,FIND("|",$D$410&amp;"|")+1,50),Actuals!$F:$F,"JPY")*$E$5+SUMIFS(Actuals!$G:$G,Actuals!$B:$B,$C$3,Actuals!$C:$C,1,Actuals!$D:$D,$B$410,Actuals!$A:$A,LEFT($D$410,FIND("|",$D$410&amp;"|")-1),Actuals!$E:$E,MID($D$410,FIND("|",$D$410&amp;"|")+1,50),Actuals!$F:$F,"USD")*$F$5+SUMIFS(Actuals!$G:$G,Actuals!$B:$B,$C$3,Actuals!$C:$C,1,Actuals!$D:$D,$B$410,Actuals!$A:$A,LEFT($D$410,FIND("|",$D$410&amp;"|")-1),Actuals!$E:$E,MID($D$410,FIND("|",$D$410&amp;"|")+1,50),Actuals!$F:$F,"EUR")*$G$5+SUMIFS(Actuals!$G:$G,Actuals!$B:$B,$C$3,Actuals!$C:$C,1,Actuals!$D:$D,$B$410,Actuals!$A:$A,LEFT($D$410,FIND("|",$D$410&amp;"|")-1),Actuals!$E:$E,MID($D$410,FIND("|",$D$410&amp;"|")+1,50),Actuals!$F:$F,"GBP")*$H$5)</f>
        <v/>
      </c>
      <c r="I411" s="18">
        <f>IF(OR($B$410="",2&gt;$C$4),"",SUMIFS(Actuals!$G:$G,Actuals!$B:$B,$C$3,Actuals!$C:$C,2,Actuals!$D:$D,$B$410,Actuals!$A:$A,LEFT($D$410,FIND("|",$D$410&amp;"|")-1),Actuals!$E:$E,MID($D$410,FIND("|",$D$410&amp;"|")+1,50),Actuals!$F:$F,"JPY")*$E$5+SUMIFS(Actuals!$G:$G,Actuals!$B:$B,$C$3,Actuals!$C:$C,2,Actuals!$D:$D,$B$410,Actuals!$A:$A,LEFT($D$410,FIND("|",$D$410&amp;"|")-1),Actuals!$E:$E,MID($D$410,FIND("|",$D$410&amp;"|")+1,50),Actuals!$F:$F,"USD")*$F$5+SUMIFS(Actuals!$G:$G,Actuals!$B:$B,$C$3,Actuals!$C:$C,2,Actuals!$D:$D,$B$410,Actuals!$A:$A,LEFT($D$410,FIND("|",$D$410&amp;"|")-1),Actuals!$E:$E,MID($D$410,FIND("|",$D$410&amp;"|")+1,50),Actuals!$F:$F,"EUR")*$G$5+SUMIFS(Actuals!$G:$G,Actuals!$B:$B,$C$3,Actuals!$C:$C,2,Actuals!$D:$D,$B$410,Actuals!$A:$A,LEFT($D$410,FIND("|",$D$410&amp;"|")-1),Actuals!$E:$E,MID($D$410,FIND("|",$D$410&amp;"|")+1,50),Actuals!$F:$F,"GBP")*$H$5)</f>
        <v/>
      </c>
      <c r="J411" s="18">
        <f>IF(OR($B$410="",3&gt;$C$4),"",SUMIFS(Actuals!$G:$G,Actuals!$B:$B,$C$3,Actuals!$C:$C,3,Actuals!$D:$D,$B$410,Actuals!$A:$A,LEFT($D$410,FIND("|",$D$410&amp;"|")-1),Actuals!$E:$E,MID($D$410,FIND("|",$D$410&amp;"|")+1,50),Actuals!$F:$F,"JPY")*$E$5+SUMIFS(Actuals!$G:$G,Actuals!$B:$B,$C$3,Actuals!$C:$C,3,Actuals!$D:$D,$B$410,Actuals!$A:$A,LEFT($D$410,FIND("|",$D$410&amp;"|")-1),Actuals!$E:$E,MID($D$410,FIND("|",$D$410&amp;"|")+1,50),Actuals!$F:$F,"USD")*$F$5+SUMIFS(Actuals!$G:$G,Actuals!$B:$B,$C$3,Actuals!$C:$C,3,Actuals!$D:$D,$B$410,Actuals!$A:$A,LEFT($D$410,FIND("|",$D$410&amp;"|")-1),Actuals!$E:$E,MID($D$410,FIND("|",$D$410&amp;"|")+1,50),Actuals!$F:$F,"EUR")*$G$5+SUMIFS(Actuals!$G:$G,Actuals!$B:$B,$C$3,Actuals!$C:$C,3,Actuals!$D:$D,$B$410,Actuals!$A:$A,LEFT($D$410,FIND("|",$D$410&amp;"|")-1),Actuals!$E:$E,MID($D$410,FIND("|",$D$410&amp;"|")+1,50),Actuals!$F:$F,"GBP")*$H$5)</f>
        <v/>
      </c>
      <c r="K411" s="18">
        <f>IF(OR($B$410="",4&gt;$C$4),"",SUMIFS(Actuals!$G:$G,Actuals!$B:$B,$C$3,Actuals!$C:$C,4,Actuals!$D:$D,$B$410,Actuals!$A:$A,LEFT($D$410,FIND("|",$D$410&amp;"|")-1),Actuals!$E:$E,MID($D$410,FIND("|",$D$410&amp;"|")+1,50),Actuals!$F:$F,"JPY")*$E$5+SUMIFS(Actuals!$G:$G,Actuals!$B:$B,$C$3,Actuals!$C:$C,4,Actuals!$D:$D,$B$410,Actuals!$A:$A,LEFT($D$410,FIND("|",$D$410&amp;"|")-1),Actuals!$E:$E,MID($D$410,FIND("|",$D$410&amp;"|")+1,50),Actuals!$F:$F,"USD")*$F$5+SUMIFS(Actuals!$G:$G,Actuals!$B:$B,$C$3,Actuals!$C:$C,4,Actuals!$D:$D,$B$410,Actuals!$A:$A,LEFT($D$410,FIND("|",$D$410&amp;"|")-1),Actuals!$E:$E,MID($D$410,FIND("|",$D$410&amp;"|")+1,50),Actuals!$F:$F,"EUR")*$G$5+SUMIFS(Actuals!$G:$G,Actuals!$B:$B,$C$3,Actuals!$C:$C,4,Actuals!$D:$D,$B$410,Actuals!$A:$A,LEFT($D$410,FIND("|",$D$410&amp;"|")-1),Actuals!$E:$E,MID($D$410,FIND("|",$D$410&amp;"|")+1,50),Actuals!$F:$F,"GBP")*$H$5)</f>
        <v/>
      </c>
      <c r="L411" s="18">
        <f>IF(OR($B$410="",5&gt;$C$4),"",SUMIFS(Actuals!$G:$G,Actuals!$B:$B,$C$3,Actuals!$C:$C,5,Actuals!$D:$D,$B$410,Actuals!$A:$A,LEFT($D$410,FIND("|",$D$410&amp;"|")-1),Actuals!$E:$E,MID($D$410,FIND("|",$D$410&amp;"|")+1,50),Actuals!$F:$F,"JPY")*$E$5+SUMIFS(Actuals!$G:$G,Actuals!$B:$B,$C$3,Actuals!$C:$C,5,Actuals!$D:$D,$B$410,Actuals!$A:$A,LEFT($D$410,FIND("|",$D$410&amp;"|")-1),Actuals!$E:$E,MID($D$410,FIND("|",$D$410&amp;"|")+1,50),Actuals!$F:$F,"USD")*$F$5+SUMIFS(Actuals!$G:$G,Actuals!$B:$B,$C$3,Actuals!$C:$C,5,Actuals!$D:$D,$B$410,Actuals!$A:$A,LEFT($D$410,FIND("|",$D$410&amp;"|")-1),Actuals!$E:$E,MID($D$410,FIND("|",$D$410&amp;"|")+1,50),Actuals!$F:$F,"EUR")*$G$5+SUMIFS(Actuals!$G:$G,Actuals!$B:$B,$C$3,Actuals!$C:$C,5,Actuals!$D:$D,$B$410,Actuals!$A:$A,LEFT($D$410,FIND("|",$D$410&amp;"|")-1),Actuals!$E:$E,MID($D$410,FIND("|",$D$410&amp;"|")+1,50),Actuals!$F:$F,"GBP")*$H$5)</f>
        <v/>
      </c>
      <c r="M411" s="18">
        <f>IF(OR($B$410="",6&gt;$C$4),"",SUMIFS(Actuals!$G:$G,Actuals!$B:$B,$C$3,Actuals!$C:$C,6,Actuals!$D:$D,$B$410,Actuals!$A:$A,LEFT($D$410,FIND("|",$D$410&amp;"|")-1),Actuals!$E:$E,MID($D$410,FIND("|",$D$410&amp;"|")+1,50),Actuals!$F:$F,"JPY")*$E$5+SUMIFS(Actuals!$G:$G,Actuals!$B:$B,$C$3,Actuals!$C:$C,6,Actuals!$D:$D,$B$410,Actuals!$A:$A,LEFT($D$410,FIND("|",$D$410&amp;"|")-1),Actuals!$E:$E,MID($D$410,FIND("|",$D$410&amp;"|")+1,50),Actuals!$F:$F,"USD")*$F$5+SUMIFS(Actuals!$G:$G,Actuals!$B:$B,$C$3,Actuals!$C:$C,6,Actuals!$D:$D,$B$410,Actuals!$A:$A,LEFT($D$410,FIND("|",$D$410&amp;"|")-1),Actuals!$E:$E,MID($D$410,FIND("|",$D$410&amp;"|")+1,50),Actuals!$F:$F,"EUR")*$G$5+SUMIFS(Actuals!$G:$G,Actuals!$B:$B,$C$3,Actuals!$C:$C,6,Actuals!$D:$D,$B$410,Actuals!$A:$A,LEFT($D$410,FIND("|",$D$410&amp;"|")-1),Actuals!$E:$E,MID($D$410,FIND("|",$D$410&amp;"|")+1,50),Actuals!$F:$F,"GBP")*$H$5)</f>
        <v/>
      </c>
      <c r="N411" s="18">
        <f>IF(OR($B$410="",7&gt;$C$4),"",SUMIFS(Actuals!$G:$G,Actuals!$B:$B,$C$3,Actuals!$C:$C,7,Actuals!$D:$D,$B$410,Actuals!$A:$A,LEFT($D$410,FIND("|",$D$410&amp;"|")-1),Actuals!$E:$E,MID($D$410,FIND("|",$D$410&amp;"|")+1,50),Actuals!$F:$F,"JPY")*$E$5+SUMIFS(Actuals!$G:$G,Actuals!$B:$B,$C$3,Actuals!$C:$C,7,Actuals!$D:$D,$B$410,Actuals!$A:$A,LEFT($D$410,FIND("|",$D$410&amp;"|")-1),Actuals!$E:$E,MID($D$410,FIND("|",$D$410&amp;"|")+1,50),Actuals!$F:$F,"USD")*$F$5+SUMIFS(Actuals!$G:$G,Actuals!$B:$B,$C$3,Actuals!$C:$C,7,Actuals!$D:$D,$B$410,Actuals!$A:$A,LEFT($D$410,FIND("|",$D$410&amp;"|")-1),Actuals!$E:$E,MID($D$410,FIND("|",$D$410&amp;"|")+1,50),Actuals!$F:$F,"EUR")*$G$5+SUMIFS(Actuals!$G:$G,Actuals!$B:$B,$C$3,Actuals!$C:$C,7,Actuals!$D:$D,$B$410,Actuals!$A:$A,LEFT($D$410,FIND("|",$D$410&amp;"|")-1),Actuals!$E:$E,MID($D$410,FIND("|",$D$410&amp;"|")+1,50),Actuals!$F:$F,"GBP")*$H$5)</f>
        <v/>
      </c>
      <c r="O411" s="18">
        <f>IF(OR($B$410="",8&gt;$C$4),"",SUMIFS(Actuals!$G:$G,Actuals!$B:$B,$C$3,Actuals!$C:$C,8,Actuals!$D:$D,$B$410,Actuals!$A:$A,LEFT($D$410,FIND("|",$D$410&amp;"|")-1),Actuals!$E:$E,MID($D$410,FIND("|",$D$410&amp;"|")+1,50),Actuals!$F:$F,"JPY")*$E$5+SUMIFS(Actuals!$G:$G,Actuals!$B:$B,$C$3,Actuals!$C:$C,8,Actuals!$D:$D,$B$410,Actuals!$A:$A,LEFT($D$410,FIND("|",$D$410&amp;"|")-1),Actuals!$E:$E,MID($D$410,FIND("|",$D$410&amp;"|")+1,50),Actuals!$F:$F,"USD")*$F$5+SUMIFS(Actuals!$G:$G,Actuals!$B:$B,$C$3,Actuals!$C:$C,8,Actuals!$D:$D,$B$410,Actuals!$A:$A,LEFT($D$410,FIND("|",$D$410&amp;"|")-1),Actuals!$E:$E,MID($D$410,FIND("|",$D$410&amp;"|")+1,50),Actuals!$F:$F,"EUR")*$G$5+SUMIFS(Actuals!$G:$G,Actuals!$B:$B,$C$3,Actuals!$C:$C,8,Actuals!$D:$D,$B$410,Actuals!$A:$A,LEFT($D$410,FIND("|",$D$410&amp;"|")-1),Actuals!$E:$E,MID($D$410,FIND("|",$D$410&amp;"|")+1,50),Actuals!$F:$F,"GBP")*$H$5)</f>
        <v/>
      </c>
      <c r="P411" s="18">
        <f>IF(OR($B$410="",9&gt;$C$4),"",SUMIFS(Actuals!$G:$G,Actuals!$B:$B,$C$3,Actuals!$C:$C,9,Actuals!$D:$D,$B$410,Actuals!$A:$A,LEFT($D$410,FIND("|",$D$410&amp;"|")-1),Actuals!$E:$E,MID($D$410,FIND("|",$D$410&amp;"|")+1,50),Actuals!$F:$F,"JPY")*$E$5+SUMIFS(Actuals!$G:$G,Actuals!$B:$B,$C$3,Actuals!$C:$C,9,Actuals!$D:$D,$B$410,Actuals!$A:$A,LEFT($D$410,FIND("|",$D$410&amp;"|")-1),Actuals!$E:$E,MID($D$410,FIND("|",$D$410&amp;"|")+1,50),Actuals!$F:$F,"USD")*$F$5+SUMIFS(Actuals!$G:$G,Actuals!$B:$B,$C$3,Actuals!$C:$C,9,Actuals!$D:$D,$B$410,Actuals!$A:$A,LEFT($D$410,FIND("|",$D$410&amp;"|")-1),Actuals!$E:$E,MID($D$410,FIND("|",$D$410&amp;"|")+1,50),Actuals!$F:$F,"EUR")*$G$5+SUMIFS(Actuals!$G:$G,Actuals!$B:$B,$C$3,Actuals!$C:$C,9,Actuals!$D:$D,$B$410,Actuals!$A:$A,LEFT($D$410,FIND("|",$D$410&amp;"|")-1),Actuals!$E:$E,MID($D$410,FIND("|",$D$410&amp;"|")+1,50),Actuals!$F:$F,"GBP")*$H$5)</f>
        <v/>
      </c>
      <c r="Q411" s="18">
        <f>IF(OR($B$410="",10&gt;$C$4),"",SUMIFS(Actuals!$G:$G,Actuals!$B:$B,$C$3,Actuals!$C:$C,10,Actuals!$D:$D,$B$410,Actuals!$A:$A,LEFT($D$410,FIND("|",$D$410&amp;"|")-1),Actuals!$E:$E,MID($D$410,FIND("|",$D$410&amp;"|")+1,50),Actuals!$F:$F,"JPY")*$E$5+SUMIFS(Actuals!$G:$G,Actuals!$B:$B,$C$3,Actuals!$C:$C,10,Actuals!$D:$D,$B$410,Actuals!$A:$A,LEFT($D$410,FIND("|",$D$410&amp;"|")-1),Actuals!$E:$E,MID($D$410,FIND("|",$D$410&amp;"|")+1,50),Actuals!$F:$F,"USD")*$F$5+SUMIFS(Actuals!$G:$G,Actuals!$B:$B,$C$3,Actuals!$C:$C,10,Actuals!$D:$D,$B$410,Actuals!$A:$A,LEFT($D$410,FIND("|",$D$410&amp;"|")-1),Actuals!$E:$E,MID($D$410,FIND("|",$D$410&amp;"|")+1,50),Actuals!$F:$F,"EUR")*$G$5+SUMIFS(Actuals!$G:$G,Actuals!$B:$B,$C$3,Actuals!$C:$C,10,Actuals!$D:$D,$B$410,Actuals!$A:$A,LEFT($D$410,FIND("|",$D$410&amp;"|")-1),Actuals!$E:$E,MID($D$410,FIND("|",$D$410&amp;"|")+1,50),Actuals!$F:$F,"GBP")*$H$5)</f>
        <v/>
      </c>
      <c r="R411" s="18">
        <f>IF(OR($B$410="",11&gt;$C$4),"",SUMIFS(Actuals!$G:$G,Actuals!$B:$B,$C$3,Actuals!$C:$C,11,Actuals!$D:$D,$B$410,Actuals!$A:$A,LEFT($D$410,FIND("|",$D$410&amp;"|")-1),Actuals!$E:$E,MID($D$410,FIND("|",$D$410&amp;"|")+1,50),Actuals!$F:$F,"JPY")*$E$5+SUMIFS(Actuals!$G:$G,Actuals!$B:$B,$C$3,Actuals!$C:$C,11,Actuals!$D:$D,$B$410,Actuals!$A:$A,LEFT($D$410,FIND("|",$D$410&amp;"|")-1),Actuals!$E:$E,MID($D$410,FIND("|",$D$410&amp;"|")+1,50),Actuals!$F:$F,"USD")*$F$5+SUMIFS(Actuals!$G:$G,Actuals!$B:$B,$C$3,Actuals!$C:$C,11,Actuals!$D:$D,$B$410,Actuals!$A:$A,LEFT($D$410,FIND("|",$D$410&amp;"|")-1),Actuals!$E:$E,MID($D$410,FIND("|",$D$410&amp;"|")+1,50),Actuals!$F:$F,"EUR")*$G$5+SUMIFS(Actuals!$G:$G,Actuals!$B:$B,$C$3,Actuals!$C:$C,11,Actuals!$D:$D,$B$410,Actuals!$A:$A,LEFT($D$410,FIND("|",$D$410&amp;"|")-1),Actuals!$E:$E,MID($D$410,FIND("|",$D$410&amp;"|")+1,50),Actuals!$F:$F,"GBP")*$H$5)</f>
        <v/>
      </c>
      <c r="S411" s="18">
        <f>IF(OR($B$410="",12&gt;$C$4),"",SUMIFS(Actuals!$G:$G,Actuals!$B:$B,$C$3,Actuals!$C:$C,12,Actuals!$D:$D,$B$410,Actuals!$A:$A,LEFT($D$410,FIND("|",$D$410&amp;"|")-1),Actuals!$E:$E,MID($D$410,FIND("|",$D$410&amp;"|")+1,50),Actuals!$F:$F,"JPY")*$E$5+SUMIFS(Actuals!$G:$G,Actuals!$B:$B,$C$3,Actuals!$C:$C,12,Actuals!$D:$D,$B$410,Actuals!$A:$A,LEFT($D$410,FIND("|",$D$410&amp;"|")-1),Actuals!$E:$E,MID($D$410,FIND("|",$D$410&amp;"|")+1,50),Actuals!$F:$F,"USD")*$F$5+SUMIFS(Actuals!$G:$G,Actuals!$B:$B,$C$3,Actuals!$C:$C,12,Actuals!$D:$D,$B$410,Actuals!$A:$A,LEFT($D$410,FIND("|",$D$410&amp;"|")-1),Actuals!$E:$E,MID($D$410,FIND("|",$D$410&amp;"|")+1,50),Actuals!$F:$F,"EUR")*$G$5+SUMIFS(Actuals!$G:$G,Actuals!$B:$B,$C$3,Actuals!$C:$C,12,Actuals!$D:$D,$B$410,Actuals!$A:$A,LEFT($D$410,FIND("|",$D$410&amp;"|")-1),Actuals!$E:$E,MID($D$410,FIND("|",$D$410&amp;"|")+1,50),Actuals!$F:$F,"GBP")*$H$5)</f>
        <v/>
      </c>
      <c r="T411" s="18">
        <f>IF($B$410="","",SUMIF($H$7:$S$7,"&lt;="&amp;$C$4,$H411:$S411))</f>
        <v/>
      </c>
      <c r="U411" s="18" t="n"/>
      <c r="V411" s="18" t="n"/>
      <c r="X411" s="22">
        <f>IF($B411="","",IFERROR(INDEX(Cost_Centers!$E:$E,MATCH($B411,Cost_Centers!$A:$A,0)),"(unknown)"))</f>
        <v/>
      </c>
      <c r="Y411" s="22">
        <f>IF($B411="","",IFERROR(INDEX(Cost_Centers!$D:$D,MATCH($B411,Cost_Centers!$A:$A,0)),"(unknown)"))</f>
        <v/>
      </c>
      <c r="Z411" s="22">
        <f>IF(OR($B411="",$G411&lt;&gt;"Variance vs Budget"),"",ABS(N($V411))+ROW()/1000000000)</f>
        <v/>
      </c>
    </row>
    <row r="412">
      <c r="A412" s="13">
        <f>IF(A$410="","",A$410)</f>
        <v/>
      </c>
      <c r="B412" s="13">
        <f>IF(B$410="","",B$410)</f>
        <v/>
      </c>
      <c r="C412" s="13">
        <f>IF(C$410="","",C$410)</f>
        <v/>
      </c>
      <c r="D412" s="13">
        <f>IF(D$410="","",D$410)</f>
        <v/>
      </c>
      <c r="E412" s="13">
        <f>IF(E$410="","",E$410)</f>
        <v/>
      </c>
      <c r="F412" s="13">
        <f>IF(F$410="","",F$410)</f>
        <v/>
      </c>
      <c r="G412" s="6" t="inlineStr">
        <is>
          <t>Variance vs Budget</t>
        </is>
      </c>
      <c r="H412" s="33">
        <f>IF(OR($B$410="",1&gt;$C$4),"",N(H411)-H410)</f>
        <v/>
      </c>
      <c r="I412" s="33">
        <f>IF(OR($B$410="",2&gt;$C$4),"",N(I411)-I410)</f>
        <v/>
      </c>
      <c r="J412" s="33">
        <f>IF(OR($B$410="",3&gt;$C$4),"",N(J411)-J410)</f>
        <v/>
      </c>
      <c r="K412" s="33">
        <f>IF(OR($B$410="",4&gt;$C$4),"",N(K411)-K410)</f>
        <v/>
      </c>
      <c r="L412" s="33">
        <f>IF(OR($B$410="",5&gt;$C$4),"",N(L411)-L410)</f>
        <v/>
      </c>
      <c r="M412" s="33">
        <f>IF(OR($B$410="",6&gt;$C$4),"",N(M411)-M410)</f>
        <v/>
      </c>
      <c r="N412" s="33">
        <f>IF(OR($B$410="",7&gt;$C$4),"",N(N411)-N410)</f>
        <v/>
      </c>
      <c r="O412" s="33">
        <f>IF(OR($B$410="",8&gt;$C$4),"",N(O411)-O410)</f>
        <v/>
      </c>
      <c r="P412" s="33">
        <f>IF(OR($B$410="",9&gt;$C$4),"",N(P411)-P410)</f>
        <v/>
      </c>
      <c r="Q412" s="33">
        <f>IF(OR($B$410="",10&gt;$C$4),"",N(Q411)-Q410)</f>
        <v/>
      </c>
      <c r="R412" s="33">
        <f>IF(OR($B$410="",11&gt;$C$4),"",N(R411)-R410)</f>
        <v/>
      </c>
      <c r="S412" s="33">
        <f>IF(OR($B$410="",12&gt;$C$4),"",N(S411)-S410)</f>
        <v/>
      </c>
      <c r="T412" s="33">
        <f>IF($B$410="","",T411-T410)</f>
        <v/>
      </c>
      <c r="U412" s="33">
        <f>IF($B$410="","",U414-U410)</f>
        <v/>
      </c>
      <c r="V412" s="33">
        <f>IF($B$410="","",V414-V410)</f>
        <v/>
      </c>
      <c r="X412" s="22">
        <f>IF($B412="","",IFERROR(INDEX(Cost_Centers!$E:$E,MATCH($B412,Cost_Centers!$A:$A,0)),"(unknown)"))</f>
        <v/>
      </c>
      <c r="Y412" s="22">
        <f>IF($B412="","",IFERROR(INDEX(Cost_Centers!$D:$D,MATCH($B412,Cost_Centers!$A:$A,0)),"(unknown)"))</f>
        <v/>
      </c>
      <c r="Z412" s="22">
        <f>IF(OR($B412="",$G412&lt;&gt;"Variance vs Budget"),"",ABS(N($V412))+ROW()/1000000000)</f>
        <v/>
      </c>
    </row>
    <row r="413">
      <c r="A413" s="13">
        <f>IF(A$410="","",A$410)</f>
        <v/>
      </c>
      <c r="B413" s="13">
        <f>IF(B$410="","",B$410)</f>
        <v/>
      </c>
      <c r="C413" s="13">
        <f>IF(C$410="","",C$410)</f>
        <v/>
      </c>
      <c r="D413" s="13">
        <f>IF(D$410="","",D$410)</f>
        <v/>
      </c>
      <c r="E413" s="13">
        <f>IF(E$410="","",E$410)</f>
        <v/>
      </c>
      <c r="F413" s="13">
        <f>IF(F$410="","",F$410)</f>
        <v/>
      </c>
      <c r="G413" s="7" t="inlineStr">
        <is>
          <t>Forecast (input)</t>
        </is>
      </c>
      <c r="H413" s="34" t="n"/>
      <c r="I413" s="34" t="n"/>
      <c r="J413" s="34" t="n"/>
      <c r="K413" s="34" t="n"/>
      <c r="L413" s="34" t="n"/>
      <c r="M413" s="34" t="n"/>
      <c r="N413" s="34" t="n"/>
      <c r="O413" s="34" t="n"/>
      <c r="P413" s="34" t="n"/>
      <c r="Q413" s="34" t="n"/>
      <c r="R413" s="34" t="n"/>
      <c r="S413" s="34" t="n"/>
      <c r="T413" s="18" t="n"/>
      <c r="U413" s="18" t="n"/>
      <c r="V413" s="18" t="n"/>
      <c r="X413" s="22">
        <f>IF($B413="","",IFERROR(INDEX(Cost_Centers!$E:$E,MATCH($B413,Cost_Centers!$A:$A,0)),"(unknown)"))</f>
        <v/>
      </c>
      <c r="Y413" s="22">
        <f>IF($B413="","",IFERROR(INDEX(Cost_Centers!$D:$D,MATCH($B413,Cost_Centers!$A:$A,0)),"(unknown)"))</f>
        <v/>
      </c>
      <c r="Z413" s="22">
        <f>IF(OR($B413="",$G413&lt;&gt;"Variance vs Budget"),"",ABS(N($V413))+ROW()/1000000000)</f>
        <v/>
      </c>
    </row>
    <row r="414">
      <c r="A414" s="13">
        <f>IF(A$410="","",A$410)</f>
        <v/>
      </c>
      <c r="B414" s="13">
        <f>IF(B$410="","",B$410)</f>
        <v/>
      </c>
      <c r="C414" s="13">
        <f>IF(C$410="","",C$410)</f>
        <v/>
      </c>
      <c r="D414" s="13">
        <f>IF(D$410="","",D$410)</f>
        <v/>
      </c>
      <c r="E414" s="13">
        <f>IF(E$410="","",E$410)</f>
        <v/>
      </c>
      <c r="F414" s="13">
        <f>IF(F$410="","",F$410)</f>
        <v/>
      </c>
      <c r="G414" s="35" t="inlineStr">
        <is>
          <t>Actual + Forecast</t>
        </is>
      </c>
      <c r="H414" s="18">
        <f>IF($B$410="","",IF(1&lt;=$C$4,N(H411),IF(H413="",H410,H413)))</f>
        <v/>
      </c>
      <c r="I414" s="18">
        <f>IF($B$410="","",IF(2&lt;=$C$4,N(I411),IF(I413="",I410,I413)))</f>
        <v/>
      </c>
      <c r="J414" s="18">
        <f>IF($B$410="","",IF(3&lt;=$C$4,N(J411),IF(J413="",J410,J413)))</f>
        <v/>
      </c>
      <c r="K414" s="18">
        <f>IF($B$410="","",IF(4&lt;=$C$4,N(K411),IF(K413="",K410,K413)))</f>
        <v/>
      </c>
      <c r="L414" s="18">
        <f>IF($B$410="","",IF(5&lt;=$C$4,N(L411),IF(L413="",L410,L413)))</f>
        <v/>
      </c>
      <c r="M414" s="18">
        <f>IF($B$410="","",IF(6&lt;=$C$4,N(M411),IF(M413="",M410,M413)))</f>
        <v/>
      </c>
      <c r="N414" s="18">
        <f>IF($B$410="","",IF(7&lt;=$C$4,N(N411),IF(N413="",N410,N413)))</f>
        <v/>
      </c>
      <c r="O414" s="18">
        <f>IF($B$410="","",IF(8&lt;=$C$4,N(O411),IF(O413="",O410,O413)))</f>
        <v/>
      </c>
      <c r="P414" s="18">
        <f>IF($B$410="","",IF(9&lt;=$C$4,N(P411),IF(P413="",P410,P413)))</f>
        <v/>
      </c>
      <c r="Q414" s="18">
        <f>IF($B$410="","",IF(10&lt;=$C$4,N(Q411),IF(Q413="",Q410,Q413)))</f>
        <v/>
      </c>
      <c r="R414" s="18">
        <f>IF($B$410="","",IF(11&lt;=$C$4,N(R411),IF(R413="",R410,R413)))</f>
        <v/>
      </c>
      <c r="S414" s="18">
        <f>IF($B$410="","",IF(12&lt;=$C$4,N(S411),IF(S413="",S410,S413)))</f>
        <v/>
      </c>
      <c r="T414" s="18">
        <f>IF($B$410="","",SUMIF($H$7:$S$7,"&lt;="&amp;$C$4,$H414:$S414))</f>
        <v/>
      </c>
      <c r="U414" s="18">
        <f>IF($B$410="","",SUMIF($H$7:$S$7,"&gt;"&amp;$C$4,$H414:$S414))</f>
        <v/>
      </c>
      <c r="V414" s="18">
        <f>IF($B$410="","",SUM($H414:$S414))</f>
        <v/>
      </c>
      <c r="X414" s="22">
        <f>IF($B414="","",IFERROR(INDEX(Cost_Centers!$E:$E,MATCH($B414,Cost_Centers!$A:$A,0)),"(unknown)"))</f>
        <v/>
      </c>
      <c r="Y414" s="22">
        <f>IF($B414="","",IFERROR(INDEX(Cost_Centers!$D:$D,MATCH($B414,Cost_Centers!$A:$A,0)),"(unknown)"))</f>
        <v/>
      </c>
      <c r="Z414" s="22">
        <f>IF(OR($B414="",$G414&lt;&gt;"Variance vs Budget"),"",ABS(N($V414))+ROW()/1000000000)</f>
        <v/>
      </c>
    </row>
    <row r="415">
      <c r="A415" s="13">
        <f>IF(A$410="","",A$410)</f>
        <v/>
      </c>
      <c r="B415" s="13">
        <f>IF(B$410="","",B$410)</f>
        <v/>
      </c>
      <c r="C415" s="13">
        <f>IF(C$410="","",C$410)</f>
        <v/>
      </c>
      <c r="D415" s="13">
        <f>IF(D$410="","",D$410)</f>
        <v/>
      </c>
      <c r="E415" s="13">
        <f>IF(E$410="","",E$410)</f>
        <v/>
      </c>
      <c r="F415" s="13">
        <f>IF(F$410="","",F$410)</f>
        <v/>
      </c>
      <c r="G415" s="36" t="inlineStr">
        <is>
          <t>Prior Month Forecast</t>
        </is>
      </c>
      <c r="H415" s="37">
        <f>IF($B$410="","",IF(COUNTIFS(Prior_Forecast!$A:$A,$B$410,Prior_Forecast!$B:$B,$D$410)&gt;0,SUMIFS(Prior_Forecast!$C:$C,Prior_Forecast!$A:$A,$B$410,Prior_Forecast!$B:$B,$D$410),""))</f>
        <v/>
      </c>
      <c r="I415" s="37">
        <f>IF($B$410="","",IF(COUNTIFS(Prior_Forecast!$A:$A,$B$410,Prior_Forecast!$B:$B,$D$410)&gt;0,SUMIFS(Prior_Forecast!$D:$D,Prior_Forecast!$A:$A,$B$410,Prior_Forecast!$B:$B,$D$410),""))</f>
        <v/>
      </c>
      <c r="J415" s="37">
        <f>IF($B$410="","",IF(COUNTIFS(Prior_Forecast!$A:$A,$B$410,Prior_Forecast!$B:$B,$D$410)&gt;0,SUMIFS(Prior_Forecast!$E:$E,Prior_Forecast!$A:$A,$B$410,Prior_Forecast!$B:$B,$D$410),""))</f>
        <v/>
      </c>
      <c r="K415" s="37">
        <f>IF($B$410="","",IF(COUNTIFS(Prior_Forecast!$A:$A,$B$410,Prior_Forecast!$B:$B,$D$410)&gt;0,SUMIFS(Prior_Forecast!$F:$F,Prior_Forecast!$A:$A,$B$410,Prior_Forecast!$B:$B,$D$410),""))</f>
        <v/>
      </c>
      <c r="L415" s="37">
        <f>IF($B$410="","",IF(COUNTIFS(Prior_Forecast!$A:$A,$B$410,Prior_Forecast!$B:$B,$D$410)&gt;0,SUMIFS(Prior_Forecast!$G:$G,Prior_Forecast!$A:$A,$B$410,Prior_Forecast!$B:$B,$D$410),""))</f>
        <v/>
      </c>
      <c r="M415" s="37">
        <f>IF($B$410="","",IF(COUNTIFS(Prior_Forecast!$A:$A,$B$410,Prior_Forecast!$B:$B,$D$410)&gt;0,SUMIFS(Prior_Forecast!$H:$H,Prior_Forecast!$A:$A,$B$410,Prior_Forecast!$B:$B,$D$410),""))</f>
        <v/>
      </c>
      <c r="N415" s="37">
        <f>IF($B$410="","",IF(COUNTIFS(Prior_Forecast!$A:$A,$B$410,Prior_Forecast!$B:$B,$D$410)&gt;0,SUMIFS(Prior_Forecast!$I:$I,Prior_Forecast!$A:$A,$B$410,Prior_Forecast!$B:$B,$D$410),""))</f>
        <v/>
      </c>
      <c r="O415" s="37">
        <f>IF($B$410="","",IF(COUNTIFS(Prior_Forecast!$A:$A,$B$410,Prior_Forecast!$B:$B,$D$410)&gt;0,SUMIFS(Prior_Forecast!$J:$J,Prior_Forecast!$A:$A,$B$410,Prior_Forecast!$B:$B,$D$410),""))</f>
        <v/>
      </c>
      <c r="P415" s="37">
        <f>IF($B$410="","",IF(COUNTIFS(Prior_Forecast!$A:$A,$B$410,Prior_Forecast!$B:$B,$D$410)&gt;0,SUMIFS(Prior_Forecast!$K:$K,Prior_Forecast!$A:$A,$B$410,Prior_Forecast!$B:$B,$D$410),""))</f>
        <v/>
      </c>
      <c r="Q415" s="37">
        <f>IF($B$410="","",IF(COUNTIFS(Prior_Forecast!$A:$A,$B$410,Prior_Forecast!$B:$B,$D$410)&gt;0,SUMIFS(Prior_Forecast!$L:$L,Prior_Forecast!$A:$A,$B$410,Prior_Forecast!$B:$B,$D$410),""))</f>
        <v/>
      </c>
      <c r="R415" s="37">
        <f>IF($B$410="","",IF(COUNTIFS(Prior_Forecast!$A:$A,$B$410,Prior_Forecast!$B:$B,$D$410)&gt;0,SUMIFS(Prior_Forecast!$M:$M,Prior_Forecast!$A:$A,$B$410,Prior_Forecast!$B:$B,$D$410),""))</f>
        <v/>
      </c>
      <c r="S415" s="37">
        <f>IF($B$410="","",IF(COUNTIFS(Prior_Forecast!$A:$A,$B$410,Prior_Forecast!$B:$B,$D$410)&gt;0,SUMIFS(Prior_Forecast!$N:$N,Prior_Forecast!$A:$A,$B$410,Prior_Forecast!$B:$B,$D$410),""))</f>
        <v/>
      </c>
      <c r="T415" s="37">
        <f>IF($B$410="","",IF(COUNTIFS(Prior_Forecast!$A:$A,$B$410,Prior_Forecast!$B:$B,$D$410)&gt;0,SUMIFS(Prior_Forecast!$O:$O,Prior_Forecast!$A:$A,$B$410,Prior_Forecast!$B:$B,$D$410),""))</f>
        <v/>
      </c>
      <c r="U415" s="37">
        <f>IF($B$410="","",IF(COUNTIFS(Prior_Forecast!$A:$A,$B$410,Prior_Forecast!$B:$B,$D$410)&gt;0,SUMIFS(Prior_Forecast!$P:$P,Prior_Forecast!$A:$A,$B$410,Prior_Forecast!$B:$B,$D$410),""))</f>
        <v/>
      </c>
      <c r="V415" s="37">
        <f>IF($B$410="","",IF(COUNTIFS(Prior_Forecast!$A:$A,$B$410,Prior_Forecast!$B:$B,$D$410)&gt;0,SUMIFS(Prior_Forecast!$Q:$Q,Prior_Forecast!$A:$A,$B$410,Prior_Forecast!$B:$B,$D$410),""))</f>
        <v/>
      </c>
      <c r="X415" s="22">
        <f>IF($B415="","",IFERROR(INDEX(Cost_Centers!$E:$E,MATCH($B415,Cost_Centers!$A:$A,0)),"(unknown)"))</f>
        <v/>
      </c>
      <c r="Y415" s="22">
        <f>IF($B415="","",IFERROR(INDEX(Cost_Centers!$D:$D,MATCH($B415,Cost_Centers!$A:$A,0)),"(unknown)"))</f>
        <v/>
      </c>
      <c r="Z415" s="22">
        <f>IF(OR($B415="",$G415&lt;&gt;"Variance vs Budget"),"",ABS(N($V415))+ROW()/1000000000)</f>
        <v/>
      </c>
    </row>
    <row r="416">
      <c r="A416" s="13">
        <f>IF(A$410="","",A$410)</f>
        <v/>
      </c>
      <c r="B416" s="13">
        <f>IF(B$410="","",B$410)</f>
        <v/>
      </c>
      <c r="C416" s="13">
        <f>IF(C$410="","",C$410)</f>
        <v/>
      </c>
      <c r="D416" s="13">
        <f>IF(D$410="","",D$410)</f>
        <v/>
      </c>
      <c r="E416" s="13">
        <f>IF(E$410="","",E$410)</f>
        <v/>
      </c>
      <c r="F416" s="13">
        <f>IF(F$410="","",F$410)</f>
        <v/>
      </c>
      <c r="G416" s="6" t="inlineStr">
        <is>
          <t>Variance vs Prior Month</t>
        </is>
      </c>
      <c r="H416" s="33">
        <f>IF(OR($B$410="",H415=""),"",H414-H415)</f>
        <v/>
      </c>
      <c r="I416" s="33">
        <f>IF(OR($B$410="",I415=""),"",I414-I415)</f>
        <v/>
      </c>
      <c r="J416" s="33">
        <f>IF(OR($B$410="",J415=""),"",J414-J415)</f>
        <v/>
      </c>
      <c r="K416" s="33">
        <f>IF(OR($B$410="",K415=""),"",K414-K415)</f>
        <v/>
      </c>
      <c r="L416" s="33">
        <f>IF(OR($B$410="",L415=""),"",L414-L415)</f>
        <v/>
      </c>
      <c r="M416" s="33">
        <f>IF(OR($B$410="",M415=""),"",M414-M415)</f>
        <v/>
      </c>
      <c r="N416" s="33">
        <f>IF(OR($B$410="",N415=""),"",N414-N415)</f>
        <v/>
      </c>
      <c r="O416" s="33">
        <f>IF(OR($B$410="",O415=""),"",O414-O415)</f>
        <v/>
      </c>
      <c r="P416" s="33">
        <f>IF(OR($B$410="",P415=""),"",P414-P415)</f>
        <v/>
      </c>
      <c r="Q416" s="33">
        <f>IF(OR($B$410="",Q415=""),"",Q414-Q415)</f>
        <v/>
      </c>
      <c r="R416" s="33">
        <f>IF(OR($B$410="",R415=""),"",R414-R415)</f>
        <v/>
      </c>
      <c r="S416" s="33">
        <f>IF(OR($B$410="",S415=""),"",S414-S415)</f>
        <v/>
      </c>
      <c r="T416" s="33">
        <f>IF(OR($B$410="",T415=""),"",T414-T415)</f>
        <v/>
      </c>
      <c r="U416" s="33">
        <f>IF(OR($B$410="",U415=""),"",U414-U415)</f>
        <v/>
      </c>
      <c r="V416" s="33">
        <f>IF(OR($B$410="",V415=""),"",V414-V415)</f>
        <v/>
      </c>
      <c r="X416" s="22">
        <f>IF($B416="","",IFERROR(INDEX(Cost_Centers!$E:$E,MATCH($B416,Cost_Centers!$A:$A,0)),"(unknown)"))</f>
        <v/>
      </c>
      <c r="Y416" s="22">
        <f>IF($B416="","",IFERROR(INDEX(Cost_Centers!$D:$D,MATCH($B416,Cost_Centers!$A:$A,0)),"(unknown)"))</f>
        <v/>
      </c>
      <c r="Z416" s="22">
        <f>IF(OR($B416="",$G416&lt;&gt;"Variance vs Budget"),"",ABS(N($V416))+ROW()/1000000000)</f>
        <v/>
      </c>
    </row>
    <row r="417" ht="45" customHeight="1">
      <c r="A417" s="13">
        <f>IF(A$410="","",A$410)</f>
        <v/>
      </c>
      <c r="B417" s="13">
        <f>IF(B$410="","",B$410)</f>
        <v/>
      </c>
      <c r="C417" s="13">
        <f>IF(C$410="","",C$410)</f>
        <v/>
      </c>
      <c r="D417" s="13">
        <f>IF(D$410="","",D$410)</f>
        <v/>
      </c>
      <c r="E417" s="13">
        <f>IF(E$410="","",E$410)</f>
        <v/>
      </c>
      <c r="F417" s="13">
        <f>IF(F$410="","",F$410)</f>
        <v/>
      </c>
      <c r="G417" s="7" t="inlineStr">
        <is>
          <t>Rationale</t>
        </is>
      </c>
      <c r="H417" s="38" t="n"/>
      <c r="I417" s="38" t="n"/>
      <c r="J417" s="38" t="n"/>
      <c r="K417" s="38" t="n"/>
      <c r="L417" s="38" t="n"/>
      <c r="M417" s="38" t="n"/>
      <c r="N417" s="38" t="n"/>
      <c r="O417" s="38" t="n"/>
      <c r="P417" s="38" t="n"/>
      <c r="Q417" s="38" t="n"/>
      <c r="R417" s="38" t="n"/>
      <c r="S417" s="38" t="n"/>
      <c r="T417" s="38" t="n"/>
      <c r="U417" s="38" t="n"/>
      <c r="V417" s="7" t="n"/>
      <c r="X417" s="22">
        <f>IF($B417="","",IFERROR(INDEX(Cost_Centers!$E:$E,MATCH($B417,Cost_Centers!$A:$A,0)),"(unknown)"))</f>
        <v/>
      </c>
      <c r="Y417" s="22">
        <f>IF($B417="","",IFERROR(INDEX(Cost_Centers!$D:$D,MATCH($B417,Cost_Centers!$A:$A,0)),"(unknown)"))</f>
        <v/>
      </c>
      <c r="Z417" s="22">
        <f>IF(OR($B417="",$G417&lt;&gt;"Variance vs Budget"),"",ABS(N($V417))+ROW()/1000000000)</f>
        <v/>
      </c>
    </row>
    <row r="418">
      <c r="A418" s="30">
        <f>IF($D$418="","",LEFT($D$418,FIND("|",$D$418&amp;"|")-1))</f>
        <v/>
      </c>
      <c r="B418" s="31" t="n"/>
      <c r="C418" s="30">
        <f>IF($B$418="","",IFERROR(INDEX(Cost_Centers!$B:$B,MATCH($B$418,Cost_Centers!$A:$A,0)),"(not in master)"))</f>
        <v/>
      </c>
      <c r="D418" s="31" t="n"/>
      <c r="E418" s="30">
        <f>IF($D$418="","",IFERROR(INDEX(Accounts!$D:$D,MATCH($D$418,Accounts!$A:$A,0)),"(not in master)"))</f>
        <v/>
      </c>
      <c r="F418" s="31" t="n"/>
      <c r="G418" s="30" t="inlineStr">
        <is>
          <t>Budget</t>
        </is>
      </c>
      <c r="H418" s="32">
        <f>IF($B$418="","",SUMIFS(Opex_Budget!$O:$O,Opex_Budget!$A:$A,$C$3,Opex_Budget!$E:$E,$B$418,Opex_Budget!$F:$F,$D$418,Opex_Budget!$N:$N,"JPY")*$E$5+SUMIFS(Opex_Budget!$O:$O,Opex_Budget!$A:$A,$C$3,Opex_Budget!$E:$E,$B$418,Opex_Budget!$F:$F,$D$418,Opex_Budget!$N:$N,"USD")*$F$5+SUMIFS(Opex_Budget!$O:$O,Opex_Budget!$A:$A,$C$3,Opex_Budget!$E:$E,$B$418,Opex_Budget!$F:$F,$D$418,Opex_Budget!$N:$N,"EUR")*$G$5+SUMIFS(Opex_Budget!$O:$O,Opex_Budget!$A:$A,$C$3,Opex_Budget!$E:$E,$B$418,Opex_Budget!$F:$F,$D$418,Opex_Budget!$N:$N,"GBP")*$H$5)</f>
        <v/>
      </c>
      <c r="I418" s="32">
        <f>IF($B$418="","",SUMIFS(Opex_Budget!$P:$P,Opex_Budget!$A:$A,$C$3,Opex_Budget!$E:$E,$B$418,Opex_Budget!$F:$F,$D$418,Opex_Budget!$N:$N,"JPY")*$E$5+SUMIFS(Opex_Budget!$P:$P,Opex_Budget!$A:$A,$C$3,Opex_Budget!$E:$E,$B$418,Opex_Budget!$F:$F,$D$418,Opex_Budget!$N:$N,"USD")*$F$5+SUMIFS(Opex_Budget!$P:$P,Opex_Budget!$A:$A,$C$3,Opex_Budget!$E:$E,$B$418,Opex_Budget!$F:$F,$D$418,Opex_Budget!$N:$N,"EUR")*$G$5+SUMIFS(Opex_Budget!$P:$P,Opex_Budget!$A:$A,$C$3,Opex_Budget!$E:$E,$B$418,Opex_Budget!$F:$F,$D$418,Opex_Budget!$N:$N,"GBP")*$H$5)</f>
        <v/>
      </c>
      <c r="J418" s="32">
        <f>IF($B$418="","",SUMIFS(Opex_Budget!$Q:$Q,Opex_Budget!$A:$A,$C$3,Opex_Budget!$E:$E,$B$418,Opex_Budget!$F:$F,$D$418,Opex_Budget!$N:$N,"JPY")*$E$5+SUMIFS(Opex_Budget!$Q:$Q,Opex_Budget!$A:$A,$C$3,Opex_Budget!$E:$E,$B$418,Opex_Budget!$F:$F,$D$418,Opex_Budget!$N:$N,"USD")*$F$5+SUMIFS(Opex_Budget!$Q:$Q,Opex_Budget!$A:$A,$C$3,Opex_Budget!$E:$E,$B$418,Opex_Budget!$F:$F,$D$418,Opex_Budget!$N:$N,"EUR")*$G$5+SUMIFS(Opex_Budget!$Q:$Q,Opex_Budget!$A:$A,$C$3,Opex_Budget!$E:$E,$B$418,Opex_Budget!$F:$F,$D$418,Opex_Budget!$N:$N,"GBP")*$H$5)</f>
        <v/>
      </c>
      <c r="K418" s="32">
        <f>IF($B$418="","",SUMIFS(Opex_Budget!$R:$R,Opex_Budget!$A:$A,$C$3,Opex_Budget!$E:$E,$B$418,Opex_Budget!$F:$F,$D$418,Opex_Budget!$N:$N,"JPY")*$E$5+SUMIFS(Opex_Budget!$R:$R,Opex_Budget!$A:$A,$C$3,Opex_Budget!$E:$E,$B$418,Opex_Budget!$F:$F,$D$418,Opex_Budget!$N:$N,"USD")*$F$5+SUMIFS(Opex_Budget!$R:$R,Opex_Budget!$A:$A,$C$3,Opex_Budget!$E:$E,$B$418,Opex_Budget!$F:$F,$D$418,Opex_Budget!$N:$N,"EUR")*$G$5+SUMIFS(Opex_Budget!$R:$R,Opex_Budget!$A:$A,$C$3,Opex_Budget!$E:$E,$B$418,Opex_Budget!$F:$F,$D$418,Opex_Budget!$N:$N,"GBP")*$H$5)</f>
        <v/>
      </c>
      <c r="L418" s="32">
        <f>IF($B$418="","",SUMIFS(Opex_Budget!$S:$S,Opex_Budget!$A:$A,$C$3,Opex_Budget!$E:$E,$B$418,Opex_Budget!$F:$F,$D$418,Opex_Budget!$N:$N,"JPY")*$E$5+SUMIFS(Opex_Budget!$S:$S,Opex_Budget!$A:$A,$C$3,Opex_Budget!$E:$E,$B$418,Opex_Budget!$F:$F,$D$418,Opex_Budget!$N:$N,"USD")*$F$5+SUMIFS(Opex_Budget!$S:$S,Opex_Budget!$A:$A,$C$3,Opex_Budget!$E:$E,$B$418,Opex_Budget!$F:$F,$D$418,Opex_Budget!$N:$N,"EUR")*$G$5+SUMIFS(Opex_Budget!$S:$S,Opex_Budget!$A:$A,$C$3,Opex_Budget!$E:$E,$B$418,Opex_Budget!$F:$F,$D$418,Opex_Budget!$N:$N,"GBP")*$H$5)</f>
        <v/>
      </c>
      <c r="M418" s="32">
        <f>IF($B$418="","",SUMIFS(Opex_Budget!$T:$T,Opex_Budget!$A:$A,$C$3,Opex_Budget!$E:$E,$B$418,Opex_Budget!$F:$F,$D$418,Opex_Budget!$N:$N,"JPY")*$E$5+SUMIFS(Opex_Budget!$T:$T,Opex_Budget!$A:$A,$C$3,Opex_Budget!$E:$E,$B$418,Opex_Budget!$F:$F,$D$418,Opex_Budget!$N:$N,"USD")*$F$5+SUMIFS(Opex_Budget!$T:$T,Opex_Budget!$A:$A,$C$3,Opex_Budget!$E:$E,$B$418,Opex_Budget!$F:$F,$D$418,Opex_Budget!$N:$N,"EUR")*$G$5+SUMIFS(Opex_Budget!$T:$T,Opex_Budget!$A:$A,$C$3,Opex_Budget!$E:$E,$B$418,Opex_Budget!$F:$F,$D$418,Opex_Budget!$N:$N,"GBP")*$H$5)</f>
        <v/>
      </c>
      <c r="N418" s="32">
        <f>IF($B$418="","",SUMIFS(Opex_Budget!$U:$U,Opex_Budget!$A:$A,$C$3,Opex_Budget!$E:$E,$B$418,Opex_Budget!$F:$F,$D$418,Opex_Budget!$N:$N,"JPY")*$E$5+SUMIFS(Opex_Budget!$U:$U,Opex_Budget!$A:$A,$C$3,Opex_Budget!$E:$E,$B$418,Opex_Budget!$F:$F,$D$418,Opex_Budget!$N:$N,"USD")*$F$5+SUMIFS(Opex_Budget!$U:$U,Opex_Budget!$A:$A,$C$3,Opex_Budget!$E:$E,$B$418,Opex_Budget!$F:$F,$D$418,Opex_Budget!$N:$N,"EUR")*$G$5+SUMIFS(Opex_Budget!$U:$U,Opex_Budget!$A:$A,$C$3,Opex_Budget!$E:$E,$B$418,Opex_Budget!$F:$F,$D$418,Opex_Budget!$N:$N,"GBP")*$H$5)</f>
        <v/>
      </c>
      <c r="O418" s="32">
        <f>IF($B$418="","",SUMIFS(Opex_Budget!$V:$V,Opex_Budget!$A:$A,$C$3,Opex_Budget!$E:$E,$B$418,Opex_Budget!$F:$F,$D$418,Opex_Budget!$N:$N,"JPY")*$E$5+SUMIFS(Opex_Budget!$V:$V,Opex_Budget!$A:$A,$C$3,Opex_Budget!$E:$E,$B$418,Opex_Budget!$F:$F,$D$418,Opex_Budget!$N:$N,"USD")*$F$5+SUMIFS(Opex_Budget!$V:$V,Opex_Budget!$A:$A,$C$3,Opex_Budget!$E:$E,$B$418,Opex_Budget!$F:$F,$D$418,Opex_Budget!$N:$N,"EUR")*$G$5+SUMIFS(Opex_Budget!$V:$V,Opex_Budget!$A:$A,$C$3,Opex_Budget!$E:$E,$B$418,Opex_Budget!$F:$F,$D$418,Opex_Budget!$N:$N,"GBP")*$H$5)</f>
        <v/>
      </c>
      <c r="P418" s="32">
        <f>IF($B$418="","",SUMIFS(Opex_Budget!$W:$W,Opex_Budget!$A:$A,$C$3,Opex_Budget!$E:$E,$B$418,Opex_Budget!$F:$F,$D$418,Opex_Budget!$N:$N,"JPY")*$E$5+SUMIFS(Opex_Budget!$W:$W,Opex_Budget!$A:$A,$C$3,Opex_Budget!$E:$E,$B$418,Opex_Budget!$F:$F,$D$418,Opex_Budget!$N:$N,"USD")*$F$5+SUMIFS(Opex_Budget!$W:$W,Opex_Budget!$A:$A,$C$3,Opex_Budget!$E:$E,$B$418,Opex_Budget!$F:$F,$D$418,Opex_Budget!$N:$N,"EUR")*$G$5+SUMIFS(Opex_Budget!$W:$W,Opex_Budget!$A:$A,$C$3,Opex_Budget!$E:$E,$B$418,Opex_Budget!$F:$F,$D$418,Opex_Budget!$N:$N,"GBP")*$H$5)</f>
        <v/>
      </c>
      <c r="Q418" s="32">
        <f>IF($B$418="","",SUMIFS(Opex_Budget!$X:$X,Opex_Budget!$A:$A,$C$3,Opex_Budget!$E:$E,$B$418,Opex_Budget!$F:$F,$D$418,Opex_Budget!$N:$N,"JPY")*$E$5+SUMIFS(Opex_Budget!$X:$X,Opex_Budget!$A:$A,$C$3,Opex_Budget!$E:$E,$B$418,Opex_Budget!$F:$F,$D$418,Opex_Budget!$N:$N,"USD")*$F$5+SUMIFS(Opex_Budget!$X:$X,Opex_Budget!$A:$A,$C$3,Opex_Budget!$E:$E,$B$418,Opex_Budget!$F:$F,$D$418,Opex_Budget!$N:$N,"EUR")*$G$5+SUMIFS(Opex_Budget!$X:$X,Opex_Budget!$A:$A,$C$3,Opex_Budget!$E:$E,$B$418,Opex_Budget!$F:$F,$D$418,Opex_Budget!$N:$N,"GBP")*$H$5)</f>
        <v/>
      </c>
      <c r="R418" s="32">
        <f>IF($B$418="","",SUMIFS(Opex_Budget!$Y:$Y,Opex_Budget!$A:$A,$C$3,Opex_Budget!$E:$E,$B$418,Opex_Budget!$F:$F,$D$418,Opex_Budget!$N:$N,"JPY")*$E$5+SUMIFS(Opex_Budget!$Y:$Y,Opex_Budget!$A:$A,$C$3,Opex_Budget!$E:$E,$B$418,Opex_Budget!$F:$F,$D$418,Opex_Budget!$N:$N,"USD")*$F$5+SUMIFS(Opex_Budget!$Y:$Y,Opex_Budget!$A:$A,$C$3,Opex_Budget!$E:$E,$B$418,Opex_Budget!$F:$F,$D$418,Opex_Budget!$N:$N,"EUR")*$G$5+SUMIFS(Opex_Budget!$Y:$Y,Opex_Budget!$A:$A,$C$3,Opex_Budget!$E:$E,$B$418,Opex_Budget!$F:$F,$D$418,Opex_Budget!$N:$N,"GBP")*$H$5)</f>
        <v/>
      </c>
      <c r="S418" s="32">
        <f>IF($B$418="","",SUMIFS(Opex_Budget!$Z:$Z,Opex_Budget!$A:$A,$C$3,Opex_Budget!$E:$E,$B$418,Opex_Budget!$F:$F,$D$418,Opex_Budget!$N:$N,"JPY")*$E$5+SUMIFS(Opex_Budget!$Z:$Z,Opex_Budget!$A:$A,$C$3,Opex_Budget!$E:$E,$B$418,Opex_Budget!$F:$F,$D$418,Opex_Budget!$N:$N,"USD")*$F$5+SUMIFS(Opex_Budget!$Z:$Z,Opex_Budget!$A:$A,$C$3,Opex_Budget!$E:$E,$B$418,Opex_Budget!$F:$F,$D$418,Opex_Budget!$N:$N,"EUR")*$G$5+SUMIFS(Opex_Budget!$Z:$Z,Opex_Budget!$A:$A,$C$3,Opex_Budget!$E:$E,$B$418,Opex_Budget!$F:$F,$D$418,Opex_Budget!$N:$N,"GBP")*$H$5)</f>
        <v/>
      </c>
      <c r="T418" s="32">
        <f>IF($B$418="","",SUMIF($H$7:$S$7,"&lt;="&amp;$C$4,$H418:$S418))</f>
        <v/>
      </c>
      <c r="U418" s="32">
        <f>IF($B$418="","",SUMIF($H$7:$S$7,"&gt;"&amp;$C$4,$H418:$S418))</f>
        <v/>
      </c>
      <c r="V418" s="32">
        <f>IF($B$418="","",SUM($H418:$S418))</f>
        <v/>
      </c>
      <c r="X418" s="22">
        <f>IF($B418="","",IFERROR(INDEX(Cost_Centers!$E:$E,MATCH($B418,Cost_Centers!$A:$A,0)),"(unknown)"))</f>
        <v/>
      </c>
      <c r="Y418" s="22">
        <f>IF($B418="","",IFERROR(INDEX(Cost_Centers!$D:$D,MATCH($B418,Cost_Centers!$A:$A,0)),"(unknown)"))</f>
        <v/>
      </c>
      <c r="Z418" s="22">
        <f>IF(OR($B418="",$G418&lt;&gt;"Variance vs Budget"),"",ABS(N($V418))+ROW()/1000000000)</f>
        <v/>
      </c>
    </row>
    <row r="419">
      <c r="A419" s="13">
        <f>IF(A$418="","",A$418)</f>
        <v/>
      </c>
      <c r="B419" s="13">
        <f>IF(B$418="","",B$418)</f>
        <v/>
      </c>
      <c r="C419" s="13">
        <f>IF(C$418="","",C$418)</f>
        <v/>
      </c>
      <c r="D419" s="13">
        <f>IF(D$418="","",D$418)</f>
        <v/>
      </c>
      <c r="E419" s="13">
        <f>IF(E$418="","",E$418)</f>
        <v/>
      </c>
      <c r="F419" s="13">
        <f>IF(F$418="","",F$418)</f>
        <v/>
      </c>
      <c r="G419" s="7" t="inlineStr">
        <is>
          <t>Actual</t>
        </is>
      </c>
      <c r="H419" s="18">
        <f>IF(OR($B$418="",1&gt;$C$4),"",SUMIFS(Actuals!$G:$G,Actuals!$B:$B,$C$3,Actuals!$C:$C,1,Actuals!$D:$D,$B$418,Actuals!$A:$A,LEFT($D$418,FIND("|",$D$418&amp;"|")-1),Actuals!$E:$E,MID($D$418,FIND("|",$D$418&amp;"|")+1,50),Actuals!$F:$F,"JPY")*$E$5+SUMIFS(Actuals!$G:$G,Actuals!$B:$B,$C$3,Actuals!$C:$C,1,Actuals!$D:$D,$B$418,Actuals!$A:$A,LEFT($D$418,FIND("|",$D$418&amp;"|")-1),Actuals!$E:$E,MID($D$418,FIND("|",$D$418&amp;"|")+1,50),Actuals!$F:$F,"USD")*$F$5+SUMIFS(Actuals!$G:$G,Actuals!$B:$B,$C$3,Actuals!$C:$C,1,Actuals!$D:$D,$B$418,Actuals!$A:$A,LEFT($D$418,FIND("|",$D$418&amp;"|")-1),Actuals!$E:$E,MID($D$418,FIND("|",$D$418&amp;"|")+1,50),Actuals!$F:$F,"EUR")*$G$5+SUMIFS(Actuals!$G:$G,Actuals!$B:$B,$C$3,Actuals!$C:$C,1,Actuals!$D:$D,$B$418,Actuals!$A:$A,LEFT($D$418,FIND("|",$D$418&amp;"|")-1),Actuals!$E:$E,MID($D$418,FIND("|",$D$418&amp;"|")+1,50),Actuals!$F:$F,"GBP")*$H$5)</f>
        <v/>
      </c>
      <c r="I419" s="18">
        <f>IF(OR($B$418="",2&gt;$C$4),"",SUMIFS(Actuals!$G:$G,Actuals!$B:$B,$C$3,Actuals!$C:$C,2,Actuals!$D:$D,$B$418,Actuals!$A:$A,LEFT($D$418,FIND("|",$D$418&amp;"|")-1),Actuals!$E:$E,MID($D$418,FIND("|",$D$418&amp;"|")+1,50),Actuals!$F:$F,"JPY")*$E$5+SUMIFS(Actuals!$G:$G,Actuals!$B:$B,$C$3,Actuals!$C:$C,2,Actuals!$D:$D,$B$418,Actuals!$A:$A,LEFT($D$418,FIND("|",$D$418&amp;"|")-1),Actuals!$E:$E,MID($D$418,FIND("|",$D$418&amp;"|")+1,50),Actuals!$F:$F,"USD")*$F$5+SUMIFS(Actuals!$G:$G,Actuals!$B:$B,$C$3,Actuals!$C:$C,2,Actuals!$D:$D,$B$418,Actuals!$A:$A,LEFT($D$418,FIND("|",$D$418&amp;"|")-1),Actuals!$E:$E,MID($D$418,FIND("|",$D$418&amp;"|")+1,50),Actuals!$F:$F,"EUR")*$G$5+SUMIFS(Actuals!$G:$G,Actuals!$B:$B,$C$3,Actuals!$C:$C,2,Actuals!$D:$D,$B$418,Actuals!$A:$A,LEFT($D$418,FIND("|",$D$418&amp;"|")-1),Actuals!$E:$E,MID($D$418,FIND("|",$D$418&amp;"|")+1,50),Actuals!$F:$F,"GBP")*$H$5)</f>
        <v/>
      </c>
      <c r="J419" s="18">
        <f>IF(OR($B$418="",3&gt;$C$4),"",SUMIFS(Actuals!$G:$G,Actuals!$B:$B,$C$3,Actuals!$C:$C,3,Actuals!$D:$D,$B$418,Actuals!$A:$A,LEFT($D$418,FIND("|",$D$418&amp;"|")-1),Actuals!$E:$E,MID($D$418,FIND("|",$D$418&amp;"|")+1,50),Actuals!$F:$F,"JPY")*$E$5+SUMIFS(Actuals!$G:$G,Actuals!$B:$B,$C$3,Actuals!$C:$C,3,Actuals!$D:$D,$B$418,Actuals!$A:$A,LEFT($D$418,FIND("|",$D$418&amp;"|")-1),Actuals!$E:$E,MID($D$418,FIND("|",$D$418&amp;"|")+1,50),Actuals!$F:$F,"USD")*$F$5+SUMIFS(Actuals!$G:$G,Actuals!$B:$B,$C$3,Actuals!$C:$C,3,Actuals!$D:$D,$B$418,Actuals!$A:$A,LEFT($D$418,FIND("|",$D$418&amp;"|")-1),Actuals!$E:$E,MID($D$418,FIND("|",$D$418&amp;"|")+1,50),Actuals!$F:$F,"EUR")*$G$5+SUMIFS(Actuals!$G:$G,Actuals!$B:$B,$C$3,Actuals!$C:$C,3,Actuals!$D:$D,$B$418,Actuals!$A:$A,LEFT($D$418,FIND("|",$D$418&amp;"|")-1),Actuals!$E:$E,MID($D$418,FIND("|",$D$418&amp;"|")+1,50),Actuals!$F:$F,"GBP")*$H$5)</f>
        <v/>
      </c>
      <c r="K419" s="18">
        <f>IF(OR($B$418="",4&gt;$C$4),"",SUMIFS(Actuals!$G:$G,Actuals!$B:$B,$C$3,Actuals!$C:$C,4,Actuals!$D:$D,$B$418,Actuals!$A:$A,LEFT($D$418,FIND("|",$D$418&amp;"|")-1),Actuals!$E:$E,MID($D$418,FIND("|",$D$418&amp;"|")+1,50),Actuals!$F:$F,"JPY")*$E$5+SUMIFS(Actuals!$G:$G,Actuals!$B:$B,$C$3,Actuals!$C:$C,4,Actuals!$D:$D,$B$418,Actuals!$A:$A,LEFT($D$418,FIND("|",$D$418&amp;"|")-1),Actuals!$E:$E,MID($D$418,FIND("|",$D$418&amp;"|")+1,50),Actuals!$F:$F,"USD")*$F$5+SUMIFS(Actuals!$G:$G,Actuals!$B:$B,$C$3,Actuals!$C:$C,4,Actuals!$D:$D,$B$418,Actuals!$A:$A,LEFT($D$418,FIND("|",$D$418&amp;"|")-1),Actuals!$E:$E,MID($D$418,FIND("|",$D$418&amp;"|")+1,50),Actuals!$F:$F,"EUR")*$G$5+SUMIFS(Actuals!$G:$G,Actuals!$B:$B,$C$3,Actuals!$C:$C,4,Actuals!$D:$D,$B$418,Actuals!$A:$A,LEFT($D$418,FIND("|",$D$418&amp;"|")-1),Actuals!$E:$E,MID($D$418,FIND("|",$D$418&amp;"|")+1,50),Actuals!$F:$F,"GBP")*$H$5)</f>
        <v/>
      </c>
      <c r="L419" s="18">
        <f>IF(OR($B$418="",5&gt;$C$4),"",SUMIFS(Actuals!$G:$G,Actuals!$B:$B,$C$3,Actuals!$C:$C,5,Actuals!$D:$D,$B$418,Actuals!$A:$A,LEFT($D$418,FIND("|",$D$418&amp;"|")-1),Actuals!$E:$E,MID($D$418,FIND("|",$D$418&amp;"|")+1,50),Actuals!$F:$F,"JPY")*$E$5+SUMIFS(Actuals!$G:$G,Actuals!$B:$B,$C$3,Actuals!$C:$C,5,Actuals!$D:$D,$B$418,Actuals!$A:$A,LEFT($D$418,FIND("|",$D$418&amp;"|")-1),Actuals!$E:$E,MID($D$418,FIND("|",$D$418&amp;"|")+1,50),Actuals!$F:$F,"USD")*$F$5+SUMIFS(Actuals!$G:$G,Actuals!$B:$B,$C$3,Actuals!$C:$C,5,Actuals!$D:$D,$B$418,Actuals!$A:$A,LEFT($D$418,FIND("|",$D$418&amp;"|")-1),Actuals!$E:$E,MID($D$418,FIND("|",$D$418&amp;"|")+1,50),Actuals!$F:$F,"EUR")*$G$5+SUMIFS(Actuals!$G:$G,Actuals!$B:$B,$C$3,Actuals!$C:$C,5,Actuals!$D:$D,$B$418,Actuals!$A:$A,LEFT($D$418,FIND("|",$D$418&amp;"|")-1),Actuals!$E:$E,MID($D$418,FIND("|",$D$418&amp;"|")+1,50),Actuals!$F:$F,"GBP")*$H$5)</f>
        <v/>
      </c>
      <c r="M419" s="18">
        <f>IF(OR($B$418="",6&gt;$C$4),"",SUMIFS(Actuals!$G:$G,Actuals!$B:$B,$C$3,Actuals!$C:$C,6,Actuals!$D:$D,$B$418,Actuals!$A:$A,LEFT($D$418,FIND("|",$D$418&amp;"|")-1),Actuals!$E:$E,MID($D$418,FIND("|",$D$418&amp;"|")+1,50),Actuals!$F:$F,"JPY")*$E$5+SUMIFS(Actuals!$G:$G,Actuals!$B:$B,$C$3,Actuals!$C:$C,6,Actuals!$D:$D,$B$418,Actuals!$A:$A,LEFT($D$418,FIND("|",$D$418&amp;"|")-1),Actuals!$E:$E,MID($D$418,FIND("|",$D$418&amp;"|")+1,50),Actuals!$F:$F,"USD")*$F$5+SUMIFS(Actuals!$G:$G,Actuals!$B:$B,$C$3,Actuals!$C:$C,6,Actuals!$D:$D,$B$418,Actuals!$A:$A,LEFT($D$418,FIND("|",$D$418&amp;"|")-1),Actuals!$E:$E,MID($D$418,FIND("|",$D$418&amp;"|")+1,50),Actuals!$F:$F,"EUR")*$G$5+SUMIFS(Actuals!$G:$G,Actuals!$B:$B,$C$3,Actuals!$C:$C,6,Actuals!$D:$D,$B$418,Actuals!$A:$A,LEFT($D$418,FIND("|",$D$418&amp;"|")-1),Actuals!$E:$E,MID($D$418,FIND("|",$D$418&amp;"|")+1,50),Actuals!$F:$F,"GBP")*$H$5)</f>
        <v/>
      </c>
      <c r="N419" s="18">
        <f>IF(OR($B$418="",7&gt;$C$4),"",SUMIFS(Actuals!$G:$G,Actuals!$B:$B,$C$3,Actuals!$C:$C,7,Actuals!$D:$D,$B$418,Actuals!$A:$A,LEFT($D$418,FIND("|",$D$418&amp;"|")-1),Actuals!$E:$E,MID($D$418,FIND("|",$D$418&amp;"|")+1,50),Actuals!$F:$F,"JPY")*$E$5+SUMIFS(Actuals!$G:$G,Actuals!$B:$B,$C$3,Actuals!$C:$C,7,Actuals!$D:$D,$B$418,Actuals!$A:$A,LEFT($D$418,FIND("|",$D$418&amp;"|")-1),Actuals!$E:$E,MID($D$418,FIND("|",$D$418&amp;"|")+1,50),Actuals!$F:$F,"USD")*$F$5+SUMIFS(Actuals!$G:$G,Actuals!$B:$B,$C$3,Actuals!$C:$C,7,Actuals!$D:$D,$B$418,Actuals!$A:$A,LEFT($D$418,FIND("|",$D$418&amp;"|")-1),Actuals!$E:$E,MID($D$418,FIND("|",$D$418&amp;"|")+1,50),Actuals!$F:$F,"EUR")*$G$5+SUMIFS(Actuals!$G:$G,Actuals!$B:$B,$C$3,Actuals!$C:$C,7,Actuals!$D:$D,$B$418,Actuals!$A:$A,LEFT($D$418,FIND("|",$D$418&amp;"|")-1),Actuals!$E:$E,MID($D$418,FIND("|",$D$418&amp;"|")+1,50),Actuals!$F:$F,"GBP")*$H$5)</f>
        <v/>
      </c>
      <c r="O419" s="18">
        <f>IF(OR($B$418="",8&gt;$C$4),"",SUMIFS(Actuals!$G:$G,Actuals!$B:$B,$C$3,Actuals!$C:$C,8,Actuals!$D:$D,$B$418,Actuals!$A:$A,LEFT($D$418,FIND("|",$D$418&amp;"|")-1),Actuals!$E:$E,MID($D$418,FIND("|",$D$418&amp;"|")+1,50),Actuals!$F:$F,"JPY")*$E$5+SUMIFS(Actuals!$G:$G,Actuals!$B:$B,$C$3,Actuals!$C:$C,8,Actuals!$D:$D,$B$418,Actuals!$A:$A,LEFT($D$418,FIND("|",$D$418&amp;"|")-1),Actuals!$E:$E,MID($D$418,FIND("|",$D$418&amp;"|")+1,50),Actuals!$F:$F,"USD")*$F$5+SUMIFS(Actuals!$G:$G,Actuals!$B:$B,$C$3,Actuals!$C:$C,8,Actuals!$D:$D,$B$418,Actuals!$A:$A,LEFT($D$418,FIND("|",$D$418&amp;"|")-1),Actuals!$E:$E,MID($D$418,FIND("|",$D$418&amp;"|")+1,50),Actuals!$F:$F,"EUR")*$G$5+SUMIFS(Actuals!$G:$G,Actuals!$B:$B,$C$3,Actuals!$C:$C,8,Actuals!$D:$D,$B$418,Actuals!$A:$A,LEFT($D$418,FIND("|",$D$418&amp;"|")-1),Actuals!$E:$E,MID($D$418,FIND("|",$D$418&amp;"|")+1,50),Actuals!$F:$F,"GBP")*$H$5)</f>
        <v/>
      </c>
      <c r="P419" s="18">
        <f>IF(OR($B$418="",9&gt;$C$4),"",SUMIFS(Actuals!$G:$G,Actuals!$B:$B,$C$3,Actuals!$C:$C,9,Actuals!$D:$D,$B$418,Actuals!$A:$A,LEFT($D$418,FIND("|",$D$418&amp;"|")-1),Actuals!$E:$E,MID($D$418,FIND("|",$D$418&amp;"|")+1,50),Actuals!$F:$F,"JPY")*$E$5+SUMIFS(Actuals!$G:$G,Actuals!$B:$B,$C$3,Actuals!$C:$C,9,Actuals!$D:$D,$B$418,Actuals!$A:$A,LEFT($D$418,FIND("|",$D$418&amp;"|")-1),Actuals!$E:$E,MID($D$418,FIND("|",$D$418&amp;"|")+1,50),Actuals!$F:$F,"USD")*$F$5+SUMIFS(Actuals!$G:$G,Actuals!$B:$B,$C$3,Actuals!$C:$C,9,Actuals!$D:$D,$B$418,Actuals!$A:$A,LEFT($D$418,FIND("|",$D$418&amp;"|")-1),Actuals!$E:$E,MID($D$418,FIND("|",$D$418&amp;"|")+1,50),Actuals!$F:$F,"EUR")*$G$5+SUMIFS(Actuals!$G:$G,Actuals!$B:$B,$C$3,Actuals!$C:$C,9,Actuals!$D:$D,$B$418,Actuals!$A:$A,LEFT($D$418,FIND("|",$D$418&amp;"|")-1),Actuals!$E:$E,MID($D$418,FIND("|",$D$418&amp;"|")+1,50),Actuals!$F:$F,"GBP")*$H$5)</f>
        <v/>
      </c>
      <c r="Q419" s="18">
        <f>IF(OR($B$418="",10&gt;$C$4),"",SUMIFS(Actuals!$G:$G,Actuals!$B:$B,$C$3,Actuals!$C:$C,10,Actuals!$D:$D,$B$418,Actuals!$A:$A,LEFT($D$418,FIND("|",$D$418&amp;"|")-1),Actuals!$E:$E,MID($D$418,FIND("|",$D$418&amp;"|")+1,50),Actuals!$F:$F,"JPY")*$E$5+SUMIFS(Actuals!$G:$G,Actuals!$B:$B,$C$3,Actuals!$C:$C,10,Actuals!$D:$D,$B$418,Actuals!$A:$A,LEFT($D$418,FIND("|",$D$418&amp;"|")-1),Actuals!$E:$E,MID($D$418,FIND("|",$D$418&amp;"|")+1,50),Actuals!$F:$F,"USD")*$F$5+SUMIFS(Actuals!$G:$G,Actuals!$B:$B,$C$3,Actuals!$C:$C,10,Actuals!$D:$D,$B$418,Actuals!$A:$A,LEFT($D$418,FIND("|",$D$418&amp;"|")-1),Actuals!$E:$E,MID($D$418,FIND("|",$D$418&amp;"|")+1,50),Actuals!$F:$F,"EUR")*$G$5+SUMIFS(Actuals!$G:$G,Actuals!$B:$B,$C$3,Actuals!$C:$C,10,Actuals!$D:$D,$B$418,Actuals!$A:$A,LEFT($D$418,FIND("|",$D$418&amp;"|")-1),Actuals!$E:$E,MID($D$418,FIND("|",$D$418&amp;"|")+1,50),Actuals!$F:$F,"GBP")*$H$5)</f>
        <v/>
      </c>
      <c r="R419" s="18">
        <f>IF(OR($B$418="",11&gt;$C$4),"",SUMIFS(Actuals!$G:$G,Actuals!$B:$B,$C$3,Actuals!$C:$C,11,Actuals!$D:$D,$B$418,Actuals!$A:$A,LEFT($D$418,FIND("|",$D$418&amp;"|")-1),Actuals!$E:$E,MID($D$418,FIND("|",$D$418&amp;"|")+1,50),Actuals!$F:$F,"JPY")*$E$5+SUMIFS(Actuals!$G:$G,Actuals!$B:$B,$C$3,Actuals!$C:$C,11,Actuals!$D:$D,$B$418,Actuals!$A:$A,LEFT($D$418,FIND("|",$D$418&amp;"|")-1),Actuals!$E:$E,MID($D$418,FIND("|",$D$418&amp;"|")+1,50),Actuals!$F:$F,"USD")*$F$5+SUMIFS(Actuals!$G:$G,Actuals!$B:$B,$C$3,Actuals!$C:$C,11,Actuals!$D:$D,$B$418,Actuals!$A:$A,LEFT($D$418,FIND("|",$D$418&amp;"|")-1),Actuals!$E:$E,MID($D$418,FIND("|",$D$418&amp;"|")+1,50),Actuals!$F:$F,"EUR")*$G$5+SUMIFS(Actuals!$G:$G,Actuals!$B:$B,$C$3,Actuals!$C:$C,11,Actuals!$D:$D,$B$418,Actuals!$A:$A,LEFT($D$418,FIND("|",$D$418&amp;"|")-1),Actuals!$E:$E,MID($D$418,FIND("|",$D$418&amp;"|")+1,50),Actuals!$F:$F,"GBP")*$H$5)</f>
        <v/>
      </c>
      <c r="S419" s="18">
        <f>IF(OR($B$418="",12&gt;$C$4),"",SUMIFS(Actuals!$G:$G,Actuals!$B:$B,$C$3,Actuals!$C:$C,12,Actuals!$D:$D,$B$418,Actuals!$A:$A,LEFT($D$418,FIND("|",$D$418&amp;"|")-1),Actuals!$E:$E,MID($D$418,FIND("|",$D$418&amp;"|")+1,50),Actuals!$F:$F,"JPY")*$E$5+SUMIFS(Actuals!$G:$G,Actuals!$B:$B,$C$3,Actuals!$C:$C,12,Actuals!$D:$D,$B$418,Actuals!$A:$A,LEFT($D$418,FIND("|",$D$418&amp;"|")-1),Actuals!$E:$E,MID($D$418,FIND("|",$D$418&amp;"|")+1,50),Actuals!$F:$F,"USD")*$F$5+SUMIFS(Actuals!$G:$G,Actuals!$B:$B,$C$3,Actuals!$C:$C,12,Actuals!$D:$D,$B$418,Actuals!$A:$A,LEFT($D$418,FIND("|",$D$418&amp;"|")-1),Actuals!$E:$E,MID($D$418,FIND("|",$D$418&amp;"|")+1,50),Actuals!$F:$F,"EUR")*$G$5+SUMIFS(Actuals!$G:$G,Actuals!$B:$B,$C$3,Actuals!$C:$C,12,Actuals!$D:$D,$B$418,Actuals!$A:$A,LEFT($D$418,FIND("|",$D$418&amp;"|")-1),Actuals!$E:$E,MID($D$418,FIND("|",$D$418&amp;"|")+1,50),Actuals!$F:$F,"GBP")*$H$5)</f>
        <v/>
      </c>
      <c r="T419" s="18">
        <f>IF($B$418="","",SUMIF($H$7:$S$7,"&lt;="&amp;$C$4,$H419:$S419))</f>
        <v/>
      </c>
      <c r="U419" s="18" t="n"/>
      <c r="V419" s="18" t="n"/>
      <c r="X419" s="22">
        <f>IF($B419="","",IFERROR(INDEX(Cost_Centers!$E:$E,MATCH($B419,Cost_Centers!$A:$A,0)),"(unknown)"))</f>
        <v/>
      </c>
      <c r="Y419" s="22">
        <f>IF($B419="","",IFERROR(INDEX(Cost_Centers!$D:$D,MATCH($B419,Cost_Centers!$A:$A,0)),"(unknown)"))</f>
        <v/>
      </c>
      <c r="Z419" s="22">
        <f>IF(OR($B419="",$G419&lt;&gt;"Variance vs Budget"),"",ABS(N($V419))+ROW()/1000000000)</f>
        <v/>
      </c>
    </row>
    <row r="420">
      <c r="A420" s="13">
        <f>IF(A$418="","",A$418)</f>
        <v/>
      </c>
      <c r="B420" s="13">
        <f>IF(B$418="","",B$418)</f>
        <v/>
      </c>
      <c r="C420" s="13">
        <f>IF(C$418="","",C$418)</f>
        <v/>
      </c>
      <c r="D420" s="13">
        <f>IF(D$418="","",D$418)</f>
        <v/>
      </c>
      <c r="E420" s="13">
        <f>IF(E$418="","",E$418)</f>
        <v/>
      </c>
      <c r="F420" s="13">
        <f>IF(F$418="","",F$418)</f>
        <v/>
      </c>
      <c r="G420" s="6" t="inlineStr">
        <is>
          <t>Variance vs Budget</t>
        </is>
      </c>
      <c r="H420" s="33">
        <f>IF(OR($B$418="",1&gt;$C$4),"",N(H419)-H418)</f>
        <v/>
      </c>
      <c r="I420" s="33">
        <f>IF(OR($B$418="",2&gt;$C$4),"",N(I419)-I418)</f>
        <v/>
      </c>
      <c r="J420" s="33">
        <f>IF(OR($B$418="",3&gt;$C$4),"",N(J419)-J418)</f>
        <v/>
      </c>
      <c r="K420" s="33">
        <f>IF(OR($B$418="",4&gt;$C$4),"",N(K419)-K418)</f>
        <v/>
      </c>
      <c r="L420" s="33">
        <f>IF(OR($B$418="",5&gt;$C$4),"",N(L419)-L418)</f>
        <v/>
      </c>
      <c r="M420" s="33">
        <f>IF(OR($B$418="",6&gt;$C$4),"",N(M419)-M418)</f>
        <v/>
      </c>
      <c r="N420" s="33">
        <f>IF(OR($B$418="",7&gt;$C$4),"",N(N419)-N418)</f>
        <v/>
      </c>
      <c r="O420" s="33">
        <f>IF(OR($B$418="",8&gt;$C$4),"",N(O419)-O418)</f>
        <v/>
      </c>
      <c r="P420" s="33">
        <f>IF(OR($B$418="",9&gt;$C$4),"",N(P419)-P418)</f>
        <v/>
      </c>
      <c r="Q420" s="33">
        <f>IF(OR($B$418="",10&gt;$C$4),"",N(Q419)-Q418)</f>
        <v/>
      </c>
      <c r="R420" s="33">
        <f>IF(OR($B$418="",11&gt;$C$4),"",N(R419)-R418)</f>
        <v/>
      </c>
      <c r="S420" s="33">
        <f>IF(OR($B$418="",12&gt;$C$4),"",N(S419)-S418)</f>
        <v/>
      </c>
      <c r="T420" s="33">
        <f>IF($B$418="","",T419-T418)</f>
        <v/>
      </c>
      <c r="U420" s="33">
        <f>IF($B$418="","",U422-U418)</f>
        <v/>
      </c>
      <c r="V420" s="33">
        <f>IF($B$418="","",V422-V418)</f>
        <v/>
      </c>
      <c r="X420" s="22">
        <f>IF($B420="","",IFERROR(INDEX(Cost_Centers!$E:$E,MATCH($B420,Cost_Centers!$A:$A,0)),"(unknown)"))</f>
        <v/>
      </c>
      <c r="Y420" s="22">
        <f>IF($B420="","",IFERROR(INDEX(Cost_Centers!$D:$D,MATCH($B420,Cost_Centers!$A:$A,0)),"(unknown)"))</f>
        <v/>
      </c>
      <c r="Z420" s="22">
        <f>IF(OR($B420="",$G420&lt;&gt;"Variance vs Budget"),"",ABS(N($V420))+ROW()/1000000000)</f>
        <v/>
      </c>
    </row>
    <row r="421">
      <c r="A421" s="13">
        <f>IF(A$418="","",A$418)</f>
        <v/>
      </c>
      <c r="B421" s="13">
        <f>IF(B$418="","",B$418)</f>
        <v/>
      </c>
      <c r="C421" s="13">
        <f>IF(C$418="","",C$418)</f>
        <v/>
      </c>
      <c r="D421" s="13">
        <f>IF(D$418="","",D$418)</f>
        <v/>
      </c>
      <c r="E421" s="13">
        <f>IF(E$418="","",E$418)</f>
        <v/>
      </c>
      <c r="F421" s="13">
        <f>IF(F$418="","",F$418)</f>
        <v/>
      </c>
      <c r="G421" s="7" t="inlineStr">
        <is>
          <t>Forecast (input)</t>
        </is>
      </c>
      <c r="H421" s="34" t="n"/>
      <c r="I421" s="34" t="n"/>
      <c r="J421" s="34" t="n"/>
      <c r="K421" s="34" t="n"/>
      <c r="L421" s="34" t="n"/>
      <c r="M421" s="34" t="n"/>
      <c r="N421" s="34" t="n"/>
      <c r="O421" s="34" t="n"/>
      <c r="P421" s="34" t="n"/>
      <c r="Q421" s="34" t="n"/>
      <c r="R421" s="34" t="n"/>
      <c r="S421" s="34" t="n"/>
      <c r="T421" s="18" t="n"/>
      <c r="U421" s="18" t="n"/>
      <c r="V421" s="18" t="n"/>
      <c r="X421" s="22">
        <f>IF($B421="","",IFERROR(INDEX(Cost_Centers!$E:$E,MATCH($B421,Cost_Centers!$A:$A,0)),"(unknown)"))</f>
        <v/>
      </c>
      <c r="Y421" s="22">
        <f>IF($B421="","",IFERROR(INDEX(Cost_Centers!$D:$D,MATCH($B421,Cost_Centers!$A:$A,0)),"(unknown)"))</f>
        <v/>
      </c>
      <c r="Z421" s="22">
        <f>IF(OR($B421="",$G421&lt;&gt;"Variance vs Budget"),"",ABS(N($V421))+ROW()/1000000000)</f>
        <v/>
      </c>
    </row>
    <row r="422">
      <c r="A422" s="13">
        <f>IF(A$418="","",A$418)</f>
        <v/>
      </c>
      <c r="B422" s="13">
        <f>IF(B$418="","",B$418)</f>
        <v/>
      </c>
      <c r="C422" s="13">
        <f>IF(C$418="","",C$418)</f>
        <v/>
      </c>
      <c r="D422" s="13">
        <f>IF(D$418="","",D$418)</f>
        <v/>
      </c>
      <c r="E422" s="13">
        <f>IF(E$418="","",E$418)</f>
        <v/>
      </c>
      <c r="F422" s="13">
        <f>IF(F$418="","",F$418)</f>
        <v/>
      </c>
      <c r="G422" s="35" t="inlineStr">
        <is>
          <t>Actual + Forecast</t>
        </is>
      </c>
      <c r="H422" s="18">
        <f>IF($B$418="","",IF(1&lt;=$C$4,N(H419),IF(H421="",H418,H421)))</f>
        <v/>
      </c>
      <c r="I422" s="18">
        <f>IF($B$418="","",IF(2&lt;=$C$4,N(I419),IF(I421="",I418,I421)))</f>
        <v/>
      </c>
      <c r="J422" s="18">
        <f>IF($B$418="","",IF(3&lt;=$C$4,N(J419),IF(J421="",J418,J421)))</f>
        <v/>
      </c>
      <c r="K422" s="18">
        <f>IF($B$418="","",IF(4&lt;=$C$4,N(K419),IF(K421="",K418,K421)))</f>
        <v/>
      </c>
      <c r="L422" s="18">
        <f>IF($B$418="","",IF(5&lt;=$C$4,N(L419),IF(L421="",L418,L421)))</f>
        <v/>
      </c>
      <c r="M422" s="18">
        <f>IF($B$418="","",IF(6&lt;=$C$4,N(M419),IF(M421="",M418,M421)))</f>
        <v/>
      </c>
      <c r="N422" s="18">
        <f>IF($B$418="","",IF(7&lt;=$C$4,N(N419),IF(N421="",N418,N421)))</f>
        <v/>
      </c>
      <c r="O422" s="18">
        <f>IF($B$418="","",IF(8&lt;=$C$4,N(O419),IF(O421="",O418,O421)))</f>
        <v/>
      </c>
      <c r="P422" s="18">
        <f>IF($B$418="","",IF(9&lt;=$C$4,N(P419),IF(P421="",P418,P421)))</f>
        <v/>
      </c>
      <c r="Q422" s="18">
        <f>IF($B$418="","",IF(10&lt;=$C$4,N(Q419),IF(Q421="",Q418,Q421)))</f>
        <v/>
      </c>
      <c r="R422" s="18">
        <f>IF($B$418="","",IF(11&lt;=$C$4,N(R419),IF(R421="",R418,R421)))</f>
        <v/>
      </c>
      <c r="S422" s="18">
        <f>IF($B$418="","",IF(12&lt;=$C$4,N(S419),IF(S421="",S418,S421)))</f>
        <v/>
      </c>
      <c r="T422" s="18">
        <f>IF($B$418="","",SUMIF($H$7:$S$7,"&lt;="&amp;$C$4,$H422:$S422))</f>
        <v/>
      </c>
      <c r="U422" s="18">
        <f>IF($B$418="","",SUMIF($H$7:$S$7,"&gt;"&amp;$C$4,$H422:$S422))</f>
        <v/>
      </c>
      <c r="V422" s="18">
        <f>IF($B$418="","",SUM($H422:$S422))</f>
        <v/>
      </c>
      <c r="X422" s="22">
        <f>IF($B422="","",IFERROR(INDEX(Cost_Centers!$E:$E,MATCH($B422,Cost_Centers!$A:$A,0)),"(unknown)"))</f>
        <v/>
      </c>
      <c r="Y422" s="22">
        <f>IF($B422="","",IFERROR(INDEX(Cost_Centers!$D:$D,MATCH($B422,Cost_Centers!$A:$A,0)),"(unknown)"))</f>
        <v/>
      </c>
      <c r="Z422" s="22">
        <f>IF(OR($B422="",$G422&lt;&gt;"Variance vs Budget"),"",ABS(N($V422))+ROW()/1000000000)</f>
        <v/>
      </c>
    </row>
    <row r="423">
      <c r="A423" s="13">
        <f>IF(A$418="","",A$418)</f>
        <v/>
      </c>
      <c r="B423" s="13">
        <f>IF(B$418="","",B$418)</f>
        <v/>
      </c>
      <c r="C423" s="13">
        <f>IF(C$418="","",C$418)</f>
        <v/>
      </c>
      <c r="D423" s="13">
        <f>IF(D$418="","",D$418)</f>
        <v/>
      </c>
      <c r="E423" s="13">
        <f>IF(E$418="","",E$418)</f>
        <v/>
      </c>
      <c r="F423" s="13">
        <f>IF(F$418="","",F$418)</f>
        <v/>
      </c>
      <c r="G423" s="36" t="inlineStr">
        <is>
          <t>Prior Month Forecast</t>
        </is>
      </c>
      <c r="H423" s="37">
        <f>IF($B$418="","",IF(COUNTIFS(Prior_Forecast!$A:$A,$B$418,Prior_Forecast!$B:$B,$D$418)&gt;0,SUMIFS(Prior_Forecast!$C:$C,Prior_Forecast!$A:$A,$B$418,Prior_Forecast!$B:$B,$D$418),""))</f>
        <v/>
      </c>
      <c r="I423" s="37">
        <f>IF($B$418="","",IF(COUNTIFS(Prior_Forecast!$A:$A,$B$418,Prior_Forecast!$B:$B,$D$418)&gt;0,SUMIFS(Prior_Forecast!$D:$D,Prior_Forecast!$A:$A,$B$418,Prior_Forecast!$B:$B,$D$418),""))</f>
        <v/>
      </c>
      <c r="J423" s="37">
        <f>IF($B$418="","",IF(COUNTIFS(Prior_Forecast!$A:$A,$B$418,Prior_Forecast!$B:$B,$D$418)&gt;0,SUMIFS(Prior_Forecast!$E:$E,Prior_Forecast!$A:$A,$B$418,Prior_Forecast!$B:$B,$D$418),""))</f>
        <v/>
      </c>
      <c r="K423" s="37">
        <f>IF($B$418="","",IF(COUNTIFS(Prior_Forecast!$A:$A,$B$418,Prior_Forecast!$B:$B,$D$418)&gt;0,SUMIFS(Prior_Forecast!$F:$F,Prior_Forecast!$A:$A,$B$418,Prior_Forecast!$B:$B,$D$418),""))</f>
        <v/>
      </c>
      <c r="L423" s="37">
        <f>IF($B$418="","",IF(COUNTIFS(Prior_Forecast!$A:$A,$B$418,Prior_Forecast!$B:$B,$D$418)&gt;0,SUMIFS(Prior_Forecast!$G:$G,Prior_Forecast!$A:$A,$B$418,Prior_Forecast!$B:$B,$D$418),""))</f>
        <v/>
      </c>
      <c r="M423" s="37">
        <f>IF($B$418="","",IF(COUNTIFS(Prior_Forecast!$A:$A,$B$418,Prior_Forecast!$B:$B,$D$418)&gt;0,SUMIFS(Prior_Forecast!$H:$H,Prior_Forecast!$A:$A,$B$418,Prior_Forecast!$B:$B,$D$418),""))</f>
        <v/>
      </c>
      <c r="N423" s="37">
        <f>IF($B$418="","",IF(COUNTIFS(Prior_Forecast!$A:$A,$B$418,Prior_Forecast!$B:$B,$D$418)&gt;0,SUMIFS(Prior_Forecast!$I:$I,Prior_Forecast!$A:$A,$B$418,Prior_Forecast!$B:$B,$D$418),""))</f>
        <v/>
      </c>
      <c r="O423" s="37">
        <f>IF($B$418="","",IF(COUNTIFS(Prior_Forecast!$A:$A,$B$418,Prior_Forecast!$B:$B,$D$418)&gt;0,SUMIFS(Prior_Forecast!$J:$J,Prior_Forecast!$A:$A,$B$418,Prior_Forecast!$B:$B,$D$418),""))</f>
        <v/>
      </c>
      <c r="P423" s="37">
        <f>IF($B$418="","",IF(COUNTIFS(Prior_Forecast!$A:$A,$B$418,Prior_Forecast!$B:$B,$D$418)&gt;0,SUMIFS(Prior_Forecast!$K:$K,Prior_Forecast!$A:$A,$B$418,Prior_Forecast!$B:$B,$D$418),""))</f>
        <v/>
      </c>
      <c r="Q423" s="37">
        <f>IF($B$418="","",IF(COUNTIFS(Prior_Forecast!$A:$A,$B$418,Prior_Forecast!$B:$B,$D$418)&gt;0,SUMIFS(Prior_Forecast!$L:$L,Prior_Forecast!$A:$A,$B$418,Prior_Forecast!$B:$B,$D$418),""))</f>
        <v/>
      </c>
      <c r="R423" s="37">
        <f>IF($B$418="","",IF(COUNTIFS(Prior_Forecast!$A:$A,$B$418,Prior_Forecast!$B:$B,$D$418)&gt;0,SUMIFS(Prior_Forecast!$M:$M,Prior_Forecast!$A:$A,$B$418,Prior_Forecast!$B:$B,$D$418),""))</f>
        <v/>
      </c>
      <c r="S423" s="37">
        <f>IF($B$418="","",IF(COUNTIFS(Prior_Forecast!$A:$A,$B$418,Prior_Forecast!$B:$B,$D$418)&gt;0,SUMIFS(Prior_Forecast!$N:$N,Prior_Forecast!$A:$A,$B$418,Prior_Forecast!$B:$B,$D$418),""))</f>
        <v/>
      </c>
      <c r="T423" s="37">
        <f>IF($B$418="","",IF(COUNTIFS(Prior_Forecast!$A:$A,$B$418,Prior_Forecast!$B:$B,$D$418)&gt;0,SUMIFS(Prior_Forecast!$O:$O,Prior_Forecast!$A:$A,$B$418,Prior_Forecast!$B:$B,$D$418),""))</f>
        <v/>
      </c>
      <c r="U423" s="37">
        <f>IF($B$418="","",IF(COUNTIFS(Prior_Forecast!$A:$A,$B$418,Prior_Forecast!$B:$B,$D$418)&gt;0,SUMIFS(Prior_Forecast!$P:$P,Prior_Forecast!$A:$A,$B$418,Prior_Forecast!$B:$B,$D$418),""))</f>
        <v/>
      </c>
      <c r="V423" s="37">
        <f>IF($B$418="","",IF(COUNTIFS(Prior_Forecast!$A:$A,$B$418,Prior_Forecast!$B:$B,$D$418)&gt;0,SUMIFS(Prior_Forecast!$Q:$Q,Prior_Forecast!$A:$A,$B$418,Prior_Forecast!$B:$B,$D$418),""))</f>
        <v/>
      </c>
      <c r="X423" s="22">
        <f>IF($B423="","",IFERROR(INDEX(Cost_Centers!$E:$E,MATCH($B423,Cost_Centers!$A:$A,0)),"(unknown)"))</f>
        <v/>
      </c>
      <c r="Y423" s="22">
        <f>IF($B423="","",IFERROR(INDEX(Cost_Centers!$D:$D,MATCH($B423,Cost_Centers!$A:$A,0)),"(unknown)"))</f>
        <v/>
      </c>
      <c r="Z423" s="22">
        <f>IF(OR($B423="",$G423&lt;&gt;"Variance vs Budget"),"",ABS(N($V423))+ROW()/1000000000)</f>
        <v/>
      </c>
    </row>
    <row r="424">
      <c r="A424" s="13">
        <f>IF(A$418="","",A$418)</f>
        <v/>
      </c>
      <c r="B424" s="13">
        <f>IF(B$418="","",B$418)</f>
        <v/>
      </c>
      <c r="C424" s="13">
        <f>IF(C$418="","",C$418)</f>
        <v/>
      </c>
      <c r="D424" s="13">
        <f>IF(D$418="","",D$418)</f>
        <v/>
      </c>
      <c r="E424" s="13">
        <f>IF(E$418="","",E$418)</f>
        <v/>
      </c>
      <c r="F424" s="13">
        <f>IF(F$418="","",F$418)</f>
        <v/>
      </c>
      <c r="G424" s="6" t="inlineStr">
        <is>
          <t>Variance vs Prior Month</t>
        </is>
      </c>
      <c r="H424" s="33">
        <f>IF(OR($B$418="",H423=""),"",H422-H423)</f>
        <v/>
      </c>
      <c r="I424" s="33">
        <f>IF(OR($B$418="",I423=""),"",I422-I423)</f>
        <v/>
      </c>
      <c r="J424" s="33">
        <f>IF(OR($B$418="",J423=""),"",J422-J423)</f>
        <v/>
      </c>
      <c r="K424" s="33">
        <f>IF(OR($B$418="",K423=""),"",K422-K423)</f>
        <v/>
      </c>
      <c r="L424" s="33">
        <f>IF(OR($B$418="",L423=""),"",L422-L423)</f>
        <v/>
      </c>
      <c r="M424" s="33">
        <f>IF(OR($B$418="",M423=""),"",M422-M423)</f>
        <v/>
      </c>
      <c r="N424" s="33">
        <f>IF(OR($B$418="",N423=""),"",N422-N423)</f>
        <v/>
      </c>
      <c r="O424" s="33">
        <f>IF(OR($B$418="",O423=""),"",O422-O423)</f>
        <v/>
      </c>
      <c r="P424" s="33">
        <f>IF(OR($B$418="",P423=""),"",P422-P423)</f>
        <v/>
      </c>
      <c r="Q424" s="33">
        <f>IF(OR($B$418="",Q423=""),"",Q422-Q423)</f>
        <v/>
      </c>
      <c r="R424" s="33">
        <f>IF(OR($B$418="",R423=""),"",R422-R423)</f>
        <v/>
      </c>
      <c r="S424" s="33">
        <f>IF(OR($B$418="",S423=""),"",S422-S423)</f>
        <v/>
      </c>
      <c r="T424" s="33">
        <f>IF(OR($B$418="",T423=""),"",T422-T423)</f>
        <v/>
      </c>
      <c r="U424" s="33">
        <f>IF(OR($B$418="",U423=""),"",U422-U423)</f>
        <v/>
      </c>
      <c r="V424" s="33">
        <f>IF(OR($B$418="",V423=""),"",V422-V423)</f>
        <v/>
      </c>
      <c r="X424" s="22">
        <f>IF($B424="","",IFERROR(INDEX(Cost_Centers!$E:$E,MATCH($B424,Cost_Centers!$A:$A,0)),"(unknown)"))</f>
        <v/>
      </c>
      <c r="Y424" s="22">
        <f>IF($B424="","",IFERROR(INDEX(Cost_Centers!$D:$D,MATCH($B424,Cost_Centers!$A:$A,0)),"(unknown)"))</f>
        <v/>
      </c>
      <c r="Z424" s="22">
        <f>IF(OR($B424="",$G424&lt;&gt;"Variance vs Budget"),"",ABS(N($V424))+ROW()/1000000000)</f>
        <v/>
      </c>
    </row>
    <row r="425" ht="45" customHeight="1">
      <c r="A425" s="13">
        <f>IF(A$418="","",A$418)</f>
        <v/>
      </c>
      <c r="B425" s="13">
        <f>IF(B$418="","",B$418)</f>
        <v/>
      </c>
      <c r="C425" s="13">
        <f>IF(C$418="","",C$418)</f>
        <v/>
      </c>
      <c r="D425" s="13">
        <f>IF(D$418="","",D$418)</f>
        <v/>
      </c>
      <c r="E425" s="13">
        <f>IF(E$418="","",E$418)</f>
        <v/>
      </c>
      <c r="F425" s="13">
        <f>IF(F$418="","",F$418)</f>
        <v/>
      </c>
      <c r="G425" s="7" t="inlineStr">
        <is>
          <t>Rationale</t>
        </is>
      </c>
      <c r="H425" s="38" t="n"/>
      <c r="I425" s="38" t="n"/>
      <c r="J425" s="38" t="n"/>
      <c r="K425" s="38" t="n"/>
      <c r="L425" s="38" t="n"/>
      <c r="M425" s="38" t="n"/>
      <c r="N425" s="38" t="n"/>
      <c r="O425" s="38" t="n"/>
      <c r="P425" s="38" t="n"/>
      <c r="Q425" s="38" t="n"/>
      <c r="R425" s="38" t="n"/>
      <c r="S425" s="38" t="n"/>
      <c r="T425" s="38" t="n"/>
      <c r="U425" s="38" t="n"/>
      <c r="V425" s="7" t="n"/>
      <c r="X425" s="22">
        <f>IF($B425="","",IFERROR(INDEX(Cost_Centers!$E:$E,MATCH($B425,Cost_Centers!$A:$A,0)),"(unknown)"))</f>
        <v/>
      </c>
      <c r="Y425" s="22">
        <f>IF($B425="","",IFERROR(INDEX(Cost_Centers!$D:$D,MATCH($B425,Cost_Centers!$A:$A,0)),"(unknown)"))</f>
        <v/>
      </c>
      <c r="Z425" s="22">
        <f>IF(OR($B425="",$G425&lt;&gt;"Variance vs Budget"),"",ABS(N($V425))+ROW()/1000000000)</f>
        <v/>
      </c>
    </row>
    <row r="426">
      <c r="A426" s="30">
        <f>IF($D$426="","",LEFT($D$426,FIND("|",$D$426&amp;"|")-1))</f>
        <v/>
      </c>
      <c r="B426" s="31" t="n"/>
      <c r="C426" s="30">
        <f>IF($B$426="","",IFERROR(INDEX(Cost_Centers!$B:$B,MATCH($B$426,Cost_Centers!$A:$A,0)),"(not in master)"))</f>
        <v/>
      </c>
      <c r="D426" s="31" t="n"/>
      <c r="E426" s="30">
        <f>IF($D$426="","",IFERROR(INDEX(Accounts!$D:$D,MATCH($D$426,Accounts!$A:$A,0)),"(not in master)"))</f>
        <v/>
      </c>
      <c r="F426" s="31" t="n"/>
      <c r="G426" s="30" t="inlineStr">
        <is>
          <t>Budget</t>
        </is>
      </c>
      <c r="H426" s="32">
        <f>IF($B$426="","",SUMIFS(Opex_Budget!$O:$O,Opex_Budget!$A:$A,$C$3,Opex_Budget!$E:$E,$B$426,Opex_Budget!$F:$F,$D$426,Opex_Budget!$N:$N,"JPY")*$E$5+SUMIFS(Opex_Budget!$O:$O,Opex_Budget!$A:$A,$C$3,Opex_Budget!$E:$E,$B$426,Opex_Budget!$F:$F,$D$426,Opex_Budget!$N:$N,"USD")*$F$5+SUMIFS(Opex_Budget!$O:$O,Opex_Budget!$A:$A,$C$3,Opex_Budget!$E:$E,$B$426,Opex_Budget!$F:$F,$D$426,Opex_Budget!$N:$N,"EUR")*$G$5+SUMIFS(Opex_Budget!$O:$O,Opex_Budget!$A:$A,$C$3,Opex_Budget!$E:$E,$B$426,Opex_Budget!$F:$F,$D$426,Opex_Budget!$N:$N,"GBP")*$H$5)</f>
        <v/>
      </c>
      <c r="I426" s="32">
        <f>IF($B$426="","",SUMIFS(Opex_Budget!$P:$P,Opex_Budget!$A:$A,$C$3,Opex_Budget!$E:$E,$B$426,Opex_Budget!$F:$F,$D$426,Opex_Budget!$N:$N,"JPY")*$E$5+SUMIFS(Opex_Budget!$P:$P,Opex_Budget!$A:$A,$C$3,Opex_Budget!$E:$E,$B$426,Opex_Budget!$F:$F,$D$426,Opex_Budget!$N:$N,"USD")*$F$5+SUMIFS(Opex_Budget!$P:$P,Opex_Budget!$A:$A,$C$3,Opex_Budget!$E:$E,$B$426,Opex_Budget!$F:$F,$D$426,Opex_Budget!$N:$N,"EUR")*$G$5+SUMIFS(Opex_Budget!$P:$P,Opex_Budget!$A:$A,$C$3,Opex_Budget!$E:$E,$B$426,Opex_Budget!$F:$F,$D$426,Opex_Budget!$N:$N,"GBP")*$H$5)</f>
        <v/>
      </c>
      <c r="J426" s="32">
        <f>IF($B$426="","",SUMIFS(Opex_Budget!$Q:$Q,Opex_Budget!$A:$A,$C$3,Opex_Budget!$E:$E,$B$426,Opex_Budget!$F:$F,$D$426,Opex_Budget!$N:$N,"JPY")*$E$5+SUMIFS(Opex_Budget!$Q:$Q,Opex_Budget!$A:$A,$C$3,Opex_Budget!$E:$E,$B$426,Opex_Budget!$F:$F,$D$426,Opex_Budget!$N:$N,"USD")*$F$5+SUMIFS(Opex_Budget!$Q:$Q,Opex_Budget!$A:$A,$C$3,Opex_Budget!$E:$E,$B$426,Opex_Budget!$F:$F,$D$426,Opex_Budget!$N:$N,"EUR")*$G$5+SUMIFS(Opex_Budget!$Q:$Q,Opex_Budget!$A:$A,$C$3,Opex_Budget!$E:$E,$B$426,Opex_Budget!$F:$F,$D$426,Opex_Budget!$N:$N,"GBP")*$H$5)</f>
        <v/>
      </c>
      <c r="K426" s="32">
        <f>IF($B$426="","",SUMIFS(Opex_Budget!$R:$R,Opex_Budget!$A:$A,$C$3,Opex_Budget!$E:$E,$B$426,Opex_Budget!$F:$F,$D$426,Opex_Budget!$N:$N,"JPY")*$E$5+SUMIFS(Opex_Budget!$R:$R,Opex_Budget!$A:$A,$C$3,Opex_Budget!$E:$E,$B$426,Opex_Budget!$F:$F,$D$426,Opex_Budget!$N:$N,"USD")*$F$5+SUMIFS(Opex_Budget!$R:$R,Opex_Budget!$A:$A,$C$3,Opex_Budget!$E:$E,$B$426,Opex_Budget!$F:$F,$D$426,Opex_Budget!$N:$N,"EUR")*$G$5+SUMIFS(Opex_Budget!$R:$R,Opex_Budget!$A:$A,$C$3,Opex_Budget!$E:$E,$B$426,Opex_Budget!$F:$F,$D$426,Opex_Budget!$N:$N,"GBP")*$H$5)</f>
        <v/>
      </c>
      <c r="L426" s="32">
        <f>IF($B$426="","",SUMIFS(Opex_Budget!$S:$S,Opex_Budget!$A:$A,$C$3,Opex_Budget!$E:$E,$B$426,Opex_Budget!$F:$F,$D$426,Opex_Budget!$N:$N,"JPY")*$E$5+SUMIFS(Opex_Budget!$S:$S,Opex_Budget!$A:$A,$C$3,Opex_Budget!$E:$E,$B$426,Opex_Budget!$F:$F,$D$426,Opex_Budget!$N:$N,"USD")*$F$5+SUMIFS(Opex_Budget!$S:$S,Opex_Budget!$A:$A,$C$3,Opex_Budget!$E:$E,$B$426,Opex_Budget!$F:$F,$D$426,Opex_Budget!$N:$N,"EUR")*$G$5+SUMIFS(Opex_Budget!$S:$S,Opex_Budget!$A:$A,$C$3,Opex_Budget!$E:$E,$B$426,Opex_Budget!$F:$F,$D$426,Opex_Budget!$N:$N,"GBP")*$H$5)</f>
        <v/>
      </c>
      <c r="M426" s="32">
        <f>IF($B$426="","",SUMIFS(Opex_Budget!$T:$T,Opex_Budget!$A:$A,$C$3,Opex_Budget!$E:$E,$B$426,Opex_Budget!$F:$F,$D$426,Opex_Budget!$N:$N,"JPY")*$E$5+SUMIFS(Opex_Budget!$T:$T,Opex_Budget!$A:$A,$C$3,Opex_Budget!$E:$E,$B$426,Opex_Budget!$F:$F,$D$426,Opex_Budget!$N:$N,"USD")*$F$5+SUMIFS(Opex_Budget!$T:$T,Opex_Budget!$A:$A,$C$3,Opex_Budget!$E:$E,$B$426,Opex_Budget!$F:$F,$D$426,Opex_Budget!$N:$N,"EUR")*$G$5+SUMIFS(Opex_Budget!$T:$T,Opex_Budget!$A:$A,$C$3,Opex_Budget!$E:$E,$B$426,Opex_Budget!$F:$F,$D$426,Opex_Budget!$N:$N,"GBP")*$H$5)</f>
        <v/>
      </c>
      <c r="N426" s="32">
        <f>IF($B$426="","",SUMIFS(Opex_Budget!$U:$U,Opex_Budget!$A:$A,$C$3,Opex_Budget!$E:$E,$B$426,Opex_Budget!$F:$F,$D$426,Opex_Budget!$N:$N,"JPY")*$E$5+SUMIFS(Opex_Budget!$U:$U,Opex_Budget!$A:$A,$C$3,Opex_Budget!$E:$E,$B$426,Opex_Budget!$F:$F,$D$426,Opex_Budget!$N:$N,"USD")*$F$5+SUMIFS(Opex_Budget!$U:$U,Opex_Budget!$A:$A,$C$3,Opex_Budget!$E:$E,$B$426,Opex_Budget!$F:$F,$D$426,Opex_Budget!$N:$N,"EUR")*$G$5+SUMIFS(Opex_Budget!$U:$U,Opex_Budget!$A:$A,$C$3,Opex_Budget!$E:$E,$B$426,Opex_Budget!$F:$F,$D$426,Opex_Budget!$N:$N,"GBP")*$H$5)</f>
        <v/>
      </c>
      <c r="O426" s="32">
        <f>IF($B$426="","",SUMIFS(Opex_Budget!$V:$V,Opex_Budget!$A:$A,$C$3,Opex_Budget!$E:$E,$B$426,Opex_Budget!$F:$F,$D$426,Opex_Budget!$N:$N,"JPY")*$E$5+SUMIFS(Opex_Budget!$V:$V,Opex_Budget!$A:$A,$C$3,Opex_Budget!$E:$E,$B$426,Opex_Budget!$F:$F,$D$426,Opex_Budget!$N:$N,"USD")*$F$5+SUMIFS(Opex_Budget!$V:$V,Opex_Budget!$A:$A,$C$3,Opex_Budget!$E:$E,$B$426,Opex_Budget!$F:$F,$D$426,Opex_Budget!$N:$N,"EUR")*$G$5+SUMIFS(Opex_Budget!$V:$V,Opex_Budget!$A:$A,$C$3,Opex_Budget!$E:$E,$B$426,Opex_Budget!$F:$F,$D$426,Opex_Budget!$N:$N,"GBP")*$H$5)</f>
        <v/>
      </c>
      <c r="P426" s="32">
        <f>IF($B$426="","",SUMIFS(Opex_Budget!$W:$W,Opex_Budget!$A:$A,$C$3,Opex_Budget!$E:$E,$B$426,Opex_Budget!$F:$F,$D$426,Opex_Budget!$N:$N,"JPY")*$E$5+SUMIFS(Opex_Budget!$W:$W,Opex_Budget!$A:$A,$C$3,Opex_Budget!$E:$E,$B$426,Opex_Budget!$F:$F,$D$426,Opex_Budget!$N:$N,"USD")*$F$5+SUMIFS(Opex_Budget!$W:$W,Opex_Budget!$A:$A,$C$3,Opex_Budget!$E:$E,$B$426,Opex_Budget!$F:$F,$D$426,Opex_Budget!$N:$N,"EUR")*$G$5+SUMIFS(Opex_Budget!$W:$W,Opex_Budget!$A:$A,$C$3,Opex_Budget!$E:$E,$B$426,Opex_Budget!$F:$F,$D$426,Opex_Budget!$N:$N,"GBP")*$H$5)</f>
        <v/>
      </c>
      <c r="Q426" s="32">
        <f>IF($B$426="","",SUMIFS(Opex_Budget!$X:$X,Opex_Budget!$A:$A,$C$3,Opex_Budget!$E:$E,$B$426,Opex_Budget!$F:$F,$D$426,Opex_Budget!$N:$N,"JPY")*$E$5+SUMIFS(Opex_Budget!$X:$X,Opex_Budget!$A:$A,$C$3,Opex_Budget!$E:$E,$B$426,Opex_Budget!$F:$F,$D$426,Opex_Budget!$N:$N,"USD")*$F$5+SUMIFS(Opex_Budget!$X:$X,Opex_Budget!$A:$A,$C$3,Opex_Budget!$E:$E,$B$426,Opex_Budget!$F:$F,$D$426,Opex_Budget!$N:$N,"EUR")*$G$5+SUMIFS(Opex_Budget!$X:$X,Opex_Budget!$A:$A,$C$3,Opex_Budget!$E:$E,$B$426,Opex_Budget!$F:$F,$D$426,Opex_Budget!$N:$N,"GBP")*$H$5)</f>
        <v/>
      </c>
      <c r="R426" s="32">
        <f>IF($B$426="","",SUMIFS(Opex_Budget!$Y:$Y,Opex_Budget!$A:$A,$C$3,Opex_Budget!$E:$E,$B$426,Opex_Budget!$F:$F,$D$426,Opex_Budget!$N:$N,"JPY")*$E$5+SUMIFS(Opex_Budget!$Y:$Y,Opex_Budget!$A:$A,$C$3,Opex_Budget!$E:$E,$B$426,Opex_Budget!$F:$F,$D$426,Opex_Budget!$N:$N,"USD")*$F$5+SUMIFS(Opex_Budget!$Y:$Y,Opex_Budget!$A:$A,$C$3,Opex_Budget!$E:$E,$B$426,Opex_Budget!$F:$F,$D$426,Opex_Budget!$N:$N,"EUR")*$G$5+SUMIFS(Opex_Budget!$Y:$Y,Opex_Budget!$A:$A,$C$3,Opex_Budget!$E:$E,$B$426,Opex_Budget!$F:$F,$D$426,Opex_Budget!$N:$N,"GBP")*$H$5)</f>
        <v/>
      </c>
      <c r="S426" s="32">
        <f>IF($B$426="","",SUMIFS(Opex_Budget!$Z:$Z,Opex_Budget!$A:$A,$C$3,Opex_Budget!$E:$E,$B$426,Opex_Budget!$F:$F,$D$426,Opex_Budget!$N:$N,"JPY")*$E$5+SUMIFS(Opex_Budget!$Z:$Z,Opex_Budget!$A:$A,$C$3,Opex_Budget!$E:$E,$B$426,Opex_Budget!$F:$F,$D$426,Opex_Budget!$N:$N,"USD")*$F$5+SUMIFS(Opex_Budget!$Z:$Z,Opex_Budget!$A:$A,$C$3,Opex_Budget!$E:$E,$B$426,Opex_Budget!$F:$F,$D$426,Opex_Budget!$N:$N,"EUR")*$G$5+SUMIFS(Opex_Budget!$Z:$Z,Opex_Budget!$A:$A,$C$3,Opex_Budget!$E:$E,$B$426,Opex_Budget!$F:$F,$D$426,Opex_Budget!$N:$N,"GBP")*$H$5)</f>
        <v/>
      </c>
      <c r="T426" s="32">
        <f>IF($B$426="","",SUMIF($H$7:$S$7,"&lt;="&amp;$C$4,$H426:$S426))</f>
        <v/>
      </c>
      <c r="U426" s="32">
        <f>IF($B$426="","",SUMIF($H$7:$S$7,"&gt;"&amp;$C$4,$H426:$S426))</f>
        <v/>
      </c>
      <c r="V426" s="32">
        <f>IF($B$426="","",SUM($H426:$S426))</f>
        <v/>
      </c>
      <c r="X426" s="22">
        <f>IF($B426="","",IFERROR(INDEX(Cost_Centers!$E:$E,MATCH($B426,Cost_Centers!$A:$A,0)),"(unknown)"))</f>
        <v/>
      </c>
      <c r="Y426" s="22">
        <f>IF($B426="","",IFERROR(INDEX(Cost_Centers!$D:$D,MATCH($B426,Cost_Centers!$A:$A,0)),"(unknown)"))</f>
        <v/>
      </c>
      <c r="Z426" s="22">
        <f>IF(OR($B426="",$G426&lt;&gt;"Variance vs Budget"),"",ABS(N($V426))+ROW()/1000000000)</f>
        <v/>
      </c>
    </row>
    <row r="427">
      <c r="A427" s="13">
        <f>IF(A$426="","",A$426)</f>
        <v/>
      </c>
      <c r="B427" s="13">
        <f>IF(B$426="","",B$426)</f>
        <v/>
      </c>
      <c r="C427" s="13">
        <f>IF(C$426="","",C$426)</f>
        <v/>
      </c>
      <c r="D427" s="13">
        <f>IF(D$426="","",D$426)</f>
        <v/>
      </c>
      <c r="E427" s="13">
        <f>IF(E$426="","",E$426)</f>
        <v/>
      </c>
      <c r="F427" s="13">
        <f>IF(F$426="","",F$426)</f>
        <v/>
      </c>
      <c r="G427" s="7" t="inlineStr">
        <is>
          <t>Actual</t>
        </is>
      </c>
      <c r="H427" s="18">
        <f>IF(OR($B$426="",1&gt;$C$4),"",SUMIFS(Actuals!$G:$G,Actuals!$B:$B,$C$3,Actuals!$C:$C,1,Actuals!$D:$D,$B$426,Actuals!$A:$A,LEFT($D$426,FIND("|",$D$426&amp;"|")-1),Actuals!$E:$E,MID($D$426,FIND("|",$D$426&amp;"|")+1,50),Actuals!$F:$F,"JPY")*$E$5+SUMIFS(Actuals!$G:$G,Actuals!$B:$B,$C$3,Actuals!$C:$C,1,Actuals!$D:$D,$B$426,Actuals!$A:$A,LEFT($D$426,FIND("|",$D$426&amp;"|")-1),Actuals!$E:$E,MID($D$426,FIND("|",$D$426&amp;"|")+1,50),Actuals!$F:$F,"USD")*$F$5+SUMIFS(Actuals!$G:$G,Actuals!$B:$B,$C$3,Actuals!$C:$C,1,Actuals!$D:$D,$B$426,Actuals!$A:$A,LEFT($D$426,FIND("|",$D$426&amp;"|")-1),Actuals!$E:$E,MID($D$426,FIND("|",$D$426&amp;"|")+1,50),Actuals!$F:$F,"EUR")*$G$5+SUMIFS(Actuals!$G:$G,Actuals!$B:$B,$C$3,Actuals!$C:$C,1,Actuals!$D:$D,$B$426,Actuals!$A:$A,LEFT($D$426,FIND("|",$D$426&amp;"|")-1),Actuals!$E:$E,MID($D$426,FIND("|",$D$426&amp;"|")+1,50),Actuals!$F:$F,"GBP")*$H$5)</f>
        <v/>
      </c>
      <c r="I427" s="18">
        <f>IF(OR($B$426="",2&gt;$C$4),"",SUMIFS(Actuals!$G:$G,Actuals!$B:$B,$C$3,Actuals!$C:$C,2,Actuals!$D:$D,$B$426,Actuals!$A:$A,LEFT($D$426,FIND("|",$D$426&amp;"|")-1),Actuals!$E:$E,MID($D$426,FIND("|",$D$426&amp;"|")+1,50),Actuals!$F:$F,"JPY")*$E$5+SUMIFS(Actuals!$G:$G,Actuals!$B:$B,$C$3,Actuals!$C:$C,2,Actuals!$D:$D,$B$426,Actuals!$A:$A,LEFT($D$426,FIND("|",$D$426&amp;"|")-1),Actuals!$E:$E,MID($D$426,FIND("|",$D$426&amp;"|")+1,50),Actuals!$F:$F,"USD")*$F$5+SUMIFS(Actuals!$G:$G,Actuals!$B:$B,$C$3,Actuals!$C:$C,2,Actuals!$D:$D,$B$426,Actuals!$A:$A,LEFT($D$426,FIND("|",$D$426&amp;"|")-1),Actuals!$E:$E,MID($D$426,FIND("|",$D$426&amp;"|")+1,50),Actuals!$F:$F,"EUR")*$G$5+SUMIFS(Actuals!$G:$G,Actuals!$B:$B,$C$3,Actuals!$C:$C,2,Actuals!$D:$D,$B$426,Actuals!$A:$A,LEFT($D$426,FIND("|",$D$426&amp;"|")-1),Actuals!$E:$E,MID($D$426,FIND("|",$D$426&amp;"|")+1,50),Actuals!$F:$F,"GBP")*$H$5)</f>
        <v/>
      </c>
      <c r="J427" s="18">
        <f>IF(OR($B$426="",3&gt;$C$4),"",SUMIFS(Actuals!$G:$G,Actuals!$B:$B,$C$3,Actuals!$C:$C,3,Actuals!$D:$D,$B$426,Actuals!$A:$A,LEFT($D$426,FIND("|",$D$426&amp;"|")-1),Actuals!$E:$E,MID($D$426,FIND("|",$D$426&amp;"|")+1,50),Actuals!$F:$F,"JPY")*$E$5+SUMIFS(Actuals!$G:$G,Actuals!$B:$B,$C$3,Actuals!$C:$C,3,Actuals!$D:$D,$B$426,Actuals!$A:$A,LEFT($D$426,FIND("|",$D$426&amp;"|")-1),Actuals!$E:$E,MID($D$426,FIND("|",$D$426&amp;"|")+1,50),Actuals!$F:$F,"USD")*$F$5+SUMIFS(Actuals!$G:$G,Actuals!$B:$B,$C$3,Actuals!$C:$C,3,Actuals!$D:$D,$B$426,Actuals!$A:$A,LEFT($D$426,FIND("|",$D$426&amp;"|")-1),Actuals!$E:$E,MID($D$426,FIND("|",$D$426&amp;"|")+1,50),Actuals!$F:$F,"EUR")*$G$5+SUMIFS(Actuals!$G:$G,Actuals!$B:$B,$C$3,Actuals!$C:$C,3,Actuals!$D:$D,$B$426,Actuals!$A:$A,LEFT($D$426,FIND("|",$D$426&amp;"|")-1),Actuals!$E:$E,MID($D$426,FIND("|",$D$426&amp;"|")+1,50),Actuals!$F:$F,"GBP")*$H$5)</f>
        <v/>
      </c>
      <c r="K427" s="18">
        <f>IF(OR($B$426="",4&gt;$C$4),"",SUMIFS(Actuals!$G:$G,Actuals!$B:$B,$C$3,Actuals!$C:$C,4,Actuals!$D:$D,$B$426,Actuals!$A:$A,LEFT($D$426,FIND("|",$D$426&amp;"|")-1),Actuals!$E:$E,MID($D$426,FIND("|",$D$426&amp;"|")+1,50),Actuals!$F:$F,"JPY")*$E$5+SUMIFS(Actuals!$G:$G,Actuals!$B:$B,$C$3,Actuals!$C:$C,4,Actuals!$D:$D,$B$426,Actuals!$A:$A,LEFT($D$426,FIND("|",$D$426&amp;"|")-1),Actuals!$E:$E,MID($D$426,FIND("|",$D$426&amp;"|")+1,50),Actuals!$F:$F,"USD")*$F$5+SUMIFS(Actuals!$G:$G,Actuals!$B:$B,$C$3,Actuals!$C:$C,4,Actuals!$D:$D,$B$426,Actuals!$A:$A,LEFT($D$426,FIND("|",$D$426&amp;"|")-1),Actuals!$E:$E,MID($D$426,FIND("|",$D$426&amp;"|")+1,50),Actuals!$F:$F,"EUR")*$G$5+SUMIFS(Actuals!$G:$G,Actuals!$B:$B,$C$3,Actuals!$C:$C,4,Actuals!$D:$D,$B$426,Actuals!$A:$A,LEFT($D$426,FIND("|",$D$426&amp;"|")-1),Actuals!$E:$E,MID($D$426,FIND("|",$D$426&amp;"|")+1,50),Actuals!$F:$F,"GBP")*$H$5)</f>
        <v/>
      </c>
      <c r="L427" s="18">
        <f>IF(OR($B$426="",5&gt;$C$4),"",SUMIFS(Actuals!$G:$G,Actuals!$B:$B,$C$3,Actuals!$C:$C,5,Actuals!$D:$D,$B$426,Actuals!$A:$A,LEFT($D$426,FIND("|",$D$426&amp;"|")-1),Actuals!$E:$E,MID($D$426,FIND("|",$D$426&amp;"|")+1,50),Actuals!$F:$F,"JPY")*$E$5+SUMIFS(Actuals!$G:$G,Actuals!$B:$B,$C$3,Actuals!$C:$C,5,Actuals!$D:$D,$B$426,Actuals!$A:$A,LEFT($D$426,FIND("|",$D$426&amp;"|")-1),Actuals!$E:$E,MID($D$426,FIND("|",$D$426&amp;"|")+1,50),Actuals!$F:$F,"USD")*$F$5+SUMIFS(Actuals!$G:$G,Actuals!$B:$B,$C$3,Actuals!$C:$C,5,Actuals!$D:$D,$B$426,Actuals!$A:$A,LEFT($D$426,FIND("|",$D$426&amp;"|")-1),Actuals!$E:$E,MID($D$426,FIND("|",$D$426&amp;"|")+1,50),Actuals!$F:$F,"EUR")*$G$5+SUMIFS(Actuals!$G:$G,Actuals!$B:$B,$C$3,Actuals!$C:$C,5,Actuals!$D:$D,$B$426,Actuals!$A:$A,LEFT($D$426,FIND("|",$D$426&amp;"|")-1),Actuals!$E:$E,MID($D$426,FIND("|",$D$426&amp;"|")+1,50),Actuals!$F:$F,"GBP")*$H$5)</f>
        <v/>
      </c>
      <c r="M427" s="18">
        <f>IF(OR($B$426="",6&gt;$C$4),"",SUMIFS(Actuals!$G:$G,Actuals!$B:$B,$C$3,Actuals!$C:$C,6,Actuals!$D:$D,$B$426,Actuals!$A:$A,LEFT($D$426,FIND("|",$D$426&amp;"|")-1),Actuals!$E:$E,MID($D$426,FIND("|",$D$426&amp;"|")+1,50),Actuals!$F:$F,"JPY")*$E$5+SUMIFS(Actuals!$G:$G,Actuals!$B:$B,$C$3,Actuals!$C:$C,6,Actuals!$D:$D,$B$426,Actuals!$A:$A,LEFT($D$426,FIND("|",$D$426&amp;"|")-1),Actuals!$E:$E,MID($D$426,FIND("|",$D$426&amp;"|")+1,50),Actuals!$F:$F,"USD")*$F$5+SUMIFS(Actuals!$G:$G,Actuals!$B:$B,$C$3,Actuals!$C:$C,6,Actuals!$D:$D,$B$426,Actuals!$A:$A,LEFT($D$426,FIND("|",$D$426&amp;"|")-1),Actuals!$E:$E,MID($D$426,FIND("|",$D$426&amp;"|")+1,50),Actuals!$F:$F,"EUR")*$G$5+SUMIFS(Actuals!$G:$G,Actuals!$B:$B,$C$3,Actuals!$C:$C,6,Actuals!$D:$D,$B$426,Actuals!$A:$A,LEFT($D$426,FIND("|",$D$426&amp;"|")-1),Actuals!$E:$E,MID($D$426,FIND("|",$D$426&amp;"|")+1,50),Actuals!$F:$F,"GBP")*$H$5)</f>
        <v/>
      </c>
      <c r="N427" s="18">
        <f>IF(OR($B$426="",7&gt;$C$4),"",SUMIFS(Actuals!$G:$G,Actuals!$B:$B,$C$3,Actuals!$C:$C,7,Actuals!$D:$D,$B$426,Actuals!$A:$A,LEFT($D$426,FIND("|",$D$426&amp;"|")-1),Actuals!$E:$E,MID($D$426,FIND("|",$D$426&amp;"|")+1,50),Actuals!$F:$F,"JPY")*$E$5+SUMIFS(Actuals!$G:$G,Actuals!$B:$B,$C$3,Actuals!$C:$C,7,Actuals!$D:$D,$B$426,Actuals!$A:$A,LEFT($D$426,FIND("|",$D$426&amp;"|")-1),Actuals!$E:$E,MID($D$426,FIND("|",$D$426&amp;"|")+1,50),Actuals!$F:$F,"USD")*$F$5+SUMIFS(Actuals!$G:$G,Actuals!$B:$B,$C$3,Actuals!$C:$C,7,Actuals!$D:$D,$B$426,Actuals!$A:$A,LEFT($D$426,FIND("|",$D$426&amp;"|")-1),Actuals!$E:$E,MID($D$426,FIND("|",$D$426&amp;"|")+1,50),Actuals!$F:$F,"EUR")*$G$5+SUMIFS(Actuals!$G:$G,Actuals!$B:$B,$C$3,Actuals!$C:$C,7,Actuals!$D:$D,$B$426,Actuals!$A:$A,LEFT($D$426,FIND("|",$D$426&amp;"|")-1),Actuals!$E:$E,MID($D$426,FIND("|",$D$426&amp;"|")+1,50),Actuals!$F:$F,"GBP")*$H$5)</f>
        <v/>
      </c>
      <c r="O427" s="18">
        <f>IF(OR($B$426="",8&gt;$C$4),"",SUMIFS(Actuals!$G:$G,Actuals!$B:$B,$C$3,Actuals!$C:$C,8,Actuals!$D:$D,$B$426,Actuals!$A:$A,LEFT($D$426,FIND("|",$D$426&amp;"|")-1),Actuals!$E:$E,MID($D$426,FIND("|",$D$426&amp;"|")+1,50),Actuals!$F:$F,"JPY")*$E$5+SUMIFS(Actuals!$G:$G,Actuals!$B:$B,$C$3,Actuals!$C:$C,8,Actuals!$D:$D,$B$426,Actuals!$A:$A,LEFT($D$426,FIND("|",$D$426&amp;"|")-1),Actuals!$E:$E,MID($D$426,FIND("|",$D$426&amp;"|")+1,50),Actuals!$F:$F,"USD")*$F$5+SUMIFS(Actuals!$G:$G,Actuals!$B:$B,$C$3,Actuals!$C:$C,8,Actuals!$D:$D,$B$426,Actuals!$A:$A,LEFT($D$426,FIND("|",$D$426&amp;"|")-1),Actuals!$E:$E,MID($D$426,FIND("|",$D$426&amp;"|")+1,50),Actuals!$F:$F,"EUR")*$G$5+SUMIFS(Actuals!$G:$G,Actuals!$B:$B,$C$3,Actuals!$C:$C,8,Actuals!$D:$D,$B$426,Actuals!$A:$A,LEFT($D$426,FIND("|",$D$426&amp;"|")-1),Actuals!$E:$E,MID($D$426,FIND("|",$D$426&amp;"|")+1,50),Actuals!$F:$F,"GBP")*$H$5)</f>
        <v/>
      </c>
      <c r="P427" s="18">
        <f>IF(OR($B$426="",9&gt;$C$4),"",SUMIFS(Actuals!$G:$G,Actuals!$B:$B,$C$3,Actuals!$C:$C,9,Actuals!$D:$D,$B$426,Actuals!$A:$A,LEFT($D$426,FIND("|",$D$426&amp;"|")-1),Actuals!$E:$E,MID($D$426,FIND("|",$D$426&amp;"|")+1,50),Actuals!$F:$F,"JPY")*$E$5+SUMIFS(Actuals!$G:$G,Actuals!$B:$B,$C$3,Actuals!$C:$C,9,Actuals!$D:$D,$B$426,Actuals!$A:$A,LEFT($D$426,FIND("|",$D$426&amp;"|")-1),Actuals!$E:$E,MID($D$426,FIND("|",$D$426&amp;"|")+1,50),Actuals!$F:$F,"USD")*$F$5+SUMIFS(Actuals!$G:$G,Actuals!$B:$B,$C$3,Actuals!$C:$C,9,Actuals!$D:$D,$B$426,Actuals!$A:$A,LEFT($D$426,FIND("|",$D$426&amp;"|")-1),Actuals!$E:$E,MID($D$426,FIND("|",$D$426&amp;"|")+1,50),Actuals!$F:$F,"EUR")*$G$5+SUMIFS(Actuals!$G:$G,Actuals!$B:$B,$C$3,Actuals!$C:$C,9,Actuals!$D:$D,$B$426,Actuals!$A:$A,LEFT($D$426,FIND("|",$D$426&amp;"|")-1),Actuals!$E:$E,MID($D$426,FIND("|",$D$426&amp;"|")+1,50),Actuals!$F:$F,"GBP")*$H$5)</f>
        <v/>
      </c>
      <c r="Q427" s="18">
        <f>IF(OR($B$426="",10&gt;$C$4),"",SUMIFS(Actuals!$G:$G,Actuals!$B:$B,$C$3,Actuals!$C:$C,10,Actuals!$D:$D,$B$426,Actuals!$A:$A,LEFT($D$426,FIND("|",$D$426&amp;"|")-1),Actuals!$E:$E,MID($D$426,FIND("|",$D$426&amp;"|")+1,50),Actuals!$F:$F,"JPY")*$E$5+SUMIFS(Actuals!$G:$G,Actuals!$B:$B,$C$3,Actuals!$C:$C,10,Actuals!$D:$D,$B$426,Actuals!$A:$A,LEFT($D$426,FIND("|",$D$426&amp;"|")-1),Actuals!$E:$E,MID($D$426,FIND("|",$D$426&amp;"|")+1,50),Actuals!$F:$F,"USD")*$F$5+SUMIFS(Actuals!$G:$G,Actuals!$B:$B,$C$3,Actuals!$C:$C,10,Actuals!$D:$D,$B$426,Actuals!$A:$A,LEFT($D$426,FIND("|",$D$426&amp;"|")-1),Actuals!$E:$E,MID($D$426,FIND("|",$D$426&amp;"|")+1,50),Actuals!$F:$F,"EUR")*$G$5+SUMIFS(Actuals!$G:$G,Actuals!$B:$B,$C$3,Actuals!$C:$C,10,Actuals!$D:$D,$B$426,Actuals!$A:$A,LEFT($D$426,FIND("|",$D$426&amp;"|")-1),Actuals!$E:$E,MID($D$426,FIND("|",$D$426&amp;"|")+1,50),Actuals!$F:$F,"GBP")*$H$5)</f>
        <v/>
      </c>
      <c r="R427" s="18">
        <f>IF(OR($B$426="",11&gt;$C$4),"",SUMIFS(Actuals!$G:$G,Actuals!$B:$B,$C$3,Actuals!$C:$C,11,Actuals!$D:$D,$B$426,Actuals!$A:$A,LEFT($D$426,FIND("|",$D$426&amp;"|")-1),Actuals!$E:$E,MID($D$426,FIND("|",$D$426&amp;"|")+1,50),Actuals!$F:$F,"JPY")*$E$5+SUMIFS(Actuals!$G:$G,Actuals!$B:$B,$C$3,Actuals!$C:$C,11,Actuals!$D:$D,$B$426,Actuals!$A:$A,LEFT($D$426,FIND("|",$D$426&amp;"|")-1),Actuals!$E:$E,MID($D$426,FIND("|",$D$426&amp;"|")+1,50),Actuals!$F:$F,"USD")*$F$5+SUMIFS(Actuals!$G:$G,Actuals!$B:$B,$C$3,Actuals!$C:$C,11,Actuals!$D:$D,$B$426,Actuals!$A:$A,LEFT($D$426,FIND("|",$D$426&amp;"|")-1),Actuals!$E:$E,MID($D$426,FIND("|",$D$426&amp;"|")+1,50),Actuals!$F:$F,"EUR")*$G$5+SUMIFS(Actuals!$G:$G,Actuals!$B:$B,$C$3,Actuals!$C:$C,11,Actuals!$D:$D,$B$426,Actuals!$A:$A,LEFT($D$426,FIND("|",$D$426&amp;"|")-1),Actuals!$E:$E,MID($D$426,FIND("|",$D$426&amp;"|")+1,50),Actuals!$F:$F,"GBP")*$H$5)</f>
        <v/>
      </c>
      <c r="S427" s="18">
        <f>IF(OR($B$426="",12&gt;$C$4),"",SUMIFS(Actuals!$G:$G,Actuals!$B:$B,$C$3,Actuals!$C:$C,12,Actuals!$D:$D,$B$426,Actuals!$A:$A,LEFT($D$426,FIND("|",$D$426&amp;"|")-1),Actuals!$E:$E,MID($D$426,FIND("|",$D$426&amp;"|")+1,50),Actuals!$F:$F,"JPY")*$E$5+SUMIFS(Actuals!$G:$G,Actuals!$B:$B,$C$3,Actuals!$C:$C,12,Actuals!$D:$D,$B$426,Actuals!$A:$A,LEFT($D$426,FIND("|",$D$426&amp;"|")-1),Actuals!$E:$E,MID($D$426,FIND("|",$D$426&amp;"|")+1,50),Actuals!$F:$F,"USD")*$F$5+SUMIFS(Actuals!$G:$G,Actuals!$B:$B,$C$3,Actuals!$C:$C,12,Actuals!$D:$D,$B$426,Actuals!$A:$A,LEFT($D$426,FIND("|",$D$426&amp;"|")-1),Actuals!$E:$E,MID($D$426,FIND("|",$D$426&amp;"|")+1,50),Actuals!$F:$F,"EUR")*$G$5+SUMIFS(Actuals!$G:$G,Actuals!$B:$B,$C$3,Actuals!$C:$C,12,Actuals!$D:$D,$B$426,Actuals!$A:$A,LEFT($D$426,FIND("|",$D$426&amp;"|")-1),Actuals!$E:$E,MID($D$426,FIND("|",$D$426&amp;"|")+1,50),Actuals!$F:$F,"GBP")*$H$5)</f>
        <v/>
      </c>
      <c r="T427" s="18">
        <f>IF($B$426="","",SUMIF($H$7:$S$7,"&lt;="&amp;$C$4,$H427:$S427))</f>
        <v/>
      </c>
      <c r="U427" s="18" t="n"/>
      <c r="V427" s="18" t="n"/>
      <c r="X427" s="22">
        <f>IF($B427="","",IFERROR(INDEX(Cost_Centers!$E:$E,MATCH($B427,Cost_Centers!$A:$A,0)),"(unknown)"))</f>
        <v/>
      </c>
      <c r="Y427" s="22">
        <f>IF($B427="","",IFERROR(INDEX(Cost_Centers!$D:$D,MATCH($B427,Cost_Centers!$A:$A,0)),"(unknown)"))</f>
        <v/>
      </c>
      <c r="Z427" s="22">
        <f>IF(OR($B427="",$G427&lt;&gt;"Variance vs Budget"),"",ABS(N($V427))+ROW()/1000000000)</f>
        <v/>
      </c>
    </row>
    <row r="428">
      <c r="A428" s="13">
        <f>IF(A$426="","",A$426)</f>
        <v/>
      </c>
      <c r="B428" s="13">
        <f>IF(B$426="","",B$426)</f>
        <v/>
      </c>
      <c r="C428" s="13">
        <f>IF(C$426="","",C$426)</f>
        <v/>
      </c>
      <c r="D428" s="13">
        <f>IF(D$426="","",D$426)</f>
        <v/>
      </c>
      <c r="E428" s="13">
        <f>IF(E$426="","",E$426)</f>
        <v/>
      </c>
      <c r="F428" s="13">
        <f>IF(F$426="","",F$426)</f>
        <v/>
      </c>
      <c r="G428" s="6" t="inlineStr">
        <is>
          <t>Variance vs Budget</t>
        </is>
      </c>
      <c r="H428" s="33">
        <f>IF(OR($B$426="",1&gt;$C$4),"",N(H427)-H426)</f>
        <v/>
      </c>
      <c r="I428" s="33">
        <f>IF(OR($B$426="",2&gt;$C$4),"",N(I427)-I426)</f>
        <v/>
      </c>
      <c r="J428" s="33">
        <f>IF(OR($B$426="",3&gt;$C$4),"",N(J427)-J426)</f>
        <v/>
      </c>
      <c r="K428" s="33">
        <f>IF(OR($B$426="",4&gt;$C$4),"",N(K427)-K426)</f>
        <v/>
      </c>
      <c r="L428" s="33">
        <f>IF(OR($B$426="",5&gt;$C$4),"",N(L427)-L426)</f>
        <v/>
      </c>
      <c r="M428" s="33">
        <f>IF(OR($B$426="",6&gt;$C$4),"",N(M427)-M426)</f>
        <v/>
      </c>
      <c r="N428" s="33">
        <f>IF(OR($B$426="",7&gt;$C$4),"",N(N427)-N426)</f>
        <v/>
      </c>
      <c r="O428" s="33">
        <f>IF(OR($B$426="",8&gt;$C$4),"",N(O427)-O426)</f>
        <v/>
      </c>
      <c r="P428" s="33">
        <f>IF(OR($B$426="",9&gt;$C$4),"",N(P427)-P426)</f>
        <v/>
      </c>
      <c r="Q428" s="33">
        <f>IF(OR($B$426="",10&gt;$C$4),"",N(Q427)-Q426)</f>
        <v/>
      </c>
      <c r="R428" s="33">
        <f>IF(OR($B$426="",11&gt;$C$4),"",N(R427)-R426)</f>
        <v/>
      </c>
      <c r="S428" s="33">
        <f>IF(OR($B$426="",12&gt;$C$4),"",N(S427)-S426)</f>
        <v/>
      </c>
      <c r="T428" s="33">
        <f>IF($B$426="","",T427-T426)</f>
        <v/>
      </c>
      <c r="U428" s="33">
        <f>IF($B$426="","",U430-U426)</f>
        <v/>
      </c>
      <c r="V428" s="33">
        <f>IF($B$426="","",V430-V426)</f>
        <v/>
      </c>
      <c r="X428" s="22">
        <f>IF($B428="","",IFERROR(INDEX(Cost_Centers!$E:$E,MATCH($B428,Cost_Centers!$A:$A,0)),"(unknown)"))</f>
        <v/>
      </c>
      <c r="Y428" s="22">
        <f>IF($B428="","",IFERROR(INDEX(Cost_Centers!$D:$D,MATCH($B428,Cost_Centers!$A:$A,0)),"(unknown)"))</f>
        <v/>
      </c>
      <c r="Z428" s="22">
        <f>IF(OR($B428="",$G428&lt;&gt;"Variance vs Budget"),"",ABS(N($V428))+ROW()/1000000000)</f>
        <v/>
      </c>
    </row>
    <row r="429">
      <c r="A429" s="13">
        <f>IF(A$426="","",A$426)</f>
        <v/>
      </c>
      <c r="B429" s="13">
        <f>IF(B$426="","",B$426)</f>
        <v/>
      </c>
      <c r="C429" s="13">
        <f>IF(C$426="","",C$426)</f>
        <v/>
      </c>
      <c r="D429" s="13">
        <f>IF(D$426="","",D$426)</f>
        <v/>
      </c>
      <c r="E429" s="13">
        <f>IF(E$426="","",E$426)</f>
        <v/>
      </c>
      <c r="F429" s="13">
        <f>IF(F$426="","",F$426)</f>
        <v/>
      </c>
      <c r="G429" s="7" t="inlineStr">
        <is>
          <t>Forecast (input)</t>
        </is>
      </c>
      <c r="H429" s="34" t="n"/>
      <c r="I429" s="34" t="n"/>
      <c r="J429" s="34" t="n"/>
      <c r="K429" s="34" t="n"/>
      <c r="L429" s="34" t="n"/>
      <c r="M429" s="34" t="n"/>
      <c r="N429" s="34" t="n"/>
      <c r="O429" s="34" t="n"/>
      <c r="P429" s="34" t="n"/>
      <c r="Q429" s="34" t="n"/>
      <c r="R429" s="34" t="n"/>
      <c r="S429" s="34" t="n"/>
      <c r="T429" s="18" t="n"/>
      <c r="U429" s="18" t="n"/>
      <c r="V429" s="18" t="n"/>
      <c r="X429" s="22">
        <f>IF($B429="","",IFERROR(INDEX(Cost_Centers!$E:$E,MATCH($B429,Cost_Centers!$A:$A,0)),"(unknown)"))</f>
        <v/>
      </c>
      <c r="Y429" s="22">
        <f>IF($B429="","",IFERROR(INDEX(Cost_Centers!$D:$D,MATCH($B429,Cost_Centers!$A:$A,0)),"(unknown)"))</f>
        <v/>
      </c>
      <c r="Z429" s="22">
        <f>IF(OR($B429="",$G429&lt;&gt;"Variance vs Budget"),"",ABS(N($V429))+ROW()/1000000000)</f>
        <v/>
      </c>
    </row>
    <row r="430">
      <c r="A430" s="13">
        <f>IF(A$426="","",A$426)</f>
        <v/>
      </c>
      <c r="B430" s="13">
        <f>IF(B$426="","",B$426)</f>
        <v/>
      </c>
      <c r="C430" s="13">
        <f>IF(C$426="","",C$426)</f>
        <v/>
      </c>
      <c r="D430" s="13">
        <f>IF(D$426="","",D$426)</f>
        <v/>
      </c>
      <c r="E430" s="13">
        <f>IF(E$426="","",E$426)</f>
        <v/>
      </c>
      <c r="F430" s="13">
        <f>IF(F$426="","",F$426)</f>
        <v/>
      </c>
      <c r="G430" s="35" t="inlineStr">
        <is>
          <t>Actual + Forecast</t>
        </is>
      </c>
      <c r="H430" s="18">
        <f>IF($B$426="","",IF(1&lt;=$C$4,N(H427),IF(H429="",H426,H429)))</f>
        <v/>
      </c>
      <c r="I430" s="18">
        <f>IF($B$426="","",IF(2&lt;=$C$4,N(I427),IF(I429="",I426,I429)))</f>
        <v/>
      </c>
      <c r="J430" s="18">
        <f>IF($B$426="","",IF(3&lt;=$C$4,N(J427),IF(J429="",J426,J429)))</f>
        <v/>
      </c>
      <c r="K430" s="18">
        <f>IF($B$426="","",IF(4&lt;=$C$4,N(K427),IF(K429="",K426,K429)))</f>
        <v/>
      </c>
      <c r="L430" s="18">
        <f>IF($B$426="","",IF(5&lt;=$C$4,N(L427),IF(L429="",L426,L429)))</f>
        <v/>
      </c>
      <c r="M430" s="18">
        <f>IF($B$426="","",IF(6&lt;=$C$4,N(M427),IF(M429="",M426,M429)))</f>
        <v/>
      </c>
      <c r="N430" s="18">
        <f>IF($B$426="","",IF(7&lt;=$C$4,N(N427),IF(N429="",N426,N429)))</f>
        <v/>
      </c>
      <c r="O430" s="18">
        <f>IF($B$426="","",IF(8&lt;=$C$4,N(O427),IF(O429="",O426,O429)))</f>
        <v/>
      </c>
      <c r="P430" s="18">
        <f>IF($B$426="","",IF(9&lt;=$C$4,N(P427),IF(P429="",P426,P429)))</f>
        <v/>
      </c>
      <c r="Q430" s="18">
        <f>IF($B$426="","",IF(10&lt;=$C$4,N(Q427),IF(Q429="",Q426,Q429)))</f>
        <v/>
      </c>
      <c r="R430" s="18">
        <f>IF($B$426="","",IF(11&lt;=$C$4,N(R427),IF(R429="",R426,R429)))</f>
        <v/>
      </c>
      <c r="S430" s="18">
        <f>IF($B$426="","",IF(12&lt;=$C$4,N(S427),IF(S429="",S426,S429)))</f>
        <v/>
      </c>
      <c r="T430" s="18">
        <f>IF($B$426="","",SUMIF($H$7:$S$7,"&lt;="&amp;$C$4,$H430:$S430))</f>
        <v/>
      </c>
      <c r="U430" s="18">
        <f>IF($B$426="","",SUMIF($H$7:$S$7,"&gt;"&amp;$C$4,$H430:$S430))</f>
        <v/>
      </c>
      <c r="V430" s="18">
        <f>IF($B$426="","",SUM($H430:$S430))</f>
        <v/>
      </c>
      <c r="X430" s="22">
        <f>IF($B430="","",IFERROR(INDEX(Cost_Centers!$E:$E,MATCH($B430,Cost_Centers!$A:$A,0)),"(unknown)"))</f>
        <v/>
      </c>
      <c r="Y430" s="22">
        <f>IF($B430="","",IFERROR(INDEX(Cost_Centers!$D:$D,MATCH($B430,Cost_Centers!$A:$A,0)),"(unknown)"))</f>
        <v/>
      </c>
      <c r="Z430" s="22">
        <f>IF(OR($B430="",$G430&lt;&gt;"Variance vs Budget"),"",ABS(N($V430))+ROW()/1000000000)</f>
        <v/>
      </c>
    </row>
    <row r="431">
      <c r="A431" s="13">
        <f>IF(A$426="","",A$426)</f>
        <v/>
      </c>
      <c r="B431" s="13">
        <f>IF(B$426="","",B$426)</f>
        <v/>
      </c>
      <c r="C431" s="13">
        <f>IF(C$426="","",C$426)</f>
        <v/>
      </c>
      <c r="D431" s="13">
        <f>IF(D$426="","",D$426)</f>
        <v/>
      </c>
      <c r="E431" s="13">
        <f>IF(E$426="","",E$426)</f>
        <v/>
      </c>
      <c r="F431" s="13">
        <f>IF(F$426="","",F$426)</f>
        <v/>
      </c>
      <c r="G431" s="36" t="inlineStr">
        <is>
          <t>Prior Month Forecast</t>
        </is>
      </c>
      <c r="H431" s="37">
        <f>IF($B$426="","",IF(COUNTIFS(Prior_Forecast!$A:$A,$B$426,Prior_Forecast!$B:$B,$D$426)&gt;0,SUMIFS(Prior_Forecast!$C:$C,Prior_Forecast!$A:$A,$B$426,Prior_Forecast!$B:$B,$D$426),""))</f>
        <v/>
      </c>
      <c r="I431" s="37">
        <f>IF($B$426="","",IF(COUNTIFS(Prior_Forecast!$A:$A,$B$426,Prior_Forecast!$B:$B,$D$426)&gt;0,SUMIFS(Prior_Forecast!$D:$D,Prior_Forecast!$A:$A,$B$426,Prior_Forecast!$B:$B,$D$426),""))</f>
        <v/>
      </c>
      <c r="J431" s="37">
        <f>IF($B$426="","",IF(COUNTIFS(Prior_Forecast!$A:$A,$B$426,Prior_Forecast!$B:$B,$D$426)&gt;0,SUMIFS(Prior_Forecast!$E:$E,Prior_Forecast!$A:$A,$B$426,Prior_Forecast!$B:$B,$D$426),""))</f>
        <v/>
      </c>
      <c r="K431" s="37">
        <f>IF($B$426="","",IF(COUNTIFS(Prior_Forecast!$A:$A,$B$426,Prior_Forecast!$B:$B,$D$426)&gt;0,SUMIFS(Prior_Forecast!$F:$F,Prior_Forecast!$A:$A,$B$426,Prior_Forecast!$B:$B,$D$426),""))</f>
        <v/>
      </c>
      <c r="L431" s="37">
        <f>IF($B$426="","",IF(COUNTIFS(Prior_Forecast!$A:$A,$B$426,Prior_Forecast!$B:$B,$D$426)&gt;0,SUMIFS(Prior_Forecast!$G:$G,Prior_Forecast!$A:$A,$B$426,Prior_Forecast!$B:$B,$D$426),""))</f>
        <v/>
      </c>
      <c r="M431" s="37">
        <f>IF($B$426="","",IF(COUNTIFS(Prior_Forecast!$A:$A,$B$426,Prior_Forecast!$B:$B,$D$426)&gt;0,SUMIFS(Prior_Forecast!$H:$H,Prior_Forecast!$A:$A,$B$426,Prior_Forecast!$B:$B,$D$426),""))</f>
        <v/>
      </c>
      <c r="N431" s="37">
        <f>IF($B$426="","",IF(COUNTIFS(Prior_Forecast!$A:$A,$B$426,Prior_Forecast!$B:$B,$D$426)&gt;0,SUMIFS(Prior_Forecast!$I:$I,Prior_Forecast!$A:$A,$B$426,Prior_Forecast!$B:$B,$D$426),""))</f>
        <v/>
      </c>
      <c r="O431" s="37">
        <f>IF($B$426="","",IF(COUNTIFS(Prior_Forecast!$A:$A,$B$426,Prior_Forecast!$B:$B,$D$426)&gt;0,SUMIFS(Prior_Forecast!$J:$J,Prior_Forecast!$A:$A,$B$426,Prior_Forecast!$B:$B,$D$426),""))</f>
        <v/>
      </c>
      <c r="P431" s="37">
        <f>IF($B$426="","",IF(COUNTIFS(Prior_Forecast!$A:$A,$B$426,Prior_Forecast!$B:$B,$D$426)&gt;0,SUMIFS(Prior_Forecast!$K:$K,Prior_Forecast!$A:$A,$B$426,Prior_Forecast!$B:$B,$D$426),""))</f>
        <v/>
      </c>
      <c r="Q431" s="37">
        <f>IF($B$426="","",IF(COUNTIFS(Prior_Forecast!$A:$A,$B$426,Prior_Forecast!$B:$B,$D$426)&gt;0,SUMIFS(Prior_Forecast!$L:$L,Prior_Forecast!$A:$A,$B$426,Prior_Forecast!$B:$B,$D$426),""))</f>
        <v/>
      </c>
      <c r="R431" s="37">
        <f>IF($B$426="","",IF(COUNTIFS(Prior_Forecast!$A:$A,$B$426,Prior_Forecast!$B:$B,$D$426)&gt;0,SUMIFS(Prior_Forecast!$M:$M,Prior_Forecast!$A:$A,$B$426,Prior_Forecast!$B:$B,$D$426),""))</f>
        <v/>
      </c>
      <c r="S431" s="37">
        <f>IF($B$426="","",IF(COUNTIFS(Prior_Forecast!$A:$A,$B$426,Prior_Forecast!$B:$B,$D$426)&gt;0,SUMIFS(Prior_Forecast!$N:$N,Prior_Forecast!$A:$A,$B$426,Prior_Forecast!$B:$B,$D$426),""))</f>
        <v/>
      </c>
      <c r="T431" s="37">
        <f>IF($B$426="","",IF(COUNTIFS(Prior_Forecast!$A:$A,$B$426,Prior_Forecast!$B:$B,$D$426)&gt;0,SUMIFS(Prior_Forecast!$O:$O,Prior_Forecast!$A:$A,$B$426,Prior_Forecast!$B:$B,$D$426),""))</f>
        <v/>
      </c>
      <c r="U431" s="37">
        <f>IF($B$426="","",IF(COUNTIFS(Prior_Forecast!$A:$A,$B$426,Prior_Forecast!$B:$B,$D$426)&gt;0,SUMIFS(Prior_Forecast!$P:$P,Prior_Forecast!$A:$A,$B$426,Prior_Forecast!$B:$B,$D$426),""))</f>
        <v/>
      </c>
      <c r="V431" s="37">
        <f>IF($B$426="","",IF(COUNTIFS(Prior_Forecast!$A:$A,$B$426,Prior_Forecast!$B:$B,$D$426)&gt;0,SUMIFS(Prior_Forecast!$Q:$Q,Prior_Forecast!$A:$A,$B$426,Prior_Forecast!$B:$B,$D$426),""))</f>
        <v/>
      </c>
      <c r="X431" s="22">
        <f>IF($B431="","",IFERROR(INDEX(Cost_Centers!$E:$E,MATCH($B431,Cost_Centers!$A:$A,0)),"(unknown)"))</f>
        <v/>
      </c>
      <c r="Y431" s="22">
        <f>IF($B431="","",IFERROR(INDEX(Cost_Centers!$D:$D,MATCH($B431,Cost_Centers!$A:$A,0)),"(unknown)"))</f>
        <v/>
      </c>
      <c r="Z431" s="22">
        <f>IF(OR($B431="",$G431&lt;&gt;"Variance vs Budget"),"",ABS(N($V431))+ROW()/1000000000)</f>
        <v/>
      </c>
    </row>
    <row r="432">
      <c r="A432" s="13">
        <f>IF(A$426="","",A$426)</f>
        <v/>
      </c>
      <c r="B432" s="13">
        <f>IF(B$426="","",B$426)</f>
        <v/>
      </c>
      <c r="C432" s="13">
        <f>IF(C$426="","",C$426)</f>
        <v/>
      </c>
      <c r="D432" s="13">
        <f>IF(D$426="","",D$426)</f>
        <v/>
      </c>
      <c r="E432" s="13">
        <f>IF(E$426="","",E$426)</f>
        <v/>
      </c>
      <c r="F432" s="13">
        <f>IF(F$426="","",F$426)</f>
        <v/>
      </c>
      <c r="G432" s="6" t="inlineStr">
        <is>
          <t>Variance vs Prior Month</t>
        </is>
      </c>
      <c r="H432" s="33">
        <f>IF(OR($B$426="",H431=""),"",H430-H431)</f>
        <v/>
      </c>
      <c r="I432" s="33">
        <f>IF(OR($B$426="",I431=""),"",I430-I431)</f>
        <v/>
      </c>
      <c r="J432" s="33">
        <f>IF(OR($B$426="",J431=""),"",J430-J431)</f>
        <v/>
      </c>
      <c r="K432" s="33">
        <f>IF(OR($B$426="",K431=""),"",K430-K431)</f>
        <v/>
      </c>
      <c r="L432" s="33">
        <f>IF(OR($B$426="",L431=""),"",L430-L431)</f>
        <v/>
      </c>
      <c r="M432" s="33">
        <f>IF(OR($B$426="",M431=""),"",M430-M431)</f>
        <v/>
      </c>
      <c r="N432" s="33">
        <f>IF(OR($B$426="",N431=""),"",N430-N431)</f>
        <v/>
      </c>
      <c r="O432" s="33">
        <f>IF(OR($B$426="",O431=""),"",O430-O431)</f>
        <v/>
      </c>
      <c r="P432" s="33">
        <f>IF(OR($B$426="",P431=""),"",P430-P431)</f>
        <v/>
      </c>
      <c r="Q432" s="33">
        <f>IF(OR($B$426="",Q431=""),"",Q430-Q431)</f>
        <v/>
      </c>
      <c r="R432" s="33">
        <f>IF(OR($B$426="",R431=""),"",R430-R431)</f>
        <v/>
      </c>
      <c r="S432" s="33">
        <f>IF(OR($B$426="",S431=""),"",S430-S431)</f>
        <v/>
      </c>
      <c r="T432" s="33">
        <f>IF(OR($B$426="",T431=""),"",T430-T431)</f>
        <v/>
      </c>
      <c r="U432" s="33">
        <f>IF(OR($B$426="",U431=""),"",U430-U431)</f>
        <v/>
      </c>
      <c r="V432" s="33">
        <f>IF(OR($B$426="",V431=""),"",V430-V431)</f>
        <v/>
      </c>
      <c r="X432" s="22">
        <f>IF($B432="","",IFERROR(INDEX(Cost_Centers!$E:$E,MATCH($B432,Cost_Centers!$A:$A,0)),"(unknown)"))</f>
        <v/>
      </c>
      <c r="Y432" s="22">
        <f>IF($B432="","",IFERROR(INDEX(Cost_Centers!$D:$D,MATCH($B432,Cost_Centers!$A:$A,0)),"(unknown)"))</f>
        <v/>
      </c>
      <c r="Z432" s="22">
        <f>IF(OR($B432="",$G432&lt;&gt;"Variance vs Budget"),"",ABS(N($V432))+ROW()/1000000000)</f>
        <v/>
      </c>
    </row>
    <row r="433" ht="45" customHeight="1">
      <c r="A433" s="13">
        <f>IF(A$426="","",A$426)</f>
        <v/>
      </c>
      <c r="B433" s="13">
        <f>IF(B$426="","",B$426)</f>
        <v/>
      </c>
      <c r="C433" s="13">
        <f>IF(C$426="","",C$426)</f>
        <v/>
      </c>
      <c r="D433" s="13">
        <f>IF(D$426="","",D$426)</f>
        <v/>
      </c>
      <c r="E433" s="13">
        <f>IF(E$426="","",E$426)</f>
        <v/>
      </c>
      <c r="F433" s="13">
        <f>IF(F$426="","",F$426)</f>
        <v/>
      </c>
      <c r="G433" s="7" t="inlineStr">
        <is>
          <t>Rationale</t>
        </is>
      </c>
      <c r="H433" s="38" t="n"/>
      <c r="I433" s="38" t="n"/>
      <c r="J433" s="38" t="n"/>
      <c r="K433" s="38" t="n"/>
      <c r="L433" s="38" t="n"/>
      <c r="M433" s="38" t="n"/>
      <c r="N433" s="38" t="n"/>
      <c r="O433" s="38" t="n"/>
      <c r="P433" s="38" t="n"/>
      <c r="Q433" s="38" t="n"/>
      <c r="R433" s="38" t="n"/>
      <c r="S433" s="38" t="n"/>
      <c r="T433" s="38" t="n"/>
      <c r="U433" s="38" t="n"/>
      <c r="V433" s="7" t="n"/>
      <c r="X433" s="22">
        <f>IF($B433="","",IFERROR(INDEX(Cost_Centers!$E:$E,MATCH($B433,Cost_Centers!$A:$A,0)),"(unknown)"))</f>
        <v/>
      </c>
      <c r="Y433" s="22">
        <f>IF($B433="","",IFERROR(INDEX(Cost_Centers!$D:$D,MATCH($B433,Cost_Centers!$A:$A,0)),"(unknown)"))</f>
        <v/>
      </c>
      <c r="Z433" s="22">
        <f>IF(OR($B433="",$G433&lt;&gt;"Variance vs Budget"),"",ABS(N($V433))+ROW()/1000000000)</f>
        <v/>
      </c>
    </row>
    <row r="434">
      <c r="A434" s="30">
        <f>IF($D$434="","",LEFT($D$434,FIND("|",$D$434&amp;"|")-1))</f>
        <v/>
      </c>
      <c r="B434" s="31" t="n"/>
      <c r="C434" s="30">
        <f>IF($B$434="","",IFERROR(INDEX(Cost_Centers!$B:$B,MATCH($B$434,Cost_Centers!$A:$A,0)),"(not in master)"))</f>
        <v/>
      </c>
      <c r="D434" s="31" t="n"/>
      <c r="E434" s="30">
        <f>IF($D$434="","",IFERROR(INDEX(Accounts!$D:$D,MATCH($D$434,Accounts!$A:$A,0)),"(not in master)"))</f>
        <v/>
      </c>
      <c r="F434" s="31" t="n"/>
      <c r="G434" s="30" t="inlineStr">
        <is>
          <t>Budget</t>
        </is>
      </c>
      <c r="H434" s="32">
        <f>IF($B$434="","",SUMIFS(Opex_Budget!$O:$O,Opex_Budget!$A:$A,$C$3,Opex_Budget!$E:$E,$B$434,Opex_Budget!$F:$F,$D$434,Opex_Budget!$N:$N,"JPY")*$E$5+SUMIFS(Opex_Budget!$O:$O,Opex_Budget!$A:$A,$C$3,Opex_Budget!$E:$E,$B$434,Opex_Budget!$F:$F,$D$434,Opex_Budget!$N:$N,"USD")*$F$5+SUMIFS(Opex_Budget!$O:$O,Opex_Budget!$A:$A,$C$3,Opex_Budget!$E:$E,$B$434,Opex_Budget!$F:$F,$D$434,Opex_Budget!$N:$N,"EUR")*$G$5+SUMIFS(Opex_Budget!$O:$O,Opex_Budget!$A:$A,$C$3,Opex_Budget!$E:$E,$B$434,Opex_Budget!$F:$F,$D$434,Opex_Budget!$N:$N,"GBP")*$H$5)</f>
        <v/>
      </c>
      <c r="I434" s="32">
        <f>IF($B$434="","",SUMIFS(Opex_Budget!$P:$P,Opex_Budget!$A:$A,$C$3,Opex_Budget!$E:$E,$B$434,Opex_Budget!$F:$F,$D$434,Opex_Budget!$N:$N,"JPY")*$E$5+SUMIFS(Opex_Budget!$P:$P,Opex_Budget!$A:$A,$C$3,Opex_Budget!$E:$E,$B$434,Opex_Budget!$F:$F,$D$434,Opex_Budget!$N:$N,"USD")*$F$5+SUMIFS(Opex_Budget!$P:$P,Opex_Budget!$A:$A,$C$3,Opex_Budget!$E:$E,$B$434,Opex_Budget!$F:$F,$D$434,Opex_Budget!$N:$N,"EUR")*$G$5+SUMIFS(Opex_Budget!$P:$P,Opex_Budget!$A:$A,$C$3,Opex_Budget!$E:$E,$B$434,Opex_Budget!$F:$F,$D$434,Opex_Budget!$N:$N,"GBP")*$H$5)</f>
        <v/>
      </c>
      <c r="J434" s="32">
        <f>IF($B$434="","",SUMIFS(Opex_Budget!$Q:$Q,Opex_Budget!$A:$A,$C$3,Opex_Budget!$E:$E,$B$434,Opex_Budget!$F:$F,$D$434,Opex_Budget!$N:$N,"JPY")*$E$5+SUMIFS(Opex_Budget!$Q:$Q,Opex_Budget!$A:$A,$C$3,Opex_Budget!$E:$E,$B$434,Opex_Budget!$F:$F,$D$434,Opex_Budget!$N:$N,"USD")*$F$5+SUMIFS(Opex_Budget!$Q:$Q,Opex_Budget!$A:$A,$C$3,Opex_Budget!$E:$E,$B$434,Opex_Budget!$F:$F,$D$434,Opex_Budget!$N:$N,"EUR")*$G$5+SUMIFS(Opex_Budget!$Q:$Q,Opex_Budget!$A:$A,$C$3,Opex_Budget!$E:$E,$B$434,Opex_Budget!$F:$F,$D$434,Opex_Budget!$N:$N,"GBP")*$H$5)</f>
        <v/>
      </c>
      <c r="K434" s="32">
        <f>IF($B$434="","",SUMIFS(Opex_Budget!$R:$R,Opex_Budget!$A:$A,$C$3,Opex_Budget!$E:$E,$B$434,Opex_Budget!$F:$F,$D$434,Opex_Budget!$N:$N,"JPY")*$E$5+SUMIFS(Opex_Budget!$R:$R,Opex_Budget!$A:$A,$C$3,Opex_Budget!$E:$E,$B$434,Opex_Budget!$F:$F,$D$434,Opex_Budget!$N:$N,"USD")*$F$5+SUMIFS(Opex_Budget!$R:$R,Opex_Budget!$A:$A,$C$3,Opex_Budget!$E:$E,$B$434,Opex_Budget!$F:$F,$D$434,Opex_Budget!$N:$N,"EUR")*$G$5+SUMIFS(Opex_Budget!$R:$R,Opex_Budget!$A:$A,$C$3,Opex_Budget!$E:$E,$B$434,Opex_Budget!$F:$F,$D$434,Opex_Budget!$N:$N,"GBP")*$H$5)</f>
        <v/>
      </c>
      <c r="L434" s="32">
        <f>IF($B$434="","",SUMIFS(Opex_Budget!$S:$S,Opex_Budget!$A:$A,$C$3,Opex_Budget!$E:$E,$B$434,Opex_Budget!$F:$F,$D$434,Opex_Budget!$N:$N,"JPY")*$E$5+SUMIFS(Opex_Budget!$S:$S,Opex_Budget!$A:$A,$C$3,Opex_Budget!$E:$E,$B$434,Opex_Budget!$F:$F,$D$434,Opex_Budget!$N:$N,"USD")*$F$5+SUMIFS(Opex_Budget!$S:$S,Opex_Budget!$A:$A,$C$3,Opex_Budget!$E:$E,$B$434,Opex_Budget!$F:$F,$D$434,Opex_Budget!$N:$N,"EUR")*$G$5+SUMIFS(Opex_Budget!$S:$S,Opex_Budget!$A:$A,$C$3,Opex_Budget!$E:$E,$B$434,Opex_Budget!$F:$F,$D$434,Opex_Budget!$N:$N,"GBP")*$H$5)</f>
        <v/>
      </c>
      <c r="M434" s="32">
        <f>IF($B$434="","",SUMIFS(Opex_Budget!$T:$T,Opex_Budget!$A:$A,$C$3,Opex_Budget!$E:$E,$B$434,Opex_Budget!$F:$F,$D$434,Opex_Budget!$N:$N,"JPY")*$E$5+SUMIFS(Opex_Budget!$T:$T,Opex_Budget!$A:$A,$C$3,Opex_Budget!$E:$E,$B$434,Opex_Budget!$F:$F,$D$434,Opex_Budget!$N:$N,"USD")*$F$5+SUMIFS(Opex_Budget!$T:$T,Opex_Budget!$A:$A,$C$3,Opex_Budget!$E:$E,$B$434,Opex_Budget!$F:$F,$D$434,Opex_Budget!$N:$N,"EUR")*$G$5+SUMIFS(Opex_Budget!$T:$T,Opex_Budget!$A:$A,$C$3,Opex_Budget!$E:$E,$B$434,Opex_Budget!$F:$F,$D$434,Opex_Budget!$N:$N,"GBP")*$H$5)</f>
        <v/>
      </c>
      <c r="N434" s="32">
        <f>IF($B$434="","",SUMIFS(Opex_Budget!$U:$U,Opex_Budget!$A:$A,$C$3,Opex_Budget!$E:$E,$B$434,Opex_Budget!$F:$F,$D$434,Opex_Budget!$N:$N,"JPY")*$E$5+SUMIFS(Opex_Budget!$U:$U,Opex_Budget!$A:$A,$C$3,Opex_Budget!$E:$E,$B$434,Opex_Budget!$F:$F,$D$434,Opex_Budget!$N:$N,"USD")*$F$5+SUMIFS(Opex_Budget!$U:$U,Opex_Budget!$A:$A,$C$3,Opex_Budget!$E:$E,$B$434,Opex_Budget!$F:$F,$D$434,Opex_Budget!$N:$N,"EUR")*$G$5+SUMIFS(Opex_Budget!$U:$U,Opex_Budget!$A:$A,$C$3,Opex_Budget!$E:$E,$B$434,Opex_Budget!$F:$F,$D$434,Opex_Budget!$N:$N,"GBP")*$H$5)</f>
        <v/>
      </c>
      <c r="O434" s="32">
        <f>IF($B$434="","",SUMIFS(Opex_Budget!$V:$V,Opex_Budget!$A:$A,$C$3,Opex_Budget!$E:$E,$B$434,Opex_Budget!$F:$F,$D$434,Opex_Budget!$N:$N,"JPY")*$E$5+SUMIFS(Opex_Budget!$V:$V,Opex_Budget!$A:$A,$C$3,Opex_Budget!$E:$E,$B$434,Opex_Budget!$F:$F,$D$434,Opex_Budget!$N:$N,"USD")*$F$5+SUMIFS(Opex_Budget!$V:$V,Opex_Budget!$A:$A,$C$3,Opex_Budget!$E:$E,$B$434,Opex_Budget!$F:$F,$D$434,Opex_Budget!$N:$N,"EUR")*$G$5+SUMIFS(Opex_Budget!$V:$V,Opex_Budget!$A:$A,$C$3,Opex_Budget!$E:$E,$B$434,Opex_Budget!$F:$F,$D$434,Opex_Budget!$N:$N,"GBP")*$H$5)</f>
        <v/>
      </c>
      <c r="P434" s="32">
        <f>IF($B$434="","",SUMIFS(Opex_Budget!$W:$W,Opex_Budget!$A:$A,$C$3,Opex_Budget!$E:$E,$B$434,Opex_Budget!$F:$F,$D$434,Opex_Budget!$N:$N,"JPY")*$E$5+SUMIFS(Opex_Budget!$W:$W,Opex_Budget!$A:$A,$C$3,Opex_Budget!$E:$E,$B$434,Opex_Budget!$F:$F,$D$434,Opex_Budget!$N:$N,"USD")*$F$5+SUMIFS(Opex_Budget!$W:$W,Opex_Budget!$A:$A,$C$3,Opex_Budget!$E:$E,$B$434,Opex_Budget!$F:$F,$D$434,Opex_Budget!$N:$N,"EUR")*$G$5+SUMIFS(Opex_Budget!$W:$W,Opex_Budget!$A:$A,$C$3,Opex_Budget!$E:$E,$B$434,Opex_Budget!$F:$F,$D$434,Opex_Budget!$N:$N,"GBP")*$H$5)</f>
        <v/>
      </c>
      <c r="Q434" s="32">
        <f>IF($B$434="","",SUMIFS(Opex_Budget!$X:$X,Opex_Budget!$A:$A,$C$3,Opex_Budget!$E:$E,$B$434,Opex_Budget!$F:$F,$D$434,Opex_Budget!$N:$N,"JPY")*$E$5+SUMIFS(Opex_Budget!$X:$X,Opex_Budget!$A:$A,$C$3,Opex_Budget!$E:$E,$B$434,Opex_Budget!$F:$F,$D$434,Opex_Budget!$N:$N,"USD")*$F$5+SUMIFS(Opex_Budget!$X:$X,Opex_Budget!$A:$A,$C$3,Opex_Budget!$E:$E,$B$434,Opex_Budget!$F:$F,$D$434,Opex_Budget!$N:$N,"EUR")*$G$5+SUMIFS(Opex_Budget!$X:$X,Opex_Budget!$A:$A,$C$3,Opex_Budget!$E:$E,$B$434,Opex_Budget!$F:$F,$D$434,Opex_Budget!$N:$N,"GBP")*$H$5)</f>
        <v/>
      </c>
      <c r="R434" s="32">
        <f>IF($B$434="","",SUMIFS(Opex_Budget!$Y:$Y,Opex_Budget!$A:$A,$C$3,Opex_Budget!$E:$E,$B$434,Opex_Budget!$F:$F,$D$434,Opex_Budget!$N:$N,"JPY")*$E$5+SUMIFS(Opex_Budget!$Y:$Y,Opex_Budget!$A:$A,$C$3,Opex_Budget!$E:$E,$B$434,Opex_Budget!$F:$F,$D$434,Opex_Budget!$N:$N,"USD")*$F$5+SUMIFS(Opex_Budget!$Y:$Y,Opex_Budget!$A:$A,$C$3,Opex_Budget!$E:$E,$B$434,Opex_Budget!$F:$F,$D$434,Opex_Budget!$N:$N,"EUR")*$G$5+SUMIFS(Opex_Budget!$Y:$Y,Opex_Budget!$A:$A,$C$3,Opex_Budget!$E:$E,$B$434,Opex_Budget!$F:$F,$D$434,Opex_Budget!$N:$N,"GBP")*$H$5)</f>
        <v/>
      </c>
      <c r="S434" s="32">
        <f>IF($B$434="","",SUMIFS(Opex_Budget!$Z:$Z,Opex_Budget!$A:$A,$C$3,Opex_Budget!$E:$E,$B$434,Opex_Budget!$F:$F,$D$434,Opex_Budget!$N:$N,"JPY")*$E$5+SUMIFS(Opex_Budget!$Z:$Z,Opex_Budget!$A:$A,$C$3,Opex_Budget!$E:$E,$B$434,Opex_Budget!$F:$F,$D$434,Opex_Budget!$N:$N,"USD")*$F$5+SUMIFS(Opex_Budget!$Z:$Z,Opex_Budget!$A:$A,$C$3,Opex_Budget!$E:$E,$B$434,Opex_Budget!$F:$F,$D$434,Opex_Budget!$N:$N,"EUR")*$G$5+SUMIFS(Opex_Budget!$Z:$Z,Opex_Budget!$A:$A,$C$3,Opex_Budget!$E:$E,$B$434,Opex_Budget!$F:$F,$D$434,Opex_Budget!$N:$N,"GBP")*$H$5)</f>
        <v/>
      </c>
      <c r="T434" s="32">
        <f>IF($B$434="","",SUMIF($H$7:$S$7,"&lt;="&amp;$C$4,$H434:$S434))</f>
        <v/>
      </c>
      <c r="U434" s="32">
        <f>IF($B$434="","",SUMIF($H$7:$S$7,"&gt;"&amp;$C$4,$H434:$S434))</f>
        <v/>
      </c>
      <c r="V434" s="32">
        <f>IF($B$434="","",SUM($H434:$S434))</f>
        <v/>
      </c>
      <c r="X434" s="22">
        <f>IF($B434="","",IFERROR(INDEX(Cost_Centers!$E:$E,MATCH($B434,Cost_Centers!$A:$A,0)),"(unknown)"))</f>
        <v/>
      </c>
      <c r="Y434" s="22">
        <f>IF($B434="","",IFERROR(INDEX(Cost_Centers!$D:$D,MATCH($B434,Cost_Centers!$A:$A,0)),"(unknown)"))</f>
        <v/>
      </c>
      <c r="Z434" s="22">
        <f>IF(OR($B434="",$G434&lt;&gt;"Variance vs Budget"),"",ABS(N($V434))+ROW()/1000000000)</f>
        <v/>
      </c>
    </row>
    <row r="435">
      <c r="A435" s="13">
        <f>IF(A$434="","",A$434)</f>
        <v/>
      </c>
      <c r="B435" s="13">
        <f>IF(B$434="","",B$434)</f>
        <v/>
      </c>
      <c r="C435" s="13">
        <f>IF(C$434="","",C$434)</f>
        <v/>
      </c>
      <c r="D435" s="13">
        <f>IF(D$434="","",D$434)</f>
        <v/>
      </c>
      <c r="E435" s="13">
        <f>IF(E$434="","",E$434)</f>
        <v/>
      </c>
      <c r="F435" s="13">
        <f>IF(F$434="","",F$434)</f>
        <v/>
      </c>
      <c r="G435" s="7" t="inlineStr">
        <is>
          <t>Actual</t>
        </is>
      </c>
      <c r="H435" s="18">
        <f>IF(OR($B$434="",1&gt;$C$4),"",SUMIFS(Actuals!$G:$G,Actuals!$B:$B,$C$3,Actuals!$C:$C,1,Actuals!$D:$D,$B$434,Actuals!$A:$A,LEFT($D$434,FIND("|",$D$434&amp;"|")-1),Actuals!$E:$E,MID($D$434,FIND("|",$D$434&amp;"|")+1,50),Actuals!$F:$F,"JPY")*$E$5+SUMIFS(Actuals!$G:$G,Actuals!$B:$B,$C$3,Actuals!$C:$C,1,Actuals!$D:$D,$B$434,Actuals!$A:$A,LEFT($D$434,FIND("|",$D$434&amp;"|")-1),Actuals!$E:$E,MID($D$434,FIND("|",$D$434&amp;"|")+1,50),Actuals!$F:$F,"USD")*$F$5+SUMIFS(Actuals!$G:$G,Actuals!$B:$B,$C$3,Actuals!$C:$C,1,Actuals!$D:$D,$B$434,Actuals!$A:$A,LEFT($D$434,FIND("|",$D$434&amp;"|")-1),Actuals!$E:$E,MID($D$434,FIND("|",$D$434&amp;"|")+1,50),Actuals!$F:$F,"EUR")*$G$5+SUMIFS(Actuals!$G:$G,Actuals!$B:$B,$C$3,Actuals!$C:$C,1,Actuals!$D:$D,$B$434,Actuals!$A:$A,LEFT($D$434,FIND("|",$D$434&amp;"|")-1),Actuals!$E:$E,MID($D$434,FIND("|",$D$434&amp;"|")+1,50),Actuals!$F:$F,"GBP")*$H$5)</f>
        <v/>
      </c>
      <c r="I435" s="18">
        <f>IF(OR($B$434="",2&gt;$C$4),"",SUMIFS(Actuals!$G:$G,Actuals!$B:$B,$C$3,Actuals!$C:$C,2,Actuals!$D:$D,$B$434,Actuals!$A:$A,LEFT($D$434,FIND("|",$D$434&amp;"|")-1),Actuals!$E:$E,MID($D$434,FIND("|",$D$434&amp;"|")+1,50),Actuals!$F:$F,"JPY")*$E$5+SUMIFS(Actuals!$G:$G,Actuals!$B:$B,$C$3,Actuals!$C:$C,2,Actuals!$D:$D,$B$434,Actuals!$A:$A,LEFT($D$434,FIND("|",$D$434&amp;"|")-1),Actuals!$E:$E,MID($D$434,FIND("|",$D$434&amp;"|")+1,50),Actuals!$F:$F,"USD")*$F$5+SUMIFS(Actuals!$G:$G,Actuals!$B:$B,$C$3,Actuals!$C:$C,2,Actuals!$D:$D,$B$434,Actuals!$A:$A,LEFT($D$434,FIND("|",$D$434&amp;"|")-1),Actuals!$E:$E,MID($D$434,FIND("|",$D$434&amp;"|")+1,50),Actuals!$F:$F,"EUR")*$G$5+SUMIFS(Actuals!$G:$G,Actuals!$B:$B,$C$3,Actuals!$C:$C,2,Actuals!$D:$D,$B$434,Actuals!$A:$A,LEFT($D$434,FIND("|",$D$434&amp;"|")-1),Actuals!$E:$E,MID($D$434,FIND("|",$D$434&amp;"|")+1,50),Actuals!$F:$F,"GBP")*$H$5)</f>
        <v/>
      </c>
      <c r="J435" s="18">
        <f>IF(OR($B$434="",3&gt;$C$4),"",SUMIFS(Actuals!$G:$G,Actuals!$B:$B,$C$3,Actuals!$C:$C,3,Actuals!$D:$D,$B$434,Actuals!$A:$A,LEFT($D$434,FIND("|",$D$434&amp;"|")-1),Actuals!$E:$E,MID($D$434,FIND("|",$D$434&amp;"|")+1,50),Actuals!$F:$F,"JPY")*$E$5+SUMIFS(Actuals!$G:$G,Actuals!$B:$B,$C$3,Actuals!$C:$C,3,Actuals!$D:$D,$B$434,Actuals!$A:$A,LEFT($D$434,FIND("|",$D$434&amp;"|")-1),Actuals!$E:$E,MID($D$434,FIND("|",$D$434&amp;"|")+1,50),Actuals!$F:$F,"USD")*$F$5+SUMIFS(Actuals!$G:$G,Actuals!$B:$B,$C$3,Actuals!$C:$C,3,Actuals!$D:$D,$B$434,Actuals!$A:$A,LEFT($D$434,FIND("|",$D$434&amp;"|")-1),Actuals!$E:$E,MID($D$434,FIND("|",$D$434&amp;"|")+1,50),Actuals!$F:$F,"EUR")*$G$5+SUMIFS(Actuals!$G:$G,Actuals!$B:$B,$C$3,Actuals!$C:$C,3,Actuals!$D:$D,$B$434,Actuals!$A:$A,LEFT($D$434,FIND("|",$D$434&amp;"|")-1),Actuals!$E:$E,MID($D$434,FIND("|",$D$434&amp;"|")+1,50),Actuals!$F:$F,"GBP")*$H$5)</f>
        <v/>
      </c>
      <c r="K435" s="18">
        <f>IF(OR($B$434="",4&gt;$C$4),"",SUMIFS(Actuals!$G:$G,Actuals!$B:$B,$C$3,Actuals!$C:$C,4,Actuals!$D:$D,$B$434,Actuals!$A:$A,LEFT($D$434,FIND("|",$D$434&amp;"|")-1),Actuals!$E:$E,MID($D$434,FIND("|",$D$434&amp;"|")+1,50),Actuals!$F:$F,"JPY")*$E$5+SUMIFS(Actuals!$G:$G,Actuals!$B:$B,$C$3,Actuals!$C:$C,4,Actuals!$D:$D,$B$434,Actuals!$A:$A,LEFT($D$434,FIND("|",$D$434&amp;"|")-1),Actuals!$E:$E,MID($D$434,FIND("|",$D$434&amp;"|")+1,50),Actuals!$F:$F,"USD")*$F$5+SUMIFS(Actuals!$G:$G,Actuals!$B:$B,$C$3,Actuals!$C:$C,4,Actuals!$D:$D,$B$434,Actuals!$A:$A,LEFT($D$434,FIND("|",$D$434&amp;"|")-1),Actuals!$E:$E,MID($D$434,FIND("|",$D$434&amp;"|")+1,50),Actuals!$F:$F,"EUR")*$G$5+SUMIFS(Actuals!$G:$G,Actuals!$B:$B,$C$3,Actuals!$C:$C,4,Actuals!$D:$D,$B$434,Actuals!$A:$A,LEFT($D$434,FIND("|",$D$434&amp;"|")-1),Actuals!$E:$E,MID($D$434,FIND("|",$D$434&amp;"|")+1,50),Actuals!$F:$F,"GBP")*$H$5)</f>
        <v/>
      </c>
      <c r="L435" s="18">
        <f>IF(OR($B$434="",5&gt;$C$4),"",SUMIFS(Actuals!$G:$G,Actuals!$B:$B,$C$3,Actuals!$C:$C,5,Actuals!$D:$D,$B$434,Actuals!$A:$A,LEFT($D$434,FIND("|",$D$434&amp;"|")-1),Actuals!$E:$E,MID($D$434,FIND("|",$D$434&amp;"|")+1,50),Actuals!$F:$F,"JPY")*$E$5+SUMIFS(Actuals!$G:$G,Actuals!$B:$B,$C$3,Actuals!$C:$C,5,Actuals!$D:$D,$B$434,Actuals!$A:$A,LEFT($D$434,FIND("|",$D$434&amp;"|")-1),Actuals!$E:$E,MID($D$434,FIND("|",$D$434&amp;"|")+1,50),Actuals!$F:$F,"USD")*$F$5+SUMIFS(Actuals!$G:$G,Actuals!$B:$B,$C$3,Actuals!$C:$C,5,Actuals!$D:$D,$B$434,Actuals!$A:$A,LEFT($D$434,FIND("|",$D$434&amp;"|")-1),Actuals!$E:$E,MID($D$434,FIND("|",$D$434&amp;"|")+1,50),Actuals!$F:$F,"EUR")*$G$5+SUMIFS(Actuals!$G:$G,Actuals!$B:$B,$C$3,Actuals!$C:$C,5,Actuals!$D:$D,$B$434,Actuals!$A:$A,LEFT($D$434,FIND("|",$D$434&amp;"|")-1),Actuals!$E:$E,MID($D$434,FIND("|",$D$434&amp;"|")+1,50),Actuals!$F:$F,"GBP")*$H$5)</f>
        <v/>
      </c>
      <c r="M435" s="18">
        <f>IF(OR($B$434="",6&gt;$C$4),"",SUMIFS(Actuals!$G:$G,Actuals!$B:$B,$C$3,Actuals!$C:$C,6,Actuals!$D:$D,$B$434,Actuals!$A:$A,LEFT($D$434,FIND("|",$D$434&amp;"|")-1),Actuals!$E:$E,MID($D$434,FIND("|",$D$434&amp;"|")+1,50),Actuals!$F:$F,"JPY")*$E$5+SUMIFS(Actuals!$G:$G,Actuals!$B:$B,$C$3,Actuals!$C:$C,6,Actuals!$D:$D,$B$434,Actuals!$A:$A,LEFT($D$434,FIND("|",$D$434&amp;"|")-1),Actuals!$E:$E,MID($D$434,FIND("|",$D$434&amp;"|")+1,50),Actuals!$F:$F,"USD")*$F$5+SUMIFS(Actuals!$G:$G,Actuals!$B:$B,$C$3,Actuals!$C:$C,6,Actuals!$D:$D,$B$434,Actuals!$A:$A,LEFT($D$434,FIND("|",$D$434&amp;"|")-1),Actuals!$E:$E,MID($D$434,FIND("|",$D$434&amp;"|")+1,50),Actuals!$F:$F,"EUR")*$G$5+SUMIFS(Actuals!$G:$G,Actuals!$B:$B,$C$3,Actuals!$C:$C,6,Actuals!$D:$D,$B$434,Actuals!$A:$A,LEFT($D$434,FIND("|",$D$434&amp;"|")-1),Actuals!$E:$E,MID($D$434,FIND("|",$D$434&amp;"|")+1,50),Actuals!$F:$F,"GBP")*$H$5)</f>
        <v/>
      </c>
      <c r="N435" s="18">
        <f>IF(OR($B$434="",7&gt;$C$4),"",SUMIFS(Actuals!$G:$G,Actuals!$B:$B,$C$3,Actuals!$C:$C,7,Actuals!$D:$D,$B$434,Actuals!$A:$A,LEFT($D$434,FIND("|",$D$434&amp;"|")-1),Actuals!$E:$E,MID($D$434,FIND("|",$D$434&amp;"|")+1,50),Actuals!$F:$F,"JPY")*$E$5+SUMIFS(Actuals!$G:$G,Actuals!$B:$B,$C$3,Actuals!$C:$C,7,Actuals!$D:$D,$B$434,Actuals!$A:$A,LEFT($D$434,FIND("|",$D$434&amp;"|")-1),Actuals!$E:$E,MID($D$434,FIND("|",$D$434&amp;"|")+1,50),Actuals!$F:$F,"USD")*$F$5+SUMIFS(Actuals!$G:$G,Actuals!$B:$B,$C$3,Actuals!$C:$C,7,Actuals!$D:$D,$B$434,Actuals!$A:$A,LEFT($D$434,FIND("|",$D$434&amp;"|")-1),Actuals!$E:$E,MID($D$434,FIND("|",$D$434&amp;"|")+1,50),Actuals!$F:$F,"EUR")*$G$5+SUMIFS(Actuals!$G:$G,Actuals!$B:$B,$C$3,Actuals!$C:$C,7,Actuals!$D:$D,$B$434,Actuals!$A:$A,LEFT($D$434,FIND("|",$D$434&amp;"|")-1),Actuals!$E:$E,MID($D$434,FIND("|",$D$434&amp;"|")+1,50),Actuals!$F:$F,"GBP")*$H$5)</f>
        <v/>
      </c>
      <c r="O435" s="18">
        <f>IF(OR($B$434="",8&gt;$C$4),"",SUMIFS(Actuals!$G:$G,Actuals!$B:$B,$C$3,Actuals!$C:$C,8,Actuals!$D:$D,$B$434,Actuals!$A:$A,LEFT($D$434,FIND("|",$D$434&amp;"|")-1),Actuals!$E:$E,MID($D$434,FIND("|",$D$434&amp;"|")+1,50),Actuals!$F:$F,"JPY")*$E$5+SUMIFS(Actuals!$G:$G,Actuals!$B:$B,$C$3,Actuals!$C:$C,8,Actuals!$D:$D,$B$434,Actuals!$A:$A,LEFT($D$434,FIND("|",$D$434&amp;"|")-1),Actuals!$E:$E,MID($D$434,FIND("|",$D$434&amp;"|")+1,50),Actuals!$F:$F,"USD")*$F$5+SUMIFS(Actuals!$G:$G,Actuals!$B:$B,$C$3,Actuals!$C:$C,8,Actuals!$D:$D,$B$434,Actuals!$A:$A,LEFT($D$434,FIND("|",$D$434&amp;"|")-1),Actuals!$E:$E,MID($D$434,FIND("|",$D$434&amp;"|")+1,50),Actuals!$F:$F,"EUR")*$G$5+SUMIFS(Actuals!$G:$G,Actuals!$B:$B,$C$3,Actuals!$C:$C,8,Actuals!$D:$D,$B$434,Actuals!$A:$A,LEFT($D$434,FIND("|",$D$434&amp;"|")-1),Actuals!$E:$E,MID($D$434,FIND("|",$D$434&amp;"|")+1,50),Actuals!$F:$F,"GBP")*$H$5)</f>
        <v/>
      </c>
      <c r="P435" s="18">
        <f>IF(OR($B$434="",9&gt;$C$4),"",SUMIFS(Actuals!$G:$G,Actuals!$B:$B,$C$3,Actuals!$C:$C,9,Actuals!$D:$D,$B$434,Actuals!$A:$A,LEFT($D$434,FIND("|",$D$434&amp;"|")-1),Actuals!$E:$E,MID($D$434,FIND("|",$D$434&amp;"|")+1,50),Actuals!$F:$F,"JPY")*$E$5+SUMIFS(Actuals!$G:$G,Actuals!$B:$B,$C$3,Actuals!$C:$C,9,Actuals!$D:$D,$B$434,Actuals!$A:$A,LEFT($D$434,FIND("|",$D$434&amp;"|")-1),Actuals!$E:$E,MID($D$434,FIND("|",$D$434&amp;"|")+1,50),Actuals!$F:$F,"USD")*$F$5+SUMIFS(Actuals!$G:$G,Actuals!$B:$B,$C$3,Actuals!$C:$C,9,Actuals!$D:$D,$B$434,Actuals!$A:$A,LEFT($D$434,FIND("|",$D$434&amp;"|")-1),Actuals!$E:$E,MID($D$434,FIND("|",$D$434&amp;"|")+1,50),Actuals!$F:$F,"EUR")*$G$5+SUMIFS(Actuals!$G:$G,Actuals!$B:$B,$C$3,Actuals!$C:$C,9,Actuals!$D:$D,$B$434,Actuals!$A:$A,LEFT($D$434,FIND("|",$D$434&amp;"|")-1),Actuals!$E:$E,MID($D$434,FIND("|",$D$434&amp;"|")+1,50),Actuals!$F:$F,"GBP")*$H$5)</f>
        <v/>
      </c>
      <c r="Q435" s="18">
        <f>IF(OR($B$434="",10&gt;$C$4),"",SUMIFS(Actuals!$G:$G,Actuals!$B:$B,$C$3,Actuals!$C:$C,10,Actuals!$D:$D,$B$434,Actuals!$A:$A,LEFT($D$434,FIND("|",$D$434&amp;"|")-1),Actuals!$E:$E,MID($D$434,FIND("|",$D$434&amp;"|")+1,50),Actuals!$F:$F,"JPY")*$E$5+SUMIFS(Actuals!$G:$G,Actuals!$B:$B,$C$3,Actuals!$C:$C,10,Actuals!$D:$D,$B$434,Actuals!$A:$A,LEFT($D$434,FIND("|",$D$434&amp;"|")-1),Actuals!$E:$E,MID($D$434,FIND("|",$D$434&amp;"|")+1,50),Actuals!$F:$F,"USD")*$F$5+SUMIFS(Actuals!$G:$G,Actuals!$B:$B,$C$3,Actuals!$C:$C,10,Actuals!$D:$D,$B$434,Actuals!$A:$A,LEFT($D$434,FIND("|",$D$434&amp;"|")-1),Actuals!$E:$E,MID($D$434,FIND("|",$D$434&amp;"|")+1,50),Actuals!$F:$F,"EUR")*$G$5+SUMIFS(Actuals!$G:$G,Actuals!$B:$B,$C$3,Actuals!$C:$C,10,Actuals!$D:$D,$B$434,Actuals!$A:$A,LEFT($D$434,FIND("|",$D$434&amp;"|")-1),Actuals!$E:$E,MID($D$434,FIND("|",$D$434&amp;"|")+1,50),Actuals!$F:$F,"GBP")*$H$5)</f>
        <v/>
      </c>
      <c r="R435" s="18">
        <f>IF(OR($B$434="",11&gt;$C$4),"",SUMIFS(Actuals!$G:$G,Actuals!$B:$B,$C$3,Actuals!$C:$C,11,Actuals!$D:$D,$B$434,Actuals!$A:$A,LEFT($D$434,FIND("|",$D$434&amp;"|")-1),Actuals!$E:$E,MID($D$434,FIND("|",$D$434&amp;"|")+1,50),Actuals!$F:$F,"JPY")*$E$5+SUMIFS(Actuals!$G:$G,Actuals!$B:$B,$C$3,Actuals!$C:$C,11,Actuals!$D:$D,$B$434,Actuals!$A:$A,LEFT($D$434,FIND("|",$D$434&amp;"|")-1),Actuals!$E:$E,MID($D$434,FIND("|",$D$434&amp;"|")+1,50),Actuals!$F:$F,"USD")*$F$5+SUMIFS(Actuals!$G:$G,Actuals!$B:$B,$C$3,Actuals!$C:$C,11,Actuals!$D:$D,$B$434,Actuals!$A:$A,LEFT($D$434,FIND("|",$D$434&amp;"|")-1),Actuals!$E:$E,MID($D$434,FIND("|",$D$434&amp;"|")+1,50),Actuals!$F:$F,"EUR")*$G$5+SUMIFS(Actuals!$G:$G,Actuals!$B:$B,$C$3,Actuals!$C:$C,11,Actuals!$D:$D,$B$434,Actuals!$A:$A,LEFT($D$434,FIND("|",$D$434&amp;"|")-1),Actuals!$E:$E,MID($D$434,FIND("|",$D$434&amp;"|")+1,50),Actuals!$F:$F,"GBP")*$H$5)</f>
        <v/>
      </c>
      <c r="S435" s="18">
        <f>IF(OR($B$434="",12&gt;$C$4),"",SUMIFS(Actuals!$G:$G,Actuals!$B:$B,$C$3,Actuals!$C:$C,12,Actuals!$D:$D,$B$434,Actuals!$A:$A,LEFT($D$434,FIND("|",$D$434&amp;"|")-1),Actuals!$E:$E,MID($D$434,FIND("|",$D$434&amp;"|")+1,50),Actuals!$F:$F,"JPY")*$E$5+SUMIFS(Actuals!$G:$G,Actuals!$B:$B,$C$3,Actuals!$C:$C,12,Actuals!$D:$D,$B$434,Actuals!$A:$A,LEFT($D$434,FIND("|",$D$434&amp;"|")-1),Actuals!$E:$E,MID($D$434,FIND("|",$D$434&amp;"|")+1,50),Actuals!$F:$F,"USD")*$F$5+SUMIFS(Actuals!$G:$G,Actuals!$B:$B,$C$3,Actuals!$C:$C,12,Actuals!$D:$D,$B$434,Actuals!$A:$A,LEFT($D$434,FIND("|",$D$434&amp;"|")-1),Actuals!$E:$E,MID($D$434,FIND("|",$D$434&amp;"|")+1,50),Actuals!$F:$F,"EUR")*$G$5+SUMIFS(Actuals!$G:$G,Actuals!$B:$B,$C$3,Actuals!$C:$C,12,Actuals!$D:$D,$B$434,Actuals!$A:$A,LEFT($D$434,FIND("|",$D$434&amp;"|")-1),Actuals!$E:$E,MID($D$434,FIND("|",$D$434&amp;"|")+1,50),Actuals!$F:$F,"GBP")*$H$5)</f>
        <v/>
      </c>
      <c r="T435" s="18">
        <f>IF($B$434="","",SUMIF($H$7:$S$7,"&lt;="&amp;$C$4,$H435:$S435))</f>
        <v/>
      </c>
      <c r="U435" s="18" t="n"/>
      <c r="V435" s="18" t="n"/>
      <c r="X435" s="22">
        <f>IF($B435="","",IFERROR(INDEX(Cost_Centers!$E:$E,MATCH($B435,Cost_Centers!$A:$A,0)),"(unknown)"))</f>
        <v/>
      </c>
      <c r="Y435" s="22">
        <f>IF($B435="","",IFERROR(INDEX(Cost_Centers!$D:$D,MATCH($B435,Cost_Centers!$A:$A,0)),"(unknown)"))</f>
        <v/>
      </c>
      <c r="Z435" s="22">
        <f>IF(OR($B435="",$G435&lt;&gt;"Variance vs Budget"),"",ABS(N($V435))+ROW()/1000000000)</f>
        <v/>
      </c>
    </row>
    <row r="436">
      <c r="A436" s="13">
        <f>IF(A$434="","",A$434)</f>
        <v/>
      </c>
      <c r="B436" s="13">
        <f>IF(B$434="","",B$434)</f>
        <v/>
      </c>
      <c r="C436" s="13">
        <f>IF(C$434="","",C$434)</f>
        <v/>
      </c>
      <c r="D436" s="13">
        <f>IF(D$434="","",D$434)</f>
        <v/>
      </c>
      <c r="E436" s="13">
        <f>IF(E$434="","",E$434)</f>
        <v/>
      </c>
      <c r="F436" s="13">
        <f>IF(F$434="","",F$434)</f>
        <v/>
      </c>
      <c r="G436" s="6" t="inlineStr">
        <is>
          <t>Variance vs Budget</t>
        </is>
      </c>
      <c r="H436" s="33">
        <f>IF(OR($B$434="",1&gt;$C$4),"",N(H435)-H434)</f>
        <v/>
      </c>
      <c r="I436" s="33">
        <f>IF(OR($B$434="",2&gt;$C$4),"",N(I435)-I434)</f>
        <v/>
      </c>
      <c r="J436" s="33">
        <f>IF(OR($B$434="",3&gt;$C$4),"",N(J435)-J434)</f>
        <v/>
      </c>
      <c r="K436" s="33">
        <f>IF(OR($B$434="",4&gt;$C$4),"",N(K435)-K434)</f>
        <v/>
      </c>
      <c r="L436" s="33">
        <f>IF(OR($B$434="",5&gt;$C$4),"",N(L435)-L434)</f>
        <v/>
      </c>
      <c r="M436" s="33">
        <f>IF(OR($B$434="",6&gt;$C$4),"",N(M435)-M434)</f>
        <v/>
      </c>
      <c r="N436" s="33">
        <f>IF(OR($B$434="",7&gt;$C$4),"",N(N435)-N434)</f>
        <v/>
      </c>
      <c r="O436" s="33">
        <f>IF(OR($B$434="",8&gt;$C$4),"",N(O435)-O434)</f>
        <v/>
      </c>
      <c r="P436" s="33">
        <f>IF(OR($B$434="",9&gt;$C$4),"",N(P435)-P434)</f>
        <v/>
      </c>
      <c r="Q436" s="33">
        <f>IF(OR($B$434="",10&gt;$C$4),"",N(Q435)-Q434)</f>
        <v/>
      </c>
      <c r="R436" s="33">
        <f>IF(OR($B$434="",11&gt;$C$4),"",N(R435)-R434)</f>
        <v/>
      </c>
      <c r="S436" s="33">
        <f>IF(OR($B$434="",12&gt;$C$4),"",N(S435)-S434)</f>
        <v/>
      </c>
      <c r="T436" s="33">
        <f>IF($B$434="","",T435-T434)</f>
        <v/>
      </c>
      <c r="U436" s="33">
        <f>IF($B$434="","",U438-U434)</f>
        <v/>
      </c>
      <c r="V436" s="33">
        <f>IF($B$434="","",V438-V434)</f>
        <v/>
      </c>
      <c r="X436" s="22">
        <f>IF($B436="","",IFERROR(INDEX(Cost_Centers!$E:$E,MATCH($B436,Cost_Centers!$A:$A,0)),"(unknown)"))</f>
        <v/>
      </c>
      <c r="Y436" s="22">
        <f>IF($B436="","",IFERROR(INDEX(Cost_Centers!$D:$D,MATCH($B436,Cost_Centers!$A:$A,0)),"(unknown)"))</f>
        <v/>
      </c>
      <c r="Z436" s="22">
        <f>IF(OR($B436="",$G436&lt;&gt;"Variance vs Budget"),"",ABS(N($V436))+ROW()/1000000000)</f>
        <v/>
      </c>
    </row>
    <row r="437">
      <c r="A437" s="13">
        <f>IF(A$434="","",A$434)</f>
        <v/>
      </c>
      <c r="B437" s="13">
        <f>IF(B$434="","",B$434)</f>
        <v/>
      </c>
      <c r="C437" s="13">
        <f>IF(C$434="","",C$434)</f>
        <v/>
      </c>
      <c r="D437" s="13">
        <f>IF(D$434="","",D$434)</f>
        <v/>
      </c>
      <c r="E437" s="13">
        <f>IF(E$434="","",E$434)</f>
        <v/>
      </c>
      <c r="F437" s="13">
        <f>IF(F$434="","",F$434)</f>
        <v/>
      </c>
      <c r="G437" s="7" t="inlineStr">
        <is>
          <t>Forecast (input)</t>
        </is>
      </c>
      <c r="H437" s="34" t="n"/>
      <c r="I437" s="34" t="n"/>
      <c r="J437" s="34" t="n"/>
      <c r="K437" s="34" t="n"/>
      <c r="L437" s="34" t="n"/>
      <c r="M437" s="34" t="n"/>
      <c r="N437" s="34" t="n"/>
      <c r="O437" s="34" t="n"/>
      <c r="P437" s="34" t="n"/>
      <c r="Q437" s="34" t="n"/>
      <c r="R437" s="34" t="n"/>
      <c r="S437" s="34" t="n"/>
      <c r="T437" s="18" t="n"/>
      <c r="U437" s="18" t="n"/>
      <c r="V437" s="18" t="n"/>
      <c r="X437" s="22">
        <f>IF($B437="","",IFERROR(INDEX(Cost_Centers!$E:$E,MATCH($B437,Cost_Centers!$A:$A,0)),"(unknown)"))</f>
        <v/>
      </c>
      <c r="Y437" s="22">
        <f>IF($B437="","",IFERROR(INDEX(Cost_Centers!$D:$D,MATCH($B437,Cost_Centers!$A:$A,0)),"(unknown)"))</f>
        <v/>
      </c>
      <c r="Z437" s="22">
        <f>IF(OR($B437="",$G437&lt;&gt;"Variance vs Budget"),"",ABS(N($V437))+ROW()/1000000000)</f>
        <v/>
      </c>
    </row>
    <row r="438">
      <c r="A438" s="13">
        <f>IF(A$434="","",A$434)</f>
        <v/>
      </c>
      <c r="B438" s="13">
        <f>IF(B$434="","",B$434)</f>
        <v/>
      </c>
      <c r="C438" s="13">
        <f>IF(C$434="","",C$434)</f>
        <v/>
      </c>
      <c r="D438" s="13">
        <f>IF(D$434="","",D$434)</f>
        <v/>
      </c>
      <c r="E438" s="13">
        <f>IF(E$434="","",E$434)</f>
        <v/>
      </c>
      <c r="F438" s="13">
        <f>IF(F$434="","",F$434)</f>
        <v/>
      </c>
      <c r="G438" s="35" t="inlineStr">
        <is>
          <t>Actual + Forecast</t>
        </is>
      </c>
      <c r="H438" s="18">
        <f>IF($B$434="","",IF(1&lt;=$C$4,N(H435),IF(H437="",H434,H437)))</f>
        <v/>
      </c>
      <c r="I438" s="18">
        <f>IF($B$434="","",IF(2&lt;=$C$4,N(I435),IF(I437="",I434,I437)))</f>
        <v/>
      </c>
      <c r="J438" s="18">
        <f>IF($B$434="","",IF(3&lt;=$C$4,N(J435),IF(J437="",J434,J437)))</f>
        <v/>
      </c>
      <c r="K438" s="18">
        <f>IF($B$434="","",IF(4&lt;=$C$4,N(K435),IF(K437="",K434,K437)))</f>
        <v/>
      </c>
      <c r="L438" s="18">
        <f>IF($B$434="","",IF(5&lt;=$C$4,N(L435),IF(L437="",L434,L437)))</f>
        <v/>
      </c>
      <c r="M438" s="18">
        <f>IF($B$434="","",IF(6&lt;=$C$4,N(M435),IF(M437="",M434,M437)))</f>
        <v/>
      </c>
      <c r="N438" s="18">
        <f>IF($B$434="","",IF(7&lt;=$C$4,N(N435),IF(N437="",N434,N437)))</f>
        <v/>
      </c>
      <c r="O438" s="18">
        <f>IF($B$434="","",IF(8&lt;=$C$4,N(O435),IF(O437="",O434,O437)))</f>
        <v/>
      </c>
      <c r="P438" s="18">
        <f>IF($B$434="","",IF(9&lt;=$C$4,N(P435),IF(P437="",P434,P437)))</f>
        <v/>
      </c>
      <c r="Q438" s="18">
        <f>IF($B$434="","",IF(10&lt;=$C$4,N(Q435),IF(Q437="",Q434,Q437)))</f>
        <v/>
      </c>
      <c r="R438" s="18">
        <f>IF($B$434="","",IF(11&lt;=$C$4,N(R435),IF(R437="",R434,R437)))</f>
        <v/>
      </c>
      <c r="S438" s="18">
        <f>IF($B$434="","",IF(12&lt;=$C$4,N(S435),IF(S437="",S434,S437)))</f>
        <v/>
      </c>
      <c r="T438" s="18">
        <f>IF($B$434="","",SUMIF($H$7:$S$7,"&lt;="&amp;$C$4,$H438:$S438))</f>
        <v/>
      </c>
      <c r="U438" s="18">
        <f>IF($B$434="","",SUMIF($H$7:$S$7,"&gt;"&amp;$C$4,$H438:$S438))</f>
        <v/>
      </c>
      <c r="V438" s="18">
        <f>IF($B$434="","",SUM($H438:$S438))</f>
        <v/>
      </c>
      <c r="X438" s="22">
        <f>IF($B438="","",IFERROR(INDEX(Cost_Centers!$E:$E,MATCH($B438,Cost_Centers!$A:$A,0)),"(unknown)"))</f>
        <v/>
      </c>
      <c r="Y438" s="22">
        <f>IF($B438="","",IFERROR(INDEX(Cost_Centers!$D:$D,MATCH($B438,Cost_Centers!$A:$A,0)),"(unknown)"))</f>
        <v/>
      </c>
      <c r="Z438" s="22">
        <f>IF(OR($B438="",$G438&lt;&gt;"Variance vs Budget"),"",ABS(N($V438))+ROW()/1000000000)</f>
        <v/>
      </c>
    </row>
    <row r="439">
      <c r="A439" s="13">
        <f>IF(A$434="","",A$434)</f>
        <v/>
      </c>
      <c r="B439" s="13">
        <f>IF(B$434="","",B$434)</f>
        <v/>
      </c>
      <c r="C439" s="13">
        <f>IF(C$434="","",C$434)</f>
        <v/>
      </c>
      <c r="D439" s="13">
        <f>IF(D$434="","",D$434)</f>
        <v/>
      </c>
      <c r="E439" s="13">
        <f>IF(E$434="","",E$434)</f>
        <v/>
      </c>
      <c r="F439" s="13">
        <f>IF(F$434="","",F$434)</f>
        <v/>
      </c>
      <c r="G439" s="36" t="inlineStr">
        <is>
          <t>Prior Month Forecast</t>
        </is>
      </c>
      <c r="H439" s="37">
        <f>IF($B$434="","",IF(COUNTIFS(Prior_Forecast!$A:$A,$B$434,Prior_Forecast!$B:$B,$D$434)&gt;0,SUMIFS(Prior_Forecast!$C:$C,Prior_Forecast!$A:$A,$B$434,Prior_Forecast!$B:$B,$D$434),""))</f>
        <v/>
      </c>
      <c r="I439" s="37">
        <f>IF($B$434="","",IF(COUNTIFS(Prior_Forecast!$A:$A,$B$434,Prior_Forecast!$B:$B,$D$434)&gt;0,SUMIFS(Prior_Forecast!$D:$D,Prior_Forecast!$A:$A,$B$434,Prior_Forecast!$B:$B,$D$434),""))</f>
        <v/>
      </c>
      <c r="J439" s="37">
        <f>IF($B$434="","",IF(COUNTIFS(Prior_Forecast!$A:$A,$B$434,Prior_Forecast!$B:$B,$D$434)&gt;0,SUMIFS(Prior_Forecast!$E:$E,Prior_Forecast!$A:$A,$B$434,Prior_Forecast!$B:$B,$D$434),""))</f>
        <v/>
      </c>
      <c r="K439" s="37">
        <f>IF($B$434="","",IF(COUNTIFS(Prior_Forecast!$A:$A,$B$434,Prior_Forecast!$B:$B,$D$434)&gt;0,SUMIFS(Prior_Forecast!$F:$F,Prior_Forecast!$A:$A,$B$434,Prior_Forecast!$B:$B,$D$434),""))</f>
        <v/>
      </c>
      <c r="L439" s="37">
        <f>IF($B$434="","",IF(COUNTIFS(Prior_Forecast!$A:$A,$B$434,Prior_Forecast!$B:$B,$D$434)&gt;0,SUMIFS(Prior_Forecast!$G:$G,Prior_Forecast!$A:$A,$B$434,Prior_Forecast!$B:$B,$D$434),""))</f>
        <v/>
      </c>
      <c r="M439" s="37">
        <f>IF($B$434="","",IF(COUNTIFS(Prior_Forecast!$A:$A,$B$434,Prior_Forecast!$B:$B,$D$434)&gt;0,SUMIFS(Prior_Forecast!$H:$H,Prior_Forecast!$A:$A,$B$434,Prior_Forecast!$B:$B,$D$434),""))</f>
        <v/>
      </c>
      <c r="N439" s="37">
        <f>IF($B$434="","",IF(COUNTIFS(Prior_Forecast!$A:$A,$B$434,Prior_Forecast!$B:$B,$D$434)&gt;0,SUMIFS(Prior_Forecast!$I:$I,Prior_Forecast!$A:$A,$B$434,Prior_Forecast!$B:$B,$D$434),""))</f>
        <v/>
      </c>
      <c r="O439" s="37">
        <f>IF($B$434="","",IF(COUNTIFS(Prior_Forecast!$A:$A,$B$434,Prior_Forecast!$B:$B,$D$434)&gt;0,SUMIFS(Prior_Forecast!$J:$J,Prior_Forecast!$A:$A,$B$434,Prior_Forecast!$B:$B,$D$434),""))</f>
        <v/>
      </c>
      <c r="P439" s="37">
        <f>IF($B$434="","",IF(COUNTIFS(Prior_Forecast!$A:$A,$B$434,Prior_Forecast!$B:$B,$D$434)&gt;0,SUMIFS(Prior_Forecast!$K:$K,Prior_Forecast!$A:$A,$B$434,Prior_Forecast!$B:$B,$D$434),""))</f>
        <v/>
      </c>
      <c r="Q439" s="37">
        <f>IF($B$434="","",IF(COUNTIFS(Prior_Forecast!$A:$A,$B$434,Prior_Forecast!$B:$B,$D$434)&gt;0,SUMIFS(Prior_Forecast!$L:$L,Prior_Forecast!$A:$A,$B$434,Prior_Forecast!$B:$B,$D$434),""))</f>
        <v/>
      </c>
      <c r="R439" s="37">
        <f>IF($B$434="","",IF(COUNTIFS(Prior_Forecast!$A:$A,$B$434,Prior_Forecast!$B:$B,$D$434)&gt;0,SUMIFS(Prior_Forecast!$M:$M,Prior_Forecast!$A:$A,$B$434,Prior_Forecast!$B:$B,$D$434),""))</f>
        <v/>
      </c>
      <c r="S439" s="37">
        <f>IF($B$434="","",IF(COUNTIFS(Prior_Forecast!$A:$A,$B$434,Prior_Forecast!$B:$B,$D$434)&gt;0,SUMIFS(Prior_Forecast!$N:$N,Prior_Forecast!$A:$A,$B$434,Prior_Forecast!$B:$B,$D$434),""))</f>
        <v/>
      </c>
      <c r="T439" s="37">
        <f>IF($B$434="","",IF(COUNTIFS(Prior_Forecast!$A:$A,$B$434,Prior_Forecast!$B:$B,$D$434)&gt;0,SUMIFS(Prior_Forecast!$O:$O,Prior_Forecast!$A:$A,$B$434,Prior_Forecast!$B:$B,$D$434),""))</f>
        <v/>
      </c>
      <c r="U439" s="37">
        <f>IF($B$434="","",IF(COUNTIFS(Prior_Forecast!$A:$A,$B$434,Prior_Forecast!$B:$B,$D$434)&gt;0,SUMIFS(Prior_Forecast!$P:$P,Prior_Forecast!$A:$A,$B$434,Prior_Forecast!$B:$B,$D$434),""))</f>
        <v/>
      </c>
      <c r="V439" s="37">
        <f>IF($B$434="","",IF(COUNTIFS(Prior_Forecast!$A:$A,$B$434,Prior_Forecast!$B:$B,$D$434)&gt;0,SUMIFS(Prior_Forecast!$Q:$Q,Prior_Forecast!$A:$A,$B$434,Prior_Forecast!$B:$B,$D$434),""))</f>
        <v/>
      </c>
      <c r="X439" s="22">
        <f>IF($B439="","",IFERROR(INDEX(Cost_Centers!$E:$E,MATCH($B439,Cost_Centers!$A:$A,0)),"(unknown)"))</f>
        <v/>
      </c>
      <c r="Y439" s="22">
        <f>IF($B439="","",IFERROR(INDEX(Cost_Centers!$D:$D,MATCH($B439,Cost_Centers!$A:$A,0)),"(unknown)"))</f>
        <v/>
      </c>
      <c r="Z439" s="22">
        <f>IF(OR($B439="",$G439&lt;&gt;"Variance vs Budget"),"",ABS(N($V439))+ROW()/1000000000)</f>
        <v/>
      </c>
    </row>
    <row r="440">
      <c r="A440" s="13">
        <f>IF(A$434="","",A$434)</f>
        <v/>
      </c>
      <c r="B440" s="13">
        <f>IF(B$434="","",B$434)</f>
        <v/>
      </c>
      <c r="C440" s="13">
        <f>IF(C$434="","",C$434)</f>
        <v/>
      </c>
      <c r="D440" s="13">
        <f>IF(D$434="","",D$434)</f>
        <v/>
      </c>
      <c r="E440" s="13">
        <f>IF(E$434="","",E$434)</f>
        <v/>
      </c>
      <c r="F440" s="13">
        <f>IF(F$434="","",F$434)</f>
        <v/>
      </c>
      <c r="G440" s="6" t="inlineStr">
        <is>
          <t>Variance vs Prior Month</t>
        </is>
      </c>
      <c r="H440" s="33">
        <f>IF(OR($B$434="",H439=""),"",H438-H439)</f>
        <v/>
      </c>
      <c r="I440" s="33">
        <f>IF(OR($B$434="",I439=""),"",I438-I439)</f>
        <v/>
      </c>
      <c r="J440" s="33">
        <f>IF(OR($B$434="",J439=""),"",J438-J439)</f>
        <v/>
      </c>
      <c r="K440" s="33">
        <f>IF(OR($B$434="",K439=""),"",K438-K439)</f>
        <v/>
      </c>
      <c r="L440" s="33">
        <f>IF(OR($B$434="",L439=""),"",L438-L439)</f>
        <v/>
      </c>
      <c r="M440" s="33">
        <f>IF(OR($B$434="",M439=""),"",M438-M439)</f>
        <v/>
      </c>
      <c r="N440" s="33">
        <f>IF(OR($B$434="",N439=""),"",N438-N439)</f>
        <v/>
      </c>
      <c r="O440" s="33">
        <f>IF(OR($B$434="",O439=""),"",O438-O439)</f>
        <v/>
      </c>
      <c r="P440" s="33">
        <f>IF(OR($B$434="",P439=""),"",P438-P439)</f>
        <v/>
      </c>
      <c r="Q440" s="33">
        <f>IF(OR($B$434="",Q439=""),"",Q438-Q439)</f>
        <v/>
      </c>
      <c r="R440" s="33">
        <f>IF(OR($B$434="",R439=""),"",R438-R439)</f>
        <v/>
      </c>
      <c r="S440" s="33">
        <f>IF(OR($B$434="",S439=""),"",S438-S439)</f>
        <v/>
      </c>
      <c r="T440" s="33">
        <f>IF(OR($B$434="",T439=""),"",T438-T439)</f>
        <v/>
      </c>
      <c r="U440" s="33">
        <f>IF(OR($B$434="",U439=""),"",U438-U439)</f>
        <v/>
      </c>
      <c r="V440" s="33">
        <f>IF(OR($B$434="",V439=""),"",V438-V439)</f>
        <v/>
      </c>
      <c r="X440" s="22">
        <f>IF($B440="","",IFERROR(INDEX(Cost_Centers!$E:$E,MATCH($B440,Cost_Centers!$A:$A,0)),"(unknown)"))</f>
        <v/>
      </c>
      <c r="Y440" s="22">
        <f>IF($B440="","",IFERROR(INDEX(Cost_Centers!$D:$D,MATCH($B440,Cost_Centers!$A:$A,0)),"(unknown)"))</f>
        <v/>
      </c>
      <c r="Z440" s="22">
        <f>IF(OR($B440="",$G440&lt;&gt;"Variance vs Budget"),"",ABS(N($V440))+ROW()/1000000000)</f>
        <v/>
      </c>
    </row>
    <row r="441" ht="45" customHeight="1">
      <c r="A441" s="13">
        <f>IF(A$434="","",A$434)</f>
        <v/>
      </c>
      <c r="B441" s="13">
        <f>IF(B$434="","",B$434)</f>
        <v/>
      </c>
      <c r="C441" s="13">
        <f>IF(C$434="","",C$434)</f>
        <v/>
      </c>
      <c r="D441" s="13">
        <f>IF(D$434="","",D$434)</f>
        <v/>
      </c>
      <c r="E441" s="13">
        <f>IF(E$434="","",E$434)</f>
        <v/>
      </c>
      <c r="F441" s="13">
        <f>IF(F$434="","",F$434)</f>
        <v/>
      </c>
      <c r="G441" s="7" t="inlineStr">
        <is>
          <t>Rationale</t>
        </is>
      </c>
      <c r="H441" s="38" t="n"/>
      <c r="I441" s="38" t="n"/>
      <c r="J441" s="38" t="n"/>
      <c r="K441" s="38" t="n"/>
      <c r="L441" s="38" t="n"/>
      <c r="M441" s="38" t="n"/>
      <c r="N441" s="38" t="n"/>
      <c r="O441" s="38" t="n"/>
      <c r="P441" s="38" t="n"/>
      <c r="Q441" s="38" t="n"/>
      <c r="R441" s="38" t="n"/>
      <c r="S441" s="38" t="n"/>
      <c r="T441" s="38" t="n"/>
      <c r="U441" s="38" t="n"/>
      <c r="V441" s="7" t="n"/>
      <c r="X441" s="22">
        <f>IF($B441="","",IFERROR(INDEX(Cost_Centers!$E:$E,MATCH($B441,Cost_Centers!$A:$A,0)),"(unknown)"))</f>
        <v/>
      </c>
      <c r="Y441" s="22">
        <f>IF($B441="","",IFERROR(INDEX(Cost_Centers!$D:$D,MATCH($B441,Cost_Centers!$A:$A,0)),"(unknown)"))</f>
        <v/>
      </c>
      <c r="Z441" s="22">
        <f>IF(OR($B441="",$G441&lt;&gt;"Variance vs Budget"),"",ABS(N($V441))+ROW()/1000000000)</f>
        <v/>
      </c>
    </row>
    <row r="442">
      <c r="A442" s="30">
        <f>IF($D$442="","",LEFT($D$442,FIND("|",$D$442&amp;"|")-1))</f>
        <v/>
      </c>
      <c r="B442" s="31" t="n"/>
      <c r="C442" s="30">
        <f>IF($B$442="","",IFERROR(INDEX(Cost_Centers!$B:$B,MATCH($B$442,Cost_Centers!$A:$A,0)),"(not in master)"))</f>
        <v/>
      </c>
      <c r="D442" s="31" t="n"/>
      <c r="E442" s="30">
        <f>IF($D$442="","",IFERROR(INDEX(Accounts!$D:$D,MATCH($D$442,Accounts!$A:$A,0)),"(not in master)"))</f>
        <v/>
      </c>
      <c r="F442" s="31" t="n"/>
      <c r="G442" s="30" t="inlineStr">
        <is>
          <t>Budget</t>
        </is>
      </c>
      <c r="H442" s="32">
        <f>IF($B$442="","",SUMIFS(Opex_Budget!$O:$O,Opex_Budget!$A:$A,$C$3,Opex_Budget!$E:$E,$B$442,Opex_Budget!$F:$F,$D$442,Opex_Budget!$N:$N,"JPY")*$E$5+SUMIFS(Opex_Budget!$O:$O,Opex_Budget!$A:$A,$C$3,Opex_Budget!$E:$E,$B$442,Opex_Budget!$F:$F,$D$442,Opex_Budget!$N:$N,"USD")*$F$5+SUMIFS(Opex_Budget!$O:$O,Opex_Budget!$A:$A,$C$3,Opex_Budget!$E:$E,$B$442,Opex_Budget!$F:$F,$D$442,Opex_Budget!$N:$N,"EUR")*$G$5+SUMIFS(Opex_Budget!$O:$O,Opex_Budget!$A:$A,$C$3,Opex_Budget!$E:$E,$B$442,Opex_Budget!$F:$F,$D$442,Opex_Budget!$N:$N,"GBP")*$H$5)</f>
        <v/>
      </c>
      <c r="I442" s="32">
        <f>IF($B$442="","",SUMIFS(Opex_Budget!$P:$P,Opex_Budget!$A:$A,$C$3,Opex_Budget!$E:$E,$B$442,Opex_Budget!$F:$F,$D$442,Opex_Budget!$N:$N,"JPY")*$E$5+SUMIFS(Opex_Budget!$P:$P,Opex_Budget!$A:$A,$C$3,Opex_Budget!$E:$E,$B$442,Opex_Budget!$F:$F,$D$442,Opex_Budget!$N:$N,"USD")*$F$5+SUMIFS(Opex_Budget!$P:$P,Opex_Budget!$A:$A,$C$3,Opex_Budget!$E:$E,$B$442,Opex_Budget!$F:$F,$D$442,Opex_Budget!$N:$N,"EUR")*$G$5+SUMIFS(Opex_Budget!$P:$P,Opex_Budget!$A:$A,$C$3,Opex_Budget!$E:$E,$B$442,Opex_Budget!$F:$F,$D$442,Opex_Budget!$N:$N,"GBP")*$H$5)</f>
        <v/>
      </c>
      <c r="J442" s="32">
        <f>IF($B$442="","",SUMIFS(Opex_Budget!$Q:$Q,Opex_Budget!$A:$A,$C$3,Opex_Budget!$E:$E,$B$442,Opex_Budget!$F:$F,$D$442,Opex_Budget!$N:$N,"JPY")*$E$5+SUMIFS(Opex_Budget!$Q:$Q,Opex_Budget!$A:$A,$C$3,Opex_Budget!$E:$E,$B$442,Opex_Budget!$F:$F,$D$442,Opex_Budget!$N:$N,"USD")*$F$5+SUMIFS(Opex_Budget!$Q:$Q,Opex_Budget!$A:$A,$C$3,Opex_Budget!$E:$E,$B$442,Opex_Budget!$F:$F,$D$442,Opex_Budget!$N:$N,"EUR")*$G$5+SUMIFS(Opex_Budget!$Q:$Q,Opex_Budget!$A:$A,$C$3,Opex_Budget!$E:$E,$B$442,Opex_Budget!$F:$F,$D$442,Opex_Budget!$N:$N,"GBP")*$H$5)</f>
        <v/>
      </c>
      <c r="K442" s="32">
        <f>IF($B$442="","",SUMIFS(Opex_Budget!$R:$R,Opex_Budget!$A:$A,$C$3,Opex_Budget!$E:$E,$B$442,Opex_Budget!$F:$F,$D$442,Opex_Budget!$N:$N,"JPY")*$E$5+SUMIFS(Opex_Budget!$R:$R,Opex_Budget!$A:$A,$C$3,Opex_Budget!$E:$E,$B$442,Opex_Budget!$F:$F,$D$442,Opex_Budget!$N:$N,"USD")*$F$5+SUMIFS(Opex_Budget!$R:$R,Opex_Budget!$A:$A,$C$3,Opex_Budget!$E:$E,$B$442,Opex_Budget!$F:$F,$D$442,Opex_Budget!$N:$N,"EUR")*$G$5+SUMIFS(Opex_Budget!$R:$R,Opex_Budget!$A:$A,$C$3,Opex_Budget!$E:$E,$B$442,Opex_Budget!$F:$F,$D$442,Opex_Budget!$N:$N,"GBP")*$H$5)</f>
        <v/>
      </c>
      <c r="L442" s="32">
        <f>IF($B$442="","",SUMIFS(Opex_Budget!$S:$S,Opex_Budget!$A:$A,$C$3,Opex_Budget!$E:$E,$B$442,Opex_Budget!$F:$F,$D$442,Opex_Budget!$N:$N,"JPY")*$E$5+SUMIFS(Opex_Budget!$S:$S,Opex_Budget!$A:$A,$C$3,Opex_Budget!$E:$E,$B$442,Opex_Budget!$F:$F,$D$442,Opex_Budget!$N:$N,"USD")*$F$5+SUMIFS(Opex_Budget!$S:$S,Opex_Budget!$A:$A,$C$3,Opex_Budget!$E:$E,$B$442,Opex_Budget!$F:$F,$D$442,Opex_Budget!$N:$N,"EUR")*$G$5+SUMIFS(Opex_Budget!$S:$S,Opex_Budget!$A:$A,$C$3,Opex_Budget!$E:$E,$B$442,Opex_Budget!$F:$F,$D$442,Opex_Budget!$N:$N,"GBP")*$H$5)</f>
        <v/>
      </c>
      <c r="M442" s="32">
        <f>IF($B$442="","",SUMIFS(Opex_Budget!$T:$T,Opex_Budget!$A:$A,$C$3,Opex_Budget!$E:$E,$B$442,Opex_Budget!$F:$F,$D$442,Opex_Budget!$N:$N,"JPY")*$E$5+SUMIFS(Opex_Budget!$T:$T,Opex_Budget!$A:$A,$C$3,Opex_Budget!$E:$E,$B$442,Opex_Budget!$F:$F,$D$442,Opex_Budget!$N:$N,"USD")*$F$5+SUMIFS(Opex_Budget!$T:$T,Opex_Budget!$A:$A,$C$3,Opex_Budget!$E:$E,$B$442,Opex_Budget!$F:$F,$D$442,Opex_Budget!$N:$N,"EUR")*$G$5+SUMIFS(Opex_Budget!$T:$T,Opex_Budget!$A:$A,$C$3,Opex_Budget!$E:$E,$B$442,Opex_Budget!$F:$F,$D$442,Opex_Budget!$N:$N,"GBP")*$H$5)</f>
        <v/>
      </c>
      <c r="N442" s="32">
        <f>IF($B$442="","",SUMIFS(Opex_Budget!$U:$U,Opex_Budget!$A:$A,$C$3,Opex_Budget!$E:$E,$B$442,Opex_Budget!$F:$F,$D$442,Opex_Budget!$N:$N,"JPY")*$E$5+SUMIFS(Opex_Budget!$U:$U,Opex_Budget!$A:$A,$C$3,Opex_Budget!$E:$E,$B$442,Opex_Budget!$F:$F,$D$442,Opex_Budget!$N:$N,"USD")*$F$5+SUMIFS(Opex_Budget!$U:$U,Opex_Budget!$A:$A,$C$3,Opex_Budget!$E:$E,$B$442,Opex_Budget!$F:$F,$D$442,Opex_Budget!$N:$N,"EUR")*$G$5+SUMIFS(Opex_Budget!$U:$U,Opex_Budget!$A:$A,$C$3,Opex_Budget!$E:$E,$B$442,Opex_Budget!$F:$F,$D$442,Opex_Budget!$N:$N,"GBP")*$H$5)</f>
        <v/>
      </c>
      <c r="O442" s="32">
        <f>IF($B$442="","",SUMIFS(Opex_Budget!$V:$V,Opex_Budget!$A:$A,$C$3,Opex_Budget!$E:$E,$B$442,Opex_Budget!$F:$F,$D$442,Opex_Budget!$N:$N,"JPY")*$E$5+SUMIFS(Opex_Budget!$V:$V,Opex_Budget!$A:$A,$C$3,Opex_Budget!$E:$E,$B$442,Opex_Budget!$F:$F,$D$442,Opex_Budget!$N:$N,"USD")*$F$5+SUMIFS(Opex_Budget!$V:$V,Opex_Budget!$A:$A,$C$3,Opex_Budget!$E:$E,$B$442,Opex_Budget!$F:$F,$D$442,Opex_Budget!$N:$N,"EUR")*$G$5+SUMIFS(Opex_Budget!$V:$V,Opex_Budget!$A:$A,$C$3,Opex_Budget!$E:$E,$B$442,Opex_Budget!$F:$F,$D$442,Opex_Budget!$N:$N,"GBP")*$H$5)</f>
        <v/>
      </c>
      <c r="P442" s="32">
        <f>IF($B$442="","",SUMIFS(Opex_Budget!$W:$W,Opex_Budget!$A:$A,$C$3,Opex_Budget!$E:$E,$B$442,Opex_Budget!$F:$F,$D$442,Opex_Budget!$N:$N,"JPY")*$E$5+SUMIFS(Opex_Budget!$W:$W,Opex_Budget!$A:$A,$C$3,Opex_Budget!$E:$E,$B$442,Opex_Budget!$F:$F,$D$442,Opex_Budget!$N:$N,"USD")*$F$5+SUMIFS(Opex_Budget!$W:$W,Opex_Budget!$A:$A,$C$3,Opex_Budget!$E:$E,$B$442,Opex_Budget!$F:$F,$D$442,Opex_Budget!$N:$N,"EUR")*$G$5+SUMIFS(Opex_Budget!$W:$W,Opex_Budget!$A:$A,$C$3,Opex_Budget!$E:$E,$B$442,Opex_Budget!$F:$F,$D$442,Opex_Budget!$N:$N,"GBP")*$H$5)</f>
        <v/>
      </c>
      <c r="Q442" s="32">
        <f>IF($B$442="","",SUMIFS(Opex_Budget!$X:$X,Opex_Budget!$A:$A,$C$3,Opex_Budget!$E:$E,$B$442,Opex_Budget!$F:$F,$D$442,Opex_Budget!$N:$N,"JPY")*$E$5+SUMIFS(Opex_Budget!$X:$X,Opex_Budget!$A:$A,$C$3,Opex_Budget!$E:$E,$B$442,Opex_Budget!$F:$F,$D$442,Opex_Budget!$N:$N,"USD")*$F$5+SUMIFS(Opex_Budget!$X:$X,Opex_Budget!$A:$A,$C$3,Opex_Budget!$E:$E,$B$442,Opex_Budget!$F:$F,$D$442,Opex_Budget!$N:$N,"EUR")*$G$5+SUMIFS(Opex_Budget!$X:$X,Opex_Budget!$A:$A,$C$3,Opex_Budget!$E:$E,$B$442,Opex_Budget!$F:$F,$D$442,Opex_Budget!$N:$N,"GBP")*$H$5)</f>
        <v/>
      </c>
      <c r="R442" s="32">
        <f>IF($B$442="","",SUMIFS(Opex_Budget!$Y:$Y,Opex_Budget!$A:$A,$C$3,Opex_Budget!$E:$E,$B$442,Opex_Budget!$F:$F,$D$442,Opex_Budget!$N:$N,"JPY")*$E$5+SUMIFS(Opex_Budget!$Y:$Y,Opex_Budget!$A:$A,$C$3,Opex_Budget!$E:$E,$B$442,Opex_Budget!$F:$F,$D$442,Opex_Budget!$N:$N,"USD")*$F$5+SUMIFS(Opex_Budget!$Y:$Y,Opex_Budget!$A:$A,$C$3,Opex_Budget!$E:$E,$B$442,Opex_Budget!$F:$F,$D$442,Opex_Budget!$N:$N,"EUR")*$G$5+SUMIFS(Opex_Budget!$Y:$Y,Opex_Budget!$A:$A,$C$3,Opex_Budget!$E:$E,$B$442,Opex_Budget!$F:$F,$D$442,Opex_Budget!$N:$N,"GBP")*$H$5)</f>
        <v/>
      </c>
      <c r="S442" s="32">
        <f>IF($B$442="","",SUMIFS(Opex_Budget!$Z:$Z,Opex_Budget!$A:$A,$C$3,Opex_Budget!$E:$E,$B$442,Opex_Budget!$F:$F,$D$442,Opex_Budget!$N:$N,"JPY")*$E$5+SUMIFS(Opex_Budget!$Z:$Z,Opex_Budget!$A:$A,$C$3,Opex_Budget!$E:$E,$B$442,Opex_Budget!$F:$F,$D$442,Opex_Budget!$N:$N,"USD")*$F$5+SUMIFS(Opex_Budget!$Z:$Z,Opex_Budget!$A:$A,$C$3,Opex_Budget!$E:$E,$B$442,Opex_Budget!$F:$F,$D$442,Opex_Budget!$N:$N,"EUR")*$G$5+SUMIFS(Opex_Budget!$Z:$Z,Opex_Budget!$A:$A,$C$3,Opex_Budget!$E:$E,$B$442,Opex_Budget!$F:$F,$D$442,Opex_Budget!$N:$N,"GBP")*$H$5)</f>
        <v/>
      </c>
      <c r="T442" s="32">
        <f>IF($B$442="","",SUMIF($H$7:$S$7,"&lt;="&amp;$C$4,$H442:$S442))</f>
        <v/>
      </c>
      <c r="U442" s="32">
        <f>IF($B$442="","",SUMIF($H$7:$S$7,"&gt;"&amp;$C$4,$H442:$S442))</f>
        <v/>
      </c>
      <c r="V442" s="32">
        <f>IF($B$442="","",SUM($H442:$S442))</f>
        <v/>
      </c>
      <c r="X442" s="22">
        <f>IF($B442="","",IFERROR(INDEX(Cost_Centers!$E:$E,MATCH($B442,Cost_Centers!$A:$A,0)),"(unknown)"))</f>
        <v/>
      </c>
      <c r="Y442" s="22">
        <f>IF($B442="","",IFERROR(INDEX(Cost_Centers!$D:$D,MATCH($B442,Cost_Centers!$A:$A,0)),"(unknown)"))</f>
        <v/>
      </c>
      <c r="Z442" s="22">
        <f>IF(OR($B442="",$G442&lt;&gt;"Variance vs Budget"),"",ABS(N($V442))+ROW()/1000000000)</f>
        <v/>
      </c>
    </row>
    <row r="443">
      <c r="A443" s="13">
        <f>IF(A$442="","",A$442)</f>
        <v/>
      </c>
      <c r="B443" s="13">
        <f>IF(B$442="","",B$442)</f>
        <v/>
      </c>
      <c r="C443" s="13">
        <f>IF(C$442="","",C$442)</f>
        <v/>
      </c>
      <c r="D443" s="13">
        <f>IF(D$442="","",D$442)</f>
        <v/>
      </c>
      <c r="E443" s="13">
        <f>IF(E$442="","",E$442)</f>
        <v/>
      </c>
      <c r="F443" s="13">
        <f>IF(F$442="","",F$442)</f>
        <v/>
      </c>
      <c r="G443" s="7" t="inlineStr">
        <is>
          <t>Actual</t>
        </is>
      </c>
      <c r="H443" s="18">
        <f>IF(OR($B$442="",1&gt;$C$4),"",SUMIFS(Actuals!$G:$G,Actuals!$B:$B,$C$3,Actuals!$C:$C,1,Actuals!$D:$D,$B$442,Actuals!$A:$A,LEFT($D$442,FIND("|",$D$442&amp;"|")-1),Actuals!$E:$E,MID($D$442,FIND("|",$D$442&amp;"|")+1,50),Actuals!$F:$F,"JPY")*$E$5+SUMIFS(Actuals!$G:$G,Actuals!$B:$B,$C$3,Actuals!$C:$C,1,Actuals!$D:$D,$B$442,Actuals!$A:$A,LEFT($D$442,FIND("|",$D$442&amp;"|")-1),Actuals!$E:$E,MID($D$442,FIND("|",$D$442&amp;"|")+1,50),Actuals!$F:$F,"USD")*$F$5+SUMIFS(Actuals!$G:$G,Actuals!$B:$B,$C$3,Actuals!$C:$C,1,Actuals!$D:$D,$B$442,Actuals!$A:$A,LEFT($D$442,FIND("|",$D$442&amp;"|")-1),Actuals!$E:$E,MID($D$442,FIND("|",$D$442&amp;"|")+1,50),Actuals!$F:$F,"EUR")*$G$5+SUMIFS(Actuals!$G:$G,Actuals!$B:$B,$C$3,Actuals!$C:$C,1,Actuals!$D:$D,$B$442,Actuals!$A:$A,LEFT($D$442,FIND("|",$D$442&amp;"|")-1),Actuals!$E:$E,MID($D$442,FIND("|",$D$442&amp;"|")+1,50),Actuals!$F:$F,"GBP")*$H$5)</f>
        <v/>
      </c>
      <c r="I443" s="18">
        <f>IF(OR($B$442="",2&gt;$C$4),"",SUMIFS(Actuals!$G:$G,Actuals!$B:$B,$C$3,Actuals!$C:$C,2,Actuals!$D:$D,$B$442,Actuals!$A:$A,LEFT($D$442,FIND("|",$D$442&amp;"|")-1),Actuals!$E:$E,MID($D$442,FIND("|",$D$442&amp;"|")+1,50),Actuals!$F:$F,"JPY")*$E$5+SUMIFS(Actuals!$G:$G,Actuals!$B:$B,$C$3,Actuals!$C:$C,2,Actuals!$D:$D,$B$442,Actuals!$A:$A,LEFT($D$442,FIND("|",$D$442&amp;"|")-1),Actuals!$E:$E,MID($D$442,FIND("|",$D$442&amp;"|")+1,50),Actuals!$F:$F,"USD")*$F$5+SUMIFS(Actuals!$G:$G,Actuals!$B:$B,$C$3,Actuals!$C:$C,2,Actuals!$D:$D,$B$442,Actuals!$A:$A,LEFT($D$442,FIND("|",$D$442&amp;"|")-1),Actuals!$E:$E,MID($D$442,FIND("|",$D$442&amp;"|")+1,50),Actuals!$F:$F,"EUR")*$G$5+SUMIFS(Actuals!$G:$G,Actuals!$B:$B,$C$3,Actuals!$C:$C,2,Actuals!$D:$D,$B$442,Actuals!$A:$A,LEFT($D$442,FIND("|",$D$442&amp;"|")-1),Actuals!$E:$E,MID($D$442,FIND("|",$D$442&amp;"|")+1,50),Actuals!$F:$F,"GBP")*$H$5)</f>
        <v/>
      </c>
      <c r="J443" s="18">
        <f>IF(OR($B$442="",3&gt;$C$4),"",SUMIFS(Actuals!$G:$G,Actuals!$B:$B,$C$3,Actuals!$C:$C,3,Actuals!$D:$D,$B$442,Actuals!$A:$A,LEFT($D$442,FIND("|",$D$442&amp;"|")-1),Actuals!$E:$E,MID($D$442,FIND("|",$D$442&amp;"|")+1,50),Actuals!$F:$F,"JPY")*$E$5+SUMIFS(Actuals!$G:$G,Actuals!$B:$B,$C$3,Actuals!$C:$C,3,Actuals!$D:$D,$B$442,Actuals!$A:$A,LEFT($D$442,FIND("|",$D$442&amp;"|")-1),Actuals!$E:$E,MID($D$442,FIND("|",$D$442&amp;"|")+1,50),Actuals!$F:$F,"USD")*$F$5+SUMIFS(Actuals!$G:$G,Actuals!$B:$B,$C$3,Actuals!$C:$C,3,Actuals!$D:$D,$B$442,Actuals!$A:$A,LEFT($D$442,FIND("|",$D$442&amp;"|")-1),Actuals!$E:$E,MID($D$442,FIND("|",$D$442&amp;"|")+1,50),Actuals!$F:$F,"EUR")*$G$5+SUMIFS(Actuals!$G:$G,Actuals!$B:$B,$C$3,Actuals!$C:$C,3,Actuals!$D:$D,$B$442,Actuals!$A:$A,LEFT($D$442,FIND("|",$D$442&amp;"|")-1),Actuals!$E:$E,MID($D$442,FIND("|",$D$442&amp;"|")+1,50),Actuals!$F:$F,"GBP")*$H$5)</f>
        <v/>
      </c>
      <c r="K443" s="18">
        <f>IF(OR($B$442="",4&gt;$C$4),"",SUMIFS(Actuals!$G:$G,Actuals!$B:$B,$C$3,Actuals!$C:$C,4,Actuals!$D:$D,$B$442,Actuals!$A:$A,LEFT($D$442,FIND("|",$D$442&amp;"|")-1),Actuals!$E:$E,MID($D$442,FIND("|",$D$442&amp;"|")+1,50),Actuals!$F:$F,"JPY")*$E$5+SUMIFS(Actuals!$G:$G,Actuals!$B:$B,$C$3,Actuals!$C:$C,4,Actuals!$D:$D,$B$442,Actuals!$A:$A,LEFT($D$442,FIND("|",$D$442&amp;"|")-1),Actuals!$E:$E,MID($D$442,FIND("|",$D$442&amp;"|")+1,50),Actuals!$F:$F,"USD")*$F$5+SUMIFS(Actuals!$G:$G,Actuals!$B:$B,$C$3,Actuals!$C:$C,4,Actuals!$D:$D,$B$442,Actuals!$A:$A,LEFT($D$442,FIND("|",$D$442&amp;"|")-1),Actuals!$E:$E,MID($D$442,FIND("|",$D$442&amp;"|")+1,50),Actuals!$F:$F,"EUR")*$G$5+SUMIFS(Actuals!$G:$G,Actuals!$B:$B,$C$3,Actuals!$C:$C,4,Actuals!$D:$D,$B$442,Actuals!$A:$A,LEFT($D$442,FIND("|",$D$442&amp;"|")-1),Actuals!$E:$E,MID($D$442,FIND("|",$D$442&amp;"|")+1,50),Actuals!$F:$F,"GBP")*$H$5)</f>
        <v/>
      </c>
      <c r="L443" s="18">
        <f>IF(OR($B$442="",5&gt;$C$4),"",SUMIFS(Actuals!$G:$G,Actuals!$B:$B,$C$3,Actuals!$C:$C,5,Actuals!$D:$D,$B$442,Actuals!$A:$A,LEFT($D$442,FIND("|",$D$442&amp;"|")-1),Actuals!$E:$E,MID($D$442,FIND("|",$D$442&amp;"|")+1,50),Actuals!$F:$F,"JPY")*$E$5+SUMIFS(Actuals!$G:$G,Actuals!$B:$B,$C$3,Actuals!$C:$C,5,Actuals!$D:$D,$B$442,Actuals!$A:$A,LEFT($D$442,FIND("|",$D$442&amp;"|")-1),Actuals!$E:$E,MID($D$442,FIND("|",$D$442&amp;"|")+1,50),Actuals!$F:$F,"USD")*$F$5+SUMIFS(Actuals!$G:$G,Actuals!$B:$B,$C$3,Actuals!$C:$C,5,Actuals!$D:$D,$B$442,Actuals!$A:$A,LEFT($D$442,FIND("|",$D$442&amp;"|")-1),Actuals!$E:$E,MID($D$442,FIND("|",$D$442&amp;"|")+1,50),Actuals!$F:$F,"EUR")*$G$5+SUMIFS(Actuals!$G:$G,Actuals!$B:$B,$C$3,Actuals!$C:$C,5,Actuals!$D:$D,$B$442,Actuals!$A:$A,LEFT($D$442,FIND("|",$D$442&amp;"|")-1),Actuals!$E:$E,MID($D$442,FIND("|",$D$442&amp;"|")+1,50),Actuals!$F:$F,"GBP")*$H$5)</f>
        <v/>
      </c>
      <c r="M443" s="18">
        <f>IF(OR($B$442="",6&gt;$C$4),"",SUMIFS(Actuals!$G:$G,Actuals!$B:$B,$C$3,Actuals!$C:$C,6,Actuals!$D:$D,$B$442,Actuals!$A:$A,LEFT($D$442,FIND("|",$D$442&amp;"|")-1),Actuals!$E:$E,MID($D$442,FIND("|",$D$442&amp;"|")+1,50),Actuals!$F:$F,"JPY")*$E$5+SUMIFS(Actuals!$G:$G,Actuals!$B:$B,$C$3,Actuals!$C:$C,6,Actuals!$D:$D,$B$442,Actuals!$A:$A,LEFT($D$442,FIND("|",$D$442&amp;"|")-1),Actuals!$E:$E,MID($D$442,FIND("|",$D$442&amp;"|")+1,50),Actuals!$F:$F,"USD")*$F$5+SUMIFS(Actuals!$G:$G,Actuals!$B:$B,$C$3,Actuals!$C:$C,6,Actuals!$D:$D,$B$442,Actuals!$A:$A,LEFT($D$442,FIND("|",$D$442&amp;"|")-1),Actuals!$E:$E,MID($D$442,FIND("|",$D$442&amp;"|")+1,50),Actuals!$F:$F,"EUR")*$G$5+SUMIFS(Actuals!$G:$G,Actuals!$B:$B,$C$3,Actuals!$C:$C,6,Actuals!$D:$D,$B$442,Actuals!$A:$A,LEFT($D$442,FIND("|",$D$442&amp;"|")-1),Actuals!$E:$E,MID($D$442,FIND("|",$D$442&amp;"|")+1,50),Actuals!$F:$F,"GBP")*$H$5)</f>
        <v/>
      </c>
      <c r="N443" s="18">
        <f>IF(OR($B$442="",7&gt;$C$4),"",SUMIFS(Actuals!$G:$G,Actuals!$B:$B,$C$3,Actuals!$C:$C,7,Actuals!$D:$D,$B$442,Actuals!$A:$A,LEFT($D$442,FIND("|",$D$442&amp;"|")-1),Actuals!$E:$E,MID($D$442,FIND("|",$D$442&amp;"|")+1,50),Actuals!$F:$F,"JPY")*$E$5+SUMIFS(Actuals!$G:$G,Actuals!$B:$B,$C$3,Actuals!$C:$C,7,Actuals!$D:$D,$B$442,Actuals!$A:$A,LEFT($D$442,FIND("|",$D$442&amp;"|")-1),Actuals!$E:$E,MID($D$442,FIND("|",$D$442&amp;"|")+1,50),Actuals!$F:$F,"USD")*$F$5+SUMIFS(Actuals!$G:$G,Actuals!$B:$B,$C$3,Actuals!$C:$C,7,Actuals!$D:$D,$B$442,Actuals!$A:$A,LEFT($D$442,FIND("|",$D$442&amp;"|")-1),Actuals!$E:$E,MID($D$442,FIND("|",$D$442&amp;"|")+1,50),Actuals!$F:$F,"EUR")*$G$5+SUMIFS(Actuals!$G:$G,Actuals!$B:$B,$C$3,Actuals!$C:$C,7,Actuals!$D:$D,$B$442,Actuals!$A:$A,LEFT($D$442,FIND("|",$D$442&amp;"|")-1),Actuals!$E:$E,MID($D$442,FIND("|",$D$442&amp;"|")+1,50),Actuals!$F:$F,"GBP")*$H$5)</f>
        <v/>
      </c>
      <c r="O443" s="18">
        <f>IF(OR($B$442="",8&gt;$C$4),"",SUMIFS(Actuals!$G:$G,Actuals!$B:$B,$C$3,Actuals!$C:$C,8,Actuals!$D:$D,$B$442,Actuals!$A:$A,LEFT($D$442,FIND("|",$D$442&amp;"|")-1),Actuals!$E:$E,MID($D$442,FIND("|",$D$442&amp;"|")+1,50),Actuals!$F:$F,"JPY")*$E$5+SUMIFS(Actuals!$G:$G,Actuals!$B:$B,$C$3,Actuals!$C:$C,8,Actuals!$D:$D,$B$442,Actuals!$A:$A,LEFT($D$442,FIND("|",$D$442&amp;"|")-1),Actuals!$E:$E,MID($D$442,FIND("|",$D$442&amp;"|")+1,50),Actuals!$F:$F,"USD")*$F$5+SUMIFS(Actuals!$G:$G,Actuals!$B:$B,$C$3,Actuals!$C:$C,8,Actuals!$D:$D,$B$442,Actuals!$A:$A,LEFT($D$442,FIND("|",$D$442&amp;"|")-1),Actuals!$E:$E,MID($D$442,FIND("|",$D$442&amp;"|")+1,50),Actuals!$F:$F,"EUR")*$G$5+SUMIFS(Actuals!$G:$G,Actuals!$B:$B,$C$3,Actuals!$C:$C,8,Actuals!$D:$D,$B$442,Actuals!$A:$A,LEFT($D$442,FIND("|",$D$442&amp;"|")-1),Actuals!$E:$E,MID($D$442,FIND("|",$D$442&amp;"|")+1,50),Actuals!$F:$F,"GBP")*$H$5)</f>
        <v/>
      </c>
      <c r="P443" s="18">
        <f>IF(OR($B$442="",9&gt;$C$4),"",SUMIFS(Actuals!$G:$G,Actuals!$B:$B,$C$3,Actuals!$C:$C,9,Actuals!$D:$D,$B$442,Actuals!$A:$A,LEFT($D$442,FIND("|",$D$442&amp;"|")-1),Actuals!$E:$E,MID($D$442,FIND("|",$D$442&amp;"|")+1,50),Actuals!$F:$F,"JPY")*$E$5+SUMIFS(Actuals!$G:$G,Actuals!$B:$B,$C$3,Actuals!$C:$C,9,Actuals!$D:$D,$B$442,Actuals!$A:$A,LEFT($D$442,FIND("|",$D$442&amp;"|")-1),Actuals!$E:$E,MID($D$442,FIND("|",$D$442&amp;"|")+1,50),Actuals!$F:$F,"USD")*$F$5+SUMIFS(Actuals!$G:$G,Actuals!$B:$B,$C$3,Actuals!$C:$C,9,Actuals!$D:$D,$B$442,Actuals!$A:$A,LEFT($D$442,FIND("|",$D$442&amp;"|")-1),Actuals!$E:$E,MID($D$442,FIND("|",$D$442&amp;"|")+1,50),Actuals!$F:$F,"EUR")*$G$5+SUMIFS(Actuals!$G:$G,Actuals!$B:$B,$C$3,Actuals!$C:$C,9,Actuals!$D:$D,$B$442,Actuals!$A:$A,LEFT($D$442,FIND("|",$D$442&amp;"|")-1),Actuals!$E:$E,MID($D$442,FIND("|",$D$442&amp;"|")+1,50),Actuals!$F:$F,"GBP")*$H$5)</f>
        <v/>
      </c>
      <c r="Q443" s="18">
        <f>IF(OR($B$442="",10&gt;$C$4),"",SUMIFS(Actuals!$G:$G,Actuals!$B:$B,$C$3,Actuals!$C:$C,10,Actuals!$D:$D,$B$442,Actuals!$A:$A,LEFT($D$442,FIND("|",$D$442&amp;"|")-1),Actuals!$E:$E,MID($D$442,FIND("|",$D$442&amp;"|")+1,50),Actuals!$F:$F,"JPY")*$E$5+SUMIFS(Actuals!$G:$G,Actuals!$B:$B,$C$3,Actuals!$C:$C,10,Actuals!$D:$D,$B$442,Actuals!$A:$A,LEFT($D$442,FIND("|",$D$442&amp;"|")-1),Actuals!$E:$E,MID($D$442,FIND("|",$D$442&amp;"|")+1,50),Actuals!$F:$F,"USD")*$F$5+SUMIFS(Actuals!$G:$G,Actuals!$B:$B,$C$3,Actuals!$C:$C,10,Actuals!$D:$D,$B$442,Actuals!$A:$A,LEFT($D$442,FIND("|",$D$442&amp;"|")-1),Actuals!$E:$E,MID($D$442,FIND("|",$D$442&amp;"|")+1,50),Actuals!$F:$F,"EUR")*$G$5+SUMIFS(Actuals!$G:$G,Actuals!$B:$B,$C$3,Actuals!$C:$C,10,Actuals!$D:$D,$B$442,Actuals!$A:$A,LEFT($D$442,FIND("|",$D$442&amp;"|")-1),Actuals!$E:$E,MID($D$442,FIND("|",$D$442&amp;"|")+1,50),Actuals!$F:$F,"GBP")*$H$5)</f>
        <v/>
      </c>
      <c r="R443" s="18">
        <f>IF(OR($B$442="",11&gt;$C$4),"",SUMIFS(Actuals!$G:$G,Actuals!$B:$B,$C$3,Actuals!$C:$C,11,Actuals!$D:$D,$B$442,Actuals!$A:$A,LEFT($D$442,FIND("|",$D$442&amp;"|")-1),Actuals!$E:$E,MID($D$442,FIND("|",$D$442&amp;"|")+1,50),Actuals!$F:$F,"JPY")*$E$5+SUMIFS(Actuals!$G:$G,Actuals!$B:$B,$C$3,Actuals!$C:$C,11,Actuals!$D:$D,$B$442,Actuals!$A:$A,LEFT($D$442,FIND("|",$D$442&amp;"|")-1),Actuals!$E:$E,MID($D$442,FIND("|",$D$442&amp;"|")+1,50),Actuals!$F:$F,"USD")*$F$5+SUMIFS(Actuals!$G:$G,Actuals!$B:$B,$C$3,Actuals!$C:$C,11,Actuals!$D:$D,$B$442,Actuals!$A:$A,LEFT($D$442,FIND("|",$D$442&amp;"|")-1),Actuals!$E:$E,MID($D$442,FIND("|",$D$442&amp;"|")+1,50),Actuals!$F:$F,"EUR")*$G$5+SUMIFS(Actuals!$G:$G,Actuals!$B:$B,$C$3,Actuals!$C:$C,11,Actuals!$D:$D,$B$442,Actuals!$A:$A,LEFT($D$442,FIND("|",$D$442&amp;"|")-1),Actuals!$E:$E,MID($D$442,FIND("|",$D$442&amp;"|")+1,50),Actuals!$F:$F,"GBP")*$H$5)</f>
        <v/>
      </c>
      <c r="S443" s="18">
        <f>IF(OR($B$442="",12&gt;$C$4),"",SUMIFS(Actuals!$G:$G,Actuals!$B:$B,$C$3,Actuals!$C:$C,12,Actuals!$D:$D,$B$442,Actuals!$A:$A,LEFT($D$442,FIND("|",$D$442&amp;"|")-1),Actuals!$E:$E,MID($D$442,FIND("|",$D$442&amp;"|")+1,50),Actuals!$F:$F,"JPY")*$E$5+SUMIFS(Actuals!$G:$G,Actuals!$B:$B,$C$3,Actuals!$C:$C,12,Actuals!$D:$D,$B$442,Actuals!$A:$A,LEFT($D$442,FIND("|",$D$442&amp;"|")-1),Actuals!$E:$E,MID($D$442,FIND("|",$D$442&amp;"|")+1,50),Actuals!$F:$F,"USD")*$F$5+SUMIFS(Actuals!$G:$G,Actuals!$B:$B,$C$3,Actuals!$C:$C,12,Actuals!$D:$D,$B$442,Actuals!$A:$A,LEFT($D$442,FIND("|",$D$442&amp;"|")-1),Actuals!$E:$E,MID($D$442,FIND("|",$D$442&amp;"|")+1,50),Actuals!$F:$F,"EUR")*$G$5+SUMIFS(Actuals!$G:$G,Actuals!$B:$B,$C$3,Actuals!$C:$C,12,Actuals!$D:$D,$B$442,Actuals!$A:$A,LEFT($D$442,FIND("|",$D$442&amp;"|")-1),Actuals!$E:$E,MID($D$442,FIND("|",$D$442&amp;"|")+1,50),Actuals!$F:$F,"GBP")*$H$5)</f>
        <v/>
      </c>
      <c r="T443" s="18">
        <f>IF($B$442="","",SUMIF($H$7:$S$7,"&lt;="&amp;$C$4,$H443:$S443))</f>
        <v/>
      </c>
      <c r="U443" s="18" t="n"/>
      <c r="V443" s="18" t="n"/>
      <c r="X443" s="22">
        <f>IF($B443="","",IFERROR(INDEX(Cost_Centers!$E:$E,MATCH($B443,Cost_Centers!$A:$A,0)),"(unknown)"))</f>
        <v/>
      </c>
      <c r="Y443" s="22">
        <f>IF($B443="","",IFERROR(INDEX(Cost_Centers!$D:$D,MATCH($B443,Cost_Centers!$A:$A,0)),"(unknown)"))</f>
        <v/>
      </c>
      <c r="Z443" s="22">
        <f>IF(OR($B443="",$G443&lt;&gt;"Variance vs Budget"),"",ABS(N($V443))+ROW()/1000000000)</f>
        <v/>
      </c>
    </row>
    <row r="444">
      <c r="A444" s="13">
        <f>IF(A$442="","",A$442)</f>
        <v/>
      </c>
      <c r="B444" s="13">
        <f>IF(B$442="","",B$442)</f>
        <v/>
      </c>
      <c r="C444" s="13">
        <f>IF(C$442="","",C$442)</f>
        <v/>
      </c>
      <c r="D444" s="13">
        <f>IF(D$442="","",D$442)</f>
        <v/>
      </c>
      <c r="E444" s="13">
        <f>IF(E$442="","",E$442)</f>
        <v/>
      </c>
      <c r="F444" s="13">
        <f>IF(F$442="","",F$442)</f>
        <v/>
      </c>
      <c r="G444" s="6" t="inlineStr">
        <is>
          <t>Variance vs Budget</t>
        </is>
      </c>
      <c r="H444" s="33">
        <f>IF(OR($B$442="",1&gt;$C$4),"",N(H443)-H442)</f>
        <v/>
      </c>
      <c r="I444" s="33">
        <f>IF(OR($B$442="",2&gt;$C$4),"",N(I443)-I442)</f>
        <v/>
      </c>
      <c r="J444" s="33">
        <f>IF(OR($B$442="",3&gt;$C$4),"",N(J443)-J442)</f>
        <v/>
      </c>
      <c r="K444" s="33">
        <f>IF(OR($B$442="",4&gt;$C$4),"",N(K443)-K442)</f>
        <v/>
      </c>
      <c r="L444" s="33">
        <f>IF(OR($B$442="",5&gt;$C$4),"",N(L443)-L442)</f>
        <v/>
      </c>
      <c r="M444" s="33">
        <f>IF(OR($B$442="",6&gt;$C$4),"",N(M443)-M442)</f>
        <v/>
      </c>
      <c r="N444" s="33">
        <f>IF(OR($B$442="",7&gt;$C$4),"",N(N443)-N442)</f>
        <v/>
      </c>
      <c r="O444" s="33">
        <f>IF(OR($B$442="",8&gt;$C$4),"",N(O443)-O442)</f>
        <v/>
      </c>
      <c r="P444" s="33">
        <f>IF(OR($B$442="",9&gt;$C$4),"",N(P443)-P442)</f>
        <v/>
      </c>
      <c r="Q444" s="33">
        <f>IF(OR($B$442="",10&gt;$C$4),"",N(Q443)-Q442)</f>
        <v/>
      </c>
      <c r="R444" s="33">
        <f>IF(OR($B$442="",11&gt;$C$4),"",N(R443)-R442)</f>
        <v/>
      </c>
      <c r="S444" s="33">
        <f>IF(OR($B$442="",12&gt;$C$4),"",N(S443)-S442)</f>
        <v/>
      </c>
      <c r="T444" s="33">
        <f>IF($B$442="","",T443-T442)</f>
        <v/>
      </c>
      <c r="U444" s="33">
        <f>IF($B$442="","",U446-U442)</f>
        <v/>
      </c>
      <c r="V444" s="33">
        <f>IF($B$442="","",V446-V442)</f>
        <v/>
      </c>
      <c r="X444" s="22">
        <f>IF($B444="","",IFERROR(INDEX(Cost_Centers!$E:$E,MATCH($B444,Cost_Centers!$A:$A,0)),"(unknown)"))</f>
        <v/>
      </c>
      <c r="Y444" s="22">
        <f>IF($B444="","",IFERROR(INDEX(Cost_Centers!$D:$D,MATCH($B444,Cost_Centers!$A:$A,0)),"(unknown)"))</f>
        <v/>
      </c>
      <c r="Z444" s="22">
        <f>IF(OR($B444="",$G444&lt;&gt;"Variance vs Budget"),"",ABS(N($V444))+ROW()/1000000000)</f>
        <v/>
      </c>
    </row>
    <row r="445">
      <c r="A445" s="13">
        <f>IF(A$442="","",A$442)</f>
        <v/>
      </c>
      <c r="B445" s="13">
        <f>IF(B$442="","",B$442)</f>
        <v/>
      </c>
      <c r="C445" s="13">
        <f>IF(C$442="","",C$442)</f>
        <v/>
      </c>
      <c r="D445" s="13">
        <f>IF(D$442="","",D$442)</f>
        <v/>
      </c>
      <c r="E445" s="13">
        <f>IF(E$442="","",E$442)</f>
        <v/>
      </c>
      <c r="F445" s="13">
        <f>IF(F$442="","",F$442)</f>
        <v/>
      </c>
      <c r="G445" s="7" t="inlineStr">
        <is>
          <t>Forecast (input)</t>
        </is>
      </c>
      <c r="H445" s="34" t="n"/>
      <c r="I445" s="34" t="n"/>
      <c r="J445" s="34" t="n"/>
      <c r="K445" s="34" t="n"/>
      <c r="L445" s="34" t="n"/>
      <c r="M445" s="34" t="n"/>
      <c r="N445" s="34" t="n"/>
      <c r="O445" s="34" t="n"/>
      <c r="P445" s="34" t="n"/>
      <c r="Q445" s="34" t="n"/>
      <c r="R445" s="34" t="n"/>
      <c r="S445" s="34" t="n"/>
      <c r="T445" s="18" t="n"/>
      <c r="U445" s="18" t="n"/>
      <c r="V445" s="18" t="n"/>
      <c r="X445" s="22">
        <f>IF($B445="","",IFERROR(INDEX(Cost_Centers!$E:$E,MATCH($B445,Cost_Centers!$A:$A,0)),"(unknown)"))</f>
        <v/>
      </c>
      <c r="Y445" s="22">
        <f>IF($B445="","",IFERROR(INDEX(Cost_Centers!$D:$D,MATCH($B445,Cost_Centers!$A:$A,0)),"(unknown)"))</f>
        <v/>
      </c>
      <c r="Z445" s="22">
        <f>IF(OR($B445="",$G445&lt;&gt;"Variance vs Budget"),"",ABS(N($V445))+ROW()/1000000000)</f>
        <v/>
      </c>
    </row>
    <row r="446">
      <c r="A446" s="13">
        <f>IF(A$442="","",A$442)</f>
        <v/>
      </c>
      <c r="B446" s="13">
        <f>IF(B$442="","",B$442)</f>
        <v/>
      </c>
      <c r="C446" s="13">
        <f>IF(C$442="","",C$442)</f>
        <v/>
      </c>
      <c r="D446" s="13">
        <f>IF(D$442="","",D$442)</f>
        <v/>
      </c>
      <c r="E446" s="13">
        <f>IF(E$442="","",E$442)</f>
        <v/>
      </c>
      <c r="F446" s="13">
        <f>IF(F$442="","",F$442)</f>
        <v/>
      </c>
      <c r="G446" s="35" t="inlineStr">
        <is>
          <t>Actual + Forecast</t>
        </is>
      </c>
      <c r="H446" s="18">
        <f>IF($B$442="","",IF(1&lt;=$C$4,N(H443),IF(H445="",H442,H445)))</f>
        <v/>
      </c>
      <c r="I446" s="18">
        <f>IF($B$442="","",IF(2&lt;=$C$4,N(I443),IF(I445="",I442,I445)))</f>
        <v/>
      </c>
      <c r="J446" s="18">
        <f>IF($B$442="","",IF(3&lt;=$C$4,N(J443),IF(J445="",J442,J445)))</f>
        <v/>
      </c>
      <c r="K446" s="18">
        <f>IF($B$442="","",IF(4&lt;=$C$4,N(K443),IF(K445="",K442,K445)))</f>
        <v/>
      </c>
      <c r="L446" s="18">
        <f>IF($B$442="","",IF(5&lt;=$C$4,N(L443),IF(L445="",L442,L445)))</f>
        <v/>
      </c>
      <c r="M446" s="18">
        <f>IF($B$442="","",IF(6&lt;=$C$4,N(M443),IF(M445="",M442,M445)))</f>
        <v/>
      </c>
      <c r="N446" s="18">
        <f>IF($B$442="","",IF(7&lt;=$C$4,N(N443),IF(N445="",N442,N445)))</f>
        <v/>
      </c>
      <c r="O446" s="18">
        <f>IF($B$442="","",IF(8&lt;=$C$4,N(O443),IF(O445="",O442,O445)))</f>
        <v/>
      </c>
      <c r="P446" s="18">
        <f>IF($B$442="","",IF(9&lt;=$C$4,N(P443),IF(P445="",P442,P445)))</f>
        <v/>
      </c>
      <c r="Q446" s="18">
        <f>IF($B$442="","",IF(10&lt;=$C$4,N(Q443),IF(Q445="",Q442,Q445)))</f>
        <v/>
      </c>
      <c r="R446" s="18">
        <f>IF($B$442="","",IF(11&lt;=$C$4,N(R443),IF(R445="",R442,R445)))</f>
        <v/>
      </c>
      <c r="S446" s="18">
        <f>IF($B$442="","",IF(12&lt;=$C$4,N(S443),IF(S445="",S442,S445)))</f>
        <v/>
      </c>
      <c r="T446" s="18">
        <f>IF($B$442="","",SUMIF($H$7:$S$7,"&lt;="&amp;$C$4,$H446:$S446))</f>
        <v/>
      </c>
      <c r="U446" s="18">
        <f>IF($B$442="","",SUMIF($H$7:$S$7,"&gt;"&amp;$C$4,$H446:$S446))</f>
        <v/>
      </c>
      <c r="V446" s="18">
        <f>IF($B$442="","",SUM($H446:$S446))</f>
        <v/>
      </c>
      <c r="X446" s="22">
        <f>IF($B446="","",IFERROR(INDEX(Cost_Centers!$E:$E,MATCH($B446,Cost_Centers!$A:$A,0)),"(unknown)"))</f>
        <v/>
      </c>
      <c r="Y446" s="22">
        <f>IF($B446="","",IFERROR(INDEX(Cost_Centers!$D:$D,MATCH($B446,Cost_Centers!$A:$A,0)),"(unknown)"))</f>
        <v/>
      </c>
      <c r="Z446" s="22">
        <f>IF(OR($B446="",$G446&lt;&gt;"Variance vs Budget"),"",ABS(N($V446))+ROW()/1000000000)</f>
        <v/>
      </c>
    </row>
    <row r="447">
      <c r="A447" s="13">
        <f>IF(A$442="","",A$442)</f>
        <v/>
      </c>
      <c r="B447" s="13">
        <f>IF(B$442="","",B$442)</f>
        <v/>
      </c>
      <c r="C447" s="13">
        <f>IF(C$442="","",C$442)</f>
        <v/>
      </c>
      <c r="D447" s="13">
        <f>IF(D$442="","",D$442)</f>
        <v/>
      </c>
      <c r="E447" s="13">
        <f>IF(E$442="","",E$442)</f>
        <v/>
      </c>
      <c r="F447" s="13">
        <f>IF(F$442="","",F$442)</f>
        <v/>
      </c>
      <c r="G447" s="36" t="inlineStr">
        <is>
          <t>Prior Month Forecast</t>
        </is>
      </c>
      <c r="H447" s="37">
        <f>IF($B$442="","",IF(COUNTIFS(Prior_Forecast!$A:$A,$B$442,Prior_Forecast!$B:$B,$D$442)&gt;0,SUMIFS(Prior_Forecast!$C:$C,Prior_Forecast!$A:$A,$B$442,Prior_Forecast!$B:$B,$D$442),""))</f>
        <v/>
      </c>
      <c r="I447" s="37">
        <f>IF($B$442="","",IF(COUNTIFS(Prior_Forecast!$A:$A,$B$442,Prior_Forecast!$B:$B,$D$442)&gt;0,SUMIFS(Prior_Forecast!$D:$D,Prior_Forecast!$A:$A,$B$442,Prior_Forecast!$B:$B,$D$442),""))</f>
        <v/>
      </c>
      <c r="J447" s="37">
        <f>IF($B$442="","",IF(COUNTIFS(Prior_Forecast!$A:$A,$B$442,Prior_Forecast!$B:$B,$D$442)&gt;0,SUMIFS(Prior_Forecast!$E:$E,Prior_Forecast!$A:$A,$B$442,Prior_Forecast!$B:$B,$D$442),""))</f>
        <v/>
      </c>
      <c r="K447" s="37">
        <f>IF($B$442="","",IF(COUNTIFS(Prior_Forecast!$A:$A,$B$442,Prior_Forecast!$B:$B,$D$442)&gt;0,SUMIFS(Prior_Forecast!$F:$F,Prior_Forecast!$A:$A,$B$442,Prior_Forecast!$B:$B,$D$442),""))</f>
        <v/>
      </c>
      <c r="L447" s="37">
        <f>IF($B$442="","",IF(COUNTIFS(Prior_Forecast!$A:$A,$B$442,Prior_Forecast!$B:$B,$D$442)&gt;0,SUMIFS(Prior_Forecast!$G:$G,Prior_Forecast!$A:$A,$B$442,Prior_Forecast!$B:$B,$D$442),""))</f>
        <v/>
      </c>
      <c r="M447" s="37">
        <f>IF($B$442="","",IF(COUNTIFS(Prior_Forecast!$A:$A,$B$442,Prior_Forecast!$B:$B,$D$442)&gt;0,SUMIFS(Prior_Forecast!$H:$H,Prior_Forecast!$A:$A,$B$442,Prior_Forecast!$B:$B,$D$442),""))</f>
        <v/>
      </c>
      <c r="N447" s="37">
        <f>IF($B$442="","",IF(COUNTIFS(Prior_Forecast!$A:$A,$B$442,Prior_Forecast!$B:$B,$D$442)&gt;0,SUMIFS(Prior_Forecast!$I:$I,Prior_Forecast!$A:$A,$B$442,Prior_Forecast!$B:$B,$D$442),""))</f>
        <v/>
      </c>
      <c r="O447" s="37">
        <f>IF($B$442="","",IF(COUNTIFS(Prior_Forecast!$A:$A,$B$442,Prior_Forecast!$B:$B,$D$442)&gt;0,SUMIFS(Prior_Forecast!$J:$J,Prior_Forecast!$A:$A,$B$442,Prior_Forecast!$B:$B,$D$442),""))</f>
        <v/>
      </c>
      <c r="P447" s="37">
        <f>IF($B$442="","",IF(COUNTIFS(Prior_Forecast!$A:$A,$B$442,Prior_Forecast!$B:$B,$D$442)&gt;0,SUMIFS(Prior_Forecast!$K:$K,Prior_Forecast!$A:$A,$B$442,Prior_Forecast!$B:$B,$D$442),""))</f>
        <v/>
      </c>
      <c r="Q447" s="37">
        <f>IF($B$442="","",IF(COUNTIFS(Prior_Forecast!$A:$A,$B$442,Prior_Forecast!$B:$B,$D$442)&gt;0,SUMIFS(Prior_Forecast!$L:$L,Prior_Forecast!$A:$A,$B$442,Prior_Forecast!$B:$B,$D$442),""))</f>
        <v/>
      </c>
      <c r="R447" s="37">
        <f>IF($B$442="","",IF(COUNTIFS(Prior_Forecast!$A:$A,$B$442,Prior_Forecast!$B:$B,$D$442)&gt;0,SUMIFS(Prior_Forecast!$M:$M,Prior_Forecast!$A:$A,$B$442,Prior_Forecast!$B:$B,$D$442),""))</f>
        <v/>
      </c>
      <c r="S447" s="37">
        <f>IF($B$442="","",IF(COUNTIFS(Prior_Forecast!$A:$A,$B$442,Prior_Forecast!$B:$B,$D$442)&gt;0,SUMIFS(Prior_Forecast!$N:$N,Prior_Forecast!$A:$A,$B$442,Prior_Forecast!$B:$B,$D$442),""))</f>
        <v/>
      </c>
      <c r="T447" s="37">
        <f>IF($B$442="","",IF(COUNTIFS(Prior_Forecast!$A:$A,$B$442,Prior_Forecast!$B:$B,$D$442)&gt;0,SUMIFS(Prior_Forecast!$O:$O,Prior_Forecast!$A:$A,$B$442,Prior_Forecast!$B:$B,$D$442),""))</f>
        <v/>
      </c>
      <c r="U447" s="37">
        <f>IF($B$442="","",IF(COUNTIFS(Prior_Forecast!$A:$A,$B$442,Prior_Forecast!$B:$B,$D$442)&gt;0,SUMIFS(Prior_Forecast!$P:$P,Prior_Forecast!$A:$A,$B$442,Prior_Forecast!$B:$B,$D$442),""))</f>
        <v/>
      </c>
      <c r="V447" s="37">
        <f>IF($B$442="","",IF(COUNTIFS(Prior_Forecast!$A:$A,$B$442,Prior_Forecast!$B:$B,$D$442)&gt;0,SUMIFS(Prior_Forecast!$Q:$Q,Prior_Forecast!$A:$A,$B$442,Prior_Forecast!$B:$B,$D$442),""))</f>
        <v/>
      </c>
      <c r="X447" s="22">
        <f>IF($B447="","",IFERROR(INDEX(Cost_Centers!$E:$E,MATCH($B447,Cost_Centers!$A:$A,0)),"(unknown)"))</f>
        <v/>
      </c>
      <c r="Y447" s="22">
        <f>IF($B447="","",IFERROR(INDEX(Cost_Centers!$D:$D,MATCH($B447,Cost_Centers!$A:$A,0)),"(unknown)"))</f>
        <v/>
      </c>
      <c r="Z447" s="22">
        <f>IF(OR($B447="",$G447&lt;&gt;"Variance vs Budget"),"",ABS(N($V447))+ROW()/1000000000)</f>
        <v/>
      </c>
    </row>
    <row r="448">
      <c r="A448" s="13">
        <f>IF(A$442="","",A$442)</f>
        <v/>
      </c>
      <c r="B448" s="13">
        <f>IF(B$442="","",B$442)</f>
        <v/>
      </c>
      <c r="C448" s="13">
        <f>IF(C$442="","",C$442)</f>
        <v/>
      </c>
      <c r="D448" s="13">
        <f>IF(D$442="","",D$442)</f>
        <v/>
      </c>
      <c r="E448" s="13">
        <f>IF(E$442="","",E$442)</f>
        <v/>
      </c>
      <c r="F448" s="13">
        <f>IF(F$442="","",F$442)</f>
        <v/>
      </c>
      <c r="G448" s="6" t="inlineStr">
        <is>
          <t>Variance vs Prior Month</t>
        </is>
      </c>
      <c r="H448" s="33">
        <f>IF(OR($B$442="",H447=""),"",H446-H447)</f>
        <v/>
      </c>
      <c r="I448" s="33">
        <f>IF(OR($B$442="",I447=""),"",I446-I447)</f>
        <v/>
      </c>
      <c r="J448" s="33">
        <f>IF(OR($B$442="",J447=""),"",J446-J447)</f>
        <v/>
      </c>
      <c r="K448" s="33">
        <f>IF(OR($B$442="",K447=""),"",K446-K447)</f>
        <v/>
      </c>
      <c r="L448" s="33">
        <f>IF(OR($B$442="",L447=""),"",L446-L447)</f>
        <v/>
      </c>
      <c r="M448" s="33">
        <f>IF(OR($B$442="",M447=""),"",M446-M447)</f>
        <v/>
      </c>
      <c r="N448" s="33">
        <f>IF(OR($B$442="",N447=""),"",N446-N447)</f>
        <v/>
      </c>
      <c r="O448" s="33">
        <f>IF(OR($B$442="",O447=""),"",O446-O447)</f>
        <v/>
      </c>
      <c r="P448" s="33">
        <f>IF(OR($B$442="",P447=""),"",P446-P447)</f>
        <v/>
      </c>
      <c r="Q448" s="33">
        <f>IF(OR($B$442="",Q447=""),"",Q446-Q447)</f>
        <v/>
      </c>
      <c r="R448" s="33">
        <f>IF(OR($B$442="",R447=""),"",R446-R447)</f>
        <v/>
      </c>
      <c r="S448" s="33">
        <f>IF(OR($B$442="",S447=""),"",S446-S447)</f>
        <v/>
      </c>
      <c r="T448" s="33">
        <f>IF(OR($B$442="",T447=""),"",T446-T447)</f>
        <v/>
      </c>
      <c r="U448" s="33">
        <f>IF(OR($B$442="",U447=""),"",U446-U447)</f>
        <v/>
      </c>
      <c r="V448" s="33">
        <f>IF(OR($B$442="",V447=""),"",V446-V447)</f>
        <v/>
      </c>
      <c r="X448" s="22">
        <f>IF($B448="","",IFERROR(INDEX(Cost_Centers!$E:$E,MATCH($B448,Cost_Centers!$A:$A,0)),"(unknown)"))</f>
        <v/>
      </c>
      <c r="Y448" s="22">
        <f>IF($B448="","",IFERROR(INDEX(Cost_Centers!$D:$D,MATCH($B448,Cost_Centers!$A:$A,0)),"(unknown)"))</f>
        <v/>
      </c>
      <c r="Z448" s="22">
        <f>IF(OR($B448="",$G448&lt;&gt;"Variance vs Budget"),"",ABS(N($V448))+ROW()/1000000000)</f>
        <v/>
      </c>
    </row>
    <row r="449" ht="45" customHeight="1">
      <c r="A449" s="13">
        <f>IF(A$442="","",A$442)</f>
        <v/>
      </c>
      <c r="B449" s="13">
        <f>IF(B$442="","",B$442)</f>
        <v/>
      </c>
      <c r="C449" s="13">
        <f>IF(C$442="","",C$442)</f>
        <v/>
      </c>
      <c r="D449" s="13">
        <f>IF(D$442="","",D$442)</f>
        <v/>
      </c>
      <c r="E449" s="13">
        <f>IF(E$442="","",E$442)</f>
        <v/>
      </c>
      <c r="F449" s="13">
        <f>IF(F$442="","",F$442)</f>
        <v/>
      </c>
      <c r="G449" s="7" t="inlineStr">
        <is>
          <t>Rationale</t>
        </is>
      </c>
      <c r="H449" s="38" t="n"/>
      <c r="I449" s="38" t="n"/>
      <c r="J449" s="38" t="n"/>
      <c r="K449" s="38" t="n"/>
      <c r="L449" s="38" t="n"/>
      <c r="M449" s="38" t="n"/>
      <c r="N449" s="38" t="n"/>
      <c r="O449" s="38" t="n"/>
      <c r="P449" s="38" t="n"/>
      <c r="Q449" s="38" t="n"/>
      <c r="R449" s="38" t="n"/>
      <c r="S449" s="38" t="n"/>
      <c r="T449" s="38" t="n"/>
      <c r="U449" s="38" t="n"/>
      <c r="V449" s="7" t="n"/>
      <c r="X449" s="22">
        <f>IF($B449="","",IFERROR(INDEX(Cost_Centers!$E:$E,MATCH($B449,Cost_Centers!$A:$A,0)),"(unknown)"))</f>
        <v/>
      </c>
      <c r="Y449" s="22">
        <f>IF($B449="","",IFERROR(INDEX(Cost_Centers!$D:$D,MATCH($B449,Cost_Centers!$A:$A,0)),"(unknown)"))</f>
        <v/>
      </c>
      <c r="Z449" s="22">
        <f>IF(OR($B449="",$G449&lt;&gt;"Variance vs Budget"),"",ABS(N($V449))+ROW()/1000000000)</f>
        <v/>
      </c>
    </row>
    <row r="450">
      <c r="A450" s="30">
        <f>IF($D$450="","",LEFT($D$450,FIND("|",$D$450&amp;"|")-1))</f>
        <v/>
      </c>
      <c r="B450" s="31" t="n"/>
      <c r="C450" s="30">
        <f>IF($B$450="","",IFERROR(INDEX(Cost_Centers!$B:$B,MATCH($B$450,Cost_Centers!$A:$A,0)),"(not in master)"))</f>
        <v/>
      </c>
      <c r="D450" s="31" t="n"/>
      <c r="E450" s="30">
        <f>IF($D$450="","",IFERROR(INDEX(Accounts!$D:$D,MATCH($D$450,Accounts!$A:$A,0)),"(not in master)"))</f>
        <v/>
      </c>
      <c r="F450" s="31" t="n"/>
      <c r="G450" s="30" t="inlineStr">
        <is>
          <t>Budget</t>
        </is>
      </c>
      <c r="H450" s="32">
        <f>IF($B$450="","",SUMIFS(Opex_Budget!$O:$O,Opex_Budget!$A:$A,$C$3,Opex_Budget!$E:$E,$B$450,Opex_Budget!$F:$F,$D$450,Opex_Budget!$N:$N,"JPY")*$E$5+SUMIFS(Opex_Budget!$O:$O,Opex_Budget!$A:$A,$C$3,Opex_Budget!$E:$E,$B$450,Opex_Budget!$F:$F,$D$450,Opex_Budget!$N:$N,"USD")*$F$5+SUMIFS(Opex_Budget!$O:$O,Opex_Budget!$A:$A,$C$3,Opex_Budget!$E:$E,$B$450,Opex_Budget!$F:$F,$D$450,Opex_Budget!$N:$N,"EUR")*$G$5+SUMIFS(Opex_Budget!$O:$O,Opex_Budget!$A:$A,$C$3,Opex_Budget!$E:$E,$B$450,Opex_Budget!$F:$F,$D$450,Opex_Budget!$N:$N,"GBP")*$H$5)</f>
        <v/>
      </c>
      <c r="I450" s="32">
        <f>IF($B$450="","",SUMIFS(Opex_Budget!$P:$P,Opex_Budget!$A:$A,$C$3,Opex_Budget!$E:$E,$B$450,Opex_Budget!$F:$F,$D$450,Opex_Budget!$N:$N,"JPY")*$E$5+SUMIFS(Opex_Budget!$P:$P,Opex_Budget!$A:$A,$C$3,Opex_Budget!$E:$E,$B$450,Opex_Budget!$F:$F,$D$450,Opex_Budget!$N:$N,"USD")*$F$5+SUMIFS(Opex_Budget!$P:$P,Opex_Budget!$A:$A,$C$3,Opex_Budget!$E:$E,$B$450,Opex_Budget!$F:$F,$D$450,Opex_Budget!$N:$N,"EUR")*$G$5+SUMIFS(Opex_Budget!$P:$P,Opex_Budget!$A:$A,$C$3,Opex_Budget!$E:$E,$B$450,Opex_Budget!$F:$F,$D$450,Opex_Budget!$N:$N,"GBP")*$H$5)</f>
        <v/>
      </c>
      <c r="J450" s="32">
        <f>IF($B$450="","",SUMIFS(Opex_Budget!$Q:$Q,Opex_Budget!$A:$A,$C$3,Opex_Budget!$E:$E,$B$450,Opex_Budget!$F:$F,$D$450,Opex_Budget!$N:$N,"JPY")*$E$5+SUMIFS(Opex_Budget!$Q:$Q,Opex_Budget!$A:$A,$C$3,Opex_Budget!$E:$E,$B$450,Opex_Budget!$F:$F,$D$450,Opex_Budget!$N:$N,"USD")*$F$5+SUMIFS(Opex_Budget!$Q:$Q,Opex_Budget!$A:$A,$C$3,Opex_Budget!$E:$E,$B$450,Opex_Budget!$F:$F,$D$450,Opex_Budget!$N:$N,"EUR")*$G$5+SUMIFS(Opex_Budget!$Q:$Q,Opex_Budget!$A:$A,$C$3,Opex_Budget!$E:$E,$B$450,Opex_Budget!$F:$F,$D$450,Opex_Budget!$N:$N,"GBP")*$H$5)</f>
        <v/>
      </c>
      <c r="K450" s="32">
        <f>IF($B$450="","",SUMIFS(Opex_Budget!$R:$R,Opex_Budget!$A:$A,$C$3,Opex_Budget!$E:$E,$B$450,Opex_Budget!$F:$F,$D$450,Opex_Budget!$N:$N,"JPY")*$E$5+SUMIFS(Opex_Budget!$R:$R,Opex_Budget!$A:$A,$C$3,Opex_Budget!$E:$E,$B$450,Opex_Budget!$F:$F,$D$450,Opex_Budget!$N:$N,"USD")*$F$5+SUMIFS(Opex_Budget!$R:$R,Opex_Budget!$A:$A,$C$3,Opex_Budget!$E:$E,$B$450,Opex_Budget!$F:$F,$D$450,Opex_Budget!$N:$N,"EUR")*$G$5+SUMIFS(Opex_Budget!$R:$R,Opex_Budget!$A:$A,$C$3,Opex_Budget!$E:$E,$B$450,Opex_Budget!$F:$F,$D$450,Opex_Budget!$N:$N,"GBP")*$H$5)</f>
        <v/>
      </c>
      <c r="L450" s="32">
        <f>IF($B$450="","",SUMIFS(Opex_Budget!$S:$S,Opex_Budget!$A:$A,$C$3,Opex_Budget!$E:$E,$B$450,Opex_Budget!$F:$F,$D$450,Opex_Budget!$N:$N,"JPY")*$E$5+SUMIFS(Opex_Budget!$S:$S,Opex_Budget!$A:$A,$C$3,Opex_Budget!$E:$E,$B$450,Opex_Budget!$F:$F,$D$450,Opex_Budget!$N:$N,"USD")*$F$5+SUMIFS(Opex_Budget!$S:$S,Opex_Budget!$A:$A,$C$3,Opex_Budget!$E:$E,$B$450,Opex_Budget!$F:$F,$D$450,Opex_Budget!$N:$N,"EUR")*$G$5+SUMIFS(Opex_Budget!$S:$S,Opex_Budget!$A:$A,$C$3,Opex_Budget!$E:$E,$B$450,Opex_Budget!$F:$F,$D$450,Opex_Budget!$N:$N,"GBP")*$H$5)</f>
        <v/>
      </c>
      <c r="M450" s="32">
        <f>IF($B$450="","",SUMIFS(Opex_Budget!$T:$T,Opex_Budget!$A:$A,$C$3,Opex_Budget!$E:$E,$B$450,Opex_Budget!$F:$F,$D$450,Opex_Budget!$N:$N,"JPY")*$E$5+SUMIFS(Opex_Budget!$T:$T,Opex_Budget!$A:$A,$C$3,Opex_Budget!$E:$E,$B$450,Opex_Budget!$F:$F,$D$450,Opex_Budget!$N:$N,"USD")*$F$5+SUMIFS(Opex_Budget!$T:$T,Opex_Budget!$A:$A,$C$3,Opex_Budget!$E:$E,$B$450,Opex_Budget!$F:$F,$D$450,Opex_Budget!$N:$N,"EUR")*$G$5+SUMIFS(Opex_Budget!$T:$T,Opex_Budget!$A:$A,$C$3,Opex_Budget!$E:$E,$B$450,Opex_Budget!$F:$F,$D$450,Opex_Budget!$N:$N,"GBP")*$H$5)</f>
        <v/>
      </c>
      <c r="N450" s="32">
        <f>IF($B$450="","",SUMIFS(Opex_Budget!$U:$U,Opex_Budget!$A:$A,$C$3,Opex_Budget!$E:$E,$B$450,Opex_Budget!$F:$F,$D$450,Opex_Budget!$N:$N,"JPY")*$E$5+SUMIFS(Opex_Budget!$U:$U,Opex_Budget!$A:$A,$C$3,Opex_Budget!$E:$E,$B$450,Opex_Budget!$F:$F,$D$450,Opex_Budget!$N:$N,"USD")*$F$5+SUMIFS(Opex_Budget!$U:$U,Opex_Budget!$A:$A,$C$3,Opex_Budget!$E:$E,$B$450,Opex_Budget!$F:$F,$D$450,Opex_Budget!$N:$N,"EUR")*$G$5+SUMIFS(Opex_Budget!$U:$U,Opex_Budget!$A:$A,$C$3,Opex_Budget!$E:$E,$B$450,Opex_Budget!$F:$F,$D$450,Opex_Budget!$N:$N,"GBP")*$H$5)</f>
        <v/>
      </c>
      <c r="O450" s="32">
        <f>IF($B$450="","",SUMIFS(Opex_Budget!$V:$V,Opex_Budget!$A:$A,$C$3,Opex_Budget!$E:$E,$B$450,Opex_Budget!$F:$F,$D$450,Opex_Budget!$N:$N,"JPY")*$E$5+SUMIFS(Opex_Budget!$V:$V,Opex_Budget!$A:$A,$C$3,Opex_Budget!$E:$E,$B$450,Opex_Budget!$F:$F,$D$450,Opex_Budget!$N:$N,"USD")*$F$5+SUMIFS(Opex_Budget!$V:$V,Opex_Budget!$A:$A,$C$3,Opex_Budget!$E:$E,$B$450,Opex_Budget!$F:$F,$D$450,Opex_Budget!$N:$N,"EUR")*$G$5+SUMIFS(Opex_Budget!$V:$V,Opex_Budget!$A:$A,$C$3,Opex_Budget!$E:$E,$B$450,Opex_Budget!$F:$F,$D$450,Opex_Budget!$N:$N,"GBP")*$H$5)</f>
        <v/>
      </c>
      <c r="P450" s="32">
        <f>IF($B$450="","",SUMIFS(Opex_Budget!$W:$W,Opex_Budget!$A:$A,$C$3,Opex_Budget!$E:$E,$B$450,Opex_Budget!$F:$F,$D$450,Opex_Budget!$N:$N,"JPY")*$E$5+SUMIFS(Opex_Budget!$W:$W,Opex_Budget!$A:$A,$C$3,Opex_Budget!$E:$E,$B$450,Opex_Budget!$F:$F,$D$450,Opex_Budget!$N:$N,"USD")*$F$5+SUMIFS(Opex_Budget!$W:$W,Opex_Budget!$A:$A,$C$3,Opex_Budget!$E:$E,$B$450,Opex_Budget!$F:$F,$D$450,Opex_Budget!$N:$N,"EUR")*$G$5+SUMIFS(Opex_Budget!$W:$W,Opex_Budget!$A:$A,$C$3,Opex_Budget!$E:$E,$B$450,Opex_Budget!$F:$F,$D$450,Opex_Budget!$N:$N,"GBP")*$H$5)</f>
        <v/>
      </c>
      <c r="Q450" s="32">
        <f>IF($B$450="","",SUMIFS(Opex_Budget!$X:$X,Opex_Budget!$A:$A,$C$3,Opex_Budget!$E:$E,$B$450,Opex_Budget!$F:$F,$D$450,Opex_Budget!$N:$N,"JPY")*$E$5+SUMIFS(Opex_Budget!$X:$X,Opex_Budget!$A:$A,$C$3,Opex_Budget!$E:$E,$B$450,Opex_Budget!$F:$F,$D$450,Opex_Budget!$N:$N,"USD")*$F$5+SUMIFS(Opex_Budget!$X:$X,Opex_Budget!$A:$A,$C$3,Opex_Budget!$E:$E,$B$450,Opex_Budget!$F:$F,$D$450,Opex_Budget!$N:$N,"EUR")*$G$5+SUMIFS(Opex_Budget!$X:$X,Opex_Budget!$A:$A,$C$3,Opex_Budget!$E:$E,$B$450,Opex_Budget!$F:$F,$D$450,Opex_Budget!$N:$N,"GBP")*$H$5)</f>
        <v/>
      </c>
      <c r="R450" s="32">
        <f>IF($B$450="","",SUMIFS(Opex_Budget!$Y:$Y,Opex_Budget!$A:$A,$C$3,Opex_Budget!$E:$E,$B$450,Opex_Budget!$F:$F,$D$450,Opex_Budget!$N:$N,"JPY")*$E$5+SUMIFS(Opex_Budget!$Y:$Y,Opex_Budget!$A:$A,$C$3,Opex_Budget!$E:$E,$B$450,Opex_Budget!$F:$F,$D$450,Opex_Budget!$N:$N,"USD")*$F$5+SUMIFS(Opex_Budget!$Y:$Y,Opex_Budget!$A:$A,$C$3,Opex_Budget!$E:$E,$B$450,Opex_Budget!$F:$F,$D$450,Opex_Budget!$N:$N,"EUR")*$G$5+SUMIFS(Opex_Budget!$Y:$Y,Opex_Budget!$A:$A,$C$3,Opex_Budget!$E:$E,$B$450,Opex_Budget!$F:$F,$D$450,Opex_Budget!$N:$N,"GBP")*$H$5)</f>
        <v/>
      </c>
      <c r="S450" s="32">
        <f>IF($B$450="","",SUMIFS(Opex_Budget!$Z:$Z,Opex_Budget!$A:$A,$C$3,Opex_Budget!$E:$E,$B$450,Opex_Budget!$F:$F,$D$450,Opex_Budget!$N:$N,"JPY")*$E$5+SUMIFS(Opex_Budget!$Z:$Z,Opex_Budget!$A:$A,$C$3,Opex_Budget!$E:$E,$B$450,Opex_Budget!$F:$F,$D$450,Opex_Budget!$N:$N,"USD")*$F$5+SUMIFS(Opex_Budget!$Z:$Z,Opex_Budget!$A:$A,$C$3,Opex_Budget!$E:$E,$B$450,Opex_Budget!$F:$F,$D$450,Opex_Budget!$N:$N,"EUR")*$G$5+SUMIFS(Opex_Budget!$Z:$Z,Opex_Budget!$A:$A,$C$3,Opex_Budget!$E:$E,$B$450,Opex_Budget!$F:$F,$D$450,Opex_Budget!$N:$N,"GBP")*$H$5)</f>
        <v/>
      </c>
      <c r="T450" s="32">
        <f>IF($B$450="","",SUMIF($H$7:$S$7,"&lt;="&amp;$C$4,$H450:$S450))</f>
        <v/>
      </c>
      <c r="U450" s="32">
        <f>IF($B$450="","",SUMIF($H$7:$S$7,"&gt;"&amp;$C$4,$H450:$S450))</f>
        <v/>
      </c>
      <c r="V450" s="32">
        <f>IF($B$450="","",SUM($H450:$S450))</f>
        <v/>
      </c>
      <c r="X450" s="22">
        <f>IF($B450="","",IFERROR(INDEX(Cost_Centers!$E:$E,MATCH($B450,Cost_Centers!$A:$A,0)),"(unknown)"))</f>
        <v/>
      </c>
      <c r="Y450" s="22">
        <f>IF($B450="","",IFERROR(INDEX(Cost_Centers!$D:$D,MATCH($B450,Cost_Centers!$A:$A,0)),"(unknown)"))</f>
        <v/>
      </c>
      <c r="Z450" s="22">
        <f>IF(OR($B450="",$G450&lt;&gt;"Variance vs Budget"),"",ABS(N($V450))+ROW()/1000000000)</f>
        <v/>
      </c>
    </row>
    <row r="451">
      <c r="A451" s="13">
        <f>IF(A$450="","",A$450)</f>
        <v/>
      </c>
      <c r="B451" s="13">
        <f>IF(B$450="","",B$450)</f>
        <v/>
      </c>
      <c r="C451" s="13">
        <f>IF(C$450="","",C$450)</f>
        <v/>
      </c>
      <c r="D451" s="13">
        <f>IF(D$450="","",D$450)</f>
        <v/>
      </c>
      <c r="E451" s="13">
        <f>IF(E$450="","",E$450)</f>
        <v/>
      </c>
      <c r="F451" s="13">
        <f>IF(F$450="","",F$450)</f>
        <v/>
      </c>
      <c r="G451" s="7" t="inlineStr">
        <is>
          <t>Actual</t>
        </is>
      </c>
      <c r="H451" s="18">
        <f>IF(OR($B$450="",1&gt;$C$4),"",SUMIFS(Actuals!$G:$G,Actuals!$B:$B,$C$3,Actuals!$C:$C,1,Actuals!$D:$D,$B$450,Actuals!$A:$A,LEFT($D$450,FIND("|",$D$450&amp;"|")-1),Actuals!$E:$E,MID($D$450,FIND("|",$D$450&amp;"|")+1,50),Actuals!$F:$F,"JPY")*$E$5+SUMIFS(Actuals!$G:$G,Actuals!$B:$B,$C$3,Actuals!$C:$C,1,Actuals!$D:$D,$B$450,Actuals!$A:$A,LEFT($D$450,FIND("|",$D$450&amp;"|")-1),Actuals!$E:$E,MID($D$450,FIND("|",$D$450&amp;"|")+1,50),Actuals!$F:$F,"USD")*$F$5+SUMIFS(Actuals!$G:$G,Actuals!$B:$B,$C$3,Actuals!$C:$C,1,Actuals!$D:$D,$B$450,Actuals!$A:$A,LEFT($D$450,FIND("|",$D$450&amp;"|")-1),Actuals!$E:$E,MID($D$450,FIND("|",$D$450&amp;"|")+1,50),Actuals!$F:$F,"EUR")*$G$5+SUMIFS(Actuals!$G:$G,Actuals!$B:$B,$C$3,Actuals!$C:$C,1,Actuals!$D:$D,$B$450,Actuals!$A:$A,LEFT($D$450,FIND("|",$D$450&amp;"|")-1),Actuals!$E:$E,MID($D$450,FIND("|",$D$450&amp;"|")+1,50),Actuals!$F:$F,"GBP")*$H$5)</f>
        <v/>
      </c>
      <c r="I451" s="18">
        <f>IF(OR($B$450="",2&gt;$C$4),"",SUMIFS(Actuals!$G:$G,Actuals!$B:$B,$C$3,Actuals!$C:$C,2,Actuals!$D:$D,$B$450,Actuals!$A:$A,LEFT($D$450,FIND("|",$D$450&amp;"|")-1),Actuals!$E:$E,MID($D$450,FIND("|",$D$450&amp;"|")+1,50),Actuals!$F:$F,"JPY")*$E$5+SUMIFS(Actuals!$G:$G,Actuals!$B:$B,$C$3,Actuals!$C:$C,2,Actuals!$D:$D,$B$450,Actuals!$A:$A,LEFT($D$450,FIND("|",$D$450&amp;"|")-1),Actuals!$E:$E,MID($D$450,FIND("|",$D$450&amp;"|")+1,50),Actuals!$F:$F,"USD")*$F$5+SUMIFS(Actuals!$G:$G,Actuals!$B:$B,$C$3,Actuals!$C:$C,2,Actuals!$D:$D,$B$450,Actuals!$A:$A,LEFT($D$450,FIND("|",$D$450&amp;"|")-1),Actuals!$E:$E,MID($D$450,FIND("|",$D$450&amp;"|")+1,50),Actuals!$F:$F,"EUR")*$G$5+SUMIFS(Actuals!$G:$G,Actuals!$B:$B,$C$3,Actuals!$C:$C,2,Actuals!$D:$D,$B$450,Actuals!$A:$A,LEFT($D$450,FIND("|",$D$450&amp;"|")-1),Actuals!$E:$E,MID($D$450,FIND("|",$D$450&amp;"|")+1,50),Actuals!$F:$F,"GBP")*$H$5)</f>
        <v/>
      </c>
      <c r="J451" s="18">
        <f>IF(OR($B$450="",3&gt;$C$4),"",SUMIFS(Actuals!$G:$G,Actuals!$B:$B,$C$3,Actuals!$C:$C,3,Actuals!$D:$D,$B$450,Actuals!$A:$A,LEFT($D$450,FIND("|",$D$450&amp;"|")-1),Actuals!$E:$E,MID($D$450,FIND("|",$D$450&amp;"|")+1,50),Actuals!$F:$F,"JPY")*$E$5+SUMIFS(Actuals!$G:$G,Actuals!$B:$B,$C$3,Actuals!$C:$C,3,Actuals!$D:$D,$B$450,Actuals!$A:$A,LEFT($D$450,FIND("|",$D$450&amp;"|")-1),Actuals!$E:$E,MID($D$450,FIND("|",$D$450&amp;"|")+1,50),Actuals!$F:$F,"USD")*$F$5+SUMIFS(Actuals!$G:$G,Actuals!$B:$B,$C$3,Actuals!$C:$C,3,Actuals!$D:$D,$B$450,Actuals!$A:$A,LEFT($D$450,FIND("|",$D$450&amp;"|")-1),Actuals!$E:$E,MID($D$450,FIND("|",$D$450&amp;"|")+1,50),Actuals!$F:$F,"EUR")*$G$5+SUMIFS(Actuals!$G:$G,Actuals!$B:$B,$C$3,Actuals!$C:$C,3,Actuals!$D:$D,$B$450,Actuals!$A:$A,LEFT($D$450,FIND("|",$D$450&amp;"|")-1),Actuals!$E:$E,MID($D$450,FIND("|",$D$450&amp;"|")+1,50),Actuals!$F:$F,"GBP")*$H$5)</f>
        <v/>
      </c>
      <c r="K451" s="18">
        <f>IF(OR($B$450="",4&gt;$C$4),"",SUMIFS(Actuals!$G:$G,Actuals!$B:$B,$C$3,Actuals!$C:$C,4,Actuals!$D:$D,$B$450,Actuals!$A:$A,LEFT($D$450,FIND("|",$D$450&amp;"|")-1),Actuals!$E:$E,MID($D$450,FIND("|",$D$450&amp;"|")+1,50),Actuals!$F:$F,"JPY")*$E$5+SUMIFS(Actuals!$G:$G,Actuals!$B:$B,$C$3,Actuals!$C:$C,4,Actuals!$D:$D,$B$450,Actuals!$A:$A,LEFT($D$450,FIND("|",$D$450&amp;"|")-1),Actuals!$E:$E,MID($D$450,FIND("|",$D$450&amp;"|")+1,50),Actuals!$F:$F,"USD")*$F$5+SUMIFS(Actuals!$G:$G,Actuals!$B:$B,$C$3,Actuals!$C:$C,4,Actuals!$D:$D,$B$450,Actuals!$A:$A,LEFT($D$450,FIND("|",$D$450&amp;"|")-1),Actuals!$E:$E,MID($D$450,FIND("|",$D$450&amp;"|")+1,50),Actuals!$F:$F,"EUR")*$G$5+SUMIFS(Actuals!$G:$G,Actuals!$B:$B,$C$3,Actuals!$C:$C,4,Actuals!$D:$D,$B$450,Actuals!$A:$A,LEFT($D$450,FIND("|",$D$450&amp;"|")-1),Actuals!$E:$E,MID($D$450,FIND("|",$D$450&amp;"|")+1,50),Actuals!$F:$F,"GBP")*$H$5)</f>
        <v/>
      </c>
      <c r="L451" s="18">
        <f>IF(OR($B$450="",5&gt;$C$4),"",SUMIFS(Actuals!$G:$G,Actuals!$B:$B,$C$3,Actuals!$C:$C,5,Actuals!$D:$D,$B$450,Actuals!$A:$A,LEFT($D$450,FIND("|",$D$450&amp;"|")-1),Actuals!$E:$E,MID($D$450,FIND("|",$D$450&amp;"|")+1,50),Actuals!$F:$F,"JPY")*$E$5+SUMIFS(Actuals!$G:$G,Actuals!$B:$B,$C$3,Actuals!$C:$C,5,Actuals!$D:$D,$B$450,Actuals!$A:$A,LEFT($D$450,FIND("|",$D$450&amp;"|")-1),Actuals!$E:$E,MID($D$450,FIND("|",$D$450&amp;"|")+1,50),Actuals!$F:$F,"USD")*$F$5+SUMIFS(Actuals!$G:$G,Actuals!$B:$B,$C$3,Actuals!$C:$C,5,Actuals!$D:$D,$B$450,Actuals!$A:$A,LEFT($D$450,FIND("|",$D$450&amp;"|")-1),Actuals!$E:$E,MID($D$450,FIND("|",$D$450&amp;"|")+1,50),Actuals!$F:$F,"EUR")*$G$5+SUMIFS(Actuals!$G:$G,Actuals!$B:$B,$C$3,Actuals!$C:$C,5,Actuals!$D:$D,$B$450,Actuals!$A:$A,LEFT($D$450,FIND("|",$D$450&amp;"|")-1),Actuals!$E:$E,MID($D$450,FIND("|",$D$450&amp;"|")+1,50),Actuals!$F:$F,"GBP")*$H$5)</f>
        <v/>
      </c>
      <c r="M451" s="18">
        <f>IF(OR($B$450="",6&gt;$C$4),"",SUMIFS(Actuals!$G:$G,Actuals!$B:$B,$C$3,Actuals!$C:$C,6,Actuals!$D:$D,$B$450,Actuals!$A:$A,LEFT($D$450,FIND("|",$D$450&amp;"|")-1),Actuals!$E:$E,MID($D$450,FIND("|",$D$450&amp;"|")+1,50),Actuals!$F:$F,"JPY")*$E$5+SUMIFS(Actuals!$G:$G,Actuals!$B:$B,$C$3,Actuals!$C:$C,6,Actuals!$D:$D,$B$450,Actuals!$A:$A,LEFT($D$450,FIND("|",$D$450&amp;"|")-1),Actuals!$E:$E,MID($D$450,FIND("|",$D$450&amp;"|")+1,50),Actuals!$F:$F,"USD")*$F$5+SUMIFS(Actuals!$G:$G,Actuals!$B:$B,$C$3,Actuals!$C:$C,6,Actuals!$D:$D,$B$450,Actuals!$A:$A,LEFT($D$450,FIND("|",$D$450&amp;"|")-1),Actuals!$E:$E,MID($D$450,FIND("|",$D$450&amp;"|")+1,50),Actuals!$F:$F,"EUR")*$G$5+SUMIFS(Actuals!$G:$G,Actuals!$B:$B,$C$3,Actuals!$C:$C,6,Actuals!$D:$D,$B$450,Actuals!$A:$A,LEFT($D$450,FIND("|",$D$450&amp;"|")-1),Actuals!$E:$E,MID($D$450,FIND("|",$D$450&amp;"|")+1,50),Actuals!$F:$F,"GBP")*$H$5)</f>
        <v/>
      </c>
      <c r="N451" s="18">
        <f>IF(OR($B$450="",7&gt;$C$4),"",SUMIFS(Actuals!$G:$G,Actuals!$B:$B,$C$3,Actuals!$C:$C,7,Actuals!$D:$D,$B$450,Actuals!$A:$A,LEFT($D$450,FIND("|",$D$450&amp;"|")-1),Actuals!$E:$E,MID($D$450,FIND("|",$D$450&amp;"|")+1,50),Actuals!$F:$F,"JPY")*$E$5+SUMIFS(Actuals!$G:$G,Actuals!$B:$B,$C$3,Actuals!$C:$C,7,Actuals!$D:$D,$B$450,Actuals!$A:$A,LEFT($D$450,FIND("|",$D$450&amp;"|")-1),Actuals!$E:$E,MID($D$450,FIND("|",$D$450&amp;"|")+1,50),Actuals!$F:$F,"USD")*$F$5+SUMIFS(Actuals!$G:$G,Actuals!$B:$B,$C$3,Actuals!$C:$C,7,Actuals!$D:$D,$B$450,Actuals!$A:$A,LEFT($D$450,FIND("|",$D$450&amp;"|")-1),Actuals!$E:$E,MID($D$450,FIND("|",$D$450&amp;"|")+1,50),Actuals!$F:$F,"EUR")*$G$5+SUMIFS(Actuals!$G:$G,Actuals!$B:$B,$C$3,Actuals!$C:$C,7,Actuals!$D:$D,$B$450,Actuals!$A:$A,LEFT($D$450,FIND("|",$D$450&amp;"|")-1),Actuals!$E:$E,MID($D$450,FIND("|",$D$450&amp;"|")+1,50),Actuals!$F:$F,"GBP")*$H$5)</f>
        <v/>
      </c>
      <c r="O451" s="18">
        <f>IF(OR($B$450="",8&gt;$C$4),"",SUMIFS(Actuals!$G:$G,Actuals!$B:$B,$C$3,Actuals!$C:$C,8,Actuals!$D:$D,$B$450,Actuals!$A:$A,LEFT($D$450,FIND("|",$D$450&amp;"|")-1),Actuals!$E:$E,MID($D$450,FIND("|",$D$450&amp;"|")+1,50),Actuals!$F:$F,"JPY")*$E$5+SUMIFS(Actuals!$G:$G,Actuals!$B:$B,$C$3,Actuals!$C:$C,8,Actuals!$D:$D,$B$450,Actuals!$A:$A,LEFT($D$450,FIND("|",$D$450&amp;"|")-1),Actuals!$E:$E,MID($D$450,FIND("|",$D$450&amp;"|")+1,50),Actuals!$F:$F,"USD")*$F$5+SUMIFS(Actuals!$G:$G,Actuals!$B:$B,$C$3,Actuals!$C:$C,8,Actuals!$D:$D,$B$450,Actuals!$A:$A,LEFT($D$450,FIND("|",$D$450&amp;"|")-1),Actuals!$E:$E,MID($D$450,FIND("|",$D$450&amp;"|")+1,50),Actuals!$F:$F,"EUR")*$G$5+SUMIFS(Actuals!$G:$G,Actuals!$B:$B,$C$3,Actuals!$C:$C,8,Actuals!$D:$D,$B$450,Actuals!$A:$A,LEFT($D$450,FIND("|",$D$450&amp;"|")-1),Actuals!$E:$E,MID($D$450,FIND("|",$D$450&amp;"|")+1,50),Actuals!$F:$F,"GBP")*$H$5)</f>
        <v/>
      </c>
      <c r="P451" s="18">
        <f>IF(OR($B$450="",9&gt;$C$4),"",SUMIFS(Actuals!$G:$G,Actuals!$B:$B,$C$3,Actuals!$C:$C,9,Actuals!$D:$D,$B$450,Actuals!$A:$A,LEFT($D$450,FIND("|",$D$450&amp;"|")-1),Actuals!$E:$E,MID($D$450,FIND("|",$D$450&amp;"|")+1,50),Actuals!$F:$F,"JPY")*$E$5+SUMIFS(Actuals!$G:$G,Actuals!$B:$B,$C$3,Actuals!$C:$C,9,Actuals!$D:$D,$B$450,Actuals!$A:$A,LEFT($D$450,FIND("|",$D$450&amp;"|")-1),Actuals!$E:$E,MID($D$450,FIND("|",$D$450&amp;"|")+1,50),Actuals!$F:$F,"USD")*$F$5+SUMIFS(Actuals!$G:$G,Actuals!$B:$B,$C$3,Actuals!$C:$C,9,Actuals!$D:$D,$B$450,Actuals!$A:$A,LEFT($D$450,FIND("|",$D$450&amp;"|")-1),Actuals!$E:$E,MID($D$450,FIND("|",$D$450&amp;"|")+1,50),Actuals!$F:$F,"EUR")*$G$5+SUMIFS(Actuals!$G:$G,Actuals!$B:$B,$C$3,Actuals!$C:$C,9,Actuals!$D:$D,$B$450,Actuals!$A:$A,LEFT($D$450,FIND("|",$D$450&amp;"|")-1),Actuals!$E:$E,MID($D$450,FIND("|",$D$450&amp;"|")+1,50),Actuals!$F:$F,"GBP")*$H$5)</f>
        <v/>
      </c>
      <c r="Q451" s="18">
        <f>IF(OR($B$450="",10&gt;$C$4),"",SUMIFS(Actuals!$G:$G,Actuals!$B:$B,$C$3,Actuals!$C:$C,10,Actuals!$D:$D,$B$450,Actuals!$A:$A,LEFT($D$450,FIND("|",$D$450&amp;"|")-1),Actuals!$E:$E,MID($D$450,FIND("|",$D$450&amp;"|")+1,50),Actuals!$F:$F,"JPY")*$E$5+SUMIFS(Actuals!$G:$G,Actuals!$B:$B,$C$3,Actuals!$C:$C,10,Actuals!$D:$D,$B$450,Actuals!$A:$A,LEFT($D$450,FIND("|",$D$450&amp;"|")-1),Actuals!$E:$E,MID($D$450,FIND("|",$D$450&amp;"|")+1,50),Actuals!$F:$F,"USD")*$F$5+SUMIFS(Actuals!$G:$G,Actuals!$B:$B,$C$3,Actuals!$C:$C,10,Actuals!$D:$D,$B$450,Actuals!$A:$A,LEFT($D$450,FIND("|",$D$450&amp;"|")-1),Actuals!$E:$E,MID($D$450,FIND("|",$D$450&amp;"|")+1,50),Actuals!$F:$F,"EUR")*$G$5+SUMIFS(Actuals!$G:$G,Actuals!$B:$B,$C$3,Actuals!$C:$C,10,Actuals!$D:$D,$B$450,Actuals!$A:$A,LEFT($D$450,FIND("|",$D$450&amp;"|")-1),Actuals!$E:$E,MID($D$450,FIND("|",$D$450&amp;"|")+1,50),Actuals!$F:$F,"GBP")*$H$5)</f>
        <v/>
      </c>
      <c r="R451" s="18">
        <f>IF(OR($B$450="",11&gt;$C$4),"",SUMIFS(Actuals!$G:$G,Actuals!$B:$B,$C$3,Actuals!$C:$C,11,Actuals!$D:$D,$B$450,Actuals!$A:$A,LEFT($D$450,FIND("|",$D$450&amp;"|")-1),Actuals!$E:$E,MID($D$450,FIND("|",$D$450&amp;"|")+1,50),Actuals!$F:$F,"JPY")*$E$5+SUMIFS(Actuals!$G:$G,Actuals!$B:$B,$C$3,Actuals!$C:$C,11,Actuals!$D:$D,$B$450,Actuals!$A:$A,LEFT($D$450,FIND("|",$D$450&amp;"|")-1),Actuals!$E:$E,MID($D$450,FIND("|",$D$450&amp;"|")+1,50),Actuals!$F:$F,"USD")*$F$5+SUMIFS(Actuals!$G:$G,Actuals!$B:$B,$C$3,Actuals!$C:$C,11,Actuals!$D:$D,$B$450,Actuals!$A:$A,LEFT($D$450,FIND("|",$D$450&amp;"|")-1),Actuals!$E:$E,MID($D$450,FIND("|",$D$450&amp;"|")+1,50),Actuals!$F:$F,"EUR")*$G$5+SUMIFS(Actuals!$G:$G,Actuals!$B:$B,$C$3,Actuals!$C:$C,11,Actuals!$D:$D,$B$450,Actuals!$A:$A,LEFT($D$450,FIND("|",$D$450&amp;"|")-1),Actuals!$E:$E,MID($D$450,FIND("|",$D$450&amp;"|")+1,50),Actuals!$F:$F,"GBP")*$H$5)</f>
        <v/>
      </c>
      <c r="S451" s="18">
        <f>IF(OR($B$450="",12&gt;$C$4),"",SUMIFS(Actuals!$G:$G,Actuals!$B:$B,$C$3,Actuals!$C:$C,12,Actuals!$D:$D,$B$450,Actuals!$A:$A,LEFT($D$450,FIND("|",$D$450&amp;"|")-1),Actuals!$E:$E,MID($D$450,FIND("|",$D$450&amp;"|")+1,50),Actuals!$F:$F,"JPY")*$E$5+SUMIFS(Actuals!$G:$G,Actuals!$B:$B,$C$3,Actuals!$C:$C,12,Actuals!$D:$D,$B$450,Actuals!$A:$A,LEFT($D$450,FIND("|",$D$450&amp;"|")-1),Actuals!$E:$E,MID($D$450,FIND("|",$D$450&amp;"|")+1,50),Actuals!$F:$F,"USD")*$F$5+SUMIFS(Actuals!$G:$G,Actuals!$B:$B,$C$3,Actuals!$C:$C,12,Actuals!$D:$D,$B$450,Actuals!$A:$A,LEFT($D$450,FIND("|",$D$450&amp;"|")-1),Actuals!$E:$E,MID($D$450,FIND("|",$D$450&amp;"|")+1,50),Actuals!$F:$F,"EUR")*$G$5+SUMIFS(Actuals!$G:$G,Actuals!$B:$B,$C$3,Actuals!$C:$C,12,Actuals!$D:$D,$B$450,Actuals!$A:$A,LEFT($D$450,FIND("|",$D$450&amp;"|")-1),Actuals!$E:$E,MID($D$450,FIND("|",$D$450&amp;"|")+1,50),Actuals!$F:$F,"GBP")*$H$5)</f>
        <v/>
      </c>
      <c r="T451" s="18">
        <f>IF($B$450="","",SUMIF($H$7:$S$7,"&lt;="&amp;$C$4,$H451:$S451))</f>
        <v/>
      </c>
      <c r="U451" s="18" t="n"/>
      <c r="V451" s="18" t="n"/>
      <c r="X451" s="22">
        <f>IF($B451="","",IFERROR(INDEX(Cost_Centers!$E:$E,MATCH($B451,Cost_Centers!$A:$A,0)),"(unknown)"))</f>
        <v/>
      </c>
      <c r="Y451" s="22">
        <f>IF($B451="","",IFERROR(INDEX(Cost_Centers!$D:$D,MATCH($B451,Cost_Centers!$A:$A,0)),"(unknown)"))</f>
        <v/>
      </c>
      <c r="Z451" s="22">
        <f>IF(OR($B451="",$G451&lt;&gt;"Variance vs Budget"),"",ABS(N($V451))+ROW()/1000000000)</f>
        <v/>
      </c>
    </row>
    <row r="452">
      <c r="A452" s="13">
        <f>IF(A$450="","",A$450)</f>
        <v/>
      </c>
      <c r="B452" s="13">
        <f>IF(B$450="","",B$450)</f>
        <v/>
      </c>
      <c r="C452" s="13">
        <f>IF(C$450="","",C$450)</f>
        <v/>
      </c>
      <c r="D452" s="13">
        <f>IF(D$450="","",D$450)</f>
        <v/>
      </c>
      <c r="E452" s="13">
        <f>IF(E$450="","",E$450)</f>
        <v/>
      </c>
      <c r="F452" s="13">
        <f>IF(F$450="","",F$450)</f>
        <v/>
      </c>
      <c r="G452" s="6" t="inlineStr">
        <is>
          <t>Variance vs Budget</t>
        </is>
      </c>
      <c r="H452" s="33">
        <f>IF(OR($B$450="",1&gt;$C$4),"",N(H451)-H450)</f>
        <v/>
      </c>
      <c r="I452" s="33">
        <f>IF(OR($B$450="",2&gt;$C$4),"",N(I451)-I450)</f>
        <v/>
      </c>
      <c r="J452" s="33">
        <f>IF(OR($B$450="",3&gt;$C$4),"",N(J451)-J450)</f>
        <v/>
      </c>
      <c r="K452" s="33">
        <f>IF(OR($B$450="",4&gt;$C$4),"",N(K451)-K450)</f>
        <v/>
      </c>
      <c r="L452" s="33">
        <f>IF(OR($B$450="",5&gt;$C$4),"",N(L451)-L450)</f>
        <v/>
      </c>
      <c r="M452" s="33">
        <f>IF(OR($B$450="",6&gt;$C$4),"",N(M451)-M450)</f>
        <v/>
      </c>
      <c r="N452" s="33">
        <f>IF(OR($B$450="",7&gt;$C$4),"",N(N451)-N450)</f>
        <v/>
      </c>
      <c r="O452" s="33">
        <f>IF(OR($B$450="",8&gt;$C$4),"",N(O451)-O450)</f>
        <v/>
      </c>
      <c r="P452" s="33">
        <f>IF(OR($B$450="",9&gt;$C$4),"",N(P451)-P450)</f>
        <v/>
      </c>
      <c r="Q452" s="33">
        <f>IF(OR($B$450="",10&gt;$C$4),"",N(Q451)-Q450)</f>
        <v/>
      </c>
      <c r="R452" s="33">
        <f>IF(OR($B$450="",11&gt;$C$4),"",N(R451)-R450)</f>
        <v/>
      </c>
      <c r="S452" s="33">
        <f>IF(OR($B$450="",12&gt;$C$4),"",N(S451)-S450)</f>
        <v/>
      </c>
      <c r="T452" s="33">
        <f>IF($B$450="","",T451-T450)</f>
        <v/>
      </c>
      <c r="U452" s="33">
        <f>IF($B$450="","",U454-U450)</f>
        <v/>
      </c>
      <c r="V452" s="33">
        <f>IF($B$450="","",V454-V450)</f>
        <v/>
      </c>
      <c r="X452" s="22">
        <f>IF($B452="","",IFERROR(INDEX(Cost_Centers!$E:$E,MATCH($B452,Cost_Centers!$A:$A,0)),"(unknown)"))</f>
        <v/>
      </c>
      <c r="Y452" s="22">
        <f>IF($B452="","",IFERROR(INDEX(Cost_Centers!$D:$D,MATCH($B452,Cost_Centers!$A:$A,0)),"(unknown)"))</f>
        <v/>
      </c>
      <c r="Z452" s="22">
        <f>IF(OR($B452="",$G452&lt;&gt;"Variance vs Budget"),"",ABS(N($V452))+ROW()/1000000000)</f>
        <v/>
      </c>
    </row>
    <row r="453">
      <c r="A453" s="13">
        <f>IF(A$450="","",A$450)</f>
        <v/>
      </c>
      <c r="B453" s="13">
        <f>IF(B$450="","",B$450)</f>
        <v/>
      </c>
      <c r="C453" s="13">
        <f>IF(C$450="","",C$450)</f>
        <v/>
      </c>
      <c r="D453" s="13">
        <f>IF(D$450="","",D$450)</f>
        <v/>
      </c>
      <c r="E453" s="13">
        <f>IF(E$450="","",E$450)</f>
        <v/>
      </c>
      <c r="F453" s="13">
        <f>IF(F$450="","",F$450)</f>
        <v/>
      </c>
      <c r="G453" s="7" t="inlineStr">
        <is>
          <t>Forecast (input)</t>
        </is>
      </c>
      <c r="H453" s="34" t="n"/>
      <c r="I453" s="34" t="n"/>
      <c r="J453" s="34" t="n"/>
      <c r="K453" s="34" t="n"/>
      <c r="L453" s="34" t="n"/>
      <c r="M453" s="34" t="n"/>
      <c r="N453" s="34" t="n"/>
      <c r="O453" s="34" t="n"/>
      <c r="P453" s="34" t="n"/>
      <c r="Q453" s="34" t="n"/>
      <c r="R453" s="34" t="n"/>
      <c r="S453" s="34" t="n"/>
      <c r="T453" s="18" t="n"/>
      <c r="U453" s="18" t="n"/>
      <c r="V453" s="18" t="n"/>
      <c r="X453" s="22">
        <f>IF($B453="","",IFERROR(INDEX(Cost_Centers!$E:$E,MATCH($B453,Cost_Centers!$A:$A,0)),"(unknown)"))</f>
        <v/>
      </c>
      <c r="Y453" s="22">
        <f>IF($B453="","",IFERROR(INDEX(Cost_Centers!$D:$D,MATCH($B453,Cost_Centers!$A:$A,0)),"(unknown)"))</f>
        <v/>
      </c>
      <c r="Z453" s="22">
        <f>IF(OR($B453="",$G453&lt;&gt;"Variance vs Budget"),"",ABS(N($V453))+ROW()/1000000000)</f>
        <v/>
      </c>
    </row>
    <row r="454">
      <c r="A454" s="13">
        <f>IF(A$450="","",A$450)</f>
        <v/>
      </c>
      <c r="B454" s="13">
        <f>IF(B$450="","",B$450)</f>
        <v/>
      </c>
      <c r="C454" s="13">
        <f>IF(C$450="","",C$450)</f>
        <v/>
      </c>
      <c r="D454" s="13">
        <f>IF(D$450="","",D$450)</f>
        <v/>
      </c>
      <c r="E454" s="13">
        <f>IF(E$450="","",E$450)</f>
        <v/>
      </c>
      <c r="F454" s="13">
        <f>IF(F$450="","",F$450)</f>
        <v/>
      </c>
      <c r="G454" s="35" t="inlineStr">
        <is>
          <t>Actual + Forecast</t>
        </is>
      </c>
      <c r="H454" s="18">
        <f>IF($B$450="","",IF(1&lt;=$C$4,N(H451),IF(H453="",H450,H453)))</f>
        <v/>
      </c>
      <c r="I454" s="18">
        <f>IF($B$450="","",IF(2&lt;=$C$4,N(I451),IF(I453="",I450,I453)))</f>
        <v/>
      </c>
      <c r="J454" s="18">
        <f>IF($B$450="","",IF(3&lt;=$C$4,N(J451),IF(J453="",J450,J453)))</f>
        <v/>
      </c>
      <c r="K454" s="18">
        <f>IF($B$450="","",IF(4&lt;=$C$4,N(K451),IF(K453="",K450,K453)))</f>
        <v/>
      </c>
      <c r="L454" s="18">
        <f>IF($B$450="","",IF(5&lt;=$C$4,N(L451),IF(L453="",L450,L453)))</f>
        <v/>
      </c>
      <c r="M454" s="18">
        <f>IF($B$450="","",IF(6&lt;=$C$4,N(M451),IF(M453="",M450,M453)))</f>
        <v/>
      </c>
      <c r="N454" s="18">
        <f>IF($B$450="","",IF(7&lt;=$C$4,N(N451),IF(N453="",N450,N453)))</f>
        <v/>
      </c>
      <c r="O454" s="18">
        <f>IF($B$450="","",IF(8&lt;=$C$4,N(O451),IF(O453="",O450,O453)))</f>
        <v/>
      </c>
      <c r="P454" s="18">
        <f>IF($B$450="","",IF(9&lt;=$C$4,N(P451),IF(P453="",P450,P453)))</f>
        <v/>
      </c>
      <c r="Q454" s="18">
        <f>IF($B$450="","",IF(10&lt;=$C$4,N(Q451),IF(Q453="",Q450,Q453)))</f>
        <v/>
      </c>
      <c r="R454" s="18">
        <f>IF($B$450="","",IF(11&lt;=$C$4,N(R451),IF(R453="",R450,R453)))</f>
        <v/>
      </c>
      <c r="S454" s="18">
        <f>IF($B$450="","",IF(12&lt;=$C$4,N(S451),IF(S453="",S450,S453)))</f>
        <v/>
      </c>
      <c r="T454" s="18">
        <f>IF($B$450="","",SUMIF($H$7:$S$7,"&lt;="&amp;$C$4,$H454:$S454))</f>
        <v/>
      </c>
      <c r="U454" s="18">
        <f>IF($B$450="","",SUMIF($H$7:$S$7,"&gt;"&amp;$C$4,$H454:$S454))</f>
        <v/>
      </c>
      <c r="V454" s="18">
        <f>IF($B$450="","",SUM($H454:$S454))</f>
        <v/>
      </c>
      <c r="X454" s="22">
        <f>IF($B454="","",IFERROR(INDEX(Cost_Centers!$E:$E,MATCH($B454,Cost_Centers!$A:$A,0)),"(unknown)"))</f>
        <v/>
      </c>
      <c r="Y454" s="22">
        <f>IF($B454="","",IFERROR(INDEX(Cost_Centers!$D:$D,MATCH($B454,Cost_Centers!$A:$A,0)),"(unknown)"))</f>
        <v/>
      </c>
      <c r="Z454" s="22">
        <f>IF(OR($B454="",$G454&lt;&gt;"Variance vs Budget"),"",ABS(N($V454))+ROW()/1000000000)</f>
        <v/>
      </c>
    </row>
    <row r="455">
      <c r="A455" s="13">
        <f>IF(A$450="","",A$450)</f>
        <v/>
      </c>
      <c r="B455" s="13">
        <f>IF(B$450="","",B$450)</f>
        <v/>
      </c>
      <c r="C455" s="13">
        <f>IF(C$450="","",C$450)</f>
        <v/>
      </c>
      <c r="D455" s="13">
        <f>IF(D$450="","",D$450)</f>
        <v/>
      </c>
      <c r="E455" s="13">
        <f>IF(E$450="","",E$450)</f>
        <v/>
      </c>
      <c r="F455" s="13">
        <f>IF(F$450="","",F$450)</f>
        <v/>
      </c>
      <c r="G455" s="36" t="inlineStr">
        <is>
          <t>Prior Month Forecast</t>
        </is>
      </c>
      <c r="H455" s="37">
        <f>IF($B$450="","",IF(COUNTIFS(Prior_Forecast!$A:$A,$B$450,Prior_Forecast!$B:$B,$D$450)&gt;0,SUMIFS(Prior_Forecast!$C:$C,Prior_Forecast!$A:$A,$B$450,Prior_Forecast!$B:$B,$D$450),""))</f>
        <v/>
      </c>
      <c r="I455" s="37">
        <f>IF($B$450="","",IF(COUNTIFS(Prior_Forecast!$A:$A,$B$450,Prior_Forecast!$B:$B,$D$450)&gt;0,SUMIFS(Prior_Forecast!$D:$D,Prior_Forecast!$A:$A,$B$450,Prior_Forecast!$B:$B,$D$450),""))</f>
        <v/>
      </c>
      <c r="J455" s="37">
        <f>IF($B$450="","",IF(COUNTIFS(Prior_Forecast!$A:$A,$B$450,Prior_Forecast!$B:$B,$D$450)&gt;0,SUMIFS(Prior_Forecast!$E:$E,Prior_Forecast!$A:$A,$B$450,Prior_Forecast!$B:$B,$D$450),""))</f>
        <v/>
      </c>
      <c r="K455" s="37">
        <f>IF($B$450="","",IF(COUNTIFS(Prior_Forecast!$A:$A,$B$450,Prior_Forecast!$B:$B,$D$450)&gt;0,SUMIFS(Prior_Forecast!$F:$F,Prior_Forecast!$A:$A,$B$450,Prior_Forecast!$B:$B,$D$450),""))</f>
        <v/>
      </c>
      <c r="L455" s="37">
        <f>IF($B$450="","",IF(COUNTIFS(Prior_Forecast!$A:$A,$B$450,Prior_Forecast!$B:$B,$D$450)&gt;0,SUMIFS(Prior_Forecast!$G:$G,Prior_Forecast!$A:$A,$B$450,Prior_Forecast!$B:$B,$D$450),""))</f>
        <v/>
      </c>
      <c r="M455" s="37">
        <f>IF($B$450="","",IF(COUNTIFS(Prior_Forecast!$A:$A,$B$450,Prior_Forecast!$B:$B,$D$450)&gt;0,SUMIFS(Prior_Forecast!$H:$H,Prior_Forecast!$A:$A,$B$450,Prior_Forecast!$B:$B,$D$450),""))</f>
        <v/>
      </c>
      <c r="N455" s="37">
        <f>IF($B$450="","",IF(COUNTIFS(Prior_Forecast!$A:$A,$B$450,Prior_Forecast!$B:$B,$D$450)&gt;0,SUMIFS(Prior_Forecast!$I:$I,Prior_Forecast!$A:$A,$B$450,Prior_Forecast!$B:$B,$D$450),""))</f>
        <v/>
      </c>
      <c r="O455" s="37">
        <f>IF($B$450="","",IF(COUNTIFS(Prior_Forecast!$A:$A,$B$450,Prior_Forecast!$B:$B,$D$450)&gt;0,SUMIFS(Prior_Forecast!$J:$J,Prior_Forecast!$A:$A,$B$450,Prior_Forecast!$B:$B,$D$450),""))</f>
        <v/>
      </c>
      <c r="P455" s="37">
        <f>IF($B$450="","",IF(COUNTIFS(Prior_Forecast!$A:$A,$B$450,Prior_Forecast!$B:$B,$D$450)&gt;0,SUMIFS(Prior_Forecast!$K:$K,Prior_Forecast!$A:$A,$B$450,Prior_Forecast!$B:$B,$D$450),""))</f>
        <v/>
      </c>
      <c r="Q455" s="37">
        <f>IF($B$450="","",IF(COUNTIFS(Prior_Forecast!$A:$A,$B$450,Prior_Forecast!$B:$B,$D$450)&gt;0,SUMIFS(Prior_Forecast!$L:$L,Prior_Forecast!$A:$A,$B$450,Prior_Forecast!$B:$B,$D$450),""))</f>
        <v/>
      </c>
      <c r="R455" s="37">
        <f>IF($B$450="","",IF(COUNTIFS(Prior_Forecast!$A:$A,$B$450,Prior_Forecast!$B:$B,$D$450)&gt;0,SUMIFS(Prior_Forecast!$M:$M,Prior_Forecast!$A:$A,$B$450,Prior_Forecast!$B:$B,$D$450),""))</f>
        <v/>
      </c>
      <c r="S455" s="37">
        <f>IF($B$450="","",IF(COUNTIFS(Prior_Forecast!$A:$A,$B$450,Prior_Forecast!$B:$B,$D$450)&gt;0,SUMIFS(Prior_Forecast!$N:$N,Prior_Forecast!$A:$A,$B$450,Prior_Forecast!$B:$B,$D$450),""))</f>
        <v/>
      </c>
      <c r="T455" s="37">
        <f>IF($B$450="","",IF(COUNTIFS(Prior_Forecast!$A:$A,$B$450,Prior_Forecast!$B:$B,$D$450)&gt;0,SUMIFS(Prior_Forecast!$O:$O,Prior_Forecast!$A:$A,$B$450,Prior_Forecast!$B:$B,$D$450),""))</f>
        <v/>
      </c>
      <c r="U455" s="37">
        <f>IF($B$450="","",IF(COUNTIFS(Prior_Forecast!$A:$A,$B$450,Prior_Forecast!$B:$B,$D$450)&gt;0,SUMIFS(Prior_Forecast!$P:$P,Prior_Forecast!$A:$A,$B$450,Prior_Forecast!$B:$B,$D$450),""))</f>
        <v/>
      </c>
      <c r="V455" s="37">
        <f>IF($B$450="","",IF(COUNTIFS(Prior_Forecast!$A:$A,$B$450,Prior_Forecast!$B:$B,$D$450)&gt;0,SUMIFS(Prior_Forecast!$Q:$Q,Prior_Forecast!$A:$A,$B$450,Prior_Forecast!$B:$B,$D$450),""))</f>
        <v/>
      </c>
      <c r="X455" s="22">
        <f>IF($B455="","",IFERROR(INDEX(Cost_Centers!$E:$E,MATCH($B455,Cost_Centers!$A:$A,0)),"(unknown)"))</f>
        <v/>
      </c>
      <c r="Y455" s="22">
        <f>IF($B455="","",IFERROR(INDEX(Cost_Centers!$D:$D,MATCH($B455,Cost_Centers!$A:$A,0)),"(unknown)"))</f>
        <v/>
      </c>
      <c r="Z455" s="22">
        <f>IF(OR($B455="",$G455&lt;&gt;"Variance vs Budget"),"",ABS(N($V455))+ROW()/1000000000)</f>
        <v/>
      </c>
    </row>
    <row r="456">
      <c r="A456" s="13">
        <f>IF(A$450="","",A$450)</f>
        <v/>
      </c>
      <c r="B456" s="13">
        <f>IF(B$450="","",B$450)</f>
        <v/>
      </c>
      <c r="C456" s="13">
        <f>IF(C$450="","",C$450)</f>
        <v/>
      </c>
      <c r="D456" s="13">
        <f>IF(D$450="","",D$450)</f>
        <v/>
      </c>
      <c r="E456" s="13">
        <f>IF(E$450="","",E$450)</f>
        <v/>
      </c>
      <c r="F456" s="13">
        <f>IF(F$450="","",F$450)</f>
        <v/>
      </c>
      <c r="G456" s="6" t="inlineStr">
        <is>
          <t>Variance vs Prior Month</t>
        </is>
      </c>
      <c r="H456" s="33">
        <f>IF(OR($B$450="",H455=""),"",H454-H455)</f>
        <v/>
      </c>
      <c r="I456" s="33">
        <f>IF(OR($B$450="",I455=""),"",I454-I455)</f>
        <v/>
      </c>
      <c r="J456" s="33">
        <f>IF(OR($B$450="",J455=""),"",J454-J455)</f>
        <v/>
      </c>
      <c r="K456" s="33">
        <f>IF(OR($B$450="",K455=""),"",K454-K455)</f>
        <v/>
      </c>
      <c r="L456" s="33">
        <f>IF(OR($B$450="",L455=""),"",L454-L455)</f>
        <v/>
      </c>
      <c r="M456" s="33">
        <f>IF(OR($B$450="",M455=""),"",M454-M455)</f>
        <v/>
      </c>
      <c r="N456" s="33">
        <f>IF(OR($B$450="",N455=""),"",N454-N455)</f>
        <v/>
      </c>
      <c r="O456" s="33">
        <f>IF(OR($B$450="",O455=""),"",O454-O455)</f>
        <v/>
      </c>
      <c r="P456" s="33">
        <f>IF(OR($B$450="",P455=""),"",P454-P455)</f>
        <v/>
      </c>
      <c r="Q456" s="33">
        <f>IF(OR($B$450="",Q455=""),"",Q454-Q455)</f>
        <v/>
      </c>
      <c r="R456" s="33">
        <f>IF(OR($B$450="",R455=""),"",R454-R455)</f>
        <v/>
      </c>
      <c r="S456" s="33">
        <f>IF(OR($B$450="",S455=""),"",S454-S455)</f>
        <v/>
      </c>
      <c r="T456" s="33">
        <f>IF(OR($B$450="",T455=""),"",T454-T455)</f>
        <v/>
      </c>
      <c r="U456" s="33">
        <f>IF(OR($B$450="",U455=""),"",U454-U455)</f>
        <v/>
      </c>
      <c r="V456" s="33">
        <f>IF(OR($B$450="",V455=""),"",V454-V455)</f>
        <v/>
      </c>
      <c r="X456" s="22">
        <f>IF($B456="","",IFERROR(INDEX(Cost_Centers!$E:$E,MATCH($B456,Cost_Centers!$A:$A,0)),"(unknown)"))</f>
        <v/>
      </c>
      <c r="Y456" s="22">
        <f>IF($B456="","",IFERROR(INDEX(Cost_Centers!$D:$D,MATCH($B456,Cost_Centers!$A:$A,0)),"(unknown)"))</f>
        <v/>
      </c>
      <c r="Z456" s="22">
        <f>IF(OR($B456="",$G456&lt;&gt;"Variance vs Budget"),"",ABS(N($V456))+ROW()/1000000000)</f>
        <v/>
      </c>
    </row>
    <row r="457" ht="45" customHeight="1">
      <c r="A457" s="13">
        <f>IF(A$450="","",A$450)</f>
        <v/>
      </c>
      <c r="B457" s="13">
        <f>IF(B$450="","",B$450)</f>
        <v/>
      </c>
      <c r="C457" s="13">
        <f>IF(C$450="","",C$450)</f>
        <v/>
      </c>
      <c r="D457" s="13">
        <f>IF(D$450="","",D$450)</f>
        <v/>
      </c>
      <c r="E457" s="13">
        <f>IF(E$450="","",E$450)</f>
        <v/>
      </c>
      <c r="F457" s="13">
        <f>IF(F$450="","",F$450)</f>
        <v/>
      </c>
      <c r="G457" s="7" t="inlineStr">
        <is>
          <t>Rationale</t>
        </is>
      </c>
      <c r="H457" s="38" t="n"/>
      <c r="I457" s="38" t="n"/>
      <c r="J457" s="38" t="n"/>
      <c r="K457" s="38" t="n"/>
      <c r="L457" s="38" t="n"/>
      <c r="M457" s="38" t="n"/>
      <c r="N457" s="38" t="n"/>
      <c r="O457" s="38" t="n"/>
      <c r="P457" s="38" t="n"/>
      <c r="Q457" s="38" t="n"/>
      <c r="R457" s="38" t="n"/>
      <c r="S457" s="38" t="n"/>
      <c r="T457" s="38" t="n"/>
      <c r="U457" s="38" t="n"/>
      <c r="V457" s="7" t="n"/>
      <c r="X457" s="22">
        <f>IF($B457="","",IFERROR(INDEX(Cost_Centers!$E:$E,MATCH($B457,Cost_Centers!$A:$A,0)),"(unknown)"))</f>
        <v/>
      </c>
      <c r="Y457" s="22">
        <f>IF($B457="","",IFERROR(INDEX(Cost_Centers!$D:$D,MATCH($B457,Cost_Centers!$A:$A,0)),"(unknown)"))</f>
        <v/>
      </c>
      <c r="Z457" s="22">
        <f>IF(OR($B457="",$G457&lt;&gt;"Variance vs Budget"),"",ABS(N($V457))+ROW()/1000000000)</f>
        <v/>
      </c>
    </row>
    <row r="458">
      <c r="A458" s="30">
        <f>IF($D$458="","",LEFT($D$458,FIND("|",$D$458&amp;"|")-1))</f>
        <v/>
      </c>
      <c r="B458" s="31" t="n"/>
      <c r="C458" s="30">
        <f>IF($B$458="","",IFERROR(INDEX(Cost_Centers!$B:$B,MATCH($B$458,Cost_Centers!$A:$A,0)),"(not in master)"))</f>
        <v/>
      </c>
      <c r="D458" s="31" t="n"/>
      <c r="E458" s="30">
        <f>IF($D$458="","",IFERROR(INDEX(Accounts!$D:$D,MATCH($D$458,Accounts!$A:$A,0)),"(not in master)"))</f>
        <v/>
      </c>
      <c r="F458" s="31" t="n"/>
      <c r="G458" s="30" t="inlineStr">
        <is>
          <t>Budget</t>
        </is>
      </c>
      <c r="H458" s="32">
        <f>IF($B$458="","",SUMIFS(Opex_Budget!$O:$O,Opex_Budget!$A:$A,$C$3,Opex_Budget!$E:$E,$B$458,Opex_Budget!$F:$F,$D$458,Opex_Budget!$N:$N,"JPY")*$E$5+SUMIFS(Opex_Budget!$O:$O,Opex_Budget!$A:$A,$C$3,Opex_Budget!$E:$E,$B$458,Opex_Budget!$F:$F,$D$458,Opex_Budget!$N:$N,"USD")*$F$5+SUMIFS(Opex_Budget!$O:$O,Opex_Budget!$A:$A,$C$3,Opex_Budget!$E:$E,$B$458,Opex_Budget!$F:$F,$D$458,Opex_Budget!$N:$N,"EUR")*$G$5+SUMIFS(Opex_Budget!$O:$O,Opex_Budget!$A:$A,$C$3,Opex_Budget!$E:$E,$B$458,Opex_Budget!$F:$F,$D$458,Opex_Budget!$N:$N,"GBP")*$H$5)</f>
        <v/>
      </c>
      <c r="I458" s="32">
        <f>IF($B$458="","",SUMIFS(Opex_Budget!$P:$P,Opex_Budget!$A:$A,$C$3,Opex_Budget!$E:$E,$B$458,Opex_Budget!$F:$F,$D$458,Opex_Budget!$N:$N,"JPY")*$E$5+SUMIFS(Opex_Budget!$P:$P,Opex_Budget!$A:$A,$C$3,Opex_Budget!$E:$E,$B$458,Opex_Budget!$F:$F,$D$458,Opex_Budget!$N:$N,"USD")*$F$5+SUMIFS(Opex_Budget!$P:$P,Opex_Budget!$A:$A,$C$3,Opex_Budget!$E:$E,$B$458,Opex_Budget!$F:$F,$D$458,Opex_Budget!$N:$N,"EUR")*$G$5+SUMIFS(Opex_Budget!$P:$P,Opex_Budget!$A:$A,$C$3,Opex_Budget!$E:$E,$B$458,Opex_Budget!$F:$F,$D$458,Opex_Budget!$N:$N,"GBP")*$H$5)</f>
        <v/>
      </c>
      <c r="J458" s="32">
        <f>IF($B$458="","",SUMIFS(Opex_Budget!$Q:$Q,Opex_Budget!$A:$A,$C$3,Opex_Budget!$E:$E,$B$458,Opex_Budget!$F:$F,$D$458,Opex_Budget!$N:$N,"JPY")*$E$5+SUMIFS(Opex_Budget!$Q:$Q,Opex_Budget!$A:$A,$C$3,Opex_Budget!$E:$E,$B$458,Opex_Budget!$F:$F,$D$458,Opex_Budget!$N:$N,"USD")*$F$5+SUMIFS(Opex_Budget!$Q:$Q,Opex_Budget!$A:$A,$C$3,Opex_Budget!$E:$E,$B$458,Opex_Budget!$F:$F,$D$458,Opex_Budget!$N:$N,"EUR")*$G$5+SUMIFS(Opex_Budget!$Q:$Q,Opex_Budget!$A:$A,$C$3,Opex_Budget!$E:$E,$B$458,Opex_Budget!$F:$F,$D$458,Opex_Budget!$N:$N,"GBP")*$H$5)</f>
        <v/>
      </c>
      <c r="K458" s="32">
        <f>IF($B$458="","",SUMIFS(Opex_Budget!$R:$R,Opex_Budget!$A:$A,$C$3,Opex_Budget!$E:$E,$B$458,Opex_Budget!$F:$F,$D$458,Opex_Budget!$N:$N,"JPY")*$E$5+SUMIFS(Opex_Budget!$R:$R,Opex_Budget!$A:$A,$C$3,Opex_Budget!$E:$E,$B$458,Opex_Budget!$F:$F,$D$458,Opex_Budget!$N:$N,"USD")*$F$5+SUMIFS(Opex_Budget!$R:$R,Opex_Budget!$A:$A,$C$3,Opex_Budget!$E:$E,$B$458,Opex_Budget!$F:$F,$D$458,Opex_Budget!$N:$N,"EUR")*$G$5+SUMIFS(Opex_Budget!$R:$R,Opex_Budget!$A:$A,$C$3,Opex_Budget!$E:$E,$B$458,Opex_Budget!$F:$F,$D$458,Opex_Budget!$N:$N,"GBP")*$H$5)</f>
        <v/>
      </c>
      <c r="L458" s="32">
        <f>IF($B$458="","",SUMIFS(Opex_Budget!$S:$S,Opex_Budget!$A:$A,$C$3,Opex_Budget!$E:$E,$B$458,Opex_Budget!$F:$F,$D$458,Opex_Budget!$N:$N,"JPY")*$E$5+SUMIFS(Opex_Budget!$S:$S,Opex_Budget!$A:$A,$C$3,Opex_Budget!$E:$E,$B$458,Opex_Budget!$F:$F,$D$458,Opex_Budget!$N:$N,"USD")*$F$5+SUMIFS(Opex_Budget!$S:$S,Opex_Budget!$A:$A,$C$3,Opex_Budget!$E:$E,$B$458,Opex_Budget!$F:$F,$D$458,Opex_Budget!$N:$N,"EUR")*$G$5+SUMIFS(Opex_Budget!$S:$S,Opex_Budget!$A:$A,$C$3,Opex_Budget!$E:$E,$B$458,Opex_Budget!$F:$F,$D$458,Opex_Budget!$N:$N,"GBP")*$H$5)</f>
        <v/>
      </c>
      <c r="M458" s="32">
        <f>IF($B$458="","",SUMIFS(Opex_Budget!$T:$T,Opex_Budget!$A:$A,$C$3,Opex_Budget!$E:$E,$B$458,Opex_Budget!$F:$F,$D$458,Opex_Budget!$N:$N,"JPY")*$E$5+SUMIFS(Opex_Budget!$T:$T,Opex_Budget!$A:$A,$C$3,Opex_Budget!$E:$E,$B$458,Opex_Budget!$F:$F,$D$458,Opex_Budget!$N:$N,"USD")*$F$5+SUMIFS(Opex_Budget!$T:$T,Opex_Budget!$A:$A,$C$3,Opex_Budget!$E:$E,$B$458,Opex_Budget!$F:$F,$D$458,Opex_Budget!$N:$N,"EUR")*$G$5+SUMIFS(Opex_Budget!$T:$T,Opex_Budget!$A:$A,$C$3,Opex_Budget!$E:$E,$B$458,Opex_Budget!$F:$F,$D$458,Opex_Budget!$N:$N,"GBP")*$H$5)</f>
        <v/>
      </c>
      <c r="N458" s="32">
        <f>IF($B$458="","",SUMIFS(Opex_Budget!$U:$U,Opex_Budget!$A:$A,$C$3,Opex_Budget!$E:$E,$B$458,Opex_Budget!$F:$F,$D$458,Opex_Budget!$N:$N,"JPY")*$E$5+SUMIFS(Opex_Budget!$U:$U,Opex_Budget!$A:$A,$C$3,Opex_Budget!$E:$E,$B$458,Opex_Budget!$F:$F,$D$458,Opex_Budget!$N:$N,"USD")*$F$5+SUMIFS(Opex_Budget!$U:$U,Opex_Budget!$A:$A,$C$3,Opex_Budget!$E:$E,$B$458,Opex_Budget!$F:$F,$D$458,Opex_Budget!$N:$N,"EUR")*$G$5+SUMIFS(Opex_Budget!$U:$U,Opex_Budget!$A:$A,$C$3,Opex_Budget!$E:$E,$B$458,Opex_Budget!$F:$F,$D$458,Opex_Budget!$N:$N,"GBP")*$H$5)</f>
        <v/>
      </c>
      <c r="O458" s="32">
        <f>IF($B$458="","",SUMIFS(Opex_Budget!$V:$V,Opex_Budget!$A:$A,$C$3,Opex_Budget!$E:$E,$B$458,Opex_Budget!$F:$F,$D$458,Opex_Budget!$N:$N,"JPY")*$E$5+SUMIFS(Opex_Budget!$V:$V,Opex_Budget!$A:$A,$C$3,Opex_Budget!$E:$E,$B$458,Opex_Budget!$F:$F,$D$458,Opex_Budget!$N:$N,"USD")*$F$5+SUMIFS(Opex_Budget!$V:$V,Opex_Budget!$A:$A,$C$3,Opex_Budget!$E:$E,$B$458,Opex_Budget!$F:$F,$D$458,Opex_Budget!$N:$N,"EUR")*$G$5+SUMIFS(Opex_Budget!$V:$V,Opex_Budget!$A:$A,$C$3,Opex_Budget!$E:$E,$B$458,Opex_Budget!$F:$F,$D$458,Opex_Budget!$N:$N,"GBP")*$H$5)</f>
        <v/>
      </c>
      <c r="P458" s="32">
        <f>IF($B$458="","",SUMIFS(Opex_Budget!$W:$W,Opex_Budget!$A:$A,$C$3,Opex_Budget!$E:$E,$B$458,Opex_Budget!$F:$F,$D$458,Opex_Budget!$N:$N,"JPY")*$E$5+SUMIFS(Opex_Budget!$W:$W,Opex_Budget!$A:$A,$C$3,Opex_Budget!$E:$E,$B$458,Opex_Budget!$F:$F,$D$458,Opex_Budget!$N:$N,"USD")*$F$5+SUMIFS(Opex_Budget!$W:$W,Opex_Budget!$A:$A,$C$3,Opex_Budget!$E:$E,$B$458,Opex_Budget!$F:$F,$D$458,Opex_Budget!$N:$N,"EUR")*$G$5+SUMIFS(Opex_Budget!$W:$W,Opex_Budget!$A:$A,$C$3,Opex_Budget!$E:$E,$B$458,Opex_Budget!$F:$F,$D$458,Opex_Budget!$N:$N,"GBP")*$H$5)</f>
        <v/>
      </c>
      <c r="Q458" s="32">
        <f>IF($B$458="","",SUMIFS(Opex_Budget!$X:$X,Opex_Budget!$A:$A,$C$3,Opex_Budget!$E:$E,$B$458,Opex_Budget!$F:$F,$D$458,Opex_Budget!$N:$N,"JPY")*$E$5+SUMIFS(Opex_Budget!$X:$X,Opex_Budget!$A:$A,$C$3,Opex_Budget!$E:$E,$B$458,Opex_Budget!$F:$F,$D$458,Opex_Budget!$N:$N,"USD")*$F$5+SUMIFS(Opex_Budget!$X:$X,Opex_Budget!$A:$A,$C$3,Opex_Budget!$E:$E,$B$458,Opex_Budget!$F:$F,$D$458,Opex_Budget!$N:$N,"EUR")*$G$5+SUMIFS(Opex_Budget!$X:$X,Opex_Budget!$A:$A,$C$3,Opex_Budget!$E:$E,$B$458,Opex_Budget!$F:$F,$D$458,Opex_Budget!$N:$N,"GBP")*$H$5)</f>
        <v/>
      </c>
      <c r="R458" s="32">
        <f>IF($B$458="","",SUMIFS(Opex_Budget!$Y:$Y,Opex_Budget!$A:$A,$C$3,Opex_Budget!$E:$E,$B$458,Opex_Budget!$F:$F,$D$458,Opex_Budget!$N:$N,"JPY")*$E$5+SUMIFS(Opex_Budget!$Y:$Y,Opex_Budget!$A:$A,$C$3,Opex_Budget!$E:$E,$B$458,Opex_Budget!$F:$F,$D$458,Opex_Budget!$N:$N,"USD")*$F$5+SUMIFS(Opex_Budget!$Y:$Y,Opex_Budget!$A:$A,$C$3,Opex_Budget!$E:$E,$B$458,Opex_Budget!$F:$F,$D$458,Opex_Budget!$N:$N,"EUR")*$G$5+SUMIFS(Opex_Budget!$Y:$Y,Opex_Budget!$A:$A,$C$3,Opex_Budget!$E:$E,$B$458,Opex_Budget!$F:$F,$D$458,Opex_Budget!$N:$N,"GBP")*$H$5)</f>
        <v/>
      </c>
      <c r="S458" s="32">
        <f>IF($B$458="","",SUMIFS(Opex_Budget!$Z:$Z,Opex_Budget!$A:$A,$C$3,Opex_Budget!$E:$E,$B$458,Opex_Budget!$F:$F,$D$458,Opex_Budget!$N:$N,"JPY")*$E$5+SUMIFS(Opex_Budget!$Z:$Z,Opex_Budget!$A:$A,$C$3,Opex_Budget!$E:$E,$B$458,Opex_Budget!$F:$F,$D$458,Opex_Budget!$N:$N,"USD")*$F$5+SUMIFS(Opex_Budget!$Z:$Z,Opex_Budget!$A:$A,$C$3,Opex_Budget!$E:$E,$B$458,Opex_Budget!$F:$F,$D$458,Opex_Budget!$N:$N,"EUR")*$G$5+SUMIFS(Opex_Budget!$Z:$Z,Opex_Budget!$A:$A,$C$3,Opex_Budget!$E:$E,$B$458,Opex_Budget!$F:$F,$D$458,Opex_Budget!$N:$N,"GBP")*$H$5)</f>
        <v/>
      </c>
      <c r="T458" s="32">
        <f>IF($B$458="","",SUMIF($H$7:$S$7,"&lt;="&amp;$C$4,$H458:$S458))</f>
        <v/>
      </c>
      <c r="U458" s="32">
        <f>IF($B$458="","",SUMIF($H$7:$S$7,"&gt;"&amp;$C$4,$H458:$S458))</f>
        <v/>
      </c>
      <c r="V458" s="32">
        <f>IF($B$458="","",SUM($H458:$S458))</f>
        <v/>
      </c>
      <c r="X458" s="22">
        <f>IF($B458="","",IFERROR(INDEX(Cost_Centers!$E:$E,MATCH($B458,Cost_Centers!$A:$A,0)),"(unknown)"))</f>
        <v/>
      </c>
      <c r="Y458" s="22">
        <f>IF($B458="","",IFERROR(INDEX(Cost_Centers!$D:$D,MATCH($B458,Cost_Centers!$A:$A,0)),"(unknown)"))</f>
        <v/>
      </c>
      <c r="Z458" s="22">
        <f>IF(OR($B458="",$G458&lt;&gt;"Variance vs Budget"),"",ABS(N($V458))+ROW()/1000000000)</f>
        <v/>
      </c>
    </row>
    <row r="459">
      <c r="A459" s="13">
        <f>IF(A$458="","",A$458)</f>
        <v/>
      </c>
      <c r="B459" s="13">
        <f>IF(B$458="","",B$458)</f>
        <v/>
      </c>
      <c r="C459" s="13">
        <f>IF(C$458="","",C$458)</f>
        <v/>
      </c>
      <c r="D459" s="13">
        <f>IF(D$458="","",D$458)</f>
        <v/>
      </c>
      <c r="E459" s="13">
        <f>IF(E$458="","",E$458)</f>
        <v/>
      </c>
      <c r="F459" s="13">
        <f>IF(F$458="","",F$458)</f>
        <v/>
      </c>
      <c r="G459" s="7" t="inlineStr">
        <is>
          <t>Actual</t>
        </is>
      </c>
      <c r="H459" s="18">
        <f>IF(OR($B$458="",1&gt;$C$4),"",SUMIFS(Actuals!$G:$G,Actuals!$B:$B,$C$3,Actuals!$C:$C,1,Actuals!$D:$D,$B$458,Actuals!$A:$A,LEFT($D$458,FIND("|",$D$458&amp;"|")-1),Actuals!$E:$E,MID($D$458,FIND("|",$D$458&amp;"|")+1,50),Actuals!$F:$F,"JPY")*$E$5+SUMIFS(Actuals!$G:$G,Actuals!$B:$B,$C$3,Actuals!$C:$C,1,Actuals!$D:$D,$B$458,Actuals!$A:$A,LEFT($D$458,FIND("|",$D$458&amp;"|")-1),Actuals!$E:$E,MID($D$458,FIND("|",$D$458&amp;"|")+1,50),Actuals!$F:$F,"USD")*$F$5+SUMIFS(Actuals!$G:$G,Actuals!$B:$B,$C$3,Actuals!$C:$C,1,Actuals!$D:$D,$B$458,Actuals!$A:$A,LEFT($D$458,FIND("|",$D$458&amp;"|")-1),Actuals!$E:$E,MID($D$458,FIND("|",$D$458&amp;"|")+1,50),Actuals!$F:$F,"EUR")*$G$5+SUMIFS(Actuals!$G:$G,Actuals!$B:$B,$C$3,Actuals!$C:$C,1,Actuals!$D:$D,$B$458,Actuals!$A:$A,LEFT($D$458,FIND("|",$D$458&amp;"|")-1),Actuals!$E:$E,MID($D$458,FIND("|",$D$458&amp;"|")+1,50),Actuals!$F:$F,"GBP")*$H$5)</f>
        <v/>
      </c>
      <c r="I459" s="18">
        <f>IF(OR($B$458="",2&gt;$C$4),"",SUMIFS(Actuals!$G:$G,Actuals!$B:$B,$C$3,Actuals!$C:$C,2,Actuals!$D:$D,$B$458,Actuals!$A:$A,LEFT($D$458,FIND("|",$D$458&amp;"|")-1),Actuals!$E:$E,MID($D$458,FIND("|",$D$458&amp;"|")+1,50),Actuals!$F:$F,"JPY")*$E$5+SUMIFS(Actuals!$G:$G,Actuals!$B:$B,$C$3,Actuals!$C:$C,2,Actuals!$D:$D,$B$458,Actuals!$A:$A,LEFT($D$458,FIND("|",$D$458&amp;"|")-1),Actuals!$E:$E,MID($D$458,FIND("|",$D$458&amp;"|")+1,50),Actuals!$F:$F,"USD")*$F$5+SUMIFS(Actuals!$G:$G,Actuals!$B:$B,$C$3,Actuals!$C:$C,2,Actuals!$D:$D,$B$458,Actuals!$A:$A,LEFT($D$458,FIND("|",$D$458&amp;"|")-1),Actuals!$E:$E,MID($D$458,FIND("|",$D$458&amp;"|")+1,50),Actuals!$F:$F,"EUR")*$G$5+SUMIFS(Actuals!$G:$G,Actuals!$B:$B,$C$3,Actuals!$C:$C,2,Actuals!$D:$D,$B$458,Actuals!$A:$A,LEFT($D$458,FIND("|",$D$458&amp;"|")-1),Actuals!$E:$E,MID($D$458,FIND("|",$D$458&amp;"|")+1,50),Actuals!$F:$F,"GBP")*$H$5)</f>
        <v/>
      </c>
      <c r="J459" s="18">
        <f>IF(OR($B$458="",3&gt;$C$4),"",SUMIFS(Actuals!$G:$G,Actuals!$B:$B,$C$3,Actuals!$C:$C,3,Actuals!$D:$D,$B$458,Actuals!$A:$A,LEFT($D$458,FIND("|",$D$458&amp;"|")-1),Actuals!$E:$E,MID($D$458,FIND("|",$D$458&amp;"|")+1,50),Actuals!$F:$F,"JPY")*$E$5+SUMIFS(Actuals!$G:$G,Actuals!$B:$B,$C$3,Actuals!$C:$C,3,Actuals!$D:$D,$B$458,Actuals!$A:$A,LEFT($D$458,FIND("|",$D$458&amp;"|")-1),Actuals!$E:$E,MID($D$458,FIND("|",$D$458&amp;"|")+1,50),Actuals!$F:$F,"USD")*$F$5+SUMIFS(Actuals!$G:$G,Actuals!$B:$B,$C$3,Actuals!$C:$C,3,Actuals!$D:$D,$B$458,Actuals!$A:$A,LEFT($D$458,FIND("|",$D$458&amp;"|")-1),Actuals!$E:$E,MID($D$458,FIND("|",$D$458&amp;"|")+1,50),Actuals!$F:$F,"EUR")*$G$5+SUMIFS(Actuals!$G:$G,Actuals!$B:$B,$C$3,Actuals!$C:$C,3,Actuals!$D:$D,$B$458,Actuals!$A:$A,LEFT($D$458,FIND("|",$D$458&amp;"|")-1),Actuals!$E:$E,MID($D$458,FIND("|",$D$458&amp;"|")+1,50),Actuals!$F:$F,"GBP")*$H$5)</f>
        <v/>
      </c>
      <c r="K459" s="18">
        <f>IF(OR($B$458="",4&gt;$C$4),"",SUMIFS(Actuals!$G:$G,Actuals!$B:$B,$C$3,Actuals!$C:$C,4,Actuals!$D:$D,$B$458,Actuals!$A:$A,LEFT($D$458,FIND("|",$D$458&amp;"|")-1),Actuals!$E:$E,MID($D$458,FIND("|",$D$458&amp;"|")+1,50),Actuals!$F:$F,"JPY")*$E$5+SUMIFS(Actuals!$G:$G,Actuals!$B:$B,$C$3,Actuals!$C:$C,4,Actuals!$D:$D,$B$458,Actuals!$A:$A,LEFT($D$458,FIND("|",$D$458&amp;"|")-1),Actuals!$E:$E,MID($D$458,FIND("|",$D$458&amp;"|")+1,50),Actuals!$F:$F,"USD")*$F$5+SUMIFS(Actuals!$G:$G,Actuals!$B:$B,$C$3,Actuals!$C:$C,4,Actuals!$D:$D,$B$458,Actuals!$A:$A,LEFT($D$458,FIND("|",$D$458&amp;"|")-1),Actuals!$E:$E,MID($D$458,FIND("|",$D$458&amp;"|")+1,50),Actuals!$F:$F,"EUR")*$G$5+SUMIFS(Actuals!$G:$G,Actuals!$B:$B,$C$3,Actuals!$C:$C,4,Actuals!$D:$D,$B$458,Actuals!$A:$A,LEFT($D$458,FIND("|",$D$458&amp;"|")-1),Actuals!$E:$E,MID($D$458,FIND("|",$D$458&amp;"|")+1,50),Actuals!$F:$F,"GBP")*$H$5)</f>
        <v/>
      </c>
      <c r="L459" s="18">
        <f>IF(OR($B$458="",5&gt;$C$4),"",SUMIFS(Actuals!$G:$G,Actuals!$B:$B,$C$3,Actuals!$C:$C,5,Actuals!$D:$D,$B$458,Actuals!$A:$A,LEFT($D$458,FIND("|",$D$458&amp;"|")-1),Actuals!$E:$E,MID($D$458,FIND("|",$D$458&amp;"|")+1,50),Actuals!$F:$F,"JPY")*$E$5+SUMIFS(Actuals!$G:$G,Actuals!$B:$B,$C$3,Actuals!$C:$C,5,Actuals!$D:$D,$B$458,Actuals!$A:$A,LEFT($D$458,FIND("|",$D$458&amp;"|")-1),Actuals!$E:$E,MID($D$458,FIND("|",$D$458&amp;"|")+1,50),Actuals!$F:$F,"USD")*$F$5+SUMIFS(Actuals!$G:$G,Actuals!$B:$B,$C$3,Actuals!$C:$C,5,Actuals!$D:$D,$B$458,Actuals!$A:$A,LEFT($D$458,FIND("|",$D$458&amp;"|")-1),Actuals!$E:$E,MID($D$458,FIND("|",$D$458&amp;"|")+1,50),Actuals!$F:$F,"EUR")*$G$5+SUMIFS(Actuals!$G:$G,Actuals!$B:$B,$C$3,Actuals!$C:$C,5,Actuals!$D:$D,$B$458,Actuals!$A:$A,LEFT($D$458,FIND("|",$D$458&amp;"|")-1),Actuals!$E:$E,MID($D$458,FIND("|",$D$458&amp;"|")+1,50),Actuals!$F:$F,"GBP")*$H$5)</f>
        <v/>
      </c>
      <c r="M459" s="18">
        <f>IF(OR($B$458="",6&gt;$C$4),"",SUMIFS(Actuals!$G:$G,Actuals!$B:$B,$C$3,Actuals!$C:$C,6,Actuals!$D:$D,$B$458,Actuals!$A:$A,LEFT($D$458,FIND("|",$D$458&amp;"|")-1),Actuals!$E:$E,MID($D$458,FIND("|",$D$458&amp;"|")+1,50),Actuals!$F:$F,"JPY")*$E$5+SUMIFS(Actuals!$G:$G,Actuals!$B:$B,$C$3,Actuals!$C:$C,6,Actuals!$D:$D,$B$458,Actuals!$A:$A,LEFT($D$458,FIND("|",$D$458&amp;"|")-1),Actuals!$E:$E,MID($D$458,FIND("|",$D$458&amp;"|")+1,50),Actuals!$F:$F,"USD")*$F$5+SUMIFS(Actuals!$G:$G,Actuals!$B:$B,$C$3,Actuals!$C:$C,6,Actuals!$D:$D,$B$458,Actuals!$A:$A,LEFT($D$458,FIND("|",$D$458&amp;"|")-1),Actuals!$E:$E,MID($D$458,FIND("|",$D$458&amp;"|")+1,50),Actuals!$F:$F,"EUR")*$G$5+SUMIFS(Actuals!$G:$G,Actuals!$B:$B,$C$3,Actuals!$C:$C,6,Actuals!$D:$D,$B$458,Actuals!$A:$A,LEFT($D$458,FIND("|",$D$458&amp;"|")-1),Actuals!$E:$E,MID($D$458,FIND("|",$D$458&amp;"|")+1,50),Actuals!$F:$F,"GBP")*$H$5)</f>
        <v/>
      </c>
      <c r="N459" s="18">
        <f>IF(OR($B$458="",7&gt;$C$4),"",SUMIFS(Actuals!$G:$G,Actuals!$B:$B,$C$3,Actuals!$C:$C,7,Actuals!$D:$D,$B$458,Actuals!$A:$A,LEFT($D$458,FIND("|",$D$458&amp;"|")-1),Actuals!$E:$E,MID($D$458,FIND("|",$D$458&amp;"|")+1,50),Actuals!$F:$F,"JPY")*$E$5+SUMIFS(Actuals!$G:$G,Actuals!$B:$B,$C$3,Actuals!$C:$C,7,Actuals!$D:$D,$B$458,Actuals!$A:$A,LEFT($D$458,FIND("|",$D$458&amp;"|")-1),Actuals!$E:$E,MID($D$458,FIND("|",$D$458&amp;"|")+1,50),Actuals!$F:$F,"USD")*$F$5+SUMIFS(Actuals!$G:$G,Actuals!$B:$B,$C$3,Actuals!$C:$C,7,Actuals!$D:$D,$B$458,Actuals!$A:$A,LEFT($D$458,FIND("|",$D$458&amp;"|")-1),Actuals!$E:$E,MID($D$458,FIND("|",$D$458&amp;"|")+1,50),Actuals!$F:$F,"EUR")*$G$5+SUMIFS(Actuals!$G:$G,Actuals!$B:$B,$C$3,Actuals!$C:$C,7,Actuals!$D:$D,$B$458,Actuals!$A:$A,LEFT($D$458,FIND("|",$D$458&amp;"|")-1),Actuals!$E:$E,MID($D$458,FIND("|",$D$458&amp;"|")+1,50),Actuals!$F:$F,"GBP")*$H$5)</f>
        <v/>
      </c>
      <c r="O459" s="18">
        <f>IF(OR($B$458="",8&gt;$C$4),"",SUMIFS(Actuals!$G:$G,Actuals!$B:$B,$C$3,Actuals!$C:$C,8,Actuals!$D:$D,$B$458,Actuals!$A:$A,LEFT($D$458,FIND("|",$D$458&amp;"|")-1),Actuals!$E:$E,MID($D$458,FIND("|",$D$458&amp;"|")+1,50),Actuals!$F:$F,"JPY")*$E$5+SUMIFS(Actuals!$G:$G,Actuals!$B:$B,$C$3,Actuals!$C:$C,8,Actuals!$D:$D,$B$458,Actuals!$A:$A,LEFT($D$458,FIND("|",$D$458&amp;"|")-1),Actuals!$E:$E,MID($D$458,FIND("|",$D$458&amp;"|")+1,50),Actuals!$F:$F,"USD")*$F$5+SUMIFS(Actuals!$G:$G,Actuals!$B:$B,$C$3,Actuals!$C:$C,8,Actuals!$D:$D,$B$458,Actuals!$A:$A,LEFT($D$458,FIND("|",$D$458&amp;"|")-1),Actuals!$E:$E,MID($D$458,FIND("|",$D$458&amp;"|")+1,50),Actuals!$F:$F,"EUR")*$G$5+SUMIFS(Actuals!$G:$G,Actuals!$B:$B,$C$3,Actuals!$C:$C,8,Actuals!$D:$D,$B$458,Actuals!$A:$A,LEFT($D$458,FIND("|",$D$458&amp;"|")-1),Actuals!$E:$E,MID($D$458,FIND("|",$D$458&amp;"|")+1,50),Actuals!$F:$F,"GBP")*$H$5)</f>
        <v/>
      </c>
      <c r="P459" s="18">
        <f>IF(OR($B$458="",9&gt;$C$4),"",SUMIFS(Actuals!$G:$G,Actuals!$B:$B,$C$3,Actuals!$C:$C,9,Actuals!$D:$D,$B$458,Actuals!$A:$A,LEFT($D$458,FIND("|",$D$458&amp;"|")-1),Actuals!$E:$E,MID($D$458,FIND("|",$D$458&amp;"|")+1,50),Actuals!$F:$F,"JPY")*$E$5+SUMIFS(Actuals!$G:$G,Actuals!$B:$B,$C$3,Actuals!$C:$C,9,Actuals!$D:$D,$B$458,Actuals!$A:$A,LEFT($D$458,FIND("|",$D$458&amp;"|")-1),Actuals!$E:$E,MID($D$458,FIND("|",$D$458&amp;"|")+1,50),Actuals!$F:$F,"USD")*$F$5+SUMIFS(Actuals!$G:$G,Actuals!$B:$B,$C$3,Actuals!$C:$C,9,Actuals!$D:$D,$B$458,Actuals!$A:$A,LEFT($D$458,FIND("|",$D$458&amp;"|")-1),Actuals!$E:$E,MID($D$458,FIND("|",$D$458&amp;"|")+1,50),Actuals!$F:$F,"EUR")*$G$5+SUMIFS(Actuals!$G:$G,Actuals!$B:$B,$C$3,Actuals!$C:$C,9,Actuals!$D:$D,$B$458,Actuals!$A:$A,LEFT($D$458,FIND("|",$D$458&amp;"|")-1),Actuals!$E:$E,MID($D$458,FIND("|",$D$458&amp;"|")+1,50),Actuals!$F:$F,"GBP")*$H$5)</f>
        <v/>
      </c>
      <c r="Q459" s="18">
        <f>IF(OR($B$458="",10&gt;$C$4),"",SUMIFS(Actuals!$G:$G,Actuals!$B:$B,$C$3,Actuals!$C:$C,10,Actuals!$D:$D,$B$458,Actuals!$A:$A,LEFT($D$458,FIND("|",$D$458&amp;"|")-1),Actuals!$E:$E,MID($D$458,FIND("|",$D$458&amp;"|")+1,50),Actuals!$F:$F,"JPY")*$E$5+SUMIFS(Actuals!$G:$G,Actuals!$B:$B,$C$3,Actuals!$C:$C,10,Actuals!$D:$D,$B$458,Actuals!$A:$A,LEFT($D$458,FIND("|",$D$458&amp;"|")-1),Actuals!$E:$E,MID($D$458,FIND("|",$D$458&amp;"|")+1,50),Actuals!$F:$F,"USD")*$F$5+SUMIFS(Actuals!$G:$G,Actuals!$B:$B,$C$3,Actuals!$C:$C,10,Actuals!$D:$D,$B$458,Actuals!$A:$A,LEFT($D$458,FIND("|",$D$458&amp;"|")-1),Actuals!$E:$E,MID($D$458,FIND("|",$D$458&amp;"|")+1,50),Actuals!$F:$F,"EUR")*$G$5+SUMIFS(Actuals!$G:$G,Actuals!$B:$B,$C$3,Actuals!$C:$C,10,Actuals!$D:$D,$B$458,Actuals!$A:$A,LEFT($D$458,FIND("|",$D$458&amp;"|")-1),Actuals!$E:$E,MID($D$458,FIND("|",$D$458&amp;"|")+1,50),Actuals!$F:$F,"GBP")*$H$5)</f>
        <v/>
      </c>
      <c r="R459" s="18">
        <f>IF(OR($B$458="",11&gt;$C$4),"",SUMIFS(Actuals!$G:$G,Actuals!$B:$B,$C$3,Actuals!$C:$C,11,Actuals!$D:$D,$B$458,Actuals!$A:$A,LEFT($D$458,FIND("|",$D$458&amp;"|")-1),Actuals!$E:$E,MID($D$458,FIND("|",$D$458&amp;"|")+1,50),Actuals!$F:$F,"JPY")*$E$5+SUMIFS(Actuals!$G:$G,Actuals!$B:$B,$C$3,Actuals!$C:$C,11,Actuals!$D:$D,$B$458,Actuals!$A:$A,LEFT($D$458,FIND("|",$D$458&amp;"|")-1),Actuals!$E:$E,MID($D$458,FIND("|",$D$458&amp;"|")+1,50),Actuals!$F:$F,"USD")*$F$5+SUMIFS(Actuals!$G:$G,Actuals!$B:$B,$C$3,Actuals!$C:$C,11,Actuals!$D:$D,$B$458,Actuals!$A:$A,LEFT($D$458,FIND("|",$D$458&amp;"|")-1),Actuals!$E:$E,MID($D$458,FIND("|",$D$458&amp;"|")+1,50),Actuals!$F:$F,"EUR")*$G$5+SUMIFS(Actuals!$G:$G,Actuals!$B:$B,$C$3,Actuals!$C:$C,11,Actuals!$D:$D,$B$458,Actuals!$A:$A,LEFT($D$458,FIND("|",$D$458&amp;"|")-1),Actuals!$E:$E,MID($D$458,FIND("|",$D$458&amp;"|")+1,50),Actuals!$F:$F,"GBP")*$H$5)</f>
        <v/>
      </c>
      <c r="S459" s="18">
        <f>IF(OR($B$458="",12&gt;$C$4),"",SUMIFS(Actuals!$G:$G,Actuals!$B:$B,$C$3,Actuals!$C:$C,12,Actuals!$D:$D,$B$458,Actuals!$A:$A,LEFT($D$458,FIND("|",$D$458&amp;"|")-1),Actuals!$E:$E,MID($D$458,FIND("|",$D$458&amp;"|")+1,50),Actuals!$F:$F,"JPY")*$E$5+SUMIFS(Actuals!$G:$G,Actuals!$B:$B,$C$3,Actuals!$C:$C,12,Actuals!$D:$D,$B$458,Actuals!$A:$A,LEFT($D$458,FIND("|",$D$458&amp;"|")-1),Actuals!$E:$E,MID($D$458,FIND("|",$D$458&amp;"|")+1,50),Actuals!$F:$F,"USD")*$F$5+SUMIFS(Actuals!$G:$G,Actuals!$B:$B,$C$3,Actuals!$C:$C,12,Actuals!$D:$D,$B$458,Actuals!$A:$A,LEFT($D$458,FIND("|",$D$458&amp;"|")-1),Actuals!$E:$E,MID($D$458,FIND("|",$D$458&amp;"|")+1,50),Actuals!$F:$F,"EUR")*$G$5+SUMIFS(Actuals!$G:$G,Actuals!$B:$B,$C$3,Actuals!$C:$C,12,Actuals!$D:$D,$B$458,Actuals!$A:$A,LEFT($D$458,FIND("|",$D$458&amp;"|")-1),Actuals!$E:$E,MID($D$458,FIND("|",$D$458&amp;"|")+1,50),Actuals!$F:$F,"GBP")*$H$5)</f>
        <v/>
      </c>
      <c r="T459" s="18">
        <f>IF($B$458="","",SUMIF($H$7:$S$7,"&lt;="&amp;$C$4,$H459:$S459))</f>
        <v/>
      </c>
      <c r="U459" s="18" t="n"/>
      <c r="V459" s="18" t="n"/>
      <c r="X459" s="22">
        <f>IF($B459="","",IFERROR(INDEX(Cost_Centers!$E:$E,MATCH($B459,Cost_Centers!$A:$A,0)),"(unknown)"))</f>
        <v/>
      </c>
      <c r="Y459" s="22">
        <f>IF($B459="","",IFERROR(INDEX(Cost_Centers!$D:$D,MATCH($B459,Cost_Centers!$A:$A,0)),"(unknown)"))</f>
        <v/>
      </c>
      <c r="Z459" s="22">
        <f>IF(OR($B459="",$G459&lt;&gt;"Variance vs Budget"),"",ABS(N($V459))+ROW()/1000000000)</f>
        <v/>
      </c>
    </row>
    <row r="460">
      <c r="A460" s="13">
        <f>IF(A$458="","",A$458)</f>
        <v/>
      </c>
      <c r="B460" s="13">
        <f>IF(B$458="","",B$458)</f>
        <v/>
      </c>
      <c r="C460" s="13">
        <f>IF(C$458="","",C$458)</f>
        <v/>
      </c>
      <c r="D460" s="13">
        <f>IF(D$458="","",D$458)</f>
        <v/>
      </c>
      <c r="E460" s="13">
        <f>IF(E$458="","",E$458)</f>
        <v/>
      </c>
      <c r="F460" s="13">
        <f>IF(F$458="","",F$458)</f>
        <v/>
      </c>
      <c r="G460" s="6" t="inlineStr">
        <is>
          <t>Variance vs Budget</t>
        </is>
      </c>
      <c r="H460" s="33">
        <f>IF(OR($B$458="",1&gt;$C$4),"",N(H459)-H458)</f>
        <v/>
      </c>
      <c r="I460" s="33">
        <f>IF(OR($B$458="",2&gt;$C$4),"",N(I459)-I458)</f>
        <v/>
      </c>
      <c r="J460" s="33">
        <f>IF(OR($B$458="",3&gt;$C$4),"",N(J459)-J458)</f>
        <v/>
      </c>
      <c r="K460" s="33">
        <f>IF(OR($B$458="",4&gt;$C$4),"",N(K459)-K458)</f>
        <v/>
      </c>
      <c r="L460" s="33">
        <f>IF(OR($B$458="",5&gt;$C$4),"",N(L459)-L458)</f>
        <v/>
      </c>
      <c r="M460" s="33">
        <f>IF(OR($B$458="",6&gt;$C$4),"",N(M459)-M458)</f>
        <v/>
      </c>
      <c r="N460" s="33">
        <f>IF(OR($B$458="",7&gt;$C$4),"",N(N459)-N458)</f>
        <v/>
      </c>
      <c r="O460" s="33">
        <f>IF(OR($B$458="",8&gt;$C$4),"",N(O459)-O458)</f>
        <v/>
      </c>
      <c r="P460" s="33">
        <f>IF(OR($B$458="",9&gt;$C$4),"",N(P459)-P458)</f>
        <v/>
      </c>
      <c r="Q460" s="33">
        <f>IF(OR($B$458="",10&gt;$C$4),"",N(Q459)-Q458)</f>
        <v/>
      </c>
      <c r="R460" s="33">
        <f>IF(OR($B$458="",11&gt;$C$4),"",N(R459)-R458)</f>
        <v/>
      </c>
      <c r="S460" s="33">
        <f>IF(OR($B$458="",12&gt;$C$4),"",N(S459)-S458)</f>
        <v/>
      </c>
      <c r="T460" s="33">
        <f>IF($B$458="","",T459-T458)</f>
        <v/>
      </c>
      <c r="U460" s="33">
        <f>IF($B$458="","",U462-U458)</f>
        <v/>
      </c>
      <c r="V460" s="33">
        <f>IF($B$458="","",V462-V458)</f>
        <v/>
      </c>
      <c r="X460" s="22">
        <f>IF($B460="","",IFERROR(INDEX(Cost_Centers!$E:$E,MATCH($B460,Cost_Centers!$A:$A,0)),"(unknown)"))</f>
        <v/>
      </c>
      <c r="Y460" s="22">
        <f>IF($B460="","",IFERROR(INDEX(Cost_Centers!$D:$D,MATCH($B460,Cost_Centers!$A:$A,0)),"(unknown)"))</f>
        <v/>
      </c>
      <c r="Z460" s="22">
        <f>IF(OR($B460="",$G460&lt;&gt;"Variance vs Budget"),"",ABS(N($V460))+ROW()/1000000000)</f>
        <v/>
      </c>
    </row>
    <row r="461">
      <c r="A461" s="13">
        <f>IF(A$458="","",A$458)</f>
        <v/>
      </c>
      <c r="B461" s="13">
        <f>IF(B$458="","",B$458)</f>
        <v/>
      </c>
      <c r="C461" s="13">
        <f>IF(C$458="","",C$458)</f>
        <v/>
      </c>
      <c r="D461" s="13">
        <f>IF(D$458="","",D$458)</f>
        <v/>
      </c>
      <c r="E461" s="13">
        <f>IF(E$458="","",E$458)</f>
        <v/>
      </c>
      <c r="F461" s="13">
        <f>IF(F$458="","",F$458)</f>
        <v/>
      </c>
      <c r="G461" s="7" t="inlineStr">
        <is>
          <t>Forecast (input)</t>
        </is>
      </c>
      <c r="H461" s="34" t="n"/>
      <c r="I461" s="34" t="n"/>
      <c r="J461" s="34" t="n"/>
      <c r="K461" s="34" t="n"/>
      <c r="L461" s="34" t="n"/>
      <c r="M461" s="34" t="n"/>
      <c r="N461" s="34" t="n"/>
      <c r="O461" s="34" t="n"/>
      <c r="P461" s="34" t="n"/>
      <c r="Q461" s="34" t="n"/>
      <c r="R461" s="34" t="n"/>
      <c r="S461" s="34" t="n"/>
      <c r="T461" s="18" t="n"/>
      <c r="U461" s="18" t="n"/>
      <c r="V461" s="18" t="n"/>
      <c r="X461" s="22">
        <f>IF($B461="","",IFERROR(INDEX(Cost_Centers!$E:$E,MATCH($B461,Cost_Centers!$A:$A,0)),"(unknown)"))</f>
        <v/>
      </c>
      <c r="Y461" s="22">
        <f>IF($B461="","",IFERROR(INDEX(Cost_Centers!$D:$D,MATCH($B461,Cost_Centers!$A:$A,0)),"(unknown)"))</f>
        <v/>
      </c>
      <c r="Z461" s="22">
        <f>IF(OR($B461="",$G461&lt;&gt;"Variance vs Budget"),"",ABS(N($V461))+ROW()/1000000000)</f>
        <v/>
      </c>
    </row>
    <row r="462">
      <c r="A462" s="13">
        <f>IF(A$458="","",A$458)</f>
        <v/>
      </c>
      <c r="B462" s="13">
        <f>IF(B$458="","",B$458)</f>
        <v/>
      </c>
      <c r="C462" s="13">
        <f>IF(C$458="","",C$458)</f>
        <v/>
      </c>
      <c r="D462" s="13">
        <f>IF(D$458="","",D$458)</f>
        <v/>
      </c>
      <c r="E462" s="13">
        <f>IF(E$458="","",E$458)</f>
        <v/>
      </c>
      <c r="F462" s="13">
        <f>IF(F$458="","",F$458)</f>
        <v/>
      </c>
      <c r="G462" s="35" t="inlineStr">
        <is>
          <t>Actual + Forecast</t>
        </is>
      </c>
      <c r="H462" s="18">
        <f>IF($B$458="","",IF(1&lt;=$C$4,N(H459),IF(H461="",H458,H461)))</f>
        <v/>
      </c>
      <c r="I462" s="18">
        <f>IF($B$458="","",IF(2&lt;=$C$4,N(I459),IF(I461="",I458,I461)))</f>
        <v/>
      </c>
      <c r="J462" s="18">
        <f>IF($B$458="","",IF(3&lt;=$C$4,N(J459),IF(J461="",J458,J461)))</f>
        <v/>
      </c>
      <c r="K462" s="18">
        <f>IF($B$458="","",IF(4&lt;=$C$4,N(K459),IF(K461="",K458,K461)))</f>
        <v/>
      </c>
      <c r="L462" s="18">
        <f>IF($B$458="","",IF(5&lt;=$C$4,N(L459),IF(L461="",L458,L461)))</f>
        <v/>
      </c>
      <c r="M462" s="18">
        <f>IF($B$458="","",IF(6&lt;=$C$4,N(M459),IF(M461="",M458,M461)))</f>
        <v/>
      </c>
      <c r="N462" s="18">
        <f>IF($B$458="","",IF(7&lt;=$C$4,N(N459),IF(N461="",N458,N461)))</f>
        <v/>
      </c>
      <c r="O462" s="18">
        <f>IF($B$458="","",IF(8&lt;=$C$4,N(O459),IF(O461="",O458,O461)))</f>
        <v/>
      </c>
      <c r="P462" s="18">
        <f>IF($B$458="","",IF(9&lt;=$C$4,N(P459),IF(P461="",P458,P461)))</f>
        <v/>
      </c>
      <c r="Q462" s="18">
        <f>IF($B$458="","",IF(10&lt;=$C$4,N(Q459),IF(Q461="",Q458,Q461)))</f>
        <v/>
      </c>
      <c r="R462" s="18">
        <f>IF($B$458="","",IF(11&lt;=$C$4,N(R459),IF(R461="",R458,R461)))</f>
        <v/>
      </c>
      <c r="S462" s="18">
        <f>IF($B$458="","",IF(12&lt;=$C$4,N(S459),IF(S461="",S458,S461)))</f>
        <v/>
      </c>
      <c r="T462" s="18">
        <f>IF($B$458="","",SUMIF($H$7:$S$7,"&lt;="&amp;$C$4,$H462:$S462))</f>
        <v/>
      </c>
      <c r="U462" s="18">
        <f>IF($B$458="","",SUMIF($H$7:$S$7,"&gt;"&amp;$C$4,$H462:$S462))</f>
        <v/>
      </c>
      <c r="V462" s="18">
        <f>IF($B$458="","",SUM($H462:$S462))</f>
        <v/>
      </c>
      <c r="X462" s="22">
        <f>IF($B462="","",IFERROR(INDEX(Cost_Centers!$E:$E,MATCH($B462,Cost_Centers!$A:$A,0)),"(unknown)"))</f>
        <v/>
      </c>
      <c r="Y462" s="22">
        <f>IF($B462="","",IFERROR(INDEX(Cost_Centers!$D:$D,MATCH($B462,Cost_Centers!$A:$A,0)),"(unknown)"))</f>
        <v/>
      </c>
      <c r="Z462" s="22">
        <f>IF(OR($B462="",$G462&lt;&gt;"Variance vs Budget"),"",ABS(N($V462))+ROW()/1000000000)</f>
        <v/>
      </c>
    </row>
    <row r="463">
      <c r="A463" s="13">
        <f>IF(A$458="","",A$458)</f>
        <v/>
      </c>
      <c r="B463" s="13">
        <f>IF(B$458="","",B$458)</f>
        <v/>
      </c>
      <c r="C463" s="13">
        <f>IF(C$458="","",C$458)</f>
        <v/>
      </c>
      <c r="D463" s="13">
        <f>IF(D$458="","",D$458)</f>
        <v/>
      </c>
      <c r="E463" s="13">
        <f>IF(E$458="","",E$458)</f>
        <v/>
      </c>
      <c r="F463" s="13">
        <f>IF(F$458="","",F$458)</f>
        <v/>
      </c>
      <c r="G463" s="36" t="inlineStr">
        <is>
          <t>Prior Month Forecast</t>
        </is>
      </c>
      <c r="H463" s="37">
        <f>IF($B$458="","",IF(COUNTIFS(Prior_Forecast!$A:$A,$B$458,Prior_Forecast!$B:$B,$D$458)&gt;0,SUMIFS(Prior_Forecast!$C:$C,Prior_Forecast!$A:$A,$B$458,Prior_Forecast!$B:$B,$D$458),""))</f>
        <v/>
      </c>
      <c r="I463" s="37">
        <f>IF($B$458="","",IF(COUNTIFS(Prior_Forecast!$A:$A,$B$458,Prior_Forecast!$B:$B,$D$458)&gt;0,SUMIFS(Prior_Forecast!$D:$D,Prior_Forecast!$A:$A,$B$458,Prior_Forecast!$B:$B,$D$458),""))</f>
        <v/>
      </c>
      <c r="J463" s="37">
        <f>IF($B$458="","",IF(COUNTIFS(Prior_Forecast!$A:$A,$B$458,Prior_Forecast!$B:$B,$D$458)&gt;0,SUMIFS(Prior_Forecast!$E:$E,Prior_Forecast!$A:$A,$B$458,Prior_Forecast!$B:$B,$D$458),""))</f>
        <v/>
      </c>
      <c r="K463" s="37">
        <f>IF($B$458="","",IF(COUNTIFS(Prior_Forecast!$A:$A,$B$458,Prior_Forecast!$B:$B,$D$458)&gt;0,SUMIFS(Prior_Forecast!$F:$F,Prior_Forecast!$A:$A,$B$458,Prior_Forecast!$B:$B,$D$458),""))</f>
        <v/>
      </c>
      <c r="L463" s="37">
        <f>IF($B$458="","",IF(COUNTIFS(Prior_Forecast!$A:$A,$B$458,Prior_Forecast!$B:$B,$D$458)&gt;0,SUMIFS(Prior_Forecast!$G:$G,Prior_Forecast!$A:$A,$B$458,Prior_Forecast!$B:$B,$D$458),""))</f>
        <v/>
      </c>
      <c r="M463" s="37">
        <f>IF($B$458="","",IF(COUNTIFS(Prior_Forecast!$A:$A,$B$458,Prior_Forecast!$B:$B,$D$458)&gt;0,SUMIFS(Prior_Forecast!$H:$H,Prior_Forecast!$A:$A,$B$458,Prior_Forecast!$B:$B,$D$458),""))</f>
        <v/>
      </c>
      <c r="N463" s="37">
        <f>IF($B$458="","",IF(COUNTIFS(Prior_Forecast!$A:$A,$B$458,Prior_Forecast!$B:$B,$D$458)&gt;0,SUMIFS(Prior_Forecast!$I:$I,Prior_Forecast!$A:$A,$B$458,Prior_Forecast!$B:$B,$D$458),""))</f>
        <v/>
      </c>
      <c r="O463" s="37">
        <f>IF($B$458="","",IF(COUNTIFS(Prior_Forecast!$A:$A,$B$458,Prior_Forecast!$B:$B,$D$458)&gt;0,SUMIFS(Prior_Forecast!$J:$J,Prior_Forecast!$A:$A,$B$458,Prior_Forecast!$B:$B,$D$458),""))</f>
        <v/>
      </c>
      <c r="P463" s="37">
        <f>IF($B$458="","",IF(COUNTIFS(Prior_Forecast!$A:$A,$B$458,Prior_Forecast!$B:$B,$D$458)&gt;0,SUMIFS(Prior_Forecast!$K:$K,Prior_Forecast!$A:$A,$B$458,Prior_Forecast!$B:$B,$D$458),""))</f>
        <v/>
      </c>
      <c r="Q463" s="37">
        <f>IF($B$458="","",IF(COUNTIFS(Prior_Forecast!$A:$A,$B$458,Prior_Forecast!$B:$B,$D$458)&gt;0,SUMIFS(Prior_Forecast!$L:$L,Prior_Forecast!$A:$A,$B$458,Prior_Forecast!$B:$B,$D$458),""))</f>
        <v/>
      </c>
      <c r="R463" s="37">
        <f>IF($B$458="","",IF(COUNTIFS(Prior_Forecast!$A:$A,$B$458,Prior_Forecast!$B:$B,$D$458)&gt;0,SUMIFS(Prior_Forecast!$M:$M,Prior_Forecast!$A:$A,$B$458,Prior_Forecast!$B:$B,$D$458),""))</f>
        <v/>
      </c>
      <c r="S463" s="37">
        <f>IF($B$458="","",IF(COUNTIFS(Prior_Forecast!$A:$A,$B$458,Prior_Forecast!$B:$B,$D$458)&gt;0,SUMIFS(Prior_Forecast!$N:$N,Prior_Forecast!$A:$A,$B$458,Prior_Forecast!$B:$B,$D$458),""))</f>
        <v/>
      </c>
      <c r="T463" s="37">
        <f>IF($B$458="","",IF(COUNTIFS(Prior_Forecast!$A:$A,$B$458,Prior_Forecast!$B:$B,$D$458)&gt;0,SUMIFS(Prior_Forecast!$O:$O,Prior_Forecast!$A:$A,$B$458,Prior_Forecast!$B:$B,$D$458),""))</f>
        <v/>
      </c>
      <c r="U463" s="37">
        <f>IF($B$458="","",IF(COUNTIFS(Prior_Forecast!$A:$A,$B$458,Prior_Forecast!$B:$B,$D$458)&gt;0,SUMIFS(Prior_Forecast!$P:$P,Prior_Forecast!$A:$A,$B$458,Prior_Forecast!$B:$B,$D$458),""))</f>
        <v/>
      </c>
      <c r="V463" s="37">
        <f>IF($B$458="","",IF(COUNTIFS(Prior_Forecast!$A:$A,$B$458,Prior_Forecast!$B:$B,$D$458)&gt;0,SUMIFS(Prior_Forecast!$Q:$Q,Prior_Forecast!$A:$A,$B$458,Prior_Forecast!$B:$B,$D$458),""))</f>
        <v/>
      </c>
      <c r="X463" s="22">
        <f>IF($B463="","",IFERROR(INDEX(Cost_Centers!$E:$E,MATCH($B463,Cost_Centers!$A:$A,0)),"(unknown)"))</f>
        <v/>
      </c>
      <c r="Y463" s="22">
        <f>IF($B463="","",IFERROR(INDEX(Cost_Centers!$D:$D,MATCH($B463,Cost_Centers!$A:$A,0)),"(unknown)"))</f>
        <v/>
      </c>
      <c r="Z463" s="22">
        <f>IF(OR($B463="",$G463&lt;&gt;"Variance vs Budget"),"",ABS(N($V463))+ROW()/1000000000)</f>
        <v/>
      </c>
    </row>
    <row r="464">
      <c r="A464" s="13">
        <f>IF(A$458="","",A$458)</f>
        <v/>
      </c>
      <c r="B464" s="13">
        <f>IF(B$458="","",B$458)</f>
        <v/>
      </c>
      <c r="C464" s="13">
        <f>IF(C$458="","",C$458)</f>
        <v/>
      </c>
      <c r="D464" s="13">
        <f>IF(D$458="","",D$458)</f>
        <v/>
      </c>
      <c r="E464" s="13">
        <f>IF(E$458="","",E$458)</f>
        <v/>
      </c>
      <c r="F464" s="13">
        <f>IF(F$458="","",F$458)</f>
        <v/>
      </c>
      <c r="G464" s="6" t="inlineStr">
        <is>
          <t>Variance vs Prior Month</t>
        </is>
      </c>
      <c r="H464" s="33">
        <f>IF(OR($B$458="",H463=""),"",H462-H463)</f>
        <v/>
      </c>
      <c r="I464" s="33">
        <f>IF(OR($B$458="",I463=""),"",I462-I463)</f>
        <v/>
      </c>
      <c r="J464" s="33">
        <f>IF(OR($B$458="",J463=""),"",J462-J463)</f>
        <v/>
      </c>
      <c r="K464" s="33">
        <f>IF(OR($B$458="",K463=""),"",K462-K463)</f>
        <v/>
      </c>
      <c r="L464" s="33">
        <f>IF(OR($B$458="",L463=""),"",L462-L463)</f>
        <v/>
      </c>
      <c r="M464" s="33">
        <f>IF(OR($B$458="",M463=""),"",M462-M463)</f>
        <v/>
      </c>
      <c r="N464" s="33">
        <f>IF(OR($B$458="",N463=""),"",N462-N463)</f>
        <v/>
      </c>
      <c r="O464" s="33">
        <f>IF(OR($B$458="",O463=""),"",O462-O463)</f>
        <v/>
      </c>
      <c r="P464" s="33">
        <f>IF(OR($B$458="",P463=""),"",P462-P463)</f>
        <v/>
      </c>
      <c r="Q464" s="33">
        <f>IF(OR($B$458="",Q463=""),"",Q462-Q463)</f>
        <v/>
      </c>
      <c r="R464" s="33">
        <f>IF(OR($B$458="",R463=""),"",R462-R463)</f>
        <v/>
      </c>
      <c r="S464" s="33">
        <f>IF(OR($B$458="",S463=""),"",S462-S463)</f>
        <v/>
      </c>
      <c r="T464" s="33">
        <f>IF(OR($B$458="",T463=""),"",T462-T463)</f>
        <v/>
      </c>
      <c r="U464" s="33">
        <f>IF(OR($B$458="",U463=""),"",U462-U463)</f>
        <v/>
      </c>
      <c r="V464" s="33">
        <f>IF(OR($B$458="",V463=""),"",V462-V463)</f>
        <v/>
      </c>
      <c r="X464" s="22">
        <f>IF($B464="","",IFERROR(INDEX(Cost_Centers!$E:$E,MATCH($B464,Cost_Centers!$A:$A,0)),"(unknown)"))</f>
        <v/>
      </c>
      <c r="Y464" s="22">
        <f>IF($B464="","",IFERROR(INDEX(Cost_Centers!$D:$D,MATCH($B464,Cost_Centers!$A:$A,0)),"(unknown)"))</f>
        <v/>
      </c>
      <c r="Z464" s="22">
        <f>IF(OR($B464="",$G464&lt;&gt;"Variance vs Budget"),"",ABS(N($V464))+ROW()/1000000000)</f>
        <v/>
      </c>
    </row>
    <row r="465" ht="45" customHeight="1">
      <c r="A465" s="13">
        <f>IF(A$458="","",A$458)</f>
        <v/>
      </c>
      <c r="B465" s="13">
        <f>IF(B$458="","",B$458)</f>
        <v/>
      </c>
      <c r="C465" s="13">
        <f>IF(C$458="","",C$458)</f>
        <v/>
      </c>
      <c r="D465" s="13">
        <f>IF(D$458="","",D$458)</f>
        <v/>
      </c>
      <c r="E465" s="13">
        <f>IF(E$458="","",E$458)</f>
        <v/>
      </c>
      <c r="F465" s="13">
        <f>IF(F$458="","",F$458)</f>
        <v/>
      </c>
      <c r="G465" s="7" t="inlineStr">
        <is>
          <t>Rationale</t>
        </is>
      </c>
      <c r="H465" s="38" t="n"/>
      <c r="I465" s="38" t="n"/>
      <c r="J465" s="38" t="n"/>
      <c r="K465" s="38" t="n"/>
      <c r="L465" s="38" t="n"/>
      <c r="M465" s="38" t="n"/>
      <c r="N465" s="38" t="n"/>
      <c r="O465" s="38" t="n"/>
      <c r="P465" s="38" t="n"/>
      <c r="Q465" s="38" t="n"/>
      <c r="R465" s="38" t="n"/>
      <c r="S465" s="38" t="n"/>
      <c r="T465" s="38" t="n"/>
      <c r="U465" s="38" t="n"/>
      <c r="V465" s="7" t="n"/>
      <c r="X465" s="22">
        <f>IF($B465="","",IFERROR(INDEX(Cost_Centers!$E:$E,MATCH($B465,Cost_Centers!$A:$A,0)),"(unknown)"))</f>
        <v/>
      </c>
      <c r="Y465" s="22">
        <f>IF($B465="","",IFERROR(INDEX(Cost_Centers!$D:$D,MATCH($B465,Cost_Centers!$A:$A,0)),"(unknown)"))</f>
        <v/>
      </c>
      <c r="Z465" s="22">
        <f>IF(OR($B465="",$G465&lt;&gt;"Variance vs Budget"),"",ABS(N($V465))+ROW()/1000000000)</f>
        <v/>
      </c>
    </row>
    <row r="466">
      <c r="A466" s="30">
        <f>IF($D$466="","",LEFT($D$466,FIND("|",$D$466&amp;"|")-1))</f>
        <v/>
      </c>
      <c r="B466" s="31" t="n"/>
      <c r="C466" s="30">
        <f>IF($B$466="","",IFERROR(INDEX(Cost_Centers!$B:$B,MATCH($B$466,Cost_Centers!$A:$A,0)),"(not in master)"))</f>
        <v/>
      </c>
      <c r="D466" s="31" t="n"/>
      <c r="E466" s="30">
        <f>IF($D$466="","",IFERROR(INDEX(Accounts!$D:$D,MATCH($D$466,Accounts!$A:$A,0)),"(not in master)"))</f>
        <v/>
      </c>
      <c r="F466" s="31" t="n"/>
      <c r="G466" s="30" t="inlineStr">
        <is>
          <t>Budget</t>
        </is>
      </c>
      <c r="H466" s="32">
        <f>IF($B$466="","",SUMIFS(Opex_Budget!$O:$O,Opex_Budget!$A:$A,$C$3,Opex_Budget!$E:$E,$B$466,Opex_Budget!$F:$F,$D$466,Opex_Budget!$N:$N,"JPY")*$E$5+SUMIFS(Opex_Budget!$O:$O,Opex_Budget!$A:$A,$C$3,Opex_Budget!$E:$E,$B$466,Opex_Budget!$F:$F,$D$466,Opex_Budget!$N:$N,"USD")*$F$5+SUMIFS(Opex_Budget!$O:$O,Opex_Budget!$A:$A,$C$3,Opex_Budget!$E:$E,$B$466,Opex_Budget!$F:$F,$D$466,Opex_Budget!$N:$N,"EUR")*$G$5+SUMIFS(Opex_Budget!$O:$O,Opex_Budget!$A:$A,$C$3,Opex_Budget!$E:$E,$B$466,Opex_Budget!$F:$F,$D$466,Opex_Budget!$N:$N,"GBP")*$H$5)</f>
        <v/>
      </c>
      <c r="I466" s="32">
        <f>IF($B$466="","",SUMIFS(Opex_Budget!$P:$P,Opex_Budget!$A:$A,$C$3,Opex_Budget!$E:$E,$B$466,Opex_Budget!$F:$F,$D$466,Opex_Budget!$N:$N,"JPY")*$E$5+SUMIFS(Opex_Budget!$P:$P,Opex_Budget!$A:$A,$C$3,Opex_Budget!$E:$E,$B$466,Opex_Budget!$F:$F,$D$466,Opex_Budget!$N:$N,"USD")*$F$5+SUMIFS(Opex_Budget!$P:$P,Opex_Budget!$A:$A,$C$3,Opex_Budget!$E:$E,$B$466,Opex_Budget!$F:$F,$D$466,Opex_Budget!$N:$N,"EUR")*$G$5+SUMIFS(Opex_Budget!$P:$P,Opex_Budget!$A:$A,$C$3,Opex_Budget!$E:$E,$B$466,Opex_Budget!$F:$F,$D$466,Opex_Budget!$N:$N,"GBP")*$H$5)</f>
        <v/>
      </c>
      <c r="J466" s="32">
        <f>IF($B$466="","",SUMIFS(Opex_Budget!$Q:$Q,Opex_Budget!$A:$A,$C$3,Opex_Budget!$E:$E,$B$466,Opex_Budget!$F:$F,$D$466,Opex_Budget!$N:$N,"JPY")*$E$5+SUMIFS(Opex_Budget!$Q:$Q,Opex_Budget!$A:$A,$C$3,Opex_Budget!$E:$E,$B$466,Opex_Budget!$F:$F,$D$466,Opex_Budget!$N:$N,"USD")*$F$5+SUMIFS(Opex_Budget!$Q:$Q,Opex_Budget!$A:$A,$C$3,Opex_Budget!$E:$E,$B$466,Opex_Budget!$F:$F,$D$466,Opex_Budget!$N:$N,"EUR")*$G$5+SUMIFS(Opex_Budget!$Q:$Q,Opex_Budget!$A:$A,$C$3,Opex_Budget!$E:$E,$B$466,Opex_Budget!$F:$F,$D$466,Opex_Budget!$N:$N,"GBP")*$H$5)</f>
        <v/>
      </c>
      <c r="K466" s="32">
        <f>IF($B$466="","",SUMIFS(Opex_Budget!$R:$R,Opex_Budget!$A:$A,$C$3,Opex_Budget!$E:$E,$B$466,Opex_Budget!$F:$F,$D$466,Opex_Budget!$N:$N,"JPY")*$E$5+SUMIFS(Opex_Budget!$R:$R,Opex_Budget!$A:$A,$C$3,Opex_Budget!$E:$E,$B$466,Opex_Budget!$F:$F,$D$466,Opex_Budget!$N:$N,"USD")*$F$5+SUMIFS(Opex_Budget!$R:$R,Opex_Budget!$A:$A,$C$3,Opex_Budget!$E:$E,$B$466,Opex_Budget!$F:$F,$D$466,Opex_Budget!$N:$N,"EUR")*$G$5+SUMIFS(Opex_Budget!$R:$R,Opex_Budget!$A:$A,$C$3,Opex_Budget!$E:$E,$B$466,Opex_Budget!$F:$F,$D$466,Opex_Budget!$N:$N,"GBP")*$H$5)</f>
        <v/>
      </c>
      <c r="L466" s="32">
        <f>IF($B$466="","",SUMIFS(Opex_Budget!$S:$S,Opex_Budget!$A:$A,$C$3,Opex_Budget!$E:$E,$B$466,Opex_Budget!$F:$F,$D$466,Opex_Budget!$N:$N,"JPY")*$E$5+SUMIFS(Opex_Budget!$S:$S,Opex_Budget!$A:$A,$C$3,Opex_Budget!$E:$E,$B$466,Opex_Budget!$F:$F,$D$466,Opex_Budget!$N:$N,"USD")*$F$5+SUMIFS(Opex_Budget!$S:$S,Opex_Budget!$A:$A,$C$3,Opex_Budget!$E:$E,$B$466,Opex_Budget!$F:$F,$D$466,Opex_Budget!$N:$N,"EUR")*$G$5+SUMIFS(Opex_Budget!$S:$S,Opex_Budget!$A:$A,$C$3,Opex_Budget!$E:$E,$B$466,Opex_Budget!$F:$F,$D$466,Opex_Budget!$N:$N,"GBP")*$H$5)</f>
        <v/>
      </c>
      <c r="M466" s="32">
        <f>IF($B$466="","",SUMIFS(Opex_Budget!$T:$T,Opex_Budget!$A:$A,$C$3,Opex_Budget!$E:$E,$B$466,Opex_Budget!$F:$F,$D$466,Opex_Budget!$N:$N,"JPY")*$E$5+SUMIFS(Opex_Budget!$T:$T,Opex_Budget!$A:$A,$C$3,Opex_Budget!$E:$E,$B$466,Opex_Budget!$F:$F,$D$466,Opex_Budget!$N:$N,"USD")*$F$5+SUMIFS(Opex_Budget!$T:$T,Opex_Budget!$A:$A,$C$3,Opex_Budget!$E:$E,$B$466,Opex_Budget!$F:$F,$D$466,Opex_Budget!$N:$N,"EUR")*$G$5+SUMIFS(Opex_Budget!$T:$T,Opex_Budget!$A:$A,$C$3,Opex_Budget!$E:$E,$B$466,Opex_Budget!$F:$F,$D$466,Opex_Budget!$N:$N,"GBP")*$H$5)</f>
        <v/>
      </c>
      <c r="N466" s="32">
        <f>IF($B$466="","",SUMIFS(Opex_Budget!$U:$U,Opex_Budget!$A:$A,$C$3,Opex_Budget!$E:$E,$B$466,Opex_Budget!$F:$F,$D$466,Opex_Budget!$N:$N,"JPY")*$E$5+SUMIFS(Opex_Budget!$U:$U,Opex_Budget!$A:$A,$C$3,Opex_Budget!$E:$E,$B$466,Opex_Budget!$F:$F,$D$466,Opex_Budget!$N:$N,"USD")*$F$5+SUMIFS(Opex_Budget!$U:$U,Opex_Budget!$A:$A,$C$3,Opex_Budget!$E:$E,$B$466,Opex_Budget!$F:$F,$D$466,Opex_Budget!$N:$N,"EUR")*$G$5+SUMIFS(Opex_Budget!$U:$U,Opex_Budget!$A:$A,$C$3,Opex_Budget!$E:$E,$B$466,Opex_Budget!$F:$F,$D$466,Opex_Budget!$N:$N,"GBP")*$H$5)</f>
        <v/>
      </c>
      <c r="O466" s="32">
        <f>IF($B$466="","",SUMIFS(Opex_Budget!$V:$V,Opex_Budget!$A:$A,$C$3,Opex_Budget!$E:$E,$B$466,Opex_Budget!$F:$F,$D$466,Opex_Budget!$N:$N,"JPY")*$E$5+SUMIFS(Opex_Budget!$V:$V,Opex_Budget!$A:$A,$C$3,Opex_Budget!$E:$E,$B$466,Opex_Budget!$F:$F,$D$466,Opex_Budget!$N:$N,"USD")*$F$5+SUMIFS(Opex_Budget!$V:$V,Opex_Budget!$A:$A,$C$3,Opex_Budget!$E:$E,$B$466,Opex_Budget!$F:$F,$D$466,Opex_Budget!$N:$N,"EUR")*$G$5+SUMIFS(Opex_Budget!$V:$V,Opex_Budget!$A:$A,$C$3,Opex_Budget!$E:$E,$B$466,Opex_Budget!$F:$F,$D$466,Opex_Budget!$N:$N,"GBP")*$H$5)</f>
        <v/>
      </c>
      <c r="P466" s="32">
        <f>IF($B$466="","",SUMIFS(Opex_Budget!$W:$W,Opex_Budget!$A:$A,$C$3,Opex_Budget!$E:$E,$B$466,Opex_Budget!$F:$F,$D$466,Opex_Budget!$N:$N,"JPY")*$E$5+SUMIFS(Opex_Budget!$W:$W,Opex_Budget!$A:$A,$C$3,Opex_Budget!$E:$E,$B$466,Opex_Budget!$F:$F,$D$466,Opex_Budget!$N:$N,"USD")*$F$5+SUMIFS(Opex_Budget!$W:$W,Opex_Budget!$A:$A,$C$3,Opex_Budget!$E:$E,$B$466,Opex_Budget!$F:$F,$D$466,Opex_Budget!$N:$N,"EUR")*$G$5+SUMIFS(Opex_Budget!$W:$W,Opex_Budget!$A:$A,$C$3,Opex_Budget!$E:$E,$B$466,Opex_Budget!$F:$F,$D$466,Opex_Budget!$N:$N,"GBP")*$H$5)</f>
        <v/>
      </c>
      <c r="Q466" s="32">
        <f>IF($B$466="","",SUMIFS(Opex_Budget!$X:$X,Opex_Budget!$A:$A,$C$3,Opex_Budget!$E:$E,$B$466,Opex_Budget!$F:$F,$D$466,Opex_Budget!$N:$N,"JPY")*$E$5+SUMIFS(Opex_Budget!$X:$X,Opex_Budget!$A:$A,$C$3,Opex_Budget!$E:$E,$B$466,Opex_Budget!$F:$F,$D$466,Opex_Budget!$N:$N,"USD")*$F$5+SUMIFS(Opex_Budget!$X:$X,Opex_Budget!$A:$A,$C$3,Opex_Budget!$E:$E,$B$466,Opex_Budget!$F:$F,$D$466,Opex_Budget!$N:$N,"EUR")*$G$5+SUMIFS(Opex_Budget!$X:$X,Opex_Budget!$A:$A,$C$3,Opex_Budget!$E:$E,$B$466,Opex_Budget!$F:$F,$D$466,Opex_Budget!$N:$N,"GBP")*$H$5)</f>
        <v/>
      </c>
      <c r="R466" s="32">
        <f>IF($B$466="","",SUMIFS(Opex_Budget!$Y:$Y,Opex_Budget!$A:$A,$C$3,Opex_Budget!$E:$E,$B$466,Opex_Budget!$F:$F,$D$466,Opex_Budget!$N:$N,"JPY")*$E$5+SUMIFS(Opex_Budget!$Y:$Y,Opex_Budget!$A:$A,$C$3,Opex_Budget!$E:$E,$B$466,Opex_Budget!$F:$F,$D$466,Opex_Budget!$N:$N,"USD")*$F$5+SUMIFS(Opex_Budget!$Y:$Y,Opex_Budget!$A:$A,$C$3,Opex_Budget!$E:$E,$B$466,Opex_Budget!$F:$F,$D$466,Opex_Budget!$N:$N,"EUR")*$G$5+SUMIFS(Opex_Budget!$Y:$Y,Opex_Budget!$A:$A,$C$3,Opex_Budget!$E:$E,$B$466,Opex_Budget!$F:$F,$D$466,Opex_Budget!$N:$N,"GBP")*$H$5)</f>
        <v/>
      </c>
      <c r="S466" s="32">
        <f>IF($B$466="","",SUMIFS(Opex_Budget!$Z:$Z,Opex_Budget!$A:$A,$C$3,Opex_Budget!$E:$E,$B$466,Opex_Budget!$F:$F,$D$466,Opex_Budget!$N:$N,"JPY")*$E$5+SUMIFS(Opex_Budget!$Z:$Z,Opex_Budget!$A:$A,$C$3,Opex_Budget!$E:$E,$B$466,Opex_Budget!$F:$F,$D$466,Opex_Budget!$N:$N,"USD")*$F$5+SUMIFS(Opex_Budget!$Z:$Z,Opex_Budget!$A:$A,$C$3,Opex_Budget!$E:$E,$B$466,Opex_Budget!$F:$F,$D$466,Opex_Budget!$N:$N,"EUR")*$G$5+SUMIFS(Opex_Budget!$Z:$Z,Opex_Budget!$A:$A,$C$3,Opex_Budget!$E:$E,$B$466,Opex_Budget!$F:$F,$D$466,Opex_Budget!$N:$N,"GBP")*$H$5)</f>
        <v/>
      </c>
      <c r="T466" s="32">
        <f>IF($B$466="","",SUMIF($H$7:$S$7,"&lt;="&amp;$C$4,$H466:$S466))</f>
        <v/>
      </c>
      <c r="U466" s="32">
        <f>IF($B$466="","",SUMIF($H$7:$S$7,"&gt;"&amp;$C$4,$H466:$S466))</f>
        <v/>
      </c>
      <c r="V466" s="32">
        <f>IF($B$466="","",SUM($H466:$S466))</f>
        <v/>
      </c>
      <c r="X466" s="22">
        <f>IF($B466="","",IFERROR(INDEX(Cost_Centers!$E:$E,MATCH($B466,Cost_Centers!$A:$A,0)),"(unknown)"))</f>
        <v/>
      </c>
      <c r="Y466" s="22">
        <f>IF($B466="","",IFERROR(INDEX(Cost_Centers!$D:$D,MATCH($B466,Cost_Centers!$A:$A,0)),"(unknown)"))</f>
        <v/>
      </c>
      <c r="Z466" s="22">
        <f>IF(OR($B466="",$G466&lt;&gt;"Variance vs Budget"),"",ABS(N($V466))+ROW()/1000000000)</f>
        <v/>
      </c>
    </row>
    <row r="467">
      <c r="A467" s="13">
        <f>IF(A$466="","",A$466)</f>
        <v/>
      </c>
      <c r="B467" s="13">
        <f>IF(B$466="","",B$466)</f>
        <v/>
      </c>
      <c r="C467" s="13">
        <f>IF(C$466="","",C$466)</f>
        <v/>
      </c>
      <c r="D467" s="13">
        <f>IF(D$466="","",D$466)</f>
        <v/>
      </c>
      <c r="E467" s="13">
        <f>IF(E$466="","",E$466)</f>
        <v/>
      </c>
      <c r="F467" s="13">
        <f>IF(F$466="","",F$466)</f>
        <v/>
      </c>
      <c r="G467" s="7" t="inlineStr">
        <is>
          <t>Actual</t>
        </is>
      </c>
      <c r="H467" s="18">
        <f>IF(OR($B$466="",1&gt;$C$4),"",SUMIFS(Actuals!$G:$G,Actuals!$B:$B,$C$3,Actuals!$C:$C,1,Actuals!$D:$D,$B$466,Actuals!$A:$A,LEFT($D$466,FIND("|",$D$466&amp;"|")-1),Actuals!$E:$E,MID($D$466,FIND("|",$D$466&amp;"|")+1,50),Actuals!$F:$F,"JPY")*$E$5+SUMIFS(Actuals!$G:$G,Actuals!$B:$B,$C$3,Actuals!$C:$C,1,Actuals!$D:$D,$B$466,Actuals!$A:$A,LEFT($D$466,FIND("|",$D$466&amp;"|")-1),Actuals!$E:$E,MID($D$466,FIND("|",$D$466&amp;"|")+1,50),Actuals!$F:$F,"USD")*$F$5+SUMIFS(Actuals!$G:$G,Actuals!$B:$B,$C$3,Actuals!$C:$C,1,Actuals!$D:$D,$B$466,Actuals!$A:$A,LEFT($D$466,FIND("|",$D$466&amp;"|")-1),Actuals!$E:$E,MID($D$466,FIND("|",$D$466&amp;"|")+1,50),Actuals!$F:$F,"EUR")*$G$5+SUMIFS(Actuals!$G:$G,Actuals!$B:$B,$C$3,Actuals!$C:$C,1,Actuals!$D:$D,$B$466,Actuals!$A:$A,LEFT($D$466,FIND("|",$D$466&amp;"|")-1),Actuals!$E:$E,MID($D$466,FIND("|",$D$466&amp;"|")+1,50),Actuals!$F:$F,"GBP")*$H$5)</f>
        <v/>
      </c>
      <c r="I467" s="18">
        <f>IF(OR($B$466="",2&gt;$C$4),"",SUMIFS(Actuals!$G:$G,Actuals!$B:$B,$C$3,Actuals!$C:$C,2,Actuals!$D:$D,$B$466,Actuals!$A:$A,LEFT($D$466,FIND("|",$D$466&amp;"|")-1),Actuals!$E:$E,MID($D$466,FIND("|",$D$466&amp;"|")+1,50),Actuals!$F:$F,"JPY")*$E$5+SUMIFS(Actuals!$G:$G,Actuals!$B:$B,$C$3,Actuals!$C:$C,2,Actuals!$D:$D,$B$466,Actuals!$A:$A,LEFT($D$466,FIND("|",$D$466&amp;"|")-1),Actuals!$E:$E,MID($D$466,FIND("|",$D$466&amp;"|")+1,50),Actuals!$F:$F,"USD")*$F$5+SUMIFS(Actuals!$G:$G,Actuals!$B:$B,$C$3,Actuals!$C:$C,2,Actuals!$D:$D,$B$466,Actuals!$A:$A,LEFT($D$466,FIND("|",$D$466&amp;"|")-1),Actuals!$E:$E,MID($D$466,FIND("|",$D$466&amp;"|")+1,50),Actuals!$F:$F,"EUR")*$G$5+SUMIFS(Actuals!$G:$G,Actuals!$B:$B,$C$3,Actuals!$C:$C,2,Actuals!$D:$D,$B$466,Actuals!$A:$A,LEFT($D$466,FIND("|",$D$466&amp;"|")-1),Actuals!$E:$E,MID($D$466,FIND("|",$D$466&amp;"|")+1,50),Actuals!$F:$F,"GBP")*$H$5)</f>
        <v/>
      </c>
      <c r="J467" s="18">
        <f>IF(OR($B$466="",3&gt;$C$4),"",SUMIFS(Actuals!$G:$G,Actuals!$B:$B,$C$3,Actuals!$C:$C,3,Actuals!$D:$D,$B$466,Actuals!$A:$A,LEFT($D$466,FIND("|",$D$466&amp;"|")-1),Actuals!$E:$E,MID($D$466,FIND("|",$D$466&amp;"|")+1,50),Actuals!$F:$F,"JPY")*$E$5+SUMIFS(Actuals!$G:$G,Actuals!$B:$B,$C$3,Actuals!$C:$C,3,Actuals!$D:$D,$B$466,Actuals!$A:$A,LEFT($D$466,FIND("|",$D$466&amp;"|")-1),Actuals!$E:$E,MID($D$466,FIND("|",$D$466&amp;"|")+1,50),Actuals!$F:$F,"USD")*$F$5+SUMIFS(Actuals!$G:$G,Actuals!$B:$B,$C$3,Actuals!$C:$C,3,Actuals!$D:$D,$B$466,Actuals!$A:$A,LEFT($D$466,FIND("|",$D$466&amp;"|")-1),Actuals!$E:$E,MID($D$466,FIND("|",$D$466&amp;"|")+1,50),Actuals!$F:$F,"EUR")*$G$5+SUMIFS(Actuals!$G:$G,Actuals!$B:$B,$C$3,Actuals!$C:$C,3,Actuals!$D:$D,$B$466,Actuals!$A:$A,LEFT($D$466,FIND("|",$D$466&amp;"|")-1),Actuals!$E:$E,MID($D$466,FIND("|",$D$466&amp;"|")+1,50),Actuals!$F:$F,"GBP")*$H$5)</f>
        <v/>
      </c>
      <c r="K467" s="18">
        <f>IF(OR($B$466="",4&gt;$C$4),"",SUMIFS(Actuals!$G:$G,Actuals!$B:$B,$C$3,Actuals!$C:$C,4,Actuals!$D:$D,$B$466,Actuals!$A:$A,LEFT($D$466,FIND("|",$D$466&amp;"|")-1),Actuals!$E:$E,MID($D$466,FIND("|",$D$466&amp;"|")+1,50),Actuals!$F:$F,"JPY")*$E$5+SUMIFS(Actuals!$G:$G,Actuals!$B:$B,$C$3,Actuals!$C:$C,4,Actuals!$D:$D,$B$466,Actuals!$A:$A,LEFT($D$466,FIND("|",$D$466&amp;"|")-1),Actuals!$E:$E,MID($D$466,FIND("|",$D$466&amp;"|")+1,50),Actuals!$F:$F,"USD")*$F$5+SUMIFS(Actuals!$G:$G,Actuals!$B:$B,$C$3,Actuals!$C:$C,4,Actuals!$D:$D,$B$466,Actuals!$A:$A,LEFT($D$466,FIND("|",$D$466&amp;"|")-1),Actuals!$E:$E,MID($D$466,FIND("|",$D$466&amp;"|")+1,50),Actuals!$F:$F,"EUR")*$G$5+SUMIFS(Actuals!$G:$G,Actuals!$B:$B,$C$3,Actuals!$C:$C,4,Actuals!$D:$D,$B$466,Actuals!$A:$A,LEFT($D$466,FIND("|",$D$466&amp;"|")-1),Actuals!$E:$E,MID($D$466,FIND("|",$D$466&amp;"|")+1,50),Actuals!$F:$F,"GBP")*$H$5)</f>
        <v/>
      </c>
      <c r="L467" s="18">
        <f>IF(OR($B$466="",5&gt;$C$4),"",SUMIFS(Actuals!$G:$G,Actuals!$B:$B,$C$3,Actuals!$C:$C,5,Actuals!$D:$D,$B$466,Actuals!$A:$A,LEFT($D$466,FIND("|",$D$466&amp;"|")-1),Actuals!$E:$E,MID($D$466,FIND("|",$D$466&amp;"|")+1,50),Actuals!$F:$F,"JPY")*$E$5+SUMIFS(Actuals!$G:$G,Actuals!$B:$B,$C$3,Actuals!$C:$C,5,Actuals!$D:$D,$B$466,Actuals!$A:$A,LEFT($D$466,FIND("|",$D$466&amp;"|")-1),Actuals!$E:$E,MID($D$466,FIND("|",$D$466&amp;"|")+1,50),Actuals!$F:$F,"USD")*$F$5+SUMIFS(Actuals!$G:$G,Actuals!$B:$B,$C$3,Actuals!$C:$C,5,Actuals!$D:$D,$B$466,Actuals!$A:$A,LEFT($D$466,FIND("|",$D$466&amp;"|")-1),Actuals!$E:$E,MID($D$466,FIND("|",$D$466&amp;"|")+1,50),Actuals!$F:$F,"EUR")*$G$5+SUMIFS(Actuals!$G:$G,Actuals!$B:$B,$C$3,Actuals!$C:$C,5,Actuals!$D:$D,$B$466,Actuals!$A:$A,LEFT($D$466,FIND("|",$D$466&amp;"|")-1),Actuals!$E:$E,MID($D$466,FIND("|",$D$466&amp;"|")+1,50),Actuals!$F:$F,"GBP")*$H$5)</f>
        <v/>
      </c>
      <c r="M467" s="18">
        <f>IF(OR($B$466="",6&gt;$C$4),"",SUMIFS(Actuals!$G:$G,Actuals!$B:$B,$C$3,Actuals!$C:$C,6,Actuals!$D:$D,$B$466,Actuals!$A:$A,LEFT($D$466,FIND("|",$D$466&amp;"|")-1),Actuals!$E:$E,MID($D$466,FIND("|",$D$466&amp;"|")+1,50),Actuals!$F:$F,"JPY")*$E$5+SUMIFS(Actuals!$G:$G,Actuals!$B:$B,$C$3,Actuals!$C:$C,6,Actuals!$D:$D,$B$466,Actuals!$A:$A,LEFT($D$466,FIND("|",$D$466&amp;"|")-1),Actuals!$E:$E,MID($D$466,FIND("|",$D$466&amp;"|")+1,50),Actuals!$F:$F,"USD")*$F$5+SUMIFS(Actuals!$G:$G,Actuals!$B:$B,$C$3,Actuals!$C:$C,6,Actuals!$D:$D,$B$466,Actuals!$A:$A,LEFT($D$466,FIND("|",$D$466&amp;"|")-1),Actuals!$E:$E,MID($D$466,FIND("|",$D$466&amp;"|")+1,50),Actuals!$F:$F,"EUR")*$G$5+SUMIFS(Actuals!$G:$G,Actuals!$B:$B,$C$3,Actuals!$C:$C,6,Actuals!$D:$D,$B$466,Actuals!$A:$A,LEFT($D$466,FIND("|",$D$466&amp;"|")-1),Actuals!$E:$E,MID($D$466,FIND("|",$D$466&amp;"|")+1,50),Actuals!$F:$F,"GBP")*$H$5)</f>
        <v/>
      </c>
      <c r="N467" s="18">
        <f>IF(OR($B$466="",7&gt;$C$4),"",SUMIFS(Actuals!$G:$G,Actuals!$B:$B,$C$3,Actuals!$C:$C,7,Actuals!$D:$D,$B$466,Actuals!$A:$A,LEFT($D$466,FIND("|",$D$466&amp;"|")-1),Actuals!$E:$E,MID($D$466,FIND("|",$D$466&amp;"|")+1,50),Actuals!$F:$F,"JPY")*$E$5+SUMIFS(Actuals!$G:$G,Actuals!$B:$B,$C$3,Actuals!$C:$C,7,Actuals!$D:$D,$B$466,Actuals!$A:$A,LEFT($D$466,FIND("|",$D$466&amp;"|")-1),Actuals!$E:$E,MID($D$466,FIND("|",$D$466&amp;"|")+1,50),Actuals!$F:$F,"USD")*$F$5+SUMIFS(Actuals!$G:$G,Actuals!$B:$B,$C$3,Actuals!$C:$C,7,Actuals!$D:$D,$B$466,Actuals!$A:$A,LEFT($D$466,FIND("|",$D$466&amp;"|")-1),Actuals!$E:$E,MID($D$466,FIND("|",$D$466&amp;"|")+1,50),Actuals!$F:$F,"EUR")*$G$5+SUMIFS(Actuals!$G:$G,Actuals!$B:$B,$C$3,Actuals!$C:$C,7,Actuals!$D:$D,$B$466,Actuals!$A:$A,LEFT($D$466,FIND("|",$D$466&amp;"|")-1),Actuals!$E:$E,MID($D$466,FIND("|",$D$466&amp;"|")+1,50),Actuals!$F:$F,"GBP")*$H$5)</f>
        <v/>
      </c>
      <c r="O467" s="18">
        <f>IF(OR($B$466="",8&gt;$C$4),"",SUMIFS(Actuals!$G:$G,Actuals!$B:$B,$C$3,Actuals!$C:$C,8,Actuals!$D:$D,$B$466,Actuals!$A:$A,LEFT($D$466,FIND("|",$D$466&amp;"|")-1),Actuals!$E:$E,MID($D$466,FIND("|",$D$466&amp;"|")+1,50),Actuals!$F:$F,"JPY")*$E$5+SUMIFS(Actuals!$G:$G,Actuals!$B:$B,$C$3,Actuals!$C:$C,8,Actuals!$D:$D,$B$466,Actuals!$A:$A,LEFT($D$466,FIND("|",$D$466&amp;"|")-1),Actuals!$E:$E,MID($D$466,FIND("|",$D$466&amp;"|")+1,50),Actuals!$F:$F,"USD")*$F$5+SUMIFS(Actuals!$G:$G,Actuals!$B:$B,$C$3,Actuals!$C:$C,8,Actuals!$D:$D,$B$466,Actuals!$A:$A,LEFT($D$466,FIND("|",$D$466&amp;"|")-1),Actuals!$E:$E,MID($D$466,FIND("|",$D$466&amp;"|")+1,50),Actuals!$F:$F,"EUR")*$G$5+SUMIFS(Actuals!$G:$G,Actuals!$B:$B,$C$3,Actuals!$C:$C,8,Actuals!$D:$D,$B$466,Actuals!$A:$A,LEFT($D$466,FIND("|",$D$466&amp;"|")-1),Actuals!$E:$E,MID($D$466,FIND("|",$D$466&amp;"|")+1,50),Actuals!$F:$F,"GBP")*$H$5)</f>
        <v/>
      </c>
      <c r="P467" s="18">
        <f>IF(OR($B$466="",9&gt;$C$4),"",SUMIFS(Actuals!$G:$G,Actuals!$B:$B,$C$3,Actuals!$C:$C,9,Actuals!$D:$D,$B$466,Actuals!$A:$A,LEFT($D$466,FIND("|",$D$466&amp;"|")-1),Actuals!$E:$E,MID($D$466,FIND("|",$D$466&amp;"|")+1,50),Actuals!$F:$F,"JPY")*$E$5+SUMIFS(Actuals!$G:$G,Actuals!$B:$B,$C$3,Actuals!$C:$C,9,Actuals!$D:$D,$B$466,Actuals!$A:$A,LEFT($D$466,FIND("|",$D$466&amp;"|")-1),Actuals!$E:$E,MID($D$466,FIND("|",$D$466&amp;"|")+1,50),Actuals!$F:$F,"USD")*$F$5+SUMIFS(Actuals!$G:$G,Actuals!$B:$B,$C$3,Actuals!$C:$C,9,Actuals!$D:$D,$B$466,Actuals!$A:$A,LEFT($D$466,FIND("|",$D$466&amp;"|")-1),Actuals!$E:$E,MID($D$466,FIND("|",$D$466&amp;"|")+1,50),Actuals!$F:$F,"EUR")*$G$5+SUMIFS(Actuals!$G:$G,Actuals!$B:$B,$C$3,Actuals!$C:$C,9,Actuals!$D:$D,$B$466,Actuals!$A:$A,LEFT($D$466,FIND("|",$D$466&amp;"|")-1),Actuals!$E:$E,MID($D$466,FIND("|",$D$466&amp;"|")+1,50),Actuals!$F:$F,"GBP")*$H$5)</f>
        <v/>
      </c>
      <c r="Q467" s="18">
        <f>IF(OR($B$466="",10&gt;$C$4),"",SUMIFS(Actuals!$G:$G,Actuals!$B:$B,$C$3,Actuals!$C:$C,10,Actuals!$D:$D,$B$466,Actuals!$A:$A,LEFT($D$466,FIND("|",$D$466&amp;"|")-1),Actuals!$E:$E,MID($D$466,FIND("|",$D$466&amp;"|")+1,50),Actuals!$F:$F,"JPY")*$E$5+SUMIFS(Actuals!$G:$G,Actuals!$B:$B,$C$3,Actuals!$C:$C,10,Actuals!$D:$D,$B$466,Actuals!$A:$A,LEFT($D$466,FIND("|",$D$466&amp;"|")-1),Actuals!$E:$E,MID($D$466,FIND("|",$D$466&amp;"|")+1,50),Actuals!$F:$F,"USD")*$F$5+SUMIFS(Actuals!$G:$G,Actuals!$B:$B,$C$3,Actuals!$C:$C,10,Actuals!$D:$D,$B$466,Actuals!$A:$A,LEFT($D$466,FIND("|",$D$466&amp;"|")-1),Actuals!$E:$E,MID($D$466,FIND("|",$D$466&amp;"|")+1,50),Actuals!$F:$F,"EUR")*$G$5+SUMIFS(Actuals!$G:$G,Actuals!$B:$B,$C$3,Actuals!$C:$C,10,Actuals!$D:$D,$B$466,Actuals!$A:$A,LEFT($D$466,FIND("|",$D$466&amp;"|")-1),Actuals!$E:$E,MID($D$466,FIND("|",$D$466&amp;"|")+1,50),Actuals!$F:$F,"GBP")*$H$5)</f>
        <v/>
      </c>
      <c r="R467" s="18">
        <f>IF(OR($B$466="",11&gt;$C$4),"",SUMIFS(Actuals!$G:$G,Actuals!$B:$B,$C$3,Actuals!$C:$C,11,Actuals!$D:$D,$B$466,Actuals!$A:$A,LEFT($D$466,FIND("|",$D$466&amp;"|")-1),Actuals!$E:$E,MID($D$466,FIND("|",$D$466&amp;"|")+1,50),Actuals!$F:$F,"JPY")*$E$5+SUMIFS(Actuals!$G:$G,Actuals!$B:$B,$C$3,Actuals!$C:$C,11,Actuals!$D:$D,$B$466,Actuals!$A:$A,LEFT($D$466,FIND("|",$D$466&amp;"|")-1),Actuals!$E:$E,MID($D$466,FIND("|",$D$466&amp;"|")+1,50),Actuals!$F:$F,"USD")*$F$5+SUMIFS(Actuals!$G:$G,Actuals!$B:$B,$C$3,Actuals!$C:$C,11,Actuals!$D:$D,$B$466,Actuals!$A:$A,LEFT($D$466,FIND("|",$D$466&amp;"|")-1),Actuals!$E:$E,MID($D$466,FIND("|",$D$466&amp;"|")+1,50),Actuals!$F:$F,"EUR")*$G$5+SUMIFS(Actuals!$G:$G,Actuals!$B:$B,$C$3,Actuals!$C:$C,11,Actuals!$D:$D,$B$466,Actuals!$A:$A,LEFT($D$466,FIND("|",$D$466&amp;"|")-1),Actuals!$E:$E,MID($D$466,FIND("|",$D$466&amp;"|")+1,50),Actuals!$F:$F,"GBP")*$H$5)</f>
        <v/>
      </c>
      <c r="S467" s="18">
        <f>IF(OR($B$466="",12&gt;$C$4),"",SUMIFS(Actuals!$G:$G,Actuals!$B:$B,$C$3,Actuals!$C:$C,12,Actuals!$D:$D,$B$466,Actuals!$A:$A,LEFT($D$466,FIND("|",$D$466&amp;"|")-1),Actuals!$E:$E,MID($D$466,FIND("|",$D$466&amp;"|")+1,50),Actuals!$F:$F,"JPY")*$E$5+SUMIFS(Actuals!$G:$G,Actuals!$B:$B,$C$3,Actuals!$C:$C,12,Actuals!$D:$D,$B$466,Actuals!$A:$A,LEFT($D$466,FIND("|",$D$466&amp;"|")-1),Actuals!$E:$E,MID($D$466,FIND("|",$D$466&amp;"|")+1,50),Actuals!$F:$F,"USD")*$F$5+SUMIFS(Actuals!$G:$G,Actuals!$B:$B,$C$3,Actuals!$C:$C,12,Actuals!$D:$D,$B$466,Actuals!$A:$A,LEFT($D$466,FIND("|",$D$466&amp;"|")-1),Actuals!$E:$E,MID($D$466,FIND("|",$D$466&amp;"|")+1,50),Actuals!$F:$F,"EUR")*$G$5+SUMIFS(Actuals!$G:$G,Actuals!$B:$B,$C$3,Actuals!$C:$C,12,Actuals!$D:$D,$B$466,Actuals!$A:$A,LEFT($D$466,FIND("|",$D$466&amp;"|")-1),Actuals!$E:$E,MID($D$466,FIND("|",$D$466&amp;"|")+1,50),Actuals!$F:$F,"GBP")*$H$5)</f>
        <v/>
      </c>
      <c r="T467" s="18">
        <f>IF($B$466="","",SUMIF($H$7:$S$7,"&lt;="&amp;$C$4,$H467:$S467))</f>
        <v/>
      </c>
      <c r="U467" s="18" t="n"/>
      <c r="V467" s="18" t="n"/>
      <c r="X467" s="22">
        <f>IF($B467="","",IFERROR(INDEX(Cost_Centers!$E:$E,MATCH($B467,Cost_Centers!$A:$A,0)),"(unknown)"))</f>
        <v/>
      </c>
      <c r="Y467" s="22">
        <f>IF($B467="","",IFERROR(INDEX(Cost_Centers!$D:$D,MATCH($B467,Cost_Centers!$A:$A,0)),"(unknown)"))</f>
        <v/>
      </c>
      <c r="Z467" s="22">
        <f>IF(OR($B467="",$G467&lt;&gt;"Variance vs Budget"),"",ABS(N($V467))+ROW()/1000000000)</f>
        <v/>
      </c>
    </row>
    <row r="468">
      <c r="A468" s="13">
        <f>IF(A$466="","",A$466)</f>
        <v/>
      </c>
      <c r="B468" s="13">
        <f>IF(B$466="","",B$466)</f>
        <v/>
      </c>
      <c r="C468" s="13">
        <f>IF(C$466="","",C$466)</f>
        <v/>
      </c>
      <c r="D468" s="13">
        <f>IF(D$466="","",D$466)</f>
        <v/>
      </c>
      <c r="E468" s="13">
        <f>IF(E$466="","",E$466)</f>
        <v/>
      </c>
      <c r="F468" s="13">
        <f>IF(F$466="","",F$466)</f>
        <v/>
      </c>
      <c r="G468" s="6" t="inlineStr">
        <is>
          <t>Variance vs Budget</t>
        </is>
      </c>
      <c r="H468" s="33">
        <f>IF(OR($B$466="",1&gt;$C$4),"",N(H467)-H466)</f>
        <v/>
      </c>
      <c r="I468" s="33">
        <f>IF(OR($B$466="",2&gt;$C$4),"",N(I467)-I466)</f>
        <v/>
      </c>
      <c r="J468" s="33">
        <f>IF(OR($B$466="",3&gt;$C$4),"",N(J467)-J466)</f>
        <v/>
      </c>
      <c r="K468" s="33">
        <f>IF(OR($B$466="",4&gt;$C$4),"",N(K467)-K466)</f>
        <v/>
      </c>
      <c r="L468" s="33">
        <f>IF(OR($B$466="",5&gt;$C$4),"",N(L467)-L466)</f>
        <v/>
      </c>
      <c r="M468" s="33">
        <f>IF(OR($B$466="",6&gt;$C$4),"",N(M467)-M466)</f>
        <v/>
      </c>
      <c r="N468" s="33">
        <f>IF(OR($B$466="",7&gt;$C$4),"",N(N467)-N466)</f>
        <v/>
      </c>
      <c r="O468" s="33">
        <f>IF(OR($B$466="",8&gt;$C$4),"",N(O467)-O466)</f>
        <v/>
      </c>
      <c r="P468" s="33">
        <f>IF(OR($B$466="",9&gt;$C$4),"",N(P467)-P466)</f>
        <v/>
      </c>
      <c r="Q468" s="33">
        <f>IF(OR($B$466="",10&gt;$C$4),"",N(Q467)-Q466)</f>
        <v/>
      </c>
      <c r="R468" s="33">
        <f>IF(OR($B$466="",11&gt;$C$4),"",N(R467)-R466)</f>
        <v/>
      </c>
      <c r="S468" s="33">
        <f>IF(OR($B$466="",12&gt;$C$4),"",N(S467)-S466)</f>
        <v/>
      </c>
      <c r="T468" s="33">
        <f>IF($B$466="","",T467-T466)</f>
        <v/>
      </c>
      <c r="U468" s="33">
        <f>IF($B$466="","",U470-U466)</f>
        <v/>
      </c>
      <c r="V468" s="33">
        <f>IF($B$466="","",V470-V466)</f>
        <v/>
      </c>
      <c r="X468" s="22">
        <f>IF($B468="","",IFERROR(INDEX(Cost_Centers!$E:$E,MATCH($B468,Cost_Centers!$A:$A,0)),"(unknown)"))</f>
        <v/>
      </c>
      <c r="Y468" s="22">
        <f>IF($B468="","",IFERROR(INDEX(Cost_Centers!$D:$D,MATCH($B468,Cost_Centers!$A:$A,0)),"(unknown)"))</f>
        <v/>
      </c>
      <c r="Z468" s="22">
        <f>IF(OR($B468="",$G468&lt;&gt;"Variance vs Budget"),"",ABS(N($V468))+ROW()/1000000000)</f>
        <v/>
      </c>
    </row>
    <row r="469">
      <c r="A469" s="13">
        <f>IF(A$466="","",A$466)</f>
        <v/>
      </c>
      <c r="B469" s="13">
        <f>IF(B$466="","",B$466)</f>
        <v/>
      </c>
      <c r="C469" s="13">
        <f>IF(C$466="","",C$466)</f>
        <v/>
      </c>
      <c r="D469" s="13">
        <f>IF(D$466="","",D$466)</f>
        <v/>
      </c>
      <c r="E469" s="13">
        <f>IF(E$466="","",E$466)</f>
        <v/>
      </c>
      <c r="F469" s="13">
        <f>IF(F$466="","",F$466)</f>
        <v/>
      </c>
      <c r="G469" s="7" t="inlineStr">
        <is>
          <t>Forecast (input)</t>
        </is>
      </c>
      <c r="H469" s="34" t="n"/>
      <c r="I469" s="34" t="n"/>
      <c r="J469" s="34" t="n"/>
      <c r="K469" s="34" t="n"/>
      <c r="L469" s="34" t="n"/>
      <c r="M469" s="34" t="n"/>
      <c r="N469" s="34" t="n"/>
      <c r="O469" s="34" t="n"/>
      <c r="P469" s="34" t="n"/>
      <c r="Q469" s="34" t="n"/>
      <c r="R469" s="34" t="n"/>
      <c r="S469" s="34" t="n"/>
      <c r="T469" s="18" t="n"/>
      <c r="U469" s="18" t="n"/>
      <c r="V469" s="18" t="n"/>
      <c r="X469" s="22">
        <f>IF($B469="","",IFERROR(INDEX(Cost_Centers!$E:$E,MATCH($B469,Cost_Centers!$A:$A,0)),"(unknown)"))</f>
        <v/>
      </c>
      <c r="Y469" s="22">
        <f>IF($B469="","",IFERROR(INDEX(Cost_Centers!$D:$D,MATCH($B469,Cost_Centers!$A:$A,0)),"(unknown)"))</f>
        <v/>
      </c>
      <c r="Z469" s="22">
        <f>IF(OR($B469="",$G469&lt;&gt;"Variance vs Budget"),"",ABS(N($V469))+ROW()/1000000000)</f>
        <v/>
      </c>
    </row>
    <row r="470">
      <c r="A470" s="13">
        <f>IF(A$466="","",A$466)</f>
        <v/>
      </c>
      <c r="B470" s="13">
        <f>IF(B$466="","",B$466)</f>
        <v/>
      </c>
      <c r="C470" s="13">
        <f>IF(C$466="","",C$466)</f>
        <v/>
      </c>
      <c r="D470" s="13">
        <f>IF(D$466="","",D$466)</f>
        <v/>
      </c>
      <c r="E470" s="13">
        <f>IF(E$466="","",E$466)</f>
        <v/>
      </c>
      <c r="F470" s="13">
        <f>IF(F$466="","",F$466)</f>
        <v/>
      </c>
      <c r="G470" s="35" t="inlineStr">
        <is>
          <t>Actual + Forecast</t>
        </is>
      </c>
      <c r="H470" s="18">
        <f>IF($B$466="","",IF(1&lt;=$C$4,N(H467),IF(H469="",H466,H469)))</f>
        <v/>
      </c>
      <c r="I470" s="18">
        <f>IF($B$466="","",IF(2&lt;=$C$4,N(I467),IF(I469="",I466,I469)))</f>
        <v/>
      </c>
      <c r="J470" s="18">
        <f>IF($B$466="","",IF(3&lt;=$C$4,N(J467),IF(J469="",J466,J469)))</f>
        <v/>
      </c>
      <c r="K470" s="18">
        <f>IF($B$466="","",IF(4&lt;=$C$4,N(K467),IF(K469="",K466,K469)))</f>
        <v/>
      </c>
      <c r="L470" s="18">
        <f>IF($B$466="","",IF(5&lt;=$C$4,N(L467),IF(L469="",L466,L469)))</f>
        <v/>
      </c>
      <c r="M470" s="18">
        <f>IF($B$466="","",IF(6&lt;=$C$4,N(M467),IF(M469="",M466,M469)))</f>
        <v/>
      </c>
      <c r="N470" s="18">
        <f>IF($B$466="","",IF(7&lt;=$C$4,N(N467),IF(N469="",N466,N469)))</f>
        <v/>
      </c>
      <c r="O470" s="18">
        <f>IF($B$466="","",IF(8&lt;=$C$4,N(O467),IF(O469="",O466,O469)))</f>
        <v/>
      </c>
      <c r="P470" s="18">
        <f>IF($B$466="","",IF(9&lt;=$C$4,N(P467),IF(P469="",P466,P469)))</f>
        <v/>
      </c>
      <c r="Q470" s="18">
        <f>IF($B$466="","",IF(10&lt;=$C$4,N(Q467),IF(Q469="",Q466,Q469)))</f>
        <v/>
      </c>
      <c r="R470" s="18">
        <f>IF($B$466="","",IF(11&lt;=$C$4,N(R467),IF(R469="",R466,R469)))</f>
        <v/>
      </c>
      <c r="S470" s="18">
        <f>IF($B$466="","",IF(12&lt;=$C$4,N(S467),IF(S469="",S466,S469)))</f>
        <v/>
      </c>
      <c r="T470" s="18">
        <f>IF($B$466="","",SUMIF($H$7:$S$7,"&lt;="&amp;$C$4,$H470:$S470))</f>
        <v/>
      </c>
      <c r="U470" s="18">
        <f>IF($B$466="","",SUMIF($H$7:$S$7,"&gt;"&amp;$C$4,$H470:$S470))</f>
        <v/>
      </c>
      <c r="V470" s="18">
        <f>IF($B$466="","",SUM($H470:$S470))</f>
        <v/>
      </c>
      <c r="X470" s="22">
        <f>IF($B470="","",IFERROR(INDEX(Cost_Centers!$E:$E,MATCH($B470,Cost_Centers!$A:$A,0)),"(unknown)"))</f>
        <v/>
      </c>
      <c r="Y470" s="22">
        <f>IF($B470="","",IFERROR(INDEX(Cost_Centers!$D:$D,MATCH($B470,Cost_Centers!$A:$A,0)),"(unknown)"))</f>
        <v/>
      </c>
      <c r="Z470" s="22">
        <f>IF(OR($B470="",$G470&lt;&gt;"Variance vs Budget"),"",ABS(N($V470))+ROW()/1000000000)</f>
        <v/>
      </c>
    </row>
    <row r="471">
      <c r="A471" s="13">
        <f>IF(A$466="","",A$466)</f>
        <v/>
      </c>
      <c r="B471" s="13">
        <f>IF(B$466="","",B$466)</f>
        <v/>
      </c>
      <c r="C471" s="13">
        <f>IF(C$466="","",C$466)</f>
        <v/>
      </c>
      <c r="D471" s="13">
        <f>IF(D$466="","",D$466)</f>
        <v/>
      </c>
      <c r="E471" s="13">
        <f>IF(E$466="","",E$466)</f>
        <v/>
      </c>
      <c r="F471" s="13">
        <f>IF(F$466="","",F$466)</f>
        <v/>
      </c>
      <c r="G471" s="36" t="inlineStr">
        <is>
          <t>Prior Month Forecast</t>
        </is>
      </c>
      <c r="H471" s="37">
        <f>IF($B$466="","",IF(COUNTIFS(Prior_Forecast!$A:$A,$B$466,Prior_Forecast!$B:$B,$D$466)&gt;0,SUMIFS(Prior_Forecast!$C:$C,Prior_Forecast!$A:$A,$B$466,Prior_Forecast!$B:$B,$D$466),""))</f>
        <v/>
      </c>
      <c r="I471" s="37">
        <f>IF($B$466="","",IF(COUNTIFS(Prior_Forecast!$A:$A,$B$466,Prior_Forecast!$B:$B,$D$466)&gt;0,SUMIFS(Prior_Forecast!$D:$D,Prior_Forecast!$A:$A,$B$466,Prior_Forecast!$B:$B,$D$466),""))</f>
        <v/>
      </c>
      <c r="J471" s="37">
        <f>IF($B$466="","",IF(COUNTIFS(Prior_Forecast!$A:$A,$B$466,Prior_Forecast!$B:$B,$D$466)&gt;0,SUMIFS(Prior_Forecast!$E:$E,Prior_Forecast!$A:$A,$B$466,Prior_Forecast!$B:$B,$D$466),""))</f>
        <v/>
      </c>
      <c r="K471" s="37">
        <f>IF($B$466="","",IF(COUNTIFS(Prior_Forecast!$A:$A,$B$466,Prior_Forecast!$B:$B,$D$466)&gt;0,SUMIFS(Prior_Forecast!$F:$F,Prior_Forecast!$A:$A,$B$466,Prior_Forecast!$B:$B,$D$466),""))</f>
        <v/>
      </c>
      <c r="L471" s="37">
        <f>IF($B$466="","",IF(COUNTIFS(Prior_Forecast!$A:$A,$B$466,Prior_Forecast!$B:$B,$D$466)&gt;0,SUMIFS(Prior_Forecast!$G:$G,Prior_Forecast!$A:$A,$B$466,Prior_Forecast!$B:$B,$D$466),""))</f>
        <v/>
      </c>
      <c r="M471" s="37">
        <f>IF($B$466="","",IF(COUNTIFS(Prior_Forecast!$A:$A,$B$466,Prior_Forecast!$B:$B,$D$466)&gt;0,SUMIFS(Prior_Forecast!$H:$H,Prior_Forecast!$A:$A,$B$466,Prior_Forecast!$B:$B,$D$466),""))</f>
        <v/>
      </c>
      <c r="N471" s="37">
        <f>IF($B$466="","",IF(COUNTIFS(Prior_Forecast!$A:$A,$B$466,Prior_Forecast!$B:$B,$D$466)&gt;0,SUMIFS(Prior_Forecast!$I:$I,Prior_Forecast!$A:$A,$B$466,Prior_Forecast!$B:$B,$D$466),""))</f>
        <v/>
      </c>
      <c r="O471" s="37">
        <f>IF($B$466="","",IF(COUNTIFS(Prior_Forecast!$A:$A,$B$466,Prior_Forecast!$B:$B,$D$466)&gt;0,SUMIFS(Prior_Forecast!$J:$J,Prior_Forecast!$A:$A,$B$466,Prior_Forecast!$B:$B,$D$466),""))</f>
        <v/>
      </c>
      <c r="P471" s="37">
        <f>IF($B$466="","",IF(COUNTIFS(Prior_Forecast!$A:$A,$B$466,Prior_Forecast!$B:$B,$D$466)&gt;0,SUMIFS(Prior_Forecast!$K:$K,Prior_Forecast!$A:$A,$B$466,Prior_Forecast!$B:$B,$D$466),""))</f>
        <v/>
      </c>
      <c r="Q471" s="37">
        <f>IF($B$466="","",IF(COUNTIFS(Prior_Forecast!$A:$A,$B$466,Prior_Forecast!$B:$B,$D$466)&gt;0,SUMIFS(Prior_Forecast!$L:$L,Prior_Forecast!$A:$A,$B$466,Prior_Forecast!$B:$B,$D$466),""))</f>
        <v/>
      </c>
      <c r="R471" s="37">
        <f>IF($B$466="","",IF(COUNTIFS(Prior_Forecast!$A:$A,$B$466,Prior_Forecast!$B:$B,$D$466)&gt;0,SUMIFS(Prior_Forecast!$M:$M,Prior_Forecast!$A:$A,$B$466,Prior_Forecast!$B:$B,$D$466),""))</f>
        <v/>
      </c>
      <c r="S471" s="37">
        <f>IF($B$466="","",IF(COUNTIFS(Prior_Forecast!$A:$A,$B$466,Prior_Forecast!$B:$B,$D$466)&gt;0,SUMIFS(Prior_Forecast!$N:$N,Prior_Forecast!$A:$A,$B$466,Prior_Forecast!$B:$B,$D$466),""))</f>
        <v/>
      </c>
      <c r="T471" s="37">
        <f>IF($B$466="","",IF(COUNTIFS(Prior_Forecast!$A:$A,$B$466,Prior_Forecast!$B:$B,$D$466)&gt;0,SUMIFS(Prior_Forecast!$O:$O,Prior_Forecast!$A:$A,$B$466,Prior_Forecast!$B:$B,$D$466),""))</f>
        <v/>
      </c>
      <c r="U471" s="37">
        <f>IF($B$466="","",IF(COUNTIFS(Prior_Forecast!$A:$A,$B$466,Prior_Forecast!$B:$B,$D$466)&gt;0,SUMIFS(Prior_Forecast!$P:$P,Prior_Forecast!$A:$A,$B$466,Prior_Forecast!$B:$B,$D$466),""))</f>
        <v/>
      </c>
      <c r="V471" s="37">
        <f>IF($B$466="","",IF(COUNTIFS(Prior_Forecast!$A:$A,$B$466,Prior_Forecast!$B:$B,$D$466)&gt;0,SUMIFS(Prior_Forecast!$Q:$Q,Prior_Forecast!$A:$A,$B$466,Prior_Forecast!$B:$B,$D$466),""))</f>
        <v/>
      </c>
      <c r="X471" s="22">
        <f>IF($B471="","",IFERROR(INDEX(Cost_Centers!$E:$E,MATCH($B471,Cost_Centers!$A:$A,0)),"(unknown)"))</f>
        <v/>
      </c>
      <c r="Y471" s="22">
        <f>IF($B471="","",IFERROR(INDEX(Cost_Centers!$D:$D,MATCH($B471,Cost_Centers!$A:$A,0)),"(unknown)"))</f>
        <v/>
      </c>
      <c r="Z471" s="22">
        <f>IF(OR($B471="",$G471&lt;&gt;"Variance vs Budget"),"",ABS(N($V471))+ROW()/1000000000)</f>
        <v/>
      </c>
    </row>
    <row r="472">
      <c r="A472" s="13">
        <f>IF(A$466="","",A$466)</f>
        <v/>
      </c>
      <c r="B472" s="13">
        <f>IF(B$466="","",B$466)</f>
        <v/>
      </c>
      <c r="C472" s="13">
        <f>IF(C$466="","",C$466)</f>
        <v/>
      </c>
      <c r="D472" s="13">
        <f>IF(D$466="","",D$466)</f>
        <v/>
      </c>
      <c r="E472" s="13">
        <f>IF(E$466="","",E$466)</f>
        <v/>
      </c>
      <c r="F472" s="13">
        <f>IF(F$466="","",F$466)</f>
        <v/>
      </c>
      <c r="G472" s="6" t="inlineStr">
        <is>
          <t>Variance vs Prior Month</t>
        </is>
      </c>
      <c r="H472" s="33">
        <f>IF(OR($B$466="",H471=""),"",H470-H471)</f>
        <v/>
      </c>
      <c r="I472" s="33">
        <f>IF(OR($B$466="",I471=""),"",I470-I471)</f>
        <v/>
      </c>
      <c r="J472" s="33">
        <f>IF(OR($B$466="",J471=""),"",J470-J471)</f>
        <v/>
      </c>
      <c r="K472" s="33">
        <f>IF(OR($B$466="",K471=""),"",K470-K471)</f>
        <v/>
      </c>
      <c r="L472" s="33">
        <f>IF(OR($B$466="",L471=""),"",L470-L471)</f>
        <v/>
      </c>
      <c r="M472" s="33">
        <f>IF(OR($B$466="",M471=""),"",M470-M471)</f>
        <v/>
      </c>
      <c r="N472" s="33">
        <f>IF(OR($B$466="",N471=""),"",N470-N471)</f>
        <v/>
      </c>
      <c r="O472" s="33">
        <f>IF(OR($B$466="",O471=""),"",O470-O471)</f>
        <v/>
      </c>
      <c r="P472" s="33">
        <f>IF(OR($B$466="",P471=""),"",P470-P471)</f>
        <v/>
      </c>
      <c r="Q472" s="33">
        <f>IF(OR($B$466="",Q471=""),"",Q470-Q471)</f>
        <v/>
      </c>
      <c r="R472" s="33">
        <f>IF(OR($B$466="",R471=""),"",R470-R471)</f>
        <v/>
      </c>
      <c r="S472" s="33">
        <f>IF(OR($B$466="",S471=""),"",S470-S471)</f>
        <v/>
      </c>
      <c r="T472" s="33">
        <f>IF(OR($B$466="",T471=""),"",T470-T471)</f>
        <v/>
      </c>
      <c r="U472" s="33">
        <f>IF(OR($B$466="",U471=""),"",U470-U471)</f>
        <v/>
      </c>
      <c r="V472" s="33">
        <f>IF(OR($B$466="",V471=""),"",V470-V471)</f>
        <v/>
      </c>
      <c r="X472" s="22">
        <f>IF($B472="","",IFERROR(INDEX(Cost_Centers!$E:$E,MATCH($B472,Cost_Centers!$A:$A,0)),"(unknown)"))</f>
        <v/>
      </c>
      <c r="Y472" s="22">
        <f>IF($B472="","",IFERROR(INDEX(Cost_Centers!$D:$D,MATCH($B472,Cost_Centers!$A:$A,0)),"(unknown)"))</f>
        <v/>
      </c>
      <c r="Z472" s="22">
        <f>IF(OR($B472="",$G472&lt;&gt;"Variance vs Budget"),"",ABS(N($V472))+ROW()/1000000000)</f>
        <v/>
      </c>
    </row>
    <row r="473" ht="45" customHeight="1">
      <c r="A473" s="13">
        <f>IF(A$466="","",A$466)</f>
        <v/>
      </c>
      <c r="B473" s="13">
        <f>IF(B$466="","",B$466)</f>
        <v/>
      </c>
      <c r="C473" s="13">
        <f>IF(C$466="","",C$466)</f>
        <v/>
      </c>
      <c r="D473" s="13">
        <f>IF(D$466="","",D$466)</f>
        <v/>
      </c>
      <c r="E473" s="13">
        <f>IF(E$466="","",E$466)</f>
        <v/>
      </c>
      <c r="F473" s="13">
        <f>IF(F$466="","",F$466)</f>
        <v/>
      </c>
      <c r="G473" s="7" t="inlineStr">
        <is>
          <t>Rationale</t>
        </is>
      </c>
      <c r="H473" s="38" t="n"/>
      <c r="I473" s="38" t="n"/>
      <c r="J473" s="38" t="n"/>
      <c r="K473" s="38" t="n"/>
      <c r="L473" s="38" t="n"/>
      <c r="M473" s="38" t="n"/>
      <c r="N473" s="38" t="n"/>
      <c r="O473" s="38" t="n"/>
      <c r="P473" s="38" t="n"/>
      <c r="Q473" s="38" t="n"/>
      <c r="R473" s="38" t="n"/>
      <c r="S473" s="38" t="n"/>
      <c r="T473" s="38" t="n"/>
      <c r="U473" s="38" t="n"/>
      <c r="V473" s="7" t="n"/>
      <c r="X473" s="22">
        <f>IF($B473="","",IFERROR(INDEX(Cost_Centers!$E:$E,MATCH($B473,Cost_Centers!$A:$A,0)),"(unknown)"))</f>
        <v/>
      </c>
      <c r="Y473" s="22">
        <f>IF($B473="","",IFERROR(INDEX(Cost_Centers!$D:$D,MATCH($B473,Cost_Centers!$A:$A,0)),"(unknown)"))</f>
        <v/>
      </c>
      <c r="Z473" s="22">
        <f>IF(OR($B473="",$G473&lt;&gt;"Variance vs Budget"),"",ABS(N($V473))+ROW()/1000000000)</f>
        <v/>
      </c>
    </row>
    <row r="474">
      <c r="A474" s="30">
        <f>IF($D$474="","",LEFT($D$474,FIND("|",$D$474&amp;"|")-1))</f>
        <v/>
      </c>
      <c r="B474" s="31" t="n"/>
      <c r="C474" s="30">
        <f>IF($B$474="","",IFERROR(INDEX(Cost_Centers!$B:$B,MATCH($B$474,Cost_Centers!$A:$A,0)),"(not in master)"))</f>
        <v/>
      </c>
      <c r="D474" s="31" t="n"/>
      <c r="E474" s="30">
        <f>IF($D$474="","",IFERROR(INDEX(Accounts!$D:$D,MATCH($D$474,Accounts!$A:$A,0)),"(not in master)"))</f>
        <v/>
      </c>
      <c r="F474" s="31" t="n"/>
      <c r="G474" s="30" t="inlineStr">
        <is>
          <t>Budget</t>
        </is>
      </c>
      <c r="H474" s="32">
        <f>IF($B$474="","",SUMIFS(Opex_Budget!$O:$O,Opex_Budget!$A:$A,$C$3,Opex_Budget!$E:$E,$B$474,Opex_Budget!$F:$F,$D$474,Opex_Budget!$N:$N,"JPY")*$E$5+SUMIFS(Opex_Budget!$O:$O,Opex_Budget!$A:$A,$C$3,Opex_Budget!$E:$E,$B$474,Opex_Budget!$F:$F,$D$474,Opex_Budget!$N:$N,"USD")*$F$5+SUMIFS(Opex_Budget!$O:$O,Opex_Budget!$A:$A,$C$3,Opex_Budget!$E:$E,$B$474,Opex_Budget!$F:$F,$D$474,Opex_Budget!$N:$N,"EUR")*$G$5+SUMIFS(Opex_Budget!$O:$O,Opex_Budget!$A:$A,$C$3,Opex_Budget!$E:$E,$B$474,Opex_Budget!$F:$F,$D$474,Opex_Budget!$N:$N,"GBP")*$H$5)</f>
        <v/>
      </c>
      <c r="I474" s="32">
        <f>IF($B$474="","",SUMIFS(Opex_Budget!$P:$P,Opex_Budget!$A:$A,$C$3,Opex_Budget!$E:$E,$B$474,Opex_Budget!$F:$F,$D$474,Opex_Budget!$N:$N,"JPY")*$E$5+SUMIFS(Opex_Budget!$P:$P,Opex_Budget!$A:$A,$C$3,Opex_Budget!$E:$E,$B$474,Opex_Budget!$F:$F,$D$474,Opex_Budget!$N:$N,"USD")*$F$5+SUMIFS(Opex_Budget!$P:$P,Opex_Budget!$A:$A,$C$3,Opex_Budget!$E:$E,$B$474,Opex_Budget!$F:$F,$D$474,Opex_Budget!$N:$N,"EUR")*$G$5+SUMIFS(Opex_Budget!$P:$P,Opex_Budget!$A:$A,$C$3,Opex_Budget!$E:$E,$B$474,Opex_Budget!$F:$F,$D$474,Opex_Budget!$N:$N,"GBP")*$H$5)</f>
        <v/>
      </c>
      <c r="J474" s="32">
        <f>IF($B$474="","",SUMIFS(Opex_Budget!$Q:$Q,Opex_Budget!$A:$A,$C$3,Opex_Budget!$E:$E,$B$474,Opex_Budget!$F:$F,$D$474,Opex_Budget!$N:$N,"JPY")*$E$5+SUMIFS(Opex_Budget!$Q:$Q,Opex_Budget!$A:$A,$C$3,Opex_Budget!$E:$E,$B$474,Opex_Budget!$F:$F,$D$474,Opex_Budget!$N:$N,"USD")*$F$5+SUMIFS(Opex_Budget!$Q:$Q,Opex_Budget!$A:$A,$C$3,Opex_Budget!$E:$E,$B$474,Opex_Budget!$F:$F,$D$474,Opex_Budget!$N:$N,"EUR")*$G$5+SUMIFS(Opex_Budget!$Q:$Q,Opex_Budget!$A:$A,$C$3,Opex_Budget!$E:$E,$B$474,Opex_Budget!$F:$F,$D$474,Opex_Budget!$N:$N,"GBP")*$H$5)</f>
        <v/>
      </c>
      <c r="K474" s="32">
        <f>IF($B$474="","",SUMIFS(Opex_Budget!$R:$R,Opex_Budget!$A:$A,$C$3,Opex_Budget!$E:$E,$B$474,Opex_Budget!$F:$F,$D$474,Opex_Budget!$N:$N,"JPY")*$E$5+SUMIFS(Opex_Budget!$R:$R,Opex_Budget!$A:$A,$C$3,Opex_Budget!$E:$E,$B$474,Opex_Budget!$F:$F,$D$474,Opex_Budget!$N:$N,"USD")*$F$5+SUMIFS(Opex_Budget!$R:$R,Opex_Budget!$A:$A,$C$3,Opex_Budget!$E:$E,$B$474,Opex_Budget!$F:$F,$D$474,Opex_Budget!$N:$N,"EUR")*$G$5+SUMIFS(Opex_Budget!$R:$R,Opex_Budget!$A:$A,$C$3,Opex_Budget!$E:$E,$B$474,Opex_Budget!$F:$F,$D$474,Opex_Budget!$N:$N,"GBP")*$H$5)</f>
        <v/>
      </c>
      <c r="L474" s="32">
        <f>IF($B$474="","",SUMIFS(Opex_Budget!$S:$S,Opex_Budget!$A:$A,$C$3,Opex_Budget!$E:$E,$B$474,Opex_Budget!$F:$F,$D$474,Opex_Budget!$N:$N,"JPY")*$E$5+SUMIFS(Opex_Budget!$S:$S,Opex_Budget!$A:$A,$C$3,Opex_Budget!$E:$E,$B$474,Opex_Budget!$F:$F,$D$474,Opex_Budget!$N:$N,"USD")*$F$5+SUMIFS(Opex_Budget!$S:$S,Opex_Budget!$A:$A,$C$3,Opex_Budget!$E:$E,$B$474,Opex_Budget!$F:$F,$D$474,Opex_Budget!$N:$N,"EUR")*$G$5+SUMIFS(Opex_Budget!$S:$S,Opex_Budget!$A:$A,$C$3,Opex_Budget!$E:$E,$B$474,Opex_Budget!$F:$F,$D$474,Opex_Budget!$N:$N,"GBP")*$H$5)</f>
        <v/>
      </c>
      <c r="M474" s="32">
        <f>IF($B$474="","",SUMIFS(Opex_Budget!$T:$T,Opex_Budget!$A:$A,$C$3,Opex_Budget!$E:$E,$B$474,Opex_Budget!$F:$F,$D$474,Opex_Budget!$N:$N,"JPY")*$E$5+SUMIFS(Opex_Budget!$T:$T,Opex_Budget!$A:$A,$C$3,Opex_Budget!$E:$E,$B$474,Opex_Budget!$F:$F,$D$474,Opex_Budget!$N:$N,"USD")*$F$5+SUMIFS(Opex_Budget!$T:$T,Opex_Budget!$A:$A,$C$3,Opex_Budget!$E:$E,$B$474,Opex_Budget!$F:$F,$D$474,Opex_Budget!$N:$N,"EUR")*$G$5+SUMIFS(Opex_Budget!$T:$T,Opex_Budget!$A:$A,$C$3,Opex_Budget!$E:$E,$B$474,Opex_Budget!$F:$F,$D$474,Opex_Budget!$N:$N,"GBP")*$H$5)</f>
        <v/>
      </c>
      <c r="N474" s="32">
        <f>IF($B$474="","",SUMIFS(Opex_Budget!$U:$U,Opex_Budget!$A:$A,$C$3,Opex_Budget!$E:$E,$B$474,Opex_Budget!$F:$F,$D$474,Opex_Budget!$N:$N,"JPY")*$E$5+SUMIFS(Opex_Budget!$U:$U,Opex_Budget!$A:$A,$C$3,Opex_Budget!$E:$E,$B$474,Opex_Budget!$F:$F,$D$474,Opex_Budget!$N:$N,"USD")*$F$5+SUMIFS(Opex_Budget!$U:$U,Opex_Budget!$A:$A,$C$3,Opex_Budget!$E:$E,$B$474,Opex_Budget!$F:$F,$D$474,Opex_Budget!$N:$N,"EUR")*$G$5+SUMIFS(Opex_Budget!$U:$U,Opex_Budget!$A:$A,$C$3,Opex_Budget!$E:$E,$B$474,Opex_Budget!$F:$F,$D$474,Opex_Budget!$N:$N,"GBP")*$H$5)</f>
        <v/>
      </c>
      <c r="O474" s="32">
        <f>IF($B$474="","",SUMIFS(Opex_Budget!$V:$V,Opex_Budget!$A:$A,$C$3,Opex_Budget!$E:$E,$B$474,Opex_Budget!$F:$F,$D$474,Opex_Budget!$N:$N,"JPY")*$E$5+SUMIFS(Opex_Budget!$V:$V,Opex_Budget!$A:$A,$C$3,Opex_Budget!$E:$E,$B$474,Opex_Budget!$F:$F,$D$474,Opex_Budget!$N:$N,"USD")*$F$5+SUMIFS(Opex_Budget!$V:$V,Opex_Budget!$A:$A,$C$3,Opex_Budget!$E:$E,$B$474,Opex_Budget!$F:$F,$D$474,Opex_Budget!$N:$N,"EUR")*$G$5+SUMIFS(Opex_Budget!$V:$V,Opex_Budget!$A:$A,$C$3,Opex_Budget!$E:$E,$B$474,Opex_Budget!$F:$F,$D$474,Opex_Budget!$N:$N,"GBP")*$H$5)</f>
        <v/>
      </c>
      <c r="P474" s="32">
        <f>IF($B$474="","",SUMIFS(Opex_Budget!$W:$W,Opex_Budget!$A:$A,$C$3,Opex_Budget!$E:$E,$B$474,Opex_Budget!$F:$F,$D$474,Opex_Budget!$N:$N,"JPY")*$E$5+SUMIFS(Opex_Budget!$W:$W,Opex_Budget!$A:$A,$C$3,Opex_Budget!$E:$E,$B$474,Opex_Budget!$F:$F,$D$474,Opex_Budget!$N:$N,"USD")*$F$5+SUMIFS(Opex_Budget!$W:$W,Opex_Budget!$A:$A,$C$3,Opex_Budget!$E:$E,$B$474,Opex_Budget!$F:$F,$D$474,Opex_Budget!$N:$N,"EUR")*$G$5+SUMIFS(Opex_Budget!$W:$W,Opex_Budget!$A:$A,$C$3,Opex_Budget!$E:$E,$B$474,Opex_Budget!$F:$F,$D$474,Opex_Budget!$N:$N,"GBP")*$H$5)</f>
        <v/>
      </c>
      <c r="Q474" s="32">
        <f>IF($B$474="","",SUMIFS(Opex_Budget!$X:$X,Opex_Budget!$A:$A,$C$3,Opex_Budget!$E:$E,$B$474,Opex_Budget!$F:$F,$D$474,Opex_Budget!$N:$N,"JPY")*$E$5+SUMIFS(Opex_Budget!$X:$X,Opex_Budget!$A:$A,$C$3,Opex_Budget!$E:$E,$B$474,Opex_Budget!$F:$F,$D$474,Opex_Budget!$N:$N,"USD")*$F$5+SUMIFS(Opex_Budget!$X:$X,Opex_Budget!$A:$A,$C$3,Opex_Budget!$E:$E,$B$474,Opex_Budget!$F:$F,$D$474,Opex_Budget!$N:$N,"EUR")*$G$5+SUMIFS(Opex_Budget!$X:$X,Opex_Budget!$A:$A,$C$3,Opex_Budget!$E:$E,$B$474,Opex_Budget!$F:$F,$D$474,Opex_Budget!$N:$N,"GBP")*$H$5)</f>
        <v/>
      </c>
      <c r="R474" s="32">
        <f>IF($B$474="","",SUMIFS(Opex_Budget!$Y:$Y,Opex_Budget!$A:$A,$C$3,Opex_Budget!$E:$E,$B$474,Opex_Budget!$F:$F,$D$474,Opex_Budget!$N:$N,"JPY")*$E$5+SUMIFS(Opex_Budget!$Y:$Y,Opex_Budget!$A:$A,$C$3,Opex_Budget!$E:$E,$B$474,Opex_Budget!$F:$F,$D$474,Opex_Budget!$N:$N,"USD")*$F$5+SUMIFS(Opex_Budget!$Y:$Y,Opex_Budget!$A:$A,$C$3,Opex_Budget!$E:$E,$B$474,Opex_Budget!$F:$F,$D$474,Opex_Budget!$N:$N,"EUR")*$G$5+SUMIFS(Opex_Budget!$Y:$Y,Opex_Budget!$A:$A,$C$3,Opex_Budget!$E:$E,$B$474,Opex_Budget!$F:$F,$D$474,Opex_Budget!$N:$N,"GBP")*$H$5)</f>
        <v/>
      </c>
      <c r="S474" s="32">
        <f>IF($B$474="","",SUMIFS(Opex_Budget!$Z:$Z,Opex_Budget!$A:$A,$C$3,Opex_Budget!$E:$E,$B$474,Opex_Budget!$F:$F,$D$474,Opex_Budget!$N:$N,"JPY")*$E$5+SUMIFS(Opex_Budget!$Z:$Z,Opex_Budget!$A:$A,$C$3,Opex_Budget!$E:$E,$B$474,Opex_Budget!$F:$F,$D$474,Opex_Budget!$N:$N,"USD")*$F$5+SUMIFS(Opex_Budget!$Z:$Z,Opex_Budget!$A:$A,$C$3,Opex_Budget!$E:$E,$B$474,Opex_Budget!$F:$F,$D$474,Opex_Budget!$N:$N,"EUR")*$G$5+SUMIFS(Opex_Budget!$Z:$Z,Opex_Budget!$A:$A,$C$3,Opex_Budget!$E:$E,$B$474,Opex_Budget!$F:$F,$D$474,Opex_Budget!$N:$N,"GBP")*$H$5)</f>
        <v/>
      </c>
      <c r="T474" s="32">
        <f>IF($B$474="","",SUMIF($H$7:$S$7,"&lt;="&amp;$C$4,$H474:$S474))</f>
        <v/>
      </c>
      <c r="U474" s="32">
        <f>IF($B$474="","",SUMIF($H$7:$S$7,"&gt;"&amp;$C$4,$H474:$S474))</f>
        <v/>
      </c>
      <c r="V474" s="32">
        <f>IF($B$474="","",SUM($H474:$S474))</f>
        <v/>
      </c>
      <c r="X474" s="22">
        <f>IF($B474="","",IFERROR(INDEX(Cost_Centers!$E:$E,MATCH($B474,Cost_Centers!$A:$A,0)),"(unknown)"))</f>
        <v/>
      </c>
      <c r="Y474" s="22">
        <f>IF($B474="","",IFERROR(INDEX(Cost_Centers!$D:$D,MATCH($B474,Cost_Centers!$A:$A,0)),"(unknown)"))</f>
        <v/>
      </c>
      <c r="Z474" s="22">
        <f>IF(OR($B474="",$G474&lt;&gt;"Variance vs Budget"),"",ABS(N($V474))+ROW()/1000000000)</f>
        <v/>
      </c>
    </row>
    <row r="475">
      <c r="A475" s="13">
        <f>IF(A$474="","",A$474)</f>
        <v/>
      </c>
      <c r="B475" s="13">
        <f>IF(B$474="","",B$474)</f>
        <v/>
      </c>
      <c r="C475" s="13">
        <f>IF(C$474="","",C$474)</f>
        <v/>
      </c>
      <c r="D475" s="13">
        <f>IF(D$474="","",D$474)</f>
        <v/>
      </c>
      <c r="E475" s="13">
        <f>IF(E$474="","",E$474)</f>
        <v/>
      </c>
      <c r="F475" s="13">
        <f>IF(F$474="","",F$474)</f>
        <v/>
      </c>
      <c r="G475" s="7" t="inlineStr">
        <is>
          <t>Actual</t>
        </is>
      </c>
      <c r="H475" s="18">
        <f>IF(OR($B$474="",1&gt;$C$4),"",SUMIFS(Actuals!$G:$G,Actuals!$B:$B,$C$3,Actuals!$C:$C,1,Actuals!$D:$D,$B$474,Actuals!$A:$A,LEFT($D$474,FIND("|",$D$474&amp;"|")-1),Actuals!$E:$E,MID($D$474,FIND("|",$D$474&amp;"|")+1,50),Actuals!$F:$F,"JPY")*$E$5+SUMIFS(Actuals!$G:$G,Actuals!$B:$B,$C$3,Actuals!$C:$C,1,Actuals!$D:$D,$B$474,Actuals!$A:$A,LEFT($D$474,FIND("|",$D$474&amp;"|")-1),Actuals!$E:$E,MID($D$474,FIND("|",$D$474&amp;"|")+1,50),Actuals!$F:$F,"USD")*$F$5+SUMIFS(Actuals!$G:$G,Actuals!$B:$B,$C$3,Actuals!$C:$C,1,Actuals!$D:$D,$B$474,Actuals!$A:$A,LEFT($D$474,FIND("|",$D$474&amp;"|")-1),Actuals!$E:$E,MID($D$474,FIND("|",$D$474&amp;"|")+1,50),Actuals!$F:$F,"EUR")*$G$5+SUMIFS(Actuals!$G:$G,Actuals!$B:$B,$C$3,Actuals!$C:$C,1,Actuals!$D:$D,$B$474,Actuals!$A:$A,LEFT($D$474,FIND("|",$D$474&amp;"|")-1),Actuals!$E:$E,MID($D$474,FIND("|",$D$474&amp;"|")+1,50),Actuals!$F:$F,"GBP")*$H$5)</f>
        <v/>
      </c>
      <c r="I475" s="18">
        <f>IF(OR($B$474="",2&gt;$C$4),"",SUMIFS(Actuals!$G:$G,Actuals!$B:$B,$C$3,Actuals!$C:$C,2,Actuals!$D:$D,$B$474,Actuals!$A:$A,LEFT($D$474,FIND("|",$D$474&amp;"|")-1),Actuals!$E:$E,MID($D$474,FIND("|",$D$474&amp;"|")+1,50),Actuals!$F:$F,"JPY")*$E$5+SUMIFS(Actuals!$G:$G,Actuals!$B:$B,$C$3,Actuals!$C:$C,2,Actuals!$D:$D,$B$474,Actuals!$A:$A,LEFT($D$474,FIND("|",$D$474&amp;"|")-1),Actuals!$E:$E,MID($D$474,FIND("|",$D$474&amp;"|")+1,50),Actuals!$F:$F,"USD")*$F$5+SUMIFS(Actuals!$G:$G,Actuals!$B:$B,$C$3,Actuals!$C:$C,2,Actuals!$D:$D,$B$474,Actuals!$A:$A,LEFT($D$474,FIND("|",$D$474&amp;"|")-1),Actuals!$E:$E,MID($D$474,FIND("|",$D$474&amp;"|")+1,50),Actuals!$F:$F,"EUR")*$G$5+SUMIFS(Actuals!$G:$G,Actuals!$B:$B,$C$3,Actuals!$C:$C,2,Actuals!$D:$D,$B$474,Actuals!$A:$A,LEFT($D$474,FIND("|",$D$474&amp;"|")-1),Actuals!$E:$E,MID($D$474,FIND("|",$D$474&amp;"|")+1,50),Actuals!$F:$F,"GBP")*$H$5)</f>
        <v/>
      </c>
      <c r="J475" s="18">
        <f>IF(OR($B$474="",3&gt;$C$4),"",SUMIFS(Actuals!$G:$G,Actuals!$B:$B,$C$3,Actuals!$C:$C,3,Actuals!$D:$D,$B$474,Actuals!$A:$A,LEFT($D$474,FIND("|",$D$474&amp;"|")-1),Actuals!$E:$E,MID($D$474,FIND("|",$D$474&amp;"|")+1,50),Actuals!$F:$F,"JPY")*$E$5+SUMIFS(Actuals!$G:$G,Actuals!$B:$B,$C$3,Actuals!$C:$C,3,Actuals!$D:$D,$B$474,Actuals!$A:$A,LEFT($D$474,FIND("|",$D$474&amp;"|")-1),Actuals!$E:$E,MID($D$474,FIND("|",$D$474&amp;"|")+1,50),Actuals!$F:$F,"USD")*$F$5+SUMIFS(Actuals!$G:$G,Actuals!$B:$B,$C$3,Actuals!$C:$C,3,Actuals!$D:$D,$B$474,Actuals!$A:$A,LEFT($D$474,FIND("|",$D$474&amp;"|")-1),Actuals!$E:$E,MID($D$474,FIND("|",$D$474&amp;"|")+1,50),Actuals!$F:$F,"EUR")*$G$5+SUMIFS(Actuals!$G:$G,Actuals!$B:$B,$C$3,Actuals!$C:$C,3,Actuals!$D:$D,$B$474,Actuals!$A:$A,LEFT($D$474,FIND("|",$D$474&amp;"|")-1),Actuals!$E:$E,MID($D$474,FIND("|",$D$474&amp;"|")+1,50),Actuals!$F:$F,"GBP")*$H$5)</f>
        <v/>
      </c>
      <c r="K475" s="18">
        <f>IF(OR($B$474="",4&gt;$C$4),"",SUMIFS(Actuals!$G:$G,Actuals!$B:$B,$C$3,Actuals!$C:$C,4,Actuals!$D:$D,$B$474,Actuals!$A:$A,LEFT($D$474,FIND("|",$D$474&amp;"|")-1),Actuals!$E:$E,MID($D$474,FIND("|",$D$474&amp;"|")+1,50),Actuals!$F:$F,"JPY")*$E$5+SUMIFS(Actuals!$G:$G,Actuals!$B:$B,$C$3,Actuals!$C:$C,4,Actuals!$D:$D,$B$474,Actuals!$A:$A,LEFT($D$474,FIND("|",$D$474&amp;"|")-1),Actuals!$E:$E,MID($D$474,FIND("|",$D$474&amp;"|")+1,50),Actuals!$F:$F,"USD")*$F$5+SUMIFS(Actuals!$G:$G,Actuals!$B:$B,$C$3,Actuals!$C:$C,4,Actuals!$D:$D,$B$474,Actuals!$A:$A,LEFT($D$474,FIND("|",$D$474&amp;"|")-1),Actuals!$E:$E,MID($D$474,FIND("|",$D$474&amp;"|")+1,50),Actuals!$F:$F,"EUR")*$G$5+SUMIFS(Actuals!$G:$G,Actuals!$B:$B,$C$3,Actuals!$C:$C,4,Actuals!$D:$D,$B$474,Actuals!$A:$A,LEFT($D$474,FIND("|",$D$474&amp;"|")-1),Actuals!$E:$E,MID($D$474,FIND("|",$D$474&amp;"|")+1,50),Actuals!$F:$F,"GBP")*$H$5)</f>
        <v/>
      </c>
      <c r="L475" s="18">
        <f>IF(OR($B$474="",5&gt;$C$4),"",SUMIFS(Actuals!$G:$G,Actuals!$B:$B,$C$3,Actuals!$C:$C,5,Actuals!$D:$D,$B$474,Actuals!$A:$A,LEFT($D$474,FIND("|",$D$474&amp;"|")-1),Actuals!$E:$E,MID($D$474,FIND("|",$D$474&amp;"|")+1,50),Actuals!$F:$F,"JPY")*$E$5+SUMIFS(Actuals!$G:$G,Actuals!$B:$B,$C$3,Actuals!$C:$C,5,Actuals!$D:$D,$B$474,Actuals!$A:$A,LEFT($D$474,FIND("|",$D$474&amp;"|")-1),Actuals!$E:$E,MID($D$474,FIND("|",$D$474&amp;"|")+1,50),Actuals!$F:$F,"USD")*$F$5+SUMIFS(Actuals!$G:$G,Actuals!$B:$B,$C$3,Actuals!$C:$C,5,Actuals!$D:$D,$B$474,Actuals!$A:$A,LEFT($D$474,FIND("|",$D$474&amp;"|")-1),Actuals!$E:$E,MID($D$474,FIND("|",$D$474&amp;"|")+1,50),Actuals!$F:$F,"EUR")*$G$5+SUMIFS(Actuals!$G:$G,Actuals!$B:$B,$C$3,Actuals!$C:$C,5,Actuals!$D:$D,$B$474,Actuals!$A:$A,LEFT($D$474,FIND("|",$D$474&amp;"|")-1),Actuals!$E:$E,MID($D$474,FIND("|",$D$474&amp;"|")+1,50),Actuals!$F:$F,"GBP")*$H$5)</f>
        <v/>
      </c>
      <c r="M475" s="18">
        <f>IF(OR($B$474="",6&gt;$C$4),"",SUMIFS(Actuals!$G:$G,Actuals!$B:$B,$C$3,Actuals!$C:$C,6,Actuals!$D:$D,$B$474,Actuals!$A:$A,LEFT($D$474,FIND("|",$D$474&amp;"|")-1),Actuals!$E:$E,MID($D$474,FIND("|",$D$474&amp;"|")+1,50),Actuals!$F:$F,"JPY")*$E$5+SUMIFS(Actuals!$G:$G,Actuals!$B:$B,$C$3,Actuals!$C:$C,6,Actuals!$D:$D,$B$474,Actuals!$A:$A,LEFT($D$474,FIND("|",$D$474&amp;"|")-1),Actuals!$E:$E,MID($D$474,FIND("|",$D$474&amp;"|")+1,50),Actuals!$F:$F,"USD")*$F$5+SUMIFS(Actuals!$G:$G,Actuals!$B:$B,$C$3,Actuals!$C:$C,6,Actuals!$D:$D,$B$474,Actuals!$A:$A,LEFT($D$474,FIND("|",$D$474&amp;"|")-1),Actuals!$E:$E,MID($D$474,FIND("|",$D$474&amp;"|")+1,50),Actuals!$F:$F,"EUR")*$G$5+SUMIFS(Actuals!$G:$G,Actuals!$B:$B,$C$3,Actuals!$C:$C,6,Actuals!$D:$D,$B$474,Actuals!$A:$A,LEFT($D$474,FIND("|",$D$474&amp;"|")-1),Actuals!$E:$E,MID($D$474,FIND("|",$D$474&amp;"|")+1,50),Actuals!$F:$F,"GBP")*$H$5)</f>
        <v/>
      </c>
      <c r="N475" s="18">
        <f>IF(OR($B$474="",7&gt;$C$4),"",SUMIFS(Actuals!$G:$G,Actuals!$B:$B,$C$3,Actuals!$C:$C,7,Actuals!$D:$D,$B$474,Actuals!$A:$A,LEFT($D$474,FIND("|",$D$474&amp;"|")-1),Actuals!$E:$E,MID($D$474,FIND("|",$D$474&amp;"|")+1,50),Actuals!$F:$F,"JPY")*$E$5+SUMIFS(Actuals!$G:$G,Actuals!$B:$B,$C$3,Actuals!$C:$C,7,Actuals!$D:$D,$B$474,Actuals!$A:$A,LEFT($D$474,FIND("|",$D$474&amp;"|")-1),Actuals!$E:$E,MID($D$474,FIND("|",$D$474&amp;"|")+1,50),Actuals!$F:$F,"USD")*$F$5+SUMIFS(Actuals!$G:$G,Actuals!$B:$B,$C$3,Actuals!$C:$C,7,Actuals!$D:$D,$B$474,Actuals!$A:$A,LEFT($D$474,FIND("|",$D$474&amp;"|")-1),Actuals!$E:$E,MID($D$474,FIND("|",$D$474&amp;"|")+1,50),Actuals!$F:$F,"EUR")*$G$5+SUMIFS(Actuals!$G:$G,Actuals!$B:$B,$C$3,Actuals!$C:$C,7,Actuals!$D:$D,$B$474,Actuals!$A:$A,LEFT($D$474,FIND("|",$D$474&amp;"|")-1),Actuals!$E:$E,MID($D$474,FIND("|",$D$474&amp;"|")+1,50),Actuals!$F:$F,"GBP")*$H$5)</f>
        <v/>
      </c>
      <c r="O475" s="18">
        <f>IF(OR($B$474="",8&gt;$C$4),"",SUMIFS(Actuals!$G:$G,Actuals!$B:$B,$C$3,Actuals!$C:$C,8,Actuals!$D:$D,$B$474,Actuals!$A:$A,LEFT($D$474,FIND("|",$D$474&amp;"|")-1),Actuals!$E:$E,MID($D$474,FIND("|",$D$474&amp;"|")+1,50),Actuals!$F:$F,"JPY")*$E$5+SUMIFS(Actuals!$G:$G,Actuals!$B:$B,$C$3,Actuals!$C:$C,8,Actuals!$D:$D,$B$474,Actuals!$A:$A,LEFT($D$474,FIND("|",$D$474&amp;"|")-1),Actuals!$E:$E,MID($D$474,FIND("|",$D$474&amp;"|")+1,50),Actuals!$F:$F,"USD")*$F$5+SUMIFS(Actuals!$G:$G,Actuals!$B:$B,$C$3,Actuals!$C:$C,8,Actuals!$D:$D,$B$474,Actuals!$A:$A,LEFT($D$474,FIND("|",$D$474&amp;"|")-1),Actuals!$E:$E,MID($D$474,FIND("|",$D$474&amp;"|")+1,50),Actuals!$F:$F,"EUR")*$G$5+SUMIFS(Actuals!$G:$G,Actuals!$B:$B,$C$3,Actuals!$C:$C,8,Actuals!$D:$D,$B$474,Actuals!$A:$A,LEFT($D$474,FIND("|",$D$474&amp;"|")-1),Actuals!$E:$E,MID($D$474,FIND("|",$D$474&amp;"|")+1,50),Actuals!$F:$F,"GBP")*$H$5)</f>
        <v/>
      </c>
      <c r="P475" s="18">
        <f>IF(OR($B$474="",9&gt;$C$4),"",SUMIFS(Actuals!$G:$G,Actuals!$B:$B,$C$3,Actuals!$C:$C,9,Actuals!$D:$D,$B$474,Actuals!$A:$A,LEFT($D$474,FIND("|",$D$474&amp;"|")-1),Actuals!$E:$E,MID($D$474,FIND("|",$D$474&amp;"|")+1,50),Actuals!$F:$F,"JPY")*$E$5+SUMIFS(Actuals!$G:$G,Actuals!$B:$B,$C$3,Actuals!$C:$C,9,Actuals!$D:$D,$B$474,Actuals!$A:$A,LEFT($D$474,FIND("|",$D$474&amp;"|")-1),Actuals!$E:$E,MID($D$474,FIND("|",$D$474&amp;"|")+1,50),Actuals!$F:$F,"USD")*$F$5+SUMIFS(Actuals!$G:$G,Actuals!$B:$B,$C$3,Actuals!$C:$C,9,Actuals!$D:$D,$B$474,Actuals!$A:$A,LEFT($D$474,FIND("|",$D$474&amp;"|")-1),Actuals!$E:$E,MID($D$474,FIND("|",$D$474&amp;"|")+1,50),Actuals!$F:$F,"EUR")*$G$5+SUMIFS(Actuals!$G:$G,Actuals!$B:$B,$C$3,Actuals!$C:$C,9,Actuals!$D:$D,$B$474,Actuals!$A:$A,LEFT($D$474,FIND("|",$D$474&amp;"|")-1),Actuals!$E:$E,MID($D$474,FIND("|",$D$474&amp;"|")+1,50),Actuals!$F:$F,"GBP")*$H$5)</f>
        <v/>
      </c>
      <c r="Q475" s="18">
        <f>IF(OR($B$474="",10&gt;$C$4),"",SUMIFS(Actuals!$G:$G,Actuals!$B:$B,$C$3,Actuals!$C:$C,10,Actuals!$D:$D,$B$474,Actuals!$A:$A,LEFT($D$474,FIND("|",$D$474&amp;"|")-1),Actuals!$E:$E,MID($D$474,FIND("|",$D$474&amp;"|")+1,50),Actuals!$F:$F,"JPY")*$E$5+SUMIFS(Actuals!$G:$G,Actuals!$B:$B,$C$3,Actuals!$C:$C,10,Actuals!$D:$D,$B$474,Actuals!$A:$A,LEFT($D$474,FIND("|",$D$474&amp;"|")-1),Actuals!$E:$E,MID($D$474,FIND("|",$D$474&amp;"|")+1,50),Actuals!$F:$F,"USD")*$F$5+SUMIFS(Actuals!$G:$G,Actuals!$B:$B,$C$3,Actuals!$C:$C,10,Actuals!$D:$D,$B$474,Actuals!$A:$A,LEFT($D$474,FIND("|",$D$474&amp;"|")-1),Actuals!$E:$E,MID($D$474,FIND("|",$D$474&amp;"|")+1,50),Actuals!$F:$F,"EUR")*$G$5+SUMIFS(Actuals!$G:$G,Actuals!$B:$B,$C$3,Actuals!$C:$C,10,Actuals!$D:$D,$B$474,Actuals!$A:$A,LEFT($D$474,FIND("|",$D$474&amp;"|")-1),Actuals!$E:$E,MID($D$474,FIND("|",$D$474&amp;"|")+1,50),Actuals!$F:$F,"GBP")*$H$5)</f>
        <v/>
      </c>
      <c r="R475" s="18">
        <f>IF(OR($B$474="",11&gt;$C$4),"",SUMIFS(Actuals!$G:$G,Actuals!$B:$B,$C$3,Actuals!$C:$C,11,Actuals!$D:$D,$B$474,Actuals!$A:$A,LEFT($D$474,FIND("|",$D$474&amp;"|")-1),Actuals!$E:$E,MID($D$474,FIND("|",$D$474&amp;"|")+1,50),Actuals!$F:$F,"JPY")*$E$5+SUMIFS(Actuals!$G:$G,Actuals!$B:$B,$C$3,Actuals!$C:$C,11,Actuals!$D:$D,$B$474,Actuals!$A:$A,LEFT($D$474,FIND("|",$D$474&amp;"|")-1),Actuals!$E:$E,MID($D$474,FIND("|",$D$474&amp;"|")+1,50),Actuals!$F:$F,"USD")*$F$5+SUMIFS(Actuals!$G:$G,Actuals!$B:$B,$C$3,Actuals!$C:$C,11,Actuals!$D:$D,$B$474,Actuals!$A:$A,LEFT($D$474,FIND("|",$D$474&amp;"|")-1),Actuals!$E:$E,MID($D$474,FIND("|",$D$474&amp;"|")+1,50),Actuals!$F:$F,"EUR")*$G$5+SUMIFS(Actuals!$G:$G,Actuals!$B:$B,$C$3,Actuals!$C:$C,11,Actuals!$D:$D,$B$474,Actuals!$A:$A,LEFT($D$474,FIND("|",$D$474&amp;"|")-1),Actuals!$E:$E,MID($D$474,FIND("|",$D$474&amp;"|")+1,50),Actuals!$F:$F,"GBP")*$H$5)</f>
        <v/>
      </c>
      <c r="S475" s="18">
        <f>IF(OR($B$474="",12&gt;$C$4),"",SUMIFS(Actuals!$G:$G,Actuals!$B:$B,$C$3,Actuals!$C:$C,12,Actuals!$D:$D,$B$474,Actuals!$A:$A,LEFT($D$474,FIND("|",$D$474&amp;"|")-1),Actuals!$E:$E,MID($D$474,FIND("|",$D$474&amp;"|")+1,50),Actuals!$F:$F,"JPY")*$E$5+SUMIFS(Actuals!$G:$G,Actuals!$B:$B,$C$3,Actuals!$C:$C,12,Actuals!$D:$D,$B$474,Actuals!$A:$A,LEFT($D$474,FIND("|",$D$474&amp;"|")-1),Actuals!$E:$E,MID($D$474,FIND("|",$D$474&amp;"|")+1,50),Actuals!$F:$F,"USD")*$F$5+SUMIFS(Actuals!$G:$G,Actuals!$B:$B,$C$3,Actuals!$C:$C,12,Actuals!$D:$D,$B$474,Actuals!$A:$A,LEFT($D$474,FIND("|",$D$474&amp;"|")-1),Actuals!$E:$E,MID($D$474,FIND("|",$D$474&amp;"|")+1,50),Actuals!$F:$F,"EUR")*$G$5+SUMIFS(Actuals!$G:$G,Actuals!$B:$B,$C$3,Actuals!$C:$C,12,Actuals!$D:$D,$B$474,Actuals!$A:$A,LEFT($D$474,FIND("|",$D$474&amp;"|")-1),Actuals!$E:$E,MID($D$474,FIND("|",$D$474&amp;"|")+1,50),Actuals!$F:$F,"GBP")*$H$5)</f>
        <v/>
      </c>
      <c r="T475" s="18">
        <f>IF($B$474="","",SUMIF($H$7:$S$7,"&lt;="&amp;$C$4,$H475:$S475))</f>
        <v/>
      </c>
      <c r="U475" s="18" t="n"/>
      <c r="V475" s="18" t="n"/>
      <c r="X475" s="22">
        <f>IF($B475="","",IFERROR(INDEX(Cost_Centers!$E:$E,MATCH($B475,Cost_Centers!$A:$A,0)),"(unknown)"))</f>
        <v/>
      </c>
      <c r="Y475" s="22">
        <f>IF($B475="","",IFERROR(INDEX(Cost_Centers!$D:$D,MATCH($B475,Cost_Centers!$A:$A,0)),"(unknown)"))</f>
        <v/>
      </c>
      <c r="Z475" s="22">
        <f>IF(OR($B475="",$G475&lt;&gt;"Variance vs Budget"),"",ABS(N($V475))+ROW()/1000000000)</f>
        <v/>
      </c>
    </row>
    <row r="476">
      <c r="A476" s="13">
        <f>IF(A$474="","",A$474)</f>
        <v/>
      </c>
      <c r="B476" s="13">
        <f>IF(B$474="","",B$474)</f>
        <v/>
      </c>
      <c r="C476" s="13">
        <f>IF(C$474="","",C$474)</f>
        <v/>
      </c>
      <c r="D476" s="13">
        <f>IF(D$474="","",D$474)</f>
        <v/>
      </c>
      <c r="E476" s="13">
        <f>IF(E$474="","",E$474)</f>
        <v/>
      </c>
      <c r="F476" s="13">
        <f>IF(F$474="","",F$474)</f>
        <v/>
      </c>
      <c r="G476" s="6" t="inlineStr">
        <is>
          <t>Variance vs Budget</t>
        </is>
      </c>
      <c r="H476" s="33">
        <f>IF(OR($B$474="",1&gt;$C$4),"",N(H475)-H474)</f>
        <v/>
      </c>
      <c r="I476" s="33">
        <f>IF(OR($B$474="",2&gt;$C$4),"",N(I475)-I474)</f>
        <v/>
      </c>
      <c r="J476" s="33">
        <f>IF(OR($B$474="",3&gt;$C$4),"",N(J475)-J474)</f>
        <v/>
      </c>
      <c r="K476" s="33">
        <f>IF(OR($B$474="",4&gt;$C$4),"",N(K475)-K474)</f>
        <v/>
      </c>
      <c r="L476" s="33">
        <f>IF(OR($B$474="",5&gt;$C$4),"",N(L475)-L474)</f>
        <v/>
      </c>
      <c r="M476" s="33">
        <f>IF(OR($B$474="",6&gt;$C$4),"",N(M475)-M474)</f>
        <v/>
      </c>
      <c r="N476" s="33">
        <f>IF(OR($B$474="",7&gt;$C$4),"",N(N475)-N474)</f>
        <v/>
      </c>
      <c r="O476" s="33">
        <f>IF(OR($B$474="",8&gt;$C$4),"",N(O475)-O474)</f>
        <v/>
      </c>
      <c r="P476" s="33">
        <f>IF(OR($B$474="",9&gt;$C$4),"",N(P475)-P474)</f>
        <v/>
      </c>
      <c r="Q476" s="33">
        <f>IF(OR($B$474="",10&gt;$C$4),"",N(Q475)-Q474)</f>
        <v/>
      </c>
      <c r="R476" s="33">
        <f>IF(OR($B$474="",11&gt;$C$4),"",N(R475)-R474)</f>
        <v/>
      </c>
      <c r="S476" s="33">
        <f>IF(OR($B$474="",12&gt;$C$4),"",N(S475)-S474)</f>
        <v/>
      </c>
      <c r="T476" s="33">
        <f>IF($B$474="","",T475-T474)</f>
        <v/>
      </c>
      <c r="U476" s="33">
        <f>IF($B$474="","",U478-U474)</f>
        <v/>
      </c>
      <c r="V476" s="33">
        <f>IF($B$474="","",V478-V474)</f>
        <v/>
      </c>
      <c r="X476" s="22">
        <f>IF($B476="","",IFERROR(INDEX(Cost_Centers!$E:$E,MATCH($B476,Cost_Centers!$A:$A,0)),"(unknown)"))</f>
        <v/>
      </c>
      <c r="Y476" s="22">
        <f>IF($B476="","",IFERROR(INDEX(Cost_Centers!$D:$D,MATCH($B476,Cost_Centers!$A:$A,0)),"(unknown)"))</f>
        <v/>
      </c>
      <c r="Z476" s="22">
        <f>IF(OR($B476="",$G476&lt;&gt;"Variance vs Budget"),"",ABS(N($V476))+ROW()/1000000000)</f>
        <v/>
      </c>
    </row>
    <row r="477">
      <c r="A477" s="13">
        <f>IF(A$474="","",A$474)</f>
        <v/>
      </c>
      <c r="B477" s="13">
        <f>IF(B$474="","",B$474)</f>
        <v/>
      </c>
      <c r="C477" s="13">
        <f>IF(C$474="","",C$474)</f>
        <v/>
      </c>
      <c r="D477" s="13">
        <f>IF(D$474="","",D$474)</f>
        <v/>
      </c>
      <c r="E477" s="13">
        <f>IF(E$474="","",E$474)</f>
        <v/>
      </c>
      <c r="F477" s="13">
        <f>IF(F$474="","",F$474)</f>
        <v/>
      </c>
      <c r="G477" s="7" t="inlineStr">
        <is>
          <t>Forecast (input)</t>
        </is>
      </c>
      <c r="H477" s="34" t="n"/>
      <c r="I477" s="34" t="n"/>
      <c r="J477" s="34" t="n"/>
      <c r="K477" s="34" t="n"/>
      <c r="L477" s="34" t="n"/>
      <c r="M477" s="34" t="n"/>
      <c r="N477" s="34" t="n"/>
      <c r="O477" s="34" t="n"/>
      <c r="P477" s="34" t="n"/>
      <c r="Q477" s="34" t="n"/>
      <c r="R477" s="34" t="n"/>
      <c r="S477" s="34" t="n"/>
      <c r="T477" s="18" t="n"/>
      <c r="U477" s="18" t="n"/>
      <c r="V477" s="18" t="n"/>
      <c r="X477" s="22">
        <f>IF($B477="","",IFERROR(INDEX(Cost_Centers!$E:$E,MATCH($B477,Cost_Centers!$A:$A,0)),"(unknown)"))</f>
        <v/>
      </c>
      <c r="Y477" s="22">
        <f>IF($B477="","",IFERROR(INDEX(Cost_Centers!$D:$D,MATCH($B477,Cost_Centers!$A:$A,0)),"(unknown)"))</f>
        <v/>
      </c>
      <c r="Z477" s="22">
        <f>IF(OR($B477="",$G477&lt;&gt;"Variance vs Budget"),"",ABS(N($V477))+ROW()/1000000000)</f>
        <v/>
      </c>
    </row>
    <row r="478">
      <c r="A478" s="13">
        <f>IF(A$474="","",A$474)</f>
        <v/>
      </c>
      <c r="B478" s="13">
        <f>IF(B$474="","",B$474)</f>
        <v/>
      </c>
      <c r="C478" s="13">
        <f>IF(C$474="","",C$474)</f>
        <v/>
      </c>
      <c r="D478" s="13">
        <f>IF(D$474="","",D$474)</f>
        <v/>
      </c>
      <c r="E478" s="13">
        <f>IF(E$474="","",E$474)</f>
        <v/>
      </c>
      <c r="F478" s="13">
        <f>IF(F$474="","",F$474)</f>
        <v/>
      </c>
      <c r="G478" s="35" t="inlineStr">
        <is>
          <t>Actual + Forecast</t>
        </is>
      </c>
      <c r="H478" s="18">
        <f>IF($B$474="","",IF(1&lt;=$C$4,N(H475),IF(H477="",H474,H477)))</f>
        <v/>
      </c>
      <c r="I478" s="18">
        <f>IF($B$474="","",IF(2&lt;=$C$4,N(I475),IF(I477="",I474,I477)))</f>
        <v/>
      </c>
      <c r="J478" s="18">
        <f>IF($B$474="","",IF(3&lt;=$C$4,N(J475),IF(J477="",J474,J477)))</f>
        <v/>
      </c>
      <c r="K478" s="18">
        <f>IF($B$474="","",IF(4&lt;=$C$4,N(K475),IF(K477="",K474,K477)))</f>
        <v/>
      </c>
      <c r="L478" s="18">
        <f>IF($B$474="","",IF(5&lt;=$C$4,N(L475),IF(L477="",L474,L477)))</f>
        <v/>
      </c>
      <c r="M478" s="18">
        <f>IF($B$474="","",IF(6&lt;=$C$4,N(M475),IF(M477="",M474,M477)))</f>
        <v/>
      </c>
      <c r="N478" s="18">
        <f>IF($B$474="","",IF(7&lt;=$C$4,N(N475),IF(N477="",N474,N477)))</f>
        <v/>
      </c>
      <c r="O478" s="18">
        <f>IF($B$474="","",IF(8&lt;=$C$4,N(O475),IF(O477="",O474,O477)))</f>
        <v/>
      </c>
      <c r="P478" s="18">
        <f>IF($B$474="","",IF(9&lt;=$C$4,N(P475),IF(P477="",P474,P477)))</f>
        <v/>
      </c>
      <c r="Q478" s="18">
        <f>IF($B$474="","",IF(10&lt;=$C$4,N(Q475),IF(Q477="",Q474,Q477)))</f>
        <v/>
      </c>
      <c r="R478" s="18">
        <f>IF($B$474="","",IF(11&lt;=$C$4,N(R475),IF(R477="",R474,R477)))</f>
        <v/>
      </c>
      <c r="S478" s="18">
        <f>IF($B$474="","",IF(12&lt;=$C$4,N(S475),IF(S477="",S474,S477)))</f>
        <v/>
      </c>
      <c r="T478" s="18">
        <f>IF($B$474="","",SUMIF($H$7:$S$7,"&lt;="&amp;$C$4,$H478:$S478))</f>
        <v/>
      </c>
      <c r="U478" s="18">
        <f>IF($B$474="","",SUMIF($H$7:$S$7,"&gt;"&amp;$C$4,$H478:$S478))</f>
        <v/>
      </c>
      <c r="V478" s="18">
        <f>IF($B$474="","",SUM($H478:$S478))</f>
        <v/>
      </c>
      <c r="X478" s="22">
        <f>IF($B478="","",IFERROR(INDEX(Cost_Centers!$E:$E,MATCH($B478,Cost_Centers!$A:$A,0)),"(unknown)"))</f>
        <v/>
      </c>
      <c r="Y478" s="22">
        <f>IF($B478="","",IFERROR(INDEX(Cost_Centers!$D:$D,MATCH($B478,Cost_Centers!$A:$A,0)),"(unknown)"))</f>
        <v/>
      </c>
      <c r="Z478" s="22">
        <f>IF(OR($B478="",$G478&lt;&gt;"Variance vs Budget"),"",ABS(N($V478))+ROW()/1000000000)</f>
        <v/>
      </c>
    </row>
    <row r="479">
      <c r="A479" s="13">
        <f>IF(A$474="","",A$474)</f>
        <v/>
      </c>
      <c r="B479" s="13">
        <f>IF(B$474="","",B$474)</f>
        <v/>
      </c>
      <c r="C479" s="13">
        <f>IF(C$474="","",C$474)</f>
        <v/>
      </c>
      <c r="D479" s="13">
        <f>IF(D$474="","",D$474)</f>
        <v/>
      </c>
      <c r="E479" s="13">
        <f>IF(E$474="","",E$474)</f>
        <v/>
      </c>
      <c r="F479" s="13">
        <f>IF(F$474="","",F$474)</f>
        <v/>
      </c>
      <c r="G479" s="36" t="inlineStr">
        <is>
          <t>Prior Month Forecast</t>
        </is>
      </c>
      <c r="H479" s="37">
        <f>IF($B$474="","",IF(COUNTIFS(Prior_Forecast!$A:$A,$B$474,Prior_Forecast!$B:$B,$D$474)&gt;0,SUMIFS(Prior_Forecast!$C:$C,Prior_Forecast!$A:$A,$B$474,Prior_Forecast!$B:$B,$D$474),""))</f>
        <v/>
      </c>
      <c r="I479" s="37">
        <f>IF($B$474="","",IF(COUNTIFS(Prior_Forecast!$A:$A,$B$474,Prior_Forecast!$B:$B,$D$474)&gt;0,SUMIFS(Prior_Forecast!$D:$D,Prior_Forecast!$A:$A,$B$474,Prior_Forecast!$B:$B,$D$474),""))</f>
        <v/>
      </c>
      <c r="J479" s="37">
        <f>IF($B$474="","",IF(COUNTIFS(Prior_Forecast!$A:$A,$B$474,Prior_Forecast!$B:$B,$D$474)&gt;0,SUMIFS(Prior_Forecast!$E:$E,Prior_Forecast!$A:$A,$B$474,Prior_Forecast!$B:$B,$D$474),""))</f>
        <v/>
      </c>
      <c r="K479" s="37">
        <f>IF($B$474="","",IF(COUNTIFS(Prior_Forecast!$A:$A,$B$474,Prior_Forecast!$B:$B,$D$474)&gt;0,SUMIFS(Prior_Forecast!$F:$F,Prior_Forecast!$A:$A,$B$474,Prior_Forecast!$B:$B,$D$474),""))</f>
        <v/>
      </c>
      <c r="L479" s="37">
        <f>IF($B$474="","",IF(COUNTIFS(Prior_Forecast!$A:$A,$B$474,Prior_Forecast!$B:$B,$D$474)&gt;0,SUMIFS(Prior_Forecast!$G:$G,Prior_Forecast!$A:$A,$B$474,Prior_Forecast!$B:$B,$D$474),""))</f>
        <v/>
      </c>
      <c r="M479" s="37">
        <f>IF($B$474="","",IF(COUNTIFS(Prior_Forecast!$A:$A,$B$474,Prior_Forecast!$B:$B,$D$474)&gt;0,SUMIFS(Prior_Forecast!$H:$H,Prior_Forecast!$A:$A,$B$474,Prior_Forecast!$B:$B,$D$474),""))</f>
        <v/>
      </c>
      <c r="N479" s="37">
        <f>IF($B$474="","",IF(COUNTIFS(Prior_Forecast!$A:$A,$B$474,Prior_Forecast!$B:$B,$D$474)&gt;0,SUMIFS(Prior_Forecast!$I:$I,Prior_Forecast!$A:$A,$B$474,Prior_Forecast!$B:$B,$D$474),""))</f>
        <v/>
      </c>
      <c r="O479" s="37">
        <f>IF($B$474="","",IF(COUNTIFS(Prior_Forecast!$A:$A,$B$474,Prior_Forecast!$B:$B,$D$474)&gt;0,SUMIFS(Prior_Forecast!$J:$J,Prior_Forecast!$A:$A,$B$474,Prior_Forecast!$B:$B,$D$474),""))</f>
        <v/>
      </c>
      <c r="P479" s="37">
        <f>IF($B$474="","",IF(COUNTIFS(Prior_Forecast!$A:$A,$B$474,Prior_Forecast!$B:$B,$D$474)&gt;0,SUMIFS(Prior_Forecast!$K:$K,Prior_Forecast!$A:$A,$B$474,Prior_Forecast!$B:$B,$D$474),""))</f>
        <v/>
      </c>
      <c r="Q479" s="37">
        <f>IF($B$474="","",IF(COUNTIFS(Prior_Forecast!$A:$A,$B$474,Prior_Forecast!$B:$B,$D$474)&gt;0,SUMIFS(Prior_Forecast!$L:$L,Prior_Forecast!$A:$A,$B$474,Prior_Forecast!$B:$B,$D$474),""))</f>
        <v/>
      </c>
      <c r="R479" s="37">
        <f>IF($B$474="","",IF(COUNTIFS(Prior_Forecast!$A:$A,$B$474,Prior_Forecast!$B:$B,$D$474)&gt;0,SUMIFS(Prior_Forecast!$M:$M,Prior_Forecast!$A:$A,$B$474,Prior_Forecast!$B:$B,$D$474),""))</f>
        <v/>
      </c>
      <c r="S479" s="37">
        <f>IF($B$474="","",IF(COUNTIFS(Prior_Forecast!$A:$A,$B$474,Prior_Forecast!$B:$B,$D$474)&gt;0,SUMIFS(Prior_Forecast!$N:$N,Prior_Forecast!$A:$A,$B$474,Prior_Forecast!$B:$B,$D$474),""))</f>
        <v/>
      </c>
      <c r="T479" s="37">
        <f>IF($B$474="","",IF(COUNTIFS(Prior_Forecast!$A:$A,$B$474,Prior_Forecast!$B:$B,$D$474)&gt;0,SUMIFS(Prior_Forecast!$O:$O,Prior_Forecast!$A:$A,$B$474,Prior_Forecast!$B:$B,$D$474),""))</f>
        <v/>
      </c>
      <c r="U479" s="37">
        <f>IF($B$474="","",IF(COUNTIFS(Prior_Forecast!$A:$A,$B$474,Prior_Forecast!$B:$B,$D$474)&gt;0,SUMIFS(Prior_Forecast!$P:$P,Prior_Forecast!$A:$A,$B$474,Prior_Forecast!$B:$B,$D$474),""))</f>
        <v/>
      </c>
      <c r="V479" s="37">
        <f>IF($B$474="","",IF(COUNTIFS(Prior_Forecast!$A:$A,$B$474,Prior_Forecast!$B:$B,$D$474)&gt;0,SUMIFS(Prior_Forecast!$Q:$Q,Prior_Forecast!$A:$A,$B$474,Prior_Forecast!$B:$B,$D$474),""))</f>
        <v/>
      </c>
      <c r="X479" s="22">
        <f>IF($B479="","",IFERROR(INDEX(Cost_Centers!$E:$E,MATCH($B479,Cost_Centers!$A:$A,0)),"(unknown)"))</f>
        <v/>
      </c>
      <c r="Y479" s="22">
        <f>IF($B479="","",IFERROR(INDEX(Cost_Centers!$D:$D,MATCH($B479,Cost_Centers!$A:$A,0)),"(unknown)"))</f>
        <v/>
      </c>
      <c r="Z479" s="22">
        <f>IF(OR($B479="",$G479&lt;&gt;"Variance vs Budget"),"",ABS(N($V479))+ROW()/1000000000)</f>
        <v/>
      </c>
    </row>
    <row r="480">
      <c r="A480" s="13">
        <f>IF(A$474="","",A$474)</f>
        <v/>
      </c>
      <c r="B480" s="13">
        <f>IF(B$474="","",B$474)</f>
        <v/>
      </c>
      <c r="C480" s="13">
        <f>IF(C$474="","",C$474)</f>
        <v/>
      </c>
      <c r="D480" s="13">
        <f>IF(D$474="","",D$474)</f>
        <v/>
      </c>
      <c r="E480" s="13">
        <f>IF(E$474="","",E$474)</f>
        <v/>
      </c>
      <c r="F480" s="13">
        <f>IF(F$474="","",F$474)</f>
        <v/>
      </c>
      <c r="G480" s="6" t="inlineStr">
        <is>
          <t>Variance vs Prior Month</t>
        </is>
      </c>
      <c r="H480" s="33">
        <f>IF(OR($B$474="",H479=""),"",H478-H479)</f>
        <v/>
      </c>
      <c r="I480" s="33">
        <f>IF(OR($B$474="",I479=""),"",I478-I479)</f>
        <v/>
      </c>
      <c r="J480" s="33">
        <f>IF(OR($B$474="",J479=""),"",J478-J479)</f>
        <v/>
      </c>
      <c r="K480" s="33">
        <f>IF(OR($B$474="",K479=""),"",K478-K479)</f>
        <v/>
      </c>
      <c r="L480" s="33">
        <f>IF(OR($B$474="",L479=""),"",L478-L479)</f>
        <v/>
      </c>
      <c r="M480" s="33">
        <f>IF(OR($B$474="",M479=""),"",M478-M479)</f>
        <v/>
      </c>
      <c r="N480" s="33">
        <f>IF(OR($B$474="",N479=""),"",N478-N479)</f>
        <v/>
      </c>
      <c r="O480" s="33">
        <f>IF(OR($B$474="",O479=""),"",O478-O479)</f>
        <v/>
      </c>
      <c r="P480" s="33">
        <f>IF(OR($B$474="",P479=""),"",P478-P479)</f>
        <v/>
      </c>
      <c r="Q480" s="33">
        <f>IF(OR($B$474="",Q479=""),"",Q478-Q479)</f>
        <v/>
      </c>
      <c r="R480" s="33">
        <f>IF(OR($B$474="",R479=""),"",R478-R479)</f>
        <v/>
      </c>
      <c r="S480" s="33">
        <f>IF(OR($B$474="",S479=""),"",S478-S479)</f>
        <v/>
      </c>
      <c r="T480" s="33">
        <f>IF(OR($B$474="",T479=""),"",T478-T479)</f>
        <v/>
      </c>
      <c r="U480" s="33">
        <f>IF(OR($B$474="",U479=""),"",U478-U479)</f>
        <v/>
      </c>
      <c r="V480" s="33">
        <f>IF(OR($B$474="",V479=""),"",V478-V479)</f>
        <v/>
      </c>
      <c r="X480" s="22">
        <f>IF($B480="","",IFERROR(INDEX(Cost_Centers!$E:$E,MATCH($B480,Cost_Centers!$A:$A,0)),"(unknown)"))</f>
        <v/>
      </c>
      <c r="Y480" s="22">
        <f>IF($B480="","",IFERROR(INDEX(Cost_Centers!$D:$D,MATCH($B480,Cost_Centers!$A:$A,0)),"(unknown)"))</f>
        <v/>
      </c>
      <c r="Z480" s="22">
        <f>IF(OR($B480="",$G480&lt;&gt;"Variance vs Budget"),"",ABS(N($V480))+ROW()/1000000000)</f>
        <v/>
      </c>
    </row>
    <row r="481" ht="45" customHeight="1">
      <c r="A481" s="13">
        <f>IF(A$474="","",A$474)</f>
        <v/>
      </c>
      <c r="B481" s="13">
        <f>IF(B$474="","",B$474)</f>
        <v/>
      </c>
      <c r="C481" s="13">
        <f>IF(C$474="","",C$474)</f>
        <v/>
      </c>
      <c r="D481" s="13">
        <f>IF(D$474="","",D$474)</f>
        <v/>
      </c>
      <c r="E481" s="13">
        <f>IF(E$474="","",E$474)</f>
        <v/>
      </c>
      <c r="F481" s="13">
        <f>IF(F$474="","",F$474)</f>
        <v/>
      </c>
      <c r="G481" s="7" t="inlineStr">
        <is>
          <t>Rationale</t>
        </is>
      </c>
      <c r="H481" s="38" t="n"/>
      <c r="I481" s="38" t="n"/>
      <c r="J481" s="38" t="n"/>
      <c r="K481" s="38" t="n"/>
      <c r="L481" s="38" t="n"/>
      <c r="M481" s="38" t="n"/>
      <c r="N481" s="38" t="n"/>
      <c r="O481" s="38" t="n"/>
      <c r="P481" s="38" t="n"/>
      <c r="Q481" s="38" t="n"/>
      <c r="R481" s="38" t="n"/>
      <c r="S481" s="38" t="n"/>
      <c r="T481" s="38" t="n"/>
      <c r="U481" s="38" t="n"/>
      <c r="V481" s="7" t="n"/>
      <c r="X481" s="22">
        <f>IF($B481="","",IFERROR(INDEX(Cost_Centers!$E:$E,MATCH($B481,Cost_Centers!$A:$A,0)),"(unknown)"))</f>
        <v/>
      </c>
      <c r="Y481" s="22">
        <f>IF($B481="","",IFERROR(INDEX(Cost_Centers!$D:$D,MATCH($B481,Cost_Centers!$A:$A,0)),"(unknown)"))</f>
        <v/>
      </c>
      <c r="Z481" s="22">
        <f>IF(OR($B481="",$G481&lt;&gt;"Variance vs Budget"),"",ABS(N($V481))+ROW()/1000000000)</f>
        <v/>
      </c>
    </row>
    <row r="482">
      <c r="A482" s="30">
        <f>IF($D$482="","",LEFT($D$482,FIND("|",$D$482&amp;"|")-1))</f>
        <v/>
      </c>
      <c r="B482" s="31" t="n"/>
      <c r="C482" s="30">
        <f>IF($B$482="","",IFERROR(INDEX(Cost_Centers!$B:$B,MATCH($B$482,Cost_Centers!$A:$A,0)),"(not in master)"))</f>
        <v/>
      </c>
      <c r="D482" s="31" t="n"/>
      <c r="E482" s="30">
        <f>IF($D$482="","",IFERROR(INDEX(Accounts!$D:$D,MATCH($D$482,Accounts!$A:$A,0)),"(not in master)"))</f>
        <v/>
      </c>
      <c r="F482" s="31" t="n"/>
      <c r="G482" s="30" t="inlineStr">
        <is>
          <t>Budget</t>
        </is>
      </c>
      <c r="H482" s="32">
        <f>IF($B$482="","",SUMIFS(Opex_Budget!$O:$O,Opex_Budget!$A:$A,$C$3,Opex_Budget!$E:$E,$B$482,Opex_Budget!$F:$F,$D$482,Opex_Budget!$N:$N,"JPY")*$E$5+SUMIFS(Opex_Budget!$O:$O,Opex_Budget!$A:$A,$C$3,Opex_Budget!$E:$E,$B$482,Opex_Budget!$F:$F,$D$482,Opex_Budget!$N:$N,"USD")*$F$5+SUMIFS(Opex_Budget!$O:$O,Opex_Budget!$A:$A,$C$3,Opex_Budget!$E:$E,$B$482,Opex_Budget!$F:$F,$D$482,Opex_Budget!$N:$N,"EUR")*$G$5+SUMIFS(Opex_Budget!$O:$O,Opex_Budget!$A:$A,$C$3,Opex_Budget!$E:$E,$B$482,Opex_Budget!$F:$F,$D$482,Opex_Budget!$N:$N,"GBP")*$H$5)</f>
        <v/>
      </c>
      <c r="I482" s="32">
        <f>IF($B$482="","",SUMIFS(Opex_Budget!$P:$P,Opex_Budget!$A:$A,$C$3,Opex_Budget!$E:$E,$B$482,Opex_Budget!$F:$F,$D$482,Opex_Budget!$N:$N,"JPY")*$E$5+SUMIFS(Opex_Budget!$P:$P,Opex_Budget!$A:$A,$C$3,Opex_Budget!$E:$E,$B$482,Opex_Budget!$F:$F,$D$482,Opex_Budget!$N:$N,"USD")*$F$5+SUMIFS(Opex_Budget!$P:$P,Opex_Budget!$A:$A,$C$3,Opex_Budget!$E:$E,$B$482,Opex_Budget!$F:$F,$D$482,Opex_Budget!$N:$N,"EUR")*$G$5+SUMIFS(Opex_Budget!$P:$P,Opex_Budget!$A:$A,$C$3,Opex_Budget!$E:$E,$B$482,Opex_Budget!$F:$F,$D$482,Opex_Budget!$N:$N,"GBP")*$H$5)</f>
        <v/>
      </c>
      <c r="J482" s="32">
        <f>IF($B$482="","",SUMIFS(Opex_Budget!$Q:$Q,Opex_Budget!$A:$A,$C$3,Opex_Budget!$E:$E,$B$482,Opex_Budget!$F:$F,$D$482,Opex_Budget!$N:$N,"JPY")*$E$5+SUMIFS(Opex_Budget!$Q:$Q,Opex_Budget!$A:$A,$C$3,Opex_Budget!$E:$E,$B$482,Opex_Budget!$F:$F,$D$482,Opex_Budget!$N:$N,"USD")*$F$5+SUMIFS(Opex_Budget!$Q:$Q,Opex_Budget!$A:$A,$C$3,Opex_Budget!$E:$E,$B$482,Opex_Budget!$F:$F,$D$482,Opex_Budget!$N:$N,"EUR")*$G$5+SUMIFS(Opex_Budget!$Q:$Q,Opex_Budget!$A:$A,$C$3,Opex_Budget!$E:$E,$B$482,Opex_Budget!$F:$F,$D$482,Opex_Budget!$N:$N,"GBP")*$H$5)</f>
        <v/>
      </c>
      <c r="K482" s="32">
        <f>IF($B$482="","",SUMIFS(Opex_Budget!$R:$R,Opex_Budget!$A:$A,$C$3,Opex_Budget!$E:$E,$B$482,Opex_Budget!$F:$F,$D$482,Opex_Budget!$N:$N,"JPY")*$E$5+SUMIFS(Opex_Budget!$R:$R,Opex_Budget!$A:$A,$C$3,Opex_Budget!$E:$E,$B$482,Opex_Budget!$F:$F,$D$482,Opex_Budget!$N:$N,"USD")*$F$5+SUMIFS(Opex_Budget!$R:$R,Opex_Budget!$A:$A,$C$3,Opex_Budget!$E:$E,$B$482,Opex_Budget!$F:$F,$D$482,Opex_Budget!$N:$N,"EUR")*$G$5+SUMIFS(Opex_Budget!$R:$R,Opex_Budget!$A:$A,$C$3,Opex_Budget!$E:$E,$B$482,Opex_Budget!$F:$F,$D$482,Opex_Budget!$N:$N,"GBP")*$H$5)</f>
        <v/>
      </c>
      <c r="L482" s="32">
        <f>IF($B$482="","",SUMIFS(Opex_Budget!$S:$S,Opex_Budget!$A:$A,$C$3,Opex_Budget!$E:$E,$B$482,Opex_Budget!$F:$F,$D$482,Opex_Budget!$N:$N,"JPY")*$E$5+SUMIFS(Opex_Budget!$S:$S,Opex_Budget!$A:$A,$C$3,Opex_Budget!$E:$E,$B$482,Opex_Budget!$F:$F,$D$482,Opex_Budget!$N:$N,"USD")*$F$5+SUMIFS(Opex_Budget!$S:$S,Opex_Budget!$A:$A,$C$3,Opex_Budget!$E:$E,$B$482,Opex_Budget!$F:$F,$D$482,Opex_Budget!$N:$N,"EUR")*$G$5+SUMIFS(Opex_Budget!$S:$S,Opex_Budget!$A:$A,$C$3,Opex_Budget!$E:$E,$B$482,Opex_Budget!$F:$F,$D$482,Opex_Budget!$N:$N,"GBP")*$H$5)</f>
        <v/>
      </c>
      <c r="M482" s="32">
        <f>IF($B$482="","",SUMIFS(Opex_Budget!$T:$T,Opex_Budget!$A:$A,$C$3,Opex_Budget!$E:$E,$B$482,Opex_Budget!$F:$F,$D$482,Opex_Budget!$N:$N,"JPY")*$E$5+SUMIFS(Opex_Budget!$T:$T,Opex_Budget!$A:$A,$C$3,Opex_Budget!$E:$E,$B$482,Opex_Budget!$F:$F,$D$482,Opex_Budget!$N:$N,"USD")*$F$5+SUMIFS(Opex_Budget!$T:$T,Opex_Budget!$A:$A,$C$3,Opex_Budget!$E:$E,$B$482,Opex_Budget!$F:$F,$D$482,Opex_Budget!$N:$N,"EUR")*$G$5+SUMIFS(Opex_Budget!$T:$T,Opex_Budget!$A:$A,$C$3,Opex_Budget!$E:$E,$B$482,Opex_Budget!$F:$F,$D$482,Opex_Budget!$N:$N,"GBP")*$H$5)</f>
        <v/>
      </c>
      <c r="N482" s="32">
        <f>IF($B$482="","",SUMIFS(Opex_Budget!$U:$U,Opex_Budget!$A:$A,$C$3,Opex_Budget!$E:$E,$B$482,Opex_Budget!$F:$F,$D$482,Opex_Budget!$N:$N,"JPY")*$E$5+SUMIFS(Opex_Budget!$U:$U,Opex_Budget!$A:$A,$C$3,Opex_Budget!$E:$E,$B$482,Opex_Budget!$F:$F,$D$482,Opex_Budget!$N:$N,"USD")*$F$5+SUMIFS(Opex_Budget!$U:$U,Opex_Budget!$A:$A,$C$3,Opex_Budget!$E:$E,$B$482,Opex_Budget!$F:$F,$D$482,Opex_Budget!$N:$N,"EUR")*$G$5+SUMIFS(Opex_Budget!$U:$U,Opex_Budget!$A:$A,$C$3,Opex_Budget!$E:$E,$B$482,Opex_Budget!$F:$F,$D$482,Opex_Budget!$N:$N,"GBP")*$H$5)</f>
        <v/>
      </c>
      <c r="O482" s="32">
        <f>IF($B$482="","",SUMIFS(Opex_Budget!$V:$V,Opex_Budget!$A:$A,$C$3,Opex_Budget!$E:$E,$B$482,Opex_Budget!$F:$F,$D$482,Opex_Budget!$N:$N,"JPY")*$E$5+SUMIFS(Opex_Budget!$V:$V,Opex_Budget!$A:$A,$C$3,Opex_Budget!$E:$E,$B$482,Opex_Budget!$F:$F,$D$482,Opex_Budget!$N:$N,"USD")*$F$5+SUMIFS(Opex_Budget!$V:$V,Opex_Budget!$A:$A,$C$3,Opex_Budget!$E:$E,$B$482,Opex_Budget!$F:$F,$D$482,Opex_Budget!$N:$N,"EUR")*$G$5+SUMIFS(Opex_Budget!$V:$V,Opex_Budget!$A:$A,$C$3,Opex_Budget!$E:$E,$B$482,Opex_Budget!$F:$F,$D$482,Opex_Budget!$N:$N,"GBP")*$H$5)</f>
        <v/>
      </c>
      <c r="P482" s="32">
        <f>IF($B$482="","",SUMIFS(Opex_Budget!$W:$W,Opex_Budget!$A:$A,$C$3,Opex_Budget!$E:$E,$B$482,Opex_Budget!$F:$F,$D$482,Opex_Budget!$N:$N,"JPY")*$E$5+SUMIFS(Opex_Budget!$W:$W,Opex_Budget!$A:$A,$C$3,Opex_Budget!$E:$E,$B$482,Opex_Budget!$F:$F,$D$482,Opex_Budget!$N:$N,"USD")*$F$5+SUMIFS(Opex_Budget!$W:$W,Opex_Budget!$A:$A,$C$3,Opex_Budget!$E:$E,$B$482,Opex_Budget!$F:$F,$D$482,Opex_Budget!$N:$N,"EUR")*$G$5+SUMIFS(Opex_Budget!$W:$W,Opex_Budget!$A:$A,$C$3,Opex_Budget!$E:$E,$B$482,Opex_Budget!$F:$F,$D$482,Opex_Budget!$N:$N,"GBP")*$H$5)</f>
        <v/>
      </c>
      <c r="Q482" s="32">
        <f>IF($B$482="","",SUMIFS(Opex_Budget!$X:$X,Opex_Budget!$A:$A,$C$3,Opex_Budget!$E:$E,$B$482,Opex_Budget!$F:$F,$D$482,Opex_Budget!$N:$N,"JPY")*$E$5+SUMIFS(Opex_Budget!$X:$X,Opex_Budget!$A:$A,$C$3,Opex_Budget!$E:$E,$B$482,Opex_Budget!$F:$F,$D$482,Opex_Budget!$N:$N,"USD")*$F$5+SUMIFS(Opex_Budget!$X:$X,Opex_Budget!$A:$A,$C$3,Opex_Budget!$E:$E,$B$482,Opex_Budget!$F:$F,$D$482,Opex_Budget!$N:$N,"EUR")*$G$5+SUMIFS(Opex_Budget!$X:$X,Opex_Budget!$A:$A,$C$3,Opex_Budget!$E:$E,$B$482,Opex_Budget!$F:$F,$D$482,Opex_Budget!$N:$N,"GBP")*$H$5)</f>
        <v/>
      </c>
      <c r="R482" s="32">
        <f>IF($B$482="","",SUMIFS(Opex_Budget!$Y:$Y,Opex_Budget!$A:$A,$C$3,Opex_Budget!$E:$E,$B$482,Opex_Budget!$F:$F,$D$482,Opex_Budget!$N:$N,"JPY")*$E$5+SUMIFS(Opex_Budget!$Y:$Y,Opex_Budget!$A:$A,$C$3,Opex_Budget!$E:$E,$B$482,Opex_Budget!$F:$F,$D$482,Opex_Budget!$N:$N,"USD")*$F$5+SUMIFS(Opex_Budget!$Y:$Y,Opex_Budget!$A:$A,$C$3,Opex_Budget!$E:$E,$B$482,Opex_Budget!$F:$F,$D$482,Opex_Budget!$N:$N,"EUR")*$G$5+SUMIFS(Opex_Budget!$Y:$Y,Opex_Budget!$A:$A,$C$3,Opex_Budget!$E:$E,$B$482,Opex_Budget!$F:$F,$D$482,Opex_Budget!$N:$N,"GBP")*$H$5)</f>
        <v/>
      </c>
      <c r="S482" s="32">
        <f>IF($B$482="","",SUMIFS(Opex_Budget!$Z:$Z,Opex_Budget!$A:$A,$C$3,Opex_Budget!$E:$E,$B$482,Opex_Budget!$F:$F,$D$482,Opex_Budget!$N:$N,"JPY")*$E$5+SUMIFS(Opex_Budget!$Z:$Z,Opex_Budget!$A:$A,$C$3,Opex_Budget!$E:$E,$B$482,Opex_Budget!$F:$F,$D$482,Opex_Budget!$N:$N,"USD")*$F$5+SUMIFS(Opex_Budget!$Z:$Z,Opex_Budget!$A:$A,$C$3,Opex_Budget!$E:$E,$B$482,Opex_Budget!$F:$F,$D$482,Opex_Budget!$N:$N,"EUR")*$G$5+SUMIFS(Opex_Budget!$Z:$Z,Opex_Budget!$A:$A,$C$3,Opex_Budget!$E:$E,$B$482,Opex_Budget!$F:$F,$D$482,Opex_Budget!$N:$N,"GBP")*$H$5)</f>
        <v/>
      </c>
      <c r="T482" s="32">
        <f>IF($B$482="","",SUMIF($H$7:$S$7,"&lt;="&amp;$C$4,$H482:$S482))</f>
        <v/>
      </c>
      <c r="U482" s="32">
        <f>IF($B$482="","",SUMIF($H$7:$S$7,"&gt;"&amp;$C$4,$H482:$S482))</f>
        <v/>
      </c>
      <c r="V482" s="32">
        <f>IF($B$482="","",SUM($H482:$S482))</f>
        <v/>
      </c>
      <c r="X482" s="22">
        <f>IF($B482="","",IFERROR(INDEX(Cost_Centers!$E:$E,MATCH($B482,Cost_Centers!$A:$A,0)),"(unknown)"))</f>
        <v/>
      </c>
      <c r="Y482" s="22">
        <f>IF($B482="","",IFERROR(INDEX(Cost_Centers!$D:$D,MATCH($B482,Cost_Centers!$A:$A,0)),"(unknown)"))</f>
        <v/>
      </c>
      <c r="Z482" s="22">
        <f>IF(OR($B482="",$G482&lt;&gt;"Variance vs Budget"),"",ABS(N($V482))+ROW()/1000000000)</f>
        <v/>
      </c>
    </row>
    <row r="483">
      <c r="A483" s="13">
        <f>IF(A$482="","",A$482)</f>
        <v/>
      </c>
      <c r="B483" s="13">
        <f>IF(B$482="","",B$482)</f>
        <v/>
      </c>
      <c r="C483" s="13">
        <f>IF(C$482="","",C$482)</f>
        <v/>
      </c>
      <c r="D483" s="13">
        <f>IF(D$482="","",D$482)</f>
        <v/>
      </c>
      <c r="E483" s="13">
        <f>IF(E$482="","",E$482)</f>
        <v/>
      </c>
      <c r="F483" s="13">
        <f>IF(F$482="","",F$482)</f>
        <v/>
      </c>
      <c r="G483" s="7" t="inlineStr">
        <is>
          <t>Actual</t>
        </is>
      </c>
      <c r="H483" s="18">
        <f>IF(OR($B$482="",1&gt;$C$4),"",SUMIFS(Actuals!$G:$G,Actuals!$B:$B,$C$3,Actuals!$C:$C,1,Actuals!$D:$D,$B$482,Actuals!$A:$A,LEFT($D$482,FIND("|",$D$482&amp;"|")-1),Actuals!$E:$E,MID($D$482,FIND("|",$D$482&amp;"|")+1,50),Actuals!$F:$F,"JPY")*$E$5+SUMIFS(Actuals!$G:$G,Actuals!$B:$B,$C$3,Actuals!$C:$C,1,Actuals!$D:$D,$B$482,Actuals!$A:$A,LEFT($D$482,FIND("|",$D$482&amp;"|")-1),Actuals!$E:$E,MID($D$482,FIND("|",$D$482&amp;"|")+1,50),Actuals!$F:$F,"USD")*$F$5+SUMIFS(Actuals!$G:$G,Actuals!$B:$B,$C$3,Actuals!$C:$C,1,Actuals!$D:$D,$B$482,Actuals!$A:$A,LEFT($D$482,FIND("|",$D$482&amp;"|")-1),Actuals!$E:$E,MID($D$482,FIND("|",$D$482&amp;"|")+1,50),Actuals!$F:$F,"EUR")*$G$5+SUMIFS(Actuals!$G:$G,Actuals!$B:$B,$C$3,Actuals!$C:$C,1,Actuals!$D:$D,$B$482,Actuals!$A:$A,LEFT($D$482,FIND("|",$D$482&amp;"|")-1),Actuals!$E:$E,MID($D$482,FIND("|",$D$482&amp;"|")+1,50),Actuals!$F:$F,"GBP")*$H$5)</f>
        <v/>
      </c>
      <c r="I483" s="18">
        <f>IF(OR($B$482="",2&gt;$C$4),"",SUMIFS(Actuals!$G:$G,Actuals!$B:$B,$C$3,Actuals!$C:$C,2,Actuals!$D:$D,$B$482,Actuals!$A:$A,LEFT($D$482,FIND("|",$D$482&amp;"|")-1),Actuals!$E:$E,MID($D$482,FIND("|",$D$482&amp;"|")+1,50),Actuals!$F:$F,"JPY")*$E$5+SUMIFS(Actuals!$G:$G,Actuals!$B:$B,$C$3,Actuals!$C:$C,2,Actuals!$D:$D,$B$482,Actuals!$A:$A,LEFT($D$482,FIND("|",$D$482&amp;"|")-1),Actuals!$E:$E,MID($D$482,FIND("|",$D$482&amp;"|")+1,50),Actuals!$F:$F,"USD")*$F$5+SUMIFS(Actuals!$G:$G,Actuals!$B:$B,$C$3,Actuals!$C:$C,2,Actuals!$D:$D,$B$482,Actuals!$A:$A,LEFT($D$482,FIND("|",$D$482&amp;"|")-1),Actuals!$E:$E,MID($D$482,FIND("|",$D$482&amp;"|")+1,50),Actuals!$F:$F,"EUR")*$G$5+SUMIFS(Actuals!$G:$G,Actuals!$B:$B,$C$3,Actuals!$C:$C,2,Actuals!$D:$D,$B$482,Actuals!$A:$A,LEFT($D$482,FIND("|",$D$482&amp;"|")-1),Actuals!$E:$E,MID($D$482,FIND("|",$D$482&amp;"|")+1,50),Actuals!$F:$F,"GBP")*$H$5)</f>
        <v/>
      </c>
      <c r="J483" s="18">
        <f>IF(OR($B$482="",3&gt;$C$4),"",SUMIFS(Actuals!$G:$G,Actuals!$B:$B,$C$3,Actuals!$C:$C,3,Actuals!$D:$D,$B$482,Actuals!$A:$A,LEFT($D$482,FIND("|",$D$482&amp;"|")-1),Actuals!$E:$E,MID($D$482,FIND("|",$D$482&amp;"|")+1,50),Actuals!$F:$F,"JPY")*$E$5+SUMIFS(Actuals!$G:$G,Actuals!$B:$B,$C$3,Actuals!$C:$C,3,Actuals!$D:$D,$B$482,Actuals!$A:$A,LEFT($D$482,FIND("|",$D$482&amp;"|")-1),Actuals!$E:$E,MID($D$482,FIND("|",$D$482&amp;"|")+1,50),Actuals!$F:$F,"USD")*$F$5+SUMIFS(Actuals!$G:$G,Actuals!$B:$B,$C$3,Actuals!$C:$C,3,Actuals!$D:$D,$B$482,Actuals!$A:$A,LEFT($D$482,FIND("|",$D$482&amp;"|")-1),Actuals!$E:$E,MID($D$482,FIND("|",$D$482&amp;"|")+1,50),Actuals!$F:$F,"EUR")*$G$5+SUMIFS(Actuals!$G:$G,Actuals!$B:$B,$C$3,Actuals!$C:$C,3,Actuals!$D:$D,$B$482,Actuals!$A:$A,LEFT($D$482,FIND("|",$D$482&amp;"|")-1),Actuals!$E:$E,MID($D$482,FIND("|",$D$482&amp;"|")+1,50),Actuals!$F:$F,"GBP")*$H$5)</f>
        <v/>
      </c>
      <c r="K483" s="18">
        <f>IF(OR($B$482="",4&gt;$C$4),"",SUMIFS(Actuals!$G:$G,Actuals!$B:$B,$C$3,Actuals!$C:$C,4,Actuals!$D:$D,$B$482,Actuals!$A:$A,LEFT($D$482,FIND("|",$D$482&amp;"|")-1),Actuals!$E:$E,MID($D$482,FIND("|",$D$482&amp;"|")+1,50),Actuals!$F:$F,"JPY")*$E$5+SUMIFS(Actuals!$G:$G,Actuals!$B:$B,$C$3,Actuals!$C:$C,4,Actuals!$D:$D,$B$482,Actuals!$A:$A,LEFT($D$482,FIND("|",$D$482&amp;"|")-1),Actuals!$E:$E,MID($D$482,FIND("|",$D$482&amp;"|")+1,50),Actuals!$F:$F,"USD")*$F$5+SUMIFS(Actuals!$G:$G,Actuals!$B:$B,$C$3,Actuals!$C:$C,4,Actuals!$D:$D,$B$482,Actuals!$A:$A,LEFT($D$482,FIND("|",$D$482&amp;"|")-1),Actuals!$E:$E,MID($D$482,FIND("|",$D$482&amp;"|")+1,50),Actuals!$F:$F,"EUR")*$G$5+SUMIFS(Actuals!$G:$G,Actuals!$B:$B,$C$3,Actuals!$C:$C,4,Actuals!$D:$D,$B$482,Actuals!$A:$A,LEFT($D$482,FIND("|",$D$482&amp;"|")-1),Actuals!$E:$E,MID($D$482,FIND("|",$D$482&amp;"|")+1,50),Actuals!$F:$F,"GBP")*$H$5)</f>
        <v/>
      </c>
      <c r="L483" s="18">
        <f>IF(OR($B$482="",5&gt;$C$4),"",SUMIFS(Actuals!$G:$G,Actuals!$B:$B,$C$3,Actuals!$C:$C,5,Actuals!$D:$D,$B$482,Actuals!$A:$A,LEFT($D$482,FIND("|",$D$482&amp;"|")-1),Actuals!$E:$E,MID($D$482,FIND("|",$D$482&amp;"|")+1,50),Actuals!$F:$F,"JPY")*$E$5+SUMIFS(Actuals!$G:$G,Actuals!$B:$B,$C$3,Actuals!$C:$C,5,Actuals!$D:$D,$B$482,Actuals!$A:$A,LEFT($D$482,FIND("|",$D$482&amp;"|")-1),Actuals!$E:$E,MID($D$482,FIND("|",$D$482&amp;"|")+1,50),Actuals!$F:$F,"USD")*$F$5+SUMIFS(Actuals!$G:$G,Actuals!$B:$B,$C$3,Actuals!$C:$C,5,Actuals!$D:$D,$B$482,Actuals!$A:$A,LEFT($D$482,FIND("|",$D$482&amp;"|")-1),Actuals!$E:$E,MID($D$482,FIND("|",$D$482&amp;"|")+1,50),Actuals!$F:$F,"EUR")*$G$5+SUMIFS(Actuals!$G:$G,Actuals!$B:$B,$C$3,Actuals!$C:$C,5,Actuals!$D:$D,$B$482,Actuals!$A:$A,LEFT($D$482,FIND("|",$D$482&amp;"|")-1),Actuals!$E:$E,MID($D$482,FIND("|",$D$482&amp;"|")+1,50),Actuals!$F:$F,"GBP")*$H$5)</f>
        <v/>
      </c>
      <c r="M483" s="18">
        <f>IF(OR($B$482="",6&gt;$C$4),"",SUMIFS(Actuals!$G:$G,Actuals!$B:$B,$C$3,Actuals!$C:$C,6,Actuals!$D:$D,$B$482,Actuals!$A:$A,LEFT($D$482,FIND("|",$D$482&amp;"|")-1),Actuals!$E:$E,MID($D$482,FIND("|",$D$482&amp;"|")+1,50),Actuals!$F:$F,"JPY")*$E$5+SUMIFS(Actuals!$G:$G,Actuals!$B:$B,$C$3,Actuals!$C:$C,6,Actuals!$D:$D,$B$482,Actuals!$A:$A,LEFT($D$482,FIND("|",$D$482&amp;"|")-1),Actuals!$E:$E,MID($D$482,FIND("|",$D$482&amp;"|")+1,50),Actuals!$F:$F,"USD")*$F$5+SUMIFS(Actuals!$G:$G,Actuals!$B:$B,$C$3,Actuals!$C:$C,6,Actuals!$D:$D,$B$482,Actuals!$A:$A,LEFT($D$482,FIND("|",$D$482&amp;"|")-1),Actuals!$E:$E,MID($D$482,FIND("|",$D$482&amp;"|")+1,50),Actuals!$F:$F,"EUR")*$G$5+SUMIFS(Actuals!$G:$G,Actuals!$B:$B,$C$3,Actuals!$C:$C,6,Actuals!$D:$D,$B$482,Actuals!$A:$A,LEFT($D$482,FIND("|",$D$482&amp;"|")-1),Actuals!$E:$E,MID($D$482,FIND("|",$D$482&amp;"|")+1,50),Actuals!$F:$F,"GBP")*$H$5)</f>
        <v/>
      </c>
      <c r="N483" s="18">
        <f>IF(OR($B$482="",7&gt;$C$4),"",SUMIFS(Actuals!$G:$G,Actuals!$B:$B,$C$3,Actuals!$C:$C,7,Actuals!$D:$D,$B$482,Actuals!$A:$A,LEFT($D$482,FIND("|",$D$482&amp;"|")-1),Actuals!$E:$E,MID($D$482,FIND("|",$D$482&amp;"|")+1,50),Actuals!$F:$F,"JPY")*$E$5+SUMIFS(Actuals!$G:$G,Actuals!$B:$B,$C$3,Actuals!$C:$C,7,Actuals!$D:$D,$B$482,Actuals!$A:$A,LEFT($D$482,FIND("|",$D$482&amp;"|")-1),Actuals!$E:$E,MID($D$482,FIND("|",$D$482&amp;"|")+1,50),Actuals!$F:$F,"USD")*$F$5+SUMIFS(Actuals!$G:$G,Actuals!$B:$B,$C$3,Actuals!$C:$C,7,Actuals!$D:$D,$B$482,Actuals!$A:$A,LEFT($D$482,FIND("|",$D$482&amp;"|")-1),Actuals!$E:$E,MID($D$482,FIND("|",$D$482&amp;"|")+1,50),Actuals!$F:$F,"EUR")*$G$5+SUMIFS(Actuals!$G:$G,Actuals!$B:$B,$C$3,Actuals!$C:$C,7,Actuals!$D:$D,$B$482,Actuals!$A:$A,LEFT($D$482,FIND("|",$D$482&amp;"|")-1),Actuals!$E:$E,MID($D$482,FIND("|",$D$482&amp;"|")+1,50),Actuals!$F:$F,"GBP")*$H$5)</f>
        <v/>
      </c>
      <c r="O483" s="18">
        <f>IF(OR($B$482="",8&gt;$C$4),"",SUMIFS(Actuals!$G:$G,Actuals!$B:$B,$C$3,Actuals!$C:$C,8,Actuals!$D:$D,$B$482,Actuals!$A:$A,LEFT($D$482,FIND("|",$D$482&amp;"|")-1),Actuals!$E:$E,MID($D$482,FIND("|",$D$482&amp;"|")+1,50),Actuals!$F:$F,"JPY")*$E$5+SUMIFS(Actuals!$G:$G,Actuals!$B:$B,$C$3,Actuals!$C:$C,8,Actuals!$D:$D,$B$482,Actuals!$A:$A,LEFT($D$482,FIND("|",$D$482&amp;"|")-1),Actuals!$E:$E,MID($D$482,FIND("|",$D$482&amp;"|")+1,50),Actuals!$F:$F,"USD")*$F$5+SUMIFS(Actuals!$G:$G,Actuals!$B:$B,$C$3,Actuals!$C:$C,8,Actuals!$D:$D,$B$482,Actuals!$A:$A,LEFT($D$482,FIND("|",$D$482&amp;"|")-1),Actuals!$E:$E,MID($D$482,FIND("|",$D$482&amp;"|")+1,50),Actuals!$F:$F,"EUR")*$G$5+SUMIFS(Actuals!$G:$G,Actuals!$B:$B,$C$3,Actuals!$C:$C,8,Actuals!$D:$D,$B$482,Actuals!$A:$A,LEFT($D$482,FIND("|",$D$482&amp;"|")-1),Actuals!$E:$E,MID($D$482,FIND("|",$D$482&amp;"|")+1,50),Actuals!$F:$F,"GBP")*$H$5)</f>
        <v/>
      </c>
      <c r="P483" s="18">
        <f>IF(OR($B$482="",9&gt;$C$4),"",SUMIFS(Actuals!$G:$G,Actuals!$B:$B,$C$3,Actuals!$C:$C,9,Actuals!$D:$D,$B$482,Actuals!$A:$A,LEFT($D$482,FIND("|",$D$482&amp;"|")-1),Actuals!$E:$E,MID($D$482,FIND("|",$D$482&amp;"|")+1,50),Actuals!$F:$F,"JPY")*$E$5+SUMIFS(Actuals!$G:$G,Actuals!$B:$B,$C$3,Actuals!$C:$C,9,Actuals!$D:$D,$B$482,Actuals!$A:$A,LEFT($D$482,FIND("|",$D$482&amp;"|")-1),Actuals!$E:$E,MID($D$482,FIND("|",$D$482&amp;"|")+1,50),Actuals!$F:$F,"USD")*$F$5+SUMIFS(Actuals!$G:$G,Actuals!$B:$B,$C$3,Actuals!$C:$C,9,Actuals!$D:$D,$B$482,Actuals!$A:$A,LEFT($D$482,FIND("|",$D$482&amp;"|")-1),Actuals!$E:$E,MID($D$482,FIND("|",$D$482&amp;"|")+1,50),Actuals!$F:$F,"EUR")*$G$5+SUMIFS(Actuals!$G:$G,Actuals!$B:$B,$C$3,Actuals!$C:$C,9,Actuals!$D:$D,$B$482,Actuals!$A:$A,LEFT($D$482,FIND("|",$D$482&amp;"|")-1),Actuals!$E:$E,MID($D$482,FIND("|",$D$482&amp;"|")+1,50),Actuals!$F:$F,"GBP")*$H$5)</f>
        <v/>
      </c>
      <c r="Q483" s="18">
        <f>IF(OR($B$482="",10&gt;$C$4),"",SUMIFS(Actuals!$G:$G,Actuals!$B:$B,$C$3,Actuals!$C:$C,10,Actuals!$D:$D,$B$482,Actuals!$A:$A,LEFT($D$482,FIND("|",$D$482&amp;"|")-1),Actuals!$E:$E,MID($D$482,FIND("|",$D$482&amp;"|")+1,50),Actuals!$F:$F,"JPY")*$E$5+SUMIFS(Actuals!$G:$G,Actuals!$B:$B,$C$3,Actuals!$C:$C,10,Actuals!$D:$D,$B$482,Actuals!$A:$A,LEFT($D$482,FIND("|",$D$482&amp;"|")-1),Actuals!$E:$E,MID($D$482,FIND("|",$D$482&amp;"|")+1,50),Actuals!$F:$F,"USD")*$F$5+SUMIFS(Actuals!$G:$G,Actuals!$B:$B,$C$3,Actuals!$C:$C,10,Actuals!$D:$D,$B$482,Actuals!$A:$A,LEFT($D$482,FIND("|",$D$482&amp;"|")-1),Actuals!$E:$E,MID($D$482,FIND("|",$D$482&amp;"|")+1,50),Actuals!$F:$F,"EUR")*$G$5+SUMIFS(Actuals!$G:$G,Actuals!$B:$B,$C$3,Actuals!$C:$C,10,Actuals!$D:$D,$B$482,Actuals!$A:$A,LEFT($D$482,FIND("|",$D$482&amp;"|")-1),Actuals!$E:$E,MID($D$482,FIND("|",$D$482&amp;"|")+1,50),Actuals!$F:$F,"GBP")*$H$5)</f>
        <v/>
      </c>
      <c r="R483" s="18">
        <f>IF(OR($B$482="",11&gt;$C$4),"",SUMIFS(Actuals!$G:$G,Actuals!$B:$B,$C$3,Actuals!$C:$C,11,Actuals!$D:$D,$B$482,Actuals!$A:$A,LEFT($D$482,FIND("|",$D$482&amp;"|")-1),Actuals!$E:$E,MID($D$482,FIND("|",$D$482&amp;"|")+1,50),Actuals!$F:$F,"JPY")*$E$5+SUMIFS(Actuals!$G:$G,Actuals!$B:$B,$C$3,Actuals!$C:$C,11,Actuals!$D:$D,$B$482,Actuals!$A:$A,LEFT($D$482,FIND("|",$D$482&amp;"|")-1),Actuals!$E:$E,MID($D$482,FIND("|",$D$482&amp;"|")+1,50),Actuals!$F:$F,"USD")*$F$5+SUMIFS(Actuals!$G:$G,Actuals!$B:$B,$C$3,Actuals!$C:$C,11,Actuals!$D:$D,$B$482,Actuals!$A:$A,LEFT($D$482,FIND("|",$D$482&amp;"|")-1),Actuals!$E:$E,MID($D$482,FIND("|",$D$482&amp;"|")+1,50),Actuals!$F:$F,"EUR")*$G$5+SUMIFS(Actuals!$G:$G,Actuals!$B:$B,$C$3,Actuals!$C:$C,11,Actuals!$D:$D,$B$482,Actuals!$A:$A,LEFT($D$482,FIND("|",$D$482&amp;"|")-1),Actuals!$E:$E,MID($D$482,FIND("|",$D$482&amp;"|")+1,50),Actuals!$F:$F,"GBP")*$H$5)</f>
        <v/>
      </c>
      <c r="S483" s="18">
        <f>IF(OR($B$482="",12&gt;$C$4),"",SUMIFS(Actuals!$G:$G,Actuals!$B:$B,$C$3,Actuals!$C:$C,12,Actuals!$D:$D,$B$482,Actuals!$A:$A,LEFT($D$482,FIND("|",$D$482&amp;"|")-1),Actuals!$E:$E,MID($D$482,FIND("|",$D$482&amp;"|")+1,50),Actuals!$F:$F,"JPY")*$E$5+SUMIFS(Actuals!$G:$G,Actuals!$B:$B,$C$3,Actuals!$C:$C,12,Actuals!$D:$D,$B$482,Actuals!$A:$A,LEFT($D$482,FIND("|",$D$482&amp;"|")-1),Actuals!$E:$E,MID($D$482,FIND("|",$D$482&amp;"|")+1,50),Actuals!$F:$F,"USD")*$F$5+SUMIFS(Actuals!$G:$G,Actuals!$B:$B,$C$3,Actuals!$C:$C,12,Actuals!$D:$D,$B$482,Actuals!$A:$A,LEFT($D$482,FIND("|",$D$482&amp;"|")-1),Actuals!$E:$E,MID($D$482,FIND("|",$D$482&amp;"|")+1,50),Actuals!$F:$F,"EUR")*$G$5+SUMIFS(Actuals!$G:$G,Actuals!$B:$B,$C$3,Actuals!$C:$C,12,Actuals!$D:$D,$B$482,Actuals!$A:$A,LEFT($D$482,FIND("|",$D$482&amp;"|")-1),Actuals!$E:$E,MID($D$482,FIND("|",$D$482&amp;"|")+1,50),Actuals!$F:$F,"GBP")*$H$5)</f>
        <v/>
      </c>
      <c r="T483" s="18">
        <f>IF($B$482="","",SUMIF($H$7:$S$7,"&lt;="&amp;$C$4,$H483:$S483))</f>
        <v/>
      </c>
      <c r="U483" s="18" t="n"/>
      <c r="V483" s="18" t="n"/>
      <c r="X483" s="22">
        <f>IF($B483="","",IFERROR(INDEX(Cost_Centers!$E:$E,MATCH($B483,Cost_Centers!$A:$A,0)),"(unknown)"))</f>
        <v/>
      </c>
      <c r="Y483" s="22">
        <f>IF($B483="","",IFERROR(INDEX(Cost_Centers!$D:$D,MATCH($B483,Cost_Centers!$A:$A,0)),"(unknown)"))</f>
        <v/>
      </c>
      <c r="Z483" s="22">
        <f>IF(OR($B483="",$G483&lt;&gt;"Variance vs Budget"),"",ABS(N($V483))+ROW()/1000000000)</f>
        <v/>
      </c>
    </row>
    <row r="484">
      <c r="A484" s="13">
        <f>IF(A$482="","",A$482)</f>
        <v/>
      </c>
      <c r="B484" s="13">
        <f>IF(B$482="","",B$482)</f>
        <v/>
      </c>
      <c r="C484" s="13">
        <f>IF(C$482="","",C$482)</f>
        <v/>
      </c>
      <c r="D484" s="13">
        <f>IF(D$482="","",D$482)</f>
        <v/>
      </c>
      <c r="E484" s="13">
        <f>IF(E$482="","",E$482)</f>
        <v/>
      </c>
      <c r="F484" s="13">
        <f>IF(F$482="","",F$482)</f>
        <v/>
      </c>
      <c r="G484" s="6" t="inlineStr">
        <is>
          <t>Variance vs Budget</t>
        </is>
      </c>
      <c r="H484" s="33">
        <f>IF(OR($B$482="",1&gt;$C$4),"",N(H483)-H482)</f>
        <v/>
      </c>
      <c r="I484" s="33">
        <f>IF(OR($B$482="",2&gt;$C$4),"",N(I483)-I482)</f>
        <v/>
      </c>
      <c r="J484" s="33">
        <f>IF(OR($B$482="",3&gt;$C$4),"",N(J483)-J482)</f>
        <v/>
      </c>
      <c r="K484" s="33">
        <f>IF(OR($B$482="",4&gt;$C$4),"",N(K483)-K482)</f>
        <v/>
      </c>
      <c r="L484" s="33">
        <f>IF(OR($B$482="",5&gt;$C$4),"",N(L483)-L482)</f>
        <v/>
      </c>
      <c r="M484" s="33">
        <f>IF(OR($B$482="",6&gt;$C$4),"",N(M483)-M482)</f>
        <v/>
      </c>
      <c r="N484" s="33">
        <f>IF(OR($B$482="",7&gt;$C$4),"",N(N483)-N482)</f>
        <v/>
      </c>
      <c r="O484" s="33">
        <f>IF(OR($B$482="",8&gt;$C$4),"",N(O483)-O482)</f>
        <v/>
      </c>
      <c r="P484" s="33">
        <f>IF(OR($B$482="",9&gt;$C$4),"",N(P483)-P482)</f>
        <v/>
      </c>
      <c r="Q484" s="33">
        <f>IF(OR($B$482="",10&gt;$C$4),"",N(Q483)-Q482)</f>
        <v/>
      </c>
      <c r="R484" s="33">
        <f>IF(OR($B$482="",11&gt;$C$4),"",N(R483)-R482)</f>
        <v/>
      </c>
      <c r="S484" s="33">
        <f>IF(OR($B$482="",12&gt;$C$4),"",N(S483)-S482)</f>
        <v/>
      </c>
      <c r="T484" s="33">
        <f>IF($B$482="","",T483-T482)</f>
        <v/>
      </c>
      <c r="U484" s="33">
        <f>IF($B$482="","",U486-U482)</f>
        <v/>
      </c>
      <c r="V484" s="33">
        <f>IF($B$482="","",V486-V482)</f>
        <v/>
      </c>
      <c r="X484" s="22">
        <f>IF($B484="","",IFERROR(INDEX(Cost_Centers!$E:$E,MATCH($B484,Cost_Centers!$A:$A,0)),"(unknown)"))</f>
        <v/>
      </c>
      <c r="Y484" s="22">
        <f>IF($B484="","",IFERROR(INDEX(Cost_Centers!$D:$D,MATCH($B484,Cost_Centers!$A:$A,0)),"(unknown)"))</f>
        <v/>
      </c>
      <c r="Z484" s="22">
        <f>IF(OR($B484="",$G484&lt;&gt;"Variance vs Budget"),"",ABS(N($V484))+ROW()/1000000000)</f>
        <v/>
      </c>
    </row>
    <row r="485">
      <c r="A485" s="13">
        <f>IF(A$482="","",A$482)</f>
        <v/>
      </c>
      <c r="B485" s="13">
        <f>IF(B$482="","",B$482)</f>
        <v/>
      </c>
      <c r="C485" s="13">
        <f>IF(C$482="","",C$482)</f>
        <v/>
      </c>
      <c r="D485" s="13">
        <f>IF(D$482="","",D$482)</f>
        <v/>
      </c>
      <c r="E485" s="13">
        <f>IF(E$482="","",E$482)</f>
        <v/>
      </c>
      <c r="F485" s="13">
        <f>IF(F$482="","",F$482)</f>
        <v/>
      </c>
      <c r="G485" s="7" t="inlineStr">
        <is>
          <t>Forecast (input)</t>
        </is>
      </c>
      <c r="H485" s="34" t="n"/>
      <c r="I485" s="34" t="n"/>
      <c r="J485" s="34" t="n"/>
      <c r="K485" s="34" t="n"/>
      <c r="L485" s="34" t="n"/>
      <c r="M485" s="34" t="n"/>
      <c r="N485" s="34" t="n"/>
      <c r="O485" s="34" t="n"/>
      <c r="P485" s="34" t="n"/>
      <c r="Q485" s="34" t="n"/>
      <c r="R485" s="34" t="n"/>
      <c r="S485" s="34" t="n"/>
      <c r="T485" s="18" t="n"/>
      <c r="U485" s="18" t="n"/>
      <c r="V485" s="18" t="n"/>
      <c r="X485" s="22">
        <f>IF($B485="","",IFERROR(INDEX(Cost_Centers!$E:$E,MATCH($B485,Cost_Centers!$A:$A,0)),"(unknown)"))</f>
        <v/>
      </c>
      <c r="Y485" s="22">
        <f>IF($B485="","",IFERROR(INDEX(Cost_Centers!$D:$D,MATCH($B485,Cost_Centers!$A:$A,0)),"(unknown)"))</f>
        <v/>
      </c>
      <c r="Z485" s="22">
        <f>IF(OR($B485="",$G485&lt;&gt;"Variance vs Budget"),"",ABS(N($V485))+ROW()/1000000000)</f>
        <v/>
      </c>
    </row>
    <row r="486">
      <c r="A486" s="13">
        <f>IF(A$482="","",A$482)</f>
        <v/>
      </c>
      <c r="B486" s="13">
        <f>IF(B$482="","",B$482)</f>
        <v/>
      </c>
      <c r="C486" s="13">
        <f>IF(C$482="","",C$482)</f>
        <v/>
      </c>
      <c r="D486" s="13">
        <f>IF(D$482="","",D$482)</f>
        <v/>
      </c>
      <c r="E486" s="13">
        <f>IF(E$482="","",E$482)</f>
        <v/>
      </c>
      <c r="F486" s="13">
        <f>IF(F$482="","",F$482)</f>
        <v/>
      </c>
      <c r="G486" s="35" t="inlineStr">
        <is>
          <t>Actual + Forecast</t>
        </is>
      </c>
      <c r="H486" s="18">
        <f>IF($B$482="","",IF(1&lt;=$C$4,N(H483),IF(H485="",H482,H485)))</f>
        <v/>
      </c>
      <c r="I486" s="18">
        <f>IF($B$482="","",IF(2&lt;=$C$4,N(I483),IF(I485="",I482,I485)))</f>
        <v/>
      </c>
      <c r="J486" s="18">
        <f>IF($B$482="","",IF(3&lt;=$C$4,N(J483),IF(J485="",J482,J485)))</f>
        <v/>
      </c>
      <c r="K486" s="18">
        <f>IF($B$482="","",IF(4&lt;=$C$4,N(K483),IF(K485="",K482,K485)))</f>
        <v/>
      </c>
      <c r="L486" s="18">
        <f>IF($B$482="","",IF(5&lt;=$C$4,N(L483),IF(L485="",L482,L485)))</f>
        <v/>
      </c>
      <c r="M486" s="18">
        <f>IF($B$482="","",IF(6&lt;=$C$4,N(M483),IF(M485="",M482,M485)))</f>
        <v/>
      </c>
      <c r="N486" s="18">
        <f>IF($B$482="","",IF(7&lt;=$C$4,N(N483),IF(N485="",N482,N485)))</f>
        <v/>
      </c>
      <c r="O486" s="18">
        <f>IF($B$482="","",IF(8&lt;=$C$4,N(O483),IF(O485="",O482,O485)))</f>
        <v/>
      </c>
      <c r="P486" s="18">
        <f>IF($B$482="","",IF(9&lt;=$C$4,N(P483),IF(P485="",P482,P485)))</f>
        <v/>
      </c>
      <c r="Q486" s="18">
        <f>IF($B$482="","",IF(10&lt;=$C$4,N(Q483),IF(Q485="",Q482,Q485)))</f>
        <v/>
      </c>
      <c r="R486" s="18">
        <f>IF($B$482="","",IF(11&lt;=$C$4,N(R483),IF(R485="",R482,R485)))</f>
        <v/>
      </c>
      <c r="S486" s="18">
        <f>IF($B$482="","",IF(12&lt;=$C$4,N(S483),IF(S485="",S482,S485)))</f>
        <v/>
      </c>
      <c r="T486" s="18">
        <f>IF($B$482="","",SUMIF($H$7:$S$7,"&lt;="&amp;$C$4,$H486:$S486))</f>
        <v/>
      </c>
      <c r="U486" s="18">
        <f>IF($B$482="","",SUMIF($H$7:$S$7,"&gt;"&amp;$C$4,$H486:$S486))</f>
        <v/>
      </c>
      <c r="V486" s="18">
        <f>IF($B$482="","",SUM($H486:$S486))</f>
        <v/>
      </c>
      <c r="X486" s="22">
        <f>IF($B486="","",IFERROR(INDEX(Cost_Centers!$E:$E,MATCH($B486,Cost_Centers!$A:$A,0)),"(unknown)"))</f>
        <v/>
      </c>
      <c r="Y486" s="22">
        <f>IF($B486="","",IFERROR(INDEX(Cost_Centers!$D:$D,MATCH($B486,Cost_Centers!$A:$A,0)),"(unknown)"))</f>
        <v/>
      </c>
      <c r="Z486" s="22">
        <f>IF(OR($B486="",$G486&lt;&gt;"Variance vs Budget"),"",ABS(N($V486))+ROW()/1000000000)</f>
        <v/>
      </c>
    </row>
    <row r="487">
      <c r="A487" s="13">
        <f>IF(A$482="","",A$482)</f>
        <v/>
      </c>
      <c r="B487" s="13">
        <f>IF(B$482="","",B$482)</f>
        <v/>
      </c>
      <c r="C487" s="13">
        <f>IF(C$482="","",C$482)</f>
        <v/>
      </c>
      <c r="D487" s="13">
        <f>IF(D$482="","",D$482)</f>
        <v/>
      </c>
      <c r="E487" s="13">
        <f>IF(E$482="","",E$482)</f>
        <v/>
      </c>
      <c r="F487" s="13">
        <f>IF(F$482="","",F$482)</f>
        <v/>
      </c>
      <c r="G487" s="36" t="inlineStr">
        <is>
          <t>Prior Month Forecast</t>
        </is>
      </c>
      <c r="H487" s="37">
        <f>IF($B$482="","",IF(COUNTIFS(Prior_Forecast!$A:$A,$B$482,Prior_Forecast!$B:$B,$D$482)&gt;0,SUMIFS(Prior_Forecast!$C:$C,Prior_Forecast!$A:$A,$B$482,Prior_Forecast!$B:$B,$D$482),""))</f>
        <v/>
      </c>
      <c r="I487" s="37">
        <f>IF($B$482="","",IF(COUNTIFS(Prior_Forecast!$A:$A,$B$482,Prior_Forecast!$B:$B,$D$482)&gt;0,SUMIFS(Prior_Forecast!$D:$D,Prior_Forecast!$A:$A,$B$482,Prior_Forecast!$B:$B,$D$482),""))</f>
        <v/>
      </c>
      <c r="J487" s="37">
        <f>IF($B$482="","",IF(COUNTIFS(Prior_Forecast!$A:$A,$B$482,Prior_Forecast!$B:$B,$D$482)&gt;0,SUMIFS(Prior_Forecast!$E:$E,Prior_Forecast!$A:$A,$B$482,Prior_Forecast!$B:$B,$D$482),""))</f>
        <v/>
      </c>
      <c r="K487" s="37">
        <f>IF($B$482="","",IF(COUNTIFS(Prior_Forecast!$A:$A,$B$482,Prior_Forecast!$B:$B,$D$482)&gt;0,SUMIFS(Prior_Forecast!$F:$F,Prior_Forecast!$A:$A,$B$482,Prior_Forecast!$B:$B,$D$482),""))</f>
        <v/>
      </c>
      <c r="L487" s="37">
        <f>IF($B$482="","",IF(COUNTIFS(Prior_Forecast!$A:$A,$B$482,Prior_Forecast!$B:$B,$D$482)&gt;0,SUMIFS(Prior_Forecast!$G:$G,Prior_Forecast!$A:$A,$B$482,Prior_Forecast!$B:$B,$D$482),""))</f>
        <v/>
      </c>
      <c r="M487" s="37">
        <f>IF($B$482="","",IF(COUNTIFS(Prior_Forecast!$A:$A,$B$482,Prior_Forecast!$B:$B,$D$482)&gt;0,SUMIFS(Prior_Forecast!$H:$H,Prior_Forecast!$A:$A,$B$482,Prior_Forecast!$B:$B,$D$482),""))</f>
        <v/>
      </c>
      <c r="N487" s="37">
        <f>IF($B$482="","",IF(COUNTIFS(Prior_Forecast!$A:$A,$B$482,Prior_Forecast!$B:$B,$D$482)&gt;0,SUMIFS(Prior_Forecast!$I:$I,Prior_Forecast!$A:$A,$B$482,Prior_Forecast!$B:$B,$D$482),""))</f>
        <v/>
      </c>
      <c r="O487" s="37">
        <f>IF($B$482="","",IF(COUNTIFS(Prior_Forecast!$A:$A,$B$482,Prior_Forecast!$B:$B,$D$482)&gt;0,SUMIFS(Prior_Forecast!$J:$J,Prior_Forecast!$A:$A,$B$482,Prior_Forecast!$B:$B,$D$482),""))</f>
        <v/>
      </c>
      <c r="P487" s="37">
        <f>IF($B$482="","",IF(COUNTIFS(Prior_Forecast!$A:$A,$B$482,Prior_Forecast!$B:$B,$D$482)&gt;0,SUMIFS(Prior_Forecast!$K:$K,Prior_Forecast!$A:$A,$B$482,Prior_Forecast!$B:$B,$D$482),""))</f>
        <v/>
      </c>
      <c r="Q487" s="37">
        <f>IF($B$482="","",IF(COUNTIFS(Prior_Forecast!$A:$A,$B$482,Prior_Forecast!$B:$B,$D$482)&gt;0,SUMIFS(Prior_Forecast!$L:$L,Prior_Forecast!$A:$A,$B$482,Prior_Forecast!$B:$B,$D$482),""))</f>
        <v/>
      </c>
      <c r="R487" s="37">
        <f>IF($B$482="","",IF(COUNTIFS(Prior_Forecast!$A:$A,$B$482,Prior_Forecast!$B:$B,$D$482)&gt;0,SUMIFS(Prior_Forecast!$M:$M,Prior_Forecast!$A:$A,$B$482,Prior_Forecast!$B:$B,$D$482),""))</f>
        <v/>
      </c>
      <c r="S487" s="37">
        <f>IF($B$482="","",IF(COUNTIFS(Prior_Forecast!$A:$A,$B$482,Prior_Forecast!$B:$B,$D$482)&gt;0,SUMIFS(Prior_Forecast!$N:$N,Prior_Forecast!$A:$A,$B$482,Prior_Forecast!$B:$B,$D$482),""))</f>
        <v/>
      </c>
      <c r="T487" s="37">
        <f>IF($B$482="","",IF(COUNTIFS(Prior_Forecast!$A:$A,$B$482,Prior_Forecast!$B:$B,$D$482)&gt;0,SUMIFS(Prior_Forecast!$O:$O,Prior_Forecast!$A:$A,$B$482,Prior_Forecast!$B:$B,$D$482),""))</f>
        <v/>
      </c>
      <c r="U487" s="37">
        <f>IF($B$482="","",IF(COUNTIFS(Prior_Forecast!$A:$A,$B$482,Prior_Forecast!$B:$B,$D$482)&gt;0,SUMIFS(Prior_Forecast!$P:$P,Prior_Forecast!$A:$A,$B$482,Prior_Forecast!$B:$B,$D$482),""))</f>
        <v/>
      </c>
      <c r="V487" s="37">
        <f>IF($B$482="","",IF(COUNTIFS(Prior_Forecast!$A:$A,$B$482,Prior_Forecast!$B:$B,$D$482)&gt;0,SUMIFS(Prior_Forecast!$Q:$Q,Prior_Forecast!$A:$A,$B$482,Prior_Forecast!$B:$B,$D$482),""))</f>
        <v/>
      </c>
      <c r="X487" s="22">
        <f>IF($B487="","",IFERROR(INDEX(Cost_Centers!$E:$E,MATCH($B487,Cost_Centers!$A:$A,0)),"(unknown)"))</f>
        <v/>
      </c>
      <c r="Y487" s="22">
        <f>IF($B487="","",IFERROR(INDEX(Cost_Centers!$D:$D,MATCH($B487,Cost_Centers!$A:$A,0)),"(unknown)"))</f>
        <v/>
      </c>
      <c r="Z487" s="22">
        <f>IF(OR($B487="",$G487&lt;&gt;"Variance vs Budget"),"",ABS(N($V487))+ROW()/1000000000)</f>
        <v/>
      </c>
    </row>
    <row r="488">
      <c r="A488" s="13">
        <f>IF(A$482="","",A$482)</f>
        <v/>
      </c>
      <c r="B488" s="13">
        <f>IF(B$482="","",B$482)</f>
        <v/>
      </c>
      <c r="C488" s="13">
        <f>IF(C$482="","",C$482)</f>
        <v/>
      </c>
      <c r="D488" s="13">
        <f>IF(D$482="","",D$482)</f>
        <v/>
      </c>
      <c r="E488" s="13">
        <f>IF(E$482="","",E$482)</f>
        <v/>
      </c>
      <c r="F488" s="13">
        <f>IF(F$482="","",F$482)</f>
        <v/>
      </c>
      <c r="G488" s="6" t="inlineStr">
        <is>
          <t>Variance vs Prior Month</t>
        </is>
      </c>
      <c r="H488" s="33">
        <f>IF(OR($B$482="",H487=""),"",H486-H487)</f>
        <v/>
      </c>
      <c r="I488" s="33">
        <f>IF(OR($B$482="",I487=""),"",I486-I487)</f>
        <v/>
      </c>
      <c r="J488" s="33">
        <f>IF(OR($B$482="",J487=""),"",J486-J487)</f>
        <v/>
      </c>
      <c r="K488" s="33">
        <f>IF(OR($B$482="",K487=""),"",K486-K487)</f>
        <v/>
      </c>
      <c r="L488" s="33">
        <f>IF(OR($B$482="",L487=""),"",L486-L487)</f>
        <v/>
      </c>
      <c r="M488" s="33">
        <f>IF(OR($B$482="",M487=""),"",M486-M487)</f>
        <v/>
      </c>
      <c r="N488" s="33">
        <f>IF(OR($B$482="",N487=""),"",N486-N487)</f>
        <v/>
      </c>
      <c r="O488" s="33">
        <f>IF(OR($B$482="",O487=""),"",O486-O487)</f>
        <v/>
      </c>
      <c r="P488" s="33">
        <f>IF(OR($B$482="",P487=""),"",P486-P487)</f>
        <v/>
      </c>
      <c r="Q488" s="33">
        <f>IF(OR($B$482="",Q487=""),"",Q486-Q487)</f>
        <v/>
      </c>
      <c r="R488" s="33">
        <f>IF(OR($B$482="",R487=""),"",R486-R487)</f>
        <v/>
      </c>
      <c r="S488" s="33">
        <f>IF(OR($B$482="",S487=""),"",S486-S487)</f>
        <v/>
      </c>
      <c r="T488" s="33">
        <f>IF(OR($B$482="",T487=""),"",T486-T487)</f>
        <v/>
      </c>
      <c r="U488" s="33">
        <f>IF(OR($B$482="",U487=""),"",U486-U487)</f>
        <v/>
      </c>
      <c r="V488" s="33">
        <f>IF(OR($B$482="",V487=""),"",V486-V487)</f>
        <v/>
      </c>
      <c r="X488" s="22">
        <f>IF($B488="","",IFERROR(INDEX(Cost_Centers!$E:$E,MATCH($B488,Cost_Centers!$A:$A,0)),"(unknown)"))</f>
        <v/>
      </c>
      <c r="Y488" s="22">
        <f>IF($B488="","",IFERROR(INDEX(Cost_Centers!$D:$D,MATCH($B488,Cost_Centers!$A:$A,0)),"(unknown)"))</f>
        <v/>
      </c>
      <c r="Z488" s="22">
        <f>IF(OR($B488="",$G488&lt;&gt;"Variance vs Budget"),"",ABS(N($V488))+ROW()/1000000000)</f>
        <v/>
      </c>
    </row>
    <row r="489" ht="45" customHeight="1">
      <c r="A489" s="13">
        <f>IF(A$482="","",A$482)</f>
        <v/>
      </c>
      <c r="B489" s="13">
        <f>IF(B$482="","",B$482)</f>
        <v/>
      </c>
      <c r="C489" s="13">
        <f>IF(C$482="","",C$482)</f>
        <v/>
      </c>
      <c r="D489" s="13">
        <f>IF(D$482="","",D$482)</f>
        <v/>
      </c>
      <c r="E489" s="13">
        <f>IF(E$482="","",E$482)</f>
        <v/>
      </c>
      <c r="F489" s="13">
        <f>IF(F$482="","",F$482)</f>
        <v/>
      </c>
      <c r="G489" s="7" t="inlineStr">
        <is>
          <t>Rationale</t>
        </is>
      </c>
      <c r="H489" s="38" t="n"/>
      <c r="I489" s="38" t="n"/>
      <c r="J489" s="38" t="n"/>
      <c r="K489" s="38" t="n"/>
      <c r="L489" s="38" t="n"/>
      <c r="M489" s="38" t="n"/>
      <c r="N489" s="38" t="n"/>
      <c r="O489" s="38" t="n"/>
      <c r="P489" s="38" t="n"/>
      <c r="Q489" s="38" t="n"/>
      <c r="R489" s="38" t="n"/>
      <c r="S489" s="38" t="n"/>
      <c r="T489" s="38" t="n"/>
      <c r="U489" s="38" t="n"/>
      <c r="V489" s="7" t="n"/>
      <c r="X489" s="22">
        <f>IF($B489="","",IFERROR(INDEX(Cost_Centers!$E:$E,MATCH($B489,Cost_Centers!$A:$A,0)),"(unknown)"))</f>
        <v/>
      </c>
      <c r="Y489" s="22">
        <f>IF($B489="","",IFERROR(INDEX(Cost_Centers!$D:$D,MATCH($B489,Cost_Centers!$A:$A,0)),"(unknown)"))</f>
        <v/>
      </c>
      <c r="Z489" s="22">
        <f>IF(OR($B489="",$G489&lt;&gt;"Variance vs Budget"),"",ABS(N($V489))+ROW()/1000000000)</f>
        <v/>
      </c>
    </row>
    <row r="490">
      <c r="A490" s="30">
        <f>IF($D$490="","",LEFT($D$490,FIND("|",$D$490&amp;"|")-1))</f>
        <v/>
      </c>
      <c r="B490" s="31" t="n"/>
      <c r="C490" s="30">
        <f>IF($B$490="","",IFERROR(INDEX(Cost_Centers!$B:$B,MATCH($B$490,Cost_Centers!$A:$A,0)),"(not in master)"))</f>
        <v/>
      </c>
      <c r="D490" s="31" t="n"/>
      <c r="E490" s="30">
        <f>IF($D$490="","",IFERROR(INDEX(Accounts!$D:$D,MATCH($D$490,Accounts!$A:$A,0)),"(not in master)"))</f>
        <v/>
      </c>
      <c r="F490" s="31" t="n"/>
      <c r="G490" s="30" t="inlineStr">
        <is>
          <t>Budget</t>
        </is>
      </c>
      <c r="H490" s="32">
        <f>IF($B$490="","",SUMIFS(Opex_Budget!$O:$O,Opex_Budget!$A:$A,$C$3,Opex_Budget!$E:$E,$B$490,Opex_Budget!$F:$F,$D$490,Opex_Budget!$N:$N,"JPY")*$E$5+SUMIFS(Opex_Budget!$O:$O,Opex_Budget!$A:$A,$C$3,Opex_Budget!$E:$E,$B$490,Opex_Budget!$F:$F,$D$490,Opex_Budget!$N:$N,"USD")*$F$5+SUMIFS(Opex_Budget!$O:$O,Opex_Budget!$A:$A,$C$3,Opex_Budget!$E:$E,$B$490,Opex_Budget!$F:$F,$D$490,Opex_Budget!$N:$N,"EUR")*$G$5+SUMIFS(Opex_Budget!$O:$O,Opex_Budget!$A:$A,$C$3,Opex_Budget!$E:$E,$B$490,Opex_Budget!$F:$F,$D$490,Opex_Budget!$N:$N,"GBP")*$H$5)</f>
        <v/>
      </c>
      <c r="I490" s="32">
        <f>IF($B$490="","",SUMIFS(Opex_Budget!$P:$P,Opex_Budget!$A:$A,$C$3,Opex_Budget!$E:$E,$B$490,Opex_Budget!$F:$F,$D$490,Opex_Budget!$N:$N,"JPY")*$E$5+SUMIFS(Opex_Budget!$P:$P,Opex_Budget!$A:$A,$C$3,Opex_Budget!$E:$E,$B$490,Opex_Budget!$F:$F,$D$490,Opex_Budget!$N:$N,"USD")*$F$5+SUMIFS(Opex_Budget!$P:$P,Opex_Budget!$A:$A,$C$3,Opex_Budget!$E:$E,$B$490,Opex_Budget!$F:$F,$D$490,Opex_Budget!$N:$N,"EUR")*$G$5+SUMIFS(Opex_Budget!$P:$P,Opex_Budget!$A:$A,$C$3,Opex_Budget!$E:$E,$B$490,Opex_Budget!$F:$F,$D$490,Opex_Budget!$N:$N,"GBP")*$H$5)</f>
        <v/>
      </c>
      <c r="J490" s="32">
        <f>IF($B$490="","",SUMIFS(Opex_Budget!$Q:$Q,Opex_Budget!$A:$A,$C$3,Opex_Budget!$E:$E,$B$490,Opex_Budget!$F:$F,$D$490,Opex_Budget!$N:$N,"JPY")*$E$5+SUMIFS(Opex_Budget!$Q:$Q,Opex_Budget!$A:$A,$C$3,Opex_Budget!$E:$E,$B$490,Opex_Budget!$F:$F,$D$490,Opex_Budget!$N:$N,"USD")*$F$5+SUMIFS(Opex_Budget!$Q:$Q,Opex_Budget!$A:$A,$C$3,Opex_Budget!$E:$E,$B$490,Opex_Budget!$F:$F,$D$490,Opex_Budget!$N:$N,"EUR")*$G$5+SUMIFS(Opex_Budget!$Q:$Q,Opex_Budget!$A:$A,$C$3,Opex_Budget!$E:$E,$B$490,Opex_Budget!$F:$F,$D$490,Opex_Budget!$N:$N,"GBP")*$H$5)</f>
        <v/>
      </c>
      <c r="K490" s="32">
        <f>IF($B$490="","",SUMIFS(Opex_Budget!$R:$R,Opex_Budget!$A:$A,$C$3,Opex_Budget!$E:$E,$B$490,Opex_Budget!$F:$F,$D$490,Opex_Budget!$N:$N,"JPY")*$E$5+SUMIFS(Opex_Budget!$R:$R,Opex_Budget!$A:$A,$C$3,Opex_Budget!$E:$E,$B$490,Opex_Budget!$F:$F,$D$490,Opex_Budget!$N:$N,"USD")*$F$5+SUMIFS(Opex_Budget!$R:$R,Opex_Budget!$A:$A,$C$3,Opex_Budget!$E:$E,$B$490,Opex_Budget!$F:$F,$D$490,Opex_Budget!$N:$N,"EUR")*$G$5+SUMIFS(Opex_Budget!$R:$R,Opex_Budget!$A:$A,$C$3,Opex_Budget!$E:$E,$B$490,Opex_Budget!$F:$F,$D$490,Opex_Budget!$N:$N,"GBP")*$H$5)</f>
        <v/>
      </c>
      <c r="L490" s="32">
        <f>IF($B$490="","",SUMIFS(Opex_Budget!$S:$S,Opex_Budget!$A:$A,$C$3,Opex_Budget!$E:$E,$B$490,Opex_Budget!$F:$F,$D$490,Opex_Budget!$N:$N,"JPY")*$E$5+SUMIFS(Opex_Budget!$S:$S,Opex_Budget!$A:$A,$C$3,Opex_Budget!$E:$E,$B$490,Opex_Budget!$F:$F,$D$490,Opex_Budget!$N:$N,"USD")*$F$5+SUMIFS(Opex_Budget!$S:$S,Opex_Budget!$A:$A,$C$3,Opex_Budget!$E:$E,$B$490,Opex_Budget!$F:$F,$D$490,Opex_Budget!$N:$N,"EUR")*$G$5+SUMIFS(Opex_Budget!$S:$S,Opex_Budget!$A:$A,$C$3,Opex_Budget!$E:$E,$B$490,Opex_Budget!$F:$F,$D$490,Opex_Budget!$N:$N,"GBP")*$H$5)</f>
        <v/>
      </c>
      <c r="M490" s="32">
        <f>IF($B$490="","",SUMIFS(Opex_Budget!$T:$T,Opex_Budget!$A:$A,$C$3,Opex_Budget!$E:$E,$B$490,Opex_Budget!$F:$F,$D$490,Opex_Budget!$N:$N,"JPY")*$E$5+SUMIFS(Opex_Budget!$T:$T,Opex_Budget!$A:$A,$C$3,Opex_Budget!$E:$E,$B$490,Opex_Budget!$F:$F,$D$490,Opex_Budget!$N:$N,"USD")*$F$5+SUMIFS(Opex_Budget!$T:$T,Opex_Budget!$A:$A,$C$3,Opex_Budget!$E:$E,$B$490,Opex_Budget!$F:$F,$D$490,Opex_Budget!$N:$N,"EUR")*$G$5+SUMIFS(Opex_Budget!$T:$T,Opex_Budget!$A:$A,$C$3,Opex_Budget!$E:$E,$B$490,Opex_Budget!$F:$F,$D$490,Opex_Budget!$N:$N,"GBP")*$H$5)</f>
        <v/>
      </c>
      <c r="N490" s="32">
        <f>IF($B$490="","",SUMIFS(Opex_Budget!$U:$U,Opex_Budget!$A:$A,$C$3,Opex_Budget!$E:$E,$B$490,Opex_Budget!$F:$F,$D$490,Opex_Budget!$N:$N,"JPY")*$E$5+SUMIFS(Opex_Budget!$U:$U,Opex_Budget!$A:$A,$C$3,Opex_Budget!$E:$E,$B$490,Opex_Budget!$F:$F,$D$490,Opex_Budget!$N:$N,"USD")*$F$5+SUMIFS(Opex_Budget!$U:$U,Opex_Budget!$A:$A,$C$3,Opex_Budget!$E:$E,$B$490,Opex_Budget!$F:$F,$D$490,Opex_Budget!$N:$N,"EUR")*$G$5+SUMIFS(Opex_Budget!$U:$U,Opex_Budget!$A:$A,$C$3,Opex_Budget!$E:$E,$B$490,Opex_Budget!$F:$F,$D$490,Opex_Budget!$N:$N,"GBP")*$H$5)</f>
        <v/>
      </c>
      <c r="O490" s="32">
        <f>IF($B$490="","",SUMIFS(Opex_Budget!$V:$V,Opex_Budget!$A:$A,$C$3,Opex_Budget!$E:$E,$B$490,Opex_Budget!$F:$F,$D$490,Opex_Budget!$N:$N,"JPY")*$E$5+SUMIFS(Opex_Budget!$V:$V,Opex_Budget!$A:$A,$C$3,Opex_Budget!$E:$E,$B$490,Opex_Budget!$F:$F,$D$490,Opex_Budget!$N:$N,"USD")*$F$5+SUMIFS(Opex_Budget!$V:$V,Opex_Budget!$A:$A,$C$3,Opex_Budget!$E:$E,$B$490,Opex_Budget!$F:$F,$D$490,Opex_Budget!$N:$N,"EUR")*$G$5+SUMIFS(Opex_Budget!$V:$V,Opex_Budget!$A:$A,$C$3,Opex_Budget!$E:$E,$B$490,Opex_Budget!$F:$F,$D$490,Opex_Budget!$N:$N,"GBP")*$H$5)</f>
        <v/>
      </c>
      <c r="P490" s="32">
        <f>IF($B$490="","",SUMIFS(Opex_Budget!$W:$W,Opex_Budget!$A:$A,$C$3,Opex_Budget!$E:$E,$B$490,Opex_Budget!$F:$F,$D$490,Opex_Budget!$N:$N,"JPY")*$E$5+SUMIFS(Opex_Budget!$W:$W,Opex_Budget!$A:$A,$C$3,Opex_Budget!$E:$E,$B$490,Opex_Budget!$F:$F,$D$490,Opex_Budget!$N:$N,"USD")*$F$5+SUMIFS(Opex_Budget!$W:$W,Opex_Budget!$A:$A,$C$3,Opex_Budget!$E:$E,$B$490,Opex_Budget!$F:$F,$D$490,Opex_Budget!$N:$N,"EUR")*$G$5+SUMIFS(Opex_Budget!$W:$W,Opex_Budget!$A:$A,$C$3,Opex_Budget!$E:$E,$B$490,Opex_Budget!$F:$F,$D$490,Opex_Budget!$N:$N,"GBP")*$H$5)</f>
        <v/>
      </c>
      <c r="Q490" s="32">
        <f>IF($B$490="","",SUMIFS(Opex_Budget!$X:$X,Opex_Budget!$A:$A,$C$3,Opex_Budget!$E:$E,$B$490,Opex_Budget!$F:$F,$D$490,Opex_Budget!$N:$N,"JPY")*$E$5+SUMIFS(Opex_Budget!$X:$X,Opex_Budget!$A:$A,$C$3,Opex_Budget!$E:$E,$B$490,Opex_Budget!$F:$F,$D$490,Opex_Budget!$N:$N,"USD")*$F$5+SUMIFS(Opex_Budget!$X:$X,Opex_Budget!$A:$A,$C$3,Opex_Budget!$E:$E,$B$490,Opex_Budget!$F:$F,$D$490,Opex_Budget!$N:$N,"EUR")*$G$5+SUMIFS(Opex_Budget!$X:$X,Opex_Budget!$A:$A,$C$3,Opex_Budget!$E:$E,$B$490,Opex_Budget!$F:$F,$D$490,Opex_Budget!$N:$N,"GBP")*$H$5)</f>
        <v/>
      </c>
      <c r="R490" s="32">
        <f>IF($B$490="","",SUMIFS(Opex_Budget!$Y:$Y,Opex_Budget!$A:$A,$C$3,Opex_Budget!$E:$E,$B$490,Opex_Budget!$F:$F,$D$490,Opex_Budget!$N:$N,"JPY")*$E$5+SUMIFS(Opex_Budget!$Y:$Y,Opex_Budget!$A:$A,$C$3,Opex_Budget!$E:$E,$B$490,Opex_Budget!$F:$F,$D$490,Opex_Budget!$N:$N,"USD")*$F$5+SUMIFS(Opex_Budget!$Y:$Y,Opex_Budget!$A:$A,$C$3,Opex_Budget!$E:$E,$B$490,Opex_Budget!$F:$F,$D$490,Opex_Budget!$N:$N,"EUR")*$G$5+SUMIFS(Opex_Budget!$Y:$Y,Opex_Budget!$A:$A,$C$3,Opex_Budget!$E:$E,$B$490,Opex_Budget!$F:$F,$D$490,Opex_Budget!$N:$N,"GBP")*$H$5)</f>
        <v/>
      </c>
      <c r="S490" s="32">
        <f>IF($B$490="","",SUMIFS(Opex_Budget!$Z:$Z,Opex_Budget!$A:$A,$C$3,Opex_Budget!$E:$E,$B$490,Opex_Budget!$F:$F,$D$490,Opex_Budget!$N:$N,"JPY")*$E$5+SUMIFS(Opex_Budget!$Z:$Z,Opex_Budget!$A:$A,$C$3,Opex_Budget!$E:$E,$B$490,Opex_Budget!$F:$F,$D$490,Opex_Budget!$N:$N,"USD")*$F$5+SUMIFS(Opex_Budget!$Z:$Z,Opex_Budget!$A:$A,$C$3,Opex_Budget!$E:$E,$B$490,Opex_Budget!$F:$F,$D$490,Opex_Budget!$N:$N,"EUR")*$G$5+SUMIFS(Opex_Budget!$Z:$Z,Opex_Budget!$A:$A,$C$3,Opex_Budget!$E:$E,$B$490,Opex_Budget!$F:$F,$D$490,Opex_Budget!$N:$N,"GBP")*$H$5)</f>
        <v/>
      </c>
      <c r="T490" s="32">
        <f>IF($B$490="","",SUMIF($H$7:$S$7,"&lt;="&amp;$C$4,$H490:$S490))</f>
        <v/>
      </c>
      <c r="U490" s="32">
        <f>IF($B$490="","",SUMIF($H$7:$S$7,"&gt;"&amp;$C$4,$H490:$S490))</f>
        <v/>
      </c>
      <c r="V490" s="32">
        <f>IF($B$490="","",SUM($H490:$S490))</f>
        <v/>
      </c>
      <c r="X490" s="22">
        <f>IF($B490="","",IFERROR(INDEX(Cost_Centers!$E:$E,MATCH($B490,Cost_Centers!$A:$A,0)),"(unknown)"))</f>
        <v/>
      </c>
      <c r="Y490" s="22">
        <f>IF($B490="","",IFERROR(INDEX(Cost_Centers!$D:$D,MATCH($B490,Cost_Centers!$A:$A,0)),"(unknown)"))</f>
        <v/>
      </c>
      <c r="Z490" s="22">
        <f>IF(OR($B490="",$G490&lt;&gt;"Variance vs Budget"),"",ABS(N($V490))+ROW()/1000000000)</f>
        <v/>
      </c>
    </row>
    <row r="491">
      <c r="A491" s="13">
        <f>IF(A$490="","",A$490)</f>
        <v/>
      </c>
      <c r="B491" s="13">
        <f>IF(B$490="","",B$490)</f>
        <v/>
      </c>
      <c r="C491" s="13">
        <f>IF(C$490="","",C$490)</f>
        <v/>
      </c>
      <c r="D491" s="13">
        <f>IF(D$490="","",D$490)</f>
        <v/>
      </c>
      <c r="E491" s="13">
        <f>IF(E$490="","",E$490)</f>
        <v/>
      </c>
      <c r="F491" s="13">
        <f>IF(F$490="","",F$490)</f>
        <v/>
      </c>
      <c r="G491" s="7" t="inlineStr">
        <is>
          <t>Actual</t>
        </is>
      </c>
      <c r="H491" s="18">
        <f>IF(OR($B$490="",1&gt;$C$4),"",SUMIFS(Actuals!$G:$G,Actuals!$B:$B,$C$3,Actuals!$C:$C,1,Actuals!$D:$D,$B$490,Actuals!$A:$A,LEFT($D$490,FIND("|",$D$490&amp;"|")-1),Actuals!$E:$E,MID($D$490,FIND("|",$D$490&amp;"|")+1,50),Actuals!$F:$F,"JPY")*$E$5+SUMIFS(Actuals!$G:$G,Actuals!$B:$B,$C$3,Actuals!$C:$C,1,Actuals!$D:$D,$B$490,Actuals!$A:$A,LEFT($D$490,FIND("|",$D$490&amp;"|")-1),Actuals!$E:$E,MID($D$490,FIND("|",$D$490&amp;"|")+1,50),Actuals!$F:$F,"USD")*$F$5+SUMIFS(Actuals!$G:$G,Actuals!$B:$B,$C$3,Actuals!$C:$C,1,Actuals!$D:$D,$B$490,Actuals!$A:$A,LEFT($D$490,FIND("|",$D$490&amp;"|")-1),Actuals!$E:$E,MID($D$490,FIND("|",$D$490&amp;"|")+1,50),Actuals!$F:$F,"EUR")*$G$5+SUMIFS(Actuals!$G:$G,Actuals!$B:$B,$C$3,Actuals!$C:$C,1,Actuals!$D:$D,$B$490,Actuals!$A:$A,LEFT($D$490,FIND("|",$D$490&amp;"|")-1),Actuals!$E:$E,MID($D$490,FIND("|",$D$490&amp;"|")+1,50),Actuals!$F:$F,"GBP")*$H$5)</f>
        <v/>
      </c>
      <c r="I491" s="18">
        <f>IF(OR($B$490="",2&gt;$C$4),"",SUMIFS(Actuals!$G:$G,Actuals!$B:$B,$C$3,Actuals!$C:$C,2,Actuals!$D:$D,$B$490,Actuals!$A:$A,LEFT($D$490,FIND("|",$D$490&amp;"|")-1),Actuals!$E:$E,MID($D$490,FIND("|",$D$490&amp;"|")+1,50),Actuals!$F:$F,"JPY")*$E$5+SUMIFS(Actuals!$G:$G,Actuals!$B:$B,$C$3,Actuals!$C:$C,2,Actuals!$D:$D,$B$490,Actuals!$A:$A,LEFT($D$490,FIND("|",$D$490&amp;"|")-1),Actuals!$E:$E,MID($D$490,FIND("|",$D$490&amp;"|")+1,50),Actuals!$F:$F,"USD")*$F$5+SUMIFS(Actuals!$G:$G,Actuals!$B:$B,$C$3,Actuals!$C:$C,2,Actuals!$D:$D,$B$490,Actuals!$A:$A,LEFT($D$490,FIND("|",$D$490&amp;"|")-1),Actuals!$E:$E,MID($D$490,FIND("|",$D$490&amp;"|")+1,50),Actuals!$F:$F,"EUR")*$G$5+SUMIFS(Actuals!$G:$G,Actuals!$B:$B,$C$3,Actuals!$C:$C,2,Actuals!$D:$D,$B$490,Actuals!$A:$A,LEFT($D$490,FIND("|",$D$490&amp;"|")-1),Actuals!$E:$E,MID($D$490,FIND("|",$D$490&amp;"|")+1,50),Actuals!$F:$F,"GBP")*$H$5)</f>
        <v/>
      </c>
      <c r="J491" s="18">
        <f>IF(OR($B$490="",3&gt;$C$4),"",SUMIFS(Actuals!$G:$G,Actuals!$B:$B,$C$3,Actuals!$C:$C,3,Actuals!$D:$D,$B$490,Actuals!$A:$A,LEFT($D$490,FIND("|",$D$490&amp;"|")-1),Actuals!$E:$E,MID($D$490,FIND("|",$D$490&amp;"|")+1,50),Actuals!$F:$F,"JPY")*$E$5+SUMIFS(Actuals!$G:$G,Actuals!$B:$B,$C$3,Actuals!$C:$C,3,Actuals!$D:$D,$B$490,Actuals!$A:$A,LEFT($D$490,FIND("|",$D$490&amp;"|")-1),Actuals!$E:$E,MID($D$490,FIND("|",$D$490&amp;"|")+1,50),Actuals!$F:$F,"USD")*$F$5+SUMIFS(Actuals!$G:$G,Actuals!$B:$B,$C$3,Actuals!$C:$C,3,Actuals!$D:$D,$B$490,Actuals!$A:$A,LEFT($D$490,FIND("|",$D$490&amp;"|")-1),Actuals!$E:$E,MID($D$490,FIND("|",$D$490&amp;"|")+1,50),Actuals!$F:$F,"EUR")*$G$5+SUMIFS(Actuals!$G:$G,Actuals!$B:$B,$C$3,Actuals!$C:$C,3,Actuals!$D:$D,$B$490,Actuals!$A:$A,LEFT($D$490,FIND("|",$D$490&amp;"|")-1),Actuals!$E:$E,MID($D$490,FIND("|",$D$490&amp;"|")+1,50),Actuals!$F:$F,"GBP")*$H$5)</f>
        <v/>
      </c>
      <c r="K491" s="18">
        <f>IF(OR($B$490="",4&gt;$C$4),"",SUMIFS(Actuals!$G:$G,Actuals!$B:$B,$C$3,Actuals!$C:$C,4,Actuals!$D:$D,$B$490,Actuals!$A:$A,LEFT($D$490,FIND("|",$D$490&amp;"|")-1),Actuals!$E:$E,MID($D$490,FIND("|",$D$490&amp;"|")+1,50),Actuals!$F:$F,"JPY")*$E$5+SUMIFS(Actuals!$G:$G,Actuals!$B:$B,$C$3,Actuals!$C:$C,4,Actuals!$D:$D,$B$490,Actuals!$A:$A,LEFT($D$490,FIND("|",$D$490&amp;"|")-1),Actuals!$E:$E,MID($D$490,FIND("|",$D$490&amp;"|")+1,50),Actuals!$F:$F,"USD")*$F$5+SUMIFS(Actuals!$G:$G,Actuals!$B:$B,$C$3,Actuals!$C:$C,4,Actuals!$D:$D,$B$490,Actuals!$A:$A,LEFT($D$490,FIND("|",$D$490&amp;"|")-1),Actuals!$E:$E,MID($D$490,FIND("|",$D$490&amp;"|")+1,50),Actuals!$F:$F,"EUR")*$G$5+SUMIFS(Actuals!$G:$G,Actuals!$B:$B,$C$3,Actuals!$C:$C,4,Actuals!$D:$D,$B$490,Actuals!$A:$A,LEFT($D$490,FIND("|",$D$490&amp;"|")-1),Actuals!$E:$E,MID($D$490,FIND("|",$D$490&amp;"|")+1,50),Actuals!$F:$F,"GBP")*$H$5)</f>
        <v/>
      </c>
      <c r="L491" s="18">
        <f>IF(OR($B$490="",5&gt;$C$4),"",SUMIFS(Actuals!$G:$G,Actuals!$B:$B,$C$3,Actuals!$C:$C,5,Actuals!$D:$D,$B$490,Actuals!$A:$A,LEFT($D$490,FIND("|",$D$490&amp;"|")-1),Actuals!$E:$E,MID($D$490,FIND("|",$D$490&amp;"|")+1,50),Actuals!$F:$F,"JPY")*$E$5+SUMIFS(Actuals!$G:$G,Actuals!$B:$B,$C$3,Actuals!$C:$C,5,Actuals!$D:$D,$B$490,Actuals!$A:$A,LEFT($D$490,FIND("|",$D$490&amp;"|")-1),Actuals!$E:$E,MID($D$490,FIND("|",$D$490&amp;"|")+1,50),Actuals!$F:$F,"USD")*$F$5+SUMIFS(Actuals!$G:$G,Actuals!$B:$B,$C$3,Actuals!$C:$C,5,Actuals!$D:$D,$B$490,Actuals!$A:$A,LEFT($D$490,FIND("|",$D$490&amp;"|")-1),Actuals!$E:$E,MID($D$490,FIND("|",$D$490&amp;"|")+1,50),Actuals!$F:$F,"EUR")*$G$5+SUMIFS(Actuals!$G:$G,Actuals!$B:$B,$C$3,Actuals!$C:$C,5,Actuals!$D:$D,$B$490,Actuals!$A:$A,LEFT($D$490,FIND("|",$D$490&amp;"|")-1),Actuals!$E:$E,MID($D$490,FIND("|",$D$490&amp;"|")+1,50),Actuals!$F:$F,"GBP")*$H$5)</f>
        <v/>
      </c>
      <c r="M491" s="18">
        <f>IF(OR($B$490="",6&gt;$C$4),"",SUMIFS(Actuals!$G:$G,Actuals!$B:$B,$C$3,Actuals!$C:$C,6,Actuals!$D:$D,$B$490,Actuals!$A:$A,LEFT($D$490,FIND("|",$D$490&amp;"|")-1),Actuals!$E:$E,MID($D$490,FIND("|",$D$490&amp;"|")+1,50),Actuals!$F:$F,"JPY")*$E$5+SUMIFS(Actuals!$G:$G,Actuals!$B:$B,$C$3,Actuals!$C:$C,6,Actuals!$D:$D,$B$490,Actuals!$A:$A,LEFT($D$490,FIND("|",$D$490&amp;"|")-1),Actuals!$E:$E,MID($D$490,FIND("|",$D$490&amp;"|")+1,50),Actuals!$F:$F,"USD")*$F$5+SUMIFS(Actuals!$G:$G,Actuals!$B:$B,$C$3,Actuals!$C:$C,6,Actuals!$D:$D,$B$490,Actuals!$A:$A,LEFT($D$490,FIND("|",$D$490&amp;"|")-1),Actuals!$E:$E,MID($D$490,FIND("|",$D$490&amp;"|")+1,50),Actuals!$F:$F,"EUR")*$G$5+SUMIFS(Actuals!$G:$G,Actuals!$B:$B,$C$3,Actuals!$C:$C,6,Actuals!$D:$D,$B$490,Actuals!$A:$A,LEFT($D$490,FIND("|",$D$490&amp;"|")-1),Actuals!$E:$E,MID($D$490,FIND("|",$D$490&amp;"|")+1,50),Actuals!$F:$F,"GBP")*$H$5)</f>
        <v/>
      </c>
      <c r="N491" s="18">
        <f>IF(OR($B$490="",7&gt;$C$4),"",SUMIFS(Actuals!$G:$G,Actuals!$B:$B,$C$3,Actuals!$C:$C,7,Actuals!$D:$D,$B$490,Actuals!$A:$A,LEFT($D$490,FIND("|",$D$490&amp;"|")-1),Actuals!$E:$E,MID($D$490,FIND("|",$D$490&amp;"|")+1,50),Actuals!$F:$F,"JPY")*$E$5+SUMIFS(Actuals!$G:$G,Actuals!$B:$B,$C$3,Actuals!$C:$C,7,Actuals!$D:$D,$B$490,Actuals!$A:$A,LEFT($D$490,FIND("|",$D$490&amp;"|")-1),Actuals!$E:$E,MID($D$490,FIND("|",$D$490&amp;"|")+1,50),Actuals!$F:$F,"USD")*$F$5+SUMIFS(Actuals!$G:$G,Actuals!$B:$B,$C$3,Actuals!$C:$C,7,Actuals!$D:$D,$B$490,Actuals!$A:$A,LEFT($D$490,FIND("|",$D$490&amp;"|")-1),Actuals!$E:$E,MID($D$490,FIND("|",$D$490&amp;"|")+1,50),Actuals!$F:$F,"EUR")*$G$5+SUMIFS(Actuals!$G:$G,Actuals!$B:$B,$C$3,Actuals!$C:$C,7,Actuals!$D:$D,$B$490,Actuals!$A:$A,LEFT($D$490,FIND("|",$D$490&amp;"|")-1),Actuals!$E:$E,MID($D$490,FIND("|",$D$490&amp;"|")+1,50),Actuals!$F:$F,"GBP")*$H$5)</f>
        <v/>
      </c>
      <c r="O491" s="18">
        <f>IF(OR($B$490="",8&gt;$C$4),"",SUMIFS(Actuals!$G:$G,Actuals!$B:$B,$C$3,Actuals!$C:$C,8,Actuals!$D:$D,$B$490,Actuals!$A:$A,LEFT($D$490,FIND("|",$D$490&amp;"|")-1),Actuals!$E:$E,MID($D$490,FIND("|",$D$490&amp;"|")+1,50),Actuals!$F:$F,"JPY")*$E$5+SUMIFS(Actuals!$G:$G,Actuals!$B:$B,$C$3,Actuals!$C:$C,8,Actuals!$D:$D,$B$490,Actuals!$A:$A,LEFT($D$490,FIND("|",$D$490&amp;"|")-1),Actuals!$E:$E,MID($D$490,FIND("|",$D$490&amp;"|")+1,50),Actuals!$F:$F,"USD")*$F$5+SUMIFS(Actuals!$G:$G,Actuals!$B:$B,$C$3,Actuals!$C:$C,8,Actuals!$D:$D,$B$490,Actuals!$A:$A,LEFT($D$490,FIND("|",$D$490&amp;"|")-1),Actuals!$E:$E,MID($D$490,FIND("|",$D$490&amp;"|")+1,50),Actuals!$F:$F,"EUR")*$G$5+SUMIFS(Actuals!$G:$G,Actuals!$B:$B,$C$3,Actuals!$C:$C,8,Actuals!$D:$D,$B$490,Actuals!$A:$A,LEFT($D$490,FIND("|",$D$490&amp;"|")-1),Actuals!$E:$E,MID($D$490,FIND("|",$D$490&amp;"|")+1,50),Actuals!$F:$F,"GBP")*$H$5)</f>
        <v/>
      </c>
      <c r="P491" s="18">
        <f>IF(OR($B$490="",9&gt;$C$4),"",SUMIFS(Actuals!$G:$G,Actuals!$B:$B,$C$3,Actuals!$C:$C,9,Actuals!$D:$D,$B$490,Actuals!$A:$A,LEFT($D$490,FIND("|",$D$490&amp;"|")-1),Actuals!$E:$E,MID($D$490,FIND("|",$D$490&amp;"|")+1,50),Actuals!$F:$F,"JPY")*$E$5+SUMIFS(Actuals!$G:$G,Actuals!$B:$B,$C$3,Actuals!$C:$C,9,Actuals!$D:$D,$B$490,Actuals!$A:$A,LEFT($D$490,FIND("|",$D$490&amp;"|")-1),Actuals!$E:$E,MID($D$490,FIND("|",$D$490&amp;"|")+1,50),Actuals!$F:$F,"USD")*$F$5+SUMIFS(Actuals!$G:$G,Actuals!$B:$B,$C$3,Actuals!$C:$C,9,Actuals!$D:$D,$B$490,Actuals!$A:$A,LEFT($D$490,FIND("|",$D$490&amp;"|")-1),Actuals!$E:$E,MID($D$490,FIND("|",$D$490&amp;"|")+1,50),Actuals!$F:$F,"EUR")*$G$5+SUMIFS(Actuals!$G:$G,Actuals!$B:$B,$C$3,Actuals!$C:$C,9,Actuals!$D:$D,$B$490,Actuals!$A:$A,LEFT($D$490,FIND("|",$D$490&amp;"|")-1),Actuals!$E:$E,MID($D$490,FIND("|",$D$490&amp;"|")+1,50),Actuals!$F:$F,"GBP")*$H$5)</f>
        <v/>
      </c>
      <c r="Q491" s="18">
        <f>IF(OR($B$490="",10&gt;$C$4),"",SUMIFS(Actuals!$G:$G,Actuals!$B:$B,$C$3,Actuals!$C:$C,10,Actuals!$D:$D,$B$490,Actuals!$A:$A,LEFT($D$490,FIND("|",$D$490&amp;"|")-1),Actuals!$E:$E,MID($D$490,FIND("|",$D$490&amp;"|")+1,50),Actuals!$F:$F,"JPY")*$E$5+SUMIFS(Actuals!$G:$G,Actuals!$B:$B,$C$3,Actuals!$C:$C,10,Actuals!$D:$D,$B$490,Actuals!$A:$A,LEFT($D$490,FIND("|",$D$490&amp;"|")-1),Actuals!$E:$E,MID($D$490,FIND("|",$D$490&amp;"|")+1,50),Actuals!$F:$F,"USD")*$F$5+SUMIFS(Actuals!$G:$G,Actuals!$B:$B,$C$3,Actuals!$C:$C,10,Actuals!$D:$D,$B$490,Actuals!$A:$A,LEFT($D$490,FIND("|",$D$490&amp;"|")-1),Actuals!$E:$E,MID($D$490,FIND("|",$D$490&amp;"|")+1,50),Actuals!$F:$F,"EUR")*$G$5+SUMIFS(Actuals!$G:$G,Actuals!$B:$B,$C$3,Actuals!$C:$C,10,Actuals!$D:$D,$B$490,Actuals!$A:$A,LEFT($D$490,FIND("|",$D$490&amp;"|")-1),Actuals!$E:$E,MID($D$490,FIND("|",$D$490&amp;"|")+1,50),Actuals!$F:$F,"GBP")*$H$5)</f>
        <v/>
      </c>
      <c r="R491" s="18">
        <f>IF(OR($B$490="",11&gt;$C$4),"",SUMIFS(Actuals!$G:$G,Actuals!$B:$B,$C$3,Actuals!$C:$C,11,Actuals!$D:$D,$B$490,Actuals!$A:$A,LEFT($D$490,FIND("|",$D$490&amp;"|")-1),Actuals!$E:$E,MID($D$490,FIND("|",$D$490&amp;"|")+1,50),Actuals!$F:$F,"JPY")*$E$5+SUMIFS(Actuals!$G:$G,Actuals!$B:$B,$C$3,Actuals!$C:$C,11,Actuals!$D:$D,$B$490,Actuals!$A:$A,LEFT($D$490,FIND("|",$D$490&amp;"|")-1),Actuals!$E:$E,MID($D$490,FIND("|",$D$490&amp;"|")+1,50),Actuals!$F:$F,"USD")*$F$5+SUMIFS(Actuals!$G:$G,Actuals!$B:$B,$C$3,Actuals!$C:$C,11,Actuals!$D:$D,$B$490,Actuals!$A:$A,LEFT($D$490,FIND("|",$D$490&amp;"|")-1),Actuals!$E:$E,MID($D$490,FIND("|",$D$490&amp;"|")+1,50),Actuals!$F:$F,"EUR")*$G$5+SUMIFS(Actuals!$G:$G,Actuals!$B:$B,$C$3,Actuals!$C:$C,11,Actuals!$D:$D,$B$490,Actuals!$A:$A,LEFT($D$490,FIND("|",$D$490&amp;"|")-1),Actuals!$E:$E,MID($D$490,FIND("|",$D$490&amp;"|")+1,50),Actuals!$F:$F,"GBP")*$H$5)</f>
        <v/>
      </c>
      <c r="S491" s="18">
        <f>IF(OR($B$490="",12&gt;$C$4),"",SUMIFS(Actuals!$G:$G,Actuals!$B:$B,$C$3,Actuals!$C:$C,12,Actuals!$D:$D,$B$490,Actuals!$A:$A,LEFT($D$490,FIND("|",$D$490&amp;"|")-1),Actuals!$E:$E,MID($D$490,FIND("|",$D$490&amp;"|")+1,50),Actuals!$F:$F,"JPY")*$E$5+SUMIFS(Actuals!$G:$G,Actuals!$B:$B,$C$3,Actuals!$C:$C,12,Actuals!$D:$D,$B$490,Actuals!$A:$A,LEFT($D$490,FIND("|",$D$490&amp;"|")-1),Actuals!$E:$E,MID($D$490,FIND("|",$D$490&amp;"|")+1,50),Actuals!$F:$F,"USD")*$F$5+SUMIFS(Actuals!$G:$G,Actuals!$B:$B,$C$3,Actuals!$C:$C,12,Actuals!$D:$D,$B$490,Actuals!$A:$A,LEFT($D$490,FIND("|",$D$490&amp;"|")-1),Actuals!$E:$E,MID($D$490,FIND("|",$D$490&amp;"|")+1,50),Actuals!$F:$F,"EUR")*$G$5+SUMIFS(Actuals!$G:$G,Actuals!$B:$B,$C$3,Actuals!$C:$C,12,Actuals!$D:$D,$B$490,Actuals!$A:$A,LEFT($D$490,FIND("|",$D$490&amp;"|")-1),Actuals!$E:$E,MID($D$490,FIND("|",$D$490&amp;"|")+1,50),Actuals!$F:$F,"GBP")*$H$5)</f>
        <v/>
      </c>
      <c r="T491" s="18">
        <f>IF($B$490="","",SUMIF($H$7:$S$7,"&lt;="&amp;$C$4,$H491:$S491))</f>
        <v/>
      </c>
      <c r="U491" s="18" t="n"/>
      <c r="V491" s="18" t="n"/>
      <c r="X491" s="22">
        <f>IF($B491="","",IFERROR(INDEX(Cost_Centers!$E:$E,MATCH($B491,Cost_Centers!$A:$A,0)),"(unknown)"))</f>
        <v/>
      </c>
      <c r="Y491" s="22">
        <f>IF($B491="","",IFERROR(INDEX(Cost_Centers!$D:$D,MATCH($B491,Cost_Centers!$A:$A,0)),"(unknown)"))</f>
        <v/>
      </c>
      <c r="Z491" s="22">
        <f>IF(OR($B491="",$G491&lt;&gt;"Variance vs Budget"),"",ABS(N($V491))+ROW()/1000000000)</f>
        <v/>
      </c>
    </row>
    <row r="492">
      <c r="A492" s="13">
        <f>IF(A$490="","",A$490)</f>
        <v/>
      </c>
      <c r="B492" s="13">
        <f>IF(B$490="","",B$490)</f>
        <v/>
      </c>
      <c r="C492" s="13">
        <f>IF(C$490="","",C$490)</f>
        <v/>
      </c>
      <c r="D492" s="13">
        <f>IF(D$490="","",D$490)</f>
        <v/>
      </c>
      <c r="E492" s="13">
        <f>IF(E$490="","",E$490)</f>
        <v/>
      </c>
      <c r="F492" s="13">
        <f>IF(F$490="","",F$490)</f>
        <v/>
      </c>
      <c r="G492" s="6" t="inlineStr">
        <is>
          <t>Variance vs Budget</t>
        </is>
      </c>
      <c r="H492" s="33">
        <f>IF(OR($B$490="",1&gt;$C$4),"",N(H491)-H490)</f>
        <v/>
      </c>
      <c r="I492" s="33">
        <f>IF(OR($B$490="",2&gt;$C$4),"",N(I491)-I490)</f>
        <v/>
      </c>
      <c r="J492" s="33">
        <f>IF(OR($B$490="",3&gt;$C$4),"",N(J491)-J490)</f>
        <v/>
      </c>
      <c r="K492" s="33">
        <f>IF(OR($B$490="",4&gt;$C$4),"",N(K491)-K490)</f>
        <v/>
      </c>
      <c r="L492" s="33">
        <f>IF(OR($B$490="",5&gt;$C$4),"",N(L491)-L490)</f>
        <v/>
      </c>
      <c r="M492" s="33">
        <f>IF(OR($B$490="",6&gt;$C$4),"",N(M491)-M490)</f>
        <v/>
      </c>
      <c r="N492" s="33">
        <f>IF(OR($B$490="",7&gt;$C$4),"",N(N491)-N490)</f>
        <v/>
      </c>
      <c r="O492" s="33">
        <f>IF(OR($B$490="",8&gt;$C$4),"",N(O491)-O490)</f>
        <v/>
      </c>
      <c r="P492" s="33">
        <f>IF(OR($B$490="",9&gt;$C$4),"",N(P491)-P490)</f>
        <v/>
      </c>
      <c r="Q492" s="33">
        <f>IF(OR($B$490="",10&gt;$C$4),"",N(Q491)-Q490)</f>
        <v/>
      </c>
      <c r="R492" s="33">
        <f>IF(OR($B$490="",11&gt;$C$4),"",N(R491)-R490)</f>
        <v/>
      </c>
      <c r="S492" s="33">
        <f>IF(OR($B$490="",12&gt;$C$4),"",N(S491)-S490)</f>
        <v/>
      </c>
      <c r="T492" s="33">
        <f>IF($B$490="","",T491-T490)</f>
        <v/>
      </c>
      <c r="U492" s="33">
        <f>IF($B$490="","",U494-U490)</f>
        <v/>
      </c>
      <c r="V492" s="33">
        <f>IF($B$490="","",V494-V490)</f>
        <v/>
      </c>
      <c r="X492" s="22">
        <f>IF($B492="","",IFERROR(INDEX(Cost_Centers!$E:$E,MATCH($B492,Cost_Centers!$A:$A,0)),"(unknown)"))</f>
        <v/>
      </c>
      <c r="Y492" s="22">
        <f>IF($B492="","",IFERROR(INDEX(Cost_Centers!$D:$D,MATCH($B492,Cost_Centers!$A:$A,0)),"(unknown)"))</f>
        <v/>
      </c>
      <c r="Z492" s="22">
        <f>IF(OR($B492="",$G492&lt;&gt;"Variance vs Budget"),"",ABS(N($V492))+ROW()/1000000000)</f>
        <v/>
      </c>
    </row>
    <row r="493">
      <c r="A493" s="13">
        <f>IF(A$490="","",A$490)</f>
        <v/>
      </c>
      <c r="B493" s="13">
        <f>IF(B$490="","",B$490)</f>
        <v/>
      </c>
      <c r="C493" s="13">
        <f>IF(C$490="","",C$490)</f>
        <v/>
      </c>
      <c r="D493" s="13">
        <f>IF(D$490="","",D$490)</f>
        <v/>
      </c>
      <c r="E493" s="13">
        <f>IF(E$490="","",E$490)</f>
        <v/>
      </c>
      <c r="F493" s="13">
        <f>IF(F$490="","",F$490)</f>
        <v/>
      </c>
      <c r="G493" s="7" t="inlineStr">
        <is>
          <t>Forecast (input)</t>
        </is>
      </c>
      <c r="H493" s="34" t="n"/>
      <c r="I493" s="34" t="n"/>
      <c r="J493" s="34" t="n"/>
      <c r="K493" s="34" t="n"/>
      <c r="L493" s="34" t="n"/>
      <c r="M493" s="34" t="n"/>
      <c r="N493" s="34" t="n"/>
      <c r="O493" s="34" t="n"/>
      <c r="P493" s="34" t="n"/>
      <c r="Q493" s="34" t="n"/>
      <c r="R493" s="34" t="n"/>
      <c r="S493" s="34" t="n"/>
      <c r="T493" s="18" t="n"/>
      <c r="U493" s="18" t="n"/>
      <c r="V493" s="18" t="n"/>
      <c r="X493" s="22">
        <f>IF($B493="","",IFERROR(INDEX(Cost_Centers!$E:$E,MATCH($B493,Cost_Centers!$A:$A,0)),"(unknown)"))</f>
        <v/>
      </c>
      <c r="Y493" s="22">
        <f>IF($B493="","",IFERROR(INDEX(Cost_Centers!$D:$D,MATCH($B493,Cost_Centers!$A:$A,0)),"(unknown)"))</f>
        <v/>
      </c>
      <c r="Z493" s="22">
        <f>IF(OR($B493="",$G493&lt;&gt;"Variance vs Budget"),"",ABS(N($V493))+ROW()/1000000000)</f>
        <v/>
      </c>
    </row>
    <row r="494">
      <c r="A494" s="13">
        <f>IF(A$490="","",A$490)</f>
        <v/>
      </c>
      <c r="B494" s="13">
        <f>IF(B$490="","",B$490)</f>
        <v/>
      </c>
      <c r="C494" s="13">
        <f>IF(C$490="","",C$490)</f>
        <v/>
      </c>
      <c r="D494" s="13">
        <f>IF(D$490="","",D$490)</f>
        <v/>
      </c>
      <c r="E494" s="13">
        <f>IF(E$490="","",E$490)</f>
        <v/>
      </c>
      <c r="F494" s="13">
        <f>IF(F$490="","",F$490)</f>
        <v/>
      </c>
      <c r="G494" s="35" t="inlineStr">
        <is>
          <t>Actual + Forecast</t>
        </is>
      </c>
      <c r="H494" s="18">
        <f>IF($B$490="","",IF(1&lt;=$C$4,N(H491),IF(H493="",H490,H493)))</f>
        <v/>
      </c>
      <c r="I494" s="18">
        <f>IF($B$490="","",IF(2&lt;=$C$4,N(I491),IF(I493="",I490,I493)))</f>
        <v/>
      </c>
      <c r="J494" s="18">
        <f>IF($B$490="","",IF(3&lt;=$C$4,N(J491),IF(J493="",J490,J493)))</f>
        <v/>
      </c>
      <c r="K494" s="18">
        <f>IF($B$490="","",IF(4&lt;=$C$4,N(K491),IF(K493="",K490,K493)))</f>
        <v/>
      </c>
      <c r="L494" s="18">
        <f>IF($B$490="","",IF(5&lt;=$C$4,N(L491),IF(L493="",L490,L493)))</f>
        <v/>
      </c>
      <c r="M494" s="18">
        <f>IF($B$490="","",IF(6&lt;=$C$4,N(M491),IF(M493="",M490,M493)))</f>
        <v/>
      </c>
      <c r="N494" s="18">
        <f>IF($B$490="","",IF(7&lt;=$C$4,N(N491),IF(N493="",N490,N493)))</f>
        <v/>
      </c>
      <c r="O494" s="18">
        <f>IF($B$490="","",IF(8&lt;=$C$4,N(O491),IF(O493="",O490,O493)))</f>
        <v/>
      </c>
      <c r="P494" s="18">
        <f>IF($B$490="","",IF(9&lt;=$C$4,N(P491),IF(P493="",P490,P493)))</f>
        <v/>
      </c>
      <c r="Q494" s="18">
        <f>IF($B$490="","",IF(10&lt;=$C$4,N(Q491),IF(Q493="",Q490,Q493)))</f>
        <v/>
      </c>
      <c r="R494" s="18">
        <f>IF($B$490="","",IF(11&lt;=$C$4,N(R491),IF(R493="",R490,R493)))</f>
        <v/>
      </c>
      <c r="S494" s="18">
        <f>IF($B$490="","",IF(12&lt;=$C$4,N(S491),IF(S493="",S490,S493)))</f>
        <v/>
      </c>
      <c r="T494" s="18">
        <f>IF($B$490="","",SUMIF($H$7:$S$7,"&lt;="&amp;$C$4,$H494:$S494))</f>
        <v/>
      </c>
      <c r="U494" s="18">
        <f>IF($B$490="","",SUMIF($H$7:$S$7,"&gt;"&amp;$C$4,$H494:$S494))</f>
        <v/>
      </c>
      <c r="V494" s="18">
        <f>IF($B$490="","",SUM($H494:$S494))</f>
        <v/>
      </c>
      <c r="X494" s="22">
        <f>IF($B494="","",IFERROR(INDEX(Cost_Centers!$E:$E,MATCH($B494,Cost_Centers!$A:$A,0)),"(unknown)"))</f>
        <v/>
      </c>
      <c r="Y494" s="22">
        <f>IF($B494="","",IFERROR(INDEX(Cost_Centers!$D:$D,MATCH($B494,Cost_Centers!$A:$A,0)),"(unknown)"))</f>
        <v/>
      </c>
      <c r="Z494" s="22">
        <f>IF(OR($B494="",$G494&lt;&gt;"Variance vs Budget"),"",ABS(N($V494))+ROW()/1000000000)</f>
        <v/>
      </c>
    </row>
    <row r="495">
      <c r="A495" s="13">
        <f>IF(A$490="","",A$490)</f>
        <v/>
      </c>
      <c r="B495" s="13">
        <f>IF(B$490="","",B$490)</f>
        <v/>
      </c>
      <c r="C495" s="13">
        <f>IF(C$490="","",C$490)</f>
        <v/>
      </c>
      <c r="D495" s="13">
        <f>IF(D$490="","",D$490)</f>
        <v/>
      </c>
      <c r="E495" s="13">
        <f>IF(E$490="","",E$490)</f>
        <v/>
      </c>
      <c r="F495" s="13">
        <f>IF(F$490="","",F$490)</f>
        <v/>
      </c>
      <c r="G495" s="36" t="inlineStr">
        <is>
          <t>Prior Month Forecast</t>
        </is>
      </c>
      <c r="H495" s="37">
        <f>IF($B$490="","",IF(COUNTIFS(Prior_Forecast!$A:$A,$B$490,Prior_Forecast!$B:$B,$D$490)&gt;0,SUMIFS(Prior_Forecast!$C:$C,Prior_Forecast!$A:$A,$B$490,Prior_Forecast!$B:$B,$D$490),""))</f>
        <v/>
      </c>
      <c r="I495" s="37">
        <f>IF($B$490="","",IF(COUNTIFS(Prior_Forecast!$A:$A,$B$490,Prior_Forecast!$B:$B,$D$490)&gt;0,SUMIFS(Prior_Forecast!$D:$D,Prior_Forecast!$A:$A,$B$490,Prior_Forecast!$B:$B,$D$490),""))</f>
        <v/>
      </c>
      <c r="J495" s="37">
        <f>IF($B$490="","",IF(COUNTIFS(Prior_Forecast!$A:$A,$B$490,Prior_Forecast!$B:$B,$D$490)&gt;0,SUMIFS(Prior_Forecast!$E:$E,Prior_Forecast!$A:$A,$B$490,Prior_Forecast!$B:$B,$D$490),""))</f>
        <v/>
      </c>
      <c r="K495" s="37">
        <f>IF($B$490="","",IF(COUNTIFS(Prior_Forecast!$A:$A,$B$490,Prior_Forecast!$B:$B,$D$490)&gt;0,SUMIFS(Prior_Forecast!$F:$F,Prior_Forecast!$A:$A,$B$490,Prior_Forecast!$B:$B,$D$490),""))</f>
        <v/>
      </c>
      <c r="L495" s="37">
        <f>IF($B$490="","",IF(COUNTIFS(Prior_Forecast!$A:$A,$B$490,Prior_Forecast!$B:$B,$D$490)&gt;0,SUMIFS(Prior_Forecast!$G:$G,Prior_Forecast!$A:$A,$B$490,Prior_Forecast!$B:$B,$D$490),""))</f>
        <v/>
      </c>
      <c r="M495" s="37">
        <f>IF($B$490="","",IF(COUNTIFS(Prior_Forecast!$A:$A,$B$490,Prior_Forecast!$B:$B,$D$490)&gt;0,SUMIFS(Prior_Forecast!$H:$H,Prior_Forecast!$A:$A,$B$490,Prior_Forecast!$B:$B,$D$490),""))</f>
        <v/>
      </c>
      <c r="N495" s="37">
        <f>IF($B$490="","",IF(COUNTIFS(Prior_Forecast!$A:$A,$B$490,Prior_Forecast!$B:$B,$D$490)&gt;0,SUMIFS(Prior_Forecast!$I:$I,Prior_Forecast!$A:$A,$B$490,Prior_Forecast!$B:$B,$D$490),""))</f>
        <v/>
      </c>
      <c r="O495" s="37">
        <f>IF($B$490="","",IF(COUNTIFS(Prior_Forecast!$A:$A,$B$490,Prior_Forecast!$B:$B,$D$490)&gt;0,SUMIFS(Prior_Forecast!$J:$J,Prior_Forecast!$A:$A,$B$490,Prior_Forecast!$B:$B,$D$490),""))</f>
        <v/>
      </c>
      <c r="P495" s="37">
        <f>IF($B$490="","",IF(COUNTIFS(Prior_Forecast!$A:$A,$B$490,Prior_Forecast!$B:$B,$D$490)&gt;0,SUMIFS(Prior_Forecast!$K:$K,Prior_Forecast!$A:$A,$B$490,Prior_Forecast!$B:$B,$D$490),""))</f>
        <v/>
      </c>
      <c r="Q495" s="37">
        <f>IF($B$490="","",IF(COUNTIFS(Prior_Forecast!$A:$A,$B$490,Prior_Forecast!$B:$B,$D$490)&gt;0,SUMIFS(Prior_Forecast!$L:$L,Prior_Forecast!$A:$A,$B$490,Prior_Forecast!$B:$B,$D$490),""))</f>
        <v/>
      </c>
      <c r="R495" s="37">
        <f>IF($B$490="","",IF(COUNTIFS(Prior_Forecast!$A:$A,$B$490,Prior_Forecast!$B:$B,$D$490)&gt;0,SUMIFS(Prior_Forecast!$M:$M,Prior_Forecast!$A:$A,$B$490,Prior_Forecast!$B:$B,$D$490),""))</f>
        <v/>
      </c>
      <c r="S495" s="37">
        <f>IF($B$490="","",IF(COUNTIFS(Prior_Forecast!$A:$A,$B$490,Prior_Forecast!$B:$B,$D$490)&gt;0,SUMIFS(Prior_Forecast!$N:$N,Prior_Forecast!$A:$A,$B$490,Prior_Forecast!$B:$B,$D$490),""))</f>
        <v/>
      </c>
      <c r="T495" s="37">
        <f>IF($B$490="","",IF(COUNTIFS(Prior_Forecast!$A:$A,$B$490,Prior_Forecast!$B:$B,$D$490)&gt;0,SUMIFS(Prior_Forecast!$O:$O,Prior_Forecast!$A:$A,$B$490,Prior_Forecast!$B:$B,$D$490),""))</f>
        <v/>
      </c>
      <c r="U495" s="37">
        <f>IF($B$490="","",IF(COUNTIFS(Prior_Forecast!$A:$A,$B$490,Prior_Forecast!$B:$B,$D$490)&gt;0,SUMIFS(Prior_Forecast!$P:$P,Prior_Forecast!$A:$A,$B$490,Prior_Forecast!$B:$B,$D$490),""))</f>
        <v/>
      </c>
      <c r="V495" s="37">
        <f>IF($B$490="","",IF(COUNTIFS(Prior_Forecast!$A:$A,$B$490,Prior_Forecast!$B:$B,$D$490)&gt;0,SUMIFS(Prior_Forecast!$Q:$Q,Prior_Forecast!$A:$A,$B$490,Prior_Forecast!$B:$B,$D$490),""))</f>
        <v/>
      </c>
      <c r="X495" s="22">
        <f>IF($B495="","",IFERROR(INDEX(Cost_Centers!$E:$E,MATCH($B495,Cost_Centers!$A:$A,0)),"(unknown)"))</f>
        <v/>
      </c>
      <c r="Y495" s="22">
        <f>IF($B495="","",IFERROR(INDEX(Cost_Centers!$D:$D,MATCH($B495,Cost_Centers!$A:$A,0)),"(unknown)"))</f>
        <v/>
      </c>
      <c r="Z495" s="22">
        <f>IF(OR($B495="",$G495&lt;&gt;"Variance vs Budget"),"",ABS(N($V495))+ROW()/1000000000)</f>
        <v/>
      </c>
    </row>
    <row r="496">
      <c r="A496" s="13">
        <f>IF(A$490="","",A$490)</f>
        <v/>
      </c>
      <c r="B496" s="13">
        <f>IF(B$490="","",B$490)</f>
        <v/>
      </c>
      <c r="C496" s="13">
        <f>IF(C$490="","",C$490)</f>
        <v/>
      </c>
      <c r="D496" s="13">
        <f>IF(D$490="","",D$490)</f>
        <v/>
      </c>
      <c r="E496" s="13">
        <f>IF(E$490="","",E$490)</f>
        <v/>
      </c>
      <c r="F496" s="13">
        <f>IF(F$490="","",F$490)</f>
        <v/>
      </c>
      <c r="G496" s="6" t="inlineStr">
        <is>
          <t>Variance vs Prior Month</t>
        </is>
      </c>
      <c r="H496" s="33">
        <f>IF(OR($B$490="",H495=""),"",H494-H495)</f>
        <v/>
      </c>
      <c r="I496" s="33">
        <f>IF(OR($B$490="",I495=""),"",I494-I495)</f>
        <v/>
      </c>
      <c r="J496" s="33">
        <f>IF(OR($B$490="",J495=""),"",J494-J495)</f>
        <v/>
      </c>
      <c r="K496" s="33">
        <f>IF(OR($B$490="",K495=""),"",K494-K495)</f>
        <v/>
      </c>
      <c r="L496" s="33">
        <f>IF(OR($B$490="",L495=""),"",L494-L495)</f>
        <v/>
      </c>
      <c r="M496" s="33">
        <f>IF(OR($B$490="",M495=""),"",M494-M495)</f>
        <v/>
      </c>
      <c r="N496" s="33">
        <f>IF(OR($B$490="",N495=""),"",N494-N495)</f>
        <v/>
      </c>
      <c r="O496" s="33">
        <f>IF(OR($B$490="",O495=""),"",O494-O495)</f>
        <v/>
      </c>
      <c r="P496" s="33">
        <f>IF(OR($B$490="",P495=""),"",P494-P495)</f>
        <v/>
      </c>
      <c r="Q496" s="33">
        <f>IF(OR($B$490="",Q495=""),"",Q494-Q495)</f>
        <v/>
      </c>
      <c r="R496" s="33">
        <f>IF(OR($B$490="",R495=""),"",R494-R495)</f>
        <v/>
      </c>
      <c r="S496" s="33">
        <f>IF(OR($B$490="",S495=""),"",S494-S495)</f>
        <v/>
      </c>
      <c r="T496" s="33">
        <f>IF(OR($B$490="",T495=""),"",T494-T495)</f>
        <v/>
      </c>
      <c r="U496" s="33">
        <f>IF(OR($B$490="",U495=""),"",U494-U495)</f>
        <v/>
      </c>
      <c r="V496" s="33">
        <f>IF(OR($B$490="",V495=""),"",V494-V495)</f>
        <v/>
      </c>
      <c r="X496" s="22">
        <f>IF($B496="","",IFERROR(INDEX(Cost_Centers!$E:$E,MATCH($B496,Cost_Centers!$A:$A,0)),"(unknown)"))</f>
        <v/>
      </c>
      <c r="Y496" s="22">
        <f>IF($B496="","",IFERROR(INDEX(Cost_Centers!$D:$D,MATCH($B496,Cost_Centers!$A:$A,0)),"(unknown)"))</f>
        <v/>
      </c>
      <c r="Z496" s="22">
        <f>IF(OR($B496="",$G496&lt;&gt;"Variance vs Budget"),"",ABS(N($V496))+ROW()/1000000000)</f>
        <v/>
      </c>
    </row>
    <row r="497" ht="45" customHeight="1">
      <c r="A497" s="13">
        <f>IF(A$490="","",A$490)</f>
        <v/>
      </c>
      <c r="B497" s="13">
        <f>IF(B$490="","",B$490)</f>
        <v/>
      </c>
      <c r="C497" s="13">
        <f>IF(C$490="","",C$490)</f>
        <v/>
      </c>
      <c r="D497" s="13">
        <f>IF(D$490="","",D$490)</f>
        <v/>
      </c>
      <c r="E497" s="13">
        <f>IF(E$490="","",E$490)</f>
        <v/>
      </c>
      <c r="F497" s="13">
        <f>IF(F$490="","",F$490)</f>
        <v/>
      </c>
      <c r="G497" s="7" t="inlineStr">
        <is>
          <t>Rationale</t>
        </is>
      </c>
      <c r="H497" s="38" t="n"/>
      <c r="I497" s="38" t="n"/>
      <c r="J497" s="38" t="n"/>
      <c r="K497" s="38" t="n"/>
      <c r="L497" s="38" t="n"/>
      <c r="M497" s="38" t="n"/>
      <c r="N497" s="38" t="n"/>
      <c r="O497" s="38" t="n"/>
      <c r="P497" s="38" t="n"/>
      <c r="Q497" s="38" t="n"/>
      <c r="R497" s="38" t="n"/>
      <c r="S497" s="38" t="n"/>
      <c r="T497" s="38" t="n"/>
      <c r="U497" s="38" t="n"/>
      <c r="V497" s="7" t="n"/>
      <c r="X497" s="22">
        <f>IF($B497="","",IFERROR(INDEX(Cost_Centers!$E:$E,MATCH($B497,Cost_Centers!$A:$A,0)),"(unknown)"))</f>
        <v/>
      </c>
      <c r="Y497" s="22">
        <f>IF($B497="","",IFERROR(INDEX(Cost_Centers!$D:$D,MATCH($B497,Cost_Centers!$A:$A,0)),"(unknown)"))</f>
        <v/>
      </c>
      <c r="Z497" s="22">
        <f>IF(OR($B497="",$G497&lt;&gt;"Variance vs Budget"),"",ABS(N($V497))+ROW()/1000000000)</f>
        <v/>
      </c>
    </row>
    <row r="498">
      <c r="A498" s="30">
        <f>IF($D$498="","",LEFT($D$498,FIND("|",$D$498&amp;"|")-1))</f>
        <v/>
      </c>
      <c r="B498" s="31" t="n"/>
      <c r="C498" s="30">
        <f>IF($B$498="","",IFERROR(INDEX(Cost_Centers!$B:$B,MATCH($B$498,Cost_Centers!$A:$A,0)),"(not in master)"))</f>
        <v/>
      </c>
      <c r="D498" s="31" t="n"/>
      <c r="E498" s="30">
        <f>IF($D$498="","",IFERROR(INDEX(Accounts!$D:$D,MATCH($D$498,Accounts!$A:$A,0)),"(not in master)"))</f>
        <v/>
      </c>
      <c r="F498" s="31" t="n"/>
      <c r="G498" s="30" t="inlineStr">
        <is>
          <t>Budget</t>
        </is>
      </c>
      <c r="H498" s="32">
        <f>IF($B$498="","",SUMIFS(Opex_Budget!$O:$O,Opex_Budget!$A:$A,$C$3,Opex_Budget!$E:$E,$B$498,Opex_Budget!$F:$F,$D$498,Opex_Budget!$N:$N,"JPY")*$E$5+SUMIFS(Opex_Budget!$O:$O,Opex_Budget!$A:$A,$C$3,Opex_Budget!$E:$E,$B$498,Opex_Budget!$F:$F,$D$498,Opex_Budget!$N:$N,"USD")*$F$5+SUMIFS(Opex_Budget!$O:$O,Opex_Budget!$A:$A,$C$3,Opex_Budget!$E:$E,$B$498,Opex_Budget!$F:$F,$D$498,Opex_Budget!$N:$N,"EUR")*$G$5+SUMIFS(Opex_Budget!$O:$O,Opex_Budget!$A:$A,$C$3,Opex_Budget!$E:$E,$B$498,Opex_Budget!$F:$F,$D$498,Opex_Budget!$N:$N,"GBP")*$H$5)</f>
        <v/>
      </c>
      <c r="I498" s="32">
        <f>IF($B$498="","",SUMIFS(Opex_Budget!$P:$P,Opex_Budget!$A:$A,$C$3,Opex_Budget!$E:$E,$B$498,Opex_Budget!$F:$F,$D$498,Opex_Budget!$N:$N,"JPY")*$E$5+SUMIFS(Opex_Budget!$P:$P,Opex_Budget!$A:$A,$C$3,Opex_Budget!$E:$E,$B$498,Opex_Budget!$F:$F,$D$498,Opex_Budget!$N:$N,"USD")*$F$5+SUMIFS(Opex_Budget!$P:$P,Opex_Budget!$A:$A,$C$3,Opex_Budget!$E:$E,$B$498,Opex_Budget!$F:$F,$D$498,Opex_Budget!$N:$N,"EUR")*$G$5+SUMIFS(Opex_Budget!$P:$P,Opex_Budget!$A:$A,$C$3,Opex_Budget!$E:$E,$B$498,Opex_Budget!$F:$F,$D$498,Opex_Budget!$N:$N,"GBP")*$H$5)</f>
        <v/>
      </c>
      <c r="J498" s="32">
        <f>IF($B$498="","",SUMIFS(Opex_Budget!$Q:$Q,Opex_Budget!$A:$A,$C$3,Opex_Budget!$E:$E,$B$498,Opex_Budget!$F:$F,$D$498,Opex_Budget!$N:$N,"JPY")*$E$5+SUMIFS(Opex_Budget!$Q:$Q,Opex_Budget!$A:$A,$C$3,Opex_Budget!$E:$E,$B$498,Opex_Budget!$F:$F,$D$498,Opex_Budget!$N:$N,"USD")*$F$5+SUMIFS(Opex_Budget!$Q:$Q,Opex_Budget!$A:$A,$C$3,Opex_Budget!$E:$E,$B$498,Opex_Budget!$F:$F,$D$498,Opex_Budget!$N:$N,"EUR")*$G$5+SUMIFS(Opex_Budget!$Q:$Q,Opex_Budget!$A:$A,$C$3,Opex_Budget!$E:$E,$B$498,Opex_Budget!$F:$F,$D$498,Opex_Budget!$N:$N,"GBP")*$H$5)</f>
        <v/>
      </c>
      <c r="K498" s="32">
        <f>IF($B$498="","",SUMIFS(Opex_Budget!$R:$R,Opex_Budget!$A:$A,$C$3,Opex_Budget!$E:$E,$B$498,Opex_Budget!$F:$F,$D$498,Opex_Budget!$N:$N,"JPY")*$E$5+SUMIFS(Opex_Budget!$R:$R,Opex_Budget!$A:$A,$C$3,Opex_Budget!$E:$E,$B$498,Opex_Budget!$F:$F,$D$498,Opex_Budget!$N:$N,"USD")*$F$5+SUMIFS(Opex_Budget!$R:$R,Opex_Budget!$A:$A,$C$3,Opex_Budget!$E:$E,$B$498,Opex_Budget!$F:$F,$D$498,Opex_Budget!$N:$N,"EUR")*$G$5+SUMIFS(Opex_Budget!$R:$R,Opex_Budget!$A:$A,$C$3,Opex_Budget!$E:$E,$B$498,Opex_Budget!$F:$F,$D$498,Opex_Budget!$N:$N,"GBP")*$H$5)</f>
        <v/>
      </c>
      <c r="L498" s="32">
        <f>IF($B$498="","",SUMIFS(Opex_Budget!$S:$S,Opex_Budget!$A:$A,$C$3,Opex_Budget!$E:$E,$B$498,Opex_Budget!$F:$F,$D$498,Opex_Budget!$N:$N,"JPY")*$E$5+SUMIFS(Opex_Budget!$S:$S,Opex_Budget!$A:$A,$C$3,Opex_Budget!$E:$E,$B$498,Opex_Budget!$F:$F,$D$498,Opex_Budget!$N:$N,"USD")*$F$5+SUMIFS(Opex_Budget!$S:$S,Opex_Budget!$A:$A,$C$3,Opex_Budget!$E:$E,$B$498,Opex_Budget!$F:$F,$D$498,Opex_Budget!$N:$N,"EUR")*$G$5+SUMIFS(Opex_Budget!$S:$S,Opex_Budget!$A:$A,$C$3,Opex_Budget!$E:$E,$B$498,Opex_Budget!$F:$F,$D$498,Opex_Budget!$N:$N,"GBP")*$H$5)</f>
        <v/>
      </c>
      <c r="M498" s="32">
        <f>IF($B$498="","",SUMIFS(Opex_Budget!$T:$T,Opex_Budget!$A:$A,$C$3,Opex_Budget!$E:$E,$B$498,Opex_Budget!$F:$F,$D$498,Opex_Budget!$N:$N,"JPY")*$E$5+SUMIFS(Opex_Budget!$T:$T,Opex_Budget!$A:$A,$C$3,Opex_Budget!$E:$E,$B$498,Opex_Budget!$F:$F,$D$498,Opex_Budget!$N:$N,"USD")*$F$5+SUMIFS(Opex_Budget!$T:$T,Opex_Budget!$A:$A,$C$3,Opex_Budget!$E:$E,$B$498,Opex_Budget!$F:$F,$D$498,Opex_Budget!$N:$N,"EUR")*$G$5+SUMIFS(Opex_Budget!$T:$T,Opex_Budget!$A:$A,$C$3,Opex_Budget!$E:$E,$B$498,Opex_Budget!$F:$F,$D$498,Opex_Budget!$N:$N,"GBP")*$H$5)</f>
        <v/>
      </c>
      <c r="N498" s="32">
        <f>IF($B$498="","",SUMIFS(Opex_Budget!$U:$U,Opex_Budget!$A:$A,$C$3,Opex_Budget!$E:$E,$B$498,Opex_Budget!$F:$F,$D$498,Opex_Budget!$N:$N,"JPY")*$E$5+SUMIFS(Opex_Budget!$U:$U,Opex_Budget!$A:$A,$C$3,Opex_Budget!$E:$E,$B$498,Opex_Budget!$F:$F,$D$498,Opex_Budget!$N:$N,"USD")*$F$5+SUMIFS(Opex_Budget!$U:$U,Opex_Budget!$A:$A,$C$3,Opex_Budget!$E:$E,$B$498,Opex_Budget!$F:$F,$D$498,Opex_Budget!$N:$N,"EUR")*$G$5+SUMIFS(Opex_Budget!$U:$U,Opex_Budget!$A:$A,$C$3,Opex_Budget!$E:$E,$B$498,Opex_Budget!$F:$F,$D$498,Opex_Budget!$N:$N,"GBP")*$H$5)</f>
        <v/>
      </c>
      <c r="O498" s="32">
        <f>IF($B$498="","",SUMIFS(Opex_Budget!$V:$V,Opex_Budget!$A:$A,$C$3,Opex_Budget!$E:$E,$B$498,Opex_Budget!$F:$F,$D$498,Opex_Budget!$N:$N,"JPY")*$E$5+SUMIFS(Opex_Budget!$V:$V,Opex_Budget!$A:$A,$C$3,Opex_Budget!$E:$E,$B$498,Opex_Budget!$F:$F,$D$498,Opex_Budget!$N:$N,"USD")*$F$5+SUMIFS(Opex_Budget!$V:$V,Opex_Budget!$A:$A,$C$3,Opex_Budget!$E:$E,$B$498,Opex_Budget!$F:$F,$D$498,Opex_Budget!$N:$N,"EUR")*$G$5+SUMIFS(Opex_Budget!$V:$V,Opex_Budget!$A:$A,$C$3,Opex_Budget!$E:$E,$B$498,Opex_Budget!$F:$F,$D$498,Opex_Budget!$N:$N,"GBP")*$H$5)</f>
        <v/>
      </c>
      <c r="P498" s="32">
        <f>IF($B$498="","",SUMIFS(Opex_Budget!$W:$W,Opex_Budget!$A:$A,$C$3,Opex_Budget!$E:$E,$B$498,Opex_Budget!$F:$F,$D$498,Opex_Budget!$N:$N,"JPY")*$E$5+SUMIFS(Opex_Budget!$W:$W,Opex_Budget!$A:$A,$C$3,Opex_Budget!$E:$E,$B$498,Opex_Budget!$F:$F,$D$498,Opex_Budget!$N:$N,"USD")*$F$5+SUMIFS(Opex_Budget!$W:$W,Opex_Budget!$A:$A,$C$3,Opex_Budget!$E:$E,$B$498,Opex_Budget!$F:$F,$D$498,Opex_Budget!$N:$N,"EUR")*$G$5+SUMIFS(Opex_Budget!$W:$W,Opex_Budget!$A:$A,$C$3,Opex_Budget!$E:$E,$B$498,Opex_Budget!$F:$F,$D$498,Opex_Budget!$N:$N,"GBP")*$H$5)</f>
        <v/>
      </c>
      <c r="Q498" s="32">
        <f>IF($B$498="","",SUMIFS(Opex_Budget!$X:$X,Opex_Budget!$A:$A,$C$3,Opex_Budget!$E:$E,$B$498,Opex_Budget!$F:$F,$D$498,Opex_Budget!$N:$N,"JPY")*$E$5+SUMIFS(Opex_Budget!$X:$X,Opex_Budget!$A:$A,$C$3,Opex_Budget!$E:$E,$B$498,Opex_Budget!$F:$F,$D$498,Opex_Budget!$N:$N,"USD")*$F$5+SUMIFS(Opex_Budget!$X:$X,Opex_Budget!$A:$A,$C$3,Opex_Budget!$E:$E,$B$498,Opex_Budget!$F:$F,$D$498,Opex_Budget!$N:$N,"EUR")*$G$5+SUMIFS(Opex_Budget!$X:$X,Opex_Budget!$A:$A,$C$3,Opex_Budget!$E:$E,$B$498,Opex_Budget!$F:$F,$D$498,Opex_Budget!$N:$N,"GBP")*$H$5)</f>
        <v/>
      </c>
      <c r="R498" s="32">
        <f>IF($B$498="","",SUMIFS(Opex_Budget!$Y:$Y,Opex_Budget!$A:$A,$C$3,Opex_Budget!$E:$E,$B$498,Opex_Budget!$F:$F,$D$498,Opex_Budget!$N:$N,"JPY")*$E$5+SUMIFS(Opex_Budget!$Y:$Y,Opex_Budget!$A:$A,$C$3,Opex_Budget!$E:$E,$B$498,Opex_Budget!$F:$F,$D$498,Opex_Budget!$N:$N,"USD")*$F$5+SUMIFS(Opex_Budget!$Y:$Y,Opex_Budget!$A:$A,$C$3,Opex_Budget!$E:$E,$B$498,Opex_Budget!$F:$F,$D$498,Opex_Budget!$N:$N,"EUR")*$G$5+SUMIFS(Opex_Budget!$Y:$Y,Opex_Budget!$A:$A,$C$3,Opex_Budget!$E:$E,$B$498,Opex_Budget!$F:$F,$D$498,Opex_Budget!$N:$N,"GBP")*$H$5)</f>
        <v/>
      </c>
      <c r="S498" s="32">
        <f>IF($B$498="","",SUMIFS(Opex_Budget!$Z:$Z,Opex_Budget!$A:$A,$C$3,Opex_Budget!$E:$E,$B$498,Opex_Budget!$F:$F,$D$498,Opex_Budget!$N:$N,"JPY")*$E$5+SUMIFS(Opex_Budget!$Z:$Z,Opex_Budget!$A:$A,$C$3,Opex_Budget!$E:$E,$B$498,Opex_Budget!$F:$F,$D$498,Opex_Budget!$N:$N,"USD")*$F$5+SUMIFS(Opex_Budget!$Z:$Z,Opex_Budget!$A:$A,$C$3,Opex_Budget!$E:$E,$B$498,Opex_Budget!$F:$F,$D$498,Opex_Budget!$N:$N,"EUR")*$G$5+SUMIFS(Opex_Budget!$Z:$Z,Opex_Budget!$A:$A,$C$3,Opex_Budget!$E:$E,$B$498,Opex_Budget!$F:$F,$D$498,Opex_Budget!$N:$N,"GBP")*$H$5)</f>
        <v/>
      </c>
      <c r="T498" s="32">
        <f>IF($B$498="","",SUMIF($H$7:$S$7,"&lt;="&amp;$C$4,$H498:$S498))</f>
        <v/>
      </c>
      <c r="U498" s="32">
        <f>IF($B$498="","",SUMIF($H$7:$S$7,"&gt;"&amp;$C$4,$H498:$S498))</f>
        <v/>
      </c>
      <c r="V498" s="32">
        <f>IF($B$498="","",SUM($H498:$S498))</f>
        <v/>
      </c>
      <c r="X498" s="22">
        <f>IF($B498="","",IFERROR(INDEX(Cost_Centers!$E:$E,MATCH($B498,Cost_Centers!$A:$A,0)),"(unknown)"))</f>
        <v/>
      </c>
      <c r="Y498" s="22">
        <f>IF($B498="","",IFERROR(INDEX(Cost_Centers!$D:$D,MATCH($B498,Cost_Centers!$A:$A,0)),"(unknown)"))</f>
        <v/>
      </c>
      <c r="Z498" s="22">
        <f>IF(OR($B498="",$G498&lt;&gt;"Variance vs Budget"),"",ABS(N($V498))+ROW()/1000000000)</f>
        <v/>
      </c>
    </row>
    <row r="499">
      <c r="A499" s="13">
        <f>IF(A$498="","",A$498)</f>
        <v/>
      </c>
      <c r="B499" s="13">
        <f>IF(B$498="","",B$498)</f>
        <v/>
      </c>
      <c r="C499" s="13">
        <f>IF(C$498="","",C$498)</f>
        <v/>
      </c>
      <c r="D499" s="13">
        <f>IF(D$498="","",D$498)</f>
        <v/>
      </c>
      <c r="E499" s="13">
        <f>IF(E$498="","",E$498)</f>
        <v/>
      </c>
      <c r="F499" s="13">
        <f>IF(F$498="","",F$498)</f>
        <v/>
      </c>
      <c r="G499" s="7" t="inlineStr">
        <is>
          <t>Actual</t>
        </is>
      </c>
      <c r="H499" s="18">
        <f>IF(OR($B$498="",1&gt;$C$4),"",SUMIFS(Actuals!$G:$G,Actuals!$B:$B,$C$3,Actuals!$C:$C,1,Actuals!$D:$D,$B$498,Actuals!$A:$A,LEFT($D$498,FIND("|",$D$498&amp;"|")-1),Actuals!$E:$E,MID($D$498,FIND("|",$D$498&amp;"|")+1,50),Actuals!$F:$F,"JPY")*$E$5+SUMIFS(Actuals!$G:$G,Actuals!$B:$B,$C$3,Actuals!$C:$C,1,Actuals!$D:$D,$B$498,Actuals!$A:$A,LEFT($D$498,FIND("|",$D$498&amp;"|")-1),Actuals!$E:$E,MID($D$498,FIND("|",$D$498&amp;"|")+1,50),Actuals!$F:$F,"USD")*$F$5+SUMIFS(Actuals!$G:$G,Actuals!$B:$B,$C$3,Actuals!$C:$C,1,Actuals!$D:$D,$B$498,Actuals!$A:$A,LEFT($D$498,FIND("|",$D$498&amp;"|")-1),Actuals!$E:$E,MID($D$498,FIND("|",$D$498&amp;"|")+1,50),Actuals!$F:$F,"EUR")*$G$5+SUMIFS(Actuals!$G:$G,Actuals!$B:$B,$C$3,Actuals!$C:$C,1,Actuals!$D:$D,$B$498,Actuals!$A:$A,LEFT($D$498,FIND("|",$D$498&amp;"|")-1),Actuals!$E:$E,MID($D$498,FIND("|",$D$498&amp;"|")+1,50),Actuals!$F:$F,"GBP")*$H$5)</f>
        <v/>
      </c>
      <c r="I499" s="18">
        <f>IF(OR($B$498="",2&gt;$C$4),"",SUMIFS(Actuals!$G:$G,Actuals!$B:$B,$C$3,Actuals!$C:$C,2,Actuals!$D:$D,$B$498,Actuals!$A:$A,LEFT($D$498,FIND("|",$D$498&amp;"|")-1),Actuals!$E:$E,MID($D$498,FIND("|",$D$498&amp;"|")+1,50),Actuals!$F:$F,"JPY")*$E$5+SUMIFS(Actuals!$G:$G,Actuals!$B:$B,$C$3,Actuals!$C:$C,2,Actuals!$D:$D,$B$498,Actuals!$A:$A,LEFT($D$498,FIND("|",$D$498&amp;"|")-1),Actuals!$E:$E,MID($D$498,FIND("|",$D$498&amp;"|")+1,50),Actuals!$F:$F,"USD")*$F$5+SUMIFS(Actuals!$G:$G,Actuals!$B:$B,$C$3,Actuals!$C:$C,2,Actuals!$D:$D,$B$498,Actuals!$A:$A,LEFT($D$498,FIND("|",$D$498&amp;"|")-1),Actuals!$E:$E,MID($D$498,FIND("|",$D$498&amp;"|")+1,50),Actuals!$F:$F,"EUR")*$G$5+SUMIFS(Actuals!$G:$G,Actuals!$B:$B,$C$3,Actuals!$C:$C,2,Actuals!$D:$D,$B$498,Actuals!$A:$A,LEFT($D$498,FIND("|",$D$498&amp;"|")-1),Actuals!$E:$E,MID($D$498,FIND("|",$D$498&amp;"|")+1,50),Actuals!$F:$F,"GBP")*$H$5)</f>
        <v/>
      </c>
      <c r="J499" s="18">
        <f>IF(OR($B$498="",3&gt;$C$4),"",SUMIFS(Actuals!$G:$G,Actuals!$B:$B,$C$3,Actuals!$C:$C,3,Actuals!$D:$D,$B$498,Actuals!$A:$A,LEFT($D$498,FIND("|",$D$498&amp;"|")-1),Actuals!$E:$E,MID($D$498,FIND("|",$D$498&amp;"|")+1,50),Actuals!$F:$F,"JPY")*$E$5+SUMIFS(Actuals!$G:$G,Actuals!$B:$B,$C$3,Actuals!$C:$C,3,Actuals!$D:$D,$B$498,Actuals!$A:$A,LEFT($D$498,FIND("|",$D$498&amp;"|")-1),Actuals!$E:$E,MID($D$498,FIND("|",$D$498&amp;"|")+1,50),Actuals!$F:$F,"USD")*$F$5+SUMIFS(Actuals!$G:$G,Actuals!$B:$B,$C$3,Actuals!$C:$C,3,Actuals!$D:$D,$B$498,Actuals!$A:$A,LEFT($D$498,FIND("|",$D$498&amp;"|")-1),Actuals!$E:$E,MID($D$498,FIND("|",$D$498&amp;"|")+1,50),Actuals!$F:$F,"EUR")*$G$5+SUMIFS(Actuals!$G:$G,Actuals!$B:$B,$C$3,Actuals!$C:$C,3,Actuals!$D:$D,$B$498,Actuals!$A:$A,LEFT($D$498,FIND("|",$D$498&amp;"|")-1),Actuals!$E:$E,MID($D$498,FIND("|",$D$498&amp;"|")+1,50),Actuals!$F:$F,"GBP")*$H$5)</f>
        <v/>
      </c>
      <c r="K499" s="18">
        <f>IF(OR($B$498="",4&gt;$C$4),"",SUMIFS(Actuals!$G:$G,Actuals!$B:$B,$C$3,Actuals!$C:$C,4,Actuals!$D:$D,$B$498,Actuals!$A:$A,LEFT($D$498,FIND("|",$D$498&amp;"|")-1),Actuals!$E:$E,MID($D$498,FIND("|",$D$498&amp;"|")+1,50),Actuals!$F:$F,"JPY")*$E$5+SUMIFS(Actuals!$G:$G,Actuals!$B:$B,$C$3,Actuals!$C:$C,4,Actuals!$D:$D,$B$498,Actuals!$A:$A,LEFT($D$498,FIND("|",$D$498&amp;"|")-1),Actuals!$E:$E,MID($D$498,FIND("|",$D$498&amp;"|")+1,50),Actuals!$F:$F,"USD")*$F$5+SUMIFS(Actuals!$G:$G,Actuals!$B:$B,$C$3,Actuals!$C:$C,4,Actuals!$D:$D,$B$498,Actuals!$A:$A,LEFT($D$498,FIND("|",$D$498&amp;"|")-1),Actuals!$E:$E,MID($D$498,FIND("|",$D$498&amp;"|")+1,50),Actuals!$F:$F,"EUR")*$G$5+SUMIFS(Actuals!$G:$G,Actuals!$B:$B,$C$3,Actuals!$C:$C,4,Actuals!$D:$D,$B$498,Actuals!$A:$A,LEFT($D$498,FIND("|",$D$498&amp;"|")-1),Actuals!$E:$E,MID($D$498,FIND("|",$D$498&amp;"|")+1,50),Actuals!$F:$F,"GBP")*$H$5)</f>
        <v/>
      </c>
      <c r="L499" s="18">
        <f>IF(OR($B$498="",5&gt;$C$4),"",SUMIFS(Actuals!$G:$G,Actuals!$B:$B,$C$3,Actuals!$C:$C,5,Actuals!$D:$D,$B$498,Actuals!$A:$A,LEFT($D$498,FIND("|",$D$498&amp;"|")-1),Actuals!$E:$E,MID($D$498,FIND("|",$D$498&amp;"|")+1,50),Actuals!$F:$F,"JPY")*$E$5+SUMIFS(Actuals!$G:$G,Actuals!$B:$B,$C$3,Actuals!$C:$C,5,Actuals!$D:$D,$B$498,Actuals!$A:$A,LEFT($D$498,FIND("|",$D$498&amp;"|")-1),Actuals!$E:$E,MID($D$498,FIND("|",$D$498&amp;"|")+1,50),Actuals!$F:$F,"USD")*$F$5+SUMIFS(Actuals!$G:$G,Actuals!$B:$B,$C$3,Actuals!$C:$C,5,Actuals!$D:$D,$B$498,Actuals!$A:$A,LEFT($D$498,FIND("|",$D$498&amp;"|")-1),Actuals!$E:$E,MID($D$498,FIND("|",$D$498&amp;"|")+1,50),Actuals!$F:$F,"EUR")*$G$5+SUMIFS(Actuals!$G:$G,Actuals!$B:$B,$C$3,Actuals!$C:$C,5,Actuals!$D:$D,$B$498,Actuals!$A:$A,LEFT($D$498,FIND("|",$D$498&amp;"|")-1),Actuals!$E:$E,MID($D$498,FIND("|",$D$498&amp;"|")+1,50),Actuals!$F:$F,"GBP")*$H$5)</f>
        <v/>
      </c>
      <c r="M499" s="18">
        <f>IF(OR($B$498="",6&gt;$C$4),"",SUMIFS(Actuals!$G:$G,Actuals!$B:$B,$C$3,Actuals!$C:$C,6,Actuals!$D:$D,$B$498,Actuals!$A:$A,LEFT($D$498,FIND("|",$D$498&amp;"|")-1),Actuals!$E:$E,MID($D$498,FIND("|",$D$498&amp;"|")+1,50),Actuals!$F:$F,"JPY")*$E$5+SUMIFS(Actuals!$G:$G,Actuals!$B:$B,$C$3,Actuals!$C:$C,6,Actuals!$D:$D,$B$498,Actuals!$A:$A,LEFT($D$498,FIND("|",$D$498&amp;"|")-1),Actuals!$E:$E,MID($D$498,FIND("|",$D$498&amp;"|")+1,50),Actuals!$F:$F,"USD")*$F$5+SUMIFS(Actuals!$G:$G,Actuals!$B:$B,$C$3,Actuals!$C:$C,6,Actuals!$D:$D,$B$498,Actuals!$A:$A,LEFT($D$498,FIND("|",$D$498&amp;"|")-1),Actuals!$E:$E,MID($D$498,FIND("|",$D$498&amp;"|")+1,50),Actuals!$F:$F,"EUR")*$G$5+SUMIFS(Actuals!$G:$G,Actuals!$B:$B,$C$3,Actuals!$C:$C,6,Actuals!$D:$D,$B$498,Actuals!$A:$A,LEFT($D$498,FIND("|",$D$498&amp;"|")-1),Actuals!$E:$E,MID($D$498,FIND("|",$D$498&amp;"|")+1,50),Actuals!$F:$F,"GBP")*$H$5)</f>
        <v/>
      </c>
      <c r="N499" s="18">
        <f>IF(OR($B$498="",7&gt;$C$4),"",SUMIFS(Actuals!$G:$G,Actuals!$B:$B,$C$3,Actuals!$C:$C,7,Actuals!$D:$D,$B$498,Actuals!$A:$A,LEFT($D$498,FIND("|",$D$498&amp;"|")-1),Actuals!$E:$E,MID($D$498,FIND("|",$D$498&amp;"|")+1,50),Actuals!$F:$F,"JPY")*$E$5+SUMIFS(Actuals!$G:$G,Actuals!$B:$B,$C$3,Actuals!$C:$C,7,Actuals!$D:$D,$B$498,Actuals!$A:$A,LEFT($D$498,FIND("|",$D$498&amp;"|")-1),Actuals!$E:$E,MID($D$498,FIND("|",$D$498&amp;"|")+1,50),Actuals!$F:$F,"USD")*$F$5+SUMIFS(Actuals!$G:$G,Actuals!$B:$B,$C$3,Actuals!$C:$C,7,Actuals!$D:$D,$B$498,Actuals!$A:$A,LEFT($D$498,FIND("|",$D$498&amp;"|")-1),Actuals!$E:$E,MID($D$498,FIND("|",$D$498&amp;"|")+1,50),Actuals!$F:$F,"EUR")*$G$5+SUMIFS(Actuals!$G:$G,Actuals!$B:$B,$C$3,Actuals!$C:$C,7,Actuals!$D:$D,$B$498,Actuals!$A:$A,LEFT($D$498,FIND("|",$D$498&amp;"|")-1),Actuals!$E:$E,MID($D$498,FIND("|",$D$498&amp;"|")+1,50),Actuals!$F:$F,"GBP")*$H$5)</f>
        <v/>
      </c>
      <c r="O499" s="18">
        <f>IF(OR($B$498="",8&gt;$C$4),"",SUMIFS(Actuals!$G:$G,Actuals!$B:$B,$C$3,Actuals!$C:$C,8,Actuals!$D:$D,$B$498,Actuals!$A:$A,LEFT($D$498,FIND("|",$D$498&amp;"|")-1),Actuals!$E:$E,MID($D$498,FIND("|",$D$498&amp;"|")+1,50),Actuals!$F:$F,"JPY")*$E$5+SUMIFS(Actuals!$G:$G,Actuals!$B:$B,$C$3,Actuals!$C:$C,8,Actuals!$D:$D,$B$498,Actuals!$A:$A,LEFT($D$498,FIND("|",$D$498&amp;"|")-1),Actuals!$E:$E,MID($D$498,FIND("|",$D$498&amp;"|")+1,50),Actuals!$F:$F,"USD")*$F$5+SUMIFS(Actuals!$G:$G,Actuals!$B:$B,$C$3,Actuals!$C:$C,8,Actuals!$D:$D,$B$498,Actuals!$A:$A,LEFT($D$498,FIND("|",$D$498&amp;"|")-1),Actuals!$E:$E,MID($D$498,FIND("|",$D$498&amp;"|")+1,50),Actuals!$F:$F,"EUR")*$G$5+SUMIFS(Actuals!$G:$G,Actuals!$B:$B,$C$3,Actuals!$C:$C,8,Actuals!$D:$D,$B$498,Actuals!$A:$A,LEFT($D$498,FIND("|",$D$498&amp;"|")-1),Actuals!$E:$E,MID($D$498,FIND("|",$D$498&amp;"|")+1,50),Actuals!$F:$F,"GBP")*$H$5)</f>
        <v/>
      </c>
      <c r="P499" s="18">
        <f>IF(OR($B$498="",9&gt;$C$4),"",SUMIFS(Actuals!$G:$G,Actuals!$B:$B,$C$3,Actuals!$C:$C,9,Actuals!$D:$D,$B$498,Actuals!$A:$A,LEFT($D$498,FIND("|",$D$498&amp;"|")-1),Actuals!$E:$E,MID($D$498,FIND("|",$D$498&amp;"|")+1,50),Actuals!$F:$F,"JPY")*$E$5+SUMIFS(Actuals!$G:$G,Actuals!$B:$B,$C$3,Actuals!$C:$C,9,Actuals!$D:$D,$B$498,Actuals!$A:$A,LEFT($D$498,FIND("|",$D$498&amp;"|")-1),Actuals!$E:$E,MID($D$498,FIND("|",$D$498&amp;"|")+1,50),Actuals!$F:$F,"USD")*$F$5+SUMIFS(Actuals!$G:$G,Actuals!$B:$B,$C$3,Actuals!$C:$C,9,Actuals!$D:$D,$B$498,Actuals!$A:$A,LEFT($D$498,FIND("|",$D$498&amp;"|")-1),Actuals!$E:$E,MID($D$498,FIND("|",$D$498&amp;"|")+1,50),Actuals!$F:$F,"EUR")*$G$5+SUMIFS(Actuals!$G:$G,Actuals!$B:$B,$C$3,Actuals!$C:$C,9,Actuals!$D:$D,$B$498,Actuals!$A:$A,LEFT($D$498,FIND("|",$D$498&amp;"|")-1),Actuals!$E:$E,MID($D$498,FIND("|",$D$498&amp;"|")+1,50),Actuals!$F:$F,"GBP")*$H$5)</f>
        <v/>
      </c>
      <c r="Q499" s="18">
        <f>IF(OR($B$498="",10&gt;$C$4),"",SUMIFS(Actuals!$G:$G,Actuals!$B:$B,$C$3,Actuals!$C:$C,10,Actuals!$D:$D,$B$498,Actuals!$A:$A,LEFT($D$498,FIND("|",$D$498&amp;"|")-1),Actuals!$E:$E,MID($D$498,FIND("|",$D$498&amp;"|")+1,50),Actuals!$F:$F,"JPY")*$E$5+SUMIFS(Actuals!$G:$G,Actuals!$B:$B,$C$3,Actuals!$C:$C,10,Actuals!$D:$D,$B$498,Actuals!$A:$A,LEFT($D$498,FIND("|",$D$498&amp;"|")-1),Actuals!$E:$E,MID($D$498,FIND("|",$D$498&amp;"|")+1,50),Actuals!$F:$F,"USD")*$F$5+SUMIFS(Actuals!$G:$G,Actuals!$B:$B,$C$3,Actuals!$C:$C,10,Actuals!$D:$D,$B$498,Actuals!$A:$A,LEFT($D$498,FIND("|",$D$498&amp;"|")-1),Actuals!$E:$E,MID($D$498,FIND("|",$D$498&amp;"|")+1,50),Actuals!$F:$F,"EUR")*$G$5+SUMIFS(Actuals!$G:$G,Actuals!$B:$B,$C$3,Actuals!$C:$C,10,Actuals!$D:$D,$B$498,Actuals!$A:$A,LEFT($D$498,FIND("|",$D$498&amp;"|")-1),Actuals!$E:$E,MID($D$498,FIND("|",$D$498&amp;"|")+1,50),Actuals!$F:$F,"GBP")*$H$5)</f>
        <v/>
      </c>
      <c r="R499" s="18">
        <f>IF(OR($B$498="",11&gt;$C$4),"",SUMIFS(Actuals!$G:$G,Actuals!$B:$B,$C$3,Actuals!$C:$C,11,Actuals!$D:$D,$B$498,Actuals!$A:$A,LEFT($D$498,FIND("|",$D$498&amp;"|")-1),Actuals!$E:$E,MID($D$498,FIND("|",$D$498&amp;"|")+1,50),Actuals!$F:$F,"JPY")*$E$5+SUMIFS(Actuals!$G:$G,Actuals!$B:$B,$C$3,Actuals!$C:$C,11,Actuals!$D:$D,$B$498,Actuals!$A:$A,LEFT($D$498,FIND("|",$D$498&amp;"|")-1),Actuals!$E:$E,MID($D$498,FIND("|",$D$498&amp;"|")+1,50),Actuals!$F:$F,"USD")*$F$5+SUMIFS(Actuals!$G:$G,Actuals!$B:$B,$C$3,Actuals!$C:$C,11,Actuals!$D:$D,$B$498,Actuals!$A:$A,LEFT($D$498,FIND("|",$D$498&amp;"|")-1),Actuals!$E:$E,MID($D$498,FIND("|",$D$498&amp;"|")+1,50),Actuals!$F:$F,"EUR")*$G$5+SUMIFS(Actuals!$G:$G,Actuals!$B:$B,$C$3,Actuals!$C:$C,11,Actuals!$D:$D,$B$498,Actuals!$A:$A,LEFT($D$498,FIND("|",$D$498&amp;"|")-1),Actuals!$E:$E,MID($D$498,FIND("|",$D$498&amp;"|")+1,50),Actuals!$F:$F,"GBP")*$H$5)</f>
        <v/>
      </c>
      <c r="S499" s="18">
        <f>IF(OR($B$498="",12&gt;$C$4),"",SUMIFS(Actuals!$G:$G,Actuals!$B:$B,$C$3,Actuals!$C:$C,12,Actuals!$D:$D,$B$498,Actuals!$A:$A,LEFT($D$498,FIND("|",$D$498&amp;"|")-1),Actuals!$E:$E,MID($D$498,FIND("|",$D$498&amp;"|")+1,50),Actuals!$F:$F,"JPY")*$E$5+SUMIFS(Actuals!$G:$G,Actuals!$B:$B,$C$3,Actuals!$C:$C,12,Actuals!$D:$D,$B$498,Actuals!$A:$A,LEFT($D$498,FIND("|",$D$498&amp;"|")-1),Actuals!$E:$E,MID($D$498,FIND("|",$D$498&amp;"|")+1,50),Actuals!$F:$F,"USD")*$F$5+SUMIFS(Actuals!$G:$G,Actuals!$B:$B,$C$3,Actuals!$C:$C,12,Actuals!$D:$D,$B$498,Actuals!$A:$A,LEFT($D$498,FIND("|",$D$498&amp;"|")-1),Actuals!$E:$E,MID($D$498,FIND("|",$D$498&amp;"|")+1,50),Actuals!$F:$F,"EUR")*$G$5+SUMIFS(Actuals!$G:$G,Actuals!$B:$B,$C$3,Actuals!$C:$C,12,Actuals!$D:$D,$B$498,Actuals!$A:$A,LEFT($D$498,FIND("|",$D$498&amp;"|")-1),Actuals!$E:$E,MID($D$498,FIND("|",$D$498&amp;"|")+1,50),Actuals!$F:$F,"GBP")*$H$5)</f>
        <v/>
      </c>
      <c r="T499" s="18">
        <f>IF($B$498="","",SUMIF($H$7:$S$7,"&lt;="&amp;$C$4,$H499:$S499))</f>
        <v/>
      </c>
      <c r="U499" s="18" t="n"/>
      <c r="V499" s="18" t="n"/>
      <c r="X499" s="22">
        <f>IF($B499="","",IFERROR(INDEX(Cost_Centers!$E:$E,MATCH($B499,Cost_Centers!$A:$A,0)),"(unknown)"))</f>
        <v/>
      </c>
      <c r="Y499" s="22">
        <f>IF($B499="","",IFERROR(INDEX(Cost_Centers!$D:$D,MATCH($B499,Cost_Centers!$A:$A,0)),"(unknown)"))</f>
        <v/>
      </c>
      <c r="Z499" s="22">
        <f>IF(OR($B499="",$G499&lt;&gt;"Variance vs Budget"),"",ABS(N($V499))+ROW()/1000000000)</f>
        <v/>
      </c>
    </row>
    <row r="500">
      <c r="A500" s="13">
        <f>IF(A$498="","",A$498)</f>
        <v/>
      </c>
      <c r="B500" s="13">
        <f>IF(B$498="","",B$498)</f>
        <v/>
      </c>
      <c r="C500" s="13">
        <f>IF(C$498="","",C$498)</f>
        <v/>
      </c>
      <c r="D500" s="13">
        <f>IF(D$498="","",D$498)</f>
        <v/>
      </c>
      <c r="E500" s="13">
        <f>IF(E$498="","",E$498)</f>
        <v/>
      </c>
      <c r="F500" s="13">
        <f>IF(F$498="","",F$498)</f>
        <v/>
      </c>
      <c r="G500" s="6" t="inlineStr">
        <is>
          <t>Variance vs Budget</t>
        </is>
      </c>
      <c r="H500" s="33">
        <f>IF(OR($B$498="",1&gt;$C$4),"",N(H499)-H498)</f>
        <v/>
      </c>
      <c r="I500" s="33">
        <f>IF(OR($B$498="",2&gt;$C$4),"",N(I499)-I498)</f>
        <v/>
      </c>
      <c r="J500" s="33">
        <f>IF(OR($B$498="",3&gt;$C$4),"",N(J499)-J498)</f>
        <v/>
      </c>
      <c r="K500" s="33">
        <f>IF(OR($B$498="",4&gt;$C$4),"",N(K499)-K498)</f>
        <v/>
      </c>
      <c r="L500" s="33">
        <f>IF(OR($B$498="",5&gt;$C$4),"",N(L499)-L498)</f>
        <v/>
      </c>
      <c r="M500" s="33">
        <f>IF(OR($B$498="",6&gt;$C$4),"",N(M499)-M498)</f>
        <v/>
      </c>
      <c r="N500" s="33">
        <f>IF(OR($B$498="",7&gt;$C$4),"",N(N499)-N498)</f>
        <v/>
      </c>
      <c r="O500" s="33">
        <f>IF(OR($B$498="",8&gt;$C$4),"",N(O499)-O498)</f>
        <v/>
      </c>
      <c r="P500" s="33">
        <f>IF(OR($B$498="",9&gt;$C$4),"",N(P499)-P498)</f>
        <v/>
      </c>
      <c r="Q500" s="33">
        <f>IF(OR($B$498="",10&gt;$C$4),"",N(Q499)-Q498)</f>
        <v/>
      </c>
      <c r="R500" s="33">
        <f>IF(OR($B$498="",11&gt;$C$4),"",N(R499)-R498)</f>
        <v/>
      </c>
      <c r="S500" s="33">
        <f>IF(OR($B$498="",12&gt;$C$4),"",N(S499)-S498)</f>
        <v/>
      </c>
      <c r="T500" s="33">
        <f>IF($B$498="","",T499-T498)</f>
        <v/>
      </c>
      <c r="U500" s="33">
        <f>IF($B$498="","",U502-U498)</f>
        <v/>
      </c>
      <c r="V500" s="33">
        <f>IF($B$498="","",V502-V498)</f>
        <v/>
      </c>
      <c r="X500" s="22">
        <f>IF($B500="","",IFERROR(INDEX(Cost_Centers!$E:$E,MATCH($B500,Cost_Centers!$A:$A,0)),"(unknown)"))</f>
        <v/>
      </c>
      <c r="Y500" s="22">
        <f>IF($B500="","",IFERROR(INDEX(Cost_Centers!$D:$D,MATCH($B500,Cost_Centers!$A:$A,0)),"(unknown)"))</f>
        <v/>
      </c>
      <c r="Z500" s="22">
        <f>IF(OR($B500="",$G500&lt;&gt;"Variance vs Budget"),"",ABS(N($V500))+ROW()/1000000000)</f>
        <v/>
      </c>
    </row>
    <row r="501">
      <c r="A501" s="13">
        <f>IF(A$498="","",A$498)</f>
        <v/>
      </c>
      <c r="B501" s="13">
        <f>IF(B$498="","",B$498)</f>
        <v/>
      </c>
      <c r="C501" s="13">
        <f>IF(C$498="","",C$498)</f>
        <v/>
      </c>
      <c r="D501" s="13">
        <f>IF(D$498="","",D$498)</f>
        <v/>
      </c>
      <c r="E501" s="13">
        <f>IF(E$498="","",E$498)</f>
        <v/>
      </c>
      <c r="F501" s="13">
        <f>IF(F$498="","",F$498)</f>
        <v/>
      </c>
      <c r="G501" s="7" t="inlineStr">
        <is>
          <t>Forecast (input)</t>
        </is>
      </c>
      <c r="H501" s="34" t="n"/>
      <c r="I501" s="34" t="n"/>
      <c r="J501" s="34" t="n"/>
      <c r="K501" s="34" t="n"/>
      <c r="L501" s="34" t="n"/>
      <c r="M501" s="34" t="n"/>
      <c r="N501" s="34" t="n"/>
      <c r="O501" s="34" t="n"/>
      <c r="P501" s="34" t="n"/>
      <c r="Q501" s="34" t="n"/>
      <c r="R501" s="34" t="n"/>
      <c r="S501" s="34" t="n"/>
      <c r="T501" s="18" t="n"/>
      <c r="U501" s="18" t="n"/>
      <c r="V501" s="18" t="n"/>
      <c r="X501" s="22">
        <f>IF($B501="","",IFERROR(INDEX(Cost_Centers!$E:$E,MATCH($B501,Cost_Centers!$A:$A,0)),"(unknown)"))</f>
        <v/>
      </c>
      <c r="Y501" s="22">
        <f>IF($B501="","",IFERROR(INDEX(Cost_Centers!$D:$D,MATCH($B501,Cost_Centers!$A:$A,0)),"(unknown)"))</f>
        <v/>
      </c>
      <c r="Z501" s="22">
        <f>IF(OR($B501="",$G501&lt;&gt;"Variance vs Budget"),"",ABS(N($V501))+ROW()/1000000000)</f>
        <v/>
      </c>
    </row>
    <row r="502">
      <c r="A502" s="13">
        <f>IF(A$498="","",A$498)</f>
        <v/>
      </c>
      <c r="B502" s="13">
        <f>IF(B$498="","",B$498)</f>
        <v/>
      </c>
      <c r="C502" s="13">
        <f>IF(C$498="","",C$498)</f>
        <v/>
      </c>
      <c r="D502" s="13">
        <f>IF(D$498="","",D$498)</f>
        <v/>
      </c>
      <c r="E502" s="13">
        <f>IF(E$498="","",E$498)</f>
        <v/>
      </c>
      <c r="F502" s="13">
        <f>IF(F$498="","",F$498)</f>
        <v/>
      </c>
      <c r="G502" s="35" t="inlineStr">
        <is>
          <t>Actual + Forecast</t>
        </is>
      </c>
      <c r="H502" s="18">
        <f>IF($B$498="","",IF(1&lt;=$C$4,N(H499),IF(H501="",H498,H501)))</f>
        <v/>
      </c>
      <c r="I502" s="18">
        <f>IF($B$498="","",IF(2&lt;=$C$4,N(I499),IF(I501="",I498,I501)))</f>
        <v/>
      </c>
      <c r="J502" s="18">
        <f>IF($B$498="","",IF(3&lt;=$C$4,N(J499),IF(J501="",J498,J501)))</f>
        <v/>
      </c>
      <c r="K502" s="18">
        <f>IF($B$498="","",IF(4&lt;=$C$4,N(K499),IF(K501="",K498,K501)))</f>
        <v/>
      </c>
      <c r="L502" s="18">
        <f>IF($B$498="","",IF(5&lt;=$C$4,N(L499),IF(L501="",L498,L501)))</f>
        <v/>
      </c>
      <c r="M502" s="18">
        <f>IF($B$498="","",IF(6&lt;=$C$4,N(M499),IF(M501="",M498,M501)))</f>
        <v/>
      </c>
      <c r="N502" s="18">
        <f>IF($B$498="","",IF(7&lt;=$C$4,N(N499),IF(N501="",N498,N501)))</f>
        <v/>
      </c>
      <c r="O502" s="18">
        <f>IF($B$498="","",IF(8&lt;=$C$4,N(O499),IF(O501="",O498,O501)))</f>
        <v/>
      </c>
      <c r="P502" s="18">
        <f>IF($B$498="","",IF(9&lt;=$C$4,N(P499),IF(P501="",P498,P501)))</f>
        <v/>
      </c>
      <c r="Q502" s="18">
        <f>IF($B$498="","",IF(10&lt;=$C$4,N(Q499),IF(Q501="",Q498,Q501)))</f>
        <v/>
      </c>
      <c r="R502" s="18">
        <f>IF($B$498="","",IF(11&lt;=$C$4,N(R499),IF(R501="",R498,R501)))</f>
        <v/>
      </c>
      <c r="S502" s="18">
        <f>IF($B$498="","",IF(12&lt;=$C$4,N(S499),IF(S501="",S498,S501)))</f>
        <v/>
      </c>
      <c r="T502" s="18">
        <f>IF($B$498="","",SUMIF($H$7:$S$7,"&lt;="&amp;$C$4,$H502:$S502))</f>
        <v/>
      </c>
      <c r="U502" s="18">
        <f>IF($B$498="","",SUMIF($H$7:$S$7,"&gt;"&amp;$C$4,$H502:$S502))</f>
        <v/>
      </c>
      <c r="V502" s="18">
        <f>IF($B$498="","",SUM($H502:$S502))</f>
        <v/>
      </c>
      <c r="X502" s="22">
        <f>IF($B502="","",IFERROR(INDEX(Cost_Centers!$E:$E,MATCH($B502,Cost_Centers!$A:$A,0)),"(unknown)"))</f>
        <v/>
      </c>
      <c r="Y502" s="22">
        <f>IF($B502="","",IFERROR(INDEX(Cost_Centers!$D:$D,MATCH($B502,Cost_Centers!$A:$A,0)),"(unknown)"))</f>
        <v/>
      </c>
      <c r="Z502" s="22">
        <f>IF(OR($B502="",$G502&lt;&gt;"Variance vs Budget"),"",ABS(N($V502))+ROW()/1000000000)</f>
        <v/>
      </c>
    </row>
    <row r="503">
      <c r="A503" s="13">
        <f>IF(A$498="","",A$498)</f>
        <v/>
      </c>
      <c r="B503" s="13">
        <f>IF(B$498="","",B$498)</f>
        <v/>
      </c>
      <c r="C503" s="13">
        <f>IF(C$498="","",C$498)</f>
        <v/>
      </c>
      <c r="D503" s="13">
        <f>IF(D$498="","",D$498)</f>
        <v/>
      </c>
      <c r="E503" s="13">
        <f>IF(E$498="","",E$498)</f>
        <v/>
      </c>
      <c r="F503" s="13">
        <f>IF(F$498="","",F$498)</f>
        <v/>
      </c>
      <c r="G503" s="36" t="inlineStr">
        <is>
          <t>Prior Month Forecast</t>
        </is>
      </c>
      <c r="H503" s="37">
        <f>IF($B$498="","",IF(COUNTIFS(Prior_Forecast!$A:$A,$B$498,Prior_Forecast!$B:$B,$D$498)&gt;0,SUMIFS(Prior_Forecast!$C:$C,Prior_Forecast!$A:$A,$B$498,Prior_Forecast!$B:$B,$D$498),""))</f>
        <v/>
      </c>
      <c r="I503" s="37">
        <f>IF($B$498="","",IF(COUNTIFS(Prior_Forecast!$A:$A,$B$498,Prior_Forecast!$B:$B,$D$498)&gt;0,SUMIFS(Prior_Forecast!$D:$D,Prior_Forecast!$A:$A,$B$498,Prior_Forecast!$B:$B,$D$498),""))</f>
        <v/>
      </c>
      <c r="J503" s="37">
        <f>IF($B$498="","",IF(COUNTIFS(Prior_Forecast!$A:$A,$B$498,Prior_Forecast!$B:$B,$D$498)&gt;0,SUMIFS(Prior_Forecast!$E:$E,Prior_Forecast!$A:$A,$B$498,Prior_Forecast!$B:$B,$D$498),""))</f>
        <v/>
      </c>
      <c r="K503" s="37">
        <f>IF($B$498="","",IF(COUNTIFS(Prior_Forecast!$A:$A,$B$498,Prior_Forecast!$B:$B,$D$498)&gt;0,SUMIFS(Prior_Forecast!$F:$F,Prior_Forecast!$A:$A,$B$498,Prior_Forecast!$B:$B,$D$498),""))</f>
        <v/>
      </c>
      <c r="L503" s="37">
        <f>IF($B$498="","",IF(COUNTIFS(Prior_Forecast!$A:$A,$B$498,Prior_Forecast!$B:$B,$D$498)&gt;0,SUMIFS(Prior_Forecast!$G:$G,Prior_Forecast!$A:$A,$B$498,Prior_Forecast!$B:$B,$D$498),""))</f>
        <v/>
      </c>
      <c r="M503" s="37">
        <f>IF($B$498="","",IF(COUNTIFS(Prior_Forecast!$A:$A,$B$498,Prior_Forecast!$B:$B,$D$498)&gt;0,SUMIFS(Prior_Forecast!$H:$H,Prior_Forecast!$A:$A,$B$498,Prior_Forecast!$B:$B,$D$498),""))</f>
        <v/>
      </c>
      <c r="N503" s="37">
        <f>IF($B$498="","",IF(COUNTIFS(Prior_Forecast!$A:$A,$B$498,Prior_Forecast!$B:$B,$D$498)&gt;0,SUMIFS(Prior_Forecast!$I:$I,Prior_Forecast!$A:$A,$B$498,Prior_Forecast!$B:$B,$D$498),""))</f>
        <v/>
      </c>
      <c r="O503" s="37">
        <f>IF($B$498="","",IF(COUNTIFS(Prior_Forecast!$A:$A,$B$498,Prior_Forecast!$B:$B,$D$498)&gt;0,SUMIFS(Prior_Forecast!$J:$J,Prior_Forecast!$A:$A,$B$498,Prior_Forecast!$B:$B,$D$498),""))</f>
        <v/>
      </c>
      <c r="P503" s="37">
        <f>IF($B$498="","",IF(COUNTIFS(Prior_Forecast!$A:$A,$B$498,Prior_Forecast!$B:$B,$D$498)&gt;0,SUMIFS(Prior_Forecast!$K:$K,Prior_Forecast!$A:$A,$B$498,Prior_Forecast!$B:$B,$D$498),""))</f>
        <v/>
      </c>
      <c r="Q503" s="37">
        <f>IF($B$498="","",IF(COUNTIFS(Prior_Forecast!$A:$A,$B$498,Prior_Forecast!$B:$B,$D$498)&gt;0,SUMIFS(Prior_Forecast!$L:$L,Prior_Forecast!$A:$A,$B$498,Prior_Forecast!$B:$B,$D$498),""))</f>
        <v/>
      </c>
      <c r="R503" s="37">
        <f>IF($B$498="","",IF(COUNTIFS(Prior_Forecast!$A:$A,$B$498,Prior_Forecast!$B:$B,$D$498)&gt;0,SUMIFS(Prior_Forecast!$M:$M,Prior_Forecast!$A:$A,$B$498,Prior_Forecast!$B:$B,$D$498),""))</f>
        <v/>
      </c>
      <c r="S503" s="37">
        <f>IF($B$498="","",IF(COUNTIFS(Prior_Forecast!$A:$A,$B$498,Prior_Forecast!$B:$B,$D$498)&gt;0,SUMIFS(Prior_Forecast!$N:$N,Prior_Forecast!$A:$A,$B$498,Prior_Forecast!$B:$B,$D$498),""))</f>
        <v/>
      </c>
      <c r="T503" s="37">
        <f>IF($B$498="","",IF(COUNTIFS(Prior_Forecast!$A:$A,$B$498,Prior_Forecast!$B:$B,$D$498)&gt;0,SUMIFS(Prior_Forecast!$O:$O,Prior_Forecast!$A:$A,$B$498,Prior_Forecast!$B:$B,$D$498),""))</f>
        <v/>
      </c>
      <c r="U503" s="37">
        <f>IF($B$498="","",IF(COUNTIFS(Prior_Forecast!$A:$A,$B$498,Prior_Forecast!$B:$B,$D$498)&gt;0,SUMIFS(Prior_Forecast!$P:$P,Prior_Forecast!$A:$A,$B$498,Prior_Forecast!$B:$B,$D$498),""))</f>
        <v/>
      </c>
      <c r="V503" s="37">
        <f>IF($B$498="","",IF(COUNTIFS(Prior_Forecast!$A:$A,$B$498,Prior_Forecast!$B:$B,$D$498)&gt;0,SUMIFS(Prior_Forecast!$Q:$Q,Prior_Forecast!$A:$A,$B$498,Prior_Forecast!$B:$B,$D$498),""))</f>
        <v/>
      </c>
      <c r="X503" s="22">
        <f>IF($B503="","",IFERROR(INDEX(Cost_Centers!$E:$E,MATCH($B503,Cost_Centers!$A:$A,0)),"(unknown)"))</f>
        <v/>
      </c>
      <c r="Y503" s="22">
        <f>IF($B503="","",IFERROR(INDEX(Cost_Centers!$D:$D,MATCH($B503,Cost_Centers!$A:$A,0)),"(unknown)"))</f>
        <v/>
      </c>
      <c r="Z503" s="22">
        <f>IF(OR($B503="",$G503&lt;&gt;"Variance vs Budget"),"",ABS(N($V503))+ROW()/1000000000)</f>
        <v/>
      </c>
    </row>
    <row r="504">
      <c r="A504" s="13">
        <f>IF(A$498="","",A$498)</f>
        <v/>
      </c>
      <c r="B504" s="13">
        <f>IF(B$498="","",B$498)</f>
        <v/>
      </c>
      <c r="C504" s="13">
        <f>IF(C$498="","",C$498)</f>
        <v/>
      </c>
      <c r="D504" s="13">
        <f>IF(D$498="","",D$498)</f>
        <v/>
      </c>
      <c r="E504" s="13">
        <f>IF(E$498="","",E$498)</f>
        <v/>
      </c>
      <c r="F504" s="13">
        <f>IF(F$498="","",F$498)</f>
        <v/>
      </c>
      <c r="G504" s="6" t="inlineStr">
        <is>
          <t>Variance vs Prior Month</t>
        </is>
      </c>
      <c r="H504" s="33">
        <f>IF(OR($B$498="",H503=""),"",H502-H503)</f>
        <v/>
      </c>
      <c r="I504" s="33">
        <f>IF(OR($B$498="",I503=""),"",I502-I503)</f>
        <v/>
      </c>
      <c r="J504" s="33">
        <f>IF(OR($B$498="",J503=""),"",J502-J503)</f>
        <v/>
      </c>
      <c r="K504" s="33">
        <f>IF(OR($B$498="",K503=""),"",K502-K503)</f>
        <v/>
      </c>
      <c r="L504" s="33">
        <f>IF(OR($B$498="",L503=""),"",L502-L503)</f>
        <v/>
      </c>
      <c r="M504" s="33">
        <f>IF(OR($B$498="",M503=""),"",M502-M503)</f>
        <v/>
      </c>
      <c r="N504" s="33">
        <f>IF(OR($B$498="",N503=""),"",N502-N503)</f>
        <v/>
      </c>
      <c r="O504" s="33">
        <f>IF(OR($B$498="",O503=""),"",O502-O503)</f>
        <v/>
      </c>
      <c r="P504" s="33">
        <f>IF(OR($B$498="",P503=""),"",P502-P503)</f>
        <v/>
      </c>
      <c r="Q504" s="33">
        <f>IF(OR($B$498="",Q503=""),"",Q502-Q503)</f>
        <v/>
      </c>
      <c r="R504" s="33">
        <f>IF(OR($B$498="",R503=""),"",R502-R503)</f>
        <v/>
      </c>
      <c r="S504" s="33">
        <f>IF(OR($B$498="",S503=""),"",S502-S503)</f>
        <v/>
      </c>
      <c r="T504" s="33">
        <f>IF(OR($B$498="",T503=""),"",T502-T503)</f>
        <v/>
      </c>
      <c r="U504" s="33">
        <f>IF(OR($B$498="",U503=""),"",U502-U503)</f>
        <v/>
      </c>
      <c r="V504" s="33">
        <f>IF(OR($B$498="",V503=""),"",V502-V503)</f>
        <v/>
      </c>
      <c r="X504" s="22">
        <f>IF($B504="","",IFERROR(INDEX(Cost_Centers!$E:$E,MATCH($B504,Cost_Centers!$A:$A,0)),"(unknown)"))</f>
        <v/>
      </c>
      <c r="Y504" s="22">
        <f>IF($B504="","",IFERROR(INDEX(Cost_Centers!$D:$D,MATCH($B504,Cost_Centers!$A:$A,0)),"(unknown)"))</f>
        <v/>
      </c>
      <c r="Z504" s="22">
        <f>IF(OR($B504="",$G504&lt;&gt;"Variance vs Budget"),"",ABS(N($V504))+ROW()/1000000000)</f>
        <v/>
      </c>
    </row>
    <row r="505" ht="45" customHeight="1">
      <c r="A505" s="13">
        <f>IF(A$498="","",A$498)</f>
        <v/>
      </c>
      <c r="B505" s="13">
        <f>IF(B$498="","",B$498)</f>
        <v/>
      </c>
      <c r="C505" s="13">
        <f>IF(C$498="","",C$498)</f>
        <v/>
      </c>
      <c r="D505" s="13">
        <f>IF(D$498="","",D$498)</f>
        <v/>
      </c>
      <c r="E505" s="13">
        <f>IF(E$498="","",E$498)</f>
        <v/>
      </c>
      <c r="F505" s="13">
        <f>IF(F$498="","",F$498)</f>
        <v/>
      </c>
      <c r="G505" s="7" t="inlineStr">
        <is>
          <t>Rationale</t>
        </is>
      </c>
      <c r="H505" s="38" t="n"/>
      <c r="I505" s="38" t="n"/>
      <c r="J505" s="38" t="n"/>
      <c r="K505" s="38" t="n"/>
      <c r="L505" s="38" t="n"/>
      <c r="M505" s="38" t="n"/>
      <c r="N505" s="38" t="n"/>
      <c r="O505" s="38" t="n"/>
      <c r="P505" s="38" t="n"/>
      <c r="Q505" s="38" t="n"/>
      <c r="R505" s="38" t="n"/>
      <c r="S505" s="38" t="n"/>
      <c r="T505" s="38" t="n"/>
      <c r="U505" s="38" t="n"/>
      <c r="V505" s="7" t="n"/>
      <c r="X505" s="22">
        <f>IF($B505="","",IFERROR(INDEX(Cost_Centers!$E:$E,MATCH($B505,Cost_Centers!$A:$A,0)),"(unknown)"))</f>
        <v/>
      </c>
      <c r="Y505" s="22">
        <f>IF($B505="","",IFERROR(INDEX(Cost_Centers!$D:$D,MATCH($B505,Cost_Centers!$A:$A,0)),"(unknown)"))</f>
        <v/>
      </c>
      <c r="Z505" s="22">
        <f>IF(OR($B505="",$G505&lt;&gt;"Variance vs Budget"),"",ABS(N($V505))+ROW()/1000000000)</f>
        <v/>
      </c>
    </row>
    <row r="506">
      <c r="A506" s="30">
        <f>IF($D$506="","",LEFT($D$506,FIND("|",$D$506&amp;"|")-1))</f>
        <v/>
      </c>
      <c r="B506" s="31" t="n"/>
      <c r="C506" s="30">
        <f>IF($B$506="","",IFERROR(INDEX(Cost_Centers!$B:$B,MATCH($B$506,Cost_Centers!$A:$A,0)),"(not in master)"))</f>
        <v/>
      </c>
      <c r="D506" s="31" t="n"/>
      <c r="E506" s="30">
        <f>IF($D$506="","",IFERROR(INDEX(Accounts!$D:$D,MATCH($D$506,Accounts!$A:$A,0)),"(not in master)"))</f>
        <v/>
      </c>
      <c r="F506" s="31" t="n"/>
      <c r="G506" s="30" t="inlineStr">
        <is>
          <t>Budget</t>
        </is>
      </c>
      <c r="H506" s="32">
        <f>IF($B$506="","",SUMIFS(Opex_Budget!$O:$O,Opex_Budget!$A:$A,$C$3,Opex_Budget!$E:$E,$B$506,Opex_Budget!$F:$F,$D$506,Opex_Budget!$N:$N,"JPY")*$E$5+SUMIFS(Opex_Budget!$O:$O,Opex_Budget!$A:$A,$C$3,Opex_Budget!$E:$E,$B$506,Opex_Budget!$F:$F,$D$506,Opex_Budget!$N:$N,"USD")*$F$5+SUMIFS(Opex_Budget!$O:$O,Opex_Budget!$A:$A,$C$3,Opex_Budget!$E:$E,$B$506,Opex_Budget!$F:$F,$D$506,Opex_Budget!$N:$N,"EUR")*$G$5+SUMIFS(Opex_Budget!$O:$O,Opex_Budget!$A:$A,$C$3,Opex_Budget!$E:$E,$B$506,Opex_Budget!$F:$F,$D$506,Opex_Budget!$N:$N,"GBP")*$H$5)</f>
        <v/>
      </c>
      <c r="I506" s="32">
        <f>IF($B$506="","",SUMIFS(Opex_Budget!$P:$P,Opex_Budget!$A:$A,$C$3,Opex_Budget!$E:$E,$B$506,Opex_Budget!$F:$F,$D$506,Opex_Budget!$N:$N,"JPY")*$E$5+SUMIFS(Opex_Budget!$P:$P,Opex_Budget!$A:$A,$C$3,Opex_Budget!$E:$E,$B$506,Opex_Budget!$F:$F,$D$506,Opex_Budget!$N:$N,"USD")*$F$5+SUMIFS(Opex_Budget!$P:$P,Opex_Budget!$A:$A,$C$3,Opex_Budget!$E:$E,$B$506,Opex_Budget!$F:$F,$D$506,Opex_Budget!$N:$N,"EUR")*$G$5+SUMIFS(Opex_Budget!$P:$P,Opex_Budget!$A:$A,$C$3,Opex_Budget!$E:$E,$B$506,Opex_Budget!$F:$F,$D$506,Opex_Budget!$N:$N,"GBP")*$H$5)</f>
        <v/>
      </c>
      <c r="J506" s="32">
        <f>IF($B$506="","",SUMIFS(Opex_Budget!$Q:$Q,Opex_Budget!$A:$A,$C$3,Opex_Budget!$E:$E,$B$506,Opex_Budget!$F:$F,$D$506,Opex_Budget!$N:$N,"JPY")*$E$5+SUMIFS(Opex_Budget!$Q:$Q,Opex_Budget!$A:$A,$C$3,Opex_Budget!$E:$E,$B$506,Opex_Budget!$F:$F,$D$506,Opex_Budget!$N:$N,"USD")*$F$5+SUMIFS(Opex_Budget!$Q:$Q,Opex_Budget!$A:$A,$C$3,Opex_Budget!$E:$E,$B$506,Opex_Budget!$F:$F,$D$506,Opex_Budget!$N:$N,"EUR")*$G$5+SUMIFS(Opex_Budget!$Q:$Q,Opex_Budget!$A:$A,$C$3,Opex_Budget!$E:$E,$B$506,Opex_Budget!$F:$F,$D$506,Opex_Budget!$N:$N,"GBP")*$H$5)</f>
        <v/>
      </c>
      <c r="K506" s="32">
        <f>IF($B$506="","",SUMIFS(Opex_Budget!$R:$R,Opex_Budget!$A:$A,$C$3,Opex_Budget!$E:$E,$B$506,Opex_Budget!$F:$F,$D$506,Opex_Budget!$N:$N,"JPY")*$E$5+SUMIFS(Opex_Budget!$R:$R,Opex_Budget!$A:$A,$C$3,Opex_Budget!$E:$E,$B$506,Opex_Budget!$F:$F,$D$506,Opex_Budget!$N:$N,"USD")*$F$5+SUMIFS(Opex_Budget!$R:$R,Opex_Budget!$A:$A,$C$3,Opex_Budget!$E:$E,$B$506,Opex_Budget!$F:$F,$D$506,Opex_Budget!$N:$N,"EUR")*$G$5+SUMIFS(Opex_Budget!$R:$R,Opex_Budget!$A:$A,$C$3,Opex_Budget!$E:$E,$B$506,Opex_Budget!$F:$F,$D$506,Opex_Budget!$N:$N,"GBP")*$H$5)</f>
        <v/>
      </c>
      <c r="L506" s="32">
        <f>IF($B$506="","",SUMIFS(Opex_Budget!$S:$S,Opex_Budget!$A:$A,$C$3,Opex_Budget!$E:$E,$B$506,Opex_Budget!$F:$F,$D$506,Opex_Budget!$N:$N,"JPY")*$E$5+SUMIFS(Opex_Budget!$S:$S,Opex_Budget!$A:$A,$C$3,Opex_Budget!$E:$E,$B$506,Opex_Budget!$F:$F,$D$506,Opex_Budget!$N:$N,"USD")*$F$5+SUMIFS(Opex_Budget!$S:$S,Opex_Budget!$A:$A,$C$3,Opex_Budget!$E:$E,$B$506,Opex_Budget!$F:$F,$D$506,Opex_Budget!$N:$N,"EUR")*$G$5+SUMIFS(Opex_Budget!$S:$S,Opex_Budget!$A:$A,$C$3,Opex_Budget!$E:$E,$B$506,Opex_Budget!$F:$F,$D$506,Opex_Budget!$N:$N,"GBP")*$H$5)</f>
        <v/>
      </c>
      <c r="M506" s="32">
        <f>IF($B$506="","",SUMIFS(Opex_Budget!$T:$T,Opex_Budget!$A:$A,$C$3,Opex_Budget!$E:$E,$B$506,Opex_Budget!$F:$F,$D$506,Opex_Budget!$N:$N,"JPY")*$E$5+SUMIFS(Opex_Budget!$T:$T,Opex_Budget!$A:$A,$C$3,Opex_Budget!$E:$E,$B$506,Opex_Budget!$F:$F,$D$506,Opex_Budget!$N:$N,"USD")*$F$5+SUMIFS(Opex_Budget!$T:$T,Opex_Budget!$A:$A,$C$3,Opex_Budget!$E:$E,$B$506,Opex_Budget!$F:$F,$D$506,Opex_Budget!$N:$N,"EUR")*$G$5+SUMIFS(Opex_Budget!$T:$T,Opex_Budget!$A:$A,$C$3,Opex_Budget!$E:$E,$B$506,Opex_Budget!$F:$F,$D$506,Opex_Budget!$N:$N,"GBP")*$H$5)</f>
        <v/>
      </c>
      <c r="N506" s="32">
        <f>IF($B$506="","",SUMIFS(Opex_Budget!$U:$U,Opex_Budget!$A:$A,$C$3,Opex_Budget!$E:$E,$B$506,Opex_Budget!$F:$F,$D$506,Opex_Budget!$N:$N,"JPY")*$E$5+SUMIFS(Opex_Budget!$U:$U,Opex_Budget!$A:$A,$C$3,Opex_Budget!$E:$E,$B$506,Opex_Budget!$F:$F,$D$506,Opex_Budget!$N:$N,"USD")*$F$5+SUMIFS(Opex_Budget!$U:$U,Opex_Budget!$A:$A,$C$3,Opex_Budget!$E:$E,$B$506,Opex_Budget!$F:$F,$D$506,Opex_Budget!$N:$N,"EUR")*$G$5+SUMIFS(Opex_Budget!$U:$U,Opex_Budget!$A:$A,$C$3,Opex_Budget!$E:$E,$B$506,Opex_Budget!$F:$F,$D$506,Opex_Budget!$N:$N,"GBP")*$H$5)</f>
        <v/>
      </c>
      <c r="O506" s="32">
        <f>IF($B$506="","",SUMIFS(Opex_Budget!$V:$V,Opex_Budget!$A:$A,$C$3,Opex_Budget!$E:$E,$B$506,Opex_Budget!$F:$F,$D$506,Opex_Budget!$N:$N,"JPY")*$E$5+SUMIFS(Opex_Budget!$V:$V,Opex_Budget!$A:$A,$C$3,Opex_Budget!$E:$E,$B$506,Opex_Budget!$F:$F,$D$506,Opex_Budget!$N:$N,"USD")*$F$5+SUMIFS(Opex_Budget!$V:$V,Opex_Budget!$A:$A,$C$3,Opex_Budget!$E:$E,$B$506,Opex_Budget!$F:$F,$D$506,Opex_Budget!$N:$N,"EUR")*$G$5+SUMIFS(Opex_Budget!$V:$V,Opex_Budget!$A:$A,$C$3,Opex_Budget!$E:$E,$B$506,Opex_Budget!$F:$F,$D$506,Opex_Budget!$N:$N,"GBP")*$H$5)</f>
        <v/>
      </c>
      <c r="P506" s="32">
        <f>IF($B$506="","",SUMIFS(Opex_Budget!$W:$W,Opex_Budget!$A:$A,$C$3,Opex_Budget!$E:$E,$B$506,Opex_Budget!$F:$F,$D$506,Opex_Budget!$N:$N,"JPY")*$E$5+SUMIFS(Opex_Budget!$W:$W,Opex_Budget!$A:$A,$C$3,Opex_Budget!$E:$E,$B$506,Opex_Budget!$F:$F,$D$506,Opex_Budget!$N:$N,"USD")*$F$5+SUMIFS(Opex_Budget!$W:$W,Opex_Budget!$A:$A,$C$3,Opex_Budget!$E:$E,$B$506,Opex_Budget!$F:$F,$D$506,Opex_Budget!$N:$N,"EUR")*$G$5+SUMIFS(Opex_Budget!$W:$W,Opex_Budget!$A:$A,$C$3,Opex_Budget!$E:$E,$B$506,Opex_Budget!$F:$F,$D$506,Opex_Budget!$N:$N,"GBP")*$H$5)</f>
        <v/>
      </c>
      <c r="Q506" s="32">
        <f>IF($B$506="","",SUMIFS(Opex_Budget!$X:$X,Opex_Budget!$A:$A,$C$3,Opex_Budget!$E:$E,$B$506,Opex_Budget!$F:$F,$D$506,Opex_Budget!$N:$N,"JPY")*$E$5+SUMIFS(Opex_Budget!$X:$X,Opex_Budget!$A:$A,$C$3,Opex_Budget!$E:$E,$B$506,Opex_Budget!$F:$F,$D$506,Opex_Budget!$N:$N,"USD")*$F$5+SUMIFS(Opex_Budget!$X:$X,Opex_Budget!$A:$A,$C$3,Opex_Budget!$E:$E,$B$506,Opex_Budget!$F:$F,$D$506,Opex_Budget!$N:$N,"EUR")*$G$5+SUMIFS(Opex_Budget!$X:$X,Opex_Budget!$A:$A,$C$3,Opex_Budget!$E:$E,$B$506,Opex_Budget!$F:$F,$D$506,Opex_Budget!$N:$N,"GBP")*$H$5)</f>
        <v/>
      </c>
      <c r="R506" s="32">
        <f>IF($B$506="","",SUMIFS(Opex_Budget!$Y:$Y,Opex_Budget!$A:$A,$C$3,Opex_Budget!$E:$E,$B$506,Opex_Budget!$F:$F,$D$506,Opex_Budget!$N:$N,"JPY")*$E$5+SUMIFS(Opex_Budget!$Y:$Y,Opex_Budget!$A:$A,$C$3,Opex_Budget!$E:$E,$B$506,Opex_Budget!$F:$F,$D$506,Opex_Budget!$N:$N,"USD")*$F$5+SUMIFS(Opex_Budget!$Y:$Y,Opex_Budget!$A:$A,$C$3,Opex_Budget!$E:$E,$B$506,Opex_Budget!$F:$F,$D$506,Opex_Budget!$N:$N,"EUR")*$G$5+SUMIFS(Opex_Budget!$Y:$Y,Opex_Budget!$A:$A,$C$3,Opex_Budget!$E:$E,$B$506,Opex_Budget!$F:$F,$D$506,Opex_Budget!$N:$N,"GBP")*$H$5)</f>
        <v/>
      </c>
      <c r="S506" s="32">
        <f>IF($B$506="","",SUMIFS(Opex_Budget!$Z:$Z,Opex_Budget!$A:$A,$C$3,Opex_Budget!$E:$E,$B$506,Opex_Budget!$F:$F,$D$506,Opex_Budget!$N:$N,"JPY")*$E$5+SUMIFS(Opex_Budget!$Z:$Z,Opex_Budget!$A:$A,$C$3,Opex_Budget!$E:$E,$B$506,Opex_Budget!$F:$F,$D$506,Opex_Budget!$N:$N,"USD")*$F$5+SUMIFS(Opex_Budget!$Z:$Z,Opex_Budget!$A:$A,$C$3,Opex_Budget!$E:$E,$B$506,Opex_Budget!$F:$F,$D$506,Opex_Budget!$N:$N,"EUR")*$G$5+SUMIFS(Opex_Budget!$Z:$Z,Opex_Budget!$A:$A,$C$3,Opex_Budget!$E:$E,$B$506,Opex_Budget!$F:$F,$D$506,Opex_Budget!$N:$N,"GBP")*$H$5)</f>
        <v/>
      </c>
      <c r="T506" s="32">
        <f>IF($B$506="","",SUMIF($H$7:$S$7,"&lt;="&amp;$C$4,$H506:$S506))</f>
        <v/>
      </c>
      <c r="U506" s="32">
        <f>IF($B$506="","",SUMIF($H$7:$S$7,"&gt;"&amp;$C$4,$H506:$S506))</f>
        <v/>
      </c>
      <c r="V506" s="32">
        <f>IF($B$506="","",SUM($H506:$S506))</f>
        <v/>
      </c>
      <c r="X506" s="22">
        <f>IF($B506="","",IFERROR(INDEX(Cost_Centers!$E:$E,MATCH($B506,Cost_Centers!$A:$A,0)),"(unknown)"))</f>
        <v/>
      </c>
      <c r="Y506" s="22">
        <f>IF($B506="","",IFERROR(INDEX(Cost_Centers!$D:$D,MATCH($B506,Cost_Centers!$A:$A,0)),"(unknown)"))</f>
        <v/>
      </c>
      <c r="Z506" s="22">
        <f>IF(OR($B506="",$G506&lt;&gt;"Variance vs Budget"),"",ABS(N($V506))+ROW()/1000000000)</f>
        <v/>
      </c>
    </row>
    <row r="507">
      <c r="A507" s="13">
        <f>IF(A$506="","",A$506)</f>
        <v/>
      </c>
      <c r="B507" s="13">
        <f>IF(B$506="","",B$506)</f>
        <v/>
      </c>
      <c r="C507" s="13">
        <f>IF(C$506="","",C$506)</f>
        <v/>
      </c>
      <c r="D507" s="13">
        <f>IF(D$506="","",D$506)</f>
        <v/>
      </c>
      <c r="E507" s="13">
        <f>IF(E$506="","",E$506)</f>
        <v/>
      </c>
      <c r="F507" s="13">
        <f>IF(F$506="","",F$506)</f>
        <v/>
      </c>
      <c r="G507" s="7" t="inlineStr">
        <is>
          <t>Actual</t>
        </is>
      </c>
      <c r="H507" s="18">
        <f>IF(OR($B$506="",1&gt;$C$4),"",SUMIFS(Actuals!$G:$G,Actuals!$B:$B,$C$3,Actuals!$C:$C,1,Actuals!$D:$D,$B$506,Actuals!$A:$A,LEFT($D$506,FIND("|",$D$506&amp;"|")-1),Actuals!$E:$E,MID($D$506,FIND("|",$D$506&amp;"|")+1,50),Actuals!$F:$F,"JPY")*$E$5+SUMIFS(Actuals!$G:$G,Actuals!$B:$B,$C$3,Actuals!$C:$C,1,Actuals!$D:$D,$B$506,Actuals!$A:$A,LEFT($D$506,FIND("|",$D$506&amp;"|")-1),Actuals!$E:$E,MID($D$506,FIND("|",$D$506&amp;"|")+1,50),Actuals!$F:$F,"USD")*$F$5+SUMIFS(Actuals!$G:$G,Actuals!$B:$B,$C$3,Actuals!$C:$C,1,Actuals!$D:$D,$B$506,Actuals!$A:$A,LEFT($D$506,FIND("|",$D$506&amp;"|")-1),Actuals!$E:$E,MID($D$506,FIND("|",$D$506&amp;"|")+1,50),Actuals!$F:$F,"EUR")*$G$5+SUMIFS(Actuals!$G:$G,Actuals!$B:$B,$C$3,Actuals!$C:$C,1,Actuals!$D:$D,$B$506,Actuals!$A:$A,LEFT($D$506,FIND("|",$D$506&amp;"|")-1),Actuals!$E:$E,MID($D$506,FIND("|",$D$506&amp;"|")+1,50),Actuals!$F:$F,"GBP")*$H$5)</f>
        <v/>
      </c>
      <c r="I507" s="18">
        <f>IF(OR($B$506="",2&gt;$C$4),"",SUMIFS(Actuals!$G:$G,Actuals!$B:$B,$C$3,Actuals!$C:$C,2,Actuals!$D:$D,$B$506,Actuals!$A:$A,LEFT($D$506,FIND("|",$D$506&amp;"|")-1),Actuals!$E:$E,MID($D$506,FIND("|",$D$506&amp;"|")+1,50),Actuals!$F:$F,"JPY")*$E$5+SUMIFS(Actuals!$G:$G,Actuals!$B:$B,$C$3,Actuals!$C:$C,2,Actuals!$D:$D,$B$506,Actuals!$A:$A,LEFT($D$506,FIND("|",$D$506&amp;"|")-1),Actuals!$E:$E,MID($D$506,FIND("|",$D$506&amp;"|")+1,50),Actuals!$F:$F,"USD")*$F$5+SUMIFS(Actuals!$G:$G,Actuals!$B:$B,$C$3,Actuals!$C:$C,2,Actuals!$D:$D,$B$506,Actuals!$A:$A,LEFT($D$506,FIND("|",$D$506&amp;"|")-1),Actuals!$E:$E,MID($D$506,FIND("|",$D$506&amp;"|")+1,50),Actuals!$F:$F,"EUR")*$G$5+SUMIFS(Actuals!$G:$G,Actuals!$B:$B,$C$3,Actuals!$C:$C,2,Actuals!$D:$D,$B$506,Actuals!$A:$A,LEFT($D$506,FIND("|",$D$506&amp;"|")-1),Actuals!$E:$E,MID($D$506,FIND("|",$D$506&amp;"|")+1,50),Actuals!$F:$F,"GBP")*$H$5)</f>
        <v/>
      </c>
      <c r="J507" s="18">
        <f>IF(OR($B$506="",3&gt;$C$4),"",SUMIFS(Actuals!$G:$G,Actuals!$B:$B,$C$3,Actuals!$C:$C,3,Actuals!$D:$D,$B$506,Actuals!$A:$A,LEFT($D$506,FIND("|",$D$506&amp;"|")-1),Actuals!$E:$E,MID($D$506,FIND("|",$D$506&amp;"|")+1,50),Actuals!$F:$F,"JPY")*$E$5+SUMIFS(Actuals!$G:$G,Actuals!$B:$B,$C$3,Actuals!$C:$C,3,Actuals!$D:$D,$B$506,Actuals!$A:$A,LEFT($D$506,FIND("|",$D$506&amp;"|")-1),Actuals!$E:$E,MID($D$506,FIND("|",$D$506&amp;"|")+1,50),Actuals!$F:$F,"USD")*$F$5+SUMIFS(Actuals!$G:$G,Actuals!$B:$B,$C$3,Actuals!$C:$C,3,Actuals!$D:$D,$B$506,Actuals!$A:$A,LEFT($D$506,FIND("|",$D$506&amp;"|")-1),Actuals!$E:$E,MID($D$506,FIND("|",$D$506&amp;"|")+1,50),Actuals!$F:$F,"EUR")*$G$5+SUMIFS(Actuals!$G:$G,Actuals!$B:$B,$C$3,Actuals!$C:$C,3,Actuals!$D:$D,$B$506,Actuals!$A:$A,LEFT($D$506,FIND("|",$D$506&amp;"|")-1),Actuals!$E:$E,MID($D$506,FIND("|",$D$506&amp;"|")+1,50),Actuals!$F:$F,"GBP")*$H$5)</f>
        <v/>
      </c>
      <c r="K507" s="18">
        <f>IF(OR($B$506="",4&gt;$C$4),"",SUMIFS(Actuals!$G:$G,Actuals!$B:$B,$C$3,Actuals!$C:$C,4,Actuals!$D:$D,$B$506,Actuals!$A:$A,LEFT($D$506,FIND("|",$D$506&amp;"|")-1),Actuals!$E:$E,MID($D$506,FIND("|",$D$506&amp;"|")+1,50),Actuals!$F:$F,"JPY")*$E$5+SUMIFS(Actuals!$G:$G,Actuals!$B:$B,$C$3,Actuals!$C:$C,4,Actuals!$D:$D,$B$506,Actuals!$A:$A,LEFT($D$506,FIND("|",$D$506&amp;"|")-1),Actuals!$E:$E,MID($D$506,FIND("|",$D$506&amp;"|")+1,50),Actuals!$F:$F,"USD")*$F$5+SUMIFS(Actuals!$G:$G,Actuals!$B:$B,$C$3,Actuals!$C:$C,4,Actuals!$D:$D,$B$506,Actuals!$A:$A,LEFT($D$506,FIND("|",$D$506&amp;"|")-1),Actuals!$E:$E,MID($D$506,FIND("|",$D$506&amp;"|")+1,50),Actuals!$F:$F,"EUR")*$G$5+SUMIFS(Actuals!$G:$G,Actuals!$B:$B,$C$3,Actuals!$C:$C,4,Actuals!$D:$D,$B$506,Actuals!$A:$A,LEFT($D$506,FIND("|",$D$506&amp;"|")-1),Actuals!$E:$E,MID($D$506,FIND("|",$D$506&amp;"|")+1,50),Actuals!$F:$F,"GBP")*$H$5)</f>
        <v/>
      </c>
      <c r="L507" s="18">
        <f>IF(OR($B$506="",5&gt;$C$4),"",SUMIFS(Actuals!$G:$G,Actuals!$B:$B,$C$3,Actuals!$C:$C,5,Actuals!$D:$D,$B$506,Actuals!$A:$A,LEFT($D$506,FIND("|",$D$506&amp;"|")-1),Actuals!$E:$E,MID($D$506,FIND("|",$D$506&amp;"|")+1,50),Actuals!$F:$F,"JPY")*$E$5+SUMIFS(Actuals!$G:$G,Actuals!$B:$B,$C$3,Actuals!$C:$C,5,Actuals!$D:$D,$B$506,Actuals!$A:$A,LEFT($D$506,FIND("|",$D$506&amp;"|")-1),Actuals!$E:$E,MID($D$506,FIND("|",$D$506&amp;"|")+1,50),Actuals!$F:$F,"USD")*$F$5+SUMIFS(Actuals!$G:$G,Actuals!$B:$B,$C$3,Actuals!$C:$C,5,Actuals!$D:$D,$B$506,Actuals!$A:$A,LEFT($D$506,FIND("|",$D$506&amp;"|")-1),Actuals!$E:$E,MID($D$506,FIND("|",$D$506&amp;"|")+1,50),Actuals!$F:$F,"EUR")*$G$5+SUMIFS(Actuals!$G:$G,Actuals!$B:$B,$C$3,Actuals!$C:$C,5,Actuals!$D:$D,$B$506,Actuals!$A:$A,LEFT($D$506,FIND("|",$D$506&amp;"|")-1),Actuals!$E:$E,MID($D$506,FIND("|",$D$506&amp;"|")+1,50),Actuals!$F:$F,"GBP")*$H$5)</f>
        <v/>
      </c>
      <c r="M507" s="18">
        <f>IF(OR($B$506="",6&gt;$C$4),"",SUMIFS(Actuals!$G:$G,Actuals!$B:$B,$C$3,Actuals!$C:$C,6,Actuals!$D:$D,$B$506,Actuals!$A:$A,LEFT($D$506,FIND("|",$D$506&amp;"|")-1),Actuals!$E:$E,MID($D$506,FIND("|",$D$506&amp;"|")+1,50),Actuals!$F:$F,"JPY")*$E$5+SUMIFS(Actuals!$G:$G,Actuals!$B:$B,$C$3,Actuals!$C:$C,6,Actuals!$D:$D,$B$506,Actuals!$A:$A,LEFT($D$506,FIND("|",$D$506&amp;"|")-1),Actuals!$E:$E,MID($D$506,FIND("|",$D$506&amp;"|")+1,50),Actuals!$F:$F,"USD")*$F$5+SUMIFS(Actuals!$G:$G,Actuals!$B:$B,$C$3,Actuals!$C:$C,6,Actuals!$D:$D,$B$506,Actuals!$A:$A,LEFT($D$506,FIND("|",$D$506&amp;"|")-1),Actuals!$E:$E,MID($D$506,FIND("|",$D$506&amp;"|")+1,50),Actuals!$F:$F,"EUR")*$G$5+SUMIFS(Actuals!$G:$G,Actuals!$B:$B,$C$3,Actuals!$C:$C,6,Actuals!$D:$D,$B$506,Actuals!$A:$A,LEFT($D$506,FIND("|",$D$506&amp;"|")-1),Actuals!$E:$E,MID($D$506,FIND("|",$D$506&amp;"|")+1,50),Actuals!$F:$F,"GBP")*$H$5)</f>
        <v/>
      </c>
      <c r="N507" s="18">
        <f>IF(OR($B$506="",7&gt;$C$4),"",SUMIFS(Actuals!$G:$G,Actuals!$B:$B,$C$3,Actuals!$C:$C,7,Actuals!$D:$D,$B$506,Actuals!$A:$A,LEFT($D$506,FIND("|",$D$506&amp;"|")-1),Actuals!$E:$E,MID($D$506,FIND("|",$D$506&amp;"|")+1,50),Actuals!$F:$F,"JPY")*$E$5+SUMIFS(Actuals!$G:$G,Actuals!$B:$B,$C$3,Actuals!$C:$C,7,Actuals!$D:$D,$B$506,Actuals!$A:$A,LEFT($D$506,FIND("|",$D$506&amp;"|")-1),Actuals!$E:$E,MID($D$506,FIND("|",$D$506&amp;"|")+1,50),Actuals!$F:$F,"USD")*$F$5+SUMIFS(Actuals!$G:$G,Actuals!$B:$B,$C$3,Actuals!$C:$C,7,Actuals!$D:$D,$B$506,Actuals!$A:$A,LEFT($D$506,FIND("|",$D$506&amp;"|")-1),Actuals!$E:$E,MID($D$506,FIND("|",$D$506&amp;"|")+1,50),Actuals!$F:$F,"EUR")*$G$5+SUMIFS(Actuals!$G:$G,Actuals!$B:$B,$C$3,Actuals!$C:$C,7,Actuals!$D:$D,$B$506,Actuals!$A:$A,LEFT($D$506,FIND("|",$D$506&amp;"|")-1),Actuals!$E:$E,MID($D$506,FIND("|",$D$506&amp;"|")+1,50),Actuals!$F:$F,"GBP")*$H$5)</f>
        <v/>
      </c>
      <c r="O507" s="18">
        <f>IF(OR($B$506="",8&gt;$C$4),"",SUMIFS(Actuals!$G:$G,Actuals!$B:$B,$C$3,Actuals!$C:$C,8,Actuals!$D:$D,$B$506,Actuals!$A:$A,LEFT($D$506,FIND("|",$D$506&amp;"|")-1),Actuals!$E:$E,MID($D$506,FIND("|",$D$506&amp;"|")+1,50),Actuals!$F:$F,"JPY")*$E$5+SUMIFS(Actuals!$G:$G,Actuals!$B:$B,$C$3,Actuals!$C:$C,8,Actuals!$D:$D,$B$506,Actuals!$A:$A,LEFT($D$506,FIND("|",$D$506&amp;"|")-1),Actuals!$E:$E,MID($D$506,FIND("|",$D$506&amp;"|")+1,50),Actuals!$F:$F,"USD")*$F$5+SUMIFS(Actuals!$G:$G,Actuals!$B:$B,$C$3,Actuals!$C:$C,8,Actuals!$D:$D,$B$506,Actuals!$A:$A,LEFT($D$506,FIND("|",$D$506&amp;"|")-1),Actuals!$E:$E,MID($D$506,FIND("|",$D$506&amp;"|")+1,50),Actuals!$F:$F,"EUR")*$G$5+SUMIFS(Actuals!$G:$G,Actuals!$B:$B,$C$3,Actuals!$C:$C,8,Actuals!$D:$D,$B$506,Actuals!$A:$A,LEFT($D$506,FIND("|",$D$506&amp;"|")-1),Actuals!$E:$E,MID($D$506,FIND("|",$D$506&amp;"|")+1,50),Actuals!$F:$F,"GBP")*$H$5)</f>
        <v/>
      </c>
      <c r="P507" s="18">
        <f>IF(OR($B$506="",9&gt;$C$4),"",SUMIFS(Actuals!$G:$G,Actuals!$B:$B,$C$3,Actuals!$C:$C,9,Actuals!$D:$D,$B$506,Actuals!$A:$A,LEFT($D$506,FIND("|",$D$506&amp;"|")-1),Actuals!$E:$E,MID($D$506,FIND("|",$D$506&amp;"|")+1,50),Actuals!$F:$F,"JPY")*$E$5+SUMIFS(Actuals!$G:$G,Actuals!$B:$B,$C$3,Actuals!$C:$C,9,Actuals!$D:$D,$B$506,Actuals!$A:$A,LEFT($D$506,FIND("|",$D$506&amp;"|")-1),Actuals!$E:$E,MID($D$506,FIND("|",$D$506&amp;"|")+1,50),Actuals!$F:$F,"USD")*$F$5+SUMIFS(Actuals!$G:$G,Actuals!$B:$B,$C$3,Actuals!$C:$C,9,Actuals!$D:$D,$B$506,Actuals!$A:$A,LEFT($D$506,FIND("|",$D$506&amp;"|")-1),Actuals!$E:$E,MID($D$506,FIND("|",$D$506&amp;"|")+1,50),Actuals!$F:$F,"EUR")*$G$5+SUMIFS(Actuals!$G:$G,Actuals!$B:$B,$C$3,Actuals!$C:$C,9,Actuals!$D:$D,$B$506,Actuals!$A:$A,LEFT($D$506,FIND("|",$D$506&amp;"|")-1),Actuals!$E:$E,MID($D$506,FIND("|",$D$506&amp;"|")+1,50),Actuals!$F:$F,"GBP")*$H$5)</f>
        <v/>
      </c>
      <c r="Q507" s="18">
        <f>IF(OR($B$506="",10&gt;$C$4),"",SUMIFS(Actuals!$G:$G,Actuals!$B:$B,$C$3,Actuals!$C:$C,10,Actuals!$D:$D,$B$506,Actuals!$A:$A,LEFT($D$506,FIND("|",$D$506&amp;"|")-1),Actuals!$E:$E,MID($D$506,FIND("|",$D$506&amp;"|")+1,50),Actuals!$F:$F,"JPY")*$E$5+SUMIFS(Actuals!$G:$G,Actuals!$B:$B,$C$3,Actuals!$C:$C,10,Actuals!$D:$D,$B$506,Actuals!$A:$A,LEFT($D$506,FIND("|",$D$506&amp;"|")-1),Actuals!$E:$E,MID($D$506,FIND("|",$D$506&amp;"|")+1,50),Actuals!$F:$F,"USD")*$F$5+SUMIFS(Actuals!$G:$G,Actuals!$B:$B,$C$3,Actuals!$C:$C,10,Actuals!$D:$D,$B$506,Actuals!$A:$A,LEFT($D$506,FIND("|",$D$506&amp;"|")-1),Actuals!$E:$E,MID($D$506,FIND("|",$D$506&amp;"|")+1,50),Actuals!$F:$F,"EUR")*$G$5+SUMIFS(Actuals!$G:$G,Actuals!$B:$B,$C$3,Actuals!$C:$C,10,Actuals!$D:$D,$B$506,Actuals!$A:$A,LEFT($D$506,FIND("|",$D$506&amp;"|")-1),Actuals!$E:$E,MID($D$506,FIND("|",$D$506&amp;"|")+1,50),Actuals!$F:$F,"GBP")*$H$5)</f>
        <v/>
      </c>
      <c r="R507" s="18">
        <f>IF(OR($B$506="",11&gt;$C$4),"",SUMIFS(Actuals!$G:$G,Actuals!$B:$B,$C$3,Actuals!$C:$C,11,Actuals!$D:$D,$B$506,Actuals!$A:$A,LEFT($D$506,FIND("|",$D$506&amp;"|")-1),Actuals!$E:$E,MID($D$506,FIND("|",$D$506&amp;"|")+1,50),Actuals!$F:$F,"JPY")*$E$5+SUMIFS(Actuals!$G:$G,Actuals!$B:$B,$C$3,Actuals!$C:$C,11,Actuals!$D:$D,$B$506,Actuals!$A:$A,LEFT($D$506,FIND("|",$D$506&amp;"|")-1),Actuals!$E:$E,MID($D$506,FIND("|",$D$506&amp;"|")+1,50),Actuals!$F:$F,"USD")*$F$5+SUMIFS(Actuals!$G:$G,Actuals!$B:$B,$C$3,Actuals!$C:$C,11,Actuals!$D:$D,$B$506,Actuals!$A:$A,LEFT($D$506,FIND("|",$D$506&amp;"|")-1),Actuals!$E:$E,MID($D$506,FIND("|",$D$506&amp;"|")+1,50),Actuals!$F:$F,"EUR")*$G$5+SUMIFS(Actuals!$G:$G,Actuals!$B:$B,$C$3,Actuals!$C:$C,11,Actuals!$D:$D,$B$506,Actuals!$A:$A,LEFT($D$506,FIND("|",$D$506&amp;"|")-1),Actuals!$E:$E,MID($D$506,FIND("|",$D$506&amp;"|")+1,50),Actuals!$F:$F,"GBP")*$H$5)</f>
        <v/>
      </c>
      <c r="S507" s="18">
        <f>IF(OR($B$506="",12&gt;$C$4),"",SUMIFS(Actuals!$G:$G,Actuals!$B:$B,$C$3,Actuals!$C:$C,12,Actuals!$D:$D,$B$506,Actuals!$A:$A,LEFT($D$506,FIND("|",$D$506&amp;"|")-1),Actuals!$E:$E,MID($D$506,FIND("|",$D$506&amp;"|")+1,50),Actuals!$F:$F,"JPY")*$E$5+SUMIFS(Actuals!$G:$G,Actuals!$B:$B,$C$3,Actuals!$C:$C,12,Actuals!$D:$D,$B$506,Actuals!$A:$A,LEFT($D$506,FIND("|",$D$506&amp;"|")-1),Actuals!$E:$E,MID($D$506,FIND("|",$D$506&amp;"|")+1,50),Actuals!$F:$F,"USD")*$F$5+SUMIFS(Actuals!$G:$G,Actuals!$B:$B,$C$3,Actuals!$C:$C,12,Actuals!$D:$D,$B$506,Actuals!$A:$A,LEFT($D$506,FIND("|",$D$506&amp;"|")-1),Actuals!$E:$E,MID($D$506,FIND("|",$D$506&amp;"|")+1,50),Actuals!$F:$F,"EUR")*$G$5+SUMIFS(Actuals!$G:$G,Actuals!$B:$B,$C$3,Actuals!$C:$C,12,Actuals!$D:$D,$B$506,Actuals!$A:$A,LEFT($D$506,FIND("|",$D$506&amp;"|")-1),Actuals!$E:$E,MID($D$506,FIND("|",$D$506&amp;"|")+1,50),Actuals!$F:$F,"GBP")*$H$5)</f>
        <v/>
      </c>
      <c r="T507" s="18">
        <f>IF($B$506="","",SUMIF($H$7:$S$7,"&lt;="&amp;$C$4,$H507:$S507))</f>
        <v/>
      </c>
      <c r="U507" s="18" t="n"/>
      <c r="V507" s="18" t="n"/>
      <c r="X507" s="22">
        <f>IF($B507="","",IFERROR(INDEX(Cost_Centers!$E:$E,MATCH($B507,Cost_Centers!$A:$A,0)),"(unknown)"))</f>
        <v/>
      </c>
      <c r="Y507" s="22">
        <f>IF($B507="","",IFERROR(INDEX(Cost_Centers!$D:$D,MATCH($B507,Cost_Centers!$A:$A,0)),"(unknown)"))</f>
        <v/>
      </c>
      <c r="Z507" s="22">
        <f>IF(OR($B507="",$G507&lt;&gt;"Variance vs Budget"),"",ABS(N($V507))+ROW()/1000000000)</f>
        <v/>
      </c>
    </row>
    <row r="508">
      <c r="A508" s="13">
        <f>IF(A$506="","",A$506)</f>
        <v/>
      </c>
      <c r="B508" s="13">
        <f>IF(B$506="","",B$506)</f>
        <v/>
      </c>
      <c r="C508" s="13">
        <f>IF(C$506="","",C$506)</f>
        <v/>
      </c>
      <c r="D508" s="13">
        <f>IF(D$506="","",D$506)</f>
        <v/>
      </c>
      <c r="E508" s="13">
        <f>IF(E$506="","",E$506)</f>
        <v/>
      </c>
      <c r="F508" s="13">
        <f>IF(F$506="","",F$506)</f>
        <v/>
      </c>
      <c r="G508" s="6" t="inlineStr">
        <is>
          <t>Variance vs Budget</t>
        </is>
      </c>
      <c r="H508" s="33">
        <f>IF(OR($B$506="",1&gt;$C$4),"",N(H507)-H506)</f>
        <v/>
      </c>
      <c r="I508" s="33">
        <f>IF(OR($B$506="",2&gt;$C$4),"",N(I507)-I506)</f>
        <v/>
      </c>
      <c r="J508" s="33">
        <f>IF(OR($B$506="",3&gt;$C$4),"",N(J507)-J506)</f>
        <v/>
      </c>
      <c r="K508" s="33">
        <f>IF(OR($B$506="",4&gt;$C$4),"",N(K507)-K506)</f>
        <v/>
      </c>
      <c r="L508" s="33">
        <f>IF(OR($B$506="",5&gt;$C$4),"",N(L507)-L506)</f>
        <v/>
      </c>
      <c r="M508" s="33">
        <f>IF(OR($B$506="",6&gt;$C$4),"",N(M507)-M506)</f>
        <v/>
      </c>
      <c r="N508" s="33">
        <f>IF(OR($B$506="",7&gt;$C$4),"",N(N507)-N506)</f>
        <v/>
      </c>
      <c r="O508" s="33">
        <f>IF(OR($B$506="",8&gt;$C$4),"",N(O507)-O506)</f>
        <v/>
      </c>
      <c r="P508" s="33">
        <f>IF(OR($B$506="",9&gt;$C$4),"",N(P507)-P506)</f>
        <v/>
      </c>
      <c r="Q508" s="33">
        <f>IF(OR($B$506="",10&gt;$C$4),"",N(Q507)-Q506)</f>
        <v/>
      </c>
      <c r="R508" s="33">
        <f>IF(OR($B$506="",11&gt;$C$4),"",N(R507)-R506)</f>
        <v/>
      </c>
      <c r="S508" s="33">
        <f>IF(OR($B$506="",12&gt;$C$4),"",N(S507)-S506)</f>
        <v/>
      </c>
      <c r="T508" s="33">
        <f>IF($B$506="","",T507-T506)</f>
        <v/>
      </c>
      <c r="U508" s="33">
        <f>IF($B$506="","",U510-U506)</f>
        <v/>
      </c>
      <c r="V508" s="33">
        <f>IF($B$506="","",V510-V506)</f>
        <v/>
      </c>
      <c r="X508" s="22">
        <f>IF($B508="","",IFERROR(INDEX(Cost_Centers!$E:$E,MATCH($B508,Cost_Centers!$A:$A,0)),"(unknown)"))</f>
        <v/>
      </c>
      <c r="Y508" s="22">
        <f>IF($B508="","",IFERROR(INDEX(Cost_Centers!$D:$D,MATCH($B508,Cost_Centers!$A:$A,0)),"(unknown)"))</f>
        <v/>
      </c>
      <c r="Z508" s="22">
        <f>IF(OR($B508="",$G508&lt;&gt;"Variance vs Budget"),"",ABS(N($V508))+ROW()/1000000000)</f>
        <v/>
      </c>
    </row>
    <row r="509">
      <c r="A509" s="13">
        <f>IF(A$506="","",A$506)</f>
        <v/>
      </c>
      <c r="B509" s="13">
        <f>IF(B$506="","",B$506)</f>
        <v/>
      </c>
      <c r="C509" s="13">
        <f>IF(C$506="","",C$506)</f>
        <v/>
      </c>
      <c r="D509" s="13">
        <f>IF(D$506="","",D$506)</f>
        <v/>
      </c>
      <c r="E509" s="13">
        <f>IF(E$506="","",E$506)</f>
        <v/>
      </c>
      <c r="F509" s="13">
        <f>IF(F$506="","",F$506)</f>
        <v/>
      </c>
      <c r="G509" s="7" t="inlineStr">
        <is>
          <t>Forecast (input)</t>
        </is>
      </c>
      <c r="H509" s="34" t="n"/>
      <c r="I509" s="34" t="n"/>
      <c r="J509" s="34" t="n"/>
      <c r="K509" s="34" t="n"/>
      <c r="L509" s="34" t="n"/>
      <c r="M509" s="34" t="n"/>
      <c r="N509" s="34" t="n"/>
      <c r="O509" s="34" t="n"/>
      <c r="P509" s="34" t="n"/>
      <c r="Q509" s="34" t="n"/>
      <c r="R509" s="34" t="n"/>
      <c r="S509" s="34" t="n"/>
      <c r="T509" s="18" t="n"/>
      <c r="U509" s="18" t="n"/>
      <c r="V509" s="18" t="n"/>
      <c r="X509" s="22">
        <f>IF($B509="","",IFERROR(INDEX(Cost_Centers!$E:$E,MATCH($B509,Cost_Centers!$A:$A,0)),"(unknown)"))</f>
        <v/>
      </c>
      <c r="Y509" s="22">
        <f>IF($B509="","",IFERROR(INDEX(Cost_Centers!$D:$D,MATCH($B509,Cost_Centers!$A:$A,0)),"(unknown)"))</f>
        <v/>
      </c>
      <c r="Z509" s="22">
        <f>IF(OR($B509="",$G509&lt;&gt;"Variance vs Budget"),"",ABS(N($V509))+ROW()/1000000000)</f>
        <v/>
      </c>
    </row>
    <row r="510">
      <c r="A510" s="13">
        <f>IF(A$506="","",A$506)</f>
        <v/>
      </c>
      <c r="B510" s="13">
        <f>IF(B$506="","",B$506)</f>
        <v/>
      </c>
      <c r="C510" s="13">
        <f>IF(C$506="","",C$506)</f>
        <v/>
      </c>
      <c r="D510" s="13">
        <f>IF(D$506="","",D$506)</f>
        <v/>
      </c>
      <c r="E510" s="13">
        <f>IF(E$506="","",E$506)</f>
        <v/>
      </c>
      <c r="F510" s="13">
        <f>IF(F$506="","",F$506)</f>
        <v/>
      </c>
      <c r="G510" s="35" t="inlineStr">
        <is>
          <t>Actual + Forecast</t>
        </is>
      </c>
      <c r="H510" s="18">
        <f>IF($B$506="","",IF(1&lt;=$C$4,N(H507),IF(H509="",H506,H509)))</f>
        <v/>
      </c>
      <c r="I510" s="18">
        <f>IF($B$506="","",IF(2&lt;=$C$4,N(I507),IF(I509="",I506,I509)))</f>
        <v/>
      </c>
      <c r="J510" s="18">
        <f>IF($B$506="","",IF(3&lt;=$C$4,N(J507),IF(J509="",J506,J509)))</f>
        <v/>
      </c>
      <c r="K510" s="18">
        <f>IF($B$506="","",IF(4&lt;=$C$4,N(K507),IF(K509="",K506,K509)))</f>
        <v/>
      </c>
      <c r="L510" s="18">
        <f>IF($B$506="","",IF(5&lt;=$C$4,N(L507),IF(L509="",L506,L509)))</f>
        <v/>
      </c>
      <c r="M510" s="18">
        <f>IF($B$506="","",IF(6&lt;=$C$4,N(M507),IF(M509="",M506,M509)))</f>
        <v/>
      </c>
      <c r="N510" s="18">
        <f>IF($B$506="","",IF(7&lt;=$C$4,N(N507),IF(N509="",N506,N509)))</f>
        <v/>
      </c>
      <c r="O510" s="18">
        <f>IF($B$506="","",IF(8&lt;=$C$4,N(O507),IF(O509="",O506,O509)))</f>
        <v/>
      </c>
      <c r="P510" s="18">
        <f>IF($B$506="","",IF(9&lt;=$C$4,N(P507),IF(P509="",P506,P509)))</f>
        <v/>
      </c>
      <c r="Q510" s="18">
        <f>IF($B$506="","",IF(10&lt;=$C$4,N(Q507),IF(Q509="",Q506,Q509)))</f>
        <v/>
      </c>
      <c r="R510" s="18">
        <f>IF($B$506="","",IF(11&lt;=$C$4,N(R507),IF(R509="",R506,R509)))</f>
        <v/>
      </c>
      <c r="S510" s="18">
        <f>IF($B$506="","",IF(12&lt;=$C$4,N(S507),IF(S509="",S506,S509)))</f>
        <v/>
      </c>
      <c r="T510" s="18">
        <f>IF($B$506="","",SUMIF($H$7:$S$7,"&lt;="&amp;$C$4,$H510:$S510))</f>
        <v/>
      </c>
      <c r="U510" s="18">
        <f>IF($B$506="","",SUMIF($H$7:$S$7,"&gt;"&amp;$C$4,$H510:$S510))</f>
        <v/>
      </c>
      <c r="V510" s="18">
        <f>IF($B$506="","",SUM($H510:$S510))</f>
        <v/>
      </c>
      <c r="X510" s="22">
        <f>IF($B510="","",IFERROR(INDEX(Cost_Centers!$E:$E,MATCH($B510,Cost_Centers!$A:$A,0)),"(unknown)"))</f>
        <v/>
      </c>
      <c r="Y510" s="22">
        <f>IF($B510="","",IFERROR(INDEX(Cost_Centers!$D:$D,MATCH($B510,Cost_Centers!$A:$A,0)),"(unknown)"))</f>
        <v/>
      </c>
      <c r="Z510" s="22">
        <f>IF(OR($B510="",$G510&lt;&gt;"Variance vs Budget"),"",ABS(N($V510))+ROW()/1000000000)</f>
        <v/>
      </c>
    </row>
    <row r="511">
      <c r="A511" s="13">
        <f>IF(A$506="","",A$506)</f>
        <v/>
      </c>
      <c r="B511" s="13">
        <f>IF(B$506="","",B$506)</f>
        <v/>
      </c>
      <c r="C511" s="13">
        <f>IF(C$506="","",C$506)</f>
        <v/>
      </c>
      <c r="D511" s="13">
        <f>IF(D$506="","",D$506)</f>
        <v/>
      </c>
      <c r="E511" s="13">
        <f>IF(E$506="","",E$506)</f>
        <v/>
      </c>
      <c r="F511" s="13">
        <f>IF(F$506="","",F$506)</f>
        <v/>
      </c>
      <c r="G511" s="36" t="inlineStr">
        <is>
          <t>Prior Month Forecast</t>
        </is>
      </c>
      <c r="H511" s="37">
        <f>IF($B$506="","",IF(COUNTIFS(Prior_Forecast!$A:$A,$B$506,Prior_Forecast!$B:$B,$D$506)&gt;0,SUMIFS(Prior_Forecast!$C:$C,Prior_Forecast!$A:$A,$B$506,Prior_Forecast!$B:$B,$D$506),""))</f>
        <v/>
      </c>
      <c r="I511" s="37">
        <f>IF($B$506="","",IF(COUNTIFS(Prior_Forecast!$A:$A,$B$506,Prior_Forecast!$B:$B,$D$506)&gt;0,SUMIFS(Prior_Forecast!$D:$D,Prior_Forecast!$A:$A,$B$506,Prior_Forecast!$B:$B,$D$506),""))</f>
        <v/>
      </c>
      <c r="J511" s="37">
        <f>IF($B$506="","",IF(COUNTIFS(Prior_Forecast!$A:$A,$B$506,Prior_Forecast!$B:$B,$D$506)&gt;0,SUMIFS(Prior_Forecast!$E:$E,Prior_Forecast!$A:$A,$B$506,Prior_Forecast!$B:$B,$D$506),""))</f>
        <v/>
      </c>
      <c r="K511" s="37">
        <f>IF($B$506="","",IF(COUNTIFS(Prior_Forecast!$A:$A,$B$506,Prior_Forecast!$B:$B,$D$506)&gt;0,SUMIFS(Prior_Forecast!$F:$F,Prior_Forecast!$A:$A,$B$506,Prior_Forecast!$B:$B,$D$506),""))</f>
        <v/>
      </c>
      <c r="L511" s="37">
        <f>IF($B$506="","",IF(COUNTIFS(Prior_Forecast!$A:$A,$B$506,Prior_Forecast!$B:$B,$D$506)&gt;0,SUMIFS(Prior_Forecast!$G:$G,Prior_Forecast!$A:$A,$B$506,Prior_Forecast!$B:$B,$D$506),""))</f>
        <v/>
      </c>
      <c r="M511" s="37">
        <f>IF($B$506="","",IF(COUNTIFS(Prior_Forecast!$A:$A,$B$506,Prior_Forecast!$B:$B,$D$506)&gt;0,SUMIFS(Prior_Forecast!$H:$H,Prior_Forecast!$A:$A,$B$506,Prior_Forecast!$B:$B,$D$506),""))</f>
        <v/>
      </c>
      <c r="N511" s="37">
        <f>IF($B$506="","",IF(COUNTIFS(Prior_Forecast!$A:$A,$B$506,Prior_Forecast!$B:$B,$D$506)&gt;0,SUMIFS(Prior_Forecast!$I:$I,Prior_Forecast!$A:$A,$B$506,Prior_Forecast!$B:$B,$D$506),""))</f>
        <v/>
      </c>
      <c r="O511" s="37">
        <f>IF($B$506="","",IF(COUNTIFS(Prior_Forecast!$A:$A,$B$506,Prior_Forecast!$B:$B,$D$506)&gt;0,SUMIFS(Prior_Forecast!$J:$J,Prior_Forecast!$A:$A,$B$506,Prior_Forecast!$B:$B,$D$506),""))</f>
        <v/>
      </c>
      <c r="P511" s="37">
        <f>IF($B$506="","",IF(COUNTIFS(Prior_Forecast!$A:$A,$B$506,Prior_Forecast!$B:$B,$D$506)&gt;0,SUMIFS(Prior_Forecast!$K:$K,Prior_Forecast!$A:$A,$B$506,Prior_Forecast!$B:$B,$D$506),""))</f>
        <v/>
      </c>
      <c r="Q511" s="37">
        <f>IF($B$506="","",IF(COUNTIFS(Prior_Forecast!$A:$A,$B$506,Prior_Forecast!$B:$B,$D$506)&gt;0,SUMIFS(Prior_Forecast!$L:$L,Prior_Forecast!$A:$A,$B$506,Prior_Forecast!$B:$B,$D$506),""))</f>
        <v/>
      </c>
      <c r="R511" s="37">
        <f>IF($B$506="","",IF(COUNTIFS(Prior_Forecast!$A:$A,$B$506,Prior_Forecast!$B:$B,$D$506)&gt;0,SUMIFS(Prior_Forecast!$M:$M,Prior_Forecast!$A:$A,$B$506,Prior_Forecast!$B:$B,$D$506),""))</f>
        <v/>
      </c>
      <c r="S511" s="37">
        <f>IF($B$506="","",IF(COUNTIFS(Prior_Forecast!$A:$A,$B$506,Prior_Forecast!$B:$B,$D$506)&gt;0,SUMIFS(Prior_Forecast!$N:$N,Prior_Forecast!$A:$A,$B$506,Prior_Forecast!$B:$B,$D$506),""))</f>
        <v/>
      </c>
      <c r="T511" s="37">
        <f>IF($B$506="","",IF(COUNTIFS(Prior_Forecast!$A:$A,$B$506,Prior_Forecast!$B:$B,$D$506)&gt;0,SUMIFS(Prior_Forecast!$O:$O,Prior_Forecast!$A:$A,$B$506,Prior_Forecast!$B:$B,$D$506),""))</f>
        <v/>
      </c>
      <c r="U511" s="37">
        <f>IF($B$506="","",IF(COUNTIFS(Prior_Forecast!$A:$A,$B$506,Prior_Forecast!$B:$B,$D$506)&gt;0,SUMIFS(Prior_Forecast!$P:$P,Prior_Forecast!$A:$A,$B$506,Prior_Forecast!$B:$B,$D$506),""))</f>
        <v/>
      </c>
      <c r="V511" s="37">
        <f>IF($B$506="","",IF(COUNTIFS(Prior_Forecast!$A:$A,$B$506,Prior_Forecast!$B:$B,$D$506)&gt;0,SUMIFS(Prior_Forecast!$Q:$Q,Prior_Forecast!$A:$A,$B$506,Prior_Forecast!$B:$B,$D$506),""))</f>
        <v/>
      </c>
      <c r="X511" s="22">
        <f>IF($B511="","",IFERROR(INDEX(Cost_Centers!$E:$E,MATCH($B511,Cost_Centers!$A:$A,0)),"(unknown)"))</f>
        <v/>
      </c>
      <c r="Y511" s="22">
        <f>IF($B511="","",IFERROR(INDEX(Cost_Centers!$D:$D,MATCH($B511,Cost_Centers!$A:$A,0)),"(unknown)"))</f>
        <v/>
      </c>
      <c r="Z511" s="22">
        <f>IF(OR($B511="",$G511&lt;&gt;"Variance vs Budget"),"",ABS(N($V511))+ROW()/1000000000)</f>
        <v/>
      </c>
    </row>
    <row r="512">
      <c r="A512" s="13">
        <f>IF(A$506="","",A$506)</f>
        <v/>
      </c>
      <c r="B512" s="13">
        <f>IF(B$506="","",B$506)</f>
        <v/>
      </c>
      <c r="C512" s="13">
        <f>IF(C$506="","",C$506)</f>
        <v/>
      </c>
      <c r="D512" s="13">
        <f>IF(D$506="","",D$506)</f>
        <v/>
      </c>
      <c r="E512" s="13">
        <f>IF(E$506="","",E$506)</f>
        <v/>
      </c>
      <c r="F512" s="13">
        <f>IF(F$506="","",F$506)</f>
        <v/>
      </c>
      <c r="G512" s="6" t="inlineStr">
        <is>
          <t>Variance vs Prior Month</t>
        </is>
      </c>
      <c r="H512" s="33">
        <f>IF(OR($B$506="",H511=""),"",H510-H511)</f>
        <v/>
      </c>
      <c r="I512" s="33">
        <f>IF(OR($B$506="",I511=""),"",I510-I511)</f>
        <v/>
      </c>
      <c r="J512" s="33">
        <f>IF(OR($B$506="",J511=""),"",J510-J511)</f>
        <v/>
      </c>
      <c r="K512" s="33">
        <f>IF(OR($B$506="",K511=""),"",K510-K511)</f>
        <v/>
      </c>
      <c r="L512" s="33">
        <f>IF(OR($B$506="",L511=""),"",L510-L511)</f>
        <v/>
      </c>
      <c r="M512" s="33">
        <f>IF(OR($B$506="",M511=""),"",M510-M511)</f>
        <v/>
      </c>
      <c r="N512" s="33">
        <f>IF(OR($B$506="",N511=""),"",N510-N511)</f>
        <v/>
      </c>
      <c r="O512" s="33">
        <f>IF(OR($B$506="",O511=""),"",O510-O511)</f>
        <v/>
      </c>
      <c r="P512" s="33">
        <f>IF(OR($B$506="",P511=""),"",P510-P511)</f>
        <v/>
      </c>
      <c r="Q512" s="33">
        <f>IF(OR($B$506="",Q511=""),"",Q510-Q511)</f>
        <v/>
      </c>
      <c r="R512" s="33">
        <f>IF(OR($B$506="",R511=""),"",R510-R511)</f>
        <v/>
      </c>
      <c r="S512" s="33">
        <f>IF(OR($B$506="",S511=""),"",S510-S511)</f>
        <v/>
      </c>
      <c r="T512" s="33">
        <f>IF(OR($B$506="",T511=""),"",T510-T511)</f>
        <v/>
      </c>
      <c r="U512" s="33">
        <f>IF(OR($B$506="",U511=""),"",U510-U511)</f>
        <v/>
      </c>
      <c r="V512" s="33">
        <f>IF(OR($B$506="",V511=""),"",V510-V511)</f>
        <v/>
      </c>
      <c r="X512" s="22">
        <f>IF($B512="","",IFERROR(INDEX(Cost_Centers!$E:$E,MATCH($B512,Cost_Centers!$A:$A,0)),"(unknown)"))</f>
        <v/>
      </c>
      <c r="Y512" s="22">
        <f>IF($B512="","",IFERROR(INDEX(Cost_Centers!$D:$D,MATCH($B512,Cost_Centers!$A:$A,0)),"(unknown)"))</f>
        <v/>
      </c>
      <c r="Z512" s="22">
        <f>IF(OR($B512="",$G512&lt;&gt;"Variance vs Budget"),"",ABS(N($V512))+ROW()/1000000000)</f>
        <v/>
      </c>
    </row>
    <row r="513" ht="45" customHeight="1">
      <c r="A513" s="13">
        <f>IF(A$506="","",A$506)</f>
        <v/>
      </c>
      <c r="B513" s="13">
        <f>IF(B$506="","",B$506)</f>
        <v/>
      </c>
      <c r="C513" s="13">
        <f>IF(C$506="","",C$506)</f>
        <v/>
      </c>
      <c r="D513" s="13">
        <f>IF(D$506="","",D$506)</f>
        <v/>
      </c>
      <c r="E513" s="13">
        <f>IF(E$506="","",E$506)</f>
        <v/>
      </c>
      <c r="F513" s="13">
        <f>IF(F$506="","",F$506)</f>
        <v/>
      </c>
      <c r="G513" s="7" t="inlineStr">
        <is>
          <t>Rationale</t>
        </is>
      </c>
      <c r="H513" s="38" t="n"/>
      <c r="I513" s="38" t="n"/>
      <c r="J513" s="38" t="n"/>
      <c r="K513" s="38" t="n"/>
      <c r="L513" s="38" t="n"/>
      <c r="M513" s="38" t="n"/>
      <c r="N513" s="38" t="n"/>
      <c r="O513" s="38" t="n"/>
      <c r="P513" s="38" t="n"/>
      <c r="Q513" s="38" t="n"/>
      <c r="R513" s="38" t="n"/>
      <c r="S513" s="38" t="n"/>
      <c r="T513" s="38" t="n"/>
      <c r="U513" s="38" t="n"/>
      <c r="V513" s="7" t="n"/>
      <c r="X513" s="22">
        <f>IF($B513="","",IFERROR(INDEX(Cost_Centers!$E:$E,MATCH($B513,Cost_Centers!$A:$A,0)),"(unknown)"))</f>
        <v/>
      </c>
      <c r="Y513" s="22">
        <f>IF($B513="","",IFERROR(INDEX(Cost_Centers!$D:$D,MATCH($B513,Cost_Centers!$A:$A,0)),"(unknown)"))</f>
        <v/>
      </c>
      <c r="Z513" s="22">
        <f>IF(OR($B513="",$G513&lt;&gt;"Variance vs Budget"),"",ABS(N($V513))+ROW()/1000000000)</f>
        <v/>
      </c>
    </row>
    <row r="514">
      <c r="A514" s="30">
        <f>IF($D$514="","",LEFT($D$514,FIND("|",$D$514&amp;"|")-1))</f>
        <v/>
      </c>
      <c r="B514" s="31" t="n"/>
      <c r="C514" s="30">
        <f>IF($B$514="","",IFERROR(INDEX(Cost_Centers!$B:$B,MATCH($B$514,Cost_Centers!$A:$A,0)),"(not in master)"))</f>
        <v/>
      </c>
      <c r="D514" s="31" t="n"/>
      <c r="E514" s="30">
        <f>IF($D$514="","",IFERROR(INDEX(Accounts!$D:$D,MATCH($D$514,Accounts!$A:$A,0)),"(not in master)"))</f>
        <v/>
      </c>
      <c r="F514" s="31" t="n"/>
      <c r="G514" s="30" t="inlineStr">
        <is>
          <t>Budget</t>
        </is>
      </c>
      <c r="H514" s="32">
        <f>IF($B$514="","",SUMIFS(Opex_Budget!$O:$O,Opex_Budget!$A:$A,$C$3,Opex_Budget!$E:$E,$B$514,Opex_Budget!$F:$F,$D$514,Opex_Budget!$N:$N,"JPY")*$E$5+SUMIFS(Opex_Budget!$O:$O,Opex_Budget!$A:$A,$C$3,Opex_Budget!$E:$E,$B$514,Opex_Budget!$F:$F,$D$514,Opex_Budget!$N:$N,"USD")*$F$5+SUMIFS(Opex_Budget!$O:$O,Opex_Budget!$A:$A,$C$3,Opex_Budget!$E:$E,$B$514,Opex_Budget!$F:$F,$D$514,Opex_Budget!$N:$N,"EUR")*$G$5+SUMIFS(Opex_Budget!$O:$O,Opex_Budget!$A:$A,$C$3,Opex_Budget!$E:$E,$B$514,Opex_Budget!$F:$F,$D$514,Opex_Budget!$N:$N,"GBP")*$H$5)</f>
        <v/>
      </c>
      <c r="I514" s="32">
        <f>IF($B$514="","",SUMIFS(Opex_Budget!$P:$P,Opex_Budget!$A:$A,$C$3,Opex_Budget!$E:$E,$B$514,Opex_Budget!$F:$F,$D$514,Opex_Budget!$N:$N,"JPY")*$E$5+SUMIFS(Opex_Budget!$P:$P,Opex_Budget!$A:$A,$C$3,Opex_Budget!$E:$E,$B$514,Opex_Budget!$F:$F,$D$514,Opex_Budget!$N:$N,"USD")*$F$5+SUMIFS(Opex_Budget!$P:$P,Opex_Budget!$A:$A,$C$3,Opex_Budget!$E:$E,$B$514,Opex_Budget!$F:$F,$D$514,Opex_Budget!$N:$N,"EUR")*$G$5+SUMIFS(Opex_Budget!$P:$P,Opex_Budget!$A:$A,$C$3,Opex_Budget!$E:$E,$B$514,Opex_Budget!$F:$F,$D$514,Opex_Budget!$N:$N,"GBP")*$H$5)</f>
        <v/>
      </c>
      <c r="J514" s="32">
        <f>IF($B$514="","",SUMIFS(Opex_Budget!$Q:$Q,Opex_Budget!$A:$A,$C$3,Opex_Budget!$E:$E,$B$514,Opex_Budget!$F:$F,$D$514,Opex_Budget!$N:$N,"JPY")*$E$5+SUMIFS(Opex_Budget!$Q:$Q,Opex_Budget!$A:$A,$C$3,Opex_Budget!$E:$E,$B$514,Opex_Budget!$F:$F,$D$514,Opex_Budget!$N:$N,"USD")*$F$5+SUMIFS(Opex_Budget!$Q:$Q,Opex_Budget!$A:$A,$C$3,Opex_Budget!$E:$E,$B$514,Opex_Budget!$F:$F,$D$514,Opex_Budget!$N:$N,"EUR")*$G$5+SUMIFS(Opex_Budget!$Q:$Q,Opex_Budget!$A:$A,$C$3,Opex_Budget!$E:$E,$B$514,Opex_Budget!$F:$F,$D$514,Opex_Budget!$N:$N,"GBP")*$H$5)</f>
        <v/>
      </c>
      <c r="K514" s="32">
        <f>IF($B$514="","",SUMIFS(Opex_Budget!$R:$R,Opex_Budget!$A:$A,$C$3,Opex_Budget!$E:$E,$B$514,Opex_Budget!$F:$F,$D$514,Opex_Budget!$N:$N,"JPY")*$E$5+SUMIFS(Opex_Budget!$R:$R,Opex_Budget!$A:$A,$C$3,Opex_Budget!$E:$E,$B$514,Opex_Budget!$F:$F,$D$514,Opex_Budget!$N:$N,"USD")*$F$5+SUMIFS(Opex_Budget!$R:$R,Opex_Budget!$A:$A,$C$3,Opex_Budget!$E:$E,$B$514,Opex_Budget!$F:$F,$D$514,Opex_Budget!$N:$N,"EUR")*$G$5+SUMIFS(Opex_Budget!$R:$R,Opex_Budget!$A:$A,$C$3,Opex_Budget!$E:$E,$B$514,Opex_Budget!$F:$F,$D$514,Opex_Budget!$N:$N,"GBP")*$H$5)</f>
        <v/>
      </c>
      <c r="L514" s="32">
        <f>IF($B$514="","",SUMIFS(Opex_Budget!$S:$S,Opex_Budget!$A:$A,$C$3,Opex_Budget!$E:$E,$B$514,Opex_Budget!$F:$F,$D$514,Opex_Budget!$N:$N,"JPY")*$E$5+SUMIFS(Opex_Budget!$S:$S,Opex_Budget!$A:$A,$C$3,Opex_Budget!$E:$E,$B$514,Opex_Budget!$F:$F,$D$514,Opex_Budget!$N:$N,"USD")*$F$5+SUMIFS(Opex_Budget!$S:$S,Opex_Budget!$A:$A,$C$3,Opex_Budget!$E:$E,$B$514,Opex_Budget!$F:$F,$D$514,Opex_Budget!$N:$N,"EUR")*$G$5+SUMIFS(Opex_Budget!$S:$S,Opex_Budget!$A:$A,$C$3,Opex_Budget!$E:$E,$B$514,Opex_Budget!$F:$F,$D$514,Opex_Budget!$N:$N,"GBP")*$H$5)</f>
        <v/>
      </c>
      <c r="M514" s="32">
        <f>IF($B$514="","",SUMIFS(Opex_Budget!$T:$T,Opex_Budget!$A:$A,$C$3,Opex_Budget!$E:$E,$B$514,Opex_Budget!$F:$F,$D$514,Opex_Budget!$N:$N,"JPY")*$E$5+SUMIFS(Opex_Budget!$T:$T,Opex_Budget!$A:$A,$C$3,Opex_Budget!$E:$E,$B$514,Opex_Budget!$F:$F,$D$514,Opex_Budget!$N:$N,"USD")*$F$5+SUMIFS(Opex_Budget!$T:$T,Opex_Budget!$A:$A,$C$3,Opex_Budget!$E:$E,$B$514,Opex_Budget!$F:$F,$D$514,Opex_Budget!$N:$N,"EUR")*$G$5+SUMIFS(Opex_Budget!$T:$T,Opex_Budget!$A:$A,$C$3,Opex_Budget!$E:$E,$B$514,Opex_Budget!$F:$F,$D$514,Opex_Budget!$N:$N,"GBP")*$H$5)</f>
        <v/>
      </c>
      <c r="N514" s="32">
        <f>IF($B$514="","",SUMIFS(Opex_Budget!$U:$U,Opex_Budget!$A:$A,$C$3,Opex_Budget!$E:$E,$B$514,Opex_Budget!$F:$F,$D$514,Opex_Budget!$N:$N,"JPY")*$E$5+SUMIFS(Opex_Budget!$U:$U,Opex_Budget!$A:$A,$C$3,Opex_Budget!$E:$E,$B$514,Opex_Budget!$F:$F,$D$514,Opex_Budget!$N:$N,"USD")*$F$5+SUMIFS(Opex_Budget!$U:$U,Opex_Budget!$A:$A,$C$3,Opex_Budget!$E:$E,$B$514,Opex_Budget!$F:$F,$D$514,Opex_Budget!$N:$N,"EUR")*$G$5+SUMIFS(Opex_Budget!$U:$U,Opex_Budget!$A:$A,$C$3,Opex_Budget!$E:$E,$B$514,Opex_Budget!$F:$F,$D$514,Opex_Budget!$N:$N,"GBP")*$H$5)</f>
        <v/>
      </c>
      <c r="O514" s="32">
        <f>IF($B$514="","",SUMIFS(Opex_Budget!$V:$V,Opex_Budget!$A:$A,$C$3,Opex_Budget!$E:$E,$B$514,Opex_Budget!$F:$F,$D$514,Opex_Budget!$N:$N,"JPY")*$E$5+SUMIFS(Opex_Budget!$V:$V,Opex_Budget!$A:$A,$C$3,Opex_Budget!$E:$E,$B$514,Opex_Budget!$F:$F,$D$514,Opex_Budget!$N:$N,"USD")*$F$5+SUMIFS(Opex_Budget!$V:$V,Opex_Budget!$A:$A,$C$3,Opex_Budget!$E:$E,$B$514,Opex_Budget!$F:$F,$D$514,Opex_Budget!$N:$N,"EUR")*$G$5+SUMIFS(Opex_Budget!$V:$V,Opex_Budget!$A:$A,$C$3,Opex_Budget!$E:$E,$B$514,Opex_Budget!$F:$F,$D$514,Opex_Budget!$N:$N,"GBP")*$H$5)</f>
        <v/>
      </c>
      <c r="P514" s="32">
        <f>IF($B$514="","",SUMIFS(Opex_Budget!$W:$W,Opex_Budget!$A:$A,$C$3,Opex_Budget!$E:$E,$B$514,Opex_Budget!$F:$F,$D$514,Opex_Budget!$N:$N,"JPY")*$E$5+SUMIFS(Opex_Budget!$W:$W,Opex_Budget!$A:$A,$C$3,Opex_Budget!$E:$E,$B$514,Opex_Budget!$F:$F,$D$514,Opex_Budget!$N:$N,"USD")*$F$5+SUMIFS(Opex_Budget!$W:$W,Opex_Budget!$A:$A,$C$3,Opex_Budget!$E:$E,$B$514,Opex_Budget!$F:$F,$D$514,Opex_Budget!$N:$N,"EUR")*$G$5+SUMIFS(Opex_Budget!$W:$W,Opex_Budget!$A:$A,$C$3,Opex_Budget!$E:$E,$B$514,Opex_Budget!$F:$F,$D$514,Opex_Budget!$N:$N,"GBP")*$H$5)</f>
        <v/>
      </c>
      <c r="Q514" s="32">
        <f>IF($B$514="","",SUMIFS(Opex_Budget!$X:$X,Opex_Budget!$A:$A,$C$3,Opex_Budget!$E:$E,$B$514,Opex_Budget!$F:$F,$D$514,Opex_Budget!$N:$N,"JPY")*$E$5+SUMIFS(Opex_Budget!$X:$X,Opex_Budget!$A:$A,$C$3,Opex_Budget!$E:$E,$B$514,Opex_Budget!$F:$F,$D$514,Opex_Budget!$N:$N,"USD")*$F$5+SUMIFS(Opex_Budget!$X:$X,Opex_Budget!$A:$A,$C$3,Opex_Budget!$E:$E,$B$514,Opex_Budget!$F:$F,$D$514,Opex_Budget!$N:$N,"EUR")*$G$5+SUMIFS(Opex_Budget!$X:$X,Opex_Budget!$A:$A,$C$3,Opex_Budget!$E:$E,$B$514,Opex_Budget!$F:$F,$D$514,Opex_Budget!$N:$N,"GBP")*$H$5)</f>
        <v/>
      </c>
      <c r="R514" s="32">
        <f>IF($B$514="","",SUMIFS(Opex_Budget!$Y:$Y,Opex_Budget!$A:$A,$C$3,Opex_Budget!$E:$E,$B$514,Opex_Budget!$F:$F,$D$514,Opex_Budget!$N:$N,"JPY")*$E$5+SUMIFS(Opex_Budget!$Y:$Y,Opex_Budget!$A:$A,$C$3,Opex_Budget!$E:$E,$B$514,Opex_Budget!$F:$F,$D$514,Opex_Budget!$N:$N,"USD")*$F$5+SUMIFS(Opex_Budget!$Y:$Y,Opex_Budget!$A:$A,$C$3,Opex_Budget!$E:$E,$B$514,Opex_Budget!$F:$F,$D$514,Opex_Budget!$N:$N,"EUR")*$G$5+SUMIFS(Opex_Budget!$Y:$Y,Opex_Budget!$A:$A,$C$3,Opex_Budget!$E:$E,$B$514,Opex_Budget!$F:$F,$D$514,Opex_Budget!$N:$N,"GBP")*$H$5)</f>
        <v/>
      </c>
      <c r="S514" s="32">
        <f>IF($B$514="","",SUMIFS(Opex_Budget!$Z:$Z,Opex_Budget!$A:$A,$C$3,Opex_Budget!$E:$E,$B$514,Opex_Budget!$F:$F,$D$514,Opex_Budget!$N:$N,"JPY")*$E$5+SUMIFS(Opex_Budget!$Z:$Z,Opex_Budget!$A:$A,$C$3,Opex_Budget!$E:$E,$B$514,Opex_Budget!$F:$F,$D$514,Opex_Budget!$N:$N,"USD")*$F$5+SUMIFS(Opex_Budget!$Z:$Z,Opex_Budget!$A:$A,$C$3,Opex_Budget!$E:$E,$B$514,Opex_Budget!$F:$F,$D$514,Opex_Budget!$N:$N,"EUR")*$G$5+SUMIFS(Opex_Budget!$Z:$Z,Opex_Budget!$A:$A,$C$3,Opex_Budget!$E:$E,$B$514,Opex_Budget!$F:$F,$D$514,Opex_Budget!$N:$N,"GBP")*$H$5)</f>
        <v/>
      </c>
      <c r="T514" s="32">
        <f>IF($B$514="","",SUMIF($H$7:$S$7,"&lt;="&amp;$C$4,$H514:$S514))</f>
        <v/>
      </c>
      <c r="U514" s="32">
        <f>IF($B$514="","",SUMIF($H$7:$S$7,"&gt;"&amp;$C$4,$H514:$S514))</f>
        <v/>
      </c>
      <c r="V514" s="32">
        <f>IF($B$514="","",SUM($H514:$S514))</f>
        <v/>
      </c>
      <c r="X514" s="22">
        <f>IF($B514="","",IFERROR(INDEX(Cost_Centers!$E:$E,MATCH($B514,Cost_Centers!$A:$A,0)),"(unknown)"))</f>
        <v/>
      </c>
      <c r="Y514" s="22">
        <f>IF($B514="","",IFERROR(INDEX(Cost_Centers!$D:$D,MATCH($B514,Cost_Centers!$A:$A,0)),"(unknown)"))</f>
        <v/>
      </c>
      <c r="Z514" s="22">
        <f>IF(OR($B514="",$G514&lt;&gt;"Variance vs Budget"),"",ABS(N($V514))+ROW()/1000000000)</f>
        <v/>
      </c>
    </row>
    <row r="515">
      <c r="A515" s="13">
        <f>IF(A$514="","",A$514)</f>
        <v/>
      </c>
      <c r="B515" s="13">
        <f>IF(B$514="","",B$514)</f>
        <v/>
      </c>
      <c r="C515" s="13">
        <f>IF(C$514="","",C$514)</f>
        <v/>
      </c>
      <c r="D515" s="13">
        <f>IF(D$514="","",D$514)</f>
        <v/>
      </c>
      <c r="E515" s="13">
        <f>IF(E$514="","",E$514)</f>
        <v/>
      </c>
      <c r="F515" s="13">
        <f>IF(F$514="","",F$514)</f>
        <v/>
      </c>
      <c r="G515" s="7" t="inlineStr">
        <is>
          <t>Actual</t>
        </is>
      </c>
      <c r="H515" s="18">
        <f>IF(OR($B$514="",1&gt;$C$4),"",SUMIFS(Actuals!$G:$G,Actuals!$B:$B,$C$3,Actuals!$C:$C,1,Actuals!$D:$D,$B$514,Actuals!$A:$A,LEFT($D$514,FIND("|",$D$514&amp;"|")-1),Actuals!$E:$E,MID($D$514,FIND("|",$D$514&amp;"|")+1,50),Actuals!$F:$F,"JPY")*$E$5+SUMIFS(Actuals!$G:$G,Actuals!$B:$B,$C$3,Actuals!$C:$C,1,Actuals!$D:$D,$B$514,Actuals!$A:$A,LEFT($D$514,FIND("|",$D$514&amp;"|")-1),Actuals!$E:$E,MID($D$514,FIND("|",$D$514&amp;"|")+1,50),Actuals!$F:$F,"USD")*$F$5+SUMIFS(Actuals!$G:$G,Actuals!$B:$B,$C$3,Actuals!$C:$C,1,Actuals!$D:$D,$B$514,Actuals!$A:$A,LEFT($D$514,FIND("|",$D$514&amp;"|")-1),Actuals!$E:$E,MID($D$514,FIND("|",$D$514&amp;"|")+1,50),Actuals!$F:$F,"EUR")*$G$5+SUMIFS(Actuals!$G:$G,Actuals!$B:$B,$C$3,Actuals!$C:$C,1,Actuals!$D:$D,$B$514,Actuals!$A:$A,LEFT($D$514,FIND("|",$D$514&amp;"|")-1),Actuals!$E:$E,MID($D$514,FIND("|",$D$514&amp;"|")+1,50),Actuals!$F:$F,"GBP")*$H$5)</f>
        <v/>
      </c>
      <c r="I515" s="18">
        <f>IF(OR($B$514="",2&gt;$C$4),"",SUMIFS(Actuals!$G:$G,Actuals!$B:$B,$C$3,Actuals!$C:$C,2,Actuals!$D:$D,$B$514,Actuals!$A:$A,LEFT($D$514,FIND("|",$D$514&amp;"|")-1),Actuals!$E:$E,MID($D$514,FIND("|",$D$514&amp;"|")+1,50),Actuals!$F:$F,"JPY")*$E$5+SUMIFS(Actuals!$G:$G,Actuals!$B:$B,$C$3,Actuals!$C:$C,2,Actuals!$D:$D,$B$514,Actuals!$A:$A,LEFT($D$514,FIND("|",$D$514&amp;"|")-1),Actuals!$E:$E,MID($D$514,FIND("|",$D$514&amp;"|")+1,50),Actuals!$F:$F,"USD")*$F$5+SUMIFS(Actuals!$G:$G,Actuals!$B:$B,$C$3,Actuals!$C:$C,2,Actuals!$D:$D,$B$514,Actuals!$A:$A,LEFT($D$514,FIND("|",$D$514&amp;"|")-1),Actuals!$E:$E,MID($D$514,FIND("|",$D$514&amp;"|")+1,50),Actuals!$F:$F,"EUR")*$G$5+SUMIFS(Actuals!$G:$G,Actuals!$B:$B,$C$3,Actuals!$C:$C,2,Actuals!$D:$D,$B$514,Actuals!$A:$A,LEFT($D$514,FIND("|",$D$514&amp;"|")-1),Actuals!$E:$E,MID($D$514,FIND("|",$D$514&amp;"|")+1,50),Actuals!$F:$F,"GBP")*$H$5)</f>
        <v/>
      </c>
      <c r="J515" s="18">
        <f>IF(OR($B$514="",3&gt;$C$4),"",SUMIFS(Actuals!$G:$G,Actuals!$B:$B,$C$3,Actuals!$C:$C,3,Actuals!$D:$D,$B$514,Actuals!$A:$A,LEFT($D$514,FIND("|",$D$514&amp;"|")-1),Actuals!$E:$E,MID($D$514,FIND("|",$D$514&amp;"|")+1,50),Actuals!$F:$F,"JPY")*$E$5+SUMIFS(Actuals!$G:$G,Actuals!$B:$B,$C$3,Actuals!$C:$C,3,Actuals!$D:$D,$B$514,Actuals!$A:$A,LEFT($D$514,FIND("|",$D$514&amp;"|")-1),Actuals!$E:$E,MID($D$514,FIND("|",$D$514&amp;"|")+1,50),Actuals!$F:$F,"USD")*$F$5+SUMIFS(Actuals!$G:$G,Actuals!$B:$B,$C$3,Actuals!$C:$C,3,Actuals!$D:$D,$B$514,Actuals!$A:$A,LEFT($D$514,FIND("|",$D$514&amp;"|")-1),Actuals!$E:$E,MID($D$514,FIND("|",$D$514&amp;"|")+1,50),Actuals!$F:$F,"EUR")*$G$5+SUMIFS(Actuals!$G:$G,Actuals!$B:$B,$C$3,Actuals!$C:$C,3,Actuals!$D:$D,$B$514,Actuals!$A:$A,LEFT($D$514,FIND("|",$D$514&amp;"|")-1),Actuals!$E:$E,MID($D$514,FIND("|",$D$514&amp;"|")+1,50),Actuals!$F:$F,"GBP")*$H$5)</f>
        <v/>
      </c>
      <c r="K515" s="18">
        <f>IF(OR($B$514="",4&gt;$C$4),"",SUMIFS(Actuals!$G:$G,Actuals!$B:$B,$C$3,Actuals!$C:$C,4,Actuals!$D:$D,$B$514,Actuals!$A:$A,LEFT($D$514,FIND("|",$D$514&amp;"|")-1),Actuals!$E:$E,MID($D$514,FIND("|",$D$514&amp;"|")+1,50),Actuals!$F:$F,"JPY")*$E$5+SUMIFS(Actuals!$G:$G,Actuals!$B:$B,$C$3,Actuals!$C:$C,4,Actuals!$D:$D,$B$514,Actuals!$A:$A,LEFT($D$514,FIND("|",$D$514&amp;"|")-1),Actuals!$E:$E,MID($D$514,FIND("|",$D$514&amp;"|")+1,50),Actuals!$F:$F,"USD")*$F$5+SUMIFS(Actuals!$G:$G,Actuals!$B:$B,$C$3,Actuals!$C:$C,4,Actuals!$D:$D,$B$514,Actuals!$A:$A,LEFT($D$514,FIND("|",$D$514&amp;"|")-1),Actuals!$E:$E,MID($D$514,FIND("|",$D$514&amp;"|")+1,50),Actuals!$F:$F,"EUR")*$G$5+SUMIFS(Actuals!$G:$G,Actuals!$B:$B,$C$3,Actuals!$C:$C,4,Actuals!$D:$D,$B$514,Actuals!$A:$A,LEFT($D$514,FIND("|",$D$514&amp;"|")-1),Actuals!$E:$E,MID($D$514,FIND("|",$D$514&amp;"|")+1,50),Actuals!$F:$F,"GBP")*$H$5)</f>
        <v/>
      </c>
      <c r="L515" s="18">
        <f>IF(OR($B$514="",5&gt;$C$4),"",SUMIFS(Actuals!$G:$G,Actuals!$B:$B,$C$3,Actuals!$C:$C,5,Actuals!$D:$D,$B$514,Actuals!$A:$A,LEFT($D$514,FIND("|",$D$514&amp;"|")-1),Actuals!$E:$E,MID($D$514,FIND("|",$D$514&amp;"|")+1,50),Actuals!$F:$F,"JPY")*$E$5+SUMIFS(Actuals!$G:$G,Actuals!$B:$B,$C$3,Actuals!$C:$C,5,Actuals!$D:$D,$B$514,Actuals!$A:$A,LEFT($D$514,FIND("|",$D$514&amp;"|")-1),Actuals!$E:$E,MID($D$514,FIND("|",$D$514&amp;"|")+1,50),Actuals!$F:$F,"USD")*$F$5+SUMIFS(Actuals!$G:$G,Actuals!$B:$B,$C$3,Actuals!$C:$C,5,Actuals!$D:$D,$B$514,Actuals!$A:$A,LEFT($D$514,FIND("|",$D$514&amp;"|")-1),Actuals!$E:$E,MID($D$514,FIND("|",$D$514&amp;"|")+1,50),Actuals!$F:$F,"EUR")*$G$5+SUMIFS(Actuals!$G:$G,Actuals!$B:$B,$C$3,Actuals!$C:$C,5,Actuals!$D:$D,$B$514,Actuals!$A:$A,LEFT($D$514,FIND("|",$D$514&amp;"|")-1),Actuals!$E:$E,MID($D$514,FIND("|",$D$514&amp;"|")+1,50),Actuals!$F:$F,"GBP")*$H$5)</f>
        <v/>
      </c>
      <c r="M515" s="18">
        <f>IF(OR($B$514="",6&gt;$C$4),"",SUMIFS(Actuals!$G:$G,Actuals!$B:$B,$C$3,Actuals!$C:$C,6,Actuals!$D:$D,$B$514,Actuals!$A:$A,LEFT($D$514,FIND("|",$D$514&amp;"|")-1),Actuals!$E:$E,MID($D$514,FIND("|",$D$514&amp;"|")+1,50),Actuals!$F:$F,"JPY")*$E$5+SUMIFS(Actuals!$G:$G,Actuals!$B:$B,$C$3,Actuals!$C:$C,6,Actuals!$D:$D,$B$514,Actuals!$A:$A,LEFT($D$514,FIND("|",$D$514&amp;"|")-1),Actuals!$E:$E,MID($D$514,FIND("|",$D$514&amp;"|")+1,50),Actuals!$F:$F,"USD")*$F$5+SUMIFS(Actuals!$G:$G,Actuals!$B:$B,$C$3,Actuals!$C:$C,6,Actuals!$D:$D,$B$514,Actuals!$A:$A,LEFT($D$514,FIND("|",$D$514&amp;"|")-1),Actuals!$E:$E,MID($D$514,FIND("|",$D$514&amp;"|")+1,50),Actuals!$F:$F,"EUR")*$G$5+SUMIFS(Actuals!$G:$G,Actuals!$B:$B,$C$3,Actuals!$C:$C,6,Actuals!$D:$D,$B$514,Actuals!$A:$A,LEFT($D$514,FIND("|",$D$514&amp;"|")-1),Actuals!$E:$E,MID($D$514,FIND("|",$D$514&amp;"|")+1,50),Actuals!$F:$F,"GBP")*$H$5)</f>
        <v/>
      </c>
      <c r="N515" s="18">
        <f>IF(OR($B$514="",7&gt;$C$4),"",SUMIFS(Actuals!$G:$G,Actuals!$B:$B,$C$3,Actuals!$C:$C,7,Actuals!$D:$D,$B$514,Actuals!$A:$A,LEFT($D$514,FIND("|",$D$514&amp;"|")-1),Actuals!$E:$E,MID($D$514,FIND("|",$D$514&amp;"|")+1,50),Actuals!$F:$F,"JPY")*$E$5+SUMIFS(Actuals!$G:$G,Actuals!$B:$B,$C$3,Actuals!$C:$C,7,Actuals!$D:$D,$B$514,Actuals!$A:$A,LEFT($D$514,FIND("|",$D$514&amp;"|")-1),Actuals!$E:$E,MID($D$514,FIND("|",$D$514&amp;"|")+1,50),Actuals!$F:$F,"USD")*$F$5+SUMIFS(Actuals!$G:$G,Actuals!$B:$B,$C$3,Actuals!$C:$C,7,Actuals!$D:$D,$B$514,Actuals!$A:$A,LEFT($D$514,FIND("|",$D$514&amp;"|")-1),Actuals!$E:$E,MID($D$514,FIND("|",$D$514&amp;"|")+1,50),Actuals!$F:$F,"EUR")*$G$5+SUMIFS(Actuals!$G:$G,Actuals!$B:$B,$C$3,Actuals!$C:$C,7,Actuals!$D:$D,$B$514,Actuals!$A:$A,LEFT($D$514,FIND("|",$D$514&amp;"|")-1),Actuals!$E:$E,MID($D$514,FIND("|",$D$514&amp;"|")+1,50),Actuals!$F:$F,"GBP")*$H$5)</f>
        <v/>
      </c>
      <c r="O515" s="18">
        <f>IF(OR($B$514="",8&gt;$C$4),"",SUMIFS(Actuals!$G:$G,Actuals!$B:$B,$C$3,Actuals!$C:$C,8,Actuals!$D:$D,$B$514,Actuals!$A:$A,LEFT($D$514,FIND("|",$D$514&amp;"|")-1),Actuals!$E:$E,MID($D$514,FIND("|",$D$514&amp;"|")+1,50),Actuals!$F:$F,"JPY")*$E$5+SUMIFS(Actuals!$G:$G,Actuals!$B:$B,$C$3,Actuals!$C:$C,8,Actuals!$D:$D,$B$514,Actuals!$A:$A,LEFT($D$514,FIND("|",$D$514&amp;"|")-1),Actuals!$E:$E,MID($D$514,FIND("|",$D$514&amp;"|")+1,50),Actuals!$F:$F,"USD")*$F$5+SUMIFS(Actuals!$G:$G,Actuals!$B:$B,$C$3,Actuals!$C:$C,8,Actuals!$D:$D,$B$514,Actuals!$A:$A,LEFT($D$514,FIND("|",$D$514&amp;"|")-1),Actuals!$E:$E,MID($D$514,FIND("|",$D$514&amp;"|")+1,50),Actuals!$F:$F,"EUR")*$G$5+SUMIFS(Actuals!$G:$G,Actuals!$B:$B,$C$3,Actuals!$C:$C,8,Actuals!$D:$D,$B$514,Actuals!$A:$A,LEFT($D$514,FIND("|",$D$514&amp;"|")-1),Actuals!$E:$E,MID($D$514,FIND("|",$D$514&amp;"|")+1,50),Actuals!$F:$F,"GBP")*$H$5)</f>
        <v/>
      </c>
      <c r="P515" s="18">
        <f>IF(OR($B$514="",9&gt;$C$4),"",SUMIFS(Actuals!$G:$G,Actuals!$B:$B,$C$3,Actuals!$C:$C,9,Actuals!$D:$D,$B$514,Actuals!$A:$A,LEFT($D$514,FIND("|",$D$514&amp;"|")-1),Actuals!$E:$E,MID($D$514,FIND("|",$D$514&amp;"|")+1,50),Actuals!$F:$F,"JPY")*$E$5+SUMIFS(Actuals!$G:$G,Actuals!$B:$B,$C$3,Actuals!$C:$C,9,Actuals!$D:$D,$B$514,Actuals!$A:$A,LEFT($D$514,FIND("|",$D$514&amp;"|")-1),Actuals!$E:$E,MID($D$514,FIND("|",$D$514&amp;"|")+1,50),Actuals!$F:$F,"USD")*$F$5+SUMIFS(Actuals!$G:$G,Actuals!$B:$B,$C$3,Actuals!$C:$C,9,Actuals!$D:$D,$B$514,Actuals!$A:$A,LEFT($D$514,FIND("|",$D$514&amp;"|")-1),Actuals!$E:$E,MID($D$514,FIND("|",$D$514&amp;"|")+1,50),Actuals!$F:$F,"EUR")*$G$5+SUMIFS(Actuals!$G:$G,Actuals!$B:$B,$C$3,Actuals!$C:$C,9,Actuals!$D:$D,$B$514,Actuals!$A:$A,LEFT($D$514,FIND("|",$D$514&amp;"|")-1),Actuals!$E:$E,MID($D$514,FIND("|",$D$514&amp;"|")+1,50),Actuals!$F:$F,"GBP")*$H$5)</f>
        <v/>
      </c>
      <c r="Q515" s="18">
        <f>IF(OR($B$514="",10&gt;$C$4),"",SUMIFS(Actuals!$G:$G,Actuals!$B:$B,$C$3,Actuals!$C:$C,10,Actuals!$D:$D,$B$514,Actuals!$A:$A,LEFT($D$514,FIND("|",$D$514&amp;"|")-1),Actuals!$E:$E,MID($D$514,FIND("|",$D$514&amp;"|")+1,50),Actuals!$F:$F,"JPY")*$E$5+SUMIFS(Actuals!$G:$G,Actuals!$B:$B,$C$3,Actuals!$C:$C,10,Actuals!$D:$D,$B$514,Actuals!$A:$A,LEFT($D$514,FIND("|",$D$514&amp;"|")-1),Actuals!$E:$E,MID($D$514,FIND("|",$D$514&amp;"|")+1,50),Actuals!$F:$F,"USD")*$F$5+SUMIFS(Actuals!$G:$G,Actuals!$B:$B,$C$3,Actuals!$C:$C,10,Actuals!$D:$D,$B$514,Actuals!$A:$A,LEFT($D$514,FIND("|",$D$514&amp;"|")-1),Actuals!$E:$E,MID($D$514,FIND("|",$D$514&amp;"|")+1,50),Actuals!$F:$F,"EUR")*$G$5+SUMIFS(Actuals!$G:$G,Actuals!$B:$B,$C$3,Actuals!$C:$C,10,Actuals!$D:$D,$B$514,Actuals!$A:$A,LEFT($D$514,FIND("|",$D$514&amp;"|")-1),Actuals!$E:$E,MID($D$514,FIND("|",$D$514&amp;"|")+1,50),Actuals!$F:$F,"GBP")*$H$5)</f>
        <v/>
      </c>
      <c r="R515" s="18">
        <f>IF(OR($B$514="",11&gt;$C$4),"",SUMIFS(Actuals!$G:$G,Actuals!$B:$B,$C$3,Actuals!$C:$C,11,Actuals!$D:$D,$B$514,Actuals!$A:$A,LEFT($D$514,FIND("|",$D$514&amp;"|")-1),Actuals!$E:$E,MID($D$514,FIND("|",$D$514&amp;"|")+1,50),Actuals!$F:$F,"JPY")*$E$5+SUMIFS(Actuals!$G:$G,Actuals!$B:$B,$C$3,Actuals!$C:$C,11,Actuals!$D:$D,$B$514,Actuals!$A:$A,LEFT($D$514,FIND("|",$D$514&amp;"|")-1),Actuals!$E:$E,MID($D$514,FIND("|",$D$514&amp;"|")+1,50),Actuals!$F:$F,"USD")*$F$5+SUMIFS(Actuals!$G:$G,Actuals!$B:$B,$C$3,Actuals!$C:$C,11,Actuals!$D:$D,$B$514,Actuals!$A:$A,LEFT($D$514,FIND("|",$D$514&amp;"|")-1),Actuals!$E:$E,MID($D$514,FIND("|",$D$514&amp;"|")+1,50),Actuals!$F:$F,"EUR")*$G$5+SUMIFS(Actuals!$G:$G,Actuals!$B:$B,$C$3,Actuals!$C:$C,11,Actuals!$D:$D,$B$514,Actuals!$A:$A,LEFT($D$514,FIND("|",$D$514&amp;"|")-1),Actuals!$E:$E,MID($D$514,FIND("|",$D$514&amp;"|")+1,50),Actuals!$F:$F,"GBP")*$H$5)</f>
        <v/>
      </c>
      <c r="S515" s="18">
        <f>IF(OR($B$514="",12&gt;$C$4),"",SUMIFS(Actuals!$G:$G,Actuals!$B:$B,$C$3,Actuals!$C:$C,12,Actuals!$D:$D,$B$514,Actuals!$A:$A,LEFT($D$514,FIND("|",$D$514&amp;"|")-1),Actuals!$E:$E,MID($D$514,FIND("|",$D$514&amp;"|")+1,50),Actuals!$F:$F,"JPY")*$E$5+SUMIFS(Actuals!$G:$G,Actuals!$B:$B,$C$3,Actuals!$C:$C,12,Actuals!$D:$D,$B$514,Actuals!$A:$A,LEFT($D$514,FIND("|",$D$514&amp;"|")-1),Actuals!$E:$E,MID($D$514,FIND("|",$D$514&amp;"|")+1,50),Actuals!$F:$F,"USD")*$F$5+SUMIFS(Actuals!$G:$G,Actuals!$B:$B,$C$3,Actuals!$C:$C,12,Actuals!$D:$D,$B$514,Actuals!$A:$A,LEFT($D$514,FIND("|",$D$514&amp;"|")-1),Actuals!$E:$E,MID($D$514,FIND("|",$D$514&amp;"|")+1,50),Actuals!$F:$F,"EUR")*$G$5+SUMIFS(Actuals!$G:$G,Actuals!$B:$B,$C$3,Actuals!$C:$C,12,Actuals!$D:$D,$B$514,Actuals!$A:$A,LEFT($D$514,FIND("|",$D$514&amp;"|")-1),Actuals!$E:$E,MID($D$514,FIND("|",$D$514&amp;"|")+1,50),Actuals!$F:$F,"GBP")*$H$5)</f>
        <v/>
      </c>
      <c r="T515" s="18">
        <f>IF($B$514="","",SUMIF($H$7:$S$7,"&lt;="&amp;$C$4,$H515:$S515))</f>
        <v/>
      </c>
      <c r="U515" s="18" t="n"/>
      <c r="V515" s="18" t="n"/>
      <c r="X515" s="22">
        <f>IF($B515="","",IFERROR(INDEX(Cost_Centers!$E:$E,MATCH($B515,Cost_Centers!$A:$A,0)),"(unknown)"))</f>
        <v/>
      </c>
      <c r="Y515" s="22">
        <f>IF($B515="","",IFERROR(INDEX(Cost_Centers!$D:$D,MATCH($B515,Cost_Centers!$A:$A,0)),"(unknown)"))</f>
        <v/>
      </c>
      <c r="Z515" s="22">
        <f>IF(OR($B515="",$G515&lt;&gt;"Variance vs Budget"),"",ABS(N($V515))+ROW()/1000000000)</f>
        <v/>
      </c>
    </row>
    <row r="516">
      <c r="A516" s="13">
        <f>IF(A$514="","",A$514)</f>
        <v/>
      </c>
      <c r="B516" s="13">
        <f>IF(B$514="","",B$514)</f>
        <v/>
      </c>
      <c r="C516" s="13">
        <f>IF(C$514="","",C$514)</f>
        <v/>
      </c>
      <c r="D516" s="13">
        <f>IF(D$514="","",D$514)</f>
        <v/>
      </c>
      <c r="E516" s="13">
        <f>IF(E$514="","",E$514)</f>
        <v/>
      </c>
      <c r="F516" s="13">
        <f>IF(F$514="","",F$514)</f>
        <v/>
      </c>
      <c r="G516" s="6" t="inlineStr">
        <is>
          <t>Variance vs Budget</t>
        </is>
      </c>
      <c r="H516" s="33">
        <f>IF(OR($B$514="",1&gt;$C$4),"",N(H515)-H514)</f>
        <v/>
      </c>
      <c r="I516" s="33">
        <f>IF(OR($B$514="",2&gt;$C$4),"",N(I515)-I514)</f>
        <v/>
      </c>
      <c r="J516" s="33">
        <f>IF(OR($B$514="",3&gt;$C$4),"",N(J515)-J514)</f>
        <v/>
      </c>
      <c r="K516" s="33">
        <f>IF(OR($B$514="",4&gt;$C$4),"",N(K515)-K514)</f>
        <v/>
      </c>
      <c r="L516" s="33">
        <f>IF(OR($B$514="",5&gt;$C$4),"",N(L515)-L514)</f>
        <v/>
      </c>
      <c r="M516" s="33">
        <f>IF(OR($B$514="",6&gt;$C$4),"",N(M515)-M514)</f>
        <v/>
      </c>
      <c r="N516" s="33">
        <f>IF(OR($B$514="",7&gt;$C$4),"",N(N515)-N514)</f>
        <v/>
      </c>
      <c r="O516" s="33">
        <f>IF(OR($B$514="",8&gt;$C$4),"",N(O515)-O514)</f>
        <v/>
      </c>
      <c r="P516" s="33">
        <f>IF(OR($B$514="",9&gt;$C$4),"",N(P515)-P514)</f>
        <v/>
      </c>
      <c r="Q516" s="33">
        <f>IF(OR($B$514="",10&gt;$C$4),"",N(Q515)-Q514)</f>
        <v/>
      </c>
      <c r="R516" s="33">
        <f>IF(OR($B$514="",11&gt;$C$4),"",N(R515)-R514)</f>
        <v/>
      </c>
      <c r="S516" s="33">
        <f>IF(OR($B$514="",12&gt;$C$4),"",N(S515)-S514)</f>
        <v/>
      </c>
      <c r="T516" s="33">
        <f>IF($B$514="","",T515-T514)</f>
        <v/>
      </c>
      <c r="U516" s="33">
        <f>IF($B$514="","",U518-U514)</f>
        <v/>
      </c>
      <c r="V516" s="33">
        <f>IF($B$514="","",V518-V514)</f>
        <v/>
      </c>
      <c r="X516" s="22">
        <f>IF($B516="","",IFERROR(INDEX(Cost_Centers!$E:$E,MATCH($B516,Cost_Centers!$A:$A,0)),"(unknown)"))</f>
        <v/>
      </c>
      <c r="Y516" s="22">
        <f>IF($B516="","",IFERROR(INDEX(Cost_Centers!$D:$D,MATCH($B516,Cost_Centers!$A:$A,0)),"(unknown)"))</f>
        <v/>
      </c>
      <c r="Z516" s="22">
        <f>IF(OR($B516="",$G516&lt;&gt;"Variance vs Budget"),"",ABS(N($V516))+ROW()/1000000000)</f>
        <v/>
      </c>
    </row>
    <row r="517">
      <c r="A517" s="13">
        <f>IF(A$514="","",A$514)</f>
        <v/>
      </c>
      <c r="B517" s="13">
        <f>IF(B$514="","",B$514)</f>
        <v/>
      </c>
      <c r="C517" s="13">
        <f>IF(C$514="","",C$514)</f>
        <v/>
      </c>
      <c r="D517" s="13">
        <f>IF(D$514="","",D$514)</f>
        <v/>
      </c>
      <c r="E517" s="13">
        <f>IF(E$514="","",E$514)</f>
        <v/>
      </c>
      <c r="F517" s="13">
        <f>IF(F$514="","",F$514)</f>
        <v/>
      </c>
      <c r="G517" s="7" t="inlineStr">
        <is>
          <t>Forecast (input)</t>
        </is>
      </c>
      <c r="H517" s="34" t="n"/>
      <c r="I517" s="34" t="n"/>
      <c r="J517" s="34" t="n"/>
      <c r="K517" s="34" t="n"/>
      <c r="L517" s="34" t="n"/>
      <c r="M517" s="34" t="n"/>
      <c r="N517" s="34" t="n"/>
      <c r="O517" s="34" t="n"/>
      <c r="P517" s="34" t="n"/>
      <c r="Q517" s="34" t="n"/>
      <c r="R517" s="34" t="n"/>
      <c r="S517" s="34" t="n"/>
      <c r="T517" s="18" t="n"/>
      <c r="U517" s="18" t="n"/>
      <c r="V517" s="18" t="n"/>
      <c r="X517" s="22">
        <f>IF($B517="","",IFERROR(INDEX(Cost_Centers!$E:$E,MATCH($B517,Cost_Centers!$A:$A,0)),"(unknown)"))</f>
        <v/>
      </c>
      <c r="Y517" s="22">
        <f>IF($B517="","",IFERROR(INDEX(Cost_Centers!$D:$D,MATCH($B517,Cost_Centers!$A:$A,0)),"(unknown)"))</f>
        <v/>
      </c>
      <c r="Z517" s="22">
        <f>IF(OR($B517="",$G517&lt;&gt;"Variance vs Budget"),"",ABS(N($V517))+ROW()/1000000000)</f>
        <v/>
      </c>
    </row>
    <row r="518">
      <c r="A518" s="13">
        <f>IF(A$514="","",A$514)</f>
        <v/>
      </c>
      <c r="B518" s="13">
        <f>IF(B$514="","",B$514)</f>
        <v/>
      </c>
      <c r="C518" s="13">
        <f>IF(C$514="","",C$514)</f>
        <v/>
      </c>
      <c r="D518" s="13">
        <f>IF(D$514="","",D$514)</f>
        <v/>
      </c>
      <c r="E518" s="13">
        <f>IF(E$514="","",E$514)</f>
        <v/>
      </c>
      <c r="F518" s="13">
        <f>IF(F$514="","",F$514)</f>
        <v/>
      </c>
      <c r="G518" s="35" t="inlineStr">
        <is>
          <t>Actual + Forecast</t>
        </is>
      </c>
      <c r="H518" s="18">
        <f>IF($B$514="","",IF(1&lt;=$C$4,N(H515),IF(H517="",H514,H517)))</f>
        <v/>
      </c>
      <c r="I518" s="18">
        <f>IF($B$514="","",IF(2&lt;=$C$4,N(I515),IF(I517="",I514,I517)))</f>
        <v/>
      </c>
      <c r="J518" s="18">
        <f>IF($B$514="","",IF(3&lt;=$C$4,N(J515),IF(J517="",J514,J517)))</f>
        <v/>
      </c>
      <c r="K518" s="18">
        <f>IF($B$514="","",IF(4&lt;=$C$4,N(K515),IF(K517="",K514,K517)))</f>
        <v/>
      </c>
      <c r="L518" s="18">
        <f>IF($B$514="","",IF(5&lt;=$C$4,N(L515),IF(L517="",L514,L517)))</f>
        <v/>
      </c>
      <c r="M518" s="18">
        <f>IF($B$514="","",IF(6&lt;=$C$4,N(M515),IF(M517="",M514,M517)))</f>
        <v/>
      </c>
      <c r="N518" s="18">
        <f>IF($B$514="","",IF(7&lt;=$C$4,N(N515),IF(N517="",N514,N517)))</f>
        <v/>
      </c>
      <c r="O518" s="18">
        <f>IF($B$514="","",IF(8&lt;=$C$4,N(O515),IF(O517="",O514,O517)))</f>
        <v/>
      </c>
      <c r="P518" s="18">
        <f>IF($B$514="","",IF(9&lt;=$C$4,N(P515),IF(P517="",P514,P517)))</f>
        <v/>
      </c>
      <c r="Q518" s="18">
        <f>IF($B$514="","",IF(10&lt;=$C$4,N(Q515),IF(Q517="",Q514,Q517)))</f>
        <v/>
      </c>
      <c r="R518" s="18">
        <f>IF($B$514="","",IF(11&lt;=$C$4,N(R515),IF(R517="",R514,R517)))</f>
        <v/>
      </c>
      <c r="S518" s="18">
        <f>IF($B$514="","",IF(12&lt;=$C$4,N(S515),IF(S517="",S514,S517)))</f>
        <v/>
      </c>
      <c r="T518" s="18">
        <f>IF($B$514="","",SUMIF($H$7:$S$7,"&lt;="&amp;$C$4,$H518:$S518))</f>
        <v/>
      </c>
      <c r="U518" s="18">
        <f>IF($B$514="","",SUMIF($H$7:$S$7,"&gt;"&amp;$C$4,$H518:$S518))</f>
        <v/>
      </c>
      <c r="V518" s="18">
        <f>IF($B$514="","",SUM($H518:$S518))</f>
        <v/>
      </c>
      <c r="X518" s="22">
        <f>IF($B518="","",IFERROR(INDEX(Cost_Centers!$E:$E,MATCH($B518,Cost_Centers!$A:$A,0)),"(unknown)"))</f>
        <v/>
      </c>
      <c r="Y518" s="22">
        <f>IF($B518="","",IFERROR(INDEX(Cost_Centers!$D:$D,MATCH($B518,Cost_Centers!$A:$A,0)),"(unknown)"))</f>
        <v/>
      </c>
      <c r="Z518" s="22">
        <f>IF(OR($B518="",$G518&lt;&gt;"Variance vs Budget"),"",ABS(N($V518))+ROW()/1000000000)</f>
        <v/>
      </c>
    </row>
    <row r="519">
      <c r="A519" s="13">
        <f>IF(A$514="","",A$514)</f>
        <v/>
      </c>
      <c r="B519" s="13">
        <f>IF(B$514="","",B$514)</f>
        <v/>
      </c>
      <c r="C519" s="13">
        <f>IF(C$514="","",C$514)</f>
        <v/>
      </c>
      <c r="D519" s="13">
        <f>IF(D$514="","",D$514)</f>
        <v/>
      </c>
      <c r="E519" s="13">
        <f>IF(E$514="","",E$514)</f>
        <v/>
      </c>
      <c r="F519" s="13">
        <f>IF(F$514="","",F$514)</f>
        <v/>
      </c>
      <c r="G519" s="36" t="inlineStr">
        <is>
          <t>Prior Month Forecast</t>
        </is>
      </c>
      <c r="H519" s="37">
        <f>IF($B$514="","",IF(COUNTIFS(Prior_Forecast!$A:$A,$B$514,Prior_Forecast!$B:$B,$D$514)&gt;0,SUMIFS(Prior_Forecast!$C:$C,Prior_Forecast!$A:$A,$B$514,Prior_Forecast!$B:$B,$D$514),""))</f>
        <v/>
      </c>
      <c r="I519" s="37">
        <f>IF($B$514="","",IF(COUNTIFS(Prior_Forecast!$A:$A,$B$514,Prior_Forecast!$B:$B,$D$514)&gt;0,SUMIFS(Prior_Forecast!$D:$D,Prior_Forecast!$A:$A,$B$514,Prior_Forecast!$B:$B,$D$514),""))</f>
        <v/>
      </c>
      <c r="J519" s="37">
        <f>IF($B$514="","",IF(COUNTIFS(Prior_Forecast!$A:$A,$B$514,Prior_Forecast!$B:$B,$D$514)&gt;0,SUMIFS(Prior_Forecast!$E:$E,Prior_Forecast!$A:$A,$B$514,Prior_Forecast!$B:$B,$D$514),""))</f>
        <v/>
      </c>
      <c r="K519" s="37">
        <f>IF($B$514="","",IF(COUNTIFS(Prior_Forecast!$A:$A,$B$514,Prior_Forecast!$B:$B,$D$514)&gt;0,SUMIFS(Prior_Forecast!$F:$F,Prior_Forecast!$A:$A,$B$514,Prior_Forecast!$B:$B,$D$514),""))</f>
        <v/>
      </c>
      <c r="L519" s="37">
        <f>IF($B$514="","",IF(COUNTIFS(Prior_Forecast!$A:$A,$B$514,Prior_Forecast!$B:$B,$D$514)&gt;0,SUMIFS(Prior_Forecast!$G:$G,Prior_Forecast!$A:$A,$B$514,Prior_Forecast!$B:$B,$D$514),""))</f>
        <v/>
      </c>
      <c r="M519" s="37">
        <f>IF($B$514="","",IF(COUNTIFS(Prior_Forecast!$A:$A,$B$514,Prior_Forecast!$B:$B,$D$514)&gt;0,SUMIFS(Prior_Forecast!$H:$H,Prior_Forecast!$A:$A,$B$514,Prior_Forecast!$B:$B,$D$514),""))</f>
        <v/>
      </c>
      <c r="N519" s="37">
        <f>IF($B$514="","",IF(COUNTIFS(Prior_Forecast!$A:$A,$B$514,Prior_Forecast!$B:$B,$D$514)&gt;0,SUMIFS(Prior_Forecast!$I:$I,Prior_Forecast!$A:$A,$B$514,Prior_Forecast!$B:$B,$D$514),""))</f>
        <v/>
      </c>
      <c r="O519" s="37">
        <f>IF($B$514="","",IF(COUNTIFS(Prior_Forecast!$A:$A,$B$514,Prior_Forecast!$B:$B,$D$514)&gt;0,SUMIFS(Prior_Forecast!$J:$J,Prior_Forecast!$A:$A,$B$514,Prior_Forecast!$B:$B,$D$514),""))</f>
        <v/>
      </c>
      <c r="P519" s="37">
        <f>IF($B$514="","",IF(COUNTIFS(Prior_Forecast!$A:$A,$B$514,Prior_Forecast!$B:$B,$D$514)&gt;0,SUMIFS(Prior_Forecast!$K:$K,Prior_Forecast!$A:$A,$B$514,Prior_Forecast!$B:$B,$D$514),""))</f>
        <v/>
      </c>
      <c r="Q519" s="37">
        <f>IF($B$514="","",IF(COUNTIFS(Prior_Forecast!$A:$A,$B$514,Prior_Forecast!$B:$B,$D$514)&gt;0,SUMIFS(Prior_Forecast!$L:$L,Prior_Forecast!$A:$A,$B$514,Prior_Forecast!$B:$B,$D$514),""))</f>
        <v/>
      </c>
      <c r="R519" s="37">
        <f>IF($B$514="","",IF(COUNTIFS(Prior_Forecast!$A:$A,$B$514,Prior_Forecast!$B:$B,$D$514)&gt;0,SUMIFS(Prior_Forecast!$M:$M,Prior_Forecast!$A:$A,$B$514,Prior_Forecast!$B:$B,$D$514),""))</f>
        <v/>
      </c>
      <c r="S519" s="37">
        <f>IF($B$514="","",IF(COUNTIFS(Prior_Forecast!$A:$A,$B$514,Prior_Forecast!$B:$B,$D$514)&gt;0,SUMIFS(Prior_Forecast!$N:$N,Prior_Forecast!$A:$A,$B$514,Prior_Forecast!$B:$B,$D$514),""))</f>
        <v/>
      </c>
      <c r="T519" s="37">
        <f>IF($B$514="","",IF(COUNTIFS(Prior_Forecast!$A:$A,$B$514,Prior_Forecast!$B:$B,$D$514)&gt;0,SUMIFS(Prior_Forecast!$O:$O,Prior_Forecast!$A:$A,$B$514,Prior_Forecast!$B:$B,$D$514),""))</f>
        <v/>
      </c>
      <c r="U519" s="37">
        <f>IF($B$514="","",IF(COUNTIFS(Prior_Forecast!$A:$A,$B$514,Prior_Forecast!$B:$B,$D$514)&gt;0,SUMIFS(Prior_Forecast!$P:$P,Prior_Forecast!$A:$A,$B$514,Prior_Forecast!$B:$B,$D$514),""))</f>
        <v/>
      </c>
      <c r="V519" s="37">
        <f>IF($B$514="","",IF(COUNTIFS(Prior_Forecast!$A:$A,$B$514,Prior_Forecast!$B:$B,$D$514)&gt;0,SUMIFS(Prior_Forecast!$Q:$Q,Prior_Forecast!$A:$A,$B$514,Prior_Forecast!$B:$B,$D$514),""))</f>
        <v/>
      </c>
      <c r="X519" s="22">
        <f>IF($B519="","",IFERROR(INDEX(Cost_Centers!$E:$E,MATCH($B519,Cost_Centers!$A:$A,0)),"(unknown)"))</f>
        <v/>
      </c>
      <c r="Y519" s="22">
        <f>IF($B519="","",IFERROR(INDEX(Cost_Centers!$D:$D,MATCH($B519,Cost_Centers!$A:$A,0)),"(unknown)"))</f>
        <v/>
      </c>
      <c r="Z519" s="22">
        <f>IF(OR($B519="",$G519&lt;&gt;"Variance vs Budget"),"",ABS(N($V519))+ROW()/1000000000)</f>
        <v/>
      </c>
    </row>
    <row r="520">
      <c r="A520" s="13">
        <f>IF(A$514="","",A$514)</f>
        <v/>
      </c>
      <c r="B520" s="13">
        <f>IF(B$514="","",B$514)</f>
        <v/>
      </c>
      <c r="C520" s="13">
        <f>IF(C$514="","",C$514)</f>
        <v/>
      </c>
      <c r="D520" s="13">
        <f>IF(D$514="","",D$514)</f>
        <v/>
      </c>
      <c r="E520" s="13">
        <f>IF(E$514="","",E$514)</f>
        <v/>
      </c>
      <c r="F520" s="13">
        <f>IF(F$514="","",F$514)</f>
        <v/>
      </c>
      <c r="G520" s="6" t="inlineStr">
        <is>
          <t>Variance vs Prior Month</t>
        </is>
      </c>
      <c r="H520" s="33">
        <f>IF(OR($B$514="",H519=""),"",H518-H519)</f>
        <v/>
      </c>
      <c r="I520" s="33">
        <f>IF(OR($B$514="",I519=""),"",I518-I519)</f>
        <v/>
      </c>
      <c r="J520" s="33">
        <f>IF(OR($B$514="",J519=""),"",J518-J519)</f>
        <v/>
      </c>
      <c r="K520" s="33">
        <f>IF(OR($B$514="",K519=""),"",K518-K519)</f>
        <v/>
      </c>
      <c r="L520" s="33">
        <f>IF(OR($B$514="",L519=""),"",L518-L519)</f>
        <v/>
      </c>
      <c r="M520" s="33">
        <f>IF(OR($B$514="",M519=""),"",M518-M519)</f>
        <v/>
      </c>
      <c r="N520" s="33">
        <f>IF(OR($B$514="",N519=""),"",N518-N519)</f>
        <v/>
      </c>
      <c r="O520" s="33">
        <f>IF(OR($B$514="",O519=""),"",O518-O519)</f>
        <v/>
      </c>
      <c r="P520" s="33">
        <f>IF(OR($B$514="",P519=""),"",P518-P519)</f>
        <v/>
      </c>
      <c r="Q520" s="33">
        <f>IF(OR($B$514="",Q519=""),"",Q518-Q519)</f>
        <v/>
      </c>
      <c r="R520" s="33">
        <f>IF(OR($B$514="",R519=""),"",R518-R519)</f>
        <v/>
      </c>
      <c r="S520" s="33">
        <f>IF(OR($B$514="",S519=""),"",S518-S519)</f>
        <v/>
      </c>
      <c r="T520" s="33">
        <f>IF(OR($B$514="",T519=""),"",T518-T519)</f>
        <v/>
      </c>
      <c r="U520" s="33">
        <f>IF(OR($B$514="",U519=""),"",U518-U519)</f>
        <v/>
      </c>
      <c r="V520" s="33">
        <f>IF(OR($B$514="",V519=""),"",V518-V519)</f>
        <v/>
      </c>
      <c r="X520" s="22">
        <f>IF($B520="","",IFERROR(INDEX(Cost_Centers!$E:$E,MATCH($B520,Cost_Centers!$A:$A,0)),"(unknown)"))</f>
        <v/>
      </c>
      <c r="Y520" s="22">
        <f>IF($B520="","",IFERROR(INDEX(Cost_Centers!$D:$D,MATCH($B520,Cost_Centers!$A:$A,0)),"(unknown)"))</f>
        <v/>
      </c>
      <c r="Z520" s="22">
        <f>IF(OR($B520="",$G520&lt;&gt;"Variance vs Budget"),"",ABS(N($V520))+ROW()/1000000000)</f>
        <v/>
      </c>
    </row>
    <row r="521" ht="45" customHeight="1">
      <c r="A521" s="13">
        <f>IF(A$514="","",A$514)</f>
        <v/>
      </c>
      <c r="B521" s="13">
        <f>IF(B$514="","",B$514)</f>
        <v/>
      </c>
      <c r="C521" s="13">
        <f>IF(C$514="","",C$514)</f>
        <v/>
      </c>
      <c r="D521" s="13">
        <f>IF(D$514="","",D$514)</f>
        <v/>
      </c>
      <c r="E521" s="13">
        <f>IF(E$514="","",E$514)</f>
        <v/>
      </c>
      <c r="F521" s="13">
        <f>IF(F$514="","",F$514)</f>
        <v/>
      </c>
      <c r="G521" s="7" t="inlineStr">
        <is>
          <t>Rationale</t>
        </is>
      </c>
      <c r="H521" s="38" t="n"/>
      <c r="I521" s="38" t="n"/>
      <c r="J521" s="38" t="n"/>
      <c r="K521" s="38" t="n"/>
      <c r="L521" s="38" t="n"/>
      <c r="M521" s="38" t="n"/>
      <c r="N521" s="38" t="n"/>
      <c r="O521" s="38" t="n"/>
      <c r="P521" s="38" t="n"/>
      <c r="Q521" s="38" t="n"/>
      <c r="R521" s="38" t="n"/>
      <c r="S521" s="38" t="n"/>
      <c r="T521" s="38" t="n"/>
      <c r="U521" s="38" t="n"/>
      <c r="V521" s="7" t="n"/>
      <c r="X521" s="22">
        <f>IF($B521="","",IFERROR(INDEX(Cost_Centers!$E:$E,MATCH($B521,Cost_Centers!$A:$A,0)),"(unknown)"))</f>
        <v/>
      </c>
      <c r="Y521" s="22">
        <f>IF($B521="","",IFERROR(INDEX(Cost_Centers!$D:$D,MATCH($B521,Cost_Centers!$A:$A,0)),"(unknown)"))</f>
        <v/>
      </c>
      <c r="Z521" s="22">
        <f>IF(OR($B521="",$G521&lt;&gt;"Variance vs Budget"),"",ABS(N($V521))+ROW()/1000000000)</f>
        <v/>
      </c>
    </row>
    <row r="522">
      <c r="A522" s="30">
        <f>IF($D$522="","",LEFT($D$522,FIND("|",$D$522&amp;"|")-1))</f>
        <v/>
      </c>
      <c r="B522" s="31" t="n"/>
      <c r="C522" s="30">
        <f>IF($B$522="","",IFERROR(INDEX(Cost_Centers!$B:$B,MATCH($B$522,Cost_Centers!$A:$A,0)),"(not in master)"))</f>
        <v/>
      </c>
      <c r="D522" s="31" t="n"/>
      <c r="E522" s="30">
        <f>IF($D$522="","",IFERROR(INDEX(Accounts!$D:$D,MATCH($D$522,Accounts!$A:$A,0)),"(not in master)"))</f>
        <v/>
      </c>
      <c r="F522" s="31" t="n"/>
      <c r="G522" s="30" t="inlineStr">
        <is>
          <t>Budget</t>
        </is>
      </c>
      <c r="H522" s="32">
        <f>IF($B$522="","",SUMIFS(Opex_Budget!$O:$O,Opex_Budget!$A:$A,$C$3,Opex_Budget!$E:$E,$B$522,Opex_Budget!$F:$F,$D$522,Opex_Budget!$N:$N,"JPY")*$E$5+SUMIFS(Opex_Budget!$O:$O,Opex_Budget!$A:$A,$C$3,Opex_Budget!$E:$E,$B$522,Opex_Budget!$F:$F,$D$522,Opex_Budget!$N:$N,"USD")*$F$5+SUMIFS(Opex_Budget!$O:$O,Opex_Budget!$A:$A,$C$3,Opex_Budget!$E:$E,$B$522,Opex_Budget!$F:$F,$D$522,Opex_Budget!$N:$N,"EUR")*$G$5+SUMIFS(Opex_Budget!$O:$O,Opex_Budget!$A:$A,$C$3,Opex_Budget!$E:$E,$B$522,Opex_Budget!$F:$F,$D$522,Opex_Budget!$N:$N,"GBP")*$H$5)</f>
        <v/>
      </c>
      <c r="I522" s="32">
        <f>IF($B$522="","",SUMIFS(Opex_Budget!$P:$P,Opex_Budget!$A:$A,$C$3,Opex_Budget!$E:$E,$B$522,Opex_Budget!$F:$F,$D$522,Opex_Budget!$N:$N,"JPY")*$E$5+SUMIFS(Opex_Budget!$P:$P,Opex_Budget!$A:$A,$C$3,Opex_Budget!$E:$E,$B$522,Opex_Budget!$F:$F,$D$522,Opex_Budget!$N:$N,"USD")*$F$5+SUMIFS(Opex_Budget!$P:$P,Opex_Budget!$A:$A,$C$3,Opex_Budget!$E:$E,$B$522,Opex_Budget!$F:$F,$D$522,Opex_Budget!$N:$N,"EUR")*$G$5+SUMIFS(Opex_Budget!$P:$P,Opex_Budget!$A:$A,$C$3,Opex_Budget!$E:$E,$B$522,Opex_Budget!$F:$F,$D$522,Opex_Budget!$N:$N,"GBP")*$H$5)</f>
        <v/>
      </c>
      <c r="J522" s="32">
        <f>IF($B$522="","",SUMIFS(Opex_Budget!$Q:$Q,Opex_Budget!$A:$A,$C$3,Opex_Budget!$E:$E,$B$522,Opex_Budget!$F:$F,$D$522,Opex_Budget!$N:$N,"JPY")*$E$5+SUMIFS(Opex_Budget!$Q:$Q,Opex_Budget!$A:$A,$C$3,Opex_Budget!$E:$E,$B$522,Opex_Budget!$F:$F,$D$522,Opex_Budget!$N:$N,"USD")*$F$5+SUMIFS(Opex_Budget!$Q:$Q,Opex_Budget!$A:$A,$C$3,Opex_Budget!$E:$E,$B$522,Opex_Budget!$F:$F,$D$522,Opex_Budget!$N:$N,"EUR")*$G$5+SUMIFS(Opex_Budget!$Q:$Q,Opex_Budget!$A:$A,$C$3,Opex_Budget!$E:$E,$B$522,Opex_Budget!$F:$F,$D$522,Opex_Budget!$N:$N,"GBP")*$H$5)</f>
        <v/>
      </c>
      <c r="K522" s="32">
        <f>IF($B$522="","",SUMIFS(Opex_Budget!$R:$R,Opex_Budget!$A:$A,$C$3,Opex_Budget!$E:$E,$B$522,Opex_Budget!$F:$F,$D$522,Opex_Budget!$N:$N,"JPY")*$E$5+SUMIFS(Opex_Budget!$R:$R,Opex_Budget!$A:$A,$C$3,Opex_Budget!$E:$E,$B$522,Opex_Budget!$F:$F,$D$522,Opex_Budget!$N:$N,"USD")*$F$5+SUMIFS(Opex_Budget!$R:$R,Opex_Budget!$A:$A,$C$3,Opex_Budget!$E:$E,$B$522,Opex_Budget!$F:$F,$D$522,Opex_Budget!$N:$N,"EUR")*$G$5+SUMIFS(Opex_Budget!$R:$R,Opex_Budget!$A:$A,$C$3,Opex_Budget!$E:$E,$B$522,Opex_Budget!$F:$F,$D$522,Opex_Budget!$N:$N,"GBP")*$H$5)</f>
        <v/>
      </c>
      <c r="L522" s="32">
        <f>IF($B$522="","",SUMIFS(Opex_Budget!$S:$S,Opex_Budget!$A:$A,$C$3,Opex_Budget!$E:$E,$B$522,Opex_Budget!$F:$F,$D$522,Opex_Budget!$N:$N,"JPY")*$E$5+SUMIFS(Opex_Budget!$S:$S,Opex_Budget!$A:$A,$C$3,Opex_Budget!$E:$E,$B$522,Opex_Budget!$F:$F,$D$522,Opex_Budget!$N:$N,"USD")*$F$5+SUMIFS(Opex_Budget!$S:$S,Opex_Budget!$A:$A,$C$3,Opex_Budget!$E:$E,$B$522,Opex_Budget!$F:$F,$D$522,Opex_Budget!$N:$N,"EUR")*$G$5+SUMIFS(Opex_Budget!$S:$S,Opex_Budget!$A:$A,$C$3,Opex_Budget!$E:$E,$B$522,Opex_Budget!$F:$F,$D$522,Opex_Budget!$N:$N,"GBP")*$H$5)</f>
        <v/>
      </c>
      <c r="M522" s="32">
        <f>IF($B$522="","",SUMIFS(Opex_Budget!$T:$T,Opex_Budget!$A:$A,$C$3,Opex_Budget!$E:$E,$B$522,Opex_Budget!$F:$F,$D$522,Opex_Budget!$N:$N,"JPY")*$E$5+SUMIFS(Opex_Budget!$T:$T,Opex_Budget!$A:$A,$C$3,Opex_Budget!$E:$E,$B$522,Opex_Budget!$F:$F,$D$522,Opex_Budget!$N:$N,"USD")*$F$5+SUMIFS(Opex_Budget!$T:$T,Opex_Budget!$A:$A,$C$3,Opex_Budget!$E:$E,$B$522,Opex_Budget!$F:$F,$D$522,Opex_Budget!$N:$N,"EUR")*$G$5+SUMIFS(Opex_Budget!$T:$T,Opex_Budget!$A:$A,$C$3,Opex_Budget!$E:$E,$B$522,Opex_Budget!$F:$F,$D$522,Opex_Budget!$N:$N,"GBP")*$H$5)</f>
        <v/>
      </c>
      <c r="N522" s="32">
        <f>IF($B$522="","",SUMIFS(Opex_Budget!$U:$U,Opex_Budget!$A:$A,$C$3,Opex_Budget!$E:$E,$B$522,Opex_Budget!$F:$F,$D$522,Opex_Budget!$N:$N,"JPY")*$E$5+SUMIFS(Opex_Budget!$U:$U,Opex_Budget!$A:$A,$C$3,Opex_Budget!$E:$E,$B$522,Opex_Budget!$F:$F,$D$522,Opex_Budget!$N:$N,"USD")*$F$5+SUMIFS(Opex_Budget!$U:$U,Opex_Budget!$A:$A,$C$3,Opex_Budget!$E:$E,$B$522,Opex_Budget!$F:$F,$D$522,Opex_Budget!$N:$N,"EUR")*$G$5+SUMIFS(Opex_Budget!$U:$U,Opex_Budget!$A:$A,$C$3,Opex_Budget!$E:$E,$B$522,Opex_Budget!$F:$F,$D$522,Opex_Budget!$N:$N,"GBP")*$H$5)</f>
        <v/>
      </c>
      <c r="O522" s="32">
        <f>IF($B$522="","",SUMIFS(Opex_Budget!$V:$V,Opex_Budget!$A:$A,$C$3,Opex_Budget!$E:$E,$B$522,Opex_Budget!$F:$F,$D$522,Opex_Budget!$N:$N,"JPY")*$E$5+SUMIFS(Opex_Budget!$V:$V,Opex_Budget!$A:$A,$C$3,Opex_Budget!$E:$E,$B$522,Opex_Budget!$F:$F,$D$522,Opex_Budget!$N:$N,"USD")*$F$5+SUMIFS(Opex_Budget!$V:$V,Opex_Budget!$A:$A,$C$3,Opex_Budget!$E:$E,$B$522,Opex_Budget!$F:$F,$D$522,Opex_Budget!$N:$N,"EUR")*$G$5+SUMIFS(Opex_Budget!$V:$V,Opex_Budget!$A:$A,$C$3,Opex_Budget!$E:$E,$B$522,Opex_Budget!$F:$F,$D$522,Opex_Budget!$N:$N,"GBP")*$H$5)</f>
        <v/>
      </c>
      <c r="P522" s="32">
        <f>IF($B$522="","",SUMIFS(Opex_Budget!$W:$W,Opex_Budget!$A:$A,$C$3,Opex_Budget!$E:$E,$B$522,Opex_Budget!$F:$F,$D$522,Opex_Budget!$N:$N,"JPY")*$E$5+SUMIFS(Opex_Budget!$W:$W,Opex_Budget!$A:$A,$C$3,Opex_Budget!$E:$E,$B$522,Opex_Budget!$F:$F,$D$522,Opex_Budget!$N:$N,"USD")*$F$5+SUMIFS(Opex_Budget!$W:$W,Opex_Budget!$A:$A,$C$3,Opex_Budget!$E:$E,$B$522,Opex_Budget!$F:$F,$D$522,Opex_Budget!$N:$N,"EUR")*$G$5+SUMIFS(Opex_Budget!$W:$W,Opex_Budget!$A:$A,$C$3,Opex_Budget!$E:$E,$B$522,Opex_Budget!$F:$F,$D$522,Opex_Budget!$N:$N,"GBP")*$H$5)</f>
        <v/>
      </c>
      <c r="Q522" s="32">
        <f>IF($B$522="","",SUMIFS(Opex_Budget!$X:$X,Opex_Budget!$A:$A,$C$3,Opex_Budget!$E:$E,$B$522,Opex_Budget!$F:$F,$D$522,Opex_Budget!$N:$N,"JPY")*$E$5+SUMIFS(Opex_Budget!$X:$X,Opex_Budget!$A:$A,$C$3,Opex_Budget!$E:$E,$B$522,Opex_Budget!$F:$F,$D$522,Opex_Budget!$N:$N,"USD")*$F$5+SUMIFS(Opex_Budget!$X:$X,Opex_Budget!$A:$A,$C$3,Opex_Budget!$E:$E,$B$522,Opex_Budget!$F:$F,$D$522,Opex_Budget!$N:$N,"EUR")*$G$5+SUMIFS(Opex_Budget!$X:$X,Opex_Budget!$A:$A,$C$3,Opex_Budget!$E:$E,$B$522,Opex_Budget!$F:$F,$D$522,Opex_Budget!$N:$N,"GBP")*$H$5)</f>
        <v/>
      </c>
      <c r="R522" s="32">
        <f>IF($B$522="","",SUMIFS(Opex_Budget!$Y:$Y,Opex_Budget!$A:$A,$C$3,Opex_Budget!$E:$E,$B$522,Opex_Budget!$F:$F,$D$522,Opex_Budget!$N:$N,"JPY")*$E$5+SUMIFS(Opex_Budget!$Y:$Y,Opex_Budget!$A:$A,$C$3,Opex_Budget!$E:$E,$B$522,Opex_Budget!$F:$F,$D$522,Opex_Budget!$N:$N,"USD")*$F$5+SUMIFS(Opex_Budget!$Y:$Y,Opex_Budget!$A:$A,$C$3,Opex_Budget!$E:$E,$B$522,Opex_Budget!$F:$F,$D$522,Opex_Budget!$N:$N,"EUR")*$G$5+SUMIFS(Opex_Budget!$Y:$Y,Opex_Budget!$A:$A,$C$3,Opex_Budget!$E:$E,$B$522,Opex_Budget!$F:$F,$D$522,Opex_Budget!$N:$N,"GBP")*$H$5)</f>
        <v/>
      </c>
      <c r="S522" s="32">
        <f>IF($B$522="","",SUMIFS(Opex_Budget!$Z:$Z,Opex_Budget!$A:$A,$C$3,Opex_Budget!$E:$E,$B$522,Opex_Budget!$F:$F,$D$522,Opex_Budget!$N:$N,"JPY")*$E$5+SUMIFS(Opex_Budget!$Z:$Z,Opex_Budget!$A:$A,$C$3,Opex_Budget!$E:$E,$B$522,Opex_Budget!$F:$F,$D$522,Opex_Budget!$N:$N,"USD")*$F$5+SUMIFS(Opex_Budget!$Z:$Z,Opex_Budget!$A:$A,$C$3,Opex_Budget!$E:$E,$B$522,Opex_Budget!$F:$F,$D$522,Opex_Budget!$N:$N,"EUR")*$G$5+SUMIFS(Opex_Budget!$Z:$Z,Opex_Budget!$A:$A,$C$3,Opex_Budget!$E:$E,$B$522,Opex_Budget!$F:$F,$D$522,Opex_Budget!$N:$N,"GBP")*$H$5)</f>
        <v/>
      </c>
      <c r="T522" s="32">
        <f>IF($B$522="","",SUMIF($H$7:$S$7,"&lt;="&amp;$C$4,$H522:$S522))</f>
        <v/>
      </c>
      <c r="U522" s="32">
        <f>IF($B$522="","",SUMIF($H$7:$S$7,"&gt;"&amp;$C$4,$H522:$S522))</f>
        <v/>
      </c>
      <c r="V522" s="32">
        <f>IF($B$522="","",SUM($H522:$S522))</f>
        <v/>
      </c>
      <c r="X522" s="22">
        <f>IF($B522="","",IFERROR(INDEX(Cost_Centers!$E:$E,MATCH($B522,Cost_Centers!$A:$A,0)),"(unknown)"))</f>
        <v/>
      </c>
      <c r="Y522" s="22">
        <f>IF($B522="","",IFERROR(INDEX(Cost_Centers!$D:$D,MATCH($B522,Cost_Centers!$A:$A,0)),"(unknown)"))</f>
        <v/>
      </c>
      <c r="Z522" s="22">
        <f>IF(OR($B522="",$G522&lt;&gt;"Variance vs Budget"),"",ABS(N($V522))+ROW()/1000000000)</f>
        <v/>
      </c>
    </row>
    <row r="523">
      <c r="A523" s="13">
        <f>IF(A$522="","",A$522)</f>
        <v/>
      </c>
      <c r="B523" s="13">
        <f>IF(B$522="","",B$522)</f>
        <v/>
      </c>
      <c r="C523" s="13">
        <f>IF(C$522="","",C$522)</f>
        <v/>
      </c>
      <c r="D523" s="13">
        <f>IF(D$522="","",D$522)</f>
        <v/>
      </c>
      <c r="E523" s="13">
        <f>IF(E$522="","",E$522)</f>
        <v/>
      </c>
      <c r="F523" s="13">
        <f>IF(F$522="","",F$522)</f>
        <v/>
      </c>
      <c r="G523" s="7" t="inlineStr">
        <is>
          <t>Actual</t>
        </is>
      </c>
      <c r="H523" s="18">
        <f>IF(OR($B$522="",1&gt;$C$4),"",SUMIFS(Actuals!$G:$G,Actuals!$B:$B,$C$3,Actuals!$C:$C,1,Actuals!$D:$D,$B$522,Actuals!$A:$A,LEFT($D$522,FIND("|",$D$522&amp;"|")-1),Actuals!$E:$E,MID($D$522,FIND("|",$D$522&amp;"|")+1,50),Actuals!$F:$F,"JPY")*$E$5+SUMIFS(Actuals!$G:$G,Actuals!$B:$B,$C$3,Actuals!$C:$C,1,Actuals!$D:$D,$B$522,Actuals!$A:$A,LEFT($D$522,FIND("|",$D$522&amp;"|")-1),Actuals!$E:$E,MID($D$522,FIND("|",$D$522&amp;"|")+1,50),Actuals!$F:$F,"USD")*$F$5+SUMIFS(Actuals!$G:$G,Actuals!$B:$B,$C$3,Actuals!$C:$C,1,Actuals!$D:$D,$B$522,Actuals!$A:$A,LEFT($D$522,FIND("|",$D$522&amp;"|")-1),Actuals!$E:$E,MID($D$522,FIND("|",$D$522&amp;"|")+1,50),Actuals!$F:$F,"EUR")*$G$5+SUMIFS(Actuals!$G:$G,Actuals!$B:$B,$C$3,Actuals!$C:$C,1,Actuals!$D:$D,$B$522,Actuals!$A:$A,LEFT($D$522,FIND("|",$D$522&amp;"|")-1),Actuals!$E:$E,MID($D$522,FIND("|",$D$522&amp;"|")+1,50),Actuals!$F:$F,"GBP")*$H$5)</f>
        <v/>
      </c>
      <c r="I523" s="18">
        <f>IF(OR($B$522="",2&gt;$C$4),"",SUMIFS(Actuals!$G:$G,Actuals!$B:$B,$C$3,Actuals!$C:$C,2,Actuals!$D:$D,$B$522,Actuals!$A:$A,LEFT($D$522,FIND("|",$D$522&amp;"|")-1),Actuals!$E:$E,MID($D$522,FIND("|",$D$522&amp;"|")+1,50),Actuals!$F:$F,"JPY")*$E$5+SUMIFS(Actuals!$G:$G,Actuals!$B:$B,$C$3,Actuals!$C:$C,2,Actuals!$D:$D,$B$522,Actuals!$A:$A,LEFT($D$522,FIND("|",$D$522&amp;"|")-1),Actuals!$E:$E,MID($D$522,FIND("|",$D$522&amp;"|")+1,50),Actuals!$F:$F,"USD")*$F$5+SUMIFS(Actuals!$G:$G,Actuals!$B:$B,$C$3,Actuals!$C:$C,2,Actuals!$D:$D,$B$522,Actuals!$A:$A,LEFT($D$522,FIND("|",$D$522&amp;"|")-1),Actuals!$E:$E,MID($D$522,FIND("|",$D$522&amp;"|")+1,50),Actuals!$F:$F,"EUR")*$G$5+SUMIFS(Actuals!$G:$G,Actuals!$B:$B,$C$3,Actuals!$C:$C,2,Actuals!$D:$D,$B$522,Actuals!$A:$A,LEFT($D$522,FIND("|",$D$522&amp;"|")-1),Actuals!$E:$E,MID($D$522,FIND("|",$D$522&amp;"|")+1,50),Actuals!$F:$F,"GBP")*$H$5)</f>
        <v/>
      </c>
      <c r="J523" s="18">
        <f>IF(OR($B$522="",3&gt;$C$4),"",SUMIFS(Actuals!$G:$G,Actuals!$B:$B,$C$3,Actuals!$C:$C,3,Actuals!$D:$D,$B$522,Actuals!$A:$A,LEFT($D$522,FIND("|",$D$522&amp;"|")-1),Actuals!$E:$E,MID($D$522,FIND("|",$D$522&amp;"|")+1,50),Actuals!$F:$F,"JPY")*$E$5+SUMIFS(Actuals!$G:$G,Actuals!$B:$B,$C$3,Actuals!$C:$C,3,Actuals!$D:$D,$B$522,Actuals!$A:$A,LEFT($D$522,FIND("|",$D$522&amp;"|")-1),Actuals!$E:$E,MID($D$522,FIND("|",$D$522&amp;"|")+1,50),Actuals!$F:$F,"USD")*$F$5+SUMIFS(Actuals!$G:$G,Actuals!$B:$B,$C$3,Actuals!$C:$C,3,Actuals!$D:$D,$B$522,Actuals!$A:$A,LEFT($D$522,FIND("|",$D$522&amp;"|")-1),Actuals!$E:$E,MID($D$522,FIND("|",$D$522&amp;"|")+1,50),Actuals!$F:$F,"EUR")*$G$5+SUMIFS(Actuals!$G:$G,Actuals!$B:$B,$C$3,Actuals!$C:$C,3,Actuals!$D:$D,$B$522,Actuals!$A:$A,LEFT($D$522,FIND("|",$D$522&amp;"|")-1),Actuals!$E:$E,MID($D$522,FIND("|",$D$522&amp;"|")+1,50),Actuals!$F:$F,"GBP")*$H$5)</f>
        <v/>
      </c>
      <c r="K523" s="18">
        <f>IF(OR($B$522="",4&gt;$C$4),"",SUMIFS(Actuals!$G:$G,Actuals!$B:$B,$C$3,Actuals!$C:$C,4,Actuals!$D:$D,$B$522,Actuals!$A:$A,LEFT($D$522,FIND("|",$D$522&amp;"|")-1),Actuals!$E:$E,MID($D$522,FIND("|",$D$522&amp;"|")+1,50),Actuals!$F:$F,"JPY")*$E$5+SUMIFS(Actuals!$G:$G,Actuals!$B:$B,$C$3,Actuals!$C:$C,4,Actuals!$D:$D,$B$522,Actuals!$A:$A,LEFT($D$522,FIND("|",$D$522&amp;"|")-1),Actuals!$E:$E,MID($D$522,FIND("|",$D$522&amp;"|")+1,50),Actuals!$F:$F,"USD")*$F$5+SUMIFS(Actuals!$G:$G,Actuals!$B:$B,$C$3,Actuals!$C:$C,4,Actuals!$D:$D,$B$522,Actuals!$A:$A,LEFT($D$522,FIND("|",$D$522&amp;"|")-1),Actuals!$E:$E,MID($D$522,FIND("|",$D$522&amp;"|")+1,50),Actuals!$F:$F,"EUR")*$G$5+SUMIFS(Actuals!$G:$G,Actuals!$B:$B,$C$3,Actuals!$C:$C,4,Actuals!$D:$D,$B$522,Actuals!$A:$A,LEFT($D$522,FIND("|",$D$522&amp;"|")-1),Actuals!$E:$E,MID($D$522,FIND("|",$D$522&amp;"|")+1,50),Actuals!$F:$F,"GBP")*$H$5)</f>
        <v/>
      </c>
      <c r="L523" s="18">
        <f>IF(OR($B$522="",5&gt;$C$4),"",SUMIFS(Actuals!$G:$G,Actuals!$B:$B,$C$3,Actuals!$C:$C,5,Actuals!$D:$D,$B$522,Actuals!$A:$A,LEFT($D$522,FIND("|",$D$522&amp;"|")-1),Actuals!$E:$E,MID($D$522,FIND("|",$D$522&amp;"|")+1,50),Actuals!$F:$F,"JPY")*$E$5+SUMIFS(Actuals!$G:$G,Actuals!$B:$B,$C$3,Actuals!$C:$C,5,Actuals!$D:$D,$B$522,Actuals!$A:$A,LEFT($D$522,FIND("|",$D$522&amp;"|")-1),Actuals!$E:$E,MID($D$522,FIND("|",$D$522&amp;"|")+1,50),Actuals!$F:$F,"USD")*$F$5+SUMIFS(Actuals!$G:$G,Actuals!$B:$B,$C$3,Actuals!$C:$C,5,Actuals!$D:$D,$B$522,Actuals!$A:$A,LEFT($D$522,FIND("|",$D$522&amp;"|")-1),Actuals!$E:$E,MID($D$522,FIND("|",$D$522&amp;"|")+1,50),Actuals!$F:$F,"EUR")*$G$5+SUMIFS(Actuals!$G:$G,Actuals!$B:$B,$C$3,Actuals!$C:$C,5,Actuals!$D:$D,$B$522,Actuals!$A:$A,LEFT($D$522,FIND("|",$D$522&amp;"|")-1),Actuals!$E:$E,MID($D$522,FIND("|",$D$522&amp;"|")+1,50),Actuals!$F:$F,"GBP")*$H$5)</f>
        <v/>
      </c>
      <c r="M523" s="18">
        <f>IF(OR($B$522="",6&gt;$C$4),"",SUMIFS(Actuals!$G:$G,Actuals!$B:$B,$C$3,Actuals!$C:$C,6,Actuals!$D:$D,$B$522,Actuals!$A:$A,LEFT($D$522,FIND("|",$D$522&amp;"|")-1),Actuals!$E:$E,MID($D$522,FIND("|",$D$522&amp;"|")+1,50),Actuals!$F:$F,"JPY")*$E$5+SUMIFS(Actuals!$G:$G,Actuals!$B:$B,$C$3,Actuals!$C:$C,6,Actuals!$D:$D,$B$522,Actuals!$A:$A,LEFT($D$522,FIND("|",$D$522&amp;"|")-1),Actuals!$E:$E,MID($D$522,FIND("|",$D$522&amp;"|")+1,50),Actuals!$F:$F,"USD")*$F$5+SUMIFS(Actuals!$G:$G,Actuals!$B:$B,$C$3,Actuals!$C:$C,6,Actuals!$D:$D,$B$522,Actuals!$A:$A,LEFT($D$522,FIND("|",$D$522&amp;"|")-1),Actuals!$E:$E,MID($D$522,FIND("|",$D$522&amp;"|")+1,50),Actuals!$F:$F,"EUR")*$G$5+SUMIFS(Actuals!$G:$G,Actuals!$B:$B,$C$3,Actuals!$C:$C,6,Actuals!$D:$D,$B$522,Actuals!$A:$A,LEFT($D$522,FIND("|",$D$522&amp;"|")-1),Actuals!$E:$E,MID($D$522,FIND("|",$D$522&amp;"|")+1,50),Actuals!$F:$F,"GBP")*$H$5)</f>
        <v/>
      </c>
      <c r="N523" s="18">
        <f>IF(OR($B$522="",7&gt;$C$4),"",SUMIFS(Actuals!$G:$G,Actuals!$B:$B,$C$3,Actuals!$C:$C,7,Actuals!$D:$D,$B$522,Actuals!$A:$A,LEFT($D$522,FIND("|",$D$522&amp;"|")-1),Actuals!$E:$E,MID($D$522,FIND("|",$D$522&amp;"|")+1,50),Actuals!$F:$F,"JPY")*$E$5+SUMIFS(Actuals!$G:$G,Actuals!$B:$B,$C$3,Actuals!$C:$C,7,Actuals!$D:$D,$B$522,Actuals!$A:$A,LEFT($D$522,FIND("|",$D$522&amp;"|")-1),Actuals!$E:$E,MID($D$522,FIND("|",$D$522&amp;"|")+1,50),Actuals!$F:$F,"USD")*$F$5+SUMIFS(Actuals!$G:$G,Actuals!$B:$B,$C$3,Actuals!$C:$C,7,Actuals!$D:$D,$B$522,Actuals!$A:$A,LEFT($D$522,FIND("|",$D$522&amp;"|")-1),Actuals!$E:$E,MID($D$522,FIND("|",$D$522&amp;"|")+1,50),Actuals!$F:$F,"EUR")*$G$5+SUMIFS(Actuals!$G:$G,Actuals!$B:$B,$C$3,Actuals!$C:$C,7,Actuals!$D:$D,$B$522,Actuals!$A:$A,LEFT($D$522,FIND("|",$D$522&amp;"|")-1),Actuals!$E:$E,MID($D$522,FIND("|",$D$522&amp;"|")+1,50),Actuals!$F:$F,"GBP")*$H$5)</f>
        <v/>
      </c>
      <c r="O523" s="18">
        <f>IF(OR($B$522="",8&gt;$C$4),"",SUMIFS(Actuals!$G:$G,Actuals!$B:$B,$C$3,Actuals!$C:$C,8,Actuals!$D:$D,$B$522,Actuals!$A:$A,LEFT($D$522,FIND("|",$D$522&amp;"|")-1),Actuals!$E:$E,MID($D$522,FIND("|",$D$522&amp;"|")+1,50),Actuals!$F:$F,"JPY")*$E$5+SUMIFS(Actuals!$G:$G,Actuals!$B:$B,$C$3,Actuals!$C:$C,8,Actuals!$D:$D,$B$522,Actuals!$A:$A,LEFT($D$522,FIND("|",$D$522&amp;"|")-1),Actuals!$E:$E,MID($D$522,FIND("|",$D$522&amp;"|")+1,50),Actuals!$F:$F,"USD")*$F$5+SUMIFS(Actuals!$G:$G,Actuals!$B:$B,$C$3,Actuals!$C:$C,8,Actuals!$D:$D,$B$522,Actuals!$A:$A,LEFT($D$522,FIND("|",$D$522&amp;"|")-1),Actuals!$E:$E,MID($D$522,FIND("|",$D$522&amp;"|")+1,50),Actuals!$F:$F,"EUR")*$G$5+SUMIFS(Actuals!$G:$G,Actuals!$B:$B,$C$3,Actuals!$C:$C,8,Actuals!$D:$D,$B$522,Actuals!$A:$A,LEFT($D$522,FIND("|",$D$522&amp;"|")-1),Actuals!$E:$E,MID($D$522,FIND("|",$D$522&amp;"|")+1,50),Actuals!$F:$F,"GBP")*$H$5)</f>
        <v/>
      </c>
      <c r="P523" s="18">
        <f>IF(OR($B$522="",9&gt;$C$4),"",SUMIFS(Actuals!$G:$G,Actuals!$B:$B,$C$3,Actuals!$C:$C,9,Actuals!$D:$D,$B$522,Actuals!$A:$A,LEFT($D$522,FIND("|",$D$522&amp;"|")-1),Actuals!$E:$E,MID($D$522,FIND("|",$D$522&amp;"|")+1,50),Actuals!$F:$F,"JPY")*$E$5+SUMIFS(Actuals!$G:$G,Actuals!$B:$B,$C$3,Actuals!$C:$C,9,Actuals!$D:$D,$B$522,Actuals!$A:$A,LEFT($D$522,FIND("|",$D$522&amp;"|")-1),Actuals!$E:$E,MID($D$522,FIND("|",$D$522&amp;"|")+1,50),Actuals!$F:$F,"USD")*$F$5+SUMIFS(Actuals!$G:$G,Actuals!$B:$B,$C$3,Actuals!$C:$C,9,Actuals!$D:$D,$B$522,Actuals!$A:$A,LEFT($D$522,FIND("|",$D$522&amp;"|")-1),Actuals!$E:$E,MID($D$522,FIND("|",$D$522&amp;"|")+1,50),Actuals!$F:$F,"EUR")*$G$5+SUMIFS(Actuals!$G:$G,Actuals!$B:$B,$C$3,Actuals!$C:$C,9,Actuals!$D:$D,$B$522,Actuals!$A:$A,LEFT($D$522,FIND("|",$D$522&amp;"|")-1),Actuals!$E:$E,MID($D$522,FIND("|",$D$522&amp;"|")+1,50),Actuals!$F:$F,"GBP")*$H$5)</f>
        <v/>
      </c>
      <c r="Q523" s="18">
        <f>IF(OR($B$522="",10&gt;$C$4),"",SUMIFS(Actuals!$G:$G,Actuals!$B:$B,$C$3,Actuals!$C:$C,10,Actuals!$D:$D,$B$522,Actuals!$A:$A,LEFT($D$522,FIND("|",$D$522&amp;"|")-1),Actuals!$E:$E,MID($D$522,FIND("|",$D$522&amp;"|")+1,50),Actuals!$F:$F,"JPY")*$E$5+SUMIFS(Actuals!$G:$G,Actuals!$B:$B,$C$3,Actuals!$C:$C,10,Actuals!$D:$D,$B$522,Actuals!$A:$A,LEFT($D$522,FIND("|",$D$522&amp;"|")-1),Actuals!$E:$E,MID($D$522,FIND("|",$D$522&amp;"|")+1,50),Actuals!$F:$F,"USD")*$F$5+SUMIFS(Actuals!$G:$G,Actuals!$B:$B,$C$3,Actuals!$C:$C,10,Actuals!$D:$D,$B$522,Actuals!$A:$A,LEFT($D$522,FIND("|",$D$522&amp;"|")-1),Actuals!$E:$E,MID($D$522,FIND("|",$D$522&amp;"|")+1,50),Actuals!$F:$F,"EUR")*$G$5+SUMIFS(Actuals!$G:$G,Actuals!$B:$B,$C$3,Actuals!$C:$C,10,Actuals!$D:$D,$B$522,Actuals!$A:$A,LEFT($D$522,FIND("|",$D$522&amp;"|")-1),Actuals!$E:$E,MID($D$522,FIND("|",$D$522&amp;"|")+1,50),Actuals!$F:$F,"GBP")*$H$5)</f>
        <v/>
      </c>
      <c r="R523" s="18">
        <f>IF(OR($B$522="",11&gt;$C$4),"",SUMIFS(Actuals!$G:$G,Actuals!$B:$B,$C$3,Actuals!$C:$C,11,Actuals!$D:$D,$B$522,Actuals!$A:$A,LEFT($D$522,FIND("|",$D$522&amp;"|")-1),Actuals!$E:$E,MID($D$522,FIND("|",$D$522&amp;"|")+1,50),Actuals!$F:$F,"JPY")*$E$5+SUMIFS(Actuals!$G:$G,Actuals!$B:$B,$C$3,Actuals!$C:$C,11,Actuals!$D:$D,$B$522,Actuals!$A:$A,LEFT($D$522,FIND("|",$D$522&amp;"|")-1),Actuals!$E:$E,MID($D$522,FIND("|",$D$522&amp;"|")+1,50),Actuals!$F:$F,"USD")*$F$5+SUMIFS(Actuals!$G:$G,Actuals!$B:$B,$C$3,Actuals!$C:$C,11,Actuals!$D:$D,$B$522,Actuals!$A:$A,LEFT($D$522,FIND("|",$D$522&amp;"|")-1),Actuals!$E:$E,MID($D$522,FIND("|",$D$522&amp;"|")+1,50),Actuals!$F:$F,"EUR")*$G$5+SUMIFS(Actuals!$G:$G,Actuals!$B:$B,$C$3,Actuals!$C:$C,11,Actuals!$D:$D,$B$522,Actuals!$A:$A,LEFT($D$522,FIND("|",$D$522&amp;"|")-1),Actuals!$E:$E,MID($D$522,FIND("|",$D$522&amp;"|")+1,50),Actuals!$F:$F,"GBP")*$H$5)</f>
        <v/>
      </c>
      <c r="S523" s="18">
        <f>IF(OR($B$522="",12&gt;$C$4),"",SUMIFS(Actuals!$G:$G,Actuals!$B:$B,$C$3,Actuals!$C:$C,12,Actuals!$D:$D,$B$522,Actuals!$A:$A,LEFT($D$522,FIND("|",$D$522&amp;"|")-1),Actuals!$E:$E,MID($D$522,FIND("|",$D$522&amp;"|")+1,50),Actuals!$F:$F,"JPY")*$E$5+SUMIFS(Actuals!$G:$G,Actuals!$B:$B,$C$3,Actuals!$C:$C,12,Actuals!$D:$D,$B$522,Actuals!$A:$A,LEFT($D$522,FIND("|",$D$522&amp;"|")-1),Actuals!$E:$E,MID($D$522,FIND("|",$D$522&amp;"|")+1,50),Actuals!$F:$F,"USD")*$F$5+SUMIFS(Actuals!$G:$G,Actuals!$B:$B,$C$3,Actuals!$C:$C,12,Actuals!$D:$D,$B$522,Actuals!$A:$A,LEFT($D$522,FIND("|",$D$522&amp;"|")-1),Actuals!$E:$E,MID($D$522,FIND("|",$D$522&amp;"|")+1,50),Actuals!$F:$F,"EUR")*$G$5+SUMIFS(Actuals!$G:$G,Actuals!$B:$B,$C$3,Actuals!$C:$C,12,Actuals!$D:$D,$B$522,Actuals!$A:$A,LEFT($D$522,FIND("|",$D$522&amp;"|")-1),Actuals!$E:$E,MID($D$522,FIND("|",$D$522&amp;"|")+1,50),Actuals!$F:$F,"GBP")*$H$5)</f>
        <v/>
      </c>
      <c r="T523" s="18">
        <f>IF($B$522="","",SUMIF($H$7:$S$7,"&lt;="&amp;$C$4,$H523:$S523))</f>
        <v/>
      </c>
      <c r="U523" s="18" t="n"/>
      <c r="V523" s="18" t="n"/>
      <c r="X523" s="22">
        <f>IF($B523="","",IFERROR(INDEX(Cost_Centers!$E:$E,MATCH($B523,Cost_Centers!$A:$A,0)),"(unknown)"))</f>
        <v/>
      </c>
      <c r="Y523" s="22">
        <f>IF($B523="","",IFERROR(INDEX(Cost_Centers!$D:$D,MATCH($B523,Cost_Centers!$A:$A,0)),"(unknown)"))</f>
        <v/>
      </c>
      <c r="Z523" s="22">
        <f>IF(OR($B523="",$G523&lt;&gt;"Variance vs Budget"),"",ABS(N($V523))+ROW()/1000000000)</f>
        <v/>
      </c>
    </row>
    <row r="524">
      <c r="A524" s="13">
        <f>IF(A$522="","",A$522)</f>
        <v/>
      </c>
      <c r="B524" s="13">
        <f>IF(B$522="","",B$522)</f>
        <v/>
      </c>
      <c r="C524" s="13">
        <f>IF(C$522="","",C$522)</f>
        <v/>
      </c>
      <c r="D524" s="13">
        <f>IF(D$522="","",D$522)</f>
        <v/>
      </c>
      <c r="E524" s="13">
        <f>IF(E$522="","",E$522)</f>
        <v/>
      </c>
      <c r="F524" s="13">
        <f>IF(F$522="","",F$522)</f>
        <v/>
      </c>
      <c r="G524" s="6" t="inlineStr">
        <is>
          <t>Variance vs Budget</t>
        </is>
      </c>
      <c r="H524" s="33">
        <f>IF(OR($B$522="",1&gt;$C$4),"",N(H523)-H522)</f>
        <v/>
      </c>
      <c r="I524" s="33">
        <f>IF(OR($B$522="",2&gt;$C$4),"",N(I523)-I522)</f>
        <v/>
      </c>
      <c r="J524" s="33">
        <f>IF(OR($B$522="",3&gt;$C$4),"",N(J523)-J522)</f>
        <v/>
      </c>
      <c r="K524" s="33">
        <f>IF(OR($B$522="",4&gt;$C$4),"",N(K523)-K522)</f>
        <v/>
      </c>
      <c r="L524" s="33">
        <f>IF(OR($B$522="",5&gt;$C$4),"",N(L523)-L522)</f>
        <v/>
      </c>
      <c r="M524" s="33">
        <f>IF(OR($B$522="",6&gt;$C$4),"",N(M523)-M522)</f>
        <v/>
      </c>
      <c r="N524" s="33">
        <f>IF(OR($B$522="",7&gt;$C$4),"",N(N523)-N522)</f>
        <v/>
      </c>
      <c r="O524" s="33">
        <f>IF(OR($B$522="",8&gt;$C$4),"",N(O523)-O522)</f>
        <v/>
      </c>
      <c r="P524" s="33">
        <f>IF(OR($B$522="",9&gt;$C$4),"",N(P523)-P522)</f>
        <v/>
      </c>
      <c r="Q524" s="33">
        <f>IF(OR($B$522="",10&gt;$C$4),"",N(Q523)-Q522)</f>
        <v/>
      </c>
      <c r="R524" s="33">
        <f>IF(OR($B$522="",11&gt;$C$4),"",N(R523)-R522)</f>
        <v/>
      </c>
      <c r="S524" s="33">
        <f>IF(OR($B$522="",12&gt;$C$4),"",N(S523)-S522)</f>
        <v/>
      </c>
      <c r="T524" s="33">
        <f>IF($B$522="","",T523-T522)</f>
        <v/>
      </c>
      <c r="U524" s="33">
        <f>IF($B$522="","",U526-U522)</f>
        <v/>
      </c>
      <c r="V524" s="33">
        <f>IF($B$522="","",V526-V522)</f>
        <v/>
      </c>
      <c r="X524" s="22">
        <f>IF($B524="","",IFERROR(INDEX(Cost_Centers!$E:$E,MATCH($B524,Cost_Centers!$A:$A,0)),"(unknown)"))</f>
        <v/>
      </c>
      <c r="Y524" s="22">
        <f>IF($B524="","",IFERROR(INDEX(Cost_Centers!$D:$D,MATCH($B524,Cost_Centers!$A:$A,0)),"(unknown)"))</f>
        <v/>
      </c>
      <c r="Z524" s="22">
        <f>IF(OR($B524="",$G524&lt;&gt;"Variance vs Budget"),"",ABS(N($V524))+ROW()/1000000000)</f>
        <v/>
      </c>
    </row>
    <row r="525">
      <c r="A525" s="13">
        <f>IF(A$522="","",A$522)</f>
        <v/>
      </c>
      <c r="B525" s="13">
        <f>IF(B$522="","",B$522)</f>
        <v/>
      </c>
      <c r="C525" s="13">
        <f>IF(C$522="","",C$522)</f>
        <v/>
      </c>
      <c r="D525" s="13">
        <f>IF(D$522="","",D$522)</f>
        <v/>
      </c>
      <c r="E525" s="13">
        <f>IF(E$522="","",E$522)</f>
        <v/>
      </c>
      <c r="F525" s="13">
        <f>IF(F$522="","",F$522)</f>
        <v/>
      </c>
      <c r="G525" s="7" t="inlineStr">
        <is>
          <t>Forecast (input)</t>
        </is>
      </c>
      <c r="H525" s="34" t="n"/>
      <c r="I525" s="34" t="n"/>
      <c r="J525" s="34" t="n"/>
      <c r="K525" s="34" t="n"/>
      <c r="L525" s="34" t="n"/>
      <c r="M525" s="34" t="n"/>
      <c r="N525" s="34" t="n"/>
      <c r="O525" s="34" t="n"/>
      <c r="P525" s="34" t="n"/>
      <c r="Q525" s="34" t="n"/>
      <c r="R525" s="34" t="n"/>
      <c r="S525" s="34" t="n"/>
      <c r="T525" s="18" t="n"/>
      <c r="U525" s="18" t="n"/>
      <c r="V525" s="18" t="n"/>
      <c r="X525" s="22">
        <f>IF($B525="","",IFERROR(INDEX(Cost_Centers!$E:$E,MATCH($B525,Cost_Centers!$A:$A,0)),"(unknown)"))</f>
        <v/>
      </c>
      <c r="Y525" s="22">
        <f>IF($B525="","",IFERROR(INDEX(Cost_Centers!$D:$D,MATCH($B525,Cost_Centers!$A:$A,0)),"(unknown)"))</f>
        <v/>
      </c>
      <c r="Z525" s="22">
        <f>IF(OR($B525="",$G525&lt;&gt;"Variance vs Budget"),"",ABS(N($V525))+ROW()/1000000000)</f>
        <v/>
      </c>
    </row>
    <row r="526">
      <c r="A526" s="13">
        <f>IF(A$522="","",A$522)</f>
        <v/>
      </c>
      <c r="B526" s="13">
        <f>IF(B$522="","",B$522)</f>
        <v/>
      </c>
      <c r="C526" s="13">
        <f>IF(C$522="","",C$522)</f>
        <v/>
      </c>
      <c r="D526" s="13">
        <f>IF(D$522="","",D$522)</f>
        <v/>
      </c>
      <c r="E526" s="13">
        <f>IF(E$522="","",E$522)</f>
        <v/>
      </c>
      <c r="F526" s="13">
        <f>IF(F$522="","",F$522)</f>
        <v/>
      </c>
      <c r="G526" s="35" t="inlineStr">
        <is>
          <t>Actual + Forecast</t>
        </is>
      </c>
      <c r="H526" s="18">
        <f>IF($B$522="","",IF(1&lt;=$C$4,N(H523),IF(H525="",H522,H525)))</f>
        <v/>
      </c>
      <c r="I526" s="18">
        <f>IF($B$522="","",IF(2&lt;=$C$4,N(I523),IF(I525="",I522,I525)))</f>
        <v/>
      </c>
      <c r="J526" s="18">
        <f>IF($B$522="","",IF(3&lt;=$C$4,N(J523),IF(J525="",J522,J525)))</f>
        <v/>
      </c>
      <c r="K526" s="18">
        <f>IF($B$522="","",IF(4&lt;=$C$4,N(K523),IF(K525="",K522,K525)))</f>
        <v/>
      </c>
      <c r="L526" s="18">
        <f>IF($B$522="","",IF(5&lt;=$C$4,N(L523),IF(L525="",L522,L525)))</f>
        <v/>
      </c>
      <c r="M526" s="18">
        <f>IF($B$522="","",IF(6&lt;=$C$4,N(M523),IF(M525="",M522,M525)))</f>
        <v/>
      </c>
      <c r="N526" s="18">
        <f>IF($B$522="","",IF(7&lt;=$C$4,N(N523),IF(N525="",N522,N525)))</f>
        <v/>
      </c>
      <c r="O526" s="18">
        <f>IF($B$522="","",IF(8&lt;=$C$4,N(O523),IF(O525="",O522,O525)))</f>
        <v/>
      </c>
      <c r="P526" s="18">
        <f>IF($B$522="","",IF(9&lt;=$C$4,N(P523),IF(P525="",P522,P525)))</f>
        <v/>
      </c>
      <c r="Q526" s="18">
        <f>IF($B$522="","",IF(10&lt;=$C$4,N(Q523),IF(Q525="",Q522,Q525)))</f>
        <v/>
      </c>
      <c r="R526" s="18">
        <f>IF($B$522="","",IF(11&lt;=$C$4,N(R523),IF(R525="",R522,R525)))</f>
        <v/>
      </c>
      <c r="S526" s="18">
        <f>IF($B$522="","",IF(12&lt;=$C$4,N(S523),IF(S525="",S522,S525)))</f>
        <v/>
      </c>
      <c r="T526" s="18">
        <f>IF($B$522="","",SUMIF($H$7:$S$7,"&lt;="&amp;$C$4,$H526:$S526))</f>
        <v/>
      </c>
      <c r="U526" s="18">
        <f>IF($B$522="","",SUMIF($H$7:$S$7,"&gt;"&amp;$C$4,$H526:$S526))</f>
        <v/>
      </c>
      <c r="V526" s="18">
        <f>IF($B$522="","",SUM($H526:$S526))</f>
        <v/>
      </c>
      <c r="X526" s="22">
        <f>IF($B526="","",IFERROR(INDEX(Cost_Centers!$E:$E,MATCH($B526,Cost_Centers!$A:$A,0)),"(unknown)"))</f>
        <v/>
      </c>
      <c r="Y526" s="22">
        <f>IF($B526="","",IFERROR(INDEX(Cost_Centers!$D:$D,MATCH($B526,Cost_Centers!$A:$A,0)),"(unknown)"))</f>
        <v/>
      </c>
      <c r="Z526" s="22">
        <f>IF(OR($B526="",$G526&lt;&gt;"Variance vs Budget"),"",ABS(N($V526))+ROW()/1000000000)</f>
        <v/>
      </c>
    </row>
    <row r="527">
      <c r="A527" s="13">
        <f>IF(A$522="","",A$522)</f>
        <v/>
      </c>
      <c r="B527" s="13">
        <f>IF(B$522="","",B$522)</f>
        <v/>
      </c>
      <c r="C527" s="13">
        <f>IF(C$522="","",C$522)</f>
        <v/>
      </c>
      <c r="D527" s="13">
        <f>IF(D$522="","",D$522)</f>
        <v/>
      </c>
      <c r="E527" s="13">
        <f>IF(E$522="","",E$522)</f>
        <v/>
      </c>
      <c r="F527" s="13">
        <f>IF(F$522="","",F$522)</f>
        <v/>
      </c>
      <c r="G527" s="36" t="inlineStr">
        <is>
          <t>Prior Month Forecast</t>
        </is>
      </c>
      <c r="H527" s="37">
        <f>IF($B$522="","",IF(COUNTIFS(Prior_Forecast!$A:$A,$B$522,Prior_Forecast!$B:$B,$D$522)&gt;0,SUMIFS(Prior_Forecast!$C:$C,Prior_Forecast!$A:$A,$B$522,Prior_Forecast!$B:$B,$D$522),""))</f>
        <v/>
      </c>
      <c r="I527" s="37">
        <f>IF($B$522="","",IF(COUNTIFS(Prior_Forecast!$A:$A,$B$522,Prior_Forecast!$B:$B,$D$522)&gt;0,SUMIFS(Prior_Forecast!$D:$D,Prior_Forecast!$A:$A,$B$522,Prior_Forecast!$B:$B,$D$522),""))</f>
        <v/>
      </c>
      <c r="J527" s="37">
        <f>IF($B$522="","",IF(COUNTIFS(Prior_Forecast!$A:$A,$B$522,Prior_Forecast!$B:$B,$D$522)&gt;0,SUMIFS(Prior_Forecast!$E:$E,Prior_Forecast!$A:$A,$B$522,Prior_Forecast!$B:$B,$D$522),""))</f>
        <v/>
      </c>
      <c r="K527" s="37">
        <f>IF($B$522="","",IF(COUNTIFS(Prior_Forecast!$A:$A,$B$522,Prior_Forecast!$B:$B,$D$522)&gt;0,SUMIFS(Prior_Forecast!$F:$F,Prior_Forecast!$A:$A,$B$522,Prior_Forecast!$B:$B,$D$522),""))</f>
        <v/>
      </c>
      <c r="L527" s="37">
        <f>IF($B$522="","",IF(COUNTIFS(Prior_Forecast!$A:$A,$B$522,Prior_Forecast!$B:$B,$D$522)&gt;0,SUMIFS(Prior_Forecast!$G:$G,Prior_Forecast!$A:$A,$B$522,Prior_Forecast!$B:$B,$D$522),""))</f>
        <v/>
      </c>
      <c r="M527" s="37">
        <f>IF($B$522="","",IF(COUNTIFS(Prior_Forecast!$A:$A,$B$522,Prior_Forecast!$B:$B,$D$522)&gt;0,SUMIFS(Prior_Forecast!$H:$H,Prior_Forecast!$A:$A,$B$522,Prior_Forecast!$B:$B,$D$522),""))</f>
        <v/>
      </c>
      <c r="N527" s="37">
        <f>IF($B$522="","",IF(COUNTIFS(Prior_Forecast!$A:$A,$B$522,Prior_Forecast!$B:$B,$D$522)&gt;0,SUMIFS(Prior_Forecast!$I:$I,Prior_Forecast!$A:$A,$B$522,Prior_Forecast!$B:$B,$D$522),""))</f>
        <v/>
      </c>
      <c r="O527" s="37">
        <f>IF($B$522="","",IF(COUNTIFS(Prior_Forecast!$A:$A,$B$522,Prior_Forecast!$B:$B,$D$522)&gt;0,SUMIFS(Prior_Forecast!$J:$J,Prior_Forecast!$A:$A,$B$522,Prior_Forecast!$B:$B,$D$522),""))</f>
        <v/>
      </c>
      <c r="P527" s="37">
        <f>IF($B$522="","",IF(COUNTIFS(Prior_Forecast!$A:$A,$B$522,Prior_Forecast!$B:$B,$D$522)&gt;0,SUMIFS(Prior_Forecast!$K:$K,Prior_Forecast!$A:$A,$B$522,Prior_Forecast!$B:$B,$D$522),""))</f>
        <v/>
      </c>
      <c r="Q527" s="37">
        <f>IF($B$522="","",IF(COUNTIFS(Prior_Forecast!$A:$A,$B$522,Prior_Forecast!$B:$B,$D$522)&gt;0,SUMIFS(Prior_Forecast!$L:$L,Prior_Forecast!$A:$A,$B$522,Prior_Forecast!$B:$B,$D$522),""))</f>
        <v/>
      </c>
      <c r="R527" s="37">
        <f>IF($B$522="","",IF(COUNTIFS(Prior_Forecast!$A:$A,$B$522,Prior_Forecast!$B:$B,$D$522)&gt;0,SUMIFS(Prior_Forecast!$M:$M,Prior_Forecast!$A:$A,$B$522,Prior_Forecast!$B:$B,$D$522),""))</f>
        <v/>
      </c>
      <c r="S527" s="37">
        <f>IF($B$522="","",IF(COUNTIFS(Prior_Forecast!$A:$A,$B$522,Prior_Forecast!$B:$B,$D$522)&gt;0,SUMIFS(Prior_Forecast!$N:$N,Prior_Forecast!$A:$A,$B$522,Prior_Forecast!$B:$B,$D$522),""))</f>
        <v/>
      </c>
      <c r="T527" s="37">
        <f>IF($B$522="","",IF(COUNTIFS(Prior_Forecast!$A:$A,$B$522,Prior_Forecast!$B:$B,$D$522)&gt;0,SUMIFS(Prior_Forecast!$O:$O,Prior_Forecast!$A:$A,$B$522,Prior_Forecast!$B:$B,$D$522),""))</f>
        <v/>
      </c>
      <c r="U527" s="37">
        <f>IF($B$522="","",IF(COUNTIFS(Prior_Forecast!$A:$A,$B$522,Prior_Forecast!$B:$B,$D$522)&gt;0,SUMIFS(Prior_Forecast!$P:$P,Prior_Forecast!$A:$A,$B$522,Prior_Forecast!$B:$B,$D$522),""))</f>
        <v/>
      </c>
      <c r="V527" s="37">
        <f>IF($B$522="","",IF(COUNTIFS(Prior_Forecast!$A:$A,$B$522,Prior_Forecast!$B:$B,$D$522)&gt;0,SUMIFS(Prior_Forecast!$Q:$Q,Prior_Forecast!$A:$A,$B$522,Prior_Forecast!$B:$B,$D$522),""))</f>
        <v/>
      </c>
      <c r="X527" s="22">
        <f>IF($B527="","",IFERROR(INDEX(Cost_Centers!$E:$E,MATCH($B527,Cost_Centers!$A:$A,0)),"(unknown)"))</f>
        <v/>
      </c>
      <c r="Y527" s="22">
        <f>IF($B527="","",IFERROR(INDEX(Cost_Centers!$D:$D,MATCH($B527,Cost_Centers!$A:$A,0)),"(unknown)"))</f>
        <v/>
      </c>
      <c r="Z527" s="22">
        <f>IF(OR($B527="",$G527&lt;&gt;"Variance vs Budget"),"",ABS(N($V527))+ROW()/1000000000)</f>
        <v/>
      </c>
    </row>
    <row r="528">
      <c r="A528" s="13">
        <f>IF(A$522="","",A$522)</f>
        <v/>
      </c>
      <c r="B528" s="13">
        <f>IF(B$522="","",B$522)</f>
        <v/>
      </c>
      <c r="C528" s="13">
        <f>IF(C$522="","",C$522)</f>
        <v/>
      </c>
      <c r="D528" s="13">
        <f>IF(D$522="","",D$522)</f>
        <v/>
      </c>
      <c r="E528" s="13">
        <f>IF(E$522="","",E$522)</f>
        <v/>
      </c>
      <c r="F528" s="13">
        <f>IF(F$522="","",F$522)</f>
        <v/>
      </c>
      <c r="G528" s="6" t="inlineStr">
        <is>
          <t>Variance vs Prior Month</t>
        </is>
      </c>
      <c r="H528" s="33">
        <f>IF(OR($B$522="",H527=""),"",H526-H527)</f>
        <v/>
      </c>
      <c r="I528" s="33">
        <f>IF(OR($B$522="",I527=""),"",I526-I527)</f>
        <v/>
      </c>
      <c r="J528" s="33">
        <f>IF(OR($B$522="",J527=""),"",J526-J527)</f>
        <v/>
      </c>
      <c r="K528" s="33">
        <f>IF(OR($B$522="",K527=""),"",K526-K527)</f>
        <v/>
      </c>
      <c r="L528" s="33">
        <f>IF(OR($B$522="",L527=""),"",L526-L527)</f>
        <v/>
      </c>
      <c r="M528" s="33">
        <f>IF(OR($B$522="",M527=""),"",M526-M527)</f>
        <v/>
      </c>
      <c r="N528" s="33">
        <f>IF(OR($B$522="",N527=""),"",N526-N527)</f>
        <v/>
      </c>
      <c r="O528" s="33">
        <f>IF(OR($B$522="",O527=""),"",O526-O527)</f>
        <v/>
      </c>
      <c r="P528" s="33">
        <f>IF(OR($B$522="",P527=""),"",P526-P527)</f>
        <v/>
      </c>
      <c r="Q528" s="33">
        <f>IF(OR($B$522="",Q527=""),"",Q526-Q527)</f>
        <v/>
      </c>
      <c r="R528" s="33">
        <f>IF(OR($B$522="",R527=""),"",R526-R527)</f>
        <v/>
      </c>
      <c r="S528" s="33">
        <f>IF(OR($B$522="",S527=""),"",S526-S527)</f>
        <v/>
      </c>
      <c r="T528" s="33">
        <f>IF(OR($B$522="",T527=""),"",T526-T527)</f>
        <v/>
      </c>
      <c r="U528" s="33">
        <f>IF(OR($B$522="",U527=""),"",U526-U527)</f>
        <v/>
      </c>
      <c r="V528" s="33">
        <f>IF(OR($B$522="",V527=""),"",V526-V527)</f>
        <v/>
      </c>
      <c r="X528" s="22">
        <f>IF($B528="","",IFERROR(INDEX(Cost_Centers!$E:$E,MATCH($B528,Cost_Centers!$A:$A,0)),"(unknown)"))</f>
        <v/>
      </c>
      <c r="Y528" s="22">
        <f>IF($B528="","",IFERROR(INDEX(Cost_Centers!$D:$D,MATCH($B528,Cost_Centers!$A:$A,0)),"(unknown)"))</f>
        <v/>
      </c>
      <c r="Z528" s="22">
        <f>IF(OR($B528="",$G528&lt;&gt;"Variance vs Budget"),"",ABS(N($V528))+ROW()/1000000000)</f>
        <v/>
      </c>
    </row>
    <row r="529" ht="45" customHeight="1">
      <c r="A529" s="13">
        <f>IF(A$522="","",A$522)</f>
        <v/>
      </c>
      <c r="B529" s="13">
        <f>IF(B$522="","",B$522)</f>
        <v/>
      </c>
      <c r="C529" s="13">
        <f>IF(C$522="","",C$522)</f>
        <v/>
      </c>
      <c r="D529" s="13">
        <f>IF(D$522="","",D$522)</f>
        <v/>
      </c>
      <c r="E529" s="13">
        <f>IF(E$522="","",E$522)</f>
        <v/>
      </c>
      <c r="F529" s="13">
        <f>IF(F$522="","",F$522)</f>
        <v/>
      </c>
      <c r="G529" s="7" t="inlineStr">
        <is>
          <t>Rationale</t>
        </is>
      </c>
      <c r="H529" s="38" t="n"/>
      <c r="I529" s="38" t="n"/>
      <c r="J529" s="38" t="n"/>
      <c r="K529" s="38" t="n"/>
      <c r="L529" s="38" t="n"/>
      <c r="M529" s="38" t="n"/>
      <c r="N529" s="38" t="n"/>
      <c r="O529" s="38" t="n"/>
      <c r="P529" s="38" t="n"/>
      <c r="Q529" s="38" t="n"/>
      <c r="R529" s="38" t="n"/>
      <c r="S529" s="38" t="n"/>
      <c r="T529" s="38" t="n"/>
      <c r="U529" s="38" t="n"/>
      <c r="V529" s="7" t="n"/>
      <c r="X529" s="22">
        <f>IF($B529="","",IFERROR(INDEX(Cost_Centers!$E:$E,MATCH($B529,Cost_Centers!$A:$A,0)),"(unknown)"))</f>
        <v/>
      </c>
      <c r="Y529" s="22">
        <f>IF($B529="","",IFERROR(INDEX(Cost_Centers!$D:$D,MATCH($B529,Cost_Centers!$A:$A,0)),"(unknown)"))</f>
        <v/>
      </c>
      <c r="Z529" s="22">
        <f>IF(OR($B529="",$G529&lt;&gt;"Variance vs Budget"),"",ABS(N($V529))+ROW()/1000000000)</f>
        <v/>
      </c>
    </row>
    <row r="530">
      <c r="A530" s="30">
        <f>IF($D$530="","",LEFT($D$530,FIND("|",$D$530&amp;"|")-1))</f>
        <v/>
      </c>
      <c r="B530" s="31" t="n"/>
      <c r="C530" s="30">
        <f>IF($B$530="","",IFERROR(INDEX(Cost_Centers!$B:$B,MATCH($B$530,Cost_Centers!$A:$A,0)),"(not in master)"))</f>
        <v/>
      </c>
      <c r="D530" s="31" t="n"/>
      <c r="E530" s="30">
        <f>IF($D$530="","",IFERROR(INDEX(Accounts!$D:$D,MATCH($D$530,Accounts!$A:$A,0)),"(not in master)"))</f>
        <v/>
      </c>
      <c r="F530" s="31" t="n"/>
      <c r="G530" s="30" t="inlineStr">
        <is>
          <t>Budget</t>
        </is>
      </c>
      <c r="H530" s="32">
        <f>IF($B$530="","",SUMIFS(Opex_Budget!$O:$O,Opex_Budget!$A:$A,$C$3,Opex_Budget!$E:$E,$B$530,Opex_Budget!$F:$F,$D$530,Opex_Budget!$N:$N,"JPY")*$E$5+SUMIFS(Opex_Budget!$O:$O,Opex_Budget!$A:$A,$C$3,Opex_Budget!$E:$E,$B$530,Opex_Budget!$F:$F,$D$530,Opex_Budget!$N:$N,"USD")*$F$5+SUMIFS(Opex_Budget!$O:$O,Opex_Budget!$A:$A,$C$3,Opex_Budget!$E:$E,$B$530,Opex_Budget!$F:$F,$D$530,Opex_Budget!$N:$N,"EUR")*$G$5+SUMIFS(Opex_Budget!$O:$O,Opex_Budget!$A:$A,$C$3,Opex_Budget!$E:$E,$B$530,Opex_Budget!$F:$F,$D$530,Opex_Budget!$N:$N,"GBP")*$H$5)</f>
        <v/>
      </c>
      <c r="I530" s="32">
        <f>IF($B$530="","",SUMIFS(Opex_Budget!$P:$P,Opex_Budget!$A:$A,$C$3,Opex_Budget!$E:$E,$B$530,Opex_Budget!$F:$F,$D$530,Opex_Budget!$N:$N,"JPY")*$E$5+SUMIFS(Opex_Budget!$P:$P,Opex_Budget!$A:$A,$C$3,Opex_Budget!$E:$E,$B$530,Opex_Budget!$F:$F,$D$530,Opex_Budget!$N:$N,"USD")*$F$5+SUMIFS(Opex_Budget!$P:$P,Opex_Budget!$A:$A,$C$3,Opex_Budget!$E:$E,$B$530,Opex_Budget!$F:$F,$D$530,Opex_Budget!$N:$N,"EUR")*$G$5+SUMIFS(Opex_Budget!$P:$P,Opex_Budget!$A:$A,$C$3,Opex_Budget!$E:$E,$B$530,Opex_Budget!$F:$F,$D$530,Opex_Budget!$N:$N,"GBP")*$H$5)</f>
        <v/>
      </c>
      <c r="J530" s="32">
        <f>IF($B$530="","",SUMIFS(Opex_Budget!$Q:$Q,Opex_Budget!$A:$A,$C$3,Opex_Budget!$E:$E,$B$530,Opex_Budget!$F:$F,$D$530,Opex_Budget!$N:$N,"JPY")*$E$5+SUMIFS(Opex_Budget!$Q:$Q,Opex_Budget!$A:$A,$C$3,Opex_Budget!$E:$E,$B$530,Opex_Budget!$F:$F,$D$530,Opex_Budget!$N:$N,"USD")*$F$5+SUMIFS(Opex_Budget!$Q:$Q,Opex_Budget!$A:$A,$C$3,Opex_Budget!$E:$E,$B$530,Opex_Budget!$F:$F,$D$530,Opex_Budget!$N:$N,"EUR")*$G$5+SUMIFS(Opex_Budget!$Q:$Q,Opex_Budget!$A:$A,$C$3,Opex_Budget!$E:$E,$B$530,Opex_Budget!$F:$F,$D$530,Opex_Budget!$N:$N,"GBP")*$H$5)</f>
        <v/>
      </c>
      <c r="K530" s="32">
        <f>IF($B$530="","",SUMIFS(Opex_Budget!$R:$R,Opex_Budget!$A:$A,$C$3,Opex_Budget!$E:$E,$B$530,Opex_Budget!$F:$F,$D$530,Opex_Budget!$N:$N,"JPY")*$E$5+SUMIFS(Opex_Budget!$R:$R,Opex_Budget!$A:$A,$C$3,Opex_Budget!$E:$E,$B$530,Opex_Budget!$F:$F,$D$530,Opex_Budget!$N:$N,"USD")*$F$5+SUMIFS(Opex_Budget!$R:$R,Opex_Budget!$A:$A,$C$3,Opex_Budget!$E:$E,$B$530,Opex_Budget!$F:$F,$D$530,Opex_Budget!$N:$N,"EUR")*$G$5+SUMIFS(Opex_Budget!$R:$R,Opex_Budget!$A:$A,$C$3,Opex_Budget!$E:$E,$B$530,Opex_Budget!$F:$F,$D$530,Opex_Budget!$N:$N,"GBP")*$H$5)</f>
        <v/>
      </c>
      <c r="L530" s="32">
        <f>IF($B$530="","",SUMIFS(Opex_Budget!$S:$S,Opex_Budget!$A:$A,$C$3,Opex_Budget!$E:$E,$B$530,Opex_Budget!$F:$F,$D$530,Opex_Budget!$N:$N,"JPY")*$E$5+SUMIFS(Opex_Budget!$S:$S,Opex_Budget!$A:$A,$C$3,Opex_Budget!$E:$E,$B$530,Opex_Budget!$F:$F,$D$530,Opex_Budget!$N:$N,"USD")*$F$5+SUMIFS(Opex_Budget!$S:$S,Opex_Budget!$A:$A,$C$3,Opex_Budget!$E:$E,$B$530,Opex_Budget!$F:$F,$D$530,Opex_Budget!$N:$N,"EUR")*$G$5+SUMIFS(Opex_Budget!$S:$S,Opex_Budget!$A:$A,$C$3,Opex_Budget!$E:$E,$B$530,Opex_Budget!$F:$F,$D$530,Opex_Budget!$N:$N,"GBP")*$H$5)</f>
        <v/>
      </c>
      <c r="M530" s="32">
        <f>IF($B$530="","",SUMIFS(Opex_Budget!$T:$T,Opex_Budget!$A:$A,$C$3,Opex_Budget!$E:$E,$B$530,Opex_Budget!$F:$F,$D$530,Opex_Budget!$N:$N,"JPY")*$E$5+SUMIFS(Opex_Budget!$T:$T,Opex_Budget!$A:$A,$C$3,Opex_Budget!$E:$E,$B$530,Opex_Budget!$F:$F,$D$530,Opex_Budget!$N:$N,"USD")*$F$5+SUMIFS(Opex_Budget!$T:$T,Opex_Budget!$A:$A,$C$3,Opex_Budget!$E:$E,$B$530,Opex_Budget!$F:$F,$D$530,Opex_Budget!$N:$N,"EUR")*$G$5+SUMIFS(Opex_Budget!$T:$T,Opex_Budget!$A:$A,$C$3,Opex_Budget!$E:$E,$B$530,Opex_Budget!$F:$F,$D$530,Opex_Budget!$N:$N,"GBP")*$H$5)</f>
        <v/>
      </c>
      <c r="N530" s="32">
        <f>IF($B$530="","",SUMIFS(Opex_Budget!$U:$U,Opex_Budget!$A:$A,$C$3,Opex_Budget!$E:$E,$B$530,Opex_Budget!$F:$F,$D$530,Opex_Budget!$N:$N,"JPY")*$E$5+SUMIFS(Opex_Budget!$U:$U,Opex_Budget!$A:$A,$C$3,Opex_Budget!$E:$E,$B$530,Opex_Budget!$F:$F,$D$530,Opex_Budget!$N:$N,"USD")*$F$5+SUMIFS(Opex_Budget!$U:$U,Opex_Budget!$A:$A,$C$3,Opex_Budget!$E:$E,$B$530,Opex_Budget!$F:$F,$D$530,Opex_Budget!$N:$N,"EUR")*$G$5+SUMIFS(Opex_Budget!$U:$U,Opex_Budget!$A:$A,$C$3,Opex_Budget!$E:$E,$B$530,Opex_Budget!$F:$F,$D$530,Opex_Budget!$N:$N,"GBP")*$H$5)</f>
        <v/>
      </c>
      <c r="O530" s="32">
        <f>IF($B$530="","",SUMIFS(Opex_Budget!$V:$V,Opex_Budget!$A:$A,$C$3,Opex_Budget!$E:$E,$B$530,Opex_Budget!$F:$F,$D$530,Opex_Budget!$N:$N,"JPY")*$E$5+SUMIFS(Opex_Budget!$V:$V,Opex_Budget!$A:$A,$C$3,Opex_Budget!$E:$E,$B$530,Opex_Budget!$F:$F,$D$530,Opex_Budget!$N:$N,"USD")*$F$5+SUMIFS(Opex_Budget!$V:$V,Opex_Budget!$A:$A,$C$3,Opex_Budget!$E:$E,$B$530,Opex_Budget!$F:$F,$D$530,Opex_Budget!$N:$N,"EUR")*$G$5+SUMIFS(Opex_Budget!$V:$V,Opex_Budget!$A:$A,$C$3,Opex_Budget!$E:$E,$B$530,Opex_Budget!$F:$F,$D$530,Opex_Budget!$N:$N,"GBP")*$H$5)</f>
        <v/>
      </c>
      <c r="P530" s="32">
        <f>IF($B$530="","",SUMIFS(Opex_Budget!$W:$W,Opex_Budget!$A:$A,$C$3,Opex_Budget!$E:$E,$B$530,Opex_Budget!$F:$F,$D$530,Opex_Budget!$N:$N,"JPY")*$E$5+SUMIFS(Opex_Budget!$W:$W,Opex_Budget!$A:$A,$C$3,Opex_Budget!$E:$E,$B$530,Opex_Budget!$F:$F,$D$530,Opex_Budget!$N:$N,"USD")*$F$5+SUMIFS(Opex_Budget!$W:$W,Opex_Budget!$A:$A,$C$3,Opex_Budget!$E:$E,$B$530,Opex_Budget!$F:$F,$D$530,Opex_Budget!$N:$N,"EUR")*$G$5+SUMIFS(Opex_Budget!$W:$W,Opex_Budget!$A:$A,$C$3,Opex_Budget!$E:$E,$B$530,Opex_Budget!$F:$F,$D$530,Opex_Budget!$N:$N,"GBP")*$H$5)</f>
        <v/>
      </c>
      <c r="Q530" s="32">
        <f>IF($B$530="","",SUMIFS(Opex_Budget!$X:$X,Opex_Budget!$A:$A,$C$3,Opex_Budget!$E:$E,$B$530,Opex_Budget!$F:$F,$D$530,Opex_Budget!$N:$N,"JPY")*$E$5+SUMIFS(Opex_Budget!$X:$X,Opex_Budget!$A:$A,$C$3,Opex_Budget!$E:$E,$B$530,Opex_Budget!$F:$F,$D$530,Opex_Budget!$N:$N,"USD")*$F$5+SUMIFS(Opex_Budget!$X:$X,Opex_Budget!$A:$A,$C$3,Opex_Budget!$E:$E,$B$530,Opex_Budget!$F:$F,$D$530,Opex_Budget!$N:$N,"EUR")*$G$5+SUMIFS(Opex_Budget!$X:$X,Opex_Budget!$A:$A,$C$3,Opex_Budget!$E:$E,$B$530,Opex_Budget!$F:$F,$D$530,Opex_Budget!$N:$N,"GBP")*$H$5)</f>
        <v/>
      </c>
      <c r="R530" s="32">
        <f>IF($B$530="","",SUMIFS(Opex_Budget!$Y:$Y,Opex_Budget!$A:$A,$C$3,Opex_Budget!$E:$E,$B$530,Opex_Budget!$F:$F,$D$530,Opex_Budget!$N:$N,"JPY")*$E$5+SUMIFS(Opex_Budget!$Y:$Y,Opex_Budget!$A:$A,$C$3,Opex_Budget!$E:$E,$B$530,Opex_Budget!$F:$F,$D$530,Opex_Budget!$N:$N,"USD")*$F$5+SUMIFS(Opex_Budget!$Y:$Y,Opex_Budget!$A:$A,$C$3,Opex_Budget!$E:$E,$B$530,Opex_Budget!$F:$F,$D$530,Opex_Budget!$N:$N,"EUR")*$G$5+SUMIFS(Opex_Budget!$Y:$Y,Opex_Budget!$A:$A,$C$3,Opex_Budget!$E:$E,$B$530,Opex_Budget!$F:$F,$D$530,Opex_Budget!$N:$N,"GBP")*$H$5)</f>
        <v/>
      </c>
      <c r="S530" s="32">
        <f>IF($B$530="","",SUMIFS(Opex_Budget!$Z:$Z,Opex_Budget!$A:$A,$C$3,Opex_Budget!$E:$E,$B$530,Opex_Budget!$F:$F,$D$530,Opex_Budget!$N:$N,"JPY")*$E$5+SUMIFS(Opex_Budget!$Z:$Z,Opex_Budget!$A:$A,$C$3,Opex_Budget!$E:$E,$B$530,Opex_Budget!$F:$F,$D$530,Opex_Budget!$N:$N,"USD")*$F$5+SUMIFS(Opex_Budget!$Z:$Z,Opex_Budget!$A:$A,$C$3,Opex_Budget!$E:$E,$B$530,Opex_Budget!$F:$F,$D$530,Opex_Budget!$N:$N,"EUR")*$G$5+SUMIFS(Opex_Budget!$Z:$Z,Opex_Budget!$A:$A,$C$3,Opex_Budget!$E:$E,$B$530,Opex_Budget!$F:$F,$D$530,Opex_Budget!$N:$N,"GBP")*$H$5)</f>
        <v/>
      </c>
      <c r="T530" s="32">
        <f>IF($B$530="","",SUMIF($H$7:$S$7,"&lt;="&amp;$C$4,$H530:$S530))</f>
        <v/>
      </c>
      <c r="U530" s="32">
        <f>IF($B$530="","",SUMIF($H$7:$S$7,"&gt;"&amp;$C$4,$H530:$S530))</f>
        <v/>
      </c>
      <c r="V530" s="32">
        <f>IF($B$530="","",SUM($H530:$S530))</f>
        <v/>
      </c>
      <c r="X530" s="22">
        <f>IF($B530="","",IFERROR(INDEX(Cost_Centers!$E:$E,MATCH($B530,Cost_Centers!$A:$A,0)),"(unknown)"))</f>
        <v/>
      </c>
      <c r="Y530" s="22">
        <f>IF($B530="","",IFERROR(INDEX(Cost_Centers!$D:$D,MATCH($B530,Cost_Centers!$A:$A,0)),"(unknown)"))</f>
        <v/>
      </c>
      <c r="Z530" s="22">
        <f>IF(OR($B530="",$G530&lt;&gt;"Variance vs Budget"),"",ABS(N($V530))+ROW()/1000000000)</f>
        <v/>
      </c>
    </row>
    <row r="531">
      <c r="A531" s="13">
        <f>IF(A$530="","",A$530)</f>
        <v/>
      </c>
      <c r="B531" s="13">
        <f>IF(B$530="","",B$530)</f>
        <v/>
      </c>
      <c r="C531" s="13">
        <f>IF(C$530="","",C$530)</f>
        <v/>
      </c>
      <c r="D531" s="13">
        <f>IF(D$530="","",D$530)</f>
        <v/>
      </c>
      <c r="E531" s="13">
        <f>IF(E$530="","",E$530)</f>
        <v/>
      </c>
      <c r="F531" s="13">
        <f>IF(F$530="","",F$530)</f>
        <v/>
      </c>
      <c r="G531" s="7" t="inlineStr">
        <is>
          <t>Actual</t>
        </is>
      </c>
      <c r="H531" s="18">
        <f>IF(OR($B$530="",1&gt;$C$4),"",SUMIFS(Actuals!$G:$G,Actuals!$B:$B,$C$3,Actuals!$C:$C,1,Actuals!$D:$D,$B$530,Actuals!$A:$A,LEFT($D$530,FIND("|",$D$530&amp;"|")-1),Actuals!$E:$E,MID($D$530,FIND("|",$D$530&amp;"|")+1,50),Actuals!$F:$F,"JPY")*$E$5+SUMIFS(Actuals!$G:$G,Actuals!$B:$B,$C$3,Actuals!$C:$C,1,Actuals!$D:$D,$B$530,Actuals!$A:$A,LEFT($D$530,FIND("|",$D$530&amp;"|")-1),Actuals!$E:$E,MID($D$530,FIND("|",$D$530&amp;"|")+1,50),Actuals!$F:$F,"USD")*$F$5+SUMIFS(Actuals!$G:$G,Actuals!$B:$B,$C$3,Actuals!$C:$C,1,Actuals!$D:$D,$B$530,Actuals!$A:$A,LEFT($D$530,FIND("|",$D$530&amp;"|")-1),Actuals!$E:$E,MID($D$530,FIND("|",$D$530&amp;"|")+1,50),Actuals!$F:$F,"EUR")*$G$5+SUMIFS(Actuals!$G:$G,Actuals!$B:$B,$C$3,Actuals!$C:$C,1,Actuals!$D:$D,$B$530,Actuals!$A:$A,LEFT($D$530,FIND("|",$D$530&amp;"|")-1),Actuals!$E:$E,MID($D$530,FIND("|",$D$530&amp;"|")+1,50),Actuals!$F:$F,"GBP")*$H$5)</f>
        <v/>
      </c>
      <c r="I531" s="18">
        <f>IF(OR($B$530="",2&gt;$C$4),"",SUMIFS(Actuals!$G:$G,Actuals!$B:$B,$C$3,Actuals!$C:$C,2,Actuals!$D:$D,$B$530,Actuals!$A:$A,LEFT($D$530,FIND("|",$D$530&amp;"|")-1),Actuals!$E:$E,MID($D$530,FIND("|",$D$530&amp;"|")+1,50),Actuals!$F:$F,"JPY")*$E$5+SUMIFS(Actuals!$G:$G,Actuals!$B:$B,$C$3,Actuals!$C:$C,2,Actuals!$D:$D,$B$530,Actuals!$A:$A,LEFT($D$530,FIND("|",$D$530&amp;"|")-1),Actuals!$E:$E,MID($D$530,FIND("|",$D$530&amp;"|")+1,50),Actuals!$F:$F,"USD")*$F$5+SUMIFS(Actuals!$G:$G,Actuals!$B:$B,$C$3,Actuals!$C:$C,2,Actuals!$D:$D,$B$530,Actuals!$A:$A,LEFT($D$530,FIND("|",$D$530&amp;"|")-1),Actuals!$E:$E,MID($D$530,FIND("|",$D$530&amp;"|")+1,50),Actuals!$F:$F,"EUR")*$G$5+SUMIFS(Actuals!$G:$G,Actuals!$B:$B,$C$3,Actuals!$C:$C,2,Actuals!$D:$D,$B$530,Actuals!$A:$A,LEFT($D$530,FIND("|",$D$530&amp;"|")-1),Actuals!$E:$E,MID($D$530,FIND("|",$D$530&amp;"|")+1,50),Actuals!$F:$F,"GBP")*$H$5)</f>
        <v/>
      </c>
      <c r="J531" s="18">
        <f>IF(OR($B$530="",3&gt;$C$4),"",SUMIFS(Actuals!$G:$G,Actuals!$B:$B,$C$3,Actuals!$C:$C,3,Actuals!$D:$D,$B$530,Actuals!$A:$A,LEFT($D$530,FIND("|",$D$530&amp;"|")-1),Actuals!$E:$E,MID($D$530,FIND("|",$D$530&amp;"|")+1,50),Actuals!$F:$F,"JPY")*$E$5+SUMIFS(Actuals!$G:$G,Actuals!$B:$B,$C$3,Actuals!$C:$C,3,Actuals!$D:$D,$B$530,Actuals!$A:$A,LEFT($D$530,FIND("|",$D$530&amp;"|")-1),Actuals!$E:$E,MID($D$530,FIND("|",$D$530&amp;"|")+1,50),Actuals!$F:$F,"USD")*$F$5+SUMIFS(Actuals!$G:$G,Actuals!$B:$B,$C$3,Actuals!$C:$C,3,Actuals!$D:$D,$B$530,Actuals!$A:$A,LEFT($D$530,FIND("|",$D$530&amp;"|")-1),Actuals!$E:$E,MID($D$530,FIND("|",$D$530&amp;"|")+1,50),Actuals!$F:$F,"EUR")*$G$5+SUMIFS(Actuals!$G:$G,Actuals!$B:$B,$C$3,Actuals!$C:$C,3,Actuals!$D:$D,$B$530,Actuals!$A:$A,LEFT($D$530,FIND("|",$D$530&amp;"|")-1),Actuals!$E:$E,MID($D$530,FIND("|",$D$530&amp;"|")+1,50),Actuals!$F:$F,"GBP")*$H$5)</f>
        <v/>
      </c>
      <c r="K531" s="18">
        <f>IF(OR($B$530="",4&gt;$C$4),"",SUMIFS(Actuals!$G:$G,Actuals!$B:$B,$C$3,Actuals!$C:$C,4,Actuals!$D:$D,$B$530,Actuals!$A:$A,LEFT($D$530,FIND("|",$D$530&amp;"|")-1),Actuals!$E:$E,MID($D$530,FIND("|",$D$530&amp;"|")+1,50),Actuals!$F:$F,"JPY")*$E$5+SUMIFS(Actuals!$G:$G,Actuals!$B:$B,$C$3,Actuals!$C:$C,4,Actuals!$D:$D,$B$530,Actuals!$A:$A,LEFT($D$530,FIND("|",$D$530&amp;"|")-1),Actuals!$E:$E,MID($D$530,FIND("|",$D$530&amp;"|")+1,50),Actuals!$F:$F,"USD")*$F$5+SUMIFS(Actuals!$G:$G,Actuals!$B:$B,$C$3,Actuals!$C:$C,4,Actuals!$D:$D,$B$530,Actuals!$A:$A,LEFT($D$530,FIND("|",$D$530&amp;"|")-1),Actuals!$E:$E,MID($D$530,FIND("|",$D$530&amp;"|")+1,50),Actuals!$F:$F,"EUR")*$G$5+SUMIFS(Actuals!$G:$G,Actuals!$B:$B,$C$3,Actuals!$C:$C,4,Actuals!$D:$D,$B$530,Actuals!$A:$A,LEFT($D$530,FIND("|",$D$530&amp;"|")-1),Actuals!$E:$E,MID($D$530,FIND("|",$D$530&amp;"|")+1,50),Actuals!$F:$F,"GBP")*$H$5)</f>
        <v/>
      </c>
      <c r="L531" s="18">
        <f>IF(OR($B$530="",5&gt;$C$4),"",SUMIFS(Actuals!$G:$G,Actuals!$B:$B,$C$3,Actuals!$C:$C,5,Actuals!$D:$D,$B$530,Actuals!$A:$A,LEFT($D$530,FIND("|",$D$530&amp;"|")-1),Actuals!$E:$E,MID($D$530,FIND("|",$D$530&amp;"|")+1,50),Actuals!$F:$F,"JPY")*$E$5+SUMIFS(Actuals!$G:$G,Actuals!$B:$B,$C$3,Actuals!$C:$C,5,Actuals!$D:$D,$B$530,Actuals!$A:$A,LEFT($D$530,FIND("|",$D$530&amp;"|")-1),Actuals!$E:$E,MID($D$530,FIND("|",$D$530&amp;"|")+1,50),Actuals!$F:$F,"USD")*$F$5+SUMIFS(Actuals!$G:$G,Actuals!$B:$B,$C$3,Actuals!$C:$C,5,Actuals!$D:$D,$B$530,Actuals!$A:$A,LEFT($D$530,FIND("|",$D$530&amp;"|")-1),Actuals!$E:$E,MID($D$530,FIND("|",$D$530&amp;"|")+1,50),Actuals!$F:$F,"EUR")*$G$5+SUMIFS(Actuals!$G:$G,Actuals!$B:$B,$C$3,Actuals!$C:$C,5,Actuals!$D:$D,$B$530,Actuals!$A:$A,LEFT($D$530,FIND("|",$D$530&amp;"|")-1),Actuals!$E:$E,MID($D$530,FIND("|",$D$530&amp;"|")+1,50),Actuals!$F:$F,"GBP")*$H$5)</f>
        <v/>
      </c>
      <c r="M531" s="18">
        <f>IF(OR($B$530="",6&gt;$C$4),"",SUMIFS(Actuals!$G:$G,Actuals!$B:$B,$C$3,Actuals!$C:$C,6,Actuals!$D:$D,$B$530,Actuals!$A:$A,LEFT($D$530,FIND("|",$D$530&amp;"|")-1),Actuals!$E:$E,MID($D$530,FIND("|",$D$530&amp;"|")+1,50),Actuals!$F:$F,"JPY")*$E$5+SUMIFS(Actuals!$G:$G,Actuals!$B:$B,$C$3,Actuals!$C:$C,6,Actuals!$D:$D,$B$530,Actuals!$A:$A,LEFT($D$530,FIND("|",$D$530&amp;"|")-1),Actuals!$E:$E,MID($D$530,FIND("|",$D$530&amp;"|")+1,50),Actuals!$F:$F,"USD")*$F$5+SUMIFS(Actuals!$G:$G,Actuals!$B:$B,$C$3,Actuals!$C:$C,6,Actuals!$D:$D,$B$530,Actuals!$A:$A,LEFT($D$530,FIND("|",$D$530&amp;"|")-1),Actuals!$E:$E,MID($D$530,FIND("|",$D$530&amp;"|")+1,50),Actuals!$F:$F,"EUR")*$G$5+SUMIFS(Actuals!$G:$G,Actuals!$B:$B,$C$3,Actuals!$C:$C,6,Actuals!$D:$D,$B$530,Actuals!$A:$A,LEFT($D$530,FIND("|",$D$530&amp;"|")-1),Actuals!$E:$E,MID($D$530,FIND("|",$D$530&amp;"|")+1,50),Actuals!$F:$F,"GBP")*$H$5)</f>
        <v/>
      </c>
      <c r="N531" s="18">
        <f>IF(OR($B$530="",7&gt;$C$4),"",SUMIFS(Actuals!$G:$G,Actuals!$B:$B,$C$3,Actuals!$C:$C,7,Actuals!$D:$D,$B$530,Actuals!$A:$A,LEFT($D$530,FIND("|",$D$530&amp;"|")-1),Actuals!$E:$E,MID($D$530,FIND("|",$D$530&amp;"|")+1,50),Actuals!$F:$F,"JPY")*$E$5+SUMIFS(Actuals!$G:$G,Actuals!$B:$B,$C$3,Actuals!$C:$C,7,Actuals!$D:$D,$B$530,Actuals!$A:$A,LEFT($D$530,FIND("|",$D$530&amp;"|")-1),Actuals!$E:$E,MID($D$530,FIND("|",$D$530&amp;"|")+1,50),Actuals!$F:$F,"USD")*$F$5+SUMIFS(Actuals!$G:$G,Actuals!$B:$B,$C$3,Actuals!$C:$C,7,Actuals!$D:$D,$B$530,Actuals!$A:$A,LEFT($D$530,FIND("|",$D$530&amp;"|")-1),Actuals!$E:$E,MID($D$530,FIND("|",$D$530&amp;"|")+1,50),Actuals!$F:$F,"EUR")*$G$5+SUMIFS(Actuals!$G:$G,Actuals!$B:$B,$C$3,Actuals!$C:$C,7,Actuals!$D:$D,$B$530,Actuals!$A:$A,LEFT($D$530,FIND("|",$D$530&amp;"|")-1),Actuals!$E:$E,MID($D$530,FIND("|",$D$530&amp;"|")+1,50),Actuals!$F:$F,"GBP")*$H$5)</f>
        <v/>
      </c>
      <c r="O531" s="18">
        <f>IF(OR($B$530="",8&gt;$C$4),"",SUMIFS(Actuals!$G:$G,Actuals!$B:$B,$C$3,Actuals!$C:$C,8,Actuals!$D:$D,$B$530,Actuals!$A:$A,LEFT($D$530,FIND("|",$D$530&amp;"|")-1),Actuals!$E:$E,MID($D$530,FIND("|",$D$530&amp;"|")+1,50),Actuals!$F:$F,"JPY")*$E$5+SUMIFS(Actuals!$G:$G,Actuals!$B:$B,$C$3,Actuals!$C:$C,8,Actuals!$D:$D,$B$530,Actuals!$A:$A,LEFT($D$530,FIND("|",$D$530&amp;"|")-1),Actuals!$E:$E,MID($D$530,FIND("|",$D$530&amp;"|")+1,50),Actuals!$F:$F,"USD")*$F$5+SUMIFS(Actuals!$G:$G,Actuals!$B:$B,$C$3,Actuals!$C:$C,8,Actuals!$D:$D,$B$530,Actuals!$A:$A,LEFT($D$530,FIND("|",$D$530&amp;"|")-1),Actuals!$E:$E,MID($D$530,FIND("|",$D$530&amp;"|")+1,50),Actuals!$F:$F,"EUR")*$G$5+SUMIFS(Actuals!$G:$G,Actuals!$B:$B,$C$3,Actuals!$C:$C,8,Actuals!$D:$D,$B$530,Actuals!$A:$A,LEFT($D$530,FIND("|",$D$530&amp;"|")-1),Actuals!$E:$E,MID($D$530,FIND("|",$D$530&amp;"|")+1,50),Actuals!$F:$F,"GBP")*$H$5)</f>
        <v/>
      </c>
      <c r="P531" s="18">
        <f>IF(OR($B$530="",9&gt;$C$4),"",SUMIFS(Actuals!$G:$G,Actuals!$B:$B,$C$3,Actuals!$C:$C,9,Actuals!$D:$D,$B$530,Actuals!$A:$A,LEFT($D$530,FIND("|",$D$530&amp;"|")-1),Actuals!$E:$E,MID($D$530,FIND("|",$D$530&amp;"|")+1,50),Actuals!$F:$F,"JPY")*$E$5+SUMIFS(Actuals!$G:$G,Actuals!$B:$B,$C$3,Actuals!$C:$C,9,Actuals!$D:$D,$B$530,Actuals!$A:$A,LEFT($D$530,FIND("|",$D$530&amp;"|")-1),Actuals!$E:$E,MID($D$530,FIND("|",$D$530&amp;"|")+1,50),Actuals!$F:$F,"USD")*$F$5+SUMIFS(Actuals!$G:$G,Actuals!$B:$B,$C$3,Actuals!$C:$C,9,Actuals!$D:$D,$B$530,Actuals!$A:$A,LEFT($D$530,FIND("|",$D$530&amp;"|")-1),Actuals!$E:$E,MID($D$530,FIND("|",$D$530&amp;"|")+1,50),Actuals!$F:$F,"EUR")*$G$5+SUMIFS(Actuals!$G:$G,Actuals!$B:$B,$C$3,Actuals!$C:$C,9,Actuals!$D:$D,$B$530,Actuals!$A:$A,LEFT($D$530,FIND("|",$D$530&amp;"|")-1),Actuals!$E:$E,MID($D$530,FIND("|",$D$530&amp;"|")+1,50),Actuals!$F:$F,"GBP")*$H$5)</f>
        <v/>
      </c>
      <c r="Q531" s="18">
        <f>IF(OR($B$530="",10&gt;$C$4),"",SUMIFS(Actuals!$G:$G,Actuals!$B:$B,$C$3,Actuals!$C:$C,10,Actuals!$D:$D,$B$530,Actuals!$A:$A,LEFT($D$530,FIND("|",$D$530&amp;"|")-1),Actuals!$E:$E,MID($D$530,FIND("|",$D$530&amp;"|")+1,50),Actuals!$F:$F,"JPY")*$E$5+SUMIFS(Actuals!$G:$G,Actuals!$B:$B,$C$3,Actuals!$C:$C,10,Actuals!$D:$D,$B$530,Actuals!$A:$A,LEFT($D$530,FIND("|",$D$530&amp;"|")-1),Actuals!$E:$E,MID($D$530,FIND("|",$D$530&amp;"|")+1,50),Actuals!$F:$F,"USD")*$F$5+SUMIFS(Actuals!$G:$G,Actuals!$B:$B,$C$3,Actuals!$C:$C,10,Actuals!$D:$D,$B$530,Actuals!$A:$A,LEFT($D$530,FIND("|",$D$530&amp;"|")-1),Actuals!$E:$E,MID($D$530,FIND("|",$D$530&amp;"|")+1,50),Actuals!$F:$F,"EUR")*$G$5+SUMIFS(Actuals!$G:$G,Actuals!$B:$B,$C$3,Actuals!$C:$C,10,Actuals!$D:$D,$B$530,Actuals!$A:$A,LEFT($D$530,FIND("|",$D$530&amp;"|")-1),Actuals!$E:$E,MID($D$530,FIND("|",$D$530&amp;"|")+1,50),Actuals!$F:$F,"GBP")*$H$5)</f>
        <v/>
      </c>
      <c r="R531" s="18">
        <f>IF(OR($B$530="",11&gt;$C$4),"",SUMIFS(Actuals!$G:$G,Actuals!$B:$B,$C$3,Actuals!$C:$C,11,Actuals!$D:$D,$B$530,Actuals!$A:$A,LEFT($D$530,FIND("|",$D$530&amp;"|")-1),Actuals!$E:$E,MID($D$530,FIND("|",$D$530&amp;"|")+1,50),Actuals!$F:$F,"JPY")*$E$5+SUMIFS(Actuals!$G:$G,Actuals!$B:$B,$C$3,Actuals!$C:$C,11,Actuals!$D:$D,$B$530,Actuals!$A:$A,LEFT($D$530,FIND("|",$D$530&amp;"|")-1),Actuals!$E:$E,MID($D$530,FIND("|",$D$530&amp;"|")+1,50),Actuals!$F:$F,"USD")*$F$5+SUMIFS(Actuals!$G:$G,Actuals!$B:$B,$C$3,Actuals!$C:$C,11,Actuals!$D:$D,$B$530,Actuals!$A:$A,LEFT($D$530,FIND("|",$D$530&amp;"|")-1),Actuals!$E:$E,MID($D$530,FIND("|",$D$530&amp;"|")+1,50),Actuals!$F:$F,"EUR")*$G$5+SUMIFS(Actuals!$G:$G,Actuals!$B:$B,$C$3,Actuals!$C:$C,11,Actuals!$D:$D,$B$530,Actuals!$A:$A,LEFT($D$530,FIND("|",$D$530&amp;"|")-1),Actuals!$E:$E,MID($D$530,FIND("|",$D$530&amp;"|")+1,50),Actuals!$F:$F,"GBP")*$H$5)</f>
        <v/>
      </c>
      <c r="S531" s="18">
        <f>IF(OR($B$530="",12&gt;$C$4),"",SUMIFS(Actuals!$G:$G,Actuals!$B:$B,$C$3,Actuals!$C:$C,12,Actuals!$D:$D,$B$530,Actuals!$A:$A,LEFT($D$530,FIND("|",$D$530&amp;"|")-1),Actuals!$E:$E,MID($D$530,FIND("|",$D$530&amp;"|")+1,50),Actuals!$F:$F,"JPY")*$E$5+SUMIFS(Actuals!$G:$G,Actuals!$B:$B,$C$3,Actuals!$C:$C,12,Actuals!$D:$D,$B$530,Actuals!$A:$A,LEFT($D$530,FIND("|",$D$530&amp;"|")-1),Actuals!$E:$E,MID($D$530,FIND("|",$D$530&amp;"|")+1,50),Actuals!$F:$F,"USD")*$F$5+SUMIFS(Actuals!$G:$G,Actuals!$B:$B,$C$3,Actuals!$C:$C,12,Actuals!$D:$D,$B$530,Actuals!$A:$A,LEFT($D$530,FIND("|",$D$530&amp;"|")-1),Actuals!$E:$E,MID($D$530,FIND("|",$D$530&amp;"|")+1,50),Actuals!$F:$F,"EUR")*$G$5+SUMIFS(Actuals!$G:$G,Actuals!$B:$B,$C$3,Actuals!$C:$C,12,Actuals!$D:$D,$B$530,Actuals!$A:$A,LEFT($D$530,FIND("|",$D$530&amp;"|")-1),Actuals!$E:$E,MID($D$530,FIND("|",$D$530&amp;"|")+1,50),Actuals!$F:$F,"GBP")*$H$5)</f>
        <v/>
      </c>
      <c r="T531" s="18">
        <f>IF($B$530="","",SUMIF($H$7:$S$7,"&lt;="&amp;$C$4,$H531:$S531))</f>
        <v/>
      </c>
      <c r="U531" s="18" t="n"/>
      <c r="V531" s="18" t="n"/>
      <c r="X531" s="22">
        <f>IF($B531="","",IFERROR(INDEX(Cost_Centers!$E:$E,MATCH($B531,Cost_Centers!$A:$A,0)),"(unknown)"))</f>
        <v/>
      </c>
      <c r="Y531" s="22">
        <f>IF($B531="","",IFERROR(INDEX(Cost_Centers!$D:$D,MATCH($B531,Cost_Centers!$A:$A,0)),"(unknown)"))</f>
        <v/>
      </c>
      <c r="Z531" s="22">
        <f>IF(OR($B531="",$G531&lt;&gt;"Variance vs Budget"),"",ABS(N($V531))+ROW()/1000000000)</f>
        <v/>
      </c>
    </row>
    <row r="532">
      <c r="A532" s="13">
        <f>IF(A$530="","",A$530)</f>
        <v/>
      </c>
      <c r="B532" s="13">
        <f>IF(B$530="","",B$530)</f>
        <v/>
      </c>
      <c r="C532" s="13">
        <f>IF(C$530="","",C$530)</f>
        <v/>
      </c>
      <c r="D532" s="13">
        <f>IF(D$530="","",D$530)</f>
        <v/>
      </c>
      <c r="E532" s="13">
        <f>IF(E$530="","",E$530)</f>
        <v/>
      </c>
      <c r="F532" s="13">
        <f>IF(F$530="","",F$530)</f>
        <v/>
      </c>
      <c r="G532" s="6" t="inlineStr">
        <is>
          <t>Variance vs Budget</t>
        </is>
      </c>
      <c r="H532" s="33">
        <f>IF(OR($B$530="",1&gt;$C$4),"",N(H531)-H530)</f>
        <v/>
      </c>
      <c r="I532" s="33">
        <f>IF(OR($B$530="",2&gt;$C$4),"",N(I531)-I530)</f>
        <v/>
      </c>
      <c r="J532" s="33">
        <f>IF(OR($B$530="",3&gt;$C$4),"",N(J531)-J530)</f>
        <v/>
      </c>
      <c r="K532" s="33">
        <f>IF(OR($B$530="",4&gt;$C$4),"",N(K531)-K530)</f>
        <v/>
      </c>
      <c r="L532" s="33">
        <f>IF(OR($B$530="",5&gt;$C$4),"",N(L531)-L530)</f>
        <v/>
      </c>
      <c r="M532" s="33">
        <f>IF(OR($B$530="",6&gt;$C$4),"",N(M531)-M530)</f>
        <v/>
      </c>
      <c r="N532" s="33">
        <f>IF(OR($B$530="",7&gt;$C$4),"",N(N531)-N530)</f>
        <v/>
      </c>
      <c r="O532" s="33">
        <f>IF(OR($B$530="",8&gt;$C$4),"",N(O531)-O530)</f>
        <v/>
      </c>
      <c r="P532" s="33">
        <f>IF(OR($B$530="",9&gt;$C$4),"",N(P531)-P530)</f>
        <v/>
      </c>
      <c r="Q532" s="33">
        <f>IF(OR($B$530="",10&gt;$C$4),"",N(Q531)-Q530)</f>
        <v/>
      </c>
      <c r="R532" s="33">
        <f>IF(OR($B$530="",11&gt;$C$4),"",N(R531)-R530)</f>
        <v/>
      </c>
      <c r="S532" s="33">
        <f>IF(OR($B$530="",12&gt;$C$4),"",N(S531)-S530)</f>
        <v/>
      </c>
      <c r="T532" s="33">
        <f>IF($B$530="","",T531-T530)</f>
        <v/>
      </c>
      <c r="U532" s="33">
        <f>IF($B$530="","",U534-U530)</f>
        <v/>
      </c>
      <c r="V532" s="33">
        <f>IF($B$530="","",V534-V530)</f>
        <v/>
      </c>
      <c r="X532" s="22">
        <f>IF($B532="","",IFERROR(INDEX(Cost_Centers!$E:$E,MATCH($B532,Cost_Centers!$A:$A,0)),"(unknown)"))</f>
        <v/>
      </c>
      <c r="Y532" s="22">
        <f>IF($B532="","",IFERROR(INDEX(Cost_Centers!$D:$D,MATCH($B532,Cost_Centers!$A:$A,0)),"(unknown)"))</f>
        <v/>
      </c>
      <c r="Z532" s="22">
        <f>IF(OR($B532="",$G532&lt;&gt;"Variance vs Budget"),"",ABS(N($V532))+ROW()/1000000000)</f>
        <v/>
      </c>
    </row>
    <row r="533">
      <c r="A533" s="13">
        <f>IF(A$530="","",A$530)</f>
        <v/>
      </c>
      <c r="B533" s="13">
        <f>IF(B$530="","",B$530)</f>
        <v/>
      </c>
      <c r="C533" s="13">
        <f>IF(C$530="","",C$530)</f>
        <v/>
      </c>
      <c r="D533" s="13">
        <f>IF(D$530="","",D$530)</f>
        <v/>
      </c>
      <c r="E533" s="13">
        <f>IF(E$530="","",E$530)</f>
        <v/>
      </c>
      <c r="F533" s="13">
        <f>IF(F$530="","",F$530)</f>
        <v/>
      </c>
      <c r="G533" s="7" t="inlineStr">
        <is>
          <t>Forecast (input)</t>
        </is>
      </c>
      <c r="H533" s="34" t="n"/>
      <c r="I533" s="34" t="n"/>
      <c r="J533" s="34" t="n"/>
      <c r="K533" s="34" t="n"/>
      <c r="L533" s="34" t="n"/>
      <c r="M533" s="34" t="n"/>
      <c r="N533" s="34" t="n"/>
      <c r="O533" s="34" t="n"/>
      <c r="P533" s="34" t="n"/>
      <c r="Q533" s="34" t="n"/>
      <c r="R533" s="34" t="n"/>
      <c r="S533" s="34" t="n"/>
      <c r="T533" s="18" t="n"/>
      <c r="U533" s="18" t="n"/>
      <c r="V533" s="18" t="n"/>
      <c r="X533" s="22">
        <f>IF($B533="","",IFERROR(INDEX(Cost_Centers!$E:$E,MATCH($B533,Cost_Centers!$A:$A,0)),"(unknown)"))</f>
        <v/>
      </c>
      <c r="Y533" s="22">
        <f>IF($B533="","",IFERROR(INDEX(Cost_Centers!$D:$D,MATCH($B533,Cost_Centers!$A:$A,0)),"(unknown)"))</f>
        <v/>
      </c>
      <c r="Z533" s="22">
        <f>IF(OR($B533="",$G533&lt;&gt;"Variance vs Budget"),"",ABS(N($V533))+ROW()/1000000000)</f>
        <v/>
      </c>
    </row>
    <row r="534">
      <c r="A534" s="13">
        <f>IF(A$530="","",A$530)</f>
        <v/>
      </c>
      <c r="B534" s="13">
        <f>IF(B$530="","",B$530)</f>
        <v/>
      </c>
      <c r="C534" s="13">
        <f>IF(C$530="","",C$530)</f>
        <v/>
      </c>
      <c r="D534" s="13">
        <f>IF(D$530="","",D$530)</f>
        <v/>
      </c>
      <c r="E534" s="13">
        <f>IF(E$530="","",E$530)</f>
        <v/>
      </c>
      <c r="F534" s="13">
        <f>IF(F$530="","",F$530)</f>
        <v/>
      </c>
      <c r="G534" s="35" t="inlineStr">
        <is>
          <t>Actual + Forecast</t>
        </is>
      </c>
      <c r="H534" s="18">
        <f>IF($B$530="","",IF(1&lt;=$C$4,N(H531),IF(H533="",H530,H533)))</f>
        <v/>
      </c>
      <c r="I534" s="18">
        <f>IF($B$530="","",IF(2&lt;=$C$4,N(I531),IF(I533="",I530,I533)))</f>
        <v/>
      </c>
      <c r="J534" s="18">
        <f>IF($B$530="","",IF(3&lt;=$C$4,N(J531),IF(J533="",J530,J533)))</f>
        <v/>
      </c>
      <c r="K534" s="18">
        <f>IF($B$530="","",IF(4&lt;=$C$4,N(K531),IF(K533="",K530,K533)))</f>
        <v/>
      </c>
      <c r="L534" s="18">
        <f>IF($B$530="","",IF(5&lt;=$C$4,N(L531),IF(L533="",L530,L533)))</f>
        <v/>
      </c>
      <c r="M534" s="18">
        <f>IF($B$530="","",IF(6&lt;=$C$4,N(M531),IF(M533="",M530,M533)))</f>
        <v/>
      </c>
      <c r="N534" s="18">
        <f>IF($B$530="","",IF(7&lt;=$C$4,N(N531),IF(N533="",N530,N533)))</f>
        <v/>
      </c>
      <c r="O534" s="18">
        <f>IF($B$530="","",IF(8&lt;=$C$4,N(O531),IF(O533="",O530,O533)))</f>
        <v/>
      </c>
      <c r="P534" s="18">
        <f>IF($B$530="","",IF(9&lt;=$C$4,N(P531),IF(P533="",P530,P533)))</f>
        <v/>
      </c>
      <c r="Q534" s="18">
        <f>IF($B$530="","",IF(10&lt;=$C$4,N(Q531),IF(Q533="",Q530,Q533)))</f>
        <v/>
      </c>
      <c r="R534" s="18">
        <f>IF($B$530="","",IF(11&lt;=$C$4,N(R531),IF(R533="",R530,R533)))</f>
        <v/>
      </c>
      <c r="S534" s="18">
        <f>IF($B$530="","",IF(12&lt;=$C$4,N(S531),IF(S533="",S530,S533)))</f>
        <v/>
      </c>
      <c r="T534" s="18">
        <f>IF($B$530="","",SUMIF($H$7:$S$7,"&lt;="&amp;$C$4,$H534:$S534))</f>
        <v/>
      </c>
      <c r="U534" s="18">
        <f>IF($B$530="","",SUMIF($H$7:$S$7,"&gt;"&amp;$C$4,$H534:$S534))</f>
        <v/>
      </c>
      <c r="V534" s="18">
        <f>IF($B$530="","",SUM($H534:$S534))</f>
        <v/>
      </c>
      <c r="X534" s="22">
        <f>IF($B534="","",IFERROR(INDEX(Cost_Centers!$E:$E,MATCH($B534,Cost_Centers!$A:$A,0)),"(unknown)"))</f>
        <v/>
      </c>
      <c r="Y534" s="22">
        <f>IF($B534="","",IFERROR(INDEX(Cost_Centers!$D:$D,MATCH($B534,Cost_Centers!$A:$A,0)),"(unknown)"))</f>
        <v/>
      </c>
      <c r="Z534" s="22">
        <f>IF(OR($B534="",$G534&lt;&gt;"Variance vs Budget"),"",ABS(N($V534))+ROW()/1000000000)</f>
        <v/>
      </c>
    </row>
    <row r="535">
      <c r="A535" s="13">
        <f>IF(A$530="","",A$530)</f>
        <v/>
      </c>
      <c r="B535" s="13">
        <f>IF(B$530="","",B$530)</f>
        <v/>
      </c>
      <c r="C535" s="13">
        <f>IF(C$530="","",C$530)</f>
        <v/>
      </c>
      <c r="D535" s="13">
        <f>IF(D$530="","",D$530)</f>
        <v/>
      </c>
      <c r="E535" s="13">
        <f>IF(E$530="","",E$530)</f>
        <v/>
      </c>
      <c r="F535" s="13">
        <f>IF(F$530="","",F$530)</f>
        <v/>
      </c>
      <c r="G535" s="36" t="inlineStr">
        <is>
          <t>Prior Month Forecast</t>
        </is>
      </c>
      <c r="H535" s="37">
        <f>IF($B$530="","",IF(COUNTIFS(Prior_Forecast!$A:$A,$B$530,Prior_Forecast!$B:$B,$D$530)&gt;0,SUMIFS(Prior_Forecast!$C:$C,Prior_Forecast!$A:$A,$B$530,Prior_Forecast!$B:$B,$D$530),""))</f>
        <v/>
      </c>
      <c r="I535" s="37">
        <f>IF($B$530="","",IF(COUNTIFS(Prior_Forecast!$A:$A,$B$530,Prior_Forecast!$B:$B,$D$530)&gt;0,SUMIFS(Prior_Forecast!$D:$D,Prior_Forecast!$A:$A,$B$530,Prior_Forecast!$B:$B,$D$530),""))</f>
        <v/>
      </c>
      <c r="J535" s="37">
        <f>IF($B$530="","",IF(COUNTIFS(Prior_Forecast!$A:$A,$B$530,Prior_Forecast!$B:$B,$D$530)&gt;0,SUMIFS(Prior_Forecast!$E:$E,Prior_Forecast!$A:$A,$B$530,Prior_Forecast!$B:$B,$D$530),""))</f>
        <v/>
      </c>
      <c r="K535" s="37">
        <f>IF($B$530="","",IF(COUNTIFS(Prior_Forecast!$A:$A,$B$530,Prior_Forecast!$B:$B,$D$530)&gt;0,SUMIFS(Prior_Forecast!$F:$F,Prior_Forecast!$A:$A,$B$530,Prior_Forecast!$B:$B,$D$530),""))</f>
        <v/>
      </c>
      <c r="L535" s="37">
        <f>IF($B$530="","",IF(COUNTIFS(Prior_Forecast!$A:$A,$B$530,Prior_Forecast!$B:$B,$D$530)&gt;0,SUMIFS(Prior_Forecast!$G:$G,Prior_Forecast!$A:$A,$B$530,Prior_Forecast!$B:$B,$D$530),""))</f>
        <v/>
      </c>
      <c r="M535" s="37">
        <f>IF($B$530="","",IF(COUNTIFS(Prior_Forecast!$A:$A,$B$530,Prior_Forecast!$B:$B,$D$530)&gt;0,SUMIFS(Prior_Forecast!$H:$H,Prior_Forecast!$A:$A,$B$530,Prior_Forecast!$B:$B,$D$530),""))</f>
        <v/>
      </c>
      <c r="N535" s="37">
        <f>IF($B$530="","",IF(COUNTIFS(Prior_Forecast!$A:$A,$B$530,Prior_Forecast!$B:$B,$D$530)&gt;0,SUMIFS(Prior_Forecast!$I:$I,Prior_Forecast!$A:$A,$B$530,Prior_Forecast!$B:$B,$D$530),""))</f>
        <v/>
      </c>
      <c r="O535" s="37">
        <f>IF($B$530="","",IF(COUNTIFS(Prior_Forecast!$A:$A,$B$530,Prior_Forecast!$B:$B,$D$530)&gt;0,SUMIFS(Prior_Forecast!$J:$J,Prior_Forecast!$A:$A,$B$530,Prior_Forecast!$B:$B,$D$530),""))</f>
        <v/>
      </c>
      <c r="P535" s="37">
        <f>IF($B$530="","",IF(COUNTIFS(Prior_Forecast!$A:$A,$B$530,Prior_Forecast!$B:$B,$D$530)&gt;0,SUMIFS(Prior_Forecast!$K:$K,Prior_Forecast!$A:$A,$B$530,Prior_Forecast!$B:$B,$D$530),""))</f>
        <v/>
      </c>
      <c r="Q535" s="37">
        <f>IF($B$530="","",IF(COUNTIFS(Prior_Forecast!$A:$A,$B$530,Prior_Forecast!$B:$B,$D$530)&gt;0,SUMIFS(Prior_Forecast!$L:$L,Prior_Forecast!$A:$A,$B$530,Prior_Forecast!$B:$B,$D$530),""))</f>
        <v/>
      </c>
      <c r="R535" s="37">
        <f>IF($B$530="","",IF(COUNTIFS(Prior_Forecast!$A:$A,$B$530,Prior_Forecast!$B:$B,$D$530)&gt;0,SUMIFS(Prior_Forecast!$M:$M,Prior_Forecast!$A:$A,$B$530,Prior_Forecast!$B:$B,$D$530),""))</f>
        <v/>
      </c>
      <c r="S535" s="37">
        <f>IF($B$530="","",IF(COUNTIFS(Prior_Forecast!$A:$A,$B$530,Prior_Forecast!$B:$B,$D$530)&gt;0,SUMIFS(Prior_Forecast!$N:$N,Prior_Forecast!$A:$A,$B$530,Prior_Forecast!$B:$B,$D$530),""))</f>
        <v/>
      </c>
      <c r="T535" s="37">
        <f>IF($B$530="","",IF(COUNTIFS(Prior_Forecast!$A:$A,$B$530,Prior_Forecast!$B:$B,$D$530)&gt;0,SUMIFS(Prior_Forecast!$O:$O,Prior_Forecast!$A:$A,$B$530,Prior_Forecast!$B:$B,$D$530),""))</f>
        <v/>
      </c>
      <c r="U535" s="37">
        <f>IF($B$530="","",IF(COUNTIFS(Prior_Forecast!$A:$A,$B$530,Prior_Forecast!$B:$B,$D$530)&gt;0,SUMIFS(Prior_Forecast!$P:$P,Prior_Forecast!$A:$A,$B$530,Prior_Forecast!$B:$B,$D$530),""))</f>
        <v/>
      </c>
      <c r="V535" s="37">
        <f>IF($B$530="","",IF(COUNTIFS(Prior_Forecast!$A:$A,$B$530,Prior_Forecast!$B:$B,$D$530)&gt;0,SUMIFS(Prior_Forecast!$Q:$Q,Prior_Forecast!$A:$A,$B$530,Prior_Forecast!$B:$B,$D$530),""))</f>
        <v/>
      </c>
      <c r="X535" s="22">
        <f>IF($B535="","",IFERROR(INDEX(Cost_Centers!$E:$E,MATCH($B535,Cost_Centers!$A:$A,0)),"(unknown)"))</f>
        <v/>
      </c>
      <c r="Y535" s="22">
        <f>IF($B535="","",IFERROR(INDEX(Cost_Centers!$D:$D,MATCH($B535,Cost_Centers!$A:$A,0)),"(unknown)"))</f>
        <v/>
      </c>
      <c r="Z535" s="22">
        <f>IF(OR($B535="",$G535&lt;&gt;"Variance vs Budget"),"",ABS(N($V535))+ROW()/1000000000)</f>
        <v/>
      </c>
    </row>
    <row r="536">
      <c r="A536" s="13">
        <f>IF(A$530="","",A$530)</f>
        <v/>
      </c>
      <c r="B536" s="13">
        <f>IF(B$530="","",B$530)</f>
        <v/>
      </c>
      <c r="C536" s="13">
        <f>IF(C$530="","",C$530)</f>
        <v/>
      </c>
      <c r="D536" s="13">
        <f>IF(D$530="","",D$530)</f>
        <v/>
      </c>
      <c r="E536" s="13">
        <f>IF(E$530="","",E$530)</f>
        <v/>
      </c>
      <c r="F536" s="13">
        <f>IF(F$530="","",F$530)</f>
        <v/>
      </c>
      <c r="G536" s="6" t="inlineStr">
        <is>
          <t>Variance vs Prior Month</t>
        </is>
      </c>
      <c r="H536" s="33">
        <f>IF(OR($B$530="",H535=""),"",H534-H535)</f>
        <v/>
      </c>
      <c r="I536" s="33">
        <f>IF(OR($B$530="",I535=""),"",I534-I535)</f>
        <v/>
      </c>
      <c r="J536" s="33">
        <f>IF(OR($B$530="",J535=""),"",J534-J535)</f>
        <v/>
      </c>
      <c r="K536" s="33">
        <f>IF(OR($B$530="",K535=""),"",K534-K535)</f>
        <v/>
      </c>
      <c r="L536" s="33">
        <f>IF(OR($B$530="",L535=""),"",L534-L535)</f>
        <v/>
      </c>
      <c r="M536" s="33">
        <f>IF(OR($B$530="",M535=""),"",M534-M535)</f>
        <v/>
      </c>
      <c r="N536" s="33">
        <f>IF(OR($B$530="",N535=""),"",N534-N535)</f>
        <v/>
      </c>
      <c r="O536" s="33">
        <f>IF(OR($B$530="",O535=""),"",O534-O535)</f>
        <v/>
      </c>
      <c r="P536" s="33">
        <f>IF(OR($B$530="",P535=""),"",P534-P535)</f>
        <v/>
      </c>
      <c r="Q536" s="33">
        <f>IF(OR($B$530="",Q535=""),"",Q534-Q535)</f>
        <v/>
      </c>
      <c r="R536" s="33">
        <f>IF(OR($B$530="",R535=""),"",R534-R535)</f>
        <v/>
      </c>
      <c r="S536" s="33">
        <f>IF(OR($B$530="",S535=""),"",S534-S535)</f>
        <v/>
      </c>
      <c r="T536" s="33">
        <f>IF(OR($B$530="",T535=""),"",T534-T535)</f>
        <v/>
      </c>
      <c r="U536" s="33">
        <f>IF(OR($B$530="",U535=""),"",U534-U535)</f>
        <v/>
      </c>
      <c r="V536" s="33">
        <f>IF(OR($B$530="",V535=""),"",V534-V535)</f>
        <v/>
      </c>
      <c r="X536" s="22">
        <f>IF($B536="","",IFERROR(INDEX(Cost_Centers!$E:$E,MATCH($B536,Cost_Centers!$A:$A,0)),"(unknown)"))</f>
        <v/>
      </c>
      <c r="Y536" s="22">
        <f>IF($B536="","",IFERROR(INDEX(Cost_Centers!$D:$D,MATCH($B536,Cost_Centers!$A:$A,0)),"(unknown)"))</f>
        <v/>
      </c>
      <c r="Z536" s="22">
        <f>IF(OR($B536="",$G536&lt;&gt;"Variance vs Budget"),"",ABS(N($V536))+ROW()/1000000000)</f>
        <v/>
      </c>
    </row>
    <row r="537" ht="45" customHeight="1">
      <c r="A537" s="13">
        <f>IF(A$530="","",A$530)</f>
        <v/>
      </c>
      <c r="B537" s="13">
        <f>IF(B$530="","",B$530)</f>
        <v/>
      </c>
      <c r="C537" s="13">
        <f>IF(C$530="","",C$530)</f>
        <v/>
      </c>
      <c r="D537" s="13">
        <f>IF(D$530="","",D$530)</f>
        <v/>
      </c>
      <c r="E537" s="13">
        <f>IF(E$530="","",E$530)</f>
        <v/>
      </c>
      <c r="F537" s="13">
        <f>IF(F$530="","",F$530)</f>
        <v/>
      </c>
      <c r="G537" s="7" t="inlineStr">
        <is>
          <t>Rationale</t>
        </is>
      </c>
      <c r="H537" s="38" t="n"/>
      <c r="I537" s="38" t="n"/>
      <c r="J537" s="38" t="n"/>
      <c r="K537" s="38" t="n"/>
      <c r="L537" s="38" t="n"/>
      <c r="M537" s="38" t="n"/>
      <c r="N537" s="38" t="n"/>
      <c r="O537" s="38" t="n"/>
      <c r="P537" s="38" t="n"/>
      <c r="Q537" s="38" t="n"/>
      <c r="R537" s="38" t="n"/>
      <c r="S537" s="38" t="n"/>
      <c r="T537" s="38" t="n"/>
      <c r="U537" s="38" t="n"/>
      <c r="V537" s="7" t="n"/>
      <c r="X537" s="22">
        <f>IF($B537="","",IFERROR(INDEX(Cost_Centers!$E:$E,MATCH($B537,Cost_Centers!$A:$A,0)),"(unknown)"))</f>
        <v/>
      </c>
      <c r="Y537" s="22">
        <f>IF($B537="","",IFERROR(INDEX(Cost_Centers!$D:$D,MATCH($B537,Cost_Centers!$A:$A,0)),"(unknown)"))</f>
        <v/>
      </c>
      <c r="Z537" s="22">
        <f>IF(OR($B537="",$G537&lt;&gt;"Variance vs Budget"),"",ABS(N($V537))+ROW()/1000000000)</f>
        <v/>
      </c>
    </row>
    <row r="538">
      <c r="A538" s="30">
        <f>IF($D$538="","",LEFT($D$538,FIND("|",$D$538&amp;"|")-1))</f>
        <v/>
      </c>
      <c r="B538" s="31" t="n"/>
      <c r="C538" s="30">
        <f>IF($B$538="","",IFERROR(INDEX(Cost_Centers!$B:$B,MATCH($B$538,Cost_Centers!$A:$A,0)),"(not in master)"))</f>
        <v/>
      </c>
      <c r="D538" s="31" t="n"/>
      <c r="E538" s="30">
        <f>IF($D$538="","",IFERROR(INDEX(Accounts!$D:$D,MATCH($D$538,Accounts!$A:$A,0)),"(not in master)"))</f>
        <v/>
      </c>
      <c r="F538" s="31" t="n"/>
      <c r="G538" s="30" t="inlineStr">
        <is>
          <t>Budget</t>
        </is>
      </c>
      <c r="H538" s="32">
        <f>IF($B$538="","",SUMIFS(Opex_Budget!$O:$O,Opex_Budget!$A:$A,$C$3,Opex_Budget!$E:$E,$B$538,Opex_Budget!$F:$F,$D$538,Opex_Budget!$N:$N,"JPY")*$E$5+SUMIFS(Opex_Budget!$O:$O,Opex_Budget!$A:$A,$C$3,Opex_Budget!$E:$E,$B$538,Opex_Budget!$F:$F,$D$538,Opex_Budget!$N:$N,"USD")*$F$5+SUMIFS(Opex_Budget!$O:$O,Opex_Budget!$A:$A,$C$3,Opex_Budget!$E:$E,$B$538,Opex_Budget!$F:$F,$D$538,Opex_Budget!$N:$N,"EUR")*$G$5+SUMIFS(Opex_Budget!$O:$O,Opex_Budget!$A:$A,$C$3,Opex_Budget!$E:$E,$B$538,Opex_Budget!$F:$F,$D$538,Opex_Budget!$N:$N,"GBP")*$H$5)</f>
        <v/>
      </c>
      <c r="I538" s="32">
        <f>IF($B$538="","",SUMIFS(Opex_Budget!$P:$P,Opex_Budget!$A:$A,$C$3,Opex_Budget!$E:$E,$B$538,Opex_Budget!$F:$F,$D$538,Opex_Budget!$N:$N,"JPY")*$E$5+SUMIFS(Opex_Budget!$P:$P,Opex_Budget!$A:$A,$C$3,Opex_Budget!$E:$E,$B$538,Opex_Budget!$F:$F,$D$538,Opex_Budget!$N:$N,"USD")*$F$5+SUMIFS(Opex_Budget!$P:$P,Opex_Budget!$A:$A,$C$3,Opex_Budget!$E:$E,$B$538,Opex_Budget!$F:$F,$D$538,Opex_Budget!$N:$N,"EUR")*$G$5+SUMIFS(Opex_Budget!$P:$P,Opex_Budget!$A:$A,$C$3,Opex_Budget!$E:$E,$B$538,Opex_Budget!$F:$F,$D$538,Opex_Budget!$N:$N,"GBP")*$H$5)</f>
        <v/>
      </c>
      <c r="J538" s="32">
        <f>IF($B$538="","",SUMIFS(Opex_Budget!$Q:$Q,Opex_Budget!$A:$A,$C$3,Opex_Budget!$E:$E,$B$538,Opex_Budget!$F:$F,$D$538,Opex_Budget!$N:$N,"JPY")*$E$5+SUMIFS(Opex_Budget!$Q:$Q,Opex_Budget!$A:$A,$C$3,Opex_Budget!$E:$E,$B$538,Opex_Budget!$F:$F,$D$538,Opex_Budget!$N:$N,"USD")*$F$5+SUMIFS(Opex_Budget!$Q:$Q,Opex_Budget!$A:$A,$C$3,Opex_Budget!$E:$E,$B$538,Opex_Budget!$F:$F,$D$538,Opex_Budget!$N:$N,"EUR")*$G$5+SUMIFS(Opex_Budget!$Q:$Q,Opex_Budget!$A:$A,$C$3,Opex_Budget!$E:$E,$B$538,Opex_Budget!$F:$F,$D$538,Opex_Budget!$N:$N,"GBP")*$H$5)</f>
        <v/>
      </c>
      <c r="K538" s="32">
        <f>IF($B$538="","",SUMIFS(Opex_Budget!$R:$R,Opex_Budget!$A:$A,$C$3,Opex_Budget!$E:$E,$B$538,Opex_Budget!$F:$F,$D$538,Opex_Budget!$N:$N,"JPY")*$E$5+SUMIFS(Opex_Budget!$R:$R,Opex_Budget!$A:$A,$C$3,Opex_Budget!$E:$E,$B$538,Opex_Budget!$F:$F,$D$538,Opex_Budget!$N:$N,"USD")*$F$5+SUMIFS(Opex_Budget!$R:$R,Opex_Budget!$A:$A,$C$3,Opex_Budget!$E:$E,$B$538,Opex_Budget!$F:$F,$D$538,Opex_Budget!$N:$N,"EUR")*$G$5+SUMIFS(Opex_Budget!$R:$R,Opex_Budget!$A:$A,$C$3,Opex_Budget!$E:$E,$B$538,Opex_Budget!$F:$F,$D$538,Opex_Budget!$N:$N,"GBP")*$H$5)</f>
        <v/>
      </c>
      <c r="L538" s="32">
        <f>IF($B$538="","",SUMIFS(Opex_Budget!$S:$S,Opex_Budget!$A:$A,$C$3,Opex_Budget!$E:$E,$B$538,Opex_Budget!$F:$F,$D$538,Opex_Budget!$N:$N,"JPY")*$E$5+SUMIFS(Opex_Budget!$S:$S,Opex_Budget!$A:$A,$C$3,Opex_Budget!$E:$E,$B$538,Opex_Budget!$F:$F,$D$538,Opex_Budget!$N:$N,"USD")*$F$5+SUMIFS(Opex_Budget!$S:$S,Opex_Budget!$A:$A,$C$3,Opex_Budget!$E:$E,$B$538,Opex_Budget!$F:$F,$D$538,Opex_Budget!$N:$N,"EUR")*$G$5+SUMIFS(Opex_Budget!$S:$S,Opex_Budget!$A:$A,$C$3,Opex_Budget!$E:$E,$B$538,Opex_Budget!$F:$F,$D$538,Opex_Budget!$N:$N,"GBP")*$H$5)</f>
        <v/>
      </c>
      <c r="M538" s="32">
        <f>IF($B$538="","",SUMIFS(Opex_Budget!$T:$T,Opex_Budget!$A:$A,$C$3,Opex_Budget!$E:$E,$B$538,Opex_Budget!$F:$F,$D$538,Opex_Budget!$N:$N,"JPY")*$E$5+SUMIFS(Opex_Budget!$T:$T,Opex_Budget!$A:$A,$C$3,Opex_Budget!$E:$E,$B$538,Opex_Budget!$F:$F,$D$538,Opex_Budget!$N:$N,"USD")*$F$5+SUMIFS(Opex_Budget!$T:$T,Opex_Budget!$A:$A,$C$3,Opex_Budget!$E:$E,$B$538,Opex_Budget!$F:$F,$D$538,Opex_Budget!$N:$N,"EUR")*$G$5+SUMIFS(Opex_Budget!$T:$T,Opex_Budget!$A:$A,$C$3,Opex_Budget!$E:$E,$B$538,Opex_Budget!$F:$F,$D$538,Opex_Budget!$N:$N,"GBP")*$H$5)</f>
        <v/>
      </c>
      <c r="N538" s="32">
        <f>IF($B$538="","",SUMIFS(Opex_Budget!$U:$U,Opex_Budget!$A:$A,$C$3,Opex_Budget!$E:$E,$B$538,Opex_Budget!$F:$F,$D$538,Opex_Budget!$N:$N,"JPY")*$E$5+SUMIFS(Opex_Budget!$U:$U,Opex_Budget!$A:$A,$C$3,Opex_Budget!$E:$E,$B$538,Opex_Budget!$F:$F,$D$538,Opex_Budget!$N:$N,"USD")*$F$5+SUMIFS(Opex_Budget!$U:$U,Opex_Budget!$A:$A,$C$3,Opex_Budget!$E:$E,$B$538,Opex_Budget!$F:$F,$D$538,Opex_Budget!$N:$N,"EUR")*$G$5+SUMIFS(Opex_Budget!$U:$U,Opex_Budget!$A:$A,$C$3,Opex_Budget!$E:$E,$B$538,Opex_Budget!$F:$F,$D$538,Opex_Budget!$N:$N,"GBP")*$H$5)</f>
        <v/>
      </c>
      <c r="O538" s="32">
        <f>IF($B$538="","",SUMIFS(Opex_Budget!$V:$V,Opex_Budget!$A:$A,$C$3,Opex_Budget!$E:$E,$B$538,Opex_Budget!$F:$F,$D$538,Opex_Budget!$N:$N,"JPY")*$E$5+SUMIFS(Opex_Budget!$V:$V,Opex_Budget!$A:$A,$C$3,Opex_Budget!$E:$E,$B$538,Opex_Budget!$F:$F,$D$538,Opex_Budget!$N:$N,"USD")*$F$5+SUMIFS(Opex_Budget!$V:$V,Opex_Budget!$A:$A,$C$3,Opex_Budget!$E:$E,$B$538,Opex_Budget!$F:$F,$D$538,Opex_Budget!$N:$N,"EUR")*$G$5+SUMIFS(Opex_Budget!$V:$V,Opex_Budget!$A:$A,$C$3,Opex_Budget!$E:$E,$B$538,Opex_Budget!$F:$F,$D$538,Opex_Budget!$N:$N,"GBP")*$H$5)</f>
        <v/>
      </c>
      <c r="P538" s="32">
        <f>IF($B$538="","",SUMIFS(Opex_Budget!$W:$W,Opex_Budget!$A:$A,$C$3,Opex_Budget!$E:$E,$B$538,Opex_Budget!$F:$F,$D$538,Opex_Budget!$N:$N,"JPY")*$E$5+SUMIFS(Opex_Budget!$W:$W,Opex_Budget!$A:$A,$C$3,Opex_Budget!$E:$E,$B$538,Opex_Budget!$F:$F,$D$538,Opex_Budget!$N:$N,"USD")*$F$5+SUMIFS(Opex_Budget!$W:$W,Opex_Budget!$A:$A,$C$3,Opex_Budget!$E:$E,$B$538,Opex_Budget!$F:$F,$D$538,Opex_Budget!$N:$N,"EUR")*$G$5+SUMIFS(Opex_Budget!$W:$W,Opex_Budget!$A:$A,$C$3,Opex_Budget!$E:$E,$B$538,Opex_Budget!$F:$F,$D$538,Opex_Budget!$N:$N,"GBP")*$H$5)</f>
        <v/>
      </c>
      <c r="Q538" s="32">
        <f>IF($B$538="","",SUMIFS(Opex_Budget!$X:$X,Opex_Budget!$A:$A,$C$3,Opex_Budget!$E:$E,$B$538,Opex_Budget!$F:$F,$D$538,Opex_Budget!$N:$N,"JPY")*$E$5+SUMIFS(Opex_Budget!$X:$X,Opex_Budget!$A:$A,$C$3,Opex_Budget!$E:$E,$B$538,Opex_Budget!$F:$F,$D$538,Opex_Budget!$N:$N,"USD")*$F$5+SUMIFS(Opex_Budget!$X:$X,Opex_Budget!$A:$A,$C$3,Opex_Budget!$E:$E,$B$538,Opex_Budget!$F:$F,$D$538,Opex_Budget!$N:$N,"EUR")*$G$5+SUMIFS(Opex_Budget!$X:$X,Opex_Budget!$A:$A,$C$3,Opex_Budget!$E:$E,$B$538,Opex_Budget!$F:$F,$D$538,Opex_Budget!$N:$N,"GBP")*$H$5)</f>
        <v/>
      </c>
      <c r="R538" s="32">
        <f>IF($B$538="","",SUMIFS(Opex_Budget!$Y:$Y,Opex_Budget!$A:$A,$C$3,Opex_Budget!$E:$E,$B$538,Opex_Budget!$F:$F,$D$538,Opex_Budget!$N:$N,"JPY")*$E$5+SUMIFS(Opex_Budget!$Y:$Y,Opex_Budget!$A:$A,$C$3,Opex_Budget!$E:$E,$B$538,Opex_Budget!$F:$F,$D$538,Opex_Budget!$N:$N,"USD")*$F$5+SUMIFS(Opex_Budget!$Y:$Y,Opex_Budget!$A:$A,$C$3,Opex_Budget!$E:$E,$B$538,Opex_Budget!$F:$F,$D$538,Opex_Budget!$N:$N,"EUR")*$G$5+SUMIFS(Opex_Budget!$Y:$Y,Opex_Budget!$A:$A,$C$3,Opex_Budget!$E:$E,$B$538,Opex_Budget!$F:$F,$D$538,Opex_Budget!$N:$N,"GBP")*$H$5)</f>
        <v/>
      </c>
      <c r="S538" s="32">
        <f>IF($B$538="","",SUMIFS(Opex_Budget!$Z:$Z,Opex_Budget!$A:$A,$C$3,Opex_Budget!$E:$E,$B$538,Opex_Budget!$F:$F,$D$538,Opex_Budget!$N:$N,"JPY")*$E$5+SUMIFS(Opex_Budget!$Z:$Z,Opex_Budget!$A:$A,$C$3,Opex_Budget!$E:$E,$B$538,Opex_Budget!$F:$F,$D$538,Opex_Budget!$N:$N,"USD")*$F$5+SUMIFS(Opex_Budget!$Z:$Z,Opex_Budget!$A:$A,$C$3,Opex_Budget!$E:$E,$B$538,Opex_Budget!$F:$F,$D$538,Opex_Budget!$N:$N,"EUR")*$G$5+SUMIFS(Opex_Budget!$Z:$Z,Opex_Budget!$A:$A,$C$3,Opex_Budget!$E:$E,$B$538,Opex_Budget!$F:$F,$D$538,Opex_Budget!$N:$N,"GBP")*$H$5)</f>
        <v/>
      </c>
      <c r="T538" s="32">
        <f>IF($B$538="","",SUMIF($H$7:$S$7,"&lt;="&amp;$C$4,$H538:$S538))</f>
        <v/>
      </c>
      <c r="U538" s="32">
        <f>IF($B$538="","",SUMIF($H$7:$S$7,"&gt;"&amp;$C$4,$H538:$S538))</f>
        <v/>
      </c>
      <c r="V538" s="32">
        <f>IF($B$538="","",SUM($H538:$S538))</f>
        <v/>
      </c>
      <c r="X538" s="22">
        <f>IF($B538="","",IFERROR(INDEX(Cost_Centers!$E:$E,MATCH($B538,Cost_Centers!$A:$A,0)),"(unknown)"))</f>
        <v/>
      </c>
      <c r="Y538" s="22">
        <f>IF($B538="","",IFERROR(INDEX(Cost_Centers!$D:$D,MATCH($B538,Cost_Centers!$A:$A,0)),"(unknown)"))</f>
        <v/>
      </c>
      <c r="Z538" s="22">
        <f>IF(OR($B538="",$G538&lt;&gt;"Variance vs Budget"),"",ABS(N($V538))+ROW()/1000000000)</f>
        <v/>
      </c>
    </row>
    <row r="539">
      <c r="A539" s="13">
        <f>IF(A$538="","",A$538)</f>
        <v/>
      </c>
      <c r="B539" s="13">
        <f>IF(B$538="","",B$538)</f>
        <v/>
      </c>
      <c r="C539" s="13">
        <f>IF(C$538="","",C$538)</f>
        <v/>
      </c>
      <c r="D539" s="13">
        <f>IF(D$538="","",D$538)</f>
        <v/>
      </c>
      <c r="E539" s="13">
        <f>IF(E$538="","",E$538)</f>
        <v/>
      </c>
      <c r="F539" s="13">
        <f>IF(F$538="","",F$538)</f>
        <v/>
      </c>
      <c r="G539" s="7" t="inlineStr">
        <is>
          <t>Actual</t>
        </is>
      </c>
      <c r="H539" s="18">
        <f>IF(OR($B$538="",1&gt;$C$4),"",SUMIFS(Actuals!$G:$G,Actuals!$B:$B,$C$3,Actuals!$C:$C,1,Actuals!$D:$D,$B$538,Actuals!$A:$A,LEFT($D$538,FIND("|",$D$538&amp;"|")-1),Actuals!$E:$E,MID($D$538,FIND("|",$D$538&amp;"|")+1,50),Actuals!$F:$F,"JPY")*$E$5+SUMIFS(Actuals!$G:$G,Actuals!$B:$B,$C$3,Actuals!$C:$C,1,Actuals!$D:$D,$B$538,Actuals!$A:$A,LEFT($D$538,FIND("|",$D$538&amp;"|")-1),Actuals!$E:$E,MID($D$538,FIND("|",$D$538&amp;"|")+1,50),Actuals!$F:$F,"USD")*$F$5+SUMIFS(Actuals!$G:$G,Actuals!$B:$B,$C$3,Actuals!$C:$C,1,Actuals!$D:$D,$B$538,Actuals!$A:$A,LEFT($D$538,FIND("|",$D$538&amp;"|")-1),Actuals!$E:$E,MID($D$538,FIND("|",$D$538&amp;"|")+1,50),Actuals!$F:$F,"EUR")*$G$5+SUMIFS(Actuals!$G:$G,Actuals!$B:$B,$C$3,Actuals!$C:$C,1,Actuals!$D:$D,$B$538,Actuals!$A:$A,LEFT($D$538,FIND("|",$D$538&amp;"|")-1),Actuals!$E:$E,MID($D$538,FIND("|",$D$538&amp;"|")+1,50),Actuals!$F:$F,"GBP")*$H$5)</f>
        <v/>
      </c>
      <c r="I539" s="18">
        <f>IF(OR($B$538="",2&gt;$C$4),"",SUMIFS(Actuals!$G:$G,Actuals!$B:$B,$C$3,Actuals!$C:$C,2,Actuals!$D:$D,$B$538,Actuals!$A:$A,LEFT($D$538,FIND("|",$D$538&amp;"|")-1),Actuals!$E:$E,MID($D$538,FIND("|",$D$538&amp;"|")+1,50),Actuals!$F:$F,"JPY")*$E$5+SUMIFS(Actuals!$G:$G,Actuals!$B:$B,$C$3,Actuals!$C:$C,2,Actuals!$D:$D,$B$538,Actuals!$A:$A,LEFT($D$538,FIND("|",$D$538&amp;"|")-1),Actuals!$E:$E,MID($D$538,FIND("|",$D$538&amp;"|")+1,50),Actuals!$F:$F,"USD")*$F$5+SUMIFS(Actuals!$G:$G,Actuals!$B:$B,$C$3,Actuals!$C:$C,2,Actuals!$D:$D,$B$538,Actuals!$A:$A,LEFT($D$538,FIND("|",$D$538&amp;"|")-1),Actuals!$E:$E,MID($D$538,FIND("|",$D$538&amp;"|")+1,50),Actuals!$F:$F,"EUR")*$G$5+SUMIFS(Actuals!$G:$G,Actuals!$B:$B,$C$3,Actuals!$C:$C,2,Actuals!$D:$D,$B$538,Actuals!$A:$A,LEFT($D$538,FIND("|",$D$538&amp;"|")-1),Actuals!$E:$E,MID($D$538,FIND("|",$D$538&amp;"|")+1,50),Actuals!$F:$F,"GBP")*$H$5)</f>
        <v/>
      </c>
      <c r="J539" s="18">
        <f>IF(OR($B$538="",3&gt;$C$4),"",SUMIFS(Actuals!$G:$G,Actuals!$B:$B,$C$3,Actuals!$C:$C,3,Actuals!$D:$D,$B$538,Actuals!$A:$A,LEFT($D$538,FIND("|",$D$538&amp;"|")-1),Actuals!$E:$E,MID($D$538,FIND("|",$D$538&amp;"|")+1,50),Actuals!$F:$F,"JPY")*$E$5+SUMIFS(Actuals!$G:$G,Actuals!$B:$B,$C$3,Actuals!$C:$C,3,Actuals!$D:$D,$B$538,Actuals!$A:$A,LEFT($D$538,FIND("|",$D$538&amp;"|")-1),Actuals!$E:$E,MID($D$538,FIND("|",$D$538&amp;"|")+1,50),Actuals!$F:$F,"USD")*$F$5+SUMIFS(Actuals!$G:$G,Actuals!$B:$B,$C$3,Actuals!$C:$C,3,Actuals!$D:$D,$B$538,Actuals!$A:$A,LEFT($D$538,FIND("|",$D$538&amp;"|")-1),Actuals!$E:$E,MID($D$538,FIND("|",$D$538&amp;"|")+1,50),Actuals!$F:$F,"EUR")*$G$5+SUMIFS(Actuals!$G:$G,Actuals!$B:$B,$C$3,Actuals!$C:$C,3,Actuals!$D:$D,$B$538,Actuals!$A:$A,LEFT($D$538,FIND("|",$D$538&amp;"|")-1),Actuals!$E:$E,MID($D$538,FIND("|",$D$538&amp;"|")+1,50),Actuals!$F:$F,"GBP")*$H$5)</f>
        <v/>
      </c>
      <c r="K539" s="18">
        <f>IF(OR($B$538="",4&gt;$C$4),"",SUMIFS(Actuals!$G:$G,Actuals!$B:$B,$C$3,Actuals!$C:$C,4,Actuals!$D:$D,$B$538,Actuals!$A:$A,LEFT($D$538,FIND("|",$D$538&amp;"|")-1),Actuals!$E:$E,MID($D$538,FIND("|",$D$538&amp;"|")+1,50),Actuals!$F:$F,"JPY")*$E$5+SUMIFS(Actuals!$G:$G,Actuals!$B:$B,$C$3,Actuals!$C:$C,4,Actuals!$D:$D,$B$538,Actuals!$A:$A,LEFT($D$538,FIND("|",$D$538&amp;"|")-1),Actuals!$E:$E,MID($D$538,FIND("|",$D$538&amp;"|")+1,50),Actuals!$F:$F,"USD")*$F$5+SUMIFS(Actuals!$G:$G,Actuals!$B:$B,$C$3,Actuals!$C:$C,4,Actuals!$D:$D,$B$538,Actuals!$A:$A,LEFT($D$538,FIND("|",$D$538&amp;"|")-1),Actuals!$E:$E,MID($D$538,FIND("|",$D$538&amp;"|")+1,50),Actuals!$F:$F,"EUR")*$G$5+SUMIFS(Actuals!$G:$G,Actuals!$B:$B,$C$3,Actuals!$C:$C,4,Actuals!$D:$D,$B$538,Actuals!$A:$A,LEFT($D$538,FIND("|",$D$538&amp;"|")-1),Actuals!$E:$E,MID($D$538,FIND("|",$D$538&amp;"|")+1,50),Actuals!$F:$F,"GBP")*$H$5)</f>
        <v/>
      </c>
      <c r="L539" s="18">
        <f>IF(OR($B$538="",5&gt;$C$4),"",SUMIFS(Actuals!$G:$G,Actuals!$B:$B,$C$3,Actuals!$C:$C,5,Actuals!$D:$D,$B$538,Actuals!$A:$A,LEFT($D$538,FIND("|",$D$538&amp;"|")-1),Actuals!$E:$E,MID($D$538,FIND("|",$D$538&amp;"|")+1,50),Actuals!$F:$F,"JPY")*$E$5+SUMIFS(Actuals!$G:$G,Actuals!$B:$B,$C$3,Actuals!$C:$C,5,Actuals!$D:$D,$B$538,Actuals!$A:$A,LEFT($D$538,FIND("|",$D$538&amp;"|")-1),Actuals!$E:$E,MID($D$538,FIND("|",$D$538&amp;"|")+1,50),Actuals!$F:$F,"USD")*$F$5+SUMIFS(Actuals!$G:$G,Actuals!$B:$B,$C$3,Actuals!$C:$C,5,Actuals!$D:$D,$B$538,Actuals!$A:$A,LEFT($D$538,FIND("|",$D$538&amp;"|")-1),Actuals!$E:$E,MID($D$538,FIND("|",$D$538&amp;"|")+1,50),Actuals!$F:$F,"EUR")*$G$5+SUMIFS(Actuals!$G:$G,Actuals!$B:$B,$C$3,Actuals!$C:$C,5,Actuals!$D:$D,$B$538,Actuals!$A:$A,LEFT($D$538,FIND("|",$D$538&amp;"|")-1),Actuals!$E:$E,MID($D$538,FIND("|",$D$538&amp;"|")+1,50),Actuals!$F:$F,"GBP")*$H$5)</f>
        <v/>
      </c>
      <c r="M539" s="18">
        <f>IF(OR($B$538="",6&gt;$C$4),"",SUMIFS(Actuals!$G:$G,Actuals!$B:$B,$C$3,Actuals!$C:$C,6,Actuals!$D:$D,$B$538,Actuals!$A:$A,LEFT($D$538,FIND("|",$D$538&amp;"|")-1),Actuals!$E:$E,MID($D$538,FIND("|",$D$538&amp;"|")+1,50),Actuals!$F:$F,"JPY")*$E$5+SUMIFS(Actuals!$G:$G,Actuals!$B:$B,$C$3,Actuals!$C:$C,6,Actuals!$D:$D,$B$538,Actuals!$A:$A,LEFT($D$538,FIND("|",$D$538&amp;"|")-1),Actuals!$E:$E,MID($D$538,FIND("|",$D$538&amp;"|")+1,50),Actuals!$F:$F,"USD")*$F$5+SUMIFS(Actuals!$G:$G,Actuals!$B:$B,$C$3,Actuals!$C:$C,6,Actuals!$D:$D,$B$538,Actuals!$A:$A,LEFT($D$538,FIND("|",$D$538&amp;"|")-1),Actuals!$E:$E,MID($D$538,FIND("|",$D$538&amp;"|")+1,50),Actuals!$F:$F,"EUR")*$G$5+SUMIFS(Actuals!$G:$G,Actuals!$B:$B,$C$3,Actuals!$C:$C,6,Actuals!$D:$D,$B$538,Actuals!$A:$A,LEFT($D$538,FIND("|",$D$538&amp;"|")-1),Actuals!$E:$E,MID($D$538,FIND("|",$D$538&amp;"|")+1,50),Actuals!$F:$F,"GBP")*$H$5)</f>
        <v/>
      </c>
      <c r="N539" s="18">
        <f>IF(OR($B$538="",7&gt;$C$4),"",SUMIFS(Actuals!$G:$G,Actuals!$B:$B,$C$3,Actuals!$C:$C,7,Actuals!$D:$D,$B$538,Actuals!$A:$A,LEFT($D$538,FIND("|",$D$538&amp;"|")-1),Actuals!$E:$E,MID($D$538,FIND("|",$D$538&amp;"|")+1,50),Actuals!$F:$F,"JPY")*$E$5+SUMIFS(Actuals!$G:$G,Actuals!$B:$B,$C$3,Actuals!$C:$C,7,Actuals!$D:$D,$B$538,Actuals!$A:$A,LEFT($D$538,FIND("|",$D$538&amp;"|")-1),Actuals!$E:$E,MID($D$538,FIND("|",$D$538&amp;"|")+1,50),Actuals!$F:$F,"USD")*$F$5+SUMIFS(Actuals!$G:$G,Actuals!$B:$B,$C$3,Actuals!$C:$C,7,Actuals!$D:$D,$B$538,Actuals!$A:$A,LEFT($D$538,FIND("|",$D$538&amp;"|")-1),Actuals!$E:$E,MID($D$538,FIND("|",$D$538&amp;"|")+1,50),Actuals!$F:$F,"EUR")*$G$5+SUMIFS(Actuals!$G:$G,Actuals!$B:$B,$C$3,Actuals!$C:$C,7,Actuals!$D:$D,$B$538,Actuals!$A:$A,LEFT($D$538,FIND("|",$D$538&amp;"|")-1),Actuals!$E:$E,MID($D$538,FIND("|",$D$538&amp;"|")+1,50),Actuals!$F:$F,"GBP")*$H$5)</f>
        <v/>
      </c>
      <c r="O539" s="18">
        <f>IF(OR($B$538="",8&gt;$C$4),"",SUMIFS(Actuals!$G:$G,Actuals!$B:$B,$C$3,Actuals!$C:$C,8,Actuals!$D:$D,$B$538,Actuals!$A:$A,LEFT($D$538,FIND("|",$D$538&amp;"|")-1),Actuals!$E:$E,MID($D$538,FIND("|",$D$538&amp;"|")+1,50),Actuals!$F:$F,"JPY")*$E$5+SUMIFS(Actuals!$G:$G,Actuals!$B:$B,$C$3,Actuals!$C:$C,8,Actuals!$D:$D,$B$538,Actuals!$A:$A,LEFT($D$538,FIND("|",$D$538&amp;"|")-1),Actuals!$E:$E,MID($D$538,FIND("|",$D$538&amp;"|")+1,50),Actuals!$F:$F,"USD")*$F$5+SUMIFS(Actuals!$G:$G,Actuals!$B:$B,$C$3,Actuals!$C:$C,8,Actuals!$D:$D,$B$538,Actuals!$A:$A,LEFT($D$538,FIND("|",$D$538&amp;"|")-1),Actuals!$E:$E,MID($D$538,FIND("|",$D$538&amp;"|")+1,50),Actuals!$F:$F,"EUR")*$G$5+SUMIFS(Actuals!$G:$G,Actuals!$B:$B,$C$3,Actuals!$C:$C,8,Actuals!$D:$D,$B$538,Actuals!$A:$A,LEFT($D$538,FIND("|",$D$538&amp;"|")-1),Actuals!$E:$E,MID($D$538,FIND("|",$D$538&amp;"|")+1,50),Actuals!$F:$F,"GBP")*$H$5)</f>
        <v/>
      </c>
      <c r="P539" s="18">
        <f>IF(OR($B$538="",9&gt;$C$4),"",SUMIFS(Actuals!$G:$G,Actuals!$B:$B,$C$3,Actuals!$C:$C,9,Actuals!$D:$D,$B$538,Actuals!$A:$A,LEFT($D$538,FIND("|",$D$538&amp;"|")-1),Actuals!$E:$E,MID($D$538,FIND("|",$D$538&amp;"|")+1,50),Actuals!$F:$F,"JPY")*$E$5+SUMIFS(Actuals!$G:$G,Actuals!$B:$B,$C$3,Actuals!$C:$C,9,Actuals!$D:$D,$B$538,Actuals!$A:$A,LEFT($D$538,FIND("|",$D$538&amp;"|")-1),Actuals!$E:$E,MID($D$538,FIND("|",$D$538&amp;"|")+1,50),Actuals!$F:$F,"USD")*$F$5+SUMIFS(Actuals!$G:$G,Actuals!$B:$B,$C$3,Actuals!$C:$C,9,Actuals!$D:$D,$B$538,Actuals!$A:$A,LEFT($D$538,FIND("|",$D$538&amp;"|")-1),Actuals!$E:$E,MID($D$538,FIND("|",$D$538&amp;"|")+1,50),Actuals!$F:$F,"EUR")*$G$5+SUMIFS(Actuals!$G:$G,Actuals!$B:$B,$C$3,Actuals!$C:$C,9,Actuals!$D:$D,$B$538,Actuals!$A:$A,LEFT($D$538,FIND("|",$D$538&amp;"|")-1),Actuals!$E:$E,MID($D$538,FIND("|",$D$538&amp;"|")+1,50),Actuals!$F:$F,"GBP")*$H$5)</f>
        <v/>
      </c>
      <c r="Q539" s="18">
        <f>IF(OR($B$538="",10&gt;$C$4),"",SUMIFS(Actuals!$G:$G,Actuals!$B:$B,$C$3,Actuals!$C:$C,10,Actuals!$D:$D,$B$538,Actuals!$A:$A,LEFT($D$538,FIND("|",$D$538&amp;"|")-1),Actuals!$E:$E,MID($D$538,FIND("|",$D$538&amp;"|")+1,50),Actuals!$F:$F,"JPY")*$E$5+SUMIFS(Actuals!$G:$G,Actuals!$B:$B,$C$3,Actuals!$C:$C,10,Actuals!$D:$D,$B$538,Actuals!$A:$A,LEFT($D$538,FIND("|",$D$538&amp;"|")-1),Actuals!$E:$E,MID($D$538,FIND("|",$D$538&amp;"|")+1,50),Actuals!$F:$F,"USD")*$F$5+SUMIFS(Actuals!$G:$G,Actuals!$B:$B,$C$3,Actuals!$C:$C,10,Actuals!$D:$D,$B$538,Actuals!$A:$A,LEFT($D$538,FIND("|",$D$538&amp;"|")-1),Actuals!$E:$E,MID($D$538,FIND("|",$D$538&amp;"|")+1,50),Actuals!$F:$F,"EUR")*$G$5+SUMIFS(Actuals!$G:$G,Actuals!$B:$B,$C$3,Actuals!$C:$C,10,Actuals!$D:$D,$B$538,Actuals!$A:$A,LEFT($D$538,FIND("|",$D$538&amp;"|")-1),Actuals!$E:$E,MID($D$538,FIND("|",$D$538&amp;"|")+1,50),Actuals!$F:$F,"GBP")*$H$5)</f>
        <v/>
      </c>
      <c r="R539" s="18">
        <f>IF(OR($B$538="",11&gt;$C$4),"",SUMIFS(Actuals!$G:$G,Actuals!$B:$B,$C$3,Actuals!$C:$C,11,Actuals!$D:$D,$B$538,Actuals!$A:$A,LEFT($D$538,FIND("|",$D$538&amp;"|")-1),Actuals!$E:$E,MID($D$538,FIND("|",$D$538&amp;"|")+1,50),Actuals!$F:$F,"JPY")*$E$5+SUMIFS(Actuals!$G:$G,Actuals!$B:$B,$C$3,Actuals!$C:$C,11,Actuals!$D:$D,$B$538,Actuals!$A:$A,LEFT($D$538,FIND("|",$D$538&amp;"|")-1),Actuals!$E:$E,MID($D$538,FIND("|",$D$538&amp;"|")+1,50),Actuals!$F:$F,"USD")*$F$5+SUMIFS(Actuals!$G:$G,Actuals!$B:$B,$C$3,Actuals!$C:$C,11,Actuals!$D:$D,$B$538,Actuals!$A:$A,LEFT($D$538,FIND("|",$D$538&amp;"|")-1),Actuals!$E:$E,MID($D$538,FIND("|",$D$538&amp;"|")+1,50),Actuals!$F:$F,"EUR")*$G$5+SUMIFS(Actuals!$G:$G,Actuals!$B:$B,$C$3,Actuals!$C:$C,11,Actuals!$D:$D,$B$538,Actuals!$A:$A,LEFT($D$538,FIND("|",$D$538&amp;"|")-1),Actuals!$E:$E,MID($D$538,FIND("|",$D$538&amp;"|")+1,50),Actuals!$F:$F,"GBP")*$H$5)</f>
        <v/>
      </c>
      <c r="S539" s="18">
        <f>IF(OR($B$538="",12&gt;$C$4),"",SUMIFS(Actuals!$G:$G,Actuals!$B:$B,$C$3,Actuals!$C:$C,12,Actuals!$D:$D,$B$538,Actuals!$A:$A,LEFT($D$538,FIND("|",$D$538&amp;"|")-1),Actuals!$E:$E,MID($D$538,FIND("|",$D$538&amp;"|")+1,50),Actuals!$F:$F,"JPY")*$E$5+SUMIFS(Actuals!$G:$G,Actuals!$B:$B,$C$3,Actuals!$C:$C,12,Actuals!$D:$D,$B$538,Actuals!$A:$A,LEFT($D$538,FIND("|",$D$538&amp;"|")-1),Actuals!$E:$E,MID($D$538,FIND("|",$D$538&amp;"|")+1,50),Actuals!$F:$F,"USD")*$F$5+SUMIFS(Actuals!$G:$G,Actuals!$B:$B,$C$3,Actuals!$C:$C,12,Actuals!$D:$D,$B$538,Actuals!$A:$A,LEFT($D$538,FIND("|",$D$538&amp;"|")-1),Actuals!$E:$E,MID($D$538,FIND("|",$D$538&amp;"|")+1,50),Actuals!$F:$F,"EUR")*$G$5+SUMIFS(Actuals!$G:$G,Actuals!$B:$B,$C$3,Actuals!$C:$C,12,Actuals!$D:$D,$B$538,Actuals!$A:$A,LEFT($D$538,FIND("|",$D$538&amp;"|")-1),Actuals!$E:$E,MID($D$538,FIND("|",$D$538&amp;"|")+1,50),Actuals!$F:$F,"GBP")*$H$5)</f>
        <v/>
      </c>
      <c r="T539" s="18">
        <f>IF($B$538="","",SUMIF($H$7:$S$7,"&lt;="&amp;$C$4,$H539:$S539))</f>
        <v/>
      </c>
      <c r="U539" s="18" t="n"/>
      <c r="V539" s="18" t="n"/>
      <c r="X539" s="22">
        <f>IF($B539="","",IFERROR(INDEX(Cost_Centers!$E:$E,MATCH($B539,Cost_Centers!$A:$A,0)),"(unknown)"))</f>
        <v/>
      </c>
      <c r="Y539" s="22">
        <f>IF($B539="","",IFERROR(INDEX(Cost_Centers!$D:$D,MATCH($B539,Cost_Centers!$A:$A,0)),"(unknown)"))</f>
        <v/>
      </c>
      <c r="Z539" s="22">
        <f>IF(OR($B539="",$G539&lt;&gt;"Variance vs Budget"),"",ABS(N($V539))+ROW()/1000000000)</f>
        <v/>
      </c>
    </row>
    <row r="540">
      <c r="A540" s="13">
        <f>IF(A$538="","",A$538)</f>
        <v/>
      </c>
      <c r="B540" s="13">
        <f>IF(B$538="","",B$538)</f>
        <v/>
      </c>
      <c r="C540" s="13">
        <f>IF(C$538="","",C$538)</f>
        <v/>
      </c>
      <c r="D540" s="13">
        <f>IF(D$538="","",D$538)</f>
        <v/>
      </c>
      <c r="E540" s="13">
        <f>IF(E$538="","",E$538)</f>
        <v/>
      </c>
      <c r="F540" s="13">
        <f>IF(F$538="","",F$538)</f>
        <v/>
      </c>
      <c r="G540" s="6" t="inlineStr">
        <is>
          <t>Variance vs Budget</t>
        </is>
      </c>
      <c r="H540" s="33">
        <f>IF(OR($B$538="",1&gt;$C$4),"",N(H539)-H538)</f>
        <v/>
      </c>
      <c r="I540" s="33">
        <f>IF(OR($B$538="",2&gt;$C$4),"",N(I539)-I538)</f>
        <v/>
      </c>
      <c r="J540" s="33">
        <f>IF(OR($B$538="",3&gt;$C$4),"",N(J539)-J538)</f>
        <v/>
      </c>
      <c r="K540" s="33">
        <f>IF(OR($B$538="",4&gt;$C$4),"",N(K539)-K538)</f>
        <v/>
      </c>
      <c r="L540" s="33">
        <f>IF(OR($B$538="",5&gt;$C$4),"",N(L539)-L538)</f>
        <v/>
      </c>
      <c r="M540" s="33">
        <f>IF(OR($B$538="",6&gt;$C$4),"",N(M539)-M538)</f>
        <v/>
      </c>
      <c r="N540" s="33">
        <f>IF(OR($B$538="",7&gt;$C$4),"",N(N539)-N538)</f>
        <v/>
      </c>
      <c r="O540" s="33">
        <f>IF(OR($B$538="",8&gt;$C$4),"",N(O539)-O538)</f>
        <v/>
      </c>
      <c r="P540" s="33">
        <f>IF(OR($B$538="",9&gt;$C$4),"",N(P539)-P538)</f>
        <v/>
      </c>
      <c r="Q540" s="33">
        <f>IF(OR($B$538="",10&gt;$C$4),"",N(Q539)-Q538)</f>
        <v/>
      </c>
      <c r="R540" s="33">
        <f>IF(OR($B$538="",11&gt;$C$4),"",N(R539)-R538)</f>
        <v/>
      </c>
      <c r="S540" s="33">
        <f>IF(OR($B$538="",12&gt;$C$4),"",N(S539)-S538)</f>
        <v/>
      </c>
      <c r="T540" s="33">
        <f>IF($B$538="","",T539-T538)</f>
        <v/>
      </c>
      <c r="U540" s="33">
        <f>IF($B$538="","",U542-U538)</f>
        <v/>
      </c>
      <c r="V540" s="33">
        <f>IF($B$538="","",V542-V538)</f>
        <v/>
      </c>
      <c r="X540" s="22">
        <f>IF($B540="","",IFERROR(INDEX(Cost_Centers!$E:$E,MATCH($B540,Cost_Centers!$A:$A,0)),"(unknown)"))</f>
        <v/>
      </c>
      <c r="Y540" s="22">
        <f>IF($B540="","",IFERROR(INDEX(Cost_Centers!$D:$D,MATCH($B540,Cost_Centers!$A:$A,0)),"(unknown)"))</f>
        <v/>
      </c>
      <c r="Z540" s="22">
        <f>IF(OR($B540="",$G540&lt;&gt;"Variance vs Budget"),"",ABS(N($V540))+ROW()/1000000000)</f>
        <v/>
      </c>
    </row>
    <row r="541">
      <c r="A541" s="13">
        <f>IF(A$538="","",A$538)</f>
        <v/>
      </c>
      <c r="B541" s="13">
        <f>IF(B$538="","",B$538)</f>
        <v/>
      </c>
      <c r="C541" s="13">
        <f>IF(C$538="","",C$538)</f>
        <v/>
      </c>
      <c r="D541" s="13">
        <f>IF(D$538="","",D$538)</f>
        <v/>
      </c>
      <c r="E541" s="13">
        <f>IF(E$538="","",E$538)</f>
        <v/>
      </c>
      <c r="F541" s="13">
        <f>IF(F$538="","",F$538)</f>
        <v/>
      </c>
      <c r="G541" s="7" t="inlineStr">
        <is>
          <t>Forecast (input)</t>
        </is>
      </c>
      <c r="H541" s="34" t="n"/>
      <c r="I541" s="34" t="n"/>
      <c r="J541" s="34" t="n"/>
      <c r="K541" s="34" t="n"/>
      <c r="L541" s="34" t="n"/>
      <c r="M541" s="34" t="n"/>
      <c r="N541" s="34" t="n"/>
      <c r="O541" s="34" t="n"/>
      <c r="P541" s="34" t="n"/>
      <c r="Q541" s="34" t="n"/>
      <c r="R541" s="34" t="n"/>
      <c r="S541" s="34" t="n"/>
      <c r="T541" s="18" t="n"/>
      <c r="U541" s="18" t="n"/>
      <c r="V541" s="18" t="n"/>
      <c r="X541" s="22">
        <f>IF($B541="","",IFERROR(INDEX(Cost_Centers!$E:$E,MATCH($B541,Cost_Centers!$A:$A,0)),"(unknown)"))</f>
        <v/>
      </c>
      <c r="Y541" s="22">
        <f>IF($B541="","",IFERROR(INDEX(Cost_Centers!$D:$D,MATCH($B541,Cost_Centers!$A:$A,0)),"(unknown)"))</f>
        <v/>
      </c>
      <c r="Z541" s="22">
        <f>IF(OR($B541="",$G541&lt;&gt;"Variance vs Budget"),"",ABS(N($V541))+ROW()/1000000000)</f>
        <v/>
      </c>
    </row>
    <row r="542">
      <c r="A542" s="13">
        <f>IF(A$538="","",A$538)</f>
        <v/>
      </c>
      <c r="B542" s="13">
        <f>IF(B$538="","",B$538)</f>
        <v/>
      </c>
      <c r="C542" s="13">
        <f>IF(C$538="","",C$538)</f>
        <v/>
      </c>
      <c r="D542" s="13">
        <f>IF(D$538="","",D$538)</f>
        <v/>
      </c>
      <c r="E542" s="13">
        <f>IF(E$538="","",E$538)</f>
        <v/>
      </c>
      <c r="F542" s="13">
        <f>IF(F$538="","",F$538)</f>
        <v/>
      </c>
      <c r="G542" s="35" t="inlineStr">
        <is>
          <t>Actual + Forecast</t>
        </is>
      </c>
      <c r="H542" s="18">
        <f>IF($B$538="","",IF(1&lt;=$C$4,N(H539),IF(H541="",H538,H541)))</f>
        <v/>
      </c>
      <c r="I542" s="18">
        <f>IF($B$538="","",IF(2&lt;=$C$4,N(I539),IF(I541="",I538,I541)))</f>
        <v/>
      </c>
      <c r="J542" s="18">
        <f>IF($B$538="","",IF(3&lt;=$C$4,N(J539),IF(J541="",J538,J541)))</f>
        <v/>
      </c>
      <c r="K542" s="18">
        <f>IF($B$538="","",IF(4&lt;=$C$4,N(K539),IF(K541="",K538,K541)))</f>
        <v/>
      </c>
      <c r="L542" s="18">
        <f>IF($B$538="","",IF(5&lt;=$C$4,N(L539),IF(L541="",L538,L541)))</f>
        <v/>
      </c>
      <c r="M542" s="18">
        <f>IF($B$538="","",IF(6&lt;=$C$4,N(M539),IF(M541="",M538,M541)))</f>
        <v/>
      </c>
      <c r="N542" s="18">
        <f>IF($B$538="","",IF(7&lt;=$C$4,N(N539),IF(N541="",N538,N541)))</f>
        <v/>
      </c>
      <c r="O542" s="18">
        <f>IF($B$538="","",IF(8&lt;=$C$4,N(O539),IF(O541="",O538,O541)))</f>
        <v/>
      </c>
      <c r="P542" s="18">
        <f>IF($B$538="","",IF(9&lt;=$C$4,N(P539),IF(P541="",P538,P541)))</f>
        <v/>
      </c>
      <c r="Q542" s="18">
        <f>IF($B$538="","",IF(10&lt;=$C$4,N(Q539),IF(Q541="",Q538,Q541)))</f>
        <v/>
      </c>
      <c r="R542" s="18">
        <f>IF($B$538="","",IF(11&lt;=$C$4,N(R539),IF(R541="",R538,R541)))</f>
        <v/>
      </c>
      <c r="S542" s="18">
        <f>IF($B$538="","",IF(12&lt;=$C$4,N(S539),IF(S541="",S538,S541)))</f>
        <v/>
      </c>
      <c r="T542" s="18">
        <f>IF($B$538="","",SUMIF($H$7:$S$7,"&lt;="&amp;$C$4,$H542:$S542))</f>
        <v/>
      </c>
      <c r="U542" s="18">
        <f>IF($B$538="","",SUMIF($H$7:$S$7,"&gt;"&amp;$C$4,$H542:$S542))</f>
        <v/>
      </c>
      <c r="V542" s="18">
        <f>IF($B$538="","",SUM($H542:$S542))</f>
        <v/>
      </c>
      <c r="X542" s="22">
        <f>IF($B542="","",IFERROR(INDEX(Cost_Centers!$E:$E,MATCH($B542,Cost_Centers!$A:$A,0)),"(unknown)"))</f>
        <v/>
      </c>
      <c r="Y542" s="22">
        <f>IF($B542="","",IFERROR(INDEX(Cost_Centers!$D:$D,MATCH($B542,Cost_Centers!$A:$A,0)),"(unknown)"))</f>
        <v/>
      </c>
      <c r="Z542" s="22">
        <f>IF(OR($B542="",$G542&lt;&gt;"Variance vs Budget"),"",ABS(N($V542))+ROW()/1000000000)</f>
        <v/>
      </c>
    </row>
    <row r="543">
      <c r="A543" s="13">
        <f>IF(A$538="","",A$538)</f>
        <v/>
      </c>
      <c r="B543" s="13">
        <f>IF(B$538="","",B$538)</f>
        <v/>
      </c>
      <c r="C543" s="13">
        <f>IF(C$538="","",C$538)</f>
        <v/>
      </c>
      <c r="D543" s="13">
        <f>IF(D$538="","",D$538)</f>
        <v/>
      </c>
      <c r="E543" s="13">
        <f>IF(E$538="","",E$538)</f>
        <v/>
      </c>
      <c r="F543" s="13">
        <f>IF(F$538="","",F$538)</f>
        <v/>
      </c>
      <c r="G543" s="36" t="inlineStr">
        <is>
          <t>Prior Month Forecast</t>
        </is>
      </c>
      <c r="H543" s="37">
        <f>IF($B$538="","",IF(COUNTIFS(Prior_Forecast!$A:$A,$B$538,Prior_Forecast!$B:$B,$D$538)&gt;0,SUMIFS(Prior_Forecast!$C:$C,Prior_Forecast!$A:$A,$B$538,Prior_Forecast!$B:$B,$D$538),""))</f>
        <v/>
      </c>
      <c r="I543" s="37">
        <f>IF($B$538="","",IF(COUNTIFS(Prior_Forecast!$A:$A,$B$538,Prior_Forecast!$B:$B,$D$538)&gt;0,SUMIFS(Prior_Forecast!$D:$D,Prior_Forecast!$A:$A,$B$538,Prior_Forecast!$B:$B,$D$538),""))</f>
        <v/>
      </c>
      <c r="J543" s="37">
        <f>IF($B$538="","",IF(COUNTIFS(Prior_Forecast!$A:$A,$B$538,Prior_Forecast!$B:$B,$D$538)&gt;0,SUMIFS(Prior_Forecast!$E:$E,Prior_Forecast!$A:$A,$B$538,Prior_Forecast!$B:$B,$D$538),""))</f>
        <v/>
      </c>
      <c r="K543" s="37">
        <f>IF($B$538="","",IF(COUNTIFS(Prior_Forecast!$A:$A,$B$538,Prior_Forecast!$B:$B,$D$538)&gt;0,SUMIFS(Prior_Forecast!$F:$F,Prior_Forecast!$A:$A,$B$538,Prior_Forecast!$B:$B,$D$538),""))</f>
        <v/>
      </c>
      <c r="L543" s="37">
        <f>IF($B$538="","",IF(COUNTIFS(Prior_Forecast!$A:$A,$B$538,Prior_Forecast!$B:$B,$D$538)&gt;0,SUMIFS(Prior_Forecast!$G:$G,Prior_Forecast!$A:$A,$B$538,Prior_Forecast!$B:$B,$D$538),""))</f>
        <v/>
      </c>
      <c r="M543" s="37">
        <f>IF($B$538="","",IF(COUNTIFS(Prior_Forecast!$A:$A,$B$538,Prior_Forecast!$B:$B,$D$538)&gt;0,SUMIFS(Prior_Forecast!$H:$H,Prior_Forecast!$A:$A,$B$538,Prior_Forecast!$B:$B,$D$538),""))</f>
        <v/>
      </c>
      <c r="N543" s="37">
        <f>IF($B$538="","",IF(COUNTIFS(Prior_Forecast!$A:$A,$B$538,Prior_Forecast!$B:$B,$D$538)&gt;0,SUMIFS(Prior_Forecast!$I:$I,Prior_Forecast!$A:$A,$B$538,Prior_Forecast!$B:$B,$D$538),""))</f>
        <v/>
      </c>
      <c r="O543" s="37">
        <f>IF($B$538="","",IF(COUNTIFS(Prior_Forecast!$A:$A,$B$538,Prior_Forecast!$B:$B,$D$538)&gt;0,SUMIFS(Prior_Forecast!$J:$J,Prior_Forecast!$A:$A,$B$538,Prior_Forecast!$B:$B,$D$538),""))</f>
        <v/>
      </c>
      <c r="P543" s="37">
        <f>IF($B$538="","",IF(COUNTIFS(Prior_Forecast!$A:$A,$B$538,Prior_Forecast!$B:$B,$D$538)&gt;0,SUMIFS(Prior_Forecast!$K:$K,Prior_Forecast!$A:$A,$B$538,Prior_Forecast!$B:$B,$D$538),""))</f>
        <v/>
      </c>
      <c r="Q543" s="37">
        <f>IF($B$538="","",IF(COUNTIFS(Prior_Forecast!$A:$A,$B$538,Prior_Forecast!$B:$B,$D$538)&gt;0,SUMIFS(Prior_Forecast!$L:$L,Prior_Forecast!$A:$A,$B$538,Prior_Forecast!$B:$B,$D$538),""))</f>
        <v/>
      </c>
      <c r="R543" s="37">
        <f>IF($B$538="","",IF(COUNTIFS(Prior_Forecast!$A:$A,$B$538,Prior_Forecast!$B:$B,$D$538)&gt;0,SUMIFS(Prior_Forecast!$M:$M,Prior_Forecast!$A:$A,$B$538,Prior_Forecast!$B:$B,$D$538),""))</f>
        <v/>
      </c>
      <c r="S543" s="37">
        <f>IF($B$538="","",IF(COUNTIFS(Prior_Forecast!$A:$A,$B$538,Prior_Forecast!$B:$B,$D$538)&gt;0,SUMIFS(Prior_Forecast!$N:$N,Prior_Forecast!$A:$A,$B$538,Prior_Forecast!$B:$B,$D$538),""))</f>
        <v/>
      </c>
      <c r="T543" s="37">
        <f>IF($B$538="","",IF(COUNTIFS(Prior_Forecast!$A:$A,$B$538,Prior_Forecast!$B:$B,$D$538)&gt;0,SUMIFS(Prior_Forecast!$O:$O,Prior_Forecast!$A:$A,$B$538,Prior_Forecast!$B:$B,$D$538),""))</f>
        <v/>
      </c>
      <c r="U543" s="37">
        <f>IF($B$538="","",IF(COUNTIFS(Prior_Forecast!$A:$A,$B$538,Prior_Forecast!$B:$B,$D$538)&gt;0,SUMIFS(Prior_Forecast!$P:$P,Prior_Forecast!$A:$A,$B$538,Prior_Forecast!$B:$B,$D$538),""))</f>
        <v/>
      </c>
      <c r="V543" s="37">
        <f>IF($B$538="","",IF(COUNTIFS(Prior_Forecast!$A:$A,$B$538,Prior_Forecast!$B:$B,$D$538)&gt;0,SUMIFS(Prior_Forecast!$Q:$Q,Prior_Forecast!$A:$A,$B$538,Prior_Forecast!$B:$B,$D$538),""))</f>
        <v/>
      </c>
      <c r="X543" s="22">
        <f>IF($B543="","",IFERROR(INDEX(Cost_Centers!$E:$E,MATCH($B543,Cost_Centers!$A:$A,0)),"(unknown)"))</f>
        <v/>
      </c>
      <c r="Y543" s="22">
        <f>IF($B543="","",IFERROR(INDEX(Cost_Centers!$D:$D,MATCH($B543,Cost_Centers!$A:$A,0)),"(unknown)"))</f>
        <v/>
      </c>
      <c r="Z543" s="22">
        <f>IF(OR($B543="",$G543&lt;&gt;"Variance vs Budget"),"",ABS(N($V543))+ROW()/1000000000)</f>
        <v/>
      </c>
    </row>
    <row r="544">
      <c r="A544" s="13">
        <f>IF(A$538="","",A$538)</f>
        <v/>
      </c>
      <c r="B544" s="13">
        <f>IF(B$538="","",B$538)</f>
        <v/>
      </c>
      <c r="C544" s="13">
        <f>IF(C$538="","",C$538)</f>
        <v/>
      </c>
      <c r="D544" s="13">
        <f>IF(D$538="","",D$538)</f>
        <v/>
      </c>
      <c r="E544" s="13">
        <f>IF(E$538="","",E$538)</f>
        <v/>
      </c>
      <c r="F544" s="13">
        <f>IF(F$538="","",F$538)</f>
        <v/>
      </c>
      <c r="G544" s="6" t="inlineStr">
        <is>
          <t>Variance vs Prior Month</t>
        </is>
      </c>
      <c r="H544" s="33">
        <f>IF(OR($B$538="",H543=""),"",H542-H543)</f>
        <v/>
      </c>
      <c r="I544" s="33">
        <f>IF(OR($B$538="",I543=""),"",I542-I543)</f>
        <v/>
      </c>
      <c r="J544" s="33">
        <f>IF(OR($B$538="",J543=""),"",J542-J543)</f>
        <v/>
      </c>
      <c r="K544" s="33">
        <f>IF(OR($B$538="",K543=""),"",K542-K543)</f>
        <v/>
      </c>
      <c r="L544" s="33">
        <f>IF(OR($B$538="",L543=""),"",L542-L543)</f>
        <v/>
      </c>
      <c r="M544" s="33">
        <f>IF(OR($B$538="",M543=""),"",M542-M543)</f>
        <v/>
      </c>
      <c r="N544" s="33">
        <f>IF(OR($B$538="",N543=""),"",N542-N543)</f>
        <v/>
      </c>
      <c r="O544" s="33">
        <f>IF(OR($B$538="",O543=""),"",O542-O543)</f>
        <v/>
      </c>
      <c r="P544" s="33">
        <f>IF(OR($B$538="",P543=""),"",P542-P543)</f>
        <v/>
      </c>
      <c r="Q544" s="33">
        <f>IF(OR($B$538="",Q543=""),"",Q542-Q543)</f>
        <v/>
      </c>
      <c r="R544" s="33">
        <f>IF(OR($B$538="",R543=""),"",R542-R543)</f>
        <v/>
      </c>
      <c r="S544" s="33">
        <f>IF(OR($B$538="",S543=""),"",S542-S543)</f>
        <v/>
      </c>
      <c r="T544" s="33">
        <f>IF(OR($B$538="",T543=""),"",T542-T543)</f>
        <v/>
      </c>
      <c r="U544" s="33">
        <f>IF(OR($B$538="",U543=""),"",U542-U543)</f>
        <v/>
      </c>
      <c r="V544" s="33">
        <f>IF(OR($B$538="",V543=""),"",V542-V543)</f>
        <v/>
      </c>
      <c r="X544" s="22">
        <f>IF($B544="","",IFERROR(INDEX(Cost_Centers!$E:$E,MATCH($B544,Cost_Centers!$A:$A,0)),"(unknown)"))</f>
        <v/>
      </c>
      <c r="Y544" s="22">
        <f>IF($B544="","",IFERROR(INDEX(Cost_Centers!$D:$D,MATCH($B544,Cost_Centers!$A:$A,0)),"(unknown)"))</f>
        <v/>
      </c>
      <c r="Z544" s="22">
        <f>IF(OR($B544="",$G544&lt;&gt;"Variance vs Budget"),"",ABS(N($V544))+ROW()/1000000000)</f>
        <v/>
      </c>
    </row>
    <row r="545" ht="45" customHeight="1">
      <c r="A545" s="13">
        <f>IF(A$538="","",A$538)</f>
        <v/>
      </c>
      <c r="B545" s="13">
        <f>IF(B$538="","",B$538)</f>
        <v/>
      </c>
      <c r="C545" s="13">
        <f>IF(C$538="","",C$538)</f>
        <v/>
      </c>
      <c r="D545" s="13">
        <f>IF(D$538="","",D$538)</f>
        <v/>
      </c>
      <c r="E545" s="13">
        <f>IF(E$538="","",E$538)</f>
        <v/>
      </c>
      <c r="F545" s="13">
        <f>IF(F$538="","",F$538)</f>
        <v/>
      </c>
      <c r="G545" s="7" t="inlineStr">
        <is>
          <t>Rationale</t>
        </is>
      </c>
      <c r="H545" s="38" t="n"/>
      <c r="I545" s="38" t="n"/>
      <c r="J545" s="38" t="n"/>
      <c r="K545" s="38" t="n"/>
      <c r="L545" s="38" t="n"/>
      <c r="M545" s="38" t="n"/>
      <c r="N545" s="38" t="n"/>
      <c r="O545" s="38" t="n"/>
      <c r="P545" s="38" t="n"/>
      <c r="Q545" s="38" t="n"/>
      <c r="R545" s="38" t="n"/>
      <c r="S545" s="38" t="n"/>
      <c r="T545" s="38" t="n"/>
      <c r="U545" s="38" t="n"/>
      <c r="V545" s="7" t="n"/>
      <c r="X545" s="22">
        <f>IF($B545="","",IFERROR(INDEX(Cost_Centers!$E:$E,MATCH($B545,Cost_Centers!$A:$A,0)),"(unknown)"))</f>
        <v/>
      </c>
      <c r="Y545" s="22">
        <f>IF($B545="","",IFERROR(INDEX(Cost_Centers!$D:$D,MATCH($B545,Cost_Centers!$A:$A,0)),"(unknown)"))</f>
        <v/>
      </c>
      <c r="Z545" s="22">
        <f>IF(OR($B545="",$G545&lt;&gt;"Variance vs Budget"),"",ABS(N($V545))+ROW()/1000000000)</f>
        <v/>
      </c>
    </row>
    <row r="546">
      <c r="A546" s="30">
        <f>IF($D$546="","",LEFT($D$546,FIND("|",$D$546&amp;"|")-1))</f>
        <v/>
      </c>
      <c r="B546" s="31" t="n"/>
      <c r="C546" s="30">
        <f>IF($B$546="","",IFERROR(INDEX(Cost_Centers!$B:$B,MATCH($B$546,Cost_Centers!$A:$A,0)),"(not in master)"))</f>
        <v/>
      </c>
      <c r="D546" s="31" t="n"/>
      <c r="E546" s="30">
        <f>IF($D$546="","",IFERROR(INDEX(Accounts!$D:$D,MATCH($D$546,Accounts!$A:$A,0)),"(not in master)"))</f>
        <v/>
      </c>
      <c r="F546" s="31" t="n"/>
      <c r="G546" s="30" t="inlineStr">
        <is>
          <t>Budget</t>
        </is>
      </c>
      <c r="H546" s="32">
        <f>IF($B$546="","",SUMIFS(Opex_Budget!$O:$O,Opex_Budget!$A:$A,$C$3,Opex_Budget!$E:$E,$B$546,Opex_Budget!$F:$F,$D$546,Opex_Budget!$N:$N,"JPY")*$E$5+SUMIFS(Opex_Budget!$O:$O,Opex_Budget!$A:$A,$C$3,Opex_Budget!$E:$E,$B$546,Opex_Budget!$F:$F,$D$546,Opex_Budget!$N:$N,"USD")*$F$5+SUMIFS(Opex_Budget!$O:$O,Opex_Budget!$A:$A,$C$3,Opex_Budget!$E:$E,$B$546,Opex_Budget!$F:$F,$D$546,Opex_Budget!$N:$N,"EUR")*$G$5+SUMIFS(Opex_Budget!$O:$O,Opex_Budget!$A:$A,$C$3,Opex_Budget!$E:$E,$B$546,Opex_Budget!$F:$F,$D$546,Opex_Budget!$N:$N,"GBP")*$H$5)</f>
        <v/>
      </c>
      <c r="I546" s="32">
        <f>IF($B$546="","",SUMIFS(Opex_Budget!$P:$P,Opex_Budget!$A:$A,$C$3,Opex_Budget!$E:$E,$B$546,Opex_Budget!$F:$F,$D$546,Opex_Budget!$N:$N,"JPY")*$E$5+SUMIFS(Opex_Budget!$P:$P,Opex_Budget!$A:$A,$C$3,Opex_Budget!$E:$E,$B$546,Opex_Budget!$F:$F,$D$546,Opex_Budget!$N:$N,"USD")*$F$5+SUMIFS(Opex_Budget!$P:$P,Opex_Budget!$A:$A,$C$3,Opex_Budget!$E:$E,$B$546,Opex_Budget!$F:$F,$D$546,Opex_Budget!$N:$N,"EUR")*$G$5+SUMIFS(Opex_Budget!$P:$P,Opex_Budget!$A:$A,$C$3,Opex_Budget!$E:$E,$B$546,Opex_Budget!$F:$F,$D$546,Opex_Budget!$N:$N,"GBP")*$H$5)</f>
        <v/>
      </c>
      <c r="J546" s="32">
        <f>IF($B$546="","",SUMIFS(Opex_Budget!$Q:$Q,Opex_Budget!$A:$A,$C$3,Opex_Budget!$E:$E,$B$546,Opex_Budget!$F:$F,$D$546,Opex_Budget!$N:$N,"JPY")*$E$5+SUMIFS(Opex_Budget!$Q:$Q,Opex_Budget!$A:$A,$C$3,Opex_Budget!$E:$E,$B$546,Opex_Budget!$F:$F,$D$546,Opex_Budget!$N:$N,"USD")*$F$5+SUMIFS(Opex_Budget!$Q:$Q,Opex_Budget!$A:$A,$C$3,Opex_Budget!$E:$E,$B$546,Opex_Budget!$F:$F,$D$546,Opex_Budget!$N:$N,"EUR")*$G$5+SUMIFS(Opex_Budget!$Q:$Q,Opex_Budget!$A:$A,$C$3,Opex_Budget!$E:$E,$B$546,Opex_Budget!$F:$F,$D$546,Opex_Budget!$N:$N,"GBP")*$H$5)</f>
        <v/>
      </c>
      <c r="K546" s="32">
        <f>IF($B$546="","",SUMIFS(Opex_Budget!$R:$R,Opex_Budget!$A:$A,$C$3,Opex_Budget!$E:$E,$B$546,Opex_Budget!$F:$F,$D$546,Opex_Budget!$N:$N,"JPY")*$E$5+SUMIFS(Opex_Budget!$R:$R,Opex_Budget!$A:$A,$C$3,Opex_Budget!$E:$E,$B$546,Opex_Budget!$F:$F,$D$546,Opex_Budget!$N:$N,"USD")*$F$5+SUMIFS(Opex_Budget!$R:$R,Opex_Budget!$A:$A,$C$3,Opex_Budget!$E:$E,$B$546,Opex_Budget!$F:$F,$D$546,Opex_Budget!$N:$N,"EUR")*$G$5+SUMIFS(Opex_Budget!$R:$R,Opex_Budget!$A:$A,$C$3,Opex_Budget!$E:$E,$B$546,Opex_Budget!$F:$F,$D$546,Opex_Budget!$N:$N,"GBP")*$H$5)</f>
        <v/>
      </c>
      <c r="L546" s="32">
        <f>IF($B$546="","",SUMIFS(Opex_Budget!$S:$S,Opex_Budget!$A:$A,$C$3,Opex_Budget!$E:$E,$B$546,Opex_Budget!$F:$F,$D$546,Opex_Budget!$N:$N,"JPY")*$E$5+SUMIFS(Opex_Budget!$S:$S,Opex_Budget!$A:$A,$C$3,Opex_Budget!$E:$E,$B$546,Opex_Budget!$F:$F,$D$546,Opex_Budget!$N:$N,"USD")*$F$5+SUMIFS(Opex_Budget!$S:$S,Opex_Budget!$A:$A,$C$3,Opex_Budget!$E:$E,$B$546,Opex_Budget!$F:$F,$D$546,Opex_Budget!$N:$N,"EUR")*$G$5+SUMIFS(Opex_Budget!$S:$S,Opex_Budget!$A:$A,$C$3,Opex_Budget!$E:$E,$B$546,Opex_Budget!$F:$F,$D$546,Opex_Budget!$N:$N,"GBP")*$H$5)</f>
        <v/>
      </c>
      <c r="M546" s="32">
        <f>IF($B$546="","",SUMIFS(Opex_Budget!$T:$T,Opex_Budget!$A:$A,$C$3,Opex_Budget!$E:$E,$B$546,Opex_Budget!$F:$F,$D$546,Opex_Budget!$N:$N,"JPY")*$E$5+SUMIFS(Opex_Budget!$T:$T,Opex_Budget!$A:$A,$C$3,Opex_Budget!$E:$E,$B$546,Opex_Budget!$F:$F,$D$546,Opex_Budget!$N:$N,"USD")*$F$5+SUMIFS(Opex_Budget!$T:$T,Opex_Budget!$A:$A,$C$3,Opex_Budget!$E:$E,$B$546,Opex_Budget!$F:$F,$D$546,Opex_Budget!$N:$N,"EUR")*$G$5+SUMIFS(Opex_Budget!$T:$T,Opex_Budget!$A:$A,$C$3,Opex_Budget!$E:$E,$B$546,Opex_Budget!$F:$F,$D$546,Opex_Budget!$N:$N,"GBP")*$H$5)</f>
        <v/>
      </c>
      <c r="N546" s="32">
        <f>IF($B$546="","",SUMIFS(Opex_Budget!$U:$U,Opex_Budget!$A:$A,$C$3,Opex_Budget!$E:$E,$B$546,Opex_Budget!$F:$F,$D$546,Opex_Budget!$N:$N,"JPY")*$E$5+SUMIFS(Opex_Budget!$U:$U,Opex_Budget!$A:$A,$C$3,Opex_Budget!$E:$E,$B$546,Opex_Budget!$F:$F,$D$546,Opex_Budget!$N:$N,"USD")*$F$5+SUMIFS(Opex_Budget!$U:$U,Opex_Budget!$A:$A,$C$3,Opex_Budget!$E:$E,$B$546,Opex_Budget!$F:$F,$D$546,Opex_Budget!$N:$N,"EUR")*$G$5+SUMIFS(Opex_Budget!$U:$U,Opex_Budget!$A:$A,$C$3,Opex_Budget!$E:$E,$B$546,Opex_Budget!$F:$F,$D$546,Opex_Budget!$N:$N,"GBP")*$H$5)</f>
        <v/>
      </c>
      <c r="O546" s="32">
        <f>IF($B$546="","",SUMIFS(Opex_Budget!$V:$V,Opex_Budget!$A:$A,$C$3,Opex_Budget!$E:$E,$B$546,Opex_Budget!$F:$F,$D$546,Opex_Budget!$N:$N,"JPY")*$E$5+SUMIFS(Opex_Budget!$V:$V,Opex_Budget!$A:$A,$C$3,Opex_Budget!$E:$E,$B$546,Opex_Budget!$F:$F,$D$546,Opex_Budget!$N:$N,"USD")*$F$5+SUMIFS(Opex_Budget!$V:$V,Opex_Budget!$A:$A,$C$3,Opex_Budget!$E:$E,$B$546,Opex_Budget!$F:$F,$D$546,Opex_Budget!$N:$N,"EUR")*$G$5+SUMIFS(Opex_Budget!$V:$V,Opex_Budget!$A:$A,$C$3,Opex_Budget!$E:$E,$B$546,Opex_Budget!$F:$F,$D$546,Opex_Budget!$N:$N,"GBP")*$H$5)</f>
        <v/>
      </c>
      <c r="P546" s="32">
        <f>IF($B$546="","",SUMIFS(Opex_Budget!$W:$W,Opex_Budget!$A:$A,$C$3,Opex_Budget!$E:$E,$B$546,Opex_Budget!$F:$F,$D$546,Opex_Budget!$N:$N,"JPY")*$E$5+SUMIFS(Opex_Budget!$W:$W,Opex_Budget!$A:$A,$C$3,Opex_Budget!$E:$E,$B$546,Opex_Budget!$F:$F,$D$546,Opex_Budget!$N:$N,"USD")*$F$5+SUMIFS(Opex_Budget!$W:$W,Opex_Budget!$A:$A,$C$3,Opex_Budget!$E:$E,$B$546,Opex_Budget!$F:$F,$D$546,Opex_Budget!$N:$N,"EUR")*$G$5+SUMIFS(Opex_Budget!$W:$W,Opex_Budget!$A:$A,$C$3,Opex_Budget!$E:$E,$B$546,Opex_Budget!$F:$F,$D$546,Opex_Budget!$N:$N,"GBP")*$H$5)</f>
        <v/>
      </c>
      <c r="Q546" s="32">
        <f>IF($B$546="","",SUMIFS(Opex_Budget!$X:$X,Opex_Budget!$A:$A,$C$3,Opex_Budget!$E:$E,$B$546,Opex_Budget!$F:$F,$D$546,Opex_Budget!$N:$N,"JPY")*$E$5+SUMIFS(Opex_Budget!$X:$X,Opex_Budget!$A:$A,$C$3,Opex_Budget!$E:$E,$B$546,Opex_Budget!$F:$F,$D$546,Opex_Budget!$N:$N,"USD")*$F$5+SUMIFS(Opex_Budget!$X:$X,Opex_Budget!$A:$A,$C$3,Opex_Budget!$E:$E,$B$546,Opex_Budget!$F:$F,$D$546,Opex_Budget!$N:$N,"EUR")*$G$5+SUMIFS(Opex_Budget!$X:$X,Opex_Budget!$A:$A,$C$3,Opex_Budget!$E:$E,$B$546,Opex_Budget!$F:$F,$D$546,Opex_Budget!$N:$N,"GBP")*$H$5)</f>
        <v/>
      </c>
      <c r="R546" s="32">
        <f>IF($B$546="","",SUMIFS(Opex_Budget!$Y:$Y,Opex_Budget!$A:$A,$C$3,Opex_Budget!$E:$E,$B$546,Opex_Budget!$F:$F,$D$546,Opex_Budget!$N:$N,"JPY")*$E$5+SUMIFS(Opex_Budget!$Y:$Y,Opex_Budget!$A:$A,$C$3,Opex_Budget!$E:$E,$B$546,Opex_Budget!$F:$F,$D$546,Opex_Budget!$N:$N,"USD")*$F$5+SUMIFS(Opex_Budget!$Y:$Y,Opex_Budget!$A:$A,$C$3,Opex_Budget!$E:$E,$B$546,Opex_Budget!$F:$F,$D$546,Opex_Budget!$N:$N,"EUR")*$G$5+SUMIFS(Opex_Budget!$Y:$Y,Opex_Budget!$A:$A,$C$3,Opex_Budget!$E:$E,$B$546,Opex_Budget!$F:$F,$D$546,Opex_Budget!$N:$N,"GBP")*$H$5)</f>
        <v/>
      </c>
      <c r="S546" s="32">
        <f>IF($B$546="","",SUMIFS(Opex_Budget!$Z:$Z,Opex_Budget!$A:$A,$C$3,Opex_Budget!$E:$E,$B$546,Opex_Budget!$F:$F,$D$546,Opex_Budget!$N:$N,"JPY")*$E$5+SUMIFS(Opex_Budget!$Z:$Z,Opex_Budget!$A:$A,$C$3,Opex_Budget!$E:$E,$B$546,Opex_Budget!$F:$F,$D$546,Opex_Budget!$N:$N,"USD")*$F$5+SUMIFS(Opex_Budget!$Z:$Z,Opex_Budget!$A:$A,$C$3,Opex_Budget!$E:$E,$B$546,Opex_Budget!$F:$F,$D$546,Opex_Budget!$N:$N,"EUR")*$G$5+SUMIFS(Opex_Budget!$Z:$Z,Opex_Budget!$A:$A,$C$3,Opex_Budget!$E:$E,$B$546,Opex_Budget!$F:$F,$D$546,Opex_Budget!$N:$N,"GBP")*$H$5)</f>
        <v/>
      </c>
      <c r="T546" s="32">
        <f>IF($B$546="","",SUMIF($H$7:$S$7,"&lt;="&amp;$C$4,$H546:$S546))</f>
        <v/>
      </c>
      <c r="U546" s="32">
        <f>IF($B$546="","",SUMIF($H$7:$S$7,"&gt;"&amp;$C$4,$H546:$S546))</f>
        <v/>
      </c>
      <c r="V546" s="32">
        <f>IF($B$546="","",SUM($H546:$S546))</f>
        <v/>
      </c>
      <c r="X546" s="22">
        <f>IF($B546="","",IFERROR(INDEX(Cost_Centers!$E:$E,MATCH($B546,Cost_Centers!$A:$A,0)),"(unknown)"))</f>
        <v/>
      </c>
      <c r="Y546" s="22">
        <f>IF($B546="","",IFERROR(INDEX(Cost_Centers!$D:$D,MATCH($B546,Cost_Centers!$A:$A,0)),"(unknown)"))</f>
        <v/>
      </c>
      <c r="Z546" s="22">
        <f>IF(OR($B546="",$G546&lt;&gt;"Variance vs Budget"),"",ABS(N($V546))+ROW()/1000000000)</f>
        <v/>
      </c>
    </row>
    <row r="547">
      <c r="A547" s="13">
        <f>IF(A$546="","",A$546)</f>
        <v/>
      </c>
      <c r="B547" s="13">
        <f>IF(B$546="","",B$546)</f>
        <v/>
      </c>
      <c r="C547" s="13">
        <f>IF(C$546="","",C$546)</f>
        <v/>
      </c>
      <c r="D547" s="13">
        <f>IF(D$546="","",D$546)</f>
        <v/>
      </c>
      <c r="E547" s="13">
        <f>IF(E$546="","",E$546)</f>
        <v/>
      </c>
      <c r="F547" s="13">
        <f>IF(F$546="","",F$546)</f>
        <v/>
      </c>
      <c r="G547" s="7" t="inlineStr">
        <is>
          <t>Actual</t>
        </is>
      </c>
      <c r="H547" s="18">
        <f>IF(OR($B$546="",1&gt;$C$4),"",SUMIFS(Actuals!$G:$G,Actuals!$B:$B,$C$3,Actuals!$C:$C,1,Actuals!$D:$D,$B$546,Actuals!$A:$A,LEFT($D$546,FIND("|",$D$546&amp;"|")-1),Actuals!$E:$E,MID($D$546,FIND("|",$D$546&amp;"|")+1,50),Actuals!$F:$F,"JPY")*$E$5+SUMIFS(Actuals!$G:$G,Actuals!$B:$B,$C$3,Actuals!$C:$C,1,Actuals!$D:$D,$B$546,Actuals!$A:$A,LEFT($D$546,FIND("|",$D$546&amp;"|")-1),Actuals!$E:$E,MID($D$546,FIND("|",$D$546&amp;"|")+1,50),Actuals!$F:$F,"USD")*$F$5+SUMIFS(Actuals!$G:$G,Actuals!$B:$B,$C$3,Actuals!$C:$C,1,Actuals!$D:$D,$B$546,Actuals!$A:$A,LEFT($D$546,FIND("|",$D$546&amp;"|")-1),Actuals!$E:$E,MID($D$546,FIND("|",$D$546&amp;"|")+1,50),Actuals!$F:$F,"EUR")*$G$5+SUMIFS(Actuals!$G:$G,Actuals!$B:$B,$C$3,Actuals!$C:$C,1,Actuals!$D:$D,$B$546,Actuals!$A:$A,LEFT($D$546,FIND("|",$D$546&amp;"|")-1),Actuals!$E:$E,MID($D$546,FIND("|",$D$546&amp;"|")+1,50),Actuals!$F:$F,"GBP")*$H$5)</f>
        <v/>
      </c>
      <c r="I547" s="18">
        <f>IF(OR($B$546="",2&gt;$C$4),"",SUMIFS(Actuals!$G:$G,Actuals!$B:$B,$C$3,Actuals!$C:$C,2,Actuals!$D:$D,$B$546,Actuals!$A:$A,LEFT($D$546,FIND("|",$D$546&amp;"|")-1),Actuals!$E:$E,MID($D$546,FIND("|",$D$546&amp;"|")+1,50),Actuals!$F:$F,"JPY")*$E$5+SUMIFS(Actuals!$G:$G,Actuals!$B:$B,$C$3,Actuals!$C:$C,2,Actuals!$D:$D,$B$546,Actuals!$A:$A,LEFT($D$546,FIND("|",$D$546&amp;"|")-1),Actuals!$E:$E,MID($D$546,FIND("|",$D$546&amp;"|")+1,50),Actuals!$F:$F,"USD")*$F$5+SUMIFS(Actuals!$G:$G,Actuals!$B:$B,$C$3,Actuals!$C:$C,2,Actuals!$D:$D,$B$546,Actuals!$A:$A,LEFT($D$546,FIND("|",$D$546&amp;"|")-1),Actuals!$E:$E,MID($D$546,FIND("|",$D$546&amp;"|")+1,50),Actuals!$F:$F,"EUR")*$G$5+SUMIFS(Actuals!$G:$G,Actuals!$B:$B,$C$3,Actuals!$C:$C,2,Actuals!$D:$D,$B$546,Actuals!$A:$A,LEFT($D$546,FIND("|",$D$546&amp;"|")-1),Actuals!$E:$E,MID($D$546,FIND("|",$D$546&amp;"|")+1,50),Actuals!$F:$F,"GBP")*$H$5)</f>
        <v/>
      </c>
      <c r="J547" s="18">
        <f>IF(OR($B$546="",3&gt;$C$4),"",SUMIFS(Actuals!$G:$G,Actuals!$B:$B,$C$3,Actuals!$C:$C,3,Actuals!$D:$D,$B$546,Actuals!$A:$A,LEFT($D$546,FIND("|",$D$546&amp;"|")-1),Actuals!$E:$E,MID($D$546,FIND("|",$D$546&amp;"|")+1,50),Actuals!$F:$F,"JPY")*$E$5+SUMIFS(Actuals!$G:$G,Actuals!$B:$B,$C$3,Actuals!$C:$C,3,Actuals!$D:$D,$B$546,Actuals!$A:$A,LEFT($D$546,FIND("|",$D$546&amp;"|")-1),Actuals!$E:$E,MID($D$546,FIND("|",$D$546&amp;"|")+1,50),Actuals!$F:$F,"USD")*$F$5+SUMIFS(Actuals!$G:$G,Actuals!$B:$B,$C$3,Actuals!$C:$C,3,Actuals!$D:$D,$B$546,Actuals!$A:$A,LEFT($D$546,FIND("|",$D$546&amp;"|")-1),Actuals!$E:$E,MID($D$546,FIND("|",$D$546&amp;"|")+1,50),Actuals!$F:$F,"EUR")*$G$5+SUMIFS(Actuals!$G:$G,Actuals!$B:$B,$C$3,Actuals!$C:$C,3,Actuals!$D:$D,$B$546,Actuals!$A:$A,LEFT($D$546,FIND("|",$D$546&amp;"|")-1),Actuals!$E:$E,MID($D$546,FIND("|",$D$546&amp;"|")+1,50),Actuals!$F:$F,"GBP")*$H$5)</f>
        <v/>
      </c>
      <c r="K547" s="18">
        <f>IF(OR($B$546="",4&gt;$C$4),"",SUMIFS(Actuals!$G:$G,Actuals!$B:$B,$C$3,Actuals!$C:$C,4,Actuals!$D:$D,$B$546,Actuals!$A:$A,LEFT($D$546,FIND("|",$D$546&amp;"|")-1),Actuals!$E:$E,MID($D$546,FIND("|",$D$546&amp;"|")+1,50),Actuals!$F:$F,"JPY")*$E$5+SUMIFS(Actuals!$G:$G,Actuals!$B:$B,$C$3,Actuals!$C:$C,4,Actuals!$D:$D,$B$546,Actuals!$A:$A,LEFT($D$546,FIND("|",$D$546&amp;"|")-1),Actuals!$E:$E,MID($D$546,FIND("|",$D$546&amp;"|")+1,50),Actuals!$F:$F,"USD")*$F$5+SUMIFS(Actuals!$G:$G,Actuals!$B:$B,$C$3,Actuals!$C:$C,4,Actuals!$D:$D,$B$546,Actuals!$A:$A,LEFT($D$546,FIND("|",$D$546&amp;"|")-1),Actuals!$E:$E,MID($D$546,FIND("|",$D$546&amp;"|")+1,50),Actuals!$F:$F,"EUR")*$G$5+SUMIFS(Actuals!$G:$G,Actuals!$B:$B,$C$3,Actuals!$C:$C,4,Actuals!$D:$D,$B$546,Actuals!$A:$A,LEFT($D$546,FIND("|",$D$546&amp;"|")-1),Actuals!$E:$E,MID($D$546,FIND("|",$D$546&amp;"|")+1,50),Actuals!$F:$F,"GBP")*$H$5)</f>
        <v/>
      </c>
      <c r="L547" s="18">
        <f>IF(OR($B$546="",5&gt;$C$4),"",SUMIFS(Actuals!$G:$G,Actuals!$B:$B,$C$3,Actuals!$C:$C,5,Actuals!$D:$D,$B$546,Actuals!$A:$A,LEFT($D$546,FIND("|",$D$546&amp;"|")-1),Actuals!$E:$E,MID($D$546,FIND("|",$D$546&amp;"|")+1,50),Actuals!$F:$F,"JPY")*$E$5+SUMIFS(Actuals!$G:$G,Actuals!$B:$B,$C$3,Actuals!$C:$C,5,Actuals!$D:$D,$B$546,Actuals!$A:$A,LEFT($D$546,FIND("|",$D$546&amp;"|")-1),Actuals!$E:$E,MID($D$546,FIND("|",$D$546&amp;"|")+1,50),Actuals!$F:$F,"USD")*$F$5+SUMIFS(Actuals!$G:$G,Actuals!$B:$B,$C$3,Actuals!$C:$C,5,Actuals!$D:$D,$B$546,Actuals!$A:$A,LEFT($D$546,FIND("|",$D$546&amp;"|")-1),Actuals!$E:$E,MID($D$546,FIND("|",$D$546&amp;"|")+1,50),Actuals!$F:$F,"EUR")*$G$5+SUMIFS(Actuals!$G:$G,Actuals!$B:$B,$C$3,Actuals!$C:$C,5,Actuals!$D:$D,$B$546,Actuals!$A:$A,LEFT($D$546,FIND("|",$D$546&amp;"|")-1),Actuals!$E:$E,MID($D$546,FIND("|",$D$546&amp;"|")+1,50),Actuals!$F:$F,"GBP")*$H$5)</f>
        <v/>
      </c>
      <c r="M547" s="18">
        <f>IF(OR($B$546="",6&gt;$C$4),"",SUMIFS(Actuals!$G:$G,Actuals!$B:$B,$C$3,Actuals!$C:$C,6,Actuals!$D:$D,$B$546,Actuals!$A:$A,LEFT($D$546,FIND("|",$D$546&amp;"|")-1),Actuals!$E:$E,MID($D$546,FIND("|",$D$546&amp;"|")+1,50),Actuals!$F:$F,"JPY")*$E$5+SUMIFS(Actuals!$G:$G,Actuals!$B:$B,$C$3,Actuals!$C:$C,6,Actuals!$D:$D,$B$546,Actuals!$A:$A,LEFT($D$546,FIND("|",$D$546&amp;"|")-1),Actuals!$E:$E,MID($D$546,FIND("|",$D$546&amp;"|")+1,50),Actuals!$F:$F,"USD")*$F$5+SUMIFS(Actuals!$G:$G,Actuals!$B:$B,$C$3,Actuals!$C:$C,6,Actuals!$D:$D,$B$546,Actuals!$A:$A,LEFT($D$546,FIND("|",$D$546&amp;"|")-1),Actuals!$E:$E,MID($D$546,FIND("|",$D$546&amp;"|")+1,50),Actuals!$F:$F,"EUR")*$G$5+SUMIFS(Actuals!$G:$G,Actuals!$B:$B,$C$3,Actuals!$C:$C,6,Actuals!$D:$D,$B$546,Actuals!$A:$A,LEFT($D$546,FIND("|",$D$546&amp;"|")-1),Actuals!$E:$E,MID($D$546,FIND("|",$D$546&amp;"|")+1,50),Actuals!$F:$F,"GBP")*$H$5)</f>
        <v/>
      </c>
      <c r="N547" s="18">
        <f>IF(OR($B$546="",7&gt;$C$4),"",SUMIFS(Actuals!$G:$G,Actuals!$B:$B,$C$3,Actuals!$C:$C,7,Actuals!$D:$D,$B$546,Actuals!$A:$A,LEFT($D$546,FIND("|",$D$546&amp;"|")-1),Actuals!$E:$E,MID($D$546,FIND("|",$D$546&amp;"|")+1,50),Actuals!$F:$F,"JPY")*$E$5+SUMIFS(Actuals!$G:$G,Actuals!$B:$B,$C$3,Actuals!$C:$C,7,Actuals!$D:$D,$B$546,Actuals!$A:$A,LEFT($D$546,FIND("|",$D$546&amp;"|")-1),Actuals!$E:$E,MID($D$546,FIND("|",$D$546&amp;"|")+1,50),Actuals!$F:$F,"USD")*$F$5+SUMIFS(Actuals!$G:$G,Actuals!$B:$B,$C$3,Actuals!$C:$C,7,Actuals!$D:$D,$B$546,Actuals!$A:$A,LEFT($D$546,FIND("|",$D$546&amp;"|")-1),Actuals!$E:$E,MID($D$546,FIND("|",$D$546&amp;"|")+1,50),Actuals!$F:$F,"EUR")*$G$5+SUMIFS(Actuals!$G:$G,Actuals!$B:$B,$C$3,Actuals!$C:$C,7,Actuals!$D:$D,$B$546,Actuals!$A:$A,LEFT($D$546,FIND("|",$D$546&amp;"|")-1),Actuals!$E:$E,MID($D$546,FIND("|",$D$546&amp;"|")+1,50),Actuals!$F:$F,"GBP")*$H$5)</f>
        <v/>
      </c>
      <c r="O547" s="18">
        <f>IF(OR($B$546="",8&gt;$C$4),"",SUMIFS(Actuals!$G:$G,Actuals!$B:$B,$C$3,Actuals!$C:$C,8,Actuals!$D:$D,$B$546,Actuals!$A:$A,LEFT($D$546,FIND("|",$D$546&amp;"|")-1),Actuals!$E:$E,MID($D$546,FIND("|",$D$546&amp;"|")+1,50),Actuals!$F:$F,"JPY")*$E$5+SUMIFS(Actuals!$G:$G,Actuals!$B:$B,$C$3,Actuals!$C:$C,8,Actuals!$D:$D,$B$546,Actuals!$A:$A,LEFT($D$546,FIND("|",$D$546&amp;"|")-1),Actuals!$E:$E,MID($D$546,FIND("|",$D$546&amp;"|")+1,50),Actuals!$F:$F,"USD")*$F$5+SUMIFS(Actuals!$G:$G,Actuals!$B:$B,$C$3,Actuals!$C:$C,8,Actuals!$D:$D,$B$546,Actuals!$A:$A,LEFT($D$546,FIND("|",$D$546&amp;"|")-1),Actuals!$E:$E,MID($D$546,FIND("|",$D$546&amp;"|")+1,50),Actuals!$F:$F,"EUR")*$G$5+SUMIFS(Actuals!$G:$G,Actuals!$B:$B,$C$3,Actuals!$C:$C,8,Actuals!$D:$D,$B$546,Actuals!$A:$A,LEFT($D$546,FIND("|",$D$546&amp;"|")-1),Actuals!$E:$E,MID($D$546,FIND("|",$D$546&amp;"|")+1,50),Actuals!$F:$F,"GBP")*$H$5)</f>
        <v/>
      </c>
      <c r="P547" s="18">
        <f>IF(OR($B$546="",9&gt;$C$4),"",SUMIFS(Actuals!$G:$G,Actuals!$B:$B,$C$3,Actuals!$C:$C,9,Actuals!$D:$D,$B$546,Actuals!$A:$A,LEFT($D$546,FIND("|",$D$546&amp;"|")-1),Actuals!$E:$E,MID($D$546,FIND("|",$D$546&amp;"|")+1,50),Actuals!$F:$F,"JPY")*$E$5+SUMIFS(Actuals!$G:$G,Actuals!$B:$B,$C$3,Actuals!$C:$C,9,Actuals!$D:$D,$B$546,Actuals!$A:$A,LEFT($D$546,FIND("|",$D$546&amp;"|")-1),Actuals!$E:$E,MID($D$546,FIND("|",$D$546&amp;"|")+1,50),Actuals!$F:$F,"USD")*$F$5+SUMIFS(Actuals!$G:$G,Actuals!$B:$B,$C$3,Actuals!$C:$C,9,Actuals!$D:$D,$B$546,Actuals!$A:$A,LEFT($D$546,FIND("|",$D$546&amp;"|")-1),Actuals!$E:$E,MID($D$546,FIND("|",$D$546&amp;"|")+1,50),Actuals!$F:$F,"EUR")*$G$5+SUMIFS(Actuals!$G:$G,Actuals!$B:$B,$C$3,Actuals!$C:$C,9,Actuals!$D:$D,$B$546,Actuals!$A:$A,LEFT($D$546,FIND("|",$D$546&amp;"|")-1),Actuals!$E:$E,MID($D$546,FIND("|",$D$546&amp;"|")+1,50),Actuals!$F:$F,"GBP")*$H$5)</f>
        <v/>
      </c>
      <c r="Q547" s="18">
        <f>IF(OR($B$546="",10&gt;$C$4),"",SUMIFS(Actuals!$G:$G,Actuals!$B:$B,$C$3,Actuals!$C:$C,10,Actuals!$D:$D,$B$546,Actuals!$A:$A,LEFT($D$546,FIND("|",$D$546&amp;"|")-1),Actuals!$E:$E,MID($D$546,FIND("|",$D$546&amp;"|")+1,50),Actuals!$F:$F,"JPY")*$E$5+SUMIFS(Actuals!$G:$G,Actuals!$B:$B,$C$3,Actuals!$C:$C,10,Actuals!$D:$D,$B$546,Actuals!$A:$A,LEFT($D$546,FIND("|",$D$546&amp;"|")-1),Actuals!$E:$E,MID($D$546,FIND("|",$D$546&amp;"|")+1,50),Actuals!$F:$F,"USD")*$F$5+SUMIFS(Actuals!$G:$G,Actuals!$B:$B,$C$3,Actuals!$C:$C,10,Actuals!$D:$D,$B$546,Actuals!$A:$A,LEFT($D$546,FIND("|",$D$546&amp;"|")-1),Actuals!$E:$E,MID($D$546,FIND("|",$D$546&amp;"|")+1,50),Actuals!$F:$F,"EUR")*$G$5+SUMIFS(Actuals!$G:$G,Actuals!$B:$B,$C$3,Actuals!$C:$C,10,Actuals!$D:$D,$B$546,Actuals!$A:$A,LEFT($D$546,FIND("|",$D$546&amp;"|")-1),Actuals!$E:$E,MID($D$546,FIND("|",$D$546&amp;"|")+1,50),Actuals!$F:$F,"GBP")*$H$5)</f>
        <v/>
      </c>
      <c r="R547" s="18">
        <f>IF(OR($B$546="",11&gt;$C$4),"",SUMIFS(Actuals!$G:$G,Actuals!$B:$B,$C$3,Actuals!$C:$C,11,Actuals!$D:$D,$B$546,Actuals!$A:$A,LEFT($D$546,FIND("|",$D$546&amp;"|")-1),Actuals!$E:$E,MID($D$546,FIND("|",$D$546&amp;"|")+1,50),Actuals!$F:$F,"JPY")*$E$5+SUMIFS(Actuals!$G:$G,Actuals!$B:$B,$C$3,Actuals!$C:$C,11,Actuals!$D:$D,$B$546,Actuals!$A:$A,LEFT($D$546,FIND("|",$D$546&amp;"|")-1),Actuals!$E:$E,MID($D$546,FIND("|",$D$546&amp;"|")+1,50),Actuals!$F:$F,"USD")*$F$5+SUMIFS(Actuals!$G:$G,Actuals!$B:$B,$C$3,Actuals!$C:$C,11,Actuals!$D:$D,$B$546,Actuals!$A:$A,LEFT($D$546,FIND("|",$D$546&amp;"|")-1),Actuals!$E:$E,MID($D$546,FIND("|",$D$546&amp;"|")+1,50),Actuals!$F:$F,"EUR")*$G$5+SUMIFS(Actuals!$G:$G,Actuals!$B:$B,$C$3,Actuals!$C:$C,11,Actuals!$D:$D,$B$546,Actuals!$A:$A,LEFT($D$546,FIND("|",$D$546&amp;"|")-1),Actuals!$E:$E,MID($D$546,FIND("|",$D$546&amp;"|")+1,50),Actuals!$F:$F,"GBP")*$H$5)</f>
        <v/>
      </c>
      <c r="S547" s="18">
        <f>IF(OR($B$546="",12&gt;$C$4),"",SUMIFS(Actuals!$G:$G,Actuals!$B:$B,$C$3,Actuals!$C:$C,12,Actuals!$D:$D,$B$546,Actuals!$A:$A,LEFT($D$546,FIND("|",$D$546&amp;"|")-1),Actuals!$E:$E,MID($D$546,FIND("|",$D$546&amp;"|")+1,50),Actuals!$F:$F,"JPY")*$E$5+SUMIFS(Actuals!$G:$G,Actuals!$B:$B,$C$3,Actuals!$C:$C,12,Actuals!$D:$D,$B$546,Actuals!$A:$A,LEFT($D$546,FIND("|",$D$546&amp;"|")-1),Actuals!$E:$E,MID($D$546,FIND("|",$D$546&amp;"|")+1,50),Actuals!$F:$F,"USD")*$F$5+SUMIFS(Actuals!$G:$G,Actuals!$B:$B,$C$3,Actuals!$C:$C,12,Actuals!$D:$D,$B$546,Actuals!$A:$A,LEFT($D$546,FIND("|",$D$546&amp;"|")-1),Actuals!$E:$E,MID($D$546,FIND("|",$D$546&amp;"|")+1,50),Actuals!$F:$F,"EUR")*$G$5+SUMIFS(Actuals!$G:$G,Actuals!$B:$B,$C$3,Actuals!$C:$C,12,Actuals!$D:$D,$B$546,Actuals!$A:$A,LEFT($D$546,FIND("|",$D$546&amp;"|")-1),Actuals!$E:$E,MID($D$546,FIND("|",$D$546&amp;"|")+1,50),Actuals!$F:$F,"GBP")*$H$5)</f>
        <v/>
      </c>
      <c r="T547" s="18">
        <f>IF($B$546="","",SUMIF($H$7:$S$7,"&lt;="&amp;$C$4,$H547:$S547))</f>
        <v/>
      </c>
      <c r="U547" s="18" t="n"/>
      <c r="V547" s="18" t="n"/>
      <c r="X547" s="22">
        <f>IF($B547="","",IFERROR(INDEX(Cost_Centers!$E:$E,MATCH($B547,Cost_Centers!$A:$A,0)),"(unknown)"))</f>
        <v/>
      </c>
      <c r="Y547" s="22">
        <f>IF($B547="","",IFERROR(INDEX(Cost_Centers!$D:$D,MATCH($B547,Cost_Centers!$A:$A,0)),"(unknown)"))</f>
        <v/>
      </c>
      <c r="Z547" s="22">
        <f>IF(OR($B547="",$G547&lt;&gt;"Variance vs Budget"),"",ABS(N($V547))+ROW()/1000000000)</f>
        <v/>
      </c>
    </row>
    <row r="548">
      <c r="A548" s="13">
        <f>IF(A$546="","",A$546)</f>
        <v/>
      </c>
      <c r="B548" s="13">
        <f>IF(B$546="","",B$546)</f>
        <v/>
      </c>
      <c r="C548" s="13">
        <f>IF(C$546="","",C$546)</f>
        <v/>
      </c>
      <c r="D548" s="13">
        <f>IF(D$546="","",D$546)</f>
        <v/>
      </c>
      <c r="E548" s="13">
        <f>IF(E$546="","",E$546)</f>
        <v/>
      </c>
      <c r="F548" s="13">
        <f>IF(F$546="","",F$546)</f>
        <v/>
      </c>
      <c r="G548" s="6" t="inlineStr">
        <is>
          <t>Variance vs Budget</t>
        </is>
      </c>
      <c r="H548" s="33">
        <f>IF(OR($B$546="",1&gt;$C$4),"",N(H547)-H546)</f>
        <v/>
      </c>
      <c r="I548" s="33">
        <f>IF(OR($B$546="",2&gt;$C$4),"",N(I547)-I546)</f>
        <v/>
      </c>
      <c r="J548" s="33">
        <f>IF(OR($B$546="",3&gt;$C$4),"",N(J547)-J546)</f>
        <v/>
      </c>
      <c r="K548" s="33">
        <f>IF(OR($B$546="",4&gt;$C$4),"",N(K547)-K546)</f>
        <v/>
      </c>
      <c r="L548" s="33">
        <f>IF(OR($B$546="",5&gt;$C$4),"",N(L547)-L546)</f>
        <v/>
      </c>
      <c r="M548" s="33">
        <f>IF(OR($B$546="",6&gt;$C$4),"",N(M547)-M546)</f>
        <v/>
      </c>
      <c r="N548" s="33">
        <f>IF(OR($B$546="",7&gt;$C$4),"",N(N547)-N546)</f>
        <v/>
      </c>
      <c r="O548" s="33">
        <f>IF(OR($B$546="",8&gt;$C$4),"",N(O547)-O546)</f>
        <v/>
      </c>
      <c r="P548" s="33">
        <f>IF(OR($B$546="",9&gt;$C$4),"",N(P547)-P546)</f>
        <v/>
      </c>
      <c r="Q548" s="33">
        <f>IF(OR($B$546="",10&gt;$C$4),"",N(Q547)-Q546)</f>
        <v/>
      </c>
      <c r="R548" s="33">
        <f>IF(OR($B$546="",11&gt;$C$4),"",N(R547)-R546)</f>
        <v/>
      </c>
      <c r="S548" s="33">
        <f>IF(OR($B$546="",12&gt;$C$4),"",N(S547)-S546)</f>
        <v/>
      </c>
      <c r="T548" s="33">
        <f>IF($B$546="","",T547-T546)</f>
        <v/>
      </c>
      <c r="U548" s="33">
        <f>IF($B$546="","",U550-U546)</f>
        <v/>
      </c>
      <c r="V548" s="33">
        <f>IF($B$546="","",V550-V546)</f>
        <v/>
      </c>
      <c r="X548" s="22">
        <f>IF($B548="","",IFERROR(INDEX(Cost_Centers!$E:$E,MATCH($B548,Cost_Centers!$A:$A,0)),"(unknown)"))</f>
        <v/>
      </c>
      <c r="Y548" s="22">
        <f>IF($B548="","",IFERROR(INDEX(Cost_Centers!$D:$D,MATCH($B548,Cost_Centers!$A:$A,0)),"(unknown)"))</f>
        <v/>
      </c>
      <c r="Z548" s="22">
        <f>IF(OR($B548="",$G548&lt;&gt;"Variance vs Budget"),"",ABS(N($V548))+ROW()/1000000000)</f>
        <v/>
      </c>
    </row>
    <row r="549">
      <c r="A549" s="13">
        <f>IF(A$546="","",A$546)</f>
        <v/>
      </c>
      <c r="B549" s="13">
        <f>IF(B$546="","",B$546)</f>
        <v/>
      </c>
      <c r="C549" s="13">
        <f>IF(C$546="","",C$546)</f>
        <v/>
      </c>
      <c r="D549" s="13">
        <f>IF(D$546="","",D$546)</f>
        <v/>
      </c>
      <c r="E549" s="13">
        <f>IF(E$546="","",E$546)</f>
        <v/>
      </c>
      <c r="F549" s="13">
        <f>IF(F$546="","",F$546)</f>
        <v/>
      </c>
      <c r="G549" s="7" t="inlineStr">
        <is>
          <t>Forecast (input)</t>
        </is>
      </c>
      <c r="H549" s="34" t="n"/>
      <c r="I549" s="34" t="n"/>
      <c r="J549" s="34" t="n"/>
      <c r="K549" s="34" t="n"/>
      <c r="L549" s="34" t="n"/>
      <c r="M549" s="34" t="n"/>
      <c r="N549" s="34" t="n"/>
      <c r="O549" s="34" t="n"/>
      <c r="P549" s="34" t="n"/>
      <c r="Q549" s="34" t="n"/>
      <c r="R549" s="34" t="n"/>
      <c r="S549" s="34" t="n"/>
      <c r="T549" s="18" t="n"/>
      <c r="U549" s="18" t="n"/>
      <c r="V549" s="18" t="n"/>
      <c r="X549" s="22">
        <f>IF($B549="","",IFERROR(INDEX(Cost_Centers!$E:$E,MATCH($B549,Cost_Centers!$A:$A,0)),"(unknown)"))</f>
        <v/>
      </c>
      <c r="Y549" s="22">
        <f>IF($B549="","",IFERROR(INDEX(Cost_Centers!$D:$D,MATCH($B549,Cost_Centers!$A:$A,0)),"(unknown)"))</f>
        <v/>
      </c>
      <c r="Z549" s="22">
        <f>IF(OR($B549="",$G549&lt;&gt;"Variance vs Budget"),"",ABS(N($V549))+ROW()/1000000000)</f>
        <v/>
      </c>
    </row>
    <row r="550">
      <c r="A550" s="13">
        <f>IF(A$546="","",A$546)</f>
        <v/>
      </c>
      <c r="B550" s="13">
        <f>IF(B$546="","",B$546)</f>
        <v/>
      </c>
      <c r="C550" s="13">
        <f>IF(C$546="","",C$546)</f>
        <v/>
      </c>
      <c r="D550" s="13">
        <f>IF(D$546="","",D$546)</f>
        <v/>
      </c>
      <c r="E550" s="13">
        <f>IF(E$546="","",E$546)</f>
        <v/>
      </c>
      <c r="F550" s="13">
        <f>IF(F$546="","",F$546)</f>
        <v/>
      </c>
      <c r="G550" s="35" t="inlineStr">
        <is>
          <t>Actual + Forecast</t>
        </is>
      </c>
      <c r="H550" s="18">
        <f>IF($B$546="","",IF(1&lt;=$C$4,N(H547),IF(H549="",H546,H549)))</f>
        <v/>
      </c>
      <c r="I550" s="18">
        <f>IF($B$546="","",IF(2&lt;=$C$4,N(I547),IF(I549="",I546,I549)))</f>
        <v/>
      </c>
      <c r="J550" s="18">
        <f>IF($B$546="","",IF(3&lt;=$C$4,N(J547),IF(J549="",J546,J549)))</f>
        <v/>
      </c>
      <c r="K550" s="18">
        <f>IF($B$546="","",IF(4&lt;=$C$4,N(K547),IF(K549="",K546,K549)))</f>
        <v/>
      </c>
      <c r="L550" s="18">
        <f>IF($B$546="","",IF(5&lt;=$C$4,N(L547),IF(L549="",L546,L549)))</f>
        <v/>
      </c>
      <c r="M550" s="18">
        <f>IF($B$546="","",IF(6&lt;=$C$4,N(M547),IF(M549="",M546,M549)))</f>
        <v/>
      </c>
      <c r="N550" s="18">
        <f>IF($B$546="","",IF(7&lt;=$C$4,N(N547),IF(N549="",N546,N549)))</f>
        <v/>
      </c>
      <c r="O550" s="18">
        <f>IF($B$546="","",IF(8&lt;=$C$4,N(O547),IF(O549="",O546,O549)))</f>
        <v/>
      </c>
      <c r="P550" s="18">
        <f>IF($B$546="","",IF(9&lt;=$C$4,N(P547),IF(P549="",P546,P549)))</f>
        <v/>
      </c>
      <c r="Q550" s="18">
        <f>IF($B$546="","",IF(10&lt;=$C$4,N(Q547),IF(Q549="",Q546,Q549)))</f>
        <v/>
      </c>
      <c r="R550" s="18">
        <f>IF($B$546="","",IF(11&lt;=$C$4,N(R547),IF(R549="",R546,R549)))</f>
        <v/>
      </c>
      <c r="S550" s="18">
        <f>IF($B$546="","",IF(12&lt;=$C$4,N(S547),IF(S549="",S546,S549)))</f>
        <v/>
      </c>
      <c r="T550" s="18">
        <f>IF($B$546="","",SUMIF($H$7:$S$7,"&lt;="&amp;$C$4,$H550:$S550))</f>
        <v/>
      </c>
      <c r="U550" s="18">
        <f>IF($B$546="","",SUMIF($H$7:$S$7,"&gt;"&amp;$C$4,$H550:$S550))</f>
        <v/>
      </c>
      <c r="V550" s="18">
        <f>IF($B$546="","",SUM($H550:$S550))</f>
        <v/>
      </c>
      <c r="X550" s="22">
        <f>IF($B550="","",IFERROR(INDEX(Cost_Centers!$E:$E,MATCH($B550,Cost_Centers!$A:$A,0)),"(unknown)"))</f>
        <v/>
      </c>
      <c r="Y550" s="22">
        <f>IF($B550="","",IFERROR(INDEX(Cost_Centers!$D:$D,MATCH($B550,Cost_Centers!$A:$A,0)),"(unknown)"))</f>
        <v/>
      </c>
      <c r="Z550" s="22">
        <f>IF(OR($B550="",$G550&lt;&gt;"Variance vs Budget"),"",ABS(N($V550))+ROW()/1000000000)</f>
        <v/>
      </c>
    </row>
    <row r="551">
      <c r="A551" s="13">
        <f>IF(A$546="","",A$546)</f>
        <v/>
      </c>
      <c r="B551" s="13">
        <f>IF(B$546="","",B$546)</f>
        <v/>
      </c>
      <c r="C551" s="13">
        <f>IF(C$546="","",C$546)</f>
        <v/>
      </c>
      <c r="D551" s="13">
        <f>IF(D$546="","",D$546)</f>
        <v/>
      </c>
      <c r="E551" s="13">
        <f>IF(E$546="","",E$546)</f>
        <v/>
      </c>
      <c r="F551" s="13">
        <f>IF(F$546="","",F$546)</f>
        <v/>
      </c>
      <c r="G551" s="36" t="inlineStr">
        <is>
          <t>Prior Month Forecast</t>
        </is>
      </c>
      <c r="H551" s="37">
        <f>IF($B$546="","",IF(COUNTIFS(Prior_Forecast!$A:$A,$B$546,Prior_Forecast!$B:$B,$D$546)&gt;0,SUMIFS(Prior_Forecast!$C:$C,Prior_Forecast!$A:$A,$B$546,Prior_Forecast!$B:$B,$D$546),""))</f>
        <v/>
      </c>
      <c r="I551" s="37">
        <f>IF($B$546="","",IF(COUNTIFS(Prior_Forecast!$A:$A,$B$546,Prior_Forecast!$B:$B,$D$546)&gt;0,SUMIFS(Prior_Forecast!$D:$D,Prior_Forecast!$A:$A,$B$546,Prior_Forecast!$B:$B,$D$546),""))</f>
        <v/>
      </c>
      <c r="J551" s="37">
        <f>IF($B$546="","",IF(COUNTIFS(Prior_Forecast!$A:$A,$B$546,Prior_Forecast!$B:$B,$D$546)&gt;0,SUMIFS(Prior_Forecast!$E:$E,Prior_Forecast!$A:$A,$B$546,Prior_Forecast!$B:$B,$D$546),""))</f>
        <v/>
      </c>
      <c r="K551" s="37">
        <f>IF($B$546="","",IF(COUNTIFS(Prior_Forecast!$A:$A,$B$546,Prior_Forecast!$B:$B,$D$546)&gt;0,SUMIFS(Prior_Forecast!$F:$F,Prior_Forecast!$A:$A,$B$546,Prior_Forecast!$B:$B,$D$546),""))</f>
        <v/>
      </c>
      <c r="L551" s="37">
        <f>IF($B$546="","",IF(COUNTIFS(Prior_Forecast!$A:$A,$B$546,Prior_Forecast!$B:$B,$D$546)&gt;0,SUMIFS(Prior_Forecast!$G:$G,Prior_Forecast!$A:$A,$B$546,Prior_Forecast!$B:$B,$D$546),""))</f>
        <v/>
      </c>
      <c r="M551" s="37">
        <f>IF($B$546="","",IF(COUNTIFS(Prior_Forecast!$A:$A,$B$546,Prior_Forecast!$B:$B,$D$546)&gt;0,SUMIFS(Prior_Forecast!$H:$H,Prior_Forecast!$A:$A,$B$546,Prior_Forecast!$B:$B,$D$546),""))</f>
        <v/>
      </c>
      <c r="N551" s="37">
        <f>IF($B$546="","",IF(COUNTIFS(Prior_Forecast!$A:$A,$B$546,Prior_Forecast!$B:$B,$D$546)&gt;0,SUMIFS(Prior_Forecast!$I:$I,Prior_Forecast!$A:$A,$B$546,Prior_Forecast!$B:$B,$D$546),""))</f>
        <v/>
      </c>
      <c r="O551" s="37">
        <f>IF($B$546="","",IF(COUNTIFS(Prior_Forecast!$A:$A,$B$546,Prior_Forecast!$B:$B,$D$546)&gt;0,SUMIFS(Prior_Forecast!$J:$J,Prior_Forecast!$A:$A,$B$546,Prior_Forecast!$B:$B,$D$546),""))</f>
        <v/>
      </c>
      <c r="P551" s="37">
        <f>IF($B$546="","",IF(COUNTIFS(Prior_Forecast!$A:$A,$B$546,Prior_Forecast!$B:$B,$D$546)&gt;0,SUMIFS(Prior_Forecast!$K:$K,Prior_Forecast!$A:$A,$B$546,Prior_Forecast!$B:$B,$D$546),""))</f>
        <v/>
      </c>
      <c r="Q551" s="37">
        <f>IF($B$546="","",IF(COUNTIFS(Prior_Forecast!$A:$A,$B$546,Prior_Forecast!$B:$B,$D$546)&gt;0,SUMIFS(Prior_Forecast!$L:$L,Prior_Forecast!$A:$A,$B$546,Prior_Forecast!$B:$B,$D$546),""))</f>
        <v/>
      </c>
      <c r="R551" s="37">
        <f>IF($B$546="","",IF(COUNTIFS(Prior_Forecast!$A:$A,$B$546,Prior_Forecast!$B:$B,$D$546)&gt;0,SUMIFS(Prior_Forecast!$M:$M,Prior_Forecast!$A:$A,$B$546,Prior_Forecast!$B:$B,$D$546),""))</f>
        <v/>
      </c>
      <c r="S551" s="37">
        <f>IF($B$546="","",IF(COUNTIFS(Prior_Forecast!$A:$A,$B$546,Prior_Forecast!$B:$B,$D$546)&gt;0,SUMIFS(Prior_Forecast!$N:$N,Prior_Forecast!$A:$A,$B$546,Prior_Forecast!$B:$B,$D$546),""))</f>
        <v/>
      </c>
      <c r="T551" s="37">
        <f>IF($B$546="","",IF(COUNTIFS(Prior_Forecast!$A:$A,$B$546,Prior_Forecast!$B:$B,$D$546)&gt;0,SUMIFS(Prior_Forecast!$O:$O,Prior_Forecast!$A:$A,$B$546,Prior_Forecast!$B:$B,$D$546),""))</f>
        <v/>
      </c>
      <c r="U551" s="37">
        <f>IF($B$546="","",IF(COUNTIFS(Prior_Forecast!$A:$A,$B$546,Prior_Forecast!$B:$B,$D$546)&gt;0,SUMIFS(Prior_Forecast!$P:$P,Prior_Forecast!$A:$A,$B$546,Prior_Forecast!$B:$B,$D$546),""))</f>
        <v/>
      </c>
      <c r="V551" s="37">
        <f>IF($B$546="","",IF(COUNTIFS(Prior_Forecast!$A:$A,$B$546,Prior_Forecast!$B:$B,$D$546)&gt;0,SUMIFS(Prior_Forecast!$Q:$Q,Prior_Forecast!$A:$A,$B$546,Prior_Forecast!$B:$B,$D$546),""))</f>
        <v/>
      </c>
      <c r="X551" s="22">
        <f>IF($B551="","",IFERROR(INDEX(Cost_Centers!$E:$E,MATCH($B551,Cost_Centers!$A:$A,0)),"(unknown)"))</f>
        <v/>
      </c>
      <c r="Y551" s="22">
        <f>IF($B551="","",IFERROR(INDEX(Cost_Centers!$D:$D,MATCH($B551,Cost_Centers!$A:$A,0)),"(unknown)"))</f>
        <v/>
      </c>
      <c r="Z551" s="22">
        <f>IF(OR($B551="",$G551&lt;&gt;"Variance vs Budget"),"",ABS(N($V551))+ROW()/1000000000)</f>
        <v/>
      </c>
    </row>
    <row r="552">
      <c r="A552" s="13">
        <f>IF(A$546="","",A$546)</f>
        <v/>
      </c>
      <c r="B552" s="13">
        <f>IF(B$546="","",B$546)</f>
        <v/>
      </c>
      <c r="C552" s="13">
        <f>IF(C$546="","",C$546)</f>
        <v/>
      </c>
      <c r="D552" s="13">
        <f>IF(D$546="","",D$546)</f>
        <v/>
      </c>
      <c r="E552" s="13">
        <f>IF(E$546="","",E$546)</f>
        <v/>
      </c>
      <c r="F552" s="13">
        <f>IF(F$546="","",F$546)</f>
        <v/>
      </c>
      <c r="G552" s="6" t="inlineStr">
        <is>
          <t>Variance vs Prior Month</t>
        </is>
      </c>
      <c r="H552" s="33">
        <f>IF(OR($B$546="",H551=""),"",H550-H551)</f>
        <v/>
      </c>
      <c r="I552" s="33">
        <f>IF(OR($B$546="",I551=""),"",I550-I551)</f>
        <v/>
      </c>
      <c r="J552" s="33">
        <f>IF(OR($B$546="",J551=""),"",J550-J551)</f>
        <v/>
      </c>
      <c r="K552" s="33">
        <f>IF(OR($B$546="",K551=""),"",K550-K551)</f>
        <v/>
      </c>
      <c r="L552" s="33">
        <f>IF(OR($B$546="",L551=""),"",L550-L551)</f>
        <v/>
      </c>
      <c r="M552" s="33">
        <f>IF(OR($B$546="",M551=""),"",M550-M551)</f>
        <v/>
      </c>
      <c r="N552" s="33">
        <f>IF(OR($B$546="",N551=""),"",N550-N551)</f>
        <v/>
      </c>
      <c r="O552" s="33">
        <f>IF(OR($B$546="",O551=""),"",O550-O551)</f>
        <v/>
      </c>
      <c r="P552" s="33">
        <f>IF(OR($B$546="",P551=""),"",P550-P551)</f>
        <v/>
      </c>
      <c r="Q552" s="33">
        <f>IF(OR($B$546="",Q551=""),"",Q550-Q551)</f>
        <v/>
      </c>
      <c r="R552" s="33">
        <f>IF(OR($B$546="",R551=""),"",R550-R551)</f>
        <v/>
      </c>
      <c r="S552" s="33">
        <f>IF(OR($B$546="",S551=""),"",S550-S551)</f>
        <v/>
      </c>
      <c r="T552" s="33">
        <f>IF(OR($B$546="",T551=""),"",T550-T551)</f>
        <v/>
      </c>
      <c r="U552" s="33">
        <f>IF(OR($B$546="",U551=""),"",U550-U551)</f>
        <v/>
      </c>
      <c r="V552" s="33">
        <f>IF(OR($B$546="",V551=""),"",V550-V551)</f>
        <v/>
      </c>
      <c r="X552" s="22">
        <f>IF($B552="","",IFERROR(INDEX(Cost_Centers!$E:$E,MATCH($B552,Cost_Centers!$A:$A,0)),"(unknown)"))</f>
        <v/>
      </c>
      <c r="Y552" s="22">
        <f>IF($B552="","",IFERROR(INDEX(Cost_Centers!$D:$D,MATCH($B552,Cost_Centers!$A:$A,0)),"(unknown)"))</f>
        <v/>
      </c>
      <c r="Z552" s="22">
        <f>IF(OR($B552="",$G552&lt;&gt;"Variance vs Budget"),"",ABS(N($V552))+ROW()/1000000000)</f>
        <v/>
      </c>
    </row>
    <row r="553" ht="45" customHeight="1">
      <c r="A553" s="13">
        <f>IF(A$546="","",A$546)</f>
        <v/>
      </c>
      <c r="B553" s="13">
        <f>IF(B$546="","",B$546)</f>
        <v/>
      </c>
      <c r="C553" s="13">
        <f>IF(C$546="","",C$546)</f>
        <v/>
      </c>
      <c r="D553" s="13">
        <f>IF(D$546="","",D$546)</f>
        <v/>
      </c>
      <c r="E553" s="13">
        <f>IF(E$546="","",E$546)</f>
        <v/>
      </c>
      <c r="F553" s="13">
        <f>IF(F$546="","",F$546)</f>
        <v/>
      </c>
      <c r="G553" s="7" t="inlineStr">
        <is>
          <t>Rationale</t>
        </is>
      </c>
      <c r="H553" s="38" t="n"/>
      <c r="I553" s="38" t="n"/>
      <c r="J553" s="38" t="n"/>
      <c r="K553" s="38" t="n"/>
      <c r="L553" s="38" t="n"/>
      <c r="M553" s="38" t="n"/>
      <c r="N553" s="38" t="n"/>
      <c r="O553" s="38" t="n"/>
      <c r="P553" s="38" t="n"/>
      <c r="Q553" s="38" t="n"/>
      <c r="R553" s="38" t="n"/>
      <c r="S553" s="38" t="n"/>
      <c r="T553" s="38" t="n"/>
      <c r="U553" s="38" t="n"/>
      <c r="V553" s="7" t="n"/>
      <c r="X553" s="22">
        <f>IF($B553="","",IFERROR(INDEX(Cost_Centers!$E:$E,MATCH($B553,Cost_Centers!$A:$A,0)),"(unknown)"))</f>
        <v/>
      </c>
      <c r="Y553" s="22">
        <f>IF($B553="","",IFERROR(INDEX(Cost_Centers!$D:$D,MATCH($B553,Cost_Centers!$A:$A,0)),"(unknown)"))</f>
        <v/>
      </c>
      <c r="Z553" s="22">
        <f>IF(OR($B553="",$G553&lt;&gt;"Variance vs Budget"),"",ABS(N($V553))+ROW()/1000000000)</f>
        <v/>
      </c>
    </row>
    <row r="554">
      <c r="A554" s="30">
        <f>IF($D$554="","",LEFT($D$554,FIND("|",$D$554&amp;"|")-1))</f>
        <v/>
      </c>
      <c r="B554" s="31" t="n"/>
      <c r="C554" s="30">
        <f>IF($B$554="","",IFERROR(INDEX(Cost_Centers!$B:$B,MATCH($B$554,Cost_Centers!$A:$A,0)),"(not in master)"))</f>
        <v/>
      </c>
      <c r="D554" s="31" t="n"/>
      <c r="E554" s="30">
        <f>IF($D$554="","",IFERROR(INDEX(Accounts!$D:$D,MATCH($D$554,Accounts!$A:$A,0)),"(not in master)"))</f>
        <v/>
      </c>
      <c r="F554" s="31" t="n"/>
      <c r="G554" s="30" t="inlineStr">
        <is>
          <t>Budget</t>
        </is>
      </c>
      <c r="H554" s="32">
        <f>IF($B$554="","",SUMIFS(Opex_Budget!$O:$O,Opex_Budget!$A:$A,$C$3,Opex_Budget!$E:$E,$B$554,Opex_Budget!$F:$F,$D$554,Opex_Budget!$N:$N,"JPY")*$E$5+SUMIFS(Opex_Budget!$O:$O,Opex_Budget!$A:$A,$C$3,Opex_Budget!$E:$E,$B$554,Opex_Budget!$F:$F,$D$554,Opex_Budget!$N:$N,"USD")*$F$5+SUMIFS(Opex_Budget!$O:$O,Opex_Budget!$A:$A,$C$3,Opex_Budget!$E:$E,$B$554,Opex_Budget!$F:$F,$D$554,Opex_Budget!$N:$N,"EUR")*$G$5+SUMIFS(Opex_Budget!$O:$O,Opex_Budget!$A:$A,$C$3,Opex_Budget!$E:$E,$B$554,Opex_Budget!$F:$F,$D$554,Opex_Budget!$N:$N,"GBP")*$H$5)</f>
        <v/>
      </c>
      <c r="I554" s="32">
        <f>IF($B$554="","",SUMIFS(Opex_Budget!$P:$P,Opex_Budget!$A:$A,$C$3,Opex_Budget!$E:$E,$B$554,Opex_Budget!$F:$F,$D$554,Opex_Budget!$N:$N,"JPY")*$E$5+SUMIFS(Opex_Budget!$P:$P,Opex_Budget!$A:$A,$C$3,Opex_Budget!$E:$E,$B$554,Opex_Budget!$F:$F,$D$554,Opex_Budget!$N:$N,"USD")*$F$5+SUMIFS(Opex_Budget!$P:$P,Opex_Budget!$A:$A,$C$3,Opex_Budget!$E:$E,$B$554,Opex_Budget!$F:$F,$D$554,Opex_Budget!$N:$N,"EUR")*$G$5+SUMIFS(Opex_Budget!$P:$P,Opex_Budget!$A:$A,$C$3,Opex_Budget!$E:$E,$B$554,Opex_Budget!$F:$F,$D$554,Opex_Budget!$N:$N,"GBP")*$H$5)</f>
        <v/>
      </c>
      <c r="J554" s="32">
        <f>IF($B$554="","",SUMIFS(Opex_Budget!$Q:$Q,Opex_Budget!$A:$A,$C$3,Opex_Budget!$E:$E,$B$554,Opex_Budget!$F:$F,$D$554,Opex_Budget!$N:$N,"JPY")*$E$5+SUMIFS(Opex_Budget!$Q:$Q,Opex_Budget!$A:$A,$C$3,Opex_Budget!$E:$E,$B$554,Opex_Budget!$F:$F,$D$554,Opex_Budget!$N:$N,"USD")*$F$5+SUMIFS(Opex_Budget!$Q:$Q,Opex_Budget!$A:$A,$C$3,Opex_Budget!$E:$E,$B$554,Opex_Budget!$F:$F,$D$554,Opex_Budget!$N:$N,"EUR")*$G$5+SUMIFS(Opex_Budget!$Q:$Q,Opex_Budget!$A:$A,$C$3,Opex_Budget!$E:$E,$B$554,Opex_Budget!$F:$F,$D$554,Opex_Budget!$N:$N,"GBP")*$H$5)</f>
        <v/>
      </c>
      <c r="K554" s="32">
        <f>IF($B$554="","",SUMIFS(Opex_Budget!$R:$R,Opex_Budget!$A:$A,$C$3,Opex_Budget!$E:$E,$B$554,Opex_Budget!$F:$F,$D$554,Opex_Budget!$N:$N,"JPY")*$E$5+SUMIFS(Opex_Budget!$R:$R,Opex_Budget!$A:$A,$C$3,Opex_Budget!$E:$E,$B$554,Opex_Budget!$F:$F,$D$554,Opex_Budget!$N:$N,"USD")*$F$5+SUMIFS(Opex_Budget!$R:$R,Opex_Budget!$A:$A,$C$3,Opex_Budget!$E:$E,$B$554,Opex_Budget!$F:$F,$D$554,Opex_Budget!$N:$N,"EUR")*$G$5+SUMIFS(Opex_Budget!$R:$R,Opex_Budget!$A:$A,$C$3,Opex_Budget!$E:$E,$B$554,Opex_Budget!$F:$F,$D$554,Opex_Budget!$N:$N,"GBP")*$H$5)</f>
        <v/>
      </c>
      <c r="L554" s="32">
        <f>IF($B$554="","",SUMIFS(Opex_Budget!$S:$S,Opex_Budget!$A:$A,$C$3,Opex_Budget!$E:$E,$B$554,Opex_Budget!$F:$F,$D$554,Opex_Budget!$N:$N,"JPY")*$E$5+SUMIFS(Opex_Budget!$S:$S,Opex_Budget!$A:$A,$C$3,Opex_Budget!$E:$E,$B$554,Opex_Budget!$F:$F,$D$554,Opex_Budget!$N:$N,"USD")*$F$5+SUMIFS(Opex_Budget!$S:$S,Opex_Budget!$A:$A,$C$3,Opex_Budget!$E:$E,$B$554,Opex_Budget!$F:$F,$D$554,Opex_Budget!$N:$N,"EUR")*$G$5+SUMIFS(Opex_Budget!$S:$S,Opex_Budget!$A:$A,$C$3,Opex_Budget!$E:$E,$B$554,Opex_Budget!$F:$F,$D$554,Opex_Budget!$N:$N,"GBP")*$H$5)</f>
        <v/>
      </c>
      <c r="M554" s="32">
        <f>IF($B$554="","",SUMIFS(Opex_Budget!$T:$T,Opex_Budget!$A:$A,$C$3,Opex_Budget!$E:$E,$B$554,Opex_Budget!$F:$F,$D$554,Opex_Budget!$N:$N,"JPY")*$E$5+SUMIFS(Opex_Budget!$T:$T,Opex_Budget!$A:$A,$C$3,Opex_Budget!$E:$E,$B$554,Opex_Budget!$F:$F,$D$554,Opex_Budget!$N:$N,"USD")*$F$5+SUMIFS(Opex_Budget!$T:$T,Opex_Budget!$A:$A,$C$3,Opex_Budget!$E:$E,$B$554,Opex_Budget!$F:$F,$D$554,Opex_Budget!$N:$N,"EUR")*$G$5+SUMIFS(Opex_Budget!$T:$T,Opex_Budget!$A:$A,$C$3,Opex_Budget!$E:$E,$B$554,Opex_Budget!$F:$F,$D$554,Opex_Budget!$N:$N,"GBP")*$H$5)</f>
        <v/>
      </c>
      <c r="N554" s="32">
        <f>IF($B$554="","",SUMIFS(Opex_Budget!$U:$U,Opex_Budget!$A:$A,$C$3,Opex_Budget!$E:$E,$B$554,Opex_Budget!$F:$F,$D$554,Opex_Budget!$N:$N,"JPY")*$E$5+SUMIFS(Opex_Budget!$U:$U,Opex_Budget!$A:$A,$C$3,Opex_Budget!$E:$E,$B$554,Opex_Budget!$F:$F,$D$554,Opex_Budget!$N:$N,"USD")*$F$5+SUMIFS(Opex_Budget!$U:$U,Opex_Budget!$A:$A,$C$3,Opex_Budget!$E:$E,$B$554,Opex_Budget!$F:$F,$D$554,Opex_Budget!$N:$N,"EUR")*$G$5+SUMIFS(Opex_Budget!$U:$U,Opex_Budget!$A:$A,$C$3,Opex_Budget!$E:$E,$B$554,Opex_Budget!$F:$F,$D$554,Opex_Budget!$N:$N,"GBP")*$H$5)</f>
        <v/>
      </c>
      <c r="O554" s="32">
        <f>IF($B$554="","",SUMIFS(Opex_Budget!$V:$V,Opex_Budget!$A:$A,$C$3,Opex_Budget!$E:$E,$B$554,Opex_Budget!$F:$F,$D$554,Opex_Budget!$N:$N,"JPY")*$E$5+SUMIFS(Opex_Budget!$V:$V,Opex_Budget!$A:$A,$C$3,Opex_Budget!$E:$E,$B$554,Opex_Budget!$F:$F,$D$554,Opex_Budget!$N:$N,"USD")*$F$5+SUMIFS(Opex_Budget!$V:$V,Opex_Budget!$A:$A,$C$3,Opex_Budget!$E:$E,$B$554,Opex_Budget!$F:$F,$D$554,Opex_Budget!$N:$N,"EUR")*$G$5+SUMIFS(Opex_Budget!$V:$V,Opex_Budget!$A:$A,$C$3,Opex_Budget!$E:$E,$B$554,Opex_Budget!$F:$F,$D$554,Opex_Budget!$N:$N,"GBP")*$H$5)</f>
        <v/>
      </c>
      <c r="P554" s="32">
        <f>IF($B$554="","",SUMIFS(Opex_Budget!$W:$W,Opex_Budget!$A:$A,$C$3,Opex_Budget!$E:$E,$B$554,Opex_Budget!$F:$F,$D$554,Opex_Budget!$N:$N,"JPY")*$E$5+SUMIFS(Opex_Budget!$W:$W,Opex_Budget!$A:$A,$C$3,Opex_Budget!$E:$E,$B$554,Opex_Budget!$F:$F,$D$554,Opex_Budget!$N:$N,"USD")*$F$5+SUMIFS(Opex_Budget!$W:$W,Opex_Budget!$A:$A,$C$3,Opex_Budget!$E:$E,$B$554,Opex_Budget!$F:$F,$D$554,Opex_Budget!$N:$N,"EUR")*$G$5+SUMIFS(Opex_Budget!$W:$W,Opex_Budget!$A:$A,$C$3,Opex_Budget!$E:$E,$B$554,Opex_Budget!$F:$F,$D$554,Opex_Budget!$N:$N,"GBP")*$H$5)</f>
        <v/>
      </c>
      <c r="Q554" s="32">
        <f>IF($B$554="","",SUMIFS(Opex_Budget!$X:$X,Opex_Budget!$A:$A,$C$3,Opex_Budget!$E:$E,$B$554,Opex_Budget!$F:$F,$D$554,Opex_Budget!$N:$N,"JPY")*$E$5+SUMIFS(Opex_Budget!$X:$X,Opex_Budget!$A:$A,$C$3,Opex_Budget!$E:$E,$B$554,Opex_Budget!$F:$F,$D$554,Opex_Budget!$N:$N,"USD")*$F$5+SUMIFS(Opex_Budget!$X:$X,Opex_Budget!$A:$A,$C$3,Opex_Budget!$E:$E,$B$554,Opex_Budget!$F:$F,$D$554,Opex_Budget!$N:$N,"EUR")*$G$5+SUMIFS(Opex_Budget!$X:$X,Opex_Budget!$A:$A,$C$3,Opex_Budget!$E:$E,$B$554,Opex_Budget!$F:$F,$D$554,Opex_Budget!$N:$N,"GBP")*$H$5)</f>
        <v/>
      </c>
      <c r="R554" s="32">
        <f>IF($B$554="","",SUMIFS(Opex_Budget!$Y:$Y,Opex_Budget!$A:$A,$C$3,Opex_Budget!$E:$E,$B$554,Opex_Budget!$F:$F,$D$554,Opex_Budget!$N:$N,"JPY")*$E$5+SUMIFS(Opex_Budget!$Y:$Y,Opex_Budget!$A:$A,$C$3,Opex_Budget!$E:$E,$B$554,Opex_Budget!$F:$F,$D$554,Opex_Budget!$N:$N,"USD")*$F$5+SUMIFS(Opex_Budget!$Y:$Y,Opex_Budget!$A:$A,$C$3,Opex_Budget!$E:$E,$B$554,Opex_Budget!$F:$F,$D$554,Opex_Budget!$N:$N,"EUR")*$G$5+SUMIFS(Opex_Budget!$Y:$Y,Opex_Budget!$A:$A,$C$3,Opex_Budget!$E:$E,$B$554,Opex_Budget!$F:$F,$D$554,Opex_Budget!$N:$N,"GBP")*$H$5)</f>
        <v/>
      </c>
      <c r="S554" s="32">
        <f>IF($B$554="","",SUMIFS(Opex_Budget!$Z:$Z,Opex_Budget!$A:$A,$C$3,Opex_Budget!$E:$E,$B$554,Opex_Budget!$F:$F,$D$554,Opex_Budget!$N:$N,"JPY")*$E$5+SUMIFS(Opex_Budget!$Z:$Z,Opex_Budget!$A:$A,$C$3,Opex_Budget!$E:$E,$B$554,Opex_Budget!$F:$F,$D$554,Opex_Budget!$N:$N,"USD")*$F$5+SUMIFS(Opex_Budget!$Z:$Z,Opex_Budget!$A:$A,$C$3,Opex_Budget!$E:$E,$B$554,Opex_Budget!$F:$F,$D$554,Opex_Budget!$N:$N,"EUR")*$G$5+SUMIFS(Opex_Budget!$Z:$Z,Opex_Budget!$A:$A,$C$3,Opex_Budget!$E:$E,$B$554,Opex_Budget!$F:$F,$D$554,Opex_Budget!$N:$N,"GBP")*$H$5)</f>
        <v/>
      </c>
      <c r="T554" s="32">
        <f>IF($B$554="","",SUMIF($H$7:$S$7,"&lt;="&amp;$C$4,$H554:$S554))</f>
        <v/>
      </c>
      <c r="U554" s="32">
        <f>IF($B$554="","",SUMIF($H$7:$S$7,"&gt;"&amp;$C$4,$H554:$S554))</f>
        <v/>
      </c>
      <c r="V554" s="32">
        <f>IF($B$554="","",SUM($H554:$S554))</f>
        <v/>
      </c>
      <c r="X554" s="22">
        <f>IF($B554="","",IFERROR(INDEX(Cost_Centers!$E:$E,MATCH($B554,Cost_Centers!$A:$A,0)),"(unknown)"))</f>
        <v/>
      </c>
      <c r="Y554" s="22">
        <f>IF($B554="","",IFERROR(INDEX(Cost_Centers!$D:$D,MATCH($B554,Cost_Centers!$A:$A,0)),"(unknown)"))</f>
        <v/>
      </c>
      <c r="Z554" s="22">
        <f>IF(OR($B554="",$G554&lt;&gt;"Variance vs Budget"),"",ABS(N($V554))+ROW()/1000000000)</f>
        <v/>
      </c>
    </row>
    <row r="555">
      <c r="A555" s="13">
        <f>IF(A$554="","",A$554)</f>
        <v/>
      </c>
      <c r="B555" s="13">
        <f>IF(B$554="","",B$554)</f>
        <v/>
      </c>
      <c r="C555" s="13">
        <f>IF(C$554="","",C$554)</f>
        <v/>
      </c>
      <c r="D555" s="13">
        <f>IF(D$554="","",D$554)</f>
        <v/>
      </c>
      <c r="E555" s="13">
        <f>IF(E$554="","",E$554)</f>
        <v/>
      </c>
      <c r="F555" s="13">
        <f>IF(F$554="","",F$554)</f>
        <v/>
      </c>
      <c r="G555" s="7" t="inlineStr">
        <is>
          <t>Actual</t>
        </is>
      </c>
      <c r="H555" s="18">
        <f>IF(OR($B$554="",1&gt;$C$4),"",SUMIFS(Actuals!$G:$G,Actuals!$B:$B,$C$3,Actuals!$C:$C,1,Actuals!$D:$D,$B$554,Actuals!$A:$A,LEFT($D$554,FIND("|",$D$554&amp;"|")-1),Actuals!$E:$E,MID($D$554,FIND("|",$D$554&amp;"|")+1,50),Actuals!$F:$F,"JPY")*$E$5+SUMIFS(Actuals!$G:$G,Actuals!$B:$B,$C$3,Actuals!$C:$C,1,Actuals!$D:$D,$B$554,Actuals!$A:$A,LEFT($D$554,FIND("|",$D$554&amp;"|")-1),Actuals!$E:$E,MID($D$554,FIND("|",$D$554&amp;"|")+1,50),Actuals!$F:$F,"USD")*$F$5+SUMIFS(Actuals!$G:$G,Actuals!$B:$B,$C$3,Actuals!$C:$C,1,Actuals!$D:$D,$B$554,Actuals!$A:$A,LEFT($D$554,FIND("|",$D$554&amp;"|")-1),Actuals!$E:$E,MID($D$554,FIND("|",$D$554&amp;"|")+1,50),Actuals!$F:$F,"EUR")*$G$5+SUMIFS(Actuals!$G:$G,Actuals!$B:$B,$C$3,Actuals!$C:$C,1,Actuals!$D:$D,$B$554,Actuals!$A:$A,LEFT($D$554,FIND("|",$D$554&amp;"|")-1),Actuals!$E:$E,MID($D$554,FIND("|",$D$554&amp;"|")+1,50),Actuals!$F:$F,"GBP")*$H$5)</f>
        <v/>
      </c>
      <c r="I555" s="18">
        <f>IF(OR($B$554="",2&gt;$C$4),"",SUMIFS(Actuals!$G:$G,Actuals!$B:$B,$C$3,Actuals!$C:$C,2,Actuals!$D:$D,$B$554,Actuals!$A:$A,LEFT($D$554,FIND("|",$D$554&amp;"|")-1),Actuals!$E:$E,MID($D$554,FIND("|",$D$554&amp;"|")+1,50),Actuals!$F:$F,"JPY")*$E$5+SUMIFS(Actuals!$G:$G,Actuals!$B:$B,$C$3,Actuals!$C:$C,2,Actuals!$D:$D,$B$554,Actuals!$A:$A,LEFT($D$554,FIND("|",$D$554&amp;"|")-1),Actuals!$E:$E,MID($D$554,FIND("|",$D$554&amp;"|")+1,50),Actuals!$F:$F,"USD")*$F$5+SUMIFS(Actuals!$G:$G,Actuals!$B:$B,$C$3,Actuals!$C:$C,2,Actuals!$D:$D,$B$554,Actuals!$A:$A,LEFT($D$554,FIND("|",$D$554&amp;"|")-1),Actuals!$E:$E,MID($D$554,FIND("|",$D$554&amp;"|")+1,50),Actuals!$F:$F,"EUR")*$G$5+SUMIFS(Actuals!$G:$G,Actuals!$B:$B,$C$3,Actuals!$C:$C,2,Actuals!$D:$D,$B$554,Actuals!$A:$A,LEFT($D$554,FIND("|",$D$554&amp;"|")-1),Actuals!$E:$E,MID($D$554,FIND("|",$D$554&amp;"|")+1,50),Actuals!$F:$F,"GBP")*$H$5)</f>
        <v/>
      </c>
      <c r="J555" s="18">
        <f>IF(OR($B$554="",3&gt;$C$4),"",SUMIFS(Actuals!$G:$G,Actuals!$B:$B,$C$3,Actuals!$C:$C,3,Actuals!$D:$D,$B$554,Actuals!$A:$A,LEFT($D$554,FIND("|",$D$554&amp;"|")-1),Actuals!$E:$E,MID($D$554,FIND("|",$D$554&amp;"|")+1,50),Actuals!$F:$F,"JPY")*$E$5+SUMIFS(Actuals!$G:$G,Actuals!$B:$B,$C$3,Actuals!$C:$C,3,Actuals!$D:$D,$B$554,Actuals!$A:$A,LEFT($D$554,FIND("|",$D$554&amp;"|")-1),Actuals!$E:$E,MID($D$554,FIND("|",$D$554&amp;"|")+1,50),Actuals!$F:$F,"USD")*$F$5+SUMIFS(Actuals!$G:$G,Actuals!$B:$B,$C$3,Actuals!$C:$C,3,Actuals!$D:$D,$B$554,Actuals!$A:$A,LEFT($D$554,FIND("|",$D$554&amp;"|")-1),Actuals!$E:$E,MID($D$554,FIND("|",$D$554&amp;"|")+1,50),Actuals!$F:$F,"EUR")*$G$5+SUMIFS(Actuals!$G:$G,Actuals!$B:$B,$C$3,Actuals!$C:$C,3,Actuals!$D:$D,$B$554,Actuals!$A:$A,LEFT($D$554,FIND("|",$D$554&amp;"|")-1),Actuals!$E:$E,MID($D$554,FIND("|",$D$554&amp;"|")+1,50),Actuals!$F:$F,"GBP")*$H$5)</f>
        <v/>
      </c>
      <c r="K555" s="18">
        <f>IF(OR($B$554="",4&gt;$C$4),"",SUMIFS(Actuals!$G:$G,Actuals!$B:$B,$C$3,Actuals!$C:$C,4,Actuals!$D:$D,$B$554,Actuals!$A:$A,LEFT($D$554,FIND("|",$D$554&amp;"|")-1),Actuals!$E:$E,MID($D$554,FIND("|",$D$554&amp;"|")+1,50),Actuals!$F:$F,"JPY")*$E$5+SUMIFS(Actuals!$G:$G,Actuals!$B:$B,$C$3,Actuals!$C:$C,4,Actuals!$D:$D,$B$554,Actuals!$A:$A,LEFT($D$554,FIND("|",$D$554&amp;"|")-1),Actuals!$E:$E,MID($D$554,FIND("|",$D$554&amp;"|")+1,50),Actuals!$F:$F,"USD")*$F$5+SUMIFS(Actuals!$G:$G,Actuals!$B:$B,$C$3,Actuals!$C:$C,4,Actuals!$D:$D,$B$554,Actuals!$A:$A,LEFT($D$554,FIND("|",$D$554&amp;"|")-1),Actuals!$E:$E,MID($D$554,FIND("|",$D$554&amp;"|")+1,50),Actuals!$F:$F,"EUR")*$G$5+SUMIFS(Actuals!$G:$G,Actuals!$B:$B,$C$3,Actuals!$C:$C,4,Actuals!$D:$D,$B$554,Actuals!$A:$A,LEFT($D$554,FIND("|",$D$554&amp;"|")-1),Actuals!$E:$E,MID($D$554,FIND("|",$D$554&amp;"|")+1,50),Actuals!$F:$F,"GBP")*$H$5)</f>
        <v/>
      </c>
      <c r="L555" s="18">
        <f>IF(OR($B$554="",5&gt;$C$4),"",SUMIFS(Actuals!$G:$G,Actuals!$B:$B,$C$3,Actuals!$C:$C,5,Actuals!$D:$D,$B$554,Actuals!$A:$A,LEFT($D$554,FIND("|",$D$554&amp;"|")-1),Actuals!$E:$E,MID($D$554,FIND("|",$D$554&amp;"|")+1,50),Actuals!$F:$F,"JPY")*$E$5+SUMIFS(Actuals!$G:$G,Actuals!$B:$B,$C$3,Actuals!$C:$C,5,Actuals!$D:$D,$B$554,Actuals!$A:$A,LEFT($D$554,FIND("|",$D$554&amp;"|")-1),Actuals!$E:$E,MID($D$554,FIND("|",$D$554&amp;"|")+1,50),Actuals!$F:$F,"USD")*$F$5+SUMIFS(Actuals!$G:$G,Actuals!$B:$B,$C$3,Actuals!$C:$C,5,Actuals!$D:$D,$B$554,Actuals!$A:$A,LEFT($D$554,FIND("|",$D$554&amp;"|")-1),Actuals!$E:$E,MID($D$554,FIND("|",$D$554&amp;"|")+1,50),Actuals!$F:$F,"EUR")*$G$5+SUMIFS(Actuals!$G:$G,Actuals!$B:$B,$C$3,Actuals!$C:$C,5,Actuals!$D:$D,$B$554,Actuals!$A:$A,LEFT($D$554,FIND("|",$D$554&amp;"|")-1),Actuals!$E:$E,MID($D$554,FIND("|",$D$554&amp;"|")+1,50),Actuals!$F:$F,"GBP")*$H$5)</f>
        <v/>
      </c>
      <c r="M555" s="18">
        <f>IF(OR($B$554="",6&gt;$C$4),"",SUMIFS(Actuals!$G:$G,Actuals!$B:$B,$C$3,Actuals!$C:$C,6,Actuals!$D:$D,$B$554,Actuals!$A:$A,LEFT($D$554,FIND("|",$D$554&amp;"|")-1),Actuals!$E:$E,MID($D$554,FIND("|",$D$554&amp;"|")+1,50),Actuals!$F:$F,"JPY")*$E$5+SUMIFS(Actuals!$G:$G,Actuals!$B:$B,$C$3,Actuals!$C:$C,6,Actuals!$D:$D,$B$554,Actuals!$A:$A,LEFT($D$554,FIND("|",$D$554&amp;"|")-1),Actuals!$E:$E,MID($D$554,FIND("|",$D$554&amp;"|")+1,50),Actuals!$F:$F,"USD")*$F$5+SUMIFS(Actuals!$G:$G,Actuals!$B:$B,$C$3,Actuals!$C:$C,6,Actuals!$D:$D,$B$554,Actuals!$A:$A,LEFT($D$554,FIND("|",$D$554&amp;"|")-1),Actuals!$E:$E,MID($D$554,FIND("|",$D$554&amp;"|")+1,50),Actuals!$F:$F,"EUR")*$G$5+SUMIFS(Actuals!$G:$G,Actuals!$B:$B,$C$3,Actuals!$C:$C,6,Actuals!$D:$D,$B$554,Actuals!$A:$A,LEFT($D$554,FIND("|",$D$554&amp;"|")-1),Actuals!$E:$E,MID($D$554,FIND("|",$D$554&amp;"|")+1,50),Actuals!$F:$F,"GBP")*$H$5)</f>
        <v/>
      </c>
      <c r="N555" s="18">
        <f>IF(OR($B$554="",7&gt;$C$4),"",SUMIFS(Actuals!$G:$G,Actuals!$B:$B,$C$3,Actuals!$C:$C,7,Actuals!$D:$D,$B$554,Actuals!$A:$A,LEFT($D$554,FIND("|",$D$554&amp;"|")-1),Actuals!$E:$E,MID($D$554,FIND("|",$D$554&amp;"|")+1,50),Actuals!$F:$F,"JPY")*$E$5+SUMIFS(Actuals!$G:$G,Actuals!$B:$B,$C$3,Actuals!$C:$C,7,Actuals!$D:$D,$B$554,Actuals!$A:$A,LEFT($D$554,FIND("|",$D$554&amp;"|")-1),Actuals!$E:$E,MID($D$554,FIND("|",$D$554&amp;"|")+1,50),Actuals!$F:$F,"USD")*$F$5+SUMIFS(Actuals!$G:$G,Actuals!$B:$B,$C$3,Actuals!$C:$C,7,Actuals!$D:$D,$B$554,Actuals!$A:$A,LEFT($D$554,FIND("|",$D$554&amp;"|")-1),Actuals!$E:$E,MID($D$554,FIND("|",$D$554&amp;"|")+1,50),Actuals!$F:$F,"EUR")*$G$5+SUMIFS(Actuals!$G:$G,Actuals!$B:$B,$C$3,Actuals!$C:$C,7,Actuals!$D:$D,$B$554,Actuals!$A:$A,LEFT($D$554,FIND("|",$D$554&amp;"|")-1),Actuals!$E:$E,MID($D$554,FIND("|",$D$554&amp;"|")+1,50),Actuals!$F:$F,"GBP")*$H$5)</f>
        <v/>
      </c>
      <c r="O555" s="18">
        <f>IF(OR($B$554="",8&gt;$C$4),"",SUMIFS(Actuals!$G:$G,Actuals!$B:$B,$C$3,Actuals!$C:$C,8,Actuals!$D:$D,$B$554,Actuals!$A:$A,LEFT($D$554,FIND("|",$D$554&amp;"|")-1),Actuals!$E:$E,MID($D$554,FIND("|",$D$554&amp;"|")+1,50),Actuals!$F:$F,"JPY")*$E$5+SUMIFS(Actuals!$G:$G,Actuals!$B:$B,$C$3,Actuals!$C:$C,8,Actuals!$D:$D,$B$554,Actuals!$A:$A,LEFT($D$554,FIND("|",$D$554&amp;"|")-1),Actuals!$E:$E,MID($D$554,FIND("|",$D$554&amp;"|")+1,50),Actuals!$F:$F,"USD")*$F$5+SUMIFS(Actuals!$G:$G,Actuals!$B:$B,$C$3,Actuals!$C:$C,8,Actuals!$D:$D,$B$554,Actuals!$A:$A,LEFT($D$554,FIND("|",$D$554&amp;"|")-1),Actuals!$E:$E,MID($D$554,FIND("|",$D$554&amp;"|")+1,50),Actuals!$F:$F,"EUR")*$G$5+SUMIFS(Actuals!$G:$G,Actuals!$B:$B,$C$3,Actuals!$C:$C,8,Actuals!$D:$D,$B$554,Actuals!$A:$A,LEFT($D$554,FIND("|",$D$554&amp;"|")-1),Actuals!$E:$E,MID($D$554,FIND("|",$D$554&amp;"|")+1,50),Actuals!$F:$F,"GBP")*$H$5)</f>
        <v/>
      </c>
      <c r="P555" s="18">
        <f>IF(OR($B$554="",9&gt;$C$4),"",SUMIFS(Actuals!$G:$G,Actuals!$B:$B,$C$3,Actuals!$C:$C,9,Actuals!$D:$D,$B$554,Actuals!$A:$A,LEFT($D$554,FIND("|",$D$554&amp;"|")-1),Actuals!$E:$E,MID($D$554,FIND("|",$D$554&amp;"|")+1,50),Actuals!$F:$F,"JPY")*$E$5+SUMIFS(Actuals!$G:$G,Actuals!$B:$B,$C$3,Actuals!$C:$C,9,Actuals!$D:$D,$B$554,Actuals!$A:$A,LEFT($D$554,FIND("|",$D$554&amp;"|")-1),Actuals!$E:$E,MID($D$554,FIND("|",$D$554&amp;"|")+1,50),Actuals!$F:$F,"USD")*$F$5+SUMIFS(Actuals!$G:$G,Actuals!$B:$B,$C$3,Actuals!$C:$C,9,Actuals!$D:$D,$B$554,Actuals!$A:$A,LEFT($D$554,FIND("|",$D$554&amp;"|")-1),Actuals!$E:$E,MID($D$554,FIND("|",$D$554&amp;"|")+1,50),Actuals!$F:$F,"EUR")*$G$5+SUMIFS(Actuals!$G:$G,Actuals!$B:$B,$C$3,Actuals!$C:$C,9,Actuals!$D:$D,$B$554,Actuals!$A:$A,LEFT($D$554,FIND("|",$D$554&amp;"|")-1),Actuals!$E:$E,MID($D$554,FIND("|",$D$554&amp;"|")+1,50),Actuals!$F:$F,"GBP")*$H$5)</f>
        <v/>
      </c>
      <c r="Q555" s="18">
        <f>IF(OR($B$554="",10&gt;$C$4),"",SUMIFS(Actuals!$G:$G,Actuals!$B:$B,$C$3,Actuals!$C:$C,10,Actuals!$D:$D,$B$554,Actuals!$A:$A,LEFT($D$554,FIND("|",$D$554&amp;"|")-1),Actuals!$E:$E,MID($D$554,FIND("|",$D$554&amp;"|")+1,50),Actuals!$F:$F,"JPY")*$E$5+SUMIFS(Actuals!$G:$G,Actuals!$B:$B,$C$3,Actuals!$C:$C,10,Actuals!$D:$D,$B$554,Actuals!$A:$A,LEFT($D$554,FIND("|",$D$554&amp;"|")-1),Actuals!$E:$E,MID($D$554,FIND("|",$D$554&amp;"|")+1,50),Actuals!$F:$F,"USD")*$F$5+SUMIFS(Actuals!$G:$G,Actuals!$B:$B,$C$3,Actuals!$C:$C,10,Actuals!$D:$D,$B$554,Actuals!$A:$A,LEFT($D$554,FIND("|",$D$554&amp;"|")-1),Actuals!$E:$E,MID($D$554,FIND("|",$D$554&amp;"|")+1,50),Actuals!$F:$F,"EUR")*$G$5+SUMIFS(Actuals!$G:$G,Actuals!$B:$B,$C$3,Actuals!$C:$C,10,Actuals!$D:$D,$B$554,Actuals!$A:$A,LEFT($D$554,FIND("|",$D$554&amp;"|")-1),Actuals!$E:$E,MID($D$554,FIND("|",$D$554&amp;"|")+1,50),Actuals!$F:$F,"GBP")*$H$5)</f>
        <v/>
      </c>
      <c r="R555" s="18">
        <f>IF(OR($B$554="",11&gt;$C$4),"",SUMIFS(Actuals!$G:$G,Actuals!$B:$B,$C$3,Actuals!$C:$C,11,Actuals!$D:$D,$B$554,Actuals!$A:$A,LEFT($D$554,FIND("|",$D$554&amp;"|")-1),Actuals!$E:$E,MID($D$554,FIND("|",$D$554&amp;"|")+1,50),Actuals!$F:$F,"JPY")*$E$5+SUMIFS(Actuals!$G:$G,Actuals!$B:$B,$C$3,Actuals!$C:$C,11,Actuals!$D:$D,$B$554,Actuals!$A:$A,LEFT($D$554,FIND("|",$D$554&amp;"|")-1),Actuals!$E:$E,MID($D$554,FIND("|",$D$554&amp;"|")+1,50),Actuals!$F:$F,"USD")*$F$5+SUMIFS(Actuals!$G:$G,Actuals!$B:$B,$C$3,Actuals!$C:$C,11,Actuals!$D:$D,$B$554,Actuals!$A:$A,LEFT($D$554,FIND("|",$D$554&amp;"|")-1),Actuals!$E:$E,MID($D$554,FIND("|",$D$554&amp;"|")+1,50),Actuals!$F:$F,"EUR")*$G$5+SUMIFS(Actuals!$G:$G,Actuals!$B:$B,$C$3,Actuals!$C:$C,11,Actuals!$D:$D,$B$554,Actuals!$A:$A,LEFT($D$554,FIND("|",$D$554&amp;"|")-1),Actuals!$E:$E,MID($D$554,FIND("|",$D$554&amp;"|")+1,50),Actuals!$F:$F,"GBP")*$H$5)</f>
        <v/>
      </c>
      <c r="S555" s="18">
        <f>IF(OR($B$554="",12&gt;$C$4),"",SUMIFS(Actuals!$G:$G,Actuals!$B:$B,$C$3,Actuals!$C:$C,12,Actuals!$D:$D,$B$554,Actuals!$A:$A,LEFT($D$554,FIND("|",$D$554&amp;"|")-1),Actuals!$E:$E,MID($D$554,FIND("|",$D$554&amp;"|")+1,50),Actuals!$F:$F,"JPY")*$E$5+SUMIFS(Actuals!$G:$G,Actuals!$B:$B,$C$3,Actuals!$C:$C,12,Actuals!$D:$D,$B$554,Actuals!$A:$A,LEFT($D$554,FIND("|",$D$554&amp;"|")-1),Actuals!$E:$E,MID($D$554,FIND("|",$D$554&amp;"|")+1,50),Actuals!$F:$F,"USD")*$F$5+SUMIFS(Actuals!$G:$G,Actuals!$B:$B,$C$3,Actuals!$C:$C,12,Actuals!$D:$D,$B$554,Actuals!$A:$A,LEFT($D$554,FIND("|",$D$554&amp;"|")-1),Actuals!$E:$E,MID($D$554,FIND("|",$D$554&amp;"|")+1,50),Actuals!$F:$F,"EUR")*$G$5+SUMIFS(Actuals!$G:$G,Actuals!$B:$B,$C$3,Actuals!$C:$C,12,Actuals!$D:$D,$B$554,Actuals!$A:$A,LEFT($D$554,FIND("|",$D$554&amp;"|")-1),Actuals!$E:$E,MID($D$554,FIND("|",$D$554&amp;"|")+1,50),Actuals!$F:$F,"GBP")*$H$5)</f>
        <v/>
      </c>
      <c r="T555" s="18">
        <f>IF($B$554="","",SUMIF($H$7:$S$7,"&lt;="&amp;$C$4,$H555:$S555))</f>
        <v/>
      </c>
      <c r="U555" s="18" t="n"/>
      <c r="V555" s="18" t="n"/>
      <c r="X555" s="22">
        <f>IF($B555="","",IFERROR(INDEX(Cost_Centers!$E:$E,MATCH($B555,Cost_Centers!$A:$A,0)),"(unknown)"))</f>
        <v/>
      </c>
      <c r="Y555" s="22">
        <f>IF($B555="","",IFERROR(INDEX(Cost_Centers!$D:$D,MATCH($B555,Cost_Centers!$A:$A,0)),"(unknown)"))</f>
        <v/>
      </c>
      <c r="Z555" s="22">
        <f>IF(OR($B555="",$G555&lt;&gt;"Variance vs Budget"),"",ABS(N($V555))+ROW()/1000000000)</f>
        <v/>
      </c>
    </row>
    <row r="556">
      <c r="A556" s="13">
        <f>IF(A$554="","",A$554)</f>
        <v/>
      </c>
      <c r="B556" s="13">
        <f>IF(B$554="","",B$554)</f>
        <v/>
      </c>
      <c r="C556" s="13">
        <f>IF(C$554="","",C$554)</f>
        <v/>
      </c>
      <c r="D556" s="13">
        <f>IF(D$554="","",D$554)</f>
        <v/>
      </c>
      <c r="E556" s="13">
        <f>IF(E$554="","",E$554)</f>
        <v/>
      </c>
      <c r="F556" s="13">
        <f>IF(F$554="","",F$554)</f>
        <v/>
      </c>
      <c r="G556" s="6" t="inlineStr">
        <is>
          <t>Variance vs Budget</t>
        </is>
      </c>
      <c r="H556" s="33">
        <f>IF(OR($B$554="",1&gt;$C$4),"",N(H555)-H554)</f>
        <v/>
      </c>
      <c r="I556" s="33">
        <f>IF(OR($B$554="",2&gt;$C$4),"",N(I555)-I554)</f>
        <v/>
      </c>
      <c r="J556" s="33">
        <f>IF(OR($B$554="",3&gt;$C$4),"",N(J555)-J554)</f>
        <v/>
      </c>
      <c r="K556" s="33">
        <f>IF(OR($B$554="",4&gt;$C$4),"",N(K555)-K554)</f>
        <v/>
      </c>
      <c r="L556" s="33">
        <f>IF(OR($B$554="",5&gt;$C$4),"",N(L555)-L554)</f>
        <v/>
      </c>
      <c r="M556" s="33">
        <f>IF(OR($B$554="",6&gt;$C$4),"",N(M555)-M554)</f>
        <v/>
      </c>
      <c r="N556" s="33">
        <f>IF(OR($B$554="",7&gt;$C$4),"",N(N555)-N554)</f>
        <v/>
      </c>
      <c r="O556" s="33">
        <f>IF(OR($B$554="",8&gt;$C$4),"",N(O555)-O554)</f>
        <v/>
      </c>
      <c r="P556" s="33">
        <f>IF(OR($B$554="",9&gt;$C$4),"",N(P555)-P554)</f>
        <v/>
      </c>
      <c r="Q556" s="33">
        <f>IF(OR($B$554="",10&gt;$C$4),"",N(Q555)-Q554)</f>
        <v/>
      </c>
      <c r="R556" s="33">
        <f>IF(OR($B$554="",11&gt;$C$4),"",N(R555)-R554)</f>
        <v/>
      </c>
      <c r="S556" s="33">
        <f>IF(OR($B$554="",12&gt;$C$4),"",N(S555)-S554)</f>
        <v/>
      </c>
      <c r="T556" s="33">
        <f>IF($B$554="","",T555-T554)</f>
        <v/>
      </c>
      <c r="U556" s="33">
        <f>IF($B$554="","",U558-U554)</f>
        <v/>
      </c>
      <c r="V556" s="33">
        <f>IF($B$554="","",V558-V554)</f>
        <v/>
      </c>
      <c r="X556" s="22">
        <f>IF($B556="","",IFERROR(INDEX(Cost_Centers!$E:$E,MATCH($B556,Cost_Centers!$A:$A,0)),"(unknown)"))</f>
        <v/>
      </c>
      <c r="Y556" s="22">
        <f>IF($B556="","",IFERROR(INDEX(Cost_Centers!$D:$D,MATCH($B556,Cost_Centers!$A:$A,0)),"(unknown)"))</f>
        <v/>
      </c>
      <c r="Z556" s="22">
        <f>IF(OR($B556="",$G556&lt;&gt;"Variance vs Budget"),"",ABS(N($V556))+ROW()/1000000000)</f>
        <v/>
      </c>
    </row>
    <row r="557">
      <c r="A557" s="13">
        <f>IF(A$554="","",A$554)</f>
        <v/>
      </c>
      <c r="B557" s="13">
        <f>IF(B$554="","",B$554)</f>
        <v/>
      </c>
      <c r="C557" s="13">
        <f>IF(C$554="","",C$554)</f>
        <v/>
      </c>
      <c r="D557" s="13">
        <f>IF(D$554="","",D$554)</f>
        <v/>
      </c>
      <c r="E557" s="13">
        <f>IF(E$554="","",E$554)</f>
        <v/>
      </c>
      <c r="F557" s="13">
        <f>IF(F$554="","",F$554)</f>
        <v/>
      </c>
      <c r="G557" s="7" t="inlineStr">
        <is>
          <t>Forecast (input)</t>
        </is>
      </c>
      <c r="H557" s="34" t="n"/>
      <c r="I557" s="34" t="n"/>
      <c r="J557" s="34" t="n"/>
      <c r="K557" s="34" t="n"/>
      <c r="L557" s="34" t="n"/>
      <c r="M557" s="34" t="n"/>
      <c r="N557" s="34" t="n"/>
      <c r="O557" s="34" t="n"/>
      <c r="P557" s="34" t="n"/>
      <c r="Q557" s="34" t="n"/>
      <c r="R557" s="34" t="n"/>
      <c r="S557" s="34" t="n"/>
      <c r="T557" s="18" t="n"/>
      <c r="U557" s="18" t="n"/>
      <c r="V557" s="18" t="n"/>
      <c r="X557" s="22">
        <f>IF($B557="","",IFERROR(INDEX(Cost_Centers!$E:$E,MATCH($B557,Cost_Centers!$A:$A,0)),"(unknown)"))</f>
        <v/>
      </c>
      <c r="Y557" s="22">
        <f>IF($B557="","",IFERROR(INDEX(Cost_Centers!$D:$D,MATCH($B557,Cost_Centers!$A:$A,0)),"(unknown)"))</f>
        <v/>
      </c>
      <c r="Z557" s="22">
        <f>IF(OR($B557="",$G557&lt;&gt;"Variance vs Budget"),"",ABS(N($V557))+ROW()/1000000000)</f>
        <v/>
      </c>
    </row>
    <row r="558">
      <c r="A558" s="13">
        <f>IF(A$554="","",A$554)</f>
        <v/>
      </c>
      <c r="B558" s="13">
        <f>IF(B$554="","",B$554)</f>
        <v/>
      </c>
      <c r="C558" s="13">
        <f>IF(C$554="","",C$554)</f>
        <v/>
      </c>
      <c r="D558" s="13">
        <f>IF(D$554="","",D$554)</f>
        <v/>
      </c>
      <c r="E558" s="13">
        <f>IF(E$554="","",E$554)</f>
        <v/>
      </c>
      <c r="F558" s="13">
        <f>IF(F$554="","",F$554)</f>
        <v/>
      </c>
      <c r="G558" s="35" t="inlineStr">
        <is>
          <t>Actual + Forecast</t>
        </is>
      </c>
      <c r="H558" s="18">
        <f>IF($B$554="","",IF(1&lt;=$C$4,N(H555),IF(H557="",H554,H557)))</f>
        <v/>
      </c>
      <c r="I558" s="18">
        <f>IF($B$554="","",IF(2&lt;=$C$4,N(I555),IF(I557="",I554,I557)))</f>
        <v/>
      </c>
      <c r="J558" s="18">
        <f>IF($B$554="","",IF(3&lt;=$C$4,N(J555),IF(J557="",J554,J557)))</f>
        <v/>
      </c>
      <c r="K558" s="18">
        <f>IF($B$554="","",IF(4&lt;=$C$4,N(K555),IF(K557="",K554,K557)))</f>
        <v/>
      </c>
      <c r="L558" s="18">
        <f>IF($B$554="","",IF(5&lt;=$C$4,N(L555),IF(L557="",L554,L557)))</f>
        <v/>
      </c>
      <c r="M558" s="18">
        <f>IF($B$554="","",IF(6&lt;=$C$4,N(M555),IF(M557="",M554,M557)))</f>
        <v/>
      </c>
      <c r="N558" s="18">
        <f>IF($B$554="","",IF(7&lt;=$C$4,N(N555),IF(N557="",N554,N557)))</f>
        <v/>
      </c>
      <c r="O558" s="18">
        <f>IF($B$554="","",IF(8&lt;=$C$4,N(O555),IF(O557="",O554,O557)))</f>
        <v/>
      </c>
      <c r="P558" s="18">
        <f>IF($B$554="","",IF(9&lt;=$C$4,N(P555),IF(P557="",P554,P557)))</f>
        <v/>
      </c>
      <c r="Q558" s="18">
        <f>IF($B$554="","",IF(10&lt;=$C$4,N(Q555),IF(Q557="",Q554,Q557)))</f>
        <v/>
      </c>
      <c r="R558" s="18">
        <f>IF($B$554="","",IF(11&lt;=$C$4,N(R555),IF(R557="",R554,R557)))</f>
        <v/>
      </c>
      <c r="S558" s="18">
        <f>IF($B$554="","",IF(12&lt;=$C$4,N(S555),IF(S557="",S554,S557)))</f>
        <v/>
      </c>
      <c r="T558" s="18">
        <f>IF($B$554="","",SUMIF($H$7:$S$7,"&lt;="&amp;$C$4,$H558:$S558))</f>
        <v/>
      </c>
      <c r="U558" s="18">
        <f>IF($B$554="","",SUMIF($H$7:$S$7,"&gt;"&amp;$C$4,$H558:$S558))</f>
        <v/>
      </c>
      <c r="V558" s="18">
        <f>IF($B$554="","",SUM($H558:$S558))</f>
        <v/>
      </c>
      <c r="X558" s="22">
        <f>IF($B558="","",IFERROR(INDEX(Cost_Centers!$E:$E,MATCH($B558,Cost_Centers!$A:$A,0)),"(unknown)"))</f>
        <v/>
      </c>
      <c r="Y558" s="22">
        <f>IF($B558="","",IFERROR(INDEX(Cost_Centers!$D:$D,MATCH($B558,Cost_Centers!$A:$A,0)),"(unknown)"))</f>
        <v/>
      </c>
      <c r="Z558" s="22">
        <f>IF(OR($B558="",$G558&lt;&gt;"Variance vs Budget"),"",ABS(N($V558))+ROW()/1000000000)</f>
        <v/>
      </c>
    </row>
    <row r="559">
      <c r="A559" s="13">
        <f>IF(A$554="","",A$554)</f>
        <v/>
      </c>
      <c r="B559" s="13">
        <f>IF(B$554="","",B$554)</f>
        <v/>
      </c>
      <c r="C559" s="13">
        <f>IF(C$554="","",C$554)</f>
        <v/>
      </c>
      <c r="D559" s="13">
        <f>IF(D$554="","",D$554)</f>
        <v/>
      </c>
      <c r="E559" s="13">
        <f>IF(E$554="","",E$554)</f>
        <v/>
      </c>
      <c r="F559" s="13">
        <f>IF(F$554="","",F$554)</f>
        <v/>
      </c>
      <c r="G559" s="36" t="inlineStr">
        <is>
          <t>Prior Month Forecast</t>
        </is>
      </c>
      <c r="H559" s="37">
        <f>IF($B$554="","",IF(COUNTIFS(Prior_Forecast!$A:$A,$B$554,Prior_Forecast!$B:$B,$D$554)&gt;0,SUMIFS(Prior_Forecast!$C:$C,Prior_Forecast!$A:$A,$B$554,Prior_Forecast!$B:$B,$D$554),""))</f>
        <v/>
      </c>
      <c r="I559" s="37">
        <f>IF($B$554="","",IF(COUNTIFS(Prior_Forecast!$A:$A,$B$554,Prior_Forecast!$B:$B,$D$554)&gt;0,SUMIFS(Prior_Forecast!$D:$D,Prior_Forecast!$A:$A,$B$554,Prior_Forecast!$B:$B,$D$554),""))</f>
        <v/>
      </c>
      <c r="J559" s="37">
        <f>IF($B$554="","",IF(COUNTIFS(Prior_Forecast!$A:$A,$B$554,Prior_Forecast!$B:$B,$D$554)&gt;0,SUMIFS(Prior_Forecast!$E:$E,Prior_Forecast!$A:$A,$B$554,Prior_Forecast!$B:$B,$D$554),""))</f>
        <v/>
      </c>
      <c r="K559" s="37">
        <f>IF($B$554="","",IF(COUNTIFS(Prior_Forecast!$A:$A,$B$554,Prior_Forecast!$B:$B,$D$554)&gt;0,SUMIFS(Prior_Forecast!$F:$F,Prior_Forecast!$A:$A,$B$554,Prior_Forecast!$B:$B,$D$554),""))</f>
        <v/>
      </c>
      <c r="L559" s="37">
        <f>IF($B$554="","",IF(COUNTIFS(Prior_Forecast!$A:$A,$B$554,Prior_Forecast!$B:$B,$D$554)&gt;0,SUMIFS(Prior_Forecast!$G:$G,Prior_Forecast!$A:$A,$B$554,Prior_Forecast!$B:$B,$D$554),""))</f>
        <v/>
      </c>
      <c r="M559" s="37">
        <f>IF($B$554="","",IF(COUNTIFS(Prior_Forecast!$A:$A,$B$554,Prior_Forecast!$B:$B,$D$554)&gt;0,SUMIFS(Prior_Forecast!$H:$H,Prior_Forecast!$A:$A,$B$554,Prior_Forecast!$B:$B,$D$554),""))</f>
        <v/>
      </c>
      <c r="N559" s="37">
        <f>IF($B$554="","",IF(COUNTIFS(Prior_Forecast!$A:$A,$B$554,Prior_Forecast!$B:$B,$D$554)&gt;0,SUMIFS(Prior_Forecast!$I:$I,Prior_Forecast!$A:$A,$B$554,Prior_Forecast!$B:$B,$D$554),""))</f>
        <v/>
      </c>
      <c r="O559" s="37">
        <f>IF($B$554="","",IF(COUNTIFS(Prior_Forecast!$A:$A,$B$554,Prior_Forecast!$B:$B,$D$554)&gt;0,SUMIFS(Prior_Forecast!$J:$J,Prior_Forecast!$A:$A,$B$554,Prior_Forecast!$B:$B,$D$554),""))</f>
        <v/>
      </c>
      <c r="P559" s="37">
        <f>IF($B$554="","",IF(COUNTIFS(Prior_Forecast!$A:$A,$B$554,Prior_Forecast!$B:$B,$D$554)&gt;0,SUMIFS(Prior_Forecast!$K:$K,Prior_Forecast!$A:$A,$B$554,Prior_Forecast!$B:$B,$D$554),""))</f>
        <v/>
      </c>
      <c r="Q559" s="37">
        <f>IF($B$554="","",IF(COUNTIFS(Prior_Forecast!$A:$A,$B$554,Prior_Forecast!$B:$B,$D$554)&gt;0,SUMIFS(Prior_Forecast!$L:$L,Prior_Forecast!$A:$A,$B$554,Prior_Forecast!$B:$B,$D$554),""))</f>
        <v/>
      </c>
      <c r="R559" s="37">
        <f>IF($B$554="","",IF(COUNTIFS(Prior_Forecast!$A:$A,$B$554,Prior_Forecast!$B:$B,$D$554)&gt;0,SUMIFS(Prior_Forecast!$M:$M,Prior_Forecast!$A:$A,$B$554,Prior_Forecast!$B:$B,$D$554),""))</f>
        <v/>
      </c>
      <c r="S559" s="37">
        <f>IF($B$554="","",IF(COUNTIFS(Prior_Forecast!$A:$A,$B$554,Prior_Forecast!$B:$B,$D$554)&gt;0,SUMIFS(Prior_Forecast!$N:$N,Prior_Forecast!$A:$A,$B$554,Prior_Forecast!$B:$B,$D$554),""))</f>
        <v/>
      </c>
      <c r="T559" s="37">
        <f>IF($B$554="","",IF(COUNTIFS(Prior_Forecast!$A:$A,$B$554,Prior_Forecast!$B:$B,$D$554)&gt;0,SUMIFS(Prior_Forecast!$O:$O,Prior_Forecast!$A:$A,$B$554,Prior_Forecast!$B:$B,$D$554),""))</f>
        <v/>
      </c>
      <c r="U559" s="37">
        <f>IF($B$554="","",IF(COUNTIFS(Prior_Forecast!$A:$A,$B$554,Prior_Forecast!$B:$B,$D$554)&gt;0,SUMIFS(Prior_Forecast!$P:$P,Prior_Forecast!$A:$A,$B$554,Prior_Forecast!$B:$B,$D$554),""))</f>
        <v/>
      </c>
      <c r="V559" s="37">
        <f>IF($B$554="","",IF(COUNTIFS(Prior_Forecast!$A:$A,$B$554,Prior_Forecast!$B:$B,$D$554)&gt;0,SUMIFS(Prior_Forecast!$Q:$Q,Prior_Forecast!$A:$A,$B$554,Prior_Forecast!$B:$B,$D$554),""))</f>
        <v/>
      </c>
      <c r="X559" s="22">
        <f>IF($B559="","",IFERROR(INDEX(Cost_Centers!$E:$E,MATCH($B559,Cost_Centers!$A:$A,0)),"(unknown)"))</f>
        <v/>
      </c>
      <c r="Y559" s="22">
        <f>IF($B559="","",IFERROR(INDEX(Cost_Centers!$D:$D,MATCH($B559,Cost_Centers!$A:$A,0)),"(unknown)"))</f>
        <v/>
      </c>
      <c r="Z559" s="22">
        <f>IF(OR($B559="",$G559&lt;&gt;"Variance vs Budget"),"",ABS(N($V559))+ROW()/1000000000)</f>
        <v/>
      </c>
    </row>
    <row r="560">
      <c r="A560" s="13">
        <f>IF(A$554="","",A$554)</f>
        <v/>
      </c>
      <c r="B560" s="13">
        <f>IF(B$554="","",B$554)</f>
        <v/>
      </c>
      <c r="C560" s="13">
        <f>IF(C$554="","",C$554)</f>
        <v/>
      </c>
      <c r="D560" s="13">
        <f>IF(D$554="","",D$554)</f>
        <v/>
      </c>
      <c r="E560" s="13">
        <f>IF(E$554="","",E$554)</f>
        <v/>
      </c>
      <c r="F560" s="13">
        <f>IF(F$554="","",F$554)</f>
        <v/>
      </c>
      <c r="G560" s="6" t="inlineStr">
        <is>
          <t>Variance vs Prior Month</t>
        </is>
      </c>
      <c r="H560" s="33">
        <f>IF(OR($B$554="",H559=""),"",H558-H559)</f>
        <v/>
      </c>
      <c r="I560" s="33">
        <f>IF(OR($B$554="",I559=""),"",I558-I559)</f>
        <v/>
      </c>
      <c r="J560" s="33">
        <f>IF(OR($B$554="",J559=""),"",J558-J559)</f>
        <v/>
      </c>
      <c r="K560" s="33">
        <f>IF(OR($B$554="",K559=""),"",K558-K559)</f>
        <v/>
      </c>
      <c r="L560" s="33">
        <f>IF(OR($B$554="",L559=""),"",L558-L559)</f>
        <v/>
      </c>
      <c r="M560" s="33">
        <f>IF(OR($B$554="",M559=""),"",M558-M559)</f>
        <v/>
      </c>
      <c r="N560" s="33">
        <f>IF(OR($B$554="",N559=""),"",N558-N559)</f>
        <v/>
      </c>
      <c r="O560" s="33">
        <f>IF(OR($B$554="",O559=""),"",O558-O559)</f>
        <v/>
      </c>
      <c r="P560" s="33">
        <f>IF(OR($B$554="",P559=""),"",P558-P559)</f>
        <v/>
      </c>
      <c r="Q560" s="33">
        <f>IF(OR($B$554="",Q559=""),"",Q558-Q559)</f>
        <v/>
      </c>
      <c r="R560" s="33">
        <f>IF(OR($B$554="",R559=""),"",R558-R559)</f>
        <v/>
      </c>
      <c r="S560" s="33">
        <f>IF(OR($B$554="",S559=""),"",S558-S559)</f>
        <v/>
      </c>
      <c r="T560" s="33">
        <f>IF(OR($B$554="",T559=""),"",T558-T559)</f>
        <v/>
      </c>
      <c r="U560" s="33">
        <f>IF(OR($B$554="",U559=""),"",U558-U559)</f>
        <v/>
      </c>
      <c r="V560" s="33">
        <f>IF(OR($B$554="",V559=""),"",V558-V559)</f>
        <v/>
      </c>
      <c r="X560" s="22">
        <f>IF($B560="","",IFERROR(INDEX(Cost_Centers!$E:$E,MATCH($B560,Cost_Centers!$A:$A,0)),"(unknown)"))</f>
        <v/>
      </c>
      <c r="Y560" s="22">
        <f>IF($B560="","",IFERROR(INDEX(Cost_Centers!$D:$D,MATCH($B560,Cost_Centers!$A:$A,0)),"(unknown)"))</f>
        <v/>
      </c>
      <c r="Z560" s="22">
        <f>IF(OR($B560="",$G560&lt;&gt;"Variance vs Budget"),"",ABS(N($V560))+ROW()/1000000000)</f>
        <v/>
      </c>
    </row>
    <row r="561" ht="45" customHeight="1">
      <c r="A561" s="13">
        <f>IF(A$554="","",A$554)</f>
        <v/>
      </c>
      <c r="B561" s="13">
        <f>IF(B$554="","",B$554)</f>
        <v/>
      </c>
      <c r="C561" s="13">
        <f>IF(C$554="","",C$554)</f>
        <v/>
      </c>
      <c r="D561" s="13">
        <f>IF(D$554="","",D$554)</f>
        <v/>
      </c>
      <c r="E561" s="13">
        <f>IF(E$554="","",E$554)</f>
        <v/>
      </c>
      <c r="F561" s="13">
        <f>IF(F$554="","",F$554)</f>
        <v/>
      </c>
      <c r="G561" s="7" t="inlineStr">
        <is>
          <t>Rationale</t>
        </is>
      </c>
      <c r="H561" s="38" t="n"/>
      <c r="I561" s="38" t="n"/>
      <c r="J561" s="38" t="n"/>
      <c r="K561" s="38" t="n"/>
      <c r="L561" s="38" t="n"/>
      <c r="M561" s="38" t="n"/>
      <c r="N561" s="38" t="n"/>
      <c r="O561" s="38" t="n"/>
      <c r="P561" s="38" t="n"/>
      <c r="Q561" s="38" t="n"/>
      <c r="R561" s="38" t="n"/>
      <c r="S561" s="38" t="n"/>
      <c r="T561" s="38" t="n"/>
      <c r="U561" s="38" t="n"/>
      <c r="V561" s="7" t="n"/>
      <c r="X561" s="22">
        <f>IF($B561="","",IFERROR(INDEX(Cost_Centers!$E:$E,MATCH($B561,Cost_Centers!$A:$A,0)),"(unknown)"))</f>
        <v/>
      </c>
      <c r="Y561" s="22">
        <f>IF($B561="","",IFERROR(INDEX(Cost_Centers!$D:$D,MATCH($B561,Cost_Centers!$A:$A,0)),"(unknown)"))</f>
        <v/>
      </c>
      <c r="Z561" s="22">
        <f>IF(OR($B561="",$G561&lt;&gt;"Variance vs Budget"),"",ABS(N($V561))+ROW()/1000000000)</f>
        <v/>
      </c>
    </row>
    <row r="562">
      <c r="A562" s="30">
        <f>IF($D$562="","",LEFT($D$562,FIND("|",$D$562&amp;"|")-1))</f>
        <v/>
      </c>
      <c r="B562" s="31" t="n"/>
      <c r="C562" s="30">
        <f>IF($B$562="","",IFERROR(INDEX(Cost_Centers!$B:$B,MATCH($B$562,Cost_Centers!$A:$A,0)),"(not in master)"))</f>
        <v/>
      </c>
      <c r="D562" s="31" t="n"/>
      <c r="E562" s="30">
        <f>IF($D$562="","",IFERROR(INDEX(Accounts!$D:$D,MATCH($D$562,Accounts!$A:$A,0)),"(not in master)"))</f>
        <v/>
      </c>
      <c r="F562" s="31" t="n"/>
      <c r="G562" s="30" t="inlineStr">
        <is>
          <t>Budget</t>
        </is>
      </c>
      <c r="H562" s="32">
        <f>IF($B$562="","",SUMIFS(Opex_Budget!$O:$O,Opex_Budget!$A:$A,$C$3,Opex_Budget!$E:$E,$B$562,Opex_Budget!$F:$F,$D$562,Opex_Budget!$N:$N,"JPY")*$E$5+SUMIFS(Opex_Budget!$O:$O,Opex_Budget!$A:$A,$C$3,Opex_Budget!$E:$E,$B$562,Opex_Budget!$F:$F,$D$562,Opex_Budget!$N:$N,"USD")*$F$5+SUMIFS(Opex_Budget!$O:$O,Opex_Budget!$A:$A,$C$3,Opex_Budget!$E:$E,$B$562,Opex_Budget!$F:$F,$D$562,Opex_Budget!$N:$N,"EUR")*$G$5+SUMIFS(Opex_Budget!$O:$O,Opex_Budget!$A:$A,$C$3,Opex_Budget!$E:$E,$B$562,Opex_Budget!$F:$F,$D$562,Opex_Budget!$N:$N,"GBP")*$H$5)</f>
        <v/>
      </c>
      <c r="I562" s="32">
        <f>IF($B$562="","",SUMIFS(Opex_Budget!$P:$P,Opex_Budget!$A:$A,$C$3,Opex_Budget!$E:$E,$B$562,Opex_Budget!$F:$F,$D$562,Opex_Budget!$N:$N,"JPY")*$E$5+SUMIFS(Opex_Budget!$P:$P,Opex_Budget!$A:$A,$C$3,Opex_Budget!$E:$E,$B$562,Opex_Budget!$F:$F,$D$562,Opex_Budget!$N:$N,"USD")*$F$5+SUMIFS(Opex_Budget!$P:$P,Opex_Budget!$A:$A,$C$3,Opex_Budget!$E:$E,$B$562,Opex_Budget!$F:$F,$D$562,Opex_Budget!$N:$N,"EUR")*$G$5+SUMIFS(Opex_Budget!$P:$P,Opex_Budget!$A:$A,$C$3,Opex_Budget!$E:$E,$B$562,Opex_Budget!$F:$F,$D$562,Opex_Budget!$N:$N,"GBP")*$H$5)</f>
        <v/>
      </c>
      <c r="J562" s="32">
        <f>IF($B$562="","",SUMIFS(Opex_Budget!$Q:$Q,Opex_Budget!$A:$A,$C$3,Opex_Budget!$E:$E,$B$562,Opex_Budget!$F:$F,$D$562,Opex_Budget!$N:$N,"JPY")*$E$5+SUMIFS(Opex_Budget!$Q:$Q,Opex_Budget!$A:$A,$C$3,Opex_Budget!$E:$E,$B$562,Opex_Budget!$F:$F,$D$562,Opex_Budget!$N:$N,"USD")*$F$5+SUMIFS(Opex_Budget!$Q:$Q,Opex_Budget!$A:$A,$C$3,Opex_Budget!$E:$E,$B$562,Opex_Budget!$F:$F,$D$562,Opex_Budget!$N:$N,"EUR")*$G$5+SUMIFS(Opex_Budget!$Q:$Q,Opex_Budget!$A:$A,$C$3,Opex_Budget!$E:$E,$B$562,Opex_Budget!$F:$F,$D$562,Opex_Budget!$N:$N,"GBP")*$H$5)</f>
        <v/>
      </c>
      <c r="K562" s="32">
        <f>IF($B$562="","",SUMIFS(Opex_Budget!$R:$R,Opex_Budget!$A:$A,$C$3,Opex_Budget!$E:$E,$B$562,Opex_Budget!$F:$F,$D$562,Opex_Budget!$N:$N,"JPY")*$E$5+SUMIFS(Opex_Budget!$R:$R,Opex_Budget!$A:$A,$C$3,Opex_Budget!$E:$E,$B$562,Opex_Budget!$F:$F,$D$562,Opex_Budget!$N:$N,"USD")*$F$5+SUMIFS(Opex_Budget!$R:$R,Opex_Budget!$A:$A,$C$3,Opex_Budget!$E:$E,$B$562,Opex_Budget!$F:$F,$D$562,Opex_Budget!$N:$N,"EUR")*$G$5+SUMIFS(Opex_Budget!$R:$R,Opex_Budget!$A:$A,$C$3,Opex_Budget!$E:$E,$B$562,Opex_Budget!$F:$F,$D$562,Opex_Budget!$N:$N,"GBP")*$H$5)</f>
        <v/>
      </c>
      <c r="L562" s="32">
        <f>IF($B$562="","",SUMIFS(Opex_Budget!$S:$S,Opex_Budget!$A:$A,$C$3,Opex_Budget!$E:$E,$B$562,Opex_Budget!$F:$F,$D$562,Opex_Budget!$N:$N,"JPY")*$E$5+SUMIFS(Opex_Budget!$S:$S,Opex_Budget!$A:$A,$C$3,Opex_Budget!$E:$E,$B$562,Opex_Budget!$F:$F,$D$562,Opex_Budget!$N:$N,"USD")*$F$5+SUMIFS(Opex_Budget!$S:$S,Opex_Budget!$A:$A,$C$3,Opex_Budget!$E:$E,$B$562,Opex_Budget!$F:$F,$D$562,Opex_Budget!$N:$N,"EUR")*$G$5+SUMIFS(Opex_Budget!$S:$S,Opex_Budget!$A:$A,$C$3,Opex_Budget!$E:$E,$B$562,Opex_Budget!$F:$F,$D$562,Opex_Budget!$N:$N,"GBP")*$H$5)</f>
        <v/>
      </c>
      <c r="M562" s="32">
        <f>IF($B$562="","",SUMIFS(Opex_Budget!$T:$T,Opex_Budget!$A:$A,$C$3,Opex_Budget!$E:$E,$B$562,Opex_Budget!$F:$F,$D$562,Opex_Budget!$N:$N,"JPY")*$E$5+SUMIFS(Opex_Budget!$T:$T,Opex_Budget!$A:$A,$C$3,Opex_Budget!$E:$E,$B$562,Opex_Budget!$F:$F,$D$562,Opex_Budget!$N:$N,"USD")*$F$5+SUMIFS(Opex_Budget!$T:$T,Opex_Budget!$A:$A,$C$3,Opex_Budget!$E:$E,$B$562,Opex_Budget!$F:$F,$D$562,Opex_Budget!$N:$N,"EUR")*$G$5+SUMIFS(Opex_Budget!$T:$T,Opex_Budget!$A:$A,$C$3,Opex_Budget!$E:$E,$B$562,Opex_Budget!$F:$F,$D$562,Opex_Budget!$N:$N,"GBP")*$H$5)</f>
        <v/>
      </c>
      <c r="N562" s="32">
        <f>IF($B$562="","",SUMIFS(Opex_Budget!$U:$U,Opex_Budget!$A:$A,$C$3,Opex_Budget!$E:$E,$B$562,Opex_Budget!$F:$F,$D$562,Opex_Budget!$N:$N,"JPY")*$E$5+SUMIFS(Opex_Budget!$U:$U,Opex_Budget!$A:$A,$C$3,Opex_Budget!$E:$E,$B$562,Opex_Budget!$F:$F,$D$562,Opex_Budget!$N:$N,"USD")*$F$5+SUMIFS(Opex_Budget!$U:$U,Opex_Budget!$A:$A,$C$3,Opex_Budget!$E:$E,$B$562,Opex_Budget!$F:$F,$D$562,Opex_Budget!$N:$N,"EUR")*$G$5+SUMIFS(Opex_Budget!$U:$U,Opex_Budget!$A:$A,$C$3,Opex_Budget!$E:$E,$B$562,Opex_Budget!$F:$F,$D$562,Opex_Budget!$N:$N,"GBP")*$H$5)</f>
        <v/>
      </c>
      <c r="O562" s="32">
        <f>IF($B$562="","",SUMIFS(Opex_Budget!$V:$V,Opex_Budget!$A:$A,$C$3,Opex_Budget!$E:$E,$B$562,Opex_Budget!$F:$F,$D$562,Opex_Budget!$N:$N,"JPY")*$E$5+SUMIFS(Opex_Budget!$V:$V,Opex_Budget!$A:$A,$C$3,Opex_Budget!$E:$E,$B$562,Opex_Budget!$F:$F,$D$562,Opex_Budget!$N:$N,"USD")*$F$5+SUMIFS(Opex_Budget!$V:$V,Opex_Budget!$A:$A,$C$3,Opex_Budget!$E:$E,$B$562,Opex_Budget!$F:$F,$D$562,Opex_Budget!$N:$N,"EUR")*$G$5+SUMIFS(Opex_Budget!$V:$V,Opex_Budget!$A:$A,$C$3,Opex_Budget!$E:$E,$B$562,Opex_Budget!$F:$F,$D$562,Opex_Budget!$N:$N,"GBP")*$H$5)</f>
        <v/>
      </c>
      <c r="P562" s="32">
        <f>IF($B$562="","",SUMIFS(Opex_Budget!$W:$W,Opex_Budget!$A:$A,$C$3,Opex_Budget!$E:$E,$B$562,Opex_Budget!$F:$F,$D$562,Opex_Budget!$N:$N,"JPY")*$E$5+SUMIFS(Opex_Budget!$W:$W,Opex_Budget!$A:$A,$C$3,Opex_Budget!$E:$E,$B$562,Opex_Budget!$F:$F,$D$562,Opex_Budget!$N:$N,"USD")*$F$5+SUMIFS(Opex_Budget!$W:$W,Opex_Budget!$A:$A,$C$3,Opex_Budget!$E:$E,$B$562,Opex_Budget!$F:$F,$D$562,Opex_Budget!$N:$N,"EUR")*$G$5+SUMIFS(Opex_Budget!$W:$W,Opex_Budget!$A:$A,$C$3,Opex_Budget!$E:$E,$B$562,Opex_Budget!$F:$F,$D$562,Opex_Budget!$N:$N,"GBP")*$H$5)</f>
        <v/>
      </c>
      <c r="Q562" s="32">
        <f>IF($B$562="","",SUMIFS(Opex_Budget!$X:$X,Opex_Budget!$A:$A,$C$3,Opex_Budget!$E:$E,$B$562,Opex_Budget!$F:$F,$D$562,Opex_Budget!$N:$N,"JPY")*$E$5+SUMIFS(Opex_Budget!$X:$X,Opex_Budget!$A:$A,$C$3,Opex_Budget!$E:$E,$B$562,Opex_Budget!$F:$F,$D$562,Opex_Budget!$N:$N,"USD")*$F$5+SUMIFS(Opex_Budget!$X:$X,Opex_Budget!$A:$A,$C$3,Opex_Budget!$E:$E,$B$562,Opex_Budget!$F:$F,$D$562,Opex_Budget!$N:$N,"EUR")*$G$5+SUMIFS(Opex_Budget!$X:$X,Opex_Budget!$A:$A,$C$3,Opex_Budget!$E:$E,$B$562,Opex_Budget!$F:$F,$D$562,Opex_Budget!$N:$N,"GBP")*$H$5)</f>
        <v/>
      </c>
      <c r="R562" s="32">
        <f>IF($B$562="","",SUMIFS(Opex_Budget!$Y:$Y,Opex_Budget!$A:$A,$C$3,Opex_Budget!$E:$E,$B$562,Opex_Budget!$F:$F,$D$562,Opex_Budget!$N:$N,"JPY")*$E$5+SUMIFS(Opex_Budget!$Y:$Y,Opex_Budget!$A:$A,$C$3,Opex_Budget!$E:$E,$B$562,Opex_Budget!$F:$F,$D$562,Opex_Budget!$N:$N,"USD")*$F$5+SUMIFS(Opex_Budget!$Y:$Y,Opex_Budget!$A:$A,$C$3,Opex_Budget!$E:$E,$B$562,Opex_Budget!$F:$F,$D$562,Opex_Budget!$N:$N,"EUR")*$G$5+SUMIFS(Opex_Budget!$Y:$Y,Opex_Budget!$A:$A,$C$3,Opex_Budget!$E:$E,$B$562,Opex_Budget!$F:$F,$D$562,Opex_Budget!$N:$N,"GBP")*$H$5)</f>
        <v/>
      </c>
      <c r="S562" s="32">
        <f>IF($B$562="","",SUMIFS(Opex_Budget!$Z:$Z,Opex_Budget!$A:$A,$C$3,Opex_Budget!$E:$E,$B$562,Opex_Budget!$F:$F,$D$562,Opex_Budget!$N:$N,"JPY")*$E$5+SUMIFS(Opex_Budget!$Z:$Z,Opex_Budget!$A:$A,$C$3,Opex_Budget!$E:$E,$B$562,Opex_Budget!$F:$F,$D$562,Opex_Budget!$N:$N,"USD")*$F$5+SUMIFS(Opex_Budget!$Z:$Z,Opex_Budget!$A:$A,$C$3,Opex_Budget!$E:$E,$B$562,Opex_Budget!$F:$F,$D$562,Opex_Budget!$N:$N,"EUR")*$G$5+SUMIFS(Opex_Budget!$Z:$Z,Opex_Budget!$A:$A,$C$3,Opex_Budget!$E:$E,$B$562,Opex_Budget!$F:$F,$D$562,Opex_Budget!$N:$N,"GBP")*$H$5)</f>
        <v/>
      </c>
      <c r="T562" s="32">
        <f>IF($B$562="","",SUMIF($H$7:$S$7,"&lt;="&amp;$C$4,$H562:$S562))</f>
        <v/>
      </c>
      <c r="U562" s="32">
        <f>IF($B$562="","",SUMIF($H$7:$S$7,"&gt;"&amp;$C$4,$H562:$S562))</f>
        <v/>
      </c>
      <c r="V562" s="32">
        <f>IF($B$562="","",SUM($H562:$S562))</f>
        <v/>
      </c>
      <c r="X562" s="22">
        <f>IF($B562="","",IFERROR(INDEX(Cost_Centers!$E:$E,MATCH($B562,Cost_Centers!$A:$A,0)),"(unknown)"))</f>
        <v/>
      </c>
      <c r="Y562" s="22">
        <f>IF($B562="","",IFERROR(INDEX(Cost_Centers!$D:$D,MATCH($B562,Cost_Centers!$A:$A,0)),"(unknown)"))</f>
        <v/>
      </c>
      <c r="Z562" s="22">
        <f>IF(OR($B562="",$G562&lt;&gt;"Variance vs Budget"),"",ABS(N($V562))+ROW()/1000000000)</f>
        <v/>
      </c>
    </row>
    <row r="563">
      <c r="A563" s="13">
        <f>IF(A$562="","",A$562)</f>
        <v/>
      </c>
      <c r="B563" s="13">
        <f>IF(B$562="","",B$562)</f>
        <v/>
      </c>
      <c r="C563" s="13">
        <f>IF(C$562="","",C$562)</f>
        <v/>
      </c>
      <c r="D563" s="13">
        <f>IF(D$562="","",D$562)</f>
        <v/>
      </c>
      <c r="E563" s="13">
        <f>IF(E$562="","",E$562)</f>
        <v/>
      </c>
      <c r="F563" s="13">
        <f>IF(F$562="","",F$562)</f>
        <v/>
      </c>
      <c r="G563" s="7" t="inlineStr">
        <is>
          <t>Actual</t>
        </is>
      </c>
      <c r="H563" s="18">
        <f>IF(OR($B$562="",1&gt;$C$4),"",SUMIFS(Actuals!$G:$G,Actuals!$B:$B,$C$3,Actuals!$C:$C,1,Actuals!$D:$D,$B$562,Actuals!$A:$A,LEFT($D$562,FIND("|",$D$562&amp;"|")-1),Actuals!$E:$E,MID($D$562,FIND("|",$D$562&amp;"|")+1,50),Actuals!$F:$F,"JPY")*$E$5+SUMIFS(Actuals!$G:$G,Actuals!$B:$B,$C$3,Actuals!$C:$C,1,Actuals!$D:$D,$B$562,Actuals!$A:$A,LEFT($D$562,FIND("|",$D$562&amp;"|")-1),Actuals!$E:$E,MID($D$562,FIND("|",$D$562&amp;"|")+1,50),Actuals!$F:$F,"USD")*$F$5+SUMIFS(Actuals!$G:$G,Actuals!$B:$B,$C$3,Actuals!$C:$C,1,Actuals!$D:$D,$B$562,Actuals!$A:$A,LEFT($D$562,FIND("|",$D$562&amp;"|")-1),Actuals!$E:$E,MID($D$562,FIND("|",$D$562&amp;"|")+1,50),Actuals!$F:$F,"EUR")*$G$5+SUMIFS(Actuals!$G:$G,Actuals!$B:$B,$C$3,Actuals!$C:$C,1,Actuals!$D:$D,$B$562,Actuals!$A:$A,LEFT($D$562,FIND("|",$D$562&amp;"|")-1),Actuals!$E:$E,MID($D$562,FIND("|",$D$562&amp;"|")+1,50),Actuals!$F:$F,"GBP")*$H$5)</f>
        <v/>
      </c>
      <c r="I563" s="18">
        <f>IF(OR($B$562="",2&gt;$C$4),"",SUMIFS(Actuals!$G:$G,Actuals!$B:$B,$C$3,Actuals!$C:$C,2,Actuals!$D:$D,$B$562,Actuals!$A:$A,LEFT($D$562,FIND("|",$D$562&amp;"|")-1),Actuals!$E:$E,MID($D$562,FIND("|",$D$562&amp;"|")+1,50),Actuals!$F:$F,"JPY")*$E$5+SUMIFS(Actuals!$G:$G,Actuals!$B:$B,$C$3,Actuals!$C:$C,2,Actuals!$D:$D,$B$562,Actuals!$A:$A,LEFT($D$562,FIND("|",$D$562&amp;"|")-1),Actuals!$E:$E,MID($D$562,FIND("|",$D$562&amp;"|")+1,50),Actuals!$F:$F,"USD")*$F$5+SUMIFS(Actuals!$G:$G,Actuals!$B:$B,$C$3,Actuals!$C:$C,2,Actuals!$D:$D,$B$562,Actuals!$A:$A,LEFT($D$562,FIND("|",$D$562&amp;"|")-1),Actuals!$E:$E,MID($D$562,FIND("|",$D$562&amp;"|")+1,50),Actuals!$F:$F,"EUR")*$G$5+SUMIFS(Actuals!$G:$G,Actuals!$B:$B,$C$3,Actuals!$C:$C,2,Actuals!$D:$D,$B$562,Actuals!$A:$A,LEFT($D$562,FIND("|",$D$562&amp;"|")-1),Actuals!$E:$E,MID($D$562,FIND("|",$D$562&amp;"|")+1,50),Actuals!$F:$F,"GBP")*$H$5)</f>
        <v/>
      </c>
      <c r="J563" s="18">
        <f>IF(OR($B$562="",3&gt;$C$4),"",SUMIFS(Actuals!$G:$G,Actuals!$B:$B,$C$3,Actuals!$C:$C,3,Actuals!$D:$D,$B$562,Actuals!$A:$A,LEFT($D$562,FIND("|",$D$562&amp;"|")-1),Actuals!$E:$E,MID($D$562,FIND("|",$D$562&amp;"|")+1,50),Actuals!$F:$F,"JPY")*$E$5+SUMIFS(Actuals!$G:$G,Actuals!$B:$B,$C$3,Actuals!$C:$C,3,Actuals!$D:$D,$B$562,Actuals!$A:$A,LEFT($D$562,FIND("|",$D$562&amp;"|")-1),Actuals!$E:$E,MID($D$562,FIND("|",$D$562&amp;"|")+1,50),Actuals!$F:$F,"USD")*$F$5+SUMIFS(Actuals!$G:$G,Actuals!$B:$B,$C$3,Actuals!$C:$C,3,Actuals!$D:$D,$B$562,Actuals!$A:$A,LEFT($D$562,FIND("|",$D$562&amp;"|")-1),Actuals!$E:$E,MID($D$562,FIND("|",$D$562&amp;"|")+1,50),Actuals!$F:$F,"EUR")*$G$5+SUMIFS(Actuals!$G:$G,Actuals!$B:$B,$C$3,Actuals!$C:$C,3,Actuals!$D:$D,$B$562,Actuals!$A:$A,LEFT($D$562,FIND("|",$D$562&amp;"|")-1),Actuals!$E:$E,MID($D$562,FIND("|",$D$562&amp;"|")+1,50),Actuals!$F:$F,"GBP")*$H$5)</f>
        <v/>
      </c>
      <c r="K563" s="18">
        <f>IF(OR($B$562="",4&gt;$C$4),"",SUMIFS(Actuals!$G:$G,Actuals!$B:$B,$C$3,Actuals!$C:$C,4,Actuals!$D:$D,$B$562,Actuals!$A:$A,LEFT($D$562,FIND("|",$D$562&amp;"|")-1),Actuals!$E:$E,MID($D$562,FIND("|",$D$562&amp;"|")+1,50),Actuals!$F:$F,"JPY")*$E$5+SUMIFS(Actuals!$G:$G,Actuals!$B:$B,$C$3,Actuals!$C:$C,4,Actuals!$D:$D,$B$562,Actuals!$A:$A,LEFT($D$562,FIND("|",$D$562&amp;"|")-1),Actuals!$E:$E,MID($D$562,FIND("|",$D$562&amp;"|")+1,50),Actuals!$F:$F,"USD")*$F$5+SUMIFS(Actuals!$G:$G,Actuals!$B:$B,$C$3,Actuals!$C:$C,4,Actuals!$D:$D,$B$562,Actuals!$A:$A,LEFT($D$562,FIND("|",$D$562&amp;"|")-1),Actuals!$E:$E,MID($D$562,FIND("|",$D$562&amp;"|")+1,50),Actuals!$F:$F,"EUR")*$G$5+SUMIFS(Actuals!$G:$G,Actuals!$B:$B,$C$3,Actuals!$C:$C,4,Actuals!$D:$D,$B$562,Actuals!$A:$A,LEFT($D$562,FIND("|",$D$562&amp;"|")-1),Actuals!$E:$E,MID($D$562,FIND("|",$D$562&amp;"|")+1,50),Actuals!$F:$F,"GBP")*$H$5)</f>
        <v/>
      </c>
      <c r="L563" s="18">
        <f>IF(OR($B$562="",5&gt;$C$4),"",SUMIFS(Actuals!$G:$G,Actuals!$B:$B,$C$3,Actuals!$C:$C,5,Actuals!$D:$D,$B$562,Actuals!$A:$A,LEFT($D$562,FIND("|",$D$562&amp;"|")-1),Actuals!$E:$E,MID($D$562,FIND("|",$D$562&amp;"|")+1,50),Actuals!$F:$F,"JPY")*$E$5+SUMIFS(Actuals!$G:$G,Actuals!$B:$B,$C$3,Actuals!$C:$C,5,Actuals!$D:$D,$B$562,Actuals!$A:$A,LEFT($D$562,FIND("|",$D$562&amp;"|")-1),Actuals!$E:$E,MID($D$562,FIND("|",$D$562&amp;"|")+1,50),Actuals!$F:$F,"USD")*$F$5+SUMIFS(Actuals!$G:$G,Actuals!$B:$B,$C$3,Actuals!$C:$C,5,Actuals!$D:$D,$B$562,Actuals!$A:$A,LEFT($D$562,FIND("|",$D$562&amp;"|")-1),Actuals!$E:$E,MID($D$562,FIND("|",$D$562&amp;"|")+1,50),Actuals!$F:$F,"EUR")*$G$5+SUMIFS(Actuals!$G:$G,Actuals!$B:$B,$C$3,Actuals!$C:$C,5,Actuals!$D:$D,$B$562,Actuals!$A:$A,LEFT($D$562,FIND("|",$D$562&amp;"|")-1),Actuals!$E:$E,MID($D$562,FIND("|",$D$562&amp;"|")+1,50),Actuals!$F:$F,"GBP")*$H$5)</f>
        <v/>
      </c>
      <c r="M563" s="18">
        <f>IF(OR($B$562="",6&gt;$C$4),"",SUMIFS(Actuals!$G:$G,Actuals!$B:$B,$C$3,Actuals!$C:$C,6,Actuals!$D:$D,$B$562,Actuals!$A:$A,LEFT($D$562,FIND("|",$D$562&amp;"|")-1),Actuals!$E:$E,MID($D$562,FIND("|",$D$562&amp;"|")+1,50),Actuals!$F:$F,"JPY")*$E$5+SUMIFS(Actuals!$G:$G,Actuals!$B:$B,$C$3,Actuals!$C:$C,6,Actuals!$D:$D,$B$562,Actuals!$A:$A,LEFT($D$562,FIND("|",$D$562&amp;"|")-1),Actuals!$E:$E,MID($D$562,FIND("|",$D$562&amp;"|")+1,50),Actuals!$F:$F,"USD")*$F$5+SUMIFS(Actuals!$G:$G,Actuals!$B:$B,$C$3,Actuals!$C:$C,6,Actuals!$D:$D,$B$562,Actuals!$A:$A,LEFT($D$562,FIND("|",$D$562&amp;"|")-1),Actuals!$E:$E,MID($D$562,FIND("|",$D$562&amp;"|")+1,50),Actuals!$F:$F,"EUR")*$G$5+SUMIFS(Actuals!$G:$G,Actuals!$B:$B,$C$3,Actuals!$C:$C,6,Actuals!$D:$D,$B$562,Actuals!$A:$A,LEFT($D$562,FIND("|",$D$562&amp;"|")-1),Actuals!$E:$E,MID($D$562,FIND("|",$D$562&amp;"|")+1,50),Actuals!$F:$F,"GBP")*$H$5)</f>
        <v/>
      </c>
      <c r="N563" s="18">
        <f>IF(OR($B$562="",7&gt;$C$4),"",SUMIFS(Actuals!$G:$G,Actuals!$B:$B,$C$3,Actuals!$C:$C,7,Actuals!$D:$D,$B$562,Actuals!$A:$A,LEFT($D$562,FIND("|",$D$562&amp;"|")-1),Actuals!$E:$E,MID($D$562,FIND("|",$D$562&amp;"|")+1,50),Actuals!$F:$F,"JPY")*$E$5+SUMIFS(Actuals!$G:$G,Actuals!$B:$B,$C$3,Actuals!$C:$C,7,Actuals!$D:$D,$B$562,Actuals!$A:$A,LEFT($D$562,FIND("|",$D$562&amp;"|")-1),Actuals!$E:$E,MID($D$562,FIND("|",$D$562&amp;"|")+1,50),Actuals!$F:$F,"USD")*$F$5+SUMIFS(Actuals!$G:$G,Actuals!$B:$B,$C$3,Actuals!$C:$C,7,Actuals!$D:$D,$B$562,Actuals!$A:$A,LEFT($D$562,FIND("|",$D$562&amp;"|")-1),Actuals!$E:$E,MID($D$562,FIND("|",$D$562&amp;"|")+1,50),Actuals!$F:$F,"EUR")*$G$5+SUMIFS(Actuals!$G:$G,Actuals!$B:$B,$C$3,Actuals!$C:$C,7,Actuals!$D:$D,$B$562,Actuals!$A:$A,LEFT($D$562,FIND("|",$D$562&amp;"|")-1),Actuals!$E:$E,MID($D$562,FIND("|",$D$562&amp;"|")+1,50),Actuals!$F:$F,"GBP")*$H$5)</f>
        <v/>
      </c>
      <c r="O563" s="18">
        <f>IF(OR($B$562="",8&gt;$C$4),"",SUMIFS(Actuals!$G:$G,Actuals!$B:$B,$C$3,Actuals!$C:$C,8,Actuals!$D:$D,$B$562,Actuals!$A:$A,LEFT($D$562,FIND("|",$D$562&amp;"|")-1),Actuals!$E:$E,MID($D$562,FIND("|",$D$562&amp;"|")+1,50),Actuals!$F:$F,"JPY")*$E$5+SUMIFS(Actuals!$G:$G,Actuals!$B:$B,$C$3,Actuals!$C:$C,8,Actuals!$D:$D,$B$562,Actuals!$A:$A,LEFT($D$562,FIND("|",$D$562&amp;"|")-1),Actuals!$E:$E,MID($D$562,FIND("|",$D$562&amp;"|")+1,50),Actuals!$F:$F,"USD")*$F$5+SUMIFS(Actuals!$G:$G,Actuals!$B:$B,$C$3,Actuals!$C:$C,8,Actuals!$D:$D,$B$562,Actuals!$A:$A,LEFT($D$562,FIND("|",$D$562&amp;"|")-1),Actuals!$E:$E,MID($D$562,FIND("|",$D$562&amp;"|")+1,50),Actuals!$F:$F,"EUR")*$G$5+SUMIFS(Actuals!$G:$G,Actuals!$B:$B,$C$3,Actuals!$C:$C,8,Actuals!$D:$D,$B$562,Actuals!$A:$A,LEFT($D$562,FIND("|",$D$562&amp;"|")-1),Actuals!$E:$E,MID($D$562,FIND("|",$D$562&amp;"|")+1,50),Actuals!$F:$F,"GBP")*$H$5)</f>
        <v/>
      </c>
      <c r="P563" s="18">
        <f>IF(OR($B$562="",9&gt;$C$4),"",SUMIFS(Actuals!$G:$G,Actuals!$B:$B,$C$3,Actuals!$C:$C,9,Actuals!$D:$D,$B$562,Actuals!$A:$A,LEFT($D$562,FIND("|",$D$562&amp;"|")-1),Actuals!$E:$E,MID($D$562,FIND("|",$D$562&amp;"|")+1,50),Actuals!$F:$F,"JPY")*$E$5+SUMIFS(Actuals!$G:$G,Actuals!$B:$B,$C$3,Actuals!$C:$C,9,Actuals!$D:$D,$B$562,Actuals!$A:$A,LEFT($D$562,FIND("|",$D$562&amp;"|")-1),Actuals!$E:$E,MID($D$562,FIND("|",$D$562&amp;"|")+1,50),Actuals!$F:$F,"USD")*$F$5+SUMIFS(Actuals!$G:$G,Actuals!$B:$B,$C$3,Actuals!$C:$C,9,Actuals!$D:$D,$B$562,Actuals!$A:$A,LEFT($D$562,FIND("|",$D$562&amp;"|")-1),Actuals!$E:$E,MID($D$562,FIND("|",$D$562&amp;"|")+1,50),Actuals!$F:$F,"EUR")*$G$5+SUMIFS(Actuals!$G:$G,Actuals!$B:$B,$C$3,Actuals!$C:$C,9,Actuals!$D:$D,$B$562,Actuals!$A:$A,LEFT($D$562,FIND("|",$D$562&amp;"|")-1),Actuals!$E:$E,MID($D$562,FIND("|",$D$562&amp;"|")+1,50),Actuals!$F:$F,"GBP")*$H$5)</f>
        <v/>
      </c>
      <c r="Q563" s="18">
        <f>IF(OR($B$562="",10&gt;$C$4),"",SUMIFS(Actuals!$G:$G,Actuals!$B:$B,$C$3,Actuals!$C:$C,10,Actuals!$D:$D,$B$562,Actuals!$A:$A,LEFT($D$562,FIND("|",$D$562&amp;"|")-1),Actuals!$E:$E,MID($D$562,FIND("|",$D$562&amp;"|")+1,50),Actuals!$F:$F,"JPY")*$E$5+SUMIFS(Actuals!$G:$G,Actuals!$B:$B,$C$3,Actuals!$C:$C,10,Actuals!$D:$D,$B$562,Actuals!$A:$A,LEFT($D$562,FIND("|",$D$562&amp;"|")-1),Actuals!$E:$E,MID($D$562,FIND("|",$D$562&amp;"|")+1,50),Actuals!$F:$F,"USD")*$F$5+SUMIFS(Actuals!$G:$G,Actuals!$B:$B,$C$3,Actuals!$C:$C,10,Actuals!$D:$D,$B$562,Actuals!$A:$A,LEFT($D$562,FIND("|",$D$562&amp;"|")-1),Actuals!$E:$E,MID($D$562,FIND("|",$D$562&amp;"|")+1,50),Actuals!$F:$F,"EUR")*$G$5+SUMIFS(Actuals!$G:$G,Actuals!$B:$B,$C$3,Actuals!$C:$C,10,Actuals!$D:$D,$B$562,Actuals!$A:$A,LEFT($D$562,FIND("|",$D$562&amp;"|")-1),Actuals!$E:$E,MID($D$562,FIND("|",$D$562&amp;"|")+1,50),Actuals!$F:$F,"GBP")*$H$5)</f>
        <v/>
      </c>
      <c r="R563" s="18">
        <f>IF(OR($B$562="",11&gt;$C$4),"",SUMIFS(Actuals!$G:$G,Actuals!$B:$B,$C$3,Actuals!$C:$C,11,Actuals!$D:$D,$B$562,Actuals!$A:$A,LEFT($D$562,FIND("|",$D$562&amp;"|")-1),Actuals!$E:$E,MID($D$562,FIND("|",$D$562&amp;"|")+1,50),Actuals!$F:$F,"JPY")*$E$5+SUMIFS(Actuals!$G:$G,Actuals!$B:$B,$C$3,Actuals!$C:$C,11,Actuals!$D:$D,$B$562,Actuals!$A:$A,LEFT($D$562,FIND("|",$D$562&amp;"|")-1),Actuals!$E:$E,MID($D$562,FIND("|",$D$562&amp;"|")+1,50),Actuals!$F:$F,"USD")*$F$5+SUMIFS(Actuals!$G:$G,Actuals!$B:$B,$C$3,Actuals!$C:$C,11,Actuals!$D:$D,$B$562,Actuals!$A:$A,LEFT($D$562,FIND("|",$D$562&amp;"|")-1),Actuals!$E:$E,MID($D$562,FIND("|",$D$562&amp;"|")+1,50),Actuals!$F:$F,"EUR")*$G$5+SUMIFS(Actuals!$G:$G,Actuals!$B:$B,$C$3,Actuals!$C:$C,11,Actuals!$D:$D,$B$562,Actuals!$A:$A,LEFT($D$562,FIND("|",$D$562&amp;"|")-1),Actuals!$E:$E,MID($D$562,FIND("|",$D$562&amp;"|")+1,50),Actuals!$F:$F,"GBP")*$H$5)</f>
        <v/>
      </c>
      <c r="S563" s="18">
        <f>IF(OR($B$562="",12&gt;$C$4),"",SUMIFS(Actuals!$G:$G,Actuals!$B:$B,$C$3,Actuals!$C:$C,12,Actuals!$D:$D,$B$562,Actuals!$A:$A,LEFT($D$562,FIND("|",$D$562&amp;"|")-1),Actuals!$E:$E,MID($D$562,FIND("|",$D$562&amp;"|")+1,50),Actuals!$F:$F,"JPY")*$E$5+SUMIFS(Actuals!$G:$G,Actuals!$B:$B,$C$3,Actuals!$C:$C,12,Actuals!$D:$D,$B$562,Actuals!$A:$A,LEFT($D$562,FIND("|",$D$562&amp;"|")-1),Actuals!$E:$E,MID($D$562,FIND("|",$D$562&amp;"|")+1,50),Actuals!$F:$F,"USD")*$F$5+SUMIFS(Actuals!$G:$G,Actuals!$B:$B,$C$3,Actuals!$C:$C,12,Actuals!$D:$D,$B$562,Actuals!$A:$A,LEFT($D$562,FIND("|",$D$562&amp;"|")-1),Actuals!$E:$E,MID($D$562,FIND("|",$D$562&amp;"|")+1,50),Actuals!$F:$F,"EUR")*$G$5+SUMIFS(Actuals!$G:$G,Actuals!$B:$B,$C$3,Actuals!$C:$C,12,Actuals!$D:$D,$B$562,Actuals!$A:$A,LEFT($D$562,FIND("|",$D$562&amp;"|")-1),Actuals!$E:$E,MID($D$562,FIND("|",$D$562&amp;"|")+1,50),Actuals!$F:$F,"GBP")*$H$5)</f>
        <v/>
      </c>
      <c r="T563" s="18">
        <f>IF($B$562="","",SUMIF($H$7:$S$7,"&lt;="&amp;$C$4,$H563:$S563))</f>
        <v/>
      </c>
      <c r="U563" s="18" t="n"/>
      <c r="V563" s="18" t="n"/>
      <c r="X563" s="22">
        <f>IF($B563="","",IFERROR(INDEX(Cost_Centers!$E:$E,MATCH($B563,Cost_Centers!$A:$A,0)),"(unknown)"))</f>
        <v/>
      </c>
      <c r="Y563" s="22">
        <f>IF($B563="","",IFERROR(INDEX(Cost_Centers!$D:$D,MATCH($B563,Cost_Centers!$A:$A,0)),"(unknown)"))</f>
        <v/>
      </c>
      <c r="Z563" s="22">
        <f>IF(OR($B563="",$G563&lt;&gt;"Variance vs Budget"),"",ABS(N($V563))+ROW()/1000000000)</f>
        <v/>
      </c>
    </row>
    <row r="564">
      <c r="A564" s="13">
        <f>IF(A$562="","",A$562)</f>
        <v/>
      </c>
      <c r="B564" s="13">
        <f>IF(B$562="","",B$562)</f>
        <v/>
      </c>
      <c r="C564" s="13">
        <f>IF(C$562="","",C$562)</f>
        <v/>
      </c>
      <c r="D564" s="13">
        <f>IF(D$562="","",D$562)</f>
        <v/>
      </c>
      <c r="E564" s="13">
        <f>IF(E$562="","",E$562)</f>
        <v/>
      </c>
      <c r="F564" s="13">
        <f>IF(F$562="","",F$562)</f>
        <v/>
      </c>
      <c r="G564" s="6" t="inlineStr">
        <is>
          <t>Variance vs Budget</t>
        </is>
      </c>
      <c r="H564" s="33">
        <f>IF(OR($B$562="",1&gt;$C$4),"",N(H563)-H562)</f>
        <v/>
      </c>
      <c r="I564" s="33">
        <f>IF(OR($B$562="",2&gt;$C$4),"",N(I563)-I562)</f>
        <v/>
      </c>
      <c r="J564" s="33">
        <f>IF(OR($B$562="",3&gt;$C$4),"",N(J563)-J562)</f>
        <v/>
      </c>
      <c r="K564" s="33">
        <f>IF(OR($B$562="",4&gt;$C$4),"",N(K563)-K562)</f>
        <v/>
      </c>
      <c r="L564" s="33">
        <f>IF(OR($B$562="",5&gt;$C$4),"",N(L563)-L562)</f>
        <v/>
      </c>
      <c r="M564" s="33">
        <f>IF(OR($B$562="",6&gt;$C$4),"",N(M563)-M562)</f>
        <v/>
      </c>
      <c r="N564" s="33">
        <f>IF(OR($B$562="",7&gt;$C$4),"",N(N563)-N562)</f>
        <v/>
      </c>
      <c r="O564" s="33">
        <f>IF(OR($B$562="",8&gt;$C$4),"",N(O563)-O562)</f>
        <v/>
      </c>
      <c r="P564" s="33">
        <f>IF(OR($B$562="",9&gt;$C$4),"",N(P563)-P562)</f>
        <v/>
      </c>
      <c r="Q564" s="33">
        <f>IF(OR($B$562="",10&gt;$C$4),"",N(Q563)-Q562)</f>
        <v/>
      </c>
      <c r="R564" s="33">
        <f>IF(OR($B$562="",11&gt;$C$4),"",N(R563)-R562)</f>
        <v/>
      </c>
      <c r="S564" s="33">
        <f>IF(OR($B$562="",12&gt;$C$4),"",N(S563)-S562)</f>
        <v/>
      </c>
      <c r="T564" s="33">
        <f>IF($B$562="","",T563-T562)</f>
        <v/>
      </c>
      <c r="U564" s="33">
        <f>IF($B$562="","",U566-U562)</f>
        <v/>
      </c>
      <c r="V564" s="33">
        <f>IF($B$562="","",V566-V562)</f>
        <v/>
      </c>
      <c r="X564" s="22">
        <f>IF($B564="","",IFERROR(INDEX(Cost_Centers!$E:$E,MATCH($B564,Cost_Centers!$A:$A,0)),"(unknown)"))</f>
        <v/>
      </c>
      <c r="Y564" s="22">
        <f>IF($B564="","",IFERROR(INDEX(Cost_Centers!$D:$D,MATCH($B564,Cost_Centers!$A:$A,0)),"(unknown)"))</f>
        <v/>
      </c>
      <c r="Z564" s="22">
        <f>IF(OR($B564="",$G564&lt;&gt;"Variance vs Budget"),"",ABS(N($V564))+ROW()/1000000000)</f>
        <v/>
      </c>
    </row>
    <row r="565">
      <c r="A565" s="13">
        <f>IF(A$562="","",A$562)</f>
        <v/>
      </c>
      <c r="B565" s="13">
        <f>IF(B$562="","",B$562)</f>
        <v/>
      </c>
      <c r="C565" s="13">
        <f>IF(C$562="","",C$562)</f>
        <v/>
      </c>
      <c r="D565" s="13">
        <f>IF(D$562="","",D$562)</f>
        <v/>
      </c>
      <c r="E565" s="13">
        <f>IF(E$562="","",E$562)</f>
        <v/>
      </c>
      <c r="F565" s="13">
        <f>IF(F$562="","",F$562)</f>
        <v/>
      </c>
      <c r="G565" s="7" t="inlineStr">
        <is>
          <t>Forecast (input)</t>
        </is>
      </c>
      <c r="H565" s="34" t="n"/>
      <c r="I565" s="34" t="n"/>
      <c r="J565" s="34" t="n"/>
      <c r="K565" s="34" t="n"/>
      <c r="L565" s="34" t="n"/>
      <c r="M565" s="34" t="n"/>
      <c r="N565" s="34" t="n"/>
      <c r="O565" s="34" t="n"/>
      <c r="P565" s="34" t="n"/>
      <c r="Q565" s="34" t="n"/>
      <c r="R565" s="34" t="n"/>
      <c r="S565" s="34" t="n"/>
      <c r="T565" s="18" t="n"/>
      <c r="U565" s="18" t="n"/>
      <c r="V565" s="18" t="n"/>
      <c r="X565" s="22">
        <f>IF($B565="","",IFERROR(INDEX(Cost_Centers!$E:$E,MATCH($B565,Cost_Centers!$A:$A,0)),"(unknown)"))</f>
        <v/>
      </c>
      <c r="Y565" s="22">
        <f>IF($B565="","",IFERROR(INDEX(Cost_Centers!$D:$D,MATCH($B565,Cost_Centers!$A:$A,0)),"(unknown)"))</f>
        <v/>
      </c>
      <c r="Z565" s="22">
        <f>IF(OR($B565="",$G565&lt;&gt;"Variance vs Budget"),"",ABS(N($V565))+ROW()/1000000000)</f>
        <v/>
      </c>
    </row>
    <row r="566">
      <c r="A566" s="13">
        <f>IF(A$562="","",A$562)</f>
        <v/>
      </c>
      <c r="B566" s="13">
        <f>IF(B$562="","",B$562)</f>
        <v/>
      </c>
      <c r="C566" s="13">
        <f>IF(C$562="","",C$562)</f>
        <v/>
      </c>
      <c r="D566" s="13">
        <f>IF(D$562="","",D$562)</f>
        <v/>
      </c>
      <c r="E566" s="13">
        <f>IF(E$562="","",E$562)</f>
        <v/>
      </c>
      <c r="F566" s="13">
        <f>IF(F$562="","",F$562)</f>
        <v/>
      </c>
      <c r="G566" s="35" t="inlineStr">
        <is>
          <t>Actual + Forecast</t>
        </is>
      </c>
      <c r="H566" s="18">
        <f>IF($B$562="","",IF(1&lt;=$C$4,N(H563),IF(H565="",H562,H565)))</f>
        <v/>
      </c>
      <c r="I566" s="18">
        <f>IF($B$562="","",IF(2&lt;=$C$4,N(I563),IF(I565="",I562,I565)))</f>
        <v/>
      </c>
      <c r="J566" s="18">
        <f>IF($B$562="","",IF(3&lt;=$C$4,N(J563),IF(J565="",J562,J565)))</f>
        <v/>
      </c>
      <c r="K566" s="18">
        <f>IF($B$562="","",IF(4&lt;=$C$4,N(K563),IF(K565="",K562,K565)))</f>
        <v/>
      </c>
      <c r="L566" s="18">
        <f>IF($B$562="","",IF(5&lt;=$C$4,N(L563),IF(L565="",L562,L565)))</f>
        <v/>
      </c>
      <c r="M566" s="18">
        <f>IF($B$562="","",IF(6&lt;=$C$4,N(M563),IF(M565="",M562,M565)))</f>
        <v/>
      </c>
      <c r="N566" s="18">
        <f>IF($B$562="","",IF(7&lt;=$C$4,N(N563),IF(N565="",N562,N565)))</f>
        <v/>
      </c>
      <c r="O566" s="18">
        <f>IF($B$562="","",IF(8&lt;=$C$4,N(O563),IF(O565="",O562,O565)))</f>
        <v/>
      </c>
      <c r="P566" s="18">
        <f>IF($B$562="","",IF(9&lt;=$C$4,N(P563),IF(P565="",P562,P565)))</f>
        <v/>
      </c>
      <c r="Q566" s="18">
        <f>IF($B$562="","",IF(10&lt;=$C$4,N(Q563),IF(Q565="",Q562,Q565)))</f>
        <v/>
      </c>
      <c r="R566" s="18">
        <f>IF($B$562="","",IF(11&lt;=$C$4,N(R563),IF(R565="",R562,R565)))</f>
        <v/>
      </c>
      <c r="S566" s="18">
        <f>IF($B$562="","",IF(12&lt;=$C$4,N(S563),IF(S565="",S562,S565)))</f>
        <v/>
      </c>
      <c r="T566" s="18">
        <f>IF($B$562="","",SUMIF($H$7:$S$7,"&lt;="&amp;$C$4,$H566:$S566))</f>
        <v/>
      </c>
      <c r="U566" s="18">
        <f>IF($B$562="","",SUMIF($H$7:$S$7,"&gt;"&amp;$C$4,$H566:$S566))</f>
        <v/>
      </c>
      <c r="V566" s="18">
        <f>IF($B$562="","",SUM($H566:$S566))</f>
        <v/>
      </c>
      <c r="X566" s="22">
        <f>IF($B566="","",IFERROR(INDEX(Cost_Centers!$E:$E,MATCH($B566,Cost_Centers!$A:$A,0)),"(unknown)"))</f>
        <v/>
      </c>
      <c r="Y566" s="22">
        <f>IF($B566="","",IFERROR(INDEX(Cost_Centers!$D:$D,MATCH($B566,Cost_Centers!$A:$A,0)),"(unknown)"))</f>
        <v/>
      </c>
      <c r="Z566" s="22">
        <f>IF(OR($B566="",$G566&lt;&gt;"Variance vs Budget"),"",ABS(N($V566))+ROW()/1000000000)</f>
        <v/>
      </c>
    </row>
    <row r="567">
      <c r="A567" s="13">
        <f>IF(A$562="","",A$562)</f>
        <v/>
      </c>
      <c r="B567" s="13">
        <f>IF(B$562="","",B$562)</f>
        <v/>
      </c>
      <c r="C567" s="13">
        <f>IF(C$562="","",C$562)</f>
        <v/>
      </c>
      <c r="D567" s="13">
        <f>IF(D$562="","",D$562)</f>
        <v/>
      </c>
      <c r="E567" s="13">
        <f>IF(E$562="","",E$562)</f>
        <v/>
      </c>
      <c r="F567" s="13">
        <f>IF(F$562="","",F$562)</f>
        <v/>
      </c>
      <c r="G567" s="36" t="inlineStr">
        <is>
          <t>Prior Month Forecast</t>
        </is>
      </c>
      <c r="H567" s="37">
        <f>IF($B$562="","",IF(COUNTIFS(Prior_Forecast!$A:$A,$B$562,Prior_Forecast!$B:$B,$D$562)&gt;0,SUMIFS(Prior_Forecast!$C:$C,Prior_Forecast!$A:$A,$B$562,Prior_Forecast!$B:$B,$D$562),""))</f>
        <v/>
      </c>
      <c r="I567" s="37">
        <f>IF($B$562="","",IF(COUNTIFS(Prior_Forecast!$A:$A,$B$562,Prior_Forecast!$B:$B,$D$562)&gt;0,SUMIFS(Prior_Forecast!$D:$D,Prior_Forecast!$A:$A,$B$562,Prior_Forecast!$B:$B,$D$562),""))</f>
        <v/>
      </c>
      <c r="J567" s="37">
        <f>IF($B$562="","",IF(COUNTIFS(Prior_Forecast!$A:$A,$B$562,Prior_Forecast!$B:$B,$D$562)&gt;0,SUMIFS(Prior_Forecast!$E:$E,Prior_Forecast!$A:$A,$B$562,Prior_Forecast!$B:$B,$D$562),""))</f>
        <v/>
      </c>
      <c r="K567" s="37">
        <f>IF($B$562="","",IF(COUNTIFS(Prior_Forecast!$A:$A,$B$562,Prior_Forecast!$B:$B,$D$562)&gt;0,SUMIFS(Prior_Forecast!$F:$F,Prior_Forecast!$A:$A,$B$562,Prior_Forecast!$B:$B,$D$562),""))</f>
        <v/>
      </c>
      <c r="L567" s="37">
        <f>IF($B$562="","",IF(COUNTIFS(Prior_Forecast!$A:$A,$B$562,Prior_Forecast!$B:$B,$D$562)&gt;0,SUMIFS(Prior_Forecast!$G:$G,Prior_Forecast!$A:$A,$B$562,Prior_Forecast!$B:$B,$D$562),""))</f>
        <v/>
      </c>
      <c r="M567" s="37">
        <f>IF($B$562="","",IF(COUNTIFS(Prior_Forecast!$A:$A,$B$562,Prior_Forecast!$B:$B,$D$562)&gt;0,SUMIFS(Prior_Forecast!$H:$H,Prior_Forecast!$A:$A,$B$562,Prior_Forecast!$B:$B,$D$562),""))</f>
        <v/>
      </c>
      <c r="N567" s="37">
        <f>IF($B$562="","",IF(COUNTIFS(Prior_Forecast!$A:$A,$B$562,Prior_Forecast!$B:$B,$D$562)&gt;0,SUMIFS(Prior_Forecast!$I:$I,Prior_Forecast!$A:$A,$B$562,Prior_Forecast!$B:$B,$D$562),""))</f>
        <v/>
      </c>
      <c r="O567" s="37">
        <f>IF($B$562="","",IF(COUNTIFS(Prior_Forecast!$A:$A,$B$562,Prior_Forecast!$B:$B,$D$562)&gt;0,SUMIFS(Prior_Forecast!$J:$J,Prior_Forecast!$A:$A,$B$562,Prior_Forecast!$B:$B,$D$562),""))</f>
        <v/>
      </c>
      <c r="P567" s="37">
        <f>IF($B$562="","",IF(COUNTIFS(Prior_Forecast!$A:$A,$B$562,Prior_Forecast!$B:$B,$D$562)&gt;0,SUMIFS(Prior_Forecast!$K:$K,Prior_Forecast!$A:$A,$B$562,Prior_Forecast!$B:$B,$D$562),""))</f>
        <v/>
      </c>
      <c r="Q567" s="37">
        <f>IF($B$562="","",IF(COUNTIFS(Prior_Forecast!$A:$A,$B$562,Prior_Forecast!$B:$B,$D$562)&gt;0,SUMIFS(Prior_Forecast!$L:$L,Prior_Forecast!$A:$A,$B$562,Prior_Forecast!$B:$B,$D$562),""))</f>
        <v/>
      </c>
      <c r="R567" s="37">
        <f>IF($B$562="","",IF(COUNTIFS(Prior_Forecast!$A:$A,$B$562,Prior_Forecast!$B:$B,$D$562)&gt;0,SUMIFS(Prior_Forecast!$M:$M,Prior_Forecast!$A:$A,$B$562,Prior_Forecast!$B:$B,$D$562),""))</f>
        <v/>
      </c>
      <c r="S567" s="37">
        <f>IF($B$562="","",IF(COUNTIFS(Prior_Forecast!$A:$A,$B$562,Prior_Forecast!$B:$B,$D$562)&gt;0,SUMIFS(Prior_Forecast!$N:$N,Prior_Forecast!$A:$A,$B$562,Prior_Forecast!$B:$B,$D$562),""))</f>
        <v/>
      </c>
      <c r="T567" s="37">
        <f>IF($B$562="","",IF(COUNTIFS(Prior_Forecast!$A:$A,$B$562,Prior_Forecast!$B:$B,$D$562)&gt;0,SUMIFS(Prior_Forecast!$O:$O,Prior_Forecast!$A:$A,$B$562,Prior_Forecast!$B:$B,$D$562),""))</f>
        <v/>
      </c>
      <c r="U567" s="37">
        <f>IF($B$562="","",IF(COUNTIFS(Prior_Forecast!$A:$A,$B$562,Prior_Forecast!$B:$B,$D$562)&gt;0,SUMIFS(Prior_Forecast!$P:$P,Prior_Forecast!$A:$A,$B$562,Prior_Forecast!$B:$B,$D$562),""))</f>
        <v/>
      </c>
      <c r="V567" s="37">
        <f>IF($B$562="","",IF(COUNTIFS(Prior_Forecast!$A:$A,$B$562,Prior_Forecast!$B:$B,$D$562)&gt;0,SUMIFS(Prior_Forecast!$Q:$Q,Prior_Forecast!$A:$A,$B$562,Prior_Forecast!$B:$B,$D$562),""))</f>
        <v/>
      </c>
      <c r="X567" s="22">
        <f>IF($B567="","",IFERROR(INDEX(Cost_Centers!$E:$E,MATCH($B567,Cost_Centers!$A:$A,0)),"(unknown)"))</f>
        <v/>
      </c>
      <c r="Y567" s="22">
        <f>IF($B567="","",IFERROR(INDEX(Cost_Centers!$D:$D,MATCH($B567,Cost_Centers!$A:$A,0)),"(unknown)"))</f>
        <v/>
      </c>
      <c r="Z567" s="22">
        <f>IF(OR($B567="",$G567&lt;&gt;"Variance vs Budget"),"",ABS(N($V567))+ROW()/1000000000)</f>
        <v/>
      </c>
    </row>
    <row r="568">
      <c r="A568" s="13">
        <f>IF(A$562="","",A$562)</f>
        <v/>
      </c>
      <c r="B568" s="13">
        <f>IF(B$562="","",B$562)</f>
        <v/>
      </c>
      <c r="C568" s="13">
        <f>IF(C$562="","",C$562)</f>
        <v/>
      </c>
      <c r="D568" s="13">
        <f>IF(D$562="","",D$562)</f>
        <v/>
      </c>
      <c r="E568" s="13">
        <f>IF(E$562="","",E$562)</f>
        <v/>
      </c>
      <c r="F568" s="13">
        <f>IF(F$562="","",F$562)</f>
        <v/>
      </c>
      <c r="G568" s="6" t="inlineStr">
        <is>
          <t>Variance vs Prior Month</t>
        </is>
      </c>
      <c r="H568" s="33">
        <f>IF(OR($B$562="",H567=""),"",H566-H567)</f>
        <v/>
      </c>
      <c r="I568" s="33">
        <f>IF(OR($B$562="",I567=""),"",I566-I567)</f>
        <v/>
      </c>
      <c r="J568" s="33">
        <f>IF(OR($B$562="",J567=""),"",J566-J567)</f>
        <v/>
      </c>
      <c r="K568" s="33">
        <f>IF(OR($B$562="",K567=""),"",K566-K567)</f>
        <v/>
      </c>
      <c r="L568" s="33">
        <f>IF(OR($B$562="",L567=""),"",L566-L567)</f>
        <v/>
      </c>
      <c r="M568" s="33">
        <f>IF(OR($B$562="",M567=""),"",M566-M567)</f>
        <v/>
      </c>
      <c r="N568" s="33">
        <f>IF(OR($B$562="",N567=""),"",N566-N567)</f>
        <v/>
      </c>
      <c r="O568" s="33">
        <f>IF(OR($B$562="",O567=""),"",O566-O567)</f>
        <v/>
      </c>
      <c r="P568" s="33">
        <f>IF(OR($B$562="",P567=""),"",P566-P567)</f>
        <v/>
      </c>
      <c r="Q568" s="33">
        <f>IF(OR($B$562="",Q567=""),"",Q566-Q567)</f>
        <v/>
      </c>
      <c r="R568" s="33">
        <f>IF(OR($B$562="",R567=""),"",R566-R567)</f>
        <v/>
      </c>
      <c r="S568" s="33">
        <f>IF(OR($B$562="",S567=""),"",S566-S567)</f>
        <v/>
      </c>
      <c r="T568" s="33">
        <f>IF(OR($B$562="",T567=""),"",T566-T567)</f>
        <v/>
      </c>
      <c r="U568" s="33">
        <f>IF(OR($B$562="",U567=""),"",U566-U567)</f>
        <v/>
      </c>
      <c r="V568" s="33">
        <f>IF(OR($B$562="",V567=""),"",V566-V567)</f>
        <v/>
      </c>
      <c r="X568" s="22">
        <f>IF($B568="","",IFERROR(INDEX(Cost_Centers!$E:$E,MATCH($B568,Cost_Centers!$A:$A,0)),"(unknown)"))</f>
        <v/>
      </c>
      <c r="Y568" s="22">
        <f>IF($B568="","",IFERROR(INDEX(Cost_Centers!$D:$D,MATCH($B568,Cost_Centers!$A:$A,0)),"(unknown)"))</f>
        <v/>
      </c>
      <c r="Z568" s="22">
        <f>IF(OR($B568="",$G568&lt;&gt;"Variance vs Budget"),"",ABS(N($V568))+ROW()/1000000000)</f>
        <v/>
      </c>
    </row>
    <row r="569" ht="45" customHeight="1">
      <c r="A569" s="13">
        <f>IF(A$562="","",A$562)</f>
        <v/>
      </c>
      <c r="B569" s="13">
        <f>IF(B$562="","",B$562)</f>
        <v/>
      </c>
      <c r="C569" s="13">
        <f>IF(C$562="","",C$562)</f>
        <v/>
      </c>
      <c r="D569" s="13">
        <f>IF(D$562="","",D$562)</f>
        <v/>
      </c>
      <c r="E569" s="13">
        <f>IF(E$562="","",E$562)</f>
        <v/>
      </c>
      <c r="F569" s="13">
        <f>IF(F$562="","",F$562)</f>
        <v/>
      </c>
      <c r="G569" s="7" t="inlineStr">
        <is>
          <t>Rationale</t>
        </is>
      </c>
      <c r="H569" s="38" t="n"/>
      <c r="I569" s="38" t="n"/>
      <c r="J569" s="38" t="n"/>
      <c r="K569" s="38" t="n"/>
      <c r="L569" s="38" t="n"/>
      <c r="M569" s="38" t="n"/>
      <c r="N569" s="38" t="n"/>
      <c r="O569" s="38" t="n"/>
      <c r="P569" s="38" t="n"/>
      <c r="Q569" s="38" t="n"/>
      <c r="R569" s="38" t="n"/>
      <c r="S569" s="38" t="n"/>
      <c r="T569" s="38" t="n"/>
      <c r="U569" s="38" t="n"/>
      <c r="V569" s="7" t="n"/>
      <c r="X569" s="22">
        <f>IF($B569="","",IFERROR(INDEX(Cost_Centers!$E:$E,MATCH($B569,Cost_Centers!$A:$A,0)),"(unknown)"))</f>
        <v/>
      </c>
      <c r="Y569" s="22">
        <f>IF($B569="","",IFERROR(INDEX(Cost_Centers!$D:$D,MATCH($B569,Cost_Centers!$A:$A,0)),"(unknown)"))</f>
        <v/>
      </c>
      <c r="Z569" s="22">
        <f>IF(OR($B569="",$G569&lt;&gt;"Variance vs Budget"),"",ABS(N($V569))+ROW()/1000000000)</f>
        <v/>
      </c>
    </row>
    <row r="570">
      <c r="A570" s="30">
        <f>IF($D$570="","",LEFT($D$570,FIND("|",$D$570&amp;"|")-1))</f>
        <v/>
      </c>
      <c r="B570" s="31" t="n"/>
      <c r="C570" s="30">
        <f>IF($B$570="","",IFERROR(INDEX(Cost_Centers!$B:$B,MATCH($B$570,Cost_Centers!$A:$A,0)),"(not in master)"))</f>
        <v/>
      </c>
      <c r="D570" s="31" t="n"/>
      <c r="E570" s="30">
        <f>IF($D$570="","",IFERROR(INDEX(Accounts!$D:$D,MATCH($D$570,Accounts!$A:$A,0)),"(not in master)"))</f>
        <v/>
      </c>
      <c r="F570" s="31" t="n"/>
      <c r="G570" s="30" t="inlineStr">
        <is>
          <t>Budget</t>
        </is>
      </c>
      <c r="H570" s="32">
        <f>IF($B$570="","",SUMIFS(Opex_Budget!$O:$O,Opex_Budget!$A:$A,$C$3,Opex_Budget!$E:$E,$B$570,Opex_Budget!$F:$F,$D$570,Opex_Budget!$N:$N,"JPY")*$E$5+SUMIFS(Opex_Budget!$O:$O,Opex_Budget!$A:$A,$C$3,Opex_Budget!$E:$E,$B$570,Opex_Budget!$F:$F,$D$570,Opex_Budget!$N:$N,"USD")*$F$5+SUMIFS(Opex_Budget!$O:$O,Opex_Budget!$A:$A,$C$3,Opex_Budget!$E:$E,$B$570,Opex_Budget!$F:$F,$D$570,Opex_Budget!$N:$N,"EUR")*$G$5+SUMIFS(Opex_Budget!$O:$O,Opex_Budget!$A:$A,$C$3,Opex_Budget!$E:$E,$B$570,Opex_Budget!$F:$F,$D$570,Opex_Budget!$N:$N,"GBP")*$H$5)</f>
        <v/>
      </c>
      <c r="I570" s="32">
        <f>IF($B$570="","",SUMIFS(Opex_Budget!$P:$P,Opex_Budget!$A:$A,$C$3,Opex_Budget!$E:$E,$B$570,Opex_Budget!$F:$F,$D$570,Opex_Budget!$N:$N,"JPY")*$E$5+SUMIFS(Opex_Budget!$P:$P,Opex_Budget!$A:$A,$C$3,Opex_Budget!$E:$E,$B$570,Opex_Budget!$F:$F,$D$570,Opex_Budget!$N:$N,"USD")*$F$5+SUMIFS(Opex_Budget!$P:$P,Opex_Budget!$A:$A,$C$3,Opex_Budget!$E:$E,$B$570,Opex_Budget!$F:$F,$D$570,Opex_Budget!$N:$N,"EUR")*$G$5+SUMIFS(Opex_Budget!$P:$P,Opex_Budget!$A:$A,$C$3,Opex_Budget!$E:$E,$B$570,Opex_Budget!$F:$F,$D$570,Opex_Budget!$N:$N,"GBP")*$H$5)</f>
        <v/>
      </c>
      <c r="J570" s="32">
        <f>IF($B$570="","",SUMIFS(Opex_Budget!$Q:$Q,Opex_Budget!$A:$A,$C$3,Opex_Budget!$E:$E,$B$570,Opex_Budget!$F:$F,$D$570,Opex_Budget!$N:$N,"JPY")*$E$5+SUMIFS(Opex_Budget!$Q:$Q,Opex_Budget!$A:$A,$C$3,Opex_Budget!$E:$E,$B$570,Opex_Budget!$F:$F,$D$570,Opex_Budget!$N:$N,"USD")*$F$5+SUMIFS(Opex_Budget!$Q:$Q,Opex_Budget!$A:$A,$C$3,Opex_Budget!$E:$E,$B$570,Opex_Budget!$F:$F,$D$570,Opex_Budget!$N:$N,"EUR")*$G$5+SUMIFS(Opex_Budget!$Q:$Q,Opex_Budget!$A:$A,$C$3,Opex_Budget!$E:$E,$B$570,Opex_Budget!$F:$F,$D$570,Opex_Budget!$N:$N,"GBP")*$H$5)</f>
        <v/>
      </c>
      <c r="K570" s="32">
        <f>IF($B$570="","",SUMIFS(Opex_Budget!$R:$R,Opex_Budget!$A:$A,$C$3,Opex_Budget!$E:$E,$B$570,Opex_Budget!$F:$F,$D$570,Opex_Budget!$N:$N,"JPY")*$E$5+SUMIFS(Opex_Budget!$R:$R,Opex_Budget!$A:$A,$C$3,Opex_Budget!$E:$E,$B$570,Opex_Budget!$F:$F,$D$570,Opex_Budget!$N:$N,"USD")*$F$5+SUMIFS(Opex_Budget!$R:$R,Opex_Budget!$A:$A,$C$3,Opex_Budget!$E:$E,$B$570,Opex_Budget!$F:$F,$D$570,Opex_Budget!$N:$N,"EUR")*$G$5+SUMIFS(Opex_Budget!$R:$R,Opex_Budget!$A:$A,$C$3,Opex_Budget!$E:$E,$B$570,Opex_Budget!$F:$F,$D$570,Opex_Budget!$N:$N,"GBP")*$H$5)</f>
        <v/>
      </c>
      <c r="L570" s="32">
        <f>IF($B$570="","",SUMIFS(Opex_Budget!$S:$S,Opex_Budget!$A:$A,$C$3,Opex_Budget!$E:$E,$B$570,Opex_Budget!$F:$F,$D$570,Opex_Budget!$N:$N,"JPY")*$E$5+SUMIFS(Opex_Budget!$S:$S,Opex_Budget!$A:$A,$C$3,Opex_Budget!$E:$E,$B$570,Opex_Budget!$F:$F,$D$570,Opex_Budget!$N:$N,"USD")*$F$5+SUMIFS(Opex_Budget!$S:$S,Opex_Budget!$A:$A,$C$3,Opex_Budget!$E:$E,$B$570,Opex_Budget!$F:$F,$D$570,Opex_Budget!$N:$N,"EUR")*$G$5+SUMIFS(Opex_Budget!$S:$S,Opex_Budget!$A:$A,$C$3,Opex_Budget!$E:$E,$B$570,Opex_Budget!$F:$F,$D$570,Opex_Budget!$N:$N,"GBP")*$H$5)</f>
        <v/>
      </c>
      <c r="M570" s="32">
        <f>IF($B$570="","",SUMIFS(Opex_Budget!$T:$T,Opex_Budget!$A:$A,$C$3,Opex_Budget!$E:$E,$B$570,Opex_Budget!$F:$F,$D$570,Opex_Budget!$N:$N,"JPY")*$E$5+SUMIFS(Opex_Budget!$T:$T,Opex_Budget!$A:$A,$C$3,Opex_Budget!$E:$E,$B$570,Opex_Budget!$F:$F,$D$570,Opex_Budget!$N:$N,"USD")*$F$5+SUMIFS(Opex_Budget!$T:$T,Opex_Budget!$A:$A,$C$3,Opex_Budget!$E:$E,$B$570,Opex_Budget!$F:$F,$D$570,Opex_Budget!$N:$N,"EUR")*$G$5+SUMIFS(Opex_Budget!$T:$T,Opex_Budget!$A:$A,$C$3,Opex_Budget!$E:$E,$B$570,Opex_Budget!$F:$F,$D$570,Opex_Budget!$N:$N,"GBP")*$H$5)</f>
        <v/>
      </c>
      <c r="N570" s="32">
        <f>IF($B$570="","",SUMIFS(Opex_Budget!$U:$U,Opex_Budget!$A:$A,$C$3,Opex_Budget!$E:$E,$B$570,Opex_Budget!$F:$F,$D$570,Opex_Budget!$N:$N,"JPY")*$E$5+SUMIFS(Opex_Budget!$U:$U,Opex_Budget!$A:$A,$C$3,Opex_Budget!$E:$E,$B$570,Opex_Budget!$F:$F,$D$570,Opex_Budget!$N:$N,"USD")*$F$5+SUMIFS(Opex_Budget!$U:$U,Opex_Budget!$A:$A,$C$3,Opex_Budget!$E:$E,$B$570,Opex_Budget!$F:$F,$D$570,Opex_Budget!$N:$N,"EUR")*$G$5+SUMIFS(Opex_Budget!$U:$U,Opex_Budget!$A:$A,$C$3,Opex_Budget!$E:$E,$B$570,Opex_Budget!$F:$F,$D$570,Opex_Budget!$N:$N,"GBP")*$H$5)</f>
        <v/>
      </c>
      <c r="O570" s="32">
        <f>IF($B$570="","",SUMIFS(Opex_Budget!$V:$V,Opex_Budget!$A:$A,$C$3,Opex_Budget!$E:$E,$B$570,Opex_Budget!$F:$F,$D$570,Opex_Budget!$N:$N,"JPY")*$E$5+SUMIFS(Opex_Budget!$V:$V,Opex_Budget!$A:$A,$C$3,Opex_Budget!$E:$E,$B$570,Opex_Budget!$F:$F,$D$570,Opex_Budget!$N:$N,"USD")*$F$5+SUMIFS(Opex_Budget!$V:$V,Opex_Budget!$A:$A,$C$3,Opex_Budget!$E:$E,$B$570,Opex_Budget!$F:$F,$D$570,Opex_Budget!$N:$N,"EUR")*$G$5+SUMIFS(Opex_Budget!$V:$V,Opex_Budget!$A:$A,$C$3,Opex_Budget!$E:$E,$B$570,Opex_Budget!$F:$F,$D$570,Opex_Budget!$N:$N,"GBP")*$H$5)</f>
        <v/>
      </c>
      <c r="P570" s="32">
        <f>IF($B$570="","",SUMIFS(Opex_Budget!$W:$W,Opex_Budget!$A:$A,$C$3,Opex_Budget!$E:$E,$B$570,Opex_Budget!$F:$F,$D$570,Opex_Budget!$N:$N,"JPY")*$E$5+SUMIFS(Opex_Budget!$W:$W,Opex_Budget!$A:$A,$C$3,Opex_Budget!$E:$E,$B$570,Opex_Budget!$F:$F,$D$570,Opex_Budget!$N:$N,"USD")*$F$5+SUMIFS(Opex_Budget!$W:$W,Opex_Budget!$A:$A,$C$3,Opex_Budget!$E:$E,$B$570,Opex_Budget!$F:$F,$D$570,Opex_Budget!$N:$N,"EUR")*$G$5+SUMIFS(Opex_Budget!$W:$W,Opex_Budget!$A:$A,$C$3,Opex_Budget!$E:$E,$B$570,Opex_Budget!$F:$F,$D$570,Opex_Budget!$N:$N,"GBP")*$H$5)</f>
        <v/>
      </c>
      <c r="Q570" s="32">
        <f>IF($B$570="","",SUMIFS(Opex_Budget!$X:$X,Opex_Budget!$A:$A,$C$3,Opex_Budget!$E:$E,$B$570,Opex_Budget!$F:$F,$D$570,Opex_Budget!$N:$N,"JPY")*$E$5+SUMIFS(Opex_Budget!$X:$X,Opex_Budget!$A:$A,$C$3,Opex_Budget!$E:$E,$B$570,Opex_Budget!$F:$F,$D$570,Opex_Budget!$N:$N,"USD")*$F$5+SUMIFS(Opex_Budget!$X:$X,Opex_Budget!$A:$A,$C$3,Opex_Budget!$E:$E,$B$570,Opex_Budget!$F:$F,$D$570,Opex_Budget!$N:$N,"EUR")*$G$5+SUMIFS(Opex_Budget!$X:$X,Opex_Budget!$A:$A,$C$3,Opex_Budget!$E:$E,$B$570,Opex_Budget!$F:$F,$D$570,Opex_Budget!$N:$N,"GBP")*$H$5)</f>
        <v/>
      </c>
      <c r="R570" s="32">
        <f>IF($B$570="","",SUMIFS(Opex_Budget!$Y:$Y,Opex_Budget!$A:$A,$C$3,Opex_Budget!$E:$E,$B$570,Opex_Budget!$F:$F,$D$570,Opex_Budget!$N:$N,"JPY")*$E$5+SUMIFS(Opex_Budget!$Y:$Y,Opex_Budget!$A:$A,$C$3,Opex_Budget!$E:$E,$B$570,Opex_Budget!$F:$F,$D$570,Opex_Budget!$N:$N,"USD")*$F$5+SUMIFS(Opex_Budget!$Y:$Y,Opex_Budget!$A:$A,$C$3,Opex_Budget!$E:$E,$B$570,Opex_Budget!$F:$F,$D$570,Opex_Budget!$N:$N,"EUR")*$G$5+SUMIFS(Opex_Budget!$Y:$Y,Opex_Budget!$A:$A,$C$3,Opex_Budget!$E:$E,$B$570,Opex_Budget!$F:$F,$D$570,Opex_Budget!$N:$N,"GBP")*$H$5)</f>
        <v/>
      </c>
      <c r="S570" s="32">
        <f>IF($B$570="","",SUMIFS(Opex_Budget!$Z:$Z,Opex_Budget!$A:$A,$C$3,Opex_Budget!$E:$E,$B$570,Opex_Budget!$F:$F,$D$570,Opex_Budget!$N:$N,"JPY")*$E$5+SUMIFS(Opex_Budget!$Z:$Z,Opex_Budget!$A:$A,$C$3,Opex_Budget!$E:$E,$B$570,Opex_Budget!$F:$F,$D$570,Opex_Budget!$N:$N,"USD")*$F$5+SUMIFS(Opex_Budget!$Z:$Z,Opex_Budget!$A:$A,$C$3,Opex_Budget!$E:$E,$B$570,Opex_Budget!$F:$F,$D$570,Opex_Budget!$N:$N,"EUR")*$G$5+SUMIFS(Opex_Budget!$Z:$Z,Opex_Budget!$A:$A,$C$3,Opex_Budget!$E:$E,$B$570,Opex_Budget!$F:$F,$D$570,Opex_Budget!$N:$N,"GBP")*$H$5)</f>
        <v/>
      </c>
      <c r="T570" s="32">
        <f>IF($B$570="","",SUMIF($H$7:$S$7,"&lt;="&amp;$C$4,$H570:$S570))</f>
        <v/>
      </c>
      <c r="U570" s="32">
        <f>IF($B$570="","",SUMIF($H$7:$S$7,"&gt;"&amp;$C$4,$H570:$S570))</f>
        <v/>
      </c>
      <c r="V570" s="32">
        <f>IF($B$570="","",SUM($H570:$S570))</f>
        <v/>
      </c>
      <c r="X570" s="22">
        <f>IF($B570="","",IFERROR(INDEX(Cost_Centers!$E:$E,MATCH($B570,Cost_Centers!$A:$A,0)),"(unknown)"))</f>
        <v/>
      </c>
      <c r="Y570" s="22">
        <f>IF($B570="","",IFERROR(INDEX(Cost_Centers!$D:$D,MATCH($B570,Cost_Centers!$A:$A,0)),"(unknown)"))</f>
        <v/>
      </c>
      <c r="Z570" s="22">
        <f>IF(OR($B570="",$G570&lt;&gt;"Variance vs Budget"),"",ABS(N($V570))+ROW()/1000000000)</f>
        <v/>
      </c>
    </row>
    <row r="571">
      <c r="A571" s="13">
        <f>IF(A$570="","",A$570)</f>
        <v/>
      </c>
      <c r="B571" s="13">
        <f>IF(B$570="","",B$570)</f>
        <v/>
      </c>
      <c r="C571" s="13">
        <f>IF(C$570="","",C$570)</f>
        <v/>
      </c>
      <c r="D571" s="13">
        <f>IF(D$570="","",D$570)</f>
        <v/>
      </c>
      <c r="E571" s="13">
        <f>IF(E$570="","",E$570)</f>
        <v/>
      </c>
      <c r="F571" s="13">
        <f>IF(F$570="","",F$570)</f>
        <v/>
      </c>
      <c r="G571" s="7" t="inlineStr">
        <is>
          <t>Actual</t>
        </is>
      </c>
      <c r="H571" s="18">
        <f>IF(OR($B$570="",1&gt;$C$4),"",SUMIFS(Actuals!$G:$G,Actuals!$B:$B,$C$3,Actuals!$C:$C,1,Actuals!$D:$D,$B$570,Actuals!$A:$A,LEFT($D$570,FIND("|",$D$570&amp;"|")-1),Actuals!$E:$E,MID($D$570,FIND("|",$D$570&amp;"|")+1,50),Actuals!$F:$F,"JPY")*$E$5+SUMIFS(Actuals!$G:$G,Actuals!$B:$B,$C$3,Actuals!$C:$C,1,Actuals!$D:$D,$B$570,Actuals!$A:$A,LEFT($D$570,FIND("|",$D$570&amp;"|")-1),Actuals!$E:$E,MID($D$570,FIND("|",$D$570&amp;"|")+1,50),Actuals!$F:$F,"USD")*$F$5+SUMIFS(Actuals!$G:$G,Actuals!$B:$B,$C$3,Actuals!$C:$C,1,Actuals!$D:$D,$B$570,Actuals!$A:$A,LEFT($D$570,FIND("|",$D$570&amp;"|")-1),Actuals!$E:$E,MID($D$570,FIND("|",$D$570&amp;"|")+1,50),Actuals!$F:$F,"EUR")*$G$5+SUMIFS(Actuals!$G:$G,Actuals!$B:$B,$C$3,Actuals!$C:$C,1,Actuals!$D:$D,$B$570,Actuals!$A:$A,LEFT($D$570,FIND("|",$D$570&amp;"|")-1),Actuals!$E:$E,MID($D$570,FIND("|",$D$570&amp;"|")+1,50),Actuals!$F:$F,"GBP")*$H$5)</f>
        <v/>
      </c>
      <c r="I571" s="18">
        <f>IF(OR($B$570="",2&gt;$C$4),"",SUMIFS(Actuals!$G:$G,Actuals!$B:$B,$C$3,Actuals!$C:$C,2,Actuals!$D:$D,$B$570,Actuals!$A:$A,LEFT($D$570,FIND("|",$D$570&amp;"|")-1),Actuals!$E:$E,MID($D$570,FIND("|",$D$570&amp;"|")+1,50),Actuals!$F:$F,"JPY")*$E$5+SUMIFS(Actuals!$G:$G,Actuals!$B:$B,$C$3,Actuals!$C:$C,2,Actuals!$D:$D,$B$570,Actuals!$A:$A,LEFT($D$570,FIND("|",$D$570&amp;"|")-1),Actuals!$E:$E,MID($D$570,FIND("|",$D$570&amp;"|")+1,50),Actuals!$F:$F,"USD")*$F$5+SUMIFS(Actuals!$G:$G,Actuals!$B:$B,$C$3,Actuals!$C:$C,2,Actuals!$D:$D,$B$570,Actuals!$A:$A,LEFT($D$570,FIND("|",$D$570&amp;"|")-1),Actuals!$E:$E,MID($D$570,FIND("|",$D$570&amp;"|")+1,50),Actuals!$F:$F,"EUR")*$G$5+SUMIFS(Actuals!$G:$G,Actuals!$B:$B,$C$3,Actuals!$C:$C,2,Actuals!$D:$D,$B$570,Actuals!$A:$A,LEFT($D$570,FIND("|",$D$570&amp;"|")-1),Actuals!$E:$E,MID($D$570,FIND("|",$D$570&amp;"|")+1,50),Actuals!$F:$F,"GBP")*$H$5)</f>
        <v/>
      </c>
      <c r="J571" s="18">
        <f>IF(OR($B$570="",3&gt;$C$4),"",SUMIFS(Actuals!$G:$G,Actuals!$B:$B,$C$3,Actuals!$C:$C,3,Actuals!$D:$D,$B$570,Actuals!$A:$A,LEFT($D$570,FIND("|",$D$570&amp;"|")-1),Actuals!$E:$E,MID($D$570,FIND("|",$D$570&amp;"|")+1,50),Actuals!$F:$F,"JPY")*$E$5+SUMIFS(Actuals!$G:$G,Actuals!$B:$B,$C$3,Actuals!$C:$C,3,Actuals!$D:$D,$B$570,Actuals!$A:$A,LEFT($D$570,FIND("|",$D$570&amp;"|")-1),Actuals!$E:$E,MID($D$570,FIND("|",$D$570&amp;"|")+1,50),Actuals!$F:$F,"USD")*$F$5+SUMIFS(Actuals!$G:$G,Actuals!$B:$B,$C$3,Actuals!$C:$C,3,Actuals!$D:$D,$B$570,Actuals!$A:$A,LEFT($D$570,FIND("|",$D$570&amp;"|")-1),Actuals!$E:$E,MID($D$570,FIND("|",$D$570&amp;"|")+1,50),Actuals!$F:$F,"EUR")*$G$5+SUMIFS(Actuals!$G:$G,Actuals!$B:$B,$C$3,Actuals!$C:$C,3,Actuals!$D:$D,$B$570,Actuals!$A:$A,LEFT($D$570,FIND("|",$D$570&amp;"|")-1),Actuals!$E:$E,MID($D$570,FIND("|",$D$570&amp;"|")+1,50),Actuals!$F:$F,"GBP")*$H$5)</f>
        <v/>
      </c>
      <c r="K571" s="18">
        <f>IF(OR($B$570="",4&gt;$C$4),"",SUMIFS(Actuals!$G:$G,Actuals!$B:$B,$C$3,Actuals!$C:$C,4,Actuals!$D:$D,$B$570,Actuals!$A:$A,LEFT($D$570,FIND("|",$D$570&amp;"|")-1),Actuals!$E:$E,MID($D$570,FIND("|",$D$570&amp;"|")+1,50),Actuals!$F:$F,"JPY")*$E$5+SUMIFS(Actuals!$G:$G,Actuals!$B:$B,$C$3,Actuals!$C:$C,4,Actuals!$D:$D,$B$570,Actuals!$A:$A,LEFT($D$570,FIND("|",$D$570&amp;"|")-1),Actuals!$E:$E,MID($D$570,FIND("|",$D$570&amp;"|")+1,50),Actuals!$F:$F,"USD")*$F$5+SUMIFS(Actuals!$G:$G,Actuals!$B:$B,$C$3,Actuals!$C:$C,4,Actuals!$D:$D,$B$570,Actuals!$A:$A,LEFT($D$570,FIND("|",$D$570&amp;"|")-1),Actuals!$E:$E,MID($D$570,FIND("|",$D$570&amp;"|")+1,50),Actuals!$F:$F,"EUR")*$G$5+SUMIFS(Actuals!$G:$G,Actuals!$B:$B,$C$3,Actuals!$C:$C,4,Actuals!$D:$D,$B$570,Actuals!$A:$A,LEFT($D$570,FIND("|",$D$570&amp;"|")-1),Actuals!$E:$E,MID($D$570,FIND("|",$D$570&amp;"|")+1,50),Actuals!$F:$F,"GBP")*$H$5)</f>
        <v/>
      </c>
      <c r="L571" s="18">
        <f>IF(OR($B$570="",5&gt;$C$4),"",SUMIFS(Actuals!$G:$G,Actuals!$B:$B,$C$3,Actuals!$C:$C,5,Actuals!$D:$D,$B$570,Actuals!$A:$A,LEFT($D$570,FIND("|",$D$570&amp;"|")-1),Actuals!$E:$E,MID($D$570,FIND("|",$D$570&amp;"|")+1,50),Actuals!$F:$F,"JPY")*$E$5+SUMIFS(Actuals!$G:$G,Actuals!$B:$B,$C$3,Actuals!$C:$C,5,Actuals!$D:$D,$B$570,Actuals!$A:$A,LEFT($D$570,FIND("|",$D$570&amp;"|")-1),Actuals!$E:$E,MID($D$570,FIND("|",$D$570&amp;"|")+1,50),Actuals!$F:$F,"USD")*$F$5+SUMIFS(Actuals!$G:$G,Actuals!$B:$B,$C$3,Actuals!$C:$C,5,Actuals!$D:$D,$B$570,Actuals!$A:$A,LEFT($D$570,FIND("|",$D$570&amp;"|")-1),Actuals!$E:$E,MID($D$570,FIND("|",$D$570&amp;"|")+1,50),Actuals!$F:$F,"EUR")*$G$5+SUMIFS(Actuals!$G:$G,Actuals!$B:$B,$C$3,Actuals!$C:$C,5,Actuals!$D:$D,$B$570,Actuals!$A:$A,LEFT($D$570,FIND("|",$D$570&amp;"|")-1),Actuals!$E:$E,MID($D$570,FIND("|",$D$570&amp;"|")+1,50),Actuals!$F:$F,"GBP")*$H$5)</f>
        <v/>
      </c>
      <c r="M571" s="18">
        <f>IF(OR($B$570="",6&gt;$C$4),"",SUMIFS(Actuals!$G:$G,Actuals!$B:$B,$C$3,Actuals!$C:$C,6,Actuals!$D:$D,$B$570,Actuals!$A:$A,LEFT($D$570,FIND("|",$D$570&amp;"|")-1),Actuals!$E:$E,MID($D$570,FIND("|",$D$570&amp;"|")+1,50),Actuals!$F:$F,"JPY")*$E$5+SUMIFS(Actuals!$G:$G,Actuals!$B:$B,$C$3,Actuals!$C:$C,6,Actuals!$D:$D,$B$570,Actuals!$A:$A,LEFT($D$570,FIND("|",$D$570&amp;"|")-1),Actuals!$E:$E,MID($D$570,FIND("|",$D$570&amp;"|")+1,50),Actuals!$F:$F,"USD")*$F$5+SUMIFS(Actuals!$G:$G,Actuals!$B:$B,$C$3,Actuals!$C:$C,6,Actuals!$D:$D,$B$570,Actuals!$A:$A,LEFT($D$570,FIND("|",$D$570&amp;"|")-1),Actuals!$E:$E,MID($D$570,FIND("|",$D$570&amp;"|")+1,50),Actuals!$F:$F,"EUR")*$G$5+SUMIFS(Actuals!$G:$G,Actuals!$B:$B,$C$3,Actuals!$C:$C,6,Actuals!$D:$D,$B$570,Actuals!$A:$A,LEFT($D$570,FIND("|",$D$570&amp;"|")-1),Actuals!$E:$E,MID($D$570,FIND("|",$D$570&amp;"|")+1,50),Actuals!$F:$F,"GBP")*$H$5)</f>
        <v/>
      </c>
      <c r="N571" s="18">
        <f>IF(OR($B$570="",7&gt;$C$4),"",SUMIFS(Actuals!$G:$G,Actuals!$B:$B,$C$3,Actuals!$C:$C,7,Actuals!$D:$D,$B$570,Actuals!$A:$A,LEFT($D$570,FIND("|",$D$570&amp;"|")-1),Actuals!$E:$E,MID($D$570,FIND("|",$D$570&amp;"|")+1,50),Actuals!$F:$F,"JPY")*$E$5+SUMIFS(Actuals!$G:$G,Actuals!$B:$B,$C$3,Actuals!$C:$C,7,Actuals!$D:$D,$B$570,Actuals!$A:$A,LEFT($D$570,FIND("|",$D$570&amp;"|")-1),Actuals!$E:$E,MID($D$570,FIND("|",$D$570&amp;"|")+1,50),Actuals!$F:$F,"USD")*$F$5+SUMIFS(Actuals!$G:$G,Actuals!$B:$B,$C$3,Actuals!$C:$C,7,Actuals!$D:$D,$B$570,Actuals!$A:$A,LEFT($D$570,FIND("|",$D$570&amp;"|")-1),Actuals!$E:$E,MID($D$570,FIND("|",$D$570&amp;"|")+1,50),Actuals!$F:$F,"EUR")*$G$5+SUMIFS(Actuals!$G:$G,Actuals!$B:$B,$C$3,Actuals!$C:$C,7,Actuals!$D:$D,$B$570,Actuals!$A:$A,LEFT($D$570,FIND("|",$D$570&amp;"|")-1),Actuals!$E:$E,MID($D$570,FIND("|",$D$570&amp;"|")+1,50),Actuals!$F:$F,"GBP")*$H$5)</f>
        <v/>
      </c>
      <c r="O571" s="18">
        <f>IF(OR($B$570="",8&gt;$C$4),"",SUMIFS(Actuals!$G:$G,Actuals!$B:$B,$C$3,Actuals!$C:$C,8,Actuals!$D:$D,$B$570,Actuals!$A:$A,LEFT($D$570,FIND("|",$D$570&amp;"|")-1),Actuals!$E:$E,MID($D$570,FIND("|",$D$570&amp;"|")+1,50),Actuals!$F:$F,"JPY")*$E$5+SUMIFS(Actuals!$G:$G,Actuals!$B:$B,$C$3,Actuals!$C:$C,8,Actuals!$D:$D,$B$570,Actuals!$A:$A,LEFT($D$570,FIND("|",$D$570&amp;"|")-1),Actuals!$E:$E,MID($D$570,FIND("|",$D$570&amp;"|")+1,50),Actuals!$F:$F,"USD")*$F$5+SUMIFS(Actuals!$G:$G,Actuals!$B:$B,$C$3,Actuals!$C:$C,8,Actuals!$D:$D,$B$570,Actuals!$A:$A,LEFT($D$570,FIND("|",$D$570&amp;"|")-1),Actuals!$E:$E,MID($D$570,FIND("|",$D$570&amp;"|")+1,50),Actuals!$F:$F,"EUR")*$G$5+SUMIFS(Actuals!$G:$G,Actuals!$B:$B,$C$3,Actuals!$C:$C,8,Actuals!$D:$D,$B$570,Actuals!$A:$A,LEFT($D$570,FIND("|",$D$570&amp;"|")-1),Actuals!$E:$E,MID($D$570,FIND("|",$D$570&amp;"|")+1,50),Actuals!$F:$F,"GBP")*$H$5)</f>
        <v/>
      </c>
      <c r="P571" s="18">
        <f>IF(OR($B$570="",9&gt;$C$4),"",SUMIFS(Actuals!$G:$G,Actuals!$B:$B,$C$3,Actuals!$C:$C,9,Actuals!$D:$D,$B$570,Actuals!$A:$A,LEFT($D$570,FIND("|",$D$570&amp;"|")-1),Actuals!$E:$E,MID($D$570,FIND("|",$D$570&amp;"|")+1,50),Actuals!$F:$F,"JPY")*$E$5+SUMIFS(Actuals!$G:$G,Actuals!$B:$B,$C$3,Actuals!$C:$C,9,Actuals!$D:$D,$B$570,Actuals!$A:$A,LEFT($D$570,FIND("|",$D$570&amp;"|")-1),Actuals!$E:$E,MID($D$570,FIND("|",$D$570&amp;"|")+1,50),Actuals!$F:$F,"USD")*$F$5+SUMIFS(Actuals!$G:$G,Actuals!$B:$B,$C$3,Actuals!$C:$C,9,Actuals!$D:$D,$B$570,Actuals!$A:$A,LEFT($D$570,FIND("|",$D$570&amp;"|")-1),Actuals!$E:$E,MID($D$570,FIND("|",$D$570&amp;"|")+1,50),Actuals!$F:$F,"EUR")*$G$5+SUMIFS(Actuals!$G:$G,Actuals!$B:$B,$C$3,Actuals!$C:$C,9,Actuals!$D:$D,$B$570,Actuals!$A:$A,LEFT($D$570,FIND("|",$D$570&amp;"|")-1),Actuals!$E:$E,MID($D$570,FIND("|",$D$570&amp;"|")+1,50),Actuals!$F:$F,"GBP")*$H$5)</f>
        <v/>
      </c>
      <c r="Q571" s="18">
        <f>IF(OR($B$570="",10&gt;$C$4),"",SUMIFS(Actuals!$G:$G,Actuals!$B:$B,$C$3,Actuals!$C:$C,10,Actuals!$D:$D,$B$570,Actuals!$A:$A,LEFT($D$570,FIND("|",$D$570&amp;"|")-1),Actuals!$E:$E,MID($D$570,FIND("|",$D$570&amp;"|")+1,50),Actuals!$F:$F,"JPY")*$E$5+SUMIFS(Actuals!$G:$G,Actuals!$B:$B,$C$3,Actuals!$C:$C,10,Actuals!$D:$D,$B$570,Actuals!$A:$A,LEFT($D$570,FIND("|",$D$570&amp;"|")-1),Actuals!$E:$E,MID($D$570,FIND("|",$D$570&amp;"|")+1,50),Actuals!$F:$F,"USD")*$F$5+SUMIFS(Actuals!$G:$G,Actuals!$B:$B,$C$3,Actuals!$C:$C,10,Actuals!$D:$D,$B$570,Actuals!$A:$A,LEFT($D$570,FIND("|",$D$570&amp;"|")-1),Actuals!$E:$E,MID($D$570,FIND("|",$D$570&amp;"|")+1,50),Actuals!$F:$F,"EUR")*$G$5+SUMIFS(Actuals!$G:$G,Actuals!$B:$B,$C$3,Actuals!$C:$C,10,Actuals!$D:$D,$B$570,Actuals!$A:$A,LEFT($D$570,FIND("|",$D$570&amp;"|")-1),Actuals!$E:$E,MID($D$570,FIND("|",$D$570&amp;"|")+1,50),Actuals!$F:$F,"GBP")*$H$5)</f>
        <v/>
      </c>
      <c r="R571" s="18">
        <f>IF(OR($B$570="",11&gt;$C$4),"",SUMIFS(Actuals!$G:$G,Actuals!$B:$B,$C$3,Actuals!$C:$C,11,Actuals!$D:$D,$B$570,Actuals!$A:$A,LEFT($D$570,FIND("|",$D$570&amp;"|")-1),Actuals!$E:$E,MID($D$570,FIND("|",$D$570&amp;"|")+1,50),Actuals!$F:$F,"JPY")*$E$5+SUMIFS(Actuals!$G:$G,Actuals!$B:$B,$C$3,Actuals!$C:$C,11,Actuals!$D:$D,$B$570,Actuals!$A:$A,LEFT($D$570,FIND("|",$D$570&amp;"|")-1),Actuals!$E:$E,MID($D$570,FIND("|",$D$570&amp;"|")+1,50),Actuals!$F:$F,"USD")*$F$5+SUMIFS(Actuals!$G:$G,Actuals!$B:$B,$C$3,Actuals!$C:$C,11,Actuals!$D:$D,$B$570,Actuals!$A:$A,LEFT($D$570,FIND("|",$D$570&amp;"|")-1),Actuals!$E:$E,MID($D$570,FIND("|",$D$570&amp;"|")+1,50),Actuals!$F:$F,"EUR")*$G$5+SUMIFS(Actuals!$G:$G,Actuals!$B:$B,$C$3,Actuals!$C:$C,11,Actuals!$D:$D,$B$570,Actuals!$A:$A,LEFT($D$570,FIND("|",$D$570&amp;"|")-1),Actuals!$E:$E,MID($D$570,FIND("|",$D$570&amp;"|")+1,50),Actuals!$F:$F,"GBP")*$H$5)</f>
        <v/>
      </c>
      <c r="S571" s="18">
        <f>IF(OR($B$570="",12&gt;$C$4),"",SUMIFS(Actuals!$G:$G,Actuals!$B:$B,$C$3,Actuals!$C:$C,12,Actuals!$D:$D,$B$570,Actuals!$A:$A,LEFT($D$570,FIND("|",$D$570&amp;"|")-1),Actuals!$E:$E,MID($D$570,FIND("|",$D$570&amp;"|")+1,50),Actuals!$F:$F,"JPY")*$E$5+SUMIFS(Actuals!$G:$G,Actuals!$B:$B,$C$3,Actuals!$C:$C,12,Actuals!$D:$D,$B$570,Actuals!$A:$A,LEFT($D$570,FIND("|",$D$570&amp;"|")-1),Actuals!$E:$E,MID($D$570,FIND("|",$D$570&amp;"|")+1,50),Actuals!$F:$F,"USD")*$F$5+SUMIFS(Actuals!$G:$G,Actuals!$B:$B,$C$3,Actuals!$C:$C,12,Actuals!$D:$D,$B$570,Actuals!$A:$A,LEFT($D$570,FIND("|",$D$570&amp;"|")-1),Actuals!$E:$E,MID($D$570,FIND("|",$D$570&amp;"|")+1,50),Actuals!$F:$F,"EUR")*$G$5+SUMIFS(Actuals!$G:$G,Actuals!$B:$B,$C$3,Actuals!$C:$C,12,Actuals!$D:$D,$B$570,Actuals!$A:$A,LEFT($D$570,FIND("|",$D$570&amp;"|")-1),Actuals!$E:$E,MID($D$570,FIND("|",$D$570&amp;"|")+1,50),Actuals!$F:$F,"GBP")*$H$5)</f>
        <v/>
      </c>
      <c r="T571" s="18">
        <f>IF($B$570="","",SUMIF($H$7:$S$7,"&lt;="&amp;$C$4,$H571:$S571))</f>
        <v/>
      </c>
      <c r="U571" s="18" t="n"/>
      <c r="V571" s="18" t="n"/>
      <c r="X571" s="22">
        <f>IF($B571="","",IFERROR(INDEX(Cost_Centers!$E:$E,MATCH($B571,Cost_Centers!$A:$A,0)),"(unknown)"))</f>
        <v/>
      </c>
      <c r="Y571" s="22">
        <f>IF($B571="","",IFERROR(INDEX(Cost_Centers!$D:$D,MATCH($B571,Cost_Centers!$A:$A,0)),"(unknown)"))</f>
        <v/>
      </c>
      <c r="Z571" s="22">
        <f>IF(OR($B571="",$G571&lt;&gt;"Variance vs Budget"),"",ABS(N($V571))+ROW()/1000000000)</f>
        <v/>
      </c>
    </row>
    <row r="572">
      <c r="A572" s="13">
        <f>IF(A$570="","",A$570)</f>
        <v/>
      </c>
      <c r="B572" s="13">
        <f>IF(B$570="","",B$570)</f>
        <v/>
      </c>
      <c r="C572" s="13">
        <f>IF(C$570="","",C$570)</f>
        <v/>
      </c>
      <c r="D572" s="13">
        <f>IF(D$570="","",D$570)</f>
        <v/>
      </c>
      <c r="E572" s="13">
        <f>IF(E$570="","",E$570)</f>
        <v/>
      </c>
      <c r="F572" s="13">
        <f>IF(F$570="","",F$570)</f>
        <v/>
      </c>
      <c r="G572" s="6" t="inlineStr">
        <is>
          <t>Variance vs Budget</t>
        </is>
      </c>
      <c r="H572" s="33">
        <f>IF(OR($B$570="",1&gt;$C$4),"",N(H571)-H570)</f>
        <v/>
      </c>
      <c r="I572" s="33">
        <f>IF(OR($B$570="",2&gt;$C$4),"",N(I571)-I570)</f>
        <v/>
      </c>
      <c r="J572" s="33">
        <f>IF(OR($B$570="",3&gt;$C$4),"",N(J571)-J570)</f>
        <v/>
      </c>
      <c r="K572" s="33">
        <f>IF(OR($B$570="",4&gt;$C$4),"",N(K571)-K570)</f>
        <v/>
      </c>
      <c r="L572" s="33">
        <f>IF(OR($B$570="",5&gt;$C$4),"",N(L571)-L570)</f>
        <v/>
      </c>
      <c r="M572" s="33">
        <f>IF(OR($B$570="",6&gt;$C$4),"",N(M571)-M570)</f>
        <v/>
      </c>
      <c r="N572" s="33">
        <f>IF(OR($B$570="",7&gt;$C$4),"",N(N571)-N570)</f>
        <v/>
      </c>
      <c r="O572" s="33">
        <f>IF(OR($B$570="",8&gt;$C$4),"",N(O571)-O570)</f>
        <v/>
      </c>
      <c r="P572" s="33">
        <f>IF(OR($B$570="",9&gt;$C$4),"",N(P571)-P570)</f>
        <v/>
      </c>
      <c r="Q572" s="33">
        <f>IF(OR($B$570="",10&gt;$C$4),"",N(Q571)-Q570)</f>
        <v/>
      </c>
      <c r="R572" s="33">
        <f>IF(OR($B$570="",11&gt;$C$4),"",N(R571)-R570)</f>
        <v/>
      </c>
      <c r="S572" s="33">
        <f>IF(OR($B$570="",12&gt;$C$4),"",N(S571)-S570)</f>
        <v/>
      </c>
      <c r="T572" s="33">
        <f>IF($B$570="","",T571-T570)</f>
        <v/>
      </c>
      <c r="U572" s="33">
        <f>IF($B$570="","",U574-U570)</f>
        <v/>
      </c>
      <c r="V572" s="33">
        <f>IF($B$570="","",V574-V570)</f>
        <v/>
      </c>
      <c r="X572" s="22">
        <f>IF($B572="","",IFERROR(INDEX(Cost_Centers!$E:$E,MATCH($B572,Cost_Centers!$A:$A,0)),"(unknown)"))</f>
        <v/>
      </c>
      <c r="Y572" s="22">
        <f>IF($B572="","",IFERROR(INDEX(Cost_Centers!$D:$D,MATCH($B572,Cost_Centers!$A:$A,0)),"(unknown)"))</f>
        <v/>
      </c>
      <c r="Z572" s="22">
        <f>IF(OR($B572="",$G572&lt;&gt;"Variance vs Budget"),"",ABS(N($V572))+ROW()/1000000000)</f>
        <v/>
      </c>
    </row>
    <row r="573">
      <c r="A573" s="13">
        <f>IF(A$570="","",A$570)</f>
        <v/>
      </c>
      <c r="B573" s="13">
        <f>IF(B$570="","",B$570)</f>
        <v/>
      </c>
      <c r="C573" s="13">
        <f>IF(C$570="","",C$570)</f>
        <v/>
      </c>
      <c r="D573" s="13">
        <f>IF(D$570="","",D$570)</f>
        <v/>
      </c>
      <c r="E573" s="13">
        <f>IF(E$570="","",E$570)</f>
        <v/>
      </c>
      <c r="F573" s="13">
        <f>IF(F$570="","",F$570)</f>
        <v/>
      </c>
      <c r="G573" s="7" t="inlineStr">
        <is>
          <t>Forecast (input)</t>
        </is>
      </c>
      <c r="H573" s="34" t="n"/>
      <c r="I573" s="34" t="n"/>
      <c r="J573" s="34" t="n"/>
      <c r="K573" s="34" t="n"/>
      <c r="L573" s="34" t="n"/>
      <c r="M573" s="34" t="n"/>
      <c r="N573" s="34" t="n"/>
      <c r="O573" s="34" t="n"/>
      <c r="P573" s="34" t="n"/>
      <c r="Q573" s="34" t="n"/>
      <c r="R573" s="34" t="n"/>
      <c r="S573" s="34" t="n"/>
      <c r="T573" s="18" t="n"/>
      <c r="U573" s="18" t="n"/>
      <c r="V573" s="18" t="n"/>
      <c r="X573" s="22">
        <f>IF($B573="","",IFERROR(INDEX(Cost_Centers!$E:$E,MATCH($B573,Cost_Centers!$A:$A,0)),"(unknown)"))</f>
        <v/>
      </c>
      <c r="Y573" s="22">
        <f>IF($B573="","",IFERROR(INDEX(Cost_Centers!$D:$D,MATCH($B573,Cost_Centers!$A:$A,0)),"(unknown)"))</f>
        <v/>
      </c>
      <c r="Z573" s="22">
        <f>IF(OR($B573="",$G573&lt;&gt;"Variance vs Budget"),"",ABS(N($V573))+ROW()/1000000000)</f>
        <v/>
      </c>
    </row>
    <row r="574">
      <c r="A574" s="13">
        <f>IF(A$570="","",A$570)</f>
        <v/>
      </c>
      <c r="B574" s="13">
        <f>IF(B$570="","",B$570)</f>
        <v/>
      </c>
      <c r="C574" s="13">
        <f>IF(C$570="","",C$570)</f>
        <v/>
      </c>
      <c r="D574" s="13">
        <f>IF(D$570="","",D$570)</f>
        <v/>
      </c>
      <c r="E574" s="13">
        <f>IF(E$570="","",E$570)</f>
        <v/>
      </c>
      <c r="F574" s="13">
        <f>IF(F$570="","",F$570)</f>
        <v/>
      </c>
      <c r="G574" s="35" t="inlineStr">
        <is>
          <t>Actual + Forecast</t>
        </is>
      </c>
      <c r="H574" s="18">
        <f>IF($B$570="","",IF(1&lt;=$C$4,N(H571),IF(H573="",H570,H573)))</f>
        <v/>
      </c>
      <c r="I574" s="18">
        <f>IF($B$570="","",IF(2&lt;=$C$4,N(I571),IF(I573="",I570,I573)))</f>
        <v/>
      </c>
      <c r="J574" s="18">
        <f>IF($B$570="","",IF(3&lt;=$C$4,N(J571),IF(J573="",J570,J573)))</f>
        <v/>
      </c>
      <c r="K574" s="18">
        <f>IF($B$570="","",IF(4&lt;=$C$4,N(K571),IF(K573="",K570,K573)))</f>
        <v/>
      </c>
      <c r="L574" s="18">
        <f>IF($B$570="","",IF(5&lt;=$C$4,N(L571),IF(L573="",L570,L573)))</f>
        <v/>
      </c>
      <c r="M574" s="18">
        <f>IF($B$570="","",IF(6&lt;=$C$4,N(M571),IF(M573="",M570,M573)))</f>
        <v/>
      </c>
      <c r="N574" s="18">
        <f>IF($B$570="","",IF(7&lt;=$C$4,N(N571),IF(N573="",N570,N573)))</f>
        <v/>
      </c>
      <c r="O574" s="18">
        <f>IF($B$570="","",IF(8&lt;=$C$4,N(O571),IF(O573="",O570,O573)))</f>
        <v/>
      </c>
      <c r="P574" s="18">
        <f>IF($B$570="","",IF(9&lt;=$C$4,N(P571),IF(P573="",P570,P573)))</f>
        <v/>
      </c>
      <c r="Q574" s="18">
        <f>IF($B$570="","",IF(10&lt;=$C$4,N(Q571),IF(Q573="",Q570,Q573)))</f>
        <v/>
      </c>
      <c r="R574" s="18">
        <f>IF($B$570="","",IF(11&lt;=$C$4,N(R571),IF(R573="",R570,R573)))</f>
        <v/>
      </c>
      <c r="S574" s="18">
        <f>IF($B$570="","",IF(12&lt;=$C$4,N(S571),IF(S573="",S570,S573)))</f>
        <v/>
      </c>
      <c r="T574" s="18">
        <f>IF($B$570="","",SUMIF($H$7:$S$7,"&lt;="&amp;$C$4,$H574:$S574))</f>
        <v/>
      </c>
      <c r="U574" s="18">
        <f>IF($B$570="","",SUMIF($H$7:$S$7,"&gt;"&amp;$C$4,$H574:$S574))</f>
        <v/>
      </c>
      <c r="V574" s="18">
        <f>IF($B$570="","",SUM($H574:$S574))</f>
        <v/>
      </c>
      <c r="X574" s="22">
        <f>IF($B574="","",IFERROR(INDEX(Cost_Centers!$E:$E,MATCH($B574,Cost_Centers!$A:$A,0)),"(unknown)"))</f>
        <v/>
      </c>
      <c r="Y574" s="22">
        <f>IF($B574="","",IFERROR(INDEX(Cost_Centers!$D:$D,MATCH($B574,Cost_Centers!$A:$A,0)),"(unknown)"))</f>
        <v/>
      </c>
      <c r="Z574" s="22">
        <f>IF(OR($B574="",$G574&lt;&gt;"Variance vs Budget"),"",ABS(N($V574))+ROW()/1000000000)</f>
        <v/>
      </c>
    </row>
    <row r="575">
      <c r="A575" s="13">
        <f>IF(A$570="","",A$570)</f>
        <v/>
      </c>
      <c r="B575" s="13">
        <f>IF(B$570="","",B$570)</f>
        <v/>
      </c>
      <c r="C575" s="13">
        <f>IF(C$570="","",C$570)</f>
        <v/>
      </c>
      <c r="D575" s="13">
        <f>IF(D$570="","",D$570)</f>
        <v/>
      </c>
      <c r="E575" s="13">
        <f>IF(E$570="","",E$570)</f>
        <v/>
      </c>
      <c r="F575" s="13">
        <f>IF(F$570="","",F$570)</f>
        <v/>
      </c>
      <c r="G575" s="36" t="inlineStr">
        <is>
          <t>Prior Month Forecast</t>
        </is>
      </c>
      <c r="H575" s="37">
        <f>IF($B$570="","",IF(COUNTIFS(Prior_Forecast!$A:$A,$B$570,Prior_Forecast!$B:$B,$D$570)&gt;0,SUMIFS(Prior_Forecast!$C:$C,Prior_Forecast!$A:$A,$B$570,Prior_Forecast!$B:$B,$D$570),""))</f>
        <v/>
      </c>
      <c r="I575" s="37">
        <f>IF($B$570="","",IF(COUNTIFS(Prior_Forecast!$A:$A,$B$570,Prior_Forecast!$B:$B,$D$570)&gt;0,SUMIFS(Prior_Forecast!$D:$D,Prior_Forecast!$A:$A,$B$570,Prior_Forecast!$B:$B,$D$570),""))</f>
        <v/>
      </c>
      <c r="J575" s="37">
        <f>IF($B$570="","",IF(COUNTIFS(Prior_Forecast!$A:$A,$B$570,Prior_Forecast!$B:$B,$D$570)&gt;0,SUMIFS(Prior_Forecast!$E:$E,Prior_Forecast!$A:$A,$B$570,Prior_Forecast!$B:$B,$D$570),""))</f>
        <v/>
      </c>
      <c r="K575" s="37">
        <f>IF($B$570="","",IF(COUNTIFS(Prior_Forecast!$A:$A,$B$570,Prior_Forecast!$B:$B,$D$570)&gt;0,SUMIFS(Prior_Forecast!$F:$F,Prior_Forecast!$A:$A,$B$570,Prior_Forecast!$B:$B,$D$570),""))</f>
        <v/>
      </c>
      <c r="L575" s="37">
        <f>IF($B$570="","",IF(COUNTIFS(Prior_Forecast!$A:$A,$B$570,Prior_Forecast!$B:$B,$D$570)&gt;0,SUMIFS(Prior_Forecast!$G:$G,Prior_Forecast!$A:$A,$B$570,Prior_Forecast!$B:$B,$D$570),""))</f>
        <v/>
      </c>
      <c r="M575" s="37">
        <f>IF($B$570="","",IF(COUNTIFS(Prior_Forecast!$A:$A,$B$570,Prior_Forecast!$B:$B,$D$570)&gt;0,SUMIFS(Prior_Forecast!$H:$H,Prior_Forecast!$A:$A,$B$570,Prior_Forecast!$B:$B,$D$570),""))</f>
        <v/>
      </c>
      <c r="N575" s="37">
        <f>IF($B$570="","",IF(COUNTIFS(Prior_Forecast!$A:$A,$B$570,Prior_Forecast!$B:$B,$D$570)&gt;0,SUMIFS(Prior_Forecast!$I:$I,Prior_Forecast!$A:$A,$B$570,Prior_Forecast!$B:$B,$D$570),""))</f>
        <v/>
      </c>
      <c r="O575" s="37">
        <f>IF($B$570="","",IF(COUNTIFS(Prior_Forecast!$A:$A,$B$570,Prior_Forecast!$B:$B,$D$570)&gt;0,SUMIFS(Prior_Forecast!$J:$J,Prior_Forecast!$A:$A,$B$570,Prior_Forecast!$B:$B,$D$570),""))</f>
        <v/>
      </c>
      <c r="P575" s="37">
        <f>IF($B$570="","",IF(COUNTIFS(Prior_Forecast!$A:$A,$B$570,Prior_Forecast!$B:$B,$D$570)&gt;0,SUMIFS(Prior_Forecast!$K:$K,Prior_Forecast!$A:$A,$B$570,Prior_Forecast!$B:$B,$D$570),""))</f>
        <v/>
      </c>
      <c r="Q575" s="37">
        <f>IF($B$570="","",IF(COUNTIFS(Prior_Forecast!$A:$A,$B$570,Prior_Forecast!$B:$B,$D$570)&gt;0,SUMIFS(Prior_Forecast!$L:$L,Prior_Forecast!$A:$A,$B$570,Prior_Forecast!$B:$B,$D$570),""))</f>
        <v/>
      </c>
      <c r="R575" s="37">
        <f>IF($B$570="","",IF(COUNTIFS(Prior_Forecast!$A:$A,$B$570,Prior_Forecast!$B:$B,$D$570)&gt;0,SUMIFS(Prior_Forecast!$M:$M,Prior_Forecast!$A:$A,$B$570,Prior_Forecast!$B:$B,$D$570),""))</f>
        <v/>
      </c>
      <c r="S575" s="37">
        <f>IF($B$570="","",IF(COUNTIFS(Prior_Forecast!$A:$A,$B$570,Prior_Forecast!$B:$B,$D$570)&gt;0,SUMIFS(Prior_Forecast!$N:$N,Prior_Forecast!$A:$A,$B$570,Prior_Forecast!$B:$B,$D$570),""))</f>
        <v/>
      </c>
      <c r="T575" s="37">
        <f>IF($B$570="","",IF(COUNTIFS(Prior_Forecast!$A:$A,$B$570,Prior_Forecast!$B:$B,$D$570)&gt;0,SUMIFS(Prior_Forecast!$O:$O,Prior_Forecast!$A:$A,$B$570,Prior_Forecast!$B:$B,$D$570),""))</f>
        <v/>
      </c>
      <c r="U575" s="37">
        <f>IF($B$570="","",IF(COUNTIFS(Prior_Forecast!$A:$A,$B$570,Prior_Forecast!$B:$B,$D$570)&gt;0,SUMIFS(Prior_Forecast!$P:$P,Prior_Forecast!$A:$A,$B$570,Prior_Forecast!$B:$B,$D$570),""))</f>
        <v/>
      </c>
      <c r="V575" s="37">
        <f>IF($B$570="","",IF(COUNTIFS(Prior_Forecast!$A:$A,$B$570,Prior_Forecast!$B:$B,$D$570)&gt;0,SUMIFS(Prior_Forecast!$Q:$Q,Prior_Forecast!$A:$A,$B$570,Prior_Forecast!$B:$B,$D$570),""))</f>
        <v/>
      </c>
      <c r="X575" s="22">
        <f>IF($B575="","",IFERROR(INDEX(Cost_Centers!$E:$E,MATCH($B575,Cost_Centers!$A:$A,0)),"(unknown)"))</f>
        <v/>
      </c>
      <c r="Y575" s="22">
        <f>IF($B575="","",IFERROR(INDEX(Cost_Centers!$D:$D,MATCH($B575,Cost_Centers!$A:$A,0)),"(unknown)"))</f>
        <v/>
      </c>
      <c r="Z575" s="22">
        <f>IF(OR($B575="",$G575&lt;&gt;"Variance vs Budget"),"",ABS(N($V575))+ROW()/1000000000)</f>
        <v/>
      </c>
    </row>
    <row r="576">
      <c r="A576" s="13">
        <f>IF(A$570="","",A$570)</f>
        <v/>
      </c>
      <c r="B576" s="13">
        <f>IF(B$570="","",B$570)</f>
        <v/>
      </c>
      <c r="C576" s="13">
        <f>IF(C$570="","",C$570)</f>
        <v/>
      </c>
      <c r="D576" s="13">
        <f>IF(D$570="","",D$570)</f>
        <v/>
      </c>
      <c r="E576" s="13">
        <f>IF(E$570="","",E$570)</f>
        <v/>
      </c>
      <c r="F576" s="13">
        <f>IF(F$570="","",F$570)</f>
        <v/>
      </c>
      <c r="G576" s="6" t="inlineStr">
        <is>
          <t>Variance vs Prior Month</t>
        </is>
      </c>
      <c r="H576" s="33">
        <f>IF(OR($B$570="",H575=""),"",H574-H575)</f>
        <v/>
      </c>
      <c r="I576" s="33">
        <f>IF(OR($B$570="",I575=""),"",I574-I575)</f>
        <v/>
      </c>
      <c r="J576" s="33">
        <f>IF(OR($B$570="",J575=""),"",J574-J575)</f>
        <v/>
      </c>
      <c r="K576" s="33">
        <f>IF(OR($B$570="",K575=""),"",K574-K575)</f>
        <v/>
      </c>
      <c r="L576" s="33">
        <f>IF(OR($B$570="",L575=""),"",L574-L575)</f>
        <v/>
      </c>
      <c r="M576" s="33">
        <f>IF(OR($B$570="",M575=""),"",M574-M575)</f>
        <v/>
      </c>
      <c r="N576" s="33">
        <f>IF(OR($B$570="",N575=""),"",N574-N575)</f>
        <v/>
      </c>
      <c r="O576" s="33">
        <f>IF(OR($B$570="",O575=""),"",O574-O575)</f>
        <v/>
      </c>
      <c r="P576" s="33">
        <f>IF(OR($B$570="",P575=""),"",P574-P575)</f>
        <v/>
      </c>
      <c r="Q576" s="33">
        <f>IF(OR($B$570="",Q575=""),"",Q574-Q575)</f>
        <v/>
      </c>
      <c r="R576" s="33">
        <f>IF(OR($B$570="",R575=""),"",R574-R575)</f>
        <v/>
      </c>
      <c r="S576" s="33">
        <f>IF(OR($B$570="",S575=""),"",S574-S575)</f>
        <v/>
      </c>
      <c r="T576" s="33">
        <f>IF(OR($B$570="",T575=""),"",T574-T575)</f>
        <v/>
      </c>
      <c r="U576" s="33">
        <f>IF(OR($B$570="",U575=""),"",U574-U575)</f>
        <v/>
      </c>
      <c r="V576" s="33">
        <f>IF(OR($B$570="",V575=""),"",V574-V575)</f>
        <v/>
      </c>
      <c r="X576" s="22">
        <f>IF($B576="","",IFERROR(INDEX(Cost_Centers!$E:$E,MATCH($B576,Cost_Centers!$A:$A,0)),"(unknown)"))</f>
        <v/>
      </c>
      <c r="Y576" s="22">
        <f>IF($B576="","",IFERROR(INDEX(Cost_Centers!$D:$D,MATCH($B576,Cost_Centers!$A:$A,0)),"(unknown)"))</f>
        <v/>
      </c>
      <c r="Z576" s="22">
        <f>IF(OR($B576="",$G576&lt;&gt;"Variance vs Budget"),"",ABS(N($V576))+ROW()/1000000000)</f>
        <v/>
      </c>
    </row>
    <row r="577" ht="45" customHeight="1">
      <c r="A577" s="13">
        <f>IF(A$570="","",A$570)</f>
        <v/>
      </c>
      <c r="B577" s="13">
        <f>IF(B$570="","",B$570)</f>
        <v/>
      </c>
      <c r="C577" s="13">
        <f>IF(C$570="","",C$570)</f>
        <v/>
      </c>
      <c r="D577" s="13">
        <f>IF(D$570="","",D$570)</f>
        <v/>
      </c>
      <c r="E577" s="13">
        <f>IF(E$570="","",E$570)</f>
        <v/>
      </c>
      <c r="F577" s="13">
        <f>IF(F$570="","",F$570)</f>
        <v/>
      </c>
      <c r="G577" s="7" t="inlineStr">
        <is>
          <t>Rationale</t>
        </is>
      </c>
      <c r="H577" s="38" t="n"/>
      <c r="I577" s="38" t="n"/>
      <c r="J577" s="38" t="n"/>
      <c r="K577" s="38" t="n"/>
      <c r="L577" s="38" t="n"/>
      <c r="M577" s="38" t="n"/>
      <c r="N577" s="38" t="n"/>
      <c r="O577" s="38" t="n"/>
      <c r="P577" s="38" t="n"/>
      <c r="Q577" s="38" t="n"/>
      <c r="R577" s="38" t="n"/>
      <c r="S577" s="38" t="n"/>
      <c r="T577" s="38" t="n"/>
      <c r="U577" s="38" t="n"/>
      <c r="V577" s="7" t="n"/>
      <c r="X577" s="22">
        <f>IF($B577="","",IFERROR(INDEX(Cost_Centers!$E:$E,MATCH($B577,Cost_Centers!$A:$A,0)),"(unknown)"))</f>
        <v/>
      </c>
      <c r="Y577" s="22">
        <f>IF($B577="","",IFERROR(INDEX(Cost_Centers!$D:$D,MATCH($B577,Cost_Centers!$A:$A,0)),"(unknown)"))</f>
        <v/>
      </c>
      <c r="Z577" s="22">
        <f>IF(OR($B577="",$G577&lt;&gt;"Variance vs Budget"),"",ABS(N($V577))+ROW()/1000000000)</f>
        <v/>
      </c>
    </row>
    <row r="578">
      <c r="A578" s="30">
        <f>IF($D$578="","",LEFT($D$578,FIND("|",$D$578&amp;"|")-1))</f>
        <v/>
      </c>
      <c r="B578" s="31" t="n"/>
      <c r="C578" s="30">
        <f>IF($B$578="","",IFERROR(INDEX(Cost_Centers!$B:$B,MATCH($B$578,Cost_Centers!$A:$A,0)),"(not in master)"))</f>
        <v/>
      </c>
      <c r="D578" s="31" t="n"/>
      <c r="E578" s="30">
        <f>IF($D$578="","",IFERROR(INDEX(Accounts!$D:$D,MATCH($D$578,Accounts!$A:$A,0)),"(not in master)"))</f>
        <v/>
      </c>
      <c r="F578" s="31" t="n"/>
      <c r="G578" s="30" t="inlineStr">
        <is>
          <t>Budget</t>
        </is>
      </c>
      <c r="H578" s="32">
        <f>IF($B$578="","",SUMIFS(Opex_Budget!$O:$O,Opex_Budget!$A:$A,$C$3,Opex_Budget!$E:$E,$B$578,Opex_Budget!$F:$F,$D$578,Opex_Budget!$N:$N,"JPY")*$E$5+SUMIFS(Opex_Budget!$O:$O,Opex_Budget!$A:$A,$C$3,Opex_Budget!$E:$E,$B$578,Opex_Budget!$F:$F,$D$578,Opex_Budget!$N:$N,"USD")*$F$5+SUMIFS(Opex_Budget!$O:$O,Opex_Budget!$A:$A,$C$3,Opex_Budget!$E:$E,$B$578,Opex_Budget!$F:$F,$D$578,Opex_Budget!$N:$N,"EUR")*$G$5+SUMIFS(Opex_Budget!$O:$O,Opex_Budget!$A:$A,$C$3,Opex_Budget!$E:$E,$B$578,Opex_Budget!$F:$F,$D$578,Opex_Budget!$N:$N,"GBP")*$H$5)</f>
        <v/>
      </c>
      <c r="I578" s="32">
        <f>IF($B$578="","",SUMIFS(Opex_Budget!$P:$P,Opex_Budget!$A:$A,$C$3,Opex_Budget!$E:$E,$B$578,Opex_Budget!$F:$F,$D$578,Opex_Budget!$N:$N,"JPY")*$E$5+SUMIFS(Opex_Budget!$P:$P,Opex_Budget!$A:$A,$C$3,Opex_Budget!$E:$E,$B$578,Opex_Budget!$F:$F,$D$578,Opex_Budget!$N:$N,"USD")*$F$5+SUMIFS(Opex_Budget!$P:$P,Opex_Budget!$A:$A,$C$3,Opex_Budget!$E:$E,$B$578,Opex_Budget!$F:$F,$D$578,Opex_Budget!$N:$N,"EUR")*$G$5+SUMIFS(Opex_Budget!$P:$P,Opex_Budget!$A:$A,$C$3,Opex_Budget!$E:$E,$B$578,Opex_Budget!$F:$F,$D$578,Opex_Budget!$N:$N,"GBP")*$H$5)</f>
        <v/>
      </c>
      <c r="J578" s="32">
        <f>IF($B$578="","",SUMIFS(Opex_Budget!$Q:$Q,Opex_Budget!$A:$A,$C$3,Opex_Budget!$E:$E,$B$578,Opex_Budget!$F:$F,$D$578,Opex_Budget!$N:$N,"JPY")*$E$5+SUMIFS(Opex_Budget!$Q:$Q,Opex_Budget!$A:$A,$C$3,Opex_Budget!$E:$E,$B$578,Opex_Budget!$F:$F,$D$578,Opex_Budget!$N:$N,"USD")*$F$5+SUMIFS(Opex_Budget!$Q:$Q,Opex_Budget!$A:$A,$C$3,Opex_Budget!$E:$E,$B$578,Opex_Budget!$F:$F,$D$578,Opex_Budget!$N:$N,"EUR")*$G$5+SUMIFS(Opex_Budget!$Q:$Q,Opex_Budget!$A:$A,$C$3,Opex_Budget!$E:$E,$B$578,Opex_Budget!$F:$F,$D$578,Opex_Budget!$N:$N,"GBP")*$H$5)</f>
        <v/>
      </c>
      <c r="K578" s="32">
        <f>IF($B$578="","",SUMIFS(Opex_Budget!$R:$R,Opex_Budget!$A:$A,$C$3,Opex_Budget!$E:$E,$B$578,Opex_Budget!$F:$F,$D$578,Opex_Budget!$N:$N,"JPY")*$E$5+SUMIFS(Opex_Budget!$R:$R,Opex_Budget!$A:$A,$C$3,Opex_Budget!$E:$E,$B$578,Opex_Budget!$F:$F,$D$578,Opex_Budget!$N:$N,"USD")*$F$5+SUMIFS(Opex_Budget!$R:$R,Opex_Budget!$A:$A,$C$3,Opex_Budget!$E:$E,$B$578,Opex_Budget!$F:$F,$D$578,Opex_Budget!$N:$N,"EUR")*$G$5+SUMIFS(Opex_Budget!$R:$R,Opex_Budget!$A:$A,$C$3,Opex_Budget!$E:$E,$B$578,Opex_Budget!$F:$F,$D$578,Opex_Budget!$N:$N,"GBP")*$H$5)</f>
        <v/>
      </c>
      <c r="L578" s="32">
        <f>IF($B$578="","",SUMIFS(Opex_Budget!$S:$S,Opex_Budget!$A:$A,$C$3,Opex_Budget!$E:$E,$B$578,Opex_Budget!$F:$F,$D$578,Opex_Budget!$N:$N,"JPY")*$E$5+SUMIFS(Opex_Budget!$S:$S,Opex_Budget!$A:$A,$C$3,Opex_Budget!$E:$E,$B$578,Opex_Budget!$F:$F,$D$578,Opex_Budget!$N:$N,"USD")*$F$5+SUMIFS(Opex_Budget!$S:$S,Opex_Budget!$A:$A,$C$3,Opex_Budget!$E:$E,$B$578,Opex_Budget!$F:$F,$D$578,Opex_Budget!$N:$N,"EUR")*$G$5+SUMIFS(Opex_Budget!$S:$S,Opex_Budget!$A:$A,$C$3,Opex_Budget!$E:$E,$B$578,Opex_Budget!$F:$F,$D$578,Opex_Budget!$N:$N,"GBP")*$H$5)</f>
        <v/>
      </c>
      <c r="M578" s="32">
        <f>IF($B$578="","",SUMIFS(Opex_Budget!$T:$T,Opex_Budget!$A:$A,$C$3,Opex_Budget!$E:$E,$B$578,Opex_Budget!$F:$F,$D$578,Opex_Budget!$N:$N,"JPY")*$E$5+SUMIFS(Opex_Budget!$T:$T,Opex_Budget!$A:$A,$C$3,Opex_Budget!$E:$E,$B$578,Opex_Budget!$F:$F,$D$578,Opex_Budget!$N:$N,"USD")*$F$5+SUMIFS(Opex_Budget!$T:$T,Opex_Budget!$A:$A,$C$3,Opex_Budget!$E:$E,$B$578,Opex_Budget!$F:$F,$D$578,Opex_Budget!$N:$N,"EUR")*$G$5+SUMIFS(Opex_Budget!$T:$T,Opex_Budget!$A:$A,$C$3,Opex_Budget!$E:$E,$B$578,Opex_Budget!$F:$F,$D$578,Opex_Budget!$N:$N,"GBP")*$H$5)</f>
        <v/>
      </c>
      <c r="N578" s="32">
        <f>IF($B$578="","",SUMIFS(Opex_Budget!$U:$U,Opex_Budget!$A:$A,$C$3,Opex_Budget!$E:$E,$B$578,Opex_Budget!$F:$F,$D$578,Opex_Budget!$N:$N,"JPY")*$E$5+SUMIFS(Opex_Budget!$U:$U,Opex_Budget!$A:$A,$C$3,Opex_Budget!$E:$E,$B$578,Opex_Budget!$F:$F,$D$578,Opex_Budget!$N:$N,"USD")*$F$5+SUMIFS(Opex_Budget!$U:$U,Opex_Budget!$A:$A,$C$3,Opex_Budget!$E:$E,$B$578,Opex_Budget!$F:$F,$D$578,Opex_Budget!$N:$N,"EUR")*$G$5+SUMIFS(Opex_Budget!$U:$U,Opex_Budget!$A:$A,$C$3,Opex_Budget!$E:$E,$B$578,Opex_Budget!$F:$F,$D$578,Opex_Budget!$N:$N,"GBP")*$H$5)</f>
        <v/>
      </c>
      <c r="O578" s="32">
        <f>IF($B$578="","",SUMIFS(Opex_Budget!$V:$V,Opex_Budget!$A:$A,$C$3,Opex_Budget!$E:$E,$B$578,Opex_Budget!$F:$F,$D$578,Opex_Budget!$N:$N,"JPY")*$E$5+SUMIFS(Opex_Budget!$V:$V,Opex_Budget!$A:$A,$C$3,Opex_Budget!$E:$E,$B$578,Opex_Budget!$F:$F,$D$578,Opex_Budget!$N:$N,"USD")*$F$5+SUMIFS(Opex_Budget!$V:$V,Opex_Budget!$A:$A,$C$3,Opex_Budget!$E:$E,$B$578,Opex_Budget!$F:$F,$D$578,Opex_Budget!$N:$N,"EUR")*$G$5+SUMIFS(Opex_Budget!$V:$V,Opex_Budget!$A:$A,$C$3,Opex_Budget!$E:$E,$B$578,Opex_Budget!$F:$F,$D$578,Opex_Budget!$N:$N,"GBP")*$H$5)</f>
        <v/>
      </c>
      <c r="P578" s="32">
        <f>IF($B$578="","",SUMIFS(Opex_Budget!$W:$W,Opex_Budget!$A:$A,$C$3,Opex_Budget!$E:$E,$B$578,Opex_Budget!$F:$F,$D$578,Opex_Budget!$N:$N,"JPY")*$E$5+SUMIFS(Opex_Budget!$W:$W,Opex_Budget!$A:$A,$C$3,Opex_Budget!$E:$E,$B$578,Opex_Budget!$F:$F,$D$578,Opex_Budget!$N:$N,"USD")*$F$5+SUMIFS(Opex_Budget!$W:$W,Opex_Budget!$A:$A,$C$3,Opex_Budget!$E:$E,$B$578,Opex_Budget!$F:$F,$D$578,Opex_Budget!$N:$N,"EUR")*$G$5+SUMIFS(Opex_Budget!$W:$W,Opex_Budget!$A:$A,$C$3,Opex_Budget!$E:$E,$B$578,Opex_Budget!$F:$F,$D$578,Opex_Budget!$N:$N,"GBP")*$H$5)</f>
        <v/>
      </c>
      <c r="Q578" s="32">
        <f>IF($B$578="","",SUMIFS(Opex_Budget!$X:$X,Opex_Budget!$A:$A,$C$3,Opex_Budget!$E:$E,$B$578,Opex_Budget!$F:$F,$D$578,Opex_Budget!$N:$N,"JPY")*$E$5+SUMIFS(Opex_Budget!$X:$X,Opex_Budget!$A:$A,$C$3,Opex_Budget!$E:$E,$B$578,Opex_Budget!$F:$F,$D$578,Opex_Budget!$N:$N,"USD")*$F$5+SUMIFS(Opex_Budget!$X:$X,Opex_Budget!$A:$A,$C$3,Opex_Budget!$E:$E,$B$578,Opex_Budget!$F:$F,$D$578,Opex_Budget!$N:$N,"EUR")*$G$5+SUMIFS(Opex_Budget!$X:$X,Opex_Budget!$A:$A,$C$3,Opex_Budget!$E:$E,$B$578,Opex_Budget!$F:$F,$D$578,Opex_Budget!$N:$N,"GBP")*$H$5)</f>
        <v/>
      </c>
      <c r="R578" s="32">
        <f>IF($B$578="","",SUMIFS(Opex_Budget!$Y:$Y,Opex_Budget!$A:$A,$C$3,Opex_Budget!$E:$E,$B$578,Opex_Budget!$F:$F,$D$578,Opex_Budget!$N:$N,"JPY")*$E$5+SUMIFS(Opex_Budget!$Y:$Y,Opex_Budget!$A:$A,$C$3,Opex_Budget!$E:$E,$B$578,Opex_Budget!$F:$F,$D$578,Opex_Budget!$N:$N,"USD")*$F$5+SUMIFS(Opex_Budget!$Y:$Y,Opex_Budget!$A:$A,$C$3,Opex_Budget!$E:$E,$B$578,Opex_Budget!$F:$F,$D$578,Opex_Budget!$N:$N,"EUR")*$G$5+SUMIFS(Opex_Budget!$Y:$Y,Opex_Budget!$A:$A,$C$3,Opex_Budget!$E:$E,$B$578,Opex_Budget!$F:$F,$D$578,Opex_Budget!$N:$N,"GBP")*$H$5)</f>
        <v/>
      </c>
      <c r="S578" s="32">
        <f>IF($B$578="","",SUMIFS(Opex_Budget!$Z:$Z,Opex_Budget!$A:$A,$C$3,Opex_Budget!$E:$E,$B$578,Opex_Budget!$F:$F,$D$578,Opex_Budget!$N:$N,"JPY")*$E$5+SUMIFS(Opex_Budget!$Z:$Z,Opex_Budget!$A:$A,$C$3,Opex_Budget!$E:$E,$B$578,Opex_Budget!$F:$F,$D$578,Opex_Budget!$N:$N,"USD")*$F$5+SUMIFS(Opex_Budget!$Z:$Z,Opex_Budget!$A:$A,$C$3,Opex_Budget!$E:$E,$B$578,Opex_Budget!$F:$F,$D$578,Opex_Budget!$N:$N,"EUR")*$G$5+SUMIFS(Opex_Budget!$Z:$Z,Opex_Budget!$A:$A,$C$3,Opex_Budget!$E:$E,$B$578,Opex_Budget!$F:$F,$D$578,Opex_Budget!$N:$N,"GBP")*$H$5)</f>
        <v/>
      </c>
      <c r="T578" s="32">
        <f>IF($B$578="","",SUMIF($H$7:$S$7,"&lt;="&amp;$C$4,$H578:$S578))</f>
        <v/>
      </c>
      <c r="U578" s="32">
        <f>IF($B$578="","",SUMIF($H$7:$S$7,"&gt;"&amp;$C$4,$H578:$S578))</f>
        <v/>
      </c>
      <c r="V578" s="32">
        <f>IF($B$578="","",SUM($H578:$S578))</f>
        <v/>
      </c>
      <c r="X578" s="22">
        <f>IF($B578="","",IFERROR(INDEX(Cost_Centers!$E:$E,MATCH($B578,Cost_Centers!$A:$A,0)),"(unknown)"))</f>
        <v/>
      </c>
      <c r="Y578" s="22">
        <f>IF($B578="","",IFERROR(INDEX(Cost_Centers!$D:$D,MATCH($B578,Cost_Centers!$A:$A,0)),"(unknown)"))</f>
        <v/>
      </c>
      <c r="Z578" s="22">
        <f>IF(OR($B578="",$G578&lt;&gt;"Variance vs Budget"),"",ABS(N($V578))+ROW()/1000000000)</f>
        <v/>
      </c>
    </row>
    <row r="579">
      <c r="A579" s="13">
        <f>IF(A$578="","",A$578)</f>
        <v/>
      </c>
      <c r="B579" s="13">
        <f>IF(B$578="","",B$578)</f>
        <v/>
      </c>
      <c r="C579" s="13">
        <f>IF(C$578="","",C$578)</f>
        <v/>
      </c>
      <c r="D579" s="13">
        <f>IF(D$578="","",D$578)</f>
        <v/>
      </c>
      <c r="E579" s="13">
        <f>IF(E$578="","",E$578)</f>
        <v/>
      </c>
      <c r="F579" s="13">
        <f>IF(F$578="","",F$578)</f>
        <v/>
      </c>
      <c r="G579" s="7" t="inlineStr">
        <is>
          <t>Actual</t>
        </is>
      </c>
      <c r="H579" s="18">
        <f>IF(OR($B$578="",1&gt;$C$4),"",SUMIFS(Actuals!$G:$G,Actuals!$B:$B,$C$3,Actuals!$C:$C,1,Actuals!$D:$D,$B$578,Actuals!$A:$A,LEFT($D$578,FIND("|",$D$578&amp;"|")-1),Actuals!$E:$E,MID($D$578,FIND("|",$D$578&amp;"|")+1,50),Actuals!$F:$F,"JPY")*$E$5+SUMIFS(Actuals!$G:$G,Actuals!$B:$B,$C$3,Actuals!$C:$C,1,Actuals!$D:$D,$B$578,Actuals!$A:$A,LEFT($D$578,FIND("|",$D$578&amp;"|")-1),Actuals!$E:$E,MID($D$578,FIND("|",$D$578&amp;"|")+1,50),Actuals!$F:$F,"USD")*$F$5+SUMIFS(Actuals!$G:$G,Actuals!$B:$B,$C$3,Actuals!$C:$C,1,Actuals!$D:$D,$B$578,Actuals!$A:$A,LEFT($D$578,FIND("|",$D$578&amp;"|")-1),Actuals!$E:$E,MID($D$578,FIND("|",$D$578&amp;"|")+1,50),Actuals!$F:$F,"EUR")*$G$5+SUMIFS(Actuals!$G:$G,Actuals!$B:$B,$C$3,Actuals!$C:$C,1,Actuals!$D:$D,$B$578,Actuals!$A:$A,LEFT($D$578,FIND("|",$D$578&amp;"|")-1),Actuals!$E:$E,MID($D$578,FIND("|",$D$578&amp;"|")+1,50),Actuals!$F:$F,"GBP")*$H$5)</f>
        <v/>
      </c>
      <c r="I579" s="18">
        <f>IF(OR($B$578="",2&gt;$C$4),"",SUMIFS(Actuals!$G:$G,Actuals!$B:$B,$C$3,Actuals!$C:$C,2,Actuals!$D:$D,$B$578,Actuals!$A:$A,LEFT($D$578,FIND("|",$D$578&amp;"|")-1),Actuals!$E:$E,MID($D$578,FIND("|",$D$578&amp;"|")+1,50),Actuals!$F:$F,"JPY")*$E$5+SUMIFS(Actuals!$G:$G,Actuals!$B:$B,$C$3,Actuals!$C:$C,2,Actuals!$D:$D,$B$578,Actuals!$A:$A,LEFT($D$578,FIND("|",$D$578&amp;"|")-1),Actuals!$E:$E,MID($D$578,FIND("|",$D$578&amp;"|")+1,50),Actuals!$F:$F,"USD")*$F$5+SUMIFS(Actuals!$G:$G,Actuals!$B:$B,$C$3,Actuals!$C:$C,2,Actuals!$D:$D,$B$578,Actuals!$A:$A,LEFT($D$578,FIND("|",$D$578&amp;"|")-1),Actuals!$E:$E,MID($D$578,FIND("|",$D$578&amp;"|")+1,50),Actuals!$F:$F,"EUR")*$G$5+SUMIFS(Actuals!$G:$G,Actuals!$B:$B,$C$3,Actuals!$C:$C,2,Actuals!$D:$D,$B$578,Actuals!$A:$A,LEFT($D$578,FIND("|",$D$578&amp;"|")-1),Actuals!$E:$E,MID($D$578,FIND("|",$D$578&amp;"|")+1,50),Actuals!$F:$F,"GBP")*$H$5)</f>
        <v/>
      </c>
      <c r="J579" s="18">
        <f>IF(OR($B$578="",3&gt;$C$4),"",SUMIFS(Actuals!$G:$G,Actuals!$B:$B,$C$3,Actuals!$C:$C,3,Actuals!$D:$D,$B$578,Actuals!$A:$A,LEFT($D$578,FIND("|",$D$578&amp;"|")-1),Actuals!$E:$E,MID($D$578,FIND("|",$D$578&amp;"|")+1,50),Actuals!$F:$F,"JPY")*$E$5+SUMIFS(Actuals!$G:$G,Actuals!$B:$B,$C$3,Actuals!$C:$C,3,Actuals!$D:$D,$B$578,Actuals!$A:$A,LEFT($D$578,FIND("|",$D$578&amp;"|")-1),Actuals!$E:$E,MID($D$578,FIND("|",$D$578&amp;"|")+1,50),Actuals!$F:$F,"USD")*$F$5+SUMIFS(Actuals!$G:$G,Actuals!$B:$B,$C$3,Actuals!$C:$C,3,Actuals!$D:$D,$B$578,Actuals!$A:$A,LEFT($D$578,FIND("|",$D$578&amp;"|")-1),Actuals!$E:$E,MID($D$578,FIND("|",$D$578&amp;"|")+1,50),Actuals!$F:$F,"EUR")*$G$5+SUMIFS(Actuals!$G:$G,Actuals!$B:$B,$C$3,Actuals!$C:$C,3,Actuals!$D:$D,$B$578,Actuals!$A:$A,LEFT($D$578,FIND("|",$D$578&amp;"|")-1),Actuals!$E:$E,MID($D$578,FIND("|",$D$578&amp;"|")+1,50),Actuals!$F:$F,"GBP")*$H$5)</f>
        <v/>
      </c>
      <c r="K579" s="18">
        <f>IF(OR($B$578="",4&gt;$C$4),"",SUMIFS(Actuals!$G:$G,Actuals!$B:$B,$C$3,Actuals!$C:$C,4,Actuals!$D:$D,$B$578,Actuals!$A:$A,LEFT($D$578,FIND("|",$D$578&amp;"|")-1),Actuals!$E:$E,MID($D$578,FIND("|",$D$578&amp;"|")+1,50),Actuals!$F:$F,"JPY")*$E$5+SUMIFS(Actuals!$G:$G,Actuals!$B:$B,$C$3,Actuals!$C:$C,4,Actuals!$D:$D,$B$578,Actuals!$A:$A,LEFT($D$578,FIND("|",$D$578&amp;"|")-1),Actuals!$E:$E,MID($D$578,FIND("|",$D$578&amp;"|")+1,50),Actuals!$F:$F,"USD")*$F$5+SUMIFS(Actuals!$G:$G,Actuals!$B:$B,$C$3,Actuals!$C:$C,4,Actuals!$D:$D,$B$578,Actuals!$A:$A,LEFT($D$578,FIND("|",$D$578&amp;"|")-1),Actuals!$E:$E,MID($D$578,FIND("|",$D$578&amp;"|")+1,50),Actuals!$F:$F,"EUR")*$G$5+SUMIFS(Actuals!$G:$G,Actuals!$B:$B,$C$3,Actuals!$C:$C,4,Actuals!$D:$D,$B$578,Actuals!$A:$A,LEFT($D$578,FIND("|",$D$578&amp;"|")-1),Actuals!$E:$E,MID($D$578,FIND("|",$D$578&amp;"|")+1,50),Actuals!$F:$F,"GBP")*$H$5)</f>
        <v/>
      </c>
      <c r="L579" s="18">
        <f>IF(OR($B$578="",5&gt;$C$4),"",SUMIFS(Actuals!$G:$G,Actuals!$B:$B,$C$3,Actuals!$C:$C,5,Actuals!$D:$D,$B$578,Actuals!$A:$A,LEFT($D$578,FIND("|",$D$578&amp;"|")-1),Actuals!$E:$E,MID($D$578,FIND("|",$D$578&amp;"|")+1,50),Actuals!$F:$F,"JPY")*$E$5+SUMIFS(Actuals!$G:$G,Actuals!$B:$B,$C$3,Actuals!$C:$C,5,Actuals!$D:$D,$B$578,Actuals!$A:$A,LEFT($D$578,FIND("|",$D$578&amp;"|")-1),Actuals!$E:$E,MID($D$578,FIND("|",$D$578&amp;"|")+1,50),Actuals!$F:$F,"USD")*$F$5+SUMIFS(Actuals!$G:$G,Actuals!$B:$B,$C$3,Actuals!$C:$C,5,Actuals!$D:$D,$B$578,Actuals!$A:$A,LEFT($D$578,FIND("|",$D$578&amp;"|")-1),Actuals!$E:$E,MID($D$578,FIND("|",$D$578&amp;"|")+1,50),Actuals!$F:$F,"EUR")*$G$5+SUMIFS(Actuals!$G:$G,Actuals!$B:$B,$C$3,Actuals!$C:$C,5,Actuals!$D:$D,$B$578,Actuals!$A:$A,LEFT($D$578,FIND("|",$D$578&amp;"|")-1),Actuals!$E:$E,MID($D$578,FIND("|",$D$578&amp;"|")+1,50),Actuals!$F:$F,"GBP")*$H$5)</f>
        <v/>
      </c>
      <c r="M579" s="18">
        <f>IF(OR($B$578="",6&gt;$C$4),"",SUMIFS(Actuals!$G:$G,Actuals!$B:$B,$C$3,Actuals!$C:$C,6,Actuals!$D:$D,$B$578,Actuals!$A:$A,LEFT($D$578,FIND("|",$D$578&amp;"|")-1),Actuals!$E:$E,MID($D$578,FIND("|",$D$578&amp;"|")+1,50),Actuals!$F:$F,"JPY")*$E$5+SUMIFS(Actuals!$G:$G,Actuals!$B:$B,$C$3,Actuals!$C:$C,6,Actuals!$D:$D,$B$578,Actuals!$A:$A,LEFT($D$578,FIND("|",$D$578&amp;"|")-1),Actuals!$E:$E,MID($D$578,FIND("|",$D$578&amp;"|")+1,50),Actuals!$F:$F,"USD")*$F$5+SUMIFS(Actuals!$G:$G,Actuals!$B:$B,$C$3,Actuals!$C:$C,6,Actuals!$D:$D,$B$578,Actuals!$A:$A,LEFT($D$578,FIND("|",$D$578&amp;"|")-1),Actuals!$E:$E,MID($D$578,FIND("|",$D$578&amp;"|")+1,50),Actuals!$F:$F,"EUR")*$G$5+SUMIFS(Actuals!$G:$G,Actuals!$B:$B,$C$3,Actuals!$C:$C,6,Actuals!$D:$D,$B$578,Actuals!$A:$A,LEFT($D$578,FIND("|",$D$578&amp;"|")-1),Actuals!$E:$E,MID($D$578,FIND("|",$D$578&amp;"|")+1,50),Actuals!$F:$F,"GBP")*$H$5)</f>
        <v/>
      </c>
      <c r="N579" s="18">
        <f>IF(OR($B$578="",7&gt;$C$4),"",SUMIFS(Actuals!$G:$G,Actuals!$B:$B,$C$3,Actuals!$C:$C,7,Actuals!$D:$D,$B$578,Actuals!$A:$A,LEFT($D$578,FIND("|",$D$578&amp;"|")-1),Actuals!$E:$E,MID($D$578,FIND("|",$D$578&amp;"|")+1,50),Actuals!$F:$F,"JPY")*$E$5+SUMIFS(Actuals!$G:$G,Actuals!$B:$B,$C$3,Actuals!$C:$C,7,Actuals!$D:$D,$B$578,Actuals!$A:$A,LEFT($D$578,FIND("|",$D$578&amp;"|")-1),Actuals!$E:$E,MID($D$578,FIND("|",$D$578&amp;"|")+1,50),Actuals!$F:$F,"USD")*$F$5+SUMIFS(Actuals!$G:$G,Actuals!$B:$B,$C$3,Actuals!$C:$C,7,Actuals!$D:$D,$B$578,Actuals!$A:$A,LEFT($D$578,FIND("|",$D$578&amp;"|")-1),Actuals!$E:$E,MID($D$578,FIND("|",$D$578&amp;"|")+1,50),Actuals!$F:$F,"EUR")*$G$5+SUMIFS(Actuals!$G:$G,Actuals!$B:$B,$C$3,Actuals!$C:$C,7,Actuals!$D:$D,$B$578,Actuals!$A:$A,LEFT($D$578,FIND("|",$D$578&amp;"|")-1),Actuals!$E:$E,MID($D$578,FIND("|",$D$578&amp;"|")+1,50),Actuals!$F:$F,"GBP")*$H$5)</f>
        <v/>
      </c>
      <c r="O579" s="18">
        <f>IF(OR($B$578="",8&gt;$C$4),"",SUMIFS(Actuals!$G:$G,Actuals!$B:$B,$C$3,Actuals!$C:$C,8,Actuals!$D:$D,$B$578,Actuals!$A:$A,LEFT($D$578,FIND("|",$D$578&amp;"|")-1),Actuals!$E:$E,MID($D$578,FIND("|",$D$578&amp;"|")+1,50),Actuals!$F:$F,"JPY")*$E$5+SUMIFS(Actuals!$G:$G,Actuals!$B:$B,$C$3,Actuals!$C:$C,8,Actuals!$D:$D,$B$578,Actuals!$A:$A,LEFT($D$578,FIND("|",$D$578&amp;"|")-1),Actuals!$E:$E,MID($D$578,FIND("|",$D$578&amp;"|")+1,50),Actuals!$F:$F,"USD")*$F$5+SUMIFS(Actuals!$G:$G,Actuals!$B:$B,$C$3,Actuals!$C:$C,8,Actuals!$D:$D,$B$578,Actuals!$A:$A,LEFT($D$578,FIND("|",$D$578&amp;"|")-1),Actuals!$E:$E,MID($D$578,FIND("|",$D$578&amp;"|")+1,50),Actuals!$F:$F,"EUR")*$G$5+SUMIFS(Actuals!$G:$G,Actuals!$B:$B,$C$3,Actuals!$C:$C,8,Actuals!$D:$D,$B$578,Actuals!$A:$A,LEFT($D$578,FIND("|",$D$578&amp;"|")-1),Actuals!$E:$E,MID($D$578,FIND("|",$D$578&amp;"|")+1,50),Actuals!$F:$F,"GBP")*$H$5)</f>
        <v/>
      </c>
      <c r="P579" s="18">
        <f>IF(OR($B$578="",9&gt;$C$4),"",SUMIFS(Actuals!$G:$G,Actuals!$B:$B,$C$3,Actuals!$C:$C,9,Actuals!$D:$D,$B$578,Actuals!$A:$A,LEFT($D$578,FIND("|",$D$578&amp;"|")-1),Actuals!$E:$E,MID($D$578,FIND("|",$D$578&amp;"|")+1,50),Actuals!$F:$F,"JPY")*$E$5+SUMIFS(Actuals!$G:$G,Actuals!$B:$B,$C$3,Actuals!$C:$C,9,Actuals!$D:$D,$B$578,Actuals!$A:$A,LEFT($D$578,FIND("|",$D$578&amp;"|")-1),Actuals!$E:$E,MID($D$578,FIND("|",$D$578&amp;"|")+1,50),Actuals!$F:$F,"USD")*$F$5+SUMIFS(Actuals!$G:$G,Actuals!$B:$B,$C$3,Actuals!$C:$C,9,Actuals!$D:$D,$B$578,Actuals!$A:$A,LEFT($D$578,FIND("|",$D$578&amp;"|")-1),Actuals!$E:$E,MID($D$578,FIND("|",$D$578&amp;"|")+1,50),Actuals!$F:$F,"EUR")*$G$5+SUMIFS(Actuals!$G:$G,Actuals!$B:$B,$C$3,Actuals!$C:$C,9,Actuals!$D:$D,$B$578,Actuals!$A:$A,LEFT($D$578,FIND("|",$D$578&amp;"|")-1),Actuals!$E:$E,MID($D$578,FIND("|",$D$578&amp;"|")+1,50),Actuals!$F:$F,"GBP")*$H$5)</f>
        <v/>
      </c>
      <c r="Q579" s="18">
        <f>IF(OR($B$578="",10&gt;$C$4),"",SUMIFS(Actuals!$G:$G,Actuals!$B:$B,$C$3,Actuals!$C:$C,10,Actuals!$D:$D,$B$578,Actuals!$A:$A,LEFT($D$578,FIND("|",$D$578&amp;"|")-1),Actuals!$E:$E,MID($D$578,FIND("|",$D$578&amp;"|")+1,50),Actuals!$F:$F,"JPY")*$E$5+SUMIFS(Actuals!$G:$G,Actuals!$B:$B,$C$3,Actuals!$C:$C,10,Actuals!$D:$D,$B$578,Actuals!$A:$A,LEFT($D$578,FIND("|",$D$578&amp;"|")-1),Actuals!$E:$E,MID($D$578,FIND("|",$D$578&amp;"|")+1,50),Actuals!$F:$F,"USD")*$F$5+SUMIFS(Actuals!$G:$G,Actuals!$B:$B,$C$3,Actuals!$C:$C,10,Actuals!$D:$D,$B$578,Actuals!$A:$A,LEFT($D$578,FIND("|",$D$578&amp;"|")-1),Actuals!$E:$E,MID($D$578,FIND("|",$D$578&amp;"|")+1,50),Actuals!$F:$F,"EUR")*$G$5+SUMIFS(Actuals!$G:$G,Actuals!$B:$B,$C$3,Actuals!$C:$C,10,Actuals!$D:$D,$B$578,Actuals!$A:$A,LEFT($D$578,FIND("|",$D$578&amp;"|")-1),Actuals!$E:$E,MID($D$578,FIND("|",$D$578&amp;"|")+1,50),Actuals!$F:$F,"GBP")*$H$5)</f>
        <v/>
      </c>
      <c r="R579" s="18">
        <f>IF(OR($B$578="",11&gt;$C$4),"",SUMIFS(Actuals!$G:$G,Actuals!$B:$B,$C$3,Actuals!$C:$C,11,Actuals!$D:$D,$B$578,Actuals!$A:$A,LEFT($D$578,FIND("|",$D$578&amp;"|")-1),Actuals!$E:$E,MID($D$578,FIND("|",$D$578&amp;"|")+1,50),Actuals!$F:$F,"JPY")*$E$5+SUMIFS(Actuals!$G:$G,Actuals!$B:$B,$C$3,Actuals!$C:$C,11,Actuals!$D:$D,$B$578,Actuals!$A:$A,LEFT($D$578,FIND("|",$D$578&amp;"|")-1),Actuals!$E:$E,MID($D$578,FIND("|",$D$578&amp;"|")+1,50),Actuals!$F:$F,"USD")*$F$5+SUMIFS(Actuals!$G:$G,Actuals!$B:$B,$C$3,Actuals!$C:$C,11,Actuals!$D:$D,$B$578,Actuals!$A:$A,LEFT($D$578,FIND("|",$D$578&amp;"|")-1),Actuals!$E:$E,MID($D$578,FIND("|",$D$578&amp;"|")+1,50),Actuals!$F:$F,"EUR")*$G$5+SUMIFS(Actuals!$G:$G,Actuals!$B:$B,$C$3,Actuals!$C:$C,11,Actuals!$D:$D,$B$578,Actuals!$A:$A,LEFT($D$578,FIND("|",$D$578&amp;"|")-1),Actuals!$E:$E,MID($D$578,FIND("|",$D$578&amp;"|")+1,50),Actuals!$F:$F,"GBP")*$H$5)</f>
        <v/>
      </c>
      <c r="S579" s="18">
        <f>IF(OR($B$578="",12&gt;$C$4),"",SUMIFS(Actuals!$G:$G,Actuals!$B:$B,$C$3,Actuals!$C:$C,12,Actuals!$D:$D,$B$578,Actuals!$A:$A,LEFT($D$578,FIND("|",$D$578&amp;"|")-1),Actuals!$E:$E,MID($D$578,FIND("|",$D$578&amp;"|")+1,50),Actuals!$F:$F,"JPY")*$E$5+SUMIFS(Actuals!$G:$G,Actuals!$B:$B,$C$3,Actuals!$C:$C,12,Actuals!$D:$D,$B$578,Actuals!$A:$A,LEFT($D$578,FIND("|",$D$578&amp;"|")-1),Actuals!$E:$E,MID($D$578,FIND("|",$D$578&amp;"|")+1,50),Actuals!$F:$F,"USD")*$F$5+SUMIFS(Actuals!$G:$G,Actuals!$B:$B,$C$3,Actuals!$C:$C,12,Actuals!$D:$D,$B$578,Actuals!$A:$A,LEFT($D$578,FIND("|",$D$578&amp;"|")-1),Actuals!$E:$E,MID($D$578,FIND("|",$D$578&amp;"|")+1,50),Actuals!$F:$F,"EUR")*$G$5+SUMIFS(Actuals!$G:$G,Actuals!$B:$B,$C$3,Actuals!$C:$C,12,Actuals!$D:$D,$B$578,Actuals!$A:$A,LEFT($D$578,FIND("|",$D$578&amp;"|")-1),Actuals!$E:$E,MID($D$578,FIND("|",$D$578&amp;"|")+1,50),Actuals!$F:$F,"GBP")*$H$5)</f>
        <v/>
      </c>
      <c r="T579" s="18">
        <f>IF($B$578="","",SUMIF($H$7:$S$7,"&lt;="&amp;$C$4,$H579:$S579))</f>
        <v/>
      </c>
      <c r="U579" s="18" t="n"/>
      <c r="V579" s="18" t="n"/>
      <c r="X579" s="22">
        <f>IF($B579="","",IFERROR(INDEX(Cost_Centers!$E:$E,MATCH($B579,Cost_Centers!$A:$A,0)),"(unknown)"))</f>
        <v/>
      </c>
      <c r="Y579" s="22">
        <f>IF($B579="","",IFERROR(INDEX(Cost_Centers!$D:$D,MATCH($B579,Cost_Centers!$A:$A,0)),"(unknown)"))</f>
        <v/>
      </c>
      <c r="Z579" s="22">
        <f>IF(OR($B579="",$G579&lt;&gt;"Variance vs Budget"),"",ABS(N($V579))+ROW()/1000000000)</f>
        <v/>
      </c>
    </row>
    <row r="580">
      <c r="A580" s="13">
        <f>IF(A$578="","",A$578)</f>
        <v/>
      </c>
      <c r="B580" s="13">
        <f>IF(B$578="","",B$578)</f>
        <v/>
      </c>
      <c r="C580" s="13">
        <f>IF(C$578="","",C$578)</f>
        <v/>
      </c>
      <c r="D580" s="13">
        <f>IF(D$578="","",D$578)</f>
        <v/>
      </c>
      <c r="E580" s="13">
        <f>IF(E$578="","",E$578)</f>
        <v/>
      </c>
      <c r="F580" s="13">
        <f>IF(F$578="","",F$578)</f>
        <v/>
      </c>
      <c r="G580" s="6" t="inlineStr">
        <is>
          <t>Variance vs Budget</t>
        </is>
      </c>
      <c r="H580" s="33">
        <f>IF(OR($B$578="",1&gt;$C$4),"",N(H579)-H578)</f>
        <v/>
      </c>
      <c r="I580" s="33">
        <f>IF(OR($B$578="",2&gt;$C$4),"",N(I579)-I578)</f>
        <v/>
      </c>
      <c r="J580" s="33">
        <f>IF(OR($B$578="",3&gt;$C$4),"",N(J579)-J578)</f>
        <v/>
      </c>
      <c r="K580" s="33">
        <f>IF(OR($B$578="",4&gt;$C$4),"",N(K579)-K578)</f>
        <v/>
      </c>
      <c r="L580" s="33">
        <f>IF(OR($B$578="",5&gt;$C$4),"",N(L579)-L578)</f>
        <v/>
      </c>
      <c r="M580" s="33">
        <f>IF(OR($B$578="",6&gt;$C$4),"",N(M579)-M578)</f>
        <v/>
      </c>
      <c r="N580" s="33">
        <f>IF(OR($B$578="",7&gt;$C$4),"",N(N579)-N578)</f>
        <v/>
      </c>
      <c r="O580" s="33">
        <f>IF(OR($B$578="",8&gt;$C$4),"",N(O579)-O578)</f>
        <v/>
      </c>
      <c r="P580" s="33">
        <f>IF(OR($B$578="",9&gt;$C$4),"",N(P579)-P578)</f>
        <v/>
      </c>
      <c r="Q580" s="33">
        <f>IF(OR($B$578="",10&gt;$C$4),"",N(Q579)-Q578)</f>
        <v/>
      </c>
      <c r="R580" s="33">
        <f>IF(OR($B$578="",11&gt;$C$4),"",N(R579)-R578)</f>
        <v/>
      </c>
      <c r="S580" s="33">
        <f>IF(OR($B$578="",12&gt;$C$4),"",N(S579)-S578)</f>
        <v/>
      </c>
      <c r="T580" s="33">
        <f>IF($B$578="","",T579-T578)</f>
        <v/>
      </c>
      <c r="U580" s="33">
        <f>IF($B$578="","",U582-U578)</f>
        <v/>
      </c>
      <c r="V580" s="33">
        <f>IF($B$578="","",V582-V578)</f>
        <v/>
      </c>
      <c r="X580" s="22">
        <f>IF($B580="","",IFERROR(INDEX(Cost_Centers!$E:$E,MATCH($B580,Cost_Centers!$A:$A,0)),"(unknown)"))</f>
        <v/>
      </c>
      <c r="Y580" s="22">
        <f>IF($B580="","",IFERROR(INDEX(Cost_Centers!$D:$D,MATCH($B580,Cost_Centers!$A:$A,0)),"(unknown)"))</f>
        <v/>
      </c>
      <c r="Z580" s="22">
        <f>IF(OR($B580="",$G580&lt;&gt;"Variance vs Budget"),"",ABS(N($V580))+ROW()/1000000000)</f>
        <v/>
      </c>
    </row>
    <row r="581">
      <c r="A581" s="13">
        <f>IF(A$578="","",A$578)</f>
        <v/>
      </c>
      <c r="B581" s="13">
        <f>IF(B$578="","",B$578)</f>
        <v/>
      </c>
      <c r="C581" s="13">
        <f>IF(C$578="","",C$578)</f>
        <v/>
      </c>
      <c r="D581" s="13">
        <f>IF(D$578="","",D$578)</f>
        <v/>
      </c>
      <c r="E581" s="13">
        <f>IF(E$578="","",E$578)</f>
        <v/>
      </c>
      <c r="F581" s="13">
        <f>IF(F$578="","",F$578)</f>
        <v/>
      </c>
      <c r="G581" s="7" t="inlineStr">
        <is>
          <t>Forecast (input)</t>
        </is>
      </c>
      <c r="H581" s="34" t="n"/>
      <c r="I581" s="34" t="n"/>
      <c r="J581" s="34" t="n"/>
      <c r="K581" s="34" t="n"/>
      <c r="L581" s="34" t="n"/>
      <c r="M581" s="34" t="n"/>
      <c r="N581" s="34" t="n"/>
      <c r="O581" s="34" t="n"/>
      <c r="P581" s="34" t="n"/>
      <c r="Q581" s="34" t="n"/>
      <c r="R581" s="34" t="n"/>
      <c r="S581" s="34" t="n"/>
      <c r="T581" s="18" t="n"/>
      <c r="U581" s="18" t="n"/>
      <c r="V581" s="18" t="n"/>
      <c r="X581" s="22">
        <f>IF($B581="","",IFERROR(INDEX(Cost_Centers!$E:$E,MATCH($B581,Cost_Centers!$A:$A,0)),"(unknown)"))</f>
        <v/>
      </c>
      <c r="Y581" s="22">
        <f>IF($B581="","",IFERROR(INDEX(Cost_Centers!$D:$D,MATCH($B581,Cost_Centers!$A:$A,0)),"(unknown)"))</f>
        <v/>
      </c>
      <c r="Z581" s="22">
        <f>IF(OR($B581="",$G581&lt;&gt;"Variance vs Budget"),"",ABS(N($V581))+ROW()/1000000000)</f>
        <v/>
      </c>
    </row>
    <row r="582">
      <c r="A582" s="13">
        <f>IF(A$578="","",A$578)</f>
        <v/>
      </c>
      <c r="B582" s="13">
        <f>IF(B$578="","",B$578)</f>
        <v/>
      </c>
      <c r="C582" s="13">
        <f>IF(C$578="","",C$578)</f>
        <v/>
      </c>
      <c r="D582" s="13">
        <f>IF(D$578="","",D$578)</f>
        <v/>
      </c>
      <c r="E582" s="13">
        <f>IF(E$578="","",E$578)</f>
        <v/>
      </c>
      <c r="F582" s="13">
        <f>IF(F$578="","",F$578)</f>
        <v/>
      </c>
      <c r="G582" s="35" t="inlineStr">
        <is>
          <t>Actual + Forecast</t>
        </is>
      </c>
      <c r="H582" s="18">
        <f>IF($B$578="","",IF(1&lt;=$C$4,N(H579),IF(H581="",H578,H581)))</f>
        <v/>
      </c>
      <c r="I582" s="18">
        <f>IF($B$578="","",IF(2&lt;=$C$4,N(I579),IF(I581="",I578,I581)))</f>
        <v/>
      </c>
      <c r="J582" s="18">
        <f>IF($B$578="","",IF(3&lt;=$C$4,N(J579),IF(J581="",J578,J581)))</f>
        <v/>
      </c>
      <c r="K582" s="18">
        <f>IF($B$578="","",IF(4&lt;=$C$4,N(K579),IF(K581="",K578,K581)))</f>
        <v/>
      </c>
      <c r="L582" s="18">
        <f>IF($B$578="","",IF(5&lt;=$C$4,N(L579),IF(L581="",L578,L581)))</f>
        <v/>
      </c>
      <c r="M582" s="18">
        <f>IF($B$578="","",IF(6&lt;=$C$4,N(M579),IF(M581="",M578,M581)))</f>
        <v/>
      </c>
      <c r="N582" s="18">
        <f>IF($B$578="","",IF(7&lt;=$C$4,N(N579),IF(N581="",N578,N581)))</f>
        <v/>
      </c>
      <c r="O582" s="18">
        <f>IF($B$578="","",IF(8&lt;=$C$4,N(O579),IF(O581="",O578,O581)))</f>
        <v/>
      </c>
      <c r="P582" s="18">
        <f>IF($B$578="","",IF(9&lt;=$C$4,N(P579),IF(P581="",P578,P581)))</f>
        <v/>
      </c>
      <c r="Q582" s="18">
        <f>IF($B$578="","",IF(10&lt;=$C$4,N(Q579),IF(Q581="",Q578,Q581)))</f>
        <v/>
      </c>
      <c r="R582" s="18">
        <f>IF($B$578="","",IF(11&lt;=$C$4,N(R579),IF(R581="",R578,R581)))</f>
        <v/>
      </c>
      <c r="S582" s="18">
        <f>IF($B$578="","",IF(12&lt;=$C$4,N(S579),IF(S581="",S578,S581)))</f>
        <v/>
      </c>
      <c r="T582" s="18">
        <f>IF($B$578="","",SUMIF($H$7:$S$7,"&lt;="&amp;$C$4,$H582:$S582))</f>
        <v/>
      </c>
      <c r="U582" s="18">
        <f>IF($B$578="","",SUMIF($H$7:$S$7,"&gt;"&amp;$C$4,$H582:$S582))</f>
        <v/>
      </c>
      <c r="V582" s="18">
        <f>IF($B$578="","",SUM($H582:$S582))</f>
        <v/>
      </c>
      <c r="X582" s="22">
        <f>IF($B582="","",IFERROR(INDEX(Cost_Centers!$E:$E,MATCH($B582,Cost_Centers!$A:$A,0)),"(unknown)"))</f>
        <v/>
      </c>
      <c r="Y582" s="22">
        <f>IF($B582="","",IFERROR(INDEX(Cost_Centers!$D:$D,MATCH($B582,Cost_Centers!$A:$A,0)),"(unknown)"))</f>
        <v/>
      </c>
      <c r="Z582" s="22">
        <f>IF(OR($B582="",$G582&lt;&gt;"Variance vs Budget"),"",ABS(N($V582))+ROW()/1000000000)</f>
        <v/>
      </c>
    </row>
    <row r="583">
      <c r="A583" s="13">
        <f>IF(A$578="","",A$578)</f>
        <v/>
      </c>
      <c r="B583" s="13">
        <f>IF(B$578="","",B$578)</f>
        <v/>
      </c>
      <c r="C583" s="13">
        <f>IF(C$578="","",C$578)</f>
        <v/>
      </c>
      <c r="D583" s="13">
        <f>IF(D$578="","",D$578)</f>
        <v/>
      </c>
      <c r="E583" s="13">
        <f>IF(E$578="","",E$578)</f>
        <v/>
      </c>
      <c r="F583" s="13">
        <f>IF(F$578="","",F$578)</f>
        <v/>
      </c>
      <c r="G583" s="36" t="inlineStr">
        <is>
          <t>Prior Month Forecast</t>
        </is>
      </c>
      <c r="H583" s="37">
        <f>IF($B$578="","",IF(COUNTIFS(Prior_Forecast!$A:$A,$B$578,Prior_Forecast!$B:$B,$D$578)&gt;0,SUMIFS(Prior_Forecast!$C:$C,Prior_Forecast!$A:$A,$B$578,Prior_Forecast!$B:$B,$D$578),""))</f>
        <v/>
      </c>
      <c r="I583" s="37">
        <f>IF($B$578="","",IF(COUNTIFS(Prior_Forecast!$A:$A,$B$578,Prior_Forecast!$B:$B,$D$578)&gt;0,SUMIFS(Prior_Forecast!$D:$D,Prior_Forecast!$A:$A,$B$578,Prior_Forecast!$B:$B,$D$578),""))</f>
        <v/>
      </c>
      <c r="J583" s="37">
        <f>IF($B$578="","",IF(COUNTIFS(Prior_Forecast!$A:$A,$B$578,Prior_Forecast!$B:$B,$D$578)&gt;0,SUMIFS(Prior_Forecast!$E:$E,Prior_Forecast!$A:$A,$B$578,Prior_Forecast!$B:$B,$D$578),""))</f>
        <v/>
      </c>
      <c r="K583" s="37">
        <f>IF($B$578="","",IF(COUNTIFS(Prior_Forecast!$A:$A,$B$578,Prior_Forecast!$B:$B,$D$578)&gt;0,SUMIFS(Prior_Forecast!$F:$F,Prior_Forecast!$A:$A,$B$578,Prior_Forecast!$B:$B,$D$578),""))</f>
        <v/>
      </c>
      <c r="L583" s="37">
        <f>IF($B$578="","",IF(COUNTIFS(Prior_Forecast!$A:$A,$B$578,Prior_Forecast!$B:$B,$D$578)&gt;0,SUMIFS(Prior_Forecast!$G:$G,Prior_Forecast!$A:$A,$B$578,Prior_Forecast!$B:$B,$D$578),""))</f>
        <v/>
      </c>
      <c r="M583" s="37">
        <f>IF($B$578="","",IF(COUNTIFS(Prior_Forecast!$A:$A,$B$578,Prior_Forecast!$B:$B,$D$578)&gt;0,SUMIFS(Prior_Forecast!$H:$H,Prior_Forecast!$A:$A,$B$578,Prior_Forecast!$B:$B,$D$578),""))</f>
        <v/>
      </c>
      <c r="N583" s="37">
        <f>IF($B$578="","",IF(COUNTIFS(Prior_Forecast!$A:$A,$B$578,Prior_Forecast!$B:$B,$D$578)&gt;0,SUMIFS(Prior_Forecast!$I:$I,Prior_Forecast!$A:$A,$B$578,Prior_Forecast!$B:$B,$D$578),""))</f>
        <v/>
      </c>
      <c r="O583" s="37">
        <f>IF($B$578="","",IF(COUNTIFS(Prior_Forecast!$A:$A,$B$578,Prior_Forecast!$B:$B,$D$578)&gt;0,SUMIFS(Prior_Forecast!$J:$J,Prior_Forecast!$A:$A,$B$578,Prior_Forecast!$B:$B,$D$578),""))</f>
        <v/>
      </c>
      <c r="P583" s="37">
        <f>IF($B$578="","",IF(COUNTIFS(Prior_Forecast!$A:$A,$B$578,Prior_Forecast!$B:$B,$D$578)&gt;0,SUMIFS(Prior_Forecast!$K:$K,Prior_Forecast!$A:$A,$B$578,Prior_Forecast!$B:$B,$D$578),""))</f>
        <v/>
      </c>
      <c r="Q583" s="37">
        <f>IF($B$578="","",IF(COUNTIFS(Prior_Forecast!$A:$A,$B$578,Prior_Forecast!$B:$B,$D$578)&gt;0,SUMIFS(Prior_Forecast!$L:$L,Prior_Forecast!$A:$A,$B$578,Prior_Forecast!$B:$B,$D$578),""))</f>
        <v/>
      </c>
      <c r="R583" s="37">
        <f>IF($B$578="","",IF(COUNTIFS(Prior_Forecast!$A:$A,$B$578,Prior_Forecast!$B:$B,$D$578)&gt;0,SUMIFS(Prior_Forecast!$M:$M,Prior_Forecast!$A:$A,$B$578,Prior_Forecast!$B:$B,$D$578),""))</f>
        <v/>
      </c>
      <c r="S583" s="37">
        <f>IF($B$578="","",IF(COUNTIFS(Prior_Forecast!$A:$A,$B$578,Prior_Forecast!$B:$B,$D$578)&gt;0,SUMIFS(Prior_Forecast!$N:$N,Prior_Forecast!$A:$A,$B$578,Prior_Forecast!$B:$B,$D$578),""))</f>
        <v/>
      </c>
      <c r="T583" s="37">
        <f>IF($B$578="","",IF(COUNTIFS(Prior_Forecast!$A:$A,$B$578,Prior_Forecast!$B:$B,$D$578)&gt;0,SUMIFS(Prior_Forecast!$O:$O,Prior_Forecast!$A:$A,$B$578,Prior_Forecast!$B:$B,$D$578),""))</f>
        <v/>
      </c>
      <c r="U583" s="37">
        <f>IF($B$578="","",IF(COUNTIFS(Prior_Forecast!$A:$A,$B$578,Prior_Forecast!$B:$B,$D$578)&gt;0,SUMIFS(Prior_Forecast!$P:$P,Prior_Forecast!$A:$A,$B$578,Prior_Forecast!$B:$B,$D$578),""))</f>
        <v/>
      </c>
      <c r="V583" s="37">
        <f>IF($B$578="","",IF(COUNTIFS(Prior_Forecast!$A:$A,$B$578,Prior_Forecast!$B:$B,$D$578)&gt;0,SUMIFS(Prior_Forecast!$Q:$Q,Prior_Forecast!$A:$A,$B$578,Prior_Forecast!$B:$B,$D$578),""))</f>
        <v/>
      </c>
      <c r="X583" s="22">
        <f>IF($B583="","",IFERROR(INDEX(Cost_Centers!$E:$E,MATCH($B583,Cost_Centers!$A:$A,0)),"(unknown)"))</f>
        <v/>
      </c>
      <c r="Y583" s="22">
        <f>IF($B583="","",IFERROR(INDEX(Cost_Centers!$D:$D,MATCH($B583,Cost_Centers!$A:$A,0)),"(unknown)"))</f>
        <v/>
      </c>
      <c r="Z583" s="22">
        <f>IF(OR($B583="",$G583&lt;&gt;"Variance vs Budget"),"",ABS(N($V583))+ROW()/1000000000)</f>
        <v/>
      </c>
    </row>
    <row r="584">
      <c r="A584" s="13">
        <f>IF(A$578="","",A$578)</f>
        <v/>
      </c>
      <c r="B584" s="13">
        <f>IF(B$578="","",B$578)</f>
        <v/>
      </c>
      <c r="C584" s="13">
        <f>IF(C$578="","",C$578)</f>
        <v/>
      </c>
      <c r="D584" s="13">
        <f>IF(D$578="","",D$578)</f>
        <v/>
      </c>
      <c r="E584" s="13">
        <f>IF(E$578="","",E$578)</f>
        <v/>
      </c>
      <c r="F584" s="13">
        <f>IF(F$578="","",F$578)</f>
        <v/>
      </c>
      <c r="G584" s="6" t="inlineStr">
        <is>
          <t>Variance vs Prior Month</t>
        </is>
      </c>
      <c r="H584" s="33">
        <f>IF(OR($B$578="",H583=""),"",H582-H583)</f>
        <v/>
      </c>
      <c r="I584" s="33">
        <f>IF(OR($B$578="",I583=""),"",I582-I583)</f>
        <v/>
      </c>
      <c r="J584" s="33">
        <f>IF(OR($B$578="",J583=""),"",J582-J583)</f>
        <v/>
      </c>
      <c r="K584" s="33">
        <f>IF(OR($B$578="",K583=""),"",K582-K583)</f>
        <v/>
      </c>
      <c r="L584" s="33">
        <f>IF(OR($B$578="",L583=""),"",L582-L583)</f>
        <v/>
      </c>
      <c r="M584" s="33">
        <f>IF(OR($B$578="",M583=""),"",M582-M583)</f>
        <v/>
      </c>
      <c r="N584" s="33">
        <f>IF(OR($B$578="",N583=""),"",N582-N583)</f>
        <v/>
      </c>
      <c r="O584" s="33">
        <f>IF(OR($B$578="",O583=""),"",O582-O583)</f>
        <v/>
      </c>
      <c r="P584" s="33">
        <f>IF(OR($B$578="",P583=""),"",P582-P583)</f>
        <v/>
      </c>
      <c r="Q584" s="33">
        <f>IF(OR($B$578="",Q583=""),"",Q582-Q583)</f>
        <v/>
      </c>
      <c r="R584" s="33">
        <f>IF(OR($B$578="",R583=""),"",R582-R583)</f>
        <v/>
      </c>
      <c r="S584" s="33">
        <f>IF(OR($B$578="",S583=""),"",S582-S583)</f>
        <v/>
      </c>
      <c r="T584" s="33">
        <f>IF(OR($B$578="",T583=""),"",T582-T583)</f>
        <v/>
      </c>
      <c r="U584" s="33">
        <f>IF(OR($B$578="",U583=""),"",U582-U583)</f>
        <v/>
      </c>
      <c r="V584" s="33">
        <f>IF(OR($B$578="",V583=""),"",V582-V583)</f>
        <v/>
      </c>
      <c r="X584" s="22">
        <f>IF($B584="","",IFERROR(INDEX(Cost_Centers!$E:$E,MATCH($B584,Cost_Centers!$A:$A,0)),"(unknown)"))</f>
        <v/>
      </c>
      <c r="Y584" s="22">
        <f>IF($B584="","",IFERROR(INDEX(Cost_Centers!$D:$D,MATCH($B584,Cost_Centers!$A:$A,0)),"(unknown)"))</f>
        <v/>
      </c>
      <c r="Z584" s="22">
        <f>IF(OR($B584="",$G584&lt;&gt;"Variance vs Budget"),"",ABS(N($V584))+ROW()/1000000000)</f>
        <v/>
      </c>
    </row>
    <row r="585" ht="45" customHeight="1">
      <c r="A585" s="13">
        <f>IF(A$578="","",A$578)</f>
        <v/>
      </c>
      <c r="B585" s="13">
        <f>IF(B$578="","",B$578)</f>
        <v/>
      </c>
      <c r="C585" s="13">
        <f>IF(C$578="","",C$578)</f>
        <v/>
      </c>
      <c r="D585" s="13">
        <f>IF(D$578="","",D$578)</f>
        <v/>
      </c>
      <c r="E585" s="13">
        <f>IF(E$578="","",E$578)</f>
        <v/>
      </c>
      <c r="F585" s="13">
        <f>IF(F$578="","",F$578)</f>
        <v/>
      </c>
      <c r="G585" s="7" t="inlineStr">
        <is>
          <t>Rationale</t>
        </is>
      </c>
      <c r="H585" s="38" t="n"/>
      <c r="I585" s="38" t="n"/>
      <c r="J585" s="38" t="n"/>
      <c r="K585" s="38" t="n"/>
      <c r="L585" s="38" t="n"/>
      <c r="M585" s="38" t="n"/>
      <c r="N585" s="38" t="n"/>
      <c r="O585" s="38" t="n"/>
      <c r="P585" s="38" t="n"/>
      <c r="Q585" s="38" t="n"/>
      <c r="R585" s="38" t="n"/>
      <c r="S585" s="38" t="n"/>
      <c r="T585" s="38" t="n"/>
      <c r="U585" s="38" t="n"/>
      <c r="V585" s="7" t="n"/>
      <c r="X585" s="22">
        <f>IF($B585="","",IFERROR(INDEX(Cost_Centers!$E:$E,MATCH($B585,Cost_Centers!$A:$A,0)),"(unknown)"))</f>
        <v/>
      </c>
      <c r="Y585" s="22">
        <f>IF($B585="","",IFERROR(INDEX(Cost_Centers!$D:$D,MATCH($B585,Cost_Centers!$A:$A,0)),"(unknown)"))</f>
        <v/>
      </c>
      <c r="Z585" s="22">
        <f>IF(OR($B585="",$G585&lt;&gt;"Variance vs Budget"),"",ABS(N($V585))+ROW()/1000000000)</f>
        <v/>
      </c>
    </row>
    <row r="586">
      <c r="A586" s="30">
        <f>IF($D$586="","",LEFT($D$586,FIND("|",$D$586&amp;"|")-1))</f>
        <v/>
      </c>
      <c r="B586" s="31" t="n"/>
      <c r="C586" s="30">
        <f>IF($B$586="","",IFERROR(INDEX(Cost_Centers!$B:$B,MATCH($B$586,Cost_Centers!$A:$A,0)),"(not in master)"))</f>
        <v/>
      </c>
      <c r="D586" s="31" t="n"/>
      <c r="E586" s="30">
        <f>IF($D$586="","",IFERROR(INDEX(Accounts!$D:$D,MATCH($D$586,Accounts!$A:$A,0)),"(not in master)"))</f>
        <v/>
      </c>
      <c r="F586" s="31" t="n"/>
      <c r="G586" s="30" t="inlineStr">
        <is>
          <t>Budget</t>
        </is>
      </c>
      <c r="H586" s="32">
        <f>IF($B$586="","",SUMIFS(Opex_Budget!$O:$O,Opex_Budget!$A:$A,$C$3,Opex_Budget!$E:$E,$B$586,Opex_Budget!$F:$F,$D$586,Opex_Budget!$N:$N,"JPY")*$E$5+SUMIFS(Opex_Budget!$O:$O,Opex_Budget!$A:$A,$C$3,Opex_Budget!$E:$E,$B$586,Opex_Budget!$F:$F,$D$586,Opex_Budget!$N:$N,"USD")*$F$5+SUMIFS(Opex_Budget!$O:$O,Opex_Budget!$A:$A,$C$3,Opex_Budget!$E:$E,$B$586,Opex_Budget!$F:$F,$D$586,Opex_Budget!$N:$N,"EUR")*$G$5+SUMIFS(Opex_Budget!$O:$O,Opex_Budget!$A:$A,$C$3,Opex_Budget!$E:$E,$B$586,Opex_Budget!$F:$F,$D$586,Opex_Budget!$N:$N,"GBP")*$H$5)</f>
        <v/>
      </c>
      <c r="I586" s="32">
        <f>IF($B$586="","",SUMIFS(Opex_Budget!$P:$P,Opex_Budget!$A:$A,$C$3,Opex_Budget!$E:$E,$B$586,Opex_Budget!$F:$F,$D$586,Opex_Budget!$N:$N,"JPY")*$E$5+SUMIFS(Opex_Budget!$P:$P,Opex_Budget!$A:$A,$C$3,Opex_Budget!$E:$E,$B$586,Opex_Budget!$F:$F,$D$586,Opex_Budget!$N:$N,"USD")*$F$5+SUMIFS(Opex_Budget!$P:$P,Opex_Budget!$A:$A,$C$3,Opex_Budget!$E:$E,$B$586,Opex_Budget!$F:$F,$D$586,Opex_Budget!$N:$N,"EUR")*$G$5+SUMIFS(Opex_Budget!$P:$P,Opex_Budget!$A:$A,$C$3,Opex_Budget!$E:$E,$B$586,Opex_Budget!$F:$F,$D$586,Opex_Budget!$N:$N,"GBP")*$H$5)</f>
        <v/>
      </c>
      <c r="J586" s="32">
        <f>IF($B$586="","",SUMIFS(Opex_Budget!$Q:$Q,Opex_Budget!$A:$A,$C$3,Opex_Budget!$E:$E,$B$586,Opex_Budget!$F:$F,$D$586,Opex_Budget!$N:$N,"JPY")*$E$5+SUMIFS(Opex_Budget!$Q:$Q,Opex_Budget!$A:$A,$C$3,Opex_Budget!$E:$E,$B$586,Opex_Budget!$F:$F,$D$586,Opex_Budget!$N:$N,"USD")*$F$5+SUMIFS(Opex_Budget!$Q:$Q,Opex_Budget!$A:$A,$C$3,Opex_Budget!$E:$E,$B$586,Opex_Budget!$F:$F,$D$586,Opex_Budget!$N:$N,"EUR")*$G$5+SUMIFS(Opex_Budget!$Q:$Q,Opex_Budget!$A:$A,$C$3,Opex_Budget!$E:$E,$B$586,Opex_Budget!$F:$F,$D$586,Opex_Budget!$N:$N,"GBP")*$H$5)</f>
        <v/>
      </c>
      <c r="K586" s="32">
        <f>IF($B$586="","",SUMIFS(Opex_Budget!$R:$R,Opex_Budget!$A:$A,$C$3,Opex_Budget!$E:$E,$B$586,Opex_Budget!$F:$F,$D$586,Opex_Budget!$N:$N,"JPY")*$E$5+SUMIFS(Opex_Budget!$R:$R,Opex_Budget!$A:$A,$C$3,Opex_Budget!$E:$E,$B$586,Opex_Budget!$F:$F,$D$586,Opex_Budget!$N:$N,"USD")*$F$5+SUMIFS(Opex_Budget!$R:$R,Opex_Budget!$A:$A,$C$3,Opex_Budget!$E:$E,$B$586,Opex_Budget!$F:$F,$D$586,Opex_Budget!$N:$N,"EUR")*$G$5+SUMIFS(Opex_Budget!$R:$R,Opex_Budget!$A:$A,$C$3,Opex_Budget!$E:$E,$B$586,Opex_Budget!$F:$F,$D$586,Opex_Budget!$N:$N,"GBP")*$H$5)</f>
        <v/>
      </c>
      <c r="L586" s="32">
        <f>IF($B$586="","",SUMIFS(Opex_Budget!$S:$S,Opex_Budget!$A:$A,$C$3,Opex_Budget!$E:$E,$B$586,Opex_Budget!$F:$F,$D$586,Opex_Budget!$N:$N,"JPY")*$E$5+SUMIFS(Opex_Budget!$S:$S,Opex_Budget!$A:$A,$C$3,Opex_Budget!$E:$E,$B$586,Opex_Budget!$F:$F,$D$586,Opex_Budget!$N:$N,"USD")*$F$5+SUMIFS(Opex_Budget!$S:$S,Opex_Budget!$A:$A,$C$3,Opex_Budget!$E:$E,$B$586,Opex_Budget!$F:$F,$D$586,Opex_Budget!$N:$N,"EUR")*$G$5+SUMIFS(Opex_Budget!$S:$S,Opex_Budget!$A:$A,$C$3,Opex_Budget!$E:$E,$B$586,Opex_Budget!$F:$F,$D$586,Opex_Budget!$N:$N,"GBP")*$H$5)</f>
        <v/>
      </c>
      <c r="M586" s="32">
        <f>IF($B$586="","",SUMIFS(Opex_Budget!$T:$T,Opex_Budget!$A:$A,$C$3,Opex_Budget!$E:$E,$B$586,Opex_Budget!$F:$F,$D$586,Opex_Budget!$N:$N,"JPY")*$E$5+SUMIFS(Opex_Budget!$T:$T,Opex_Budget!$A:$A,$C$3,Opex_Budget!$E:$E,$B$586,Opex_Budget!$F:$F,$D$586,Opex_Budget!$N:$N,"USD")*$F$5+SUMIFS(Opex_Budget!$T:$T,Opex_Budget!$A:$A,$C$3,Opex_Budget!$E:$E,$B$586,Opex_Budget!$F:$F,$D$586,Opex_Budget!$N:$N,"EUR")*$G$5+SUMIFS(Opex_Budget!$T:$T,Opex_Budget!$A:$A,$C$3,Opex_Budget!$E:$E,$B$586,Opex_Budget!$F:$F,$D$586,Opex_Budget!$N:$N,"GBP")*$H$5)</f>
        <v/>
      </c>
      <c r="N586" s="32">
        <f>IF($B$586="","",SUMIFS(Opex_Budget!$U:$U,Opex_Budget!$A:$A,$C$3,Opex_Budget!$E:$E,$B$586,Opex_Budget!$F:$F,$D$586,Opex_Budget!$N:$N,"JPY")*$E$5+SUMIFS(Opex_Budget!$U:$U,Opex_Budget!$A:$A,$C$3,Opex_Budget!$E:$E,$B$586,Opex_Budget!$F:$F,$D$586,Opex_Budget!$N:$N,"USD")*$F$5+SUMIFS(Opex_Budget!$U:$U,Opex_Budget!$A:$A,$C$3,Opex_Budget!$E:$E,$B$586,Opex_Budget!$F:$F,$D$586,Opex_Budget!$N:$N,"EUR")*$G$5+SUMIFS(Opex_Budget!$U:$U,Opex_Budget!$A:$A,$C$3,Opex_Budget!$E:$E,$B$586,Opex_Budget!$F:$F,$D$586,Opex_Budget!$N:$N,"GBP")*$H$5)</f>
        <v/>
      </c>
      <c r="O586" s="32">
        <f>IF($B$586="","",SUMIFS(Opex_Budget!$V:$V,Opex_Budget!$A:$A,$C$3,Opex_Budget!$E:$E,$B$586,Opex_Budget!$F:$F,$D$586,Opex_Budget!$N:$N,"JPY")*$E$5+SUMIFS(Opex_Budget!$V:$V,Opex_Budget!$A:$A,$C$3,Opex_Budget!$E:$E,$B$586,Opex_Budget!$F:$F,$D$586,Opex_Budget!$N:$N,"USD")*$F$5+SUMIFS(Opex_Budget!$V:$V,Opex_Budget!$A:$A,$C$3,Opex_Budget!$E:$E,$B$586,Opex_Budget!$F:$F,$D$586,Opex_Budget!$N:$N,"EUR")*$G$5+SUMIFS(Opex_Budget!$V:$V,Opex_Budget!$A:$A,$C$3,Opex_Budget!$E:$E,$B$586,Opex_Budget!$F:$F,$D$586,Opex_Budget!$N:$N,"GBP")*$H$5)</f>
        <v/>
      </c>
      <c r="P586" s="32">
        <f>IF($B$586="","",SUMIFS(Opex_Budget!$W:$W,Opex_Budget!$A:$A,$C$3,Opex_Budget!$E:$E,$B$586,Opex_Budget!$F:$F,$D$586,Opex_Budget!$N:$N,"JPY")*$E$5+SUMIFS(Opex_Budget!$W:$W,Opex_Budget!$A:$A,$C$3,Opex_Budget!$E:$E,$B$586,Opex_Budget!$F:$F,$D$586,Opex_Budget!$N:$N,"USD")*$F$5+SUMIFS(Opex_Budget!$W:$W,Opex_Budget!$A:$A,$C$3,Opex_Budget!$E:$E,$B$586,Opex_Budget!$F:$F,$D$586,Opex_Budget!$N:$N,"EUR")*$G$5+SUMIFS(Opex_Budget!$W:$W,Opex_Budget!$A:$A,$C$3,Opex_Budget!$E:$E,$B$586,Opex_Budget!$F:$F,$D$586,Opex_Budget!$N:$N,"GBP")*$H$5)</f>
        <v/>
      </c>
      <c r="Q586" s="32">
        <f>IF($B$586="","",SUMIFS(Opex_Budget!$X:$X,Opex_Budget!$A:$A,$C$3,Opex_Budget!$E:$E,$B$586,Opex_Budget!$F:$F,$D$586,Opex_Budget!$N:$N,"JPY")*$E$5+SUMIFS(Opex_Budget!$X:$X,Opex_Budget!$A:$A,$C$3,Opex_Budget!$E:$E,$B$586,Opex_Budget!$F:$F,$D$586,Opex_Budget!$N:$N,"USD")*$F$5+SUMIFS(Opex_Budget!$X:$X,Opex_Budget!$A:$A,$C$3,Opex_Budget!$E:$E,$B$586,Opex_Budget!$F:$F,$D$586,Opex_Budget!$N:$N,"EUR")*$G$5+SUMIFS(Opex_Budget!$X:$X,Opex_Budget!$A:$A,$C$3,Opex_Budget!$E:$E,$B$586,Opex_Budget!$F:$F,$D$586,Opex_Budget!$N:$N,"GBP")*$H$5)</f>
        <v/>
      </c>
      <c r="R586" s="32">
        <f>IF($B$586="","",SUMIFS(Opex_Budget!$Y:$Y,Opex_Budget!$A:$A,$C$3,Opex_Budget!$E:$E,$B$586,Opex_Budget!$F:$F,$D$586,Opex_Budget!$N:$N,"JPY")*$E$5+SUMIFS(Opex_Budget!$Y:$Y,Opex_Budget!$A:$A,$C$3,Opex_Budget!$E:$E,$B$586,Opex_Budget!$F:$F,$D$586,Opex_Budget!$N:$N,"USD")*$F$5+SUMIFS(Opex_Budget!$Y:$Y,Opex_Budget!$A:$A,$C$3,Opex_Budget!$E:$E,$B$586,Opex_Budget!$F:$F,$D$586,Opex_Budget!$N:$N,"EUR")*$G$5+SUMIFS(Opex_Budget!$Y:$Y,Opex_Budget!$A:$A,$C$3,Opex_Budget!$E:$E,$B$586,Opex_Budget!$F:$F,$D$586,Opex_Budget!$N:$N,"GBP")*$H$5)</f>
        <v/>
      </c>
      <c r="S586" s="32">
        <f>IF($B$586="","",SUMIFS(Opex_Budget!$Z:$Z,Opex_Budget!$A:$A,$C$3,Opex_Budget!$E:$E,$B$586,Opex_Budget!$F:$F,$D$586,Opex_Budget!$N:$N,"JPY")*$E$5+SUMIFS(Opex_Budget!$Z:$Z,Opex_Budget!$A:$A,$C$3,Opex_Budget!$E:$E,$B$586,Opex_Budget!$F:$F,$D$586,Opex_Budget!$N:$N,"USD")*$F$5+SUMIFS(Opex_Budget!$Z:$Z,Opex_Budget!$A:$A,$C$3,Opex_Budget!$E:$E,$B$586,Opex_Budget!$F:$F,$D$586,Opex_Budget!$N:$N,"EUR")*$G$5+SUMIFS(Opex_Budget!$Z:$Z,Opex_Budget!$A:$A,$C$3,Opex_Budget!$E:$E,$B$586,Opex_Budget!$F:$F,$D$586,Opex_Budget!$N:$N,"GBP")*$H$5)</f>
        <v/>
      </c>
      <c r="T586" s="32">
        <f>IF($B$586="","",SUMIF($H$7:$S$7,"&lt;="&amp;$C$4,$H586:$S586))</f>
        <v/>
      </c>
      <c r="U586" s="32">
        <f>IF($B$586="","",SUMIF($H$7:$S$7,"&gt;"&amp;$C$4,$H586:$S586))</f>
        <v/>
      </c>
      <c r="V586" s="32">
        <f>IF($B$586="","",SUM($H586:$S586))</f>
        <v/>
      </c>
      <c r="X586" s="22">
        <f>IF($B586="","",IFERROR(INDEX(Cost_Centers!$E:$E,MATCH($B586,Cost_Centers!$A:$A,0)),"(unknown)"))</f>
        <v/>
      </c>
      <c r="Y586" s="22">
        <f>IF($B586="","",IFERROR(INDEX(Cost_Centers!$D:$D,MATCH($B586,Cost_Centers!$A:$A,0)),"(unknown)"))</f>
        <v/>
      </c>
      <c r="Z586" s="22">
        <f>IF(OR($B586="",$G586&lt;&gt;"Variance vs Budget"),"",ABS(N($V586))+ROW()/1000000000)</f>
        <v/>
      </c>
    </row>
    <row r="587">
      <c r="A587" s="13">
        <f>IF(A$586="","",A$586)</f>
        <v/>
      </c>
      <c r="B587" s="13">
        <f>IF(B$586="","",B$586)</f>
        <v/>
      </c>
      <c r="C587" s="13">
        <f>IF(C$586="","",C$586)</f>
        <v/>
      </c>
      <c r="D587" s="13">
        <f>IF(D$586="","",D$586)</f>
        <v/>
      </c>
      <c r="E587" s="13">
        <f>IF(E$586="","",E$586)</f>
        <v/>
      </c>
      <c r="F587" s="13">
        <f>IF(F$586="","",F$586)</f>
        <v/>
      </c>
      <c r="G587" s="7" t="inlineStr">
        <is>
          <t>Actual</t>
        </is>
      </c>
      <c r="H587" s="18">
        <f>IF(OR($B$586="",1&gt;$C$4),"",SUMIFS(Actuals!$G:$G,Actuals!$B:$B,$C$3,Actuals!$C:$C,1,Actuals!$D:$D,$B$586,Actuals!$A:$A,LEFT($D$586,FIND("|",$D$586&amp;"|")-1),Actuals!$E:$E,MID($D$586,FIND("|",$D$586&amp;"|")+1,50),Actuals!$F:$F,"JPY")*$E$5+SUMIFS(Actuals!$G:$G,Actuals!$B:$B,$C$3,Actuals!$C:$C,1,Actuals!$D:$D,$B$586,Actuals!$A:$A,LEFT($D$586,FIND("|",$D$586&amp;"|")-1),Actuals!$E:$E,MID($D$586,FIND("|",$D$586&amp;"|")+1,50),Actuals!$F:$F,"USD")*$F$5+SUMIFS(Actuals!$G:$G,Actuals!$B:$B,$C$3,Actuals!$C:$C,1,Actuals!$D:$D,$B$586,Actuals!$A:$A,LEFT($D$586,FIND("|",$D$586&amp;"|")-1),Actuals!$E:$E,MID($D$586,FIND("|",$D$586&amp;"|")+1,50),Actuals!$F:$F,"EUR")*$G$5+SUMIFS(Actuals!$G:$G,Actuals!$B:$B,$C$3,Actuals!$C:$C,1,Actuals!$D:$D,$B$586,Actuals!$A:$A,LEFT($D$586,FIND("|",$D$586&amp;"|")-1),Actuals!$E:$E,MID($D$586,FIND("|",$D$586&amp;"|")+1,50),Actuals!$F:$F,"GBP")*$H$5)</f>
        <v/>
      </c>
      <c r="I587" s="18">
        <f>IF(OR($B$586="",2&gt;$C$4),"",SUMIFS(Actuals!$G:$G,Actuals!$B:$B,$C$3,Actuals!$C:$C,2,Actuals!$D:$D,$B$586,Actuals!$A:$A,LEFT($D$586,FIND("|",$D$586&amp;"|")-1),Actuals!$E:$E,MID($D$586,FIND("|",$D$586&amp;"|")+1,50),Actuals!$F:$F,"JPY")*$E$5+SUMIFS(Actuals!$G:$G,Actuals!$B:$B,$C$3,Actuals!$C:$C,2,Actuals!$D:$D,$B$586,Actuals!$A:$A,LEFT($D$586,FIND("|",$D$586&amp;"|")-1),Actuals!$E:$E,MID($D$586,FIND("|",$D$586&amp;"|")+1,50),Actuals!$F:$F,"USD")*$F$5+SUMIFS(Actuals!$G:$G,Actuals!$B:$B,$C$3,Actuals!$C:$C,2,Actuals!$D:$D,$B$586,Actuals!$A:$A,LEFT($D$586,FIND("|",$D$586&amp;"|")-1),Actuals!$E:$E,MID($D$586,FIND("|",$D$586&amp;"|")+1,50),Actuals!$F:$F,"EUR")*$G$5+SUMIFS(Actuals!$G:$G,Actuals!$B:$B,$C$3,Actuals!$C:$C,2,Actuals!$D:$D,$B$586,Actuals!$A:$A,LEFT($D$586,FIND("|",$D$586&amp;"|")-1),Actuals!$E:$E,MID($D$586,FIND("|",$D$586&amp;"|")+1,50),Actuals!$F:$F,"GBP")*$H$5)</f>
        <v/>
      </c>
      <c r="J587" s="18">
        <f>IF(OR($B$586="",3&gt;$C$4),"",SUMIFS(Actuals!$G:$G,Actuals!$B:$B,$C$3,Actuals!$C:$C,3,Actuals!$D:$D,$B$586,Actuals!$A:$A,LEFT($D$586,FIND("|",$D$586&amp;"|")-1),Actuals!$E:$E,MID($D$586,FIND("|",$D$586&amp;"|")+1,50),Actuals!$F:$F,"JPY")*$E$5+SUMIFS(Actuals!$G:$G,Actuals!$B:$B,$C$3,Actuals!$C:$C,3,Actuals!$D:$D,$B$586,Actuals!$A:$A,LEFT($D$586,FIND("|",$D$586&amp;"|")-1),Actuals!$E:$E,MID($D$586,FIND("|",$D$586&amp;"|")+1,50),Actuals!$F:$F,"USD")*$F$5+SUMIFS(Actuals!$G:$G,Actuals!$B:$B,$C$3,Actuals!$C:$C,3,Actuals!$D:$D,$B$586,Actuals!$A:$A,LEFT($D$586,FIND("|",$D$586&amp;"|")-1),Actuals!$E:$E,MID($D$586,FIND("|",$D$586&amp;"|")+1,50),Actuals!$F:$F,"EUR")*$G$5+SUMIFS(Actuals!$G:$G,Actuals!$B:$B,$C$3,Actuals!$C:$C,3,Actuals!$D:$D,$B$586,Actuals!$A:$A,LEFT($D$586,FIND("|",$D$586&amp;"|")-1),Actuals!$E:$E,MID($D$586,FIND("|",$D$586&amp;"|")+1,50),Actuals!$F:$F,"GBP")*$H$5)</f>
        <v/>
      </c>
      <c r="K587" s="18">
        <f>IF(OR($B$586="",4&gt;$C$4),"",SUMIFS(Actuals!$G:$G,Actuals!$B:$B,$C$3,Actuals!$C:$C,4,Actuals!$D:$D,$B$586,Actuals!$A:$A,LEFT($D$586,FIND("|",$D$586&amp;"|")-1),Actuals!$E:$E,MID($D$586,FIND("|",$D$586&amp;"|")+1,50),Actuals!$F:$F,"JPY")*$E$5+SUMIFS(Actuals!$G:$G,Actuals!$B:$B,$C$3,Actuals!$C:$C,4,Actuals!$D:$D,$B$586,Actuals!$A:$A,LEFT($D$586,FIND("|",$D$586&amp;"|")-1),Actuals!$E:$E,MID($D$586,FIND("|",$D$586&amp;"|")+1,50),Actuals!$F:$F,"USD")*$F$5+SUMIFS(Actuals!$G:$G,Actuals!$B:$B,$C$3,Actuals!$C:$C,4,Actuals!$D:$D,$B$586,Actuals!$A:$A,LEFT($D$586,FIND("|",$D$586&amp;"|")-1),Actuals!$E:$E,MID($D$586,FIND("|",$D$586&amp;"|")+1,50),Actuals!$F:$F,"EUR")*$G$5+SUMIFS(Actuals!$G:$G,Actuals!$B:$B,$C$3,Actuals!$C:$C,4,Actuals!$D:$D,$B$586,Actuals!$A:$A,LEFT($D$586,FIND("|",$D$586&amp;"|")-1),Actuals!$E:$E,MID($D$586,FIND("|",$D$586&amp;"|")+1,50),Actuals!$F:$F,"GBP")*$H$5)</f>
        <v/>
      </c>
      <c r="L587" s="18">
        <f>IF(OR($B$586="",5&gt;$C$4),"",SUMIFS(Actuals!$G:$G,Actuals!$B:$B,$C$3,Actuals!$C:$C,5,Actuals!$D:$D,$B$586,Actuals!$A:$A,LEFT($D$586,FIND("|",$D$586&amp;"|")-1),Actuals!$E:$E,MID($D$586,FIND("|",$D$586&amp;"|")+1,50),Actuals!$F:$F,"JPY")*$E$5+SUMIFS(Actuals!$G:$G,Actuals!$B:$B,$C$3,Actuals!$C:$C,5,Actuals!$D:$D,$B$586,Actuals!$A:$A,LEFT($D$586,FIND("|",$D$586&amp;"|")-1),Actuals!$E:$E,MID($D$586,FIND("|",$D$586&amp;"|")+1,50),Actuals!$F:$F,"USD")*$F$5+SUMIFS(Actuals!$G:$G,Actuals!$B:$B,$C$3,Actuals!$C:$C,5,Actuals!$D:$D,$B$586,Actuals!$A:$A,LEFT($D$586,FIND("|",$D$586&amp;"|")-1),Actuals!$E:$E,MID($D$586,FIND("|",$D$586&amp;"|")+1,50),Actuals!$F:$F,"EUR")*$G$5+SUMIFS(Actuals!$G:$G,Actuals!$B:$B,$C$3,Actuals!$C:$C,5,Actuals!$D:$D,$B$586,Actuals!$A:$A,LEFT($D$586,FIND("|",$D$586&amp;"|")-1),Actuals!$E:$E,MID($D$586,FIND("|",$D$586&amp;"|")+1,50),Actuals!$F:$F,"GBP")*$H$5)</f>
        <v/>
      </c>
      <c r="M587" s="18">
        <f>IF(OR($B$586="",6&gt;$C$4),"",SUMIFS(Actuals!$G:$G,Actuals!$B:$B,$C$3,Actuals!$C:$C,6,Actuals!$D:$D,$B$586,Actuals!$A:$A,LEFT($D$586,FIND("|",$D$586&amp;"|")-1),Actuals!$E:$E,MID($D$586,FIND("|",$D$586&amp;"|")+1,50),Actuals!$F:$F,"JPY")*$E$5+SUMIFS(Actuals!$G:$G,Actuals!$B:$B,$C$3,Actuals!$C:$C,6,Actuals!$D:$D,$B$586,Actuals!$A:$A,LEFT($D$586,FIND("|",$D$586&amp;"|")-1),Actuals!$E:$E,MID($D$586,FIND("|",$D$586&amp;"|")+1,50),Actuals!$F:$F,"USD")*$F$5+SUMIFS(Actuals!$G:$G,Actuals!$B:$B,$C$3,Actuals!$C:$C,6,Actuals!$D:$D,$B$586,Actuals!$A:$A,LEFT($D$586,FIND("|",$D$586&amp;"|")-1),Actuals!$E:$E,MID($D$586,FIND("|",$D$586&amp;"|")+1,50),Actuals!$F:$F,"EUR")*$G$5+SUMIFS(Actuals!$G:$G,Actuals!$B:$B,$C$3,Actuals!$C:$C,6,Actuals!$D:$D,$B$586,Actuals!$A:$A,LEFT($D$586,FIND("|",$D$586&amp;"|")-1),Actuals!$E:$E,MID($D$586,FIND("|",$D$586&amp;"|")+1,50),Actuals!$F:$F,"GBP")*$H$5)</f>
        <v/>
      </c>
      <c r="N587" s="18">
        <f>IF(OR($B$586="",7&gt;$C$4),"",SUMIFS(Actuals!$G:$G,Actuals!$B:$B,$C$3,Actuals!$C:$C,7,Actuals!$D:$D,$B$586,Actuals!$A:$A,LEFT($D$586,FIND("|",$D$586&amp;"|")-1),Actuals!$E:$E,MID($D$586,FIND("|",$D$586&amp;"|")+1,50),Actuals!$F:$F,"JPY")*$E$5+SUMIFS(Actuals!$G:$G,Actuals!$B:$B,$C$3,Actuals!$C:$C,7,Actuals!$D:$D,$B$586,Actuals!$A:$A,LEFT($D$586,FIND("|",$D$586&amp;"|")-1),Actuals!$E:$E,MID($D$586,FIND("|",$D$586&amp;"|")+1,50),Actuals!$F:$F,"USD")*$F$5+SUMIFS(Actuals!$G:$G,Actuals!$B:$B,$C$3,Actuals!$C:$C,7,Actuals!$D:$D,$B$586,Actuals!$A:$A,LEFT($D$586,FIND("|",$D$586&amp;"|")-1),Actuals!$E:$E,MID($D$586,FIND("|",$D$586&amp;"|")+1,50),Actuals!$F:$F,"EUR")*$G$5+SUMIFS(Actuals!$G:$G,Actuals!$B:$B,$C$3,Actuals!$C:$C,7,Actuals!$D:$D,$B$586,Actuals!$A:$A,LEFT($D$586,FIND("|",$D$586&amp;"|")-1),Actuals!$E:$E,MID($D$586,FIND("|",$D$586&amp;"|")+1,50),Actuals!$F:$F,"GBP")*$H$5)</f>
        <v/>
      </c>
      <c r="O587" s="18">
        <f>IF(OR($B$586="",8&gt;$C$4),"",SUMIFS(Actuals!$G:$G,Actuals!$B:$B,$C$3,Actuals!$C:$C,8,Actuals!$D:$D,$B$586,Actuals!$A:$A,LEFT($D$586,FIND("|",$D$586&amp;"|")-1),Actuals!$E:$E,MID($D$586,FIND("|",$D$586&amp;"|")+1,50),Actuals!$F:$F,"JPY")*$E$5+SUMIFS(Actuals!$G:$G,Actuals!$B:$B,$C$3,Actuals!$C:$C,8,Actuals!$D:$D,$B$586,Actuals!$A:$A,LEFT($D$586,FIND("|",$D$586&amp;"|")-1),Actuals!$E:$E,MID($D$586,FIND("|",$D$586&amp;"|")+1,50),Actuals!$F:$F,"USD")*$F$5+SUMIFS(Actuals!$G:$G,Actuals!$B:$B,$C$3,Actuals!$C:$C,8,Actuals!$D:$D,$B$586,Actuals!$A:$A,LEFT($D$586,FIND("|",$D$586&amp;"|")-1),Actuals!$E:$E,MID($D$586,FIND("|",$D$586&amp;"|")+1,50),Actuals!$F:$F,"EUR")*$G$5+SUMIFS(Actuals!$G:$G,Actuals!$B:$B,$C$3,Actuals!$C:$C,8,Actuals!$D:$D,$B$586,Actuals!$A:$A,LEFT($D$586,FIND("|",$D$586&amp;"|")-1),Actuals!$E:$E,MID($D$586,FIND("|",$D$586&amp;"|")+1,50),Actuals!$F:$F,"GBP")*$H$5)</f>
        <v/>
      </c>
      <c r="P587" s="18">
        <f>IF(OR($B$586="",9&gt;$C$4),"",SUMIFS(Actuals!$G:$G,Actuals!$B:$B,$C$3,Actuals!$C:$C,9,Actuals!$D:$D,$B$586,Actuals!$A:$A,LEFT($D$586,FIND("|",$D$586&amp;"|")-1),Actuals!$E:$E,MID($D$586,FIND("|",$D$586&amp;"|")+1,50),Actuals!$F:$F,"JPY")*$E$5+SUMIFS(Actuals!$G:$G,Actuals!$B:$B,$C$3,Actuals!$C:$C,9,Actuals!$D:$D,$B$586,Actuals!$A:$A,LEFT($D$586,FIND("|",$D$586&amp;"|")-1),Actuals!$E:$E,MID($D$586,FIND("|",$D$586&amp;"|")+1,50),Actuals!$F:$F,"USD")*$F$5+SUMIFS(Actuals!$G:$G,Actuals!$B:$B,$C$3,Actuals!$C:$C,9,Actuals!$D:$D,$B$586,Actuals!$A:$A,LEFT($D$586,FIND("|",$D$586&amp;"|")-1),Actuals!$E:$E,MID($D$586,FIND("|",$D$586&amp;"|")+1,50),Actuals!$F:$F,"EUR")*$G$5+SUMIFS(Actuals!$G:$G,Actuals!$B:$B,$C$3,Actuals!$C:$C,9,Actuals!$D:$D,$B$586,Actuals!$A:$A,LEFT($D$586,FIND("|",$D$586&amp;"|")-1),Actuals!$E:$E,MID($D$586,FIND("|",$D$586&amp;"|")+1,50),Actuals!$F:$F,"GBP")*$H$5)</f>
        <v/>
      </c>
      <c r="Q587" s="18">
        <f>IF(OR($B$586="",10&gt;$C$4),"",SUMIFS(Actuals!$G:$G,Actuals!$B:$B,$C$3,Actuals!$C:$C,10,Actuals!$D:$D,$B$586,Actuals!$A:$A,LEFT($D$586,FIND("|",$D$586&amp;"|")-1),Actuals!$E:$E,MID($D$586,FIND("|",$D$586&amp;"|")+1,50),Actuals!$F:$F,"JPY")*$E$5+SUMIFS(Actuals!$G:$G,Actuals!$B:$B,$C$3,Actuals!$C:$C,10,Actuals!$D:$D,$B$586,Actuals!$A:$A,LEFT($D$586,FIND("|",$D$586&amp;"|")-1),Actuals!$E:$E,MID($D$586,FIND("|",$D$586&amp;"|")+1,50),Actuals!$F:$F,"USD")*$F$5+SUMIFS(Actuals!$G:$G,Actuals!$B:$B,$C$3,Actuals!$C:$C,10,Actuals!$D:$D,$B$586,Actuals!$A:$A,LEFT($D$586,FIND("|",$D$586&amp;"|")-1),Actuals!$E:$E,MID($D$586,FIND("|",$D$586&amp;"|")+1,50),Actuals!$F:$F,"EUR")*$G$5+SUMIFS(Actuals!$G:$G,Actuals!$B:$B,$C$3,Actuals!$C:$C,10,Actuals!$D:$D,$B$586,Actuals!$A:$A,LEFT($D$586,FIND("|",$D$586&amp;"|")-1),Actuals!$E:$E,MID($D$586,FIND("|",$D$586&amp;"|")+1,50),Actuals!$F:$F,"GBP")*$H$5)</f>
        <v/>
      </c>
      <c r="R587" s="18">
        <f>IF(OR($B$586="",11&gt;$C$4),"",SUMIFS(Actuals!$G:$G,Actuals!$B:$B,$C$3,Actuals!$C:$C,11,Actuals!$D:$D,$B$586,Actuals!$A:$A,LEFT($D$586,FIND("|",$D$586&amp;"|")-1),Actuals!$E:$E,MID($D$586,FIND("|",$D$586&amp;"|")+1,50),Actuals!$F:$F,"JPY")*$E$5+SUMIFS(Actuals!$G:$G,Actuals!$B:$B,$C$3,Actuals!$C:$C,11,Actuals!$D:$D,$B$586,Actuals!$A:$A,LEFT($D$586,FIND("|",$D$586&amp;"|")-1),Actuals!$E:$E,MID($D$586,FIND("|",$D$586&amp;"|")+1,50),Actuals!$F:$F,"USD")*$F$5+SUMIFS(Actuals!$G:$G,Actuals!$B:$B,$C$3,Actuals!$C:$C,11,Actuals!$D:$D,$B$586,Actuals!$A:$A,LEFT($D$586,FIND("|",$D$586&amp;"|")-1),Actuals!$E:$E,MID($D$586,FIND("|",$D$586&amp;"|")+1,50),Actuals!$F:$F,"EUR")*$G$5+SUMIFS(Actuals!$G:$G,Actuals!$B:$B,$C$3,Actuals!$C:$C,11,Actuals!$D:$D,$B$586,Actuals!$A:$A,LEFT($D$586,FIND("|",$D$586&amp;"|")-1),Actuals!$E:$E,MID($D$586,FIND("|",$D$586&amp;"|")+1,50),Actuals!$F:$F,"GBP")*$H$5)</f>
        <v/>
      </c>
      <c r="S587" s="18">
        <f>IF(OR($B$586="",12&gt;$C$4),"",SUMIFS(Actuals!$G:$G,Actuals!$B:$B,$C$3,Actuals!$C:$C,12,Actuals!$D:$D,$B$586,Actuals!$A:$A,LEFT($D$586,FIND("|",$D$586&amp;"|")-1),Actuals!$E:$E,MID($D$586,FIND("|",$D$586&amp;"|")+1,50),Actuals!$F:$F,"JPY")*$E$5+SUMIFS(Actuals!$G:$G,Actuals!$B:$B,$C$3,Actuals!$C:$C,12,Actuals!$D:$D,$B$586,Actuals!$A:$A,LEFT($D$586,FIND("|",$D$586&amp;"|")-1),Actuals!$E:$E,MID($D$586,FIND("|",$D$586&amp;"|")+1,50),Actuals!$F:$F,"USD")*$F$5+SUMIFS(Actuals!$G:$G,Actuals!$B:$B,$C$3,Actuals!$C:$C,12,Actuals!$D:$D,$B$586,Actuals!$A:$A,LEFT($D$586,FIND("|",$D$586&amp;"|")-1),Actuals!$E:$E,MID($D$586,FIND("|",$D$586&amp;"|")+1,50),Actuals!$F:$F,"EUR")*$G$5+SUMIFS(Actuals!$G:$G,Actuals!$B:$B,$C$3,Actuals!$C:$C,12,Actuals!$D:$D,$B$586,Actuals!$A:$A,LEFT($D$586,FIND("|",$D$586&amp;"|")-1),Actuals!$E:$E,MID($D$586,FIND("|",$D$586&amp;"|")+1,50),Actuals!$F:$F,"GBP")*$H$5)</f>
        <v/>
      </c>
      <c r="T587" s="18">
        <f>IF($B$586="","",SUMIF($H$7:$S$7,"&lt;="&amp;$C$4,$H587:$S587))</f>
        <v/>
      </c>
      <c r="U587" s="18" t="n"/>
      <c r="V587" s="18" t="n"/>
      <c r="X587" s="22">
        <f>IF($B587="","",IFERROR(INDEX(Cost_Centers!$E:$E,MATCH($B587,Cost_Centers!$A:$A,0)),"(unknown)"))</f>
        <v/>
      </c>
      <c r="Y587" s="22">
        <f>IF($B587="","",IFERROR(INDEX(Cost_Centers!$D:$D,MATCH($B587,Cost_Centers!$A:$A,0)),"(unknown)"))</f>
        <v/>
      </c>
      <c r="Z587" s="22">
        <f>IF(OR($B587="",$G587&lt;&gt;"Variance vs Budget"),"",ABS(N($V587))+ROW()/1000000000)</f>
        <v/>
      </c>
    </row>
    <row r="588">
      <c r="A588" s="13">
        <f>IF(A$586="","",A$586)</f>
        <v/>
      </c>
      <c r="B588" s="13">
        <f>IF(B$586="","",B$586)</f>
        <v/>
      </c>
      <c r="C588" s="13">
        <f>IF(C$586="","",C$586)</f>
        <v/>
      </c>
      <c r="D588" s="13">
        <f>IF(D$586="","",D$586)</f>
        <v/>
      </c>
      <c r="E588" s="13">
        <f>IF(E$586="","",E$586)</f>
        <v/>
      </c>
      <c r="F588" s="13">
        <f>IF(F$586="","",F$586)</f>
        <v/>
      </c>
      <c r="G588" s="6" t="inlineStr">
        <is>
          <t>Variance vs Budget</t>
        </is>
      </c>
      <c r="H588" s="33">
        <f>IF(OR($B$586="",1&gt;$C$4),"",N(H587)-H586)</f>
        <v/>
      </c>
      <c r="I588" s="33">
        <f>IF(OR($B$586="",2&gt;$C$4),"",N(I587)-I586)</f>
        <v/>
      </c>
      <c r="J588" s="33">
        <f>IF(OR($B$586="",3&gt;$C$4),"",N(J587)-J586)</f>
        <v/>
      </c>
      <c r="K588" s="33">
        <f>IF(OR($B$586="",4&gt;$C$4),"",N(K587)-K586)</f>
        <v/>
      </c>
      <c r="L588" s="33">
        <f>IF(OR($B$586="",5&gt;$C$4),"",N(L587)-L586)</f>
        <v/>
      </c>
      <c r="M588" s="33">
        <f>IF(OR($B$586="",6&gt;$C$4),"",N(M587)-M586)</f>
        <v/>
      </c>
      <c r="N588" s="33">
        <f>IF(OR($B$586="",7&gt;$C$4),"",N(N587)-N586)</f>
        <v/>
      </c>
      <c r="O588" s="33">
        <f>IF(OR($B$586="",8&gt;$C$4),"",N(O587)-O586)</f>
        <v/>
      </c>
      <c r="P588" s="33">
        <f>IF(OR($B$586="",9&gt;$C$4),"",N(P587)-P586)</f>
        <v/>
      </c>
      <c r="Q588" s="33">
        <f>IF(OR($B$586="",10&gt;$C$4),"",N(Q587)-Q586)</f>
        <v/>
      </c>
      <c r="R588" s="33">
        <f>IF(OR($B$586="",11&gt;$C$4),"",N(R587)-R586)</f>
        <v/>
      </c>
      <c r="S588" s="33">
        <f>IF(OR($B$586="",12&gt;$C$4),"",N(S587)-S586)</f>
        <v/>
      </c>
      <c r="T588" s="33">
        <f>IF($B$586="","",T587-T586)</f>
        <v/>
      </c>
      <c r="U588" s="33">
        <f>IF($B$586="","",U590-U586)</f>
        <v/>
      </c>
      <c r="V588" s="33">
        <f>IF($B$586="","",V590-V586)</f>
        <v/>
      </c>
      <c r="X588" s="22">
        <f>IF($B588="","",IFERROR(INDEX(Cost_Centers!$E:$E,MATCH($B588,Cost_Centers!$A:$A,0)),"(unknown)"))</f>
        <v/>
      </c>
      <c r="Y588" s="22">
        <f>IF($B588="","",IFERROR(INDEX(Cost_Centers!$D:$D,MATCH($B588,Cost_Centers!$A:$A,0)),"(unknown)"))</f>
        <v/>
      </c>
      <c r="Z588" s="22">
        <f>IF(OR($B588="",$G588&lt;&gt;"Variance vs Budget"),"",ABS(N($V588))+ROW()/1000000000)</f>
        <v/>
      </c>
    </row>
    <row r="589">
      <c r="A589" s="13">
        <f>IF(A$586="","",A$586)</f>
        <v/>
      </c>
      <c r="B589" s="13">
        <f>IF(B$586="","",B$586)</f>
        <v/>
      </c>
      <c r="C589" s="13">
        <f>IF(C$586="","",C$586)</f>
        <v/>
      </c>
      <c r="D589" s="13">
        <f>IF(D$586="","",D$586)</f>
        <v/>
      </c>
      <c r="E589" s="13">
        <f>IF(E$586="","",E$586)</f>
        <v/>
      </c>
      <c r="F589" s="13">
        <f>IF(F$586="","",F$586)</f>
        <v/>
      </c>
      <c r="G589" s="7" t="inlineStr">
        <is>
          <t>Forecast (input)</t>
        </is>
      </c>
      <c r="H589" s="34" t="n"/>
      <c r="I589" s="34" t="n"/>
      <c r="J589" s="34" t="n"/>
      <c r="K589" s="34" t="n"/>
      <c r="L589" s="34" t="n"/>
      <c r="M589" s="34" t="n"/>
      <c r="N589" s="34" t="n"/>
      <c r="O589" s="34" t="n"/>
      <c r="P589" s="34" t="n"/>
      <c r="Q589" s="34" t="n"/>
      <c r="R589" s="34" t="n"/>
      <c r="S589" s="34" t="n"/>
      <c r="T589" s="18" t="n"/>
      <c r="U589" s="18" t="n"/>
      <c r="V589" s="18" t="n"/>
      <c r="X589" s="22">
        <f>IF($B589="","",IFERROR(INDEX(Cost_Centers!$E:$E,MATCH($B589,Cost_Centers!$A:$A,0)),"(unknown)"))</f>
        <v/>
      </c>
      <c r="Y589" s="22">
        <f>IF($B589="","",IFERROR(INDEX(Cost_Centers!$D:$D,MATCH($B589,Cost_Centers!$A:$A,0)),"(unknown)"))</f>
        <v/>
      </c>
      <c r="Z589" s="22">
        <f>IF(OR($B589="",$G589&lt;&gt;"Variance vs Budget"),"",ABS(N($V589))+ROW()/1000000000)</f>
        <v/>
      </c>
    </row>
    <row r="590">
      <c r="A590" s="13">
        <f>IF(A$586="","",A$586)</f>
        <v/>
      </c>
      <c r="B590" s="13">
        <f>IF(B$586="","",B$586)</f>
        <v/>
      </c>
      <c r="C590" s="13">
        <f>IF(C$586="","",C$586)</f>
        <v/>
      </c>
      <c r="D590" s="13">
        <f>IF(D$586="","",D$586)</f>
        <v/>
      </c>
      <c r="E590" s="13">
        <f>IF(E$586="","",E$586)</f>
        <v/>
      </c>
      <c r="F590" s="13">
        <f>IF(F$586="","",F$586)</f>
        <v/>
      </c>
      <c r="G590" s="35" t="inlineStr">
        <is>
          <t>Actual + Forecast</t>
        </is>
      </c>
      <c r="H590" s="18">
        <f>IF($B$586="","",IF(1&lt;=$C$4,N(H587),IF(H589="",H586,H589)))</f>
        <v/>
      </c>
      <c r="I590" s="18">
        <f>IF($B$586="","",IF(2&lt;=$C$4,N(I587),IF(I589="",I586,I589)))</f>
        <v/>
      </c>
      <c r="J590" s="18">
        <f>IF($B$586="","",IF(3&lt;=$C$4,N(J587),IF(J589="",J586,J589)))</f>
        <v/>
      </c>
      <c r="K590" s="18">
        <f>IF($B$586="","",IF(4&lt;=$C$4,N(K587),IF(K589="",K586,K589)))</f>
        <v/>
      </c>
      <c r="L590" s="18">
        <f>IF($B$586="","",IF(5&lt;=$C$4,N(L587),IF(L589="",L586,L589)))</f>
        <v/>
      </c>
      <c r="M590" s="18">
        <f>IF($B$586="","",IF(6&lt;=$C$4,N(M587),IF(M589="",M586,M589)))</f>
        <v/>
      </c>
      <c r="N590" s="18">
        <f>IF($B$586="","",IF(7&lt;=$C$4,N(N587),IF(N589="",N586,N589)))</f>
        <v/>
      </c>
      <c r="O590" s="18">
        <f>IF($B$586="","",IF(8&lt;=$C$4,N(O587),IF(O589="",O586,O589)))</f>
        <v/>
      </c>
      <c r="P590" s="18">
        <f>IF($B$586="","",IF(9&lt;=$C$4,N(P587),IF(P589="",P586,P589)))</f>
        <v/>
      </c>
      <c r="Q590" s="18">
        <f>IF($B$586="","",IF(10&lt;=$C$4,N(Q587),IF(Q589="",Q586,Q589)))</f>
        <v/>
      </c>
      <c r="R590" s="18">
        <f>IF($B$586="","",IF(11&lt;=$C$4,N(R587),IF(R589="",R586,R589)))</f>
        <v/>
      </c>
      <c r="S590" s="18">
        <f>IF($B$586="","",IF(12&lt;=$C$4,N(S587),IF(S589="",S586,S589)))</f>
        <v/>
      </c>
      <c r="T590" s="18">
        <f>IF($B$586="","",SUMIF($H$7:$S$7,"&lt;="&amp;$C$4,$H590:$S590))</f>
        <v/>
      </c>
      <c r="U590" s="18">
        <f>IF($B$586="","",SUMIF($H$7:$S$7,"&gt;"&amp;$C$4,$H590:$S590))</f>
        <v/>
      </c>
      <c r="V590" s="18">
        <f>IF($B$586="","",SUM($H590:$S590))</f>
        <v/>
      </c>
      <c r="X590" s="22">
        <f>IF($B590="","",IFERROR(INDEX(Cost_Centers!$E:$E,MATCH($B590,Cost_Centers!$A:$A,0)),"(unknown)"))</f>
        <v/>
      </c>
      <c r="Y590" s="22">
        <f>IF($B590="","",IFERROR(INDEX(Cost_Centers!$D:$D,MATCH($B590,Cost_Centers!$A:$A,0)),"(unknown)"))</f>
        <v/>
      </c>
      <c r="Z590" s="22">
        <f>IF(OR($B590="",$G590&lt;&gt;"Variance vs Budget"),"",ABS(N($V590))+ROW()/1000000000)</f>
        <v/>
      </c>
    </row>
    <row r="591">
      <c r="A591" s="13">
        <f>IF(A$586="","",A$586)</f>
        <v/>
      </c>
      <c r="B591" s="13">
        <f>IF(B$586="","",B$586)</f>
        <v/>
      </c>
      <c r="C591" s="13">
        <f>IF(C$586="","",C$586)</f>
        <v/>
      </c>
      <c r="D591" s="13">
        <f>IF(D$586="","",D$586)</f>
        <v/>
      </c>
      <c r="E591" s="13">
        <f>IF(E$586="","",E$586)</f>
        <v/>
      </c>
      <c r="F591" s="13">
        <f>IF(F$586="","",F$586)</f>
        <v/>
      </c>
      <c r="G591" s="36" t="inlineStr">
        <is>
          <t>Prior Month Forecast</t>
        </is>
      </c>
      <c r="H591" s="37">
        <f>IF($B$586="","",IF(COUNTIFS(Prior_Forecast!$A:$A,$B$586,Prior_Forecast!$B:$B,$D$586)&gt;0,SUMIFS(Prior_Forecast!$C:$C,Prior_Forecast!$A:$A,$B$586,Prior_Forecast!$B:$B,$D$586),""))</f>
        <v/>
      </c>
      <c r="I591" s="37">
        <f>IF($B$586="","",IF(COUNTIFS(Prior_Forecast!$A:$A,$B$586,Prior_Forecast!$B:$B,$D$586)&gt;0,SUMIFS(Prior_Forecast!$D:$D,Prior_Forecast!$A:$A,$B$586,Prior_Forecast!$B:$B,$D$586),""))</f>
        <v/>
      </c>
      <c r="J591" s="37">
        <f>IF($B$586="","",IF(COUNTIFS(Prior_Forecast!$A:$A,$B$586,Prior_Forecast!$B:$B,$D$586)&gt;0,SUMIFS(Prior_Forecast!$E:$E,Prior_Forecast!$A:$A,$B$586,Prior_Forecast!$B:$B,$D$586),""))</f>
        <v/>
      </c>
      <c r="K591" s="37">
        <f>IF($B$586="","",IF(COUNTIFS(Prior_Forecast!$A:$A,$B$586,Prior_Forecast!$B:$B,$D$586)&gt;0,SUMIFS(Prior_Forecast!$F:$F,Prior_Forecast!$A:$A,$B$586,Prior_Forecast!$B:$B,$D$586),""))</f>
        <v/>
      </c>
      <c r="L591" s="37">
        <f>IF($B$586="","",IF(COUNTIFS(Prior_Forecast!$A:$A,$B$586,Prior_Forecast!$B:$B,$D$586)&gt;0,SUMIFS(Prior_Forecast!$G:$G,Prior_Forecast!$A:$A,$B$586,Prior_Forecast!$B:$B,$D$586),""))</f>
        <v/>
      </c>
      <c r="M591" s="37">
        <f>IF($B$586="","",IF(COUNTIFS(Prior_Forecast!$A:$A,$B$586,Prior_Forecast!$B:$B,$D$586)&gt;0,SUMIFS(Prior_Forecast!$H:$H,Prior_Forecast!$A:$A,$B$586,Prior_Forecast!$B:$B,$D$586),""))</f>
        <v/>
      </c>
      <c r="N591" s="37">
        <f>IF($B$586="","",IF(COUNTIFS(Prior_Forecast!$A:$A,$B$586,Prior_Forecast!$B:$B,$D$586)&gt;0,SUMIFS(Prior_Forecast!$I:$I,Prior_Forecast!$A:$A,$B$586,Prior_Forecast!$B:$B,$D$586),""))</f>
        <v/>
      </c>
      <c r="O591" s="37">
        <f>IF($B$586="","",IF(COUNTIFS(Prior_Forecast!$A:$A,$B$586,Prior_Forecast!$B:$B,$D$586)&gt;0,SUMIFS(Prior_Forecast!$J:$J,Prior_Forecast!$A:$A,$B$586,Prior_Forecast!$B:$B,$D$586),""))</f>
        <v/>
      </c>
      <c r="P591" s="37">
        <f>IF($B$586="","",IF(COUNTIFS(Prior_Forecast!$A:$A,$B$586,Prior_Forecast!$B:$B,$D$586)&gt;0,SUMIFS(Prior_Forecast!$K:$K,Prior_Forecast!$A:$A,$B$586,Prior_Forecast!$B:$B,$D$586),""))</f>
        <v/>
      </c>
      <c r="Q591" s="37">
        <f>IF($B$586="","",IF(COUNTIFS(Prior_Forecast!$A:$A,$B$586,Prior_Forecast!$B:$B,$D$586)&gt;0,SUMIFS(Prior_Forecast!$L:$L,Prior_Forecast!$A:$A,$B$586,Prior_Forecast!$B:$B,$D$586),""))</f>
        <v/>
      </c>
      <c r="R591" s="37">
        <f>IF($B$586="","",IF(COUNTIFS(Prior_Forecast!$A:$A,$B$586,Prior_Forecast!$B:$B,$D$586)&gt;0,SUMIFS(Prior_Forecast!$M:$M,Prior_Forecast!$A:$A,$B$586,Prior_Forecast!$B:$B,$D$586),""))</f>
        <v/>
      </c>
      <c r="S591" s="37">
        <f>IF($B$586="","",IF(COUNTIFS(Prior_Forecast!$A:$A,$B$586,Prior_Forecast!$B:$B,$D$586)&gt;0,SUMIFS(Prior_Forecast!$N:$N,Prior_Forecast!$A:$A,$B$586,Prior_Forecast!$B:$B,$D$586),""))</f>
        <v/>
      </c>
      <c r="T591" s="37">
        <f>IF($B$586="","",IF(COUNTIFS(Prior_Forecast!$A:$A,$B$586,Prior_Forecast!$B:$B,$D$586)&gt;0,SUMIFS(Prior_Forecast!$O:$O,Prior_Forecast!$A:$A,$B$586,Prior_Forecast!$B:$B,$D$586),""))</f>
        <v/>
      </c>
      <c r="U591" s="37">
        <f>IF($B$586="","",IF(COUNTIFS(Prior_Forecast!$A:$A,$B$586,Prior_Forecast!$B:$B,$D$586)&gt;0,SUMIFS(Prior_Forecast!$P:$P,Prior_Forecast!$A:$A,$B$586,Prior_Forecast!$B:$B,$D$586),""))</f>
        <v/>
      </c>
      <c r="V591" s="37">
        <f>IF($B$586="","",IF(COUNTIFS(Prior_Forecast!$A:$A,$B$586,Prior_Forecast!$B:$B,$D$586)&gt;0,SUMIFS(Prior_Forecast!$Q:$Q,Prior_Forecast!$A:$A,$B$586,Prior_Forecast!$B:$B,$D$586),""))</f>
        <v/>
      </c>
      <c r="X591" s="22">
        <f>IF($B591="","",IFERROR(INDEX(Cost_Centers!$E:$E,MATCH($B591,Cost_Centers!$A:$A,0)),"(unknown)"))</f>
        <v/>
      </c>
      <c r="Y591" s="22">
        <f>IF($B591="","",IFERROR(INDEX(Cost_Centers!$D:$D,MATCH($B591,Cost_Centers!$A:$A,0)),"(unknown)"))</f>
        <v/>
      </c>
      <c r="Z591" s="22">
        <f>IF(OR($B591="",$G591&lt;&gt;"Variance vs Budget"),"",ABS(N($V591))+ROW()/1000000000)</f>
        <v/>
      </c>
    </row>
    <row r="592">
      <c r="A592" s="13">
        <f>IF(A$586="","",A$586)</f>
        <v/>
      </c>
      <c r="B592" s="13">
        <f>IF(B$586="","",B$586)</f>
        <v/>
      </c>
      <c r="C592" s="13">
        <f>IF(C$586="","",C$586)</f>
        <v/>
      </c>
      <c r="D592" s="13">
        <f>IF(D$586="","",D$586)</f>
        <v/>
      </c>
      <c r="E592" s="13">
        <f>IF(E$586="","",E$586)</f>
        <v/>
      </c>
      <c r="F592" s="13">
        <f>IF(F$586="","",F$586)</f>
        <v/>
      </c>
      <c r="G592" s="6" t="inlineStr">
        <is>
          <t>Variance vs Prior Month</t>
        </is>
      </c>
      <c r="H592" s="33">
        <f>IF(OR($B$586="",H591=""),"",H590-H591)</f>
        <v/>
      </c>
      <c r="I592" s="33">
        <f>IF(OR($B$586="",I591=""),"",I590-I591)</f>
        <v/>
      </c>
      <c r="J592" s="33">
        <f>IF(OR($B$586="",J591=""),"",J590-J591)</f>
        <v/>
      </c>
      <c r="K592" s="33">
        <f>IF(OR($B$586="",K591=""),"",K590-K591)</f>
        <v/>
      </c>
      <c r="L592" s="33">
        <f>IF(OR($B$586="",L591=""),"",L590-L591)</f>
        <v/>
      </c>
      <c r="M592" s="33">
        <f>IF(OR($B$586="",M591=""),"",M590-M591)</f>
        <v/>
      </c>
      <c r="N592" s="33">
        <f>IF(OR($B$586="",N591=""),"",N590-N591)</f>
        <v/>
      </c>
      <c r="O592" s="33">
        <f>IF(OR($B$586="",O591=""),"",O590-O591)</f>
        <v/>
      </c>
      <c r="P592" s="33">
        <f>IF(OR($B$586="",P591=""),"",P590-P591)</f>
        <v/>
      </c>
      <c r="Q592" s="33">
        <f>IF(OR($B$586="",Q591=""),"",Q590-Q591)</f>
        <v/>
      </c>
      <c r="R592" s="33">
        <f>IF(OR($B$586="",R591=""),"",R590-R591)</f>
        <v/>
      </c>
      <c r="S592" s="33">
        <f>IF(OR($B$586="",S591=""),"",S590-S591)</f>
        <v/>
      </c>
      <c r="T592" s="33">
        <f>IF(OR($B$586="",T591=""),"",T590-T591)</f>
        <v/>
      </c>
      <c r="U592" s="33">
        <f>IF(OR($B$586="",U591=""),"",U590-U591)</f>
        <v/>
      </c>
      <c r="V592" s="33">
        <f>IF(OR($B$586="",V591=""),"",V590-V591)</f>
        <v/>
      </c>
      <c r="X592" s="22">
        <f>IF($B592="","",IFERROR(INDEX(Cost_Centers!$E:$E,MATCH($B592,Cost_Centers!$A:$A,0)),"(unknown)"))</f>
        <v/>
      </c>
      <c r="Y592" s="22">
        <f>IF($B592="","",IFERROR(INDEX(Cost_Centers!$D:$D,MATCH($B592,Cost_Centers!$A:$A,0)),"(unknown)"))</f>
        <v/>
      </c>
      <c r="Z592" s="22">
        <f>IF(OR($B592="",$G592&lt;&gt;"Variance vs Budget"),"",ABS(N($V592))+ROW()/1000000000)</f>
        <v/>
      </c>
    </row>
    <row r="593" ht="45" customHeight="1">
      <c r="A593" s="13">
        <f>IF(A$586="","",A$586)</f>
        <v/>
      </c>
      <c r="B593" s="13">
        <f>IF(B$586="","",B$586)</f>
        <v/>
      </c>
      <c r="C593" s="13">
        <f>IF(C$586="","",C$586)</f>
        <v/>
      </c>
      <c r="D593" s="13">
        <f>IF(D$586="","",D$586)</f>
        <v/>
      </c>
      <c r="E593" s="13">
        <f>IF(E$586="","",E$586)</f>
        <v/>
      </c>
      <c r="F593" s="13">
        <f>IF(F$586="","",F$586)</f>
        <v/>
      </c>
      <c r="G593" s="7" t="inlineStr">
        <is>
          <t>Rationale</t>
        </is>
      </c>
      <c r="H593" s="38" t="n"/>
      <c r="I593" s="38" t="n"/>
      <c r="J593" s="38" t="n"/>
      <c r="K593" s="38" t="n"/>
      <c r="L593" s="38" t="n"/>
      <c r="M593" s="38" t="n"/>
      <c r="N593" s="38" t="n"/>
      <c r="O593" s="38" t="n"/>
      <c r="P593" s="38" t="n"/>
      <c r="Q593" s="38" t="n"/>
      <c r="R593" s="38" t="n"/>
      <c r="S593" s="38" t="n"/>
      <c r="T593" s="38" t="n"/>
      <c r="U593" s="38" t="n"/>
      <c r="V593" s="7" t="n"/>
      <c r="X593" s="22">
        <f>IF($B593="","",IFERROR(INDEX(Cost_Centers!$E:$E,MATCH($B593,Cost_Centers!$A:$A,0)),"(unknown)"))</f>
        <v/>
      </c>
      <c r="Y593" s="22">
        <f>IF($B593="","",IFERROR(INDEX(Cost_Centers!$D:$D,MATCH($B593,Cost_Centers!$A:$A,0)),"(unknown)"))</f>
        <v/>
      </c>
      <c r="Z593" s="22">
        <f>IF(OR($B593="",$G593&lt;&gt;"Variance vs Budget"),"",ABS(N($V593))+ROW()/1000000000)</f>
        <v/>
      </c>
    </row>
    <row r="594">
      <c r="A594" s="30">
        <f>IF($D$594="","",LEFT($D$594,FIND("|",$D$594&amp;"|")-1))</f>
        <v/>
      </c>
      <c r="B594" s="31" t="n"/>
      <c r="C594" s="30">
        <f>IF($B$594="","",IFERROR(INDEX(Cost_Centers!$B:$B,MATCH($B$594,Cost_Centers!$A:$A,0)),"(not in master)"))</f>
        <v/>
      </c>
      <c r="D594" s="31" t="n"/>
      <c r="E594" s="30">
        <f>IF($D$594="","",IFERROR(INDEX(Accounts!$D:$D,MATCH($D$594,Accounts!$A:$A,0)),"(not in master)"))</f>
        <v/>
      </c>
      <c r="F594" s="31" t="n"/>
      <c r="G594" s="30" t="inlineStr">
        <is>
          <t>Budget</t>
        </is>
      </c>
      <c r="H594" s="32">
        <f>IF($B$594="","",SUMIFS(Opex_Budget!$O:$O,Opex_Budget!$A:$A,$C$3,Opex_Budget!$E:$E,$B$594,Opex_Budget!$F:$F,$D$594,Opex_Budget!$N:$N,"JPY")*$E$5+SUMIFS(Opex_Budget!$O:$O,Opex_Budget!$A:$A,$C$3,Opex_Budget!$E:$E,$B$594,Opex_Budget!$F:$F,$D$594,Opex_Budget!$N:$N,"USD")*$F$5+SUMIFS(Opex_Budget!$O:$O,Opex_Budget!$A:$A,$C$3,Opex_Budget!$E:$E,$B$594,Opex_Budget!$F:$F,$D$594,Opex_Budget!$N:$N,"EUR")*$G$5+SUMIFS(Opex_Budget!$O:$O,Opex_Budget!$A:$A,$C$3,Opex_Budget!$E:$E,$B$594,Opex_Budget!$F:$F,$D$594,Opex_Budget!$N:$N,"GBP")*$H$5)</f>
        <v/>
      </c>
      <c r="I594" s="32">
        <f>IF($B$594="","",SUMIFS(Opex_Budget!$P:$P,Opex_Budget!$A:$A,$C$3,Opex_Budget!$E:$E,$B$594,Opex_Budget!$F:$F,$D$594,Opex_Budget!$N:$N,"JPY")*$E$5+SUMIFS(Opex_Budget!$P:$P,Opex_Budget!$A:$A,$C$3,Opex_Budget!$E:$E,$B$594,Opex_Budget!$F:$F,$D$594,Opex_Budget!$N:$N,"USD")*$F$5+SUMIFS(Opex_Budget!$P:$P,Opex_Budget!$A:$A,$C$3,Opex_Budget!$E:$E,$B$594,Opex_Budget!$F:$F,$D$594,Opex_Budget!$N:$N,"EUR")*$G$5+SUMIFS(Opex_Budget!$P:$P,Opex_Budget!$A:$A,$C$3,Opex_Budget!$E:$E,$B$594,Opex_Budget!$F:$F,$D$594,Opex_Budget!$N:$N,"GBP")*$H$5)</f>
        <v/>
      </c>
      <c r="J594" s="32">
        <f>IF($B$594="","",SUMIFS(Opex_Budget!$Q:$Q,Opex_Budget!$A:$A,$C$3,Opex_Budget!$E:$E,$B$594,Opex_Budget!$F:$F,$D$594,Opex_Budget!$N:$N,"JPY")*$E$5+SUMIFS(Opex_Budget!$Q:$Q,Opex_Budget!$A:$A,$C$3,Opex_Budget!$E:$E,$B$594,Opex_Budget!$F:$F,$D$594,Opex_Budget!$N:$N,"USD")*$F$5+SUMIFS(Opex_Budget!$Q:$Q,Opex_Budget!$A:$A,$C$3,Opex_Budget!$E:$E,$B$594,Opex_Budget!$F:$F,$D$594,Opex_Budget!$N:$N,"EUR")*$G$5+SUMIFS(Opex_Budget!$Q:$Q,Opex_Budget!$A:$A,$C$3,Opex_Budget!$E:$E,$B$594,Opex_Budget!$F:$F,$D$594,Opex_Budget!$N:$N,"GBP")*$H$5)</f>
        <v/>
      </c>
      <c r="K594" s="32">
        <f>IF($B$594="","",SUMIFS(Opex_Budget!$R:$R,Opex_Budget!$A:$A,$C$3,Opex_Budget!$E:$E,$B$594,Opex_Budget!$F:$F,$D$594,Opex_Budget!$N:$N,"JPY")*$E$5+SUMIFS(Opex_Budget!$R:$R,Opex_Budget!$A:$A,$C$3,Opex_Budget!$E:$E,$B$594,Opex_Budget!$F:$F,$D$594,Opex_Budget!$N:$N,"USD")*$F$5+SUMIFS(Opex_Budget!$R:$R,Opex_Budget!$A:$A,$C$3,Opex_Budget!$E:$E,$B$594,Opex_Budget!$F:$F,$D$594,Opex_Budget!$N:$N,"EUR")*$G$5+SUMIFS(Opex_Budget!$R:$R,Opex_Budget!$A:$A,$C$3,Opex_Budget!$E:$E,$B$594,Opex_Budget!$F:$F,$D$594,Opex_Budget!$N:$N,"GBP")*$H$5)</f>
        <v/>
      </c>
      <c r="L594" s="32">
        <f>IF($B$594="","",SUMIFS(Opex_Budget!$S:$S,Opex_Budget!$A:$A,$C$3,Opex_Budget!$E:$E,$B$594,Opex_Budget!$F:$F,$D$594,Opex_Budget!$N:$N,"JPY")*$E$5+SUMIFS(Opex_Budget!$S:$S,Opex_Budget!$A:$A,$C$3,Opex_Budget!$E:$E,$B$594,Opex_Budget!$F:$F,$D$594,Opex_Budget!$N:$N,"USD")*$F$5+SUMIFS(Opex_Budget!$S:$S,Opex_Budget!$A:$A,$C$3,Opex_Budget!$E:$E,$B$594,Opex_Budget!$F:$F,$D$594,Opex_Budget!$N:$N,"EUR")*$G$5+SUMIFS(Opex_Budget!$S:$S,Opex_Budget!$A:$A,$C$3,Opex_Budget!$E:$E,$B$594,Opex_Budget!$F:$F,$D$594,Opex_Budget!$N:$N,"GBP")*$H$5)</f>
        <v/>
      </c>
      <c r="M594" s="32">
        <f>IF($B$594="","",SUMIFS(Opex_Budget!$T:$T,Opex_Budget!$A:$A,$C$3,Opex_Budget!$E:$E,$B$594,Opex_Budget!$F:$F,$D$594,Opex_Budget!$N:$N,"JPY")*$E$5+SUMIFS(Opex_Budget!$T:$T,Opex_Budget!$A:$A,$C$3,Opex_Budget!$E:$E,$B$594,Opex_Budget!$F:$F,$D$594,Opex_Budget!$N:$N,"USD")*$F$5+SUMIFS(Opex_Budget!$T:$T,Opex_Budget!$A:$A,$C$3,Opex_Budget!$E:$E,$B$594,Opex_Budget!$F:$F,$D$594,Opex_Budget!$N:$N,"EUR")*$G$5+SUMIFS(Opex_Budget!$T:$T,Opex_Budget!$A:$A,$C$3,Opex_Budget!$E:$E,$B$594,Opex_Budget!$F:$F,$D$594,Opex_Budget!$N:$N,"GBP")*$H$5)</f>
        <v/>
      </c>
      <c r="N594" s="32">
        <f>IF($B$594="","",SUMIFS(Opex_Budget!$U:$U,Opex_Budget!$A:$A,$C$3,Opex_Budget!$E:$E,$B$594,Opex_Budget!$F:$F,$D$594,Opex_Budget!$N:$N,"JPY")*$E$5+SUMIFS(Opex_Budget!$U:$U,Opex_Budget!$A:$A,$C$3,Opex_Budget!$E:$E,$B$594,Opex_Budget!$F:$F,$D$594,Opex_Budget!$N:$N,"USD")*$F$5+SUMIFS(Opex_Budget!$U:$U,Opex_Budget!$A:$A,$C$3,Opex_Budget!$E:$E,$B$594,Opex_Budget!$F:$F,$D$594,Opex_Budget!$N:$N,"EUR")*$G$5+SUMIFS(Opex_Budget!$U:$U,Opex_Budget!$A:$A,$C$3,Opex_Budget!$E:$E,$B$594,Opex_Budget!$F:$F,$D$594,Opex_Budget!$N:$N,"GBP")*$H$5)</f>
        <v/>
      </c>
      <c r="O594" s="32">
        <f>IF($B$594="","",SUMIFS(Opex_Budget!$V:$V,Opex_Budget!$A:$A,$C$3,Opex_Budget!$E:$E,$B$594,Opex_Budget!$F:$F,$D$594,Opex_Budget!$N:$N,"JPY")*$E$5+SUMIFS(Opex_Budget!$V:$V,Opex_Budget!$A:$A,$C$3,Opex_Budget!$E:$E,$B$594,Opex_Budget!$F:$F,$D$594,Opex_Budget!$N:$N,"USD")*$F$5+SUMIFS(Opex_Budget!$V:$V,Opex_Budget!$A:$A,$C$3,Opex_Budget!$E:$E,$B$594,Opex_Budget!$F:$F,$D$594,Opex_Budget!$N:$N,"EUR")*$G$5+SUMIFS(Opex_Budget!$V:$V,Opex_Budget!$A:$A,$C$3,Opex_Budget!$E:$E,$B$594,Opex_Budget!$F:$F,$D$594,Opex_Budget!$N:$N,"GBP")*$H$5)</f>
        <v/>
      </c>
      <c r="P594" s="32">
        <f>IF($B$594="","",SUMIFS(Opex_Budget!$W:$W,Opex_Budget!$A:$A,$C$3,Opex_Budget!$E:$E,$B$594,Opex_Budget!$F:$F,$D$594,Opex_Budget!$N:$N,"JPY")*$E$5+SUMIFS(Opex_Budget!$W:$W,Opex_Budget!$A:$A,$C$3,Opex_Budget!$E:$E,$B$594,Opex_Budget!$F:$F,$D$594,Opex_Budget!$N:$N,"USD")*$F$5+SUMIFS(Opex_Budget!$W:$W,Opex_Budget!$A:$A,$C$3,Opex_Budget!$E:$E,$B$594,Opex_Budget!$F:$F,$D$594,Opex_Budget!$N:$N,"EUR")*$G$5+SUMIFS(Opex_Budget!$W:$W,Opex_Budget!$A:$A,$C$3,Opex_Budget!$E:$E,$B$594,Opex_Budget!$F:$F,$D$594,Opex_Budget!$N:$N,"GBP")*$H$5)</f>
        <v/>
      </c>
      <c r="Q594" s="32">
        <f>IF($B$594="","",SUMIFS(Opex_Budget!$X:$X,Opex_Budget!$A:$A,$C$3,Opex_Budget!$E:$E,$B$594,Opex_Budget!$F:$F,$D$594,Opex_Budget!$N:$N,"JPY")*$E$5+SUMIFS(Opex_Budget!$X:$X,Opex_Budget!$A:$A,$C$3,Opex_Budget!$E:$E,$B$594,Opex_Budget!$F:$F,$D$594,Opex_Budget!$N:$N,"USD")*$F$5+SUMIFS(Opex_Budget!$X:$X,Opex_Budget!$A:$A,$C$3,Opex_Budget!$E:$E,$B$594,Opex_Budget!$F:$F,$D$594,Opex_Budget!$N:$N,"EUR")*$G$5+SUMIFS(Opex_Budget!$X:$X,Opex_Budget!$A:$A,$C$3,Opex_Budget!$E:$E,$B$594,Opex_Budget!$F:$F,$D$594,Opex_Budget!$N:$N,"GBP")*$H$5)</f>
        <v/>
      </c>
      <c r="R594" s="32">
        <f>IF($B$594="","",SUMIFS(Opex_Budget!$Y:$Y,Opex_Budget!$A:$A,$C$3,Opex_Budget!$E:$E,$B$594,Opex_Budget!$F:$F,$D$594,Opex_Budget!$N:$N,"JPY")*$E$5+SUMIFS(Opex_Budget!$Y:$Y,Opex_Budget!$A:$A,$C$3,Opex_Budget!$E:$E,$B$594,Opex_Budget!$F:$F,$D$594,Opex_Budget!$N:$N,"USD")*$F$5+SUMIFS(Opex_Budget!$Y:$Y,Opex_Budget!$A:$A,$C$3,Opex_Budget!$E:$E,$B$594,Opex_Budget!$F:$F,$D$594,Opex_Budget!$N:$N,"EUR")*$G$5+SUMIFS(Opex_Budget!$Y:$Y,Opex_Budget!$A:$A,$C$3,Opex_Budget!$E:$E,$B$594,Opex_Budget!$F:$F,$D$594,Opex_Budget!$N:$N,"GBP")*$H$5)</f>
        <v/>
      </c>
      <c r="S594" s="32">
        <f>IF($B$594="","",SUMIFS(Opex_Budget!$Z:$Z,Opex_Budget!$A:$A,$C$3,Opex_Budget!$E:$E,$B$594,Opex_Budget!$F:$F,$D$594,Opex_Budget!$N:$N,"JPY")*$E$5+SUMIFS(Opex_Budget!$Z:$Z,Opex_Budget!$A:$A,$C$3,Opex_Budget!$E:$E,$B$594,Opex_Budget!$F:$F,$D$594,Opex_Budget!$N:$N,"USD")*$F$5+SUMIFS(Opex_Budget!$Z:$Z,Opex_Budget!$A:$A,$C$3,Opex_Budget!$E:$E,$B$594,Opex_Budget!$F:$F,$D$594,Opex_Budget!$N:$N,"EUR")*$G$5+SUMIFS(Opex_Budget!$Z:$Z,Opex_Budget!$A:$A,$C$3,Opex_Budget!$E:$E,$B$594,Opex_Budget!$F:$F,$D$594,Opex_Budget!$N:$N,"GBP")*$H$5)</f>
        <v/>
      </c>
      <c r="T594" s="32">
        <f>IF($B$594="","",SUMIF($H$7:$S$7,"&lt;="&amp;$C$4,$H594:$S594))</f>
        <v/>
      </c>
      <c r="U594" s="32">
        <f>IF($B$594="","",SUMIF($H$7:$S$7,"&gt;"&amp;$C$4,$H594:$S594))</f>
        <v/>
      </c>
      <c r="V594" s="32">
        <f>IF($B$594="","",SUM($H594:$S594))</f>
        <v/>
      </c>
      <c r="X594" s="22">
        <f>IF($B594="","",IFERROR(INDEX(Cost_Centers!$E:$E,MATCH($B594,Cost_Centers!$A:$A,0)),"(unknown)"))</f>
        <v/>
      </c>
      <c r="Y594" s="22">
        <f>IF($B594="","",IFERROR(INDEX(Cost_Centers!$D:$D,MATCH($B594,Cost_Centers!$A:$A,0)),"(unknown)"))</f>
        <v/>
      </c>
      <c r="Z594" s="22">
        <f>IF(OR($B594="",$G594&lt;&gt;"Variance vs Budget"),"",ABS(N($V594))+ROW()/1000000000)</f>
        <v/>
      </c>
    </row>
    <row r="595">
      <c r="A595" s="13">
        <f>IF(A$594="","",A$594)</f>
        <v/>
      </c>
      <c r="B595" s="13">
        <f>IF(B$594="","",B$594)</f>
        <v/>
      </c>
      <c r="C595" s="13">
        <f>IF(C$594="","",C$594)</f>
        <v/>
      </c>
      <c r="D595" s="13">
        <f>IF(D$594="","",D$594)</f>
        <v/>
      </c>
      <c r="E595" s="13">
        <f>IF(E$594="","",E$594)</f>
        <v/>
      </c>
      <c r="F595" s="13">
        <f>IF(F$594="","",F$594)</f>
        <v/>
      </c>
      <c r="G595" s="7" t="inlineStr">
        <is>
          <t>Actual</t>
        </is>
      </c>
      <c r="H595" s="18">
        <f>IF(OR($B$594="",1&gt;$C$4),"",SUMIFS(Actuals!$G:$G,Actuals!$B:$B,$C$3,Actuals!$C:$C,1,Actuals!$D:$D,$B$594,Actuals!$A:$A,LEFT($D$594,FIND("|",$D$594&amp;"|")-1),Actuals!$E:$E,MID($D$594,FIND("|",$D$594&amp;"|")+1,50),Actuals!$F:$F,"JPY")*$E$5+SUMIFS(Actuals!$G:$G,Actuals!$B:$B,$C$3,Actuals!$C:$C,1,Actuals!$D:$D,$B$594,Actuals!$A:$A,LEFT($D$594,FIND("|",$D$594&amp;"|")-1),Actuals!$E:$E,MID($D$594,FIND("|",$D$594&amp;"|")+1,50),Actuals!$F:$F,"USD")*$F$5+SUMIFS(Actuals!$G:$G,Actuals!$B:$B,$C$3,Actuals!$C:$C,1,Actuals!$D:$D,$B$594,Actuals!$A:$A,LEFT($D$594,FIND("|",$D$594&amp;"|")-1),Actuals!$E:$E,MID($D$594,FIND("|",$D$594&amp;"|")+1,50),Actuals!$F:$F,"EUR")*$G$5+SUMIFS(Actuals!$G:$G,Actuals!$B:$B,$C$3,Actuals!$C:$C,1,Actuals!$D:$D,$B$594,Actuals!$A:$A,LEFT($D$594,FIND("|",$D$594&amp;"|")-1),Actuals!$E:$E,MID($D$594,FIND("|",$D$594&amp;"|")+1,50),Actuals!$F:$F,"GBP")*$H$5)</f>
        <v/>
      </c>
      <c r="I595" s="18">
        <f>IF(OR($B$594="",2&gt;$C$4),"",SUMIFS(Actuals!$G:$G,Actuals!$B:$B,$C$3,Actuals!$C:$C,2,Actuals!$D:$D,$B$594,Actuals!$A:$A,LEFT($D$594,FIND("|",$D$594&amp;"|")-1),Actuals!$E:$E,MID($D$594,FIND("|",$D$594&amp;"|")+1,50),Actuals!$F:$F,"JPY")*$E$5+SUMIFS(Actuals!$G:$G,Actuals!$B:$B,$C$3,Actuals!$C:$C,2,Actuals!$D:$D,$B$594,Actuals!$A:$A,LEFT($D$594,FIND("|",$D$594&amp;"|")-1),Actuals!$E:$E,MID($D$594,FIND("|",$D$594&amp;"|")+1,50),Actuals!$F:$F,"USD")*$F$5+SUMIFS(Actuals!$G:$G,Actuals!$B:$B,$C$3,Actuals!$C:$C,2,Actuals!$D:$D,$B$594,Actuals!$A:$A,LEFT($D$594,FIND("|",$D$594&amp;"|")-1),Actuals!$E:$E,MID($D$594,FIND("|",$D$594&amp;"|")+1,50),Actuals!$F:$F,"EUR")*$G$5+SUMIFS(Actuals!$G:$G,Actuals!$B:$B,$C$3,Actuals!$C:$C,2,Actuals!$D:$D,$B$594,Actuals!$A:$A,LEFT($D$594,FIND("|",$D$594&amp;"|")-1),Actuals!$E:$E,MID($D$594,FIND("|",$D$594&amp;"|")+1,50),Actuals!$F:$F,"GBP")*$H$5)</f>
        <v/>
      </c>
      <c r="J595" s="18">
        <f>IF(OR($B$594="",3&gt;$C$4),"",SUMIFS(Actuals!$G:$G,Actuals!$B:$B,$C$3,Actuals!$C:$C,3,Actuals!$D:$D,$B$594,Actuals!$A:$A,LEFT($D$594,FIND("|",$D$594&amp;"|")-1),Actuals!$E:$E,MID($D$594,FIND("|",$D$594&amp;"|")+1,50),Actuals!$F:$F,"JPY")*$E$5+SUMIFS(Actuals!$G:$G,Actuals!$B:$B,$C$3,Actuals!$C:$C,3,Actuals!$D:$D,$B$594,Actuals!$A:$A,LEFT($D$594,FIND("|",$D$594&amp;"|")-1),Actuals!$E:$E,MID($D$594,FIND("|",$D$594&amp;"|")+1,50),Actuals!$F:$F,"USD")*$F$5+SUMIFS(Actuals!$G:$G,Actuals!$B:$B,$C$3,Actuals!$C:$C,3,Actuals!$D:$D,$B$594,Actuals!$A:$A,LEFT($D$594,FIND("|",$D$594&amp;"|")-1),Actuals!$E:$E,MID($D$594,FIND("|",$D$594&amp;"|")+1,50),Actuals!$F:$F,"EUR")*$G$5+SUMIFS(Actuals!$G:$G,Actuals!$B:$B,$C$3,Actuals!$C:$C,3,Actuals!$D:$D,$B$594,Actuals!$A:$A,LEFT($D$594,FIND("|",$D$594&amp;"|")-1),Actuals!$E:$E,MID($D$594,FIND("|",$D$594&amp;"|")+1,50),Actuals!$F:$F,"GBP")*$H$5)</f>
        <v/>
      </c>
      <c r="K595" s="18">
        <f>IF(OR($B$594="",4&gt;$C$4),"",SUMIFS(Actuals!$G:$G,Actuals!$B:$B,$C$3,Actuals!$C:$C,4,Actuals!$D:$D,$B$594,Actuals!$A:$A,LEFT($D$594,FIND("|",$D$594&amp;"|")-1),Actuals!$E:$E,MID($D$594,FIND("|",$D$594&amp;"|")+1,50),Actuals!$F:$F,"JPY")*$E$5+SUMIFS(Actuals!$G:$G,Actuals!$B:$B,$C$3,Actuals!$C:$C,4,Actuals!$D:$D,$B$594,Actuals!$A:$A,LEFT($D$594,FIND("|",$D$594&amp;"|")-1),Actuals!$E:$E,MID($D$594,FIND("|",$D$594&amp;"|")+1,50),Actuals!$F:$F,"USD")*$F$5+SUMIFS(Actuals!$G:$G,Actuals!$B:$B,$C$3,Actuals!$C:$C,4,Actuals!$D:$D,$B$594,Actuals!$A:$A,LEFT($D$594,FIND("|",$D$594&amp;"|")-1),Actuals!$E:$E,MID($D$594,FIND("|",$D$594&amp;"|")+1,50),Actuals!$F:$F,"EUR")*$G$5+SUMIFS(Actuals!$G:$G,Actuals!$B:$B,$C$3,Actuals!$C:$C,4,Actuals!$D:$D,$B$594,Actuals!$A:$A,LEFT($D$594,FIND("|",$D$594&amp;"|")-1),Actuals!$E:$E,MID($D$594,FIND("|",$D$594&amp;"|")+1,50),Actuals!$F:$F,"GBP")*$H$5)</f>
        <v/>
      </c>
      <c r="L595" s="18">
        <f>IF(OR($B$594="",5&gt;$C$4),"",SUMIFS(Actuals!$G:$G,Actuals!$B:$B,$C$3,Actuals!$C:$C,5,Actuals!$D:$D,$B$594,Actuals!$A:$A,LEFT($D$594,FIND("|",$D$594&amp;"|")-1),Actuals!$E:$E,MID($D$594,FIND("|",$D$594&amp;"|")+1,50),Actuals!$F:$F,"JPY")*$E$5+SUMIFS(Actuals!$G:$G,Actuals!$B:$B,$C$3,Actuals!$C:$C,5,Actuals!$D:$D,$B$594,Actuals!$A:$A,LEFT($D$594,FIND("|",$D$594&amp;"|")-1),Actuals!$E:$E,MID($D$594,FIND("|",$D$594&amp;"|")+1,50),Actuals!$F:$F,"USD")*$F$5+SUMIFS(Actuals!$G:$G,Actuals!$B:$B,$C$3,Actuals!$C:$C,5,Actuals!$D:$D,$B$594,Actuals!$A:$A,LEFT($D$594,FIND("|",$D$594&amp;"|")-1),Actuals!$E:$E,MID($D$594,FIND("|",$D$594&amp;"|")+1,50),Actuals!$F:$F,"EUR")*$G$5+SUMIFS(Actuals!$G:$G,Actuals!$B:$B,$C$3,Actuals!$C:$C,5,Actuals!$D:$D,$B$594,Actuals!$A:$A,LEFT($D$594,FIND("|",$D$594&amp;"|")-1),Actuals!$E:$E,MID($D$594,FIND("|",$D$594&amp;"|")+1,50),Actuals!$F:$F,"GBP")*$H$5)</f>
        <v/>
      </c>
      <c r="M595" s="18">
        <f>IF(OR($B$594="",6&gt;$C$4),"",SUMIFS(Actuals!$G:$G,Actuals!$B:$B,$C$3,Actuals!$C:$C,6,Actuals!$D:$D,$B$594,Actuals!$A:$A,LEFT($D$594,FIND("|",$D$594&amp;"|")-1),Actuals!$E:$E,MID($D$594,FIND("|",$D$594&amp;"|")+1,50),Actuals!$F:$F,"JPY")*$E$5+SUMIFS(Actuals!$G:$G,Actuals!$B:$B,$C$3,Actuals!$C:$C,6,Actuals!$D:$D,$B$594,Actuals!$A:$A,LEFT($D$594,FIND("|",$D$594&amp;"|")-1),Actuals!$E:$E,MID($D$594,FIND("|",$D$594&amp;"|")+1,50),Actuals!$F:$F,"USD")*$F$5+SUMIFS(Actuals!$G:$G,Actuals!$B:$B,$C$3,Actuals!$C:$C,6,Actuals!$D:$D,$B$594,Actuals!$A:$A,LEFT($D$594,FIND("|",$D$594&amp;"|")-1),Actuals!$E:$E,MID($D$594,FIND("|",$D$594&amp;"|")+1,50),Actuals!$F:$F,"EUR")*$G$5+SUMIFS(Actuals!$G:$G,Actuals!$B:$B,$C$3,Actuals!$C:$C,6,Actuals!$D:$D,$B$594,Actuals!$A:$A,LEFT($D$594,FIND("|",$D$594&amp;"|")-1),Actuals!$E:$E,MID($D$594,FIND("|",$D$594&amp;"|")+1,50),Actuals!$F:$F,"GBP")*$H$5)</f>
        <v/>
      </c>
      <c r="N595" s="18">
        <f>IF(OR($B$594="",7&gt;$C$4),"",SUMIFS(Actuals!$G:$G,Actuals!$B:$B,$C$3,Actuals!$C:$C,7,Actuals!$D:$D,$B$594,Actuals!$A:$A,LEFT($D$594,FIND("|",$D$594&amp;"|")-1),Actuals!$E:$E,MID($D$594,FIND("|",$D$594&amp;"|")+1,50),Actuals!$F:$F,"JPY")*$E$5+SUMIFS(Actuals!$G:$G,Actuals!$B:$B,$C$3,Actuals!$C:$C,7,Actuals!$D:$D,$B$594,Actuals!$A:$A,LEFT($D$594,FIND("|",$D$594&amp;"|")-1),Actuals!$E:$E,MID($D$594,FIND("|",$D$594&amp;"|")+1,50),Actuals!$F:$F,"USD")*$F$5+SUMIFS(Actuals!$G:$G,Actuals!$B:$B,$C$3,Actuals!$C:$C,7,Actuals!$D:$D,$B$594,Actuals!$A:$A,LEFT($D$594,FIND("|",$D$594&amp;"|")-1),Actuals!$E:$E,MID($D$594,FIND("|",$D$594&amp;"|")+1,50),Actuals!$F:$F,"EUR")*$G$5+SUMIFS(Actuals!$G:$G,Actuals!$B:$B,$C$3,Actuals!$C:$C,7,Actuals!$D:$D,$B$594,Actuals!$A:$A,LEFT($D$594,FIND("|",$D$594&amp;"|")-1),Actuals!$E:$E,MID($D$594,FIND("|",$D$594&amp;"|")+1,50),Actuals!$F:$F,"GBP")*$H$5)</f>
        <v/>
      </c>
      <c r="O595" s="18">
        <f>IF(OR($B$594="",8&gt;$C$4),"",SUMIFS(Actuals!$G:$G,Actuals!$B:$B,$C$3,Actuals!$C:$C,8,Actuals!$D:$D,$B$594,Actuals!$A:$A,LEFT($D$594,FIND("|",$D$594&amp;"|")-1),Actuals!$E:$E,MID($D$594,FIND("|",$D$594&amp;"|")+1,50),Actuals!$F:$F,"JPY")*$E$5+SUMIFS(Actuals!$G:$G,Actuals!$B:$B,$C$3,Actuals!$C:$C,8,Actuals!$D:$D,$B$594,Actuals!$A:$A,LEFT($D$594,FIND("|",$D$594&amp;"|")-1),Actuals!$E:$E,MID($D$594,FIND("|",$D$594&amp;"|")+1,50),Actuals!$F:$F,"USD")*$F$5+SUMIFS(Actuals!$G:$G,Actuals!$B:$B,$C$3,Actuals!$C:$C,8,Actuals!$D:$D,$B$594,Actuals!$A:$A,LEFT($D$594,FIND("|",$D$594&amp;"|")-1),Actuals!$E:$E,MID($D$594,FIND("|",$D$594&amp;"|")+1,50),Actuals!$F:$F,"EUR")*$G$5+SUMIFS(Actuals!$G:$G,Actuals!$B:$B,$C$3,Actuals!$C:$C,8,Actuals!$D:$D,$B$594,Actuals!$A:$A,LEFT($D$594,FIND("|",$D$594&amp;"|")-1),Actuals!$E:$E,MID($D$594,FIND("|",$D$594&amp;"|")+1,50),Actuals!$F:$F,"GBP")*$H$5)</f>
        <v/>
      </c>
      <c r="P595" s="18">
        <f>IF(OR($B$594="",9&gt;$C$4),"",SUMIFS(Actuals!$G:$G,Actuals!$B:$B,$C$3,Actuals!$C:$C,9,Actuals!$D:$D,$B$594,Actuals!$A:$A,LEFT($D$594,FIND("|",$D$594&amp;"|")-1),Actuals!$E:$E,MID($D$594,FIND("|",$D$594&amp;"|")+1,50),Actuals!$F:$F,"JPY")*$E$5+SUMIFS(Actuals!$G:$G,Actuals!$B:$B,$C$3,Actuals!$C:$C,9,Actuals!$D:$D,$B$594,Actuals!$A:$A,LEFT($D$594,FIND("|",$D$594&amp;"|")-1),Actuals!$E:$E,MID($D$594,FIND("|",$D$594&amp;"|")+1,50),Actuals!$F:$F,"USD")*$F$5+SUMIFS(Actuals!$G:$G,Actuals!$B:$B,$C$3,Actuals!$C:$C,9,Actuals!$D:$D,$B$594,Actuals!$A:$A,LEFT($D$594,FIND("|",$D$594&amp;"|")-1),Actuals!$E:$E,MID($D$594,FIND("|",$D$594&amp;"|")+1,50),Actuals!$F:$F,"EUR")*$G$5+SUMIFS(Actuals!$G:$G,Actuals!$B:$B,$C$3,Actuals!$C:$C,9,Actuals!$D:$D,$B$594,Actuals!$A:$A,LEFT($D$594,FIND("|",$D$594&amp;"|")-1),Actuals!$E:$E,MID($D$594,FIND("|",$D$594&amp;"|")+1,50),Actuals!$F:$F,"GBP")*$H$5)</f>
        <v/>
      </c>
      <c r="Q595" s="18">
        <f>IF(OR($B$594="",10&gt;$C$4),"",SUMIFS(Actuals!$G:$G,Actuals!$B:$B,$C$3,Actuals!$C:$C,10,Actuals!$D:$D,$B$594,Actuals!$A:$A,LEFT($D$594,FIND("|",$D$594&amp;"|")-1),Actuals!$E:$E,MID($D$594,FIND("|",$D$594&amp;"|")+1,50),Actuals!$F:$F,"JPY")*$E$5+SUMIFS(Actuals!$G:$G,Actuals!$B:$B,$C$3,Actuals!$C:$C,10,Actuals!$D:$D,$B$594,Actuals!$A:$A,LEFT($D$594,FIND("|",$D$594&amp;"|")-1),Actuals!$E:$E,MID($D$594,FIND("|",$D$594&amp;"|")+1,50),Actuals!$F:$F,"USD")*$F$5+SUMIFS(Actuals!$G:$G,Actuals!$B:$B,$C$3,Actuals!$C:$C,10,Actuals!$D:$D,$B$594,Actuals!$A:$A,LEFT($D$594,FIND("|",$D$594&amp;"|")-1),Actuals!$E:$E,MID($D$594,FIND("|",$D$594&amp;"|")+1,50),Actuals!$F:$F,"EUR")*$G$5+SUMIFS(Actuals!$G:$G,Actuals!$B:$B,$C$3,Actuals!$C:$C,10,Actuals!$D:$D,$B$594,Actuals!$A:$A,LEFT($D$594,FIND("|",$D$594&amp;"|")-1),Actuals!$E:$E,MID($D$594,FIND("|",$D$594&amp;"|")+1,50),Actuals!$F:$F,"GBP")*$H$5)</f>
        <v/>
      </c>
      <c r="R595" s="18">
        <f>IF(OR($B$594="",11&gt;$C$4),"",SUMIFS(Actuals!$G:$G,Actuals!$B:$B,$C$3,Actuals!$C:$C,11,Actuals!$D:$D,$B$594,Actuals!$A:$A,LEFT($D$594,FIND("|",$D$594&amp;"|")-1),Actuals!$E:$E,MID($D$594,FIND("|",$D$594&amp;"|")+1,50),Actuals!$F:$F,"JPY")*$E$5+SUMIFS(Actuals!$G:$G,Actuals!$B:$B,$C$3,Actuals!$C:$C,11,Actuals!$D:$D,$B$594,Actuals!$A:$A,LEFT($D$594,FIND("|",$D$594&amp;"|")-1),Actuals!$E:$E,MID($D$594,FIND("|",$D$594&amp;"|")+1,50),Actuals!$F:$F,"USD")*$F$5+SUMIFS(Actuals!$G:$G,Actuals!$B:$B,$C$3,Actuals!$C:$C,11,Actuals!$D:$D,$B$594,Actuals!$A:$A,LEFT($D$594,FIND("|",$D$594&amp;"|")-1),Actuals!$E:$E,MID($D$594,FIND("|",$D$594&amp;"|")+1,50),Actuals!$F:$F,"EUR")*$G$5+SUMIFS(Actuals!$G:$G,Actuals!$B:$B,$C$3,Actuals!$C:$C,11,Actuals!$D:$D,$B$594,Actuals!$A:$A,LEFT($D$594,FIND("|",$D$594&amp;"|")-1),Actuals!$E:$E,MID($D$594,FIND("|",$D$594&amp;"|")+1,50),Actuals!$F:$F,"GBP")*$H$5)</f>
        <v/>
      </c>
      <c r="S595" s="18">
        <f>IF(OR($B$594="",12&gt;$C$4),"",SUMIFS(Actuals!$G:$G,Actuals!$B:$B,$C$3,Actuals!$C:$C,12,Actuals!$D:$D,$B$594,Actuals!$A:$A,LEFT($D$594,FIND("|",$D$594&amp;"|")-1),Actuals!$E:$E,MID($D$594,FIND("|",$D$594&amp;"|")+1,50),Actuals!$F:$F,"JPY")*$E$5+SUMIFS(Actuals!$G:$G,Actuals!$B:$B,$C$3,Actuals!$C:$C,12,Actuals!$D:$D,$B$594,Actuals!$A:$A,LEFT($D$594,FIND("|",$D$594&amp;"|")-1),Actuals!$E:$E,MID($D$594,FIND("|",$D$594&amp;"|")+1,50),Actuals!$F:$F,"USD")*$F$5+SUMIFS(Actuals!$G:$G,Actuals!$B:$B,$C$3,Actuals!$C:$C,12,Actuals!$D:$D,$B$594,Actuals!$A:$A,LEFT($D$594,FIND("|",$D$594&amp;"|")-1),Actuals!$E:$E,MID($D$594,FIND("|",$D$594&amp;"|")+1,50),Actuals!$F:$F,"EUR")*$G$5+SUMIFS(Actuals!$G:$G,Actuals!$B:$B,$C$3,Actuals!$C:$C,12,Actuals!$D:$D,$B$594,Actuals!$A:$A,LEFT($D$594,FIND("|",$D$594&amp;"|")-1),Actuals!$E:$E,MID($D$594,FIND("|",$D$594&amp;"|")+1,50),Actuals!$F:$F,"GBP")*$H$5)</f>
        <v/>
      </c>
      <c r="T595" s="18">
        <f>IF($B$594="","",SUMIF($H$7:$S$7,"&lt;="&amp;$C$4,$H595:$S595))</f>
        <v/>
      </c>
      <c r="U595" s="18" t="n"/>
      <c r="V595" s="18" t="n"/>
      <c r="X595" s="22">
        <f>IF($B595="","",IFERROR(INDEX(Cost_Centers!$E:$E,MATCH($B595,Cost_Centers!$A:$A,0)),"(unknown)"))</f>
        <v/>
      </c>
      <c r="Y595" s="22">
        <f>IF($B595="","",IFERROR(INDEX(Cost_Centers!$D:$D,MATCH($B595,Cost_Centers!$A:$A,0)),"(unknown)"))</f>
        <v/>
      </c>
      <c r="Z595" s="22">
        <f>IF(OR($B595="",$G595&lt;&gt;"Variance vs Budget"),"",ABS(N($V595))+ROW()/1000000000)</f>
        <v/>
      </c>
    </row>
    <row r="596">
      <c r="A596" s="13">
        <f>IF(A$594="","",A$594)</f>
        <v/>
      </c>
      <c r="B596" s="13">
        <f>IF(B$594="","",B$594)</f>
        <v/>
      </c>
      <c r="C596" s="13">
        <f>IF(C$594="","",C$594)</f>
        <v/>
      </c>
      <c r="D596" s="13">
        <f>IF(D$594="","",D$594)</f>
        <v/>
      </c>
      <c r="E596" s="13">
        <f>IF(E$594="","",E$594)</f>
        <v/>
      </c>
      <c r="F596" s="13">
        <f>IF(F$594="","",F$594)</f>
        <v/>
      </c>
      <c r="G596" s="6" t="inlineStr">
        <is>
          <t>Variance vs Budget</t>
        </is>
      </c>
      <c r="H596" s="33">
        <f>IF(OR($B$594="",1&gt;$C$4),"",N(H595)-H594)</f>
        <v/>
      </c>
      <c r="I596" s="33">
        <f>IF(OR($B$594="",2&gt;$C$4),"",N(I595)-I594)</f>
        <v/>
      </c>
      <c r="J596" s="33">
        <f>IF(OR($B$594="",3&gt;$C$4),"",N(J595)-J594)</f>
        <v/>
      </c>
      <c r="K596" s="33">
        <f>IF(OR($B$594="",4&gt;$C$4),"",N(K595)-K594)</f>
        <v/>
      </c>
      <c r="L596" s="33">
        <f>IF(OR($B$594="",5&gt;$C$4),"",N(L595)-L594)</f>
        <v/>
      </c>
      <c r="M596" s="33">
        <f>IF(OR($B$594="",6&gt;$C$4),"",N(M595)-M594)</f>
        <v/>
      </c>
      <c r="N596" s="33">
        <f>IF(OR($B$594="",7&gt;$C$4),"",N(N595)-N594)</f>
        <v/>
      </c>
      <c r="O596" s="33">
        <f>IF(OR($B$594="",8&gt;$C$4),"",N(O595)-O594)</f>
        <v/>
      </c>
      <c r="P596" s="33">
        <f>IF(OR($B$594="",9&gt;$C$4),"",N(P595)-P594)</f>
        <v/>
      </c>
      <c r="Q596" s="33">
        <f>IF(OR($B$594="",10&gt;$C$4),"",N(Q595)-Q594)</f>
        <v/>
      </c>
      <c r="R596" s="33">
        <f>IF(OR($B$594="",11&gt;$C$4),"",N(R595)-R594)</f>
        <v/>
      </c>
      <c r="S596" s="33">
        <f>IF(OR($B$594="",12&gt;$C$4),"",N(S595)-S594)</f>
        <v/>
      </c>
      <c r="T596" s="33">
        <f>IF($B$594="","",T595-T594)</f>
        <v/>
      </c>
      <c r="U596" s="33">
        <f>IF($B$594="","",U598-U594)</f>
        <v/>
      </c>
      <c r="V596" s="33">
        <f>IF($B$594="","",V598-V594)</f>
        <v/>
      </c>
      <c r="X596" s="22">
        <f>IF($B596="","",IFERROR(INDEX(Cost_Centers!$E:$E,MATCH($B596,Cost_Centers!$A:$A,0)),"(unknown)"))</f>
        <v/>
      </c>
      <c r="Y596" s="22">
        <f>IF($B596="","",IFERROR(INDEX(Cost_Centers!$D:$D,MATCH($B596,Cost_Centers!$A:$A,0)),"(unknown)"))</f>
        <v/>
      </c>
      <c r="Z596" s="22">
        <f>IF(OR($B596="",$G596&lt;&gt;"Variance vs Budget"),"",ABS(N($V596))+ROW()/1000000000)</f>
        <v/>
      </c>
    </row>
    <row r="597">
      <c r="A597" s="13">
        <f>IF(A$594="","",A$594)</f>
        <v/>
      </c>
      <c r="B597" s="13">
        <f>IF(B$594="","",B$594)</f>
        <v/>
      </c>
      <c r="C597" s="13">
        <f>IF(C$594="","",C$594)</f>
        <v/>
      </c>
      <c r="D597" s="13">
        <f>IF(D$594="","",D$594)</f>
        <v/>
      </c>
      <c r="E597" s="13">
        <f>IF(E$594="","",E$594)</f>
        <v/>
      </c>
      <c r="F597" s="13">
        <f>IF(F$594="","",F$594)</f>
        <v/>
      </c>
      <c r="G597" s="7" t="inlineStr">
        <is>
          <t>Forecast (input)</t>
        </is>
      </c>
      <c r="H597" s="34" t="n"/>
      <c r="I597" s="34" t="n"/>
      <c r="J597" s="34" t="n"/>
      <c r="K597" s="34" t="n"/>
      <c r="L597" s="34" t="n"/>
      <c r="M597" s="34" t="n"/>
      <c r="N597" s="34" t="n"/>
      <c r="O597" s="34" t="n"/>
      <c r="P597" s="34" t="n"/>
      <c r="Q597" s="34" t="n"/>
      <c r="R597" s="34" t="n"/>
      <c r="S597" s="34" t="n"/>
      <c r="T597" s="18" t="n"/>
      <c r="U597" s="18" t="n"/>
      <c r="V597" s="18" t="n"/>
      <c r="X597" s="22">
        <f>IF($B597="","",IFERROR(INDEX(Cost_Centers!$E:$E,MATCH($B597,Cost_Centers!$A:$A,0)),"(unknown)"))</f>
        <v/>
      </c>
      <c r="Y597" s="22">
        <f>IF($B597="","",IFERROR(INDEX(Cost_Centers!$D:$D,MATCH($B597,Cost_Centers!$A:$A,0)),"(unknown)"))</f>
        <v/>
      </c>
      <c r="Z597" s="22">
        <f>IF(OR($B597="",$G597&lt;&gt;"Variance vs Budget"),"",ABS(N($V597))+ROW()/1000000000)</f>
        <v/>
      </c>
    </row>
    <row r="598">
      <c r="A598" s="13">
        <f>IF(A$594="","",A$594)</f>
        <v/>
      </c>
      <c r="B598" s="13">
        <f>IF(B$594="","",B$594)</f>
        <v/>
      </c>
      <c r="C598" s="13">
        <f>IF(C$594="","",C$594)</f>
        <v/>
      </c>
      <c r="D598" s="13">
        <f>IF(D$594="","",D$594)</f>
        <v/>
      </c>
      <c r="E598" s="13">
        <f>IF(E$594="","",E$594)</f>
        <v/>
      </c>
      <c r="F598" s="13">
        <f>IF(F$594="","",F$594)</f>
        <v/>
      </c>
      <c r="G598" s="35" t="inlineStr">
        <is>
          <t>Actual + Forecast</t>
        </is>
      </c>
      <c r="H598" s="18">
        <f>IF($B$594="","",IF(1&lt;=$C$4,N(H595),IF(H597="",H594,H597)))</f>
        <v/>
      </c>
      <c r="I598" s="18">
        <f>IF($B$594="","",IF(2&lt;=$C$4,N(I595),IF(I597="",I594,I597)))</f>
        <v/>
      </c>
      <c r="J598" s="18">
        <f>IF($B$594="","",IF(3&lt;=$C$4,N(J595),IF(J597="",J594,J597)))</f>
        <v/>
      </c>
      <c r="K598" s="18">
        <f>IF($B$594="","",IF(4&lt;=$C$4,N(K595),IF(K597="",K594,K597)))</f>
        <v/>
      </c>
      <c r="L598" s="18">
        <f>IF($B$594="","",IF(5&lt;=$C$4,N(L595),IF(L597="",L594,L597)))</f>
        <v/>
      </c>
      <c r="M598" s="18">
        <f>IF($B$594="","",IF(6&lt;=$C$4,N(M595),IF(M597="",M594,M597)))</f>
        <v/>
      </c>
      <c r="N598" s="18">
        <f>IF($B$594="","",IF(7&lt;=$C$4,N(N595),IF(N597="",N594,N597)))</f>
        <v/>
      </c>
      <c r="O598" s="18">
        <f>IF($B$594="","",IF(8&lt;=$C$4,N(O595),IF(O597="",O594,O597)))</f>
        <v/>
      </c>
      <c r="P598" s="18">
        <f>IF($B$594="","",IF(9&lt;=$C$4,N(P595),IF(P597="",P594,P597)))</f>
        <v/>
      </c>
      <c r="Q598" s="18">
        <f>IF($B$594="","",IF(10&lt;=$C$4,N(Q595),IF(Q597="",Q594,Q597)))</f>
        <v/>
      </c>
      <c r="R598" s="18">
        <f>IF($B$594="","",IF(11&lt;=$C$4,N(R595),IF(R597="",R594,R597)))</f>
        <v/>
      </c>
      <c r="S598" s="18">
        <f>IF($B$594="","",IF(12&lt;=$C$4,N(S595),IF(S597="",S594,S597)))</f>
        <v/>
      </c>
      <c r="T598" s="18">
        <f>IF($B$594="","",SUMIF($H$7:$S$7,"&lt;="&amp;$C$4,$H598:$S598))</f>
        <v/>
      </c>
      <c r="U598" s="18">
        <f>IF($B$594="","",SUMIF($H$7:$S$7,"&gt;"&amp;$C$4,$H598:$S598))</f>
        <v/>
      </c>
      <c r="V598" s="18">
        <f>IF($B$594="","",SUM($H598:$S598))</f>
        <v/>
      </c>
      <c r="X598" s="22">
        <f>IF($B598="","",IFERROR(INDEX(Cost_Centers!$E:$E,MATCH($B598,Cost_Centers!$A:$A,0)),"(unknown)"))</f>
        <v/>
      </c>
      <c r="Y598" s="22">
        <f>IF($B598="","",IFERROR(INDEX(Cost_Centers!$D:$D,MATCH($B598,Cost_Centers!$A:$A,0)),"(unknown)"))</f>
        <v/>
      </c>
      <c r="Z598" s="22">
        <f>IF(OR($B598="",$G598&lt;&gt;"Variance vs Budget"),"",ABS(N($V598))+ROW()/1000000000)</f>
        <v/>
      </c>
    </row>
    <row r="599">
      <c r="A599" s="13">
        <f>IF(A$594="","",A$594)</f>
        <v/>
      </c>
      <c r="B599" s="13">
        <f>IF(B$594="","",B$594)</f>
        <v/>
      </c>
      <c r="C599" s="13">
        <f>IF(C$594="","",C$594)</f>
        <v/>
      </c>
      <c r="D599" s="13">
        <f>IF(D$594="","",D$594)</f>
        <v/>
      </c>
      <c r="E599" s="13">
        <f>IF(E$594="","",E$594)</f>
        <v/>
      </c>
      <c r="F599" s="13">
        <f>IF(F$594="","",F$594)</f>
        <v/>
      </c>
      <c r="G599" s="36" t="inlineStr">
        <is>
          <t>Prior Month Forecast</t>
        </is>
      </c>
      <c r="H599" s="37">
        <f>IF($B$594="","",IF(COUNTIFS(Prior_Forecast!$A:$A,$B$594,Prior_Forecast!$B:$B,$D$594)&gt;0,SUMIFS(Prior_Forecast!$C:$C,Prior_Forecast!$A:$A,$B$594,Prior_Forecast!$B:$B,$D$594),""))</f>
        <v/>
      </c>
      <c r="I599" s="37">
        <f>IF($B$594="","",IF(COUNTIFS(Prior_Forecast!$A:$A,$B$594,Prior_Forecast!$B:$B,$D$594)&gt;0,SUMIFS(Prior_Forecast!$D:$D,Prior_Forecast!$A:$A,$B$594,Prior_Forecast!$B:$B,$D$594),""))</f>
        <v/>
      </c>
      <c r="J599" s="37">
        <f>IF($B$594="","",IF(COUNTIFS(Prior_Forecast!$A:$A,$B$594,Prior_Forecast!$B:$B,$D$594)&gt;0,SUMIFS(Prior_Forecast!$E:$E,Prior_Forecast!$A:$A,$B$594,Prior_Forecast!$B:$B,$D$594),""))</f>
        <v/>
      </c>
      <c r="K599" s="37">
        <f>IF($B$594="","",IF(COUNTIFS(Prior_Forecast!$A:$A,$B$594,Prior_Forecast!$B:$B,$D$594)&gt;0,SUMIFS(Prior_Forecast!$F:$F,Prior_Forecast!$A:$A,$B$594,Prior_Forecast!$B:$B,$D$594),""))</f>
        <v/>
      </c>
      <c r="L599" s="37">
        <f>IF($B$594="","",IF(COUNTIFS(Prior_Forecast!$A:$A,$B$594,Prior_Forecast!$B:$B,$D$594)&gt;0,SUMIFS(Prior_Forecast!$G:$G,Prior_Forecast!$A:$A,$B$594,Prior_Forecast!$B:$B,$D$594),""))</f>
        <v/>
      </c>
      <c r="M599" s="37">
        <f>IF($B$594="","",IF(COUNTIFS(Prior_Forecast!$A:$A,$B$594,Prior_Forecast!$B:$B,$D$594)&gt;0,SUMIFS(Prior_Forecast!$H:$H,Prior_Forecast!$A:$A,$B$594,Prior_Forecast!$B:$B,$D$594),""))</f>
        <v/>
      </c>
      <c r="N599" s="37">
        <f>IF($B$594="","",IF(COUNTIFS(Prior_Forecast!$A:$A,$B$594,Prior_Forecast!$B:$B,$D$594)&gt;0,SUMIFS(Prior_Forecast!$I:$I,Prior_Forecast!$A:$A,$B$594,Prior_Forecast!$B:$B,$D$594),""))</f>
        <v/>
      </c>
      <c r="O599" s="37">
        <f>IF($B$594="","",IF(COUNTIFS(Prior_Forecast!$A:$A,$B$594,Prior_Forecast!$B:$B,$D$594)&gt;0,SUMIFS(Prior_Forecast!$J:$J,Prior_Forecast!$A:$A,$B$594,Prior_Forecast!$B:$B,$D$594),""))</f>
        <v/>
      </c>
      <c r="P599" s="37">
        <f>IF($B$594="","",IF(COUNTIFS(Prior_Forecast!$A:$A,$B$594,Prior_Forecast!$B:$B,$D$594)&gt;0,SUMIFS(Prior_Forecast!$K:$K,Prior_Forecast!$A:$A,$B$594,Prior_Forecast!$B:$B,$D$594),""))</f>
        <v/>
      </c>
      <c r="Q599" s="37">
        <f>IF($B$594="","",IF(COUNTIFS(Prior_Forecast!$A:$A,$B$594,Prior_Forecast!$B:$B,$D$594)&gt;0,SUMIFS(Prior_Forecast!$L:$L,Prior_Forecast!$A:$A,$B$594,Prior_Forecast!$B:$B,$D$594),""))</f>
        <v/>
      </c>
      <c r="R599" s="37">
        <f>IF($B$594="","",IF(COUNTIFS(Prior_Forecast!$A:$A,$B$594,Prior_Forecast!$B:$B,$D$594)&gt;0,SUMIFS(Prior_Forecast!$M:$M,Prior_Forecast!$A:$A,$B$594,Prior_Forecast!$B:$B,$D$594),""))</f>
        <v/>
      </c>
      <c r="S599" s="37">
        <f>IF($B$594="","",IF(COUNTIFS(Prior_Forecast!$A:$A,$B$594,Prior_Forecast!$B:$B,$D$594)&gt;0,SUMIFS(Prior_Forecast!$N:$N,Prior_Forecast!$A:$A,$B$594,Prior_Forecast!$B:$B,$D$594),""))</f>
        <v/>
      </c>
      <c r="T599" s="37">
        <f>IF($B$594="","",IF(COUNTIFS(Prior_Forecast!$A:$A,$B$594,Prior_Forecast!$B:$B,$D$594)&gt;0,SUMIFS(Prior_Forecast!$O:$O,Prior_Forecast!$A:$A,$B$594,Prior_Forecast!$B:$B,$D$594),""))</f>
        <v/>
      </c>
      <c r="U599" s="37">
        <f>IF($B$594="","",IF(COUNTIFS(Prior_Forecast!$A:$A,$B$594,Prior_Forecast!$B:$B,$D$594)&gt;0,SUMIFS(Prior_Forecast!$P:$P,Prior_Forecast!$A:$A,$B$594,Prior_Forecast!$B:$B,$D$594),""))</f>
        <v/>
      </c>
      <c r="V599" s="37">
        <f>IF($B$594="","",IF(COUNTIFS(Prior_Forecast!$A:$A,$B$594,Prior_Forecast!$B:$B,$D$594)&gt;0,SUMIFS(Prior_Forecast!$Q:$Q,Prior_Forecast!$A:$A,$B$594,Prior_Forecast!$B:$B,$D$594),""))</f>
        <v/>
      </c>
      <c r="X599" s="22">
        <f>IF($B599="","",IFERROR(INDEX(Cost_Centers!$E:$E,MATCH($B599,Cost_Centers!$A:$A,0)),"(unknown)"))</f>
        <v/>
      </c>
      <c r="Y599" s="22">
        <f>IF($B599="","",IFERROR(INDEX(Cost_Centers!$D:$D,MATCH($B599,Cost_Centers!$A:$A,0)),"(unknown)"))</f>
        <v/>
      </c>
      <c r="Z599" s="22">
        <f>IF(OR($B599="",$G599&lt;&gt;"Variance vs Budget"),"",ABS(N($V599))+ROW()/1000000000)</f>
        <v/>
      </c>
    </row>
    <row r="600">
      <c r="A600" s="13">
        <f>IF(A$594="","",A$594)</f>
        <v/>
      </c>
      <c r="B600" s="13">
        <f>IF(B$594="","",B$594)</f>
        <v/>
      </c>
      <c r="C600" s="13">
        <f>IF(C$594="","",C$594)</f>
        <v/>
      </c>
      <c r="D600" s="13">
        <f>IF(D$594="","",D$594)</f>
        <v/>
      </c>
      <c r="E600" s="13">
        <f>IF(E$594="","",E$594)</f>
        <v/>
      </c>
      <c r="F600" s="13">
        <f>IF(F$594="","",F$594)</f>
        <v/>
      </c>
      <c r="G600" s="6" t="inlineStr">
        <is>
          <t>Variance vs Prior Month</t>
        </is>
      </c>
      <c r="H600" s="33">
        <f>IF(OR($B$594="",H599=""),"",H598-H599)</f>
        <v/>
      </c>
      <c r="I600" s="33">
        <f>IF(OR($B$594="",I599=""),"",I598-I599)</f>
        <v/>
      </c>
      <c r="J600" s="33">
        <f>IF(OR($B$594="",J599=""),"",J598-J599)</f>
        <v/>
      </c>
      <c r="K600" s="33">
        <f>IF(OR($B$594="",K599=""),"",K598-K599)</f>
        <v/>
      </c>
      <c r="L600" s="33">
        <f>IF(OR($B$594="",L599=""),"",L598-L599)</f>
        <v/>
      </c>
      <c r="M600" s="33">
        <f>IF(OR($B$594="",M599=""),"",M598-M599)</f>
        <v/>
      </c>
      <c r="N600" s="33">
        <f>IF(OR($B$594="",N599=""),"",N598-N599)</f>
        <v/>
      </c>
      <c r="O600" s="33">
        <f>IF(OR($B$594="",O599=""),"",O598-O599)</f>
        <v/>
      </c>
      <c r="P600" s="33">
        <f>IF(OR($B$594="",P599=""),"",P598-P599)</f>
        <v/>
      </c>
      <c r="Q600" s="33">
        <f>IF(OR($B$594="",Q599=""),"",Q598-Q599)</f>
        <v/>
      </c>
      <c r="R600" s="33">
        <f>IF(OR($B$594="",R599=""),"",R598-R599)</f>
        <v/>
      </c>
      <c r="S600" s="33">
        <f>IF(OR($B$594="",S599=""),"",S598-S599)</f>
        <v/>
      </c>
      <c r="T600" s="33">
        <f>IF(OR($B$594="",T599=""),"",T598-T599)</f>
        <v/>
      </c>
      <c r="U600" s="33">
        <f>IF(OR($B$594="",U599=""),"",U598-U599)</f>
        <v/>
      </c>
      <c r="V600" s="33">
        <f>IF(OR($B$594="",V599=""),"",V598-V599)</f>
        <v/>
      </c>
      <c r="X600" s="22">
        <f>IF($B600="","",IFERROR(INDEX(Cost_Centers!$E:$E,MATCH($B600,Cost_Centers!$A:$A,0)),"(unknown)"))</f>
        <v/>
      </c>
      <c r="Y600" s="22">
        <f>IF($B600="","",IFERROR(INDEX(Cost_Centers!$D:$D,MATCH($B600,Cost_Centers!$A:$A,0)),"(unknown)"))</f>
        <v/>
      </c>
      <c r="Z600" s="22">
        <f>IF(OR($B600="",$G600&lt;&gt;"Variance vs Budget"),"",ABS(N($V600))+ROW()/1000000000)</f>
        <v/>
      </c>
    </row>
    <row r="601" ht="45" customHeight="1">
      <c r="A601" s="13">
        <f>IF(A$594="","",A$594)</f>
        <v/>
      </c>
      <c r="B601" s="13">
        <f>IF(B$594="","",B$594)</f>
        <v/>
      </c>
      <c r="C601" s="13">
        <f>IF(C$594="","",C$594)</f>
        <v/>
      </c>
      <c r="D601" s="13">
        <f>IF(D$594="","",D$594)</f>
        <v/>
      </c>
      <c r="E601" s="13">
        <f>IF(E$594="","",E$594)</f>
        <v/>
      </c>
      <c r="F601" s="13">
        <f>IF(F$594="","",F$594)</f>
        <v/>
      </c>
      <c r="G601" s="7" t="inlineStr">
        <is>
          <t>Rationale</t>
        </is>
      </c>
      <c r="H601" s="38" t="n"/>
      <c r="I601" s="38" t="n"/>
      <c r="J601" s="38" t="n"/>
      <c r="K601" s="38" t="n"/>
      <c r="L601" s="38" t="n"/>
      <c r="M601" s="38" t="n"/>
      <c r="N601" s="38" t="n"/>
      <c r="O601" s="38" t="n"/>
      <c r="P601" s="38" t="n"/>
      <c r="Q601" s="38" t="n"/>
      <c r="R601" s="38" t="n"/>
      <c r="S601" s="38" t="n"/>
      <c r="T601" s="38" t="n"/>
      <c r="U601" s="38" t="n"/>
      <c r="V601" s="7" t="n"/>
      <c r="X601" s="22">
        <f>IF($B601="","",IFERROR(INDEX(Cost_Centers!$E:$E,MATCH($B601,Cost_Centers!$A:$A,0)),"(unknown)"))</f>
        <v/>
      </c>
      <c r="Y601" s="22">
        <f>IF($B601="","",IFERROR(INDEX(Cost_Centers!$D:$D,MATCH($B601,Cost_Centers!$A:$A,0)),"(unknown)"))</f>
        <v/>
      </c>
      <c r="Z601" s="22">
        <f>IF(OR($B601="",$G601&lt;&gt;"Variance vs Budget"),"",ABS(N($V601))+ROW()/1000000000)</f>
        <v/>
      </c>
    </row>
    <row r="602">
      <c r="A602" s="30">
        <f>IF($D$602="","",LEFT($D$602,FIND("|",$D$602&amp;"|")-1))</f>
        <v/>
      </c>
      <c r="B602" s="31" t="n"/>
      <c r="C602" s="30">
        <f>IF($B$602="","",IFERROR(INDEX(Cost_Centers!$B:$B,MATCH($B$602,Cost_Centers!$A:$A,0)),"(not in master)"))</f>
        <v/>
      </c>
      <c r="D602" s="31" t="n"/>
      <c r="E602" s="30">
        <f>IF($D$602="","",IFERROR(INDEX(Accounts!$D:$D,MATCH($D$602,Accounts!$A:$A,0)),"(not in master)"))</f>
        <v/>
      </c>
      <c r="F602" s="31" t="n"/>
      <c r="G602" s="30" t="inlineStr">
        <is>
          <t>Budget</t>
        </is>
      </c>
      <c r="H602" s="32">
        <f>IF($B$602="","",SUMIFS(Opex_Budget!$O:$O,Opex_Budget!$A:$A,$C$3,Opex_Budget!$E:$E,$B$602,Opex_Budget!$F:$F,$D$602,Opex_Budget!$N:$N,"JPY")*$E$5+SUMIFS(Opex_Budget!$O:$O,Opex_Budget!$A:$A,$C$3,Opex_Budget!$E:$E,$B$602,Opex_Budget!$F:$F,$D$602,Opex_Budget!$N:$N,"USD")*$F$5+SUMIFS(Opex_Budget!$O:$O,Opex_Budget!$A:$A,$C$3,Opex_Budget!$E:$E,$B$602,Opex_Budget!$F:$F,$D$602,Opex_Budget!$N:$N,"EUR")*$G$5+SUMIFS(Opex_Budget!$O:$O,Opex_Budget!$A:$A,$C$3,Opex_Budget!$E:$E,$B$602,Opex_Budget!$F:$F,$D$602,Opex_Budget!$N:$N,"GBP")*$H$5)</f>
        <v/>
      </c>
      <c r="I602" s="32">
        <f>IF($B$602="","",SUMIFS(Opex_Budget!$P:$P,Opex_Budget!$A:$A,$C$3,Opex_Budget!$E:$E,$B$602,Opex_Budget!$F:$F,$D$602,Opex_Budget!$N:$N,"JPY")*$E$5+SUMIFS(Opex_Budget!$P:$P,Opex_Budget!$A:$A,$C$3,Opex_Budget!$E:$E,$B$602,Opex_Budget!$F:$F,$D$602,Opex_Budget!$N:$N,"USD")*$F$5+SUMIFS(Opex_Budget!$P:$P,Opex_Budget!$A:$A,$C$3,Opex_Budget!$E:$E,$B$602,Opex_Budget!$F:$F,$D$602,Opex_Budget!$N:$N,"EUR")*$G$5+SUMIFS(Opex_Budget!$P:$P,Opex_Budget!$A:$A,$C$3,Opex_Budget!$E:$E,$B$602,Opex_Budget!$F:$F,$D$602,Opex_Budget!$N:$N,"GBP")*$H$5)</f>
        <v/>
      </c>
      <c r="J602" s="32">
        <f>IF($B$602="","",SUMIFS(Opex_Budget!$Q:$Q,Opex_Budget!$A:$A,$C$3,Opex_Budget!$E:$E,$B$602,Opex_Budget!$F:$F,$D$602,Opex_Budget!$N:$N,"JPY")*$E$5+SUMIFS(Opex_Budget!$Q:$Q,Opex_Budget!$A:$A,$C$3,Opex_Budget!$E:$E,$B$602,Opex_Budget!$F:$F,$D$602,Opex_Budget!$N:$N,"USD")*$F$5+SUMIFS(Opex_Budget!$Q:$Q,Opex_Budget!$A:$A,$C$3,Opex_Budget!$E:$E,$B$602,Opex_Budget!$F:$F,$D$602,Opex_Budget!$N:$N,"EUR")*$G$5+SUMIFS(Opex_Budget!$Q:$Q,Opex_Budget!$A:$A,$C$3,Opex_Budget!$E:$E,$B$602,Opex_Budget!$F:$F,$D$602,Opex_Budget!$N:$N,"GBP")*$H$5)</f>
        <v/>
      </c>
      <c r="K602" s="32">
        <f>IF($B$602="","",SUMIFS(Opex_Budget!$R:$R,Opex_Budget!$A:$A,$C$3,Opex_Budget!$E:$E,$B$602,Opex_Budget!$F:$F,$D$602,Opex_Budget!$N:$N,"JPY")*$E$5+SUMIFS(Opex_Budget!$R:$R,Opex_Budget!$A:$A,$C$3,Opex_Budget!$E:$E,$B$602,Opex_Budget!$F:$F,$D$602,Opex_Budget!$N:$N,"USD")*$F$5+SUMIFS(Opex_Budget!$R:$R,Opex_Budget!$A:$A,$C$3,Opex_Budget!$E:$E,$B$602,Opex_Budget!$F:$F,$D$602,Opex_Budget!$N:$N,"EUR")*$G$5+SUMIFS(Opex_Budget!$R:$R,Opex_Budget!$A:$A,$C$3,Opex_Budget!$E:$E,$B$602,Opex_Budget!$F:$F,$D$602,Opex_Budget!$N:$N,"GBP")*$H$5)</f>
        <v/>
      </c>
      <c r="L602" s="32">
        <f>IF($B$602="","",SUMIFS(Opex_Budget!$S:$S,Opex_Budget!$A:$A,$C$3,Opex_Budget!$E:$E,$B$602,Opex_Budget!$F:$F,$D$602,Opex_Budget!$N:$N,"JPY")*$E$5+SUMIFS(Opex_Budget!$S:$S,Opex_Budget!$A:$A,$C$3,Opex_Budget!$E:$E,$B$602,Opex_Budget!$F:$F,$D$602,Opex_Budget!$N:$N,"USD")*$F$5+SUMIFS(Opex_Budget!$S:$S,Opex_Budget!$A:$A,$C$3,Opex_Budget!$E:$E,$B$602,Opex_Budget!$F:$F,$D$602,Opex_Budget!$N:$N,"EUR")*$G$5+SUMIFS(Opex_Budget!$S:$S,Opex_Budget!$A:$A,$C$3,Opex_Budget!$E:$E,$B$602,Opex_Budget!$F:$F,$D$602,Opex_Budget!$N:$N,"GBP")*$H$5)</f>
        <v/>
      </c>
      <c r="M602" s="32">
        <f>IF($B$602="","",SUMIFS(Opex_Budget!$T:$T,Opex_Budget!$A:$A,$C$3,Opex_Budget!$E:$E,$B$602,Opex_Budget!$F:$F,$D$602,Opex_Budget!$N:$N,"JPY")*$E$5+SUMIFS(Opex_Budget!$T:$T,Opex_Budget!$A:$A,$C$3,Opex_Budget!$E:$E,$B$602,Opex_Budget!$F:$F,$D$602,Opex_Budget!$N:$N,"USD")*$F$5+SUMIFS(Opex_Budget!$T:$T,Opex_Budget!$A:$A,$C$3,Opex_Budget!$E:$E,$B$602,Opex_Budget!$F:$F,$D$602,Opex_Budget!$N:$N,"EUR")*$G$5+SUMIFS(Opex_Budget!$T:$T,Opex_Budget!$A:$A,$C$3,Opex_Budget!$E:$E,$B$602,Opex_Budget!$F:$F,$D$602,Opex_Budget!$N:$N,"GBP")*$H$5)</f>
        <v/>
      </c>
      <c r="N602" s="32">
        <f>IF($B$602="","",SUMIFS(Opex_Budget!$U:$U,Opex_Budget!$A:$A,$C$3,Opex_Budget!$E:$E,$B$602,Opex_Budget!$F:$F,$D$602,Opex_Budget!$N:$N,"JPY")*$E$5+SUMIFS(Opex_Budget!$U:$U,Opex_Budget!$A:$A,$C$3,Opex_Budget!$E:$E,$B$602,Opex_Budget!$F:$F,$D$602,Opex_Budget!$N:$N,"USD")*$F$5+SUMIFS(Opex_Budget!$U:$U,Opex_Budget!$A:$A,$C$3,Opex_Budget!$E:$E,$B$602,Opex_Budget!$F:$F,$D$602,Opex_Budget!$N:$N,"EUR")*$G$5+SUMIFS(Opex_Budget!$U:$U,Opex_Budget!$A:$A,$C$3,Opex_Budget!$E:$E,$B$602,Opex_Budget!$F:$F,$D$602,Opex_Budget!$N:$N,"GBP")*$H$5)</f>
        <v/>
      </c>
      <c r="O602" s="32">
        <f>IF($B$602="","",SUMIFS(Opex_Budget!$V:$V,Opex_Budget!$A:$A,$C$3,Opex_Budget!$E:$E,$B$602,Opex_Budget!$F:$F,$D$602,Opex_Budget!$N:$N,"JPY")*$E$5+SUMIFS(Opex_Budget!$V:$V,Opex_Budget!$A:$A,$C$3,Opex_Budget!$E:$E,$B$602,Opex_Budget!$F:$F,$D$602,Opex_Budget!$N:$N,"USD")*$F$5+SUMIFS(Opex_Budget!$V:$V,Opex_Budget!$A:$A,$C$3,Opex_Budget!$E:$E,$B$602,Opex_Budget!$F:$F,$D$602,Opex_Budget!$N:$N,"EUR")*$G$5+SUMIFS(Opex_Budget!$V:$V,Opex_Budget!$A:$A,$C$3,Opex_Budget!$E:$E,$B$602,Opex_Budget!$F:$F,$D$602,Opex_Budget!$N:$N,"GBP")*$H$5)</f>
        <v/>
      </c>
      <c r="P602" s="32">
        <f>IF($B$602="","",SUMIFS(Opex_Budget!$W:$W,Opex_Budget!$A:$A,$C$3,Opex_Budget!$E:$E,$B$602,Opex_Budget!$F:$F,$D$602,Opex_Budget!$N:$N,"JPY")*$E$5+SUMIFS(Opex_Budget!$W:$W,Opex_Budget!$A:$A,$C$3,Opex_Budget!$E:$E,$B$602,Opex_Budget!$F:$F,$D$602,Opex_Budget!$N:$N,"USD")*$F$5+SUMIFS(Opex_Budget!$W:$W,Opex_Budget!$A:$A,$C$3,Opex_Budget!$E:$E,$B$602,Opex_Budget!$F:$F,$D$602,Opex_Budget!$N:$N,"EUR")*$G$5+SUMIFS(Opex_Budget!$W:$W,Opex_Budget!$A:$A,$C$3,Opex_Budget!$E:$E,$B$602,Opex_Budget!$F:$F,$D$602,Opex_Budget!$N:$N,"GBP")*$H$5)</f>
        <v/>
      </c>
      <c r="Q602" s="32">
        <f>IF($B$602="","",SUMIFS(Opex_Budget!$X:$X,Opex_Budget!$A:$A,$C$3,Opex_Budget!$E:$E,$B$602,Opex_Budget!$F:$F,$D$602,Opex_Budget!$N:$N,"JPY")*$E$5+SUMIFS(Opex_Budget!$X:$X,Opex_Budget!$A:$A,$C$3,Opex_Budget!$E:$E,$B$602,Opex_Budget!$F:$F,$D$602,Opex_Budget!$N:$N,"USD")*$F$5+SUMIFS(Opex_Budget!$X:$X,Opex_Budget!$A:$A,$C$3,Opex_Budget!$E:$E,$B$602,Opex_Budget!$F:$F,$D$602,Opex_Budget!$N:$N,"EUR")*$G$5+SUMIFS(Opex_Budget!$X:$X,Opex_Budget!$A:$A,$C$3,Opex_Budget!$E:$E,$B$602,Opex_Budget!$F:$F,$D$602,Opex_Budget!$N:$N,"GBP")*$H$5)</f>
        <v/>
      </c>
      <c r="R602" s="32">
        <f>IF($B$602="","",SUMIFS(Opex_Budget!$Y:$Y,Opex_Budget!$A:$A,$C$3,Opex_Budget!$E:$E,$B$602,Opex_Budget!$F:$F,$D$602,Opex_Budget!$N:$N,"JPY")*$E$5+SUMIFS(Opex_Budget!$Y:$Y,Opex_Budget!$A:$A,$C$3,Opex_Budget!$E:$E,$B$602,Opex_Budget!$F:$F,$D$602,Opex_Budget!$N:$N,"USD")*$F$5+SUMIFS(Opex_Budget!$Y:$Y,Opex_Budget!$A:$A,$C$3,Opex_Budget!$E:$E,$B$602,Opex_Budget!$F:$F,$D$602,Opex_Budget!$N:$N,"EUR")*$G$5+SUMIFS(Opex_Budget!$Y:$Y,Opex_Budget!$A:$A,$C$3,Opex_Budget!$E:$E,$B$602,Opex_Budget!$F:$F,$D$602,Opex_Budget!$N:$N,"GBP")*$H$5)</f>
        <v/>
      </c>
      <c r="S602" s="32">
        <f>IF($B$602="","",SUMIFS(Opex_Budget!$Z:$Z,Opex_Budget!$A:$A,$C$3,Opex_Budget!$E:$E,$B$602,Opex_Budget!$F:$F,$D$602,Opex_Budget!$N:$N,"JPY")*$E$5+SUMIFS(Opex_Budget!$Z:$Z,Opex_Budget!$A:$A,$C$3,Opex_Budget!$E:$E,$B$602,Opex_Budget!$F:$F,$D$602,Opex_Budget!$N:$N,"USD")*$F$5+SUMIFS(Opex_Budget!$Z:$Z,Opex_Budget!$A:$A,$C$3,Opex_Budget!$E:$E,$B$602,Opex_Budget!$F:$F,$D$602,Opex_Budget!$N:$N,"EUR")*$G$5+SUMIFS(Opex_Budget!$Z:$Z,Opex_Budget!$A:$A,$C$3,Opex_Budget!$E:$E,$B$602,Opex_Budget!$F:$F,$D$602,Opex_Budget!$N:$N,"GBP")*$H$5)</f>
        <v/>
      </c>
      <c r="T602" s="32">
        <f>IF($B$602="","",SUMIF($H$7:$S$7,"&lt;="&amp;$C$4,$H602:$S602))</f>
        <v/>
      </c>
      <c r="U602" s="32">
        <f>IF($B$602="","",SUMIF($H$7:$S$7,"&gt;"&amp;$C$4,$H602:$S602))</f>
        <v/>
      </c>
      <c r="V602" s="32">
        <f>IF($B$602="","",SUM($H602:$S602))</f>
        <v/>
      </c>
      <c r="X602" s="22">
        <f>IF($B602="","",IFERROR(INDEX(Cost_Centers!$E:$E,MATCH($B602,Cost_Centers!$A:$A,0)),"(unknown)"))</f>
        <v/>
      </c>
      <c r="Y602" s="22">
        <f>IF($B602="","",IFERROR(INDEX(Cost_Centers!$D:$D,MATCH($B602,Cost_Centers!$A:$A,0)),"(unknown)"))</f>
        <v/>
      </c>
      <c r="Z602" s="22">
        <f>IF(OR($B602="",$G602&lt;&gt;"Variance vs Budget"),"",ABS(N($V602))+ROW()/1000000000)</f>
        <v/>
      </c>
    </row>
    <row r="603">
      <c r="A603" s="13">
        <f>IF(A$602="","",A$602)</f>
        <v/>
      </c>
      <c r="B603" s="13">
        <f>IF(B$602="","",B$602)</f>
        <v/>
      </c>
      <c r="C603" s="13">
        <f>IF(C$602="","",C$602)</f>
        <v/>
      </c>
      <c r="D603" s="13">
        <f>IF(D$602="","",D$602)</f>
        <v/>
      </c>
      <c r="E603" s="13">
        <f>IF(E$602="","",E$602)</f>
        <v/>
      </c>
      <c r="F603" s="13">
        <f>IF(F$602="","",F$602)</f>
        <v/>
      </c>
      <c r="G603" s="7" t="inlineStr">
        <is>
          <t>Actual</t>
        </is>
      </c>
      <c r="H603" s="18">
        <f>IF(OR($B$602="",1&gt;$C$4),"",SUMIFS(Actuals!$G:$G,Actuals!$B:$B,$C$3,Actuals!$C:$C,1,Actuals!$D:$D,$B$602,Actuals!$A:$A,LEFT($D$602,FIND("|",$D$602&amp;"|")-1),Actuals!$E:$E,MID($D$602,FIND("|",$D$602&amp;"|")+1,50),Actuals!$F:$F,"JPY")*$E$5+SUMIFS(Actuals!$G:$G,Actuals!$B:$B,$C$3,Actuals!$C:$C,1,Actuals!$D:$D,$B$602,Actuals!$A:$A,LEFT($D$602,FIND("|",$D$602&amp;"|")-1),Actuals!$E:$E,MID($D$602,FIND("|",$D$602&amp;"|")+1,50),Actuals!$F:$F,"USD")*$F$5+SUMIFS(Actuals!$G:$G,Actuals!$B:$B,$C$3,Actuals!$C:$C,1,Actuals!$D:$D,$B$602,Actuals!$A:$A,LEFT($D$602,FIND("|",$D$602&amp;"|")-1),Actuals!$E:$E,MID($D$602,FIND("|",$D$602&amp;"|")+1,50),Actuals!$F:$F,"EUR")*$G$5+SUMIFS(Actuals!$G:$G,Actuals!$B:$B,$C$3,Actuals!$C:$C,1,Actuals!$D:$D,$B$602,Actuals!$A:$A,LEFT($D$602,FIND("|",$D$602&amp;"|")-1),Actuals!$E:$E,MID($D$602,FIND("|",$D$602&amp;"|")+1,50),Actuals!$F:$F,"GBP")*$H$5)</f>
        <v/>
      </c>
      <c r="I603" s="18">
        <f>IF(OR($B$602="",2&gt;$C$4),"",SUMIFS(Actuals!$G:$G,Actuals!$B:$B,$C$3,Actuals!$C:$C,2,Actuals!$D:$D,$B$602,Actuals!$A:$A,LEFT($D$602,FIND("|",$D$602&amp;"|")-1),Actuals!$E:$E,MID($D$602,FIND("|",$D$602&amp;"|")+1,50),Actuals!$F:$F,"JPY")*$E$5+SUMIFS(Actuals!$G:$G,Actuals!$B:$B,$C$3,Actuals!$C:$C,2,Actuals!$D:$D,$B$602,Actuals!$A:$A,LEFT($D$602,FIND("|",$D$602&amp;"|")-1),Actuals!$E:$E,MID($D$602,FIND("|",$D$602&amp;"|")+1,50),Actuals!$F:$F,"USD")*$F$5+SUMIFS(Actuals!$G:$G,Actuals!$B:$B,$C$3,Actuals!$C:$C,2,Actuals!$D:$D,$B$602,Actuals!$A:$A,LEFT($D$602,FIND("|",$D$602&amp;"|")-1),Actuals!$E:$E,MID($D$602,FIND("|",$D$602&amp;"|")+1,50),Actuals!$F:$F,"EUR")*$G$5+SUMIFS(Actuals!$G:$G,Actuals!$B:$B,$C$3,Actuals!$C:$C,2,Actuals!$D:$D,$B$602,Actuals!$A:$A,LEFT($D$602,FIND("|",$D$602&amp;"|")-1),Actuals!$E:$E,MID($D$602,FIND("|",$D$602&amp;"|")+1,50),Actuals!$F:$F,"GBP")*$H$5)</f>
        <v/>
      </c>
      <c r="J603" s="18">
        <f>IF(OR($B$602="",3&gt;$C$4),"",SUMIFS(Actuals!$G:$G,Actuals!$B:$B,$C$3,Actuals!$C:$C,3,Actuals!$D:$D,$B$602,Actuals!$A:$A,LEFT($D$602,FIND("|",$D$602&amp;"|")-1),Actuals!$E:$E,MID($D$602,FIND("|",$D$602&amp;"|")+1,50),Actuals!$F:$F,"JPY")*$E$5+SUMIFS(Actuals!$G:$G,Actuals!$B:$B,$C$3,Actuals!$C:$C,3,Actuals!$D:$D,$B$602,Actuals!$A:$A,LEFT($D$602,FIND("|",$D$602&amp;"|")-1),Actuals!$E:$E,MID($D$602,FIND("|",$D$602&amp;"|")+1,50),Actuals!$F:$F,"USD")*$F$5+SUMIFS(Actuals!$G:$G,Actuals!$B:$B,$C$3,Actuals!$C:$C,3,Actuals!$D:$D,$B$602,Actuals!$A:$A,LEFT($D$602,FIND("|",$D$602&amp;"|")-1),Actuals!$E:$E,MID($D$602,FIND("|",$D$602&amp;"|")+1,50),Actuals!$F:$F,"EUR")*$G$5+SUMIFS(Actuals!$G:$G,Actuals!$B:$B,$C$3,Actuals!$C:$C,3,Actuals!$D:$D,$B$602,Actuals!$A:$A,LEFT($D$602,FIND("|",$D$602&amp;"|")-1),Actuals!$E:$E,MID($D$602,FIND("|",$D$602&amp;"|")+1,50),Actuals!$F:$F,"GBP")*$H$5)</f>
        <v/>
      </c>
      <c r="K603" s="18">
        <f>IF(OR($B$602="",4&gt;$C$4),"",SUMIFS(Actuals!$G:$G,Actuals!$B:$B,$C$3,Actuals!$C:$C,4,Actuals!$D:$D,$B$602,Actuals!$A:$A,LEFT($D$602,FIND("|",$D$602&amp;"|")-1),Actuals!$E:$E,MID($D$602,FIND("|",$D$602&amp;"|")+1,50),Actuals!$F:$F,"JPY")*$E$5+SUMIFS(Actuals!$G:$G,Actuals!$B:$B,$C$3,Actuals!$C:$C,4,Actuals!$D:$D,$B$602,Actuals!$A:$A,LEFT($D$602,FIND("|",$D$602&amp;"|")-1),Actuals!$E:$E,MID($D$602,FIND("|",$D$602&amp;"|")+1,50),Actuals!$F:$F,"USD")*$F$5+SUMIFS(Actuals!$G:$G,Actuals!$B:$B,$C$3,Actuals!$C:$C,4,Actuals!$D:$D,$B$602,Actuals!$A:$A,LEFT($D$602,FIND("|",$D$602&amp;"|")-1),Actuals!$E:$E,MID($D$602,FIND("|",$D$602&amp;"|")+1,50),Actuals!$F:$F,"EUR")*$G$5+SUMIFS(Actuals!$G:$G,Actuals!$B:$B,$C$3,Actuals!$C:$C,4,Actuals!$D:$D,$B$602,Actuals!$A:$A,LEFT($D$602,FIND("|",$D$602&amp;"|")-1),Actuals!$E:$E,MID($D$602,FIND("|",$D$602&amp;"|")+1,50),Actuals!$F:$F,"GBP")*$H$5)</f>
        <v/>
      </c>
      <c r="L603" s="18">
        <f>IF(OR($B$602="",5&gt;$C$4),"",SUMIFS(Actuals!$G:$G,Actuals!$B:$B,$C$3,Actuals!$C:$C,5,Actuals!$D:$D,$B$602,Actuals!$A:$A,LEFT($D$602,FIND("|",$D$602&amp;"|")-1),Actuals!$E:$E,MID($D$602,FIND("|",$D$602&amp;"|")+1,50),Actuals!$F:$F,"JPY")*$E$5+SUMIFS(Actuals!$G:$G,Actuals!$B:$B,$C$3,Actuals!$C:$C,5,Actuals!$D:$D,$B$602,Actuals!$A:$A,LEFT($D$602,FIND("|",$D$602&amp;"|")-1),Actuals!$E:$E,MID($D$602,FIND("|",$D$602&amp;"|")+1,50),Actuals!$F:$F,"USD")*$F$5+SUMIFS(Actuals!$G:$G,Actuals!$B:$B,$C$3,Actuals!$C:$C,5,Actuals!$D:$D,$B$602,Actuals!$A:$A,LEFT($D$602,FIND("|",$D$602&amp;"|")-1),Actuals!$E:$E,MID($D$602,FIND("|",$D$602&amp;"|")+1,50),Actuals!$F:$F,"EUR")*$G$5+SUMIFS(Actuals!$G:$G,Actuals!$B:$B,$C$3,Actuals!$C:$C,5,Actuals!$D:$D,$B$602,Actuals!$A:$A,LEFT($D$602,FIND("|",$D$602&amp;"|")-1),Actuals!$E:$E,MID($D$602,FIND("|",$D$602&amp;"|")+1,50),Actuals!$F:$F,"GBP")*$H$5)</f>
        <v/>
      </c>
      <c r="M603" s="18">
        <f>IF(OR($B$602="",6&gt;$C$4),"",SUMIFS(Actuals!$G:$G,Actuals!$B:$B,$C$3,Actuals!$C:$C,6,Actuals!$D:$D,$B$602,Actuals!$A:$A,LEFT($D$602,FIND("|",$D$602&amp;"|")-1),Actuals!$E:$E,MID($D$602,FIND("|",$D$602&amp;"|")+1,50),Actuals!$F:$F,"JPY")*$E$5+SUMIFS(Actuals!$G:$G,Actuals!$B:$B,$C$3,Actuals!$C:$C,6,Actuals!$D:$D,$B$602,Actuals!$A:$A,LEFT($D$602,FIND("|",$D$602&amp;"|")-1),Actuals!$E:$E,MID($D$602,FIND("|",$D$602&amp;"|")+1,50),Actuals!$F:$F,"USD")*$F$5+SUMIFS(Actuals!$G:$G,Actuals!$B:$B,$C$3,Actuals!$C:$C,6,Actuals!$D:$D,$B$602,Actuals!$A:$A,LEFT($D$602,FIND("|",$D$602&amp;"|")-1),Actuals!$E:$E,MID($D$602,FIND("|",$D$602&amp;"|")+1,50),Actuals!$F:$F,"EUR")*$G$5+SUMIFS(Actuals!$G:$G,Actuals!$B:$B,$C$3,Actuals!$C:$C,6,Actuals!$D:$D,$B$602,Actuals!$A:$A,LEFT($D$602,FIND("|",$D$602&amp;"|")-1),Actuals!$E:$E,MID($D$602,FIND("|",$D$602&amp;"|")+1,50),Actuals!$F:$F,"GBP")*$H$5)</f>
        <v/>
      </c>
      <c r="N603" s="18">
        <f>IF(OR($B$602="",7&gt;$C$4),"",SUMIFS(Actuals!$G:$G,Actuals!$B:$B,$C$3,Actuals!$C:$C,7,Actuals!$D:$D,$B$602,Actuals!$A:$A,LEFT($D$602,FIND("|",$D$602&amp;"|")-1),Actuals!$E:$E,MID($D$602,FIND("|",$D$602&amp;"|")+1,50),Actuals!$F:$F,"JPY")*$E$5+SUMIFS(Actuals!$G:$G,Actuals!$B:$B,$C$3,Actuals!$C:$C,7,Actuals!$D:$D,$B$602,Actuals!$A:$A,LEFT($D$602,FIND("|",$D$602&amp;"|")-1),Actuals!$E:$E,MID($D$602,FIND("|",$D$602&amp;"|")+1,50),Actuals!$F:$F,"USD")*$F$5+SUMIFS(Actuals!$G:$G,Actuals!$B:$B,$C$3,Actuals!$C:$C,7,Actuals!$D:$D,$B$602,Actuals!$A:$A,LEFT($D$602,FIND("|",$D$602&amp;"|")-1),Actuals!$E:$E,MID($D$602,FIND("|",$D$602&amp;"|")+1,50),Actuals!$F:$F,"EUR")*$G$5+SUMIFS(Actuals!$G:$G,Actuals!$B:$B,$C$3,Actuals!$C:$C,7,Actuals!$D:$D,$B$602,Actuals!$A:$A,LEFT($D$602,FIND("|",$D$602&amp;"|")-1),Actuals!$E:$E,MID($D$602,FIND("|",$D$602&amp;"|")+1,50),Actuals!$F:$F,"GBP")*$H$5)</f>
        <v/>
      </c>
      <c r="O603" s="18">
        <f>IF(OR($B$602="",8&gt;$C$4),"",SUMIFS(Actuals!$G:$G,Actuals!$B:$B,$C$3,Actuals!$C:$C,8,Actuals!$D:$D,$B$602,Actuals!$A:$A,LEFT($D$602,FIND("|",$D$602&amp;"|")-1),Actuals!$E:$E,MID($D$602,FIND("|",$D$602&amp;"|")+1,50),Actuals!$F:$F,"JPY")*$E$5+SUMIFS(Actuals!$G:$G,Actuals!$B:$B,$C$3,Actuals!$C:$C,8,Actuals!$D:$D,$B$602,Actuals!$A:$A,LEFT($D$602,FIND("|",$D$602&amp;"|")-1),Actuals!$E:$E,MID($D$602,FIND("|",$D$602&amp;"|")+1,50),Actuals!$F:$F,"USD")*$F$5+SUMIFS(Actuals!$G:$G,Actuals!$B:$B,$C$3,Actuals!$C:$C,8,Actuals!$D:$D,$B$602,Actuals!$A:$A,LEFT($D$602,FIND("|",$D$602&amp;"|")-1),Actuals!$E:$E,MID($D$602,FIND("|",$D$602&amp;"|")+1,50),Actuals!$F:$F,"EUR")*$G$5+SUMIFS(Actuals!$G:$G,Actuals!$B:$B,$C$3,Actuals!$C:$C,8,Actuals!$D:$D,$B$602,Actuals!$A:$A,LEFT($D$602,FIND("|",$D$602&amp;"|")-1),Actuals!$E:$E,MID($D$602,FIND("|",$D$602&amp;"|")+1,50),Actuals!$F:$F,"GBP")*$H$5)</f>
        <v/>
      </c>
      <c r="P603" s="18">
        <f>IF(OR($B$602="",9&gt;$C$4),"",SUMIFS(Actuals!$G:$G,Actuals!$B:$B,$C$3,Actuals!$C:$C,9,Actuals!$D:$D,$B$602,Actuals!$A:$A,LEFT($D$602,FIND("|",$D$602&amp;"|")-1),Actuals!$E:$E,MID($D$602,FIND("|",$D$602&amp;"|")+1,50),Actuals!$F:$F,"JPY")*$E$5+SUMIFS(Actuals!$G:$G,Actuals!$B:$B,$C$3,Actuals!$C:$C,9,Actuals!$D:$D,$B$602,Actuals!$A:$A,LEFT($D$602,FIND("|",$D$602&amp;"|")-1),Actuals!$E:$E,MID($D$602,FIND("|",$D$602&amp;"|")+1,50),Actuals!$F:$F,"USD")*$F$5+SUMIFS(Actuals!$G:$G,Actuals!$B:$B,$C$3,Actuals!$C:$C,9,Actuals!$D:$D,$B$602,Actuals!$A:$A,LEFT($D$602,FIND("|",$D$602&amp;"|")-1),Actuals!$E:$E,MID($D$602,FIND("|",$D$602&amp;"|")+1,50),Actuals!$F:$F,"EUR")*$G$5+SUMIFS(Actuals!$G:$G,Actuals!$B:$B,$C$3,Actuals!$C:$C,9,Actuals!$D:$D,$B$602,Actuals!$A:$A,LEFT($D$602,FIND("|",$D$602&amp;"|")-1),Actuals!$E:$E,MID($D$602,FIND("|",$D$602&amp;"|")+1,50),Actuals!$F:$F,"GBP")*$H$5)</f>
        <v/>
      </c>
      <c r="Q603" s="18">
        <f>IF(OR($B$602="",10&gt;$C$4),"",SUMIFS(Actuals!$G:$G,Actuals!$B:$B,$C$3,Actuals!$C:$C,10,Actuals!$D:$D,$B$602,Actuals!$A:$A,LEFT($D$602,FIND("|",$D$602&amp;"|")-1),Actuals!$E:$E,MID($D$602,FIND("|",$D$602&amp;"|")+1,50),Actuals!$F:$F,"JPY")*$E$5+SUMIFS(Actuals!$G:$G,Actuals!$B:$B,$C$3,Actuals!$C:$C,10,Actuals!$D:$D,$B$602,Actuals!$A:$A,LEFT($D$602,FIND("|",$D$602&amp;"|")-1),Actuals!$E:$E,MID($D$602,FIND("|",$D$602&amp;"|")+1,50),Actuals!$F:$F,"USD")*$F$5+SUMIFS(Actuals!$G:$G,Actuals!$B:$B,$C$3,Actuals!$C:$C,10,Actuals!$D:$D,$B$602,Actuals!$A:$A,LEFT($D$602,FIND("|",$D$602&amp;"|")-1),Actuals!$E:$E,MID($D$602,FIND("|",$D$602&amp;"|")+1,50),Actuals!$F:$F,"EUR")*$G$5+SUMIFS(Actuals!$G:$G,Actuals!$B:$B,$C$3,Actuals!$C:$C,10,Actuals!$D:$D,$B$602,Actuals!$A:$A,LEFT($D$602,FIND("|",$D$602&amp;"|")-1),Actuals!$E:$E,MID($D$602,FIND("|",$D$602&amp;"|")+1,50),Actuals!$F:$F,"GBP")*$H$5)</f>
        <v/>
      </c>
      <c r="R603" s="18">
        <f>IF(OR($B$602="",11&gt;$C$4),"",SUMIFS(Actuals!$G:$G,Actuals!$B:$B,$C$3,Actuals!$C:$C,11,Actuals!$D:$D,$B$602,Actuals!$A:$A,LEFT($D$602,FIND("|",$D$602&amp;"|")-1),Actuals!$E:$E,MID($D$602,FIND("|",$D$602&amp;"|")+1,50),Actuals!$F:$F,"JPY")*$E$5+SUMIFS(Actuals!$G:$G,Actuals!$B:$B,$C$3,Actuals!$C:$C,11,Actuals!$D:$D,$B$602,Actuals!$A:$A,LEFT($D$602,FIND("|",$D$602&amp;"|")-1),Actuals!$E:$E,MID($D$602,FIND("|",$D$602&amp;"|")+1,50),Actuals!$F:$F,"USD")*$F$5+SUMIFS(Actuals!$G:$G,Actuals!$B:$B,$C$3,Actuals!$C:$C,11,Actuals!$D:$D,$B$602,Actuals!$A:$A,LEFT($D$602,FIND("|",$D$602&amp;"|")-1),Actuals!$E:$E,MID($D$602,FIND("|",$D$602&amp;"|")+1,50),Actuals!$F:$F,"EUR")*$G$5+SUMIFS(Actuals!$G:$G,Actuals!$B:$B,$C$3,Actuals!$C:$C,11,Actuals!$D:$D,$B$602,Actuals!$A:$A,LEFT($D$602,FIND("|",$D$602&amp;"|")-1),Actuals!$E:$E,MID($D$602,FIND("|",$D$602&amp;"|")+1,50),Actuals!$F:$F,"GBP")*$H$5)</f>
        <v/>
      </c>
      <c r="S603" s="18">
        <f>IF(OR($B$602="",12&gt;$C$4),"",SUMIFS(Actuals!$G:$G,Actuals!$B:$B,$C$3,Actuals!$C:$C,12,Actuals!$D:$D,$B$602,Actuals!$A:$A,LEFT($D$602,FIND("|",$D$602&amp;"|")-1),Actuals!$E:$E,MID($D$602,FIND("|",$D$602&amp;"|")+1,50),Actuals!$F:$F,"JPY")*$E$5+SUMIFS(Actuals!$G:$G,Actuals!$B:$B,$C$3,Actuals!$C:$C,12,Actuals!$D:$D,$B$602,Actuals!$A:$A,LEFT($D$602,FIND("|",$D$602&amp;"|")-1),Actuals!$E:$E,MID($D$602,FIND("|",$D$602&amp;"|")+1,50),Actuals!$F:$F,"USD")*$F$5+SUMIFS(Actuals!$G:$G,Actuals!$B:$B,$C$3,Actuals!$C:$C,12,Actuals!$D:$D,$B$602,Actuals!$A:$A,LEFT($D$602,FIND("|",$D$602&amp;"|")-1),Actuals!$E:$E,MID($D$602,FIND("|",$D$602&amp;"|")+1,50),Actuals!$F:$F,"EUR")*$G$5+SUMIFS(Actuals!$G:$G,Actuals!$B:$B,$C$3,Actuals!$C:$C,12,Actuals!$D:$D,$B$602,Actuals!$A:$A,LEFT($D$602,FIND("|",$D$602&amp;"|")-1),Actuals!$E:$E,MID($D$602,FIND("|",$D$602&amp;"|")+1,50),Actuals!$F:$F,"GBP")*$H$5)</f>
        <v/>
      </c>
      <c r="T603" s="18">
        <f>IF($B$602="","",SUMIF($H$7:$S$7,"&lt;="&amp;$C$4,$H603:$S603))</f>
        <v/>
      </c>
      <c r="U603" s="18" t="n"/>
      <c r="V603" s="18" t="n"/>
      <c r="X603" s="22">
        <f>IF($B603="","",IFERROR(INDEX(Cost_Centers!$E:$E,MATCH($B603,Cost_Centers!$A:$A,0)),"(unknown)"))</f>
        <v/>
      </c>
      <c r="Y603" s="22">
        <f>IF($B603="","",IFERROR(INDEX(Cost_Centers!$D:$D,MATCH($B603,Cost_Centers!$A:$A,0)),"(unknown)"))</f>
        <v/>
      </c>
      <c r="Z603" s="22">
        <f>IF(OR($B603="",$G603&lt;&gt;"Variance vs Budget"),"",ABS(N($V603))+ROW()/1000000000)</f>
        <v/>
      </c>
    </row>
    <row r="604">
      <c r="A604" s="13">
        <f>IF(A$602="","",A$602)</f>
        <v/>
      </c>
      <c r="B604" s="13">
        <f>IF(B$602="","",B$602)</f>
        <v/>
      </c>
      <c r="C604" s="13">
        <f>IF(C$602="","",C$602)</f>
        <v/>
      </c>
      <c r="D604" s="13">
        <f>IF(D$602="","",D$602)</f>
        <v/>
      </c>
      <c r="E604" s="13">
        <f>IF(E$602="","",E$602)</f>
        <v/>
      </c>
      <c r="F604" s="13">
        <f>IF(F$602="","",F$602)</f>
        <v/>
      </c>
      <c r="G604" s="6" t="inlineStr">
        <is>
          <t>Variance vs Budget</t>
        </is>
      </c>
      <c r="H604" s="33">
        <f>IF(OR($B$602="",1&gt;$C$4),"",N(H603)-H602)</f>
        <v/>
      </c>
      <c r="I604" s="33">
        <f>IF(OR($B$602="",2&gt;$C$4),"",N(I603)-I602)</f>
        <v/>
      </c>
      <c r="J604" s="33">
        <f>IF(OR($B$602="",3&gt;$C$4),"",N(J603)-J602)</f>
        <v/>
      </c>
      <c r="K604" s="33">
        <f>IF(OR($B$602="",4&gt;$C$4),"",N(K603)-K602)</f>
        <v/>
      </c>
      <c r="L604" s="33">
        <f>IF(OR($B$602="",5&gt;$C$4),"",N(L603)-L602)</f>
        <v/>
      </c>
      <c r="M604" s="33">
        <f>IF(OR($B$602="",6&gt;$C$4),"",N(M603)-M602)</f>
        <v/>
      </c>
      <c r="N604" s="33">
        <f>IF(OR($B$602="",7&gt;$C$4),"",N(N603)-N602)</f>
        <v/>
      </c>
      <c r="O604" s="33">
        <f>IF(OR($B$602="",8&gt;$C$4),"",N(O603)-O602)</f>
        <v/>
      </c>
      <c r="P604" s="33">
        <f>IF(OR($B$602="",9&gt;$C$4),"",N(P603)-P602)</f>
        <v/>
      </c>
      <c r="Q604" s="33">
        <f>IF(OR($B$602="",10&gt;$C$4),"",N(Q603)-Q602)</f>
        <v/>
      </c>
      <c r="R604" s="33">
        <f>IF(OR($B$602="",11&gt;$C$4),"",N(R603)-R602)</f>
        <v/>
      </c>
      <c r="S604" s="33">
        <f>IF(OR($B$602="",12&gt;$C$4),"",N(S603)-S602)</f>
        <v/>
      </c>
      <c r="T604" s="33">
        <f>IF($B$602="","",T603-T602)</f>
        <v/>
      </c>
      <c r="U604" s="33">
        <f>IF($B$602="","",U606-U602)</f>
        <v/>
      </c>
      <c r="V604" s="33">
        <f>IF($B$602="","",V606-V602)</f>
        <v/>
      </c>
      <c r="X604" s="22">
        <f>IF($B604="","",IFERROR(INDEX(Cost_Centers!$E:$E,MATCH($B604,Cost_Centers!$A:$A,0)),"(unknown)"))</f>
        <v/>
      </c>
      <c r="Y604" s="22">
        <f>IF($B604="","",IFERROR(INDEX(Cost_Centers!$D:$D,MATCH($B604,Cost_Centers!$A:$A,0)),"(unknown)"))</f>
        <v/>
      </c>
      <c r="Z604" s="22">
        <f>IF(OR($B604="",$G604&lt;&gt;"Variance vs Budget"),"",ABS(N($V604))+ROW()/1000000000)</f>
        <v/>
      </c>
    </row>
    <row r="605">
      <c r="A605" s="13">
        <f>IF(A$602="","",A$602)</f>
        <v/>
      </c>
      <c r="B605" s="13">
        <f>IF(B$602="","",B$602)</f>
        <v/>
      </c>
      <c r="C605" s="13">
        <f>IF(C$602="","",C$602)</f>
        <v/>
      </c>
      <c r="D605" s="13">
        <f>IF(D$602="","",D$602)</f>
        <v/>
      </c>
      <c r="E605" s="13">
        <f>IF(E$602="","",E$602)</f>
        <v/>
      </c>
      <c r="F605" s="13">
        <f>IF(F$602="","",F$602)</f>
        <v/>
      </c>
      <c r="G605" s="7" t="inlineStr">
        <is>
          <t>Forecast (input)</t>
        </is>
      </c>
      <c r="H605" s="34" t="n"/>
      <c r="I605" s="34" t="n"/>
      <c r="J605" s="34" t="n"/>
      <c r="K605" s="34" t="n"/>
      <c r="L605" s="34" t="n"/>
      <c r="M605" s="34" t="n"/>
      <c r="N605" s="34" t="n"/>
      <c r="O605" s="34" t="n"/>
      <c r="P605" s="34" t="n"/>
      <c r="Q605" s="34" t="n"/>
      <c r="R605" s="34" t="n"/>
      <c r="S605" s="34" t="n"/>
      <c r="T605" s="18" t="n"/>
      <c r="U605" s="18" t="n"/>
      <c r="V605" s="18" t="n"/>
      <c r="X605" s="22">
        <f>IF($B605="","",IFERROR(INDEX(Cost_Centers!$E:$E,MATCH($B605,Cost_Centers!$A:$A,0)),"(unknown)"))</f>
        <v/>
      </c>
      <c r="Y605" s="22">
        <f>IF($B605="","",IFERROR(INDEX(Cost_Centers!$D:$D,MATCH($B605,Cost_Centers!$A:$A,0)),"(unknown)"))</f>
        <v/>
      </c>
      <c r="Z605" s="22">
        <f>IF(OR($B605="",$G605&lt;&gt;"Variance vs Budget"),"",ABS(N($V605))+ROW()/1000000000)</f>
        <v/>
      </c>
    </row>
    <row r="606">
      <c r="A606" s="13">
        <f>IF(A$602="","",A$602)</f>
        <v/>
      </c>
      <c r="B606" s="13">
        <f>IF(B$602="","",B$602)</f>
        <v/>
      </c>
      <c r="C606" s="13">
        <f>IF(C$602="","",C$602)</f>
        <v/>
      </c>
      <c r="D606" s="13">
        <f>IF(D$602="","",D$602)</f>
        <v/>
      </c>
      <c r="E606" s="13">
        <f>IF(E$602="","",E$602)</f>
        <v/>
      </c>
      <c r="F606" s="13">
        <f>IF(F$602="","",F$602)</f>
        <v/>
      </c>
      <c r="G606" s="35" t="inlineStr">
        <is>
          <t>Actual + Forecast</t>
        </is>
      </c>
      <c r="H606" s="18">
        <f>IF($B$602="","",IF(1&lt;=$C$4,N(H603),IF(H605="",H602,H605)))</f>
        <v/>
      </c>
      <c r="I606" s="18">
        <f>IF($B$602="","",IF(2&lt;=$C$4,N(I603),IF(I605="",I602,I605)))</f>
        <v/>
      </c>
      <c r="J606" s="18">
        <f>IF($B$602="","",IF(3&lt;=$C$4,N(J603),IF(J605="",J602,J605)))</f>
        <v/>
      </c>
      <c r="K606" s="18">
        <f>IF($B$602="","",IF(4&lt;=$C$4,N(K603),IF(K605="",K602,K605)))</f>
        <v/>
      </c>
      <c r="L606" s="18">
        <f>IF($B$602="","",IF(5&lt;=$C$4,N(L603),IF(L605="",L602,L605)))</f>
        <v/>
      </c>
      <c r="M606" s="18">
        <f>IF($B$602="","",IF(6&lt;=$C$4,N(M603),IF(M605="",M602,M605)))</f>
        <v/>
      </c>
      <c r="N606" s="18">
        <f>IF($B$602="","",IF(7&lt;=$C$4,N(N603),IF(N605="",N602,N605)))</f>
        <v/>
      </c>
      <c r="O606" s="18">
        <f>IF($B$602="","",IF(8&lt;=$C$4,N(O603),IF(O605="",O602,O605)))</f>
        <v/>
      </c>
      <c r="P606" s="18">
        <f>IF($B$602="","",IF(9&lt;=$C$4,N(P603),IF(P605="",P602,P605)))</f>
        <v/>
      </c>
      <c r="Q606" s="18">
        <f>IF($B$602="","",IF(10&lt;=$C$4,N(Q603),IF(Q605="",Q602,Q605)))</f>
        <v/>
      </c>
      <c r="R606" s="18">
        <f>IF($B$602="","",IF(11&lt;=$C$4,N(R603),IF(R605="",R602,R605)))</f>
        <v/>
      </c>
      <c r="S606" s="18">
        <f>IF($B$602="","",IF(12&lt;=$C$4,N(S603),IF(S605="",S602,S605)))</f>
        <v/>
      </c>
      <c r="T606" s="18">
        <f>IF($B$602="","",SUMIF($H$7:$S$7,"&lt;="&amp;$C$4,$H606:$S606))</f>
        <v/>
      </c>
      <c r="U606" s="18">
        <f>IF($B$602="","",SUMIF($H$7:$S$7,"&gt;"&amp;$C$4,$H606:$S606))</f>
        <v/>
      </c>
      <c r="V606" s="18">
        <f>IF($B$602="","",SUM($H606:$S606))</f>
        <v/>
      </c>
      <c r="X606" s="22">
        <f>IF($B606="","",IFERROR(INDEX(Cost_Centers!$E:$E,MATCH($B606,Cost_Centers!$A:$A,0)),"(unknown)"))</f>
        <v/>
      </c>
      <c r="Y606" s="22">
        <f>IF($B606="","",IFERROR(INDEX(Cost_Centers!$D:$D,MATCH($B606,Cost_Centers!$A:$A,0)),"(unknown)"))</f>
        <v/>
      </c>
      <c r="Z606" s="22">
        <f>IF(OR($B606="",$G606&lt;&gt;"Variance vs Budget"),"",ABS(N($V606))+ROW()/1000000000)</f>
        <v/>
      </c>
    </row>
    <row r="607">
      <c r="A607" s="13">
        <f>IF(A$602="","",A$602)</f>
        <v/>
      </c>
      <c r="B607" s="13">
        <f>IF(B$602="","",B$602)</f>
        <v/>
      </c>
      <c r="C607" s="13">
        <f>IF(C$602="","",C$602)</f>
        <v/>
      </c>
      <c r="D607" s="13">
        <f>IF(D$602="","",D$602)</f>
        <v/>
      </c>
      <c r="E607" s="13">
        <f>IF(E$602="","",E$602)</f>
        <v/>
      </c>
      <c r="F607" s="13">
        <f>IF(F$602="","",F$602)</f>
        <v/>
      </c>
      <c r="G607" s="36" t="inlineStr">
        <is>
          <t>Prior Month Forecast</t>
        </is>
      </c>
      <c r="H607" s="37">
        <f>IF($B$602="","",IF(COUNTIFS(Prior_Forecast!$A:$A,$B$602,Prior_Forecast!$B:$B,$D$602)&gt;0,SUMIFS(Prior_Forecast!$C:$C,Prior_Forecast!$A:$A,$B$602,Prior_Forecast!$B:$B,$D$602),""))</f>
        <v/>
      </c>
      <c r="I607" s="37">
        <f>IF($B$602="","",IF(COUNTIFS(Prior_Forecast!$A:$A,$B$602,Prior_Forecast!$B:$B,$D$602)&gt;0,SUMIFS(Prior_Forecast!$D:$D,Prior_Forecast!$A:$A,$B$602,Prior_Forecast!$B:$B,$D$602),""))</f>
        <v/>
      </c>
      <c r="J607" s="37">
        <f>IF($B$602="","",IF(COUNTIFS(Prior_Forecast!$A:$A,$B$602,Prior_Forecast!$B:$B,$D$602)&gt;0,SUMIFS(Prior_Forecast!$E:$E,Prior_Forecast!$A:$A,$B$602,Prior_Forecast!$B:$B,$D$602),""))</f>
        <v/>
      </c>
      <c r="K607" s="37">
        <f>IF($B$602="","",IF(COUNTIFS(Prior_Forecast!$A:$A,$B$602,Prior_Forecast!$B:$B,$D$602)&gt;0,SUMIFS(Prior_Forecast!$F:$F,Prior_Forecast!$A:$A,$B$602,Prior_Forecast!$B:$B,$D$602),""))</f>
        <v/>
      </c>
      <c r="L607" s="37">
        <f>IF($B$602="","",IF(COUNTIFS(Prior_Forecast!$A:$A,$B$602,Prior_Forecast!$B:$B,$D$602)&gt;0,SUMIFS(Prior_Forecast!$G:$G,Prior_Forecast!$A:$A,$B$602,Prior_Forecast!$B:$B,$D$602),""))</f>
        <v/>
      </c>
      <c r="M607" s="37">
        <f>IF($B$602="","",IF(COUNTIFS(Prior_Forecast!$A:$A,$B$602,Prior_Forecast!$B:$B,$D$602)&gt;0,SUMIFS(Prior_Forecast!$H:$H,Prior_Forecast!$A:$A,$B$602,Prior_Forecast!$B:$B,$D$602),""))</f>
        <v/>
      </c>
      <c r="N607" s="37">
        <f>IF($B$602="","",IF(COUNTIFS(Prior_Forecast!$A:$A,$B$602,Prior_Forecast!$B:$B,$D$602)&gt;0,SUMIFS(Prior_Forecast!$I:$I,Prior_Forecast!$A:$A,$B$602,Prior_Forecast!$B:$B,$D$602),""))</f>
        <v/>
      </c>
      <c r="O607" s="37">
        <f>IF($B$602="","",IF(COUNTIFS(Prior_Forecast!$A:$A,$B$602,Prior_Forecast!$B:$B,$D$602)&gt;0,SUMIFS(Prior_Forecast!$J:$J,Prior_Forecast!$A:$A,$B$602,Prior_Forecast!$B:$B,$D$602),""))</f>
        <v/>
      </c>
      <c r="P607" s="37">
        <f>IF($B$602="","",IF(COUNTIFS(Prior_Forecast!$A:$A,$B$602,Prior_Forecast!$B:$B,$D$602)&gt;0,SUMIFS(Prior_Forecast!$K:$K,Prior_Forecast!$A:$A,$B$602,Prior_Forecast!$B:$B,$D$602),""))</f>
        <v/>
      </c>
      <c r="Q607" s="37">
        <f>IF($B$602="","",IF(COUNTIFS(Prior_Forecast!$A:$A,$B$602,Prior_Forecast!$B:$B,$D$602)&gt;0,SUMIFS(Prior_Forecast!$L:$L,Prior_Forecast!$A:$A,$B$602,Prior_Forecast!$B:$B,$D$602),""))</f>
        <v/>
      </c>
      <c r="R607" s="37">
        <f>IF($B$602="","",IF(COUNTIFS(Prior_Forecast!$A:$A,$B$602,Prior_Forecast!$B:$B,$D$602)&gt;0,SUMIFS(Prior_Forecast!$M:$M,Prior_Forecast!$A:$A,$B$602,Prior_Forecast!$B:$B,$D$602),""))</f>
        <v/>
      </c>
      <c r="S607" s="37">
        <f>IF($B$602="","",IF(COUNTIFS(Prior_Forecast!$A:$A,$B$602,Prior_Forecast!$B:$B,$D$602)&gt;0,SUMIFS(Prior_Forecast!$N:$N,Prior_Forecast!$A:$A,$B$602,Prior_Forecast!$B:$B,$D$602),""))</f>
        <v/>
      </c>
      <c r="T607" s="37">
        <f>IF($B$602="","",IF(COUNTIFS(Prior_Forecast!$A:$A,$B$602,Prior_Forecast!$B:$B,$D$602)&gt;0,SUMIFS(Prior_Forecast!$O:$O,Prior_Forecast!$A:$A,$B$602,Prior_Forecast!$B:$B,$D$602),""))</f>
        <v/>
      </c>
      <c r="U607" s="37">
        <f>IF($B$602="","",IF(COUNTIFS(Prior_Forecast!$A:$A,$B$602,Prior_Forecast!$B:$B,$D$602)&gt;0,SUMIFS(Prior_Forecast!$P:$P,Prior_Forecast!$A:$A,$B$602,Prior_Forecast!$B:$B,$D$602),""))</f>
        <v/>
      </c>
      <c r="V607" s="37">
        <f>IF($B$602="","",IF(COUNTIFS(Prior_Forecast!$A:$A,$B$602,Prior_Forecast!$B:$B,$D$602)&gt;0,SUMIFS(Prior_Forecast!$Q:$Q,Prior_Forecast!$A:$A,$B$602,Prior_Forecast!$B:$B,$D$602),""))</f>
        <v/>
      </c>
      <c r="X607" s="22">
        <f>IF($B607="","",IFERROR(INDEX(Cost_Centers!$E:$E,MATCH($B607,Cost_Centers!$A:$A,0)),"(unknown)"))</f>
        <v/>
      </c>
      <c r="Y607" s="22">
        <f>IF($B607="","",IFERROR(INDEX(Cost_Centers!$D:$D,MATCH($B607,Cost_Centers!$A:$A,0)),"(unknown)"))</f>
        <v/>
      </c>
      <c r="Z607" s="22">
        <f>IF(OR($B607="",$G607&lt;&gt;"Variance vs Budget"),"",ABS(N($V607))+ROW()/1000000000)</f>
        <v/>
      </c>
    </row>
    <row r="608">
      <c r="A608" s="13">
        <f>IF(A$602="","",A$602)</f>
        <v/>
      </c>
      <c r="B608" s="13">
        <f>IF(B$602="","",B$602)</f>
        <v/>
      </c>
      <c r="C608" s="13">
        <f>IF(C$602="","",C$602)</f>
        <v/>
      </c>
      <c r="D608" s="13">
        <f>IF(D$602="","",D$602)</f>
        <v/>
      </c>
      <c r="E608" s="13">
        <f>IF(E$602="","",E$602)</f>
        <v/>
      </c>
      <c r="F608" s="13">
        <f>IF(F$602="","",F$602)</f>
        <v/>
      </c>
      <c r="G608" s="6" t="inlineStr">
        <is>
          <t>Variance vs Prior Month</t>
        </is>
      </c>
      <c r="H608" s="33">
        <f>IF(OR($B$602="",H607=""),"",H606-H607)</f>
        <v/>
      </c>
      <c r="I608" s="33">
        <f>IF(OR($B$602="",I607=""),"",I606-I607)</f>
        <v/>
      </c>
      <c r="J608" s="33">
        <f>IF(OR($B$602="",J607=""),"",J606-J607)</f>
        <v/>
      </c>
      <c r="K608" s="33">
        <f>IF(OR($B$602="",K607=""),"",K606-K607)</f>
        <v/>
      </c>
      <c r="L608" s="33">
        <f>IF(OR($B$602="",L607=""),"",L606-L607)</f>
        <v/>
      </c>
      <c r="M608" s="33">
        <f>IF(OR($B$602="",M607=""),"",M606-M607)</f>
        <v/>
      </c>
      <c r="N608" s="33">
        <f>IF(OR($B$602="",N607=""),"",N606-N607)</f>
        <v/>
      </c>
      <c r="O608" s="33">
        <f>IF(OR($B$602="",O607=""),"",O606-O607)</f>
        <v/>
      </c>
      <c r="P608" s="33">
        <f>IF(OR($B$602="",P607=""),"",P606-P607)</f>
        <v/>
      </c>
      <c r="Q608" s="33">
        <f>IF(OR($B$602="",Q607=""),"",Q606-Q607)</f>
        <v/>
      </c>
      <c r="R608" s="33">
        <f>IF(OR($B$602="",R607=""),"",R606-R607)</f>
        <v/>
      </c>
      <c r="S608" s="33">
        <f>IF(OR($B$602="",S607=""),"",S606-S607)</f>
        <v/>
      </c>
      <c r="T608" s="33">
        <f>IF(OR($B$602="",T607=""),"",T606-T607)</f>
        <v/>
      </c>
      <c r="U608" s="33">
        <f>IF(OR($B$602="",U607=""),"",U606-U607)</f>
        <v/>
      </c>
      <c r="V608" s="33">
        <f>IF(OR($B$602="",V607=""),"",V606-V607)</f>
        <v/>
      </c>
      <c r="X608" s="22">
        <f>IF($B608="","",IFERROR(INDEX(Cost_Centers!$E:$E,MATCH($B608,Cost_Centers!$A:$A,0)),"(unknown)"))</f>
        <v/>
      </c>
      <c r="Y608" s="22">
        <f>IF($B608="","",IFERROR(INDEX(Cost_Centers!$D:$D,MATCH($B608,Cost_Centers!$A:$A,0)),"(unknown)"))</f>
        <v/>
      </c>
      <c r="Z608" s="22">
        <f>IF(OR($B608="",$G608&lt;&gt;"Variance vs Budget"),"",ABS(N($V608))+ROW()/1000000000)</f>
        <v/>
      </c>
    </row>
    <row r="609" ht="45" customHeight="1">
      <c r="A609" s="13">
        <f>IF(A$602="","",A$602)</f>
        <v/>
      </c>
      <c r="B609" s="13">
        <f>IF(B$602="","",B$602)</f>
        <v/>
      </c>
      <c r="C609" s="13">
        <f>IF(C$602="","",C$602)</f>
        <v/>
      </c>
      <c r="D609" s="13">
        <f>IF(D$602="","",D$602)</f>
        <v/>
      </c>
      <c r="E609" s="13">
        <f>IF(E$602="","",E$602)</f>
        <v/>
      </c>
      <c r="F609" s="13">
        <f>IF(F$602="","",F$602)</f>
        <v/>
      </c>
      <c r="G609" s="7" t="inlineStr">
        <is>
          <t>Rationale</t>
        </is>
      </c>
      <c r="H609" s="38" t="n"/>
      <c r="I609" s="38" t="n"/>
      <c r="J609" s="38" t="n"/>
      <c r="K609" s="38" t="n"/>
      <c r="L609" s="38" t="n"/>
      <c r="M609" s="38" t="n"/>
      <c r="N609" s="38" t="n"/>
      <c r="O609" s="38" t="n"/>
      <c r="P609" s="38" t="n"/>
      <c r="Q609" s="38" t="n"/>
      <c r="R609" s="38" t="n"/>
      <c r="S609" s="38" t="n"/>
      <c r="T609" s="38" t="n"/>
      <c r="U609" s="38" t="n"/>
      <c r="V609" s="7" t="n"/>
      <c r="X609" s="22">
        <f>IF($B609="","",IFERROR(INDEX(Cost_Centers!$E:$E,MATCH($B609,Cost_Centers!$A:$A,0)),"(unknown)"))</f>
        <v/>
      </c>
      <c r="Y609" s="22">
        <f>IF($B609="","",IFERROR(INDEX(Cost_Centers!$D:$D,MATCH($B609,Cost_Centers!$A:$A,0)),"(unknown)"))</f>
        <v/>
      </c>
      <c r="Z609" s="22">
        <f>IF(OR($B609="",$G609&lt;&gt;"Variance vs Budget"),"",ABS(N($V609))+ROW()/1000000000)</f>
        <v/>
      </c>
    </row>
    <row r="610">
      <c r="A610" s="30">
        <f>IF($D$610="","",LEFT($D$610,FIND("|",$D$610&amp;"|")-1))</f>
        <v/>
      </c>
      <c r="B610" s="31" t="n"/>
      <c r="C610" s="30">
        <f>IF($B$610="","",IFERROR(INDEX(Cost_Centers!$B:$B,MATCH($B$610,Cost_Centers!$A:$A,0)),"(not in master)"))</f>
        <v/>
      </c>
      <c r="D610" s="31" t="n"/>
      <c r="E610" s="30">
        <f>IF($D$610="","",IFERROR(INDEX(Accounts!$D:$D,MATCH($D$610,Accounts!$A:$A,0)),"(not in master)"))</f>
        <v/>
      </c>
      <c r="F610" s="31" t="n"/>
      <c r="G610" s="30" t="inlineStr">
        <is>
          <t>Budget</t>
        </is>
      </c>
      <c r="H610" s="32">
        <f>IF($B$610="","",SUMIFS(Opex_Budget!$O:$O,Opex_Budget!$A:$A,$C$3,Opex_Budget!$E:$E,$B$610,Opex_Budget!$F:$F,$D$610,Opex_Budget!$N:$N,"JPY")*$E$5+SUMIFS(Opex_Budget!$O:$O,Opex_Budget!$A:$A,$C$3,Opex_Budget!$E:$E,$B$610,Opex_Budget!$F:$F,$D$610,Opex_Budget!$N:$N,"USD")*$F$5+SUMIFS(Opex_Budget!$O:$O,Opex_Budget!$A:$A,$C$3,Opex_Budget!$E:$E,$B$610,Opex_Budget!$F:$F,$D$610,Opex_Budget!$N:$N,"EUR")*$G$5+SUMIFS(Opex_Budget!$O:$O,Opex_Budget!$A:$A,$C$3,Opex_Budget!$E:$E,$B$610,Opex_Budget!$F:$F,$D$610,Opex_Budget!$N:$N,"GBP")*$H$5)</f>
        <v/>
      </c>
      <c r="I610" s="32">
        <f>IF($B$610="","",SUMIFS(Opex_Budget!$P:$P,Opex_Budget!$A:$A,$C$3,Opex_Budget!$E:$E,$B$610,Opex_Budget!$F:$F,$D$610,Opex_Budget!$N:$N,"JPY")*$E$5+SUMIFS(Opex_Budget!$P:$P,Opex_Budget!$A:$A,$C$3,Opex_Budget!$E:$E,$B$610,Opex_Budget!$F:$F,$D$610,Opex_Budget!$N:$N,"USD")*$F$5+SUMIFS(Opex_Budget!$P:$P,Opex_Budget!$A:$A,$C$3,Opex_Budget!$E:$E,$B$610,Opex_Budget!$F:$F,$D$610,Opex_Budget!$N:$N,"EUR")*$G$5+SUMIFS(Opex_Budget!$P:$P,Opex_Budget!$A:$A,$C$3,Opex_Budget!$E:$E,$B$610,Opex_Budget!$F:$F,$D$610,Opex_Budget!$N:$N,"GBP")*$H$5)</f>
        <v/>
      </c>
      <c r="J610" s="32">
        <f>IF($B$610="","",SUMIFS(Opex_Budget!$Q:$Q,Opex_Budget!$A:$A,$C$3,Opex_Budget!$E:$E,$B$610,Opex_Budget!$F:$F,$D$610,Opex_Budget!$N:$N,"JPY")*$E$5+SUMIFS(Opex_Budget!$Q:$Q,Opex_Budget!$A:$A,$C$3,Opex_Budget!$E:$E,$B$610,Opex_Budget!$F:$F,$D$610,Opex_Budget!$N:$N,"USD")*$F$5+SUMIFS(Opex_Budget!$Q:$Q,Opex_Budget!$A:$A,$C$3,Opex_Budget!$E:$E,$B$610,Opex_Budget!$F:$F,$D$610,Opex_Budget!$N:$N,"EUR")*$G$5+SUMIFS(Opex_Budget!$Q:$Q,Opex_Budget!$A:$A,$C$3,Opex_Budget!$E:$E,$B$610,Opex_Budget!$F:$F,$D$610,Opex_Budget!$N:$N,"GBP")*$H$5)</f>
        <v/>
      </c>
      <c r="K610" s="32">
        <f>IF($B$610="","",SUMIFS(Opex_Budget!$R:$R,Opex_Budget!$A:$A,$C$3,Opex_Budget!$E:$E,$B$610,Opex_Budget!$F:$F,$D$610,Opex_Budget!$N:$N,"JPY")*$E$5+SUMIFS(Opex_Budget!$R:$R,Opex_Budget!$A:$A,$C$3,Opex_Budget!$E:$E,$B$610,Opex_Budget!$F:$F,$D$610,Opex_Budget!$N:$N,"USD")*$F$5+SUMIFS(Opex_Budget!$R:$R,Opex_Budget!$A:$A,$C$3,Opex_Budget!$E:$E,$B$610,Opex_Budget!$F:$F,$D$610,Opex_Budget!$N:$N,"EUR")*$G$5+SUMIFS(Opex_Budget!$R:$R,Opex_Budget!$A:$A,$C$3,Opex_Budget!$E:$E,$B$610,Opex_Budget!$F:$F,$D$610,Opex_Budget!$N:$N,"GBP")*$H$5)</f>
        <v/>
      </c>
      <c r="L610" s="32">
        <f>IF($B$610="","",SUMIFS(Opex_Budget!$S:$S,Opex_Budget!$A:$A,$C$3,Opex_Budget!$E:$E,$B$610,Opex_Budget!$F:$F,$D$610,Opex_Budget!$N:$N,"JPY")*$E$5+SUMIFS(Opex_Budget!$S:$S,Opex_Budget!$A:$A,$C$3,Opex_Budget!$E:$E,$B$610,Opex_Budget!$F:$F,$D$610,Opex_Budget!$N:$N,"USD")*$F$5+SUMIFS(Opex_Budget!$S:$S,Opex_Budget!$A:$A,$C$3,Opex_Budget!$E:$E,$B$610,Opex_Budget!$F:$F,$D$610,Opex_Budget!$N:$N,"EUR")*$G$5+SUMIFS(Opex_Budget!$S:$S,Opex_Budget!$A:$A,$C$3,Opex_Budget!$E:$E,$B$610,Opex_Budget!$F:$F,$D$610,Opex_Budget!$N:$N,"GBP")*$H$5)</f>
        <v/>
      </c>
      <c r="M610" s="32">
        <f>IF($B$610="","",SUMIFS(Opex_Budget!$T:$T,Opex_Budget!$A:$A,$C$3,Opex_Budget!$E:$E,$B$610,Opex_Budget!$F:$F,$D$610,Opex_Budget!$N:$N,"JPY")*$E$5+SUMIFS(Opex_Budget!$T:$T,Opex_Budget!$A:$A,$C$3,Opex_Budget!$E:$E,$B$610,Opex_Budget!$F:$F,$D$610,Opex_Budget!$N:$N,"USD")*$F$5+SUMIFS(Opex_Budget!$T:$T,Opex_Budget!$A:$A,$C$3,Opex_Budget!$E:$E,$B$610,Opex_Budget!$F:$F,$D$610,Opex_Budget!$N:$N,"EUR")*$G$5+SUMIFS(Opex_Budget!$T:$T,Opex_Budget!$A:$A,$C$3,Opex_Budget!$E:$E,$B$610,Opex_Budget!$F:$F,$D$610,Opex_Budget!$N:$N,"GBP")*$H$5)</f>
        <v/>
      </c>
      <c r="N610" s="32">
        <f>IF($B$610="","",SUMIFS(Opex_Budget!$U:$U,Opex_Budget!$A:$A,$C$3,Opex_Budget!$E:$E,$B$610,Opex_Budget!$F:$F,$D$610,Opex_Budget!$N:$N,"JPY")*$E$5+SUMIFS(Opex_Budget!$U:$U,Opex_Budget!$A:$A,$C$3,Opex_Budget!$E:$E,$B$610,Opex_Budget!$F:$F,$D$610,Opex_Budget!$N:$N,"USD")*$F$5+SUMIFS(Opex_Budget!$U:$U,Opex_Budget!$A:$A,$C$3,Opex_Budget!$E:$E,$B$610,Opex_Budget!$F:$F,$D$610,Opex_Budget!$N:$N,"EUR")*$G$5+SUMIFS(Opex_Budget!$U:$U,Opex_Budget!$A:$A,$C$3,Opex_Budget!$E:$E,$B$610,Opex_Budget!$F:$F,$D$610,Opex_Budget!$N:$N,"GBP")*$H$5)</f>
        <v/>
      </c>
      <c r="O610" s="32">
        <f>IF($B$610="","",SUMIFS(Opex_Budget!$V:$V,Opex_Budget!$A:$A,$C$3,Opex_Budget!$E:$E,$B$610,Opex_Budget!$F:$F,$D$610,Opex_Budget!$N:$N,"JPY")*$E$5+SUMIFS(Opex_Budget!$V:$V,Opex_Budget!$A:$A,$C$3,Opex_Budget!$E:$E,$B$610,Opex_Budget!$F:$F,$D$610,Opex_Budget!$N:$N,"USD")*$F$5+SUMIFS(Opex_Budget!$V:$V,Opex_Budget!$A:$A,$C$3,Opex_Budget!$E:$E,$B$610,Opex_Budget!$F:$F,$D$610,Opex_Budget!$N:$N,"EUR")*$G$5+SUMIFS(Opex_Budget!$V:$V,Opex_Budget!$A:$A,$C$3,Opex_Budget!$E:$E,$B$610,Opex_Budget!$F:$F,$D$610,Opex_Budget!$N:$N,"GBP")*$H$5)</f>
        <v/>
      </c>
      <c r="P610" s="32">
        <f>IF($B$610="","",SUMIFS(Opex_Budget!$W:$W,Opex_Budget!$A:$A,$C$3,Opex_Budget!$E:$E,$B$610,Opex_Budget!$F:$F,$D$610,Opex_Budget!$N:$N,"JPY")*$E$5+SUMIFS(Opex_Budget!$W:$W,Opex_Budget!$A:$A,$C$3,Opex_Budget!$E:$E,$B$610,Opex_Budget!$F:$F,$D$610,Opex_Budget!$N:$N,"USD")*$F$5+SUMIFS(Opex_Budget!$W:$W,Opex_Budget!$A:$A,$C$3,Opex_Budget!$E:$E,$B$610,Opex_Budget!$F:$F,$D$610,Opex_Budget!$N:$N,"EUR")*$G$5+SUMIFS(Opex_Budget!$W:$W,Opex_Budget!$A:$A,$C$3,Opex_Budget!$E:$E,$B$610,Opex_Budget!$F:$F,$D$610,Opex_Budget!$N:$N,"GBP")*$H$5)</f>
        <v/>
      </c>
      <c r="Q610" s="32">
        <f>IF($B$610="","",SUMIFS(Opex_Budget!$X:$X,Opex_Budget!$A:$A,$C$3,Opex_Budget!$E:$E,$B$610,Opex_Budget!$F:$F,$D$610,Opex_Budget!$N:$N,"JPY")*$E$5+SUMIFS(Opex_Budget!$X:$X,Opex_Budget!$A:$A,$C$3,Opex_Budget!$E:$E,$B$610,Opex_Budget!$F:$F,$D$610,Opex_Budget!$N:$N,"USD")*$F$5+SUMIFS(Opex_Budget!$X:$X,Opex_Budget!$A:$A,$C$3,Opex_Budget!$E:$E,$B$610,Opex_Budget!$F:$F,$D$610,Opex_Budget!$N:$N,"EUR")*$G$5+SUMIFS(Opex_Budget!$X:$X,Opex_Budget!$A:$A,$C$3,Opex_Budget!$E:$E,$B$610,Opex_Budget!$F:$F,$D$610,Opex_Budget!$N:$N,"GBP")*$H$5)</f>
        <v/>
      </c>
      <c r="R610" s="32">
        <f>IF($B$610="","",SUMIFS(Opex_Budget!$Y:$Y,Opex_Budget!$A:$A,$C$3,Opex_Budget!$E:$E,$B$610,Opex_Budget!$F:$F,$D$610,Opex_Budget!$N:$N,"JPY")*$E$5+SUMIFS(Opex_Budget!$Y:$Y,Opex_Budget!$A:$A,$C$3,Opex_Budget!$E:$E,$B$610,Opex_Budget!$F:$F,$D$610,Opex_Budget!$N:$N,"USD")*$F$5+SUMIFS(Opex_Budget!$Y:$Y,Opex_Budget!$A:$A,$C$3,Opex_Budget!$E:$E,$B$610,Opex_Budget!$F:$F,$D$610,Opex_Budget!$N:$N,"EUR")*$G$5+SUMIFS(Opex_Budget!$Y:$Y,Opex_Budget!$A:$A,$C$3,Opex_Budget!$E:$E,$B$610,Opex_Budget!$F:$F,$D$610,Opex_Budget!$N:$N,"GBP")*$H$5)</f>
        <v/>
      </c>
      <c r="S610" s="32">
        <f>IF($B$610="","",SUMIFS(Opex_Budget!$Z:$Z,Opex_Budget!$A:$A,$C$3,Opex_Budget!$E:$E,$B$610,Opex_Budget!$F:$F,$D$610,Opex_Budget!$N:$N,"JPY")*$E$5+SUMIFS(Opex_Budget!$Z:$Z,Opex_Budget!$A:$A,$C$3,Opex_Budget!$E:$E,$B$610,Opex_Budget!$F:$F,$D$610,Opex_Budget!$N:$N,"USD")*$F$5+SUMIFS(Opex_Budget!$Z:$Z,Opex_Budget!$A:$A,$C$3,Opex_Budget!$E:$E,$B$610,Opex_Budget!$F:$F,$D$610,Opex_Budget!$N:$N,"EUR")*$G$5+SUMIFS(Opex_Budget!$Z:$Z,Opex_Budget!$A:$A,$C$3,Opex_Budget!$E:$E,$B$610,Opex_Budget!$F:$F,$D$610,Opex_Budget!$N:$N,"GBP")*$H$5)</f>
        <v/>
      </c>
      <c r="T610" s="32">
        <f>IF($B$610="","",SUMIF($H$7:$S$7,"&lt;="&amp;$C$4,$H610:$S610))</f>
        <v/>
      </c>
      <c r="U610" s="32">
        <f>IF($B$610="","",SUMIF($H$7:$S$7,"&gt;"&amp;$C$4,$H610:$S610))</f>
        <v/>
      </c>
      <c r="V610" s="32">
        <f>IF($B$610="","",SUM($H610:$S610))</f>
        <v/>
      </c>
      <c r="X610" s="22">
        <f>IF($B610="","",IFERROR(INDEX(Cost_Centers!$E:$E,MATCH($B610,Cost_Centers!$A:$A,0)),"(unknown)"))</f>
        <v/>
      </c>
      <c r="Y610" s="22">
        <f>IF($B610="","",IFERROR(INDEX(Cost_Centers!$D:$D,MATCH($B610,Cost_Centers!$A:$A,0)),"(unknown)"))</f>
        <v/>
      </c>
      <c r="Z610" s="22">
        <f>IF(OR($B610="",$G610&lt;&gt;"Variance vs Budget"),"",ABS(N($V610))+ROW()/1000000000)</f>
        <v/>
      </c>
    </row>
    <row r="611">
      <c r="A611" s="13">
        <f>IF(A$610="","",A$610)</f>
        <v/>
      </c>
      <c r="B611" s="13">
        <f>IF(B$610="","",B$610)</f>
        <v/>
      </c>
      <c r="C611" s="13">
        <f>IF(C$610="","",C$610)</f>
        <v/>
      </c>
      <c r="D611" s="13">
        <f>IF(D$610="","",D$610)</f>
        <v/>
      </c>
      <c r="E611" s="13">
        <f>IF(E$610="","",E$610)</f>
        <v/>
      </c>
      <c r="F611" s="13">
        <f>IF(F$610="","",F$610)</f>
        <v/>
      </c>
      <c r="G611" s="7" t="inlineStr">
        <is>
          <t>Actual</t>
        </is>
      </c>
      <c r="H611" s="18">
        <f>IF(OR($B$610="",1&gt;$C$4),"",SUMIFS(Actuals!$G:$G,Actuals!$B:$B,$C$3,Actuals!$C:$C,1,Actuals!$D:$D,$B$610,Actuals!$A:$A,LEFT($D$610,FIND("|",$D$610&amp;"|")-1),Actuals!$E:$E,MID($D$610,FIND("|",$D$610&amp;"|")+1,50),Actuals!$F:$F,"JPY")*$E$5+SUMIFS(Actuals!$G:$G,Actuals!$B:$B,$C$3,Actuals!$C:$C,1,Actuals!$D:$D,$B$610,Actuals!$A:$A,LEFT($D$610,FIND("|",$D$610&amp;"|")-1),Actuals!$E:$E,MID($D$610,FIND("|",$D$610&amp;"|")+1,50),Actuals!$F:$F,"USD")*$F$5+SUMIFS(Actuals!$G:$G,Actuals!$B:$B,$C$3,Actuals!$C:$C,1,Actuals!$D:$D,$B$610,Actuals!$A:$A,LEFT($D$610,FIND("|",$D$610&amp;"|")-1),Actuals!$E:$E,MID($D$610,FIND("|",$D$610&amp;"|")+1,50),Actuals!$F:$F,"EUR")*$G$5+SUMIFS(Actuals!$G:$G,Actuals!$B:$B,$C$3,Actuals!$C:$C,1,Actuals!$D:$D,$B$610,Actuals!$A:$A,LEFT($D$610,FIND("|",$D$610&amp;"|")-1),Actuals!$E:$E,MID($D$610,FIND("|",$D$610&amp;"|")+1,50),Actuals!$F:$F,"GBP")*$H$5)</f>
        <v/>
      </c>
      <c r="I611" s="18">
        <f>IF(OR($B$610="",2&gt;$C$4),"",SUMIFS(Actuals!$G:$G,Actuals!$B:$B,$C$3,Actuals!$C:$C,2,Actuals!$D:$D,$B$610,Actuals!$A:$A,LEFT($D$610,FIND("|",$D$610&amp;"|")-1),Actuals!$E:$E,MID($D$610,FIND("|",$D$610&amp;"|")+1,50),Actuals!$F:$F,"JPY")*$E$5+SUMIFS(Actuals!$G:$G,Actuals!$B:$B,$C$3,Actuals!$C:$C,2,Actuals!$D:$D,$B$610,Actuals!$A:$A,LEFT($D$610,FIND("|",$D$610&amp;"|")-1),Actuals!$E:$E,MID($D$610,FIND("|",$D$610&amp;"|")+1,50),Actuals!$F:$F,"USD")*$F$5+SUMIFS(Actuals!$G:$G,Actuals!$B:$B,$C$3,Actuals!$C:$C,2,Actuals!$D:$D,$B$610,Actuals!$A:$A,LEFT($D$610,FIND("|",$D$610&amp;"|")-1),Actuals!$E:$E,MID($D$610,FIND("|",$D$610&amp;"|")+1,50),Actuals!$F:$F,"EUR")*$G$5+SUMIFS(Actuals!$G:$G,Actuals!$B:$B,$C$3,Actuals!$C:$C,2,Actuals!$D:$D,$B$610,Actuals!$A:$A,LEFT($D$610,FIND("|",$D$610&amp;"|")-1),Actuals!$E:$E,MID($D$610,FIND("|",$D$610&amp;"|")+1,50),Actuals!$F:$F,"GBP")*$H$5)</f>
        <v/>
      </c>
      <c r="J611" s="18">
        <f>IF(OR($B$610="",3&gt;$C$4),"",SUMIFS(Actuals!$G:$G,Actuals!$B:$B,$C$3,Actuals!$C:$C,3,Actuals!$D:$D,$B$610,Actuals!$A:$A,LEFT($D$610,FIND("|",$D$610&amp;"|")-1),Actuals!$E:$E,MID($D$610,FIND("|",$D$610&amp;"|")+1,50),Actuals!$F:$F,"JPY")*$E$5+SUMIFS(Actuals!$G:$G,Actuals!$B:$B,$C$3,Actuals!$C:$C,3,Actuals!$D:$D,$B$610,Actuals!$A:$A,LEFT($D$610,FIND("|",$D$610&amp;"|")-1),Actuals!$E:$E,MID($D$610,FIND("|",$D$610&amp;"|")+1,50),Actuals!$F:$F,"USD")*$F$5+SUMIFS(Actuals!$G:$G,Actuals!$B:$B,$C$3,Actuals!$C:$C,3,Actuals!$D:$D,$B$610,Actuals!$A:$A,LEFT($D$610,FIND("|",$D$610&amp;"|")-1),Actuals!$E:$E,MID($D$610,FIND("|",$D$610&amp;"|")+1,50),Actuals!$F:$F,"EUR")*$G$5+SUMIFS(Actuals!$G:$G,Actuals!$B:$B,$C$3,Actuals!$C:$C,3,Actuals!$D:$D,$B$610,Actuals!$A:$A,LEFT($D$610,FIND("|",$D$610&amp;"|")-1),Actuals!$E:$E,MID($D$610,FIND("|",$D$610&amp;"|")+1,50),Actuals!$F:$F,"GBP")*$H$5)</f>
        <v/>
      </c>
      <c r="K611" s="18">
        <f>IF(OR($B$610="",4&gt;$C$4),"",SUMIFS(Actuals!$G:$G,Actuals!$B:$B,$C$3,Actuals!$C:$C,4,Actuals!$D:$D,$B$610,Actuals!$A:$A,LEFT($D$610,FIND("|",$D$610&amp;"|")-1),Actuals!$E:$E,MID($D$610,FIND("|",$D$610&amp;"|")+1,50),Actuals!$F:$F,"JPY")*$E$5+SUMIFS(Actuals!$G:$G,Actuals!$B:$B,$C$3,Actuals!$C:$C,4,Actuals!$D:$D,$B$610,Actuals!$A:$A,LEFT($D$610,FIND("|",$D$610&amp;"|")-1),Actuals!$E:$E,MID($D$610,FIND("|",$D$610&amp;"|")+1,50),Actuals!$F:$F,"USD")*$F$5+SUMIFS(Actuals!$G:$G,Actuals!$B:$B,$C$3,Actuals!$C:$C,4,Actuals!$D:$D,$B$610,Actuals!$A:$A,LEFT($D$610,FIND("|",$D$610&amp;"|")-1),Actuals!$E:$E,MID($D$610,FIND("|",$D$610&amp;"|")+1,50),Actuals!$F:$F,"EUR")*$G$5+SUMIFS(Actuals!$G:$G,Actuals!$B:$B,$C$3,Actuals!$C:$C,4,Actuals!$D:$D,$B$610,Actuals!$A:$A,LEFT($D$610,FIND("|",$D$610&amp;"|")-1),Actuals!$E:$E,MID($D$610,FIND("|",$D$610&amp;"|")+1,50),Actuals!$F:$F,"GBP")*$H$5)</f>
        <v/>
      </c>
      <c r="L611" s="18">
        <f>IF(OR($B$610="",5&gt;$C$4),"",SUMIFS(Actuals!$G:$G,Actuals!$B:$B,$C$3,Actuals!$C:$C,5,Actuals!$D:$D,$B$610,Actuals!$A:$A,LEFT($D$610,FIND("|",$D$610&amp;"|")-1),Actuals!$E:$E,MID($D$610,FIND("|",$D$610&amp;"|")+1,50),Actuals!$F:$F,"JPY")*$E$5+SUMIFS(Actuals!$G:$G,Actuals!$B:$B,$C$3,Actuals!$C:$C,5,Actuals!$D:$D,$B$610,Actuals!$A:$A,LEFT($D$610,FIND("|",$D$610&amp;"|")-1),Actuals!$E:$E,MID($D$610,FIND("|",$D$610&amp;"|")+1,50),Actuals!$F:$F,"USD")*$F$5+SUMIFS(Actuals!$G:$G,Actuals!$B:$B,$C$3,Actuals!$C:$C,5,Actuals!$D:$D,$B$610,Actuals!$A:$A,LEFT($D$610,FIND("|",$D$610&amp;"|")-1),Actuals!$E:$E,MID($D$610,FIND("|",$D$610&amp;"|")+1,50),Actuals!$F:$F,"EUR")*$G$5+SUMIFS(Actuals!$G:$G,Actuals!$B:$B,$C$3,Actuals!$C:$C,5,Actuals!$D:$D,$B$610,Actuals!$A:$A,LEFT($D$610,FIND("|",$D$610&amp;"|")-1),Actuals!$E:$E,MID($D$610,FIND("|",$D$610&amp;"|")+1,50),Actuals!$F:$F,"GBP")*$H$5)</f>
        <v/>
      </c>
      <c r="M611" s="18">
        <f>IF(OR($B$610="",6&gt;$C$4),"",SUMIFS(Actuals!$G:$G,Actuals!$B:$B,$C$3,Actuals!$C:$C,6,Actuals!$D:$D,$B$610,Actuals!$A:$A,LEFT($D$610,FIND("|",$D$610&amp;"|")-1),Actuals!$E:$E,MID($D$610,FIND("|",$D$610&amp;"|")+1,50),Actuals!$F:$F,"JPY")*$E$5+SUMIFS(Actuals!$G:$G,Actuals!$B:$B,$C$3,Actuals!$C:$C,6,Actuals!$D:$D,$B$610,Actuals!$A:$A,LEFT($D$610,FIND("|",$D$610&amp;"|")-1),Actuals!$E:$E,MID($D$610,FIND("|",$D$610&amp;"|")+1,50),Actuals!$F:$F,"USD")*$F$5+SUMIFS(Actuals!$G:$G,Actuals!$B:$B,$C$3,Actuals!$C:$C,6,Actuals!$D:$D,$B$610,Actuals!$A:$A,LEFT($D$610,FIND("|",$D$610&amp;"|")-1),Actuals!$E:$E,MID($D$610,FIND("|",$D$610&amp;"|")+1,50),Actuals!$F:$F,"EUR")*$G$5+SUMIFS(Actuals!$G:$G,Actuals!$B:$B,$C$3,Actuals!$C:$C,6,Actuals!$D:$D,$B$610,Actuals!$A:$A,LEFT($D$610,FIND("|",$D$610&amp;"|")-1),Actuals!$E:$E,MID($D$610,FIND("|",$D$610&amp;"|")+1,50),Actuals!$F:$F,"GBP")*$H$5)</f>
        <v/>
      </c>
      <c r="N611" s="18">
        <f>IF(OR($B$610="",7&gt;$C$4),"",SUMIFS(Actuals!$G:$G,Actuals!$B:$B,$C$3,Actuals!$C:$C,7,Actuals!$D:$D,$B$610,Actuals!$A:$A,LEFT($D$610,FIND("|",$D$610&amp;"|")-1),Actuals!$E:$E,MID($D$610,FIND("|",$D$610&amp;"|")+1,50),Actuals!$F:$F,"JPY")*$E$5+SUMIFS(Actuals!$G:$G,Actuals!$B:$B,$C$3,Actuals!$C:$C,7,Actuals!$D:$D,$B$610,Actuals!$A:$A,LEFT($D$610,FIND("|",$D$610&amp;"|")-1),Actuals!$E:$E,MID($D$610,FIND("|",$D$610&amp;"|")+1,50),Actuals!$F:$F,"USD")*$F$5+SUMIFS(Actuals!$G:$G,Actuals!$B:$B,$C$3,Actuals!$C:$C,7,Actuals!$D:$D,$B$610,Actuals!$A:$A,LEFT($D$610,FIND("|",$D$610&amp;"|")-1),Actuals!$E:$E,MID($D$610,FIND("|",$D$610&amp;"|")+1,50),Actuals!$F:$F,"EUR")*$G$5+SUMIFS(Actuals!$G:$G,Actuals!$B:$B,$C$3,Actuals!$C:$C,7,Actuals!$D:$D,$B$610,Actuals!$A:$A,LEFT($D$610,FIND("|",$D$610&amp;"|")-1),Actuals!$E:$E,MID($D$610,FIND("|",$D$610&amp;"|")+1,50),Actuals!$F:$F,"GBP")*$H$5)</f>
        <v/>
      </c>
      <c r="O611" s="18">
        <f>IF(OR($B$610="",8&gt;$C$4),"",SUMIFS(Actuals!$G:$G,Actuals!$B:$B,$C$3,Actuals!$C:$C,8,Actuals!$D:$D,$B$610,Actuals!$A:$A,LEFT($D$610,FIND("|",$D$610&amp;"|")-1),Actuals!$E:$E,MID($D$610,FIND("|",$D$610&amp;"|")+1,50),Actuals!$F:$F,"JPY")*$E$5+SUMIFS(Actuals!$G:$G,Actuals!$B:$B,$C$3,Actuals!$C:$C,8,Actuals!$D:$D,$B$610,Actuals!$A:$A,LEFT($D$610,FIND("|",$D$610&amp;"|")-1),Actuals!$E:$E,MID($D$610,FIND("|",$D$610&amp;"|")+1,50),Actuals!$F:$F,"USD")*$F$5+SUMIFS(Actuals!$G:$G,Actuals!$B:$B,$C$3,Actuals!$C:$C,8,Actuals!$D:$D,$B$610,Actuals!$A:$A,LEFT($D$610,FIND("|",$D$610&amp;"|")-1),Actuals!$E:$E,MID($D$610,FIND("|",$D$610&amp;"|")+1,50),Actuals!$F:$F,"EUR")*$G$5+SUMIFS(Actuals!$G:$G,Actuals!$B:$B,$C$3,Actuals!$C:$C,8,Actuals!$D:$D,$B$610,Actuals!$A:$A,LEFT($D$610,FIND("|",$D$610&amp;"|")-1),Actuals!$E:$E,MID($D$610,FIND("|",$D$610&amp;"|")+1,50),Actuals!$F:$F,"GBP")*$H$5)</f>
        <v/>
      </c>
      <c r="P611" s="18">
        <f>IF(OR($B$610="",9&gt;$C$4),"",SUMIFS(Actuals!$G:$G,Actuals!$B:$B,$C$3,Actuals!$C:$C,9,Actuals!$D:$D,$B$610,Actuals!$A:$A,LEFT($D$610,FIND("|",$D$610&amp;"|")-1),Actuals!$E:$E,MID($D$610,FIND("|",$D$610&amp;"|")+1,50),Actuals!$F:$F,"JPY")*$E$5+SUMIFS(Actuals!$G:$G,Actuals!$B:$B,$C$3,Actuals!$C:$C,9,Actuals!$D:$D,$B$610,Actuals!$A:$A,LEFT($D$610,FIND("|",$D$610&amp;"|")-1),Actuals!$E:$E,MID($D$610,FIND("|",$D$610&amp;"|")+1,50),Actuals!$F:$F,"USD")*$F$5+SUMIFS(Actuals!$G:$G,Actuals!$B:$B,$C$3,Actuals!$C:$C,9,Actuals!$D:$D,$B$610,Actuals!$A:$A,LEFT($D$610,FIND("|",$D$610&amp;"|")-1),Actuals!$E:$E,MID($D$610,FIND("|",$D$610&amp;"|")+1,50),Actuals!$F:$F,"EUR")*$G$5+SUMIFS(Actuals!$G:$G,Actuals!$B:$B,$C$3,Actuals!$C:$C,9,Actuals!$D:$D,$B$610,Actuals!$A:$A,LEFT($D$610,FIND("|",$D$610&amp;"|")-1),Actuals!$E:$E,MID($D$610,FIND("|",$D$610&amp;"|")+1,50),Actuals!$F:$F,"GBP")*$H$5)</f>
        <v/>
      </c>
      <c r="Q611" s="18">
        <f>IF(OR($B$610="",10&gt;$C$4),"",SUMIFS(Actuals!$G:$G,Actuals!$B:$B,$C$3,Actuals!$C:$C,10,Actuals!$D:$D,$B$610,Actuals!$A:$A,LEFT($D$610,FIND("|",$D$610&amp;"|")-1),Actuals!$E:$E,MID($D$610,FIND("|",$D$610&amp;"|")+1,50),Actuals!$F:$F,"JPY")*$E$5+SUMIFS(Actuals!$G:$G,Actuals!$B:$B,$C$3,Actuals!$C:$C,10,Actuals!$D:$D,$B$610,Actuals!$A:$A,LEFT($D$610,FIND("|",$D$610&amp;"|")-1),Actuals!$E:$E,MID($D$610,FIND("|",$D$610&amp;"|")+1,50),Actuals!$F:$F,"USD")*$F$5+SUMIFS(Actuals!$G:$G,Actuals!$B:$B,$C$3,Actuals!$C:$C,10,Actuals!$D:$D,$B$610,Actuals!$A:$A,LEFT($D$610,FIND("|",$D$610&amp;"|")-1),Actuals!$E:$E,MID($D$610,FIND("|",$D$610&amp;"|")+1,50),Actuals!$F:$F,"EUR")*$G$5+SUMIFS(Actuals!$G:$G,Actuals!$B:$B,$C$3,Actuals!$C:$C,10,Actuals!$D:$D,$B$610,Actuals!$A:$A,LEFT($D$610,FIND("|",$D$610&amp;"|")-1),Actuals!$E:$E,MID($D$610,FIND("|",$D$610&amp;"|")+1,50),Actuals!$F:$F,"GBP")*$H$5)</f>
        <v/>
      </c>
      <c r="R611" s="18">
        <f>IF(OR($B$610="",11&gt;$C$4),"",SUMIFS(Actuals!$G:$G,Actuals!$B:$B,$C$3,Actuals!$C:$C,11,Actuals!$D:$D,$B$610,Actuals!$A:$A,LEFT($D$610,FIND("|",$D$610&amp;"|")-1),Actuals!$E:$E,MID($D$610,FIND("|",$D$610&amp;"|")+1,50),Actuals!$F:$F,"JPY")*$E$5+SUMIFS(Actuals!$G:$G,Actuals!$B:$B,$C$3,Actuals!$C:$C,11,Actuals!$D:$D,$B$610,Actuals!$A:$A,LEFT($D$610,FIND("|",$D$610&amp;"|")-1),Actuals!$E:$E,MID($D$610,FIND("|",$D$610&amp;"|")+1,50),Actuals!$F:$F,"USD")*$F$5+SUMIFS(Actuals!$G:$G,Actuals!$B:$B,$C$3,Actuals!$C:$C,11,Actuals!$D:$D,$B$610,Actuals!$A:$A,LEFT($D$610,FIND("|",$D$610&amp;"|")-1),Actuals!$E:$E,MID($D$610,FIND("|",$D$610&amp;"|")+1,50),Actuals!$F:$F,"EUR")*$G$5+SUMIFS(Actuals!$G:$G,Actuals!$B:$B,$C$3,Actuals!$C:$C,11,Actuals!$D:$D,$B$610,Actuals!$A:$A,LEFT($D$610,FIND("|",$D$610&amp;"|")-1),Actuals!$E:$E,MID($D$610,FIND("|",$D$610&amp;"|")+1,50),Actuals!$F:$F,"GBP")*$H$5)</f>
        <v/>
      </c>
      <c r="S611" s="18">
        <f>IF(OR($B$610="",12&gt;$C$4),"",SUMIFS(Actuals!$G:$G,Actuals!$B:$B,$C$3,Actuals!$C:$C,12,Actuals!$D:$D,$B$610,Actuals!$A:$A,LEFT($D$610,FIND("|",$D$610&amp;"|")-1),Actuals!$E:$E,MID($D$610,FIND("|",$D$610&amp;"|")+1,50),Actuals!$F:$F,"JPY")*$E$5+SUMIFS(Actuals!$G:$G,Actuals!$B:$B,$C$3,Actuals!$C:$C,12,Actuals!$D:$D,$B$610,Actuals!$A:$A,LEFT($D$610,FIND("|",$D$610&amp;"|")-1),Actuals!$E:$E,MID($D$610,FIND("|",$D$610&amp;"|")+1,50),Actuals!$F:$F,"USD")*$F$5+SUMIFS(Actuals!$G:$G,Actuals!$B:$B,$C$3,Actuals!$C:$C,12,Actuals!$D:$D,$B$610,Actuals!$A:$A,LEFT($D$610,FIND("|",$D$610&amp;"|")-1),Actuals!$E:$E,MID($D$610,FIND("|",$D$610&amp;"|")+1,50),Actuals!$F:$F,"EUR")*$G$5+SUMIFS(Actuals!$G:$G,Actuals!$B:$B,$C$3,Actuals!$C:$C,12,Actuals!$D:$D,$B$610,Actuals!$A:$A,LEFT($D$610,FIND("|",$D$610&amp;"|")-1),Actuals!$E:$E,MID($D$610,FIND("|",$D$610&amp;"|")+1,50),Actuals!$F:$F,"GBP")*$H$5)</f>
        <v/>
      </c>
      <c r="T611" s="18">
        <f>IF($B$610="","",SUMIF($H$7:$S$7,"&lt;="&amp;$C$4,$H611:$S611))</f>
        <v/>
      </c>
      <c r="U611" s="18" t="n"/>
      <c r="V611" s="18" t="n"/>
      <c r="X611" s="22">
        <f>IF($B611="","",IFERROR(INDEX(Cost_Centers!$E:$E,MATCH($B611,Cost_Centers!$A:$A,0)),"(unknown)"))</f>
        <v/>
      </c>
      <c r="Y611" s="22">
        <f>IF($B611="","",IFERROR(INDEX(Cost_Centers!$D:$D,MATCH($B611,Cost_Centers!$A:$A,0)),"(unknown)"))</f>
        <v/>
      </c>
      <c r="Z611" s="22">
        <f>IF(OR($B611="",$G611&lt;&gt;"Variance vs Budget"),"",ABS(N($V611))+ROW()/1000000000)</f>
        <v/>
      </c>
    </row>
    <row r="612">
      <c r="A612" s="13">
        <f>IF(A$610="","",A$610)</f>
        <v/>
      </c>
      <c r="B612" s="13">
        <f>IF(B$610="","",B$610)</f>
        <v/>
      </c>
      <c r="C612" s="13">
        <f>IF(C$610="","",C$610)</f>
        <v/>
      </c>
      <c r="D612" s="13">
        <f>IF(D$610="","",D$610)</f>
        <v/>
      </c>
      <c r="E612" s="13">
        <f>IF(E$610="","",E$610)</f>
        <v/>
      </c>
      <c r="F612" s="13">
        <f>IF(F$610="","",F$610)</f>
        <v/>
      </c>
      <c r="G612" s="6" t="inlineStr">
        <is>
          <t>Variance vs Budget</t>
        </is>
      </c>
      <c r="H612" s="33">
        <f>IF(OR($B$610="",1&gt;$C$4),"",N(H611)-H610)</f>
        <v/>
      </c>
      <c r="I612" s="33">
        <f>IF(OR($B$610="",2&gt;$C$4),"",N(I611)-I610)</f>
        <v/>
      </c>
      <c r="J612" s="33">
        <f>IF(OR($B$610="",3&gt;$C$4),"",N(J611)-J610)</f>
        <v/>
      </c>
      <c r="K612" s="33">
        <f>IF(OR($B$610="",4&gt;$C$4),"",N(K611)-K610)</f>
        <v/>
      </c>
      <c r="L612" s="33">
        <f>IF(OR($B$610="",5&gt;$C$4),"",N(L611)-L610)</f>
        <v/>
      </c>
      <c r="M612" s="33">
        <f>IF(OR($B$610="",6&gt;$C$4),"",N(M611)-M610)</f>
        <v/>
      </c>
      <c r="N612" s="33">
        <f>IF(OR($B$610="",7&gt;$C$4),"",N(N611)-N610)</f>
        <v/>
      </c>
      <c r="O612" s="33">
        <f>IF(OR($B$610="",8&gt;$C$4),"",N(O611)-O610)</f>
        <v/>
      </c>
      <c r="P612" s="33">
        <f>IF(OR($B$610="",9&gt;$C$4),"",N(P611)-P610)</f>
        <v/>
      </c>
      <c r="Q612" s="33">
        <f>IF(OR($B$610="",10&gt;$C$4),"",N(Q611)-Q610)</f>
        <v/>
      </c>
      <c r="R612" s="33">
        <f>IF(OR($B$610="",11&gt;$C$4),"",N(R611)-R610)</f>
        <v/>
      </c>
      <c r="S612" s="33">
        <f>IF(OR($B$610="",12&gt;$C$4),"",N(S611)-S610)</f>
        <v/>
      </c>
      <c r="T612" s="33">
        <f>IF($B$610="","",T611-T610)</f>
        <v/>
      </c>
      <c r="U612" s="33">
        <f>IF($B$610="","",U614-U610)</f>
        <v/>
      </c>
      <c r="V612" s="33">
        <f>IF($B$610="","",V614-V610)</f>
        <v/>
      </c>
      <c r="X612" s="22">
        <f>IF($B612="","",IFERROR(INDEX(Cost_Centers!$E:$E,MATCH($B612,Cost_Centers!$A:$A,0)),"(unknown)"))</f>
        <v/>
      </c>
      <c r="Y612" s="22">
        <f>IF($B612="","",IFERROR(INDEX(Cost_Centers!$D:$D,MATCH($B612,Cost_Centers!$A:$A,0)),"(unknown)"))</f>
        <v/>
      </c>
      <c r="Z612" s="22">
        <f>IF(OR($B612="",$G612&lt;&gt;"Variance vs Budget"),"",ABS(N($V612))+ROW()/1000000000)</f>
        <v/>
      </c>
    </row>
    <row r="613">
      <c r="A613" s="13">
        <f>IF(A$610="","",A$610)</f>
        <v/>
      </c>
      <c r="B613" s="13">
        <f>IF(B$610="","",B$610)</f>
        <v/>
      </c>
      <c r="C613" s="13">
        <f>IF(C$610="","",C$610)</f>
        <v/>
      </c>
      <c r="D613" s="13">
        <f>IF(D$610="","",D$610)</f>
        <v/>
      </c>
      <c r="E613" s="13">
        <f>IF(E$610="","",E$610)</f>
        <v/>
      </c>
      <c r="F613" s="13">
        <f>IF(F$610="","",F$610)</f>
        <v/>
      </c>
      <c r="G613" s="7" t="inlineStr">
        <is>
          <t>Forecast (input)</t>
        </is>
      </c>
      <c r="H613" s="34" t="n"/>
      <c r="I613" s="34" t="n"/>
      <c r="J613" s="34" t="n"/>
      <c r="K613" s="34" t="n"/>
      <c r="L613" s="34" t="n"/>
      <c r="M613" s="34" t="n"/>
      <c r="N613" s="34" t="n"/>
      <c r="O613" s="34" t="n"/>
      <c r="P613" s="34" t="n"/>
      <c r="Q613" s="34" t="n"/>
      <c r="R613" s="34" t="n"/>
      <c r="S613" s="34" t="n"/>
      <c r="T613" s="18" t="n"/>
      <c r="U613" s="18" t="n"/>
      <c r="V613" s="18" t="n"/>
      <c r="X613" s="22">
        <f>IF($B613="","",IFERROR(INDEX(Cost_Centers!$E:$E,MATCH($B613,Cost_Centers!$A:$A,0)),"(unknown)"))</f>
        <v/>
      </c>
      <c r="Y613" s="22">
        <f>IF($B613="","",IFERROR(INDEX(Cost_Centers!$D:$D,MATCH($B613,Cost_Centers!$A:$A,0)),"(unknown)"))</f>
        <v/>
      </c>
      <c r="Z613" s="22">
        <f>IF(OR($B613="",$G613&lt;&gt;"Variance vs Budget"),"",ABS(N($V613))+ROW()/1000000000)</f>
        <v/>
      </c>
    </row>
    <row r="614">
      <c r="A614" s="13">
        <f>IF(A$610="","",A$610)</f>
        <v/>
      </c>
      <c r="B614" s="13">
        <f>IF(B$610="","",B$610)</f>
        <v/>
      </c>
      <c r="C614" s="13">
        <f>IF(C$610="","",C$610)</f>
        <v/>
      </c>
      <c r="D614" s="13">
        <f>IF(D$610="","",D$610)</f>
        <v/>
      </c>
      <c r="E614" s="13">
        <f>IF(E$610="","",E$610)</f>
        <v/>
      </c>
      <c r="F614" s="13">
        <f>IF(F$610="","",F$610)</f>
        <v/>
      </c>
      <c r="G614" s="35" t="inlineStr">
        <is>
          <t>Actual + Forecast</t>
        </is>
      </c>
      <c r="H614" s="18">
        <f>IF($B$610="","",IF(1&lt;=$C$4,N(H611),IF(H613="",H610,H613)))</f>
        <v/>
      </c>
      <c r="I614" s="18">
        <f>IF($B$610="","",IF(2&lt;=$C$4,N(I611),IF(I613="",I610,I613)))</f>
        <v/>
      </c>
      <c r="J614" s="18">
        <f>IF($B$610="","",IF(3&lt;=$C$4,N(J611),IF(J613="",J610,J613)))</f>
        <v/>
      </c>
      <c r="K614" s="18">
        <f>IF($B$610="","",IF(4&lt;=$C$4,N(K611),IF(K613="",K610,K613)))</f>
        <v/>
      </c>
      <c r="L614" s="18">
        <f>IF($B$610="","",IF(5&lt;=$C$4,N(L611),IF(L613="",L610,L613)))</f>
        <v/>
      </c>
      <c r="M614" s="18">
        <f>IF($B$610="","",IF(6&lt;=$C$4,N(M611),IF(M613="",M610,M613)))</f>
        <v/>
      </c>
      <c r="N614" s="18">
        <f>IF($B$610="","",IF(7&lt;=$C$4,N(N611),IF(N613="",N610,N613)))</f>
        <v/>
      </c>
      <c r="O614" s="18">
        <f>IF($B$610="","",IF(8&lt;=$C$4,N(O611),IF(O613="",O610,O613)))</f>
        <v/>
      </c>
      <c r="P614" s="18">
        <f>IF($B$610="","",IF(9&lt;=$C$4,N(P611),IF(P613="",P610,P613)))</f>
        <v/>
      </c>
      <c r="Q614" s="18">
        <f>IF($B$610="","",IF(10&lt;=$C$4,N(Q611),IF(Q613="",Q610,Q613)))</f>
        <v/>
      </c>
      <c r="R614" s="18">
        <f>IF($B$610="","",IF(11&lt;=$C$4,N(R611),IF(R613="",R610,R613)))</f>
        <v/>
      </c>
      <c r="S614" s="18">
        <f>IF($B$610="","",IF(12&lt;=$C$4,N(S611),IF(S613="",S610,S613)))</f>
        <v/>
      </c>
      <c r="T614" s="18">
        <f>IF($B$610="","",SUMIF($H$7:$S$7,"&lt;="&amp;$C$4,$H614:$S614))</f>
        <v/>
      </c>
      <c r="U614" s="18">
        <f>IF($B$610="","",SUMIF($H$7:$S$7,"&gt;"&amp;$C$4,$H614:$S614))</f>
        <v/>
      </c>
      <c r="V614" s="18">
        <f>IF($B$610="","",SUM($H614:$S614))</f>
        <v/>
      </c>
      <c r="X614" s="22">
        <f>IF($B614="","",IFERROR(INDEX(Cost_Centers!$E:$E,MATCH($B614,Cost_Centers!$A:$A,0)),"(unknown)"))</f>
        <v/>
      </c>
      <c r="Y614" s="22">
        <f>IF($B614="","",IFERROR(INDEX(Cost_Centers!$D:$D,MATCH($B614,Cost_Centers!$A:$A,0)),"(unknown)"))</f>
        <v/>
      </c>
      <c r="Z614" s="22">
        <f>IF(OR($B614="",$G614&lt;&gt;"Variance vs Budget"),"",ABS(N($V614))+ROW()/1000000000)</f>
        <v/>
      </c>
    </row>
    <row r="615">
      <c r="A615" s="13">
        <f>IF(A$610="","",A$610)</f>
        <v/>
      </c>
      <c r="B615" s="13">
        <f>IF(B$610="","",B$610)</f>
        <v/>
      </c>
      <c r="C615" s="13">
        <f>IF(C$610="","",C$610)</f>
        <v/>
      </c>
      <c r="D615" s="13">
        <f>IF(D$610="","",D$610)</f>
        <v/>
      </c>
      <c r="E615" s="13">
        <f>IF(E$610="","",E$610)</f>
        <v/>
      </c>
      <c r="F615" s="13">
        <f>IF(F$610="","",F$610)</f>
        <v/>
      </c>
      <c r="G615" s="36" t="inlineStr">
        <is>
          <t>Prior Month Forecast</t>
        </is>
      </c>
      <c r="H615" s="37">
        <f>IF($B$610="","",IF(COUNTIFS(Prior_Forecast!$A:$A,$B$610,Prior_Forecast!$B:$B,$D$610)&gt;0,SUMIFS(Prior_Forecast!$C:$C,Prior_Forecast!$A:$A,$B$610,Prior_Forecast!$B:$B,$D$610),""))</f>
        <v/>
      </c>
      <c r="I615" s="37">
        <f>IF($B$610="","",IF(COUNTIFS(Prior_Forecast!$A:$A,$B$610,Prior_Forecast!$B:$B,$D$610)&gt;0,SUMIFS(Prior_Forecast!$D:$D,Prior_Forecast!$A:$A,$B$610,Prior_Forecast!$B:$B,$D$610),""))</f>
        <v/>
      </c>
      <c r="J615" s="37">
        <f>IF($B$610="","",IF(COUNTIFS(Prior_Forecast!$A:$A,$B$610,Prior_Forecast!$B:$B,$D$610)&gt;0,SUMIFS(Prior_Forecast!$E:$E,Prior_Forecast!$A:$A,$B$610,Prior_Forecast!$B:$B,$D$610),""))</f>
        <v/>
      </c>
      <c r="K615" s="37">
        <f>IF($B$610="","",IF(COUNTIFS(Prior_Forecast!$A:$A,$B$610,Prior_Forecast!$B:$B,$D$610)&gt;0,SUMIFS(Prior_Forecast!$F:$F,Prior_Forecast!$A:$A,$B$610,Prior_Forecast!$B:$B,$D$610),""))</f>
        <v/>
      </c>
      <c r="L615" s="37">
        <f>IF($B$610="","",IF(COUNTIFS(Prior_Forecast!$A:$A,$B$610,Prior_Forecast!$B:$B,$D$610)&gt;0,SUMIFS(Prior_Forecast!$G:$G,Prior_Forecast!$A:$A,$B$610,Prior_Forecast!$B:$B,$D$610),""))</f>
        <v/>
      </c>
      <c r="M615" s="37">
        <f>IF($B$610="","",IF(COUNTIFS(Prior_Forecast!$A:$A,$B$610,Prior_Forecast!$B:$B,$D$610)&gt;0,SUMIFS(Prior_Forecast!$H:$H,Prior_Forecast!$A:$A,$B$610,Prior_Forecast!$B:$B,$D$610),""))</f>
        <v/>
      </c>
      <c r="N615" s="37">
        <f>IF($B$610="","",IF(COUNTIFS(Prior_Forecast!$A:$A,$B$610,Prior_Forecast!$B:$B,$D$610)&gt;0,SUMIFS(Prior_Forecast!$I:$I,Prior_Forecast!$A:$A,$B$610,Prior_Forecast!$B:$B,$D$610),""))</f>
        <v/>
      </c>
      <c r="O615" s="37">
        <f>IF($B$610="","",IF(COUNTIFS(Prior_Forecast!$A:$A,$B$610,Prior_Forecast!$B:$B,$D$610)&gt;0,SUMIFS(Prior_Forecast!$J:$J,Prior_Forecast!$A:$A,$B$610,Prior_Forecast!$B:$B,$D$610),""))</f>
        <v/>
      </c>
      <c r="P615" s="37">
        <f>IF($B$610="","",IF(COUNTIFS(Prior_Forecast!$A:$A,$B$610,Prior_Forecast!$B:$B,$D$610)&gt;0,SUMIFS(Prior_Forecast!$K:$K,Prior_Forecast!$A:$A,$B$610,Prior_Forecast!$B:$B,$D$610),""))</f>
        <v/>
      </c>
      <c r="Q615" s="37">
        <f>IF($B$610="","",IF(COUNTIFS(Prior_Forecast!$A:$A,$B$610,Prior_Forecast!$B:$B,$D$610)&gt;0,SUMIFS(Prior_Forecast!$L:$L,Prior_Forecast!$A:$A,$B$610,Prior_Forecast!$B:$B,$D$610),""))</f>
        <v/>
      </c>
      <c r="R615" s="37">
        <f>IF($B$610="","",IF(COUNTIFS(Prior_Forecast!$A:$A,$B$610,Prior_Forecast!$B:$B,$D$610)&gt;0,SUMIFS(Prior_Forecast!$M:$M,Prior_Forecast!$A:$A,$B$610,Prior_Forecast!$B:$B,$D$610),""))</f>
        <v/>
      </c>
      <c r="S615" s="37">
        <f>IF($B$610="","",IF(COUNTIFS(Prior_Forecast!$A:$A,$B$610,Prior_Forecast!$B:$B,$D$610)&gt;0,SUMIFS(Prior_Forecast!$N:$N,Prior_Forecast!$A:$A,$B$610,Prior_Forecast!$B:$B,$D$610),""))</f>
        <v/>
      </c>
      <c r="T615" s="37">
        <f>IF($B$610="","",IF(COUNTIFS(Prior_Forecast!$A:$A,$B$610,Prior_Forecast!$B:$B,$D$610)&gt;0,SUMIFS(Prior_Forecast!$O:$O,Prior_Forecast!$A:$A,$B$610,Prior_Forecast!$B:$B,$D$610),""))</f>
        <v/>
      </c>
      <c r="U615" s="37">
        <f>IF($B$610="","",IF(COUNTIFS(Prior_Forecast!$A:$A,$B$610,Prior_Forecast!$B:$B,$D$610)&gt;0,SUMIFS(Prior_Forecast!$P:$P,Prior_Forecast!$A:$A,$B$610,Prior_Forecast!$B:$B,$D$610),""))</f>
        <v/>
      </c>
      <c r="V615" s="37">
        <f>IF($B$610="","",IF(COUNTIFS(Prior_Forecast!$A:$A,$B$610,Prior_Forecast!$B:$B,$D$610)&gt;0,SUMIFS(Prior_Forecast!$Q:$Q,Prior_Forecast!$A:$A,$B$610,Prior_Forecast!$B:$B,$D$610),""))</f>
        <v/>
      </c>
      <c r="X615" s="22">
        <f>IF($B615="","",IFERROR(INDEX(Cost_Centers!$E:$E,MATCH($B615,Cost_Centers!$A:$A,0)),"(unknown)"))</f>
        <v/>
      </c>
      <c r="Y615" s="22">
        <f>IF($B615="","",IFERROR(INDEX(Cost_Centers!$D:$D,MATCH($B615,Cost_Centers!$A:$A,0)),"(unknown)"))</f>
        <v/>
      </c>
      <c r="Z615" s="22">
        <f>IF(OR($B615="",$G615&lt;&gt;"Variance vs Budget"),"",ABS(N($V615))+ROW()/1000000000)</f>
        <v/>
      </c>
    </row>
    <row r="616">
      <c r="A616" s="13">
        <f>IF(A$610="","",A$610)</f>
        <v/>
      </c>
      <c r="B616" s="13">
        <f>IF(B$610="","",B$610)</f>
        <v/>
      </c>
      <c r="C616" s="13">
        <f>IF(C$610="","",C$610)</f>
        <v/>
      </c>
      <c r="D616" s="13">
        <f>IF(D$610="","",D$610)</f>
        <v/>
      </c>
      <c r="E616" s="13">
        <f>IF(E$610="","",E$610)</f>
        <v/>
      </c>
      <c r="F616" s="13">
        <f>IF(F$610="","",F$610)</f>
        <v/>
      </c>
      <c r="G616" s="6" t="inlineStr">
        <is>
          <t>Variance vs Prior Month</t>
        </is>
      </c>
      <c r="H616" s="33">
        <f>IF(OR($B$610="",H615=""),"",H614-H615)</f>
        <v/>
      </c>
      <c r="I616" s="33">
        <f>IF(OR($B$610="",I615=""),"",I614-I615)</f>
        <v/>
      </c>
      <c r="J616" s="33">
        <f>IF(OR($B$610="",J615=""),"",J614-J615)</f>
        <v/>
      </c>
      <c r="K616" s="33">
        <f>IF(OR($B$610="",K615=""),"",K614-K615)</f>
        <v/>
      </c>
      <c r="L616" s="33">
        <f>IF(OR($B$610="",L615=""),"",L614-L615)</f>
        <v/>
      </c>
      <c r="M616" s="33">
        <f>IF(OR($B$610="",M615=""),"",M614-M615)</f>
        <v/>
      </c>
      <c r="N616" s="33">
        <f>IF(OR($B$610="",N615=""),"",N614-N615)</f>
        <v/>
      </c>
      <c r="O616" s="33">
        <f>IF(OR($B$610="",O615=""),"",O614-O615)</f>
        <v/>
      </c>
      <c r="P616" s="33">
        <f>IF(OR($B$610="",P615=""),"",P614-P615)</f>
        <v/>
      </c>
      <c r="Q616" s="33">
        <f>IF(OR($B$610="",Q615=""),"",Q614-Q615)</f>
        <v/>
      </c>
      <c r="R616" s="33">
        <f>IF(OR($B$610="",R615=""),"",R614-R615)</f>
        <v/>
      </c>
      <c r="S616" s="33">
        <f>IF(OR($B$610="",S615=""),"",S614-S615)</f>
        <v/>
      </c>
      <c r="T616" s="33">
        <f>IF(OR($B$610="",T615=""),"",T614-T615)</f>
        <v/>
      </c>
      <c r="U616" s="33">
        <f>IF(OR($B$610="",U615=""),"",U614-U615)</f>
        <v/>
      </c>
      <c r="V616" s="33">
        <f>IF(OR($B$610="",V615=""),"",V614-V615)</f>
        <v/>
      </c>
      <c r="X616" s="22">
        <f>IF($B616="","",IFERROR(INDEX(Cost_Centers!$E:$E,MATCH($B616,Cost_Centers!$A:$A,0)),"(unknown)"))</f>
        <v/>
      </c>
      <c r="Y616" s="22">
        <f>IF($B616="","",IFERROR(INDEX(Cost_Centers!$D:$D,MATCH($B616,Cost_Centers!$A:$A,0)),"(unknown)"))</f>
        <v/>
      </c>
      <c r="Z616" s="22">
        <f>IF(OR($B616="",$G616&lt;&gt;"Variance vs Budget"),"",ABS(N($V616))+ROW()/1000000000)</f>
        <v/>
      </c>
    </row>
    <row r="617" ht="45" customHeight="1">
      <c r="A617" s="13">
        <f>IF(A$610="","",A$610)</f>
        <v/>
      </c>
      <c r="B617" s="13">
        <f>IF(B$610="","",B$610)</f>
        <v/>
      </c>
      <c r="C617" s="13">
        <f>IF(C$610="","",C$610)</f>
        <v/>
      </c>
      <c r="D617" s="13">
        <f>IF(D$610="","",D$610)</f>
        <v/>
      </c>
      <c r="E617" s="13">
        <f>IF(E$610="","",E$610)</f>
        <v/>
      </c>
      <c r="F617" s="13">
        <f>IF(F$610="","",F$610)</f>
        <v/>
      </c>
      <c r="G617" s="7" t="inlineStr">
        <is>
          <t>Rationale</t>
        </is>
      </c>
      <c r="H617" s="38" t="n"/>
      <c r="I617" s="38" t="n"/>
      <c r="J617" s="38" t="n"/>
      <c r="K617" s="38" t="n"/>
      <c r="L617" s="38" t="n"/>
      <c r="M617" s="38" t="n"/>
      <c r="N617" s="38" t="n"/>
      <c r="O617" s="38" t="n"/>
      <c r="P617" s="38" t="n"/>
      <c r="Q617" s="38" t="n"/>
      <c r="R617" s="38" t="n"/>
      <c r="S617" s="38" t="n"/>
      <c r="T617" s="38" t="n"/>
      <c r="U617" s="38" t="n"/>
      <c r="V617" s="7" t="n"/>
      <c r="X617" s="22">
        <f>IF($B617="","",IFERROR(INDEX(Cost_Centers!$E:$E,MATCH($B617,Cost_Centers!$A:$A,0)),"(unknown)"))</f>
        <v/>
      </c>
      <c r="Y617" s="22">
        <f>IF($B617="","",IFERROR(INDEX(Cost_Centers!$D:$D,MATCH($B617,Cost_Centers!$A:$A,0)),"(unknown)"))</f>
        <v/>
      </c>
      <c r="Z617" s="22">
        <f>IF(OR($B617="",$G617&lt;&gt;"Variance vs Budget"),"",ABS(N($V617))+ROW()/1000000000)</f>
        <v/>
      </c>
    </row>
    <row r="618">
      <c r="A618" s="30">
        <f>IF($D$618="","",LEFT($D$618,FIND("|",$D$618&amp;"|")-1))</f>
        <v/>
      </c>
      <c r="B618" s="31" t="n"/>
      <c r="C618" s="30">
        <f>IF($B$618="","",IFERROR(INDEX(Cost_Centers!$B:$B,MATCH($B$618,Cost_Centers!$A:$A,0)),"(not in master)"))</f>
        <v/>
      </c>
      <c r="D618" s="31" t="n"/>
      <c r="E618" s="30">
        <f>IF($D$618="","",IFERROR(INDEX(Accounts!$D:$D,MATCH($D$618,Accounts!$A:$A,0)),"(not in master)"))</f>
        <v/>
      </c>
      <c r="F618" s="31" t="n"/>
      <c r="G618" s="30" t="inlineStr">
        <is>
          <t>Budget</t>
        </is>
      </c>
      <c r="H618" s="32">
        <f>IF($B$618="","",SUMIFS(Opex_Budget!$O:$O,Opex_Budget!$A:$A,$C$3,Opex_Budget!$E:$E,$B$618,Opex_Budget!$F:$F,$D$618,Opex_Budget!$N:$N,"JPY")*$E$5+SUMIFS(Opex_Budget!$O:$O,Opex_Budget!$A:$A,$C$3,Opex_Budget!$E:$E,$B$618,Opex_Budget!$F:$F,$D$618,Opex_Budget!$N:$N,"USD")*$F$5+SUMIFS(Opex_Budget!$O:$O,Opex_Budget!$A:$A,$C$3,Opex_Budget!$E:$E,$B$618,Opex_Budget!$F:$F,$D$618,Opex_Budget!$N:$N,"EUR")*$G$5+SUMIFS(Opex_Budget!$O:$O,Opex_Budget!$A:$A,$C$3,Opex_Budget!$E:$E,$B$618,Opex_Budget!$F:$F,$D$618,Opex_Budget!$N:$N,"GBP")*$H$5)</f>
        <v/>
      </c>
      <c r="I618" s="32">
        <f>IF($B$618="","",SUMIFS(Opex_Budget!$P:$P,Opex_Budget!$A:$A,$C$3,Opex_Budget!$E:$E,$B$618,Opex_Budget!$F:$F,$D$618,Opex_Budget!$N:$N,"JPY")*$E$5+SUMIFS(Opex_Budget!$P:$P,Opex_Budget!$A:$A,$C$3,Opex_Budget!$E:$E,$B$618,Opex_Budget!$F:$F,$D$618,Opex_Budget!$N:$N,"USD")*$F$5+SUMIFS(Opex_Budget!$P:$P,Opex_Budget!$A:$A,$C$3,Opex_Budget!$E:$E,$B$618,Opex_Budget!$F:$F,$D$618,Opex_Budget!$N:$N,"EUR")*$G$5+SUMIFS(Opex_Budget!$P:$P,Opex_Budget!$A:$A,$C$3,Opex_Budget!$E:$E,$B$618,Opex_Budget!$F:$F,$D$618,Opex_Budget!$N:$N,"GBP")*$H$5)</f>
        <v/>
      </c>
      <c r="J618" s="32">
        <f>IF($B$618="","",SUMIFS(Opex_Budget!$Q:$Q,Opex_Budget!$A:$A,$C$3,Opex_Budget!$E:$E,$B$618,Opex_Budget!$F:$F,$D$618,Opex_Budget!$N:$N,"JPY")*$E$5+SUMIFS(Opex_Budget!$Q:$Q,Opex_Budget!$A:$A,$C$3,Opex_Budget!$E:$E,$B$618,Opex_Budget!$F:$F,$D$618,Opex_Budget!$N:$N,"USD")*$F$5+SUMIFS(Opex_Budget!$Q:$Q,Opex_Budget!$A:$A,$C$3,Opex_Budget!$E:$E,$B$618,Opex_Budget!$F:$F,$D$618,Opex_Budget!$N:$N,"EUR")*$G$5+SUMIFS(Opex_Budget!$Q:$Q,Opex_Budget!$A:$A,$C$3,Opex_Budget!$E:$E,$B$618,Opex_Budget!$F:$F,$D$618,Opex_Budget!$N:$N,"GBP")*$H$5)</f>
        <v/>
      </c>
      <c r="K618" s="32">
        <f>IF($B$618="","",SUMIFS(Opex_Budget!$R:$R,Opex_Budget!$A:$A,$C$3,Opex_Budget!$E:$E,$B$618,Opex_Budget!$F:$F,$D$618,Opex_Budget!$N:$N,"JPY")*$E$5+SUMIFS(Opex_Budget!$R:$R,Opex_Budget!$A:$A,$C$3,Opex_Budget!$E:$E,$B$618,Opex_Budget!$F:$F,$D$618,Opex_Budget!$N:$N,"USD")*$F$5+SUMIFS(Opex_Budget!$R:$R,Opex_Budget!$A:$A,$C$3,Opex_Budget!$E:$E,$B$618,Opex_Budget!$F:$F,$D$618,Opex_Budget!$N:$N,"EUR")*$G$5+SUMIFS(Opex_Budget!$R:$R,Opex_Budget!$A:$A,$C$3,Opex_Budget!$E:$E,$B$618,Opex_Budget!$F:$F,$D$618,Opex_Budget!$N:$N,"GBP")*$H$5)</f>
        <v/>
      </c>
      <c r="L618" s="32">
        <f>IF($B$618="","",SUMIFS(Opex_Budget!$S:$S,Opex_Budget!$A:$A,$C$3,Opex_Budget!$E:$E,$B$618,Opex_Budget!$F:$F,$D$618,Opex_Budget!$N:$N,"JPY")*$E$5+SUMIFS(Opex_Budget!$S:$S,Opex_Budget!$A:$A,$C$3,Opex_Budget!$E:$E,$B$618,Opex_Budget!$F:$F,$D$618,Opex_Budget!$N:$N,"USD")*$F$5+SUMIFS(Opex_Budget!$S:$S,Opex_Budget!$A:$A,$C$3,Opex_Budget!$E:$E,$B$618,Opex_Budget!$F:$F,$D$618,Opex_Budget!$N:$N,"EUR")*$G$5+SUMIFS(Opex_Budget!$S:$S,Opex_Budget!$A:$A,$C$3,Opex_Budget!$E:$E,$B$618,Opex_Budget!$F:$F,$D$618,Opex_Budget!$N:$N,"GBP")*$H$5)</f>
        <v/>
      </c>
      <c r="M618" s="32">
        <f>IF($B$618="","",SUMIFS(Opex_Budget!$T:$T,Opex_Budget!$A:$A,$C$3,Opex_Budget!$E:$E,$B$618,Opex_Budget!$F:$F,$D$618,Opex_Budget!$N:$N,"JPY")*$E$5+SUMIFS(Opex_Budget!$T:$T,Opex_Budget!$A:$A,$C$3,Opex_Budget!$E:$E,$B$618,Opex_Budget!$F:$F,$D$618,Opex_Budget!$N:$N,"USD")*$F$5+SUMIFS(Opex_Budget!$T:$T,Opex_Budget!$A:$A,$C$3,Opex_Budget!$E:$E,$B$618,Opex_Budget!$F:$F,$D$618,Opex_Budget!$N:$N,"EUR")*$G$5+SUMIFS(Opex_Budget!$T:$T,Opex_Budget!$A:$A,$C$3,Opex_Budget!$E:$E,$B$618,Opex_Budget!$F:$F,$D$618,Opex_Budget!$N:$N,"GBP")*$H$5)</f>
        <v/>
      </c>
      <c r="N618" s="32">
        <f>IF($B$618="","",SUMIFS(Opex_Budget!$U:$U,Opex_Budget!$A:$A,$C$3,Opex_Budget!$E:$E,$B$618,Opex_Budget!$F:$F,$D$618,Opex_Budget!$N:$N,"JPY")*$E$5+SUMIFS(Opex_Budget!$U:$U,Opex_Budget!$A:$A,$C$3,Opex_Budget!$E:$E,$B$618,Opex_Budget!$F:$F,$D$618,Opex_Budget!$N:$N,"USD")*$F$5+SUMIFS(Opex_Budget!$U:$U,Opex_Budget!$A:$A,$C$3,Opex_Budget!$E:$E,$B$618,Opex_Budget!$F:$F,$D$618,Opex_Budget!$N:$N,"EUR")*$G$5+SUMIFS(Opex_Budget!$U:$U,Opex_Budget!$A:$A,$C$3,Opex_Budget!$E:$E,$B$618,Opex_Budget!$F:$F,$D$618,Opex_Budget!$N:$N,"GBP")*$H$5)</f>
        <v/>
      </c>
      <c r="O618" s="32">
        <f>IF($B$618="","",SUMIFS(Opex_Budget!$V:$V,Opex_Budget!$A:$A,$C$3,Opex_Budget!$E:$E,$B$618,Opex_Budget!$F:$F,$D$618,Opex_Budget!$N:$N,"JPY")*$E$5+SUMIFS(Opex_Budget!$V:$V,Opex_Budget!$A:$A,$C$3,Opex_Budget!$E:$E,$B$618,Opex_Budget!$F:$F,$D$618,Opex_Budget!$N:$N,"USD")*$F$5+SUMIFS(Opex_Budget!$V:$V,Opex_Budget!$A:$A,$C$3,Opex_Budget!$E:$E,$B$618,Opex_Budget!$F:$F,$D$618,Opex_Budget!$N:$N,"EUR")*$G$5+SUMIFS(Opex_Budget!$V:$V,Opex_Budget!$A:$A,$C$3,Opex_Budget!$E:$E,$B$618,Opex_Budget!$F:$F,$D$618,Opex_Budget!$N:$N,"GBP")*$H$5)</f>
        <v/>
      </c>
      <c r="P618" s="32">
        <f>IF($B$618="","",SUMIFS(Opex_Budget!$W:$W,Opex_Budget!$A:$A,$C$3,Opex_Budget!$E:$E,$B$618,Opex_Budget!$F:$F,$D$618,Opex_Budget!$N:$N,"JPY")*$E$5+SUMIFS(Opex_Budget!$W:$W,Opex_Budget!$A:$A,$C$3,Opex_Budget!$E:$E,$B$618,Opex_Budget!$F:$F,$D$618,Opex_Budget!$N:$N,"USD")*$F$5+SUMIFS(Opex_Budget!$W:$W,Opex_Budget!$A:$A,$C$3,Opex_Budget!$E:$E,$B$618,Opex_Budget!$F:$F,$D$618,Opex_Budget!$N:$N,"EUR")*$G$5+SUMIFS(Opex_Budget!$W:$W,Opex_Budget!$A:$A,$C$3,Opex_Budget!$E:$E,$B$618,Opex_Budget!$F:$F,$D$618,Opex_Budget!$N:$N,"GBP")*$H$5)</f>
        <v/>
      </c>
      <c r="Q618" s="32">
        <f>IF($B$618="","",SUMIFS(Opex_Budget!$X:$X,Opex_Budget!$A:$A,$C$3,Opex_Budget!$E:$E,$B$618,Opex_Budget!$F:$F,$D$618,Opex_Budget!$N:$N,"JPY")*$E$5+SUMIFS(Opex_Budget!$X:$X,Opex_Budget!$A:$A,$C$3,Opex_Budget!$E:$E,$B$618,Opex_Budget!$F:$F,$D$618,Opex_Budget!$N:$N,"USD")*$F$5+SUMIFS(Opex_Budget!$X:$X,Opex_Budget!$A:$A,$C$3,Opex_Budget!$E:$E,$B$618,Opex_Budget!$F:$F,$D$618,Opex_Budget!$N:$N,"EUR")*$G$5+SUMIFS(Opex_Budget!$X:$X,Opex_Budget!$A:$A,$C$3,Opex_Budget!$E:$E,$B$618,Opex_Budget!$F:$F,$D$618,Opex_Budget!$N:$N,"GBP")*$H$5)</f>
        <v/>
      </c>
      <c r="R618" s="32">
        <f>IF($B$618="","",SUMIFS(Opex_Budget!$Y:$Y,Opex_Budget!$A:$A,$C$3,Opex_Budget!$E:$E,$B$618,Opex_Budget!$F:$F,$D$618,Opex_Budget!$N:$N,"JPY")*$E$5+SUMIFS(Opex_Budget!$Y:$Y,Opex_Budget!$A:$A,$C$3,Opex_Budget!$E:$E,$B$618,Opex_Budget!$F:$F,$D$618,Opex_Budget!$N:$N,"USD")*$F$5+SUMIFS(Opex_Budget!$Y:$Y,Opex_Budget!$A:$A,$C$3,Opex_Budget!$E:$E,$B$618,Opex_Budget!$F:$F,$D$618,Opex_Budget!$N:$N,"EUR")*$G$5+SUMIFS(Opex_Budget!$Y:$Y,Opex_Budget!$A:$A,$C$3,Opex_Budget!$E:$E,$B$618,Opex_Budget!$F:$F,$D$618,Opex_Budget!$N:$N,"GBP")*$H$5)</f>
        <v/>
      </c>
      <c r="S618" s="32">
        <f>IF($B$618="","",SUMIFS(Opex_Budget!$Z:$Z,Opex_Budget!$A:$A,$C$3,Opex_Budget!$E:$E,$B$618,Opex_Budget!$F:$F,$D$618,Opex_Budget!$N:$N,"JPY")*$E$5+SUMIFS(Opex_Budget!$Z:$Z,Opex_Budget!$A:$A,$C$3,Opex_Budget!$E:$E,$B$618,Opex_Budget!$F:$F,$D$618,Opex_Budget!$N:$N,"USD")*$F$5+SUMIFS(Opex_Budget!$Z:$Z,Opex_Budget!$A:$A,$C$3,Opex_Budget!$E:$E,$B$618,Opex_Budget!$F:$F,$D$618,Opex_Budget!$N:$N,"EUR")*$G$5+SUMIFS(Opex_Budget!$Z:$Z,Opex_Budget!$A:$A,$C$3,Opex_Budget!$E:$E,$B$618,Opex_Budget!$F:$F,$D$618,Opex_Budget!$N:$N,"GBP")*$H$5)</f>
        <v/>
      </c>
      <c r="T618" s="32">
        <f>IF($B$618="","",SUMIF($H$7:$S$7,"&lt;="&amp;$C$4,$H618:$S618))</f>
        <v/>
      </c>
      <c r="U618" s="32">
        <f>IF($B$618="","",SUMIF($H$7:$S$7,"&gt;"&amp;$C$4,$H618:$S618))</f>
        <v/>
      </c>
      <c r="V618" s="32">
        <f>IF($B$618="","",SUM($H618:$S618))</f>
        <v/>
      </c>
      <c r="X618" s="22">
        <f>IF($B618="","",IFERROR(INDEX(Cost_Centers!$E:$E,MATCH($B618,Cost_Centers!$A:$A,0)),"(unknown)"))</f>
        <v/>
      </c>
      <c r="Y618" s="22">
        <f>IF($B618="","",IFERROR(INDEX(Cost_Centers!$D:$D,MATCH($B618,Cost_Centers!$A:$A,0)),"(unknown)"))</f>
        <v/>
      </c>
      <c r="Z618" s="22">
        <f>IF(OR($B618="",$G618&lt;&gt;"Variance vs Budget"),"",ABS(N($V618))+ROW()/1000000000)</f>
        <v/>
      </c>
    </row>
    <row r="619">
      <c r="A619" s="13">
        <f>IF(A$618="","",A$618)</f>
        <v/>
      </c>
      <c r="B619" s="13">
        <f>IF(B$618="","",B$618)</f>
        <v/>
      </c>
      <c r="C619" s="13">
        <f>IF(C$618="","",C$618)</f>
        <v/>
      </c>
      <c r="D619" s="13">
        <f>IF(D$618="","",D$618)</f>
        <v/>
      </c>
      <c r="E619" s="13">
        <f>IF(E$618="","",E$618)</f>
        <v/>
      </c>
      <c r="F619" s="13">
        <f>IF(F$618="","",F$618)</f>
        <v/>
      </c>
      <c r="G619" s="7" t="inlineStr">
        <is>
          <t>Actual</t>
        </is>
      </c>
      <c r="H619" s="18">
        <f>IF(OR($B$618="",1&gt;$C$4),"",SUMIFS(Actuals!$G:$G,Actuals!$B:$B,$C$3,Actuals!$C:$C,1,Actuals!$D:$D,$B$618,Actuals!$A:$A,LEFT($D$618,FIND("|",$D$618&amp;"|")-1),Actuals!$E:$E,MID($D$618,FIND("|",$D$618&amp;"|")+1,50),Actuals!$F:$F,"JPY")*$E$5+SUMIFS(Actuals!$G:$G,Actuals!$B:$B,$C$3,Actuals!$C:$C,1,Actuals!$D:$D,$B$618,Actuals!$A:$A,LEFT($D$618,FIND("|",$D$618&amp;"|")-1),Actuals!$E:$E,MID($D$618,FIND("|",$D$618&amp;"|")+1,50),Actuals!$F:$F,"USD")*$F$5+SUMIFS(Actuals!$G:$G,Actuals!$B:$B,$C$3,Actuals!$C:$C,1,Actuals!$D:$D,$B$618,Actuals!$A:$A,LEFT($D$618,FIND("|",$D$618&amp;"|")-1),Actuals!$E:$E,MID($D$618,FIND("|",$D$618&amp;"|")+1,50),Actuals!$F:$F,"EUR")*$G$5+SUMIFS(Actuals!$G:$G,Actuals!$B:$B,$C$3,Actuals!$C:$C,1,Actuals!$D:$D,$B$618,Actuals!$A:$A,LEFT($D$618,FIND("|",$D$618&amp;"|")-1),Actuals!$E:$E,MID($D$618,FIND("|",$D$618&amp;"|")+1,50),Actuals!$F:$F,"GBP")*$H$5)</f>
        <v/>
      </c>
      <c r="I619" s="18">
        <f>IF(OR($B$618="",2&gt;$C$4),"",SUMIFS(Actuals!$G:$G,Actuals!$B:$B,$C$3,Actuals!$C:$C,2,Actuals!$D:$D,$B$618,Actuals!$A:$A,LEFT($D$618,FIND("|",$D$618&amp;"|")-1),Actuals!$E:$E,MID($D$618,FIND("|",$D$618&amp;"|")+1,50),Actuals!$F:$F,"JPY")*$E$5+SUMIFS(Actuals!$G:$G,Actuals!$B:$B,$C$3,Actuals!$C:$C,2,Actuals!$D:$D,$B$618,Actuals!$A:$A,LEFT($D$618,FIND("|",$D$618&amp;"|")-1),Actuals!$E:$E,MID($D$618,FIND("|",$D$618&amp;"|")+1,50),Actuals!$F:$F,"USD")*$F$5+SUMIFS(Actuals!$G:$G,Actuals!$B:$B,$C$3,Actuals!$C:$C,2,Actuals!$D:$D,$B$618,Actuals!$A:$A,LEFT($D$618,FIND("|",$D$618&amp;"|")-1),Actuals!$E:$E,MID($D$618,FIND("|",$D$618&amp;"|")+1,50),Actuals!$F:$F,"EUR")*$G$5+SUMIFS(Actuals!$G:$G,Actuals!$B:$B,$C$3,Actuals!$C:$C,2,Actuals!$D:$D,$B$618,Actuals!$A:$A,LEFT($D$618,FIND("|",$D$618&amp;"|")-1),Actuals!$E:$E,MID($D$618,FIND("|",$D$618&amp;"|")+1,50),Actuals!$F:$F,"GBP")*$H$5)</f>
        <v/>
      </c>
      <c r="J619" s="18">
        <f>IF(OR($B$618="",3&gt;$C$4),"",SUMIFS(Actuals!$G:$G,Actuals!$B:$B,$C$3,Actuals!$C:$C,3,Actuals!$D:$D,$B$618,Actuals!$A:$A,LEFT($D$618,FIND("|",$D$618&amp;"|")-1),Actuals!$E:$E,MID($D$618,FIND("|",$D$618&amp;"|")+1,50),Actuals!$F:$F,"JPY")*$E$5+SUMIFS(Actuals!$G:$G,Actuals!$B:$B,$C$3,Actuals!$C:$C,3,Actuals!$D:$D,$B$618,Actuals!$A:$A,LEFT($D$618,FIND("|",$D$618&amp;"|")-1),Actuals!$E:$E,MID($D$618,FIND("|",$D$618&amp;"|")+1,50),Actuals!$F:$F,"USD")*$F$5+SUMIFS(Actuals!$G:$G,Actuals!$B:$B,$C$3,Actuals!$C:$C,3,Actuals!$D:$D,$B$618,Actuals!$A:$A,LEFT($D$618,FIND("|",$D$618&amp;"|")-1),Actuals!$E:$E,MID($D$618,FIND("|",$D$618&amp;"|")+1,50),Actuals!$F:$F,"EUR")*$G$5+SUMIFS(Actuals!$G:$G,Actuals!$B:$B,$C$3,Actuals!$C:$C,3,Actuals!$D:$D,$B$618,Actuals!$A:$A,LEFT($D$618,FIND("|",$D$618&amp;"|")-1),Actuals!$E:$E,MID($D$618,FIND("|",$D$618&amp;"|")+1,50),Actuals!$F:$F,"GBP")*$H$5)</f>
        <v/>
      </c>
      <c r="K619" s="18">
        <f>IF(OR($B$618="",4&gt;$C$4),"",SUMIFS(Actuals!$G:$G,Actuals!$B:$B,$C$3,Actuals!$C:$C,4,Actuals!$D:$D,$B$618,Actuals!$A:$A,LEFT($D$618,FIND("|",$D$618&amp;"|")-1),Actuals!$E:$E,MID($D$618,FIND("|",$D$618&amp;"|")+1,50),Actuals!$F:$F,"JPY")*$E$5+SUMIFS(Actuals!$G:$G,Actuals!$B:$B,$C$3,Actuals!$C:$C,4,Actuals!$D:$D,$B$618,Actuals!$A:$A,LEFT($D$618,FIND("|",$D$618&amp;"|")-1),Actuals!$E:$E,MID($D$618,FIND("|",$D$618&amp;"|")+1,50),Actuals!$F:$F,"USD")*$F$5+SUMIFS(Actuals!$G:$G,Actuals!$B:$B,$C$3,Actuals!$C:$C,4,Actuals!$D:$D,$B$618,Actuals!$A:$A,LEFT($D$618,FIND("|",$D$618&amp;"|")-1),Actuals!$E:$E,MID($D$618,FIND("|",$D$618&amp;"|")+1,50),Actuals!$F:$F,"EUR")*$G$5+SUMIFS(Actuals!$G:$G,Actuals!$B:$B,$C$3,Actuals!$C:$C,4,Actuals!$D:$D,$B$618,Actuals!$A:$A,LEFT($D$618,FIND("|",$D$618&amp;"|")-1),Actuals!$E:$E,MID($D$618,FIND("|",$D$618&amp;"|")+1,50),Actuals!$F:$F,"GBP")*$H$5)</f>
        <v/>
      </c>
      <c r="L619" s="18">
        <f>IF(OR($B$618="",5&gt;$C$4),"",SUMIFS(Actuals!$G:$G,Actuals!$B:$B,$C$3,Actuals!$C:$C,5,Actuals!$D:$D,$B$618,Actuals!$A:$A,LEFT($D$618,FIND("|",$D$618&amp;"|")-1),Actuals!$E:$E,MID($D$618,FIND("|",$D$618&amp;"|")+1,50),Actuals!$F:$F,"JPY")*$E$5+SUMIFS(Actuals!$G:$G,Actuals!$B:$B,$C$3,Actuals!$C:$C,5,Actuals!$D:$D,$B$618,Actuals!$A:$A,LEFT($D$618,FIND("|",$D$618&amp;"|")-1),Actuals!$E:$E,MID($D$618,FIND("|",$D$618&amp;"|")+1,50),Actuals!$F:$F,"USD")*$F$5+SUMIFS(Actuals!$G:$G,Actuals!$B:$B,$C$3,Actuals!$C:$C,5,Actuals!$D:$D,$B$618,Actuals!$A:$A,LEFT($D$618,FIND("|",$D$618&amp;"|")-1),Actuals!$E:$E,MID($D$618,FIND("|",$D$618&amp;"|")+1,50),Actuals!$F:$F,"EUR")*$G$5+SUMIFS(Actuals!$G:$G,Actuals!$B:$B,$C$3,Actuals!$C:$C,5,Actuals!$D:$D,$B$618,Actuals!$A:$A,LEFT($D$618,FIND("|",$D$618&amp;"|")-1),Actuals!$E:$E,MID($D$618,FIND("|",$D$618&amp;"|")+1,50),Actuals!$F:$F,"GBP")*$H$5)</f>
        <v/>
      </c>
      <c r="M619" s="18">
        <f>IF(OR($B$618="",6&gt;$C$4),"",SUMIFS(Actuals!$G:$G,Actuals!$B:$B,$C$3,Actuals!$C:$C,6,Actuals!$D:$D,$B$618,Actuals!$A:$A,LEFT($D$618,FIND("|",$D$618&amp;"|")-1),Actuals!$E:$E,MID($D$618,FIND("|",$D$618&amp;"|")+1,50),Actuals!$F:$F,"JPY")*$E$5+SUMIFS(Actuals!$G:$G,Actuals!$B:$B,$C$3,Actuals!$C:$C,6,Actuals!$D:$D,$B$618,Actuals!$A:$A,LEFT($D$618,FIND("|",$D$618&amp;"|")-1),Actuals!$E:$E,MID($D$618,FIND("|",$D$618&amp;"|")+1,50),Actuals!$F:$F,"USD")*$F$5+SUMIFS(Actuals!$G:$G,Actuals!$B:$B,$C$3,Actuals!$C:$C,6,Actuals!$D:$D,$B$618,Actuals!$A:$A,LEFT($D$618,FIND("|",$D$618&amp;"|")-1),Actuals!$E:$E,MID($D$618,FIND("|",$D$618&amp;"|")+1,50),Actuals!$F:$F,"EUR")*$G$5+SUMIFS(Actuals!$G:$G,Actuals!$B:$B,$C$3,Actuals!$C:$C,6,Actuals!$D:$D,$B$618,Actuals!$A:$A,LEFT($D$618,FIND("|",$D$618&amp;"|")-1),Actuals!$E:$E,MID($D$618,FIND("|",$D$618&amp;"|")+1,50),Actuals!$F:$F,"GBP")*$H$5)</f>
        <v/>
      </c>
      <c r="N619" s="18">
        <f>IF(OR($B$618="",7&gt;$C$4),"",SUMIFS(Actuals!$G:$G,Actuals!$B:$B,$C$3,Actuals!$C:$C,7,Actuals!$D:$D,$B$618,Actuals!$A:$A,LEFT($D$618,FIND("|",$D$618&amp;"|")-1),Actuals!$E:$E,MID($D$618,FIND("|",$D$618&amp;"|")+1,50),Actuals!$F:$F,"JPY")*$E$5+SUMIFS(Actuals!$G:$G,Actuals!$B:$B,$C$3,Actuals!$C:$C,7,Actuals!$D:$D,$B$618,Actuals!$A:$A,LEFT($D$618,FIND("|",$D$618&amp;"|")-1),Actuals!$E:$E,MID($D$618,FIND("|",$D$618&amp;"|")+1,50),Actuals!$F:$F,"USD")*$F$5+SUMIFS(Actuals!$G:$G,Actuals!$B:$B,$C$3,Actuals!$C:$C,7,Actuals!$D:$D,$B$618,Actuals!$A:$A,LEFT($D$618,FIND("|",$D$618&amp;"|")-1),Actuals!$E:$E,MID($D$618,FIND("|",$D$618&amp;"|")+1,50),Actuals!$F:$F,"EUR")*$G$5+SUMIFS(Actuals!$G:$G,Actuals!$B:$B,$C$3,Actuals!$C:$C,7,Actuals!$D:$D,$B$618,Actuals!$A:$A,LEFT($D$618,FIND("|",$D$618&amp;"|")-1),Actuals!$E:$E,MID($D$618,FIND("|",$D$618&amp;"|")+1,50),Actuals!$F:$F,"GBP")*$H$5)</f>
        <v/>
      </c>
      <c r="O619" s="18">
        <f>IF(OR($B$618="",8&gt;$C$4),"",SUMIFS(Actuals!$G:$G,Actuals!$B:$B,$C$3,Actuals!$C:$C,8,Actuals!$D:$D,$B$618,Actuals!$A:$A,LEFT($D$618,FIND("|",$D$618&amp;"|")-1),Actuals!$E:$E,MID($D$618,FIND("|",$D$618&amp;"|")+1,50),Actuals!$F:$F,"JPY")*$E$5+SUMIFS(Actuals!$G:$G,Actuals!$B:$B,$C$3,Actuals!$C:$C,8,Actuals!$D:$D,$B$618,Actuals!$A:$A,LEFT($D$618,FIND("|",$D$618&amp;"|")-1),Actuals!$E:$E,MID($D$618,FIND("|",$D$618&amp;"|")+1,50),Actuals!$F:$F,"USD")*$F$5+SUMIFS(Actuals!$G:$G,Actuals!$B:$B,$C$3,Actuals!$C:$C,8,Actuals!$D:$D,$B$618,Actuals!$A:$A,LEFT($D$618,FIND("|",$D$618&amp;"|")-1),Actuals!$E:$E,MID($D$618,FIND("|",$D$618&amp;"|")+1,50),Actuals!$F:$F,"EUR")*$G$5+SUMIFS(Actuals!$G:$G,Actuals!$B:$B,$C$3,Actuals!$C:$C,8,Actuals!$D:$D,$B$618,Actuals!$A:$A,LEFT($D$618,FIND("|",$D$618&amp;"|")-1),Actuals!$E:$E,MID($D$618,FIND("|",$D$618&amp;"|")+1,50),Actuals!$F:$F,"GBP")*$H$5)</f>
        <v/>
      </c>
      <c r="P619" s="18">
        <f>IF(OR($B$618="",9&gt;$C$4),"",SUMIFS(Actuals!$G:$G,Actuals!$B:$B,$C$3,Actuals!$C:$C,9,Actuals!$D:$D,$B$618,Actuals!$A:$A,LEFT($D$618,FIND("|",$D$618&amp;"|")-1),Actuals!$E:$E,MID($D$618,FIND("|",$D$618&amp;"|")+1,50),Actuals!$F:$F,"JPY")*$E$5+SUMIFS(Actuals!$G:$G,Actuals!$B:$B,$C$3,Actuals!$C:$C,9,Actuals!$D:$D,$B$618,Actuals!$A:$A,LEFT($D$618,FIND("|",$D$618&amp;"|")-1),Actuals!$E:$E,MID($D$618,FIND("|",$D$618&amp;"|")+1,50),Actuals!$F:$F,"USD")*$F$5+SUMIFS(Actuals!$G:$G,Actuals!$B:$B,$C$3,Actuals!$C:$C,9,Actuals!$D:$D,$B$618,Actuals!$A:$A,LEFT($D$618,FIND("|",$D$618&amp;"|")-1),Actuals!$E:$E,MID($D$618,FIND("|",$D$618&amp;"|")+1,50),Actuals!$F:$F,"EUR")*$G$5+SUMIFS(Actuals!$G:$G,Actuals!$B:$B,$C$3,Actuals!$C:$C,9,Actuals!$D:$D,$B$618,Actuals!$A:$A,LEFT($D$618,FIND("|",$D$618&amp;"|")-1),Actuals!$E:$E,MID($D$618,FIND("|",$D$618&amp;"|")+1,50),Actuals!$F:$F,"GBP")*$H$5)</f>
        <v/>
      </c>
      <c r="Q619" s="18">
        <f>IF(OR($B$618="",10&gt;$C$4),"",SUMIFS(Actuals!$G:$G,Actuals!$B:$B,$C$3,Actuals!$C:$C,10,Actuals!$D:$D,$B$618,Actuals!$A:$A,LEFT($D$618,FIND("|",$D$618&amp;"|")-1),Actuals!$E:$E,MID($D$618,FIND("|",$D$618&amp;"|")+1,50),Actuals!$F:$F,"JPY")*$E$5+SUMIFS(Actuals!$G:$G,Actuals!$B:$B,$C$3,Actuals!$C:$C,10,Actuals!$D:$D,$B$618,Actuals!$A:$A,LEFT($D$618,FIND("|",$D$618&amp;"|")-1),Actuals!$E:$E,MID($D$618,FIND("|",$D$618&amp;"|")+1,50),Actuals!$F:$F,"USD")*$F$5+SUMIFS(Actuals!$G:$G,Actuals!$B:$B,$C$3,Actuals!$C:$C,10,Actuals!$D:$D,$B$618,Actuals!$A:$A,LEFT($D$618,FIND("|",$D$618&amp;"|")-1),Actuals!$E:$E,MID($D$618,FIND("|",$D$618&amp;"|")+1,50),Actuals!$F:$F,"EUR")*$G$5+SUMIFS(Actuals!$G:$G,Actuals!$B:$B,$C$3,Actuals!$C:$C,10,Actuals!$D:$D,$B$618,Actuals!$A:$A,LEFT($D$618,FIND("|",$D$618&amp;"|")-1),Actuals!$E:$E,MID($D$618,FIND("|",$D$618&amp;"|")+1,50),Actuals!$F:$F,"GBP")*$H$5)</f>
        <v/>
      </c>
      <c r="R619" s="18">
        <f>IF(OR($B$618="",11&gt;$C$4),"",SUMIFS(Actuals!$G:$G,Actuals!$B:$B,$C$3,Actuals!$C:$C,11,Actuals!$D:$D,$B$618,Actuals!$A:$A,LEFT($D$618,FIND("|",$D$618&amp;"|")-1),Actuals!$E:$E,MID($D$618,FIND("|",$D$618&amp;"|")+1,50),Actuals!$F:$F,"JPY")*$E$5+SUMIFS(Actuals!$G:$G,Actuals!$B:$B,$C$3,Actuals!$C:$C,11,Actuals!$D:$D,$B$618,Actuals!$A:$A,LEFT($D$618,FIND("|",$D$618&amp;"|")-1),Actuals!$E:$E,MID($D$618,FIND("|",$D$618&amp;"|")+1,50),Actuals!$F:$F,"USD")*$F$5+SUMIFS(Actuals!$G:$G,Actuals!$B:$B,$C$3,Actuals!$C:$C,11,Actuals!$D:$D,$B$618,Actuals!$A:$A,LEFT($D$618,FIND("|",$D$618&amp;"|")-1),Actuals!$E:$E,MID($D$618,FIND("|",$D$618&amp;"|")+1,50),Actuals!$F:$F,"EUR")*$G$5+SUMIFS(Actuals!$G:$G,Actuals!$B:$B,$C$3,Actuals!$C:$C,11,Actuals!$D:$D,$B$618,Actuals!$A:$A,LEFT($D$618,FIND("|",$D$618&amp;"|")-1),Actuals!$E:$E,MID($D$618,FIND("|",$D$618&amp;"|")+1,50),Actuals!$F:$F,"GBP")*$H$5)</f>
        <v/>
      </c>
      <c r="S619" s="18">
        <f>IF(OR($B$618="",12&gt;$C$4),"",SUMIFS(Actuals!$G:$G,Actuals!$B:$B,$C$3,Actuals!$C:$C,12,Actuals!$D:$D,$B$618,Actuals!$A:$A,LEFT($D$618,FIND("|",$D$618&amp;"|")-1),Actuals!$E:$E,MID($D$618,FIND("|",$D$618&amp;"|")+1,50),Actuals!$F:$F,"JPY")*$E$5+SUMIFS(Actuals!$G:$G,Actuals!$B:$B,$C$3,Actuals!$C:$C,12,Actuals!$D:$D,$B$618,Actuals!$A:$A,LEFT($D$618,FIND("|",$D$618&amp;"|")-1),Actuals!$E:$E,MID($D$618,FIND("|",$D$618&amp;"|")+1,50),Actuals!$F:$F,"USD")*$F$5+SUMIFS(Actuals!$G:$G,Actuals!$B:$B,$C$3,Actuals!$C:$C,12,Actuals!$D:$D,$B$618,Actuals!$A:$A,LEFT($D$618,FIND("|",$D$618&amp;"|")-1),Actuals!$E:$E,MID($D$618,FIND("|",$D$618&amp;"|")+1,50),Actuals!$F:$F,"EUR")*$G$5+SUMIFS(Actuals!$G:$G,Actuals!$B:$B,$C$3,Actuals!$C:$C,12,Actuals!$D:$D,$B$618,Actuals!$A:$A,LEFT($D$618,FIND("|",$D$618&amp;"|")-1),Actuals!$E:$E,MID($D$618,FIND("|",$D$618&amp;"|")+1,50),Actuals!$F:$F,"GBP")*$H$5)</f>
        <v/>
      </c>
      <c r="T619" s="18">
        <f>IF($B$618="","",SUMIF($H$7:$S$7,"&lt;="&amp;$C$4,$H619:$S619))</f>
        <v/>
      </c>
      <c r="U619" s="18" t="n"/>
      <c r="V619" s="18" t="n"/>
      <c r="X619" s="22">
        <f>IF($B619="","",IFERROR(INDEX(Cost_Centers!$E:$E,MATCH($B619,Cost_Centers!$A:$A,0)),"(unknown)"))</f>
        <v/>
      </c>
      <c r="Y619" s="22">
        <f>IF($B619="","",IFERROR(INDEX(Cost_Centers!$D:$D,MATCH($B619,Cost_Centers!$A:$A,0)),"(unknown)"))</f>
        <v/>
      </c>
      <c r="Z619" s="22">
        <f>IF(OR($B619="",$G619&lt;&gt;"Variance vs Budget"),"",ABS(N($V619))+ROW()/1000000000)</f>
        <v/>
      </c>
    </row>
    <row r="620">
      <c r="A620" s="13">
        <f>IF(A$618="","",A$618)</f>
        <v/>
      </c>
      <c r="B620" s="13">
        <f>IF(B$618="","",B$618)</f>
        <v/>
      </c>
      <c r="C620" s="13">
        <f>IF(C$618="","",C$618)</f>
        <v/>
      </c>
      <c r="D620" s="13">
        <f>IF(D$618="","",D$618)</f>
        <v/>
      </c>
      <c r="E620" s="13">
        <f>IF(E$618="","",E$618)</f>
        <v/>
      </c>
      <c r="F620" s="13">
        <f>IF(F$618="","",F$618)</f>
        <v/>
      </c>
      <c r="G620" s="6" t="inlineStr">
        <is>
          <t>Variance vs Budget</t>
        </is>
      </c>
      <c r="H620" s="33">
        <f>IF(OR($B$618="",1&gt;$C$4),"",N(H619)-H618)</f>
        <v/>
      </c>
      <c r="I620" s="33">
        <f>IF(OR($B$618="",2&gt;$C$4),"",N(I619)-I618)</f>
        <v/>
      </c>
      <c r="J620" s="33">
        <f>IF(OR($B$618="",3&gt;$C$4),"",N(J619)-J618)</f>
        <v/>
      </c>
      <c r="K620" s="33">
        <f>IF(OR($B$618="",4&gt;$C$4),"",N(K619)-K618)</f>
        <v/>
      </c>
      <c r="L620" s="33">
        <f>IF(OR($B$618="",5&gt;$C$4),"",N(L619)-L618)</f>
        <v/>
      </c>
      <c r="M620" s="33">
        <f>IF(OR($B$618="",6&gt;$C$4),"",N(M619)-M618)</f>
        <v/>
      </c>
      <c r="N620" s="33">
        <f>IF(OR($B$618="",7&gt;$C$4),"",N(N619)-N618)</f>
        <v/>
      </c>
      <c r="O620" s="33">
        <f>IF(OR($B$618="",8&gt;$C$4),"",N(O619)-O618)</f>
        <v/>
      </c>
      <c r="P620" s="33">
        <f>IF(OR($B$618="",9&gt;$C$4),"",N(P619)-P618)</f>
        <v/>
      </c>
      <c r="Q620" s="33">
        <f>IF(OR($B$618="",10&gt;$C$4),"",N(Q619)-Q618)</f>
        <v/>
      </c>
      <c r="R620" s="33">
        <f>IF(OR($B$618="",11&gt;$C$4),"",N(R619)-R618)</f>
        <v/>
      </c>
      <c r="S620" s="33">
        <f>IF(OR($B$618="",12&gt;$C$4),"",N(S619)-S618)</f>
        <v/>
      </c>
      <c r="T620" s="33">
        <f>IF($B$618="","",T619-T618)</f>
        <v/>
      </c>
      <c r="U620" s="33">
        <f>IF($B$618="","",U622-U618)</f>
        <v/>
      </c>
      <c r="V620" s="33">
        <f>IF($B$618="","",V622-V618)</f>
        <v/>
      </c>
      <c r="X620" s="22">
        <f>IF($B620="","",IFERROR(INDEX(Cost_Centers!$E:$E,MATCH($B620,Cost_Centers!$A:$A,0)),"(unknown)"))</f>
        <v/>
      </c>
      <c r="Y620" s="22">
        <f>IF($B620="","",IFERROR(INDEX(Cost_Centers!$D:$D,MATCH($B620,Cost_Centers!$A:$A,0)),"(unknown)"))</f>
        <v/>
      </c>
      <c r="Z620" s="22">
        <f>IF(OR($B620="",$G620&lt;&gt;"Variance vs Budget"),"",ABS(N($V620))+ROW()/1000000000)</f>
        <v/>
      </c>
    </row>
    <row r="621">
      <c r="A621" s="13">
        <f>IF(A$618="","",A$618)</f>
        <v/>
      </c>
      <c r="B621" s="13">
        <f>IF(B$618="","",B$618)</f>
        <v/>
      </c>
      <c r="C621" s="13">
        <f>IF(C$618="","",C$618)</f>
        <v/>
      </c>
      <c r="D621" s="13">
        <f>IF(D$618="","",D$618)</f>
        <v/>
      </c>
      <c r="E621" s="13">
        <f>IF(E$618="","",E$618)</f>
        <v/>
      </c>
      <c r="F621" s="13">
        <f>IF(F$618="","",F$618)</f>
        <v/>
      </c>
      <c r="G621" s="7" t="inlineStr">
        <is>
          <t>Forecast (input)</t>
        </is>
      </c>
      <c r="H621" s="34" t="n"/>
      <c r="I621" s="34" t="n"/>
      <c r="J621" s="34" t="n"/>
      <c r="K621" s="34" t="n"/>
      <c r="L621" s="34" t="n"/>
      <c r="M621" s="34" t="n"/>
      <c r="N621" s="34" t="n"/>
      <c r="O621" s="34" t="n"/>
      <c r="P621" s="34" t="n"/>
      <c r="Q621" s="34" t="n"/>
      <c r="R621" s="34" t="n"/>
      <c r="S621" s="34" t="n"/>
      <c r="T621" s="18" t="n"/>
      <c r="U621" s="18" t="n"/>
      <c r="V621" s="18" t="n"/>
      <c r="X621" s="22">
        <f>IF($B621="","",IFERROR(INDEX(Cost_Centers!$E:$E,MATCH($B621,Cost_Centers!$A:$A,0)),"(unknown)"))</f>
        <v/>
      </c>
      <c r="Y621" s="22">
        <f>IF($B621="","",IFERROR(INDEX(Cost_Centers!$D:$D,MATCH($B621,Cost_Centers!$A:$A,0)),"(unknown)"))</f>
        <v/>
      </c>
      <c r="Z621" s="22">
        <f>IF(OR($B621="",$G621&lt;&gt;"Variance vs Budget"),"",ABS(N($V621))+ROW()/1000000000)</f>
        <v/>
      </c>
    </row>
    <row r="622">
      <c r="A622" s="13">
        <f>IF(A$618="","",A$618)</f>
        <v/>
      </c>
      <c r="B622" s="13">
        <f>IF(B$618="","",B$618)</f>
        <v/>
      </c>
      <c r="C622" s="13">
        <f>IF(C$618="","",C$618)</f>
        <v/>
      </c>
      <c r="D622" s="13">
        <f>IF(D$618="","",D$618)</f>
        <v/>
      </c>
      <c r="E622" s="13">
        <f>IF(E$618="","",E$618)</f>
        <v/>
      </c>
      <c r="F622" s="13">
        <f>IF(F$618="","",F$618)</f>
        <v/>
      </c>
      <c r="G622" s="35" t="inlineStr">
        <is>
          <t>Actual + Forecast</t>
        </is>
      </c>
      <c r="H622" s="18">
        <f>IF($B$618="","",IF(1&lt;=$C$4,N(H619),IF(H621="",H618,H621)))</f>
        <v/>
      </c>
      <c r="I622" s="18">
        <f>IF($B$618="","",IF(2&lt;=$C$4,N(I619),IF(I621="",I618,I621)))</f>
        <v/>
      </c>
      <c r="J622" s="18">
        <f>IF($B$618="","",IF(3&lt;=$C$4,N(J619),IF(J621="",J618,J621)))</f>
        <v/>
      </c>
      <c r="K622" s="18">
        <f>IF($B$618="","",IF(4&lt;=$C$4,N(K619),IF(K621="",K618,K621)))</f>
        <v/>
      </c>
      <c r="L622" s="18">
        <f>IF($B$618="","",IF(5&lt;=$C$4,N(L619),IF(L621="",L618,L621)))</f>
        <v/>
      </c>
      <c r="M622" s="18">
        <f>IF($B$618="","",IF(6&lt;=$C$4,N(M619),IF(M621="",M618,M621)))</f>
        <v/>
      </c>
      <c r="N622" s="18">
        <f>IF($B$618="","",IF(7&lt;=$C$4,N(N619),IF(N621="",N618,N621)))</f>
        <v/>
      </c>
      <c r="O622" s="18">
        <f>IF($B$618="","",IF(8&lt;=$C$4,N(O619),IF(O621="",O618,O621)))</f>
        <v/>
      </c>
      <c r="P622" s="18">
        <f>IF($B$618="","",IF(9&lt;=$C$4,N(P619),IF(P621="",P618,P621)))</f>
        <v/>
      </c>
      <c r="Q622" s="18">
        <f>IF($B$618="","",IF(10&lt;=$C$4,N(Q619),IF(Q621="",Q618,Q621)))</f>
        <v/>
      </c>
      <c r="R622" s="18">
        <f>IF($B$618="","",IF(11&lt;=$C$4,N(R619),IF(R621="",R618,R621)))</f>
        <v/>
      </c>
      <c r="S622" s="18">
        <f>IF($B$618="","",IF(12&lt;=$C$4,N(S619),IF(S621="",S618,S621)))</f>
        <v/>
      </c>
      <c r="T622" s="18">
        <f>IF($B$618="","",SUMIF($H$7:$S$7,"&lt;="&amp;$C$4,$H622:$S622))</f>
        <v/>
      </c>
      <c r="U622" s="18">
        <f>IF($B$618="","",SUMIF($H$7:$S$7,"&gt;"&amp;$C$4,$H622:$S622))</f>
        <v/>
      </c>
      <c r="V622" s="18">
        <f>IF($B$618="","",SUM($H622:$S622))</f>
        <v/>
      </c>
      <c r="X622" s="22">
        <f>IF($B622="","",IFERROR(INDEX(Cost_Centers!$E:$E,MATCH($B622,Cost_Centers!$A:$A,0)),"(unknown)"))</f>
        <v/>
      </c>
      <c r="Y622" s="22">
        <f>IF($B622="","",IFERROR(INDEX(Cost_Centers!$D:$D,MATCH($B622,Cost_Centers!$A:$A,0)),"(unknown)"))</f>
        <v/>
      </c>
      <c r="Z622" s="22">
        <f>IF(OR($B622="",$G622&lt;&gt;"Variance vs Budget"),"",ABS(N($V622))+ROW()/1000000000)</f>
        <v/>
      </c>
    </row>
    <row r="623">
      <c r="A623" s="13">
        <f>IF(A$618="","",A$618)</f>
        <v/>
      </c>
      <c r="B623" s="13">
        <f>IF(B$618="","",B$618)</f>
        <v/>
      </c>
      <c r="C623" s="13">
        <f>IF(C$618="","",C$618)</f>
        <v/>
      </c>
      <c r="D623" s="13">
        <f>IF(D$618="","",D$618)</f>
        <v/>
      </c>
      <c r="E623" s="13">
        <f>IF(E$618="","",E$618)</f>
        <v/>
      </c>
      <c r="F623" s="13">
        <f>IF(F$618="","",F$618)</f>
        <v/>
      </c>
      <c r="G623" s="36" t="inlineStr">
        <is>
          <t>Prior Month Forecast</t>
        </is>
      </c>
      <c r="H623" s="37">
        <f>IF($B$618="","",IF(COUNTIFS(Prior_Forecast!$A:$A,$B$618,Prior_Forecast!$B:$B,$D$618)&gt;0,SUMIFS(Prior_Forecast!$C:$C,Prior_Forecast!$A:$A,$B$618,Prior_Forecast!$B:$B,$D$618),""))</f>
        <v/>
      </c>
      <c r="I623" s="37">
        <f>IF($B$618="","",IF(COUNTIFS(Prior_Forecast!$A:$A,$B$618,Prior_Forecast!$B:$B,$D$618)&gt;0,SUMIFS(Prior_Forecast!$D:$D,Prior_Forecast!$A:$A,$B$618,Prior_Forecast!$B:$B,$D$618),""))</f>
        <v/>
      </c>
      <c r="J623" s="37">
        <f>IF($B$618="","",IF(COUNTIFS(Prior_Forecast!$A:$A,$B$618,Prior_Forecast!$B:$B,$D$618)&gt;0,SUMIFS(Prior_Forecast!$E:$E,Prior_Forecast!$A:$A,$B$618,Prior_Forecast!$B:$B,$D$618),""))</f>
        <v/>
      </c>
      <c r="K623" s="37">
        <f>IF($B$618="","",IF(COUNTIFS(Prior_Forecast!$A:$A,$B$618,Prior_Forecast!$B:$B,$D$618)&gt;0,SUMIFS(Prior_Forecast!$F:$F,Prior_Forecast!$A:$A,$B$618,Prior_Forecast!$B:$B,$D$618),""))</f>
        <v/>
      </c>
      <c r="L623" s="37">
        <f>IF($B$618="","",IF(COUNTIFS(Prior_Forecast!$A:$A,$B$618,Prior_Forecast!$B:$B,$D$618)&gt;0,SUMIFS(Prior_Forecast!$G:$G,Prior_Forecast!$A:$A,$B$618,Prior_Forecast!$B:$B,$D$618),""))</f>
        <v/>
      </c>
      <c r="M623" s="37">
        <f>IF($B$618="","",IF(COUNTIFS(Prior_Forecast!$A:$A,$B$618,Prior_Forecast!$B:$B,$D$618)&gt;0,SUMIFS(Prior_Forecast!$H:$H,Prior_Forecast!$A:$A,$B$618,Prior_Forecast!$B:$B,$D$618),""))</f>
        <v/>
      </c>
      <c r="N623" s="37">
        <f>IF($B$618="","",IF(COUNTIFS(Prior_Forecast!$A:$A,$B$618,Prior_Forecast!$B:$B,$D$618)&gt;0,SUMIFS(Prior_Forecast!$I:$I,Prior_Forecast!$A:$A,$B$618,Prior_Forecast!$B:$B,$D$618),""))</f>
        <v/>
      </c>
      <c r="O623" s="37">
        <f>IF($B$618="","",IF(COUNTIFS(Prior_Forecast!$A:$A,$B$618,Prior_Forecast!$B:$B,$D$618)&gt;0,SUMIFS(Prior_Forecast!$J:$J,Prior_Forecast!$A:$A,$B$618,Prior_Forecast!$B:$B,$D$618),""))</f>
        <v/>
      </c>
      <c r="P623" s="37">
        <f>IF($B$618="","",IF(COUNTIFS(Prior_Forecast!$A:$A,$B$618,Prior_Forecast!$B:$B,$D$618)&gt;0,SUMIFS(Prior_Forecast!$K:$K,Prior_Forecast!$A:$A,$B$618,Prior_Forecast!$B:$B,$D$618),""))</f>
        <v/>
      </c>
      <c r="Q623" s="37">
        <f>IF($B$618="","",IF(COUNTIFS(Prior_Forecast!$A:$A,$B$618,Prior_Forecast!$B:$B,$D$618)&gt;0,SUMIFS(Prior_Forecast!$L:$L,Prior_Forecast!$A:$A,$B$618,Prior_Forecast!$B:$B,$D$618),""))</f>
        <v/>
      </c>
      <c r="R623" s="37">
        <f>IF($B$618="","",IF(COUNTIFS(Prior_Forecast!$A:$A,$B$618,Prior_Forecast!$B:$B,$D$618)&gt;0,SUMIFS(Prior_Forecast!$M:$M,Prior_Forecast!$A:$A,$B$618,Prior_Forecast!$B:$B,$D$618),""))</f>
        <v/>
      </c>
      <c r="S623" s="37">
        <f>IF($B$618="","",IF(COUNTIFS(Prior_Forecast!$A:$A,$B$618,Prior_Forecast!$B:$B,$D$618)&gt;0,SUMIFS(Prior_Forecast!$N:$N,Prior_Forecast!$A:$A,$B$618,Prior_Forecast!$B:$B,$D$618),""))</f>
        <v/>
      </c>
      <c r="T623" s="37">
        <f>IF($B$618="","",IF(COUNTIFS(Prior_Forecast!$A:$A,$B$618,Prior_Forecast!$B:$B,$D$618)&gt;0,SUMIFS(Prior_Forecast!$O:$O,Prior_Forecast!$A:$A,$B$618,Prior_Forecast!$B:$B,$D$618),""))</f>
        <v/>
      </c>
      <c r="U623" s="37">
        <f>IF($B$618="","",IF(COUNTIFS(Prior_Forecast!$A:$A,$B$618,Prior_Forecast!$B:$B,$D$618)&gt;0,SUMIFS(Prior_Forecast!$P:$P,Prior_Forecast!$A:$A,$B$618,Prior_Forecast!$B:$B,$D$618),""))</f>
        <v/>
      </c>
      <c r="V623" s="37">
        <f>IF($B$618="","",IF(COUNTIFS(Prior_Forecast!$A:$A,$B$618,Prior_Forecast!$B:$B,$D$618)&gt;0,SUMIFS(Prior_Forecast!$Q:$Q,Prior_Forecast!$A:$A,$B$618,Prior_Forecast!$B:$B,$D$618),""))</f>
        <v/>
      </c>
      <c r="X623" s="22">
        <f>IF($B623="","",IFERROR(INDEX(Cost_Centers!$E:$E,MATCH($B623,Cost_Centers!$A:$A,0)),"(unknown)"))</f>
        <v/>
      </c>
      <c r="Y623" s="22">
        <f>IF($B623="","",IFERROR(INDEX(Cost_Centers!$D:$D,MATCH($B623,Cost_Centers!$A:$A,0)),"(unknown)"))</f>
        <v/>
      </c>
      <c r="Z623" s="22">
        <f>IF(OR($B623="",$G623&lt;&gt;"Variance vs Budget"),"",ABS(N($V623))+ROW()/1000000000)</f>
        <v/>
      </c>
    </row>
    <row r="624">
      <c r="A624" s="13">
        <f>IF(A$618="","",A$618)</f>
        <v/>
      </c>
      <c r="B624" s="13">
        <f>IF(B$618="","",B$618)</f>
        <v/>
      </c>
      <c r="C624" s="13">
        <f>IF(C$618="","",C$618)</f>
        <v/>
      </c>
      <c r="D624" s="13">
        <f>IF(D$618="","",D$618)</f>
        <v/>
      </c>
      <c r="E624" s="13">
        <f>IF(E$618="","",E$618)</f>
        <v/>
      </c>
      <c r="F624" s="13">
        <f>IF(F$618="","",F$618)</f>
        <v/>
      </c>
      <c r="G624" s="6" t="inlineStr">
        <is>
          <t>Variance vs Prior Month</t>
        </is>
      </c>
      <c r="H624" s="33">
        <f>IF(OR($B$618="",H623=""),"",H622-H623)</f>
        <v/>
      </c>
      <c r="I624" s="33">
        <f>IF(OR($B$618="",I623=""),"",I622-I623)</f>
        <v/>
      </c>
      <c r="J624" s="33">
        <f>IF(OR($B$618="",J623=""),"",J622-J623)</f>
        <v/>
      </c>
      <c r="K624" s="33">
        <f>IF(OR($B$618="",K623=""),"",K622-K623)</f>
        <v/>
      </c>
      <c r="L624" s="33">
        <f>IF(OR($B$618="",L623=""),"",L622-L623)</f>
        <v/>
      </c>
      <c r="M624" s="33">
        <f>IF(OR($B$618="",M623=""),"",M622-M623)</f>
        <v/>
      </c>
      <c r="N624" s="33">
        <f>IF(OR($B$618="",N623=""),"",N622-N623)</f>
        <v/>
      </c>
      <c r="O624" s="33">
        <f>IF(OR($B$618="",O623=""),"",O622-O623)</f>
        <v/>
      </c>
      <c r="P624" s="33">
        <f>IF(OR($B$618="",P623=""),"",P622-P623)</f>
        <v/>
      </c>
      <c r="Q624" s="33">
        <f>IF(OR($B$618="",Q623=""),"",Q622-Q623)</f>
        <v/>
      </c>
      <c r="R624" s="33">
        <f>IF(OR($B$618="",R623=""),"",R622-R623)</f>
        <v/>
      </c>
      <c r="S624" s="33">
        <f>IF(OR($B$618="",S623=""),"",S622-S623)</f>
        <v/>
      </c>
      <c r="T624" s="33">
        <f>IF(OR($B$618="",T623=""),"",T622-T623)</f>
        <v/>
      </c>
      <c r="U624" s="33">
        <f>IF(OR($B$618="",U623=""),"",U622-U623)</f>
        <v/>
      </c>
      <c r="V624" s="33">
        <f>IF(OR($B$618="",V623=""),"",V622-V623)</f>
        <v/>
      </c>
      <c r="X624" s="22">
        <f>IF($B624="","",IFERROR(INDEX(Cost_Centers!$E:$E,MATCH($B624,Cost_Centers!$A:$A,0)),"(unknown)"))</f>
        <v/>
      </c>
      <c r="Y624" s="22">
        <f>IF($B624="","",IFERROR(INDEX(Cost_Centers!$D:$D,MATCH($B624,Cost_Centers!$A:$A,0)),"(unknown)"))</f>
        <v/>
      </c>
      <c r="Z624" s="22">
        <f>IF(OR($B624="",$G624&lt;&gt;"Variance vs Budget"),"",ABS(N($V624))+ROW()/1000000000)</f>
        <v/>
      </c>
    </row>
    <row r="625" ht="45" customHeight="1">
      <c r="A625" s="13">
        <f>IF(A$618="","",A$618)</f>
        <v/>
      </c>
      <c r="B625" s="13">
        <f>IF(B$618="","",B$618)</f>
        <v/>
      </c>
      <c r="C625" s="13">
        <f>IF(C$618="","",C$618)</f>
        <v/>
      </c>
      <c r="D625" s="13">
        <f>IF(D$618="","",D$618)</f>
        <v/>
      </c>
      <c r="E625" s="13">
        <f>IF(E$618="","",E$618)</f>
        <v/>
      </c>
      <c r="F625" s="13">
        <f>IF(F$618="","",F$618)</f>
        <v/>
      </c>
      <c r="G625" s="7" t="inlineStr">
        <is>
          <t>Rationale</t>
        </is>
      </c>
      <c r="H625" s="38" t="n"/>
      <c r="I625" s="38" t="n"/>
      <c r="J625" s="38" t="n"/>
      <c r="K625" s="38" t="n"/>
      <c r="L625" s="38" t="n"/>
      <c r="M625" s="38" t="n"/>
      <c r="N625" s="38" t="n"/>
      <c r="O625" s="38" t="n"/>
      <c r="P625" s="38" t="n"/>
      <c r="Q625" s="38" t="n"/>
      <c r="R625" s="38" t="n"/>
      <c r="S625" s="38" t="n"/>
      <c r="T625" s="38" t="n"/>
      <c r="U625" s="38" t="n"/>
      <c r="V625" s="7" t="n"/>
      <c r="X625" s="22">
        <f>IF($B625="","",IFERROR(INDEX(Cost_Centers!$E:$E,MATCH($B625,Cost_Centers!$A:$A,0)),"(unknown)"))</f>
        <v/>
      </c>
      <c r="Y625" s="22">
        <f>IF($B625="","",IFERROR(INDEX(Cost_Centers!$D:$D,MATCH($B625,Cost_Centers!$A:$A,0)),"(unknown)"))</f>
        <v/>
      </c>
      <c r="Z625" s="22">
        <f>IF(OR($B625="",$G625&lt;&gt;"Variance vs Budget"),"",ABS(N($V625))+ROW()/1000000000)</f>
        <v/>
      </c>
    </row>
    <row r="626">
      <c r="A626" s="30">
        <f>IF($D$626="","",LEFT($D$626,FIND("|",$D$626&amp;"|")-1))</f>
        <v/>
      </c>
      <c r="B626" s="31" t="n"/>
      <c r="C626" s="30">
        <f>IF($B$626="","",IFERROR(INDEX(Cost_Centers!$B:$B,MATCH($B$626,Cost_Centers!$A:$A,0)),"(not in master)"))</f>
        <v/>
      </c>
      <c r="D626" s="31" t="n"/>
      <c r="E626" s="30">
        <f>IF($D$626="","",IFERROR(INDEX(Accounts!$D:$D,MATCH($D$626,Accounts!$A:$A,0)),"(not in master)"))</f>
        <v/>
      </c>
      <c r="F626" s="31" t="n"/>
      <c r="G626" s="30" t="inlineStr">
        <is>
          <t>Budget</t>
        </is>
      </c>
      <c r="H626" s="32">
        <f>IF($B$626="","",SUMIFS(Opex_Budget!$O:$O,Opex_Budget!$A:$A,$C$3,Opex_Budget!$E:$E,$B$626,Opex_Budget!$F:$F,$D$626,Opex_Budget!$N:$N,"JPY")*$E$5+SUMIFS(Opex_Budget!$O:$O,Opex_Budget!$A:$A,$C$3,Opex_Budget!$E:$E,$B$626,Opex_Budget!$F:$F,$D$626,Opex_Budget!$N:$N,"USD")*$F$5+SUMIFS(Opex_Budget!$O:$O,Opex_Budget!$A:$A,$C$3,Opex_Budget!$E:$E,$B$626,Opex_Budget!$F:$F,$D$626,Opex_Budget!$N:$N,"EUR")*$G$5+SUMIFS(Opex_Budget!$O:$O,Opex_Budget!$A:$A,$C$3,Opex_Budget!$E:$E,$B$626,Opex_Budget!$F:$F,$D$626,Opex_Budget!$N:$N,"GBP")*$H$5)</f>
        <v/>
      </c>
      <c r="I626" s="32">
        <f>IF($B$626="","",SUMIFS(Opex_Budget!$P:$P,Opex_Budget!$A:$A,$C$3,Opex_Budget!$E:$E,$B$626,Opex_Budget!$F:$F,$D$626,Opex_Budget!$N:$N,"JPY")*$E$5+SUMIFS(Opex_Budget!$P:$P,Opex_Budget!$A:$A,$C$3,Opex_Budget!$E:$E,$B$626,Opex_Budget!$F:$F,$D$626,Opex_Budget!$N:$N,"USD")*$F$5+SUMIFS(Opex_Budget!$P:$P,Opex_Budget!$A:$A,$C$3,Opex_Budget!$E:$E,$B$626,Opex_Budget!$F:$F,$D$626,Opex_Budget!$N:$N,"EUR")*$G$5+SUMIFS(Opex_Budget!$P:$P,Opex_Budget!$A:$A,$C$3,Opex_Budget!$E:$E,$B$626,Opex_Budget!$F:$F,$D$626,Opex_Budget!$N:$N,"GBP")*$H$5)</f>
        <v/>
      </c>
      <c r="J626" s="32">
        <f>IF($B$626="","",SUMIFS(Opex_Budget!$Q:$Q,Opex_Budget!$A:$A,$C$3,Opex_Budget!$E:$E,$B$626,Opex_Budget!$F:$F,$D$626,Opex_Budget!$N:$N,"JPY")*$E$5+SUMIFS(Opex_Budget!$Q:$Q,Opex_Budget!$A:$A,$C$3,Opex_Budget!$E:$E,$B$626,Opex_Budget!$F:$F,$D$626,Opex_Budget!$N:$N,"USD")*$F$5+SUMIFS(Opex_Budget!$Q:$Q,Opex_Budget!$A:$A,$C$3,Opex_Budget!$E:$E,$B$626,Opex_Budget!$F:$F,$D$626,Opex_Budget!$N:$N,"EUR")*$G$5+SUMIFS(Opex_Budget!$Q:$Q,Opex_Budget!$A:$A,$C$3,Opex_Budget!$E:$E,$B$626,Opex_Budget!$F:$F,$D$626,Opex_Budget!$N:$N,"GBP")*$H$5)</f>
        <v/>
      </c>
      <c r="K626" s="32">
        <f>IF($B$626="","",SUMIFS(Opex_Budget!$R:$R,Opex_Budget!$A:$A,$C$3,Opex_Budget!$E:$E,$B$626,Opex_Budget!$F:$F,$D$626,Opex_Budget!$N:$N,"JPY")*$E$5+SUMIFS(Opex_Budget!$R:$R,Opex_Budget!$A:$A,$C$3,Opex_Budget!$E:$E,$B$626,Opex_Budget!$F:$F,$D$626,Opex_Budget!$N:$N,"USD")*$F$5+SUMIFS(Opex_Budget!$R:$R,Opex_Budget!$A:$A,$C$3,Opex_Budget!$E:$E,$B$626,Opex_Budget!$F:$F,$D$626,Opex_Budget!$N:$N,"EUR")*$G$5+SUMIFS(Opex_Budget!$R:$R,Opex_Budget!$A:$A,$C$3,Opex_Budget!$E:$E,$B$626,Opex_Budget!$F:$F,$D$626,Opex_Budget!$N:$N,"GBP")*$H$5)</f>
        <v/>
      </c>
      <c r="L626" s="32">
        <f>IF($B$626="","",SUMIFS(Opex_Budget!$S:$S,Opex_Budget!$A:$A,$C$3,Opex_Budget!$E:$E,$B$626,Opex_Budget!$F:$F,$D$626,Opex_Budget!$N:$N,"JPY")*$E$5+SUMIFS(Opex_Budget!$S:$S,Opex_Budget!$A:$A,$C$3,Opex_Budget!$E:$E,$B$626,Opex_Budget!$F:$F,$D$626,Opex_Budget!$N:$N,"USD")*$F$5+SUMIFS(Opex_Budget!$S:$S,Opex_Budget!$A:$A,$C$3,Opex_Budget!$E:$E,$B$626,Opex_Budget!$F:$F,$D$626,Opex_Budget!$N:$N,"EUR")*$G$5+SUMIFS(Opex_Budget!$S:$S,Opex_Budget!$A:$A,$C$3,Opex_Budget!$E:$E,$B$626,Opex_Budget!$F:$F,$D$626,Opex_Budget!$N:$N,"GBP")*$H$5)</f>
        <v/>
      </c>
      <c r="M626" s="32">
        <f>IF($B$626="","",SUMIFS(Opex_Budget!$T:$T,Opex_Budget!$A:$A,$C$3,Opex_Budget!$E:$E,$B$626,Opex_Budget!$F:$F,$D$626,Opex_Budget!$N:$N,"JPY")*$E$5+SUMIFS(Opex_Budget!$T:$T,Opex_Budget!$A:$A,$C$3,Opex_Budget!$E:$E,$B$626,Opex_Budget!$F:$F,$D$626,Opex_Budget!$N:$N,"USD")*$F$5+SUMIFS(Opex_Budget!$T:$T,Opex_Budget!$A:$A,$C$3,Opex_Budget!$E:$E,$B$626,Opex_Budget!$F:$F,$D$626,Opex_Budget!$N:$N,"EUR")*$G$5+SUMIFS(Opex_Budget!$T:$T,Opex_Budget!$A:$A,$C$3,Opex_Budget!$E:$E,$B$626,Opex_Budget!$F:$F,$D$626,Opex_Budget!$N:$N,"GBP")*$H$5)</f>
        <v/>
      </c>
      <c r="N626" s="32">
        <f>IF($B$626="","",SUMIFS(Opex_Budget!$U:$U,Opex_Budget!$A:$A,$C$3,Opex_Budget!$E:$E,$B$626,Opex_Budget!$F:$F,$D$626,Opex_Budget!$N:$N,"JPY")*$E$5+SUMIFS(Opex_Budget!$U:$U,Opex_Budget!$A:$A,$C$3,Opex_Budget!$E:$E,$B$626,Opex_Budget!$F:$F,$D$626,Opex_Budget!$N:$N,"USD")*$F$5+SUMIFS(Opex_Budget!$U:$U,Opex_Budget!$A:$A,$C$3,Opex_Budget!$E:$E,$B$626,Opex_Budget!$F:$F,$D$626,Opex_Budget!$N:$N,"EUR")*$G$5+SUMIFS(Opex_Budget!$U:$U,Opex_Budget!$A:$A,$C$3,Opex_Budget!$E:$E,$B$626,Opex_Budget!$F:$F,$D$626,Opex_Budget!$N:$N,"GBP")*$H$5)</f>
        <v/>
      </c>
      <c r="O626" s="32">
        <f>IF($B$626="","",SUMIFS(Opex_Budget!$V:$V,Opex_Budget!$A:$A,$C$3,Opex_Budget!$E:$E,$B$626,Opex_Budget!$F:$F,$D$626,Opex_Budget!$N:$N,"JPY")*$E$5+SUMIFS(Opex_Budget!$V:$V,Opex_Budget!$A:$A,$C$3,Opex_Budget!$E:$E,$B$626,Opex_Budget!$F:$F,$D$626,Opex_Budget!$N:$N,"USD")*$F$5+SUMIFS(Opex_Budget!$V:$V,Opex_Budget!$A:$A,$C$3,Opex_Budget!$E:$E,$B$626,Opex_Budget!$F:$F,$D$626,Opex_Budget!$N:$N,"EUR")*$G$5+SUMIFS(Opex_Budget!$V:$V,Opex_Budget!$A:$A,$C$3,Opex_Budget!$E:$E,$B$626,Opex_Budget!$F:$F,$D$626,Opex_Budget!$N:$N,"GBP")*$H$5)</f>
        <v/>
      </c>
      <c r="P626" s="32">
        <f>IF($B$626="","",SUMIFS(Opex_Budget!$W:$W,Opex_Budget!$A:$A,$C$3,Opex_Budget!$E:$E,$B$626,Opex_Budget!$F:$F,$D$626,Opex_Budget!$N:$N,"JPY")*$E$5+SUMIFS(Opex_Budget!$W:$W,Opex_Budget!$A:$A,$C$3,Opex_Budget!$E:$E,$B$626,Opex_Budget!$F:$F,$D$626,Opex_Budget!$N:$N,"USD")*$F$5+SUMIFS(Opex_Budget!$W:$W,Opex_Budget!$A:$A,$C$3,Opex_Budget!$E:$E,$B$626,Opex_Budget!$F:$F,$D$626,Opex_Budget!$N:$N,"EUR")*$G$5+SUMIFS(Opex_Budget!$W:$W,Opex_Budget!$A:$A,$C$3,Opex_Budget!$E:$E,$B$626,Opex_Budget!$F:$F,$D$626,Opex_Budget!$N:$N,"GBP")*$H$5)</f>
        <v/>
      </c>
      <c r="Q626" s="32">
        <f>IF($B$626="","",SUMIFS(Opex_Budget!$X:$X,Opex_Budget!$A:$A,$C$3,Opex_Budget!$E:$E,$B$626,Opex_Budget!$F:$F,$D$626,Opex_Budget!$N:$N,"JPY")*$E$5+SUMIFS(Opex_Budget!$X:$X,Opex_Budget!$A:$A,$C$3,Opex_Budget!$E:$E,$B$626,Opex_Budget!$F:$F,$D$626,Opex_Budget!$N:$N,"USD")*$F$5+SUMIFS(Opex_Budget!$X:$X,Opex_Budget!$A:$A,$C$3,Opex_Budget!$E:$E,$B$626,Opex_Budget!$F:$F,$D$626,Opex_Budget!$N:$N,"EUR")*$G$5+SUMIFS(Opex_Budget!$X:$X,Opex_Budget!$A:$A,$C$3,Opex_Budget!$E:$E,$B$626,Opex_Budget!$F:$F,$D$626,Opex_Budget!$N:$N,"GBP")*$H$5)</f>
        <v/>
      </c>
      <c r="R626" s="32">
        <f>IF($B$626="","",SUMIFS(Opex_Budget!$Y:$Y,Opex_Budget!$A:$A,$C$3,Opex_Budget!$E:$E,$B$626,Opex_Budget!$F:$F,$D$626,Opex_Budget!$N:$N,"JPY")*$E$5+SUMIFS(Opex_Budget!$Y:$Y,Opex_Budget!$A:$A,$C$3,Opex_Budget!$E:$E,$B$626,Opex_Budget!$F:$F,$D$626,Opex_Budget!$N:$N,"USD")*$F$5+SUMIFS(Opex_Budget!$Y:$Y,Opex_Budget!$A:$A,$C$3,Opex_Budget!$E:$E,$B$626,Opex_Budget!$F:$F,$D$626,Opex_Budget!$N:$N,"EUR")*$G$5+SUMIFS(Opex_Budget!$Y:$Y,Opex_Budget!$A:$A,$C$3,Opex_Budget!$E:$E,$B$626,Opex_Budget!$F:$F,$D$626,Opex_Budget!$N:$N,"GBP")*$H$5)</f>
        <v/>
      </c>
      <c r="S626" s="32">
        <f>IF($B$626="","",SUMIFS(Opex_Budget!$Z:$Z,Opex_Budget!$A:$A,$C$3,Opex_Budget!$E:$E,$B$626,Opex_Budget!$F:$F,$D$626,Opex_Budget!$N:$N,"JPY")*$E$5+SUMIFS(Opex_Budget!$Z:$Z,Opex_Budget!$A:$A,$C$3,Opex_Budget!$E:$E,$B$626,Opex_Budget!$F:$F,$D$626,Opex_Budget!$N:$N,"USD")*$F$5+SUMIFS(Opex_Budget!$Z:$Z,Opex_Budget!$A:$A,$C$3,Opex_Budget!$E:$E,$B$626,Opex_Budget!$F:$F,$D$626,Opex_Budget!$N:$N,"EUR")*$G$5+SUMIFS(Opex_Budget!$Z:$Z,Opex_Budget!$A:$A,$C$3,Opex_Budget!$E:$E,$B$626,Opex_Budget!$F:$F,$D$626,Opex_Budget!$N:$N,"GBP")*$H$5)</f>
        <v/>
      </c>
      <c r="T626" s="32">
        <f>IF($B$626="","",SUMIF($H$7:$S$7,"&lt;="&amp;$C$4,$H626:$S626))</f>
        <v/>
      </c>
      <c r="U626" s="32">
        <f>IF($B$626="","",SUMIF($H$7:$S$7,"&gt;"&amp;$C$4,$H626:$S626))</f>
        <v/>
      </c>
      <c r="V626" s="32">
        <f>IF($B$626="","",SUM($H626:$S626))</f>
        <v/>
      </c>
      <c r="X626" s="22">
        <f>IF($B626="","",IFERROR(INDEX(Cost_Centers!$E:$E,MATCH($B626,Cost_Centers!$A:$A,0)),"(unknown)"))</f>
        <v/>
      </c>
      <c r="Y626" s="22">
        <f>IF($B626="","",IFERROR(INDEX(Cost_Centers!$D:$D,MATCH($B626,Cost_Centers!$A:$A,0)),"(unknown)"))</f>
        <v/>
      </c>
      <c r="Z626" s="22">
        <f>IF(OR($B626="",$G626&lt;&gt;"Variance vs Budget"),"",ABS(N($V626))+ROW()/1000000000)</f>
        <v/>
      </c>
    </row>
    <row r="627">
      <c r="A627" s="13">
        <f>IF(A$626="","",A$626)</f>
        <v/>
      </c>
      <c r="B627" s="13">
        <f>IF(B$626="","",B$626)</f>
        <v/>
      </c>
      <c r="C627" s="13">
        <f>IF(C$626="","",C$626)</f>
        <v/>
      </c>
      <c r="D627" s="13">
        <f>IF(D$626="","",D$626)</f>
        <v/>
      </c>
      <c r="E627" s="13">
        <f>IF(E$626="","",E$626)</f>
        <v/>
      </c>
      <c r="F627" s="13">
        <f>IF(F$626="","",F$626)</f>
        <v/>
      </c>
      <c r="G627" s="7" t="inlineStr">
        <is>
          <t>Actual</t>
        </is>
      </c>
      <c r="H627" s="18">
        <f>IF(OR($B$626="",1&gt;$C$4),"",SUMIFS(Actuals!$G:$G,Actuals!$B:$B,$C$3,Actuals!$C:$C,1,Actuals!$D:$D,$B$626,Actuals!$A:$A,LEFT($D$626,FIND("|",$D$626&amp;"|")-1),Actuals!$E:$E,MID($D$626,FIND("|",$D$626&amp;"|")+1,50),Actuals!$F:$F,"JPY")*$E$5+SUMIFS(Actuals!$G:$G,Actuals!$B:$B,$C$3,Actuals!$C:$C,1,Actuals!$D:$D,$B$626,Actuals!$A:$A,LEFT($D$626,FIND("|",$D$626&amp;"|")-1),Actuals!$E:$E,MID($D$626,FIND("|",$D$626&amp;"|")+1,50),Actuals!$F:$F,"USD")*$F$5+SUMIFS(Actuals!$G:$G,Actuals!$B:$B,$C$3,Actuals!$C:$C,1,Actuals!$D:$D,$B$626,Actuals!$A:$A,LEFT($D$626,FIND("|",$D$626&amp;"|")-1),Actuals!$E:$E,MID($D$626,FIND("|",$D$626&amp;"|")+1,50),Actuals!$F:$F,"EUR")*$G$5+SUMIFS(Actuals!$G:$G,Actuals!$B:$B,$C$3,Actuals!$C:$C,1,Actuals!$D:$D,$B$626,Actuals!$A:$A,LEFT($D$626,FIND("|",$D$626&amp;"|")-1),Actuals!$E:$E,MID($D$626,FIND("|",$D$626&amp;"|")+1,50),Actuals!$F:$F,"GBP")*$H$5)</f>
        <v/>
      </c>
      <c r="I627" s="18">
        <f>IF(OR($B$626="",2&gt;$C$4),"",SUMIFS(Actuals!$G:$G,Actuals!$B:$B,$C$3,Actuals!$C:$C,2,Actuals!$D:$D,$B$626,Actuals!$A:$A,LEFT($D$626,FIND("|",$D$626&amp;"|")-1),Actuals!$E:$E,MID($D$626,FIND("|",$D$626&amp;"|")+1,50),Actuals!$F:$F,"JPY")*$E$5+SUMIFS(Actuals!$G:$G,Actuals!$B:$B,$C$3,Actuals!$C:$C,2,Actuals!$D:$D,$B$626,Actuals!$A:$A,LEFT($D$626,FIND("|",$D$626&amp;"|")-1),Actuals!$E:$E,MID($D$626,FIND("|",$D$626&amp;"|")+1,50),Actuals!$F:$F,"USD")*$F$5+SUMIFS(Actuals!$G:$G,Actuals!$B:$B,$C$3,Actuals!$C:$C,2,Actuals!$D:$D,$B$626,Actuals!$A:$A,LEFT($D$626,FIND("|",$D$626&amp;"|")-1),Actuals!$E:$E,MID($D$626,FIND("|",$D$626&amp;"|")+1,50),Actuals!$F:$F,"EUR")*$G$5+SUMIFS(Actuals!$G:$G,Actuals!$B:$B,$C$3,Actuals!$C:$C,2,Actuals!$D:$D,$B$626,Actuals!$A:$A,LEFT($D$626,FIND("|",$D$626&amp;"|")-1),Actuals!$E:$E,MID($D$626,FIND("|",$D$626&amp;"|")+1,50),Actuals!$F:$F,"GBP")*$H$5)</f>
        <v/>
      </c>
      <c r="J627" s="18">
        <f>IF(OR($B$626="",3&gt;$C$4),"",SUMIFS(Actuals!$G:$G,Actuals!$B:$B,$C$3,Actuals!$C:$C,3,Actuals!$D:$D,$B$626,Actuals!$A:$A,LEFT($D$626,FIND("|",$D$626&amp;"|")-1),Actuals!$E:$E,MID($D$626,FIND("|",$D$626&amp;"|")+1,50),Actuals!$F:$F,"JPY")*$E$5+SUMIFS(Actuals!$G:$G,Actuals!$B:$B,$C$3,Actuals!$C:$C,3,Actuals!$D:$D,$B$626,Actuals!$A:$A,LEFT($D$626,FIND("|",$D$626&amp;"|")-1),Actuals!$E:$E,MID($D$626,FIND("|",$D$626&amp;"|")+1,50),Actuals!$F:$F,"USD")*$F$5+SUMIFS(Actuals!$G:$G,Actuals!$B:$B,$C$3,Actuals!$C:$C,3,Actuals!$D:$D,$B$626,Actuals!$A:$A,LEFT($D$626,FIND("|",$D$626&amp;"|")-1),Actuals!$E:$E,MID($D$626,FIND("|",$D$626&amp;"|")+1,50),Actuals!$F:$F,"EUR")*$G$5+SUMIFS(Actuals!$G:$G,Actuals!$B:$B,$C$3,Actuals!$C:$C,3,Actuals!$D:$D,$B$626,Actuals!$A:$A,LEFT($D$626,FIND("|",$D$626&amp;"|")-1),Actuals!$E:$E,MID($D$626,FIND("|",$D$626&amp;"|")+1,50),Actuals!$F:$F,"GBP")*$H$5)</f>
        <v/>
      </c>
      <c r="K627" s="18">
        <f>IF(OR($B$626="",4&gt;$C$4),"",SUMIFS(Actuals!$G:$G,Actuals!$B:$B,$C$3,Actuals!$C:$C,4,Actuals!$D:$D,$B$626,Actuals!$A:$A,LEFT($D$626,FIND("|",$D$626&amp;"|")-1),Actuals!$E:$E,MID($D$626,FIND("|",$D$626&amp;"|")+1,50),Actuals!$F:$F,"JPY")*$E$5+SUMIFS(Actuals!$G:$G,Actuals!$B:$B,$C$3,Actuals!$C:$C,4,Actuals!$D:$D,$B$626,Actuals!$A:$A,LEFT($D$626,FIND("|",$D$626&amp;"|")-1),Actuals!$E:$E,MID($D$626,FIND("|",$D$626&amp;"|")+1,50),Actuals!$F:$F,"USD")*$F$5+SUMIFS(Actuals!$G:$G,Actuals!$B:$B,$C$3,Actuals!$C:$C,4,Actuals!$D:$D,$B$626,Actuals!$A:$A,LEFT($D$626,FIND("|",$D$626&amp;"|")-1),Actuals!$E:$E,MID($D$626,FIND("|",$D$626&amp;"|")+1,50),Actuals!$F:$F,"EUR")*$G$5+SUMIFS(Actuals!$G:$G,Actuals!$B:$B,$C$3,Actuals!$C:$C,4,Actuals!$D:$D,$B$626,Actuals!$A:$A,LEFT($D$626,FIND("|",$D$626&amp;"|")-1),Actuals!$E:$E,MID($D$626,FIND("|",$D$626&amp;"|")+1,50),Actuals!$F:$F,"GBP")*$H$5)</f>
        <v/>
      </c>
      <c r="L627" s="18">
        <f>IF(OR($B$626="",5&gt;$C$4),"",SUMIFS(Actuals!$G:$G,Actuals!$B:$B,$C$3,Actuals!$C:$C,5,Actuals!$D:$D,$B$626,Actuals!$A:$A,LEFT($D$626,FIND("|",$D$626&amp;"|")-1),Actuals!$E:$E,MID($D$626,FIND("|",$D$626&amp;"|")+1,50),Actuals!$F:$F,"JPY")*$E$5+SUMIFS(Actuals!$G:$G,Actuals!$B:$B,$C$3,Actuals!$C:$C,5,Actuals!$D:$D,$B$626,Actuals!$A:$A,LEFT($D$626,FIND("|",$D$626&amp;"|")-1),Actuals!$E:$E,MID($D$626,FIND("|",$D$626&amp;"|")+1,50),Actuals!$F:$F,"USD")*$F$5+SUMIFS(Actuals!$G:$G,Actuals!$B:$B,$C$3,Actuals!$C:$C,5,Actuals!$D:$D,$B$626,Actuals!$A:$A,LEFT($D$626,FIND("|",$D$626&amp;"|")-1),Actuals!$E:$E,MID($D$626,FIND("|",$D$626&amp;"|")+1,50),Actuals!$F:$F,"EUR")*$G$5+SUMIFS(Actuals!$G:$G,Actuals!$B:$B,$C$3,Actuals!$C:$C,5,Actuals!$D:$D,$B$626,Actuals!$A:$A,LEFT($D$626,FIND("|",$D$626&amp;"|")-1),Actuals!$E:$E,MID($D$626,FIND("|",$D$626&amp;"|")+1,50),Actuals!$F:$F,"GBP")*$H$5)</f>
        <v/>
      </c>
      <c r="M627" s="18">
        <f>IF(OR($B$626="",6&gt;$C$4),"",SUMIFS(Actuals!$G:$G,Actuals!$B:$B,$C$3,Actuals!$C:$C,6,Actuals!$D:$D,$B$626,Actuals!$A:$A,LEFT($D$626,FIND("|",$D$626&amp;"|")-1),Actuals!$E:$E,MID($D$626,FIND("|",$D$626&amp;"|")+1,50),Actuals!$F:$F,"JPY")*$E$5+SUMIFS(Actuals!$G:$G,Actuals!$B:$B,$C$3,Actuals!$C:$C,6,Actuals!$D:$D,$B$626,Actuals!$A:$A,LEFT($D$626,FIND("|",$D$626&amp;"|")-1),Actuals!$E:$E,MID($D$626,FIND("|",$D$626&amp;"|")+1,50),Actuals!$F:$F,"USD")*$F$5+SUMIFS(Actuals!$G:$G,Actuals!$B:$B,$C$3,Actuals!$C:$C,6,Actuals!$D:$D,$B$626,Actuals!$A:$A,LEFT($D$626,FIND("|",$D$626&amp;"|")-1),Actuals!$E:$E,MID($D$626,FIND("|",$D$626&amp;"|")+1,50),Actuals!$F:$F,"EUR")*$G$5+SUMIFS(Actuals!$G:$G,Actuals!$B:$B,$C$3,Actuals!$C:$C,6,Actuals!$D:$D,$B$626,Actuals!$A:$A,LEFT($D$626,FIND("|",$D$626&amp;"|")-1),Actuals!$E:$E,MID($D$626,FIND("|",$D$626&amp;"|")+1,50),Actuals!$F:$F,"GBP")*$H$5)</f>
        <v/>
      </c>
      <c r="N627" s="18">
        <f>IF(OR($B$626="",7&gt;$C$4),"",SUMIFS(Actuals!$G:$G,Actuals!$B:$B,$C$3,Actuals!$C:$C,7,Actuals!$D:$D,$B$626,Actuals!$A:$A,LEFT($D$626,FIND("|",$D$626&amp;"|")-1),Actuals!$E:$E,MID($D$626,FIND("|",$D$626&amp;"|")+1,50),Actuals!$F:$F,"JPY")*$E$5+SUMIFS(Actuals!$G:$G,Actuals!$B:$B,$C$3,Actuals!$C:$C,7,Actuals!$D:$D,$B$626,Actuals!$A:$A,LEFT($D$626,FIND("|",$D$626&amp;"|")-1),Actuals!$E:$E,MID($D$626,FIND("|",$D$626&amp;"|")+1,50),Actuals!$F:$F,"USD")*$F$5+SUMIFS(Actuals!$G:$G,Actuals!$B:$B,$C$3,Actuals!$C:$C,7,Actuals!$D:$D,$B$626,Actuals!$A:$A,LEFT($D$626,FIND("|",$D$626&amp;"|")-1),Actuals!$E:$E,MID($D$626,FIND("|",$D$626&amp;"|")+1,50),Actuals!$F:$F,"EUR")*$G$5+SUMIFS(Actuals!$G:$G,Actuals!$B:$B,$C$3,Actuals!$C:$C,7,Actuals!$D:$D,$B$626,Actuals!$A:$A,LEFT($D$626,FIND("|",$D$626&amp;"|")-1),Actuals!$E:$E,MID($D$626,FIND("|",$D$626&amp;"|")+1,50),Actuals!$F:$F,"GBP")*$H$5)</f>
        <v/>
      </c>
      <c r="O627" s="18">
        <f>IF(OR($B$626="",8&gt;$C$4),"",SUMIFS(Actuals!$G:$G,Actuals!$B:$B,$C$3,Actuals!$C:$C,8,Actuals!$D:$D,$B$626,Actuals!$A:$A,LEFT($D$626,FIND("|",$D$626&amp;"|")-1),Actuals!$E:$E,MID($D$626,FIND("|",$D$626&amp;"|")+1,50),Actuals!$F:$F,"JPY")*$E$5+SUMIFS(Actuals!$G:$G,Actuals!$B:$B,$C$3,Actuals!$C:$C,8,Actuals!$D:$D,$B$626,Actuals!$A:$A,LEFT($D$626,FIND("|",$D$626&amp;"|")-1),Actuals!$E:$E,MID($D$626,FIND("|",$D$626&amp;"|")+1,50),Actuals!$F:$F,"USD")*$F$5+SUMIFS(Actuals!$G:$G,Actuals!$B:$B,$C$3,Actuals!$C:$C,8,Actuals!$D:$D,$B$626,Actuals!$A:$A,LEFT($D$626,FIND("|",$D$626&amp;"|")-1),Actuals!$E:$E,MID($D$626,FIND("|",$D$626&amp;"|")+1,50),Actuals!$F:$F,"EUR")*$G$5+SUMIFS(Actuals!$G:$G,Actuals!$B:$B,$C$3,Actuals!$C:$C,8,Actuals!$D:$D,$B$626,Actuals!$A:$A,LEFT($D$626,FIND("|",$D$626&amp;"|")-1),Actuals!$E:$E,MID($D$626,FIND("|",$D$626&amp;"|")+1,50),Actuals!$F:$F,"GBP")*$H$5)</f>
        <v/>
      </c>
      <c r="P627" s="18">
        <f>IF(OR($B$626="",9&gt;$C$4),"",SUMIFS(Actuals!$G:$G,Actuals!$B:$B,$C$3,Actuals!$C:$C,9,Actuals!$D:$D,$B$626,Actuals!$A:$A,LEFT($D$626,FIND("|",$D$626&amp;"|")-1),Actuals!$E:$E,MID($D$626,FIND("|",$D$626&amp;"|")+1,50),Actuals!$F:$F,"JPY")*$E$5+SUMIFS(Actuals!$G:$G,Actuals!$B:$B,$C$3,Actuals!$C:$C,9,Actuals!$D:$D,$B$626,Actuals!$A:$A,LEFT($D$626,FIND("|",$D$626&amp;"|")-1),Actuals!$E:$E,MID($D$626,FIND("|",$D$626&amp;"|")+1,50),Actuals!$F:$F,"USD")*$F$5+SUMIFS(Actuals!$G:$G,Actuals!$B:$B,$C$3,Actuals!$C:$C,9,Actuals!$D:$D,$B$626,Actuals!$A:$A,LEFT($D$626,FIND("|",$D$626&amp;"|")-1),Actuals!$E:$E,MID($D$626,FIND("|",$D$626&amp;"|")+1,50),Actuals!$F:$F,"EUR")*$G$5+SUMIFS(Actuals!$G:$G,Actuals!$B:$B,$C$3,Actuals!$C:$C,9,Actuals!$D:$D,$B$626,Actuals!$A:$A,LEFT($D$626,FIND("|",$D$626&amp;"|")-1),Actuals!$E:$E,MID($D$626,FIND("|",$D$626&amp;"|")+1,50),Actuals!$F:$F,"GBP")*$H$5)</f>
        <v/>
      </c>
      <c r="Q627" s="18">
        <f>IF(OR($B$626="",10&gt;$C$4),"",SUMIFS(Actuals!$G:$G,Actuals!$B:$B,$C$3,Actuals!$C:$C,10,Actuals!$D:$D,$B$626,Actuals!$A:$A,LEFT($D$626,FIND("|",$D$626&amp;"|")-1),Actuals!$E:$E,MID($D$626,FIND("|",$D$626&amp;"|")+1,50),Actuals!$F:$F,"JPY")*$E$5+SUMIFS(Actuals!$G:$G,Actuals!$B:$B,$C$3,Actuals!$C:$C,10,Actuals!$D:$D,$B$626,Actuals!$A:$A,LEFT($D$626,FIND("|",$D$626&amp;"|")-1),Actuals!$E:$E,MID($D$626,FIND("|",$D$626&amp;"|")+1,50),Actuals!$F:$F,"USD")*$F$5+SUMIFS(Actuals!$G:$G,Actuals!$B:$B,$C$3,Actuals!$C:$C,10,Actuals!$D:$D,$B$626,Actuals!$A:$A,LEFT($D$626,FIND("|",$D$626&amp;"|")-1),Actuals!$E:$E,MID($D$626,FIND("|",$D$626&amp;"|")+1,50),Actuals!$F:$F,"EUR")*$G$5+SUMIFS(Actuals!$G:$G,Actuals!$B:$B,$C$3,Actuals!$C:$C,10,Actuals!$D:$D,$B$626,Actuals!$A:$A,LEFT($D$626,FIND("|",$D$626&amp;"|")-1),Actuals!$E:$E,MID($D$626,FIND("|",$D$626&amp;"|")+1,50),Actuals!$F:$F,"GBP")*$H$5)</f>
        <v/>
      </c>
      <c r="R627" s="18">
        <f>IF(OR($B$626="",11&gt;$C$4),"",SUMIFS(Actuals!$G:$G,Actuals!$B:$B,$C$3,Actuals!$C:$C,11,Actuals!$D:$D,$B$626,Actuals!$A:$A,LEFT($D$626,FIND("|",$D$626&amp;"|")-1),Actuals!$E:$E,MID($D$626,FIND("|",$D$626&amp;"|")+1,50),Actuals!$F:$F,"JPY")*$E$5+SUMIFS(Actuals!$G:$G,Actuals!$B:$B,$C$3,Actuals!$C:$C,11,Actuals!$D:$D,$B$626,Actuals!$A:$A,LEFT($D$626,FIND("|",$D$626&amp;"|")-1),Actuals!$E:$E,MID($D$626,FIND("|",$D$626&amp;"|")+1,50),Actuals!$F:$F,"USD")*$F$5+SUMIFS(Actuals!$G:$G,Actuals!$B:$B,$C$3,Actuals!$C:$C,11,Actuals!$D:$D,$B$626,Actuals!$A:$A,LEFT($D$626,FIND("|",$D$626&amp;"|")-1),Actuals!$E:$E,MID($D$626,FIND("|",$D$626&amp;"|")+1,50),Actuals!$F:$F,"EUR")*$G$5+SUMIFS(Actuals!$G:$G,Actuals!$B:$B,$C$3,Actuals!$C:$C,11,Actuals!$D:$D,$B$626,Actuals!$A:$A,LEFT($D$626,FIND("|",$D$626&amp;"|")-1),Actuals!$E:$E,MID($D$626,FIND("|",$D$626&amp;"|")+1,50),Actuals!$F:$F,"GBP")*$H$5)</f>
        <v/>
      </c>
      <c r="S627" s="18">
        <f>IF(OR($B$626="",12&gt;$C$4),"",SUMIFS(Actuals!$G:$G,Actuals!$B:$B,$C$3,Actuals!$C:$C,12,Actuals!$D:$D,$B$626,Actuals!$A:$A,LEFT($D$626,FIND("|",$D$626&amp;"|")-1),Actuals!$E:$E,MID($D$626,FIND("|",$D$626&amp;"|")+1,50),Actuals!$F:$F,"JPY")*$E$5+SUMIFS(Actuals!$G:$G,Actuals!$B:$B,$C$3,Actuals!$C:$C,12,Actuals!$D:$D,$B$626,Actuals!$A:$A,LEFT($D$626,FIND("|",$D$626&amp;"|")-1),Actuals!$E:$E,MID($D$626,FIND("|",$D$626&amp;"|")+1,50),Actuals!$F:$F,"USD")*$F$5+SUMIFS(Actuals!$G:$G,Actuals!$B:$B,$C$3,Actuals!$C:$C,12,Actuals!$D:$D,$B$626,Actuals!$A:$A,LEFT($D$626,FIND("|",$D$626&amp;"|")-1),Actuals!$E:$E,MID($D$626,FIND("|",$D$626&amp;"|")+1,50),Actuals!$F:$F,"EUR")*$G$5+SUMIFS(Actuals!$G:$G,Actuals!$B:$B,$C$3,Actuals!$C:$C,12,Actuals!$D:$D,$B$626,Actuals!$A:$A,LEFT($D$626,FIND("|",$D$626&amp;"|")-1),Actuals!$E:$E,MID($D$626,FIND("|",$D$626&amp;"|")+1,50),Actuals!$F:$F,"GBP")*$H$5)</f>
        <v/>
      </c>
      <c r="T627" s="18">
        <f>IF($B$626="","",SUMIF($H$7:$S$7,"&lt;="&amp;$C$4,$H627:$S627))</f>
        <v/>
      </c>
      <c r="U627" s="18" t="n"/>
      <c r="V627" s="18" t="n"/>
      <c r="X627" s="22">
        <f>IF($B627="","",IFERROR(INDEX(Cost_Centers!$E:$E,MATCH($B627,Cost_Centers!$A:$A,0)),"(unknown)"))</f>
        <v/>
      </c>
      <c r="Y627" s="22">
        <f>IF($B627="","",IFERROR(INDEX(Cost_Centers!$D:$D,MATCH($B627,Cost_Centers!$A:$A,0)),"(unknown)"))</f>
        <v/>
      </c>
      <c r="Z627" s="22">
        <f>IF(OR($B627="",$G627&lt;&gt;"Variance vs Budget"),"",ABS(N($V627))+ROW()/1000000000)</f>
        <v/>
      </c>
    </row>
    <row r="628">
      <c r="A628" s="13">
        <f>IF(A$626="","",A$626)</f>
        <v/>
      </c>
      <c r="B628" s="13">
        <f>IF(B$626="","",B$626)</f>
        <v/>
      </c>
      <c r="C628" s="13">
        <f>IF(C$626="","",C$626)</f>
        <v/>
      </c>
      <c r="D628" s="13">
        <f>IF(D$626="","",D$626)</f>
        <v/>
      </c>
      <c r="E628" s="13">
        <f>IF(E$626="","",E$626)</f>
        <v/>
      </c>
      <c r="F628" s="13">
        <f>IF(F$626="","",F$626)</f>
        <v/>
      </c>
      <c r="G628" s="6" t="inlineStr">
        <is>
          <t>Variance vs Budget</t>
        </is>
      </c>
      <c r="H628" s="33">
        <f>IF(OR($B$626="",1&gt;$C$4),"",N(H627)-H626)</f>
        <v/>
      </c>
      <c r="I628" s="33">
        <f>IF(OR($B$626="",2&gt;$C$4),"",N(I627)-I626)</f>
        <v/>
      </c>
      <c r="J628" s="33">
        <f>IF(OR($B$626="",3&gt;$C$4),"",N(J627)-J626)</f>
        <v/>
      </c>
      <c r="K628" s="33">
        <f>IF(OR($B$626="",4&gt;$C$4),"",N(K627)-K626)</f>
        <v/>
      </c>
      <c r="L628" s="33">
        <f>IF(OR($B$626="",5&gt;$C$4),"",N(L627)-L626)</f>
        <v/>
      </c>
      <c r="M628" s="33">
        <f>IF(OR($B$626="",6&gt;$C$4),"",N(M627)-M626)</f>
        <v/>
      </c>
      <c r="N628" s="33">
        <f>IF(OR($B$626="",7&gt;$C$4),"",N(N627)-N626)</f>
        <v/>
      </c>
      <c r="O628" s="33">
        <f>IF(OR($B$626="",8&gt;$C$4),"",N(O627)-O626)</f>
        <v/>
      </c>
      <c r="P628" s="33">
        <f>IF(OR($B$626="",9&gt;$C$4),"",N(P627)-P626)</f>
        <v/>
      </c>
      <c r="Q628" s="33">
        <f>IF(OR($B$626="",10&gt;$C$4),"",N(Q627)-Q626)</f>
        <v/>
      </c>
      <c r="R628" s="33">
        <f>IF(OR($B$626="",11&gt;$C$4),"",N(R627)-R626)</f>
        <v/>
      </c>
      <c r="S628" s="33">
        <f>IF(OR($B$626="",12&gt;$C$4),"",N(S627)-S626)</f>
        <v/>
      </c>
      <c r="T628" s="33">
        <f>IF($B$626="","",T627-T626)</f>
        <v/>
      </c>
      <c r="U628" s="33">
        <f>IF($B$626="","",U630-U626)</f>
        <v/>
      </c>
      <c r="V628" s="33">
        <f>IF($B$626="","",V630-V626)</f>
        <v/>
      </c>
      <c r="X628" s="22">
        <f>IF($B628="","",IFERROR(INDEX(Cost_Centers!$E:$E,MATCH($B628,Cost_Centers!$A:$A,0)),"(unknown)"))</f>
        <v/>
      </c>
      <c r="Y628" s="22">
        <f>IF($B628="","",IFERROR(INDEX(Cost_Centers!$D:$D,MATCH($B628,Cost_Centers!$A:$A,0)),"(unknown)"))</f>
        <v/>
      </c>
      <c r="Z628" s="22">
        <f>IF(OR($B628="",$G628&lt;&gt;"Variance vs Budget"),"",ABS(N($V628))+ROW()/1000000000)</f>
        <v/>
      </c>
    </row>
    <row r="629">
      <c r="A629" s="13">
        <f>IF(A$626="","",A$626)</f>
        <v/>
      </c>
      <c r="B629" s="13">
        <f>IF(B$626="","",B$626)</f>
        <v/>
      </c>
      <c r="C629" s="13">
        <f>IF(C$626="","",C$626)</f>
        <v/>
      </c>
      <c r="D629" s="13">
        <f>IF(D$626="","",D$626)</f>
        <v/>
      </c>
      <c r="E629" s="13">
        <f>IF(E$626="","",E$626)</f>
        <v/>
      </c>
      <c r="F629" s="13">
        <f>IF(F$626="","",F$626)</f>
        <v/>
      </c>
      <c r="G629" s="7" t="inlineStr">
        <is>
          <t>Forecast (input)</t>
        </is>
      </c>
      <c r="H629" s="34" t="n"/>
      <c r="I629" s="34" t="n"/>
      <c r="J629" s="34" t="n"/>
      <c r="K629" s="34" t="n"/>
      <c r="L629" s="34" t="n"/>
      <c r="M629" s="34" t="n"/>
      <c r="N629" s="34" t="n"/>
      <c r="O629" s="34" t="n"/>
      <c r="P629" s="34" t="n"/>
      <c r="Q629" s="34" t="n"/>
      <c r="R629" s="34" t="n"/>
      <c r="S629" s="34" t="n"/>
      <c r="T629" s="18" t="n"/>
      <c r="U629" s="18" t="n"/>
      <c r="V629" s="18" t="n"/>
      <c r="X629" s="22">
        <f>IF($B629="","",IFERROR(INDEX(Cost_Centers!$E:$E,MATCH($B629,Cost_Centers!$A:$A,0)),"(unknown)"))</f>
        <v/>
      </c>
      <c r="Y629" s="22">
        <f>IF($B629="","",IFERROR(INDEX(Cost_Centers!$D:$D,MATCH($B629,Cost_Centers!$A:$A,0)),"(unknown)"))</f>
        <v/>
      </c>
      <c r="Z629" s="22">
        <f>IF(OR($B629="",$G629&lt;&gt;"Variance vs Budget"),"",ABS(N($V629))+ROW()/1000000000)</f>
        <v/>
      </c>
    </row>
    <row r="630">
      <c r="A630" s="13">
        <f>IF(A$626="","",A$626)</f>
        <v/>
      </c>
      <c r="B630" s="13">
        <f>IF(B$626="","",B$626)</f>
        <v/>
      </c>
      <c r="C630" s="13">
        <f>IF(C$626="","",C$626)</f>
        <v/>
      </c>
      <c r="D630" s="13">
        <f>IF(D$626="","",D$626)</f>
        <v/>
      </c>
      <c r="E630" s="13">
        <f>IF(E$626="","",E$626)</f>
        <v/>
      </c>
      <c r="F630" s="13">
        <f>IF(F$626="","",F$626)</f>
        <v/>
      </c>
      <c r="G630" s="35" t="inlineStr">
        <is>
          <t>Actual + Forecast</t>
        </is>
      </c>
      <c r="H630" s="18">
        <f>IF($B$626="","",IF(1&lt;=$C$4,N(H627),IF(H629="",H626,H629)))</f>
        <v/>
      </c>
      <c r="I630" s="18">
        <f>IF($B$626="","",IF(2&lt;=$C$4,N(I627),IF(I629="",I626,I629)))</f>
        <v/>
      </c>
      <c r="J630" s="18">
        <f>IF($B$626="","",IF(3&lt;=$C$4,N(J627),IF(J629="",J626,J629)))</f>
        <v/>
      </c>
      <c r="K630" s="18">
        <f>IF($B$626="","",IF(4&lt;=$C$4,N(K627),IF(K629="",K626,K629)))</f>
        <v/>
      </c>
      <c r="L630" s="18">
        <f>IF($B$626="","",IF(5&lt;=$C$4,N(L627),IF(L629="",L626,L629)))</f>
        <v/>
      </c>
      <c r="M630" s="18">
        <f>IF($B$626="","",IF(6&lt;=$C$4,N(M627),IF(M629="",M626,M629)))</f>
        <v/>
      </c>
      <c r="N630" s="18">
        <f>IF($B$626="","",IF(7&lt;=$C$4,N(N627),IF(N629="",N626,N629)))</f>
        <v/>
      </c>
      <c r="O630" s="18">
        <f>IF($B$626="","",IF(8&lt;=$C$4,N(O627),IF(O629="",O626,O629)))</f>
        <v/>
      </c>
      <c r="P630" s="18">
        <f>IF($B$626="","",IF(9&lt;=$C$4,N(P627),IF(P629="",P626,P629)))</f>
        <v/>
      </c>
      <c r="Q630" s="18">
        <f>IF($B$626="","",IF(10&lt;=$C$4,N(Q627),IF(Q629="",Q626,Q629)))</f>
        <v/>
      </c>
      <c r="R630" s="18">
        <f>IF($B$626="","",IF(11&lt;=$C$4,N(R627),IF(R629="",R626,R629)))</f>
        <v/>
      </c>
      <c r="S630" s="18">
        <f>IF($B$626="","",IF(12&lt;=$C$4,N(S627),IF(S629="",S626,S629)))</f>
        <v/>
      </c>
      <c r="T630" s="18">
        <f>IF($B$626="","",SUMIF($H$7:$S$7,"&lt;="&amp;$C$4,$H630:$S630))</f>
        <v/>
      </c>
      <c r="U630" s="18">
        <f>IF($B$626="","",SUMIF($H$7:$S$7,"&gt;"&amp;$C$4,$H630:$S630))</f>
        <v/>
      </c>
      <c r="V630" s="18">
        <f>IF($B$626="","",SUM($H630:$S630))</f>
        <v/>
      </c>
      <c r="X630" s="22">
        <f>IF($B630="","",IFERROR(INDEX(Cost_Centers!$E:$E,MATCH($B630,Cost_Centers!$A:$A,0)),"(unknown)"))</f>
        <v/>
      </c>
      <c r="Y630" s="22">
        <f>IF($B630="","",IFERROR(INDEX(Cost_Centers!$D:$D,MATCH($B630,Cost_Centers!$A:$A,0)),"(unknown)"))</f>
        <v/>
      </c>
      <c r="Z630" s="22">
        <f>IF(OR($B630="",$G630&lt;&gt;"Variance vs Budget"),"",ABS(N($V630))+ROW()/1000000000)</f>
        <v/>
      </c>
    </row>
    <row r="631">
      <c r="A631" s="13">
        <f>IF(A$626="","",A$626)</f>
        <v/>
      </c>
      <c r="B631" s="13">
        <f>IF(B$626="","",B$626)</f>
        <v/>
      </c>
      <c r="C631" s="13">
        <f>IF(C$626="","",C$626)</f>
        <v/>
      </c>
      <c r="D631" s="13">
        <f>IF(D$626="","",D$626)</f>
        <v/>
      </c>
      <c r="E631" s="13">
        <f>IF(E$626="","",E$626)</f>
        <v/>
      </c>
      <c r="F631" s="13">
        <f>IF(F$626="","",F$626)</f>
        <v/>
      </c>
      <c r="G631" s="36" t="inlineStr">
        <is>
          <t>Prior Month Forecast</t>
        </is>
      </c>
      <c r="H631" s="37">
        <f>IF($B$626="","",IF(COUNTIFS(Prior_Forecast!$A:$A,$B$626,Prior_Forecast!$B:$B,$D$626)&gt;0,SUMIFS(Prior_Forecast!$C:$C,Prior_Forecast!$A:$A,$B$626,Prior_Forecast!$B:$B,$D$626),""))</f>
        <v/>
      </c>
      <c r="I631" s="37">
        <f>IF($B$626="","",IF(COUNTIFS(Prior_Forecast!$A:$A,$B$626,Prior_Forecast!$B:$B,$D$626)&gt;0,SUMIFS(Prior_Forecast!$D:$D,Prior_Forecast!$A:$A,$B$626,Prior_Forecast!$B:$B,$D$626),""))</f>
        <v/>
      </c>
      <c r="J631" s="37">
        <f>IF($B$626="","",IF(COUNTIFS(Prior_Forecast!$A:$A,$B$626,Prior_Forecast!$B:$B,$D$626)&gt;0,SUMIFS(Prior_Forecast!$E:$E,Prior_Forecast!$A:$A,$B$626,Prior_Forecast!$B:$B,$D$626),""))</f>
        <v/>
      </c>
      <c r="K631" s="37">
        <f>IF($B$626="","",IF(COUNTIFS(Prior_Forecast!$A:$A,$B$626,Prior_Forecast!$B:$B,$D$626)&gt;0,SUMIFS(Prior_Forecast!$F:$F,Prior_Forecast!$A:$A,$B$626,Prior_Forecast!$B:$B,$D$626),""))</f>
        <v/>
      </c>
      <c r="L631" s="37">
        <f>IF($B$626="","",IF(COUNTIFS(Prior_Forecast!$A:$A,$B$626,Prior_Forecast!$B:$B,$D$626)&gt;0,SUMIFS(Prior_Forecast!$G:$G,Prior_Forecast!$A:$A,$B$626,Prior_Forecast!$B:$B,$D$626),""))</f>
        <v/>
      </c>
      <c r="M631" s="37">
        <f>IF($B$626="","",IF(COUNTIFS(Prior_Forecast!$A:$A,$B$626,Prior_Forecast!$B:$B,$D$626)&gt;0,SUMIFS(Prior_Forecast!$H:$H,Prior_Forecast!$A:$A,$B$626,Prior_Forecast!$B:$B,$D$626),""))</f>
        <v/>
      </c>
      <c r="N631" s="37">
        <f>IF($B$626="","",IF(COUNTIFS(Prior_Forecast!$A:$A,$B$626,Prior_Forecast!$B:$B,$D$626)&gt;0,SUMIFS(Prior_Forecast!$I:$I,Prior_Forecast!$A:$A,$B$626,Prior_Forecast!$B:$B,$D$626),""))</f>
        <v/>
      </c>
      <c r="O631" s="37">
        <f>IF($B$626="","",IF(COUNTIFS(Prior_Forecast!$A:$A,$B$626,Prior_Forecast!$B:$B,$D$626)&gt;0,SUMIFS(Prior_Forecast!$J:$J,Prior_Forecast!$A:$A,$B$626,Prior_Forecast!$B:$B,$D$626),""))</f>
        <v/>
      </c>
      <c r="P631" s="37">
        <f>IF($B$626="","",IF(COUNTIFS(Prior_Forecast!$A:$A,$B$626,Prior_Forecast!$B:$B,$D$626)&gt;0,SUMIFS(Prior_Forecast!$K:$K,Prior_Forecast!$A:$A,$B$626,Prior_Forecast!$B:$B,$D$626),""))</f>
        <v/>
      </c>
      <c r="Q631" s="37">
        <f>IF($B$626="","",IF(COUNTIFS(Prior_Forecast!$A:$A,$B$626,Prior_Forecast!$B:$B,$D$626)&gt;0,SUMIFS(Prior_Forecast!$L:$L,Prior_Forecast!$A:$A,$B$626,Prior_Forecast!$B:$B,$D$626),""))</f>
        <v/>
      </c>
      <c r="R631" s="37">
        <f>IF($B$626="","",IF(COUNTIFS(Prior_Forecast!$A:$A,$B$626,Prior_Forecast!$B:$B,$D$626)&gt;0,SUMIFS(Prior_Forecast!$M:$M,Prior_Forecast!$A:$A,$B$626,Prior_Forecast!$B:$B,$D$626),""))</f>
        <v/>
      </c>
      <c r="S631" s="37">
        <f>IF($B$626="","",IF(COUNTIFS(Prior_Forecast!$A:$A,$B$626,Prior_Forecast!$B:$B,$D$626)&gt;0,SUMIFS(Prior_Forecast!$N:$N,Prior_Forecast!$A:$A,$B$626,Prior_Forecast!$B:$B,$D$626),""))</f>
        <v/>
      </c>
      <c r="T631" s="37">
        <f>IF($B$626="","",IF(COUNTIFS(Prior_Forecast!$A:$A,$B$626,Prior_Forecast!$B:$B,$D$626)&gt;0,SUMIFS(Prior_Forecast!$O:$O,Prior_Forecast!$A:$A,$B$626,Prior_Forecast!$B:$B,$D$626),""))</f>
        <v/>
      </c>
      <c r="U631" s="37">
        <f>IF($B$626="","",IF(COUNTIFS(Prior_Forecast!$A:$A,$B$626,Prior_Forecast!$B:$B,$D$626)&gt;0,SUMIFS(Prior_Forecast!$P:$P,Prior_Forecast!$A:$A,$B$626,Prior_Forecast!$B:$B,$D$626),""))</f>
        <v/>
      </c>
      <c r="V631" s="37">
        <f>IF($B$626="","",IF(COUNTIFS(Prior_Forecast!$A:$A,$B$626,Prior_Forecast!$B:$B,$D$626)&gt;0,SUMIFS(Prior_Forecast!$Q:$Q,Prior_Forecast!$A:$A,$B$626,Prior_Forecast!$B:$B,$D$626),""))</f>
        <v/>
      </c>
      <c r="X631" s="22">
        <f>IF($B631="","",IFERROR(INDEX(Cost_Centers!$E:$E,MATCH($B631,Cost_Centers!$A:$A,0)),"(unknown)"))</f>
        <v/>
      </c>
      <c r="Y631" s="22">
        <f>IF($B631="","",IFERROR(INDEX(Cost_Centers!$D:$D,MATCH($B631,Cost_Centers!$A:$A,0)),"(unknown)"))</f>
        <v/>
      </c>
      <c r="Z631" s="22">
        <f>IF(OR($B631="",$G631&lt;&gt;"Variance vs Budget"),"",ABS(N($V631))+ROW()/1000000000)</f>
        <v/>
      </c>
    </row>
    <row r="632">
      <c r="A632" s="13">
        <f>IF(A$626="","",A$626)</f>
        <v/>
      </c>
      <c r="B632" s="13">
        <f>IF(B$626="","",B$626)</f>
        <v/>
      </c>
      <c r="C632" s="13">
        <f>IF(C$626="","",C$626)</f>
        <v/>
      </c>
      <c r="D632" s="13">
        <f>IF(D$626="","",D$626)</f>
        <v/>
      </c>
      <c r="E632" s="13">
        <f>IF(E$626="","",E$626)</f>
        <v/>
      </c>
      <c r="F632" s="13">
        <f>IF(F$626="","",F$626)</f>
        <v/>
      </c>
      <c r="G632" s="6" t="inlineStr">
        <is>
          <t>Variance vs Prior Month</t>
        </is>
      </c>
      <c r="H632" s="33">
        <f>IF(OR($B$626="",H631=""),"",H630-H631)</f>
        <v/>
      </c>
      <c r="I632" s="33">
        <f>IF(OR($B$626="",I631=""),"",I630-I631)</f>
        <v/>
      </c>
      <c r="J632" s="33">
        <f>IF(OR($B$626="",J631=""),"",J630-J631)</f>
        <v/>
      </c>
      <c r="K632" s="33">
        <f>IF(OR($B$626="",K631=""),"",K630-K631)</f>
        <v/>
      </c>
      <c r="L632" s="33">
        <f>IF(OR($B$626="",L631=""),"",L630-L631)</f>
        <v/>
      </c>
      <c r="M632" s="33">
        <f>IF(OR($B$626="",M631=""),"",M630-M631)</f>
        <v/>
      </c>
      <c r="N632" s="33">
        <f>IF(OR($B$626="",N631=""),"",N630-N631)</f>
        <v/>
      </c>
      <c r="O632" s="33">
        <f>IF(OR($B$626="",O631=""),"",O630-O631)</f>
        <v/>
      </c>
      <c r="P632" s="33">
        <f>IF(OR($B$626="",P631=""),"",P630-P631)</f>
        <v/>
      </c>
      <c r="Q632" s="33">
        <f>IF(OR($B$626="",Q631=""),"",Q630-Q631)</f>
        <v/>
      </c>
      <c r="R632" s="33">
        <f>IF(OR($B$626="",R631=""),"",R630-R631)</f>
        <v/>
      </c>
      <c r="S632" s="33">
        <f>IF(OR($B$626="",S631=""),"",S630-S631)</f>
        <v/>
      </c>
      <c r="T632" s="33">
        <f>IF(OR($B$626="",T631=""),"",T630-T631)</f>
        <v/>
      </c>
      <c r="U632" s="33">
        <f>IF(OR($B$626="",U631=""),"",U630-U631)</f>
        <v/>
      </c>
      <c r="V632" s="33">
        <f>IF(OR($B$626="",V631=""),"",V630-V631)</f>
        <v/>
      </c>
      <c r="X632" s="22">
        <f>IF($B632="","",IFERROR(INDEX(Cost_Centers!$E:$E,MATCH($B632,Cost_Centers!$A:$A,0)),"(unknown)"))</f>
        <v/>
      </c>
      <c r="Y632" s="22">
        <f>IF($B632="","",IFERROR(INDEX(Cost_Centers!$D:$D,MATCH($B632,Cost_Centers!$A:$A,0)),"(unknown)"))</f>
        <v/>
      </c>
      <c r="Z632" s="22">
        <f>IF(OR($B632="",$G632&lt;&gt;"Variance vs Budget"),"",ABS(N($V632))+ROW()/1000000000)</f>
        <v/>
      </c>
    </row>
    <row r="633" ht="45" customHeight="1">
      <c r="A633" s="13">
        <f>IF(A$626="","",A$626)</f>
        <v/>
      </c>
      <c r="B633" s="13">
        <f>IF(B$626="","",B$626)</f>
        <v/>
      </c>
      <c r="C633" s="13">
        <f>IF(C$626="","",C$626)</f>
        <v/>
      </c>
      <c r="D633" s="13">
        <f>IF(D$626="","",D$626)</f>
        <v/>
      </c>
      <c r="E633" s="13">
        <f>IF(E$626="","",E$626)</f>
        <v/>
      </c>
      <c r="F633" s="13">
        <f>IF(F$626="","",F$626)</f>
        <v/>
      </c>
      <c r="G633" s="7" t="inlineStr">
        <is>
          <t>Rationale</t>
        </is>
      </c>
      <c r="H633" s="38" t="n"/>
      <c r="I633" s="38" t="n"/>
      <c r="J633" s="38" t="n"/>
      <c r="K633" s="38" t="n"/>
      <c r="L633" s="38" t="n"/>
      <c r="M633" s="38" t="n"/>
      <c r="N633" s="38" t="n"/>
      <c r="O633" s="38" t="n"/>
      <c r="P633" s="38" t="n"/>
      <c r="Q633" s="38" t="n"/>
      <c r="R633" s="38" t="n"/>
      <c r="S633" s="38" t="n"/>
      <c r="T633" s="38" t="n"/>
      <c r="U633" s="38" t="n"/>
      <c r="V633" s="7" t="n"/>
      <c r="X633" s="22">
        <f>IF($B633="","",IFERROR(INDEX(Cost_Centers!$E:$E,MATCH($B633,Cost_Centers!$A:$A,0)),"(unknown)"))</f>
        <v/>
      </c>
      <c r="Y633" s="22">
        <f>IF($B633="","",IFERROR(INDEX(Cost_Centers!$D:$D,MATCH($B633,Cost_Centers!$A:$A,0)),"(unknown)"))</f>
        <v/>
      </c>
      <c r="Z633" s="22">
        <f>IF(OR($B633="",$G633&lt;&gt;"Variance vs Budget"),"",ABS(N($V633))+ROW()/1000000000)</f>
        <v/>
      </c>
    </row>
    <row r="634">
      <c r="A634" s="30">
        <f>IF($D$634="","",LEFT($D$634,FIND("|",$D$634&amp;"|")-1))</f>
        <v/>
      </c>
      <c r="B634" s="31" t="n"/>
      <c r="C634" s="30">
        <f>IF($B$634="","",IFERROR(INDEX(Cost_Centers!$B:$B,MATCH($B$634,Cost_Centers!$A:$A,0)),"(not in master)"))</f>
        <v/>
      </c>
      <c r="D634" s="31" t="n"/>
      <c r="E634" s="30">
        <f>IF($D$634="","",IFERROR(INDEX(Accounts!$D:$D,MATCH($D$634,Accounts!$A:$A,0)),"(not in master)"))</f>
        <v/>
      </c>
      <c r="F634" s="31" t="n"/>
      <c r="G634" s="30" t="inlineStr">
        <is>
          <t>Budget</t>
        </is>
      </c>
      <c r="H634" s="32">
        <f>IF($B$634="","",SUMIFS(Opex_Budget!$O:$O,Opex_Budget!$A:$A,$C$3,Opex_Budget!$E:$E,$B$634,Opex_Budget!$F:$F,$D$634,Opex_Budget!$N:$N,"JPY")*$E$5+SUMIFS(Opex_Budget!$O:$O,Opex_Budget!$A:$A,$C$3,Opex_Budget!$E:$E,$B$634,Opex_Budget!$F:$F,$D$634,Opex_Budget!$N:$N,"USD")*$F$5+SUMIFS(Opex_Budget!$O:$O,Opex_Budget!$A:$A,$C$3,Opex_Budget!$E:$E,$B$634,Opex_Budget!$F:$F,$D$634,Opex_Budget!$N:$N,"EUR")*$G$5+SUMIFS(Opex_Budget!$O:$O,Opex_Budget!$A:$A,$C$3,Opex_Budget!$E:$E,$B$634,Opex_Budget!$F:$F,$D$634,Opex_Budget!$N:$N,"GBP")*$H$5)</f>
        <v/>
      </c>
      <c r="I634" s="32">
        <f>IF($B$634="","",SUMIFS(Opex_Budget!$P:$P,Opex_Budget!$A:$A,$C$3,Opex_Budget!$E:$E,$B$634,Opex_Budget!$F:$F,$D$634,Opex_Budget!$N:$N,"JPY")*$E$5+SUMIFS(Opex_Budget!$P:$P,Opex_Budget!$A:$A,$C$3,Opex_Budget!$E:$E,$B$634,Opex_Budget!$F:$F,$D$634,Opex_Budget!$N:$N,"USD")*$F$5+SUMIFS(Opex_Budget!$P:$P,Opex_Budget!$A:$A,$C$3,Opex_Budget!$E:$E,$B$634,Opex_Budget!$F:$F,$D$634,Opex_Budget!$N:$N,"EUR")*$G$5+SUMIFS(Opex_Budget!$P:$P,Opex_Budget!$A:$A,$C$3,Opex_Budget!$E:$E,$B$634,Opex_Budget!$F:$F,$D$634,Opex_Budget!$N:$N,"GBP")*$H$5)</f>
        <v/>
      </c>
      <c r="J634" s="32">
        <f>IF($B$634="","",SUMIFS(Opex_Budget!$Q:$Q,Opex_Budget!$A:$A,$C$3,Opex_Budget!$E:$E,$B$634,Opex_Budget!$F:$F,$D$634,Opex_Budget!$N:$N,"JPY")*$E$5+SUMIFS(Opex_Budget!$Q:$Q,Opex_Budget!$A:$A,$C$3,Opex_Budget!$E:$E,$B$634,Opex_Budget!$F:$F,$D$634,Opex_Budget!$N:$N,"USD")*$F$5+SUMIFS(Opex_Budget!$Q:$Q,Opex_Budget!$A:$A,$C$3,Opex_Budget!$E:$E,$B$634,Opex_Budget!$F:$F,$D$634,Opex_Budget!$N:$N,"EUR")*$G$5+SUMIFS(Opex_Budget!$Q:$Q,Opex_Budget!$A:$A,$C$3,Opex_Budget!$E:$E,$B$634,Opex_Budget!$F:$F,$D$634,Opex_Budget!$N:$N,"GBP")*$H$5)</f>
        <v/>
      </c>
      <c r="K634" s="32">
        <f>IF($B$634="","",SUMIFS(Opex_Budget!$R:$R,Opex_Budget!$A:$A,$C$3,Opex_Budget!$E:$E,$B$634,Opex_Budget!$F:$F,$D$634,Opex_Budget!$N:$N,"JPY")*$E$5+SUMIFS(Opex_Budget!$R:$R,Opex_Budget!$A:$A,$C$3,Opex_Budget!$E:$E,$B$634,Opex_Budget!$F:$F,$D$634,Opex_Budget!$N:$N,"USD")*$F$5+SUMIFS(Opex_Budget!$R:$R,Opex_Budget!$A:$A,$C$3,Opex_Budget!$E:$E,$B$634,Opex_Budget!$F:$F,$D$634,Opex_Budget!$N:$N,"EUR")*$G$5+SUMIFS(Opex_Budget!$R:$R,Opex_Budget!$A:$A,$C$3,Opex_Budget!$E:$E,$B$634,Opex_Budget!$F:$F,$D$634,Opex_Budget!$N:$N,"GBP")*$H$5)</f>
        <v/>
      </c>
      <c r="L634" s="32">
        <f>IF($B$634="","",SUMIFS(Opex_Budget!$S:$S,Opex_Budget!$A:$A,$C$3,Opex_Budget!$E:$E,$B$634,Opex_Budget!$F:$F,$D$634,Opex_Budget!$N:$N,"JPY")*$E$5+SUMIFS(Opex_Budget!$S:$S,Opex_Budget!$A:$A,$C$3,Opex_Budget!$E:$E,$B$634,Opex_Budget!$F:$F,$D$634,Opex_Budget!$N:$N,"USD")*$F$5+SUMIFS(Opex_Budget!$S:$S,Opex_Budget!$A:$A,$C$3,Opex_Budget!$E:$E,$B$634,Opex_Budget!$F:$F,$D$634,Opex_Budget!$N:$N,"EUR")*$G$5+SUMIFS(Opex_Budget!$S:$S,Opex_Budget!$A:$A,$C$3,Opex_Budget!$E:$E,$B$634,Opex_Budget!$F:$F,$D$634,Opex_Budget!$N:$N,"GBP")*$H$5)</f>
        <v/>
      </c>
      <c r="M634" s="32">
        <f>IF($B$634="","",SUMIFS(Opex_Budget!$T:$T,Opex_Budget!$A:$A,$C$3,Opex_Budget!$E:$E,$B$634,Opex_Budget!$F:$F,$D$634,Opex_Budget!$N:$N,"JPY")*$E$5+SUMIFS(Opex_Budget!$T:$T,Opex_Budget!$A:$A,$C$3,Opex_Budget!$E:$E,$B$634,Opex_Budget!$F:$F,$D$634,Opex_Budget!$N:$N,"USD")*$F$5+SUMIFS(Opex_Budget!$T:$T,Opex_Budget!$A:$A,$C$3,Opex_Budget!$E:$E,$B$634,Opex_Budget!$F:$F,$D$634,Opex_Budget!$N:$N,"EUR")*$G$5+SUMIFS(Opex_Budget!$T:$T,Opex_Budget!$A:$A,$C$3,Opex_Budget!$E:$E,$B$634,Opex_Budget!$F:$F,$D$634,Opex_Budget!$N:$N,"GBP")*$H$5)</f>
        <v/>
      </c>
      <c r="N634" s="32">
        <f>IF($B$634="","",SUMIFS(Opex_Budget!$U:$U,Opex_Budget!$A:$A,$C$3,Opex_Budget!$E:$E,$B$634,Opex_Budget!$F:$F,$D$634,Opex_Budget!$N:$N,"JPY")*$E$5+SUMIFS(Opex_Budget!$U:$U,Opex_Budget!$A:$A,$C$3,Opex_Budget!$E:$E,$B$634,Opex_Budget!$F:$F,$D$634,Opex_Budget!$N:$N,"USD")*$F$5+SUMIFS(Opex_Budget!$U:$U,Opex_Budget!$A:$A,$C$3,Opex_Budget!$E:$E,$B$634,Opex_Budget!$F:$F,$D$634,Opex_Budget!$N:$N,"EUR")*$G$5+SUMIFS(Opex_Budget!$U:$U,Opex_Budget!$A:$A,$C$3,Opex_Budget!$E:$E,$B$634,Opex_Budget!$F:$F,$D$634,Opex_Budget!$N:$N,"GBP")*$H$5)</f>
        <v/>
      </c>
      <c r="O634" s="32">
        <f>IF($B$634="","",SUMIFS(Opex_Budget!$V:$V,Opex_Budget!$A:$A,$C$3,Opex_Budget!$E:$E,$B$634,Opex_Budget!$F:$F,$D$634,Opex_Budget!$N:$N,"JPY")*$E$5+SUMIFS(Opex_Budget!$V:$V,Opex_Budget!$A:$A,$C$3,Opex_Budget!$E:$E,$B$634,Opex_Budget!$F:$F,$D$634,Opex_Budget!$N:$N,"USD")*$F$5+SUMIFS(Opex_Budget!$V:$V,Opex_Budget!$A:$A,$C$3,Opex_Budget!$E:$E,$B$634,Opex_Budget!$F:$F,$D$634,Opex_Budget!$N:$N,"EUR")*$G$5+SUMIFS(Opex_Budget!$V:$V,Opex_Budget!$A:$A,$C$3,Opex_Budget!$E:$E,$B$634,Opex_Budget!$F:$F,$D$634,Opex_Budget!$N:$N,"GBP")*$H$5)</f>
        <v/>
      </c>
      <c r="P634" s="32">
        <f>IF($B$634="","",SUMIFS(Opex_Budget!$W:$W,Opex_Budget!$A:$A,$C$3,Opex_Budget!$E:$E,$B$634,Opex_Budget!$F:$F,$D$634,Opex_Budget!$N:$N,"JPY")*$E$5+SUMIFS(Opex_Budget!$W:$W,Opex_Budget!$A:$A,$C$3,Opex_Budget!$E:$E,$B$634,Opex_Budget!$F:$F,$D$634,Opex_Budget!$N:$N,"USD")*$F$5+SUMIFS(Opex_Budget!$W:$W,Opex_Budget!$A:$A,$C$3,Opex_Budget!$E:$E,$B$634,Opex_Budget!$F:$F,$D$634,Opex_Budget!$N:$N,"EUR")*$G$5+SUMIFS(Opex_Budget!$W:$W,Opex_Budget!$A:$A,$C$3,Opex_Budget!$E:$E,$B$634,Opex_Budget!$F:$F,$D$634,Opex_Budget!$N:$N,"GBP")*$H$5)</f>
        <v/>
      </c>
      <c r="Q634" s="32">
        <f>IF($B$634="","",SUMIFS(Opex_Budget!$X:$X,Opex_Budget!$A:$A,$C$3,Opex_Budget!$E:$E,$B$634,Opex_Budget!$F:$F,$D$634,Opex_Budget!$N:$N,"JPY")*$E$5+SUMIFS(Opex_Budget!$X:$X,Opex_Budget!$A:$A,$C$3,Opex_Budget!$E:$E,$B$634,Opex_Budget!$F:$F,$D$634,Opex_Budget!$N:$N,"USD")*$F$5+SUMIFS(Opex_Budget!$X:$X,Opex_Budget!$A:$A,$C$3,Opex_Budget!$E:$E,$B$634,Opex_Budget!$F:$F,$D$634,Opex_Budget!$N:$N,"EUR")*$G$5+SUMIFS(Opex_Budget!$X:$X,Opex_Budget!$A:$A,$C$3,Opex_Budget!$E:$E,$B$634,Opex_Budget!$F:$F,$D$634,Opex_Budget!$N:$N,"GBP")*$H$5)</f>
        <v/>
      </c>
      <c r="R634" s="32">
        <f>IF($B$634="","",SUMIFS(Opex_Budget!$Y:$Y,Opex_Budget!$A:$A,$C$3,Opex_Budget!$E:$E,$B$634,Opex_Budget!$F:$F,$D$634,Opex_Budget!$N:$N,"JPY")*$E$5+SUMIFS(Opex_Budget!$Y:$Y,Opex_Budget!$A:$A,$C$3,Opex_Budget!$E:$E,$B$634,Opex_Budget!$F:$F,$D$634,Opex_Budget!$N:$N,"USD")*$F$5+SUMIFS(Opex_Budget!$Y:$Y,Opex_Budget!$A:$A,$C$3,Opex_Budget!$E:$E,$B$634,Opex_Budget!$F:$F,$D$634,Opex_Budget!$N:$N,"EUR")*$G$5+SUMIFS(Opex_Budget!$Y:$Y,Opex_Budget!$A:$A,$C$3,Opex_Budget!$E:$E,$B$634,Opex_Budget!$F:$F,$D$634,Opex_Budget!$N:$N,"GBP")*$H$5)</f>
        <v/>
      </c>
      <c r="S634" s="32">
        <f>IF($B$634="","",SUMIFS(Opex_Budget!$Z:$Z,Opex_Budget!$A:$A,$C$3,Opex_Budget!$E:$E,$B$634,Opex_Budget!$F:$F,$D$634,Opex_Budget!$N:$N,"JPY")*$E$5+SUMIFS(Opex_Budget!$Z:$Z,Opex_Budget!$A:$A,$C$3,Opex_Budget!$E:$E,$B$634,Opex_Budget!$F:$F,$D$634,Opex_Budget!$N:$N,"USD")*$F$5+SUMIFS(Opex_Budget!$Z:$Z,Opex_Budget!$A:$A,$C$3,Opex_Budget!$E:$E,$B$634,Opex_Budget!$F:$F,$D$634,Opex_Budget!$N:$N,"EUR")*$G$5+SUMIFS(Opex_Budget!$Z:$Z,Opex_Budget!$A:$A,$C$3,Opex_Budget!$E:$E,$B$634,Opex_Budget!$F:$F,$D$634,Opex_Budget!$N:$N,"GBP")*$H$5)</f>
        <v/>
      </c>
      <c r="T634" s="32">
        <f>IF($B$634="","",SUMIF($H$7:$S$7,"&lt;="&amp;$C$4,$H634:$S634))</f>
        <v/>
      </c>
      <c r="U634" s="32">
        <f>IF($B$634="","",SUMIF($H$7:$S$7,"&gt;"&amp;$C$4,$H634:$S634))</f>
        <v/>
      </c>
      <c r="V634" s="32">
        <f>IF($B$634="","",SUM($H634:$S634))</f>
        <v/>
      </c>
      <c r="X634" s="22">
        <f>IF($B634="","",IFERROR(INDEX(Cost_Centers!$E:$E,MATCH($B634,Cost_Centers!$A:$A,0)),"(unknown)"))</f>
        <v/>
      </c>
      <c r="Y634" s="22">
        <f>IF($B634="","",IFERROR(INDEX(Cost_Centers!$D:$D,MATCH($B634,Cost_Centers!$A:$A,0)),"(unknown)"))</f>
        <v/>
      </c>
      <c r="Z634" s="22">
        <f>IF(OR($B634="",$G634&lt;&gt;"Variance vs Budget"),"",ABS(N($V634))+ROW()/1000000000)</f>
        <v/>
      </c>
    </row>
    <row r="635">
      <c r="A635" s="13">
        <f>IF(A$634="","",A$634)</f>
        <v/>
      </c>
      <c r="B635" s="13">
        <f>IF(B$634="","",B$634)</f>
        <v/>
      </c>
      <c r="C635" s="13">
        <f>IF(C$634="","",C$634)</f>
        <v/>
      </c>
      <c r="D635" s="13">
        <f>IF(D$634="","",D$634)</f>
        <v/>
      </c>
      <c r="E635" s="13">
        <f>IF(E$634="","",E$634)</f>
        <v/>
      </c>
      <c r="F635" s="13">
        <f>IF(F$634="","",F$634)</f>
        <v/>
      </c>
      <c r="G635" s="7" t="inlineStr">
        <is>
          <t>Actual</t>
        </is>
      </c>
      <c r="H635" s="18">
        <f>IF(OR($B$634="",1&gt;$C$4),"",SUMIFS(Actuals!$G:$G,Actuals!$B:$B,$C$3,Actuals!$C:$C,1,Actuals!$D:$D,$B$634,Actuals!$A:$A,LEFT($D$634,FIND("|",$D$634&amp;"|")-1),Actuals!$E:$E,MID($D$634,FIND("|",$D$634&amp;"|")+1,50),Actuals!$F:$F,"JPY")*$E$5+SUMIFS(Actuals!$G:$G,Actuals!$B:$B,$C$3,Actuals!$C:$C,1,Actuals!$D:$D,$B$634,Actuals!$A:$A,LEFT($D$634,FIND("|",$D$634&amp;"|")-1),Actuals!$E:$E,MID($D$634,FIND("|",$D$634&amp;"|")+1,50),Actuals!$F:$F,"USD")*$F$5+SUMIFS(Actuals!$G:$G,Actuals!$B:$B,$C$3,Actuals!$C:$C,1,Actuals!$D:$D,$B$634,Actuals!$A:$A,LEFT($D$634,FIND("|",$D$634&amp;"|")-1),Actuals!$E:$E,MID($D$634,FIND("|",$D$634&amp;"|")+1,50),Actuals!$F:$F,"EUR")*$G$5+SUMIFS(Actuals!$G:$G,Actuals!$B:$B,$C$3,Actuals!$C:$C,1,Actuals!$D:$D,$B$634,Actuals!$A:$A,LEFT($D$634,FIND("|",$D$634&amp;"|")-1),Actuals!$E:$E,MID($D$634,FIND("|",$D$634&amp;"|")+1,50),Actuals!$F:$F,"GBP")*$H$5)</f>
        <v/>
      </c>
      <c r="I635" s="18">
        <f>IF(OR($B$634="",2&gt;$C$4),"",SUMIFS(Actuals!$G:$G,Actuals!$B:$B,$C$3,Actuals!$C:$C,2,Actuals!$D:$D,$B$634,Actuals!$A:$A,LEFT($D$634,FIND("|",$D$634&amp;"|")-1),Actuals!$E:$E,MID($D$634,FIND("|",$D$634&amp;"|")+1,50),Actuals!$F:$F,"JPY")*$E$5+SUMIFS(Actuals!$G:$G,Actuals!$B:$B,$C$3,Actuals!$C:$C,2,Actuals!$D:$D,$B$634,Actuals!$A:$A,LEFT($D$634,FIND("|",$D$634&amp;"|")-1),Actuals!$E:$E,MID($D$634,FIND("|",$D$634&amp;"|")+1,50),Actuals!$F:$F,"USD")*$F$5+SUMIFS(Actuals!$G:$G,Actuals!$B:$B,$C$3,Actuals!$C:$C,2,Actuals!$D:$D,$B$634,Actuals!$A:$A,LEFT($D$634,FIND("|",$D$634&amp;"|")-1),Actuals!$E:$E,MID($D$634,FIND("|",$D$634&amp;"|")+1,50),Actuals!$F:$F,"EUR")*$G$5+SUMIFS(Actuals!$G:$G,Actuals!$B:$B,$C$3,Actuals!$C:$C,2,Actuals!$D:$D,$B$634,Actuals!$A:$A,LEFT($D$634,FIND("|",$D$634&amp;"|")-1),Actuals!$E:$E,MID($D$634,FIND("|",$D$634&amp;"|")+1,50),Actuals!$F:$F,"GBP")*$H$5)</f>
        <v/>
      </c>
      <c r="J635" s="18">
        <f>IF(OR($B$634="",3&gt;$C$4),"",SUMIFS(Actuals!$G:$G,Actuals!$B:$B,$C$3,Actuals!$C:$C,3,Actuals!$D:$D,$B$634,Actuals!$A:$A,LEFT($D$634,FIND("|",$D$634&amp;"|")-1),Actuals!$E:$E,MID($D$634,FIND("|",$D$634&amp;"|")+1,50),Actuals!$F:$F,"JPY")*$E$5+SUMIFS(Actuals!$G:$G,Actuals!$B:$B,$C$3,Actuals!$C:$C,3,Actuals!$D:$D,$B$634,Actuals!$A:$A,LEFT($D$634,FIND("|",$D$634&amp;"|")-1),Actuals!$E:$E,MID($D$634,FIND("|",$D$634&amp;"|")+1,50),Actuals!$F:$F,"USD")*$F$5+SUMIFS(Actuals!$G:$G,Actuals!$B:$B,$C$3,Actuals!$C:$C,3,Actuals!$D:$D,$B$634,Actuals!$A:$A,LEFT($D$634,FIND("|",$D$634&amp;"|")-1),Actuals!$E:$E,MID($D$634,FIND("|",$D$634&amp;"|")+1,50),Actuals!$F:$F,"EUR")*$G$5+SUMIFS(Actuals!$G:$G,Actuals!$B:$B,$C$3,Actuals!$C:$C,3,Actuals!$D:$D,$B$634,Actuals!$A:$A,LEFT($D$634,FIND("|",$D$634&amp;"|")-1),Actuals!$E:$E,MID($D$634,FIND("|",$D$634&amp;"|")+1,50),Actuals!$F:$F,"GBP")*$H$5)</f>
        <v/>
      </c>
      <c r="K635" s="18">
        <f>IF(OR($B$634="",4&gt;$C$4),"",SUMIFS(Actuals!$G:$G,Actuals!$B:$B,$C$3,Actuals!$C:$C,4,Actuals!$D:$D,$B$634,Actuals!$A:$A,LEFT($D$634,FIND("|",$D$634&amp;"|")-1),Actuals!$E:$E,MID($D$634,FIND("|",$D$634&amp;"|")+1,50),Actuals!$F:$F,"JPY")*$E$5+SUMIFS(Actuals!$G:$G,Actuals!$B:$B,$C$3,Actuals!$C:$C,4,Actuals!$D:$D,$B$634,Actuals!$A:$A,LEFT($D$634,FIND("|",$D$634&amp;"|")-1),Actuals!$E:$E,MID($D$634,FIND("|",$D$634&amp;"|")+1,50),Actuals!$F:$F,"USD")*$F$5+SUMIFS(Actuals!$G:$G,Actuals!$B:$B,$C$3,Actuals!$C:$C,4,Actuals!$D:$D,$B$634,Actuals!$A:$A,LEFT($D$634,FIND("|",$D$634&amp;"|")-1),Actuals!$E:$E,MID($D$634,FIND("|",$D$634&amp;"|")+1,50),Actuals!$F:$F,"EUR")*$G$5+SUMIFS(Actuals!$G:$G,Actuals!$B:$B,$C$3,Actuals!$C:$C,4,Actuals!$D:$D,$B$634,Actuals!$A:$A,LEFT($D$634,FIND("|",$D$634&amp;"|")-1),Actuals!$E:$E,MID($D$634,FIND("|",$D$634&amp;"|")+1,50),Actuals!$F:$F,"GBP")*$H$5)</f>
        <v/>
      </c>
      <c r="L635" s="18">
        <f>IF(OR($B$634="",5&gt;$C$4),"",SUMIFS(Actuals!$G:$G,Actuals!$B:$B,$C$3,Actuals!$C:$C,5,Actuals!$D:$D,$B$634,Actuals!$A:$A,LEFT($D$634,FIND("|",$D$634&amp;"|")-1),Actuals!$E:$E,MID($D$634,FIND("|",$D$634&amp;"|")+1,50),Actuals!$F:$F,"JPY")*$E$5+SUMIFS(Actuals!$G:$G,Actuals!$B:$B,$C$3,Actuals!$C:$C,5,Actuals!$D:$D,$B$634,Actuals!$A:$A,LEFT($D$634,FIND("|",$D$634&amp;"|")-1),Actuals!$E:$E,MID($D$634,FIND("|",$D$634&amp;"|")+1,50),Actuals!$F:$F,"USD")*$F$5+SUMIFS(Actuals!$G:$G,Actuals!$B:$B,$C$3,Actuals!$C:$C,5,Actuals!$D:$D,$B$634,Actuals!$A:$A,LEFT($D$634,FIND("|",$D$634&amp;"|")-1),Actuals!$E:$E,MID($D$634,FIND("|",$D$634&amp;"|")+1,50),Actuals!$F:$F,"EUR")*$G$5+SUMIFS(Actuals!$G:$G,Actuals!$B:$B,$C$3,Actuals!$C:$C,5,Actuals!$D:$D,$B$634,Actuals!$A:$A,LEFT($D$634,FIND("|",$D$634&amp;"|")-1),Actuals!$E:$E,MID($D$634,FIND("|",$D$634&amp;"|")+1,50),Actuals!$F:$F,"GBP")*$H$5)</f>
        <v/>
      </c>
      <c r="M635" s="18">
        <f>IF(OR($B$634="",6&gt;$C$4),"",SUMIFS(Actuals!$G:$G,Actuals!$B:$B,$C$3,Actuals!$C:$C,6,Actuals!$D:$D,$B$634,Actuals!$A:$A,LEFT($D$634,FIND("|",$D$634&amp;"|")-1),Actuals!$E:$E,MID($D$634,FIND("|",$D$634&amp;"|")+1,50),Actuals!$F:$F,"JPY")*$E$5+SUMIFS(Actuals!$G:$G,Actuals!$B:$B,$C$3,Actuals!$C:$C,6,Actuals!$D:$D,$B$634,Actuals!$A:$A,LEFT($D$634,FIND("|",$D$634&amp;"|")-1),Actuals!$E:$E,MID($D$634,FIND("|",$D$634&amp;"|")+1,50),Actuals!$F:$F,"USD")*$F$5+SUMIFS(Actuals!$G:$G,Actuals!$B:$B,$C$3,Actuals!$C:$C,6,Actuals!$D:$D,$B$634,Actuals!$A:$A,LEFT($D$634,FIND("|",$D$634&amp;"|")-1),Actuals!$E:$E,MID($D$634,FIND("|",$D$634&amp;"|")+1,50),Actuals!$F:$F,"EUR")*$G$5+SUMIFS(Actuals!$G:$G,Actuals!$B:$B,$C$3,Actuals!$C:$C,6,Actuals!$D:$D,$B$634,Actuals!$A:$A,LEFT($D$634,FIND("|",$D$634&amp;"|")-1),Actuals!$E:$E,MID($D$634,FIND("|",$D$634&amp;"|")+1,50),Actuals!$F:$F,"GBP")*$H$5)</f>
        <v/>
      </c>
      <c r="N635" s="18">
        <f>IF(OR($B$634="",7&gt;$C$4),"",SUMIFS(Actuals!$G:$G,Actuals!$B:$B,$C$3,Actuals!$C:$C,7,Actuals!$D:$D,$B$634,Actuals!$A:$A,LEFT($D$634,FIND("|",$D$634&amp;"|")-1),Actuals!$E:$E,MID($D$634,FIND("|",$D$634&amp;"|")+1,50),Actuals!$F:$F,"JPY")*$E$5+SUMIFS(Actuals!$G:$G,Actuals!$B:$B,$C$3,Actuals!$C:$C,7,Actuals!$D:$D,$B$634,Actuals!$A:$A,LEFT($D$634,FIND("|",$D$634&amp;"|")-1),Actuals!$E:$E,MID($D$634,FIND("|",$D$634&amp;"|")+1,50),Actuals!$F:$F,"USD")*$F$5+SUMIFS(Actuals!$G:$G,Actuals!$B:$B,$C$3,Actuals!$C:$C,7,Actuals!$D:$D,$B$634,Actuals!$A:$A,LEFT($D$634,FIND("|",$D$634&amp;"|")-1),Actuals!$E:$E,MID($D$634,FIND("|",$D$634&amp;"|")+1,50),Actuals!$F:$F,"EUR")*$G$5+SUMIFS(Actuals!$G:$G,Actuals!$B:$B,$C$3,Actuals!$C:$C,7,Actuals!$D:$D,$B$634,Actuals!$A:$A,LEFT($D$634,FIND("|",$D$634&amp;"|")-1),Actuals!$E:$E,MID($D$634,FIND("|",$D$634&amp;"|")+1,50),Actuals!$F:$F,"GBP")*$H$5)</f>
        <v/>
      </c>
      <c r="O635" s="18">
        <f>IF(OR($B$634="",8&gt;$C$4),"",SUMIFS(Actuals!$G:$G,Actuals!$B:$B,$C$3,Actuals!$C:$C,8,Actuals!$D:$D,$B$634,Actuals!$A:$A,LEFT($D$634,FIND("|",$D$634&amp;"|")-1),Actuals!$E:$E,MID($D$634,FIND("|",$D$634&amp;"|")+1,50),Actuals!$F:$F,"JPY")*$E$5+SUMIFS(Actuals!$G:$G,Actuals!$B:$B,$C$3,Actuals!$C:$C,8,Actuals!$D:$D,$B$634,Actuals!$A:$A,LEFT($D$634,FIND("|",$D$634&amp;"|")-1),Actuals!$E:$E,MID($D$634,FIND("|",$D$634&amp;"|")+1,50),Actuals!$F:$F,"USD")*$F$5+SUMIFS(Actuals!$G:$G,Actuals!$B:$B,$C$3,Actuals!$C:$C,8,Actuals!$D:$D,$B$634,Actuals!$A:$A,LEFT($D$634,FIND("|",$D$634&amp;"|")-1),Actuals!$E:$E,MID($D$634,FIND("|",$D$634&amp;"|")+1,50),Actuals!$F:$F,"EUR")*$G$5+SUMIFS(Actuals!$G:$G,Actuals!$B:$B,$C$3,Actuals!$C:$C,8,Actuals!$D:$D,$B$634,Actuals!$A:$A,LEFT($D$634,FIND("|",$D$634&amp;"|")-1),Actuals!$E:$E,MID($D$634,FIND("|",$D$634&amp;"|")+1,50),Actuals!$F:$F,"GBP")*$H$5)</f>
        <v/>
      </c>
      <c r="P635" s="18">
        <f>IF(OR($B$634="",9&gt;$C$4),"",SUMIFS(Actuals!$G:$G,Actuals!$B:$B,$C$3,Actuals!$C:$C,9,Actuals!$D:$D,$B$634,Actuals!$A:$A,LEFT($D$634,FIND("|",$D$634&amp;"|")-1),Actuals!$E:$E,MID($D$634,FIND("|",$D$634&amp;"|")+1,50),Actuals!$F:$F,"JPY")*$E$5+SUMIFS(Actuals!$G:$G,Actuals!$B:$B,$C$3,Actuals!$C:$C,9,Actuals!$D:$D,$B$634,Actuals!$A:$A,LEFT($D$634,FIND("|",$D$634&amp;"|")-1),Actuals!$E:$E,MID($D$634,FIND("|",$D$634&amp;"|")+1,50),Actuals!$F:$F,"USD")*$F$5+SUMIFS(Actuals!$G:$G,Actuals!$B:$B,$C$3,Actuals!$C:$C,9,Actuals!$D:$D,$B$634,Actuals!$A:$A,LEFT($D$634,FIND("|",$D$634&amp;"|")-1),Actuals!$E:$E,MID($D$634,FIND("|",$D$634&amp;"|")+1,50),Actuals!$F:$F,"EUR")*$G$5+SUMIFS(Actuals!$G:$G,Actuals!$B:$B,$C$3,Actuals!$C:$C,9,Actuals!$D:$D,$B$634,Actuals!$A:$A,LEFT($D$634,FIND("|",$D$634&amp;"|")-1),Actuals!$E:$E,MID($D$634,FIND("|",$D$634&amp;"|")+1,50),Actuals!$F:$F,"GBP")*$H$5)</f>
        <v/>
      </c>
      <c r="Q635" s="18">
        <f>IF(OR($B$634="",10&gt;$C$4),"",SUMIFS(Actuals!$G:$G,Actuals!$B:$B,$C$3,Actuals!$C:$C,10,Actuals!$D:$D,$B$634,Actuals!$A:$A,LEFT($D$634,FIND("|",$D$634&amp;"|")-1),Actuals!$E:$E,MID($D$634,FIND("|",$D$634&amp;"|")+1,50),Actuals!$F:$F,"JPY")*$E$5+SUMIFS(Actuals!$G:$G,Actuals!$B:$B,$C$3,Actuals!$C:$C,10,Actuals!$D:$D,$B$634,Actuals!$A:$A,LEFT($D$634,FIND("|",$D$634&amp;"|")-1),Actuals!$E:$E,MID($D$634,FIND("|",$D$634&amp;"|")+1,50),Actuals!$F:$F,"USD")*$F$5+SUMIFS(Actuals!$G:$G,Actuals!$B:$B,$C$3,Actuals!$C:$C,10,Actuals!$D:$D,$B$634,Actuals!$A:$A,LEFT($D$634,FIND("|",$D$634&amp;"|")-1),Actuals!$E:$E,MID($D$634,FIND("|",$D$634&amp;"|")+1,50),Actuals!$F:$F,"EUR")*$G$5+SUMIFS(Actuals!$G:$G,Actuals!$B:$B,$C$3,Actuals!$C:$C,10,Actuals!$D:$D,$B$634,Actuals!$A:$A,LEFT($D$634,FIND("|",$D$634&amp;"|")-1),Actuals!$E:$E,MID($D$634,FIND("|",$D$634&amp;"|")+1,50),Actuals!$F:$F,"GBP")*$H$5)</f>
        <v/>
      </c>
      <c r="R635" s="18">
        <f>IF(OR($B$634="",11&gt;$C$4),"",SUMIFS(Actuals!$G:$G,Actuals!$B:$B,$C$3,Actuals!$C:$C,11,Actuals!$D:$D,$B$634,Actuals!$A:$A,LEFT($D$634,FIND("|",$D$634&amp;"|")-1),Actuals!$E:$E,MID($D$634,FIND("|",$D$634&amp;"|")+1,50),Actuals!$F:$F,"JPY")*$E$5+SUMIFS(Actuals!$G:$G,Actuals!$B:$B,$C$3,Actuals!$C:$C,11,Actuals!$D:$D,$B$634,Actuals!$A:$A,LEFT($D$634,FIND("|",$D$634&amp;"|")-1),Actuals!$E:$E,MID($D$634,FIND("|",$D$634&amp;"|")+1,50),Actuals!$F:$F,"USD")*$F$5+SUMIFS(Actuals!$G:$G,Actuals!$B:$B,$C$3,Actuals!$C:$C,11,Actuals!$D:$D,$B$634,Actuals!$A:$A,LEFT($D$634,FIND("|",$D$634&amp;"|")-1),Actuals!$E:$E,MID($D$634,FIND("|",$D$634&amp;"|")+1,50),Actuals!$F:$F,"EUR")*$G$5+SUMIFS(Actuals!$G:$G,Actuals!$B:$B,$C$3,Actuals!$C:$C,11,Actuals!$D:$D,$B$634,Actuals!$A:$A,LEFT($D$634,FIND("|",$D$634&amp;"|")-1),Actuals!$E:$E,MID($D$634,FIND("|",$D$634&amp;"|")+1,50),Actuals!$F:$F,"GBP")*$H$5)</f>
        <v/>
      </c>
      <c r="S635" s="18">
        <f>IF(OR($B$634="",12&gt;$C$4),"",SUMIFS(Actuals!$G:$G,Actuals!$B:$B,$C$3,Actuals!$C:$C,12,Actuals!$D:$D,$B$634,Actuals!$A:$A,LEFT($D$634,FIND("|",$D$634&amp;"|")-1),Actuals!$E:$E,MID($D$634,FIND("|",$D$634&amp;"|")+1,50),Actuals!$F:$F,"JPY")*$E$5+SUMIFS(Actuals!$G:$G,Actuals!$B:$B,$C$3,Actuals!$C:$C,12,Actuals!$D:$D,$B$634,Actuals!$A:$A,LEFT($D$634,FIND("|",$D$634&amp;"|")-1),Actuals!$E:$E,MID($D$634,FIND("|",$D$634&amp;"|")+1,50),Actuals!$F:$F,"USD")*$F$5+SUMIFS(Actuals!$G:$G,Actuals!$B:$B,$C$3,Actuals!$C:$C,12,Actuals!$D:$D,$B$634,Actuals!$A:$A,LEFT($D$634,FIND("|",$D$634&amp;"|")-1),Actuals!$E:$E,MID($D$634,FIND("|",$D$634&amp;"|")+1,50),Actuals!$F:$F,"EUR")*$G$5+SUMIFS(Actuals!$G:$G,Actuals!$B:$B,$C$3,Actuals!$C:$C,12,Actuals!$D:$D,$B$634,Actuals!$A:$A,LEFT($D$634,FIND("|",$D$634&amp;"|")-1),Actuals!$E:$E,MID($D$634,FIND("|",$D$634&amp;"|")+1,50),Actuals!$F:$F,"GBP")*$H$5)</f>
        <v/>
      </c>
      <c r="T635" s="18">
        <f>IF($B$634="","",SUMIF($H$7:$S$7,"&lt;="&amp;$C$4,$H635:$S635))</f>
        <v/>
      </c>
      <c r="U635" s="18" t="n"/>
      <c r="V635" s="18" t="n"/>
      <c r="X635" s="22">
        <f>IF($B635="","",IFERROR(INDEX(Cost_Centers!$E:$E,MATCH($B635,Cost_Centers!$A:$A,0)),"(unknown)"))</f>
        <v/>
      </c>
      <c r="Y635" s="22">
        <f>IF($B635="","",IFERROR(INDEX(Cost_Centers!$D:$D,MATCH($B635,Cost_Centers!$A:$A,0)),"(unknown)"))</f>
        <v/>
      </c>
      <c r="Z635" s="22">
        <f>IF(OR($B635="",$G635&lt;&gt;"Variance vs Budget"),"",ABS(N($V635))+ROW()/1000000000)</f>
        <v/>
      </c>
    </row>
    <row r="636">
      <c r="A636" s="13">
        <f>IF(A$634="","",A$634)</f>
        <v/>
      </c>
      <c r="B636" s="13">
        <f>IF(B$634="","",B$634)</f>
        <v/>
      </c>
      <c r="C636" s="13">
        <f>IF(C$634="","",C$634)</f>
        <v/>
      </c>
      <c r="D636" s="13">
        <f>IF(D$634="","",D$634)</f>
        <v/>
      </c>
      <c r="E636" s="13">
        <f>IF(E$634="","",E$634)</f>
        <v/>
      </c>
      <c r="F636" s="13">
        <f>IF(F$634="","",F$634)</f>
        <v/>
      </c>
      <c r="G636" s="6" t="inlineStr">
        <is>
          <t>Variance vs Budget</t>
        </is>
      </c>
      <c r="H636" s="33">
        <f>IF(OR($B$634="",1&gt;$C$4),"",N(H635)-H634)</f>
        <v/>
      </c>
      <c r="I636" s="33">
        <f>IF(OR($B$634="",2&gt;$C$4),"",N(I635)-I634)</f>
        <v/>
      </c>
      <c r="J636" s="33">
        <f>IF(OR($B$634="",3&gt;$C$4),"",N(J635)-J634)</f>
        <v/>
      </c>
      <c r="K636" s="33">
        <f>IF(OR($B$634="",4&gt;$C$4),"",N(K635)-K634)</f>
        <v/>
      </c>
      <c r="L636" s="33">
        <f>IF(OR($B$634="",5&gt;$C$4),"",N(L635)-L634)</f>
        <v/>
      </c>
      <c r="M636" s="33">
        <f>IF(OR($B$634="",6&gt;$C$4),"",N(M635)-M634)</f>
        <v/>
      </c>
      <c r="N636" s="33">
        <f>IF(OR($B$634="",7&gt;$C$4),"",N(N635)-N634)</f>
        <v/>
      </c>
      <c r="O636" s="33">
        <f>IF(OR($B$634="",8&gt;$C$4),"",N(O635)-O634)</f>
        <v/>
      </c>
      <c r="P636" s="33">
        <f>IF(OR($B$634="",9&gt;$C$4),"",N(P635)-P634)</f>
        <v/>
      </c>
      <c r="Q636" s="33">
        <f>IF(OR($B$634="",10&gt;$C$4),"",N(Q635)-Q634)</f>
        <v/>
      </c>
      <c r="R636" s="33">
        <f>IF(OR($B$634="",11&gt;$C$4),"",N(R635)-R634)</f>
        <v/>
      </c>
      <c r="S636" s="33">
        <f>IF(OR($B$634="",12&gt;$C$4),"",N(S635)-S634)</f>
        <v/>
      </c>
      <c r="T636" s="33">
        <f>IF($B$634="","",T635-T634)</f>
        <v/>
      </c>
      <c r="U636" s="33">
        <f>IF($B$634="","",U638-U634)</f>
        <v/>
      </c>
      <c r="V636" s="33">
        <f>IF($B$634="","",V638-V634)</f>
        <v/>
      </c>
      <c r="X636" s="22">
        <f>IF($B636="","",IFERROR(INDEX(Cost_Centers!$E:$E,MATCH($B636,Cost_Centers!$A:$A,0)),"(unknown)"))</f>
        <v/>
      </c>
      <c r="Y636" s="22">
        <f>IF($B636="","",IFERROR(INDEX(Cost_Centers!$D:$D,MATCH($B636,Cost_Centers!$A:$A,0)),"(unknown)"))</f>
        <v/>
      </c>
      <c r="Z636" s="22">
        <f>IF(OR($B636="",$G636&lt;&gt;"Variance vs Budget"),"",ABS(N($V636))+ROW()/1000000000)</f>
        <v/>
      </c>
    </row>
    <row r="637">
      <c r="A637" s="13">
        <f>IF(A$634="","",A$634)</f>
        <v/>
      </c>
      <c r="B637" s="13">
        <f>IF(B$634="","",B$634)</f>
        <v/>
      </c>
      <c r="C637" s="13">
        <f>IF(C$634="","",C$634)</f>
        <v/>
      </c>
      <c r="D637" s="13">
        <f>IF(D$634="","",D$634)</f>
        <v/>
      </c>
      <c r="E637" s="13">
        <f>IF(E$634="","",E$634)</f>
        <v/>
      </c>
      <c r="F637" s="13">
        <f>IF(F$634="","",F$634)</f>
        <v/>
      </c>
      <c r="G637" s="7" t="inlineStr">
        <is>
          <t>Forecast (input)</t>
        </is>
      </c>
      <c r="H637" s="34" t="n"/>
      <c r="I637" s="34" t="n"/>
      <c r="J637" s="34" t="n"/>
      <c r="K637" s="34" t="n"/>
      <c r="L637" s="34" t="n"/>
      <c r="M637" s="34" t="n"/>
      <c r="N637" s="34" t="n"/>
      <c r="O637" s="34" t="n"/>
      <c r="P637" s="34" t="n"/>
      <c r="Q637" s="34" t="n"/>
      <c r="R637" s="34" t="n"/>
      <c r="S637" s="34" t="n"/>
      <c r="T637" s="18" t="n"/>
      <c r="U637" s="18" t="n"/>
      <c r="V637" s="18" t="n"/>
      <c r="X637" s="22">
        <f>IF($B637="","",IFERROR(INDEX(Cost_Centers!$E:$E,MATCH($B637,Cost_Centers!$A:$A,0)),"(unknown)"))</f>
        <v/>
      </c>
      <c r="Y637" s="22">
        <f>IF($B637="","",IFERROR(INDEX(Cost_Centers!$D:$D,MATCH($B637,Cost_Centers!$A:$A,0)),"(unknown)"))</f>
        <v/>
      </c>
      <c r="Z637" s="22">
        <f>IF(OR($B637="",$G637&lt;&gt;"Variance vs Budget"),"",ABS(N($V637))+ROW()/1000000000)</f>
        <v/>
      </c>
    </row>
    <row r="638">
      <c r="A638" s="13">
        <f>IF(A$634="","",A$634)</f>
        <v/>
      </c>
      <c r="B638" s="13">
        <f>IF(B$634="","",B$634)</f>
        <v/>
      </c>
      <c r="C638" s="13">
        <f>IF(C$634="","",C$634)</f>
        <v/>
      </c>
      <c r="D638" s="13">
        <f>IF(D$634="","",D$634)</f>
        <v/>
      </c>
      <c r="E638" s="13">
        <f>IF(E$634="","",E$634)</f>
        <v/>
      </c>
      <c r="F638" s="13">
        <f>IF(F$634="","",F$634)</f>
        <v/>
      </c>
      <c r="G638" s="35" t="inlineStr">
        <is>
          <t>Actual + Forecast</t>
        </is>
      </c>
      <c r="H638" s="18">
        <f>IF($B$634="","",IF(1&lt;=$C$4,N(H635),IF(H637="",H634,H637)))</f>
        <v/>
      </c>
      <c r="I638" s="18">
        <f>IF($B$634="","",IF(2&lt;=$C$4,N(I635),IF(I637="",I634,I637)))</f>
        <v/>
      </c>
      <c r="J638" s="18">
        <f>IF($B$634="","",IF(3&lt;=$C$4,N(J635),IF(J637="",J634,J637)))</f>
        <v/>
      </c>
      <c r="K638" s="18">
        <f>IF($B$634="","",IF(4&lt;=$C$4,N(K635),IF(K637="",K634,K637)))</f>
        <v/>
      </c>
      <c r="L638" s="18">
        <f>IF($B$634="","",IF(5&lt;=$C$4,N(L635),IF(L637="",L634,L637)))</f>
        <v/>
      </c>
      <c r="M638" s="18">
        <f>IF($B$634="","",IF(6&lt;=$C$4,N(M635),IF(M637="",M634,M637)))</f>
        <v/>
      </c>
      <c r="N638" s="18">
        <f>IF($B$634="","",IF(7&lt;=$C$4,N(N635),IF(N637="",N634,N637)))</f>
        <v/>
      </c>
      <c r="O638" s="18">
        <f>IF($B$634="","",IF(8&lt;=$C$4,N(O635),IF(O637="",O634,O637)))</f>
        <v/>
      </c>
      <c r="P638" s="18">
        <f>IF($B$634="","",IF(9&lt;=$C$4,N(P635),IF(P637="",P634,P637)))</f>
        <v/>
      </c>
      <c r="Q638" s="18">
        <f>IF($B$634="","",IF(10&lt;=$C$4,N(Q635),IF(Q637="",Q634,Q637)))</f>
        <v/>
      </c>
      <c r="R638" s="18">
        <f>IF($B$634="","",IF(11&lt;=$C$4,N(R635),IF(R637="",R634,R637)))</f>
        <v/>
      </c>
      <c r="S638" s="18">
        <f>IF($B$634="","",IF(12&lt;=$C$4,N(S635),IF(S637="",S634,S637)))</f>
        <v/>
      </c>
      <c r="T638" s="18">
        <f>IF($B$634="","",SUMIF($H$7:$S$7,"&lt;="&amp;$C$4,$H638:$S638))</f>
        <v/>
      </c>
      <c r="U638" s="18">
        <f>IF($B$634="","",SUMIF($H$7:$S$7,"&gt;"&amp;$C$4,$H638:$S638))</f>
        <v/>
      </c>
      <c r="V638" s="18">
        <f>IF($B$634="","",SUM($H638:$S638))</f>
        <v/>
      </c>
      <c r="X638" s="22">
        <f>IF($B638="","",IFERROR(INDEX(Cost_Centers!$E:$E,MATCH($B638,Cost_Centers!$A:$A,0)),"(unknown)"))</f>
        <v/>
      </c>
      <c r="Y638" s="22">
        <f>IF($B638="","",IFERROR(INDEX(Cost_Centers!$D:$D,MATCH($B638,Cost_Centers!$A:$A,0)),"(unknown)"))</f>
        <v/>
      </c>
      <c r="Z638" s="22">
        <f>IF(OR($B638="",$G638&lt;&gt;"Variance vs Budget"),"",ABS(N($V638))+ROW()/1000000000)</f>
        <v/>
      </c>
    </row>
    <row r="639">
      <c r="A639" s="13">
        <f>IF(A$634="","",A$634)</f>
        <v/>
      </c>
      <c r="B639" s="13">
        <f>IF(B$634="","",B$634)</f>
        <v/>
      </c>
      <c r="C639" s="13">
        <f>IF(C$634="","",C$634)</f>
        <v/>
      </c>
      <c r="D639" s="13">
        <f>IF(D$634="","",D$634)</f>
        <v/>
      </c>
      <c r="E639" s="13">
        <f>IF(E$634="","",E$634)</f>
        <v/>
      </c>
      <c r="F639" s="13">
        <f>IF(F$634="","",F$634)</f>
        <v/>
      </c>
      <c r="G639" s="36" t="inlineStr">
        <is>
          <t>Prior Month Forecast</t>
        </is>
      </c>
      <c r="H639" s="37">
        <f>IF($B$634="","",IF(COUNTIFS(Prior_Forecast!$A:$A,$B$634,Prior_Forecast!$B:$B,$D$634)&gt;0,SUMIFS(Prior_Forecast!$C:$C,Prior_Forecast!$A:$A,$B$634,Prior_Forecast!$B:$B,$D$634),""))</f>
        <v/>
      </c>
      <c r="I639" s="37">
        <f>IF($B$634="","",IF(COUNTIFS(Prior_Forecast!$A:$A,$B$634,Prior_Forecast!$B:$B,$D$634)&gt;0,SUMIFS(Prior_Forecast!$D:$D,Prior_Forecast!$A:$A,$B$634,Prior_Forecast!$B:$B,$D$634),""))</f>
        <v/>
      </c>
      <c r="J639" s="37">
        <f>IF($B$634="","",IF(COUNTIFS(Prior_Forecast!$A:$A,$B$634,Prior_Forecast!$B:$B,$D$634)&gt;0,SUMIFS(Prior_Forecast!$E:$E,Prior_Forecast!$A:$A,$B$634,Prior_Forecast!$B:$B,$D$634),""))</f>
        <v/>
      </c>
      <c r="K639" s="37">
        <f>IF($B$634="","",IF(COUNTIFS(Prior_Forecast!$A:$A,$B$634,Prior_Forecast!$B:$B,$D$634)&gt;0,SUMIFS(Prior_Forecast!$F:$F,Prior_Forecast!$A:$A,$B$634,Prior_Forecast!$B:$B,$D$634),""))</f>
        <v/>
      </c>
      <c r="L639" s="37">
        <f>IF($B$634="","",IF(COUNTIFS(Prior_Forecast!$A:$A,$B$634,Prior_Forecast!$B:$B,$D$634)&gt;0,SUMIFS(Prior_Forecast!$G:$G,Prior_Forecast!$A:$A,$B$634,Prior_Forecast!$B:$B,$D$634),""))</f>
        <v/>
      </c>
      <c r="M639" s="37">
        <f>IF($B$634="","",IF(COUNTIFS(Prior_Forecast!$A:$A,$B$634,Prior_Forecast!$B:$B,$D$634)&gt;0,SUMIFS(Prior_Forecast!$H:$H,Prior_Forecast!$A:$A,$B$634,Prior_Forecast!$B:$B,$D$634),""))</f>
        <v/>
      </c>
      <c r="N639" s="37">
        <f>IF($B$634="","",IF(COUNTIFS(Prior_Forecast!$A:$A,$B$634,Prior_Forecast!$B:$B,$D$634)&gt;0,SUMIFS(Prior_Forecast!$I:$I,Prior_Forecast!$A:$A,$B$634,Prior_Forecast!$B:$B,$D$634),""))</f>
        <v/>
      </c>
      <c r="O639" s="37">
        <f>IF($B$634="","",IF(COUNTIFS(Prior_Forecast!$A:$A,$B$634,Prior_Forecast!$B:$B,$D$634)&gt;0,SUMIFS(Prior_Forecast!$J:$J,Prior_Forecast!$A:$A,$B$634,Prior_Forecast!$B:$B,$D$634),""))</f>
        <v/>
      </c>
      <c r="P639" s="37">
        <f>IF($B$634="","",IF(COUNTIFS(Prior_Forecast!$A:$A,$B$634,Prior_Forecast!$B:$B,$D$634)&gt;0,SUMIFS(Prior_Forecast!$K:$K,Prior_Forecast!$A:$A,$B$634,Prior_Forecast!$B:$B,$D$634),""))</f>
        <v/>
      </c>
      <c r="Q639" s="37">
        <f>IF($B$634="","",IF(COUNTIFS(Prior_Forecast!$A:$A,$B$634,Prior_Forecast!$B:$B,$D$634)&gt;0,SUMIFS(Prior_Forecast!$L:$L,Prior_Forecast!$A:$A,$B$634,Prior_Forecast!$B:$B,$D$634),""))</f>
        <v/>
      </c>
      <c r="R639" s="37">
        <f>IF($B$634="","",IF(COUNTIFS(Prior_Forecast!$A:$A,$B$634,Prior_Forecast!$B:$B,$D$634)&gt;0,SUMIFS(Prior_Forecast!$M:$M,Prior_Forecast!$A:$A,$B$634,Prior_Forecast!$B:$B,$D$634),""))</f>
        <v/>
      </c>
      <c r="S639" s="37">
        <f>IF($B$634="","",IF(COUNTIFS(Prior_Forecast!$A:$A,$B$634,Prior_Forecast!$B:$B,$D$634)&gt;0,SUMIFS(Prior_Forecast!$N:$N,Prior_Forecast!$A:$A,$B$634,Prior_Forecast!$B:$B,$D$634),""))</f>
        <v/>
      </c>
      <c r="T639" s="37">
        <f>IF($B$634="","",IF(COUNTIFS(Prior_Forecast!$A:$A,$B$634,Prior_Forecast!$B:$B,$D$634)&gt;0,SUMIFS(Prior_Forecast!$O:$O,Prior_Forecast!$A:$A,$B$634,Prior_Forecast!$B:$B,$D$634),""))</f>
        <v/>
      </c>
      <c r="U639" s="37">
        <f>IF($B$634="","",IF(COUNTIFS(Prior_Forecast!$A:$A,$B$634,Prior_Forecast!$B:$B,$D$634)&gt;0,SUMIFS(Prior_Forecast!$P:$P,Prior_Forecast!$A:$A,$B$634,Prior_Forecast!$B:$B,$D$634),""))</f>
        <v/>
      </c>
      <c r="V639" s="37">
        <f>IF($B$634="","",IF(COUNTIFS(Prior_Forecast!$A:$A,$B$634,Prior_Forecast!$B:$B,$D$634)&gt;0,SUMIFS(Prior_Forecast!$Q:$Q,Prior_Forecast!$A:$A,$B$634,Prior_Forecast!$B:$B,$D$634),""))</f>
        <v/>
      </c>
      <c r="X639" s="22">
        <f>IF($B639="","",IFERROR(INDEX(Cost_Centers!$E:$E,MATCH($B639,Cost_Centers!$A:$A,0)),"(unknown)"))</f>
        <v/>
      </c>
      <c r="Y639" s="22">
        <f>IF($B639="","",IFERROR(INDEX(Cost_Centers!$D:$D,MATCH($B639,Cost_Centers!$A:$A,0)),"(unknown)"))</f>
        <v/>
      </c>
      <c r="Z639" s="22">
        <f>IF(OR($B639="",$G639&lt;&gt;"Variance vs Budget"),"",ABS(N($V639))+ROW()/1000000000)</f>
        <v/>
      </c>
    </row>
    <row r="640">
      <c r="A640" s="13">
        <f>IF(A$634="","",A$634)</f>
        <v/>
      </c>
      <c r="B640" s="13">
        <f>IF(B$634="","",B$634)</f>
        <v/>
      </c>
      <c r="C640" s="13">
        <f>IF(C$634="","",C$634)</f>
        <v/>
      </c>
      <c r="D640" s="13">
        <f>IF(D$634="","",D$634)</f>
        <v/>
      </c>
      <c r="E640" s="13">
        <f>IF(E$634="","",E$634)</f>
        <v/>
      </c>
      <c r="F640" s="13">
        <f>IF(F$634="","",F$634)</f>
        <v/>
      </c>
      <c r="G640" s="6" t="inlineStr">
        <is>
          <t>Variance vs Prior Month</t>
        </is>
      </c>
      <c r="H640" s="33">
        <f>IF(OR($B$634="",H639=""),"",H638-H639)</f>
        <v/>
      </c>
      <c r="I640" s="33">
        <f>IF(OR($B$634="",I639=""),"",I638-I639)</f>
        <v/>
      </c>
      <c r="J640" s="33">
        <f>IF(OR($B$634="",J639=""),"",J638-J639)</f>
        <v/>
      </c>
      <c r="K640" s="33">
        <f>IF(OR($B$634="",K639=""),"",K638-K639)</f>
        <v/>
      </c>
      <c r="L640" s="33">
        <f>IF(OR($B$634="",L639=""),"",L638-L639)</f>
        <v/>
      </c>
      <c r="M640" s="33">
        <f>IF(OR($B$634="",M639=""),"",M638-M639)</f>
        <v/>
      </c>
      <c r="N640" s="33">
        <f>IF(OR($B$634="",N639=""),"",N638-N639)</f>
        <v/>
      </c>
      <c r="O640" s="33">
        <f>IF(OR($B$634="",O639=""),"",O638-O639)</f>
        <v/>
      </c>
      <c r="P640" s="33">
        <f>IF(OR($B$634="",P639=""),"",P638-P639)</f>
        <v/>
      </c>
      <c r="Q640" s="33">
        <f>IF(OR($B$634="",Q639=""),"",Q638-Q639)</f>
        <v/>
      </c>
      <c r="R640" s="33">
        <f>IF(OR($B$634="",R639=""),"",R638-R639)</f>
        <v/>
      </c>
      <c r="S640" s="33">
        <f>IF(OR($B$634="",S639=""),"",S638-S639)</f>
        <v/>
      </c>
      <c r="T640" s="33">
        <f>IF(OR($B$634="",T639=""),"",T638-T639)</f>
        <v/>
      </c>
      <c r="U640" s="33">
        <f>IF(OR($B$634="",U639=""),"",U638-U639)</f>
        <v/>
      </c>
      <c r="V640" s="33">
        <f>IF(OR($B$634="",V639=""),"",V638-V639)</f>
        <v/>
      </c>
      <c r="X640" s="22">
        <f>IF($B640="","",IFERROR(INDEX(Cost_Centers!$E:$E,MATCH($B640,Cost_Centers!$A:$A,0)),"(unknown)"))</f>
        <v/>
      </c>
      <c r="Y640" s="22">
        <f>IF($B640="","",IFERROR(INDEX(Cost_Centers!$D:$D,MATCH($B640,Cost_Centers!$A:$A,0)),"(unknown)"))</f>
        <v/>
      </c>
      <c r="Z640" s="22">
        <f>IF(OR($B640="",$G640&lt;&gt;"Variance vs Budget"),"",ABS(N($V640))+ROW()/1000000000)</f>
        <v/>
      </c>
    </row>
    <row r="641" ht="45" customHeight="1">
      <c r="A641" s="13">
        <f>IF(A$634="","",A$634)</f>
        <v/>
      </c>
      <c r="B641" s="13">
        <f>IF(B$634="","",B$634)</f>
        <v/>
      </c>
      <c r="C641" s="13">
        <f>IF(C$634="","",C$634)</f>
        <v/>
      </c>
      <c r="D641" s="13">
        <f>IF(D$634="","",D$634)</f>
        <v/>
      </c>
      <c r="E641" s="13">
        <f>IF(E$634="","",E$634)</f>
        <v/>
      </c>
      <c r="F641" s="13">
        <f>IF(F$634="","",F$634)</f>
        <v/>
      </c>
      <c r="G641" s="7" t="inlineStr">
        <is>
          <t>Rationale</t>
        </is>
      </c>
      <c r="H641" s="38" t="n"/>
      <c r="I641" s="38" t="n"/>
      <c r="J641" s="38" t="n"/>
      <c r="K641" s="38" t="n"/>
      <c r="L641" s="38" t="n"/>
      <c r="M641" s="38" t="n"/>
      <c r="N641" s="38" t="n"/>
      <c r="O641" s="38" t="n"/>
      <c r="P641" s="38" t="n"/>
      <c r="Q641" s="38" t="n"/>
      <c r="R641" s="38" t="n"/>
      <c r="S641" s="38" t="n"/>
      <c r="T641" s="38" t="n"/>
      <c r="U641" s="38" t="n"/>
      <c r="V641" s="7" t="n"/>
      <c r="X641" s="22">
        <f>IF($B641="","",IFERROR(INDEX(Cost_Centers!$E:$E,MATCH($B641,Cost_Centers!$A:$A,0)),"(unknown)"))</f>
        <v/>
      </c>
      <c r="Y641" s="22">
        <f>IF($B641="","",IFERROR(INDEX(Cost_Centers!$D:$D,MATCH($B641,Cost_Centers!$A:$A,0)),"(unknown)"))</f>
        <v/>
      </c>
      <c r="Z641" s="22">
        <f>IF(OR($B641="",$G641&lt;&gt;"Variance vs Budget"),"",ABS(N($V641))+ROW()/1000000000)</f>
        <v/>
      </c>
    </row>
    <row r="642">
      <c r="A642" s="30">
        <f>IF($D$642="","",LEFT($D$642,FIND("|",$D$642&amp;"|")-1))</f>
        <v/>
      </c>
      <c r="B642" s="31" t="n"/>
      <c r="C642" s="30">
        <f>IF($B$642="","",IFERROR(INDEX(Cost_Centers!$B:$B,MATCH($B$642,Cost_Centers!$A:$A,0)),"(not in master)"))</f>
        <v/>
      </c>
      <c r="D642" s="31" t="n"/>
      <c r="E642" s="30">
        <f>IF($D$642="","",IFERROR(INDEX(Accounts!$D:$D,MATCH($D$642,Accounts!$A:$A,0)),"(not in master)"))</f>
        <v/>
      </c>
      <c r="F642" s="31" t="n"/>
      <c r="G642" s="30" t="inlineStr">
        <is>
          <t>Budget</t>
        </is>
      </c>
      <c r="H642" s="32">
        <f>IF($B$642="","",SUMIFS(Opex_Budget!$O:$O,Opex_Budget!$A:$A,$C$3,Opex_Budget!$E:$E,$B$642,Opex_Budget!$F:$F,$D$642,Opex_Budget!$N:$N,"JPY")*$E$5+SUMIFS(Opex_Budget!$O:$O,Opex_Budget!$A:$A,$C$3,Opex_Budget!$E:$E,$B$642,Opex_Budget!$F:$F,$D$642,Opex_Budget!$N:$N,"USD")*$F$5+SUMIFS(Opex_Budget!$O:$O,Opex_Budget!$A:$A,$C$3,Opex_Budget!$E:$E,$B$642,Opex_Budget!$F:$F,$D$642,Opex_Budget!$N:$N,"EUR")*$G$5+SUMIFS(Opex_Budget!$O:$O,Opex_Budget!$A:$A,$C$3,Opex_Budget!$E:$E,$B$642,Opex_Budget!$F:$F,$D$642,Opex_Budget!$N:$N,"GBP")*$H$5)</f>
        <v/>
      </c>
      <c r="I642" s="32">
        <f>IF($B$642="","",SUMIFS(Opex_Budget!$P:$P,Opex_Budget!$A:$A,$C$3,Opex_Budget!$E:$E,$B$642,Opex_Budget!$F:$F,$D$642,Opex_Budget!$N:$N,"JPY")*$E$5+SUMIFS(Opex_Budget!$P:$P,Opex_Budget!$A:$A,$C$3,Opex_Budget!$E:$E,$B$642,Opex_Budget!$F:$F,$D$642,Opex_Budget!$N:$N,"USD")*$F$5+SUMIFS(Opex_Budget!$P:$P,Opex_Budget!$A:$A,$C$3,Opex_Budget!$E:$E,$B$642,Opex_Budget!$F:$F,$D$642,Opex_Budget!$N:$N,"EUR")*$G$5+SUMIFS(Opex_Budget!$P:$P,Opex_Budget!$A:$A,$C$3,Opex_Budget!$E:$E,$B$642,Opex_Budget!$F:$F,$D$642,Opex_Budget!$N:$N,"GBP")*$H$5)</f>
        <v/>
      </c>
      <c r="J642" s="32">
        <f>IF($B$642="","",SUMIFS(Opex_Budget!$Q:$Q,Opex_Budget!$A:$A,$C$3,Opex_Budget!$E:$E,$B$642,Opex_Budget!$F:$F,$D$642,Opex_Budget!$N:$N,"JPY")*$E$5+SUMIFS(Opex_Budget!$Q:$Q,Opex_Budget!$A:$A,$C$3,Opex_Budget!$E:$E,$B$642,Opex_Budget!$F:$F,$D$642,Opex_Budget!$N:$N,"USD")*$F$5+SUMIFS(Opex_Budget!$Q:$Q,Opex_Budget!$A:$A,$C$3,Opex_Budget!$E:$E,$B$642,Opex_Budget!$F:$F,$D$642,Opex_Budget!$N:$N,"EUR")*$G$5+SUMIFS(Opex_Budget!$Q:$Q,Opex_Budget!$A:$A,$C$3,Opex_Budget!$E:$E,$B$642,Opex_Budget!$F:$F,$D$642,Opex_Budget!$N:$N,"GBP")*$H$5)</f>
        <v/>
      </c>
      <c r="K642" s="32">
        <f>IF($B$642="","",SUMIFS(Opex_Budget!$R:$R,Opex_Budget!$A:$A,$C$3,Opex_Budget!$E:$E,$B$642,Opex_Budget!$F:$F,$D$642,Opex_Budget!$N:$N,"JPY")*$E$5+SUMIFS(Opex_Budget!$R:$R,Opex_Budget!$A:$A,$C$3,Opex_Budget!$E:$E,$B$642,Opex_Budget!$F:$F,$D$642,Opex_Budget!$N:$N,"USD")*$F$5+SUMIFS(Opex_Budget!$R:$R,Opex_Budget!$A:$A,$C$3,Opex_Budget!$E:$E,$B$642,Opex_Budget!$F:$F,$D$642,Opex_Budget!$N:$N,"EUR")*$G$5+SUMIFS(Opex_Budget!$R:$R,Opex_Budget!$A:$A,$C$3,Opex_Budget!$E:$E,$B$642,Opex_Budget!$F:$F,$D$642,Opex_Budget!$N:$N,"GBP")*$H$5)</f>
        <v/>
      </c>
      <c r="L642" s="32">
        <f>IF($B$642="","",SUMIFS(Opex_Budget!$S:$S,Opex_Budget!$A:$A,$C$3,Opex_Budget!$E:$E,$B$642,Opex_Budget!$F:$F,$D$642,Opex_Budget!$N:$N,"JPY")*$E$5+SUMIFS(Opex_Budget!$S:$S,Opex_Budget!$A:$A,$C$3,Opex_Budget!$E:$E,$B$642,Opex_Budget!$F:$F,$D$642,Opex_Budget!$N:$N,"USD")*$F$5+SUMIFS(Opex_Budget!$S:$S,Opex_Budget!$A:$A,$C$3,Opex_Budget!$E:$E,$B$642,Opex_Budget!$F:$F,$D$642,Opex_Budget!$N:$N,"EUR")*$G$5+SUMIFS(Opex_Budget!$S:$S,Opex_Budget!$A:$A,$C$3,Opex_Budget!$E:$E,$B$642,Opex_Budget!$F:$F,$D$642,Opex_Budget!$N:$N,"GBP")*$H$5)</f>
        <v/>
      </c>
      <c r="M642" s="32">
        <f>IF($B$642="","",SUMIFS(Opex_Budget!$T:$T,Opex_Budget!$A:$A,$C$3,Opex_Budget!$E:$E,$B$642,Opex_Budget!$F:$F,$D$642,Opex_Budget!$N:$N,"JPY")*$E$5+SUMIFS(Opex_Budget!$T:$T,Opex_Budget!$A:$A,$C$3,Opex_Budget!$E:$E,$B$642,Opex_Budget!$F:$F,$D$642,Opex_Budget!$N:$N,"USD")*$F$5+SUMIFS(Opex_Budget!$T:$T,Opex_Budget!$A:$A,$C$3,Opex_Budget!$E:$E,$B$642,Opex_Budget!$F:$F,$D$642,Opex_Budget!$N:$N,"EUR")*$G$5+SUMIFS(Opex_Budget!$T:$T,Opex_Budget!$A:$A,$C$3,Opex_Budget!$E:$E,$B$642,Opex_Budget!$F:$F,$D$642,Opex_Budget!$N:$N,"GBP")*$H$5)</f>
        <v/>
      </c>
      <c r="N642" s="32">
        <f>IF($B$642="","",SUMIFS(Opex_Budget!$U:$U,Opex_Budget!$A:$A,$C$3,Opex_Budget!$E:$E,$B$642,Opex_Budget!$F:$F,$D$642,Opex_Budget!$N:$N,"JPY")*$E$5+SUMIFS(Opex_Budget!$U:$U,Opex_Budget!$A:$A,$C$3,Opex_Budget!$E:$E,$B$642,Opex_Budget!$F:$F,$D$642,Opex_Budget!$N:$N,"USD")*$F$5+SUMIFS(Opex_Budget!$U:$U,Opex_Budget!$A:$A,$C$3,Opex_Budget!$E:$E,$B$642,Opex_Budget!$F:$F,$D$642,Opex_Budget!$N:$N,"EUR")*$G$5+SUMIFS(Opex_Budget!$U:$U,Opex_Budget!$A:$A,$C$3,Opex_Budget!$E:$E,$B$642,Opex_Budget!$F:$F,$D$642,Opex_Budget!$N:$N,"GBP")*$H$5)</f>
        <v/>
      </c>
      <c r="O642" s="32">
        <f>IF($B$642="","",SUMIFS(Opex_Budget!$V:$V,Opex_Budget!$A:$A,$C$3,Opex_Budget!$E:$E,$B$642,Opex_Budget!$F:$F,$D$642,Opex_Budget!$N:$N,"JPY")*$E$5+SUMIFS(Opex_Budget!$V:$V,Opex_Budget!$A:$A,$C$3,Opex_Budget!$E:$E,$B$642,Opex_Budget!$F:$F,$D$642,Opex_Budget!$N:$N,"USD")*$F$5+SUMIFS(Opex_Budget!$V:$V,Opex_Budget!$A:$A,$C$3,Opex_Budget!$E:$E,$B$642,Opex_Budget!$F:$F,$D$642,Opex_Budget!$N:$N,"EUR")*$G$5+SUMIFS(Opex_Budget!$V:$V,Opex_Budget!$A:$A,$C$3,Opex_Budget!$E:$E,$B$642,Opex_Budget!$F:$F,$D$642,Opex_Budget!$N:$N,"GBP")*$H$5)</f>
        <v/>
      </c>
      <c r="P642" s="32">
        <f>IF($B$642="","",SUMIFS(Opex_Budget!$W:$W,Opex_Budget!$A:$A,$C$3,Opex_Budget!$E:$E,$B$642,Opex_Budget!$F:$F,$D$642,Opex_Budget!$N:$N,"JPY")*$E$5+SUMIFS(Opex_Budget!$W:$W,Opex_Budget!$A:$A,$C$3,Opex_Budget!$E:$E,$B$642,Opex_Budget!$F:$F,$D$642,Opex_Budget!$N:$N,"USD")*$F$5+SUMIFS(Opex_Budget!$W:$W,Opex_Budget!$A:$A,$C$3,Opex_Budget!$E:$E,$B$642,Opex_Budget!$F:$F,$D$642,Opex_Budget!$N:$N,"EUR")*$G$5+SUMIFS(Opex_Budget!$W:$W,Opex_Budget!$A:$A,$C$3,Opex_Budget!$E:$E,$B$642,Opex_Budget!$F:$F,$D$642,Opex_Budget!$N:$N,"GBP")*$H$5)</f>
        <v/>
      </c>
      <c r="Q642" s="32">
        <f>IF($B$642="","",SUMIFS(Opex_Budget!$X:$X,Opex_Budget!$A:$A,$C$3,Opex_Budget!$E:$E,$B$642,Opex_Budget!$F:$F,$D$642,Opex_Budget!$N:$N,"JPY")*$E$5+SUMIFS(Opex_Budget!$X:$X,Opex_Budget!$A:$A,$C$3,Opex_Budget!$E:$E,$B$642,Opex_Budget!$F:$F,$D$642,Opex_Budget!$N:$N,"USD")*$F$5+SUMIFS(Opex_Budget!$X:$X,Opex_Budget!$A:$A,$C$3,Opex_Budget!$E:$E,$B$642,Opex_Budget!$F:$F,$D$642,Opex_Budget!$N:$N,"EUR")*$G$5+SUMIFS(Opex_Budget!$X:$X,Opex_Budget!$A:$A,$C$3,Opex_Budget!$E:$E,$B$642,Opex_Budget!$F:$F,$D$642,Opex_Budget!$N:$N,"GBP")*$H$5)</f>
        <v/>
      </c>
      <c r="R642" s="32">
        <f>IF($B$642="","",SUMIFS(Opex_Budget!$Y:$Y,Opex_Budget!$A:$A,$C$3,Opex_Budget!$E:$E,$B$642,Opex_Budget!$F:$F,$D$642,Opex_Budget!$N:$N,"JPY")*$E$5+SUMIFS(Opex_Budget!$Y:$Y,Opex_Budget!$A:$A,$C$3,Opex_Budget!$E:$E,$B$642,Opex_Budget!$F:$F,$D$642,Opex_Budget!$N:$N,"USD")*$F$5+SUMIFS(Opex_Budget!$Y:$Y,Opex_Budget!$A:$A,$C$3,Opex_Budget!$E:$E,$B$642,Opex_Budget!$F:$F,$D$642,Opex_Budget!$N:$N,"EUR")*$G$5+SUMIFS(Opex_Budget!$Y:$Y,Opex_Budget!$A:$A,$C$3,Opex_Budget!$E:$E,$B$642,Opex_Budget!$F:$F,$D$642,Opex_Budget!$N:$N,"GBP")*$H$5)</f>
        <v/>
      </c>
      <c r="S642" s="32">
        <f>IF($B$642="","",SUMIFS(Opex_Budget!$Z:$Z,Opex_Budget!$A:$A,$C$3,Opex_Budget!$E:$E,$B$642,Opex_Budget!$F:$F,$D$642,Opex_Budget!$N:$N,"JPY")*$E$5+SUMIFS(Opex_Budget!$Z:$Z,Opex_Budget!$A:$A,$C$3,Opex_Budget!$E:$E,$B$642,Opex_Budget!$F:$F,$D$642,Opex_Budget!$N:$N,"USD")*$F$5+SUMIFS(Opex_Budget!$Z:$Z,Opex_Budget!$A:$A,$C$3,Opex_Budget!$E:$E,$B$642,Opex_Budget!$F:$F,$D$642,Opex_Budget!$N:$N,"EUR")*$G$5+SUMIFS(Opex_Budget!$Z:$Z,Opex_Budget!$A:$A,$C$3,Opex_Budget!$E:$E,$B$642,Opex_Budget!$F:$F,$D$642,Opex_Budget!$N:$N,"GBP")*$H$5)</f>
        <v/>
      </c>
      <c r="T642" s="32">
        <f>IF($B$642="","",SUMIF($H$7:$S$7,"&lt;="&amp;$C$4,$H642:$S642))</f>
        <v/>
      </c>
      <c r="U642" s="32">
        <f>IF($B$642="","",SUMIF($H$7:$S$7,"&gt;"&amp;$C$4,$H642:$S642))</f>
        <v/>
      </c>
      <c r="V642" s="32">
        <f>IF($B$642="","",SUM($H642:$S642))</f>
        <v/>
      </c>
      <c r="X642" s="22">
        <f>IF($B642="","",IFERROR(INDEX(Cost_Centers!$E:$E,MATCH($B642,Cost_Centers!$A:$A,0)),"(unknown)"))</f>
        <v/>
      </c>
      <c r="Y642" s="22">
        <f>IF($B642="","",IFERROR(INDEX(Cost_Centers!$D:$D,MATCH($B642,Cost_Centers!$A:$A,0)),"(unknown)"))</f>
        <v/>
      </c>
      <c r="Z642" s="22">
        <f>IF(OR($B642="",$G642&lt;&gt;"Variance vs Budget"),"",ABS(N($V642))+ROW()/1000000000)</f>
        <v/>
      </c>
    </row>
    <row r="643">
      <c r="A643" s="13">
        <f>IF(A$642="","",A$642)</f>
        <v/>
      </c>
      <c r="B643" s="13">
        <f>IF(B$642="","",B$642)</f>
        <v/>
      </c>
      <c r="C643" s="13">
        <f>IF(C$642="","",C$642)</f>
        <v/>
      </c>
      <c r="D643" s="13">
        <f>IF(D$642="","",D$642)</f>
        <v/>
      </c>
      <c r="E643" s="13">
        <f>IF(E$642="","",E$642)</f>
        <v/>
      </c>
      <c r="F643" s="13">
        <f>IF(F$642="","",F$642)</f>
        <v/>
      </c>
      <c r="G643" s="7" t="inlineStr">
        <is>
          <t>Actual</t>
        </is>
      </c>
      <c r="H643" s="18">
        <f>IF(OR($B$642="",1&gt;$C$4),"",SUMIFS(Actuals!$G:$G,Actuals!$B:$B,$C$3,Actuals!$C:$C,1,Actuals!$D:$D,$B$642,Actuals!$A:$A,LEFT($D$642,FIND("|",$D$642&amp;"|")-1),Actuals!$E:$E,MID($D$642,FIND("|",$D$642&amp;"|")+1,50),Actuals!$F:$F,"JPY")*$E$5+SUMIFS(Actuals!$G:$G,Actuals!$B:$B,$C$3,Actuals!$C:$C,1,Actuals!$D:$D,$B$642,Actuals!$A:$A,LEFT($D$642,FIND("|",$D$642&amp;"|")-1),Actuals!$E:$E,MID($D$642,FIND("|",$D$642&amp;"|")+1,50),Actuals!$F:$F,"USD")*$F$5+SUMIFS(Actuals!$G:$G,Actuals!$B:$B,$C$3,Actuals!$C:$C,1,Actuals!$D:$D,$B$642,Actuals!$A:$A,LEFT($D$642,FIND("|",$D$642&amp;"|")-1),Actuals!$E:$E,MID($D$642,FIND("|",$D$642&amp;"|")+1,50),Actuals!$F:$F,"EUR")*$G$5+SUMIFS(Actuals!$G:$G,Actuals!$B:$B,$C$3,Actuals!$C:$C,1,Actuals!$D:$D,$B$642,Actuals!$A:$A,LEFT($D$642,FIND("|",$D$642&amp;"|")-1),Actuals!$E:$E,MID($D$642,FIND("|",$D$642&amp;"|")+1,50),Actuals!$F:$F,"GBP")*$H$5)</f>
        <v/>
      </c>
      <c r="I643" s="18">
        <f>IF(OR($B$642="",2&gt;$C$4),"",SUMIFS(Actuals!$G:$G,Actuals!$B:$B,$C$3,Actuals!$C:$C,2,Actuals!$D:$D,$B$642,Actuals!$A:$A,LEFT($D$642,FIND("|",$D$642&amp;"|")-1),Actuals!$E:$E,MID($D$642,FIND("|",$D$642&amp;"|")+1,50),Actuals!$F:$F,"JPY")*$E$5+SUMIFS(Actuals!$G:$G,Actuals!$B:$B,$C$3,Actuals!$C:$C,2,Actuals!$D:$D,$B$642,Actuals!$A:$A,LEFT($D$642,FIND("|",$D$642&amp;"|")-1),Actuals!$E:$E,MID($D$642,FIND("|",$D$642&amp;"|")+1,50),Actuals!$F:$F,"USD")*$F$5+SUMIFS(Actuals!$G:$G,Actuals!$B:$B,$C$3,Actuals!$C:$C,2,Actuals!$D:$D,$B$642,Actuals!$A:$A,LEFT($D$642,FIND("|",$D$642&amp;"|")-1),Actuals!$E:$E,MID($D$642,FIND("|",$D$642&amp;"|")+1,50),Actuals!$F:$F,"EUR")*$G$5+SUMIFS(Actuals!$G:$G,Actuals!$B:$B,$C$3,Actuals!$C:$C,2,Actuals!$D:$D,$B$642,Actuals!$A:$A,LEFT($D$642,FIND("|",$D$642&amp;"|")-1),Actuals!$E:$E,MID($D$642,FIND("|",$D$642&amp;"|")+1,50),Actuals!$F:$F,"GBP")*$H$5)</f>
        <v/>
      </c>
      <c r="J643" s="18">
        <f>IF(OR($B$642="",3&gt;$C$4),"",SUMIFS(Actuals!$G:$G,Actuals!$B:$B,$C$3,Actuals!$C:$C,3,Actuals!$D:$D,$B$642,Actuals!$A:$A,LEFT($D$642,FIND("|",$D$642&amp;"|")-1),Actuals!$E:$E,MID($D$642,FIND("|",$D$642&amp;"|")+1,50),Actuals!$F:$F,"JPY")*$E$5+SUMIFS(Actuals!$G:$G,Actuals!$B:$B,$C$3,Actuals!$C:$C,3,Actuals!$D:$D,$B$642,Actuals!$A:$A,LEFT($D$642,FIND("|",$D$642&amp;"|")-1),Actuals!$E:$E,MID($D$642,FIND("|",$D$642&amp;"|")+1,50),Actuals!$F:$F,"USD")*$F$5+SUMIFS(Actuals!$G:$G,Actuals!$B:$B,$C$3,Actuals!$C:$C,3,Actuals!$D:$D,$B$642,Actuals!$A:$A,LEFT($D$642,FIND("|",$D$642&amp;"|")-1),Actuals!$E:$E,MID($D$642,FIND("|",$D$642&amp;"|")+1,50),Actuals!$F:$F,"EUR")*$G$5+SUMIFS(Actuals!$G:$G,Actuals!$B:$B,$C$3,Actuals!$C:$C,3,Actuals!$D:$D,$B$642,Actuals!$A:$A,LEFT($D$642,FIND("|",$D$642&amp;"|")-1),Actuals!$E:$E,MID($D$642,FIND("|",$D$642&amp;"|")+1,50),Actuals!$F:$F,"GBP")*$H$5)</f>
        <v/>
      </c>
      <c r="K643" s="18">
        <f>IF(OR($B$642="",4&gt;$C$4),"",SUMIFS(Actuals!$G:$G,Actuals!$B:$B,$C$3,Actuals!$C:$C,4,Actuals!$D:$D,$B$642,Actuals!$A:$A,LEFT($D$642,FIND("|",$D$642&amp;"|")-1),Actuals!$E:$E,MID($D$642,FIND("|",$D$642&amp;"|")+1,50),Actuals!$F:$F,"JPY")*$E$5+SUMIFS(Actuals!$G:$G,Actuals!$B:$B,$C$3,Actuals!$C:$C,4,Actuals!$D:$D,$B$642,Actuals!$A:$A,LEFT($D$642,FIND("|",$D$642&amp;"|")-1),Actuals!$E:$E,MID($D$642,FIND("|",$D$642&amp;"|")+1,50),Actuals!$F:$F,"USD")*$F$5+SUMIFS(Actuals!$G:$G,Actuals!$B:$B,$C$3,Actuals!$C:$C,4,Actuals!$D:$D,$B$642,Actuals!$A:$A,LEFT($D$642,FIND("|",$D$642&amp;"|")-1),Actuals!$E:$E,MID($D$642,FIND("|",$D$642&amp;"|")+1,50),Actuals!$F:$F,"EUR")*$G$5+SUMIFS(Actuals!$G:$G,Actuals!$B:$B,$C$3,Actuals!$C:$C,4,Actuals!$D:$D,$B$642,Actuals!$A:$A,LEFT($D$642,FIND("|",$D$642&amp;"|")-1),Actuals!$E:$E,MID($D$642,FIND("|",$D$642&amp;"|")+1,50),Actuals!$F:$F,"GBP")*$H$5)</f>
        <v/>
      </c>
      <c r="L643" s="18">
        <f>IF(OR($B$642="",5&gt;$C$4),"",SUMIFS(Actuals!$G:$G,Actuals!$B:$B,$C$3,Actuals!$C:$C,5,Actuals!$D:$D,$B$642,Actuals!$A:$A,LEFT($D$642,FIND("|",$D$642&amp;"|")-1),Actuals!$E:$E,MID($D$642,FIND("|",$D$642&amp;"|")+1,50),Actuals!$F:$F,"JPY")*$E$5+SUMIFS(Actuals!$G:$G,Actuals!$B:$B,$C$3,Actuals!$C:$C,5,Actuals!$D:$D,$B$642,Actuals!$A:$A,LEFT($D$642,FIND("|",$D$642&amp;"|")-1),Actuals!$E:$E,MID($D$642,FIND("|",$D$642&amp;"|")+1,50),Actuals!$F:$F,"USD")*$F$5+SUMIFS(Actuals!$G:$G,Actuals!$B:$B,$C$3,Actuals!$C:$C,5,Actuals!$D:$D,$B$642,Actuals!$A:$A,LEFT($D$642,FIND("|",$D$642&amp;"|")-1),Actuals!$E:$E,MID($D$642,FIND("|",$D$642&amp;"|")+1,50),Actuals!$F:$F,"EUR")*$G$5+SUMIFS(Actuals!$G:$G,Actuals!$B:$B,$C$3,Actuals!$C:$C,5,Actuals!$D:$D,$B$642,Actuals!$A:$A,LEFT($D$642,FIND("|",$D$642&amp;"|")-1),Actuals!$E:$E,MID($D$642,FIND("|",$D$642&amp;"|")+1,50),Actuals!$F:$F,"GBP")*$H$5)</f>
        <v/>
      </c>
      <c r="M643" s="18">
        <f>IF(OR($B$642="",6&gt;$C$4),"",SUMIFS(Actuals!$G:$G,Actuals!$B:$B,$C$3,Actuals!$C:$C,6,Actuals!$D:$D,$B$642,Actuals!$A:$A,LEFT($D$642,FIND("|",$D$642&amp;"|")-1),Actuals!$E:$E,MID($D$642,FIND("|",$D$642&amp;"|")+1,50),Actuals!$F:$F,"JPY")*$E$5+SUMIFS(Actuals!$G:$G,Actuals!$B:$B,$C$3,Actuals!$C:$C,6,Actuals!$D:$D,$B$642,Actuals!$A:$A,LEFT($D$642,FIND("|",$D$642&amp;"|")-1),Actuals!$E:$E,MID($D$642,FIND("|",$D$642&amp;"|")+1,50),Actuals!$F:$F,"USD")*$F$5+SUMIFS(Actuals!$G:$G,Actuals!$B:$B,$C$3,Actuals!$C:$C,6,Actuals!$D:$D,$B$642,Actuals!$A:$A,LEFT($D$642,FIND("|",$D$642&amp;"|")-1),Actuals!$E:$E,MID($D$642,FIND("|",$D$642&amp;"|")+1,50),Actuals!$F:$F,"EUR")*$G$5+SUMIFS(Actuals!$G:$G,Actuals!$B:$B,$C$3,Actuals!$C:$C,6,Actuals!$D:$D,$B$642,Actuals!$A:$A,LEFT($D$642,FIND("|",$D$642&amp;"|")-1),Actuals!$E:$E,MID($D$642,FIND("|",$D$642&amp;"|")+1,50),Actuals!$F:$F,"GBP")*$H$5)</f>
        <v/>
      </c>
      <c r="N643" s="18">
        <f>IF(OR($B$642="",7&gt;$C$4),"",SUMIFS(Actuals!$G:$G,Actuals!$B:$B,$C$3,Actuals!$C:$C,7,Actuals!$D:$D,$B$642,Actuals!$A:$A,LEFT($D$642,FIND("|",$D$642&amp;"|")-1),Actuals!$E:$E,MID($D$642,FIND("|",$D$642&amp;"|")+1,50),Actuals!$F:$F,"JPY")*$E$5+SUMIFS(Actuals!$G:$G,Actuals!$B:$B,$C$3,Actuals!$C:$C,7,Actuals!$D:$D,$B$642,Actuals!$A:$A,LEFT($D$642,FIND("|",$D$642&amp;"|")-1),Actuals!$E:$E,MID($D$642,FIND("|",$D$642&amp;"|")+1,50),Actuals!$F:$F,"USD")*$F$5+SUMIFS(Actuals!$G:$G,Actuals!$B:$B,$C$3,Actuals!$C:$C,7,Actuals!$D:$D,$B$642,Actuals!$A:$A,LEFT($D$642,FIND("|",$D$642&amp;"|")-1),Actuals!$E:$E,MID($D$642,FIND("|",$D$642&amp;"|")+1,50),Actuals!$F:$F,"EUR")*$G$5+SUMIFS(Actuals!$G:$G,Actuals!$B:$B,$C$3,Actuals!$C:$C,7,Actuals!$D:$D,$B$642,Actuals!$A:$A,LEFT($D$642,FIND("|",$D$642&amp;"|")-1),Actuals!$E:$E,MID($D$642,FIND("|",$D$642&amp;"|")+1,50),Actuals!$F:$F,"GBP")*$H$5)</f>
        <v/>
      </c>
      <c r="O643" s="18">
        <f>IF(OR($B$642="",8&gt;$C$4),"",SUMIFS(Actuals!$G:$G,Actuals!$B:$B,$C$3,Actuals!$C:$C,8,Actuals!$D:$D,$B$642,Actuals!$A:$A,LEFT($D$642,FIND("|",$D$642&amp;"|")-1),Actuals!$E:$E,MID($D$642,FIND("|",$D$642&amp;"|")+1,50),Actuals!$F:$F,"JPY")*$E$5+SUMIFS(Actuals!$G:$G,Actuals!$B:$B,$C$3,Actuals!$C:$C,8,Actuals!$D:$D,$B$642,Actuals!$A:$A,LEFT($D$642,FIND("|",$D$642&amp;"|")-1),Actuals!$E:$E,MID($D$642,FIND("|",$D$642&amp;"|")+1,50),Actuals!$F:$F,"USD")*$F$5+SUMIFS(Actuals!$G:$G,Actuals!$B:$B,$C$3,Actuals!$C:$C,8,Actuals!$D:$D,$B$642,Actuals!$A:$A,LEFT($D$642,FIND("|",$D$642&amp;"|")-1),Actuals!$E:$E,MID($D$642,FIND("|",$D$642&amp;"|")+1,50),Actuals!$F:$F,"EUR")*$G$5+SUMIFS(Actuals!$G:$G,Actuals!$B:$B,$C$3,Actuals!$C:$C,8,Actuals!$D:$D,$B$642,Actuals!$A:$A,LEFT($D$642,FIND("|",$D$642&amp;"|")-1),Actuals!$E:$E,MID($D$642,FIND("|",$D$642&amp;"|")+1,50),Actuals!$F:$F,"GBP")*$H$5)</f>
        <v/>
      </c>
      <c r="P643" s="18">
        <f>IF(OR($B$642="",9&gt;$C$4),"",SUMIFS(Actuals!$G:$G,Actuals!$B:$B,$C$3,Actuals!$C:$C,9,Actuals!$D:$D,$B$642,Actuals!$A:$A,LEFT($D$642,FIND("|",$D$642&amp;"|")-1),Actuals!$E:$E,MID($D$642,FIND("|",$D$642&amp;"|")+1,50),Actuals!$F:$F,"JPY")*$E$5+SUMIFS(Actuals!$G:$G,Actuals!$B:$B,$C$3,Actuals!$C:$C,9,Actuals!$D:$D,$B$642,Actuals!$A:$A,LEFT($D$642,FIND("|",$D$642&amp;"|")-1),Actuals!$E:$E,MID($D$642,FIND("|",$D$642&amp;"|")+1,50),Actuals!$F:$F,"USD")*$F$5+SUMIFS(Actuals!$G:$G,Actuals!$B:$B,$C$3,Actuals!$C:$C,9,Actuals!$D:$D,$B$642,Actuals!$A:$A,LEFT($D$642,FIND("|",$D$642&amp;"|")-1),Actuals!$E:$E,MID($D$642,FIND("|",$D$642&amp;"|")+1,50),Actuals!$F:$F,"EUR")*$G$5+SUMIFS(Actuals!$G:$G,Actuals!$B:$B,$C$3,Actuals!$C:$C,9,Actuals!$D:$D,$B$642,Actuals!$A:$A,LEFT($D$642,FIND("|",$D$642&amp;"|")-1),Actuals!$E:$E,MID($D$642,FIND("|",$D$642&amp;"|")+1,50),Actuals!$F:$F,"GBP")*$H$5)</f>
        <v/>
      </c>
      <c r="Q643" s="18">
        <f>IF(OR($B$642="",10&gt;$C$4),"",SUMIFS(Actuals!$G:$G,Actuals!$B:$B,$C$3,Actuals!$C:$C,10,Actuals!$D:$D,$B$642,Actuals!$A:$A,LEFT($D$642,FIND("|",$D$642&amp;"|")-1),Actuals!$E:$E,MID($D$642,FIND("|",$D$642&amp;"|")+1,50),Actuals!$F:$F,"JPY")*$E$5+SUMIFS(Actuals!$G:$G,Actuals!$B:$B,$C$3,Actuals!$C:$C,10,Actuals!$D:$D,$B$642,Actuals!$A:$A,LEFT($D$642,FIND("|",$D$642&amp;"|")-1),Actuals!$E:$E,MID($D$642,FIND("|",$D$642&amp;"|")+1,50),Actuals!$F:$F,"USD")*$F$5+SUMIFS(Actuals!$G:$G,Actuals!$B:$B,$C$3,Actuals!$C:$C,10,Actuals!$D:$D,$B$642,Actuals!$A:$A,LEFT($D$642,FIND("|",$D$642&amp;"|")-1),Actuals!$E:$E,MID($D$642,FIND("|",$D$642&amp;"|")+1,50),Actuals!$F:$F,"EUR")*$G$5+SUMIFS(Actuals!$G:$G,Actuals!$B:$B,$C$3,Actuals!$C:$C,10,Actuals!$D:$D,$B$642,Actuals!$A:$A,LEFT($D$642,FIND("|",$D$642&amp;"|")-1),Actuals!$E:$E,MID($D$642,FIND("|",$D$642&amp;"|")+1,50),Actuals!$F:$F,"GBP")*$H$5)</f>
        <v/>
      </c>
      <c r="R643" s="18">
        <f>IF(OR($B$642="",11&gt;$C$4),"",SUMIFS(Actuals!$G:$G,Actuals!$B:$B,$C$3,Actuals!$C:$C,11,Actuals!$D:$D,$B$642,Actuals!$A:$A,LEFT($D$642,FIND("|",$D$642&amp;"|")-1),Actuals!$E:$E,MID($D$642,FIND("|",$D$642&amp;"|")+1,50),Actuals!$F:$F,"JPY")*$E$5+SUMIFS(Actuals!$G:$G,Actuals!$B:$B,$C$3,Actuals!$C:$C,11,Actuals!$D:$D,$B$642,Actuals!$A:$A,LEFT($D$642,FIND("|",$D$642&amp;"|")-1),Actuals!$E:$E,MID($D$642,FIND("|",$D$642&amp;"|")+1,50),Actuals!$F:$F,"USD")*$F$5+SUMIFS(Actuals!$G:$G,Actuals!$B:$B,$C$3,Actuals!$C:$C,11,Actuals!$D:$D,$B$642,Actuals!$A:$A,LEFT($D$642,FIND("|",$D$642&amp;"|")-1),Actuals!$E:$E,MID($D$642,FIND("|",$D$642&amp;"|")+1,50),Actuals!$F:$F,"EUR")*$G$5+SUMIFS(Actuals!$G:$G,Actuals!$B:$B,$C$3,Actuals!$C:$C,11,Actuals!$D:$D,$B$642,Actuals!$A:$A,LEFT($D$642,FIND("|",$D$642&amp;"|")-1),Actuals!$E:$E,MID($D$642,FIND("|",$D$642&amp;"|")+1,50),Actuals!$F:$F,"GBP")*$H$5)</f>
        <v/>
      </c>
      <c r="S643" s="18">
        <f>IF(OR($B$642="",12&gt;$C$4),"",SUMIFS(Actuals!$G:$G,Actuals!$B:$B,$C$3,Actuals!$C:$C,12,Actuals!$D:$D,$B$642,Actuals!$A:$A,LEFT($D$642,FIND("|",$D$642&amp;"|")-1),Actuals!$E:$E,MID($D$642,FIND("|",$D$642&amp;"|")+1,50),Actuals!$F:$F,"JPY")*$E$5+SUMIFS(Actuals!$G:$G,Actuals!$B:$B,$C$3,Actuals!$C:$C,12,Actuals!$D:$D,$B$642,Actuals!$A:$A,LEFT($D$642,FIND("|",$D$642&amp;"|")-1),Actuals!$E:$E,MID($D$642,FIND("|",$D$642&amp;"|")+1,50),Actuals!$F:$F,"USD")*$F$5+SUMIFS(Actuals!$G:$G,Actuals!$B:$B,$C$3,Actuals!$C:$C,12,Actuals!$D:$D,$B$642,Actuals!$A:$A,LEFT($D$642,FIND("|",$D$642&amp;"|")-1),Actuals!$E:$E,MID($D$642,FIND("|",$D$642&amp;"|")+1,50),Actuals!$F:$F,"EUR")*$G$5+SUMIFS(Actuals!$G:$G,Actuals!$B:$B,$C$3,Actuals!$C:$C,12,Actuals!$D:$D,$B$642,Actuals!$A:$A,LEFT($D$642,FIND("|",$D$642&amp;"|")-1),Actuals!$E:$E,MID($D$642,FIND("|",$D$642&amp;"|")+1,50),Actuals!$F:$F,"GBP")*$H$5)</f>
        <v/>
      </c>
      <c r="T643" s="18">
        <f>IF($B$642="","",SUMIF($H$7:$S$7,"&lt;="&amp;$C$4,$H643:$S643))</f>
        <v/>
      </c>
      <c r="U643" s="18" t="n"/>
      <c r="V643" s="18" t="n"/>
      <c r="X643" s="22">
        <f>IF($B643="","",IFERROR(INDEX(Cost_Centers!$E:$E,MATCH($B643,Cost_Centers!$A:$A,0)),"(unknown)"))</f>
        <v/>
      </c>
      <c r="Y643" s="22">
        <f>IF($B643="","",IFERROR(INDEX(Cost_Centers!$D:$D,MATCH($B643,Cost_Centers!$A:$A,0)),"(unknown)"))</f>
        <v/>
      </c>
      <c r="Z643" s="22">
        <f>IF(OR($B643="",$G643&lt;&gt;"Variance vs Budget"),"",ABS(N($V643))+ROW()/1000000000)</f>
        <v/>
      </c>
    </row>
    <row r="644">
      <c r="A644" s="13">
        <f>IF(A$642="","",A$642)</f>
        <v/>
      </c>
      <c r="B644" s="13">
        <f>IF(B$642="","",B$642)</f>
        <v/>
      </c>
      <c r="C644" s="13">
        <f>IF(C$642="","",C$642)</f>
        <v/>
      </c>
      <c r="D644" s="13">
        <f>IF(D$642="","",D$642)</f>
        <v/>
      </c>
      <c r="E644" s="13">
        <f>IF(E$642="","",E$642)</f>
        <v/>
      </c>
      <c r="F644" s="13">
        <f>IF(F$642="","",F$642)</f>
        <v/>
      </c>
      <c r="G644" s="6" t="inlineStr">
        <is>
          <t>Variance vs Budget</t>
        </is>
      </c>
      <c r="H644" s="33">
        <f>IF(OR($B$642="",1&gt;$C$4),"",N(H643)-H642)</f>
        <v/>
      </c>
      <c r="I644" s="33">
        <f>IF(OR($B$642="",2&gt;$C$4),"",N(I643)-I642)</f>
        <v/>
      </c>
      <c r="J644" s="33">
        <f>IF(OR($B$642="",3&gt;$C$4),"",N(J643)-J642)</f>
        <v/>
      </c>
      <c r="K644" s="33">
        <f>IF(OR($B$642="",4&gt;$C$4),"",N(K643)-K642)</f>
        <v/>
      </c>
      <c r="L644" s="33">
        <f>IF(OR($B$642="",5&gt;$C$4),"",N(L643)-L642)</f>
        <v/>
      </c>
      <c r="M644" s="33">
        <f>IF(OR($B$642="",6&gt;$C$4),"",N(M643)-M642)</f>
        <v/>
      </c>
      <c r="N644" s="33">
        <f>IF(OR($B$642="",7&gt;$C$4),"",N(N643)-N642)</f>
        <v/>
      </c>
      <c r="O644" s="33">
        <f>IF(OR($B$642="",8&gt;$C$4),"",N(O643)-O642)</f>
        <v/>
      </c>
      <c r="P644" s="33">
        <f>IF(OR($B$642="",9&gt;$C$4),"",N(P643)-P642)</f>
        <v/>
      </c>
      <c r="Q644" s="33">
        <f>IF(OR($B$642="",10&gt;$C$4),"",N(Q643)-Q642)</f>
        <v/>
      </c>
      <c r="R644" s="33">
        <f>IF(OR($B$642="",11&gt;$C$4),"",N(R643)-R642)</f>
        <v/>
      </c>
      <c r="S644" s="33">
        <f>IF(OR($B$642="",12&gt;$C$4),"",N(S643)-S642)</f>
        <v/>
      </c>
      <c r="T644" s="33">
        <f>IF($B$642="","",T643-T642)</f>
        <v/>
      </c>
      <c r="U644" s="33">
        <f>IF($B$642="","",U646-U642)</f>
        <v/>
      </c>
      <c r="V644" s="33">
        <f>IF($B$642="","",V646-V642)</f>
        <v/>
      </c>
      <c r="X644" s="22">
        <f>IF($B644="","",IFERROR(INDEX(Cost_Centers!$E:$E,MATCH($B644,Cost_Centers!$A:$A,0)),"(unknown)"))</f>
        <v/>
      </c>
      <c r="Y644" s="22">
        <f>IF($B644="","",IFERROR(INDEX(Cost_Centers!$D:$D,MATCH($B644,Cost_Centers!$A:$A,0)),"(unknown)"))</f>
        <v/>
      </c>
      <c r="Z644" s="22">
        <f>IF(OR($B644="",$G644&lt;&gt;"Variance vs Budget"),"",ABS(N($V644))+ROW()/1000000000)</f>
        <v/>
      </c>
    </row>
    <row r="645">
      <c r="A645" s="13">
        <f>IF(A$642="","",A$642)</f>
        <v/>
      </c>
      <c r="B645" s="13">
        <f>IF(B$642="","",B$642)</f>
        <v/>
      </c>
      <c r="C645" s="13">
        <f>IF(C$642="","",C$642)</f>
        <v/>
      </c>
      <c r="D645" s="13">
        <f>IF(D$642="","",D$642)</f>
        <v/>
      </c>
      <c r="E645" s="13">
        <f>IF(E$642="","",E$642)</f>
        <v/>
      </c>
      <c r="F645" s="13">
        <f>IF(F$642="","",F$642)</f>
        <v/>
      </c>
      <c r="G645" s="7" t="inlineStr">
        <is>
          <t>Forecast (input)</t>
        </is>
      </c>
      <c r="H645" s="34" t="n"/>
      <c r="I645" s="34" t="n"/>
      <c r="J645" s="34" t="n"/>
      <c r="K645" s="34" t="n"/>
      <c r="L645" s="34" t="n"/>
      <c r="M645" s="34" t="n"/>
      <c r="N645" s="34" t="n"/>
      <c r="O645" s="34" t="n"/>
      <c r="P645" s="34" t="n"/>
      <c r="Q645" s="34" t="n"/>
      <c r="R645" s="34" t="n"/>
      <c r="S645" s="34" t="n"/>
      <c r="T645" s="18" t="n"/>
      <c r="U645" s="18" t="n"/>
      <c r="V645" s="18" t="n"/>
      <c r="X645" s="22">
        <f>IF($B645="","",IFERROR(INDEX(Cost_Centers!$E:$E,MATCH($B645,Cost_Centers!$A:$A,0)),"(unknown)"))</f>
        <v/>
      </c>
      <c r="Y645" s="22">
        <f>IF($B645="","",IFERROR(INDEX(Cost_Centers!$D:$D,MATCH($B645,Cost_Centers!$A:$A,0)),"(unknown)"))</f>
        <v/>
      </c>
      <c r="Z645" s="22">
        <f>IF(OR($B645="",$G645&lt;&gt;"Variance vs Budget"),"",ABS(N($V645))+ROW()/1000000000)</f>
        <v/>
      </c>
    </row>
    <row r="646">
      <c r="A646" s="13">
        <f>IF(A$642="","",A$642)</f>
        <v/>
      </c>
      <c r="B646" s="13">
        <f>IF(B$642="","",B$642)</f>
        <v/>
      </c>
      <c r="C646" s="13">
        <f>IF(C$642="","",C$642)</f>
        <v/>
      </c>
      <c r="D646" s="13">
        <f>IF(D$642="","",D$642)</f>
        <v/>
      </c>
      <c r="E646" s="13">
        <f>IF(E$642="","",E$642)</f>
        <v/>
      </c>
      <c r="F646" s="13">
        <f>IF(F$642="","",F$642)</f>
        <v/>
      </c>
      <c r="G646" s="35" t="inlineStr">
        <is>
          <t>Actual + Forecast</t>
        </is>
      </c>
      <c r="H646" s="18">
        <f>IF($B$642="","",IF(1&lt;=$C$4,N(H643),IF(H645="",H642,H645)))</f>
        <v/>
      </c>
      <c r="I646" s="18">
        <f>IF($B$642="","",IF(2&lt;=$C$4,N(I643),IF(I645="",I642,I645)))</f>
        <v/>
      </c>
      <c r="J646" s="18">
        <f>IF($B$642="","",IF(3&lt;=$C$4,N(J643),IF(J645="",J642,J645)))</f>
        <v/>
      </c>
      <c r="K646" s="18">
        <f>IF($B$642="","",IF(4&lt;=$C$4,N(K643),IF(K645="",K642,K645)))</f>
        <v/>
      </c>
      <c r="L646" s="18">
        <f>IF($B$642="","",IF(5&lt;=$C$4,N(L643),IF(L645="",L642,L645)))</f>
        <v/>
      </c>
      <c r="M646" s="18">
        <f>IF($B$642="","",IF(6&lt;=$C$4,N(M643),IF(M645="",M642,M645)))</f>
        <v/>
      </c>
      <c r="N646" s="18">
        <f>IF($B$642="","",IF(7&lt;=$C$4,N(N643),IF(N645="",N642,N645)))</f>
        <v/>
      </c>
      <c r="O646" s="18">
        <f>IF($B$642="","",IF(8&lt;=$C$4,N(O643),IF(O645="",O642,O645)))</f>
        <v/>
      </c>
      <c r="P646" s="18">
        <f>IF($B$642="","",IF(9&lt;=$C$4,N(P643),IF(P645="",P642,P645)))</f>
        <v/>
      </c>
      <c r="Q646" s="18">
        <f>IF($B$642="","",IF(10&lt;=$C$4,N(Q643),IF(Q645="",Q642,Q645)))</f>
        <v/>
      </c>
      <c r="R646" s="18">
        <f>IF($B$642="","",IF(11&lt;=$C$4,N(R643),IF(R645="",R642,R645)))</f>
        <v/>
      </c>
      <c r="S646" s="18">
        <f>IF($B$642="","",IF(12&lt;=$C$4,N(S643),IF(S645="",S642,S645)))</f>
        <v/>
      </c>
      <c r="T646" s="18">
        <f>IF($B$642="","",SUMIF($H$7:$S$7,"&lt;="&amp;$C$4,$H646:$S646))</f>
        <v/>
      </c>
      <c r="U646" s="18">
        <f>IF($B$642="","",SUMIF($H$7:$S$7,"&gt;"&amp;$C$4,$H646:$S646))</f>
        <v/>
      </c>
      <c r="V646" s="18">
        <f>IF($B$642="","",SUM($H646:$S646))</f>
        <v/>
      </c>
      <c r="X646" s="22">
        <f>IF($B646="","",IFERROR(INDEX(Cost_Centers!$E:$E,MATCH($B646,Cost_Centers!$A:$A,0)),"(unknown)"))</f>
        <v/>
      </c>
      <c r="Y646" s="22">
        <f>IF($B646="","",IFERROR(INDEX(Cost_Centers!$D:$D,MATCH($B646,Cost_Centers!$A:$A,0)),"(unknown)"))</f>
        <v/>
      </c>
      <c r="Z646" s="22">
        <f>IF(OR($B646="",$G646&lt;&gt;"Variance vs Budget"),"",ABS(N($V646))+ROW()/1000000000)</f>
        <v/>
      </c>
    </row>
    <row r="647">
      <c r="A647" s="13">
        <f>IF(A$642="","",A$642)</f>
        <v/>
      </c>
      <c r="B647" s="13">
        <f>IF(B$642="","",B$642)</f>
        <v/>
      </c>
      <c r="C647" s="13">
        <f>IF(C$642="","",C$642)</f>
        <v/>
      </c>
      <c r="D647" s="13">
        <f>IF(D$642="","",D$642)</f>
        <v/>
      </c>
      <c r="E647" s="13">
        <f>IF(E$642="","",E$642)</f>
        <v/>
      </c>
      <c r="F647" s="13">
        <f>IF(F$642="","",F$642)</f>
        <v/>
      </c>
      <c r="G647" s="36" t="inlineStr">
        <is>
          <t>Prior Month Forecast</t>
        </is>
      </c>
      <c r="H647" s="37">
        <f>IF($B$642="","",IF(COUNTIFS(Prior_Forecast!$A:$A,$B$642,Prior_Forecast!$B:$B,$D$642)&gt;0,SUMIFS(Prior_Forecast!$C:$C,Prior_Forecast!$A:$A,$B$642,Prior_Forecast!$B:$B,$D$642),""))</f>
        <v/>
      </c>
      <c r="I647" s="37">
        <f>IF($B$642="","",IF(COUNTIFS(Prior_Forecast!$A:$A,$B$642,Prior_Forecast!$B:$B,$D$642)&gt;0,SUMIFS(Prior_Forecast!$D:$D,Prior_Forecast!$A:$A,$B$642,Prior_Forecast!$B:$B,$D$642),""))</f>
        <v/>
      </c>
      <c r="J647" s="37">
        <f>IF($B$642="","",IF(COUNTIFS(Prior_Forecast!$A:$A,$B$642,Prior_Forecast!$B:$B,$D$642)&gt;0,SUMIFS(Prior_Forecast!$E:$E,Prior_Forecast!$A:$A,$B$642,Prior_Forecast!$B:$B,$D$642),""))</f>
        <v/>
      </c>
      <c r="K647" s="37">
        <f>IF($B$642="","",IF(COUNTIFS(Prior_Forecast!$A:$A,$B$642,Prior_Forecast!$B:$B,$D$642)&gt;0,SUMIFS(Prior_Forecast!$F:$F,Prior_Forecast!$A:$A,$B$642,Prior_Forecast!$B:$B,$D$642),""))</f>
        <v/>
      </c>
      <c r="L647" s="37">
        <f>IF($B$642="","",IF(COUNTIFS(Prior_Forecast!$A:$A,$B$642,Prior_Forecast!$B:$B,$D$642)&gt;0,SUMIFS(Prior_Forecast!$G:$G,Prior_Forecast!$A:$A,$B$642,Prior_Forecast!$B:$B,$D$642),""))</f>
        <v/>
      </c>
      <c r="M647" s="37">
        <f>IF($B$642="","",IF(COUNTIFS(Prior_Forecast!$A:$A,$B$642,Prior_Forecast!$B:$B,$D$642)&gt;0,SUMIFS(Prior_Forecast!$H:$H,Prior_Forecast!$A:$A,$B$642,Prior_Forecast!$B:$B,$D$642),""))</f>
        <v/>
      </c>
      <c r="N647" s="37">
        <f>IF($B$642="","",IF(COUNTIFS(Prior_Forecast!$A:$A,$B$642,Prior_Forecast!$B:$B,$D$642)&gt;0,SUMIFS(Prior_Forecast!$I:$I,Prior_Forecast!$A:$A,$B$642,Prior_Forecast!$B:$B,$D$642),""))</f>
        <v/>
      </c>
      <c r="O647" s="37">
        <f>IF($B$642="","",IF(COUNTIFS(Prior_Forecast!$A:$A,$B$642,Prior_Forecast!$B:$B,$D$642)&gt;0,SUMIFS(Prior_Forecast!$J:$J,Prior_Forecast!$A:$A,$B$642,Prior_Forecast!$B:$B,$D$642),""))</f>
        <v/>
      </c>
      <c r="P647" s="37">
        <f>IF($B$642="","",IF(COUNTIFS(Prior_Forecast!$A:$A,$B$642,Prior_Forecast!$B:$B,$D$642)&gt;0,SUMIFS(Prior_Forecast!$K:$K,Prior_Forecast!$A:$A,$B$642,Prior_Forecast!$B:$B,$D$642),""))</f>
        <v/>
      </c>
      <c r="Q647" s="37">
        <f>IF($B$642="","",IF(COUNTIFS(Prior_Forecast!$A:$A,$B$642,Prior_Forecast!$B:$B,$D$642)&gt;0,SUMIFS(Prior_Forecast!$L:$L,Prior_Forecast!$A:$A,$B$642,Prior_Forecast!$B:$B,$D$642),""))</f>
        <v/>
      </c>
      <c r="R647" s="37">
        <f>IF($B$642="","",IF(COUNTIFS(Prior_Forecast!$A:$A,$B$642,Prior_Forecast!$B:$B,$D$642)&gt;0,SUMIFS(Prior_Forecast!$M:$M,Prior_Forecast!$A:$A,$B$642,Prior_Forecast!$B:$B,$D$642),""))</f>
        <v/>
      </c>
      <c r="S647" s="37">
        <f>IF($B$642="","",IF(COUNTIFS(Prior_Forecast!$A:$A,$B$642,Prior_Forecast!$B:$B,$D$642)&gt;0,SUMIFS(Prior_Forecast!$N:$N,Prior_Forecast!$A:$A,$B$642,Prior_Forecast!$B:$B,$D$642),""))</f>
        <v/>
      </c>
      <c r="T647" s="37">
        <f>IF($B$642="","",IF(COUNTIFS(Prior_Forecast!$A:$A,$B$642,Prior_Forecast!$B:$B,$D$642)&gt;0,SUMIFS(Prior_Forecast!$O:$O,Prior_Forecast!$A:$A,$B$642,Prior_Forecast!$B:$B,$D$642),""))</f>
        <v/>
      </c>
      <c r="U647" s="37">
        <f>IF($B$642="","",IF(COUNTIFS(Prior_Forecast!$A:$A,$B$642,Prior_Forecast!$B:$B,$D$642)&gt;0,SUMIFS(Prior_Forecast!$P:$P,Prior_Forecast!$A:$A,$B$642,Prior_Forecast!$B:$B,$D$642),""))</f>
        <v/>
      </c>
      <c r="V647" s="37">
        <f>IF($B$642="","",IF(COUNTIFS(Prior_Forecast!$A:$A,$B$642,Prior_Forecast!$B:$B,$D$642)&gt;0,SUMIFS(Prior_Forecast!$Q:$Q,Prior_Forecast!$A:$A,$B$642,Prior_Forecast!$B:$B,$D$642),""))</f>
        <v/>
      </c>
      <c r="X647" s="22">
        <f>IF($B647="","",IFERROR(INDEX(Cost_Centers!$E:$E,MATCH($B647,Cost_Centers!$A:$A,0)),"(unknown)"))</f>
        <v/>
      </c>
      <c r="Y647" s="22">
        <f>IF($B647="","",IFERROR(INDEX(Cost_Centers!$D:$D,MATCH($B647,Cost_Centers!$A:$A,0)),"(unknown)"))</f>
        <v/>
      </c>
      <c r="Z647" s="22">
        <f>IF(OR($B647="",$G647&lt;&gt;"Variance vs Budget"),"",ABS(N($V647))+ROW()/1000000000)</f>
        <v/>
      </c>
    </row>
    <row r="648">
      <c r="A648" s="13">
        <f>IF(A$642="","",A$642)</f>
        <v/>
      </c>
      <c r="B648" s="13">
        <f>IF(B$642="","",B$642)</f>
        <v/>
      </c>
      <c r="C648" s="13">
        <f>IF(C$642="","",C$642)</f>
        <v/>
      </c>
      <c r="D648" s="13">
        <f>IF(D$642="","",D$642)</f>
        <v/>
      </c>
      <c r="E648" s="13">
        <f>IF(E$642="","",E$642)</f>
        <v/>
      </c>
      <c r="F648" s="13">
        <f>IF(F$642="","",F$642)</f>
        <v/>
      </c>
      <c r="G648" s="6" t="inlineStr">
        <is>
          <t>Variance vs Prior Month</t>
        </is>
      </c>
      <c r="H648" s="33">
        <f>IF(OR($B$642="",H647=""),"",H646-H647)</f>
        <v/>
      </c>
      <c r="I648" s="33">
        <f>IF(OR($B$642="",I647=""),"",I646-I647)</f>
        <v/>
      </c>
      <c r="J648" s="33">
        <f>IF(OR($B$642="",J647=""),"",J646-J647)</f>
        <v/>
      </c>
      <c r="K648" s="33">
        <f>IF(OR($B$642="",K647=""),"",K646-K647)</f>
        <v/>
      </c>
      <c r="L648" s="33">
        <f>IF(OR($B$642="",L647=""),"",L646-L647)</f>
        <v/>
      </c>
      <c r="M648" s="33">
        <f>IF(OR($B$642="",M647=""),"",M646-M647)</f>
        <v/>
      </c>
      <c r="N648" s="33">
        <f>IF(OR($B$642="",N647=""),"",N646-N647)</f>
        <v/>
      </c>
      <c r="O648" s="33">
        <f>IF(OR($B$642="",O647=""),"",O646-O647)</f>
        <v/>
      </c>
      <c r="P648" s="33">
        <f>IF(OR($B$642="",P647=""),"",P646-P647)</f>
        <v/>
      </c>
      <c r="Q648" s="33">
        <f>IF(OR($B$642="",Q647=""),"",Q646-Q647)</f>
        <v/>
      </c>
      <c r="R648" s="33">
        <f>IF(OR($B$642="",R647=""),"",R646-R647)</f>
        <v/>
      </c>
      <c r="S648" s="33">
        <f>IF(OR($B$642="",S647=""),"",S646-S647)</f>
        <v/>
      </c>
      <c r="T648" s="33">
        <f>IF(OR($B$642="",T647=""),"",T646-T647)</f>
        <v/>
      </c>
      <c r="U648" s="33">
        <f>IF(OR($B$642="",U647=""),"",U646-U647)</f>
        <v/>
      </c>
      <c r="V648" s="33">
        <f>IF(OR($B$642="",V647=""),"",V646-V647)</f>
        <v/>
      </c>
      <c r="X648" s="22">
        <f>IF($B648="","",IFERROR(INDEX(Cost_Centers!$E:$E,MATCH($B648,Cost_Centers!$A:$A,0)),"(unknown)"))</f>
        <v/>
      </c>
      <c r="Y648" s="22">
        <f>IF($B648="","",IFERROR(INDEX(Cost_Centers!$D:$D,MATCH($B648,Cost_Centers!$A:$A,0)),"(unknown)"))</f>
        <v/>
      </c>
      <c r="Z648" s="22">
        <f>IF(OR($B648="",$G648&lt;&gt;"Variance vs Budget"),"",ABS(N($V648))+ROW()/1000000000)</f>
        <v/>
      </c>
    </row>
    <row r="649" ht="45" customHeight="1">
      <c r="A649" s="13">
        <f>IF(A$642="","",A$642)</f>
        <v/>
      </c>
      <c r="B649" s="13">
        <f>IF(B$642="","",B$642)</f>
        <v/>
      </c>
      <c r="C649" s="13">
        <f>IF(C$642="","",C$642)</f>
        <v/>
      </c>
      <c r="D649" s="13">
        <f>IF(D$642="","",D$642)</f>
        <v/>
      </c>
      <c r="E649" s="13">
        <f>IF(E$642="","",E$642)</f>
        <v/>
      </c>
      <c r="F649" s="13">
        <f>IF(F$642="","",F$642)</f>
        <v/>
      </c>
      <c r="G649" s="7" t="inlineStr">
        <is>
          <t>Rationale</t>
        </is>
      </c>
      <c r="H649" s="38" t="n"/>
      <c r="I649" s="38" t="n"/>
      <c r="J649" s="38" t="n"/>
      <c r="K649" s="38" t="n"/>
      <c r="L649" s="38" t="n"/>
      <c r="M649" s="38" t="n"/>
      <c r="N649" s="38" t="n"/>
      <c r="O649" s="38" t="n"/>
      <c r="P649" s="38" t="n"/>
      <c r="Q649" s="38" t="n"/>
      <c r="R649" s="38" t="n"/>
      <c r="S649" s="38" t="n"/>
      <c r="T649" s="38" t="n"/>
      <c r="U649" s="38" t="n"/>
      <c r="V649" s="7" t="n"/>
      <c r="X649" s="22">
        <f>IF($B649="","",IFERROR(INDEX(Cost_Centers!$E:$E,MATCH($B649,Cost_Centers!$A:$A,0)),"(unknown)"))</f>
        <v/>
      </c>
      <c r="Y649" s="22">
        <f>IF($B649="","",IFERROR(INDEX(Cost_Centers!$D:$D,MATCH($B649,Cost_Centers!$A:$A,0)),"(unknown)"))</f>
        <v/>
      </c>
      <c r="Z649" s="22">
        <f>IF(OR($B649="",$G649&lt;&gt;"Variance vs Budget"),"",ABS(N($V649))+ROW()/1000000000)</f>
        <v/>
      </c>
    </row>
    <row r="650">
      <c r="A650" s="30">
        <f>IF($D$650="","",LEFT($D$650,FIND("|",$D$650&amp;"|")-1))</f>
        <v/>
      </c>
      <c r="B650" s="31" t="n"/>
      <c r="C650" s="30">
        <f>IF($B$650="","",IFERROR(INDEX(Cost_Centers!$B:$B,MATCH($B$650,Cost_Centers!$A:$A,0)),"(not in master)"))</f>
        <v/>
      </c>
      <c r="D650" s="31" t="n"/>
      <c r="E650" s="30">
        <f>IF($D$650="","",IFERROR(INDEX(Accounts!$D:$D,MATCH($D$650,Accounts!$A:$A,0)),"(not in master)"))</f>
        <v/>
      </c>
      <c r="F650" s="31" t="n"/>
      <c r="G650" s="30" t="inlineStr">
        <is>
          <t>Budget</t>
        </is>
      </c>
      <c r="H650" s="32">
        <f>IF($B$650="","",SUMIFS(Opex_Budget!$O:$O,Opex_Budget!$A:$A,$C$3,Opex_Budget!$E:$E,$B$650,Opex_Budget!$F:$F,$D$650,Opex_Budget!$N:$N,"JPY")*$E$5+SUMIFS(Opex_Budget!$O:$O,Opex_Budget!$A:$A,$C$3,Opex_Budget!$E:$E,$B$650,Opex_Budget!$F:$F,$D$650,Opex_Budget!$N:$N,"USD")*$F$5+SUMIFS(Opex_Budget!$O:$O,Opex_Budget!$A:$A,$C$3,Opex_Budget!$E:$E,$B$650,Opex_Budget!$F:$F,$D$650,Opex_Budget!$N:$N,"EUR")*$G$5+SUMIFS(Opex_Budget!$O:$O,Opex_Budget!$A:$A,$C$3,Opex_Budget!$E:$E,$B$650,Opex_Budget!$F:$F,$D$650,Opex_Budget!$N:$N,"GBP")*$H$5)</f>
        <v/>
      </c>
      <c r="I650" s="32">
        <f>IF($B$650="","",SUMIFS(Opex_Budget!$P:$P,Opex_Budget!$A:$A,$C$3,Opex_Budget!$E:$E,$B$650,Opex_Budget!$F:$F,$D$650,Opex_Budget!$N:$N,"JPY")*$E$5+SUMIFS(Opex_Budget!$P:$P,Opex_Budget!$A:$A,$C$3,Opex_Budget!$E:$E,$B$650,Opex_Budget!$F:$F,$D$650,Opex_Budget!$N:$N,"USD")*$F$5+SUMIFS(Opex_Budget!$P:$P,Opex_Budget!$A:$A,$C$3,Opex_Budget!$E:$E,$B$650,Opex_Budget!$F:$F,$D$650,Opex_Budget!$N:$N,"EUR")*$G$5+SUMIFS(Opex_Budget!$P:$P,Opex_Budget!$A:$A,$C$3,Opex_Budget!$E:$E,$B$650,Opex_Budget!$F:$F,$D$650,Opex_Budget!$N:$N,"GBP")*$H$5)</f>
        <v/>
      </c>
      <c r="J650" s="32">
        <f>IF($B$650="","",SUMIFS(Opex_Budget!$Q:$Q,Opex_Budget!$A:$A,$C$3,Opex_Budget!$E:$E,$B$650,Opex_Budget!$F:$F,$D$650,Opex_Budget!$N:$N,"JPY")*$E$5+SUMIFS(Opex_Budget!$Q:$Q,Opex_Budget!$A:$A,$C$3,Opex_Budget!$E:$E,$B$650,Opex_Budget!$F:$F,$D$650,Opex_Budget!$N:$N,"USD")*$F$5+SUMIFS(Opex_Budget!$Q:$Q,Opex_Budget!$A:$A,$C$3,Opex_Budget!$E:$E,$B$650,Opex_Budget!$F:$F,$D$650,Opex_Budget!$N:$N,"EUR")*$G$5+SUMIFS(Opex_Budget!$Q:$Q,Opex_Budget!$A:$A,$C$3,Opex_Budget!$E:$E,$B$650,Opex_Budget!$F:$F,$D$650,Opex_Budget!$N:$N,"GBP")*$H$5)</f>
        <v/>
      </c>
      <c r="K650" s="32">
        <f>IF($B$650="","",SUMIFS(Opex_Budget!$R:$R,Opex_Budget!$A:$A,$C$3,Opex_Budget!$E:$E,$B$650,Opex_Budget!$F:$F,$D$650,Opex_Budget!$N:$N,"JPY")*$E$5+SUMIFS(Opex_Budget!$R:$R,Opex_Budget!$A:$A,$C$3,Opex_Budget!$E:$E,$B$650,Opex_Budget!$F:$F,$D$650,Opex_Budget!$N:$N,"USD")*$F$5+SUMIFS(Opex_Budget!$R:$R,Opex_Budget!$A:$A,$C$3,Opex_Budget!$E:$E,$B$650,Opex_Budget!$F:$F,$D$650,Opex_Budget!$N:$N,"EUR")*$G$5+SUMIFS(Opex_Budget!$R:$R,Opex_Budget!$A:$A,$C$3,Opex_Budget!$E:$E,$B$650,Opex_Budget!$F:$F,$D$650,Opex_Budget!$N:$N,"GBP")*$H$5)</f>
        <v/>
      </c>
      <c r="L650" s="32">
        <f>IF($B$650="","",SUMIFS(Opex_Budget!$S:$S,Opex_Budget!$A:$A,$C$3,Opex_Budget!$E:$E,$B$650,Opex_Budget!$F:$F,$D$650,Opex_Budget!$N:$N,"JPY")*$E$5+SUMIFS(Opex_Budget!$S:$S,Opex_Budget!$A:$A,$C$3,Opex_Budget!$E:$E,$B$650,Opex_Budget!$F:$F,$D$650,Opex_Budget!$N:$N,"USD")*$F$5+SUMIFS(Opex_Budget!$S:$S,Opex_Budget!$A:$A,$C$3,Opex_Budget!$E:$E,$B$650,Opex_Budget!$F:$F,$D$650,Opex_Budget!$N:$N,"EUR")*$G$5+SUMIFS(Opex_Budget!$S:$S,Opex_Budget!$A:$A,$C$3,Opex_Budget!$E:$E,$B$650,Opex_Budget!$F:$F,$D$650,Opex_Budget!$N:$N,"GBP")*$H$5)</f>
        <v/>
      </c>
      <c r="M650" s="32">
        <f>IF($B$650="","",SUMIFS(Opex_Budget!$T:$T,Opex_Budget!$A:$A,$C$3,Opex_Budget!$E:$E,$B$650,Opex_Budget!$F:$F,$D$650,Opex_Budget!$N:$N,"JPY")*$E$5+SUMIFS(Opex_Budget!$T:$T,Opex_Budget!$A:$A,$C$3,Opex_Budget!$E:$E,$B$650,Opex_Budget!$F:$F,$D$650,Opex_Budget!$N:$N,"USD")*$F$5+SUMIFS(Opex_Budget!$T:$T,Opex_Budget!$A:$A,$C$3,Opex_Budget!$E:$E,$B$650,Opex_Budget!$F:$F,$D$650,Opex_Budget!$N:$N,"EUR")*$G$5+SUMIFS(Opex_Budget!$T:$T,Opex_Budget!$A:$A,$C$3,Opex_Budget!$E:$E,$B$650,Opex_Budget!$F:$F,$D$650,Opex_Budget!$N:$N,"GBP")*$H$5)</f>
        <v/>
      </c>
      <c r="N650" s="32">
        <f>IF($B$650="","",SUMIFS(Opex_Budget!$U:$U,Opex_Budget!$A:$A,$C$3,Opex_Budget!$E:$E,$B$650,Opex_Budget!$F:$F,$D$650,Opex_Budget!$N:$N,"JPY")*$E$5+SUMIFS(Opex_Budget!$U:$U,Opex_Budget!$A:$A,$C$3,Opex_Budget!$E:$E,$B$650,Opex_Budget!$F:$F,$D$650,Opex_Budget!$N:$N,"USD")*$F$5+SUMIFS(Opex_Budget!$U:$U,Opex_Budget!$A:$A,$C$3,Opex_Budget!$E:$E,$B$650,Opex_Budget!$F:$F,$D$650,Opex_Budget!$N:$N,"EUR")*$G$5+SUMIFS(Opex_Budget!$U:$U,Opex_Budget!$A:$A,$C$3,Opex_Budget!$E:$E,$B$650,Opex_Budget!$F:$F,$D$650,Opex_Budget!$N:$N,"GBP")*$H$5)</f>
        <v/>
      </c>
      <c r="O650" s="32">
        <f>IF($B$650="","",SUMIFS(Opex_Budget!$V:$V,Opex_Budget!$A:$A,$C$3,Opex_Budget!$E:$E,$B$650,Opex_Budget!$F:$F,$D$650,Opex_Budget!$N:$N,"JPY")*$E$5+SUMIFS(Opex_Budget!$V:$V,Opex_Budget!$A:$A,$C$3,Opex_Budget!$E:$E,$B$650,Opex_Budget!$F:$F,$D$650,Opex_Budget!$N:$N,"USD")*$F$5+SUMIFS(Opex_Budget!$V:$V,Opex_Budget!$A:$A,$C$3,Opex_Budget!$E:$E,$B$650,Opex_Budget!$F:$F,$D$650,Opex_Budget!$N:$N,"EUR")*$G$5+SUMIFS(Opex_Budget!$V:$V,Opex_Budget!$A:$A,$C$3,Opex_Budget!$E:$E,$B$650,Opex_Budget!$F:$F,$D$650,Opex_Budget!$N:$N,"GBP")*$H$5)</f>
        <v/>
      </c>
      <c r="P650" s="32">
        <f>IF($B$650="","",SUMIFS(Opex_Budget!$W:$W,Opex_Budget!$A:$A,$C$3,Opex_Budget!$E:$E,$B$650,Opex_Budget!$F:$F,$D$650,Opex_Budget!$N:$N,"JPY")*$E$5+SUMIFS(Opex_Budget!$W:$W,Opex_Budget!$A:$A,$C$3,Opex_Budget!$E:$E,$B$650,Opex_Budget!$F:$F,$D$650,Opex_Budget!$N:$N,"USD")*$F$5+SUMIFS(Opex_Budget!$W:$W,Opex_Budget!$A:$A,$C$3,Opex_Budget!$E:$E,$B$650,Opex_Budget!$F:$F,$D$650,Opex_Budget!$N:$N,"EUR")*$G$5+SUMIFS(Opex_Budget!$W:$W,Opex_Budget!$A:$A,$C$3,Opex_Budget!$E:$E,$B$650,Opex_Budget!$F:$F,$D$650,Opex_Budget!$N:$N,"GBP")*$H$5)</f>
        <v/>
      </c>
      <c r="Q650" s="32">
        <f>IF($B$650="","",SUMIFS(Opex_Budget!$X:$X,Opex_Budget!$A:$A,$C$3,Opex_Budget!$E:$E,$B$650,Opex_Budget!$F:$F,$D$650,Opex_Budget!$N:$N,"JPY")*$E$5+SUMIFS(Opex_Budget!$X:$X,Opex_Budget!$A:$A,$C$3,Opex_Budget!$E:$E,$B$650,Opex_Budget!$F:$F,$D$650,Opex_Budget!$N:$N,"USD")*$F$5+SUMIFS(Opex_Budget!$X:$X,Opex_Budget!$A:$A,$C$3,Opex_Budget!$E:$E,$B$650,Opex_Budget!$F:$F,$D$650,Opex_Budget!$N:$N,"EUR")*$G$5+SUMIFS(Opex_Budget!$X:$X,Opex_Budget!$A:$A,$C$3,Opex_Budget!$E:$E,$B$650,Opex_Budget!$F:$F,$D$650,Opex_Budget!$N:$N,"GBP")*$H$5)</f>
        <v/>
      </c>
      <c r="R650" s="32">
        <f>IF($B$650="","",SUMIFS(Opex_Budget!$Y:$Y,Opex_Budget!$A:$A,$C$3,Opex_Budget!$E:$E,$B$650,Opex_Budget!$F:$F,$D$650,Opex_Budget!$N:$N,"JPY")*$E$5+SUMIFS(Opex_Budget!$Y:$Y,Opex_Budget!$A:$A,$C$3,Opex_Budget!$E:$E,$B$650,Opex_Budget!$F:$F,$D$650,Opex_Budget!$N:$N,"USD")*$F$5+SUMIFS(Opex_Budget!$Y:$Y,Opex_Budget!$A:$A,$C$3,Opex_Budget!$E:$E,$B$650,Opex_Budget!$F:$F,$D$650,Opex_Budget!$N:$N,"EUR")*$G$5+SUMIFS(Opex_Budget!$Y:$Y,Opex_Budget!$A:$A,$C$3,Opex_Budget!$E:$E,$B$650,Opex_Budget!$F:$F,$D$650,Opex_Budget!$N:$N,"GBP")*$H$5)</f>
        <v/>
      </c>
      <c r="S650" s="32">
        <f>IF($B$650="","",SUMIFS(Opex_Budget!$Z:$Z,Opex_Budget!$A:$A,$C$3,Opex_Budget!$E:$E,$B$650,Opex_Budget!$F:$F,$D$650,Opex_Budget!$N:$N,"JPY")*$E$5+SUMIFS(Opex_Budget!$Z:$Z,Opex_Budget!$A:$A,$C$3,Opex_Budget!$E:$E,$B$650,Opex_Budget!$F:$F,$D$650,Opex_Budget!$N:$N,"USD")*$F$5+SUMIFS(Opex_Budget!$Z:$Z,Opex_Budget!$A:$A,$C$3,Opex_Budget!$E:$E,$B$650,Opex_Budget!$F:$F,$D$650,Opex_Budget!$N:$N,"EUR")*$G$5+SUMIFS(Opex_Budget!$Z:$Z,Opex_Budget!$A:$A,$C$3,Opex_Budget!$E:$E,$B$650,Opex_Budget!$F:$F,$D$650,Opex_Budget!$N:$N,"GBP")*$H$5)</f>
        <v/>
      </c>
      <c r="T650" s="32">
        <f>IF($B$650="","",SUMIF($H$7:$S$7,"&lt;="&amp;$C$4,$H650:$S650))</f>
        <v/>
      </c>
      <c r="U650" s="32">
        <f>IF($B$650="","",SUMIF($H$7:$S$7,"&gt;"&amp;$C$4,$H650:$S650))</f>
        <v/>
      </c>
      <c r="V650" s="32">
        <f>IF($B$650="","",SUM($H650:$S650))</f>
        <v/>
      </c>
      <c r="X650" s="22">
        <f>IF($B650="","",IFERROR(INDEX(Cost_Centers!$E:$E,MATCH($B650,Cost_Centers!$A:$A,0)),"(unknown)"))</f>
        <v/>
      </c>
      <c r="Y650" s="22">
        <f>IF($B650="","",IFERROR(INDEX(Cost_Centers!$D:$D,MATCH($B650,Cost_Centers!$A:$A,0)),"(unknown)"))</f>
        <v/>
      </c>
      <c r="Z650" s="22">
        <f>IF(OR($B650="",$G650&lt;&gt;"Variance vs Budget"),"",ABS(N($V650))+ROW()/1000000000)</f>
        <v/>
      </c>
    </row>
    <row r="651">
      <c r="A651" s="13">
        <f>IF(A$650="","",A$650)</f>
        <v/>
      </c>
      <c r="B651" s="13">
        <f>IF(B$650="","",B$650)</f>
        <v/>
      </c>
      <c r="C651" s="13">
        <f>IF(C$650="","",C$650)</f>
        <v/>
      </c>
      <c r="D651" s="13">
        <f>IF(D$650="","",D$650)</f>
        <v/>
      </c>
      <c r="E651" s="13">
        <f>IF(E$650="","",E$650)</f>
        <v/>
      </c>
      <c r="F651" s="13">
        <f>IF(F$650="","",F$650)</f>
        <v/>
      </c>
      <c r="G651" s="7" t="inlineStr">
        <is>
          <t>Actual</t>
        </is>
      </c>
      <c r="H651" s="18">
        <f>IF(OR($B$650="",1&gt;$C$4),"",SUMIFS(Actuals!$G:$G,Actuals!$B:$B,$C$3,Actuals!$C:$C,1,Actuals!$D:$D,$B$650,Actuals!$A:$A,LEFT($D$650,FIND("|",$D$650&amp;"|")-1),Actuals!$E:$E,MID($D$650,FIND("|",$D$650&amp;"|")+1,50),Actuals!$F:$F,"JPY")*$E$5+SUMIFS(Actuals!$G:$G,Actuals!$B:$B,$C$3,Actuals!$C:$C,1,Actuals!$D:$D,$B$650,Actuals!$A:$A,LEFT($D$650,FIND("|",$D$650&amp;"|")-1),Actuals!$E:$E,MID($D$650,FIND("|",$D$650&amp;"|")+1,50),Actuals!$F:$F,"USD")*$F$5+SUMIFS(Actuals!$G:$G,Actuals!$B:$B,$C$3,Actuals!$C:$C,1,Actuals!$D:$D,$B$650,Actuals!$A:$A,LEFT($D$650,FIND("|",$D$650&amp;"|")-1),Actuals!$E:$E,MID($D$650,FIND("|",$D$650&amp;"|")+1,50),Actuals!$F:$F,"EUR")*$G$5+SUMIFS(Actuals!$G:$G,Actuals!$B:$B,$C$3,Actuals!$C:$C,1,Actuals!$D:$D,$B$650,Actuals!$A:$A,LEFT($D$650,FIND("|",$D$650&amp;"|")-1),Actuals!$E:$E,MID($D$650,FIND("|",$D$650&amp;"|")+1,50),Actuals!$F:$F,"GBP")*$H$5)</f>
        <v/>
      </c>
      <c r="I651" s="18">
        <f>IF(OR($B$650="",2&gt;$C$4),"",SUMIFS(Actuals!$G:$G,Actuals!$B:$B,$C$3,Actuals!$C:$C,2,Actuals!$D:$D,$B$650,Actuals!$A:$A,LEFT($D$650,FIND("|",$D$650&amp;"|")-1),Actuals!$E:$E,MID($D$650,FIND("|",$D$650&amp;"|")+1,50),Actuals!$F:$F,"JPY")*$E$5+SUMIFS(Actuals!$G:$G,Actuals!$B:$B,$C$3,Actuals!$C:$C,2,Actuals!$D:$D,$B$650,Actuals!$A:$A,LEFT($D$650,FIND("|",$D$650&amp;"|")-1),Actuals!$E:$E,MID($D$650,FIND("|",$D$650&amp;"|")+1,50),Actuals!$F:$F,"USD")*$F$5+SUMIFS(Actuals!$G:$G,Actuals!$B:$B,$C$3,Actuals!$C:$C,2,Actuals!$D:$D,$B$650,Actuals!$A:$A,LEFT($D$650,FIND("|",$D$650&amp;"|")-1),Actuals!$E:$E,MID($D$650,FIND("|",$D$650&amp;"|")+1,50),Actuals!$F:$F,"EUR")*$G$5+SUMIFS(Actuals!$G:$G,Actuals!$B:$B,$C$3,Actuals!$C:$C,2,Actuals!$D:$D,$B$650,Actuals!$A:$A,LEFT($D$650,FIND("|",$D$650&amp;"|")-1),Actuals!$E:$E,MID($D$650,FIND("|",$D$650&amp;"|")+1,50),Actuals!$F:$F,"GBP")*$H$5)</f>
        <v/>
      </c>
      <c r="J651" s="18">
        <f>IF(OR($B$650="",3&gt;$C$4),"",SUMIFS(Actuals!$G:$G,Actuals!$B:$B,$C$3,Actuals!$C:$C,3,Actuals!$D:$D,$B$650,Actuals!$A:$A,LEFT($D$650,FIND("|",$D$650&amp;"|")-1),Actuals!$E:$E,MID($D$650,FIND("|",$D$650&amp;"|")+1,50),Actuals!$F:$F,"JPY")*$E$5+SUMIFS(Actuals!$G:$G,Actuals!$B:$B,$C$3,Actuals!$C:$C,3,Actuals!$D:$D,$B$650,Actuals!$A:$A,LEFT($D$650,FIND("|",$D$650&amp;"|")-1),Actuals!$E:$E,MID($D$650,FIND("|",$D$650&amp;"|")+1,50),Actuals!$F:$F,"USD")*$F$5+SUMIFS(Actuals!$G:$G,Actuals!$B:$B,$C$3,Actuals!$C:$C,3,Actuals!$D:$D,$B$650,Actuals!$A:$A,LEFT($D$650,FIND("|",$D$650&amp;"|")-1),Actuals!$E:$E,MID($D$650,FIND("|",$D$650&amp;"|")+1,50),Actuals!$F:$F,"EUR")*$G$5+SUMIFS(Actuals!$G:$G,Actuals!$B:$B,$C$3,Actuals!$C:$C,3,Actuals!$D:$D,$B$650,Actuals!$A:$A,LEFT($D$650,FIND("|",$D$650&amp;"|")-1),Actuals!$E:$E,MID($D$650,FIND("|",$D$650&amp;"|")+1,50),Actuals!$F:$F,"GBP")*$H$5)</f>
        <v/>
      </c>
      <c r="K651" s="18">
        <f>IF(OR($B$650="",4&gt;$C$4),"",SUMIFS(Actuals!$G:$G,Actuals!$B:$B,$C$3,Actuals!$C:$C,4,Actuals!$D:$D,$B$650,Actuals!$A:$A,LEFT($D$650,FIND("|",$D$650&amp;"|")-1),Actuals!$E:$E,MID($D$650,FIND("|",$D$650&amp;"|")+1,50),Actuals!$F:$F,"JPY")*$E$5+SUMIFS(Actuals!$G:$G,Actuals!$B:$B,$C$3,Actuals!$C:$C,4,Actuals!$D:$D,$B$650,Actuals!$A:$A,LEFT($D$650,FIND("|",$D$650&amp;"|")-1),Actuals!$E:$E,MID($D$650,FIND("|",$D$650&amp;"|")+1,50),Actuals!$F:$F,"USD")*$F$5+SUMIFS(Actuals!$G:$G,Actuals!$B:$B,$C$3,Actuals!$C:$C,4,Actuals!$D:$D,$B$650,Actuals!$A:$A,LEFT($D$650,FIND("|",$D$650&amp;"|")-1),Actuals!$E:$E,MID($D$650,FIND("|",$D$650&amp;"|")+1,50),Actuals!$F:$F,"EUR")*$G$5+SUMIFS(Actuals!$G:$G,Actuals!$B:$B,$C$3,Actuals!$C:$C,4,Actuals!$D:$D,$B$650,Actuals!$A:$A,LEFT($D$650,FIND("|",$D$650&amp;"|")-1),Actuals!$E:$E,MID($D$650,FIND("|",$D$650&amp;"|")+1,50),Actuals!$F:$F,"GBP")*$H$5)</f>
        <v/>
      </c>
      <c r="L651" s="18">
        <f>IF(OR($B$650="",5&gt;$C$4),"",SUMIFS(Actuals!$G:$G,Actuals!$B:$B,$C$3,Actuals!$C:$C,5,Actuals!$D:$D,$B$650,Actuals!$A:$A,LEFT($D$650,FIND("|",$D$650&amp;"|")-1),Actuals!$E:$E,MID($D$650,FIND("|",$D$650&amp;"|")+1,50),Actuals!$F:$F,"JPY")*$E$5+SUMIFS(Actuals!$G:$G,Actuals!$B:$B,$C$3,Actuals!$C:$C,5,Actuals!$D:$D,$B$650,Actuals!$A:$A,LEFT($D$650,FIND("|",$D$650&amp;"|")-1),Actuals!$E:$E,MID($D$650,FIND("|",$D$650&amp;"|")+1,50),Actuals!$F:$F,"USD")*$F$5+SUMIFS(Actuals!$G:$G,Actuals!$B:$B,$C$3,Actuals!$C:$C,5,Actuals!$D:$D,$B$650,Actuals!$A:$A,LEFT($D$650,FIND("|",$D$650&amp;"|")-1),Actuals!$E:$E,MID($D$650,FIND("|",$D$650&amp;"|")+1,50),Actuals!$F:$F,"EUR")*$G$5+SUMIFS(Actuals!$G:$G,Actuals!$B:$B,$C$3,Actuals!$C:$C,5,Actuals!$D:$D,$B$650,Actuals!$A:$A,LEFT($D$650,FIND("|",$D$650&amp;"|")-1),Actuals!$E:$E,MID($D$650,FIND("|",$D$650&amp;"|")+1,50),Actuals!$F:$F,"GBP")*$H$5)</f>
        <v/>
      </c>
      <c r="M651" s="18">
        <f>IF(OR($B$650="",6&gt;$C$4),"",SUMIFS(Actuals!$G:$G,Actuals!$B:$B,$C$3,Actuals!$C:$C,6,Actuals!$D:$D,$B$650,Actuals!$A:$A,LEFT($D$650,FIND("|",$D$650&amp;"|")-1),Actuals!$E:$E,MID($D$650,FIND("|",$D$650&amp;"|")+1,50),Actuals!$F:$F,"JPY")*$E$5+SUMIFS(Actuals!$G:$G,Actuals!$B:$B,$C$3,Actuals!$C:$C,6,Actuals!$D:$D,$B$650,Actuals!$A:$A,LEFT($D$650,FIND("|",$D$650&amp;"|")-1),Actuals!$E:$E,MID($D$650,FIND("|",$D$650&amp;"|")+1,50),Actuals!$F:$F,"USD")*$F$5+SUMIFS(Actuals!$G:$G,Actuals!$B:$B,$C$3,Actuals!$C:$C,6,Actuals!$D:$D,$B$650,Actuals!$A:$A,LEFT($D$650,FIND("|",$D$650&amp;"|")-1),Actuals!$E:$E,MID($D$650,FIND("|",$D$650&amp;"|")+1,50),Actuals!$F:$F,"EUR")*$G$5+SUMIFS(Actuals!$G:$G,Actuals!$B:$B,$C$3,Actuals!$C:$C,6,Actuals!$D:$D,$B$650,Actuals!$A:$A,LEFT($D$650,FIND("|",$D$650&amp;"|")-1),Actuals!$E:$E,MID($D$650,FIND("|",$D$650&amp;"|")+1,50),Actuals!$F:$F,"GBP")*$H$5)</f>
        <v/>
      </c>
      <c r="N651" s="18">
        <f>IF(OR($B$650="",7&gt;$C$4),"",SUMIFS(Actuals!$G:$G,Actuals!$B:$B,$C$3,Actuals!$C:$C,7,Actuals!$D:$D,$B$650,Actuals!$A:$A,LEFT($D$650,FIND("|",$D$650&amp;"|")-1),Actuals!$E:$E,MID($D$650,FIND("|",$D$650&amp;"|")+1,50),Actuals!$F:$F,"JPY")*$E$5+SUMIFS(Actuals!$G:$G,Actuals!$B:$B,$C$3,Actuals!$C:$C,7,Actuals!$D:$D,$B$650,Actuals!$A:$A,LEFT($D$650,FIND("|",$D$650&amp;"|")-1),Actuals!$E:$E,MID($D$650,FIND("|",$D$650&amp;"|")+1,50),Actuals!$F:$F,"USD")*$F$5+SUMIFS(Actuals!$G:$G,Actuals!$B:$B,$C$3,Actuals!$C:$C,7,Actuals!$D:$D,$B$650,Actuals!$A:$A,LEFT($D$650,FIND("|",$D$650&amp;"|")-1),Actuals!$E:$E,MID($D$650,FIND("|",$D$650&amp;"|")+1,50),Actuals!$F:$F,"EUR")*$G$5+SUMIFS(Actuals!$G:$G,Actuals!$B:$B,$C$3,Actuals!$C:$C,7,Actuals!$D:$D,$B$650,Actuals!$A:$A,LEFT($D$650,FIND("|",$D$650&amp;"|")-1),Actuals!$E:$E,MID($D$650,FIND("|",$D$650&amp;"|")+1,50),Actuals!$F:$F,"GBP")*$H$5)</f>
        <v/>
      </c>
      <c r="O651" s="18">
        <f>IF(OR($B$650="",8&gt;$C$4),"",SUMIFS(Actuals!$G:$G,Actuals!$B:$B,$C$3,Actuals!$C:$C,8,Actuals!$D:$D,$B$650,Actuals!$A:$A,LEFT($D$650,FIND("|",$D$650&amp;"|")-1),Actuals!$E:$E,MID($D$650,FIND("|",$D$650&amp;"|")+1,50),Actuals!$F:$F,"JPY")*$E$5+SUMIFS(Actuals!$G:$G,Actuals!$B:$B,$C$3,Actuals!$C:$C,8,Actuals!$D:$D,$B$650,Actuals!$A:$A,LEFT($D$650,FIND("|",$D$650&amp;"|")-1),Actuals!$E:$E,MID($D$650,FIND("|",$D$650&amp;"|")+1,50),Actuals!$F:$F,"USD")*$F$5+SUMIFS(Actuals!$G:$G,Actuals!$B:$B,$C$3,Actuals!$C:$C,8,Actuals!$D:$D,$B$650,Actuals!$A:$A,LEFT($D$650,FIND("|",$D$650&amp;"|")-1),Actuals!$E:$E,MID($D$650,FIND("|",$D$650&amp;"|")+1,50),Actuals!$F:$F,"EUR")*$G$5+SUMIFS(Actuals!$G:$G,Actuals!$B:$B,$C$3,Actuals!$C:$C,8,Actuals!$D:$D,$B$650,Actuals!$A:$A,LEFT($D$650,FIND("|",$D$650&amp;"|")-1),Actuals!$E:$E,MID($D$650,FIND("|",$D$650&amp;"|")+1,50),Actuals!$F:$F,"GBP")*$H$5)</f>
        <v/>
      </c>
      <c r="P651" s="18">
        <f>IF(OR($B$650="",9&gt;$C$4),"",SUMIFS(Actuals!$G:$G,Actuals!$B:$B,$C$3,Actuals!$C:$C,9,Actuals!$D:$D,$B$650,Actuals!$A:$A,LEFT($D$650,FIND("|",$D$650&amp;"|")-1),Actuals!$E:$E,MID($D$650,FIND("|",$D$650&amp;"|")+1,50),Actuals!$F:$F,"JPY")*$E$5+SUMIFS(Actuals!$G:$G,Actuals!$B:$B,$C$3,Actuals!$C:$C,9,Actuals!$D:$D,$B$650,Actuals!$A:$A,LEFT($D$650,FIND("|",$D$650&amp;"|")-1),Actuals!$E:$E,MID($D$650,FIND("|",$D$650&amp;"|")+1,50),Actuals!$F:$F,"USD")*$F$5+SUMIFS(Actuals!$G:$G,Actuals!$B:$B,$C$3,Actuals!$C:$C,9,Actuals!$D:$D,$B$650,Actuals!$A:$A,LEFT($D$650,FIND("|",$D$650&amp;"|")-1),Actuals!$E:$E,MID($D$650,FIND("|",$D$650&amp;"|")+1,50),Actuals!$F:$F,"EUR")*$G$5+SUMIFS(Actuals!$G:$G,Actuals!$B:$B,$C$3,Actuals!$C:$C,9,Actuals!$D:$D,$B$650,Actuals!$A:$A,LEFT($D$650,FIND("|",$D$650&amp;"|")-1),Actuals!$E:$E,MID($D$650,FIND("|",$D$650&amp;"|")+1,50),Actuals!$F:$F,"GBP")*$H$5)</f>
        <v/>
      </c>
      <c r="Q651" s="18">
        <f>IF(OR($B$650="",10&gt;$C$4),"",SUMIFS(Actuals!$G:$G,Actuals!$B:$B,$C$3,Actuals!$C:$C,10,Actuals!$D:$D,$B$650,Actuals!$A:$A,LEFT($D$650,FIND("|",$D$650&amp;"|")-1),Actuals!$E:$E,MID($D$650,FIND("|",$D$650&amp;"|")+1,50),Actuals!$F:$F,"JPY")*$E$5+SUMIFS(Actuals!$G:$G,Actuals!$B:$B,$C$3,Actuals!$C:$C,10,Actuals!$D:$D,$B$650,Actuals!$A:$A,LEFT($D$650,FIND("|",$D$650&amp;"|")-1),Actuals!$E:$E,MID($D$650,FIND("|",$D$650&amp;"|")+1,50),Actuals!$F:$F,"USD")*$F$5+SUMIFS(Actuals!$G:$G,Actuals!$B:$B,$C$3,Actuals!$C:$C,10,Actuals!$D:$D,$B$650,Actuals!$A:$A,LEFT($D$650,FIND("|",$D$650&amp;"|")-1),Actuals!$E:$E,MID($D$650,FIND("|",$D$650&amp;"|")+1,50),Actuals!$F:$F,"EUR")*$G$5+SUMIFS(Actuals!$G:$G,Actuals!$B:$B,$C$3,Actuals!$C:$C,10,Actuals!$D:$D,$B$650,Actuals!$A:$A,LEFT($D$650,FIND("|",$D$650&amp;"|")-1),Actuals!$E:$E,MID($D$650,FIND("|",$D$650&amp;"|")+1,50),Actuals!$F:$F,"GBP")*$H$5)</f>
        <v/>
      </c>
      <c r="R651" s="18">
        <f>IF(OR($B$650="",11&gt;$C$4),"",SUMIFS(Actuals!$G:$G,Actuals!$B:$B,$C$3,Actuals!$C:$C,11,Actuals!$D:$D,$B$650,Actuals!$A:$A,LEFT($D$650,FIND("|",$D$650&amp;"|")-1),Actuals!$E:$E,MID($D$650,FIND("|",$D$650&amp;"|")+1,50),Actuals!$F:$F,"JPY")*$E$5+SUMIFS(Actuals!$G:$G,Actuals!$B:$B,$C$3,Actuals!$C:$C,11,Actuals!$D:$D,$B$650,Actuals!$A:$A,LEFT($D$650,FIND("|",$D$650&amp;"|")-1),Actuals!$E:$E,MID($D$650,FIND("|",$D$650&amp;"|")+1,50),Actuals!$F:$F,"USD")*$F$5+SUMIFS(Actuals!$G:$G,Actuals!$B:$B,$C$3,Actuals!$C:$C,11,Actuals!$D:$D,$B$650,Actuals!$A:$A,LEFT($D$650,FIND("|",$D$650&amp;"|")-1),Actuals!$E:$E,MID($D$650,FIND("|",$D$650&amp;"|")+1,50),Actuals!$F:$F,"EUR")*$G$5+SUMIFS(Actuals!$G:$G,Actuals!$B:$B,$C$3,Actuals!$C:$C,11,Actuals!$D:$D,$B$650,Actuals!$A:$A,LEFT($D$650,FIND("|",$D$650&amp;"|")-1),Actuals!$E:$E,MID($D$650,FIND("|",$D$650&amp;"|")+1,50),Actuals!$F:$F,"GBP")*$H$5)</f>
        <v/>
      </c>
      <c r="S651" s="18">
        <f>IF(OR($B$650="",12&gt;$C$4),"",SUMIFS(Actuals!$G:$G,Actuals!$B:$B,$C$3,Actuals!$C:$C,12,Actuals!$D:$D,$B$650,Actuals!$A:$A,LEFT($D$650,FIND("|",$D$650&amp;"|")-1),Actuals!$E:$E,MID($D$650,FIND("|",$D$650&amp;"|")+1,50),Actuals!$F:$F,"JPY")*$E$5+SUMIFS(Actuals!$G:$G,Actuals!$B:$B,$C$3,Actuals!$C:$C,12,Actuals!$D:$D,$B$650,Actuals!$A:$A,LEFT($D$650,FIND("|",$D$650&amp;"|")-1),Actuals!$E:$E,MID($D$650,FIND("|",$D$650&amp;"|")+1,50),Actuals!$F:$F,"USD")*$F$5+SUMIFS(Actuals!$G:$G,Actuals!$B:$B,$C$3,Actuals!$C:$C,12,Actuals!$D:$D,$B$650,Actuals!$A:$A,LEFT($D$650,FIND("|",$D$650&amp;"|")-1),Actuals!$E:$E,MID($D$650,FIND("|",$D$650&amp;"|")+1,50),Actuals!$F:$F,"EUR")*$G$5+SUMIFS(Actuals!$G:$G,Actuals!$B:$B,$C$3,Actuals!$C:$C,12,Actuals!$D:$D,$B$650,Actuals!$A:$A,LEFT($D$650,FIND("|",$D$650&amp;"|")-1),Actuals!$E:$E,MID($D$650,FIND("|",$D$650&amp;"|")+1,50),Actuals!$F:$F,"GBP")*$H$5)</f>
        <v/>
      </c>
      <c r="T651" s="18">
        <f>IF($B$650="","",SUMIF($H$7:$S$7,"&lt;="&amp;$C$4,$H651:$S651))</f>
        <v/>
      </c>
      <c r="U651" s="18" t="n"/>
      <c r="V651" s="18" t="n"/>
      <c r="X651" s="22">
        <f>IF($B651="","",IFERROR(INDEX(Cost_Centers!$E:$E,MATCH($B651,Cost_Centers!$A:$A,0)),"(unknown)"))</f>
        <v/>
      </c>
      <c r="Y651" s="22">
        <f>IF($B651="","",IFERROR(INDEX(Cost_Centers!$D:$D,MATCH($B651,Cost_Centers!$A:$A,0)),"(unknown)"))</f>
        <v/>
      </c>
      <c r="Z651" s="22">
        <f>IF(OR($B651="",$G651&lt;&gt;"Variance vs Budget"),"",ABS(N($V651))+ROW()/1000000000)</f>
        <v/>
      </c>
    </row>
    <row r="652">
      <c r="A652" s="13">
        <f>IF(A$650="","",A$650)</f>
        <v/>
      </c>
      <c r="B652" s="13">
        <f>IF(B$650="","",B$650)</f>
        <v/>
      </c>
      <c r="C652" s="13">
        <f>IF(C$650="","",C$650)</f>
        <v/>
      </c>
      <c r="D652" s="13">
        <f>IF(D$650="","",D$650)</f>
        <v/>
      </c>
      <c r="E652" s="13">
        <f>IF(E$650="","",E$650)</f>
        <v/>
      </c>
      <c r="F652" s="13">
        <f>IF(F$650="","",F$650)</f>
        <v/>
      </c>
      <c r="G652" s="6" t="inlineStr">
        <is>
          <t>Variance vs Budget</t>
        </is>
      </c>
      <c r="H652" s="33">
        <f>IF(OR($B$650="",1&gt;$C$4),"",N(H651)-H650)</f>
        <v/>
      </c>
      <c r="I652" s="33">
        <f>IF(OR($B$650="",2&gt;$C$4),"",N(I651)-I650)</f>
        <v/>
      </c>
      <c r="J652" s="33">
        <f>IF(OR($B$650="",3&gt;$C$4),"",N(J651)-J650)</f>
        <v/>
      </c>
      <c r="K652" s="33">
        <f>IF(OR($B$650="",4&gt;$C$4),"",N(K651)-K650)</f>
        <v/>
      </c>
      <c r="L652" s="33">
        <f>IF(OR($B$650="",5&gt;$C$4),"",N(L651)-L650)</f>
        <v/>
      </c>
      <c r="M652" s="33">
        <f>IF(OR($B$650="",6&gt;$C$4),"",N(M651)-M650)</f>
        <v/>
      </c>
      <c r="N652" s="33">
        <f>IF(OR($B$650="",7&gt;$C$4),"",N(N651)-N650)</f>
        <v/>
      </c>
      <c r="O652" s="33">
        <f>IF(OR($B$650="",8&gt;$C$4),"",N(O651)-O650)</f>
        <v/>
      </c>
      <c r="P652" s="33">
        <f>IF(OR($B$650="",9&gt;$C$4),"",N(P651)-P650)</f>
        <v/>
      </c>
      <c r="Q652" s="33">
        <f>IF(OR($B$650="",10&gt;$C$4),"",N(Q651)-Q650)</f>
        <v/>
      </c>
      <c r="R652" s="33">
        <f>IF(OR($B$650="",11&gt;$C$4),"",N(R651)-R650)</f>
        <v/>
      </c>
      <c r="S652" s="33">
        <f>IF(OR($B$650="",12&gt;$C$4),"",N(S651)-S650)</f>
        <v/>
      </c>
      <c r="T652" s="33">
        <f>IF($B$650="","",T651-T650)</f>
        <v/>
      </c>
      <c r="U652" s="33">
        <f>IF($B$650="","",U654-U650)</f>
        <v/>
      </c>
      <c r="V652" s="33">
        <f>IF($B$650="","",V654-V650)</f>
        <v/>
      </c>
      <c r="X652" s="22">
        <f>IF($B652="","",IFERROR(INDEX(Cost_Centers!$E:$E,MATCH($B652,Cost_Centers!$A:$A,0)),"(unknown)"))</f>
        <v/>
      </c>
      <c r="Y652" s="22">
        <f>IF($B652="","",IFERROR(INDEX(Cost_Centers!$D:$D,MATCH($B652,Cost_Centers!$A:$A,0)),"(unknown)"))</f>
        <v/>
      </c>
      <c r="Z652" s="22">
        <f>IF(OR($B652="",$G652&lt;&gt;"Variance vs Budget"),"",ABS(N($V652))+ROW()/1000000000)</f>
        <v/>
      </c>
    </row>
    <row r="653">
      <c r="A653" s="13">
        <f>IF(A$650="","",A$650)</f>
        <v/>
      </c>
      <c r="B653" s="13">
        <f>IF(B$650="","",B$650)</f>
        <v/>
      </c>
      <c r="C653" s="13">
        <f>IF(C$650="","",C$650)</f>
        <v/>
      </c>
      <c r="D653" s="13">
        <f>IF(D$650="","",D$650)</f>
        <v/>
      </c>
      <c r="E653" s="13">
        <f>IF(E$650="","",E$650)</f>
        <v/>
      </c>
      <c r="F653" s="13">
        <f>IF(F$650="","",F$650)</f>
        <v/>
      </c>
      <c r="G653" s="7" t="inlineStr">
        <is>
          <t>Forecast (input)</t>
        </is>
      </c>
      <c r="H653" s="34" t="n"/>
      <c r="I653" s="34" t="n"/>
      <c r="J653" s="34" t="n"/>
      <c r="K653" s="34" t="n"/>
      <c r="L653" s="34" t="n"/>
      <c r="M653" s="34" t="n"/>
      <c r="N653" s="34" t="n"/>
      <c r="O653" s="34" t="n"/>
      <c r="P653" s="34" t="n"/>
      <c r="Q653" s="34" t="n"/>
      <c r="R653" s="34" t="n"/>
      <c r="S653" s="34" t="n"/>
      <c r="T653" s="18" t="n"/>
      <c r="U653" s="18" t="n"/>
      <c r="V653" s="18" t="n"/>
      <c r="X653" s="22">
        <f>IF($B653="","",IFERROR(INDEX(Cost_Centers!$E:$E,MATCH($B653,Cost_Centers!$A:$A,0)),"(unknown)"))</f>
        <v/>
      </c>
      <c r="Y653" s="22">
        <f>IF($B653="","",IFERROR(INDEX(Cost_Centers!$D:$D,MATCH($B653,Cost_Centers!$A:$A,0)),"(unknown)"))</f>
        <v/>
      </c>
      <c r="Z653" s="22">
        <f>IF(OR($B653="",$G653&lt;&gt;"Variance vs Budget"),"",ABS(N($V653))+ROW()/1000000000)</f>
        <v/>
      </c>
    </row>
    <row r="654">
      <c r="A654" s="13">
        <f>IF(A$650="","",A$650)</f>
        <v/>
      </c>
      <c r="B654" s="13">
        <f>IF(B$650="","",B$650)</f>
        <v/>
      </c>
      <c r="C654" s="13">
        <f>IF(C$650="","",C$650)</f>
        <v/>
      </c>
      <c r="D654" s="13">
        <f>IF(D$650="","",D$650)</f>
        <v/>
      </c>
      <c r="E654" s="13">
        <f>IF(E$650="","",E$650)</f>
        <v/>
      </c>
      <c r="F654" s="13">
        <f>IF(F$650="","",F$650)</f>
        <v/>
      </c>
      <c r="G654" s="35" t="inlineStr">
        <is>
          <t>Actual + Forecast</t>
        </is>
      </c>
      <c r="H654" s="18">
        <f>IF($B$650="","",IF(1&lt;=$C$4,N(H651),IF(H653="",H650,H653)))</f>
        <v/>
      </c>
      <c r="I654" s="18">
        <f>IF($B$650="","",IF(2&lt;=$C$4,N(I651),IF(I653="",I650,I653)))</f>
        <v/>
      </c>
      <c r="J654" s="18">
        <f>IF($B$650="","",IF(3&lt;=$C$4,N(J651),IF(J653="",J650,J653)))</f>
        <v/>
      </c>
      <c r="K654" s="18">
        <f>IF($B$650="","",IF(4&lt;=$C$4,N(K651),IF(K653="",K650,K653)))</f>
        <v/>
      </c>
      <c r="L654" s="18">
        <f>IF($B$650="","",IF(5&lt;=$C$4,N(L651),IF(L653="",L650,L653)))</f>
        <v/>
      </c>
      <c r="M654" s="18">
        <f>IF($B$650="","",IF(6&lt;=$C$4,N(M651),IF(M653="",M650,M653)))</f>
        <v/>
      </c>
      <c r="N654" s="18">
        <f>IF($B$650="","",IF(7&lt;=$C$4,N(N651),IF(N653="",N650,N653)))</f>
        <v/>
      </c>
      <c r="O654" s="18">
        <f>IF($B$650="","",IF(8&lt;=$C$4,N(O651),IF(O653="",O650,O653)))</f>
        <v/>
      </c>
      <c r="P654" s="18">
        <f>IF($B$650="","",IF(9&lt;=$C$4,N(P651),IF(P653="",P650,P653)))</f>
        <v/>
      </c>
      <c r="Q654" s="18">
        <f>IF($B$650="","",IF(10&lt;=$C$4,N(Q651),IF(Q653="",Q650,Q653)))</f>
        <v/>
      </c>
      <c r="R654" s="18">
        <f>IF($B$650="","",IF(11&lt;=$C$4,N(R651),IF(R653="",R650,R653)))</f>
        <v/>
      </c>
      <c r="S654" s="18">
        <f>IF($B$650="","",IF(12&lt;=$C$4,N(S651),IF(S653="",S650,S653)))</f>
        <v/>
      </c>
      <c r="T654" s="18">
        <f>IF($B$650="","",SUMIF($H$7:$S$7,"&lt;="&amp;$C$4,$H654:$S654))</f>
        <v/>
      </c>
      <c r="U654" s="18">
        <f>IF($B$650="","",SUMIF($H$7:$S$7,"&gt;"&amp;$C$4,$H654:$S654))</f>
        <v/>
      </c>
      <c r="V654" s="18">
        <f>IF($B$650="","",SUM($H654:$S654))</f>
        <v/>
      </c>
      <c r="X654" s="22">
        <f>IF($B654="","",IFERROR(INDEX(Cost_Centers!$E:$E,MATCH($B654,Cost_Centers!$A:$A,0)),"(unknown)"))</f>
        <v/>
      </c>
      <c r="Y654" s="22">
        <f>IF($B654="","",IFERROR(INDEX(Cost_Centers!$D:$D,MATCH($B654,Cost_Centers!$A:$A,0)),"(unknown)"))</f>
        <v/>
      </c>
      <c r="Z654" s="22">
        <f>IF(OR($B654="",$G654&lt;&gt;"Variance vs Budget"),"",ABS(N($V654))+ROW()/1000000000)</f>
        <v/>
      </c>
    </row>
    <row r="655">
      <c r="A655" s="13">
        <f>IF(A$650="","",A$650)</f>
        <v/>
      </c>
      <c r="B655" s="13">
        <f>IF(B$650="","",B$650)</f>
        <v/>
      </c>
      <c r="C655" s="13">
        <f>IF(C$650="","",C$650)</f>
        <v/>
      </c>
      <c r="D655" s="13">
        <f>IF(D$650="","",D$650)</f>
        <v/>
      </c>
      <c r="E655" s="13">
        <f>IF(E$650="","",E$650)</f>
        <v/>
      </c>
      <c r="F655" s="13">
        <f>IF(F$650="","",F$650)</f>
        <v/>
      </c>
      <c r="G655" s="36" t="inlineStr">
        <is>
          <t>Prior Month Forecast</t>
        </is>
      </c>
      <c r="H655" s="37">
        <f>IF($B$650="","",IF(COUNTIFS(Prior_Forecast!$A:$A,$B$650,Prior_Forecast!$B:$B,$D$650)&gt;0,SUMIFS(Prior_Forecast!$C:$C,Prior_Forecast!$A:$A,$B$650,Prior_Forecast!$B:$B,$D$650),""))</f>
        <v/>
      </c>
      <c r="I655" s="37">
        <f>IF($B$650="","",IF(COUNTIFS(Prior_Forecast!$A:$A,$B$650,Prior_Forecast!$B:$B,$D$650)&gt;0,SUMIFS(Prior_Forecast!$D:$D,Prior_Forecast!$A:$A,$B$650,Prior_Forecast!$B:$B,$D$650),""))</f>
        <v/>
      </c>
      <c r="J655" s="37">
        <f>IF($B$650="","",IF(COUNTIFS(Prior_Forecast!$A:$A,$B$650,Prior_Forecast!$B:$B,$D$650)&gt;0,SUMIFS(Prior_Forecast!$E:$E,Prior_Forecast!$A:$A,$B$650,Prior_Forecast!$B:$B,$D$650),""))</f>
        <v/>
      </c>
      <c r="K655" s="37">
        <f>IF($B$650="","",IF(COUNTIFS(Prior_Forecast!$A:$A,$B$650,Prior_Forecast!$B:$B,$D$650)&gt;0,SUMIFS(Prior_Forecast!$F:$F,Prior_Forecast!$A:$A,$B$650,Prior_Forecast!$B:$B,$D$650),""))</f>
        <v/>
      </c>
      <c r="L655" s="37">
        <f>IF($B$650="","",IF(COUNTIFS(Prior_Forecast!$A:$A,$B$650,Prior_Forecast!$B:$B,$D$650)&gt;0,SUMIFS(Prior_Forecast!$G:$G,Prior_Forecast!$A:$A,$B$650,Prior_Forecast!$B:$B,$D$650),""))</f>
        <v/>
      </c>
      <c r="M655" s="37">
        <f>IF($B$650="","",IF(COUNTIFS(Prior_Forecast!$A:$A,$B$650,Prior_Forecast!$B:$B,$D$650)&gt;0,SUMIFS(Prior_Forecast!$H:$H,Prior_Forecast!$A:$A,$B$650,Prior_Forecast!$B:$B,$D$650),""))</f>
        <v/>
      </c>
      <c r="N655" s="37">
        <f>IF($B$650="","",IF(COUNTIFS(Prior_Forecast!$A:$A,$B$650,Prior_Forecast!$B:$B,$D$650)&gt;0,SUMIFS(Prior_Forecast!$I:$I,Prior_Forecast!$A:$A,$B$650,Prior_Forecast!$B:$B,$D$650),""))</f>
        <v/>
      </c>
      <c r="O655" s="37">
        <f>IF($B$650="","",IF(COUNTIFS(Prior_Forecast!$A:$A,$B$650,Prior_Forecast!$B:$B,$D$650)&gt;0,SUMIFS(Prior_Forecast!$J:$J,Prior_Forecast!$A:$A,$B$650,Prior_Forecast!$B:$B,$D$650),""))</f>
        <v/>
      </c>
      <c r="P655" s="37">
        <f>IF($B$650="","",IF(COUNTIFS(Prior_Forecast!$A:$A,$B$650,Prior_Forecast!$B:$B,$D$650)&gt;0,SUMIFS(Prior_Forecast!$K:$K,Prior_Forecast!$A:$A,$B$650,Prior_Forecast!$B:$B,$D$650),""))</f>
        <v/>
      </c>
      <c r="Q655" s="37">
        <f>IF($B$650="","",IF(COUNTIFS(Prior_Forecast!$A:$A,$B$650,Prior_Forecast!$B:$B,$D$650)&gt;0,SUMIFS(Prior_Forecast!$L:$L,Prior_Forecast!$A:$A,$B$650,Prior_Forecast!$B:$B,$D$650),""))</f>
        <v/>
      </c>
      <c r="R655" s="37">
        <f>IF($B$650="","",IF(COUNTIFS(Prior_Forecast!$A:$A,$B$650,Prior_Forecast!$B:$B,$D$650)&gt;0,SUMIFS(Prior_Forecast!$M:$M,Prior_Forecast!$A:$A,$B$650,Prior_Forecast!$B:$B,$D$650),""))</f>
        <v/>
      </c>
      <c r="S655" s="37">
        <f>IF($B$650="","",IF(COUNTIFS(Prior_Forecast!$A:$A,$B$650,Prior_Forecast!$B:$B,$D$650)&gt;0,SUMIFS(Prior_Forecast!$N:$N,Prior_Forecast!$A:$A,$B$650,Prior_Forecast!$B:$B,$D$650),""))</f>
        <v/>
      </c>
      <c r="T655" s="37">
        <f>IF($B$650="","",IF(COUNTIFS(Prior_Forecast!$A:$A,$B$650,Prior_Forecast!$B:$B,$D$650)&gt;0,SUMIFS(Prior_Forecast!$O:$O,Prior_Forecast!$A:$A,$B$650,Prior_Forecast!$B:$B,$D$650),""))</f>
        <v/>
      </c>
      <c r="U655" s="37">
        <f>IF($B$650="","",IF(COUNTIFS(Prior_Forecast!$A:$A,$B$650,Prior_Forecast!$B:$B,$D$650)&gt;0,SUMIFS(Prior_Forecast!$P:$P,Prior_Forecast!$A:$A,$B$650,Prior_Forecast!$B:$B,$D$650),""))</f>
        <v/>
      </c>
      <c r="V655" s="37">
        <f>IF($B$650="","",IF(COUNTIFS(Prior_Forecast!$A:$A,$B$650,Prior_Forecast!$B:$B,$D$650)&gt;0,SUMIFS(Prior_Forecast!$Q:$Q,Prior_Forecast!$A:$A,$B$650,Prior_Forecast!$B:$B,$D$650),""))</f>
        <v/>
      </c>
      <c r="X655" s="22">
        <f>IF($B655="","",IFERROR(INDEX(Cost_Centers!$E:$E,MATCH($B655,Cost_Centers!$A:$A,0)),"(unknown)"))</f>
        <v/>
      </c>
      <c r="Y655" s="22">
        <f>IF($B655="","",IFERROR(INDEX(Cost_Centers!$D:$D,MATCH($B655,Cost_Centers!$A:$A,0)),"(unknown)"))</f>
        <v/>
      </c>
      <c r="Z655" s="22">
        <f>IF(OR($B655="",$G655&lt;&gt;"Variance vs Budget"),"",ABS(N($V655))+ROW()/1000000000)</f>
        <v/>
      </c>
    </row>
    <row r="656">
      <c r="A656" s="13">
        <f>IF(A$650="","",A$650)</f>
        <v/>
      </c>
      <c r="B656" s="13">
        <f>IF(B$650="","",B$650)</f>
        <v/>
      </c>
      <c r="C656" s="13">
        <f>IF(C$650="","",C$650)</f>
        <v/>
      </c>
      <c r="D656" s="13">
        <f>IF(D$650="","",D$650)</f>
        <v/>
      </c>
      <c r="E656" s="13">
        <f>IF(E$650="","",E$650)</f>
        <v/>
      </c>
      <c r="F656" s="13">
        <f>IF(F$650="","",F$650)</f>
        <v/>
      </c>
      <c r="G656" s="6" t="inlineStr">
        <is>
          <t>Variance vs Prior Month</t>
        </is>
      </c>
      <c r="H656" s="33">
        <f>IF(OR($B$650="",H655=""),"",H654-H655)</f>
        <v/>
      </c>
      <c r="I656" s="33">
        <f>IF(OR($B$650="",I655=""),"",I654-I655)</f>
        <v/>
      </c>
      <c r="J656" s="33">
        <f>IF(OR($B$650="",J655=""),"",J654-J655)</f>
        <v/>
      </c>
      <c r="K656" s="33">
        <f>IF(OR($B$650="",K655=""),"",K654-K655)</f>
        <v/>
      </c>
      <c r="L656" s="33">
        <f>IF(OR($B$650="",L655=""),"",L654-L655)</f>
        <v/>
      </c>
      <c r="M656" s="33">
        <f>IF(OR($B$650="",M655=""),"",M654-M655)</f>
        <v/>
      </c>
      <c r="N656" s="33">
        <f>IF(OR($B$650="",N655=""),"",N654-N655)</f>
        <v/>
      </c>
      <c r="O656" s="33">
        <f>IF(OR($B$650="",O655=""),"",O654-O655)</f>
        <v/>
      </c>
      <c r="P656" s="33">
        <f>IF(OR($B$650="",P655=""),"",P654-P655)</f>
        <v/>
      </c>
      <c r="Q656" s="33">
        <f>IF(OR($B$650="",Q655=""),"",Q654-Q655)</f>
        <v/>
      </c>
      <c r="R656" s="33">
        <f>IF(OR($B$650="",R655=""),"",R654-R655)</f>
        <v/>
      </c>
      <c r="S656" s="33">
        <f>IF(OR($B$650="",S655=""),"",S654-S655)</f>
        <v/>
      </c>
      <c r="T656" s="33">
        <f>IF(OR($B$650="",T655=""),"",T654-T655)</f>
        <v/>
      </c>
      <c r="U656" s="33">
        <f>IF(OR($B$650="",U655=""),"",U654-U655)</f>
        <v/>
      </c>
      <c r="V656" s="33">
        <f>IF(OR($B$650="",V655=""),"",V654-V655)</f>
        <v/>
      </c>
      <c r="X656" s="22">
        <f>IF($B656="","",IFERROR(INDEX(Cost_Centers!$E:$E,MATCH($B656,Cost_Centers!$A:$A,0)),"(unknown)"))</f>
        <v/>
      </c>
      <c r="Y656" s="22">
        <f>IF($B656="","",IFERROR(INDEX(Cost_Centers!$D:$D,MATCH($B656,Cost_Centers!$A:$A,0)),"(unknown)"))</f>
        <v/>
      </c>
      <c r="Z656" s="22">
        <f>IF(OR($B656="",$G656&lt;&gt;"Variance vs Budget"),"",ABS(N($V656))+ROW()/1000000000)</f>
        <v/>
      </c>
    </row>
    <row r="657" ht="45" customHeight="1">
      <c r="A657" s="13">
        <f>IF(A$650="","",A$650)</f>
        <v/>
      </c>
      <c r="B657" s="13">
        <f>IF(B$650="","",B$650)</f>
        <v/>
      </c>
      <c r="C657" s="13">
        <f>IF(C$650="","",C$650)</f>
        <v/>
      </c>
      <c r="D657" s="13">
        <f>IF(D$650="","",D$650)</f>
        <v/>
      </c>
      <c r="E657" s="13">
        <f>IF(E$650="","",E$650)</f>
        <v/>
      </c>
      <c r="F657" s="13">
        <f>IF(F$650="","",F$650)</f>
        <v/>
      </c>
      <c r="G657" s="7" t="inlineStr">
        <is>
          <t>Rationale</t>
        </is>
      </c>
      <c r="H657" s="38" t="n"/>
      <c r="I657" s="38" t="n"/>
      <c r="J657" s="38" t="n"/>
      <c r="K657" s="38" t="n"/>
      <c r="L657" s="38" t="n"/>
      <c r="M657" s="38" t="n"/>
      <c r="N657" s="38" t="n"/>
      <c r="O657" s="38" t="n"/>
      <c r="P657" s="38" t="n"/>
      <c r="Q657" s="38" t="n"/>
      <c r="R657" s="38" t="n"/>
      <c r="S657" s="38" t="n"/>
      <c r="T657" s="38" t="n"/>
      <c r="U657" s="38" t="n"/>
      <c r="V657" s="7" t="n"/>
      <c r="X657" s="22">
        <f>IF($B657="","",IFERROR(INDEX(Cost_Centers!$E:$E,MATCH($B657,Cost_Centers!$A:$A,0)),"(unknown)"))</f>
        <v/>
      </c>
      <c r="Y657" s="22">
        <f>IF($B657="","",IFERROR(INDEX(Cost_Centers!$D:$D,MATCH($B657,Cost_Centers!$A:$A,0)),"(unknown)"))</f>
        <v/>
      </c>
      <c r="Z657" s="22">
        <f>IF(OR($B657="",$G657&lt;&gt;"Variance vs Budget"),"",ABS(N($V657))+ROW()/1000000000)</f>
        <v/>
      </c>
    </row>
    <row r="658">
      <c r="A658" s="30">
        <f>IF($D$658="","",LEFT($D$658,FIND("|",$D$658&amp;"|")-1))</f>
        <v/>
      </c>
      <c r="B658" s="31" t="n"/>
      <c r="C658" s="30">
        <f>IF($B$658="","",IFERROR(INDEX(Cost_Centers!$B:$B,MATCH($B$658,Cost_Centers!$A:$A,0)),"(not in master)"))</f>
        <v/>
      </c>
      <c r="D658" s="31" t="n"/>
      <c r="E658" s="30">
        <f>IF($D$658="","",IFERROR(INDEX(Accounts!$D:$D,MATCH($D$658,Accounts!$A:$A,0)),"(not in master)"))</f>
        <v/>
      </c>
      <c r="F658" s="31" t="n"/>
      <c r="G658" s="30" t="inlineStr">
        <is>
          <t>Budget</t>
        </is>
      </c>
      <c r="H658" s="32">
        <f>IF($B$658="","",SUMIFS(Opex_Budget!$O:$O,Opex_Budget!$A:$A,$C$3,Opex_Budget!$E:$E,$B$658,Opex_Budget!$F:$F,$D$658,Opex_Budget!$N:$N,"JPY")*$E$5+SUMIFS(Opex_Budget!$O:$O,Opex_Budget!$A:$A,$C$3,Opex_Budget!$E:$E,$B$658,Opex_Budget!$F:$F,$D$658,Opex_Budget!$N:$N,"USD")*$F$5+SUMIFS(Opex_Budget!$O:$O,Opex_Budget!$A:$A,$C$3,Opex_Budget!$E:$E,$B$658,Opex_Budget!$F:$F,$D$658,Opex_Budget!$N:$N,"EUR")*$G$5+SUMIFS(Opex_Budget!$O:$O,Opex_Budget!$A:$A,$C$3,Opex_Budget!$E:$E,$B$658,Opex_Budget!$F:$F,$D$658,Opex_Budget!$N:$N,"GBP")*$H$5)</f>
        <v/>
      </c>
      <c r="I658" s="32">
        <f>IF($B$658="","",SUMIFS(Opex_Budget!$P:$P,Opex_Budget!$A:$A,$C$3,Opex_Budget!$E:$E,$B$658,Opex_Budget!$F:$F,$D$658,Opex_Budget!$N:$N,"JPY")*$E$5+SUMIFS(Opex_Budget!$P:$P,Opex_Budget!$A:$A,$C$3,Opex_Budget!$E:$E,$B$658,Opex_Budget!$F:$F,$D$658,Opex_Budget!$N:$N,"USD")*$F$5+SUMIFS(Opex_Budget!$P:$P,Opex_Budget!$A:$A,$C$3,Opex_Budget!$E:$E,$B$658,Opex_Budget!$F:$F,$D$658,Opex_Budget!$N:$N,"EUR")*$G$5+SUMIFS(Opex_Budget!$P:$P,Opex_Budget!$A:$A,$C$3,Opex_Budget!$E:$E,$B$658,Opex_Budget!$F:$F,$D$658,Opex_Budget!$N:$N,"GBP")*$H$5)</f>
        <v/>
      </c>
      <c r="J658" s="32">
        <f>IF($B$658="","",SUMIFS(Opex_Budget!$Q:$Q,Opex_Budget!$A:$A,$C$3,Opex_Budget!$E:$E,$B$658,Opex_Budget!$F:$F,$D$658,Opex_Budget!$N:$N,"JPY")*$E$5+SUMIFS(Opex_Budget!$Q:$Q,Opex_Budget!$A:$A,$C$3,Opex_Budget!$E:$E,$B$658,Opex_Budget!$F:$F,$D$658,Opex_Budget!$N:$N,"USD")*$F$5+SUMIFS(Opex_Budget!$Q:$Q,Opex_Budget!$A:$A,$C$3,Opex_Budget!$E:$E,$B$658,Opex_Budget!$F:$F,$D$658,Opex_Budget!$N:$N,"EUR")*$G$5+SUMIFS(Opex_Budget!$Q:$Q,Opex_Budget!$A:$A,$C$3,Opex_Budget!$E:$E,$B$658,Opex_Budget!$F:$F,$D$658,Opex_Budget!$N:$N,"GBP")*$H$5)</f>
        <v/>
      </c>
      <c r="K658" s="32">
        <f>IF($B$658="","",SUMIFS(Opex_Budget!$R:$R,Opex_Budget!$A:$A,$C$3,Opex_Budget!$E:$E,$B$658,Opex_Budget!$F:$F,$D$658,Opex_Budget!$N:$N,"JPY")*$E$5+SUMIFS(Opex_Budget!$R:$R,Opex_Budget!$A:$A,$C$3,Opex_Budget!$E:$E,$B$658,Opex_Budget!$F:$F,$D$658,Opex_Budget!$N:$N,"USD")*$F$5+SUMIFS(Opex_Budget!$R:$R,Opex_Budget!$A:$A,$C$3,Opex_Budget!$E:$E,$B$658,Opex_Budget!$F:$F,$D$658,Opex_Budget!$N:$N,"EUR")*$G$5+SUMIFS(Opex_Budget!$R:$R,Opex_Budget!$A:$A,$C$3,Opex_Budget!$E:$E,$B$658,Opex_Budget!$F:$F,$D$658,Opex_Budget!$N:$N,"GBP")*$H$5)</f>
        <v/>
      </c>
      <c r="L658" s="32">
        <f>IF($B$658="","",SUMIFS(Opex_Budget!$S:$S,Opex_Budget!$A:$A,$C$3,Opex_Budget!$E:$E,$B$658,Opex_Budget!$F:$F,$D$658,Opex_Budget!$N:$N,"JPY")*$E$5+SUMIFS(Opex_Budget!$S:$S,Opex_Budget!$A:$A,$C$3,Opex_Budget!$E:$E,$B$658,Opex_Budget!$F:$F,$D$658,Opex_Budget!$N:$N,"USD")*$F$5+SUMIFS(Opex_Budget!$S:$S,Opex_Budget!$A:$A,$C$3,Opex_Budget!$E:$E,$B$658,Opex_Budget!$F:$F,$D$658,Opex_Budget!$N:$N,"EUR")*$G$5+SUMIFS(Opex_Budget!$S:$S,Opex_Budget!$A:$A,$C$3,Opex_Budget!$E:$E,$B$658,Opex_Budget!$F:$F,$D$658,Opex_Budget!$N:$N,"GBP")*$H$5)</f>
        <v/>
      </c>
      <c r="M658" s="32">
        <f>IF($B$658="","",SUMIFS(Opex_Budget!$T:$T,Opex_Budget!$A:$A,$C$3,Opex_Budget!$E:$E,$B$658,Opex_Budget!$F:$F,$D$658,Opex_Budget!$N:$N,"JPY")*$E$5+SUMIFS(Opex_Budget!$T:$T,Opex_Budget!$A:$A,$C$3,Opex_Budget!$E:$E,$B$658,Opex_Budget!$F:$F,$D$658,Opex_Budget!$N:$N,"USD")*$F$5+SUMIFS(Opex_Budget!$T:$T,Opex_Budget!$A:$A,$C$3,Opex_Budget!$E:$E,$B$658,Opex_Budget!$F:$F,$D$658,Opex_Budget!$N:$N,"EUR")*$G$5+SUMIFS(Opex_Budget!$T:$T,Opex_Budget!$A:$A,$C$3,Opex_Budget!$E:$E,$B$658,Opex_Budget!$F:$F,$D$658,Opex_Budget!$N:$N,"GBP")*$H$5)</f>
        <v/>
      </c>
      <c r="N658" s="32">
        <f>IF($B$658="","",SUMIFS(Opex_Budget!$U:$U,Opex_Budget!$A:$A,$C$3,Opex_Budget!$E:$E,$B$658,Opex_Budget!$F:$F,$D$658,Opex_Budget!$N:$N,"JPY")*$E$5+SUMIFS(Opex_Budget!$U:$U,Opex_Budget!$A:$A,$C$3,Opex_Budget!$E:$E,$B$658,Opex_Budget!$F:$F,$D$658,Opex_Budget!$N:$N,"USD")*$F$5+SUMIFS(Opex_Budget!$U:$U,Opex_Budget!$A:$A,$C$3,Opex_Budget!$E:$E,$B$658,Opex_Budget!$F:$F,$D$658,Opex_Budget!$N:$N,"EUR")*$G$5+SUMIFS(Opex_Budget!$U:$U,Opex_Budget!$A:$A,$C$3,Opex_Budget!$E:$E,$B$658,Opex_Budget!$F:$F,$D$658,Opex_Budget!$N:$N,"GBP")*$H$5)</f>
        <v/>
      </c>
      <c r="O658" s="32">
        <f>IF($B$658="","",SUMIFS(Opex_Budget!$V:$V,Opex_Budget!$A:$A,$C$3,Opex_Budget!$E:$E,$B$658,Opex_Budget!$F:$F,$D$658,Opex_Budget!$N:$N,"JPY")*$E$5+SUMIFS(Opex_Budget!$V:$V,Opex_Budget!$A:$A,$C$3,Opex_Budget!$E:$E,$B$658,Opex_Budget!$F:$F,$D$658,Opex_Budget!$N:$N,"USD")*$F$5+SUMIFS(Opex_Budget!$V:$V,Opex_Budget!$A:$A,$C$3,Opex_Budget!$E:$E,$B$658,Opex_Budget!$F:$F,$D$658,Opex_Budget!$N:$N,"EUR")*$G$5+SUMIFS(Opex_Budget!$V:$V,Opex_Budget!$A:$A,$C$3,Opex_Budget!$E:$E,$B$658,Opex_Budget!$F:$F,$D$658,Opex_Budget!$N:$N,"GBP")*$H$5)</f>
        <v/>
      </c>
      <c r="P658" s="32">
        <f>IF($B$658="","",SUMIFS(Opex_Budget!$W:$W,Opex_Budget!$A:$A,$C$3,Opex_Budget!$E:$E,$B$658,Opex_Budget!$F:$F,$D$658,Opex_Budget!$N:$N,"JPY")*$E$5+SUMIFS(Opex_Budget!$W:$W,Opex_Budget!$A:$A,$C$3,Opex_Budget!$E:$E,$B$658,Opex_Budget!$F:$F,$D$658,Opex_Budget!$N:$N,"USD")*$F$5+SUMIFS(Opex_Budget!$W:$W,Opex_Budget!$A:$A,$C$3,Opex_Budget!$E:$E,$B$658,Opex_Budget!$F:$F,$D$658,Opex_Budget!$N:$N,"EUR")*$G$5+SUMIFS(Opex_Budget!$W:$W,Opex_Budget!$A:$A,$C$3,Opex_Budget!$E:$E,$B$658,Opex_Budget!$F:$F,$D$658,Opex_Budget!$N:$N,"GBP")*$H$5)</f>
        <v/>
      </c>
      <c r="Q658" s="32">
        <f>IF($B$658="","",SUMIFS(Opex_Budget!$X:$X,Opex_Budget!$A:$A,$C$3,Opex_Budget!$E:$E,$B$658,Opex_Budget!$F:$F,$D$658,Opex_Budget!$N:$N,"JPY")*$E$5+SUMIFS(Opex_Budget!$X:$X,Opex_Budget!$A:$A,$C$3,Opex_Budget!$E:$E,$B$658,Opex_Budget!$F:$F,$D$658,Opex_Budget!$N:$N,"USD")*$F$5+SUMIFS(Opex_Budget!$X:$X,Opex_Budget!$A:$A,$C$3,Opex_Budget!$E:$E,$B$658,Opex_Budget!$F:$F,$D$658,Opex_Budget!$N:$N,"EUR")*$G$5+SUMIFS(Opex_Budget!$X:$X,Opex_Budget!$A:$A,$C$3,Opex_Budget!$E:$E,$B$658,Opex_Budget!$F:$F,$D$658,Opex_Budget!$N:$N,"GBP")*$H$5)</f>
        <v/>
      </c>
      <c r="R658" s="32">
        <f>IF($B$658="","",SUMIFS(Opex_Budget!$Y:$Y,Opex_Budget!$A:$A,$C$3,Opex_Budget!$E:$E,$B$658,Opex_Budget!$F:$F,$D$658,Opex_Budget!$N:$N,"JPY")*$E$5+SUMIFS(Opex_Budget!$Y:$Y,Opex_Budget!$A:$A,$C$3,Opex_Budget!$E:$E,$B$658,Opex_Budget!$F:$F,$D$658,Opex_Budget!$N:$N,"USD")*$F$5+SUMIFS(Opex_Budget!$Y:$Y,Opex_Budget!$A:$A,$C$3,Opex_Budget!$E:$E,$B$658,Opex_Budget!$F:$F,$D$658,Opex_Budget!$N:$N,"EUR")*$G$5+SUMIFS(Opex_Budget!$Y:$Y,Opex_Budget!$A:$A,$C$3,Opex_Budget!$E:$E,$B$658,Opex_Budget!$F:$F,$D$658,Opex_Budget!$N:$N,"GBP")*$H$5)</f>
        <v/>
      </c>
      <c r="S658" s="32">
        <f>IF($B$658="","",SUMIFS(Opex_Budget!$Z:$Z,Opex_Budget!$A:$A,$C$3,Opex_Budget!$E:$E,$B$658,Opex_Budget!$F:$F,$D$658,Opex_Budget!$N:$N,"JPY")*$E$5+SUMIFS(Opex_Budget!$Z:$Z,Opex_Budget!$A:$A,$C$3,Opex_Budget!$E:$E,$B$658,Opex_Budget!$F:$F,$D$658,Opex_Budget!$N:$N,"USD")*$F$5+SUMIFS(Opex_Budget!$Z:$Z,Opex_Budget!$A:$A,$C$3,Opex_Budget!$E:$E,$B$658,Opex_Budget!$F:$F,$D$658,Opex_Budget!$N:$N,"EUR")*$G$5+SUMIFS(Opex_Budget!$Z:$Z,Opex_Budget!$A:$A,$C$3,Opex_Budget!$E:$E,$B$658,Opex_Budget!$F:$F,$D$658,Opex_Budget!$N:$N,"GBP")*$H$5)</f>
        <v/>
      </c>
      <c r="T658" s="32">
        <f>IF($B$658="","",SUMIF($H$7:$S$7,"&lt;="&amp;$C$4,$H658:$S658))</f>
        <v/>
      </c>
      <c r="U658" s="32">
        <f>IF($B$658="","",SUMIF($H$7:$S$7,"&gt;"&amp;$C$4,$H658:$S658))</f>
        <v/>
      </c>
      <c r="V658" s="32">
        <f>IF($B$658="","",SUM($H658:$S658))</f>
        <v/>
      </c>
      <c r="X658" s="22">
        <f>IF($B658="","",IFERROR(INDEX(Cost_Centers!$E:$E,MATCH($B658,Cost_Centers!$A:$A,0)),"(unknown)"))</f>
        <v/>
      </c>
      <c r="Y658" s="22">
        <f>IF($B658="","",IFERROR(INDEX(Cost_Centers!$D:$D,MATCH($B658,Cost_Centers!$A:$A,0)),"(unknown)"))</f>
        <v/>
      </c>
      <c r="Z658" s="22">
        <f>IF(OR($B658="",$G658&lt;&gt;"Variance vs Budget"),"",ABS(N($V658))+ROW()/1000000000)</f>
        <v/>
      </c>
    </row>
    <row r="659">
      <c r="A659" s="13">
        <f>IF(A$658="","",A$658)</f>
        <v/>
      </c>
      <c r="B659" s="13">
        <f>IF(B$658="","",B$658)</f>
        <v/>
      </c>
      <c r="C659" s="13">
        <f>IF(C$658="","",C$658)</f>
        <v/>
      </c>
      <c r="D659" s="13">
        <f>IF(D$658="","",D$658)</f>
        <v/>
      </c>
      <c r="E659" s="13">
        <f>IF(E$658="","",E$658)</f>
        <v/>
      </c>
      <c r="F659" s="13">
        <f>IF(F$658="","",F$658)</f>
        <v/>
      </c>
      <c r="G659" s="7" t="inlineStr">
        <is>
          <t>Actual</t>
        </is>
      </c>
      <c r="H659" s="18">
        <f>IF(OR($B$658="",1&gt;$C$4),"",SUMIFS(Actuals!$G:$G,Actuals!$B:$B,$C$3,Actuals!$C:$C,1,Actuals!$D:$D,$B$658,Actuals!$A:$A,LEFT($D$658,FIND("|",$D$658&amp;"|")-1),Actuals!$E:$E,MID($D$658,FIND("|",$D$658&amp;"|")+1,50),Actuals!$F:$F,"JPY")*$E$5+SUMIFS(Actuals!$G:$G,Actuals!$B:$B,$C$3,Actuals!$C:$C,1,Actuals!$D:$D,$B$658,Actuals!$A:$A,LEFT($D$658,FIND("|",$D$658&amp;"|")-1),Actuals!$E:$E,MID($D$658,FIND("|",$D$658&amp;"|")+1,50),Actuals!$F:$F,"USD")*$F$5+SUMIFS(Actuals!$G:$G,Actuals!$B:$B,$C$3,Actuals!$C:$C,1,Actuals!$D:$D,$B$658,Actuals!$A:$A,LEFT($D$658,FIND("|",$D$658&amp;"|")-1),Actuals!$E:$E,MID($D$658,FIND("|",$D$658&amp;"|")+1,50),Actuals!$F:$F,"EUR")*$G$5+SUMIFS(Actuals!$G:$G,Actuals!$B:$B,$C$3,Actuals!$C:$C,1,Actuals!$D:$D,$B$658,Actuals!$A:$A,LEFT($D$658,FIND("|",$D$658&amp;"|")-1),Actuals!$E:$E,MID($D$658,FIND("|",$D$658&amp;"|")+1,50),Actuals!$F:$F,"GBP")*$H$5)</f>
        <v/>
      </c>
      <c r="I659" s="18">
        <f>IF(OR($B$658="",2&gt;$C$4),"",SUMIFS(Actuals!$G:$G,Actuals!$B:$B,$C$3,Actuals!$C:$C,2,Actuals!$D:$D,$B$658,Actuals!$A:$A,LEFT($D$658,FIND("|",$D$658&amp;"|")-1),Actuals!$E:$E,MID($D$658,FIND("|",$D$658&amp;"|")+1,50),Actuals!$F:$F,"JPY")*$E$5+SUMIFS(Actuals!$G:$G,Actuals!$B:$B,$C$3,Actuals!$C:$C,2,Actuals!$D:$D,$B$658,Actuals!$A:$A,LEFT($D$658,FIND("|",$D$658&amp;"|")-1),Actuals!$E:$E,MID($D$658,FIND("|",$D$658&amp;"|")+1,50),Actuals!$F:$F,"USD")*$F$5+SUMIFS(Actuals!$G:$G,Actuals!$B:$B,$C$3,Actuals!$C:$C,2,Actuals!$D:$D,$B$658,Actuals!$A:$A,LEFT($D$658,FIND("|",$D$658&amp;"|")-1),Actuals!$E:$E,MID($D$658,FIND("|",$D$658&amp;"|")+1,50),Actuals!$F:$F,"EUR")*$G$5+SUMIFS(Actuals!$G:$G,Actuals!$B:$B,$C$3,Actuals!$C:$C,2,Actuals!$D:$D,$B$658,Actuals!$A:$A,LEFT($D$658,FIND("|",$D$658&amp;"|")-1),Actuals!$E:$E,MID($D$658,FIND("|",$D$658&amp;"|")+1,50),Actuals!$F:$F,"GBP")*$H$5)</f>
        <v/>
      </c>
      <c r="J659" s="18">
        <f>IF(OR($B$658="",3&gt;$C$4),"",SUMIFS(Actuals!$G:$G,Actuals!$B:$B,$C$3,Actuals!$C:$C,3,Actuals!$D:$D,$B$658,Actuals!$A:$A,LEFT($D$658,FIND("|",$D$658&amp;"|")-1),Actuals!$E:$E,MID($D$658,FIND("|",$D$658&amp;"|")+1,50),Actuals!$F:$F,"JPY")*$E$5+SUMIFS(Actuals!$G:$G,Actuals!$B:$B,$C$3,Actuals!$C:$C,3,Actuals!$D:$D,$B$658,Actuals!$A:$A,LEFT($D$658,FIND("|",$D$658&amp;"|")-1),Actuals!$E:$E,MID($D$658,FIND("|",$D$658&amp;"|")+1,50),Actuals!$F:$F,"USD")*$F$5+SUMIFS(Actuals!$G:$G,Actuals!$B:$B,$C$3,Actuals!$C:$C,3,Actuals!$D:$D,$B$658,Actuals!$A:$A,LEFT($D$658,FIND("|",$D$658&amp;"|")-1),Actuals!$E:$E,MID($D$658,FIND("|",$D$658&amp;"|")+1,50),Actuals!$F:$F,"EUR")*$G$5+SUMIFS(Actuals!$G:$G,Actuals!$B:$B,$C$3,Actuals!$C:$C,3,Actuals!$D:$D,$B$658,Actuals!$A:$A,LEFT($D$658,FIND("|",$D$658&amp;"|")-1),Actuals!$E:$E,MID($D$658,FIND("|",$D$658&amp;"|")+1,50),Actuals!$F:$F,"GBP")*$H$5)</f>
        <v/>
      </c>
      <c r="K659" s="18">
        <f>IF(OR($B$658="",4&gt;$C$4),"",SUMIFS(Actuals!$G:$G,Actuals!$B:$B,$C$3,Actuals!$C:$C,4,Actuals!$D:$D,$B$658,Actuals!$A:$A,LEFT($D$658,FIND("|",$D$658&amp;"|")-1),Actuals!$E:$E,MID($D$658,FIND("|",$D$658&amp;"|")+1,50),Actuals!$F:$F,"JPY")*$E$5+SUMIFS(Actuals!$G:$G,Actuals!$B:$B,$C$3,Actuals!$C:$C,4,Actuals!$D:$D,$B$658,Actuals!$A:$A,LEFT($D$658,FIND("|",$D$658&amp;"|")-1),Actuals!$E:$E,MID($D$658,FIND("|",$D$658&amp;"|")+1,50),Actuals!$F:$F,"USD")*$F$5+SUMIFS(Actuals!$G:$G,Actuals!$B:$B,$C$3,Actuals!$C:$C,4,Actuals!$D:$D,$B$658,Actuals!$A:$A,LEFT($D$658,FIND("|",$D$658&amp;"|")-1),Actuals!$E:$E,MID($D$658,FIND("|",$D$658&amp;"|")+1,50),Actuals!$F:$F,"EUR")*$G$5+SUMIFS(Actuals!$G:$G,Actuals!$B:$B,$C$3,Actuals!$C:$C,4,Actuals!$D:$D,$B$658,Actuals!$A:$A,LEFT($D$658,FIND("|",$D$658&amp;"|")-1),Actuals!$E:$E,MID($D$658,FIND("|",$D$658&amp;"|")+1,50),Actuals!$F:$F,"GBP")*$H$5)</f>
        <v/>
      </c>
      <c r="L659" s="18">
        <f>IF(OR($B$658="",5&gt;$C$4),"",SUMIFS(Actuals!$G:$G,Actuals!$B:$B,$C$3,Actuals!$C:$C,5,Actuals!$D:$D,$B$658,Actuals!$A:$A,LEFT($D$658,FIND("|",$D$658&amp;"|")-1),Actuals!$E:$E,MID($D$658,FIND("|",$D$658&amp;"|")+1,50),Actuals!$F:$F,"JPY")*$E$5+SUMIFS(Actuals!$G:$G,Actuals!$B:$B,$C$3,Actuals!$C:$C,5,Actuals!$D:$D,$B$658,Actuals!$A:$A,LEFT($D$658,FIND("|",$D$658&amp;"|")-1),Actuals!$E:$E,MID($D$658,FIND("|",$D$658&amp;"|")+1,50),Actuals!$F:$F,"USD")*$F$5+SUMIFS(Actuals!$G:$G,Actuals!$B:$B,$C$3,Actuals!$C:$C,5,Actuals!$D:$D,$B$658,Actuals!$A:$A,LEFT($D$658,FIND("|",$D$658&amp;"|")-1),Actuals!$E:$E,MID($D$658,FIND("|",$D$658&amp;"|")+1,50),Actuals!$F:$F,"EUR")*$G$5+SUMIFS(Actuals!$G:$G,Actuals!$B:$B,$C$3,Actuals!$C:$C,5,Actuals!$D:$D,$B$658,Actuals!$A:$A,LEFT($D$658,FIND("|",$D$658&amp;"|")-1),Actuals!$E:$E,MID($D$658,FIND("|",$D$658&amp;"|")+1,50),Actuals!$F:$F,"GBP")*$H$5)</f>
        <v/>
      </c>
      <c r="M659" s="18">
        <f>IF(OR($B$658="",6&gt;$C$4),"",SUMIFS(Actuals!$G:$G,Actuals!$B:$B,$C$3,Actuals!$C:$C,6,Actuals!$D:$D,$B$658,Actuals!$A:$A,LEFT($D$658,FIND("|",$D$658&amp;"|")-1),Actuals!$E:$E,MID($D$658,FIND("|",$D$658&amp;"|")+1,50),Actuals!$F:$F,"JPY")*$E$5+SUMIFS(Actuals!$G:$G,Actuals!$B:$B,$C$3,Actuals!$C:$C,6,Actuals!$D:$D,$B$658,Actuals!$A:$A,LEFT($D$658,FIND("|",$D$658&amp;"|")-1),Actuals!$E:$E,MID($D$658,FIND("|",$D$658&amp;"|")+1,50),Actuals!$F:$F,"USD")*$F$5+SUMIFS(Actuals!$G:$G,Actuals!$B:$B,$C$3,Actuals!$C:$C,6,Actuals!$D:$D,$B$658,Actuals!$A:$A,LEFT($D$658,FIND("|",$D$658&amp;"|")-1),Actuals!$E:$E,MID($D$658,FIND("|",$D$658&amp;"|")+1,50),Actuals!$F:$F,"EUR")*$G$5+SUMIFS(Actuals!$G:$G,Actuals!$B:$B,$C$3,Actuals!$C:$C,6,Actuals!$D:$D,$B$658,Actuals!$A:$A,LEFT($D$658,FIND("|",$D$658&amp;"|")-1),Actuals!$E:$E,MID($D$658,FIND("|",$D$658&amp;"|")+1,50),Actuals!$F:$F,"GBP")*$H$5)</f>
        <v/>
      </c>
      <c r="N659" s="18">
        <f>IF(OR($B$658="",7&gt;$C$4),"",SUMIFS(Actuals!$G:$G,Actuals!$B:$B,$C$3,Actuals!$C:$C,7,Actuals!$D:$D,$B$658,Actuals!$A:$A,LEFT($D$658,FIND("|",$D$658&amp;"|")-1),Actuals!$E:$E,MID($D$658,FIND("|",$D$658&amp;"|")+1,50),Actuals!$F:$F,"JPY")*$E$5+SUMIFS(Actuals!$G:$G,Actuals!$B:$B,$C$3,Actuals!$C:$C,7,Actuals!$D:$D,$B$658,Actuals!$A:$A,LEFT($D$658,FIND("|",$D$658&amp;"|")-1),Actuals!$E:$E,MID($D$658,FIND("|",$D$658&amp;"|")+1,50),Actuals!$F:$F,"USD")*$F$5+SUMIFS(Actuals!$G:$G,Actuals!$B:$B,$C$3,Actuals!$C:$C,7,Actuals!$D:$D,$B$658,Actuals!$A:$A,LEFT($D$658,FIND("|",$D$658&amp;"|")-1),Actuals!$E:$E,MID($D$658,FIND("|",$D$658&amp;"|")+1,50),Actuals!$F:$F,"EUR")*$G$5+SUMIFS(Actuals!$G:$G,Actuals!$B:$B,$C$3,Actuals!$C:$C,7,Actuals!$D:$D,$B$658,Actuals!$A:$A,LEFT($D$658,FIND("|",$D$658&amp;"|")-1),Actuals!$E:$E,MID($D$658,FIND("|",$D$658&amp;"|")+1,50),Actuals!$F:$F,"GBP")*$H$5)</f>
        <v/>
      </c>
      <c r="O659" s="18">
        <f>IF(OR($B$658="",8&gt;$C$4),"",SUMIFS(Actuals!$G:$G,Actuals!$B:$B,$C$3,Actuals!$C:$C,8,Actuals!$D:$D,$B$658,Actuals!$A:$A,LEFT($D$658,FIND("|",$D$658&amp;"|")-1),Actuals!$E:$E,MID($D$658,FIND("|",$D$658&amp;"|")+1,50),Actuals!$F:$F,"JPY")*$E$5+SUMIFS(Actuals!$G:$G,Actuals!$B:$B,$C$3,Actuals!$C:$C,8,Actuals!$D:$D,$B$658,Actuals!$A:$A,LEFT($D$658,FIND("|",$D$658&amp;"|")-1),Actuals!$E:$E,MID($D$658,FIND("|",$D$658&amp;"|")+1,50),Actuals!$F:$F,"USD")*$F$5+SUMIFS(Actuals!$G:$G,Actuals!$B:$B,$C$3,Actuals!$C:$C,8,Actuals!$D:$D,$B$658,Actuals!$A:$A,LEFT($D$658,FIND("|",$D$658&amp;"|")-1),Actuals!$E:$E,MID($D$658,FIND("|",$D$658&amp;"|")+1,50),Actuals!$F:$F,"EUR")*$G$5+SUMIFS(Actuals!$G:$G,Actuals!$B:$B,$C$3,Actuals!$C:$C,8,Actuals!$D:$D,$B$658,Actuals!$A:$A,LEFT($D$658,FIND("|",$D$658&amp;"|")-1),Actuals!$E:$E,MID($D$658,FIND("|",$D$658&amp;"|")+1,50),Actuals!$F:$F,"GBP")*$H$5)</f>
        <v/>
      </c>
      <c r="P659" s="18">
        <f>IF(OR($B$658="",9&gt;$C$4),"",SUMIFS(Actuals!$G:$G,Actuals!$B:$B,$C$3,Actuals!$C:$C,9,Actuals!$D:$D,$B$658,Actuals!$A:$A,LEFT($D$658,FIND("|",$D$658&amp;"|")-1),Actuals!$E:$E,MID($D$658,FIND("|",$D$658&amp;"|")+1,50),Actuals!$F:$F,"JPY")*$E$5+SUMIFS(Actuals!$G:$G,Actuals!$B:$B,$C$3,Actuals!$C:$C,9,Actuals!$D:$D,$B$658,Actuals!$A:$A,LEFT($D$658,FIND("|",$D$658&amp;"|")-1),Actuals!$E:$E,MID($D$658,FIND("|",$D$658&amp;"|")+1,50),Actuals!$F:$F,"USD")*$F$5+SUMIFS(Actuals!$G:$G,Actuals!$B:$B,$C$3,Actuals!$C:$C,9,Actuals!$D:$D,$B$658,Actuals!$A:$A,LEFT($D$658,FIND("|",$D$658&amp;"|")-1),Actuals!$E:$E,MID($D$658,FIND("|",$D$658&amp;"|")+1,50),Actuals!$F:$F,"EUR")*$G$5+SUMIFS(Actuals!$G:$G,Actuals!$B:$B,$C$3,Actuals!$C:$C,9,Actuals!$D:$D,$B$658,Actuals!$A:$A,LEFT($D$658,FIND("|",$D$658&amp;"|")-1),Actuals!$E:$E,MID($D$658,FIND("|",$D$658&amp;"|")+1,50),Actuals!$F:$F,"GBP")*$H$5)</f>
        <v/>
      </c>
      <c r="Q659" s="18">
        <f>IF(OR($B$658="",10&gt;$C$4),"",SUMIFS(Actuals!$G:$G,Actuals!$B:$B,$C$3,Actuals!$C:$C,10,Actuals!$D:$D,$B$658,Actuals!$A:$A,LEFT($D$658,FIND("|",$D$658&amp;"|")-1),Actuals!$E:$E,MID($D$658,FIND("|",$D$658&amp;"|")+1,50),Actuals!$F:$F,"JPY")*$E$5+SUMIFS(Actuals!$G:$G,Actuals!$B:$B,$C$3,Actuals!$C:$C,10,Actuals!$D:$D,$B$658,Actuals!$A:$A,LEFT($D$658,FIND("|",$D$658&amp;"|")-1),Actuals!$E:$E,MID($D$658,FIND("|",$D$658&amp;"|")+1,50),Actuals!$F:$F,"USD")*$F$5+SUMIFS(Actuals!$G:$G,Actuals!$B:$B,$C$3,Actuals!$C:$C,10,Actuals!$D:$D,$B$658,Actuals!$A:$A,LEFT($D$658,FIND("|",$D$658&amp;"|")-1),Actuals!$E:$E,MID($D$658,FIND("|",$D$658&amp;"|")+1,50),Actuals!$F:$F,"EUR")*$G$5+SUMIFS(Actuals!$G:$G,Actuals!$B:$B,$C$3,Actuals!$C:$C,10,Actuals!$D:$D,$B$658,Actuals!$A:$A,LEFT($D$658,FIND("|",$D$658&amp;"|")-1),Actuals!$E:$E,MID($D$658,FIND("|",$D$658&amp;"|")+1,50),Actuals!$F:$F,"GBP")*$H$5)</f>
        <v/>
      </c>
      <c r="R659" s="18">
        <f>IF(OR($B$658="",11&gt;$C$4),"",SUMIFS(Actuals!$G:$G,Actuals!$B:$B,$C$3,Actuals!$C:$C,11,Actuals!$D:$D,$B$658,Actuals!$A:$A,LEFT($D$658,FIND("|",$D$658&amp;"|")-1),Actuals!$E:$E,MID($D$658,FIND("|",$D$658&amp;"|")+1,50),Actuals!$F:$F,"JPY")*$E$5+SUMIFS(Actuals!$G:$G,Actuals!$B:$B,$C$3,Actuals!$C:$C,11,Actuals!$D:$D,$B$658,Actuals!$A:$A,LEFT($D$658,FIND("|",$D$658&amp;"|")-1),Actuals!$E:$E,MID($D$658,FIND("|",$D$658&amp;"|")+1,50),Actuals!$F:$F,"USD")*$F$5+SUMIFS(Actuals!$G:$G,Actuals!$B:$B,$C$3,Actuals!$C:$C,11,Actuals!$D:$D,$B$658,Actuals!$A:$A,LEFT($D$658,FIND("|",$D$658&amp;"|")-1),Actuals!$E:$E,MID($D$658,FIND("|",$D$658&amp;"|")+1,50),Actuals!$F:$F,"EUR")*$G$5+SUMIFS(Actuals!$G:$G,Actuals!$B:$B,$C$3,Actuals!$C:$C,11,Actuals!$D:$D,$B$658,Actuals!$A:$A,LEFT($D$658,FIND("|",$D$658&amp;"|")-1),Actuals!$E:$E,MID($D$658,FIND("|",$D$658&amp;"|")+1,50),Actuals!$F:$F,"GBP")*$H$5)</f>
        <v/>
      </c>
      <c r="S659" s="18">
        <f>IF(OR($B$658="",12&gt;$C$4),"",SUMIFS(Actuals!$G:$G,Actuals!$B:$B,$C$3,Actuals!$C:$C,12,Actuals!$D:$D,$B$658,Actuals!$A:$A,LEFT($D$658,FIND("|",$D$658&amp;"|")-1),Actuals!$E:$E,MID($D$658,FIND("|",$D$658&amp;"|")+1,50),Actuals!$F:$F,"JPY")*$E$5+SUMIFS(Actuals!$G:$G,Actuals!$B:$B,$C$3,Actuals!$C:$C,12,Actuals!$D:$D,$B$658,Actuals!$A:$A,LEFT($D$658,FIND("|",$D$658&amp;"|")-1),Actuals!$E:$E,MID($D$658,FIND("|",$D$658&amp;"|")+1,50),Actuals!$F:$F,"USD")*$F$5+SUMIFS(Actuals!$G:$G,Actuals!$B:$B,$C$3,Actuals!$C:$C,12,Actuals!$D:$D,$B$658,Actuals!$A:$A,LEFT($D$658,FIND("|",$D$658&amp;"|")-1),Actuals!$E:$E,MID($D$658,FIND("|",$D$658&amp;"|")+1,50),Actuals!$F:$F,"EUR")*$G$5+SUMIFS(Actuals!$G:$G,Actuals!$B:$B,$C$3,Actuals!$C:$C,12,Actuals!$D:$D,$B$658,Actuals!$A:$A,LEFT($D$658,FIND("|",$D$658&amp;"|")-1),Actuals!$E:$E,MID($D$658,FIND("|",$D$658&amp;"|")+1,50),Actuals!$F:$F,"GBP")*$H$5)</f>
        <v/>
      </c>
      <c r="T659" s="18">
        <f>IF($B$658="","",SUMIF($H$7:$S$7,"&lt;="&amp;$C$4,$H659:$S659))</f>
        <v/>
      </c>
      <c r="U659" s="18" t="n"/>
      <c r="V659" s="18" t="n"/>
      <c r="X659" s="22">
        <f>IF($B659="","",IFERROR(INDEX(Cost_Centers!$E:$E,MATCH($B659,Cost_Centers!$A:$A,0)),"(unknown)"))</f>
        <v/>
      </c>
      <c r="Y659" s="22">
        <f>IF($B659="","",IFERROR(INDEX(Cost_Centers!$D:$D,MATCH($B659,Cost_Centers!$A:$A,0)),"(unknown)"))</f>
        <v/>
      </c>
      <c r="Z659" s="22">
        <f>IF(OR($B659="",$G659&lt;&gt;"Variance vs Budget"),"",ABS(N($V659))+ROW()/1000000000)</f>
        <v/>
      </c>
    </row>
    <row r="660">
      <c r="A660" s="13">
        <f>IF(A$658="","",A$658)</f>
        <v/>
      </c>
      <c r="B660" s="13">
        <f>IF(B$658="","",B$658)</f>
        <v/>
      </c>
      <c r="C660" s="13">
        <f>IF(C$658="","",C$658)</f>
        <v/>
      </c>
      <c r="D660" s="13">
        <f>IF(D$658="","",D$658)</f>
        <v/>
      </c>
      <c r="E660" s="13">
        <f>IF(E$658="","",E$658)</f>
        <v/>
      </c>
      <c r="F660" s="13">
        <f>IF(F$658="","",F$658)</f>
        <v/>
      </c>
      <c r="G660" s="6" t="inlineStr">
        <is>
          <t>Variance vs Budget</t>
        </is>
      </c>
      <c r="H660" s="33">
        <f>IF(OR($B$658="",1&gt;$C$4),"",N(H659)-H658)</f>
        <v/>
      </c>
      <c r="I660" s="33">
        <f>IF(OR($B$658="",2&gt;$C$4),"",N(I659)-I658)</f>
        <v/>
      </c>
      <c r="J660" s="33">
        <f>IF(OR($B$658="",3&gt;$C$4),"",N(J659)-J658)</f>
        <v/>
      </c>
      <c r="K660" s="33">
        <f>IF(OR($B$658="",4&gt;$C$4),"",N(K659)-K658)</f>
        <v/>
      </c>
      <c r="L660" s="33">
        <f>IF(OR($B$658="",5&gt;$C$4),"",N(L659)-L658)</f>
        <v/>
      </c>
      <c r="M660" s="33">
        <f>IF(OR($B$658="",6&gt;$C$4),"",N(M659)-M658)</f>
        <v/>
      </c>
      <c r="N660" s="33">
        <f>IF(OR($B$658="",7&gt;$C$4),"",N(N659)-N658)</f>
        <v/>
      </c>
      <c r="O660" s="33">
        <f>IF(OR($B$658="",8&gt;$C$4),"",N(O659)-O658)</f>
        <v/>
      </c>
      <c r="P660" s="33">
        <f>IF(OR($B$658="",9&gt;$C$4),"",N(P659)-P658)</f>
        <v/>
      </c>
      <c r="Q660" s="33">
        <f>IF(OR($B$658="",10&gt;$C$4),"",N(Q659)-Q658)</f>
        <v/>
      </c>
      <c r="R660" s="33">
        <f>IF(OR($B$658="",11&gt;$C$4),"",N(R659)-R658)</f>
        <v/>
      </c>
      <c r="S660" s="33">
        <f>IF(OR($B$658="",12&gt;$C$4),"",N(S659)-S658)</f>
        <v/>
      </c>
      <c r="T660" s="33">
        <f>IF($B$658="","",T659-T658)</f>
        <v/>
      </c>
      <c r="U660" s="33">
        <f>IF($B$658="","",U662-U658)</f>
        <v/>
      </c>
      <c r="V660" s="33">
        <f>IF($B$658="","",V662-V658)</f>
        <v/>
      </c>
      <c r="X660" s="22">
        <f>IF($B660="","",IFERROR(INDEX(Cost_Centers!$E:$E,MATCH($B660,Cost_Centers!$A:$A,0)),"(unknown)"))</f>
        <v/>
      </c>
      <c r="Y660" s="22">
        <f>IF($B660="","",IFERROR(INDEX(Cost_Centers!$D:$D,MATCH($B660,Cost_Centers!$A:$A,0)),"(unknown)"))</f>
        <v/>
      </c>
      <c r="Z660" s="22">
        <f>IF(OR($B660="",$G660&lt;&gt;"Variance vs Budget"),"",ABS(N($V660))+ROW()/1000000000)</f>
        <v/>
      </c>
    </row>
    <row r="661">
      <c r="A661" s="13">
        <f>IF(A$658="","",A$658)</f>
        <v/>
      </c>
      <c r="B661" s="13">
        <f>IF(B$658="","",B$658)</f>
        <v/>
      </c>
      <c r="C661" s="13">
        <f>IF(C$658="","",C$658)</f>
        <v/>
      </c>
      <c r="D661" s="13">
        <f>IF(D$658="","",D$658)</f>
        <v/>
      </c>
      <c r="E661" s="13">
        <f>IF(E$658="","",E$658)</f>
        <v/>
      </c>
      <c r="F661" s="13">
        <f>IF(F$658="","",F$658)</f>
        <v/>
      </c>
      <c r="G661" s="7" t="inlineStr">
        <is>
          <t>Forecast (input)</t>
        </is>
      </c>
      <c r="H661" s="34" t="n"/>
      <c r="I661" s="34" t="n"/>
      <c r="J661" s="34" t="n"/>
      <c r="K661" s="34" t="n"/>
      <c r="L661" s="34" t="n"/>
      <c r="M661" s="34" t="n"/>
      <c r="N661" s="34" t="n"/>
      <c r="O661" s="34" t="n"/>
      <c r="P661" s="34" t="n"/>
      <c r="Q661" s="34" t="n"/>
      <c r="R661" s="34" t="n"/>
      <c r="S661" s="34" t="n"/>
      <c r="T661" s="18" t="n"/>
      <c r="U661" s="18" t="n"/>
      <c r="V661" s="18" t="n"/>
      <c r="X661" s="22">
        <f>IF($B661="","",IFERROR(INDEX(Cost_Centers!$E:$E,MATCH($B661,Cost_Centers!$A:$A,0)),"(unknown)"))</f>
        <v/>
      </c>
      <c r="Y661" s="22">
        <f>IF($B661="","",IFERROR(INDEX(Cost_Centers!$D:$D,MATCH($B661,Cost_Centers!$A:$A,0)),"(unknown)"))</f>
        <v/>
      </c>
      <c r="Z661" s="22">
        <f>IF(OR($B661="",$G661&lt;&gt;"Variance vs Budget"),"",ABS(N($V661))+ROW()/1000000000)</f>
        <v/>
      </c>
    </row>
    <row r="662">
      <c r="A662" s="13">
        <f>IF(A$658="","",A$658)</f>
        <v/>
      </c>
      <c r="B662" s="13">
        <f>IF(B$658="","",B$658)</f>
        <v/>
      </c>
      <c r="C662" s="13">
        <f>IF(C$658="","",C$658)</f>
        <v/>
      </c>
      <c r="D662" s="13">
        <f>IF(D$658="","",D$658)</f>
        <v/>
      </c>
      <c r="E662" s="13">
        <f>IF(E$658="","",E$658)</f>
        <v/>
      </c>
      <c r="F662" s="13">
        <f>IF(F$658="","",F$658)</f>
        <v/>
      </c>
      <c r="G662" s="35" t="inlineStr">
        <is>
          <t>Actual + Forecast</t>
        </is>
      </c>
      <c r="H662" s="18">
        <f>IF($B$658="","",IF(1&lt;=$C$4,N(H659),IF(H661="",H658,H661)))</f>
        <v/>
      </c>
      <c r="I662" s="18">
        <f>IF($B$658="","",IF(2&lt;=$C$4,N(I659),IF(I661="",I658,I661)))</f>
        <v/>
      </c>
      <c r="J662" s="18">
        <f>IF($B$658="","",IF(3&lt;=$C$4,N(J659),IF(J661="",J658,J661)))</f>
        <v/>
      </c>
      <c r="K662" s="18">
        <f>IF($B$658="","",IF(4&lt;=$C$4,N(K659),IF(K661="",K658,K661)))</f>
        <v/>
      </c>
      <c r="L662" s="18">
        <f>IF($B$658="","",IF(5&lt;=$C$4,N(L659),IF(L661="",L658,L661)))</f>
        <v/>
      </c>
      <c r="M662" s="18">
        <f>IF($B$658="","",IF(6&lt;=$C$4,N(M659),IF(M661="",M658,M661)))</f>
        <v/>
      </c>
      <c r="N662" s="18">
        <f>IF($B$658="","",IF(7&lt;=$C$4,N(N659),IF(N661="",N658,N661)))</f>
        <v/>
      </c>
      <c r="O662" s="18">
        <f>IF($B$658="","",IF(8&lt;=$C$4,N(O659),IF(O661="",O658,O661)))</f>
        <v/>
      </c>
      <c r="P662" s="18">
        <f>IF($B$658="","",IF(9&lt;=$C$4,N(P659),IF(P661="",P658,P661)))</f>
        <v/>
      </c>
      <c r="Q662" s="18">
        <f>IF($B$658="","",IF(10&lt;=$C$4,N(Q659),IF(Q661="",Q658,Q661)))</f>
        <v/>
      </c>
      <c r="R662" s="18">
        <f>IF($B$658="","",IF(11&lt;=$C$4,N(R659),IF(R661="",R658,R661)))</f>
        <v/>
      </c>
      <c r="S662" s="18">
        <f>IF($B$658="","",IF(12&lt;=$C$4,N(S659),IF(S661="",S658,S661)))</f>
        <v/>
      </c>
      <c r="T662" s="18">
        <f>IF($B$658="","",SUMIF($H$7:$S$7,"&lt;="&amp;$C$4,$H662:$S662))</f>
        <v/>
      </c>
      <c r="U662" s="18">
        <f>IF($B$658="","",SUMIF($H$7:$S$7,"&gt;"&amp;$C$4,$H662:$S662))</f>
        <v/>
      </c>
      <c r="V662" s="18">
        <f>IF($B$658="","",SUM($H662:$S662))</f>
        <v/>
      </c>
      <c r="X662" s="22">
        <f>IF($B662="","",IFERROR(INDEX(Cost_Centers!$E:$E,MATCH($B662,Cost_Centers!$A:$A,0)),"(unknown)"))</f>
        <v/>
      </c>
      <c r="Y662" s="22">
        <f>IF($B662="","",IFERROR(INDEX(Cost_Centers!$D:$D,MATCH($B662,Cost_Centers!$A:$A,0)),"(unknown)"))</f>
        <v/>
      </c>
      <c r="Z662" s="22">
        <f>IF(OR($B662="",$G662&lt;&gt;"Variance vs Budget"),"",ABS(N($V662))+ROW()/1000000000)</f>
        <v/>
      </c>
    </row>
    <row r="663">
      <c r="A663" s="13">
        <f>IF(A$658="","",A$658)</f>
        <v/>
      </c>
      <c r="B663" s="13">
        <f>IF(B$658="","",B$658)</f>
        <v/>
      </c>
      <c r="C663" s="13">
        <f>IF(C$658="","",C$658)</f>
        <v/>
      </c>
      <c r="D663" s="13">
        <f>IF(D$658="","",D$658)</f>
        <v/>
      </c>
      <c r="E663" s="13">
        <f>IF(E$658="","",E$658)</f>
        <v/>
      </c>
      <c r="F663" s="13">
        <f>IF(F$658="","",F$658)</f>
        <v/>
      </c>
      <c r="G663" s="36" t="inlineStr">
        <is>
          <t>Prior Month Forecast</t>
        </is>
      </c>
      <c r="H663" s="37">
        <f>IF($B$658="","",IF(COUNTIFS(Prior_Forecast!$A:$A,$B$658,Prior_Forecast!$B:$B,$D$658)&gt;0,SUMIFS(Prior_Forecast!$C:$C,Prior_Forecast!$A:$A,$B$658,Prior_Forecast!$B:$B,$D$658),""))</f>
        <v/>
      </c>
      <c r="I663" s="37">
        <f>IF($B$658="","",IF(COUNTIFS(Prior_Forecast!$A:$A,$B$658,Prior_Forecast!$B:$B,$D$658)&gt;0,SUMIFS(Prior_Forecast!$D:$D,Prior_Forecast!$A:$A,$B$658,Prior_Forecast!$B:$B,$D$658),""))</f>
        <v/>
      </c>
      <c r="J663" s="37">
        <f>IF($B$658="","",IF(COUNTIFS(Prior_Forecast!$A:$A,$B$658,Prior_Forecast!$B:$B,$D$658)&gt;0,SUMIFS(Prior_Forecast!$E:$E,Prior_Forecast!$A:$A,$B$658,Prior_Forecast!$B:$B,$D$658),""))</f>
        <v/>
      </c>
      <c r="K663" s="37">
        <f>IF($B$658="","",IF(COUNTIFS(Prior_Forecast!$A:$A,$B$658,Prior_Forecast!$B:$B,$D$658)&gt;0,SUMIFS(Prior_Forecast!$F:$F,Prior_Forecast!$A:$A,$B$658,Prior_Forecast!$B:$B,$D$658),""))</f>
        <v/>
      </c>
      <c r="L663" s="37">
        <f>IF($B$658="","",IF(COUNTIFS(Prior_Forecast!$A:$A,$B$658,Prior_Forecast!$B:$B,$D$658)&gt;0,SUMIFS(Prior_Forecast!$G:$G,Prior_Forecast!$A:$A,$B$658,Prior_Forecast!$B:$B,$D$658),""))</f>
        <v/>
      </c>
      <c r="M663" s="37">
        <f>IF($B$658="","",IF(COUNTIFS(Prior_Forecast!$A:$A,$B$658,Prior_Forecast!$B:$B,$D$658)&gt;0,SUMIFS(Prior_Forecast!$H:$H,Prior_Forecast!$A:$A,$B$658,Prior_Forecast!$B:$B,$D$658),""))</f>
        <v/>
      </c>
      <c r="N663" s="37">
        <f>IF($B$658="","",IF(COUNTIFS(Prior_Forecast!$A:$A,$B$658,Prior_Forecast!$B:$B,$D$658)&gt;0,SUMIFS(Prior_Forecast!$I:$I,Prior_Forecast!$A:$A,$B$658,Prior_Forecast!$B:$B,$D$658),""))</f>
        <v/>
      </c>
      <c r="O663" s="37">
        <f>IF($B$658="","",IF(COUNTIFS(Prior_Forecast!$A:$A,$B$658,Prior_Forecast!$B:$B,$D$658)&gt;0,SUMIFS(Prior_Forecast!$J:$J,Prior_Forecast!$A:$A,$B$658,Prior_Forecast!$B:$B,$D$658),""))</f>
        <v/>
      </c>
      <c r="P663" s="37">
        <f>IF($B$658="","",IF(COUNTIFS(Prior_Forecast!$A:$A,$B$658,Prior_Forecast!$B:$B,$D$658)&gt;0,SUMIFS(Prior_Forecast!$K:$K,Prior_Forecast!$A:$A,$B$658,Prior_Forecast!$B:$B,$D$658),""))</f>
        <v/>
      </c>
      <c r="Q663" s="37">
        <f>IF($B$658="","",IF(COUNTIFS(Prior_Forecast!$A:$A,$B$658,Prior_Forecast!$B:$B,$D$658)&gt;0,SUMIFS(Prior_Forecast!$L:$L,Prior_Forecast!$A:$A,$B$658,Prior_Forecast!$B:$B,$D$658),""))</f>
        <v/>
      </c>
      <c r="R663" s="37">
        <f>IF($B$658="","",IF(COUNTIFS(Prior_Forecast!$A:$A,$B$658,Prior_Forecast!$B:$B,$D$658)&gt;0,SUMIFS(Prior_Forecast!$M:$M,Prior_Forecast!$A:$A,$B$658,Prior_Forecast!$B:$B,$D$658),""))</f>
        <v/>
      </c>
      <c r="S663" s="37">
        <f>IF($B$658="","",IF(COUNTIFS(Prior_Forecast!$A:$A,$B$658,Prior_Forecast!$B:$B,$D$658)&gt;0,SUMIFS(Prior_Forecast!$N:$N,Prior_Forecast!$A:$A,$B$658,Prior_Forecast!$B:$B,$D$658),""))</f>
        <v/>
      </c>
      <c r="T663" s="37">
        <f>IF($B$658="","",IF(COUNTIFS(Prior_Forecast!$A:$A,$B$658,Prior_Forecast!$B:$B,$D$658)&gt;0,SUMIFS(Prior_Forecast!$O:$O,Prior_Forecast!$A:$A,$B$658,Prior_Forecast!$B:$B,$D$658),""))</f>
        <v/>
      </c>
      <c r="U663" s="37">
        <f>IF($B$658="","",IF(COUNTIFS(Prior_Forecast!$A:$A,$B$658,Prior_Forecast!$B:$B,$D$658)&gt;0,SUMIFS(Prior_Forecast!$P:$P,Prior_Forecast!$A:$A,$B$658,Prior_Forecast!$B:$B,$D$658),""))</f>
        <v/>
      </c>
      <c r="V663" s="37">
        <f>IF($B$658="","",IF(COUNTIFS(Prior_Forecast!$A:$A,$B$658,Prior_Forecast!$B:$B,$D$658)&gt;0,SUMIFS(Prior_Forecast!$Q:$Q,Prior_Forecast!$A:$A,$B$658,Prior_Forecast!$B:$B,$D$658),""))</f>
        <v/>
      </c>
      <c r="X663" s="22">
        <f>IF($B663="","",IFERROR(INDEX(Cost_Centers!$E:$E,MATCH($B663,Cost_Centers!$A:$A,0)),"(unknown)"))</f>
        <v/>
      </c>
      <c r="Y663" s="22">
        <f>IF($B663="","",IFERROR(INDEX(Cost_Centers!$D:$D,MATCH($B663,Cost_Centers!$A:$A,0)),"(unknown)"))</f>
        <v/>
      </c>
      <c r="Z663" s="22">
        <f>IF(OR($B663="",$G663&lt;&gt;"Variance vs Budget"),"",ABS(N($V663))+ROW()/1000000000)</f>
        <v/>
      </c>
    </row>
    <row r="664">
      <c r="A664" s="13">
        <f>IF(A$658="","",A$658)</f>
        <v/>
      </c>
      <c r="B664" s="13">
        <f>IF(B$658="","",B$658)</f>
        <v/>
      </c>
      <c r="C664" s="13">
        <f>IF(C$658="","",C$658)</f>
        <v/>
      </c>
      <c r="D664" s="13">
        <f>IF(D$658="","",D$658)</f>
        <v/>
      </c>
      <c r="E664" s="13">
        <f>IF(E$658="","",E$658)</f>
        <v/>
      </c>
      <c r="F664" s="13">
        <f>IF(F$658="","",F$658)</f>
        <v/>
      </c>
      <c r="G664" s="6" t="inlineStr">
        <is>
          <t>Variance vs Prior Month</t>
        </is>
      </c>
      <c r="H664" s="33">
        <f>IF(OR($B$658="",H663=""),"",H662-H663)</f>
        <v/>
      </c>
      <c r="I664" s="33">
        <f>IF(OR($B$658="",I663=""),"",I662-I663)</f>
        <v/>
      </c>
      <c r="J664" s="33">
        <f>IF(OR($B$658="",J663=""),"",J662-J663)</f>
        <v/>
      </c>
      <c r="K664" s="33">
        <f>IF(OR($B$658="",K663=""),"",K662-K663)</f>
        <v/>
      </c>
      <c r="L664" s="33">
        <f>IF(OR($B$658="",L663=""),"",L662-L663)</f>
        <v/>
      </c>
      <c r="M664" s="33">
        <f>IF(OR($B$658="",M663=""),"",M662-M663)</f>
        <v/>
      </c>
      <c r="N664" s="33">
        <f>IF(OR($B$658="",N663=""),"",N662-N663)</f>
        <v/>
      </c>
      <c r="O664" s="33">
        <f>IF(OR($B$658="",O663=""),"",O662-O663)</f>
        <v/>
      </c>
      <c r="P664" s="33">
        <f>IF(OR($B$658="",P663=""),"",P662-P663)</f>
        <v/>
      </c>
      <c r="Q664" s="33">
        <f>IF(OR($B$658="",Q663=""),"",Q662-Q663)</f>
        <v/>
      </c>
      <c r="R664" s="33">
        <f>IF(OR($B$658="",R663=""),"",R662-R663)</f>
        <v/>
      </c>
      <c r="S664" s="33">
        <f>IF(OR($B$658="",S663=""),"",S662-S663)</f>
        <v/>
      </c>
      <c r="T664" s="33">
        <f>IF(OR($B$658="",T663=""),"",T662-T663)</f>
        <v/>
      </c>
      <c r="U664" s="33">
        <f>IF(OR($B$658="",U663=""),"",U662-U663)</f>
        <v/>
      </c>
      <c r="V664" s="33">
        <f>IF(OR($B$658="",V663=""),"",V662-V663)</f>
        <v/>
      </c>
      <c r="X664" s="22">
        <f>IF($B664="","",IFERROR(INDEX(Cost_Centers!$E:$E,MATCH($B664,Cost_Centers!$A:$A,0)),"(unknown)"))</f>
        <v/>
      </c>
      <c r="Y664" s="22">
        <f>IF($B664="","",IFERROR(INDEX(Cost_Centers!$D:$D,MATCH($B664,Cost_Centers!$A:$A,0)),"(unknown)"))</f>
        <v/>
      </c>
      <c r="Z664" s="22">
        <f>IF(OR($B664="",$G664&lt;&gt;"Variance vs Budget"),"",ABS(N($V664))+ROW()/1000000000)</f>
        <v/>
      </c>
    </row>
    <row r="665" ht="45" customHeight="1">
      <c r="A665" s="13">
        <f>IF(A$658="","",A$658)</f>
        <v/>
      </c>
      <c r="B665" s="13">
        <f>IF(B$658="","",B$658)</f>
        <v/>
      </c>
      <c r="C665" s="13">
        <f>IF(C$658="","",C$658)</f>
        <v/>
      </c>
      <c r="D665" s="13">
        <f>IF(D$658="","",D$658)</f>
        <v/>
      </c>
      <c r="E665" s="13">
        <f>IF(E$658="","",E$658)</f>
        <v/>
      </c>
      <c r="F665" s="13">
        <f>IF(F$658="","",F$658)</f>
        <v/>
      </c>
      <c r="G665" s="7" t="inlineStr">
        <is>
          <t>Rationale</t>
        </is>
      </c>
      <c r="H665" s="38" t="n"/>
      <c r="I665" s="38" t="n"/>
      <c r="J665" s="38" t="n"/>
      <c r="K665" s="38" t="n"/>
      <c r="L665" s="38" t="n"/>
      <c r="M665" s="38" t="n"/>
      <c r="N665" s="38" t="n"/>
      <c r="O665" s="38" t="n"/>
      <c r="P665" s="38" t="n"/>
      <c r="Q665" s="38" t="n"/>
      <c r="R665" s="38" t="n"/>
      <c r="S665" s="38" t="n"/>
      <c r="T665" s="38" t="n"/>
      <c r="U665" s="38" t="n"/>
      <c r="V665" s="7" t="n"/>
      <c r="X665" s="22">
        <f>IF($B665="","",IFERROR(INDEX(Cost_Centers!$E:$E,MATCH($B665,Cost_Centers!$A:$A,0)),"(unknown)"))</f>
        <v/>
      </c>
      <c r="Y665" s="22">
        <f>IF($B665="","",IFERROR(INDEX(Cost_Centers!$D:$D,MATCH($B665,Cost_Centers!$A:$A,0)),"(unknown)"))</f>
        <v/>
      </c>
      <c r="Z665" s="22">
        <f>IF(OR($B665="",$G665&lt;&gt;"Variance vs Budget"),"",ABS(N($V665))+ROW()/1000000000)</f>
        <v/>
      </c>
    </row>
    <row r="666">
      <c r="A666" s="30">
        <f>IF($D$666="","",LEFT($D$666,FIND("|",$D$666&amp;"|")-1))</f>
        <v/>
      </c>
      <c r="B666" s="31" t="n"/>
      <c r="C666" s="30">
        <f>IF($B$666="","",IFERROR(INDEX(Cost_Centers!$B:$B,MATCH($B$666,Cost_Centers!$A:$A,0)),"(not in master)"))</f>
        <v/>
      </c>
      <c r="D666" s="31" t="n"/>
      <c r="E666" s="30">
        <f>IF($D$666="","",IFERROR(INDEX(Accounts!$D:$D,MATCH($D$666,Accounts!$A:$A,0)),"(not in master)"))</f>
        <v/>
      </c>
      <c r="F666" s="31" t="n"/>
      <c r="G666" s="30" t="inlineStr">
        <is>
          <t>Budget</t>
        </is>
      </c>
      <c r="H666" s="32">
        <f>IF($B$666="","",SUMIFS(Opex_Budget!$O:$O,Opex_Budget!$A:$A,$C$3,Opex_Budget!$E:$E,$B$666,Opex_Budget!$F:$F,$D$666,Opex_Budget!$N:$N,"JPY")*$E$5+SUMIFS(Opex_Budget!$O:$O,Opex_Budget!$A:$A,$C$3,Opex_Budget!$E:$E,$B$666,Opex_Budget!$F:$F,$D$666,Opex_Budget!$N:$N,"USD")*$F$5+SUMIFS(Opex_Budget!$O:$O,Opex_Budget!$A:$A,$C$3,Opex_Budget!$E:$E,$B$666,Opex_Budget!$F:$F,$D$666,Opex_Budget!$N:$N,"EUR")*$G$5+SUMIFS(Opex_Budget!$O:$O,Opex_Budget!$A:$A,$C$3,Opex_Budget!$E:$E,$B$666,Opex_Budget!$F:$F,$D$666,Opex_Budget!$N:$N,"GBP")*$H$5)</f>
        <v/>
      </c>
      <c r="I666" s="32">
        <f>IF($B$666="","",SUMIFS(Opex_Budget!$P:$P,Opex_Budget!$A:$A,$C$3,Opex_Budget!$E:$E,$B$666,Opex_Budget!$F:$F,$D$666,Opex_Budget!$N:$N,"JPY")*$E$5+SUMIFS(Opex_Budget!$P:$P,Opex_Budget!$A:$A,$C$3,Opex_Budget!$E:$E,$B$666,Opex_Budget!$F:$F,$D$666,Opex_Budget!$N:$N,"USD")*$F$5+SUMIFS(Opex_Budget!$P:$P,Opex_Budget!$A:$A,$C$3,Opex_Budget!$E:$E,$B$666,Opex_Budget!$F:$F,$D$666,Opex_Budget!$N:$N,"EUR")*$G$5+SUMIFS(Opex_Budget!$P:$P,Opex_Budget!$A:$A,$C$3,Opex_Budget!$E:$E,$B$666,Opex_Budget!$F:$F,$D$666,Opex_Budget!$N:$N,"GBP")*$H$5)</f>
        <v/>
      </c>
      <c r="J666" s="32">
        <f>IF($B$666="","",SUMIFS(Opex_Budget!$Q:$Q,Opex_Budget!$A:$A,$C$3,Opex_Budget!$E:$E,$B$666,Opex_Budget!$F:$F,$D$666,Opex_Budget!$N:$N,"JPY")*$E$5+SUMIFS(Opex_Budget!$Q:$Q,Opex_Budget!$A:$A,$C$3,Opex_Budget!$E:$E,$B$666,Opex_Budget!$F:$F,$D$666,Opex_Budget!$N:$N,"USD")*$F$5+SUMIFS(Opex_Budget!$Q:$Q,Opex_Budget!$A:$A,$C$3,Opex_Budget!$E:$E,$B$666,Opex_Budget!$F:$F,$D$666,Opex_Budget!$N:$N,"EUR")*$G$5+SUMIFS(Opex_Budget!$Q:$Q,Opex_Budget!$A:$A,$C$3,Opex_Budget!$E:$E,$B$666,Opex_Budget!$F:$F,$D$666,Opex_Budget!$N:$N,"GBP")*$H$5)</f>
        <v/>
      </c>
      <c r="K666" s="32">
        <f>IF($B$666="","",SUMIFS(Opex_Budget!$R:$R,Opex_Budget!$A:$A,$C$3,Opex_Budget!$E:$E,$B$666,Opex_Budget!$F:$F,$D$666,Opex_Budget!$N:$N,"JPY")*$E$5+SUMIFS(Opex_Budget!$R:$R,Opex_Budget!$A:$A,$C$3,Opex_Budget!$E:$E,$B$666,Opex_Budget!$F:$F,$D$666,Opex_Budget!$N:$N,"USD")*$F$5+SUMIFS(Opex_Budget!$R:$R,Opex_Budget!$A:$A,$C$3,Opex_Budget!$E:$E,$B$666,Opex_Budget!$F:$F,$D$666,Opex_Budget!$N:$N,"EUR")*$G$5+SUMIFS(Opex_Budget!$R:$R,Opex_Budget!$A:$A,$C$3,Opex_Budget!$E:$E,$B$666,Opex_Budget!$F:$F,$D$666,Opex_Budget!$N:$N,"GBP")*$H$5)</f>
        <v/>
      </c>
      <c r="L666" s="32">
        <f>IF($B$666="","",SUMIFS(Opex_Budget!$S:$S,Opex_Budget!$A:$A,$C$3,Opex_Budget!$E:$E,$B$666,Opex_Budget!$F:$F,$D$666,Opex_Budget!$N:$N,"JPY")*$E$5+SUMIFS(Opex_Budget!$S:$S,Opex_Budget!$A:$A,$C$3,Opex_Budget!$E:$E,$B$666,Opex_Budget!$F:$F,$D$666,Opex_Budget!$N:$N,"USD")*$F$5+SUMIFS(Opex_Budget!$S:$S,Opex_Budget!$A:$A,$C$3,Opex_Budget!$E:$E,$B$666,Opex_Budget!$F:$F,$D$666,Opex_Budget!$N:$N,"EUR")*$G$5+SUMIFS(Opex_Budget!$S:$S,Opex_Budget!$A:$A,$C$3,Opex_Budget!$E:$E,$B$666,Opex_Budget!$F:$F,$D$666,Opex_Budget!$N:$N,"GBP")*$H$5)</f>
        <v/>
      </c>
      <c r="M666" s="32">
        <f>IF($B$666="","",SUMIFS(Opex_Budget!$T:$T,Opex_Budget!$A:$A,$C$3,Opex_Budget!$E:$E,$B$666,Opex_Budget!$F:$F,$D$666,Opex_Budget!$N:$N,"JPY")*$E$5+SUMIFS(Opex_Budget!$T:$T,Opex_Budget!$A:$A,$C$3,Opex_Budget!$E:$E,$B$666,Opex_Budget!$F:$F,$D$666,Opex_Budget!$N:$N,"USD")*$F$5+SUMIFS(Opex_Budget!$T:$T,Opex_Budget!$A:$A,$C$3,Opex_Budget!$E:$E,$B$666,Opex_Budget!$F:$F,$D$666,Opex_Budget!$N:$N,"EUR")*$G$5+SUMIFS(Opex_Budget!$T:$T,Opex_Budget!$A:$A,$C$3,Opex_Budget!$E:$E,$B$666,Opex_Budget!$F:$F,$D$666,Opex_Budget!$N:$N,"GBP")*$H$5)</f>
        <v/>
      </c>
      <c r="N666" s="32">
        <f>IF($B$666="","",SUMIFS(Opex_Budget!$U:$U,Opex_Budget!$A:$A,$C$3,Opex_Budget!$E:$E,$B$666,Opex_Budget!$F:$F,$D$666,Opex_Budget!$N:$N,"JPY")*$E$5+SUMIFS(Opex_Budget!$U:$U,Opex_Budget!$A:$A,$C$3,Opex_Budget!$E:$E,$B$666,Opex_Budget!$F:$F,$D$666,Opex_Budget!$N:$N,"USD")*$F$5+SUMIFS(Opex_Budget!$U:$U,Opex_Budget!$A:$A,$C$3,Opex_Budget!$E:$E,$B$666,Opex_Budget!$F:$F,$D$666,Opex_Budget!$N:$N,"EUR")*$G$5+SUMIFS(Opex_Budget!$U:$U,Opex_Budget!$A:$A,$C$3,Opex_Budget!$E:$E,$B$666,Opex_Budget!$F:$F,$D$666,Opex_Budget!$N:$N,"GBP")*$H$5)</f>
        <v/>
      </c>
      <c r="O666" s="32">
        <f>IF($B$666="","",SUMIFS(Opex_Budget!$V:$V,Opex_Budget!$A:$A,$C$3,Opex_Budget!$E:$E,$B$666,Opex_Budget!$F:$F,$D$666,Opex_Budget!$N:$N,"JPY")*$E$5+SUMIFS(Opex_Budget!$V:$V,Opex_Budget!$A:$A,$C$3,Opex_Budget!$E:$E,$B$666,Opex_Budget!$F:$F,$D$666,Opex_Budget!$N:$N,"USD")*$F$5+SUMIFS(Opex_Budget!$V:$V,Opex_Budget!$A:$A,$C$3,Opex_Budget!$E:$E,$B$666,Opex_Budget!$F:$F,$D$666,Opex_Budget!$N:$N,"EUR")*$G$5+SUMIFS(Opex_Budget!$V:$V,Opex_Budget!$A:$A,$C$3,Opex_Budget!$E:$E,$B$666,Opex_Budget!$F:$F,$D$666,Opex_Budget!$N:$N,"GBP")*$H$5)</f>
        <v/>
      </c>
      <c r="P666" s="32">
        <f>IF($B$666="","",SUMIFS(Opex_Budget!$W:$W,Opex_Budget!$A:$A,$C$3,Opex_Budget!$E:$E,$B$666,Opex_Budget!$F:$F,$D$666,Opex_Budget!$N:$N,"JPY")*$E$5+SUMIFS(Opex_Budget!$W:$W,Opex_Budget!$A:$A,$C$3,Opex_Budget!$E:$E,$B$666,Opex_Budget!$F:$F,$D$666,Opex_Budget!$N:$N,"USD")*$F$5+SUMIFS(Opex_Budget!$W:$W,Opex_Budget!$A:$A,$C$3,Opex_Budget!$E:$E,$B$666,Opex_Budget!$F:$F,$D$666,Opex_Budget!$N:$N,"EUR")*$G$5+SUMIFS(Opex_Budget!$W:$W,Opex_Budget!$A:$A,$C$3,Opex_Budget!$E:$E,$B$666,Opex_Budget!$F:$F,$D$666,Opex_Budget!$N:$N,"GBP")*$H$5)</f>
        <v/>
      </c>
      <c r="Q666" s="32">
        <f>IF($B$666="","",SUMIFS(Opex_Budget!$X:$X,Opex_Budget!$A:$A,$C$3,Opex_Budget!$E:$E,$B$666,Opex_Budget!$F:$F,$D$666,Opex_Budget!$N:$N,"JPY")*$E$5+SUMIFS(Opex_Budget!$X:$X,Opex_Budget!$A:$A,$C$3,Opex_Budget!$E:$E,$B$666,Opex_Budget!$F:$F,$D$666,Opex_Budget!$N:$N,"USD")*$F$5+SUMIFS(Opex_Budget!$X:$X,Opex_Budget!$A:$A,$C$3,Opex_Budget!$E:$E,$B$666,Opex_Budget!$F:$F,$D$666,Opex_Budget!$N:$N,"EUR")*$G$5+SUMIFS(Opex_Budget!$X:$X,Opex_Budget!$A:$A,$C$3,Opex_Budget!$E:$E,$B$666,Opex_Budget!$F:$F,$D$666,Opex_Budget!$N:$N,"GBP")*$H$5)</f>
        <v/>
      </c>
      <c r="R666" s="32">
        <f>IF($B$666="","",SUMIFS(Opex_Budget!$Y:$Y,Opex_Budget!$A:$A,$C$3,Opex_Budget!$E:$E,$B$666,Opex_Budget!$F:$F,$D$666,Opex_Budget!$N:$N,"JPY")*$E$5+SUMIFS(Opex_Budget!$Y:$Y,Opex_Budget!$A:$A,$C$3,Opex_Budget!$E:$E,$B$666,Opex_Budget!$F:$F,$D$666,Opex_Budget!$N:$N,"USD")*$F$5+SUMIFS(Opex_Budget!$Y:$Y,Opex_Budget!$A:$A,$C$3,Opex_Budget!$E:$E,$B$666,Opex_Budget!$F:$F,$D$666,Opex_Budget!$N:$N,"EUR")*$G$5+SUMIFS(Opex_Budget!$Y:$Y,Opex_Budget!$A:$A,$C$3,Opex_Budget!$E:$E,$B$666,Opex_Budget!$F:$F,$D$666,Opex_Budget!$N:$N,"GBP")*$H$5)</f>
        <v/>
      </c>
      <c r="S666" s="32">
        <f>IF($B$666="","",SUMIFS(Opex_Budget!$Z:$Z,Opex_Budget!$A:$A,$C$3,Opex_Budget!$E:$E,$B$666,Opex_Budget!$F:$F,$D$666,Opex_Budget!$N:$N,"JPY")*$E$5+SUMIFS(Opex_Budget!$Z:$Z,Opex_Budget!$A:$A,$C$3,Opex_Budget!$E:$E,$B$666,Opex_Budget!$F:$F,$D$666,Opex_Budget!$N:$N,"USD")*$F$5+SUMIFS(Opex_Budget!$Z:$Z,Opex_Budget!$A:$A,$C$3,Opex_Budget!$E:$E,$B$666,Opex_Budget!$F:$F,$D$666,Opex_Budget!$N:$N,"EUR")*$G$5+SUMIFS(Opex_Budget!$Z:$Z,Opex_Budget!$A:$A,$C$3,Opex_Budget!$E:$E,$B$666,Opex_Budget!$F:$F,$D$666,Opex_Budget!$N:$N,"GBP")*$H$5)</f>
        <v/>
      </c>
      <c r="T666" s="32">
        <f>IF($B$666="","",SUMIF($H$7:$S$7,"&lt;="&amp;$C$4,$H666:$S666))</f>
        <v/>
      </c>
      <c r="U666" s="32">
        <f>IF($B$666="","",SUMIF($H$7:$S$7,"&gt;"&amp;$C$4,$H666:$S666))</f>
        <v/>
      </c>
      <c r="V666" s="32">
        <f>IF($B$666="","",SUM($H666:$S666))</f>
        <v/>
      </c>
      <c r="X666" s="22">
        <f>IF($B666="","",IFERROR(INDEX(Cost_Centers!$E:$E,MATCH($B666,Cost_Centers!$A:$A,0)),"(unknown)"))</f>
        <v/>
      </c>
      <c r="Y666" s="22">
        <f>IF($B666="","",IFERROR(INDEX(Cost_Centers!$D:$D,MATCH($B666,Cost_Centers!$A:$A,0)),"(unknown)"))</f>
        <v/>
      </c>
      <c r="Z666" s="22">
        <f>IF(OR($B666="",$G666&lt;&gt;"Variance vs Budget"),"",ABS(N($V666))+ROW()/1000000000)</f>
        <v/>
      </c>
    </row>
    <row r="667">
      <c r="A667" s="13">
        <f>IF(A$666="","",A$666)</f>
        <v/>
      </c>
      <c r="B667" s="13">
        <f>IF(B$666="","",B$666)</f>
        <v/>
      </c>
      <c r="C667" s="13">
        <f>IF(C$666="","",C$666)</f>
        <v/>
      </c>
      <c r="D667" s="13">
        <f>IF(D$666="","",D$666)</f>
        <v/>
      </c>
      <c r="E667" s="13">
        <f>IF(E$666="","",E$666)</f>
        <v/>
      </c>
      <c r="F667" s="13">
        <f>IF(F$666="","",F$666)</f>
        <v/>
      </c>
      <c r="G667" s="7" t="inlineStr">
        <is>
          <t>Actual</t>
        </is>
      </c>
      <c r="H667" s="18">
        <f>IF(OR($B$666="",1&gt;$C$4),"",SUMIFS(Actuals!$G:$G,Actuals!$B:$B,$C$3,Actuals!$C:$C,1,Actuals!$D:$D,$B$666,Actuals!$A:$A,LEFT($D$666,FIND("|",$D$666&amp;"|")-1),Actuals!$E:$E,MID($D$666,FIND("|",$D$666&amp;"|")+1,50),Actuals!$F:$F,"JPY")*$E$5+SUMIFS(Actuals!$G:$G,Actuals!$B:$B,$C$3,Actuals!$C:$C,1,Actuals!$D:$D,$B$666,Actuals!$A:$A,LEFT($D$666,FIND("|",$D$666&amp;"|")-1),Actuals!$E:$E,MID($D$666,FIND("|",$D$666&amp;"|")+1,50),Actuals!$F:$F,"USD")*$F$5+SUMIFS(Actuals!$G:$G,Actuals!$B:$B,$C$3,Actuals!$C:$C,1,Actuals!$D:$D,$B$666,Actuals!$A:$A,LEFT($D$666,FIND("|",$D$666&amp;"|")-1),Actuals!$E:$E,MID($D$666,FIND("|",$D$666&amp;"|")+1,50),Actuals!$F:$F,"EUR")*$G$5+SUMIFS(Actuals!$G:$G,Actuals!$B:$B,$C$3,Actuals!$C:$C,1,Actuals!$D:$D,$B$666,Actuals!$A:$A,LEFT($D$666,FIND("|",$D$666&amp;"|")-1),Actuals!$E:$E,MID($D$666,FIND("|",$D$666&amp;"|")+1,50),Actuals!$F:$F,"GBP")*$H$5)</f>
        <v/>
      </c>
      <c r="I667" s="18">
        <f>IF(OR($B$666="",2&gt;$C$4),"",SUMIFS(Actuals!$G:$G,Actuals!$B:$B,$C$3,Actuals!$C:$C,2,Actuals!$D:$D,$B$666,Actuals!$A:$A,LEFT($D$666,FIND("|",$D$666&amp;"|")-1),Actuals!$E:$E,MID($D$666,FIND("|",$D$666&amp;"|")+1,50),Actuals!$F:$F,"JPY")*$E$5+SUMIFS(Actuals!$G:$G,Actuals!$B:$B,$C$3,Actuals!$C:$C,2,Actuals!$D:$D,$B$666,Actuals!$A:$A,LEFT($D$666,FIND("|",$D$666&amp;"|")-1),Actuals!$E:$E,MID($D$666,FIND("|",$D$666&amp;"|")+1,50),Actuals!$F:$F,"USD")*$F$5+SUMIFS(Actuals!$G:$G,Actuals!$B:$B,$C$3,Actuals!$C:$C,2,Actuals!$D:$D,$B$666,Actuals!$A:$A,LEFT($D$666,FIND("|",$D$666&amp;"|")-1),Actuals!$E:$E,MID($D$666,FIND("|",$D$666&amp;"|")+1,50),Actuals!$F:$F,"EUR")*$G$5+SUMIFS(Actuals!$G:$G,Actuals!$B:$B,$C$3,Actuals!$C:$C,2,Actuals!$D:$D,$B$666,Actuals!$A:$A,LEFT($D$666,FIND("|",$D$666&amp;"|")-1),Actuals!$E:$E,MID($D$666,FIND("|",$D$666&amp;"|")+1,50),Actuals!$F:$F,"GBP")*$H$5)</f>
        <v/>
      </c>
      <c r="J667" s="18">
        <f>IF(OR($B$666="",3&gt;$C$4),"",SUMIFS(Actuals!$G:$G,Actuals!$B:$B,$C$3,Actuals!$C:$C,3,Actuals!$D:$D,$B$666,Actuals!$A:$A,LEFT($D$666,FIND("|",$D$666&amp;"|")-1),Actuals!$E:$E,MID($D$666,FIND("|",$D$666&amp;"|")+1,50),Actuals!$F:$F,"JPY")*$E$5+SUMIFS(Actuals!$G:$G,Actuals!$B:$B,$C$3,Actuals!$C:$C,3,Actuals!$D:$D,$B$666,Actuals!$A:$A,LEFT($D$666,FIND("|",$D$666&amp;"|")-1),Actuals!$E:$E,MID($D$666,FIND("|",$D$666&amp;"|")+1,50),Actuals!$F:$F,"USD")*$F$5+SUMIFS(Actuals!$G:$G,Actuals!$B:$B,$C$3,Actuals!$C:$C,3,Actuals!$D:$D,$B$666,Actuals!$A:$A,LEFT($D$666,FIND("|",$D$666&amp;"|")-1),Actuals!$E:$E,MID($D$666,FIND("|",$D$666&amp;"|")+1,50),Actuals!$F:$F,"EUR")*$G$5+SUMIFS(Actuals!$G:$G,Actuals!$B:$B,$C$3,Actuals!$C:$C,3,Actuals!$D:$D,$B$666,Actuals!$A:$A,LEFT($D$666,FIND("|",$D$666&amp;"|")-1),Actuals!$E:$E,MID($D$666,FIND("|",$D$666&amp;"|")+1,50),Actuals!$F:$F,"GBP")*$H$5)</f>
        <v/>
      </c>
      <c r="K667" s="18">
        <f>IF(OR($B$666="",4&gt;$C$4),"",SUMIFS(Actuals!$G:$G,Actuals!$B:$B,$C$3,Actuals!$C:$C,4,Actuals!$D:$D,$B$666,Actuals!$A:$A,LEFT($D$666,FIND("|",$D$666&amp;"|")-1),Actuals!$E:$E,MID($D$666,FIND("|",$D$666&amp;"|")+1,50),Actuals!$F:$F,"JPY")*$E$5+SUMIFS(Actuals!$G:$G,Actuals!$B:$B,$C$3,Actuals!$C:$C,4,Actuals!$D:$D,$B$666,Actuals!$A:$A,LEFT($D$666,FIND("|",$D$666&amp;"|")-1),Actuals!$E:$E,MID($D$666,FIND("|",$D$666&amp;"|")+1,50),Actuals!$F:$F,"USD")*$F$5+SUMIFS(Actuals!$G:$G,Actuals!$B:$B,$C$3,Actuals!$C:$C,4,Actuals!$D:$D,$B$666,Actuals!$A:$A,LEFT($D$666,FIND("|",$D$666&amp;"|")-1),Actuals!$E:$E,MID($D$666,FIND("|",$D$666&amp;"|")+1,50),Actuals!$F:$F,"EUR")*$G$5+SUMIFS(Actuals!$G:$G,Actuals!$B:$B,$C$3,Actuals!$C:$C,4,Actuals!$D:$D,$B$666,Actuals!$A:$A,LEFT($D$666,FIND("|",$D$666&amp;"|")-1),Actuals!$E:$E,MID($D$666,FIND("|",$D$666&amp;"|")+1,50),Actuals!$F:$F,"GBP")*$H$5)</f>
        <v/>
      </c>
      <c r="L667" s="18">
        <f>IF(OR($B$666="",5&gt;$C$4),"",SUMIFS(Actuals!$G:$G,Actuals!$B:$B,$C$3,Actuals!$C:$C,5,Actuals!$D:$D,$B$666,Actuals!$A:$A,LEFT($D$666,FIND("|",$D$666&amp;"|")-1),Actuals!$E:$E,MID($D$666,FIND("|",$D$666&amp;"|")+1,50),Actuals!$F:$F,"JPY")*$E$5+SUMIFS(Actuals!$G:$G,Actuals!$B:$B,$C$3,Actuals!$C:$C,5,Actuals!$D:$D,$B$666,Actuals!$A:$A,LEFT($D$666,FIND("|",$D$666&amp;"|")-1),Actuals!$E:$E,MID($D$666,FIND("|",$D$666&amp;"|")+1,50),Actuals!$F:$F,"USD")*$F$5+SUMIFS(Actuals!$G:$G,Actuals!$B:$B,$C$3,Actuals!$C:$C,5,Actuals!$D:$D,$B$666,Actuals!$A:$A,LEFT($D$666,FIND("|",$D$666&amp;"|")-1),Actuals!$E:$E,MID($D$666,FIND("|",$D$666&amp;"|")+1,50),Actuals!$F:$F,"EUR")*$G$5+SUMIFS(Actuals!$G:$G,Actuals!$B:$B,$C$3,Actuals!$C:$C,5,Actuals!$D:$D,$B$666,Actuals!$A:$A,LEFT($D$666,FIND("|",$D$666&amp;"|")-1),Actuals!$E:$E,MID($D$666,FIND("|",$D$666&amp;"|")+1,50),Actuals!$F:$F,"GBP")*$H$5)</f>
        <v/>
      </c>
      <c r="M667" s="18">
        <f>IF(OR($B$666="",6&gt;$C$4),"",SUMIFS(Actuals!$G:$G,Actuals!$B:$B,$C$3,Actuals!$C:$C,6,Actuals!$D:$D,$B$666,Actuals!$A:$A,LEFT($D$666,FIND("|",$D$666&amp;"|")-1),Actuals!$E:$E,MID($D$666,FIND("|",$D$666&amp;"|")+1,50),Actuals!$F:$F,"JPY")*$E$5+SUMIFS(Actuals!$G:$G,Actuals!$B:$B,$C$3,Actuals!$C:$C,6,Actuals!$D:$D,$B$666,Actuals!$A:$A,LEFT($D$666,FIND("|",$D$666&amp;"|")-1),Actuals!$E:$E,MID($D$666,FIND("|",$D$666&amp;"|")+1,50),Actuals!$F:$F,"USD")*$F$5+SUMIFS(Actuals!$G:$G,Actuals!$B:$B,$C$3,Actuals!$C:$C,6,Actuals!$D:$D,$B$666,Actuals!$A:$A,LEFT($D$666,FIND("|",$D$666&amp;"|")-1),Actuals!$E:$E,MID($D$666,FIND("|",$D$666&amp;"|")+1,50),Actuals!$F:$F,"EUR")*$G$5+SUMIFS(Actuals!$G:$G,Actuals!$B:$B,$C$3,Actuals!$C:$C,6,Actuals!$D:$D,$B$666,Actuals!$A:$A,LEFT($D$666,FIND("|",$D$666&amp;"|")-1),Actuals!$E:$E,MID($D$666,FIND("|",$D$666&amp;"|")+1,50),Actuals!$F:$F,"GBP")*$H$5)</f>
        <v/>
      </c>
      <c r="N667" s="18">
        <f>IF(OR($B$666="",7&gt;$C$4),"",SUMIFS(Actuals!$G:$G,Actuals!$B:$B,$C$3,Actuals!$C:$C,7,Actuals!$D:$D,$B$666,Actuals!$A:$A,LEFT($D$666,FIND("|",$D$666&amp;"|")-1),Actuals!$E:$E,MID($D$666,FIND("|",$D$666&amp;"|")+1,50),Actuals!$F:$F,"JPY")*$E$5+SUMIFS(Actuals!$G:$G,Actuals!$B:$B,$C$3,Actuals!$C:$C,7,Actuals!$D:$D,$B$666,Actuals!$A:$A,LEFT($D$666,FIND("|",$D$666&amp;"|")-1),Actuals!$E:$E,MID($D$666,FIND("|",$D$666&amp;"|")+1,50),Actuals!$F:$F,"USD")*$F$5+SUMIFS(Actuals!$G:$G,Actuals!$B:$B,$C$3,Actuals!$C:$C,7,Actuals!$D:$D,$B$666,Actuals!$A:$A,LEFT($D$666,FIND("|",$D$666&amp;"|")-1),Actuals!$E:$E,MID($D$666,FIND("|",$D$666&amp;"|")+1,50),Actuals!$F:$F,"EUR")*$G$5+SUMIFS(Actuals!$G:$G,Actuals!$B:$B,$C$3,Actuals!$C:$C,7,Actuals!$D:$D,$B$666,Actuals!$A:$A,LEFT($D$666,FIND("|",$D$666&amp;"|")-1),Actuals!$E:$E,MID($D$666,FIND("|",$D$666&amp;"|")+1,50),Actuals!$F:$F,"GBP")*$H$5)</f>
        <v/>
      </c>
      <c r="O667" s="18">
        <f>IF(OR($B$666="",8&gt;$C$4),"",SUMIFS(Actuals!$G:$G,Actuals!$B:$B,$C$3,Actuals!$C:$C,8,Actuals!$D:$D,$B$666,Actuals!$A:$A,LEFT($D$666,FIND("|",$D$666&amp;"|")-1),Actuals!$E:$E,MID($D$666,FIND("|",$D$666&amp;"|")+1,50),Actuals!$F:$F,"JPY")*$E$5+SUMIFS(Actuals!$G:$G,Actuals!$B:$B,$C$3,Actuals!$C:$C,8,Actuals!$D:$D,$B$666,Actuals!$A:$A,LEFT($D$666,FIND("|",$D$666&amp;"|")-1),Actuals!$E:$E,MID($D$666,FIND("|",$D$666&amp;"|")+1,50),Actuals!$F:$F,"USD")*$F$5+SUMIFS(Actuals!$G:$G,Actuals!$B:$B,$C$3,Actuals!$C:$C,8,Actuals!$D:$D,$B$666,Actuals!$A:$A,LEFT($D$666,FIND("|",$D$666&amp;"|")-1),Actuals!$E:$E,MID($D$666,FIND("|",$D$666&amp;"|")+1,50),Actuals!$F:$F,"EUR")*$G$5+SUMIFS(Actuals!$G:$G,Actuals!$B:$B,$C$3,Actuals!$C:$C,8,Actuals!$D:$D,$B$666,Actuals!$A:$A,LEFT($D$666,FIND("|",$D$666&amp;"|")-1),Actuals!$E:$E,MID($D$666,FIND("|",$D$666&amp;"|")+1,50),Actuals!$F:$F,"GBP")*$H$5)</f>
        <v/>
      </c>
      <c r="P667" s="18">
        <f>IF(OR($B$666="",9&gt;$C$4),"",SUMIFS(Actuals!$G:$G,Actuals!$B:$B,$C$3,Actuals!$C:$C,9,Actuals!$D:$D,$B$666,Actuals!$A:$A,LEFT($D$666,FIND("|",$D$666&amp;"|")-1),Actuals!$E:$E,MID($D$666,FIND("|",$D$666&amp;"|")+1,50),Actuals!$F:$F,"JPY")*$E$5+SUMIFS(Actuals!$G:$G,Actuals!$B:$B,$C$3,Actuals!$C:$C,9,Actuals!$D:$D,$B$666,Actuals!$A:$A,LEFT($D$666,FIND("|",$D$666&amp;"|")-1),Actuals!$E:$E,MID($D$666,FIND("|",$D$666&amp;"|")+1,50),Actuals!$F:$F,"USD")*$F$5+SUMIFS(Actuals!$G:$G,Actuals!$B:$B,$C$3,Actuals!$C:$C,9,Actuals!$D:$D,$B$666,Actuals!$A:$A,LEFT($D$666,FIND("|",$D$666&amp;"|")-1),Actuals!$E:$E,MID($D$666,FIND("|",$D$666&amp;"|")+1,50),Actuals!$F:$F,"EUR")*$G$5+SUMIFS(Actuals!$G:$G,Actuals!$B:$B,$C$3,Actuals!$C:$C,9,Actuals!$D:$D,$B$666,Actuals!$A:$A,LEFT($D$666,FIND("|",$D$666&amp;"|")-1),Actuals!$E:$E,MID($D$666,FIND("|",$D$666&amp;"|")+1,50),Actuals!$F:$F,"GBP")*$H$5)</f>
        <v/>
      </c>
      <c r="Q667" s="18">
        <f>IF(OR($B$666="",10&gt;$C$4),"",SUMIFS(Actuals!$G:$G,Actuals!$B:$B,$C$3,Actuals!$C:$C,10,Actuals!$D:$D,$B$666,Actuals!$A:$A,LEFT($D$666,FIND("|",$D$666&amp;"|")-1),Actuals!$E:$E,MID($D$666,FIND("|",$D$666&amp;"|")+1,50),Actuals!$F:$F,"JPY")*$E$5+SUMIFS(Actuals!$G:$G,Actuals!$B:$B,$C$3,Actuals!$C:$C,10,Actuals!$D:$D,$B$666,Actuals!$A:$A,LEFT($D$666,FIND("|",$D$666&amp;"|")-1),Actuals!$E:$E,MID($D$666,FIND("|",$D$666&amp;"|")+1,50),Actuals!$F:$F,"USD")*$F$5+SUMIFS(Actuals!$G:$G,Actuals!$B:$B,$C$3,Actuals!$C:$C,10,Actuals!$D:$D,$B$666,Actuals!$A:$A,LEFT($D$666,FIND("|",$D$666&amp;"|")-1),Actuals!$E:$E,MID($D$666,FIND("|",$D$666&amp;"|")+1,50),Actuals!$F:$F,"EUR")*$G$5+SUMIFS(Actuals!$G:$G,Actuals!$B:$B,$C$3,Actuals!$C:$C,10,Actuals!$D:$D,$B$666,Actuals!$A:$A,LEFT($D$666,FIND("|",$D$666&amp;"|")-1),Actuals!$E:$E,MID($D$666,FIND("|",$D$666&amp;"|")+1,50),Actuals!$F:$F,"GBP")*$H$5)</f>
        <v/>
      </c>
      <c r="R667" s="18">
        <f>IF(OR($B$666="",11&gt;$C$4),"",SUMIFS(Actuals!$G:$G,Actuals!$B:$B,$C$3,Actuals!$C:$C,11,Actuals!$D:$D,$B$666,Actuals!$A:$A,LEFT($D$666,FIND("|",$D$666&amp;"|")-1),Actuals!$E:$E,MID($D$666,FIND("|",$D$666&amp;"|")+1,50),Actuals!$F:$F,"JPY")*$E$5+SUMIFS(Actuals!$G:$G,Actuals!$B:$B,$C$3,Actuals!$C:$C,11,Actuals!$D:$D,$B$666,Actuals!$A:$A,LEFT($D$666,FIND("|",$D$666&amp;"|")-1),Actuals!$E:$E,MID($D$666,FIND("|",$D$666&amp;"|")+1,50),Actuals!$F:$F,"USD")*$F$5+SUMIFS(Actuals!$G:$G,Actuals!$B:$B,$C$3,Actuals!$C:$C,11,Actuals!$D:$D,$B$666,Actuals!$A:$A,LEFT($D$666,FIND("|",$D$666&amp;"|")-1),Actuals!$E:$E,MID($D$666,FIND("|",$D$666&amp;"|")+1,50),Actuals!$F:$F,"EUR")*$G$5+SUMIFS(Actuals!$G:$G,Actuals!$B:$B,$C$3,Actuals!$C:$C,11,Actuals!$D:$D,$B$666,Actuals!$A:$A,LEFT($D$666,FIND("|",$D$666&amp;"|")-1),Actuals!$E:$E,MID($D$666,FIND("|",$D$666&amp;"|")+1,50),Actuals!$F:$F,"GBP")*$H$5)</f>
        <v/>
      </c>
      <c r="S667" s="18">
        <f>IF(OR($B$666="",12&gt;$C$4),"",SUMIFS(Actuals!$G:$G,Actuals!$B:$B,$C$3,Actuals!$C:$C,12,Actuals!$D:$D,$B$666,Actuals!$A:$A,LEFT($D$666,FIND("|",$D$666&amp;"|")-1),Actuals!$E:$E,MID($D$666,FIND("|",$D$666&amp;"|")+1,50),Actuals!$F:$F,"JPY")*$E$5+SUMIFS(Actuals!$G:$G,Actuals!$B:$B,$C$3,Actuals!$C:$C,12,Actuals!$D:$D,$B$666,Actuals!$A:$A,LEFT($D$666,FIND("|",$D$666&amp;"|")-1),Actuals!$E:$E,MID($D$666,FIND("|",$D$666&amp;"|")+1,50),Actuals!$F:$F,"USD")*$F$5+SUMIFS(Actuals!$G:$G,Actuals!$B:$B,$C$3,Actuals!$C:$C,12,Actuals!$D:$D,$B$666,Actuals!$A:$A,LEFT($D$666,FIND("|",$D$666&amp;"|")-1),Actuals!$E:$E,MID($D$666,FIND("|",$D$666&amp;"|")+1,50),Actuals!$F:$F,"EUR")*$G$5+SUMIFS(Actuals!$G:$G,Actuals!$B:$B,$C$3,Actuals!$C:$C,12,Actuals!$D:$D,$B$666,Actuals!$A:$A,LEFT($D$666,FIND("|",$D$666&amp;"|")-1),Actuals!$E:$E,MID($D$666,FIND("|",$D$666&amp;"|")+1,50),Actuals!$F:$F,"GBP")*$H$5)</f>
        <v/>
      </c>
      <c r="T667" s="18">
        <f>IF($B$666="","",SUMIF($H$7:$S$7,"&lt;="&amp;$C$4,$H667:$S667))</f>
        <v/>
      </c>
      <c r="U667" s="18" t="n"/>
      <c r="V667" s="18" t="n"/>
      <c r="X667" s="22">
        <f>IF($B667="","",IFERROR(INDEX(Cost_Centers!$E:$E,MATCH($B667,Cost_Centers!$A:$A,0)),"(unknown)"))</f>
        <v/>
      </c>
      <c r="Y667" s="22">
        <f>IF($B667="","",IFERROR(INDEX(Cost_Centers!$D:$D,MATCH($B667,Cost_Centers!$A:$A,0)),"(unknown)"))</f>
        <v/>
      </c>
      <c r="Z667" s="22">
        <f>IF(OR($B667="",$G667&lt;&gt;"Variance vs Budget"),"",ABS(N($V667))+ROW()/1000000000)</f>
        <v/>
      </c>
    </row>
    <row r="668">
      <c r="A668" s="13">
        <f>IF(A$666="","",A$666)</f>
        <v/>
      </c>
      <c r="B668" s="13">
        <f>IF(B$666="","",B$666)</f>
        <v/>
      </c>
      <c r="C668" s="13">
        <f>IF(C$666="","",C$666)</f>
        <v/>
      </c>
      <c r="D668" s="13">
        <f>IF(D$666="","",D$666)</f>
        <v/>
      </c>
      <c r="E668" s="13">
        <f>IF(E$666="","",E$666)</f>
        <v/>
      </c>
      <c r="F668" s="13">
        <f>IF(F$666="","",F$666)</f>
        <v/>
      </c>
      <c r="G668" s="6" t="inlineStr">
        <is>
          <t>Variance vs Budget</t>
        </is>
      </c>
      <c r="H668" s="33">
        <f>IF(OR($B$666="",1&gt;$C$4),"",N(H667)-H666)</f>
        <v/>
      </c>
      <c r="I668" s="33">
        <f>IF(OR($B$666="",2&gt;$C$4),"",N(I667)-I666)</f>
        <v/>
      </c>
      <c r="J668" s="33">
        <f>IF(OR($B$666="",3&gt;$C$4),"",N(J667)-J666)</f>
        <v/>
      </c>
      <c r="K668" s="33">
        <f>IF(OR($B$666="",4&gt;$C$4),"",N(K667)-K666)</f>
        <v/>
      </c>
      <c r="L668" s="33">
        <f>IF(OR($B$666="",5&gt;$C$4),"",N(L667)-L666)</f>
        <v/>
      </c>
      <c r="M668" s="33">
        <f>IF(OR($B$666="",6&gt;$C$4),"",N(M667)-M666)</f>
        <v/>
      </c>
      <c r="N668" s="33">
        <f>IF(OR($B$666="",7&gt;$C$4),"",N(N667)-N666)</f>
        <v/>
      </c>
      <c r="O668" s="33">
        <f>IF(OR($B$666="",8&gt;$C$4),"",N(O667)-O666)</f>
        <v/>
      </c>
      <c r="P668" s="33">
        <f>IF(OR($B$666="",9&gt;$C$4),"",N(P667)-P666)</f>
        <v/>
      </c>
      <c r="Q668" s="33">
        <f>IF(OR($B$666="",10&gt;$C$4),"",N(Q667)-Q666)</f>
        <v/>
      </c>
      <c r="R668" s="33">
        <f>IF(OR($B$666="",11&gt;$C$4),"",N(R667)-R666)</f>
        <v/>
      </c>
      <c r="S668" s="33">
        <f>IF(OR($B$666="",12&gt;$C$4),"",N(S667)-S666)</f>
        <v/>
      </c>
      <c r="T668" s="33">
        <f>IF($B$666="","",T667-T666)</f>
        <v/>
      </c>
      <c r="U668" s="33">
        <f>IF($B$666="","",U670-U666)</f>
        <v/>
      </c>
      <c r="V668" s="33">
        <f>IF($B$666="","",V670-V666)</f>
        <v/>
      </c>
      <c r="X668" s="22">
        <f>IF($B668="","",IFERROR(INDEX(Cost_Centers!$E:$E,MATCH($B668,Cost_Centers!$A:$A,0)),"(unknown)"))</f>
        <v/>
      </c>
      <c r="Y668" s="22">
        <f>IF($B668="","",IFERROR(INDEX(Cost_Centers!$D:$D,MATCH($B668,Cost_Centers!$A:$A,0)),"(unknown)"))</f>
        <v/>
      </c>
      <c r="Z668" s="22">
        <f>IF(OR($B668="",$G668&lt;&gt;"Variance vs Budget"),"",ABS(N($V668))+ROW()/1000000000)</f>
        <v/>
      </c>
    </row>
    <row r="669">
      <c r="A669" s="13">
        <f>IF(A$666="","",A$666)</f>
        <v/>
      </c>
      <c r="B669" s="13">
        <f>IF(B$666="","",B$666)</f>
        <v/>
      </c>
      <c r="C669" s="13">
        <f>IF(C$666="","",C$666)</f>
        <v/>
      </c>
      <c r="D669" s="13">
        <f>IF(D$666="","",D$666)</f>
        <v/>
      </c>
      <c r="E669" s="13">
        <f>IF(E$666="","",E$666)</f>
        <v/>
      </c>
      <c r="F669" s="13">
        <f>IF(F$666="","",F$666)</f>
        <v/>
      </c>
      <c r="G669" s="7" t="inlineStr">
        <is>
          <t>Forecast (input)</t>
        </is>
      </c>
      <c r="H669" s="34" t="n"/>
      <c r="I669" s="34" t="n"/>
      <c r="J669" s="34" t="n"/>
      <c r="K669" s="34" t="n"/>
      <c r="L669" s="34" t="n"/>
      <c r="M669" s="34" t="n"/>
      <c r="N669" s="34" t="n"/>
      <c r="O669" s="34" t="n"/>
      <c r="P669" s="34" t="n"/>
      <c r="Q669" s="34" t="n"/>
      <c r="R669" s="34" t="n"/>
      <c r="S669" s="34" t="n"/>
      <c r="T669" s="18" t="n"/>
      <c r="U669" s="18" t="n"/>
      <c r="V669" s="18" t="n"/>
      <c r="X669" s="22">
        <f>IF($B669="","",IFERROR(INDEX(Cost_Centers!$E:$E,MATCH($B669,Cost_Centers!$A:$A,0)),"(unknown)"))</f>
        <v/>
      </c>
      <c r="Y669" s="22">
        <f>IF($B669="","",IFERROR(INDEX(Cost_Centers!$D:$D,MATCH($B669,Cost_Centers!$A:$A,0)),"(unknown)"))</f>
        <v/>
      </c>
      <c r="Z669" s="22">
        <f>IF(OR($B669="",$G669&lt;&gt;"Variance vs Budget"),"",ABS(N($V669))+ROW()/1000000000)</f>
        <v/>
      </c>
    </row>
    <row r="670">
      <c r="A670" s="13">
        <f>IF(A$666="","",A$666)</f>
        <v/>
      </c>
      <c r="B670" s="13">
        <f>IF(B$666="","",B$666)</f>
        <v/>
      </c>
      <c r="C670" s="13">
        <f>IF(C$666="","",C$666)</f>
        <v/>
      </c>
      <c r="D670" s="13">
        <f>IF(D$666="","",D$666)</f>
        <v/>
      </c>
      <c r="E670" s="13">
        <f>IF(E$666="","",E$666)</f>
        <v/>
      </c>
      <c r="F670" s="13">
        <f>IF(F$666="","",F$666)</f>
        <v/>
      </c>
      <c r="G670" s="35" t="inlineStr">
        <is>
          <t>Actual + Forecast</t>
        </is>
      </c>
      <c r="H670" s="18">
        <f>IF($B$666="","",IF(1&lt;=$C$4,N(H667),IF(H669="",H666,H669)))</f>
        <v/>
      </c>
      <c r="I670" s="18">
        <f>IF($B$666="","",IF(2&lt;=$C$4,N(I667),IF(I669="",I666,I669)))</f>
        <v/>
      </c>
      <c r="J670" s="18">
        <f>IF($B$666="","",IF(3&lt;=$C$4,N(J667),IF(J669="",J666,J669)))</f>
        <v/>
      </c>
      <c r="K670" s="18">
        <f>IF($B$666="","",IF(4&lt;=$C$4,N(K667),IF(K669="",K666,K669)))</f>
        <v/>
      </c>
      <c r="L670" s="18">
        <f>IF($B$666="","",IF(5&lt;=$C$4,N(L667),IF(L669="",L666,L669)))</f>
        <v/>
      </c>
      <c r="M670" s="18">
        <f>IF($B$666="","",IF(6&lt;=$C$4,N(M667),IF(M669="",M666,M669)))</f>
        <v/>
      </c>
      <c r="N670" s="18">
        <f>IF($B$666="","",IF(7&lt;=$C$4,N(N667),IF(N669="",N666,N669)))</f>
        <v/>
      </c>
      <c r="O670" s="18">
        <f>IF($B$666="","",IF(8&lt;=$C$4,N(O667),IF(O669="",O666,O669)))</f>
        <v/>
      </c>
      <c r="P670" s="18">
        <f>IF($B$666="","",IF(9&lt;=$C$4,N(P667),IF(P669="",P666,P669)))</f>
        <v/>
      </c>
      <c r="Q670" s="18">
        <f>IF($B$666="","",IF(10&lt;=$C$4,N(Q667),IF(Q669="",Q666,Q669)))</f>
        <v/>
      </c>
      <c r="R670" s="18">
        <f>IF($B$666="","",IF(11&lt;=$C$4,N(R667),IF(R669="",R666,R669)))</f>
        <v/>
      </c>
      <c r="S670" s="18">
        <f>IF($B$666="","",IF(12&lt;=$C$4,N(S667),IF(S669="",S666,S669)))</f>
        <v/>
      </c>
      <c r="T670" s="18">
        <f>IF($B$666="","",SUMIF($H$7:$S$7,"&lt;="&amp;$C$4,$H670:$S670))</f>
        <v/>
      </c>
      <c r="U670" s="18">
        <f>IF($B$666="","",SUMIF($H$7:$S$7,"&gt;"&amp;$C$4,$H670:$S670))</f>
        <v/>
      </c>
      <c r="V670" s="18">
        <f>IF($B$666="","",SUM($H670:$S670))</f>
        <v/>
      </c>
      <c r="X670" s="22">
        <f>IF($B670="","",IFERROR(INDEX(Cost_Centers!$E:$E,MATCH($B670,Cost_Centers!$A:$A,0)),"(unknown)"))</f>
        <v/>
      </c>
      <c r="Y670" s="22">
        <f>IF($B670="","",IFERROR(INDEX(Cost_Centers!$D:$D,MATCH($B670,Cost_Centers!$A:$A,0)),"(unknown)"))</f>
        <v/>
      </c>
      <c r="Z670" s="22">
        <f>IF(OR($B670="",$G670&lt;&gt;"Variance vs Budget"),"",ABS(N($V670))+ROW()/1000000000)</f>
        <v/>
      </c>
    </row>
    <row r="671">
      <c r="A671" s="13">
        <f>IF(A$666="","",A$666)</f>
        <v/>
      </c>
      <c r="B671" s="13">
        <f>IF(B$666="","",B$666)</f>
        <v/>
      </c>
      <c r="C671" s="13">
        <f>IF(C$666="","",C$666)</f>
        <v/>
      </c>
      <c r="D671" s="13">
        <f>IF(D$666="","",D$666)</f>
        <v/>
      </c>
      <c r="E671" s="13">
        <f>IF(E$666="","",E$666)</f>
        <v/>
      </c>
      <c r="F671" s="13">
        <f>IF(F$666="","",F$666)</f>
        <v/>
      </c>
      <c r="G671" s="36" t="inlineStr">
        <is>
          <t>Prior Month Forecast</t>
        </is>
      </c>
      <c r="H671" s="37">
        <f>IF($B$666="","",IF(COUNTIFS(Prior_Forecast!$A:$A,$B$666,Prior_Forecast!$B:$B,$D$666)&gt;0,SUMIFS(Prior_Forecast!$C:$C,Prior_Forecast!$A:$A,$B$666,Prior_Forecast!$B:$B,$D$666),""))</f>
        <v/>
      </c>
      <c r="I671" s="37">
        <f>IF($B$666="","",IF(COUNTIFS(Prior_Forecast!$A:$A,$B$666,Prior_Forecast!$B:$B,$D$666)&gt;0,SUMIFS(Prior_Forecast!$D:$D,Prior_Forecast!$A:$A,$B$666,Prior_Forecast!$B:$B,$D$666),""))</f>
        <v/>
      </c>
      <c r="J671" s="37">
        <f>IF($B$666="","",IF(COUNTIFS(Prior_Forecast!$A:$A,$B$666,Prior_Forecast!$B:$B,$D$666)&gt;0,SUMIFS(Prior_Forecast!$E:$E,Prior_Forecast!$A:$A,$B$666,Prior_Forecast!$B:$B,$D$666),""))</f>
        <v/>
      </c>
      <c r="K671" s="37">
        <f>IF($B$666="","",IF(COUNTIFS(Prior_Forecast!$A:$A,$B$666,Prior_Forecast!$B:$B,$D$666)&gt;0,SUMIFS(Prior_Forecast!$F:$F,Prior_Forecast!$A:$A,$B$666,Prior_Forecast!$B:$B,$D$666),""))</f>
        <v/>
      </c>
      <c r="L671" s="37">
        <f>IF($B$666="","",IF(COUNTIFS(Prior_Forecast!$A:$A,$B$666,Prior_Forecast!$B:$B,$D$666)&gt;0,SUMIFS(Prior_Forecast!$G:$G,Prior_Forecast!$A:$A,$B$666,Prior_Forecast!$B:$B,$D$666),""))</f>
        <v/>
      </c>
      <c r="M671" s="37">
        <f>IF($B$666="","",IF(COUNTIFS(Prior_Forecast!$A:$A,$B$666,Prior_Forecast!$B:$B,$D$666)&gt;0,SUMIFS(Prior_Forecast!$H:$H,Prior_Forecast!$A:$A,$B$666,Prior_Forecast!$B:$B,$D$666),""))</f>
        <v/>
      </c>
      <c r="N671" s="37">
        <f>IF($B$666="","",IF(COUNTIFS(Prior_Forecast!$A:$A,$B$666,Prior_Forecast!$B:$B,$D$666)&gt;0,SUMIFS(Prior_Forecast!$I:$I,Prior_Forecast!$A:$A,$B$666,Prior_Forecast!$B:$B,$D$666),""))</f>
        <v/>
      </c>
      <c r="O671" s="37">
        <f>IF($B$666="","",IF(COUNTIFS(Prior_Forecast!$A:$A,$B$666,Prior_Forecast!$B:$B,$D$666)&gt;0,SUMIFS(Prior_Forecast!$J:$J,Prior_Forecast!$A:$A,$B$666,Prior_Forecast!$B:$B,$D$666),""))</f>
        <v/>
      </c>
      <c r="P671" s="37">
        <f>IF($B$666="","",IF(COUNTIFS(Prior_Forecast!$A:$A,$B$666,Prior_Forecast!$B:$B,$D$666)&gt;0,SUMIFS(Prior_Forecast!$K:$K,Prior_Forecast!$A:$A,$B$666,Prior_Forecast!$B:$B,$D$666),""))</f>
        <v/>
      </c>
      <c r="Q671" s="37">
        <f>IF($B$666="","",IF(COUNTIFS(Prior_Forecast!$A:$A,$B$666,Prior_Forecast!$B:$B,$D$666)&gt;0,SUMIFS(Prior_Forecast!$L:$L,Prior_Forecast!$A:$A,$B$666,Prior_Forecast!$B:$B,$D$666),""))</f>
        <v/>
      </c>
      <c r="R671" s="37">
        <f>IF($B$666="","",IF(COUNTIFS(Prior_Forecast!$A:$A,$B$666,Prior_Forecast!$B:$B,$D$666)&gt;0,SUMIFS(Prior_Forecast!$M:$M,Prior_Forecast!$A:$A,$B$666,Prior_Forecast!$B:$B,$D$666),""))</f>
        <v/>
      </c>
      <c r="S671" s="37">
        <f>IF($B$666="","",IF(COUNTIFS(Prior_Forecast!$A:$A,$B$666,Prior_Forecast!$B:$B,$D$666)&gt;0,SUMIFS(Prior_Forecast!$N:$N,Prior_Forecast!$A:$A,$B$666,Prior_Forecast!$B:$B,$D$666),""))</f>
        <v/>
      </c>
      <c r="T671" s="37">
        <f>IF($B$666="","",IF(COUNTIFS(Prior_Forecast!$A:$A,$B$666,Prior_Forecast!$B:$B,$D$666)&gt;0,SUMIFS(Prior_Forecast!$O:$O,Prior_Forecast!$A:$A,$B$666,Prior_Forecast!$B:$B,$D$666),""))</f>
        <v/>
      </c>
      <c r="U671" s="37">
        <f>IF($B$666="","",IF(COUNTIFS(Prior_Forecast!$A:$A,$B$666,Prior_Forecast!$B:$B,$D$666)&gt;0,SUMIFS(Prior_Forecast!$P:$P,Prior_Forecast!$A:$A,$B$666,Prior_Forecast!$B:$B,$D$666),""))</f>
        <v/>
      </c>
      <c r="V671" s="37">
        <f>IF($B$666="","",IF(COUNTIFS(Prior_Forecast!$A:$A,$B$666,Prior_Forecast!$B:$B,$D$666)&gt;0,SUMIFS(Prior_Forecast!$Q:$Q,Prior_Forecast!$A:$A,$B$666,Prior_Forecast!$B:$B,$D$666),""))</f>
        <v/>
      </c>
      <c r="X671" s="22">
        <f>IF($B671="","",IFERROR(INDEX(Cost_Centers!$E:$E,MATCH($B671,Cost_Centers!$A:$A,0)),"(unknown)"))</f>
        <v/>
      </c>
      <c r="Y671" s="22">
        <f>IF($B671="","",IFERROR(INDEX(Cost_Centers!$D:$D,MATCH($B671,Cost_Centers!$A:$A,0)),"(unknown)"))</f>
        <v/>
      </c>
      <c r="Z671" s="22">
        <f>IF(OR($B671="",$G671&lt;&gt;"Variance vs Budget"),"",ABS(N($V671))+ROW()/1000000000)</f>
        <v/>
      </c>
    </row>
    <row r="672">
      <c r="A672" s="13">
        <f>IF(A$666="","",A$666)</f>
        <v/>
      </c>
      <c r="B672" s="13">
        <f>IF(B$666="","",B$666)</f>
        <v/>
      </c>
      <c r="C672" s="13">
        <f>IF(C$666="","",C$666)</f>
        <v/>
      </c>
      <c r="D672" s="13">
        <f>IF(D$666="","",D$666)</f>
        <v/>
      </c>
      <c r="E672" s="13">
        <f>IF(E$666="","",E$666)</f>
        <v/>
      </c>
      <c r="F672" s="13">
        <f>IF(F$666="","",F$666)</f>
        <v/>
      </c>
      <c r="G672" s="6" t="inlineStr">
        <is>
          <t>Variance vs Prior Month</t>
        </is>
      </c>
      <c r="H672" s="33">
        <f>IF(OR($B$666="",H671=""),"",H670-H671)</f>
        <v/>
      </c>
      <c r="I672" s="33">
        <f>IF(OR($B$666="",I671=""),"",I670-I671)</f>
        <v/>
      </c>
      <c r="J672" s="33">
        <f>IF(OR($B$666="",J671=""),"",J670-J671)</f>
        <v/>
      </c>
      <c r="K672" s="33">
        <f>IF(OR($B$666="",K671=""),"",K670-K671)</f>
        <v/>
      </c>
      <c r="L672" s="33">
        <f>IF(OR($B$666="",L671=""),"",L670-L671)</f>
        <v/>
      </c>
      <c r="M672" s="33">
        <f>IF(OR($B$666="",M671=""),"",M670-M671)</f>
        <v/>
      </c>
      <c r="N672" s="33">
        <f>IF(OR($B$666="",N671=""),"",N670-N671)</f>
        <v/>
      </c>
      <c r="O672" s="33">
        <f>IF(OR($B$666="",O671=""),"",O670-O671)</f>
        <v/>
      </c>
      <c r="P672" s="33">
        <f>IF(OR($B$666="",P671=""),"",P670-P671)</f>
        <v/>
      </c>
      <c r="Q672" s="33">
        <f>IF(OR($B$666="",Q671=""),"",Q670-Q671)</f>
        <v/>
      </c>
      <c r="R672" s="33">
        <f>IF(OR($B$666="",R671=""),"",R670-R671)</f>
        <v/>
      </c>
      <c r="S672" s="33">
        <f>IF(OR($B$666="",S671=""),"",S670-S671)</f>
        <v/>
      </c>
      <c r="T672" s="33">
        <f>IF(OR($B$666="",T671=""),"",T670-T671)</f>
        <v/>
      </c>
      <c r="U672" s="33">
        <f>IF(OR($B$666="",U671=""),"",U670-U671)</f>
        <v/>
      </c>
      <c r="V672" s="33">
        <f>IF(OR($B$666="",V671=""),"",V670-V671)</f>
        <v/>
      </c>
      <c r="X672" s="22">
        <f>IF($B672="","",IFERROR(INDEX(Cost_Centers!$E:$E,MATCH($B672,Cost_Centers!$A:$A,0)),"(unknown)"))</f>
        <v/>
      </c>
      <c r="Y672" s="22">
        <f>IF($B672="","",IFERROR(INDEX(Cost_Centers!$D:$D,MATCH($B672,Cost_Centers!$A:$A,0)),"(unknown)"))</f>
        <v/>
      </c>
      <c r="Z672" s="22">
        <f>IF(OR($B672="",$G672&lt;&gt;"Variance vs Budget"),"",ABS(N($V672))+ROW()/1000000000)</f>
        <v/>
      </c>
    </row>
    <row r="673" ht="45" customHeight="1">
      <c r="A673" s="13">
        <f>IF(A$666="","",A$666)</f>
        <v/>
      </c>
      <c r="B673" s="13">
        <f>IF(B$666="","",B$666)</f>
        <v/>
      </c>
      <c r="C673" s="13">
        <f>IF(C$666="","",C$666)</f>
        <v/>
      </c>
      <c r="D673" s="13">
        <f>IF(D$666="","",D$666)</f>
        <v/>
      </c>
      <c r="E673" s="13">
        <f>IF(E$666="","",E$666)</f>
        <v/>
      </c>
      <c r="F673" s="13">
        <f>IF(F$666="","",F$666)</f>
        <v/>
      </c>
      <c r="G673" s="7" t="inlineStr">
        <is>
          <t>Rationale</t>
        </is>
      </c>
      <c r="H673" s="38" t="n"/>
      <c r="I673" s="38" t="n"/>
      <c r="J673" s="38" t="n"/>
      <c r="K673" s="38" t="n"/>
      <c r="L673" s="38" t="n"/>
      <c r="M673" s="38" t="n"/>
      <c r="N673" s="38" t="n"/>
      <c r="O673" s="38" t="n"/>
      <c r="P673" s="38" t="n"/>
      <c r="Q673" s="38" t="n"/>
      <c r="R673" s="38" t="n"/>
      <c r="S673" s="38" t="n"/>
      <c r="T673" s="38" t="n"/>
      <c r="U673" s="38" t="n"/>
      <c r="V673" s="7" t="n"/>
      <c r="X673" s="22">
        <f>IF($B673="","",IFERROR(INDEX(Cost_Centers!$E:$E,MATCH($B673,Cost_Centers!$A:$A,0)),"(unknown)"))</f>
        <v/>
      </c>
      <c r="Y673" s="22">
        <f>IF($B673="","",IFERROR(INDEX(Cost_Centers!$D:$D,MATCH($B673,Cost_Centers!$A:$A,0)),"(unknown)"))</f>
        <v/>
      </c>
      <c r="Z673" s="22">
        <f>IF(OR($B673="",$G673&lt;&gt;"Variance vs Budget"),"",ABS(N($V673))+ROW()/1000000000)</f>
        <v/>
      </c>
    </row>
    <row r="674">
      <c r="A674" s="30">
        <f>IF($D$674="","",LEFT($D$674,FIND("|",$D$674&amp;"|")-1))</f>
        <v/>
      </c>
      <c r="B674" s="31" t="n"/>
      <c r="C674" s="30">
        <f>IF($B$674="","",IFERROR(INDEX(Cost_Centers!$B:$B,MATCH($B$674,Cost_Centers!$A:$A,0)),"(not in master)"))</f>
        <v/>
      </c>
      <c r="D674" s="31" t="n"/>
      <c r="E674" s="30">
        <f>IF($D$674="","",IFERROR(INDEX(Accounts!$D:$D,MATCH($D$674,Accounts!$A:$A,0)),"(not in master)"))</f>
        <v/>
      </c>
      <c r="F674" s="31" t="n"/>
      <c r="G674" s="30" t="inlineStr">
        <is>
          <t>Budget</t>
        </is>
      </c>
      <c r="H674" s="32">
        <f>IF($B$674="","",SUMIFS(Opex_Budget!$O:$O,Opex_Budget!$A:$A,$C$3,Opex_Budget!$E:$E,$B$674,Opex_Budget!$F:$F,$D$674,Opex_Budget!$N:$N,"JPY")*$E$5+SUMIFS(Opex_Budget!$O:$O,Opex_Budget!$A:$A,$C$3,Opex_Budget!$E:$E,$B$674,Opex_Budget!$F:$F,$D$674,Opex_Budget!$N:$N,"USD")*$F$5+SUMIFS(Opex_Budget!$O:$O,Opex_Budget!$A:$A,$C$3,Opex_Budget!$E:$E,$B$674,Opex_Budget!$F:$F,$D$674,Opex_Budget!$N:$N,"EUR")*$G$5+SUMIFS(Opex_Budget!$O:$O,Opex_Budget!$A:$A,$C$3,Opex_Budget!$E:$E,$B$674,Opex_Budget!$F:$F,$D$674,Opex_Budget!$N:$N,"GBP")*$H$5)</f>
        <v/>
      </c>
      <c r="I674" s="32">
        <f>IF($B$674="","",SUMIFS(Opex_Budget!$P:$P,Opex_Budget!$A:$A,$C$3,Opex_Budget!$E:$E,$B$674,Opex_Budget!$F:$F,$D$674,Opex_Budget!$N:$N,"JPY")*$E$5+SUMIFS(Opex_Budget!$P:$P,Opex_Budget!$A:$A,$C$3,Opex_Budget!$E:$E,$B$674,Opex_Budget!$F:$F,$D$674,Opex_Budget!$N:$N,"USD")*$F$5+SUMIFS(Opex_Budget!$P:$P,Opex_Budget!$A:$A,$C$3,Opex_Budget!$E:$E,$B$674,Opex_Budget!$F:$F,$D$674,Opex_Budget!$N:$N,"EUR")*$G$5+SUMIFS(Opex_Budget!$P:$P,Opex_Budget!$A:$A,$C$3,Opex_Budget!$E:$E,$B$674,Opex_Budget!$F:$F,$D$674,Opex_Budget!$N:$N,"GBP")*$H$5)</f>
        <v/>
      </c>
      <c r="J674" s="32">
        <f>IF($B$674="","",SUMIFS(Opex_Budget!$Q:$Q,Opex_Budget!$A:$A,$C$3,Opex_Budget!$E:$E,$B$674,Opex_Budget!$F:$F,$D$674,Opex_Budget!$N:$N,"JPY")*$E$5+SUMIFS(Opex_Budget!$Q:$Q,Opex_Budget!$A:$A,$C$3,Opex_Budget!$E:$E,$B$674,Opex_Budget!$F:$F,$D$674,Opex_Budget!$N:$N,"USD")*$F$5+SUMIFS(Opex_Budget!$Q:$Q,Opex_Budget!$A:$A,$C$3,Opex_Budget!$E:$E,$B$674,Opex_Budget!$F:$F,$D$674,Opex_Budget!$N:$N,"EUR")*$G$5+SUMIFS(Opex_Budget!$Q:$Q,Opex_Budget!$A:$A,$C$3,Opex_Budget!$E:$E,$B$674,Opex_Budget!$F:$F,$D$674,Opex_Budget!$N:$N,"GBP")*$H$5)</f>
        <v/>
      </c>
      <c r="K674" s="32">
        <f>IF($B$674="","",SUMIFS(Opex_Budget!$R:$R,Opex_Budget!$A:$A,$C$3,Opex_Budget!$E:$E,$B$674,Opex_Budget!$F:$F,$D$674,Opex_Budget!$N:$N,"JPY")*$E$5+SUMIFS(Opex_Budget!$R:$R,Opex_Budget!$A:$A,$C$3,Opex_Budget!$E:$E,$B$674,Opex_Budget!$F:$F,$D$674,Opex_Budget!$N:$N,"USD")*$F$5+SUMIFS(Opex_Budget!$R:$R,Opex_Budget!$A:$A,$C$3,Opex_Budget!$E:$E,$B$674,Opex_Budget!$F:$F,$D$674,Opex_Budget!$N:$N,"EUR")*$G$5+SUMIFS(Opex_Budget!$R:$R,Opex_Budget!$A:$A,$C$3,Opex_Budget!$E:$E,$B$674,Opex_Budget!$F:$F,$D$674,Opex_Budget!$N:$N,"GBP")*$H$5)</f>
        <v/>
      </c>
      <c r="L674" s="32">
        <f>IF($B$674="","",SUMIFS(Opex_Budget!$S:$S,Opex_Budget!$A:$A,$C$3,Opex_Budget!$E:$E,$B$674,Opex_Budget!$F:$F,$D$674,Opex_Budget!$N:$N,"JPY")*$E$5+SUMIFS(Opex_Budget!$S:$S,Opex_Budget!$A:$A,$C$3,Opex_Budget!$E:$E,$B$674,Opex_Budget!$F:$F,$D$674,Opex_Budget!$N:$N,"USD")*$F$5+SUMIFS(Opex_Budget!$S:$S,Opex_Budget!$A:$A,$C$3,Opex_Budget!$E:$E,$B$674,Opex_Budget!$F:$F,$D$674,Opex_Budget!$N:$N,"EUR")*$G$5+SUMIFS(Opex_Budget!$S:$S,Opex_Budget!$A:$A,$C$3,Opex_Budget!$E:$E,$B$674,Opex_Budget!$F:$F,$D$674,Opex_Budget!$N:$N,"GBP")*$H$5)</f>
        <v/>
      </c>
      <c r="M674" s="32">
        <f>IF($B$674="","",SUMIFS(Opex_Budget!$T:$T,Opex_Budget!$A:$A,$C$3,Opex_Budget!$E:$E,$B$674,Opex_Budget!$F:$F,$D$674,Opex_Budget!$N:$N,"JPY")*$E$5+SUMIFS(Opex_Budget!$T:$T,Opex_Budget!$A:$A,$C$3,Opex_Budget!$E:$E,$B$674,Opex_Budget!$F:$F,$D$674,Opex_Budget!$N:$N,"USD")*$F$5+SUMIFS(Opex_Budget!$T:$T,Opex_Budget!$A:$A,$C$3,Opex_Budget!$E:$E,$B$674,Opex_Budget!$F:$F,$D$674,Opex_Budget!$N:$N,"EUR")*$G$5+SUMIFS(Opex_Budget!$T:$T,Opex_Budget!$A:$A,$C$3,Opex_Budget!$E:$E,$B$674,Opex_Budget!$F:$F,$D$674,Opex_Budget!$N:$N,"GBP")*$H$5)</f>
        <v/>
      </c>
      <c r="N674" s="32">
        <f>IF($B$674="","",SUMIFS(Opex_Budget!$U:$U,Opex_Budget!$A:$A,$C$3,Opex_Budget!$E:$E,$B$674,Opex_Budget!$F:$F,$D$674,Opex_Budget!$N:$N,"JPY")*$E$5+SUMIFS(Opex_Budget!$U:$U,Opex_Budget!$A:$A,$C$3,Opex_Budget!$E:$E,$B$674,Opex_Budget!$F:$F,$D$674,Opex_Budget!$N:$N,"USD")*$F$5+SUMIFS(Opex_Budget!$U:$U,Opex_Budget!$A:$A,$C$3,Opex_Budget!$E:$E,$B$674,Opex_Budget!$F:$F,$D$674,Opex_Budget!$N:$N,"EUR")*$G$5+SUMIFS(Opex_Budget!$U:$U,Opex_Budget!$A:$A,$C$3,Opex_Budget!$E:$E,$B$674,Opex_Budget!$F:$F,$D$674,Opex_Budget!$N:$N,"GBP")*$H$5)</f>
        <v/>
      </c>
      <c r="O674" s="32">
        <f>IF($B$674="","",SUMIFS(Opex_Budget!$V:$V,Opex_Budget!$A:$A,$C$3,Opex_Budget!$E:$E,$B$674,Opex_Budget!$F:$F,$D$674,Opex_Budget!$N:$N,"JPY")*$E$5+SUMIFS(Opex_Budget!$V:$V,Opex_Budget!$A:$A,$C$3,Opex_Budget!$E:$E,$B$674,Opex_Budget!$F:$F,$D$674,Opex_Budget!$N:$N,"USD")*$F$5+SUMIFS(Opex_Budget!$V:$V,Opex_Budget!$A:$A,$C$3,Opex_Budget!$E:$E,$B$674,Opex_Budget!$F:$F,$D$674,Opex_Budget!$N:$N,"EUR")*$G$5+SUMIFS(Opex_Budget!$V:$V,Opex_Budget!$A:$A,$C$3,Opex_Budget!$E:$E,$B$674,Opex_Budget!$F:$F,$D$674,Opex_Budget!$N:$N,"GBP")*$H$5)</f>
        <v/>
      </c>
      <c r="P674" s="32">
        <f>IF($B$674="","",SUMIFS(Opex_Budget!$W:$W,Opex_Budget!$A:$A,$C$3,Opex_Budget!$E:$E,$B$674,Opex_Budget!$F:$F,$D$674,Opex_Budget!$N:$N,"JPY")*$E$5+SUMIFS(Opex_Budget!$W:$W,Opex_Budget!$A:$A,$C$3,Opex_Budget!$E:$E,$B$674,Opex_Budget!$F:$F,$D$674,Opex_Budget!$N:$N,"USD")*$F$5+SUMIFS(Opex_Budget!$W:$W,Opex_Budget!$A:$A,$C$3,Opex_Budget!$E:$E,$B$674,Opex_Budget!$F:$F,$D$674,Opex_Budget!$N:$N,"EUR")*$G$5+SUMIFS(Opex_Budget!$W:$W,Opex_Budget!$A:$A,$C$3,Opex_Budget!$E:$E,$B$674,Opex_Budget!$F:$F,$D$674,Opex_Budget!$N:$N,"GBP")*$H$5)</f>
        <v/>
      </c>
      <c r="Q674" s="32">
        <f>IF($B$674="","",SUMIFS(Opex_Budget!$X:$X,Opex_Budget!$A:$A,$C$3,Opex_Budget!$E:$E,$B$674,Opex_Budget!$F:$F,$D$674,Opex_Budget!$N:$N,"JPY")*$E$5+SUMIFS(Opex_Budget!$X:$X,Opex_Budget!$A:$A,$C$3,Opex_Budget!$E:$E,$B$674,Opex_Budget!$F:$F,$D$674,Opex_Budget!$N:$N,"USD")*$F$5+SUMIFS(Opex_Budget!$X:$X,Opex_Budget!$A:$A,$C$3,Opex_Budget!$E:$E,$B$674,Opex_Budget!$F:$F,$D$674,Opex_Budget!$N:$N,"EUR")*$G$5+SUMIFS(Opex_Budget!$X:$X,Opex_Budget!$A:$A,$C$3,Opex_Budget!$E:$E,$B$674,Opex_Budget!$F:$F,$D$674,Opex_Budget!$N:$N,"GBP")*$H$5)</f>
        <v/>
      </c>
      <c r="R674" s="32">
        <f>IF($B$674="","",SUMIFS(Opex_Budget!$Y:$Y,Opex_Budget!$A:$A,$C$3,Opex_Budget!$E:$E,$B$674,Opex_Budget!$F:$F,$D$674,Opex_Budget!$N:$N,"JPY")*$E$5+SUMIFS(Opex_Budget!$Y:$Y,Opex_Budget!$A:$A,$C$3,Opex_Budget!$E:$E,$B$674,Opex_Budget!$F:$F,$D$674,Opex_Budget!$N:$N,"USD")*$F$5+SUMIFS(Opex_Budget!$Y:$Y,Opex_Budget!$A:$A,$C$3,Opex_Budget!$E:$E,$B$674,Opex_Budget!$F:$F,$D$674,Opex_Budget!$N:$N,"EUR")*$G$5+SUMIFS(Opex_Budget!$Y:$Y,Opex_Budget!$A:$A,$C$3,Opex_Budget!$E:$E,$B$674,Opex_Budget!$F:$F,$D$674,Opex_Budget!$N:$N,"GBP")*$H$5)</f>
        <v/>
      </c>
      <c r="S674" s="32">
        <f>IF($B$674="","",SUMIFS(Opex_Budget!$Z:$Z,Opex_Budget!$A:$A,$C$3,Opex_Budget!$E:$E,$B$674,Opex_Budget!$F:$F,$D$674,Opex_Budget!$N:$N,"JPY")*$E$5+SUMIFS(Opex_Budget!$Z:$Z,Opex_Budget!$A:$A,$C$3,Opex_Budget!$E:$E,$B$674,Opex_Budget!$F:$F,$D$674,Opex_Budget!$N:$N,"USD")*$F$5+SUMIFS(Opex_Budget!$Z:$Z,Opex_Budget!$A:$A,$C$3,Opex_Budget!$E:$E,$B$674,Opex_Budget!$F:$F,$D$674,Opex_Budget!$N:$N,"EUR")*$G$5+SUMIFS(Opex_Budget!$Z:$Z,Opex_Budget!$A:$A,$C$3,Opex_Budget!$E:$E,$B$674,Opex_Budget!$F:$F,$D$674,Opex_Budget!$N:$N,"GBP")*$H$5)</f>
        <v/>
      </c>
      <c r="T674" s="32">
        <f>IF($B$674="","",SUMIF($H$7:$S$7,"&lt;="&amp;$C$4,$H674:$S674))</f>
        <v/>
      </c>
      <c r="U674" s="32">
        <f>IF($B$674="","",SUMIF($H$7:$S$7,"&gt;"&amp;$C$4,$H674:$S674))</f>
        <v/>
      </c>
      <c r="V674" s="32">
        <f>IF($B$674="","",SUM($H674:$S674))</f>
        <v/>
      </c>
      <c r="X674" s="22">
        <f>IF($B674="","",IFERROR(INDEX(Cost_Centers!$E:$E,MATCH($B674,Cost_Centers!$A:$A,0)),"(unknown)"))</f>
        <v/>
      </c>
      <c r="Y674" s="22">
        <f>IF($B674="","",IFERROR(INDEX(Cost_Centers!$D:$D,MATCH($B674,Cost_Centers!$A:$A,0)),"(unknown)"))</f>
        <v/>
      </c>
      <c r="Z674" s="22">
        <f>IF(OR($B674="",$G674&lt;&gt;"Variance vs Budget"),"",ABS(N($V674))+ROW()/1000000000)</f>
        <v/>
      </c>
    </row>
    <row r="675">
      <c r="A675" s="13">
        <f>IF(A$674="","",A$674)</f>
        <v/>
      </c>
      <c r="B675" s="13">
        <f>IF(B$674="","",B$674)</f>
        <v/>
      </c>
      <c r="C675" s="13">
        <f>IF(C$674="","",C$674)</f>
        <v/>
      </c>
      <c r="D675" s="13">
        <f>IF(D$674="","",D$674)</f>
        <v/>
      </c>
      <c r="E675" s="13">
        <f>IF(E$674="","",E$674)</f>
        <v/>
      </c>
      <c r="F675" s="13">
        <f>IF(F$674="","",F$674)</f>
        <v/>
      </c>
      <c r="G675" s="7" t="inlineStr">
        <is>
          <t>Actual</t>
        </is>
      </c>
      <c r="H675" s="18">
        <f>IF(OR($B$674="",1&gt;$C$4),"",SUMIFS(Actuals!$G:$G,Actuals!$B:$B,$C$3,Actuals!$C:$C,1,Actuals!$D:$D,$B$674,Actuals!$A:$A,LEFT($D$674,FIND("|",$D$674&amp;"|")-1),Actuals!$E:$E,MID($D$674,FIND("|",$D$674&amp;"|")+1,50),Actuals!$F:$F,"JPY")*$E$5+SUMIFS(Actuals!$G:$G,Actuals!$B:$B,$C$3,Actuals!$C:$C,1,Actuals!$D:$D,$B$674,Actuals!$A:$A,LEFT($D$674,FIND("|",$D$674&amp;"|")-1),Actuals!$E:$E,MID($D$674,FIND("|",$D$674&amp;"|")+1,50),Actuals!$F:$F,"USD")*$F$5+SUMIFS(Actuals!$G:$G,Actuals!$B:$B,$C$3,Actuals!$C:$C,1,Actuals!$D:$D,$B$674,Actuals!$A:$A,LEFT($D$674,FIND("|",$D$674&amp;"|")-1),Actuals!$E:$E,MID($D$674,FIND("|",$D$674&amp;"|")+1,50),Actuals!$F:$F,"EUR")*$G$5+SUMIFS(Actuals!$G:$G,Actuals!$B:$B,$C$3,Actuals!$C:$C,1,Actuals!$D:$D,$B$674,Actuals!$A:$A,LEFT($D$674,FIND("|",$D$674&amp;"|")-1),Actuals!$E:$E,MID($D$674,FIND("|",$D$674&amp;"|")+1,50),Actuals!$F:$F,"GBP")*$H$5)</f>
        <v/>
      </c>
      <c r="I675" s="18">
        <f>IF(OR($B$674="",2&gt;$C$4),"",SUMIFS(Actuals!$G:$G,Actuals!$B:$B,$C$3,Actuals!$C:$C,2,Actuals!$D:$D,$B$674,Actuals!$A:$A,LEFT($D$674,FIND("|",$D$674&amp;"|")-1),Actuals!$E:$E,MID($D$674,FIND("|",$D$674&amp;"|")+1,50),Actuals!$F:$F,"JPY")*$E$5+SUMIFS(Actuals!$G:$G,Actuals!$B:$B,$C$3,Actuals!$C:$C,2,Actuals!$D:$D,$B$674,Actuals!$A:$A,LEFT($D$674,FIND("|",$D$674&amp;"|")-1),Actuals!$E:$E,MID($D$674,FIND("|",$D$674&amp;"|")+1,50),Actuals!$F:$F,"USD")*$F$5+SUMIFS(Actuals!$G:$G,Actuals!$B:$B,$C$3,Actuals!$C:$C,2,Actuals!$D:$D,$B$674,Actuals!$A:$A,LEFT($D$674,FIND("|",$D$674&amp;"|")-1),Actuals!$E:$E,MID($D$674,FIND("|",$D$674&amp;"|")+1,50),Actuals!$F:$F,"EUR")*$G$5+SUMIFS(Actuals!$G:$G,Actuals!$B:$B,$C$3,Actuals!$C:$C,2,Actuals!$D:$D,$B$674,Actuals!$A:$A,LEFT($D$674,FIND("|",$D$674&amp;"|")-1),Actuals!$E:$E,MID($D$674,FIND("|",$D$674&amp;"|")+1,50),Actuals!$F:$F,"GBP")*$H$5)</f>
        <v/>
      </c>
      <c r="J675" s="18">
        <f>IF(OR($B$674="",3&gt;$C$4),"",SUMIFS(Actuals!$G:$G,Actuals!$B:$B,$C$3,Actuals!$C:$C,3,Actuals!$D:$D,$B$674,Actuals!$A:$A,LEFT($D$674,FIND("|",$D$674&amp;"|")-1),Actuals!$E:$E,MID($D$674,FIND("|",$D$674&amp;"|")+1,50),Actuals!$F:$F,"JPY")*$E$5+SUMIFS(Actuals!$G:$G,Actuals!$B:$B,$C$3,Actuals!$C:$C,3,Actuals!$D:$D,$B$674,Actuals!$A:$A,LEFT($D$674,FIND("|",$D$674&amp;"|")-1),Actuals!$E:$E,MID($D$674,FIND("|",$D$674&amp;"|")+1,50),Actuals!$F:$F,"USD")*$F$5+SUMIFS(Actuals!$G:$G,Actuals!$B:$B,$C$3,Actuals!$C:$C,3,Actuals!$D:$D,$B$674,Actuals!$A:$A,LEFT($D$674,FIND("|",$D$674&amp;"|")-1),Actuals!$E:$E,MID($D$674,FIND("|",$D$674&amp;"|")+1,50),Actuals!$F:$F,"EUR")*$G$5+SUMIFS(Actuals!$G:$G,Actuals!$B:$B,$C$3,Actuals!$C:$C,3,Actuals!$D:$D,$B$674,Actuals!$A:$A,LEFT($D$674,FIND("|",$D$674&amp;"|")-1),Actuals!$E:$E,MID($D$674,FIND("|",$D$674&amp;"|")+1,50),Actuals!$F:$F,"GBP")*$H$5)</f>
        <v/>
      </c>
      <c r="K675" s="18">
        <f>IF(OR($B$674="",4&gt;$C$4),"",SUMIFS(Actuals!$G:$G,Actuals!$B:$B,$C$3,Actuals!$C:$C,4,Actuals!$D:$D,$B$674,Actuals!$A:$A,LEFT($D$674,FIND("|",$D$674&amp;"|")-1),Actuals!$E:$E,MID($D$674,FIND("|",$D$674&amp;"|")+1,50),Actuals!$F:$F,"JPY")*$E$5+SUMIFS(Actuals!$G:$G,Actuals!$B:$B,$C$3,Actuals!$C:$C,4,Actuals!$D:$D,$B$674,Actuals!$A:$A,LEFT($D$674,FIND("|",$D$674&amp;"|")-1),Actuals!$E:$E,MID($D$674,FIND("|",$D$674&amp;"|")+1,50),Actuals!$F:$F,"USD")*$F$5+SUMIFS(Actuals!$G:$G,Actuals!$B:$B,$C$3,Actuals!$C:$C,4,Actuals!$D:$D,$B$674,Actuals!$A:$A,LEFT($D$674,FIND("|",$D$674&amp;"|")-1),Actuals!$E:$E,MID($D$674,FIND("|",$D$674&amp;"|")+1,50),Actuals!$F:$F,"EUR")*$G$5+SUMIFS(Actuals!$G:$G,Actuals!$B:$B,$C$3,Actuals!$C:$C,4,Actuals!$D:$D,$B$674,Actuals!$A:$A,LEFT($D$674,FIND("|",$D$674&amp;"|")-1),Actuals!$E:$E,MID($D$674,FIND("|",$D$674&amp;"|")+1,50),Actuals!$F:$F,"GBP")*$H$5)</f>
        <v/>
      </c>
      <c r="L675" s="18">
        <f>IF(OR($B$674="",5&gt;$C$4),"",SUMIFS(Actuals!$G:$G,Actuals!$B:$B,$C$3,Actuals!$C:$C,5,Actuals!$D:$D,$B$674,Actuals!$A:$A,LEFT($D$674,FIND("|",$D$674&amp;"|")-1),Actuals!$E:$E,MID($D$674,FIND("|",$D$674&amp;"|")+1,50),Actuals!$F:$F,"JPY")*$E$5+SUMIFS(Actuals!$G:$G,Actuals!$B:$B,$C$3,Actuals!$C:$C,5,Actuals!$D:$D,$B$674,Actuals!$A:$A,LEFT($D$674,FIND("|",$D$674&amp;"|")-1),Actuals!$E:$E,MID($D$674,FIND("|",$D$674&amp;"|")+1,50),Actuals!$F:$F,"USD")*$F$5+SUMIFS(Actuals!$G:$G,Actuals!$B:$B,$C$3,Actuals!$C:$C,5,Actuals!$D:$D,$B$674,Actuals!$A:$A,LEFT($D$674,FIND("|",$D$674&amp;"|")-1),Actuals!$E:$E,MID($D$674,FIND("|",$D$674&amp;"|")+1,50),Actuals!$F:$F,"EUR")*$G$5+SUMIFS(Actuals!$G:$G,Actuals!$B:$B,$C$3,Actuals!$C:$C,5,Actuals!$D:$D,$B$674,Actuals!$A:$A,LEFT($D$674,FIND("|",$D$674&amp;"|")-1),Actuals!$E:$E,MID($D$674,FIND("|",$D$674&amp;"|")+1,50),Actuals!$F:$F,"GBP")*$H$5)</f>
        <v/>
      </c>
      <c r="M675" s="18">
        <f>IF(OR($B$674="",6&gt;$C$4),"",SUMIFS(Actuals!$G:$G,Actuals!$B:$B,$C$3,Actuals!$C:$C,6,Actuals!$D:$D,$B$674,Actuals!$A:$A,LEFT($D$674,FIND("|",$D$674&amp;"|")-1),Actuals!$E:$E,MID($D$674,FIND("|",$D$674&amp;"|")+1,50),Actuals!$F:$F,"JPY")*$E$5+SUMIFS(Actuals!$G:$G,Actuals!$B:$B,$C$3,Actuals!$C:$C,6,Actuals!$D:$D,$B$674,Actuals!$A:$A,LEFT($D$674,FIND("|",$D$674&amp;"|")-1),Actuals!$E:$E,MID($D$674,FIND("|",$D$674&amp;"|")+1,50),Actuals!$F:$F,"USD")*$F$5+SUMIFS(Actuals!$G:$G,Actuals!$B:$B,$C$3,Actuals!$C:$C,6,Actuals!$D:$D,$B$674,Actuals!$A:$A,LEFT($D$674,FIND("|",$D$674&amp;"|")-1),Actuals!$E:$E,MID($D$674,FIND("|",$D$674&amp;"|")+1,50),Actuals!$F:$F,"EUR")*$G$5+SUMIFS(Actuals!$G:$G,Actuals!$B:$B,$C$3,Actuals!$C:$C,6,Actuals!$D:$D,$B$674,Actuals!$A:$A,LEFT($D$674,FIND("|",$D$674&amp;"|")-1),Actuals!$E:$E,MID($D$674,FIND("|",$D$674&amp;"|")+1,50),Actuals!$F:$F,"GBP")*$H$5)</f>
        <v/>
      </c>
      <c r="N675" s="18">
        <f>IF(OR($B$674="",7&gt;$C$4),"",SUMIFS(Actuals!$G:$G,Actuals!$B:$B,$C$3,Actuals!$C:$C,7,Actuals!$D:$D,$B$674,Actuals!$A:$A,LEFT($D$674,FIND("|",$D$674&amp;"|")-1),Actuals!$E:$E,MID($D$674,FIND("|",$D$674&amp;"|")+1,50),Actuals!$F:$F,"JPY")*$E$5+SUMIFS(Actuals!$G:$G,Actuals!$B:$B,$C$3,Actuals!$C:$C,7,Actuals!$D:$D,$B$674,Actuals!$A:$A,LEFT($D$674,FIND("|",$D$674&amp;"|")-1),Actuals!$E:$E,MID($D$674,FIND("|",$D$674&amp;"|")+1,50),Actuals!$F:$F,"USD")*$F$5+SUMIFS(Actuals!$G:$G,Actuals!$B:$B,$C$3,Actuals!$C:$C,7,Actuals!$D:$D,$B$674,Actuals!$A:$A,LEFT($D$674,FIND("|",$D$674&amp;"|")-1),Actuals!$E:$E,MID($D$674,FIND("|",$D$674&amp;"|")+1,50),Actuals!$F:$F,"EUR")*$G$5+SUMIFS(Actuals!$G:$G,Actuals!$B:$B,$C$3,Actuals!$C:$C,7,Actuals!$D:$D,$B$674,Actuals!$A:$A,LEFT($D$674,FIND("|",$D$674&amp;"|")-1),Actuals!$E:$E,MID($D$674,FIND("|",$D$674&amp;"|")+1,50),Actuals!$F:$F,"GBP")*$H$5)</f>
        <v/>
      </c>
      <c r="O675" s="18">
        <f>IF(OR($B$674="",8&gt;$C$4),"",SUMIFS(Actuals!$G:$G,Actuals!$B:$B,$C$3,Actuals!$C:$C,8,Actuals!$D:$D,$B$674,Actuals!$A:$A,LEFT($D$674,FIND("|",$D$674&amp;"|")-1),Actuals!$E:$E,MID($D$674,FIND("|",$D$674&amp;"|")+1,50),Actuals!$F:$F,"JPY")*$E$5+SUMIFS(Actuals!$G:$G,Actuals!$B:$B,$C$3,Actuals!$C:$C,8,Actuals!$D:$D,$B$674,Actuals!$A:$A,LEFT($D$674,FIND("|",$D$674&amp;"|")-1),Actuals!$E:$E,MID($D$674,FIND("|",$D$674&amp;"|")+1,50),Actuals!$F:$F,"USD")*$F$5+SUMIFS(Actuals!$G:$G,Actuals!$B:$B,$C$3,Actuals!$C:$C,8,Actuals!$D:$D,$B$674,Actuals!$A:$A,LEFT($D$674,FIND("|",$D$674&amp;"|")-1),Actuals!$E:$E,MID($D$674,FIND("|",$D$674&amp;"|")+1,50),Actuals!$F:$F,"EUR")*$G$5+SUMIFS(Actuals!$G:$G,Actuals!$B:$B,$C$3,Actuals!$C:$C,8,Actuals!$D:$D,$B$674,Actuals!$A:$A,LEFT($D$674,FIND("|",$D$674&amp;"|")-1),Actuals!$E:$E,MID($D$674,FIND("|",$D$674&amp;"|")+1,50),Actuals!$F:$F,"GBP")*$H$5)</f>
        <v/>
      </c>
      <c r="P675" s="18">
        <f>IF(OR($B$674="",9&gt;$C$4),"",SUMIFS(Actuals!$G:$G,Actuals!$B:$B,$C$3,Actuals!$C:$C,9,Actuals!$D:$D,$B$674,Actuals!$A:$A,LEFT($D$674,FIND("|",$D$674&amp;"|")-1),Actuals!$E:$E,MID($D$674,FIND("|",$D$674&amp;"|")+1,50),Actuals!$F:$F,"JPY")*$E$5+SUMIFS(Actuals!$G:$G,Actuals!$B:$B,$C$3,Actuals!$C:$C,9,Actuals!$D:$D,$B$674,Actuals!$A:$A,LEFT($D$674,FIND("|",$D$674&amp;"|")-1),Actuals!$E:$E,MID($D$674,FIND("|",$D$674&amp;"|")+1,50),Actuals!$F:$F,"USD")*$F$5+SUMIFS(Actuals!$G:$G,Actuals!$B:$B,$C$3,Actuals!$C:$C,9,Actuals!$D:$D,$B$674,Actuals!$A:$A,LEFT($D$674,FIND("|",$D$674&amp;"|")-1),Actuals!$E:$E,MID($D$674,FIND("|",$D$674&amp;"|")+1,50),Actuals!$F:$F,"EUR")*$G$5+SUMIFS(Actuals!$G:$G,Actuals!$B:$B,$C$3,Actuals!$C:$C,9,Actuals!$D:$D,$B$674,Actuals!$A:$A,LEFT($D$674,FIND("|",$D$674&amp;"|")-1),Actuals!$E:$E,MID($D$674,FIND("|",$D$674&amp;"|")+1,50),Actuals!$F:$F,"GBP")*$H$5)</f>
        <v/>
      </c>
      <c r="Q675" s="18">
        <f>IF(OR($B$674="",10&gt;$C$4),"",SUMIFS(Actuals!$G:$G,Actuals!$B:$B,$C$3,Actuals!$C:$C,10,Actuals!$D:$D,$B$674,Actuals!$A:$A,LEFT($D$674,FIND("|",$D$674&amp;"|")-1),Actuals!$E:$E,MID($D$674,FIND("|",$D$674&amp;"|")+1,50),Actuals!$F:$F,"JPY")*$E$5+SUMIFS(Actuals!$G:$G,Actuals!$B:$B,$C$3,Actuals!$C:$C,10,Actuals!$D:$D,$B$674,Actuals!$A:$A,LEFT($D$674,FIND("|",$D$674&amp;"|")-1),Actuals!$E:$E,MID($D$674,FIND("|",$D$674&amp;"|")+1,50),Actuals!$F:$F,"USD")*$F$5+SUMIFS(Actuals!$G:$G,Actuals!$B:$B,$C$3,Actuals!$C:$C,10,Actuals!$D:$D,$B$674,Actuals!$A:$A,LEFT($D$674,FIND("|",$D$674&amp;"|")-1),Actuals!$E:$E,MID($D$674,FIND("|",$D$674&amp;"|")+1,50),Actuals!$F:$F,"EUR")*$G$5+SUMIFS(Actuals!$G:$G,Actuals!$B:$B,$C$3,Actuals!$C:$C,10,Actuals!$D:$D,$B$674,Actuals!$A:$A,LEFT($D$674,FIND("|",$D$674&amp;"|")-1),Actuals!$E:$E,MID($D$674,FIND("|",$D$674&amp;"|")+1,50),Actuals!$F:$F,"GBP")*$H$5)</f>
        <v/>
      </c>
      <c r="R675" s="18">
        <f>IF(OR($B$674="",11&gt;$C$4),"",SUMIFS(Actuals!$G:$G,Actuals!$B:$B,$C$3,Actuals!$C:$C,11,Actuals!$D:$D,$B$674,Actuals!$A:$A,LEFT($D$674,FIND("|",$D$674&amp;"|")-1),Actuals!$E:$E,MID($D$674,FIND("|",$D$674&amp;"|")+1,50),Actuals!$F:$F,"JPY")*$E$5+SUMIFS(Actuals!$G:$G,Actuals!$B:$B,$C$3,Actuals!$C:$C,11,Actuals!$D:$D,$B$674,Actuals!$A:$A,LEFT($D$674,FIND("|",$D$674&amp;"|")-1),Actuals!$E:$E,MID($D$674,FIND("|",$D$674&amp;"|")+1,50),Actuals!$F:$F,"USD")*$F$5+SUMIFS(Actuals!$G:$G,Actuals!$B:$B,$C$3,Actuals!$C:$C,11,Actuals!$D:$D,$B$674,Actuals!$A:$A,LEFT($D$674,FIND("|",$D$674&amp;"|")-1),Actuals!$E:$E,MID($D$674,FIND("|",$D$674&amp;"|")+1,50),Actuals!$F:$F,"EUR")*$G$5+SUMIFS(Actuals!$G:$G,Actuals!$B:$B,$C$3,Actuals!$C:$C,11,Actuals!$D:$D,$B$674,Actuals!$A:$A,LEFT($D$674,FIND("|",$D$674&amp;"|")-1),Actuals!$E:$E,MID($D$674,FIND("|",$D$674&amp;"|")+1,50),Actuals!$F:$F,"GBP")*$H$5)</f>
        <v/>
      </c>
      <c r="S675" s="18">
        <f>IF(OR($B$674="",12&gt;$C$4),"",SUMIFS(Actuals!$G:$G,Actuals!$B:$B,$C$3,Actuals!$C:$C,12,Actuals!$D:$D,$B$674,Actuals!$A:$A,LEFT($D$674,FIND("|",$D$674&amp;"|")-1),Actuals!$E:$E,MID($D$674,FIND("|",$D$674&amp;"|")+1,50),Actuals!$F:$F,"JPY")*$E$5+SUMIFS(Actuals!$G:$G,Actuals!$B:$B,$C$3,Actuals!$C:$C,12,Actuals!$D:$D,$B$674,Actuals!$A:$A,LEFT($D$674,FIND("|",$D$674&amp;"|")-1),Actuals!$E:$E,MID($D$674,FIND("|",$D$674&amp;"|")+1,50),Actuals!$F:$F,"USD")*$F$5+SUMIFS(Actuals!$G:$G,Actuals!$B:$B,$C$3,Actuals!$C:$C,12,Actuals!$D:$D,$B$674,Actuals!$A:$A,LEFT($D$674,FIND("|",$D$674&amp;"|")-1),Actuals!$E:$E,MID($D$674,FIND("|",$D$674&amp;"|")+1,50),Actuals!$F:$F,"EUR")*$G$5+SUMIFS(Actuals!$G:$G,Actuals!$B:$B,$C$3,Actuals!$C:$C,12,Actuals!$D:$D,$B$674,Actuals!$A:$A,LEFT($D$674,FIND("|",$D$674&amp;"|")-1),Actuals!$E:$E,MID($D$674,FIND("|",$D$674&amp;"|")+1,50),Actuals!$F:$F,"GBP")*$H$5)</f>
        <v/>
      </c>
      <c r="T675" s="18">
        <f>IF($B$674="","",SUMIF($H$7:$S$7,"&lt;="&amp;$C$4,$H675:$S675))</f>
        <v/>
      </c>
      <c r="U675" s="18" t="n"/>
      <c r="V675" s="18" t="n"/>
      <c r="X675" s="22">
        <f>IF($B675="","",IFERROR(INDEX(Cost_Centers!$E:$E,MATCH($B675,Cost_Centers!$A:$A,0)),"(unknown)"))</f>
        <v/>
      </c>
      <c r="Y675" s="22">
        <f>IF($B675="","",IFERROR(INDEX(Cost_Centers!$D:$D,MATCH($B675,Cost_Centers!$A:$A,0)),"(unknown)"))</f>
        <v/>
      </c>
      <c r="Z675" s="22">
        <f>IF(OR($B675="",$G675&lt;&gt;"Variance vs Budget"),"",ABS(N($V675))+ROW()/1000000000)</f>
        <v/>
      </c>
    </row>
    <row r="676">
      <c r="A676" s="13">
        <f>IF(A$674="","",A$674)</f>
        <v/>
      </c>
      <c r="B676" s="13">
        <f>IF(B$674="","",B$674)</f>
        <v/>
      </c>
      <c r="C676" s="13">
        <f>IF(C$674="","",C$674)</f>
        <v/>
      </c>
      <c r="D676" s="13">
        <f>IF(D$674="","",D$674)</f>
        <v/>
      </c>
      <c r="E676" s="13">
        <f>IF(E$674="","",E$674)</f>
        <v/>
      </c>
      <c r="F676" s="13">
        <f>IF(F$674="","",F$674)</f>
        <v/>
      </c>
      <c r="G676" s="6" t="inlineStr">
        <is>
          <t>Variance vs Budget</t>
        </is>
      </c>
      <c r="H676" s="33">
        <f>IF(OR($B$674="",1&gt;$C$4),"",N(H675)-H674)</f>
        <v/>
      </c>
      <c r="I676" s="33">
        <f>IF(OR($B$674="",2&gt;$C$4),"",N(I675)-I674)</f>
        <v/>
      </c>
      <c r="J676" s="33">
        <f>IF(OR($B$674="",3&gt;$C$4),"",N(J675)-J674)</f>
        <v/>
      </c>
      <c r="K676" s="33">
        <f>IF(OR($B$674="",4&gt;$C$4),"",N(K675)-K674)</f>
        <v/>
      </c>
      <c r="L676" s="33">
        <f>IF(OR($B$674="",5&gt;$C$4),"",N(L675)-L674)</f>
        <v/>
      </c>
      <c r="M676" s="33">
        <f>IF(OR($B$674="",6&gt;$C$4),"",N(M675)-M674)</f>
        <v/>
      </c>
      <c r="N676" s="33">
        <f>IF(OR($B$674="",7&gt;$C$4),"",N(N675)-N674)</f>
        <v/>
      </c>
      <c r="O676" s="33">
        <f>IF(OR($B$674="",8&gt;$C$4),"",N(O675)-O674)</f>
        <v/>
      </c>
      <c r="P676" s="33">
        <f>IF(OR($B$674="",9&gt;$C$4),"",N(P675)-P674)</f>
        <v/>
      </c>
      <c r="Q676" s="33">
        <f>IF(OR($B$674="",10&gt;$C$4),"",N(Q675)-Q674)</f>
        <v/>
      </c>
      <c r="R676" s="33">
        <f>IF(OR($B$674="",11&gt;$C$4),"",N(R675)-R674)</f>
        <v/>
      </c>
      <c r="S676" s="33">
        <f>IF(OR($B$674="",12&gt;$C$4),"",N(S675)-S674)</f>
        <v/>
      </c>
      <c r="T676" s="33">
        <f>IF($B$674="","",T675-T674)</f>
        <v/>
      </c>
      <c r="U676" s="33">
        <f>IF($B$674="","",U678-U674)</f>
        <v/>
      </c>
      <c r="V676" s="33">
        <f>IF($B$674="","",V678-V674)</f>
        <v/>
      </c>
      <c r="X676" s="22">
        <f>IF($B676="","",IFERROR(INDEX(Cost_Centers!$E:$E,MATCH($B676,Cost_Centers!$A:$A,0)),"(unknown)"))</f>
        <v/>
      </c>
      <c r="Y676" s="22">
        <f>IF($B676="","",IFERROR(INDEX(Cost_Centers!$D:$D,MATCH($B676,Cost_Centers!$A:$A,0)),"(unknown)"))</f>
        <v/>
      </c>
      <c r="Z676" s="22">
        <f>IF(OR($B676="",$G676&lt;&gt;"Variance vs Budget"),"",ABS(N($V676))+ROW()/1000000000)</f>
        <v/>
      </c>
    </row>
    <row r="677">
      <c r="A677" s="13">
        <f>IF(A$674="","",A$674)</f>
        <v/>
      </c>
      <c r="B677" s="13">
        <f>IF(B$674="","",B$674)</f>
        <v/>
      </c>
      <c r="C677" s="13">
        <f>IF(C$674="","",C$674)</f>
        <v/>
      </c>
      <c r="D677" s="13">
        <f>IF(D$674="","",D$674)</f>
        <v/>
      </c>
      <c r="E677" s="13">
        <f>IF(E$674="","",E$674)</f>
        <v/>
      </c>
      <c r="F677" s="13">
        <f>IF(F$674="","",F$674)</f>
        <v/>
      </c>
      <c r="G677" s="7" t="inlineStr">
        <is>
          <t>Forecast (input)</t>
        </is>
      </c>
      <c r="H677" s="34" t="n"/>
      <c r="I677" s="34" t="n"/>
      <c r="J677" s="34" t="n"/>
      <c r="K677" s="34" t="n"/>
      <c r="L677" s="34" t="n"/>
      <c r="M677" s="34" t="n"/>
      <c r="N677" s="34" t="n"/>
      <c r="O677" s="34" t="n"/>
      <c r="P677" s="34" t="n"/>
      <c r="Q677" s="34" t="n"/>
      <c r="R677" s="34" t="n"/>
      <c r="S677" s="34" t="n"/>
      <c r="T677" s="18" t="n"/>
      <c r="U677" s="18" t="n"/>
      <c r="V677" s="18" t="n"/>
      <c r="X677" s="22">
        <f>IF($B677="","",IFERROR(INDEX(Cost_Centers!$E:$E,MATCH($B677,Cost_Centers!$A:$A,0)),"(unknown)"))</f>
        <v/>
      </c>
      <c r="Y677" s="22">
        <f>IF($B677="","",IFERROR(INDEX(Cost_Centers!$D:$D,MATCH($B677,Cost_Centers!$A:$A,0)),"(unknown)"))</f>
        <v/>
      </c>
      <c r="Z677" s="22">
        <f>IF(OR($B677="",$G677&lt;&gt;"Variance vs Budget"),"",ABS(N($V677))+ROW()/1000000000)</f>
        <v/>
      </c>
    </row>
    <row r="678">
      <c r="A678" s="13">
        <f>IF(A$674="","",A$674)</f>
        <v/>
      </c>
      <c r="B678" s="13">
        <f>IF(B$674="","",B$674)</f>
        <v/>
      </c>
      <c r="C678" s="13">
        <f>IF(C$674="","",C$674)</f>
        <v/>
      </c>
      <c r="D678" s="13">
        <f>IF(D$674="","",D$674)</f>
        <v/>
      </c>
      <c r="E678" s="13">
        <f>IF(E$674="","",E$674)</f>
        <v/>
      </c>
      <c r="F678" s="13">
        <f>IF(F$674="","",F$674)</f>
        <v/>
      </c>
      <c r="G678" s="35" t="inlineStr">
        <is>
          <t>Actual + Forecast</t>
        </is>
      </c>
      <c r="H678" s="18">
        <f>IF($B$674="","",IF(1&lt;=$C$4,N(H675),IF(H677="",H674,H677)))</f>
        <v/>
      </c>
      <c r="I678" s="18">
        <f>IF($B$674="","",IF(2&lt;=$C$4,N(I675),IF(I677="",I674,I677)))</f>
        <v/>
      </c>
      <c r="J678" s="18">
        <f>IF($B$674="","",IF(3&lt;=$C$4,N(J675),IF(J677="",J674,J677)))</f>
        <v/>
      </c>
      <c r="K678" s="18">
        <f>IF($B$674="","",IF(4&lt;=$C$4,N(K675),IF(K677="",K674,K677)))</f>
        <v/>
      </c>
      <c r="L678" s="18">
        <f>IF($B$674="","",IF(5&lt;=$C$4,N(L675),IF(L677="",L674,L677)))</f>
        <v/>
      </c>
      <c r="M678" s="18">
        <f>IF($B$674="","",IF(6&lt;=$C$4,N(M675),IF(M677="",M674,M677)))</f>
        <v/>
      </c>
      <c r="N678" s="18">
        <f>IF($B$674="","",IF(7&lt;=$C$4,N(N675),IF(N677="",N674,N677)))</f>
        <v/>
      </c>
      <c r="O678" s="18">
        <f>IF($B$674="","",IF(8&lt;=$C$4,N(O675),IF(O677="",O674,O677)))</f>
        <v/>
      </c>
      <c r="P678" s="18">
        <f>IF($B$674="","",IF(9&lt;=$C$4,N(P675),IF(P677="",P674,P677)))</f>
        <v/>
      </c>
      <c r="Q678" s="18">
        <f>IF($B$674="","",IF(10&lt;=$C$4,N(Q675),IF(Q677="",Q674,Q677)))</f>
        <v/>
      </c>
      <c r="R678" s="18">
        <f>IF($B$674="","",IF(11&lt;=$C$4,N(R675),IF(R677="",R674,R677)))</f>
        <v/>
      </c>
      <c r="S678" s="18">
        <f>IF($B$674="","",IF(12&lt;=$C$4,N(S675),IF(S677="",S674,S677)))</f>
        <v/>
      </c>
      <c r="T678" s="18">
        <f>IF($B$674="","",SUMIF($H$7:$S$7,"&lt;="&amp;$C$4,$H678:$S678))</f>
        <v/>
      </c>
      <c r="U678" s="18">
        <f>IF($B$674="","",SUMIF($H$7:$S$7,"&gt;"&amp;$C$4,$H678:$S678))</f>
        <v/>
      </c>
      <c r="V678" s="18">
        <f>IF($B$674="","",SUM($H678:$S678))</f>
        <v/>
      </c>
      <c r="X678" s="22">
        <f>IF($B678="","",IFERROR(INDEX(Cost_Centers!$E:$E,MATCH($B678,Cost_Centers!$A:$A,0)),"(unknown)"))</f>
        <v/>
      </c>
      <c r="Y678" s="22">
        <f>IF($B678="","",IFERROR(INDEX(Cost_Centers!$D:$D,MATCH($B678,Cost_Centers!$A:$A,0)),"(unknown)"))</f>
        <v/>
      </c>
      <c r="Z678" s="22">
        <f>IF(OR($B678="",$G678&lt;&gt;"Variance vs Budget"),"",ABS(N($V678))+ROW()/1000000000)</f>
        <v/>
      </c>
    </row>
    <row r="679">
      <c r="A679" s="13">
        <f>IF(A$674="","",A$674)</f>
        <v/>
      </c>
      <c r="B679" s="13">
        <f>IF(B$674="","",B$674)</f>
        <v/>
      </c>
      <c r="C679" s="13">
        <f>IF(C$674="","",C$674)</f>
        <v/>
      </c>
      <c r="D679" s="13">
        <f>IF(D$674="","",D$674)</f>
        <v/>
      </c>
      <c r="E679" s="13">
        <f>IF(E$674="","",E$674)</f>
        <v/>
      </c>
      <c r="F679" s="13">
        <f>IF(F$674="","",F$674)</f>
        <v/>
      </c>
      <c r="G679" s="36" t="inlineStr">
        <is>
          <t>Prior Month Forecast</t>
        </is>
      </c>
      <c r="H679" s="37">
        <f>IF($B$674="","",IF(COUNTIFS(Prior_Forecast!$A:$A,$B$674,Prior_Forecast!$B:$B,$D$674)&gt;0,SUMIFS(Prior_Forecast!$C:$C,Prior_Forecast!$A:$A,$B$674,Prior_Forecast!$B:$B,$D$674),""))</f>
        <v/>
      </c>
      <c r="I679" s="37">
        <f>IF($B$674="","",IF(COUNTIFS(Prior_Forecast!$A:$A,$B$674,Prior_Forecast!$B:$B,$D$674)&gt;0,SUMIFS(Prior_Forecast!$D:$D,Prior_Forecast!$A:$A,$B$674,Prior_Forecast!$B:$B,$D$674),""))</f>
        <v/>
      </c>
      <c r="J679" s="37">
        <f>IF($B$674="","",IF(COUNTIFS(Prior_Forecast!$A:$A,$B$674,Prior_Forecast!$B:$B,$D$674)&gt;0,SUMIFS(Prior_Forecast!$E:$E,Prior_Forecast!$A:$A,$B$674,Prior_Forecast!$B:$B,$D$674),""))</f>
        <v/>
      </c>
      <c r="K679" s="37">
        <f>IF($B$674="","",IF(COUNTIFS(Prior_Forecast!$A:$A,$B$674,Prior_Forecast!$B:$B,$D$674)&gt;0,SUMIFS(Prior_Forecast!$F:$F,Prior_Forecast!$A:$A,$B$674,Prior_Forecast!$B:$B,$D$674),""))</f>
        <v/>
      </c>
      <c r="L679" s="37">
        <f>IF($B$674="","",IF(COUNTIFS(Prior_Forecast!$A:$A,$B$674,Prior_Forecast!$B:$B,$D$674)&gt;0,SUMIFS(Prior_Forecast!$G:$G,Prior_Forecast!$A:$A,$B$674,Prior_Forecast!$B:$B,$D$674),""))</f>
        <v/>
      </c>
      <c r="M679" s="37">
        <f>IF($B$674="","",IF(COUNTIFS(Prior_Forecast!$A:$A,$B$674,Prior_Forecast!$B:$B,$D$674)&gt;0,SUMIFS(Prior_Forecast!$H:$H,Prior_Forecast!$A:$A,$B$674,Prior_Forecast!$B:$B,$D$674),""))</f>
        <v/>
      </c>
      <c r="N679" s="37">
        <f>IF($B$674="","",IF(COUNTIFS(Prior_Forecast!$A:$A,$B$674,Prior_Forecast!$B:$B,$D$674)&gt;0,SUMIFS(Prior_Forecast!$I:$I,Prior_Forecast!$A:$A,$B$674,Prior_Forecast!$B:$B,$D$674),""))</f>
        <v/>
      </c>
      <c r="O679" s="37">
        <f>IF($B$674="","",IF(COUNTIFS(Prior_Forecast!$A:$A,$B$674,Prior_Forecast!$B:$B,$D$674)&gt;0,SUMIFS(Prior_Forecast!$J:$J,Prior_Forecast!$A:$A,$B$674,Prior_Forecast!$B:$B,$D$674),""))</f>
        <v/>
      </c>
      <c r="P679" s="37">
        <f>IF($B$674="","",IF(COUNTIFS(Prior_Forecast!$A:$A,$B$674,Prior_Forecast!$B:$B,$D$674)&gt;0,SUMIFS(Prior_Forecast!$K:$K,Prior_Forecast!$A:$A,$B$674,Prior_Forecast!$B:$B,$D$674),""))</f>
        <v/>
      </c>
      <c r="Q679" s="37">
        <f>IF($B$674="","",IF(COUNTIFS(Prior_Forecast!$A:$A,$B$674,Prior_Forecast!$B:$B,$D$674)&gt;0,SUMIFS(Prior_Forecast!$L:$L,Prior_Forecast!$A:$A,$B$674,Prior_Forecast!$B:$B,$D$674),""))</f>
        <v/>
      </c>
      <c r="R679" s="37">
        <f>IF($B$674="","",IF(COUNTIFS(Prior_Forecast!$A:$A,$B$674,Prior_Forecast!$B:$B,$D$674)&gt;0,SUMIFS(Prior_Forecast!$M:$M,Prior_Forecast!$A:$A,$B$674,Prior_Forecast!$B:$B,$D$674),""))</f>
        <v/>
      </c>
      <c r="S679" s="37">
        <f>IF($B$674="","",IF(COUNTIFS(Prior_Forecast!$A:$A,$B$674,Prior_Forecast!$B:$B,$D$674)&gt;0,SUMIFS(Prior_Forecast!$N:$N,Prior_Forecast!$A:$A,$B$674,Prior_Forecast!$B:$B,$D$674),""))</f>
        <v/>
      </c>
      <c r="T679" s="37">
        <f>IF($B$674="","",IF(COUNTIFS(Prior_Forecast!$A:$A,$B$674,Prior_Forecast!$B:$B,$D$674)&gt;0,SUMIFS(Prior_Forecast!$O:$O,Prior_Forecast!$A:$A,$B$674,Prior_Forecast!$B:$B,$D$674),""))</f>
        <v/>
      </c>
      <c r="U679" s="37">
        <f>IF($B$674="","",IF(COUNTIFS(Prior_Forecast!$A:$A,$B$674,Prior_Forecast!$B:$B,$D$674)&gt;0,SUMIFS(Prior_Forecast!$P:$P,Prior_Forecast!$A:$A,$B$674,Prior_Forecast!$B:$B,$D$674),""))</f>
        <v/>
      </c>
      <c r="V679" s="37">
        <f>IF($B$674="","",IF(COUNTIFS(Prior_Forecast!$A:$A,$B$674,Prior_Forecast!$B:$B,$D$674)&gt;0,SUMIFS(Prior_Forecast!$Q:$Q,Prior_Forecast!$A:$A,$B$674,Prior_Forecast!$B:$B,$D$674),""))</f>
        <v/>
      </c>
      <c r="X679" s="22">
        <f>IF($B679="","",IFERROR(INDEX(Cost_Centers!$E:$E,MATCH($B679,Cost_Centers!$A:$A,0)),"(unknown)"))</f>
        <v/>
      </c>
      <c r="Y679" s="22">
        <f>IF($B679="","",IFERROR(INDEX(Cost_Centers!$D:$D,MATCH($B679,Cost_Centers!$A:$A,0)),"(unknown)"))</f>
        <v/>
      </c>
      <c r="Z679" s="22">
        <f>IF(OR($B679="",$G679&lt;&gt;"Variance vs Budget"),"",ABS(N($V679))+ROW()/1000000000)</f>
        <v/>
      </c>
    </row>
    <row r="680">
      <c r="A680" s="13">
        <f>IF(A$674="","",A$674)</f>
        <v/>
      </c>
      <c r="B680" s="13">
        <f>IF(B$674="","",B$674)</f>
        <v/>
      </c>
      <c r="C680" s="13">
        <f>IF(C$674="","",C$674)</f>
        <v/>
      </c>
      <c r="D680" s="13">
        <f>IF(D$674="","",D$674)</f>
        <v/>
      </c>
      <c r="E680" s="13">
        <f>IF(E$674="","",E$674)</f>
        <v/>
      </c>
      <c r="F680" s="13">
        <f>IF(F$674="","",F$674)</f>
        <v/>
      </c>
      <c r="G680" s="6" t="inlineStr">
        <is>
          <t>Variance vs Prior Month</t>
        </is>
      </c>
      <c r="H680" s="33">
        <f>IF(OR($B$674="",H679=""),"",H678-H679)</f>
        <v/>
      </c>
      <c r="I680" s="33">
        <f>IF(OR($B$674="",I679=""),"",I678-I679)</f>
        <v/>
      </c>
      <c r="J680" s="33">
        <f>IF(OR($B$674="",J679=""),"",J678-J679)</f>
        <v/>
      </c>
      <c r="K680" s="33">
        <f>IF(OR($B$674="",K679=""),"",K678-K679)</f>
        <v/>
      </c>
      <c r="L680" s="33">
        <f>IF(OR($B$674="",L679=""),"",L678-L679)</f>
        <v/>
      </c>
      <c r="M680" s="33">
        <f>IF(OR($B$674="",M679=""),"",M678-M679)</f>
        <v/>
      </c>
      <c r="N680" s="33">
        <f>IF(OR($B$674="",N679=""),"",N678-N679)</f>
        <v/>
      </c>
      <c r="O680" s="33">
        <f>IF(OR($B$674="",O679=""),"",O678-O679)</f>
        <v/>
      </c>
      <c r="P680" s="33">
        <f>IF(OR($B$674="",P679=""),"",P678-P679)</f>
        <v/>
      </c>
      <c r="Q680" s="33">
        <f>IF(OR($B$674="",Q679=""),"",Q678-Q679)</f>
        <v/>
      </c>
      <c r="R680" s="33">
        <f>IF(OR($B$674="",R679=""),"",R678-R679)</f>
        <v/>
      </c>
      <c r="S680" s="33">
        <f>IF(OR($B$674="",S679=""),"",S678-S679)</f>
        <v/>
      </c>
      <c r="T680" s="33">
        <f>IF(OR($B$674="",T679=""),"",T678-T679)</f>
        <v/>
      </c>
      <c r="U680" s="33">
        <f>IF(OR($B$674="",U679=""),"",U678-U679)</f>
        <v/>
      </c>
      <c r="V680" s="33">
        <f>IF(OR($B$674="",V679=""),"",V678-V679)</f>
        <v/>
      </c>
      <c r="X680" s="22">
        <f>IF($B680="","",IFERROR(INDEX(Cost_Centers!$E:$E,MATCH($B680,Cost_Centers!$A:$A,0)),"(unknown)"))</f>
        <v/>
      </c>
      <c r="Y680" s="22">
        <f>IF($B680="","",IFERROR(INDEX(Cost_Centers!$D:$D,MATCH($B680,Cost_Centers!$A:$A,0)),"(unknown)"))</f>
        <v/>
      </c>
      <c r="Z680" s="22">
        <f>IF(OR($B680="",$G680&lt;&gt;"Variance vs Budget"),"",ABS(N($V680))+ROW()/1000000000)</f>
        <v/>
      </c>
    </row>
    <row r="681" ht="45" customHeight="1">
      <c r="A681" s="13">
        <f>IF(A$674="","",A$674)</f>
        <v/>
      </c>
      <c r="B681" s="13">
        <f>IF(B$674="","",B$674)</f>
        <v/>
      </c>
      <c r="C681" s="13">
        <f>IF(C$674="","",C$674)</f>
        <v/>
      </c>
      <c r="D681" s="13">
        <f>IF(D$674="","",D$674)</f>
        <v/>
      </c>
      <c r="E681" s="13">
        <f>IF(E$674="","",E$674)</f>
        <v/>
      </c>
      <c r="F681" s="13">
        <f>IF(F$674="","",F$674)</f>
        <v/>
      </c>
      <c r="G681" s="7" t="inlineStr">
        <is>
          <t>Rationale</t>
        </is>
      </c>
      <c r="H681" s="38" t="n"/>
      <c r="I681" s="38" t="n"/>
      <c r="J681" s="38" t="n"/>
      <c r="K681" s="38" t="n"/>
      <c r="L681" s="38" t="n"/>
      <c r="M681" s="38" t="n"/>
      <c r="N681" s="38" t="n"/>
      <c r="O681" s="38" t="n"/>
      <c r="P681" s="38" t="n"/>
      <c r="Q681" s="38" t="n"/>
      <c r="R681" s="38" t="n"/>
      <c r="S681" s="38" t="n"/>
      <c r="T681" s="38" t="n"/>
      <c r="U681" s="38" t="n"/>
      <c r="V681" s="7" t="n"/>
      <c r="X681" s="22">
        <f>IF($B681="","",IFERROR(INDEX(Cost_Centers!$E:$E,MATCH($B681,Cost_Centers!$A:$A,0)),"(unknown)"))</f>
        <v/>
      </c>
      <c r="Y681" s="22">
        <f>IF($B681="","",IFERROR(INDEX(Cost_Centers!$D:$D,MATCH($B681,Cost_Centers!$A:$A,0)),"(unknown)"))</f>
        <v/>
      </c>
      <c r="Z681" s="22">
        <f>IF(OR($B681="",$G681&lt;&gt;"Variance vs Budget"),"",ABS(N($V681))+ROW()/1000000000)</f>
        <v/>
      </c>
    </row>
    <row r="682">
      <c r="A682" s="30">
        <f>IF($D$682="","",LEFT($D$682,FIND("|",$D$682&amp;"|")-1))</f>
        <v/>
      </c>
      <c r="B682" s="31" t="n"/>
      <c r="C682" s="30">
        <f>IF($B$682="","",IFERROR(INDEX(Cost_Centers!$B:$B,MATCH($B$682,Cost_Centers!$A:$A,0)),"(not in master)"))</f>
        <v/>
      </c>
      <c r="D682" s="31" t="n"/>
      <c r="E682" s="30">
        <f>IF($D$682="","",IFERROR(INDEX(Accounts!$D:$D,MATCH($D$682,Accounts!$A:$A,0)),"(not in master)"))</f>
        <v/>
      </c>
      <c r="F682" s="31" t="n"/>
      <c r="G682" s="30" t="inlineStr">
        <is>
          <t>Budget</t>
        </is>
      </c>
      <c r="H682" s="32">
        <f>IF($B$682="","",SUMIFS(Opex_Budget!$O:$O,Opex_Budget!$A:$A,$C$3,Opex_Budget!$E:$E,$B$682,Opex_Budget!$F:$F,$D$682,Opex_Budget!$N:$N,"JPY")*$E$5+SUMIFS(Opex_Budget!$O:$O,Opex_Budget!$A:$A,$C$3,Opex_Budget!$E:$E,$B$682,Opex_Budget!$F:$F,$D$682,Opex_Budget!$N:$N,"USD")*$F$5+SUMIFS(Opex_Budget!$O:$O,Opex_Budget!$A:$A,$C$3,Opex_Budget!$E:$E,$B$682,Opex_Budget!$F:$F,$D$682,Opex_Budget!$N:$N,"EUR")*$G$5+SUMIFS(Opex_Budget!$O:$O,Opex_Budget!$A:$A,$C$3,Opex_Budget!$E:$E,$B$682,Opex_Budget!$F:$F,$D$682,Opex_Budget!$N:$N,"GBP")*$H$5)</f>
        <v/>
      </c>
      <c r="I682" s="32">
        <f>IF($B$682="","",SUMIFS(Opex_Budget!$P:$P,Opex_Budget!$A:$A,$C$3,Opex_Budget!$E:$E,$B$682,Opex_Budget!$F:$F,$D$682,Opex_Budget!$N:$N,"JPY")*$E$5+SUMIFS(Opex_Budget!$P:$P,Opex_Budget!$A:$A,$C$3,Opex_Budget!$E:$E,$B$682,Opex_Budget!$F:$F,$D$682,Opex_Budget!$N:$N,"USD")*$F$5+SUMIFS(Opex_Budget!$P:$P,Opex_Budget!$A:$A,$C$3,Opex_Budget!$E:$E,$B$682,Opex_Budget!$F:$F,$D$682,Opex_Budget!$N:$N,"EUR")*$G$5+SUMIFS(Opex_Budget!$P:$P,Opex_Budget!$A:$A,$C$3,Opex_Budget!$E:$E,$B$682,Opex_Budget!$F:$F,$D$682,Opex_Budget!$N:$N,"GBP")*$H$5)</f>
        <v/>
      </c>
      <c r="J682" s="32">
        <f>IF($B$682="","",SUMIFS(Opex_Budget!$Q:$Q,Opex_Budget!$A:$A,$C$3,Opex_Budget!$E:$E,$B$682,Opex_Budget!$F:$F,$D$682,Opex_Budget!$N:$N,"JPY")*$E$5+SUMIFS(Opex_Budget!$Q:$Q,Opex_Budget!$A:$A,$C$3,Opex_Budget!$E:$E,$B$682,Opex_Budget!$F:$F,$D$682,Opex_Budget!$N:$N,"USD")*$F$5+SUMIFS(Opex_Budget!$Q:$Q,Opex_Budget!$A:$A,$C$3,Opex_Budget!$E:$E,$B$682,Opex_Budget!$F:$F,$D$682,Opex_Budget!$N:$N,"EUR")*$G$5+SUMIFS(Opex_Budget!$Q:$Q,Opex_Budget!$A:$A,$C$3,Opex_Budget!$E:$E,$B$682,Opex_Budget!$F:$F,$D$682,Opex_Budget!$N:$N,"GBP")*$H$5)</f>
        <v/>
      </c>
      <c r="K682" s="32">
        <f>IF($B$682="","",SUMIFS(Opex_Budget!$R:$R,Opex_Budget!$A:$A,$C$3,Opex_Budget!$E:$E,$B$682,Opex_Budget!$F:$F,$D$682,Opex_Budget!$N:$N,"JPY")*$E$5+SUMIFS(Opex_Budget!$R:$R,Opex_Budget!$A:$A,$C$3,Opex_Budget!$E:$E,$B$682,Opex_Budget!$F:$F,$D$682,Opex_Budget!$N:$N,"USD")*$F$5+SUMIFS(Opex_Budget!$R:$R,Opex_Budget!$A:$A,$C$3,Opex_Budget!$E:$E,$B$682,Opex_Budget!$F:$F,$D$682,Opex_Budget!$N:$N,"EUR")*$G$5+SUMIFS(Opex_Budget!$R:$R,Opex_Budget!$A:$A,$C$3,Opex_Budget!$E:$E,$B$682,Opex_Budget!$F:$F,$D$682,Opex_Budget!$N:$N,"GBP")*$H$5)</f>
        <v/>
      </c>
      <c r="L682" s="32">
        <f>IF($B$682="","",SUMIFS(Opex_Budget!$S:$S,Opex_Budget!$A:$A,$C$3,Opex_Budget!$E:$E,$B$682,Opex_Budget!$F:$F,$D$682,Opex_Budget!$N:$N,"JPY")*$E$5+SUMIFS(Opex_Budget!$S:$S,Opex_Budget!$A:$A,$C$3,Opex_Budget!$E:$E,$B$682,Opex_Budget!$F:$F,$D$682,Opex_Budget!$N:$N,"USD")*$F$5+SUMIFS(Opex_Budget!$S:$S,Opex_Budget!$A:$A,$C$3,Opex_Budget!$E:$E,$B$682,Opex_Budget!$F:$F,$D$682,Opex_Budget!$N:$N,"EUR")*$G$5+SUMIFS(Opex_Budget!$S:$S,Opex_Budget!$A:$A,$C$3,Opex_Budget!$E:$E,$B$682,Opex_Budget!$F:$F,$D$682,Opex_Budget!$N:$N,"GBP")*$H$5)</f>
        <v/>
      </c>
      <c r="M682" s="32">
        <f>IF($B$682="","",SUMIFS(Opex_Budget!$T:$T,Opex_Budget!$A:$A,$C$3,Opex_Budget!$E:$E,$B$682,Opex_Budget!$F:$F,$D$682,Opex_Budget!$N:$N,"JPY")*$E$5+SUMIFS(Opex_Budget!$T:$T,Opex_Budget!$A:$A,$C$3,Opex_Budget!$E:$E,$B$682,Opex_Budget!$F:$F,$D$682,Opex_Budget!$N:$N,"USD")*$F$5+SUMIFS(Opex_Budget!$T:$T,Opex_Budget!$A:$A,$C$3,Opex_Budget!$E:$E,$B$682,Opex_Budget!$F:$F,$D$682,Opex_Budget!$N:$N,"EUR")*$G$5+SUMIFS(Opex_Budget!$T:$T,Opex_Budget!$A:$A,$C$3,Opex_Budget!$E:$E,$B$682,Opex_Budget!$F:$F,$D$682,Opex_Budget!$N:$N,"GBP")*$H$5)</f>
        <v/>
      </c>
      <c r="N682" s="32">
        <f>IF($B$682="","",SUMIFS(Opex_Budget!$U:$U,Opex_Budget!$A:$A,$C$3,Opex_Budget!$E:$E,$B$682,Opex_Budget!$F:$F,$D$682,Opex_Budget!$N:$N,"JPY")*$E$5+SUMIFS(Opex_Budget!$U:$U,Opex_Budget!$A:$A,$C$3,Opex_Budget!$E:$E,$B$682,Opex_Budget!$F:$F,$D$682,Opex_Budget!$N:$N,"USD")*$F$5+SUMIFS(Opex_Budget!$U:$U,Opex_Budget!$A:$A,$C$3,Opex_Budget!$E:$E,$B$682,Opex_Budget!$F:$F,$D$682,Opex_Budget!$N:$N,"EUR")*$G$5+SUMIFS(Opex_Budget!$U:$U,Opex_Budget!$A:$A,$C$3,Opex_Budget!$E:$E,$B$682,Opex_Budget!$F:$F,$D$682,Opex_Budget!$N:$N,"GBP")*$H$5)</f>
        <v/>
      </c>
      <c r="O682" s="32">
        <f>IF($B$682="","",SUMIFS(Opex_Budget!$V:$V,Opex_Budget!$A:$A,$C$3,Opex_Budget!$E:$E,$B$682,Opex_Budget!$F:$F,$D$682,Opex_Budget!$N:$N,"JPY")*$E$5+SUMIFS(Opex_Budget!$V:$V,Opex_Budget!$A:$A,$C$3,Opex_Budget!$E:$E,$B$682,Opex_Budget!$F:$F,$D$682,Opex_Budget!$N:$N,"USD")*$F$5+SUMIFS(Opex_Budget!$V:$V,Opex_Budget!$A:$A,$C$3,Opex_Budget!$E:$E,$B$682,Opex_Budget!$F:$F,$D$682,Opex_Budget!$N:$N,"EUR")*$G$5+SUMIFS(Opex_Budget!$V:$V,Opex_Budget!$A:$A,$C$3,Opex_Budget!$E:$E,$B$682,Opex_Budget!$F:$F,$D$682,Opex_Budget!$N:$N,"GBP")*$H$5)</f>
        <v/>
      </c>
      <c r="P682" s="32">
        <f>IF($B$682="","",SUMIFS(Opex_Budget!$W:$W,Opex_Budget!$A:$A,$C$3,Opex_Budget!$E:$E,$B$682,Opex_Budget!$F:$F,$D$682,Opex_Budget!$N:$N,"JPY")*$E$5+SUMIFS(Opex_Budget!$W:$W,Opex_Budget!$A:$A,$C$3,Opex_Budget!$E:$E,$B$682,Opex_Budget!$F:$F,$D$682,Opex_Budget!$N:$N,"USD")*$F$5+SUMIFS(Opex_Budget!$W:$W,Opex_Budget!$A:$A,$C$3,Opex_Budget!$E:$E,$B$682,Opex_Budget!$F:$F,$D$682,Opex_Budget!$N:$N,"EUR")*$G$5+SUMIFS(Opex_Budget!$W:$W,Opex_Budget!$A:$A,$C$3,Opex_Budget!$E:$E,$B$682,Opex_Budget!$F:$F,$D$682,Opex_Budget!$N:$N,"GBP")*$H$5)</f>
        <v/>
      </c>
      <c r="Q682" s="32">
        <f>IF($B$682="","",SUMIFS(Opex_Budget!$X:$X,Opex_Budget!$A:$A,$C$3,Opex_Budget!$E:$E,$B$682,Opex_Budget!$F:$F,$D$682,Opex_Budget!$N:$N,"JPY")*$E$5+SUMIFS(Opex_Budget!$X:$X,Opex_Budget!$A:$A,$C$3,Opex_Budget!$E:$E,$B$682,Opex_Budget!$F:$F,$D$682,Opex_Budget!$N:$N,"USD")*$F$5+SUMIFS(Opex_Budget!$X:$X,Opex_Budget!$A:$A,$C$3,Opex_Budget!$E:$E,$B$682,Opex_Budget!$F:$F,$D$682,Opex_Budget!$N:$N,"EUR")*$G$5+SUMIFS(Opex_Budget!$X:$X,Opex_Budget!$A:$A,$C$3,Opex_Budget!$E:$E,$B$682,Opex_Budget!$F:$F,$D$682,Opex_Budget!$N:$N,"GBP")*$H$5)</f>
        <v/>
      </c>
      <c r="R682" s="32">
        <f>IF($B$682="","",SUMIFS(Opex_Budget!$Y:$Y,Opex_Budget!$A:$A,$C$3,Opex_Budget!$E:$E,$B$682,Opex_Budget!$F:$F,$D$682,Opex_Budget!$N:$N,"JPY")*$E$5+SUMIFS(Opex_Budget!$Y:$Y,Opex_Budget!$A:$A,$C$3,Opex_Budget!$E:$E,$B$682,Opex_Budget!$F:$F,$D$682,Opex_Budget!$N:$N,"USD")*$F$5+SUMIFS(Opex_Budget!$Y:$Y,Opex_Budget!$A:$A,$C$3,Opex_Budget!$E:$E,$B$682,Opex_Budget!$F:$F,$D$682,Opex_Budget!$N:$N,"EUR")*$G$5+SUMIFS(Opex_Budget!$Y:$Y,Opex_Budget!$A:$A,$C$3,Opex_Budget!$E:$E,$B$682,Opex_Budget!$F:$F,$D$682,Opex_Budget!$N:$N,"GBP")*$H$5)</f>
        <v/>
      </c>
      <c r="S682" s="32">
        <f>IF($B$682="","",SUMIFS(Opex_Budget!$Z:$Z,Opex_Budget!$A:$A,$C$3,Opex_Budget!$E:$E,$B$682,Opex_Budget!$F:$F,$D$682,Opex_Budget!$N:$N,"JPY")*$E$5+SUMIFS(Opex_Budget!$Z:$Z,Opex_Budget!$A:$A,$C$3,Opex_Budget!$E:$E,$B$682,Opex_Budget!$F:$F,$D$682,Opex_Budget!$N:$N,"USD")*$F$5+SUMIFS(Opex_Budget!$Z:$Z,Opex_Budget!$A:$A,$C$3,Opex_Budget!$E:$E,$B$682,Opex_Budget!$F:$F,$D$682,Opex_Budget!$N:$N,"EUR")*$G$5+SUMIFS(Opex_Budget!$Z:$Z,Opex_Budget!$A:$A,$C$3,Opex_Budget!$E:$E,$B$682,Opex_Budget!$F:$F,$D$682,Opex_Budget!$N:$N,"GBP")*$H$5)</f>
        <v/>
      </c>
      <c r="T682" s="32">
        <f>IF($B$682="","",SUMIF($H$7:$S$7,"&lt;="&amp;$C$4,$H682:$S682))</f>
        <v/>
      </c>
      <c r="U682" s="32">
        <f>IF($B$682="","",SUMIF($H$7:$S$7,"&gt;"&amp;$C$4,$H682:$S682))</f>
        <v/>
      </c>
      <c r="V682" s="32">
        <f>IF($B$682="","",SUM($H682:$S682))</f>
        <v/>
      </c>
      <c r="X682" s="22">
        <f>IF($B682="","",IFERROR(INDEX(Cost_Centers!$E:$E,MATCH($B682,Cost_Centers!$A:$A,0)),"(unknown)"))</f>
        <v/>
      </c>
      <c r="Y682" s="22">
        <f>IF($B682="","",IFERROR(INDEX(Cost_Centers!$D:$D,MATCH($B682,Cost_Centers!$A:$A,0)),"(unknown)"))</f>
        <v/>
      </c>
      <c r="Z682" s="22">
        <f>IF(OR($B682="",$G682&lt;&gt;"Variance vs Budget"),"",ABS(N($V682))+ROW()/1000000000)</f>
        <v/>
      </c>
    </row>
    <row r="683">
      <c r="A683" s="13">
        <f>IF(A$682="","",A$682)</f>
        <v/>
      </c>
      <c r="B683" s="13">
        <f>IF(B$682="","",B$682)</f>
        <v/>
      </c>
      <c r="C683" s="13">
        <f>IF(C$682="","",C$682)</f>
        <v/>
      </c>
      <c r="D683" s="13">
        <f>IF(D$682="","",D$682)</f>
        <v/>
      </c>
      <c r="E683" s="13">
        <f>IF(E$682="","",E$682)</f>
        <v/>
      </c>
      <c r="F683" s="13">
        <f>IF(F$682="","",F$682)</f>
        <v/>
      </c>
      <c r="G683" s="7" t="inlineStr">
        <is>
          <t>Actual</t>
        </is>
      </c>
      <c r="H683" s="18">
        <f>IF(OR($B$682="",1&gt;$C$4),"",SUMIFS(Actuals!$G:$G,Actuals!$B:$B,$C$3,Actuals!$C:$C,1,Actuals!$D:$D,$B$682,Actuals!$A:$A,LEFT($D$682,FIND("|",$D$682&amp;"|")-1),Actuals!$E:$E,MID($D$682,FIND("|",$D$682&amp;"|")+1,50),Actuals!$F:$F,"JPY")*$E$5+SUMIFS(Actuals!$G:$G,Actuals!$B:$B,$C$3,Actuals!$C:$C,1,Actuals!$D:$D,$B$682,Actuals!$A:$A,LEFT($D$682,FIND("|",$D$682&amp;"|")-1),Actuals!$E:$E,MID($D$682,FIND("|",$D$682&amp;"|")+1,50),Actuals!$F:$F,"USD")*$F$5+SUMIFS(Actuals!$G:$G,Actuals!$B:$B,$C$3,Actuals!$C:$C,1,Actuals!$D:$D,$B$682,Actuals!$A:$A,LEFT($D$682,FIND("|",$D$682&amp;"|")-1),Actuals!$E:$E,MID($D$682,FIND("|",$D$682&amp;"|")+1,50),Actuals!$F:$F,"EUR")*$G$5+SUMIFS(Actuals!$G:$G,Actuals!$B:$B,$C$3,Actuals!$C:$C,1,Actuals!$D:$D,$B$682,Actuals!$A:$A,LEFT($D$682,FIND("|",$D$682&amp;"|")-1),Actuals!$E:$E,MID($D$682,FIND("|",$D$682&amp;"|")+1,50),Actuals!$F:$F,"GBP")*$H$5)</f>
        <v/>
      </c>
      <c r="I683" s="18">
        <f>IF(OR($B$682="",2&gt;$C$4),"",SUMIFS(Actuals!$G:$G,Actuals!$B:$B,$C$3,Actuals!$C:$C,2,Actuals!$D:$D,$B$682,Actuals!$A:$A,LEFT($D$682,FIND("|",$D$682&amp;"|")-1),Actuals!$E:$E,MID($D$682,FIND("|",$D$682&amp;"|")+1,50),Actuals!$F:$F,"JPY")*$E$5+SUMIFS(Actuals!$G:$G,Actuals!$B:$B,$C$3,Actuals!$C:$C,2,Actuals!$D:$D,$B$682,Actuals!$A:$A,LEFT($D$682,FIND("|",$D$682&amp;"|")-1),Actuals!$E:$E,MID($D$682,FIND("|",$D$682&amp;"|")+1,50),Actuals!$F:$F,"USD")*$F$5+SUMIFS(Actuals!$G:$G,Actuals!$B:$B,$C$3,Actuals!$C:$C,2,Actuals!$D:$D,$B$682,Actuals!$A:$A,LEFT($D$682,FIND("|",$D$682&amp;"|")-1),Actuals!$E:$E,MID($D$682,FIND("|",$D$682&amp;"|")+1,50),Actuals!$F:$F,"EUR")*$G$5+SUMIFS(Actuals!$G:$G,Actuals!$B:$B,$C$3,Actuals!$C:$C,2,Actuals!$D:$D,$B$682,Actuals!$A:$A,LEFT($D$682,FIND("|",$D$682&amp;"|")-1),Actuals!$E:$E,MID($D$682,FIND("|",$D$682&amp;"|")+1,50),Actuals!$F:$F,"GBP")*$H$5)</f>
        <v/>
      </c>
      <c r="J683" s="18">
        <f>IF(OR($B$682="",3&gt;$C$4),"",SUMIFS(Actuals!$G:$G,Actuals!$B:$B,$C$3,Actuals!$C:$C,3,Actuals!$D:$D,$B$682,Actuals!$A:$A,LEFT($D$682,FIND("|",$D$682&amp;"|")-1),Actuals!$E:$E,MID($D$682,FIND("|",$D$682&amp;"|")+1,50),Actuals!$F:$F,"JPY")*$E$5+SUMIFS(Actuals!$G:$G,Actuals!$B:$B,$C$3,Actuals!$C:$C,3,Actuals!$D:$D,$B$682,Actuals!$A:$A,LEFT($D$682,FIND("|",$D$682&amp;"|")-1),Actuals!$E:$E,MID($D$682,FIND("|",$D$682&amp;"|")+1,50),Actuals!$F:$F,"USD")*$F$5+SUMIFS(Actuals!$G:$G,Actuals!$B:$B,$C$3,Actuals!$C:$C,3,Actuals!$D:$D,$B$682,Actuals!$A:$A,LEFT($D$682,FIND("|",$D$682&amp;"|")-1),Actuals!$E:$E,MID($D$682,FIND("|",$D$682&amp;"|")+1,50),Actuals!$F:$F,"EUR")*$G$5+SUMIFS(Actuals!$G:$G,Actuals!$B:$B,$C$3,Actuals!$C:$C,3,Actuals!$D:$D,$B$682,Actuals!$A:$A,LEFT($D$682,FIND("|",$D$682&amp;"|")-1),Actuals!$E:$E,MID($D$682,FIND("|",$D$682&amp;"|")+1,50),Actuals!$F:$F,"GBP")*$H$5)</f>
        <v/>
      </c>
      <c r="K683" s="18">
        <f>IF(OR($B$682="",4&gt;$C$4),"",SUMIFS(Actuals!$G:$G,Actuals!$B:$B,$C$3,Actuals!$C:$C,4,Actuals!$D:$D,$B$682,Actuals!$A:$A,LEFT($D$682,FIND("|",$D$682&amp;"|")-1),Actuals!$E:$E,MID($D$682,FIND("|",$D$682&amp;"|")+1,50),Actuals!$F:$F,"JPY")*$E$5+SUMIFS(Actuals!$G:$G,Actuals!$B:$B,$C$3,Actuals!$C:$C,4,Actuals!$D:$D,$B$682,Actuals!$A:$A,LEFT($D$682,FIND("|",$D$682&amp;"|")-1),Actuals!$E:$E,MID($D$682,FIND("|",$D$682&amp;"|")+1,50),Actuals!$F:$F,"USD")*$F$5+SUMIFS(Actuals!$G:$G,Actuals!$B:$B,$C$3,Actuals!$C:$C,4,Actuals!$D:$D,$B$682,Actuals!$A:$A,LEFT($D$682,FIND("|",$D$682&amp;"|")-1),Actuals!$E:$E,MID($D$682,FIND("|",$D$682&amp;"|")+1,50),Actuals!$F:$F,"EUR")*$G$5+SUMIFS(Actuals!$G:$G,Actuals!$B:$B,$C$3,Actuals!$C:$C,4,Actuals!$D:$D,$B$682,Actuals!$A:$A,LEFT($D$682,FIND("|",$D$682&amp;"|")-1),Actuals!$E:$E,MID($D$682,FIND("|",$D$682&amp;"|")+1,50),Actuals!$F:$F,"GBP")*$H$5)</f>
        <v/>
      </c>
      <c r="L683" s="18">
        <f>IF(OR($B$682="",5&gt;$C$4),"",SUMIFS(Actuals!$G:$G,Actuals!$B:$B,$C$3,Actuals!$C:$C,5,Actuals!$D:$D,$B$682,Actuals!$A:$A,LEFT($D$682,FIND("|",$D$682&amp;"|")-1),Actuals!$E:$E,MID($D$682,FIND("|",$D$682&amp;"|")+1,50),Actuals!$F:$F,"JPY")*$E$5+SUMIFS(Actuals!$G:$G,Actuals!$B:$B,$C$3,Actuals!$C:$C,5,Actuals!$D:$D,$B$682,Actuals!$A:$A,LEFT($D$682,FIND("|",$D$682&amp;"|")-1),Actuals!$E:$E,MID($D$682,FIND("|",$D$682&amp;"|")+1,50),Actuals!$F:$F,"USD")*$F$5+SUMIFS(Actuals!$G:$G,Actuals!$B:$B,$C$3,Actuals!$C:$C,5,Actuals!$D:$D,$B$682,Actuals!$A:$A,LEFT($D$682,FIND("|",$D$682&amp;"|")-1),Actuals!$E:$E,MID($D$682,FIND("|",$D$682&amp;"|")+1,50),Actuals!$F:$F,"EUR")*$G$5+SUMIFS(Actuals!$G:$G,Actuals!$B:$B,$C$3,Actuals!$C:$C,5,Actuals!$D:$D,$B$682,Actuals!$A:$A,LEFT($D$682,FIND("|",$D$682&amp;"|")-1),Actuals!$E:$E,MID($D$682,FIND("|",$D$682&amp;"|")+1,50),Actuals!$F:$F,"GBP")*$H$5)</f>
        <v/>
      </c>
      <c r="M683" s="18">
        <f>IF(OR($B$682="",6&gt;$C$4),"",SUMIFS(Actuals!$G:$G,Actuals!$B:$B,$C$3,Actuals!$C:$C,6,Actuals!$D:$D,$B$682,Actuals!$A:$A,LEFT($D$682,FIND("|",$D$682&amp;"|")-1),Actuals!$E:$E,MID($D$682,FIND("|",$D$682&amp;"|")+1,50),Actuals!$F:$F,"JPY")*$E$5+SUMIFS(Actuals!$G:$G,Actuals!$B:$B,$C$3,Actuals!$C:$C,6,Actuals!$D:$D,$B$682,Actuals!$A:$A,LEFT($D$682,FIND("|",$D$682&amp;"|")-1),Actuals!$E:$E,MID($D$682,FIND("|",$D$682&amp;"|")+1,50),Actuals!$F:$F,"USD")*$F$5+SUMIFS(Actuals!$G:$G,Actuals!$B:$B,$C$3,Actuals!$C:$C,6,Actuals!$D:$D,$B$682,Actuals!$A:$A,LEFT($D$682,FIND("|",$D$682&amp;"|")-1),Actuals!$E:$E,MID($D$682,FIND("|",$D$682&amp;"|")+1,50),Actuals!$F:$F,"EUR")*$G$5+SUMIFS(Actuals!$G:$G,Actuals!$B:$B,$C$3,Actuals!$C:$C,6,Actuals!$D:$D,$B$682,Actuals!$A:$A,LEFT($D$682,FIND("|",$D$682&amp;"|")-1),Actuals!$E:$E,MID($D$682,FIND("|",$D$682&amp;"|")+1,50),Actuals!$F:$F,"GBP")*$H$5)</f>
        <v/>
      </c>
      <c r="N683" s="18">
        <f>IF(OR($B$682="",7&gt;$C$4),"",SUMIFS(Actuals!$G:$G,Actuals!$B:$B,$C$3,Actuals!$C:$C,7,Actuals!$D:$D,$B$682,Actuals!$A:$A,LEFT($D$682,FIND("|",$D$682&amp;"|")-1),Actuals!$E:$E,MID($D$682,FIND("|",$D$682&amp;"|")+1,50),Actuals!$F:$F,"JPY")*$E$5+SUMIFS(Actuals!$G:$G,Actuals!$B:$B,$C$3,Actuals!$C:$C,7,Actuals!$D:$D,$B$682,Actuals!$A:$A,LEFT($D$682,FIND("|",$D$682&amp;"|")-1),Actuals!$E:$E,MID($D$682,FIND("|",$D$682&amp;"|")+1,50),Actuals!$F:$F,"USD")*$F$5+SUMIFS(Actuals!$G:$G,Actuals!$B:$B,$C$3,Actuals!$C:$C,7,Actuals!$D:$D,$B$682,Actuals!$A:$A,LEFT($D$682,FIND("|",$D$682&amp;"|")-1),Actuals!$E:$E,MID($D$682,FIND("|",$D$682&amp;"|")+1,50),Actuals!$F:$F,"EUR")*$G$5+SUMIFS(Actuals!$G:$G,Actuals!$B:$B,$C$3,Actuals!$C:$C,7,Actuals!$D:$D,$B$682,Actuals!$A:$A,LEFT($D$682,FIND("|",$D$682&amp;"|")-1),Actuals!$E:$E,MID($D$682,FIND("|",$D$682&amp;"|")+1,50),Actuals!$F:$F,"GBP")*$H$5)</f>
        <v/>
      </c>
      <c r="O683" s="18">
        <f>IF(OR($B$682="",8&gt;$C$4),"",SUMIFS(Actuals!$G:$G,Actuals!$B:$B,$C$3,Actuals!$C:$C,8,Actuals!$D:$D,$B$682,Actuals!$A:$A,LEFT($D$682,FIND("|",$D$682&amp;"|")-1),Actuals!$E:$E,MID($D$682,FIND("|",$D$682&amp;"|")+1,50),Actuals!$F:$F,"JPY")*$E$5+SUMIFS(Actuals!$G:$G,Actuals!$B:$B,$C$3,Actuals!$C:$C,8,Actuals!$D:$D,$B$682,Actuals!$A:$A,LEFT($D$682,FIND("|",$D$682&amp;"|")-1),Actuals!$E:$E,MID($D$682,FIND("|",$D$682&amp;"|")+1,50),Actuals!$F:$F,"USD")*$F$5+SUMIFS(Actuals!$G:$G,Actuals!$B:$B,$C$3,Actuals!$C:$C,8,Actuals!$D:$D,$B$682,Actuals!$A:$A,LEFT($D$682,FIND("|",$D$682&amp;"|")-1),Actuals!$E:$E,MID($D$682,FIND("|",$D$682&amp;"|")+1,50),Actuals!$F:$F,"EUR")*$G$5+SUMIFS(Actuals!$G:$G,Actuals!$B:$B,$C$3,Actuals!$C:$C,8,Actuals!$D:$D,$B$682,Actuals!$A:$A,LEFT($D$682,FIND("|",$D$682&amp;"|")-1),Actuals!$E:$E,MID($D$682,FIND("|",$D$682&amp;"|")+1,50),Actuals!$F:$F,"GBP")*$H$5)</f>
        <v/>
      </c>
      <c r="P683" s="18">
        <f>IF(OR($B$682="",9&gt;$C$4),"",SUMIFS(Actuals!$G:$G,Actuals!$B:$B,$C$3,Actuals!$C:$C,9,Actuals!$D:$D,$B$682,Actuals!$A:$A,LEFT($D$682,FIND("|",$D$682&amp;"|")-1),Actuals!$E:$E,MID($D$682,FIND("|",$D$682&amp;"|")+1,50),Actuals!$F:$F,"JPY")*$E$5+SUMIFS(Actuals!$G:$G,Actuals!$B:$B,$C$3,Actuals!$C:$C,9,Actuals!$D:$D,$B$682,Actuals!$A:$A,LEFT($D$682,FIND("|",$D$682&amp;"|")-1),Actuals!$E:$E,MID($D$682,FIND("|",$D$682&amp;"|")+1,50),Actuals!$F:$F,"USD")*$F$5+SUMIFS(Actuals!$G:$G,Actuals!$B:$B,$C$3,Actuals!$C:$C,9,Actuals!$D:$D,$B$682,Actuals!$A:$A,LEFT($D$682,FIND("|",$D$682&amp;"|")-1),Actuals!$E:$E,MID($D$682,FIND("|",$D$682&amp;"|")+1,50),Actuals!$F:$F,"EUR")*$G$5+SUMIFS(Actuals!$G:$G,Actuals!$B:$B,$C$3,Actuals!$C:$C,9,Actuals!$D:$D,$B$682,Actuals!$A:$A,LEFT($D$682,FIND("|",$D$682&amp;"|")-1),Actuals!$E:$E,MID($D$682,FIND("|",$D$682&amp;"|")+1,50),Actuals!$F:$F,"GBP")*$H$5)</f>
        <v/>
      </c>
      <c r="Q683" s="18">
        <f>IF(OR($B$682="",10&gt;$C$4),"",SUMIFS(Actuals!$G:$G,Actuals!$B:$B,$C$3,Actuals!$C:$C,10,Actuals!$D:$D,$B$682,Actuals!$A:$A,LEFT($D$682,FIND("|",$D$682&amp;"|")-1),Actuals!$E:$E,MID($D$682,FIND("|",$D$682&amp;"|")+1,50),Actuals!$F:$F,"JPY")*$E$5+SUMIFS(Actuals!$G:$G,Actuals!$B:$B,$C$3,Actuals!$C:$C,10,Actuals!$D:$D,$B$682,Actuals!$A:$A,LEFT($D$682,FIND("|",$D$682&amp;"|")-1),Actuals!$E:$E,MID($D$682,FIND("|",$D$682&amp;"|")+1,50),Actuals!$F:$F,"USD")*$F$5+SUMIFS(Actuals!$G:$G,Actuals!$B:$B,$C$3,Actuals!$C:$C,10,Actuals!$D:$D,$B$682,Actuals!$A:$A,LEFT($D$682,FIND("|",$D$682&amp;"|")-1),Actuals!$E:$E,MID($D$682,FIND("|",$D$682&amp;"|")+1,50),Actuals!$F:$F,"EUR")*$G$5+SUMIFS(Actuals!$G:$G,Actuals!$B:$B,$C$3,Actuals!$C:$C,10,Actuals!$D:$D,$B$682,Actuals!$A:$A,LEFT($D$682,FIND("|",$D$682&amp;"|")-1),Actuals!$E:$E,MID($D$682,FIND("|",$D$682&amp;"|")+1,50),Actuals!$F:$F,"GBP")*$H$5)</f>
        <v/>
      </c>
      <c r="R683" s="18">
        <f>IF(OR($B$682="",11&gt;$C$4),"",SUMIFS(Actuals!$G:$G,Actuals!$B:$B,$C$3,Actuals!$C:$C,11,Actuals!$D:$D,$B$682,Actuals!$A:$A,LEFT($D$682,FIND("|",$D$682&amp;"|")-1),Actuals!$E:$E,MID($D$682,FIND("|",$D$682&amp;"|")+1,50),Actuals!$F:$F,"JPY")*$E$5+SUMIFS(Actuals!$G:$G,Actuals!$B:$B,$C$3,Actuals!$C:$C,11,Actuals!$D:$D,$B$682,Actuals!$A:$A,LEFT($D$682,FIND("|",$D$682&amp;"|")-1),Actuals!$E:$E,MID($D$682,FIND("|",$D$682&amp;"|")+1,50),Actuals!$F:$F,"USD")*$F$5+SUMIFS(Actuals!$G:$G,Actuals!$B:$B,$C$3,Actuals!$C:$C,11,Actuals!$D:$D,$B$682,Actuals!$A:$A,LEFT($D$682,FIND("|",$D$682&amp;"|")-1),Actuals!$E:$E,MID($D$682,FIND("|",$D$682&amp;"|")+1,50),Actuals!$F:$F,"EUR")*$G$5+SUMIFS(Actuals!$G:$G,Actuals!$B:$B,$C$3,Actuals!$C:$C,11,Actuals!$D:$D,$B$682,Actuals!$A:$A,LEFT($D$682,FIND("|",$D$682&amp;"|")-1),Actuals!$E:$E,MID($D$682,FIND("|",$D$682&amp;"|")+1,50),Actuals!$F:$F,"GBP")*$H$5)</f>
        <v/>
      </c>
      <c r="S683" s="18">
        <f>IF(OR($B$682="",12&gt;$C$4),"",SUMIFS(Actuals!$G:$G,Actuals!$B:$B,$C$3,Actuals!$C:$C,12,Actuals!$D:$D,$B$682,Actuals!$A:$A,LEFT($D$682,FIND("|",$D$682&amp;"|")-1),Actuals!$E:$E,MID($D$682,FIND("|",$D$682&amp;"|")+1,50),Actuals!$F:$F,"JPY")*$E$5+SUMIFS(Actuals!$G:$G,Actuals!$B:$B,$C$3,Actuals!$C:$C,12,Actuals!$D:$D,$B$682,Actuals!$A:$A,LEFT($D$682,FIND("|",$D$682&amp;"|")-1),Actuals!$E:$E,MID($D$682,FIND("|",$D$682&amp;"|")+1,50),Actuals!$F:$F,"USD")*$F$5+SUMIFS(Actuals!$G:$G,Actuals!$B:$B,$C$3,Actuals!$C:$C,12,Actuals!$D:$D,$B$682,Actuals!$A:$A,LEFT($D$682,FIND("|",$D$682&amp;"|")-1),Actuals!$E:$E,MID($D$682,FIND("|",$D$682&amp;"|")+1,50),Actuals!$F:$F,"EUR")*$G$5+SUMIFS(Actuals!$G:$G,Actuals!$B:$B,$C$3,Actuals!$C:$C,12,Actuals!$D:$D,$B$682,Actuals!$A:$A,LEFT($D$682,FIND("|",$D$682&amp;"|")-1),Actuals!$E:$E,MID($D$682,FIND("|",$D$682&amp;"|")+1,50),Actuals!$F:$F,"GBP")*$H$5)</f>
        <v/>
      </c>
      <c r="T683" s="18">
        <f>IF($B$682="","",SUMIF($H$7:$S$7,"&lt;="&amp;$C$4,$H683:$S683))</f>
        <v/>
      </c>
      <c r="U683" s="18" t="n"/>
      <c r="V683" s="18" t="n"/>
      <c r="X683" s="22">
        <f>IF($B683="","",IFERROR(INDEX(Cost_Centers!$E:$E,MATCH($B683,Cost_Centers!$A:$A,0)),"(unknown)"))</f>
        <v/>
      </c>
      <c r="Y683" s="22">
        <f>IF($B683="","",IFERROR(INDEX(Cost_Centers!$D:$D,MATCH($B683,Cost_Centers!$A:$A,0)),"(unknown)"))</f>
        <v/>
      </c>
      <c r="Z683" s="22">
        <f>IF(OR($B683="",$G683&lt;&gt;"Variance vs Budget"),"",ABS(N($V683))+ROW()/1000000000)</f>
        <v/>
      </c>
    </row>
    <row r="684">
      <c r="A684" s="13">
        <f>IF(A$682="","",A$682)</f>
        <v/>
      </c>
      <c r="B684" s="13">
        <f>IF(B$682="","",B$682)</f>
        <v/>
      </c>
      <c r="C684" s="13">
        <f>IF(C$682="","",C$682)</f>
        <v/>
      </c>
      <c r="D684" s="13">
        <f>IF(D$682="","",D$682)</f>
        <v/>
      </c>
      <c r="E684" s="13">
        <f>IF(E$682="","",E$682)</f>
        <v/>
      </c>
      <c r="F684" s="13">
        <f>IF(F$682="","",F$682)</f>
        <v/>
      </c>
      <c r="G684" s="6" t="inlineStr">
        <is>
          <t>Variance vs Budget</t>
        </is>
      </c>
      <c r="H684" s="33">
        <f>IF(OR($B$682="",1&gt;$C$4),"",N(H683)-H682)</f>
        <v/>
      </c>
      <c r="I684" s="33">
        <f>IF(OR($B$682="",2&gt;$C$4),"",N(I683)-I682)</f>
        <v/>
      </c>
      <c r="J684" s="33">
        <f>IF(OR($B$682="",3&gt;$C$4),"",N(J683)-J682)</f>
        <v/>
      </c>
      <c r="K684" s="33">
        <f>IF(OR($B$682="",4&gt;$C$4),"",N(K683)-K682)</f>
        <v/>
      </c>
      <c r="L684" s="33">
        <f>IF(OR($B$682="",5&gt;$C$4),"",N(L683)-L682)</f>
        <v/>
      </c>
      <c r="M684" s="33">
        <f>IF(OR($B$682="",6&gt;$C$4),"",N(M683)-M682)</f>
        <v/>
      </c>
      <c r="N684" s="33">
        <f>IF(OR($B$682="",7&gt;$C$4),"",N(N683)-N682)</f>
        <v/>
      </c>
      <c r="O684" s="33">
        <f>IF(OR($B$682="",8&gt;$C$4),"",N(O683)-O682)</f>
        <v/>
      </c>
      <c r="P684" s="33">
        <f>IF(OR($B$682="",9&gt;$C$4),"",N(P683)-P682)</f>
        <v/>
      </c>
      <c r="Q684" s="33">
        <f>IF(OR($B$682="",10&gt;$C$4),"",N(Q683)-Q682)</f>
        <v/>
      </c>
      <c r="R684" s="33">
        <f>IF(OR($B$682="",11&gt;$C$4),"",N(R683)-R682)</f>
        <v/>
      </c>
      <c r="S684" s="33">
        <f>IF(OR($B$682="",12&gt;$C$4),"",N(S683)-S682)</f>
        <v/>
      </c>
      <c r="T684" s="33">
        <f>IF($B$682="","",T683-T682)</f>
        <v/>
      </c>
      <c r="U684" s="33">
        <f>IF($B$682="","",U686-U682)</f>
        <v/>
      </c>
      <c r="V684" s="33">
        <f>IF($B$682="","",V686-V682)</f>
        <v/>
      </c>
      <c r="X684" s="22">
        <f>IF($B684="","",IFERROR(INDEX(Cost_Centers!$E:$E,MATCH($B684,Cost_Centers!$A:$A,0)),"(unknown)"))</f>
        <v/>
      </c>
      <c r="Y684" s="22">
        <f>IF($B684="","",IFERROR(INDEX(Cost_Centers!$D:$D,MATCH($B684,Cost_Centers!$A:$A,0)),"(unknown)"))</f>
        <v/>
      </c>
      <c r="Z684" s="22">
        <f>IF(OR($B684="",$G684&lt;&gt;"Variance vs Budget"),"",ABS(N($V684))+ROW()/1000000000)</f>
        <v/>
      </c>
    </row>
    <row r="685">
      <c r="A685" s="13">
        <f>IF(A$682="","",A$682)</f>
        <v/>
      </c>
      <c r="B685" s="13">
        <f>IF(B$682="","",B$682)</f>
        <v/>
      </c>
      <c r="C685" s="13">
        <f>IF(C$682="","",C$682)</f>
        <v/>
      </c>
      <c r="D685" s="13">
        <f>IF(D$682="","",D$682)</f>
        <v/>
      </c>
      <c r="E685" s="13">
        <f>IF(E$682="","",E$682)</f>
        <v/>
      </c>
      <c r="F685" s="13">
        <f>IF(F$682="","",F$682)</f>
        <v/>
      </c>
      <c r="G685" s="7" t="inlineStr">
        <is>
          <t>Forecast (input)</t>
        </is>
      </c>
      <c r="H685" s="34" t="n"/>
      <c r="I685" s="34" t="n"/>
      <c r="J685" s="34" t="n"/>
      <c r="K685" s="34" t="n"/>
      <c r="L685" s="34" t="n"/>
      <c r="M685" s="34" t="n"/>
      <c r="N685" s="34" t="n"/>
      <c r="O685" s="34" t="n"/>
      <c r="P685" s="34" t="n"/>
      <c r="Q685" s="34" t="n"/>
      <c r="R685" s="34" t="n"/>
      <c r="S685" s="34" t="n"/>
      <c r="T685" s="18" t="n"/>
      <c r="U685" s="18" t="n"/>
      <c r="V685" s="18" t="n"/>
      <c r="X685" s="22">
        <f>IF($B685="","",IFERROR(INDEX(Cost_Centers!$E:$E,MATCH($B685,Cost_Centers!$A:$A,0)),"(unknown)"))</f>
        <v/>
      </c>
      <c r="Y685" s="22">
        <f>IF($B685="","",IFERROR(INDEX(Cost_Centers!$D:$D,MATCH($B685,Cost_Centers!$A:$A,0)),"(unknown)"))</f>
        <v/>
      </c>
      <c r="Z685" s="22">
        <f>IF(OR($B685="",$G685&lt;&gt;"Variance vs Budget"),"",ABS(N($V685))+ROW()/1000000000)</f>
        <v/>
      </c>
    </row>
    <row r="686">
      <c r="A686" s="13">
        <f>IF(A$682="","",A$682)</f>
        <v/>
      </c>
      <c r="B686" s="13">
        <f>IF(B$682="","",B$682)</f>
        <v/>
      </c>
      <c r="C686" s="13">
        <f>IF(C$682="","",C$682)</f>
        <v/>
      </c>
      <c r="D686" s="13">
        <f>IF(D$682="","",D$682)</f>
        <v/>
      </c>
      <c r="E686" s="13">
        <f>IF(E$682="","",E$682)</f>
        <v/>
      </c>
      <c r="F686" s="13">
        <f>IF(F$682="","",F$682)</f>
        <v/>
      </c>
      <c r="G686" s="35" t="inlineStr">
        <is>
          <t>Actual + Forecast</t>
        </is>
      </c>
      <c r="H686" s="18">
        <f>IF($B$682="","",IF(1&lt;=$C$4,N(H683),IF(H685="",H682,H685)))</f>
        <v/>
      </c>
      <c r="I686" s="18">
        <f>IF($B$682="","",IF(2&lt;=$C$4,N(I683),IF(I685="",I682,I685)))</f>
        <v/>
      </c>
      <c r="J686" s="18">
        <f>IF($B$682="","",IF(3&lt;=$C$4,N(J683),IF(J685="",J682,J685)))</f>
        <v/>
      </c>
      <c r="K686" s="18">
        <f>IF($B$682="","",IF(4&lt;=$C$4,N(K683),IF(K685="",K682,K685)))</f>
        <v/>
      </c>
      <c r="L686" s="18">
        <f>IF($B$682="","",IF(5&lt;=$C$4,N(L683),IF(L685="",L682,L685)))</f>
        <v/>
      </c>
      <c r="M686" s="18">
        <f>IF($B$682="","",IF(6&lt;=$C$4,N(M683),IF(M685="",M682,M685)))</f>
        <v/>
      </c>
      <c r="N686" s="18">
        <f>IF($B$682="","",IF(7&lt;=$C$4,N(N683),IF(N685="",N682,N685)))</f>
        <v/>
      </c>
      <c r="O686" s="18">
        <f>IF($B$682="","",IF(8&lt;=$C$4,N(O683),IF(O685="",O682,O685)))</f>
        <v/>
      </c>
      <c r="P686" s="18">
        <f>IF($B$682="","",IF(9&lt;=$C$4,N(P683),IF(P685="",P682,P685)))</f>
        <v/>
      </c>
      <c r="Q686" s="18">
        <f>IF($B$682="","",IF(10&lt;=$C$4,N(Q683),IF(Q685="",Q682,Q685)))</f>
        <v/>
      </c>
      <c r="R686" s="18">
        <f>IF($B$682="","",IF(11&lt;=$C$4,N(R683),IF(R685="",R682,R685)))</f>
        <v/>
      </c>
      <c r="S686" s="18">
        <f>IF($B$682="","",IF(12&lt;=$C$4,N(S683),IF(S685="",S682,S685)))</f>
        <v/>
      </c>
      <c r="T686" s="18">
        <f>IF($B$682="","",SUMIF($H$7:$S$7,"&lt;="&amp;$C$4,$H686:$S686))</f>
        <v/>
      </c>
      <c r="U686" s="18">
        <f>IF($B$682="","",SUMIF($H$7:$S$7,"&gt;"&amp;$C$4,$H686:$S686))</f>
        <v/>
      </c>
      <c r="V686" s="18">
        <f>IF($B$682="","",SUM($H686:$S686))</f>
        <v/>
      </c>
      <c r="X686" s="22">
        <f>IF($B686="","",IFERROR(INDEX(Cost_Centers!$E:$E,MATCH($B686,Cost_Centers!$A:$A,0)),"(unknown)"))</f>
        <v/>
      </c>
      <c r="Y686" s="22">
        <f>IF($B686="","",IFERROR(INDEX(Cost_Centers!$D:$D,MATCH($B686,Cost_Centers!$A:$A,0)),"(unknown)"))</f>
        <v/>
      </c>
      <c r="Z686" s="22">
        <f>IF(OR($B686="",$G686&lt;&gt;"Variance vs Budget"),"",ABS(N($V686))+ROW()/1000000000)</f>
        <v/>
      </c>
    </row>
    <row r="687">
      <c r="A687" s="13">
        <f>IF(A$682="","",A$682)</f>
        <v/>
      </c>
      <c r="B687" s="13">
        <f>IF(B$682="","",B$682)</f>
        <v/>
      </c>
      <c r="C687" s="13">
        <f>IF(C$682="","",C$682)</f>
        <v/>
      </c>
      <c r="D687" s="13">
        <f>IF(D$682="","",D$682)</f>
        <v/>
      </c>
      <c r="E687" s="13">
        <f>IF(E$682="","",E$682)</f>
        <v/>
      </c>
      <c r="F687" s="13">
        <f>IF(F$682="","",F$682)</f>
        <v/>
      </c>
      <c r="G687" s="36" t="inlineStr">
        <is>
          <t>Prior Month Forecast</t>
        </is>
      </c>
      <c r="H687" s="37">
        <f>IF($B$682="","",IF(COUNTIFS(Prior_Forecast!$A:$A,$B$682,Prior_Forecast!$B:$B,$D$682)&gt;0,SUMIFS(Prior_Forecast!$C:$C,Prior_Forecast!$A:$A,$B$682,Prior_Forecast!$B:$B,$D$682),""))</f>
        <v/>
      </c>
      <c r="I687" s="37">
        <f>IF($B$682="","",IF(COUNTIFS(Prior_Forecast!$A:$A,$B$682,Prior_Forecast!$B:$B,$D$682)&gt;0,SUMIFS(Prior_Forecast!$D:$D,Prior_Forecast!$A:$A,$B$682,Prior_Forecast!$B:$B,$D$682),""))</f>
        <v/>
      </c>
      <c r="J687" s="37">
        <f>IF($B$682="","",IF(COUNTIFS(Prior_Forecast!$A:$A,$B$682,Prior_Forecast!$B:$B,$D$682)&gt;0,SUMIFS(Prior_Forecast!$E:$E,Prior_Forecast!$A:$A,$B$682,Prior_Forecast!$B:$B,$D$682),""))</f>
        <v/>
      </c>
      <c r="K687" s="37">
        <f>IF($B$682="","",IF(COUNTIFS(Prior_Forecast!$A:$A,$B$682,Prior_Forecast!$B:$B,$D$682)&gt;0,SUMIFS(Prior_Forecast!$F:$F,Prior_Forecast!$A:$A,$B$682,Prior_Forecast!$B:$B,$D$682),""))</f>
        <v/>
      </c>
      <c r="L687" s="37">
        <f>IF($B$682="","",IF(COUNTIFS(Prior_Forecast!$A:$A,$B$682,Prior_Forecast!$B:$B,$D$682)&gt;0,SUMIFS(Prior_Forecast!$G:$G,Prior_Forecast!$A:$A,$B$682,Prior_Forecast!$B:$B,$D$682),""))</f>
        <v/>
      </c>
      <c r="M687" s="37">
        <f>IF($B$682="","",IF(COUNTIFS(Prior_Forecast!$A:$A,$B$682,Prior_Forecast!$B:$B,$D$682)&gt;0,SUMIFS(Prior_Forecast!$H:$H,Prior_Forecast!$A:$A,$B$682,Prior_Forecast!$B:$B,$D$682),""))</f>
        <v/>
      </c>
      <c r="N687" s="37">
        <f>IF($B$682="","",IF(COUNTIFS(Prior_Forecast!$A:$A,$B$682,Prior_Forecast!$B:$B,$D$682)&gt;0,SUMIFS(Prior_Forecast!$I:$I,Prior_Forecast!$A:$A,$B$682,Prior_Forecast!$B:$B,$D$682),""))</f>
        <v/>
      </c>
      <c r="O687" s="37">
        <f>IF($B$682="","",IF(COUNTIFS(Prior_Forecast!$A:$A,$B$682,Prior_Forecast!$B:$B,$D$682)&gt;0,SUMIFS(Prior_Forecast!$J:$J,Prior_Forecast!$A:$A,$B$682,Prior_Forecast!$B:$B,$D$682),""))</f>
        <v/>
      </c>
      <c r="P687" s="37">
        <f>IF($B$682="","",IF(COUNTIFS(Prior_Forecast!$A:$A,$B$682,Prior_Forecast!$B:$B,$D$682)&gt;0,SUMIFS(Prior_Forecast!$K:$K,Prior_Forecast!$A:$A,$B$682,Prior_Forecast!$B:$B,$D$682),""))</f>
        <v/>
      </c>
      <c r="Q687" s="37">
        <f>IF($B$682="","",IF(COUNTIFS(Prior_Forecast!$A:$A,$B$682,Prior_Forecast!$B:$B,$D$682)&gt;0,SUMIFS(Prior_Forecast!$L:$L,Prior_Forecast!$A:$A,$B$682,Prior_Forecast!$B:$B,$D$682),""))</f>
        <v/>
      </c>
      <c r="R687" s="37">
        <f>IF($B$682="","",IF(COUNTIFS(Prior_Forecast!$A:$A,$B$682,Prior_Forecast!$B:$B,$D$682)&gt;0,SUMIFS(Prior_Forecast!$M:$M,Prior_Forecast!$A:$A,$B$682,Prior_Forecast!$B:$B,$D$682),""))</f>
        <v/>
      </c>
      <c r="S687" s="37">
        <f>IF($B$682="","",IF(COUNTIFS(Prior_Forecast!$A:$A,$B$682,Prior_Forecast!$B:$B,$D$682)&gt;0,SUMIFS(Prior_Forecast!$N:$N,Prior_Forecast!$A:$A,$B$682,Prior_Forecast!$B:$B,$D$682),""))</f>
        <v/>
      </c>
      <c r="T687" s="37">
        <f>IF($B$682="","",IF(COUNTIFS(Prior_Forecast!$A:$A,$B$682,Prior_Forecast!$B:$B,$D$682)&gt;0,SUMIFS(Prior_Forecast!$O:$O,Prior_Forecast!$A:$A,$B$682,Prior_Forecast!$B:$B,$D$682),""))</f>
        <v/>
      </c>
      <c r="U687" s="37">
        <f>IF($B$682="","",IF(COUNTIFS(Prior_Forecast!$A:$A,$B$682,Prior_Forecast!$B:$B,$D$682)&gt;0,SUMIFS(Prior_Forecast!$P:$P,Prior_Forecast!$A:$A,$B$682,Prior_Forecast!$B:$B,$D$682),""))</f>
        <v/>
      </c>
      <c r="V687" s="37">
        <f>IF($B$682="","",IF(COUNTIFS(Prior_Forecast!$A:$A,$B$682,Prior_Forecast!$B:$B,$D$682)&gt;0,SUMIFS(Prior_Forecast!$Q:$Q,Prior_Forecast!$A:$A,$B$682,Prior_Forecast!$B:$B,$D$682),""))</f>
        <v/>
      </c>
      <c r="X687" s="22">
        <f>IF($B687="","",IFERROR(INDEX(Cost_Centers!$E:$E,MATCH($B687,Cost_Centers!$A:$A,0)),"(unknown)"))</f>
        <v/>
      </c>
      <c r="Y687" s="22">
        <f>IF($B687="","",IFERROR(INDEX(Cost_Centers!$D:$D,MATCH($B687,Cost_Centers!$A:$A,0)),"(unknown)"))</f>
        <v/>
      </c>
      <c r="Z687" s="22">
        <f>IF(OR($B687="",$G687&lt;&gt;"Variance vs Budget"),"",ABS(N($V687))+ROW()/1000000000)</f>
        <v/>
      </c>
    </row>
    <row r="688">
      <c r="A688" s="13">
        <f>IF(A$682="","",A$682)</f>
        <v/>
      </c>
      <c r="B688" s="13">
        <f>IF(B$682="","",B$682)</f>
        <v/>
      </c>
      <c r="C688" s="13">
        <f>IF(C$682="","",C$682)</f>
        <v/>
      </c>
      <c r="D688" s="13">
        <f>IF(D$682="","",D$682)</f>
        <v/>
      </c>
      <c r="E688" s="13">
        <f>IF(E$682="","",E$682)</f>
        <v/>
      </c>
      <c r="F688" s="13">
        <f>IF(F$682="","",F$682)</f>
        <v/>
      </c>
      <c r="G688" s="6" t="inlineStr">
        <is>
          <t>Variance vs Prior Month</t>
        </is>
      </c>
      <c r="H688" s="33">
        <f>IF(OR($B$682="",H687=""),"",H686-H687)</f>
        <v/>
      </c>
      <c r="I688" s="33">
        <f>IF(OR($B$682="",I687=""),"",I686-I687)</f>
        <v/>
      </c>
      <c r="J688" s="33">
        <f>IF(OR($B$682="",J687=""),"",J686-J687)</f>
        <v/>
      </c>
      <c r="K688" s="33">
        <f>IF(OR($B$682="",K687=""),"",K686-K687)</f>
        <v/>
      </c>
      <c r="L688" s="33">
        <f>IF(OR($B$682="",L687=""),"",L686-L687)</f>
        <v/>
      </c>
      <c r="M688" s="33">
        <f>IF(OR($B$682="",M687=""),"",M686-M687)</f>
        <v/>
      </c>
      <c r="N688" s="33">
        <f>IF(OR($B$682="",N687=""),"",N686-N687)</f>
        <v/>
      </c>
      <c r="O688" s="33">
        <f>IF(OR($B$682="",O687=""),"",O686-O687)</f>
        <v/>
      </c>
      <c r="P688" s="33">
        <f>IF(OR($B$682="",P687=""),"",P686-P687)</f>
        <v/>
      </c>
      <c r="Q688" s="33">
        <f>IF(OR($B$682="",Q687=""),"",Q686-Q687)</f>
        <v/>
      </c>
      <c r="R688" s="33">
        <f>IF(OR($B$682="",R687=""),"",R686-R687)</f>
        <v/>
      </c>
      <c r="S688" s="33">
        <f>IF(OR($B$682="",S687=""),"",S686-S687)</f>
        <v/>
      </c>
      <c r="T688" s="33">
        <f>IF(OR($B$682="",T687=""),"",T686-T687)</f>
        <v/>
      </c>
      <c r="U688" s="33">
        <f>IF(OR($B$682="",U687=""),"",U686-U687)</f>
        <v/>
      </c>
      <c r="V688" s="33">
        <f>IF(OR($B$682="",V687=""),"",V686-V687)</f>
        <v/>
      </c>
      <c r="X688" s="22">
        <f>IF($B688="","",IFERROR(INDEX(Cost_Centers!$E:$E,MATCH($B688,Cost_Centers!$A:$A,0)),"(unknown)"))</f>
        <v/>
      </c>
      <c r="Y688" s="22">
        <f>IF($B688="","",IFERROR(INDEX(Cost_Centers!$D:$D,MATCH($B688,Cost_Centers!$A:$A,0)),"(unknown)"))</f>
        <v/>
      </c>
      <c r="Z688" s="22">
        <f>IF(OR($B688="",$G688&lt;&gt;"Variance vs Budget"),"",ABS(N($V688))+ROW()/1000000000)</f>
        <v/>
      </c>
    </row>
    <row r="689" ht="45" customHeight="1">
      <c r="A689" s="13">
        <f>IF(A$682="","",A$682)</f>
        <v/>
      </c>
      <c r="B689" s="13">
        <f>IF(B$682="","",B$682)</f>
        <v/>
      </c>
      <c r="C689" s="13">
        <f>IF(C$682="","",C$682)</f>
        <v/>
      </c>
      <c r="D689" s="13">
        <f>IF(D$682="","",D$682)</f>
        <v/>
      </c>
      <c r="E689" s="13">
        <f>IF(E$682="","",E$682)</f>
        <v/>
      </c>
      <c r="F689" s="13">
        <f>IF(F$682="","",F$682)</f>
        <v/>
      </c>
      <c r="G689" s="7" t="inlineStr">
        <is>
          <t>Rationale</t>
        </is>
      </c>
      <c r="H689" s="38" t="n"/>
      <c r="I689" s="38" t="n"/>
      <c r="J689" s="38" t="n"/>
      <c r="K689" s="38" t="n"/>
      <c r="L689" s="38" t="n"/>
      <c r="M689" s="38" t="n"/>
      <c r="N689" s="38" t="n"/>
      <c r="O689" s="38" t="n"/>
      <c r="P689" s="38" t="n"/>
      <c r="Q689" s="38" t="n"/>
      <c r="R689" s="38" t="n"/>
      <c r="S689" s="38" t="n"/>
      <c r="T689" s="38" t="n"/>
      <c r="U689" s="38" t="n"/>
      <c r="V689" s="7" t="n"/>
      <c r="X689" s="22">
        <f>IF($B689="","",IFERROR(INDEX(Cost_Centers!$E:$E,MATCH($B689,Cost_Centers!$A:$A,0)),"(unknown)"))</f>
        <v/>
      </c>
      <c r="Y689" s="22">
        <f>IF($B689="","",IFERROR(INDEX(Cost_Centers!$D:$D,MATCH($B689,Cost_Centers!$A:$A,0)),"(unknown)"))</f>
        <v/>
      </c>
      <c r="Z689" s="22">
        <f>IF(OR($B689="",$G689&lt;&gt;"Variance vs Budget"),"",ABS(N($V689))+ROW()/1000000000)</f>
        <v/>
      </c>
    </row>
    <row r="690">
      <c r="A690" s="30">
        <f>IF($D$690="","",LEFT($D$690,FIND("|",$D$690&amp;"|")-1))</f>
        <v/>
      </c>
      <c r="B690" s="31" t="n"/>
      <c r="C690" s="30">
        <f>IF($B$690="","",IFERROR(INDEX(Cost_Centers!$B:$B,MATCH($B$690,Cost_Centers!$A:$A,0)),"(not in master)"))</f>
        <v/>
      </c>
      <c r="D690" s="31" t="n"/>
      <c r="E690" s="30">
        <f>IF($D$690="","",IFERROR(INDEX(Accounts!$D:$D,MATCH($D$690,Accounts!$A:$A,0)),"(not in master)"))</f>
        <v/>
      </c>
      <c r="F690" s="31" t="n"/>
      <c r="G690" s="30" t="inlineStr">
        <is>
          <t>Budget</t>
        </is>
      </c>
      <c r="H690" s="32">
        <f>IF($B$690="","",SUMIFS(Opex_Budget!$O:$O,Opex_Budget!$A:$A,$C$3,Opex_Budget!$E:$E,$B$690,Opex_Budget!$F:$F,$D$690,Opex_Budget!$N:$N,"JPY")*$E$5+SUMIFS(Opex_Budget!$O:$O,Opex_Budget!$A:$A,$C$3,Opex_Budget!$E:$E,$B$690,Opex_Budget!$F:$F,$D$690,Opex_Budget!$N:$N,"USD")*$F$5+SUMIFS(Opex_Budget!$O:$O,Opex_Budget!$A:$A,$C$3,Opex_Budget!$E:$E,$B$690,Opex_Budget!$F:$F,$D$690,Opex_Budget!$N:$N,"EUR")*$G$5+SUMIFS(Opex_Budget!$O:$O,Opex_Budget!$A:$A,$C$3,Opex_Budget!$E:$E,$B$690,Opex_Budget!$F:$F,$D$690,Opex_Budget!$N:$N,"GBP")*$H$5)</f>
        <v/>
      </c>
      <c r="I690" s="32">
        <f>IF($B$690="","",SUMIFS(Opex_Budget!$P:$P,Opex_Budget!$A:$A,$C$3,Opex_Budget!$E:$E,$B$690,Opex_Budget!$F:$F,$D$690,Opex_Budget!$N:$N,"JPY")*$E$5+SUMIFS(Opex_Budget!$P:$P,Opex_Budget!$A:$A,$C$3,Opex_Budget!$E:$E,$B$690,Opex_Budget!$F:$F,$D$690,Opex_Budget!$N:$N,"USD")*$F$5+SUMIFS(Opex_Budget!$P:$P,Opex_Budget!$A:$A,$C$3,Opex_Budget!$E:$E,$B$690,Opex_Budget!$F:$F,$D$690,Opex_Budget!$N:$N,"EUR")*$G$5+SUMIFS(Opex_Budget!$P:$P,Opex_Budget!$A:$A,$C$3,Opex_Budget!$E:$E,$B$690,Opex_Budget!$F:$F,$D$690,Opex_Budget!$N:$N,"GBP")*$H$5)</f>
        <v/>
      </c>
      <c r="J690" s="32">
        <f>IF($B$690="","",SUMIFS(Opex_Budget!$Q:$Q,Opex_Budget!$A:$A,$C$3,Opex_Budget!$E:$E,$B$690,Opex_Budget!$F:$F,$D$690,Opex_Budget!$N:$N,"JPY")*$E$5+SUMIFS(Opex_Budget!$Q:$Q,Opex_Budget!$A:$A,$C$3,Opex_Budget!$E:$E,$B$690,Opex_Budget!$F:$F,$D$690,Opex_Budget!$N:$N,"USD")*$F$5+SUMIFS(Opex_Budget!$Q:$Q,Opex_Budget!$A:$A,$C$3,Opex_Budget!$E:$E,$B$690,Opex_Budget!$F:$F,$D$690,Opex_Budget!$N:$N,"EUR")*$G$5+SUMIFS(Opex_Budget!$Q:$Q,Opex_Budget!$A:$A,$C$3,Opex_Budget!$E:$E,$B$690,Opex_Budget!$F:$F,$D$690,Opex_Budget!$N:$N,"GBP")*$H$5)</f>
        <v/>
      </c>
      <c r="K690" s="32">
        <f>IF($B$690="","",SUMIFS(Opex_Budget!$R:$R,Opex_Budget!$A:$A,$C$3,Opex_Budget!$E:$E,$B$690,Opex_Budget!$F:$F,$D$690,Opex_Budget!$N:$N,"JPY")*$E$5+SUMIFS(Opex_Budget!$R:$R,Opex_Budget!$A:$A,$C$3,Opex_Budget!$E:$E,$B$690,Opex_Budget!$F:$F,$D$690,Opex_Budget!$N:$N,"USD")*$F$5+SUMIFS(Opex_Budget!$R:$R,Opex_Budget!$A:$A,$C$3,Opex_Budget!$E:$E,$B$690,Opex_Budget!$F:$F,$D$690,Opex_Budget!$N:$N,"EUR")*$G$5+SUMIFS(Opex_Budget!$R:$R,Opex_Budget!$A:$A,$C$3,Opex_Budget!$E:$E,$B$690,Opex_Budget!$F:$F,$D$690,Opex_Budget!$N:$N,"GBP")*$H$5)</f>
        <v/>
      </c>
      <c r="L690" s="32">
        <f>IF($B$690="","",SUMIFS(Opex_Budget!$S:$S,Opex_Budget!$A:$A,$C$3,Opex_Budget!$E:$E,$B$690,Opex_Budget!$F:$F,$D$690,Opex_Budget!$N:$N,"JPY")*$E$5+SUMIFS(Opex_Budget!$S:$S,Opex_Budget!$A:$A,$C$3,Opex_Budget!$E:$E,$B$690,Opex_Budget!$F:$F,$D$690,Opex_Budget!$N:$N,"USD")*$F$5+SUMIFS(Opex_Budget!$S:$S,Opex_Budget!$A:$A,$C$3,Opex_Budget!$E:$E,$B$690,Opex_Budget!$F:$F,$D$690,Opex_Budget!$N:$N,"EUR")*$G$5+SUMIFS(Opex_Budget!$S:$S,Opex_Budget!$A:$A,$C$3,Opex_Budget!$E:$E,$B$690,Opex_Budget!$F:$F,$D$690,Opex_Budget!$N:$N,"GBP")*$H$5)</f>
        <v/>
      </c>
      <c r="M690" s="32">
        <f>IF($B$690="","",SUMIFS(Opex_Budget!$T:$T,Opex_Budget!$A:$A,$C$3,Opex_Budget!$E:$E,$B$690,Opex_Budget!$F:$F,$D$690,Opex_Budget!$N:$N,"JPY")*$E$5+SUMIFS(Opex_Budget!$T:$T,Opex_Budget!$A:$A,$C$3,Opex_Budget!$E:$E,$B$690,Opex_Budget!$F:$F,$D$690,Opex_Budget!$N:$N,"USD")*$F$5+SUMIFS(Opex_Budget!$T:$T,Opex_Budget!$A:$A,$C$3,Opex_Budget!$E:$E,$B$690,Opex_Budget!$F:$F,$D$690,Opex_Budget!$N:$N,"EUR")*$G$5+SUMIFS(Opex_Budget!$T:$T,Opex_Budget!$A:$A,$C$3,Opex_Budget!$E:$E,$B$690,Opex_Budget!$F:$F,$D$690,Opex_Budget!$N:$N,"GBP")*$H$5)</f>
        <v/>
      </c>
      <c r="N690" s="32">
        <f>IF($B$690="","",SUMIFS(Opex_Budget!$U:$U,Opex_Budget!$A:$A,$C$3,Opex_Budget!$E:$E,$B$690,Opex_Budget!$F:$F,$D$690,Opex_Budget!$N:$N,"JPY")*$E$5+SUMIFS(Opex_Budget!$U:$U,Opex_Budget!$A:$A,$C$3,Opex_Budget!$E:$E,$B$690,Opex_Budget!$F:$F,$D$690,Opex_Budget!$N:$N,"USD")*$F$5+SUMIFS(Opex_Budget!$U:$U,Opex_Budget!$A:$A,$C$3,Opex_Budget!$E:$E,$B$690,Opex_Budget!$F:$F,$D$690,Opex_Budget!$N:$N,"EUR")*$G$5+SUMIFS(Opex_Budget!$U:$U,Opex_Budget!$A:$A,$C$3,Opex_Budget!$E:$E,$B$690,Opex_Budget!$F:$F,$D$690,Opex_Budget!$N:$N,"GBP")*$H$5)</f>
        <v/>
      </c>
      <c r="O690" s="32">
        <f>IF($B$690="","",SUMIFS(Opex_Budget!$V:$V,Opex_Budget!$A:$A,$C$3,Opex_Budget!$E:$E,$B$690,Opex_Budget!$F:$F,$D$690,Opex_Budget!$N:$N,"JPY")*$E$5+SUMIFS(Opex_Budget!$V:$V,Opex_Budget!$A:$A,$C$3,Opex_Budget!$E:$E,$B$690,Opex_Budget!$F:$F,$D$690,Opex_Budget!$N:$N,"USD")*$F$5+SUMIFS(Opex_Budget!$V:$V,Opex_Budget!$A:$A,$C$3,Opex_Budget!$E:$E,$B$690,Opex_Budget!$F:$F,$D$690,Opex_Budget!$N:$N,"EUR")*$G$5+SUMIFS(Opex_Budget!$V:$V,Opex_Budget!$A:$A,$C$3,Opex_Budget!$E:$E,$B$690,Opex_Budget!$F:$F,$D$690,Opex_Budget!$N:$N,"GBP")*$H$5)</f>
        <v/>
      </c>
      <c r="P690" s="32">
        <f>IF($B$690="","",SUMIFS(Opex_Budget!$W:$W,Opex_Budget!$A:$A,$C$3,Opex_Budget!$E:$E,$B$690,Opex_Budget!$F:$F,$D$690,Opex_Budget!$N:$N,"JPY")*$E$5+SUMIFS(Opex_Budget!$W:$W,Opex_Budget!$A:$A,$C$3,Opex_Budget!$E:$E,$B$690,Opex_Budget!$F:$F,$D$690,Opex_Budget!$N:$N,"USD")*$F$5+SUMIFS(Opex_Budget!$W:$W,Opex_Budget!$A:$A,$C$3,Opex_Budget!$E:$E,$B$690,Opex_Budget!$F:$F,$D$690,Opex_Budget!$N:$N,"EUR")*$G$5+SUMIFS(Opex_Budget!$W:$W,Opex_Budget!$A:$A,$C$3,Opex_Budget!$E:$E,$B$690,Opex_Budget!$F:$F,$D$690,Opex_Budget!$N:$N,"GBP")*$H$5)</f>
        <v/>
      </c>
      <c r="Q690" s="32">
        <f>IF($B$690="","",SUMIFS(Opex_Budget!$X:$X,Opex_Budget!$A:$A,$C$3,Opex_Budget!$E:$E,$B$690,Opex_Budget!$F:$F,$D$690,Opex_Budget!$N:$N,"JPY")*$E$5+SUMIFS(Opex_Budget!$X:$X,Opex_Budget!$A:$A,$C$3,Opex_Budget!$E:$E,$B$690,Opex_Budget!$F:$F,$D$690,Opex_Budget!$N:$N,"USD")*$F$5+SUMIFS(Opex_Budget!$X:$X,Opex_Budget!$A:$A,$C$3,Opex_Budget!$E:$E,$B$690,Opex_Budget!$F:$F,$D$690,Opex_Budget!$N:$N,"EUR")*$G$5+SUMIFS(Opex_Budget!$X:$X,Opex_Budget!$A:$A,$C$3,Opex_Budget!$E:$E,$B$690,Opex_Budget!$F:$F,$D$690,Opex_Budget!$N:$N,"GBP")*$H$5)</f>
        <v/>
      </c>
      <c r="R690" s="32">
        <f>IF($B$690="","",SUMIFS(Opex_Budget!$Y:$Y,Opex_Budget!$A:$A,$C$3,Opex_Budget!$E:$E,$B$690,Opex_Budget!$F:$F,$D$690,Opex_Budget!$N:$N,"JPY")*$E$5+SUMIFS(Opex_Budget!$Y:$Y,Opex_Budget!$A:$A,$C$3,Opex_Budget!$E:$E,$B$690,Opex_Budget!$F:$F,$D$690,Opex_Budget!$N:$N,"USD")*$F$5+SUMIFS(Opex_Budget!$Y:$Y,Opex_Budget!$A:$A,$C$3,Opex_Budget!$E:$E,$B$690,Opex_Budget!$F:$F,$D$690,Opex_Budget!$N:$N,"EUR")*$G$5+SUMIFS(Opex_Budget!$Y:$Y,Opex_Budget!$A:$A,$C$3,Opex_Budget!$E:$E,$B$690,Opex_Budget!$F:$F,$D$690,Opex_Budget!$N:$N,"GBP")*$H$5)</f>
        <v/>
      </c>
      <c r="S690" s="32">
        <f>IF($B$690="","",SUMIFS(Opex_Budget!$Z:$Z,Opex_Budget!$A:$A,$C$3,Opex_Budget!$E:$E,$B$690,Opex_Budget!$F:$F,$D$690,Opex_Budget!$N:$N,"JPY")*$E$5+SUMIFS(Opex_Budget!$Z:$Z,Opex_Budget!$A:$A,$C$3,Opex_Budget!$E:$E,$B$690,Opex_Budget!$F:$F,$D$690,Opex_Budget!$N:$N,"USD")*$F$5+SUMIFS(Opex_Budget!$Z:$Z,Opex_Budget!$A:$A,$C$3,Opex_Budget!$E:$E,$B$690,Opex_Budget!$F:$F,$D$690,Opex_Budget!$N:$N,"EUR")*$G$5+SUMIFS(Opex_Budget!$Z:$Z,Opex_Budget!$A:$A,$C$3,Opex_Budget!$E:$E,$B$690,Opex_Budget!$F:$F,$D$690,Opex_Budget!$N:$N,"GBP")*$H$5)</f>
        <v/>
      </c>
      <c r="T690" s="32">
        <f>IF($B$690="","",SUMIF($H$7:$S$7,"&lt;="&amp;$C$4,$H690:$S690))</f>
        <v/>
      </c>
      <c r="U690" s="32">
        <f>IF($B$690="","",SUMIF($H$7:$S$7,"&gt;"&amp;$C$4,$H690:$S690))</f>
        <v/>
      </c>
      <c r="V690" s="32">
        <f>IF($B$690="","",SUM($H690:$S690))</f>
        <v/>
      </c>
      <c r="X690" s="22">
        <f>IF($B690="","",IFERROR(INDEX(Cost_Centers!$E:$E,MATCH($B690,Cost_Centers!$A:$A,0)),"(unknown)"))</f>
        <v/>
      </c>
      <c r="Y690" s="22">
        <f>IF($B690="","",IFERROR(INDEX(Cost_Centers!$D:$D,MATCH($B690,Cost_Centers!$A:$A,0)),"(unknown)"))</f>
        <v/>
      </c>
      <c r="Z690" s="22">
        <f>IF(OR($B690="",$G690&lt;&gt;"Variance vs Budget"),"",ABS(N($V690))+ROW()/1000000000)</f>
        <v/>
      </c>
    </row>
    <row r="691">
      <c r="A691" s="13">
        <f>IF(A$690="","",A$690)</f>
        <v/>
      </c>
      <c r="B691" s="13">
        <f>IF(B$690="","",B$690)</f>
        <v/>
      </c>
      <c r="C691" s="13">
        <f>IF(C$690="","",C$690)</f>
        <v/>
      </c>
      <c r="D691" s="13">
        <f>IF(D$690="","",D$690)</f>
        <v/>
      </c>
      <c r="E691" s="13">
        <f>IF(E$690="","",E$690)</f>
        <v/>
      </c>
      <c r="F691" s="13">
        <f>IF(F$690="","",F$690)</f>
        <v/>
      </c>
      <c r="G691" s="7" t="inlineStr">
        <is>
          <t>Actual</t>
        </is>
      </c>
      <c r="H691" s="18">
        <f>IF(OR($B$690="",1&gt;$C$4),"",SUMIFS(Actuals!$G:$G,Actuals!$B:$B,$C$3,Actuals!$C:$C,1,Actuals!$D:$D,$B$690,Actuals!$A:$A,LEFT($D$690,FIND("|",$D$690&amp;"|")-1),Actuals!$E:$E,MID($D$690,FIND("|",$D$690&amp;"|")+1,50),Actuals!$F:$F,"JPY")*$E$5+SUMIFS(Actuals!$G:$G,Actuals!$B:$B,$C$3,Actuals!$C:$C,1,Actuals!$D:$D,$B$690,Actuals!$A:$A,LEFT($D$690,FIND("|",$D$690&amp;"|")-1),Actuals!$E:$E,MID($D$690,FIND("|",$D$690&amp;"|")+1,50),Actuals!$F:$F,"USD")*$F$5+SUMIFS(Actuals!$G:$G,Actuals!$B:$B,$C$3,Actuals!$C:$C,1,Actuals!$D:$D,$B$690,Actuals!$A:$A,LEFT($D$690,FIND("|",$D$690&amp;"|")-1),Actuals!$E:$E,MID($D$690,FIND("|",$D$690&amp;"|")+1,50),Actuals!$F:$F,"EUR")*$G$5+SUMIFS(Actuals!$G:$G,Actuals!$B:$B,$C$3,Actuals!$C:$C,1,Actuals!$D:$D,$B$690,Actuals!$A:$A,LEFT($D$690,FIND("|",$D$690&amp;"|")-1),Actuals!$E:$E,MID($D$690,FIND("|",$D$690&amp;"|")+1,50),Actuals!$F:$F,"GBP")*$H$5)</f>
        <v/>
      </c>
      <c r="I691" s="18">
        <f>IF(OR($B$690="",2&gt;$C$4),"",SUMIFS(Actuals!$G:$G,Actuals!$B:$B,$C$3,Actuals!$C:$C,2,Actuals!$D:$D,$B$690,Actuals!$A:$A,LEFT($D$690,FIND("|",$D$690&amp;"|")-1),Actuals!$E:$E,MID($D$690,FIND("|",$D$690&amp;"|")+1,50),Actuals!$F:$F,"JPY")*$E$5+SUMIFS(Actuals!$G:$G,Actuals!$B:$B,$C$3,Actuals!$C:$C,2,Actuals!$D:$D,$B$690,Actuals!$A:$A,LEFT($D$690,FIND("|",$D$690&amp;"|")-1),Actuals!$E:$E,MID($D$690,FIND("|",$D$690&amp;"|")+1,50),Actuals!$F:$F,"USD")*$F$5+SUMIFS(Actuals!$G:$G,Actuals!$B:$B,$C$3,Actuals!$C:$C,2,Actuals!$D:$D,$B$690,Actuals!$A:$A,LEFT($D$690,FIND("|",$D$690&amp;"|")-1),Actuals!$E:$E,MID($D$690,FIND("|",$D$690&amp;"|")+1,50),Actuals!$F:$F,"EUR")*$G$5+SUMIFS(Actuals!$G:$G,Actuals!$B:$B,$C$3,Actuals!$C:$C,2,Actuals!$D:$D,$B$690,Actuals!$A:$A,LEFT($D$690,FIND("|",$D$690&amp;"|")-1),Actuals!$E:$E,MID($D$690,FIND("|",$D$690&amp;"|")+1,50),Actuals!$F:$F,"GBP")*$H$5)</f>
        <v/>
      </c>
      <c r="J691" s="18">
        <f>IF(OR($B$690="",3&gt;$C$4),"",SUMIFS(Actuals!$G:$G,Actuals!$B:$B,$C$3,Actuals!$C:$C,3,Actuals!$D:$D,$B$690,Actuals!$A:$A,LEFT($D$690,FIND("|",$D$690&amp;"|")-1),Actuals!$E:$E,MID($D$690,FIND("|",$D$690&amp;"|")+1,50),Actuals!$F:$F,"JPY")*$E$5+SUMIFS(Actuals!$G:$G,Actuals!$B:$B,$C$3,Actuals!$C:$C,3,Actuals!$D:$D,$B$690,Actuals!$A:$A,LEFT($D$690,FIND("|",$D$690&amp;"|")-1),Actuals!$E:$E,MID($D$690,FIND("|",$D$690&amp;"|")+1,50),Actuals!$F:$F,"USD")*$F$5+SUMIFS(Actuals!$G:$G,Actuals!$B:$B,$C$3,Actuals!$C:$C,3,Actuals!$D:$D,$B$690,Actuals!$A:$A,LEFT($D$690,FIND("|",$D$690&amp;"|")-1),Actuals!$E:$E,MID($D$690,FIND("|",$D$690&amp;"|")+1,50),Actuals!$F:$F,"EUR")*$G$5+SUMIFS(Actuals!$G:$G,Actuals!$B:$B,$C$3,Actuals!$C:$C,3,Actuals!$D:$D,$B$690,Actuals!$A:$A,LEFT($D$690,FIND("|",$D$690&amp;"|")-1),Actuals!$E:$E,MID($D$690,FIND("|",$D$690&amp;"|")+1,50),Actuals!$F:$F,"GBP")*$H$5)</f>
        <v/>
      </c>
      <c r="K691" s="18">
        <f>IF(OR($B$690="",4&gt;$C$4),"",SUMIFS(Actuals!$G:$G,Actuals!$B:$B,$C$3,Actuals!$C:$C,4,Actuals!$D:$D,$B$690,Actuals!$A:$A,LEFT($D$690,FIND("|",$D$690&amp;"|")-1),Actuals!$E:$E,MID($D$690,FIND("|",$D$690&amp;"|")+1,50),Actuals!$F:$F,"JPY")*$E$5+SUMIFS(Actuals!$G:$G,Actuals!$B:$B,$C$3,Actuals!$C:$C,4,Actuals!$D:$D,$B$690,Actuals!$A:$A,LEFT($D$690,FIND("|",$D$690&amp;"|")-1),Actuals!$E:$E,MID($D$690,FIND("|",$D$690&amp;"|")+1,50),Actuals!$F:$F,"USD")*$F$5+SUMIFS(Actuals!$G:$G,Actuals!$B:$B,$C$3,Actuals!$C:$C,4,Actuals!$D:$D,$B$690,Actuals!$A:$A,LEFT($D$690,FIND("|",$D$690&amp;"|")-1),Actuals!$E:$E,MID($D$690,FIND("|",$D$690&amp;"|")+1,50),Actuals!$F:$F,"EUR")*$G$5+SUMIFS(Actuals!$G:$G,Actuals!$B:$B,$C$3,Actuals!$C:$C,4,Actuals!$D:$D,$B$690,Actuals!$A:$A,LEFT($D$690,FIND("|",$D$690&amp;"|")-1),Actuals!$E:$E,MID($D$690,FIND("|",$D$690&amp;"|")+1,50),Actuals!$F:$F,"GBP")*$H$5)</f>
        <v/>
      </c>
      <c r="L691" s="18">
        <f>IF(OR($B$690="",5&gt;$C$4),"",SUMIFS(Actuals!$G:$G,Actuals!$B:$B,$C$3,Actuals!$C:$C,5,Actuals!$D:$D,$B$690,Actuals!$A:$A,LEFT($D$690,FIND("|",$D$690&amp;"|")-1),Actuals!$E:$E,MID($D$690,FIND("|",$D$690&amp;"|")+1,50),Actuals!$F:$F,"JPY")*$E$5+SUMIFS(Actuals!$G:$G,Actuals!$B:$B,$C$3,Actuals!$C:$C,5,Actuals!$D:$D,$B$690,Actuals!$A:$A,LEFT($D$690,FIND("|",$D$690&amp;"|")-1),Actuals!$E:$E,MID($D$690,FIND("|",$D$690&amp;"|")+1,50),Actuals!$F:$F,"USD")*$F$5+SUMIFS(Actuals!$G:$G,Actuals!$B:$B,$C$3,Actuals!$C:$C,5,Actuals!$D:$D,$B$690,Actuals!$A:$A,LEFT($D$690,FIND("|",$D$690&amp;"|")-1),Actuals!$E:$E,MID($D$690,FIND("|",$D$690&amp;"|")+1,50),Actuals!$F:$F,"EUR")*$G$5+SUMIFS(Actuals!$G:$G,Actuals!$B:$B,$C$3,Actuals!$C:$C,5,Actuals!$D:$D,$B$690,Actuals!$A:$A,LEFT($D$690,FIND("|",$D$690&amp;"|")-1),Actuals!$E:$E,MID($D$690,FIND("|",$D$690&amp;"|")+1,50),Actuals!$F:$F,"GBP")*$H$5)</f>
        <v/>
      </c>
      <c r="M691" s="18">
        <f>IF(OR($B$690="",6&gt;$C$4),"",SUMIFS(Actuals!$G:$G,Actuals!$B:$B,$C$3,Actuals!$C:$C,6,Actuals!$D:$D,$B$690,Actuals!$A:$A,LEFT($D$690,FIND("|",$D$690&amp;"|")-1),Actuals!$E:$E,MID($D$690,FIND("|",$D$690&amp;"|")+1,50),Actuals!$F:$F,"JPY")*$E$5+SUMIFS(Actuals!$G:$G,Actuals!$B:$B,$C$3,Actuals!$C:$C,6,Actuals!$D:$D,$B$690,Actuals!$A:$A,LEFT($D$690,FIND("|",$D$690&amp;"|")-1),Actuals!$E:$E,MID($D$690,FIND("|",$D$690&amp;"|")+1,50),Actuals!$F:$F,"USD")*$F$5+SUMIFS(Actuals!$G:$G,Actuals!$B:$B,$C$3,Actuals!$C:$C,6,Actuals!$D:$D,$B$690,Actuals!$A:$A,LEFT($D$690,FIND("|",$D$690&amp;"|")-1),Actuals!$E:$E,MID($D$690,FIND("|",$D$690&amp;"|")+1,50),Actuals!$F:$F,"EUR")*$G$5+SUMIFS(Actuals!$G:$G,Actuals!$B:$B,$C$3,Actuals!$C:$C,6,Actuals!$D:$D,$B$690,Actuals!$A:$A,LEFT($D$690,FIND("|",$D$690&amp;"|")-1),Actuals!$E:$E,MID($D$690,FIND("|",$D$690&amp;"|")+1,50),Actuals!$F:$F,"GBP")*$H$5)</f>
        <v/>
      </c>
      <c r="N691" s="18">
        <f>IF(OR($B$690="",7&gt;$C$4),"",SUMIFS(Actuals!$G:$G,Actuals!$B:$B,$C$3,Actuals!$C:$C,7,Actuals!$D:$D,$B$690,Actuals!$A:$A,LEFT($D$690,FIND("|",$D$690&amp;"|")-1),Actuals!$E:$E,MID($D$690,FIND("|",$D$690&amp;"|")+1,50),Actuals!$F:$F,"JPY")*$E$5+SUMIFS(Actuals!$G:$G,Actuals!$B:$B,$C$3,Actuals!$C:$C,7,Actuals!$D:$D,$B$690,Actuals!$A:$A,LEFT($D$690,FIND("|",$D$690&amp;"|")-1),Actuals!$E:$E,MID($D$690,FIND("|",$D$690&amp;"|")+1,50),Actuals!$F:$F,"USD")*$F$5+SUMIFS(Actuals!$G:$G,Actuals!$B:$B,$C$3,Actuals!$C:$C,7,Actuals!$D:$D,$B$690,Actuals!$A:$A,LEFT($D$690,FIND("|",$D$690&amp;"|")-1),Actuals!$E:$E,MID($D$690,FIND("|",$D$690&amp;"|")+1,50),Actuals!$F:$F,"EUR")*$G$5+SUMIFS(Actuals!$G:$G,Actuals!$B:$B,$C$3,Actuals!$C:$C,7,Actuals!$D:$D,$B$690,Actuals!$A:$A,LEFT($D$690,FIND("|",$D$690&amp;"|")-1),Actuals!$E:$E,MID($D$690,FIND("|",$D$690&amp;"|")+1,50),Actuals!$F:$F,"GBP")*$H$5)</f>
        <v/>
      </c>
      <c r="O691" s="18">
        <f>IF(OR($B$690="",8&gt;$C$4),"",SUMIFS(Actuals!$G:$G,Actuals!$B:$B,$C$3,Actuals!$C:$C,8,Actuals!$D:$D,$B$690,Actuals!$A:$A,LEFT($D$690,FIND("|",$D$690&amp;"|")-1),Actuals!$E:$E,MID($D$690,FIND("|",$D$690&amp;"|")+1,50),Actuals!$F:$F,"JPY")*$E$5+SUMIFS(Actuals!$G:$G,Actuals!$B:$B,$C$3,Actuals!$C:$C,8,Actuals!$D:$D,$B$690,Actuals!$A:$A,LEFT($D$690,FIND("|",$D$690&amp;"|")-1),Actuals!$E:$E,MID($D$690,FIND("|",$D$690&amp;"|")+1,50),Actuals!$F:$F,"USD")*$F$5+SUMIFS(Actuals!$G:$G,Actuals!$B:$B,$C$3,Actuals!$C:$C,8,Actuals!$D:$D,$B$690,Actuals!$A:$A,LEFT($D$690,FIND("|",$D$690&amp;"|")-1),Actuals!$E:$E,MID($D$690,FIND("|",$D$690&amp;"|")+1,50),Actuals!$F:$F,"EUR")*$G$5+SUMIFS(Actuals!$G:$G,Actuals!$B:$B,$C$3,Actuals!$C:$C,8,Actuals!$D:$D,$B$690,Actuals!$A:$A,LEFT($D$690,FIND("|",$D$690&amp;"|")-1),Actuals!$E:$E,MID($D$690,FIND("|",$D$690&amp;"|")+1,50),Actuals!$F:$F,"GBP")*$H$5)</f>
        <v/>
      </c>
      <c r="P691" s="18">
        <f>IF(OR($B$690="",9&gt;$C$4),"",SUMIFS(Actuals!$G:$G,Actuals!$B:$B,$C$3,Actuals!$C:$C,9,Actuals!$D:$D,$B$690,Actuals!$A:$A,LEFT($D$690,FIND("|",$D$690&amp;"|")-1),Actuals!$E:$E,MID($D$690,FIND("|",$D$690&amp;"|")+1,50),Actuals!$F:$F,"JPY")*$E$5+SUMIFS(Actuals!$G:$G,Actuals!$B:$B,$C$3,Actuals!$C:$C,9,Actuals!$D:$D,$B$690,Actuals!$A:$A,LEFT($D$690,FIND("|",$D$690&amp;"|")-1),Actuals!$E:$E,MID($D$690,FIND("|",$D$690&amp;"|")+1,50),Actuals!$F:$F,"USD")*$F$5+SUMIFS(Actuals!$G:$G,Actuals!$B:$B,$C$3,Actuals!$C:$C,9,Actuals!$D:$D,$B$690,Actuals!$A:$A,LEFT($D$690,FIND("|",$D$690&amp;"|")-1),Actuals!$E:$E,MID($D$690,FIND("|",$D$690&amp;"|")+1,50),Actuals!$F:$F,"EUR")*$G$5+SUMIFS(Actuals!$G:$G,Actuals!$B:$B,$C$3,Actuals!$C:$C,9,Actuals!$D:$D,$B$690,Actuals!$A:$A,LEFT($D$690,FIND("|",$D$690&amp;"|")-1),Actuals!$E:$E,MID($D$690,FIND("|",$D$690&amp;"|")+1,50),Actuals!$F:$F,"GBP")*$H$5)</f>
        <v/>
      </c>
      <c r="Q691" s="18">
        <f>IF(OR($B$690="",10&gt;$C$4),"",SUMIFS(Actuals!$G:$G,Actuals!$B:$B,$C$3,Actuals!$C:$C,10,Actuals!$D:$D,$B$690,Actuals!$A:$A,LEFT($D$690,FIND("|",$D$690&amp;"|")-1),Actuals!$E:$E,MID($D$690,FIND("|",$D$690&amp;"|")+1,50),Actuals!$F:$F,"JPY")*$E$5+SUMIFS(Actuals!$G:$G,Actuals!$B:$B,$C$3,Actuals!$C:$C,10,Actuals!$D:$D,$B$690,Actuals!$A:$A,LEFT($D$690,FIND("|",$D$690&amp;"|")-1),Actuals!$E:$E,MID($D$690,FIND("|",$D$690&amp;"|")+1,50),Actuals!$F:$F,"USD")*$F$5+SUMIFS(Actuals!$G:$G,Actuals!$B:$B,$C$3,Actuals!$C:$C,10,Actuals!$D:$D,$B$690,Actuals!$A:$A,LEFT($D$690,FIND("|",$D$690&amp;"|")-1),Actuals!$E:$E,MID($D$690,FIND("|",$D$690&amp;"|")+1,50),Actuals!$F:$F,"EUR")*$G$5+SUMIFS(Actuals!$G:$G,Actuals!$B:$B,$C$3,Actuals!$C:$C,10,Actuals!$D:$D,$B$690,Actuals!$A:$A,LEFT($D$690,FIND("|",$D$690&amp;"|")-1),Actuals!$E:$E,MID($D$690,FIND("|",$D$690&amp;"|")+1,50),Actuals!$F:$F,"GBP")*$H$5)</f>
        <v/>
      </c>
      <c r="R691" s="18">
        <f>IF(OR($B$690="",11&gt;$C$4),"",SUMIFS(Actuals!$G:$G,Actuals!$B:$B,$C$3,Actuals!$C:$C,11,Actuals!$D:$D,$B$690,Actuals!$A:$A,LEFT($D$690,FIND("|",$D$690&amp;"|")-1),Actuals!$E:$E,MID($D$690,FIND("|",$D$690&amp;"|")+1,50),Actuals!$F:$F,"JPY")*$E$5+SUMIFS(Actuals!$G:$G,Actuals!$B:$B,$C$3,Actuals!$C:$C,11,Actuals!$D:$D,$B$690,Actuals!$A:$A,LEFT($D$690,FIND("|",$D$690&amp;"|")-1),Actuals!$E:$E,MID($D$690,FIND("|",$D$690&amp;"|")+1,50),Actuals!$F:$F,"USD")*$F$5+SUMIFS(Actuals!$G:$G,Actuals!$B:$B,$C$3,Actuals!$C:$C,11,Actuals!$D:$D,$B$690,Actuals!$A:$A,LEFT($D$690,FIND("|",$D$690&amp;"|")-1),Actuals!$E:$E,MID($D$690,FIND("|",$D$690&amp;"|")+1,50),Actuals!$F:$F,"EUR")*$G$5+SUMIFS(Actuals!$G:$G,Actuals!$B:$B,$C$3,Actuals!$C:$C,11,Actuals!$D:$D,$B$690,Actuals!$A:$A,LEFT($D$690,FIND("|",$D$690&amp;"|")-1),Actuals!$E:$E,MID($D$690,FIND("|",$D$690&amp;"|")+1,50),Actuals!$F:$F,"GBP")*$H$5)</f>
        <v/>
      </c>
      <c r="S691" s="18">
        <f>IF(OR($B$690="",12&gt;$C$4),"",SUMIFS(Actuals!$G:$G,Actuals!$B:$B,$C$3,Actuals!$C:$C,12,Actuals!$D:$D,$B$690,Actuals!$A:$A,LEFT($D$690,FIND("|",$D$690&amp;"|")-1),Actuals!$E:$E,MID($D$690,FIND("|",$D$690&amp;"|")+1,50),Actuals!$F:$F,"JPY")*$E$5+SUMIFS(Actuals!$G:$G,Actuals!$B:$B,$C$3,Actuals!$C:$C,12,Actuals!$D:$D,$B$690,Actuals!$A:$A,LEFT($D$690,FIND("|",$D$690&amp;"|")-1),Actuals!$E:$E,MID($D$690,FIND("|",$D$690&amp;"|")+1,50),Actuals!$F:$F,"USD")*$F$5+SUMIFS(Actuals!$G:$G,Actuals!$B:$B,$C$3,Actuals!$C:$C,12,Actuals!$D:$D,$B$690,Actuals!$A:$A,LEFT($D$690,FIND("|",$D$690&amp;"|")-1),Actuals!$E:$E,MID($D$690,FIND("|",$D$690&amp;"|")+1,50),Actuals!$F:$F,"EUR")*$G$5+SUMIFS(Actuals!$G:$G,Actuals!$B:$B,$C$3,Actuals!$C:$C,12,Actuals!$D:$D,$B$690,Actuals!$A:$A,LEFT($D$690,FIND("|",$D$690&amp;"|")-1),Actuals!$E:$E,MID($D$690,FIND("|",$D$690&amp;"|")+1,50),Actuals!$F:$F,"GBP")*$H$5)</f>
        <v/>
      </c>
      <c r="T691" s="18">
        <f>IF($B$690="","",SUMIF($H$7:$S$7,"&lt;="&amp;$C$4,$H691:$S691))</f>
        <v/>
      </c>
      <c r="U691" s="18" t="n"/>
      <c r="V691" s="18" t="n"/>
      <c r="X691" s="22">
        <f>IF($B691="","",IFERROR(INDEX(Cost_Centers!$E:$E,MATCH($B691,Cost_Centers!$A:$A,0)),"(unknown)"))</f>
        <v/>
      </c>
      <c r="Y691" s="22">
        <f>IF($B691="","",IFERROR(INDEX(Cost_Centers!$D:$D,MATCH($B691,Cost_Centers!$A:$A,0)),"(unknown)"))</f>
        <v/>
      </c>
      <c r="Z691" s="22">
        <f>IF(OR($B691="",$G691&lt;&gt;"Variance vs Budget"),"",ABS(N($V691))+ROW()/1000000000)</f>
        <v/>
      </c>
    </row>
    <row r="692">
      <c r="A692" s="13">
        <f>IF(A$690="","",A$690)</f>
        <v/>
      </c>
      <c r="B692" s="13">
        <f>IF(B$690="","",B$690)</f>
        <v/>
      </c>
      <c r="C692" s="13">
        <f>IF(C$690="","",C$690)</f>
        <v/>
      </c>
      <c r="D692" s="13">
        <f>IF(D$690="","",D$690)</f>
        <v/>
      </c>
      <c r="E692" s="13">
        <f>IF(E$690="","",E$690)</f>
        <v/>
      </c>
      <c r="F692" s="13">
        <f>IF(F$690="","",F$690)</f>
        <v/>
      </c>
      <c r="G692" s="6" t="inlineStr">
        <is>
          <t>Variance vs Budget</t>
        </is>
      </c>
      <c r="H692" s="33">
        <f>IF(OR($B$690="",1&gt;$C$4),"",N(H691)-H690)</f>
        <v/>
      </c>
      <c r="I692" s="33">
        <f>IF(OR($B$690="",2&gt;$C$4),"",N(I691)-I690)</f>
        <v/>
      </c>
      <c r="J692" s="33">
        <f>IF(OR($B$690="",3&gt;$C$4),"",N(J691)-J690)</f>
        <v/>
      </c>
      <c r="K692" s="33">
        <f>IF(OR($B$690="",4&gt;$C$4),"",N(K691)-K690)</f>
        <v/>
      </c>
      <c r="L692" s="33">
        <f>IF(OR($B$690="",5&gt;$C$4),"",N(L691)-L690)</f>
        <v/>
      </c>
      <c r="M692" s="33">
        <f>IF(OR($B$690="",6&gt;$C$4),"",N(M691)-M690)</f>
        <v/>
      </c>
      <c r="N692" s="33">
        <f>IF(OR($B$690="",7&gt;$C$4),"",N(N691)-N690)</f>
        <v/>
      </c>
      <c r="O692" s="33">
        <f>IF(OR($B$690="",8&gt;$C$4),"",N(O691)-O690)</f>
        <v/>
      </c>
      <c r="P692" s="33">
        <f>IF(OR($B$690="",9&gt;$C$4),"",N(P691)-P690)</f>
        <v/>
      </c>
      <c r="Q692" s="33">
        <f>IF(OR($B$690="",10&gt;$C$4),"",N(Q691)-Q690)</f>
        <v/>
      </c>
      <c r="R692" s="33">
        <f>IF(OR($B$690="",11&gt;$C$4),"",N(R691)-R690)</f>
        <v/>
      </c>
      <c r="S692" s="33">
        <f>IF(OR($B$690="",12&gt;$C$4),"",N(S691)-S690)</f>
        <v/>
      </c>
      <c r="T692" s="33">
        <f>IF($B$690="","",T691-T690)</f>
        <v/>
      </c>
      <c r="U692" s="33">
        <f>IF($B$690="","",U694-U690)</f>
        <v/>
      </c>
      <c r="V692" s="33">
        <f>IF($B$690="","",V694-V690)</f>
        <v/>
      </c>
      <c r="X692" s="22">
        <f>IF($B692="","",IFERROR(INDEX(Cost_Centers!$E:$E,MATCH($B692,Cost_Centers!$A:$A,0)),"(unknown)"))</f>
        <v/>
      </c>
      <c r="Y692" s="22">
        <f>IF($B692="","",IFERROR(INDEX(Cost_Centers!$D:$D,MATCH($B692,Cost_Centers!$A:$A,0)),"(unknown)"))</f>
        <v/>
      </c>
      <c r="Z692" s="22">
        <f>IF(OR($B692="",$G692&lt;&gt;"Variance vs Budget"),"",ABS(N($V692))+ROW()/1000000000)</f>
        <v/>
      </c>
    </row>
    <row r="693">
      <c r="A693" s="13">
        <f>IF(A$690="","",A$690)</f>
        <v/>
      </c>
      <c r="B693" s="13">
        <f>IF(B$690="","",B$690)</f>
        <v/>
      </c>
      <c r="C693" s="13">
        <f>IF(C$690="","",C$690)</f>
        <v/>
      </c>
      <c r="D693" s="13">
        <f>IF(D$690="","",D$690)</f>
        <v/>
      </c>
      <c r="E693" s="13">
        <f>IF(E$690="","",E$690)</f>
        <v/>
      </c>
      <c r="F693" s="13">
        <f>IF(F$690="","",F$690)</f>
        <v/>
      </c>
      <c r="G693" s="7" t="inlineStr">
        <is>
          <t>Forecast (input)</t>
        </is>
      </c>
      <c r="H693" s="34" t="n"/>
      <c r="I693" s="34" t="n"/>
      <c r="J693" s="34" t="n"/>
      <c r="K693" s="34" t="n"/>
      <c r="L693" s="34" t="n"/>
      <c r="M693" s="34" t="n"/>
      <c r="N693" s="34" t="n"/>
      <c r="O693" s="34" t="n"/>
      <c r="P693" s="34" t="n"/>
      <c r="Q693" s="34" t="n"/>
      <c r="R693" s="34" t="n"/>
      <c r="S693" s="34" t="n"/>
      <c r="T693" s="18" t="n"/>
      <c r="U693" s="18" t="n"/>
      <c r="V693" s="18" t="n"/>
      <c r="X693" s="22">
        <f>IF($B693="","",IFERROR(INDEX(Cost_Centers!$E:$E,MATCH($B693,Cost_Centers!$A:$A,0)),"(unknown)"))</f>
        <v/>
      </c>
      <c r="Y693" s="22">
        <f>IF($B693="","",IFERROR(INDEX(Cost_Centers!$D:$D,MATCH($B693,Cost_Centers!$A:$A,0)),"(unknown)"))</f>
        <v/>
      </c>
      <c r="Z693" s="22">
        <f>IF(OR($B693="",$G693&lt;&gt;"Variance vs Budget"),"",ABS(N($V693))+ROW()/1000000000)</f>
        <v/>
      </c>
    </row>
    <row r="694">
      <c r="A694" s="13">
        <f>IF(A$690="","",A$690)</f>
        <v/>
      </c>
      <c r="B694" s="13">
        <f>IF(B$690="","",B$690)</f>
        <v/>
      </c>
      <c r="C694" s="13">
        <f>IF(C$690="","",C$690)</f>
        <v/>
      </c>
      <c r="D694" s="13">
        <f>IF(D$690="","",D$690)</f>
        <v/>
      </c>
      <c r="E694" s="13">
        <f>IF(E$690="","",E$690)</f>
        <v/>
      </c>
      <c r="F694" s="13">
        <f>IF(F$690="","",F$690)</f>
        <v/>
      </c>
      <c r="G694" s="35" t="inlineStr">
        <is>
          <t>Actual + Forecast</t>
        </is>
      </c>
      <c r="H694" s="18">
        <f>IF($B$690="","",IF(1&lt;=$C$4,N(H691),IF(H693="",H690,H693)))</f>
        <v/>
      </c>
      <c r="I694" s="18">
        <f>IF($B$690="","",IF(2&lt;=$C$4,N(I691),IF(I693="",I690,I693)))</f>
        <v/>
      </c>
      <c r="J694" s="18">
        <f>IF($B$690="","",IF(3&lt;=$C$4,N(J691),IF(J693="",J690,J693)))</f>
        <v/>
      </c>
      <c r="K694" s="18">
        <f>IF($B$690="","",IF(4&lt;=$C$4,N(K691),IF(K693="",K690,K693)))</f>
        <v/>
      </c>
      <c r="L694" s="18">
        <f>IF($B$690="","",IF(5&lt;=$C$4,N(L691),IF(L693="",L690,L693)))</f>
        <v/>
      </c>
      <c r="M694" s="18">
        <f>IF($B$690="","",IF(6&lt;=$C$4,N(M691),IF(M693="",M690,M693)))</f>
        <v/>
      </c>
      <c r="N694" s="18">
        <f>IF($B$690="","",IF(7&lt;=$C$4,N(N691),IF(N693="",N690,N693)))</f>
        <v/>
      </c>
      <c r="O694" s="18">
        <f>IF($B$690="","",IF(8&lt;=$C$4,N(O691),IF(O693="",O690,O693)))</f>
        <v/>
      </c>
      <c r="P694" s="18">
        <f>IF($B$690="","",IF(9&lt;=$C$4,N(P691),IF(P693="",P690,P693)))</f>
        <v/>
      </c>
      <c r="Q694" s="18">
        <f>IF($B$690="","",IF(10&lt;=$C$4,N(Q691),IF(Q693="",Q690,Q693)))</f>
        <v/>
      </c>
      <c r="R694" s="18">
        <f>IF($B$690="","",IF(11&lt;=$C$4,N(R691),IF(R693="",R690,R693)))</f>
        <v/>
      </c>
      <c r="S694" s="18">
        <f>IF($B$690="","",IF(12&lt;=$C$4,N(S691),IF(S693="",S690,S693)))</f>
        <v/>
      </c>
      <c r="T694" s="18">
        <f>IF($B$690="","",SUMIF($H$7:$S$7,"&lt;="&amp;$C$4,$H694:$S694))</f>
        <v/>
      </c>
      <c r="U694" s="18">
        <f>IF($B$690="","",SUMIF($H$7:$S$7,"&gt;"&amp;$C$4,$H694:$S694))</f>
        <v/>
      </c>
      <c r="V694" s="18">
        <f>IF($B$690="","",SUM($H694:$S694))</f>
        <v/>
      </c>
      <c r="X694" s="22">
        <f>IF($B694="","",IFERROR(INDEX(Cost_Centers!$E:$E,MATCH($B694,Cost_Centers!$A:$A,0)),"(unknown)"))</f>
        <v/>
      </c>
      <c r="Y694" s="22">
        <f>IF($B694="","",IFERROR(INDEX(Cost_Centers!$D:$D,MATCH($B694,Cost_Centers!$A:$A,0)),"(unknown)"))</f>
        <v/>
      </c>
      <c r="Z694" s="22">
        <f>IF(OR($B694="",$G694&lt;&gt;"Variance vs Budget"),"",ABS(N($V694))+ROW()/1000000000)</f>
        <v/>
      </c>
    </row>
    <row r="695">
      <c r="A695" s="13">
        <f>IF(A$690="","",A$690)</f>
        <v/>
      </c>
      <c r="B695" s="13">
        <f>IF(B$690="","",B$690)</f>
        <v/>
      </c>
      <c r="C695" s="13">
        <f>IF(C$690="","",C$690)</f>
        <v/>
      </c>
      <c r="D695" s="13">
        <f>IF(D$690="","",D$690)</f>
        <v/>
      </c>
      <c r="E695" s="13">
        <f>IF(E$690="","",E$690)</f>
        <v/>
      </c>
      <c r="F695" s="13">
        <f>IF(F$690="","",F$690)</f>
        <v/>
      </c>
      <c r="G695" s="36" t="inlineStr">
        <is>
          <t>Prior Month Forecast</t>
        </is>
      </c>
      <c r="H695" s="37">
        <f>IF($B$690="","",IF(COUNTIFS(Prior_Forecast!$A:$A,$B$690,Prior_Forecast!$B:$B,$D$690)&gt;0,SUMIFS(Prior_Forecast!$C:$C,Prior_Forecast!$A:$A,$B$690,Prior_Forecast!$B:$B,$D$690),""))</f>
        <v/>
      </c>
      <c r="I695" s="37">
        <f>IF($B$690="","",IF(COUNTIFS(Prior_Forecast!$A:$A,$B$690,Prior_Forecast!$B:$B,$D$690)&gt;0,SUMIFS(Prior_Forecast!$D:$D,Prior_Forecast!$A:$A,$B$690,Prior_Forecast!$B:$B,$D$690),""))</f>
        <v/>
      </c>
      <c r="J695" s="37">
        <f>IF($B$690="","",IF(COUNTIFS(Prior_Forecast!$A:$A,$B$690,Prior_Forecast!$B:$B,$D$690)&gt;0,SUMIFS(Prior_Forecast!$E:$E,Prior_Forecast!$A:$A,$B$690,Prior_Forecast!$B:$B,$D$690),""))</f>
        <v/>
      </c>
      <c r="K695" s="37">
        <f>IF($B$690="","",IF(COUNTIFS(Prior_Forecast!$A:$A,$B$690,Prior_Forecast!$B:$B,$D$690)&gt;0,SUMIFS(Prior_Forecast!$F:$F,Prior_Forecast!$A:$A,$B$690,Prior_Forecast!$B:$B,$D$690),""))</f>
        <v/>
      </c>
      <c r="L695" s="37">
        <f>IF($B$690="","",IF(COUNTIFS(Prior_Forecast!$A:$A,$B$690,Prior_Forecast!$B:$B,$D$690)&gt;0,SUMIFS(Prior_Forecast!$G:$G,Prior_Forecast!$A:$A,$B$690,Prior_Forecast!$B:$B,$D$690),""))</f>
        <v/>
      </c>
      <c r="M695" s="37">
        <f>IF($B$690="","",IF(COUNTIFS(Prior_Forecast!$A:$A,$B$690,Prior_Forecast!$B:$B,$D$690)&gt;0,SUMIFS(Prior_Forecast!$H:$H,Prior_Forecast!$A:$A,$B$690,Prior_Forecast!$B:$B,$D$690),""))</f>
        <v/>
      </c>
      <c r="N695" s="37">
        <f>IF($B$690="","",IF(COUNTIFS(Prior_Forecast!$A:$A,$B$690,Prior_Forecast!$B:$B,$D$690)&gt;0,SUMIFS(Prior_Forecast!$I:$I,Prior_Forecast!$A:$A,$B$690,Prior_Forecast!$B:$B,$D$690),""))</f>
        <v/>
      </c>
      <c r="O695" s="37">
        <f>IF($B$690="","",IF(COUNTIFS(Prior_Forecast!$A:$A,$B$690,Prior_Forecast!$B:$B,$D$690)&gt;0,SUMIFS(Prior_Forecast!$J:$J,Prior_Forecast!$A:$A,$B$690,Prior_Forecast!$B:$B,$D$690),""))</f>
        <v/>
      </c>
      <c r="P695" s="37">
        <f>IF($B$690="","",IF(COUNTIFS(Prior_Forecast!$A:$A,$B$690,Prior_Forecast!$B:$B,$D$690)&gt;0,SUMIFS(Prior_Forecast!$K:$K,Prior_Forecast!$A:$A,$B$690,Prior_Forecast!$B:$B,$D$690),""))</f>
        <v/>
      </c>
      <c r="Q695" s="37">
        <f>IF($B$690="","",IF(COUNTIFS(Prior_Forecast!$A:$A,$B$690,Prior_Forecast!$B:$B,$D$690)&gt;0,SUMIFS(Prior_Forecast!$L:$L,Prior_Forecast!$A:$A,$B$690,Prior_Forecast!$B:$B,$D$690),""))</f>
        <v/>
      </c>
      <c r="R695" s="37">
        <f>IF($B$690="","",IF(COUNTIFS(Prior_Forecast!$A:$A,$B$690,Prior_Forecast!$B:$B,$D$690)&gt;0,SUMIFS(Prior_Forecast!$M:$M,Prior_Forecast!$A:$A,$B$690,Prior_Forecast!$B:$B,$D$690),""))</f>
        <v/>
      </c>
      <c r="S695" s="37">
        <f>IF($B$690="","",IF(COUNTIFS(Prior_Forecast!$A:$A,$B$690,Prior_Forecast!$B:$B,$D$690)&gt;0,SUMIFS(Prior_Forecast!$N:$N,Prior_Forecast!$A:$A,$B$690,Prior_Forecast!$B:$B,$D$690),""))</f>
        <v/>
      </c>
      <c r="T695" s="37">
        <f>IF($B$690="","",IF(COUNTIFS(Prior_Forecast!$A:$A,$B$690,Prior_Forecast!$B:$B,$D$690)&gt;0,SUMIFS(Prior_Forecast!$O:$O,Prior_Forecast!$A:$A,$B$690,Prior_Forecast!$B:$B,$D$690),""))</f>
        <v/>
      </c>
      <c r="U695" s="37">
        <f>IF($B$690="","",IF(COUNTIFS(Prior_Forecast!$A:$A,$B$690,Prior_Forecast!$B:$B,$D$690)&gt;0,SUMIFS(Prior_Forecast!$P:$P,Prior_Forecast!$A:$A,$B$690,Prior_Forecast!$B:$B,$D$690),""))</f>
        <v/>
      </c>
      <c r="V695" s="37">
        <f>IF($B$690="","",IF(COUNTIFS(Prior_Forecast!$A:$A,$B$690,Prior_Forecast!$B:$B,$D$690)&gt;0,SUMIFS(Prior_Forecast!$Q:$Q,Prior_Forecast!$A:$A,$B$690,Prior_Forecast!$B:$B,$D$690),""))</f>
        <v/>
      </c>
      <c r="X695" s="22">
        <f>IF($B695="","",IFERROR(INDEX(Cost_Centers!$E:$E,MATCH($B695,Cost_Centers!$A:$A,0)),"(unknown)"))</f>
        <v/>
      </c>
      <c r="Y695" s="22">
        <f>IF($B695="","",IFERROR(INDEX(Cost_Centers!$D:$D,MATCH($B695,Cost_Centers!$A:$A,0)),"(unknown)"))</f>
        <v/>
      </c>
      <c r="Z695" s="22">
        <f>IF(OR($B695="",$G695&lt;&gt;"Variance vs Budget"),"",ABS(N($V695))+ROW()/1000000000)</f>
        <v/>
      </c>
    </row>
    <row r="696">
      <c r="A696" s="13">
        <f>IF(A$690="","",A$690)</f>
        <v/>
      </c>
      <c r="B696" s="13">
        <f>IF(B$690="","",B$690)</f>
        <v/>
      </c>
      <c r="C696" s="13">
        <f>IF(C$690="","",C$690)</f>
        <v/>
      </c>
      <c r="D696" s="13">
        <f>IF(D$690="","",D$690)</f>
        <v/>
      </c>
      <c r="E696" s="13">
        <f>IF(E$690="","",E$690)</f>
        <v/>
      </c>
      <c r="F696" s="13">
        <f>IF(F$690="","",F$690)</f>
        <v/>
      </c>
      <c r="G696" s="6" t="inlineStr">
        <is>
          <t>Variance vs Prior Month</t>
        </is>
      </c>
      <c r="H696" s="33">
        <f>IF(OR($B$690="",H695=""),"",H694-H695)</f>
        <v/>
      </c>
      <c r="I696" s="33">
        <f>IF(OR($B$690="",I695=""),"",I694-I695)</f>
        <v/>
      </c>
      <c r="J696" s="33">
        <f>IF(OR($B$690="",J695=""),"",J694-J695)</f>
        <v/>
      </c>
      <c r="K696" s="33">
        <f>IF(OR($B$690="",K695=""),"",K694-K695)</f>
        <v/>
      </c>
      <c r="L696" s="33">
        <f>IF(OR($B$690="",L695=""),"",L694-L695)</f>
        <v/>
      </c>
      <c r="M696" s="33">
        <f>IF(OR($B$690="",M695=""),"",M694-M695)</f>
        <v/>
      </c>
      <c r="N696" s="33">
        <f>IF(OR($B$690="",N695=""),"",N694-N695)</f>
        <v/>
      </c>
      <c r="O696" s="33">
        <f>IF(OR($B$690="",O695=""),"",O694-O695)</f>
        <v/>
      </c>
      <c r="P696" s="33">
        <f>IF(OR($B$690="",P695=""),"",P694-P695)</f>
        <v/>
      </c>
      <c r="Q696" s="33">
        <f>IF(OR($B$690="",Q695=""),"",Q694-Q695)</f>
        <v/>
      </c>
      <c r="R696" s="33">
        <f>IF(OR($B$690="",R695=""),"",R694-R695)</f>
        <v/>
      </c>
      <c r="S696" s="33">
        <f>IF(OR($B$690="",S695=""),"",S694-S695)</f>
        <v/>
      </c>
      <c r="T696" s="33">
        <f>IF(OR($B$690="",T695=""),"",T694-T695)</f>
        <v/>
      </c>
      <c r="U696" s="33">
        <f>IF(OR($B$690="",U695=""),"",U694-U695)</f>
        <v/>
      </c>
      <c r="V696" s="33">
        <f>IF(OR($B$690="",V695=""),"",V694-V695)</f>
        <v/>
      </c>
      <c r="X696" s="22">
        <f>IF($B696="","",IFERROR(INDEX(Cost_Centers!$E:$E,MATCH($B696,Cost_Centers!$A:$A,0)),"(unknown)"))</f>
        <v/>
      </c>
      <c r="Y696" s="22">
        <f>IF($B696="","",IFERROR(INDEX(Cost_Centers!$D:$D,MATCH($B696,Cost_Centers!$A:$A,0)),"(unknown)"))</f>
        <v/>
      </c>
      <c r="Z696" s="22">
        <f>IF(OR($B696="",$G696&lt;&gt;"Variance vs Budget"),"",ABS(N($V696))+ROW()/1000000000)</f>
        <v/>
      </c>
    </row>
    <row r="697" ht="45" customHeight="1">
      <c r="A697" s="13">
        <f>IF(A$690="","",A$690)</f>
        <v/>
      </c>
      <c r="B697" s="13">
        <f>IF(B$690="","",B$690)</f>
        <v/>
      </c>
      <c r="C697" s="13">
        <f>IF(C$690="","",C$690)</f>
        <v/>
      </c>
      <c r="D697" s="13">
        <f>IF(D$690="","",D$690)</f>
        <v/>
      </c>
      <c r="E697" s="13">
        <f>IF(E$690="","",E$690)</f>
        <v/>
      </c>
      <c r="F697" s="13">
        <f>IF(F$690="","",F$690)</f>
        <v/>
      </c>
      <c r="G697" s="7" t="inlineStr">
        <is>
          <t>Rationale</t>
        </is>
      </c>
      <c r="H697" s="38" t="n"/>
      <c r="I697" s="38" t="n"/>
      <c r="J697" s="38" t="n"/>
      <c r="K697" s="38" t="n"/>
      <c r="L697" s="38" t="n"/>
      <c r="M697" s="38" t="n"/>
      <c r="N697" s="38" t="n"/>
      <c r="O697" s="38" t="n"/>
      <c r="P697" s="38" t="n"/>
      <c r="Q697" s="38" t="n"/>
      <c r="R697" s="38" t="n"/>
      <c r="S697" s="38" t="n"/>
      <c r="T697" s="38" t="n"/>
      <c r="U697" s="38" t="n"/>
      <c r="V697" s="7" t="n"/>
      <c r="X697" s="22">
        <f>IF($B697="","",IFERROR(INDEX(Cost_Centers!$E:$E,MATCH($B697,Cost_Centers!$A:$A,0)),"(unknown)"))</f>
        <v/>
      </c>
      <c r="Y697" s="22">
        <f>IF($B697="","",IFERROR(INDEX(Cost_Centers!$D:$D,MATCH($B697,Cost_Centers!$A:$A,0)),"(unknown)"))</f>
        <v/>
      </c>
      <c r="Z697" s="22">
        <f>IF(OR($B697="",$G697&lt;&gt;"Variance vs Budget"),"",ABS(N($V697))+ROW()/1000000000)</f>
        <v/>
      </c>
    </row>
    <row r="698">
      <c r="A698" s="30">
        <f>IF($D$698="","",LEFT($D$698,FIND("|",$D$698&amp;"|")-1))</f>
        <v/>
      </c>
      <c r="B698" s="31" t="n"/>
      <c r="C698" s="30">
        <f>IF($B$698="","",IFERROR(INDEX(Cost_Centers!$B:$B,MATCH($B$698,Cost_Centers!$A:$A,0)),"(not in master)"))</f>
        <v/>
      </c>
      <c r="D698" s="31" t="n"/>
      <c r="E698" s="30">
        <f>IF($D$698="","",IFERROR(INDEX(Accounts!$D:$D,MATCH($D$698,Accounts!$A:$A,0)),"(not in master)"))</f>
        <v/>
      </c>
      <c r="F698" s="31" t="n"/>
      <c r="G698" s="30" t="inlineStr">
        <is>
          <t>Budget</t>
        </is>
      </c>
      <c r="H698" s="32">
        <f>IF($B$698="","",SUMIFS(Opex_Budget!$O:$O,Opex_Budget!$A:$A,$C$3,Opex_Budget!$E:$E,$B$698,Opex_Budget!$F:$F,$D$698,Opex_Budget!$N:$N,"JPY")*$E$5+SUMIFS(Opex_Budget!$O:$O,Opex_Budget!$A:$A,$C$3,Opex_Budget!$E:$E,$B$698,Opex_Budget!$F:$F,$D$698,Opex_Budget!$N:$N,"USD")*$F$5+SUMIFS(Opex_Budget!$O:$O,Opex_Budget!$A:$A,$C$3,Opex_Budget!$E:$E,$B$698,Opex_Budget!$F:$F,$D$698,Opex_Budget!$N:$N,"EUR")*$G$5+SUMIFS(Opex_Budget!$O:$O,Opex_Budget!$A:$A,$C$3,Opex_Budget!$E:$E,$B$698,Opex_Budget!$F:$F,$D$698,Opex_Budget!$N:$N,"GBP")*$H$5)</f>
        <v/>
      </c>
      <c r="I698" s="32">
        <f>IF($B$698="","",SUMIFS(Opex_Budget!$P:$P,Opex_Budget!$A:$A,$C$3,Opex_Budget!$E:$E,$B$698,Opex_Budget!$F:$F,$D$698,Opex_Budget!$N:$N,"JPY")*$E$5+SUMIFS(Opex_Budget!$P:$P,Opex_Budget!$A:$A,$C$3,Opex_Budget!$E:$E,$B$698,Opex_Budget!$F:$F,$D$698,Opex_Budget!$N:$N,"USD")*$F$5+SUMIFS(Opex_Budget!$P:$P,Opex_Budget!$A:$A,$C$3,Opex_Budget!$E:$E,$B$698,Opex_Budget!$F:$F,$D$698,Opex_Budget!$N:$N,"EUR")*$G$5+SUMIFS(Opex_Budget!$P:$P,Opex_Budget!$A:$A,$C$3,Opex_Budget!$E:$E,$B$698,Opex_Budget!$F:$F,$D$698,Opex_Budget!$N:$N,"GBP")*$H$5)</f>
        <v/>
      </c>
      <c r="J698" s="32">
        <f>IF($B$698="","",SUMIFS(Opex_Budget!$Q:$Q,Opex_Budget!$A:$A,$C$3,Opex_Budget!$E:$E,$B$698,Opex_Budget!$F:$F,$D$698,Opex_Budget!$N:$N,"JPY")*$E$5+SUMIFS(Opex_Budget!$Q:$Q,Opex_Budget!$A:$A,$C$3,Opex_Budget!$E:$E,$B$698,Opex_Budget!$F:$F,$D$698,Opex_Budget!$N:$N,"USD")*$F$5+SUMIFS(Opex_Budget!$Q:$Q,Opex_Budget!$A:$A,$C$3,Opex_Budget!$E:$E,$B$698,Opex_Budget!$F:$F,$D$698,Opex_Budget!$N:$N,"EUR")*$G$5+SUMIFS(Opex_Budget!$Q:$Q,Opex_Budget!$A:$A,$C$3,Opex_Budget!$E:$E,$B$698,Opex_Budget!$F:$F,$D$698,Opex_Budget!$N:$N,"GBP")*$H$5)</f>
        <v/>
      </c>
      <c r="K698" s="32">
        <f>IF($B$698="","",SUMIFS(Opex_Budget!$R:$R,Opex_Budget!$A:$A,$C$3,Opex_Budget!$E:$E,$B$698,Opex_Budget!$F:$F,$D$698,Opex_Budget!$N:$N,"JPY")*$E$5+SUMIFS(Opex_Budget!$R:$R,Opex_Budget!$A:$A,$C$3,Opex_Budget!$E:$E,$B$698,Opex_Budget!$F:$F,$D$698,Opex_Budget!$N:$N,"USD")*$F$5+SUMIFS(Opex_Budget!$R:$R,Opex_Budget!$A:$A,$C$3,Opex_Budget!$E:$E,$B$698,Opex_Budget!$F:$F,$D$698,Opex_Budget!$N:$N,"EUR")*$G$5+SUMIFS(Opex_Budget!$R:$R,Opex_Budget!$A:$A,$C$3,Opex_Budget!$E:$E,$B$698,Opex_Budget!$F:$F,$D$698,Opex_Budget!$N:$N,"GBP")*$H$5)</f>
        <v/>
      </c>
      <c r="L698" s="32">
        <f>IF($B$698="","",SUMIFS(Opex_Budget!$S:$S,Opex_Budget!$A:$A,$C$3,Opex_Budget!$E:$E,$B$698,Opex_Budget!$F:$F,$D$698,Opex_Budget!$N:$N,"JPY")*$E$5+SUMIFS(Opex_Budget!$S:$S,Opex_Budget!$A:$A,$C$3,Opex_Budget!$E:$E,$B$698,Opex_Budget!$F:$F,$D$698,Opex_Budget!$N:$N,"USD")*$F$5+SUMIFS(Opex_Budget!$S:$S,Opex_Budget!$A:$A,$C$3,Opex_Budget!$E:$E,$B$698,Opex_Budget!$F:$F,$D$698,Opex_Budget!$N:$N,"EUR")*$G$5+SUMIFS(Opex_Budget!$S:$S,Opex_Budget!$A:$A,$C$3,Opex_Budget!$E:$E,$B$698,Opex_Budget!$F:$F,$D$698,Opex_Budget!$N:$N,"GBP")*$H$5)</f>
        <v/>
      </c>
      <c r="M698" s="32">
        <f>IF($B$698="","",SUMIFS(Opex_Budget!$T:$T,Opex_Budget!$A:$A,$C$3,Opex_Budget!$E:$E,$B$698,Opex_Budget!$F:$F,$D$698,Opex_Budget!$N:$N,"JPY")*$E$5+SUMIFS(Opex_Budget!$T:$T,Opex_Budget!$A:$A,$C$3,Opex_Budget!$E:$E,$B$698,Opex_Budget!$F:$F,$D$698,Opex_Budget!$N:$N,"USD")*$F$5+SUMIFS(Opex_Budget!$T:$T,Opex_Budget!$A:$A,$C$3,Opex_Budget!$E:$E,$B$698,Opex_Budget!$F:$F,$D$698,Opex_Budget!$N:$N,"EUR")*$G$5+SUMIFS(Opex_Budget!$T:$T,Opex_Budget!$A:$A,$C$3,Opex_Budget!$E:$E,$B$698,Opex_Budget!$F:$F,$D$698,Opex_Budget!$N:$N,"GBP")*$H$5)</f>
        <v/>
      </c>
      <c r="N698" s="32">
        <f>IF($B$698="","",SUMIFS(Opex_Budget!$U:$U,Opex_Budget!$A:$A,$C$3,Opex_Budget!$E:$E,$B$698,Opex_Budget!$F:$F,$D$698,Opex_Budget!$N:$N,"JPY")*$E$5+SUMIFS(Opex_Budget!$U:$U,Opex_Budget!$A:$A,$C$3,Opex_Budget!$E:$E,$B$698,Opex_Budget!$F:$F,$D$698,Opex_Budget!$N:$N,"USD")*$F$5+SUMIFS(Opex_Budget!$U:$U,Opex_Budget!$A:$A,$C$3,Opex_Budget!$E:$E,$B$698,Opex_Budget!$F:$F,$D$698,Opex_Budget!$N:$N,"EUR")*$G$5+SUMIFS(Opex_Budget!$U:$U,Opex_Budget!$A:$A,$C$3,Opex_Budget!$E:$E,$B$698,Opex_Budget!$F:$F,$D$698,Opex_Budget!$N:$N,"GBP")*$H$5)</f>
        <v/>
      </c>
      <c r="O698" s="32">
        <f>IF($B$698="","",SUMIFS(Opex_Budget!$V:$V,Opex_Budget!$A:$A,$C$3,Opex_Budget!$E:$E,$B$698,Opex_Budget!$F:$F,$D$698,Opex_Budget!$N:$N,"JPY")*$E$5+SUMIFS(Opex_Budget!$V:$V,Opex_Budget!$A:$A,$C$3,Opex_Budget!$E:$E,$B$698,Opex_Budget!$F:$F,$D$698,Opex_Budget!$N:$N,"USD")*$F$5+SUMIFS(Opex_Budget!$V:$V,Opex_Budget!$A:$A,$C$3,Opex_Budget!$E:$E,$B$698,Opex_Budget!$F:$F,$D$698,Opex_Budget!$N:$N,"EUR")*$G$5+SUMIFS(Opex_Budget!$V:$V,Opex_Budget!$A:$A,$C$3,Opex_Budget!$E:$E,$B$698,Opex_Budget!$F:$F,$D$698,Opex_Budget!$N:$N,"GBP")*$H$5)</f>
        <v/>
      </c>
      <c r="P698" s="32">
        <f>IF($B$698="","",SUMIFS(Opex_Budget!$W:$W,Opex_Budget!$A:$A,$C$3,Opex_Budget!$E:$E,$B$698,Opex_Budget!$F:$F,$D$698,Opex_Budget!$N:$N,"JPY")*$E$5+SUMIFS(Opex_Budget!$W:$W,Opex_Budget!$A:$A,$C$3,Opex_Budget!$E:$E,$B$698,Opex_Budget!$F:$F,$D$698,Opex_Budget!$N:$N,"USD")*$F$5+SUMIFS(Opex_Budget!$W:$W,Opex_Budget!$A:$A,$C$3,Opex_Budget!$E:$E,$B$698,Opex_Budget!$F:$F,$D$698,Opex_Budget!$N:$N,"EUR")*$G$5+SUMIFS(Opex_Budget!$W:$W,Opex_Budget!$A:$A,$C$3,Opex_Budget!$E:$E,$B$698,Opex_Budget!$F:$F,$D$698,Opex_Budget!$N:$N,"GBP")*$H$5)</f>
        <v/>
      </c>
      <c r="Q698" s="32">
        <f>IF($B$698="","",SUMIFS(Opex_Budget!$X:$X,Opex_Budget!$A:$A,$C$3,Opex_Budget!$E:$E,$B$698,Opex_Budget!$F:$F,$D$698,Opex_Budget!$N:$N,"JPY")*$E$5+SUMIFS(Opex_Budget!$X:$X,Opex_Budget!$A:$A,$C$3,Opex_Budget!$E:$E,$B$698,Opex_Budget!$F:$F,$D$698,Opex_Budget!$N:$N,"USD")*$F$5+SUMIFS(Opex_Budget!$X:$X,Opex_Budget!$A:$A,$C$3,Opex_Budget!$E:$E,$B$698,Opex_Budget!$F:$F,$D$698,Opex_Budget!$N:$N,"EUR")*$G$5+SUMIFS(Opex_Budget!$X:$X,Opex_Budget!$A:$A,$C$3,Opex_Budget!$E:$E,$B$698,Opex_Budget!$F:$F,$D$698,Opex_Budget!$N:$N,"GBP")*$H$5)</f>
        <v/>
      </c>
      <c r="R698" s="32">
        <f>IF($B$698="","",SUMIFS(Opex_Budget!$Y:$Y,Opex_Budget!$A:$A,$C$3,Opex_Budget!$E:$E,$B$698,Opex_Budget!$F:$F,$D$698,Opex_Budget!$N:$N,"JPY")*$E$5+SUMIFS(Opex_Budget!$Y:$Y,Opex_Budget!$A:$A,$C$3,Opex_Budget!$E:$E,$B$698,Opex_Budget!$F:$F,$D$698,Opex_Budget!$N:$N,"USD")*$F$5+SUMIFS(Opex_Budget!$Y:$Y,Opex_Budget!$A:$A,$C$3,Opex_Budget!$E:$E,$B$698,Opex_Budget!$F:$F,$D$698,Opex_Budget!$N:$N,"EUR")*$G$5+SUMIFS(Opex_Budget!$Y:$Y,Opex_Budget!$A:$A,$C$3,Opex_Budget!$E:$E,$B$698,Opex_Budget!$F:$F,$D$698,Opex_Budget!$N:$N,"GBP")*$H$5)</f>
        <v/>
      </c>
      <c r="S698" s="32">
        <f>IF($B$698="","",SUMIFS(Opex_Budget!$Z:$Z,Opex_Budget!$A:$A,$C$3,Opex_Budget!$E:$E,$B$698,Opex_Budget!$F:$F,$D$698,Opex_Budget!$N:$N,"JPY")*$E$5+SUMIFS(Opex_Budget!$Z:$Z,Opex_Budget!$A:$A,$C$3,Opex_Budget!$E:$E,$B$698,Opex_Budget!$F:$F,$D$698,Opex_Budget!$N:$N,"USD")*$F$5+SUMIFS(Opex_Budget!$Z:$Z,Opex_Budget!$A:$A,$C$3,Opex_Budget!$E:$E,$B$698,Opex_Budget!$F:$F,$D$698,Opex_Budget!$N:$N,"EUR")*$G$5+SUMIFS(Opex_Budget!$Z:$Z,Opex_Budget!$A:$A,$C$3,Opex_Budget!$E:$E,$B$698,Opex_Budget!$F:$F,$D$698,Opex_Budget!$N:$N,"GBP")*$H$5)</f>
        <v/>
      </c>
      <c r="T698" s="32">
        <f>IF($B$698="","",SUMIF($H$7:$S$7,"&lt;="&amp;$C$4,$H698:$S698))</f>
        <v/>
      </c>
      <c r="U698" s="32">
        <f>IF($B$698="","",SUMIF($H$7:$S$7,"&gt;"&amp;$C$4,$H698:$S698))</f>
        <v/>
      </c>
      <c r="V698" s="32">
        <f>IF($B$698="","",SUM($H698:$S698))</f>
        <v/>
      </c>
      <c r="X698" s="22">
        <f>IF($B698="","",IFERROR(INDEX(Cost_Centers!$E:$E,MATCH($B698,Cost_Centers!$A:$A,0)),"(unknown)"))</f>
        <v/>
      </c>
      <c r="Y698" s="22">
        <f>IF($B698="","",IFERROR(INDEX(Cost_Centers!$D:$D,MATCH($B698,Cost_Centers!$A:$A,0)),"(unknown)"))</f>
        <v/>
      </c>
      <c r="Z698" s="22">
        <f>IF(OR($B698="",$G698&lt;&gt;"Variance vs Budget"),"",ABS(N($V698))+ROW()/1000000000)</f>
        <v/>
      </c>
    </row>
    <row r="699">
      <c r="A699" s="13">
        <f>IF(A$698="","",A$698)</f>
        <v/>
      </c>
      <c r="B699" s="13">
        <f>IF(B$698="","",B$698)</f>
        <v/>
      </c>
      <c r="C699" s="13">
        <f>IF(C$698="","",C$698)</f>
        <v/>
      </c>
      <c r="D699" s="13">
        <f>IF(D$698="","",D$698)</f>
        <v/>
      </c>
      <c r="E699" s="13">
        <f>IF(E$698="","",E$698)</f>
        <v/>
      </c>
      <c r="F699" s="13">
        <f>IF(F$698="","",F$698)</f>
        <v/>
      </c>
      <c r="G699" s="7" t="inlineStr">
        <is>
          <t>Actual</t>
        </is>
      </c>
      <c r="H699" s="18">
        <f>IF(OR($B$698="",1&gt;$C$4),"",SUMIFS(Actuals!$G:$G,Actuals!$B:$B,$C$3,Actuals!$C:$C,1,Actuals!$D:$D,$B$698,Actuals!$A:$A,LEFT($D$698,FIND("|",$D$698&amp;"|")-1),Actuals!$E:$E,MID($D$698,FIND("|",$D$698&amp;"|")+1,50),Actuals!$F:$F,"JPY")*$E$5+SUMIFS(Actuals!$G:$G,Actuals!$B:$B,$C$3,Actuals!$C:$C,1,Actuals!$D:$D,$B$698,Actuals!$A:$A,LEFT($D$698,FIND("|",$D$698&amp;"|")-1),Actuals!$E:$E,MID($D$698,FIND("|",$D$698&amp;"|")+1,50),Actuals!$F:$F,"USD")*$F$5+SUMIFS(Actuals!$G:$G,Actuals!$B:$B,$C$3,Actuals!$C:$C,1,Actuals!$D:$D,$B$698,Actuals!$A:$A,LEFT($D$698,FIND("|",$D$698&amp;"|")-1),Actuals!$E:$E,MID($D$698,FIND("|",$D$698&amp;"|")+1,50),Actuals!$F:$F,"EUR")*$G$5+SUMIFS(Actuals!$G:$G,Actuals!$B:$B,$C$3,Actuals!$C:$C,1,Actuals!$D:$D,$B$698,Actuals!$A:$A,LEFT($D$698,FIND("|",$D$698&amp;"|")-1),Actuals!$E:$E,MID($D$698,FIND("|",$D$698&amp;"|")+1,50),Actuals!$F:$F,"GBP")*$H$5)</f>
        <v/>
      </c>
      <c r="I699" s="18">
        <f>IF(OR($B$698="",2&gt;$C$4),"",SUMIFS(Actuals!$G:$G,Actuals!$B:$B,$C$3,Actuals!$C:$C,2,Actuals!$D:$D,$B$698,Actuals!$A:$A,LEFT($D$698,FIND("|",$D$698&amp;"|")-1),Actuals!$E:$E,MID($D$698,FIND("|",$D$698&amp;"|")+1,50),Actuals!$F:$F,"JPY")*$E$5+SUMIFS(Actuals!$G:$G,Actuals!$B:$B,$C$3,Actuals!$C:$C,2,Actuals!$D:$D,$B$698,Actuals!$A:$A,LEFT($D$698,FIND("|",$D$698&amp;"|")-1),Actuals!$E:$E,MID($D$698,FIND("|",$D$698&amp;"|")+1,50),Actuals!$F:$F,"USD")*$F$5+SUMIFS(Actuals!$G:$G,Actuals!$B:$B,$C$3,Actuals!$C:$C,2,Actuals!$D:$D,$B$698,Actuals!$A:$A,LEFT($D$698,FIND("|",$D$698&amp;"|")-1),Actuals!$E:$E,MID($D$698,FIND("|",$D$698&amp;"|")+1,50),Actuals!$F:$F,"EUR")*$G$5+SUMIFS(Actuals!$G:$G,Actuals!$B:$B,$C$3,Actuals!$C:$C,2,Actuals!$D:$D,$B$698,Actuals!$A:$A,LEFT($D$698,FIND("|",$D$698&amp;"|")-1),Actuals!$E:$E,MID($D$698,FIND("|",$D$698&amp;"|")+1,50),Actuals!$F:$F,"GBP")*$H$5)</f>
        <v/>
      </c>
      <c r="J699" s="18">
        <f>IF(OR($B$698="",3&gt;$C$4),"",SUMIFS(Actuals!$G:$G,Actuals!$B:$B,$C$3,Actuals!$C:$C,3,Actuals!$D:$D,$B$698,Actuals!$A:$A,LEFT($D$698,FIND("|",$D$698&amp;"|")-1),Actuals!$E:$E,MID($D$698,FIND("|",$D$698&amp;"|")+1,50),Actuals!$F:$F,"JPY")*$E$5+SUMIFS(Actuals!$G:$G,Actuals!$B:$B,$C$3,Actuals!$C:$C,3,Actuals!$D:$D,$B$698,Actuals!$A:$A,LEFT($D$698,FIND("|",$D$698&amp;"|")-1),Actuals!$E:$E,MID($D$698,FIND("|",$D$698&amp;"|")+1,50),Actuals!$F:$F,"USD")*$F$5+SUMIFS(Actuals!$G:$G,Actuals!$B:$B,$C$3,Actuals!$C:$C,3,Actuals!$D:$D,$B$698,Actuals!$A:$A,LEFT($D$698,FIND("|",$D$698&amp;"|")-1),Actuals!$E:$E,MID($D$698,FIND("|",$D$698&amp;"|")+1,50),Actuals!$F:$F,"EUR")*$G$5+SUMIFS(Actuals!$G:$G,Actuals!$B:$B,$C$3,Actuals!$C:$C,3,Actuals!$D:$D,$B$698,Actuals!$A:$A,LEFT($D$698,FIND("|",$D$698&amp;"|")-1),Actuals!$E:$E,MID($D$698,FIND("|",$D$698&amp;"|")+1,50),Actuals!$F:$F,"GBP")*$H$5)</f>
        <v/>
      </c>
      <c r="K699" s="18">
        <f>IF(OR($B$698="",4&gt;$C$4),"",SUMIFS(Actuals!$G:$G,Actuals!$B:$B,$C$3,Actuals!$C:$C,4,Actuals!$D:$D,$B$698,Actuals!$A:$A,LEFT($D$698,FIND("|",$D$698&amp;"|")-1),Actuals!$E:$E,MID($D$698,FIND("|",$D$698&amp;"|")+1,50),Actuals!$F:$F,"JPY")*$E$5+SUMIFS(Actuals!$G:$G,Actuals!$B:$B,$C$3,Actuals!$C:$C,4,Actuals!$D:$D,$B$698,Actuals!$A:$A,LEFT($D$698,FIND("|",$D$698&amp;"|")-1),Actuals!$E:$E,MID($D$698,FIND("|",$D$698&amp;"|")+1,50),Actuals!$F:$F,"USD")*$F$5+SUMIFS(Actuals!$G:$G,Actuals!$B:$B,$C$3,Actuals!$C:$C,4,Actuals!$D:$D,$B$698,Actuals!$A:$A,LEFT($D$698,FIND("|",$D$698&amp;"|")-1),Actuals!$E:$E,MID($D$698,FIND("|",$D$698&amp;"|")+1,50),Actuals!$F:$F,"EUR")*$G$5+SUMIFS(Actuals!$G:$G,Actuals!$B:$B,$C$3,Actuals!$C:$C,4,Actuals!$D:$D,$B$698,Actuals!$A:$A,LEFT($D$698,FIND("|",$D$698&amp;"|")-1),Actuals!$E:$E,MID($D$698,FIND("|",$D$698&amp;"|")+1,50),Actuals!$F:$F,"GBP")*$H$5)</f>
        <v/>
      </c>
      <c r="L699" s="18">
        <f>IF(OR($B$698="",5&gt;$C$4),"",SUMIFS(Actuals!$G:$G,Actuals!$B:$B,$C$3,Actuals!$C:$C,5,Actuals!$D:$D,$B$698,Actuals!$A:$A,LEFT($D$698,FIND("|",$D$698&amp;"|")-1),Actuals!$E:$E,MID($D$698,FIND("|",$D$698&amp;"|")+1,50),Actuals!$F:$F,"JPY")*$E$5+SUMIFS(Actuals!$G:$G,Actuals!$B:$B,$C$3,Actuals!$C:$C,5,Actuals!$D:$D,$B$698,Actuals!$A:$A,LEFT($D$698,FIND("|",$D$698&amp;"|")-1),Actuals!$E:$E,MID($D$698,FIND("|",$D$698&amp;"|")+1,50),Actuals!$F:$F,"USD")*$F$5+SUMIFS(Actuals!$G:$G,Actuals!$B:$B,$C$3,Actuals!$C:$C,5,Actuals!$D:$D,$B$698,Actuals!$A:$A,LEFT($D$698,FIND("|",$D$698&amp;"|")-1),Actuals!$E:$E,MID($D$698,FIND("|",$D$698&amp;"|")+1,50),Actuals!$F:$F,"EUR")*$G$5+SUMIFS(Actuals!$G:$G,Actuals!$B:$B,$C$3,Actuals!$C:$C,5,Actuals!$D:$D,$B$698,Actuals!$A:$A,LEFT($D$698,FIND("|",$D$698&amp;"|")-1),Actuals!$E:$E,MID($D$698,FIND("|",$D$698&amp;"|")+1,50),Actuals!$F:$F,"GBP")*$H$5)</f>
        <v/>
      </c>
      <c r="M699" s="18">
        <f>IF(OR($B$698="",6&gt;$C$4),"",SUMIFS(Actuals!$G:$G,Actuals!$B:$B,$C$3,Actuals!$C:$C,6,Actuals!$D:$D,$B$698,Actuals!$A:$A,LEFT($D$698,FIND("|",$D$698&amp;"|")-1),Actuals!$E:$E,MID($D$698,FIND("|",$D$698&amp;"|")+1,50),Actuals!$F:$F,"JPY")*$E$5+SUMIFS(Actuals!$G:$G,Actuals!$B:$B,$C$3,Actuals!$C:$C,6,Actuals!$D:$D,$B$698,Actuals!$A:$A,LEFT($D$698,FIND("|",$D$698&amp;"|")-1),Actuals!$E:$E,MID($D$698,FIND("|",$D$698&amp;"|")+1,50),Actuals!$F:$F,"USD")*$F$5+SUMIFS(Actuals!$G:$G,Actuals!$B:$B,$C$3,Actuals!$C:$C,6,Actuals!$D:$D,$B$698,Actuals!$A:$A,LEFT($D$698,FIND("|",$D$698&amp;"|")-1),Actuals!$E:$E,MID($D$698,FIND("|",$D$698&amp;"|")+1,50),Actuals!$F:$F,"EUR")*$G$5+SUMIFS(Actuals!$G:$G,Actuals!$B:$B,$C$3,Actuals!$C:$C,6,Actuals!$D:$D,$B$698,Actuals!$A:$A,LEFT($D$698,FIND("|",$D$698&amp;"|")-1),Actuals!$E:$E,MID($D$698,FIND("|",$D$698&amp;"|")+1,50),Actuals!$F:$F,"GBP")*$H$5)</f>
        <v/>
      </c>
      <c r="N699" s="18">
        <f>IF(OR($B$698="",7&gt;$C$4),"",SUMIFS(Actuals!$G:$G,Actuals!$B:$B,$C$3,Actuals!$C:$C,7,Actuals!$D:$D,$B$698,Actuals!$A:$A,LEFT($D$698,FIND("|",$D$698&amp;"|")-1),Actuals!$E:$E,MID($D$698,FIND("|",$D$698&amp;"|")+1,50),Actuals!$F:$F,"JPY")*$E$5+SUMIFS(Actuals!$G:$G,Actuals!$B:$B,$C$3,Actuals!$C:$C,7,Actuals!$D:$D,$B$698,Actuals!$A:$A,LEFT($D$698,FIND("|",$D$698&amp;"|")-1),Actuals!$E:$E,MID($D$698,FIND("|",$D$698&amp;"|")+1,50),Actuals!$F:$F,"USD")*$F$5+SUMIFS(Actuals!$G:$G,Actuals!$B:$B,$C$3,Actuals!$C:$C,7,Actuals!$D:$D,$B$698,Actuals!$A:$A,LEFT($D$698,FIND("|",$D$698&amp;"|")-1),Actuals!$E:$E,MID($D$698,FIND("|",$D$698&amp;"|")+1,50),Actuals!$F:$F,"EUR")*$G$5+SUMIFS(Actuals!$G:$G,Actuals!$B:$B,$C$3,Actuals!$C:$C,7,Actuals!$D:$D,$B$698,Actuals!$A:$A,LEFT($D$698,FIND("|",$D$698&amp;"|")-1),Actuals!$E:$E,MID($D$698,FIND("|",$D$698&amp;"|")+1,50),Actuals!$F:$F,"GBP")*$H$5)</f>
        <v/>
      </c>
      <c r="O699" s="18">
        <f>IF(OR($B$698="",8&gt;$C$4),"",SUMIFS(Actuals!$G:$G,Actuals!$B:$B,$C$3,Actuals!$C:$C,8,Actuals!$D:$D,$B$698,Actuals!$A:$A,LEFT($D$698,FIND("|",$D$698&amp;"|")-1),Actuals!$E:$E,MID($D$698,FIND("|",$D$698&amp;"|")+1,50),Actuals!$F:$F,"JPY")*$E$5+SUMIFS(Actuals!$G:$G,Actuals!$B:$B,$C$3,Actuals!$C:$C,8,Actuals!$D:$D,$B$698,Actuals!$A:$A,LEFT($D$698,FIND("|",$D$698&amp;"|")-1),Actuals!$E:$E,MID($D$698,FIND("|",$D$698&amp;"|")+1,50),Actuals!$F:$F,"USD")*$F$5+SUMIFS(Actuals!$G:$G,Actuals!$B:$B,$C$3,Actuals!$C:$C,8,Actuals!$D:$D,$B$698,Actuals!$A:$A,LEFT($D$698,FIND("|",$D$698&amp;"|")-1),Actuals!$E:$E,MID($D$698,FIND("|",$D$698&amp;"|")+1,50),Actuals!$F:$F,"EUR")*$G$5+SUMIFS(Actuals!$G:$G,Actuals!$B:$B,$C$3,Actuals!$C:$C,8,Actuals!$D:$D,$B$698,Actuals!$A:$A,LEFT($D$698,FIND("|",$D$698&amp;"|")-1),Actuals!$E:$E,MID($D$698,FIND("|",$D$698&amp;"|")+1,50),Actuals!$F:$F,"GBP")*$H$5)</f>
        <v/>
      </c>
      <c r="P699" s="18">
        <f>IF(OR($B$698="",9&gt;$C$4),"",SUMIFS(Actuals!$G:$G,Actuals!$B:$B,$C$3,Actuals!$C:$C,9,Actuals!$D:$D,$B$698,Actuals!$A:$A,LEFT($D$698,FIND("|",$D$698&amp;"|")-1),Actuals!$E:$E,MID($D$698,FIND("|",$D$698&amp;"|")+1,50),Actuals!$F:$F,"JPY")*$E$5+SUMIFS(Actuals!$G:$G,Actuals!$B:$B,$C$3,Actuals!$C:$C,9,Actuals!$D:$D,$B$698,Actuals!$A:$A,LEFT($D$698,FIND("|",$D$698&amp;"|")-1),Actuals!$E:$E,MID($D$698,FIND("|",$D$698&amp;"|")+1,50),Actuals!$F:$F,"USD")*$F$5+SUMIFS(Actuals!$G:$G,Actuals!$B:$B,$C$3,Actuals!$C:$C,9,Actuals!$D:$D,$B$698,Actuals!$A:$A,LEFT($D$698,FIND("|",$D$698&amp;"|")-1),Actuals!$E:$E,MID($D$698,FIND("|",$D$698&amp;"|")+1,50),Actuals!$F:$F,"EUR")*$G$5+SUMIFS(Actuals!$G:$G,Actuals!$B:$B,$C$3,Actuals!$C:$C,9,Actuals!$D:$D,$B$698,Actuals!$A:$A,LEFT($D$698,FIND("|",$D$698&amp;"|")-1),Actuals!$E:$E,MID($D$698,FIND("|",$D$698&amp;"|")+1,50),Actuals!$F:$F,"GBP")*$H$5)</f>
        <v/>
      </c>
      <c r="Q699" s="18">
        <f>IF(OR($B$698="",10&gt;$C$4),"",SUMIFS(Actuals!$G:$G,Actuals!$B:$B,$C$3,Actuals!$C:$C,10,Actuals!$D:$D,$B$698,Actuals!$A:$A,LEFT($D$698,FIND("|",$D$698&amp;"|")-1),Actuals!$E:$E,MID($D$698,FIND("|",$D$698&amp;"|")+1,50),Actuals!$F:$F,"JPY")*$E$5+SUMIFS(Actuals!$G:$G,Actuals!$B:$B,$C$3,Actuals!$C:$C,10,Actuals!$D:$D,$B$698,Actuals!$A:$A,LEFT($D$698,FIND("|",$D$698&amp;"|")-1),Actuals!$E:$E,MID($D$698,FIND("|",$D$698&amp;"|")+1,50),Actuals!$F:$F,"USD")*$F$5+SUMIFS(Actuals!$G:$G,Actuals!$B:$B,$C$3,Actuals!$C:$C,10,Actuals!$D:$D,$B$698,Actuals!$A:$A,LEFT($D$698,FIND("|",$D$698&amp;"|")-1),Actuals!$E:$E,MID($D$698,FIND("|",$D$698&amp;"|")+1,50),Actuals!$F:$F,"EUR")*$G$5+SUMIFS(Actuals!$G:$G,Actuals!$B:$B,$C$3,Actuals!$C:$C,10,Actuals!$D:$D,$B$698,Actuals!$A:$A,LEFT($D$698,FIND("|",$D$698&amp;"|")-1),Actuals!$E:$E,MID($D$698,FIND("|",$D$698&amp;"|")+1,50),Actuals!$F:$F,"GBP")*$H$5)</f>
        <v/>
      </c>
      <c r="R699" s="18">
        <f>IF(OR($B$698="",11&gt;$C$4),"",SUMIFS(Actuals!$G:$G,Actuals!$B:$B,$C$3,Actuals!$C:$C,11,Actuals!$D:$D,$B$698,Actuals!$A:$A,LEFT($D$698,FIND("|",$D$698&amp;"|")-1),Actuals!$E:$E,MID($D$698,FIND("|",$D$698&amp;"|")+1,50),Actuals!$F:$F,"JPY")*$E$5+SUMIFS(Actuals!$G:$G,Actuals!$B:$B,$C$3,Actuals!$C:$C,11,Actuals!$D:$D,$B$698,Actuals!$A:$A,LEFT($D$698,FIND("|",$D$698&amp;"|")-1),Actuals!$E:$E,MID($D$698,FIND("|",$D$698&amp;"|")+1,50),Actuals!$F:$F,"USD")*$F$5+SUMIFS(Actuals!$G:$G,Actuals!$B:$B,$C$3,Actuals!$C:$C,11,Actuals!$D:$D,$B$698,Actuals!$A:$A,LEFT($D$698,FIND("|",$D$698&amp;"|")-1),Actuals!$E:$E,MID($D$698,FIND("|",$D$698&amp;"|")+1,50),Actuals!$F:$F,"EUR")*$G$5+SUMIFS(Actuals!$G:$G,Actuals!$B:$B,$C$3,Actuals!$C:$C,11,Actuals!$D:$D,$B$698,Actuals!$A:$A,LEFT($D$698,FIND("|",$D$698&amp;"|")-1),Actuals!$E:$E,MID($D$698,FIND("|",$D$698&amp;"|")+1,50),Actuals!$F:$F,"GBP")*$H$5)</f>
        <v/>
      </c>
      <c r="S699" s="18">
        <f>IF(OR($B$698="",12&gt;$C$4),"",SUMIFS(Actuals!$G:$G,Actuals!$B:$B,$C$3,Actuals!$C:$C,12,Actuals!$D:$D,$B$698,Actuals!$A:$A,LEFT($D$698,FIND("|",$D$698&amp;"|")-1),Actuals!$E:$E,MID($D$698,FIND("|",$D$698&amp;"|")+1,50),Actuals!$F:$F,"JPY")*$E$5+SUMIFS(Actuals!$G:$G,Actuals!$B:$B,$C$3,Actuals!$C:$C,12,Actuals!$D:$D,$B$698,Actuals!$A:$A,LEFT($D$698,FIND("|",$D$698&amp;"|")-1),Actuals!$E:$E,MID($D$698,FIND("|",$D$698&amp;"|")+1,50),Actuals!$F:$F,"USD")*$F$5+SUMIFS(Actuals!$G:$G,Actuals!$B:$B,$C$3,Actuals!$C:$C,12,Actuals!$D:$D,$B$698,Actuals!$A:$A,LEFT($D$698,FIND("|",$D$698&amp;"|")-1),Actuals!$E:$E,MID($D$698,FIND("|",$D$698&amp;"|")+1,50),Actuals!$F:$F,"EUR")*$G$5+SUMIFS(Actuals!$G:$G,Actuals!$B:$B,$C$3,Actuals!$C:$C,12,Actuals!$D:$D,$B$698,Actuals!$A:$A,LEFT($D$698,FIND("|",$D$698&amp;"|")-1),Actuals!$E:$E,MID($D$698,FIND("|",$D$698&amp;"|")+1,50),Actuals!$F:$F,"GBP")*$H$5)</f>
        <v/>
      </c>
      <c r="T699" s="18">
        <f>IF($B$698="","",SUMIF($H$7:$S$7,"&lt;="&amp;$C$4,$H699:$S699))</f>
        <v/>
      </c>
      <c r="U699" s="18" t="n"/>
      <c r="V699" s="18" t="n"/>
      <c r="X699" s="22">
        <f>IF($B699="","",IFERROR(INDEX(Cost_Centers!$E:$E,MATCH($B699,Cost_Centers!$A:$A,0)),"(unknown)"))</f>
        <v/>
      </c>
      <c r="Y699" s="22">
        <f>IF($B699="","",IFERROR(INDEX(Cost_Centers!$D:$D,MATCH($B699,Cost_Centers!$A:$A,0)),"(unknown)"))</f>
        <v/>
      </c>
      <c r="Z699" s="22">
        <f>IF(OR($B699="",$G699&lt;&gt;"Variance vs Budget"),"",ABS(N($V699))+ROW()/1000000000)</f>
        <v/>
      </c>
    </row>
    <row r="700">
      <c r="A700" s="13">
        <f>IF(A$698="","",A$698)</f>
        <v/>
      </c>
      <c r="B700" s="13">
        <f>IF(B$698="","",B$698)</f>
        <v/>
      </c>
      <c r="C700" s="13">
        <f>IF(C$698="","",C$698)</f>
        <v/>
      </c>
      <c r="D700" s="13">
        <f>IF(D$698="","",D$698)</f>
        <v/>
      </c>
      <c r="E700" s="13">
        <f>IF(E$698="","",E$698)</f>
        <v/>
      </c>
      <c r="F700" s="13">
        <f>IF(F$698="","",F$698)</f>
        <v/>
      </c>
      <c r="G700" s="6" t="inlineStr">
        <is>
          <t>Variance vs Budget</t>
        </is>
      </c>
      <c r="H700" s="33">
        <f>IF(OR($B$698="",1&gt;$C$4),"",N(H699)-H698)</f>
        <v/>
      </c>
      <c r="I700" s="33">
        <f>IF(OR($B$698="",2&gt;$C$4),"",N(I699)-I698)</f>
        <v/>
      </c>
      <c r="J700" s="33">
        <f>IF(OR($B$698="",3&gt;$C$4),"",N(J699)-J698)</f>
        <v/>
      </c>
      <c r="K700" s="33">
        <f>IF(OR($B$698="",4&gt;$C$4),"",N(K699)-K698)</f>
        <v/>
      </c>
      <c r="L700" s="33">
        <f>IF(OR($B$698="",5&gt;$C$4),"",N(L699)-L698)</f>
        <v/>
      </c>
      <c r="M700" s="33">
        <f>IF(OR($B$698="",6&gt;$C$4),"",N(M699)-M698)</f>
        <v/>
      </c>
      <c r="N700" s="33">
        <f>IF(OR($B$698="",7&gt;$C$4),"",N(N699)-N698)</f>
        <v/>
      </c>
      <c r="O700" s="33">
        <f>IF(OR($B$698="",8&gt;$C$4),"",N(O699)-O698)</f>
        <v/>
      </c>
      <c r="P700" s="33">
        <f>IF(OR($B$698="",9&gt;$C$4),"",N(P699)-P698)</f>
        <v/>
      </c>
      <c r="Q700" s="33">
        <f>IF(OR($B$698="",10&gt;$C$4),"",N(Q699)-Q698)</f>
        <v/>
      </c>
      <c r="R700" s="33">
        <f>IF(OR($B$698="",11&gt;$C$4),"",N(R699)-R698)</f>
        <v/>
      </c>
      <c r="S700" s="33">
        <f>IF(OR($B$698="",12&gt;$C$4),"",N(S699)-S698)</f>
        <v/>
      </c>
      <c r="T700" s="33">
        <f>IF($B$698="","",T699-T698)</f>
        <v/>
      </c>
      <c r="U700" s="33">
        <f>IF($B$698="","",U702-U698)</f>
        <v/>
      </c>
      <c r="V700" s="33">
        <f>IF($B$698="","",V702-V698)</f>
        <v/>
      </c>
      <c r="X700" s="22">
        <f>IF($B700="","",IFERROR(INDEX(Cost_Centers!$E:$E,MATCH($B700,Cost_Centers!$A:$A,0)),"(unknown)"))</f>
        <v/>
      </c>
      <c r="Y700" s="22">
        <f>IF($B700="","",IFERROR(INDEX(Cost_Centers!$D:$D,MATCH($B700,Cost_Centers!$A:$A,0)),"(unknown)"))</f>
        <v/>
      </c>
      <c r="Z700" s="22">
        <f>IF(OR($B700="",$G700&lt;&gt;"Variance vs Budget"),"",ABS(N($V700))+ROW()/1000000000)</f>
        <v/>
      </c>
    </row>
    <row r="701">
      <c r="A701" s="13">
        <f>IF(A$698="","",A$698)</f>
        <v/>
      </c>
      <c r="B701" s="13">
        <f>IF(B$698="","",B$698)</f>
        <v/>
      </c>
      <c r="C701" s="13">
        <f>IF(C$698="","",C$698)</f>
        <v/>
      </c>
      <c r="D701" s="13">
        <f>IF(D$698="","",D$698)</f>
        <v/>
      </c>
      <c r="E701" s="13">
        <f>IF(E$698="","",E$698)</f>
        <v/>
      </c>
      <c r="F701" s="13">
        <f>IF(F$698="","",F$698)</f>
        <v/>
      </c>
      <c r="G701" s="7" t="inlineStr">
        <is>
          <t>Forecast (input)</t>
        </is>
      </c>
      <c r="H701" s="34" t="n"/>
      <c r="I701" s="34" t="n"/>
      <c r="J701" s="34" t="n"/>
      <c r="K701" s="34" t="n"/>
      <c r="L701" s="34" t="n"/>
      <c r="M701" s="34" t="n"/>
      <c r="N701" s="34" t="n"/>
      <c r="O701" s="34" t="n"/>
      <c r="P701" s="34" t="n"/>
      <c r="Q701" s="34" t="n"/>
      <c r="R701" s="34" t="n"/>
      <c r="S701" s="34" t="n"/>
      <c r="T701" s="18" t="n"/>
      <c r="U701" s="18" t="n"/>
      <c r="V701" s="18" t="n"/>
      <c r="X701" s="22">
        <f>IF($B701="","",IFERROR(INDEX(Cost_Centers!$E:$E,MATCH($B701,Cost_Centers!$A:$A,0)),"(unknown)"))</f>
        <v/>
      </c>
      <c r="Y701" s="22">
        <f>IF($B701="","",IFERROR(INDEX(Cost_Centers!$D:$D,MATCH($B701,Cost_Centers!$A:$A,0)),"(unknown)"))</f>
        <v/>
      </c>
      <c r="Z701" s="22">
        <f>IF(OR($B701="",$G701&lt;&gt;"Variance vs Budget"),"",ABS(N($V701))+ROW()/1000000000)</f>
        <v/>
      </c>
    </row>
    <row r="702">
      <c r="A702" s="13">
        <f>IF(A$698="","",A$698)</f>
        <v/>
      </c>
      <c r="B702" s="13">
        <f>IF(B$698="","",B$698)</f>
        <v/>
      </c>
      <c r="C702" s="13">
        <f>IF(C$698="","",C$698)</f>
        <v/>
      </c>
      <c r="D702" s="13">
        <f>IF(D$698="","",D$698)</f>
        <v/>
      </c>
      <c r="E702" s="13">
        <f>IF(E$698="","",E$698)</f>
        <v/>
      </c>
      <c r="F702" s="13">
        <f>IF(F$698="","",F$698)</f>
        <v/>
      </c>
      <c r="G702" s="35" t="inlineStr">
        <is>
          <t>Actual + Forecast</t>
        </is>
      </c>
      <c r="H702" s="18">
        <f>IF($B$698="","",IF(1&lt;=$C$4,N(H699),IF(H701="",H698,H701)))</f>
        <v/>
      </c>
      <c r="I702" s="18">
        <f>IF($B$698="","",IF(2&lt;=$C$4,N(I699),IF(I701="",I698,I701)))</f>
        <v/>
      </c>
      <c r="J702" s="18">
        <f>IF($B$698="","",IF(3&lt;=$C$4,N(J699),IF(J701="",J698,J701)))</f>
        <v/>
      </c>
      <c r="K702" s="18">
        <f>IF($B$698="","",IF(4&lt;=$C$4,N(K699),IF(K701="",K698,K701)))</f>
        <v/>
      </c>
      <c r="L702" s="18">
        <f>IF($B$698="","",IF(5&lt;=$C$4,N(L699),IF(L701="",L698,L701)))</f>
        <v/>
      </c>
      <c r="M702" s="18">
        <f>IF($B$698="","",IF(6&lt;=$C$4,N(M699),IF(M701="",M698,M701)))</f>
        <v/>
      </c>
      <c r="N702" s="18">
        <f>IF($B$698="","",IF(7&lt;=$C$4,N(N699),IF(N701="",N698,N701)))</f>
        <v/>
      </c>
      <c r="O702" s="18">
        <f>IF($B$698="","",IF(8&lt;=$C$4,N(O699),IF(O701="",O698,O701)))</f>
        <v/>
      </c>
      <c r="P702" s="18">
        <f>IF($B$698="","",IF(9&lt;=$C$4,N(P699),IF(P701="",P698,P701)))</f>
        <v/>
      </c>
      <c r="Q702" s="18">
        <f>IF($B$698="","",IF(10&lt;=$C$4,N(Q699),IF(Q701="",Q698,Q701)))</f>
        <v/>
      </c>
      <c r="R702" s="18">
        <f>IF($B$698="","",IF(11&lt;=$C$4,N(R699),IF(R701="",R698,R701)))</f>
        <v/>
      </c>
      <c r="S702" s="18">
        <f>IF($B$698="","",IF(12&lt;=$C$4,N(S699),IF(S701="",S698,S701)))</f>
        <v/>
      </c>
      <c r="T702" s="18">
        <f>IF($B$698="","",SUMIF($H$7:$S$7,"&lt;="&amp;$C$4,$H702:$S702))</f>
        <v/>
      </c>
      <c r="U702" s="18">
        <f>IF($B$698="","",SUMIF($H$7:$S$7,"&gt;"&amp;$C$4,$H702:$S702))</f>
        <v/>
      </c>
      <c r="V702" s="18">
        <f>IF($B$698="","",SUM($H702:$S702))</f>
        <v/>
      </c>
      <c r="X702" s="22">
        <f>IF($B702="","",IFERROR(INDEX(Cost_Centers!$E:$E,MATCH($B702,Cost_Centers!$A:$A,0)),"(unknown)"))</f>
        <v/>
      </c>
      <c r="Y702" s="22">
        <f>IF($B702="","",IFERROR(INDEX(Cost_Centers!$D:$D,MATCH($B702,Cost_Centers!$A:$A,0)),"(unknown)"))</f>
        <v/>
      </c>
      <c r="Z702" s="22">
        <f>IF(OR($B702="",$G702&lt;&gt;"Variance vs Budget"),"",ABS(N($V702))+ROW()/1000000000)</f>
        <v/>
      </c>
    </row>
    <row r="703">
      <c r="A703" s="13">
        <f>IF(A$698="","",A$698)</f>
        <v/>
      </c>
      <c r="B703" s="13">
        <f>IF(B$698="","",B$698)</f>
        <v/>
      </c>
      <c r="C703" s="13">
        <f>IF(C$698="","",C$698)</f>
        <v/>
      </c>
      <c r="D703" s="13">
        <f>IF(D$698="","",D$698)</f>
        <v/>
      </c>
      <c r="E703" s="13">
        <f>IF(E$698="","",E$698)</f>
        <v/>
      </c>
      <c r="F703" s="13">
        <f>IF(F$698="","",F$698)</f>
        <v/>
      </c>
      <c r="G703" s="36" t="inlineStr">
        <is>
          <t>Prior Month Forecast</t>
        </is>
      </c>
      <c r="H703" s="37">
        <f>IF($B$698="","",IF(COUNTIFS(Prior_Forecast!$A:$A,$B$698,Prior_Forecast!$B:$B,$D$698)&gt;0,SUMIFS(Prior_Forecast!$C:$C,Prior_Forecast!$A:$A,$B$698,Prior_Forecast!$B:$B,$D$698),""))</f>
        <v/>
      </c>
      <c r="I703" s="37">
        <f>IF($B$698="","",IF(COUNTIFS(Prior_Forecast!$A:$A,$B$698,Prior_Forecast!$B:$B,$D$698)&gt;0,SUMIFS(Prior_Forecast!$D:$D,Prior_Forecast!$A:$A,$B$698,Prior_Forecast!$B:$B,$D$698),""))</f>
        <v/>
      </c>
      <c r="J703" s="37">
        <f>IF($B$698="","",IF(COUNTIFS(Prior_Forecast!$A:$A,$B$698,Prior_Forecast!$B:$B,$D$698)&gt;0,SUMIFS(Prior_Forecast!$E:$E,Prior_Forecast!$A:$A,$B$698,Prior_Forecast!$B:$B,$D$698),""))</f>
        <v/>
      </c>
      <c r="K703" s="37">
        <f>IF($B$698="","",IF(COUNTIFS(Prior_Forecast!$A:$A,$B$698,Prior_Forecast!$B:$B,$D$698)&gt;0,SUMIFS(Prior_Forecast!$F:$F,Prior_Forecast!$A:$A,$B$698,Prior_Forecast!$B:$B,$D$698),""))</f>
        <v/>
      </c>
      <c r="L703" s="37">
        <f>IF($B$698="","",IF(COUNTIFS(Prior_Forecast!$A:$A,$B$698,Prior_Forecast!$B:$B,$D$698)&gt;0,SUMIFS(Prior_Forecast!$G:$G,Prior_Forecast!$A:$A,$B$698,Prior_Forecast!$B:$B,$D$698),""))</f>
        <v/>
      </c>
      <c r="M703" s="37">
        <f>IF($B$698="","",IF(COUNTIFS(Prior_Forecast!$A:$A,$B$698,Prior_Forecast!$B:$B,$D$698)&gt;0,SUMIFS(Prior_Forecast!$H:$H,Prior_Forecast!$A:$A,$B$698,Prior_Forecast!$B:$B,$D$698),""))</f>
        <v/>
      </c>
      <c r="N703" s="37">
        <f>IF($B$698="","",IF(COUNTIFS(Prior_Forecast!$A:$A,$B$698,Prior_Forecast!$B:$B,$D$698)&gt;0,SUMIFS(Prior_Forecast!$I:$I,Prior_Forecast!$A:$A,$B$698,Prior_Forecast!$B:$B,$D$698),""))</f>
        <v/>
      </c>
      <c r="O703" s="37">
        <f>IF($B$698="","",IF(COUNTIFS(Prior_Forecast!$A:$A,$B$698,Prior_Forecast!$B:$B,$D$698)&gt;0,SUMIFS(Prior_Forecast!$J:$J,Prior_Forecast!$A:$A,$B$698,Prior_Forecast!$B:$B,$D$698),""))</f>
        <v/>
      </c>
      <c r="P703" s="37">
        <f>IF($B$698="","",IF(COUNTIFS(Prior_Forecast!$A:$A,$B$698,Prior_Forecast!$B:$B,$D$698)&gt;0,SUMIFS(Prior_Forecast!$K:$K,Prior_Forecast!$A:$A,$B$698,Prior_Forecast!$B:$B,$D$698),""))</f>
        <v/>
      </c>
      <c r="Q703" s="37">
        <f>IF($B$698="","",IF(COUNTIFS(Prior_Forecast!$A:$A,$B$698,Prior_Forecast!$B:$B,$D$698)&gt;0,SUMIFS(Prior_Forecast!$L:$L,Prior_Forecast!$A:$A,$B$698,Prior_Forecast!$B:$B,$D$698),""))</f>
        <v/>
      </c>
      <c r="R703" s="37">
        <f>IF($B$698="","",IF(COUNTIFS(Prior_Forecast!$A:$A,$B$698,Prior_Forecast!$B:$B,$D$698)&gt;0,SUMIFS(Prior_Forecast!$M:$M,Prior_Forecast!$A:$A,$B$698,Prior_Forecast!$B:$B,$D$698),""))</f>
        <v/>
      </c>
      <c r="S703" s="37">
        <f>IF($B$698="","",IF(COUNTIFS(Prior_Forecast!$A:$A,$B$698,Prior_Forecast!$B:$B,$D$698)&gt;0,SUMIFS(Prior_Forecast!$N:$N,Prior_Forecast!$A:$A,$B$698,Prior_Forecast!$B:$B,$D$698),""))</f>
        <v/>
      </c>
      <c r="T703" s="37">
        <f>IF($B$698="","",IF(COUNTIFS(Prior_Forecast!$A:$A,$B$698,Prior_Forecast!$B:$B,$D$698)&gt;0,SUMIFS(Prior_Forecast!$O:$O,Prior_Forecast!$A:$A,$B$698,Prior_Forecast!$B:$B,$D$698),""))</f>
        <v/>
      </c>
      <c r="U703" s="37">
        <f>IF($B$698="","",IF(COUNTIFS(Prior_Forecast!$A:$A,$B$698,Prior_Forecast!$B:$B,$D$698)&gt;0,SUMIFS(Prior_Forecast!$P:$P,Prior_Forecast!$A:$A,$B$698,Prior_Forecast!$B:$B,$D$698),""))</f>
        <v/>
      </c>
      <c r="V703" s="37">
        <f>IF($B$698="","",IF(COUNTIFS(Prior_Forecast!$A:$A,$B$698,Prior_Forecast!$B:$B,$D$698)&gt;0,SUMIFS(Prior_Forecast!$Q:$Q,Prior_Forecast!$A:$A,$B$698,Prior_Forecast!$B:$B,$D$698),""))</f>
        <v/>
      </c>
      <c r="X703" s="22">
        <f>IF($B703="","",IFERROR(INDEX(Cost_Centers!$E:$E,MATCH($B703,Cost_Centers!$A:$A,0)),"(unknown)"))</f>
        <v/>
      </c>
      <c r="Y703" s="22">
        <f>IF($B703="","",IFERROR(INDEX(Cost_Centers!$D:$D,MATCH($B703,Cost_Centers!$A:$A,0)),"(unknown)"))</f>
        <v/>
      </c>
      <c r="Z703" s="22">
        <f>IF(OR($B703="",$G703&lt;&gt;"Variance vs Budget"),"",ABS(N($V703))+ROW()/1000000000)</f>
        <v/>
      </c>
    </row>
    <row r="704">
      <c r="A704" s="13">
        <f>IF(A$698="","",A$698)</f>
        <v/>
      </c>
      <c r="B704" s="13">
        <f>IF(B$698="","",B$698)</f>
        <v/>
      </c>
      <c r="C704" s="13">
        <f>IF(C$698="","",C$698)</f>
        <v/>
      </c>
      <c r="D704" s="13">
        <f>IF(D$698="","",D$698)</f>
        <v/>
      </c>
      <c r="E704" s="13">
        <f>IF(E$698="","",E$698)</f>
        <v/>
      </c>
      <c r="F704" s="13">
        <f>IF(F$698="","",F$698)</f>
        <v/>
      </c>
      <c r="G704" s="6" t="inlineStr">
        <is>
          <t>Variance vs Prior Month</t>
        </is>
      </c>
      <c r="H704" s="33">
        <f>IF(OR($B$698="",H703=""),"",H702-H703)</f>
        <v/>
      </c>
      <c r="I704" s="33">
        <f>IF(OR($B$698="",I703=""),"",I702-I703)</f>
        <v/>
      </c>
      <c r="J704" s="33">
        <f>IF(OR($B$698="",J703=""),"",J702-J703)</f>
        <v/>
      </c>
      <c r="K704" s="33">
        <f>IF(OR($B$698="",K703=""),"",K702-K703)</f>
        <v/>
      </c>
      <c r="L704" s="33">
        <f>IF(OR($B$698="",L703=""),"",L702-L703)</f>
        <v/>
      </c>
      <c r="M704" s="33">
        <f>IF(OR($B$698="",M703=""),"",M702-M703)</f>
        <v/>
      </c>
      <c r="N704" s="33">
        <f>IF(OR($B$698="",N703=""),"",N702-N703)</f>
        <v/>
      </c>
      <c r="O704" s="33">
        <f>IF(OR($B$698="",O703=""),"",O702-O703)</f>
        <v/>
      </c>
      <c r="P704" s="33">
        <f>IF(OR($B$698="",P703=""),"",P702-P703)</f>
        <v/>
      </c>
      <c r="Q704" s="33">
        <f>IF(OR($B$698="",Q703=""),"",Q702-Q703)</f>
        <v/>
      </c>
      <c r="R704" s="33">
        <f>IF(OR($B$698="",R703=""),"",R702-R703)</f>
        <v/>
      </c>
      <c r="S704" s="33">
        <f>IF(OR($B$698="",S703=""),"",S702-S703)</f>
        <v/>
      </c>
      <c r="T704" s="33">
        <f>IF(OR($B$698="",T703=""),"",T702-T703)</f>
        <v/>
      </c>
      <c r="U704" s="33">
        <f>IF(OR($B$698="",U703=""),"",U702-U703)</f>
        <v/>
      </c>
      <c r="V704" s="33">
        <f>IF(OR($B$698="",V703=""),"",V702-V703)</f>
        <v/>
      </c>
      <c r="X704" s="22">
        <f>IF($B704="","",IFERROR(INDEX(Cost_Centers!$E:$E,MATCH($B704,Cost_Centers!$A:$A,0)),"(unknown)"))</f>
        <v/>
      </c>
      <c r="Y704" s="22">
        <f>IF($B704="","",IFERROR(INDEX(Cost_Centers!$D:$D,MATCH($B704,Cost_Centers!$A:$A,0)),"(unknown)"))</f>
        <v/>
      </c>
      <c r="Z704" s="22">
        <f>IF(OR($B704="",$G704&lt;&gt;"Variance vs Budget"),"",ABS(N($V704))+ROW()/1000000000)</f>
        <v/>
      </c>
    </row>
    <row r="705" ht="45" customHeight="1">
      <c r="A705" s="13">
        <f>IF(A$698="","",A$698)</f>
        <v/>
      </c>
      <c r="B705" s="13">
        <f>IF(B$698="","",B$698)</f>
        <v/>
      </c>
      <c r="C705" s="13">
        <f>IF(C$698="","",C$698)</f>
        <v/>
      </c>
      <c r="D705" s="13">
        <f>IF(D$698="","",D$698)</f>
        <v/>
      </c>
      <c r="E705" s="13">
        <f>IF(E$698="","",E$698)</f>
        <v/>
      </c>
      <c r="F705" s="13">
        <f>IF(F$698="","",F$698)</f>
        <v/>
      </c>
      <c r="G705" s="7" t="inlineStr">
        <is>
          <t>Rationale</t>
        </is>
      </c>
      <c r="H705" s="38" t="n"/>
      <c r="I705" s="38" t="n"/>
      <c r="J705" s="38" t="n"/>
      <c r="K705" s="38" t="n"/>
      <c r="L705" s="38" t="n"/>
      <c r="M705" s="38" t="n"/>
      <c r="N705" s="38" t="n"/>
      <c r="O705" s="38" t="n"/>
      <c r="P705" s="38" t="n"/>
      <c r="Q705" s="38" t="n"/>
      <c r="R705" s="38" t="n"/>
      <c r="S705" s="38" t="n"/>
      <c r="T705" s="38" t="n"/>
      <c r="U705" s="38" t="n"/>
      <c r="V705" s="7" t="n"/>
      <c r="X705" s="22">
        <f>IF($B705="","",IFERROR(INDEX(Cost_Centers!$E:$E,MATCH($B705,Cost_Centers!$A:$A,0)),"(unknown)"))</f>
        <v/>
      </c>
      <c r="Y705" s="22">
        <f>IF($B705="","",IFERROR(INDEX(Cost_Centers!$D:$D,MATCH($B705,Cost_Centers!$A:$A,0)),"(unknown)"))</f>
        <v/>
      </c>
      <c r="Z705" s="22">
        <f>IF(OR($B705="",$G705&lt;&gt;"Variance vs Budget"),"",ABS(N($V705))+ROW()/1000000000)</f>
        <v/>
      </c>
    </row>
    <row r="706">
      <c r="A706" s="30">
        <f>IF($D$706="","",LEFT($D$706,FIND("|",$D$706&amp;"|")-1))</f>
        <v/>
      </c>
      <c r="B706" s="31" t="n"/>
      <c r="C706" s="30">
        <f>IF($B$706="","",IFERROR(INDEX(Cost_Centers!$B:$B,MATCH($B$706,Cost_Centers!$A:$A,0)),"(not in master)"))</f>
        <v/>
      </c>
      <c r="D706" s="31" t="n"/>
      <c r="E706" s="30">
        <f>IF($D$706="","",IFERROR(INDEX(Accounts!$D:$D,MATCH($D$706,Accounts!$A:$A,0)),"(not in master)"))</f>
        <v/>
      </c>
      <c r="F706" s="31" t="n"/>
      <c r="G706" s="30" t="inlineStr">
        <is>
          <t>Budget</t>
        </is>
      </c>
      <c r="H706" s="32">
        <f>IF($B$706="","",SUMIFS(Opex_Budget!$O:$O,Opex_Budget!$A:$A,$C$3,Opex_Budget!$E:$E,$B$706,Opex_Budget!$F:$F,$D$706,Opex_Budget!$N:$N,"JPY")*$E$5+SUMIFS(Opex_Budget!$O:$O,Opex_Budget!$A:$A,$C$3,Opex_Budget!$E:$E,$B$706,Opex_Budget!$F:$F,$D$706,Opex_Budget!$N:$N,"USD")*$F$5+SUMIFS(Opex_Budget!$O:$O,Opex_Budget!$A:$A,$C$3,Opex_Budget!$E:$E,$B$706,Opex_Budget!$F:$F,$D$706,Opex_Budget!$N:$N,"EUR")*$G$5+SUMIFS(Opex_Budget!$O:$O,Opex_Budget!$A:$A,$C$3,Opex_Budget!$E:$E,$B$706,Opex_Budget!$F:$F,$D$706,Opex_Budget!$N:$N,"GBP")*$H$5)</f>
        <v/>
      </c>
      <c r="I706" s="32">
        <f>IF($B$706="","",SUMIFS(Opex_Budget!$P:$P,Opex_Budget!$A:$A,$C$3,Opex_Budget!$E:$E,$B$706,Opex_Budget!$F:$F,$D$706,Opex_Budget!$N:$N,"JPY")*$E$5+SUMIFS(Opex_Budget!$P:$P,Opex_Budget!$A:$A,$C$3,Opex_Budget!$E:$E,$B$706,Opex_Budget!$F:$F,$D$706,Opex_Budget!$N:$N,"USD")*$F$5+SUMIFS(Opex_Budget!$P:$P,Opex_Budget!$A:$A,$C$3,Opex_Budget!$E:$E,$B$706,Opex_Budget!$F:$F,$D$706,Opex_Budget!$N:$N,"EUR")*$G$5+SUMIFS(Opex_Budget!$P:$P,Opex_Budget!$A:$A,$C$3,Opex_Budget!$E:$E,$B$706,Opex_Budget!$F:$F,$D$706,Opex_Budget!$N:$N,"GBP")*$H$5)</f>
        <v/>
      </c>
      <c r="J706" s="32">
        <f>IF($B$706="","",SUMIFS(Opex_Budget!$Q:$Q,Opex_Budget!$A:$A,$C$3,Opex_Budget!$E:$E,$B$706,Opex_Budget!$F:$F,$D$706,Opex_Budget!$N:$N,"JPY")*$E$5+SUMIFS(Opex_Budget!$Q:$Q,Opex_Budget!$A:$A,$C$3,Opex_Budget!$E:$E,$B$706,Opex_Budget!$F:$F,$D$706,Opex_Budget!$N:$N,"USD")*$F$5+SUMIFS(Opex_Budget!$Q:$Q,Opex_Budget!$A:$A,$C$3,Opex_Budget!$E:$E,$B$706,Opex_Budget!$F:$F,$D$706,Opex_Budget!$N:$N,"EUR")*$G$5+SUMIFS(Opex_Budget!$Q:$Q,Opex_Budget!$A:$A,$C$3,Opex_Budget!$E:$E,$B$706,Opex_Budget!$F:$F,$D$706,Opex_Budget!$N:$N,"GBP")*$H$5)</f>
        <v/>
      </c>
      <c r="K706" s="32">
        <f>IF($B$706="","",SUMIFS(Opex_Budget!$R:$R,Opex_Budget!$A:$A,$C$3,Opex_Budget!$E:$E,$B$706,Opex_Budget!$F:$F,$D$706,Opex_Budget!$N:$N,"JPY")*$E$5+SUMIFS(Opex_Budget!$R:$R,Opex_Budget!$A:$A,$C$3,Opex_Budget!$E:$E,$B$706,Opex_Budget!$F:$F,$D$706,Opex_Budget!$N:$N,"USD")*$F$5+SUMIFS(Opex_Budget!$R:$R,Opex_Budget!$A:$A,$C$3,Opex_Budget!$E:$E,$B$706,Opex_Budget!$F:$F,$D$706,Opex_Budget!$N:$N,"EUR")*$G$5+SUMIFS(Opex_Budget!$R:$R,Opex_Budget!$A:$A,$C$3,Opex_Budget!$E:$E,$B$706,Opex_Budget!$F:$F,$D$706,Opex_Budget!$N:$N,"GBP")*$H$5)</f>
        <v/>
      </c>
      <c r="L706" s="32">
        <f>IF($B$706="","",SUMIFS(Opex_Budget!$S:$S,Opex_Budget!$A:$A,$C$3,Opex_Budget!$E:$E,$B$706,Opex_Budget!$F:$F,$D$706,Opex_Budget!$N:$N,"JPY")*$E$5+SUMIFS(Opex_Budget!$S:$S,Opex_Budget!$A:$A,$C$3,Opex_Budget!$E:$E,$B$706,Opex_Budget!$F:$F,$D$706,Opex_Budget!$N:$N,"USD")*$F$5+SUMIFS(Opex_Budget!$S:$S,Opex_Budget!$A:$A,$C$3,Opex_Budget!$E:$E,$B$706,Opex_Budget!$F:$F,$D$706,Opex_Budget!$N:$N,"EUR")*$G$5+SUMIFS(Opex_Budget!$S:$S,Opex_Budget!$A:$A,$C$3,Opex_Budget!$E:$E,$B$706,Opex_Budget!$F:$F,$D$706,Opex_Budget!$N:$N,"GBP")*$H$5)</f>
        <v/>
      </c>
      <c r="M706" s="32">
        <f>IF($B$706="","",SUMIFS(Opex_Budget!$T:$T,Opex_Budget!$A:$A,$C$3,Opex_Budget!$E:$E,$B$706,Opex_Budget!$F:$F,$D$706,Opex_Budget!$N:$N,"JPY")*$E$5+SUMIFS(Opex_Budget!$T:$T,Opex_Budget!$A:$A,$C$3,Opex_Budget!$E:$E,$B$706,Opex_Budget!$F:$F,$D$706,Opex_Budget!$N:$N,"USD")*$F$5+SUMIFS(Opex_Budget!$T:$T,Opex_Budget!$A:$A,$C$3,Opex_Budget!$E:$E,$B$706,Opex_Budget!$F:$F,$D$706,Opex_Budget!$N:$N,"EUR")*$G$5+SUMIFS(Opex_Budget!$T:$T,Opex_Budget!$A:$A,$C$3,Opex_Budget!$E:$E,$B$706,Opex_Budget!$F:$F,$D$706,Opex_Budget!$N:$N,"GBP")*$H$5)</f>
        <v/>
      </c>
      <c r="N706" s="32">
        <f>IF($B$706="","",SUMIFS(Opex_Budget!$U:$U,Opex_Budget!$A:$A,$C$3,Opex_Budget!$E:$E,$B$706,Opex_Budget!$F:$F,$D$706,Opex_Budget!$N:$N,"JPY")*$E$5+SUMIFS(Opex_Budget!$U:$U,Opex_Budget!$A:$A,$C$3,Opex_Budget!$E:$E,$B$706,Opex_Budget!$F:$F,$D$706,Opex_Budget!$N:$N,"USD")*$F$5+SUMIFS(Opex_Budget!$U:$U,Opex_Budget!$A:$A,$C$3,Opex_Budget!$E:$E,$B$706,Opex_Budget!$F:$F,$D$706,Opex_Budget!$N:$N,"EUR")*$G$5+SUMIFS(Opex_Budget!$U:$U,Opex_Budget!$A:$A,$C$3,Opex_Budget!$E:$E,$B$706,Opex_Budget!$F:$F,$D$706,Opex_Budget!$N:$N,"GBP")*$H$5)</f>
        <v/>
      </c>
      <c r="O706" s="32">
        <f>IF($B$706="","",SUMIFS(Opex_Budget!$V:$V,Opex_Budget!$A:$A,$C$3,Opex_Budget!$E:$E,$B$706,Opex_Budget!$F:$F,$D$706,Opex_Budget!$N:$N,"JPY")*$E$5+SUMIFS(Opex_Budget!$V:$V,Opex_Budget!$A:$A,$C$3,Opex_Budget!$E:$E,$B$706,Opex_Budget!$F:$F,$D$706,Opex_Budget!$N:$N,"USD")*$F$5+SUMIFS(Opex_Budget!$V:$V,Opex_Budget!$A:$A,$C$3,Opex_Budget!$E:$E,$B$706,Opex_Budget!$F:$F,$D$706,Opex_Budget!$N:$N,"EUR")*$G$5+SUMIFS(Opex_Budget!$V:$V,Opex_Budget!$A:$A,$C$3,Opex_Budget!$E:$E,$B$706,Opex_Budget!$F:$F,$D$706,Opex_Budget!$N:$N,"GBP")*$H$5)</f>
        <v/>
      </c>
      <c r="P706" s="32">
        <f>IF($B$706="","",SUMIFS(Opex_Budget!$W:$W,Opex_Budget!$A:$A,$C$3,Opex_Budget!$E:$E,$B$706,Opex_Budget!$F:$F,$D$706,Opex_Budget!$N:$N,"JPY")*$E$5+SUMIFS(Opex_Budget!$W:$W,Opex_Budget!$A:$A,$C$3,Opex_Budget!$E:$E,$B$706,Opex_Budget!$F:$F,$D$706,Opex_Budget!$N:$N,"USD")*$F$5+SUMIFS(Opex_Budget!$W:$W,Opex_Budget!$A:$A,$C$3,Opex_Budget!$E:$E,$B$706,Opex_Budget!$F:$F,$D$706,Opex_Budget!$N:$N,"EUR")*$G$5+SUMIFS(Opex_Budget!$W:$W,Opex_Budget!$A:$A,$C$3,Opex_Budget!$E:$E,$B$706,Opex_Budget!$F:$F,$D$706,Opex_Budget!$N:$N,"GBP")*$H$5)</f>
        <v/>
      </c>
      <c r="Q706" s="32">
        <f>IF($B$706="","",SUMIFS(Opex_Budget!$X:$X,Opex_Budget!$A:$A,$C$3,Opex_Budget!$E:$E,$B$706,Opex_Budget!$F:$F,$D$706,Opex_Budget!$N:$N,"JPY")*$E$5+SUMIFS(Opex_Budget!$X:$X,Opex_Budget!$A:$A,$C$3,Opex_Budget!$E:$E,$B$706,Opex_Budget!$F:$F,$D$706,Opex_Budget!$N:$N,"USD")*$F$5+SUMIFS(Opex_Budget!$X:$X,Opex_Budget!$A:$A,$C$3,Opex_Budget!$E:$E,$B$706,Opex_Budget!$F:$F,$D$706,Opex_Budget!$N:$N,"EUR")*$G$5+SUMIFS(Opex_Budget!$X:$X,Opex_Budget!$A:$A,$C$3,Opex_Budget!$E:$E,$B$706,Opex_Budget!$F:$F,$D$706,Opex_Budget!$N:$N,"GBP")*$H$5)</f>
        <v/>
      </c>
      <c r="R706" s="32">
        <f>IF($B$706="","",SUMIFS(Opex_Budget!$Y:$Y,Opex_Budget!$A:$A,$C$3,Opex_Budget!$E:$E,$B$706,Opex_Budget!$F:$F,$D$706,Opex_Budget!$N:$N,"JPY")*$E$5+SUMIFS(Opex_Budget!$Y:$Y,Opex_Budget!$A:$A,$C$3,Opex_Budget!$E:$E,$B$706,Opex_Budget!$F:$F,$D$706,Opex_Budget!$N:$N,"USD")*$F$5+SUMIFS(Opex_Budget!$Y:$Y,Opex_Budget!$A:$A,$C$3,Opex_Budget!$E:$E,$B$706,Opex_Budget!$F:$F,$D$706,Opex_Budget!$N:$N,"EUR")*$G$5+SUMIFS(Opex_Budget!$Y:$Y,Opex_Budget!$A:$A,$C$3,Opex_Budget!$E:$E,$B$706,Opex_Budget!$F:$F,$D$706,Opex_Budget!$N:$N,"GBP")*$H$5)</f>
        <v/>
      </c>
      <c r="S706" s="32">
        <f>IF($B$706="","",SUMIFS(Opex_Budget!$Z:$Z,Opex_Budget!$A:$A,$C$3,Opex_Budget!$E:$E,$B$706,Opex_Budget!$F:$F,$D$706,Opex_Budget!$N:$N,"JPY")*$E$5+SUMIFS(Opex_Budget!$Z:$Z,Opex_Budget!$A:$A,$C$3,Opex_Budget!$E:$E,$B$706,Opex_Budget!$F:$F,$D$706,Opex_Budget!$N:$N,"USD")*$F$5+SUMIFS(Opex_Budget!$Z:$Z,Opex_Budget!$A:$A,$C$3,Opex_Budget!$E:$E,$B$706,Opex_Budget!$F:$F,$D$706,Opex_Budget!$N:$N,"EUR")*$G$5+SUMIFS(Opex_Budget!$Z:$Z,Opex_Budget!$A:$A,$C$3,Opex_Budget!$E:$E,$B$706,Opex_Budget!$F:$F,$D$706,Opex_Budget!$N:$N,"GBP")*$H$5)</f>
        <v/>
      </c>
      <c r="T706" s="32">
        <f>IF($B$706="","",SUMIF($H$7:$S$7,"&lt;="&amp;$C$4,$H706:$S706))</f>
        <v/>
      </c>
      <c r="U706" s="32">
        <f>IF($B$706="","",SUMIF($H$7:$S$7,"&gt;"&amp;$C$4,$H706:$S706))</f>
        <v/>
      </c>
      <c r="V706" s="32">
        <f>IF($B$706="","",SUM($H706:$S706))</f>
        <v/>
      </c>
      <c r="X706" s="22">
        <f>IF($B706="","",IFERROR(INDEX(Cost_Centers!$E:$E,MATCH($B706,Cost_Centers!$A:$A,0)),"(unknown)"))</f>
        <v/>
      </c>
      <c r="Y706" s="22">
        <f>IF($B706="","",IFERROR(INDEX(Cost_Centers!$D:$D,MATCH($B706,Cost_Centers!$A:$A,0)),"(unknown)"))</f>
        <v/>
      </c>
      <c r="Z706" s="22">
        <f>IF(OR($B706="",$G706&lt;&gt;"Variance vs Budget"),"",ABS(N($V706))+ROW()/1000000000)</f>
        <v/>
      </c>
    </row>
    <row r="707">
      <c r="A707" s="13">
        <f>IF(A$706="","",A$706)</f>
        <v/>
      </c>
      <c r="B707" s="13">
        <f>IF(B$706="","",B$706)</f>
        <v/>
      </c>
      <c r="C707" s="13">
        <f>IF(C$706="","",C$706)</f>
        <v/>
      </c>
      <c r="D707" s="13">
        <f>IF(D$706="","",D$706)</f>
        <v/>
      </c>
      <c r="E707" s="13">
        <f>IF(E$706="","",E$706)</f>
        <v/>
      </c>
      <c r="F707" s="13">
        <f>IF(F$706="","",F$706)</f>
        <v/>
      </c>
      <c r="G707" s="7" t="inlineStr">
        <is>
          <t>Actual</t>
        </is>
      </c>
      <c r="H707" s="18">
        <f>IF(OR($B$706="",1&gt;$C$4),"",SUMIFS(Actuals!$G:$G,Actuals!$B:$B,$C$3,Actuals!$C:$C,1,Actuals!$D:$D,$B$706,Actuals!$A:$A,LEFT($D$706,FIND("|",$D$706&amp;"|")-1),Actuals!$E:$E,MID($D$706,FIND("|",$D$706&amp;"|")+1,50),Actuals!$F:$F,"JPY")*$E$5+SUMIFS(Actuals!$G:$G,Actuals!$B:$B,$C$3,Actuals!$C:$C,1,Actuals!$D:$D,$B$706,Actuals!$A:$A,LEFT($D$706,FIND("|",$D$706&amp;"|")-1),Actuals!$E:$E,MID($D$706,FIND("|",$D$706&amp;"|")+1,50),Actuals!$F:$F,"USD")*$F$5+SUMIFS(Actuals!$G:$G,Actuals!$B:$B,$C$3,Actuals!$C:$C,1,Actuals!$D:$D,$B$706,Actuals!$A:$A,LEFT($D$706,FIND("|",$D$706&amp;"|")-1),Actuals!$E:$E,MID($D$706,FIND("|",$D$706&amp;"|")+1,50),Actuals!$F:$F,"EUR")*$G$5+SUMIFS(Actuals!$G:$G,Actuals!$B:$B,$C$3,Actuals!$C:$C,1,Actuals!$D:$D,$B$706,Actuals!$A:$A,LEFT($D$706,FIND("|",$D$706&amp;"|")-1),Actuals!$E:$E,MID($D$706,FIND("|",$D$706&amp;"|")+1,50),Actuals!$F:$F,"GBP")*$H$5)</f>
        <v/>
      </c>
      <c r="I707" s="18">
        <f>IF(OR($B$706="",2&gt;$C$4),"",SUMIFS(Actuals!$G:$G,Actuals!$B:$B,$C$3,Actuals!$C:$C,2,Actuals!$D:$D,$B$706,Actuals!$A:$A,LEFT($D$706,FIND("|",$D$706&amp;"|")-1),Actuals!$E:$E,MID($D$706,FIND("|",$D$706&amp;"|")+1,50),Actuals!$F:$F,"JPY")*$E$5+SUMIFS(Actuals!$G:$G,Actuals!$B:$B,$C$3,Actuals!$C:$C,2,Actuals!$D:$D,$B$706,Actuals!$A:$A,LEFT($D$706,FIND("|",$D$706&amp;"|")-1),Actuals!$E:$E,MID($D$706,FIND("|",$D$706&amp;"|")+1,50),Actuals!$F:$F,"USD")*$F$5+SUMIFS(Actuals!$G:$G,Actuals!$B:$B,$C$3,Actuals!$C:$C,2,Actuals!$D:$D,$B$706,Actuals!$A:$A,LEFT($D$706,FIND("|",$D$706&amp;"|")-1),Actuals!$E:$E,MID($D$706,FIND("|",$D$706&amp;"|")+1,50),Actuals!$F:$F,"EUR")*$G$5+SUMIFS(Actuals!$G:$G,Actuals!$B:$B,$C$3,Actuals!$C:$C,2,Actuals!$D:$D,$B$706,Actuals!$A:$A,LEFT($D$706,FIND("|",$D$706&amp;"|")-1),Actuals!$E:$E,MID($D$706,FIND("|",$D$706&amp;"|")+1,50),Actuals!$F:$F,"GBP")*$H$5)</f>
        <v/>
      </c>
      <c r="J707" s="18">
        <f>IF(OR($B$706="",3&gt;$C$4),"",SUMIFS(Actuals!$G:$G,Actuals!$B:$B,$C$3,Actuals!$C:$C,3,Actuals!$D:$D,$B$706,Actuals!$A:$A,LEFT($D$706,FIND("|",$D$706&amp;"|")-1),Actuals!$E:$E,MID($D$706,FIND("|",$D$706&amp;"|")+1,50),Actuals!$F:$F,"JPY")*$E$5+SUMIFS(Actuals!$G:$G,Actuals!$B:$B,$C$3,Actuals!$C:$C,3,Actuals!$D:$D,$B$706,Actuals!$A:$A,LEFT($D$706,FIND("|",$D$706&amp;"|")-1),Actuals!$E:$E,MID($D$706,FIND("|",$D$706&amp;"|")+1,50),Actuals!$F:$F,"USD")*$F$5+SUMIFS(Actuals!$G:$G,Actuals!$B:$B,$C$3,Actuals!$C:$C,3,Actuals!$D:$D,$B$706,Actuals!$A:$A,LEFT($D$706,FIND("|",$D$706&amp;"|")-1),Actuals!$E:$E,MID($D$706,FIND("|",$D$706&amp;"|")+1,50),Actuals!$F:$F,"EUR")*$G$5+SUMIFS(Actuals!$G:$G,Actuals!$B:$B,$C$3,Actuals!$C:$C,3,Actuals!$D:$D,$B$706,Actuals!$A:$A,LEFT($D$706,FIND("|",$D$706&amp;"|")-1),Actuals!$E:$E,MID($D$706,FIND("|",$D$706&amp;"|")+1,50),Actuals!$F:$F,"GBP")*$H$5)</f>
        <v/>
      </c>
      <c r="K707" s="18">
        <f>IF(OR($B$706="",4&gt;$C$4),"",SUMIFS(Actuals!$G:$G,Actuals!$B:$B,$C$3,Actuals!$C:$C,4,Actuals!$D:$D,$B$706,Actuals!$A:$A,LEFT($D$706,FIND("|",$D$706&amp;"|")-1),Actuals!$E:$E,MID($D$706,FIND("|",$D$706&amp;"|")+1,50),Actuals!$F:$F,"JPY")*$E$5+SUMIFS(Actuals!$G:$G,Actuals!$B:$B,$C$3,Actuals!$C:$C,4,Actuals!$D:$D,$B$706,Actuals!$A:$A,LEFT($D$706,FIND("|",$D$706&amp;"|")-1),Actuals!$E:$E,MID($D$706,FIND("|",$D$706&amp;"|")+1,50),Actuals!$F:$F,"USD")*$F$5+SUMIFS(Actuals!$G:$G,Actuals!$B:$B,$C$3,Actuals!$C:$C,4,Actuals!$D:$D,$B$706,Actuals!$A:$A,LEFT($D$706,FIND("|",$D$706&amp;"|")-1),Actuals!$E:$E,MID($D$706,FIND("|",$D$706&amp;"|")+1,50),Actuals!$F:$F,"EUR")*$G$5+SUMIFS(Actuals!$G:$G,Actuals!$B:$B,$C$3,Actuals!$C:$C,4,Actuals!$D:$D,$B$706,Actuals!$A:$A,LEFT($D$706,FIND("|",$D$706&amp;"|")-1),Actuals!$E:$E,MID($D$706,FIND("|",$D$706&amp;"|")+1,50),Actuals!$F:$F,"GBP")*$H$5)</f>
        <v/>
      </c>
      <c r="L707" s="18">
        <f>IF(OR($B$706="",5&gt;$C$4),"",SUMIFS(Actuals!$G:$G,Actuals!$B:$B,$C$3,Actuals!$C:$C,5,Actuals!$D:$D,$B$706,Actuals!$A:$A,LEFT($D$706,FIND("|",$D$706&amp;"|")-1),Actuals!$E:$E,MID($D$706,FIND("|",$D$706&amp;"|")+1,50),Actuals!$F:$F,"JPY")*$E$5+SUMIFS(Actuals!$G:$G,Actuals!$B:$B,$C$3,Actuals!$C:$C,5,Actuals!$D:$D,$B$706,Actuals!$A:$A,LEFT($D$706,FIND("|",$D$706&amp;"|")-1),Actuals!$E:$E,MID($D$706,FIND("|",$D$706&amp;"|")+1,50),Actuals!$F:$F,"USD")*$F$5+SUMIFS(Actuals!$G:$G,Actuals!$B:$B,$C$3,Actuals!$C:$C,5,Actuals!$D:$D,$B$706,Actuals!$A:$A,LEFT($D$706,FIND("|",$D$706&amp;"|")-1),Actuals!$E:$E,MID($D$706,FIND("|",$D$706&amp;"|")+1,50),Actuals!$F:$F,"EUR")*$G$5+SUMIFS(Actuals!$G:$G,Actuals!$B:$B,$C$3,Actuals!$C:$C,5,Actuals!$D:$D,$B$706,Actuals!$A:$A,LEFT($D$706,FIND("|",$D$706&amp;"|")-1),Actuals!$E:$E,MID($D$706,FIND("|",$D$706&amp;"|")+1,50),Actuals!$F:$F,"GBP")*$H$5)</f>
        <v/>
      </c>
      <c r="M707" s="18">
        <f>IF(OR($B$706="",6&gt;$C$4),"",SUMIFS(Actuals!$G:$G,Actuals!$B:$B,$C$3,Actuals!$C:$C,6,Actuals!$D:$D,$B$706,Actuals!$A:$A,LEFT($D$706,FIND("|",$D$706&amp;"|")-1),Actuals!$E:$E,MID($D$706,FIND("|",$D$706&amp;"|")+1,50),Actuals!$F:$F,"JPY")*$E$5+SUMIFS(Actuals!$G:$G,Actuals!$B:$B,$C$3,Actuals!$C:$C,6,Actuals!$D:$D,$B$706,Actuals!$A:$A,LEFT($D$706,FIND("|",$D$706&amp;"|")-1),Actuals!$E:$E,MID($D$706,FIND("|",$D$706&amp;"|")+1,50),Actuals!$F:$F,"USD")*$F$5+SUMIFS(Actuals!$G:$G,Actuals!$B:$B,$C$3,Actuals!$C:$C,6,Actuals!$D:$D,$B$706,Actuals!$A:$A,LEFT($D$706,FIND("|",$D$706&amp;"|")-1),Actuals!$E:$E,MID($D$706,FIND("|",$D$706&amp;"|")+1,50),Actuals!$F:$F,"EUR")*$G$5+SUMIFS(Actuals!$G:$G,Actuals!$B:$B,$C$3,Actuals!$C:$C,6,Actuals!$D:$D,$B$706,Actuals!$A:$A,LEFT($D$706,FIND("|",$D$706&amp;"|")-1),Actuals!$E:$E,MID($D$706,FIND("|",$D$706&amp;"|")+1,50),Actuals!$F:$F,"GBP")*$H$5)</f>
        <v/>
      </c>
      <c r="N707" s="18">
        <f>IF(OR($B$706="",7&gt;$C$4),"",SUMIFS(Actuals!$G:$G,Actuals!$B:$B,$C$3,Actuals!$C:$C,7,Actuals!$D:$D,$B$706,Actuals!$A:$A,LEFT($D$706,FIND("|",$D$706&amp;"|")-1),Actuals!$E:$E,MID($D$706,FIND("|",$D$706&amp;"|")+1,50),Actuals!$F:$F,"JPY")*$E$5+SUMIFS(Actuals!$G:$G,Actuals!$B:$B,$C$3,Actuals!$C:$C,7,Actuals!$D:$D,$B$706,Actuals!$A:$A,LEFT($D$706,FIND("|",$D$706&amp;"|")-1),Actuals!$E:$E,MID($D$706,FIND("|",$D$706&amp;"|")+1,50),Actuals!$F:$F,"USD")*$F$5+SUMIFS(Actuals!$G:$G,Actuals!$B:$B,$C$3,Actuals!$C:$C,7,Actuals!$D:$D,$B$706,Actuals!$A:$A,LEFT($D$706,FIND("|",$D$706&amp;"|")-1),Actuals!$E:$E,MID($D$706,FIND("|",$D$706&amp;"|")+1,50),Actuals!$F:$F,"EUR")*$G$5+SUMIFS(Actuals!$G:$G,Actuals!$B:$B,$C$3,Actuals!$C:$C,7,Actuals!$D:$D,$B$706,Actuals!$A:$A,LEFT($D$706,FIND("|",$D$706&amp;"|")-1),Actuals!$E:$E,MID($D$706,FIND("|",$D$706&amp;"|")+1,50),Actuals!$F:$F,"GBP")*$H$5)</f>
        <v/>
      </c>
      <c r="O707" s="18">
        <f>IF(OR($B$706="",8&gt;$C$4),"",SUMIFS(Actuals!$G:$G,Actuals!$B:$B,$C$3,Actuals!$C:$C,8,Actuals!$D:$D,$B$706,Actuals!$A:$A,LEFT($D$706,FIND("|",$D$706&amp;"|")-1),Actuals!$E:$E,MID($D$706,FIND("|",$D$706&amp;"|")+1,50),Actuals!$F:$F,"JPY")*$E$5+SUMIFS(Actuals!$G:$G,Actuals!$B:$B,$C$3,Actuals!$C:$C,8,Actuals!$D:$D,$B$706,Actuals!$A:$A,LEFT($D$706,FIND("|",$D$706&amp;"|")-1),Actuals!$E:$E,MID($D$706,FIND("|",$D$706&amp;"|")+1,50),Actuals!$F:$F,"USD")*$F$5+SUMIFS(Actuals!$G:$G,Actuals!$B:$B,$C$3,Actuals!$C:$C,8,Actuals!$D:$D,$B$706,Actuals!$A:$A,LEFT($D$706,FIND("|",$D$706&amp;"|")-1),Actuals!$E:$E,MID($D$706,FIND("|",$D$706&amp;"|")+1,50),Actuals!$F:$F,"EUR")*$G$5+SUMIFS(Actuals!$G:$G,Actuals!$B:$B,$C$3,Actuals!$C:$C,8,Actuals!$D:$D,$B$706,Actuals!$A:$A,LEFT($D$706,FIND("|",$D$706&amp;"|")-1),Actuals!$E:$E,MID($D$706,FIND("|",$D$706&amp;"|")+1,50),Actuals!$F:$F,"GBP")*$H$5)</f>
        <v/>
      </c>
      <c r="P707" s="18">
        <f>IF(OR($B$706="",9&gt;$C$4),"",SUMIFS(Actuals!$G:$G,Actuals!$B:$B,$C$3,Actuals!$C:$C,9,Actuals!$D:$D,$B$706,Actuals!$A:$A,LEFT($D$706,FIND("|",$D$706&amp;"|")-1),Actuals!$E:$E,MID($D$706,FIND("|",$D$706&amp;"|")+1,50),Actuals!$F:$F,"JPY")*$E$5+SUMIFS(Actuals!$G:$G,Actuals!$B:$B,$C$3,Actuals!$C:$C,9,Actuals!$D:$D,$B$706,Actuals!$A:$A,LEFT($D$706,FIND("|",$D$706&amp;"|")-1),Actuals!$E:$E,MID($D$706,FIND("|",$D$706&amp;"|")+1,50),Actuals!$F:$F,"USD")*$F$5+SUMIFS(Actuals!$G:$G,Actuals!$B:$B,$C$3,Actuals!$C:$C,9,Actuals!$D:$D,$B$706,Actuals!$A:$A,LEFT($D$706,FIND("|",$D$706&amp;"|")-1),Actuals!$E:$E,MID($D$706,FIND("|",$D$706&amp;"|")+1,50),Actuals!$F:$F,"EUR")*$G$5+SUMIFS(Actuals!$G:$G,Actuals!$B:$B,$C$3,Actuals!$C:$C,9,Actuals!$D:$D,$B$706,Actuals!$A:$A,LEFT($D$706,FIND("|",$D$706&amp;"|")-1),Actuals!$E:$E,MID($D$706,FIND("|",$D$706&amp;"|")+1,50),Actuals!$F:$F,"GBP")*$H$5)</f>
        <v/>
      </c>
      <c r="Q707" s="18">
        <f>IF(OR($B$706="",10&gt;$C$4),"",SUMIFS(Actuals!$G:$G,Actuals!$B:$B,$C$3,Actuals!$C:$C,10,Actuals!$D:$D,$B$706,Actuals!$A:$A,LEFT($D$706,FIND("|",$D$706&amp;"|")-1),Actuals!$E:$E,MID($D$706,FIND("|",$D$706&amp;"|")+1,50),Actuals!$F:$F,"JPY")*$E$5+SUMIFS(Actuals!$G:$G,Actuals!$B:$B,$C$3,Actuals!$C:$C,10,Actuals!$D:$D,$B$706,Actuals!$A:$A,LEFT($D$706,FIND("|",$D$706&amp;"|")-1),Actuals!$E:$E,MID($D$706,FIND("|",$D$706&amp;"|")+1,50),Actuals!$F:$F,"USD")*$F$5+SUMIFS(Actuals!$G:$G,Actuals!$B:$B,$C$3,Actuals!$C:$C,10,Actuals!$D:$D,$B$706,Actuals!$A:$A,LEFT($D$706,FIND("|",$D$706&amp;"|")-1),Actuals!$E:$E,MID($D$706,FIND("|",$D$706&amp;"|")+1,50),Actuals!$F:$F,"EUR")*$G$5+SUMIFS(Actuals!$G:$G,Actuals!$B:$B,$C$3,Actuals!$C:$C,10,Actuals!$D:$D,$B$706,Actuals!$A:$A,LEFT($D$706,FIND("|",$D$706&amp;"|")-1),Actuals!$E:$E,MID($D$706,FIND("|",$D$706&amp;"|")+1,50),Actuals!$F:$F,"GBP")*$H$5)</f>
        <v/>
      </c>
      <c r="R707" s="18">
        <f>IF(OR($B$706="",11&gt;$C$4),"",SUMIFS(Actuals!$G:$G,Actuals!$B:$B,$C$3,Actuals!$C:$C,11,Actuals!$D:$D,$B$706,Actuals!$A:$A,LEFT($D$706,FIND("|",$D$706&amp;"|")-1),Actuals!$E:$E,MID($D$706,FIND("|",$D$706&amp;"|")+1,50),Actuals!$F:$F,"JPY")*$E$5+SUMIFS(Actuals!$G:$G,Actuals!$B:$B,$C$3,Actuals!$C:$C,11,Actuals!$D:$D,$B$706,Actuals!$A:$A,LEFT($D$706,FIND("|",$D$706&amp;"|")-1),Actuals!$E:$E,MID($D$706,FIND("|",$D$706&amp;"|")+1,50),Actuals!$F:$F,"USD")*$F$5+SUMIFS(Actuals!$G:$G,Actuals!$B:$B,$C$3,Actuals!$C:$C,11,Actuals!$D:$D,$B$706,Actuals!$A:$A,LEFT($D$706,FIND("|",$D$706&amp;"|")-1),Actuals!$E:$E,MID($D$706,FIND("|",$D$706&amp;"|")+1,50),Actuals!$F:$F,"EUR")*$G$5+SUMIFS(Actuals!$G:$G,Actuals!$B:$B,$C$3,Actuals!$C:$C,11,Actuals!$D:$D,$B$706,Actuals!$A:$A,LEFT($D$706,FIND("|",$D$706&amp;"|")-1),Actuals!$E:$E,MID($D$706,FIND("|",$D$706&amp;"|")+1,50),Actuals!$F:$F,"GBP")*$H$5)</f>
        <v/>
      </c>
      <c r="S707" s="18">
        <f>IF(OR($B$706="",12&gt;$C$4),"",SUMIFS(Actuals!$G:$G,Actuals!$B:$B,$C$3,Actuals!$C:$C,12,Actuals!$D:$D,$B$706,Actuals!$A:$A,LEFT($D$706,FIND("|",$D$706&amp;"|")-1),Actuals!$E:$E,MID($D$706,FIND("|",$D$706&amp;"|")+1,50),Actuals!$F:$F,"JPY")*$E$5+SUMIFS(Actuals!$G:$G,Actuals!$B:$B,$C$3,Actuals!$C:$C,12,Actuals!$D:$D,$B$706,Actuals!$A:$A,LEFT($D$706,FIND("|",$D$706&amp;"|")-1),Actuals!$E:$E,MID($D$706,FIND("|",$D$706&amp;"|")+1,50),Actuals!$F:$F,"USD")*$F$5+SUMIFS(Actuals!$G:$G,Actuals!$B:$B,$C$3,Actuals!$C:$C,12,Actuals!$D:$D,$B$706,Actuals!$A:$A,LEFT($D$706,FIND("|",$D$706&amp;"|")-1),Actuals!$E:$E,MID($D$706,FIND("|",$D$706&amp;"|")+1,50),Actuals!$F:$F,"EUR")*$G$5+SUMIFS(Actuals!$G:$G,Actuals!$B:$B,$C$3,Actuals!$C:$C,12,Actuals!$D:$D,$B$706,Actuals!$A:$A,LEFT($D$706,FIND("|",$D$706&amp;"|")-1),Actuals!$E:$E,MID($D$706,FIND("|",$D$706&amp;"|")+1,50),Actuals!$F:$F,"GBP")*$H$5)</f>
        <v/>
      </c>
      <c r="T707" s="18">
        <f>IF($B$706="","",SUMIF($H$7:$S$7,"&lt;="&amp;$C$4,$H707:$S707))</f>
        <v/>
      </c>
      <c r="U707" s="18" t="n"/>
      <c r="V707" s="18" t="n"/>
      <c r="X707" s="22">
        <f>IF($B707="","",IFERROR(INDEX(Cost_Centers!$E:$E,MATCH($B707,Cost_Centers!$A:$A,0)),"(unknown)"))</f>
        <v/>
      </c>
      <c r="Y707" s="22">
        <f>IF($B707="","",IFERROR(INDEX(Cost_Centers!$D:$D,MATCH($B707,Cost_Centers!$A:$A,0)),"(unknown)"))</f>
        <v/>
      </c>
      <c r="Z707" s="22">
        <f>IF(OR($B707="",$G707&lt;&gt;"Variance vs Budget"),"",ABS(N($V707))+ROW()/1000000000)</f>
        <v/>
      </c>
    </row>
    <row r="708">
      <c r="A708" s="13">
        <f>IF(A$706="","",A$706)</f>
        <v/>
      </c>
      <c r="B708" s="13">
        <f>IF(B$706="","",B$706)</f>
        <v/>
      </c>
      <c r="C708" s="13">
        <f>IF(C$706="","",C$706)</f>
        <v/>
      </c>
      <c r="D708" s="13">
        <f>IF(D$706="","",D$706)</f>
        <v/>
      </c>
      <c r="E708" s="13">
        <f>IF(E$706="","",E$706)</f>
        <v/>
      </c>
      <c r="F708" s="13">
        <f>IF(F$706="","",F$706)</f>
        <v/>
      </c>
      <c r="G708" s="6" t="inlineStr">
        <is>
          <t>Variance vs Budget</t>
        </is>
      </c>
      <c r="H708" s="33">
        <f>IF(OR($B$706="",1&gt;$C$4),"",N(H707)-H706)</f>
        <v/>
      </c>
      <c r="I708" s="33">
        <f>IF(OR($B$706="",2&gt;$C$4),"",N(I707)-I706)</f>
        <v/>
      </c>
      <c r="J708" s="33">
        <f>IF(OR($B$706="",3&gt;$C$4),"",N(J707)-J706)</f>
        <v/>
      </c>
      <c r="K708" s="33">
        <f>IF(OR($B$706="",4&gt;$C$4),"",N(K707)-K706)</f>
        <v/>
      </c>
      <c r="L708" s="33">
        <f>IF(OR($B$706="",5&gt;$C$4),"",N(L707)-L706)</f>
        <v/>
      </c>
      <c r="M708" s="33">
        <f>IF(OR($B$706="",6&gt;$C$4),"",N(M707)-M706)</f>
        <v/>
      </c>
      <c r="N708" s="33">
        <f>IF(OR($B$706="",7&gt;$C$4),"",N(N707)-N706)</f>
        <v/>
      </c>
      <c r="O708" s="33">
        <f>IF(OR($B$706="",8&gt;$C$4),"",N(O707)-O706)</f>
        <v/>
      </c>
      <c r="P708" s="33">
        <f>IF(OR($B$706="",9&gt;$C$4),"",N(P707)-P706)</f>
        <v/>
      </c>
      <c r="Q708" s="33">
        <f>IF(OR($B$706="",10&gt;$C$4),"",N(Q707)-Q706)</f>
        <v/>
      </c>
      <c r="R708" s="33">
        <f>IF(OR($B$706="",11&gt;$C$4),"",N(R707)-R706)</f>
        <v/>
      </c>
      <c r="S708" s="33">
        <f>IF(OR($B$706="",12&gt;$C$4),"",N(S707)-S706)</f>
        <v/>
      </c>
      <c r="T708" s="33">
        <f>IF($B$706="","",T707-T706)</f>
        <v/>
      </c>
      <c r="U708" s="33">
        <f>IF($B$706="","",U710-U706)</f>
        <v/>
      </c>
      <c r="V708" s="33">
        <f>IF($B$706="","",V710-V706)</f>
        <v/>
      </c>
      <c r="X708" s="22">
        <f>IF($B708="","",IFERROR(INDEX(Cost_Centers!$E:$E,MATCH($B708,Cost_Centers!$A:$A,0)),"(unknown)"))</f>
        <v/>
      </c>
      <c r="Y708" s="22">
        <f>IF($B708="","",IFERROR(INDEX(Cost_Centers!$D:$D,MATCH($B708,Cost_Centers!$A:$A,0)),"(unknown)"))</f>
        <v/>
      </c>
      <c r="Z708" s="22">
        <f>IF(OR($B708="",$G708&lt;&gt;"Variance vs Budget"),"",ABS(N($V708))+ROW()/1000000000)</f>
        <v/>
      </c>
    </row>
    <row r="709">
      <c r="A709" s="13">
        <f>IF(A$706="","",A$706)</f>
        <v/>
      </c>
      <c r="B709" s="13">
        <f>IF(B$706="","",B$706)</f>
        <v/>
      </c>
      <c r="C709" s="13">
        <f>IF(C$706="","",C$706)</f>
        <v/>
      </c>
      <c r="D709" s="13">
        <f>IF(D$706="","",D$706)</f>
        <v/>
      </c>
      <c r="E709" s="13">
        <f>IF(E$706="","",E$706)</f>
        <v/>
      </c>
      <c r="F709" s="13">
        <f>IF(F$706="","",F$706)</f>
        <v/>
      </c>
      <c r="G709" s="7" t="inlineStr">
        <is>
          <t>Forecast (input)</t>
        </is>
      </c>
      <c r="H709" s="34" t="n"/>
      <c r="I709" s="34" t="n"/>
      <c r="J709" s="34" t="n"/>
      <c r="K709" s="34" t="n"/>
      <c r="L709" s="34" t="n"/>
      <c r="M709" s="34" t="n"/>
      <c r="N709" s="34" t="n"/>
      <c r="O709" s="34" t="n"/>
      <c r="P709" s="34" t="n"/>
      <c r="Q709" s="34" t="n"/>
      <c r="R709" s="34" t="n"/>
      <c r="S709" s="34" t="n"/>
      <c r="T709" s="18" t="n"/>
      <c r="U709" s="18" t="n"/>
      <c r="V709" s="18" t="n"/>
      <c r="X709" s="22">
        <f>IF($B709="","",IFERROR(INDEX(Cost_Centers!$E:$E,MATCH($B709,Cost_Centers!$A:$A,0)),"(unknown)"))</f>
        <v/>
      </c>
      <c r="Y709" s="22">
        <f>IF($B709="","",IFERROR(INDEX(Cost_Centers!$D:$D,MATCH($B709,Cost_Centers!$A:$A,0)),"(unknown)"))</f>
        <v/>
      </c>
      <c r="Z709" s="22">
        <f>IF(OR($B709="",$G709&lt;&gt;"Variance vs Budget"),"",ABS(N($V709))+ROW()/1000000000)</f>
        <v/>
      </c>
    </row>
    <row r="710">
      <c r="A710" s="13">
        <f>IF(A$706="","",A$706)</f>
        <v/>
      </c>
      <c r="B710" s="13">
        <f>IF(B$706="","",B$706)</f>
        <v/>
      </c>
      <c r="C710" s="13">
        <f>IF(C$706="","",C$706)</f>
        <v/>
      </c>
      <c r="D710" s="13">
        <f>IF(D$706="","",D$706)</f>
        <v/>
      </c>
      <c r="E710" s="13">
        <f>IF(E$706="","",E$706)</f>
        <v/>
      </c>
      <c r="F710" s="13">
        <f>IF(F$706="","",F$706)</f>
        <v/>
      </c>
      <c r="G710" s="35" t="inlineStr">
        <is>
          <t>Actual + Forecast</t>
        </is>
      </c>
      <c r="H710" s="18">
        <f>IF($B$706="","",IF(1&lt;=$C$4,N(H707),IF(H709="",H706,H709)))</f>
        <v/>
      </c>
      <c r="I710" s="18">
        <f>IF($B$706="","",IF(2&lt;=$C$4,N(I707),IF(I709="",I706,I709)))</f>
        <v/>
      </c>
      <c r="J710" s="18">
        <f>IF($B$706="","",IF(3&lt;=$C$4,N(J707),IF(J709="",J706,J709)))</f>
        <v/>
      </c>
      <c r="K710" s="18">
        <f>IF($B$706="","",IF(4&lt;=$C$4,N(K707),IF(K709="",K706,K709)))</f>
        <v/>
      </c>
      <c r="L710" s="18">
        <f>IF($B$706="","",IF(5&lt;=$C$4,N(L707),IF(L709="",L706,L709)))</f>
        <v/>
      </c>
      <c r="M710" s="18">
        <f>IF($B$706="","",IF(6&lt;=$C$4,N(M707),IF(M709="",M706,M709)))</f>
        <v/>
      </c>
      <c r="N710" s="18">
        <f>IF($B$706="","",IF(7&lt;=$C$4,N(N707),IF(N709="",N706,N709)))</f>
        <v/>
      </c>
      <c r="O710" s="18">
        <f>IF($B$706="","",IF(8&lt;=$C$4,N(O707),IF(O709="",O706,O709)))</f>
        <v/>
      </c>
      <c r="P710" s="18">
        <f>IF($B$706="","",IF(9&lt;=$C$4,N(P707),IF(P709="",P706,P709)))</f>
        <v/>
      </c>
      <c r="Q710" s="18">
        <f>IF($B$706="","",IF(10&lt;=$C$4,N(Q707),IF(Q709="",Q706,Q709)))</f>
        <v/>
      </c>
      <c r="R710" s="18">
        <f>IF($B$706="","",IF(11&lt;=$C$4,N(R707),IF(R709="",R706,R709)))</f>
        <v/>
      </c>
      <c r="S710" s="18">
        <f>IF($B$706="","",IF(12&lt;=$C$4,N(S707),IF(S709="",S706,S709)))</f>
        <v/>
      </c>
      <c r="T710" s="18">
        <f>IF($B$706="","",SUMIF($H$7:$S$7,"&lt;="&amp;$C$4,$H710:$S710))</f>
        <v/>
      </c>
      <c r="U710" s="18">
        <f>IF($B$706="","",SUMIF($H$7:$S$7,"&gt;"&amp;$C$4,$H710:$S710))</f>
        <v/>
      </c>
      <c r="V710" s="18">
        <f>IF($B$706="","",SUM($H710:$S710))</f>
        <v/>
      </c>
      <c r="X710" s="22">
        <f>IF($B710="","",IFERROR(INDEX(Cost_Centers!$E:$E,MATCH($B710,Cost_Centers!$A:$A,0)),"(unknown)"))</f>
        <v/>
      </c>
      <c r="Y710" s="22">
        <f>IF($B710="","",IFERROR(INDEX(Cost_Centers!$D:$D,MATCH($B710,Cost_Centers!$A:$A,0)),"(unknown)"))</f>
        <v/>
      </c>
      <c r="Z710" s="22">
        <f>IF(OR($B710="",$G710&lt;&gt;"Variance vs Budget"),"",ABS(N($V710))+ROW()/1000000000)</f>
        <v/>
      </c>
    </row>
    <row r="711">
      <c r="A711" s="13">
        <f>IF(A$706="","",A$706)</f>
        <v/>
      </c>
      <c r="B711" s="13">
        <f>IF(B$706="","",B$706)</f>
        <v/>
      </c>
      <c r="C711" s="13">
        <f>IF(C$706="","",C$706)</f>
        <v/>
      </c>
      <c r="D711" s="13">
        <f>IF(D$706="","",D$706)</f>
        <v/>
      </c>
      <c r="E711" s="13">
        <f>IF(E$706="","",E$706)</f>
        <v/>
      </c>
      <c r="F711" s="13">
        <f>IF(F$706="","",F$706)</f>
        <v/>
      </c>
      <c r="G711" s="36" t="inlineStr">
        <is>
          <t>Prior Month Forecast</t>
        </is>
      </c>
      <c r="H711" s="37">
        <f>IF($B$706="","",IF(COUNTIFS(Prior_Forecast!$A:$A,$B$706,Prior_Forecast!$B:$B,$D$706)&gt;0,SUMIFS(Prior_Forecast!$C:$C,Prior_Forecast!$A:$A,$B$706,Prior_Forecast!$B:$B,$D$706),""))</f>
        <v/>
      </c>
      <c r="I711" s="37">
        <f>IF($B$706="","",IF(COUNTIFS(Prior_Forecast!$A:$A,$B$706,Prior_Forecast!$B:$B,$D$706)&gt;0,SUMIFS(Prior_Forecast!$D:$D,Prior_Forecast!$A:$A,$B$706,Prior_Forecast!$B:$B,$D$706),""))</f>
        <v/>
      </c>
      <c r="J711" s="37">
        <f>IF($B$706="","",IF(COUNTIFS(Prior_Forecast!$A:$A,$B$706,Prior_Forecast!$B:$B,$D$706)&gt;0,SUMIFS(Prior_Forecast!$E:$E,Prior_Forecast!$A:$A,$B$706,Prior_Forecast!$B:$B,$D$706),""))</f>
        <v/>
      </c>
      <c r="K711" s="37">
        <f>IF($B$706="","",IF(COUNTIFS(Prior_Forecast!$A:$A,$B$706,Prior_Forecast!$B:$B,$D$706)&gt;0,SUMIFS(Prior_Forecast!$F:$F,Prior_Forecast!$A:$A,$B$706,Prior_Forecast!$B:$B,$D$706),""))</f>
        <v/>
      </c>
      <c r="L711" s="37">
        <f>IF($B$706="","",IF(COUNTIFS(Prior_Forecast!$A:$A,$B$706,Prior_Forecast!$B:$B,$D$706)&gt;0,SUMIFS(Prior_Forecast!$G:$G,Prior_Forecast!$A:$A,$B$706,Prior_Forecast!$B:$B,$D$706),""))</f>
        <v/>
      </c>
      <c r="M711" s="37">
        <f>IF($B$706="","",IF(COUNTIFS(Prior_Forecast!$A:$A,$B$706,Prior_Forecast!$B:$B,$D$706)&gt;0,SUMIFS(Prior_Forecast!$H:$H,Prior_Forecast!$A:$A,$B$706,Prior_Forecast!$B:$B,$D$706),""))</f>
        <v/>
      </c>
      <c r="N711" s="37">
        <f>IF($B$706="","",IF(COUNTIFS(Prior_Forecast!$A:$A,$B$706,Prior_Forecast!$B:$B,$D$706)&gt;0,SUMIFS(Prior_Forecast!$I:$I,Prior_Forecast!$A:$A,$B$706,Prior_Forecast!$B:$B,$D$706),""))</f>
        <v/>
      </c>
      <c r="O711" s="37">
        <f>IF($B$706="","",IF(COUNTIFS(Prior_Forecast!$A:$A,$B$706,Prior_Forecast!$B:$B,$D$706)&gt;0,SUMIFS(Prior_Forecast!$J:$J,Prior_Forecast!$A:$A,$B$706,Prior_Forecast!$B:$B,$D$706),""))</f>
        <v/>
      </c>
      <c r="P711" s="37">
        <f>IF($B$706="","",IF(COUNTIFS(Prior_Forecast!$A:$A,$B$706,Prior_Forecast!$B:$B,$D$706)&gt;0,SUMIFS(Prior_Forecast!$K:$K,Prior_Forecast!$A:$A,$B$706,Prior_Forecast!$B:$B,$D$706),""))</f>
        <v/>
      </c>
      <c r="Q711" s="37">
        <f>IF($B$706="","",IF(COUNTIFS(Prior_Forecast!$A:$A,$B$706,Prior_Forecast!$B:$B,$D$706)&gt;0,SUMIFS(Prior_Forecast!$L:$L,Prior_Forecast!$A:$A,$B$706,Prior_Forecast!$B:$B,$D$706),""))</f>
        <v/>
      </c>
      <c r="R711" s="37">
        <f>IF($B$706="","",IF(COUNTIFS(Prior_Forecast!$A:$A,$B$706,Prior_Forecast!$B:$B,$D$706)&gt;0,SUMIFS(Prior_Forecast!$M:$M,Prior_Forecast!$A:$A,$B$706,Prior_Forecast!$B:$B,$D$706),""))</f>
        <v/>
      </c>
      <c r="S711" s="37">
        <f>IF($B$706="","",IF(COUNTIFS(Prior_Forecast!$A:$A,$B$706,Prior_Forecast!$B:$B,$D$706)&gt;0,SUMIFS(Prior_Forecast!$N:$N,Prior_Forecast!$A:$A,$B$706,Prior_Forecast!$B:$B,$D$706),""))</f>
        <v/>
      </c>
      <c r="T711" s="37">
        <f>IF($B$706="","",IF(COUNTIFS(Prior_Forecast!$A:$A,$B$706,Prior_Forecast!$B:$B,$D$706)&gt;0,SUMIFS(Prior_Forecast!$O:$O,Prior_Forecast!$A:$A,$B$706,Prior_Forecast!$B:$B,$D$706),""))</f>
        <v/>
      </c>
      <c r="U711" s="37">
        <f>IF($B$706="","",IF(COUNTIFS(Prior_Forecast!$A:$A,$B$706,Prior_Forecast!$B:$B,$D$706)&gt;0,SUMIFS(Prior_Forecast!$P:$P,Prior_Forecast!$A:$A,$B$706,Prior_Forecast!$B:$B,$D$706),""))</f>
        <v/>
      </c>
      <c r="V711" s="37">
        <f>IF($B$706="","",IF(COUNTIFS(Prior_Forecast!$A:$A,$B$706,Prior_Forecast!$B:$B,$D$706)&gt;0,SUMIFS(Prior_Forecast!$Q:$Q,Prior_Forecast!$A:$A,$B$706,Prior_Forecast!$B:$B,$D$706),""))</f>
        <v/>
      </c>
      <c r="X711" s="22">
        <f>IF($B711="","",IFERROR(INDEX(Cost_Centers!$E:$E,MATCH($B711,Cost_Centers!$A:$A,0)),"(unknown)"))</f>
        <v/>
      </c>
      <c r="Y711" s="22">
        <f>IF($B711="","",IFERROR(INDEX(Cost_Centers!$D:$D,MATCH($B711,Cost_Centers!$A:$A,0)),"(unknown)"))</f>
        <v/>
      </c>
      <c r="Z711" s="22">
        <f>IF(OR($B711="",$G711&lt;&gt;"Variance vs Budget"),"",ABS(N($V711))+ROW()/1000000000)</f>
        <v/>
      </c>
    </row>
    <row r="712">
      <c r="A712" s="13">
        <f>IF(A$706="","",A$706)</f>
        <v/>
      </c>
      <c r="B712" s="13">
        <f>IF(B$706="","",B$706)</f>
        <v/>
      </c>
      <c r="C712" s="13">
        <f>IF(C$706="","",C$706)</f>
        <v/>
      </c>
      <c r="D712" s="13">
        <f>IF(D$706="","",D$706)</f>
        <v/>
      </c>
      <c r="E712" s="13">
        <f>IF(E$706="","",E$706)</f>
        <v/>
      </c>
      <c r="F712" s="13">
        <f>IF(F$706="","",F$706)</f>
        <v/>
      </c>
      <c r="G712" s="6" t="inlineStr">
        <is>
          <t>Variance vs Prior Month</t>
        </is>
      </c>
      <c r="H712" s="33">
        <f>IF(OR($B$706="",H711=""),"",H710-H711)</f>
        <v/>
      </c>
      <c r="I712" s="33">
        <f>IF(OR($B$706="",I711=""),"",I710-I711)</f>
        <v/>
      </c>
      <c r="J712" s="33">
        <f>IF(OR($B$706="",J711=""),"",J710-J711)</f>
        <v/>
      </c>
      <c r="K712" s="33">
        <f>IF(OR($B$706="",K711=""),"",K710-K711)</f>
        <v/>
      </c>
      <c r="L712" s="33">
        <f>IF(OR($B$706="",L711=""),"",L710-L711)</f>
        <v/>
      </c>
      <c r="M712" s="33">
        <f>IF(OR($B$706="",M711=""),"",M710-M711)</f>
        <v/>
      </c>
      <c r="N712" s="33">
        <f>IF(OR($B$706="",N711=""),"",N710-N711)</f>
        <v/>
      </c>
      <c r="O712" s="33">
        <f>IF(OR($B$706="",O711=""),"",O710-O711)</f>
        <v/>
      </c>
      <c r="P712" s="33">
        <f>IF(OR($B$706="",P711=""),"",P710-P711)</f>
        <v/>
      </c>
      <c r="Q712" s="33">
        <f>IF(OR($B$706="",Q711=""),"",Q710-Q711)</f>
        <v/>
      </c>
      <c r="R712" s="33">
        <f>IF(OR($B$706="",R711=""),"",R710-R711)</f>
        <v/>
      </c>
      <c r="S712" s="33">
        <f>IF(OR($B$706="",S711=""),"",S710-S711)</f>
        <v/>
      </c>
      <c r="T712" s="33">
        <f>IF(OR($B$706="",T711=""),"",T710-T711)</f>
        <v/>
      </c>
      <c r="U712" s="33">
        <f>IF(OR($B$706="",U711=""),"",U710-U711)</f>
        <v/>
      </c>
      <c r="V712" s="33">
        <f>IF(OR($B$706="",V711=""),"",V710-V711)</f>
        <v/>
      </c>
      <c r="X712" s="22">
        <f>IF($B712="","",IFERROR(INDEX(Cost_Centers!$E:$E,MATCH($B712,Cost_Centers!$A:$A,0)),"(unknown)"))</f>
        <v/>
      </c>
      <c r="Y712" s="22">
        <f>IF($B712="","",IFERROR(INDEX(Cost_Centers!$D:$D,MATCH($B712,Cost_Centers!$A:$A,0)),"(unknown)"))</f>
        <v/>
      </c>
      <c r="Z712" s="22">
        <f>IF(OR($B712="",$G712&lt;&gt;"Variance vs Budget"),"",ABS(N($V712))+ROW()/1000000000)</f>
        <v/>
      </c>
    </row>
    <row r="713" ht="45" customHeight="1">
      <c r="A713" s="13">
        <f>IF(A$706="","",A$706)</f>
        <v/>
      </c>
      <c r="B713" s="13">
        <f>IF(B$706="","",B$706)</f>
        <v/>
      </c>
      <c r="C713" s="13">
        <f>IF(C$706="","",C$706)</f>
        <v/>
      </c>
      <c r="D713" s="13">
        <f>IF(D$706="","",D$706)</f>
        <v/>
      </c>
      <c r="E713" s="13">
        <f>IF(E$706="","",E$706)</f>
        <v/>
      </c>
      <c r="F713" s="13">
        <f>IF(F$706="","",F$706)</f>
        <v/>
      </c>
      <c r="G713" s="7" t="inlineStr">
        <is>
          <t>Rationale</t>
        </is>
      </c>
      <c r="H713" s="38" t="n"/>
      <c r="I713" s="38" t="n"/>
      <c r="J713" s="38" t="n"/>
      <c r="K713" s="38" t="n"/>
      <c r="L713" s="38" t="n"/>
      <c r="M713" s="38" t="n"/>
      <c r="N713" s="38" t="n"/>
      <c r="O713" s="38" t="n"/>
      <c r="P713" s="38" t="n"/>
      <c r="Q713" s="38" t="n"/>
      <c r="R713" s="38" t="n"/>
      <c r="S713" s="38" t="n"/>
      <c r="T713" s="38" t="n"/>
      <c r="U713" s="38" t="n"/>
      <c r="V713" s="7" t="n"/>
      <c r="X713" s="22">
        <f>IF($B713="","",IFERROR(INDEX(Cost_Centers!$E:$E,MATCH($B713,Cost_Centers!$A:$A,0)),"(unknown)"))</f>
        <v/>
      </c>
      <c r="Y713" s="22">
        <f>IF($B713="","",IFERROR(INDEX(Cost_Centers!$D:$D,MATCH($B713,Cost_Centers!$A:$A,0)),"(unknown)"))</f>
        <v/>
      </c>
      <c r="Z713" s="22">
        <f>IF(OR($B713="",$G713&lt;&gt;"Variance vs Budget"),"",ABS(N($V713))+ROW()/1000000000)</f>
        <v/>
      </c>
    </row>
    <row r="714">
      <c r="A714" s="30">
        <f>IF($D$714="","",LEFT($D$714,FIND("|",$D$714&amp;"|")-1))</f>
        <v/>
      </c>
      <c r="B714" s="31" t="n"/>
      <c r="C714" s="30">
        <f>IF($B$714="","",IFERROR(INDEX(Cost_Centers!$B:$B,MATCH($B$714,Cost_Centers!$A:$A,0)),"(not in master)"))</f>
        <v/>
      </c>
      <c r="D714" s="31" t="n"/>
      <c r="E714" s="30">
        <f>IF($D$714="","",IFERROR(INDEX(Accounts!$D:$D,MATCH($D$714,Accounts!$A:$A,0)),"(not in master)"))</f>
        <v/>
      </c>
      <c r="F714" s="31" t="n"/>
      <c r="G714" s="30" t="inlineStr">
        <is>
          <t>Budget</t>
        </is>
      </c>
      <c r="H714" s="32">
        <f>IF($B$714="","",SUMIFS(Opex_Budget!$O:$O,Opex_Budget!$A:$A,$C$3,Opex_Budget!$E:$E,$B$714,Opex_Budget!$F:$F,$D$714,Opex_Budget!$N:$N,"JPY")*$E$5+SUMIFS(Opex_Budget!$O:$O,Opex_Budget!$A:$A,$C$3,Opex_Budget!$E:$E,$B$714,Opex_Budget!$F:$F,$D$714,Opex_Budget!$N:$N,"USD")*$F$5+SUMIFS(Opex_Budget!$O:$O,Opex_Budget!$A:$A,$C$3,Opex_Budget!$E:$E,$B$714,Opex_Budget!$F:$F,$D$714,Opex_Budget!$N:$N,"EUR")*$G$5+SUMIFS(Opex_Budget!$O:$O,Opex_Budget!$A:$A,$C$3,Opex_Budget!$E:$E,$B$714,Opex_Budget!$F:$F,$D$714,Opex_Budget!$N:$N,"GBP")*$H$5)</f>
        <v/>
      </c>
      <c r="I714" s="32">
        <f>IF($B$714="","",SUMIFS(Opex_Budget!$P:$P,Opex_Budget!$A:$A,$C$3,Opex_Budget!$E:$E,$B$714,Opex_Budget!$F:$F,$D$714,Opex_Budget!$N:$N,"JPY")*$E$5+SUMIFS(Opex_Budget!$P:$P,Opex_Budget!$A:$A,$C$3,Opex_Budget!$E:$E,$B$714,Opex_Budget!$F:$F,$D$714,Opex_Budget!$N:$N,"USD")*$F$5+SUMIFS(Opex_Budget!$P:$P,Opex_Budget!$A:$A,$C$3,Opex_Budget!$E:$E,$B$714,Opex_Budget!$F:$F,$D$714,Opex_Budget!$N:$N,"EUR")*$G$5+SUMIFS(Opex_Budget!$P:$P,Opex_Budget!$A:$A,$C$3,Opex_Budget!$E:$E,$B$714,Opex_Budget!$F:$F,$D$714,Opex_Budget!$N:$N,"GBP")*$H$5)</f>
        <v/>
      </c>
      <c r="J714" s="32">
        <f>IF($B$714="","",SUMIFS(Opex_Budget!$Q:$Q,Opex_Budget!$A:$A,$C$3,Opex_Budget!$E:$E,$B$714,Opex_Budget!$F:$F,$D$714,Opex_Budget!$N:$N,"JPY")*$E$5+SUMIFS(Opex_Budget!$Q:$Q,Opex_Budget!$A:$A,$C$3,Opex_Budget!$E:$E,$B$714,Opex_Budget!$F:$F,$D$714,Opex_Budget!$N:$N,"USD")*$F$5+SUMIFS(Opex_Budget!$Q:$Q,Opex_Budget!$A:$A,$C$3,Opex_Budget!$E:$E,$B$714,Opex_Budget!$F:$F,$D$714,Opex_Budget!$N:$N,"EUR")*$G$5+SUMIFS(Opex_Budget!$Q:$Q,Opex_Budget!$A:$A,$C$3,Opex_Budget!$E:$E,$B$714,Opex_Budget!$F:$F,$D$714,Opex_Budget!$N:$N,"GBP")*$H$5)</f>
        <v/>
      </c>
      <c r="K714" s="32">
        <f>IF($B$714="","",SUMIFS(Opex_Budget!$R:$R,Opex_Budget!$A:$A,$C$3,Opex_Budget!$E:$E,$B$714,Opex_Budget!$F:$F,$D$714,Opex_Budget!$N:$N,"JPY")*$E$5+SUMIFS(Opex_Budget!$R:$R,Opex_Budget!$A:$A,$C$3,Opex_Budget!$E:$E,$B$714,Opex_Budget!$F:$F,$D$714,Opex_Budget!$N:$N,"USD")*$F$5+SUMIFS(Opex_Budget!$R:$R,Opex_Budget!$A:$A,$C$3,Opex_Budget!$E:$E,$B$714,Opex_Budget!$F:$F,$D$714,Opex_Budget!$N:$N,"EUR")*$G$5+SUMIFS(Opex_Budget!$R:$R,Opex_Budget!$A:$A,$C$3,Opex_Budget!$E:$E,$B$714,Opex_Budget!$F:$F,$D$714,Opex_Budget!$N:$N,"GBP")*$H$5)</f>
        <v/>
      </c>
      <c r="L714" s="32">
        <f>IF($B$714="","",SUMIFS(Opex_Budget!$S:$S,Opex_Budget!$A:$A,$C$3,Opex_Budget!$E:$E,$B$714,Opex_Budget!$F:$F,$D$714,Opex_Budget!$N:$N,"JPY")*$E$5+SUMIFS(Opex_Budget!$S:$S,Opex_Budget!$A:$A,$C$3,Opex_Budget!$E:$E,$B$714,Opex_Budget!$F:$F,$D$714,Opex_Budget!$N:$N,"USD")*$F$5+SUMIFS(Opex_Budget!$S:$S,Opex_Budget!$A:$A,$C$3,Opex_Budget!$E:$E,$B$714,Opex_Budget!$F:$F,$D$714,Opex_Budget!$N:$N,"EUR")*$G$5+SUMIFS(Opex_Budget!$S:$S,Opex_Budget!$A:$A,$C$3,Opex_Budget!$E:$E,$B$714,Opex_Budget!$F:$F,$D$714,Opex_Budget!$N:$N,"GBP")*$H$5)</f>
        <v/>
      </c>
      <c r="M714" s="32">
        <f>IF($B$714="","",SUMIFS(Opex_Budget!$T:$T,Opex_Budget!$A:$A,$C$3,Opex_Budget!$E:$E,$B$714,Opex_Budget!$F:$F,$D$714,Opex_Budget!$N:$N,"JPY")*$E$5+SUMIFS(Opex_Budget!$T:$T,Opex_Budget!$A:$A,$C$3,Opex_Budget!$E:$E,$B$714,Opex_Budget!$F:$F,$D$714,Opex_Budget!$N:$N,"USD")*$F$5+SUMIFS(Opex_Budget!$T:$T,Opex_Budget!$A:$A,$C$3,Opex_Budget!$E:$E,$B$714,Opex_Budget!$F:$F,$D$714,Opex_Budget!$N:$N,"EUR")*$G$5+SUMIFS(Opex_Budget!$T:$T,Opex_Budget!$A:$A,$C$3,Opex_Budget!$E:$E,$B$714,Opex_Budget!$F:$F,$D$714,Opex_Budget!$N:$N,"GBP")*$H$5)</f>
        <v/>
      </c>
      <c r="N714" s="32">
        <f>IF($B$714="","",SUMIFS(Opex_Budget!$U:$U,Opex_Budget!$A:$A,$C$3,Opex_Budget!$E:$E,$B$714,Opex_Budget!$F:$F,$D$714,Opex_Budget!$N:$N,"JPY")*$E$5+SUMIFS(Opex_Budget!$U:$U,Opex_Budget!$A:$A,$C$3,Opex_Budget!$E:$E,$B$714,Opex_Budget!$F:$F,$D$714,Opex_Budget!$N:$N,"USD")*$F$5+SUMIFS(Opex_Budget!$U:$U,Opex_Budget!$A:$A,$C$3,Opex_Budget!$E:$E,$B$714,Opex_Budget!$F:$F,$D$714,Opex_Budget!$N:$N,"EUR")*$G$5+SUMIFS(Opex_Budget!$U:$U,Opex_Budget!$A:$A,$C$3,Opex_Budget!$E:$E,$B$714,Opex_Budget!$F:$F,$D$714,Opex_Budget!$N:$N,"GBP")*$H$5)</f>
        <v/>
      </c>
      <c r="O714" s="32">
        <f>IF($B$714="","",SUMIFS(Opex_Budget!$V:$V,Opex_Budget!$A:$A,$C$3,Opex_Budget!$E:$E,$B$714,Opex_Budget!$F:$F,$D$714,Opex_Budget!$N:$N,"JPY")*$E$5+SUMIFS(Opex_Budget!$V:$V,Opex_Budget!$A:$A,$C$3,Opex_Budget!$E:$E,$B$714,Opex_Budget!$F:$F,$D$714,Opex_Budget!$N:$N,"USD")*$F$5+SUMIFS(Opex_Budget!$V:$V,Opex_Budget!$A:$A,$C$3,Opex_Budget!$E:$E,$B$714,Opex_Budget!$F:$F,$D$714,Opex_Budget!$N:$N,"EUR")*$G$5+SUMIFS(Opex_Budget!$V:$V,Opex_Budget!$A:$A,$C$3,Opex_Budget!$E:$E,$B$714,Opex_Budget!$F:$F,$D$714,Opex_Budget!$N:$N,"GBP")*$H$5)</f>
        <v/>
      </c>
      <c r="P714" s="32">
        <f>IF($B$714="","",SUMIFS(Opex_Budget!$W:$W,Opex_Budget!$A:$A,$C$3,Opex_Budget!$E:$E,$B$714,Opex_Budget!$F:$F,$D$714,Opex_Budget!$N:$N,"JPY")*$E$5+SUMIFS(Opex_Budget!$W:$W,Opex_Budget!$A:$A,$C$3,Opex_Budget!$E:$E,$B$714,Opex_Budget!$F:$F,$D$714,Opex_Budget!$N:$N,"USD")*$F$5+SUMIFS(Opex_Budget!$W:$W,Opex_Budget!$A:$A,$C$3,Opex_Budget!$E:$E,$B$714,Opex_Budget!$F:$F,$D$714,Opex_Budget!$N:$N,"EUR")*$G$5+SUMIFS(Opex_Budget!$W:$W,Opex_Budget!$A:$A,$C$3,Opex_Budget!$E:$E,$B$714,Opex_Budget!$F:$F,$D$714,Opex_Budget!$N:$N,"GBP")*$H$5)</f>
        <v/>
      </c>
      <c r="Q714" s="32">
        <f>IF($B$714="","",SUMIFS(Opex_Budget!$X:$X,Opex_Budget!$A:$A,$C$3,Opex_Budget!$E:$E,$B$714,Opex_Budget!$F:$F,$D$714,Opex_Budget!$N:$N,"JPY")*$E$5+SUMIFS(Opex_Budget!$X:$X,Opex_Budget!$A:$A,$C$3,Opex_Budget!$E:$E,$B$714,Opex_Budget!$F:$F,$D$714,Opex_Budget!$N:$N,"USD")*$F$5+SUMIFS(Opex_Budget!$X:$X,Opex_Budget!$A:$A,$C$3,Opex_Budget!$E:$E,$B$714,Opex_Budget!$F:$F,$D$714,Opex_Budget!$N:$N,"EUR")*$G$5+SUMIFS(Opex_Budget!$X:$X,Opex_Budget!$A:$A,$C$3,Opex_Budget!$E:$E,$B$714,Opex_Budget!$F:$F,$D$714,Opex_Budget!$N:$N,"GBP")*$H$5)</f>
        <v/>
      </c>
      <c r="R714" s="32">
        <f>IF($B$714="","",SUMIFS(Opex_Budget!$Y:$Y,Opex_Budget!$A:$A,$C$3,Opex_Budget!$E:$E,$B$714,Opex_Budget!$F:$F,$D$714,Opex_Budget!$N:$N,"JPY")*$E$5+SUMIFS(Opex_Budget!$Y:$Y,Opex_Budget!$A:$A,$C$3,Opex_Budget!$E:$E,$B$714,Opex_Budget!$F:$F,$D$714,Opex_Budget!$N:$N,"USD")*$F$5+SUMIFS(Opex_Budget!$Y:$Y,Opex_Budget!$A:$A,$C$3,Opex_Budget!$E:$E,$B$714,Opex_Budget!$F:$F,$D$714,Opex_Budget!$N:$N,"EUR")*$G$5+SUMIFS(Opex_Budget!$Y:$Y,Opex_Budget!$A:$A,$C$3,Opex_Budget!$E:$E,$B$714,Opex_Budget!$F:$F,$D$714,Opex_Budget!$N:$N,"GBP")*$H$5)</f>
        <v/>
      </c>
      <c r="S714" s="32">
        <f>IF($B$714="","",SUMIFS(Opex_Budget!$Z:$Z,Opex_Budget!$A:$A,$C$3,Opex_Budget!$E:$E,$B$714,Opex_Budget!$F:$F,$D$714,Opex_Budget!$N:$N,"JPY")*$E$5+SUMIFS(Opex_Budget!$Z:$Z,Opex_Budget!$A:$A,$C$3,Opex_Budget!$E:$E,$B$714,Opex_Budget!$F:$F,$D$714,Opex_Budget!$N:$N,"USD")*$F$5+SUMIFS(Opex_Budget!$Z:$Z,Opex_Budget!$A:$A,$C$3,Opex_Budget!$E:$E,$B$714,Opex_Budget!$F:$F,$D$714,Opex_Budget!$N:$N,"EUR")*$G$5+SUMIFS(Opex_Budget!$Z:$Z,Opex_Budget!$A:$A,$C$3,Opex_Budget!$E:$E,$B$714,Opex_Budget!$F:$F,$D$714,Opex_Budget!$N:$N,"GBP")*$H$5)</f>
        <v/>
      </c>
      <c r="T714" s="32">
        <f>IF($B$714="","",SUMIF($H$7:$S$7,"&lt;="&amp;$C$4,$H714:$S714))</f>
        <v/>
      </c>
      <c r="U714" s="32">
        <f>IF($B$714="","",SUMIF($H$7:$S$7,"&gt;"&amp;$C$4,$H714:$S714))</f>
        <v/>
      </c>
      <c r="V714" s="32">
        <f>IF($B$714="","",SUM($H714:$S714))</f>
        <v/>
      </c>
      <c r="X714" s="22">
        <f>IF($B714="","",IFERROR(INDEX(Cost_Centers!$E:$E,MATCH($B714,Cost_Centers!$A:$A,0)),"(unknown)"))</f>
        <v/>
      </c>
      <c r="Y714" s="22">
        <f>IF($B714="","",IFERROR(INDEX(Cost_Centers!$D:$D,MATCH($B714,Cost_Centers!$A:$A,0)),"(unknown)"))</f>
        <v/>
      </c>
      <c r="Z714" s="22">
        <f>IF(OR($B714="",$G714&lt;&gt;"Variance vs Budget"),"",ABS(N($V714))+ROW()/1000000000)</f>
        <v/>
      </c>
    </row>
    <row r="715">
      <c r="A715" s="13">
        <f>IF(A$714="","",A$714)</f>
        <v/>
      </c>
      <c r="B715" s="13">
        <f>IF(B$714="","",B$714)</f>
        <v/>
      </c>
      <c r="C715" s="13">
        <f>IF(C$714="","",C$714)</f>
        <v/>
      </c>
      <c r="D715" s="13">
        <f>IF(D$714="","",D$714)</f>
        <v/>
      </c>
      <c r="E715" s="13">
        <f>IF(E$714="","",E$714)</f>
        <v/>
      </c>
      <c r="F715" s="13">
        <f>IF(F$714="","",F$714)</f>
        <v/>
      </c>
      <c r="G715" s="7" t="inlineStr">
        <is>
          <t>Actual</t>
        </is>
      </c>
      <c r="H715" s="18">
        <f>IF(OR($B$714="",1&gt;$C$4),"",SUMIFS(Actuals!$G:$G,Actuals!$B:$B,$C$3,Actuals!$C:$C,1,Actuals!$D:$D,$B$714,Actuals!$A:$A,LEFT($D$714,FIND("|",$D$714&amp;"|")-1),Actuals!$E:$E,MID($D$714,FIND("|",$D$714&amp;"|")+1,50),Actuals!$F:$F,"JPY")*$E$5+SUMIFS(Actuals!$G:$G,Actuals!$B:$B,$C$3,Actuals!$C:$C,1,Actuals!$D:$D,$B$714,Actuals!$A:$A,LEFT($D$714,FIND("|",$D$714&amp;"|")-1),Actuals!$E:$E,MID($D$714,FIND("|",$D$714&amp;"|")+1,50),Actuals!$F:$F,"USD")*$F$5+SUMIFS(Actuals!$G:$G,Actuals!$B:$B,$C$3,Actuals!$C:$C,1,Actuals!$D:$D,$B$714,Actuals!$A:$A,LEFT($D$714,FIND("|",$D$714&amp;"|")-1),Actuals!$E:$E,MID($D$714,FIND("|",$D$714&amp;"|")+1,50),Actuals!$F:$F,"EUR")*$G$5+SUMIFS(Actuals!$G:$G,Actuals!$B:$B,$C$3,Actuals!$C:$C,1,Actuals!$D:$D,$B$714,Actuals!$A:$A,LEFT($D$714,FIND("|",$D$714&amp;"|")-1),Actuals!$E:$E,MID($D$714,FIND("|",$D$714&amp;"|")+1,50),Actuals!$F:$F,"GBP")*$H$5)</f>
        <v/>
      </c>
      <c r="I715" s="18">
        <f>IF(OR($B$714="",2&gt;$C$4),"",SUMIFS(Actuals!$G:$G,Actuals!$B:$B,$C$3,Actuals!$C:$C,2,Actuals!$D:$D,$B$714,Actuals!$A:$A,LEFT($D$714,FIND("|",$D$714&amp;"|")-1),Actuals!$E:$E,MID($D$714,FIND("|",$D$714&amp;"|")+1,50),Actuals!$F:$F,"JPY")*$E$5+SUMIFS(Actuals!$G:$G,Actuals!$B:$B,$C$3,Actuals!$C:$C,2,Actuals!$D:$D,$B$714,Actuals!$A:$A,LEFT($D$714,FIND("|",$D$714&amp;"|")-1),Actuals!$E:$E,MID($D$714,FIND("|",$D$714&amp;"|")+1,50),Actuals!$F:$F,"USD")*$F$5+SUMIFS(Actuals!$G:$G,Actuals!$B:$B,$C$3,Actuals!$C:$C,2,Actuals!$D:$D,$B$714,Actuals!$A:$A,LEFT($D$714,FIND("|",$D$714&amp;"|")-1),Actuals!$E:$E,MID($D$714,FIND("|",$D$714&amp;"|")+1,50),Actuals!$F:$F,"EUR")*$G$5+SUMIFS(Actuals!$G:$G,Actuals!$B:$B,$C$3,Actuals!$C:$C,2,Actuals!$D:$D,$B$714,Actuals!$A:$A,LEFT($D$714,FIND("|",$D$714&amp;"|")-1),Actuals!$E:$E,MID($D$714,FIND("|",$D$714&amp;"|")+1,50),Actuals!$F:$F,"GBP")*$H$5)</f>
        <v/>
      </c>
      <c r="J715" s="18">
        <f>IF(OR($B$714="",3&gt;$C$4),"",SUMIFS(Actuals!$G:$G,Actuals!$B:$B,$C$3,Actuals!$C:$C,3,Actuals!$D:$D,$B$714,Actuals!$A:$A,LEFT($D$714,FIND("|",$D$714&amp;"|")-1),Actuals!$E:$E,MID($D$714,FIND("|",$D$714&amp;"|")+1,50),Actuals!$F:$F,"JPY")*$E$5+SUMIFS(Actuals!$G:$G,Actuals!$B:$B,$C$3,Actuals!$C:$C,3,Actuals!$D:$D,$B$714,Actuals!$A:$A,LEFT($D$714,FIND("|",$D$714&amp;"|")-1),Actuals!$E:$E,MID($D$714,FIND("|",$D$714&amp;"|")+1,50),Actuals!$F:$F,"USD")*$F$5+SUMIFS(Actuals!$G:$G,Actuals!$B:$B,$C$3,Actuals!$C:$C,3,Actuals!$D:$D,$B$714,Actuals!$A:$A,LEFT($D$714,FIND("|",$D$714&amp;"|")-1),Actuals!$E:$E,MID($D$714,FIND("|",$D$714&amp;"|")+1,50),Actuals!$F:$F,"EUR")*$G$5+SUMIFS(Actuals!$G:$G,Actuals!$B:$B,$C$3,Actuals!$C:$C,3,Actuals!$D:$D,$B$714,Actuals!$A:$A,LEFT($D$714,FIND("|",$D$714&amp;"|")-1),Actuals!$E:$E,MID($D$714,FIND("|",$D$714&amp;"|")+1,50),Actuals!$F:$F,"GBP")*$H$5)</f>
        <v/>
      </c>
      <c r="K715" s="18">
        <f>IF(OR($B$714="",4&gt;$C$4),"",SUMIFS(Actuals!$G:$G,Actuals!$B:$B,$C$3,Actuals!$C:$C,4,Actuals!$D:$D,$B$714,Actuals!$A:$A,LEFT($D$714,FIND("|",$D$714&amp;"|")-1),Actuals!$E:$E,MID($D$714,FIND("|",$D$714&amp;"|")+1,50),Actuals!$F:$F,"JPY")*$E$5+SUMIFS(Actuals!$G:$G,Actuals!$B:$B,$C$3,Actuals!$C:$C,4,Actuals!$D:$D,$B$714,Actuals!$A:$A,LEFT($D$714,FIND("|",$D$714&amp;"|")-1),Actuals!$E:$E,MID($D$714,FIND("|",$D$714&amp;"|")+1,50),Actuals!$F:$F,"USD")*$F$5+SUMIFS(Actuals!$G:$G,Actuals!$B:$B,$C$3,Actuals!$C:$C,4,Actuals!$D:$D,$B$714,Actuals!$A:$A,LEFT($D$714,FIND("|",$D$714&amp;"|")-1),Actuals!$E:$E,MID($D$714,FIND("|",$D$714&amp;"|")+1,50),Actuals!$F:$F,"EUR")*$G$5+SUMIFS(Actuals!$G:$G,Actuals!$B:$B,$C$3,Actuals!$C:$C,4,Actuals!$D:$D,$B$714,Actuals!$A:$A,LEFT($D$714,FIND("|",$D$714&amp;"|")-1),Actuals!$E:$E,MID($D$714,FIND("|",$D$714&amp;"|")+1,50),Actuals!$F:$F,"GBP")*$H$5)</f>
        <v/>
      </c>
      <c r="L715" s="18">
        <f>IF(OR($B$714="",5&gt;$C$4),"",SUMIFS(Actuals!$G:$G,Actuals!$B:$B,$C$3,Actuals!$C:$C,5,Actuals!$D:$D,$B$714,Actuals!$A:$A,LEFT($D$714,FIND("|",$D$714&amp;"|")-1),Actuals!$E:$E,MID($D$714,FIND("|",$D$714&amp;"|")+1,50),Actuals!$F:$F,"JPY")*$E$5+SUMIFS(Actuals!$G:$G,Actuals!$B:$B,$C$3,Actuals!$C:$C,5,Actuals!$D:$D,$B$714,Actuals!$A:$A,LEFT($D$714,FIND("|",$D$714&amp;"|")-1),Actuals!$E:$E,MID($D$714,FIND("|",$D$714&amp;"|")+1,50),Actuals!$F:$F,"USD")*$F$5+SUMIFS(Actuals!$G:$G,Actuals!$B:$B,$C$3,Actuals!$C:$C,5,Actuals!$D:$D,$B$714,Actuals!$A:$A,LEFT($D$714,FIND("|",$D$714&amp;"|")-1),Actuals!$E:$E,MID($D$714,FIND("|",$D$714&amp;"|")+1,50),Actuals!$F:$F,"EUR")*$G$5+SUMIFS(Actuals!$G:$G,Actuals!$B:$B,$C$3,Actuals!$C:$C,5,Actuals!$D:$D,$B$714,Actuals!$A:$A,LEFT($D$714,FIND("|",$D$714&amp;"|")-1),Actuals!$E:$E,MID($D$714,FIND("|",$D$714&amp;"|")+1,50),Actuals!$F:$F,"GBP")*$H$5)</f>
        <v/>
      </c>
      <c r="M715" s="18">
        <f>IF(OR($B$714="",6&gt;$C$4),"",SUMIFS(Actuals!$G:$G,Actuals!$B:$B,$C$3,Actuals!$C:$C,6,Actuals!$D:$D,$B$714,Actuals!$A:$A,LEFT($D$714,FIND("|",$D$714&amp;"|")-1),Actuals!$E:$E,MID($D$714,FIND("|",$D$714&amp;"|")+1,50),Actuals!$F:$F,"JPY")*$E$5+SUMIFS(Actuals!$G:$G,Actuals!$B:$B,$C$3,Actuals!$C:$C,6,Actuals!$D:$D,$B$714,Actuals!$A:$A,LEFT($D$714,FIND("|",$D$714&amp;"|")-1),Actuals!$E:$E,MID($D$714,FIND("|",$D$714&amp;"|")+1,50),Actuals!$F:$F,"USD")*$F$5+SUMIFS(Actuals!$G:$G,Actuals!$B:$B,$C$3,Actuals!$C:$C,6,Actuals!$D:$D,$B$714,Actuals!$A:$A,LEFT($D$714,FIND("|",$D$714&amp;"|")-1),Actuals!$E:$E,MID($D$714,FIND("|",$D$714&amp;"|")+1,50),Actuals!$F:$F,"EUR")*$G$5+SUMIFS(Actuals!$G:$G,Actuals!$B:$B,$C$3,Actuals!$C:$C,6,Actuals!$D:$D,$B$714,Actuals!$A:$A,LEFT($D$714,FIND("|",$D$714&amp;"|")-1),Actuals!$E:$E,MID($D$714,FIND("|",$D$714&amp;"|")+1,50),Actuals!$F:$F,"GBP")*$H$5)</f>
        <v/>
      </c>
      <c r="N715" s="18">
        <f>IF(OR($B$714="",7&gt;$C$4),"",SUMIFS(Actuals!$G:$G,Actuals!$B:$B,$C$3,Actuals!$C:$C,7,Actuals!$D:$D,$B$714,Actuals!$A:$A,LEFT($D$714,FIND("|",$D$714&amp;"|")-1),Actuals!$E:$E,MID($D$714,FIND("|",$D$714&amp;"|")+1,50),Actuals!$F:$F,"JPY")*$E$5+SUMIFS(Actuals!$G:$G,Actuals!$B:$B,$C$3,Actuals!$C:$C,7,Actuals!$D:$D,$B$714,Actuals!$A:$A,LEFT($D$714,FIND("|",$D$714&amp;"|")-1),Actuals!$E:$E,MID($D$714,FIND("|",$D$714&amp;"|")+1,50),Actuals!$F:$F,"USD")*$F$5+SUMIFS(Actuals!$G:$G,Actuals!$B:$B,$C$3,Actuals!$C:$C,7,Actuals!$D:$D,$B$714,Actuals!$A:$A,LEFT($D$714,FIND("|",$D$714&amp;"|")-1),Actuals!$E:$E,MID($D$714,FIND("|",$D$714&amp;"|")+1,50),Actuals!$F:$F,"EUR")*$G$5+SUMIFS(Actuals!$G:$G,Actuals!$B:$B,$C$3,Actuals!$C:$C,7,Actuals!$D:$D,$B$714,Actuals!$A:$A,LEFT($D$714,FIND("|",$D$714&amp;"|")-1),Actuals!$E:$E,MID($D$714,FIND("|",$D$714&amp;"|")+1,50),Actuals!$F:$F,"GBP")*$H$5)</f>
        <v/>
      </c>
      <c r="O715" s="18">
        <f>IF(OR($B$714="",8&gt;$C$4),"",SUMIFS(Actuals!$G:$G,Actuals!$B:$B,$C$3,Actuals!$C:$C,8,Actuals!$D:$D,$B$714,Actuals!$A:$A,LEFT($D$714,FIND("|",$D$714&amp;"|")-1),Actuals!$E:$E,MID($D$714,FIND("|",$D$714&amp;"|")+1,50),Actuals!$F:$F,"JPY")*$E$5+SUMIFS(Actuals!$G:$G,Actuals!$B:$B,$C$3,Actuals!$C:$C,8,Actuals!$D:$D,$B$714,Actuals!$A:$A,LEFT($D$714,FIND("|",$D$714&amp;"|")-1),Actuals!$E:$E,MID($D$714,FIND("|",$D$714&amp;"|")+1,50),Actuals!$F:$F,"USD")*$F$5+SUMIFS(Actuals!$G:$G,Actuals!$B:$B,$C$3,Actuals!$C:$C,8,Actuals!$D:$D,$B$714,Actuals!$A:$A,LEFT($D$714,FIND("|",$D$714&amp;"|")-1),Actuals!$E:$E,MID($D$714,FIND("|",$D$714&amp;"|")+1,50),Actuals!$F:$F,"EUR")*$G$5+SUMIFS(Actuals!$G:$G,Actuals!$B:$B,$C$3,Actuals!$C:$C,8,Actuals!$D:$D,$B$714,Actuals!$A:$A,LEFT($D$714,FIND("|",$D$714&amp;"|")-1),Actuals!$E:$E,MID($D$714,FIND("|",$D$714&amp;"|")+1,50),Actuals!$F:$F,"GBP")*$H$5)</f>
        <v/>
      </c>
      <c r="P715" s="18">
        <f>IF(OR($B$714="",9&gt;$C$4),"",SUMIFS(Actuals!$G:$G,Actuals!$B:$B,$C$3,Actuals!$C:$C,9,Actuals!$D:$D,$B$714,Actuals!$A:$A,LEFT($D$714,FIND("|",$D$714&amp;"|")-1),Actuals!$E:$E,MID($D$714,FIND("|",$D$714&amp;"|")+1,50),Actuals!$F:$F,"JPY")*$E$5+SUMIFS(Actuals!$G:$G,Actuals!$B:$B,$C$3,Actuals!$C:$C,9,Actuals!$D:$D,$B$714,Actuals!$A:$A,LEFT($D$714,FIND("|",$D$714&amp;"|")-1),Actuals!$E:$E,MID($D$714,FIND("|",$D$714&amp;"|")+1,50),Actuals!$F:$F,"USD")*$F$5+SUMIFS(Actuals!$G:$G,Actuals!$B:$B,$C$3,Actuals!$C:$C,9,Actuals!$D:$D,$B$714,Actuals!$A:$A,LEFT($D$714,FIND("|",$D$714&amp;"|")-1),Actuals!$E:$E,MID($D$714,FIND("|",$D$714&amp;"|")+1,50),Actuals!$F:$F,"EUR")*$G$5+SUMIFS(Actuals!$G:$G,Actuals!$B:$B,$C$3,Actuals!$C:$C,9,Actuals!$D:$D,$B$714,Actuals!$A:$A,LEFT($D$714,FIND("|",$D$714&amp;"|")-1),Actuals!$E:$E,MID($D$714,FIND("|",$D$714&amp;"|")+1,50),Actuals!$F:$F,"GBP")*$H$5)</f>
        <v/>
      </c>
      <c r="Q715" s="18">
        <f>IF(OR($B$714="",10&gt;$C$4),"",SUMIFS(Actuals!$G:$G,Actuals!$B:$B,$C$3,Actuals!$C:$C,10,Actuals!$D:$D,$B$714,Actuals!$A:$A,LEFT($D$714,FIND("|",$D$714&amp;"|")-1),Actuals!$E:$E,MID($D$714,FIND("|",$D$714&amp;"|")+1,50),Actuals!$F:$F,"JPY")*$E$5+SUMIFS(Actuals!$G:$G,Actuals!$B:$B,$C$3,Actuals!$C:$C,10,Actuals!$D:$D,$B$714,Actuals!$A:$A,LEFT($D$714,FIND("|",$D$714&amp;"|")-1),Actuals!$E:$E,MID($D$714,FIND("|",$D$714&amp;"|")+1,50),Actuals!$F:$F,"USD")*$F$5+SUMIFS(Actuals!$G:$G,Actuals!$B:$B,$C$3,Actuals!$C:$C,10,Actuals!$D:$D,$B$714,Actuals!$A:$A,LEFT($D$714,FIND("|",$D$714&amp;"|")-1),Actuals!$E:$E,MID($D$714,FIND("|",$D$714&amp;"|")+1,50),Actuals!$F:$F,"EUR")*$G$5+SUMIFS(Actuals!$G:$G,Actuals!$B:$B,$C$3,Actuals!$C:$C,10,Actuals!$D:$D,$B$714,Actuals!$A:$A,LEFT($D$714,FIND("|",$D$714&amp;"|")-1),Actuals!$E:$E,MID($D$714,FIND("|",$D$714&amp;"|")+1,50),Actuals!$F:$F,"GBP")*$H$5)</f>
        <v/>
      </c>
      <c r="R715" s="18">
        <f>IF(OR($B$714="",11&gt;$C$4),"",SUMIFS(Actuals!$G:$G,Actuals!$B:$B,$C$3,Actuals!$C:$C,11,Actuals!$D:$D,$B$714,Actuals!$A:$A,LEFT($D$714,FIND("|",$D$714&amp;"|")-1),Actuals!$E:$E,MID($D$714,FIND("|",$D$714&amp;"|")+1,50),Actuals!$F:$F,"JPY")*$E$5+SUMIFS(Actuals!$G:$G,Actuals!$B:$B,$C$3,Actuals!$C:$C,11,Actuals!$D:$D,$B$714,Actuals!$A:$A,LEFT($D$714,FIND("|",$D$714&amp;"|")-1),Actuals!$E:$E,MID($D$714,FIND("|",$D$714&amp;"|")+1,50),Actuals!$F:$F,"USD")*$F$5+SUMIFS(Actuals!$G:$G,Actuals!$B:$B,$C$3,Actuals!$C:$C,11,Actuals!$D:$D,$B$714,Actuals!$A:$A,LEFT($D$714,FIND("|",$D$714&amp;"|")-1),Actuals!$E:$E,MID($D$714,FIND("|",$D$714&amp;"|")+1,50),Actuals!$F:$F,"EUR")*$G$5+SUMIFS(Actuals!$G:$G,Actuals!$B:$B,$C$3,Actuals!$C:$C,11,Actuals!$D:$D,$B$714,Actuals!$A:$A,LEFT($D$714,FIND("|",$D$714&amp;"|")-1),Actuals!$E:$E,MID($D$714,FIND("|",$D$714&amp;"|")+1,50),Actuals!$F:$F,"GBP")*$H$5)</f>
        <v/>
      </c>
      <c r="S715" s="18">
        <f>IF(OR($B$714="",12&gt;$C$4),"",SUMIFS(Actuals!$G:$G,Actuals!$B:$B,$C$3,Actuals!$C:$C,12,Actuals!$D:$D,$B$714,Actuals!$A:$A,LEFT($D$714,FIND("|",$D$714&amp;"|")-1),Actuals!$E:$E,MID($D$714,FIND("|",$D$714&amp;"|")+1,50),Actuals!$F:$F,"JPY")*$E$5+SUMIFS(Actuals!$G:$G,Actuals!$B:$B,$C$3,Actuals!$C:$C,12,Actuals!$D:$D,$B$714,Actuals!$A:$A,LEFT($D$714,FIND("|",$D$714&amp;"|")-1),Actuals!$E:$E,MID($D$714,FIND("|",$D$714&amp;"|")+1,50),Actuals!$F:$F,"USD")*$F$5+SUMIFS(Actuals!$G:$G,Actuals!$B:$B,$C$3,Actuals!$C:$C,12,Actuals!$D:$D,$B$714,Actuals!$A:$A,LEFT($D$714,FIND("|",$D$714&amp;"|")-1),Actuals!$E:$E,MID($D$714,FIND("|",$D$714&amp;"|")+1,50),Actuals!$F:$F,"EUR")*$G$5+SUMIFS(Actuals!$G:$G,Actuals!$B:$B,$C$3,Actuals!$C:$C,12,Actuals!$D:$D,$B$714,Actuals!$A:$A,LEFT($D$714,FIND("|",$D$714&amp;"|")-1),Actuals!$E:$E,MID($D$714,FIND("|",$D$714&amp;"|")+1,50),Actuals!$F:$F,"GBP")*$H$5)</f>
        <v/>
      </c>
      <c r="T715" s="18">
        <f>IF($B$714="","",SUMIF($H$7:$S$7,"&lt;="&amp;$C$4,$H715:$S715))</f>
        <v/>
      </c>
      <c r="U715" s="18" t="n"/>
      <c r="V715" s="18" t="n"/>
      <c r="X715" s="22">
        <f>IF($B715="","",IFERROR(INDEX(Cost_Centers!$E:$E,MATCH($B715,Cost_Centers!$A:$A,0)),"(unknown)"))</f>
        <v/>
      </c>
      <c r="Y715" s="22">
        <f>IF($B715="","",IFERROR(INDEX(Cost_Centers!$D:$D,MATCH($B715,Cost_Centers!$A:$A,0)),"(unknown)"))</f>
        <v/>
      </c>
      <c r="Z715" s="22">
        <f>IF(OR($B715="",$G715&lt;&gt;"Variance vs Budget"),"",ABS(N($V715))+ROW()/1000000000)</f>
        <v/>
      </c>
    </row>
    <row r="716">
      <c r="A716" s="13">
        <f>IF(A$714="","",A$714)</f>
        <v/>
      </c>
      <c r="B716" s="13">
        <f>IF(B$714="","",B$714)</f>
        <v/>
      </c>
      <c r="C716" s="13">
        <f>IF(C$714="","",C$714)</f>
        <v/>
      </c>
      <c r="D716" s="13">
        <f>IF(D$714="","",D$714)</f>
        <v/>
      </c>
      <c r="E716" s="13">
        <f>IF(E$714="","",E$714)</f>
        <v/>
      </c>
      <c r="F716" s="13">
        <f>IF(F$714="","",F$714)</f>
        <v/>
      </c>
      <c r="G716" s="6" t="inlineStr">
        <is>
          <t>Variance vs Budget</t>
        </is>
      </c>
      <c r="H716" s="33">
        <f>IF(OR($B$714="",1&gt;$C$4),"",N(H715)-H714)</f>
        <v/>
      </c>
      <c r="I716" s="33">
        <f>IF(OR($B$714="",2&gt;$C$4),"",N(I715)-I714)</f>
        <v/>
      </c>
      <c r="J716" s="33">
        <f>IF(OR($B$714="",3&gt;$C$4),"",N(J715)-J714)</f>
        <v/>
      </c>
      <c r="K716" s="33">
        <f>IF(OR($B$714="",4&gt;$C$4),"",N(K715)-K714)</f>
        <v/>
      </c>
      <c r="L716" s="33">
        <f>IF(OR($B$714="",5&gt;$C$4),"",N(L715)-L714)</f>
        <v/>
      </c>
      <c r="M716" s="33">
        <f>IF(OR($B$714="",6&gt;$C$4),"",N(M715)-M714)</f>
        <v/>
      </c>
      <c r="N716" s="33">
        <f>IF(OR($B$714="",7&gt;$C$4),"",N(N715)-N714)</f>
        <v/>
      </c>
      <c r="O716" s="33">
        <f>IF(OR($B$714="",8&gt;$C$4),"",N(O715)-O714)</f>
        <v/>
      </c>
      <c r="P716" s="33">
        <f>IF(OR($B$714="",9&gt;$C$4),"",N(P715)-P714)</f>
        <v/>
      </c>
      <c r="Q716" s="33">
        <f>IF(OR($B$714="",10&gt;$C$4),"",N(Q715)-Q714)</f>
        <v/>
      </c>
      <c r="R716" s="33">
        <f>IF(OR($B$714="",11&gt;$C$4),"",N(R715)-R714)</f>
        <v/>
      </c>
      <c r="S716" s="33">
        <f>IF(OR($B$714="",12&gt;$C$4),"",N(S715)-S714)</f>
        <v/>
      </c>
      <c r="T716" s="33">
        <f>IF($B$714="","",T715-T714)</f>
        <v/>
      </c>
      <c r="U716" s="33">
        <f>IF($B$714="","",U718-U714)</f>
        <v/>
      </c>
      <c r="V716" s="33">
        <f>IF($B$714="","",V718-V714)</f>
        <v/>
      </c>
      <c r="X716" s="22">
        <f>IF($B716="","",IFERROR(INDEX(Cost_Centers!$E:$E,MATCH($B716,Cost_Centers!$A:$A,0)),"(unknown)"))</f>
        <v/>
      </c>
      <c r="Y716" s="22">
        <f>IF($B716="","",IFERROR(INDEX(Cost_Centers!$D:$D,MATCH($B716,Cost_Centers!$A:$A,0)),"(unknown)"))</f>
        <v/>
      </c>
      <c r="Z716" s="22">
        <f>IF(OR($B716="",$G716&lt;&gt;"Variance vs Budget"),"",ABS(N($V716))+ROW()/1000000000)</f>
        <v/>
      </c>
    </row>
    <row r="717">
      <c r="A717" s="13">
        <f>IF(A$714="","",A$714)</f>
        <v/>
      </c>
      <c r="B717" s="13">
        <f>IF(B$714="","",B$714)</f>
        <v/>
      </c>
      <c r="C717" s="13">
        <f>IF(C$714="","",C$714)</f>
        <v/>
      </c>
      <c r="D717" s="13">
        <f>IF(D$714="","",D$714)</f>
        <v/>
      </c>
      <c r="E717" s="13">
        <f>IF(E$714="","",E$714)</f>
        <v/>
      </c>
      <c r="F717" s="13">
        <f>IF(F$714="","",F$714)</f>
        <v/>
      </c>
      <c r="G717" s="7" t="inlineStr">
        <is>
          <t>Forecast (input)</t>
        </is>
      </c>
      <c r="H717" s="34" t="n"/>
      <c r="I717" s="34" t="n"/>
      <c r="J717" s="34" t="n"/>
      <c r="K717" s="34" t="n"/>
      <c r="L717" s="34" t="n"/>
      <c r="M717" s="34" t="n"/>
      <c r="N717" s="34" t="n"/>
      <c r="O717" s="34" t="n"/>
      <c r="P717" s="34" t="n"/>
      <c r="Q717" s="34" t="n"/>
      <c r="R717" s="34" t="n"/>
      <c r="S717" s="34" t="n"/>
      <c r="T717" s="18" t="n"/>
      <c r="U717" s="18" t="n"/>
      <c r="V717" s="18" t="n"/>
      <c r="X717" s="22">
        <f>IF($B717="","",IFERROR(INDEX(Cost_Centers!$E:$E,MATCH($B717,Cost_Centers!$A:$A,0)),"(unknown)"))</f>
        <v/>
      </c>
      <c r="Y717" s="22">
        <f>IF($B717="","",IFERROR(INDEX(Cost_Centers!$D:$D,MATCH($B717,Cost_Centers!$A:$A,0)),"(unknown)"))</f>
        <v/>
      </c>
      <c r="Z717" s="22">
        <f>IF(OR($B717="",$G717&lt;&gt;"Variance vs Budget"),"",ABS(N($V717))+ROW()/1000000000)</f>
        <v/>
      </c>
    </row>
    <row r="718">
      <c r="A718" s="13">
        <f>IF(A$714="","",A$714)</f>
        <v/>
      </c>
      <c r="B718" s="13">
        <f>IF(B$714="","",B$714)</f>
        <v/>
      </c>
      <c r="C718" s="13">
        <f>IF(C$714="","",C$714)</f>
        <v/>
      </c>
      <c r="D718" s="13">
        <f>IF(D$714="","",D$714)</f>
        <v/>
      </c>
      <c r="E718" s="13">
        <f>IF(E$714="","",E$714)</f>
        <v/>
      </c>
      <c r="F718" s="13">
        <f>IF(F$714="","",F$714)</f>
        <v/>
      </c>
      <c r="G718" s="35" t="inlineStr">
        <is>
          <t>Actual + Forecast</t>
        </is>
      </c>
      <c r="H718" s="18">
        <f>IF($B$714="","",IF(1&lt;=$C$4,N(H715),IF(H717="",H714,H717)))</f>
        <v/>
      </c>
      <c r="I718" s="18">
        <f>IF($B$714="","",IF(2&lt;=$C$4,N(I715),IF(I717="",I714,I717)))</f>
        <v/>
      </c>
      <c r="J718" s="18">
        <f>IF($B$714="","",IF(3&lt;=$C$4,N(J715),IF(J717="",J714,J717)))</f>
        <v/>
      </c>
      <c r="K718" s="18">
        <f>IF($B$714="","",IF(4&lt;=$C$4,N(K715),IF(K717="",K714,K717)))</f>
        <v/>
      </c>
      <c r="L718" s="18">
        <f>IF($B$714="","",IF(5&lt;=$C$4,N(L715),IF(L717="",L714,L717)))</f>
        <v/>
      </c>
      <c r="M718" s="18">
        <f>IF($B$714="","",IF(6&lt;=$C$4,N(M715),IF(M717="",M714,M717)))</f>
        <v/>
      </c>
      <c r="N718" s="18">
        <f>IF($B$714="","",IF(7&lt;=$C$4,N(N715),IF(N717="",N714,N717)))</f>
        <v/>
      </c>
      <c r="O718" s="18">
        <f>IF($B$714="","",IF(8&lt;=$C$4,N(O715),IF(O717="",O714,O717)))</f>
        <v/>
      </c>
      <c r="P718" s="18">
        <f>IF($B$714="","",IF(9&lt;=$C$4,N(P715),IF(P717="",P714,P717)))</f>
        <v/>
      </c>
      <c r="Q718" s="18">
        <f>IF($B$714="","",IF(10&lt;=$C$4,N(Q715),IF(Q717="",Q714,Q717)))</f>
        <v/>
      </c>
      <c r="R718" s="18">
        <f>IF($B$714="","",IF(11&lt;=$C$4,N(R715),IF(R717="",R714,R717)))</f>
        <v/>
      </c>
      <c r="S718" s="18">
        <f>IF($B$714="","",IF(12&lt;=$C$4,N(S715),IF(S717="",S714,S717)))</f>
        <v/>
      </c>
      <c r="T718" s="18">
        <f>IF($B$714="","",SUMIF($H$7:$S$7,"&lt;="&amp;$C$4,$H718:$S718))</f>
        <v/>
      </c>
      <c r="U718" s="18">
        <f>IF($B$714="","",SUMIF($H$7:$S$7,"&gt;"&amp;$C$4,$H718:$S718))</f>
        <v/>
      </c>
      <c r="V718" s="18">
        <f>IF($B$714="","",SUM($H718:$S718))</f>
        <v/>
      </c>
      <c r="X718" s="22">
        <f>IF($B718="","",IFERROR(INDEX(Cost_Centers!$E:$E,MATCH($B718,Cost_Centers!$A:$A,0)),"(unknown)"))</f>
        <v/>
      </c>
      <c r="Y718" s="22">
        <f>IF($B718="","",IFERROR(INDEX(Cost_Centers!$D:$D,MATCH($B718,Cost_Centers!$A:$A,0)),"(unknown)"))</f>
        <v/>
      </c>
      <c r="Z718" s="22">
        <f>IF(OR($B718="",$G718&lt;&gt;"Variance vs Budget"),"",ABS(N($V718))+ROW()/1000000000)</f>
        <v/>
      </c>
    </row>
    <row r="719">
      <c r="A719" s="13">
        <f>IF(A$714="","",A$714)</f>
        <v/>
      </c>
      <c r="B719" s="13">
        <f>IF(B$714="","",B$714)</f>
        <v/>
      </c>
      <c r="C719" s="13">
        <f>IF(C$714="","",C$714)</f>
        <v/>
      </c>
      <c r="D719" s="13">
        <f>IF(D$714="","",D$714)</f>
        <v/>
      </c>
      <c r="E719" s="13">
        <f>IF(E$714="","",E$714)</f>
        <v/>
      </c>
      <c r="F719" s="13">
        <f>IF(F$714="","",F$714)</f>
        <v/>
      </c>
      <c r="G719" s="36" t="inlineStr">
        <is>
          <t>Prior Month Forecast</t>
        </is>
      </c>
      <c r="H719" s="37">
        <f>IF($B$714="","",IF(COUNTIFS(Prior_Forecast!$A:$A,$B$714,Prior_Forecast!$B:$B,$D$714)&gt;0,SUMIFS(Prior_Forecast!$C:$C,Prior_Forecast!$A:$A,$B$714,Prior_Forecast!$B:$B,$D$714),""))</f>
        <v/>
      </c>
      <c r="I719" s="37">
        <f>IF($B$714="","",IF(COUNTIFS(Prior_Forecast!$A:$A,$B$714,Prior_Forecast!$B:$B,$D$714)&gt;0,SUMIFS(Prior_Forecast!$D:$D,Prior_Forecast!$A:$A,$B$714,Prior_Forecast!$B:$B,$D$714),""))</f>
        <v/>
      </c>
      <c r="J719" s="37">
        <f>IF($B$714="","",IF(COUNTIFS(Prior_Forecast!$A:$A,$B$714,Prior_Forecast!$B:$B,$D$714)&gt;0,SUMIFS(Prior_Forecast!$E:$E,Prior_Forecast!$A:$A,$B$714,Prior_Forecast!$B:$B,$D$714),""))</f>
        <v/>
      </c>
      <c r="K719" s="37">
        <f>IF($B$714="","",IF(COUNTIFS(Prior_Forecast!$A:$A,$B$714,Prior_Forecast!$B:$B,$D$714)&gt;0,SUMIFS(Prior_Forecast!$F:$F,Prior_Forecast!$A:$A,$B$714,Prior_Forecast!$B:$B,$D$714),""))</f>
        <v/>
      </c>
      <c r="L719" s="37">
        <f>IF($B$714="","",IF(COUNTIFS(Prior_Forecast!$A:$A,$B$714,Prior_Forecast!$B:$B,$D$714)&gt;0,SUMIFS(Prior_Forecast!$G:$G,Prior_Forecast!$A:$A,$B$714,Prior_Forecast!$B:$B,$D$714),""))</f>
        <v/>
      </c>
      <c r="M719" s="37">
        <f>IF($B$714="","",IF(COUNTIFS(Prior_Forecast!$A:$A,$B$714,Prior_Forecast!$B:$B,$D$714)&gt;0,SUMIFS(Prior_Forecast!$H:$H,Prior_Forecast!$A:$A,$B$714,Prior_Forecast!$B:$B,$D$714),""))</f>
        <v/>
      </c>
      <c r="N719" s="37">
        <f>IF($B$714="","",IF(COUNTIFS(Prior_Forecast!$A:$A,$B$714,Prior_Forecast!$B:$B,$D$714)&gt;0,SUMIFS(Prior_Forecast!$I:$I,Prior_Forecast!$A:$A,$B$714,Prior_Forecast!$B:$B,$D$714),""))</f>
        <v/>
      </c>
      <c r="O719" s="37">
        <f>IF($B$714="","",IF(COUNTIFS(Prior_Forecast!$A:$A,$B$714,Prior_Forecast!$B:$B,$D$714)&gt;0,SUMIFS(Prior_Forecast!$J:$J,Prior_Forecast!$A:$A,$B$714,Prior_Forecast!$B:$B,$D$714),""))</f>
        <v/>
      </c>
      <c r="P719" s="37">
        <f>IF($B$714="","",IF(COUNTIFS(Prior_Forecast!$A:$A,$B$714,Prior_Forecast!$B:$B,$D$714)&gt;0,SUMIFS(Prior_Forecast!$K:$K,Prior_Forecast!$A:$A,$B$714,Prior_Forecast!$B:$B,$D$714),""))</f>
        <v/>
      </c>
      <c r="Q719" s="37">
        <f>IF($B$714="","",IF(COUNTIFS(Prior_Forecast!$A:$A,$B$714,Prior_Forecast!$B:$B,$D$714)&gt;0,SUMIFS(Prior_Forecast!$L:$L,Prior_Forecast!$A:$A,$B$714,Prior_Forecast!$B:$B,$D$714),""))</f>
        <v/>
      </c>
      <c r="R719" s="37">
        <f>IF($B$714="","",IF(COUNTIFS(Prior_Forecast!$A:$A,$B$714,Prior_Forecast!$B:$B,$D$714)&gt;0,SUMIFS(Prior_Forecast!$M:$M,Prior_Forecast!$A:$A,$B$714,Prior_Forecast!$B:$B,$D$714),""))</f>
        <v/>
      </c>
      <c r="S719" s="37">
        <f>IF($B$714="","",IF(COUNTIFS(Prior_Forecast!$A:$A,$B$714,Prior_Forecast!$B:$B,$D$714)&gt;0,SUMIFS(Prior_Forecast!$N:$N,Prior_Forecast!$A:$A,$B$714,Prior_Forecast!$B:$B,$D$714),""))</f>
        <v/>
      </c>
      <c r="T719" s="37">
        <f>IF($B$714="","",IF(COUNTIFS(Prior_Forecast!$A:$A,$B$714,Prior_Forecast!$B:$B,$D$714)&gt;0,SUMIFS(Prior_Forecast!$O:$O,Prior_Forecast!$A:$A,$B$714,Prior_Forecast!$B:$B,$D$714),""))</f>
        <v/>
      </c>
      <c r="U719" s="37">
        <f>IF($B$714="","",IF(COUNTIFS(Prior_Forecast!$A:$A,$B$714,Prior_Forecast!$B:$B,$D$714)&gt;0,SUMIFS(Prior_Forecast!$P:$P,Prior_Forecast!$A:$A,$B$714,Prior_Forecast!$B:$B,$D$714),""))</f>
        <v/>
      </c>
      <c r="V719" s="37">
        <f>IF($B$714="","",IF(COUNTIFS(Prior_Forecast!$A:$A,$B$714,Prior_Forecast!$B:$B,$D$714)&gt;0,SUMIFS(Prior_Forecast!$Q:$Q,Prior_Forecast!$A:$A,$B$714,Prior_Forecast!$B:$B,$D$714),""))</f>
        <v/>
      </c>
      <c r="X719" s="22">
        <f>IF($B719="","",IFERROR(INDEX(Cost_Centers!$E:$E,MATCH($B719,Cost_Centers!$A:$A,0)),"(unknown)"))</f>
        <v/>
      </c>
      <c r="Y719" s="22">
        <f>IF($B719="","",IFERROR(INDEX(Cost_Centers!$D:$D,MATCH($B719,Cost_Centers!$A:$A,0)),"(unknown)"))</f>
        <v/>
      </c>
      <c r="Z719" s="22">
        <f>IF(OR($B719="",$G719&lt;&gt;"Variance vs Budget"),"",ABS(N($V719))+ROW()/1000000000)</f>
        <v/>
      </c>
    </row>
    <row r="720">
      <c r="A720" s="13">
        <f>IF(A$714="","",A$714)</f>
        <v/>
      </c>
      <c r="B720" s="13">
        <f>IF(B$714="","",B$714)</f>
        <v/>
      </c>
      <c r="C720" s="13">
        <f>IF(C$714="","",C$714)</f>
        <v/>
      </c>
      <c r="D720" s="13">
        <f>IF(D$714="","",D$714)</f>
        <v/>
      </c>
      <c r="E720" s="13">
        <f>IF(E$714="","",E$714)</f>
        <v/>
      </c>
      <c r="F720" s="13">
        <f>IF(F$714="","",F$714)</f>
        <v/>
      </c>
      <c r="G720" s="6" t="inlineStr">
        <is>
          <t>Variance vs Prior Month</t>
        </is>
      </c>
      <c r="H720" s="33">
        <f>IF(OR($B$714="",H719=""),"",H718-H719)</f>
        <v/>
      </c>
      <c r="I720" s="33">
        <f>IF(OR($B$714="",I719=""),"",I718-I719)</f>
        <v/>
      </c>
      <c r="J720" s="33">
        <f>IF(OR($B$714="",J719=""),"",J718-J719)</f>
        <v/>
      </c>
      <c r="K720" s="33">
        <f>IF(OR($B$714="",K719=""),"",K718-K719)</f>
        <v/>
      </c>
      <c r="L720" s="33">
        <f>IF(OR($B$714="",L719=""),"",L718-L719)</f>
        <v/>
      </c>
      <c r="M720" s="33">
        <f>IF(OR($B$714="",M719=""),"",M718-M719)</f>
        <v/>
      </c>
      <c r="N720" s="33">
        <f>IF(OR($B$714="",N719=""),"",N718-N719)</f>
        <v/>
      </c>
      <c r="O720" s="33">
        <f>IF(OR($B$714="",O719=""),"",O718-O719)</f>
        <v/>
      </c>
      <c r="P720" s="33">
        <f>IF(OR($B$714="",P719=""),"",P718-P719)</f>
        <v/>
      </c>
      <c r="Q720" s="33">
        <f>IF(OR($B$714="",Q719=""),"",Q718-Q719)</f>
        <v/>
      </c>
      <c r="R720" s="33">
        <f>IF(OR($B$714="",R719=""),"",R718-R719)</f>
        <v/>
      </c>
      <c r="S720" s="33">
        <f>IF(OR($B$714="",S719=""),"",S718-S719)</f>
        <v/>
      </c>
      <c r="T720" s="33">
        <f>IF(OR($B$714="",T719=""),"",T718-T719)</f>
        <v/>
      </c>
      <c r="U720" s="33">
        <f>IF(OR($B$714="",U719=""),"",U718-U719)</f>
        <v/>
      </c>
      <c r="V720" s="33">
        <f>IF(OR($B$714="",V719=""),"",V718-V719)</f>
        <v/>
      </c>
      <c r="X720" s="22">
        <f>IF($B720="","",IFERROR(INDEX(Cost_Centers!$E:$E,MATCH($B720,Cost_Centers!$A:$A,0)),"(unknown)"))</f>
        <v/>
      </c>
      <c r="Y720" s="22">
        <f>IF($B720="","",IFERROR(INDEX(Cost_Centers!$D:$D,MATCH($B720,Cost_Centers!$A:$A,0)),"(unknown)"))</f>
        <v/>
      </c>
      <c r="Z720" s="22">
        <f>IF(OR($B720="",$G720&lt;&gt;"Variance vs Budget"),"",ABS(N($V720))+ROW()/1000000000)</f>
        <v/>
      </c>
    </row>
    <row r="721" ht="45" customHeight="1">
      <c r="A721" s="13">
        <f>IF(A$714="","",A$714)</f>
        <v/>
      </c>
      <c r="B721" s="13">
        <f>IF(B$714="","",B$714)</f>
        <v/>
      </c>
      <c r="C721" s="13">
        <f>IF(C$714="","",C$714)</f>
        <v/>
      </c>
      <c r="D721" s="13">
        <f>IF(D$714="","",D$714)</f>
        <v/>
      </c>
      <c r="E721" s="13">
        <f>IF(E$714="","",E$714)</f>
        <v/>
      </c>
      <c r="F721" s="13">
        <f>IF(F$714="","",F$714)</f>
        <v/>
      </c>
      <c r="G721" s="7" t="inlineStr">
        <is>
          <t>Rationale</t>
        </is>
      </c>
      <c r="H721" s="38" t="n"/>
      <c r="I721" s="38" t="n"/>
      <c r="J721" s="38" t="n"/>
      <c r="K721" s="38" t="n"/>
      <c r="L721" s="38" t="n"/>
      <c r="M721" s="38" t="n"/>
      <c r="N721" s="38" t="n"/>
      <c r="O721" s="38" t="n"/>
      <c r="P721" s="38" t="n"/>
      <c r="Q721" s="38" t="n"/>
      <c r="R721" s="38" t="n"/>
      <c r="S721" s="38" t="n"/>
      <c r="T721" s="38" t="n"/>
      <c r="U721" s="38" t="n"/>
      <c r="V721" s="7" t="n"/>
      <c r="X721" s="22">
        <f>IF($B721="","",IFERROR(INDEX(Cost_Centers!$E:$E,MATCH($B721,Cost_Centers!$A:$A,0)),"(unknown)"))</f>
        <v/>
      </c>
      <c r="Y721" s="22">
        <f>IF($B721="","",IFERROR(INDEX(Cost_Centers!$D:$D,MATCH($B721,Cost_Centers!$A:$A,0)),"(unknown)"))</f>
        <v/>
      </c>
      <c r="Z721" s="22">
        <f>IF(OR($B721="",$G721&lt;&gt;"Variance vs Budget"),"",ABS(N($V721))+ROW()/1000000000)</f>
        <v/>
      </c>
    </row>
    <row r="722">
      <c r="A722" s="30">
        <f>IF($D$722="","",LEFT($D$722,FIND("|",$D$722&amp;"|")-1))</f>
        <v/>
      </c>
      <c r="B722" s="31" t="n"/>
      <c r="C722" s="30">
        <f>IF($B$722="","",IFERROR(INDEX(Cost_Centers!$B:$B,MATCH($B$722,Cost_Centers!$A:$A,0)),"(not in master)"))</f>
        <v/>
      </c>
      <c r="D722" s="31" t="n"/>
      <c r="E722" s="30">
        <f>IF($D$722="","",IFERROR(INDEX(Accounts!$D:$D,MATCH($D$722,Accounts!$A:$A,0)),"(not in master)"))</f>
        <v/>
      </c>
      <c r="F722" s="31" t="n"/>
      <c r="G722" s="30" t="inlineStr">
        <is>
          <t>Budget</t>
        </is>
      </c>
      <c r="H722" s="32">
        <f>IF($B$722="","",SUMIFS(Opex_Budget!$O:$O,Opex_Budget!$A:$A,$C$3,Opex_Budget!$E:$E,$B$722,Opex_Budget!$F:$F,$D$722,Opex_Budget!$N:$N,"JPY")*$E$5+SUMIFS(Opex_Budget!$O:$O,Opex_Budget!$A:$A,$C$3,Opex_Budget!$E:$E,$B$722,Opex_Budget!$F:$F,$D$722,Opex_Budget!$N:$N,"USD")*$F$5+SUMIFS(Opex_Budget!$O:$O,Opex_Budget!$A:$A,$C$3,Opex_Budget!$E:$E,$B$722,Opex_Budget!$F:$F,$D$722,Opex_Budget!$N:$N,"EUR")*$G$5+SUMIFS(Opex_Budget!$O:$O,Opex_Budget!$A:$A,$C$3,Opex_Budget!$E:$E,$B$722,Opex_Budget!$F:$F,$D$722,Opex_Budget!$N:$N,"GBP")*$H$5)</f>
        <v/>
      </c>
      <c r="I722" s="32">
        <f>IF($B$722="","",SUMIFS(Opex_Budget!$P:$P,Opex_Budget!$A:$A,$C$3,Opex_Budget!$E:$E,$B$722,Opex_Budget!$F:$F,$D$722,Opex_Budget!$N:$N,"JPY")*$E$5+SUMIFS(Opex_Budget!$P:$P,Opex_Budget!$A:$A,$C$3,Opex_Budget!$E:$E,$B$722,Opex_Budget!$F:$F,$D$722,Opex_Budget!$N:$N,"USD")*$F$5+SUMIFS(Opex_Budget!$P:$P,Opex_Budget!$A:$A,$C$3,Opex_Budget!$E:$E,$B$722,Opex_Budget!$F:$F,$D$722,Opex_Budget!$N:$N,"EUR")*$G$5+SUMIFS(Opex_Budget!$P:$P,Opex_Budget!$A:$A,$C$3,Opex_Budget!$E:$E,$B$722,Opex_Budget!$F:$F,$D$722,Opex_Budget!$N:$N,"GBP")*$H$5)</f>
        <v/>
      </c>
      <c r="J722" s="32">
        <f>IF($B$722="","",SUMIFS(Opex_Budget!$Q:$Q,Opex_Budget!$A:$A,$C$3,Opex_Budget!$E:$E,$B$722,Opex_Budget!$F:$F,$D$722,Opex_Budget!$N:$N,"JPY")*$E$5+SUMIFS(Opex_Budget!$Q:$Q,Opex_Budget!$A:$A,$C$3,Opex_Budget!$E:$E,$B$722,Opex_Budget!$F:$F,$D$722,Opex_Budget!$N:$N,"USD")*$F$5+SUMIFS(Opex_Budget!$Q:$Q,Opex_Budget!$A:$A,$C$3,Opex_Budget!$E:$E,$B$722,Opex_Budget!$F:$F,$D$722,Opex_Budget!$N:$N,"EUR")*$G$5+SUMIFS(Opex_Budget!$Q:$Q,Opex_Budget!$A:$A,$C$3,Opex_Budget!$E:$E,$B$722,Opex_Budget!$F:$F,$D$722,Opex_Budget!$N:$N,"GBP")*$H$5)</f>
        <v/>
      </c>
      <c r="K722" s="32">
        <f>IF($B$722="","",SUMIFS(Opex_Budget!$R:$R,Opex_Budget!$A:$A,$C$3,Opex_Budget!$E:$E,$B$722,Opex_Budget!$F:$F,$D$722,Opex_Budget!$N:$N,"JPY")*$E$5+SUMIFS(Opex_Budget!$R:$R,Opex_Budget!$A:$A,$C$3,Opex_Budget!$E:$E,$B$722,Opex_Budget!$F:$F,$D$722,Opex_Budget!$N:$N,"USD")*$F$5+SUMIFS(Opex_Budget!$R:$R,Opex_Budget!$A:$A,$C$3,Opex_Budget!$E:$E,$B$722,Opex_Budget!$F:$F,$D$722,Opex_Budget!$N:$N,"EUR")*$G$5+SUMIFS(Opex_Budget!$R:$R,Opex_Budget!$A:$A,$C$3,Opex_Budget!$E:$E,$B$722,Opex_Budget!$F:$F,$D$722,Opex_Budget!$N:$N,"GBP")*$H$5)</f>
        <v/>
      </c>
      <c r="L722" s="32">
        <f>IF($B$722="","",SUMIFS(Opex_Budget!$S:$S,Opex_Budget!$A:$A,$C$3,Opex_Budget!$E:$E,$B$722,Opex_Budget!$F:$F,$D$722,Opex_Budget!$N:$N,"JPY")*$E$5+SUMIFS(Opex_Budget!$S:$S,Opex_Budget!$A:$A,$C$3,Opex_Budget!$E:$E,$B$722,Opex_Budget!$F:$F,$D$722,Opex_Budget!$N:$N,"USD")*$F$5+SUMIFS(Opex_Budget!$S:$S,Opex_Budget!$A:$A,$C$3,Opex_Budget!$E:$E,$B$722,Opex_Budget!$F:$F,$D$722,Opex_Budget!$N:$N,"EUR")*$G$5+SUMIFS(Opex_Budget!$S:$S,Opex_Budget!$A:$A,$C$3,Opex_Budget!$E:$E,$B$722,Opex_Budget!$F:$F,$D$722,Opex_Budget!$N:$N,"GBP")*$H$5)</f>
        <v/>
      </c>
      <c r="M722" s="32">
        <f>IF($B$722="","",SUMIFS(Opex_Budget!$T:$T,Opex_Budget!$A:$A,$C$3,Opex_Budget!$E:$E,$B$722,Opex_Budget!$F:$F,$D$722,Opex_Budget!$N:$N,"JPY")*$E$5+SUMIFS(Opex_Budget!$T:$T,Opex_Budget!$A:$A,$C$3,Opex_Budget!$E:$E,$B$722,Opex_Budget!$F:$F,$D$722,Opex_Budget!$N:$N,"USD")*$F$5+SUMIFS(Opex_Budget!$T:$T,Opex_Budget!$A:$A,$C$3,Opex_Budget!$E:$E,$B$722,Opex_Budget!$F:$F,$D$722,Opex_Budget!$N:$N,"EUR")*$G$5+SUMIFS(Opex_Budget!$T:$T,Opex_Budget!$A:$A,$C$3,Opex_Budget!$E:$E,$B$722,Opex_Budget!$F:$F,$D$722,Opex_Budget!$N:$N,"GBP")*$H$5)</f>
        <v/>
      </c>
      <c r="N722" s="32">
        <f>IF($B$722="","",SUMIFS(Opex_Budget!$U:$U,Opex_Budget!$A:$A,$C$3,Opex_Budget!$E:$E,$B$722,Opex_Budget!$F:$F,$D$722,Opex_Budget!$N:$N,"JPY")*$E$5+SUMIFS(Opex_Budget!$U:$U,Opex_Budget!$A:$A,$C$3,Opex_Budget!$E:$E,$B$722,Opex_Budget!$F:$F,$D$722,Opex_Budget!$N:$N,"USD")*$F$5+SUMIFS(Opex_Budget!$U:$U,Opex_Budget!$A:$A,$C$3,Opex_Budget!$E:$E,$B$722,Opex_Budget!$F:$F,$D$722,Opex_Budget!$N:$N,"EUR")*$G$5+SUMIFS(Opex_Budget!$U:$U,Opex_Budget!$A:$A,$C$3,Opex_Budget!$E:$E,$B$722,Opex_Budget!$F:$F,$D$722,Opex_Budget!$N:$N,"GBP")*$H$5)</f>
        <v/>
      </c>
      <c r="O722" s="32">
        <f>IF($B$722="","",SUMIFS(Opex_Budget!$V:$V,Opex_Budget!$A:$A,$C$3,Opex_Budget!$E:$E,$B$722,Opex_Budget!$F:$F,$D$722,Opex_Budget!$N:$N,"JPY")*$E$5+SUMIFS(Opex_Budget!$V:$V,Opex_Budget!$A:$A,$C$3,Opex_Budget!$E:$E,$B$722,Opex_Budget!$F:$F,$D$722,Opex_Budget!$N:$N,"USD")*$F$5+SUMIFS(Opex_Budget!$V:$V,Opex_Budget!$A:$A,$C$3,Opex_Budget!$E:$E,$B$722,Opex_Budget!$F:$F,$D$722,Opex_Budget!$N:$N,"EUR")*$G$5+SUMIFS(Opex_Budget!$V:$V,Opex_Budget!$A:$A,$C$3,Opex_Budget!$E:$E,$B$722,Opex_Budget!$F:$F,$D$722,Opex_Budget!$N:$N,"GBP")*$H$5)</f>
        <v/>
      </c>
      <c r="P722" s="32">
        <f>IF($B$722="","",SUMIFS(Opex_Budget!$W:$W,Opex_Budget!$A:$A,$C$3,Opex_Budget!$E:$E,$B$722,Opex_Budget!$F:$F,$D$722,Opex_Budget!$N:$N,"JPY")*$E$5+SUMIFS(Opex_Budget!$W:$W,Opex_Budget!$A:$A,$C$3,Opex_Budget!$E:$E,$B$722,Opex_Budget!$F:$F,$D$722,Opex_Budget!$N:$N,"USD")*$F$5+SUMIFS(Opex_Budget!$W:$W,Opex_Budget!$A:$A,$C$3,Opex_Budget!$E:$E,$B$722,Opex_Budget!$F:$F,$D$722,Opex_Budget!$N:$N,"EUR")*$G$5+SUMIFS(Opex_Budget!$W:$W,Opex_Budget!$A:$A,$C$3,Opex_Budget!$E:$E,$B$722,Opex_Budget!$F:$F,$D$722,Opex_Budget!$N:$N,"GBP")*$H$5)</f>
        <v/>
      </c>
      <c r="Q722" s="32">
        <f>IF($B$722="","",SUMIFS(Opex_Budget!$X:$X,Opex_Budget!$A:$A,$C$3,Opex_Budget!$E:$E,$B$722,Opex_Budget!$F:$F,$D$722,Opex_Budget!$N:$N,"JPY")*$E$5+SUMIFS(Opex_Budget!$X:$X,Opex_Budget!$A:$A,$C$3,Opex_Budget!$E:$E,$B$722,Opex_Budget!$F:$F,$D$722,Opex_Budget!$N:$N,"USD")*$F$5+SUMIFS(Opex_Budget!$X:$X,Opex_Budget!$A:$A,$C$3,Opex_Budget!$E:$E,$B$722,Opex_Budget!$F:$F,$D$722,Opex_Budget!$N:$N,"EUR")*$G$5+SUMIFS(Opex_Budget!$X:$X,Opex_Budget!$A:$A,$C$3,Opex_Budget!$E:$E,$B$722,Opex_Budget!$F:$F,$D$722,Opex_Budget!$N:$N,"GBP")*$H$5)</f>
        <v/>
      </c>
      <c r="R722" s="32">
        <f>IF($B$722="","",SUMIFS(Opex_Budget!$Y:$Y,Opex_Budget!$A:$A,$C$3,Opex_Budget!$E:$E,$B$722,Opex_Budget!$F:$F,$D$722,Opex_Budget!$N:$N,"JPY")*$E$5+SUMIFS(Opex_Budget!$Y:$Y,Opex_Budget!$A:$A,$C$3,Opex_Budget!$E:$E,$B$722,Opex_Budget!$F:$F,$D$722,Opex_Budget!$N:$N,"USD")*$F$5+SUMIFS(Opex_Budget!$Y:$Y,Opex_Budget!$A:$A,$C$3,Opex_Budget!$E:$E,$B$722,Opex_Budget!$F:$F,$D$722,Opex_Budget!$N:$N,"EUR")*$G$5+SUMIFS(Opex_Budget!$Y:$Y,Opex_Budget!$A:$A,$C$3,Opex_Budget!$E:$E,$B$722,Opex_Budget!$F:$F,$D$722,Opex_Budget!$N:$N,"GBP")*$H$5)</f>
        <v/>
      </c>
      <c r="S722" s="32">
        <f>IF($B$722="","",SUMIFS(Opex_Budget!$Z:$Z,Opex_Budget!$A:$A,$C$3,Opex_Budget!$E:$E,$B$722,Opex_Budget!$F:$F,$D$722,Opex_Budget!$N:$N,"JPY")*$E$5+SUMIFS(Opex_Budget!$Z:$Z,Opex_Budget!$A:$A,$C$3,Opex_Budget!$E:$E,$B$722,Opex_Budget!$F:$F,$D$722,Opex_Budget!$N:$N,"USD")*$F$5+SUMIFS(Opex_Budget!$Z:$Z,Opex_Budget!$A:$A,$C$3,Opex_Budget!$E:$E,$B$722,Opex_Budget!$F:$F,$D$722,Opex_Budget!$N:$N,"EUR")*$G$5+SUMIFS(Opex_Budget!$Z:$Z,Opex_Budget!$A:$A,$C$3,Opex_Budget!$E:$E,$B$722,Opex_Budget!$F:$F,$D$722,Opex_Budget!$N:$N,"GBP")*$H$5)</f>
        <v/>
      </c>
      <c r="T722" s="32">
        <f>IF($B$722="","",SUMIF($H$7:$S$7,"&lt;="&amp;$C$4,$H722:$S722))</f>
        <v/>
      </c>
      <c r="U722" s="32">
        <f>IF($B$722="","",SUMIF($H$7:$S$7,"&gt;"&amp;$C$4,$H722:$S722))</f>
        <v/>
      </c>
      <c r="V722" s="32">
        <f>IF($B$722="","",SUM($H722:$S722))</f>
        <v/>
      </c>
      <c r="X722" s="22">
        <f>IF($B722="","",IFERROR(INDEX(Cost_Centers!$E:$E,MATCH($B722,Cost_Centers!$A:$A,0)),"(unknown)"))</f>
        <v/>
      </c>
      <c r="Y722" s="22">
        <f>IF($B722="","",IFERROR(INDEX(Cost_Centers!$D:$D,MATCH($B722,Cost_Centers!$A:$A,0)),"(unknown)"))</f>
        <v/>
      </c>
      <c r="Z722" s="22">
        <f>IF(OR($B722="",$G722&lt;&gt;"Variance vs Budget"),"",ABS(N($V722))+ROW()/1000000000)</f>
        <v/>
      </c>
    </row>
    <row r="723">
      <c r="A723" s="13">
        <f>IF(A$722="","",A$722)</f>
        <v/>
      </c>
      <c r="B723" s="13">
        <f>IF(B$722="","",B$722)</f>
        <v/>
      </c>
      <c r="C723" s="13">
        <f>IF(C$722="","",C$722)</f>
        <v/>
      </c>
      <c r="D723" s="13">
        <f>IF(D$722="","",D$722)</f>
        <v/>
      </c>
      <c r="E723" s="13">
        <f>IF(E$722="","",E$722)</f>
        <v/>
      </c>
      <c r="F723" s="13">
        <f>IF(F$722="","",F$722)</f>
        <v/>
      </c>
      <c r="G723" s="7" t="inlineStr">
        <is>
          <t>Actual</t>
        </is>
      </c>
      <c r="H723" s="18">
        <f>IF(OR($B$722="",1&gt;$C$4),"",SUMIFS(Actuals!$G:$G,Actuals!$B:$B,$C$3,Actuals!$C:$C,1,Actuals!$D:$D,$B$722,Actuals!$A:$A,LEFT($D$722,FIND("|",$D$722&amp;"|")-1),Actuals!$E:$E,MID($D$722,FIND("|",$D$722&amp;"|")+1,50),Actuals!$F:$F,"JPY")*$E$5+SUMIFS(Actuals!$G:$G,Actuals!$B:$B,$C$3,Actuals!$C:$C,1,Actuals!$D:$D,$B$722,Actuals!$A:$A,LEFT($D$722,FIND("|",$D$722&amp;"|")-1),Actuals!$E:$E,MID($D$722,FIND("|",$D$722&amp;"|")+1,50),Actuals!$F:$F,"USD")*$F$5+SUMIFS(Actuals!$G:$G,Actuals!$B:$B,$C$3,Actuals!$C:$C,1,Actuals!$D:$D,$B$722,Actuals!$A:$A,LEFT($D$722,FIND("|",$D$722&amp;"|")-1),Actuals!$E:$E,MID($D$722,FIND("|",$D$722&amp;"|")+1,50),Actuals!$F:$F,"EUR")*$G$5+SUMIFS(Actuals!$G:$G,Actuals!$B:$B,$C$3,Actuals!$C:$C,1,Actuals!$D:$D,$B$722,Actuals!$A:$A,LEFT($D$722,FIND("|",$D$722&amp;"|")-1),Actuals!$E:$E,MID($D$722,FIND("|",$D$722&amp;"|")+1,50),Actuals!$F:$F,"GBP")*$H$5)</f>
        <v/>
      </c>
      <c r="I723" s="18">
        <f>IF(OR($B$722="",2&gt;$C$4),"",SUMIFS(Actuals!$G:$G,Actuals!$B:$B,$C$3,Actuals!$C:$C,2,Actuals!$D:$D,$B$722,Actuals!$A:$A,LEFT($D$722,FIND("|",$D$722&amp;"|")-1),Actuals!$E:$E,MID($D$722,FIND("|",$D$722&amp;"|")+1,50),Actuals!$F:$F,"JPY")*$E$5+SUMIFS(Actuals!$G:$G,Actuals!$B:$B,$C$3,Actuals!$C:$C,2,Actuals!$D:$D,$B$722,Actuals!$A:$A,LEFT($D$722,FIND("|",$D$722&amp;"|")-1),Actuals!$E:$E,MID($D$722,FIND("|",$D$722&amp;"|")+1,50),Actuals!$F:$F,"USD")*$F$5+SUMIFS(Actuals!$G:$G,Actuals!$B:$B,$C$3,Actuals!$C:$C,2,Actuals!$D:$D,$B$722,Actuals!$A:$A,LEFT($D$722,FIND("|",$D$722&amp;"|")-1),Actuals!$E:$E,MID($D$722,FIND("|",$D$722&amp;"|")+1,50),Actuals!$F:$F,"EUR")*$G$5+SUMIFS(Actuals!$G:$G,Actuals!$B:$B,$C$3,Actuals!$C:$C,2,Actuals!$D:$D,$B$722,Actuals!$A:$A,LEFT($D$722,FIND("|",$D$722&amp;"|")-1),Actuals!$E:$E,MID($D$722,FIND("|",$D$722&amp;"|")+1,50),Actuals!$F:$F,"GBP")*$H$5)</f>
        <v/>
      </c>
      <c r="J723" s="18">
        <f>IF(OR($B$722="",3&gt;$C$4),"",SUMIFS(Actuals!$G:$G,Actuals!$B:$B,$C$3,Actuals!$C:$C,3,Actuals!$D:$D,$B$722,Actuals!$A:$A,LEFT($D$722,FIND("|",$D$722&amp;"|")-1),Actuals!$E:$E,MID($D$722,FIND("|",$D$722&amp;"|")+1,50),Actuals!$F:$F,"JPY")*$E$5+SUMIFS(Actuals!$G:$G,Actuals!$B:$B,$C$3,Actuals!$C:$C,3,Actuals!$D:$D,$B$722,Actuals!$A:$A,LEFT($D$722,FIND("|",$D$722&amp;"|")-1),Actuals!$E:$E,MID($D$722,FIND("|",$D$722&amp;"|")+1,50),Actuals!$F:$F,"USD")*$F$5+SUMIFS(Actuals!$G:$G,Actuals!$B:$B,$C$3,Actuals!$C:$C,3,Actuals!$D:$D,$B$722,Actuals!$A:$A,LEFT($D$722,FIND("|",$D$722&amp;"|")-1),Actuals!$E:$E,MID($D$722,FIND("|",$D$722&amp;"|")+1,50),Actuals!$F:$F,"EUR")*$G$5+SUMIFS(Actuals!$G:$G,Actuals!$B:$B,$C$3,Actuals!$C:$C,3,Actuals!$D:$D,$B$722,Actuals!$A:$A,LEFT($D$722,FIND("|",$D$722&amp;"|")-1),Actuals!$E:$E,MID($D$722,FIND("|",$D$722&amp;"|")+1,50),Actuals!$F:$F,"GBP")*$H$5)</f>
        <v/>
      </c>
      <c r="K723" s="18">
        <f>IF(OR($B$722="",4&gt;$C$4),"",SUMIFS(Actuals!$G:$G,Actuals!$B:$B,$C$3,Actuals!$C:$C,4,Actuals!$D:$D,$B$722,Actuals!$A:$A,LEFT($D$722,FIND("|",$D$722&amp;"|")-1),Actuals!$E:$E,MID($D$722,FIND("|",$D$722&amp;"|")+1,50),Actuals!$F:$F,"JPY")*$E$5+SUMIFS(Actuals!$G:$G,Actuals!$B:$B,$C$3,Actuals!$C:$C,4,Actuals!$D:$D,$B$722,Actuals!$A:$A,LEFT($D$722,FIND("|",$D$722&amp;"|")-1),Actuals!$E:$E,MID($D$722,FIND("|",$D$722&amp;"|")+1,50),Actuals!$F:$F,"USD")*$F$5+SUMIFS(Actuals!$G:$G,Actuals!$B:$B,$C$3,Actuals!$C:$C,4,Actuals!$D:$D,$B$722,Actuals!$A:$A,LEFT($D$722,FIND("|",$D$722&amp;"|")-1),Actuals!$E:$E,MID($D$722,FIND("|",$D$722&amp;"|")+1,50),Actuals!$F:$F,"EUR")*$G$5+SUMIFS(Actuals!$G:$G,Actuals!$B:$B,$C$3,Actuals!$C:$C,4,Actuals!$D:$D,$B$722,Actuals!$A:$A,LEFT($D$722,FIND("|",$D$722&amp;"|")-1),Actuals!$E:$E,MID($D$722,FIND("|",$D$722&amp;"|")+1,50),Actuals!$F:$F,"GBP")*$H$5)</f>
        <v/>
      </c>
      <c r="L723" s="18">
        <f>IF(OR($B$722="",5&gt;$C$4),"",SUMIFS(Actuals!$G:$G,Actuals!$B:$B,$C$3,Actuals!$C:$C,5,Actuals!$D:$D,$B$722,Actuals!$A:$A,LEFT($D$722,FIND("|",$D$722&amp;"|")-1),Actuals!$E:$E,MID($D$722,FIND("|",$D$722&amp;"|")+1,50),Actuals!$F:$F,"JPY")*$E$5+SUMIFS(Actuals!$G:$G,Actuals!$B:$B,$C$3,Actuals!$C:$C,5,Actuals!$D:$D,$B$722,Actuals!$A:$A,LEFT($D$722,FIND("|",$D$722&amp;"|")-1),Actuals!$E:$E,MID($D$722,FIND("|",$D$722&amp;"|")+1,50),Actuals!$F:$F,"USD")*$F$5+SUMIFS(Actuals!$G:$G,Actuals!$B:$B,$C$3,Actuals!$C:$C,5,Actuals!$D:$D,$B$722,Actuals!$A:$A,LEFT($D$722,FIND("|",$D$722&amp;"|")-1),Actuals!$E:$E,MID($D$722,FIND("|",$D$722&amp;"|")+1,50),Actuals!$F:$F,"EUR")*$G$5+SUMIFS(Actuals!$G:$G,Actuals!$B:$B,$C$3,Actuals!$C:$C,5,Actuals!$D:$D,$B$722,Actuals!$A:$A,LEFT($D$722,FIND("|",$D$722&amp;"|")-1),Actuals!$E:$E,MID($D$722,FIND("|",$D$722&amp;"|")+1,50),Actuals!$F:$F,"GBP")*$H$5)</f>
        <v/>
      </c>
      <c r="M723" s="18">
        <f>IF(OR($B$722="",6&gt;$C$4),"",SUMIFS(Actuals!$G:$G,Actuals!$B:$B,$C$3,Actuals!$C:$C,6,Actuals!$D:$D,$B$722,Actuals!$A:$A,LEFT($D$722,FIND("|",$D$722&amp;"|")-1),Actuals!$E:$E,MID($D$722,FIND("|",$D$722&amp;"|")+1,50),Actuals!$F:$F,"JPY")*$E$5+SUMIFS(Actuals!$G:$G,Actuals!$B:$B,$C$3,Actuals!$C:$C,6,Actuals!$D:$D,$B$722,Actuals!$A:$A,LEFT($D$722,FIND("|",$D$722&amp;"|")-1),Actuals!$E:$E,MID($D$722,FIND("|",$D$722&amp;"|")+1,50),Actuals!$F:$F,"USD")*$F$5+SUMIFS(Actuals!$G:$G,Actuals!$B:$B,$C$3,Actuals!$C:$C,6,Actuals!$D:$D,$B$722,Actuals!$A:$A,LEFT($D$722,FIND("|",$D$722&amp;"|")-1),Actuals!$E:$E,MID($D$722,FIND("|",$D$722&amp;"|")+1,50),Actuals!$F:$F,"EUR")*$G$5+SUMIFS(Actuals!$G:$G,Actuals!$B:$B,$C$3,Actuals!$C:$C,6,Actuals!$D:$D,$B$722,Actuals!$A:$A,LEFT($D$722,FIND("|",$D$722&amp;"|")-1),Actuals!$E:$E,MID($D$722,FIND("|",$D$722&amp;"|")+1,50),Actuals!$F:$F,"GBP")*$H$5)</f>
        <v/>
      </c>
      <c r="N723" s="18">
        <f>IF(OR($B$722="",7&gt;$C$4),"",SUMIFS(Actuals!$G:$G,Actuals!$B:$B,$C$3,Actuals!$C:$C,7,Actuals!$D:$D,$B$722,Actuals!$A:$A,LEFT($D$722,FIND("|",$D$722&amp;"|")-1),Actuals!$E:$E,MID($D$722,FIND("|",$D$722&amp;"|")+1,50),Actuals!$F:$F,"JPY")*$E$5+SUMIFS(Actuals!$G:$G,Actuals!$B:$B,$C$3,Actuals!$C:$C,7,Actuals!$D:$D,$B$722,Actuals!$A:$A,LEFT($D$722,FIND("|",$D$722&amp;"|")-1),Actuals!$E:$E,MID($D$722,FIND("|",$D$722&amp;"|")+1,50),Actuals!$F:$F,"USD")*$F$5+SUMIFS(Actuals!$G:$G,Actuals!$B:$B,$C$3,Actuals!$C:$C,7,Actuals!$D:$D,$B$722,Actuals!$A:$A,LEFT($D$722,FIND("|",$D$722&amp;"|")-1),Actuals!$E:$E,MID($D$722,FIND("|",$D$722&amp;"|")+1,50),Actuals!$F:$F,"EUR")*$G$5+SUMIFS(Actuals!$G:$G,Actuals!$B:$B,$C$3,Actuals!$C:$C,7,Actuals!$D:$D,$B$722,Actuals!$A:$A,LEFT($D$722,FIND("|",$D$722&amp;"|")-1),Actuals!$E:$E,MID($D$722,FIND("|",$D$722&amp;"|")+1,50),Actuals!$F:$F,"GBP")*$H$5)</f>
        <v/>
      </c>
      <c r="O723" s="18">
        <f>IF(OR($B$722="",8&gt;$C$4),"",SUMIFS(Actuals!$G:$G,Actuals!$B:$B,$C$3,Actuals!$C:$C,8,Actuals!$D:$D,$B$722,Actuals!$A:$A,LEFT($D$722,FIND("|",$D$722&amp;"|")-1),Actuals!$E:$E,MID($D$722,FIND("|",$D$722&amp;"|")+1,50),Actuals!$F:$F,"JPY")*$E$5+SUMIFS(Actuals!$G:$G,Actuals!$B:$B,$C$3,Actuals!$C:$C,8,Actuals!$D:$D,$B$722,Actuals!$A:$A,LEFT($D$722,FIND("|",$D$722&amp;"|")-1),Actuals!$E:$E,MID($D$722,FIND("|",$D$722&amp;"|")+1,50),Actuals!$F:$F,"USD")*$F$5+SUMIFS(Actuals!$G:$G,Actuals!$B:$B,$C$3,Actuals!$C:$C,8,Actuals!$D:$D,$B$722,Actuals!$A:$A,LEFT($D$722,FIND("|",$D$722&amp;"|")-1),Actuals!$E:$E,MID($D$722,FIND("|",$D$722&amp;"|")+1,50),Actuals!$F:$F,"EUR")*$G$5+SUMIFS(Actuals!$G:$G,Actuals!$B:$B,$C$3,Actuals!$C:$C,8,Actuals!$D:$D,$B$722,Actuals!$A:$A,LEFT($D$722,FIND("|",$D$722&amp;"|")-1),Actuals!$E:$E,MID($D$722,FIND("|",$D$722&amp;"|")+1,50),Actuals!$F:$F,"GBP")*$H$5)</f>
        <v/>
      </c>
      <c r="P723" s="18">
        <f>IF(OR($B$722="",9&gt;$C$4),"",SUMIFS(Actuals!$G:$G,Actuals!$B:$B,$C$3,Actuals!$C:$C,9,Actuals!$D:$D,$B$722,Actuals!$A:$A,LEFT($D$722,FIND("|",$D$722&amp;"|")-1),Actuals!$E:$E,MID($D$722,FIND("|",$D$722&amp;"|")+1,50),Actuals!$F:$F,"JPY")*$E$5+SUMIFS(Actuals!$G:$G,Actuals!$B:$B,$C$3,Actuals!$C:$C,9,Actuals!$D:$D,$B$722,Actuals!$A:$A,LEFT($D$722,FIND("|",$D$722&amp;"|")-1),Actuals!$E:$E,MID($D$722,FIND("|",$D$722&amp;"|")+1,50),Actuals!$F:$F,"USD")*$F$5+SUMIFS(Actuals!$G:$G,Actuals!$B:$B,$C$3,Actuals!$C:$C,9,Actuals!$D:$D,$B$722,Actuals!$A:$A,LEFT($D$722,FIND("|",$D$722&amp;"|")-1),Actuals!$E:$E,MID($D$722,FIND("|",$D$722&amp;"|")+1,50),Actuals!$F:$F,"EUR")*$G$5+SUMIFS(Actuals!$G:$G,Actuals!$B:$B,$C$3,Actuals!$C:$C,9,Actuals!$D:$D,$B$722,Actuals!$A:$A,LEFT($D$722,FIND("|",$D$722&amp;"|")-1),Actuals!$E:$E,MID($D$722,FIND("|",$D$722&amp;"|")+1,50),Actuals!$F:$F,"GBP")*$H$5)</f>
        <v/>
      </c>
      <c r="Q723" s="18">
        <f>IF(OR($B$722="",10&gt;$C$4),"",SUMIFS(Actuals!$G:$G,Actuals!$B:$B,$C$3,Actuals!$C:$C,10,Actuals!$D:$D,$B$722,Actuals!$A:$A,LEFT($D$722,FIND("|",$D$722&amp;"|")-1),Actuals!$E:$E,MID($D$722,FIND("|",$D$722&amp;"|")+1,50),Actuals!$F:$F,"JPY")*$E$5+SUMIFS(Actuals!$G:$G,Actuals!$B:$B,$C$3,Actuals!$C:$C,10,Actuals!$D:$D,$B$722,Actuals!$A:$A,LEFT($D$722,FIND("|",$D$722&amp;"|")-1),Actuals!$E:$E,MID($D$722,FIND("|",$D$722&amp;"|")+1,50),Actuals!$F:$F,"USD")*$F$5+SUMIFS(Actuals!$G:$G,Actuals!$B:$B,$C$3,Actuals!$C:$C,10,Actuals!$D:$D,$B$722,Actuals!$A:$A,LEFT($D$722,FIND("|",$D$722&amp;"|")-1),Actuals!$E:$E,MID($D$722,FIND("|",$D$722&amp;"|")+1,50),Actuals!$F:$F,"EUR")*$G$5+SUMIFS(Actuals!$G:$G,Actuals!$B:$B,$C$3,Actuals!$C:$C,10,Actuals!$D:$D,$B$722,Actuals!$A:$A,LEFT($D$722,FIND("|",$D$722&amp;"|")-1),Actuals!$E:$E,MID($D$722,FIND("|",$D$722&amp;"|")+1,50),Actuals!$F:$F,"GBP")*$H$5)</f>
        <v/>
      </c>
      <c r="R723" s="18">
        <f>IF(OR($B$722="",11&gt;$C$4),"",SUMIFS(Actuals!$G:$G,Actuals!$B:$B,$C$3,Actuals!$C:$C,11,Actuals!$D:$D,$B$722,Actuals!$A:$A,LEFT($D$722,FIND("|",$D$722&amp;"|")-1),Actuals!$E:$E,MID($D$722,FIND("|",$D$722&amp;"|")+1,50),Actuals!$F:$F,"JPY")*$E$5+SUMIFS(Actuals!$G:$G,Actuals!$B:$B,$C$3,Actuals!$C:$C,11,Actuals!$D:$D,$B$722,Actuals!$A:$A,LEFT($D$722,FIND("|",$D$722&amp;"|")-1),Actuals!$E:$E,MID($D$722,FIND("|",$D$722&amp;"|")+1,50),Actuals!$F:$F,"USD")*$F$5+SUMIFS(Actuals!$G:$G,Actuals!$B:$B,$C$3,Actuals!$C:$C,11,Actuals!$D:$D,$B$722,Actuals!$A:$A,LEFT($D$722,FIND("|",$D$722&amp;"|")-1),Actuals!$E:$E,MID($D$722,FIND("|",$D$722&amp;"|")+1,50),Actuals!$F:$F,"EUR")*$G$5+SUMIFS(Actuals!$G:$G,Actuals!$B:$B,$C$3,Actuals!$C:$C,11,Actuals!$D:$D,$B$722,Actuals!$A:$A,LEFT($D$722,FIND("|",$D$722&amp;"|")-1),Actuals!$E:$E,MID($D$722,FIND("|",$D$722&amp;"|")+1,50),Actuals!$F:$F,"GBP")*$H$5)</f>
        <v/>
      </c>
      <c r="S723" s="18">
        <f>IF(OR($B$722="",12&gt;$C$4),"",SUMIFS(Actuals!$G:$G,Actuals!$B:$B,$C$3,Actuals!$C:$C,12,Actuals!$D:$D,$B$722,Actuals!$A:$A,LEFT($D$722,FIND("|",$D$722&amp;"|")-1),Actuals!$E:$E,MID($D$722,FIND("|",$D$722&amp;"|")+1,50),Actuals!$F:$F,"JPY")*$E$5+SUMIFS(Actuals!$G:$G,Actuals!$B:$B,$C$3,Actuals!$C:$C,12,Actuals!$D:$D,$B$722,Actuals!$A:$A,LEFT($D$722,FIND("|",$D$722&amp;"|")-1),Actuals!$E:$E,MID($D$722,FIND("|",$D$722&amp;"|")+1,50),Actuals!$F:$F,"USD")*$F$5+SUMIFS(Actuals!$G:$G,Actuals!$B:$B,$C$3,Actuals!$C:$C,12,Actuals!$D:$D,$B$722,Actuals!$A:$A,LEFT($D$722,FIND("|",$D$722&amp;"|")-1),Actuals!$E:$E,MID($D$722,FIND("|",$D$722&amp;"|")+1,50),Actuals!$F:$F,"EUR")*$G$5+SUMIFS(Actuals!$G:$G,Actuals!$B:$B,$C$3,Actuals!$C:$C,12,Actuals!$D:$D,$B$722,Actuals!$A:$A,LEFT($D$722,FIND("|",$D$722&amp;"|")-1),Actuals!$E:$E,MID($D$722,FIND("|",$D$722&amp;"|")+1,50),Actuals!$F:$F,"GBP")*$H$5)</f>
        <v/>
      </c>
      <c r="T723" s="18">
        <f>IF($B$722="","",SUMIF($H$7:$S$7,"&lt;="&amp;$C$4,$H723:$S723))</f>
        <v/>
      </c>
      <c r="U723" s="18" t="n"/>
      <c r="V723" s="18" t="n"/>
      <c r="X723" s="22">
        <f>IF($B723="","",IFERROR(INDEX(Cost_Centers!$E:$E,MATCH($B723,Cost_Centers!$A:$A,0)),"(unknown)"))</f>
        <v/>
      </c>
      <c r="Y723" s="22">
        <f>IF($B723="","",IFERROR(INDEX(Cost_Centers!$D:$D,MATCH($B723,Cost_Centers!$A:$A,0)),"(unknown)"))</f>
        <v/>
      </c>
      <c r="Z723" s="22">
        <f>IF(OR($B723="",$G723&lt;&gt;"Variance vs Budget"),"",ABS(N($V723))+ROW()/1000000000)</f>
        <v/>
      </c>
    </row>
    <row r="724">
      <c r="A724" s="13">
        <f>IF(A$722="","",A$722)</f>
        <v/>
      </c>
      <c r="B724" s="13">
        <f>IF(B$722="","",B$722)</f>
        <v/>
      </c>
      <c r="C724" s="13">
        <f>IF(C$722="","",C$722)</f>
        <v/>
      </c>
      <c r="D724" s="13">
        <f>IF(D$722="","",D$722)</f>
        <v/>
      </c>
      <c r="E724" s="13">
        <f>IF(E$722="","",E$722)</f>
        <v/>
      </c>
      <c r="F724" s="13">
        <f>IF(F$722="","",F$722)</f>
        <v/>
      </c>
      <c r="G724" s="6" t="inlineStr">
        <is>
          <t>Variance vs Budget</t>
        </is>
      </c>
      <c r="H724" s="33">
        <f>IF(OR($B$722="",1&gt;$C$4),"",N(H723)-H722)</f>
        <v/>
      </c>
      <c r="I724" s="33">
        <f>IF(OR($B$722="",2&gt;$C$4),"",N(I723)-I722)</f>
        <v/>
      </c>
      <c r="J724" s="33">
        <f>IF(OR($B$722="",3&gt;$C$4),"",N(J723)-J722)</f>
        <v/>
      </c>
      <c r="K724" s="33">
        <f>IF(OR($B$722="",4&gt;$C$4),"",N(K723)-K722)</f>
        <v/>
      </c>
      <c r="L724" s="33">
        <f>IF(OR($B$722="",5&gt;$C$4),"",N(L723)-L722)</f>
        <v/>
      </c>
      <c r="M724" s="33">
        <f>IF(OR($B$722="",6&gt;$C$4),"",N(M723)-M722)</f>
        <v/>
      </c>
      <c r="N724" s="33">
        <f>IF(OR($B$722="",7&gt;$C$4),"",N(N723)-N722)</f>
        <v/>
      </c>
      <c r="O724" s="33">
        <f>IF(OR($B$722="",8&gt;$C$4),"",N(O723)-O722)</f>
        <v/>
      </c>
      <c r="P724" s="33">
        <f>IF(OR($B$722="",9&gt;$C$4),"",N(P723)-P722)</f>
        <v/>
      </c>
      <c r="Q724" s="33">
        <f>IF(OR($B$722="",10&gt;$C$4),"",N(Q723)-Q722)</f>
        <v/>
      </c>
      <c r="R724" s="33">
        <f>IF(OR($B$722="",11&gt;$C$4),"",N(R723)-R722)</f>
        <v/>
      </c>
      <c r="S724" s="33">
        <f>IF(OR($B$722="",12&gt;$C$4),"",N(S723)-S722)</f>
        <v/>
      </c>
      <c r="T724" s="33">
        <f>IF($B$722="","",T723-T722)</f>
        <v/>
      </c>
      <c r="U724" s="33">
        <f>IF($B$722="","",U726-U722)</f>
        <v/>
      </c>
      <c r="V724" s="33">
        <f>IF($B$722="","",V726-V722)</f>
        <v/>
      </c>
      <c r="X724" s="22">
        <f>IF($B724="","",IFERROR(INDEX(Cost_Centers!$E:$E,MATCH($B724,Cost_Centers!$A:$A,0)),"(unknown)"))</f>
        <v/>
      </c>
      <c r="Y724" s="22">
        <f>IF($B724="","",IFERROR(INDEX(Cost_Centers!$D:$D,MATCH($B724,Cost_Centers!$A:$A,0)),"(unknown)"))</f>
        <v/>
      </c>
      <c r="Z724" s="22">
        <f>IF(OR($B724="",$G724&lt;&gt;"Variance vs Budget"),"",ABS(N($V724))+ROW()/1000000000)</f>
        <v/>
      </c>
    </row>
    <row r="725">
      <c r="A725" s="13">
        <f>IF(A$722="","",A$722)</f>
        <v/>
      </c>
      <c r="B725" s="13">
        <f>IF(B$722="","",B$722)</f>
        <v/>
      </c>
      <c r="C725" s="13">
        <f>IF(C$722="","",C$722)</f>
        <v/>
      </c>
      <c r="D725" s="13">
        <f>IF(D$722="","",D$722)</f>
        <v/>
      </c>
      <c r="E725" s="13">
        <f>IF(E$722="","",E$722)</f>
        <v/>
      </c>
      <c r="F725" s="13">
        <f>IF(F$722="","",F$722)</f>
        <v/>
      </c>
      <c r="G725" s="7" t="inlineStr">
        <is>
          <t>Forecast (input)</t>
        </is>
      </c>
      <c r="H725" s="34" t="n"/>
      <c r="I725" s="34" t="n"/>
      <c r="J725" s="34" t="n"/>
      <c r="K725" s="34" t="n"/>
      <c r="L725" s="34" t="n"/>
      <c r="M725" s="34" t="n"/>
      <c r="N725" s="34" t="n"/>
      <c r="O725" s="34" t="n"/>
      <c r="P725" s="34" t="n"/>
      <c r="Q725" s="34" t="n"/>
      <c r="R725" s="34" t="n"/>
      <c r="S725" s="34" t="n"/>
      <c r="T725" s="18" t="n"/>
      <c r="U725" s="18" t="n"/>
      <c r="V725" s="18" t="n"/>
      <c r="X725" s="22">
        <f>IF($B725="","",IFERROR(INDEX(Cost_Centers!$E:$E,MATCH($B725,Cost_Centers!$A:$A,0)),"(unknown)"))</f>
        <v/>
      </c>
      <c r="Y725" s="22">
        <f>IF($B725="","",IFERROR(INDEX(Cost_Centers!$D:$D,MATCH($B725,Cost_Centers!$A:$A,0)),"(unknown)"))</f>
        <v/>
      </c>
      <c r="Z725" s="22">
        <f>IF(OR($B725="",$G725&lt;&gt;"Variance vs Budget"),"",ABS(N($V725))+ROW()/1000000000)</f>
        <v/>
      </c>
    </row>
    <row r="726">
      <c r="A726" s="13">
        <f>IF(A$722="","",A$722)</f>
        <v/>
      </c>
      <c r="B726" s="13">
        <f>IF(B$722="","",B$722)</f>
        <v/>
      </c>
      <c r="C726" s="13">
        <f>IF(C$722="","",C$722)</f>
        <v/>
      </c>
      <c r="D726" s="13">
        <f>IF(D$722="","",D$722)</f>
        <v/>
      </c>
      <c r="E726" s="13">
        <f>IF(E$722="","",E$722)</f>
        <v/>
      </c>
      <c r="F726" s="13">
        <f>IF(F$722="","",F$722)</f>
        <v/>
      </c>
      <c r="G726" s="35" t="inlineStr">
        <is>
          <t>Actual + Forecast</t>
        </is>
      </c>
      <c r="H726" s="18">
        <f>IF($B$722="","",IF(1&lt;=$C$4,N(H723),IF(H725="",H722,H725)))</f>
        <v/>
      </c>
      <c r="I726" s="18">
        <f>IF($B$722="","",IF(2&lt;=$C$4,N(I723),IF(I725="",I722,I725)))</f>
        <v/>
      </c>
      <c r="J726" s="18">
        <f>IF($B$722="","",IF(3&lt;=$C$4,N(J723),IF(J725="",J722,J725)))</f>
        <v/>
      </c>
      <c r="K726" s="18">
        <f>IF($B$722="","",IF(4&lt;=$C$4,N(K723),IF(K725="",K722,K725)))</f>
        <v/>
      </c>
      <c r="L726" s="18">
        <f>IF($B$722="","",IF(5&lt;=$C$4,N(L723),IF(L725="",L722,L725)))</f>
        <v/>
      </c>
      <c r="M726" s="18">
        <f>IF($B$722="","",IF(6&lt;=$C$4,N(M723),IF(M725="",M722,M725)))</f>
        <v/>
      </c>
      <c r="N726" s="18">
        <f>IF($B$722="","",IF(7&lt;=$C$4,N(N723),IF(N725="",N722,N725)))</f>
        <v/>
      </c>
      <c r="O726" s="18">
        <f>IF($B$722="","",IF(8&lt;=$C$4,N(O723),IF(O725="",O722,O725)))</f>
        <v/>
      </c>
      <c r="P726" s="18">
        <f>IF($B$722="","",IF(9&lt;=$C$4,N(P723),IF(P725="",P722,P725)))</f>
        <v/>
      </c>
      <c r="Q726" s="18">
        <f>IF($B$722="","",IF(10&lt;=$C$4,N(Q723),IF(Q725="",Q722,Q725)))</f>
        <v/>
      </c>
      <c r="R726" s="18">
        <f>IF($B$722="","",IF(11&lt;=$C$4,N(R723),IF(R725="",R722,R725)))</f>
        <v/>
      </c>
      <c r="S726" s="18">
        <f>IF($B$722="","",IF(12&lt;=$C$4,N(S723),IF(S725="",S722,S725)))</f>
        <v/>
      </c>
      <c r="T726" s="18">
        <f>IF($B$722="","",SUMIF($H$7:$S$7,"&lt;="&amp;$C$4,$H726:$S726))</f>
        <v/>
      </c>
      <c r="U726" s="18">
        <f>IF($B$722="","",SUMIF($H$7:$S$7,"&gt;"&amp;$C$4,$H726:$S726))</f>
        <v/>
      </c>
      <c r="V726" s="18">
        <f>IF($B$722="","",SUM($H726:$S726))</f>
        <v/>
      </c>
      <c r="X726" s="22">
        <f>IF($B726="","",IFERROR(INDEX(Cost_Centers!$E:$E,MATCH($B726,Cost_Centers!$A:$A,0)),"(unknown)"))</f>
        <v/>
      </c>
      <c r="Y726" s="22">
        <f>IF($B726="","",IFERROR(INDEX(Cost_Centers!$D:$D,MATCH($B726,Cost_Centers!$A:$A,0)),"(unknown)"))</f>
        <v/>
      </c>
      <c r="Z726" s="22">
        <f>IF(OR($B726="",$G726&lt;&gt;"Variance vs Budget"),"",ABS(N($V726))+ROW()/1000000000)</f>
        <v/>
      </c>
    </row>
    <row r="727">
      <c r="A727" s="13">
        <f>IF(A$722="","",A$722)</f>
        <v/>
      </c>
      <c r="B727" s="13">
        <f>IF(B$722="","",B$722)</f>
        <v/>
      </c>
      <c r="C727" s="13">
        <f>IF(C$722="","",C$722)</f>
        <v/>
      </c>
      <c r="D727" s="13">
        <f>IF(D$722="","",D$722)</f>
        <v/>
      </c>
      <c r="E727" s="13">
        <f>IF(E$722="","",E$722)</f>
        <v/>
      </c>
      <c r="F727" s="13">
        <f>IF(F$722="","",F$722)</f>
        <v/>
      </c>
      <c r="G727" s="36" t="inlineStr">
        <is>
          <t>Prior Month Forecast</t>
        </is>
      </c>
      <c r="H727" s="37">
        <f>IF($B$722="","",IF(COUNTIFS(Prior_Forecast!$A:$A,$B$722,Prior_Forecast!$B:$B,$D$722)&gt;0,SUMIFS(Prior_Forecast!$C:$C,Prior_Forecast!$A:$A,$B$722,Prior_Forecast!$B:$B,$D$722),""))</f>
        <v/>
      </c>
      <c r="I727" s="37">
        <f>IF($B$722="","",IF(COUNTIFS(Prior_Forecast!$A:$A,$B$722,Prior_Forecast!$B:$B,$D$722)&gt;0,SUMIFS(Prior_Forecast!$D:$D,Prior_Forecast!$A:$A,$B$722,Prior_Forecast!$B:$B,$D$722),""))</f>
        <v/>
      </c>
      <c r="J727" s="37">
        <f>IF($B$722="","",IF(COUNTIFS(Prior_Forecast!$A:$A,$B$722,Prior_Forecast!$B:$B,$D$722)&gt;0,SUMIFS(Prior_Forecast!$E:$E,Prior_Forecast!$A:$A,$B$722,Prior_Forecast!$B:$B,$D$722),""))</f>
        <v/>
      </c>
      <c r="K727" s="37">
        <f>IF($B$722="","",IF(COUNTIFS(Prior_Forecast!$A:$A,$B$722,Prior_Forecast!$B:$B,$D$722)&gt;0,SUMIFS(Prior_Forecast!$F:$F,Prior_Forecast!$A:$A,$B$722,Prior_Forecast!$B:$B,$D$722),""))</f>
        <v/>
      </c>
      <c r="L727" s="37">
        <f>IF($B$722="","",IF(COUNTIFS(Prior_Forecast!$A:$A,$B$722,Prior_Forecast!$B:$B,$D$722)&gt;0,SUMIFS(Prior_Forecast!$G:$G,Prior_Forecast!$A:$A,$B$722,Prior_Forecast!$B:$B,$D$722),""))</f>
        <v/>
      </c>
      <c r="M727" s="37">
        <f>IF($B$722="","",IF(COUNTIFS(Prior_Forecast!$A:$A,$B$722,Prior_Forecast!$B:$B,$D$722)&gt;0,SUMIFS(Prior_Forecast!$H:$H,Prior_Forecast!$A:$A,$B$722,Prior_Forecast!$B:$B,$D$722),""))</f>
        <v/>
      </c>
      <c r="N727" s="37">
        <f>IF($B$722="","",IF(COUNTIFS(Prior_Forecast!$A:$A,$B$722,Prior_Forecast!$B:$B,$D$722)&gt;0,SUMIFS(Prior_Forecast!$I:$I,Prior_Forecast!$A:$A,$B$722,Prior_Forecast!$B:$B,$D$722),""))</f>
        <v/>
      </c>
      <c r="O727" s="37">
        <f>IF($B$722="","",IF(COUNTIFS(Prior_Forecast!$A:$A,$B$722,Prior_Forecast!$B:$B,$D$722)&gt;0,SUMIFS(Prior_Forecast!$J:$J,Prior_Forecast!$A:$A,$B$722,Prior_Forecast!$B:$B,$D$722),""))</f>
        <v/>
      </c>
      <c r="P727" s="37">
        <f>IF($B$722="","",IF(COUNTIFS(Prior_Forecast!$A:$A,$B$722,Prior_Forecast!$B:$B,$D$722)&gt;0,SUMIFS(Prior_Forecast!$K:$K,Prior_Forecast!$A:$A,$B$722,Prior_Forecast!$B:$B,$D$722),""))</f>
        <v/>
      </c>
      <c r="Q727" s="37">
        <f>IF($B$722="","",IF(COUNTIFS(Prior_Forecast!$A:$A,$B$722,Prior_Forecast!$B:$B,$D$722)&gt;0,SUMIFS(Prior_Forecast!$L:$L,Prior_Forecast!$A:$A,$B$722,Prior_Forecast!$B:$B,$D$722),""))</f>
        <v/>
      </c>
      <c r="R727" s="37">
        <f>IF($B$722="","",IF(COUNTIFS(Prior_Forecast!$A:$A,$B$722,Prior_Forecast!$B:$B,$D$722)&gt;0,SUMIFS(Prior_Forecast!$M:$M,Prior_Forecast!$A:$A,$B$722,Prior_Forecast!$B:$B,$D$722),""))</f>
        <v/>
      </c>
      <c r="S727" s="37">
        <f>IF($B$722="","",IF(COUNTIFS(Prior_Forecast!$A:$A,$B$722,Prior_Forecast!$B:$B,$D$722)&gt;0,SUMIFS(Prior_Forecast!$N:$N,Prior_Forecast!$A:$A,$B$722,Prior_Forecast!$B:$B,$D$722),""))</f>
        <v/>
      </c>
      <c r="T727" s="37">
        <f>IF($B$722="","",IF(COUNTIFS(Prior_Forecast!$A:$A,$B$722,Prior_Forecast!$B:$B,$D$722)&gt;0,SUMIFS(Prior_Forecast!$O:$O,Prior_Forecast!$A:$A,$B$722,Prior_Forecast!$B:$B,$D$722),""))</f>
        <v/>
      </c>
      <c r="U727" s="37">
        <f>IF($B$722="","",IF(COUNTIFS(Prior_Forecast!$A:$A,$B$722,Prior_Forecast!$B:$B,$D$722)&gt;0,SUMIFS(Prior_Forecast!$P:$P,Prior_Forecast!$A:$A,$B$722,Prior_Forecast!$B:$B,$D$722),""))</f>
        <v/>
      </c>
      <c r="V727" s="37">
        <f>IF($B$722="","",IF(COUNTIFS(Prior_Forecast!$A:$A,$B$722,Prior_Forecast!$B:$B,$D$722)&gt;0,SUMIFS(Prior_Forecast!$Q:$Q,Prior_Forecast!$A:$A,$B$722,Prior_Forecast!$B:$B,$D$722),""))</f>
        <v/>
      </c>
      <c r="X727" s="22">
        <f>IF($B727="","",IFERROR(INDEX(Cost_Centers!$E:$E,MATCH($B727,Cost_Centers!$A:$A,0)),"(unknown)"))</f>
        <v/>
      </c>
      <c r="Y727" s="22">
        <f>IF($B727="","",IFERROR(INDEX(Cost_Centers!$D:$D,MATCH($B727,Cost_Centers!$A:$A,0)),"(unknown)"))</f>
        <v/>
      </c>
      <c r="Z727" s="22">
        <f>IF(OR($B727="",$G727&lt;&gt;"Variance vs Budget"),"",ABS(N($V727))+ROW()/1000000000)</f>
        <v/>
      </c>
    </row>
    <row r="728">
      <c r="A728" s="13">
        <f>IF(A$722="","",A$722)</f>
        <v/>
      </c>
      <c r="B728" s="13">
        <f>IF(B$722="","",B$722)</f>
        <v/>
      </c>
      <c r="C728" s="13">
        <f>IF(C$722="","",C$722)</f>
        <v/>
      </c>
      <c r="D728" s="13">
        <f>IF(D$722="","",D$722)</f>
        <v/>
      </c>
      <c r="E728" s="13">
        <f>IF(E$722="","",E$722)</f>
        <v/>
      </c>
      <c r="F728" s="13">
        <f>IF(F$722="","",F$722)</f>
        <v/>
      </c>
      <c r="G728" s="6" t="inlineStr">
        <is>
          <t>Variance vs Prior Month</t>
        </is>
      </c>
      <c r="H728" s="33">
        <f>IF(OR($B$722="",H727=""),"",H726-H727)</f>
        <v/>
      </c>
      <c r="I728" s="33">
        <f>IF(OR($B$722="",I727=""),"",I726-I727)</f>
        <v/>
      </c>
      <c r="J728" s="33">
        <f>IF(OR($B$722="",J727=""),"",J726-J727)</f>
        <v/>
      </c>
      <c r="K728" s="33">
        <f>IF(OR($B$722="",K727=""),"",K726-K727)</f>
        <v/>
      </c>
      <c r="L728" s="33">
        <f>IF(OR($B$722="",L727=""),"",L726-L727)</f>
        <v/>
      </c>
      <c r="M728" s="33">
        <f>IF(OR($B$722="",M727=""),"",M726-M727)</f>
        <v/>
      </c>
      <c r="N728" s="33">
        <f>IF(OR($B$722="",N727=""),"",N726-N727)</f>
        <v/>
      </c>
      <c r="O728" s="33">
        <f>IF(OR($B$722="",O727=""),"",O726-O727)</f>
        <v/>
      </c>
      <c r="P728" s="33">
        <f>IF(OR($B$722="",P727=""),"",P726-P727)</f>
        <v/>
      </c>
      <c r="Q728" s="33">
        <f>IF(OR($B$722="",Q727=""),"",Q726-Q727)</f>
        <v/>
      </c>
      <c r="R728" s="33">
        <f>IF(OR($B$722="",R727=""),"",R726-R727)</f>
        <v/>
      </c>
      <c r="S728" s="33">
        <f>IF(OR($B$722="",S727=""),"",S726-S727)</f>
        <v/>
      </c>
      <c r="T728" s="33">
        <f>IF(OR($B$722="",T727=""),"",T726-T727)</f>
        <v/>
      </c>
      <c r="U728" s="33">
        <f>IF(OR($B$722="",U727=""),"",U726-U727)</f>
        <v/>
      </c>
      <c r="V728" s="33">
        <f>IF(OR($B$722="",V727=""),"",V726-V727)</f>
        <v/>
      </c>
      <c r="X728" s="22">
        <f>IF($B728="","",IFERROR(INDEX(Cost_Centers!$E:$E,MATCH($B728,Cost_Centers!$A:$A,0)),"(unknown)"))</f>
        <v/>
      </c>
      <c r="Y728" s="22">
        <f>IF($B728="","",IFERROR(INDEX(Cost_Centers!$D:$D,MATCH($B728,Cost_Centers!$A:$A,0)),"(unknown)"))</f>
        <v/>
      </c>
      <c r="Z728" s="22">
        <f>IF(OR($B728="",$G728&lt;&gt;"Variance vs Budget"),"",ABS(N($V728))+ROW()/1000000000)</f>
        <v/>
      </c>
    </row>
    <row r="729" ht="45" customHeight="1">
      <c r="A729" s="13">
        <f>IF(A$722="","",A$722)</f>
        <v/>
      </c>
      <c r="B729" s="13">
        <f>IF(B$722="","",B$722)</f>
        <v/>
      </c>
      <c r="C729" s="13">
        <f>IF(C$722="","",C$722)</f>
        <v/>
      </c>
      <c r="D729" s="13">
        <f>IF(D$722="","",D$722)</f>
        <v/>
      </c>
      <c r="E729" s="13">
        <f>IF(E$722="","",E$722)</f>
        <v/>
      </c>
      <c r="F729" s="13">
        <f>IF(F$722="","",F$722)</f>
        <v/>
      </c>
      <c r="G729" s="7" t="inlineStr">
        <is>
          <t>Rationale</t>
        </is>
      </c>
      <c r="H729" s="38" t="n"/>
      <c r="I729" s="38" t="n"/>
      <c r="J729" s="38" t="n"/>
      <c r="K729" s="38" t="n"/>
      <c r="L729" s="38" t="n"/>
      <c r="M729" s="38" t="n"/>
      <c r="N729" s="38" t="n"/>
      <c r="O729" s="38" t="n"/>
      <c r="P729" s="38" t="n"/>
      <c r="Q729" s="38" t="n"/>
      <c r="R729" s="38" t="n"/>
      <c r="S729" s="38" t="n"/>
      <c r="T729" s="38" t="n"/>
      <c r="U729" s="38" t="n"/>
      <c r="V729" s="7" t="n"/>
      <c r="X729" s="22">
        <f>IF($B729="","",IFERROR(INDEX(Cost_Centers!$E:$E,MATCH($B729,Cost_Centers!$A:$A,0)),"(unknown)"))</f>
        <v/>
      </c>
      <c r="Y729" s="22">
        <f>IF($B729="","",IFERROR(INDEX(Cost_Centers!$D:$D,MATCH($B729,Cost_Centers!$A:$A,0)),"(unknown)"))</f>
        <v/>
      </c>
      <c r="Z729" s="22">
        <f>IF(OR($B729="",$G729&lt;&gt;"Variance vs Budget"),"",ABS(N($V729))+ROW()/1000000000)</f>
        <v/>
      </c>
    </row>
    <row r="730">
      <c r="A730" s="30">
        <f>IF($D$730="","",LEFT($D$730,FIND("|",$D$730&amp;"|")-1))</f>
        <v/>
      </c>
      <c r="B730" s="31" t="n"/>
      <c r="C730" s="30">
        <f>IF($B$730="","",IFERROR(INDEX(Cost_Centers!$B:$B,MATCH($B$730,Cost_Centers!$A:$A,0)),"(not in master)"))</f>
        <v/>
      </c>
      <c r="D730" s="31" t="n"/>
      <c r="E730" s="30">
        <f>IF($D$730="","",IFERROR(INDEX(Accounts!$D:$D,MATCH($D$730,Accounts!$A:$A,0)),"(not in master)"))</f>
        <v/>
      </c>
      <c r="F730" s="31" t="n"/>
      <c r="G730" s="30" t="inlineStr">
        <is>
          <t>Budget</t>
        </is>
      </c>
      <c r="H730" s="32">
        <f>IF($B$730="","",SUMIFS(Opex_Budget!$O:$O,Opex_Budget!$A:$A,$C$3,Opex_Budget!$E:$E,$B$730,Opex_Budget!$F:$F,$D$730,Opex_Budget!$N:$N,"JPY")*$E$5+SUMIFS(Opex_Budget!$O:$O,Opex_Budget!$A:$A,$C$3,Opex_Budget!$E:$E,$B$730,Opex_Budget!$F:$F,$D$730,Opex_Budget!$N:$N,"USD")*$F$5+SUMIFS(Opex_Budget!$O:$O,Opex_Budget!$A:$A,$C$3,Opex_Budget!$E:$E,$B$730,Opex_Budget!$F:$F,$D$730,Opex_Budget!$N:$N,"EUR")*$G$5+SUMIFS(Opex_Budget!$O:$O,Opex_Budget!$A:$A,$C$3,Opex_Budget!$E:$E,$B$730,Opex_Budget!$F:$F,$D$730,Opex_Budget!$N:$N,"GBP")*$H$5)</f>
        <v/>
      </c>
      <c r="I730" s="32">
        <f>IF($B$730="","",SUMIFS(Opex_Budget!$P:$P,Opex_Budget!$A:$A,$C$3,Opex_Budget!$E:$E,$B$730,Opex_Budget!$F:$F,$D$730,Opex_Budget!$N:$N,"JPY")*$E$5+SUMIFS(Opex_Budget!$P:$P,Opex_Budget!$A:$A,$C$3,Opex_Budget!$E:$E,$B$730,Opex_Budget!$F:$F,$D$730,Opex_Budget!$N:$N,"USD")*$F$5+SUMIFS(Opex_Budget!$P:$P,Opex_Budget!$A:$A,$C$3,Opex_Budget!$E:$E,$B$730,Opex_Budget!$F:$F,$D$730,Opex_Budget!$N:$N,"EUR")*$G$5+SUMIFS(Opex_Budget!$P:$P,Opex_Budget!$A:$A,$C$3,Opex_Budget!$E:$E,$B$730,Opex_Budget!$F:$F,$D$730,Opex_Budget!$N:$N,"GBP")*$H$5)</f>
        <v/>
      </c>
      <c r="J730" s="32">
        <f>IF($B$730="","",SUMIFS(Opex_Budget!$Q:$Q,Opex_Budget!$A:$A,$C$3,Opex_Budget!$E:$E,$B$730,Opex_Budget!$F:$F,$D$730,Opex_Budget!$N:$N,"JPY")*$E$5+SUMIFS(Opex_Budget!$Q:$Q,Opex_Budget!$A:$A,$C$3,Opex_Budget!$E:$E,$B$730,Opex_Budget!$F:$F,$D$730,Opex_Budget!$N:$N,"USD")*$F$5+SUMIFS(Opex_Budget!$Q:$Q,Opex_Budget!$A:$A,$C$3,Opex_Budget!$E:$E,$B$730,Opex_Budget!$F:$F,$D$730,Opex_Budget!$N:$N,"EUR")*$G$5+SUMIFS(Opex_Budget!$Q:$Q,Opex_Budget!$A:$A,$C$3,Opex_Budget!$E:$E,$B$730,Opex_Budget!$F:$F,$D$730,Opex_Budget!$N:$N,"GBP")*$H$5)</f>
        <v/>
      </c>
      <c r="K730" s="32">
        <f>IF($B$730="","",SUMIFS(Opex_Budget!$R:$R,Opex_Budget!$A:$A,$C$3,Opex_Budget!$E:$E,$B$730,Opex_Budget!$F:$F,$D$730,Opex_Budget!$N:$N,"JPY")*$E$5+SUMIFS(Opex_Budget!$R:$R,Opex_Budget!$A:$A,$C$3,Opex_Budget!$E:$E,$B$730,Opex_Budget!$F:$F,$D$730,Opex_Budget!$N:$N,"USD")*$F$5+SUMIFS(Opex_Budget!$R:$R,Opex_Budget!$A:$A,$C$3,Opex_Budget!$E:$E,$B$730,Opex_Budget!$F:$F,$D$730,Opex_Budget!$N:$N,"EUR")*$G$5+SUMIFS(Opex_Budget!$R:$R,Opex_Budget!$A:$A,$C$3,Opex_Budget!$E:$E,$B$730,Opex_Budget!$F:$F,$D$730,Opex_Budget!$N:$N,"GBP")*$H$5)</f>
        <v/>
      </c>
      <c r="L730" s="32">
        <f>IF($B$730="","",SUMIFS(Opex_Budget!$S:$S,Opex_Budget!$A:$A,$C$3,Opex_Budget!$E:$E,$B$730,Opex_Budget!$F:$F,$D$730,Opex_Budget!$N:$N,"JPY")*$E$5+SUMIFS(Opex_Budget!$S:$S,Opex_Budget!$A:$A,$C$3,Opex_Budget!$E:$E,$B$730,Opex_Budget!$F:$F,$D$730,Opex_Budget!$N:$N,"USD")*$F$5+SUMIFS(Opex_Budget!$S:$S,Opex_Budget!$A:$A,$C$3,Opex_Budget!$E:$E,$B$730,Opex_Budget!$F:$F,$D$730,Opex_Budget!$N:$N,"EUR")*$G$5+SUMIFS(Opex_Budget!$S:$S,Opex_Budget!$A:$A,$C$3,Opex_Budget!$E:$E,$B$730,Opex_Budget!$F:$F,$D$730,Opex_Budget!$N:$N,"GBP")*$H$5)</f>
        <v/>
      </c>
      <c r="M730" s="32">
        <f>IF($B$730="","",SUMIFS(Opex_Budget!$T:$T,Opex_Budget!$A:$A,$C$3,Opex_Budget!$E:$E,$B$730,Opex_Budget!$F:$F,$D$730,Opex_Budget!$N:$N,"JPY")*$E$5+SUMIFS(Opex_Budget!$T:$T,Opex_Budget!$A:$A,$C$3,Opex_Budget!$E:$E,$B$730,Opex_Budget!$F:$F,$D$730,Opex_Budget!$N:$N,"USD")*$F$5+SUMIFS(Opex_Budget!$T:$T,Opex_Budget!$A:$A,$C$3,Opex_Budget!$E:$E,$B$730,Opex_Budget!$F:$F,$D$730,Opex_Budget!$N:$N,"EUR")*$G$5+SUMIFS(Opex_Budget!$T:$T,Opex_Budget!$A:$A,$C$3,Opex_Budget!$E:$E,$B$730,Opex_Budget!$F:$F,$D$730,Opex_Budget!$N:$N,"GBP")*$H$5)</f>
        <v/>
      </c>
      <c r="N730" s="32">
        <f>IF($B$730="","",SUMIFS(Opex_Budget!$U:$U,Opex_Budget!$A:$A,$C$3,Opex_Budget!$E:$E,$B$730,Opex_Budget!$F:$F,$D$730,Opex_Budget!$N:$N,"JPY")*$E$5+SUMIFS(Opex_Budget!$U:$U,Opex_Budget!$A:$A,$C$3,Opex_Budget!$E:$E,$B$730,Opex_Budget!$F:$F,$D$730,Opex_Budget!$N:$N,"USD")*$F$5+SUMIFS(Opex_Budget!$U:$U,Opex_Budget!$A:$A,$C$3,Opex_Budget!$E:$E,$B$730,Opex_Budget!$F:$F,$D$730,Opex_Budget!$N:$N,"EUR")*$G$5+SUMIFS(Opex_Budget!$U:$U,Opex_Budget!$A:$A,$C$3,Opex_Budget!$E:$E,$B$730,Opex_Budget!$F:$F,$D$730,Opex_Budget!$N:$N,"GBP")*$H$5)</f>
        <v/>
      </c>
      <c r="O730" s="32">
        <f>IF($B$730="","",SUMIFS(Opex_Budget!$V:$V,Opex_Budget!$A:$A,$C$3,Opex_Budget!$E:$E,$B$730,Opex_Budget!$F:$F,$D$730,Opex_Budget!$N:$N,"JPY")*$E$5+SUMIFS(Opex_Budget!$V:$V,Opex_Budget!$A:$A,$C$3,Opex_Budget!$E:$E,$B$730,Opex_Budget!$F:$F,$D$730,Opex_Budget!$N:$N,"USD")*$F$5+SUMIFS(Opex_Budget!$V:$V,Opex_Budget!$A:$A,$C$3,Opex_Budget!$E:$E,$B$730,Opex_Budget!$F:$F,$D$730,Opex_Budget!$N:$N,"EUR")*$G$5+SUMIFS(Opex_Budget!$V:$V,Opex_Budget!$A:$A,$C$3,Opex_Budget!$E:$E,$B$730,Opex_Budget!$F:$F,$D$730,Opex_Budget!$N:$N,"GBP")*$H$5)</f>
        <v/>
      </c>
      <c r="P730" s="32">
        <f>IF($B$730="","",SUMIFS(Opex_Budget!$W:$W,Opex_Budget!$A:$A,$C$3,Opex_Budget!$E:$E,$B$730,Opex_Budget!$F:$F,$D$730,Opex_Budget!$N:$N,"JPY")*$E$5+SUMIFS(Opex_Budget!$W:$W,Opex_Budget!$A:$A,$C$3,Opex_Budget!$E:$E,$B$730,Opex_Budget!$F:$F,$D$730,Opex_Budget!$N:$N,"USD")*$F$5+SUMIFS(Opex_Budget!$W:$W,Opex_Budget!$A:$A,$C$3,Opex_Budget!$E:$E,$B$730,Opex_Budget!$F:$F,$D$730,Opex_Budget!$N:$N,"EUR")*$G$5+SUMIFS(Opex_Budget!$W:$W,Opex_Budget!$A:$A,$C$3,Opex_Budget!$E:$E,$B$730,Opex_Budget!$F:$F,$D$730,Opex_Budget!$N:$N,"GBP")*$H$5)</f>
        <v/>
      </c>
      <c r="Q730" s="32">
        <f>IF($B$730="","",SUMIFS(Opex_Budget!$X:$X,Opex_Budget!$A:$A,$C$3,Opex_Budget!$E:$E,$B$730,Opex_Budget!$F:$F,$D$730,Opex_Budget!$N:$N,"JPY")*$E$5+SUMIFS(Opex_Budget!$X:$X,Opex_Budget!$A:$A,$C$3,Opex_Budget!$E:$E,$B$730,Opex_Budget!$F:$F,$D$730,Opex_Budget!$N:$N,"USD")*$F$5+SUMIFS(Opex_Budget!$X:$X,Opex_Budget!$A:$A,$C$3,Opex_Budget!$E:$E,$B$730,Opex_Budget!$F:$F,$D$730,Opex_Budget!$N:$N,"EUR")*$G$5+SUMIFS(Opex_Budget!$X:$X,Opex_Budget!$A:$A,$C$3,Opex_Budget!$E:$E,$B$730,Opex_Budget!$F:$F,$D$730,Opex_Budget!$N:$N,"GBP")*$H$5)</f>
        <v/>
      </c>
      <c r="R730" s="32">
        <f>IF($B$730="","",SUMIFS(Opex_Budget!$Y:$Y,Opex_Budget!$A:$A,$C$3,Opex_Budget!$E:$E,$B$730,Opex_Budget!$F:$F,$D$730,Opex_Budget!$N:$N,"JPY")*$E$5+SUMIFS(Opex_Budget!$Y:$Y,Opex_Budget!$A:$A,$C$3,Opex_Budget!$E:$E,$B$730,Opex_Budget!$F:$F,$D$730,Opex_Budget!$N:$N,"USD")*$F$5+SUMIFS(Opex_Budget!$Y:$Y,Opex_Budget!$A:$A,$C$3,Opex_Budget!$E:$E,$B$730,Opex_Budget!$F:$F,$D$730,Opex_Budget!$N:$N,"EUR")*$G$5+SUMIFS(Opex_Budget!$Y:$Y,Opex_Budget!$A:$A,$C$3,Opex_Budget!$E:$E,$B$730,Opex_Budget!$F:$F,$D$730,Opex_Budget!$N:$N,"GBP")*$H$5)</f>
        <v/>
      </c>
      <c r="S730" s="32">
        <f>IF($B$730="","",SUMIFS(Opex_Budget!$Z:$Z,Opex_Budget!$A:$A,$C$3,Opex_Budget!$E:$E,$B$730,Opex_Budget!$F:$F,$D$730,Opex_Budget!$N:$N,"JPY")*$E$5+SUMIFS(Opex_Budget!$Z:$Z,Opex_Budget!$A:$A,$C$3,Opex_Budget!$E:$E,$B$730,Opex_Budget!$F:$F,$D$730,Opex_Budget!$N:$N,"USD")*$F$5+SUMIFS(Opex_Budget!$Z:$Z,Opex_Budget!$A:$A,$C$3,Opex_Budget!$E:$E,$B$730,Opex_Budget!$F:$F,$D$730,Opex_Budget!$N:$N,"EUR")*$G$5+SUMIFS(Opex_Budget!$Z:$Z,Opex_Budget!$A:$A,$C$3,Opex_Budget!$E:$E,$B$730,Opex_Budget!$F:$F,$D$730,Opex_Budget!$N:$N,"GBP")*$H$5)</f>
        <v/>
      </c>
      <c r="T730" s="32">
        <f>IF($B$730="","",SUMIF($H$7:$S$7,"&lt;="&amp;$C$4,$H730:$S730))</f>
        <v/>
      </c>
      <c r="U730" s="32">
        <f>IF($B$730="","",SUMIF($H$7:$S$7,"&gt;"&amp;$C$4,$H730:$S730))</f>
        <v/>
      </c>
      <c r="V730" s="32">
        <f>IF($B$730="","",SUM($H730:$S730))</f>
        <v/>
      </c>
      <c r="X730" s="22">
        <f>IF($B730="","",IFERROR(INDEX(Cost_Centers!$E:$E,MATCH($B730,Cost_Centers!$A:$A,0)),"(unknown)"))</f>
        <v/>
      </c>
      <c r="Y730" s="22">
        <f>IF($B730="","",IFERROR(INDEX(Cost_Centers!$D:$D,MATCH($B730,Cost_Centers!$A:$A,0)),"(unknown)"))</f>
        <v/>
      </c>
      <c r="Z730" s="22">
        <f>IF(OR($B730="",$G730&lt;&gt;"Variance vs Budget"),"",ABS(N($V730))+ROW()/1000000000)</f>
        <v/>
      </c>
    </row>
    <row r="731">
      <c r="A731" s="13">
        <f>IF(A$730="","",A$730)</f>
        <v/>
      </c>
      <c r="B731" s="13">
        <f>IF(B$730="","",B$730)</f>
        <v/>
      </c>
      <c r="C731" s="13">
        <f>IF(C$730="","",C$730)</f>
        <v/>
      </c>
      <c r="D731" s="13">
        <f>IF(D$730="","",D$730)</f>
        <v/>
      </c>
      <c r="E731" s="13">
        <f>IF(E$730="","",E$730)</f>
        <v/>
      </c>
      <c r="F731" s="13">
        <f>IF(F$730="","",F$730)</f>
        <v/>
      </c>
      <c r="G731" s="7" t="inlineStr">
        <is>
          <t>Actual</t>
        </is>
      </c>
      <c r="H731" s="18">
        <f>IF(OR($B$730="",1&gt;$C$4),"",SUMIFS(Actuals!$G:$G,Actuals!$B:$B,$C$3,Actuals!$C:$C,1,Actuals!$D:$D,$B$730,Actuals!$A:$A,LEFT($D$730,FIND("|",$D$730&amp;"|")-1),Actuals!$E:$E,MID($D$730,FIND("|",$D$730&amp;"|")+1,50),Actuals!$F:$F,"JPY")*$E$5+SUMIFS(Actuals!$G:$G,Actuals!$B:$B,$C$3,Actuals!$C:$C,1,Actuals!$D:$D,$B$730,Actuals!$A:$A,LEFT($D$730,FIND("|",$D$730&amp;"|")-1),Actuals!$E:$E,MID($D$730,FIND("|",$D$730&amp;"|")+1,50),Actuals!$F:$F,"USD")*$F$5+SUMIFS(Actuals!$G:$G,Actuals!$B:$B,$C$3,Actuals!$C:$C,1,Actuals!$D:$D,$B$730,Actuals!$A:$A,LEFT($D$730,FIND("|",$D$730&amp;"|")-1),Actuals!$E:$E,MID($D$730,FIND("|",$D$730&amp;"|")+1,50),Actuals!$F:$F,"EUR")*$G$5+SUMIFS(Actuals!$G:$G,Actuals!$B:$B,$C$3,Actuals!$C:$C,1,Actuals!$D:$D,$B$730,Actuals!$A:$A,LEFT($D$730,FIND("|",$D$730&amp;"|")-1),Actuals!$E:$E,MID($D$730,FIND("|",$D$730&amp;"|")+1,50),Actuals!$F:$F,"GBP")*$H$5)</f>
        <v/>
      </c>
      <c r="I731" s="18">
        <f>IF(OR($B$730="",2&gt;$C$4),"",SUMIFS(Actuals!$G:$G,Actuals!$B:$B,$C$3,Actuals!$C:$C,2,Actuals!$D:$D,$B$730,Actuals!$A:$A,LEFT($D$730,FIND("|",$D$730&amp;"|")-1),Actuals!$E:$E,MID($D$730,FIND("|",$D$730&amp;"|")+1,50),Actuals!$F:$F,"JPY")*$E$5+SUMIFS(Actuals!$G:$G,Actuals!$B:$B,$C$3,Actuals!$C:$C,2,Actuals!$D:$D,$B$730,Actuals!$A:$A,LEFT($D$730,FIND("|",$D$730&amp;"|")-1),Actuals!$E:$E,MID($D$730,FIND("|",$D$730&amp;"|")+1,50),Actuals!$F:$F,"USD")*$F$5+SUMIFS(Actuals!$G:$G,Actuals!$B:$B,$C$3,Actuals!$C:$C,2,Actuals!$D:$D,$B$730,Actuals!$A:$A,LEFT($D$730,FIND("|",$D$730&amp;"|")-1),Actuals!$E:$E,MID($D$730,FIND("|",$D$730&amp;"|")+1,50),Actuals!$F:$F,"EUR")*$G$5+SUMIFS(Actuals!$G:$G,Actuals!$B:$B,$C$3,Actuals!$C:$C,2,Actuals!$D:$D,$B$730,Actuals!$A:$A,LEFT($D$730,FIND("|",$D$730&amp;"|")-1),Actuals!$E:$E,MID($D$730,FIND("|",$D$730&amp;"|")+1,50),Actuals!$F:$F,"GBP")*$H$5)</f>
        <v/>
      </c>
      <c r="J731" s="18">
        <f>IF(OR($B$730="",3&gt;$C$4),"",SUMIFS(Actuals!$G:$G,Actuals!$B:$B,$C$3,Actuals!$C:$C,3,Actuals!$D:$D,$B$730,Actuals!$A:$A,LEFT($D$730,FIND("|",$D$730&amp;"|")-1),Actuals!$E:$E,MID($D$730,FIND("|",$D$730&amp;"|")+1,50),Actuals!$F:$F,"JPY")*$E$5+SUMIFS(Actuals!$G:$G,Actuals!$B:$B,$C$3,Actuals!$C:$C,3,Actuals!$D:$D,$B$730,Actuals!$A:$A,LEFT($D$730,FIND("|",$D$730&amp;"|")-1),Actuals!$E:$E,MID($D$730,FIND("|",$D$730&amp;"|")+1,50),Actuals!$F:$F,"USD")*$F$5+SUMIFS(Actuals!$G:$G,Actuals!$B:$B,$C$3,Actuals!$C:$C,3,Actuals!$D:$D,$B$730,Actuals!$A:$A,LEFT($D$730,FIND("|",$D$730&amp;"|")-1),Actuals!$E:$E,MID($D$730,FIND("|",$D$730&amp;"|")+1,50),Actuals!$F:$F,"EUR")*$G$5+SUMIFS(Actuals!$G:$G,Actuals!$B:$B,$C$3,Actuals!$C:$C,3,Actuals!$D:$D,$B$730,Actuals!$A:$A,LEFT($D$730,FIND("|",$D$730&amp;"|")-1),Actuals!$E:$E,MID($D$730,FIND("|",$D$730&amp;"|")+1,50),Actuals!$F:$F,"GBP")*$H$5)</f>
        <v/>
      </c>
      <c r="K731" s="18">
        <f>IF(OR($B$730="",4&gt;$C$4),"",SUMIFS(Actuals!$G:$G,Actuals!$B:$B,$C$3,Actuals!$C:$C,4,Actuals!$D:$D,$B$730,Actuals!$A:$A,LEFT($D$730,FIND("|",$D$730&amp;"|")-1),Actuals!$E:$E,MID($D$730,FIND("|",$D$730&amp;"|")+1,50),Actuals!$F:$F,"JPY")*$E$5+SUMIFS(Actuals!$G:$G,Actuals!$B:$B,$C$3,Actuals!$C:$C,4,Actuals!$D:$D,$B$730,Actuals!$A:$A,LEFT($D$730,FIND("|",$D$730&amp;"|")-1),Actuals!$E:$E,MID($D$730,FIND("|",$D$730&amp;"|")+1,50),Actuals!$F:$F,"USD")*$F$5+SUMIFS(Actuals!$G:$G,Actuals!$B:$B,$C$3,Actuals!$C:$C,4,Actuals!$D:$D,$B$730,Actuals!$A:$A,LEFT($D$730,FIND("|",$D$730&amp;"|")-1),Actuals!$E:$E,MID($D$730,FIND("|",$D$730&amp;"|")+1,50),Actuals!$F:$F,"EUR")*$G$5+SUMIFS(Actuals!$G:$G,Actuals!$B:$B,$C$3,Actuals!$C:$C,4,Actuals!$D:$D,$B$730,Actuals!$A:$A,LEFT($D$730,FIND("|",$D$730&amp;"|")-1),Actuals!$E:$E,MID($D$730,FIND("|",$D$730&amp;"|")+1,50),Actuals!$F:$F,"GBP")*$H$5)</f>
        <v/>
      </c>
      <c r="L731" s="18">
        <f>IF(OR($B$730="",5&gt;$C$4),"",SUMIFS(Actuals!$G:$G,Actuals!$B:$B,$C$3,Actuals!$C:$C,5,Actuals!$D:$D,$B$730,Actuals!$A:$A,LEFT($D$730,FIND("|",$D$730&amp;"|")-1),Actuals!$E:$E,MID($D$730,FIND("|",$D$730&amp;"|")+1,50),Actuals!$F:$F,"JPY")*$E$5+SUMIFS(Actuals!$G:$G,Actuals!$B:$B,$C$3,Actuals!$C:$C,5,Actuals!$D:$D,$B$730,Actuals!$A:$A,LEFT($D$730,FIND("|",$D$730&amp;"|")-1),Actuals!$E:$E,MID($D$730,FIND("|",$D$730&amp;"|")+1,50),Actuals!$F:$F,"USD")*$F$5+SUMIFS(Actuals!$G:$G,Actuals!$B:$B,$C$3,Actuals!$C:$C,5,Actuals!$D:$D,$B$730,Actuals!$A:$A,LEFT($D$730,FIND("|",$D$730&amp;"|")-1),Actuals!$E:$E,MID($D$730,FIND("|",$D$730&amp;"|")+1,50),Actuals!$F:$F,"EUR")*$G$5+SUMIFS(Actuals!$G:$G,Actuals!$B:$B,$C$3,Actuals!$C:$C,5,Actuals!$D:$D,$B$730,Actuals!$A:$A,LEFT($D$730,FIND("|",$D$730&amp;"|")-1),Actuals!$E:$E,MID($D$730,FIND("|",$D$730&amp;"|")+1,50),Actuals!$F:$F,"GBP")*$H$5)</f>
        <v/>
      </c>
      <c r="M731" s="18">
        <f>IF(OR($B$730="",6&gt;$C$4),"",SUMIFS(Actuals!$G:$G,Actuals!$B:$B,$C$3,Actuals!$C:$C,6,Actuals!$D:$D,$B$730,Actuals!$A:$A,LEFT($D$730,FIND("|",$D$730&amp;"|")-1),Actuals!$E:$E,MID($D$730,FIND("|",$D$730&amp;"|")+1,50),Actuals!$F:$F,"JPY")*$E$5+SUMIFS(Actuals!$G:$G,Actuals!$B:$B,$C$3,Actuals!$C:$C,6,Actuals!$D:$D,$B$730,Actuals!$A:$A,LEFT($D$730,FIND("|",$D$730&amp;"|")-1),Actuals!$E:$E,MID($D$730,FIND("|",$D$730&amp;"|")+1,50),Actuals!$F:$F,"USD")*$F$5+SUMIFS(Actuals!$G:$G,Actuals!$B:$B,$C$3,Actuals!$C:$C,6,Actuals!$D:$D,$B$730,Actuals!$A:$A,LEFT($D$730,FIND("|",$D$730&amp;"|")-1),Actuals!$E:$E,MID($D$730,FIND("|",$D$730&amp;"|")+1,50),Actuals!$F:$F,"EUR")*$G$5+SUMIFS(Actuals!$G:$G,Actuals!$B:$B,$C$3,Actuals!$C:$C,6,Actuals!$D:$D,$B$730,Actuals!$A:$A,LEFT($D$730,FIND("|",$D$730&amp;"|")-1),Actuals!$E:$E,MID($D$730,FIND("|",$D$730&amp;"|")+1,50),Actuals!$F:$F,"GBP")*$H$5)</f>
        <v/>
      </c>
      <c r="N731" s="18">
        <f>IF(OR($B$730="",7&gt;$C$4),"",SUMIFS(Actuals!$G:$G,Actuals!$B:$B,$C$3,Actuals!$C:$C,7,Actuals!$D:$D,$B$730,Actuals!$A:$A,LEFT($D$730,FIND("|",$D$730&amp;"|")-1),Actuals!$E:$E,MID($D$730,FIND("|",$D$730&amp;"|")+1,50),Actuals!$F:$F,"JPY")*$E$5+SUMIFS(Actuals!$G:$G,Actuals!$B:$B,$C$3,Actuals!$C:$C,7,Actuals!$D:$D,$B$730,Actuals!$A:$A,LEFT($D$730,FIND("|",$D$730&amp;"|")-1),Actuals!$E:$E,MID($D$730,FIND("|",$D$730&amp;"|")+1,50),Actuals!$F:$F,"USD")*$F$5+SUMIFS(Actuals!$G:$G,Actuals!$B:$B,$C$3,Actuals!$C:$C,7,Actuals!$D:$D,$B$730,Actuals!$A:$A,LEFT($D$730,FIND("|",$D$730&amp;"|")-1),Actuals!$E:$E,MID($D$730,FIND("|",$D$730&amp;"|")+1,50),Actuals!$F:$F,"EUR")*$G$5+SUMIFS(Actuals!$G:$G,Actuals!$B:$B,$C$3,Actuals!$C:$C,7,Actuals!$D:$D,$B$730,Actuals!$A:$A,LEFT($D$730,FIND("|",$D$730&amp;"|")-1),Actuals!$E:$E,MID($D$730,FIND("|",$D$730&amp;"|")+1,50),Actuals!$F:$F,"GBP")*$H$5)</f>
        <v/>
      </c>
      <c r="O731" s="18">
        <f>IF(OR($B$730="",8&gt;$C$4),"",SUMIFS(Actuals!$G:$G,Actuals!$B:$B,$C$3,Actuals!$C:$C,8,Actuals!$D:$D,$B$730,Actuals!$A:$A,LEFT($D$730,FIND("|",$D$730&amp;"|")-1),Actuals!$E:$E,MID($D$730,FIND("|",$D$730&amp;"|")+1,50),Actuals!$F:$F,"JPY")*$E$5+SUMIFS(Actuals!$G:$G,Actuals!$B:$B,$C$3,Actuals!$C:$C,8,Actuals!$D:$D,$B$730,Actuals!$A:$A,LEFT($D$730,FIND("|",$D$730&amp;"|")-1),Actuals!$E:$E,MID($D$730,FIND("|",$D$730&amp;"|")+1,50),Actuals!$F:$F,"USD")*$F$5+SUMIFS(Actuals!$G:$G,Actuals!$B:$B,$C$3,Actuals!$C:$C,8,Actuals!$D:$D,$B$730,Actuals!$A:$A,LEFT($D$730,FIND("|",$D$730&amp;"|")-1),Actuals!$E:$E,MID($D$730,FIND("|",$D$730&amp;"|")+1,50),Actuals!$F:$F,"EUR")*$G$5+SUMIFS(Actuals!$G:$G,Actuals!$B:$B,$C$3,Actuals!$C:$C,8,Actuals!$D:$D,$B$730,Actuals!$A:$A,LEFT($D$730,FIND("|",$D$730&amp;"|")-1),Actuals!$E:$E,MID($D$730,FIND("|",$D$730&amp;"|")+1,50),Actuals!$F:$F,"GBP")*$H$5)</f>
        <v/>
      </c>
      <c r="P731" s="18">
        <f>IF(OR($B$730="",9&gt;$C$4),"",SUMIFS(Actuals!$G:$G,Actuals!$B:$B,$C$3,Actuals!$C:$C,9,Actuals!$D:$D,$B$730,Actuals!$A:$A,LEFT($D$730,FIND("|",$D$730&amp;"|")-1),Actuals!$E:$E,MID($D$730,FIND("|",$D$730&amp;"|")+1,50),Actuals!$F:$F,"JPY")*$E$5+SUMIFS(Actuals!$G:$G,Actuals!$B:$B,$C$3,Actuals!$C:$C,9,Actuals!$D:$D,$B$730,Actuals!$A:$A,LEFT($D$730,FIND("|",$D$730&amp;"|")-1),Actuals!$E:$E,MID($D$730,FIND("|",$D$730&amp;"|")+1,50),Actuals!$F:$F,"USD")*$F$5+SUMIFS(Actuals!$G:$G,Actuals!$B:$B,$C$3,Actuals!$C:$C,9,Actuals!$D:$D,$B$730,Actuals!$A:$A,LEFT($D$730,FIND("|",$D$730&amp;"|")-1),Actuals!$E:$E,MID($D$730,FIND("|",$D$730&amp;"|")+1,50),Actuals!$F:$F,"EUR")*$G$5+SUMIFS(Actuals!$G:$G,Actuals!$B:$B,$C$3,Actuals!$C:$C,9,Actuals!$D:$D,$B$730,Actuals!$A:$A,LEFT($D$730,FIND("|",$D$730&amp;"|")-1),Actuals!$E:$E,MID($D$730,FIND("|",$D$730&amp;"|")+1,50),Actuals!$F:$F,"GBP")*$H$5)</f>
        <v/>
      </c>
      <c r="Q731" s="18">
        <f>IF(OR($B$730="",10&gt;$C$4),"",SUMIFS(Actuals!$G:$G,Actuals!$B:$B,$C$3,Actuals!$C:$C,10,Actuals!$D:$D,$B$730,Actuals!$A:$A,LEFT($D$730,FIND("|",$D$730&amp;"|")-1),Actuals!$E:$E,MID($D$730,FIND("|",$D$730&amp;"|")+1,50),Actuals!$F:$F,"JPY")*$E$5+SUMIFS(Actuals!$G:$G,Actuals!$B:$B,$C$3,Actuals!$C:$C,10,Actuals!$D:$D,$B$730,Actuals!$A:$A,LEFT($D$730,FIND("|",$D$730&amp;"|")-1),Actuals!$E:$E,MID($D$730,FIND("|",$D$730&amp;"|")+1,50),Actuals!$F:$F,"USD")*$F$5+SUMIFS(Actuals!$G:$G,Actuals!$B:$B,$C$3,Actuals!$C:$C,10,Actuals!$D:$D,$B$730,Actuals!$A:$A,LEFT($D$730,FIND("|",$D$730&amp;"|")-1),Actuals!$E:$E,MID($D$730,FIND("|",$D$730&amp;"|")+1,50),Actuals!$F:$F,"EUR")*$G$5+SUMIFS(Actuals!$G:$G,Actuals!$B:$B,$C$3,Actuals!$C:$C,10,Actuals!$D:$D,$B$730,Actuals!$A:$A,LEFT($D$730,FIND("|",$D$730&amp;"|")-1),Actuals!$E:$E,MID($D$730,FIND("|",$D$730&amp;"|")+1,50),Actuals!$F:$F,"GBP")*$H$5)</f>
        <v/>
      </c>
      <c r="R731" s="18">
        <f>IF(OR($B$730="",11&gt;$C$4),"",SUMIFS(Actuals!$G:$G,Actuals!$B:$B,$C$3,Actuals!$C:$C,11,Actuals!$D:$D,$B$730,Actuals!$A:$A,LEFT($D$730,FIND("|",$D$730&amp;"|")-1),Actuals!$E:$E,MID($D$730,FIND("|",$D$730&amp;"|")+1,50),Actuals!$F:$F,"JPY")*$E$5+SUMIFS(Actuals!$G:$G,Actuals!$B:$B,$C$3,Actuals!$C:$C,11,Actuals!$D:$D,$B$730,Actuals!$A:$A,LEFT($D$730,FIND("|",$D$730&amp;"|")-1),Actuals!$E:$E,MID($D$730,FIND("|",$D$730&amp;"|")+1,50),Actuals!$F:$F,"USD")*$F$5+SUMIFS(Actuals!$G:$G,Actuals!$B:$B,$C$3,Actuals!$C:$C,11,Actuals!$D:$D,$B$730,Actuals!$A:$A,LEFT($D$730,FIND("|",$D$730&amp;"|")-1),Actuals!$E:$E,MID($D$730,FIND("|",$D$730&amp;"|")+1,50),Actuals!$F:$F,"EUR")*$G$5+SUMIFS(Actuals!$G:$G,Actuals!$B:$B,$C$3,Actuals!$C:$C,11,Actuals!$D:$D,$B$730,Actuals!$A:$A,LEFT($D$730,FIND("|",$D$730&amp;"|")-1),Actuals!$E:$E,MID($D$730,FIND("|",$D$730&amp;"|")+1,50),Actuals!$F:$F,"GBP")*$H$5)</f>
        <v/>
      </c>
      <c r="S731" s="18">
        <f>IF(OR($B$730="",12&gt;$C$4),"",SUMIFS(Actuals!$G:$G,Actuals!$B:$B,$C$3,Actuals!$C:$C,12,Actuals!$D:$D,$B$730,Actuals!$A:$A,LEFT($D$730,FIND("|",$D$730&amp;"|")-1),Actuals!$E:$E,MID($D$730,FIND("|",$D$730&amp;"|")+1,50),Actuals!$F:$F,"JPY")*$E$5+SUMIFS(Actuals!$G:$G,Actuals!$B:$B,$C$3,Actuals!$C:$C,12,Actuals!$D:$D,$B$730,Actuals!$A:$A,LEFT($D$730,FIND("|",$D$730&amp;"|")-1),Actuals!$E:$E,MID($D$730,FIND("|",$D$730&amp;"|")+1,50),Actuals!$F:$F,"USD")*$F$5+SUMIFS(Actuals!$G:$G,Actuals!$B:$B,$C$3,Actuals!$C:$C,12,Actuals!$D:$D,$B$730,Actuals!$A:$A,LEFT($D$730,FIND("|",$D$730&amp;"|")-1),Actuals!$E:$E,MID($D$730,FIND("|",$D$730&amp;"|")+1,50),Actuals!$F:$F,"EUR")*$G$5+SUMIFS(Actuals!$G:$G,Actuals!$B:$B,$C$3,Actuals!$C:$C,12,Actuals!$D:$D,$B$730,Actuals!$A:$A,LEFT($D$730,FIND("|",$D$730&amp;"|")-1),Actuals!$E:$E,MID($D$730,FIND("|",$D$730&amp;"|")+1,50),Actuals!$F:$F,"GBP")*$H$5)</f>
        <v/>
      </c>
      <c r="T731" s="18">
        <f>IF($B$730="","",SUMIF($H$7:$S$7,"&lt;="&amp;$C$4,$H731:$S731))</f>
        <v/>
      </c>
      <c r="U731" s="18" t="n"/>
      <c r="V731" s="18" t="n"/>
      <c r="X731" s="22">
        <f>IF($B731="","",IFERROR(INDEX(Cost_Centers!$E:$E,MATCH($B731,Cost_Centers!$A:$A,0)),"(unknown)"))</f>
        <v/>
      </c>
      <c r="Y731" s="22">
        <f>IF($B731="","",IFERROR(INDEX(Cost_Centers!$D:$D,MATCH($B731,Cost_Centers!$A:$A,0)),"(unknown)"))</f>
        <v/>
      </c>
      <c r="Z731" s="22">
        <f>IF(OR($B731="",$G731&lt;&gt;"Variance vs Budget"),"",ABS(N($V731))+ROW()/1000000000)</f>
        <v/>
      </c>
    </row>
    <row r="732">
      <c r="A732" s="13">
        <f>IF(A$730="","",A$730)</f>
        <v/>
      </c>
      <c r="B732" s="13">
        <f>IF(B$730="","",B$730)</f>
        <v/>
      </c>
      <c r="C732" s="13">
        <f>IF(C$730="","",C$730)</f>
        <v/>
      </c>
      <c r="D732" s="13">
        <f>IF(D$730="","",D$730)</f>
        <v/>
      </c>
      <c r="E732" s="13">
        <f>IF(E$730="","",E$730)</f>
        <v/>
      </c>
      <c r="F732" s="13">
        <f>IF(F$730="","",F$730)</f>
        <v/>
      </c>
      <c r="G732" s="6" t="inlineStr">
        <is>
          <t>Variance vs Budget</t>
        </is>
      </c>
      <c r="H732" s="33">
        <f>IF(OR($B$730="",1&gt;$C$4),"",N(H731)-H730)</f>
        <v/>
      </c>
      <c r="I732" s="33">
        <f>IF(OR($B$730="",2&gt;$C$4),"",N(I731)-I730)</f>
        <v/>
      </c>
      <c r="J732" s="33">
        <f>IF(OR($B$730="",3&gt;$C$4),"",N(J731)-J730)</f>
        <v/>
      </c>
      <c r="K732" s="33">
        <f>IF(OR($B$730="",4&gt;$C$4),"",N(K731)-K730)</f>
        <v/>
      </c>
      <c r="L732" s="33">
        <f>IF(OR($B$730="",5&gt;$C$4),"",N(L731)-L730)</f>
        <v/>
      </c>
      <c r="M732" s="33">
        <f>IF(OR($B$730="",6&gt;$C$4),"",N(M731)-M730)</f>
        <v/>
      </c>
      <c r="N732" s="33">
        <f>IF(OR($B$730="",7&gt;$C$4),"",N(N731)-N730)</f>
        <v/>
      </c>
      <c r="O732" s="33">
        <f>IF(OR($B$730="",8&gt;$C$4),"",N(O731)-O730)</f>
        <v/>
      </c>
      <c r="P732" s="33">
        <f>IF(OR($B$730="",9&gt;$C$4),"",N(P731)-P730)</f>
        <v/>
      </c>
      <c r="Q732" s="33">
        <f>IF(OR($B$730="",10&gt;$C$4),"",N(Q731)-Q730)</f>
        <v/>
      </c>
      <c r="R732" s="33">
        <f>IF(OR($B$730="",11&gt;$C$4),"",N(R731)-R730)</f>
        <v/>
      </c>
      <c r="S732" s="33">
        <f>IF(OR($B$730="",12&gt;$C$4),"",N(S731)-S730)</f>
        <v/>
      </c>
      <c r="T732" s="33">
        <f>IF($B$730="","",T731-T730)</f>
        <v/>
      </c>
      <c r="U732" s="33">
        <f>IF($B$730="","",U734-U730)</f>
        <v/>
      </c>
      <c r="V732" s="33">
        <f>IF($B$730="","",V734-V730)</f>
        <v/>
      </c>
      <c r="X732" s="22">
        <f>IF($B732="","",IFERROR(INDEX(Cost_Centers!$E:$E,MATCH($B732,Cost_Centers!$A:$A,0)),"(unknown)"))</f>
        <v/>
      </c>
      <c r="Y732" s="22">
        <f>IF($B732="","",IFERROR(INDEX(Cost_Centers!$D:$D,MATCH($B732,Cost_Centers!$A:$A,0)),"(unknown)"))</f>
        <v/>
      </c>
      <c r="Z732" s="22">
        <f>IF(OR($B732="",$G732&lt;&gt;"Variance vs Budget"),"",ABS(N($V732))+ROW()/1000000000)</f>
        <v/>
      </c>
    </row>
    <row r="733">
      <c r="A733" s="13">
        <f>IF(A$730="","",A$730)</f>
        <v/>
      </c>
      <c r="B733" s="13">
        <f>IF(B$730="","",B$730)</f>
        <v/>
      </c>
      <c r="C733" s="13">
        <f>IF(C$730="","",C$730)</f>
        <v/>
      </c>
      <c r="D733" s="13">
        <f>IF(D$730="","",D$730)</f>
        <v/>
      </c>
      <c r="E733" s="13">
        <f>IF(E$730="","",E$730)</f>
        <v/>
      </c>
      <c r="F733" s="13">
        <f>IF(F$730="","",F$730)</f>
        <v/>
      </c>
      <c r="G733" s="7" t="inlineStr">
        <is>
          <t>Forecast (input)</t>
        </is>
      </c>
      <c r="H733" s="34" t="n"/>
      <c r="I733" s="34" t="n"/>
      <c r="J733" s="34" t="n"/>
      <c r="K733" s="34" t="n"/>
      <c r="L733" s="34" t="n"/>
      <c r="M733" s="34" t="n"/>
      <c r="N733" s="34" t="n"/>
      <c r="O733" s="34" t="n"/>
      <c r="P733" s="34" t="n"/>
      <c r="Q733" s="34" t="n"/>
      <c r="R733" s="34" t="n"/>
      <c r="S733" s="34" t="n"/>
      <c r="T733" s="18" t="n"/>
      <c r="U733" s="18" t="n"/>
      <c r="V733" s="18" t="n"/>
      <c r="X733" s="22">
        <f>IF($B733="","",IFERROR(INDEX(Cost_Centers!$E:$E,MATCH($B733,Cost_Centers!$A:$A,0)),"(unknown)"))</f>
        <v/>
      </c>
      <c r="Y733" s="22">
        <f>IF($B733="","",IFERROR(INDEX(Cost_Centers!$D:$D,MATCH($B733,Cost_Centers!$A:$A,0)),"(unknown)"))</f>
        <v/>
      </c>
      <c r="Z733" s="22">
        <f>IF(OR($B733="",$G733&lt;&gt;"Variance vs Budget"),"",ABS(N($V733))+ROW()/1000000000)</f>
        <v/>
      </c>
    </row>
    <row r="734">
      <c r="A734" s="13">
        <f>IF(A$730="","",A$730)</f>
        <v/>
      </c>
      <c r="B734" s="13">
        <f>IF(B$730="","",B$730)</f>
        <v/>
      </c>
      <c r="C734" s="13">
        <f>IF(C$730="","",C$730)</f>
        <v/>
      </c>
      <c r="D734" s="13">
        <f>IF(D$730="","",D$730)</f>
        <v/>
      </c>
      <c r="E734" s="13">
        <f>IF(E$730="","",E$730)</f>
        <v/>
      </c>
      <c r="F734" s="13">
        <f>IF(F$730="","",F$730)</f>
        <v/>
      </c>
      <c r="G734" s="35" t="inlineStr">
        <is>
          <t>Actual + Forecast</t>
        </is>
      </c>
      <c r="H734" s="18">
        <f>IF($B$730="","",IF(1&lt;=$C$4,N(H731),IF(H733="",H730,H733)))</f>
        <v/>
      </c>
      <c r="I734" s="18">
        <f>IF($B$730="","",IF(2&lt;=$C$4,N(I731),IF(I733="",I730,I733)))</f>
        <v/>
      </c>
      <c r="J734" s="18">
        <f>IF($B$730="","",IF(3&lt;=$C$4,N(J731),IF(J733="",J730,J733)))</f>
        <v/>
      </c>
      <c r="K734" s="18">
        <f>IF($B$730="","",IF(4&lt;=$C$4,N(K731),IF(K733="",K730,K733)))</f>
        <v/>
      </c>
      <c r="L734" s="18">
        <f>IF($B$730="","",IF(5&lt;=$C$4,N(L731),IF(L733="",L730,L733)))</f>
        <v/>
      </c>
      <c r="M734" s="18">
        <f>IF($B$730="","",IF(6&lt;=$C$4,N(M731),IF(M733="",M730,M733)))</f>
        <v/>
      </c>
      <c r="N734" s="18">
        <f>IF($B$730="","",IF(7&lt;=$C$4,N(N731),IF(N733="",N730,N733)))</f>
        <v/>
      </c>
      <c r="O734" s="18">
        <f>IF($B$730="","",IF(8&lt;=$C$4,N(O731),IF(O733="",O730,O733)))</f>
        <v/>
      </c>
      <c r="P734" s="18">
        <f>IF($B$730="","",IF(9&lt;=$C$4,N(P731),IF(P733="",P730,P733)))</f>
        <v/>
      </c>
      <c r="Q734" s="18">
        <f>IF($B$730="","",IF(10&lt;=$C$4,N(Q731),IF(Q733="",Q730,Q733)))</f>
        <v/>
      </c>
      <c r="R734" s="18">
        <f>IF($B$730="","",IF(11&lt;=$C$4,N(R731),IF(R733="",R730,R733)))</f>
        <v/>
      </c>
      <c r="S734" s="18">
        <f>IF($B$730="","",IF(12&lt;=$C$4,N(S731),IF(S733="",S730,S733)))</f>
        <v/>
      </c>
      <c r="T734" s="18">
        <f>IF($B$730="","",SUMIF($H$7:$S$7,"&lt;="&amp;$C$4,$H734:$S734))</f>
        <v/>
      </c>
      <c r="U734" s="18">
        <f>IF($B$730="","",SUMIF($H$7:$S$7,"&gt;"&amp;$C$4,$H734:$S734))</f>
        <v/>
      </c>
      <c r="V734" s="18">
        <f>IF($B$730="","",SUM($H734:$S734))</f>
        <v/>
      </c>
      <c r="X734" s="22">
        <f>IF($B734="","",IFERROR(INDEX(Cost_Centers!$E:$E,MATCH($B734,Cost_Centers!$A:$A,0)),"(unknown)"))</f>
        <v/>
      </c>
      <c r="Y734" s="22">
        <f>IF($B734="","",IFERROR(INDEX(Cost_Centers!$D:$D,MATCH($B734,Cost_Centers!$A:$A,0)),"(unknown)"))</f>
        <v/>
      </c>
      <c r="Z734" s="22">
        <f>IF(OR($B734="",$G734&lt;&gt;"Variance vs Budget"),"",ABS(N($V734))+ROW()/1000000000)</f>
        <v/>
      </c>
    </row>
    <row r="735">
      <c r="A735" s="13">
        <f>IF(A$730="","",A$730)</f>
        <v/>
      </c>
      <c r="B735" s="13">
        <f>IF(B$730="","",B$730)</f>
        <v/>
      </c>
      <c r="C735" s="13">
        <f>IF(C$730="","",C$730)</f>
        <v/>
      </c>
      <c r="D735" s="13">
        <f>IF(D$730="","",D$730)</f>
        <v/>
      </c>
      <c r="E735" s="13">
        <f>IF(E$730="","",E$730)</f>
        <v/>
      </c>
      <c r="F735" s="13">
        <f>IF(F$730="","",F$730)</f>
        <v/>
      </c>
      <c r="G735" s="36" t="inlineStr">
        <is>
          <t>Prior Month Forecast</t>
        </is>
      </c>
      <c r="H735" s="37">
        <f>IF($B$730="","",IF(COUNTIFS(Prior_Forecast!$A:$A,$B$730,Prior_Forecast!$B:$B,$D$730)&gt;0,SUMIFS(Prior_Forecast!$C:$C,Prior_Forecast!$A:$A,$B$730,Prior_Forecast!$B:$B,$D$730),""))</f>
        <v/>
      </c>
      <c r="I735" s="37">
        <f>IF($B$730="","",IF(COUNTIFS(Prior_Forecast!$A:$A,$B$730,Prior_Forecast!$B:$B,$D$730)&gt;0,SUMIFS(Prior_Forecast!$D:$D,Prior_Forecast!$A:$A,$B$730,Prior_Forecast!$B:$B,$D$730),""))</f>
        <v/>
      </c>
      <c r="J735" s="37">
        <f>IF($B$730="","",IF(COUNTIFS(Prior_Forecast!$A:$A,$B$730,Prior_Forecast!$B:$B,$D$730)&gt;0,SUMIFS(Prior_Forecast!$E:$E,Prior_Forecast!$A:$A,$B$730,Prior_Forecast!$B:$B,$D$730),""))</f>
        <v/>
      </c>
      <c r="K735" s="37">
        <f>IF($B$730="","",IF(COUNTIFS(Prior_Forecast!$A:$A,$B$730,Prior_Forecast!$B:$B,$D$730)&gt;0,SUMIFS(Prior_Forecast!$F:$F,Prior_Forecast!$A:$A,$B$730,Prior_Forecast!$B:$B,$D$730),""))</f>
        <v/>
      </c>
      <c r="L735" s="37">
        <f>IF($B$730="","",IF(COUNTIFS(Prior_Forecast!$A:$A,$B$730,Prior_Forecast!$B:$B,$D$730)&gt;0,SUMIFS(Prior_Forecast!$G:$G,Prior_Forecast!$A:$A,$B$730,Prior_Forecast!$B:$B,$D$730),""))</f>
        <v/>
      </c>
      <c r="M735" s="37">
        <f>IF($B$730="","",IF(COUNTIFS(Prior_Forecast!$A:$A,$B$730,Prior_Forecast!$B:$B,$D$730)&gt;0,SUMIFS(Prior_Forecast!$H:$H,Prior_Forecast!$A:$A,$B$730,Prior_Forecast!$B:$B,$D$730),""))</f>
        <v/>
      </c>
      <c r="N735" s="37">
        <f>IF($B$730="","",IF(COUNTIFS(Prior_Forecast!$A:$A,$B$730,Prior_Forecast!$B:$B,$D$730)&gt;0,SUMIFS(Prior_Forecast!$I:$I,Prior_Forecast!$A:$A,$B$730,Prior_Forecast!$B:$B,$D$730),""))</f>
        <v/>
      </c>
      <c r="O735" s="37">
        <f>IF($B$730="","",IF(COUNTIFS(Prior_Forecast!$A:$A,$B$730,Prior_Forecast!$B:$B,$D$730)&gt;0,SUMIFS(Prior_Forecast!$J:$J,Prior_Forecast!$A:$A,$B$730,Prior_Forecast!$B:$B,$D$730),""))</f>
        <v/>
      </c>
      <c r="P735" s="37">
        <f>IF($B$730="","",IF(COUNTIFS(Prior_Forecast!$A:$A,$B$730,Prior_Forecast!$B:$B,$D$730)&gt;0,SUMIFS(Prior_Forecast!$K:$K,Prior_Forecast!$A:$A,$B$730,Prior_Forecast!$B:$B,$D$730),""))</f>
        <v/>
      </c>
      <c r="Q735" s="37">
        <f>IF($B$730="","",IF(COUNTIFS(Prior_Forecast!$A:$A,$B$730,Prior_Forecast!$B:$B,$D$730)&gt;0,SUMIFS(Prior_Forecast!$L:$L,Prior_Forecast!$A:$A,$B$730,Prior_Forecast!$B:$B,$D$730),""))</f>
        <v/>
      </c>
      <c r="R735" s="37">
        <f>IF($B$730="","",IF(COUNTIFS(Prior_Forecast!$A:$A,$B$730,Prior_Forecast!$B:$B,$D$730)&gt;0,SUMIFS(Prior_Forecast!$M:$M,Prior_Forecast!$A:$A,$B$730,Prior_Forecast!$B:$B,$D$730),""))</f>
        <v/>
      </c>
      <c r="S735" s="37">
        <f>IF($B$730="","",IF(COUNTIFS(Prior_Forecast!$A:$A,$B$730,Prior_Forecast!$B:$B,$D$730)&gt;0,SUMIFS(Prior_Forecast!$N:$N,Prior_Forecast!$A:$A,$B$730,Prior_Forecast!$B:$B,$D$730),""))</f>
        <v/>
      </c>
      <c r="T735" s="37">
        <f>IF($B$730="","",IF(COUNTIFS(Prior_Forecast!$A:$A,$B$730,Prior_Forecast!$B:$B,$D$730)&gt;0,SUMIFS(Prior_Forecast!$O:$O,Prior_Forecast!$A:$A,$B$730,Prior_Forecast!$B:$B,$D$730),""))</f>
        <v/>
      </c>
      <c r="U735" s="37">
        <f>IF($B$730="","",IF(COUNTIFS(Prior_Forecast!$A:$A,$B$730,Prior_Forecast!$B:$B,$D$730)&gt;0,SUMIFS(Prior_Forecast!$P:$P,Prior_Forecast!$A:$A,$B$730,Prior_Forecast!$B:$B,$D$730),""))</f>
        <v/>
      </c>
      <c r="V735" s="37">
        <f>IF($B$730="","",IF(COUNTIFS(Prior_Forecast!$A:$A,$B$730,Prior_Forecast!$B:$B,$D$730)&gt;0,SUMIFS(Prior_Forecast!$Q:$Q,Prior_Forecast!$A:$A,$B$730,Prior_Forecast!$B:$B,$D$730),""))</f>
        <v/>
      </c>
      <c r="X735" s="22">
        <f>IF($B735="","",IFERROR(INDEX(Cost_Centers!$E:$E,MATCH($B735,Cost_Centers!$A:$A,0)),"(unknown)"))</f>
        <v/>
      </c>
      <c r="Y735" s="22">
        <f>IF($B735="","",IFERROR(INDEX(Cost_Centers!$D:$D,MATCH($B735,Cost_Centers!$A:$A,0)),"(unknown)"))</f>
        <v/>
      </c>
      <c r="Z735" s="22">
        <f>IF(OR($B735="",$G735&lt;&gt;"Variance vs Budget"),"",ABS(N($V735))+ROW()/1000000000)</f>
        <v/>
      </c>
    </row>
    <row r="736">
      <c r="A736" s="13">
        <f>IF(A$730="","",A$730)</f>
        <v/>
      </c>
      <c r="B736" s="13">
        <f>IF(B$730="","",B$730)</f>
        <v/>
      </c>
      <c r="C736" s="13">
        <f>IF(C$730="","",C$730)</f>
        <v/>
      </c>
      <c r="D736" s="13">
        <f>IF(D$730="","",D$730)</f>
        <v/>
      </c>
      <c r="E736" s="13">
        <f>IF(E$730="","",E$730)</f>
        <v/>
      </c>
      <c r="F736" s="13">
        <f>IF(F$730="","",F$730)</f>
        <v/>
      </c>
      <c r="G736" s="6" t="inlineStr">
        <is>
          <t>Variance vs Prior Month</t>
        </is>
      </c>
      <c r="H736" s="33">
        <f>IF(OR($B$730="",H735=""),"",H734-H735)</f>
        <v/>
      </c>
      <c r="I736" s="33">
        <f>IF(OR($B$730="",I735=""),"",I734-I735)</f>
        <v/>
      </c>
      <c r="J736" s="33">
        <f>IF(OR($B$730="",J735=""),"",J734-J735)</f>
        <v/>
      </c>
      <c r="K736" s="33">
        <f>IF(OR($B$730="",K735=""),"",K734-K735)</f>
        <v/>
      </c>
      <c r="L736" s="33">
        <f>IF(OR($B$730="",L735=""),"",L734-L735)</f>
        <v/>
      </c>
      <c r="M736" s="33">
        <f>IF(OR($B$730="",M735=""),"",M734-M735)</f>
        <v/>
      </c>
      <c r="N736" s="33">
        <f>IF(OR($B$730="",N735=""),"",N734-N735)</f>
        <v/>
      </c>
      <c r="O736" s="33">
        <f>IF(OR($B$730="",O735=""),"",O734-O735)</f>
        <v/>
      </c>
      <c r="P736" s="33">
        <f>IF(OR($B$730="",P735=""),"",P734-P735)</f>
        <v/>
      </c>
      <c r="Q736" s="33">
        <f>IF(OR($B$730="",Q735=""),"",Q734-Q735)</f>
        <v/>
      </c>
      <c r="R736" s="33">
        <f>IF(OR($B$730="",R735=""),"",R734-R735)</f>
        <v/>
      </c>
      <c r="S736" s="33">
        <f>IF(OR($B$730="",S735=""),"",S734-S735)</f>
        <v/>
      </c>
      <c r="T736" s="33">
        <f>IF(OR($B$730="",T735=""),"",T734-T735)</f>
        <v/>
      </c>
      <c r="U736" s="33">
        <f>IF(OR($B$730="",U735=""),"",U734-U735)</f>
        <v/>
      </c>
      <c r="V736" s="33">
        <f>IF(OR($B$730="",V735=""),"",V734-V735)</f>
        <v/>
      </c>
      <c r="X736" s="22">
        <f>IF($B736="","",IFERROR(INDEX(Cost_Centers!$E:$E,MATCH($B736,Cost_Centers!$A:$A,0)),"(unknown)"))</f>
        <v/>
      </c>
      <c r="Y736" s="22">
        <f>IF($B736="","",IFERROR(INDEX(Cost_Centers!$D:$D,MATCH($B736,Cost_Centers!$A:$A,0)),"(unknown)"))</f>
        <v/>
      </c>
      <c r="Z736" s="22">
        <f>IF(OR($B736="",$G736&lt;&gt;"Variance vs Budget"),"",ABS(N($V736))+ROW()/1000000000)</f>
        <v/>
      </c>
    </row>
    <row r="737" ht="45" customHeight="1">
      <c r="A737" s="13">
        <f>IF(A$730="","",A$730)</f>
        <v/>
      </c>
      <c r="B737" s="13">
        <f>IF(B$730="","",B$730)</f>
        <v/>
      </c>
      <c r="C737" s="13">
        <f>IF(C$730="","",C$730)</f>
        <v/>
      </c>
      <c r="D737" s="13">
        <f>IF(D$730="","",D$730)</f>
        <v/>
      </c>
      <c r="E737" s="13">
        <f>IF(E$730="","",E$730)</f>
        <v/>
      </c>
      <c r="F737" s="13">
        <f>IF(F$730="","",F$730)</f>
        <v/>
      </c>
      <c r="G737" s="7" t="inlineStr">
        <is>
          <t>Rationale</t>
        </is>
      </c>
      <c r="H737" s="38" t="n"/>
      <c r="I737" s="38" t="n"/>
      <c r="J737" s="38" t="n"/>
      <c r="K737" s="38" t="n"/>
      <c r="L737" s="38" t="n"/>
      <c r="M737" s="38" t="n"/>
      <c r="N737" s="38" t="n"/>
      <c r="O737" s="38" t="n"/>
      <c r="P737" s="38" t="n"/>
      <c r="Q737" s="38" t="n"/>
      <c r="R737" s="38" t="n"/>
      <c r="S737" s="38" t="n"/>
      <c r="T737" s="38" t="n"/>
      <c r="U737" s="38" t="n"/>
      <c r="V737" s="7" t="n"/>
      <c r="X737" s="22">
        <f>IF($B737="","",IFERROR(INDEX(Cost_Centers!$E:$E,MATCH($B737,Cost_Centers!$A:$A,0)),"(unknown)"))</f>
        <v/>
      </c>
      <c r="Y737" s="22">
        <f>IF($B737="","",IFERROR(INDEX(Cost_Centers!$D:$D,MATCH($B737,Cost_Centers!$A:$A,0)),"(unknown)"))</f>
        <v/>
      </c>
      <c r="Z737" s="22">
        <f>IF(OR($B737="",$G737&lt;&gt;"Variance vs Budget"),"",ABS(N($V737))+ROW()/1000000000)</f>
        <v/>
      </c>
    </row>
    <row r="738">
      <c r="A738" s="30">
        <f>IF($D$738="","",LEFT($D$738,FIND("|",$D$738&amp;"|")-1))</f>
        <v/>
      </c>
      <c r="B738" s="31" t="n"/>
      <c r="C738" s="30">
        <f>IF($B$738="","",IFERROR(INDEX(Cost_Centers!$B:$B,MATCH($B$738,Cost_Centers!$A:$A,0)),"(not in master)"))</f>
        <v/>
      </c>
      <c r="D738" s="31" t="n"/>
      <c r="E738" s="30">
        <f>IF($D$738="","",IFERROR(INDEX(Accounts!$D:$D,MATCH($D$738,Accounts!$A:$A,0)),"(not in master)"))</f>
        <v/>
      </c>
      <c r="F738" s="31" t="n"/>
      <c r="G738" s="30" t="inlineStr">
        <is>
          <t>Budget</t>
        </is>
      </c>
      <c r="H738" s="32">
        <f>IF($B$738="","",SUMIFS(Opex_Budget!$O:$O,Opex_Budget!$A:$A,$C$3,Opex_Budget!$E:$E,$B$738,Opex_Budget!$F:$F,$D$738,Opex_Budget!$N:$N,"JPY")*$E$5+SUMIFS(Opex_Budget!$O:$O,Opex_Budget!$A:$A,$C$3,Opex_Budget!$E:$E,$B$738,Opex_Budget!$F:$F,$D$738,Opex_Budget!$N:$N,"USD")*$F$5+SUMIFS(Opex_Budget!$O:$O,Opex_Budget!$A:$A,$C$3,Opex_Budget!$E:$E,$B$738,Opex_Budget!$F:$F,$D$738,Opex_Budget!$N:$N,"EUR")*$G$5+SUMIFS(Opex_Budget!$O:$O,Opex_Budget!$A:$A,$C$3,Opex_Budget!$E:$E,$B$738,Opex_Budget!$F:$F,$D$738,Opex_Budget!$N:$N,"GBP")*$H$5)</f>
        <v/>
      </c>
      <c r="I738" s="32">
        <f>IF($B$738="","",SUMIFS(Opex_Budget!$P:$P,Opex_Budget!$A:$A,$C$3,Opex_Budget!$E:$E,$B$738,Opex_Budget!$F:$F,$D$738,Opex_Budget!$N:$N,"JPY")*$E$5+SUMIFS(Opex_Budget!$P:$P,Opex_Budget!$A:$A,$C$3,Opex_Budget!$E:$E,$B$738,Opex_Budget!$F:$F,$D$738,Opex_Budget!$N:$N,"USD")*$F$5+SUMIFS(Opex_Budget!$P:$P,Opex_Budget!$A:$A,$C$3,Opex_Budget!$E:$E,$B$738,Opex_Budget!$F:$F,$D$738,Opex_Budget!$N:$N,"EUR")*$G$5+SUMIFS(Opex_Budget!$P:$P,Opex_Budget!$A:$A,$C$3,Opex_Budget!$E:$E,$B$738,Opex_Budget!$F:$F,$D$738,Opex_Budget!$N:$N,"GBP")*$H$5)</f>
        <v/>
      </c>
      <c r="J738" s="32">
        <f>IF($B$738="","",SUMIFS(Opex_Budget!$Q:$Q,Opex_Budget!$A:$A,$C$3,Opex_Budget!$E:$E,$B$738,Opex_Budget!$F:$F,$D$738,Opex_Budget!$N:$N,"JPY")*$E$5+SUMIFS(Opex_Budget!$Q:$Q,Opex_Budget!$A:$A,$C$3,Opex_Budget!$E:$E,$B$738,Opex_Budget!$F:$F,$D$738,Opex_Budget!$N:$N,"USD")*$F$5+SUMIFS(Opex_Budget!$Q:$Q,Opex_Budget!$A:$A,$C$3,Opex_Budget!$E:$E,$B$738,Opex_Budget!$F:$F,$D$738,Opex_Budget!$N:$N,"EUR")*$G$5+SUMIFS(Opex_Budget!$Q:$Q,Opex_Budget!$A:$A,$C$3,Opex_Budget!$E:$E,$B$738,Opex_Budget!$F:$F,$D$738,Opex_Budget!$N:$N,"GBP")*$H$5)</f>
        <v/>
      </c>
      <c r="K738" s="32">
        <f>IF($B$738="","",SUMIFS(Opex_Budget!$R:$R,Opex_Budget!$A:$A,$C$3,Opex_Budget!$E:$E,$B$738,Opex_Budget!$F:$F,$D$738,Opex_Budget!$N:$N,"JPY")*$E$5+SUMIFS(Opex_Budget!$R:$R,Opex_Budget!$A:$A,$C$3,Opex_Budget!$E:$E,$B$738,Opex_Budget!$F:$F,$D$738,Opex_Budget!$N:$N,"USD")*$F$5+SUMIFS(Opex_Budget!$R:$R,Opex_Budget!$A:$A,$C$3,Opex_Budget!$E:$E,$B$738,Opex_Budget!$F:$F,$D$738,Opex_Budget!$N:$N,"EUR")*$G$5+SUMIFS(Opex_Budget!$R:$R,Opex_Budget!$A:$A,$C$3,Opex_Budget!$E:$E,$B$738,Opex_Budget!$F:$F,$D$738,Opex_Budget!$N:$N,"GBP")*$H$5)</f>
        <v/>
      </c>
      <c r="L738" s="32">
        <f>IF($B$738="","",SUMIFS(Opex_Budget!$S:$S,Opex_Budget!$A:$A,$C$3,Opex_Budget!$E:$E,$B$738,Opex_Budget!$F:$F,$D$738,Opex_Budget!$N:$N,"JPY")*$E$5+SUMIFS(Opex_Budget!$S:$S,Opex_Budget!$A:$A,$C$3,Opex_Budget!$E:$E,$B$738,Opex_Budget!$F:$F,$D$738,Opex_Budget!$N:$N,"USD")*$F$5+SUMIFS(Opex_Budget!$S:$S,Opex_Budget!$A:$A,$C$3,Opex_Budget!$E:$E,$B$738,Opex_Budget!$F:$F,$D$738,Opex_Budget!$N:$N,"EUR")*$G$5+SUMIFS(Opex_Budget!$S:$S,Opex_Budget!$A:$A,$C$3,Opex_Budget!$E:$E,$B$738,Opex_Budget!$F:$F,$D$738,Opex_Budget!$N:$N,"GBP")*$H$5)</f>
        <v/>
      </c>
      <c r="M738" s="32">
        <f>IF($B$738="","",SUMIFS(Opex_Budget!$T:$T,Opex_Budget!$A:$A,$C$3,Opex_Budget!$E:$E,$B$738,Opex_Budget!$F:$F,$D$738,Opex_Budget!$N:$N,"JPY")*$E$5+SUMIFS(Opex_Budget!$T:$T,Opex_Budget!$A:$A,$C$3,Opex_Budget!$E:$E,$B$738,Opex_Budget!$F:$F,$D$738,Opex_Budget!$N:$N,"USD")*$F$5+SUMIFS(Opex_Budget!$T:$T,Opex_Budget!$A:$A,$C$3,Opex_Budget!$E:$E,$B$738,Opex_Budget!$F:$F,$D$738,Opex_Budget!$N:$N,"EUR")*$G$5+SUMIFS(Opex_Budget!$T:$T,Opex_Budget!$A:$A,$C$3,Opex_Budget!$E:$E,$B$738,Opex_Budget!$F:$F,$D$738,Opex_Budget!$N:$N,"GBP")*$H$5)</f>
        <v/>
      </c>
      <c r="N738" s="32">
        <f>IF($B$738="","",SUMIFS(Opex_Budget!$U:$U,Opex_Budget!$A:$A,$C$3,Opex_Budget!$E:$E,$B$738,Opex_Budget!$F:$F,$D$738,Opex_Budget!$N:$N,"JPY")*$E$5+SUMIFS(Opex_Budget!$U:$U,Opex_Budget!$A:$A,$C$3,Opex_Budget!$E:$E,$B$738,Opex_Budget!$F:$F,$D$738,Opex_Budget!$N:$N,"USD")*$F$5+SUMIFS(Opex_Budget!$U:$U,Opex_Budget!$A:$A,$C$3,Opex_Budget!$E:$E,$B$738,Opex_Budget!$F:$F,$D$738,Opex_Budget!$N:$N,"EUR")*$G$5+SUMIFS(Opex_Budget!$U:$U,Opex_Budget!$A:$A,$C$3,Opex_Budget!$E:$E,$B$738,Opex_Budget!$F:$F,$D$738,Opex_Budget!$N:$N,"GBP")*$H$5)</f>
        <v/>
      </c>
      <c r="O738" s="32">
        <f>IF($B$738="","",SUMIFS(Opex_Budget!$V:$V,Opex_Budget!$A:$A,$C$3,Opex_Budget!$E:$E,$B$738,Opex_Budget!$F:$F,$D$738,Opex_Budget!$N:$N,"JPY")*$E$5+SUMIFS(Opex_Budget!$V:$V,Opex_Budget!$A:$A,$C$3,Opex_Budget!$E:$E,$B$738,Opex_Budget!$F:$F,$D$738,Opex_Budget!$N:$N,"USD")*$F$5+SUMIFS(Opex_Budget!$V:$V,Opex_Budget!$A:$A,$C$3,Opex_Budget!$E:$E,$B$738,Opex_Budget!$F:$F,$D$738,Opex_Budget!$N:$N,"EUR")*$G$5+SUMIFS(Opex_Budget!$V:$V,Opex_Budget!$A:$A,$C$3,Opex_Budget!$E:$E,$B$738,Opex_Budget!$F:$F,$D$738,Opex_Budget!$N:$N,"GBP")*$H$5)</f>
        <v/>
      </c>
      <c r="P738" s="32">
        <f>IF($B$738="","",SUMIFS(Opex_Budget!$W:$W,Opex_Budget!$A:$A,$C$3,Opex_Budget!$E:$E,$B$738,Opex_Budget!$F:$F,$D$738,Opex_Budget!$N:$N,"JPY")*$E$5+SUMIFS(Opex_Budget!$W:$W,Opex_Budget!$A:$A,$C$3,Opex_Budget!$E:$E,$B$738,Opex_Budget!$F:$F,$D$738,Opex_Budget!$N:$N,"USD")*$F$5+SUMIFS(Opex_Budget!$W:$W,Opex_Budget!$A:$A,$C$3,Opex_Budget!$E:$E,$B$738,Opex_Budget!$F:$F,$D$738,Opex_Budget!$N:$N,"EUR")*$G$5+SUMIFS(Opex_Budget!$W:$W,Opex_Budget!$A:$A,$C$3,Opex_Budget!$E:$E,$B$738,Opex_Budget!$F:$F,$D$738,Opex_Budget!$N:$N,"GBP")*$H$5)</f>
        <v/>
      </c>
      <c r="Q738" s="32">
        <f>IF($B$738="","",SUMIFS(Opex_Budget!$X:$X,Opex_Budget!$A:$A,$C$3,Opex_Budget!$E:$E,$B$738,Opex_Budget!$F:$F,$D$738,Opex_Budget!$N:$N,"JPY")*$E$5+SUMIFS(Opex_Budget!$X:$X,Opex_Budget!$A:$A,$C$3,Opex_Budget!$E:$E,$B$738,Opex_Budget!$F:$F,$D$738,Opex_Budget!$N:$N,"USD")*$F$5+SUMIFS(Opex_Budget!$X:$X,Opex_Budget!$A:$A,$C$3,Opex_Budget!$E:$E,$B$738,Opex_Budget!$F:$F,$D$738,Opex_Budget!$N:$N,"EUR")*$G$5+SUMIFS(Opex_Budget!$X:$X,Opex_Budget!$A:$A,$C$3,Opex_Budget!$E:$E,$B$738,Opex_Budget!$F:$F,$D$738,Opex_Budget!$N:$N,"GBP")*$H$5)</f>
        <v/>
      </c>
      <c r="R738" s="32">
        <f>IF($B$738="","",SUMIFS(Opex_Budget!$Y:$Y,Opex_Budget!$A:$A,$C$3,Opex_Budget!$E:$E,$B$738,Opex_Budget!$F:$F,$D$738,Opex_Budget!$N:$N,"JPY")*$E$5+SUMIFS(Opex_Budget!$Y:$Y,Opex_Budget!$A:$A,$C$3,Opex_Budget!$E:$E,$B$738,Opex_Budget!$F:$F,$D$738,Opex_Budget!$N:$N,"USD")*$F$5+SUMIFS(Opex_Budget!$Y:$Y,Opex_Budget!$A:$A,$C$3,Opex_Budget!$E:$E,$B$738,Opex_Budget!$F:$F,$D$738,Opex_Budget!$N:$N,"EUR")*$G$5+SUMIFS(Opex_Budget!$Y:$Y,Opex_Budget!$A:$A,$C$3,Opex_Budget!$E:$E,$B$738,Opex_Budget!$F:$F,$D$738,Opex_Budget!$N:$N,"GBP")*$H$5)</f>
        <v/>
      </c>
      <c r="S738" s="32">
        <f>IF($B$738="","",SUMIFS(Opex_Budget!$Z:$Z,Opex_Budget!$A:$A,$C$3,Opex_Budget!$E:$E,$B$738,Opex_Budget!$F:$F,$D$738,Opex_Budget!$N:$N,"JPY")*$E$5+SUMIFS(Opex_Budget!$Z:$Z,Opex_Budget!$A:$A,$C$3,Opex_Budget!$E:$E,$B$738,Opex_Budget!$F:$F,$D$738,Opex_Budget!$N:$N,"USD")*$F$5+SUMIFS(Opex_Budget!$Z:$Z,Opex_Budget!$A:$A,$C$3,Opex_Budget!$E:$E,$B$738,Opex_Budget!$F:$F,$D$738,Opex_Budget!$N:$N,"EUR")*$G$5+SUMIFS(Opex_Budget!$Z:$Z,Opex_Budget!$A:$A,$C$3,Opex_Budget!$E:$E,$B$738,Opex_Budget!$F:$F,$D$738,Opex_Budget!$N:$N,"GBP")*$H$5)</f>
        <v/>
      </c>
      <c r="T738" s="32">
        <f>IF($B$738="","",SUMIF($H$7:$S$7,"&lt;="&amp;$C$4,$H738:$S738))</f>
        <v/>
      </c>
      <c r="U738" s="32">
        <f>IF($B$738="","",SUMIF($H$7:$S$7,"&gt;"&amp;$C$4,$H738:$S738))</f>
        <v/>
      </c>
      <c r="V738" s="32">
        <f>IF($B$738="","",SUM($H738:$S738))</f>
        <v/>
      </c>
      <c r="X738" s="22">
        <f>IF($B738="","",IFERROR(INDEX(Cost_Centers!$E:$E,MATCH($B738,Cost_Centers!$A:$A,0)),"(unknown)"))</f>
        <v/>
      </c>
      <c r="Y738" s="22">
        <f>IF($B738="","",IFERROR(INDEX(Cost_Centers!$D:$D,MATCH($B738,Cost_Centers!$A:$A,0)),"(unknown)"))</f>
        <v/>
      </c>
      <c r="Z738" s="22">
        <f>IF(OR($B738="",$G738&lt;&gt;"Variance vs Budget"),"",ABS(N($V738))+ROW()/1000000000)</f>
        <v/>
      </c>
    </row>
    <row r="739">
      <c r="A739" s="13">
        <f>IF(A$738="","",A$738)</f>
        <v/>
      </c>
      <c r="B739" s="13">
        <f>IF(B$738="","",B$738)</f>
        <v/>
      </c>
      <c r="C739" s="13">
        <f>IF(C$738="","",C$738)</f>
        <v/>
      </c>
      <c r="D739" s="13">
        <f>IF(D$738="","",D$738)</f>
        <v/>
      </c>
      <c r="E739" s="13">
        <f>IF(E$738="","",E$738)</f>
        <v/>
      </c>
      <c r="F739" s="13">
        <f>IF(F$738="","",F$738)</f>
        <v/>
      </c>
      <c r="G739" s="7" t="inlineStr">
        <is>
          <t>Actual</t>
        </is>
      </c>
      <c r="H739" s="18">
        <f>IF(OR($B$738="",1&gt;$C$4),"",SUMIFS(Actuals!$G:$G,Actuals!$B:$B,$C$3,Actuals!$C:$C,1,Actuals!$D:$D,$B$738,Actuals!$A:$A,LEFT($D$738,FIND("|",$D$738&amp;"|")-1),Actuals!$E:$E,MID($D$738,FIND("|",$D$738&amp;"|")+1,50),Actuals!$F:$F,"JPY")*$E$5+SUMIFS(Actuals!$G:$G,Actuals!$B:$B,$C$3,Actuals!$C:$C,1,Actuals!$D:$D,$B$738,Actuals!$A:$A,LEFT($D$738,FIND("|",$D$738&amp;"|")-1),Actuals!$E:$E,MID($D$738,FIND("|",$D$738&amp;"|")+1,50),Actuals!$F:$F,"USD")*$F$5+SUMIFS(Actuals!$G:$G,Actuals!$B:$B,$C$3,Actuals!$C:$C,1,Actuals!$D:$D,$B$738,Actuals!$A:$A,LEFT($D$738,FIND("|",$D$738&amp;"|")-1),Actuals!$E:$E,MID($D$738,FIND("|",$D$738&amp;"|")+1,50),Actuals!$F:$F,"EUR")*$G$5+SUMIFS(Actuals!$G:$G,Actuals!$B:$B,$C$3,Actuals!$C:$C,1,Actuals!$D:$D,$B$738,Actuals!$A:$A,LEFT($D$738,FIND("|",$D$738&amp;"|")-1),Actuals!$E:$E,MID($D$738,FIND("|",$D$738&amp;"|")+1,50),Actuals!$F:$F,"GBP")*$H$5)</f>
        <v/>
      </c>
      <c r="I739" s="18">
        <f>IF(OR($B$738="",2&gt;$C$4),"",SUMIFS(Actuals!$G:$G,Actuals!$B:$B,$C$3,Actuals!$C:$C,2,Actuals!$D:$D,$B$738,Actuals!$A:$A,LEFT($D$738,FIND("|",$D$738&amp;"|")-1),Actuals!$E:$E,MID($D$738,FIND("|",$D$738&amp;"|")+1,50),Actuals!$F:$F,"JPY")*$E$5+SUMIFS(Actuals!$G:$G,Actuals!$B:$B,$C$3,Actuals!$C:$C,2,Actuals!$D:$D,$B$738,Actuals!$A:$A,LEFT($D$738,FIND("|",$D$738&amp;"|")-1),Actuals!$E:$E,MID($D$738,FIND("|",$D$738&amp;"|")+1,50),Actuals!$F:$F,"USD")*$F$5+SUMIFS(Actuals!$G:$G,Actuals!$B:$B,$C$3,Actuals!$C:$C,2,Actuals!$D:$D,$B$738,Actuals!$A:$A,LEFT($D$738,FIND("|",$D$738&amp;"|")-1),Actuals!$E:$E,MID($D$738,FIND("|",$D$738&amp;"|")+1,50),Actuals!$F:$F,"EUR")*$G$5+SUMIFS(Actuals!$G:$G,Actuals!$B:$B,$C$3,Actuals!$C:$C,2,Actuals!$D:$D,$B$738,Actuals!$A:$A,LEFT($D$738,FIND("|",$D$738&amp;"|")-1),Actuals!$E:$E,MID($D$738,FIND("|",$D$738&amp;"|")+1,50),Actuals!$F:$F,"GBP")*$H$5)</f>
        <v/>
      </c>
      <c r="J739" s="18">
        <f>IF(OR($B$738="",3&gt;$C$4),"",SUMIFS(Actuals!$G:$G,Actuals!$B:$B,$C$3,Actuals!$C:$C,3,Actuals!$D:$D,$B$738,Actuals!$A:$A,LEFT($D$738,FIND("|",$D$738&amp;"|")-1),Actuals!$E:$E,MID($D$738,FIND("|",$D$738&amp;"|")+1,50),Actuals!$F:$F,"JPY")*$E$5+SUMIFS(Actuals!$G:$G,Actuals!$B:$B,$C$3,Actuals!$C:$C,3,Actuals!$D:$D,$B$738,Actuals!$A:$A,LEFT($D$738,FIND("|",$D$738&amp;"|")-1),Actuals!$E:$E,MID($D$738,FIND("|",$D$738&amp;"|")+1,50),Actuals!$F:$F,"USD")*$F$5+SUMIFS(Actuals!$G:$G,Actuals!$B:$B,$C$3,Actuals!$C:$C,3,Actuals!$D:$D,$B$738,Actuals!$A:$A,LEFT($D$738,FIND("|",$D$738&amp;"|")-1),Actuals!$E:$E,MID($D$738,FIND("|",$D$738&amp;"|")+1,50),Actuals!$F:$F,"EUR")*$G$5+SUMIFS(Actuals!$G:$G,Actuals!$B:$B,$C$3,Actuals!$C:$C,3,Actuals!$D:$D,$B$738,Actuals!$A:$A,LEFT($D$738,FIND("|",$D$738&amp;"|")-1),Actuals!$E:$E,MID($D$738,FIND("|",$D$738&amp;"|")+1,50),Actuals!$F:$F,"GBP")*$H$5)</f>
        <v/>
      </c>
      <c r="K739" s="18">
        <f>IF(OR($B$738="",4&gt;$C$4),"",SUMIFS(Actuals!$G:$G,Actuals!$B:$B,$C$3,Actuals!$C:$C,4,Actuals!$D:$D,$B$738,Actuals!$A:$A,LEFT($D$738,FIND("|",$D$738&amp;"|")-1),Actuals!$E:$E,MID($D$738,FIND("|",$D$738&amp;"|")+1,50),Actuals!$F:$F,"JPY")*$E$5+SUMIFS(Actuals!$G:$G,Actuals!$B:$B,$C$3,Actuals!$C:$C,4,Actuals!$D:$D,$B$738,Actuals!$A:$A,LEFT($D$738,FIND("|",$D$738&amp;"|")-1),Actuals!$E:$E,MID($D$738,FIND("|",$D$738&amp;"|")+1,50),Actuals!$F:$F,"USD")*$F$5+SUMIFS(Actuals!$G:$G,Actuals!$B:$B,$C$3,Actuals!$C:$C,4,Actuals!$D:$D,$B$738,Actuals!$A:$A,LEFT($D$738,FIND("|",$D$738&amp;"|")-1),Actuals!$E:$E,MID($D$738,FIND("|",$D$738&amp;"|")+1,50),Actuals!$F:$F,"EUR")*$G$5+SUMIFS(Actuals!$G:$G,Actuals!$B:$B,$C$3,Actuals!$C:$C,4,Actuals!$D:$D,$B$738,Actuals!$A:$A,LEFT($D$738,FIND("|",$D$738&amp;"|")-1),Actuals!$E:$E,MID($D$738,FIND("|",$D$738&amp;"|")+1,50),Actuals!$F:$F,"GBP")*$H$5)</f>
        <v/>
      </c>
      <c r="L739" s="18">
        <f>IF(OR($B$738="",5&gt;$C$4),"",SUMIFS(Actuals!$G:$G,Actuals!$B:$B,$C$3,Actuals!$C:$C,5,Actuals!$D:$D,$B$738,Actuals!$A:$A,LEFT($D$738,FIND("|",$D$738&amp;"|")-1),Actuals!$E:$E,MID($D$738,FIND("|",$D$738&amp;"|")+1,50),Actuals!$F:$F,"JPY")*$E$5+SUMIFS(Actuals!$G:$G,Actuals!$B:$B,$C$3,Actuals!$C:$C,5,Actuals!$D:$D,$B$738,Actuals!$A:$A,LEFT($D$738,FIND("|",$D$738&amp;"|")-1),Actuals!$E:$E,MID($D$738,FIND("|",$D$738&amp;"|")+1,50),Actuals!$F:$F,"USD")*$F$5+SUMIFS(Actuals!$G:$G,Actuals!$B:$B,$C$3,Actuals!$C:$C,5,Actuals!$D:$D,$B$738,Actuals!$A:$A,LEFT($D$738,FIND("|",$D$738&amp;"|")-1),Actuals!$E:$E,MID($D$738,FIND("|",$D$738&amp;"|")+1,50),Actuals!$F:$F,"EUR")*$G$5+SUMIFS(Actuals!$G:$G,Actuals!$B:$B,$C$3,Actuals!$C:$C,5,Actuals!$D:$D,$B$738,Actuals!$A:$A,LEFT($D$738,FIND("|",$D$738&amp;"|")-1),Actuals!$E:$E,MID($D$738,FIND("|",$D$738&amp;"|")+1,50),Actuals!$F:$F,"GBP")*$H$5)</f>
        <v/>
      </c>
      <c r="M739" s="18">
        <f>IF(OR($B$738="",6&gt;$C$4),"",SUMIFS(Actuals!$G:$G,Actuals!$B:$B,$C$3,Actuals!$C:$C,6,Actuals!$D:$D,$B$738,Actuals!$A:$A,LEFT($D$738,FIND("|",$D$738&amp;"|")-1),Actuals!$E:$E,MID($D$738,FIND("|",$D$738&amp;"|")+1,50),Actuals!$F:$F,"JPY")*$E$5+SUMIFS(Actuals!$G:$G,Actuals!$B:$B,$C$3,Actuals!$C:$C,6,Actuals!$D:$D,$B$738,Actuals!$A:$A,LEFT($D$738,FIND("|",$D$738&amp;"|")-1),Actuals!$E:$E,MID($D$738,FIND("|",$D$738&amp;"|")+1,50),Actuals!$F:$F,"USD")*$F$5+SUMIFS(Actuals!$G:$G,Actuals!$B:$B,$C$3,Actuals!$C:$C,6,Actuals!$D:$D,$B$738,Actuals!$A:$A,LEFT($D$738,FIND("|",$D$738&amp;"|")-1),Actuals!$E:$E,MID($D$738,FIND("|",$D$738&amp;"|")+1,50),Actuals!$F:$F,"EUR")*$G$5+SUMIFS(Actuals!$G:$G,Actuals!$B:$B,$C$3,Actuals!$C:$C,6,Actuals!$D:$D,$B$738,Actuals!$A:$A,LEFT($D$738,FIND("|",$D$738&amp;"|")-1),Actuals!$E:$E,MID($D$738,FIND("|",$D$738&amp;"|")+1,50),Actuals!$F:$F,"GBP")*$H$5)</f>
        <v/>
      </c>
      <c r="N739" s="18">
        <f>IF(OR($B$738="",7&gt;$C$4),"",SUMIFS(Actuals!$G:$G,Actuals!$B:$B,$C$3,Actuals!$C:$C,7,Actuals!$D:$D,$B$738,Actuals!$A:$A,LEFT($D$738,FIND("|",$D$738&amp;"|")-1),Actuals!$E:$E,MID($D$738,FIND("|",$D$738&amp;"|")+1,50),Actuals!$F:$F,"JPY")*$E$5+SUMIFS(Actuals!$G:$G,Actuals!$B:$B,$C$3,Actuals!$C:$C,7,Actuals!$D:$D,$B$738,Actuals!$A:$A,LEFT($D$738,FIND("|",$D$738&amp;"|")-1),Actuals!$E:$E,MID($D$738,FIND("|",$D$738&amp;"|")+1,50),Actuals!$F:$F,"USD")*$F$5+SUMIFS(Actuals!$G:$G,Actuals!$B:$B,$C$3,Actuals!$C:$C,7,Actuals!$D:$D,$B$738,Actuals!$A:$A,LEFT($D$738,FIND("|",$D$738&amp;"|")-1),Actuals!$E:$E,MID($D$738,FIND("|",$D$738&amp;"|")+1,50),Actuals!$F:$F,"EUR")*$G$5+SUMIFS(Actuals!$G:$G,Actuals!$B:$B,$C$3,Actuals!$C:$C,7,Actuals!$D:$D,$B$738,Actuals!$A:$A,LEFT($D$738,FIND("|",$D$738&amp;"|")-1),Actuals!$E:$E,MID($D$738,FIND("|",$D$738&amp;"|")+1,50),Actuals!$F:$F,"GBP")*$H$5)</f>
        <v/>
      </c>
      <c r="O739" s="18">
        <f>IF(OR($B$738="",8&gt;$C$4),"",SUMIFS(Actuals!$G:$G,Actuals!$B:$B,$C$3,Actuals!$C:$C,8,Actuals!$D:$D,$B$738,Actuals!$A:$A,LEFT($D$738,FIND("|",$D$738&amp;"|")-1),Actuals!$E:$E,MID($D$738,FIND("|",$D$738&amp;"|")+1,50),Actuals!$F:$F,"JPY")*$E$5+SUMIFS(Actuals!$G:$G,Actuals!$B:$B,$C$3,Actuals!$C:$C,8,Actuals!$D:$D,$B$738,Actuals!$A:$A,LEFT($D$738,FIND("|",$D$738&amp;"|")-1),Actuals!$E:$E,MID($D$738,FIND("|",$D$738&amp;"|")+1,50),Actuals!$F:$F,"USD")*$F$5+SUMIFS(Actuals!$G:$G,Actuals!$B:$B,$C$3,Actuals!$C:$C,8,Actuals!$D:$D,$B$738,Actuals!$A:$A,LEFT($D$738,FIND("|",$D$738&amp;"|")-1),Actuals!$E:$E,MID($D$738,FIND("|",$D$738&amp;"|")+1,50),Actuals!$F:$F,"EUR")*$G$5+SUMIFS(Actuals!$G:$G,Actuals!$B:$B,$C$3,Actuals!$C:$C,8,Actuals!$D:$D,$B$738,Actuals!$A:$A,LEFT($D$738,FIND("|",$D$738&amp;"|")-1),Actuals!$E:$E,MID($D$738,FIND("|",$D$738&amp;"|")+1,50),Actuals!$F:$F,"GBP")*$H$5)</f>
        <v/>
      </c>
      <c r="P739" s="18">
        <f>IF(OR($B$738="",9&gt;$C$4),"",SUMIFS(Actuals!$G:$G,Actuals!$B:$B,$C$3,Actuals!$C:$C,9,Actuals!$D:$D,$B$738,Actuals!$A:$A,LEFT($D$738,FIND("|",$D$738&amp;"|")-1),Actuals!$E:$E,MID($D$738,FIND("|",$D$738&amp;"|")+1,50),Actuals!$F:$F,"JPY")*$E$5+SUMIFS(Actuals!$G:$G,Actuals!$B:$B,$C$3,Actuals!$C:$C,9,Actuals!$D:$D,$B$738,Actuals!$A:$A,LEFT($D$738,FIND("|",$D$738&amp;"|")-1),Actuals!$E:$E,MID($D$738,FIND("|",$D$738&amp;"|")+1,50),Actuals!$F:$F,"USD")*$F$5+SUMIFS(Actuals!$G:$G,Actuals!$B:$B,$C$3,Actuals!$C:$C,9,Actuals!$D:$D,$B$738,Actuals!$A:$A,LEFT($D$738,FIND("|",$D$738&amp;"|")-1),Actuals!$E:$E,MID($D$738,FIND("|",$D$738&amp;"|")+1,50),Actuals!$F:$F,"EUR")*$G$5+SUMIFS(Actuals!$G:$G,Actuals!$B:$B,$C$3,Actuals!$C:$C,9,Actuals!$D:$D,$B$738,Actuals!$A:$A,LEFT($D$738,FIND("|",$D$738&amp;"|")-1),Actuals!$E:$E,MID($D$738,FIND("|",$D$738&amp;"|")+1,50),Actuals!$F:$F,"GBP")*$H$5)</f>
        <v/>
      </c>
      <c r="Q739" s="18">
        <f>IF(OR($B$738="",10&gt;$C$4),"",SUMIFS(Actuals!$G:$G,Actuals!$B:$B,$C$3,Actuals!$C:$C,10,Actuals!$D:$D,$B$738,Actuals!$A:$A,LEFT($D$738,FIND("|",$D$738&amp;"|")-1),Actuals!$E:$E,MID($D$738,FIND("|",$D$738&amp;"|")+1,50),Actuals!$F:$F,"JPY")*$E$5+SUMIFS(Actuals!$G:$G,Actuals!$B:$B,$C$3,Actuals!$C:$C,10,Actuals!$D:$D,$B$738,Actuals!$A:$A,LEFT($D$738,FIND("|",$D$738&amp;"|")-1),Actuals!$E:$E,MID($D$738,FIND("|",$D$738&amp;"|")+1,50),Actuals!$F:$F,"USD")*$F$5+SUMIFS(Actuals!$G:$G,Actuals!$B:$B,$C$3,Actuals!$C:$C,10,Actuals!$D:$D,$B$738,Actuals!$A:$A,LEFT($D$738,FIND("|",$D$738&amp;"|")-1),Actuals!$E:$E,MID($D$738,FIND("|",$D$738&amp;"|")+1,50),Actuals!$F:$F,"EUR")*$G$5+SUMIFS(Actuals!$G:$G,Actuals!$B:$B,$C$3,Actuals!$C:$C,10,Actuals!$D:$D,$B$738,Actuals!$A:$A,LEFT($D$738,FIND("|",$D$738&amp;"|")-1),Actuals!$E:$E,MID($D$738,FIND("|",$D$738&amp;"|")+1,50),Actuals!$F:$F,"GBP")*$H$5)</f>
        <v/>
      </c>
      <c r="R739" s="18">
        <f>IF(OR($B$738="",11&gt;$C$4),"",SUMIFS(Actuals!$G:$G,Actuals!$B:$B,$C$3,Actuals!$C:$C,11,Actuals!$D:$D,$B$738,Actuals!$A:$A,LEFT($D$738,FIND("|",$D$738&amp;"|")-1),Actuals!$E:$E,MID($D$738,FIND("|",$D$738&amp;"|")+1,50),Actuals!$F:$F,"JPY")*$E$5+SUMIFS(Actuals!$G:$G,Actuals!$B:$B,$C$3,Actuals!$C:$C,11,Actuals!$D:$D,$B$738,Actuals!$A:$A,LEFT($D$738,FIND("|",$D$738&amp;"|")-1),Actuals!$E:$E,MID($D$738,FIND("|",$D$738&amp;"|")+1,50),Actuals!$F:$F,"USD")*$F$5+SUMIFS(Actuals!$G:$G,Actuals!$B:$B,$C$3,Actuals!$C:$C,11,Actuals!$D:$D,$B$738,Actuals!$A:$A,LEFT($D$738,FIND("|",$D$738&amp;"|")-1),Actuals!$E:$E,MID($D$738,FIND("|",$D$738&amp;"|")+1,50),Actuals!$F:$F,"EUR")*$G$5+SUMIFS(Actuals!$G:$G,Actuals!$B:$B,$C$3,Actuals!$C:$C,11,Actuals!$D:$D,$B$738,Actuals!$A:$A,LEFT($D$738,FIND("|",$D$738&amp;"|")-1),Actuals!$E:$E,MID($D$738,FIND("|",$D$738&amp;"|")+1,50),Actuals!$F:$F,"GBP")*$H$5)</f>
        <v/>
      </c>
      <c r="S739" s="18">
        <f>IF(OR($B$738="",12&gt;$C$4),"",SUMIFS(Actuals!$G:$G,Actuals!$B:$B,$C$3,Actuals!$C:$C,12,Actuals!$D:$D,$B$738,Actuals!$A:$A,LEFT($D$738,FIND("|",$D$738&amp;"|")-1),Actuals!$E:$E,MID($D$738,FIND("|",$D$738&amp;"|")+1,50),Actuals!$F:$F,"JPY")*$E$5+SUMIFS(Actuals!$G:$G,Actuals!$B:$B,$C$3,Actuals!$C:$C,12,Actuals!$D:$D,$B$738,Actuals!$A:$A,LEFT($D$738,FIND("|",$D$738&amp;"|")-1),Actuals!$E:$E,MID($D$738,FIND("|",$D$738&amp;"|")+1,50),Actuals!$F:$F,"USD")*$F$5+SUMIFS(Actuals!$G:$G,Actuals!$B:$B,$C$3,Actuals!$C:$C,12,Actuals!$D:$D,$B$738,Actuals!$A:$A,LEFT($D$738,FIND("|",$D$738&amp;"|")-1),Actuals!$E:$E,MID($D$738,FIND("|",$D$738&amp;"|")+1,50),Actuals!$F:$F,"EUR")*$G$5+SUMIFS(Actuals!$G:$G,Actuals!$B:$B,$C$3,Actuals!$C:$C,12,Actuals!$D:$D,$B$738,Actuals!$A:$A,LEFT($D$738,FIND("|",$D$738&amp;"|")-1),Actuals!$E:$E,MID($D$738,FIND("|",$D$738&amp;"|")+1,50),Actuals!$F:$F,"GBP")*$H$5)</f>
        <v/>
      </c>
      <c r="T739" s="18">
        <f>IF($B$738="","",SUMIF($H$7:$S$7,"&lt;="&amp;$C$4,$H739:$S739))</f>
        <v/>
      </c>
      <c r="U739" s="18" t="n"/>
      <c r="V739" s="18" t="n"/>
      <c r="X739" s="22">
        <f>IF($B739="","",IFERROR(INDEX(Cost_Centers!$E:$E,MATCH($B739,Cost_Centers!$A:$A,0)),"(unknown)"))</f>
        <v/>
      </c>
      <c r="Y739" s="22">
        <f>IF($B739="","",IFERROR(INDEX(Cost_Centers!$D:$D,MATCH($B739,Cost_Centers!$A:$A,0)),"(unknown)"))</f>
        <v/>
      </c>
      <c r="Z739" s="22">
        <f>IF(OR($B739="",$G739&lt;&gt;"Variance vs Budget"),"",ABS(N($V739))+ROW()/1000000000)</f>
        <v/>
      </c>
    </row>
    <row r="740">
      <c r="A740" s="13">
        <f>IF(A$738="","",A$738)</f>
        <v/>
      </c>
      <c r="B740" s="13">
        <f>IF(B$738="","",B$738)</f>
        <v/>
      </c>
      <c r="C740" s="13">
        <f>IF(C$738="","",C$738)</f>
        <v/>
      </c>
      <c r="D740" s="13">
        <f>IF(D$738="","",D$738)</f>
        <v/>
      </c>
      <c r="E740" s="13">
        <f>IF(E$738="","",E$738)</f>
        <v/>
      </c>
      <c r="F740" s="13">
        <f>IF(F$738="","",F$738)</f>
        <v/>
      </c>
      <c r="G740" s="6" t="inlineStr">
        <is>
          <t>Variance vs Budget</t>
        </is>
      </c>
      <c r="H740" s="33">
        <f>IF(OR($B$738="",1&gt;$C$4),"",N(H739)-H738)</f>
        <v/>
      </c>
      <c r="I740" s="33">
        <f>IF(OR($B$738="",2&gt;$C$4),"",N(I739)-I738)</f>
        <v/>
      </c>
      <c r="J740" s="33">
        <f>IF(OR($B$738="",3&gt;$C$4),"",N(J739)-J738)</f>
        <v/>
      </c>
      <c r="K740" s="33">
        <f>IF(OR($B$738="",4&gt;$C$4),"",N(K739)-K738)</f>
        <v/>
      </c>
      <c r="L740" s="33">
        <f>IF(OR($B$738="",5&gt;$C$4),"",N(L739)-L738)</f>
        <v/>
      </c>
      <c r="M740" s="33">
        <f>IF(OR($B$738="",6&gt;$C$4),"",N(M739)-M738)</f>
        <v/>
      </c>
      <c r="N740" s="33">
        <f>IF(OR($B$738="",7&gt;$C$4),"",N(N739)-N738)</f>
        <v/>
      </c>
      <c r="O740" s="33">
        <f>IF(OR($B$738="",8&gt;$C$4),"",N(O739)-O738)</f>
        <v/>
      </c>
      <c r="P740" s="33">
        <f>IF(OR($B$738="",9&gt;$C$4),"",N(P739)-P738)</f>
        <v/>
      </c>
      <c r="Q740" s="33">
        <f>IF(OR($B$738="",10&gt;$C$4),"",N(Q739)-Q738)</f>
        <v/>
      </c>
      <c r="R740" s="33">
        <f>IF(OR($B$738="",11&gt;$C$4),"",N(R739)-R738)</f>
        <v/>
      </c>
      <c r="S740" s="33">
        <f>IF(OR($B$738="",12&gt;$C$4),"",N(S739)-S738)</f>
        <v/>
      </c>
      <c r="T740" s="33">
        <f>IF($B$738="","",T739-T738)</f>
        <v/>
      </c>
      <c r="U740" s="33">
        <f>IF($B$738="","",U742-U738)</f>
        <v/>
      </c>
      <c r="V740" s="33">
        <f>IF($B$738="","",V742-V738)</f>
        <v/>
      </c>
      <c r="X740" s="22">
        <f>IF($B740="","",IFERROR(INDEX(Cost_Centers!$E:$E,MATCH($B740,Cost_Centers!$A:$A,0)),"(unknown)"))</f>
        <v/>
      </c>
      <c r="Y740" s="22">
        <f>IF($B740="","",IFERROR(INDEX(Cost_Centers!$D:$D,MATCH($B740,Cost_Centers!$A:$A,0)),"(unknown)"))</f>
        <v/>
      </c>
      <c r="Z740" s="22">
        <f>IF(OR($B740="",$G740&lt;&gt;"Variance vs Budget"),"",ABS(N($V740))+ROW()/1000000000)</f>
        <v/>
      </c>
    </row>
    <row r="741">
      <c r="A741" s="13">
        <f>IF(A$738="","",A$738)</f>
        <v/>
      </c>
      <c r="B741" s="13">
        <f>IF(B$738="","",B$738)</f>
        <v/>
      </c>
      <c r="C741" s="13">
        <f>IF(C$738="","",C$738)</f>
        <v/>
      </c>
      <c r="D741" s="13">
        <f>IF(D$738="","",D$738)</f>
        <v/>
      </c>
      <c r="E741" s="13">
        <f>IF(E$738="","",E$738)</f>
        <v/>
      </c>
      <c r="F741" s="13">
        <f>IF(F$738="","",F$738)</f>
        <v/>
      </c>
      <c r="G741" s="7" t="inlineStr">
        <is>
          <t>Forecast (input)</t>
        </is>
      </c>
      <c r="H741" s="34" t="n"/>
      <c r="I741" s="34" t="n"/>
      <c r="J741" s="34" t="n"/>
      <c r="K741" s="34" t="n"/>
      <c r="L741" s="34" t="n"/>
      <c r="M741" s="34" t="n"/>
      <c r="N741" s="34" t="n"/>
      <c r="O741" s="34" t="n"/>
      <c r="P741" s="34" t="n"/>
      <c r="Q741" s="34" t="n"/>
      <c r="R741" s="34" t="n"/>
      <c r="S741" s="34" t="n"/>
      <c r="T741" s="18" t="n"/>
      <c r="U741" s="18" t="n"/>
      <c r="V741" s="18" t="n"/>
      <c r="X741" s="22">
        <f>IF($B741="","",IFERROR(INDEX(Cost_Centers!$E:$E,MATCH($B741,Cost_Centers!$A:$A,0)),"(unknown)"))</f>
        <v/>
      </c>
      <c r="Y741" s="22">
        <f>IF($B741="","",IFERROR(INDEX(Cost_Centers!$D:$D,MATCH($B741,Cost_Centers!$A:$A,0)),"(unknown)"))</f>
        <v/>
      </c>
      <c r="Z741" s="22">
        <f>IF(OR($B741="",$G741&lt;&gt;"Variance vs Budget"),"",ABS(N($V741))+ROW()/1000000000)</f>
        <v/>
      </c>
    </row>
    <row r="742">
      <c r="A742" s="13">
        <f>IF(A$738="","",A$738)</f>
        <v/>
      </c>
      <c r="B742" s="13">
        <f>IF(B$738="","",B$738)</f>
        <v/>
      </c>
      <c r="C742" s="13">
        <f>IF(C$738="","",C$738)</f>
        <v/>
      </c>
      <c r="D742" s="13">
        <f>IF(D$738="","",D$738)</f>
        <v/>
      </c>
      <c r="E742" s="13">
        <f>IF(E$738="","",E$738)</f>
        <v/>
      </c>
      <c r="F742" s="13">
        <f>IF(F$738="","",F$738)</f>
        <v/>
      </c>
      <c r="G742" s="35" t="inlineStr">
        <is>
          <t>Actual + Forecast</t>
        </is>
      </c>
      <c r="H742" s="18">
        <f>IF($B$738="","",IF(1&lt;=$C$4,N(H739),IF(H741="",H738,H741)))</f>
        <v/>
      </c>
      <c r="I742" s="18">
        <f>IF($B$738="","",IF(2&lt;=$C$4,N(I739),IF(I741="",I738,I741)))</f>
        <v/>
      </c>
      <c r="J742" s="18">
        <f>IF($B$738="","",IF(3&lt;=$C$4,N(J739),IF(J741="",J738,J741)))</f>
        <v/>
      </c>
      <c r="K742" s="18">
        <f>IF($B$738="","",IF(4&lt;=$C$4,N(K739),IF(K741="",K738,K741)))</f>
        <v/>
      </c>
      <c r="L742" s="18">
        <f>IF($B$738="","",IF(5&lt;=$C$4,N(L739),IF(L741="",L738,L741)))</f>
        <v/>
      </c>
      <c r="M742" s="18">
        <f>IF($B$738="","",IF(6&lt;=$C$4,N(M739),IF(M741="",M738,M741)))</f>
        <v/>
      </c>
      <c r="N742" s="18">
        <f>IF($B$738="","",IF(7&lt;=$C$4,N(N739),IF(N741="",N738,N741)))</f>
        <v/>
      </c>
      <c r="O742" s="18">
        <f>IF($B$738="","",IF(8&lt;=$C$4,N(O739),IF(O741="",O738,O741)))</f>
        <v/>
      </c>
      <c r="P742" s="18">
        <f>IF($B$738="","",IF(9&lt;=$C$4,N(P739),IF(P741="",P738,P741)))</f>
        <v/>
      </c>
      <c r="Q742" s="18">
        <f>IF($B$738="","",IF(10&lt;=$C$4,N(Q739),IF(Q741="",Q738,Q741)))</f>
        <v/>
      </c>
      <c r="R742" s="18">
        <f>IF($B$738="","",IF(11&lt;=$C$4,N(R739),IF(R741="",R738,R741)))</f>
        <v/>
      </c>
      <c r="S742" s="18">
        <f>IF($B$738="","",IF(12&lt;=$C$4,N(S739),IF(S741="",S738,S741)))</f>
        <v/>
      </c>
      <c r="T742" s="18">
        <f>IF($B$738="","",SUMIF($H$7:$S$7,"&lt;="&amp;$C$4,$H742:$S742))</f>
        <v/>
      </c>
      <c r="U742" s="18">
        <f>IF($B$738="","",SUMIF($H$7:$S$7,"&gt;"&amp;$C$4,$H742:$S742))</f>
        <v/>
      </c>
      <c r="V742" s="18">
        <f>IF($B$738="","",SUM($H742:$S742))</f>
        <v/>
      </c>
      <c r="X742" s="22">
        <f>IF($B742="","",IFERROR(INDEX(Cost_Centers!$E:$E,MATCH($B742,Cost_Centers!$A:$A,0)),"(unknown)"))</f>
        <v/>
      </c>
      <c r="Y742" s="22">
        <f>IF($B742="","",IFERROR(INDEX(Cost_Centers!$D:$D,MATCH($B742,Cost_Centers!$A:$A,0)),"(unknown)"))</f>
        <v/>
      </c>
      <c r="Z742" s="22">
        <f>IF(OR($B742="",$G742&lt;&gt;"Variance vs Budget"),"",ABS(N($V742))+ROW()/1000000000)</f>
        <v/>
      </c>
    </row>
    <row r="743">
      <c r="A743" s="13">
        <f>IF(A$738="","",A$738)</f>
        <v/>
      </c>
      <c r="B743" s="13">
        <f>IF(B$738="","",B$738)</f>
        <v/>
      </c>
      <c r="C743" s="13">
        <f>IF(C$738="","",C$738)</f>
        <v/>
      </c>
      <c r="D743" s="13">
        <f>IF(D$738="","",D$738)</f>
        <v/>
      </c>
      <c r="E743" s="13">
        <f>IF(E$738="","",E$738)</f>
        <v/>
      </c>
      <c r="F743" s="13">
        <f>IF(F$738="","",F$738)</f>
        <v/>
      </c>
      <c r="G743" s="36" t="inlineStr">
        <is>
          <t>Prior Month Forecast</t>
        </is>
      </c>
      <c r="H743" s="37">
        <f>IF($B$738="","",IF(COUNTIFS(Prior_Forecast!$A:$A,$B$738,Prior_Forecast!$B:$B,$D$738)&gt;0,SUMIFS(Prior_Forecast!$C:$C,Prior_Forecast!$A:$A,$B$738,Prior_Forecast!$B:$B,$D$738),""))</f>
        <v/>
      </c>
      <c r="I743" s="37">
        <f>IF($B$738="","",IF(COUNTIFS(Prior_Forecast!$A:$A,$B$738,Prior_Forecast!$B:$B,$D$738)&gt;0,SUMIFS(Prior_Forecast!$D:$D,Prior_Forecast!$A:$A,$B$738,Prior_Forecast!$B:$B,$D$738),""))</f>
        <v/>
      </c>
      <c r="J743" s="37">
        <f>IF($B$738="","",IF(COUNTIFS(Prior_Forecast!$A:$A,$B$738,Prior_Forecast!$B:$B,$D$738)&gt;0,SUMIFS(Prior_Forecast!$E:$E,Prior_Forecast!$A:$A,$B$738,Prior_Forecast!$B:$B,$D$738),""))</f>
        <v/>
      </c>
      <c r="K743" s="37">
        <f>IF($B$738="","",IF(COUNTIFS(Prior_Forecast!$A:$A,$B$738,Prior_Forecast!$B:$B,$D$738)&gt;0,SUMIFS(Prior_Forecast!$F:$F,Prior_Forecast!$A:$A,$B$738,Prior_Forecast!$B:$B,$D$738),""))</f>
        <v/>
      </c>
      <c r="L743" s="37">
        <f>IF($B$738="","",IF(COUNTIFS(Prior_Forecast!$A:$A,$B$738,Prior_Forecast!$B:$B,$D$738)&gt;0,SUMIFS(Prior_Forecast!$G:$G,Prior_Forecast!$A:$A,$B$738,Prior_Forecast!$B:$B,$D$738),""))</f>
        <v/>
      </c>
      <c r="M743" s="37">
        <f>IF($B$738="","",IF(COUNTIFS(Prior_Forecast!$A:$A,$B$738,Prior_Forecast!$B:$B,$D$738)&gt;0,SUMIFS(Prior_Forecast!$H:$H,Prior_Forecast!$A:$A,$B$738,Prior_Forecast!$B:$B,$D$738),""))</f>
        <v/>
      </c>
      <c r="N743" s="37">
        <f>IF($B$738="","",IF(COUNTIFS(Prior_Forecast!$A:$A,$B$738,Prior_Forecast!$B:$B,$D$738)&gt;0,SUMIFS(Prior_Forecast!$I:$I,Prior_Forecast!$A:$A,$B$738,Prior_Forecast!$B:$B,$D$738),""))</f>
        <v/>
      </c>
      <c r="O743" s="37">
        <f>IF($B$738="","",IF(COUNTIFS(Prior_Forecast!$A:$A,$B$738,Prior_Forecast!$B:$B,$D$738)&gt;0,SUMIFS(Prior_Forecast!$J:$J,Prior_Forecast!$A:$A,$B$738,Prior_Forecast!$B:$B,$D$738),""))</f>
        <v/>
      </c>
      <c r="P743" s="37">
        <f>IF($B$738="","",IF(COUNTIFS(Prior_Forecast!$A:$A,$B$738,Prior_Forecast!$B:$B,$D$738)&gt;0,SUMIFS(Prior_Forecast!$K:$K,Prior_Forecast!$A:$A,$B$738,Prior_Forecast!$B:$B,$D$738),""))</f>
        <v/>
      </c>
      <c r="Q743" s="37">
        <f>IF($B$738="","",IF(COUNTIFS(Prior_Forecast!$A:$A,$B$738,Prior_Forecast!$B:$B,$D$738)&gt;0,SUMIFS(Prior_Forecast!$L:$L,Prior_Forecast!$A:$A,$B$738,Prior_Forecast!$B:$B,$D$738),""))</f>
        <v/>
      </c>
      <c r="R743" s="37">
        <f>IF($B$738="","",IF(COUNTIFS(Prior_Forecast!$A:$A,$B$738,Prior_Forecast!$B:$B,$D$738)&gt;0,SUMIFS(Prior_Forecast!$M:$M,Prior_Forecast!$A:$A,$B$738,Prior_Forecast!$B:$B,$D$738),""))</f>
        <v/>
      </c>
      <c r="S743" s="37">
        <f>IF($B$738="","",IF(COUNTIFS(Prior_Forecast!$A:$A,$B$738,Prior_Forecast!$B:$B,$D$738)&gt;0,SUMIFS(Prior_Forecast!$N:$N,Prior_Forecast!$A:$A,$B$738,Prior_Forecast!$B:$B,$D$738),""))</f>
        <v/>
      </c>
      <c r="T743" s="37">
        <f>IF($B$738="","",IF(COUNTIFS(Prior_Forecast!$A:$A,$B$738,Prior_Forecast!$B:$B,$D$738)&gt;0,SUMIFS(Prior_Forecast!$O:$O,Prior_Forecast!$A:$A,$B$738,Prior_Forecast!$B:$B,$D$738),""))</f>
        <v/>
      </c>
      <c r="U743" s="37">
        <f>IF($B$738="","",IF(COUNTIFS(Prior_Forecast!$A:$A,$B$738,Prior_Forecast!$B:$B,$D$738)&gt;0,SUMIFS(Prior_Forecast!$P:$P,Prior_Forecast!$A:$A,$B$738,Prior_Forecast!$B:$B,$D$738),""))</f>
        <v/>
      </c>
      <c r="V743" s="37">
        <f>IF($B$738="","",IF(COUNTIFS(Prior_Forecast!$A:$A,$B$738,Prior_Forecast!$B:$B,$D$738)&gt;0,SUMIFS(Prior_Forecast!$Q:$Q,Prior_Forecast!$A:$A,$B$738,Prior_Forecast!$B:$B,$D$738),""))</f>
        <v/>
      </c>
      <c r="X743" s="22">
        <f>IF($B743="","",IFERROR(INDEX(Cost_Centers!$E:$E,MATCH($B743,Cost_Centers!$A:$A,0)),"(unknown)"))</f>
        <v/>
      </c>
      <c r="Y743" s="22">
        <f>IF($B743="","",IFERROR(INDEX(Cost_Centers!$D:$D,MATCH($B743,Cost_Centers!$A:$A,0)),"(unknown)"))</f>
        <v/>
      </c>
      <c r="Z743" s="22">
        <f>IF(OR($B743="",$G743&lt;&gt;"Variance vs Budget"),"",ABS(N($V743))+ROW()/1000000000)</f>
        <v/>
      </c>
    </row>
    <row r="744">
      <c r="A744" s="13">
        <f>IF(A$738="","",A$738)</f>
        <v/>
      </c>
      <c r="B744" s="13">
        <f>IF(B$738="","",B$738)</f>
        <v/>
      </c>
      <c r="C744" s="13">
        <f>IF(C$738="","",C$738)</f>
        <v/>
      </c>
      <c r="D744" s="13">
        <f>IF(D$738="","",D$738)</f>
        <v/>
      </c>
      <c r="E744" s="13">
        <f>IF(E$738="","",E$738)</f>
        <v/>
      </c>
      <c r="F744" s="13">
        <f>IF(F$738="","",F$738)</f>
        <v/>
      </c>
      <c r="G744" s="6" t="inlineStr">
        <is>
          <t>Variance vs Prior Month</t>
        </is>
      </c>
      <c r="H744" s="33">
        <f>IF(OR($B$738="",H743=""),"",H742-H743)</f>
        <v/>
      </c>
      <c r="I744" s="33">
        <f>IF(OR($B$738="",I743=""),"",I742-I743)</f>
        <v/>
      </c>
      <c r="J744" s="33">
        <f>IF(OR($B$738="",J743=""),"",J742-J743)</f>
        <v/>
      </c>
      <c r="K744" s="33">
        <f>IF(OR($B$738="",K743=""),"",K742-K743)</f>
        <v/>
      </c>
      <c r="L744" s="33">
        <f>IF(OR($B$738="",L743=""),"",L742-L743)</f>
        <v/>
      </c>
      <c r="M744" s="33">
        <f>IF(OR($B$738="",M743=""),"",M742-M743)</f>
        <v/>
      </c>
      <c r="N744" s="33">
        <f>IF(OR($B$738="",N743=""),"",N742-N743)</f>
        <v/>
      </c>
      <c r="O744" s="33">
        <f>IF(OR($B$738="",O743=""),"",O742-O743)</f>
        <v/>
      </c>
      <c r="P744" s="33">
        <f>IF(OR($B$738="",P743=""),"",P742-P743)</f>
        <v/>
      </c>
      <c r="Q744" s="33">
        <f>IF(OR($B$738="",Q743=""),"",Q742-Q743)</f>
        <v/>
      </c>
      <c r="R744" s="33">
        <f>IF(OR($B$738="",R743=""),"",R742-R743)</f>
        <v/>
      </c>
      <c r="S744" s="33">
        <f>IF(OR($B$738="",S743=""),"",S742-S743)</f>
        <v/>
      </c>
      <c r="T744" s="33">
        <f>IF(OR($B$738="",T743=""),"",T742-T743)</f>
        <v/>
      </c>
      <c r="U744" s="33">
        <f>IF(OR($B$738="",U743=""),"",U742-U743)</f>
        <v/>
      </c>
      <c r="V744" s="33">
        <f>IF(OR($B$738="",V743=""),"",V742-V743)</f>
        <v/>
      </c>
      <c r="X744" s="22">
        <f>IF($B744="","",IFERROR(INDEX(Cost_Centers!$E:$E,MATCH($B744,Cost_Centers!$A:$A,0)),"(unknown)"))</f>
        <v/>
      </c>
      <c r="Y744" s="22">
        <f>IF($B744="","",IFERROR(INDEX(Cost_Centers!$D:$D,MATCH($B744,Cost_Centers!$A:$A,0)),"(unknown)"))</f>
        <v/>
      </c>
      <c r="Z744" s="22">
        <f>IF(OR($B744="",$G744&lt;&gt;"Variance vs Budget"),"",ABS(N($V744))+ROW()/1000000000)</f>
        <v/>
      </c>
    </row>
    <row r="745" ht="45" customHeight="1">
      <c r="A745" s="13">
        <f>IF(A$738="","",A$738)</f>
        <v/>
      </c>
      <c r="B745" s="13">
        <f>IF(B$738="","",B$738)</f>
        <v/>
      </c>
      <c r="C745" s="13">
        <f>IF(C$738="","",C$738)</f>
        <v/>
      </c>
      <c r="D745" s="13">
        <f>IF(D$738="","",D$738)</f>
        <v/>
      </c>
      <c r="E745" s="13">
        <f>IF(E$738="","",E$738)</f>
        <v/>
      </c>
      <c r="F745" s="13">
        <f>IF(F$738="","",F$738)</f>
        <v/>
      </c>
      <c r="G745" s="7" t="inlineStr">
        <is>
          <t>Rationale</t>
        </is>
      </c>
      <c r="H745" s="38" t="n"/>
      <c r="I745" s="38" t="n"/>
      <c r="J745" s="38" t="n"/>
      <c r="K745" s="38" t="n"/>
      <c r="L745" s="38" t="n"/>
      <c r="M745" s="38" t="n"/>
      <c r="N745" s="38" t="n"/>
      <c r="O745" s="38" t="n"/>
      <c r="P745" s="38" t="n"/>
      <c r="Q745" s="38" t="n"/>
      <c r="R745" s="38" t="n"/>
      <c r="S745" s="38" t="n"/>
      <c r="T745" s="38" t="n"/>
      <c r="U745" s="38" t="n"/>
      <c r="V745" s="7" t="n"/>
      <c r="X745" s="22">
        <f>IF($B745="","",IFERROR(INDEX(Cost_Centers!$E:$E,MATCH($B745,Cost_Centers!$A:$A,0)),"(unknown)"))</f>
        <v/>
      </c>
      <c r="Y745" s="22">
        <f>IF($B745="","",IFERROR(INDEX(Cost_Centers!$D:$D,MATCH($B745,Cost_Centers!$A:$A,0)),"(unknown)"))</f>
        <v/>
      </c>
      <c r="Z745" s="22">
        <f>IF(OR($B745="",$G745&lt;&gt;"Variance vs Budget"),"",ABS(N($V745))+ROW()/1000000000)</f>
        <v/>
      </c>
    </row>
    <row r="746">
      <c r="A746" s="30">
        <f>IF($D$746="","",LEFT($D$746,FIND("|",$D$746&amp;"|")-1))</f>
        <v/>
      </c>
      <c r="B746" s="31" t="n"/>
      <c r="C746" s="30">
        <f>IF($B$746="","",IFERROR(INDEX(Cost_Centers!$B:$B,MATCH($B$746,Cost_Centers!$A:$A,0)),"(not in master)"))</f>
        <v/>
      </c>
      <c r="D746" s="31" t="n"/>
      <c r="E746" s="30">
        <f>IF($D$746="","",IFERROR(INDEX(Accounts!$D:$D,MATCH($D$746,Accounts!$A:$A,0)),"(not in master)"))</f>
        <v/>
      </c>
      <c r="F746" s="31" t="n"/>
      <c r="G746" s="30" t="inlineStr">
        <is>
          <t>Budget</t>
        </is>
      </c>
      <c r="H746" s="32">
        <f>IF($B$746="","",SUMIFS(Opex_Budget!$O:$O,Opex_Budget!$A:$A,$C$3,Opex_Budget!$E:$E,$B$746,Opex_Budget!$F:$F,$D$746,Opex_Budget!$N:$N,"JPY")*$E$5+SUMIFS(Opex_Budget!$O:$O,Opex_Budget!$A:$A,$C$3,Opex_Budget!$E:$E,$B$746,Opex_Budget!$F:$F,$D$746,Opex_Budget!$N:$N,"USD")*$F$5+SUMIFS(Opex_Budget!$O:$O,Opex_Budget!$A:$A,$C$3,Opex_Budget!$E:$E,$B$746,Opex_Budget!$F:$F,$D$746,Opex_Budget!$N:$N,"EUR")*$G$5+SUMIFS(Opex_Budget!$O:$O,Opex_Budget!$A:$A,$C$3,Opex_Budget!$E:$E,$B$746,Opex_Budget!$F:$F,$D$746,Opex_Budget!$N:$N,"GBP")*$H$5)</f>
        <v/>
      </c>
      <c r="I746" s="32">
        <f>IF($B$746="","",SUMIFS(Opex_Budget!$P:$P,Opex_Budget!$A:$A,$C$3,Opex_Budget!$E:$E,$B$746,Opex_Budget!$F:$F,$D$746,Opex_Budget!$N:$N,"JPY")*$E$5+SUMIFS(Opex_Budget!$P:$P,Opex_Budget!$A:$A,$C$3,Opex_Budget!$E:$E,$B$746,Opex_Budget!$F:$F,$D$746,Opex_Budget!$N:$N,"USD")*$F$5+SUMIFS(Opex_Budget!$P:$P,Opex_Budget!$A:$A,$C$3,Opex_Budget!$E:$E,$B$746,Opex_Budget!$F:$F,$D$746,Opex_Budget!$N:$N,"EUR")*$G$5+SUMIFS(Opex_Budget!$P:$P,Opex_Budget!$A:$A,$C$3,Opex_Budget!$E:$E,$B$746,Opex_Budget!$F:$F,$D$746,Opex_Budget!$N:$N,"GBP")*$H$5)</f>
        <v/>
      </c>
      <c r="J746" s="32">
        <f>IF($B$746="","",SUMIFS(Opex_Budget!$Q:$Q,Opex_Budget!$A:$A,$C$3,Opex_Budget!$E:$E,$B$746,Opex_Budget!$F:$F,$D$746,Opex_Budget!$N:$N,"JPY")*$E$5+SUMIFS(Opex_Budget!$Q:$Q,Opex_Budget!$A:$A,$C$3,Opex_Budget!$E:$E,$B$746,Opex_Budget!$F:$F,$D$746,Opex_Budget!$N:$N,"USD")*$F$5+SUMIFS(Opex_Budget!$Q:$Q,Opex_Budget!$A:$A,$C$3,Opex_Budget!$E:$E,$B$746,Opex_Budget!$F:$F,$D$746,Opex_Budget!$N:$N,"EUR")*$G$5+SUMIFS(Opex_Budget!$Q:$Q,Opex_Budget!$A:$A,$C$3,Opex_Budget!$E:$E,$B$746,Opex_Budget!$F:$F,$D$746,Opex_Budget!$N:$N,"GBP")*$H$5)</f>
        <v/>
      </c>
      <c r="K746" s="32">
        <f>IF($B$746="","",SUMIFS(Opex_Budget!$R:$R,Opex_Budget!$A:$A,$C$3,Opex_Budget!$E:$E,$B$746,Opex_Budget!$F:$F,$D$746,Opex_Budget!$N:$N,"JPY")*$E$5+SUMIFS(Opex_Budget!$R:$R,Opex_Budget!$A:$A,$C$3,Opex_Budget!$E:$E,$B$746,Opex_Budget!$F:$F,$D$746,Opex_Budget!$N:$N,"USD")*$F$5+SUMIFS(Opex_Budget!$R:$R,Opex_Budget!$A:$A,$C$3,Opex_Budget!$E:$E,$B$746,Opex_Budget!$F:$F,$D$746,Opex_Budget!$N:$N,"EUR")*$G$5+SUMIFS(Opex_Budget!$R:$R,Opex_Budget!$A:$A,$C$3,Opex_Budget!$E:$E,$B$746,Opex_Budget!$F:$F,$D$746,Opex_Budget!$N:$N,"GBP")*$H$5)</f>
        <v/>
      </c>
      <c r="L746" s="32">
        <f>IF($B$746="","",SUMIFS(Opex_Budget!$S:$S,Opex_Budget!$A:$A,$C$3,Opex_Budget!$E:$E,$B$746,Opex_Budget!$F:$F,$D$746,Opex_Budget!$N:$N,"JPY")*$E$5+SUMIFS(Opex_Budget!$S:$S,Opex_Budget!$A:$A,$C$3,Opex_Budget!$E:$E,$B$746,Opex_Budget!$F:$F,$D$746,Opex_Budget!$N:$N,"USD")*$F$5+SUMIFS(Opex_Budget!$S:$S,Opex_Budget!$A:$A,$C$3,Opex_Budget!$E:$E,$B$746,Opex_Budget!$F:$F,$D$746,Opex_Budget!$N:$N,"EUR")*$G$5+SUMIFS(Opex_Budget!$S:$S,Opex_Budget!$A:$A,$C$3,Opex_Budget!$E:$E,$B$746,Opex_Budget!$F:$F,$D$746,Opex_Budget!$N:$N,"GBP")*$H$5)</f>
        <v/>
      </c>
      <c r="M746" s="32">
        <f>IF($B$746="","",SUMIFS(Opex_Budget!$T:$T,Opex_Budget!$A:$A,$C$3,Opex_Budget!$E:$E,$B$746,Opex_Budget!$F:$F,$D$746,Opex_Budget!$N:$N,"JPY")*$E$5+SUMIFS(Opex_Budget!$T:$T,Opex_Budget!$A:$A,$C$3,Opex_Budget!$E:$E,$B$746,Opex_Budget!$F:$F,$D$746,Opex_Budget!$N:$N,"USD")*$F$5+SUMIFS(Opex_Budget!$T:$T,Opex_Budget!$A:$A,$C$3,Opex_Budget!$E:$E,$B$746,Opex_Budget!$F:$F,$D$746,Opex_Budget!$N:$N,"EUR")*$G$5+SUMIFS(Opex_Budget!$T:$T,Opex_Budget!$A:$A,$C$3,Opex_Budget!$E:$E,$B$746,Opex_Budget!$F:$F,$D$746,Opex_Budget!$N:$N,"GBP")*$H$5)</f>
        <v/>
      </c>
      <c r="N746" s="32">
        <f>IF($B$746="","",SUMIFS(Opex_Budget!$U:$U,Opex_Budget!$A:$A,$C$3,Opex_Budget!$E:$E,$B$746,Opex_Budget!$F:$F,$D$746,Opex_Budget!$N:$N,"JPY")*$E$5+SUMIFS(Opex_Budget!$U:$U,Opex_Budget!$A:$A,$C$3,Opex_Budget!$E:$E,$B$746,Opex_Budget!$F:$F,$D$746,Opex_Budget!$N:$N,"USD")*$F$5+SUMIFS(Opex_Budget!$U:$U,Opex_Budget!$A:$A,$C$3,Opex_Budget!$E:$E,$B$746,Opex_Budget!$F:$F,$D$746,Opex_Budget!$N:$N,"EUR")*$G$5+SUMIFS(Opex_Budget!$U:$U,Opex_Budget!$A:$A,$C$3,Opex_Budget!$E:$E,$B$746,Opex_Budget!$F:$F,$D$746,Opex_Budget!$N:$N,"GBP")*$H$5)</f>
        <v/>
      </c>
      <c r="O746" s="32">
        <f>IF($B$746="","",SUMIFS(Opex_Budget!$V:$V,Opex_Budget!$A:$A,$C$3,Opex_Budget!$E:$E,$B$746,Opex_Budget!$F:$F,$D$746,Opex_Budget!$N:$N,"JPY")*$E$5+SUMIFS(Opex_Budget!$V:$V,Opex_Budget!$A:$A,$C$3,Opex_Budget!$E:$E,$B$746,Opex_Budget!$F:$F,$D$746,Opex_Budget!$N:$N,"USD")*$F$5+SUMIFS(Opex_Budget!$V:$V,Opex_Budget!$A:$A,$C$3,Opex_Budget!$E:$E,$B$746,Opex_Budget!$F:$F,$D$746,Opex_Budget!$N:$N,"EUR")*$G$5+SUMIFS(Opex_Budget!$V:$V,Opex_Budget!$A:$A,$C$3,Opex_Budget!$E:$E,$B$746,Opex_Budget!$F:$F,$D$746,Opex_Budget!$N:$N,"GBP")*$H$5)</f>
        <v/>
      </c>
      <c r="P746" s="32">
        <f>IF($B$746="","",SUMIFS(Opex_Budget!$W:$W,Opex_Budget!$A:$A,$C$3,Opex_Budget!$E:$E,$B$746,Opex_Budget!$F:$F,$D$746,Opex_Budget!$N:$N,"JPY")*$E$5+SUMIFS(Opex_Budget!$W:$W,Opex_Budget!$A:$A,$C$3,Opex_Budget!$E:$E,$B$746,Opex_Budget!$F:$F,$D$746,Opex_Budget!$N:$N,"USD")*$F$5+SUMIFS(Opex_Budget!$W:$W,Opex_Budget!$A:$A,$C$3,Opex_Budget!$E:$E,$B$746,Opex_Budget!$F:$F,$D$746,Opex_Budget!$N:$N,"EUR")*$G$5+SUMIFS(Opex_Budget!$W:$W,Opex_Budget!$A:$A,$C$3,Opex_Budget!$E:$E,$B$746,Opex_Budget!$F:$F,$D$746,Opex_Budget!$N:$N,"GBP")*$H$5)</f>
        <v/>
      </c>
      <c r="Q746" s="32">
        <f>IF($B$746="","",SUMIFS(Opex_Budget!$X:$X,Opex_Budget!$A:$A,$C$3,Opex_Budget!$E:$E,$B$746,Opex_Budget!$F:$F,$D$746,Opex_Budget!$N:$N,"JPY")*$E$5+SUMIFS(Opex_Budget!$X:$X,Opex_Budget!$A:$A,$C$3,Opex_Budget!$E:$E,$B$746,Opex_Budget!$F:$F,$D$746,Opex_Budget!$N:$N,"USD")*$F$5+SUMIFS(Opex_Budget!$X:$X,Opex_Budget!$A:$A,$C$3,Opex_Budget!$E:$E,$B$746,Opex_Budget!$F:$F,$D$746,Opex_Budget!$N:$N,"EUR")*$G$5+SUMIFS(Opex_Budget!$X:$X,Opex_Budget!$A:$A,$C$3,Opex_Budget!$E:$E,$B$746,Opex_Budget!$F:$F,$D$746,Opex_Budget!$N:$N,"GBP")*$H$5)</f>
        <v/>
      </c>
      <c r="R746" s="32">
        <f>IF($B$746="","",SUMIFS(Opex_Budget!$Y:$Y,Opex_Budget!$A:$A,$C$3,Opex_Budget!$E:$E,$B$746,Opex_Budget!$F:$F,$D$746,Opex_Budget!$N:$N,"JPY")*$E$5+SUMIFS(Opex_Budget!$Y:$Y,Opex_Budget!$A:$A,$C$3,Opex_Budget!$E:$E,$B$746,Opex_Budget!$F:$F,$D$746,Opex_Budget!$N:$N,"USD")*$F$5+SUMIFS(Opex_Budget!$Y:$Y,Opex_Budget!$A:$A,$C$3,Opex_Budget!$E:$E,$B$746,Opex_Budget!$F:$F,$D$746,Opex_Budget!$N:$N,"EUR")*$G$5+SUMIFS(Opex_Budget!$Y:$Y,Opex_Budget!$A:$A,$C$3,Opex_Budget!$E:$E,$B$746,Opex_Budget!$F:$F,$D$746,Opex_Budget!$N:$N,"GBP")*$H$5)</f>
        <v/>
      </c>
      <c r="S746" s="32">
        <f>IF($B$746="","",SUMIFS(Opex_Budget!$Z:$Z,Opex_Budget!$A:$A,$C$3,Opex_Budget!$E:$E,$B$746,Opex_Budget!$F:$F,$D$746,Opex_Budget!$N:$N,"JPY")*$E$5+SUMIFS(Opex_Budget!$Z:$Z,Opex_Budget!$A:$A,$C$3,Opex_Budget!$E:$E,$B$746,Opex_Budget!$F:$F,$D$746,Opex_Budget!$N:$N,"USD")*$F$5+SUMIFS(Opex_Budget!$Z:$Z,Opex_Budget!$A:$A,$C$3,Opex_Budget!$E:$E,$B$746,Opex_Budget!$F:$F,$D$746,Opex_Budget!$N:$N,"EUR")*$G$5+SUMIFS(Opex_Budget!$Z:$Z,Opex_Budget!$A:$A,$C$3,Opex_Budget!$E:$E,$B$746,Opex_Budget!$F:$F,$D$746,Opex_Budget!$N:$N,"GBP")*$H$5)</f>
        <v/>
      </c>
      <c r="T746" s="32">
        <f>IF($B$746="","",SUMIF($H$7:$S$7,"&lt;="&amp;$C$4,$H746:$S746))</f>
        <v/>
      </c>
      <c r="U746" s="32">
        <f>IF($B$746="","",SUMIF($H$7:$S$7,"&gt;"&amp;$C$4,$H746:$S746))</f>
        <v/>
      </c>
      <c r="V746" s="32">
        <f>IF($B$746="","",SUM($H746:$S746))</f>
        <v/>
      </c>
      <c r="X746" s="22">
        <f>IF($B746="","",IFERROR(INDEX(Cost_Centers!$E:$E,MATCH($B746,Cost_Centers!$A:$A,0)),"(unknown)"))</f>
        <v/>
      </c>
      <c r="Y746" s="22">
        <f>IF($B746="","",IFERROR(INDEX(Cost_Centers!$D:$D,MATCH($B746,Cost_Centers!$A:$A,0)),"(unknown)"))</f>
        <v/>
      </c>
      <c r="Z746" s="22">
        <f>IF(OR($B746="",$G746&lt;&gt;"Variance vs Budget"),"",ABS(N($V746))+ROW()/1000000000)</f>
        <v/>
      </c>
    </row>
    <row r="747">
      <c r="A747" s="13">
        <f>IF(A$746="","",A$746)</f>
        <v/>
      </c>
      <c r="B747" s="13">
        <f>IF(B$746="","",B$746)</f>
        <v/>
      </c>
      <c r="C747" s="13">
        <f>IF(C$746="","",C$746)</f>
        <v/>
      </c>
      <c r="D747" s="13">
        <f>IF(D$746="","",D$746)</f>
        <v/>
      </c>
      <c r="E747" s="13">
        <f>IF(E$746="","",E$746)</f>
        <v/>
      </c>
      <c r="F747" s="13">
        <f>IF(F$746="","",F$746)</f>
        <v/>
      </c>
      <c r="G747" s="7" t="inlineStr">
        <is>
          <t>Actual</t>
        </is>
      </c>
      <c r="H747" s="18">
        <f>IF(OR($B$746="",1&gt;$C$4),"",SUMIFS(Actuals!$G:$G,Actuals!$B:$B,$C$3,Actuals!$C:$C,1,Actuals!$D:$D,$B$746,Actuals!$A:$A,LEFT($D$746,FIND("|",$D$746&amp;"|")-1),Actuals!$E:$E,MID($D$746,FIND("|",$D$746&amp;"|")+1,50),Actuals!$F:$F,"JPY")*$E$5+SUMIFS(Actuals!$G:$G,Actuals!$B:$B,$C$3,Actuals!$C:$C,1,Actuals!$D:$D,$B$746,Actuals!$A:$A,LEFT($D$746,FIND("|",$D$746&amp;"|")-1),Actuals!$E:$E,MID($D$746,FIND("|",$D$746&amp;"|")+1,50),Actuals!$F:$F,"USD")*$F$5+SUMIFS(Actuals!$G:$G,Actuals!$B:$B,$C$3,Actuals!$C:$C,1,Actuals!$D:$D,$B$746,Actuals!$A:$A,LEFT($D$746,FIND("|",$D$746&amp;"|")-1),Actuals!$E:$E,MID($D$746,FIND("|",$D$746&amp;"|")+1,50),Actuals!$F:$F,"EUR")*$G$5+SUMIFS(Actuals!$G:$G,Actuals!$B:$B,$C$3,Actuals!$C:$C,1,Actuals!$D:$D,$B$746,Actuals!$A:$A,LEFT($D$746,FIND("|",$D$746&amp;"|")-1),Actuals!$E:$E,MID($D$746,FIND("|",$D$746&amp;"|")+1,50),Actuals!$F:$F,"GBP")*$H$5)</f>
        <v/>
      </c>
      <c r="I747" s="18">
        <f>IF(OR($B$746="",2&gt;$C$4),"",SUMIFS(Actuals!$G:$G,Actuals!$B:$B,$C$3,Actuals!$C:$C,2,Actuals!$D:$D,$B$746,Actuals!$A:$A,LEFT($D$746,FIND("|",$D$746&amp;"|")-1),Actuals!$E:$E,MID($D$746,FIND("|",$D$746&amp;"|")+1,50),Actuals!$F:$F,"JPY")*$E$5+SUMIFS(Actuals!$G:$G,Actuals!$B:$B,$C$3,Actuals!$C:$C,2,Actuals!$D:$D,$B$746,Actuals!$A:$A,LEFT($D$746,FIND("|",$D$746&amp;"|")-1),Actuals!$E:$E,MID($D$746,FIND("|",$D$746&amp;"|")+1,50),Actuals!$F:$F,"USD")*$F$5+SUMIFS(Actuals!$G:$G,Actuals!$B:$B,$C$3,Actuals!$C:$C,2,Actuals!$D:$D,$B$746,Actuals!$A:$A,LEFT($D$746,FIND("|",$D$746&amp;"|")-1),Actuals!$E:$E,MID($D$746,FIND("|",$D$746&amp;"|")+1,50),Actuals!$F:$F,"EUR")*$G$5+SUMIFS(Actuals!$G:$G,Actuals!$B:$B,$C$3,Actuals!$C:$C,2,Actuals!$D:$D,$B$746,Actuals!$A:$A,LEFT($D$746,FIND("|",$D$746&amp;"|")-1),Actuals!$E:$E,MID($D$746,FIND("|",$D$746&amp;"|")+1,50),Actuals!$F:$F,"GBP")*$H$5)</f>
        <v/>
      </c>
      <c r="J747" s="18">
        <f>IF(OR($B$746="",3&gt;$C$4),"",SUMIFS(Actuals!$G:$G,Actuals!$B:$B,$C$3,Actuals!$C:$C,3,Actuals!$D:$D,$B$746,Actuals!$A:$A,LEFT($D$746,FIND("|",$D$746&amp;"|")-1),Actuals!$E:$E,MID($D$746,FIND("|",$D$746&amp;"|")+1,50),Actuals!$F:$F,"JPY")*$E$5+SUMIFS(Actuals!$G:$G,Actuals!$B:$B,$C$3,Actuals!$C:$C,3,Actuals!$D:$D,$B$746,Actuals!$A:$A,LEFT($D$746,FIND("|",$D$746&amp;"|")-1),Actuals!$E:$E,MID($D$746,FIND("|",$D$746&amp;"|")+1,50),Actuals!$F:$F,"USD")*$F$5+SUMIFS(Actuals!$G:$G,Actuals!$B:$B,$C$3,Actuals!$C:$C,3,Actuals!$D:$D,$B$746,Actuals!$A:$A,LEFT($D$746,FIND("|",$D$746&amp;"|")-1),Actuals!$E:$E,MID($D$746,FIND("|",$D$746&amp;"|")+1,50),Actuals!$F:$F,"EUR")*$G$5+SUMIFS(Actuals!$G:$G,Actuals!$B:$B,$C$3,Actuals!$C:$C,3,Actuals!$D:$D,$B$746,Actuals!$A:$A,LEFT($D$746,FIND("|",$D$746&amp;"|")-1),Actuals!$E:$E,MID($D$746,FIND("|",$D$746&amp;"|")+1,50),Actuals!$F:$F,"GBP")*$H$5)</f>
        <v/>
      </c>
      <c r="K747" s="18">
        <f>IF(OR($B$746="",4&gt;$C$4),"",SUMIFS(Actuals!$G:$G,Actuals!$B:$B,$C$3,Actuals!$C:$C,4,Actuals!$D:$D,$B$746,Actuals!$A:$A,LEFT($D$746,FIND("|",$D$746&amp;"|")-1),Actuals!$E:$E,MID($D$746,FIND("|",$D$746&amp;"|")+1,50),Actuals!$F:$F,"JPY")*$E$5+SUMIFS(Actuals!$G:$G,Actuals!$B:$B,$C$3,Actuals!$C:$C,4,Actuals!$D:$D,$B$746,Actuals!$A:$A,LEFT($D$746,FIND("|",$D$746&amp;"|")-1),Actuals!$E:$E,MID($D$746,FIND("|",$D$746&amp;"|")+1,50),Actuals!$F:$F,"USD")*$F$5+SUMIFS(Actuals!$G:$G,Actuals!$B:$B,$C$3,Actuals!$C:$C,4,Actuals!$D:$D,$B$746,Actuals!$A:$A,LEFT($D$746,FIND("|",$D$746&amp;"|")-1),Actuals!$E:$E,MID($D$746,FIND("|",$D$746&amp;"|")+1,50),Actuals!$F:$F,"EUR")*$G$5+SUMIFS(Actuals!$G:$G,Actuals!$B:$B,$C$3,Actuals!$C:$C,4,Actuals!$D:$D,$B$746,Actuals!$A:$A,LEFT($D$746,FIND("|",$D$746&amp;"|")-1),Actuals!$E:$E,MID($D$746,FIND("|",$D$746&amp;"|")+1,50),Actuals!$F:$F,"GBP")*$H$5)</f>
        <v/>
      </c>
      <c r="L747" s="18">
        <f>IF(OR($B$746="",5&gt;$C$4),"",SUMIFS(Actuals!$G:$G,Actuals!$B:$B,$C$3,Actuals!$C:$C,5,Actuals!$D:$D,$B$746,Actuals!$A:$A,LEFT($D$746,FIND("|",$D$746&amp;"|")-1),Actuals!$E:$E,MID($D$746,FIND("|",$D$746&amp;"|")+1,50),Actuals!$F:$F,"JPY")*$E$5+SUMIFS(Actuals!$G:$G,Actuals!$B:$B,$C$3,Actuals!$C:$C,5,Actuals!$D:$D,$B$746,Actuals!$A:$A,LEFT($D$746,FIND("|",$D$746&amp;"|")-1),Actuals!$E:$E,MID($D$746,FIND("|",$D$746&amp;"|")+1,50),Actuals!$F:$F,"USD")*$F$5+SUMIFS(Actuals!$G:$G,Actuals!$B:$B,$C$3,Actuals!$C:$C,5,Actuals!$D:$D,$B$746,Actuals!$A:$A,LEFT($D$746,FIND("|",$D$746&amp;"|")-1),Actuals!$E:$E,MID($D$746,FIND("|",$D$746&amp;"|")+1,50),Actuals!$F:$F,"EUR")*$G$5+SUMIFS(Actuals!$G:$G,Actuals!$B:$B,$C$3,Actuals!$C:$C,5,Actuals!$D:$D,$B$746,Actuals!$A:$A,LEFT($D$746,FIND("|",$D$746&amp;"|")-1),Actuals!$E:$E,MID($D$746,FIND("|",$D$746&amp;"|")+1,50),Actuals!$F:$F,"GBP")*$H$5)</f>
        <v/>
      </c>
      <c r="M747" s="18">
        <f>IF(OR($B$746="",6&gt;$C$4),"",SUMIFS(Actuals!$G:$G,Actuals!$B:$B,$C$3,Actuals!$C:$C,6,Actuals!$D:$D,$B$746,Actuals!$A:$A,LEFT($D$746,FIND("|",$D$746&amp;"|")-1),Actuals!$E:$E,MID($D$746,FIND("|",$D$746&amp;"|")+1,50),Actuals!$F:$F,"JPY")*$E$5+SUMIFS(Actuals!$G:$G,Actuals!$B:$B,$C$3,Actuals!$C:$C,6,Actuals!$D:$D,$B$746,Actuals!$A:$A,LEFT($D$746,FIND("|",$D$746&amp;"|")-1),Actuals!$E:$E,MID($D$746,FIND("|",$D$746&amp;"|")+1,50),Actuals!$F:$F,"USD")*$F$5+SUMIFS(Actuals!$G:$G,Actuals!$B:$B,$C$3,Actuals!$C:$C,6,Actuals!$D:$D,$B$746,Actuals!$A:$A,LEFT($D$746,FIND("|",$D$746&amp;"|")-1),Actuals!$E:$E,MID($D$746,FIND("|",$D$746&amp;"|")+1,50),Actuals!$F:$F,"EUR")*$G$5+SUMIFS(Actuals!$G:$G,Actuals!$B:$B,$C$3,Actuals!$C:$C,6,Actuals!$D:$D,$B$746,Actuals!$A:$A,LEFT($D$746,FIND("|",$D$746&amp;"|")-1),Actuals!$E:$E,MID($D$746,FIND("|",$D$746&amp;"|")+1,50),Actuals!$F:$F,"GBP")*$H$5)</f>
        <v/>
      </c>
      <c r="N747" s="18">
        <f>IF(OR($B$746="",7&gt;$C$4),"",SUMIFS(Actuals!$G:$G,Actuals!$B:$B,$C$3,Actuals!$C:$C,7,Actuals!$D:$D,$B$746,Actuals!$A:$A,LEFT($D$746,FIND("|",$D$746&amp;"|")-1),Actuals!$E:$E,MID($D$746,FIND("|",$D$746&amp;"|")+1,50),Actuals!$F:$F,"JPY")*$E$5+SUMIFS(Actuals!$G:$G,Actuals!$B:$B,$C$3,Actuals!$C:$C,7,Actuals!$D:$D,$B$746,Actuals!$A:$A,LEFT($D$746,FIND("|",$D$746&amp;"|")-1),Actuals!$E:$E,MID($D$746,FIND("|",$D$746&amp;"|")+1,50),Actuals!$F:$F,"USD")*$F$5+SUMIFS(Actuals!$G:$G,Actuals!$B:$B,$C$3,Actuals!$C:$C,7,Actuals!$D:$D,$B$746,Actuals!$A:$A,LEFT($D$746,FIND("|",$D$746&amp;"|")-1),Actuals!$E:$E,MID($D$746,FIND("|",$D$746&amp;"|")+1,50),Actuals!$F:$F,"EUR")*$G$5+SUMIFS(Actuals!$G:$G,Actuals!$B:$B,$C$3,Actuals!$C:$C,7,Actuals!$D:$D,$B$746,Actuals!$A:$A,LEFT($D$746,FIND("|",$D$746&amp;"|")-1),Actuals!$E:$E,MID($D$746,FIND("|",$D$746&amp;"|")+1,50),Actuals!$F:$F,"GBP")*$H$5)</f>
        <v/>
      </c>
      <c r="O747" s="18">
        <f>IF(OR($B$746="",8&gt;$C$4),"",SUMIFS(Actuals!$G:$G,Actuals!$B:$B,$C$3,Actuals!$C:$C,8,Actuals!$D:$D,$B$746,Actuals!$A:$A,LEFT($D$746,FIND("|",$D$746&amp;"|")-1),Actuals!$E:$E,MID($D$746,FIND("|",$D$746&amp;"|")+1,50),Actuals!$F:$F,"JPY")*$E$5+SUMIFS(Actuals!$G:$G,Actuals!$B:$B,$C$3,Actuals!$C:$C,8,Actuals!$D:$D,$B$746,Actuals!$A:$A,LEFT($D$746,FIND("|",$D$746&amp;"|")-1),Actuals!$E:$E,MID($D$746,FIND("|",$D$746&amp;"|")+1,50),Actuals!$F:$F,"USD")*$F$5+SUMIFS(Actuals!$G:$G,Actuals!$B:$B,$C$3,Actuals!$C:$C,8,Actuals!$D:$D,$B$746,Actuals!$A:$A,LEFT($D$746,FIND("|",$D$746&amp;"|")-1),Actuals!$E:$E,MID($D$746,FIND("|",$D$746&amp;"|")+1,50),Actuals!$F:$F,"EUR")*$G$5+SUMIFS(Actuals!$G:$G,Actuals!$B:$B,$C$3,Actuals!$C:$C,8,Actuals!$D:$D,$B$746,Actuals!$A:$A,LEFT($D$746,FIND("|",$D$746&amp;"|")-1),Actuals!$E:$E,MID($D$746,FIND("|",$D$746&amp;"|")+1,50),Actuals!$F:$F,"GBP")*$H$5)</f>
        <v/>
      </c>
      <c r="P747" s="18">
        <f>IF(OR($B$746="",9&gt;$C$4),"",SUMIFS(Actuals!$G:$G,Actuals!$B:$B,$C$3,Actuals!$C:$C,9,Actuals!$D:$D,$B$746,Actuals!$A:$A,LEFT($D$746,FIND("|",$D$746&amp;"|")-1),Actuals!$E:$E,MID($D$746,FIND("|",$D$746&amp;"|")+1,50),Actuals!$F:$F,"JPY")*$E$5+SUMIFS(Actuals!$G:$G,Actuals!$B:$B,$C$3,Actuals!$C:$C,9,Actuals!$D:$D,$B$746,Actuals!$A:$A,LEFT($D$746,FIND("|",$D$746&amp;"|")-1),Actuals!$E:$E,MID($D$746,FIND("|",$D$746&amp;"|")+1,50),Actuals!$F:$F,"USD")*$F$5+SUMIFS(Actuals!$G:$G,Actuals!$B:$B,$C$3,Actuals!$C:$C,9,Actuals!$D:$D,$B$746,Actuals!$A:$A,LEFT($D$746,FIND("|",$D$746&amp;"|")-1),Actuals!$E:$E,MID($D$746,FIND("|",$D$746&amp;"|")+1,50),Actuals!$F:$F,"EUR")*$G$5+SUMIFS(Actuals!$G:$G,Actuals!$B:$B,$C$3,Actuals!$C:$C,9,Actuals!$D:$D,$B$746,Actuals!$A:$A,LEFT($D$746,FIND("|",$D$746&amp;"|")-1),Actuals!$E:$E,MID($D$746,FIND("|",$D$746&amp;"|")+1,50),Actuals!$F:$F,"GBP")*$H$5)</f>
        <v/>
      </c>
      <c r="Q747" s="18">
        <f>IF(OR($B$746="",10&gt;$C$4),"",SUMIFS(Actuals!$G:$G,Actuals!$B:$B,$C$3,Actuals!$C:$C,10,Actuals!$D:$D,$B$746,Actuals!$A:$A,LEFT($D$746,FIND("|",$D$746&amp;"|")-1),Actuals!$E:$E,MID($D$746,FIND("|",$D$746&amp;"|")+1,50),Actuals!$F:$F,"JPY")*$E$5+SUMIFS(Actuals!$G:$G,Actuals!$B:$B,$C$3,Actuals!$C:$C,10,Actuals!$D:$D,$B$746,Actuals!$A:$A,LEFT($D$746,FIND("|",$D$746&amp;"|")-1),Actuals!$E:$E,MID($D$746,FIND("|",$D$746&amp;"|")+1,50),Actuals!$F:$F,"USD")*$F$5+SUMIFS(Actuals!$G:$G,Actuals!$B:$B,$C$3,Actuals!$C:$C,10,Actuals!$D:$D,$B$746,Actuals!$A:$A,LEFT($D$746,FIND("|",$D$746&amp;"|")-1),Actuals!$E:$E,MID($D$746,FIND("|",$D$746&amp;"|")+1,50),Actuals!$F:$F,"EUR")*$G$5+SUMIFS(Actuals!$G:$G,Actuals!$B:$B,$C$3,Actuals!$C:$C,10,Actuals!$D:$D,$B$746,Actuals!$A:$A,LEFT($D$746,FIND("|",$D$746&amp;"|")-1),Actuals!$E:$E,MID($D$746,FIND("|",$D$746&amp;"|")+1,50),Actuals!$F:$F,"GBP")*$H$5)</f>
        <v/>
      </c>
      <c r="R747" s="18">
        <f>IF(OR($B$746="",11&gt;$C$4),"",SUMIFS(Actuals!$G:$G,Actuals!$B:$B,$C$3,Actuals!$C:$C,11,Actuals!$D:$D,$B$746,Actuals!$A:$A,LEFT($D$746,FIND("|",$D$746&amp;"|")-1),Actuals!$E:$E,MID($D$746,FIND("|",$D$746&amp;"|")+1,50),Actuals!$F:$F,"JPY")*$E$5+SUMIFS(Actuals!$G:$G,Actuals!$B:$B,$C$3,Actuals!$C:$C,11,Actuals!$D:$D,$B$746,Actuals!$A:$A,LEFT($D$746,FIND("|",$D$746&amp;"|")-1),Actuals!$E:$E,MID($D$746,FIND("|",$D$746&amp;"|")+1,50),Actuals!$F:$F,"USD")*$F$5+SUMIFS(Actuals!$G:$G,Actuals!$B:$B,$C$3,Actuals!$C:$C,11,Actuals!$D:$D,$B$746,Actuals!$A:$A,LEFT($D$746,FIND("|",$D$746&amp;"|")-1),Actuals!$E:$E,MID($D$746,FIND("|",$D$746&amp;"|")+1,50),Actuals!$F:$F,"EUR")*$G$5+SUMIFS(Actuals!$G:$G,Actuals!$B:$B,$C$3,Actuals!$C:$C,11,Actuals!$D:$D,$B$746,Actuals!$A:$A,LEFT($D$746,FIND("|",$D$746&amp;"|")-1),Actuals!$E:$E,MID($D$746,FIND("|",$D$746&amp;"|")+1,50),Actuals!$F:$F,"GBP")*$H$5)</f>
        <v/>
      </c>
      <c r="S747" s="18">
        <f>IF(OR($B$746="",12&gt;$C$4),"",SUMIFS(Actuals!$G:$G,Actuals!$B:$B,$C$3,Actuals!$C:$C,12,Actuals!$D:$D,$B$746,Actuals!$A:$A,LEFT($D$746,FIND("|",$D$746&amp;"|")-1),Actuals!$E:$E,MID($D$746,FIND("|",$D$746&amp;"|")+1,50),Actuals!$F:$F,"JPY")*$E$5+SUMIFS(Actuals!$G:$G,Actuals!$B:$B,$C$3,Actuals!$C:$C,12,Actuals!$D:$D,$B$746,Actuals!$A:$A,LEFT($D$746,FIND("|",$D$746&amp;"|")-1),Actuals!$E:$E,MID($D$746,FIND("|",$D$746&amp;"|")+1,50),Actuals!$F:$F,"USD")*$F$5+SUMIFS(Actuals!$G:$G,Actuals!$B:$B,$C$3,Actuals!$C:$C,12,Actuals!$D:$D,$B$746,Actuals!$A:$A,LEFT($D$746,FIND("|",$D$746&amp;"|")-1),Actuals!$E:$E,MID($D$746,FIND("|",$D$746&amp;"|")+1,50),Actuals!$F:$F,"EUR")*$G$5+SUMIFS(Actuals!$G:$G,Actuals!$B:$B,$C$3,Actuals!$C:$C,12,Actuals!$D:$D,$B$746,Actuals!$A:$A,LEFT($D$746,FIND("|",$D$746&amp;"|")-1),Actuals!$E:$E,MID($D$746,FIND("|",$D$746&amp;"|")+1,50),Actuals!$F:$F,"GBP")*$H$5)</f>
        <v/>
      </c>
      <c r="T747" s="18">
        <f>IF($B$746="","",SUMIF($H$7:$S$7,"&lt;="&amp;$C$4,$H747:$S747))</f>
        <v/>
      </c>
      <c r="U747" s="18" t="n"/>
      <c r="V747" s="18" t="n"/>
      <c r="X747" s="22">
        <f>IF($B747="","",IFERROR(INDEX(Cost_Centers!$E:$E,MATCH($B747,Cost_Centers!$A:$A,0)),"(unknown)"))</f>
        <v/>
      </c>
      <c r="Y747" s="22">
        <f>IF($B747="","",IFERROR(INDEX(Cost_Centers!$D:$D,MATCH($B747,Cost_Centers!$A:$A,0)),"(unknown)"))</f>
        <v/>
      </c>
      <c r="Z747" s="22">
        <f>IF(OR($B747="",$G747&lt;&gt;"Variance vs Budget"),"",ABS(N($V747))+ROW()/1000000000)</f>
        <v/>
      </c>
    </row>
    <row r="748">
      <c r="A748" s="13">
        <f>IF(A$746="","",A$746)</f>
        <v/>
      </c>
      <c r="B748" s="13">
        <f>IF(B$746="","",B$746)</f>
        <v/>
      </c>
      <c r="C748" s="13">
        <f>IF(C$746="","",C$746)</f>
        <v/>
      </c>
      <c r="D748" s="13">
        <f>IF(D$746="","",D$746)</f>
        <v/>
      </c>
      <c r="E748" s="13">
        <f>IF(E$746="","",E$746)</f>
        <v/>
      </c>
      <c r="F748" s="13">
        <f>IF(F$746="","",F$746)</f>
        <v/>
      </c>
      <c r="G748" s="6" t="inlineStr">
        <is>
          <t>Variance vs Budget</t>
        </is>
      </c>
      <c r="H748" s="33">
        <f>IF(OR($B$746="",1&gt;$C$4),"",N(H747)-H746)</f>
        <v/>
      </c>
      <c r="I748" s="33">
        <f>IF(OR($B$746="",2&gt;$C$4),"",N(I747)-I746)</f>
        <v/>
      </c>
      <c r="J748" s="33">
        <f>IF(OR($B$746="",3&gt;$C$4),"",N(J747)-J746)</f>
        <v/>
      </c>
      <c r="K748" s="33">
        <f>IF(OR($B$746="",4&gt;$C$4),"",N(K747)-K746)</f>
        <v/>
      </c>
      <c r="L748" s="33">
        <f>IF(OR($B$746="",5&gt;$C$4),"",N(L747)-L746)</f>
        <v/>
      </c>
      <c r="M748" s="33">
        <f>IF(OR($B$746="",6&gt;$C$4),"",N(M747)-M746)</f>
        <v/>
      </c>
      <c r="N748" s="33">
        <f>IF(OR($B$746="",7&gt;$C$4),"",N(N747)-N746)</f>
        <v/>
      </c>
      <c r="O748" s="33">
        <f>IF(OR($B$746="",8&gt;$C$4),"",N(O747)-O746)</f>
        <v/>
      </c>
      <c r="P748" s="33">
        <f>IF(OR($B$746="",9&gt;$C$4),"",N(P747)-P746)</f>
        <v/>
      </c>
      <c r="Q748" s="33">
        <f>IF(OR($B$746="",10&gt;$C$4),"",N(Q747)-Q746)</f>
        <v/>
      </c>
      <c r="R748" s="33">
        <f>IF(OR($B$746="",11&gt;$C$4),"",N(R747)-R746)</f>
        <v/>
      </c>
      <c r="S748" s="33">
        <f>IF(OR($B$746="",12&gt;$C$4),"",N(S747)-S746)</f>
        <v/>
      </c>
      <c r="T748" s="33">
        <f>IF($B$746="","",T747-T746)</f>
        <v/>
      </c>
      <c r="U748" s="33">
        <f>IF($B$746="","",U750-U746)</f>
        <v/>
      </c>
      <c r="V748" s="33">
        <f>IF($B$746="","",V750-V746)</f>
        <v/>
      </c>
      <c r="X748" s="22">
        <f>IF($B748="","",IFERROR(INDEX(Cost_Centers!$E:$E,MATCH($B748,Cost_Centers!$A:$A,0)),"(unknown)"))</f>
        <v/>
      </c>
      <c r="Y748" s="22">
        <f>IF($B748="","",IFERROR(INDEX(Cost_Centers!$D:$D,MATCH($B748,Cost_Centers!$A:$A,0)),"(unknown)"))</f>
        <v/>
      </c>
      <c r="Z748" s="22">
        <f>IF(OR($B748="",$G748&lt;&gt;"Variance vs Budget"),"",ABS(N($V748))+ROW()/1000000000)</f>
        <v/>
      </c>
    </row>
    <row r="749">
      <c r="A749" s="13">
        <f>IF(A$746="","",A$746)</f>
        <v/>
      </c>
      <c r="B749" s="13">
        <f>IF(B$746="","",B$746)</f>
        <v/>
      </c>
      <c r="C749" s="13">
        <f>IF(C$746="","",C$746)</f>
        <v/>
      </c>
      <c r="D749" s="13">
        <f>IF(D$746="","",D$746)</f>
        <v/>
      </c>
      <c r="E749" s="13">
        <f>IF(E$746="","",E$746)</f>
        <v/>
      </c>
      <c r="F749" s="13">
        <f>IF(F$746="","",F$746)</f>
        <v/>
      </c>
      <c r="G749" s="7" t="inlineStr">
        <is>
          <t>Forecast (input)</t>
        </is>
      </c>
      <c r="H749" s="34" t="n"/>
      <c r="I749" s="34" t="n"/>
      <c r="J749" s="34" t="n"/>
      <c r="K749" s="34" t="n"/>
      <c r="L749" s="34" t="n"/>
      <c r="M749" s="34" t="n"/>
      <c r="N749" s="34" t="n"/>
      <c r="O749" s="34" t="n"/>
      <c r="P749" s="34" t="n"/>
      <c r="Q749" s="34" t="n"/>
      <c r="R749" s="34" t="n"/>
      <c r="S749" s="34" t="n"/>
      <c r="T749" s="18" t="n"/>
      <c r="U749" s="18" t="n"/>
      <c r="V749" s="18" t="n"/>
      <c r="X749" s="22">
        <f>IF($B749="","",IFERROR(INDEX(Cost_Centers!$E:$E,MATCH($B749,Cost_Centers!$A:$A,0)),"(unknown)"))</f>
        <v/>
      </c>
      <c r="Y749" s="22">
        <f>IF($B749="","",IFERROR(INDEX(Cost_Centers!$D:$D,MATCH($B749,Cost_Centers!$A:$A,0)),"(unknown)"))</f>
        <v/>
      </c>
      <c r="Z749" s="22">
        <f>IF(OR($B749="",$G749&lt;&gt;"Variance vs Budget"),"",ABS(N($V749))+ROW()/1000000000)</f>
        <v/>
      </c>
    </row>
    <row r="750">
      <c r="A750" s="13">
        <f>IF(A$746="","",A$746)</f>
        <v/>
      </c>
      <c r="B750" s="13">
        <f>IF(B$746="","",B$746)</f>
        <v/>
      </c>
      <c r="C750" s="13">
        <f>IF(C$746="","",C$746)</f>
        <v/>
      </c>
      <c r="D750" s="13">
        <f>IF(D$746="","",D$746)</f>
        <v/>
      </c>
      <c r="E750" s="13">
        <f>IF(E$746="","",E$746)</f>
        <v/>
      </c>
      <c r="F750" s="13">
        <f>IF(F$746="","",F$746)</f>
        <v/>
      </c>
      <c r="G750" s="35" t="inlineStr">
        <is>
          <t>Actual + Forecast</t>
        </is>
      </c>
      <c r="H750" s="18">
        <f>IF($B$746="","",IF(1&lt;=$C$4,N(H747),IF(H749="",H746,H749)))</f>
        <v/>
      </c>
      <c r="I750" s="18">
        <f>IF($B$746="","",IF(2&lt;=$C$4,N(I747),IF(I749="",I746,I749)))</f>
        <v/>
      </c>
      <c r="J750" s="18">
        <f>IF($B$746="","",IF(3&lt;=$C$4,N(J747),IF(J749="",J746,J749)))</f>
        <v/>
      </c>
      <c r="K750" s="18">
        <f>IF($B$746="","",IF(4&lt;=$C$4,N(K747),IF(K749="",K746,K749)))</f>
        <v/>
      </c>
      <c r="L750" s="18">
        <f>IF($B$746="","",IF(5&lt;=$C$4,N(L747),IF(L749="",L746,L749)))</f>
        <v/>
      </c>
      <c r="M750" s="18">
        <f>IF($B$746="","",IF(6&lt;=$C$4,N(M747),IF(M749="",M746,M749)))</f>
        <v/>
      </c>
      <c r="N750" s="18">
        <f>IF($B$746="","",IF(7&lt;=$C$4,N(N747),IF(N749="",N746,N749)))</f>
        <v/>
      </c>
      <c r="O750" s="18">
        <f>IF($B$746="","",IF(8&lt;=$C$4,N(O747),IF(O749="",O746,O749)))</f>
        <v/>
      </c>
      <c r="P750" s="18">
        <f>IF($B$746="","",IF(9&lt;=$C$4,N(P747),IF(P749="",P746,P749)))</f>
        <v/>
      </c>
      <c r="Q750" s="18">
        <f>IF($B$746="","",IF(10&lt;=$C$4,N(Q747),IF(Q749="",Q746,Q749)))</f>
        <v/>
      </c>
      <c r="R750" s="18">
        <f>IF($B$746="","",IF(11&lt;=$C$4,N(R747),IF(R749="",R746,R749)))</f>
        <v/>
      </c>
      <c r="S750" s="18">
        <f>IF($B$746="","",IF(12&lt;=$C$4,N(S747),IF(S749="",S746,S749)))</f>
        <v/>
      </c>
      <c r="T750" s="18">
        <f>IF($B$746="","",SUMIF($H$7:$S$7,"&lt;="&amp;$C$4,$H750:$S750))</f>
        <v/>
      </c>
      <c r="U750" s="18">
        <f>IF($B$746="","",SUMIF($H$7:$S$7,"&gt;"&amp;$C$4,$H750:$S750))</f>
        <v/>
      </c>
      <c r="V750" s="18">
        <f>IF($B$746="","",SUM($H750:$S750))</f>
        <v/>
      </c>
      <c r="X750" s="22">
        <f>IF($B750="","",IFERROR(INDEX(Cost_Centers!$E:$E,MATCH($B750,Cost_Centers!$A:$A,0)),"(unknown)"))</f>
        <v/>
      </c>
      <c r="Y750" s="22">
        <f>IF($B750="","",IFERROR(INDEX(Cost_Centers!$D:$D,MATCH($B750,Cost_Centers!$A:$A,0)),"(unknown)"))</f>
        <v/>
      </c>
      <c r="Z750" s="22">
        <f>IF(OR($B750="",$G750&lt;&gt;"Variance vs Budget"),"",ABS(N($V750))+ROW()/1000000000)</f>
        <v/>
      </c>
    </row>
    <row r="751">
      <c r="A751" s="13">
        <f>IF(A$746="","",A$746)</f>
        <v/>
      </c>
      <c r="B751" s="13">
        <f>IF(B$746="","",B$746)</f>
        <v/>
      </c>
      <c r="C751" s="13">
        <f>IF(C$746="","",C$746)</f>
        <v/>
      </c>
      <c r="D751" s="13">
        <f>IF(D$746="","",D$746)</f>
        <v/>
      </c>
      <c r="E751" s="13">
        <f>IF(E$746="","",E$746)</f>
        <v/>
      </c>
      <c r="F751" s="13">
        <f>IF(F$746="","",F$746)</f>
        <v/>
      </c>
      <c r="G751" s="36" t="inlineStr">
        <is>
          <t>Prior Month Forecast</t>
        </is>
      </c>
      <c r="H751" s="37">
        <f>IF($B$746="","",IF(COUNTIFS(Prior_Forecast!$A:$A,$B$746,Prior_Forecast!$B:$B,$D$746)&gt;0,SUMIFS(Prior_Forecast!$C:$C,Prior_Forecast!$A:$A,$B$746,Prior_Forecast!$B:$B,$D$746),""))</f>
        <v/>
      </c>
      <c r="I751" s="37">
        <f>IF($B$746="","",IF(COUNTIFS(Prior_Forecast!$A:$A,$B$746,Prior_Forecast!$B:$B,$D$746)&gt;0,SUMIFS(Prior_Forecast!$D:$D,Prior_Forecast!$A:$A,$B$746,Prior_Forecast!$B:$B,$D$746),""))</f>
        <v/>
      </c>
      <c r="J751" s="37">
        <f>IF($B$746="","",IF(COUNTIFS(Prior_Forecast!$A:$A,$B$746,Prior_Forecast!$B:$B,$D$746)&gt;0,SUMIFS(Prior_Forecast!$E:$E,Prior_Forecast!$A:$A,$B$746,Prior_Forecast!$B:$B,$D$746),""))</f>
        <v/>
      </c>
      <c r="K751" s="37">
        <f>IF($B$746="","",IF(COUNTIFS(Prior_Forecast!$A:$A,$B$746,Prior_Forecast!$B:$B,$D$746)&gt;0,SUMIFS(Prior_Forecast!$F:$F,Prior_Forecast!$A:$A,$B$746,Prior_Forecast!$B:$B,$D$746),""))</f>
        <v/>
      </c>
      <c r="L751" s="37">
        <f>IF($B$746="","",IF(COUNTIFS(Prior_Forecast!$A:$A,$B$746,Prior_Forecast!$B:$B,$D$746)&gt;0,SUMIFS(Prior_Forecast!$G:$G,Prior_Forecast!$A:$A,$B$746,Prior_Forecast!$B:$B,$D$746),""))</f>
        <v/>
      </c>
      <c r="M751" s="37">
        <f>IF($B$746="","",IF(COUNTIFS(Prior_Forecast!$A:$A,$B$746,Prior_Forecast!$B:$B,$D$746)&gt;0,SUMIFS(Prior_Forecast!$H:$H,Prior_Forecast!$A:$A,$B$746,Prior_Forecast!$B:$B,$D$746),""))</f>
        <v/>
      </c>
      <c r="N751" s="37">
        <f>IF($B$746="","",IF(COUNTIFS(Prior_Forecast!$A:$A,$B$746,Prior_Forecast!$B:$B,$D$746)&gt;0,SUMIFS(Prior_Forecast!$I:$I,Prior_Forecast!$A:$A,$B$746,Prior_Forecast!$B:$B,$D$746),""))</f>
        <v/>
      </c>
      <c r="O751" s="37">
        <f>IF($B$746="","",IF(COUNTIFS(Prior_Forecast!$A:$A,$B$746,Prior_Forecast!$B:$B,$D$746)&gt;0,SUMIFS(Prior_Forecast!$J:$J,Prior_Forecast!$A:$A,$B$746,Prior_Forecast!$B:$B,$D$746),""))</f>
        <v/>
      </c>
      <c r="P751" s="37">
        <f>IF($B$746="","",IF(COUNTIFS(Prior_Forecast!$A:$A,$B$746,Prior_Forecast!$B:$B,$D$746)&gt;0,SUMIFS(Prior_Forecast!$K:$K,Prior_Forecast!$A:$A,$B$746,Prior_Forecast!$B:$B,$D$746),""))</f>
        <v/>
      </c>
      <c r="Q751" s="37">
        <f>IF($B$746="","",IF(COUNTIFS(Prior_Forecast!$A:$A,$B$746,Prior_Forecast!$B:$B,$D$746)&gt;0,SUMIFS(Prior_Forecast!$L:$L,Prior_Forecast!$A:$A,$B$746,Prior_Forecast!$B:$B,$D$746),""))</f>
        <v/>
      </c>
      <c r="R751" s="37">
        <f>IF($B$746="","",IF(COUNTIFS(Prior_Forecast!$A:$A,$B$746,Prior_Forecast!$B:$B,$D$746)&gt;0,SUMIFS(Prior_Forecast!$M:$M,Prior_Forecast!$A:$A,$B$746,Prior_Forecast!$B:$B,$D$746),""))</f>
        <v/>
      </c>
      <c r="S751" s="37">
        <f>IF($B$746="","",IF(COUNTIFS(Prior_Forecast!$A:$A,$B$746,Prior_Forecast!$B:$B,$D$746)&gt;0,SUMIFS(Prior_Forecast!$N:$N,Prior_Forecast!$A:$A,$B$746,Prior_Forecast!$B:$B,$D$746),""))</f>
        <v/>
      </c>
      <c r="T751" s="37">
        <f>IF($B$746="","",IF(COUNTIFS(Prior_Forecast!$A:$A,$B$746,Prior_Forecast!$B:$B,$D$746)&gt;0,SUMIFS(Prior_Forecast!$O:$O,Prior_Forecast!$A:$A,$B$746,Prior_Forecast!$B:$B,$D$746),""))</f>
        <v/>
      </c>
      <c r="U751" s="37">
        <f>IF($B$746="","",IF(COUNTIFS(Prior_Forecast!$A:$A,$B$746,Prior_Forecast!$B:$B,$D$746)&gt;0,SUMIFS(Prior_Forecast!$P:$P,Prior_Forecast!$A:$A,$B$746,Prior_Forecast!$B:$B,$D$746),""))</f>
        <v/>
      </c>
      <c r="V751" s="37">
        <f>IF($B$746="","",IF(COUNTIFS(Prior_Forecast!$A:$A,$B$746,Prior_Forecast!$B:$B,$D$746)&gt;0,SUMIFS(Prior_Forecast!$Q:$Q,Prior_Forecast!$A:$A,$B$746,Prior_Forecast!$B:$B,$D$746),""))</f>
        <v/>
      </c>
      <c r="X751" s="22">
        <f>IF($B751="","",IFERROR(INDEX(Cost_Centers!$E:$E,MATCH($B751,Cost_Centers!$A:$A,0)),"(unknown)"))</f>
        <v/>
      </c>
      <c r="Y751" s="22">
        <f>IF($B751="","",IFERROR(INDEX(Cost_Centers!$D:$D,MATCH($B751,Cost_Centers!$A:$A,0)),"(unknown)"))</f>
        <v/>
      </c>
      <c r="Z751" s="22">
        <f>IF(OR($B751="",$G751&lt;&gt;"Variance vs Budget"),"",ABS(N($V751))+ROW()/1000000000)</f>
        <v/>
      </c>
    </row>
    <row r="752">
      <c r="A752" s="13">
        <f>IF(A$746="","",A$746)</f>
        <v/>
      </c>
      <c r="B752" s="13">
        <f>IF(B$746="","",B$746)</f>
        <v/>
      </c>
      <c r="C752" s="13">
        <f>IF(C$746="","",C$746)</f>
        <v/>
      </c>
      <c r="D752" s="13">
        <f>IF(D$746="","",D$746)</f>
        <v/>
      </c>
      <c r="E752" s="13">
        <f>IF(E$746="","",E$746)</f>
        <v/>
      </c>
      <c r="F752" s="13">
        <f>IF(F$746="","",F$746)</f>
        <v/>
      </c>
      <c r="G752" s="6" t="inlineStr">
        <is>
          <t>Variance vs Prior Month</t>
        </is>
      </c>
      <c r="H752" s="33">
        <f>IF(OR($B$746="",H751=""),"",H750-H751)</f>
        <v/>
      </c>
      <c r="I752" s="33">
        <f>IF(OR($B$746="",I751=""),"",I750-I751)</f>
        <v/>
      </c>
      <c r="J752" s="33">
        <f>IF(OR($B$746="",J751=""),"",J750-J751)</f>
        <v/>
      </c>
      <c r="K752" s="33">
        <f>IF(OR($B$746="",K751=""),"",K750-K751)</f>
        <v/>
      </c>
      <c r="L752" s="33">
        <f>IF(OR($B$746="",L751=""),"",L750-L751)</f>
        <v/>
      </c>
      <c r="M752" s="33">
        <f>IF(OR($B$746="",M751=""),"",M750-M751)</f>
        <v/>
      </c>
      <c r="N752" s="33">
        <f>IF(OR($B$746="",N751=""),"",N750-N751)</f>
        <v/>
      </c>
      <c r="O752" s="33">
        <f>IF(OR($B$746="",O751=""),"",O750-O751)</f>
        <v/>
      </c>
      <c r="P752" s="33">
        <f>IF(OR($B$746="",P751=""),"",P750-P751)</f>
        <v/>
      </c>
      <c r="Q752" s="33">
        <f>IF(OR($B$746="",Q751=""),"",Q750-Q751)</f>
        <v/>
      </c>
      <c r="R752" s="33">
        <f>IF(OR($B$746="",R751=""),"",R750-R751)</f>
        <v/>
      </c>
      <c r="S752" s="33">
        <f>IF(OR($B$746="",S751=""),"",S750-S751)</f>
        <v/>
      </c>
      <c r="T752" s="33">
        <f>IF(OR($B$746="",T751=""),"",T750-T751)</f>
        <v/>
      </c>
      <c r="U752" s="33">
        <f>IF(OR($B$746="",U751=""),"",U750-U751)</f>
        <v/>
      </c>
      <c r="V752" s="33">
        <f>IF(OR($B$746="",V751=""),"",V750-V751)</f>
        <v/>
      </c>
      <c r="X752" s="22">
        <f>IF($B752="","",IFERROR(INDEX(Cost_Centers!$E:$E,MATCH($B752,Cost_Centers!$A:$A,0)),"(unknown)"))</f>
        <v/>
      </c>
      <c r="Y752" s="22">
        <f>IF($B752="","",IFERROR(INDEX(Cost_Centers!$D:$D,MATCH($B752,Cost_Centers!$A:$A,0)),"(unknown)"))</f>
        <v/>
      </c>
      <c r="Z752" s="22">
        <f>IF(OR($B752="",$G752&lt;&gt;"Variance vs Budget"),"",ABS(N($V752))+ROW()/1000000000)</f>
        <v/>
      </c>
    </row>
    <row r="753" ht="45" customHeight="1">
      <c r="A753" s="13">
        <f>IF(A$746="","",A$746)</f>
        <v/>
      </c>
      <c r="B753" s="13">
        <f>IF(B$746="","",B$746)</f>
        <v/>
      </c>
      <c r="C753" s="13">
        <f>IF(C$746="","",C$746)</f>
        <v/>
      </c>
      <c r="D753" s="13">
        <f>IF(D$746="","",D$746)</f>
        <v/>
      </c>
      <c r="E753" s="13">
        <f>IF(E$746="","",E$746)</f>
        <v/>
      </c>
      <c r="F753" s="13">
        <f>IF(F$746="","",F$746)</f>
        <v/>
      </c>
      <c r="G753" s="7" t="inlineStr">
        <is>
          <t>Rationale</t>
        </is>
      </c>
      <c r="H753" s="38" t="n"/>
      <c r="I753" s="38" t="n"/>
      <c r="J753" s="38" t="n"/>
      <c r="K753" s="38" t="n"/>
      <c r="L753" s="38" t="n"/>
      <c r="M753" s="38" t="n"/>
      <c r="N753" s="38" t="n"/>
      <c r="O753" s="38" t="n"/>
      <c r="P753" s="38" t="n"/>
      <c r="Q753" s="38" t="n"/>
      <c r="R753" s="38" t="n"/>
      <c r="S753" s="38" t="n"/>
      <c r="T753" s="38" t="n"/>
      <c r="U753" s="38" t="n"/>
      <c r="V753" s="7" t="n"/>
      <c r="X753" s="22">
        <f>IF($B753="","",IFERROR(INDEX(Cost_Centers!$E:$E,MATCH($B753,Cost_Centers!$A:$A,0)),"(unknown)"))</f>
        <v/>
      </c>
      <c r="Y753" s="22">
        <f>IF($B753="","",IFERROR(INDEX(Cost_Centers!$D:$D,MATCH($B753,Cost_Centers!$A:$A,0)),"(unknown)"))</f>
        <v/>
      </c>
      <c r="Z753" s="22">
        <f>IF(OR($B753="",$G753&lt;&gt;"Variance vs Budget"),"",ABS(N($V753))+ROW()/1000000000)</f>
        <v/>
      </c>
    </row>
    <row r="754">
      <c r="A754" s="30">
        <f>IF($D$754="","",LEFT($D$754,FIND("|",$D$754&amp;"|")-1))</f>
        <v/>
      </c>
      <c r="B754" s="31" t="n"/>
      <c r="C754" s="30">
        <f>IF($B$754="","",IFERROR(INDEX(Cost_Centers!$B:$B,MATCH($B$754,Cost_Centers!$A:$A,0)),"(not in master)"))</f>
        <v/>
      </c>
      <c r="D754" s="31" t="n"/>
      <c r="E754" s="30">
        <f>IF($D$754="","",IFERROR(INDEX(Accounts!$D:$D,MATCH($D$754,Accounts!$A:$A,0)),"(not in master)"))</f>
        <v/>
      </c>
      <c r="F754" s="31" t="n"/>
      <c r="G754" s="30" t="inlineStr">
        <is>
          <t>Budget</t>
        </is>
      </c>
      <c r="H754" s="32">
        <f>IF($B$754="","",SUMIFS(Opex_Budget!$O:$O,Opex_Budget!$A:$A,$C$3,Opex_Budget!$E:$E,$B$754,Opex_Budget!$F:$F,$D$754,Opex_Budget!$N:$N,"JPY")*$E$5+SUMIFS(Opex_Budget!$O:$O,Opex_Budget!$A:$A,$C$3,Opex_Budget!$E:$E,$B$754,Opex_Budget!$F:$F,$D$754,Opex_Budget!$N:$N,"USD")*$F$5+SUMIFS(Opex_Budget!$O:$O,Opex_Budget!$A:$A,$C$3,Opex_Budget!$E:$E,$B$754,Opex_Budget!$F:$F,$D$754,Opex_Budget!$N:$N,"EUR")*$G$5+SUMIFS(Opex_Budget!$O:$O,Opex_Budget!$A:$A,$C$3,Opex_Budget!$E:$E,$B$754,Opex_Budget!$F:$F,$D$754,Opex_Budget!$N:$N,"GBP")*$H$5)</f>
        <v/>
      </c>
      <c r="I754" s="32">
        <f>IF($B$754="","",SUMIFS(Opex_Budget!$P:$P,Opex_Budget!$A:$A,$C$3,Opex_Budget!$E:$E,$B$754,Opex_Budget!$F:$F,$D$754,Opex_Budget!$N:$N,"JPY")*$E$5+SUMIFS(Opex_Budget!$P:$P,Opex_Budget!$A:$A,$C$3,Opex_Budget!$E:$E,$B$754,Opex_Budget!$F:$F,$D$754,Opex_Budget!$N:$N,"USD")*$F$5+SUMIFS(Opex_Budget!$P:$P,Opex_Budget!$A:$A,$C$3,Opex_Budget!$E:$E,$B$754,Opex_Budget!$F:$F,$D$754,Opex_Budget!$N:$N,"EUR")*$G$5+SUMIFS(Opex_Budget!$P:$P,Opex_Budget!$A:$A,$C$3,Opex_Budget!$E:$E,$B$754,Opex_Budget!$F:$F,$D$754,Opex_Budget!$N:$N,"GBP")*$H$5)</f>
        <v/>
      </c>
      <c r="J754" s="32">
        <f>IF($B$754="","",SUMIFS(Opex_Budget!$Q:$Q,Opex_Budget!$A:$A,$C$3,Opex_Budget!$E:$E,$B$754,Opex_Budget!$F:$F,$D$754,Opex_Budget!$N:$N,"JPY")*$E$5+SUMIFS(Opex_Budget!$Q:$Q,Opex_Budget!$A:$A,$C$3,Opex_Budget!$E:$E,$B$754,Opex_Budget!$F:$F,$D$754,Opex_Budget!$N:$N,"USD")*$F$5+SUMIFS(Opex_Budget!$Q:$Q,Opex_Budget!$A:$A,$C$3,Opex_Budget!$E:$E,$B$754,Opex_Budget!$F:$F,$D$754,Opex_Budget!$N:$N,"EUR")*$G$5+SUMIFS(Opex_Budget!$Q:$Q,Opex_Budget!$A:$A,$C$3,Opex_Budget!$E:$E,$B$754,Opex_Budget!$F:$F,$D$754,Opex_Budget!$N:$N,"GBP")*$H$5)</f>
        <v/>
      </c>
      <c r="K754" s="32">
        <f>IF($B$754="","",SUMIFS(Opex_Budget!$R:$R,Opex_Budget!$A:$A,$C$3,Opex_Budget!$E:$E,$B$754,Opex_Budget!$F:$F,$D$754,Opex_Budget!$N:$N,"JPY")*$E$5+SUMIFS(Opex_Budget!$R:$R,Opex_Budget!$A:$A,$C$3,Opex_Budget!$E:$E,$B$754,Opex_Budget!$F:$F,$D$754,Opex_Budget!$N:$N,"USD")*$F$5+SUMIFS(Opex_Budget!$R:$R,Opex_Budget!$A:$A,$C$3,Opex_Budget!$E:$E,$B$754,Opex_Budget!$F:$F,$D$754,Opex_Budget!$N:$N,"EUR")*$G$5+SUMIFS(Opex_Budget!$R:$R,Opex_Budget!$A:$A,$C$3,Opex_Budget!$E:$E,$B$754,Opex_Budget!$F:$F,$D$754,Opex_Budget!$N:$N,"GBP")*$H$5)</f>
        <v/>
      </c>
      <c r="L754" s="32">
        <f>IF($B$754="","",SUMIFS(Opex_Budget!$S:$S,Opex_Budget!$A:$A,$C$3,Opex_Budget!$E:$E,$B$754,Opex_Budget!$F:$F,$D$754,Opex_Budget!$N:$N,"JPY")*$E$5+SUMIFS(Opex_Budget!$S:$S,Opex_Budget!$A:$A,$C$3,Opex_Budget!$E:$E,$B$754,Opex_Budget!$F:$F,$D$754,Opex_Budget!$N:$N,"USD")*$F$5+SUMIFS(Opex_Budget!$S:$S,Opex_Budget!$A:$A,$C$3,Opex_Budget!$E:$E,$B$754,Opex_Budget!$F:$F,$D$754,Opex_Budget!$N:$N,"EUR")*$G$5+SUMIFS(Opex_Budget!$S:$S,Opex_Budget!$A:$A,$C$3,Opex_Budget!$E:$E,$B$754,Opex_Budget!$F:$F,$D$754,Opex_Budget!$N:$N,"GBP")*$H$5)</f>
        <v/>
      </c>
      <c r="M754" s="32">
        <f>IF($B$754="","",SUMIFS(Opex_Budget!$T:$T,Opex_Budget!$A:$A,$C$3,Opex_Budget!$E:$E,$B$754,Opex_Budget!$F:$F,$D$754,Opex_Budget!$N:$N,"JPY")*$E$5+SUMIFS(Opex_Budget!$T:$T,Opex_Budget!$A:$A,$C$3,Opex_Budget!$E:$E,$B$754,Opex_Budget!$F:$F,$D$754,Opex_Budget!$N:$N,"USD")*$F$5+SUMIFS(Opex_Budget!$T:$T,Opex_Budget!$A:$A,$C$3,Opex_Budget!$E:$E,$B$754,Opex_Budget!$F:$F,$D$754,Opex_Budget!$N:$N,"EUR")*$G$5+SUMIFS(Opex_Budget!$T:$T,Opex_Budget!$A:$A,$C$3,Opex_Budget!$E:$E,$B$754,Opex_Budget!$F:$F,$D$754,Opex_Budget!$N:$N,"GBP")*$H$5)</f>
        <v/>
      </c>
      <c r="N754" s="32">
        <f>IF($B$754="","",SUMIFS(Opex_Budget!$U:$U,Opex_Budget!$A:$A,$C$3,Opex_Budget!$E:$E,$B$754,Opex_Budget!$F:$F,$D$754,Opex_Budget!$N:$N,"JPY")*$E$5+SUMIFS(Opex_Budget!$U:$U,Opex_Budget!$A:$A,$C$3,Opex_Budget!$E:$E,$B$754,Opex_Budget!$F:$F,$D$754,Opex_Budget!$N:$N,"USD")*$F$5+SUMIFS(Opex_Budget!$U:$U,Opex_Budget!$A:$A,$C$3,Opex_Budget!$E:$E,$B$754,Opex_Budget!$F:$F,$D$754,Opex_Budget!$N:$N,"EUR")*$G$5+SUMIFS(Opex_Budget!$U:$U,Opex_Budget!$A:$A,$C$3,Opex_Budget!$E:$E,$B$754,Opex_Budget!$F:$F,$D$754,Opex_Budget!$N:$N,"GBP")*$H$5)</f>
        <v/>
      </c>
      <c r="O754" s="32">
        <f>IF($B$754="","",SUMIFS(Opex_Budget!$V:$V,Opex_Budget!$A:$A,$C$3,Opex_Budget!$E:$E,$B$754,Opex_Budget!$F:$F,$D$754,Opex_Budget!$N:$N,"JPY")*$E$5+SUMIFS(Opex_Budget!$V:$V,Opex_Budget!$A:$A,$C$3,Opex_Budget!$E:$E,$B$754,Opex_Budget!$F:$F,$D$754,Opex_Budget!$N:$N,"USD")*$F$5+SUMIFS(Opex_Budget!$V:$V,Opex_Budget!$A:$A,$C$3,Opex_Budget!$E:$E,$B$754,Opex_Budget!$F:$F,$D$754,Opex_Budget!$N:$N,"EUR")*$G$5+SUMIFS(Opex_Budget!$V:$V,Opex_Budget!$A:$A,$C$3,Opex_Budget!$E:$E,$B$754,Opex_Budget!$F:$F,$D$754,Opex_Budget!$N:$N,"GBP")*$H$5)</f>
        <v/>
      </c>
      <c r="P754" s="32">
        <f>IF($B$754="","",SUMIFS(Opex_Budget!$W:$W,Opex_Budget!$A:$A,$C$3,Opex_Budget!$E:$E,$B$754,Opex_Budget!$F:$F,$D$754,Opex_Budget!$N:$N,"JPY")*$E$5+SUMIFS(Opex_Budget!$W:$W,Opex_Budget!$A:$A,$C$3,Opex_Budget!$E:$E,$B$754,Opex_Budget!$F:$F,$D$754,Opex_Budget!$N:$N,"USD")*$F$5+SUMIFS(Opex_Budget!$W:$W,Opex_Budget!$A:$A,$C$3,Opex_Budget!$E:$E,$B$754,Opex_Budget!$F:$F,$D$754,Opex_Budget!$N:$N,"EUR")*$G$5+SUMIFS(Opex_Budget!$W:$W,Opex_Budget!$A:$A,$C$3,Opex_Budget!$E:$E,$B$754,Opex_Budget!$F:$F,$D$754,Opex_Budget!$N:$N,"GBP")*$H$5)</f>
        <v/>
      </c>
      <c r="Q754" s="32">
        <f>IF($B$754="","",SUMIFS(Opex_Budget!$X:$X,Opex_Budget!$A:$A,$C$3,Opex_Budget!$E:$E,$B$754,Opex_Budget!$F:$F,$D$754,Opex_Budget!$N:$N,"JPY")*$E$5+SUMIFS(Opex_Budget!$X:$X,Opex_Budget!$A:$A,$C$3,Opex_Budget!$E:$E,$B$754,Opex_Budget!$F:$F,$D$754,Opex_Budget!$N:$N,"USD")*$F$5+SUMIFS(Opex_Budget!$X:$X,Opex_Budget!$A:$A,$C$3,Opex_Budget!$E:$E,$B$754,Opex_Budget!$F:$F,$D$754,Opex_Budget!$N:$N,"EUR")*$G$5+SUMIFS(Opex_Budget!$X:$X,Opex_Budget!$A:$A,$C$3,Opex_Budget!$E:$E,$B$754,Opex_Budget!$F:$F,$D$754,Opex_Budget!$N:$N,"GBP")*$H$5)</f>
        <v/>
      </c>
      <c r="R754" s="32">
        <f>IF($B$754="","",SUMIFS(Opex_Budget!$Y:$Y,Opex_Budget!$A:$A,$C$3,Opex_Budget!$E:$E,$B$754,Opex_Budget!$F:$F,$D$754,Opex_Budget!$N:$N,"JPY")*$E$5+SUMIFS(Opex_Budget!$Y:$Y,Opex_Budget!$A:$A,$C$3,Opex_Budget!$E:$E,$B$754,Opex_Budget!$F:$F,$D$754,Opex_Budget!$N:$N,"USD")*$F$5+SUMIFS(Opex_Budget!$Y:$Y,Opex_Budget!$A:$A,$C$3,Opex_Budget!$E:$E,$B$754,Opex_Budget!$F:$F,$D$754,Opex_Budget!$N:$N,"EUR")*$G$5+SUMIFS(Opex_Budget!$Y:$Y,Opex_Budget!$A:$A,$C$3,Opex_Budget!$E:$E,$B$754,Opex_Budget!$F:$F,$D$754,Opex_Budget!$N:$N,"GBP")*$H$5)</f>
        <v/>
      </c>
      <c r="S754" s="32">
        <f>IF($B$754="","",SUMIFS(Opex_Budget!$Z:$Z,Opex_Budget!$A:$A,$C$3,Opex_Budget!$E:$E,$B$754,Opex_Budget!$F:$F,$D$754,Opex_Budget!$N:$N,"JPY")*$E$5+SUMIFS(Opex_Budget!$Z:$Z,Opex_Budget!$A:$A,$C$3,Opex_Budget!$E:$E,$B$754,Opex_Budget!$F:$F,$D$754,Opex_Budget!$N:$N,"USD")*$F$5+SUMIFS(Opex_Budget!$Z:$Z,Opex_Budget!$A:$A,$C$3,Opex_Budget!$E:$E,$B$754,Opex_Budget!$F:$F,$D$754,Opex_Budget!$N:$N,"EUR")*$G$5+SUMIFS(Opex_Budget!$Z:$Z,Opex_Budget!$A:$A,$C$3,Opex_Budget!$E:$E,$B$754,Opex_Budget!$F:$F,$D$754,Opex_Budget!$N:$N,"GBP")*$H$5)</f>
        <v/>
      </c>
      <c r="T754" s="32">
        <f>IF($B$754="","",SUMIF($H$7:$S$7,"&lt;="&amp;$C$4,$H754:$S754))</f>
        <v/>
      </c>
      <c r="U754" s="32">
        <f>IF($B$754="","",SUMIF($H$7:$S$7,"&gt;"&amp;$C$4,$H754:$S754))</f>
        <v/>
      </c>
      <c r="V754" s="32">
        <f>IF($B$754="","",SUM($H754:$S754))</f>
        <v/>
      </c>
      <c r="X754" s="22">
        <f>IF($B754="","",IFERROR(INDEX(Cost_Centers!$E:$E,MATCH($B754,Cost_Centers!$A:$A,0)),"(unknown)"))</f>
        <v/>
      </c>
      <c r="Y754" s="22">
        <f>IF($B754="","",IFERROR(INDEX(Cost_Centers!$D:$D,MATCH($B754,Cost_Centers!$A:$A,0)),"(unknown)"))</f>
        <v/>
      </c>
      <c r="Z754" s="22">
        <f>IF(OR($B754="",$G754&lt;&gt;"Variance vs Budget"),"",ABS(N($V754))+ROW()/1000000000)</f>
        <v/>
      </c>
    </row>
    <row r="755">
      <c r="A755" s="13">
        <f>IF(A$754="","",A$754)</f>
        <v/>
      </c>
      <c r="B755" s="13">
        <f>IF(B$754="","",B$754)</f>
        <v/>
      </c>
      <c r="C755" s="13">
        <f>IF(C$754="","",C$754)</f>
        <v/>
      </c>
      <c r="D755" s="13">
        <f>IF(D$754="","",D$754)</f>
        <v/>
      </c>
      <c r="E755" s="13">
        <f>IF(E$754="","",E$754)</f>
        <v/>
      </c>
      <c r="F755" s="13">
        <f>IF(F$754="","",F$754)</f>
        <v/>
      </c>
      <c r="G755" s="7" t="inlineStr">
        <is>
          <t>Actual</t>
        </is>
      </c>
      <c r="H755" s="18">
        <f>IF(OR($B$754="",1&gt;$C$4),"",SUMIFS(Actuals!$G:$G,Actuals!$B:$B,$C$3,Actuals!$C:$C,1,Actuals!$D:$D,$B$754,Actuals!$A:$A,LEFT($D$754,FIND("|",$D$754&amp;"|")-1),Actuals!$E:$E,MID($D$754,FIND("|",$D$754&amp;"|")+1,50),Actuals!$F:$F,"JPY")*$E$5+SUMIFS(Actuals!$G:$G,Actuals!$B:$B,$C$3,Actuals!$C:$C,1,Actuals!$D:$D,$B$754,Actuals!$A:$A,LEFT($D$754,FIND("|",$D$754&amp;"|")-1),Actuals!$E:$E,MID($D$754,FIND("|",$D$754&amp;"|")+1,50),Actuals!$F:$F,"USD")*$F$5+SUMIFS(Actuals!$G:$G,Actuals!$B:$B,$C$3,Actuals!$C:$C,1,Actuals!$D:$D,$B$754,Actuals!$A:$A,LEFT($D$754,FIND("|",$D$754&amp;"|")-1),Actuals!$E:$E,MID($D$754,FIND("|",$D$754&amp;"|")+1,50),Actuals!$F:$F,"EUR")*$G$5+SUMIFS(Actuals!$G:$G,Actuals!$B:$B,$C$3,Actuals!$C:$C,1,Actuals!$D:$D,$B$754,Actuals!$A:$A,LEFT($D$754,FIND("|",$D$754&amp;"|")-1),Actuals!$E:$E,MID($D$754,FIND("|",$D$754&amp;"|")+1,50),Actuals!$F:$F,"GBP")*$H$5)</f>
        <v/>
      </c>
      <c r="I755" s="18">
        <f>IF(OR($B$754="",2&gt;$C$4),"",SUMIFS(Actuals!$G:$G,Actuals!$B:$B,$C$3,Actuals!$C:$C,2,Actuals!$D:$D,$B$754,Actuals!$A:$A,LEFT($D$754,FIND("|",$D$754&amp;"|")-1),Actuals!$E:$E,MID($D$754,FIND("|",$D$754&amp;"|")+1,50),Actuals!$F:$F,"JPY")*$E$5+SUMIFS(Actuals!$G:$G,Actuals!$B:$B,$C$3,Actuals!$C:$C,2,Actuals!$D:$D,$B$754,Actuals!$A:$A,LEFT($D$754,FIND("|",$D$754&amp;"|")-1),Actuals!$E:$E,MID($D$754,FIND("|",$D$754&amp;"|")+1,50),Actuals!$F:$F,"USD")*$F$5+SUMIFS(Actuals!$G:$G,Actuals!$B:$B,$C$3,Actuals!$C:$C,2,Actuals!$D:$D,$B$754,Actuals!$A:$A,LEFT($D$754,FIND("|",$D$754&amp;"|")-1),Actuals!$E:$E,MID($D$754,FIND("|",$D$754&amp;"|")+1,50),Actuals!$F:$F,"EUR")*$G$5+SUMIFS(Actuals!$G:$G,Actuals!$B:$B,$C$3,Actuals!$C:$C,2,Actuals!$D:$D,$B$754,Actuals!$A:$A,LEFT($D$754,FIND("|",$D$754&amp;"|")-1),Actuals!$E:$E,MID($D$754,FIND("|",$D$754&amp;"|")+1,50),Actuals!$F:$F,"GBP")*$H$5)</f>
        <v/>
      </c>
      <c r="J755" s="18">
        <f>IF(OR($B$754="",3&gt;$C$4),"",SUMIFS(Actuals!$G:$G,Actuals!$B:$B,$C$3,Actuals!$C:$C,3,Actuals!$D:$D,$B$754,Actuals!$A:$A,LEFT($D$754,FIND("|",$D$754&amp;"|")-1),Actuals!$E:$E,MID($D$754,FIND("|",$D$754&amp;"|")+1,50),Actuals!$F:$F,"JPY")*$E$5+SUMIFS(Actuals!$G:$G,Actuals!$B:$B,$C$3,Actuals!$C:$C,3,Actuals!$D:$D,$B$754,Actuals!$A:$A,LEFT($D$754,FIND("|",$D$754&amp;"|")-1),Actuals!$E:$E,MID($D$754,FIND("|",$D$754&amp;"|")+1,50),Actuals!$F:$F,"USD")*$F$5+SUMIFS(Actuals!$G:$G,Actuals!$B:$B,$C$3,Actuals!$C:$C,3,Actuals!$D:$D,$B$754,Actuals!$A:$A,LEFT($D$754,FIND("|",$D$754&amp;"|")-1),Actuals!$E:$E,MID($D$754,FIND("|",$D$754&amp;"|")+1,50),Actuals!$F:$F,"EUR")*$G$5+SUMIFS(Actuals!$G:$G,Actuals!$B:$B,$C$3,Actuals!$C:$C,3,Actuals!$D:$D,$B$754,Actuals!$A:$A,LEFT($D$754,FIND("|",$D$754&amp;"|")-1),Actuals!$E:$E,MID($D$754,FIND("|",$D$754&amp;"|")+1,50),Actuals!$F:$F,"GBP")*$H$5)</f>
        <v/>
      </c>
      <c r="K755" s="18">
        <f>IF(OR($B$754="",4&gt;$C$4),"",SUMIFS(Actuals!$G:$G,Actuals!$B:$B,$C$3,Actuals!$C:$C,4,Actuals!$D:$D,$B$754,Actuals!$A:$A,LEFT($D$754,FIND("|",$D$754&amp;"|")-1),Actuals!$E:$E,MID($D$754,FIND("|",$D$754&amp;"|")+1,50),Actuals!$F:$F,"JPY")*$E$5+SUMIFS(Actuals!$G:$G,Actuals!$B:$B,$C$3,Actuals!$C:$C,4,Actuals!$D:$D,$B$754,Actuals!$A:$A,LEFT($D$754,FIND("|",$D$754&amp;"|")-1),Actuals!$E:$E,MID($D$754,FIND("|",$D$754&amp;"|")+1,50),Actuals!$F:$F,"USD")*$F$5+SUMIFS(Actuals!$G:$G,Actuals!$B:$B,$C$3,Actuals!$C:$C,4,Actuals!$D:$D,$B$754,Actuals!$A:$A,LEFT($D$754,FIND("|",$D$754&amp;"|")-1),Actuals!$E:$E,MID($D$754,FIND("|",$D$754&amp;"|")+1,50),Actuals!$F:$F,"EUR")*$G$5+SUMIFS(Actuals!$G:$G,Actuals!$B:$B,$C$3,Actuals!$C:$C,4,Actuals!$D:$D,$B$754,Actuals!$A:$A,LEFT($D$754,FIND("|",$D$754&amp;"|")-1),Actuals!$E:$E,MID($D$754,FIND("|",$D$754&amp;"|")+1,50),Actuals!$F:$F,"GBP")*$H$5)</f>
        <v/>
      </c>
      <c r="L755" s="18">
        <f>IF(OR($B$754="",5&gt;$C$4),"",SUMIFS(Actuals!$G:$G,Actuals!$B:$B,$C$3,Actuals!$C:$C,5,Actuals!$D:$D,$B$754,Actuals!$A:$A,LEFT($D$754,FIND("|",$D$754&amp;"|")-1),Actuals!$E:$E,MID($D$754,FIND("|",$D$754&amp;"|")+1,50),Actuals!$F:$F,"JPY")*$E$5+SUMIFS(Actuals!$G:$G,Actuals!$B:$B,$C$3,Actuals!$C:$C,5,Actuals!$D:$D,$B$754,Actuals!$A:$A,LEFT($D$754,FIND("|",$D$754&amp;"|")-1),Actuals!$E:$E,MID($D$754,FIND("|",$D$754&amp;"|")+1,50),Actuals!$F:$F,"USD")*$F$5+SUMIFS(Actuals!$G:$G,Actuals!$B:$B,$C$3,Actuals!$C:$C,5,Actuals!$D:$D,$B$754,Actuals!$A:$A,LEFT($D$754,FIND("|",$D$754&amp;"|")-1),Actuals!$E:$E,MID($D$754,FIND("|",$D$754&amp;"|")+1,50),Actuals!$F:$F,"EUR")*$G$5+SUMIFS(Actuals!$G:$G,Actuals!$B:$B,$C$3,Actuals!$C:$C,5,Actuals!$D:$D,$B$754,Actuals!$A:$A,LEFT($D$754,FIND("|",$D$754&amp;"|")-1),Actuals!$E:$E,MID($D$754,FIND("|",$D$754&amp;"|")+1,50),Actuals!$F:$F,"GBP")*$H$5)</f>
        <v/>
      </c>
      <c r="M755" s="18">
        <f>IF(OR($B$754="",6&gt;$C$4),"",SUMIFS(Actuals!$G:$G,Actuals!$B:$B,$C$3,Actuals!$C:$C,6,Actuals!$D:$D,$B$754,Actuals!$A:$A,LEFT($D$754,FIND("|",$D$754&amp;"|")-1),Actuals!$E:$E,MID($D$754,FIND("|",$D$754&amp;"|")+1,50),Actuals!$F:$F,"JPY")*$E$5+SUMIFS(Actuals!$G:$G,Actuals!$B:$B,$C$3,Actuals!$C:$C,6,Actuals!$D:$D,$B$754,Actuals!$A:$A,LEFT($D$754,FIND("|",$D$754&amp;"|")-1),Actuals!$E:$E,MID($D$754,FIND("|",$D$754&amp;"|")+1,50),Actuals!$F:$F,"USD")*$F$5+SUMIFS(Actuals!$G:$G,Actuals!$B:$B,$C$3,Actuals!$C:$C,6,Actuals!$D:$D,$B$754,Actuals!$A:$A,LEFT($D$754,FIND("|",$D$754&amp;"|")-1),Actuals!$E:$E,MID($D$754,FIND("|",$D$754&amp;"|")+1,50),Actuals!$F:$F,"EUR")*$G$5+SUMIFS(Actuals!$G:$G,Actuals!$B:$B,$C$3,Actuals!$C:$C,6,Actuals!$D:$D,$B$754,Actuals!$A:$A,LEFT($D$754,FIND("|",$D$754&amp;"|")-1),Actuals!$E:$E,MID($D$754,FIND("|",$D$754&amp;"|")+1,50),Actuals!$F:$F,"GBP")*$H$5)</f>
        <v/>
      </c>
      <c r="N755" s="18">
        <f>IF(OR($B$754="",7&gt;$C$4),"",SUMIFS(Actuals!$G:$G,Actuals!$B:$B,$C$3,Actuals!$C:$C,7,Actuals!$D:$D,$B$754,Actuals!$A:$A,LEFT($D$754,FIND("|",$D$754&amp;"|")-1),Actuals!$E:$E,MID($D$754,FIND("|",$D$754&amp;"|")+1,50),Actuals!$F:$F,"JPY")*$E$5+SUMIFS(Actuals!$G:$G,Actuals!$B:$B,$C$3,Actuals!$C:$C,7,Actuals!$D:$D,$B$754,Actuals!$A:$A,LEFT($D$754,FIND("|",$D$754&amp;"|")-1),Actuals!$E:$E,MID($D$754,FIND("|",$D$754&amp;"|")+1,50),Actuals!$F:$F,"USD")*$F$5+SUMIFS(Actuals!$G:$G,Actuals!$B:$B,$C$3,Actuals!$C:$C,7,Actuals!$D:$D,$B$754,Actuals!$A:$A,LEFT($D$754,FIND("|",$D$754&amp;"|")-1),Actuals!$E:$E,MID($D$754,FIND("|",$D$754&amp;"|")+1,50),Actuals!$F:$F,"EUR")*$G$5+SUMIFS(Actuals!$G:$G,Actuals!$B:$B,$C$3,Actuals!$C:$C,7,Actuals!$D:$D,$B$754,Actuals!$A:$A,LEFT($D$754,FIND("|",$D$754&amp;"|")-1),Actuals!$E:$E,MID($D$754,FIND("|",$D$754&amp;"|")+1,50),Actuals!$F:$F,"GBP")*$H$5)</f>
        <v/>
      </c>
      <c r="O755" s="18">
        <f>IF(OR($B$754="",8&gt;$C$4),"",SUMIFS(Actuals!$G:$G,Actuals!$B:$B,$C$3,Actuals!$C:$C,8,Actuals!$D:$D,$B$754,Actuals!$A:$A,LEFT($D$754,FIND("|",$D$754&amp;"|")-1),Actuals!$E:$E,MID($D$754,FIND("|",$D$754&amp;"|")+1,50),Actuals!$F:$F,"JPY")*$E$5+SUMIFS(Actuals!$G:$G,Actuals!$B:$B,$C$3,Actuals!$C:$C,8,Actuals!$D:$D,$B$754,Actuals!$A:$A,LEFT($D$754,FIND("|",$D$754&amp;"|")-1),Actuals!$E:$E,MID($D$754,FIND("|",$D$754&amp;"|")+1,50),Actuals!$F:$F,"USD")*$F$5+SUMIFS(Actuals!$G:$G,Actuals!$B:$B,$C$3,Actuals!$C:$C,8,Actuals!$D:$D,$B$754,Actuals!$A:$A,LEFT($D$754,FIND("|",$D$754&amp;"|")-1),Actuals!$E:$E,MID($D$754,FIND("|",$D$754&amp;"|")+1,50),Actuals!$F:$F,"EUR")*$G$5+SUMIFS(Actuals!$G:$G,Actuals!$B:$B,$C$3,Actuals!$C:$C,8,Actuals!$D:$D,$B$754,Actuals!$A:$A,LEFT($D$754,FIND("|",$D$754&amp;"|")-1),Actuals!$E:$E,MID($D$754,FIND("|",$D$754&amp;"|")+1,50),Actuals!$F:$F,"GBP")*$H$5)</f>
        <v/>
      </c>
      <c r="P755" s="18">
        <f>IF(OR($B$754="",9&gt;$C$4),"",SUMIFS(Actuals!$G:$G,Actuals!$B:$B,$C$3,Actuals!$C:$C,9,Actuals!$D:$D,$B$754,Actuals!$A:$A,LEFT($D$754,FIND("|",$D$754&amp;"|")-1),Actuals!$E:$E,MID($D$754,FIND("|",$D$754&amp;"|")+1,50),Actuals!$F:$F,"JPY")*$E$5+SUMIFS(Actuals!$G:$G,Actuals!$B:$B,$C$3,Actuals!$C:$C,9,Actuals!$D:$D,$B$754,Actuals!$A:$A,LEFT($D$754,FIND("|",$D$754&amp;"|")-1),Actuals!$E:$E,MID($D$754,FIND("|",$D$754&amp;"|")+1,50),Actuals!$F:$F,"USD")*$F$5+SUMIFS(Actuals!$G:$G,Actuals!$B:$B,$C$3,Actuals!$C:$C,9,Actuals!$D:$D,$B$754,Actuals!$A:$A,LEFT($D$754,FIND("|",$D$754&amp;"|")-1),Actuals!$E:$E,MID($D$754,FIND("|",$D$754&amp;"|")+1,50),Actuals!$F:$F,"EUR")*$G$5+SUMIFS(Actuals!$G:$G,Actuals!$B:$B,$C$3,Actuals!$C:$C,9,Actuals!$D:$D,$B$754,Actuals!$A:$A,LEFT($D$754,FIND("|",$D$754&amp;"|")-1),Actuals!$E:$E,MID($D$754,FIND("|",$D$754&amp;"|")+1,50),Actuals!$F:$F,"GBP")*$H$5)</f>
        <v/>
      </c>
      <c r="Q755" s="18">
        <f>IF(OR($B$754="",10&gt;$C$4),"",SUMIFS(Actuals!$G:$G,Actuals!$B:$B,$C$3,Actuals!$C:$C,10,Actuals!$D:$D,$B$754,Actuals!$A:$A,LEFT($D$754,FIND("|",$D$754&amp;"|")-1),Actuals!$E:$E,MID($D$754,FIND("|",$D$754&amp;"|")+1,50),Actuals!$F:$F,"JPY")*$E$5+SUMIFS(Actuals!$G:$G,Actuals!$B:$B,$C$3,Actuals!$C:$C,10,Actuals!$D:$D,$B$754,Actuals!$A:$A,LEFT($D$754,FIND("|",$D$754&amp;"|")-1),Actuals!$E:$E,MID($D$754,FIND("|",$D$754&amp;"|")+1,50),Actuals!$F:$F,"USD")*$F$5+SUMIFS(Actuals!$G:$G,Actuals!$B:$B,$C$3,Actuals!$C:$C,10,Actuals!$D:$D,$B$754,Actuals!$A:$A,LEFT($D$754,FIND("|",$D$754&amp;"|")-1),Actuals!$E:$E,MID($D$754,FIND("|",$D$754&amp;"|")+1,50),Actuals!$F:$F,"EUR")*$G$5+SUMIFS(Actuals!$G:$G,Actuals!$B:$B,$C$3,Actuals!$C:$C,10,Actuals!$D:$D,$B$754,Actuals!$A:$A,LEFT($D$754,FIND("|",$D$754&amp;"|")-1),Actuals!$E:$E,MID($D$754,FIND("|",$D$754&amp;"|")+1,50),Actuals!$F:$F,"GBP")*$H$5)</f>
        <v/>
      </c>
      <c r="R755" s="18">
        <f>IF(OR($B$754="",11&gt;$C$4),"",SUMIFS(Actuals!$G:$G,Actuals!$B:$B,$C$3,Actuals!$C:$C,11,Actuals!$D:$D,$B$754,Actuals!$A:$A,LEFT($D$754,FIND("|",$D$754&amp;"|")-1),Actuals!$E:$E,MID($D$754,FIND("|",$D$754&amp;"|")+1,50),Actuals!$F:$F,"JPY")*$E$5+SUMIFS(Actuals!$G:$G,Actuals!$B:$B,$C$3,Actuals!$C:$C,11,Actuals!$D:$D,$B$754,Actuals!$A:$A,LEFT($D$754,FIND("|",$D$754&amp;"|")-1),Actuals!$E:$E,MID($D$754,FIND("|",$D$754&amp;"|")+1,50),Actuals!$F:$F,"USD")*$F$5+SUMIFS(Actuals!$G:$G,Actuals!$B:$B,$C$3,Actuals!$C:$C,11,Actuals!$D:$D,$B$754,Actuals!$A:$A,LEFT($D$754,FIND("|",$D$754&amp;"|")-1),Actuals!$E:$E,MID($D$754,FIND("|",$D$754&amp;"|")+1,50),Actuals!$F:$F,"EUR")*$G$5+SUMIFS(Actuals!$G:$G,Actuals!$B:$B,$C$3,Actuals!$C:$C,11,Actuals!$D:$D,$B$754,Actuals!$A:$A,LEFT($D$754,FIND("|",$D$754&amp;"|")-1),Actuals!$E:$E,MID($D$754,FIND("|",$D$754&amp;"|")+1,50),Actuals!$F:$F,"GBP")*$H$5)</f>
        <v/>
      </c>
      <c r="S755" s="18">
        <f>IF(OR($B$754="",12&gt;$C$4),"",SUMIFS(Actuals!$G:$G,Actuals!$B:$B,$C$3,Actuals!$C:$C,12,Actuals!$D:$D,$B$754,Actuals!$A:$A,LEFT($D$754,FIND("|",$D$754&amp;"|")-1),Actuals!$E:$E,MID($D$754,FIND("|",$D$754&amp;"|")+1,50),Actuals!$F:$F,"JPY")*$E$5+SUMIFS(Actuals!$G:$G,Actuals!$B:$B,$C$3,Actuals!$C:$C,12,Actuals!$D:$D,$B$754,Actuals!$A:$A,LEFT($D$754,FIND("|",$D$754&amp;"|")-1),Actuals!$E:$E,MID($D$754,FIND("|",$D$754&amp;"|")+1,50),Actuals!$F:$F,"USD")*$F$5+SUMIFS(Actuals!$G:$G,Actuals!$B:$B,$C$3,Actuals!$C:$C,12,Actuals!$D:$D,$B$754,Actuals!$A:$A,LEFT($D$754,FIND("|",$D$754&amp;"|")-1),Actuals!$E:$E,MID($D$754,FIND("|",$D$754&amp;"|")+1,50),Actuals!$F:$F,"EUR")*$G$5+SUMIFS(Actuals!$G:$G,Actuals!$B:$B,$C$3,Actuals!$C:$C,12,Actuals!$D:$D,$B$754,Actuals!$A:$A,LEFT($D$754,FIND("|",$D$754&amp;"|")-1),Actuals!$E:$E,MID($D$754,FIND("|",$D$754&amp;"|")+1,50),Actuals!$F:$F,"GBP")*$H$5)</f>
        <v/>
      </c>
      <c r="T755" s="18">
        <f>IF($B$754="","",SUMIF($H$7:$S$7,"&lt;="&amp;$C$4,$H755:$S755))</f>
        <v/>
      </c>
      <c r="U755" s="18" t="n"/>
      <c r="V755" s="18" t="n"/>
      <c r="X755" s="22">
        <f>IF($B755="","",IFERROR(INDEX(Cost_Centers!$E:$E,MATCH($B755,Cost_Centers!$A:$A,0)),"(unknown)"))</f>
        <v/>
      </c>
      <c r="Y755" s="22">
        <f>IF($B755="","",IFERROR(INDEX(Cost_Centers!$D:$D,MATCH($B755,Cost_Centers!$A:$A,0)),"(unknown)"))</f>
        <v/>
      </c>
      <c r="Z755" s="22">
        <f>IF(OR($B755="",$G755&lt;&gt;"Variance vs Budget"),"",ABS(N($V755))+ROW()/1000000000)</f>
        <v/>
      </c>
    </row>
    <row r="756">
      <c r="A756" s="13">
        <f>IF(A$754="","",A$754)</f>
        <v/>
      </c>
      <c r="B756" s="13">
        <f>IF(B$754="","",B$754)</f>
        <v/>
      </c>
      <c r="C756" s="13">
        <f>IF(C$754="","",C$754)</f>
        <v/>
      </c>
      <c r="D756" s="13">
        <f>IF(D$754="","",D$754)</f>
        <v/>
      </c>
      <c r="E756" s="13">
        <f>IF(E$754="","",E$754)</f>
        <v/>
      </c>
      <c r="F756" s="13">
        <f>IF(F$754="","",F$754)</f>
        <v/>
      </c>
      <c r="G756" s="6" t="inlineStr">
        <is>
          <t>Variance vs Budget</t>
        </is>
      </c>
      <c r="H756" s="33">
        <f>IF(OR($B$754="",1&gt;$C$4),"",N(H755)-H754)</f>
        <v/>
      </c>
      <c r="I756" s="33">
        <f>IF(OR($B$754="",2&gt;$C$4),"",N(I755)-I754)</f>
        <v/>
      </c>
      <c r="J756" s="33">
        <f>IF(OR($B$754="",3&gt;$C$4),"",N(J755)-J754)</f>
        <v/>
      </c>
      <c r="K756" s="33">
        <f>IF(OR($B$754="",4&gt;$C$4),"",N(K755)-K754)</f>
        <v/>
      </c>
      <c r="L756" s="33">
        <f>IF(OR($B$754="",5&gt;$C$4),"",N(L755)-L754)</f>
        <v/>
      </c>
      <c r="M756" s="33">
        <f>IF(OR($B$754="",6&gt;$C$4),"",N(M755)-M754)</f>
        <v/>
      </c>
      <c r="N756" s="33">
        <f>IF(OR($B$754="",7&gt;$C$4),"",N(N755)-N754)</f>
        <v/>
      </c>
      <c r="O756" s="33">
        <f>IF(OR($B$754="",8&gt;$C$4),"",N(O755)-O754)</f>
        <v/>
      </c>
      <c r="P756" s="33">
        <f>IF(OR($B$754="",9&gt;$C$4),"",N(P755)-P754)</f>
        <v/>
      </c>
      <c r="Q756" s="33">
        <f>IF(OR($B$754="",10&gt;$C$4),"",N(Q755)-Q754)</f>
        <v/>
      </c>
      <c r="R756" s="33">
        <f>IF(OR($B$754="",11&gt;$C$4),"",N(R755)-R754)</f>
        <v/>
      </c>
      <c r="S756" s="33">
        <f>IF(OR($B$754="",12&gt;$C$4),"",N(S755)-S754)</f>
        <v/>
      </c>
      <c r="T756" s="33">
        <f>IF($B$754="","",T755-T754)</f>
        <v/>
      </c>
      <c r="U756" s="33">
        <f>IF($B$754="","",U758-U754)</f>
        <v/>
      </c>
      <c r="V756" s="33">
        <f>IF($B$754="","",V758-V754)</f>
        <v/>
      </c>
      <c r="X756" s="22">
        <f>IF($B756="","",IFERROR(INDEX(Cost_Centers!$E:$E,MATCH($B756,Cost_Centers!$A:$A,0)),"(unknown)"))</f>
        <v/>
      </c>
      <c r="Y756" s="22">
        <f>IF($B756="","",IFERROR(INDEX(Cost_Centers!$D:$D,MATCH($B756,Cost_Centers!$A:$A,0)),"(unknown)"))</f>
        <v/>
      </c>
      <c r="Z756" s="22">
        <f>IF(OR($B756="",$G756&lt;&gt;"Variance vs Budget"),"",ABS(N($V756))+ROW()/1000000000)</f>
        <v/>
      </c>
    </row>
    <row r="757">
      <c r="A757" s="13">
        <f>IF(A$754="","",A$754)</f>
        <v/>
      </c>
      <c r="B757" s="13">
        <f>IF(B$754="","",B$754)</f>
        <v/>
      </c>
      <c r="C757" s="13">
        <f>IF(C$754="","",C$754)</f>
        <v/>
      </c>
      <c r="D757" s="13">
        <f>IF(D$754="","",D$754)</f>
        <v/>
      </c>
      <c r="E757" s="13">
        <f>IF(E$754="","",E$754)</f>
        <v/>
      </c>
      <c r="F757" s="13">
        <f>IF(F$754="","",F$754)</f>
        <v/>
      </c>
      <c r="G757" s="7" t="inlineStr">
        <is>
          <t>Forecast (input)</t>
        </is>
      </c>
      <c r="H757" s="34" t="n"/>
      <c r="I757" s="34" t="n"/>
      <c r="J757" s="34" t="n"/>
      <c r="K757" s="34" t="n"/>
      <c r="L757" s="34" t="n"/>
      <c r="M757" s="34" t="n"/>
      <c r="N757" s="34" t="n"/>
      <c r="O757" s="34" t="n"/>
      <c r="P757" s="34" t="n"/>
      <c r="Q757" s="34" t="n"/>
      <c r="R757" s="34" t="n"/>
      <c r="S757" s="34" t="n"/>
      <c r="T757" s="18" t="n"/>
      <c r="U757" s="18" t="n"/>
      <c r="V757" s="18" t="n"/>
      <c r="X757" s="22">
        <f>IF($B757="","",IFERROR(INDEX(Cost_Centers!$E:$E,MATCH($B757,Cost_Centers!$A:$A,0)),"(unknown)"))</f>
        <v/>
      </c>
      <c r="Y757" s="22">
        <f>IF($B757="","",IFERROR(INDEX(Cost_Centers!$D:$D,MATCH($B757,Cost_Centers!$A:$A,0)),"(unknown)"))</f>
        <v/>
      </c>
      <c r="Z757" s="22">
        <f>IF(OR($B757="",$G757&lt;&gt;"Variance vs Budget"),"",ABS(N($V757))+ROW()/1000000000)</f>
        <v/>
      </c>
    </row>
    <row r="758">
      <c r="A758" s="13">
        <f>IF(A$754="","",A$754)</f>
        <v/>
      </c>
      <c r="B758" s="13">
        <f>IF(B$754="","",B$754)</f>
        <v/>
      </c>
      <c r="C758" s="13">
        <f>IF(C$754="","",C$754)</f>
        <v/>
      </c>
      <c r="D758" s="13">
        <f>IF(D$754="","",D$754)</f>
        <v/>
      </c>
      <c r="E758" s="13">
        <f>IF(E$754="","",E$754)</f>
        <v/>
      </c>
      <c r="F758" s="13">
        <f>IF(F$754="","",F$754)</f>
        <v/>
      </c>
      <c r="G758" s="35" t="inlineStr">
        <is>
          <t>Actual + Forecast</t>
        </is>
      </c>
      <c r="H758" s="18">
        <f>IF($B$754="","",IF(1&lt;=$C$4,N(H755),IF(H757="",H754,H757)))</f>
        <v/>
      </c>
      <c r="I758" s="18">
        <f>IF($B$754="","",IF(2&lt;=$C$4,N(I755),IF(I757="",I754,I757)))</f>
        <v/>
      </c>
      <c r="J758" s="18">
        <f>IF($B$754="","",IF(3&lt;=$C$4,N(J755),IF(J757="",J754,J757)))</f>
        <v/>
      </c>
      <c r="K758" s="18">
        <f>IF($B$754="","",IF(4&lt;=$C$4,N(K755),IF(K757="",K754,K757)))</f>
        <v/>
      </c>
      <c r="L758" s="18">
        <f>IF($B$754="","",IF(5&lt;=$C$4,N(L755),IF(L757="",L754,L757)))</f>
        <v/>
      </c>
      <c r="M758" s="18">
        <f>IF($B$754="","",IF(6&lt;=$C$4,N(M755),IF(M757="",M754,M757)))</f>
        <v/>
      </c>
      <c r="N758" s="18">
        <f>IF($B$754="","",IF(7&lt;=$C$4,N(N755),IF(N757="",N754,N757)))</f>
        <v/>
      </c>
      <c r="O758" s="18">
        <f>IF($B$754="","",IF(8&lt;=$C$4,N(O755),IF(O757="",O754,O757)))</f>
        <v/>
      </c>
      <c r="P758" s="18">
        <f>IF($B$754="","",IF(9&lt;=$C$4,N(P755),IF(P757="",P754,P757)))</f>
        <v/>
      </c>
      <c r="Q758" s="18">
        <f>IF($B$754="","",IF(10&lt;=$C$4,N(Q755),IF(Q757="",Q754,Q757)))</f>
        <v/>
      </c>
      <c r="R758" s="18">
        <f>IF($B$754="","",IF(11&lt;=$C$4,N(R755),IF(R757="",R754,R757)))</f>
        <v/>
      </c>
      <c r="S758" s="18">
        <f>IF($B$754="","",IF(12&lt;=$C$4,N(S755),IF(S757="",S754,S757)))</f>
        <v/>
      </c>
      <c r="T758" s="18">
        <f>IF($B$754="","",SUMIF($H$7:$S$7,"&lt;="&amp;$C$4,$H758:$S758))</f>
        <v/>
      </c>
      <c r="U758" s="18">
        <f>IF($B$754="","",SUMIF($H$7:$S$7,"&gt;"&amp;$C$4,$H758:$S758))</f>
        <v/>
      </c>
      <c r="V758" s="18">
        <f>IF($B$754="","",SUM($H758:$S758))</f>
        <v/>
      </c>
      <c r="X758" s="22">
        <f>IF($B758="","",IFERROR(INDEX(Cost_Centers!$E:$E,MATCH($B758,Cost_Centers!$A:$A,0)),"(unknown)"))</f>
        <v/>
      </c>
      <c r="Y758" s="22">
        <f>IF($B758="","",IFERROR(INDEX(Cost_Centers!$D:$D,MATCH($B758,Cost_Centers!$A:$A,0)),"(unknown)"))</f>
        <v/>
      </c>
      <c r="Z758" s="22">
        <f>IF(OR($B758="",$G758&lt;&gt;"Variance vs Budget"),"",ABS(N($V758))+ROW()/1000000000)</f>
        <v/>
      </c>
    </row>
    <row r="759">
      <c r="A759" s="13">
        <f>IF(A$754="","",A$754)</f>
        <v/>
      </c>
      <c r="B759" s="13">
        <f>IF(B$754="","",B$754)</f>
        <v/>
      </c>
      <c r="C759" s="13">
        <f>IF(C$754="","",C$754)</f>
        <v/>
      </c>
      <c r="D759" s="13">
        <f>IF(D$754="","",D$754)</f>
        <v/>
      </c>
      <c r="E759" s="13">
        <f>IF(E$754="","",E$754)</f>
        <v/>
      </c>
      <c r="F759" s="13">
        <f>IF(F$754="","",F$754)</f>
        <v/>
      </c>
      <c r="G759" s="36" t="inlineStr">
        <is>
          <t>Prior Month Forecast</t>
        </is>
      </c>
      <c r="H759" s="37">
        <f>IF($B$754="","",IF(COUNTIFS(Prior_Forecast!$A:$A,$B$754,Prior_Forecast!$B:$B,$D$754)&gt;0,SUMIFS(Prior_Forecast!$C:$C,Prior_Forecast!$A:$A,$B$754,Prior_Forecast!$B:$B,$D$754),""))</f>
        <v/>
      </c>
      <c r="I759" s="37">
        <f>IF($B$754="","",IF(COUNTIFS(Prior_Forecast!$A:$A,$B$754,Prior_Forecast!$B:$B,$D$754)&gt;0,SUMIFS(Prior_Forecast!$D:$D,Prior_Forecast!$A:$A,$B$754,Prior_Forecast!$B:$B,$D$754),""))</f>
        <v/>
      </c>
      <c r="J759" s="37">
        <f>IF($B$754="","",IF(COUNTIFS(Prior_Forecast!$A:$A,$B$754,Prior_Forecast!$B:$B,$D$754)&gt;0,SUMIFS(Prior_Forecast!$E:$E,Prior_Forecast!$A:$A,$B$754,Prior_Forecast!$B:$B,$D$754),""))</f>
        <v/>
      </c>
      <c r="K759" s="37">
        <f>IF($B$754="","",IF(COUNTIFS(Prior_Forecast!$A:$A,$B$754,Prior_Forecast!$B:$B,$D$754)&gt;0,SUMIFS(Prior_Forecast!$F:$F,Prior_Forecast!$A:$A,$B$754,Prior_Forecast!$B:$B,$D$754),""))</f>
        <v/>
      </c>
      <c r="L759" s="37">
        <f>IF($B$754="","",IF(COUNTIFS(Prior_Forecast!$A:$A,$B$754,Prior_Forecast!$B:$B,$D$754)&gt;0,SUMIFS(Prior_Forecast!$G:$G,Prior_Forecast!$A:$A,$B$754,Prior_Forecast!$B:$B,$D$754),""))</f>
        <v/>
      </c>
      <c r="M759" s="37">
        <f>IF($B$754="","",IF(COUNTIFS(Prior_Forecast!$A:$A,$B$754,Prior_Forecast!$B:$B,$D$754)&gt;0,SUMIFS(Prior_Forecast!$H:$H,Prior_Forecast!$A:$A,$B$754,Prior_Forecast!$B:$B,$D$754),""))</f>
        <v/>
      </c>
      <c r="N759" s="37">
        <f>IF($B$754="","",IF(COUNTIFS(Prior_Forecast!$A:$A,$B$754,Prior_Forecast!$B:$B,$D$754)&gt;0,SUMIFS(Prior_Forecast!$I:$I,Prior_Forecast!$A:$A,$B$754,Prior_Forecast!$B:$B,$D$754),""))</f>
        <v/>
      </c>
      <c r="O759" s="37">
        <f>IF($B$754="","",IF(COUNTIFS(Prior_Forecast!$A:$A,$B$754,Prior_Forecast!$B:$B,$D$754)&gt;0,SUMIFS(Prior_Forecast!$J:$J,Prior_Forecast!$A:$A,$B$754,Prior_Forecast!$B:$B,$D$754),""))</f>
        <v/>
      </c>
      <c r="P759" s="37">
        <f>IF($B$754="","",IF(COUNTIFS(Prior_Forecast!$A:$A,$B$754,Prior_Forecast!$B:$B,$D$754)&gt;0,SUMIFS(Prior_Forecast!$K:$K,Prior_Forecast!$A:$A,$B$754,Prior_Forecast!$B:$B,$D$754),""))</f>
        <v/>
      </c>
      <c r="Q759" s="37">
        <f>IF($B$754="","",IF(COUNTIFS(Prior_Forecast!$A:$A,$B$754,Prior_Forecast!$B:$B,$D$754)&gt;0,SUMIFS(Prior_Forecast!$L:$L,Prior_Forecast!$A:$A,$B$754,Prior_Forecast!$B:$B,$D$754),""))</f>
        <v/>
      </c>
      <c r="R759" s="37">
        <f>IF($B$754="","",IF(COUNTIFS(Prior_Forecast!$A:$A,$B$754,Prior_Forecast!$B:$B,$D$754)&gt;0,SUMIFS(Prior_Forecast!$M:$M,Prior_Forecast!$A:$A,$B$754,Prior_Forecast!$B:$B,$D$754),""))</f>
        <v/>
      </c>
      <c r="S759" s="37">
        <f>IF($B$754="","",IF(COUNTIFS(Prior_Forecast!$A:$A,$B$754,Prior_Forecast!$B:$B,$D$754)&gt;0,SUMIFS(Prior_Forecast!$N:$N,Prior_Forecast!$A:$A,$B$754,Prior_Forecast!$B:$B,$D$754),""))</f>
        <v/>
      </c>
      <c r="T759" s="37">
        <f>IF($B$754="","",IF(COUNTIFS(Prior_Forecast!$A:$A,$B$754,Prior_Forecast!$B:$B,$D$754)&gt;0,SUMIFS(Prior_Forecast!$O:$O,Prior_Forecast!$A:$A,$B$754,Prior_Forecast!$B:$B,$D$754),""))</f>
        <v/>
      </c>
      <c r="U759" s="37">
        <f>IF($B$754="","",IF(COUNTIFS(Prior_Forecast!$A:$A,$B$754,Prior_Forecast!$B:$B,$D$754)&gt;0,SUMIFS(Prior_Forecast!$P:$P,Prior_Forecast!$A:$A,$B$754,Prior_Forecast!$B:$B,$D$754),""))</f>
        <v/>
      </c>
      <c r="V759" s="37">
        <f>IF($B$754="","",IF(COUNTIFS(Prior_Forecast!$A:$A,$B$754,Prior_Forecast!$B:$B,$D$754)&gt;0,SUMIFS(Prior_Forecast!$Q:$Q,Prior_Forecast!$A:$A,$B$754,Prior_Forecast!$B:$B,$D$754),""))</f>
        <v/>
      </c>
      <c r="X759" s="22">
        <f>IF($B759="","",IFERROR(INDEX(Cost_Centers!$E:$E,MATCH($B759,Cost_Centers!$A:$A,0)),"(unknown)"))</f>
        <v/>
      </c>
      <c r="Y759" s="22">
        <f>IF($B759="","",IFERROR(INDEX(Cost_Centers!$D:$D,MATCH($B759,Cost_Centers!$A:$A,0)),"(unknown)"))</f>
        <v/>
      </c>
      <c r="Z759" s="22">
        <f>IF(OR($B759="",$G759&lt;&gt;"Variance vs Budget"),"",ABS(N($V759))+ROW()/1000000000)</f>
        <v/>
      </c>
    </row>
    <row r="760">
      <c r="A760" s="13">
        <f>IF(A$754="","",A$754)</f>
        <v/>
      </c>
      <c r="B760" s="13">
        <f>IF(B$754="","",B$754)</f>
        <v/>
      </c>
      <c r="C760" s="13">
        <f>IF(C$754="","",C$754)</f>
        <v/>
      </c>
      <c r="D760" s="13">
        <f>IF(D$754="","",D$754)</f>
        <v/>
      </c>
      <c r="E760" s="13">
        <f>IF(E$754="","",E$754)</f>
        <v/>
      </c>
      <c r="F760" s="13">
        <f>IF(F$754="","",F$754)</f>
        <v/>
      </c>
      <c r="G760" s="6" t="inlineStr">
        <is>
          <t>Variance vs Prior Month</t>
        </is>
      </c>
      <c r="H760" s="33">
        <f>IF(OR($B$754="",H759=""),"",H758-H759)</f>
        <v/>
      </c>
      <c r="I760" s="33">
        <f>IF(OR($B$754="",I759=""),"",I758-I759)</f>
        <v/>
      </c>
      <c r="J760" s="33">
        <f>IF(OR($B$754="",J759=""),"",J758-J759)</f>
        <v/>
      </c>
      <c r="K760" s="33">
        <f>IF(OR($B$754="",K759=""),"",K758-K759)</f>
        <v/>
      </c>
      <c r="L760" s="33">
        <f>IF(OR($B$754="",L759=""),"",L758-L759)</f>
        <v/>
      </c>
      <c r="M760" s="33">
        <f>IF(OR($B$754="",M759=""),"",M758-M759)</f>
        <v/>
      </c>
      <c r="N760" s="33">
        <f>IF(OR($B$754="",N759=""),"",N758-N759)</f>
        <v/>
      </c>
      <c r="O760" s="33">
        <f>IF(OR($B$754="",O759=""),"",O758-O759)</f>
        <v/>
      </c>
      <c r="P760" s="33">
        <f>IF(OR($B$754="",P759=""),"",P758-P759)</f>
        <v/>
      </c>
      <c r="Q760" s="33">
        <f>IF(OR($B$754="",Q759=""),"",Q758-Q759)</f>
        <v/>
      </c>
      <c r="R760" s="33">
        <f>IF(OR($B$754="",R759=""),"",R758-R759)</f>
        <v/>
      </c>
      <c r="S760" s="33">
        <f>IF(OR($B$754="",S759=""),"",S758-S759)</f>
        <v/>
      </c>
      <c r="T760" s="33">
        <f>IF(OR($B$754="",T759=""),"",T758-T759)</f>
        <v/>
      </c>
      <c r="U760" s="33">
        <f>IF(OR($B$754="",U759=""),"",U758-U759)</f>
        <v/>
      </c>
      <c r="V760" s="33">
        <f>IF(OR($B$754="",V759=""),"",V758-V759)</f>
        <v/>
      </c>
      <c r="X760" s="22">
        <f>IF($B760="","",IFERROR(INDEX(Cost_Centers!$E:$E,MATCH($B760,Cost_Centers!$A:$A,0)),"(unknown)"))</f>
        <v/>
      </c>
      <c r="Y760" s="22">
        <f>IF($B760="","",IFERROR(INDEX(Cost_Centers!$D:$D,MATCH($B760,Cost_Centers!$A:$A,0)),"(unknown)"))</f>
        <v/>
      </c>
      <c r="Z760" s="22">
        <f>IF(OR($B760="",$G760&lt;&gt;"Variance vs Budget"),"",ABS(N($V760))+ROW()/1000000000)</f>
        <v/>
      </c>
    </row>
    <row r="761" ht="45" customHeight="1">
      <c r="A761" s="13">
        <f>IF(A$754="","",A$754)</f>
        <v/>
      </c>
      <c r="B761" s="13">
        <f>IF(B$754="","",B$754)</f>
        <v/>
      </c>
      <c r="C761" s="13">
        <f>IF(C$754="","",C$754)</f>
        <v/>
      </c>
      <c r="D761" s="13">
        <f>IF(D$754="","",D$754)</f>
        <v/>
      </c>
      <c r="E761" s="13">
        <f>IF(E$754="","",E$754)</f>
        <v/>
      </c>
      <c r="F761" s="13">
        <f>IF(F$754="","",F$754)</f>
        <v/>
      </c>
      <c r="G761" s="7" t="inlineStr">
        <is>
          <t>Rationale</t>
        </is>
      </c>
      <c r="H761" s="38" t="n"/>
      <c r="I761" s="38" t="n"/>
      <c r="J761" s="38" t="n"/>
      <c r="K761" s="38" t="n"/>
      <c r="L761" s="38" t="n"/>
      <c r="M761" s="38" t="n"/>
      <c r="N761" s="38" t="n"/>
      <c r="O761" s="38" t="n"/>
      <c r="P761" s="38" t="n"/>
      <c r="Q761" s="38" t="n"/>
      <c r="R761" s="38" t="n"/>
      <c r="S761" s="38" t="n"/>
      <c r="T761" s="38" t="n"/>
      <c r="U761" s="38" t="n"/>
      <c r="V761" s="7" t="n"/>
      <c r="X761" s="22">
        <f>IF($B761="","",IFERROR(INDEX(Cost_Centers!$E:$E,MATCH($B761,Cost_Centers!$A:$A,0)),"(unknown)"))</f>
        <v/>
      </c>
      <c r="Y761" s="22">
        <f>IF($B761="","",IFERROR(INDEX(Cost_Centers!$D:$D,MATCH($B761,Cost_Centers!$A:$A,0)),"(unknown)"))</f>
        <v/>
      </c>
      <c r="Z761" s="22">
        <f>IF(OR($B761="",$G761&lt;&gt;"Variance vs Budget"),"",ABS(N($V761))+ROW()/1000000000)</f>
        <v/>
      </c>
    </row>
    <row r="762">
      <c r="A762" s="30">
        <f>IF($D$762="","",LEFT($D$762,FIND("|",$D$762&amp;"|")-1))</f>
        <v/>
      </c>
      <c r="B762" s="31" t="n"/>
      <c r="C762" s="30">
        <f>IF($B$762="","",IFERROR(INDEX(Cost_Centers!$B:$B,MATCH($B$762,Cost_Centers!$A:$A,0)),"(not in master)"))</f>
        <v/>
      </c>
      <c r="D762" s="31" t="n"/>
      <c r="E762" s="30">
        <f>IF($D$762="","",IFERROR(INDEX(Accounts!$D:$D,MATCH($D$762,Accounts!$A:$A,0)),"(not in master)"))</f>
        <v/>
      </c>
      <c r="F762" s="31" t="n"/>
      <c r="G762" s="30" t="inlineStr">
        <is>
          <t>Budget</t>
        </is>
      </c>
      <c r="H762" s="32">
        <f>IF($B$762="","",SUMIFS(Opex_Budget!$O:$O,Opex_Budget!$A:$A,$C$3,Opex_Budget!$E:$E,$B$762,Opex_Budget!$F:$F,$D$762,Opex_Budget!$N:$N,"JPY")*$E$5+SUMIFS(Opex_Budget!$O:$O,Opex_Budget!$A:$A,$C$3,Opex_Budget!$E:$E,$B$762,Opex_Budget!$F:$F,$D$762,Opex_Budget!$N:$N,"USD")*$F$5+SUMIFS(Opex_Budget!$O:$O,Opex_Budget!$A:$A,$C$3,Opex_Budget!$E:$E,$B$762,Opex_Budget!$F:$F,$D$762,Opex_Budget!$N:$N,"EUR")*$G$5+SUMIFS(Opex_Budget!$O:$O,Opex_Budget!$A:$A,$C$3,Opex_Budget!$E:$E,$B$762,Opex_Budget!$F:$F,$D$762,Opex_Budget!$N:$N,"GBP")*$H$5)</f>
        <v/>
      </c>
      <c r="I762" s="32">
        <f>IF($B$762="","",SUMIFS(Opex_Budget!$P:$P,Opex_Budget!$A:$A,$C$3,Opex_Budget!$E:$E,$B$762,Opex_Budget!$F:$F,$D$762,Opex_Budget!$N:$N,"JPY")*$E$5+SUMIFS(Opex_Budget!$P:$P,Opex_Budget!$A:$A,$C$3,Opex_Budget!$E:$E,$B$762,Opex_Budget!$F:$F,$D$762,Opex_Budget!$N:$N,"USD")*$F$5+SUMIFS(Opex_Budget!$P:$P,Opex_Budget!$A:$A,$C$3,Opex_Budget!$E:$E,$B$762,Opex_Budget!$F:$F,$D$762,Opex_Budget!$N:$N,"EUR")*$G$5+SUMIFS(Opex_Budget!$P:$P,Opex_Budget!$A:$A,$C$3,Opex_Budget!$E:$E,$B$762,Opex_Budget!$F:$F,$D$762,Opex_Budget!$N:$N,"GBP")*$H$5)</f>
        <v/>
      </c>
      <c r="J762" s="32">
        <f>IF($B$762="","",SUMIFS(Opex_Budget!$Q:$Q,Opex_Budget!$A:$A,$C$3,Opex_Budget!$E:$E,$B$762,Opex_Budget!$F:$F,$D$762,Opex_Budget!$N:$N,"JPY")*$E$5+SUMIFS(Opex_Budget!$Q:$Q,Opex_Budget!$A:$A,$C$3,Opex_Budget!$E:$E,$B$762,Opex_Budget!$F:$F,$D$762,Opex_Budget!$N:$N,"USD")*$F$5+SUMIFS(Opex_Budget!$Q:$Q,Opex_Budget!$A:$A,$C$3,Opex_Budget!$E:$E,$B$762,Opex_Budget!$F:$F,$D$762,Opex_Budget!$N:$N,"EUR")*$G$5+SUMIFS(Opex_Budget!$Q:$Q,Opex_Budget!$A:$A,$C$3,Opex_Budget!$E:$E,$B$762,Opex_Budget!$F:$F,$D$762,Opex_Budget!$N:$N,"GBP")*$H$5)</f>
        <v/>
      </c>
      <c r="K762" s="32">
        <f>IF($B$762="","",SUMIFS(Opex_Budget!$R:$R,Opex_Budget!$A:$A,$C$3,Opex_Budget!$E:$E,$B$762,Opex_Budget!$F:$F,$D$762,Opex_Budget!$N:$N,"JPY")*$E$5+SUMIFS(Opex_Budget!$R:$R,Opex_Budget!$A:$A,$C$3,Opex_Budget!$E:$E,$B$762,Opex_Budget!$F:$F,$D$762,Opex_Budget!$N:$N,"USD")*$F$5+SUMIFS(Opex_Budget!$R:$R,Opex_Budget!$A:$A,$C$3,Opex_Budget!$E:$E,$B$762,Opex_Budget!$F:$F,$D$762,Opex_Budget!$N:$N,"EUR")*$G$5+SUMIFS(Opex_Budget!$R:$R,Opex_Budget!$A:$A,$C$3,Opex_Budget!$E:$E,$B$762,Opex_Budget!$F:$F,$D$762,Opex_Budget!$N:$N,"GBP")*$H$5)</f>
        <v/>
      </c>
      <c r="L762" s="32">
        <f>IF($B$762="","",SUMIFS(Opex_Budget!$S:$S,Opex_Budget!$A:$A,$C$3,Opex_Budget!$E:$E,$B$762,Opex_Budget!$F:$F,$D$762,Opex_Budget!$N:$N,"JPY")*$E$5+SUMIFS(Opex_Budget!$S:$S,Opex_Budget!$A:$A,$C$3,Opex_Budget!$E:$E,$B$762,Opex_Budget!$F:$F,$D$762,Opex_Budget!$N:$N,"USD")*$F$5+SUMIFS(Opex_Budget!$S:$S,Opex_Budget!$A:$A,$C$3,Opex_Budget!$E:$E,$B$762,Opex_Budget!$F:$F,$D$762,Opex_Budget!$N:$N,"EUR")*$G$5+SUMIFS(Opex_Budget!$S:$S,Opex_Budget!$A:$A,$C$3,Opex_Budget!$E:$E,$B$762,Opex_Budget!$F:$F,$D$762,Opex_Budget!$N:$N,"GBP")*$H$5)</f>
        <v/>
      </c>
      <c r="M762" s="32">
        <f>IF($B$762="","",SUMIFS(Opex_Budget!$T:$T,Opex_Budget!$A:$A,$C$3,Opex_Budget!$E:$E,$B$762,Opex_Budget!$F:$F,$D$762,Opex_Budget!$N:$N,"JPY")*$E$5+SUMIFS(Opex_Budget!$T:$T,Opex_Budget!$A:$A,$C$3,Opex_Budget!$E:$E,$B$762,Opex_Budget!$F:$F,$D$762,Opex_Budget!$N:$N,"USD")*$F$5+SUMIFS(Opex_Budget!$T:$T,Opex_Budget!$A:$A,$C$3,Opex_Budget!$E:$E,$B$762,Opex_Budget!$F:$F,$D$762,Opex_Budget!$N:$N,"EUR")*$G$5+SUMIFS(Opex_Budget!$T:$T,Opex_Budget!$A:$A,$C$3,Opex_Budget!$E:$E,$B$762,Opex_Budget!$F:$F,$D$762,Opex_Budget!$N:$N,"GBP")*$H$5)</f>
        <v/>
      </c>
      <c r="N762" s="32">
        <f>IF($B$762="","",SUMIFS(Opex_Budget!$U:$U,Opex_Budget!$A:$A,$C$3,Opex_Budget!$E:$E,$B$762,Opex_Budget!$F:$F,$D$762,Opex_Budget!$N:$N,"JPY")*$E$5+SUMIFS(Opex_Budget!$U:$U,Opex_Budget!$A:$A,$C$3,Opex_Budget!$E:$E,$B$762,Opex_Budget!$F:$F,$D$762,Opex_Budget!$N:$N,"USD")*$F$5+SUMIFS(Opex_Budget!$U:$U,Opex_Budget!$A:$A,$C$3,Opex_Budget!$E:$E,$B$762,Opex_Budget!$F:$F,$D$762,Opex_Budget!$N:$N,"EUR")*$G$5+SUMIFS(Opex_Budget!$U:$U,Opex_Budget!$A:$A,$C$3,Opex_Budget!$E:$E,$B$762,Opex_Budget!$F:$F,$D$762,Opex_Budget!$N:$N,"GBP")*$H$5)</f>
        <v/>
      </c>
      <c r="O762" s="32">
        <f>IF($B$762="","",SUMIFS(Opex_Budget!$V:$V,Opex_Budget!$A:$A,$C$3,Opex_Budget!$E:$E,$B$762,Opex_Budget!$F:$F,$D$762,Opex_Budget!$N:$N,"JPY")*$E$5+SUMIFS(Opex_Budget!$V:$V,Opex_Budget!$A:$A,$C$3,Opex_Budget!$E:$E,$B$762,Opex_Budget!$F:$F,$D$762,Opex_Budget!$N:$N,"USD")*$F$5+SUMIFS(Opex_Budget!$V:$V,Opex_Budget!$A:$A,$C$3,Opex_Budget!$E:$E,$B$762,Opex_Budget!$F:$F,$D$762,Opex_Budget!$N:$N,"EUR")*$G$5+SUMIFS(Opex_Budget!$V:$V,Opex_Budget!$A:$A,$C$3,Opex_Budget!$E:$E,$B$762,Opex_Budget!$F:$F,$D$762,Opex_Budget!$N:$N,"GBP")*$H$5)</f>
        <v/>
      </c>
      <c r="P762" s="32">
        <f>IF($B$762="","",SUMIFS(Opex_Budget!$W:$W,Opex_Budget!$A:$A,$C$3,Opex_Budget!$E:$E,$B$762,Opex_Budget!$F:$F,$D$762,Opex_Budget!$N:$N,"JPY")*$E$5+SUMIFS(Opex_Budget!$W:$W,Opex_Budget!$A:$A,$C$3,Opex_Budget!$E:$E,$B$762,Opex_Budget!$F:$F,$D$762,Opex_Budget!$N:$N,"USD")*$F$5+SUMIFS(Opex_Budget!$W:$W,Opex_Budget!$A:$A,$C$3,Opex_Budget!$E:$E,$B$762,Opex_Budget!$F:$F,$D$762,Opex_Budget!$N:$N,"EUR")*$G$5+SUMIFS(Opex_Budget!$W:$W,Opex_Budget!$A:$A,$C$3,Opex_Budget!$E:$E,$B$762,Opex_Budget!$F:$F,$D$762,Opex_Budget!$N:$N,"GBP")*$H$5)</f>
        <v/>
      </c>
      <c r="Q762" s="32">
        <f>IF($B$762="","",SUMIFS(Opex_Budget!$X:$X,Opex_Budget!$A:$A,$C$3,Opex_Budget!$E:$E,$B$762,Opex_Budget!$F:$F,$D$762,Opex_Budget!$N:$N,"JPY")*$E$5+SUMIFS(Opex_Budget!$X:$X,Opex_Budget!$A:$A,$C$3,Opex_Budget!$E:$E,$B$762,Opex_Budget!$F:$F,$D$762,Opex_Budget!$N:$N,"USD")*$F$5+SUMIFS(Opex_Budget!$X:$X,Opex_Budget!$A:$A,$C$3,Opex_Budget!$E:$E,$B$762,Opex_Budget!$F:$F,$D$762,Opex_Budget!$N:$N,"EUR")*$G$5+SUMIFS(Opex_Budget!$X:$X,Opex_Budget!$A:$A,$C$3,Opex_Budget!$E:$E,$B$762,Opex_Budget!$F:$F,$D$762,Opex_Budget!$N:$N,"GBP")*$H$5)</f>
        <v/>
      </c>
      <c r="R762" s="32">
        <f>IF($B$762="","",SUMIFS(Opex_Budget!$Y:$Y,Opex_Budget!$A:$A,$C$3,Opex_Budget!$E:$E,$B$762,Opex_Budget!$F:$F,$D$762,Opex_Budget!$N:$N,"JPY")*$E$5+SUMIFS(Opex_Budget!$Y:$Y,Opex_Budget!$A:$A,$C$3,Opex_Budget!$E:$E,$B$762,Opex_Budget!$F:$F,$D$762,Opex_Budget!$N:$N,"USD")*$F$5+SUMIFS(Opex_Budget!$Y:$Y,Opex_Budget!$A:$A,$C$3,Opex_Budget!$E:$E,$B$762,Opex_Budget!$F:$F,$D$762,Opex_Budget!$N:$N,"EUR")*$G$5+SUMIFS(Opex_Budget!$Y:$Y,Opex_Budget!$A:$A,$C$3,Opex_Budget!$E:$E,$B$762,Opex_Budget!$F:$F,$D$762,Opex_Budget!$N:$N,"GBP")*$H$5)</f>
        <v/>
      </c>
      <c r="S762" s="32">
        <f>IF($B$762="","",SUMIFS(Opex_Budget!$Z:$Z,Opex_Budget!$A:$A,$C$3,Opex_Budget!$E:$E,$B$762,Opex_Budget!$F:$F,$D$762,Opex_Budget!$N:$N,"JPY")*$E$5+SUMIFS(Opex_Budget!$Z:$Z,Opex_Budget!$A:$A,$C$3,Opex_Budget!$E:$E,$B$762,Opex_Budget!$F:$F,$D$762,Opex_Budget!$N:$N,"USD")*$F$5+SUMIFS(Opex_Budget!$Z:$Z,Opex_Budget!$A:$A,$C$3,Opex_Budget!$E:$E,$B$762,Opex_Budget!$F:$F,$D$762,Opex_Budget!$N:$N,"EUR")*$G$5+SUMIFS(Opex_Budget!$Z:$Z,Opex_Budget!$A:$A,$C$3,Opex_Budget!$E:$E,$B$762,Opex_Budget!$F:$F,$D$762,Opex_Budget!$N:$N,"GBP")*$H$5)</f>
        <v/>
      </c>
      <c r="T762" s="32">
        <f>IF($B$762="","",SUMIF($H$7:$S$7,"&lt;="&amp;$C$4,$H762:$S762))</f>
        <v/>
      </c>
      <c r="U762" s="32">
        <f>IF($B$762="","",SUMIF($H$7:$S$7,"&gt;"&amp;$C$4,$H762:$S762))</f>
        <v/>
      </c>
      <c r="V762" s="32">
        <f>IF($B$762="","",SUM($H762:$S762))</f>
        <v/>
      </c>
      <c r="X762" s="22">
        <f>IF($B762="","",IFERROR(INDEX(Cost_Centers!$E:$E,MATCH($B762,Cost_Centers!$A:$A,0)),"(unknown)"))</f>
        <v/>
      </c>
      <c r="Y762" s="22">
        <f>IF($B762="","",IFERROR(INDEX(Cost_Centers!$D:$D,MATCH($B762,Cost_Centers!$A:$A,0)),"(unknown)"))</f>
        <v/>
      </c>
      <c r="Z762" s="22">
        <f>IF(OR($B762="",$G762&lt;&gt;"Variance vs Budget"),"",ABS(N($V762))+ROW()/1000000000)</f>
        <v/>
      </c>
    </row>
    <row r="763">
      <c r="A763" s="13">
        <f>IF(A$762="","",A$762)</f>
        <v/>
      </c>
      <c r="B763" s="13">
        <f>IF(B$762="","",B$762)</f>
        <v/>
      </c>
      <c r="C763" s="13">
        <f>IF(C$762="","",C$762)</f>
        <v/>
      </c>
      <c r="D763" s="13">
        <f>IF(D$762="","",D$762)</f>
        <v/>
      </c>
      <c r="E763" s="13">
        <f>IF(E$762="","",E$762)</f>
        <v/>
      </c>
      <c r="F763" s="13">
        <f>IF(F$762="","",F$762)</f>
        <v/>
      </c>
      <c r="G763" s="7" t="inlineStr">
        <is>
          <t>Actual</t>
        </is>
      </c>
      <c r="H763" s="18">
        <f>IF(OR($B$762="",1&gt;$C$4),"",SUMIFS(Actuals!$G:$G,Actuals!$B:$B,$C$3,Actuals!$C:$C,1,Actuals!$D:$D,$B$762,Actuals!$A:$A,LEFT($D$762,FIND("|",$D$762&amp;"|")-1),Actuals!$E:$E,MID($D$762,FIND("|",$D$762&amp;"|")+1,50),Actuals!$F:$F,"JPY")*$E$5+SUMIFS(Actuals!$G:$G,Actuals!$B:$B,$C$3,Actuals!$C:$C,1,Actuals!$D:$D,$B$762,Actuals!$A:$A,LEFT($D$762,FIND("|",$D$762&amp;"|")-1),Actuals!$E:$E,MID($D$762,FIND("|",$D$762&amp;"|")+1,50),Actuals!$F:$F,"USD")*$F$5+SUMIFS(Actuals!$G:$G,Actuals!$B:$B,$C$3,Actuals!$C:$C,1,Actuals!$D:$D,$B$762,Actuals!$A:$A,LEFT($D$762,FIND("|",$D$762&amp;"|")-1),Actuals!$E:$E,MID($D$762,FIND("|",$D$762&amp;"|")+1,50),Actuals!$F:$F,"EUR")*$G$5+SUMIFS(Actuals!$G:$G,Actuals!$B:$B,$C$3,Actuals!$C:$C,1,Actuals!$D:$D,$B$762,Actuals!$A:$A,LEFT($D$762,FIND("|",$D$762&amp;"|")-1),Actuals!$E:$E,MID($D$762,FIND("|",$D$762&amp;"|")+1,50),Actuals!$F:$F,"GBP")*$H$5)</f>
        <v/>
      </c>
      <c r="I763" s="18">
        <f>IF(OR($B$762="",2&gt;$C$4),"",SUMIFS(Actuals!$G:$G,Actuals!$B:$B,$C$3,Actuals!$C:$C,2,Actuals!$D:$D,$B$762,Actuals!$A:$A,LEFT($D$762,FIND("|",$D$762&amp;"|")-1),Actuals!$E:$E,MID($D$762,FIND("|",$D$762&amp;"|")+1,50),Actuals!$F:$F,"JPY")*$E$5+SUMIFS(Actuals!$G:$G,Actuals!$B:$B,$C$3,Actuals!$C:$C,2,Actuals!$D:$D,$B$762,Actuals!$A:$A,LEFT($D$762,FIND("|",$D$762&amp;"|")-1),Actuals!$E:$E,MID($D$762,FIND("|",$D$762&amp;"|")+1,50),Actuals!$F:$F,"USD")*$F$5+SUMIFS(Actuals!$G:$G,Actuals!$B:$B,$C$3,Actuals!$C:$C,2,Actuals!$D:$D,$B$762,Actuals!$A:$A,LEFT($D$762,FIND("|",$D$762&amp;"|")-1),Actuals!$E:$E,MID($D$762,FIND("|",$D$762&amp;"|")+1,50),Actuals!$F:$F,"EUR")*$G$5+SUMIFS(Actuals!$G:$G,Actuals!$B:$B,$C$3,Actuals!$C:$C,2,Actuals!$D:$D,$B$762,Actuals!$A:$A,LEFT($D$762,FIND("|",$D$762&amp;"|")-1),Actuals!$E:$E,MID($D$762,FIND("|",$D$762&amp;"|")+1,50),Actuals!$F:$F,"GBP")*$H$5)</f>
        <v/>
      </c>
      <c r="J763" s="18">
        <f>IF(OR($B$762="",3&gt;$C$4),"",SUMIFS(Actuals!$G:$G,Actuals!$B:$B,$C$3,Actuals!$C:$C,3,Actuals!$D:$D,$B$762,Actuals!$A:$A,LEFT($D$762,FIND("|",$D$762&amp;"|")-1),Actuals!$E:$E,MID($D$762,FIND("|",$D$762&amp;"|")+1,50),Actuals!$F:$F,"JPY")*$E$5+SUMIFS(Actuals!$G:$G,Actuals!$B:$B,$C$3,Actuals!$C:$C,3,Actuals!$D:$D,$B$762,Actuals!$A:$A,LEFT($D$762,FIND("|",$D$762&amp;"|")-1),Actuals!$E:$E,MID($D$762,FIND("|",$D$762&amp;"|")+1,50),Actuals!$F:$F,"USD")*$F$5+SUMIFS(Actuals!$G:$G,Actuals!$B:$B,$C$3,Actuals!$C:$C,3,Actuals!$D:$D,$B$762,Actuals!$A:$A,LEFT($D$762,FIND("|",$D$762&amp;"|")-1),Actuals!$E:$E,MID($D$762,FIND("|",$D$762&amp;"|")+1,50),Actuals!$F:$F,"EUR")*$G$5+SUMIFS(Actuals!$G:$G,Actuals!$B:$B,$C$3,Actuals!$C:$C,3,Actuals!$D:$D,$B$762,Actuals!$A:$A,LEFT($D$762,FIND("|",$D$762&amp;"|")-1),Actuals!$E:$E,MID($D$762,FIND("|",$D$762&amp;"|")+1,50),Actuals!$F:$F,"GBP")*$H$5)</f>
        <v/>
      </c>
      <c r="K763" s="18">
        <f>IF(OR($B$762="",4&gt;$C$4),"",SUMIFS(Actuals!$G:$G,Actuals!$B:$B,$C$3,Actuals!$C:$C,4,Actuals!$D:$D,$B$762,Actuals!$A:$A,LEFT($D$762,FIND("|",$D$762&amp;"|")-1),Actuals!$E:$E,MID($D$762,FIND("|",$D$762&amp;"|")+1,50),Actuals!$F:$F,"JPY")*$E$5+SUMIFS(Actuals!$G:$G,Actuals!$B:$B,$C$3,Actuals!$C:$C,4,Actuals!$D:$D,$B$762,Actuals!$A:$A,LEFT($D$762,FIND("|",$D$762&amp;"|")-1),Actuals!$E:$E,MID($D$762,FIND("|",$D$762&amp;"|")+1,50),Actuals!$F:$F,"USD")*$F$5+SUMIFS(Actuals!$G:$G,Actuals!$B:$B,$C$3,Actuals!$C:$C,4,Actuals!$D:$D,$B$762,Actuals!$A:$A,LEFT($D$762,FIND("|",$D$762&amp;"|")-1),Actuals!$E:$E,MID($D$762,FIND("|",$D$762&amp;"|")+1,50),Actuals!$F:$F,"EUR")*$G$5+SUMIFS(Actuals!$G:$G,Actuals!$B:$B,$C$3,Actuals!$C:$C,4,Actuals!$D:$D,$B$762,Actuals!$A:$A,LEFT($D$762,FIND("|",$D$762&amp;"|")-1),Actuals!$E:$E,MID($D$762,FIND("|",$D$762&amp;"|")+1,50),Actuals!$F:$F,"GBP")*$H$5)</f>
        <v/>
      </c>
      <c r="L763" s="18">
        <f>IF(OR($B$762="",5&gt;$C$4),"",SUMIFS(Actuals!$G:$G,Actuals!$B:$B,$C$3,Actuals!$C:$C,5,Actuals!$D:$D,$B$762,Actuals!$A:$A,LEFT($D$762,FIND("|",$D$762&amp;"|")-1),Actuals!$E:$E,MID($D$762,FIND("|",$D$762&amp;"|")+1,50),Actuals!$F:$F,"JPY")*$E$5+SUMIFS(Actuals!$G:$G,Actuals!$B:$B,$C$3,Actuals!$C:$C,5,Actuals!$D:$D,$B$762,Actuals!$A:$A,LEFT($D$762,FIND("|",$D$762&amp;"|")-1),Actuals!$E:$E,MID($D$762,FIND("|",$D$762&amp;"|")+1,50),Actuals!$F:$F,"USD")*$F$5+SUMIFS(Actuals!$G:$G,Actuals!$B:$B,$C$3,Actuals!$C:$C,5,Actuals!$D:$D,$B$762,Actuals!$A:$A,LEFT($D$762,FIND("|",$D$762&amp;"|")-1),Actuals!$E:$E,MID($D$762,FIND("|",$D$762&amp;"|")+1,50),Actuals!$F:$F,"EUR")*$G$5+SUMIFS(Actuals!$G:$G,Actuals!$B:$B,$C$3,Actuals!$C:$C,5,Actuals!$D:$D,$B$762,Actuals!$A:$A,LEFT($D$762,FIND("|",$D$762&amp;"|")-1),Actuals!$E:$E,MID($D$762,FIND("|",$D$762&amp;"|")+1,50),Actuals!$F:$F,"GBP")*$H$5)</f>
        <v/>
      </c>
      <c r="M763" s="18">
        <f>IF(OR($B$762="",6&gt;$C$4),"",SUMIFS(Actuals!$G:$G,Actuals!$B:$B,$C$3,Actuals!$C:$C,6,Actuals!$D:$D,$B$762,Actuals!$A:$A,LEFT($D$762,FIND("|",$D$762&amp;"|")-1),Actuals!$E:$E,MID($D$762,FIND("|",$D$762&amp;"|")+1,50),Actuals!$F:$F,"JPY")*$E$5+SUMIFS(Actuals!$G:$G,Actuals!$B:$B,$C$3,Actuals!$C:$C,6,Actuals!$D:$D,$B$762,Actuals!$A:$A,LEFT($D$762,FIND("|",$D$762&amp;"|")-1),Actuals!$E:$E,MID($D$762,FIND("|",$D$762&amp;"|")+1,50),Actuals!$F:$F,"USD")*$F$5+SUMIFS(Actuals!$G:$G,Actuals!$B:$B,$C$3,Actuals!$C:$C,6,Actuals!$D:$D,$B$762,Actuals!$A:$A,LEFT($D$762,FIND("|",$D$762&amp;"|")-1),Actuals!$E:$E,MID($D$762,FIND("|",$D$762&amp;"|")+1,50),Actuals!$F:$F,"EUR")*$G$5+SUMIFS(Actuals!$G:$G,Actuals!$B:$B,$C$3,Actuals!$C:$C,6,Actuals!$D:$D,$B$762,Actuals!$A:$A,LEFT($D$762,FIND("|",$D$762&amp;"|")-1),Actuals!$E:$E,MID($D$762,FIND("|",$D$762&amp;"|")+1,50),Actuals!$F:$F,"GBP")*$H$5)</f>
        <v/>
      </c>
      <c r="N763" s="18">
        <f>IF(OR($B$762="",7&gt;$C$4),"",SUMIFS(Actuals!$G:$G,Actuals!$B:$B,$C$3,Actuals!$C:$C,7,Actuals!$D:$D,$B$762,Actuals!$A:$A,LEFT($D$762,FIND("|",$D$762&amp;"|")-1),Actuals!$E:$E,MID($D$762,FIND("|",$D$762&amp;"|")+1,50),Actuals!$F:$F,"JPY")*$E$5+SUMIFS(Actuals!$G:$G,Actuals!$B:$B,$C$3,Actuals!$C:$C,7,Actuals!$D:$D,$B$762,Actuals!$A:$A,LEFT($D$762,FIND("|",$D$762&amp;"|")-1),Actuals!$E:$E,MID($D$762,FIND("|",$D$762&amp;"|")+1,50),Actuals!$F:$F,"USD")*$F$5+SUMIFS(Actuals!$G:$G,Actuals!$B:$B,$C$3,Actuals!$C:$C,7,Actuals!$D:$D,$B$762,Actuals!$A:$A,LEFT($D$762,FIND("|",$D$762&amp;"|")-1),Actuals!$E:$E,MID($D$762,FIND("|",$D$762&amp;"|")+1,50),Actuals!$F:$F,"EUR")*$G$5+SUMIFS(Actuals!$G:$G,Actuals!$B:$B,$C$3,Actuals!$C:$C,7,Actuals!$D:$D,$B$762,Actuals!$A:$A,LEFT($D$762,FIND("|",$D$762&amp;"|")-1),Actuals!$E:$E,MID($D$762,FIND("|",$D$762&amp;"|")+1,50),Actuals!$F:$F,"GBP")*$H$5)</f>
        <v/>
      </c>
      <c r="O763" s="18">
        <f>IF(OR($B$762="",8&gt;$C$4),"",SUMIFS(Actuals!$G:$G,Actuals!$B:$B,$C$3,Actuals!$C:$C,8,Actuals!$D:$D,$B$762,Actuals!$A:$A,LEFT($D$762,FIND("|",$D$762&amp;"|")-1),Actuals!$E:$E,MID($D$762,FIND("|",$D$762&amp;"|")+1,50),Actuals!$F:$F,"JPY")*$E$5+SUMIFS(Actuals!$G:$G,Actuals!$B:$B,$C$3,Actuals!$C:$C,8,Actuals!$D:$D,$B$762,Actuals!$A:$A,LEFT($D$762,FIND("|",$D$762&amp;"|")-1),Actuals!$E:$E,MID($D$762,FIND("|",$D$762&amp;"|")+1,50),Actuals!$F:$F,"USD")*$F$5+SUMIFS(Actuals!$G:$G,Actuals!$B:$B,$C$3,Actuals!$C:$C,8,Actuals!$D:$D,$B$762,Actuals!$A:$A,LEFT($D$762,FIND("|",$D$762&amp;"|")-1),Actuals!$E:$E,MID($D$762,FIND("|",$D$762&amp;"|")+1,50),Actuals!$F:$F,"EUR")*$G$5+SUMIFS(Actuals!$G:$G,Actuals!$B:$B,$C$3,Actuals!$C:$C,8,Actuals!$D:$D,$B$762,Actuals!$A:$A,LEFT($D$762,FIND("|",$D$762&amp;"|")-1),Actuals!$E:$E,MID($D$762,FIND("|",$D$762&amp;"|")+1,50),Actuals!$F:$F,"GBP")*$H$5)</f>
        <v/>
      </c>
      <c r="P763" s="18">
        <f>IF(OR($B$762="",9&gt;$C$4),"",SUMIFS(Actuals!$G:$G,Actuals!$B:$B,$C$3,Actuals!$C:$C,9,Actuals!$D:$D,$B$762,Actuals!$A:$A,LEFT($D$762,FIND("|",$D$762&amp;"|")-1),Actuals!$E:$E,MID($D$762,FIND("|",$D$762&amp;"|")+1,50),Actuals!$F:$F,"JPY")*$E$5+SUMIFS(Actuals!$G:$G,Actuals!$B:$B,$C$3,Actuals!$C:$C,9,Actuals!$D:$D,$B$762,Actuals!$A:$A,LEFT($D$762,FIND("|",$D$762&amp;"|")-1),Actuals!$E:$E,MID($D$762,FIND("|",$D$762&amp;"|")+1,50),Actuals!$F:$F,"USD")*$F$5+SUMIFS(Actuals!$G:$G,Actuals!$B:$B,$C$3,Actuals!$C:$C,9,Actuals!$D:$D,$B$762,Actuals!$A:$A,LEFT($D$762,FIND("|",$D$762&amp;"|")-1),Actuals!$E:$E,MID($D$762,FIND("|",$D$762&amp;"|")+1,50),Actuals!$F:$F,"EUR")*$G$5+SUMIFS(Actuals!$G:$G,Actuals!$B:$B,$C$3,Actuals!$C:$C,9,Actuals!$D:$D,$B$762,Actuals!$A:$A,LEFT($D$762,FIND("|",$D$762&amp;"|")-1),Actuals!$E:$E,MID($D$762,FIND("|",$D$762&amp;"|")+1,50),Actuals!$F:$F,"GBP")*$H$5)</f>
        <v/>
      </c>
      <c r="Q763" s="18">
        <f>IF(OR($B$762="",10&gt;$C$4),"",SUMIFS(Actuals!$G:$G,Actuals!$B:$B,$C$3,Actuals!$C:$C,10,Actuals!$D:$D,$B$762,Actuals!$A:$A,LEFT($D$762,FIND("|",$D$762&amp;"|")-1),Actuals!$E:$E,MID($D$762,FIND("|",$D$762&amp;"|")+1,50),Actuals!$F:$F,"JPY")*$E$5+SUMIFS(Actuals!$G:$G,Actuals!$B:$B,$C$3,Actuals!$C:$C,10,Actuals!$D:$D,$B$762,Actuals!$A:$A,LEFT($D$762,FIND("|",$D$762&amp;"|")-1),Actuals!$E:$E,MID($D$762,FIND("|",$D$762&amp;"|")+1,50),Actuals!$F:$F,"USD")*$F$5+SUMIFS(Actuals!$G:$G,Actuals!$B:$B,$C$3,Actuals!$C:$C,10,Actuals!$D:$D,$B$762,Actuals!$A:$A,LEFT($D$762,FIND("|",$D$762&amp;"|")-1),Actuals!$E:$E,MID($D$762,FIND("|",$D$762&amp;"|")+1,50),Actuals!$F:$F,"EUR")*$G$5+SUMIFS(Actuals!$G:$G,Actuals!$B:$B,$C$3,Actuals!$C:$C,10,Actuals!$D:$D,$B$762,Actuals!$A:$A,LEFT($D$762,FIND("|",$D$762&amp;"|")-1),Actuals!$E:$E,MID($D$762,FIND("|",$D$762&amp;"|")+1,50),Actuals!$F:$F,"GBP")*$H$5)</f>
        <v/>
      </c>
      <c r="R763" s="18">
        <f>IF(OR($B$762="",11&gt;$C$4),"",SUMIFS(Actuals!$G:$G,Actuals!$B:$B,$C$3,Actuals!$C:$C,11,Actuals!$D:$D,$B$762,Actuals!$A:$A,LEFT($D$762,FIND("|",$D$762&amp;"|")-1),Actuals!$E:$E,MID($D$762,FIND("|",$D$762&amp;"|")+1,50),Actuals!$F:$F,"JPY")*$E$5+SUMIFS(Actuals!$G:$G,Actuals!$B:$B,$C$3,Actuals!$C:$C,11,Actuals!$D:$D,$B$762,Actuals!$A:$A,LEFT($D$762,FIND("|",$D$762&amp;"|")-1),Actuals!$E:$E,MID($D$762,FIND("|",$D$762&amp;"|")+1,50),Actuals!$F:$F,"USD")*$F$5+SUMIFS(Actuals!$G:$G,Actuals!$B:$B,$C$3,Actuals!$C:$C,11,Actuals!$D:$D,$B$762,Actuals!$A:$A,LEFT($D$762,FIND("|",$D$762&amp;"|")-1),Actuals!$E:$E,MID($D$762,FIND("|",$D$762&amp;"|")+1,50),Actuals!$F:$F,"EUR")*$G$5+SUMIFS(Actuals!$G:$G,Actuals!$B:$B,$C$3,Actuals!$C:$C,11,Actuals!$D:$D,$B$762,Actuals!$A:$A,LEFT($D$762,FIND("|",$D$762&amp;"|")-1),Actuals!$E:$E,MID($D$762,FIND("|",$D$762&amp;"|")+1,50),Actuals!$F:$F,"GBP")*$H$5)</f>
        <v/>
      </c>
      <c r="S763" s="18">
        <f>IF(OR($B$762="",12&gt;$C$4),"",SUMIFS(Actuals!$G:$G,Actuals!$B:$B,$C$3,Actuals!$C:$C,12,Actuals!$D:$D,$B$762,Actuals!$A:$A,LEFT($D$762,FIND("|",$D$762&amp;"|")-1),Actuals!$E:$E,MID($D$762,FIND("|",$D$762&amp;"|")+1,50),Actuals!$F:$F,"JPY")*$E$5+SUMIFS(Actuals!$G:$G,Actuals!$B:$B,$C$3,Actuals!$C:$C,12,Actuals!$D:$D,$B$762,Actuals!$A:$A,LEFT($D$762,FIND("|",$D$762&amp;"|")-1),Actuals!$E:$E,MID($D$762,FIND("|",$D$762&amp;"|")+1,50),Actuals!$F:$F,"USD")*$F$5+SUMIFS(Actuals!$G:$G,Actuals!$B:$B,$C$3,Actuals!$C:$C,12,Actuals!$D:$D,$B$762,Actuals!$A:$A,LEFT($D$762,FIND("|",$D$762&amp;"|")-1),Actuals!$E:$E,MID($D$762,FIND("|",$D$762&amp;"|")+1,50),Actuals!$F:$F,"EUR")*$G$5+SUMIFS(Actuals!$G:$G,Actuals!$B:$B,$C$3,Actuals!$C:$C,12,Actuals!$D:$D,$B$762,Actuals!$A:$A,LEFT($D$762,FIND("|",$D$762&amp;"|")-1),Actuals!$E:$E,MID($D$762,FIND("|",$D$762&amp;"|")+1,50),Actuals!$F:$F,"GBP")*$H$5)</f>
        <v/>
      </c>
      <c r="T763" s="18">
        <f>IF($B$762="","",SUMIF($H$7:$S$7,"&lt;="&amp;$C$4,$H763:$S763))</f>
        <v/>
      </c>
      <c r="U763" s="18" t="n"/>
      <c r="V763" s="18" t="n"/>
      <c r="X763" s="22">
        <f>IF($B763="","",IFERROR(INDEX(Cost_Centers!$E:$E,MATCH($B763,Cost_Centers!$A:$A,0)),"(unknown)"))</f>
        <v/>
      </c>
      <c r="Y763" s="22">
        <f>IF($B763="","",IFERROR(INDEX(Cost_Centers!$D:$D,MATCH($B763,Cost_Centers!$A:$A,0)),"(unknown)"))</f>
        <v/>
      </c>
      <c r="Z763" s="22">
        <f>IF(OR($B763="",$G763&lt;&gt;"Variance vs Budget"),"",ABS(N($V763))+ROW()/1000000000)</f>
        <v/>
      </c>
    </row>
    <row r="764">
      <c r="A764" s="13">
        <f>IF(A$762="","",A$762)</f>
        <v/>
      </c>
      <c r="B764" s="13">
        <f>IF(B$762="","",B$762)</f>
        <v/>
      </c>
      <c r="C764" s="13">
        <f>IF(C$762="","",C$762)</f>
        <v/>
      </c>
      <c r="D764" s="13">
        <f>IF(D$762="","",D$762)</f>
        <v/>
      </c>
      <c r="E764" s="13">
        <f>IF(E$762="","",E$762)</f>
        <v/>
      </c>
      <c r="F764" s="13">
        <f>IF(F$762="","",F$762)</f>
        <v/>
      </c>
      <c r="G764" s="6" t="inlineStr">
        <is>
          <t>Variance vs Budget</t>
        </is>
      </c>
      <c r="H764" s="33">
        <f>IF(OR($B$762="",1&gt;$C$4),"",N(H763)-H762)</f>
        <v/>
      </c>
      <c r="I764" s="33">
        <f>IF(OR($B$762="",2&gt;$C$4),"",N(I763)-I762)</f>
        <v/>
      </c>
      <c r="J764" s="33">
        <f>IF(OR($B$762="",3&gt;$C$4),"",N(J763)-J762)</f>
        <v/>
      </c>
      <c r="K764" s="33">
        <f>IF(OR($B$762="",4&gt;$C$4),"",N(K763)-K762)</f>
        <v/>
      </c>
      <c r="L764" s="33">
        <f>IF(OR($B$762="",5&gt;$C$4),"",N(L763)-L762)</f>
        <v/>
      </c>
      <c r="M764" s="33">
        <f>IF(OR($B$762="",6&gt;$C$4),"",N(M763)-M762)</f>
        <v/>
      </c>
      <c r="N764" s="33">
        <f>IF(OR($B$762="",7&gt;$C$4),"",N(N763)-N762)</f>
        <v/>
      </c>
      <c r="O764" s="33">
        <f>IF(OR($B$762="",8&gt;$C$4),"",N(O763)-O762)</f>
        <v/>
      </c>
      <c r="P764" s="33">
        <f>IF(OR($B$762="",9&gt;$C$4),"",N(P763)-P762)</f>
        <v/>
      </c>
      <c r="Q764" s="33">
        <f>IF(OR($B$762="",10&gt;$C$4),"",N(Q763)-Q762)</f>
        <v/>
      </c>
      <c r="R764" s="33">
        <f>IF(OR($B$762="",11&gt;$C$4),"",N(R763)-R762)</f>
        <v/>
      </c>
      <c r="S764" s="33">
        <f>IF(OR($B$762="",12&gt;$C$4),"",N(S763)-S762)</f>
        <v/>
      </c>
      <c r="T764" s="33">
        <f>IF($B$762="","",T763-T762)</f>
        <v/>
      </c>
      <c r="U764" s="33">
        <f>IF($B$762="","",U766-U762)</f>
        <v/>
      </c>
      <c r="V764" s="33">
        <f>IF($B$762="","",V766-V762)</f>
        <v/>
      </c>
      <c r="X764" s="22">
        <f>IF($B764="","",IFERROR(INDEX(Cost_Centers!$E:$E,MATCH($B764,Cost_Centers!$A:$A,0)),"(unknown)"))</f>
        <v/>
      </c>
      <c r="Y764" s="22">
        <f>IF($B764="","",IFERROR(INDEX(Cost_Centers!$D:$D,MATCH($B764,Cost_Centers!$A:$A,0)),"(unknown)"))</f>
        <v/>
      </c>
      <c r="Z764" s="22">
        <f>IF(OR($B764="",$G764&lt;&gt;"Variance vs Budget"),"",ABS(N($V764))+ROW()/1000000000)</f>
        <v/>
      </c>
    </row>
    <row r="765">
      <c r="A765" s="13">
        <f>IF(A$762="","",A$762)</f>
        <v/>
      </c>
      <c r="B765" s="13">
        <f>IF(B$762="","",B$762)</f>
        <v/>
      </c>
      <c r="C765" s="13">
        <f>IF(C$762="","",C$762)</f>
        <v/>
      </c>
      <c r="D765" s="13">
        <f>IF(D$762="","",D$762)</f>
        <v/>
      </c>
      <c r="E765" s="13">
        <f>IF(E$762="","",E$762)</f>
        <v/>
      </c>
      <c r="F765" s="13">
        <f>IF(F$762="","",F$762)</f>
        <v/>
      </c>
      <c r="G765" s="7" t="inlineStr">
        <is>
          <t>Forecast (input)</t>
        </is>
      </c>
      <c r="H765" s="34" t="n"/>
      <c r="I765" s="34" t="n"/>
      <c r="J765" s="34" t="n"/>
      <c r="K765" s="34" t="n"/>
      <c r="L765" s="34" t="n"/>
      <c r="M765" s="34" t="n"/>
      <c r="N765" s="34" t="n"/>
      <c r="O765" s="34" t="n"/>
      <c r="P765" s="34" t="n"/>
      <c r="Q765" s="34" t="n"/>
      <c r="R765" s="34" t="n"/>
      <c r="S765" s="34" t="n"/>
      <c r="T765" s="18" t="n"/>
      <c r="U765" s="18" t="n"/>
      <c r="V765" s="18" t="n"/>
      <c r="X765" s="22">
        <f>IF($B765="","",IFERROR(INDEX(Cost_Centers!$E:$E,MATCH($B765,Cost_Centers!$A:$A,0)),"(unknown)"))</f>
        <v/>
      </c>
      <c r="Y765" s="22">
        <f>IF($B765="","",IFERROR(INDEX(Cost_Centers!$D:$D,MATCH($B765,Cost_Centers!$A:$A,0)),"(unknown)"))</f>
        <v/>
      </c>
      <c r="Z765" s="22">
        <f>IF(OR($B765="",$G765&lt;&gt;"Variance vs Budget"),"",ABS(N($V765))+ROW()/1000000000)</f>
        <v/>
      </c>
    </row>
    <row r="766">
      <c r="A766" s="13">
        <f>IF(A$762="","",A$762)</f>
        <v/>
      </c>
      <c r="B766" s="13">
        <f>IF(B$762="","",B$762)</f>
        <v/>
      </c>
      <c r="C766" s="13">
        <f>IF(C$762="","",C$762)</f>
        <v/>
      </c>
      <c r="D766" s="13">
        <f>IF(D$762="","",D$762)</f>
        <v/>
      </c>
      <c r="E766" s="13">
        <f>IF(E$762="","",E$762)</f>
        <v/>
      </c>
      <c r="F766" s="13">
        <f>IF(F$762="","",F$762)</f>
        <v/>
      </c>
      <c r="G766" s="35" t="inlineStr">
        <is>
          <t>Actual + Forecast</t>
        </is>
      </c>
      <c r="H766" s="18">
        <f>IF($B$762="","",IF(1&lt;=$C$4,N(H763),IF(H765="",H762,H765)))</f>
        <v/>
      </c>
      <c r="I766" s="18">
        <f>IF($B$762="","",IF(2&lt;=$C$4,N(I763),IF(I765="",I762,I765)))</f>
        <v/>
      </c>
      <c r="J766" s="18">
        <f>IF($B$762="","",IF(3&lt;=$C$4,N(J763),IF(J765="",J762,J765)))</f>
        <v/>
      </c>
      <c r="K766" s="18">
        <f>IF($B$762="","",IF(4&lt;=$C$4,N(K763),IF(K765="",K762,K765)))</f>
        <v/>
      </c>
      <c r="L766" s="18">
        <f>IF($B$762="","",IF(5&lt;=$C$4,N(L763),IF(L765="",L762,L765)))</f>
        <v/>
      </c>
      <c r="M766" s="18">
        <f>IF($B$762="","",IF(6&lt;=$C$4,N(M763),IF(M765="",M762,M765)))</f>
        <v/>
      </c>
      <c r="N766" s="18">
        <f>IF($B$762="","",IF(7&lt;=$C$4,N(N763),IF(N765="",N762,N765)))</f>
        <v/>
      </c>
      <c r="O766" s="18">
        <f>IF($B$762="","",IF(8&lt;=$C$4,N(O763),IF(O765="",O762,O765)))</f>
        <v/>
      </c>
      <c r="P766" s="18">
        <f>IF($B$762="","",IF(9&lt;=$C$4,N(P763),IF(P765="",P762,P765)))</f>
        <v/>
      </c>
      <c r="Q766" s="18">
        <f>IF($B$762="","",IF(10&lt;=$C$4,N(Q763),IF(Q765="",Q762,Q765)))</f>
        <v/>
      </c>
      <c r="R766" s="18">
        <f>IF($B$762="","",IF(11&lt;=$C$4,N(R763),IF(R765="",R762,R765)))</f>
        <v/>
      </c>
      <c r="S766" s="18">
        <f>IF($B$762="","",IF(12&lt;=$C$4,N(S763),IF(S765="",S762,S765)))</f>
        <v/>
      </c>
      <c r="T766" s="18">
        <f>IF($B$762="","",SUMIF($H$7:$S$7,"&lt;="&amp;$C$4,$H766:$S766))</f>
        <v/>
      </c>
      <c r="U766" s="18">
        <f>IF($B$762="","",SUMIF($H$7:$S$7,"&gt;"&amp;$C$4,$H766:$S766))</f>
        <v/>
      </c>
      <c r="V766" s="18">
        <f>IF($B$762="","",SUM($H766:$S766))</f>
        <v/>
      </c>
      <c r="X766" s="22">
        <f>IF($B766="","",IFERROR(INDEX(Cost_Centers!$E:$E,MATCH($B766,Cost_Centers!$A:$A,0)),"(unknown)"))</f>
        <v/>
      </c>
      <c r="Y766" s="22">
        <f>IF($B766="","",IFERROR(INDEX(Cost_Centers!$D:$D,MATCH($B766,Cost_Centers!$A:$A,0)),"(unknown)"))</f>
        <v/>
      </c>
      <c r="Z766" s="22">
        <f>IF(OR($B766="",$G766&lt;&gt;"Variance vs Budget"),"",ABS(N($V766))+ROW()/1000000000)</f>
        <v/>
      </c>
    </row>
    <row r="767">
      <c r="A767" s="13">
        <f>IF(A$762="","",A$762)</f>
        <v/>
      </c>
      <c r="B767" s="13">
        <f>IF(B$762="","",B$762)</f>
        <v/>
      </c>
      <c r="C767" s="13">
        <f>IF(C$762="","",C$762)</f>
        <v/>
      </c>
      <c r="D767" s="13">
        <f>IF(D$762="","",D$762)</f>
        <v/>
      </c>
      <c r="E767" s="13">
        <f>IF(E$762="","",E$762)</f>
        <v/>
      </c>
      <c r="F767" s="13">
        <f>IF(F$762="","",F$762)</f>
        <v/>
      </c>
      <c r="G767" s="36" t="inlineStr">
        <is>
          <t>Prior Month Forecast</t>
        </is>
      </c>
      <c r="H767" s="37">
        <f>IF($B$762="","",IF(COUNTIFS(Prior_Forecast!$A:$A,$B$762,Prior_Forecast!$B:$B,$D$762)&gt;0,SUMIFS(Prior_Forecast!$C:$C,Prior_Forecast!$A:$A,$B$762,Prior_Forecast!$B:$B,$D$762),""))</f>
        <v/>
      </c>
      <c r="I767" s="37">
        <f>IF($B$762="","",IF(COUNTIFS(Prior_Forecast!$A:$A,$B$762,Prior_Forecast!$B:$B,$D$762)&gt;0,SUMIFS(Prior_Forecast!$D:$D,Prior_Forecast!$A:$A,$B$762,Prior_Forecast!$B:$B,$D$762),""))</f>
        <v/>
      </c>
      <c r="J767" s="37">
        <f>IF($B$762="","",IF(COUNTIFS(Prior_Forecast!$A:$A,$B$762,Prior_Forecast!$B:$B,$D$762)&gt;0,SUMIFS(Prior_Forecast!$E:$E,Prior_Forecast!$A:$A,$B$762,Prior_Forecast!$B:$B,$D$762),""))</f>
        <v/>
      </c>
      <c r="K767" s="37">
        <f>IF($B$762="","",IF(COUNTIFS(Prior_Forecast!$A:$A,$B$762,Prior_Forecast!$B:$B,$D$762)&gt;0,SUMIFS(Prior_Forecast!$F:$F,Prior_Forecast!$A:$A,$B$762,Prior_Forecast!$B:$B,$D$762),""))</f>
        <v/>
      </c>
      <c r="L767" s="37">
        <f>IF($B$762="","",IF(COUNTIFS(Prior_Forecast!$A:$A,$B$762,Prior_Forecast!$B:$B,$D$762)&gt;0,SUMIFS(Prior_Forecast!$G:$G,Prior_Forecast!$A:$A,$B$762,Prior_Forecast!$B:$B,$D$762),""))</f>
        <v/>
      </c>
      <c r="M767" s="37">
        <f>IF($B$762="","",IF(COUNTIFS(Prior_Forecast!$A:$A,$B$762,Prior_Forecast!$B:$B,$D$762)&gt;0,SUMIFS(Prior_Forecast!$H:$H,Prior_Forecast!$A:$A,$B$762,Prior_Forecast!$B:$B,$D$762),""))</f>
        <v/>
      </c>
      <c r="N767" s="37">
        <f>IF($B$762="","",IF(COUNTIFS(Prior_Forecast!$A:$A,$B$762,Prior_Forecast!$B:$B,$D$762)&gt;0,SUMIFS(Prior_Forecast!$I:$I,Prior_Forecast!$A:$A,$B$762,Prior_Forecast!$B:$B,$D$762),""))</f>
        <v/>
      </c>
      <c r="O767" s="37">
        <f>IF($B$762="","",IF(COUNTIFS(Prior_Forecast!$A:$A,$B$762,Prior_Forecast!$B:$B,$D$762)&gt;0,SUMIFS(Prior_Forecast!$J:$J,Prior_Forecast!$A:$A,$B$762,Prior_Forecast!$B:$B,$D$762),""))</f>
        <v/>
      </c>
      <c r="P767" s="37">
        <f>IF($B$762="","",IF(COUNTIFS(Prior_Forecast!$A:$A,$B$762,Prior_Forecast!$B:$B,$D$762)&gt;0,SUMIFS(Prior_Forecast!$K:$K,Prior_Forecast!$A:$A,$B$762,Prior_Forecast!$B:$B,$D$762),""))</f>
        <v/>
      </c>
      <c r="Q767" s="37">
        <f>IF($B$762="","",IF(COUNTIFS(Prior_Forecast!$A:$A,$B$762,Prior_Forecast!$B:$B,$D$762)&gt;0,SUMIFS(Prior_Forecast!$L:$L,Prior_Forecast!$A:$A,$B$762,Prior_Forecast!$B:$B,$D$762),""))</f>
        <v/>
      </c>
      <c r="R767" s="37">
        <f>IF($B$762="","",IF(COUNTIFS(Prior_Forecast!$A:$A,$B$762,Prior_Forecast!$B:$B,$D$762)&gt;0,SUMIFS(Prior_Forecast!$M:$M,Prior_Forecast!$A:$A,$B$762,Prior_Forecast!$B:$B,$D$762),""))</f>
        <v/>
      </c>
      <c r="S767" s="37">
        <f>IF($B$762="","",IF(COUNTIFS(Prior_Forecast!$A:$A,$B$762,Prior_Forecast!$B:$B,$D$762)&gt;0,SUMIFS(Prior_Forecast!$N:$N,Prior_Forecast!$A:$A,$B$762,Prior_Forecast!$B:$B,$D$762),""))</f>
        <v/>
      </c>
      <c r="T767" s="37">
        <f>IF($B$762="","",IF(COUNTIFS(Prior_Forecast!$A:$A,$B$762,Prior_Forecast!$B:$B,$D$762)&gt;0,SUMIFS(Prior_Forecast!$O:$O,Prior_Forecast!$A:$A,$B$762,Prior_Forecast!$B:$B,$D$762),""))</f>
        <v/>
      </c>
      <c r="U767" s="37">
        <f>IF($B$762="","",IF(COUNTIFS(Prior_Forecast!$A:$A,$B$762,Prior_Forecast!$B:$B,$D$762)&gt;0,SUMIFS(Prior_Forecast!$P:$P,Prior_Forecast!$A:$A,$B$762,Prior_Forecast!$B:$B,$D$762),""))</f>
        <v/>
      </c>
      <c r="V767" s="37">
        <f>IF($B$762="","",IF(COUNTIFS(Prior_Forecast!$A:$A,$B$762,Prior_Forecast!$B:$B,$D$762)&gt;0,SUMIFS(Prior_Forecast!$Q:$Q,Prior_Forecast!$A:$A,$B$762,Prior_Forecast!$B:$B,$D$762),""))</f>
        <v/>
      </c>
      <c r="X767" s="22">
        <f>IF($B767="","",IFERROR(INDEX(Cost_Centers!$E:$E,MATCH($B767,Cost_Centers!$A:$A,0)),"(unknown)"))</f>
        <v/>
      </c>
      <c r="Y767" s="22">
        <f>IF($B767="","",IFERROR(INDEX(Cost_Centers!$D:$D,MATCH($B767,Cost_Centers!$A:$A,0)),"(unknown)"))</f>
        <v/>
      </c>
      <c r="Z767" s="22">
        <f>IF(OR($B767="",$G767&lt;&gt;"Variance vs Budget"),"",ABS(N($V767))+ROW()/1000000000)</f>
        <v/>
      </c>
    </row>
    <row r="768">
      <c r="A768" s="13">
        <f>IF(A$762="","",A$762)</f>
        <v/>
      </c>
      <c r="B768" s="13">
        <f>IF(B$762="","",B$762)</f>
        <v/>
      </c>
      <c r="C768" s="13">
        <f>IF(C$762="","",C$762)</f>
        <v/>
      </c>
      <c r="D768" s="13">
        <f>IF(D$762="","",D$762)</f>
        <v/>
      </c>
      <c r="E768" s="13">
        <f>IF(E$762="","",E$762)</f>
        <v/>
      </c>
      <c r="F768" s="13">
        <f>IF(F$762="","",F$762)</f>
        <v/>
      </c>
      <c r="G768" s="6" t="inlineStr">
        <is>
          <t>Variance vs Prior Month</t>
        </is>
      </c>
      <c r="H768" s="33">
        <f>IF(OR($B$762="",H767=""),"",H766-H767)</f>
        <v/>
      </c>
      <c r="I768" s="33">
        <f>IF(OR($B$762="",I767=""),"",I766-I767)</f>
        <v/>
      </c>
      <c r="J768" s="33">
        <f>IF(OR($B$762="",J767=""),"",J766-J767)</f>
        <v/>
      </c>
      <c r="K768" s="33">
        <f>IF(OR($B$762="",K767=""),"",K766-K767)</f>
        <v/>
      </c>
      <c r="L768" s="33">
        <f>IF(OR($B$762="",L767=""),"",L766-L767)</f>
        <v/>
      </c>
      <c r="M768" s="33">
        <f>IF(OR($B$762="",M767=""),"",M766-M767)</f>
        <v/>
      </c>
      <c r="N768" s="33">
        <f>IF(OR($B$762="",N767=""),"",N766-N767)</f>
        <v/>
      </c>
      <c r="O768" s="33">
        <f>IF(OR($B$762="",O767=""),"",O766-O767)</f>
        <v/>
      </c>
      <c r="P768" s="33">
        <f>IF(OR($B$762="",P767=""),"",P766-P767)</f>
        <v/>
      </c>
      <c r="Q768" s="33">
        <f>IF(OR($B$762="",Q767=""),"",Q766-Q767)</f>
        <v/>
      </c>
      <c r="R768" s="33">
        <f>IF(OR($B$762="",R767=""),"",R766-R767)</f>
        <v/>
      </c>
      <c r="S768" s="33">
        <f>IF(OR($B$762="",S767=""),"",S766-S767)</f>
        <v/>
      </c>
      <c r="T768" s="33">
        <f>IF(OR($B$762="",T767=""),"",T766-T767)</f>
        <v/>
      </c>
      <c r="U768" s="33">
        <f>IF(OR($B$762="",U767=""),"",U766-U767)</f>
        <v/>
      </c>
      <c r="V768" s="33">
        <f>IF(OR($B$762="",V767=""),"",V766-V767)</f>
        <v/>
      </c>
      <c r="X768" s="22">
        <f>IF($B768="","",IFERROR(INDEX(Cost_Centers!$E:$E,MATCH($B768,Cost_Centers!$A:$A,0)),"(unknown)"))</f>
        <v/>
      </c>
      <c r="Y768" s="22">
        <f>IF($B768="","",IFERROR(INDEX(Cost_Centers!$D:$D,MATCH($B768,Cost_Centers!$A:$A,0)),"(unknown)"))</f>
        <v/>
      </c>
      <c r="Z768" s="22">
        <f>IF(OR($B768="",$G768&lt;&gt;"Variance vs Budget"),"",ABS(N($V768))+ROW()/1000000000)</f>
        <v/>
      </c>
    </row>
    <row r="769" ht="45" customHeight="1">
      <c r="A769" s="13">
        <f>IF(A$762="","",A$762)</f>
        <v/>
      </c>
      <c r="B769" s="13">
        <f>IF(B$762="","",B$762)</f>
        <v/>
      </c>
      <c r="C769" s="13">
        <f>IF(C$762="","",C$762)</f>
        <v/>
      </c>
      <c r="D769" s="13">
        <f>IF(D$762="","",D$762)</f>
        <v/>
      </c>
      <c r="E769" s="13">
        <f>IF(E$762="","",E$762)</f>
        <v/>
      </c>
      <c r="F769" s="13">
        <f>IF(F$762="","",F$762)</f>
        <v/>
      </c>
      <c r="G769" s="7" t="inlineStr">
        <is>
          <t>Rationale</t>
        </is>
      </c>
      <c r="H769" s="38" t="n"/>
      <c r="I769" s="38" t="n"/>
      <c r="J769" s="38" t="n"/>
      <c r="K769" s="38" t="n"/>
      <c r="L769" s="38" t="n"/>
      <c r="M769" s="38" t="n"/>
      <c r="N769" s="38" t="n"/>
      <c r="O769" s="38" t="n"/>
      <c r="P769" s="38" t="n"/>
      <c r="Q769" s="38" t="n"/>
      <c r="R769" s="38" t="n"/>
      <c r="S769" s="38" t="n"/>
      <c r="T769" s="38" t="n"/>
      <c r="U769" s="38" t="n"/>
      <c r="V769" s="7" t="n"/>
      <c r="X769" s="22">
        <f>IF($B769="","",IFERROR(INDEX(Cost_Centers!$E:$E,MATCH($B769,Cost_Centers!$A:$A,0)),"(unknown)"))</f>
        <v/>
      </c>
      <c r="Y769" s="22">
        <f>IF($B769="","",IFERROR(INDEX(Cost_Centers!$D:$D,MATCH($B769,Cost_Centers!$A:$A,0)),"(unknown)"))</f>
        <v/>
      </c>
      <c r="Z769" s="22">
        <f>IF(OR($B769="",$G769&lt;&gt;"Variance vs Budget"),"",ABS(N($V769))+ROW()/1000000000)</f>
        <v/>
      </c>
    </row>
    <row r="770">
      <c r="A770" s="30">
        <f>IF($D$770="","",LEFT($D$770,FIND("|",$D$770&amp;"|")-1))</f>
        <v/>
      </c>
      <c r="B770" s="31" t="n"/>
      <c r="C770" s="30">
        <f>IF($B$770="","",IFERROR(INDEX(Cost_Centers!$B:$B,MATCH($B$770,Cost_Centers!$A:$A,0)),"(not in master)"))</f>
        <v/>
      </c>
      <c r="D770" s="31" t="n"/>
      <c r="E770" s="30">
        <f>IF($D$770="","",IFERROR(INDEX(Accounts!$D:$D,MATCH($D$770,Accounts!$A:$A,0)),"(not in master)"))</f>
        <v/>
      </c>
      <c r="F770" s="31" t="n"/>
      <c r="G770" s="30" t="inlineStr">
        <is>
          <t>Budget</t>
        </is>
      </c>
      <c r="H770" s="32">
        <f>IF($B$770="","",SUMIFS(Opex_Budget!$O:$O,Opex_Budget!$A:$A,$C$3,Opex_Budget!$E:$E,$B$770,Opex_Budget!$F:$F,$D$770,Opex_Budget!$N:$N,"JPY")*$E$5+SUMIFS(Opex_Budget!$O:$O,Opex_Budget!$A:$A,$C$3,Opex_Budget!$E:$E,$B$770,Opex_Budget!$F:$F,$D$770,Opex_Budget!$N:$N,"USD")*$F$5+SUMIFS(Opex_Budget!$O:$O,Opex_Budget!$A:$A,$C$3,Opex_Budget!$E:$E,$B$770,Opex_Budget!$F:$F,$D$770,Opex_Budget!$N:$N,"EUR")*$G$5+SUMIFS(Opex_Budget!$O:$O,Opex_Budget!$A:$A,$C$3,Opex_Budget!$E:$E,$B$770,Opex_Budget!$F:$F,$D$770,Opex_Budget!$N:$N,"GBP")*$H$5)</f>
        <v/>
      </c>
      <c r="I770" s="32">
        <f>IF($B$770="","",SUMIFS(Opex_Budget!$P:$P,Opex_Budget!$A:$A,$C$3,Opex_Budget!$E:$E,$B$770,Opex_Budget!$F:$F,$D$770,Opex_Budget!$N:$N,"JPY")*$E$5+SUMIFS(Opex_Budget!$P:$P,Opex_Budget!$A:$A,$C$3,Opex_Budget!$E:$E,$B$770,Opex_Budget!$F:$F,$D$770,Opex_Budget!$N:$N,"USD")*$F$5+SUMIFS(Opex_Budget!$P:$P,Opex_Budget!$A:$A,$C$3,Opex_Budget!$E:$E,$B$770,Opex_Budget!$F:$F,$D$770,Opex_Budget!$N:$N,"EUR")*$G$5+SUMIFS(Opex_Budget!$P:$P,Opex_Budget!$A:$A,$C$3,Opex_Budget!$E:$E,$B$770,Opex_Budget!$F:$F,$D$770,Opex_Budget!$N:$N,"GBP")*$H$5)</f>
        <v/>
      </c>
      <c r="J770" s="32">
        <f>IF($B$770="","",SUMIFS(Opex_Budget!$Q:$Q,Opex_Budget!$A:$A,$C$3,Opex_Budget!$E:$E,$B$770,Opex_Budget!$F:$F,$D$770,Opex_Budget!$N:$N,"JPY")*$E$5+SUMIFS(Opex_Budget!$Q:$Q,Opex_Budget!$A:$A,$C$3,Opex_Budget!$E:$E,$B$770,Opex_Budget!$F:$F,$D$770,Opex_Budget!$N:$N,"USD")*$F$5+SUMIFS(Opex_Budget!$Q:$Q,Opex_Budget!$A:$A,$C$3,Opex_Budget!$E:$E,$B$770,Opex_Budget!$F:$F,$D$770,Opex_Budget!$N:$N,"EUR")*$G$5+SUMIFS(Opex_Budget!$Q:$Q,Opex_Budget!$A:$A,$C$3,Opex_Budget!$E:$E,$B$770,Opex_Budget!$F:$F,$D$770,Opex_Budget!$N:$N,"GBP")*$H$5)</f>
        <v/>
      </c>
      <c r="K770" s="32">
        <f>IF($B$770="","",SUMIFS(Opex_Budget!$R:$R,Opex_Budget!$A:$A,$C$3,Opex_Budget!$E:$E,$B$770,Opex_Budget!$F:$F,$D$770,Opex_Budget!$N:$N,"JPY")*$E$5+SUMIFS(Opex_Budget!$R:$R,Opex_Budget!$A:$A,$C$3,Opex_Budget!$E:$E,$B$770,Opex_Budget!$F:$F,$D$770,Opex_Budget!$N:$N,"USD")*$F$5+SUMIFS(Opex_Budget!$R:$R,Opex_Budget!$A:$A,$C$3,Opex_Budget!$E:$E,$B$770,Opex_Budget!$F:$F,$D$770,Opex_Budget!$N:$N,"EUR")*$G$5+SUMIFS(Opex_Budget!$R:$R,Opex_Budget!$A:$A,$C$3,Opex_Budget!$E:$E,$B$770,Opex_Budget!$F:$F,$D$770,Opex_Budget!$N:$N,"GBP")*$H$5)</f>
        <v/>
      </c>
      <c r="L770" s="32">
        <f>IF($B$770="","",SUMIFS(Opex_Budget!$S:$S,Opex_Budget!$A:$A,$C$3,Opex_Budget!$E:$E,$B$770,Opex_Budget!$F:$F,$D$770,Opex_Budget!$N:$N,"JPY")*$E$5+SUMIFS(Opex_Budget!$S:$S,Opex_Budget!$A:$A,$C$3,Opex_Budget!$E:$E,$B$770,Opex_Budget!$F:$F,$D$770,Opex_Budget!$N:$N,"USD")*$F$5+SUMIFS(Opex_Budget!$S:$S,Opex_Budget!$A:$A,$C$3,Opex_Budget!$E:$E,$B$770,Opex_Budget!$F:$F,$D$770,Opex_Budget!$N:$N,"EUR")*$G$5+SUMIFS(Opex_Budget!$S:$S,Opex_Budget!$A:$A,$C$3,Opex_Budget!$E:$E,$B$770,Opex_Budget!$F:$F,$D$770,Opex_Budget!$N:$N,"GBP")*$H$5)</f>
        <v/>
      </c>
      <c r="M770" s="32">
        <f>IF($B$770="","",SUMIFS(Opex_Budget!$T:$T,Opex_Budget!$A:$A,$C$3,Opex_Budget!$E:$E,$B$770,Opex_Budget!$F:$F,$D$770,Opex_Budget!$N:$N,"JPY")*$E$5+SUMIFS(Opex_Budget!$T:$T,Opex_Budget!$A:$A,$C$3,Opex_Budget!$E:$E,$B$770,Opex_Budget!$F:$F,$D$770,Opex_Budget!$N:$N,"USD")*$F$5+SUMIFS(Opex_Budget!$T:$T,Opex_Budget!$A:$A,$C$3,Opex_Budget!$E:$E,$B$770,Opex_Budget!$F:$F,$D$770,Opex_Budget!$N:$N,"EUR")*$G$5+SUMIFS(Opex_Budget!$T:$T,Opex_Budget!$A:$A,$C$3,Opex_Budget!$E:$E,$B$770,Opex_Budget!$F:$F,$D$770,Opex_Budget!$N:$N,"GBP")*$H$5)</f>
        <v/>
      </c>
      <c r="N770" s="32">
        <f>IF($B$770="","",SUMIFS(Opex_Budget!$U:$U,Opex_Budget!$A:$A,$C$3,Opex_Budget!$E:$E,$B$770,Opex_Budget!$F:$F,$D$770,Opex_Budget!$N:$N,"JPY")*$E$5+SUMIFS(Opex_Budget!$U:$U,Opex_Budget!$A:$A,$C$3,Opex_Budget!$E:$E,$B$770,Opex_Budget!$F:$F,$D$770,Opex_Budget!$N:$N,"USD")*$F$5+SUMIFS(Opex_Budget!$U:$U,Opex_Budget!$A:$A,$C$3,Opex_Budget!$E:$E,$B$770,Opex_Budget!$F:$F,$D$770,Opex_Budget!$N:$N,"EUR")*$G$5+SUMIFS(Opex_Budget!$U:$U,Opex_Budget!$A:$A,$C$3,Opex_Budget!$E:$E,$B$770,Opex_Budget!$F:$F,$D$770,Opex_Budget!$N:$N,"GBP")*$H$5)</f>
        <v/>
      </c>
      <c r="O770" s="32">
        <f>IF($B$770="","",SUMIFS(Opex_Budget!$V:$V,Opex_Budget!$A:$A,$C$3,Opex_Budget!$E:$E,$B$770,Opex_Budget!$F:$F,$D$770,Opex_Budget!$N:$N,"JPY")*$E$5+SUMIFS(Opex_Budget!$V:$V,Opex_Budget!$A:$A,$C$3,Opex_Budget!$E:$E,$B$770,Opex_Budget!$F:$F,$D$770,Opex_Budget!$N:$N,"USD")*$F$5+SUMIFS(Opex_Budget!$V:$V,Opex_Budget!$A:$A,$C$3,Opex_Budget!$E:$E,$B$770,Opex_Budget!$F:$F,$D$770,Opex_Budget!$N:$N,"EUR")*$G$5+SUMIFS(Opex_Budget!$V:$V,Opex_Budget!$A:$A,$C$3,Opex_Budget!$E:$E,$B$770,Opex_Budget!$F:$F,$D$770,Opex_Budget!$N:$N,"GBP")*$H$5)</f>
        <v/>
      </c>
      <c r="P770" s="32">
        <f>IF($B$770="","",SUMIFS(Opex_Budget!$W:$W,Opex_Budget!$A:$A,$C$3,Opex_Budget!$E:$E,$B$770,Opex_Budget!$F:$F,$D$770,Opex_Budget!$N:$N,"JPY")*$E$5+SUMIFS(Opex_Budget!$W:$W,Opex_Budget!$A:$A,$C$3,Opex_Budget!$E:$E,$B$770,Opex_Budget!$F:$F,$D$770,Opex_Budget!$N:$N,"USD")*$F$5+SUMIFS(Opex_Budget!$W:$W,Opex_Budget!$A:$A,$C$3,Opex_Budget!$E:$E,$B$770,Opex_Budget!$F:$F,$D$770,Opex_Budget!$N:$N,"EUR")*$G$5+SUMIFS(Opex_Budget!$W:$W,Opex_Budget!$A:$A,$C$3,Opex_Budget!$E:$E,$B$770,Opex_Budget!$F:$F,$D$770,Opex_Budget!$N:$N,"GBP")*$H$5)</f>
        <v/>
      </c>
      <c r="Q770" s="32">
        <f>IF($B$770="","",SUMIFS(Opex_Budget!$X:$X,Opex_Budget!$A:$A,$C$3,Opex_Budget!$E:$E,$B$770,Opex_Budget!$F:$F,$D$770,Opex_Budget!$N:$N,"JPY")*$E$5+SUMIFS(Opex_Budget!$X:$X,Opex_Budget!$A:$A,$C$3,Opex_Budget!$E:$E,$B$770,Opex_Budget!$F:$F,$D$770,Opex_Budget!$N:$N,"USD")*$F$5+SUMIFS(Opex_Budget!$X:$X,Opex_Budget!$A:$A,$C$3,Opex_Budget!$E:$E,$B$770,Opex_Budget!$F:$F,$D$770,Opex_Budget!$N:$N,"EUR")*$G$5+SUMIFS(Opex_Budget!$X:$X,Opex_Budget!$A:$A,$C$3,Opex_Budget!$E:$E,$B$770,Opex_Budget!$F:$F,$D$770,Opex_Budget!$N:$N,"GBP")*$H$5)</f>
        <v/>
      </c>
      <c r="R770" s="32">
        <f>IF($B$770="","",SUMIFS(Opex_Budget!$Y:$Y,Opex_Budget!$A:$A,$C$3,Opex_Budget!$E:$E,$B$770,Opex_Budget!$F:$F,$D$770,Opex_Budget!$N:$N,"JPY")*$E$5+SUMIFS(Opex_Budget!$Y:$Y,Opex_Budget!$A:$A,$C$3,Opex_Budget!$E:$E,$B$770,Opex_Budget!$F:$F,$D$770,Opex_Budget!$N:$N,"USD")*$F$5+SUMIFS(Opex_Budget!$Y:$Y,Opex_Budget!$A:$A,$C$3,Opex_Budget!$E:$E,$B$770,Opex_Budget!$F:$F,$D$770,Opex_Budget!$N:$N,"EUR")*$G$5+SUMIFS(Opex_Budget!$Y:$Y,Opex_Budget!$A:$A,$C$3,Opex_Budget!$E:$E,$B$770,Opex_Budget!$F:$F,$D$770,Opex_Budget!$N:$N,"GBP")*$H$5)</f>
        <v/>
      </c>
      <c r="S770" s="32">
        <f>IF($B$770="","",SUMIFS(Opex_Budget!$Z:$Z,Opex_Budget!$A:$A,$C$3,Opex_Budget!$E:$E,$B$770,Opex_Budget!$F:$F,$D$770,Opex_Budget!$N:$N,"JPY")*$E$5+SUMIFS(Opex_Budget!$Z:$Z,Opex_Budget!$A:$A,$C$3,Opex_Budget!$E:$E,$B$770,Opex_Budget!$F:$F,$D$770,Opex_Budget!$N:$N,"USD")*$F$5+SUMIFS(Opex_Budget!$Z:$Z,Opex_Budget!$A:$A,$C$3,Opex_Budget!$E:$E,$B$770,Opex_Budget!$F:$F,$D$770,Opex_Budget!$N:$N,"EUR")*$G$5+SUMIFS(Opex_Budget!$Z:$Z,Opex_Budget!$A:$A,$C$3,Opex_Budget!$E:$E,$B$770,Opex_Budget!$F:$F,$D$770,Opex_Budget!$N:$N,"GBP")*$H$5)</f>
        <v/>
      </c>
      <c r="T770" s="32">
        <f>IF($B$770="","",SUMIF($H$7:$S$7,"&lt;="&amp;$C$4,$H770:$S770))</f>
        <v/>
      </c>
      <c r="U770" s="32">
        <f>IF($B$770="","",SUMIF($H$7:$S$7,"&gt;"&amp;$C$4,$H770:$S770))</f>
        <v/>
      </c>
      <c r="V770" s="32">
        <f>IF($B$770="","",SUM($H770:$S770))</f>
        <v/>
      </c>
      <c r="X770" s="22">
        <f>IF($B770="","",IFERROR(INDEX(Cost_Centers!$E:$E,MATCH($B770,Cost_Centers!$A:$A,0)),"(unknown)"))</f>
        <v/>
      </c>
      <c r="Y770" s="22">
        <f>IF($B770="","",IFERROR(INDEX(Cost_Centers!$D:$D,MATCH($B770,Cost_Centers!$A:$A,0)),"(unknown)"))</f>
        <v/>
      </c>
      <c r="Z770" s="22">
        <f>IF(OR($B770="",$G770&lt;&gt;"Variance vs Budget"),"",ABS(N($V770))+ROW()/1000000000)</f>
        <v/>
      </c>
    </row>
    <row r="771">
      <c r="A771" s="13">
        <f>IF(A$770="","",A$770)</f>
        <v/>
      </c>
      <c r="B771" s="13">
        <f>IF(B$770="","",B$770)</f>
        <v/>
      </c>
      <c r="C771" s="13">
        <f>IF(C$770="","",C$770)</f>
        <v/>
      </c>
      <c r="D771" s="13">
        <f>IF(D$770="","",D$770)</f>
        <v/>
      </c>
      <c r="E771" s="13">
        <f>IF(E$770="","",E$770)</f>
        <v/>
      </c>
      <c r="F771" s="13">
        <f>IF(F$770="","",F$770)</f>
        <v/>
      </c>
      <c r="G771" s="7" t="inlineStr">
        <is>
          <t>Actual</t>
        </is>
      </c>
      <c r="H771" s="18">
        <f>IF(OR($B$770="",1&gt;$C$4),"",SUMIFS(Actuals!$G:$G,Actuals!$B:$B,$C$3,Actuals!$C:$C,1,Actuals!$D:$D,$B$770,Actuals!$A:$A,LEFT($D$770,FIND("|",$D$770&amp;"|")-1),Actuals!$E:$E,MID($D$770,FIND("|",$D$770&amp;"|")+1,50),Actuals!$F:$F,"JPY")*$E$5+SUMIFS(Actuals!$G:$G,Actuals!$B:$B,$C$3,Actuals!$C:$C,1,Actuals!$D:$D,$B$770,Actuals!$A:$A,LEFT($D$770,FIND("|",$D$770&amp;"|")-1),Actuals!$E:$E,MID($D$770,FIND("|",$D$770&amp;"|")+1,50),Actuals!$F:$F,"USD")*$F$5+SUMIFS(Actuals!$G:$G,Actuals!$B:$B,$C$3,Actuals!$C:$C,1,Actuals!$D:$D,$B$770,Actuals!$A:$A,LEFT($D$770,FIND("|",$D$770&amp;"|")-1),Actuals!$E:$E,MID($D$770,FIND("|",$D$770&amp;"|")+1,50),Actuals!$F:$F,"EUR")*$G$5+SUMIFS(Actuals!$G:$G,Actuals!$B:$B,$C$3,Actuals!$C:$C,1,Actuals!$D:$D,$B$770,Actuals!$A:$A,LEFT($D$770,FIND("|",$D$770&amp;"|")-1),Actuals!$E:$E,MID($D$770,FIND("|",$D$770&amp;"|")+1,50),Actuals!$F:$F,"GBP")*$H$5)</f>
        <v/>
      </c>
      <c r="I771" s="18">
        <f>IF(OR($B$770="",2&gt;$C$4),"",SUMIFS(Actuals!$G:$G,Actuals!$B:$B,$C$3,Actuals!$C:$C,2,Actuals!$D:$D,$B$770,Actuals!$A:$A,LEFT($D$770,FIND("|",$D$770&amp;"|")-1),Actuals!$E:$E,MID($D$770,FIND("|",$D$770&amp;"|")+1,50),Actuals!$F:$F,"JPY")*$E$5+SUMIFS(Actuals!$G:$G,Actuals!$B:$B,$C$3,Actuals!$C:$C,2,Actuals!$D:$D,$B$770,Actuals!$A:$A,LEFT($D$770,FIND("|",$D$770&amp;"|")-1),Actuals!$E:$E,MID($D$770,FIND("|",$D$770&amp;"|")+1,50),Actuals!$F:$F,"USD")*$F$5+SUMIFS(Actuals!$G:$G,Actuals!$B:$B,$C$3,Actuals!$C:$C,2,Actuals!$D:$D,$B$770,Actuals!$A:$A,LEFT($D$770,FIND("|",$D$770&amp;"|")-1),Actuals!$E:$E,MID($D$770,FIND("|",$D$770&amp;"|")+1,50),Actuals!$F:$F,"EUR")*$G$5+SUMIFS(Actuals!$G:$G,Actuals!$B:$B,$C$3,Actuals!$C:$C,2,Actuals!$D:$D,$B$770,Actuals!$A:$A,LEFT($D$770,FIND("|",$D$770&amp;"|")-1),Actuals!$E:$E,MID($D$770,FIND("|",$D$770&amp;"|")+1,50),Actuals!$F:$F,"GBP")*$H$5)</f>
        <v/>
      </c>
      <c r="J771" s="18">
        <f>IF(OR($B$770="",3&gt;$C$4),"",SUMIFS(Actuals!$G:$G,Actuals!$B:$B,$C$3,Actuals!$C:$C,3,Actuals!$D:$D,$B$770,Actuals!$A:$A,LEFT($D$770,FIND("|",$D$770&amp;"|")-1),Actuals!$E:$E,MID($D$770,FIND("|",$D$770&amp;"|")+1,50),Actuals!$F:$F,"JPY")*$E$5+SUMIFS(Actuals!$G:$G,Actuals!$B:$B,$C$3,Actuals!$C:$C,3,Actuals!$D:$D,$B$770,Actuals!$A:$A,LEFT($D$770,FIND("|",$D$770&amp;"|")-1),Actuals!$E:$E,MID($D$770,FIND("|",$D$770&amp;"|")+1,50),Actuals!$F:$F,"USD")*$F$5+SUMIFS(Actuals!$G:$G,Actuals!$B:$B,$C$3,Actuals!$C:$C,3,Actuals!$D:$D,$B$770,Actuals!$A:$A,LEFT($D$770,FIND("|",$D$770&amp;"|")-1),Actuals!$E:$E,MID($D$770,FIND("|",$D$770&amp;"|")+1,50),Actuals!$F:$F,"EUR")*$G$5+SUMIFS(Actuals!$G:$G,Actuals!$B:$B,$C$3,Actuals!$C:$C,3,Actuals!$D:$D,$B$770,Actuals!$A:$A,LEFT($D$770,FIND("|",$D$770&amp;"|")-1),Actuals!$E:$E,MID($D$770,FIND("|",$D$770&amp;"|")+1,50),Actuals!$F:$F,"GBP")*$H$5)</f>
        <v/>
      </c>
      <c r="K771" s="18">
        <f>IF(OR($B$770="",4&gt;$C$4),"",SUMIFS(Actuals!$G:$G,Actuals!$B:$B,$C$3,Actuals!$C:$C,4,Actuals!$D:$D,$B$770,Actuals!$A:$A,LEFT($D$770,FIND("|",$D$770&amp;"|")-1),Actuals!$E:$E,MID($D$770,FIND("|",$D$770&amp;"|")+1,50),Actuals!$F:$F,"JPY")*$E$5+SUMIFS(Actuals!$G:$G,Actuals!$B:$B,$C$3,Actuals!$C:$C,4,Actuals!$D:$D,$B$770,Actuals!$A:$A,LEFT($D$770,FIND("|",$D$770&amp;"|")-1),Actuals!$E:$E,MID($D$770,FIND("|",$D$770&amp;"|")+1,50),Actuals!$F:$F,"USD")*$F$5+SUMIFS(Actuals!$G:$G,Actuals!$B:$B,$C$3,Actuals!$C:$C,4,Actuals!$D:$D,$B$770,Actuals!$A:$A,LEFT($D$770,FIND("|",$D$770&amp;"|")-1),Actuals!$E:$E,MID($D$770,FIND("|",$D$770&amp;"|")+1,50),Actuals!$F:$F,"EUR")*$G$5+SUMIFS(Actuals!$G:$G,Actuals!$B:$B,$C$3,Actuals!$C:$C,4,Actuals!$D:$D,$B$770,Actuals!$A:$A,LEFT($D$770,FIND("|",$D$770&amp;"|")-1),Actuals!$E:$E,MID($D$770,FIND("|",$D$770&amp;"|")+1,50),Actuals!$F:$F,"GBP")*$H$5)</f>
        <v/>
      </c>
      <c r="L771" s="18">
        <f>IF(OR($B$770="",5&gt;$C$4),"",SUMIFS(Actuals!$G:$G,Actuals!$B:$B,$C$3,Actuals!$C:$C,5,Actuals!$D:$D,$B$770,Actuals!$A:$A,LEFT($D$770,FIND("|",$D$770&amp;"|")-1),Actuals!$E:$E,MID($D$770,FIND("|",$D$770&amp;"|")+1,50),Actuals!$F:$F,"JPY")*$E$5+SUMIFS(Actuals!$G:$G,Actuals!$B:$B,$C$3,Actuals!$C:$C,5,Actuals!$D:$D,$B$770,Actuals!$A:$A,LEFT($D$770,FIND("|",$D$770&amp;"|")-1),Actuals!$E:$E,MID($D$770,FIND("|",$D$770&amp;"|")+1,50),Actuals!$F:$F,"USD")*$F$5+SUMIFS(Actuals!$G:$G,Actuals!$B:$B,$C$3,Actuals!$C:$C,5,Actuals!$D:$D,$B$770,Actuals!$A:$A,LEFT($D$770,FIND("|",$D$770&amp;"|")-1),Actuals!$E:$E,MID($D$770,FIND("|",$D$770&amp;"|")+1,50),Actuals!$F:$F,"EUR")*$G$5+SUMIFS(Actuals!$G:$G,Actuals!$B:$B,$C$3,Actuals!$C:$C,5,Actuals!$D:$D,$B$770,Actuals!$A:$A,LEFT($D$770,FIND("|",$D$770&amp;"|")-1),Actuals!$E:$E,MID($D$770,FIND("|",$D$770&amp;"|")+1,50),Actuals!$F:$F,"GBP")*$H$5)</f>
        <v/>
      </c>
      <c r="M771" s="18">
        <f>IF(OR($B$770="",6&gt;$C$4),"",SUMIFS(Actuals!$G:$G,Actuals!$B:$B,$C$3,Actuals!$C:$C,6,Actuals!$D:$D,$B$770,Actuals!$A:$A,LEFT($D$770,FIND("|",$D$770&amp;"|")-1),Actuals!$E:$E,MID($D$770,FIND("|",$D$770&amp;"|")+1,50),Actuals!$F:$F,"JPY")*$E$5+SUMIFS(Actuals!$G:$G,Actuals!$B:$B,$C$3,Actuals!$C:$C,6,Actuals!$D:$D,$B$770,Actuals!$A:$A,LEFT($D$770,FIND("|",$D$770&amp;"|")-1),Actuals!$E:$E,MID($D$770,FIND("|",$D$770&amp;"|")+1,50),Actuals!$F:$F,"USD")*$F$5+SUMIFS(Actuals!$G:$G,Actuals!$B:$B,$C$3,Actuals!$C:$C,6,Actuals!$D:$D,$B$770,Actuals!$A:$A,LEFT($D$770,FIND("|",$D$770&amp;"|")-1),Actuals!$E:$E,MID($D$770,FIND("|",$D$770&amp;"|")+1,50),Actuals!$F:$F,"EUR")*$G$5+SUMIFS(Actuals!$G:$G,Actuals!$B:$B,$C$3,Actuals!$C:$C,6,Actuals!$D:$D,$B$770,Actuals!$A:$A,LEFT($D$770,FIND("|",$D$770&amp;"|")-1),Actuals!$E:$E,MID($D$770,FIND("|",$D$770&amp;"|")+1,50),Actuals!$F:$F,"GBP")*$H$5)</f>
        <v/>
      </c>
      <c r="N771" s="18">
        <f>IF(OR($B$770="",7&gt;$C$4),"",SUMIFS(Actuals!$G:$G,Actuals!$B:$B,$C$3,Actuals!$C:$C,7,Actuals!$D:$D,$B$770,Actuals!$A:$A,LEFT($D$770,FIND("|",$D$770&amp;"|")-1),Actuals!$E:$E,MID($D$770,FIND("|",$D$770&amp;"|")+1,50),Actuals!$F:$F,"JPY")*$E$5+SUMIFS(Actuals!$G:$G,Actuals!$B:$B,$C$3,Actuals!$C:$C,7,Actuals!$D:$D,$B$770,Actuals!$A:$A,LEFT($D$770,FIND("|",$D$770&amp;"|")-1),Actuals!$E:$E,MID($D$770,FIND("|",$D$770&amp;"|")+1,50),Actuals!$F:$F,"USD")*$F$5+SUMIFS(Actuals!$G:$G,Actuals!$B:$B,$C$3,Actuals!$C:$C,7,Actuals!$D:$D,$B$770,Actuals!$A:$A,LEFT($D$770,FIND("|",$D$770&amp;"|")-1),Actuals!$E:$E,MID($D$770,FIND("|",$D$770&amp;"|")+1,50),Actuals!$F:$F,"EUR")*$G$5+SUMIFS(Actuals!$G:$G,Actuals!$B:$B,$C$3,Actuals!$C:$C,7,Actuals!$D:$D,$B$770,Actuals!$A:$A,LEFT($D$770,FIND("|",$D$770&amp;"|")-1),Actuals!$E:$E,MID($D$770,FIND("|",$D$770&amp;"|")+1,50),Actuals!$F:$F,"GBP")*$H$5)</f>
        <v/>
      </c>
      <c r="O771" s="18">
        <f>IF(OR($B$770="",8&gt;$C$4),"",SUMIFS(Actuals!$G:$G,Actuals!$B:$B,$C$3,Actuals!$C:$C,8,Actuals!$D:$D,$B$770,Actuals!$A:$A,LEFT($D$770,FIND("|",$D$770&amp;"|")-1),Actuals!$E:$E,MID($D$770,FIND("|",$D$770&amp;"|")+1,50),Actuals!$F:$F,"JPY")*$E$5+SUMIFS(Actuals!$G:$G,Actuals!$B:$B,$C$3,Actuals!$C:$C,8,Actuals!$D:$D,$B$770,Actuals!$A:$A,LEFT($D$770,FIND("|",$D$770&amp;"|")-1),Actuals!$E:$E,MID($D$770,FIND("|",$D$770&amp;"|")+1,50),Actuals!$F:$F,"USD")*$F$5+SUMIFS(Actuals!$G:$G,Actuals!$B:$B,$C$3,Actuals!$C:$C,8,Actuals!$D:$D,$B$770,Actuals!$A:$A,LEFT($D$770,FIND("|",$D$770&amp;"|")-1),Actuals!$E:$E,MID($D$770,FIND("|",$D$770&amp;"|")+1,50),Actuals!$F:$F,"EUR")*$G$5+SUMIFS(Actuals!$G:$G,Actuals!$B:$B,$C$3,Actuals!$C:$C,8,Actuals!$D:$D,$B$770,Actuals!$A:$A,LEFT($D$770,FIND("|",$D$770&amp;"|")-1),Actuals!$E:$E,MID($D$770,FIND("|",$D$770&amp;"|")+1,50),Actuals!$F:$F,"GBP")*$H$5)</f>
        <v/>
      </c>
      <c r="P771" s="18">
        <f>IF(OR($B$770="",9&gt;$C$4),"",SUMIFS(Actuals!$G:$G,Actuals!$B:$B,$C$3,Actuals!$C:$C,9,Actuals!$D:$D,$B$770,Actuals!$A:$A,LEFT($D$770,FIND("|",$D$770&amp;"|")-1),Actuals!$E:$E,MID($D$770,FIND("|",$D$770&amp;"|")+1,50),Actuals!$F:$F,"JPY")*$E$5+SUMIFS(Actuals!$G:$G,Actuals!$B:$B,$C$3,Actuals!$C:$C,9,Actuals!$D:$D,$B$770,Actuals!$A:$A,LEFT($D$770,FIND("|",$D$770&amp;"|")-1),Actuals!$E:$E,MID($D$770,FIND("|",$D$770&amp;"|")+1,50),Actuals!$F:$F,"USD")*$F$5+SUMIFS(Actuals!$G:$G,Actuals!$B:$B,$C$3,Actuals!$C:$C,9,Actuals!$D:$D,$B$770,Actuals!$A:$A,LEFT($D$770,FIND("|",$D$770&amp;"|")-1),Actuals!$E:$E,MID($D$770,FIND("|",$D$770&amp;"|")+1,50),Actuals!$F:$F,"EUR")*$G$5+SUMIFS(Actuals!$G:$G,Actuals!$B:$B,$C$3,Actuals!$C:$C,9,Actuals!$D:$D,$B$770,Actuals!$A:$A,LEFT($D$770,FIND("|",$D$770&amp;"|")-1),Actuals!$E:$E,MID($D$770,FIND("|",$D$770&amp;"|")+1,50),Actuals!$F:$F,"GBP")*$H$5)</f>
        <v/>
      </c>
      <c r="Q771" s="18">
        <f>IF(OR($B$770="",10&gt;$C$4),"",SUMIFS(Actuals!$G:$G,Actuals!$B:$B,$C$3,Actuals!$C:$C,10,Actuals!$D:$D,$B$770,Actuals!$A:$A,LEFT($D$770,FIND("|",$D$770&amp;"|")-1),Actuals!$E:$E,MID($D$770,FIND("|",$D$770&amp;"|")+1,50),Actuals!$F:$F,"JPY")*$E$5+SUMIFS(Actuals!$G:$G,Actuals!$B:$B,$C$3,Actuals!$C:$C,10,Actuals!$D:$D,$B$770,Actuals!$A:$A,LEFT($D$770,FIND("|",$D$770&amp;"|")-1),Actuals!$E:$E,MID($D$770,FIND("|",$D$770&amp;"|")+1,50),Actuals!$F:$F,"USD")*$F$5+SUMIFS(Actuals!$G:$G,Actuals!$B:$B,$C$3,Actuals!$C:$C,10,Actuals!$D:$D,$B$770,Actuals!$A:$A,LEFT($D$770,FIND("|",$D$770&amp;"|")-1),Actuals!$E:$E,MID($D$770,FIND("|",$D$770&amp;"|")+1,50),Actuals!$F:$F,"EUR")*$G$5+SUMIFS(Actuals!$G:$G,Actuals!$B:$B,$C$3,Actuals!$C:$C,10,Actuals!$D:$D,$B$770,Actuals!$A:$A,LEFT($D$770,FIND("|",$D$770&amp;"|")-1),Actuals!$E:$E,MID($D$770,FIND("|",$D$770&amp;"|")+1,50),Actuals!$F:$F,"GBP")*$H$5)</f>
        <v/>
      </c>
      <c r="R771" s="18">
        <f>IF(OR($B$770="",11&gt;$C$4),"",SUMIFS(Actuals!$G:$G,Actuals!$B:$B,$C$3,Actuals!$C:$C,11,Actuals!$D:$D,$B$770,Actuals!$A:$A,LEFT($D$770,FIND("|",$D$770&amp;"|")-1),Actuals!$E:$E,MID($D$770,FIND("|",$D$770&amp;"|")+1,50),Actuals!$F:$F,"JPY")*$E$5+SUMIFS(Actuals!$G:$G,Actuals!$B:$B,$C$3,Actuals!$C:$C,11,Actuals!$D:$D,$B$770,Actuals!$A:$A,LEFT($D$770,FIND("|",$D$770&amp;"|")-1),Actuals!$E:$E,MID($D$770,FIND("|",$D$770&amp;"|")+1,50),Actuals!$F:$F,"USD")*$F$5+SUMIFS(Actuals!$G:$G,Actuals!$B:$B,$C$3,Actuals!$C:$C,11,Actuals!$D:$D,$B$770,Actuals!$A:$A,LEFT($D$770,FIND("|",$D$770&amp;"|")-1),Actuals!$E:$E,MID($D$770,FIND("|",$D$770&amp;"|")+1,50),Actuals!$F:$F,"EUR")*$G$5+SUMIFS(Actuals!$G:$G,Actuals!$B:$B,$C$3,Actuals!$C:$C,11,Actuals!$D:$D,$B$770,Actuals!$A:$A,LEFT($D$770,FIND("|",$D$770&amp;"|")-1),Actuals!$E:$E,MID($D$770,FIND("|",$D$770&amp;"|")+1,50),Actuals!$F:$F,"GBP")*$H$5)</f>
        <v/>
      </c>
      <c r="S771" s="18">
        <f>IF(OR($B$770="",12&gt;$C$4),"",SUMIFS(Actuals!$G:$G,Actuals!$B:$B,$C$3,Actuals!$C:$C,12,Actuals!$D:$D,$B$770,Actuals!$A:$A,LEFT($D$770,FIND("|",$D$770&amp;"|")-1),Actuals!$E:$E,MID($D$770,FIND("|",$D$770&amp;"|")+1,50),Actuals!$F:$F,"JPY")*$E$5+SUMIFS(Actuals!$G:$G,Actuals!$B:$B,$C$3,Actuals!$C:$C,12,Actuals!$D:$D,$B$770,Actuals!$A:$A,LEFT($D$770,FIND("|",$D$770&amp;"|")-1),Actuals!$E:$E,MID($D$770,FIND("|",$D$770&amp;"|")+1,50),Actuals!$F:$F,"USD")*$F$5+SUMIFS(Actuals!$G:$G,Actuals!$B:$B,$C$3,Actuals!$C:$C,12,Actuals!$D:$D,$B$770,Actuals!$A:$A,LEFT($D$770,FIND("|",$D$770&amp;"|")-1),Actuals!$E:$E,MID($D$770,FIND("|",$D$770&amp;"|")+1,50),Actuals!$F:$F,"EUR")*$G$5+SUMIFS(Actuals!$G:$G,Actuals!$B:$B,$C$3,Actuals!$C:$C,12,Actuals!$D:$D,$B$770,Actuals!$A:$A,LEFT($D$770,FIND("|",$D$770&amp;"|")-1),Actuals!$E:$E,MID($D$770,FIND("|",$D$770&amp;"|")+1,50),Actuals!$F:$F,"GBP")*$H$5)</f>
        <v/>
      </c>
      <c r="T771" s="18">
        <f>IF($B$770="","",SUMIF($H$7:$S$7,"&lt;="&amp;$C$4,$H771:$S771))</f>
        <v/>
      </c>
      <c r="U771" s="18" t="n"/>
      <c r="V771" s="18" t="n"/>
      <c r="X771" s="22">
        <f>IF($B771="","",IFERROR(INDEX(Cost_Centers!$E:$E,MATCH($B771,Cost_Centers!$A:$A,0)),"(unknown)"))</f>
        <v/>
      </c>
      <c r="Y771" s="22">
        <f>IF($B771="","",IFERROR(INDEX(Cost_Centers!$D:$D,MATCH($B771,Cost_Centers!$A:$A,0)),"(unknown)"))</f>
        <v/>
      </c>
      <c r="Z771" s="22">
        <f>IF(OR($B771="",$G771&lt;&gt;"Variance vs Budget"),"",ABS(N($V771))+ROW()/1000000000)</f>
        <v/>
      </c>
    </row>
    <row r="772">
      <c r="A772" s="13">
        <f>IF(A$770="","",A$770)</f>
        <v/>
      </c>
      <c r="B772" s="13">
        <f>IF(B$770="","",B$770)</f>
        <v/>
      </c>
      <c r="C772" s="13">
        <f>IF(C$770="","",C$770)</f>
        <v/>
      </c>
      <c r="D772" s="13">
        <f>IF(D$770="","",D$770)</f>
        <v/>
      </c>
      <c r="E772" s="13">
        <f>IF(E$770="","",E$770)</f>
        <v/>
      </c>
      <c r="F772" s="13">
        <f>IF(F$770="","",F$770)</f>
        <v/>
      </c>
      <c r="G772" s="6" t="inlineStr">
        <is>
          <t>Variance vs Budget</t>
        </is>
      </c>
      <c r="H772" s="33">
        <f>IF(OR($B$770="",1&gt;$C$4),"",N(H771)-H770)</f>
        <v/>
      </c>
      <c r="I772" s="33">
        <f>IF(OR($B$770="",2&gt;$C$4),"",N(I771)-I770)</f>
        <v/>
      </c>
      <c r="J772" s="33">
        <f>IF(OR($B$770="",3&gt;$C$4),"",N(J771)-J770)</f>
        <v/>
      </c>
      <c r="K772" s="33">
        <f>IF(OR($B$770="",4&gt;$C$4),"",N(K771)-K770)</f>
        <v/>
      </c>
      <c r="L772" s="33">
        <f>IF(OR($B$770="",5&gt;$C$4),"",N(L771)-L770)</f>
        <v/>
      </c>
      <c r="M772" s="33">
        <f>IF(OR($B$770="",6&gt;$C$4),"",N(M771)-M770)</f>
        <v/>
      </c>
      <c r="N772" s="33">
        <f>IF(OR($B$770="",7&gt;$C$4),"",N(N771)-N770)</f>
        <v/>
      </c>
      <c r="O772" s="33">
        <f>IF(OR($B$770="",8&gt;$C$4),"",N(O771)-O770)</f>
        <v/>
      </c>
      <c r="P772" s="33">
        <f>IF(OR($B$770="",9&gt;$C$4),"",N(P771)-P770)</f>
        <v/>
      </c>
      <c r="Q772" s="33">
        <f>IF(OR($B$770="",10&gt;$C$4),"",N(Q771)-Q770)</f>
        <v/>
      </c>
      <c r="R772" s="33">
        <f>IF(OR($B$770="",11&gt;$C$4),"",N(R771)-R770)</f>
        <v/>
      </c>
      <c r="S772" s="33">
        <f>IF(OR($B$770="",12&gt;$C$4),"",N(S771)-S770)</f>
        <v/>
      </c>
      <c r="T772" s="33">
        <f>IF($B$770="","",T771-T770)</f>
        <v/>
      </c>
      <c r="U772" s="33">
        <f>IF($B$770="","",U774-U770)</f>
        <v/>
      </c>
      <c r="V772" s="33">
        <f>IF($B$770="","",V774-V770)</f>
        <v/>
      </c>
      <c r="X772" s="22">
        <f>IF($B772="","",IFERROR(INDEX(Cost_Centers!$E:$E,MATCH($B772,Cost_Centers!$A:$A,0)),"(unknown)"))</f>
        <v/>
      </c>
      <c r="Y772" s="22">
        <f>IF($B772="","",IFERROR(INDEX(Cost_Centers!$D:$D,MATCH($B772,Cost_Centers!$A:$A,0)),"(unknown)"))</f>
        <v/>
      </c>
      <c r="Z772" s="22">
        <f>IF(OR($B772="",$G772&lt;&gt;"Variance vs Budget"),"",ABS(N($V772))+ROW()/1000000000)</f>
        <v/>
      </c>
    </row>
    <row r="773">
      <c r="A773" s="13">
        <f>IF(A$770="","",A$770)</f>
        <v/>
      </c>
      <c r="B773" s="13">
        <f>IF(B$770="","",B$770)</f>
        <v/>
      </c>
      <c r="C773" s="13">
        <f>IF(C$770="","",C$770)</f>
        <v/>
      </c>
      <c r="D773" s="13">
        <f>IF(D$770="","",D$770)</f>
        <v/>
      </c>
      <c r="E773" s="13">
        <f>IF(E$770="","",E$770)</f>
        <v/>
      </c>
      <c r="F773" s="13">
        <f>IF(F$770="","",F$770)</f>
        <v/>
      </c>
      <c r="G773" s="7" t="inlineStr">
        <is>
          <t>Forecast (input)</t>
        </is>
      </c>
      <c r="H773" s="34" t="n"/>
      <c r="I773" s="34" t="n"/>
      <c r="J773" s="34" t="n"/>
      <c r="K773" s="34" t="n"/>
      <c r="L773" s="34" t="n"/>
      <c r="M773" s="34" t="n"/>
      <c r="N773" s="34" t="n"/>
      <c r="O773" s="34" t="n"/>
      <c r="P773" s="34" t="n"/>
      <c r="Q773" s="34" t="n"/>
      <c r="R773" s="34" t="n"/>
      <c r="S773" s="34" t="n"/>
      <c r="T773" s="18" t="n"/>
      <c r="U773" s="18" t="n"/>
      <c r="V773" s="18" t="n"/>
      <c r="X773" s="22">
        <f>IF($B773="","",IFERROR(INDEX(Cost_Centers!$E:$E,MATCH($B773,Cost_Centers!$A:$A,0)),"(unknown)"))</f>
        <v/>
      </c>
      <c r="Y773" s="22">
        <f>IF($B773="","",IFERROR(INDEX(Cost_Centers!$D:$D,MATCH($B773,Cost_Centers!$A:$A,0)),"(unknown)"))</f>
        <v/>
      </c>
      <c r="Z773" s="22">
        <f>IF(OR($B773="",$G773&lt;&gt;"Variance vs Budget"),"",ABS(N($V773))+ROW()/1000000000)</f>
        <v/>
      </c>
    </row>
    <row r="774">
      <c r="A774" s="13">
        <f>IF(A$770="","",A$770)</f>
        <v/>
      </c>
      <c r="B774" s="13">
        <f>IF(B$770="","",B$770)</f>
        <v/>
      </c>
      <c r="C774" s="13">
        <f>IF(C$770="","",C$770)</f>
        <v/>
      </c>
      <c r="D774" s="13">
        <f>IF(D$770="","",D$770)</f>
        <v/>
      </c>
      <c r="E774" s="13">
        <f>IF(E$770="","",E$770)</f>
        <v/>
      </c>
      <c r="F774" s="13">
        <f>IF(F$770="","",F$770)</f>
        <v/>
      </c>
      <c r="G774" s="35" t="inlineStr">
        <is>
          <t>Actual + Forecast</t>
        </is>
      </c>
      <c r="H774" s="18">
        <f>IF($B$770="","",IF(1&lt;=$C$4,N(H771),IF(H773="",H770,H773)))</f>
        <v/>
      </c>
      <c r="I774" s="18">
        <f>IF($B$770="","",IF(2&lt;=$C$4,N(I771),IF(I773="",I770,I773)))</f>
        <v/>
      </c>
      <c r="J774" s="18">
        <f>IF($B$770="","",IF(3&lt;=$C$4,N(J771),IF(J773="",J770,J773)))</f>
        <v/>
      </c>
      <c r="K774" s="18">
        <f>IF($B$770="","",IF(4&lt;=$C$4,N(K771),IF(K773="",K770,K773)))</f>
        <v/>
      </c>
      <c r="L774" s="18">
        <f>IF($B$770="","",IF(5&lt;=$C$4,N(L771),IF(L773="",L770,L773)))</f>
        <v/>
      </c>
      <c r="M774" s="18">
        <f>IF($B$770="","",IF(6&lt;=$C$4,N(M771),IF(M773="",M770,M773)))</f>
        <v/>
      </c>
      <c r="N774" s="18">
        <f>IF($B$770="","",IF(7&lt;=$C$4,N(N771),IF(N773="",N770,N773)))</f>
        <v/>
      </c>
      <c r="O774" s="18">
        <f>IF($B$770="","",IF(8&lt;=$C$4,N(O771),IF(O773="",O770,O773)))</f>
        <v/>
      </c>
      <c r="P774" s="18">
        <f>IF($B$770="","",IF(9&lt;=$C$4,N(P771),IF(P773="",P770,P773)))</f>
        <v/>
      </c>
      <c r="Q774" s="18">
        <f>IF($B$770="","",IF(10&lt;=$C$4,N(Q771),IF(Q773="",Q770,Q773)))</f>
        <v/>
      </c>
      <c r="R774" s="18">
        <f>IF($B$770="","",IF(11&lt;=$C$4,N(R771),IF(R773="",R770,R773)))</f>
        <v/>
      </c>
      <c r="S774" s="18">
        <f>IF($B$770="","",IF(12&lt;=$C$4,N(S771),IF(S773="",S770,S773)))</f>
        <v/>
      </c>
      <c r="T774" s="18">
        <f>IF($B$770="","",SUMIF($H$7:$S$7,"&lt;="&amp;$C$4,$H774:$S774))</f>
        <v/>
      </c>
      <c r="U774" s="18">
        <f>IF($B$770="","",SUMIF($H$7:$S$7,"&gt;"&amp;$C$4,$H774:$S774))</f>
        <v/>
      </c>
      <c r="V774" s="18">
        <f>IF($B$770="","",SUM($H774:$S774))</f>
        <v/>
      </c>
      <c r="X774" s="22">
        <f>IF($B774="","",IFERROR(INDEX(Cost_Centers!$E:$E,MATCH($B774,Cost_Centers!$A:$A,0)),"(unknown)"))</f>
        <v/>
      </c>
      <c r="Y774" s="22">
        <f>IF($B774="","",IFERROR(INDEX(Cost_Centers!$D:$D,MATCH($B774,Cost_Centers!$A:$A,0)),"(unknown)"))</f>
        <v/>
      </c>
      <c r="Z774" s="22">
        <f>IF(OR($B774="",$G774&lt;&gt;"Variance vs Budget"),"",ABS(N($V774))+ROW()/1000000000)</f>
        <v/>
      </c>
    </row>
    <row r="775">
      <c r="A775" s="13">
        <f>IF(A$770="","",A$770)</f>
        <v/>
      </c>
      <c r="B775" s="13">
        <f>IF(B$770="","",B$770)</f>
        <v/>
      </c>
      <c r="C775" s="13">
        <f>IF(C$770="","",C$770)</f>
        <v/>
      </c>
      <c r="D775" s="13">
        <f>IF(D$770="","",D$770)</f>
        <v/>
      </c>
      <c r="E775" s="13">
        <f>IF(E$770="","",E$770)</f>
        <v/>
      </c>
      <c r="F775" s="13">
        <f>IF(F$770="","",F$770)</f>
        <v/>
      </c>
      <c r="G775" s="36" t="inlineStr">
        <is>
          <t>Prior Month Forecast</t>
        </is>
      </c>
      <c r="H775" s="37">
        <f>IF($B$770="","",IF(COUNTIFS(Prior_Forecast!$A:$A,$B$770,Prior_Forecast!$B:$B,$D$770)&gt;0,SUMIFS(Prior_Forecast!$C:$C,Prior_Forecast!$A:$A,$B$770,Prior_Forecast!$B:$B,$D$770),""))</f>
        <v/>
      </c>
      <c r="I775" s="37">
        <f>IF($B$770="","",IF(COUNTIFS(Prior_Forecast!$A:$A,$B$770,Prior_Forecast!$B:$B,$D$770)&gt;0,SUMIFS(Prior_Forecast!$D:$D,Prior_Forecast!$A:$A,$B$770,Prior_Forecast!$B:$B,$D$770),""))</f>
        <v/>
      </c>
      <c r="J775" s="37">
        <f>IF($B$770="","",IF(COUNTIFS(Prior_Forecast!$A:$A,$B$770,Prior_Forecast!$B:$B,$D$770)&gt;0,SUMIFS(Prior_Forecast!$E:$E,Prior_Forecast!$A:$A,$B$770,Prior_Forecast!$B:$B,$D$770),""))</f>
        <v/>
      </c>
      <c r="K775" s="37">
        <f>IF($B$770="","",IF(COUNTIFS(Prior_Forecast!$A:$A,$B$770,Prior_Forecast!$B:$B,$D$770)&gt;0,SUMIFS(Prior_Forecast!$F:$F,Prior_Forecast!$A:$A,$B$770,Prior_Forecast!$B:$B,$D$770),""))</f>
        <v/>
      </c>
      <c r="L775" s="37">
        <f>IF($B$770="","",IF(COUNTIFS(Prior_Forecast!$A:$A,$B$770,Prior_Forecast!$B:$B,$D$770)&gt;0,SUMIFS(Prior_Forecast!$G:$G,Prior_Forecast!$A:$A,$B$770,Prior_Forecast!$B:$B,$D$770),""))</f>
        <v/>
      </c>
      <c r="M775" s="37">
        <f>IF($B$770="","",IF(COUNTIFS(Prior_Forecast!$A:$A,$B$770,Prior_Forecast!$B:$B,$D$770)&gt;0,SUMIFS(Prior_Forecast!$H:$H,Prior_Forecast!$A:$A,$B$770,Prior_Forecast!$B:$B,$D$770),""))</f>
        <v/>
      </c>
      <c r="N775" s="37">
        <f>IF($B$770="","",IF(COUNTIFS(Prior_Forecast!$A:$A,$B$770,Prior_Forecast!$B:$B,$D$770)&gt;0,SUMIFS(Prior_Forecast!$I:$I,Prior_Forecast!$A:$A,$B$770,Prior_Forecast!$B:$B,$D$770),""))</f>
        <v/>
      </c>
      <c r="O775" s="37">
        <f>IF($B$770="","",IF(COUNTIFS(Prior_Forecast!$A:$A,$B$770,Prior_Forecast!$B:$B,$D$770)&gt;0,SUMIFS(Prior_Forecast!$J:$J,Prior_Forecast!$A:$A,$B$770,Prior_Forecast!$B:$B,$D$770),""))</f>
        <v/>
      </c>
      <c r="P775" s="37">
        <f>IF($B$770="","",IF(COUNTIFS(Prior_Forecast!$A:$A,$B$770,Prior_Forecast!$B:$B,$D$770)&gt;0,SUMIFS(Prior_Forecast!$K:$K,Prior_Forecast!$A:$A,$B$770,Prior_Forecast!$B:$B,$D$770),""))</f>
        <v/>
      </c>
      <c r="Q775" s="37">
        <f>IF($B$770="","",IF(COUNTIFS(Prior_Forecast!$A:$A,$B$770,Prior_Forecast!$B:$B,$D$770)&gt;0,SUMIFS(Prior_Forecast!$L:$L,Prior_Forecast!$A:$A,$B$770,Prior_Forecast!$B:$B,$D$770),""))</f>
        <v/>
      </c>
      <c r="R775" s="37">
        <f>IF($B$770="","",IF(COUNTIFS(Prior_Forecast!$A:$A,$B$770,Prior_Forecast!$B:$B,$D$770)&gt;0,SUMIFS(Prior_Forecast!$M:$M,Prior_Forecast!$A:$A,$B$770,Prior_Forecast!$B:$B,$D$770),""))</f>
        <v/>
      </c>
      <c r="S775" s="37">
        <f>IF($B$770="","",IF(COUNTIFS(Prior_Forecast!$A:$A,$B$770,Prior_Forecast!$B:$B,$D$770)&gt;0,SUMIFS(Prior_Forecast!$N:$N,Prior_Forecast!$A:$A,$B$770,Prior_Forecast!$B:$B,$D$770),""))</f>
        <v/>
      </c>
      <c r="T775" s="37">
        <f>IF($B$770="","",IF(COUNTIFS(Prior_Forecast!$A:$A,$B$770,Prior_Forecast!$B:$B,$D$770)&gt;0,SUMIFS(Prior_Forecast!$O:$O,Prior_Forecast!$A:$A,$B$770,Prior_Forecast!$B:$B,$D$770),""))</f>
        <v/>
      </c>
      <c r="U775" s="37">
        <f>IF($B$770="","",IF(COUNTIFS(Prior_Forecast!$A:$A,$B$770,Prior_Forecast!$B:$B,$D$770)&gt;0,SUMIFS(Prior_Forecast!$P:$P,Prior_Forecast!$A:$A,$B$770,Prior_Forecast!$B:$B,$D$770),""))</f>
        <v/>
      </c>
      <c r="V775" s="37">
        <f>IF($B$770="","",IF(COUNTIFS(Prior_Forecast!$A:$A,$B$770,Prior_Forecast!$B:$B,$D$770)&gt;0,SUMIFS(Prior_Forecast!$Q:$Q,Prior_Forecast!$A:$A,$B$770,Prior_Forecast!$B:$B,$D$770),""))</f>
        <v/>
      </c>
      <c r="X775" s="22">
        <f>IF($B775="","",IFERROR(INDEX(Cost_Centers!$E:$E,MATCH($B775,Cost_Centers!$A:$A,0)),"(unknown)"))</f>
        <v/>
      </c>
      <c r="Y775" s="22">
        <f>IF($B775="","",IFERROR(INDEX(Cost_Centers!$D:$D,MATCH($B775,Cost_Centers!$A:$A,0)),"(unknown)"))</f>
        <v/>
      </c>
      <c r="Z775" s="22">
        <f>IF(OR($B775="",$G775&lt;&gt;"Variance vs Budget"),"",ABS(N($V775))+ROW()/1000000000)</f>
        <v/>
      </c>
    </row>
    <row r="776">
      <c r="A776" s="13">
        <f>IF(A$770="","",A$770)</f>
        <v/>
      </c>
      <c r="B776" s="13">
        <f>IF(B$770="","",B$770)</f>
        <v/>
      </c>
      <c r="C776" s="13">
        <f>IF(C$770="","",C$770)</f>
        <v/>
      </c>
      <c r="D776" s="13">
        <f>IF(D$770="","",D$770)</f>
        <v/>
      </c>
      <c r="E776" s="13">
        <f>IF(E$770="","",E$770)</f>
        <v/>
      </c>
      <c r="F776" s="13">
        <f>IF(F$770="","",F$770)</f>
        <v/>
      </c>
      <c r="G776" s="6" t="inlineStr">
        <is>
          <t>Variance vs Prior Month</t>
        </is>
      </c>
      <c r="H776" s="33">
        <f>IF(OR($B$770="",H775=""),"",H774-H775)</f>
        <v/>
      </c>
      <c r="I776" s="33">
        <f>IF(OR($B$770="",I775=""),"",I774-I775)</f>
        <v/>
      </c>
      <c r="J776" s="33">
        <f>IF(OR($B$770="",J775=""),"",J774-J775)</f>
        <v/>
      </c>
      <c r="K776" s="33">
        <f>IF(OR($B$770="",K775=""),"",K774-K775)</f>
        <v/>
      </c>
      <c r="L776" s="33">
        <f>IF(OR($B$770="",L775=""),"",L774-L775)</f>
        <v/>
      </c>
      <c r="M776" s="33">
        <f>IF(OR($B$770="",M775=""),"",M774-M775)</f>
        <v/>
      </c>
      <c r="N776" s="33">
        <f>IF(OR($B$770="",N775=""),"",N774-N775)</f>
        <v/>
      </c>
      <c r="O776" s="33">
        <f>IF(OR($B$770="",O775=""),"",O774-O775)</f>
        <v/>
      </c>
      <c r="P776" s="33">
        <f>IF(OR($B$770="",P775=""),"",P774-P775)</f>
        <v/>
      </c>
      <c r="Q776" s="33">
        <f>IF(OR($B$770="",Q775=""),"",Q774-Q775)</f>
        <v/>
      </c>
      <c r="R776" s="33">
        <f>IF(OR($B$770="",R775=""),"",R774-R775)</f>
        <v/>
      </c>
      <c r="S776" s="33">
        <f>IF(OR($B$770="",S775=""),"",S774-S775)</f>
        <v/>
      </c>
      <c r="T776" s="33">
        <f>IF(OR($B$770="",T775=""),"",T774-T775)</f>
        <v/>
      </c>
      <c r="U776" s="33">
        <f>IF(OR($B$770="",U775=""),"",U774-U775)</f>
        <v/>
      </c>
      <c r="V776" s="33">
        <f>IF(OR($B$770="",V775=""),"",V774-V775)</f>
        <v/>
      </c>
      <c r="X776" s="22">
        <f>IF($B776="","",IFERROR(INDEX(Cost_Centers!$E:$E,MATCH($B776,Cost_Centers!$A:$A,0)),"(unknown)"))</f>
        <v/>
      </c>
      <c r="Y776" s="22">
        <f>IF($B776="","",IFERROR(INDEX(Cost_Centers!$D:$D,MATCH($B776,Cost_Centers!$A:$A,0)),"(unknown)"))</f>
        <v/>
      </c>
      <c r="Z776" s="22">
        <f>IF(OR($B776="",$G776&lt;&gt;"Variance vs Budget"),"",ABS(N($V776))+ROW()/1000000000)</f>
        <v/>
      </c>
    </row>
    <row r="777" ht="45" customHeight="1">
      <c r="A777" s="13">
        <f>IF(A$770="","",A$770)</f>
        <v/>
      </c>
      <c r="B777" s="13">
        <f>IF(B$770="","",B$770)</f>
        <v/>
      </c>
      <c r="C777" s="13">
        <f>IF(C$770="","",C$770)</f>
        <v/>
      </c>
      <c r="D777" s="13">
        <f>IF(D$770="","",D$770)</f>
        <v/>
      </c>
      <c r="E777" s="13">
        <f>IF(E$770="","",E$770)</f>
        <v/>
      </c>
      <c r="F777" s="13">
        <f>IF(F$770="","",F$770)</f>
        <v/>
      </c>
      <c r="G777" s="7" t="inlineStr">
        <is>
          <t>Rationale</t>
        </is>
      </c>
      <c r="H777" s="38" t="n"/>
      <c r="I777" s="38" t="n"/>
      <c r="J777" s="38" t="n"/>
      <c r="K777" s="38" t="n"/>
      <c r="L777" s="38" t="n"/>
      <c r="M777" s="38" t="n"/>
      <c r="N777" s="38" t="n"/>
      <c r="O777" s="38" t="n"/>
      <c r="P777" s="38" t="n"/>
      <c r="Q777" s="38" t="n"/>
      <c r="R777" s="38" t="n"/>
      <c r="S777" s="38" t="n"/>
      <c r="T777" s="38" t="n"/>
      <c r="U777" s="38" t="n"/>
      <c r="V777" s="7" t="n"/>
      <c r="X777" s="22">
        <f>IF($B777="","",IFERROR(INDEX(Cost_Centers!$E:$E,MATCH($B777,Cost_Centers!$A:$A,0)),"(unknown)"))</f>
        <v/>
      </c>
      <c r="Y777" s="22">
        <f>IF($B777="","",IFERROR(INDEX(Cost_Centers!$D:$D,MATCH($B777,Cost_Centers!$A:$A,0)),"(unknown)"))</f>
        <v/>
      </c>
      <c r="Z777" s="22">
        <f>IF(OR($B777="",$G777&lt;&gt;"Variance vs Budget"),"",ABS(N($V777))+ROW()/1000000000)</f>
        <v/>
      </c>
    </row>
    <row r="778">
      <c r="A778" s="30">
        <f>IF($D$778="","",LEFT($D$778,FIND("|",$D$778&amp;"|")-1))</f>
        <v/>
      </c>
      <c r="B778" s="31" t="n"/>
      <c r="C778" s="30">
        <f>IF($B$778="","",IFERROR(INDEX(Cost_Centers!$B:$B,MATCH($B$778,Cost_Centers!$A:$A,0)),"(not in master)"))</f>
        <v/>
      </c>
      <c r="D778" s="31" t="n"/>
      <c r="E778" s="30">
        <f>IF($D$778="","",IFERROR(INDEX(Accounts!$D:$D,MATCH($D$778,Accounts!$A:$A,0)),"(not in master)"))</f>
        <v/>
      </c>
      <c r="F778" s="31" t="n"/>
      <c r="G778" s="30" t="inlineStr">
        <is>
          <t>Budget</t>
        </is>
      </c>
      <c r="H778" s="32">
        <f>IF($B$778="","",SUMIFS(Opex_Budget!$O:$O,Opex_Budget!$A:$A,$C$3,Opex_Budget!$E:$E,$B$778,Opex_Budget!$F:$F,$D$778,Opex_Budget!$N:$N,"JPY")*$E$5+SUMIFS(Opex_Budget!$O:$O,Opex_Budget!$A:$A,$C$3,Opex_Budget!$E:$E,$B$778,Opex_Budget!$F:$F,$D$778,Opex_Budget!$N:$N,"USD")*$F$5+SUMIFS(Opex_Budget!$O:$O,Opex_Budget!$A:$A,$C$3,Opex_Budget!$E:$E,$B$778,Opex_Budget!$F:$F,$D$778,Opex_Budget!$N:$N,"EUR")*$G$5+SUMIFS(Opex_Budget!$O:$O,Opex_Budget!$A:$A,$C$3,Opex_Budget!$E:$E,$B$778,Opex_Budget!$F:$F,$D$778,Opex_Budget!$N:$N,"GBP")*$H$5)</f>
        <v/>
      </c>
      <c r="I778" s="32">
        <f>IF($B$778="","",SUMIFS(Opex_Budget!$P:$P,Opex_Budget!$A:$A,$C$3,Opex_Budget!$E:$E,$B$778,Opex_Budget!$F:$F,$D$778,Opex_Budget!$N:$N,"JPY")*$E$5+SUMIFS(Opex_Budget!$P:$P,Opex_Budget!$A:$A,$C$3,Opex_Budget!$E:$E,$B$778,Opex_Budget!$F:$F,$D$778,Opex_Budget!$N:$N,"USD")*$F$5+SUMIFS(Opex_Budget!$P:$P,Opex_Budget!$A:$A,$C$3,Opex_Budget!$E:$E,$B$778,Opex_Budget!$F:$F,$D$778,Opex_Budget!$N:$N,"EUR")*$G$5+SUMIFS(Opex_Budget!$P:$P,Opex_Budget!$A:$A,$C$3,Opex_Budget!$E:$E,$B$778,Opex_Budget!$F:$F,$D$778,Opex_Budget!$N:$N,"GBP")*$H$5)</f>
        <v/>
      </c>
      <c r="J778" s="32">
        <f>IF($B$778="","",SUMIFS(Opex_Budget!$Q:$Q,Opex_Budget!$A:$A,$C$3,Opex_Budget!$E:$E,$B$778,Opex_Budget!$F:$F,$D$778,Opex_Budget!$N:$N,"JPY")*$E$5+SUMIFS(Opex_Budget!$Q:$Q,Opex_Budget!$A:$A,$C$3,Opex_Budget!$E:$E,$B$778,Opex_Budget!$F:$F,$D$778,Opex_Budget!$N:$N,"USD")*$F$5+SUMIFS(Opex_Budget!$Q:$Q,Opex_Budget!$A:$A,$C$3,Opex_Budget!$E:$E,$B$778,Opex_Budget!$F:$F,$D$778,Opex_Budget!$N:$N,"EUR")*$G$5+SUMIFS(Opex_Budget!$Q:$Q,Opex_Budget!$A:$A,$C$3,Opex_Budget!$E:$E,$B$778,Opex_Budget!$F:$F,$D$778,Opex_Budget!$N:$N,"GBP")*$H$5)</f>
        <v/>
      </c>
      <c r="K778" s="32">
        <f>IF($B$778="","",SUMIFS(Opex_Budget!$R:$R,Opex_Budget!$A:$A,$C$3,Opex_Budget!$E:$E,$B$778,Opex_Budget!$F:$F,$D$778,Opex_Budget!$N:$N,"JPY")*$E$5+SUMIFS(Opex_Budget!$R:$R,Opex_Budget!$A:$A,$C$3,Opex_Budget!$E:$E,$B$778,Opex_Budget!$F:$F,$D$778,Opex_Budget!$N:$N,"USD")*$F$5+SUMIFS(Opex_Budget!$R:$R,Opex_Budget!$A:$A,$C$3,Opex_Budget!$E:$E,$B$778,Opex_Budget!$F:$F,$D$778,Opex_Budget!$N:$N,"EUR")*$G$5+SUMIFS(Opex_Budget!$R:$R,Opex_Budget!$A:$A,$C$3,Opex_Budget!$E:$E,$B$778,Opex_Budget!$F:$F,$D$778,Opex_Budget!$N:$N,"GBP")*$H$5)</f>
        <v/>
      </c>
      <c r="L778" s="32">
        <f>IF($B$778="","",SUMIFS(Opex_Budget!$S:$S,Opex_Budget!$A:$A,$C$3,Opex_Budget!$E:$E,$B$778,Opex_Budget!$F:$F,$D$778,Opex_Budget!$N:$N,"JPY")*$E$5+SUMIFS(Opex_Budget!$S:$S,Opex_Budget!$A:$A,$C$3,Opex_Budget!$E:$E,$B$778,Opex_Budget!$F:$F,$D$778,Opex_Budget!$N:$N,"USD")*$F$5+SUMIFS(Opex_Budget!$S:$S,Opex_Budget!$A:$A,$C$3,Opex_Budget!$E:$E,$B$778,Opex_Budget!$F:$F,$D$778,Opex_Budget!$N:$N,"EUR")*$G$5+SUMIFS(Opex_Budget!$S:$S,Opex_Budget!$A:$A,$C$3,Opex_Budget!$E:$E,$B$778,Opex_Budget!$F:$F,$D$778,Opex_Budget!$N:$N,"GBP")*$H$5)</f>
        <v/>
      </c>
      <c r="M778" s="32">
        <f>IF($B$778="","",SUMIFS(Opex_Budget!$T:$T,Opex_Budget!$A:$A,$C$3,Opex_Budget!$E:$E,$B$778,Opex_Budget!$F:$F,$D$778,Opex_Budget!$N:$N,"JPY")*$E$5+SUMIFS(Opex_Budget!$T:$T,Opex_Budget!$A:$A,$C$3,Opex_Budget!$E:$E,$B$778,Opex_Budget!$F:$F,$D$778,Opex_Budget!$N:$N,"USD")*$F$5+SUMIFS(Opex_Budget!$T:$T,Opex_Budget!$A:$A,$C$3,Opex_Budget!$E:$E,$B$778,Opex_Budget!$F:$F,$D$778,Opex_Budget!$N:$N,"EUR")*$G$5+SUMIFS(Opex_Budget!$T:$T,Opex_Budget!$A:$A,$C$3,Opex_Budget!$E:$E,$B$778,Opex_Budget!$F:$F,$D$778,Opex_Budget!$N:$N,"GBP")*$H$5)</f>
        <v/>
      </c>
      <c r="N778" s="32">
        <f>IF($B$778="","",SUMIFS(Opex_Budget!$U:$U,Opex_Budget!$A:$A,$C$3,Opex_Budget!$E:$E,$B$778,Opex_Budget!$F:$F,$D$778,Opex_Budget!$N:$N,"JPY")*$E$5+SUMIFS(Opex_Budget!$U:$U,Opex_Budget!$A:$A,$C$3,Opex_Budget!$E:$E,$B$778,Opex_Budget!$F:$F,$D$778,Opex_Budget!$N:$N,"USD")*$F$5+SUMIFS(Opex_Budget!$U:$U,Opex_Budget!$A:$A,$C$3,Opex_Budget!$E:$E,$B$778,Opex_Budget!$F:$F,$D$778,Opex_Budget!$N:$N,"EUR")*$G$5+SUMIFS(Opex_Budget!$U:$U,Opex_Budget!$A:$A,$C$3,Opex_Budget!$E:$E,$B$778,Opex_Budget!$F:$F,$D$778,Opex_Budget!$N:$N,"GBP")*$H$5)</f>
        <v/>
      </c>
      <c r="O778" s="32">
        <f>IF($B$778="","",SUMIFS(Opex_Budget!$V:$V,Opex_Budget!$A:$A,$C$3,Opex_Budget!$E:$E,$B$778,Opex_Budget!$F:$F,$D$778,Opex_Budget!$N:$N,"JPY")*$E$5+SUMIFS(Opex_Budget!$V:$V,Opex_Budget!$A:$A,$C$3,Opex_Budget!$E:$E,$B$778,Opex_Budget!$F:$F,$D$778,Opex_Budget!$N:$N,"USD")*$F$5+SUMIFS(Opex_Budget!$V:$V,Opex_Budget!$A:$A,$C$3,Opex_Budget!$E:$E,$B$778,Opex_Budget!$F:$F,$D$778,Opex_Budget!$N:$N,"EUR")*$G$5+SUMIFS(Opex_Budget!$V:$V,Opex_Budget!$A:$A,$C$3,Opex_Budget!$E:$E,$B$778,Opex_Budget!$F:$F,$D$778,Opex_Budget!$N:$N,"GBP")*$H$5)</f>
        <v/>
      </c>
      <c r="P778" s="32">
        <f>IF($B$778="","",SUMIFS(Opex_Budget!$W:$W,Opex_Budget!$A:$A,$C$3,Opex_Budget!$E:$E,$B$778,Opex_Budget!$F:$F,$D$778,Opex_Budget!$N:$N,"JPY")*$E$5+SUMIFS(Opex_Budget!$W:$W,Opex_Budget!$A:$A,$C$3,Opex_Budget!$E:$E,$B$778,Opex_Budget!$F:$F,$D$778,Opex_Budget!$N:$N,"USD")*$F$5+SUMIFS(Opex_Budget!$W:$W,Opex_Budget!$A:$A,$C$3,Opex_Budget!$E:$E,$B$778,Opex_Budget!$F:$F,$D$778,Opex_Budget!$N:$N,"EUR")*$G$5+SUMIFS(Opex_Budget!$W:$W,Opex_Budget!$A:$A,$C$3,Opex_Budget!$E:$E,$B$778,Opex_Budget!$F:$F,$D$778,Opex_Budget!$N:$N,"GBP")*$H$5)</f>
        <v/>
      </c>
      <c r="Q778" s="32">
        <f>IF($B$778="","",SUMIFS(Opex_Budget!$X:$X,Opex_Budget!$A:$A,$C$3,Opex_Budget!$E:$E,$B$778,Opex_Budget!$F:$F,$D$778,Opex_Budget!$N:$N,"JPY")*$E$5+SUMIFS(Opex_Budget!$X:$X,Opex_Budget!$A:$A,$C$3,Opex_Budget!$E:$E,$B$778,Opex_Budget!$F:$F,$D$778,Opex_Budget!$N:$N,"USD")*$F$5+SUMIFS(Opex_Budget!$X:$X,Opex_Budget!$A:$A,$C$3,Opex_Budget!$E:$E,$B$778,Opex_Budget!$F:$F,$D$778,Opex_Budget!$N:$N,"EUR")*$G$5+SUMIFS(Opex_Budget!$X:$X,Opex_Budget!$A:$A,$C$3,Opex_Budget!$E:$E,$B$778,Opex_Budget!$F:$F,$D$778,Opex_Budget!$N:$N,"GBP")*$H$5)</f>
        <v/>
      </c>
      <c r="R778" s="32">
        <f>IF($B$778="","",SUMIFS(Opex_Budget!$Y:$Y,Opex_Budget!$A:$A,$C$3,Opex_Budget!$E:$E,$B$778,Opex_Budget!$F:$F,$D$778,Opex_Budget!$N:$N,"JPY")*$E$5+SUMIFS(Opex_Budget!$Y:$Y,Opex_Budget!$A:$A,$C$3,Opex_Budget!$E:$E,$B$778,Opex_Budget!$F:$F,$D$778,Opex_Budget!$N:$N,"USD")*$F$5+SUMIFS(Opex_Budget!$Y:$Y,Opex_Budget!$A:$A,$C$3,Opex_Budget!$E:$E,$B$778,Opex_Budget!$F:$F,$D$778,Opex_Budget!$N:$N,"EUR")*$G$5+SUMIFS(Opex_Budget!$Y:$Y,Opex_Budget!$A:$A,$C$3,Opex_Budget!$E:$E,$B$778,Opex_Budget!$F:$F,$D$778,Opex_Budget!$N:$N,"GBP")*$H$5)</f>
        <v/>
      </c>
      <c r="S778" s="32">
        <f>IF($B$778="","",SUMIFS(Opex_Budget!$Z:$Z,Opex_Budget!$A:$A,$C$3,Opex_Budget!$E:$E,$B$778,Opex_Budget!$F:$F,$D$778,Opex_Budget!$N:$N,"JPY")*$E$5+SUMIFS(Opex_Budget!$Z:$Z,Opex_Budget!$A:$A,$C$3,Opex_Budget!$E:$E,$B$778,Opex_Budget!$F:$F,$D$778,Opex_Budget!$N:$N,"USD")*$F$5+SUMIFS(Opex_Budget!$Z:$Z,Opex_Budget!$A:$A,$C$3,Opex_Budget!$E:$E,$B$778,Opex_Budget!$F:$F,$D$778,Opex_Budget!$N:$N,"EUR")*$G$5+SUMIFS(Opex_Budget!$Z:$Z,Opex_Budget!$A:$A,$C$3,Opex_Budget!$E:$E,$B$778,Opex_Budget!$F:$F,$D$778,Opex_Budget!$N:$N,"GBP")*$H$5)</f>
        <v/>
      </c>
      <c r="T778" s="32">
        <f>IF($B$778="","",SUMIF($H$7:$S$7,"&lt;="&amp;$C$4,$H778:$S778))</f>
        <v/>
      </c>
      <c r="U778" s="32">
        <f>IF($B$778="","",SUMIF($H$7:$S$7,"&gt;"&amp;$C$4,$H778:$S778))</f>
        <v/>
      </c>
      <c r="V778" s="32">
        <f>IF($B$778="","",SUM($H778:$S778))</f>
        <v/>
      </c>
      <c r="X778" s="22">
        <f>IF($B778="","",IFERROR(INDEX(Cost_Centers!$E:$E,MATCH($B778,Cost_Centers!$A:$A,0)),"(unknown)"))</f>
        <v/>
      </c>
      <c r="Y778" s="22">
        <f>IF($B778="","",IFERROR(INDEX(Cost_Centers!$D:$D,MATCH($B778,Cost_Centers!$A:$A,0)),"(unknown)"))</f>
        <v/>
      </c>
      <c r="Z778" s="22">
        <f>IF(OR($B778="",$G778&lt;&gt;"Variance vs Budget"),"",ABS(N($V778))+ROW()/1000000000)</f>
        <v/>
      </c>
    </row>
    <row r="779">
      <c r="A779" s="13">
        <f>IF(A$778="","",A$778)</f>
        <v/>
      </c>
      <c r="B779" s="13">
        <f>IF(B$778="","",B$778)</f>
        <v/>
      </c>
      <c r="C779" s="13">
        <f>IF(C$778="","",C$778)</f>
        <v/>
      </c>
      <c r="D779" s="13">
        <f>IF(D$778="","",D$778)</f>
        <v/>
      </c>
      <c r="E779" s="13">
        <f>IF(E$778="","",E$778)</f>
        <v/>
      </c>
      <c r="F779" s="13">
        <f>IF(F$778="","",F$778)</f>
        <v/>
      </c>
      <c r="G779" s="7" t="inlineStr">
        <is>
          <t>Actual</t>
        </is>
      </c>
      <c r="H779" s="18">
        <f>IF(OR($B$778="",1&gt;$C$4),"",SUMIFS(Actuals!$G:$G,Actuals!$B:$B,$C$3,Actuals!$C:$C,1,Actuals!$D:$D,$B$778,Actuals!$A:$A,LEFT($D$778,FIND("|",$D$778&amp;"|")-1),Actuals!$E:$E,MID($D$778,FIND("|",$D$778&amp;"|")+1,50),Actuals!$F:$F,"JPY")*$E$5+SUMIFS(Actuals!$G:$G,Actuals!$B:$B,$C$3,Actuals!$C:$C,1,Actuals!$D:$D,$B$778,Actuals!$A:$A,LEFT($D$778,FIND("|",$D$778&amp;"|")-1),Actuals!$E:$E,MID($D$778,FIND("|",$D$778&amp;"|")+1,50),Actuals!$F:$F,"USD")*$F$5+SUMIFS(Actuals!$G:$G,Actuals!$B:$B,$C$3,Actuals!$C:$C,1,Actuals!$D:$D,$B$778,Actuals!$A:$A,LEFT($D$778,FIND("|",$D$778&amp;"|")-1),Actuals!$E:$E,MID($D$778,FIND("|",$D$778&amp;"|")+1,50),Actuals!$F:$F,"EUR")*$G$5+SUMIFS(Actuals!$G:$G,Actuals!$B:$B,$C$3,Actuals!$C:$C,1,Actuals!$D:$D,$B$778,Actuals!$A:$A,LEFT($D$778,FIND("|",$D$778&amp;"|")-1),Actuals!$E:$E,MID($D$778,FIND("|",$D$778&amp;"|")+1,50),Actuals!$F:$F,"GBP")*$H$5)</f>
        <v/>
      </c>
      <c r="I779" s="18">
        <f>IF(OR($B$778="",2&gt;$C$4),"",SUMIFS(Actuals!$G:$G,Actuals!$B:$B,$C$3,Actuals!$C:$C,2,Actuals!$D:$D,$B$778,Actuals!$A:$A,LEFT($D$778,FIND("|",$D$778&amp;"|")-1),Actuals!$E:$E,MID($D$778,FIND("|",$D$778&amp;"|")+1,50),Actuals!$F:$F,"JPY")*$E$5+SUMIFS(Actuals!$G:$G,Actuals!$B:$B,$C$3,Actuals!$C:$C,2,Actuals!$D:$D,$B$778,Actuals!$A:$A,LEFT($D$778,FIND("|",$D$778&amp;"|")-1),Actuals!$E:$E,MID($D$778,FIND("|",$D$778&amp;"|")+1,50),Actuals!$F:$F,"USD")*$F$5+SUMIFS(Actuals!$G:$G,Actuals!$B:$B,$C$3,Actuals!$C:$C,2,Actuals!$D:$D,$B$778,Actuals!$A:$A,LEFT($D$778,FIND("|",$D$778&amp;"|")-1),Actuals!$E:$E,MID($D$778,FIND("|",$D$778&amp;"|")+1,50),Actuals!$F:$F,"EUR")*$G$5+SUMIFS(Actuals!$G:$G,Actuals!$B:$B,$C$3,Actuals!$C:$C,2,Actuals!$D:$D,$B$778,Actuals!$A:$A,LEFT($D$778,FIND("|",$D$778&amp;"|")-1),Actuals!$E:$E,MID($D$778,FIND("|",$D$778&amp;"|")+1,50),Actuals!$F:$F,"GBP")*$H$5)</f>
        <v/>
      </c>
      <c r="J779" s="18">
        <f>IF(OR($B$778="",3&gt;$C$4),"",SUMIFS(Actuals!$G:$G,Actuals!$B:$B,$C$3,Actuals!$C:$C,3,Actuals!$D:$D,$B$778,Actuals!$A:$A,LEFT($D$778,FIND("|",$D$778&amp;"|")-1),Actuals!$E:$E,MID($D$778,FIND("|",$D$778&amp;"|")+1,50),Actuals!$F:$F,"JPY")*$E$5+SUMIFS(Actuals!$G:$G,Actuals!$B:$B,$C$3,Actuals!$C:$C,3,Actuals!$D:$D,$B$778,Actuals!$A:$A,LEFT($D$778,FIND("|",$D$778&amp;"|")-1),Actuals!$E:$E,MID($D$778,FIND("|",$D$778&amp;"|")+1,50),Actuals!$F:$F,"USD")*$F$5+SUMIFS(Actuals!$G:$G,Actuals!$B:$B,$C$3,Actuals!$C:$C,3,Actuals!$D:$D,$B$778,Actuals!$A:$A,LEFT($D$778,FIND("|",$D$778&amp;"|")-1),Actuals!$E:$E,MID($D$778,FIND("|",$D$778&amp;"|")+1,50),Actuals!$F:$F,"EUR")*$G$5+SUMIFS(Actuals!$G:$G,Actuals!$B:$B,$C$3,Actuals!$C:$C,3,Actuals!$D:$D,$B$778,Actuals!$A:$A,LEFT($D$778,FIND("|",$D$778&amp;"|")-1),Actuals!$E:$E,MID($D$778,FIND("|",$D$778&amp;"|")+1,50),Actuals!$F:$F,"GBP")*$H$5)</f>
        <v/>
      </c>
      <c r="K779" s="18">
        <f>IF(OR($B$778="",4&gt;$C$4),"",SUMIFS(Actuals!$G:$G,Actuals!$B:$B,$C$3,Actuals!$C:$C,4,Actuals!$D:$D,$B$778,Actuals!$A:$A,LEFT($D$778,FIND("|",$D$778&amp;"|")-1),Actuals!$E:$E,MID($D$778,FIND("|",$D$778&amp;"|")+1,50),Actuals!$F:$F,"JPY")*$E$5+SUMIFS(Actuals!$G:$G,Actuals!$B:$B,$C$3,Actuals!$C:$C,4,Actuals!$D:$D,$B$778,Actuals!$A:$A,LEFT($D$778,FIND("|",$D$778&amp;"|")-1),Actuals!$E:$E,MID($D$778,FIND("|",$D$778&amp;"|")+1,50),Actuals!$F:$F,"USD")*$F$5+SUMIFS(Actuals!$G:$G,Actuals!$B:$B,$C$3,Actuals!$C:$C,4,Actuals!$D:$D,$B$778,Actuals!$A:$A,LEFT($D$778,FIND("|",$D$778&amp;"|")-1),Actuals!$E:$E,MID($D$778,FIND("|",$D$778&amp;"|")+1,50),Actuals!$F:$F,"EUR")*$G$5+SUMIFS(Actuals!$G:$G,Actuals!$B:$B,$C$3,Actuals!$C:$C,4,Actuals!$D:$D,$B$778,Actuals!$A:$A,LEFT($D$778,FIND("|",$D$778&amp;"|")-1),Actuals!$E:$E,MID($D$778,FIND("|",$D$778&amp;"|")+1,50),Actuals!$F:$F,"GBP")*$H$5)</f>
        <v/>
      </c>
      <c r="L779" s="18">
        <f>IF(OR($B$778="",5&gt;$C$4),"",SUMIFS(Actuals!$G:$G,Actuals!$B:$B,$C$3,Actuals!$C:$C,5,Actuals!$D:$D,$B$778,Actuals!$A:$A,LEFT($D$778,FIND("|",$D$778&amp;"|")-1),Actuals!$E:$E,MID($D$778,FIND("|",$D$778&amp;"|")+1,50),Actuals!$F:$F,"JPY")*$E$5+SUMIFS(Actuals!$G:$G,Actuals!$B:$B,$C$3,Actuals!$C:$C,5,Actuals!$D:$D,$B$778,Actuals!$A:$A,LEFT($D$778,FIND("|",$D$778&amp;"|")-1),Actuals!$E:$E,MID($D$778,FIND("|",$D$778&amp;"|")+1,50),Actuals!$F:$F,"USD")*$F$5+SUMIFS(Actuals!$G:$G,Actuals!$B:$B,$C$3,Actuals!$C:$C,5,Actuals!$D:$D,$B$778,Actuals!$A:$A,LEFT($D$778,FIND("|",$D$778&amp;"|")-1),Actuals!$E:$E,MID($D$778,FIND("|",$D$778&amp;"|")+1,50),Actuals!$F:$F,"EUR")*$G$5+SUMIFS(Actuals!$G:$G,Actuals!$B:$B,$C$3,Actuals!$C:$C,5,Actuals!$D:$D,$B$778,Actuals!$A:$A,LEFT($D$778,FIND("|",$D$778&amp;"|")-1),Actuals!$E:$E,MID($D$778,FIND("|",$D$778&amp;"|")+1,50),Actuals!$F:$F,"GBP")*$H$5)</f>
        <v/>
      </c>
      <c r="M779" s="18">
        <f>IF(OR($B$778="",6&gt;$C$4),"",SUMIFS(Actuals!$G:$G,Actuals!$B:$B,$C$3,Actuals!$C:$C,6,Actuals!$D:$D,$B$778,Actuals!$A:$A,LEFT($D$778,FIND("|",$D$778&amp;"|")-1),Actuals!$E:$E,MID($D$778,FIND("|",$D$778&amp;"|")+1,50),Actuals!$F:$F,"JPY")*$E$5+SUMIFS(Actuals!$G:$G,Actuals!$B:$B,$C$3,Actuals!$C:$C,6,Actuals!$D:$D,$B$778,Actuals!$A:$A,LEFT($D$778,FIND("|",$D$778&amp;"|")-1),Actuals!$E:$E,MID($D$778,FIND("|",$D$778&amp;"|")+1,50),Actuals!$F:$F,"USD")*$F$5+SUMIFS(Actuals!$G:$G,Actuals!$B:$B,$C$3,Actuals!$C:$C,6,Actuals!$D:$D,$B$778,Actuals!$A:$A,LEFT($D$778,FIND("|",$D$778&amp;"|")-1),Actuals!$E:$E,MID($D$778,FIND("|",$D$778&amp;"|")+1,50),Actuals!$F:$F,"EUR")*$G$5+SUMIFS(Actuals!$G:$G,Actuals!$B:$B,$C$3,Actuals!$C:$C,6,Actuals!$D:$D,$B$778,Actuals!$A:$A,LEFT($D$778,FIND("|",$D$778&amp;"|")-1),Actuals!$E:$E,MID($D$778,FIND("|",$D$778&amp;"|")+1,50),Actuals!$F:$F,"GBP")*$H$5)</f>
        <v/>
      </c>
      <c r="N779" s="18">
        <f>IF(OR($B$778="",7&gt;$C$4),"",SUMIFS(Actuals!$G:$G,Actuals!$B:$B,$C$3,Actuals!$C:$C,7,Actuals!$D:$D,$B$778,Actuals!$A:$A,LEFT($D$778,FIND("|",$D$778&amp;"|")-1),Actuals!$E:$E,MID($D$778,FIND("|",$D$778&amp;"|")+1,50),Actuals!$F:$F,"JPY")*$E$5+SUMIFS(Actuals!$G:$G,Actuals!$B:$B,$C$3,Actuals!$C:$C,7,Actuals!$D:$D,$B$778,Actuals!$A:$A,LEFT($D$778,FIND("|",$D$778&amp;"|")-1),Actuals!$E:$E,MID($D$778,FIND("|",$D$778&amp;"|")+1,50),Actuals!$F:$F,"USD")*$F$5+SUMIFS(Actuals!$G:$G,Actuals!$B:$B,$C$3,Actuals!$C:$C,7,Actuals!$D:$D,$B$778,Actuals!$A:$A,LEFT($D$778,FIND("|",$D$778&amp;"|")-1),Actuals!$E:$E,MID($D$778,FIND("|",$D$778&amp;"|")+1,50),Actuals!$F:$F,"EUR")*$G$5+SUMIFS(Actuals!$G:$G,Actuals!$B:$B,$C$3,Actuals!$C:$C,7,Actuals!$D:$D,$B$778,Actuals!$A:$A,LEFT($D$778,FIND("|",$D$778&amp;"|")-1),Actuals!$E:$E,MID($D$778,FIND("|",$D$778&amp;"|")+1,50),Actuals!$F:$F,"GBP")*$H$5)</f>
        <v/>
      </c>
      <c r="O779" s="18">
        <f>IF(OR($B$778="",8&gt;$C$4),"",SUMIFS(Actuals!$G:$G,Actuals!$B:$B,$C$3,Actuals!$C:$C,8,Actuals!$D:$D,$B$778,Actuals!$A:$A,LEFT($D$778,FIND("|",$D$778&amp;"|")-1),Actuals!$E:$E,MID($D$778,FIND("|",$D$778&amp;"|")+1,50),Actuals!$F:$F,"JPY")*$E$5+SUMIFS(Actuals!$G:$G,Actuals!$B:$B,$C$3,Actuals!$C:$C,8,Actuals!$D:$D,$B$778,Actuals!$A:$A,LEFT($D$778,FIND("|",$D$778&amp;"|")-1),Actuals!$E:$E,MID($D$778,FIND("|",$D$778&amp;"|")+1,50),Actuals!$F:$F,"USD")*$F$5+SUMIFS(Actuals!$G:$G,Actuals!$B:$B,$C$3,Actuals!$C:$C,8,Actuals!$D:$D,$B$778,Actuals!$A:$A,LEFT($D$778,FIND("|",$D$778&amp;"|")-1),Actuals!$E:$E,MID($D$778,FIND("|",$D$778&amp;"|")+1,50),Actuals!$F:$F,"EUR")*$G$5+SUMIFS(Actuals!$G:$G,Actuals!$B:$B,$C$3,Actuals!$C:$C,8,Actuals!$D:$D,$B$778,Actuals!$A:$A,LEFT($D$778,FIND("|",$D$778&amp;"|")-1),Actuals!$E:$E,MID($D$778,FIND("|",$D$778&amp;"|")+1,50),Actuals!$F:$F,"GBP")*$H$5)</f>
        <v/>
      </c>
      <c r="P779" s="18">
        <f>IF(OR($B$778="",9&gt;$C$4),"",SUMIFS(Actuals!$G:$G,Actuals!$B:$B,$C$3,Actuals!$C:$C,9,Actuals!$D:$D,$B$778,Actuals!$A:$A,LEFT($D$778,FIND("|",$D$778&amp;"|")-1),Actuals!$E:$E,MID($D$778,FIND("|",$D$778&amp;"|")+1,50),Actuals!$F:$F,"JPY")*$E$5+SUMIFS(Actuals!$G:$G,Actuals!$B:$B,$C$3,Actuals!$C:$C,9,Actuals!$D:$D,$B$778,Actuals!$A:$A,LEFT($D$778,FIND("|",$D$778&amp;"|")-1),Actuals!$E:$E,MID($D$778,FIND("|",$D$778&amp;"|")+1,50),Actuals!$F:$F,"USD")*$F$5+SUMIFS(Actuals!$G:$G,Actuals!$B:$B,$C$3,Actuals!$C:$C,9,Actuals!$D:$D,$B$778,Actuals!$A:$A,LEFT($D$778,FIND("|",$D$778&amp;"|")-1),Actuals!$E:$E,MID($D$778,FIND("|",$D$778&amp;"|")+1,50),Actuals!$F:$F,"EUR")*$G$5+SUMIFS(Actuals!$G:$G,Actuals!$B:$B,$C$3,Actuals!$C:$C,9,Actuals!$D:$D,$B$778,Actuals!$A:$A,LEFT($D$778,FIND("|",$D$778&amp;"|")-1),Actuals!$E:$E,MID($D$778,FIND("|",$D$778&amp;"|")+1,50),Actuals!$F:$F,"GBP")*$H$5)</f>
        <v/>
      </c>
      <c r="Q779" s="18">
        <f>IF(OR($B$778="",10&gt;$C$4),"",SUMIFS(Actuals!$G:$G,Actuals!$B:$B,$C$3,Actuals!$C:$C,10,Actuals!$D:$D,$B$778,Actuals!$A:$A,LEFT($D$778,FIND("|",$D$778&amp;"|")-1),Actuals!$E:$E,MID($D$778,FIND("|",$D$778&amp;"|")+1,50),Actuals!$F:$F,"JPY")*$E$5+SUMIFS(Actuals!$G:$G,Actuals!$B:$B,$C$3,Actuals!$C:$C,10,Actuals!$D:$D,$B$778,Actuals!$A:$A,LEFT($D$778,FIND("|",$D$778&amp;"|")-1),Actuals!$E:$E,MID($D$778,FIND("|",$D$778&amp;"|")+1,50),Actuals!$F:$F,"USD")*$F$5+SUMIFS(Actuals!$G:$G,Actuals!$B:$B,$C$3,Actuals!$C:$C,10,Actuals!$D:$D,$B$778,Actuals!$A:$A,LEFT($D$778,FIND("|",$D$778&amp;"|")-1),Actuals!$E:$E,MID($D$778,FIND("|",$D$778&amp;"|")+1,50),Actuals!$F:$F,"EUR")*$G$5+SUMIFS(Actuals!$G:$G,Actuals!$B:$B,$C$3,Actuals!$C:$C,10,Actuals!$D:$D,$B$778,Actuals!$A:$A,LEFT($D$778,FIND("|",$D$778&amp;"|")-1),Actuals!$E:$E,MID($D$778,FIND("|",$D$778&amp;"|")+1,50),Actuals!$F:$F,"GBP")*$H$5)</f>
        <v/>
      </c>
      <c r="R779" s="18">
        <f>IF(OR($B$778="",11&gt;$C$4),"",SUMIFS(Actuals!$G:$G,Actuals!$B:$B,$C$3,Actuals!$C:$C,11,Actuals!$D:$D,$B$778,Actuals!$A:$A,LEFT($D$778,FIND("|",$D$778&amp;"|")-1),Actuals!$E:$E,MID($D$778,FIND("|",$D$778&amp;"|")+1,50),Actuals!$F:$F,"JPY")*$E$5+SUMIFS(Actuals!$G:$G,Actuals!$B:$B,$C$3,Actuals!$C:$C,11,Actuals!$D:$D,$B$778,Actuals!$A:$A,LEFT($D$778,FIND("|",$D$778&amp;"|")-1),Actuals!$E:$E,MID($D$778,FIND("|",$D$778&amp;"|")+1,50),Actuals!$F:$F,"USD")*$F$5+SUMIFS(Actuals!$G:$G,Actuals!$B:$B,$C$3,Actuals!$C:$C,11,Actuals!$D:$D,$B$778,Actuals!$A:$A,LEFT($D$778,FIND("|",$D$778&amp;"|")-1),Actuals!$E:$E,MID($D$778,FIND("|",$D$778&amp;"|")+1,50),Actuals!$F:$F,"EUR")*$G$5+SUMIFS(Actuals!$G:$G,Actuals!$B:$B,$C$3,Actuals!$C:$C,11,Actuals!$D:$D,$B$778,Actuals!$A:$A,LEFT($D$778,FIND("|",$D$778&amp;"|")-1),Actuals!$E:$E,MID($D$778,FIND("|",$D$778&amp;"|")+1,50),Actuals!$F:$F,"GBP")*$H$5)</f>
        <v/>
      </c>
      <c r="S779" s="18">
        <f>IF(OR($B$778="",12&gt;$C$4),"",SUMIFS(Actuals!$G:$G,Actuals!$B:$B,$C$3,Actuals!$C:$C,12,Actuals!$D:$D,$B$778,Actuals!$A:$A,LEFT($D$778,FIND("|",$D$778&amp;"|")-1),Actuals!$E:$E,MID($D$778,FIND("|",$D$778&amp;"|")+1,50),Actuals!$F:$F,"JPY")*$E$5+SUMIFS(Actuals!$G:$G,Actuals!$B:$B,$C$3,Actuals!$C:$C,12,Actuals!$D:$D,$B$778,Actuals!$A:$A,LEFT($D$778,FIND("|",$D$778&amp;"|")-1),Actuals!$E:$E,MID($D$778,FIND("|",$D$778&amp;"|")+1,50),Actuals!$F:$F,"USD")*$F$5+SUMIFS(Actuals!$G:$G,Actuals!$B:$B,$C$3,Actuals!$C:$C,12,Actuals!$D:$D,$B$778,Actuals!$A:$A,LEFT($D$778,FIND("|",$D$778&amp;"|")-1),Actuals!$E:$E,MID($D$778,FIND("|",$D$778&amp;"|")+1,50),Actuals!$F:$F,"EUR")*$G$5+SUMIFS(Actuals!$G:$G,Actuals!$B:$B,$C$3,Actuals!$C:$C,12,Actuals!$D:$D,$B$778,Actuals!$A:$A,LEFT($D$778,FIND("|",$D$778&amp;"|")-1),Actuals!$E:$E,MID($D$778,FIND("|",$D$778&amp;"|")+1,50),Actuals!$F:$F,"GBP")*$H$5)</f>
        <v/>
      </c>
      <c r="T779" s="18">
        <f>IF($B$778="","",SUMIF($H$7:$S$7,"&lt;="&amp;$C$4,$H779:$S779))</f>
        <v/>
      </c>
      <c r="U779" s="18" t="n"/>
      <c r="V779" s="18" t="n"/>
      <c r="X779" s="22">
        <f>IF($B779="","",IFERROR(INDEX(Cost_Centers!$E:$E,MATCH($B779,Cost_Centers!$A:$A,0)),"(unknown)"))</f>
        <v/>
      </c>
      <c r="Y779" s="22">
        <f>IF($B779="","",IFERROR(INDEX(Cost_Centers!$D:$D,MATCH($B779,Cost_Centers!$A:$A,0)),"(unknown)"))</f>
        <v/>
      </c>
      <c r="Z779" s="22">
        <f>IF(OR($B779="",$G779&lt;&gt;"Variance vs Budget"),"",ABS(N($V779))+ROW()/1000000000)</f>
        <v/>
      </c>
    </row>
    <row r="780">
      <c r="A780" s="13">
        <f>IF(A$778="","",A$778)</f>
        <v/>
      </c>
      <c r="B780" s="13">
        <f>IF(B$778="","",B$778)</f>
        <v/>
      </c>
      <c r="C780" s="13">
        <f>IF(C$778="","",C$778)</f>
        <v/>
      </c>
      <c r="D780" s="13">
        <f>IF(D$778="","",D$778)</f>
        <v/>
      </c>
      <c r="E780" s="13">
        <f>IF(E$778="","",E$778)</f>
        <v/>
      </c>
      <c r="F780" s="13">
        <f>IF(F$778="","",F$778)</f>
        <v/>
      </c>
      <c r="G780" s="6" t="inlineStr">
        <is>
          <t>Variance vs Budget</t>
        </is>
      </c>
      <c r="H780" s="33">
        <f>IF(OR($B$778="",1&gt;$C$4),"",N(H779)-H778)</f>
        <v/>
      </c>
      <c r="I780" s="33">
        <f>IF(OR($B$778="",2&gt;$C$4),"",N(I779)-I778)</f>
        <v/>
      </c>
      <c r="J780" s="33">
        <f>IF(OR($B$778="",3&gt;$C$4),"",N(J779)-J778)</f>
        <v/>
      </c>
      <c r="K780" s="33">
        <f>IF(OR($B$778="",4&gt;$C$4),"",N(K779)-K778)</f>
        <v/>
      </c>
      <c r="L780" s="33">
        <f>IF(OR($B$778="",5&gt;$C$4),"",N(L779)-L778)</f>
        <v/>
      </c>
      <c r="M780" s="33">
        <f>IF(OR($B$778="",6&gt;$C$4),"",N(M779)-M778)</f>
        <v/>
      </c>
      <c r="N780" s="33">
        <f>IF(OR($B$778="",7&gt;$C$4),"",N(N779)-N778)</f>
        <v/>
      </c>
      <c r="O780" s="33">
        <f>IF(OR($B$778="",8&gt;$C$4),"",N(O779)-O778)</f>
        <v/>
      </c>
      <c r="P780" s="33">
        <f>IF(OR($B$778="",9&gt;$C$4),"",N(P779)-P778)</f>
        <v/>
      </c>
      <c r="Q780" s="33">
        <f>IF(OR($B$778="",10&gt;$C$4),"",N(Q779)-Q778)</f>
        <v/>
      </c>
      <c r="R780" s="33">
        <f>IF(OR($B$778="",11&gt;$C$4),"",N(R779)-R778)</f>
        <v/>
      </c>
      <c r="S780" s="33">
        <f>IF(OR($B$778="",12&gt;$C$4),"",N(S779)-S778)</f>
        <v/>
      </c>
      <c r="T780" s="33">
        <f>IF($B$778="","",T779-T778)</f>
        <v/>
      </c>
      <c r="U780" s="33">
        <f>IF($B$778="","",U782-U778)</f>
        <v/>
      </c>
      <c r="V780" s="33">
        <f>IF($B$778="","",V782-V778)</f>
        <v/>
      </c>
      <c r="X780" s="22">
        <f>IF($B780="","",IFERROR(INDEX(Cost_Centers!$E:$E,MATCH($B780,Cost_Centers!$A:$A,0)),"(unknown)"))</f>
        <v/>
      </c>
      <c r="Y780" s="22">
        <f>IF($B780="","",IFERROR(INDEX(Cost_Centers!$D:$D,MATCH($B780,Cost_Centers!$A:$A,0)),"(unknown)"))</f>
        <v/>
      </c>
      <c r="Z780" s="22">
        <f>IF(OR($B780="",$G780&lt;&gt;"Variance vs Budget"),"",ABS(N($V780))+ROW()/1000000000)</f>
        <v/>
      </c>
    </row>
    <row r="781">
      <c r="A781" s="13">
        <f>IF(A$778="","",A$778)</f>
        <v/>
      </c>
      <c r="B781" s="13">
        <f>IF(B$778="","",B$778)</f>
        <v/>
      </c>
      <c r="C781" s="13">
        <f>IF(C$778="","",C$778)</f>
        <v/>
      </c>
      <c r="D781" s="13">
        <f>IF(D$778="","",D$778)</f>
        <v/>
      </c>
      <c r="E781" s="13">
        <f>IF(E$778="","",E$778)</f>
        <v/>
      </c>
      <c r="F781" s="13">
        <f>IF(F$778="","",F$778)</f>
        <v/>
      </c>
      <c r="G781" s="7" t="inlineStr">
        <is>
          <t>Forecast (input)</t>
        </is>
      </c>
      <c r="H781" s="34" t="n"/>
      <c r="I781" s="34" t="n"/>
      <c r="J781" s="34" t="n"/>
      <c r="K781" s="34" t="n"/>
      <c r="L781" s="34" t="n"/>
      <c r="M781" s="34" t="n"/>
      <c r="N781" s="34" t="n"/>
      <c r="O781" s="34" t="n"/>
      <c r="P781" s="34" t="n"/>
      <c r="Q781" s="34" t="n"/>
      <c r="R781" s="34" t="n"/>
      <c r="S781" s="34" t="n"/>
      <c r="T781" s="18" t="n"/>
      <c r="U781" s="18" t="n"/>
      <c r="V781" s="18" t="n"/>
      <c r="X781" s="22">
        <f>IF($B781="","",IFERROR(INDEX(Cost_Centers!$E:$E,MATCH($B781,Cost_Centers!$A:$A,0)),"(unknown)"))</f>
        <v/>
      </c>
      <c r="Y781" s="22">
        <f>IF($B781="","",IFERROR(INDEX(Cost_Centers!$D:$D,MATCH($B781,Cost_Centers!$A:$A,0)),"(unknown)"))</f>
        <v/>
      </c>
      <c r="Z781" s="22">
        <f>IF(OR($B781="",$G781&lt;&gt;"Variance vs Budget"),"",ABS(N($V781))+ROW()/1000000000)</f>
        <v/>
      </c>
    </row>
    <row r="782">
      <c r="A782" s="13">
        <f>IF(A$778="","",A$778)</f>
        <v/>
      </c>
      <c r="B782" s="13">
        <f>IF(B$778="","",B$778)</f>
        <v/>
      </c>
      <c r="C782" s="13">
        <f>IF(C$778="","",C$778)</f>
        <v/>
      </c>
      <c r="D782" s="13">
        <f>IF(D$778="","",D$778)</f>
        <v/>
      </c>
      <c r="E782" s="13">
        <f>IF(E$778="","",E$778)</f>
        <v/>
      </c>
      <c r="F782" s="13">
        <f>IF(F$778="","",F$778)</f>
        <v/>
      </c>
      <c r="G782" s="35" t="inlineStr">
        <is>
          <t>Actual + Forecast</t>
        </is>
      </c>
      <c r="H782" s="18">
        <f>IF($B$778="","",IF(1&lt;=$C$4,N(H779),IF(H781="",H778,H781)))</f>
        <v/>
      </c>
      <c r="I782" s="18">
        <f>IF($B$778="","",IF(2&lt;=$C$4,N(I779),IF(I781="",I778,I781)))</f>
        <v/>
      </c>
      <c r="J782" s="18">
        <f>IF($B$778="","",IF(3&lt;=$C$4,N(J779),IF(J781="",J778,J781)))</f>
        <v/>
      </c>
      <c r="K782" s="18">
        <f>IF($B$778="","",IF(4&lt;=$C$4,N(K779),IF(K781="",K778,K781)))</f>
        <v/>
      </c>
      <c r="L782" s="18">
        <f>IF($B$778="","",IF(5&lt;=$C$4,N(L779),IF(L781="",L778,L781)))</f>
        <v/>
      </c>
      <c r="M782" s="18">
        <f>IF($B$778="","",IF(6&lt;=$C$4,N(M779),IF(M781="",M778,M781)))</f>
        <v/>
      </c>
      <c r="N782" s="18">
        <f>IF($B$778="","",IF(7&lt;=$C$4,N(N779),IF(N781="",N778,N781)))</f>
        <v/>
      </c>
      <c r="O782" s="18">
        <f>IF($B$778="","",IF(8&lt;=$C$4,N(O779),IF(O781="",O778,O781)))</f>
        <v/>
      </c>
      <c r="P782" s="18">
        <f>IF($B$778="","",IF(9&lt;=$C$4,N(P779),IF(P781="",P778,P781)))</f>
        <v/>
      </c>
      <c r="Q782" s="18">
        <f>IF($B$778="","",IF(10&lt;=$C$4,N(Q779),IF(Q781="",Q778,Q781)))</f>
        <v/>
      </c>
      <c r="R782" s="18">
        <f>IF($B$778="","",IF(11&lt;=$C$4,N(R779),IF(R781="",R778,R781)))</f>
        <v/>
      </c>
      <c r="S782" s="18">
        <f>IF($B$778="","",IF(12&lt;=$C$4,N(S779),IF(S781="",S778,S781)))</f>
        <v/>
      </c>
      <c r="T782" s="18">
        <f>IF($B$778="","",SUMIF($H$7:$S$7,"&lt;="&amp;$C$4,$H782:$S782))</f>
        <v/>
      </c>
      <c r="U782" s="18">
        <f>IF($B$778="","",SUMIF($H$7:$S$7,"&gt;"&amp;$C$4,$H782:$S782))</f>
        <v/>
      </c>
      <c r="V782" s="18">
        <f>IF($B$778="","",SUM($H782:$S782))</f>
        <v/>
      </c>
      <c r="X782" s="22">
        <f>IF($B782="","",IFERROR(INDEX(Cost_Centers!$E:$E,MATCH($B782,Cost_Centers!$A:$A,0)),"(unknown)"))</f>
        <v/>
      </c>
      <c r="Y782" s="22">
        <f>IF($B782="","",IFERROR(INDEX(Cost_Centers!$D:$D,MATCH($B782,Cost_Centers!$A:$A,0)),"(unknown)"))</f>
        <v/>
      </c>
      <c r="Z782" s="22">
        <f>IF(OR($B782="",$G782&lt;&gt;"Variance vs Budget"),"",ABS(N($V782))+ROW()/1000000000)</f>
        <v/>
      </c>
    </row>
    <row r="783">
      <c r="A783" s="13">
        <f>IF(A$778="","",A$778)</f>
        <v/>
      </c>
      <c r="B783" s="13">
        <f>IF(B$778="","",B$778)</f>
        <v/>
      </c>
      <c r="C783" s="13">
        <f>IF(C$778="","",C$778)</f>
        <v/>
      </c>
      <c r="D783" s="13">
        <f>IF(D$778="","",D$778)</f>
        <v/>
      </c>
      <c r="E783" s="13">
        <f>IF(E$778="","",E$778)</f>
        <v/>
      </c>
      <c r="F783" s="13">
        <f>IF(F$778="","",F$778)</f>
        <v/>
      </c>
      <c r="G783" s="36" t="inlineStr">
        <is>
          <t>Prior Month Forecast</t>
        </is>
      </c>
      <c r="H783" s="37">
        <f>IF($B$778="","",IF(COUNTIFS(Prior_Forecast!$A:$A,$B$778,Prior_Forecast!$B:$B,$D$778)&gt;0,SUMIFS(Prior_Forecast!$C:$C,Prior_Forecast!$A:$A,$B$778,Prior_Forecast!$B:$B,$D$778),""))</f>
        <v/>
      </c>
      <c r="I783" s="37">
        <f>IF($B$778="","",IF(COUNTIFS(Prior_Forecast!$A:$A,$B$778,Prior_Forecast!$B:$B,$D$778)&gt;0,SUMIFS(Prior_Forecast!$D:$D,Prior_Forecast!$A:$A,$B$778,Prior_Forecast!$B:$B,$D$778),""))</f>
        <v/>
      </c>
      <c r="J783" s="37">
        <f>IF($B$778="","",IF(COUNTIFS(Prior_Forecast!$A:$A,$B$778,Prior_Forecast!$B:$B,$D$778)&gt;0,SUMIFS(Prior_Forecast!$E:$E,Prior_Forecast!$A:$A,$B$778,Prior_Forecast!$B:$B,$D$778),""))</f>
        <v/>
      </c>
      <c r="K783" s="37">
        <f>IF($B$778="","",IF(COUNTIFS(Prior_Forecast!$A:$A,$B$778,Prior_Forecast!$B:$B,$D$778)&gt;0,SUMIFS(Prior_Forecast!$F:$F,Prior_Forecast!$A:$A,$B$778,Prior_Forecast!$B:$B,$D$778),""))</f>
        <v/>
      </c>
      <c r="L783" s="37">
        <f>IF($B$778="","",IF(COUNTIFS(Prior_Forecast!$A:$A,$B$778,Prior_Forecast!$B:$B,$D$778)&gt;0,SUMIFS(Prior_Forecast!$G:$G,Prior_Forecast!$A:$A,$B$778,Prior_Forecast!$B:$B,$D$778),""))</f>
        <v/>
      </c>
      <c r="M783" s="37">
        <f>IF($B$778="","",IF(COUNTIFS(Prior_Forecast!$A:$A,$B$778,Prior_Forecast!$B:$B,$D$778)&gt;0,SUMIFS(Prior_Forecast!$H:$H,Prior_Forecast!$A:$A,$B$778,Prior_Forecast!$B:$B,$D$778),""))</f>
        <v/>
      </c>
      <c r="N783" s="37">
        <f>IF($B$778="","",IF(COUNTIFS(Prior_Forecast!$A:$A,$B$778,Prior_Forecast!$B:$B,$D$778)&gt;0,SUMIFS(Prior_Forecast!$I:$I,Prior_Forecast!$A:$A,$B$778,Prior_Forecast!$B:$B,$D$778),""))</f>
        <v/>
      </c>
      <c r="O783" s="37">
        <f>IF($B$778="","",IF(COUNTIFS(Prior_Forecast!$A:$A,$B$778,Prior_Forecast!$B:$B,$D$778)&gt;0,SUMIFS(Prior_Forecast!$J:$J,Prior_Forecast!$A:$A,$B$778,Prior_Forecast!$B:$B,$D$778),""))</f>
        <v/>
      </c>
      <c r="P783" s="37">
        <f>IF($B$778="","",IF(COUNTIFS(Prior_Forecast!$A:$A,$B$778,Prior_Forecast!$B:$B,$D$778)&gt;0,SUMIFS(Prior_Forecast!$K:$K,Prior_Forecast!$A:$A,$B$778,Prior_Forecast!$B:$B,$D$778),""))</f>
        <v/>
      </c>
      <c r="Q783" s="37">
        <f>IF($B$778="","",IF(COUNTIFS(Prior_Forecast!$A:$A,$B$778,Prior_Forecast!$B:$B,$D$778)&gt;0,SUMIFS(Prior_Forecast!$L:$L,Prior_Forecast!$A:$A,$B$778,Prior_Forecast!$B:$B,$D$778),""))</f>
        <v/>
      </c>
      <c r="R783" s="37">
        <f>IF($B$778="","",IF(COUNTIFS(Prior_Forecast!$A:$A,$B$778,Prior_Forecast!$B:$B,$D$778)&gt;0,SUMIFS(Prior_Forecast!$M:$M,Prior_Forecast!$A:$A,$B$778,Prior_Forecast!$B:$B,$D$778),""))</f>
        <v/>
      </c>
      <c r="S783" s="37">
        <f>IF($B$778="","",IF(COUNTIFS(Prior_Forecast!$A:$A,$B$778,Prior_Forecast!$B:$B,$D$778)&gt;0,SUMIFS(Prior_Forecast!$N:$N,Prior_Forecast!$A:$A,$B$778,Prior_Forecast!$B:$B,$D$778),""))</f>
        <v/>
      </c>
      <c r="T783" s="37">
        <f>IF($B$778="","",IF(COUNTIFS(Prior_Forecast!$A:$A,$B$778,Prior_Forecast!$B:$B,$D$778)&gt;0,SUMIFS(Prior_Forecast!$O:$O,Prior_Forecast!$A:$A,$B$778,Prior_Forecast!$B:$B,$D$778),""))</f>
        <v/>
      </c>
      <c r="U783" s="37">
        <f>IF($B$778="","",IF(COUNTIFS(Prior_Forecast!$A:$A,$B$778,Prior_Forecast!$B:$B,$D$778)&gt;0,SUMIFS(Prior_Forecast!$P:$P,Prior_Forecast!$A:$A,$B$778,Prior_Forecast!$B:$B,$D$778),""))</f>
        <v/>
      </c>
      <c r="V783" s="37">
        <f>IF($B$778="","",IF(COUNTIFS(Prior_Forecast!$A:$A,$B$778,Prior_Forecast!$B:$B,$D$778)&gt;0,SUMIFS(Prior_Forecast!$Q:$Q,Prior_Forecast!$A:$A,$B$778,Prior_Forecast!$B:$B,$D$778),""))</f>
        <v/>
      </c>
      <c r="X783" s="22">
        <f>IF($B783="","",IFERROR(INDEX(Cost_Centers!$E:$E,MATCH($B783,Cost_Centers!$A:$A,0)),"(unknown)"))</f>
        <v/>
      </c>
      <c r="Y783" s="22">
        <f>IF($B783="","",IFERROR(INDEX(Cost_Centers!$D:$D,MATCH($B783,Cost_Centers!$A:$A,0)),"(unknown)"))</f>
        <v/>
      </c>
      <c r="Z783" s="22">
        <f>IF(OR($B783="",$G783&lt;&gt;"Variance vs Budget"),"",ABS(N($V783))+ROW()/1000000000)</f>
        <v/>
      </c>
    </row>
    <row r="784">
      <c r="A784" s="13">
        <f>IF(A$778="","",A$778)</f>
        <v/>
      </c>
      <c r="B784" s="13">
        <f>IF(B$778="","",B$778)</f>
        <v/>
      </c>
      <c r="C784" s="13">
        <f>IF(C$778="","",C$778)</f>
        <v/>
      </c>
      <c r="D784" s="13">
        <f>IF(D$778="","",D$778)</f>
        <v/>
      </c>
      <c r="E784" s="13">
        <f>IF(E$778="","",E$778)</f>
        <v/>
      </c>
      <c r="F784" s="13">
        <f>IF(F$778="","",F$778)</f>
        <v/>
      </c>
      <c r="G784" s="6" t="inlineStr">
        <is>
          <t>Variance vs Prior Month</t>
        </is>
      </c>
      <c r="H784" s="33">
        <f>IF(OR($B$778="",H783=""),"",H782-H783)</f>
        <v/>
      </c>
      <c r="I784" s="33">
        <f>IF(OR($B$778="",I783=""),"",I782-I783)</f>
        <v/>
      </c>
      <c r="J784" s="33">
        <f>IF(OR($B$778="",J783=""),"",J782-J783)</f>
        <v/>
      </c>
      <c r="K784" s="33">
        <f>IF(OR($B$778="",K783=""),"",K782-K783)</f>
        <v/>
      </c>
      <c r="L784" s="33">
        <f>IF(OR($B$778="",L783=""),"",L782-L783)</f>
        <v/>
      </c>
      <c r="M784" s="33">
        <f>IF(OR($B$778="",M783=""),"",M782-M783)</f>
        <v/>
      </c>
      <c r="N784" s="33">
        <f>IF(OR($B$778="",N783=""),"",N782-N783)</f>
        <v/>
      </c>
      <c r="O784" s="33">
        <f>IF(OR($B$778="",O783=""),"",O782-O783)</f>
        <v/>
      </c>
      <c r="P784" s="33">
        <f>IF(OR($B$778="",P783=""),"",P782-P783)</f>
        <v/>
      </c>
      <c r="Q784" s="33">
        <f>IF(OR($B$778="",Q783=""),"",Q782-Q783)</f>
        <v/>
      </c>
      <c r="R784" s="33">
        <f>IF(OR($B$778="",R783=""),"",R782-R783)</f>
        <v/>
      </c>
      <c r="S784" s="33">
        <f>IF(OR($B$778="",S783=""),"",S782-S783)</f>
        <v/>
      </c>
      <c r="T784" s="33">
        <f>IF(OR($B$778="",T783=""),"",T782-T783)</f>
        <v/>
      </c>
      <c r="U784" s="33">
        <f>IF(OR($B$778="",U783=""),"",U782-U783)</f>
        <v/>
      </c>
      <c r="V784" s="33">
        <f>IF(OR($B$778="",V783=""),"",V782-V783)</f>
        <v/>
      </c>
      <c r="X784" s="22">
        <f>IF($B784="","",IFERROR(INDEX(Cost_Centers!$E:$E,MATCH($B784,Cost_Centers!$A:$A,0)),"(unknown)"))</f>
        <v/>
      </c>
      <c r="Y784" s="22">
        <f>IF($B784="","",IFERROR(INDEX(Cost_Centers!$D:$D,MATCH($B784,Cost_Centers!$A:$A,0)),"(unknown)"))</f>
        <v/>
      </c>
      <c r="Z784" s="22">
        <f>IF(OR($B784="",$G784&lt;&gt;"Variance vs Budget"),"",ABS(N($V784))+ROW()/1000000000)</f>
        <v/>
      </c>
    </row>
    <row r="785" ht="45" customHeight="1">
      <c r="A785" s="13">
        <f>IF(A$778="","",A$778)</f>
        <v/>
      </c>
      <c r="B785" s="13">
        <f>IF(B$778="","",B$778)</f>
        <v/>
      </c>
      <c r="C785" s="13">
        <f>IF(C$778="","",C$778)</f>
        <v/>
      </c>
      <c r="D785" s="13">
        <f>IF(D$778="","",D$778)</f>
        <v/>
      </c>
      <c r="E785" s="13">
        <f>IF(E$778="","",E$778)</f>
        <v/>
      </c>
      <c r="F785" s="13">
        <f>IF(F$778="","",F$778)</f>
        <v/>
      </c>
      <c r="G785" s="7" t="inlineStr">
        <is>
          <t>Rationale</t>
        </is>
      </c>
      <c r="H785" s="38" t="n"/>
      <c r="I785" s="38" t="n"/>
      <c r="J785" s="38" t="n"/>
      <c r="K785" s="38" t="n"/>
      <c r="L785" s="38" t="n"/>
      <c r="M785" s="38" t="n"/>
      <c r="N785" s="38" t="n"/>
      <c r="O785" s="38" t="n"/>
      <c r="P785" s="38" t="n"/>
      <c r="Q785" s="38" t="n"/>
      <c r="R785" s="38" t="n"/>
      <c r="S785" s="38" t="n"/>
      <c r="T785" s="38" t="n"/>
      <c r="U785" s="38" t="n"/>
      <c r="V785" s="7" t="n"/>
      <c r="X785" s="22">
        <f>IF($B785="","",IFERROR(INDEX(Cost_Centers!$E:$E,MATCH($B785,Cost_Centers!$A:$A,0)),"(unknown)"))</f>
        <v/>
      </c>
      <c r="Y785" s="22">
        <f>IF($B785="","",IFERROR(INDEX(Cost_Centers!$D:$D,MATCH($B785,Cost_Centers!$A:$A,0)),"(unknown)"))</f>
        <v/>
      </c>
      <c r="Z785" s="22">
        <f>IF(OR($B785="",$G785&lt;&gt;"Variance vs Budget"),"",ABS(N($V785))+ROW()/1000000000)</f>
        <v/>
      </c>
    </row>
    <row r="786">
      <c r="A786" s="30">
        <f>IF($D$786="","",LEFT($D$786,FIND("|",$D$786&amp;"|")-1))</f>
        <v/>
      </c>
      <c r="B786" s="31" t="n"/>
      <c r="C786" s="30">
        <f>IF($B$786="","",IFERROR(INDEX(Cost_Centers!$B:$B,MATCH($B$786,Cost_Centers!$A:$A,0)),"(not in master)"))</f>
        <v/>
      </c>
      <c r="D786" s="31" t="n"/>
      <c r="E786" s="30">
        <f>IF($D$786="","",IFERROR(INDEX(Accounts!$D:$D,MATCH($D$786,Accounts!$A:$A,0)),"(not in master)"))</f>
        <v/>
      </c>
      <c r="F786" s="31" t="n"/>
      <c r="G786" s="30" t="inlineStr">
        <is>
          <t>Budget</t>
        </is>
      </c>
      <c r="H786" s="32">
        <f>IF($B$786="","",SUMIFS(Opex_Budget!$O:$O,Opex_Budget!$A:$A,$C$3,Opex_Budget!$E:$E,$B$786,Opex_Budget!$F:$F,$D$786,Opex_Budget!$N:$N,"JPY")*$E$5+SUMIFS(Opex_Budget!$O:$O,Opex_Budget!$A:$A,$C$3,Opex_Budget!$E:$E,$B$786,Opex_Budget!$F:$F,$D$786,Opex_Budget!$N:$N,"USD")*$F$5+SUMIFS(Opex_Budget!$O:$O,Opex_Budget!$A:$A,$C$3,Opex_Budget!$E:$E,$B$786,Opex_Budget!$F:$F,$D$786,Opex_Budget!$N:$N,"EUR")*$G$5+SUMIFS(Opex_Budget!$O:$O,Opex_Budget!$A:$A,$C$3,Opex_Budget!$E:$E,$B$786,Opex_Budget!$F:$F,$D$786,Opex_Budget!$N:$N,"GBP")*$H$5)</f>
        <v/>
      </c>
      <c r="I786" s="32">
        <f>IF($B$786="","",SUMIFS(Opex_Budget!$P:$P,Opex_Budget!$A:$A,$C$3,Opex_Budget!$E:$E,$B$786,Opex_Budget!$F:$F,$D$786,Opex_Budget!$N:$N,"JPY")*$E$5+SUMIFS(Opex_Budget!$P:$P,Opex_Budget!$A:$A,$C$3,Opex_Budget!$E:$E,$B$786,Opex_Budget!$F:$F,$D$786,Opex_Budget!$N:$N,"USD")*$F$5+SUMIFS(Opex_Budget!$P:$P,Opex_Budget!$A:$A,$C$3,Opex_Budget!$E:$E,$B$786,Opex_Budget!$F:$F,$D$786,Opex_Budget!$N:$N,"EUR")*$G$5+SUMIFS(Opex_Budget!$P:$P,Opex_Budget!$A:$A,$C$3,Opex_Budget!$E:$E,$B$786,Opex_Budget!$F:$F,$D$786,Opex_Budget!$N:$N,"GBP")*$H$5)</f>
        <v/>
      </c>
      <c r="J786" s="32">
        <f>IF($B$786="","",SUMIFS(Opex_Budget!$Q:$Q,Opex_Budget!$A:$A,$C$3,Opex_Budget!$E:$E,$B$786,Opex_Budget!$F:$F,$D$786,Opex_Budget!$N:$N,"JPY")*$E$5+SUMIFS(Opex_Budget!$Q:$Q,Opex_Budget!$A:$A,$C$3,Opex_Budget!$E:$E,$B$786,Opex_Budget!$F:$F,$D$786,Opex_Budget!$N:$N,"USD")*$F$5+SUMIFS(Opex_Budget!$Q:$Q,Opex_Budget!$A:$A,$C$3,Opex_Budget!$E:$E,$B$786,Opex_Budget!$F:$F,$D$786,Opex_Budget!$N:$N,"EUR")*$G$5+SUMIFS(Opex_Budget!$Q:$Q,Opex_Budget!$A:$A,$C$3,Opex_Budget!$E:$E,$B$786,Opex_Budget!$F:$F,$D$786,Opex_Budget!$N:$N,"GBP")*$H$5)</f>
        <v/>
      </c>
      <c r="K786" s="32">
        <f>IF($B$786="","",SUMIFS(Opex_Budget!$R:$R,Opex_Budget!$A:$A,$C$3,Opex_Budget!$E:$E,$B$786,Opex_Budget!$F:$F,$D$786,Opex_Budget!$N:$N,"JPY")*$E$5+SUMIFS(Opex_Budget!$R:$R,Opex_Budget!$A:$A,$C$3,Opex_Budget!$E:$E,$B$786,Opex_Budget!$F:$F,$D$786,Opex_Budget!$N:$N,"USD")*$F$5+SUMIFS(Opex_Budget!$R:$R,Opex_Budget!$A:$A,$C$3,Opex_Budget!$E:$E,$B$786,Opex_Budget!$F:$F,$D$786,Opex_Budget!$N:$N,"EUR")*$G$5+SUMIFS(Opex_Budget!$R:$R,Opex_Budget!$A:$A,$C$3,Opex_Budget!$E:$E,$B$786,Opex_Budget!$F:$F,$D$786,Opex_Budget!$N:$N,"GBP")*$H$5)</f>
        <v/>
      </c>
      <c r="L786" s="32">
        <f>IF($B$786="","",SUMIFS(Opex_Budget!$S:$S,Opex_Budget!$A:$A,$C$3,Opex_Budget!$E:$E,$B$786,Opex_Budget!$F:$F,$D$786,Opex_Budget!$N:$N,"JPY")*$E$5+SUMIFS(Opex_Budget!$S:$S,Opex_Budget!$A:$A,$C$3,Opex_Budget!$E:$E,$B$786,Opex_Budget!$F:$F,$D$786,Opex_Budget!$N:$N,"USD")*$F$5+SUMIFS(Opex_Budget!$S:$S,Opex_Budget!$A:$A,$C$3,Opex_Budget!$E:$E,$B$786,Opex_Budget!$F:$F,$D$786,Opex_Budget!$N:$N,"EUR")*$G$5+SUMIFS(Opex_Budget!$S:$S,Opex_Budget!$A:$A,$C$3,Opex_Budget!$E:$E,$B$786,Opex_Budget!$F:$F,$D$786,Opex_Budget!$N:$N,"GBP")*$H$5)</f>
        <v/>
      </c>
      <c r="M786" s="32">
        <f>IF($B$786="","",SUMIFS(Opex_Budget!$T:$T,Opex_Budget!$A:$A,$C$3,Opex_Budget!$E:$E,$B$786,Opex_Budget!$F:$F,$D$786,Opex_Budget!$N:$N,"JPY")*$E$5+SUMIFS(Opex_Budget!$T:$T,Opex_Budget!$A:$A,$C$3,Opex_Budget!$E:$E,$B$786,Opex_Budget!$F:$F,$D$786,Opex_Budget!$N:$N,"USD")*$F$5+SUMIFS(Opex_Budget!$T:$T,Opex_Budget!$A:$A,$C$3,Opex_Budget!$E:$E,$B$786,Opex_Budget!$F:$F,$D$786,Opex_Budget!$N:$N,"EUR")*$G$5+SUMIFS(Opex_Budget!$T:$T,Opex_Budget!$A:$A,$C$3,Opex_Budget!$E:$E,$B$786,Opex_Budget!$F:$F,$D$786,Opex_Budget!$N:$N,"GBP")*$H$5)</f>
        <v/>
      </c>
      <c r="N786" s="32">
        <f>IF($B$786="","",SUMIFS(Opex_Budget!$U:$U,Opex_Budget!$A:$A,$C$3,Opex_Budget!$E:$E,$B$786,Opex_Budget!$F:$F,$D$786,Opex_Budget!$N:$N,"JPY")*$E$5+SUMIFS(Opex_Budget!$U:$U,Opex_Budget!$A:$A,$C$3,Opex_Budget!$E:$E,$B$786,Opex_Budget!$F:$F,$D$786,Opex_Budget!$N:$N,"USD")*$F$5+SUMIFS(Opex_Budget!$U:$U,Opex_Budget!$A:$A,$C$3,Opex_Budget!$E:$E,$B$786,Opex_Budget!$F:$F,$D$786,Opex_Budget!$N:$N,"EUR")*$G$5+SUMIFS(Opex_Budget!$U:$U,Opex_Budget!$A:$A,$C$3,Opex_Budget!$E:$E,$B$786,Opex_Budget!$F:$F,$D$786,Opex_Budget!$N:$N,"GBP")*$H$5)</f>
        <v/>
      </c>
      <c r="O786" s="32">
        <f>IF($B$786="","",SUMIFS(Opex_Budget!$V:$V,Opex_Budget!$A:$A,$C$3,Opex_Budget!$E:$E,$B$786,Opex_Budget!$F:$F,$D$786,Opex_Budget!$N:$N,"JPY")*$E$5+SUMIFS(Opex_Budget!$V:$V,Opex_Budget!$A:$A,$C$3,Opex_Budget!$E:$E,$B$786,Opex_Budget!$F:$F,$D$786,Opex_Budget!$N:$N,"USD")*$F$5+SUMIFS(Opex_Budget!$V:$V,Opex_Budget!$A:$A,$C$3,Opex_Budget!$E:$E,$B$786,Opex_Budget!$F:$F,$D$786,Opex_Budget!$N:$N,"EUR")*$G$5+SUMIFS(Opex_Budget!$V:$V,Opex_Budget!$A:$A,$C$3,Opex_Budget!$E:$E,$B$786,Opex_Budget!$F:$F,$D$786,Opex_Budget!$N:$N,"GBP")*$H$5)</f>
        <v/>
      </c>
      <c r="P786" s="32">
        <f>IF($B$786="","",SUMIFS(Opex_Budget!$W:$W,Opex_Budget!$A:$A,$C$3,Opex_Budget!$E:$E,$B$786,Opex_Budget!$F:$F,$D$786,Opex_Budget!$N:$N,"JPY")*$E$5+SUMIFS(Opex_Budget!$W:$W,Opex_Budget!$A:$A,$C$3,Opex_Budget!$E:$E,$B$786,Opex_Budget!$F:$F,$D$786,Opex_Budget!$N:$N,"USD")*$F$5+SUMIFS(Opex_Budget!$W:$W,Opex_Budget!$A:$A,$C$3,Opex_Budget!$E:$E,$B$786,Opex_Budget!$F:$F,$D$786,Opex_Budget!$N:$N,"EUR")*$G$5+SUMIFS(Opex_Budget!$W:$W,Opex_Budget!$A:$A,$C$3,Opex_Budget!$E:$E,$B$786,Opex_Budget!$F:$F,$D$786,Opex_Budget!$N:$N,"GBP")*$H$5)</f>
        <v/>
      </c>
      <c r="Q786" s="32">
        <f>IF($B$786="","",SUMIFS(Opex_Budget!$X:$X,Opex_Budget!$A:$A,$C$3,Opex_Budget!$E:$E,$B$786,Opex_Budget!$F:$F,$D$786,Opex_Budget!$N:$N,"JPY")*$E$5+SUMIFS(Opex_Budget!$X:$X,Opex_Budget!$A:$A,$C$3,Opex_Budget!$E:$E,$B$786,Opex_Budget!$F:$F,$D$786,Opex_Budget!$N:$N,"USD")*$F$5+SUMIFS(Opex_Budget!$X:$X,Opex_Budget!$A:$A,$C$3,Opex_Budget!$E:$E,$B$786,Opex_Budget!$F:$F,$D$786,Opex_Budget!$N:$N,"EUR")*$G$5+SUMIFS(Opex_Budget!$X:$X,Opex_Budget!$A:$A,$C$3,Opex_Budget!$E:$E,$B$786,Opex_Budget!$F:$F,$D$786,Opex_Budget!$N:$N,"GBP")*$H$5)</f>
        <v/>
      </c>
      <c r="R786" s="32">
        <f>IF($B$786="","",SUMIFS(Opex_Budget!$Y:$Y,Opex_Budget!$A:$A,$C$3,Opex_Budget!$E:$E,$B$786,Opex_Budget!$F:$F,$D$786,Opex_Budget!$N:$N,"JPY")*$E$5+SUMIFS(Opex_Budget!$Y:$Y,Opex_Budget!$A:$A,$C$3,Opex_Budget!$E:$E,$B$786,Opex_Budget!$F:$F,$D$786,Opex_Budget!$N:$N,"USD")*$F$5+SUMIFS(Opex_Budget!$Y:$Y,Opex_Budget!$A:$A,$C$3,Opex_Budget!$E:$E,$B$786,Opex_Budget!$F:$F,$D$786,Opex_Budget!$N:$N,"EUR")*$G$5+SUMIFS(Opex_Budget!$Y:$Y,Opex_Budget!$A:$A,$C$3,Opex_Budget!$E:$E,$B$786,Opex_Budget!$F:$F,$D$786,Opex_Budget!$N:$N,"GBP")*$H$5)</f>
        <v/>
      </c>
      <c r="S786" s="32">
        <f>IF($B$786="","",SUMIFS(Opex_Budget!$Z:$Z,Opex_Budget!$A:$A,$C$3,Opex_Budget!$E:$E,$B$786,Opex_Budget!$F:$F,$D$786,Opex_Budget!$N:$N,"JPY")*$E$5+SUMIFS(Opex_Budget!$Z:$Z,Opex_Budget!$A:$A,$C$3,Opex_Budget!$E:$E,$B$786,Opex_Budget!$F:$F,$D$786,Opex_Budget!$N:$N,"USD")*$F$5+SUMIFS(Opex_Budget!$Z:$Z,Opex_Budget!$A:$A,$C$3,Opex_Budget!$E:$E,$B$786,Opex_Budget!$F:$F,$D$786,Opex_Budget!$N:$N,"EUR")*$G$5+SUMIFS(Opex_Budget!$Z:$Z,Opex_Budget!$A:$A,$C$3,Opex_Budget!$E:$E,$B$786,Opex_Budget!$F:$F,$D$786,Opex_Budget!$N:$N,"GBP")*$H$5)</f>
        <v/>
      </c>
      <c r="T786" s="32">
        <f>IF($B$786="","",SUMIF($H$7:$S$7,"&lt;="&amp;$C$4,$H786:$S786))</f>
        <v/>
      </c>
      <c r="U786" s="32">
        <f>IF($B$786="","",SUMIF($H$7:$S$7,"&gt;"&amp;$C$4,$H786:$S786))</f>
        <v/>
      </c>
      <c r="V786" s="32">
        <f>IF($B$786="","",SUM($H786:$S786))</f>
        <v/>
      </c>
      <c r="X786" s="22">
        <f>IF($B786="","",IFERROR(INDEX(Cost_Centers!$E:$E,MATCH($B786,Cost_Centers!$A:$A,0)),"(unknown)"))</f>
        <v/>
      </c>
      <c r="Y786" s="22">
        <f>IF($B786="","",IFERROR(INDEX(Cost_Centers!$D:$D,MATCH($B786,Cost_Centers!$A:$A,0)),"(unknown)"))</f>
        <v/>
      </c>
      <c r="Z786" s="22">
        <f>IF(OR($B786="",$G786&lt;&gt;"Variance vs Budget"),"",ABS(N($V786))+ROW()/1000000000)</f>
        <v/>
      </c>
    </row>
    <row r="787">
      <c r="A787" s="13">
        <f>IF(A$786="","",A$786)</f>
        <v/>
      </c>
      <c r="B787" s="13">
        <f>IF(B$786="","",B$786)</f>
        <v/>
      </c>
      <c r="C787" s="13">
        <f>IF(C$786="","",C$786)</f>
        <v/>
      </c>
      <c r="D787" s="13">
        <f>IF(D$786="","",D$786)</f>
        <v/>
      </c>
      <c r="E787" s="13">
        <f>IF(E$786="","",E$786)</f>
        <v/>
      </c>
      <c r="F787" s="13">
        <f>IF(F$786="","",F$786)</f>
        <v/>
      </c>
      <c r="G787" s="7" t="inlineStr">
        <is>
          <t>Actual</t>
        </is>
      </c>
      <c r="H787" s="18">
        <f>IF(OR($B$786="",1&gt;$C$4),"",SUMIFS(Actuals!$G:$G,Actuals!$B:$B,$C$3,Actuals!$C:$C,1,Actuals!$D:$D,$B$786,Actuals!$A:$A,LEFT($D$786,FIND("|",$D$786&amp;"|")-1),Actuals!$E:$E,MID($D$786,FIND("|",$D$786&amp;"|")+1,50),Actuals!$F:$F,"JPY")*$E$5+SUMIFS(Actuals!$G:$G,Actuals!$B:$B,$C$3,Actuals!$C:$C,1,Actuals!$D:$D,$B$786,Actuals!$A:$A,LEFT($D$786,FIND("|",$D$786&amp;"|")-1),Actuals!$E:$E,MID($D$786,FIND("|",$D$786&amp;"|")+1,50),Actuals!$F:$F,"USD")*$F$5+SUMIFS(Actuals!$G:$G,Actuals!$B:$B,$C$3,Actuals!$C:$C,1,Actuals!$D:$D,$B$786,Actuals!$A:$A,LEFT($D$786,FIND("|",$D$786&amp;"|")-1),Actuals!$E:$E,MID($D$786,FIND("|",$D$786&amp;"|")+1,50),Actuals!$F:$F,"EUR")*$G$5+SUMIFS(Actuals!$G:$G,Actuals!$B:$B,$C$3,Actuals!$C:$C,1,Actuals!$D:$D,$B$786,Actuals!$A:$A,LEFT($D$786,FIND("|",$D$786&amp;"|")-1),Actuals!$E:$E,MID($D$786,FIND("|",$D$786&amp;"|")+1,50),Actuals!$F:$F,"GBP")*$H$5)</f>
        <v/>
      </c>
      <c r="I787" s="18">
        <f>IF(OR($B$786="",2&gt;$C$4),"",SUMIFS(Actuals!$G:$G,Actuals!$B:$B,$C$3,Actuals!$C:$C,2,Actuals!$D:$D,$B$786,Actuals!$A:$A,LEFT($D$786,FIND("|",$D$786&amp;"|")-1),Actuals!$E:$E,MID($D$786,FIND("|",$D$786&amp;"|")+1,50),Actuals!$F:$F,"JPY")*$E$5+SUMIFS(Actuals!$G:$G,Actuals!$B:$B,$C$3,Actuals!$C:$C,2,Actuals!$D:$D,$B$786,Actuals!$A:$A,LEFT($D$786,FIND("|",$D$786&amp;"|")-1),Actuals!$E:$E,MID($D$786,FIND("|",$D$786&amp;"|")+1,50),Actuals!$F:$F,"USD")*$F$5+SUMIFS(Actuals!$G:$G,Actuals!$B:$B,$C$3,Actuals!$C:$C,2,Actuals!$D:$D,$B$786,Actuals!$A:$A,LEFT($D$786,FIND("|",$D$786&amp;"|")-1),Actuals!$E:$E,MID($D$786,FIND("|",$D$786&amp;"|")+1,50),Actuals!$F:$F,"EUR")*$G$5+SUMIFS(Actuals!$G:$G,Actuals!$B:$B,$C$3,Actuals!$C:$C,2,Actuals!$D:$D,$B$786,Actuals!$A:$A,LEFT($D$786,FIND("|",$D$786&amp;"|")-1),Actuals!$E:$E,MID($D$786,FIND("|",$D$786&amp;"|")+1,50),Actuals!$F:$F,"GBP")*$H$5)</f>
        <v/>
      </c>
      <c r="J787" s="18">
        <f>IF(OR($B$786="",3&gt;$C$4),"",SUMIFS(Actuals!$G:$G,Actuals!$B:$B,$C$3,Actuals!$C:$C,3,Actuals!$D:$D,$B$786,Actuals!$A:$A,LEFT($D$786,FIND("|",$D$786&amp;"|")-1),Actuals!$E:$E,MID($D$786,FIND("|",$D$786&amp;"|")+1,50),Actuals!$F:$F,"JPY")*$E$5+SUMIFS(Actuals!$G:$G,Actuals!$B:$B,$C$3,Actuals!$C:$C,3,Actuals!$D:$D,$B$786,Actuals!$A:$A,LEFT($D$786,FIND("|",$D$786&amp;"|")-1),Actuals!$E:$E,MID($D$786,FIND("|",$D$786&amp;"|")+1,50),Actuals!$F:$F,"USD")*$F$5+SUMIFS(Actuals!$G:$G,Actuals!$B:$B,$C$3,Actuals!$C:$C,3,Actuals!$D:$D,$B$786,Actuals!$A:$A,LEFT($D$786,FIND("|",$D$786&amp;"|")-1),Actuals!$E:$E,MID($D$786,FIND("|",$D$786&amp;"|")+1,50),Actuals!$F:$F,"EUR")*$G$5+SUMIFS(Actuals!$G:$G,Actuals!$B:$B,$C$3,Actuals!$C:$C,3,Actuals!$D:$D,$B$786,Actuals!$A:$A,LEFT($D$786,FIND("|",$D$786&amp;"|")-1),Actuals!$E:$E,MID($D$786,FIND("|",$D$786&amp;"|")+1,50),Actuals!$F:$F,"GBP")*$H$5)</f>
        <v/>
      </c>
      <c r="K787" s="18">
        <f>IF(OR($B$786="",4&gt;$C$4),"",SUMIFS(Actuals!$G:$G,Actuals!$B:$B,$C$3,Actuals!$C:$C,4,Actuals!$D:$D,$B$786,Actuals!$A:$A,LEFT($D$786,FIND("|",$D$786&amp;"|")-1),Actuals!$E:$E,MID($D$786,FIND("|",$D$786&amp;"|")+1,50),Actuals!$F:$F,"JPY")*$E$5+SUMIFS(Actuals!$G:$G,Actuals!$B:$B,$C$3,Actuals!$C:$C,4,Actuals!$D:$D,$B$786,Actuals!$A:$A,LEFT($D$786,FIND("|",$D$786&amp;"|")-1),Actuals!$E:$E,MID($D$786,FIND("|",$D$786&amp;"|")+1,50),Actuals!$F:$F,"USD")*$F$5+SUMIFS(Actuals!$G:$G,Actuals!$B:$B,$C$3,Actuals!$C:$C,4,Actuals!$D:$D,$B$786,Actuals!$A:$A,LEFT($D$786,FIND("|",$D$786&amp;"|")-1),Actuals!$E:$E,MID($D$786,FIND("|",$D$786&amp;"|")+1,50),Actuals!$F:$F,"EUR")*$G$5+SUMIFS(Actuals!$G:$G,Actuals!$B:$B,$C$3,Actuals!$C:$C,4,Actuals!$D:$D,$B$786,Actuals!$A:$A,LEFT($D$786,FIND("|",$D$786&amp;"|")-1),Actuals!$E:$E,MID($D$786,FIND("|",$D$786&amp;"|")+1,50),Actuals!$F:$F,"GBP")*$H$5)</f>
        <v/>
      </c>
      <c r="L787" s="18">
        <f>IF(OR($B$786="",5&gt;$C$4),"",SUMIFS(Actuals!$G:$G,Actuals!$B:$B,$C$3,Actuals!$C:$C,5,Actuals!$D:$D,$B$786,Actuals!$A:$A,LEFT($D$786,FIND("|",$D$786&amp;"|")-1),Actuals!$E:$E,MID($D$786,FIND("|",$D$786&amp;"|")+1,50),Actuals!$F:$F,"JPY")*$E$5+SUMIFS(Actuals!$G:$G,Actuals!$B:$B,$C$3,Actuals!$C:$C,5,Actuals!$D:$D,$B$786,Actuals!$A:$A,LEFT($D$786,FIND("|",$D$786&amp;"|")-1),Actuals!$E:$E,MID($D$786,FIND("|",$D$786&amp;"|")+1,50),Actuals!$F:$F,"USD")*$F$5+SUMIFS(Actuals!$G:$G,Actuals!$B:$B,$C$3,Actuals!$C:$C,5,Actuals!$D:$D,$B$786,Actuals!$A:$A,LEFT($D$786,FIND("|",$D$786&amp;"|")-1),Actuals!$E:$E,MID($D$786,FIND("|",$D$786&amp;"|")+1,50),Actuals!$F:$F,"EUR")*$G$5+SUMIFS(Actuals!$G:$G,Actuals!$B:$B,$C$3,Actuals!$C:$C,5,Actuals!$D:$D,$B$786,Actuals!$A:$A,LEFT($D$786,FIND("|",$D$786&amp;"|")-1),Actuals!$E:$E,MID($D$786,FIND("|",$D$786&amp;"|")+1,50),Actuals!$F:$F,"GBP")*$H$5)</f>
        <v/>
      </c>
      <c r="M787" s="18">
        <f>IF(OR($B$786="",6&gt;$C$4),"",SUMIFS(Actuals!$G:$G,Actuals!$B:$B,$C$3,Actuals!$C:$C,6,Actuals!$D:$D,$B$786,Actuals!$A:$A,LEFT($D$786,FIND("|",$D$786&amp;"|")-1),Actuals!$E:$E,MID($D$786,FIND("|",$D$786&amp;"|")+1,50),Actuals!$F:$F,"JPY")*$E$5+SUMIFS(Actuals!$G:$G,Actuals!$B:$B,$C$3,Actuals!$C:$C,6,Actuals!$D:$D,$B$786,Actuals!$A:$A,LEFT($D$786,FIND("|",$D$786&amp;"|")-1),Actuals!$E:$E,MID($D$786,FIND("|",$D$786&amp;"|")+1,50),Actuals!$F:$F,"USD")*$F$5+SUMIFS(Actuals!$G:$G,Actuals!$B:$B,$C$3,Actuals!$C:$C,6,Actuals!$D:$D,$B$786,Actuals!$A:$A,LEFT($D$786,FIND("|",$D$786&amp;"|")-1),Actuals!$E:$E,MID($D$786,FIND("|",$D$786&amp;"|")+1,50),Actuals!$F:$F,"EUR")*$G$5+SUMIFS(Actuals!$G:$G,Actuals!$B:$B,$C$3,Actuals!$C:$C,6,Actuals!$D:$D,$B$786,Actuals!$A:$A,LEFT($D$786,FIND("|",$D$786&amp;"|")-1),Actuals!$E:$E,MID($D$786,FIND("|",$D$786&amp;"|")+1,50),Actuals!$F:$F,"GBP")*$H$5)</f>
        <v/>
      </c>
      <c r="N787" s="18">
        <f>IF(OR($B$786="",7&gt;$C$4),"",SUMIFS(Actuals!$G:$G,Actuals!$B:$B,$C$3,Actuals!$C:$C,7,Actuals!$D:$D,$B$786,Actuals!$A:$A,LEFT($D$786,FIND("|",$D$786&amp;"|")-1),Actuals!$E:$E,MID($D$786,FIND("|",$D$786&amp;"|")+1,50),Actuals!$F:$F,"JPY")*$E$5+SUMIFS(Actuals!$G:$G,Actuals!$B:$B,$C$3,Actuals!$C:$C,7,Actuals!$D:$D,$B$786,Actuals!$A:$A,LEFT($D$786,FIND("|",$D$786&amp;"|")-1),Actuals!$E:$E,MID($D$786,FIND("|",$D$786&amp;"|")+1,50),Actuals!$F:$F,"USD")*$F$5+SUMIFS(Actuals!$G:$G,Actuals!$B:$B,$C$3,Actuals!$C:$C,7,Actuals!$D:$D,$B$786,Actuals!$A:$A,LEFT($D$786,FIND("|",$D$786&amp;"|")-1),Actuals!$E:$E,MID($D$786,FIND("|",$D$786&amp;"|")+1,50),Actuals!$F:$F,"EUR")*$G$5+SUMIFS(Actuals!$G:$G,Actuals!$B:$B,$C$3,Actuals!$C:$C,7,Actuals!$D:$D,$B$786,Actuals!$A:$A,LEFT($D$786,FIND("|",$D$786&amp;"|")-1),Actuals!$E:$E,MID($D$786,FIND("|",$D$786&amp;"|")+1,50),Actuals!$F:$F,"GBP")*$H$5)</f>
        <v/>
      </c>
      <c r="O787" s="18">
        <f>IF(OR($B$786="",8&gt;$C$4),"",SUMIFS(Actuals!$G:$G,Actuals!$B:$B,$C$3,Actuals!$C:$C,8,Actuals!$D:$D,$B$786,Actuals!$A:$A,LEFT($D$786,FIND("|",$D$786&amp;"|")-1),Actuals!$E:$E,MID($D$786,FIND("|",$D$786&amp;"|")+1,50),Actuals!$F:$F,"JPY")*$E$5+SUMIFS(Actuals!$G:$G,Actuals!$B:$B,$C$3,Actuals!$C:$C,8,Actuals!$D:$D,$B$786,Actuals!$A:$A,LEFT($D$786,FIND("|",$D$786&amp;"|")-1),Actuals!$E:$E,MID($D$786,FIND("|",$D$786&amp;"|")+1,50),Actuals!$F:$F,"USD")*$F$5+SUMIFS(Actuals!$G:$G,Actuals!$B:$B,$C$3,Actuals!$C:$C,8,Actuals!$D:$D,$B$786,Actuals!$A:$A,LEFT($D$786,FIND("|",$D$786&amp;"|")-1),Actuals!$E:$E,MID($D$786,FIND("|",$D$786&amp;"|")+1,50),Actuals!$F:$F,"EUR")*$G$5+SUMIFS(Actuals!$G:$G,Actuals!$B:$B,$C$3,Actuals!$C:$C,8,Actuals!$D:$D,$B$786,Actuals!$A:$A,LEFT($D$786,FIND("|",$D$786&amp;"|")-1),Actuals!$E:$E,MID($D$786,FIND("|",$D$786&amp;"|")+1,50),Actuals!$F:$F,"GBP")*$H$5)</f>
        <v/>
      </c>
      <c r="P787" s="18">
        <f>IF(OR($B$786="",9&gt;$C$4),"",SUMIFS(Actuals!$G:$G,Actuals!$B:$B,$C$3,Actuals!$C:$C,9,Actuals!$D:$D,$B$786,Actuals!$A:$A,LEFT($D$786,FIND("|",$D$786&amp;"|")-1),Actuals!$E:$E,MID($D$786,FIND("|",$D$786&amp;"|")+1,50),Actuals!$F:$F,"JPY")*$E$5+SUMIFS(Actuals!$G:$G,Actuals!$B:$B,$C$3,Actuals!$C:$C,9,Actuals!$D:$D,$B$786,Actuals!$A:$A,LEFT($D$786,FIND("|",$D$786&amp;"|")-1),Actuals!$E:$E,MID($D$786,FIND("|",$D$786&amp;"|")+1,50),Actuals!$F:$F,"USD")*$F$5+SUMIFS(Actuals!$G:$G,Actuals!$B:$B,$C$3,Actuals!$C:$C,9,Actuals!$D:$D,$B$786,Actuals!$A:$A,LEFT($D$786,FIND("|",$D$786&amp;"|")-1),Actuals!$E:$E,MID($D$786,FIND("|",$D$786&amp;"|")+1,50),Actuals!$F:$F,"EUR")*$G$5+SUMIFS(Actuals!$G:$G,Actuals!$B:$B,$C$3,Actuals!$C:$C,9,Actuals!$D:$D,$B$786,Actuals!$A:$A,LEFT($D$786,FIND("|",$D$786&amp;"|")-1),Actuals!$E:$E,MID($D$786,FIND("|",$D$786&amp;"|")+1,50),Actuals!$F:$F,"GBP")*$H$5)</f>
        <v/>
      </c>
      <c r="Q787" s="18">
        <f>IF(OR($B$786="",10&gt;$C$4),"",SUMIFS(Actuals!$G:$G,Actuals!$B:$B,$C$3,Actuals!$C:$C,10,Actuals!$D:$D,$B$786,Actuals!$A:$A,LEFT($D$786,FIND("|",$D$786&amp;"|")-1),Actuals!$E:$E,MID($D$786,FIND("|",$D$786&amp;"|")+1,50),Actuals!$F:$F,"JPY")*$E$5+SUMIFS(Actuals!$G:$G,Actuals!$B:$B,$C$3,Actuals!$C:$C,10,Actuals!$D:$D,$B$786,Actuals!$A:$A,LEFT($D$786,FIND("|",$D$786&amp;"|")-1),Actuals!$E:$E,MID($D$786,FIND("|",$D$786&amp;"|")+1,50),Actuals!$F:$F,"USD")*$F$5+SUMIFS(Actuals!$G:$G,Actuals!$B:$B,$C$3,Actuals!$C:$C,10,Actuals!$D:$D,$B$786,Actuals!$A:$A,LEFT($D$786,FIND("|",$D$786&amp;"|")-1),Actuals!$E:$E,MID($D$786,FIND("|",$D$786&amp;"|")+1,50),Actuals!$F:$F,"EUR")*$G$5+SUMIFS(Actuals!$G:$G,Actuals!$B:$B,$C$3,Actuals!$C:$C,10,Actuals!$D:$D,$B$786,Actuals!$A:$A,LEFT($D$786,FIND("|",$D$786&amp;"|")-1),Actuals!$E:$E,MID($D$786,FIND("|",$D$786&amp;"|")+1,50),Actuals!$F:$F,"GBP")*$H$5)</f>
        <v/>
      </c>
      <c r="R787" s="18">
        <f>IF(OR($B$786="",11&gt;$C$4),"",SUMIFS(Actuals!$G:$G,Actuals!$B:$B,$C$3,Actuals!$C:$C,11,Actuals!$D:$D,$B$786,Actuals!$A:$A,LEFT($D$786,FIND("|",$D$786&amp;"|")-1),Actuals!$E:$E,MID($D$786,FIND("|",$D$786&amp;"|")+1,50),Actuals!$F:$F,"JPY")*$E$5+SUMIFS(Actuals!$G:$G,Actuals!$B:$B,$C$3,Actuals!$C:$C,11,Actuals!$D:$D,$B$786,Actuals!$A:$A,LEFT($D$786,FIND("|",$D$786&amp;"|")-1),Actuals!$E:$E,MID($D$786,FIND("|",$D$786&amp;"|")+1,50),Actuals!$F:$F,"USD")*$F$5+SUMIFS(Actuals!$G:$G,Actuals!$B:$B,$C$3,Actuals!$C:$C,11,Actuals!$D:$D,$B$786,Actuals!$A:$A,LEFT($D$786,FIND("|",$D$786&amp;"|")-1),Actuals!$E:$E,MID($D$786,FIND("|",$D$786&amp;"|")+1,50),Actuals!$F:$F,"EUR")*$G$5+SUMIFS(Actuals!$G:$G,Actuals!$B:$B,$C$3,Actuals!$C:$C,11,Actuals!$D:$D,$B$786,Actuals!$A:$A,LEFT($D$786,FIND("|",$D$786&amp;"|")-1),Actuals!$E:$E,MID($D$786,FIND("|",$D$786&amp;"|")+1,50),Actuals!$F:$F,"GBP")*$H$5)</f>
        <v/>
      </c>
      <c r="S787" s="18">
        <f>IF(OR($B$786="",12&gt;$C$4),"",SUMIFS(Actuals!$G:$G,Actuals!$B:$B,$C$3,Actuals!$C:$C,12,Actuals!$D:$D,$B$786,Actuals!$A:$A,LEFT($D$786,FIND("|",$D$786&amp;"|")-1),Actuals!$E:$E,MID($D$786,FIND("|",$D$786&amp;"|")+1,50),Actuals!$F:$F,"JPY")*$E$5+SUMIFS(Actuals!$G:$G,Actuals!$B:$B,$C$3,Actuals!$C:$C,12,Actuals!$D:$D,$B$786,Actuals!$A:$A,LEFT($D$786,FIND("|",$D$786&amp;"|")-1),Actuals!$E:$E,MID($D$786,FIND("|",$D$786&amp;"|")+1,50),Actuals!$F:$F,"USD")*$F$5+SUMIFS(Actuals!$G:$G,Actuals!$B:$B,$C$3,Actuals!$C:$C,12,Actuals!$D:$D,$B$786,Actuals!$A:$A,LEFT($D$786,FIND("|",$D$786&amp;"|")-1),Actuals!$E:$E,MID($D$786,FIND("|",$D$786&amp;"|")+1,50),Actuals!$F:$F,"EUR")*$G$5+SUMIFS(Actuals!$G:$G,Actuals!$B:$B,$C$3,Actuals!$C:$C,12,Actuals!$D:$D,$B$786,Actuals!$A:$A,LEFT($D$786,FIND("|",$D$786&amp;"|")-1),Actuals!$E:$E,MID($D$786,FIND("|",$D$786&amp;"|")+1,50),Actuals!$F:$F,"GBP")*$H$5)</f>
        <v/>
      </c>
      <c r="T787" s="18">
        <f>IF($B$786="","",SUMIF($H$7:$S$7,"&lt;="&amp;$C$4,$H787:$S787))</f>
        <v/>
      </c>
      <c r="U787" s="18" t="n"/>
      <c r="V787" s="18" t="n"/>
      <c r="X787" s="22">
        <f>IF($B787="","",IFERROR(INDEX(Cost_Centers!$E:$E,MATCH($B787,Cost_Centers!$A:$A,0)),"(unknown)"))</f>
        <v/>
      </c>
      <c r="Y787" s="22">
        <f>IF($B787="","",IFERROR(INDEX(Cost_Centers!$D:$D,MATCH($B787,Cost_Centers!$A:$A,0)),"(unknown)"))</f>
        <v/>
      </c>
      <c r="Z787" s="22">
        <f>IF(OR($B787="",$G787&lt;&gt;"Variance vs Budget"),"",ABS(N($V787))+ROW()/1000000000)</f>
        <v/>
      </c>
    </row>
    <row r="788">
      <c r="A788" s="13">
        <f>IF(A$786="","",A$786)</f>
        <v/>
      </c>
      <c r="B788" s="13">
        <f>IF(B$786="","",B$786)</f>
        <v/>
      </c>
      <c r="C788" s="13">
        <f>IF(C$786="","",C$786)</f>
        <v/>
      </c>
      <c r="D788" s="13">
        <f>IF(D$786="","",D$786)</f>
        <v/>
      </c>
      <c r="E788" s="13">
        <f>IF(E$786="","",E$786)</f>
        <v/>
      </c>
      <c r="F788" s="13">
        <f>IF(F$786="","",F$786)</f>
        <v/>
      </c>
      <c r="G788" s="6" t="inlineStr">
        <is>
          <t>Variance vs Budget</t>
        </is>
      </c>
      <c r="H788" s="33">
        <f>IF(OR($B$786="",1&gt;$C$4),"",N(H787)-H786)</f>
        <v/>
      </c>
      <c r="I788" s="33">
        <f>IF(OR($B$786="",2&gt;$C$4),"",N(I787)-I786)</f>
        <v/>
      </c>
      <c r="J788" s="33">
        <f>IF(OR($B$786="",3&gt;$C$4),"",N(J787)-J786)</f>
        <v/>
      </c>
      <c r="K788" s="33">
        <f>IF(OR($B$786="",4&gt;$C$4),"",N(K787)-K786)</f>
        <v/>
      </c>
      <c r="L788" s="33">
        <f>IF(OR($B$786="",5&gt;$C$4),"",N(L787)-L786)</f>
        <v/>
      </c>
      <c r="M788" s="33">
        <f>IF(OR($B$786="",6&gt;$C$4),"",N(M787)-M786)</f>
        <v/>
      </c>
      <c r="N788" s="33">
        <f>IF(OR($B$786="",7&gt;$C$4),"",N(N787)-N786)</f>
        <v/>
      </c>
      <c r="O788" s="33">
        <f>IF(OR($B$786="",8&gt;$C$4),"",N(O787)-O786)</f>
        <v/>
      </c>
      <c r="P788" s="33">
        <f>IF(OR($B$786="",9&gt;$C$4),"",N(P787)-P786)</f>
        <v/>
      </c>
      <c r="Q788" s="33">
        <f>IF(OR($B$786="",10&gt;$C$4),"",N(Q787)-Q786)</f>
        <v/>
      </c>
      <c r="R788" s="33">
        <f>IF(OR($B$786="",11&gt;$C$4),"",N(R787)-R786)</f>
        <v/>
      </c>
      <c r="S788" s="33">
        <f>IF(OR($B$786="",12&gt;$C$4),"",N(S787)-S786)</f>
        <v/>
      </c>
      <c r="T788" s="33">
        <f>IF($B$786="","",T787-T786)</f>
        <v/>
      </c>
      <c r="U788" s="33">
        <f>IF($B$786="","",U790-U786)</f>
        <v/>
      </c>
      <c r="V788" s="33">
        <f>IF($B$786="","",V790-V786)</f>
        <v/>
      </c>
      <c r="X788" s="22">
        <f>IF($B788="","",IFERROR(INDEX(Cost_Centers!$E:$E,MATCH($B788,Cost_Centers!$A:$A,0)),"(unknown)"))</f>
        <v/>
      </c>
      <c r="Y788" s="22">
        <f>IF($B788="","",IFERROR(INDEX(Cost_Centers!$D:$D,MATCH($B788,Cost_Centers!$A:$A,0)),"(unknown)"))</f>
        <v/>
      </c>
      <c r="Z788" s="22">
        <f>IF(OR($B788="",$G788&lt;&gt;"Variance vs Budget"),"",ABS(N($V788))+ROW()/1000000000)</f>
        <v/>
      </c>
    </row>
    <row r="789">
      <c r="A789" s="13">
        <f>IF(A$786="","",A$786)</f>
        <v/>
      </c>
      <c r="B789" s="13">
        <f>IF(B$786="","",B$786)</f>
        <v/>
      </c>
      <c r="C789" s="13">
        <f>IF(C$786="","",C$786)</f>
        <v/>
      </c>
      <c r="D789" s="13">
        <f>IF(D$786="","",D$786)</f>
        <v/>
      </c>
      <c r="E789" s="13">
        <f>IF(E$786="","",E$786)</f>
        <v/>
      </c>
      <c r="F789" s="13">
        <f>IF(F$786="","",F$786)</f>
        <v/>
      </c>
      <c r="G789" s="7" t="inlineStr">
        <is>
          <t>Forecast (input)</t>
        </is>
      </c>
      <c r="H789" s="34" t="n"/>
      <c r="I789" s="34" t="n"/>
      <c r="J789" s="34" t="n"/>
      <c r="K789" s="34" t="n"/>
      <c r="L789" s="34" t="n"/>
      <c r="M789" s="34" t="n"/>
      <c r="N789" s="34" t="n"/>
      <c r="O789" s="34" t="n"/>
      <c r="P789" s="34" t="n"/>
      <c r="Q789" s="34" t="n"/>
      <c r="R789" s="34" t="n"/>
      <c r="S789" s="34" t="n"/>
      <c r="T789" s="18" t="n"/>
      <c r="U789" s="18" t="n"/>
      <c r="V789" s="18" t="n"/>
      <c r="X789" s="22">
        <f>IF($B789="","",IFERROR(INDEX(Cost_Centers!$E:$E,MATCH($B789,Cost_Centers!$A:$A,0)),"(unknown)"))</f>
        <v/>
      </c>
      <c r="Y789" s="22">
        <f>IF($B789="","",IFERROR(INDEX(Cost_Centers!$D:$D,MATCH($B789,Cost_Centers!$A:$A,0)),"(unknown)"))</f>
        <v/>
      </c>
      <c r="Z789" s="22">
        <f>IF(OR($B789="",$G789&lt;&gt;"Variance vs Budget"),"",ABS(N($V789))+ROW()/1000000000)</f>
        <v/>
      </c>
    </row>
    <row r="790">
      <c r="A790" s="13">
        <f>IF(A$786="","",A$786)</f>
        <v/>
      </c>
      <c r="B790" s="13">
        <f>IF(B$786="","",B$786)</f>
        <v/>
      </c>
      <c r="C790" s="13">
        <f>IF(C$786="","",C$786)</f>
        <v/>
      </c>
      <c r="D790" s="13">
        <f>IF(D$786="","",D$786)</f>
        <v/>
      </c>
      <c r="E790" s="13">
        <f>IF(E$786="","",E$786)</f>
        <v/>
      </c>
      <c r="F790" s="13">
        <f>IF(F$786="","",F$786)</f>
        <v/>
      </c>
      <c r="G790" s="35" t="inlineStr">
        <is>
          <t>Actual + Forecast</t>
        </is>
      </c>
      <c r="H790" s="18">
        <f>IF($B$786="","",IF(1&lt;=$C$4,N(H787),IF(H789="",H786,H789)))</f>
        <v/>
      </c>
      <c r="I790" s="18">
        <f>IF($B$786="","",IF(2&lt;=$C$4,N(I787),IF(I789="",I786,I789)))</f>
        <v/>
      </c>
      <c r="J790" s="18">
        <f>IF($B$786="","",IF(3&lt;=$C$4,N(J787),IF(J789="",J786,J789)))</f>
        <v/>
      </c>
      <c r="K790" s="18">
        <f>IF($B$786="","",IF(4&lt;=$C$4,N(K787),IF(K789="",K786,K789)))</f>
        <v/>
      </c>
      <c r="L790" s="18">
        <f>IF($B$786="","",IF(5&lt;=$C$4,N(L787),IF(L789="",L786,L789)))</f>
        <v/>
      </c>
      <c r="M790" s="18">
        <f>IF($B$786="","",IF(6&lt;=$C$4,N(M787),IF(M789="",M786,M789)))</f>
        <v/>
      </c>
      <c r="N790" s="18">
        <f>IF($B$786="","",IF(7&lt;=$C$4,N(N787),IF(N789="",N786,N789)))</f>
        <v/>
      </c>
      <c r="O790" s="18">
        <f>IF($B$786="","",IF(8&lt;=$C$4,N(O787),IF(O789="",O786,O789)))</f>
        <v/>
      </c>
      <c r="P790" s="18">
        <f>IF($B$786="","",IF(9&lt;=$C$4,N(P787),IF(P789="",P786,P789)))</f>
        <v/>
      </c>
      <c r="Q790" s="18">
        <f>IF($B$786="","",IF(10&lt;=$C$4,N(Q787),IF(Q789="",Q786,Q789)))</f>
        <v/>
      </c>
      <c r="R790" s="18">
        <f>IF($B$786="","",IF(11&lt;=$C$4,N(R787),IF(R789="",R786,R789)))</f>
        <v/>
      </c>
      <c r="S790" s="18">
        <f>IF($B$786="","",IF(12&lt;=$C$4,N(S787),IF(S789="",S786,S789)))</f>
        <v/>
      </c>
      <c r="T790" s="18">
        <f>IF($B$786="","",SUMIF($H$7:$S$7,"&lt;="&amp;$C$4,$H790:$S790))</f>
        <v/>
      </c>
      <c r="U790" s="18">
        <f>IF($B$786="","",SUMIF($H$7:$S$7,"&gt;"&amp;$C$4,$H790:$S790))</f>
        <v/>
      </c>
      <c r="V790" s="18">
        <f>IF($B$786="","",SUM($H790:$S790))</f>
        <v/>
      </c>
      <c r="X790" s="22">
        <f>IF($B790="","",IFERROR(INDEX(Cost_Centers!$E:$E,MATCH($B790,Cost_Centers!$A:$A,0)),"(unknown)"))</f>
        <v/>
      </c>
      <c r="Y790" s="22">
        <f>IF($B790="","",IFERROR(INDEX(Cost_Centers!$D:$D,MATCH($B790,Cost_Centers!$A:$A,0)),"(unknown)"))</f>
        <v/>
      </c>
      <c r="Z790" s="22">
        <f>IF(OR($B790="",$G790&lt;&gt;"Variance vs Budget"),"",ABS(N($V790))+ROW()/1000000000)</f>
        <v/>
      </c>
    </row>
    <row r="791">
      <c r="A791" s="13">
        <f>IF(A$786="","",A$786)</f>
        <v/>
      </c>
      <c r="B791" s="13">
        <f>IF(B$786="","",B$786)</f>
        <v/>
      </c>
      <c r="C791" s="13">
        <f>IF(C$786="","",C$786)</f>
        <v/>
      </c>
      <c r="D791" s="13">
        <f>IF(D$786="","",D$786)</f>
        <v/>
      </c>
      <c r="E791" s="13">
        <f>IF(E$786="","",E$786)</f>
        <v/>
      </c>
      <c r="F791" s="13">
        <f>IF(F$786="","",F$786)</f>
        <v/>
      </c>
      <c r="G791" s="36" t="inlineStr">
        <is>
          <t>Prior Month Forecast</t>
        </is>
      </c>
      <c r="H791" s="37">
        <f>IF($B$786="","",IF(COUNTIFS(Prior_Forecast!$A:$A,$B$786,Prior_Forecast!$B:$B,$D$786)&gt;0,SUMIFS(Prior_Forecast!$C:$C,Prior_Forecast!$A:$A,$B$786,Prior_Forecast!$B:$B,$D$786),""))</f>
        <v/>
      </c>
      <c r="I791" s="37">
        <f>IF($B$786="","",IF(COUNTIFS(Prior_Forecast!$A:$A,$B$786,Prior_Forecast!$B:$B,$D$786)&gt;0,SUMIFS(Prior_Forecast!$D:$D,Prior_Forecast!$A:$A,$B$786,Prior_Forecast!$B:$B,$D$786),""))</f>
        <v/>
      </c>
      <c r="J791" s="37">
        <f>IF($B$786="","",IF(COUNTIFS(Prior_Forecast!$A:$A,$B$786,Prior_Forecast!$B:$B,$D$786)&gt;0,SUMIFS(Prior_Forecast!$E:$E,Prior_Forecast!$A:$A,$B$786,Prior_Forecast!$B:$B,$D$786),""))</f>
        <v/>
      </c>
      <c r="K791" s="37">
        <f>IF($B$786="","",IF(COUNTIFS(Prior_Forecast!$A:$A,$B$786,Prior_Forecast!$B:$B,$D$786)&gt;0,SUMIFS(Prior_Forecast!$F:$F,Prior_Forecast!$A:$A,$B$786,Prior_Forecast!$B:$B,$D$786),""))</f>
        <v/>
      </c>
      <c r="L791" s="37">
        <f>IF($B$786="","",IF(COUNTIFS(Prior_Forecast!$A:$A,$B$786,Prior_Forecast!$B:$B,$D$786)&gt;0,SUMIFS(Prior_Forecast!$G:$G,Prior_Forecast!$A:$A,$B$786,Prior_Forecast!$B:$B,$D$786),""))</f>
        <v/>
      </c>
      <c r="M791" s="37">
        <f>IF($B$786="","",IF(COUNTIFS(Prior_Forecast!$A:$A,$B$786,Prior_Forecast!$B:$B,$D$786)&gt;0,SUMIFS(Prior_Forecast!$H:$H,Prior_Forecast!$A:$A,$B$786,Prior_Forecast!$B:$B,$D$786),""))</f>
        <v/>
      </c>
      <c r="N791" s="37">
        <f>IF($B$786="","",IF(COUNTIFS(Prior_Forecast!$A:$A,$B$786,Prior_Forecast!$B:$B,$D$786)&gt;0,SUMIFS(Prior_Forecast!$I:$I,Prior_Forecast!$A:$A,$B$786,Prior_Forecast!$B:$B,$D$786),""))</f>
        <v/>
      </c>
      <c r="O791" s="37">
        <f>IF($B$786="","",IF(COUNTIFS(Prior_Forecast!$A:$A,$B$786,Prior_Forecast!$B:$B,$D$786)&gt;0,SUMIFS(Prior_Forecast!$J:$J,Prior_Forecast!$A:$A,$B$786,Prior_Forecast!$B:$B,$D$786),""))</f>
        <v/>
      </c>
      <c r="P791" s="37">
        <f>IF($B$786="","",IF(COUNTIFS(Prior_Forecast!$A:$A,$B$786,Prior_Forecast!$B:$B,$D$786)&gt;0,SUMIFS(Prior_Forecast!$K:$K,Prior_Forecast!$A:$A,$B$786,Prior_Forecast!$B:$B,$D$786),""))</f>
        <v/>
      </c>
      <c r="Q791" s="37">
        <f>IF($B$786="","",IF(COUNTIFS(Prior_Forecast!$A:$A,$B$786,Prior_Forecast!$B:$B,$D$786)&gt;0,SUMIFS(Prior_Forecast!$L:$L,Prior_Forecast!$A:$A,$B$786,Prior_Forecast!$B:$B,$D$786),""))</f>
        <v/>
      </c>
      <c r="R791" s="37">
        <f>IF($B$786="","",IF(COUNTIFS(Prior_Forecast!$A:$A,$B$786,Prior_Forecast!$B:$B,$D$786)&gt;0,SUMIFS(Prior_Forecast!$M:$M,Prior_Forecast!$A:$A,$B$786,Prior_Forecast!$B:$B,$D$786),""))</f>
        <v/>
      </c>
      <c r="S791" s="37">
        <f>IF($B$786="","",IF(COUNTIFS(Prior_Forecast!$A:$A,$B$786,Prior_Forecast!$B:$B,$D$786)&gt;0,SUMIFS(Prior_Forecast!$N:$N,Prior_Forecast!$A:$A,$B$786,Prior_Forecast!$B:$B,$D$786),""))</f>
        <v/>
      </c>
      <c r="T791" s="37">
        <f>IF($B$786="","",IF(COUNTIFS(Prior_Forecast!$A:$A,$B$786,Prior_Forecast!$B:$B,$D$786)&gt;0,SUMIFS(Prior_Forecast!$O:$O,Prior_Forecast!$A:$A,$B$786,Prior_Forecast!$B:$B,$D$786),""))</f>
        <v/>
      </c>
      <c r="U791" s="37">
        <f>IF($B$786="","",IF(COUNTIFS(Prior_Forecast!$A:$A,$B$786,Prior_Forecast!$B:$B,$D$786)&gt;0,SUMIFS(Prior_Forecast!$P:$P,Prior_Forecast!$A:$A,$B$786,Prior_Forecast!$B:$B,$D$786),""))</f>
        <v/>
      </c>
      <c r="V791" s="37">
        <f>IF($B$786="","",IF(COUNTIFS(Prior_Forecast!$A:$A,$B$786,Prior_Forecast!$B:$B,$D$786)&gt;0,SUMIFS(Prior_Forecast!$Q:$Q,Prior_Forecast!$A:$A,$B$786,Prior_Forecast!$B:$B,$D$786),""))</f>
        <v/>
      </c>
      <c r="X791" s="22">
        <f>IF($B791="","",IFERROR(INDEX(Cost_Centers!$E:$E,MATCH($B791,Cost_Centers!$A:$A,0)),"(unknown)"))</f>
        <v/>
      </c>
      <c r="Y791" s="22">
        <f>IF($B791="","",IFERROR(INDEX(Cost_Centers!$D:$D,MATCH($B791,Cost_Centers!$A:$A,0)),"(unknown)"))</f>
        <v/>
      </c>
      <c r="Z791" s="22">
        <f>IF(OR($B791="",$G791&lt;&gt;"Variance vs Budget"),"",ABS(N($V791))+ROW()/1000000000)</f>
        <v/>
      </c>
    </row>
    <row r="792">
      <c r="A792" s="13">
        <f>IF(A$786="","",A$786)</f>
        <v/>
      </c>
      <c r="B792" s="13">
        <f>IF(B$786="","",B$786)</f>
        <v/>
      </c>
      <c r="C792" s="13">
        <f>IF(C$786="","",C$786)</f>
        <v/>
      </c>
      <c r="D792" s="13">
        <f>IF(D$786="","",D$786)</f>
        <v/>
      </c>
      <c r="E792" s="13">
        <f>IF(E$786="","",E$786)</f>
        <v/>
      </c>
      <c r="F792" s="13">
        <f>IF(F$786="","",F$786)</f>
        <v/>
      </c>
      <c r="G792" s="6" t="inlineStr">
        <is>
          <t>Variance vs Prior Month</t>
        </is>
      </c>
      <c r="H792" s="33">
        <f>IF(OR($B$786="",H791=""),"",H790-H791)</f>
        <v/>
      </c>
      <c r="I792" s="33">
        <f>IF(OR($B$786="",I791=""),"",I790-I791)</f>
        <v/>
      </c>
      <c r="J792" s="33">
        <f>IF(OR($B$786="",J791=""),"",J790-J791)</f>
        <v/>
      </c>
      <c r="K792" s="33">
        <f>IF(OR($B$786="",K791=""),"",K790-K791)</f>
        <v/>
      </c>
      <c r="L792" s="33">
        <f>IF(OR($B$786="",L791=""),"",L790-L791)</f>
        <v/>
      </c>
      <c r="M792" s="33">
        <f>IF(OR($B$786="",M791=""),"",M790-M791)</f>
        <v/>
      </c>
      <c r="N792" s="33">
        <f>IF(OR($B$786="",N791=""),"",N790-N791)</f>
        <v/>
      </c>
      <c r="O792" s="33">
        <f>IF(OR($B$786="",O791=""),"",O790-O791)</f>
        <v/>
      </c>
      <c r="P792" s="33">
        <f>IF(OR($B$786="",P791=""),"",P790-P791)</f>
        <v/>
      </c>
      <c r="Q792" s="33">
        <f>IF(OR($B$786="",Q791=""),"",Q790-Q791)</f>
        <v/>
      </c>
      <c r="R792" s="33">
        <f>IF(OR($B$786="",R791=""),"",R790-R791)</f>
        <v/>
      </c>
      <c r="S792" s="33">
        <f>IF(OR($B$786="",S791=""),"",S790-S791)</f>
        <v/>
      </c>
      <c r="T792" s="33">
        <f>IF(OR($B$786="",T791=""),"",T790-T791)</f>
        <v/>
      </c>
      <c r="U792" s="33">
        <f>IF(OR($B$786="",U791=""),"",U790-U791)</f>
        <v/>
      </c>
      <c r="V792" s="33">
        <f>IF(OR($B$786="",V791=""),"",V790-V791)</f>
        <v/>
      </c>
      <c r="X792" s="22">
        <f>IF($B792="","",IFERROR(INDEX(Cost_Centers!$E:$E,MATCH($B792,Cost_Centers!$A:$A,0)),"(unknown)"))</f>
        <v/>
      </c>
      <c r="Y792" s="22">
        <f>IF($B792="","",IFERROR(INDEX(Cost_Centers!$D:$D,MATCH($B792,Cost_Centers!$A:$A,0)),"(unknown)"))</f>
        <v/>
      </c>
      <c r="Z792" s="22">
        <f>IF(OR($B792="",$G792&lt;&gt;"Variance vs Budget"),"",ABS(N($V792))+ROW()/1000000000)</f>
        <v/>
      </c>
    </row>
    <row r="793" ht="45" customHeight="1">
      <c r="A793" s="13">
        <f>IF(A$786="","",A$786)</f>
        <v/>
      </c>
      <c r="B793" s="13">
        <f>IF(B$786="","",B$786)</f>
        <v/>
      </c>
      <c r="C793" s="13">
        <f>IF(C$786="","",C$786)</f>
        <v/>
      </c>
      <c r="D793" s="13">
        <f>IF(D$786="","",D$786)</f>
        <v/>
      </c>
      <c r="E793" s="13">
        <f>IF(E$786="","",E$786)</f>
        <v/>
      </c>
      <c r="F793" s="13">
        <f>IF(F$786="","",F$786)</f>
        <v/>
      </c>
      <c r="G793" s="7" t="inlineStr">
        <is>
          <t>Rationale</t>
        </is>
      </c>
      <c r="H793" s="38" t="n"/>
      <c r="I793" s="38" t="n"/>
      <c r="J793" s="38" t="n"/>
      <c r="K793" s="38" t="n"/>
      <c r="L793" s="38" t="n"/>
      <c r="M793" s="38" t="n"/>
      <c r="N793" s="38" t="n"/>
      <c r="O793" s="38" t="n"/>
      <c r="P793" s="38" t="n"/>
      <c r="Q793" s="38" t="n"/>
      <c r="R793" s="38" t="n"/>
      <c r="S793" s="38" t="n"/>
      <c r="T793" s="38" t="n"/>
      <c r="U793" s="38" t="n"/>
      <c r="V793" s="7" t="n"/>
      <c r="X793" s="22">
        <f>IF($B793="","",IFERROR(INDEX(Cost_Centers!$E:$E,MATCH($B793,Cost_Centers!$A:$A,0)),"(unknown)"))</f>
        <v/>
      </c>
      <c r="Y793" s="22">
        <f>IF($B793="","",IFERROR(INDEX(Cost_Centers!$D:$D,MATCH($B793,Cost_Centers!$A:$A,0)),"(unknown)"))</f>
        <v/>
      </c>
      <c r="Z793" s="22">
        <f>IF(OR($B793="",$G793&lt;&gt;"Variance vs Budget"),"",ABS(N($V793))+ROW()/1000000000)</f>
        <v/>
      </c>
    </row>
    <row r="794">
      <c r="A794" s="30">
        <f>IF($D$794="","",LEFT($D$794,FIND("|",$D$794&amp;"|")-1))</f>
        <v/>
      </c>
      <c r="B794" s="31" t="n"/>
      <c r="C794" s="30">
        <f>IF($B$794="","",IFERROR(INDEX(Cost_Centers!$B:$B,MATCH($B$794,Cost_Centers!$A:$A,0)),"(not in master)"))</f>
        <v/>
      </c>
      <c r="D794" s="31" t="n"/>
      <c r="E794" s="30">
        <f>IF($D$794="","",IFERROR(INDEX(Accounts!$D:$D,MATCH($D$794,Accounts!$A:$A,0)),"(not in master)"))</f>
        <v/>
      </c>
      <c r="F794" s="31" t="n"/>
      <c r="G794" s="30" t="inlineStr">
        <is>
          <t>Budget</t>
        </is>
      </c>
      <c r="H794" s="32">
        <f>IF($B$794="","",SUMIFS(Opex_Budget!$O:$O,Opex_Budget!$A:$A,$C$3,Opex_Budget!$E:$E,$B$794,Opex_Budget!$F:$F,$D$794,Opex_Budget!$N:$N,"JPY")*$E$5+SUMIFS(Opex_Budget!$O:$O,Opex_Budget!$A:$A,$C$3,Opex_Budget!$E:$E,$B$794,Opex_Budget!$F:$F,$D$794,Opex_Budget!$N:$N,"USD")*$F$5+SUMIFS(Opex_Budget!$O:$O,Opex_Budget!$A:$A,$C$3,Opex_Budget!$E:$E,$B$794,Opex_Budget!$F:$F,$D$794,Opex_Budget!$N:$N,"EUR")*$G$5+SUMIFS(Opex_Budget!$O:$O,Opex_Budget!$A:$A,$C$3,Opex_Budget!$E:$E,$B$794,Opex_Budget!$F:$F,$D$794,Opex_Budget!$N:$N,"GBP")*$H$5)</f>
        <v/>
      </c>
      <c r="I794" s="32">
        <f>IF($B$794="","",SUMIFS(Opex_Budget!$P:$P,Opex_Budget!$A:$A,$C$3,Opex_Budget!$E:$E,$B$794,Opex_Budget!$F:$F,$D$794,Opex_Budget!$N:$N,"JPY")*$E$5+SUMIFS(Opex_Budget!$P:$P,Opex_Budget!$A:$A,$C$3,Opex_Budget!$E:$E,$B$794,Opex_Budget!$F:$F,$D$794,Opex_Budget!$N:$N,"USD")*$F$5+SUMIFS(Opex_Budget!$P:$P,Opex_Budget!$A:$A,$C$3,Opex_Budget!$E:$E,$B$794,Opex_Budget!$F:$F,$D$794,Opex_Budget!$N:$N,"EUR")*$G$5+SUMIFS(Opex_Budget!$P:$P,Opex_Budget!$A:$A,$C$3,Opex_Budget!$E:$E,$B$794,Opex_Budget!$F:$F,$D$794,Opex_Budget!$N:$N,"GBP")*$H$5)</f>
        <v/>
      </c>
      <c r="J794" s="32">
        <f>IF($B$794="","",SUMIFS(Opex_Budget!$Q:$Q,Opex_Budget!$A:$A,$C$3,Opex_Budget!$E:$E,$B$794,Opex_Budget!$F:$F,$D$794,Opex_Budget!$N:$N,"JPY")*$E$5+SUMIFS(Opex_Budget!$Q:$Q,Opex_Budget!$A:$A,$C$3,Opex_Budget!$E:$E,$B$794,Opex_Budget!$F:$F,$D$794,Opex_Budget!$N:$N,"USD")*$F$5+SUMIFS(Opex_Budget!$Q:$Q,Opex_Budget!$A:$A,$C$3,Opex_Budget!$E:$E,$B$794,Opex_Budget!$F:$F,$D$794,Opex_Budget!$N:$N,"EUR")*$G$5+SUMIFS(Opex_Budget!$Q:$Q,Opex_Budget!$A:$A,$C$3,Opex_Budget!$E:$E,$B$794,Opex_Budget!$F:$F,$D$794,Opex_Budget!$N:$N,"GBP")*$H$5)</f>
        <v/>
      </c>
      <c r="K794" s="32">
        <f>IF($B$794="","",SUMIFS(Opex_Budget!$R:$R,Opex_Budget!$A:$A,$C$3,Opex_Budget!$E:$E,$B$794,Opex_Budget!$F:$F,$D$794,Opex_Budget!$N:$N,"JPY")*$E$5+SUMIFS(Opex_Budget!$R:$R,Opex_Budget!$A:$A,$C$3,Opex_Budget!$E:$E,$B$794,Opex_Budget!$F:$F,$D$794,Opex_Budget!$N:$N,"USD")*$F$5+SUMIFS(Opex_Budget!$R:$R,Opex_Budget!$A:$A,$C$3,Opex_Budget!$E:$E,$B$794,Opex_Budget!$F:$F,$D$794,Opex_Budget!$N:$N,"EUR")*$G$5+SUMIFS(Opex_Budget!$R:$R,Opex_Budget!$A:$A,$C$3,Opex_Budget!$E:$E,$B$794,Opex_Budget!$F:$F,$D$794,Opex_Budget!$N:$N,"GBP")*$H$5)</f>
        <v/>
      </c>
      <c r="L794" s="32">
        <f>IF($B$794="","",SUMIFS(Opex_Budget!$S:$S,Opex_Budget!$A:$A,$C$3,Opex_Budget!$E:$E,$B$794,Opex_Budget!$F:$F,$D$794,Opex_Budget!$N:$N,"JPY")*$E$5+SUMIFS(Opex_Budget!$S:$S,Opex_Budget!$A:$A,$C$3,Opex_Budget!$E:$E,$B$794,Opex_Budget!$F:$F,$D$794,Opex_Budget!$N:$N,"USD")*$F$5+SUMIFS(Opex_Budget!$S:$S,Opex_Budget!$A:$A,$C$3,Opex_Budget!$E:$E,$B$794,Opex_Budget!$F:$F,$D$794,Opex_Budget!$N:$N,"EUR")*$G$5+SUMIFS(Opex_Budget!$S:$S,Opex_Budget!$A:$A,$C$3,Opex_Budget!$E:$E,$B$794,Opex_Budget!$F:$F,$D$794,Opex_Budget!$N:$N,"GBP")*$H$5)</f>
        <v/>
      </c>
      <c r="M794" s="32">
        <f>IF($B$794="","",SUMIFS(Opex_Budget!$T:$T,Opex_Budget!$A:$A,$C$3,Opex_Budget!$E:$E,$B$794,Opex_Budget!$F:$F,$D$794,Opex_Budget!$N:$N,"JPY")*$E$5+SUMIFS(Opex_Budget!$T:$T,Opex_Budget!$A:$A,$C$3,Opex_Budget!$E:$E,$B$794,Opex_Budget!$F:$F,$D$794,Opex_Budget!$N:$N,"USD")*$F$5+SUMIFS(Opex_Budget!$T:$T,Opex_Budget!$A:$A,$C$3,Opex_Budget!$E:$E,$B$794,Opex_Budget!$F:$F,$D$794,Opex_Budget!$N:$N,"EUR")*$G$5+SUMIFS(Opex_Budget!$T:$T,Opex_Budget!$A:$A,$C$3,Opex_Budget!$E:$E,$B$794,Opex_Budget!$F:$F,$D$794,Opex_Budget!$N:$N,"GBP")*$H$5)</f>
        <v/>
      </c>
      <c r="N794" s="32">
        <f>IF($B$794="","",SUMIFS(Opex_Budget!$U:$U,Opex_Budget!$A:$A,$C$3,Opex_Budget!$E:$E,$B$794,Opex_Budget!$F:$F,$D$794,Opex_Budget!$N:$N,"JPY")*$E$5+SUMIFS(Opex_Budget!$U:$U,Opex_Budget!$A:$A,$C$3,Opex_Budget!$E:$E,$B$794,Opex_Budget!$F:$F,$D$794,Opex_Budget!$N:$N,"USD")*$F$5+SUMIFS(Opex_Budget!$U:$U,Opex_Budget!$A:$A,$C$3,Opex_Budget!$E:$E,$B$794,Opex_Budget!$F:$F,$D$794,Opex_Budget!$N:$N,"EUR")*$G$5+SUMIFS(Opex_Budget!$U:$U,Opex_Budget!$A:$A,$C$3,Opex_Budget!$E:$E,$B$794,Opex_Budget!$F:$F,$D$794,Opex_Budget!$N:$N,"GBP")*$H$5)</f>
        <v/>
      </c>
      <c r="O794" s="32">
        <f>IF($B$794="","",SUMIFS(Opex_Budget!$V:$V,Opex_Budget!$A:$A,$C$3,Opex_Budget!$E:$E,$B$794,Opex_Budget!$F:$F,$D$794,Opex_Budget!$N:$N,"JPY")*$E$5+SUMIFS(Opex_Budget!$V:$V,Opex_Budget!$A:$A,$C$3,Opex_Budget!$E:$E,$B$794,Opex_Budget!$F:$F,$D$794,Opex_Budget!$N:$N,"USD")*$F$5+SUMIFS(Opex_Budget!$V:$V,Opex_Budget!$A:$A,$C$3,Opex_Budget!$E:$E,$B$794,Opex_Budget!$F:$F,$D$794,Opex_Budget!$N:$N,"EUR")*$G$5+SUMIFS(Opex_Budget!$V:$V,Opex_Budget!$A:$A,$C$3,Opex_Budget!$E:$E,$B$794,Opex_Budget!$F:$F,$D$794,Opex_Budget!$N:$N,"GBP")*$H$5)</f>
        <v/>
      </c>
      <c r="P794" s="32">
        <f>IF($B$794="","",SUMIFS(Opex_Budget!$W:$W,Opex_Budget!$A:$A,$C$3,Opex_Budget!$E:$E,$B$794,Opex_Budget!$F:$F,$D$794,Opex_Budget!$N:$N,"JPY")*$E$5+SUMIFS(Opex_Budget!$W:$W,Opex_Budget!$A:$A,$C$3,Opex_Budget!$E:$E,$B$794,Opex_Budget!$F:$F,$D$794,Opex_Budget!$N:$N,"USD")*$F$5+SUMIFS(Opex_Budget!$W:$W,Opex_Budget!$A:$A,$C$3,Opex_Budget!$E:$E,$B$794,Opex_Budget!$F:$F,$D$794,Opex_Budget!$N:$N,"EUR")*$G$5+SUMIFS(Opex_Budget!$W:$W,Opex_Budget!$A:$A,$C$3,Opex_Budget!$E:$E,$B$794,Opex_Budget!$F:$F,$D$794,Opex_Budget!$N:$N,"GBP")*$H$5)</f>
        <v/>
      </c>
      <c r="Q794" s="32">
        <f>IF($B$794="","",SUMIFS(Opex_Budget!$X:$X,Opex_Budget!$A:$A,$C$3,Opex_Budget!$E:$E,$B$794,Opex_Budget!$F:$F,$D$794,Opex_Budget!$N:$N,"JPY")*$E$5+SUMIFS(Opex_Budget!$X:$X,Opex_Budget!$A:$A,$C$3,Opex_Budget!$E:$E,$B$794,Opex_Budget!$F:$F,$D$794,Opex_Budget!$N:$N,"USD")*$F$5+SUMIFS(Opex_Budget!$X:$X,Opex_Budget!$A:$A,$C$3,Opex_Budget!$E:$E,$B$794,Opex_Budget!$F:$F,$D$794,Opex_Budget!$N:$N,"EUR")*$G$5+SUMIFS(Opex_Budget!$X:$X,Opex_Budget!$A:$A,$C$3,Opex_Budget!$E:$E,$B$794,Opex_Budget!$F:$F,$D$794,Opex_Budget!$N:$N,"GBP")*$H$5)</f>
        <v/>
      </c>
      <c r="R794" s="32">
        <f>IF($B$794="","",SUMIFS(Opex_Budget!$Y:$Y,Opex_Budget!$A:$A,$C$3,Opex_Budget!$E:$E,$B$794,Opex_Budget!$F:$F,$D$794,Opex_Budget!$N:$N,"JPY")*$E$5+SUMIFS(Opex_Budget!$Y:$Y,Opex_Budget!$A:$A,$C$3,Opex_Budget!$E:$E,$B$794,Opex_Budget!$F:$F,$D$794,Opex_Budget!$N:$N,"USD")*$F$5+SUMIFS(Opex_Budget!$Y:$Y,Opex_Budget!$A:$A,$C$3,Opex_Budget!$E:$E,$B$794,Opex_Budget!$F:$F,$D$794,Opex_Budget!$N:$N,"EUR")*$G$5+SUMIFS(Opex_Budget!$Y:$Y,Opex_Budget!$A:$A,$C$3,Opex_Budget!$E:$E,$B$794,Opex_Budget!$F:$F,$D$794,Opex_Budget!$N:$N,"GBP")*$H$5)</f>
        <v/>
      </c>
      <c r="S794" s="32">
        <f>IF($B$794="","",SUMIFS(Opex_Budget!$Z:$Z,Opex_Budget!$A:$A,$C$3,Opex_Budget!$E:$E,$B$794,Opex_Budget!$F:$F,$D$794,Opex_Budget!$N:$N,"JPY")*$E$5+SUMIFS(Opex_Budget!$Z:$Z,Opex_Budget!$A:$A,$C$3,Opex_Budget!$E:$E,$B$794,Opex_Budget!$F:$F,$D$794,Opex_Budget!$N:$N,"USD")*$F$5+SUMIFS(Opex_Budget!$Z:$Z,Opex_Budget!$A:$A,$C$3,Opex_Budget!$E:$E,$B$794,Opex_Budget!$F:$F,$D$794,Opex_Budget!$N:$N,"EUR")*$G$5+SUMIFS(Opex_Budget!$Z:$Z,Opex_Budget!$A:$A,$C$3,Opex_Budget!$E:$E,$B$794,Opex_Budget!$F:$F,$D$794,Opex_Budget!$N:$N,"GBP")*$H$5)</f>
        <v/>
      </c>
      <c r="T794" s="32">
        <f>IF($B$794="","",SUMIF($H$7:$S$7,"&lt;="&amp;$C$4,$H794:$S794))</f>
        <v/>
      </c>
      <c r="U794" s="32">
        <f>IF($B$794="","",SUMIF($H$7:$S$7,"&gt;"&amp;$C$4,$H794:$S794))</f>
        <v/>
      </c>
      <c r="V794" s="32">
        <f>IF($B$794="","",SUM($H794:$S794))</f>
        <v/>
      </c>
      <c r="X794" s="22">
        <f>IF($B794="","",IFERROR(INDEX(Cost_Centers!$E:$E,MATCH($B794,Cost_Centers!$A:$A,0)),"(unknown)"))</f>
        <v/>
      </c>
      <c r="Y794" s="22">
        <f>IF($B794="","",IFERROR(INDEX(Cost_Centers!$D:$D,MATCH($B794,Cost_Centers!$A:$A,0)),"(unknown)"))</f>
        <v/>
      </c>
      <c r="Z794" s="22">
        <f>IF(OR($B794="",$G794&lt;&gt;"Variance vs Budget"),"",ABS(N($V794))+ROW()/1000000000)</f>
        <v/>
      </c>
    </row>
    <row r="795">
      <c r="A795" s="13">
        <f>IF(A$794="","",A$794)</f>
        <v/>
      </c>
      <c r="B795" s="13">
        <f>IF(B$794="","",B$794)</f>
        <v/>
      </c>
      <c r="C795" s="13">
        <f>IF(C$794="","",C$794)</f>
        <v/>
      </c>
      <c r="D795" s="13">
        <f>IF(D$794="","",D$794)</f>
        <v/>
      </c>
      <c r="E795" s="13">
        <f>IF(E$794="","",E$794)</f>
        <v/>
      </c>
      <c r="F795" s="13">
        <f>IF(F$794="","",F$794)</f>
        <v/>
      </c>
      <c r="G795" s="7" t="inlineStr">
        <is>
          <t>Actual</t>
        </is>
      </c>
      <c r="H795" s="18">
        <f>IF(OR($B$794="",1&gt;$C$4),"",SUMIFS(Actuals!$G:$G,Actuals!$B:$B,$C$3,Actuals!$C:$C,1,Actuals!$D:$D,$B$794,Actuals!$A:$A,LEFT($D$794,FIND("|",$D$794&amp;"|")-1),Actuals!$E:$E,MID($D$794,FIND("|",$D$794&amp;"|")+1,50),Actuals!$F:$F,"JPY")*$E$5+SUMIFS(Actuals!$G:$G,Actuals!$B:$B,$C$3,Actuals!$C:$C,1,Actuals!$D:$D,$B$794,Actuals!$A:$A,LEFT($D$794,FIND("|",$D$794&amp;"|")-1),Actuals!$E:$E,MID($D$794,FIND("|",$D$794&amp;"|")+1,50),Actuals!$F:$F,"USD")*$F$5+SUMIFS(Actuals!$G:$G,Actuals!$B:$B,$C$3,Actuals!$C:$C,1,Actuals!$D:$D,$B$794,Actuals!$A:$A,LEFT($D$794,FIND("|",$D$794&amp;"|")-1),Actuals!$E:$E,MID($D$794,FIND("|",$D$794&amp;"|")+1,50),Actuals!$F:$F,"EUR")*$G$5+SUMIFS(Actuals!$G:$G,Actuals!$B:$B,$C$3,Actuals!$C:$C,1,Actuals!$D:$D,$B$794,Actuals!$A:$A,LEFT($D$794,FIND("|",$D$794&amp;"|")-1),Actuals!$E:$E,MID($D$794,FIND("|",$D$794&amp;"|")+1,50),Actuals!$F:$F,"GBP")*$H$5)</f>
        <v/>
      </c>
      <c r="I795" s="18">
        <f>IF(OR($B$794="",2&gt;$C$4),"",SUMIFS(Actuals!$G:$G,Actuals!$B:$B,$C$3,Actuals!$C:$C,2,Actuals!$D:$D,$B$794,Actuals!$A:$A,LEFT($D$794,FIND("|",$D$794&amp;"|")-1),Actuals!$E:$E,MID($D$794,FIND("|",$D$794&amp;"|")+1,50),Actuals!$F:$F,"JPY")*$E$5+SUMIFS(Actuals!$G:$G,Actuals!$B:$B,$C$3,Actuals!$C:$C,2,Actuals!$D:$D,$B$794,Actuals!$A:$A,LEFT($D$794,FIND("|",$D$794&amp;"|")-1),Actuals!$E:$E,MID($D$794,FIND("|",$D$794&amp;"|")+1,50),Actuals!$F:$F,"USD")*$F$5+SUMIFS(Actuals!$G:$G,Actuals!$B:$B,$C$3,Actuals!$C:$C,2,Actuals!$D:$D,$B$794,Actuals!$A:$A,LEFT($D$794,FIND("|",$D$794&amp;"|")-1),Actuals!$E:$E,MID($D$794,FIND("|",$D$794&amp;"|")+1,50),Actuals!$F:$F,"EUR")*$G$5+SUMIFS(Actuals!$G:$G,Actuals!$B:$B,$C$3,Actuals!$C:$C,2,Actuals!$D:$D,$B$794,Actuals!$A:$A,LEFT($D$794,FIND("|",$D$794&amp;"|")-1),Actuals!$E:$E,MID($D$794,FIND("|",$D$794&amp;"|")+1,50),Actuals!$F:$F,"GBP")*$H$5)</f>
        <v/>
      </c>
      <c r="J795" s="18">
        <f>IF(OR($B$794="",3&gt;$C$4),"",SUMIFS(Actuals!$G:$G,Actuals!$B:$B,$C$3,Actuals!$C:$C,3,Actuals!$D:$D,$B$794,Actuals!$A:$A,LEFT($D$794,FIND("|",$D$794&amp;"|")-1),Actuals!$E:$E,MID($D$794,FIND("|",$D$794&amp;"|")+1,50),Actuals!$F:$F,"JPY")*$E$5+SUMIFS(Actuals!$G:$G,Actuals!$B:$B,$C$3,Actuals!$C:$C,3,Actuals!$D:$D,$B$794,Actuals!$A:$A,LEFT($D$794,FIND("|",$D$794&amp;"|")-1),Actuals!$E:$E,MID($D$794,FIND("|",$D$794&amp;"|")+1,50),Actuals!$F:$F,"USD")*$F$5+SUMIFS(Actuals!$G:$G,Actuals!$B:$B,$C$3,Actuals!$C:$C,3,Actuals!$D:$D,$B$794,Actuals!$A:$A,LEFT($D$794,FIND("|",$D$794&amp;"|")-1),Actuals!$E:$E,MID($D$794,FIND("|",$D$794&amp;"|")+1,50),Actuals!$F:$F,"EUR")*$G$5+SUMIFS(Actuals!$G:$G,Actuals!$B:$B,$C$3,Actuals!$C:$C,3,Actuals!$D:$D,$B$794,Actuals!$A:$A,LEFT($D$794,FIND("|",$D$794&amp;"|")-1),Actuals!$E:$E,MID($D$794,FIND("|",$D$794&amp;"|")+1,50),Actuals!$F:$F,"GBP")*$H$5)</f>
        <v/>
      </c>
      <c r="K795" s="18">
        <f>IF(OR($B$794="",4&gt;$C$4),"",SUMIFS(Actuals!$G:$G,Actuals!$B:$B,$C$3,Actuals!$C:$C,4,Actuals!$D:$D,$B$794,Actuals!$A:$A,LEFT($D$794,FIND("|",$D$794&amp;"|")-1),Actuals!$E:$E,MID($D$794,FIND("|",$D$794&amp;"|")+1,50),Actuals!$F:$F,"JPY")*$E$5+SUMIFS(Actuals!$G:$G,Actuals!$B:$B,$C$3,Actuals!$C:$C,4,Actuals!$D:$D,$B$794,Actuals!$A:$A,LEFT($D$794,FIND("|",$D$794&amp;"|")-1),Actuals!$E:$E,MID($D$794,FIND("|",$D$794&amp;"|")+1,50),Actuals!$F:$F,"USD")*$F$5+SUMIFS(Actuals!$G:$G,Actuals!$B:$B,$C$3,Actuals!$C:$C,4,Actuals!$D:$D,$B$794,Actuals!$A:$A,LEFT($D$794,FIND("|",$D$794&amp;"|")-1),Actuals!$E:$E,MID($D$794,FIND("|",$D$794&amp;"|")+1,50),Actuals!$F:$F,"EUR")*$G$5+SUMIFS(Actuals!$G:$G,Actuals!$B:$B,$C$3,Actuals!$C:$C,4,Actuals!$D:$D,$B$794,Actuals!$A:$A,LEFT($D$794,FIND("|",$D$794&amp;"|")-1),Actuals!$E:$E,MID($D$794,FIND("|",$D$794&amp;"|")+1,50),Actuals!$F:$F,"GBP")*$H$5)</f>
        <v/>
      </c>
      <c r="L795" s="18">
        <f>IF(OR($B$794="",5&gt;$C$4),"",SUMIFS(Actuals!$G:$G,Actuals!$B:$B,$C$3,Actuals!$C:$C,5,Actuals!$D:$D,$B$794,Actuals!$A:$A,LEFT($D$794,FIND("|",$D$794&amp;"|")-1),Actuals!$E:$E,MID($D$794,FIND("|",$D$794&amp;"|")+1,50),Actuals!$F:$F,"JPY")*$E$5+SUMIFS(Actuals!$G:$G,Actuals!$B:$B,$C$3,Actuals!$C:$C,5,Actuals!$D:$D,$B$794,Actuals!$A:$A,LEFT($D$794,FIND("|",$D$794&amp;"|")-1),Actuals!$E:$E,MID($D$794,FIND("|",$D$794&amp;"|")+1,50),Actuals!$F:$F,"USD")*$F$5+SUMIFS(Actuals!$G:$G,Actuals!$B:$B,$C$3,Actuals!$C:$C,5,Actuals!$D:$D,$B$794,Actuals!$A:$A,LEFT($D$794,FIND("|",$D$794&amp;"|")-1),Actuals!$E:$E,MID($D$794,FIND("|",$D$794&amp;"|")+1,50),Actuals!$F:$F,"EUR")*$G$5+SUMIFS(Actuals!$G:$G,Actuals!$B:$B,$C$3,Actuals!$C:$C,5,Actuals!$D:$D,$B$794,Actuals!$A:$A,LEFT($D$794,FIND("|",$D$794&amp;"|")-1),Actuals!$E:$E,MID($D$794,FIND("|",$D$794&amp;"|")+1,50),Actuals!$F:$F,"GBP")*$H$5)</f>
        <v/>
      </c>
      <c r="M795" s="18">
        <f>IF(OR($B$794="",6&gt;$C$4),"",SUMIFS(Actuals!$G:$G,Actuals!$B:$B,$C$3,Actuals!$C:$C,6,Actuals!$D:$D,$B$794,Actuals!$A:$A,LEFT($D$794,FIND("|",$D$794&amp;"|")-1),Actuals!$E:$E,MID($D$794,FIND("|",$D$794&amp;"|")+1,50),Actuals!$F:$F,"JPY")*$E$5+SUMIFS(Actuals!$G:$G,Actuals!$B:$B,$C$3,Actuals!$C:$C,6,Actuals!$D:$D,$B$794,Actuals!$A:$A,LEFT($D$794,FIND("|",$D$794&amp;"|")-1),Actuals!$E:$E,MID($D$794,FIND("|",$D$794&amp;"|")+1,50),Actuals!$F:$F,"USD")*$F$5+SUMIFS(Actuals!$G:$G,Actuals!$B:$B,$C$3,Actuals!$C:$C,6,Actuals!$D:$D,$B$794,Actuals!$A:$A,LEFT($D$794,FIND("|",$D$794&amp;"|")-1),Actuals!$E:$E,MID($D$794,FIND("|",$D$794&amp;"|")+1,50),Actuals!$F:$F,"EUR")*$G$5+SUMIFS(Actuals!$G:$G,Actuals!$B:$B,$C$3,Actuals!$C:$C,6,Actuals!$D:$D,$B$794,Actuals!$A:$A,LEFT($D$794,FIND("|",$D$794&amp;"|")-1),Actuals!$E:$E,MID($D$794,FIND("|",$D$794&amp;"|")+1,50),Actuals!$F:$F,"GBP")*$H$5)</f>
        <v/>
      </c>
      <c r="N795" s="18">
        <f>IF(OR($B$794="",7&gt;$C$4),"",SUMIFS(Actuals!$G:$G,Actuals!$B:$B,$C$3,Actuals!$C:$C,7,Actuals!$D:$D,$B$794,Actuals!$A:$A,LEFT($D$794,FIND("|",$D$794&amp;"|")-1),Actuals!$E:$E,MID($D$794,FIND("|",$D$794&amp;"|")+1,50),Actuals!$F:$F,"JPY")*$E$5+SUMIFS(Actuals!$G:$G,Actuals!$B:$B,$C$3,Actuals!$C:$C,7,Actuals!$D:$D,$B$794,Actuals!$A:$A,LEFT($D$794,FIND("|",$D$794&amp;"|")-1),Actuals!$E:$E,MID($D$794,FIND("|",$D$794&amp;"|")+1,50),Actuals!$F:$F,"USD")*$F$5+SUMIFS(Actuals!$G:$G,Actuals!$B:$B,$C$3,Actuals!$C:$C,7,Actuals!$D:$D,$B$794,Actuals!$A:$A,LEFT($D$794,FIND("|",$D$794&amp;"|")-1),Actuals!$E:$E,MID($D$794,FIND("|",$D$794&amp;"|")+1,50),Actuals!$F:$F,"EUR")*$G$5+SUMIFS(Actuals!$G:$G,Actuals!$B:$B,$C$3,Actuals!$C:$C,7,Actuals!$D:$D,$B$794,Actuals!$A:$A,LEFT($D$794,FIND("|",$D$794&amp;"|")-1),Actuals!$E:$E,MID($D$794,FIND("|",$D$794&amp;"|")+1,50),Actuals!$F:$F,"GBP")*$H$5)</f>
        <v/>
      </c>
      <c r="O795" s="18">
        <f>IF(OR($B$794="",8&gt;$C$4),"",SUMIFS(Actuals!$G:$G,Actuals!$B:$B,$C$3,Actuals!$C:$C,8,Actuals!$D:$D,$B$794,Actuals!$A:$A,LEFT($D$794,FIND("|",$D$794&amp;"|")-1),Actuals!$E:$E,MID($D$794,FIND("|",$D$794&amp;"|")+1,50),Actuals!$F:$F,"JPY")*$E$5+SUMIFS(Actuals!$G:$G,Actuals!$B:$B,$C$3,Actuals!$C:$C,8,Actuals!$D:$D,$B$794,Actuals!$A:$A,LEFT($D$794,FIND("|",$D$794&amp;"|")-1),Actuals!$E:$E,MID($D$794,FIND("|",$D$794&amp;"|")+1,50),Actuals!$F:$F,"USD")*$F$5+SUMIFS(Actuals!$G:$G,Actuals!$B:$B,$C$3,Actuals!$C:$C,8,Actuals!$D:$D,$B$794,Actuals!$A:$A,LEFT($D$794,FIND("|",$D$794&amp;"|")-1),Actuals!$E:$E,MID($D$794,FIND("|",$D$794&amp;"|")+1,50),Actuals!$F:$F,"EUR")*$G$5+SUMIFS(Actuals!$G:$G,Actuals!$B:$B,$C$3,Actuals!$C:$C,8,Actuals!$D:$D,$B$794,Actuals!$A:$A,LEFT($D$794,FIND("|",$D$794&amp;"|")-1),Actuals!$E:$E,MID($D$794,FIND("|",$D$794&amp;"|")+1,50),Actuals!$F:$F,"GBP")*$H$5)</f>
        <v/>
      </c>
      <c r="P795" s="18">
        <f>IF(OR($B$794="",9&gt;$C$4),"",SUMIFS(Actuals!$G:$G,Actuals!$B:$B,$C$3,Actuals!$C:$C,9,Actuals!$D:$D,$B$794,Actuals!$A:$A,LEFT($D$794,FIND("|",$D$794&amp;"|")-1),Actuals!$E:$E,MID($D$794,FIND("|",$D$794&amp;"|")+1,50),Actuals!$F:$F,"JPY")*$E$5+SUMIFS(Actuals!$G:$G,Actuals!$B:$B,$C$3,Actuals!$C:$C,9,Actuals!$D:$D,$B$794,Actuals!$A:$A,LEFT($D$794,FIND("|",$D$794&amp;"|")-1),Actuals!$E:$E,MID($D$794,FIND("|",$D$794&amp;"|")+1,50),Actuals!$F:$F,"USD")*$F$5+SUMIFS(Actuals!$G:$G,Actuals!$B:$B,$C$3,Actuals!$C:$C,9,Actuals!$D:$D,$B$794,Actuals!$A:$A,LEFT($D$794,FIND("|",$D$794&amp;"|")-1),Actuals!$E:$E,MID($D$794,FIND("|",$D$794&amp;"|")+1,50),Actuals!$F:$F,"EUR")*$G$5+SUMIFS(Actuals!$G:$G,Actuals!$B:$B,$C$3,Actuals!$C:$C,9,Actuals!$D:$D,$B$794,Actuals!$A:$A,LEFT($D$794,FIND("|",$D$794&amp;"|")-1),Actuals!$E:$E,MID($D$794,FIND("|",$D$794&amp;"|")+1,50),Actuals!$F:$F,"GBP")*$H$5)</f>
        <v/>
      </c>
      <c r="Q795" s="18">
        <f>IF(OR($B$794="",10&gt;$C$4),"",SUMIFS(Actuals!$G:$G,Actuals!$B:$B,$C$3,Actuals!$C:$C,10,Actuals!$D:$D,$B$794,Actuals!$A:$A,LEFT($D$794,FIND("|",$D$794&amp;"|")-1),Actuals!$E:$E,MID($D$794,FIND("|",$D$794&amp;"|")+1,50),Actuals!$F:$F,"JPY")*$E$5+SUMIFS(Actuals!$G:$G,Actuals!$B:$B,$C$3,Actuals!$C:$C,10,Actuals!$D:$D,$B$794,Actuals!$A:$A,LEFT($D$794,FIND("|",$D$794&amp;"|")-1),Actuals!$E:$E,MID($D$794,FIND("|",$D$794&amp;"|")+1,50),Actuals!$F:$F,"USD")*$F$5+SUMIFS(Actuals!$G:$G,Actuals!$B:$B,$C$3,Actuals!$C:$C,10,Actuals!$D:$D,$B$794,Actuals!$A:$A,LEFT($D$794,FIND("|",$D$794&amp;"|")-1),Actuals!$E:$E,MID($D$794,FIND("|",$D$794&amp;"|")+1,50),Actuals!$F:$F,"EUR")*$G$5+SUMIFS(Actuals!$G:$G,Actuals!$B:$B,$C$3,Actuals!$C:$C,10,Actuals!$D:$D,$B$794,Actuals!$A:$A,LEFT($D$794,FIND("|",$D$794&amp;"|")-1),Actuals!$E:$E,MID($D$794,FIND("|",$D$794&amp;"|")+1,50),Actuals!$F:$F,"GBP")*$H$5)</f>
        <v/>
      </c>
      <c r="R795" s="18">
        <f>IF(OR($B$794="",11&gt;$C$4),"",SUMIFS(Actuals!$G:$G,Actuals!$B:$B,$C$3,Actuals!$C:$C,11,Actuals!$D:$D,$B$794,Actuals!$A:$A,LEFT($D$794,FIND("|",$D$794&amp;"|")-1),Actuals!$E:$E,MID($D$794,FIND("|",$D$794&amp;"|")+1,50),Actuals!$F:$F,"JPY")*$E$5+SUMIFS(Actuals!$G:$G,Actuals!$B:$B,$C$3,Actuals!$C:$C,11,Actuals!$D:$D,$B$794,Actuals!$A:$A,LEFT($D$794,FIND("|",$D$794&amp;"|")-1),Actuals!$E:$E,MID($D$794,FIND("|",$D$794&amp;"|")+1,50),Actuals!$F:$F,"USD")*$F$5+SUMIFS(Actuals!$G:$G,Actuals!$B:$B,$C$3,Actuals!$C:$C,11,Actuals!$D:$D,$B$794,Actuals!$A:$A,LEFT($D$794,FIND("|",$D$794&amp;"|")-1),Actuals!$E:$E,MID($D$794,FIND("|",$D$794&amp;"|")+1,50),Actuals!$F:$F,"EUR")*$G$5+SUMIFS(Actuals!$G:$G,Actuals!$B:$B,$C$3,Actuals!$C:$C,11,Actuals!$D:$D,$B$794,Actuals!$A:$A,LEFT($D$794,FIND("|",$D$794&amp;"|")-1),Actuals!$E:$E,MID($D$794,FIND("|",$D$794&amp;"|")+1,50),Actuals!$F:$F,"GBP")*$H$5)</f>
        <v/>
      </c>
      <c r="S795" s="18">
        <f>IF(OR($B$794="",12&gt;$C$4),"",SUMIFS(Actuals!$G:$G,Actuals!$B:$B,$C$3,Actuals!$C:$C,12,Actuals!$D:$D,$B$794,Actuals!$A:$A,LEFT($D$794,FIND("|",$D$794&amp;"|")-1),Actuals!$E:$E,MID($D$794,FIND("|",$D$794&amp;"|")+1,50),Actuals!$F:$F,"JPY")*$E$5+SUMIFS(Actuals!$G:$G,Actuals!$B:$B,$C$3,Actuals!$C:$C,12,Actuals!$D:$D,$B$794,Actuals!$A:$A,LEFT($D$794,FIND("|",$D$794&amp;"|")-1),Actuals!$E:$E,MID($D$794,FIND("|",$D$794&amp;"|")+1,50),Actuals!$F:$F,"USD")*$F$5+SUMIFS(Actuals!$G:$G,Actuals!$B:$B,$C$3,Actuals!$C:$C,12,Actuals!$D:$D,$B$794,Actuals!$A:$A,LEFT($D$794,FIND("|",$D$794&amp;"|")-1),Actuals!$E:$E,MID($D$794,FIND("|",$D$794&amp;"|")+1,50),Actuals!$F:$F,"EUR")*$G$5+SUMIFS(Actuals!$G:$G,Actuals!$B:$B,$C$3,Actuals!$C:$C,12,Actuals!$D:$D,$B$794,Actuals!$A:$A,LEFT($D$794,FIND("|",$D$794&amp;"|")-1),Actuals!$E:$E,MID($D$794,FIND("|",$D$794&amp;"|")+1,50),Actuals!$F:$F,"GBP")*$H$5)</f>
        <v/>
      </c>
      <c r="T795" s="18">
        <f>IF($B$794="","",SUMIF($H$7:$S$7,"&lt;="&amp;$C$4,$H795:$S795))</f>
        <v/>
      </c>
      <c r="U795" s="18" t="n"/>
      <c r="V795" s="18" t="n"/>
      <c r="X795" s="22">
        <f>IF($B795="","",IFERROR(INDEX(Cost_Centers!$E:$E,MATCH($B795,Cost_Centers!$A:$A,0)),"(unknown)"))</f>
        <v/>
      </c>
      <c r="Y795" s="22">
        <f>IF($B795="","",IFERROR(INDEX(Cost_Centers!$D:$D,MATCH($B795,Cost_Centers!$A:$A,0)),"(unknown)"))</f>
        <v/>
      </c>
      <c r="Z795" s="22">
        <f>IF(OR($B795="",$G795&lt;&gt;"Variance vs Budget"),"",ABS(N($V795))+ROW()/1000000000)</f>
        <v/>
      </c>
    </row>
    <row r="796">
      <c r="A796" s="13">
        <f>IF(A$794="","",A$794)</f>
        <v/>
      </c>
      <c r="B796" s="13">
        <f>IF(B$794="","",B$794)</f>
        <v/>
      </c>
      <c r="C796" s="13">
        <f>IF(C$794="","",C$794)</f>
        <v/>
      </c>
      <c r="D796" s="13">
        <f>IF(D$794="","",D$794)</f>
        <v/>
      </c>
      <c r="E796" s="13">
        <f>IF(E$794="","",E$794)</f>
        <v/>
      </c>
      <c r="F796" s="13">
        <f>IF(F$794="","",F$794)</f>
        <v/>
      </c>
      <c r="G796" s="6" t="inlineStr">
        <is>
          <t>Variance vs Budget</t>
        </is>
      </c>
      <c r="H796" s="33">
        <f>IF(OR($B$794="",1&gt;$C$4),"",N(H795)-H794)</f>
        <v/>
      </c>
      <c r="I796" s="33">
        <f>IF(OR($B$794="",2&gt;$C$4),"",N(I795)-I794)</f>
        <v/>
      </c>
      <c r="J796" s="33">
        <f>IF(OR($B$794="",3&gt;$C$4),"",N(J795)-J794)</f>
        <v/>
      </c>
      <c r="K796" s="33">
        <f>IF(OR($B$794="",4&gt;$C$4),"",N(K795)-K794)</f>
        <v/>
      </c>
      <c r="L796" s="33">
        <f>IF(OR($B$794="",5&gt;$C$4),"",N(L795)-L794)</f>
        <v/>
      </c>
      <c r="M796" s="33">
        <f>IF(OR($B$794="",6&gt;$C$4),"",N(M795)-M794)</f>
        <v/>
      </c>
      <c r="N796" s="33">
        <f>IF(OR($B$794="",7&gt;$C$4),"",N(N795)-N794)</f>
        <v/>
      </c>
      <c r="O796" s="33">
        <f>IF(OR($B$794="",8&gt;$C$4),"",N(O795)-O794)</f>
        <v/>
      </c>
      <c r="P796" s="33">
        <f>IF(OR($B$794="",9&gt;$C$4),"",N(P795)-P794)</f>
        <v/>
      </c>
      <c r="Q796" s="33">
        <f>IF(OR($B$794="",10&gt;$C$4),"",N(Q795)-Q794)</f>
        <v/>
      </c>
      <c r="R796" s="33">
        <f>IF(OR($B$794="",11&gt;$C$4),"",N(R795)-R794)</f>
        <v/>
      </c>
      <c r="S796" s="33">
        <f>IF(OR($B$794="",12&gt;$C$4),"",N(S795)-S794)</f>
        <v/>
      </c>
      <c r="T796" s="33">
        <f>IF($B$794="","",T795-T794)</f>
        <v/>
      </c>
      <c r="U796" s="33">
        <f>IF($B$794="","",U798-U794)</f>
        <v/>
      </c>
      <c r="V796" s="33">
        <f>IF($B$794="","",V798-V794)</f>
        <v/>
      </c>
      <c r="X796" s="22">
        <f>IF($B796="","",IFERROR(INDEX(Cost_Centers!$E:$E,MATCH($B796,Cost_Centers!$A:$A,0)),"(unknown)"))</f>
        <v/>
      </c>
      <c r="Y796" s="22">
        <f>IF($B796="","",IFERROR(INDEX(Cost_Centers!$D:$D,MATCH($B796,Cost_Centers!$A:$A,0)),"(unknown)"))</f>
        <v/>
      </c>
      <c r="Z796" s="22">
        <f>IF(OR($B796="",$G796&lt;&gt;"Variance vs Budget"),"",ABS(N($V796))+ROW()/1000000000)</f>
        <v/>
      </c>
    </row>
    <row r="797">
      <c r="A797" s="13">
        <f>IF(A$794="","",A$794)</f>
        <v/>
      </c>
      <c r="B797" s="13">
        <f>IF(B$794="","",B$794)</f>
        <v/>
      </c>
      <c r="C797" s="13">
        <f>IF(C$794="","",C$794)</f>
        <v/>
      </c>
      <c r="D797" s="13">
        <f>IF(D$794="","",D$794)</f>
        <v/>
      </c>
      <c r="E797" s="13">
        <f>IF(E$794="","",E$794)</f>
        <v/>
      </c>
      <c r="F797" s="13">
        <f>IF(F$794="","",F$794)</f>
        <v/>
      </c>
      <c r="G797" s="7" t="inlineStr">
        <is>
          <t>Forecast (input)</t>
        </is>
      </c>
      <c r="H797" s="34" t="n"/>
      <c r="I797" s="34" t="n"/>
      <c r="J797" s="34" t="n"/>
      <c r="K797" s="34" t="n"/>
      <c r="L797" s="34" t="n"/>
      <c r="M797" s="34" t="n"/>
      <c r="N797" s="34" t="n"/>
      <c r="O797" s="34" t="n"/>
      <c r="P797" s="34" t="n"/>
      <c r="Q797" s="34" t="n"/>
      <c r="R797" s="34" t="n"/>
      <c r="S797" s="34" t="n"/>
      <c r="T797" s="18" t="n"/>
      <c r="U797" s="18" t="n"/>
      <c r="V797" s="18" t="n"/>
      <c r="X797" s="22">
        <f>IF($B797="","",IFERROR(INDEX(Cost_Centers!$E:$E,MATCH($B797,Cost_Centers!$A:$A,0)),"(unknown)"))</f>
        <v/>
      </c>
      <c r="Y797" s="22">
        <f>IF($B797="","",IFERROR(INDEX(Cost_Centers!$D:$D,MATCH($B797,Cost_Centers!$A:$A,0)),"(unknown)"))</f>
        <v/>
      </c>
      <c r="Z797" s="22">
        <f>IF(OR($B797="",$G797&lt;&gt;"Variance vs Budget"),"",ABS(N($V797))+ROW()/1000000000)</f>
        <v/>
      </c>
    </row>
    <row r="798">
      <c r="A798" s="13">
        <f>IF(A$794="","",A$794)</f>
        <v/>
      </c>
      <c r="B798" s="13">
        <f>IF(B$794="","",B$794)</f>
        <v/>
      </c>
      <c r="C798" s="13">
        <f>IF(C$794="","",C$794)</f>
        <v/>
      </c>
      <c r="D798" s="13">
        <f>IF(D$794="","",D$794)</f>
        <v/>
      </c>
      <c r="E798" s="13">
        <f>IF(E$794="","",E$794)</f>
        <v/>
      </c>
      <c r="F798" s="13">
        <f>IF(F$794="","",F$794)</f>
        <v/>
      </c>
      <c r="G798" s="35" t="inlineStr">
        <is>
          <t>Actual + Forecast</t>
        </is>
      </c>
      <c r="H798" s="18">
        <f>IF($B$794="","",IF(1&lt;=$C$4,N(H795),IF(H797="",H794,H797)))</f>
        <v/>
      </c>
      <c r="I798" s="18">
        <f>IF($B$794="","",IF(2&lt;=$C$4,N(I795),IF(I797="",I794,I797)))</f>
        <v/>
      </c>
      <c r="J798" s="18">
        <f>IF($B$794="","",IF(3&lt;=$C$4,N(J795),IF(J797="",J794,J797)))</f>
        <v/>
      </c>
      <c r="K798" s="18">
        <f>IF($B$794="","",IF(4&lt;=$C$4,N(K795),IF(K797="",K794,K797)))</f>
        <v/>
      </c>
      <c r="L798" s="18">
        <f>IF($B$794="","",IF(5&lt;=$C$4,N(L795),IF(L797="",L794,L797)))</f>
        <v/>
      </c>
      <c r="M798" s="18">
        <f>IF($B$794="","",IF(6&lt;=$C$4,N(M795),IF(M797="",M794,M797)))</f>
        <v/>
      </c>
      <c r="N798" s="18">
        <f>IF($B$794="","",IF(7&lt;=$C$4,N(N795),IF(N797="",N794,N797)))</f>
        <v/>
      </c>
      <c r="O798" s="18">
        <f>IF($B$794="","",IF(8&lt;=$C$4,N(O795),IF(O797="",O794,O797)))</f>
        <v/>
      </c>
      <c r="P798" s="18">
        <f>IF($B$794="","",IF(9&lt;=$C$4,N(P795),IF(P797="",P794,P797)))</f>
        <v/>
      </c>
      <c r="Q798" s="18">
        <f>IF($B$794="","",IF(10&lt;=$C$4,N(Q795),IF(Q797="",Q794,Q797)))</f>
        <v/>
      </c>
      <c r="R798" s="18">
        <f>IF($B$794="","",IF(11&lt;=$C$4,N(R795),IF(R797="",R794,R797)))</f>
        <v/>
      </c>
      <c r="S798" s="18">
        <f>IF($B$794="","",IF(12&lt;=$C$4,N(S795),IF(S797="",S794,S797)))</f>
        <v/>
      </c>
      <c r="T798" s="18">
        <f>IF($B$794="","",SUMIF($H$7:$S$7,"&lt;="&amp;$C$4,$H798:$S798))</f>
        <v/>
      </c>
      <c r="U798" s="18">
        <f>IF($B$794="","",SUMIF($H$7:$S$7,"&gt;"&amp;$C$4,$H798:$S798))</f>
        <v/>
      </c>
      <c r="V798" s="18">
        <f>IF($B$794="","",SUM($H798:$S798))</f>
        <v/>
      </c>
      <c r="X798" s="22">
        <f>IF($B798="","",IFERROR(INDEX(Cost_Centers!$E:$E,MATCH($B798,Cost_Centers!$A:$A,0)),"(unknown)"))</f>
        <v/>
      </c>
      <c r="Y798" s="22">
        <f>IF($B798="","",IFERROR(INDEX(Cost_Centers!$D:$D,MATCH($B798,Cost_Centers!$A:$A,0)),"(unknown)"))</f>
        <v/>
      </c>
      <c r="Z798" s="22">
        <f>IF(OR($B798="",$G798&lt;&gt;"Variance vs Budget"),"",ABS(N($V798))+ROW()/1000000000)</f>
        <v/>
      </c>
    </row>
    <row r="799">
      <c r="A799" s="13">
        <f>IF(A$794="","",A$794)</f>
        <v/>
      </c>
      <c r="B799" s="13">
        <f>IF(B$794="","",B$794)</f>
        <v/>
      </c>
      <c r="C799" s="13">
        <f>IF(C$794="","",C$794)</f>
        <v/>
      </c>
      <c r="D799" s="13">
        <f>IF(D$794="","",D$794)</f>
        <v/>
      </c>
      <c r="E799" s="13">
        <f>IF(E$794="","",E$794)</f>
        <v/>
      </c>
      <c r="F799" s="13">
        <f>IF(F$794="","",F$794)</f>
        <v/>
      </c>
      <c r="G799" s="36" t="inlineStr">
        <is>
          <t>Prior Month Forecast</t>
        </is>
      </c>
      <c r="H799" s="37">
        <f>IF($B$794="","",IF(COUNTIFS(Prior_Forecast!$A:$A,$B$794,Prior_Forecast!$B:$B,$D$794)&gt;0,SUMIFS(Prior_Forecast!$C:$C,Prior_Forecast!$A:$A,$B$794,Prior_Forecast!$B:$B,$D$794),""))</f>
        <v/>
      </c>
      <c r="I799" s="37">
        <f>IF($B$794="","",IF(COUNTIFS(Prior_Forecast!$A:$A,$B$794,Prior_Forecast!$B:$B,$D$794)&gt;0,SUMIFS(Prior_Forecast!$D:$D,Prior_Forecast!$A:$A,$B$794,Prior_Forecast!$B:$B,$D$794),""))</f>
        <v/>
      </c>
      <c r="J799" s="37">
        <f>IF($B$794="","",IF(COUNTIFS(Prior_Forecast!$A:$A,$B$794,Prior_Forecast!$B:$B,$D$794)&gt;0,SUMIFS(Prior_Forecast!$E:$E,Prior_Forecast!$A:$A,$B$794,Prior_Forecast!$B:$B,$D$794),""))</f>
        <v/>
      </c>
      <c r="K799" s="37">
        <f>IF($B$794="","",IF(COUNTIFS(Prior_Forecast!$A:$A,$B$794,Prior_Forecast!$B:$B,$D$794)&gt;0,SUMIFS(Prior_Forecast!$F:$F,Prior_Forecast!$A:$A,$B$794,Prior_Forecast!$B:$B,$D$794),""))</f>
        <v/>
      </c>
      <c r="L799" s="37">
        <f>IF($B$794="","",IF(COUNTIFS(Prior_Forecast!$A:$A,$B$794,Prior_Forecast!$B:$B,$D$794)&gt;0,SUMIFS(Prior_Forecast!$G:$G,Prior_Forecast!$A:$A,$B$794,Prior_Forecast!$B:$B,$D$794),""))</f>
        <v/>
      </c>
      <c r="M799" s="37">
        <f>IF($B$794="","",IF(COUNTIFS(Prior_Forecast!$A:$A,$B$794,Prior_Forecast!$B:$B,$D$794)&gt;0,SUMIFS(Prior_Forecast!$H:$H,Prior_Forecast!$A:$A,$B$794,Prior_Forecast!$B:$B,$D$794),""))</f>
        <v/>
      </c>
      <c r="N799" s="37">
        <f>IF($B$794="","",IF(COUNTIFS(Prior_Forecast!$A:$A,$B$794,Prior_Forecast!$B:$B,$D$794)&gt;0,SUMIFS(Prior_Forecast!$I:$I,Prior_Forecast!$A:$A,$B$794,Prior_Forecast!$B:$B,$D$794),""))</f>
        <v/>
      </c>
      <c r="O799" s="37">
        <f>IF($B$794="","",IF(COUNTIFS(Prior_Forecast!$A:$A,$B$794,Prior_Forecast!$B:$B,$D$794)&gt;0,SUMIFS(Prior_Forecast!$J:$J,Prior_Forecast!$A:$A,$B$794,Prior_Forecast!$B:$B,$D$794),""))</f>
        <v/>
      </c>
      <c r="P799" s="37">
        <f>IF($B$794="","",IF(COUNTIFS(Prior_Forecast!$A:$A,$B$794,Prior_Forecast!$B:$B,$D$794)&gt;0,SUMIFS(Prior_Forecast!$K:$K,Prior_Forecast!$A:$A,$B$794,Prior_Forecast!$B:$B,$D$794),""))</f>
        <v/>
      </c>
      <c r="Q799" s="37">
        <f>IF($B$794="","",IF(COUNTIFS(Prior_Forecast!$A:$A,$B$794,Prior_Forecast!$B:$B,$D$794)&gt;0,SUMIFS(Prior_Forecast!$L:$L,Prior_Forecast!$A:$A,$B$794,Prior_Forecast!$B:$B,$D$794),""))</f>
        <v/>
      </c>
      <c r="R799" s="37">
        <f>IF($B$794="","",IF(COUNTIFS(Prior_Forecast!$A:$A,$B$794,Prior_Forecast!$B:$B,$D$794)&gt;0,SUMIFS(Prior_Forecast!$M:$M,Prior_Forecast!$A:$A,$B$794,Prior_Forecast!$B:$B,$D$794),""))</f>
        <v/>
      </c>
      <c r="S799" s="37">
        <f>IF($B$794="","",IF(COUNTIFS(Prior_Forecast!$A:$A,$B$794,Prior_Forecast!$B:$B,$D$794)&gt;0,SUMIFS(Prior_Forecast!$N:$N,Prior_Forecast!$A:$A,$B$794,Prior_Forecast!$B:$B,$D$794),""))</f>
        <v/>
      </c>
      <c r="T799" s="37">
        <f>IF($B$794="","",IF(COUNTIFS(Prior_Forecast!$A:$A,$B$794,Prior_Forecast!$B:$B,$D$794)&gt;0,SUMIFS(Prior_Forecast!$O:$O,Prior_Forecast!$A:$A,$B$794,Prior_Forecast!$B:$B,$D$794),""))</f>
        <v/>
      </c>
      <c r="U799" s="37">
        <f>IF($B$794="","",IF(COUNTIFS(Prior_Forecast!$A:$A,$B$794,Prior_Forecast!$B:$B,$D$794)&gt;0,SUMIFS(Prior_Forecast!$P:$P,Prior_Forecast!$A:$A,$B$794,Prior_Forecast!$B:$B,$D$794),""))</f>
        <v/>
      </c>
      <c r="V799" s="37">
        <f>IF($B$794="","",IF(COUNTIFS(Prior_Forecast!$A:$A,$B$794,Prior_Forecast!$B:$B,$D$794)&gt;0,SUMIFS(Prior_Forecast!$Q:$Q,Prior_Forecast!$A:$A,$B$794,Prior_Forecast!$B:$B,$D$794),""))</f>
        <v/>
      </c>
      <c r="X799" s="22">
        <f>IF($B799="","",IFERROR(INDEX(Cost_Centers!$E:$E,MATCH($B799,Cost_Centers!$A:$A,0)),"(unknown)"))</f>
        <v/>
      </c>
      <c r="Y799" s="22">
        <f>IF($B799="","",IFERROR(INDEX(Cost_Centers!$D:$D,MATCH($B799,Cost_Centers!$A:$A,0)),"(unknown)"))</f>
        <v/>
      </c>
      <c r="Z799" s="22">
        <f>IF(OR($B799="",$G799&lt;&gt;"Variance vs Budget"),"",ABS(N($V799))+ROW()/1000000000)</f>
        <v/>
      </c>
    </row>
    <row r="800">
      <c r="A800" s="13">
        <f>IF(A$794="","",A$794)</f>
        <v/>
      </c>
      <c r="B800" s="13">
        <f>IF(B$794="","",B$794)</f>
        <v/>
      </c>
      <c r="C800" s="13">
        <f>IF(C$794="","",C$794)</f>
        <v/>
      </c>
      <c r="D800" s="13">
        <f>IF(D$794="","",D$794)</f>
        <v/>
      </c>
      <c r="E800" s="13">
        <f>IF(E$794="","",E$794)</f>
        <v/>
      </c>
      <c r="F800" s="13">
        <f>IF(F$794="","",F$794)</f>
        <v/>
      </c>
      <c r="G800" s="6" t="inlineStr">
        <is>
          <t>Variance vs Prior Month</t>
        </is>
      </c>
      <c r="H800" s="33">
        <f>IF(OR($B$794="",H799=""),"",H798-H799)</f>
        <v/>
      </c>
      <c r="I800" s="33">
        <f>IF(OR($B$794="",I799=""),"",I798-I799)</f>
        <v/>
      </c>
      <c r="J800" s="33">
        <f>IF(OR($B$794="",J799=""),"",J798-J799)</f>
        <v/>
      </c>
      <c r="K800" s="33">
        <f>IF(OR($B$794="",K799=""),"",K798-K799)</f>
        <v/>
      </c>
      <c r="L800" s="33">
        <f>IF(OR($B$794="",L799=""),"",L798-L799)</f>
        <v/>
      </c>
      <c r="M800" s="33">
        <f>IF(OR($B$794="",M799=""),"",M798-M799)</f>
        <v/>
      </c>
      <c r="N800" s="33">
        <f>IF(OR($B$794="",N799=""),"",N798-N799)</f>
        <v/>
      </c>
      <c r="O800" s="33">
        <f>IF(OR($B$794="",O799=""),"",O798-O799)</f>
        <v/>
      </c>
      <c r="P800" s="33">
        <f>IF(OR($B$794="",P799=""),"",P798-P799)</f>
        <v/>
      </c>
      <c r="Q800" s="33">
        <f>IF(OR($B$794="",Q799=""),"",Q798-Q799)</f>
        <v/>
      </c>
      <c r="R800" s="33">
        <f>IF(OR($B$794="",R799=""),"",R798-R799)</f>
        <v/>
      </c>
      <c r="S800" s="33">
        <f>IF(OR($B$794="",S799=""),"",S798-S799)</f>
        <v/>
      </c>
      <c r="T800" s="33">
        <f>IF(OR($B$794="",T799=""),"",T798-T799)</f>
        <v/>
      </c>
      <c r="U800" s="33">
        <f>IF(OR($B$794="",U799=""),"",U798-U799)</f>
        <v/>
      </c>
      <c r="V800" s="33">
        <f>IF(OR($B$794="",V799=""),"",V798-V799)</f>
        <v/>
      </c>
      <c r="X800" s="22">
        <f>IF($B800="","",IFERROR(INDEX(Cost_Centers!$E:$E,MATCH($B800,Cost_Centers!$A:$A,0)),"(unknown)"))</f>
        <v/>
      </c>
      <c r="Y800" s="22">
        <f>IF($B800="","",IFERROR(INDEX(Cost_Centers!$D:$D,MATCH($B800,Cost_Centers!$A:$A,0)),"(unknown)"))</f>
        <v/>
      </c>
      <c r="Z800" s="22">
        <f>IF(OR($B800="",$G800&lt;&gt;"Variance vs Budget"),"",ABS(N($V800))+ROW()/1000000000)</f>
        <v/>
      </c>
    </row>
    <row r="801" ht="45" customHeight="1">
      <c r="A801" s="13">
        <f>IF(A$794="","",A$794)</f>
        <v/>
      </c>
      <c r="B801" s="13">
        <f>IF(B$794="","",B$794)</f>
        <v/>
      </c>
      <c r="C801" s="13">
        <f>IF(C$794="","",C$794)</f>
        <v/>
      </c>
      <c r="D801" s="13">
        <f>IF(D$794="","",D$794)</f>
        <v/>
      </c>
      <c r="E801" s="13">
        <f>IF(E$794="","",E$794)</f>
        <v/>
      </c>
      <c r="F801" s="13">
        <f>IF(F$794="","",F$794)</f>
        <v/>
      </c>
      <c r="G801" s="7" t="inlineStr">
        <is>
          <t>Rationale</t>
        </is>
      </c>
      <c r="H801" s="38" t="n"/>
      <c r="I801" s="38" t="n"/>
      <c r="J801" s="38" t="n"/>
      <c r="K801" s="38" t="n"/>
      <c r="L801" s="38" t="n"/>
      <c r="M801" s="38" t="n"/>
      <c r="N801" s="38" t="n"/>
      <c r="O801" s="38" t="n"/>
      <c r="P801" s="38" t="n"/>
      <c r="Q801" s="38" t="n"/>
      <c r="R801" s="38" t="n"/>
      <c r="S801" s="38" t="n"/>
      <c r="T801" s="38" t="n"/>
      <c r="U801" s="38" t="n"/>
      <c r="V801" s="7" t="n"/>
      <c r="X801" s="22">
        <f>IF($B801="","",IFERROR(INDEX(Cost_Centers!$E:$E,MATCH($B801,Cost_Centers!$A:$A,0)),"(unknown)"))</f>
        <v/>
      </c>
      <c r="Y801" s="22">
        <f>IF($B801="","",IFERROR(INDEX(Cost_Centers!$D:$D,MATCH($B801,Cost_Centers!$A:$A,0)),"(unknown)"))</f>
        <v/>
      </c>
      <c r="Z801" s="22">
        <f>IF(OR($B801="",$G801&lt;&gt;"Variance vs Budget"),"",ABS(N($V801))+ROW()/1000000000)</f>
        <v/>
      </c>
    </row>
    <row r="802">
      <c r="A802" s="30">
        <f>IF($D$802="","",LEFT($D$802,FIND("|",$D$802&amp;"|")-1))</f>
        <v/>
      </c>
      <c r="B802" s="31" t="n"/>
      <c r="C802" s="30">
        <f>IF($B$802="","",IFERROR(INDEX(Cost_Centers!$B:$B,MATCH($B$802,Cost_Centers!$A:$A,0)),"(not in master)"))</f>
        <v/>
      </c>
      <c r="D802" s="31" t="n"/>
      <c r="E802" s="30">
        <f>IF($D$802="","",IFERROR(INDEX(Accounts!$D:$D,MATCH($D$802,Accounts!$A:$A,0)),"(not in master)"))</f>
        <v/>
      </c>
      <c r="F802" s="31" t="n"/>
      <c r="G802" s="30" t="inlineStr">
        <is>
          <t>Budget</t>
        </is>
      </c>
      <c r="H802" s="32">
        <f>IF($B$802="","",SUMIFS(Opex_Budget!$O:$O,Opex_Budget!$A:$A,$C$3,Opex_Budget!$E:$E,$B$802,Opex_Budget!$F:$F,$D$802,Opex_Budget!$N:$N,"JPY")*$E$5+SUMIFS(Opex_Budget!$O:$O,Opex_Budget!$A:$A,$C$3,Opex_Budget!$E:$E,$B$802,Opex_Budget!$F:$F,$D$802,Opex_Budget!$N:$N,"USD")*$F$5+SUMIFS(Opex_Budget!$O:$O,Opex_Budget!$A:$A,$C$3,Opex_Budget!$E:$E,$B$802,Opex_Budget!$F:$F,$D$802,Opex_Budget!$N:$N,"EUR")*$G$5+SUMIFS(Opex_Budget!$O:$O,Opex_Budget!$A:$A,$C$3,Opex_Budget!$E:$E,$B$802,Opex_Budget!$F:$F,$D$802,Opex_Budget!$N:$N,"GBP")*$H$5)</f>
        <v/>
      </c>
      <c r="I802" s="32">
        <f>IF($B$802="","",SUMIFS(Opex_Budget!$P:$P,Opex_Budget!$A:$A,$C$3,Opex_Budget!$E:$E,$B$802,Opex_Budget!$F:$F,$D$802,Opex_Budget!$N:$N,"JPY")*$E$5+SUMIFS(Opex_Budget!$P:$P,Opex_Budget!$A:$A,$C$3,Opex_Budget!$E:$E,$B$802,Opex_Budget!$F:$F,$D$802,Opex_Budget!$N:$N,"USD")*$F$5+SUMIFS(Opex_Budget!$P:$P,Opex_Budget!$A:$A,$C$3,Opex_Budget!$E:$E,$B$802,Opex_Budget!$F:$F,$D$802,Opex_Budget!$N:$N,"EUR")*$G$5+SUMIFS(Opex_Budget!$P:$P,Opex_Budget!$A:$A,$C$3,Opex_Budget!$E:$E,$B$802,Opex_Budget!$F:$F,$D$802,Opex_Budget!$N:$N,"GBP")*$H$5)</f>
        <v/>
      </c>
      <c r="J802" s="32">
        <f>IF($B$802="","",SUMIFS(Opex_Budget!$Q:$Q,Opex_Budget!$A:$A,$C$3,Opex_Budget!$E:$E,$B$802,Opex_Budget!$F:$F,$D$802,Opex_Budget!$N:$N,"JPY")*$E$5+SUMIFS(Opex_Budget!$Q:$Q,Opex_Budget!$A:$A,$C$3,Opex_Budget!$E:$E,$B$802,Opex_Budget!$F:$F,$D$802,Opex_Budget!$N:$N,"USD")*$F$5+SUMIFS(Opex_Budget!$Q:$Q,Opex_Budget!$A:$A,$C$3,Opex_Budget!$E:$E,$B$802,Opex_Budget!$F:$F,$D$802,Opex_Budget!$N:$N,"EUR")*$G$5+SUMIFS(Opex_Budget!$Q:$Q,Opex_Budget!$A:$A,$C$3,Opex_Budget!$E:$E,$B$802,Opex_Budget!$F:$F,$D$802,Opex_Budget!$N:$N,"GBP")*$H$5)</f>
        <v/>
      </c>
      <c r="K802" s="32">
        <f>IF($B$802="","",SUMIFS(Opex_Budget!$R:$R,Opex_Budget!$A:$A,$C$3,Opex_Budget!$E:$E,$B$802,Opex_Budget!$F:$F,$D$802,Opex_Budget!$N:$N,"JPY")*$E$5+SUMIFS(Opex_Budget!$R:$R,Opex_Budget!$A:$A,$C$3,Opex_Budget!$E:$E,$B$802,Opex_Budget!$F:$F,$D$802,Opex_Budget!$N:$N,"USD")*$F$5+SUMIFS(Opex_Budget!$R:$R,Opex_Budget!$A:$A,$C$3,Opex_Budget!$E:$E,$B$802,Opex_Budget!$F:$F,$D$802,Opex_Budget!$N:$N,"EUR")*$G$5+SUMIFS(Opex_Budget!$R:$R,Opex_Budget!$A:$A,$C$3,Opex_Budget!$E:$E,$B$802,Opex_Budget!$F:$F,$D$802,Opex_Budget!$N:$N,"GBP")*$H$5)</f>
        <v/>
      </c>
      <c r="L802" s="32">
        <f>IF($B$802="","",SUMIFS(Opex_Budget!$S:$S,Opex_Budget!$A:$A,$C$3,Opex_Budget!$E:$E,$B$802,Opex_Budget!$F:$F,$D$802,Opex_Budget!$N:$N,"JPY")*$E$5+SUMIFS(Opex_Budget!$S:$S,Opex_Budget!$A:$A,$C$3,Opex_Budget!$E:$E,$B$802,Opex_Budget!$F:$F,$D$802,Opex_Budget!$N:$N,"USD")*$F$5+SUMIFS(Opex_Budget!$S:$S,Opex_Budget!$A:$A,$C$3,Opex_Budget!$E:$E,$B$802,Opex_Budget!$F:$F,$D$802,Opex_Budget!$N:$N,"EUR")*$G$5+SUMIFS(Opex_Budget!$S:$S,Opex_Budget!$A:$A,$C$3,Opex_Budget!$E:$E,$B$802,Opex_Budget!$F:$F,$D$802,Opex_Budget!$N:$N,"GBP")*$H$5)</f>
        <v/>
      </c>
      <c r="M802" s="32">
        <f>IF($B$802="","",SUMIFS(Opex_Budget!$T:$T,Opex_Budget!$A:$A,$C$3,Opex_Budget!$E:$E,$B$802,Opex_Budget!$F:$F,$D$802,Opex_Budget!$N:$N,"JPY")*$E$5+SUMIFS(Opex_Budget!$T:$T,Opex_Budget!$A:$A,$C$3,Opex_Budget!$E:$E,$B$802,Opex_Budget!$F:$F,$D$802,Opex_Budget!$N:$N,"USD")*$F$5+SUMIFS(Opex_Budget!$T:$T,Opex_Budget!$A:$A,$C$3,Opex_Budget!$E:$E,$B$802,Opex_Budget!$F:$F,$D$802,Opex_Budget!$N:$N,"EUR")*$G$5+SUMIFS(Opex_Budget!$T:$T,Opex_Budget!$A:$A,$C$3,Opex_Budget!$E:$E,$B$802,Opex_Budget!$F:$F,$D$802,Opex_Budget!$N:$N,"GBP")*$H$5)</f>
        <v/>
      </c>
      <c r="N802" s="32">
        <f>IF($B$802="","",SUMIFS(Opex_Budget!$U:$U,Opex_Budget!$A:$A,$C$3,Opex_Budget!$E:$E,$B$802,Opex_Budget!$F:$F,$D$802,Opex_Budget!$N:$N,"JPY")*$E$5+SUMIFS(Opex_Budget!$U:$U,Opex_Budget!$A:$A,$C$3,Opex_Budget!$E:$E,$B$802,Opex_Budget!$F:$F,$D$802,Opex_Budget!$N:$N,"USD")*$F$5+SUMIFS(Opex_Budget!$U:$U,Opex_Budget!$A:$A,$C$3,Opex_Budget!$E:$E,$B$802,Opex_Budget!$F:$F,$D$802,Opex_Budget!$N:$N,"EUR")*$G$5+SUMIFS(Opex_Budget!$U:$U,Opex_Budget!$A:$A,$C$3,Opex_Budget!$E:$E,$B$802,Opex_Budget!$F:$F,$D$802,Opex_Budget!$N:$N,"GBP")*$H$5)</f>
        <v/>
      </c>
      <c r="O802" s="32">
        <f>IF($B$802="","",SUMIFS(Opex_Budget!$V:$V,Opex_Budget!$A:$A,$C$3,Opex_Budget!$E:$E,$B$802,Opex_Budget!$F:$F,$D$802,Opex_Budget!$N:$N,"JPY")*$E$5+SUMIFS(Opex_Budget!$V:$V,Opex_Budget!$A:$A,$C$3,Opex_Budget!$E:$E,$B$802,Opex_Budget!$F:$F,$D$802,Opex_Budget!$N:$N,"USD")*$F$5+SUMIFS(Opex_Budget!$V:$V,Opex_Budget!$A:$A,$C$3,Opex_Budget!$E:$E,$B$802,Opex_Budget!$F:$F,$D$802,Opex_Budget!$N:$N,"EUR")*$G$5+SUMIFS(Opex_Budget!$V:$V,Opex_Budget!$A:$A,$C$3,Opex_Budget!$E:$E,$B$802,Opex_Budget!$F:$F,$D$802,Opex_Budget!$N:$N,"GBP")*$H$5)</f>
        <v/>
      </c>
      <c r="P802" s="32">
        <f>IF($B$802="","",SUMIFS(Opex_Budget!$W:$W,Opex_Budget!$A:$A,$C$3,Opex_Budget!$E:$E,$B$802,Opex_Budget!$F:$F,$D$802,Opex_Budget!$N:$N,"JPY")*$E$5+SUMIFS(Opex_Budget!$W:$W,Opex_Budget!$A:$A,$C$3,Opex_Budget!$E:$E,$B$802,Opex_Budget!$F:$F,$D$802,Opex_Budget!$N:$N,"USD")*$F$5+SUMIFS(Opex_Budget!$W:$W,Opex_Budget!$A:$A,$C$3,Opex_Budget!$E:$E,$B$802,Opex_Budget!$F:$F,$D$802,Opex_Budget!$N:$N,"EUR")*$G$5+SUMIFS(Opex_Budget!$W:$W,Opex_Budget!$A:$A,$C$3,Opex_Budget!$E:$E,$B$802,Opex_Budget!$F:$F,$D$802,Opex_Budget!$N:$N,"GBP")*$H$5)</f>
        <v/>
      </c>
      <c r="Q802" s="32">
        <f>IF($B$802="","",SUMIFS(Opex_Budget!$X:$X,Opex_Budget!$A:$A,$C$3,Opex_Budget!$E:$E,$B$802,Opex_Budget!$F:$F,$D$802,Opex_Budget!$N:$N,"JPY")*$E$5+SUMIFS(Opex_Budget!$X:$X,Opex_Budget!$A:$A,$C$3,Opex_Budget!$E:$E,$B$802,Opex_Budget!$F:$F,$D$802,Opex_Budget!$N:$N,"USD")*$F$5+SUMIFS(Opex_Budget!$X:$X,Opex_Budget!$A:$A,$C$3,Opex_Budget!$E:$E,$B$802,Opex_Budget!$F:$F,$D$802,Opex_Budget!$N:$N,"EUR")*$G$5+SUMIFS(Opex_Budget!$X:$X,Opex_Budget!$A:$A,$C$3,Opex_Budget!$E:$E,$B$802,Opex_Budget!$F:$F,$D$802,Opex_Budget!$N:$N,"GBP")*$H$5)</f>
        <v/>
      </c>
      <c r="R802" s="32">
        <f>IF($B$802="","",SUMIFS(Opex_Budget!$Y:$Y,Opex_Budget!$A:$A,$C$3,Opex_Budget!$E:$E,$B$802,Opex_Budget!$F:$F,$D$802,Opex_Budget!$N:$N,"JPY")*$E$5+SUMIFS(Opex_Budget!$Y:$Y,Opex_Budget!$A:$A,$C$3,Opex_Budget!$E:$E,$B$802,Opex_Budget!$F:$F,$D$802,Opex_Budget!$N:$N,"USD")*$F$5+SUMIFS(Opex_Budget!$Y:$Y,Opex_Budget!$A:$A,$C$3,Opex_Budget!$E:$E,$B$802,Opex_Budget!$F:$F,$D$802,Opex_Budget!$N:$N,"EUR")*$G$5+SUMIFS(Opex_Budget!$Y:$Y,Opex_Budget!$A:$A,$C$3,Opex_Budget!$E:$E,$B$802,Opex_Budget!$F:$F,$D$802,Opex_Budget!$N:$N,"GBP")*$H$5)</f>
        <v/>
      </c>
      <c r="S802" s="32">
        <f>IF($B$802="","",SUMIFS(Opex_Budget!$Z:$Z,Opex_Budget!$A:$A,$C$3,Opex_Budget!$E:$E,$B$802,Opex_Budget!$F:$F,$D$802,Opex_Budget!$N:$N,"JPY")*$E$5+SUMIFS(Opex_Budget!$Z:$Z,Opex_Budget!$A:$A,$C$3,Opex_Budget!$E:$E,$B$802,Opex_Budget!$F:$F,$D$802,Opex_Budget!$N:$N,"USD")*$F$5+SUMIFS(Opex_Budget!$Z:$Z,Opex_Budget!$A:$A,$C$3,Opex_Budget!$E:$E,$B$802,Opex_Budget!$F:$F,$D$802,Opex_Budget!$N:$N,"EUR")*$G$5+SUMIFS(Opex_Budget!$Z:$Z,Opex_Budget!$A:$A,$C$3,Opex_Budget!$E:$E,$B$802,Opex_Budget!$F:$F,$D$802,Opex_Budget!$N:$N,"GBP")*$H$5)</f>
        <v/>
      </c>
      <c r="T802" s="32">
        <f>IF($B$802="","",SUMIF($H$7:$S$7,"&lt;="&amp;$C$4,$H802:$S802))</f>
        <v/>
      </c>
      <c r="U802" s="32">
        <f>IF($B$802="","",SUMIF($H$7:$S$7,"&gt;"&amp;$C$4,$H802:$S802))</f>
        <v/>
      </c>
      <c r="V802" s="32">
        <f>IF($B$802="","",SUM($H802:$S802))</f>
        <v/>
      </c>
      <c r="X802" s="22">
        <f>IF($B802="","",IFERROR(INDEX(Cost_Centers!$E:$E,MATCH($B802,Cost_Centers!$A:$A,0)),"(unknown)"))</f>
        <v/>
      </c>
      <c r="Y802" s="22">
        <f>IF($B802="","",IFERROR(INDEX(Cost_Centers!$D:$D,MATCH($B802,Cost_Centers!$A:$A,0)),"(unknown)"))</f>
        <v/>
      </c>
      <c r="Z802" s="22">
        <f>IF(OR($B802="",$G802&lt;&gt;"Variance vs Budget"),"",ABS(N($V802))+ROW()/1000000000)</f>
        <v/>
      </c>
    </row>
    <row r="803">
      <c r="A803" s="13">
        <f>IF(A$802="","",A$802)</f>
        <v/>
      </c>
      <c r="B803" s="13">
        <f>IF(B$802="","",B$802)</f>
        <v/>
      </c>
      <c r="C803" s="13">
        <f>IF(C$802="","",C$802)</f>
        <v/>
      </c>
      <c r="D803" s="13">
        <f>IF(D$802="","",D$802)</f>
        <v/>
      </c>
      <c r="E803" s="13">
        <f>IF(E$802="","",E$802)</f>
        <v/>
      </c>
      <c r="F803" s="13">
        <f>IF(F$802="","",F$802)</f>
        <v/>
      </c>
      <c r="G803" s="7" t="inlineStr">
        <is>
          <t>Actual</t>
        </is>
      </c>
      <c r="H803" s="18">
        <f>IF(OR($B$802="",1&gt;$C$4),"",SUMIFS(Actuals!$G:$G,Actuals!$B:$B,$C$3,Actuals!$C:$C,1,Actuals!$D:$D,$B$802,Actuals!$A:$A,LEFT($D$802,FIND("|",$D$802&amp;"|")-1),Actuals!$E:$E,MID($D$802,FIND("|",$D$802&amp;"|")+1,50),Actuals!$F:$F,"JPY")*$E$5+SUMIFS(Actuals!$G:$G,Actuals!$B:$B,$C$3,Actuals!$C:$C,1,Actuals!$D:$D,$B$802,Actuals!$A:$A,LEFT($D$802,FIND("|",$D$802&amp;"|")-1),Actuals!$E:$E,MID($D$802,FIND("|",$D$802&amp;"|")+1,50),Actuals!$F:$F,"USD")*$F$5+SUMIFS(Actuals!$G:$G,Actuals!$B:$B,$C$3,Actuals!$C:$C,1,Actuals!$D:$D,$B$802,Actuals!$A:$A,LEFT($D$802,FIND("|",$D$802&amp;"|")-1),Actuals!$E:$E,MID($D$802,FIND("|",$D$802&amp;"|")+1,50),Actuals!$F:$F,"EUR")*$G$5+SUMIFS(Actuals!$G:$G,Actuals!$B:$B,$C$3,Actuals!$C:$C,1,Actuals!$D:$D,$B$802,Actuals!$A:$A,LEFT($D$802,FIND("|",$D$802&amp;"|")-1),Actuals!$E:$E,MID($D$802,FIND("|",$D$802&amp;"|")+1,50),Actuals!$F:$F,"GBP")*$H$5)</f>
        <v/>
      </c>
      <c r="I803" s="18">
        <f>IF(OR($B$802="",2&gt;$C$4),"",SUMIFS(Actuals!$G:$G,Actuals!$B:$B,$C$3,Actuals!$C:$C,2,Actuals!$D:$D,$B$802,Actuals!$A:$A,LEFT($D$802,FIND("|",$D$802&amp;"|")-1),Actuals!$E:$E,MID($D$802,FIND("|",$D$802&amp;"|")+1,50),Actuals!$F:$F,"JPY")*$E$5+SUMIFS(Actuals!$G:$G,Actuals!$B:$B,$C$3,Actuals!$C:$C,2,Actuals!$D:$D,$B$802,Actuals!$A:$A,LEFT($D$802,FIND("|",$D$802&amp;"|")-1),Actuals!$E:$E,MID($D$802,FIND("|",$D$802&amp;"|")+1,50),Actuals!$F:$F,"USD")*$F$5+SUMIFS(Actuals!$G:$G,Actuals!$B:$B,$C$3,Actuals!$C:$C,2,Actuals!$D:$D,$B$802,Actuals!$A:$A,LEFT($D$802,FIND("|",$D$802&amp;"|")-1),Actuals!$E:$E,MID($D$802,FIND("|",$D$802&amp;"|")+1,50),Actuals!$F:$F,"EUR")*$G$5+SUMIFS(Actuals!$G:$G,Actuals!$B:$B,$C$3,Actuals!$C:$C,2,Actuals!$D:$D,$B$802,Actuals!$A:$A,LEFT($D$802,FIND("|",$D$802&amp;"|")-1),Actuals!$E:$E,MID($D$802,FIND("|",$D$802&amp;"|")+1,50),Actuals!$F:$F,"GBP")*$H$5)</f>
        <v/>
      </c>
      <c r="J803" s="18">
        <f>IF(OR($B$802="",3&gt;$C$4),"",SUMIFS(Actuals!$G:$G,Actuals!$B:$B,$C$3,Actuals!$C:$C,3,Actuals!$D:$D,$B$802,Actuals!$A:$A,LEFT($D$802,FIND("|",$D$802&amp;"|")-1),Actuals!$E:$E,MID($D$802,FIND("|",$D$802&amp;"|")+1,50),Actuals!$F:$F,"JPY")*$E$5+SUMIFS(Actuals!$G:$G,Actuals!$B:$B,$C$3,Actuals!$C:$C,3,Actuals!$D:$D,$B$802,Actuals!$A:$A,LEFT($D$802,FIND("|",$D$802&amp;"|")-1),Actuals!$E:$E,MID($D$802,FIND("|",$D$802&amp;"|")+1,50),Actuals!$F:$F,"USD")*$F$5+SUMIFS(Actuals!$G:$G,Actuals!$B:$B,$C$3,Actuals!$C:$C,3,Actuals!$D:$D,$B$802,Actuals!$A:$A,LEFT($D$802,FIND("|",$D$802&amp;"|")-1),Actuals!$E:$E,MID($D$802,FIND("|",$D$802&amp;"|")+1,50),Actuals!$F:$F,"EUR")*$G$5+SUMIFS(Actuals!$G:$G,Actuals!$B:$B,$C$3,Actuals!$C:$C,3,Actuals!$D:$D,$B$802,Actuals!$A:$A,LEFT($D$802,FIND("|",$D$802&amp;"|")-1),Actuals!$E:$E,MID($D$802,FIND("|",$D$802&amp;"|")+1,50),Actuals!$F:$F,"GBP")*$H$5)</f>
        <v/>
      </c>
      <c r="K803" s="18">
        <f>IF(OR($B$802="",4&gt;$C$4),"",SUMIFS(Actuals!$G:$G,Actuals!$B:$B,$C$3,Actuals!$C:$C,4,Actuals!$D:$D,$B$802,Actuals!$A:$A,LEFT($D$802,FIND("|",$D$802&amp;"|")-1),Actuals!$E:$E,MID($D$802,FIND("|",$D$802&amp;"|")+1,50),Actuals!$F:$F,"JPY")*$E$5+SUMIFS(Actuals!$G:$G,Actuals!$B:$B,$C$3,Actuals!$C:$C,4,Actuals!$D:$D,$B$802,Actuals!$A:$A,LEFT($D$802,FIND("|",$D$802&amp;"|")-1),Actuals!$E:$E,MID($D$802,FIND("|",$D$802&amp;"|")+1,50),Actuals!$F:$F,"USD")*$F$5+SUMIFS(Actuals!$G:$G,Actuals!$B:$B,$C$3,Actuals!$C:$C,4,Actuals!$D:$D,$B$802,Actuals!$A:$A,LEFT($D$802,FIND("|",$D$802&amp;"|")-1),Actuals!$E:$E,MID($D$802,FIND("|",$D$802&amp;"|")+1,50),Actuals!$F:$F,"EUR")*$G$5+SUMIFS(Actuals!$G:$G,Actuals!$B:$B,$C$3,Actuals!$C:$C,4,Actuals!$D:$D,$B$802,Actuals!$A:$A,LEFT($D$802,FIND("|",$D$802&amp;"|")-1),Actuals!$E:$E,MID($D$802,FIND("|",$D$802&amp;"|")+1,50),Actuals!$F:$F,"GBP")*$H$5)</f>
        <v/>
      </c>
      <c r="L803" s="18">
        <f>IF(OR($B$802="",5&gt;$C$4),"",SUMIFS(Actuals!$G:$G,Actuals!$B:$B,$C$3,Actuals!$C:$C,5,Actuals!$D:$D,$B$802,Actuals!$A:$A,LEFT($D$802,FIND("|",$D$802&amp;"|")-1),Actuals!$E:$E,MID($D$802,FIND("|",$D$802&amp;"|")+1,50),Actuals!$F:$F,"JPY")*$E$5+SUMIFS(Actuals!$G:$G,Actuals!$B:$B,$C$3,Actuals!$C:$C,5,Actuals!$D:$D,$B$802,Actuals!$A:$A,LEFT($D$802,FIND("|",$D$802&amp;"|")-1),Actuals!$E:$E,MID($D$802,FIND("|",$D$802&amp;"|")+1,50),Actuals!$F:$F,"USD")*$F$5+SUMIFS(Actuals!$G:$G,Actuals!$B:$B,$C$3,Actuals!$C:$C,5,Actuals!$D:$D,$B$802,Actuals!$A:$A,LEFT($D$802,FIND("|",$D$802&amp;"|")-1),Actuals!$E:$E,MID($D$802,FIND("|",$D$802&amp;"|")+1,50),Actuals!$F:$F,"EUR")*$G$5+SUMIFS(Actuals!$G:$G,Actuals!$B:$B,$C$3,Actuals!$C:$C,5,Actuals!$D:$D,$B$802,Actuals!$A:$A,LEFT($D$802,FIND("|",$D$802&amp;"|")-1),Actuals!$E:$E,MID($D$802,FIND("|",$D$802&amp;"|")+1,50),Actuals!$F:$F,"GBP")*$H$5)</f>
        <v/>
      </c>
      <c r="M803" s="18">
        <f>IF(OR($B$802="",6&gt;$C$4),"",SUMIFS(Actuals!$G:$G,Actuals!$B:$B,$C$3,Actuals!$C:$C,6,Actuals!$D:$D,$B$802,Actuals!$A:$A,LEFT($D$802,FIND("|",$D$802&amp;"|")-1),Actuals!$E:$E,MID($D$802,FIND("|",$D$802&amp;"|")+1,50),Actuals!$F:$F,"JPY")*$E$5+SUMIFS(Actuals!$G:$G,Actuals!$B:$B,$C$3,Actuals!$C:$C,6,Actuals!$D:$D,$B$802,Actuals!$A:$A,LEFT($D$802,FIND("|",$D$802&amp;"|")-1),Actuals!$E:$E,MID($D$802,FIND("|",$D$802&amp;"|")+1,50),Actuals!$F:$F,"USD")*$F$5+SUMIFS(Actuals!$G:$G,Actuals!$B:$B,$C$3,Actuals!$C:$C,6,Actuals!$D:$D,$B$802,Actuals!$A:$A,LEFT($D$802,FIND("|",$D$802&amp;"|")-1),Actuals!$E:$E,MID($D$802,FIND("|",$D$802&amp;"|")+1,50),Actuals!$F:$F,"EUR")*$G$5+SUMIFS(Actuals!$G:$G,Actuals!$B:$B,$C$3,Actuals!$C:$C,6,Actuals!$D:$D,$B$802,Actuals!$A:$A,LEFT($D$802,FIND("|",$D$802&amp;"|")-1),Actuals!$E:$E,MID($D$802,FIND("|",$D$802&amp;"|")+1,50),Actuals!$F:$F,"GBP")*$H$5)</f>
        <v/>
      </c>
      <c r="N803" s="18">
        <f>IF(OR($B$802="",7&gt;$C$4),"",SUMIFS(Actuals!$G:$G,Actuals!$B:$B,$C$3,Actuals!$C:$C,7,Actuals!$D:$D,$B$802,Actuals!$A:$A,LEFT($D$802,FIND("|",$D$802&amp;"|")-1),Actuals!$E:$E,MID($D$802,FIND("|",$D$802&amp;"|")+1,50),Actuals!$F:$F,"JPY")*$E$5+SUMIFS(Actuals!$G:$G,Actuals!$B:$B,$C$3,Actuals!$C:$C,7,Actuals!$D:$D,$B$802,Actuals!$A:$A,LEFT($D$802,FIND("|",$D$802&amp;"|")-1),Actuals!$E:$E,MID($D$802,FIND("|",$D$802&amp;"|")+1,50),Actuals!$F:$F,"USD")*$F$5+SUMIFS(Actuals!$G:$G,Actuals!$B:$B,$C$3,Actuals!$C:$C,7,Actuals!$D:$D,$B$802,Actuals!$A:$A,LEFT($D$802,FIND("|",$D$802&amp;"|")-1),Actuals!$E:$E,MID($D$802,FIND("|",$D$802&amp;"|")+1,50),Actuals!$F:$F,"EUR")*$G$5+SUMIFS(Actuals!$G:$G,Actuals!$B:$B,$C$3,Actuals!$C:$C,7,Actuals!$D:$D,$B$802,Actuals!$A:$A,LEFT($D$802,FIND("|",$D$802&amp;"|")-1),Actuals!$E:$E,MID($D$802,FIND("|",$D$802&amp;"|")+1,50),Actuals!$F:$F,"GBP")*$H$5)</f>
        <v/>
      </c>
      <c r="O803" s="18">
        <f>IF(OR($B$802="",8&gt;$C$4),"",SUMIFS(Actuals!$G:$G,Actuals!$B:$B,$C$3,Actuals!$C:$C,8,Actuals!$D:$D,$B$802,Actuals!$A:$A,LEFT($D$802,FIND("|",$D$802&amp;"|")-1),Actuals!$E:$E,MID($D$802,FIND("|",$D$802&amp;"|")+1,50),Actuals!$F:$F,"JPY")*$E$5+SUMIFS(Actuals!$G:$G,Actuals!$B:$B,$C$3,Actuals!$C:$C,8,Actuals!$D:$D,$B$802,Actuals!$A:$A,LEFT($D$802,FIND("|",$D$802&amp;"|")-1),Actuals!$E:$E,MID($D$802,FIND("|",$D$802&amp;"|")+1,50),Actuals!$F:$F,"USD")*$F$5+SUMIFS(Actuals!$G:$G,Actuals!$B:$B,$C$3,Actuals!$C:$C,8,Actuals!$D:$D,$B$802,Actuals!$A:$A,LEFT($D$802,FIND("|",$D$802&amp;"|")-1),Actuals!$E:$E,MID($D$802,FIND("|",$D$802&amp;"|")+1,50),Actuals!$F:$F,"EUR")*$G$5+SUMIFS(Actuals!$G:$G,Actuals!$B:$B,$C$3,Actuals!$C:$C,8,Actuals!$D:$D,$B$802,Actuals!$A:$A,LEFT($D$802,FIND("|",$D$802&amp;"|")-1),Actuals!$E:$E,MID($D$802,FIND("|",$D$802&amp;"|")+1,50),Actuals!$F:$F,"GBP")*$H$5)</f>
        <v/>
      </c>
      <c r="P803" s="18">
        <f>IF(OR($B$802="",9&gt;$C$4),"",SUMIFS(Actuals!$G:$G,Actuals!$B:$B,$C$3,Actuals!$C:$C,9,Actuals!$D:$D,$B$802,Actuals!$A:$A,LEFT($D$802,FIND("|",$D$802&amp;"|")-1),Actuals!$E:$E,MID($D$802,FIND("|",$D$802&amp;"|")+1,50),Actuals!$F:$F,"JPY")*$E$5+SUMIFS(Actuals!$G:$G,Actuals!$B:$B,$C$3,Actuals!$C:$C,9,Actuals!$D:$D,$B$802,Actuals!$A:$A,LEFT($D$802,FIND("|",$D$802&amp;"|")-1),Actuals!$E:$E,MID($D$802,FIND("|",$D$802&amp;"|")+1,50),Actuals!$F:$F,"USD")*$F$5+SUMIFS(Actuals!$G:$G,Actuals!$B:$B,$C$3,Actuals!$C:$C,9,Actuals!$D:$D,$B$802,Actuals!$A:$A,LEFT($D$802,FIND("|",$D$802&amp;"|")-1),Actuals!$E:$E,MID($D$802,FIND("|",$D$802&amp;"|")+1,50),Actuals!$F:$F,"EUR")*$G$5+SUMIFS(Actuals!$G:$G,Actuals!$B:$B,$C$3,Actuals!$C:$C,9,Actuals!$D:$D,$B$802,Actuals!$A:$A,LEFT($D$802,FIND("|",$D$802&amp;"|")-1),Actuals!$E:$E,MID($D$802,FIND("|",$D$802&amp;"|")+1,50),Actuals!$F:$F,"GBP")*$H$5)</f>
        <v/>
      </c>
      <c r="Q803" s="18">
        <f>IF(OR($B$802="",10&gt;$C$4),"",SUMIFS(Actuals!$G:$G,Actuals!$B:$B,$C$3,Actuals!$C:$C,10,Actuals!$D:$D,$B$802,Actuals!$A:$A,LEFT($D$802,FIND("|",$D$802&amp;"|")-1),Actuals!$E:$E,MID($D$802,FIND("|",$D$802&amp;"|")+1,50),Actuals!$F:$F,"JPY")*$E$5+SUMIFS(Actuals!$G:$G,Actuals!$B:$B,$C$3,Actuals!$C:$C,10,Actuals!$D:$D,$B$802,Actuals!$A:$A,LEFT($D$802,FIND("|",$D$802&amp;"|")-1),Actuals!$E:$E,MID($D$802,FIND("|",$D$802&amp;"|")+1,50),Actuals!$F:$F,"USD")*$F$5+SUMIFS(Actuals!$G:$G,Actuals!$B:$B,$C$3,Actuals!$C:$C,10,Actuals!$D:$D,$B$802,Actuals!$A:$A,LEFT($D$802,FIND("|",$D$802&amp;"|")-1),Actuals!$E:$E,MID($D$802,FIND("|",$D$802&amp;"|")+1,50),Actuals!$F:$F,"EUR")*$G$5+SUMIFS(Actuals!$G:$G,Actuals!$B:$B,$C$3,Actuals!$C:$C,10,Actuals!$D:$D,$B$802,Actuals!$A:$A,LEFT($D$802,FIND("|",$D$802&amp;"|")-1),Actuals!$E:$E,MID($D$802,FIND("|",$D$802&amp;"|")+1,50),Actuals!$F:$F,"GBP")*$H$5)</f>
        <v/>
      </c>
      <c r="R803" s="18">
        <f>IF(OR($B$802="",11&gt;$C$4),"",SUMIFS(Actuals!$G:$G,Actuals!$B:$B,$C$3,Actuals!$C:$C,11,Actuals!$D:$D,$B$802,Actuals!$A:$A,LEFT($D$802,FIND("|",$D$802&amp;"|")-1),Actuals!$E:$E,MID($D$802,FIND("|",$D$802&amp;"|")+1,50),Actuals!$F:$F,"JPY")*$E$5+SUMIFS(Actuals!$G:$G,Actuals!$B:$B,$C$3,Actuals!$C:$C,11,Actuals!$D:$D,$B$802,Actuals!$A:$A,LEFT($D$802,FIND("|",$D$802&amp;"|")-1),Actuals!$E:$E,MID($D$802,FIND("|",$D$802&amp;"|")+1,50),Actuals!$F:$F,"USD")*$F$5+SUMIFS(Actuals!$G:$G,Actuals!$B:$B,$C$3,Actuals!$C:$C,11,Actuals!$D:$D,$B$802,Actuals!$A:$A,LEFT($D$802,FIND("|",$D$802&amp;"|")-1),Actuals!$E:$E,MID($D$802,FIND("|",$D$802&amp;"|")+1,50),Actuals!$F:$F,"EUR")*$G$5+SUMIFS(Actuals!$G:$G,Actuals!$B:$B,$C$3,Actuals!$C:$C,11,Actuals!$D:$D,$B$802,Actuals!$A:$A,LEFT($D$802,FIND("|",$D$802&amp;"|")-1),Actuals!$E:$E,MID($D$802,FIND("|",$D$802&amp;"|")+1,50),Actuals!$F:$F,"GBP")*$H$5)</f>
        <v/>
      </c>
      <c r="S803" s="18">
        <f>IF(OR($B$802="",12&gt;$C$4),"",SUMIFS(Actuals!$G:$G,Actuals!$B:$B,$C$3,Actuals!$C:$C,12,Actuals!$D:$D,$B$802,Actuals!$A:$A,LEFT($D$802,FIND("|",$D$802&amp;"|")-1),Actuals!$E:$E,MID($D$802,FIND("|",$D$802&amp;"|")+1,50),Actuals!$F:$F,"JPY")*$E$5+SUMIFS(Actuals!$G:$G,Actuals!$B:$B,$C$3,Actuals!$C:$C,12,Actuals!$D:$D,$B$802,Actuals!$A:$A,LEFT($D$802,FIND("|",$D$802&amp;"|")-1),Actuals!$E:$E,MID($D$802,FIND("|",$D$802&amp;"|")+1,50),Actuals!$F:$F,"USD")*$F$5+SUMIFS(Actuals!$G:$G,Actuals!$B:$B,$C$3,Actuals!$C:$C,12,Actuals!$D:$D,$B$802,Actuals!$A:$A,LEFT($D$802,FIND("|",$D$802&amp;"|")-1),Actuals!$E:$E,MID($D$802,FIND("|",$D$802&amp;"|")+1,50),Actuals!$F:$F,"EUR")*$G$5+SUMIFS(Actuals!$G:$G,Actuals!$B:$B,$C$3,Actuals!$C:$C,12,Actuals!$D:$D,$B$802,Actuals!$A:$A,LEFT($D$802,FIND("|",$D$802&amp;"|")-1),Actuals!$E:$E,MID($D$802,FIND("|",$D$802&amp;"|")+1,50),Actuals!$F:$F,"GBP")*$H$5)</f>
        <v/>
      </c>
      <c r="T803" s="18">
        <f>IF($B$802="","",SUMIF($H$7:$S$7,"&lt;="&amp;$C$4,$H803:$S803))</f>
        <v/>
      </c>
      <c r="U803" s="18" t="n"/>
      <c r="V803" s="18" t="n"/>
      <c r="X803" s="22">
        <f>IF($B803="","",IFERROR(INDEX(Cost_Centers!$E:$E,MATCH($B803,Cost_Centers!$A:$A,0)),"(unknown)"))</f>
        <v/>
      </c>
      <c r="Y803" s="22">
        <f>IF($B803="","",IFERROR(INDEX(Cost_Centers!$D:$D,MATCH($B803,Cost_Centers!$A:$A,0)),"(unknown)"))</f>
        <v/>
      </c>
      <c r="Z803" s="22">
        <f>IF(OR($B803="",$G803&lt;&gt;"Variance vs Budget"),"",ABS(N($V803))+ROW()/1000000000)</f>
        <v/>
      </c>
    </row>
    <row r="804">
      <c r="A804" s="13">
        <f>IF(A$802="","",A$802)</f>
        <v/>
      </c>
      <c r="B804" s="13">
        <f>IF(B$802="","",B$802)</f>
        <v/>
      </c>
      <c r="C804" s="13">
        <f>IF(C$802="","",C$802)</f>
        <v/>
      </c>
      <c r="D804" s="13">
        <f>IF(D$802="","",D$802)</f>
        <v/>
      </c>
      <c r="E804" s="13">
        <f>IF(E$802="","",E$802)</f>
        <v/>
      </c>
      <c r="F804" s="13">
        <f>IF(F$802="","",F$802)</f>
        <v/>
      </c>
      <c r="G804" s="6" t="inlineStr">
        <is>
          <t>Variance vs Budget</t>
        </is>
      </c>
      <c r="H804" s="33">
        <f>IF(OR($B$802="",1&gt;$C$4),"",N(H803)-H802)</f>
        <v/>
      </c>
      <c r="I804" s="33">
        <f>IF(OR($B$802="",2&gt;$C$4),"",N(I803)-I802)</f>
        <v/>
      </c>
      <c r="J804" s="33">
        <f>IF(OR($B$802="",3&gt;$C$4),"",N(J803)-J802)</f>
        <v/>
      </c>
      <c r="K804" s="33">
        <f>IF(OR($B$802="",4&gt;$C$4),"",N(K803)-K802)</f>
        <v/>
      </c>
      <c r="L804" s="33">
        <f>IF(OR($B$802="",5&gt;$C$4),"",N(L803)-L802)</f>
        <v/>
      </c>
      <c r="M804" s="33">
        <f>IF(OR($B$802="",6&gt;$C$4),"",N(M803)-M802)</f>
        <v/>
      </c>
      <c r="N804" s="33">
        <f>IF(OR($B$802="",7&gt;$C$4),"",N(N803)-N802)</f>
        <v/>
      </c>
      <c r="O804" s="33">
        <f>IF(OR($B$802="",8&gt;$C$4),"",N(O803)-O802)</f>
        <v/>
      </c>
      <c r="P804" s="33">
        <f>IF(OR($B$802="",9&gt;$C$4),"",N(P803)-P802)</f>
        <v/>
      </c>
      <c r="Q804" s="33">
        <f>IF(OR($B$802="",10&gt;$C$4),"",N(Q803)-Q802)</f>
        <v/>
      </c>
      <c r="R804" s="33">
        <f>IF(OR($B$802="",11&gt;$C$4),"",N(R803)-R802)</f>
        <v/>
      </c>
      <c r="S804" s="33">
        <f>IF(OR($B$802="",12&gt;$C$4),"",N(S803)-S802)</f>
        <v/>
      </c>
      <c r="T804" s="33">
        <f>IF($B$802="","",T803-T802)</f>
        <v/>
      </c>
      <c r="U804" s="33">
        <f>IF($B$802="","",U806-U802)</f>
        <v/>
      </c>
      <c r="V804" s="33">
        <f>IF($B$802="","",V806-V802)</f>
        <v/>
      </c>
      <c r="X804" s="22">
        <f>IF($B804="","",IFERROR(INDEX(Cost_Centers!$E:$E,MATCH($B804,Cost_Centers!$A:$A,0)),"(unknown)"))</f>
        <v/>
      </c>
      <c r="Y804" s="22">
        <f>IF($B804="","",IFERROR(INDEX(Cost_Centers!$D:$D,MATCH($B804,Cost_Centers!$A:$A,0)),"(unknown)"))</f>
        <v/>
      </c>
      <c r="Z804" s="22">
        <f>IF(OR($B804="",$G804&lt;&gt;"Variance vs Budget"),"",ABS(N($V804))+ROW()/1000000000)</f>
        <v/>
      </c>
    </row>
    <row r="805">
      <c r="A805" s="13">
        <f>IF(A$802="","",A$802)</f>
        <v/>
      </c>
      <c r="B805" s="13">
        <f>IF(B$802="","",B$802)</f>
        <v/>
      </c>
      <c r="C805" s="13">
        <f>IF(C$802="","",C$802)</f>
        <v/>
      </c>
      <c r="D805" s="13">
        <f>IF(D$802="","",D$802)</f>
        <v/>
      </c>
      <c r="E805" s="13">
        <f>IF(E$802="","",E$802)</f>
        <v/>
      </c>
      <c r="F805" s="13">
        <f>IF(F$802="","",F$802)</f>
        <v/>
      </c>
      <c r="G805" s="7" t="inlineStr">
        <is>
          <t>Forecast (input)</t>
        </is>
      </c>
      <c r="H805" s="34" t="n"/>
      <c r="I805" s="34" t="n"/>
      <c r="J805" s="34" t="n"/>
      <c r="K805" s="34" t="n"/>
      <c r="L805" s="34" t="n"/>
      <c r="M805" s="34" t="n"/>
      <c r="N805" s="34" t="n"/>
      <c r="O805" s="34" t="n"/>
      <c r="P805" s="34" t="n"/>
      <c r="Q805" s="34" t="n"/>
      <c r="R805" s="34" t="n"/>
      <c r="S805" s="34" t="n"/>
      <c r="T805" s="18" t="n"/>
      <c r="U805" s="18" t="n"/>
      <c r="V805" s="18" t="n"/>
      <c r="X805" s="22">
        <f>IF($B805="","",IFERROR(INDEX(Cost_Centers!$E:$E,MATCH($B805,Cost_Centers!$A:$A,0)),"(unknown)"))</f>
        <v/>
      </c>
      <c r="Y805" s="22">
        <f>IF($B805="","",IFERROR(INDEX(Cost_Centers!$D:$D,MATCH($B805,Cost_Centers!$A:$A,0)),"(unknown)"))</f>
        <v/>
      </c>
      <c r="Z805" s="22">
        <f>IF(OR($B805="",$G805&lt;&gt;"Variance vs Budget"),"",ABS(N($V805))+ROW()/1000000000)</f>
        <v/>
      </c>
    </row>
    <row r="806">
      <c r="A806" s="13">
        <f>IF(A$802="","",A$802)</f>
        <v/>
      </c>
      <c r="B806" s="13">
        <f>IF(B$802="","",B$802)</f>
        <v/>
      </c>
      <c r="C806" s="13">
        <f>IF(C$802="","",C$802)</f>
        <v/>
      </c>
      <c r="D806" s="13">
        <f>IF(D$802="","",D$802)</f>
        <v/>
      </c>
      <c r="E806" s="13">
        <f>IF(E$802="","",E$802)</f>
        <v/>
      </c>
      <c r="F806" s="13">
        <f>IF(F$802="","",F$802)</f>
        <v/>
      </c>
      <c r="G806" s="35" t="inlineStr">
        <is>
          <t>Actual + Forecast</t>
        </is>
      </c>
      <c r="H806" s="18">
        <f>IF($B$802="","",IF(1&lt;=$C$4,N(H803),IF(H805="",H802,H805)))</f>
        <v/>
      </c>
      <c r="I806" s="18">
        <f>IF($B$802="","",IF(2&lt;=$C$4,N(I803),IF(I805="",I802,I805)))</f>
        <v/>
      </c>
      <c r="J806" s="18">
        <f>IF($B$802="","",IF(3&lt;=$C$4,N(J803),IF(J805="",J802,J805)))</f>
        <v/>
      </c>
      <c r="K806" s="18">
        <f>IF($B$802="","",IF(4&lt;=$C$4,N(K803),IF(K805="",K802,K805)))</f>
        <v/>
      </c>
      <c r="L806" s="18">
        <f>IF($B$802="","",IF(5&lt;=$C$4,N(L803),IF(L805="",L802,L805)))</f>
        <v/>
      </c>
      <c r="M806" s="18">
        <f>IF($B$802="","",IF(6&lt;=$C$4,N(M803),IF(M805="",M802,M805)))</f>
        <v/>
      </c>
      <c r="N806" s="18">
        <f>IF($B$802="","",IF(7&lt;=$C$4,N(N803),IF(N805="",N802,N805)))</f>
        <v/>
      </c>
      <c r="O806" s="18">
        <f>IF($B$802="","",IF(8&lt;=$C$4,N(O803),IF(O805="",O802,O805)))</f>
        <v/>
      </c>
      <c r="P806" s="18">
        <f>IF($B$802="","",IF(9&lt;=$C$4,N(P803),IF(P805="",P802,P805)))</f>
        <v/>
      </c>
      <c r="Q806" s="18">
        <f>IF($B$802="","",IF(10&lt;=$C$4,N(Q803),IF(Q805="",Q802,Q805)))</f>
        <v/>
      </c>
      <c r="R806" s="18">
        <f>IF($B$802="","",IF(11&lt;=$C$4,N(R803),IF(R805="",R802,R805)))</f>
        <v/>
      </c>
      <c r="S806" s="18">
        <f>IF($B$802="","",IF(12&lt;=$C$4,N(S803),IF(S805="",S802,S805)))</f>
        <v/>
      </c>
      <c r="T806" s="18">
        <f>IF($B$802="","",SUMIF($H$7:$S$7,"&lt;="&amp;$C$4,$H806:$S806))</f>
        <v/>
      </c>
      <c r="U806" s="18">
        <f>IF($B$802="","",SUMIF($H$7:$S$7,"&gt;"&amp;$C$4,$H806:$S806))</f>
        <v/>
      </c>
      <c r="V806" s="18">
        <f>IF($B$802="","",SUM($H806:$S806))</f>
        <v/>
      </c>
      <c r="X806" s="22">
        <f>IF($B806="","",IFERROR(INDEX(Cost_Centers!$E:$E,MATCH($B806,Cost_Centers!$A:$A,0)),"(unknown)"))</f>
        <v/>
      </c>
      <c r="Y806" s="22">
        <f>IF($B806="","",IFERROR(INDEX(Cost_Centers!$D:$D,MATCH($B806,Cost_Centers!$A:$A,0)),"(unknown)"))</f>
        <v/>
      </c>
      <c r="Z806" s="22">
        <f>IF(OR($B806="",$G806&lt;&gt;"Variance vs Budget"),"",ABS(N($V806))+ROW()/1000000000)</f>
        <v/>
      </c>
    </row>
    <row r="807">
      <c r="A807" s="13">
        <f>IF(A$802="","",A$802)</f>
        <v/>
      </c>
      <c r="B807" s="13">
        <f>IF(B$802="","",B$802)</f>
        <v/>
      </c>
      <c r="C807" s="13">
        <f>IF(C$802="","",C$802)</f>
        <v/>
      </c>
      <c r="D807" s="13">
        <f>IF(D$802="","",D$802)</f>
        <v/>
      </c>
      <c r="E807" s="13">
        <f>IF(E$802="","",E$802)</f>
        <v/>
      </c>
      <c r="F807" s="13">
        <f>IF(F$802="","",F$802)</f>
        <v/>
      </c>
      <c r="G807" s="36" t="inlineStr">
        <is>
          <t>Prior Month Forecast</t>
        </is>
      </c>
      <c r="H807" s="37">
        <f>IF($B$802="","",IF(COUNTIFS(Prior_Forecast!$A:$A,$B$802,Prior_Forecast!$B:$B,$D$802)&gt;0,SUMIFS(Prior_Forecast!$C:$C,Prior_Forecast!$A:$A,$B$802,Prior_Forecast!$B:$B,$D$802),""))</f>
        <v/>
      </c>
      <c r="I807" s="37">
        <f>IF($B$802="","",IF(COUNTIFS(Prior_Forecast!$A:$A,$B$802,Prior_Forecast!$B:$B,$D$802)&gt;0,SUMIFS(Prior_Forecast!$D:$D,Prior_Forecast!$A:$A,$B$802,Prior_Forecast!$B:$B,$D$802),""))</f>
        <v/>
      </c>
      <c r="J807" s="37">
        <f>IF($B$802="","",IF(COUNTIFS(Prior_Forecast!$A:$A,$B$802,Prior_Forecast!$B:$B,$D$802)&gt;0,SUMIFS(Prior_Forecast!$E:$E,Prior_Forecast!$A:$A,$B$802,Prior_Forecast!$B:$B,$D$802),""))</f>
        <v/>
      </c>
      <c r="K807" s="37">
        <f>IF($B$802="","",IF(COUNTIFS(Prior_Forecast!$A:$A,$B$802,Prior_Forecast!$B:$B,$D$802)&gt;0,SUMIFS(Prior_Forecast!$F:$F,Prior_Forecast!$A:$A,$B$802,Prior_Forecast!$B:$B,$D$802),""))</f>
        <v/>
      </c>
      <c r="L807" s="37">
        <f>IF($B$802="","",IF(COUNTIFS(Prior_Forecast!$A:$A,$B$802,Prior_Forecast!$B:$B,$D$802)&gt;0,SUMIFS(Prior_Forecast!$G:$G,Prior_Forecast!$A:$A,$B$802,Prior_Forecast!$B:$B,$D$802),""))</f>
        <v/>
      </c>
      <c r="M807" s="37">
        <f>IF($B$802="","",IF(COUNTIFS(Prior_Forecast!$A:$A,$B$802,Prior_Forecast!$B:$B,$D$802)&gt;0,SUMIFS(Prior_Forecast!$H:$H,Prior_Forecast!$A:$A,$B$802,Prior_Forecast!$B:$B,$D$802),""))</f>
        <v/>
      </c>
      <c r="N807" s="37">
        <f>IF($B$802="","",IF(COUNTIFS(Prior_Forecast!$A:$A,$B$802,Prior_Forecast!$B:$B,$D$802)&gt;0,SUMIFS(Prior_Forecast!$I:$I,Prior_Forecast!$A:$A,$B$802,Prior_Forecast!$B:$B,$D$802),""))</f>
        <v/>
      </c>
      <c r="O807" s="37">
        <f>IF($B$802="","",IF(COUNTIFS(Prior_Forecast!$A:$A,$B$802,Prior_Forecast!$B:$B,$D$802)&gt;0,SUMIFS(Prior_Forecast!$J:$J,Prior_Forecast!$A:$A,$B$802,Prior_Forecast!$B:$B,$D$802),""))</f>
        <v/>
      </c>
      <c r="P807" s="37">
        <f>IF($B$802="","",IF(COUNTIFS(Prior_Forecast!$A:$A,$B$802,Prior_Forecast!$B:$B,$D$802)&gt;0,SUMIFS(Prior_Forecast!$K:$K,Prior_Forecast!$A:$A,$B$802,Prior_Forecast!$B:$B,$D$802),""))</f>
        <v/>
      </c>
      <c r="Q807" s="37">
        <f>IF($B$802="","",IF(COUNTIFS(Prior_Forecast!$A:$A,$B$802,Prior_Forecast!$B:$B,$D$802)&gt;0,SUMIFS(Prior_Forecast!$L:$L,Prior_Forecast!$A:$A,$B$802,Prior_Forecast!$B:$B,$D$802),""))</f>
        <v/>
      </c>
      <c r="R807" s="37">
        <f>IF($B$802="","",IF(COUNTIFS(Prior_Forecast!$A:$A,$B$802,Prior_Forecast!$B:$B,$D$802)&gt;0,SUMIFS(Prior_Forecast!$M:$M,Prior_Forecast!$A:$A,$B$802,Prior_Forecast!$B:$B,$D$802),""))</f>
        <v/>
      </c>
      <c r="S807" s="37">
        <f>IF($B$802="","",IF(COUNTIFS(Prior_Forecast!$A:$A,$B$802,Prior_Forecast!$B:$B,$D$802)&gt;0,SUMIFS(Prior_Forecast!$N:$N,Prior_Forecast!$A:$A,$B$802,Prior_Forecast!$B:$B,$D$802),""))</f>
        <v/>
      </c>
      <c r="T807" s="37">
        <f>IF($B$802="","",IF(COUNTIFS(Prior_Forecast!$A:$A,$B$802,Prior_Forecast!$B:$B,$D$802)&gt;0,SUMIFS(Prior_Forecast!$O:$O,Prior_Forecast!$A:$A,$B$802,Prior_Forecast!$B:$B,$D$802),""))</f>
        <v/>
      </c>
      <c r="U807" s="37">
        <f>IF($B$802="","",IF(COUNTIFS(Prior_Forecast!$A:$A,$B$802,Prior_Forecast!$B:$B,$D$802)&gt;0,SUMIFS(Prior_Forecast!$P:$P,Prior_Forecast!$A:$A,$B$802,Prior_Forecast!$B:$B,$D$802),""))</f>
        <v/>
      </c>
      <c r="V807" s="37">
        <f>IF($B$802="","",IF(COUNTIFS(Prior_Forecast!$A:$A,$B$802,Prior_Forecast!$B:$B,$D$802)&gt;0,SUMIFS(Prior_Forecast!$Q:$Q,Prior_Forecast!$A:$A,$B$802,Prior_Forecast!$B:$B,$D$802),""))</f>
        <v/>
      </c>
      <c r="X807" s="22">
        <f>IF($B807="","",IFERROR(INDEX(Cost_Centers!$E:$E,MATCH($B807,Cost_Centers!$A:$A,0)),"(unknown)"))</f>
        <v/>
      </c>
      <c r="Y807" s="22">
        <f>IF($B807="","",IFERROR(INDEX(Cost_Centers!$D:$D,MATCH($B807,Cost_Centers!$A:$A,0)),"(unknown)"))</f>
        <v/>
      </c>
      <c r="Z807" s="22">
        <f>IF(OR($B807="",$G807&lt;&gt;"Variance vs Budget"),"",ABS(N($V807))+ROW()/1000000000)</f>
        <v/>
      </c>
    </row>
    <row r="808">
      <c r="A808" s="13">
        <f>IF(A$802="","",A$802)</f>
        <v/>
      </c>
      <c r="B808" s="13">
        <f>IF(B$802="","",B$802)</f>
        <v/>
      </c>
      <c r="C808" s="13">
        <f>IF(C$802="","",C$802)</f>
        <v/>
      </c>
      <c r="D808" s="13">
        <f>IF(D$802="","",D$802)</f>
        <v/>
      </c>
      <c r="E808" s="13">
        <f>IF(E$802="","",E$802)</f>
        <v/>
      </c>
      <c r="F808" s="13">
        <f>IF(F$802="","",F$802)</f>
        <v/>
      </c>
      <c r="G808" s="6" t="inlineStr">
        <is>
          <t>Variance vs Prior Month</t>
        </is>
      </c>
      <c r="H808" s="33">
        <f>IF(OR($B$802="",H807=""),"",H806-H807)</f>
        <v/>
      </c>
      <c r="I808" s="33">
        <f>IF(OR($B$802="",I807=""),"",I806-I807)</f>
        <v/>
      </c>
      <c r="J808" s="33">
        <f>IF(OR($B$802="",J807=""),"",J806-J807)</f>
        <v/>
      </c>
      <c r="K808" s="33">
        <f>IF(OR($B$802="",K807=""),"",K806-K807)</f>
        <v/>
      </c>
      <c r="L808" s="33">
        <f>IF(OR($B$802="",L807=""),"",L806-L807)</f>
        <v/>
      </c>
      <c r="M808" s="33">
        <f>IF(OR($B$802="",M807=""),"",M806-M807)</f>
        <v/>
      </c>
      <c r="N808" s="33">
        <f>IF(OR($B$802="",N807=""),"",N806-N807)</f>
        <v/>
      </c>
      <c r="O808" s="33">
        <f>IF(OR($B$802="",O807=""),"",O806-O807)</f>
        <v/>
      </c>
      <c r="P808" s="33">
        <f>IF(OR($B$802="",P807=""),"",P806-P807)</f>
        <v/>
      </c>
      <c r="Q808" s="33">
        <f>IF(OR($B$802="",Q807=""),"",Q806-Q807)</f>
        <v/>
      </c>
      <c r="R808" s="33">
        <f>IF(OR($B$802="",R807=""),"",R806-R807)</f>
        <v/>
      </c>
      <c r="S808" s="33">
        <f>IF(OR($B$802="",S807=""),"",S806-S807)</f>
        <v/>
      </c>
      <c r="T808" s="33">
        <f>IF(OR($B$802="",T807=""),"",T806-T807)</f>
        <v/>
      </c>
      <c r="U808" s="33">
        <f>IF(OR($B$802="",U807=""),"",U806-U807)</f>
        <v/>
      </c>
      <c r="V808" s="33">
        <f>IF(OR($B$802="",V807=""),"",V806-V807)</f>
        <v/>
      </c>
      <c r="X808" s="22">
        <f>IF($B808="","",IFERROR(INDEX(Cost_Centers!$E:$E,MATCH($B808,Cost_Centers!$A:$A,0)),"(unknown)"))</f>
        <v/>
      </c>
      <c r="Y808" s="22">
        <f>IF($B808="","",IFERROR(INDEX(Cost_Centers!$D:$D,MATCH($B808,Cost_Centers!$A:$A,0)),"(unknown)"))</f>
        <v/>
      </c>
      <c r="Z808" s="22">
        <f>IF(OR($B808="",$G808&lt;&gt;"Variance vs Budget"),"",ABS(N($V808))+ROW()/1000000000)</f>
        <v/>
      </c>
    </row>
    <row r="809" ht="45" customHeight="1">
      <c r="A809" s="13">
        <f>IF(A$802="","",A$802)</f>
        <v/>
      </c>
      <c r="B809" s="13">
        <f>IF(B$802="","",B$802)</f>
        <v/>
      </c>
      <c r="C809" s="13">
        <f>IF(C$802="","",C$802)</f>
        <v/>
      </c>
      <c r="D809" s="13">
        <f>IF(D$802="","",D$802)</f>
        <v/>
      </c>
      <c r="E809" s="13">
        <f>IF(E$802="","",E$802)</f>
        <v/>
      </c>
      <c r="F809" s="13">
        <f>IF(F$802="","",F$802)</f>
        <v/>
      </c>
      <c r="G809" s="7" t="inlineStr">
        <is>
          <t>Rationale</t>
        </is>
      </c>
      <c r="H809" s="38" t="n"/>
      <c r="I809" s="38" t="n"/>
      <c r="J809" s="38" t="n"/>
      <c r="K809" s="38" t="n"/>
      <c r="L809" s="38" t="n"/>
      <c r="M809" s="38" t="n"/>
      <c r="N809" s="38" t="n"/>
      <c r="O809" s="38" t="n"/>
      <c r="P809" s="38" t="n"/>
      <c r="Q809" s="38" t="n"/>
      <c r="R809" s="38" t="n"/>
      <c r="S809" s="38" t="n"/>
      <c r="T809" s="38" t="n"/>
      <c r="U809" s="38" t="n"/>
      <c r="V809" s="7" t="n"/>
      <c r="X809" s="22">
        <f>IF($B809="","",IFERROR(INDEX(Cost_Centers!$E:$E,MATCH($B809,Cost_Centers!$A:$A,0)),"(unknown)"))</f>
        <v/>
      </c>
      <c r="Y809" s="22">
        <f>IF($B809="","",IFERROR(INDEX(Cost_Centers!$D:$D,MATCH($B809,Cost_Centers!$A:$A,0)),"(unknown)"))</f>
        <v/>
      </c>
      <c r="Z809" s="22">
        <f>IF(OR($B809="",$G809&lt;&gt;"Variance vs Budget"),"",ABS(N($V809))+ROW()/1000000000)</f>
        <v/>
      </c>
    </row>
    <row r="810">
      <c r="A810" s="30">
        <f>IF($D$810="","",LEFT($D$810,FIND("|",$D$810&amp;"|")-1))</f>
        <v/>
      </c>
      <c r="B810" s="31" t="n"/>
      <c r="C810" s="30">
        <f>IF($B$810="","",IFERROR(INDEX(Cost_Centers!$B:$B,MATCH($B$810,Cost_Centers!$A:$A,0)),"(not in master)"))</f>
        <v/>
      </c>
      <c r="D810" s="31" t="n"/>
      <c r="E810" s="30">
        <f>IF($D$810="","",IFERROR(INDEX(Accounts!$D:$D,MATCH($D$810,Accounts!$A:$A,0)),"(not in master)"))</f>
        <v/>
      </c>
      <c r="F810" s="31" t="n"/>
      <c r="G810" s="30" t="inlineStr">
        <is>
          <t>Budget</t>
        </is>
      </c>
      <c r="H810" s="32">
        <f>IF($B$810="","",SUMIFS(Opex_Budget!$O:$O,Opex_Budget!$A:$A,$C$3,Opex_Budget!$E:$E,$B$810,Opex_Budget!$F:$F,$D$810,Opex_Budget!$N:$N,"JPY")*$E$5+SUMIFS(Opex_Budget!$O:$O,Opex_Budget!$A:$A,$C$3,Opex_Budget!$E:$E,$B$810,Opex_Budget!$F:$F,$D$810,Opex_Budget!$N:$N,"USD")*$F$5+SUMIFS(Opex_Budget!$O:$O,Opex_Budget!$A:$A,$C$3,Opex_Budget!$E:$E,$B$810,Opex_Budget!$F:$F,$D$810,Opex_Budget!$N:$N,"EUR")*$G$5+SUMIFS(Opex_Budget!$O:$O,Opex_Budget!$A:$A,$C$3,Opex_Budget!$E:$E,$B$810,Opex_Budget!$F:$F,$D$810,Opex_Budget!$N:$N,"GBP")*$H$5)</f>
        <v/>
      </c>
      <c r="I810" s="32">
        <f>IF($B$810="","",SUMIFS(Opex_Budget!$P:$P,Opex_Budget!$A:$A,$C$3,Opex_Budget!$E:$E,$B$810,Opex_Budget!$F:$F,$D$810,Opex_Budget!$N:$N,"JPY")*$E$5+SUMIFS(Opex_Budget!$P:$P,Opex_Budget!$A:$A,$C$3,Opex_Budget!$E:$E,$B$810,Opex_Budget!$F:$F,$D$810,Opex_Budget!$N:$N,"USD")*$F$5+SUMIFS(Opex_Budget!$P:$P,Opex_Budget!$A:$A,$C$3,Opex_Budget!$E:$E,$B$810,Opex_Budget!$F:$F,$D$810,Opex_Budget!$N:$N,"EUR")*$G$5+SUMIFS(Opex_Budget!$P:$P,Opex_Budget!$A:$A,$C$3,Opex_Budget!$E:$E,$B$810,Opex_Budget!$F:$F,$D$810,Opex_Budget!$N:$N,"GBP")*$H$5)</f>
        <v/>
      </c>
      <c r="J810" s="32">
        <f>IF($B$810="","",SUMIFS(Opex_Budget!$Q:$Q,Opex_Budget!$A:$A,$C$3,Opex_Budget!$E:$E,$B$810,Opex_Budget!$F:$F,$D$810,Opex_Budget!$N:$N,"JPY")*$E$5+SUMIFS(Opex_Budget!$Q:$Q,Opex_Budget!$A:$A,$C$3,Opex_Budget!$E:$E,$B$810,Opex_Budget!$F:$F,$D$810,Opex_Budget!$N:$N,"USD")*$F$5+SUMIFS(Opex_Budget!$Q:$Q,Opex_Budget!$A:$A,$C$3,Opex_Budget!$E:$E,$B$810,Opex_Budget!$F:$F,$D$810,Opex_Budget!$N:$N,"EUR")*$G$5+SUMIFS(Opex_Budget!$Q:$Q,Opex_Budget!$A:$A,$C$3,Opex_Budget!$E:$E,$B$810,Opex_Budget!$F:$F,$D$810,Opex_Budget!$N:$N,"GBP")*$H$5)</f>
        <v/>
      </c>
      <c r="K810" s="32">
        <f>IF($B$810="","",SUMIFS(Opex_Budget!$R:$R,Opex_Budget!$A:$A,$C$3,Opex_Budget!$E:$E,$B$810,Opex_Budget!$F:$F,$D$810,Opex_Budget!$N:$N,"JPY")*$E$5+SUMIFS(Opex_Budget!$R:$R,Opex_Budget!$A:$A,$C$3,Opex_Budget!$E:$E,$B$810,Opex_Budget!$F:$F,$D$810,Opex_Budget!$N:$N,"USD")*$F$5+SUMIFS(Opex_Budget!$R:$R,Opex_Budget!$A:$A,$C$3,Opex_Budget!$E:$E,$B$810,Opex_Budget!$F:$F,$D$810,Opex_Budget!$N:$N,"EUR")*$G$5+SUMIFS(Opex_Budget!$R:$R,Opex_Budget!$A:$A,$C$3,Opex_Budget!$E:$E,$B$810,Opex_Budget!$F:$F,$D$810,Opex_Budget!$N:$N,"GBP")*$H$5)</f>
        <v/>
      </c>
      <c r="L810" s="32">
        <f>IF($B$810="","",SUMIFS(Opex_Budget!$S:$S,Opex_Budget!$A:$A,$C$3,Opex_Budget!$E:$E,$B$810,Opex_Budget!$F:$F,$D$810,Opex_Budget!$N:$N,"JPY")*$E$5+SUMIFS(Opex_Budget!$S:$S,Opex_Budget!$A:$A,$C$3,Opex_Budget!$E:$E,$B$810,Opex_Budget!$F:$F,$D$810,Opex_Budget!$N:$N,"USD")*$F$5+SUMIFS(Opex_Budget!$S:$S,Opex_Budget!$A:$A,$C$3,Opex_Budget!$E:$E,$B$810,Opex_Budget!$F:$F,$D$810,Opex_Budget!$N:$N,"EUR")*$G$5+SUMIFS(Opex_Budget!$S:$S,Opex_Budget!$A:$A,$C$3,Opex_Budget!$E:$E,$B$810,Opex_Budget!$F:$F,$D$810,Opex_Budget!$N:$N,"GBP")*$H$5)</f>
        <v/>
      </c>
      <c r="M810" s="32">
        <f>IF($B$810="","",SUMIFS(Opex_Budget!$T:$T,Opex_Budget!$A:$A,$C$3,Opex_Budget!$E:$E,$B$810,Opex_Budget!$F:$F,$D$810,Opex_Budget!$N:$N,"JPY")*$E$5+SUMIFS(Opex_Budget!$T:$T,Opex_Budget!$A:$A,$C$3,Opex_Budget!$E:$E,$B$810,Opex_Budget!$F:$F,$D$810,Opex_Budget!$N:$N,"USD")*$F$5+SUMIFS(Opex_Budget!$T:$T,Opex_Budget!$A:$A,$C$3,Opex_Budget!$E:$E,$B$810,Opex_Budget!$F:$F,$D$810,Opex_Budget!$N:$N,"EUR")*$G$5+SUMIFS(Opex_Budget!$T:$T,Opex_Budget!$A:$A,$C$3,Opex_Budget!$E:$E,$B$810,Opex_Budget!$F:$F,$D$810,Opex_Budget!$N:$N,"GBP")*$H$5)</f>
        <v/>
      </c>
      <c r="N810" s="32">
        <f>IF($B$810="","",SUMIFS(Opex_Budget!$U:$U,Opex_Budget!$A:$A,$C$3,Opex_Budget!$E:$E,$B$810,Opex_Budget!$F:$F,$D$810,Opex_Budget!$N:$N,"JPY")*$E$5+SUMIFS(Opex_Budget!$U:$U,Opex_Budget!$A:$A,$C$3,Opex_Budget!$E:$E,$B$810,Opex_Budget!$F:$F,$D$810,Opex_Budget!$N:$N,"USD")*$F$5+SUMIFS(Opex_Budget!$U:$U,Opex_Budget!$A:$A,$C$3,Opex_Budget!$E:$E,$B$810,Opex_Budget!$F:$F,$D$810,Opex_Budget!$N:$N,"EUR")*$G$5+SUMIFS(Opex_Budget!$U:$U,Opex_Budget!$A:$A,$C$3,Opex_Budget!$E:$E,$B$810,Opex_Budget!$F:$F,$D$810,Opex_Budget!$N:$N,"GBP")*$H$5)</f>
        <v/>
      </c>
      <c r="O810" s="32">
        <f>IF($B$810="","",SUMIFS(Opex_Budget!$V:$V,Opex_Budget!$A:$A,$C$3,Opex_Budget!$E:$E,$B$810,Opex_Budget!$F:$F,$D$810,Opex_Budget!$N:$N,"JPY")*$E$5+SUMIFS(Opex_Budget!$V:$V,Opex_Budget!$A:$A,$C$3,Opex_Budget!$E:$E,$B$810,Opex_Budget!$F:$F,$D$810,Opex_Budget!$N:$N,"USD")*$F$5+SUMIFS(Opex_Budget!$V:$V,Opex_Budget!$A:$A,$C$3,Opex_Budget!$E:$E,$B$810,Opex_Budget!$F:$F,$D$810,Opex_Budget!$N:$N,"EUR")*$G$5+SUMIFS(Opex_Budget!$V:$V,Opex_Budget!$A:$A,$C$3,Opex_Budget!$E:$E,$B$810,Opex_Budget!$F:$F,$D$810,Opex_Budget!$N:$N,"GBP")*$H$5)</f>
        <v/>
      </c>
      <c r="P810" s="32">
        <f>IF($B$810="","",SUMIFS(Opex_Budget!$W:$W,Opex_Budget!$A:$A,$C$3,Opex_Budget!$E:$E,$B$810,Opex_Budget!$F:$F,$D$810,Opex_Budget!$N:$N,"JPY")*$E$5+SUMIFS(Opex_Budget!$W:$W,Opex_Budget!$A:$A,$C$3,Opex_Budget!$E:$E,$B$810,Opex_Budget!$F:$F,$D$810,Opex_Budget!$N:$N,"USD")*$F$5+SUMIFS(Opex_Budget!$W:$W,Opex_Budget!$A:$A,$C$3,Opex_Budget!$E:$E,$B$810,Opex_Budget!$F:$F,$D$810,Opex_Budget!$N:$N,"EUR")*$G$5+SUMIFS(Opex_Budget!$W:$W,Opex_Budget!$A:$A,$C$3,Opex_Budget!$E:$E,$B$810,Opex_Budget!$F:$F,$D$810,Opex_Budget!$N:$N,"GBP")*$H$5)</f>
        <v/>
      </c>
      <c r="Q810" s="32">
        <f>IF($B$810="","",SUMIFS(Opex_Budget!$X:$X,Opex_Budget!$A:$A,$C$3,Opex_Budget!$E:$E,$B$810,Opex_Budget!$F:$F,$D$810,Opex_Budget!$N:$N,"JPY")*$E$5+SUMIFS(Opex_Budget!$X:$X,Opex_Budget!$A:$A,$C$3,Opex_Budget!$E:$E,$B$810,Opex_Budget!$F:$F,$D$810,Opex_Budget!$N:$N,"USD")*$F$5+SUMIFS(Opex_Budget!$X:$X,Opex_Budget!$A:$A,$C$3,Opex_Budget!$E:$E,$B$810,Opex_Budget!$F:$F,$D$810,Opex_Budget!$N:$N,"EUR")*$G$5+SUMIFS(Opex_Budget!$X:$X,Opex_Budget!$A:$A,$C$3,Opex_Budget!$E:$E,$B$810,Opex_Budget!$F:$F,$D$810,Opex_Budget!$N:$N,"GBP")*$H$5)</f>
        <v/>
      </c>
      <c r="R810" s="32">
        <f>IF($B$810="","",SUMIFS(Opex_Budget!$Y:$Y,Opex_Budget!$A:$A,$C$3,Opex_Budget!$E:$E,$B$810,Opex_Budget!$F:$F,$D$810,Opex_Budget!$N:$N,"JPY")*$E$5+SUMIFS(Opex_Budget!$Y:$Y,Opex_Budget!$A:$A,$C$3,Opex_Budget!$E:$E,$B$810,Opex_Budget!$F:$F,$D$810,Opex_Budget!$N:$N,"USD")*$F$5+SUMIFS(Opex_Budget!$Y:$Y,Opex_Budget!$A:$A,$C$3,Opex_Budget!$E:$E,$B$810,Opex_Budget!$F:$F,$D$810,Opex_Budget!$N:$N,"EUR")*$G$5+SUMIFS(Opex_Budget!$Y:$Y,Opex_Budget!$A:$A,$C$3,Opex_Budget!$E:$E,$B$810,Opex_Budget!$F:$F,$D$810,Opex_Budget!$N:$N,"GBP")*$H$5)</f>
        <v/>
      </c>
      <c r="S810" s="32">
        <f>IF($B$810="","",SUMIFS(Opex_Budget!$Z:$Z,Opex_Budget!$A:$A,$C$3,Opex_Budget!$E:$E,$B$810,Opex_Budget!$F:$F,$D$810,Opex_Budget!$N:$N,"JPY")*$E$5+SUMIFS(Opex_Budget!$Z:$Z,Opex_Budget!$A:$A,$C$3,Opex_Budget!$E:$E,$B$810,Opex_Budget!$F:$F,$D$810,Opex_Budget!$N:$N,"USD")*$F$5+SUMIFS(Opex_Budget!$Z:$Z,Opex_Budget!$A:$A,$C$3,Opex_Budget!$E:$E,$B$810,Opex_Budget!$F:$F,$D$810,Opex_Budget!$N:$N,"EUR")*$G$5+SUMIFS(Opex_Budget!$Z:$Z,Opex_Budget!$A:$A,$C$3,Opex_Budget!$E:$E,$B$810,Opex_Budget!$F:$F,$D$810,Opex_Budget!$N:$N,"GBP")*$H$5)</f>
        <v/>
      </c>
      <c r="T810" s="32">
        <f>IF($B$810="","",SUMIF($H$7:$S$7,"&lt;="&amp;$C$4,$H810:$S810))</f>
        <v/>
      </c>
      <c r="U810" s="32">
        <f>IF($B$810="","",SUMIF($H$7:$S$7,"&gt;"&amp;$C$4,$H810:$S810))</f>
        <v/>
      </c>
      <c r="V810" s="32">
        <f>IF($B$810="","",SUM($H810:$S810))</f>
        <v/>
      </c>
      <c r="X810" s="22">
        <f>IF($B810="","",IFERROR(INDEX(Cost_Centers!$E:$E,MATCH($B810,Cost_Centers!$A:$A,0)),"(unknown)"))</f>
        <v/>
      </c>
      <c r="Y810" s="22">
        <f>IF($B810="","",IFERROR(INDEX(Cost_Centers!$D:$D,MATCH($B810,Cost_Centers!$A:$A,0)),"(unknown)"))</f>
        <v/>
      </c>
      <c r="Z810" s="22">
        <f>IF(OR($B810="",$G810&lt;&gt;"Variance vs Budget"),"",ABS(N($V810))+ROW()/1000000000)</f>
        <v/>
      </c>
    </row>
    <row r="811">
      <c r="A811" s="13">
        <f>IF(A$810="","",A$810)</f>
        <v/>
      </c>
      <c r="B811" s="13">
        <f>IF(B$810="","",B$810)</f>
        <v/>
      </c>
      <c r="C811" s="13">
        <f>IF(C$810="","",C$810)</f>
        <v/>
      </c>
      <c r="D811" s="13">
        <f>IF(D$810="","",D$810)</f>
        <v/>
      </c>
      <c r="E811" s="13">
        <f>IF(E$810="","",E$810)</f>
        <v/>
      </c>
      <c r="F811" s="13">
        <f>IF(F$810="","",F$810)</f>
        <v/>
      </c>
      <c r="G811" s="7" t="inlineStr">
        <is>
          <t>Actual</t>
        </is>
      </c>
      <c r="H811" s="18">
        <f>IF(OR($B$810="",1&gt;$C$4),"",SUMIFS(Actuals!$G:$G,Actuals!$B:$B,$C$3,Actuals!$C:$C,1,Actuals!$D:$D,$B$810,Actuals!$A:$A,LEFT($D$810,FIND("|",$D$810&amp;"|")-1),Actuals!$E:$E,MID($D$810,FIND("|",$D$810&amp;"|")+1,50),Actuals!$F:$F,"JPY")*$E$5+SUMIFS(Actuals!$G:$G,Actuals!$B:$B,$C$3,Actuals!$C:$C,1,Actuals!$D:$D,$B$810,Actuals!$A:$A,LEFT($D$810,FIND("|",$D$810&amp;"|")-1),Actuals!$E:$E,MID($D$810,FIND("|",$D$810&amp;"|")+1,50),Actuals!$F:$F,"USD")*$F$5+SUMIFS(Actuals!$G:$G,Actuals!$B:$B,$C$3,Actuals!$C:$C,1,Actuals!$D:$D,$B$810,Actuals!$A:$A,LEFT($D$810,FIND("|",$D$810&amp;"|")-1),Actuals!$E:$E,MID($D$810,FIND("|",$D$810&amp;"|")+1,50),Actuals!$F:$F,"EUR")*$G$5+SUMIFS(Actuals!$G:$G,Actuals!$B:$B,$C$3,Actuals!$C:$C,1,Actuals!$D:$D,$B$810,Actuals!$A:$A,LEFT($D$810,FIND("|",$D$810&amp;"|")-1),Actuals!$E:$E,MID($D$810,FIND("|",$D$810&amp;"|")+1,50),Actuals!$F:$F,"GBP")*$H$5)</f>
        <v/>
      </c>
      <c r="I811" s="18">
        <f>IF(OR($B$810="",2&gt;$C$4),"",SUMIFS(Actuals!$G:$G,Actuals!$B:$B,$C$3,Actuals!$C:$C,2,Actuals!$D:$D,$B$810,Actuals!$A:$A,LEFT($D$810,FIND("|",$D$810&amp;"|")-1),Actuals!$E:$E,MID($D$810,FIND("|",$D$810&amp;"|")+1,50),Actuals!$F:$F,"JPY")*$E$5+SUMIFS(Actuals!$G:$G,Actuals!$B:$B,$C$3,Actuals!$C:$C,2,Actuals!$D:$D,$B$810,Actuals!$A:$A,LEFT($D$810,FIND("|",$D$810&amp;"|")-1),Actuals!$E:$E,MID($D$810,FIND("|",$D$810&amp;"|")+1,50),Actuals!$F:$F,"USD")*$F$5+SUMIFS(Actuals!$G:$G,Actuals!$B:$B,$C$3,Actuals!$C:$C,2,Actuals!$D:$D,$B$810,Actuals!$A:$A,LEFT($D$810,FIND("|",$D$810&amp;"|")-1),Actuals!$E:$E,MID($D$810,FIND("|",$D$810&amp;"|")+1,50),Actuals!$F:$F,"EUR")*$G$5+SUMIFS(Actuals!$G:$G,Actuals!$B:$B,$C$3,Actuals!$C:$C,2,Actuals!$D:$D,$B$810,Actuals!$A:$A,LEFT($D$810,FIND("|",$D$810&amp;"|")-1),Actuals!$E:$E,MID($D$810,FIND("|",$D$810&amp;"|")+1,50),Actuals!$F:$F,"GBP")*$H$5)</f>
        <v/>
      </c>
      <c r="J811" s="18">
        <f>IF(OR($B$810="",3&gt;$C$4),"",SUMIFS(Actuals!$G:$G,Actuals!$B:$B,$C$3,Actuals!$C:$C,3,Actuals!$D:$D,$B$810,Actuals!$A:$A,LEFT($D$810,FIND("|",$D$810&amp;"|")-1),Actuals!$E:$E,MID($D$810,FIND("|",$D$810&amp;"|")+1,50),Actuals!$F:$F,"JPY")*$E$5+SUMIFS(Actuals!$G:$G,Actuals!$B:$B,$C$3,Actuals!$C:$C,3,Actuals!$D:$D,$B$810,Actuals!$A:$A,LEFT($D$810,FIND("|",$D$810&amp;"|")-1),Actuals!$E:$E,MID($D$810,FIND("|",$D$810&amp;"|")+1,50),Actuals!$F:$F,"USD")*$F$5+SUMIFS(Actuals!$G:$G,Actuals!$B:$B,$C$3,Actuals!$C:$C,3,Actuals!$D:$D,$B$810,Actuals!$A:$A,LEFT($D$810,FIND("|",$D$810&amp;"|")-1),Actuals!$E:$E,MID($D$810,FIND("|",$D$810&amp;"|")+1,50),Actuals!$F:$F,"EUR")*$G$5+SUMIFS(Actuals!$G:$G,Actuals!$B:$B,$C$3,Actuals!$C:$C,3,Actuals!$D:$D,$B$810,Actuals!$A:$A,LEFT($D$810,FIND("|",$D$810&amp;"|")-1),Actuals!$E:$E,MID($D$810,FIND("|",$D$810&amp;"|")+1,50),Actuals!$F:$F,"GBP")*$H$5)</f>
        <v/>
      </c>
      <c r="K811" s="18">
        <f>IF(OR($B$810="",4&gt;$C$4),"",SUMIFS(Actuals!$G:$G,Actuals!$B:$B,$C$3,Actuals!$C:$C,4,Actuals!$D:$D,$B$810,Actuals!$A:$A,LEFT($D$810,FIND("|",$D$810&amp;"|")-1),Actuals!$E:$E,MID($D$810,FIND("|",$D$810&amp;"|")+1,50),Actuals!$F:$F,"JPY")*$E$5+SUMIFS(Actuals!$G:$G,Actuals!$B:$B,$C$3,Actuals!$C:$C,4,Actuals!$D:$D,$B$810,Actuals!$A:$A,LEFT($D$810,FIND("|",$D$810&amp;"|")-1),Actuals!$E:$E,MID($D$810,FIND("|",$D$810&amp;"|")+1,50),Actuals!$F:$F,"USD")*$F$5+SUMIFS(Actuals!$G:$G,Actuals!$B:$B,$C$3,Actuals!$C:$C,4,Actuals!$D:$D,$B$810,Actuals!$A:$A,LEFT($D$810,FIND("|",$D$810&amp;"|")-1),Actuals!$E:$E,MID($D$810,FIND("|",$D$810&amp;"|")+1,50),Actuals!$F:$F,"EUR")*$G$5+SUMIFS(Actuals!$G:$G,Actuals!$B:$B,$C$3,Actuals!$C:$C,4,Actuals!$D:$D,$B$810,Actuals!$A:$A,LEFT($D$810,FIND("|",$D$810&amp;"|")-1),Actuals!$E:$E,MID($D$810,FIND("|",$D$810&amp;"|")+1,50),Actuals!$F:$F,"GBP")*$H$5)</f>
        <v/>
      </c>
      <c r="L811" s="18">
        <f>IF(OR($B$810="",5&gt;$C$4),"",SUMIFS(Actuals!$G:$G,Actuals!$B:$B,$C$3,Actuals!$C:$C,5,Actuals!$D:$D,$B$810,Actuals!$A:$A,LEFT($D$810,FIND("|",$D$810&amp;"|")-1),Actuals!$E:$E,MID($D$810,FIND("|",$D$810&amp;"|")+1,50),Actuals!$F:$F,"JPY")*$E$5+SUMIFS(Actuals!$G:$G,Actuals!$B:$B,$C$3,Actuals!$C:$C,5,Actuals!$D:$D,$B$810,Actuals!$A:$A,LEFT($D$810,FIND("|",$D$810&amp;"|")-1),Actuals!$E:$E,MID($D$810,FIND("|",$D$810&amp;"|")+1,50),Actuals!$F:$F,"USD")*$F$5+SUMIFS(Actuals!$G:$G,Actuals!$B:$B,$C$3,Actuals!$C:$C,5,Actuals!$D:$D,$B$810,Actuals!$A:$A,LEFT($D$810,FIND("|",$D$810&amp;"|")-1),Actuals!$E:$E,MID($D$810,FIND("|",$D$810&amp;"|")+1,50),Actuals!$F:$F,"EUR")*$G$5+SUMIFS(Actuals!$G:$G,Actuals!$B:$B,$C$3,Actuals!$C:$C,5,Actuals!$D:$D,$B$810,Actuals!$A:$A,LEFT($D$810,FIND("|",$D$810&amp;"|")-1),Actuals!$E:$E,MID($D$810,FIND("|",$D$810&amp;"|")+1,50),Actuals!$F:$F,"GBP")*$H$5)</f>
        <v/>
      </c>
      <c r="M811" s="18">
        <f>IF(OR($B$810="",6&gt;$C$4),"",SUMIFS(Actuals!$G:$G,Actuals!$B:$B,$C$3,Actuals!$C:$C,6,Actuals!$D:$D,$B$810,Actuals!$A:$A,LEFT($D$810,FIND("|",$D$810&amp;"|")-1),Actuals!$E:$E,MID($D$810,FIND("|",$D$810&amp;"|")+1,50),Actuals!$F:$F,"JPY")*$E$5+SUMIFS(Actuals!$G:$G,Actuals!$B:$B,$C$3,Actuals!$C:$C,6,Actuals!$D:$D,$B$810,Actuals!$A:$A,LEFT($D$810,FIND("|",$D$810&amp;"|")-1),Actuals!$E:$E,MID($D$810,FIND("|",$D$810&amp;"|")+1,50),Actuals!$F:$F,"USD")*$F$5+SUMIFS(Actuals!$G:$G,Actuals!$B:$B,$C$3,Actuals!$C:$C,6,Actuals!$D:$D,$B$810,Actuals!$A:$A,LEFT($D$810,FIND("|",$D$810&amp;"|")-1),Actuals!$E:$E,MID($D$810,FIND("|",$D$810&amp;"|")+1,50),Actuals!$F:$F,"EUR")*$G$5+SUMIFS(Actuals!$G:$G,Actuals!$B:$B,$C$3,Actuals!$C:$C,6,Actuals!$D:$D,$B$810,Actuals!$A:$A,LEFT($D$810,FIND("|",$D$810&amp;"|")-1),Actuals!$E:$E,MID($D$810,FIND("|",$D$810&amp;"|")+1,50),Actuals!$F:$F,"GBP")*$H$5)</f>
        <v/>
      </c>
      <c r="N811" s="18">
        <f>IF(OR($B$810="",7&gt;$C$4),"",SUMIFS(Actuals!$G:$G,Actuals!$B:$B,$C$3,Actuals!$C:$C,7,Actuals!$D:$D,$B$810,Actuals!$A:$A,LEFT($D$810,FIND("|",$D$810&amp;"|")-1),Actuals!$E:$E,MID($D$810,FIND("|",$D$810&amp;"|")+1,50),Actuals!$F:$F,"JPY")*$E$5+SUMIFS(Actuals!$G:$G,Actuals!$B:$B,$C$3,Actuals!$C:$C,7,Actuals!$D:$D,$B$810,Actuals!$A:$A,LEFT($D$810,FIND("|",$D$810&amp;"|")-1),Actuals!$E:$E,MID($D$810,FIND("|",$D$810&amp;"|")+1,50),Actuals!$F:$F,"USD")*$F$5+SUMIFS(Actuals!$G:$G,Actuals!$B:$B,$C$3,Actuals!$C:$C,7,Actuals!$D:$D,$B$810,Actuals!$A:$A,LEFT($D$810,FIND("|",$D$810&amp;"|")-1),Actuals!$E:$E,MID($D$810,FIND("|",$D$810&amp;"|")+1,50),Actuals!$F:$F,"EUR")*$G$5+SUMIFS(Actuals!$G:$G,Actuals!$B:$B,$C$3,Actuals!$C:$C,7,Actuals!$D:$D,$B$810,Actuals!$A:$A,LEFT($D$810,FIND("|",$D$810&amp;"|")-1),Actuals!$E:$E,MID($D$810,FIND("|",$D$810&amp;"|")+1,50),Actuals!$F:$F,"GBP")*$H$5)</f>
        <v/>
      </c>
      <c r="O811" s="18">
        <f>IF(OR($B$810="",8&gt;$C$4),"",SUMIFS(Actuals!$G:$G,Actuals!$B:$B,$C$3,Actuals!$C:$C,8,Actuals!$D:$D,$B$810,Actuals!$A:$A,LEFT($D$810,FIND("|",$D$810&amp;"|")-1),Actuals!$E:$E,MID($D$810,FIND("|",$D$810&amp;"|")+1,50),Actuals!$F:$F,"JPY")*$E$5+SUMIFS(Actuals!$G:$G,Actuals!$B:$B,$C$3,Actuals!$C:$C,8,Actuals!$D:$D,$B$810,Actuals!$A:$A,LEFT($D$810,FIND("|",$D$810&amp;"|")-1),Actuals!$E:$E,MID($D$810,FIND("|",$D$810&amp;"|")+1,50),Actuals!$F:$F,"USD")*$F$5+SUMIFS(Actuals!$G:$G,Actuals!$B:$B,$C$3,Actuals!$C:$C,8,Actuals!$D:$D,$B$810,Actuals!$A:$A,LEFT($D$810,FIND("|",$D$810&amp;"|")-1),Actuals!$E:$E,MID($D$810,FIND("|",$D$810&amp;"|")+1,50),Actuals!$F:$F,"EUR")*$G$5+SUMIFS(Actuals!$G:$G,Actuals!$B:$B,$C$3,Actuals!$C:$C,8,Actuals!$D:$D,$B$810,Actuals!$A:$A,LEFT($D$810,FIND("|",$D$810&amp;"|")-1),Actuals!$E:$E,MID($D$810,FIND("|",$D$810&amp;"|")+1,50),Actuals!$F:$F,"GBP")*$H$5)</f>
        <v/>
      </c>
      <c r="P811" s="18">
        <f>IF(OR($B$810="",9&gt;$C$4),"",SUMIFS(Actuals!$G:$G,Actuals!$B:$B,$C$3,Actuals!$C:$C,9,Actuals!$D:$D,$B$810,Actuals!$A:$A,LEFT($D$810,FIND("|",$D$810&amp;"|")-1),Actuals!$E:$E,MID($D$810,FIND("|",$D$810&amp;"|")+1,50),Actuals!$F:$F,"JPY")*$E$5+SUMIFS(Actuals!$G:$G,Actuals!$B:$B,$C$3,Actuals!$C:$C,9,Actuals!$D:$D,$B$810,Actuals!$A:$A,LEFT($D$810,FIND("|",$D$810&amp;"|")-1),Actuals!$E:$E,MID($D$810,FIND("|",$D$810&amp;"|")+1,50),Actuals!$F:$F,"USD")*$F$5+SUMIFS(Actuals!$G:$G,Actuals!$B:$B,$C$3,Actuals!$C:$C,9,Actuals!$D:$D,$B$810,Actuals!$A:$A,LEFT($D$810,FIND("|",$D$810&amp;"|")-1),Actuals!$E:$E,MID($D$810,FIND("|",$D$810&amp;"|")+1,50),Actuals!$F:$F,"EUR")*$G$5+SUMIFS(Actuals!$G:$G,Actuals!$B:$B,$C$3,Actuals!$C:$C,9,Actuals!$D:$D,$B$810,Actuals!$A:$A,LEFT($D$810,FIND("|",$D$810&amp;"|")-1),Actuals!$E:$E,MID($D$810,FIND("|",$D$810&amp;"|")+1,50),Actuals!$F:$F,"GBP")*$H$5)</f>
        <v/>
      </c>
      <c r="Q811" s="18">
        <f>IF(OR($B$810="",10&gt;$C$4),"",SUMIFS(Actuals!$G:$G,Actuals!$B:$B,$C$3,Actuals!$C:$C,10,Actuals!$D:$D,$B$810,Actuals!$A:$A,LEFT($D$810,FIND("|",$D$810&amp;"|")-1),Actuals!$E:$E,MID($D$810,FIND("|",$D$810&amp;"|")+1,50),Actuals!$F:$F,"JPY")*$E$5+SUMIFS(Actuals!$G:$G,Actuals!$B:$B,$C$3,Actuals!$C:$C,10,Actuals!$D:$D,$B$810,Actuals!$A:$A,LEFT($D$810,FIND("|",$D$810&amp;"|")-1),Actuals!$E:$E,MID($D$810,FIND("|",$D$810&amp;"|")+1,50),Actuals!$F:$F,"USD")*$F$5+SUMIFS(Actuals!$G:$G,Actuals!$B:$B,$C$3,Actuals!$C:$C,10,Actuals!$D:$D,$B$810,Actuals!$A:$A,LEFT($D$810,FIND("|",$D$810&amp;"|")-1),Actuals!$E:$E,MID($D$810,FIND("|",$D$810&amp;"|")+1,50),Actuals!$F:$F,"EUR")*$G$5+SUMIFS(Actuals!$G:$G,Actuals!$B:$B,$C$3,Actuals!$C:$C,10,Actuals!$D:$D,$B$810,Actuals!$A:$A,LEFT($D$810,FIND("|",$D$810&amp;"|")-1),Actuals!$E:$E,MID($D$810,FIND("|",$D$810&amp;"|")+1,50),Actuals!$F:$F,"GBP")*$H$5)</f>
        <v/>
      </c>
      <c r="R811" s="18">
        <f>IF(OR($B$810="",11&gt;$C$4),"",SUMIFS(Actuals!$G:$G,Actuals!$B:$B,$C$3,Actuals!$C:$C,11,Actuals!$D:$D,$B$810,Actuals!$A:$A,LEFT($D$810,FIND("|",$D$810&amp;"|")-1),Actuals!$E:$E,MID($D$810,FIND("|",$D$810&amp;"|")+1,50),Actuals!$F:$F,"JPY")*$E$5+SUMIFS(Actuals!$G:$G,Actuals!$B:$B,$C$3,Actuals!$C:$C,11,Actuals!$D:$D,$B$810,Actuals!$A:$A,LEFT($D$810,FIND("|",$D$810&amp;"|")-1),Actuals!$E:$E,MID($D$810,FIND("|",$D$810&amp;"|")+1,50),Actuals!$F:$F,"USD")*$F$5+SUMIFS(Actuals!$G:$G,Actuals!$B:$B,$C$3,Actuals!$C:$C,11,Actuals!$D:$D,$B$810,Actuals!$A:$A,LEFT($D$810,FIND("|",$D$810&amp;"|")-1),Actuals!$E:$E,MID($D$810,FIND("|",$D$810&amp;"|")+1,50),Actuals!$F:$F,"EUR")*$G$5+SUMIFS(Actuals!$G:$G,Actuals!$B:$B,$C$3,Actuals!$C:$C,11,Actuals!$D:$D,$B$810,Actuals!$A:$A,LEFT($D$810,FIND("|",$D$810&amp;"|")-1),Actuals!$E:$E,MID($D$810,FIND("|",$D$810&amp;"|")+1,50),Actuals!$F:$F,"GBP")*$H$5)</f>
        <v/>
      </c>
      <c r="S811" s="18">
        <f>IF(OR($B$810="",12&gt;$C$4),"",SUMIFS(Actuals!$G:$G,Actuals!$B:$B,$C$3,Actuals!$C:$C,12,Actuals!$D:$D,$B$810,Actuals!$A:$A,LEFT($D$810,FIND("|",$D$810&amp;"|")-1),Actuals!$E:$E,MID($D$810,FIND("|",$D$810&amp;"|")+1,50),Actuals!$F:$F,"JPY")*$E$5+SUMIFS(Actuals!$G:$G,Actuals!$B:$B,$C$3,Actuals!$C:$C,12,Actuals!$D:$D,$B$810,Actuals!$A:$A,LEFT($D$810,FIND("|",$D$810&amp;"|")-1),Actuals!$E:$E,MID($D$810,FIND("|",$D$810&amp;"|")+1,50),Actuals!$F:$F,"USD")*$F$5+SUMIFS(Actuals!$G:$G,Actuals!$B:$B,$C$3,Actuals!$C:$C,12,Actuals!$D:$D,$B$810,Actuals!$A:$A,LEFT($D$810,FIND("|",$D$810&amp;"|")-1),Actuals!$E:$E,MID($D$810,FIND("|",$D$810&amp;"|")+1,50),Actuals!$F:$F,"EUR")*$G$5+SUMIFS(Actuals!$G:$G,Actuals!$B:$B,$C$3,Actuals!$C:$C,12,Actuals!$D:$D,$B$810,Actuals!$A:$A,LEFT($D$810,FIND("|",$D$810&amp;"|")-1),Actuals!$E:$E,MID($D$810,FIND("|",$D$810&amp;"|")+1,50),Actuals!$F:$F,"GBP")*$H$5)</f>
        <v/>
      </c>
      <c r="T811" s="18">
        <f>IF($B$810="","",SUMIF($H$7:$S$7,"&lt;="&amp;$C$4,$H811:$S811))</f>
        <v/>
      </c>
      <c r="U811" s="18" t="n"/>
      <c r="V811" s="18" t="n"/>
      <c r="X811" s="22">
        <f>IF($B811="","",IFERROR(INDEX(Cost_Centers!$E:$E,MATCH($B811,Cost_Centers!$A:$A,0)),"(unknown)"))</f>
        <v/>
      </c>
      <c r="Y811" s="22">
        <f>IF($B811="","",IFERROR(INDEX(Cost_Centers!$D:$D,MATCH($B811,Cost_Centers!$A:$A,0)),"(unknown)"))</f>
        <v/>
      </c>
      <c r="Z811" s="22">
        <f>IF(OR($B811="",$G811&lt;&gt;"Variance vs Budget"),"",ABS(N($V811))+ROW()/1000000000)</f>
        <v/>
      </c>
    </row>
    <row r="812">
      <c r="A812" s="13">
        <f>IF(A$810="","",A$810)</f>
        <v/>
      </c>
      <c r="B812" s="13">
        <f>IF(B$810="","",B$810)</f>
        <v/>
      </c>
      <c r="C812" s="13">
        <f>IF(C$810="","",C$810)</f>
        <v/>
      </c>
      <c r="D812" s="13">
        <f>IF(D$810="","",D$810)</f>
        <v/>
      </c>
      <c r="E812" s="13">
        <f>IF(E$810="","",E$810)</f>
        <v/>
      </c>
      <c r="F812" s="13">
        <f>IF(F$810="","",F$810)</f>
        <v/>
      </c>
      <c r="G812" s="6" t="inlineStr">
        <is>
          <t>Variance vs Budget</t>
        </is>
      </c>
      <c r="H812" s="33">
        <f>IF(OR($B$810="",1&gt;$C$4),"",N(H811)-H810)</f>
        <v/>
      </c>
      <c r="I812" s="33">
        <f>IF(OR($B$810="",2&gt;$C$4),"",N(I811)-I810)</f>
        <v/>
      </c>
      <c r="J812" s="33">
        <f>IF(OR($B$810="",3&gt;$C$4),"",N(J811)-J810)</f>
        <v/>
      </c>
      <c r="K812" s="33">
        <f>IF(OR($B$810="",4&gt;$C$4),"",N(K811)-K810)</f>
        <v/>
      </c>
      <c r="L812" s="33">
        <f>IF(OR($B$810="",5&gt;$C$4),"",N(L811)-L810)</f>
        <v/>
      </c>
      <c r="M812" s="33">
        <f>IF(OR($B$810="",6&gt;$C$4),"",N(M811)-M810)</f>
        <v/>
      </c>
      <c r="N812" s="33">
        <f>IF(OR($B$810="",7&gt;$C$4),"",N(N811)-N810)</f>
        <v/>
      </c>
      <c r="O812" s="33">
        <f>IF(OR($B$810="",8&gt;$C$4),"",N(O811)-O810)</f>
        <v/>
      </c>
      <c r="P812" s="33">
        <f>IF(OR($B$810="",9&gt;$C$4),"",N(P811)-P810)</f>
        <v/>
      </c>
      <c r="Q812" s="33">
        <f>IF(OR($B$810="",10&gt;$C$4),"",N(Q811)-Q810)</f>
        <v/>
      </c>
      <c r="R812" s="33">
        <f>IF(OR($B$810="",11&gt;$C$4),"",N(R811)-R810)</f>
        <v/>
      </c>
      <c r="S812" s="33">
        <f>IF(OR($B$810="",12&gt;$C$4),"",N(S811)-S810)</f>
        <v/>
      </c>
      <c r="T812" s="33">
        <f>IF($B$810="","",T811-T810)</f>
        <v/>
      </c>
      <c r="U812" s="33">
        <f>IF($B$810="","",U814-U810)</f>
        <v/>
      </c>
      <c r="V812" s="33">
        <f>IF($B$810="","",V814-V810)</f>
        <v/>
      </c>
      <c r="X812" s="22">
        <f>IF($B812="","",IFERROR(INDEX(Cost_Centers!$E:$E,MATCH($B812,Cost_Centers!$A:$A,0)),"(unknown)"))</f>
        <v/>
      </c>
      <c r="Y812" s="22">
        <f>IF($B812="","",IFERROR(INDEX(Cost_Centers!$D:$D,MATCH($B812,Cost_Centers!$A:$A,0)),"(unknown)"))</f>
        <v/>
      </c>
      <c r="Z812" s="22">
        <f>IF(OR($B812="",$G812&lt;&gt;"Variance vs Budget"),"",ABS(N($V812))+ROW()/1000000000)</f>
        <v/>
      </c>
    </row>
    <row r="813">
      <c r="A813" s="13">
        <f>IF(A$810="","",A$810)</f>
        <v/>
      </c>
      <c r="B813" s="13">
        <f>IF(B$810="","",B$810)</f>
        <v/>
      </c>
      <c r="C813" s="13">
        <f>IF(C$810="","",C$810)</f>
        <v/>
      </c>
      <c r="D813" s="13">
        <f>IF(D$810="","",D$810)</f>
        <v/>
      </c>
      <c r="E813" s="13">
        <f>IF(E$810="","",E$810)</f>
        <v/>
      </c>
      <c r="F813" s="13">
        <f>IF(F$810="","",F$810)</f>
        <v/>
      </c>
      <c r="G813" s="7" t="inlineStr">
        <is>
          <t>Forecast (input)</t>
        </is>
      </c>
      <c r="H813" s="34" t="n"/>
      <c r="I813" s="34" t="n"/>
      <c r="J813" s="34" t="n"/>
      <c r="K813" s="34" t="n"/>
      <c r="L813" s="34" t="n"/>
      <c r="M813" s="34" t="n"/>
      <c r="N813" s="34" t="n"/>
      <c r="O813" s="34" t="n"/>
      <c r="P813" s="34" t="n"/>
      <c r="Q813" s="34" t="n"/>
      <c r="R813" s="34" t="n"/>
      <c r="S813" s="34" t="n"/>
      <c r="T813" s="18" t="n"/>
      <c r="U813" s="18" t="n"/>
      <c r="V813" s="18" t="n"/>
      <c r="X813" s="22">
        <f>IF($B813="","",IFERROR(INDEX(Cost_Centers!$E:$E,MATCH($B813,Cost_Centers!$A:$A,0)),"(unknown)"))</f>
        <v/>
      </c>
      <c r="Y813" s="22">
        <f>IF($B813="","",IFERROR(INDEX(Cost_Centers!$D:$D,MATCH($B813,Cost_Centers!$A:$A,0)),"(unknown)"))</f>
        <v/>
      </c>
      <c r="Z813" s="22">
        <f>IF(OR($B813="",$G813&lt;&gt;"Variance vs Budget"),"",ABS(N($V813))+ROW()/1000000000)</f>
        <v/>
      </c>
    </row>
    <row r="814">
      <c r="A814" s="13">
        <f>IF(A$810="","",A$810)</f>
        <v/>
      </c>
      <c r="B814" s="13">
        <f>IF(B$810="","",B$810)</f>
        <v/>
      </c>
      <c r="C814" s="13">
        <f>IF(C$810="","",C$810)</f>
        <v/>
      </c>
      <c r="D814" s="13">
        <f>IF(D$810="","",D$810)</f>
        <v/>
      </c>
      <c r="E814" s="13">
        <f>IF(E$810="","",E$810)</f>
        <v/>
      </c>
      <c r="F814" s="13">
        <f>IF(F$810="","",F$810)</f>
        <v/>
      </c>
      <c r="G814" s="35" t="inlineStr">
        <is>
          <t>Actual + Forecast</t>
        </is>
      </c>
      <c r="H814" s="18">
        <f>IF($B$810="","",IF(1&lt;=$C$4,N(H811),IF(H813="",H810,H813)))</f>
        <v/>
      </c>
      <c r="I814" s="18">
        <f>IF($B$810="","",IF(2&lt;=$C$4,N(I811),IF(I813="",I810,I813)))</f>
        <v/>
      </c>
      <c r="J814" s="18">
        <f>IF($B$810="","",IF(3&lt;=$C$4,N(J811),IF(J813="",J810,J813)))</f>
        <v/>
      </c>
      <c r="K814" s="18">
        <f>IF($B$810="","",IF(4&lt;=$C$4,N(K811),IF(K813="",K810,K813)))</f>
        <v/>
      </c>
      <c r="L814" s="18">
        <f>IF($B$810="","",IF(5&lt;=$C$4,N(L811),IF(L813="",L810,L813)))</f>
        <v/>
      </c>
      <c r="M814" s="18">
        <f>IF($B$810="","",IF(6&lt;=$C$4,N(M811),IF(M813="",M810,M813)))</f>
        <v/>
      </c>
      <c r="N814" s="18">
        <f>IF($B$810="","",IF(7&lt;=$C$4,N(N811),IF(N813="",N810,N813)))</f>
        <v/>
      </c>
      <c r="O814" s="18">
        <f>IF($B$810="","",IF(8&lt;=$C$4,N(O811),IF(O813="",O810,O813)))</f>
        <v/>
      </c>
      <c r="P814" s="18">
        <f>IF($B$810="","",IF(9&lt;=$C$4,N(P811),IF(P813="",P810,P813)))</f>
        <v/>
      </c>
      <c r="Q814" s="18">
        <f>IF($B$810="","",IF(10&lt;=$C$4,N(Q811),IF(Q813="",Q810,Q813)))</f>
        <v/>
      </c>
      <c r="R814" s="18">
        <f>IF($B$810="","",IF(11&lt;=$C$4,N(R811),IF(R813="",R810,R813)))</f>
        <v/>
      </c>
      <c r="S814" s="18">
        <f>IF($B$810="","",IF(12&lt;=$C$4,N(S811),IF(S813="",S810,S813)))</f>
        <v/>
      </c>
      <c r="T814" s="18">
        <f>IF($B$810="","",SUMIF($H$7:$S$7,"&lt;="&amp;$C$4,$H814:$S814))</f>
        <v/>
      </c>
      <c r="U814" s="18">
        <f>IF($B$810="","",SUMIF($H$7:$S$7,"&gt;"&amp;$C$4,$H814:$S814))</f>
        <v/>
      </c>
      <c r="V814" s="18">
        <f>IF($B$810="","",SUM($H814:$S814))</f>
        <v/>
      </c>
      <c r="X814" s="22">
        <f>IF($B814="","",IFERROR(INDEX(Cost_Centers!$E:$E,MATCH($B814,Cost_Centers!$A:$A,0)),"(unknown)"))</f>
        <v/>
      </c>
      <c r="Y814" s="22">
        <f>IF($B814="","",IFERROR(INDEX(Cost_Centers!$D:$D,MATCH($B814,Cost_Centers!$A:$A,0)),"(unknown)"))</f>
        <v/>
      </c>
      <c r="Z814" s="22">
        <f>IF(OR($B814="",$G814&lt;&gt;"Variance vs Budget"),"",ABS(N($V814))+ROW()/1000000000)</f>
        <v/>
      </c>
    </row>
    <row r="815">
      <c r="A815" s="13">
        <f>IF(A$810="","",A$810)</f>
        <v/>
      </c>
      <c r="B815" s="13">
        <f>IF(B$810="","",B$810)</f>
        <v/>
      </c>
      <c r="C815" s="13">
        <f>IF(C$810="","",C$810)</f>
        <v/>
      </c>
      <c r="D815" s="13">
        <f>IF(D$810="","",D$810)</f>
        <v/>
      </c>
      <c r="E815" s="13">
        <f>IF(E$810="","",E$810)</f>
        <v/>
      </c>
      <c r="F815" s="13">
        <f>IF(F$810="","",F$810)</f>
        <v/>
      </c>
      <c r="G815" s="36" t="inlineStr">
        <is>
          <t>Prior Month Forecast</t>
        </is>
      </c>
      <c r="H815" s="37">
        <f>IF($B$810="","",IF(COUNTIFS(Prior_Forecast!$A:$A,$B$810,Prior_Forecast!$B:$B,$D$810)&gt;0,SUMIFS(Prior_Forecast!$C:$C,Prior_Forecast!$A:$A,$B$810,Prior_Forecast!$B:$B,$D$810),""))</f>
        <v/>
      </c>
      <c r="I815" s="37">
        <f>IF($B$810="","",IF(COUNTIFS(Prior_Forecast!$A:$A,$B$810,Prior_Forecast!$B:$B,$D$810)&gt;0,SUMIFS(Prior_Forecast!$D:$D,Prior_Forecast!$A:$A,$B$810,Prior_Forecast!$B:$B,$D$810),""))</f>
        <v/>
      </c>
      <c r="J815" s="37">
        <f>IF($B$810="","",IF(COUNTIFS(Prior_Forecast!$A:$A,$B$810,Prior_Forecast!$B:$B,$D$810)&gt;0,SUMIFS(Prior_Forecast!$E:$E,Prior_Forecast!$A:$A,$B$810,Prior_Forecast!$B:$B,$D$810),""))</f>
        <v/>
      </c>
      <c r="K815" s="37">
        <f>IF($B$810="","",IF(COUNTIFS(Prior_Forecast!$A:$A,$B$810,Prior_Forecast!$B:$B,$D$810)&gt;0,SUMIFS(Prior_Forecast!$F:$F,Prior_Forecast!$A:$A,$B$810,Prior_Forecast!$B:$B,$D$810),""))</f>
        <v/>
      </c>
      <c r="L815" s="37">
        <f>IF($B$810="","",IF(COUNTIFS(Prior_Forecast!$A:$A,$B$810,Prior_Forecast!$B:$B,$D$810)&gt;0,SUMIFS(Prior_Forecast!$G:$G,Prior_Forecast!$A:$A,$B$810,Prior_Forecast!$B:$B,$D$810),""))</f>
        <v/>
      </c>
      <c r="M815" s="37">
        <f>IF($B$810="","",IF(COUNTIFS(Prior_Forecast!$A:$A,$B$810,Prior_Forecast!$B:$B,$D$810)&gt;0,SUMIFS(Prior_Forecast!$H:$H,Prior_Forecast!$A:$A,$B$810,Prior_Forecast!$B:$B,$D$810),""))</f>
        <v/>
      </c>
      <c r="N815" s="37">
        <f>IF($B$810="","",IF(COUNTIFS(Prior_Forecast!$A:$A,$B$810,Prior_Forecast!$B:$B,$D$810)&gt;0,SUMIFS(Prior_Forecast!$I:$I,Prior_Forecast!$A:$A,$B$810,Prior_Forecast!$B:$B,$D$810),""))</f>
        <v/>
      </c>
      <c r="O815" s="37">
        <f>IF($B$810="","",IF(COUNTIFS(Prior_Forecast!$A:$A,$B$810,Prior_Forecast!$B:$B,$D$810)&gt;0,SUMIFS(Prior_Forecast!$J:$J,Prior_Forecast!$A:$A,$B$810,Prior_Forecast!$B:$B,$D$810),""))</f>
        <v/>
      </c>
      <c r="P815" s="37">
        <f>IF($B$810="","",IF(COUNTIFS(Prior_Forecast!$A:$A,$B$810,Prior_Forecast!$B:$B,$D$810)&gt;0,SUMIFS(Prior_Forecast!$K:$K,Prior_Forecast!$A:$A,$B$810,Prior_Forecast!$B:$B,$D$810),""))</f>
        <v/>
      </c>
      <c r="Q815" s="37">
        <f>IF($B$810="","",IF(COUNTIFS(Prior_Forecast!$A:$A,$B$810,Prior_Forecast!$B:$B,$D$810)&gt;0,SUMIFS(Prior_Forecast!$L:$L,Prior_Forecast!$A:$A,$B$810,Prior_Forecast!$B:$B,$D$810),""))</f>
        <v/>
      </c>
      <c r="R815" s="37">
        <f>IF($B$810="","",IF(COUNTIFS(Prior_Forecast!$A:$A,$B$810,Prior_Forecast!$B:$B,$D$810)&gt;0,SUMIFS(Prior_Forecast!$M:$M,Prior_Forecast!$A:$A,$B$810,Prior_Forecast!$B:$B,$D$810),""))</f>
        <v/>
      </c>
      <c r="S815" s="37">
        <f>IF($B$810="","",IF(COUNTIFS(Prior_Forecast!$A:$A,$B$810,Prior_Forecast!$B:$B,$D$810)&gt;0,SUMIFS(Prior_Forecast!$N:$N,Prior_Forecast!$A:$A,$B$810,Prior_Forecast!$B:$B,$D$810),""))</f>
        <v/>
      </c>
      <c r="T815" s="37">
        <f>IF($B$810="","",IF(COUNTIFS(Prior_Forecast!$A:$A,$B$810,Prior_Forecast!$B:$B,$D$810)&gt;0,SUMIFS(Prior_Forecast!$O:$O,Prior_Forecast!$A:$A,$B$810,Prior_Forecast!$B:$B,$D$810),""))</f>
        <v/>
      </c>
      <c r="U815" s="37">
        <f>IF($B$810="","",IF(COUNTIFS(Prior_Forecast!$A:$A,$B$810,Prior_Forecast!$B:$B,$D$810)&gt;0,SUMIFS(Prior_Forecast!$P:$P,Prior_Forecast!$A:$A,$B$810,Prior_Forecast!$B:$B,$D$810),""))</f>
        <v/>
      </c>
      <c r="V815" s="37">
        <f>IF($B$810="","",IF(COUNTIFS(Prior_Forecast!$A:$A,$B$810,Prior_Forecast!$B:$B,$D$810)&gt;0,SUMIFS(Prior_Forecast!$Q:$Q,Prior_Forecast!$A:$A,$B$810,Prior_Forecast!$B:$B,$D$810),""))</f>
        <v/>
      </c>
      <c r="X815" s="22">
        <f>IF($B815="","",IFERROR(INDEX(Cost_Centers!$E:$E,MATCH($B815,Cost_Centers!$A:$A,0)),"(unknown)"))</f>
        <v/>
      </c>
      <c r="Y815" s="22">
        <f>IF($B815="","",IFERROR(INDEX(Cost_Centers!$D:$D,MATCH($B815,Cost_Centers!$A:$A,0)),"(unknown)"))</f>
        <v/>
      </c>
      <c r="Z815" s="22">
        <f>IF(OR($B815="",$G815&lt;&gt;"Variance vs Budget"),"",ABS(N($V815))+ROW()/1000000000)</f>
        <v/>
      </c>
    </row>
    <row r="816">
      <c r="A816" s="13">
        <f>IF(A$810="","",A$810)</f>
        <v/>
      </c>
      <c r="B816" s="13">
        <f>IF(B$810="","",B$810)</f>
        <v/>
      </c>
      <c r="C816" s="13">
        <f>IF(C$810="","",C$810)</f>
        <v/>
      </c>
      <c r="D816" s="13">
        <f>IF(D$810="","",D$810)</f>
        <v/>
      </c>
      <c r="E816" s="13">
        <f>IF(E$810="","",E$810)</f>
        <v/>
      </c>
      <c r="F816" s="13">
        <f>IF(F$810="","",F$810)</f>
        <v/>
      </c>
      <c r="G816" s="6" t="inlineStr">
        <is>
          <t>Variance vs Prior Month</t>
        </is>
      </c>
      <c r="H816" s="33">
        <f>IF(OR($B$810="",H815=""),"",H814-H815)</f>
        <v/>
      </c>
      <c r="I816" s="33">
        <f>IF(OR($B$810="",I815=""),"",I814-I815)</f>
        <v/>
      </c>
      <c r="J816" s="33">
        <f>IF(OR($B$810="",J815=""),"",J814-J815)</f>
        <v/>
      </c>
      <c r="K816" s="33">
        <f>IF(OR($B$810="",K815=""),"",K814-K815)</f>
        <v/>
      </c>
      <c r="L816" s="33">
        <f>IF(OR($B$810="",L815=""),"",L814-L815)</f>
        <v/>
      </c>
      <c r="M816" s="33">
        <f>IF(OR($B$810="",M815=""),"",M814-M815)</f>
        <v/>
      </c>
      <c r="N816" s="33">
        <f>IF(OR($B$810="",N815=""),"",N814-N815)</f>
        <v/>
      </c>
      <c r="O816" s="33">
        <f>IF(OR($B$810="",O815=""),"",O814-O815)</f>
        <v/>
      </c>
      <c r="P816" s="33">
        <f>IF(OR($B$810="",P815=""),"",P814-P815)</f>
        <v/>
      </c>
      <c r="Q816" s="33">
        <f>IF(OR($B$810="",Q815=""),"",Q814-Q815)</f>
        <v/>
      </c>
      <c r="R816" s="33">
        <f>IF(OR($B$810="",R815=""),"",R814-R815)</f>
        <v/>
      </c>
      <c r="S816" s="33">
        <f>IF(OR($B$810="",S815=""),"",S814-S815)</f>
        <v/>
      </c>
      <c r="T816" s="33">
        <f>IF(OR($B$810="",T815=""),"",T814-T815)</f>
        <v/>
      </c>
      <c r="U816" s="33">
        <f>IF(OR($B$810="",U815=""),"",U814-U815)</f>
        <v/>
      </c>
      <c r="V816" s="33">
        <f>IF(OR($B$810="",V815=""),"",V814-V815)</f>
        <v/>
      </c>
      <c r="X816" s="22">
        <f>IF($B816="","",IFERROR(INDEX(Cost_Centers!$E:$E,MATCH($B816,Cost_Centers!$A:$A,0)),"(unknown)"))</f>
        <v/>
      </c>
      <c r="Y816" s="22">
        <f>IF($B816="","",IFERROR(INDEX(Cost_Centers!$D:$D,MATCH($B816,Cost_Centers!$A:$A,0)),"(unknown)"))</f>
        <v/>
      </c>
      <c r="Z816" s="22">
        <f>IF(OR($B816="",$G816&lt;&gt;"Variance vs Budget"),"",ABS(N($V816))+ROW()/1000000000)</f>
        <v/>
      </c>
    </row>
    <row r="817" ht="45" customHeight="1">
      <c r="A817" s="13">
        <f>IF(A$810="","",A$810)</f>
        <v/>
      </c>
      <c r="B817" s="13">
        <f>IF(B$810="","",B$810)</f>
        <v/>
      </c>
      <c r="C817" s="13">
        <f>IF(C$810="","",C$810)</f>
        <v/>
      </c>
      <c r="D817" s="13">
        <f>IF(D$810="","",D$810)</f>
        <v/>
      </c>
      <c r="E817" s="13">
        <f>IF(E$810="","",E$810)</f>
        <v/>
      </c>
      <c r="F817" s="13">
        <f>IF(F$810="","",F$810)</f>
        <v/>
      </c>
      <c r="G817" s="7" t="inlineStr">
        <is>
          <t>Rationale</t>
        </is>
      </c>
      <c r="H817" s="38" t="n"/>
      <c r="I817" s="38" t="n"/>
      <c r="J817" s="38" t="n"/>
      <c r="K817" s="38" t="n"/>
      <c r="L817" s="38" t="n"/>
      <c r="M817" s="38" t="n"/>
      <c r="N817" s="38" t="n"/>
      <c r="O817" s="38" t="n"/>
      <c r="P817" s="38" t="n"/>
      <c r="Q817" s="38" t="n"/>
      <c r="R817" s="38" t="n"/>
      <c r="S817" s="38" t="n"/>
      <c r="T817" s="38" t="n"/>
      <c r="U817" s="38" t="n"/>
      <c r="V817" s="7" t="n"/>
      <c r="X817" s="22">
        <f>IF($B817="","",IFERROR(INDEX(Cost_Centers!$E:$E,MATCH($B817,Cost_Centers!$A:$A,0)),"(unknown)"))</f>
        <v/>
      </c>
      <c r="Y817" s="22">
        <f>IF($B817="","",IFERROR(INDEX(Cost_Centers!$D:$D,MATCH($B817,Cost_Centers!$A:$A,0)),"(unknown)"))</f>
        <v/>
      </c>
      <c r="Z817" s="22">
        <f>IF(OR($B817="",$G817&lt;&gt;"Variance vs Budget"),"",ABS(N($V817))+ROW()/1000000000)</f>
        <v/>
      </c>
    </row>
    <row r="818">
      <c r="A818" s="30">
        <f>IF($D$818="","",LEFT($D$818,FIND("|",$D$818&amp;"|")-1))</f>
        <v/>
      </c>
      <c r="B818" s="31" t="n"/>
      <c r="C818" s="30">
        <f>IF($B$818="","",IFERROR(INDEX(Cost_Centers!$B:$B,MATCH($B$818,Cost_Centers!$A:$A,0)),"(not in master)"))</f>
        <v/>
      </c>
      <c r="D818" s="31" t="n"/>
      <c r="E818" s="30">
        <f>IF($D$818="","",IFERROR(INDEX(Accounts!$D:$D,MATCH($D$818,Accounts!$A:$A,0)),"(not in master)"))</f>
        <v/>
      </c>
      <c r="F818" s="31" t="n"/>
      <c r="G818" s="30" t="inlineStr">
        <is>
          <t>Budget</t>
        </is>
      </c>
      <c r="H818" s="32">
        <f>IF($B$818="","",SUMIFS(Opex_Budget!$O:$O,Opex_Budget!$A:$A,$C$3,Opex_Budget!$E:$E,$B$818,Opex_Budget!$F:$F,$D$818,Opex_Budget!$N:$N,"JPY")*$E$5+SUMIFS(Opex_Budget!$O:$O,Opex_Budget!$A:$A,$C$3,Opex_Budget!$E:$E,$B$818,Opex_Budget!$F:$F,$D$818,Opex_Budget!$N:$N,"USD")*$F$5+SUMIFS(Opex_Budget!$O:$O,Opex_Budget!$A:$A,$C$3,Opex_Budget!$E:$E,$B$818,Opex_Budget!$F:$F,$D$818,Opex_Budget!$N:$N,"EUR")*$G$5+SUMIFS(Opex_Budget!$O:$O,Opex_Budget!$A:$A,$C$3,Opex_Budget!$E:$E,$B$818,Opex_Budget!$F:$F,$D$818,Opex_Budget!$N:$N,"GBP")*$H$5)</f>
        <v/>
      </c>
      <c r="I818" s="32">
        <f>IF($B$818="","",SUMIFS(Opex_Budget!$P:$P,Opex_Budget!$A:$A,$C$3,Opex_Budget!$E:$E,$B$818,Opex_Budget!$F:$F,$D$818,Opex_Budget!$N:$N,"JPY")*$E$5+SUMIFS(Opex_Budget!$P:$P,Opex_Budget!$A:$A,$C$3,Opex_Budget!$E:$E,$B$818,Opex_Budget!$F:$F,$D$818,Opex_Budget!$N:$N,"USD")*$F$5+SUMIFS(Opex_Budget!$P:$P,Opex_Budget!$A:$A,$C$3,Opex_Budget!$E:$E,$B$818,Opex_Budget!$F:$F,$D$818,Opex_Budget!$N:$N,"EUR")*$G$5+SUMIFS(Opex_Budget!$P:$P,Opex_Budget!$A:$A,$C$3,Opex_Budget!$E:$E,$B$818,Opex_Budget!$F:$F,$D$818,Opex_Budget!$N:$N,"GBP")*$H$5)</f>
        <v/>
      </c>
      <c r="J818" s="32">
        <f>IF($B$818="","",SUMIFS(Opex_Budget!$Q:$Q,Opex_Budget!$A:$A,$C$3,Opex_Budget!$E:$E,$B$818,Opex_Budget!$F:$F,$D$818,Opex_Budget!$N:$N,"JPY")*$E$5+SUMIFS(Opex_Budget!$Q:$Q,Opex_Budget!$A:$A,$C$3,Opex_Budget!$E:$E,$B$818,Opex_Budget!$F:$F,$D$818,Opex_Budget!$N:$N,"USD")*$F$5+SUMIFS(Opex_Budget!$Q:$Q,Opex_Budget!$A:$A,$C$3,Opex_Budget!$E:$E,$B$818,Opex_Budget!$F:$F,$D$818,Opex_Budget!$N:$N,"EUR")*$G$5+SUMIFS(Opex_Budget!$Q:$Q,Opex_Budget!$A:$A,$C$3,Opex_Budget!$E:$E,$B$818,Opex_Budget!$F:$F,$D$818,Opex_Budget!$N:$N,"GBP")*$H$5)</f>
        <v/>
      </c>
      <c r="K818" s="32">
        <f>IF($B$818="","",SUMIFS(Opex_Budget!$R:$R,Opex_Budget!$A:$A,$C$3,Opex_Budget!$E:$E,$B$818,Opex_Budget!$F:$F,$D$818,Opex_Budget!$N:$N,"JPY")*$E$5+SUMIFS(Opex_Budget!$R:$R,Opex_Budget!$A:$A,$C$3,Opex_Budget!$E:$E,$B$818,Opex_Budget!$F:$F,$D$818,Opex_Budget!$N:$N,"USD")*$F$5+SUMIFS(Opex_Budget!$R:$R,Opex_Budget!$A:$A,$C$3,Opex_Budget!$E:$E,$B$818,Opex_Budget!$F:$F,$D$818,Opex_Budget!$N:$N,"EUR")*$G$5+SUMIFS(Opex_Budget!$R:$R,Opex_Budget!$A:$A,$C$3,Opex_Budget!$E:$E,$B$818,Opex_Budget!$F:$F,$D$818,Opex_Budget!$N:$N,"GBP")*$H$5)</f>
        <v/>
      </c>
      <c r="L818" s="32">
        <f>IF($B$818="","",SUMIFS(Opex_Budget!$S:$S,Opex_Budget!$A:$A,$C$3,Opex_Budget!$E:$E,$B$818,Opex_Budget!$F:$F,$D$818,Opex_Budget!$N:$N,"JPY")*$E$5+SUMIFS(Opex_Budget!$S:$S,Opex_Budget!$A:$A,$C$3,Opex_Budget!$E:$E,$B$818,Opex_Budget!$F:$F,$D$818,Opex_Budget!$N:$N,"USD")*$F$5+SUMIFS(Opex_Budget!$S:$S,Opex_Budget!$A:$A,$C$3,Opex_Budget!$E:$E,$B$818,Opex_Budget!$F:$F,$D$818,Opex_Budget!$N:$N,"EUR")*$G$5+SUMIFS(Opex_Budget!$S:$S,Opex_Budget!$A:$A,$C$3,Opex_Budget!$E:$E,$B$818,Opex_Budget!$F:$F,$D$818,Opex_Budget!$N:$N,"GBP")*$H$5)</f>
        <v/>
      </c>
      <c r="M818" s="32">
        <f>IF($B$818="","",SUMIFS(Opex_Budget!$T:$T,Opex_Budget!$A:$A,$C$3,Opex_Budget!$E:$E,$B$818,Opex_Budget!$F:$F,$D$818,Opex_Budget!$N:$N,"JPY")*$E$5+SUMIFS(Opex_Budget!$T:$T,Opex_Budget!$A:$A,$C$3,Opex_Budget!$E:$E,$B$818,Opex_Budget!$F:$F,$D$818,Opex_Budget!$N:$N,"USD")*$F$5+SUMIFS(Opex_Budget!$T:$T,Opex_Budget!$A:$A,$C$3,Opex_Budget!$E:$E,$B$818,Opex_Budget!$F:$F,$D$818,Opex_Budget!$N:$N,"EUR")*$G$5+SUMIFS(Opex_Budget!$T:$T,Opex_Budget!$A:$A,$C$3,Opex_Budget!$E:$E,$B$818,Opex_Budget!$F:$F,$D$818,Opex_Budget!$N:$N,"GBP")*$H$5)</f>
        <v/>
      </c>
      <c r="N818" s="32">
        <f>IF($B$818="","",SUMIFS(Opex_Budget!$U:$U,Opex_Budget!$A:$A,$C$3,Opex_Budget!$E:$E,$B$818,Opex_Budget!$F:$F,$D$818,Opex_Budget!$N:$N,"JPY")*$E$5+SUMIFS(Opex_Budget!$U:$U,Opex_Budget!$A:$A,$C$3,Opex_Budget!$E:$E,$B$818,Opex_Budget!$F:$F,$D$818,Opex_Budget!$N:$N,"USD")*$F$5+SUMIFS(Opex_Budget!$U:$U,Opex_Budget!$A:$A,$C$3,Opex_Budget!$E:$E,$B$818,Opex_Budget!$F:$F,$D$818,Opex_Budget!$N:$N,"EUR")*$G$5+SUMIFS(Opex_Budget!$U:$U,Opex_Budget!$A:$A,$C$3,Opex_Budget!$E:$E,$B$818,Opex_Budget!$F:$F,$D$818,Opex_Budget!$N:$N,"GBP")*$H$5)</f>
        <v/>
      </c>
      <c r="O818" s="32">
        <f>IF($B$818="","",SUMIFS(Opex_Budget!$V:$V,Opex_Budget!$A:$A,$C$3,Opex_Budget!$E:$E,$B$818,Opex_Budget!$F:$F,$D$818,Opex_Budget!$N:$N,"JPY")*$E$5+SUMIFS(Opex_Budget!$V:$V,Opex_Budget!$A:$A,$C$3,Opex_Budget!$E:$E,$B$818,Opex_Budget!$F:$F,$D$818,Opex_Budget!$N:$N,"USD")*$F$5+SUMIFS(Opex_Budget!$V:$V,Opex_Budget!$A:$A,$C$3,Opex_Budget!$E:$E,$B$818,Opex_Budget!$F:$F,$D$818,Opex_Budget!$N:$N,"EUR")*$G$5+SUMIFS(Opex_Budget!$V:$V,Opex_Budget!$A:$A,$C$3,Opex_Budget!$E:$E,$B$818,Opex_Budget!$F:$F,$D$818,Opex_Budget!$N:$N,"GBP")*$H$5)</f>
        <v/>
      </c>
      <c r="P818" s="32">
        <f>IF($B$818="","",SUMIFS(Opex_Budget!$W:$W,Opex_Budget!$A:$A,$C$3,Opex_Budget!$E:$E,$B$818,Opex_Budget!$F:$F,$D$818,Opex_Budget!$N:$N,"JPY")*$E$5+SUMIFS(Opex_Budget!$W:$W,Opex_Budget!$A:$A,$C$3,Opex_Budget!$E:$E,$B$818,Opex_Budget!$F:$F,$D$818,Opex_Budget!$N:$N,"USD")*$F$5+SUMIFS(Opex_Budget!$W:$W,Opex_Budget!$A:$A,$C$3,Opex_Budget!$E:$E,$B$818,Opex_Budget!$F:$F,$D$818,Opex_Budget!$N:$N,"EUR")*$G$5+SUMIFS(Opex_Budget!$W:$W,Opex_Budget!$A:$A,$C$3,Opex_Budget!$E:$E,$B$818,Opex_Budget!$F:$F,$D$818,Opex_Budget!$N:$N,"GBP")*$H$5)</f>
        <v/>
      </c>
      <c r="Q818" s="32">
        <f>IF($B$818="","",SUMIFS(Opex_Budget!$X:$X,Opex_Budget!$A:$A,$C$3,Opex_Budget!$E:$E,$B$818,Opex_Budget!$F:$F,$D$818,Opex_Budget!$N:$N,"JPY")*$E$5+SUMIFS(Opex_Budget!$X:$X,Opex_Budget!$A:$A,$C$3,Opex_Budget!$E:$E,$B$818,Opex_Budget!$F:$F,$D$818,Opex_Budget!$N:$N,"USD")*$F$5+SUMIFS(Opex_Budget!$X:$X,Opex_Budget!$A:$A,$C$3,Opex_Budget!$E:$E,$B$818,Opex_Budget!$F:$F,$D$818,Opex_Budget!$N:$N,"EUR")*$G$5+SUMIFS(Opex_Budget!$X:$X,Opex_Budget!$A:$A,$C$3,Opex_Budget!$E:$E,$B$818,Opex_Budget!$F:$F,$D$818,Opex_Budget!$N:$N,"GBP")*$H$5)</f>
        <v/>
      </c>
      <c r="R818" s="32">
        <f>IF($B$818="","",SUMIFS(Opex_Budget!$Y:$Y,Opex_Budget!$A:$A,$C$3,Opex_Budget!$E:$E,$B$818,Opex_Budget!$F:$F,$D$818,Opex_Budget!$N:$N,"JPY")*$E$5+SUMIFS(Opex_Budget!$Y:$Y,Opex_Budget!$A:$A,$C$3,Opex_Budget!$E:$E,$B$818,Opex_Budget!$F:$F,$D$818,Opex_Budget!$N:$N,"USD")*$F$5+SUMIFS(Opex_Budget!$Y:$Y,Opex_Budget!$A:$A,$C$3,Opex_Budget!$E:$E,$B$818,Opex_Budget!$F:$F,$D$818,Opex_Budget!$N:$N,"EUR")*$G$5+SUMIFS(Opex_Budget!$Y:$Y,Opex_Budget!$A:$A,$C$3,Opex_Budget!$E:$E,$B$818,Opex_Budget!$F:$F,$D$818,Opex_Budget!$N:$N,"GBP")*$H$5)</f>
        <v/>
      </c>
      <c r="S818" s="32">
        <f>IF($B$818="","",SUMIFS(Opex_Budget!$Z:$Z,Opex_Budget!$A:$A,$C$3,Opex_Budget!$E:$E,$B$818,Opex_Budget!$F:$F,$D$818,Opex_Budget!$N:$N,"JPY")*$E$5+SUMIFS(Opex_Budget!$Z:$Z,Opex_Budget!$A:$A,$C$3,Opex_Budget!$E:$E,$B$818,Opex_Budget!$F:$F,$D$818,Opex_Budget!$N:$N,"USD")*$F$5+SUMIFS(Opex_Budget!$Z:$Z,Opex_Budget!$A:$A,$C$3,Opex_Budget!$E:$E,$B$818,Opex_Budget!$F:$F,$D$818,Opex_Budget!$N:$N,"EUR")*$G$5+SUMIFS(Opex_Budget!$Z:$Z,Opex_Budget!$A:$A,$C$3,Opex_Budget!$E:$E,$B$818,Opex_Budget!$F:$F,$D$818,Opex_Budget!$N:$N,"GBP")*$H$5)</f>
        <v/>
      </c>
      <c r="T818" s="32">
        <f>IF($B$818="","",SUMIF($H$7:$S$7,"&lt;="&amp;$C$4,$H818:$S818))</f>
        <v/>
      </c>
      <c r="U818" s="32">
        <f>IF($B$818="","",SUMIF($H$7:$S$7,"&gt;"&amp;$C$4,$H818:$S818))</f>
        <v/>
      </c>
      <c r="V818" s="32">
        <f>IF($B$818="","",SUM($H818:$S818))</f>
        <v/>
      </c>
      <c r="X818" s="22">
        <f>IF($B818="","",IFERROR(INDEX(Cost_Centers!$E:$E,MATCH($B818,Cost_Centers!$A:$A,0)),"(unknown)"))</f>
        <v/>
      </c>
      <c r="Y818" s="22">
        <f>IF($B818="","",IFERROR(INDEX(Cost_Centers!$D:$D,MATCH($B818,Cost_Centers!$A:$A,0)),"(unknown)"))</f>
        <v/>
      </c>
      <c r="Z818" s="22">
        <f>IF(OR($B818="",$G818&lt;&gt;"Variance vs Budget"),"",ABS(N($V818))+ROW()/1000000000)</f>
        <v/>
      </c>
    </row>
    <row r="819">
      <c r="A819" s="13">
        <f>IF(A$818="","",A$818)</f>
        <v/>
      </c>
      <c r="B819" s="13">
        <f>IF(B$818="","",B$818)</f>
        <v/>
      </c>
      <c r="C819" s="13">
        <f>IF(C$818="","",C$818)</f>
        <v/>
      </c>
      <c r="D819" s="13">
        <f>IF(D$818="","",D$818)</f>
        <v/>
      </c>
      <c r="E819" s="13">
        <f>IF(E$818="","",E$818)</f>
        <v/>
      </c>
      <c r="F819" s="13">
        <f>IF(F$818="","",F$818)</f>
        <v/>
      </c>
      <c r="G819" s="7" t="inlineStr">
        <is>
          <t>Actual</t>
        </is>
      </c>
      <c r="H819" s="18">
        <f>IF(OR($B$818="",1&gt;$C$4),"",SUMIFS(Actuals!$G:$G,Actuals!$B:$B,$C$3,Actuals!$C:$C,1,Actuals!$D:$D,$B$818,Actuals!$A:$A,LEFT($D$818,FIND("|",$D$818&amp;"|")-1),Actuals!$E:$E,MID($D$818,FIND("|",$D$818&amp;"|")+1,50),Actuals!$F:$F,"JPY")*$E$5+SUMIFS(Actuals!$G:$G,Actuals!$B:$B,$C$3,Actuals!$C:$C,1,Actuals!$D:$D,$B$818,Actuals!$A:$A,LEFT($D$818,FIND("|",$D$818&amp;"|")-1),Actuals!$E:$E,MID($D$818,FIND("|",$D$818&amp;"|")+1,50),Actuals!$F:$F,"USD")*$F$5+SUMIFS(Actuals!$G:$G,Actuals!$B:$B,$C$3,Actuals!$C:$C,1,Actuals!$D:$D,$B$818,Actuals!$A:$A,LEFT($D$818,FIND("|",$D$818&amp;"|")-1),Actuals!$E:$E,MID($D$818,FIND("|",$D$818&amp;"|")+1,50),Actuals!$F:$F,"EUR")*$G$5+SUMIFS(Actuals!$G:$G,Actuals!$B:$B,$C$3,Actuals!$C:$C,1,Actuals!$D:$D,$B$818,Actuals!$A:$A,LEFT($D$818,FIND("|",$D$818&amp;"|")-1),Actuals!$E:$E,MID($D$818,FIND("|",$D$818&amp;"|")+1,50),Actuals!$F:$F,"GBP")*$H$5)</f>
        <v/>
      </c>
      <c r="I819" s="18">
        <f>IF(OR($B$818="",2&gt;$C$4),"",SUMIFS(Actuals!$G:$G,Actuals!$B:$B,$C$3,Actuals!$C:$C,2,Actuals!$D:$D,$B$818,Actuals!$A:$A,LEFT($D$818,FIND("|",$D$818&amp;"|")-1),Actuals!$E:$E,MID($D$818,FIND("|",$D$818&amp;"|")+1,50),Actuals!$F:$F,"JPY")*$E$5+SUMIFS(Actuals!$G:$G,Actuals!$B:$B,$C$3,Actuals!$C:$C,2,Actuals!$D:$D,$B$818,Actuals!$A:$A,LEFT($D$818,FIND("|",$D$818&amp;"|")-1),Actuals!$E:$E,MID($D$818,FIND("|",$D$818&amp;"|")+1,50),Actuals!$F:$F,"USD")*$F$5+SUMIFS(Actuals!$G:$G,Actuals!$B:$B,$C$3,Actuals!$C:$C,2,Actuals!$D:$D,$B$818,Actuals!$A:$A,LEFT($D$818,FIND("|",$D$818&amp;"|")-1),Actuals!$E:$E,MID($D$818,FIND("|",$D$818&amp;"|")+1,50),Actuals!$F:$F,"EUR")*$G$5+SUMIFS(Actuals!$G:$G,Actuals!$B:$B,$C$3,Actuals!$C:$C,2,Actuals!$D:$D,$B$818,Actuals!$A:$A,LEFT($D$818,FIND("|",$D$818&amp;"|")-1),Actuals!$E:$E,MID($D$818,FIND("|",$D$818&amp;"|")+1,50),Actuals!$F:$F,"GBP")*$H$5)</f>
        <v/>
      </c>
      <c r="J819" s="18">
        <f>IF(OR($B$818="",3&gt;$C$4),"",SUMIFS(Actuals!$G:$G,Actuals!$B:$B,$C$3,Actuals!$C:$C,3,Actuals!$D:$D,$B$818,Actuals!$A:$A,LEFT($D$818,FIND("|",$D$818&amp;"|")-1),Actuals!$E:$E,MID($D$818,FIND("|",$D$818&amp;"|")+1,50),Actuals!$F:$F,"JPY")*$E$5+SUMIFS(Actuals!$G:$G,Actuals!$B:$B,$C$3,Actuals!$C:$C,3,Actuals!$D:$D,$B$818,Actuals!$A:$A,LEFT($D$818,FIND("|",$D$818&amp;"|")-1),Actuals!$E:$E,MID($D$818,FIND("|",$D$818&amp;"|")+1,50),Actuals!$F:$F,"USD")*$F$5+SUMIFS(Actuals!$G:$G,Actuals!$B:$B,$C$3,Actuals!$C:$C,3,Actuals!$D:$D,$B$818,Actuals!$A:$A,LEFT($D$818,FIND("|",$D$818&amp;"|")-1),Actuals!$E:$E,MID($D$818,FIND("|",$D$818&amp;"|")+1,50),Actuals!$F:$F,"EUR")*$G$5+SUMIFS(Actuals!$G:$G,Actuals!$B:$B,$C$3,Actuals!$C:$C,3,Actuals!$D:$D,$B$818,Actuals!$A:$A,LEFT($D$818,FIND("|",$D$818&amp;"|")-1),Actuals!$E:$E,MID($D$818,FIND("|",$D$818&amp;"|")+1,50),Actuals!$F:$F,"GBP")*$H$5)</f>
        <v/>
      </c>
      <c r="K819" s="18">
        <f>IF(OR($B$818="",4&gt;$C$4),"",SUMIFS(Actuals!$G:$G,Actuals!$B:$B,$C$3,Actuals!$C:$C,4,Actuals!$D:$D,$B$818,Actuals!$A:$A,LEFT($D$818,FIND("|",$D$818&amp;"|")-1),Actuals!$E:$E,MID($D$818,FIND("|",$D$818&amp;"|")+1,50),Actuals!$F:$F,"JPY")*$E$5+SUMIFS(Actuals!$G:$G,Actuals!$B:$B,$C$3,Actuals!$C:$C,4,Actuals!$D:$D,$B$818,Actuals!$A:$A,LEFT($D$818,FIND("|",$D$818&amp;"|")-1),Actuals!$E:$E,MID($D$818,FIND("|",$D$818&amp;"|")+1,50),Actuals!$F:$F,"USD")*$F$5+SUMIFS(Actuals!$G:$G,Actuals!$B:$B,$C$3,Actuals!$C:$C,4,Actuals!$D:$D,$B$818,Actuals!$A:$A,LEFT($D$818,FIND("|",$D$818&amp;"|")-1),Actuals!$E:$E,MID($D$818,FIND("|",$D$818&amp;"|")+1,50),Actuals!$F:$F,"EUR")*$G$5+SUMIFS(Actuals!$G:$G,Actuals!$B:$B,$C$3,Actuals!$C:$C,4,Actuals!$D:$D,$B$818,Actuals!$A:$A,LEFT($D$818,FIND("|",$D$818&amp;"|")-1),Actuals!$E:$E,MID($D$818,FIND("|",$D$818&amp;"|")+1,50),Actuals!$F:$F,"GBP")*$H$5)</f>
        <v/>
      </c>
      <c r="L819" s="18">
        <f>IF(OR($B$818="",5&gt;$C$4),"",SUMIFS(Actuals!$G:$G,Actuals!$B:$B,$C$3,Actuals!$C:$C,5,Actuals!$D:$D,$B$818,Actuals!$A:$A,LEFT($D$818,FIND("|",$D$818&amp;"|")-1),Actuals!$E:$E,MID($D$818,FIND("|",$D$818&amp;"|")+1,50),Actuals!$F:$F,"JPY")*$E$5+SUMIFS(Actuals!$G:$G,Actuals!$B:$B,$C$3,Actuals!$C:$C,5,Actuals!$D:$D,$B$818,Actuals!$A:$A,LEFT($D$818,FIND("|",$D$818&amp;"|")-1),Actuals!$E:$E,MID($D$818,FIND("|",$D$818&amp;"|")+1,50),Actuals!$F:$F,"USD")*$F$5+SUMIFS(Actuals!$G:$G,Actuals!$B:$B,$C$3,Actuals!$C:$C,5,Actuals!$D:$D,$B$818,Actuals!$A:$A,LEFT($D$818,FIND("|",$D$818&amp;"|")-1),Actuals!$E:$E,MID($D$818,FIND("|",$D$818&amp;"|")+1,50),Actuals!$F:$F,"EUR")*$G$5+SUMIFS(Actuals!$G:$G,Actuals!$B:$B,$C$3,Actuals!$C:$C,5,Actuals!$D:$D,$B$818,Actuals!$A:$A,LEFT($D$818,FIND("|",$D$818&amp;"|")-1),Actuals!$E:$E,MID($D$818,FIND("|",$D$818&amp;"|")+1,50),Actuals!$F:$F,"GBP")*$H$5)</f>
        <v/>
      </c>
      <c r="M819" s="18">
        <f>IF(OR($B$818="",6&gt;$C$4),"",SUMIFS(Actuals!$G:$G,Actuals!$B:$B,$C$3,Actuals!$C:$C,6,Actuals!$D:$D,$B$818,Actuals!$A:$A,LEFT($D$818,FIND("|",$D$818&amp;"|")-1),Actuals!$E:$E,MID($D$818,FIND("|",$D$818&amp;"|")+1,50),Actuals!$F:$F,"JPY")*$E$5+SUMIFS(Actuals!$G:$G,Actuals!$B:$B,$C$3,Actuals!$C:$C,6,Actuals!$D:$D,$B$818,Actuals!$A:$A,LEFT($D$818,FIND("|",$D$818&amp;"|")-1),Actuals!$E:$E,MID($D$818,FIND("|",$D$818&amp;"|")+1,50),Actuals!$F:$F,"USD")*$F$5+SUMIFS(Actuals!$G:$G,Actuals!$B:$B,$C$3,Actuals!$C:$C,6,Actuals!$D:$D,$B$818,Actuals!$A:$A,LEFT($D$818,FIND("|",$D$818&amp;"|")-1),Actuals!$E:$E,MID($D$818,FIND("|",$D$818&amp;"|")+1,50),Actuals!$F:$F,"EUR")*$G$5+SUMIFS(Actuals!$G:$G,Actuals!$B:$B,$C$3,Actuals!$C:$C,6,Actuals!$D:$D,$B$818,Actuals!$A:$A,LEFT($D$818,FIND("|",$D$818&amp;"|")-1),Actuals!$E:$E,MID($D$818,FIND("|",$D$818&amp;"|")+1,50),Actuals!$F:$F,"GBP")*$H$5)</f>
        <v/>
      </c>
      <c r="N819" s="18">
        <f>IF(OR($B$818="",7&gt;$C$4),"",SUMIFS(Actuals!$G:$G,Actuals!$B:$B,$C$3,Actuals!$C:$C,7,Actuals!$D:$D,$B$818,Actuals!$A:$A,LEFT($D$818,FIND("|",$D$818&amp;"|")-1),Actuals!$E:$E,MID($D$818,FIND("|",$D$818&amp;"|")+1,50),Actuals!$F:$F,"JPY")*$E$5+SUMIFS(Actuals!$G:$G,Actuals!$B:$B,$C$3,Actuals!$C:$C,7,Actuals!$D:$D,$B$818,Actuals!$A:$A,LEFT($D$818,FIND("|",$D$818&amp;"|")-1),Actuals!$E:$E,MID($D$818,FIND("|",$D$818&amp;"|")+1,50),Actuals!$F:$F,"USD")*$F$5+SUMIFS(Actuals!$G:$G,Actuals!$B:$B,$C$3,Actuals!$C:$C,7,Actuals!$D:$D,$B$818,Actuals!$A:$A,LEFT($D$818,FIND("|",$D$818&amp;"|")-1),Actuals!$E:$E,MID($D$818,FIND("|",$D$818&amp;"|")+1,50),Actuals!$F:$F,"EUR")*$G$5+SUMIFS(Actuals!$G:$G,Actuals!$B:$B,$C$3,Actuals!$C:$C,7,Actuals!$D:$D,$B$818,Actuals!$A:$A,LEFT($D$818,FIND("|",$D$818&amp;"|")-1),Actuals!$E:$E,MID($D$818,FIND("|",$D$818&amp;"|")+1,50),Actuals!$F:$F,"GBP")*$H$5)</f>
        <v/>
      </c>
      <c r="O819" s="18">
        <f>IF(OR($B$818="",8&gt;$C$4),"",SUMIFS(Actuals!$G:$G,Actuals!$B:$B,$C$3,Actuals!$C:$C,8,Actuals!$D:$D,$B$818,Actuals!$A:$A,LEFT($D$818,FIND("|",$D$818&amp;"|")-1),Actuals!$E:$E,MID($D$818,FIND("|",$D$818&amp;"|")+1,50),Actuals!$F:$F,"JPY")*$E$5+SUMIFS(Actuals!$G:$G,Actuals!$B:$B,$C$3,Actuals!$C:$C,8,Actuals!$D:$D,$B$818,Actuals!$A:$A,LEFT($D$818,FIND("|",$D$818&amp;"|")-1),Actuals!$E:$E,MID($D$818,FIND("|",$D$818&amp;"|")+1,50),Actuals!$F:$F,"USD")*$F$5+SUMIFS(Actuals!$G:$G,Actuals!$B:$B,$C$3,Actuals!$C:$C,8,Actuals!$D:$D,$B$818,Actuals!$A:$A,LEFT($D$818,FIND("|",$D$818&amp;"|")-1),Actuals!$E:$E,MID($D$818,FIND("|",$D$818&amp;"|")+1,50),Actuals!$F:$F,"EUR")*$G$5+SUMIFS(Actuals!$G:$G,Actuals!$B:$B,$C$3,Actuals!$C:$C,8,Actuals!$D:$D,$B$818,Actuals!$A:$A,LEFT($D$818,FIND("|",$D$818&amp;"|")-1),Actuals!$E:$E,MID($D$818,FIND("|",$D$818&amp;"|")+1,50),Actuals!$F:$F,"GBP")*$H$5)</f>
        <v/>
      </c>
      <c r="P819" s="18">
        <f>IF(OR($B$818="",9&gt;$C$4),"",SUMIFS(Actuals!$G:$G,Actuals!$B:$B,$C$3,Actuals!$C:$C,9,Actuals!$D:$D,$B$818,Actuals!$A:$A,LEFT($D$818,FIND("|",$D$818&amp;"|")-1),Actuals!$E:$E,MID($D$818,FIND("|",$D$818&amp;"|")+1,50),Actuals!$F:$F,"JPY")*$E$5+SUMIFS(Actuals!$G:$G,Actuals!$B:$B,$C$3,Actuals!$C:$C,9,Actuals!$D:$D,$B$818,Actuals!$A:$A,LEFT($D$818,FIND("|",$D$818&amp;"|")-1),Actuals!$E:$E,MID($D$818,FIND("|",$D$818&amp;"|")+1,50),Actuals!$F:$F,"USD")*$F$5+SUMIFS(Actuals!$G:$G,Actuals!$B:$B,$C$3,Actuals!$C:$C,9,Actuals!$D:$D,$B$818,Actuals!$A:$A,LEFT($D$818,FIND("|",$D$818&amp;"|")-1),Actuals!$E:$E,MID($D$818,FIND("|",$D$818&amp;"|")+1,50),Actuals!$F:$F,"EUR")*$G$5+SUMIFS(Actuals!$G:$G,Actuals!$B:$B,$C$3,Actuals!$C:$C,9,Actuals!$D:$D,$B$818,Actuals!$A:$A,LEFT($D$818,FIND("|",$D$818&amp;"|")-1),Actuals!$E:$E,MID($D$818,FIND("|",$D$818&amp;"|")+1,50),Actuals!$F:$F,"GBP")*$H$5)</f>
        <v/>
      </c>
      <c r="Q819" s="18">
        <f>IF(OR($B$818="",10&gt;$C$4),"",SUMIFS(Actuals!$G:$G,Actuals!$B:$B,$C$3,Actuals!$C:$C,10,Actuals!$D:$D,$B$818,Actuals!$A:$A,LEFT($D$818,FIND("|",$D$818&amp;"|")-1),Actuals!$E:$E,MID($D$818,FIND("|",$D$818&amp;"|")+1,50),Actuals!$F:$F,"JPY")*$E$5+SUMIFS(Actuals!$G:$G,Actuals!$B:$B,$C$3,Actuals!$C:$C,10,Actuals!$D:$D,$B$818,Actuals!$A:$A,LEFT($D$818,FIND("|",$D$818&amp;"|")-1),Actuals!$E:$E,MID($D$818,FIND("|",$D$818&amp;"|")+1,50),Actuals!$F:$F,"USD")*$F$5+SUMIFS(Actuals!$G:$G,Actuals!$B:$B,$C$3,Actuals!$C:$C,10,Actuals!$D:$D,$B$818,Actuals!$A:$A,LEFT($D$818,FIND("|",$D$818&amp;"|")-1),Actuals!$E:$E,MID($D$818,FIND("|",$D$818&amp;"|")+1,50),Actuals!$F:$F,"EUR")*$G$5+SUMIFS(Actuals!$G:$G,Actuals!$B:$B,$C$3,Actuals!$C:$C,10,Actuals!$D:$D,$B$818,Actuals!$A:$A,LEFT($D$818,FIND("|",$D$818&amp;"|")-1),Actuals!$E:$E,MID($D$818,FIND("|",$D$818&amp;"|")+1,50),Actuals!$F:$F,"GBP")*$H$5)</f>
        <v/>
      </c>
      <c r="R819" s="18">
        <f>IF(OR($B$818="",11&gt;$C$4),"",SUMIFS(Actuals!$G:$G,Actuals!$B:$B,$C$3,Actuals!$C:$C,11,Actuals!$D:$D,$B$818,Actuals!$A:$A,LEFT($D$818,FIND("|",$D$818&amp;"|")-1),Actuals!$E:$E,MID($D$818,FIND("|",$D$818&amp;"|")+1,50),Actuals!$F:$F,"JPY")*$E$5+SUMIFS(Actuals!$G:$G,Actuals!$B:$B,$C$3,Actuals!$C:$C,11,Actuals!$D:$D,$B$818,Actuals!$A:$A,LEFT($D$818,FIND("|",$D$818&amp;"|")-1),Actuals!$E:$E,MID($D$818,FIND("|",$D$818&amp;"|")+1,50),Actuals!$F:$F,"USD")*$F$5+SUMIFS(Actuals!$G:$G,Actuals!$B:$B,$C$3,Actuals!$C:$C,11,Actuals!$D:$D,$B$818,Actuals!$A:$A,LEFT($D$818,FIND("|",$D$818&amp;"|")-1),Actuals!$E:$E,MID($D$818,FIND("|",$D$818&amp;"|")+1,50),Actuals!$F:$F,"EUR")*$G$5+SUMIFS(Actuals!$G:$G,Actuals!$B:$B,$C$3,Actuals!$C:$C,11,Actuals!$D:$D,$B$818,Actuals!$A:$A,LEFT($D$818,FIND("|",$D$818&amp;"|")-1),Actuals!$E:$E,MID($D$818,FIND("|",$D$818&amp;"|")+1,50),Actuals!$F:$F,"GBP")*$H$5)</f>
        <v/>
      </c>
      <c r="S819" s="18">
        <f>IF(OR($B$818="",12&gt;$C$4),"",SUMIFS(Actuals!$G:$G,Actuals!$B:$B,$C$3,Actuals!$C:$C,12,Actuals!$D:$D,$B$818,Actuals!$A:$A,LEFT($D$818,FIND("|",$D$818&amp;"|")-1),Actuals!$E:$E,MID($D$818,FIND("|",$D$818&amp;"|")+1,50),Actuals!$F:$F,"JPY")*$E$5+SUMIFS(Actuals!$G:$G,Actuals!$B:$B,$C$3,Actuals!$C:$C,12,Actuals!$D:$D,$B$818,Actuals!$A:$A,LEFT($D$818,FIND("|",$D$818&amp;"|")-1),Actuals!$E:$E,MID($D$818,FIND("|",$D$818&amp;"|")+1,50),Actuals!$F:$F,"USD")*$F$5+SUMIFS(Actuals!$G:$G,Actuals!$B:$B,$C$3,Actuals!$C:$C,12,Actuals!$D:$D,$B$818,Actuals!$A:$A,LEFT($D$818,FIND("|",$D$818&amp;"|")-1),Actuals!$E:$E,MID($D$818,FIND("|",$D$818&amp;"|")+1,50),Actuals!$F:$F,"EUR")*$G$5+SUMIFS(Actuals!$G:$G,Actuals!$B:$B,$C$3,Actuals!$C:$C,12,Actuals!$D:$D,$B$818,Actuals!$A:$A,LEFT($D$818,FIND("|",$D$818&amp;"|")-1),Actuals!$E:$E,MID($D$818,FIND("|",$D$818&amp;"|")+1,50),Actuals!$F:$F,"GBP")*$H$5)</f>
        <v/>
      </c>
      <c r="T819" s="18">
        <f>IF($B$818="","",SUMIF($H$7:$S$7,"&lt;="&amp;$C$4,$H819:$S819))</f>
        <v/>
      </c>
      <c r="U819" s="18" t="n"/>
      <c r="V819" s="18" t="n"/>
      <c r="X819" s="22">
        <f>IF($B819="","",IFERROR(INDEX(Cost_Centers!$E:$E,MATCH($B819,Cost_Centers!$A:$A,0)),"(unknown)"))</f>
        <v/>
      </c>
      <c r="Y819" s="22">
        <f>IF($B819="","",IFERROR(INDEX(Cost_Centers!$D:$D,MATCH($B819,Cost_Centers!$A:$A,0)),"(unknown)"))</f>
        <v/>
      </c>
      <c r="Z819" s="22">
        <f>IF(OR($B819="",$G819&lt;&gt;"Variance vs Budget"),"",ABS(N($V819))+ROW()/1000000000)</f>
        <v/>
      </c>
    </row>
    <row r="820">
      <c r="A820" s="13">
        <f>IF(A$818="","",A$818)</f>
        <v/>
      </c>
      <c r="B820" s="13">
        <f>IF(B$818="","",B$818)</f>
        <v/>
      </c>
      <c r="C820" s="13">
        <f>IF(C$818="","",C$818)</f>
        <v/>
      </c>
      <c r="D820" s="13">
        <f>IF(D$818="","",D$818)</f>
        <v/>
      </c>
      <c r="E820" s="13">
        <f>IF(E$818="","",E$818)</f>
        <v/>
      </c>
      <c r="F820" s="13">
        <f>IF(F$818="","",F$818)</f>
        <v/>
      </c>
      <c r="G820" s="6" t="inlineStr">
        <is>
          <t>Variance vs Budget</t>
        </is>
      </c>
      <c r="H820" s="33">
        <f>IF(OR($B$818="",1&gt;$C$4),"",N(H819)-H818)</f>
        <v/>
      </c>
      <c r="I820" s="33">
        <f>IF(OR($B$818="",2&gt;$C$4),"",N(I819)-I818)</f>
        <v/>
      </c>
      <c r="J820" s="33">
        <f>IF(OR($B$818="",3&gt;$C$4),"",N(J819)-J818)</f>
        <v/>
      </c>
      <c r="K820" s="33">
        <f>IF(OR($B$818="",4&gt;$C$4),"",N(K819)-K818)</f>
        <v/>
      </c>
      <c r="L820" s="33">
        <f>IF(OR($B$818="",5&gt;$C$4),"",N(L819)-L818)</f>
        <v/>
      </c>
      <c r="M820" s="33">
        <f>IF(OR($B$818="",6&gt;$C$4),"",N(M819)-M818)</f>
        <v/>
      </c>
      <c r="N820" s="33">
        <f>IF(OR($B$818="",7&gt;$C$4),"",N(N819)-N818)</f>
        <v/>
      </c>
      <c r="O820" s="33">
        <f>IF(OR($B$818="",8&gt;$C$4),"",N(O819)-O818)</f>
        <v/>
      </c>
      <c r="P820" s="33">
        <f>IF(OR($B$818="",9&gt;$C$4),"",N(P819)-P818)</f>
        <v/>
      </c>
      <c r="Q820" s="33">
        <f>IF(OR($B$818="",10&gt;$C$4),"",N(Q819)-Q818)</f>
        <v/>
      </c>
      <c r="R820" s="33">
        <f>IF(OR($B$818="",11&gt;$C$4),"",N(R819)-R818)</f>
        <v/>
      </c>
      <c r="S820" s="33">
        <f>IF(OR($B$818="",12&gt;$C$4),"",N(S819)-S818)</f>
        <v/>
      </c>
      <c r="T820" s="33">
        <f>IF($B$818="","",T819-T818)</f>
        <v/>
      </c>
      <c r="U820" s="33">
        <f>IF($B$818="","",U822-U818)</f>
        <v/>
      </c>
      <c r="V820" s="33">
        <f>IF($B$818="","",V822-V818)</f>
        <v/>
      </c>
      <c r="X820" s="22">
        <f>IF($B820="","",IFERROR(INDEX(Cost_Centers!$E:$E,MATCH($B820,Cost_Centers!$A:$A,0)),"(unknown)"))</f>
        <v/>
      </c>
      <c r="Y820" s="22">
        <f>IF($B820="","",IFERROR(INDEX(Cost_Centers!$D:$D,MATCH($B820,Cost_Centers!$A:$A,0)),"(unknown)"))</f>
        <v/>
      </c>
      <c r="Z820" s="22">
        <f>IF(OR($B820="",$G820&lt;&gt;"Variance vs Budget"),"",ABS(N($V820))+ROW()/1000000000)</f>
        <v/>
      </c>
    </row>
    <row r="821">
      <c r="A821" s="13">
        <f>IF(A$818="","",A$818)</f>
        <v/>
      </c>
      <c r="B821" s="13">
        <f>IF(B$818="","",B$818)</f>
        <v/>
      </c>
      <c r="C821" s="13">
        <f>IF(C$818="","",C$818)</f>
        <v/>
      </c>
      <c r="D821" s="13">
        <f>IF(D$818="","",D$818)</f>
        <v/>
      </c>
      <c r="E821" s="13">
        <f>IF(E$818="","",E$818)</f>
        <v/>
      </c>
      <c r="F821" s="13">
        <f>IF(F$818="","",F$818)</f>
        <v/>
      </c>
      <c r="G821" s="7" t="inlineStr">
        <is>
          <t>Forecast (input)</t>
        </is>
      </c>
      <c r="H821" s="34" t="n"/>
      <c r="I821" s="34" t="n"/>
      <c r="J821" s="34" t="n"/>
      <c r="K821" s="34" t="n"/>
      <c r="L821" s="34" t="n"/>
      <c r="M821" s="34" t="n"/>
      <c r="N821" s="34" t="n"/>
      <c r="O821" s="34" t="n"/>
      <c r="P821" s="34" t="n"/>
      <c r="Q821" s="34" t="n"/>
      <c r="R821" s="34" t="n"/>
      <c r="S821" s="34" t="n"/>
      <c r="T821" s="18" t="n"/>
      <c r="U821" s="18" t="n"/>
      <c r="V821" s="18" t="n"/>
      <c r="X821" s="22">
        <f>IF($B821="","",IFERROR(INDEX(Cost_Centers!$E:$E,MATCH($B821,Cost_Centers!$A:$A,0)),"(unknown)"))</f>
        <v/>
      </c>
      <c r="Y821" s="22">
        <f>IF($B821="","",IFERROR(INDEX(Cost_Centers!$D:$D,MATCH($B821,Cost_Centers!$A:$A,0)),"(unknown)"))</f>
        <v/>
      </c>
      <c r="Z821" s="22">
        <f>IF(OR($B821="",$G821&lt;&gt;"Variance vs Budget"),"",ABS(N($V821))+ROW()/1000000000)</f>
        <v/>
      </c>
    </row>
    <row r="822">
      <c r="A822" s="13">
        <f>IF(A$818="","",A$818)</f>
        <v/>
      </c>
      <c r="B822" s="13">
        <f>IF(B$818="","",B$818)</f>
        <v/>
      </c>
      <c r="C822" s="13">
        <f>IF(C$818="","",C$818)</f>
        <v/>
      </c>
      <c r="D822" s="13">
        <f>IF(D$818="","",D$818)</f>
        <v/>
      </c>
      <c r="E822" s="13">
        <f>IF(E$818="","",E$818)</f>
        <v/>
      </c>
      <c r="F822" s="13">
        <f>IF(F$818="","",F$818)</f>
        <v/>
      </c>
      <c r="G822" s="35" t="inlineStr">
        <is>
          <t>Actual + Forecast</t>
        </is>
      </c>
      <c r="H822" s="18">
        <f>IF($B$818="","",IF(1&lt;=$C$4,N(H819),IF(H821="",H818,H821)))</f>
        <v/>
      </c>
      <c r="I822" s="18">
        <f>IF($B$818="","",IF(2&lt;=$C$4,N(I819),IF(I821="",I818,I821)))</f>
        <v/>
      </c>
      <c r="J822" s="18">
        <f>IF($B$818="","",IF(3&lt;=$C$4,N(J819),IF(J821="",J818,J821)))</f>
        <v/>
      </c>
      <c r="K822" s="18">
        <f>IF($B$818="","",IF(4&lt;=$C$4,N(K819),IF(K821="",K818,K821)))</f>
        <v/>
      </c>
      <c r="L822" s="18">
        <f>IF($B$818="","",IF(5&lt;=$C$4,N(L819),IF(L821="",L818,L821)))</f>
        <v/>
      </c>
      <c r="M822" s="18">
        <f>IF($B$818="","",IF(6&lt;=$C$4,N(M819),IF(M821="",M818,M821)))</f>
        <v/>
      </c>
      <c r="N822" s="18">
        <f>IF($B$818="","",IF(7&lt;=$C$4,N(N819),IF(N821="",N818,N821)))</f>
        <v/>
      </c>
      <c r="O822" s="18">
        <f>IF($B$818="","",IF(8&lt;=$C$4,N(O819),IF(O821="",O818,O821)))</f>
        <v/>
      </c>
      <c r="P822" s="18">
        <f>IF($B$818="","",IF(9&lt;=$C$4,N(P819),IF(P821="",P818,P821)))</f>
        <v/>
      </c>
      <c r="Q822" s="18">
        <f>IF($B$818="","",IF(10&lt;=$C$4,N(Q819),IF(Q821="",Q818,Q821)))</f>
        <v/>
      </c>
      <c r="R822" s="18">
        <f>IF($B$818="","",IF(11&lt;=$C$4,N(R819),IF(R821="",R818,R821)))</f>
        <v/>
      </c>
      <c r="S822" s="18">
        <f>IF($B$818="","",IF(12&lt;=$C$4,N(S819),IF(S821="",S818,S821)))</f>
        <v/>
      </c>
      <c r="T822" s="18">
        <f>IF($B$818="","",SUMIF($H$7:$S$7,"&lt;="&amp;$C$4,$H822:$S822))</f>
        <v/>
      </c>
      <c r="U822" s="18">
        <f>IF($B$818="","",SUMIF($H$7:$S$7,"&gt;"&amp;$C$4,$H822:$S822))</f>
        <v/>
      </c>
      <c r="V822" s="18">
        <f>IF($B$818="","",SUM($H822:$S822))</f>
        <v/>
      </c>
      <c r="X822" s="22">
        <f>IF($B822="","",IFERROR(INDEX(Cost_Centers!$E:$E,MATCH($B822,Cost_Centers!$A:$A,0)),"(unknown)"))</f>
        <v/>
      </c>
      <c r="Y822" s="22">
        <f>IF($B822="","",IFERROR(INDEX(Cost_Centers!$D:$D,MATCH($B822,Cost_Centers!$A:$A,0)),"(unknown)"))</f>
        <v/>
      </c>
      <c r="Z822" s="22">
        <f>IF(OR($B822="",$G822&lt;&gt;"Variance vs Budget"),"",ABS(N($V822))+ROW()/1000000000)</f>
        <v/>
      </c>
    </row>
    <row r="823">
      <c r="A823" s="13">
        <f>IF(A$818="","",A$818)</f>
        <v/>
      </c>
      <c r="B823" s="13">
        <f>IF(B$818="","",B$818)</f>
        <v/>
      </c>
      <c r="C823" s="13">
        <f>IF(C$818="","",C$818)</f>
        <v/>
      </c>
      <c r="D823" s="13">
        <f>IF(D$818="","",D$818)</f>
        <v/>
      </c>
      <c r="E823" s="13">
        <f>IF(E$818="","",E$818)</f>
        <v/>
      </c>
      <c r="F823" s="13">
        <f>IF(F$818="","",F$818)</f>
        <v/>
      </c>
      <c r="G823" s="36" t="inlineStr">
        <is>
          <t>Prior Month Forecast</t>
        </is>
      </c>
      <c r="H823" s="37">
        <f>IF($B$818="","",IF(COUNTIFS(Prior_Forecast!$A:$A,$B$818,Prior_Forecast!$B:$B,$D$818)&gt;0,SUMIFS(Prior_Forecast!$C:$C,Prior_Forecast!$A:$A,$B$818,Prior_Forecast!$B:$B,$D$818),""))</f>
        <v/>
      </c>
      <c r="I823" s="37">
        <f>IF($B$818="","",IF(COUNTIFS(Prior_Forecast!$A:$A,$B$818,Prior_Forecast!$B:$B,$D$818)&gt;0,SUMIFS(Prior_Forecast!$D:$D,Prior_Forecast!$A:$A,$B$818,Prior_Forecast!$B:$B,$D$818),""))</f>
        <v/>
      </c>
      <c r="J823" s="37">
        <f>IF($B$818="","",IF(COUNTIFS(Prior_Forecast!$A:$A,$B$818,Prior_Forecast!$B:$B,$D$818)&gt;0,SUMIFS(Prior_Forecast!$E:$E,Prior_Forecast!$A:$A,$B$818,Prior_Forecast!$B:$B,$D$818),""))</f>
        <v/>
      </c>
      <c r="K823" s="37">
        <f>IF($B$818="","",IF(COUNTIFS(Prior_Forecast!$A:$A,$B$818,Prior_Forecast!$B:$B,$D$818)&gt;0,SUMIFS(Prior_Forecast!$F:$F,Prior_Forecast!$A:$A,$B$818,Prior_Forecast!$B:$B,$D$818),""))</f>
        <v/>
      </c>
      <c r="L823" s="37">
        <f>IF($B$818="","",IF(COUNTIFS(Prior_Forecast!$A:$A,$B$818,Prior_Forecast!$B:$B,$D$818)&gt;0,SUMIFS(Prior_Forecast!$G:$G,Prior_Forecast!$A:$A,$B$818,Prior_Forecast!$B:$B,$D$818),""))</f>
        <v/>
      </c>
      <c r="M823" s="37">
        <f>IF($B$818="","",IF(COUNTIFS(Prior_Forecast!$A:$A,$B$818,Prior_Forecast!$B:$B,$D$818)&gt;0,SUMIFS(Prior_Forecast!$H:$H,Prior_Forecast!$A:$A,$B$818,Prior_Forecast!$B:$B,$D$818),""))</f>
        <v/>
      </c>
      <c r="N823" s="37">
        <f>IF($B$818="","",IF(COUNTIFS(Prior_Forecast!$A:$A,$B$818,Prior_Forecast!$B:$B,$D$818)&gt;0,SUMIFS(Prior_Forecast!$I:$I,Prior_Forecast!$A:$A,$B$818,Prior_Forecast!$B:$B,$D$818),""))</f>
        <v/>
      </c>
      <c r="O823" s="37">
        <f>IF($B$818="","",IF(COUNTIFS(Prior_Forecast!$A:$A,$B$818,Prior_Forecast!$B:$B,$D$818)&gt;0,SUMIFS(Prior_Forecast!$J:$J,Prior_Forecast!$A:$A,$B$818,Prior_Forecast!$B:$B,$D$818),""))</f>
        <v/>
      </c>
      <c r="P823" s="37">
        <f>IF($B$818="","",IF(COUNTIFS(Prior_Forecast!$A:$A,$B$818,Prior_Forecast!$B:$B,$D$818)&gt;0,SUMIFS(Prior_Forecast!$K:$K,Prior_Forecast!$A:$A,$B$818,Prior_Forecast!$B:$B,$D$818),""))</f>
        <v/>
      </c>
      <c r="Q823" s="37">
        <f>IF($B$818="","",IF(COUNTIFS(Prior_Forecast!$A:$A,$B$818,Prior_Forecast!$B:$B,$D$818)&gt;0,SUMIFS(Prior_Forecast!$L:$L,Prior_Forecast!$A:$A,$B$818,Prior_Forecast!$B:$B,$D$818),""))</f>
        <v/>
      </c>
      <c r="R823" s="37">
        <f>IF($B$818="","",IF(COUNTIFS(Prior_Forecast!$A:$A,$B$818,Prior_Forecast!$B:$B,$D$818)&gt;0,SUMIFS(Prior_Forecast!$M:$M,Prior_Forecast!$A:$A,$B$818,Prior_Forecast!$B:$B,$D$818),""))</f>
        <v/>
      </c>
      <c r="S823" s="37">
        <f>IF($B$818="","",IF(COUNTIFS(Prior_Forecast!$A:$A,$B$818,Prior_Forecast!$B:$B,$D$818)&gt;0,SUMIFS(Prior_Forecast!$N:$N,Prior_Forecast!$A:$A,$B$818,Prior_Forecast!$B:$B,$D$818),""))</f>
        <v/>
      </c>
      <c r="T823" s="37">
        <f>IF($B$818="","",IF(COUNTIFS(Prior_Forecast!$A:$A,$B$818,Prior_Forecast!$B:$B,$D$818)&gt;0,SUMIFS(Prior_Forecast!$O:$O,Prior_Forecast!$A:$A,$B$818,Prior_Forecast!$B:$B,$D$818),""))</f>
        <v/>
      </c>
      <c r="U823" s="37">
        <f>IF($B$818="","",IF(COUNTIFS(Prior_Forecast!$A:$A,$B$818,Prior_Forecast!$B:$B,$D$818)&gt;0,SUMIFS(Prior_Forecast!$P:$P,Prior_Forecast!$A:$A,$B$818,Prior_Forecast!$B:$B,$D$818),""))</f>
        <v/>
      </c>
      <c r="V823" s="37">
        <f>IF($B$818="","",IF(COUNTIFS(Prior_Forecast!$A:$A,$B$818,Prior_Forecast!$B:$B,$D$818)&gt;0,SUMIFS(Prior_Forecast!$Q:$Q,Prior_Forecast!$A:$A,$B$818,Prior_Forecast!$B:$B,$D$818),""))</f>
        <v/>
      </c>
      <c r="X823" s="22">
        <f>IF($B823="","",IFERROR(INDEX(Cost_Centers!$E:$E,MATCH($B823,Cost_Centers!$A:$A,0)),"(unknown)"))</f>
        <v/>
      </c>
      <c r="Y823" s="22">
        <f>IF($B823="","",IFERROR(INDEX(Cost_Centers!$D:$D,MATCH($B823,Cost_Centers!$A:$A,0)),"(unknown)"))</f>
        <v/>
      </c>
      <c r="Z823" s="22">
        <f>IF(OR($B823="",$G823&lt;&gt;"Variance vs Budget"),"",ABS(N($V823))+ROW()/1000000000)</f>
        <v/>
      </c>
    </row>
    <row r="824">
      <c r="A824" s="13">
        <f>IF(A$818="","",A$818)</f>
        <v/>
      </c>
      <c r="B824" s="13">
        <f>IF(B$818="","",B$818)</f>
        <v/>
      </c>
      <c r="C824" s="13">
        <f>IF(C$818="","",C$818)</f>
        <v/>
      </c>
      <c r="D824" s="13">
        <f>IF(D$818="","",D$818)</f>
        <v/>
      </c>
      <c r="E824" s="13">
        <f>IF(E$818="","",E$818)</f>
        <v/>
      </c>
      <c r="F824" s="13">
        <f>IF(F$818="","",F$818)</f>
        <v/>
      </c>
      <c r="G824" s="6" t="inlineStr">
        <is>
          <t>Variance vs Prior Month</t>
        </is>
      </c>
      <c r="H824" s="33">
        <f>IF(OR($B$818="",H823=""),"",H822-H823)</f>
        <v/>
      </c>
      <c r="I824" s="33">
        <f>IF(OR($B$818="",I823=""),"",I822-I823)</f>
        <v/>
      </c>
      <c r="J824" s="33">
        <f>IF(OR($B$818="",J823=""),"",J822-J823)</f>
        <v/>
      </c>
      <c r="K824" s="33">
        <f>IF(OR($B$818="",K823=""),"",K822-K823)</f>
        <v/>
      </c>
      <c r="L824" s="33">
        <f>IF(OR($B$818="",L823=""),"",L822-L823)</f>
        <v/>
      </c>
      <c r="M824" s="33">
        <f>IF(OR($B$818="",M823=""),"",M822-M823)</f>
        <v/>
      </c>
      <c r="N824" s="33">
        <f>IF(OR($B$818="",N823=""),"",N822-N823)</f>
        <v/>
      </c>
      <c r="O824" s="33">
        <f>IF(OR($B$818="",O823=""),"",O822-O823)</f>
        <v/>
      </c>
      <c r="P824" s="33">
        <f>IF(OR($B$818="",P823=""),"",P822-P823)</f>
        <v/>
      </c>
      <c r="Q824" s="33">
        <f>IF(OR($B$818="",Q823=""),"",Q822-Q823)</f>
        <v/>
      </c>
      <c r="R824" s="33">
        <f>IF(OR($B$818="",R823=""),"",R822-R823)</f>
        <v/>
      </c>
      <c r="S824" s="33">
        <f>IF(OR($B$818="",S823=""),"",S822-S823)</f>
        <v/>
      </c>
      <c r="T824" s="33">
        <f>IF(OR($B$818="",T823=""),"",T822-T823)</f>
        <v/>
      </c>
      <c r="U824" s="33">
        <f>IF(OR($B$818="",U823=""),"",U822-U823)</f>
        <v/>
      </c>
      <c r="V824" s="33">
        <f>IF(OR($B$818="",V823=""),"",V822-V823)</f>
        <v/>
      </c>
      <c r="X824" s="22">
        <f>IF($B824="","",IFERROR(INDEX(Cost_Centers!$E:$E,MATCH($B824,Cost_Centers!$A:$A,0)),"(unknown)"))</f>
        <v/>
      </c>
      <c r="Y824" s="22">
        <f>IF($B824="","",IFERROR(INDEX(Cost_Centers!$D:$D,MATCH($B824,Cost_Centers!$A:$A,0)),"(unknown)"))</f>
        <v/>
      </c>
      <c r="Z824" s="22">
        <f>IF(OR($B824="",$G824&lt;&gt;"Variance vs Budget"),"",ABS(N($V824))+ROW()/1000000000)</f>
        <v/>
      </c>
    </row>
    <row r="825" ht="45" customHeight="1">
      <c r="A825" s="13">
        <f>IF(A$818="","",A$818)</f>
        <v/>
      </c>
      <c r="B825" s="13">
        <f>IF(B$818="","",B$818)</f>
        <v/>
      </c>
      <c r="C825" s="13">
        <f>IF(C$818="","",C$818)</f>
        <v/>
      </c>
      <c r="D825" s="13">
        <f>IF(D$818="","",D$818)</f>
        <v/>
      </c>
      <c r="E825" s="13">
        <f>IF(E$818="","",E$818)</f>
        <v/>
      </c>
      <c r="F825" s="13">
        <f>IF(F$818="","",F$818)</f>
        <v/>
      </c>
      <c r="G825" s="7" t="inlineStr">
        <is>
          <t>Rationale</t>
        </is>
      </c>
      <c r="H825" s="38" t="n"/>
      <c r="I825" s="38" t="n"/>
      <c r="J825" s="38" t="n"/>
      <c r="K825" s="38" t="n"/>
      <c r="L825" s="38" t="n"/>
      <c r="M825" s="38" t="n"/>
      <c r="N825" s="38" t="n"/>
      <c r="O825" s="38" t="n"/>
      <c r="P825" s="38" t="n"/>
      <c r="Q825" s="38" t="n"/>
      <c r="R825" s="38" t="n"/>
      <c r="S825" s="38" t="n"/>
      <c r="T825" s="38" t="n"/>
      <c r="U825" s="38" t="n"/>
      <c r="V825" s="7" t="n"/>
      <c r="X825" s="22">
        <f>IF($B825="","",IFERROR(INDEX(Cost_Centers!$E:$E,MATCH($B825,Cost_Centers!$A:$A,0)),"(unknown)"))</f>
        <v/>
      </c>
      <c r="Y825" s="22">
        <f>IF($B825="","",IFERROR(INDEX(Cost_Centers!$D:$D,MATCH($B825,Cost_Centers!$A:$A,0)),"(unknown)"))</f>
        <v/>
      </c>
      <c r="Z825" s="22">
        <f>IF(OR($B825="",$G825&lt;&gt;"Variance vs Budget"),"",ABS(N($V825))+ROW()/1000000000)</f>
        <v/>
      </c>
    </row>
    <row r="826">
      <c r="A826" s="30">
        <f>IF($D$826="","",LEFT($D$826,FIND("|",$D$826&amp;"|")-1))</f>
        <v/>
      </c>
      <c r="B826" s="31" t="n"/>
      <c r="C826" s="30">
        <f>IF($B$826="","",IFERROR(INDEX(Cost_Centers!$B:$B,MATCH($B$826,Cost_Centers!$A:$A,0)),"(not in master)"))</f>
        <v/>
      </c>
      <c r="D826" s="31" t="n"/>
      <c r="E826" s="30">
        <f>IF($D$826="","",IFERROR(INDEX(Accounts!$D:$D,MATCH($D$826,Accounts!$A:$A,0)),"(not in master)"))</f>
        <v/>
      </c>
      <c r="F826" s="31" t="n"/>
      <c r="G826" s="30" t="inlineStr">
        <is>
          <t>Budget</t>
        </is>
      </c>
      <c r="H826" s="32">
        <f>IF($B$826="","",SUMIFS(Opex_Budget!$O:$O,Opex_Budget!$A:$A,$C$3,Opex_Budget!$E:$E,$B$826,Opex_Budget!$F:$F,$D$826,Opex_Budget!$N:$N,"JPY")*$E$5+SUMIFS(Opex_Budget!$O:$O,Opex_Budget!$A:$A,$C$3,Opex_Budget!$E:$E,$B$826,Opex_Budget!$F:$F,$D$826,Opex_Budget!$N:$N,"USD")*$F$5+SUMIFS(Opex_Budget!$O:$O,Opex_Budget!$A:$A,$C$3,Opex_Budget!$E:$E,$B$826,Opex_Budget!$F:$F,$D$826,Opex_Budget!$N:$N,"EUR")*$G$5+SUMIFS(Opex_Budget!$O:$O,Opex_Budget!$A:$A,$C$3,Opex_Budget!$E:$E,$B$826,Opex_Budget!$F:$F,$D$826,Opex_Budget!$N:$N,"GBP")*$H$5)</f>
        <v/>
      </c>
      <c r="I826" s="32">
        <f>IF($B$826="","",SUMIFS(Opex_Budget!$P:$P,Opex_Budget!$A:$A,$C$3,Opex_Budget!$E:$E,$B$826,Opex_Budget!$F:$F,$D$826,Opex_Budget!$N:$N,"JPY")*$E$5+SUMIFS(Opex_Budget!$P:$P,Opex_Budget!$A:$A,$C$3,Opex_Budget!$E:$E,$B$826,Opex_Budget!$F:$F,$D$826,Opex_Budget!$N:$N,"USD")*$F$5+SUMIFS(Opex_Budget!$P:$P,Opex_Budget!$A:$A,$C$3,Opex_Budget!$E:$E,$B$826,Opex_Budget!$F:$F,$D$826,Opex_Budget!$N:$N,"EUR")*$G$5+SUMIFS(Opex_Budget!$P:$P,Opex_Budget!$A:$A,$C$3,Opex_Budget!$E:$E,$B$826,Opex_Budget!$F:$F,$D$826,Opex_Budget!$N:$N,"GBP")*$H$5)</f>
        <v/>
      </c>
      <c r="J826" s="32">
        <f>IF($B$826="","",SUMIFS(Opex_Budget!$Q:$Q,Opex_Budget!$A:$A,$C$3,Opex_Budget!$E:$E,$B$826,Opex_Budget!$F:$F,$D$826,Opex_Budget!$N:$N,"JPY")*$E$5+SUMIFS(Opex_Budget!$Q:$Q,Opex_Budget!$A:$A,$C$3,Opex_Budget!$E:$E,$B$826,Opex_Budget!$F:$F,$D$826,Opex_Budget!$N:$N,"USD")*$F$5+SUMIFS(Opex_Budget!$Q:$Q,Opex_Budget!$A:$A,$C$3,Opex_Budget!$E:$E,$B$826,Opex_Budget!$F:$F,$D$826,Opex_Budget!$N:$N,"EUR")*$G$5+SUMIFS(Opex_Budget!$Q:$Q,Opex_Budget!$A:$A,$C$3,Opex_Budget!$E:$E,$B$826,Opex_Budget!$F:$F,$D$826,Opex_Budget!$N:$N,"GBP")*$H$5)</f>
        <v/>
      </c>
      <c r="K826" s="32">
        <f>IF($B$826="","",SUMIFS(Opex_Budget!$R:$R,Opex_Budget!$A:$A,$C$3,Opex_Budget!$E:$E,$B$826,Opex_Budget!$F:$F,$D$826,Opex_Budget!$N:$N,"JPY")*$E$5+SUMIFS(Opex_Budget!$R:$R,Opex_Budget!$A:$A,$C$3,Opex_Budget!$E:$E,$B$826,Opex_Budget!$F:$F,$D$826,Opex_Budget!$N:$N,"USD")*$F$5+SUMIFS(Opex_Budget!$R:$R,Opex_Budget!$A:$A,$C$3,Opex_Budget!$E:$E,$B$826,Opex_Budget!$F:$F,$D$826,Opex_Budget!$N:$N,"EUR")*$G$5+SUMIFS(Opex_Budget!$R:$R,Opex_Budget!$A:$A,$C$3,Opex_Budget!$E:$E,$B$826,Opex_Budget!$F:$F,$D$826,Opex_Budget!$N:$N,"GBP")*$H$5)</f>
        <v/>
      </c>
      <c r="L826" s="32">
        <f>IF($B$826="","",SUMIFS(Opex_Budget!$S:$S,Opex_Budget!$A:$A,$C$3,Opex_Budget!$E:$E,$B$826,Opex_Budget!$F:$F,$D$826,Opex_Budget!$N:$N,"JPY")*$E$5+SUMIFS(Opex_Budget!$S:$S,Opex_Budget!$A:$A,$C$3,Opex_Budget!$E:$E,$B$826,Opex_Budget!$F:$F,$D$826,Opex_Budget!$N:$N,"USD")*$F$5+SUMIFS(Opex_Budget!$S:$S,Opex_Budget!$A:$A,$C$3,Opex_Budget!$E:$E,$B$826,Opex_Budget!$F:$F,$D$826,Opex_Budget!$N:$N,"EUR")*$G$5+SUMIFS(Opex_Budget!$S:$S,Opex_Budget!$A:$A,$C$3,Opex_Budget!$E:$E,$B$826,Opex_Budget!$F:$F,$D$826,Opex_Budget!$N:$N,"GBP")*$H$5)</f>
        <v/>
      </c>
      <c r="M826" s="32">
        <f>IF($B$826="","",SUMIFS(Opex_Budget!$T:$T,Opex_Budget!$A:$A,$C$3,Opex_Budget!$E:$E,$B$826,Opex_Budget!$F:$F,$D$826,Opex_Budget!$N:$N,"JPY")*$E$5+SUMIFS(Opex_Budget!$T:$T,Opex_Budget!$A:$A,$C$3,Opex_Budget!$E:$E,$B$826,Opex_Budget!$F:$F,$D$826,Opex_Budget!$N:$N,"USD")*$F$5+SUMIFS(Opex_Budget!$T:$T,Opex_Budget!$A:$A,$C$3,Opex_Budget!$E:$E,$B$826,Opex_Budget!$F:$F,$D$826,Opex_Budget!$N:$N,"EUR")*$G$5+SUMIFS(Opex_Budget!$T:$T,Opex_Budget!$A:$A,$C$3,Opex_Budget!$E:$E,$B$826,Opex_Budget!$F:$F,$D$826,Opex_Budget!$N:$N,"GBP")*$H$5)</f>
        <v/>
      </c>
      <c r="N826" s="32">
        <f>IF($B$826="","",SUMIFS(Opex_Budget!$U:$U,Opex_Budget!$A:$A,$C$3,Opex_Budget!$E:$E,$B$826,Opex_Budget!$F:$F,$D$826,Opex_Budget!$N:$N,"JPY")*$E$5+SUMIFS(Opex_Budget!$U:$U,Opex_Budget!$A:$A,$C$3,Opex_Budget!$E:$E,$B$826,Opex_Budget!$F:$F,$D$826,Opex_Budget!$N:$N,"USD")*$F$5+SUMIFS(Opex_Budget!$U:$U,Opex_Budget!$A:$A,$C$3,Opex_Budget!$E:$E,$B$826,Opex_Budget!$F:$F,$D$826,Opex_Budget!$N:$N,"EUR")*$G$5+SUMIFS(Opex_Budget!$U:$U,Opex_Budget!$A:$A,$C$3,Opex_Budget!$E:$E,$B$826,Opex_Budget!$F:$F,$D$826,Opex_Budget!$N:$N,"GBP")*$H$5)</f>
        <v/>
      </c>
      <c r="O826" s="32">
        <f>IF($B$826="","",SUMIFS(Opex_Budget!$V:$V,Opex_Budget!$A:$A,$C$3,Opex_Budget!$E:$E,$B$826,Opex_Budget!$F:$F,$D$826,Opex_Budget!$N:$N,"JPY")*$E$5+SUMIFS(Opex_Budget!$V:$V,Opex_Budget!$A:$A,$C$3,Opex_Budget!$E:$E,$B$826,Opex_Budget!$F:$F,$D$826,Opex_Budget!$N:$N,"USD")*$F$5+SUMIFS(Opex_Budget!$V:$V,Opex_Budget!$A:$A,$C$3,Opex_Budget!$E:$E,$B$826,Opex_Budget!$F:$F,$D$826,Opex_Budget!$N:$N,"EUR")*$G$5+SUMIFS(Opex_Budget!$V:$V,Opex_Budget!$A:$A,$C$3,Opex_Budget!$E:$E,$B$826,Opex_Budget!$F:$F,$D$826,Opex_Budget!$N:$N,"GBP")*$H$5)</f>
        <v/>
      </c>
      <c r="P826" s="32">
        <f>IF($B$826="","",SUMIFS(Opex_Budget!$W:$W,Opex_Budget!$A:$A,$C$3,Opex_Budget!$E:$E,$B$826,Opex_Budget!$F:$F,$D$826,Opex_Budget!$N:$N,"JPY")*$E$5+SUMIFS(Opex_Budget!$W:$W,Opex_Budget!$A:$A,$C$3,Opex_Budget!$E:$E,$B$826,Opex_Budget!$F:$F,$D$826,Opex_Budget!$N:$N,"USD")*$F$5+SUMIFS(Opex_Budget!$W:$W,Opex_Budget!$A:$A,$C$3,Opex_Budget!$E:$E,$B$826,Opex_Budget!$F:$F,$D$826,Opex_Budget!$N:$N,"EUR")*$G$5+SUMIFS(Opex_Budget!$W:$W,Opex_Budget!$A:$A,$C$3,Opex_Budget!$E:$E,$B$826,Opex_Budget!$F:$F,$D$826,Opex_Budget!$N:$N,"GBP")*$H$5)</f>
        <v/>
      </c>
      <c r="Q826" s="32">
        <f>IF($B$826="","",SUMIFS(Opex_Budget!$X:$X,Opex_Budget!$A:$A,$C$3,Opex_Budget!$E:$E,$B$826,Opex_Budget!$F:$F,$D$826,Opex_Budget!$N:$N,"JPY")*$E$5+SUMIFS(Opex_Budget!$X:$X,Opex_Budget!$A:$A,$C$3,Opex_Budget!$E:$E,$B$826,Opex_Budget!$F:$F,$D$826,Opex_Budget!$N:$N,"USD")*$F$5+SUMIFS(Opex_Budget!$X:$X,Opex_Budget!$A:$A,$C$3,Opex_Budget!$E:$E,$B$826,Opex_Budget!$F:$F,$D$826,Opex_Budget!$N:$N,"EUR")*$G$5+SUMIFS(Opex_Budget!$X:$X,Opex_Budget!$A:$A,$C$3,Opex_Budget!$E:$E,$B$826,Opex_Budget!$F:$F,$D$826,Opex_Budget!$N:$N,"GBP")*$H$5)</f>
        <v/>
      </c>
      <c r="R826" s="32">
        <f>IF($B$826="","",SUMIFS(Opex_Budget!$Y:$Y,Opex_Budget!$A:$A,$C$3,Opex_Budget!$E:$E,$B$826,Opex_Budget!$F:$F,$D$826,Opex_Budget!$N:$N,"JPY")*$E$5+SUMIFS(Opex_Budget!$Y:$Y,Opex_Budget!$A:$A,$C$3,Opex_Budget!$E:$E,$B$826,Opex_Budget!$F:$F,$D$826,Opex_Budget!$N:$N,"USD")*$F$5+SUMIFS(Opex_Budget!$Y:$Y,Opex_Budget!$A:$A,$C$3,Opex_Budget!$E:$E,$B$826,Opex_Budget!$F:$F,$D$826,Opex_Budget!$N:$N,"EUR")*$G$5+SUMIFS(Opex_Budget!$Y:$Y,Opex_Budget!$A:$A,$C$3,Opex_Budget!$E:$E,$B$826,Opex_Budget!$F:$F,$D$826,Opex_Budget!$N:$N,"GBP")*$H$5)</f>
        <v/>
      </c>
      <c r="S826" s="32">
        <f>IF($B$826="","",SUMIFS(Opex_Budget!$Z:$Z,Opex_Budget!$A:$A,$C$3,Opex_Budget!$E:$E,$B$826,Opex_Budget!$F:$F,$D$826,Opex_Budget!$N:$N,"JPY")*$E$5+SUMIFS(Opex_Budget!$Z:$Z,Opex_Budget!$A:$A,$C$3,Opex_Budget!$E:$E,$B$826,Opex_Budget!$F:$F,$D$826,Opex_Budget!$N:$N,"USD")*$F$5+SUMIFS(Opex_Budget!$Z:$Z,Opex_Budget!$A:$A,$C$3,Opex_Budget!$E:$E,$B$826,Opex_Budget!$F:$F,$D$826,Opex_Budget!$N:$N,"EUR")*$G$5+SUMIFS(Opex_Budget!$Z:$Z,Opex_Budget!$A:$A,$C$3,Opex_Budget!$E:$E,$B$826,Opex_Budget!$F:$F,$D$826,Opex_Budget!$N:$N,"GBP")*$H$5)</f>
        <v/>
      </c>
      <c r="T826" s="32">
        <f>IF($B$826="","",SUMIF($H$7:$S$7,"&lt;="&amp;$C$4,$H826:$S826))</f>
        <v/>
      </c>
      <c r="U826" s="32">
        <f>IF($B$826="","",SUMIF($H$7:$S$7,"&gt;"&amp;$C$4,$H826:$S826))</f>
        <v/>
      </c>
      <c r="V826" s="32">
        <f>IF($B$826="","",SUM($H826:$S826))</f>
        <v/>
      </c>
      <c r="X826" s="22">
        <f>IF($B826="","",IFERROR(INDEX(Cost_Centers!$E:$E,MATCH($B826,Cost_Centers!$A:$A,0)),"(unknown)"))</f>
        <v/>
      </c>
      <c r="Y826" s="22">
        <f>IF($B826="","",IFERROR(INDEX(Cost_Centers!$D:$D,MATCH($B826,Cost_Centers!$A:$A,0)),"(unknown)"))</f>
        <v/>
      </c>
      <c r="Z826" s="22">
        <f>IF(OR($B826="",$G826&lt;&gt;"Variance vs Budget"),"",ABS(N($V826))+ROW()/1000000000)</f>
        <v/>
      </c>
    </row>
    <row r="827">
      <c r="A827" s="13">
        <f>IF(A$826="","",A$826)</f>
        <v/>
      </c>
      <c r="B827" s="13">
        <f>IF(B$826="","",B$826)</f>
        <v/>
      </c>
      <c r="C827" s="13">
        <f>IF(C$826="","",C$826)</f>
        <v/>
      </c>
      <c r="D827" s="13">
        <f>IF(D$826="","",D$826)</f>
        <v/>
      </c>
      <c r="E827" s="13">
        <f>IF(E$826="","",E$826)</f>
        <v/>
      </c>
      <c r="F827" s="13">
        <f>IF(F$826="","",F$826)</f>
        <v/>
      </c>
      <c r="G827" s="7" t="inlineStr">
        <is>
          <t>Actual</t>
        </is>
      </c>
      <c r="H827" s="18">
        <f>IF(OR($B$826="",1&gt;$C$4),"",SUMIFS(Actuals!$G:$G,Actuals!$B:$B,$C$3,Actuals!$C:$C,1,Actuals!$D:$D,$B$826,Actuals!$A:$A,LEFT($D$826,FIND("|",$D$826&amp;"|")-1),Actuals!$E:$E,MID($D$826,FIND("|",$D$826&amp;"|")+1,50),Actuals!$F:$F,"JPY")*$E$5+SUMIFS(Actuals!$G:$G,Actuals!$B:$B,$C$3,Actuals!$C:$C,1,Actuals!$D:$D,$B$826,Actuals!$A:$A,LEFT($D$826,FIND("|",$D$826&amp;"|")-1),Actuals!$E:$E,MID($D$826,FIND("|",$D$826&amp;"|")+1,50),Actuals!$F:$F,"USD")*$F$5+SUMIFS(Actuals!$G:$G,Actuals!$B:$B,$C$3,Actuals!$C:$C,1,Actuals!$D:$D,$B$826,Actuals!$A:$A,LEFT($D$826,FIND("|",$D$826&amp;"|")-1),Actuals!$E:$E,MID($D$826,FIND("|",$D$826&amp;"|")+1,50),Actuals!$F:$F,"EUR")*$G$5+SUMIFS(Actuals!$G:$G,Actuals!$B:$B,$C$3,Actuals!$C:$C,1,Actuals!$D:$D,$B$826,Actuals!$A:$A,LEFT($D$826,FIND("|",$D$826&amp;"|")-1),Actuals!$E:$E,MID($D$826,FIND("|",$D$826&amp;"|")+1,50),Actuals!$F:$F,"GBP")*$H$5)</f>
        <v/>
      </c>
      <c r="I827" s="18">
        <f>IF(OR($B$826="",2&gt;$C$4),"",SUMIFS(Actuals!$G:$G,Actuals!$B:$B,$C$3,Actuals!$C:$C,2,Actuals!$D:$D,$B$826,Actuals!$A:$A,LEFT($D$826,FIND("|",$D$826&amp;"|")-1),Actuals!$E:$E,MID($D$826,FIND("|",$D$826&amp;"|")+1,50),Actuals!$F:$F,"JPY")*$E$5+SUMIFS(Actuals!$G:$G,Actuals!$B:$B,$C$3,Actuals!$C:$C,2,Actuals!$D:$D,$B$826,Actuals!$A:$A,LEFT($D$826,FIND("|",$D$826&amp;"|")-1),Actuals!$E:$E,MID($D$826,FIND("|",$D$826&amp;"|")+1,50),Actuals!$F:$F,"USD")*$F$5+SUMIFS(Actuals!$G:$G,Actuals!$B:$B,$C$3,Actuals!$C:$C,2,Actuals!$D:$D,$B$826,Actuals!$A:$A,LEFT($D$826,FIND("|",$D$826&amp;"|")-1),Actuals!$E:$E,MID($D$826,FIND("|",$D$826&amp;"|")+1,50),Actuals!$F:$F,"EUR")*$G$5+SUMIFS(Actuals!$G:$G,Actuals!$B:$B,$C$3,Actuals!$C:$C,2,Actuals!$D:$D,$B$826,Actuals!$A:$A,LEFT($D$826,FIND("|",$D$826&amp;"|")-1),Actuals!$E:$E,MID($D$826,FIND("|",$D$826&amp;"|")+1,50),Actuals!$F:$F,"GBP")*$H$5)</f>
        <v/>
      </c>
      <c r="J827" s="18">
        <f>IF(OR($B$826="",3&gt;$C$4),"",SUMIFS(Actuals!$G:$G,Actuals!$B:$B,$C$3,Actuals!$C:$C,3,Actuals!$D:$D,$B$826,Actuals!$A:$A,LEFT($D$826,FIND("|",$D$826&amp;"|")-1),Actuals!$E:$E,MID($D$826,FIND("|",$D$826&amp;"|")+1,50),Actuals!$F:$F,"JPY")*$E$5+SUMIFS(Actuals!$G:$G,Actuals!$B:$B,$C$3,Actuals!$C:$C,3,Actuals!$D:$D,$B$826,Actuals!$A:$A,LEFT($D$826,FIND("|",$D$826&amp;"|")-1),Actuals!$E:$E,MID($D$826,FIND("|",$D$826&amp;"|")+1,50),Actuals!$F:$F,"USD")*$F$5+SUMIFS(Actuals!$G:$G,Actuals!$B:$B,$C$3,Actuals!$C:$C,3,Actuals!$D:$D,$B$826,Actuals!$A:$A,LEFT($D$826,FIND("|",$D$826&amp;"|")-1),Actuals!$E:$E,MID($D$826,FIND("|",$D$826&amp;"|")+1,50),Actuals!$F:$F,"EUR")*$G$5+SUMIFS(Actuals!$G:$G,Actuals!$B:$B,$C$3,Actuals!$C:$C,3,Actuals!$D:$D,$B$826,Actuals!$A:$A,LEFT($D$826,FIND("|",$D$826&amp;"|")-1),Actuals!$E:$E,MID($D$826,FIND("|",$D$826&amp;"|")+1,50),Actuals!$F:$F,"GBP")*$H$5)</f>
        <v/>
      </c>
      <c r="K827" s="18">
        <f>IF(OR($B$826="",4&gt;$C$4),"",SUMIFS(Actuals!$G:$G,Actuals!$B:$B,$C$3,Actuals!$C:$C,4,Actuals!$D:$D,$B$826,Actuals!$A:$A,LEFT($D$826,FIND("|",$D$826&amp;"|")-1),Actuals!$E:$E,MID($D$826,FIND("|",$D$826&amp;"|")+1,50),Actuals!$F:$F,"JPY")*$E$5+SUMIFS(Actuals!$G:$G,Actuals!$B:$B,$C$3,Actuals!$C:$C,4,Actuals!$D:$D,$B$826,Actuals!$A:$A,LEFT($D$826,FIND("|",$D$826&amp;"|")-1),Actuals!$E:$E,MID($D$826,FIND("|",$D$826&amp;"|")+1,50),Actuals!$F:$F,"USD")*$F$5+SUMIFS(Actuals!$G:$G,Actuals!$B:$B,$C$3,Actuals!$C:$C,4,Actuals!$D:$D,$B$826,Actuals!$A:$A,LEFT($D$826,FIND("|",$D$826&amp;"|")-1),Actuals!$E:$E,MID($D$826,FIND("|",$D$826&amp;"|")+1,50),Actuals!$F:$F,"EUR")*$G$5+SUMIFS(Actuals!$G:$G,Actuals!$B:$B,$C$3,Actuals!$C:$C,4,Actuals!$D:$D,$B$826,Actuals!$A:$A,LEFT($D$826,FIND("|",$D$826&amp;"|")-1),Actuals!$E:$E,MID($D$826,FIND("|",$D$826&amp;"|")+1,50),Actuals!$F:$F,"GBP")*$H$5)</f>
        <v/>
      </c>
      <c r="L827" s="18">
        <f>IF(OR($B$826="",5&gt;$C$4),"",SUMIFS(Actuals!$G:$G,Actuals!$B:$B,$C$3,Actuals!$C:$C,5,Actuals!$D:$D,$B$826,Actuals!$A:$A,LEFT($D$826,FIND("|",$D$826&amp;"|")-1),Actuals!$E:$E,MID($D$826,FIND("|",$D$826&amp;"|")+1,50),Actuals!$F:$F,"JPY")*$E$5+SUMIFS(Actuals!$G:$G,Actuals!$B:$B,$C$3,Actuals!$C:$C,5,Actuals!$D:$D,$B$826,Actuals!$A:$A,LEFT($D$826,FIND("|",$D$826&amp;"|")-1),Actuals!$E:$E,MID($D$826,FIND("|",$D$826&amp;"|")+1,50),Actuals!$F:$F,"USD")*$F$5+SUMIFS(Actuals!$G:$G,Actuals!$B:$B,$C$3,Actuals!$C:$C,5,Actuals!$D:$D,$B$826,Actuals!$A:$A,LEFT($D$826,FIND("|",$D$826&amp;"|")-1),Actuals!$E:$E,MID($D$826,FIND("|",$D$826&amp;"|")+1,50),Actuals!$F:$F,"EUR")*$G$5+SUMIFS(Actuals!$G:$G,Actuals!$B:$B,$C$3,Actuals!$C:$C,5,Actuals!$D:$D,$B$826,Actuals!$A:$A,LEFT($D$826,FIND("|",$D$826&amp;"|")-1),Actuals!$E:$E,MID($D$826,FIND("|",$D$826&amp;"|")+1,50),Actuals!$F:$F,"GBP")*$H$5)</f>
        <v/>
      </c>
      <c r="M827" s="18">
        <f>IF(OR($B$826="",6&gt;$C$4),"",SUMIFS(Actuals!$G:$G,Actuals!$B:$B,$C$3,Actuals!$C:$C,6,Actuals!$D:$D,$B$826,Actuals!$A:$A,LEFT($D$826,FIND("|",$D$826&amp;"|")-1),Actuals!$E:$E,MID($D$826,FIND("|",$D$826&amp;"|")+1,50),Actuals!$F:$F,"JPY")*$E$5+SUMIFS(Actuals!$G:$G,Actuals!$B:$B,$C$3,Actuals!$C:$C,6,Actuals!$D:$D,$B$826,Actuals!$A:$A,LEFT($D$826,FIND("|",$D$826&amp;"|")-1),Actuals!$E:$E,MID($D$826,FIND("|",$D$826&amp;"|")+1,50),Actuals!$F:$F,"USD")*$F$5+SUMIFS(Actuals!$G:$G,Actuals!$B:$B,$C$3,Actuals!$C:$C,6,Actuals!$D:$D,$B$826,Actuals!$A:$A,LEFT($D$826,FIND("|",$D$826&amp;"|")-1),Actuals!$E:$E,MID($D$826,FIND("|",$D$826&amp;"|")+1,50),Actuals!$F:$F,"EUR")*$G$5+SUMIFS(Actuals!$G:$G,Actuals!$B:$B,$C$3,Actuals!$C:$C,6,Actuals!$D:$D,$B$826,Actuals!$A:$A,LEFT($D$826,FIND("|",$D$826&amp;"|")-1),Actuals!$E:$E,MID($D$826,FIND("|",$D$826&amp;"|")+1,50),Actuals!$F:$F,"GBP")*$H$5)</f>
        <v/>
      </c>
      <c r="N827" s="18">
        <f>IF(OR($B$826="",7&gt;$C$4),"",SUMIFS(Actuals!$G:$G,Actuals!$B:$B,$C$3,Actuals!$C:$C,7,Actuals!$D:$D,$B$826,Actuals!$A:$A,LEFT($D$826,FIND("|",$D$826&amp;"|")-1),Actuals!$E:$E,MID($D$826,FIND("|",$D$826&amp;"|")+1,50),Actuals!$F:$F,"JPY")*$E$5+SUMIFS(Actuals!$G:$G,Actuals!$B:$B,$C$3,Actuals!$C:$C,7,Actuals!$D:$D,$B$826,Actuals!$A:$A,LEFT($D$826,FIND("|",$D$826&amp;"|")-1),Actuals!$E:$E,MID($D$826,FIND("|",$D$826&amp;"|")+1,50),Actuals!$F:$F,"USD")*$F$5+SUMIFS(Actuals!$G:$G,Actuals!$B:$B,$C$3,Actuals!$C:$C,7,Actuals!$D:$D,$B$826,Actuals!$A:$A,LEFT($D$826,FIND("|",$D$826&amp;"|")-1),Actuals!$E:$E,MID($D$826,FIND("|",$D$826&amp;"|")+1,50),Actuals!$F:$F,"EUR")*$G$5+SUMIFS(Actuals!$G:$G,Actuals!$B:$B,$C$3,Actuals!$C:$C,7,Actuals!$D:$D,$B$826,Actuals!$A:$A,LEFT($D$826,FIND("|",$D$826&amp;"|")-1),Actuals!$E:$E,MID($D$826,FIND("|",$D$826&amp;"|")+1,50),Actuals!$F:$F,"GBP")*$H$5)</f>
        <v/>
      </c>
      <c r="O827" s="18">
        <f>IF(OR($B$826="",8&gt;$C$4),"",SUMIFS(Actuals!$G:$G,Actuals!$B:$B,$C$3,Actuals!$C:$C,8,Actuals!$D:$D,$B$826,Actuals!$A:$A,LEFT($D$826,FIND("|",$D$826&amp;"|")-1),Actuals!$E:$E,MID($D$826,FIND("|",$D$826&amp;"|")+1,50),Actuals!$F:$F,"JPY")*$E$5+SUMIFS(Actuals!$G:$G,Actuals!$B:$B,$C$3,Actuals!$C:$C,8,Actuals!$D:$D,$B$826,Actuals!$A:$A,LEFT($D$826,FIND("|",$D$826&amp;"|")-1),Actuals!$E:$E,MID($D$826,FIND("|",$D$826&amp;"|")+1,50),Actuals!$F:$F,"USD")*$F$5+SUMIFS(Actuals!$G:$G,Actuals!$B:$B,$C$3,Actuals!$C:$C,8,Actuals!$D:$D,$B$826,Actuals!$A:$A,LEFT($D$826,FIND("|",$D$826&amp;"|")-1),Actuals!$E:$E,MID($D$826,FIND("|",$D$826&amp;"|")+1,50),Actuals!$F:$F,"EUR")*$G$5+SUMIFS(Actuals!$G:$G,Actuals!$B:$B,$C$3,Actuals!$C:$C,8,Actuals!$D:$D,$B$826,Actuals!$A:$A,LEFT($D$826,FIND("|",$D$826&amp;"|")-1),Actuals!$E:$E,MID($D$826,FIND("|",$D$826&amp;"|")+1,50),Actuals!$F:$F,"GBP")*$H$5)</f>
        <v/>
      </c>
      <c r="P827" s="18">
        <f>IF(OR($B$826="",9&gt;$C$4),"",SUMIFS(Actuals!$G:$G,Actuals!$B:$B,$C$3,Actuals!$C:$C,9,Actuals!$D:$D,$B$826,Actuals!$A:$A,LEFT($D$826,FIND("|",$D$826&amp;"|")-1),Actuals!$E:$E,MID($D$826,FIND("|",$D$826&amp;"|")+1,50),Actuals!$F:$F,"JPY")*$E$5+SUMIFS(Actuals!$G:$G,Actuals!$B:$B,$C$3,Actuals!$C:$C,9,Actuals!$D:$D,$B$826,Actuals!$A:$A,LEFT($D$826,FIND("|",$D$826&amp;"|")-1),Actuals!$E:$E,MID($D$826,FIND("|",$D$826&amp;"|")+1,50),Actuals!$F:$F,"USD")*$F$5+SUMIFS(Actuals!$G:$G,Actuals!$B:$B,$C$3,Actuals!$C:$C,9,Actuals!$D:$D,$B$826,Actuals!$A:$A,LEFT($D$826,FIND("|",$D$826&amp;"|")-1),Actuals!$E:$E,MID($D$826,FIND("|",$D$826&amp;"|")+1,50),Actuals!$F:$F,"EUR")*$G$5+SUMIFS(Actuals!$G:$G,Actuals!$B:$B,$C$3,Actuals!$C:$C,9,Actuals!$D:$D,$B$826,Actuals!$A:$A,LEFT($D$826,FIND("|",$D$826&amp;"|")-1),Actuals!$E:$E,MID($D$826,FIND("|",$D$826&amp;"|")+1,50),Actuals!$F:$F,"GBP")*$H$5)</f>
        <v/>
      </c>
      <c r="Q827" s="18">
        <f>IF(OR($B$826="",10&gt;$C$4),"",SUMIFS(Actuals!$G:$G,Actuals!$B:$B,$C$3,Actuals!$C:$C,10,Actuals!$D:$D,$B$826,Actuals!$A:$A,LEFT($D$826,FIND("|",$D$826&amp;"|")-1),Actuals!$E:$E,MID($D$826,FIND("|",$D$826&amp;"|")+1,50),Actuals!$F:$F,"JPY")*$E$5+SUMIFS(Actuals!$G:$G,Actuals!$B:$B,$C$3,Actuals!$C:$C,10,Actuals!$D:$D,$B$826,Actuals!$A:$A,LEFT($D$826,FIND("|",$D$826&amp;"|")-1),Actuals!$E:$E,MID($D$826,FIND("|",$D$826&amp;"|")+1,50),Actuals!$F:$F,"USD")*$F$5+SUMIFS(Actuals!$G:$G,Actuals!$B:$B,$C$3,Actuals!$C:$C,10,Actuals!$D:$D,$B$826,Actuals!$A:$A,LEFT($D$826,FIND("|",$D$826&amp;"|")-1),Actuals!$E:$E,MID($D$826,FIND("|",$D$826&amp;"|")+1,50),Actuals!$F:$F,"EUR")*$G$5+SUMIFS(Actuals!$G:$G,Actuals!$B:$B,$C$3,Actuals!$C:$C,10,Actuals!$D:$D,$B$826,Actuals!$A:$A,LEFT($D$826,FIND("|",$D$826&amp;"|")-1),Actuals!$E:$E,MID($D$826,FIND("|",$D$826&amp;"|")+1,50),Actuals!$F:$F,"GBP")*$H$5)</f>
        <v/>
      </c>
      <c r="R827" s="18">
        <f>IF(OR($B$826="",11&gt;$C$4),"",SUMIFS(Actuals!$G:$G,Actuals!$B:$B,$C$3,Actuals!$C:$C,11,Actuals!$D:$D,$B$826,Actuals!$A:$A,LEFT($D$826,FIND("|",$D$826&amp;"|")-1),Actuals!$E:$E,MID($D$826,FIND("|",$D$826&amp;"|")+1,50),Actuals!$F:$F,"JPY")*$E$5+SUMIFS(Actuals!$G:$G,Actuals!$B:$B,$C$3,Actuals!$C:$C,11,Actuals!$D:$D,$B$826,Actuals!$A:$A,LEFT($D$826,FIND("|",$D$826&amp;"|")-1),Actuals!$E:$E,MID($D$826,FIND("|",$D$826&amp;"|")+1,50),Actuals!$F:$F,"USD")*$F$5+SUMIFS(Actuals!$G:$G,Actuals!$B:$B,$C$3,Actuals!$C:$C,11,Actuals!$D:$D,$B$826,Actuals!$A:$A,LEFT($D$826,FIND("|",$D$826&amp;"|")-1),Actuals!$E:$E,MID($D$826,FIND("|",$D$826&amp;"|")+1,50),Actuals!$F:$F,"EUR")*$G$5+SUMIFS(Actuals!$G:$G,Actuals!$B:$B,$C$3,Actuals!$C:$C,11,Actuals!$D:$D,$B$826,Actuals!$A:$A,LEFT($D$826,FIND("|",$D$826&amp;"|")-1),Actuals!$E:$E,MID($D$826,FIND("|",$D$826&amp;"|")+1,50),Actuals!$F:$F,"GBP")*$H$5)</f>
        <v/>
      </c>
      <c r="S827" s="18">
        <f>IF(OR($B$826="",12&gt;$C$4),"",SUMIFS(Actuals!$G:$G,Actuals!$B:$B,$C$3,Actuals!$C:$C,12,Actuals!$D:$D,$B$826,Actuals!$A:$A,LEFT($D$826,FIND("|",$D$826&amp;"|")-1),Actuals!$E:$E,MID($D$826,FIND("|",$D$826&amp;"|")+1,50),Actuals!$F:$F,"JPY")*$E$5+SUMIFS(Actuals!$G:$G,Actuals!$B:$B,$C$3,Actuals!$C:$C,12,Actuals!$D:$D,$B$826,Actuals!$A:$A,LEFT($D$826,FIND("|",$D$826&amp;"|")-1),Actuals!$E:$E,MID($D$826,FIND("|",$D$826&amp;"|")+1,50),Actuals!$F:$F,"USD")*$F$5+SUMIFS(Actuals!$G:$G,Actuals!$B:$B,$C$3,Actuals!$C:$C,12,Actuals!$D:$D,$B$826,Actuals!$A:$A,LEFT($D$826,FIND("|",$D$826&amp;"|")-1),Actuals!$E:$E,MID($D$826,FIND("|",$D$826&amp;"|")+1,50),Actuals!$F:$F,"EUR")*$G$5+SUMIFS(Actuals!$G:$G,Actuals!$B:$B,$C$3,Actuals!$C:$C,12,Actuals!$D:$D,$B$826,Actuals!$A:$A,LEFT($D$826,FIND("|",$D$826&amp;"|")-1),Actuals!$E:$E,MID($D$826,FIND("|",$D$826&amp;"|")+1,50),Actuals!$F:$F,"GBP")*$H$5)</f>
        <v/>
      </c>
      <c r="T827" s="18">
        <f>IF($B$826="","",SUMIF($H$7:$S$7,"&lt;="&amp;$C$4,$H827:$S827))</f>
        <v/>
      </c>
      <c r="U827" s="18" t="n"/>
      <c r="V827" s="18" t="n"/>
      <c r="X827" s="22">
        <f>IF($B827="","",IFERROR(INDEX(Cost_Centers!$E:$E,MATCH($B827,Cost_Centers!$A:$A,0)),"(unknown)"))</f>
        <v/>
      </c>
      <c r="Y827" s="22">
        <f>IF($B827="","",IFERROR(INDEX(Cost_Centers!$D:$D,MATCH($B827,Cost_Centers!$A:$A,0)),"(unknown)"))</f>
        <v/>
      </c>
      <c r="Z827" s="22">
        <f>IF(OR($B827="",$G827&lt;&gt;"Variance vs Budget"),"",ABS(N($V827))+ROW()/1000000000)</f>
        <v/>
      </c>
    </row>
    <row r="828">
      <c r="A828" s="13">
        <f>IF(A$826="","",A$826)</f>
        <v/>
      </c>
      <c r="B828" s="13">
        <f>IF(B$826="","",B$826)</f>
        <v/>
      </c>
      <c r="C828" s="13">
        <f>IF(C$826="","",C$826)</f>
        <v/>
      </c>
      <c r="D828" s="13">
        <f>IF(D$826="","",D$826)</f>
        <v/>
      </c>
      <c r="E828" s="13">
        <f>IF(E$826="","",E$826)</f>
        <v/>
      </c>
      <c r="F828" s="13">
        <f>IF(F$826="","",F$826)</f>
        <v/>
      </c>
      <c r="G828" s="6" t="inlineStr">
        <is>
          <t>Variance vs Budget</t>
        </is>
      </c>
      <c r="H828" s="33">
        <f>IF(OR($B$826="",1&gt;$C$4),"",N(H827)-H826)</f>
        <v/>
      </c>
      <c r="I828" s="33">
        <f>IF(OR($B$826="",2&gt;$C$4),"",N(I827)-I826)</f>
        <v/>
      </c>
      <c r="J828" s="33">
        <f>IF(OR($B$826="",3&gt;$C$4),"",N(J827)-J826)</f>
        <v/>
      </c>
      <c r="K828" s="33">
        <f>IF(OR($B$826="",4&gt;$C$4),"",N(K827)-K826)</f>
        <v/>
      </c>
      <c r="L828" s="33">
        <f>IF(OR($B$826="",5&gt;$C$4),"",N(L827)-L826)</f>
        <v/>
      </c>
      <c r="M828" s="33">
        <f>IF(OR($B$826="",6&gt;$C$4),"",N(M827)-M826)</f>
        <v/>
      </c>
      <c r="N828" s="33">
        <f>IF(OR($B$826="",7&gt;$C$4),"",N(N827)-N826)</f>
        <v/>
      </c>
      <c r="O828" s="33">
        <f>IF(OR($B$826="",8&gt;$C$4),"",N(O827)-O826)</f>
        <v/>
      </c>
      <c r="P828" s="33">
        <f>IF(OR($B$826="",9&gt;$C$4),"",N(P827)-P826)</f>
        <v/>
      </c>
      <c r="Q828" s="33">
        <f>IF(OR($B$826="",10&gt;$C$4),"",N(Q827)-Q826)</f>
        <v/>
      </c>
      <c r="R828" s="33">
        <f>IF(OR($B$826="",11&gt;$C$4),"",N(R827)-R826)</f>
        <v/>
      </c>
      <c r="S828" s="33">
        <f>IF(OR($B$826="",12&gt;$C$4),"",N(S827)-S826)</f>
        <v/>
      </c>
      <c r="T828" s="33">
        <f>IF($B$826="","",T827-T826)</f>
        <v/>
      </c>
      <c r="U828" s="33">
        <f>IF($B$826="","",U830-U826)</f>
        <v/>
      </c>
      <c r="V828" s="33">
        <f>IF($B$826="","",V830-V826)</f>
        <v/>
      </c>
      <c r="X828" s="22">
        <f>IF($B828="","",IFERROR(INDEX(Cost_Centers!$E:$E,MATCH($B828,Cost_Centers!$A:$A,0)),"(unknown)"))</f>
        <v/>
      </c>
      <c r="Y828" s="22">
        <f>IF($B828="","",IFERROR(INDEX(Cost_Centers!$D:$D,MATCH($B828,Cost_Centers!$A:$A,0)),"(unknown)"))</f>
        <v/>
      </c>
      <c r="Z828" s="22">
        <f>IF(OR($B828="",$G828&lt;&gt;"Variance vs Budget"),"",ABS(N($V828))+ROW()/1000000000)</f>
        <v/>
      </c>
    </row>
    <row r="829">
      <c r="A829" s="13">
        <f>IF(A$826="","",A$826)</f>
        <v/>
      </c>
      <c r="B829" s="13">
        <f>IF(B$826="","",B$826)</f>
        <v/>
      </c>
      <c r="C829" s="13">
        <f>IF(C$826="","",C$826)</f>
        <v/>
      </c>
      <c r="D829" s="13">
        <f>IF(D$826="","",D$826)</f>
        <v/>
      </c>
      <c r="E829" s="13">
        <f>IF(E$826="","",E$826)</f>
        <v/>
      </c>
      <c r="F829" s="13">
        <f>IF(F$826="","",F$826)</f>
        <v/>
      </c>
      <c r="G829" s="7" t="inlineStr">
        <is>
          <t>Forecast (input)</t>
        </is>
      </c>
      <c r="H829" s="34" t="n"/>
      <c r="I829" s="34" t="n"/>
      <c r="J829" s="34" t="n"/>
      <c r="K829" s="34" t="n"/>
      <c r="L829" s="34" t="n"/>
      <c r="M829" s="34" t="n"/>
      <c r="N829" s="34" t="n"/>
      <c r="O829" s="34" t="n"/>
      <c r="P829" s="34" t="n"/>
      <c r="Q829" s="34" t="n"/>
      <c r="R829" s="34" t="n"/>
      <c r="S829" s="34" t="n"/>
      <c r="T829" s="18" t="n"/>
      <c r="U829" s="18" t="n"/>
      <c r="V829" s="18" t="n"/>
      <c r="X829" s="22">
        <f>IF($B829="","",IFERROR(INDEX(Cost_Centers!$E:$E,MATCH($B829,Cost_Centers!$A:$A,0)),"(unknown)"))</f>
        <v/>
      </c>
      <c r="Y829" s="22">
        <f>IF($B829="","",IFERROR(INDEX(Cost_Centers!$D:$D,MATCH($B829,Cost_Centers!$A:$A,0)),"(unknown)"))</f>
        <v/>
      </c>
      <c r="Z829" s="22">
        <f>IF(OR($B829="",$G829&lt;&gt;"Variance vs Budget"),"",ABS(N($V829))+ROW()/1000000000)</f>
        <v/>
      </c>
    </row>
    <row r="830">
      <c r="A830" s="13">
        <f>IF(A$826="","",A$826)</f>
        <v/>
      </c>
      <c r="B830" s="13">
        <f>IF(B$826="","",B$826)</f>
        <v/>
      </c>
      <c r="C830" s="13">
        <f>IF(C$826="","",C$826)</f>
        <v/>
      </c>
      <c r="D830" s="13">
        <f>IF(D$826="","",D$826)</f>
        <v/>
      </c>
      <c r="E830" s="13">
        <f>IF(E$826="","",E$826)</f>
        <v/>
      </c>
      <c r="F830" s="13">
        <f>IF(F$826="","",F$826)</f>
        <v/>
      </c>
      <c r="G830" s="35" t="inlineStr">
        <is>
          <t>Actual + Forecast</t>
        </is>
      </c>
      <c r="H830" s="18">
        <f>IF($B$826="","",IF(1&lt;=$C$4,N(H827),IF(H829="",H826,H829)))</f>
        <v/>
      </c>
      <c r="I830" s="18">
        <f>IF($B$826="","",IF(2&lt;=$C$4,N(I827),IF(I829="",I826,I829)))</f>
        <v/>
      </c>
      <c r="J830" s="18">
        <f>IF($B$826="","",IF(3&lt;=$C$4,N(J827),IF(J829="",J826,J829)))</f>
        <v/>
      </c>
      <c r="K830" s="18">
        <f>IF($B$826="","",IF(4&lt;=$C$4,N(K827),IF(K829="",K826,K829)))</f>
        <v/>
      </c>
      <c r="L830" s="18">
        <f>IF($B$826="","",IF(5&lt;=$C$4,N(L827),IF(L829="",L826,L829)))</f>
        <v/>
      </c>
      <c r="M830" s="18">
        <f>IF($B$826="","",IF(6&lt;=$C$4,N(M827),IF(M829="",M826,M829)))</f>
        <v/>
      </c>
      <c r="N830" s="18">
        <f>IF($B$826="","",IF(7&lt;=$C$4,N(N827),IF(N829="",N826,N829)))</f>
        <v/>
      </c>
      <c r="O830" s="18">
        <f>IF($B$826="","",IF(8&lt;=$C$4,N(O827),IF(O829="",O826,O829)))</f>
        <v/>
      </c>
      <c r="P830" s="18">
        <f>IF($B$826="","",IF(9&lt;=$C$4,N(P827),IF(P829="",P826,P829)))</f>
        <v/>
      </c>
      <c r="Q830" s="18">
        <f>IF($B$826="","",IF(10&lt;=$C$4,N(Q827),IF(Q829="",Q826,Q829)))</f>
        <v/>
      </c>
      <c r="R830" s="18">
        <f>IF($B$826="","",IF(11&lt;=$C$4,N(R827),IF(R829="",R826,R829)))</f>
        <v/>
      </c>
      <c r="S830" s="18">
        <f>IF($B$826="","",IF(12&lt;=$C$4,N(S827),IF(S829="",S826,S829)))</f>
        <v/>
      </c>
      <c r="T830" s="18">
        <f>IF($B$826="","",SUMIF($H$7:$S$7,"&lt;="&amp;$C$4,$H830:$S830))</f>
        <v/>
      </c>
      <c r="U830" s="18">
        <f>IF($B$826="","",SUMIF($H$7:$S$7,"&gt;"&amp;$C$4,$H830:$S830))</f>
        <v/>
      </c>
      <c r="V830" s="18">
        <f>IF($B$826="","",SUM($H830:$S830))</f>
        <v/>
      </c>
      <c r="X830" s="22">
        <f>IF($B830="","",IFERROR(INDEX(Cost_Centers!$E:$E,MATCH($B830,Cost_Centers!$A:$A,0)),"(unknown)"))</f>
        <v/>
      </c>
      <c r="Y830" s="22">
        <f>IF($B830="","",IFERROR(INDEX(Cost_Centers!$D:$D,MATCH($B830,Cost_Centers!$A:$A,0)),"(unknown)"))</f>
        <v/>
      </c>
      <c r="Z830" s="22">
        <f>IF(OR($B830="",$G830&lt;&gt;"Variance vs Budget"),"",ABS(N($V830))+ROW()/1000000000)</f>
        <v/>
      </c>
    </row>
    <row r="831">
      <c r="A831" s="13">
        <f>IF(A$826="","",A$826)</f>
        <v/>
      </c>
      <c r="B831" s="13">
        <f>IF(B$826="","",B$826)</f>
        <v/>
      </c>
      <c r="C831" s="13">
        <f>IF(C$826="","",C$826)</f>
        <v/>
      </c>
      <c r="D831" s="13">
        <f>IF(D$826="","",D$826)</f>
        <v/>
      </c>
      <c r="E831" s="13">
        <f>IF(E$826="","",E$826)</f>
        <v/>
      </c>
      <c r="F831" s="13">
        <f>IF(F$826="","",F$826)</f>
        <v/>
      </c>
      <c r="G831" s="36" t="inlineStr">
        <is>
          <t>Prior Month Forecast</t>
        </is>
      </c>
      <c r="H831" s="37">
        <f>IF($B$826="","",IF(COUNTIFS(Prior_Forecast!$A:$A,$B$826,Prior_Forecast!$B:$B,$D$826)&gt;0,SUMIFS(Prior_Forecast!$C:$C,Prior_Forecast!$A:$A,$B$826,Prior_Forecast!$B:$B,$D$826),""))</f>
        <v/>
      </c>
      <c r="I831" s="37">
        <f>IF($B$826="","",IF(COUNTIFS(Prior_Forecast!$A:$A,$B$826,Prior_Forecast!$B:$B,$D$826)&gt;0,SUMIFS(Prior_Forecast!$D:$D,Prior_Forecast!$A:$A,$B$826,Prior_Forecast!$B:$B,$D$826),""))</f>
        <v/>
      </c>
      <c r="J831" s="37">
        <f>IF($B$826="","",IF(COUNTIFS(Prior_Forecast!$A:$A,$B$826,Prior_Forecast!$B:$B,$D$826)&gt;0,SUMIFS(Prior_Forecast!$E:$E,Prior_Forecast!$A:$A,$B$826,Prior_Forecast!$B:$B,$D$826),""))</f>
        <v/>
      </c>
      <c r="K831" s="37">
        <f>IF($B$826="","",IF(COUNTIFS(Prior_Forecast!$A:$A,$B$826,Prior_Forecast!$B:$B,$D$826)&gt;0,SUMIFS(Prior_Forecast!$F:$F,Prior_Forecast!$A:$A,$B$826,Prior_Forecast!$B:$B,$D$826),""))</f>
        <v/>
      </c>
      <c r="L831" s="37">
        <f>IF($B$826="","",IF(COUNTIFS(Prior_Forecast!$A:$A,$B$826,Prior_Forecast!$B:$B,$D$826)&gt;0,SUMIFS(Prior_Forecast!$G:$G,Prior_Forecast!$A:$A,$B$826,Prior_Forecast!$B:$B,$D$826),""))</f>
        <v/>
      </c>
      <c r="M831" s="37">
        <f>IF($B$826="","",IF(COUNTIFS(Prior_Forecast!$A:$A,$B$826,Prior_Forecast!$B:$B,$D$826)&gt;0,SUMIFS(Prior_Forecast!$H:$H,Prior_Forecast!$A:$A,$B$826,Prior_Forecast!$B:$B,$D$826),""))</f>
        <v/>
      </c>
      <c r="N831" s="37">
        <f>IF($B$826="","",IF(COUNTIFS(Prior_Forecast!$A:$A,$B$826,Prior_Forecast!$B:$B,$D$826)&gt;0,SUMIFS(Prior_Forecast!$I:$I,Prior_Forecast!$A:$A,$B$826,Prior_Forecast!$B:$B,$D$826),""))</f>
        <v/>
      </c>
      <c r="O831" s="37">
        <f>IF($B$826="","",IF(COUNTIFS(Prior_Forecast!$A:$A,$B$826,Prior_Forecast!$B:$B,$D$826)&gt;0,SUMIFS(Prior_Forecast!$J:$J,Prior_Forecast!$A:$A,$B$826,Prior_Forecast!$B:$B,$D$826),""))</f>
        <v/>
      </c>
      <c r="P831" s="37">
        <f>IF($B$826="","",IF(COUNTIFS(Prior_Forecast!$A:$A,$B$826,Prior_Forecast!$B:$B,$D$826)&gt;0,SUMIFS(Prior_Forecast!$K:$K,Prior_Forecast!$A:$A,$B$826,Prior_Forecast!$B:$B,$D$826),""))</f>
        <v/>
      </c>
      <c r="Q831" s="37">
        <f>IF($B$826="","",IF(COUNTIFS(Prior_Forecast!$A:$A,$B$826,Prior_Forecast!$B:$B,$D$826)&gt;0,SUMIFS(Prior_Forecast!$L:$L,Prior_Forecast!$A:$A,$B$826,Prior_Forecast!$B:$B,$D$826),""))</f>
        <v/>
      </c>
      <c r="R831" s="37">
        <f>IF($B$826="","",IF(COUNTIFS(Prior_Forecast!$A:$A,$B$826,Prior_Forecast!$B:$B,$D$826)&gt;0,SUMIFS(Prior_Forecast!$M:$M,Prior_Forecast!$A:$A,$B$826,Prior_Forecast!$B:$B,$D$826),""))</f>
        <v/>
      </c>
      <c r="S831" s="37">
        <f>IF($B$826="","",IF(COUNTIFS(Prior_Forecast!$A:$A,$B$826,Prior_Forecast!$B:$B,$D$826)&gt;0,SUMIFS(Prior_Forecast!$N:$N,Prior_Forecast!$A:$A,$B$826,Prior_Forecast!$B:$B,$D$826),""))</f>
        <v/>
      </c>
      <c r="T831" s="37">
        <f>IF($B$826="","",IF(COUNTIFS(Prior_Forecast!$A:$A,$B$826,Prior_Forecast!$B:$B,$D$826)&gt;0,SUMIFS(Prior_Forecast!$O:$O,Prior_Forecast!$A:$A,$B$826,Prior_Forecast!$B:$B,$D$826),""))</f>
        <v/>
      </c>
      <c r="U831" s="37">
        <f>IF($B$826="","",IF(COUNTIFS(Prior_Forecast!$A:$A,$B$826,Prior_Forecast!$B:$B,$D$826)&gt;0,SUMIFS(Prior_Forecast!$P:$P,Prior_Forecast!$A:$A,$B$826,Prior_Forecast!$B:$B,$D$826),""))</f>
        <v/>
      </c>
      <c r="V831" s="37">
        <f>IF($B$826="","",IF(COUNTIFS(Prior_Forecast!$A:$A,$B$826,Prior_Forecast!$B:$B,$D$826)&gt;0,SUMIFS(Prior_Forecast!$Q:$Q,Prior_Forecast!$A:$A,$B$826,Prior_Forecast!$B:$B,$D$826),""))</f>
        <v/>
      </c>
      <c r="X831" s="22">
        <f>IF($B831="","",IFERROR(INDEX(Cost_Centers!$E:$E,MATCH($B831,Cost_Centers!$A:$A,0)),"(unknown)"))</f>
        <v/>
      </c>
      <c r="Y831" s="22">
        <f>IF($B831="","",IFERROR(INDEX(Cost_Centers!$D:$D,MATCH($B831,Cost_Centers!$A:$A,0)),"(unknown)"))</f>
        <v/>
      </c>
      <c r="Z831" s="22">
        <f>IF(OR($B831="",$G831&lt;&gt;"Variance vs Budget"),"",ABS(N($V831))+ROW()/1000000000)</f>
        <v/>
      </c>
    </row>
    <row r="832">
      <c r="A832" s="13">
        <f>IF(A$826="","",A$826)</f>
        <v/>
      </c>
      <c r="B832" s="13">
        <f>IF(B$826="","",B$826)</f>
        <v/>
      </c>
      <c r="C832" s="13">
        <f>IF(C$826="","",C$826)</f>
        <v/>
      </c>
      <c r="D832" s="13">
        <f>IF(D$826="","",D$826)</f>
        <v/>
      </c>
      <c r="E832" s="13">
        <f>IF(E$826="","",E$826)</f>
        <v/>
      </c>
      <c r="F832" s="13">
        <f>IF(F$826="","",F$826)</f>
        <v/>
      </c>
      <c r="G832" s="6" t="inlineStr">
        <is>
          <t>Variance vs Prior Month</t>
        </is>
      </c>
      <c r="H832" s="33">
        <f>IF(OR($B$826="",H831=""),"",H830-H831)</f>
        <v/>
      </c>
      <c r="I832" s="33">
        <f>IF(OR($B$826="",I831=""),"",I830-I831)</f>
        <v/>
      </c>
      <c r="J832" s="33">
        <f>IF(OR($B$826="",J831=""),"",J830-J831)</f>
        <v/>
      </c>
      <c r="K832" s="33">
        <f>IF(OR($B$826="",K831=""),"",K830-K831)</f>
        <v/>
      </c>
      <c r="L832" s="33">
        <f>IF(OR($B$826="",L831=""),"",L830-L831)</f>
        <v/>
      </c>
      <c r="M832" s="33">
        <f>IF(OR($B$826="",M831=""),"",M830-M831)</f>
        <v/>
      </c>
      <c r="N832" s="33">
        <f>IF(OR($B$826="",N831=""),"",N830-N831)</f>
        <v/>
      </c>
      <c r="O832" s="33">
        <f>IF(OR($B$826="",O831=""),"",O830-O831)</f>
        <v/>
      </c>
      <c r="P832" s="33">
        <f>IF(OR($B$826="",P831=""),"",P830-P831)</f>
        <v/>
      </c>
      <c r="Q832" s="33">
        <f>IF(OR($B$826="",Q831=""),"",Q830-Q831)</f>
        <v/>
      </c>
      <c r="R832" s="33">
        <f>IF(OR($B$826="",R831=""),"",R830-R831)</f>
        <v/>
      </c>
      <c r="S832" s="33">
        <f>IF(OR($B$826="",S831=""),"",S830-S831)</f>
        <v/>
      </c>
      <c r="T832" s="33">
        <f>IF(OR($B$826="",T831=""),"",T830-T831)</f>
        <v/>
      </c>
      <c r="U832" s="33">
        <f>IF(OR($B$826="",U831=""),"",U830-U831)</f>
        <v/>
      </c>
      <c r="V832" s="33">
        <f>IF(OR($B$826="",V831=""),"",V830-V831)</f>
        <v/>
      </c>
      <c r="X832" s="22">
        <f>IF($B832="","",IFERROR(INDEX(Cost_Centers!$E:$E,MATCH($B832,Cost_Centers!$A:$A,0)),"(unknown)"))</f>
        <v/>
      </c>
      <c r="Y832" s="22">
        <f>IF($B832="","",IFERROR(INDEX(Cost_Centers!$D:$D,MATCH($B832,Cost_Centers!$A:$A,0)),"(unknown)"))</f>
        <v/>
      </c>
      <c r="Z832" s="22">
        <f>IF(OR($B832="",$G832&lt;&gt;"Variance vs Budget"),"",ABS(N($V832))+ROW()/1000000000)</f>
        <v/>
      </c>
    </row>
    <row r="833" ht="45" customHeight="1">
      <c r="A833" s="13">
        <f>IF(A$826="","",A$826)</f>
        <v/>
      </c>
      <c r="B833" s="13">
        <f>IF(B$826="","",B$826)</f>
        <v/>
      </c>
      <c r="C833" s="13">
        <f>IF(C$826="","",C$826)</f>
        <v/>
      </c>
      <c r="D833" s="13">
        <f>IF(D$826="","",D$826)</f>
        <v/>
      </c>
      <c r="E833" s="13">
        <f>IF(E$826="","",E$826)</f>
        <v/>
      </c>
      <c r="F833" s="13">
        <f>IF(F$826="","",F$826)</f>
        <v/>
      </c>
      <c r="G833" s="7" t="inlineStr">
        <is>
          <t>Rationale</t>
        </is>
      </c>
      <c r="H833" s="38" t="n"/>
      <c r="I833" s="38" t="n"/>
      <c r="J833" s="38" t="n"/>
      <c r="K833" s="38" t="n"/>
      <c r="L833" s="38" t="n"/>
      <c r="M833" s="38" t="n"/>
      <c r="N833" s="38" t="n"/>
      <c r="O833" s="38" t="n"/>
      <c r="P833" s="38" t="n"/>
      <c r="Q833" s="38" t="n"/>
      <c r="R833" s="38" t="n"/>
      <c r="S833" s="38" t="n"/>
      <c r="T833" s="38" t="n"/>
      <c r="U833" s="38" t="n"/>
      <c r="V833" s="7" t="n"/>
      <c r="X833" s="22">
        <f>IF($B833="","",IFERROR(INDEX(Cost_Centers!$E:$E,MATCH($B833,Cost_Centers!$A:$A,0)),"(unknown)"))</f>
        <v/>
      </c>
      <c r="Y833" s="22">
        <f>IF($B833="","",IFERROR(INDEX(Cost_Centers!$D:$D,MATCH($B833,Cost_Centers!$A:$A,0)),"(unknown)"))</f>
        <v/>
      </c>
      <c r="Z833" s="22">
        <f>IF(OR($B833="",$G833&lt;&gt;"Variance vs Budget"),"",ABS(N($V833))+ROW()/1000000000)</f>
        <v/>
      </c>
    </row>
    <row r="834">
      <c r="A834" s="30">
        <f>IF($D$834="","",LEFT($D$834,FIND("|",$D$834&amp;"|")-1))</f>
        <v/>
      </c>
      <c r="B834" s="31" t="n"/>
      <c r="C834" s="30">
        <f>IF($B$834="","",IFERROR(INDEX(Cost_Centers!$B:$B,MATCH($B$834,Cost_Centers!$A:$A,0)),"(not in master)"))</f>
        <v/>
      </c>
      <c r="D834" s="31" t="n"/>
      <c r="E834" s="30">
        <f>IF($D$834="","",IFERROR(INDEX(Accounts!$D:$D,MATCH($D$834,Accounts!$A:$A,0)),"(not in master)"))</f>
        <v/>
      </c>
      <c r="F834" s="31" t="n"/>
      <c r="G834" s="30" t="inlineStr">
        <is>
          <t>Budget</t>
        </is>
      </c>
      <c r="H834" s="32">
        <f>IF($B$834="","",SUMIFS(Opex_Budget!$O:$O,Opex_Budget!$A:$A,$C$3,Opex_Budget!$E:$E,$B$834,Opex_Budget!$F:$F,$D$834,Opex_Budget!$N:$N,"JPY")*$E$5+SUMIFS(Opex_Budget!$O:$O,Opex_Budget!$A:$A,$C$3,Opex_Budget!$E:$E,$B$834,Opex_Budget!$F:$F,$D$834,Opex_Budget!$N:$N,"USD")*$F$5+SUMIFS(Opex_Budget!$O:$O,Opex_Budget!$A:$A,$C$3,Opex_Budget!$E:$E,$B$834,Opex_Budget!$F:$F,$D$834,Opex_Budget!$N:$N,"EUR")*$G$5+SUMIFS(Opex_Budget!$O:$O,Opex_Budget!$A:$A,$C$3,Opex_Budget!$E:$E,$B$834,Opex_Budget!$F:$F,$D$834,Opex_Budget!$N:$N,"GBP")*$H$5)</f>
        <v/>
      </c>
      <c r="I834" s="32">
        <f>IF($B$834="","",SUMIFS(Opex_Budget!$P:$P,Opex_Budget!$A:$A,$C$3,Opex_Budget!$E:$E,$B$834,Opex_Budget!$F:$F,$D$834,Opex_Budget!$N:$N,"JPY")*$E$5+SUMIFS(Opex_Budget!$P:$P,Opex_Budget!$A:$A,$C$3,Opex_Budget!$E:$E,$B$834,Opex_Budget!$F:$F,$D$834,Opex_Budget!$N:$N,"USD")*$F$5+SUMIFS(Opex_Budget!$P:$P,Opex_Budget!$A:$A,$C$3,Opex_Budget!$E:$E,$B$834,Opex_Budget!$F:$F,$D$834,Opex_Budget!$N:$N,"EUR")*$G$5+SUMIFS(Opex_Budget!$P:$P,Opex_Budget!$A:$A,$C$3,Opex_Budget!$E:$E,$B$834,Opex_Budget!$F:$F,$D$834,Opex_Budget!$N:$N,"GBP")*$H$5)</f>
        <v/>
      </c>
      <c r="J834" s="32">
        <f>IF($B$834="","",SUMIFS(Opex_Budget!$Q:$Q,Opex_Budget!$A:$A,$C$3,Opex_Budget!$E:$E,$B$834,Opex_Budget!$F:$F,$D$834,Opex_Budget!$N:$N,"JPY")*$E$5+SUMIFS(Opex_Budget!$Q:$Q,Opex_Budget!$A:$A,$C$3,Opex_Budget!$E:$E,$B$834,Opex_Budget!$F:$F,$D$834,Opex_Budget!$N:$N,"USD")*$F$5+SUMIFS(Opex_Budget!$Q:$Q,Opex_Budget!$A:$A,$C$3,Opex_Budget!$E:$E,$B$834,Opex_Budget!$F:$F,$D$834,Opex_Budget!$N:$N,"EUR")*$G$5+SUMIFS(Opex_Budget!$Q:$Q,Opex_Budget!$A:$A,$C$3,Opex_Budget!$E:$E,$B$834,Opex_Budget!$F:$F,$D$834,Opex_Budget!$N:$N,"GBP")*$H$5)</f>
        <v/>
      </c>
      <c r="K834" s="32">
        <f>IF($B$834="","",SUMIFS(Opex_Budget!$R:$R,Opex_Budget!$A:$A,$C$3,Opex_Budget!$E:$E,$B$834,Opex_Budget!$F:$F,$D$834,Opex_Budget!$N:$N,"JPY")*$E$5+SUMIFS(Opex_Budget!$R:$R,Opex_Budget!$A:$A,$C$3,Opex_Budget!$E:$E,$B$834,Opex_Budget!$F:$F,$D$834,Opex_Budget!$N:$N,"USD")*$F$5+SUMIFS(Opex_Budget!$R:$R,Opex_Budget!$A:$A,$C$3,Opex_Budget!$E:$E,$B$834,Opex_Budget!$F:$F,$D$834,Opex_Budget!$N:$N,"EUR")*$G$5+SUMIFS(Opex_Budget!$R:$R,Opex_Budget!$A:$A,$C$3,Opex_Budget!$E:$E,$B$834,Opex_Budget!$F:$F,$D$834,Opex_Budget!$N:$N,"GBP")*$H$5)</f>
        <v/>
      </c>
      <c r="L834" s="32">
        <f>IF($B$834="","",SUMIFS(Opex_Budget!$S:$S,Opex_Budget!$A:$A,$C$3,Opex_Budget!$E:$E,$B$834,Opex_Budget!$F:$F,$D$834,Opex_Budget!$N:$N,"JPY")*$E$5+SUMIFS(Opex_Budget!$S:$S,Opex_Budget!$A:$A,$C$3,Opex_Budget!$E:$E,$B$834,Opex_Budget!$F:$F,$D$834,Opex_Budget!$N:$N,"USD")*$F$5+SUMIFS(Opex_Budget!$S:$S,Opex_Budget!$A:$A,$C$3,Opex_Budget!$E:$E,$B$834,Opex_Budget!$F:$F,$D$834,Opex_Budget!$N:$N,"EUR")*$G$5+SUMIFS(Opex_Budget!$S:$S,Opex_Budget!$A:$A,$C$3,Opex_Budget!$E:$E,$B$834,Opex_Budget!$F:$F,$D$834,Opex_Budget!$N:$N,"GBP")*$H$5)</f>
        <v/>
      </c>
      <c r="M834" s="32">
        <f>IF($B$834="","",SUMIFS(Opex_Budget!$T:$T,Opex_Budget!$A:$A,$C$3,Opex_Budget!$E:$E,$B$834,Opex_Budget!$F:$F,$D$834,Opex_Budget!$N:$N,"JPY")*$E$5+SUMIFS(Opex_Budget!$T:$T,Opex_Budget!$A:$A,$C$3,Opex_Budget!$E:$E,$B$834,Opex_Budget!$F:$F,$D$834,Opex_Budget!$N:$N,"USD")*$F$5+SUMIFS(Opex_Budget!$T:$T,Opex_Budget!$A:$A,$C$3,Opex_Budget!$E:$E,$B$834,Opex_Budget!$F:$F,$D$834,Opex_Budget!$N:$N,"EUR")*$G$5+SUMIFS(Opex_Budget!$T:$T,Opex_Budget!$A:$A,$C$3,Opex_Budget!$E:$E,$B$834,Opex_Budget!$F:$F,$D$834,Opex_Budget!$N:$N,"GBP")*$H$5)</f>
        <v/>
      </c>
      <c r="N834" s="32">
        <f>IF($B$834="","",SUMIFS(Opex_Budget!$U:$U,Opex_Budget!$A:$A,$C$3,Opex_Budget!$E:$E,$B$834,Opex_Budget!$F:$F,$D$834,Opex_Budget!$N:$N,"JPY")*$E$5+SUMIFS(Opex_Budget!$U:$U,Opex_Budget!$A:$A,$C$3,Opex_Budget!$E:$E,$B$834,Opex_Budget!$F:$F,$D$834,Opex_Budget!$N:$N,"USD")*$F$5+SUMIFS(Opex_Budget!$U:$U,Opex_Budget!$A:$A,$C$3,Opex_Budget!$E:$E,$B$834,Opex_Budget!$F:$F,$D$834,Opex_Budget!$N:$N,"EUR")*$G$5+SUMIFS(Opex_Budget!$U:$U,Opex_Budget!$A:$A,$C$3,Opex_Budget!$E:$E,$B$834,Opex_Budget!$F:$F,$D$834,Opex_Budget!$N:$N,"GBP")*$H$5)</f>
        <v/>
      </c>
      <c r="O834" s="32">
        <f>IF($B$834="","",SUMIFS(Opex_Budget!$V:$V,Opex_Budget!$A:$A,$C$3,Opex_Budget!$E:$E,$B$834,Opex_Budget!$F:$F,$D$834,Opex_Budget!$N:$N,"JPY")*$E$5+SUMIFS(Opex_Budget!$V:$V,Opex_Budget!$A:$A,$C$3,Opex_Budget!$E:$E,$B$834,Opex_Budget!$F:$F,$D$834,Opex_Budget!$N:$N,"USD")*$F$5+SUMIFS(Opex_Budget!$V:$V,Opex_Budget!$A:$A,$C$3,Opex_Budget!$E:$E,$B$834,Opex_Budget!$F:$F,$D$834,Opex_Budget!$N:$N,"EUR")*$G$5+SUMIFS(Opex_Budget!$V:$V,Opex_Budget!$A:$A,$C$3,Opex_Budget!$E:$E,$B$834,Opex_Budget!$F:$F,$D$834,Opex_Budget!$N:$N,"GBP")*$H$5)</f>
        <v/>
      </c>
      <c r="P834" s="32">
        <f>IF($B$834="","",SUMIFS(Opex_Budget!$W:$W,Opex_Budget!$A:$A,$C$3,Opex_Budget!$E:$E,$B$834,Opex_Budget!$F:$F,$D$834,Opex_Budget!$N:$N,"JPY")*$E$5+SUMIFS(Opex_Budget!$W:$W,Opex_Budget!$A:$A,$C$3,Opex_Budget!$E:$E,$B$834,Opex_Budget!$F:$F,$D$834,Opex_Budget!$N:$N,"USD")*$F$5+SUMIFS(Opex_Budget!$W:$W,Opex_Budget!$A:$A,$C$3,Opex_Budget!$E:$E,$B$834,Opex_Budget!$F:$F,$D$834,Opex_Budget!$N:$N,"EUR")*$G$5+SUMIFS(Opex_Budget!$W:$W,Opex_Budget!$A:$A,$C$3,Opex_Budget!$E:$E,$B$834,Opex_Budget!$F:$F,$D$834,Opex_Budget!$N:$N,"GBP")*$H$5)</f>
        <v/>
      </c>
      <c r="Q834" s="32">
        <f>IF($B$834="","",SUMIFS(Opex_Budget!$X:$X,Opex_Budget!$A:$A,$C$3,Opex_Budget!$E:$E,$B$834,Opex_Budget!$F:$F,$D$834,Opex_Budget!$N:$N,"JPY")*$E$5+SUMIFS(Opex_Budget!$X:$X,Opex_Budget!$A:$A,$C$3,Opex_Budget!$E:$E,$B$834,Opex_Budget!$F:$F,$D$834,Opex_Budget!$N:$N,"USD")*$F$5+SUMIFS(Opex_Budget!$X:$X,Opex_Budget!$A:$A,$C$3,Opex_Budget!$E:$E,$B$834,Opex_Budget!$F:$F,$D$834,Opex_Budget!$N:$N,"EUR")*$G$5+SUMIFS(Opex_Budget!$X:$X,Opex_Budget!$A:$A,$C$3,Opex_Budget!$E:$E,$B$834,Opex_Budget!$F:$F,$D$834,Opex_Budget!$N:$N,"GBP")*$H$5)</f>
        <v/>
      </c>
      <c r="R834" s="32">
        <f>IF($B$834="","",SUMIFS(Opex_Budget!$Y:$Y,Opex_Budget!$A:$A,$C$3,Opex_Budget!$E:$E,$B$834,Opex_Budget!$F:$F,$D$834,Opex_Budget!$N:$N,"JPY")*$E$5+SUMIFS(Opex_Budget!$Y:$Y,Opex_Budget!$A:$A,$C$3,Opex_Budget!$E:$E,$B$834,Opex_Budget!$F:$F,$D$834,Opex_Budget!$N:$N,"USD")*$F$5+SUMIFS(Opex_Budget!$Y:$Y,Opex_Budget!$A:$A,$C$3,Opex_Budget!$E:$E,$B$834,Opex_Budget!$F:$F,$D$834,Opex_Budget!$N:$N,"EUR")*$G$5+SUMIFS(Opex_Budget!$Y:$Y,Opex_Budget!$A:$A,$C$3,Opex_Budget!$E:$E,$B$834,Opex_Budget!$F:$F,$D$834,Opex_Budget!$N:$N,"GBP")*$H$5)</f>
        <v/>
      </c>
      <c r="S834" s="32">
        <f>IF($B$834="","",SUMIFS(Opex_Budget!$Z:$Z,Opex_Budget!$A:$A,$C$3,Opex_Budget!$E:$E,$B$834,Opex_Budget!$F:$F,$D$834,Opex_Budget!$N:$N,"JPY")*$E$5+SUMIFS(Opex_Budget!$Z:$Z,Opex_Budget!$A:$A,$C$3,Opex_Budget!$E:$E,$B$834,Opex_Budget!$F:$F,$D$834,Opex_Budget!$N:$N,"USD")*$F$5+SUMIFS(Opex_Budget!$Z:$Z,Opex_Budget!$A:$A,$C$3,Opex_Budget!$E:$E,$B$834,Opex_Budget!$F:$F,$D$834,Opex_Budget!$N:$N,"EUR")*$G$5+SUMIFS(Opex_Budget!$Z:$Z,Opex_Budget!$A:$A,$C$3,Opex_Budget!$E:$E,$B$834,Opex_Budget!$F:$F,$D$834,Opex_Budget!$N:$N,"GBP")*$H$5)</f>
        <v/>
      </c>
      <c r="T834" s="32">
        <f>IF($B$834="","",SUMIF($H$7:$S$7,"&lt;="&amp;$C$4,$H834:$S834))</f>
        <v/>
      </c>
      <c r="U834" s="32">
        <f>IF($B$834="","",SUMIF($H$7:$S$7,"&gt;"&amp;$C$4,$H834:$S834))</f>
        <v/>
      </c>
      <c r="V834" s="32">
        <f>IF($B$834="","",SUM($H834:$S834))</f>
        <v/>
      </c>
      <c r="X834" s="22">
        <f>IF($B834="","",IFERROR(INDEX(Cost_Centers!$E:$E,MATCH($B834,Cost_Centers!$A:$A,0)),"(unknown)"))</f>
        <v/>
      </c>
      <c r="Y834" s="22">
        <f>IF($B834="","",IFERROR(INDEX(Cost_Centers!$D:$D,MATCH($B834,Cost_Centers!$A:$A,0)),"(unknown)"))</f>
        <v/>
      </c>
      <c r="Z834" s="22">
        <f>IF(OR($B834="",$G834&lt;&gt;"Variance vs Budget"),"",ABS(N($V834))+ROW()/1000000000)</f>
        <v/>
      </c>
    </row>
    <row r="835">
      <c r="A835" s="13">
        <f>IF(A$834="","",A$834)</f>
        <v/>
      </c>
      <c r="B835" s="13">
        <f>IF(B$834="","",B$834)</f>
        <v/>
      </c>
      <c r="C835" s="13">
        <f>IF(C$834="","",C$834)</f>
        <v/>
      </c>
      <c r="D835" s="13">
        <f>IF(D$834="","",D$834)</f>
        <v/>
      </c>
      <c r="E835" s="13">
        <f>IF(E$834="","",E$834)</f>
        <v/>
      </c>
      <c r="F835" s="13">
        <f>IF(F$834="","",F$834)</f>
        <v/>
      </c>
      <c r="G835" s="7" t="inlineStr">
        <is>
          <t>Actual</t>
        </is>
      </c>
      <c r="H835" s="18">
        <f>IF(OR($B$834="",1&gt;$C$4),"",SUMIFS(Actuals!$G:$G,Actuals!$B:$B,$C$3,Actuals!$C:$C,1,Actuals!$D:$D,$B$834,Actuals!$A:$A,LEFT($D$834,FIND("|",$D$834&amp;"|")-1),Actuals!$E:$E,MID($D$834,FIND("|",$D$834&amp;"|")+1,50),Actuals!$F:$F,"JPY")*$E$5+SUMIFS(Actuals!$G:$G,Actuals!$B:$B,$C$3,Actuals!$C:$C,1,Actuals!$D:$D,$B$834,Actuals!$A:$A,LEFT($D$834,FIND("|",$D$834&amp;"|")-1),Actuals!$E:$E,MID($D$834,FIND("|",$D$834&amp;"|")+1,50),Actuals!$F:$F,"USD")*$F$5+SUMIFS(Actuals!$G:$G,Actuals!$B:$B,$C$3,Actuals!$C:$C,1,Actuals!$D:$D,$B$834,Actuals!$A:$A,LEFT($D$834,FIND("|",$D$834&amp;"|")-1),Actuals!$E:$E,MID($D$834,FIND("|",$D$834&amp;"|")+1,50),Actuals!$F:$F,"EUR")*$G$5+SUMIFS(Actuals!$G:$G,Actuals!$B:$B,$C$3,Actuals!$C:$C,1,Actuals!$D:$D,$B$834,Actuals!$A:$A,LEFT($D$834,FIND("|",$D$834&amp;"|")-1),Actuals!$E:$E,MID($D$834,FIND("|",$D$834&amp;"|")+1,50),Actuals!$F:$F,"GBP")*$H$5)</f>
        <v/>
      </c>
      <c r="I835" s="18">
        <f>IF(OR($B$834="",2&gt;$C$4),"",SUMIFS(Actuals!$G:$G,Actuals!$B:$B,$C$3,Actuals!$C:$C,2,Actuals!$D:$D,$B$834,Actuals!$A:$A,LEFT($D$834,FIND("|",$D$834&amp;"|")-1),Actuals!$E:$E,MID($D$834,FIND("|",$D$834&amp;"|")+1,50),Actuals!$F:$F,"JPY")*$E$5+SUMIFS(Actuals!$G:$G,Actuals!$B:$B,$C$3,Actuals!$C:$C,2,Actuals!$D:$D,$B$834,Actuals!$A:$A,LEFT($D$834,FIND("|",$D$834&amp;"|")-1),Actuals!$E:$E,MID($D$834,FIND("|",$D$834&amp;"|")+1,50),Actuals!$F:$F,"USD")*$F$5+SUMIFS(Actuals!$G:$G,Actuals!$B:$B,$C$3,Actuals!$C:$C,2,Actuals!$D:$D,$B$834,Actuals!$A:$A,LEFT($D$834,FIND("|",$D$834&amp;"|")-1),Actuals!$E:$E,MID($D$834,FIND("|",$D$834&amp;"|")+1,50),Actuals!$F:$F,"EUR")*$G$5+SUMIFS(Actuals!$G:$G,Actuals!$B:$B,$C$3,Actuals!$C:$C,2,Actuals!$D:$D,$B$834,Actuals!$A:$A,LEFT($D$834,FIND("|",$D$834&amp;"|")-1),Actuals!$E:$E,MID($D$834,FIND("|",$D$834&amp;"|")+1,50),Actuals!$F:$F,"GBP")*$H$5)</f>
        <v/>
      </c>
      <c r="J835" s="18">
        <f>IF(OR($B$834="",3&gt;$C$4),"",SUMIFS(Actuals!$G:$G,Actuals!$B:$B,$C$3,Actuals!$C:$C,3,Actuals!$D:$D,$B$834,Actuals!$A:$A,LEFT($D$834,FIND("|",$D$834&amp;"|")-1),Actuals!$E:$E,MID($D$834,FIND("|",$D$834&amp;"|")+1,50),Actuals!$F:$F,"JPY")*$E$5+SUMIFS(Actuals!$G:$G,Actuals!$B:$B,$C$3,Actuals!$C:$C,3,Actuals!$D:$D,$B$834,Actuals!$A:$A,LEFT($D$834,FIND("|",$D$834&amp;"|")-1),Actuals!$E:$E,MID($D$834,FIND("|",$D$834&amp;"|")+1,50),Actuals!$F:$F,"USD")*$F$5+SUMIFS(Actuals!$G:$G,Actuals!$B:$B,$C$3,Actuals!$C:$C,3,Actuals!$D:$D,$B$834,Actuals!$A:$A,LEFT($D$834,FIND("|",$D$834&amp;"|")-1),Actuals!$E:$E,MID($D$834,FIND("|",$D$834&amp;"|")+1,50),Actuals!$F:$F,"EUR")*$G$5+SUMIFS(Actuals!$G:$G,Actuals!$B:$B,$C$3,Actuals!$C:$C,3,Actuals!$D:$D,$B$834,Actuals!$A:$A,LEFT($D$834,FIND("|",$D$834&amp;"|")-1),Actuals!$E:$E,MID($D$834,FIND("|",$D$834&amp;"|")+1,50),Actuals!$F:$F,"GBP")*$H$5)</f>
        <v/>
      </c>
      <c r="K835" s="18">
        <f>IF(OR($B$834="",4&gt;$C$4),"",SUMIFS(Actuals!$G:$G,Actuals!$B:$B,$C$3,Actuals!$C:$C,4,Actuals!$D:$D,$B$834,Actuals!$A:$A,LEFT($D$834,FIND("|",$D$834&amp;"|")-1),Actuals!$E:$E,MID($D$834,FIND("|",$D$834&amp;"|")+1,50),Actuals!$F:$F,"JPY")*$E$5+SUMIFS(Actuals!$G:$G,Actuals!$B:$B,$C$3,Actuals!$C:$C,4,Actuals!$D:$D,$B$834,Actuals!$A:$A,LEFT($D$834,FIND("|",$D$834&amp;"|")-1),Actuals!$E:$E,MID($D$834,FIND("|",$D$834&amp;"|")+1,50),Actuals!$F:$F,"USD")*$F$5+SUMIFS(Actuals!$G:$G,Actuals!$B:$B,$C$3,Actuals!$C:$C,4,Actuals!$D:$D,$B$834,Actuals!$A:$A,LEFT($D$834,FIND("|",$D$834&amp;"|")-1),Actuals!$E:$E,MID($D$834,FIND("|",$D$834&amp;"|")+1,50),Actuals!$F:$F,"EUR")*$G$5+SUMIFS(Actuals!$G:$G,Actuals!$B:$B,$C$3,Actuals!$C:$C,4,Actuals!$D:$D,$B$834,Actuals!$A:$A,LEFT($D$834,FIND("|",$D$834&amp;"|")-1),Actuals!$E:$E,MID($D$834,FIND("|",$D$834&amp;"|")+1,50),Actuals!$F:$F,"GBP")*$H$5)</f>
        <v/>
      </c>
      <c r="L835" s="18">
        <f>IF(OR($B$834="",5&gt;$C$4),"",SUMIFS(Actuals!$G:$G,Actuals!$B:$B,$C$3,Actuals!$C:$C,5,Actuals!$D:$D,$B$834,Actuals!$A:$A,LEFT($D$834,FIND("|",$D$834&amp;"|")-1),Actuals!$E:$E,MID($D$834,FIND("|",$D$834&amp;"|")+1,50),Actuals!$F:$F,"JPY")*$E$5+SUMIFS(Actuals!$G:$G,Actuals!$B:$B,$C$3,Actuals!$C:$C,5,Actuals!$D:$D,$B$834,Actuals!$A:$A,LEFT($D$834,FIND("|",$D$834&amp;"|")-1),Actuals!$E:$E,MID($D$834,FIND("|",$D$834&amp;"|")+1,50),Actuals!$F:$F,"USD")*$F$5+SUMIFS(Actuals!$G:$G,Actuals!$B:$B,$C$3,Actuals!$C:$C,5,Actuals!$D:$D,$B$834,Actuals!$A:$A,LEFT($D$834,FIND("|",$D$834&amp;"|")-1),Actuals!$E:$E,MID($D$834,FIND("|",$D$834&amp;"|")+1,50),Actuals!$F:$F,"EUR")*$G$5+SUMIFS(Actuals!$G:$G,Actuals!$B:$B,$C$3,Actuals!$C:$C,5,Actuals!$D:$D,$B$834,Actuals!$A:$A,LEFT($D$834,FIND("|",$D$834&amp;"|")-1),Actuals!$E:$E,MID($D$834,FIND("|",$D$834&amp;"|")+1,50),Actuals!$F:$F,"GBP")*$H$5)</f>
        <v/>
      </c>
      <c r="M835" s="18">
        <f>IF(OR($B$834="",6&gt;$C$4),"",SUMIFS(Actuals!$G:$G,Actuals!$B:$B,$C$3,Actuals!$C:$C,6,Actuals!$D:$D,$B$834,Actuals!$A:$A,LEFT($D$834,FIND("|",$D$834&amp;"|")-1),Actuals!$E:$E,MID($D$834,FIND("|",$D$834&amp;"|")+1,50),Actuals!$F:$F,"JPY")*$E$5+SUMIFS(Actuals!$G:$G,Actuals!$B:$B,$C$3,Actuals!$C:$C,6,Actuals!$D:$D,$B$834,Actuals!$A:$A,LEFT($D$834,FIND("|",$D$834&amp;"|")-1),Actuals!$E:$E,MID($D$834,FIND("|",$D$834&amp;"|")+1,50),Actuals!$F:$F,"USD")*$F$5+SUMIFS(Actuals!$G:$G,Actuals!$B:$B,$C$3,Actuals!$C:$C,6,Actuals!$D:$D,$B$834,Actuals!$A:$A,LEFT($D$834,FIND("|",$D$834&amp;"|")-1),Actuals!$E:$E,MID($D$834,FIND("|",$D$834&amp;"|")+1,50),Actuals!$F:$F,"EUR")*$G$5+SUMIFS(Actuals!$G:$G,Actuals!$B:$B,$C$3,Actuals!$C:$C,6,Actuals!$D:$D,$B$834,Actuals!$A:$A,LEFT($D$834,FIND("|",$D$834&amp;"|")-1),Actuals!$E:$E,MID($D$834,FIND("|",$D$834&amp;"|")+1,50),Actuals!$F:$F,"GBP")*$H$5)</f>
        <v/>
      </c>
      <c r="N835" s="18">
        <f>IF(OR($B$834="",7&gt;$C$4),"",SUMIFS(Actuals!$G:$G,Actuals!$B:$B,$C$3,Actuals!$C:$C,7,Actuals!$D:$D,$B$834,Actuals!$A:$A,LEFT($D$834,FIND("|",$D$834&amp;"|")-1),Actuals!$E:$E,MID($D$834,FIND("|",$D$834&amp;"|")+1,50),Actuals!$F:$F,"JPY")*$E$5+SUMIFS(Actuals!$G:$G,Actuals!$B:$B,$C$3,Actuals!$C:$C,7,Actuals!$D:$D,$B$834,Actuals!$A:$A,LEFT($D$834,FIND("|",$D$834&amp;"|")-1),Actuals!$E:$E,MID($D$834,FIND("|",$D$834&amp;"|")+1,50),Actuals!$F:$F,"USD")*$F$5+SUMIFS(Actuals!$G:$G,Actuals!$B:$B,$C$3,Actuals!$C:$C,7,Actuals!$D:$D,$B$834,Actuals!$A:$A,LEFT($D$834,FIND("|",$D$834&amp;"|")-1),Actuals!$E:$E,MID($D$834,FIND("|",$D$834&amp;"|")+1,50),Actuals!$F:$F,"EUR")*$G$5+SUMIFS(Actuals!$G:$G,Actuals!$B:$B,$C$3,Actuals!$C:$C,7,Actuals!$D:$D,$B$834,Actuals!$A:$A,LEFT($D$834,FIND("|",$D$834&amp;"|")-1),Actuals!$E:$E,MID($D$834,FIND("|",$D$834&amp;"|")+1,50),Actuals!$F:$F,"GBP")*$H$5)</f>
        <v/>
      </c>
      <c r="O835" s="18">
        <f>IF(OR($B$834="",8&gt;$C$4),"",SUMIFS(Actuals!$G:$G,Actuals!$B:$B,$C$3,Actuals!$C:$C,8,Actuals!$D:$D,$B$834,Actuals!$A:$A,LEFT($D$834,FIND("|",$D$834&amp;"|")-1),Actuals!$E:$E,MID($D$834,FIND("|",$D$834&amp;"|")+1,50),Actuals!$F:$F,"JPY")*$E$5+SUMIFS(Actuals!$G:$G,Actuals!$B:$B,$C$3,Actuals!$C:$C,8,Actuals!$D:$D,$B$834,Actuals!$A:$A,LEFT($D$834,FIND("|",$D$834&amp;"|")-1),Actuals!$E:$E,MID($D$834,FIND("|",$D$834&amp;"|")+1,50),Actuals!$F:$F,"USD")*$F$5+SUMIFS(Actuals!$G:$G,Actuals!$B:$B,$C$3,Actuals!$C:$C,8,Actuals!$D:$D,$B$834,Actuals!$A:$A,LEFT($D$834,FIND("|",$D$834&amp;"|")-1),Actuals!$E:$E,MID($D$834,FIND("|",$D$834&amp;"|")+1,50),Actuals!$F:$F,"EUR")*$G$5+SUMIFS(Actuals!$G:$G,Actuals!$B:$B,$C$3,Actuals!$C:$C,8,Actuals!$D:$D,$B$834,Actuals!$A:$A,LEFT($D$834,FIND("|",$D$834&amp;"|")-1),Actuals!$E:$E,MID($D$834,FIND("|",$D$834&amp;"|")+1,50),Actuals!$F:$F,"GBP")*$H$5)</f>
        <v/>
      </c>
      <c r="P835" s="18">
        <f>IF(OR($B$834="",9&gt;$C$4),"",SUMIFS(Actuals!$G:$G,Actuals!$B:$B,$C$3,Actuals!$C:$C,9,Actuals!$D:$D,$B$834,Actuals!$A:$A,LEFT($D$834,FIND("|",$D$834&amp;"|")-1),Actuals!$E:$E,MID($D$834,FIND("|",$D$834&amp;"|")+1,50),Actuals!$F:$F,"JPY")*$E$5+SUMIFS(Actuals!$G:$G,Actuals!$B:$B,$C$3,Actuals!$C:$C,9,Actuals!$D:$D,$B$834,Actuals!$A:$A,LEFT($D$834,FIND("|",$D$834&amp;"|")-1),Actuals!$E:$E,MID($D$834,FIND("|",$D$834&amp;"|")+1,50),Actuals!$F:$F,"USD")*$F$5+SUMIFS(Actuals!$G:$G,Actuals!$B:$B,$C$3,Actuals!$C:$C,9,Actuals!$D:$D,$B$834,Actuals!$A:$A,LEFT($D$834,FIND("|",$D$834&amp;"|")-1),Actuals!$E:$E,MID($D$834,FIND("|",$D$834&amp;"|")+1,50),Actuals!$F:$F,"EUR")*$G$5+SUMIFS(Actuals!$G:$G,Actuals!$B:$B,$C$3,Actuals!$C:$C,9,Actuals!$D:$D,$B$834,Actuals!$A:$A,LEFT($D$834,FIND("|",$D$834&amp;"|")-1),Actuals!$E:$E,MID($D$834,FIND("|",$D$834&amp;"|")+1,50),Actuals!$F:$F,"GBP")*$H$5)</f>
        <v/>
      </c>
      <c r="Q835" s="18">
        <f>IF(OR($B$834="",10&gt;$C$4),"",SUMIFS(Actuals!$G:$G,Actuals!$B:$B,$C$3,Actuals!$C:$C,10,Actuals!$D:$D,$B$834,Actuals!$A:$A,LEFT($D$834,FIND("|",$D$834&amp;"|")-1),Actuals!$E:$E,MID($D$834,FIND("|",$D$834&amp;"|")+1,50),Actuals!$F:$F,"JPY")*$E$5+SUMIFS(Actuals!$G:$G,Actuals!$B:$B,$C$3,Actuals!$C:$C,10,Actuals!$D:$D,$B$834,Actuals!$A:$A,LEFT($D$834,FIND("|",$D$834&amp;"|")-1),Actuals!$E:$E,MID($D$834,FIND("|",$D$834&amp;"|")+1,50),Actuals!$F:$F,"USD")*$F$5+SUMIFS(Actuals!$G:$G,Actuals!$B:$B,$C$3,Actuals!$C:$C,10,Actuals!$D:$D,$B$834,Actuals!$A:$A,LEFT($D$834,FIND("|",$D$834&amp;"|")-1),Actuals!$E:$E,MID($D$834,FIND("|",$D$834&amp;"|")+1,50),Actuals!$F:$F,"EUR")*$G$5+SUMIFS(Actuals!$G:$G,Actuals!$B:$B,$C$3,Actuals!$C:$C,10,Actuals!$D:$D,$B$834,Actuals!$A:$A,LEFT($D$834,FIND("|",$D$834&amp;"|")-1),Actuals!$E:$E,MID($D$834,FIND("|",$D$834&amp;"|")+1,50),Actuals!$F:$F,"GBP")*$H$5)</f>
        <v/>
      </c>
      <c r="R835" s="18">
        <f>IF(OR($B$834="",11&gt;$C$4),"",SUMIFS(Actuals!$G:$G,Actuals!$B:$B,$C$3,Actuals!$C:$C,11,Actuals!$D:$D,$B$834,Actuals!$A:$A,LEFT($D$834,FIND("|",$D$834&amp;"|")-1),Actuals!$E:$E,MID($D$834,FIND("|",$D$834&amp;"|")+1,50),Actuals!$F:$F,"JPY")*$E$5+SUMIFS(Actuals!$G:$G,Actuals!$B:$B,$C$3,Actuals!$C:$C,11,Actuals!$D:$D,$B$834,Actuals!$A:$A,LEFT($D$834,FIND("|",$D$834&amp;"|")-1),Actuals!$E:$E,MID($D$834,FIND("|",$D$834&amp;"|")+1,50),Actuals!$F:$F,"USD")*$F$5+SUMIFS(Actuals!$G:$G,Actuals!$B:$B,$C$3,Actuals!$C:$C,11,Actuals!$D:$D,$B$834,Actuals!$A:$A,LEFT($D$834,FIND("|",$D$834&amp;"|")-1),Actuals!$E:$E,MID($D$834,FIND("|",$D$834&amp;"|")+1,50),Actuals!$F:$F,"EUR")*$G$5+SUMIFS(Actuals!$G:$G,Actuals!$B:$B,$C$3,Actuals!$C:$C,11,Actuals!$D:$D,$B$834,Actuals!$A:$A,LEFT($D$834,FIND("|",$D$834&amp;"|")-1),Actuals!$E:$E,MID($D$834,FIND("|",$D$834&amp;"|")+1,50),Actuals!$F:$F,"GBP")*$H$5)</f>
        <v/>
      </c>
      <c r="S835" s="18">
        <f>IF(OR($B$834="",12&gt;$C$4),"",SUMIFS(Actuals!$G:$G,Actuals!$B:$B,$C$3,Actuals!$C:$C,12,Actuals!$D:$D,$B$834,Actuals!$A:$A,LEFT($D$834,FIND("|",$D$834&amp;"|")-1),Actuals!$E:$E,MID($D$834,FIND("|",$D$834&amp;"|")+1,50),Actuals!$F:$F,"JPY")*$E$5+SUMIFS(Actuals!$G:$G,Actuals!$B:$B,$C$3,Actuals!$C:$C,12,Actuals!$D:$D,$B$834,Actuals!$A:$A,LEFT($D$834,FIND("|",$D$834&amp;"|")-1),Actuals!$E:$E,MID($D$834,FIND("|",$D$834&amp;"|")+1,50),Actuals!$F:$F,"USD")*$F$5+SUMIFS(Actuals!$G:$G,Actuals!$B:$B,$C$3,Actuals!$C:$C,12,Actuals!$D:$D,$B$834,Actuals!$A:$A,LEFT($D$834,FIND("|",$D$834&amp;"|")-1),Actuals!$E:$E,MID($D$834,FIND("|",$D$834&amp;"|")+1,50),Actuals!$F:$F,"EUR")*$G$5+SUMIFS(Actuals!$G:$G,Actuals!$B:$B,$C$3,Actuals!$C:$C,12,Actuals!$D:$D,$B$834,Actuals!$A:$A,LEFT($D$834,FIND("|",$D$834&amp;"|")-1),Actuals!$E:$E,MID($D$834,FIND("|",$D$834&amp;"|")+1,50),Actuals!$F:$F,"GBP")*$H$5)</f>
        <v/>
      </c>
      <c r="T835" s="18">
        <f>IF($B$834="","",SUMIF($H$7:$S$7,"&lt;="&amp;$C$4,$H835:$S835))</f>
        <v/>
      </c>
      <c r="U835" s="18" t="n"/>
      <c r="V835" s="18" t="n"/>
      <c r="X835" s="22">
        <f>IF($B835="","",IFERROR(INDEX(Cost_Centers!$E:$E,MATCH($B835,Cost_Centers!$A:$A,0)),"(unknown)"))</f>
        <v/>
      </c>
      <c r="Y835" s="22">
        <f>IF($B835="","",IFERROR(INDEX(Cost_Centers!$D:$D,MATCH($B835,Cost_Centers!$A:$A,0)),"(unknown)"))</f>
        <v/>
      </c>
      <c r="Z835" s="22">
        <f>IF(OR($B835="",$G835&lt;&gt;"Variance vs Budget"),"",ABS(N($V835))+ROW()/1000000000)</f>
        <v/>
      </c>
    </row>
    <row r="836">
      <c r="A836" s="13">
        <f>IF(A$834="","",A$834)</f>
        <v/>
      </c>
      <c r="B836" s="13">
        <f>IF(B$834="","",B$834)</f>
        <v/>
      </c>
      <c r="C836" s="13">
        <f>IF(C$834="","",C$834)</f>
        <v/>
      </c>
      <c r="D836" s="13">
        <f>IF(D$834="","",D$834)</f>
        <v/>
      </c>
      <c r="E836" s="13">
        <f>IF(E$834="","",E$834)</f>
        <v/>
      </c>
      <c r="F836" s="13">
        <f>IF(F$834="","",F$834)</f>
        <v/>
      </c>
      <c r="G836" s="6" t="inlineStr">
        <is>
          <t>Variance vs Budget</t>
        </is>
      </c>
      <c r="H836" s="33">
        <f>IF(OR($B$834="",1&gt;$C$4),"",N(H835)-H834)</f>
        <v/>
      </c>
      <c r="I836" s="33">
        <f>IF(OR($B$834="",2&gt;$C$4),"",N(I835)-I834)</f>
        <v/>
      </c>
      <c r="J836" s="33">
        <f>IF(OR($B$834="",3&gt;$C$4),"",N(J835)-J834)</f>
        <v/>
      </c>
      <c r="K836" s="33">
        <f>IF(OR($B$834="",4&gt;$C$4),"",N(K835)-K834)</f>
        <v/>
      </c>
      <c r="L836" s="33">
        <f>IF(OR($B$834="",5&gt;$C$4),"",N(L835)-L834)</f>
        <v/>
      </c>
      <c r="M836" s="33">
        <f>IF(OR($B$834="",6&gt;$C$4),"",N(M835)-M834)</f>
        <v/>
      </c>
      <c r="N836" s="33">
        <f>IF(OR($B$834="",7&gt;$C$4),"",N(N835)-N834)</f>
        <v/>
      </c>
      <c r="O836" s="33">
        <f>IF(OR($B$834="",8&gt;$C$4),"",N(O835)-O834)</f>
        <v/>
      </c>
      <c r="P836" s="33">
        <f>IF(OR($B$834="",9&gt;$C$4),"",N(P835)-P834)</f>
        <v/>
      </c>
      <c r="Q836" s="33">
        <f>IF(OR($B$834="",10&gt;$C$4),"",N(Q835)-Q834)</f>
        <v/>
      </c>
      <c r="R836" s="33">
        <f>IF(OR($B$834="",11&gt;$C$4),"",N(R835)-R834)</f>
        <v/>
      </c>
      <c r="S836" s="33">
        <f>IF(OR($B$834="",12&gt;$C$4),"",N(S835)-S834)</f>
        <v/>
      </c>
      <c r="T836" s="33">
        <f>IF($B$834="","",T835-T834)</f>
        <v/>
      </c>
      <c r="U836" s="33">
        <f>IF($B$834="","",U838-U834)</f>
        <v/>
      </c>
      <c r="V836" s="33">
        <f>IF($B$834="","",V838-V834)</f>
        <v/>
      </c>
      <c r="X836" s="22">
        <f>IF($B836="","",IFERROR(INDEX(Cost_Centers!$E:$E,MATCH($B836,Cost_Centers!$A:$A,0)),"(unknown)"))</f>
        <v/>
      </c>
      <c r="Y836" s="22">
        <f>IF($B836="","",IFERROR(INDEX(Cost_Centers!$D:$D,MATCH($B836,Cost_Centers!$A:$A,0)),"(unknown)"))</f>
        <v/>
      </c>
      <c r="Z836" s="22">
        <f>IF(OR($B836="",$G836&lt;&gt;"Variance vs Budget"),"",ABS(N($V836))+ROW()/1000000000)</f>
        <v/>
      </c>
    </row>
    <row r="837">
      <c r="A837" s="13">
        <f>IF(A$834="","",A$834)</f>
        <v/>
      </c>
      <c r="B837" s="13">
        <f>IF(B$834="","",B$834)</f>
        <v/>
      </c>
      <c r="C837" s="13">
        <f>IF(C$834="","",C$834)</f>
        <v/>
      </c>
      <c r="D837" s="13">
        <f>IF(D$834="","",D$834)</f>
        <v/>
      </c>
      <c r="E837" s="13">
        <f>IF(E$834="","",E$834)</f>
        <v/>
      </c>
      <c r="F837" s="13">
        <f>IF(F$834="","",F$834)</f>
        <v/>
      </c>
      <c r="G837" s="7" t="inlineStr">
        <is>
          <t>Forecast (input)</t>
        </is>
      </c>
      <c r="H837" s="34" t="n"/>
      <c r="I837" s="34" t="n"/>
      <c r="J837" s="34" t="n"/>
      <c r="K837" s="34" t="n"/>
      <c r="L837" s="34" t="n"/>
      <c r="M837" s="34" t="n"/>
      <c r="N837" s="34" t="n"/>
      <c r="O837" s="34" t="n"/>
      <c r="P837" s="34" t="n"/>
      <c r="Q837" s="34" t="n"/>
      <c r="R837" s="34" t="n"/>
      <c r="S837" s="34" t="n"/>
      <c r="T837" s="18" t="n"/>
      <c r="U837" s="18" t="n"/>
      <c r="V837" s="18" t="n"/>
      <c r="X837" s="22">
        <f>IF($B837="","",IFERROR(INDEX(Cost_Centers!$E:$E,MATCH($B837,Cost_Centers!$A:$A,0)),"(unknown)"))</f>
        <v/>
      </c>
      <c r="Y837" s="22">
        <f>IF($B837="","",IFERROR(INDEX(Cost_Centers!$D:$D,MATCH($B837,Cost_Centers!$A:$A,0)),"(unknown)"))</f>
        <v/>
      </c>
      <c r="Z837" s="22">
        <f>IF(OR($B837="",$G837&lt;&gt;"Variance vs Budget"),"",ABS(N($V837))+ROW()/1000000000)</f>
        <v/>
      </c>
    </row>
    <row r="838">
      <c r="A838" s="13">
        <f>IF(A$834="","",A$834)</f>
        <v/>
      </c>
      <c r="B838" s="13">
        <f>IF(B$834="","",B$834)</f>
        <v/>
      </c>
      <c r="C838" s="13">
        <f>IF(C$834="","",C$834)</f>
        <v/>
      </c>
      <c r="D838" s="13">
        <f>IF(D$834="","",D$834)</f>
        <v/>
      </c>
      <c r="E838" s="13">
        <f>IF(E$834="","",E$834)</f>
        <v/>
      </c>
      <c r="F838" s="13">
        <f>IF(F$834="","",F$834)</f>
        <v/>
      </c>
      <c r="G838" s="35" t="inlineStr">
        <is>
          <t>Actual + Forecast</t>
        </is>
      </c>
      <c r="H838" s="18">
        <f>IF($B$834="","",IF(1&lt;=$C$4,N(H835),IF(H837="",H834,H837)))</f>
        <v/>
      </c>
      <c r="I838" s="18">
        <f>IF($B$834="","",IF(2&lt;=$C$4,N(I835),IF(I837="",I834,I837)))</f>
        <v/>
      </c>
      <c r="J838" s="18">
        <f>IF($B$834="","",IF(3&lt;=$C$4,N(J835),IF(J837="",J834,J837)))</f>
        <v/>
      </c>
      <c r="K838" s="18">
        <f>IF($B$834="","",IF(4&lt;=$C$4,N(K835),IF(K837="",K834,K837)))</f>
        <v/>
      </c>
      <c r="L838" s="18">
        <f>IF($B$834="","",IF(5&lt;=$C$4,N(L835),IF(L837="",L834,L837)))</f>
        <v/>
      </c>
      <c r="M838" s="18">
        <f>IF($B$834="","",IF(6&lt;=$C$4,N(M835),IF(M837="",M834,M837)))</f>
        <v/>
      </c>
      <c r="N838" s="18">
        <f>IF($B$834="","",IF(7&lt;=$C$4,N(N835),IF(N837="",N834,N837)))</f>
        <v/>
      </c>
      <c r="O838" s="18">
        <f>IF($B$834="","",IF(8&lt;=$C$4,N(O835),IF(O837="",O834,O837)))</f>
        <v/>
      </c>
      <c r="P838" s="18">
        <f>IF($B$834="","",IF(9&lt;=$C$4,N(P835),IF(P837="",P834,P837)))</f>
        <v/>
      </c>
      <c r="Q838" s="18">
        <f>IF($B$834="","",IF(10&lt;=$C$4,N(Q835),IF(Q837="",Q834,Q837)))</f>
        <v/>
      </c>
      <c r="R838" s="18">
        <f>IF($B$834="","",IF(11&lt;=$C$4,N(R835),IF(R837="",R834,R837)))</f>
        <v/>
      </c>
      <c r="S838" s="18">
        <f>IF($B$834="","",IF(12&lt;=$C$4,N(S835),IF(S837="",S834,S837)))</f>
        <v/>
      </c>
      <c r="T838" s="18">
        <f>IF($B$834="","",SUMIF($H$7:$S$7,"&lt;="&amp;$C$4,$H838:$S838))</f>
        <v/>
      </c>
      <c r="U838" s="18">
        <f>IF($B$834="","",SUMIF($H$7:$S$7,"&gt;"&amp;$C$4,$H838:$S838))</f>
        <v/>
      </c>
      <c r="V838" s="18">
        <f>IF($B$834="","",SUM($H838:$S838))</f>
        <v/>
      </c>
      <c r="X838" s="22">
        <f>IF($B838="","",IFERROR(INDEX(Cost_Centers!$E:$E,MATCH($B838,Cost_Centers!$A:$A,0)),"(unknown)"))</f>
        <v/>
      </c>
      <c r="Y838" s="22">
        <f>IF($B838="","",IFERROR(INDEX(Cost_Centers!$D:$D,MATCH($B838,Cost_Centers!$A:$A,0)),"(unknown)"))</f>
        <v/>
      </c>
      <c r="Z838" s="22">
        <f>IF(OR($B838="",$G838&lt;&gt;"Variance vs Budget"),"",ABS(N($V838))+ROW()/1000000000)</f>
        <v/>
      </c>
    </row>
    <row r="839">
      <c r="A839" s="13">
        <f>IF(A$834="","",A$834)</f>
        <v/>
      </c>
      <c r="B839" s="13">
        <f>IF(B$834="","",B$834)</f>
        <v/>
      </c>
      <c r="C839" s="13">
        <f>IF(C$834="","",C$834)</f>
        <v/>
      </c>
      <c r="D839" s="13">
        <f>IF(D$834="","",D$834)</f>
        <v/>
      </c>
      <c r="E839" s="13">
        <f>IF(E$834="","",E$834)</f>
        <v/>
      </c>
      <c r="F839" s="13">
        <f>IF(F$834="","",F$834)</f>
        <v/>
      </c>
      <c r="G839" s="36" t="inlineStr">
        <is>
          <t>Prior Month Forecast</t>
        </is>
      </c>
      <c r="H839" s="37">
        <f>IF($B$834="","",IF(COUNTIFS(Prior_Forecast!$A:$A,$B$834,Prior_Forecast!$B:$B,$D$834)&gt;0,SUMIFS(Prior_Forecast!$C:$C,Prior_Forecast!$A:$A,$B$834,Prior_Forecast!$B:$B,$D$834),""))</f>
        <v/>
      </c>
      <c r="I839" s="37">
        <f>IF($B$834="","",IF(COUNTIFS(Prior_Forecast!$A:$A,$B$834,Prior_Forecast!$B:$B,$D$834)&gt;0,SUMIFS(Prior_Forecast!$D:$D,Prior_Forecast!$A:$A,$B$834,Prior_Forecast!$B:$B,$D$834),""))</f>
        <v/>
      </c>
      <c r="J839" s="37">
        <f>IF($B$834="","",IF(COUNTIFS(Prior_Forecast!$A:$A,$B$834,Prior_Forecast!$B:$B,$D$834)&gt;0,SUMIFS(Prior_Forecast!$E:$E,Prior_Forecast!$A:$A,$B$834,Prior_Forecast!$B:$B,$D$834),""))</f>
        <v/>
      </c>
      <c r="K839" s="37">
        <f>IF($B$834="","",IF(COUNTIFS(Prior_Forecast!$A:$A,$B$834,Prior_Forecast!$B:$B,$D$834)&gt;0,SUMIFS(Prior_Forecast!$F:$F,Prior_Forecast!$A:$A,$B$834,Prior_Forecast!$B:$B,$D$834),""))</f>
        <v/>
      </c>
      <c r="L839" s="37">
        <f>IF($B$834="","",IF(COUNTIFS(Prior_Forecast!$A:$A,$B$834,Prior_Forecast!$B:$B,$D$834)&gt;0,SUMIFS(Prior_Forecast!$G:$G,Prior_Forecast!$A:$A,$B$834,Prior_Forecast!$B:$B,$D$834),""))</f>
        <v/>
      </c>
      <c r="M839" s="37">
        <f>IF($B$834="","",IF(COUNTIFS(Prior_Forecast!$A:$A,$B$834,Prior_Forecast!$B:$B,$D$834)&gt;0,SUMIFS(Prior_Forecast!$H:$H,Prior_Forecast!$A:$A,$B$834,Prior_Forecast!$B:$B,$D$834),""))</f>
        <v/>
      </c>
      <c r="N839" s="37">
        <f>IF($B$834="","",IF(COUNTIFS(Prior_Forecast!$A:$A,$B$834,Prior_Forecast!$B:$B,$D$834)&gt;0,SUMIFS(Prior_Forecast!$I:$I,Prior_Forecast!$A:$A,$B$834,Prior_Forecast!$B:$B,$D$834),""))</f>
        <v/>
      </c>
      <c r="O839" s="37">
        <f>IF($B$834="","",IF(COUNTIFS(Prior_Forecast!$A:$A,$B$834,Prior_Forecast!$B:$B,$D$834)&gt;0,SUMIFS(Prior_Forecast!$J:$J,Prior_Forecast!$A:$A,$B$834,Prior_Forecast!$B:$B,$D$834),""))</f>
        <v/>
      </c>
      <c r="P839" s="37">
        <f>IF($B$834="","",IF(COUNTIFS(Prior_Forecast!$A:$A,$B$834,Prior_Forecast!$B:$B,$D$834)&gt;0,SUMIFS(Prior_Forecast!$K:$K,Prior_Forecast!$A:$A,$B$834,Prior_Forecast!$B:$B,$D$834),""))</f>
        <v/>
      </c>
      <c r="Q839" s="37">
        <f>IF($B$834="","",IF(COUNTIFS(Prior_Forecast!$A:$A,$B$834,Prior_Forecast!$B:$B,$D$834)&gt;0,SUMIFS(Prior_Forecast!$L:$L,Prior_Forecast!$A:$A,$B$834,Prior_Forecast!$B:$B,$D$834),""))</f>
        <v/>
      </c>
      <c r="R839" s="37">
        <f>IF($B$834="","",IF(COUNTIFS(Prior_Forecast!$A:$A,$B$834,Prior_Forecast!$B:$B,$D$834)&gt;0,SUMIFS(Prior_Forecast!$M:$M,Prior_Forecast!$A:$A,$B$834,Prior_Forecast!$B:$B,$D$834),""))</f>
        <v/>
      </c>
      <c r="S839" s="37">
        <f>IF($B$834="","",IF(COUNTIFS(Prior_Forecast!$A:$A,$B$834,Prior_Forecast!$B:$B,$D$834)&gt;0,SUMIFS(Prior_Forecast!$N:$N,Prior_Forecast!$A:$A,$B$834,Prior_Forecast!$B:$B,$D$834),""))</f>
        <v/>
      </c>
      <c r="T839" s="37">
        <f>IF($B$834="","",IF(COUNTIFS(Prior_Forecast!$A:$A,$B$834,Prior_Forecast!$B:$B,$D$834)&gt;0,SUMIFS(Prior_Forecast!$O:$O,Prior_Forecast!$A:$A,$B$834,Prior_Forecast!$B:$B,$D$834),""))</f>
        <v/>
      </c>
      <c r="U839" s="37">
        <f>IF($B$834="","",IF(COUNTIFS(Prior_Forecast!$A:$A,$B$834,Prior_Forecast!$B:$B,$D$834)&gt;0,SUMIFS(Prior_Forecast!$P:$P,Prior_Forecast!$A:$A,$B$834,Prior_Forecast!$B:$B,$D$834),""))</f>
        <v/>
      </c>
      <c r="V839" s="37">
        <f>IF($B$834="","",IF(COUNTIFS(Prior_Forecast!$A:$A,$B$834,Prior_Forecast!$B:$B,$D$834)&gt;0,SUMIFS(Prior_Forecast!$Q:$Q,Prior_Forecast!$A:$A,$B$834,Prior_Forecast!$B:$B,$D$834),""))</f>
        <v/>
      </c>
      <c r="X839" s="22">
        <f>IF($B839="","",IFERROR(INDEX(Cost_Centers!$E:$E,MATCH($B839,Cost_Centers!$A:$A,0)),"(unknown)"))</f>
        <v/>
      </c>
      <c r="Y839" s="22">
        <f>IF($B839="","",IFERROR(INDEX(Cost_Centers!$D:$D,MATCH($B839,Cost_Centers!$A:$A,0)),"(unknown)"))</f>
        <v/>
      </c>
      <c r="Z839" s="22">
        <f>IF(OR($B839="",$G839&lt;&gt;"Variance vs Budget"),"",ABS(N($V839))+ROW()/1000000000)</f>
        <v/>
      </c>
    </row>
    <row r="840">
      <c r="A840" s="13">
        <f>IF(A$834="","",A$834)</f>
        <v/>
      </c>
      <c r="B840" s="13">
        <f>IF(B$834="","",B$834)</f>
        <v/>
      </c>
      <c r="C840" s="13">
        <f>IF(C$834="","",C$834)</f>
        <v/>
      </c>
      <c r="D840" s="13">
        <f>IF(D$834="","",D$834)</f>
        <v/>
      </c>
      <c r="E840" s="13">
        <f>IF(E$834="","",E$834)</f>
        <v/>
      </c>
      <c r="F840" s="13">
        <f>IF(F$834="","",F$834)</f>
        <v/>
      </c>
      <c r="G840" s="6" t="inlineStr">
        <is>
          <t>Variance vs Prior Month</t>
        </is>
      </c>
      <c r="H840" s="33">
        <f>IF(OR($B$834="",H839=""),"",H838-H839)</f>
        <v/>
      </c>
      <c r="I840" s="33">
        <f>IF(OR($B$834="",I839=""),"",I838-I839)</f>
        <v/>
      </c>
      <c r="J840" s="33">
        <f>IF(OR($B$834="",J839=""),"",J838-J839)</f>
        <v/>
      </c>
      <c r="K840" s="33">
        <f>IF(OR($B$834="",K839=""),"",K838-K839)</f>
        <v/>
      </c>
      <c r="L840" s="33">
        <f>IF(OR($B$834="",L839=""),"",L838-L839)</f>
        <v/>
      </c>
      <c r="M840" s="33">
        <f>IF(OR($B$834="",M839=""),"",M838-M839)</f>
        <v/>
      </c>
      <c r="N840" s="33">
        <f>IF(OR($B$834="",N839=""),"",N838-N839)</f>
        <v/>
      </c>
      <c r="O840" s="33">
        <f>IF(OR($B$834="",O839=""),"",O838-O839)</f>
        <v/>
      </c>
      <c r="P840" s="33">
        <f>IF(OR($B$834="",P839=""),"",P838-P839)</f>
        <v/>
      </c>
      <c r="Q840" s="33">
        <f>IF(OR($B$834="",Q839=""),"",Q838-Q839)</f>
        <v/>
      </c>
      <c r="R840" s="33">
        <f>IF(OR($B$834="",R839=""),"",R838-R839)</f>
        <v/>
      </c>
      <c r="S840" s="33">
        <f>IF(OR($B$834="",S839=""),"",S838-S839)</f>
        <v/>
      </c>
      <c r="T840" s="33">
        <f>IF(OR($B$834="",T839=""),"",T838-T839)</f>
        <v/>
      </c>
      <c r="U840" s="33">
        <f>IF(OR($B$834="",U839=""),"",U838-U839)</f>
        <v/>
      </c>
      <c r="V840" s="33">
        <f>IF(OR($B$834="",V839=""),"",V838-V839)</f>
        <v/>
      </c>
      <c r="X840" s="22">
        <f>IF($B840="","",IFERROR(INDEX(Cost_Centers!$E:$E,MATCH($B840,Cost_Centers!$A:$A,0)),"(unknown)"))</f>
        <v/>
      </c>
      <c r="Y840" s="22">
        <f>IF($B840="","",IFERROR(INDEX(Cost_Centers!$D:$D,MATCH($B840,Cost_Centers!$A:$A,0)),"(unknown)"))</f>
        <v/>
      </c>
      <c r="Z840" s="22">
        <f>IF(OR($B840="",$G840&lt;&gt;"Variance vs Budget"),"",ABS(N($V840))+ROW()/1000000000)</f>
        <v/>
      </c>
    </row>
    <row r="841" ht="45" customHeight="1">
      <c r="A841" s="13">
        <f>IF(A$834="","",A$834)</f>
        <v/>
      </c>
      <c r="B841" s="13">
        <f>IF(B$834="","",B$834)</f>
        <v/>
      </c>
      <c r="C841" s="13">
        <f>IF(C$834="","",C$834)</f>
        <v/>
      </c>
      <c r="D841" s="13">
        <f>IF(D$834="","",D$834)</f>
        <v/>
      </c>
      <c r="E841" s="13">
        <f>IF(E$834="","",E$834)</f>
        <v/>
      </c>
      <c r="F841" s="13">
        <f>IF(F$834="","",F$834)</f>
        <v/>
      </c>
      <c r="G841" s="7" t="inlineStr">
        <is>
          <t>Rationale</t>
        </is>
      </c>
      <c r="H841" s="38" t="n"/>
      <c r="I841" s="38" t="n"/>
      <c r="J841" s="38" t="n"/>
      <c r="K841" s="38" t="n"/>
      <c r="L841" s="38" t="n"/>
      <c r="M841" s="38" t="n"/>
      <c r="N841" s="38" t="n"/>
      <c r="O841" s="38" t="n"/>
      <c r="P841" s="38" t="n"/>
      <c r="Q841" s="38" t="n"/>
      <c r="R841" s="38" t="n"/>
      <c r="S841" s="38" t="n"/>
      <c r="T841" s="38" t="n"/>
      <c r="U841" s="38" t="n"/>
      <c r="V841" s="7" t="n"/>
      <c r="X841" s="22">
        <f>IF($B841="","",IFERROR(INDEX(Cost_Centers!$E:$E,MATCH($B841,Cost_Centers!$A:$A,0)),"(unknown)"))</f>
        <v/>
      </c>
      <c r="Y841" s="22">
        <f>IF($B841="","",IFERROR(INDEX(Cost_Centers!$D:$D,MATCH($B841,Cost_Centers!$A:$A,0)),"(unknown)"))</f>
        <v/>
      </c>
      <c r="Z841" s="22">
        <f>IF(OR($B841="",$G841&lt;&gt;"Variance vs Budget"),"",ABS(N($V841))+ROW()/1000000000)</f>
        <v/>
      </c>
    </row>
    <row r="842">
      <c r="A842" s="30">
        <f>IF($D$842="","",LEFT($D$842,FIND("|",$D$842&amp;"|")-1))</f>
        <v/>
      </c>
      <c r="B842" s="31" t="n"/>
      <c r="C842" s="30">
        <f>IF($B$842="","",IFERROR(INDEX(Cost_Centers!$B:$B,MATCH($B$842,Cost_Centers!$A:$A,0)),"(not in master)"))</f>
        <v/>
      </c>
      <c r="D842" s="31" t="n"/>
      <c r="E842" s="30">
        <f>IF($D$842="","",IFERROR(INDEX(Accounts!$D:$D,MATCH($D$842,Accounts!$A:$A,0)),"(not in master)"))</f>
        <v/>
      </c>
      <c r="F842" s="31" t="n"/>
      <c r="G842" s="30" t="inlineStr">
        <is>
          <t>Budget</t>
        </is>
      </c>
      <c r="H842" s="32">
        <f>IF($B$842="","",SUMIFS(Opex_Budget!$O:$O,Opex_Budget!$A:$A,$C$3,Opex_Budget!$E:$E,$B$842,Opex_Budget!$F:$F,$D$842,Opex_Budget!$N:$N,"JPY")*$E$5+SUMIFS(Opex_Budget!$O:$O,Opex_Budget!$A:$A,$C$3,Opex_Budget!$E:$E,$B$842,Opex_Budget!$F:$F,$D$842,Opex_Budget!$N:$N,"USD")*$F$5+SUMIFS(Opex_Budget!$O:$O,Opex_Budget!$A:$A,$C$3,Opex_Budget!$E:$E,$B$842,Opex_Budget!$F:$F,$D$842,Opex_Budget!$N:$N,"EUR")*$G$5+SUMIFS(Opex_Budget!$O:$O,Opex_Budget!$A:$A,$C$3,Opex_Budget!$E:$E,$B$842,Opex_Budget!$F:$F,$D$842,Opex_Budget!$N:$N,"GBP")*$H$5)</f>
        <v/>
      </c>
      <c r="I842" s="32">
        <f>IF($B$842="","",SUMIFS(Opex_Budget!$P:$P,Opex_Budget!$A:$A,$C$3,Opex_Budget!$E:$E,$B$842,Opex_Budget!$F:$F,$D$842,Opex_Budget!$N:$N,"JPY")*$E$5+SUMIFS(Opex_Budget!$P:$P,Opex_Budget!$A:$A,$C$3,Opex_Budget!$E:$E,$B$842,Opex_Budget!$F:$F,$D$842,Opex_Budget!$N:$N,"USD")*$F$5+SUMIFS(Opex_Budget!$P:$P,Opex_Budget!$A:$A,$C$3,Opex_Budget!$E:$E,$B$842,Opex_Budget!$F:$F,$D$842,Opex_Budget!$N:$N,"EUR")*$G$5+SUMIFS(Opex_Budget!$P:$P,Opex_Budget!$A:$A,$C$3,Opex_Budget!$E:$E,$B$842,Opex_Budget!$F:$F,$D$842,Opex_Budget!$N:$N,"GBP")*$H$5)</f>
        <v/>
      </c>
      <c r="J842" s="32">
        <f>IF($B$842="","",SUMIFS(Opex_Budget!$Q:$Q,Opex_Budget!$A:$A,$C$3,Opex_Budget!$E:$E,$B$842,Opex_Budget!$F:$F,$D$842,Opex_Budget!$N:$N,"JPY")*$E$5+SUMIFS(Opex_Budget!$Q:$Q,Opex_Budget!$A:$A,$C$3,Opex_Budget!$E:$E,$B$842,Opex_Budget!$F:$F,$D$842,Opex_Budget!$N:$N,"USD")*$F$5+SUMIFS(Opex_Budget!$Q:$Q,Opex_Budget!$A:$A,$C$3,Opex_Budget!$E:$E,$B$842,Opex_Budget!$F:$F,$D$842,Opex_Budget!$N:$N,"EUR")*$G$5+SUMIFS(Opex_Budget!$Q:$Q,Opex_Budget!$A:$A,$C$3,Opex_Budget!$E:$E,$B$842,Opex_Budget!$F:$F,$D$842,Opex_Budget!$N:$N,"GBP")*$H$5)</f>
        <v/>
      </c>
      <c r="K842" s="32">
        <f>IF($B$842="","",SUMIFS(Opex_Budget!$R:$R,Opex_Budget!$A:$A,$C$3,Opex_Budget!$E:$E,$B$842,Opex_Budget!$F:$F,$D$842,Opex_Budget!$N:$N,"JPY")*$E$5+SUMIFS(Opex_Budget!$R:$R,Opex_Budget!$A:$A,$C$3,Opex_Budget!$E:$E,$B$842,Opex_Budget!$F:$F,$D$842,Opex_Budget!$N:$N,"USD")*$F$5+SUMIFS(Opex_Budget!$R:$R,Opex_Budget!$A:$A,$C$3,Opex_Budget!$E:$E,$B$842,Opex_Budget!$F:$F,$D$842,Opex_Budget!$N:$N,"EUR")*$G$5+SUMIFS(Opex_Budget!$R:$R,Opex_Budget!$A:$A,$C$3,Opex_Budget!$E:$E,$B$842,Opex_Budget!$F:$F,$D$842,Opex_Budget!$N:$N,"GBP")*$H$5)</f>
        <v/>
      </c>
      <c r="L842" s="32">
        <f>IF($B$842="","",SUMIFS(Opex_Budget!$S:$S,Opex_Budget!$A:$A,$C$3,Opex_Budget!$E:$E,$B$842,Opex_Budget!$F:$F,$D$842,Opex_Budget!$N:$N,"JPY")*$E$5+SUMIFS(Opex_Budget!$S:$S,Opex_Budget!$A:$A,$C$3,Opex_Budget!$E:$E,$B$842,Opex_Budget!$F:$F,$D$842,Opex_Budget!$N:$N,"USD")*$F$5+SUMIFS(Opex_Budget!$S:$S,Opex_Budget!$A:$A,$C$3,Opex_Budget!$E:$E,$B$842,Opex_Budget!$F:$F,$D$842,Opex_Budget!$N:$N,"EUR")*$G$5+SUMIFS(Opex_Budget!$S:$S,Opex_Budget!$A:$A,$C$3,Opex_Budget!$E:$E,$B$842,Opex_Budget!$F:$F,$D$842,Opex_Budget!$N:$N,"GBP")*$H$5)</f>
        <v/>
      </c>
      <c r="M842" s="32">
        <f>IF($B$842="","",SUMIFS(Opex_Budget!$T:$T,Opex_Budget!$A:$A,$C$3,Opex_Budget!$E:$E,$B$842,Opex_Budget!$F:$F,$D$842,Opex_Budget!$N:$N,"JPY")*$E$5+SUMIFS(Opex_Budget!$T:$T,Opex_Budget!$A:$A,$C$3,Opex_Budget!$E:$E,$B$842,Opex_Budget!$F:$F,$D$842,Opex_Budget!$N:$N,"USD")*$F$5+SUMIFS(Opex_Budget!$T:$T,Opex_Budget!$A:$A,$C$3,Opex_Budget!$E:$E,$B$842,Opex_Budget!$F:$F,$D$842,Opex_Budget!$N:$N,"EUR")*$G$5+SUMIFS(Opex_Budget!$T:$T,Opex_Budget!$A:$A,$C$3,Opex_Budget!$E:$E,$B$842,Opex_Budget!$F:$F,$D$842,Opex_Budget!$N:$N,"GBP")*$H$5)</f>
        <v/>
      </c>
      <c r="N842" s="32">
        <f>IF($B$842="","",SUMIFS(Opex_Budget!$U:$U,Opex_Budget!$A:$A,$C$3,Opex_Budget!$E:$E,$B$842,Opex_Budget!$F:$F,$D$842,Opex_Budget!$N:$N,"JPY")*$E$5+SUMIFS(Opex_Budget!$U:$U,Opex_Budget!$A:$A,$C$3,Opex_Budget!$E:$E,$B$842,Opex_Budget!$F:$F,$D$842,Opex_Budget!$N:$N,"USD")*$F$5+SUMIFS(Opex_Budget!$U:$U,Opex_Budget!$A:$A,$C$3,Opex_Budget!$E:$E,$B$842,Opex_Budget!$F:$F,$D$842,Opex_Budget!$N:$N,"EUR")*$G$5+SUMIFS(Opex_Budget!$U:$U,Opex_Budget!$A:$A,$C$3,Opex_Budget!$E:$E,$B$842,Opex_Budget!$F:$F,$D$842,Opex_Budget!$N:$N,"GBP")*$H$5)</f>
        <v/>
      </c>
      <c r="O842" s="32">
        <f>IF($B$842="","",SUMIFS(Opex_Budget!$V:$V,Opex_Budget!$A:$A,$C$3,Opex_Budget!$E:$E,$B$842,Opex_Budget!$F:$F,$D$842,Opex_Budget!$N:$N,"JPY")*$E$5+SUMIFS(Opex_Budget!$V:$V,Opex_Budget!$A:$A,$C$3,Opex_Budget!$E:$E,$B$842,Opex_Budget!$F:$F,$D$842,Opex_Budget!$N:$N,"USD")*$F$5+SUMIFS(Opex_Budget!$V:$V,Opex_Budget!$A:$A,$C$3,Opex_Budget!$E:$E,$B$842,Opex_Budget!$F:$F,$D$842,Opex_Budget!$N:$N,"EUR")*$G$5+SUMIFS(Opex_Budget!$V:$V,Opex_Budget!$A:$A,$C$3,Opex_Budget!$E:$E,$B$842,Opex_Budget!$F:$F,$D$842,Opex_Budget!$N:$N,"GBP")*$H$5)</f>
        <v/>
      </c>
      <c r="P842" s="32">
        <f>IF($B$842="","",SUMIFS(Opex_Budget!$W:$W,Opex_Budget!$A:$A,$C$3,Opex_Budget!$E:$E,$B$842,Opex_Budget!$F:$F,$D$842,Opex_Budget!$N:$N,"JPY")*$E$5+SUMIFS(Opex_Budget!$W:$W,Opex_Budget!$A:$A,$C$3,Opex_Budget!$E:$E,$B$842,Opex_Budget!$F:$F,$D$842,Opex_Budget!$N:$N,"USD")*$F$5+SUMIFS(Opex_Budget!$W:$W,Opex_Budget!$A:$A,$C$3,Opex_Budget!$E:$E,$B$842,Opex_Budget!$F:$F,$D$842,Opex_Budget!$N:$N,"EUR")*$G$5+SUMIFS(Opex_Budget!$W:$W,Opex_Budget!$A:$A,$C$3,Opex_Budget!$E:$E,$B$842,Opex_Budget!$F:$F,$D$842,Opex_Budget!$N:$N,"GBP")*$H$5)</f>
        <v/>
      </c>
      <c r="Q842" s="32">
        <f>IF($B$842="","",SUMIFS(Opex_Budget!$X:$X,Opex_Budget!$A:$A,$C$3,Opex_Budget!$E:$E,$B$842,Opex_Budget!$F:$F,$D$842,Opex_Budget!$N:$N,"JPY")*$E$5+SUMIFS(Opex_Budget!$X:$X,Opex_Budget!$A:$A,$C$3,Opex_Budget!$E:$E,$B$842,Opex_Budget!$F:$F,$D$842,Opex_Budget!$N:$N,"USD")*$F$5+SUMIFS(Opex_Budget!$X:$X,Opex_Budget!$A:$A,$C$3,Opex_Budget!$E:$E,$B$842,Opex_Budget!$F:$F,$D$842,Opex_Budget!$N:$N,"EUR")*$G$5+SUMIFS(Opex_Budget!$X:$X,Opex_Budget!$A:$A,$C$3,Opex_Budget!$E:$E,$B$842,Opex_Budget!$F:$F,$D$842,Opex_Budget!$N:$N,"GBP")*$H$5)</f>
        <v/>
      </c>
      <c r="R842" s="32">
        <f>IF($B$842="","",SUMIFS(Opex_Budget!$Y:$Y,Opex_Budget!$A:$A,$C$3,Opex_Budget!$E:$E,$B$842,Opex_Budget!$F:$F,$D$842,Opex_Budget!$N:$N,"JPY")*$E$5+SUMIFS(Opex_Budget!$Y:$Y,Opex_Budget!$A:$A,$C$3,Opex_Budget!$E:$E,$B$842,Opex_Budget!$F:$F,$D$842,Opex_Budget!$N:$N,"USD")*$F$5+SUMIFS(Opex_Budget!$Y:$Y,Opex_Budget!$A:$A,$C$3,Opex_Budget!$E:$E,$B$842,Opex_Budget!$F:$F,$D$842,Opex_Budget!$N:$N,"EUR")*$G$5+SUMIFS(Opex_Budget!$Y:$Y,Opex_Budget!$A:$A,$C$3,Opex_Budget!$E:$E,$B$842,Opex_Budget!$F:$F,$D$842,Opex_Budget!$N:$N,"GBP")*$H$5)</f>
        <v/>
      </c>
      <c r="S842" s="32">
        <f>IF($B$842="","",SUMIFS(Opex_Budget!$Z:$Z,Opex_Budget!$A:$A,$C$3,Opex_Budget!$E:$E,$B$842,Opex_Budget!$F:$F,$D$842,Opex_Budget!$N:$N,"JPY")*$E$5+SUMIFS(Opex_Budget!$Z:$Z,Opex_Budget!$A:$A,$C$3,Opex_Budget!$E:$E,$B$842,Opex_Budget!$F:$F,$D$842,Opex_Budget!$N:$N,"USD")*$F$5+SUMIFS(Opex_Budget!$Z:$Z,Opex_Budget!$A:$A,$C$3,Opex_Budget!$E:$E,$B$842,Opex_Budget!$F:$F,$D$842,Opex_Budget!$N:$N,"EUR")*$G$5+SUMIFS(Opex_Budget!$Z:$Z,Opex_Budget!$A:$A,$C$3,Opex_Budget!$E:$E,$B$842,Opex_Budget!$F:$F,$D$842,Opex_Budget!$N:$N,"GBP")*$H$5)</f>
        <v/>
      </c>
      <c r="T842" s="32">
        <f>IF($B$842="","",SUMIF($H$7:$S$7,"&lt;="&amp;$C$4,$H842:$S842))</f>
        <v/>
      </c>
      <c r="U842" s="32">
        <f>IF($B$842="","",SUMIF($H$7:$S$7,"&gt;"&amp;$C$4,$H842:$S842))</f>
        <v/>
      </c>
      <c r="V842" s="32">
        <f>IF($B$842="","",SUM($H842:$S842))</f>
        <v/>
      </c>
      <c r="X842" s="22">
        <f>IF($B842="","",IFERROR(INDEX(Cost_Centers!$E:$E,MATCH($B842,Cost_Centers!$A:$A,0)),"(unknown)"))</f>
        <v/>
      </c>
      <c r="Y842" s="22">
        <f>IF($B842="","",IFERROR(INDEX(Cost_Centers!$D:$D,MATCH($B842,Cost_Centers!$A:$A,0)),"(unknown)"))</f>
        <v/>
      </c>
      <c r="Z842" s="22">
        <f>IF(OR($B842="",$G842&lt;&gt;"Variance vs Budget"),"",ABS(N($V842))+ROW()/1000000000)</f>
        <v/>
      </c>
    </row>
    <row r="843">
      <c r="A843" s="13">
        <f>IF(A$842="","",A$842)</f>
        <v/>
      </c>
      <c r="B843" s="13">
        <f>IF(B$842="","",B$842)</f>
        <v/>
      </c>
      <c r="C843" s="13">
        <f>IF(C$842="","",C$842)</f>
        <v/>
      </c>
      <c r="D843" s="13">
        <f>IF(D$842="","",D$842)</f>
        <v/>
      </c>
      <c r="E843" s="13">
        <f>IF(E$842="","",E$842)</f>
        <v/>
      </c>
      <c r="F843" s="13">
        <f>IF(F$842="","",F$842)</f>
        <v/>
      </c>
      <c r="G843" s="7" t="inlineStr">
        <is>
          <t>Actual</t>
        </is>
      </c>
      <c r="H843" s="18">
        <f>IF(OR($B$842="",1&gt;$C$4),"",SUMIFS(Actuals!$G:$G,Actuals!$B:$B,$C$3,Actuals!$C:$C,1,Actuals!$D:$D,$B$842,Actuals!$A:$A,LEFT($D$842,FIND("|",$D$842&amp;"|")-1),Actuals!$E:$E,MID($D$842,FIND("|",$D$842&amp;"|")+1,50),Actuals!$F:$F,"JPY")*$E$5+SUMIFS(Actuals!$G:$G,Actuals!$B:$B,$C$3,Actuals!$C:$C,1,Actuals!$D:$D,$B$842,Actuals!$A:$A,LEFT($D$842,FIND("|",$D$842&amp;"|")-1),Actuals!$E:$E,MID($D$842,FIND("|",$D$842&amp;"|")+1,50),Actuals!$F:$F,"USD")*$F$5+SUMIFS(Actuals!$G:$G,Actuals!$B:$B,$C$3,Actuals!$C:$C,1,Actuals!$D:$D,$B$842,Actuals!$A:$A,LEFT($D$842,FIND("|",$D$842&amp;"|")-1),Actuals!$E:$E,MID($D$842,FIND("|",$D$842&amp;"|")+1,50),Actuals!$F:$F,"EUR")*$G$5+SUMIFS(Actuals!$G:$G,Actuals!$B:$B,$C$3,Actuals!$C:$C,1,Actuals!$D:$D,$B$842,Actuals!$A:$A,LEFT($D$842,FIND("|",$D$842&amp;"|")-1),Actuals!$E:$E,MID($D$842,FIND("|",$D$842&amp;"|")+1,50),Actuals!$F:$F,"GBP")*$H$5)</f>
        <v/>
      </c>
      <c r="I843" s="18">
        <f>IF(OR($B$842="",2&gt;$C$4),"",SUMIFS(Actuals!$G:$G,Actuals!$B:$B,$C$3,Actuals!$C:$C,2,Actuals!$D:$D,$B$842,Actuals!$A:$A,LEFT($D$842,FIND("|",$D$842&amp;"|")-1),Actuals!$E:$E,MID($D$842,FIND("|",$D$842&amp;"|")+1,50),Actuals!$F:$F,"JPY")*$E$5+SUMIFS(Actuals!$G:$G,Actuals!$B:$B,$C$3,Actuals!$C:$C,2,Actuals!$D:$D,$B$842,Actuals!$A:$A,LEFT($D$842,FIND("|",$D$842&amp;"|")-1),Actuals!$E:$E,MID($D$842,FIND("|",$D$842&amp;"|")+1,50),Actuals!$F:$F,"USD")*$F$5+SUMIFS(Actuals!$G:$G,Actuals!$B:$B,$C$3,Actuals!$C:$C,2,Actuals!$D:$D,$B$842,Actuals!$A:$A,LEFT($D$842,FIND("|",$D$842&amp;"|")-1),Actuals!$E:$E,MID($D$842,FIND("|",$D$842&amp;"|")+1,50),Actuals!$F:$F,"EUR")*$G$5+SUMIFS(Actuals!$G:$G,Actuals!$B:$B,$C$3,Actuals!$C:$C,2,Actuals!$D:$D,$B$842,Actuals!$A:$A,LEFT($D$842,FIND("|",$D$842&amp;"|")-1),Actuals!$E:$E,MID($D$842,FIND("|",$D$842&amp;"|")+1,50),Actuals!$F:$F,"GBP")*$H$5)</f>
        <v/>
      </c>
      <c r="J843" s="18">
        <f>IF(OR($B$842="",3&gt;$C$4),"",SUMIFS(Actuals!$G:$G,Actuals!$B:$B,$C$3,Actuals!$C:$C,3,Actuals!$D:$D,$B$842,Actuals!$A:$A,LEFT($D$842,FIND("|",$D$842&amp;"|")-1),Actuals!$E:$E,MID($D$842,FIND("|",$D$842&amp;"|")+1,50),Actuals!$F:$F,"JPY")*$E$5+SUMIFS(Actuals!$G:$G,Actuals!$B:$B,$C$3,Actuals!$C:$C,3,Actuals!$D:$D,$B$842,Actuals!$A:$A,LEFT($D$842,FIND("|",$D$842&amp;"|")-1),Actuals!$E:$E,MID($D$842,FIND("|",$D$842&amp;"|")+1,50),Actuals!$F:$F,"USD")*$F$5+SUMIFS(Actuals!$G:$G,Actuals!$B:$B,$C$3,Actuals!$C:$C,3,Actuals!$D:$D,$B$842,Actuals!$A:$A,LEFT($D$842,FIND("|",$D$842&amp;"|")-1),Actuals!$E:$E,MID($D$842,FIND("|",$D$842&amp;"|")+1,50),Actuals!$F:$F,"EUR")*$G$5+SUMIFS(Actuals!$G:$G,Actuals!$B:$B,$C$3,Actuals!$C:$C,3,Actuals!$D:$D,$B$842,Actuals!$A:$A,LEFT($D$842,FIND("|",$D$842&amp;"|")-1),Actuals!$E:$E,MID($D$842,FIND("|",$D$842&amp;"|")+1,50),Actuals!$F:$F,"GBP")*$H$5)</f>
        <v/>
      </c>
      <c r="K843" s="18">
        <f>IF(OR($B$842="",4&gt;$C$4),"",SUMIFS(Actuals!$G:$G,Actuals!$B:$B,$C$3,Actuals!$C:$C,4,Actuals!$D:$D,$B$842,Actuals!$A:$A,LEFT($D$842,FIND("|",$D$842&amp;"|")-1),Actuals!$E:$E,MID($D$842,FIND("|",$D$842&amp;"|")+1,50),Actuals!$F:$F,"JPY")*$E$5+SUMIFS(Actuals!$G:$G,Actuals!$B:$B,$C$3,Actuals!$C:$C,4,Actuals!$D:$D,$B$842,Actuals!$A:$A,LEFT($D$842,FIND("|",$D$842&amp;"|")-1),Actuals!$E:$E,MID($D$842,FIND("|",$D$842&amp;"|")+1,50),Actuals!$F:$F,"USD")*$F$5+SUMIFS(Actuals!$G:$G,Actuals!$B:$B,$C$3,Actuals!$C:$C,4,Actuals!$D:$D,$B$842,Actuals!$A:$A,LEFT($D$842,FIND("|",$D$842&amp;"|")-1),Actuals!$E:$E,MID($D$842,FIND("|",$D$842&amp;"|")+1,50),Actuals!$F:$F,"EUR")*$G$5+SUMIFS(Actuals!$G:$G,Actuals!$B:$B,$C$3,Actuals!$C:$C,4,Actuals!$D:$D,$B$842,Actuals!$A:$A,LEFT($D$842,FIND("|",$D$842&amp;"|")-1),Actuals!$E:$E,MID($D$842,FIND("|",$D$842&amp;"|")+1,50),Actuals!$F:$F,"GBP")*$H$5)</f>
        <v/>
      </c>
      <c r="L843" s="18">
        <f>IF(OR($B$842="",5&gt;$C$4),"",SUMIFS(Actuals!$G:$G,Actuals!$B:$B,$C$3,Actuals!$C:$C,5,Actuals!$D:$D,$B$842,Actuals!$A:$A,LEFT($D$842,FIND("|",$D$842&amp;"|")-1),Actuals!$E:$E,MID($D$842,FIND("|",$D$842&amp;"|")+1,50),Actuals!$F:$F,"JPY")*$E$5+SUMIFS(Actuals!$G:$G,Actuals!$B:$B,$C$3,Actuals!$C:$C,5,Actuals!$D:$D,$B$842,Actuals!$A:$A,LEFT($D$842,FIND("|",$D$842&amp;"|")-1),Actuals!$E:$E,MID($D$842,FIND("|",$D$842&amp;"|")+1,50),Actuals!$F:$F,"USD")*$F$5+SUMIFS(Actuals!$G:$G,Actuals!$B:$B,$C$3,Actuals!$C:$C,5,Actuals!$D:$D,$B$842,Actuals!$A:$A,LEFT($D$842,FIND("|",$D$842&amp;"|")-1),Actuals!$E:$E,MID($D$842,FIND("|",$D$842&amp;"|")+1,50),Actuals!$F:$F,"EUR")*$G$5+SUMIFS(Actuals!$G:$G,Actuals!$B:$B,$C$3,Actuals!$C:$C,5,Actuals!$D:$D,$B$842,Actuals!$A:$A,LEFT($D$842,FIND("|",$D$842&amp;"|")-1),Actuals!$E:$E,MID($D$842,FIND("|",$D$842&amp;"|")+1,50),Actuals!$F:$F,"GBP")*$H$5)</f>
        <v/>
      </c>
      <c r="M843" s="18">
        <f>IF(OR($B$842="",6&gt;$C$4),"",SUMIFS(Actuals!$G:$G,Actuals!$B:$B,$C$3,Actuals!$C:$C,6,Actuals!$D:$D,$B$842,Actuals!$A:$A,LEFT($D$842,FIND("|",$D$842&amp;"|")-1),Actuals!$E:$E,MID($D$842,FIND("|",$D$842&amp;"|")+1,50),Actuals!$F:$F,"JPY")*$E$5+SUMIFS(Actuals!$G:$G,Actuals!$B:$B,$C$3,Actuals!$C:$C,6,Actuals!$D:$D,$B$842,Actuals!$A:$A,LEFT($D$842,FIND("|",$D$842&amp;"|")-1),Actuals!$E:$E,MID($D$842,FIND("|",$D$842&amp;"|")+1,50),Actuals!$F:$F,"USD")*$F$5+SUMIFS(Actuals!$G:$G,Actuals!$B:$B,$C$3,Actuals!$C:$C,6,Actuals!$D:$D,$B$842,Actuals!$A:$A,LEFT($D$842,FIND("|",$D$842&amp;"|")-1),Actuals!$E:$E,MID($D$842,FIND("|",$D$842&amp;"|")+1,50),Actuals!$F:$F,"EUR")*$G$5+SUMIFS(Actuals!$G:$G,Actuals!$B:$B,$C$3,Actuals!$C:$C,6,Actuals!$D:$D,$B$842,Actuals!$A:$A,LEFT($D$842,FIND("|",$D$842&amp;"|")-1),Actuals!$E:$E,MID($D$842,FIND("|",$D$842&amp;"|")+1,50),Actuals!$F:$F,"GBP")*$H$5)</f>
        <v/>
      </c>
      <c r="N843" s="18">
        <f>IF(OR($B$842="",7&gt;$C$4),"",SUMIFS(Actuals!$G:$G,Actuals!$B:$B,$C$3,Actuals!$C:$C,7,Actuals!$D:$D,$B$842,Actuals!$A:$A,LEFT($D$842,FIND("|",$D$842&amp;"|")-1),Actuals!$E:$E,MID($D$842,FIND("|",$D$842&amp;"|")+1,50),Actuals!$F:$F,"JPY")*$E$5+SUMIFS(Actuals!$G:$G,Actuals!$B:$B,$C$3,Actuals!$C:$C,7,Actuals!$D:$D,$B$842,Actuals!$A:$A,LEFT($D$842,FIND("|",$D$842&amp;"|")-1),Actuals!$E:$E,MID($D$842,FIND("|",$D$842&amp;"|")+1,50),Actuals!$F:$F,"USD")*$F$5+SUMIFS(Actuals!$G:$G,Actuals!$B:$B,$C$3,Actuals!$C:$C,7,Actuals!$D:$D,$B$842,Actuals!$A:$A,LEFT($D$842,FIND("|",$D$842&amp;"|")-1),Actuals!$E:$E,MID($D$842,FIND("|",$D$842&amp;"|")+1,50),Actuals!$F:$F,"EUR")*$G$5+SUMIFS(Actuals!$G:$G,Actuals!$B:$B,$C$3,Actuals!$C:$C,7,Actuals!$D:$D,$B$842,Actuals!$A:$A,LEFT($D$842,FIND("|",$D$842&amp;"|")-1),Actuals!$E:$E,MID($D$842,FIND("|",$D$842&amp;"|")+1,50),Actuals!$F:$F,"GBP")*$H$5)</f>
        <v/>
      </c>
      <c r="O843" s="18">
        <f>IF(OR($B$842="",8&gt;$C$4),"",SUMIFS(Actuals!$G:$G,Actuals!$B:$B,$C$3,Actuals!$C:$C,8,Actuals!$D:$D,$B$842,Actuals!$A:$A,LEFT($D$842,FIND("|",$D$842&amp;"|")-1),Actuals!$E:$E,MID($D$842,FIND("|",$D$842&amp;"|")+1,50),Actuals!$F:$F,"JPY")*$E$5+SUMIFS(Actuals!$G:$G,Actuals!$B:$B,$C$3,Actuals!$C:$C,8,Actuals!$D:$D,$B$842,Actuals!$A:$A,LEFT($D$842,FIND("|",$D$842&amp;"|")-1),Actuals!$E:$E,MID($D$842,FIND("|",$D$842&amp;"|")+1,50),Actuals!$F:$F,"USD")*$F$5+SUMIFS(Actuals!$G:$G,Actuals!$B:$B,$C$3,Actuals!$C:$C,8,Actuals!$D:$D,$B$842,Actuals!$A:$A,LEFT($D$842,FIND("|",$D$842&amp;"|")-1),Actuals!$E:$E,MID($D$842,FIND("|",$D$842&amp;"|")+1,50),Actuals!$F:$F,"EUR")*$G$5+SUMIFS(Actuals!$G:$G,Actuals!$B:$B,$C$3,Actuals!$C:$C,8,Actuals!$D:$D,$B$842,Actuals!$A:$A,LEFT($D$842,FIND("|",$D$842&amp;"|")-1),Actuals!$E:$E,MID($D$842,FIND("|",$D$842&amp;"|")+1,50),Actuals!$F:$F,"GBP")*$H$5)</f>
        <v/>
      </c>
      <c r="P843" s="18">
        <f>IF(OR($B$842="",9&gt;$C$4),"",SUMIFS(Actuals!$G:$G,Actuals!$B:$B,$C$3,Actuals!$C:$C,9,Actuals!$D:$D,$B$842,Actuals!$A:$A,LEFT($D$842,FIND("|",$D$842&amp;"|")-1),Actuals!$E:$E,MID($D$842,FIND("|",$D$842&amp;"|")+1,50),Actuals!$F:$F,"JPY")*$E$5+SUMIFS(Actuals!$G:$G,Actuals!$B:$B,$C$3,Actuals!$C:$C,9,Actuals!$D:$D,$B$842,Actuals!$A:$A,LEFT($D$842,FIND("|",$D$842&amp;"|")-1),Actuals!$E:$E,MID($D$842,FIND("|",$D$842&amp;"|")+1,50),Actuals!$F:$F,"USD")*$F$5+SUMIFS(Actuals!$G:$G,Actuals!$B:$B,$C$3,Actuals!$C:$C,9,Actuals!$D:$D,$B$842,Actuals!$A:$A,LEFT($D$842,FIND("|",$D$842&amp;"|")-1),Actuals!$E:$E,MID($D$842,FIND("|",$D$842&amp;"|")+1,50),Actuals!$F:$F,"EUR")*$G$5+SUMIFS(Actuals!$G:$G,Actuals!$B:$B,$C$3,Actuals!$C:$C,9,Actuals!$D:$D,$B$842,Actuals!$A:$A,LEFT($D$842,FIND("|",$D$842&amp;"|")-1),Actuals!$E:$E,MID($D$842,FIND("|",$D$842&amp;"|")+1,50),Actuals!$F:$F,"GBP")*$H$5)</f>
        <v/>
      </c>
      <c r="Q843" s="18">
        <f>IF(OR($B$842="",10&gt;$C$4),"",SUMIFS(Actuals!$G:$G,Actuals!$B:$B,$C$3,Actuals!$C:$C,10,Actuals!$D:$D,$B$842,Actuals!$A:$A,LEFT($D$842,FIND("|",$D$842&amp;"|")-1),Actuals!$E:$E,MID($D$842,FIND("|",$D$842&amp;"|")+1,50),Actuals!$F:$F,"JPY")*$E$5+SUMIFS(Actuals!$G:$G,Actuals!$B:$B,$C$3,Actuals!$C:$C,10,Actuals!$D:$D,$B$842,Actuals!$A:$A,LEFT($D$842,FIND("|",$D$842&amp;"|")-1),Actuals!$E:$E,MID($D$842,FIND("|",$D$842&amp;"|")+1,50),Actuals!$F:$F,"USD")*$F$5+SUMIFS(Actuals!$G:$G,Actuals!$B:$B,$C$3,Actuals!$C:$C,10,Actuals!$D:$D,$B$842,Actuals!$A:$A,LEFT($D$842,FIND("|",$D$842&amp;"|")-1),Actuals!$E:$E,MID($D$842,FIND("|",$D$842&amp;"|")+1,50),Actuals!$F:$F,"EUR")*$G$5+SUMIFS(Actuals!$G:$G,Actuals!$B:$B,$C$3,Actuals!$C:$C,10,Actuals!$D:$D,$B$842,Actuals!$A:$A,LEFT($D$842,FIND("|",$D$842&amp;"|")-1),Actuals!$E:$E,MID($D$842,FIND("|",$D$842&amp;"|")+1,50),Actuals!$F:$F,"GBP")*$H$5)</f>
        <v/>
      </c>
      <c r="R843" s="18">
        <f>IF(OR($B$842="",11&gt;$C$4),"",SUMIFS(Actuals!$G:$G,Actuals!$B:$B,$C$3,Actuals!$C:$C,11,Actuals!$D:$D,$B$842,Actuals!$A:$A,LEFT($D$842,FIND("|",$D$842&amp;"|")-1),Actuals!$E:$E,MID($D$842,FIND("|",$D$842&amp;"|")+1,50),Actuals!$F:$F,"JPY")*$E$5+SUMIFS(Actuals!$G:$G,Actuals!$B:$B,$C$3,Actuals!$C:$C,11,Actuals!$D:$D,$B$842,Actuals!$A:$A,LEFT($D$842,FIND("|",$D$842&amp;"|")-1),Actuals!$E:$E,MID($D$842,FIND("|",$D$842&amp;"|")+1,50),Actuals!$F:$F,"USD")*$F$5+SUMIFS(Actuals!$G:$G,Actuals!$B:$B,$C$3,Actuals!$C:$C,11,Actuals!$D:$D,$B$842,Actuals!$A:$A,LEFT($D$842,FIND("|",$D$842&amp;"|")-1),Actuals!$E:$E,MID($D$842,FIND("|",$D$842&amp;"|")+1,50),Actuals!$F:$F,"EUR")*$G$5+SUMIFS(Actuals!$G:$G,Actuals!$B:$B,$C$3,Actuals!$C:$C,11,Actuals!$D:$D,$B$842,Actuals!$A:$A,LEFT($D$842,FIND("|",$D$842&amp;"|")-1),Actuals!$E:$E,MID($D$842,FIND("|",$D$842&amp;"|")+1,50),Actuals!$F:$F,"GBP")*$H$5)</f>
        <v/>
      </c>
      <c r="S843" s="18">
        <f>IF(OR($B$842="",12&gt;$C$4),"",SUMIFS(Actuals!$G:$G,Actuals!$B:$B,$C$3,Actuals!$C:$C,12,Actuals!$D:$D,$B$842,Actuals!$A:$A,LEFT($D$842,FIND("|",$D$842&amp;"|")-1),Actuals!$E:$E,MID($D$842,FIND("|",$D$842&amp;"|")+1,50),Actuals!$F:$F,"JPY")*$E$5+SUMIFS(Actuals!$G:$G,Actuals!$B:$B,$C$3,Actuals!$C:$C,12,Actuals!$D:$D,$B$842,Actuals!$A:$A,LEFT($D$842,FIND("|",$D$842&amp;"|")-1),Actuals!$E:$E,MID($D$842,FIND("|",$D$842&amp;"|")+1,50),Actuals!$F:$F,"USD")*$F$5+SUMIFS(Actuals!$G:$G,Actuals!$B:$B,$C$3,Actuals!$C:$C,12,Actuals!$D:$D,$B$842,Actuals!$A:$A,LEFT($D$842,FIND("|",$D$842&amp;"|")-1),Actuals!$E:$E,MID($D$842,FIND("|",$D$842&amp;"|")+1,50),Actuals!$F:$F,"EUR")*$G$5+SUMIFS(Actuals!$G:$G,Actuals!$B:$B,$C$3,Actuals!$C:$C,12,Actuals!$D:$D,$B$842,Actuals!$A:$A,LEFT($D$842,FIND("|",$D$842&amp;"|")-1),Actuals!$E:$E,MID($D$842,FIND("|",$D$842&amp;"|")+1,50),Actuals!$F:$F,"GBP")*$H$5)</f>
        <v/>
      </c>
      <c r="T843" s="18">
        <f>IF($B$842="","",SUMIF($H$7:$S$7,"&lt;="&amp;$C$4,$H843:$S843))</f>
        <v/>
      </c>
      <c r="U843" s="18" t="n"/>
      <c r="V843" s="18" t="n"/>
      <c r="X843" s="22">
        <f>IF($B843="","",IFERROR(INDEX(Cost_Centers!$E:$E,MATCH($B843,Cost_Centers!$A:$A,0)),"(unknown)"))</f>
        <v/>
      </c>
      <c r="Y843" s="22">
        <f>IF($B843="","",IFERROR(INDEX(Cost_Centers!$D:$D,MATCH($B843,Cost_Centers!$A:$A,0)),"(unknown)"))</f>
        <v/>
      </c>
      <c r="Z843" s="22">
        <f>IF(OR($B843="",$G843&lt;&gt;"Variance vs Budget"),"",ABS(N($V843))+ROW()/1000000000)</f>
        <v/>
      </c>
    </row>
    <row r="844">
      <c r="A844" s="13">
        <f>IF(A$842="","",A$842)</f>
        <v/>
      </c>
      <c r="B844" s="13">
        <f>IF(B$842="","",B$842)</f>
        <v/>
      </c>
      <c r="C844" s="13">
        <f>IF(C$842="","",C$842)</f>
        <v/>
      </c>
      <c r="D844" s="13">
        <f>IF(D$842="","",D$842)</f>
        <v/>
      </c>
      <c r="E844" s="13">
        <f>IF(E$842="","",E$842)</f>
        <v/>
      </c>
      <c r="F844" s="13">
        <f>IF(F$842="","",F$842)</f>
        <v/>
      </c>
      <c r="G844" s="6" t="inlineStr">
        <is>
          <t>Variance vs Budget</t>
        </is>
      </c>
      <c r="H844" s="33">
        <f>IF(OR($B$842="",1&gt;$C$4),"",N(H843)-H842)</f>
        <v/>
      </c>
      <c r="I844" s="33">
        <f>IF(OR($B$842="",2&gt;$C$4),"",N(I843)-I842)</f>
        <v/>
      </c>
      <c r="J844" s="33">
        <f>IF(OR($B$842="",3&gt;$C$4),"",N(J843)-J842)</f>
        <v/>
      </c>
      <c r="K844" s="33">
        <f>IF(OR($B$842="",4&gt;$C$4),"",N(K843)-K842)</f>
        <v/>
      </c>
      <c r="L844" s="33">
        <f>IF(OR($B$842="",5&gt;$C$4),"",N(L843)-L842)</f>
        <v/>
      </c>
      <c r="M844" s="33">
        <f>IF(OR($B$842="",6&gt;$C$4),"",N(M843)-M842)</f>
        <v/>
      </c>
      <c r="N844" s="33">
        <f>IF(OR($B$842="",7&gt;$C$4),"",N(N843)-N842)</f>
        <v/>
      </c>
      <c r="O844" s="33">
        <f>IF(OR($B$842="",8&gt;$C$4),"",N(O843)-O842)</f>
        <v/>
      </c>
      <c r="P844" s="33">
        <f>IF(OR($B$842="",9&gt;$C$4),"",N(P843)-P842)</f>
        <v/>
      </c>
      <c r="Q844" s="33">
        <f>IF(OR($B$842="",10&gt;$C$4),"",N(Q843)-Q842)</f>
        <v/>
      </c>
      <c r="R844" s="33">
        <f>IF(OR($B$842="",11&gt;$C$4),"",N(R843)-R842)</f>
        <v/>
      </c>
      <c r="S844" s="33">
        <f>IF(OR($B$842="",12&gt;$C$4),"",N(S843)-S842)</f>
        <v/>
      </c>
      <c r="T844" s="33">
        <f>IF($B$842="","",T843-T842)</f>
        <v/>
      </c>
      <c r="U844" s="33">
        <f>IF($B$842="","",U846-U842)</f>
        <v/>
      </c>
      <c r="V844" s="33">
        <f>IF($B$842="","",V846-V842)</f>
        <v/>
      </c>
      <c r="X844" s="22">
        <f>IF($B844="","",IFERROR(INDEX(Cost_Centers!$E:$E,MATCH($B844,Cost_Centers!$A:$A,0)),"(unknown)"))</f>
        <v/>
      </c>
      <c r="Y844" s="22">
        <f>IF($B844="","",IFERROR(INDEX(Cost_Centers!$D:$D,MATCH($B844,Cost_Centers!$A:$A,0)),"(unknown)"))</f>
        <v/>
      </c>
      <c r="Z844" s="22">
        <f>IF(OR($B844="",$G844&lt;&gt;"Variance vs Budget"),"",ABS(N($V844))+ROW()/1000000000)</f>
        <v/>
      </c>
    </row>
    <row r="845">
      <c r="A845" s="13">
        <f>IF(A$842="","",A$842)</f>
        <v/>
      </c>
      <c r="B845" s="13">
        <f>IF(B$842="","",B$842)</f>
        <v/>
      </c>
      <c r="C845" s="13">
        <f>IF(C$842="","",C$842)</f>
        <v/>
      </c>
      <c r="D845" s="13">
        <f>IF(D$842="","",D$842)</f>
        <v/>
      </c>
      <c r="E845" s="13">
        <f>IF(E$842="","",E$842)</f>
        <v/>
      </c>
      <c r="F845" s="13">
        <f>IF(F$842="","",F$842)</f>
        <v/>
      </c>
      <c r="G845" s="7" t="inlineStr">
        <is>
          <t>Forecast (input)</t>
        </is>
      </c>
      <c r="H845" s="34" t="n"/>
      <c r="I845" s="34" t="n"/>
      <c r="J845" s="34" t="n"/>
      <c r="K845" s="34" t="n"/>
      <c r="L845" s="34" t="n"/>
      <c r="M845" s="34" t="n"/>
      <c r="N845" s="34" t="n"/>
      <c r="O845" s="34" t="n"/>
      <c r="P845" s="34" t="n"/>
      <c r="Q845" s="34" t="n"/>
      <c r="R845" s="34" t="n"/>
      <c r="S845" s="34" t="n"/>
      <c r="T845" s="18" t="n"/>
      <c r="U845" s="18" t="n"/>
      <c r="V845" s="18" t="n"/>
      <c r="X845" s="22">
        <f>IF($B845="","",IFERROR(INDEX(Cost_Centers!$E:$E,MATCH($B845,Cost_Centers!$A:$A,0)),"(unknown)"))</f>
        <v/>
      </c>
      <c r="Y845" s="22">
        <f>IF($B845="","",IFERROR(INDEX(Cost_Centers!$D:$D,MATCH($B845,Cost_Centers!$A:$A,0)),"(unknown)"))</f>
        <v/>
      </c>
      <c r="Z845" s="22">
        <f>IF(OR($B845="",$G845&lt;&gt;"Variance vs Budget"),"",ABS(N($V845))+ROW()/1000000000)</f>
        <v/>
      </c>
    </row>
    <row r="846">
      <c r="A846" s="13">
        <f>IF(A$842="","",A$842)</f>
        <v/>
      </c>
      <c r="B846" s="13">
        <f>IF(B$842="","",B$842)</f>
        <v/>
      </c>
      <c r="C846" s="13">
        <f>IF(C$842="","",C$842)</f>
        <v/>
      </c>
      <c r="D846" s="13">
        <f>IF(D$842="","",D$842)</f>
        <v/>
      </c>
      <c r="E846" s="13">
        <f>IF(E$842="","",E$842)</f>
        <v/>
      </c>
      <c r="F846" s="13">
        <f>IF(F$842="","",F$842)</f>
        <v/>
      </c>
      <c r="G846" s="35" t="inlineStr">
        <is>
          <t>Actual + Forecast</t>
        </is>
      </c>
      <c r="H846" s="18">
        <f>IF($B$842="","",IF(1&lt;=$C$4,N(H843),IF(H845="",H842,H845)))</f>
        <v/>
      </c>
      <c r="I846" s="18">
        <f>IF($B$842="","",IF(2&lt;=$C$4,N(I843),IF(I845="",I842,I845)))</f>
        <v/>
      </c>
      <c r="J846" s="18">
        <f>IF($B$842="","",IF(3&lt;=$C$4,N(J843),IF(J845="",J842,J845)))</f>
        <v/>
      </c>
      <c r="K846" s="18">
        <f>IF($B$842="","",IF(4&lt;=$C$4,N(K843),IF(K845="",K842,K845)))</f>
        <v/>
      </c>
      <c r="L846" s="18">
        <f>IF($B$842="","",IF(5&lt;=$C$4,N(L843),IF(L845="",L842,L845)))</f>
        <v/>
      </c>
      <c r="M846" s="18">
        <f>IF($B$842="","",IF(6&lt;=$C$4,N(M843),IF(M845="",M842,M845)))</f>
        <v/>
      </c>
      <c r="N846" s="18">
        <f>IF($B$842="","",IF(7&lt;=$C$4,N(N843),IF(N845="",N842,N845)))</f>
        <v/>
      </c>
      <c r="O846" s="18">
        <f>IF($B$842="","",IF(8&lt;=$C$4,N(O843),IF(O845="",O842,O845)))</f>
        <v/>
      </c>
      <c r="P846" s="18">
        <f>IF($B$842="","",IF(9&lt;=$C$4,N(P843),IF(P845="",P842,P845)))</f>
        <v/>
      </c>
      <c r="Q846" s="18">
        <f>IF($B$842="","",IF(10&lt;=$C$4,N(Q843),IF(Q845="",Q842,Q845)))</f>
        <v/>
      </c>
      <c r="R846" s="18">
        <f>IF($B$842="","",IF(11&lt;=$C$4,N(R843),IF(R845="",R842,R845)))</f>
        <v/>
      </c>
      <c r="S846" s="18">
        <f>IF($B$842="","",IF(12&lt;=$C$4,N(S843),IF(S845="",S842,S845)))</f>
        <v/>
      </c>
      <c r="T846" s="18">
        <f>IF($B$842="","",SUMIF($H$7:$S$7,"&lt;="&amp;$C$4,$H846:$S846))</f>
        <v/>
      </c>
      <c r="U846" s="18">
        <f>IF($B$842="","",SUMIF($H$7:$S$7,"&gt;"&amp;$C$4,$H846:$S846))</f>
        <v/>
      </c>
      <c r="V846" s="18">
        <f>IF($B$842="","",SUM($H846:$S846))</f>
        <v/>
      </c>
      <c r="X846" s="22">
        <f>IF($B846="","",IFERROR(INDEX(Cost_Centers!$E:$E,MATCH($B846,Cost_Centers!$A:$A,0)),"(unknown)"))</f>
        <v/>
      </c>
      <c r="Y846" s="22">
        <f>IF($B846="","",IFERROR(INDEX(Cost_Centers!$D:$D,MATCH($B846,Cost_Centers!$A:$A,0)),"(unknown)"))</f>
        <v/>
      </c>
      <c r="Z846" s="22">
        <f>IF(OR($B846="",$G846&lt;&gt;"Variance vs Budget"),"",ABS(N($V846))+ROW()/1000000000)</f>
        <v/>
      </c>
    </row>
    <row r="847">
      <c r="A847" s="13">
        <f>IF(A$842="","",A$842)</f>
        <v/>
      </c>
      <c r="B847" s="13">
        <f>IF(B$842="","",B$842)</f>
        <v/>
      </c>
      <c r="C847" s="13">
        <f>IF(C$842="","",C$842)</f>
        <v/>
      </c>
      <c r="D847" s="13">
        <f>IF(D$842="","",D$842)</f>
        <v/>
      </c>
      <c r="E847" s="13">
        <f>IF(E$842="","",E$842)</f>
        <v/>
      </c>
      <c r="F847" s="13">
        <f>IF(F$842="","",F$842)</f>
        <v/>
      </c>
      <c r="G847" s="36" t="inlineStr">
        <is>
          <t>Prior Month Forecast</t>
        </is>
      </c>
      <c r="H847" s="37">
        <f>IF($B$842="","",IF(COUNTIFS(Prior_Forecast!$A:$A,$B$842,Prior_Forecast!$B:$B,$D$842)&gt;0,SUMIFS(Prior_Forecast!$C:$C,Prior_Forecast!$A:$A,$B$842,Prior_Forecast!$B:$B,$D$842),""))</f>
        <v/>
      </c>
      <c r="I847" s="37">
        <f>IF($B$842="","",IF(COUNTIFS(Prior_Forecast!$A:$A,$B$842,Prior_Forecast!$B:$B,$D$842)&gt;0,SUMIFS(Prior_Forecast!$D:$D,Prior_Forecast!$A:$A,$B$842,Prior_Forecast!$B:$B,$D$842),""))</f>
        <v/>
      </c>
      <c r="J847" s="37">
        <f>IF($B$842="","",IF(COUNTIFS(Prior_Forecast!$A:$A,$B$842,Prior_Forecast!$B:$B,$D$842)&gt;0,SUMIFS(Prior_Forecast!$E:$E,Prior_Forecast!$A:$A,$B$842,Prior_Forecast!$B:$B,$D$842),""))</f>
        <v/>
      </c>
      <c r="K847" s="37">
        <f>IF($B$842="","",IF(COUNTIFS(Prior_Forecast!$A:$A,$B$842,Prior_Forecast!$B:$B,$D$842)&gt;0,SUMIFS(Prior_Forecast!$F:$F,Prior_Forecast!$A:$A,$B$842,Prior_Forecast!$B:$B,$D$842),""))</f>
        <v/>
      </c>
      <c r="L847" s="37">
        <f>IF($B$842="","",IF(COUNTIFS(Prior_Forecast!$A:$A,$B$842,Prior_Forecast!$B:$B,$D$842)&gt;0,SUMIFS(Prior_Forecast!$G:$G,Prior_Forecast!$A:$A,$B$842,Prior_Forecast!$B:$B,$D$842),""))</f>
        <v/>
      </c>
      <c r="M847" s="37">
        <f>IF($B$842="","",IF(COUNTIFS(Prior_Forecast!$A:$A,$B$842,Prior_Forecast!$B:$B,$D$842)&gt;0,SUMIFS(Prior_Forecast!$H:$H,Prior_Forecast!$A:$A,$B$842,Prior_Forecast!$B:$B,$D$842),""))</f>
        <v/>
      </c>
      <c r="N847" s="37">
        <f>IF($B$842="","",IF(COUNTIFS(Prior_Forecast!$A:$A,$B$842,Prior_Forecast!$B:$B,$D$842)&gt;0,SUMIFS(Prior_Forecast!$I:$I,Prior_Forecast!$A:$A,$B$842,Prior_Forecast!$B:$B,$D$842),""))</f>
        <v/>
      </c>
      <c r="O847" s="37">
        <f>IF($B$842="","",IF(COUNTIFS(Prior_Forecast!$A:$A,$B$842,Prior_Forecast!$B:$B,$D$842)&gt;0,SUMIFS(Prior_Forecast!$J:$J,Prior_Forecast!$A:$A,$B$842,Prior_Forecast!$B:$B,$D$842),""))</f>
        <v/>
      </c>
      <c r="P847" s="37">
        <f>IF($B$842="","",IF(COUNTIFS(Prior_Forecast!$A:$A,$B$842,Prior_Forecast!$B:$B,$D$842)&gt;0,SUMIFS(Prior_Forecast!$K:$K,Prior_Forecast!$A:$A,$B$842,Prior_Forecast!$B:$B,$D$842),""))</f>
        <v/>
      </c>
      <c r="Q847" s="37">
        <f>IF($B$842="","",IF(COUNTIFS(Prior_Forecast!$A:$A,$B$842,Prior_Forecast!$B:$B,$D$842)&gt;0,SUMIFS(Prior_Forecast!$L:$L,Prior_Forecast!$A:$A,$B$842,Prior_Forecast!$B:$B,$D$842),""))</f>
        <v/>
      </c>
      <c r="R847" s="37">
        <f>IF($B$842="","",IF(COUNTIFS(Prior_Forecast!$A:$A,$B$842,Prior_Forecast!$B:$B,$D$842)&gt;0,SUMIFS(Prior_Forecast!$M:$M,Prior_Forecast!$A:$A,$B$842,Prior_Forecast!$B:$B,$D$842),""))</f>
        <v/>
      </c>
      <c r="S847" s="37">
        <f>IF($B$842="","",IF(COUNTIFS(Prior_Forecast!$A:$A,$B$842,Prior_Forecast!$B:$B,$D$842)&gt;0,SUMIFS(Prior_Forecast!$N:$N,Prior_Forecast!$A:$A,$B$842,Prior_Forecast!$B:$B,$D$842),""))</f>
        <v/>
      </c>
      <c r="T847" s="37">
        <f>IF($B$842="","",IF(COUNTIFS(Prior_Forecast!$A:$A,$B$842,Prior_Forecast!$B:$B,$D$842)&gt;0,SUMIFS(Prior_Forecast!$O:$O,Prior_Forecast!$A:$A,$B$842,Prior_Forecast!$B:$B,$D$842),""))</f>
        <v/>
      </c>
      <c r="U847" s="37">
        <f>IF($B$842="","",IF(COUNTIFS(Prior_Forecast!$A:$A,$B$842,Prior_Forecast!$B:$B,$D$842)&gt;0,SUMIFS(Prior_Forecast!$P:$P,Prior_Forecast!$A:$A,$B$842,Prior_Forecast!$B:$B,$D$842),""))</f>
        <v/>
      </c>
      <c r="V847" s="37">
        <f>IF($B$842="","",IF(COUNTIFS(Prior_Forecast!$A:$A,$B$842,Prior_Forecast!$B:$B,$D$842)&gt;0,SUMIFS(Prior_Forecast!$Q:$Q,Prior_Forecast!$A:$A,$B$842,Prior_Forecast!$B:$B,$D$842),""))</f>
        <v/>
      </c>
      <c r="X847" s="22">
        <f>IF($B847="","",IFERROR(INDEX(Cost_Centers!$E:$E,MATCH($B847,Cost_Centers!$A:$A,0)),"(unknown)"))</f>
        <v/>
      </c>
      <c r="Y847" s="22">
        <f>IF($B847="","",IFERROR(INDEX(Cost_Centers!$D:$D,MATCH($B847,Cost_Centers!$A:$A,0)),"(unknown)"))</f>
        <v/>
      </c>
      <c r="Z847" s="22">
        <f>IF(OR($B847="",$G847&lt;&gt;"Variance vs Budget"),"",ABS(N($V847))+ROW()/1000000000)</f>
        <v/>
      </c>
    </row>
    <row r="848">
      <c r="A848" s="13">
        <f>IF(A$842="","",A$842)</f>
        <v/>
      </c>
      <c r="B848" s="13">
        <f>IF(B$842="","",B$842)</f>
        <v/>
      </c>
      <c r="C848" s="13">
        <f>IF(C$842="","",C$842)</f>
        <v/>
      </c>
      <c r="D848" s="13">
        <f>IF(D$842="","",D$842)</f>
        <v/>
      </c>
      <c r="E848" s="13">
        <f>IF(E$842="","",E$842)</f>
        <v/>
      </c>
      <c r="F848" s="13">
        <f>IF(F$842="","",F$842)</f>
        <v/>
      </c>
      <c r="G848" s="6" t="inlineStr">
        <is>
          <t>Variance vs Prior Month</t>
        </is>
      </c>
      <c r="H848" s="33">
        <f>IF(OR($B$842="",H847=""),"",H846-H847)</f>
        <v/>
      </c>
      <c r="I848" s="33">
        <f>IF(OR($B$842="",I847=""),"",I846-I847)</f>
        <v/>
      </c>
      <c r="J848" s="33">
        <f>IF(OR($B$842="",J847=""),"",J846-J847)</f>
        <v/>
      </c>
      <c r="K848" s="33">
        <f>IF(OR($B$842="",K847=""),"",K846-K847)</f>
        <v/>
      </c>
      <c r="L848" s="33">
        <f>IF(OR($B$842="",L847=""),"",L846-L847)</f>
        <v/>
      </c>
      <c r="M848" s="33">
        <f>IF(OR($B$842="",M847=""),"",M846-M847)</f>
        <v/>
      </c>
      <c r="N848" s="33">
        <f>IF(OR($B$842="",N847=""),"",N846-N847)</f>
        <v/>
      </c>
      <c r="O848" s="33">
        <f>IF(OR($B$842="",O847=""),"",O846-O847)</f>
        <v/>
      </c>
      <c r="P848" s="33">
        <f>IF(OR($B$842="",P847=""),"",P846-P847)</f>
        <v/>
      </c>
      <c r="Q848" s="33">
        <f>IF(OR($B$842="",Q847=""),"",Q846-Q847)</f>
        <v/>
      </c>
      <c r="R848" s="33">
        <f>IF(OR($B$842="",R847=""),"",R846-R847)</f>
        <v/>
      </c>
      <c r="S848" s="33">
        <f>IF(OR($B$842="",S847=""),"",S846-S847)</f>
        <v/>
      </c>
      <c r="T848" s="33">
        <f>IF(OR($B$842="",T847=""),"",T846-T847)</f>
        <v/>
      </c>
      <c r="U848" s="33">
        <f>IF(OR($B$842="",U847=""),"",U846-U847)</f>
        <v/>
      </c>
      <c r="V848" s="33">
        <f>IF(OR($B$842="",V847=""),"",V846-V847)</f>
        <v/>
      </c>
      <c r="X848" s="22">
        <f>IF($B848="","",IFERROR(INDEX(Cost_Centers!$E:$E,MATCH($B848,Cost_Centers!$A:$A,0)),"(unknown)"))</f>
        <v/>
      </c>
      <c r="Y848" s="22">
        <f>IF($B848="","",IFERROR(INDEX(Cost_Centers!$D:$D,MATCH($B848,Cost_Centers!$A:$A,0)),"(unknown)"))</f>
        <v/>
      </c>
      <c r="Z848" s="22">
        <f>IF(OR($B848="",$G848&lt;&gt;"Variance vs Budget"),"",ABS(N($V848))+ROW()/1000000000)</f>
        <v/>
      </c>
    </row>
    <row r="849" ht="45" customHeight="1">
      <c r="A849" s="13">
        <f>IF(A$842="","",A$842)</f>
        <v/>
      </c>
      <c r="B849" s="13">
        <f>IF(B$842="","",B$842)</f>
        <v/>
      </c>
      <c r="C849" s="13">
        <f>IF(C$842="","",C$842)</f>
        <v/>
      </c>
      <c r="D849" s="13">
        <f>IF(D$842="","",D$842)</f>
        <v/>
      </c>
      <c r="E849" s="13">
        <f>IF(E$842="","",E$842)</f>
        <v/>
      </c>
      <c r="F849" s="13">
        <f>IF(F$842="","",F$842)</f>
        <v/>
      </c>
      <c r="G849" s="7" t="inlineStr">
        <is>
          <t>Rationale</t>
        </is>
      </c>
      <c r="H849" s="38" t="n"/>
      <c r="I849" s="38" t="n"/>
      <c r="J849" s="38" t="n"/>
      <c r="K849" s="38" t="n"/>
      <c r="L849" s="38" t="n"/>
      <c r="M849" s="38" t="n"/>
      <c r="N849" s="38" t="n"/>
      <c r="O849" s="38" t="n"/>
      <c r="P849" s="38" t="n"/>
      <c r="Q849" s="38" t="n"/>
      <c r="R849" s="38" t="n"/>
      <c r="S849" s="38" t="n"/>
      <c r="T849" s="38" t="n"/>
      <c r="U849" s="38" t="n"/>
      <c r="V849" s="7" t="n"/>
      <c r="X849" s="22">
        <f>IF($B849="","",IFERROR(INDEX(Cost_Centers!$E:$E,MATCH($B849,Cost_Centers!$A:$A,0)),"(unknown)"))</f>
        <v/>
      </c>
      <c r="Y849" s="22">
        <f>IF($B849="","",IFERROR(INDEX(Cost_Centers!$D:$D,MATCH($B849,Cost_Centers!$A:$A,0)),"(unknown)"))</f>
        <v/>
      </c>
      <c r="Z849" s="22">
        <f>IF(OR($B849="",$G849&lt;&gt;"Variance vs Budget"),"",ABS(N($V849))+ROW()/1000000000)</f>
        <v/>
      </c>
    </row>
    <row r="850">
      <c r="A850" s="30">
        <f>IF($D$850="","",LEFT($D$850,FIND("|",$D$850&amp;"|")-1))</f>
        <v/>
      </c>
      <c r="B850" s="31" t="n"/>
      <c r="C850" s="30">
        <f>IF($B$850="","",IFERROR(INDEX(Cost_Centers!$B:$B,MATCH($B$850,Cost_Centers!$A:$A,0)),"(not in master)"))</f>
        <v/>
      </c>
      <c r="D850" s="31" t="n"/>
      <c r="E850" s="30">
        <f>IF($D$850="","",IFERROR(INDEX(Accounts!$D:$D,MATCH($D$850,Accounts!$A:$A,0)),"(not in master)"))</f>
        <v/>
      </c>
      <c r="F850" s="31" t="n"/>
      <c r="G850" s="30" t="inlineStr">
        <is>
          <t>Budget</t>
        </is>
      </c>
      <c r="H850" s="32">
        <f>IF($B$850="","",SUMIFS(Opex_Budget!$O:$O,Opex_Budget!$A:$A,$C$3,Opex_Budget!$E:$E,$B$850,Opex_Budget!$F:$F,$D$850,Opex_Budget!$N:$N,"JPY")*$E$5+SUMIFS(Opex_Budget!$O:$O,Opex_Budget!$A:$A,$C$3,Opex_Budget!$E:$E,$B$850,Opex_Budget!$F:$F,$D$850,Opex_Budget!$N:$N,"USD")*$F$5+SUMIFS(Opex_Budget!$O:$O,Opex_Budget!$A:$A,$C$3,Opex_Budget!$E:$E,$B$850,Opex_Budget!$F:$F,$D$850,Opex_Budget!$N:$N,"EUR")*$G$5+SUMIFS(Opex_Budget!$O:$O,Opex_Budget!$A:$A,$C$3,Opex_Budget!$E:$E,$B$850,Opex_Budget!$F:$F,$D$850,Opex_Budget!$N:$N,"GBP")*$H$5)</f>
        <v/>
      </c>
      <c r="I850" s="32">
        <f>IF($B$850="","",SUMIFS(Opex_Budget!$P:$P,Opex_Budget!$A:$A,$C$3,Opex_Budget!$E:$E,$B$850,Opex_Budget!$F:$F,$D$850,Opex_Budget!$N:$N,"JPY")*$E$5+SUMIFS(Opex_Budget!$P:$P,Opex_Budget!$A:$A,$C$3,Opex_Budget!$E:$E,$B$850,Opex_Budget!$F:$F,$D$850,Opex_Budget!$N:$N,"USD")*$F$5+SUMIFS(Opex_Budget!$P:$P,Opex_Budget!$A:$A,$C$3,Opex_Budget!$E:$E,$B$850,Opex_Budget!$F:$F,$D$850,Opex_Budget!$N:$N,"EUR")*$G$5+SUMIFS(Opex_Budget!$P:$P,Opex_Budget!$A:$A,$C$3,Opex_Budget!$E:$E,$B$850,Opex_Budget!$F:$F,$D$850,Opex_Budget!$N:$N,"GBP")*$H$5)</f>
        <v/>
      </c>
      <c r="J850" s="32">
        <f>IF($B$850="","",SUMIFS(Opex_Budget!$Q:$Q,Opex_Budget!$A:$A,$C$3,Opex_Budget!$E:$E,$B$850,Opex_Budget!$F:$F,$D$850,Opex_Budget!$N:$N,"JPY")*$E$5+SUMIFS(Opex_Budget!$Q:$Q,Opex_Budget!$A:$A,$C$3,Opex_Budget!$E:$E,$B$850,Opex_Budget!$F:$F,$D$850,Opex_Budget!$N:$N,"USD")*$F$5+SUMIFS(Opex_Budget!$Q:$Q,Opex_Budget!$A:$A,$C$3,Opex_Budget!$E:$E,$B$850,Opex_Budget!$F:$F,$D$850,Opex_Budget!$N:$N,"EUR")*$G$5+SUMIFS(Opex_Budget!$Q:$Q,Opex_Budget!$A:$A,$C$3,Opex_Budget!$E:$E,$B$850,Opex_Budget!$F:$F,$D$850,Opex_Budget!$N:$N,"GBP")*$H$5)</f>
        <v/>
      </c>
      <c r="K850" s="32">
        <f>IF($B$850="","",SUMIFS(Opex_Budget!$R:$R,Opex_Budget!$A:$A,$C$3,Opex_Budget!$E:$E,$B$850,Opex_Budget!$F:$F,$D$850,Opex_Budget!$N:$N,"JPY")*$E$5+SUMIFS(Opex_Budget!$R:$R,Opex_Budget!$A:$A,$C$3,Opex_Budget!$E:$E,$B$850,Opex_Budget!$F:$F,$D$850,Opex_Budget!$N:$N,"USD")*$F$5+SUMIFS(Opex_Budget!$R:$R,Opex_Budget!$A:$A,$C$3,Opex_Budget!$E:$E,$B$850,Opex_Budget!$F:$F,$D$850,Opex_Budget!$N:$N,"EUR")*$G$5+SUMIFS(Opex_Budget!$R:$R,Opex_Budget!$A:$A,$C$3,Opex_Budget!$E:$E,$B$850,Opex_Budget!$F:$F,$D$850,Opex_Budget!$N:$N,"GBP")*$H$5)</f>
        <v/>
      </c>
      <c r="L850" s="32">
        <f>IF($B$850="","",SUMIFS(Opex_Budget!$S:$S,Opex_Budget!$A:$A,$C$3,Opex_Budget!$E:$E,$B$850,Opex_Budget!$F:$F,$D$850,Opex_Budget!$N:$N,"JPY")*$E$5+SUMIFS(Opex_Budget!$S:$S,Opex_Budget!$A:$A,$C$3,Opex_Budget!$E:$E,$B$850,Opex_Budget!$F:$F,$D$850,Opex_Budget!$N:$N,"USD")*$F$5+SUMIFS(Opex_Budget!$S:$S,Opex_Budget!$A:$A,$C$3,Opex_Budget!$E:$E,$B$850,Opex_Budget!$F:$F,$D$850,Opex_Budget!$N:$N,"EUR")*$G$5+SUMIFS(Opex_Budget!$S:$S,Opex_Budget!$A:$A,$C$3,Opex_Budget!$E:$E,$B$850,Opex_Budget!$F:$F,$D$850,Opex_Budget!$N:$N,"GBP")*$H$5)</f>
        <v/>
      </c>
      <c r="M850" s="32">
        <f>IF($B$850="","",SUMIFS(Opex_Budget!$T:$T,Opex_Budget!$A:$A,$C$3,Opex_Budget!$E:$E,$B$850,Opex_Budget!$F:$F,$D$850,Opex_Budget!$N:$N,"JPY")*$E$5+SUMIFS(Opex_Budget!$T:$T,Opex_Budget!$A:$A,$C$3,Opex_Budget!$E:$E,$B$850,Opex_Budget!$F:$F,$D$850,Opex_Budget!$N:$N,"USD")*$F$5+SUMIFS(Opex_Budget!$T:$T,Opex_Budget!$A:$A,$C$3,Opex_Budget!$E:$E,$B$850,Opex_Budget!$F:$F,$D$850,Opex_Budget!$N:$N,"EUR")*$G$5+SUMIFS(Opex_Budget!$T:$T,Opex_Budget!$A:$A,$C$3,Opex_Budget!$E:$E,$B$850,Opex_Budget!$F:$F,$D$850,Opex_Budget!$N:$N,"GBP")*$H$5)</f>
        <v/>
      </c>
      <c r="N850" s="32">
        <f>IF($B$850="","",SUMIFS(Opex_Budget!$U:$U,Opex_Budget!$A:$A,$C$3,Opex_Budget!$E:$E,$B$850,Opex_Budget!$F:$F,$D$850,Opex_Budget!$N:$N,"JPY")*$E$5+SUMIFS(Opex_Budget!$U:$U,Opex_Budget!$A:$A,$C$3,Opex_Budget!$E:$E,$B$850,Opex_Budget!$F:$F,$D$850,Opex_Budget!$N:$N,"USD")*$F$5+SUMIFS(Opex_Budget!$U:$U,Opex_Budget!$A:$A,$C$3,Opex_Budget!$E:$E,$B$850,Opex_Budget!$F:$F,$D$850,Opex_Budget!$N:$N,"EUR")*$G$5+SUMIFS(Opex_Budget!$U:$U,Opex_Budget!$A:$A,$C$3,Opex_Budget!$E:$E,$B$850,Opex_Budget!$F:$F,$D$850,Opex_Budget!$N:$N,"GBP")*$H$5)</f>
        <v/>
      </c>
      <c r="O850" s="32">
        <f>IF($B$850="","",SUMIFS(Opex_Budget!$V:$V,Opex_Budget!$A:$A,$C$3,Opex_Budget!$E:$E,$B$850,Opex_Budget!$F:$F,$D$850,Opex_Budget!$N:$N,"JPY")*$E$5+SUMIFS(Opex_Budget!$V:$V,Opex_Budget!$A:$A,$C$3,Opex_Budget!$E:$E,$B$850,Opex_Budget!$F:$F,$D$850,Opex_Budget!$N:$N,"USD")*$F$5+SUMIFS(Opex_Budget!$V:$V,Opex_Budget!$A:$A,$C$3,Opex_Budget!$E:$E,$B$850,Opex_Budget!$F:$F,$D$850,Opex_Budget!$N:$N,"EUR")*$G$5+SUMIFS(Opex_Budget!$V:$V,Opex_Budget!$A:$A,$C$3,Opex_Budget!$E:$E,$B$850,Opex_Budget!$F:$F,$D$850,Opex_Budget!$N:$N,"GBP")*$H$5)</f>
        <v/>
      </c>
      <c r="P850" s="32">
        <f>IF($B$850="","",SUMIFS(Opex_Budget!$W:$W,Opex_Budget!$A:$A,$C$3,Opex_Budget!$E:$E,$B$850,Opex_Budget!$F:$F,$D$850,Opex_Budget!$N:$N,"JPY")*$E$5+SUMIFS(Opex_Budget!$W:$W,Opex_Budget!$A:$A,$C$3,Opex_Budget!$E:$E,$B$850,Opex_Budget!$F:$F,$D$850,Opex_Budget!$N:$N,"USD")*$F$5+SUMIFS(Opex_Budget!$W:$W,Opex_Budget!$A:$A,$C$3,Opex_Budget!$E:$E,$B$850,Opex_Budget!$F:$F,$D$850,Opex_Budget!$N:$N,"EUR")*$G$5+SUMIFS(Opex_Budget!$W:$W,Opex_Budget!$A:$A,$C$3,Opex_Budget!$E:$E,$B$850,Opex_Budget!$F:$F,$D$850,Opex_Budget!$N:$N,"GBP")*$H$5)</f>
        <v/>
      </c>
      <c r="Q850" s="32">
        <f>IF($B$850="","",SUMIFS(Opex_Budget!$X:$X,Opex_Budget!$A:$A,$C$3,Opex_Budget!$E:$E,$B$850,Opex_Budget!$F:$F,$D$850,Opex_Budget!$N:$N,"JPY")*$E$5+SUMIFS(Opex_Budget!$X:$X,Opex_Budget!$A:$A,$C$3,Opex_Budget!$E:$E,$B$850,Opex_Budget!$F:$F,$D$850,Opex_Budget!$N:$N,"USD")*$F$5+SUMIFS(Opex_Budget!$X:$X,Opex_Budget!$A:$A,$C$3,Opex_Budget!$E:$E,$B$850,Opex_Budget!$F:$F,$D$850,Opex_Budget!$N:$N,"EUR")*$G$5+SUMIFS(Opex_Budget!$X:$X,Opex_Budget!$A:$A,$C$3,Opex_Budget!$E:$E,$B$850,Opex_Budget!$F:$F,$D$850,Opex_Budget!$N:$N,"GBP")*$H$5)</f>
        <v/>
      </c>
      <c r="R850" s="32">
        <f>IF($B$850="","",SUMIFS(Opex_Budget!$Y:$Y,Opex_Budget!$A:$A,$C$3,Opex_Budget!$E:$E,$B$850,Opex_Budget!$F:$F,$D$850,Opex_Budget!$N:$N,"JPY")*$E$5+SUMIFS(Opex_Budget!$Y:$Y,Opex_Budget!$A:$A,$C$3,Opex_Budget!$E:$E,$B$850,Opex_Budget!$F:$F,$D$850,Opex_Budget!$N:$N,"USD")*$F$5+SUMIFS(Opex_Budget!$Y:$Y,Opex_Budget!$A:$A,$C$3,Opex_Budget!$E:$E,$B$850,Opex_Budget!$F:$F,$D$850,Opex_Budget!$N:$N,"EUR")*$G$5+SUMIFS(Opex_Budget!$Y:$Y,Opex_Budget!$A:$A,$C$3,Opex_Budget!$E:$E,$B$850,Opex_Budget!$F:$F,$D$850,Opex_Budget!$N:$N,"GBP")*$H$5)</f>
        <v/>
      </c>
      <c r="S850" s="32">
        <f>IF($B$850="","",SUMIFS(Opex_Budget!$Z:$Z,Opex_Budget!$A:$A,$C$3,Opex_Budget!$E:$E,$B$850,Opex_Budget!$F:$F,$D$850,Opex_Budget!$N:$N,"JPY")*$E$5+SUMIFS(Opex_Budget!$Z:$Z,Opex_Budget!$A:$A,$C$3,Opex_Budget!$E:$E,$B$850,Opex_Budget!$F:$F,$D$850,Opex_Budget!$N:$N,"USD")*$F$5+SUMIFS(Opex_Budget!$Z:$Z,Opex_Budget!$A:$A,$C$3,Opex_Budget!$E:$E,$B$850,Opex_Budget!$F:$F,$D$850,Opex_Budget!$N:$N,"EUR")*$G$5+SUMIFS(Opex_Budget!$Z:$Z,Opex_Budget!$A:$A,$C$3,Opex_Budget!$E:$E,$B$850,Opex_Budget!$F:$F,$D$850,Opex_Budget!$N:$N,"GBP")*$H$5)</f>
        <v/>
      </c>
      <c r="T850" s="32">
        <f>IF($B$850="","",SUMIF($H$7:$S$7,"&lt;="&amp;$C$4,$H850:$S850))</f>
        <v/>
      </c>
      <c r="U850" s="32">
        <f>IF($B$850="","",SUMIF($H$7:$S$7,"&gt;"&amp;$C$4,$H850:$S850))</f>
        <v/>
      </c>
      <c r="V850" s="32">
        <f>IF($B$850="","",SUM($H850:$S850))</f>
        <v/>
      </c>
      <c r="X850" s="22">
        <f>IF($B850="","",IFERROR(INDEX(Cost_Centers!$E:$E,MATCH($B850,Cost_Centers!$A:$A,0)),"(unknown)"))</f>
        <v/>
      </c>
      <c r="Y850" s="22">
        <f>IF($B850="","",IFERROR(INDEX(Cost_Centers!$D:$D,MATCH($B850,Cost_Centers!$A:$A,0)),"(unknown)"))</f>
        <v/>
      </c>
      <c r="Z850" s="22">
        <f>IF(OR($B850="",$G850&lt;&gt;"Variance vs Budget"),"",ABS(N($V850))+ROW()/1000000000)</f>
        <v/>
      </c>
    </row>
    <row r="851">
      <c r="A851" s="13">
        <f>IF(A$850="","",A$850)</f>
        <v/>
      </c>
      <c r="B851" s="13">
        <f>IF(B$850="","",B$850)</f>
        <v/>
      </c>
      <c r="C851" s="13">
        <f>IF(C$850="","",C$850)</f>
        <v/>
      </c>
      <c r="D851" s="13">
        <f>IF(D$850="","",D$850)</f>
        <v/>
      </c>
      <c r="E851" s="13">
        <f>IF(E$850="","",E$850)</f>
        <v/>
      </c>
      <c r="F851" s="13">
        <f>IF(F$850="","",F$850)</f>
        <v/>
      </c>
      <c r="G851" s="7" t="inlineStr">
        <is>
          <t>Actual</t>
        </is>
      </c>
      <c r="H851" s="18">
        <f>IF(OR($B$850="",1&gt;$C$4),"",SUMIFS(Actuals!$G:$G,Actuals!$B:$B,$C$3,Actuals!$C:$C,1,Actuals!$D:$D,$B$850,Actuals!$A:$A,LEFT($D$850,FIND("|",$D$850&amp;"|")-1),Actuals!$E:$E,MID($D$850,FIND("|",$D$850&amp;"|")+1,50),Actuals!$F:$F,"JPY")*$E$5+SUMIFS(Actuals!$G:$G,Actuals!$B:$B,$C$3,Actuals!$C:$C,1,Actuals!$D:$D,$B$850,Actuals!$A:$A,LEFT($D$850,FIND("|",$D$850&amp;"|")-1),Actuals!$E:$E,MID($D$850,FIND("|",$D$850&amp;"|")+1,50),Actuals!$F:$F,"USD")*$F$5+SUMIFS(Actuals!$G:$G,Actuals!$B:$B,$C$3,Actuals!$C:$C,1,Actuals!$D:$D,$B$850,Actuals!$A:$A,LEFT($D$850,FIND("|",$D$850&amp;"|")-1),Actuals!$E:$E,MID($D$850,FIND("|",$D$850&amp;"|")+1,50),Actuals!$F:$F,"EUR")*$G$5+SUMIFS(Actuals!$G:$G,Actuals!$B:$B,$C$3,Actuals!$C:$C,1,Actuals!$D:$D,$B$850,Actuals!$A:$A,LEFT($D$850,FIND("|",$D$850&amp;"|")-1),Actuals!$E:$E,MID($D$850,FIND("|",$D$850&amp;"|")+1,50),Actuals!$F:$F,"GBP")*$H$5)</f>
        <v/>
      </c>
      <c r="I851" s="18">
        <f>IF(OR($B$850="",2&gt;$C$4),"",SUMIFS(Actuals!$G:$G,Actuals!$B:$B,$C$3,Actuals!$C:$C,2,Actuals!$D:$D,$B$850,Actuals!$A:$A,LEFT($D$850,FIND("|",$D$850&amp;"|")-1),Actuals!$E:$E,MID($D$850,FIND("|",$D$850&amp;"|")+1,50),Actuals!$F:$F,"JPY")*$E$5+SUMIFS(Actuals!$G:$G,Actuals!$B:$B,$C$3,Actuals!$C:$C,2,Actuals!$D:$D,$B$850,Actuals!$A:$A,LEFT($D$850,FIND("|",$D$850&amp;"|")-1),Actuals!$E:$E,MID($D$850,FIND("|",$D$850&amp;"|")+1,50),Actuals!$F:$F,"USD")*$F$5+SUMIFS(Actuals!$G:$G,Actuals!$B:$B,$C$3,Actuals!$C:$C,2,Actuals!$D:$D,$B$850,Actuals!$A:$A,LEFT($D$850,FIND("|",$D$850&amp;"|")-1),Actuals!$E:$E,MID($D$850,FIND("|",$D$850&amp;"|")+1,50),Actuals!$F:$F,"EUR")*$G$5+SUMIFS(Actuals!$G:$G,Actuals!$B:$B,$C$3,Actuals!$C:$C,2,Actuals!$D:$D,$B$850,Actuals!$A:$A,LEFT($D$850,FIND("|",$D$850&amp;"|")-1),Actuals!$E:$E,MID($D$850,FIND("|",$D$850&amp;"|")+1,50),Actuals!$F:$F,"GBP")*$H$5)</f>
        <v/>
      </c>
      <c r="J851" s="18">
        <f>IF(OR($B$850="",3&gt;$C$4),"",SUMIFS(Actuals!$G:$G,Actuals!$B:$B,$C$3,Actuals!$C:$C,3,Actuals!$D:$D,$B$850,Actuals!$A:$A,LEFT($D$850,FIND("|",$D$850&amp;"|")-1),Actuals!$E:$E,MID($D$850,FIND("|",$D$850&amp;"|")+1,50),Actuals!$F:$F,"JPY")*$E$5+SUMIFS(Actuals!$G:$G,Actuals!$B:$B,$C$3,Actuals!$C:$C,3,Actuals!$D:$D,$B$850,Actuals!$A:$A,LEFT($D$850,FIND("|",$D$850&amp;"|")-1),Actuals!$E:$E,MID($D$850,FIND("|",$D$850&amp;"|")+1,50),Actuals!$F:$F,"USD")*$F$5+SUMIFS(Actuals!$G:$G,Actuals!$B:$B,$C$3,Actuals!$C:$C,3,Actuals!$D:$D,$B$850,Actuals!$A:$A,LEFT($D$850,FIND("|",$D$850&amp;"|")-1),Actuals!$E:$E,MID($D$850,FIND("|",$D$850&amp;"|")+1,50),Actuals!$F:$F,"EUR")*$G$5+SUMIFS(Actuals!$G:$G,Actuals!$B:$B,$C$3,Actuals!$C:$C,3,Actuals!$D:$D,$B$850,Actuals!$A:$A,LEFT($D$850,FIND("|",$D$850&amp;"|")-1),Actuals!$E:$E,MID($D$850,FIND("|",$D$850&amp;"|")+1,50),Actuals!$F:$F,"GBP")*$H$5)</f>
        <v/>
      </c>
      <c r="K851" s="18">
        <f>IF(OR($B$850="",4&gt;$C$4),"",SUMIFS(Actuals!$G:$G,Actuals!$B:$B,$C$3,Actuals!$C:$C,4,Actuals!$D:$D,$B$850,Actuals!$A:$A,LEFT($D$850,FIND("|",$D$850&amp;"|")-1),Actuals!$E:$E,MID($D$850,FIND("|",$D$850&amp;"|")+1,50),Actuals!$F:$F,"JPY")*$E$5+SUMIFS(Actuals!$G:$G,Actuals!$B:$B,$C$3,Actuals!$C:$C,4,Actuals!$D:$D,$B$850,Actuals!$A:$A,LEFT($D$850,FIND("|",$D$850&amp;"|")-1),Actuals!$E:$E,MID($D$850,FIND("|",$D$850&amp;"|")+1,50),Actuals!$F:$F,"USD")*$F$5+SUMIFS(Actuals!$G:$G,Actuals!$B:$B,$C$3,Actuals!$C:$C,4,Actuals!$D:$D,$B$850,Actuals!$A:$A,LEFT($D$850,FIND("|",$D$850&amp;"|")-1),Actuals!$E:$E,MID($D$850,FIND("|",$D$850&amp;"|")+1,50),Actuals!$F:$F,"EUR")*$G$5+SUMIFS(Actuals!$G:$G,Actuals!$B:$B,$C$3,Actuals!$C:$C,4,Actuals!$D:$D,$B$850,Actuals!$A:$A,LEFT($D$850,FIND("|",$D$850&amp;"|")-1),Actuals!$E:$E,MID($D$850,FIND("|",$D$850&amp;"|")+1,50),Actuals!$F:$F,"GBP")*$H$5)</f>
        <v/>
      </c>
      <c r="L851" s="18">
        <f>IF(OR($B$850="",5&gt;$C$4),"",SUMIFS(Actuals!$G:$G,Actuals!$B:$B,$C$3,Actuals!$C:$C,5,Actuals!$D:$D,$B$850,Actuals!$A:$A,LEFT($D$850,FIND("|",$D$850&amp;"|")-1),Actuals!$E:$E,MID($D$850,FIND("|",$D$850&amp;"|")+1,50),Actuals!$F:$F,"JPY")*$E$5+SUMIFS(Actuals!$G:$G,Actuals!$B:$B,$C$3,Actuals!$C:$C,5,Actuals!$D:$D,$B$850,Actuals!$A:$A,LEFT($D$850,FIND("|",$D$850&amp;"|")-1),Actuals!$E:$E,MID($D$850,FIND("|",$D$850&amp;"|")+1,50),Actuals!$F:$F,"USD")*$F$5+SUMIFS(Actuals!$G:$G,Actuals!$B:$B,$C$3,Actuals!$C:$C,5,Actuals!$D:$D,$B$850,Actuals!$A:$A,LEFT($D$850,FIND("|",$D$850&amp;"|")-1),Actuals!$E:$E,MID($D$850,FIND("|",$D$850&amp;"|")+1,50),Actuals!$F:$F,"EUR")*$G$5+SUMIFS(Actuals!$G:$G,Actuals!$B:$B,$C$3,Actuals!$C:$C,5,Actuals!$D:$D,$B$850,Actuals!$A:$A,LEFT($D$850,FIND("|",$D$850&amp;"|")-1),Actuals!$E:$E,MID($D$850,FIND("|",$D$850&amp;"|")+1,50),Actuals!$F:$F,"GBP")*$H$5)</f>
        <v/>
      </c>
      <c r="M851" s="18">
        <f>IF(OR($B$850="",6&gt;$C$4),"",SUMIFS(Actuals!$G:$G,Actuals!$B:$B,$C$3,Actuals!$C:$C,6,Actuals!$D:$D,$B$850,Actuals!$A:$A,LEFT($D$850,FIND("|",$D$850&amp;"|")-1),Actuals!$E:$E,MID($D$850,FIND("|",$D$850&amp;"|")+1,50),Actuals!$F:$F,"JPY")*$E$5+SUMIFS(Actuals!$G:$G,Actuals!$B:$B,$C$3,Actuals!$C:$C,6,Actuals!$D:$D,$B$850,Actuals!$A:$A,LEFT($D$850,FIND("|",$D$850&amp;"|")-1),Actuals!$E:$E,MID($D$850,FIND("|",$D$850&amp;"|")+1,50),Actuals!$F:$F,"USD")*$F$5+SUMIFS(Actuals!$G:$G,Actuals!$B:$B,$C$3,Actuals!$C:$C,6,Actuals!$D:$D,$B$850,Actuals!$A:$A,LEFT($D$850,FIND("|",$D$850&amp;"|")-1),Actuals!$E:$E,MID($D$850,FIND("|",$D$850&amp;"|")+1,50),Actuals!$F:$F,"EUR")*$G$5+SUMIFS(Actuals!$G:$G,Actuals!$B:$B,$C$3,Actuals!$C:$C,6,Actuals!$D:$D,$B$850,Actuals!$A:$A,LEFT($D$850,FIND("|",$D$850&amp;"|")-1),Actuals!$E:$E,MID($D$850,FIND("|",$D$850&amp;"|")+1,50),Actuals!$F:$F,"GBP")*$H$5)</f>
        <v/>
      </c>
      <c r="N851" s="18">
        <f>IF(OR($B$850="",7&gt;$C$4),"",SUMIFS(Actuals!$G:$G,Actuals!$B:$B,$C$3,Actuals!$C:$C,7,Actuals!$D:$D,$B$850,Actuals!$A:$A,LEFT($D$850,FIND("|",$D$850&amp;"|")-1),Actuals!$E:$E,MID($D$850,FIND("|",$D$850&amp;"|")+1,50),Actuals!$F:$F,"JPY")*$E$5+SUMIFS(Actuals!$G:$G,Actuals!$B:$B,$C$3,Actuals!$C:$C,7,Actuals!$D:$D,$B$850,Actuals!$A:$A,LEFT($D$850,FIND("|",$D$850&amp;"|")-1),Actuals!$E:$E,MID($D$850,FIND("|",$D$850&amp;"|")+1,50),Actuals!$F:$F,"USD")*$F$5+SUMIFS(Actuals!$G:$G,Actuals!$B:$B,$C$3,Actuals!$C:$C,7,Actuals!$D:$D,$B$850,Actuals!$A:$A,LEFT($D$850,FIND("|",$D$850&amp;"|")-1),Actuals!$E:$E,MID($D$850,FIND("|",$D$850&amp;"|")+1,50),Actuals!$F:$F,"EUR")*$G$5+SUMIFS(Actuals!$G:$G,Actuals!$B:$B,$C$3,Actuals!$C:$C,7,Actuals!$D:$D,$B$850,Actuals!$A:$A,LEFT($D$850,FIND("|",$D$850&amp;"|")-1),Actuals!$E:$E,MID($D$850,FIND("|",$D$850&amp;"|")+1,50),Actuals!$F:$F,"GBP")*$H$5)</f>
        <v/>
      </c>
      <c r="O851" s="18">
        <f>IF(OR($B$850="",8&gt;$C$4),"",SUMIFS(Actuals!$G:$G,Actuals!$B:$B,$C$3,Actuals!$C:$C,8,Actuals!$D:$D,$B$850,Actuals!$A:$A,LEFT($D$850,FIND("|",$D$850&amp;"|")-1),Actuals!$E:$E,MID($D$850,FIND("|",$D$850&amp;"|")+1,50),Actuals!$F:$F,"JPY")*$E$5+SUMIFS(Actuals!$G:$G,Actuals!$B:$B,$C$3,Actuals!$C:$C,8,Actuals!$D:$D,$B$850,Actuals!$A:$A,LEFT($D$850,FIND("|",$D$850&amp;"|")-1),Actuals!$E:$E,MID($D$850,FIND("|",$D$850&amp;"|")+1,50),Actuals!$F:$F,"USD")*$F$5+SUMIFS(Actuals!$G:$G,Actuals!$B:$B,$C$3,Actuals!$C:$C,8,Actuals!$D:$D,$B$850,Actuals!$A:$A,LEFT($D$850,FIND("|",$D$850&amp;"|")-1),Actuals!$E:$E,MID($D$850,FIND("|",$D$850&amp;"|")+1,50),Actuals!$F:$F,"EUR")*$G$5+SUMIFS(Actuals!$G:$G,Actuals!$B:$B,$C$3,Actuals!$C:$C,8,Actuals!$D:$D,$B$850,Actuals!$A:$A,LEFT($D$850,FIND("|",$D$850&amp;"|")-1),Actuals!$E:$E,MID($D$850,FIND("|",$D$850&amp;"|")+1,50),Actuals!$F:$F,"GBP")*$H$5)</f>
        <v/>
      </c>
      <c r="P851" s="18">
        <f>IF(OR($B$850="",9&gt;$C$4),"",SUMIFS(Actuals!$G:$G,Actuals!$B:$B,$C$3,Actuals!$C:$C,9,Actuals!$D:$D,$B$850,Actuals!$A:$A,LEFT($D$850,FIND("|",$D$850&amp;"|")-1),Actuals!$E:$E,MID($D$850,FIND("|",$D$850&amp;"|")+1,50),Actuals!$F:$F,"JPY")*$E$5+SUMIFS(Actuals!$G:$G,Actuals!$B:$B,$C$3,Actuals!$C:$C,9,Actuals!$D:$D,$B$850,Actuals!$A:$A,LEFT($D$850,FIND("|",$D$850&amp;"|")-1),Actuals!$E:$E,MID($D$850,FIND("|",$D$850&amp;"|")+1,50),Actuals!$F:$F,"USD")*$F$5+SUMIFS(Actuals!$G:$G,Actuals!$B:$B,$C$3,Actuals!$C:$C,9,Actuals!$D:$D,$B$850,Actuals!$A:$A,LEFT($D$850,FIND("|",$D$850&amp;"|")-1),Actuals!$E:$E,MID($D$850,FIND("|",$D$850&amp;"|")+1,50),Actuals!$F:$F,"EUR")*$G$5+SUMIFS(Actuals!$G:$G,Actuals!$B:$B,$C$3,Actuals!$C:$C,9,Actuals!$D:$D,$B$850,Actuals!$A:$A,LEFT($D$850,FIND("|",$D$850&amp;"|")-1),Actuals!$E:$E,MID($D$850,FIND("|",$D$850&amp;"|")+1,50),Actuals!$F:$F,"GBP")*$H$5)</f>
        <v/>
      </c>
      <c r="Q851" s="18">
        <f>IF(OR($B$850="",10&gt;$C$4),"",SUMIFS(Actuals!$G:$G,Actuals!$B:$B,$C$3,Actuals!$C:$C,10,Actuals!$D:$D,$B$850,Actuals!$A:$A,LEFT($D$850,FIND("|",$D$850&amp;"|")-1),Actuals!$E:$E,MID($D$850,FIND("|",$D$850&amp;"|")+1,50),Actuals!$F:$F,"JPY")*$E$5+SUMIFS(Actuals!$G:$G,Actuals!$B:$B,$C$3,Actuals!$C:$C,10,Actuals!$D:$D,$B$850,Actuals!$A:$A,LEFT($D$850,FIND("|",$D$850&amp;"|")-1),Actuals!$E:$E,MID($D$850,FIND("|",$D$850&amp;"|")+1,50),Actuals!$F:$F,"USD")*$F$5+SUMIFS(Actuals!$G:$G,Actuals!$B:$B,$C$3,Actuals!$C:$C,10,Actuals!$D:$D,$B$850,Actuals!$A:$A,LEFT($D$850,FIND("|",$D$850&amp;"|")-1),Actuals!$E:$E,MID($D$850,FIND("|",$D$850&amp;"|")+1,50),Actuals!$F:$F,"EUR")*$G$5+SUMIFS(Actuals!$G:$G,Actuals!$B:$B,$C$3,Actuals!$C:$C,10,Actuals!$D:$D,$B$850,Actuals!$A:$A,LEFT($D$850,FIND("|",$D$850&amp;"|")-1),Actuals!$E:$E,MID($D$850,FIND("|",$D$850&amp;"|")+1,50),Actuals!$F:$F,"GBP")*$H$5)</f>
        <v/>
      </c>
      <c r="R851" s="18">
        <f>IF(OR($B$850="",11&gt;$C$4),"",SUMIFS(Actuals!$G:$G,Actuals!$B:$B,$C$3,Actuals!$C:$C,11,Actuals!$D:$D,$B$850,Actuals!$A:$A,LEFT($D$850,FIND("|",$D$850&amp;"|")-1),Actuals!$E:$E,MID($D$850,FIND("|",$D$850&amp;"|")+1,50),Actuals!$F:$F,"JPY")*$E$5+SUMIFS(Actuals!$G:$G,Actuals!$B:$B,$C$3,Actuals!$C:$C,11,Actuals!$D:$D,$B$850,Actuals!$A:$A,LEFT($D$850,FIND("|",$D$850&amp;"|")-1),Actuals!$E:$E,MID($D$850,FIND("|",$D$850&amp;"|")+1,50),Actuals!$F:$F,"USD")*$F$5+SUMIFS(Actuals!$G:$G,Actuals!$B:$B,$C$3,Actuals!$C:$C,11,Actuals!$D:$D,$B$850,Actuals!$A:$A,LEFT($D$850,FIND("|",$D$850&amp;"|")-1),Actuals!$E:$E,MID($D$850,FIND("|",$D$850&amp;"|")+1,50),Actuals!$F:$F,"EUR")*$G$5+SUMIFS(Actuals!$G:$G,Actuals!$B:$B,$C$3,Actuals!$C:$C,11,Actuals!$D:$D,$B$850,Actuals!$A:$A,LEFT($D$850,FIND("|",$D$850&amp;"|")-1),Actuals!$E:$E,MID($D$850,FIND("|",$D$850&amp;"|")+1,50),Actuals!$F:$F,"GBP")*$H$5)</f>
        <v/>
      </c>
      <c r="S851" s="18">
        <f>IF(OR($B$850="",12&gt;$C$4),"",SUMIFS(Actuals!$G:$G,Actuals!$B:$B,$C$3,Actuals!$C:$C,12,Actuals!$D:$D,$B$850,Actuals!$A:$A,LEFT($D$850,FIND("|",$D$850&amp;"|")-1),Actuals!$E:$E,MID($D$850,FIND("|",$D$850&amp;"|")+1,50),Actuals!$F:$F,"JPY")*$E$5+SUMIFS(Actuals!$G:$G,Actuals!$B:$B,$C$3,Actuals!$C:$C,12,Actuals!$D:$D,$B$850,Actuals!$A:$A,LEFT($D$850,FIND("|",$D$850&amp;"|")-1),Actuals!$E:$E,MID($D$850,FIND("|",$D$850&amp;"|")+1,50),Actuals!$F:$F,"USD")*$F$5+SUMIFS(Actuals!$G:$G,Actuals!$B:$B,$C$3,Actuals!$C:$C,12,Actuals!$D:$D,$B$850,Actuals!$A:$A,LEFT($D$850,FIND("|",$D$850&amp;"|")-1),Actuals!$E:$E,MID($D$850,FIND("|",$D$850&amp;"|")+1,50),Actuals!$F:$F,"EUR")*$G$5+SUMIFS(Actuals!$G:$G,Actuals!$B:$B,$C$3,Actuals!$C:$C,12,Actuals!$D:$D,$B$850,Actuals!$A:$A,LEFT($D$850,FIND("|",$D$850&amp;"|")-1),Actuals!$E:$E,MID($D$850,FIND("|",$D$850&amp;"|")+1,50),Actuals!$F:$F,"GBP")*$H$5)</f>
        <v/>
      </c>
      <c r="T851" s="18">
        <f>IF($B$850="","",SUMIF($H$7:$S$7,"&lt;="&amp;$C$4,$H851:$S851))</f>
        <v/>
      </c>
      <c r="U851" s="18" t="n"/>
      <c r="V851" s="18" t="n"/>
      <c r="X851" s="22">
        <f>IF($B851="","",IFERROR(INDEX(Cost_Centers!$E:$E,MATCH($B851,Cost_Centers!$A:$A,0)),"(unknown)"))</f>
        <v/>
      </c>
      <c r="Y851" s="22">
        <f>IF($B851="","",IFERROR(INDEX(Cost_Centers!$D:$D,MATCH($B851,Cost_Centers!$A:$A,0)),"(unknown)"))</f>
        <v/>
      </c>
      <c r="Z851" s="22">
        <f>IF(OR($B851="",$G851&lt;&gt;"Variance vs Budget"),"",ABS(N($V851))+ROW()/1000000000)</f>
        <v/>
      </c>
    </row>
    <row r="852">
      <c r="A852" s="13">
        <f>IF(A$850="","",A$850)</f>
        <v/>
      </c>
      <c r="B852" s="13">
        <f>IF(B$850="","",B$850)</f>
        <v/>
      </c>
      <c r="C852" s="13">
        <f>IF(C$850="","",C$850)</f>
        <v/>
      </c>
      <c r="D852" s="13">
        <f>IF(D$850="","",D$850)</f>
        <v/>
      </c>
      <c r="E852" s="13">
        <f>IF(E$850="","",E$850)</f>
        <v/>
      </c>
      <c r="F852" s="13">
        <f>IF(F$850="","",F$850)</f>
        <v/>
      </c>
      <c r="G852" s="6" t="inlineStr">
        <is>
          <t>Variance vs Budget</t>
        </is>
      </c>
      <c r="H852" s="33">
        <f>IF(OR($B$850="",1&gt;$C$4),"",N(H851)-H850)</f>
        <v/>
      </c>
      <c r="I852" s="33">
        <f>IF(OR($B$850="",2&gt;$C$4),"",N(I851)-I850)</f>
        <v/>
      </c>
      <c r="J852" s="33">
        <f>IF(OR($B$850="",3&gt;$C$4),"",N(J851)-J850)</f>
        <v/>
      </c>
      <c r="K852" s="33">
        <f>IF(OR($B$850="",4&gt;$C$4),"",N(K851)-K850)</f>
        <v/>
      </c>
      <c r="L852" s="33">
        <f>IF(OR($B$850="",5&gt;$C$4),"",N(L851)-L850)</f>
        <v/>
      </c>
      <c r="M852" s="33">
        <f>IF(OR($B$850="",6&gt;$C$4),"",N(M851)-M850)</f>
        <v/>
      </c>
      <c r="N852" s="33">
        <f>IF(OR($B$850="",7&gt;$C$4),"",N(N851)-N850)</f>
        <v/>
      </c>
      <c r="O852" s="33">
        <f>IF(OR($B$850="",8&gt;$C$4),"",N(O851)-O850)</f>
        <v/>
      </c>
      <c r="P852" s="33">
        <f>IF(OR($B$850="",9&gt;$C$4),"",N(P851)-P850)</f>
        <v/>
      </c>
      <c r="Q852" s="33">
        <f>IF(OR($B$850="",10&gt;$C$4),"",N(Q851)-Q850)</f>
        <v/>
      </c>
      <c r="R852" s="33">
        <f>IF(OR($B$850="",11&gt;$C$4),"",N(R851)-R850)</f>
        <v/>
      </c>
      <c r="S852" s="33">
        <f>IF(OR($B$850="",12&gt;$C$4),"",N(S851)-S850)</f>
        <v/>
      </c>
      <c r="T852" s="33">
        <f>IF($B$850="","",T851-T850)</f>
        <v/>
      </c>
      <c r="U852" s="33">
        <f>IF($B$850="","",U854-U850)</f>
        <v/>
      </c>
      <c r="V852" s="33">
        <f>IF($B$850="","",V854-V850)</f>
        <v/>
      </c>
      <c r="X852" s="22">
        <f>IF($B852="","",IFERROR(INDEX(Cost_Centers!$E:$E,MATCH($B852,Cost_Centers!$A:$A,0)),"(unknown)"))</f>
        <v/>
      </c>
      <c r="Y852" s="22">
        <f>IF($B852="","",IFERROR(INDEX(Cost_Centers!$D:$D,MATCH($B852,Cost_Centers!$A:$A,0)),"(unknown)"))</f>
        <v/>
      </c>
      <c r="Z852" s="22">
        <f>IF(OR($B852="",$G852&lt;&gt;"Variance vs Budget"),"",ABS(N($V852))+ROW()/1000000000)</f>
        <v/>
      </c>
    </row>
    <row r="853">
      <c r="A853" s="13">
        <f>IF(A$850="","",A$850)</f>
        <v/>
      </c>
      <c r="B853" s="13">
        <f>IF(B$850="","",B$850)</f>
        <v/>
      </c>
      <c r="C853" s="13">
        <f>IF(C$850="","",C$850)</f>
        <v/>
      </c>
      <c r="D853" s="13">
        <f>IF(D$850="","",D$850)</f>
        <v/>
      </c>
      <c r="E853" s="13">
        <f>IF(E$850="","",E$850)</f>
        <v/>
      </c>
      <c r="F853" s="13">
        <f>IF(F$850="","",F$850)</f>
        <v/>
      </c>
      <c r="G853" s="7" t="inlineStr">
        <is>
          <t>Forecast (input)</t>
        </is>
      </c>
      <c r="H853" s="34" t="n"/>
      <c r="I853" s="34" t="n"/>
      <c r="J853" s="34" t="n"/>
      <c r="K853" s="34" t="n"/>
      <c r="L853" s="34" t="n"/>
      <c r="M853" s="34" t="n"/>
      <c r="N853" s="34" t="n"/>
      <c r="O853" s="34" t="n"/>
      <c r="P853" s="34" t="n"/>
      <c r="Q853" s="34" t="n"/>
      <c r="R853" s="34" t="n"/>
      <c r="S853" s="34" t="n"/>
      <c r="T853" s="18" t="n"/>
      <c r="U853" s="18" t="n"/>
      <c r="V853" s="18" t="n"/>
      <c r="X853" s="22">
        <f>IF($B853="","",IFERROR(INDEX(Cost_Centers!$E:$E,MATCH($B853,Cost_Centers!$A:$A,0)),"(unknown)"))</f>
        <v/>
      </c>
      <c r="Y853" s="22">
        <f>IF($B853="","",IFERROR(INDEX(Cost_Centers!$D:$D,MATCH($B853,Cost_Centers!$A:$A,0)),"(unknown)"))</f>
        <v/>
      </c>
      <c r="Z853" s="22">
        <f>IF(OR($B853="",$G853&lt;&gt;"Variance vs Budget"),"",ABS(N($V853))+ROW()/1000000000)</f>
        <v/>
      </c>
    </row>
    <row r="854">
      <c r="A854" s="13">
        <f>IF(A$850="","",A$850)</f>
        <v/>
      </c>
      <c r="B854" s="13">
        <f>IF(B$850="","",B$850)</f>
        <v/>
      </c>
      <c r="C854" s="13">
        <f>IF(C$850="","",C$850)</f>
        <v/>
      </c>
      <c r="D854" s="13">
        <f>IF(D$850="","",D$850)</f>
        <v/>
      </c>
      <c r="E854" s="13">
        <f>IF(E$850="","",E$850)</f>
        <v/>
      </c>
      <c r="F854" s="13">
        <f>IF(F$850="","",F$850)</f>
        <v/>
      </c>
      <c r="G854" s="35" t="inlineStr">
        <is>
          <t>Actual + Forecast</t>
        </is>
      </c>
      <c r="H854" s="18">
        <f>IF($B$850="","",IF(1&lt;=$C$4,N(H851),IF(H853="",H850,H853)))</f>
        <v/>
      </c>
      <c r="I854" s="18">
        <f>IF($B$850="","",IF(2&lt;=$C$4,N(I851),IF(I853="",I850,I853)))</f>
        <v/>
      </c>
      <c r="J854" s="18">
        <f>IF($B$850="","",IF(3&lt;=$C$4,N(J851),IF(J853="",J850,J853)))</f>
        <v/>
      </c>
      <c r="K854" s="18">
        <f>IF($B$850="","",IF(4&lt;=$C$4,N(K851),IF(K853="",K850,K853)))</f>
        <v/>
      </c>
      <c r="L854" s="18">
        <f>IF($B$850="","",IF(5&lt;=$C$4,N(L851),IF(L853="",L850,L853)))</f>
        <v/>
      </c>
      <c r="M854" s="18">
        <f>IF($B$850="","",IF(6&lt;=$C$4,N(M851),IF(M853="",M850,M853)))</f>
        <v/>
      </c>
      <c r="N854" s="18">
        <f>IF($B$850="","",IF(7&lt;=$C$4,N(N851),IF(N853="",N850,N853)))</f>
        <v/>
      </c>
      <c r="O854" s="18">
        <f>IF($B$850="","",IF(8&lt;=$C$4,N(O851),IF(O853="",O850,O853)))</f>
        <v/>
      </c>
      <c r="P854" s="18">
        <f>IF($B$850="","",IF(9&lt;=$C$4,N(P851),IF(P853="",P850,P853)))</f>
        <v/>
      </c>
      <c r="Q854" s="18">
        <f>IF($B$850="","",IF(10&lt;=$C$4,N(Q851),IF(Q853="",Q850,Q853)))</f>
        <v/>
      </c>
      <c r="R854" s="18">
        <f>IF($B$850="","",IF(11&lt;=$C$4,N(R851),IF(R853="",R850,R853)))</f>
        <v/>
      </c>
      <c r="S854" s="18">
        <f>IF($B$850="","",IF(12&lt;=$C$4,N(S851),IF(S853="",S850,S853)))</f>
        <v/>
      </c>
      <c r="T854" s="18">
        <f>IF($B$850="","",SUMIF($H$7:$S$7,"&lt;="&amp;$C$4,$H854:$S854))</f>
        <v/>
      </c>
      <c r="U854" s="18">
        <f>IF($B$850="","",SUMIF($H$7:$S$7,"&gt;"&amp;$C$4,$H854:$S854))</f>
        <v/>
      </c>
      <c r="V854" s="18">
        <f>IF($B$850="","",SUM($H854:$S854))</f>
        <v/>
      </c>
      <c r="X854" s="22">
        <f>IF($B854="","",IFERROR(INDEX(Cost_Centers!$E:$E,MATCH($B854,Cost_Centers!$A:$A,0)),"(unknown)"))</f>
        <v/>
      </c>
      <c r="Y854" s="22">
        <f>IF($B854="","",IFERROR(INDEX(Cost_Centers!$D:$D,MATCH($B854,Cost_Centers!$A:$A,0)),"(unknown)"))</f>
        <v/>
      </c>
      <c r="Z854" s="22">
        <f>IF(OR($B854="",$G854&lt;&gt;"Variance vs Budget"),"",ABS(N($V854))+ROW()/1000000000)</f>
        <v/>
      </c>
    </row>
    <row r="855">
      <c r="A855" s="13">
        <f>IF(A$850="","",A$850)</f>
        <v/>
      </c>
      <c r="B855" s="13">
        <f>IF(B$850="","",B$850)</f>
        <v/>
      </c>
      <c r="C855" s="13">
        <f>IF(C$850="","",C$850)</f>
        <v/>
      </c>
      <c r="D855" s="13">
        <f>IF(D$850="","",D$850)</f>
        <v/>
      </c>
      <c r="E855" s="13">
        <f>IF(E$850="","",E$850)</f>
        <v/>
      </c>
      <c r="F855" s="13">
        <f>IF(F$850="","",F$850)</f>
        <v/>
      </c>
      <c r="G855" s="36" t="inlineStr">
        <is>
          <t>Prior Month Forecast</t>
        </is>
      </c>
      <c r="H855" s="37">
        <f>IF($B$850="","",IF(COUNTIFS(Prior_Forecast!$A:$A,$B$850,Prior_Forecast!$B:$B,$D$850)&gt;0,SUMIFS(Prior_Forecast!$C:$C,Prior_Forecast!$A:$A,$B$850,Prior_Forecast!$B:$B,$D$850),""))</f>
        <v/>
      </c>
      <c r="I855" s="37">
        <f>IF($B$850="","",IF(COUNTIFS(Prior_Forecast!$A:$A,$B$850,Prior_Forecast!$B:$B,$D$850)&gt;0,SUMIFS(Prior_Forecast!$D:$D,Prior_Forecast!$A:$A,$B$850,Prior_Forecast!$B:$B,$D$850),""))</f>
        <v/>
      </c>
      <c r="J855" s="37">
        <f>IF($B$850="","",IF(COUNTIFS(Prior_Forecast!$A:$A,$B$850,Prior_Forecast!$B:$B,$D$850)&gt;0,SUMIFS(Prior_Forecast!$E:$E,Prior_Forecast!$A:$A,$B$850,Prior_Forecast!$B:$B,$D$850),""))</f>
        <v/>
      </c>
      <c r="K855" s="37">
        <f>IF($B$850="","",IF(COUNTIFS(Prior_Forecast!$A:$A,$B$850,Prior_Forecast!$B:$B,$D$850)&gt;0,SUMIFS(Prior_Forecast!$F:$F,Prior_Forecast!$A:$A,$B$850,Prior_Forecast!$B:$B,$D$850),""))</f>
        <v/>
      </c>
      <c r="L855" s="37">
        <f>IF($B$850="","",IF(COUNTIFS(Prior_Forecast!$A:$A,$B$850,Prior_Forecast!$B:$B,$D$850)&gt;0,SUMIFS(Prior_Forecast!$G:$G,Prior_Forecast!$A:$A,$B$850,Prior_Forecast!$B:$B,$D$850),""))</f>
        <v/>
      </c>
      <c r="M855" s="37">
        <f>IF($B$850="","",IF(COUNTIFS(Prior_Forecast!$A:$A,$B$850,Prior_Forecast!$B:$B,$D$850)&gt;0,SUMIFS(Prior_Forecast!$H:$H,Prior_Forecast!$A:$A,$B$850,Prior_Forecast!$B:$B,$D$850),""))</f>
        <v/>
      </c>
      <c r="N855" s="37">
        <f>IF($B$850="","",IF(COUNTIFS(Prior_Forecast!$A:$A,$B$850,Prior_Forecast!$B:$B,$D$850)&gt;0,SUMIFS(Prior_Forecast!$I:$I,Prior_Forecast!$A:$A,$B$850,Prior_Forecast!$B:$B,$D$850),""))</f>
        <v/>
      </c>
      <c r="O855" s="37">
        <f>IF($B$850="","",IF(COUNTIFS(Prior_Forecast!$A:$A,$B$850,Prior_Forecast!$B:$B,$D$850)&gt;0,SUMIFS(Prior_Forecast!$J:$J,Prior_Forecast!$A:$A,$B$850,Prior_Forecast!$B:$B,$D$850),""))</f>
        <v/>
      </c>
      <c r="P855" s="37">
        <f>IF($B$850="","",IF(COUNTIFS(Prior_Forecast!$A:$A,$B$850,Prior_Forecast!$B:$B,$D$850)&gt;0,SUMIFS(Prior_Forecast!$K:$K,Prior_Forecast!$A:$A,$B$850,Prior_Forecast!$B:$B,$D$850),""))</f>
        <v/>
      </c>
      <c r="Q855" s="37">
        <f>IF($B$850="","",IF(COUNTIFS(Prior_Forecast!$A:$A,$B$850,Prior_Forecast!$B:$B,$D$850)&gt;0,SUMIFS(Prior_Forecast!$L:$L,Prior_Forecast!$A:$A,$B$850,Prior_Forecast!$B:$B,$D$850),""))</f>
        <v/>
      </c>
      <c r="R855" s="37">
        <f>IF($B$850="","",IF(COUNTIFS(Prior_Forecast!$A:$A,$B$850,Prior_Forecast!$B:$B,$D$850)&gt;0,SUMIFS(Prior_Forecast!$M:$M,Prior_Forecast!$A:$A,$B$850,Prior_Forecast!$B:$B,$D$850),""))</f>
        <v/>
      </c>
      <c r="S855" s="37">
        <f>IF($B$850="","",IF(COUNTIFS(Prior_Forecast!$A:$A,$B$850,Prior_Forecast!$B:$B,$D$850)&gt;0,SUMIFS(Prior_Forecast!$N:$N,Prior_Forecast!$A:$A,$B$850,Prior_Forecast!$B:$B,$D$850),""))</f>
        <v/>
      </c>
      <c r="T855" s="37">
        <f>IF($B$850="","",IF(COUNTIFS(Prior_Forecast!$A:$A,$B$850,Prior_Forecast!$B:$B,$D$850)&gt;0,SUMIFS(Prior_Forecast!$O:$O,Prior_Forecast!$A:$A,$B$850,Prior_Forecast!$B:$B,$D$850),""))</f>
        <v/>
      </c>
      <c r="U855" s="37">
        <f>IF($B$850="","",IF(COUNTIFS(Prior_Forecast!$A:$A,$B$850,Prior_Forecast!$B:$B,$D$850)&gt;0,SUMIFS(Prior_Forecast!$P:$P,Prior_Forecast!$A:$A,$B$850,Prior_Forecast!$B:$B,$D$850),""))</f>
        <v/>
      </c>
      <c r="V855" s="37">
        <f>IF($B$850="","",IF(COUNTIFS(Prior_Forecast!$A:$A,$B$850,Prior_Forecast!$B:$B,$D$850)&gt;0,SUMIFS(Prior_Forecast!$Q:$Q,Prior_Forecast!$A:$A,$B$850,Prior_Forecast!$B:$B,$D$850),""))</f>
        <v/>
      </c>
      <c r="X855" s="22">
        <f>IF($B855="","",IFERROR(INDEX(Cost_Centers!$E:$E,MATCH($B855,Cost_Centers!$A:$A,0)),"(unknown)"))</f>
        <v/>
      </c>
      <c r="Y855" s="22">
        <f>IF($B855="","",IFERROR(INDEX(Cost_Centers!$D:$D,MATCH($B855,Cost_Centers!$A:$A,0)),"(unknown)"))</f>
        <v/>
      </c>
      <c r="Z855" s="22">
        <f>IF(OR($B855="",$G855&lt;&gt;"Variance vs Budget"),"",ABS(N($V855))+ROW()/1000000000)</f>
        <v/>
      </c>
    </row>
    <row r="856">
      <c r="A856" s="13">
        <f>IF(A$850="","",A$850)</f>
        <v/>
      </c>
      <c r="B856" s="13">
        <f>IF(B$850="","",B$850)</f>
        <v/>
      </c>
      <c r="C856" s="13">
        <f>IF(C$850="","",C$850)</f>
        <v/>
      </c>
      <c r="D856" s="13">
        <f>IF(D$850="","",D$850)</f>
        <v/>
      </c>
      <c r="E856" s="13">
        <f>IF(E$850="","",E$850)</f>
        <v/>
      </c>
      <c r="F856" s="13">
        <f>IF(F$850="","",F$850)</f>
        <v/>
      </c>
      <c r="G856" s="6" t="inlineStr">
        <is>
          <t>Variance vs Prior Month</t>
        </is>
      </c>
      <c r="H856" s="33">
        <f>IF(OR($B$850="",H855=""),"",H854-H855)</f>
        <v/>
      </c>
      <c r="I856" s="33">
        <f>IF(OR($B$850="",I855=""),"",I854-I855)</f>
        <v/>
      </c>
      <c r="J856" s="33">
        <f>IF(OR($B$850="",J855=""),"",J854-J855)</f>
        <v/>
      </c>
      <c r="K856" s="33">
        <f>IF(OR($B$850="",K855=""),"",K854-K855)</f>
        <v/>
      </c>
      <c r="L856" s="33">
        <f>IF(OR($B$850="",L855=""),"",L854-L855)</f>
        <v/>
      </c>
      <c r="M856" s="33">
        <f>IF(OR($B$850="",M855=""),"",M854-M855)</f>
        <v/>
      </c>
      <c r="N856" s="33">
        <f>IF(OR($B$850="",N855=""),"",N854-N855)</f>
        <v/>
      </c>
      <c r="O856" s="33">
        <f>IF(OR($B$850="",O855=""),"",O854-O855)</f>
        <v/>
      </c>
      <c r="P856" s="33">
        <f>IF(OR($B$850="",P855=""),"",P854-P855)</f>
        <v/>
      </c>
      <c r="Q856" s="33">
        <f>IF(OR($B$850="",Q855=""),"",Q854-Q855)</f>
        <v/>
      </c>
      <c r="R856" s="33">
        <f>IF(OR($B$850="",R855=""),"",R854-R855)</f>
        <v/>
      </c>
      <c r="S856" s="33">
        <f>IF(OR($B$850="",S855=""),"",S854-S855)</f>
        <v/>
      </c>
      <c r="T856" s="33">
        <f>IF(OR($B$850="",T855=""),"",T854-T855)</f>
        <v/>
      </c>
      <c r="U856" s="33">
        <f>IF(OR($B$850="",U855=""),"",U854-U855)</f>
        <v/>
      </c>
      <c r="V856" s="33">
        <f>IF(OR($B$850="",V855=""),"",V854-V855)</f>
        <v/>
      </c>
      <c r="X856" s="22">
        <f>IF($B856="","",IFERROR(INDEX(Cost_Centers!$E:$E,MATCH($B856,Cost_Centers!$A:$A,0)),"(unknown)"))</f>
        <v/>
      </c>
      <c r="Y856" s="22">
        <f>IF($B856="","",IFERROR(INDEX(Cost_Centers!$D:$D,MATCH($B856,Cost_Centers!$A:$A,0)),"(unknown)"))</f>
        <v/>
      </c>
      <c r="Z856" s="22">
        <f>IF(OR($B856="",$G856&lt;&gt;"Variance vs Budget"),"",ABS(N($V856))+ROW()/1000000000)</f>
        <v/>
      </c>
    </row>
    <row r="857" ht="45" customHeight="1">
      <c r="A857" s="13">
        <f>IF(A$850="","",A$850)</f>
        <v/>
      </c>
      <c r="B857" s="13">
        <f>IF(B$850="","",B$850)</f>
        <v/>
      </c>
      <c r="C857" s="13">
        <f>IF(C$850="","",C$850)</f>
        <v/>
      </c>
      <c r="D857" s="13">
        <f>IF(D$850="","",D$850)</f>
        <v/>
      </c>
      <c r="E857" s="13">
        <f>IF(E$850="","",E$850)</f>
        <v/>
      </c>
      <c r="F857" s="13">
        <f>IF(F$850="","",F$850)</f>
        <v/>
      </c>
      <c r="G857" s="7" t="inlineStr">
        <is>
          <t>Rationale</t>
        </is>
      </c>
      <c r="H857" s="38" t="n"/>
      <c r="I857" s="38" t="n"/>
      <c r="J857" s="38" t="n"/>
      <c r="K857" s="38" t="n"/>
      <c r="L857" s="38" t="n"/>
      <c r="M857" s="38" t="n"/>
      <c r="N857" s="38" t="n"/>
      <c r="O857" s="38" t="n"/>
      <c r="P857" s="38" t="n"/>
      <c r="Q857" s="38" t="n"/>
      <c r="R857" s="38" t="n"/>
      <c r="S857" s="38" t="n"/>
      <c r="T857" s="38" t="n"/>
      <c r="U857" s="38" t="n"/>
      <c r="V857" s="7" t="n"/>
      <c r="X857" s="22">
        <f>IF($B857="","",IFERROR(INDEX(Cost_Centers!$E:$E,MATCH($B857,Cost_Centers!$A:$A,0)),"(unknown)"))</f>
        <v/>
      </c>
      <c r="Y857" s="22">
        <f>IF($B857="","",IFERROR(INDEX(Cost_Centers!$D:$D,MATCH($B857,Cost_Centers!$A:$A,0)),"(unknown)"))</f>
        <v/>
      </c>
      <c r="Z857" s="22">
        <f>IF(OR($B857="",$G857&lt;&gt;"Variance vs Budget"),"",ABS(N($V857))+ROW()/1000000000)</f>
        <v/>
      </c>
    </row>
    <row r="858">
      <c r="A858" s="30">
        <f>IF($D$858="","",LEFT($D$858,FIND("|",$D$858&amp;"|")-1))</f>
        <v/>
      </c>
      <c r="B858" s="31" t="n"/>
      <c r="C858" s="30">
        <f>IF($B$858="","",IFERROR(INDEX(Cost_Centers!$B:$B,MATCH($B$858,Cost_Centers!$A:$A,0)),"(not in master)"))</f>
        <v/>
      </c>
      <c r="D858" s="31" t="n"/>
      <c r="E858" s="30">
        <f>IF($D$858="","",IFERROR(INDEX(Accounts!$D:$D,MATCH($D$858,Accounts!$A:$A,0)),"(not in master)"))</f>
        <v/>
      </c>
      <c r="F858" s="31" t="n"/>
      <c r="G858" s="30" t="inlineStr">
        <is>
          <t>Budget</t>
        </is>
      </c>
      <c r="H858" s="32">
        <f>IF($B$858="","",SUMIFS(Opex_Budget!$O:$O,Opex_Budget!$A:$A,$C$3,Opex_Budget!$E:$E,$B$858,Opex_Budget!$F:$F,$D$858,Opex_Budget!$N:$N,"JPY")*$E$5+SUMIFS(Opex_Budget!$O:$O,Opex_Budget!$A:$A,$C$3,Opex_Budget!$E:$E,$B$858,Opex_Budget!$F:$F,$D$858,Opex_Budget!$N:$N,"USD")*$F$5+SUMIFS(Opex_Budget!$O:$O,Opex_Budget!$A:$A,$C$3,Opex_Budget!$E:$E,$B$858,Opex_Budget!$F:$F,$D$858,Opex_Budget!$N:$N,"EUR")*$G$5+SUMIFS(Opex_Budget!$O:$O,Opex_Budget!$A:$A,$C$3,Opex_Budget!$E:$E,$B$858,Opex_Budget!$F:$F,$D$858,Opex_Budget!$N:$N,"GBP")*$H$5)</f>
        <v/>
      </c>
      <c r="I858" s="32">
        <f>IF($B$858="","",SUMIFS(Opex_Budget!$P:$P,Opex_Budget!$A:$A,$C$3,Opex_Budget!$E:$E,$B$858,Opex_Budget!$F:$F,$D$858,Opex_Budget!$N:$N,"JPY")*$E$5+SUMIFS(Opex_Budget!$P:$P,Opex_Budget!$A:$A,$C$3,Opex_Budget!$E:$E,$B$858,Opex_Budget!$F:$F,$D$858,Opex_Budget!$N:$N,"USD")*$F$5+SUMIFS(Opex_Budget!$P:$P,Opex_Budget!$A:$A,$C$3,Opex_Budget!$E:$E,$B$858,Opex_Budget!$F:$F,$D$858,Opex_Budget!$N:$N,"EUR")*$G$5+SUMIFS(Opex_Budget!$P:$P,Opex_Budget!$A:$A,$C$3,Opex_Budget!$E:$E,$B$858,Opex_Budget!$F:$F,$D$858,Opex_Budget!$N:$N,"GBP")*$H$5)</f>
        <v/>
      </c>
      <c r="J858" s="32">
        <f>IF($B$858="","",SUMIFS(Opex_Budget!$Q:$Q,Opex_Budget!$A:$A,$C$3,Opex_Budget!$E:$E,$B$858,Opex_Budget!$F:$F,$D$858,Opex_Budget!$N:$N,"JPY")*$E$5+SUMIFS(Opex_Budget!$Q:$Q,Opex_Budget!$A:$A,$C$3,Opex_Budget!$E:$E,$B$858,Opex_Budget!$F:$F,$D$858,Opex_Budget!$N:$N,"USD")*$F$5+SUMIFS(Opex_Budget!$Q:$Q,Opex_Budget!$A:$A,$C$3,Opex_Budget!$E:$E,$B$858,Opex_Budget!$F:$F,$D$858,Opex_Budget!$N:$N,"EUR")*$G$5+SUMIFS(Opex_Budget!$Q:$Q,Opex_Budget!$A:$A,$C$3,Opex_Budget!$E:$E,$B$858,Opex_Budget!$F:$F,$D$858,Opex_Budget!$N:$N,"GBP")*$H$5)</f>
        <v/>
      </c>
      <c r="K858" s="32">
        <f>IF($B$858="","",SUMIFS(Opex_Budget!$R:$R,Opex_Budget!$A:$A,$C$3,Opex_Budget!$E:$E,$B$858,Opex_Budget!$F:$F,$D$858,Opex_Budget!$N:$N,"JPY")*$E$5+SUMIFS(Opex_Budget!$R:$R,Opex_Budget!$A:$A,$C$3,Opex_Budget!$E:$E,$B$858,Opex_Budget!$F:$F,$D$858,Opex_Budget!$N:$N,"USD")*$F$5+SUMIFS(Opex_Budget!$R:$R,Opex_Budget!$A:$A,$C$3,Opex_Budget!$E:$E,$B$858,Opex_Budget!$F:$F,$D$858,Opex_Budget!$N:$N,"EUR")*$G$5+SUMIFS(Opex_Budget!$R:$R,Opex_Budget!$A:$A,$C$3,Opex_Budget!$E:$E,$B$858,Opex_Budget!$F:$F,$D$858,Opex_Budget!$N:$N,"GBP")*$H$5)</f>
        <v/>
      </c>
      <c r="L858" s="32">
        <f>IF($B$858="","",SUMIFS(Opex_Budget!$S:$S,Opex_Budget!$A:$A,$C$3,Opex_Budget!$E:$E,$B$858,Opex_Budget!$F:$F,$D$858,Opex_Budget!$N:$N,"JPY")*$E$5+SUMIFS(Opex_Budget!$S:$S,Opex_Budget!$A:$A,$C$3,Opex_Budget!$E:$E,$B$858,Opex_Budget!$F:$F,$D$858,Opex_Budget!$N:$N,"USD")*$F$5+SUMIFS(Opex_Budget!$S:$S,Opex_Budget!$A:$A,$C$3,Opex_Budget!$E:$E,$B$858,Opex_Budget!$F:$F,$D$858,Opex_Budget!$N:$N,"EUR")*$G$5+SUMIFS(Opex_Budget!$S:$S,Opex_Budget!$A:$A,$C$3,Opex_Budget!$E:$E,$B$858,Opex_Budget!$F:$F,$D$858,Opex_Budget!$N:$N,"GBP")*$H$5)</f>
        <v/>
      </c>
      <c r="M858" s="32">
        <f>IF($B$858="","",SUMIFS(Opex_Budget!$T:$T,Opex_Budget!$A:$A,$C$3,Opex_Budget!$E:$E,$B$858,Opex_Budget!$F:$F,$D$858,Opex_Budget!$N:$N,"JPY")*$E$5+SUMIFS(Opex_Budget!$T:$T,Opex_Budget!$A:$A,$C$3,Opex_Budget!$E:$E,$B$858,Opex_Budget!$F:$F,$D$858,Opex_Budget!$N:$N,"USD")*$F$5+SUMIFS(Opex_Budget!$T:$T,Opex_Budget!$A:$A,$C$3,Opex_Budget!$E:$E,$B$858,Opex_Budget!$F:$F,$D$858,Opex_Budget!$N:$N,"EUR")*$G$5+SUMIFS(Opex_Budget!$T:$T,Opex_Budget!$A:$A,$C$3,Opex_Budget!$E:$E,$B$858,Opex_Budget!$F:$F,$D$858,Opex_Budget!$N:$N,"GBP")*$H$5)</f>
        <v/>
      </c>
      <c r="N858" s="32">
        <f>IF($B$858="","",SUMIFS(Opex_Budget!$U:$U,Opex_Budget!$A:$A,$C$3,Opex_Budget!$E:$E,$B$858,Opex_Budget!$F:$F,$D$858,Opex_Budget!$N:$N,"JPY")*$E$5+SUMIFS(Opex_Budget!$U:$U,Opex_Budget!$A:$A,$C$3,Opex_Budget!$E:$E,$B$858,Opex_Budget!$F:$F,$D$858,Opex_Budget!$N:$N,"USD")*$F$5+SUMIFS(Opex_Budget!$U:$U,Opex_Budget!$A:$A,$C$3,Opex_Budget!$E:$E,$B$858,Opex_Budget!$F:$F,$D$858,Opex_Budget!$N:$N,"EUR")*$G$5+SUMIFS(Opex_Budget!$U:$U,Opex_Budget!$A:$A,$C$3,Opex_Budget!$E:$E,$B$858,Opex_Budget!$F:$F,$D$858,Opex_Budget!$N:$N,"GBP")*$H$5)</f>
        <v/>
      </c>
      <c r="O858" s="32">
        <f>IF($B$858="","",SUMIFS(Opex_Budget!$V:$V,Opex_Budget!$A:$A,$C$3,Opex_Budget!$E:$E,$B$858,Opex_Budget!$F:$F,$D$858,Opex_Budget!$N:$N,"JPY")*$E$5+SUMIFS(Opex_Budget!$V:$V,Opex_Budget!$A:$A,$C$3,Opex_Budget!$E:$E,$B$858,Opex_Budget!$F:$F,$D$858,Opex_Budget!$N:$N,"USD")*$F$5+SUMIFS(Opex_Budget!$V:$V,Opex_Budget!$A:$A,$C$3,Opex_Budget!$E:$E,$B$858,Opex_Budget!$F:$F,$D$858,Opex_Budget!$N:$N,"EUR")*$G$5+SUMIFS(Opex_Budget!$V:$V,Opex_Budget!$A:$A,$C$3,Opex_Budget!$E:$E,$B$858,Opex_Budget!$F:$F,$D$858,Opex_Budget!$N:$N,"GBP")*$H$5)</f>
        <v/>
      </c>
      <c r="P858" s="32">
        <f>IF($B$858="","",SUMIFS(Opex_Budget!$W:$W,Opex_Budget!$A:$A,$C$3,Opex_Budget!$E:$E,$B$858,Opex_Budget!$F:$F,$D$858,Opex_Budget!$N:$N,"JPY")*$E$5+SUMIFS(Opex_Budget!$W:$W,Opex_Budget!$A:$A,$C$3,Opex_Budget!$E:$E,$B$858,Opex_Budget!$F:$F,$D$858,Opex_Budget!$N:$N,"USD")*$F$5+SUMIFS(Opex_Budget!$W:$W,Opex_Budget!$A:$A,$C$3,Opex_Budget!$E:$E,$B$858,Opex_Budget!$F:$F,$D$858,Opex_Budget!$N:$N,"EUR")*$G$5+SUMIFS(Opex_Budget!$W:$W,Opex_Budget!$A:$A,$C$3,Opex_Budget!$E:$E,$B$858,Opex_Budget!$F:$F,$D$858,Opex_Budget!$N:$N,"GBP")*$H$5)</f>
        <v/>
      </c>
      <c r="Q858" s="32">
        <f>IF($B$858="","",SUMIFS(Opex_Budget!$X:$X,Opex_Budget!$A:$A,$C$3,Opex_Budget!$E:$E,$B$858,Opex_Budget!$F:$F,$D$858,Opex_Budget!$N:$N,"JPY")*$E$5+SUMIFS(Opex_Budget!$X:$X,Opex_Budget!$A:$A,$C$3,Opex_Budget!$E:$E,$B$858,Opex_Budget!$F:$F,$D$858,Opex_Budget!$N:$N,"USD")*$F$5+SUMIFS(Opex_Budget!$X:$X,Opex_Budget!$A:$A,$C$3,Opex_Budget!$E:$E,$B$858,Opex_Budget!$F:$F,$D$858,Opex_Budget!$N:$N,"EUR")*$G$5+SUMIFS(Opex_Budget!$X:$X,Opex_Budget!$A:$A,$C$3,Opex_Budget!$E:$E,$B$858,Opex_Budget!$F:$F,$D$858,Opex_Budget!$N:$N,"GBP")*$H$5)</f>
        <v/>
      </c>
      <c r="R858" s="32">
        <f>IF($B$858="","",SUMIFS(Opex_Budget!$Y:$Y,Opex_Budget!$A:$A,$C$3,Opex_Budget!$E:$E,$B$858,Opex_Budget!$F:$F,$D$858,Opex_Budget!$N:$N,"JPY")*$E$5+SUMIFS(Opex_Budget!$Y:$Y,Opex_Budget!$A:$A,$C$3,Opex_Budget!$E:$E,$B$858,Opex_Budget!$F:$F,$D$858,Opex_Budget!$N:$N,"USD")*$F$5+SUMIFS(Opex_Budget!$Y:$Y,Opex_Budget!$A:$A,$C$3,Opex_Budget!$E:$E,$B$858,Opex_Budget!$F:$F,$D$858,Opex_Budget!$N:$N,"EUR")*$G$5+SUMIFS(Opex_Budget!$Y:$Y,Opex_Budget!$A:$A,$C$3,Opex_Budget!$E:$E,$B$858,Opex_Budget!$F:$F,$D$858,Opex_Budget!$N:$N,"GBP")*$H$5)</f>
        <v/>
      </c>
      <c r="S858" s="32">
        <f>IF($B$858="","",SUMIFS(Opex_Budget!$Z:$Z,Opex_Budget!$A:$A,$C$3,Opex_Budget!$E:$E,$B$858,Opex_Budget!$F:$F,$D$858,Opex_Budget!$N:$N,"JPY")*$E$5+SUMIFS(Opex_Budget!$Z:$Z,Opex_Budget!$A:$A,$C$3,Opex_Budget!$E:$E,$B$858,Opex_Budget!$F:$F,$D$858,Opex_Budget!$N:$N,"USD")*$F$5+SUMIFS(Opex_Budget!$Z:$Z,Opex_Budget!$A:$A,$C$3,Opex_Budget!$E:$E,$B$858,Opex_Budget!$F:$F,$D$858,Opex_Budget!$N:$N,"EUR")*$G$5+SUMIFS(Opex_Budget!$Z:$Z,Opex_Budget!$A:$A,$C$3,Opex_Budget!$E:$E,$B$858,Opex_Budget!$F:$F,$D$858,Opex_Budget!$N:$N,"GBP")*$H$5)</f>
        <v/>
      </c>
      <c r="T858" s="32">
        <f>IF($B$858="","",SUMIF($H$7:$S$7,"&lt;="&amp;$C$4,$H858:$S858))</f>
        <v/>
      </c>
      <c r="U858" s="32">
        <f>IF($B$858="","",SUMIF($H$7:$S$7,"&gt;"&amp;$C$4,$H858:$S858))</f>
        <v/>
      </c>
      <c r="V858" s="32">
        <f>IF($B$858="","",SUM($H858:$S858))</f>
        <v/>
      </c>
      <c r="X858" s="22">
        <f>IF($B858="","",IFERROR(INDEX(Cost_Centers!$E:$E,MATCH($B858,Cost_Centers!$A:$A,0)),"(unknown)"))</f>
        <v/>
      </c>
      <c r="Y858" s="22">
        <f>IF($B858="","",IFERROR(INDEX(Cost_Centers!$D:$D,MATCH($B858,Cost_Centers!$A:$A,0)),"(unknown)"))</f>
        <v/>
      </c>
      <c r="Z858" s="22">
        <f>IF(OR($B858="",$G858&lt;&gt;"Variance vs Budget"),"",ABS(N($V858))+ROW()/1000000000)</f>
        <v/>
      </c>
    </row>
    <row r="859">
      <c r="A859" s="13">
        <f>IF(A$858="","",A$858)</f>
        <v/>
      </c>
      <c r="B859" s="13">
        <f>IF(B$858="","",B$858)</f>
        <v/>
      </c>
      <c r="C859" s="13">
        <f>IF(C$858="","",C$858)</f>
        <v/>
      </c>
      <c r="D859" s="13">
        <f>IF(D$858="","",D$858)</f>
        <v/>
      </c>
      <c r="E859" s="13">
        <f>IF(E$858="","",E$858)</f>
        <v/>
      </c>
      <c r="F859" s="13">
        <f>IF(F$858="","",F$858)</f>
        <v/>
      </c>
      <c r="G859" s="7" t="inlineStr">
        <is>
          <t>Actual</t>
        </is>
      </c>
      <c r="H859" s="18">
        <f>IF(OR($B$858="",1&gt;$C$4),"",SUMIFS(Actuals!$G:$G,Actuals!$B:$B,$C$3,Actuals!$C:$C,1,Actuals!$D:$D,$B$858,Actuals!$A:$A,LEFT($D$858,FIND("|",$D$858&amp;"|")-1),Actuals!$E:$E,MID($D$858,FIND("|",$D$858&amp;"|")+1,50),Actuals!$F:$F,"JPY")*$E$5+SUMIFS(Actuals!$G:$G,Actuals!$B:$B,$C$3,Actuals!$C:$C,1,Actuals!$D:$D,$B$858,Actuals!$A:$A,LEFT($D$858,FIND("|",$D$858&amp;"|")-1),Actuals!$E:$E,MID($D$858,FIND("|",$D$858&amp;"|")+1,50),Actuals!$F:$F,"USD")*$F$5+SUMIFS(Actuals!$G:$G,Actuals!$B:$B,$C$3,Actuals!$C:$C,1,Actuals!$D:$D,$B$858,Actuals!$A:$A,LEFT($D$858,FIND("|",$D$858&amp;"|")-1),Actuals!$E:$E,MID($D$858,FIND("|",$D$858&amp;"|")+1,50),Actuals!$F:$F,"EUR")*$G$5+SUMIFS(Actuals!$G:$G,Actuals!$B:$B,$C$3,Actuals!$C:$C,1,Actuals!$D:$D,$B$858,Actuals!$A:$A,LEFT($D$858,FIND("|",$D$858&amp;"|")-1),Actuals!$E:$E,MID($D$858,FIND("|",$D$858&amp;"|")+1,50),Actuals!$F:$F,"GBP")*$H$5)</f>
        <v/>
      </c>
      <c r="I859" s="18">
        <f>IF(OR($B$858="",2&gt;$C$4),"",SUMIFS(Actuals!$G:$G,Actuals!$B:$B,$C$3,Actuals!$C:$C,2,Actuals!$D:$D,$B$858,Actuals!$A:$A,LEFT($D$858,FIND("|",$D$858&amp;"|")-1),Actuals!$E:$E,MID($D$858,FIND("|",$D$858&amp;"|")+1,50),Actuals!$F:$F,"JPY")*$E$5+SUMIFS(Actuals!$G:$G,Actuals!$B:$B,$C$3,Actuals!$C:$C,2,Actuals!$D:$D,$B$858,Actuals!$A:$A,LEFT($D$858,FIND("|",$D$858&amp;"|")-1),Actuals!$E:$E,MID($D$858,FIND("|",$D$858&amp;"|")+1,50),Actuals!$F:$F,"USD")*$F$5+SUMIFS(Actuals!$G:$G,Actuals!$B:$B,$C$3,Actuals!$C:$C,2,Actuals!$D:$D,$B$858,Actuals!$A:$A,LEFT($D$858,FIND("|",$D$858&amp;"|")-1),Actuals!$E:$E,MID($D$858,FIND("|",$D$858&amp;"|")+1,50),Actuals!$F:$F,"EUR")*$G$5+SUMIFS(Actuals!$G:$G,Actuals!$B:$B,$C$3,Actuals!$C:$C,2,Actuals!$D:$D,$B$858,Actuals!$A:$A,LEFT($D$858,FIND("|",$D$858&amp;"|")-1),Actuals!$E:$E,MID($D$858,FIND("|",$D$858&amp;"|")+1,50),Actuals!$F:$F,"GBP")*$H$5)</f>
        <v/>
      </c>
      <c r="J859" s="18">
        <f>IF(OR($B$858="",3&gt;$C$4),"",SUMIFS(Actuals!$G:$G,Actuals!$B:$B,$C$3,Actuals!$C:$C,3,Actuals!$D:$D,$B$858,Actuals!$A:$A,LEFT($D$858,FIND("|",$D$858&amp;"|")-1),Actuals!$E:$E,MID($D$858,FIND("|",$D$858&amp;"|")+1,50),Actuals!$F:$F,"JPY")*$E$5+SUMIFS(Actuals!$G:$G,Actuals!$B:$B,$C$3,Actuals!$C:$C,3,Actuals!$D:$D,$B$858,Actuals!$A:$A,LEFT($D$858,FIND("|",$D$858&amp;"|")-1),Actuals!$E:$E,MID($D$858,FIND("|",$D$858&amp;"|")+1,50),Actuals!$F:$F,"USD")*$F$5+SUMIFS(Actuals!$G:$G,Actuals!$B:$B,$C$3,Actuals!$C:$C,3,Actuals!$D:$D,$B$858,Actuals!$A:$A,LEFT($D$858,FIND("|",$D$858&amp;"|")-1),Actuals!$E:$E,MID($D$858,FIND("|",$D$858&amp;"|")+1,50),Actuals!$F:$F,"EUR")*$G$5+SUMIFS(Actuals!$G:$G,Actuals!$B:$B,$C$3,Actuals!$C:$C,3,Actuals!$D:$D,$B$858,Actuals!$A:$A,LEFT($D$858,FIND("|",$D$858&amp;"|")-1),Actuals!$E:$E,MID($D$858,FIND("|",$D$858&amp;"|")+1,50),Actuals!$F:$F,"GBP")*$H$5)</f>
        <v/>
      </c>
      <c r="K859" s="18">
        <f>IF(OR($B$858="",4&gt;$C$4),"",SUMIFS(Actuals!$G:$G,Actuals!$B:$B,$C$3,Actuals!$C:$C,4,Actuals!$D:$D,$B$858,Actuals!$A:$A,LEFT($D$858,FIND("|",$D$858&amp;"|")-1),Actuals!$E:$E,MID($D$858,FIND("|",$D$858&amp;"|")+1,50),Actuals!$F:$F,"JPY")*$E$5+SUMIFS(Actuals!$G:$G,Actuals!$B:$B,$C$3,Actuals!$C:$C,4,Actuals!$D:$D,$B$858,Actuals!$A:$A,LEFT($D$858,FIND("|",$D$858&amp;"|")-1),Actuals!$E:$E,MID($D$858,FIND("|",$D$858&amp;"|")+1,50),Actuals!$F:$F,"USD")*$F$5+SUMIFS(Actuals!$G:$G,Actuals!$B:$B,$C$3,Actuals!$C:$C,4,Actuals!$D:$D,$B$858,Actuals!$A:$A,LEFT($D$858,FIND("|",$D$858&amp;"|")-1),Actuals!$E:$E,MID($D$858,FIND("|",$D$858&amp;"|")+1,50),Actuals!$F:$F,"EUR")*$G$5+SUMIFS(Actuals!$G:$G,Actuals!$B:$B,$C$3,Actuals!$C:$C,4,Actuals!$D:$D,$B$858,Actuals!$A:$A,LEFT($D$858,FIND("|",$D$858&amp;"|")-1),Actuals!$E:$E,MID($D$858,FIND("|",$D$858&amp;"|")+1,50),Actuals!$F:$F,"GBP")*$H$5)</f>
        <v/>
      </c>
      <c r="L859" s="18">
        <f>IF(OR($B$858="",5&gt;$C$4),"",SUMIFS(Actuals!$G:$G,Actuals!$B:$B,$C$3,Actuals!$C:$C,5,Actuals!$D:$D,$B$858,Actuals!$A:$A,LEFT($D$858,FIND("|",$D$858&amp;"|")-1),Actuals!$E:$E,MID($D$858,FIND("|",$D$858&amp;"|")+1,50),Actuals!$F:$F,"JPY")*$E$5+SUMIFS(Actuals!$G:$G,Actuals!$B:$B,$C$3,Actuals!$C:$C,5,Actuals!$D:$D,$B$858,Actuals!$A:$A,LEFT($D$858,FIND("|",$D$858&amp;"|")-1),Actuals!$E:$E,MID($D$858,FIND("|",$D$858&amp;"|")+1,50),Actuals!$F:$F,"USD")*$F$5+SUMIFS(Actuals!$G:$G,Actuals!$B:$B,$C$3,Actuals!$C:$C,5,Actuals!$D:$D,$B$858,Actuals!$A:$A,LEFT($D$858,FIND("|",$D$858&amp;"|")-1),Actuals!$E:$E,MID($D$858,FIND("|",$D$858&amp;"|")+1,50),Actuals!$F:$F,"EUR")*$G$5+SUMIFS(Actuals!$G:$G,Actuals!$B:$B,$C$3,Actuals!$C:$C,5,Actuals!$D:$D,$B$858,Actuals!$A:$A,LEFT($D$858,FIND("|",$D$858&amp;"|")-1),Actuals!$E:$E,MID($D$858,FIND("|",$D$858&amp;"|")+1,50),Actuals!$F:$F,"GBP")*$H$5)</f>
        <v/>
      </c>
      <c r="M859" s="18">
        <f>IF(OR($B$858="",6&gt;$C$4),"",SUMIFS(Actuals!$G:$G,Actuals!$B:$B,$C$3,Actuals!$C:$C,6,Actuals!$D:$D,$B$858,Actuals!$A:$A,LEFT($D$858,FIND("|",$D$858&amp;"|")-1),Actuals!$E:$E,MID($D$858,FIND("|",$D$858&amp;"|")+1,50),Actuals!$F:$F,"JPY")*$E$5+SUMIFS(Actuals!$G:$G,Actuals!$B:$B,$C$3,Actuals!$C:$C,6,Actuals!$D:$D,$B$858,Actuals!$A:$A,LEFT($D$858,FIND("|",$D$858&amp;"|")-1),Actuals!$E:$E,MID($D$858,FIND("|",$D$858&amp;"|")+1,50),Actuals!$F:$F,"USD")*$F$5+SUMIFS(Actuals!$G:$G,Actuals!$B:$B,$C$3,Actuals!$C:$C,6,Actuals!$D:$D,$B$858,Actuals!$A:$A,LEFT($D$858,FIND("|",$D$858&amp;"|")-1),Actuals!$E:$E,MID($D$858,FIND("|",$D$858&amp;"|")+1,50),Actuals!$F:$F,"EUR")*$G$5+SUMIFS(Actuals!$G:$G,Actuals!$B:$B,$C$3,Actuals!$C:$C,6,Actuals!$D:$D,$B$858,Actuals!$A:$A,LEFT($D$858,FIND("|",$D$858&amp;"|")-1),Actuals!$E:$E,MID($D$858,FIND("|",$D$858&amp;"|")+1,50),Actuals!$F:$F,"GBP")*$H$5)</f>
        <v/>
      </c>
      <c r="N859" s="18">
        <f>IF(OR($B$858="",7&gt;$C$4),"",SUMIFS(Actuals!$G:$G,Actuals!$B:$B,$C$3,Actuals!$C:$C,7,Actuals!$D:$D,$B$858,Actuals!$A:$A,LEFT($D$858,FIND("|",$D$858&amp;"|")-1),Actuals!$E:$E,MID($D$858,FIND("|",$D$858&amp;"|")+1,50),Actuals!$F:$F,"JPY")*$E$5+SUMIFS(Actuals!$G:$G,Actuals!$B:$B,$C$3,Actuals!$C:$C,7,Actuals!$D:$D,$B$858,Actuals!$A:$A,LEFT($D$858,FIND("|",$D$858&amp;"|")-1),Actuals!$E:$E,MID($D$858,FIND("|",$D$858&amp;"|")+1,50),Actuals!$F:$F,"USD")*$F$5+SUMIFS(Actuals!$G:$G,Actuals!$B:$B,$C$3,Actuals!$C:$C,7,Actuals!$D:$D,$B$858,Actuals!$A:$A,LEFT($D$858,FIND("|",$D$858&amp;"|")-1),Actuals!$E:$E,MID($D$858,FIND("|",$D$858&amp;"|")+1,50),Actuals!$F:$F,"EUR")*$G$5+SUMIFS(Actuals!$G:$G,Actuals!$B:$B,$C$3,Actuals!$C:$C,7,Actuals!$D:$D,$B$858,Actuals!$A:$A,LEFT($D$858,FIND("|",$D$858&amp;"|")-1),Actuals!$E:$E,MID($D$858,FIND("|",$D$858&amp;"|")+1,50),Actuals!$F:$F,"GBP")*$H$5)</f>
        <v/>
      </c>
      <c r="O859" s="18">
        <f>IF(OR($B$858="",8&gt;$C$4),"",SUMIFS(Actuals!$G:$G,Actuals!$B:$B,$C$3,Actuals!$C:$C,8,Actuals!$D:$D,$B$858,Actuals!$A:$A,LEFT($D$858,FIND("|",$D$858&amp;"|")-1),Actuals!$E:$E,MID($D$858,FIND("|",$D$858&amp;"|")+1,50),Actuals!$F:$F,"JPY")*$E$5+SUMIFS(Actuals!$G:$G,Actuals!$B:$B,$C$3,Actuals!$C:$C,8,Actuals!$D:$D,$B$858,Actuals!$A:$A,LEFT($D$858,FIND("|",$D$858&amp;"|")-1),Actuals!$E:$E,MID($D$858,FIND("|",$D$858&amp;"|")+1,50),Actuals!$F:$F,"USD")*$F$5+SUMIFS(Actuals!$G:$G,Actuals!$B:$B,$C$3,Actuals!$C:$C,8,Actuals!$D:$D,$B$858,Actuals!$A:$A,LEFT($D$858,FIND("|",$D$858&amp;"|")-1),Actuals!$E:$E,MID($D$858,FIND("|",$D$858&amp;"|")+1,50),Actuals!$F:$F,"EUR")*$G$5+SUMIFS(Actuals!$G:$G,Actuals!$B:$B,$C$3,Actuals!$C:$C,8,Actuals!$D:$D,$B$858,Actuals!$A:$A,LEFT($D$858,FIND("|",$D$858&amp;"|")-1),Actuals!$E:$E,MID($D$858,FIND("|",$D$858&amp;"|")+1,50),Actuals!$F:$F,"GBP")*$H$5)</f>
        <v/>
      </c>
      <c r="P859" s="18">
        <f>IF(OR($B$858="",9&gt;$C$4),"",SUMIFS(Actuals!$G:$G,Actuals!$B:$B,$C$3,Actuals!$C:$C,9,Actuals!$D:$D,$B$858,Actuals!$A:$A,LEFT($D$858,FIND("|",$D$858&amp;"|")-1),Actuals!$E:$E,MID($D$858,FIND("|",$D$858&amp;"|")+1,50),Actuals!$F:$F,"JPY")*$E$5+SUMIFS(Actuals!$G:$G,Actuals!$B:$B,$C$3,Actuals!$C:$C,9,Actuals!$D:$D,$B$858,Actuals!$A:$A,LEFT($D$858,FIND("|",$D$858&amp;"|")-1),Actuals!$E:$E,MID($D$858,FIND("|",$D$858&amp;"|")+1,50),Actuals!$F:$F,"USD")*$F$5+SUMIFS(Actuals!$G:$G,Actuals!$B:$B,$C$3,Actuals!$C:$C,9,Actuals!$D:$D,$B$858,Actuals!$A:$A,LEFT($D$858,FIND("|",$D$858&amp;"|")-1),Actuals!$E:$E,MID($D$858,FIND("|",$D$858&amp;"|")+1,50),Actuals!$F:$F,"EUR")*$G$5+SUMIFS(Actuals!$G:$G,Actuals!$B:$B,$C$3,Actuals!$C:$C,9,Actuals!$D:$D,$B$858,Actuals!$A:$A,LEFT($D$858,FIND("|",$D$858&amp;"|")-1),Actuals!$E:$E,MID($D$858,FIND("|",$D$858&amp;"|")+1,50),Actuals!$F:$F,"GBP")*$H$5)</f>
        <v/>
      </c>
      <c r="Q859" s="18">
        <f>IF(OR($B$858="",10&gt;$C$4),"",SUMIFS(Actuals!$G:$G,Actuals!$B:$B,$C$3,Actuals!$C:$C,10,Actuals!$D:$D,$B$858,Actuals!$A:$A,LEFT($D$858,FIND("|",$D$858&amp;"|")-1),Actuals!$E:$E,MID($D$858,FIND("|",$D$858&amp;"|")+1,50),Actuals!$F:$F,"JPY")*$E$5+SUMIFS(Actuals!$G:$G,Actuals!$B:$B,$C$3,Actuals!$C:$C,10,Actuals!$D:$D,$B$858,Actuals!$A:$A,LEFT($D$858,FIND("|",$D$858&amp;"|")-1),Actuals!$E:$E,MID($D$858,FIND("|",$D$858&amp;"|")+1,50),Actuals!$F:$F,"USD")*$F$5+SUMIFS(Actuals!$G:$G,Actuals!$B:$B,$C$3,Actuals!$C:$C,10,Actuals!$D:$D,$B$858,Actuals!$A:$A,LEFT($D$858,FIND("|",$D$858&amp;"|")-1),Actuals!$E:$E,MID($D$858,FIND("|",$D$858&amp;"|")+1,50),Actuals!$F:$F,"EUR")*$G$5+SUMIFS(Actuals!$G:$G,Actuals!$B:$B,$C$3,Actuals!$C:$C,10,Actuals!$D:$D,$B$858,Actuals!$A:$A,LEFT($D$858,FIND("|",$D$858&amp;"|")-1),Actuals!$E:$E,MID($D$858,FIND("|",$D$858&amp;"|")+1,50),Actuals!$F:$F,"GBP")*$H$5)</f>
        <v/>
      </c>
      <c r="R859" s="18">
        <f>IF(OR($B$858="",11&gt;$C$4),"",SUMIFS(Actuals!$G:$G,Actuals!$B:$B,$C$3,Actuals!$C:$C,11,Actuals!$D:$D,$B$858,Actuals!$A:$A,LEFT($D$858,FIND("|",$D$858&amp;"|")-1),Actuals!$E:$E,MID($D$858,FIND("|",$D$858&amp;"|")+1,50),Actuals!$F:$F,"JPY")*$E$5+SUMIFS(Actuals!$G:$G,Actuals!$B:$B,$C$3,Actuals!$C:$C,11,Actuals!$D:$D,$B$858,Actuals!$A:$A,LEFT($D$858,FIND("|",$D$858&amp;"|")-1),Actuals!$E:$E,MID($D$858,FIND("|",$D$858&amp;"|")+1,50),Actuals!$F:$F,"USD")*$F$5+SUMIFS(Actuals!$G:$G,Actuals!$B:$B,$C$3,Actuals!$C:$C,11,Actuals!$D:$D,$B$858,Actuals!$A:$A,LEFT($D$858,FIND("|",$D$858&amp;"|")-1),Actuals!$E:$E,MID($D$858,FIND("|",$D$858&amp;"|")+1,50),Actuals!$F:$F,"EUR")*$G$5+SUMIFS(Actuals!$G:$G,Actuals!$B:$B,$C$3,Actuals!$C:$C,11,Actuals!$D:$D,$B$858,Actuals!$A:$A,LEFT($D$858,FIND("|",$D$858&amp;"|")-1),Actuals!$E:$E,MID($D$858,FIND("|",$D$858&amp;"|")+1,50),Actuals!$F:$F,"GBP")*$H$5)</f>
        <v/>
      </c>
      <c r="S859" s="18">
        <f>IF(OR($B$858="",12&gt;$C$4),"",SUMIFS(Actuals!$G:$G,Actuals!$B:$B,$C$3,Actuals!$C:$C,12,Actuals!$D:$D,$B$858,Actuals!$A:$A,LEFT($D$858,FIND("|",$D$858&amp;"|")-1),Actuals!$E:$E,MID($D$858,FIND("|",$D$858&amp;"|")+1,50),Actuals!$F:$F,"JPY")*$E$5+SUMIFS(Actuals!$G:$G,Actuals!$B:$B,$C$3,Actuals!$C:$C,12,Actuals!$D:$D,$B$858,Actuals!$A:$A,LEFT($D$858,FIND("|",$D$858&amp;"|")-1),Actuals!$E:$E,MID($D$858,FIND("|",$D$858&amp;"|")+1,50),Actuals!$F:$F,"USD")*$F$5+SUMIFS(Actuals!$G:$G,Actuals!$B:$B,$C$3,Actuals!$C:$C,12,Actuals!$D:$D,$B$858,Actuals!$A:$A,LEFT($D$858,FIND("|",$D$858&amp;"|")-1),Actuals!$E:$E,MID($D$858,FIND("|",$D$858&amp;"|")+1,50),Actuals!$F:$F,"EUR")*$G$5+SUMIFS(Actuals!$G:$G,Actuals!$B:$B,$C$3,Actuals!$C:$C,12,Actuals!$D:$D,$B$858,Actuals!$A:$A,LEFT($D$858,FIND("|",$D$858&amp;"|")-1),Actuals!$E:$E,MID($D$858,FIND("|",$D$858&amp;"|")+1,50),Actuals!$F:$F,"GBP")*$H$5)</f>
        <v/>
      </c>
      <c r="T859" s="18">
        <f>IF($B$858="","",SUMIF($H$7:$S$7,"&lt;="&amp;$C$4,$H859:$S859))</f>
        <v/>
      </c>
      <c r="U859" s="18" t="n"/>
      <c r="V859" s="18" t="n"/>
      <c r="X859" s="22">
        <f>IF($B859="","",IFERROR(INDEX(Cost_Centers!$E:$E,MATCH($B859,Cost_Centers!$A:$A,0)),"(unknown)"))</f>
        <v/>
      </c>
      <c r="Y859" s="22">
        <f>IF($B859="","",IFERROR(INDEX(Cost_Centers!$D:$D,MATCH($B859,Cost_Centers!$A:$A,0)),"(unknown)"))</f>
        <v/>
      </c>
      <c r="Z859" s="22">
        <f>IF(OR($B859="",$G859&lt;&gt;"Variance vs Budget"),"",ABS(N($V859))+ROW()/1000000000)</f>
        <v/>
      </c>
    </row>
    <row r="860">
      <c r="A860" s="13">
        <f>IF(A$858="","",A$858)</f>
        <v/>
      </c>
      <c r="B860" s="13">
        <f>IF(B$858="","",B$858)</f>
        <v/>
      </c>
      <c r="C860" s="13">
        <f>IF(C$858="","",C$858)</f>
        <v/>
      </c>
      <c r="D860" s="13">
        <f>IF(D$858="","",D$858)</f>
        <v/>
      </c>
      <c r="E860" s="13">
        <f>IF(E$858="","",E$858)</f>
        <v/>
      </c>
      <c r="F860" s="13">
        <f>IF(F$858="","",F$858)</f>
        <v/>
      </c>
      <c r="G860" s="6" t="inlineStr">
        <is>
          <t>Variance vs Budget</t>
        </is>
      </c>
      <c r="H860" s="33">
        <f>IF(OR($B$858="",1&gt;$C$4),"",N(H859)-H858)</f>
        <v/>
      </c>
      <c r="I860" s="33">
        <f>IF(OR($B$858="",2&gt;$C$4),"",N(I859)-I858)</f>
        <v/>
      </c>
      <c r="J860" s="33">
        <f>IF(OR($B$858="",3&gt;$C$4),"",N(J859)-J858)</f>
        <v/>
      </c>
      <c r="K860" s="33">
        <f>IF(OR($B$858="",4&gt;$C$4),"",N(K859)-K858)</f>
        <v/>
      </c>
      <c r="L860" s="33">
        <f>IF(OR($B$858="",5&gt;$C$4),"",N(L859)-L858)</f>
        <v/>
      </c>
      <c r="M860" s="33">
        <f>IF(OR($B$858="",6&gt;$C$4),"",N(M859)-M858)</f>
        <v/>
      </c>
      <c r="N860" s="33">
        <f>IF(OR($B$858="",7&gt;$C$4),"",N(N859)-N858)</f>
        <v/>
      </c>
      <c r="O860" s="33">
        <f>IF(OR($B$858="",8&gt;$C$4),"",N(O859)-O858)</f>
        <v/>
      </c>
      <c r="P860" s="33">
        <f>IF(OR($B$858="",9&gt;$C$4),"",N(P859)-P858)</f>
        <v/>
      </c>
      <c r="Q860" s="33">
        <f>IF(OR($B$858="",10&gt;$C$4),"",N(Q859)-Q858)</f>
        <v/>
      </c>
      <c r="R860" s="33">
        <f>IF(OR($B$858="",11&gt;$C$4),"",N(R859)-R858)</f>
        <v/>
      </c>
      <c r="S860" s="33">
        <f>IF(OR($B$858="",12&gt;$C$4),"",N(S859)-S858)</f>
        <v/>
      </c>
      <c r="T860" s="33">
        <f>IF($B$858="","",T859-T858)</f>
        <v/>
      </c>
      <c r="U860" s="33">
        <f>IF($B$858="","",U862-U858)</f>
        <v/>
      </c>
      <c r="V860" s="33">
        <f>IF($B$858="","",V862-V858)</f>
        <v/>
      </c>
      <c r="X860" s="22">
        <f>IF($B860="","",IFERROR(INDEX(Cost_Centers!$E:$E,MATCH($B860,Cost_Centers!$A:$A,0)),"(unknown)"))</f>
        <v/>
      </c>
      <c r="Y860" s="22">
        <f>IF($B860="","",IFERROR(INDEX(Cost_Centers!$D:$D,MATCH($B860,Cost_Centers!$A:$A,0)),"(unknown)"))</f>
        <v/>
      </c>
      <c r="Z860" s="22">
        <f>IF(OR($B860="",$G860&lt;&gt;"Variance vs Budget"),"",ABS(N($V860))+ROW()/1000000000)</f>
        <v/>
      </c>
    </row>
    <row r="861">
      <c r="A861" s="13">
        <f>IF(A$858="","",A$858)</f>
        <v/>
      </c>
      <c r="B861" s="13">
        <f>IF(B$858="","",B$858)</f>
        <v/>
      </c>
      <c r="C861" s="13">
        <f>IF(C$858="","",C$858)</f>
        <v/>
      </c>
      <c r="D861" s="13">
        <f>IF(D$858="","",D$858)</f>
        <v/>
      </c>
      <c r="E861" s="13">
        <f>IF(E$858="","",E$858)</f>
        <v/>
      </c>
      <c r="F861" s="13">
        <f>IF(F$858="","",F$858)</f>
        <v/>
      </c>
      <c r="G861" s="7" t="inlineStr">
        <is>
          <t>Forecast (input)</t>
        </is>
      </c>
      <c r="H861" s="34" t="n"/>
      <c r="I861" s="34" t="n"/>
      <c r="J861" s="34" t="n"/>
      <c r="K861" s="34" t="n"/>
      <c r="L861" s="34" t="n"/>
      <c r="M861" s="34" t="n"/>
      <c r="N861" s="34" t="n"/>
      <c r="O861" s="34" t="n"/>
      <c r="P861" s="34" t="n"/>
      <c r="Q861" s="34" t="n"/>
      <c r="R861" s="34" t="n"/>
      <c r="S861" s="34" t="n"/>
      <c r="T861" s="18" t="n"/>
      <c r="U861" s="18" t="n"/>
      <c r="V861" s="18" t="n"/>
      <c r="X861" s="22">
        <f>IF($B861="","",IFERROR(INDEX(Cost_Centers!$E:$E,MATCH($B861,Cost_Centers!$A:$A,0)),"(unknown)"))</f>
        <v/>
      </c>
      <c r="Y861" s="22">
        <f>IF($B861="","",IFERROR(INDEX(Cost_Centers!$D:$D,MATCH($B861,Cost_Centers!$A:$A,0)),"(unknown)"))</f>
        <v/>
      </c>
      <c r="Z861" s="22">
        <f>IF(OR($B861="",$G861&lt;&gt;"Variance vs Budget"),"",ABS(N($V861))+ROW()/1000000000)</f>
        <v/>
      </c>
    </row>
    <row r="862">
      <c r="A862" s="13">
        <f>IF(A$858="","",A$858)</f>
        <v/>
      </c>
      <c r="B862" s="13">
        <f>IF(B$858="","",B$858)</f>
        <v/>
      </c>
      <c r="C862" s="13">
        <f>IF(C$858="","",C$858)</f>
        <v/>
      </c>
      <c r="D862" s="13">
        <f>IF(D$858="","",D$858)</f>
        <v/>
      </c>
      <c r="E862" s="13">
        <f>IF(E$858="","",E$858)</f>
        <v/>
      </c>
      <c r="F862" s="13">
        <f>IF(F$858="","",F$858)</f>
        <v/>
      </c>
      <c r="G862" s="35" t="inlineStr">
        <is>
          <t>Actual + Forecast</t>
        </is>
      </c>
      <c r="H862" s="18">
        <f>IF($B$858="","",IF(1&lt;=$C$4,N(H859),IF(H861="",H858,H861)))</f>
        <v/>
      </c>
      <c r="I862" s="18">
        <f>IF($B$858="","",IF(2&lt;=$C$4,N(I859),IF(I861="",I858,I861)))</f>
        <v/>
      </c>
      <c r="J862" s="18">
        <f>IF($B$858="","",IF(3&lt;=$C$4,N(J859),IF(J861="",J858,J861)))</f>
        <v/>
      </c>
      <c r="K862" s="18">
        <f>IF($B$858="","",IF(4&lt;=$C$4,N(K859),IF(K861="",K858,K861)))</f>
        <v/>
      </c>
      <c r="L862" s="18">
        <f>IF($B$858="","",IF(5&lt;=$C$4,N(L859),IF(L861="",L858,L861)))</f>
        <v/>
      </c>
      <c r="M862" s="18">
        <f>IF($B$858="","",IF(6&lt;=$C$4,N(M859),IF(M861="",M858,M861)))</f>
        <v/>
      </c>
      <c r="N862" s="18">
        <f>IF($B$858="","",IF(7&lt;=$C$4,N(N859),IF(N861="",N858,N861)))</f>
        <v/>
      </c>
      <c r="O862" s="18">
        <f>IF($B$858="","",IF(8&lt;=$C$4,N(O859),IF(O861="",O858,O861)))</f>
        <v/>
      </c>
      <c r="P862" s="18">
        <f>IF($B$858="","",IF(9&lt;=$C$4,N(P859),IF(P861="",P858,P861)))</f>
        <v/>
      </c>
      <c r="Q862" s="18">
        <f>IF($B$858="","",IF(10&lt;=$C$4,N(Q859),IF(Q861="",Q858,Q861)))</f>
        <v/>
      </c>
      <c r="R862" s="18">
        <f>IF($B$858="","",IF(11&lt;=$C$4,N(R859),IF(R861="",R858,R861)))</f>
        <v/>
      </c>
      <c r="S862" s="18">
        <f>IF($B$858="","",IF(12&lt;=$C$4,N(S859),IF(S861="",S858,S861)))</f>
        <v/>
      </c>
      <c r="T862" s="18">
        <f>IF($B$858="","",SUMIF($H$7:$S$7,"&lt;="&amp;$C$4,$H862:$S862))</f>
        <v/>
      </c>
      <c r="U862" s="18">
        <f>IF($B$858="","",SUMIF($H$7:$S$7,"&gt;"&amp;$C$4,$H862:$S862))</f>
        <v/>
      </c>
      <c r="V862" s="18">
        <f>IF($B$858="","",SUM($H862:$S862))</f>
        <v/>
      </c>
      <c r="X862" s="22">
        <f>IF($B862="","",IFERROR(INDEX(Cost_Centers!$E:$E,MATCH($B862,Cost_Centers!$A:$A,0)),"(unknown)"))</f>
        <v/>
      </c>
      <c r="Y862" s="22">
        <f>IF($B862="","",IFERROR(INDEX(Cost_Centers!$D:$D,MATCH($B862,Cost_Centers!$A:$A,0)),"(unknown)"))</f>
        <v/>
      </c>
      <c r="Z862" s="22">
        <f>IF(OR($B862="",$G862&lt;&gt;"Variance vs Budget"),"",ABS(N($V862))+ROW()/1000000000)</f>
        <v/>
      </c>
    </row>
    <row r="863">
      <c r="A863" s="13">
        <f>IF(A$858="","",A$858)</f>
        <v/>
      </c>
      <c r="B863" s="13">
        <f>IF(B$858="","",B$858)</f>
        <v/>
      </c>
      <c r="C863" s="13">
        <f>IF(C$858="","",C$858)</f>
        <v/>
      </c>
      <c r="D863" s="13">
        <f>IF(D$858="","",D$858)</f>
        <v/>
      </c>
      <c r="E863" s="13">
        <f>IF(E$858="","",E$858)</f>
        <v/>
      </c>
      <c r="F863" s="13">
        <f>IF(F$858="","",F$858)</f>
        <v/>
      </c>
      <c r="G863" s="36" t="inlineStr">
        <is>
          <t>Prior Month Forecast</t>
        </is>
      </c>
      <c r="H863" s="37">
        <f>IF($B$858="","",IF(COUNTIFS(Prior_Forecast!$A:$A,$B$858,Prior_Forecast!$B:$B,$D$858)&gt;0,SUMIFS(Prior_Forecast!$C:$C,Prior_Forecast!$A:$A,$B$858,Prior_Forecast!$B:$B,$D$858),""))</f>
        <v/>
      </c>
      <c r="I863" s="37">
        <f>IF($B$858="","",IF(COUNTIFS(Prior_Forecast!$A:$A,$B$858,Prior_Forecast!$B:$B,$D$858)&gt;0,SUMIFS(Prior_Forecast!$D:$D,Prior_Forecast!$A:$A,$B$858,Prior_Forecast!$B:$B,$D$858),""))</f>
        <v/>
      </c>
      <c r="J863" s="37">
        <f>IF($B$858="","",IF(COUNTIFS(Prior_Forecast!$A:$A,$B$858,Prior_Forecast!$B:$B,$D$858)&gt;0,SUMIFS(Prior_Forecast!$E:$E,Prior_Forecast!$A:$A,$B$858,Prior_Forecast!$B:$B,$D$858),""))</f>
        <v/>
      </c>
      <c r="K863" s="37">
        <f>IF($B$858="","",IF(COUNTIFS(Prior_Forecast!$A:$A,$B$858,Prior_Forecast!$B:$B,$D$858)&gt;0,SUMIFS(Prior_Forecast!$F:$F,Prior_Forecast!$A:$A,$B$858,Prior_Forecast!$B:$B,$D$858),""))</f>
        <v/>
      </c>
      <c r="L863" s="37">
        <f>IF($B$858="","",IF(COUNTIFS(Prior_Forecast!$A:$A,$B$858,Prior_Forecast!$B:$B,$D$858)&gt;0,SUMIFS(Prior_Forecast!$G:$G,Prior_Forecast!$A:$A,$B$858,Prior_Forecast!$B:$B,$D$858),""))</f>
        <v/>
      </c>
      <c r="M863" s="37">
        <f>IF($B$858="","",IF(COUNTIFS(Prior_Forecast!$A:$A,$B$858,Prior_Forecast!$B:$B,$D$858)&gt;0,SUMIFS(Prior_Forecast!$H:$H,Prior_Forecast!$A:$A,$B$858,Prior_Forecast!$B:$B,$D$858),""))</f>
        <v/>
      </c>
      <c r="N863" s="37">
        <f>IF($B$858="","",IF(COUNTIFS(Prior_Forecast!$A:$A,$B$858,Prior_Forecast!$B:$B,$D$858)&gt;0,SUMIFS(Prior_Forecast!$I:$I,Prior_Forecast!$A:$A,$B$858,Prior_Forecast!$B:$B,$D$858),""))</f>
        <v/>
      </c>
      <c r="O863" s="37">
        <f>IF($B$858="","",IF(COUNTIFS(Prior_Forecast!$A:$A,$B$858,Prior_Forecast!$B:$B,$D$858)&gt;0,SUMIFS(Prior_Forecast!$J:$J,Prior_Forecast!$A:$A,$B$858,Prior_Forecast!$B:$B,$D$858),""))</f>
        <v/>
      </c>
      <c r="P863" s="37">
        <f>IF($B$858="","",IF(COUNTIFS(Prior_Forecast!$A:$A,$B$858,Prior_Forecast!$B:$B,$D$858)&gt;0,SUMIFS(Prior_Forecast!$K:$K,Prior_Forecast!$A:$A,$B$858,Prior_Forecast!$B:$B,$D$858),""))</f>
        <v/>
      </c>
      <c r="Q863" s="37">
        <f>IF($B$858="","",IF(COUNTIFS(Prior_Forecast!$A:$A,$B$858,Prior_Forecast!$B:$B,$D$858)&gt;0,SUMIFS(Prior_Forecast!$L:$L,Prior_Forecast!$A:$A,$B$858,Prior_Forecast!$B:$B,$D$858),""))</f>
        <v/>
      </c>
      <c r="R863" s="37">
        <f>IF($B$858="","",IF(COUNTIFS(Prior_Forecast!$A:$A,$B$858,Prior_Forecast!$B:$B,$D$858)&gt;0,SUMIFS(Prior_Forecast!$M:$M,Prior_Forecast!$A:$A,$B$858,Prior_Forecast!$B:$B,$D$858),""))</f>
        <v/>
      </c>
      <c r="S863" s="37">
        <f>IF($B$858="","",IF(COUNTIFS(Prior_Forecast!$A:$A,$B$858,Prior_Forecast!$B:$B,$D$858)&gt;0,SUMIFS(Prior_Forecast!$N:$N,Prior_Forecast!$A:$A,$B$858,Prior_Forecast!$B:$B,$D$858),""))</f>
        <v/>
      </c>
      <c r="T863" s="37">
        <f>IF($B$858="","",IF(COUNTIFS(Prior_Forecast!$A:$A,$B$858,Prior_Forecast!$B:$B,$D$858)&gt;0,SUMIFS(Prior_Forecast!$O:$O,Prior_Forecast!$A:$A,$B$858,Prior_Forecast!$B:$B,$D$858),""))</f>
        <v/>
      </c>
      <c r="U863" s="37">
        <f>IF($B$858="","",IF(COUNTIFS(Prior_Forecast!$A:$A,$B$858,Prior_Forecast!$B:$B,$D$858)&gt;0,SUMIFS(Prior_Forecast!$P:$P,Prior_Forecast!$A:$A,$B$858,Prior_Forecast!$B:$B,$D$858),""))</f>
        <v/>
      </c>
      <c r="V863" s="37">
        <f>IF($B$858="","",IF(COUNTIFS(Prior_Forecast!$A:$A,$B$858,Prior_Forecast!$B:$B,$D$858)&gt;0,SUMIFS(Prior_Forecast!$Q:$Q,Prior_Forecast!$A:$A,$B$858,Prior_Forecast!$B:$B,$D$858),""))</f>
        <v/>
      </c>
      <c r="X863" s="22">
        <f>IF($B863="","",IFERROR(INDEX(Cost_Centers!$E:$E,MATCH($B863,Cost_Centers!$A:$A,0)),"(unknown)"))</f>
        <v/>
      </c>
      <c r="Y863" s="22">
        <f>IF($B863="","",IFERROR(INDEX(Cost_Centers!$D:$D,MATCH($B863,Cost_Centers!$A:$A,0)),"(unknown)"))</f>
        <v/>
      </c>
      <c r="Z863" s="22">
        <f>IF(OR($B863="",$G863&lt;&gt;"Variance vs Budget"),"",ABS(N($V863))+ROW()/1000000000)</f>
        <v/>
      </c>
    </row>
    <row r="864">
      <c r="A864" s="13">
        <f>IF(A$858="","",A$858)</f>
        <v/>
      </c>
      <c r="B864" s="13">
        <f>IF(B$858="","",B$858)</f>
        <v/>
      </c>
      <c r="C864" s="13">
        <f>IF(C$858="","",C$858)</f>
        <v/>
      </c>
      <c r="D864" s="13">
        <f>IF(D$858="","",D$858)</f>
        <v/>
      </c>
      <c r="E864" s="13">
        <f>IF(E$858="","",E$858)</f>
        <v/>
      </c>
      <c r="F864" s="13">
        <f>IF(F$858="","",F$858)</f>
        <v/>
      </c>
      <c r="G864" s="6" t="inlineStr">
        <is>
          <t>Variance vs Prior Month</t>
        </is>
      </c>
      <c r="H864" s="33">
        <f>IF(OR($B$858="",H863=""),"",H862-H863)</f>
        <v/>
      </c>
      <c r="I864" s="33">
        <f>IF(OR($B$858="",I863=""),"",I862-I863)</f>
        <v/>
      </c>
      <c r="J864" s="33">
        <f>IF(OR($B$858="",J863=""),"",J862-J863)</f>
        <v/>
      </c>
      <c r="K864" s="33">
        <f>IF(OR($B$858="",K863=""),"",K862-K863)</f>
        <v/>
      </c>
      <c r="L864" s="33">
        <f>IF(OR($B$858="",L863=""),"",L862-L863)</f>
        <v/>
      </c>
      <c r="M864" s="33">
        <f>IF(OR($B$858="",M863=""),"",M862-M863)</f>
        <v/>
      </c>
      <c r="N864" s="33">
        <f>IF(OR($B$858="",N863=""),"",N862-N863)</f>
        <v/>
      </c>
      <c r="O864" s="33">
        <f>IF(OR($B$858="",O863=""),"",O862-O863)</f>
        <v/>
      </c>
      <c r="P864" s="33">
        <f>IF(OR($B$858="",P863=""),"",P862-P863)</f>
        <v/>
      </c>
      <c r="Q864" s="33">
        <f>IF(OR($B$858="",Q863=""),"",Q862-Q863)</f>
        <v/>
      </c>
      <c r="R864" s="33">
        <f>IF(OR($B$858="",R863=""),"",R862-R863)</f>
        <v/>
      </c>
      <c r="S864" s="33">
        <f>IF(OR($B$858="",S863=""),"",S862-S863)</f>
        <v/>
      </c>
      <c r="T864" s="33">
        <f>IF(OR($B$858="",T863=""),"",T862-T863)</f>
        <v/>
      </c>
      <c r="U864" s="33">
        <f>IF(OR($B$858="",U863=""),"",U862-U863)</f>
        <v/>
      </c>
      <c r="V864" s="33">
        <f>IF(OR($B$858="",V863=""),"",V862-V863)</f>
        <v/>
      </c>
      <c r="X864" s="22">
        <f>IF($B864="","",IFERROR(INDEX(Cost_Centers!$E:$E,MATCH($B864,Cost_Centers!$A:$A,0)),"(unknown)"))</f>
        <v/>
      </c>
      <c r="Y864" s="22">
        <f>IF($B864="","",IFERROR(INDEX(Cost_Centers!$D:$D,MATCH($B864,Cost_Centers!$A:$A,0)),"(unknown)"))</f>
        <v/>
      </c>
      <c r="Z864" s="22">
        <f>IF(OR($B864="",$G864&lt;&gt;"Variance vs Budget"),"",ABS(N($V864))+ROW()/1000000000)</f>
        <v/>
      </c>
    </row>
    <row r="865" ht="45" customHeight="1">
      <c r="A865" s="13">
        <f>IF(A$858="","",A$858)</f>
        <v/>
      </c>
      <c r="B865" s="13">
        <f>IF(B$858="","",B$858)</f>
        <v/>
      </c>
      <c r="C865" s="13">
        <f>IF(C$858="","",C$858)</f>
        <v/>
      </c>
      <c r="D865" s="13">
        <f>IF(D$858="","",D$858)</f>
        <v/>
      </c>
      <c r="E865" s="13">
        <f>IF(E$858="","",E$858)</f>
        <v/>
      </c>
      <c r="F865" s="13">
        <f>IF(F$858="","",F$858)</f>
        <v/>
      </c>
      <c r="G865" s="7" t="inlineStr">
        <is>
          <t>Rationale</t>
        </is>
      </c>
      <c r="H865" s="38" t="n"/>
      <c r="I865" s="38" t="n"/>
      <c r="J865" s="38" t="n"/>
      <c r="K865" s="38" t="n"/>
      <c r="L865" s="38" t="n"/>
      <c r="M865" s="38" t="n"/>
      <c r="N865" s="38" t="n"/>
      <c r="O865" s="38" t="n"/>
      <c r="P865" s="38" t="n"/>
      <c r="Q865" s="38" t="n"/>
      <c r="R865" s="38" t="n"/>
      <c r="S865" s="38" t="n"/>
      <c r="T865" s="38" t="n"/>
      <c r="U865" s="38" t="n"/>
      <c r="V865" s="7" t="n"/>
      <c r="X865" s="22">
        <f>IF($B865="","",IFERROR(INDEX(Cost_Centers!$E:$E,MATCH($B865,Cost_Centers!$A:$A,0)),"(unknown)"))</f>
        <v/>
      </c>
      <c r="Y865" s="22">
        <f>IF($B865="","",IFERROR(INDEX(Cost_Centers!$D:$D,MATCH($B865,Cost_Centers!$A:$A,0)),"(unknown)"))</f>
        <v/>
      </c>
      <c r="Z865" s="22">
        <f>IF(OR($B865="",$G865&lt;&gt;"Variance vs Budget"),"",ABS(N($V865))+ROW()/1000000000)</f>
        <v/>
      </c>
    </row>
    <row r="866">
      <c r="A866" s="30">
        <f>IF($D$866="","",LEFT($D$866,FIND("|",$D$866&amp;"|")-1))</f>
        <v/>
      </c>
      <c r="B866" s="31" t="n"/>
      <c r="C866" s="30">
        <f>IF($B$866="","",IFERROR(INDEX(Cost_Centers!$B:$B,MATCH($B$866,Cost_Centers!$A:$A,0)),"(not in master)"))</f>
        <v/>
      </c>
      <c r="D866" s="31" t="n"/>
      <c r="E866" s="30">
        <f>IF($D$866="","",IFERROR(INDEX(Accounts!$D:$D,MATCH($D$866,Accounts!$A:$A,0)),"(not in master)"))</f>
        <v/>
      </c>
      <c r="F866" s="31" t="n"/>
      <c r="G866" s="30" t="inlineStr">
        <is>
          <t>Budget</t>
        </is>
      </c>
      <c r="H866" s="32">
        <f>IF($B$866="","",SUMIFS(Opex_Budget!$O:$O,Opex_Budget!$A:$A,$C$3,Opex_Budget!$E:$E,$B$866,Opex_Budget!$F:$F,$D$866,Opex_Budget!$N:$N,"JPY")*$E$5+SUMIFS(Opex_Budget!$O:$O,Opex_Budget!$A:$A,$C$3,Opex_Budget!$E:$E,$B$866,Opex_Budget!$F:$F,$D$866,Opex_Budget!$N:$N,"USD")*$F$5+SUMIFS(Opex_Budget!$O:$O,Opex_Budget!$A:$A,$C$3,Opex_Budget!$E:$E,$B$866,Opex_Budget!$F:$F,$D$866,Opex_Budget!$N:$N,"EUR")*$G$5+SUMIFS(Opex_Budget!$O:$O,Opex_Budget!$A:$A,$C$3,Opex_Budget!$E:$E,$B$866,Opex_Budget!$F:$F,$D$866,Opex_Budget!$N:$N,"GBP")*$H$5)</f>
        <v/>
      </c>
      <c r="I866" s="32">
        <f>IF($B$866="","",SUMIFS(Opex_Budget!$P:$P,Opex_Budget!$A:$A,$C$3,Opex_Budget!$E:$E,$B$866,Opex_Budget!$F:$F,$D$866,Opex_Budget!$N:$N,"JPY")*$E$5+SUMIFS(Opex_Budget!$P:$P,Opex_Budget!$A:$A,$C$3,Opex_Budget!$E:$E,$B$866,Opex_Budget!$F:$F,$D$866,Opex_Budget!$N:$N,"USD")*$F$5+SUMIFS(Opex_Budget!$P:$P,Opex_Budget!$A:$A,$C$3,Opex_Budget!$E:$E,$B$866,Opex_Budget!$F:$F,$D$866,Opex_Budget!$N:$N,"EUR")*$G$5+SUMIFS(Opex_Budget!$P:$P,Opex_Budget!$A:$A,$C$3,Opex_Budget!$E:$E,$B$866,Opex_Budget!$F:$F,$D$866,Opex_Budget!$N:$N,"GBP")*$H$5)</f>
        <v/>
      </c>
      <c r="J866" s="32">
        <f>IF($B$866="","",SUMIFS(Opex_Budget!$Q:$Q,Opex_Budget!$A:$A,$C$3,Opex_Budget!$E:$E,$B$866,Opex_Budget!$F:$F,$D$866,Opex_Budget!$N:$N,"JPY")*$E$5+SUMIFS(Opex_Budget!$Q:$Q,Opex_Budget!$A:$A,$C$3,Opex_Budget!$E:$E,$B$866,Opex_Budget!$F:$F,$D$866,Opex_Budget!$N:$N,"USD")*$F$5+SUMIFS(Opex_Budget!$Q:$Q,Opex_Budget!$A:$A,$C$3,Opex_Budget!$E:$E,$B$866,Opex_Budget!$F:$F,$D$866,Opex_Budget!$N:$N,"EUR")*$G$5+SUMIFS(Opex_Budget!$Q:$Q,Opex_Budget!$A:$A,$C$3,Opex_Budget!$E:$E,$B$866,Opex_Budget!$F:$F,$D$866,Opex_Budget!$N:$N,"GBP")*$H$5)</f>
        <v/>
      </c>
      <c r="K866" s="32">
        <f>IF($B$866="","",SUMIFS(Opex_Budget!$R:$R,Opex_Budget!$A:$A,$C$3,Opex_Budget!$E:$E,$B$866,Opex_Budget!$F:$F,$D$866,Opex_Budget!$N:$N,"JPY")*$E$5+SUMIFS(Opex_Budget!$R:$R,Opex_Budget!$A:$A,$C$3,Opex_Budget!$E:$E,$B$866,Opex_Budget!$F:$F,$D$866,Opex_Budget!$N:$N,"USD")*$F$5+SUMIFS(Opex_Budget!$R:$R,Opex_Budget!$A:$A,$C$3,Opex_Budget!$E:$E,$B$866,Opex_Budget!$F:$F,$D$866,Opex_Budget!$N:$N,"EUR")*$G$5+SUMIFS(Opex_Budget!$R:$R,Opex_Budget!$A:$A,$C$3,Opex_Budget!$E:$E,$B$866,Opex_Budget!$F:$F,$D$866,Opex_Budget!$N:$N,"GBP")*$H$5)</f>
        <v/>
      </c>
      <c r="L866" s="32">
        <f>IF($B$866="","",SUMIFS(Opex_Budget!$S:$S,Opex_Budget!$A:$A,$C$3,Opex_Budget!$E:$E,$B$866,Opex_Budget!$F:$F,$D$866,Opex_Budget!$N:$N,"JPY")*$E$5+SUMIFS(Opex_Budget!$S:$S,Opex_Budget!$A:$A,$C$3,Opex_Budget!$E:$E,$B$866,Opex_Budget!$F:$F,$D$866,Opex_Budget!$N:$N,"USD")*$F$5+SUMIFS(Opex_Budget!$S:$S,Opex_Budget!$A:$A,$C$3,Opex_Budget!$E:$E,$B$866,Opex_Budget!$F:$F,$D$866,Opex_Budget!$N:$N,"EUR")*$G$5+SUMIFS(Opex_Budget!$S:$S,Opex_Budget!$A:$A,$C$3,Opex_Budget!$E:$E,$B$866,Opex_Budget!$F:$F,$D$866,Opex_Budget!$N:$N,"GBP")*$H$5)</f>
        <v/>
      </c>
      <c r="M866" s="32">
        <f>IF($B$866="","",SUMIFS(Opex_Budget!$T:$T,Opex_Budget!$A:$A,$C$3,Opex_Budget!$E:$E,$B$866,Opex_Budget!$F:$F,$D$866,Opex_Budget!$N:$N,"JPY")*$E$5+SUMIFS(Opex_Budget!$T:$T,Opex_Budget!$A:$A,$C$3,Opex_Budget!$E:$E,$B$866,Opex_Budget!$F:$F,$D$866,Opex_Budget!$N:$N,"USD")*$F$5+SUMIFS(Opex_Budget!$T:$T,Opex_Budget!$A:$A,$C$3,Opex_Budget!$E:$E,$B$866,Opex_Budget!$F:$F,$D$866,Opex_Budget!$N:$N,"EUR")*$G$5+SUMIFS(Opex_Budget!$T:$T,Opex_Budget!$A:$A,$C$3,Opex_Budget!$E:$E,$B$866,Opex_Budget!$F:$F,$D$866,Opex_Budget!$N:$N,"GBP")*$H$5)</f>
        <v/>
      </c>
      <c r="N866" s="32">
        <f>IF($B$866="","",SUMIFS(Opex_Budget!$U:$U,Opex_Budget!$A:$A,$C$3,Opex_Budget!$E:$E,$B$866,Opex_Budget!$F:$F,$D$866,Opex_Budget!$N:$N,"JPY")*$E$5+SUMIFS(Opex_Budget!$U:$U,Opex_Budget!$A:$A,$C$3,Opex_Budget!$E:$E,$B$866,Opex_Budget!$F:$F,$D$866,Opex_Budget!$N:$N,"USD")*$F$5+SUMIFS(Opex_Budget!$U:$U,Opex_Budget!$A:$A,$C$3,Opex_Budget!$E:$E,$B$866,Opex_Budget!$F:$F,$D$866,Opex_Budget!$N:$N,"EUR")*$G$5+SUMIFS(Opex_Budget!$U:$U,Opex_Budget!$A:$A,$C$3,Opex_Budget!$E:$E,$B$866,Opex_Budget!$F:$F,$D$866,Opex_Budget!$N:$N,"GBP")*$H$5)</f>
        <v/>
      </c>
      <c r="O866" s="32">
        <f>IF($B$866="","",SUMIFS(Opex_Budget!$V:$V,Opex_Budget!$A:$A,$C$3,Opex_Budget!$E:$E,$B$866,Opex_Budget!$F:$F,$D$866,Opex_Budget!$N:$N,"JPY")*$E$5+SUMIFS(Opex_Budget!$V:$V,Opex_Budget!$A:$A,$C$3,Opex_Budget!$E:$E,$B$866,Opex_Budget!$F:$F,$D$866,Opex_Budget!$N:$N,"USD")*$F$5+SUMIFS(Opex_Budget!$V:$V,Opex_Budget!$A:$A,$C$3,Opex_Budget!$E:$E,$B$866,Opex_Budget!$F:$F,$D$866,Opex_Budget!$N:$N,"EUR")*$G$5+SUMIFS(Opex_Budget!$V:$V,Opex_Budget!$A:$A,$C$3,Opex_Budget!$E:$E,$B$866,Opex_Budget!$F:$F,$D$866,Opex_Budget!$N:$N,"GBP")*$H$5)</f>
        <v/>
      </c>
      <c r="P866" s="32">
        <f>IF($B$866="","",SUMIFS(Opex_Budget!$W:$W,Opex_Budget!$A:$A,$C$3,Opex_Budget!$E:$E,$B$866,Opex_Budget!$F:$F,$D$866,Opex_Budget!$N:$N,"JPY")*$E$5+SUMIFS(Opex_Budget!$W:$W,Opex_Budget!$A:$A,$C$3,Opex_Budget!$E:$E,$B$866,Opex_Budget!$F:$F,$D$866,Opex_Budget!$N:$N,"USD")*$F$5+SUMIFS(Opex_Budget!$W:$W,Opex_Budget!$A:$A,$C$3,Opex_Budget!$E:$E,$B$866,Opex_Budget!$F:$F,$D$866,Opex_Budget!$N:$N,"EUR")*$G$5+SUMIFS(Opex_Budget!$W:$W,Opex_Budget!$A:$A,$C$3,Opex_Budget!$E:$E,$B$866,Opex_Budget!$F:$F,$D$866,Opex_Budget!$N:$N,"GBP")*$H$5)</f>
        <v/>
      </c>
      <c r="Q866" s="32">
        <f>IF($B$866="","",SUMIFS(Opex_Budget!$X:$X,Opex_Budget!$A:$A,$C$3,Opex_Budget!$E:$E,$B$866,Opex_Budget!$F:$F,$D$866,Opex_Budget!$N:$N,"JPY")*$E$5+SUMIFS(Opex_Budget!$X:$X,Opex_Budget!$A:$A,$C$3,Opex_Budget!$E:$E,$B$866,Opex_Budget!$F:$F,$D$866,Opex_Budget!$N:$N,"USD")*$F$5+SUMIFS(Opex_Budget!$X:$X,Opex_Budget!$A:$A,$C$3,Opex_Budget!$E:$E,$B$866,Opex_Budget!$F:$F,$D$866,Opex_Budget!$N:$N,"EUR")*$G$5+SUMIFS(Opex_Budget!$X:$X,Opex_Budget!$A:$A,$C$3,Opex_Budget!$E:$E,$B$866,Opex_Budget!$F:$F,$D$866,Opex_Budget!$N:$N,"GBP")*$H$5)</f>
        <v/>
      </c>
      <c r="R866" s="32">
        <f>IF($B$866="","",SUMIFS(Opex_Budget!$Y:$Y,Opex_Budget!$A:$A,$C$3,Opex_Budget!$E:$E,$B$866,Opex_Budget!$F:$F,$D$866,Opex_Budget!$N:$N,"JPY")*$E$5+SUMIFS(Opex_Budget!$Y:$Y,Opex_Budget!$A:$A,$C$3,Opex_Budget!$E:$E,$B$866,Opex_Budget!$F:$F,$D$866,Opex_Budget!$N:$N,"USD")*$F$5+SUMIFS(Opex_Budget!$Y:$Y,Opex_Budget!$A:$A,$C$3,Opex_Budget!$E:$E,$B$866,Opex_Budget!$F:$F,$D$866,Opex_Budget!$N:$N,"EUR")*$G$5+SUMIFS(Opex_Budget!$Y:$Y,Opex_Budget!$A:$A,$C$3,Opex_Budget!$E:$E,$B$866,Opex_Budget!$F:$F,$D$866,Opex_Budget!$N:$N,"GBP")*$H$5)</f>
        <v/>
      </c>
      <c r="S866" s="32">
        <f>IF($B$866="","",SUMIFS(Opex_Budget!$Z:$Z,Opex_Budget!$A:$A,$C$3,Opex_Budget!$E:$E,$B$866,Opex_Budget!$F:$F,$D$866,Opex_Budget!$N:$N,"JPY")*$E$5+SUMIFS(Opex_Budget!$Z:$Z,Opex_Budget!$A:$A,$C$3,Opex_Budget!$E:$E,$B$866,Opex_Budget!$F:$F,$D$866,Opex_Budget!$N:$N,"USD")*$F$5+SUMIFS(Opex_Budget!$Z:$Z,Opex_Budget!$A:$A,$C$3,Opex_Budget!$E:$E,$B$866,Opex_Budget!$F:$F,$D$866,Opex_Budget!$N:$N,"EUR")*$G$5+SUMIFS(Opex_Budget!$Z:$Z,Opex_Budget!$A:$A,$C$3,Opex_Budget!$E:$E,$B$866,Opex_Budget!$F:$F,$D$866,Opex_Budget!$N:$N,"GBP")*$H$5)</f>
        <v/>
      </c>
      <c r="T866" s="32">
        <f>IF($B$866="","",SUMIF($H$7:$S$7,"&lt;="&amp;$C$4,$H866:$S866))</f>
        <v/>
      </c>
      <c r="U866" s="32">
        <f>IF($B$866="","",SUMIF($H$7:$S$7,"&gt;"&amp;$C$4,$H866:$S866))</f>
        <v/>
      </c>
      <c r="V866" s="32">
        <f>IF($B$866="","",SUM($H866:$S866))</f>
        <v/>
      </c>
      <c r="X866" s="22">
        <f>IF($B866="","",IFERROR(INDEX(Cost_Centers!$E:$E,MATCH($B866,Cost_Centers!$A:$A,0)),"(unknown)"))</f>
        <v/>
      </c>
      <c r="Y866" s="22">
        <f>IF($B866="","",IFERROR(INDEX(Cost_Centers!$D:$D,MATCH($B866,Cost_Centers!$A:$A,0)),"(unknown)"))</f>
        <v/>
      </c>
      <c r="Z866" s="22">
        <f>IF(OR($B866="",$G866&lt;&gt;"Variance vs Budget"),"",ABS(N($V866))+ROW()/1000000000)</f>
        <v/>
      </c>
    </row>
    <row r="867">
      <c r="A867" s="13">
        <f>IF(A$866="","",A$866)</f>
        <v/>
      </c>
      <c r="B867" s="13">
        <f>IF(B$866="","",B$866)</f>
        <v/>
      </c>
      <c r="C867" s="13">
        <f>IF(C$866="","",C$866)</f>
        <v/>
      </c>
      <c r="D867" s="13">
        <f>IF(D$866="","",D$866)</f>
        <v/>
      </c>
      <c r="E867" s="13">
        <f>IF(E$866="","",E$866)</f>
        <v/>
      </c>
      <c r="F867" s="13">
        <f>IF(F$866="","",F$866)</f>
        <v/>
      </c>
      <c r="G867" s="7" t="inlineStr">
        <is>
          <t>Actual</t>
        </is>
      </c>
      <c r="H867" s="18">
        <f>IF(OR($B$866="",1&gt;$C$4),"",SUMIFS(Actuals!$G:$G,Actuals!$B:$B,$C$3,Actuals!$C:$C,1,Actuals!$D:$D,$B$866,Actuals!$A:$A,LEFT($D$866,FIND("|",$D$866&amp;"|")-1),Actuals!$E:$E,MID($D$866,FIND("|",$D$866&amp;"|")+1,50),Actuals!$F:$F,"JPY")*$E$5+SUMIFS(Actuals!$G:$G,Actuals!$B:$B,$C$3,Actuals!$C:$C,1,Actuals!$D:$D,$B$866,Actuals!$A:$A,LEFT($D$866,FIND("|",$D$866&amp;"|")-1),Actuals!$E:$E,MID($D$866,FIND("|",$D$866&amp;"|")+1,50),Actuals!$F:$F,"USD")*$F$5+SUMIFS(Actuals!$G:$G,Actuals!$B:$B,$C$3,Actuals!$C:$C,1,Actuals!$D:$D,$B$866,Actuals!$A:$A,LEFT($D$866,FIND("|",$D$866&amp;"|")-1),Actuals!$E:$E,MID($D$866,FIND("|",$D$866&amp;"|")+1,50),Actuals!$F:$F,"EUR")*$G$5+SUMIFS(Actuals!$G:$G,Actuals!$B:$B,$C$3,Actuals!$C:$C,1,Actuals!$D:$D,$B$866,Actuals!$A:$A,LEFT($D$866,FIND("|",$D$866&amp;"|")-1),Actuals!$E:$E,MID($D$866,FIND("|",$D$866&amp;"|")+1,50),Actuals!$F:$F,"GBP")*$H$5)</f>
        <v/>
      </c>
      <c r="I867" s="18">
        <f>IF(OR($B$866="",2&gt;$C$4),"",SUMIFS(Actuals!$G:$G,Actuals!$B:$B,$C$3,Actuals!$C:$C,2,Actuals!$D:$D,$B$866,Actuals!$A:$A,LEFT($D$866,FIND("|",$D$866&amp;"|")-1),Actuals!$E:$E,MID($D$866,FIND("|",$D$866&amp;"|")+1,50),Actuals!$F:$F,"JPY")*$E$5+SUMIFS(Actuals!$G:$G,Actuals!$B:$B,$C$3,Actuals!$C:$C,2,Actuals!$D:$D,$B$866,Actuals!$A:$A,LEFT($D$866,FIND("|",$D$866&amp;"|")-1),Actuals!$E:$E,MID($D$866,FIND("|",$D$866&amp;"|")+1,50),Actuals!$F:$F,"USD")*$F$5+SUMIFS(Actuals!$G:$G,Actuals!$B:$B,$C$3,Actuals!$C:$C,2,Actuals!$D:$D,$B$866,Actuals!$A:$A,LEFT($D$866,FIND("|",$D$866&amp;"|")-1),Actuals!$E:$E,MID($D$866,FIND("|",$D$866&amp;"|")+1,50),Actuals!$F:$F,"EUR")*$G$5+SUMIFS(Actuals!$G:$G,Actuals!$B:$B,$C$3,Actuals!$C:$C,2,Actuals!$D:$D,$B$866,Actuals!$A:$A,LEFT($D$866,FIND("|",$D$866&amp;"|")-1),Actuals!$E:$E,MID($D$866,FIND("|",$D$866&amp;"|")+1,50),Actuals!$F:$F,"GBP")*$H$5)</f>
        <v/>
      </c>
      <c r="J867" s="18">
        <f>IF(OR($B$866="",3&gt;$C$4),"",SUMIFS(Actuals!$G:$G,Actuals!$B:$B,$C$3,Actuals!$C:$C,3,Actuals!$D:$D,$B$866,Actuals!$A:$A,LEFT($D$866,FIND("|",$D$866&amp;"|")-1),Actuals!$E:$E,MID($D$866,FIND("|",$D$866&amp;"|")+1,50),Actuals!$F:$F,"JPY")*$E$5+SUMIFS(Actuals!$G:$G,Actuals!$B:$B,$C$3,Actuals!$C:$C,3,Actuals!$D:$D,$B$866,Actuals!$A:$A,LEFT($D$866,FIND("|",$D$866&amp;"|")-1),Actuals!$E:$E,MID($D$866,FIND("|",$D$866&amp;"|")+1,50),Actuals!$F:$F,"USD")*$F$5+SUMIFS(Actuals!$G:$G,Actuals!$B:$B,$C$3,Actuals!$C:$C,3,Actuals!$D:$D,$B$866,Actuals!$A:$A,LEFT($D$866,FIND("|",$D$866&amp;"|")-1),Actuals!$E:$E,MID($D$866,FIND("|",$D$866&amp;"|")+1,50),Actuals!$F:$F,"EUR")*$G$5+SUMIFS(Actuals!$G:$G,Actuals!$B:$B,$C$3,Actuals!$C:$C,3,Actuals!$D:$D,$B$866,Actuals!$A:$A,LEFT($D$866,FIND("|",$D$866&amp;"|")-1),Actuals!$E:$E,MID($D$866,FIND("|",$D$866&amp;"|")+1,50),Actuals!$F:$F,"GBP")*$H$5)</f>
        <v/>
      </c>
      <c r="K867" s="18">
        <f>IF(OR($B$866="",4&gt;$C$4),"",SUMIFS(Actuals!$G:$G,Actuals!$B:$B,$C$3,Actuals!$C:$C,4,Actuals!$D:$D,$B$866,Actuals!$A:$A,LEFT($D$866,FIND("|",$D$866&amp;"|")-1),Actuals!$E:$E,MID($D$866,FIND("|",$D$866&amp;"|")+1,50),Actuals!$F:$F,"JPY")*$E$5+SUMIFS(Actuals!$G:$G,Actuals!$B:$B,$C$3,Actuals!$C:$C,4,Actuals!$D:$D,$B$866,Actuals!$A:$A,LEFT($D$866,FIND("|",$D$866&amp;"|")-1),Actuals!$E:$E,MID($D$866,FIND("|",$D$866&amp;"|")+1,50),Actuals!$F:$F,"USD")*$F$5+SUMIFS(Actuals!$G:$G,Actuals!$B:$B,$C$3,Actuals!$C:$C,4,Actuals!$D:$D,$B$866,Actuals!$A:$A,LEFT($D$866,FIND("|",$D$866&amp;"|")-1),Actuals!$E:$E,MID($D$866,FIND("|",$D$866&amp;"|")+1,50),Actuals!$F:$F,"EUR")*$G$5+SUMIFS(Actuals!$G:$G,Actuals!$B:$B,$C$3,Actuals!$C:$C,4,Actuals!$D:$D,$B$866,Actuals!$A:$A,LEFT($D$866,FIND("|",$D$866&amp;"|")-1),Actuals!$E:$E,MID($D$866,FIND("|",$D$866&amp;"|")+1,50),Actuals!$F:$F,"GBP")*$H$5)</f>
        <v/>
      </c>
      <c r="L867" s="18">
        <f>IF(OR($B$866="",5&gt;$C$4),"",SUMIFS(Actuals!$G:$G,Actuals!$B:$B,$C$3,Actuals!$C:$C,5,Actuals!$D:$D,$B$866,Actuals!$A:$A,LEFT($D$866,FIND("|",$D$866&amp;"|")-1),Actuals!$E:$E,MID($D$866,FIND("|",$D$866&amp;"|")+1,50),Actuals!$F:$F,"JPY")*$E$5+SUMIFS(Actuals!$G:$G,Actuals!$B:$B,$C$3,Actuals!$C:$C,5,Actuals!$D:$D,$B$866,Actuals!$A:$A,LEFT($D$866,FIND("|",$D$866&amp;"|")-1),Actuals!$E:$E,MID($D$866,FIND("|",$D$866&amp;"|")+1,50),Actuals!$F:$F,"USD")*$F$5+SUMIFS(Actuals!$G:$G,Actuals!$B:$B,$C$3,Actuals!$C:$C,5,Actuals!$D:$D,$B$866,Actuals!$A:$A,LEFT($D$866,FIND("|",$D$866&amp;"|")-1),Actuals!$E:$E,MID($D$866,FIND("|",$D$866&amp;"|")+1,50),Actuals!$F:$F,"EUR")*$G$5+SUMIFS(Actuals!$G:$G,Actuals!$B:$B,$C$3,Actuals!$C:$C,5,Actuals!$D:$D,$B$866,Actuals!$A:$A,LEFT($D$866,FIND("|",$D$866&amp;"|")-1),Actuals!$E:$E,MID($D$866,FIND("|",$D$866&amp;"|")+1,50),Actuals!$F:$F,"GBP")*$H$5)</f>
        <v/>
      </c>
      <c r="M867" s="18">
        <f>IF(OR($B$866="",6&gt;$C$4),"",SUMIFS(Actuals!$G:$G,Actuals!$B:$B,$C$3,Actuals!$C:$C,6,Actuals!$D:$D,$B$866,Actuals!$A:$A,LEFT($D$866,FIND("|",$D$866&amp;"|")-1),Actuals!$E:$E,MID($D$866,FIND("|",$D$866&amp;"|")+1,50),Actuals!$F:$F,"JPY")*$E$5+SUMIFS(Actuals!$G:$G,Actuals!$B:$B,$C$3,Actuals!$C:$C,6,Actuals!$D:$D,$B$866,Actuals!$A:$A,LEFT($D$866,FIND("|",$D$866&amp;"|")-1),Actuals!$E:$E,MID($D$866,FIND("|",$D$866&amp;"|")+1,50),Actuals!$F:$F,"USD")*$F$5+SUMIFS(Actuals!$G:$G,Actuals!$B:$B,$C$3,Actuals!$C:$C,6,Actuals!$D:$D,$B$866,Actuals!$A:$A,LEFT($D$866,FIND("|",$D$866&amp;"|")-1),Actuals!$E:$E,MID($D$866,FIND("|",$D$866&amp;"|")+1,50),Actuals!$F:$F,"EUR")*$G$5+SUMIFS(Actuals!$G:$G,Actuals!$B:$B,$C$3,Actuals!$C:$C,6,Actuals!$D:$D,$B$866,Actuals!$A:$A,LEFT($D$866,FIND("|",$D$866&amp;"|")-1),Actuals!$E:$E,MID($D$866,FIND("|",$D$866&amp;"|")+1,50),Actuals!$F:$F,"GBP")*$H$5)</f>
        <v/>
      </c>
      <c r="N867" s="18">
        <f>IF(OR($B$866="",7&gt;$C$4),"",SUMIFS(Actuals!$G:$G,Actuals!$B:$B,$C$3,Actuals!$C:$C,7,Actuals!$D:$D,$B$866,Actuals!$A:$A,LEFT($D$866,FIND("|",$D$866&amp;"|")-1),Actuals!$E:$E,MID($D$866,FIND("|",$D$866&amp;"|")+1,50),Actuals!$F:$F,"JPY")*$E$5+SUMIFS(Actuals!$G:$G,Actuals!$B:$B,$C$3,Actuals!$C:$C,7,Actuals!$D:$D,$B$866,Actuals!$A:$A,LEFT($D$866,FIND("|",$D$866&amp;"|")-1),Actuals!$E:$E,MID($D$866,FIND("|",$D$866&amp;"|")+1,50),Actuals!$F:$F,"USD")*$F$5+SUMIFS(Actuals!$G:$G,Actuals!$B:$B,$C$3,Actuals!$C:$C,7,Actuals!$D:$D,$B$866,Actuals!$A:$A,LEFT($D$866,FIND("|",$D$866&amp;"|")-1),Actuals!$E:$E,MID($D$866,FIND("|",$D$866&amp;"|")+1,50),Actuals!$F:$F,"EUR")*$G$5+SUMIFS(Actuals!$G:$G,Actuals!$B:$B,$C$3,Actuals!$C:$C,7,Actuals!$D:$D,$B$866,Actuals!$A:$A,LEFT($D$866,FIND("|",$D$866&amp;"|")-1),Actuals!$E:$E,MID($D$866,FIND("|",$D$866&amp;"|")+1,50),Actuals!$F:$F,"GBP")*$H$5)</f>
        <v/>
      </c>
      <c r="O867" s="18">
        <f>IF(OR($B$866="",8&gt;$C$4),"",SUMIFS(Actuals!$G:$G,Actuals!$B:$B,$C$3,Actuals!$C:$C,8,Actuals!$D:$D,$B$866,Actuals!$A:$A,LEFT($D$866,FIND("|",$D$866&amp;"|")-1),Actuals!$E:$E,MID($D$866,FIND("|",$D$866&amp;"|")+1,50),Actuals!$F:$F,"JPY")*$E$5+SUMIFS(Actuals!$G:$G,Actuals!$B:$B,$C$3,Actuals!$C:$C,8,Actuals!$D:$D,$B$866,Actuals!$A:$A,LEFT($D$866,FIND("|",$D$866&amp;"|")-1),Actuals!$E:$E,MID($D$866,FIND("|",$D$866&amp;"|")+1,50),Actuals!$F:$F,"USD")*$F$5+SUMIFS(Actuals!$G:$G,Actuals!$B:$B,$C$3,Actuals!$C:$C,8,Actuals!$D:$D,$B$866,Actuals!$A:$A,LEFT($D$866,FIND("|",$D$866&amp;"|")-1),Actuals!$E:$E,MID($D$866,FIND("|",$D$866&amp;"|")+1,50),Actuals!$F:$F,"EUR")*$G$5+SUMIFS(Actuals!$G:$G,Actuals!$B:$B,$C$3,Actuals!$C:$C,8,Actuals!$D:$D,$B$866,Actuals!$A:$A,LEFT($D$866,FIND("|",$D$866&amp;"|")-1),Actuals!$E:$E,MID($D$866,FIND("|",$D$866&amp;"|")+1,50),Actuals!$F:$F,"GBP")*$H$5)</f>
        <v/>
      </c>
      <c r="P867" s="18">
        <f>IF(OR($B$866="",9&gt;$C$4),"",SUMIFS(Actuals!$G:$G,Actuals!$B:$B,$C$3,Actuals!$C:$C,9,Actuals!$D:$D,$B$866,Actuals!$A:$A,LEFT($D$866,FIND("|",$D$866&amp;"|")-1),Actuals!$E:$E,MID($D$866,FIND("|",$D$866&amp;"|")+1,50),Actuals!$F:$F,"JPY")*$E$5+SUMIFS(Actuals!$G:$G,Actuals!$B:$B,$C$3,Actuals!$C:$C,9,Actuals!$D:$D,$B$866,Actuals!$A:$A,LEFT($D$866,FIND("|",$D$866&amp;"|")-1),Actuals!$E:$E,MID($D$866,FIND("|",$D$866&amp;"|")+1,50),Actuals!$F:$F,"USD")*$F$5+SUMIFS(Actuals!$G:$G,Actuals!$B:$B,$C$3,Actuals!$C:$C,9,Actuals!$D:$D,$B$866,Actuals!$A:$A,LEFT($D$866,FIND("|",$D$866&amp;"|")-1),Actuals!$E:$E,MID($D$866,FIND("|",$D$866&amp;"|")+1,50),Actuals!$F:$F,"EUR")*$G$5+SUMIFS(Actuals!$G:$G,Actuals!$B:$B,$C$3,Actuals!$C:$C,9,Actuals!$D:$D,$B$866,Actuals!$A:$A,LEFT($D$866,FIND("|",$D$866&amp;"|")-1),Actuals!$E:$E,MID($D$866,FIND("|",$D$866&amp;"|")+1,50),Actuals!$F:$F,"GBP")*$H$5)</f>
        <v/>
      </c>
      <c r="Q867" s="18">
        <f>IF(OR($B$866="",10&gt;$C$4),"",SUMIFS(Actuals!$G:$G,Actuals!$B:$B,$C$3,Actuals!$C:$C,10,Actuals!$D:$D,$B$866,Actuals!$A:$A,LEFT($D$866,FIND("|",$D$866&amp;"|")-1),Actuals!$E:$E,MID($D$866,FIND("|",$D$866&amp;"|")+1,50),Actuals!$F:$F,"JPY")*$E$5+SUMIFS(Actuals!$G:$G,Actuals!$B:$B,$C$3,Actuals!$C:$C,10,Actuals!$D:$D,$B$866,Actuals!$A:$A,LEFT($D$866,FIND("|",$D$866&amp;"|")-1),Actuals!$E:$E,MID($D$866,FIND("|",$D$866&amp;"|")+1,50),Actuals!$F:$F,"USD")*$F$5+SUMIFS(Actuals!$G:$G,Actuals!$B:$B,$C$3,Actuals!$C:$C,10,Actuals!$D:$D,$B$866,Actuals!$A:$A,LEFT($D$866,FIND("|",$D$866&amp;"|")-1),Actuals!$E:$E,MID($D$866,FIND("|",$D$866&amp;"|")+1,50),Actuals!$F:$F,"EUR")*$G$5+SUMIFS(Actuals!$G:$G,Actuals!$B:$B,$C$3,Actuals!$C:$C,10,Actuals!$D:$D,$B$866,Actuals!$A:$A,LEFT($D$866,FIND("|",$D$866&amp;"|")-1),Actuals!$E:$E,MID($D$866,FIND("|",$D$866&amp;"|")+1,50),Actuals!$F:$F,"GBP")*$H$5)</f>
        <v/>
      </c>
      <c r="R867" s="18">
        <f>IF(OR($B$866="",11&gt;$C$4),"",SUMIFS(Actuals!$G:$G,Actuals!$B:$B,$C$3,Actuals!$C:$C,11,Actuals!$D:$D,$B$866,Actuals!$A:$A,LEFT($D$866,FIND("|",$D$866&amp;"|")-1),Actuals!$E:$E,MID($D$866,FIND("|",$D$866&amp;"|")+1,50),Actuals!$F:$F,"JPY")*$E$5+SUMIFS(Actuals!$G:$G,Actuals!$B:$B,$C$3,Actuals!$C:$C,11,Actuals!$D:$D,$B$866,Actuals!$A:$A,LEFT($D$866,FIND("|",$D$866&amp;"|")-1),Actuals!$E:$E,MID($D$866,FIND("|",$D$866&amp;"|")+1,50),Actuals!$F:$F,"USD")*$F$5+SUMIFS(Actuals!$G:$G,Actuals!$B:$B,$C$3,Actuals!$C:$C,11,Actuals!$D:$D,$B$866,Actuals!$A:$A,LEFT($D$866,FIND("|",$D$866&amp;"|")-1),Actuals!$E:$E,MID($D$866,FIND("|",$D$866&amp;"|")+1,50),Actuals!$F:$F,"EUR")*$G$5+SUMIFS(Actuals!$G:$G,Actuals!$B:$B,$C$3,Actuals!$C:$C,11,Actuals!$D:$D,$B$866,Actuals!$A:$A,LEFT($D$866,FIND("|",$D$866&amp;"|")-1),Actuals!$E:$E,MID($D$866,FIND("|",$D$866&amp;"|")+1,50),Actuals!$F:$F,"GBP")*$H$5)</f>
        <v/>
      </c>
      <c r="S867" s="18">
        <f>IF(OR($B$866="",12&gt;$C$4),"",SUMIFS(Actuals!$G:$G,Actuals!$B:$B,$C$3,Actuals!$C:$C,12,Actuals!$D:$D,$B$866,Actuals!$A:$A,LEFT($D$866,FIND("|",$D$866&amp;"|")-1),Actuals!$E:$E,MID($D$866,FIND("|",$D$866&amp;"|")+1,50),Actuals!$F:$F,"JPY")*$E$5+SUMIFS(Actuals!$G:$G,Actuals!$B:$B,$C$3,Actuals!$C:$C,12,Actuals!$D:$D,$B$866,Actuals!$A:$A,LEFT($D$866,FIND("|",$D$866&amp;"|")-1),Actuals!$E:$E,MID($D$866,FIND("|",$D$866&amp;"|")+1,50),Actuals!$F:$F,"USD")*$F$5+SUMIFS(Actuals!$G:$G,Actuals!$B:$B,$C$3,Actuals!$C:$C,12,Actuals!$D:$D,$B$866,Actuals!$A:$A,LEFT($D$866,FIND("|",$D$866&amp;"|")-1),Actuals!$E:$E,MID($D$866,FIND("|",$D$866&amp;"|")+1,50),Actuals!$F:$F,"EUR")*$G$5+SUMIFS(Actuals!$G:$G,Actuals!$B:$B,$C$3,Actuals!$C:$C,12,Actuals!$D:$D,$B$866,Actuals!$A:$A,LEFT($D$866,FIND("|",$D$866&amp;"|")-1),Actuals!$E:$E,MID($D$866,FIND("|",$D$866&amp;"|")+1,50),Actuals!$F:$F,"GBP")*$H$5)</f>
        <v/>
      </c>
      <c r="T867" s="18">
        <f>IF($B$866="","",SUMIF($H$7:$S$7,"&lt;="&amp;$C$4,$H867:$S867))</f>
        <v/>
      </c>
      <c r="U867" s="18" t="n"/>
      <c r="V867" s="18" t="n"/>
      <c r="X867" s="22">
        <f>IF($B867="","",IFERROR(INDEX(Cost_Centers!$E:$E,MATCH($B867,Cost_Centers!$A:$A,0)),"(unknown)"))</f>
        <v/>
      </c>
      <c r="Y867" s="22">
        <f>IF($B867="","",IFERROR(INDEX(Cost_Centers!$D:$D,MATCH($B867,Cost_Centers!$A:$A,0)),"(unknown)"))</f>
        <v/>
      </c>
      <c r="Z867" s="22">
        <f>IF(OR($B867="",$G867&lt;&gt;"Variance vs Budget"),"",ABS(N($V867))+ROW()/1000000000)</f>
        <v/>
      </c>
    </row>
    <row r="868">
      <c r="A868" s="13">
        <f>IF(A$866="","",A$866)</f>
        <v/>
      </c>
      <c r="B868" s="13">
        <f>IF(B$866="","",B$866)</f>
        <v/>
      </c>
      <c r="C868" s="13">
        <f>IF(C$866="","",C$866)</f>
        <v/>
      </c>
      <c r="D868" s="13">
        <f>IF(D$866="","",D$866)</f>
        <v/>
      </c>
      <c r="E868" s="13">
        <f>IF(E$866="","",E$866)</f>
        <v/>
      </c>
      <c r="F868" s="13">
        <f>IF(F$866="","",F$866)</f>
        <v/>
      </c>
      <c r="G868" s="6" t="inlineStr">
        <is>
          <t>Variance vs Budget</t>
        </is>
      </c>
      <c r="H868" s="33">
        <f>IF(OR($B$866="",1&gt;$C$4),"",N(H867)-H866)</f>
        <v/>
      </c>
      <c r="I868" s="33">
        <f>IF(OR($B$866="",2&gt;$C$4),"",N(I867)-I866)</f>
        <v/>
      </c>
      <c r="J868" s="33">
        <f>IF(OR($B$866="",3&gt;$C$4),"",N(J867)-J866)</f>
        <v/>
      </c>
      <c r="K868" s="33">
        <f>IF(OR($B$866="",4&gt;$C$4),"",N(K867)-K866)</f>
        <v/>
      </c>
      <c r="L868" s="33">
        <f>IF(OR($B$866="",5&gt;$C$4),"",N(L867)-L866)</f>
        <v/>
      </c>
      <c r="M868" s="33">
        <f>IF(OR($B$866="",6&gt;$C$4),"",N(M867)-M866)</f>
        <v/>
      </c>
      <c r="N868" s="33">
        <f>IF(OR($B$866="",7&gt;$C$4),"",N(N867)-N866)</f>
        <v/>
      </c>
      <c r="O868" s="33">
        <f>IF(OR($B$866="",8&gt;$C$4),"",N(O867)-O866)</f>
        <v/>
      </c>
      <c r="P868" s="33">
        <f>IF(OR($B$866="",9&gt;$C$4),"",N(P867)-P866)</f>
        <v/>
      </c>
      <c r="Q868" s="33">
        <f>IF(OR($B$866="",10&gt;$C$4),"",N(Q867)-Q866)</f>
        <v/>
      </c>
      <c r="R868" s="33">
        <f>IF(OR($B$866="",11&gt;$C$4),"",N(R867)-R866)</f>
        <v/>
      </c>
      <c r="S868" s="33">
        <f>IF(OR($B$866="",12&gt;$C$4),"",N(S867)-S866)</f>
        <v/>
      </c>
      <c r="T868" s="33">
        <f>IF($B$866="","",T867-T866)</f>
        <v/>
      </c>
      <c r="U868" s="33">
        <f>IF($B$866="","",U870-U866)</f>
        <v/>
      </c>
      <c r="V868" s="33">
        <f>IF($B$866="","",V870-V866)</f>
        <v/>
      </c>
      <c r="X868" s="22">
        <f>IF($B868="","",IFERROR(INDEX(Cost_Centers!$E:$E,MATCH($B868,Cost_Centers!$A:$A,0)),"(unknown)"))</f>
        <v/>
      </c>
      <c r="Y868" s="22">
        <f>IF($B868="","",IFERROR(INDEX(Cost_Centers!$D:$D,MATCH($B868,Cost_Centers!$A:$A,0)),"(unknown)"))</f>
        <v/>
      </c>
      <c r="Z868" s="22">
        <f>IF(OR($B868="",$G868&lt;&gt;"Variance vs Budget"),"",ABS(N($V868))+ROW()/1000000000)</f>
        <v/>
      </c>
    </row>
    <row r="869">
      <c r="A869" s="13">
        <f>IF(A$866="","",A$866)</f>
        <v/>
      </c>
      <c r="B869" s="13">
        <f>IF(B$866="","",B$866)</f>
        <v/>
      </c>
      <c r="C869" s="13">
        <f>IF(C$866="","",C$866)</f>
        <v/>
      </c>
      <c r="D869" s="13">
        <f>IF(D$866="","",D$866)</f>
        <v/>
      </c>
      <c r="E869" s="13">
        <f>IF(E$866="","",E$866)</f>
        <v/>
      </c>
      <c r="F869" s="13">
        <f>IF(F$866="","",F$866)</f>
        <v/>
      </c>
      <c r="G869" s="7" t="inlineStr">
        <is>
          <t>Forecast (input)</t>
        </is>
      </c>
      <c r="H869" s="34" t="n"/>
      <c r="I869" s="34" t="n"/>
      <c r="J869" s="34" t="n"/>
      <c r="K869" s="34" t="n"/>
      <c r="L869" s="34" t="n"/>
      <c r="M869" s="34" t="n"/>
      <c r="N869" s="34" t="n"/>
      <c r="O869" s="34" t="n"/>
      <c r="P869" s="34" t="n"/>
      <c r="Q869" s="34" t="n"/>
      <c r="R869" s="34" t="n"/>
      <c r="S869" s="34" t="n"/>
      <c r="T869" s="18" t="n"/>
      <c r="U869" s="18" t="n"/>
      <c r="V869" s="18" t="n"/>
      <c r="X869" s="22">
        <f>IF($B869="","",IFERROR(INDEX(Cost_Centers!$E:$E,MATCH($B869,Cost_Centers!$A:$A,0)),"(unknown)"))</f>
        <v/>
      </c>
      <c r="Y869" s="22">
        <f>IF($B869="","",IFERROR(INDEX(Cost_Centers!$D:$D,MATCH($B869,Cost_Centers!$A:$A,0)),"(unknown)"))</f>
        <v/>
      </c>
      <c r="Z869" s="22">
        <f>IF(OR($B869="",$G869&lt;&gt;"Variance vs Budget"),"",ABS(N($V869))+ROW()/1000000000)</f>
        <v/>
      </c>
    </row>
    <row r="870">
      <c r="A870" s="13">
        <f>IF(A$866="","",A$866)</f>
        <v/>
      </c>
      <c r="B870" s="13">
        <f>IF(B$866="","",B$866)</f>
        <v/>
      </c>
      <c r="C870" s="13">
        <f>IF(C$866="","",C$866)</f>
        <v/>
      </c>
      <c r="D870" s="13">
        <f>IF(D$866="","",D$866)</f>
        <v/>
      </c>
      <c r="E870" s="13">
        <f>IF(E$866="","",E$866)</f>
        <v/>
      </c>
      <c r="F870" s="13">
        <f>IF(F$866="","",F$866)</f>
        <v/>
      </c>
      <c r="G870" s="35" t="inlineStr">
        <is>
          <t>Actual + Forecast</t>
        </is>
      </c>
      <c r="H870" s="18">
        <f>IF($B$866="","",IF(1&lt;=$C$4,N(H867),IF(H869="",H866,H869)))</f>
        <v/>
      </c>
      <c r="I870" s="18">
        <f>IF($B$866="","",IF(2&lt;=$C$4,N(I867),IF(I869="",I866,I869)))</f>
        <v/>
      </c>
      <c r="J870" s="18">
        <f>IF($B$866="","",IF(3&lt;=$C$4,N(J867),IF(J869="",J866,J869)))</f>
        <v/>
      </c>
      <c r="K870" s="18">
        <f>IF($B$866="","",IF(4&lt;=$C$4,N(K867),IF(K869="",K866,K869)))</f>
        <v/>
      </c>
      <c r="L870" s="18">
        <f>IF($B$866="","",IF(5&lt;=$C$4,N(L867),IF(L869="",L866,L869)))</f>
        <v/>
      </c>
      <c r="M870" s="18">
        <f>IF($B$866="","",IF(6&lt;=$C$4,N(M867),IF(M869="",M866,M869)))</f>
        <v/>
      </c>
      <c r="N870" s="18">
        <f>IF($B$866="","",IF(7&lt;=$C$4,N(N867),IF(N869="",N866,N869)))</f>
        <v/>
      </c>
      <c r="O870" s="18">
        <f>IF($B$866="","",IF(8&lt;=$C$4,N(O867),IF(O869="",O866,O869)))</f>
        <v/>
      </c>
      <c r="P870" s="18">
        <f>IF($B$866="","",IF(9&lt;=$C$4,N(P867),IF(P869="",P866,P869)))</f>
        <v/>
      </c>
      <c r="Q870" s="18">
        <f>IF($B$866="","",IF(10&lt;=$C$4,N(Q867),IF(Q869="",Q866,Q869)))</f>
        <v/>
      </c>
      <c r="R870" s="18">
        <f>IF($B$866="","",IF(11&lt;=$C$4,N(R867),IF(R869="",R866,R869)))</f>
        <v/>
      </c>
      <c r="S870" s="18">
        <f>IF($B$866="","",IF(12&lt;=$C$4,N(S867),IF(S869="",S866,S869)))</f>
        <v/>
      </c>
      <c r="T870" s="18">
        <f>IF($B$866="","",SUMIF($H$7:$S$7,"&lt;="&amp;$C$4,$H870:$S870))</f>
        <v/>
      </c>
      <c r="U870" s="18">
        <f>IF($B$866="","",SUMIF($H$7:$S$7,"&gt;"&amp;$C$4,$H870:$S870))</f>
        <v/>
      </c>
      <c r="V870" s="18">
        <f>IF($B$866="","",SUM($H870:$S870))</f>
        <v/>
      </c>
      <c r="X870" s="22">
        <f>IF($B870="","",IFERROR(INDEX(Cost_Centers!$E:$E,MATCH($B870,Cost_Centers!$A:$A,0)),"(unknown)"))</f>
        <v/>
      </c>
      <c r="Y870" s="22">
        <f>IF($B870="","",IFERROR(INDEX(Cost_Centers!$D:$D,MATCH($B870,Cost_Centers!$A:$A,0)),"(unknown)"))</f>
        <v/>
      </c>
      <c r="Z870" s="22">
        <f>IF(OR($B870="",$G870&lt;&gt;"Variance vs Budget"),"",ABS(N($V870))+ROW()/1000000000)</f>
        <v/>
      </c>
    </row>
    <row r="871">
      <c r="A871" s="13">
        <f>IF(A$866="","",A$866)</f>
        <v/>
      </c>
      <c r="B871" s="13">
        <f>IF(B$866="","",B$866)</f>
        <v/>
      </c>
      <c r="C871" s="13">
        <f>IF(C$866="","",C$866)</f>
        <v/>
      </c>
      <c r="D871" s="13">
        <f>IF(D$866="","",D$866)</f>
        <v/>
      </c>
      <c r="E871" s="13">
        <f>IF(E$866="","",E$866)</f>
        <v/>
      </c>
      <c r="F871" s="13">
        <f>IF(F$866="","",F$866)</f>
        <v/>
      </c>
      <c r="G871" s="36" t="inlineStr">
        <is>
          <t>Prior Month Forecast</t>
        </is>
      </c>
      <c r="H871" s="37">
        <f>IF($B$866="","",IF(COUNTIFS(Prior_Forecast!$A:$A,$B$866,Prior_Forecast!$B:$B,$D$866)&gt;0,SUMIFS(Prior_Forecast!$C:$C,Prior_Forecast!$A:$A,$B$866,Prior_Forecast!$B:$B,$D$866),""))</f>
        <v/>
      </c>
      <c r="I871" s="37">
        <f>IF($B$866="","",IF(COUNTIFS(Prior_Forecast!$A:$A,$B$866,Prior_Forecast!$B:$B,$D$866)&gt;0,SUMIFS(Prior_Forecast!$D:$D,Prior_Forecast!$A:$A,$B$866,Prior_Forecast!$B:$B,$D$866),""))</f>
        <v/>
      </c>
      <c r="J871" s="37">
        <f>IF($B$866="","",IF(COUNTIFS(Prior_Forecast!$A:$A,$B$866,Prior_Forecast!$B:$B,$D$866)&gt;0,SUMIFS(Prior_Forecast!$E:$E,Prior_Forecast!$A:$A,$B$866,Prior_Forecast!$B:$B,$D$866),""))</f>
        <v/>
      </c>
      <c r="K871" s="37">
        <f>IF($B$866="","",IF(COUNTIFS(Prior_Forecast!$A:$A,$B$866,Prior_Forecast!$B:$B,$D$866)&gt;0,SUMIFS(Prior_Forecast!$F:$F,Prior_Forecast!$A:$A,$B$866,Prior_Forecast!$B:$B,$D$866),""))</f>
        <v/>
      </c>
      <c r="L871" s="37">
        <f>IF($B$866="","",IF(COUNTIFS(Prior_Forecast!$A:$A,$B$866,Prior_Forecast!$B:$B,$D$866)&gt;0,SUMIFS(Prior_Forecast!$G:$G,Prior_Forecast!$A:$A,$B$866,Prior_Forecast!$B:$B,$D$866),""))</f>
        <v/>
      </c>
      <c r="M871" s="37">
        <f>IF($B$866="","",IF(COUNTIFS(Prior_Forecast!$A:$A,$B$866,Prior_Forecast!$B:$B,$D$866)&gt;0,SUMIFS(Prior_Forecast!$H:$H,Prior_Forecast!$A:$A,$B$866,Prior_Forecast!$B:$B,$D$866),""))</f>
        <v/>
      </c>
      <c r="N871" s="37">
        <f>IF($B$866="","",IF(COUNTIFS(Prior_Forecast!$A:$A,$B$866,Prior_Forecast!$B:$B,$D$866)&gt;0,SUMIFS(Prior_Forecast!$I:$I,Prior_Forecast!$A:$A,$B$866,Prior_Forecast!$B:$B,$D$866),""))</f>
        <v/>
      </c>
      <c r="O871" s="37">
        <f>IF($B$866="","",IF(COUNTIFS(Prior_Forecast!$A:$A,$B$866,Prior_Forecast!$B:$B,$D$866)&gt;0,SUMIFS(Prior_Forecast!$J:$J,Prior_Forecast!$A:$A,$B$866,Prior_Forecast!$B:$B,$D$866),""))</f>
        <v/>
      </c>
      <c r="P871" s="37">
        <f>IF($B$866="","",IF(COUNTIFS(Prior_Forecast!$A:$A,$B$866,Prior_Forecast!$B:$B,$D$866)&gt;0,SUMIFS(Prior_Forecast!$K:$K,Prior_Forecast!$A:$A,$B$866,Prior_Forecast!$B:$B,$D$866),""))</f>
        <v/>
      </c>
      <c r="Q871" s="37">
        <f>IF($B$866="","",IF(COUNTIFS(Prior_Forecast!$A:$A,$B$866,Prior_Forecast!$B:$B,$D$866)&gt;0,SUMIFS(Prior_Forecast!$L:$L,Prior_Forecast!$A:$A,$B$866,Prior_Forecast!$B:$B,$D$866),""))</f>
        <v/>
      </c>
      <c r="R871" s="37">
        <f>IF($B$866="","",IF(COUNTIFS(Prior_Forecast!$A:$A,$B$866,Prior_Forecast!$B:$B,$D$866)&gt;0,SUMIFS(Prior_Forecast!$M:$M,Prior_Forecast!$A:$A,$B$866,Prior_Forecast!$B:$B,$D$866),""))</f>
        <v/>
      </c>
      <c r="S871" s="37">
        <f>IF($B$866="","",IF(COUNTIFS(Prior_Forecast!$A:$A,$B$866,Prior_Forecast!$B:$B,$D$866)&gt;0,SUMIFS(Prior_Forecast!$N:$N,Prior_Forecast!$A:$A,$B$866,Prior_Forecast!$B:$B,$D$866),""))</f>
        <v/>
      </c>
      <c r="T871" s="37">
        <f>IF($B$866="","",IF(COUNTIFS(Prior_Forecast!$A:$A,$B$866,Prior_Forecast!$B:$B,$D$866)&gt;0,SUMIFS(Prior_Forecast!$O:$O,Prior_Forecast!$A:$A,$B$866,Prior_Forecast!$B:$B,$D$866),""))</f>
        <v/>
      </c>
      <c r="U871" s="37">
        <f>IF($B$866="","",IF(COUNTIFS(Prior_Forecast!$A:$A,$B$866,Prior_Forecast!$B:$B,$D$866)&gt;0,SUMIFS(Prior_Forecast!$P:$P,Prior_Forecast!$A:$A,$B$866,Prior_Forecast!$B:$B,$D$866),""))</f>
        <v/>
      </c>
      <c r="V871" s="37">
        <f>IF($B$866="","",IF(COUNTIFS(Prior_Forecast!$A:$A,$B$866,Prior_Forecast!$B:$B,$D$866)&gt;0,SUMIFS(Prior_Forecast!$Q:$Q,Prior_Forecast!$A:$A,$B$866,Prior_Forecast!$B:$B,$D$866),""))</f>
        <v/>
      </c>
      <c r="X871" s="22">
        <f>IF($B871="","",IFERROR(INDEX(Cost_Centers!$E:$E,MATCH($B871,Cost_Centers!$A:$A,0)),"(unknown)"))</f>
        <v/>
      </c>
      <c r="Y871" s="22">
        <f>IF($B871="","",IFERROR(INDEX(Cost_Centers!$D:$D,MATCH($B871,Cost_Centers!$A:$A,0)),"(unknown)"))</f>
        <v/>
      </c>
      <c r="Z871" s="22">
        <f>IF(OR($B871="",$G871&lt;&gt;"Variance vs Budget"),"",ABS(N($V871))+ROW()/1000000000)</f>
        <v/>
      </c>
    </row>
    <row r="872">
      <c r="A872" s="13">
        <f>IF(A$866="","",A$866)</f>
        <v/>
      </c>
      <c r="B872" s="13">
        <f>IF(B$866="","",B$866)</f>
        <v/>
      </c>
      <c r="C872" s="13">
        <f>IF(C$866="","",C$866)</f>
        <v/>
      </c>
      <c r="D872" s="13">
        <f>IF(D$866="","",D$866)</f>
        <v/>
      </c>
      <c r="E872" s="13">
        <f>IF(E$866="","",E$866)</f>
        <v/>
      </c>
      <c r="F872" s="13">
        <f>IF(F$866="","",F$866)</f>
        <v/>
      </c>
      <c r="G872" s="6" t="inlineStr">
        <is>
          <t>Variance vs Prior Month</t>
        </is>
      </c>
      <c r="H872" s="33">
        <f>IF(OR($B$866="",H871=""),"",H870-H871)</f>
        <v/>
      </c>
      <c r="I872" s="33">
        <f>IF(OR($B$866="",I871=""),"",I870-I871)</f>
        <v/>
      </c>
      <c r="J872" s="33">
        <f>IF(OR($B$866="",J871=""),"",J870-J871)</f>
        <v/>
      </c>
      <c r="K872" s="33">
        <f>IF(OR($B$866="",K871=""),"",K870-K871)</f>
        <v/>
      </c>
      <c r="L872" s="33">
        <f>IF(OR($B$866="",L871=""),"",L870-L871)</f>
        <v/>
      </c>
      <c r="M872" s="33">
        <f>IF(OR($B$866="",M871=""),"",M870-M871)</f>
        <v/>
      </c>
      <c r="N872" s="33">
        <f>IF(OR($B$866="",N871=""),"",N870-N871)</f>
        <v/>
      </c>
      <c r="O872" s="33">
        <f>IF(OR($B$866="",O871=""),"",O870-O871)</f>
        <v/>
      </c>
      <c r="P872" s="33">
        <f>IF(OR($B$866="",P871=""),"",P870-P871)</f>
        <v/>
      </c>
      <c r="Q872" s="33">
        <f>IF(OR($B$866="",Q871=""),"",Q870-Q871)</f>
        <v/>
      </c>
      <c r="R872" s="33">
        <f>IF(OR($B$866="",R871=""),"",R870-R871)</f>
        <v/>
      </c>
      <c r="S872" s="33">
        <f>IF(OR($B$866="",S871=""),"",S870-S871)</f>
        <v/>
      </c>
      <c r="T872" s="33">
        <f>IF(OR($B$866="",T871=""),"",T870-T871)</f>
        <v/>
      </c>
      <c r="U872" s="33">
        <f>IF(OR($B$866="",U871=""),"",U870-U871)</f>
        <v/>
      </c>
      <c r="V872" s="33">
        <f>IF(OR($B$866="",V871=""),"",V870-V871)</f>
        <v/>
      </c>
      <c r="X872" s="22">
        <f>IF($B872="","",IFERROR(INDEX(Cost_Centers!$E:$E,MATCH($B872,Cost_Centers!$A:$A,0)),"(unknown)"))</f>
        <v/>
      </c>
      <c r="Y872" s="22">
        <f>IF($B872="","",IFERROR(INDEX(Cost_Centers!$D:$D,MATCH($B872,Cost_Centers!$A:$A,0)),"(unknown)"))</f>
        <v/>
      </c>
      <c r="Z872" s="22">
        <f>IF(OR($B872="",$G872&lt;&gt;"Variance vs Budget"),"",ABS(N($V872))+ROW()/1000000000)</f>
        <v/>
      </c>
    </row>
    <row r="873" ht="45" customHeight="1">
      <c r="A873" s="13">
        <f>IF(A$866="","",A$866)</f>
        <v/>
      </c>
      <c r="B873" s="13">
        <f>IF(B$866="","",B$866)</f>
        <v/>
      </c>
      <c r="C873" s="13">
        <f>IF(C$866="","",C$866)</f>
        <v/>
      </c>
      <c r="D873" s="13">
        <f>IF(D$866="","",D$866)</f>
        <v/>
      </c>
      <c r="E873" s="13">
        <f>IF(E$866="","",E$866)</f>
        <v/>
      </c>
      <c r="F873" s="13">
        <f>IF(F$866="","",F$866)</f>
        <v/>
      </c>
      <c r="G873" s="7" t="inlineStr">
        <is>
          <t>Rationale</t>
        </is>
      </c>
      <c r="H873" s="38" t="n"/>
      <c r="I873" s="38" t="n"/>
      <c r="J873" s="38" t="n"/>
      <c r="K873" s="38" t="n"/>
      <c r="L873" s="38" t="n"/>
      <c r="M873" s="38" t="n"/>
      <c r="N873" s="38" t="n"/>
      <c r="O873" s="38" t="n"/>
      <c r="P873" s="38" t="n"/>
      <c r="Q873" s="38" t="n"/>
      <c r="R873" s="38" t="n"/>
      <c r="S873" s="38" t="n"/>
      <c r="T873" s="38" t="n"/>
      <c r="U873" s="38" t="n"/>
      <c r="V873" s="7" t="n"/>
      <c r="X873" s="22">
        <f>IF($B873="","",IFERROR(INDEX(Cost_Centers!$E:$E,MATCH($B873,Cost_Centers!$A:$A,0)),"(unknown)"))</f>
        <v/>
      </c>
      <c r="Y873" s="22">
        <f>IF($B873="","",IFERROR(INDEX(Cost_Centers!$D:$D,MATCH($B873,Cost_Centers!$A:$A,0)),"(unknown)"))</f>
        <v/>
      </c>
      <c r="Z873" s="22">
        <f>IF(OR($B873="",$G873&lt;&gt;"Variance vs Budget"),"",ABS(N($V873))+ROW()/1000000000)</f>
        <v/>
      </c>
    </row>
    <row r="874">
      <c r="A874" s="30">
        <f>IF($D$874="","",LEFT($D$874,FIND("|",$D$874&amp;"|")-1))</f>
        <v/>
      </c>
      <c r="B874" s="31" t="n"/>
      <c r="C874" s="30">
        <f>IF($B$874="","",IFERROR(INDEX(Cost_Centers!$B:$B,MATCH($B$874,Cost_Centers!$A:$A,0)),"(not in master)"))</f>
        <v/>
      </c>
      <c r="D874" s="31" t="n"/>
      <c r="E874" s="30">
        <f>IF($D$874="","",IFERROR(INDEX(Accounts!$D:$D,MATCH($D$874,Accounts!$A:$A,0)),"(not in master)"))</f>
        <v/>
      </c>
      <c r="F874" s="31" t="n"/>
      <c r="G874" s="30" t="inlineStr">
        <is>
          <t>Budget</t>
        </is>
      </c>
      <c r="H874" s="32">
        <f>IF($B$874="","",SUMIFS(Opex_Budget!$O:$O,Opex_Budget!$A:$A,$C$3,Opex_Budget!$E:$E,$B$874,Opex_Budget!$F:$F,$D$874,Opex_Budget!$N:$N,"JPY")*$E$5+SUMIFS(Opex_Budget!$O:$O,Opex_Budget!$A:$A,$C$3,Opex_Budget!$E:$E,$B$874,Opex_Budget!$F:$F,$D$874,Opex_Budget!$N:$N,"USD")*$F$5+SUMIFS(Opex_Budget!$O:$O,Opex_Budget!$A:$A,$C$3,Opex_Budget!$E:$E,$B$874,Opex_Budget!$F:$F,$D$874,Opex_Budget!$N:$N,"EUR")*$G$5+SUMIFS(Opex_Budget!$O:$O,Opex_Budget!$A:$A,$C$3,Opex_Budget!$E:$E,$B$874,Opex_Budget!$F:$F,$D$874,Opex_Budget!$N:$N,"GBP")*$H$5)</f>
        <v/>
      </c>
      <c r="I874" s="32">
        <f>IF($B$874="","",SUMIFS(Opex_Budget!$P:$P,Opex_Budget!$A:$A,$C$3,Opex_Budget!$E:$E,$B$874,Opex_Budget!$F:$F,$D$874,Opex_Budget!$N:$N,"JPY")*$E$5+SUMIFS(Opex_Budget!$P:$P,Opex_Budget!$A:$A,$C$3,Opex_Budget!$E:$E,$B$874,Opex_Budget!$F:$F,$D$874,Opex_Budget!$N:$N,"USD")*$F$5+SUMIFS(Opex_Budget!$P:$P,Opex_Budget!$A:$A,$C$3,Opex_Budget!$E:$E,$B$874,Opex_Budget!$F:$F,$D$874,Opex_Budget!$N:$N,"EUR")*$G$5+SUMIFS(Opex_Budget!$P:$P,Opex_Budget!$A:$A,$C$3,Opex_Budget!$E:$E,$B$874,Opex_Budget!$F:$F,$D$874,Opex_Budget!$N:$N,"GBP")*$H$5)</f>
        <v/>
      </c>
      <c r="J874" s="32">
        <f>IF($B$874="","",SUMIFS(Opex_Budget!$Q:$Q,Opex_Budget!$A:$A,$C$3,Opex_Budget!$E:$E,$B$874,Opex_Budget!$F:$F,$D$874,Opex_Budget!$N:$N,"JPY")*$E$5+SUMIFS(Opex_Budget!$Q:$Q,Opex_Budget!$A:$A,$C$3,Opex_Budget!$E:$E,$B$874,Opex_Budget!$F:$F,$D$874,Opex_Budget!$N:$N,"USD")*$F$5+SUMIFS(Opex_Budget!$Q:$Q,Opex_Budget!$A:$A,$C$3,Opex_Budget!$E:$E,$B$874,Opex_Budget!$F:$F,$D$874,Opex_Budget!$N:$N,"EUR")*$G$5+SUMIFS(Opex_Budget!$Q:$Q,Opex_Budget!$A:$A,$C$3,Opex_Budget!$E:$E,$B$874,Opex_Budget!$F:$F,$D$874,Opex_Budget!$N:$N,"GBP")*$H$5)</f>
        <v/>
      </c>
      <c r="K874" s="32">
        <f>IF($B$874="","",SUMIFS(Opex_Budget!$R:$R,Opex_Budget!$A:$A,$C$3,Opex_Budget!$E:$E,$B$874,Opex_Budget!$F:$F,$D$874,Opex_Budget!$N:$N,"JPY")*$E$5+SUMIFS(Opex_Budget!$R:$R,Opex_Budget!$A:$A,$C$3,Opex_Budget!$E:$E,$B$874,Opex_Budget!$F:$F,$D$874,Opex_Budget!$N:$N,"USD")*$F$5+SUMIFS(Opex_Budget!$R:$R,Opex_Budget!$A:$A,$C$3,Opex_Budget!$E:$E,$B$874,Opex_Budget!$F:$F,$D$874,Opex_Budget!$N:$N,"EUR")*$G$5+SUMIFS(Opex_Budget!$R:$R,Opex_Budget!$A:$A,$C$3,Opex_Budget!$E:$E,$B$874,Opex_Budget!$F:$F,$D$874,Opex_Budget!$N:$N,"GBP")*$H$5)</f>
        <v/>
      </c>
      <c r="L874" s="32">
        <f>IF($B$874="","",SUMIFS(Opex_Budget!$S:$S,Opex_Budget!$A:$A,$C$3,Opex_Budget!$E:$E,$B$874,Opex_Budget!$F:$F,$D$874,Opex_Budget!$N:$N,"JPY")*$E$5+SUMIFS(Opex_Budget!$S:$S,Opex_Budget!$A:$A,$C$3,Opex_Budget!$E:$E,$B$874,Opex_Budget!$F:$F,$D$874,Opex_Budget!$N:$N,"USD")*$F$5+SUMIFS(Opex_Budget!$S:$S,Opex_Budget!$A:$A,$C$3,Opex_Budget!$E:$E,$B$874,Opex_Budget!$F:$F,$D$874,Opex_Budget!$N:$N,"EUR")*$G$5+SUMIFS(Opex_Budget!$S:$S,Opex_Budget!$A:$A,$C$3,Opex_Budget!$E:$E,$B$874,Opex_Budget!$F:$F,$D$874,Opex_Budget!$N:$N,"GBP")*$H$5)</f>
        <v/>
      </c>
      <c r="M874" s="32">
        <f>IF($B$874="","",SUMIFS(Opex_Budget!$T:$T,Opex_Budget!$A:$A,$C$3,Opex_Budget!$E:$E,$B$874,Opex_Budget!$F:$F,$D$874,Opex_Budget!$N:$N,"JPY")*$E$5+SUMIFS(Opex_Budget!$T:$T,Opex_Budget!$A:$A,$C$3,Opex_Budget!$E:$E,$B$874,Opex_Budget!$F:$F,$D$874,Opex_Budget!$N:$N,"USD")*$F$5+SUMIFS(Opex_Budget!$T:$T,Opex_Budget!$A:$A,$C$3,Opex_Budget!$E:$E,$B$874,Opex_Budget!$F:$F,$D$874,Opex_Budget!$N:$N,"EUR")*$G$5+SUMIFS(Opex_Budget!$T:$T,Opex_Budget!$A:$A,$C$3,Opex_Budget!$E:$E,$B$874,Opex_Budget!$F:$F,$D$874,Opex_Budget!$N:$N,"GBP")*$H$5)</f>
        <v/>
      </c>
      <c r="N874" s="32">
        <f>IF($B$874="","",SUMIFS(Opex_Budget!$U:$U,Opex_Budget!$A:$A,$C$3,Opex_Budget!$E:$E,$B$874,Opex_Budget!$F:$F,$D$874,Opex_Budget!$N:$N,"JPY")*$E$5+SUMIFS(Opex_Budget!$U:$U,Opex_Budget!$A:$A,$C$3,Opex_Budget!$E:$E,$B$874,Opex_Budget!$F:$F,$D$874,Opex_Budget!$N:$N,"USD")*$F$5+SUMIFS(Opex_Budget!$U:$U,Opex_Budget!$A:$A,$C$3,Opex_Budget!$E:$E,$B$874,Opex_Budget!$F:$F,$D$874,Opex_Budget!$N:$N,"EUR")*$G$5+SUMIFS(Opex_Budget!$U:$U,Opex_Budget!$A:$A,$C$3,Opex_Budget!$E:$E,$B$874,Opex_Budget!$F:$F,$D$874,Opex_Budget!$N:$N,"GBP")*$H$5)</f>
        <v/>
      </c>
      <c r="O874" s="32">
        <f>IF($B$874="","",SUMIFS(Opex_Budget!$V:$V,Opex_Budget!$A:$A,$C$3,Opex_Budget!$E:$E,$B$874,Opex_Budget!$F:$F,$D$874,Opex_Budget!$N:$N,"JPY")*$E$5+SUMIFS(Opex_Budget!$V:$V,Opex_Budget!$A:$A,$C$3,Opex_Budget!$E:$E,$B$874,Opex_Budget!$F:$F,$D$874,Opex_Budget!$N:$N,"USD")*$F$5+SUMIFS(Opex_Budget!$V:$V,Opex_Budget!$A:$A,$C$3,Opex_Budget!$E:$E,$B$874,Opex_Budget!$F:$F,$D$874,Opex_Budget!$N:$N,"EUR")*$G$5+SUMIFS(Opex_Budget!$V:$V,Opex_Budget!$A:$A,$C$3,Opex_Budget!$E:$E,$B$874,Opex_Budget!$F:$F,$D$874,Opex_Budget!$N:$N,"GBP")*$H$5)</f>
        <v/>
      </c>
      <c r="P874" s="32">
        <f>IF($B$874="","",SUMIFS(Opex_Budget!$W:$W,Opex_Budget!$A:$A,$C$3,Opex_Budget!$E:$E,$B$874,Opex_Budget!$F:$F,$D$874,Opex_Budget!$N:$N,"JPY")*$E$5+SUMIFS(Opex_Budget!$W:$W,Opex_Budget!$A:$A,$C$3,Opex_Budget!$E:$E,$B$874,Opex_Budget!$F:$F,$D$874,Opex_Budget!$N:$N,"USD")*$F$5+SUMIFS(Opex_Budget!$W:$W,Opex_Budget!$A:$A,$C$3,Opex_Budget!$E:$E,$B$874,Opex_Budget!$F:$F,$D$874,Opex_Budget!$N:$N,"EUR")*$G$5+SUMIFS(Opex_Budget!$W:$W,Opex_Budget!$A:$A,$C$3,Opex_Budget!$E:$E,$B$874,Opex_Budget!$F:$F,$D$874,Opex_Budget!$N:$N,"GBP")*$H$5)</f>
        <v/>
      </c>
      <c r="Q874" s="32">
        <f>IF($B$874="","",SUMIFS(Opex_Budget!$X:$X,Opex_Budget!$A:$A,$C$3,Opex_Budget!$E:$E,$B$874,Opex_Budget!$F:$F,$D$874,Opex_Budget!$N:$N,"JPY")*$E$5+SUMIFS(Opex_Budget!$X:$X,Opex_Budget!$A:$A,$C$3,Opex_Budget!$E:$E,$B$874,Opex_Budget!$F:$F,$D$874,Opex_Budget!$N:$N,"USD")*$F$5+SUMIFS(Opex_Budget!$X:$X,Opex_Budget!$A:$A,$C$3,Opex_Budget!$E:$E,$B$874,Opex_Budget!$F:$F,$D$874,Opex_Budget!$N:$N,"EUR")*$G$5+SUMIFS(Opex_Budget!$X:$X,Opex_Budget!$A:$A,$C$3,Opex_Budget!$E:$E,$B$874,Opex_Budget!$F:$F,$D$874,Opex_Budget!$N:$N,"GBP")*$H$5)</f>
        <v/>
      </c>
      <c r="R874" s="32">
        <f>IF($B$874="","",SUMIFS(Opex_Budget!$Y:$Y,Opex_Budget!$A:$A,$C$3,Opex_Budget!$E:$E,$B$874,Opex_Budget!$F:$F,$D$874,Opex_Budget!$N:$N,"JPY")*$E$5+SUMIFS(Opex_Budget!$Y:$Y,Opex_Budget!$A:$A,$C$3,Opex_Budget!$E:$E,$B$874,Opex_Budget!$F:$F,$D$874,Opex_Budget!$N:$N,"USD")*$F$5+SUMIFS(Opex_Budget!$Y:$Y,Opex_Budget!$A:$A,$C$3,Opex_Budget!$E:$E,$B$874,Opex_Budget!$F:$F,$D$874,Opex_Budget!$N:$N,"EUR")*$G$5+SUMIFS(Opex_Budget!$Y:$Y,Opex_Budget!$A:$A,$C$3,Opex_Budget!$E:$E,$B$874,Opex_Budget!$F:$F,$D$874,Opex_Budget!$N:$N,"GBP")*$H$5)</f>
        <v/>
      </c>
      <c r="S874" s="32">
        <f>IF($B$874="","",SUMIFS(Opex_Budget!$Z:$Z,Opex_Budget!$A:$A,$C$3,Opex_Budget!$E:$E,$B$874,Opex_Budget!$F:$F,$D$874,Opex_Budget!$N:$N,"JPY")*$E$5+SUMIFS(Opex_Budget!$Z:$Z,Opex_Budget!$A:$A,$C$3,Opex_Budget!$E:$E,$B$874,Opex_Budget!$F:$F,$D$874,Opex_Budget!$N:$N,"USD")*$F$5+SUMIFS(Opex_Budget!$Z:$Z,Opex_Budget!$A:$A,$C$3,Opex_Budget!$E:$E,$B$874,Opex_Budget!$F:$F,$D$874,Opex_Budget!$N:$N,"EUR")*$G$5+SUMIFS(Opex_Budget!$Z:$Z,Opex_Budget!$A:$A,$C$3,Opex_Budget!$E:$E,$B$874,Opex_Budget!$F:$F,$D$874,Opex_Budget!$N:$N,"GBP")*$H$5)</f>
        <v/>
      </c>
      <c r="T874" s="32">
        <f>IF($B$874="","",SUMIF($H$7:$S$7,"&lt;="&amp;$C$4,$H874:$S874))</f>
        <v/>
      </c>
      <c r="U874" s="32">
        <f>IF($B$874="","",SUMIF($H$7:$S$7,"&gt;"&amp;$C$4,$H874:$S874))</f>
        <v/>
      </c>
      <c r="V874" s="32">
        <f>IF($B$874="","",SUM($H874:$S874))</f>
        <v/>
      </c>
      <c r="X874" s="22">
        <f>IF($B874="","",IFERROR(INDEX(Cost_Centers!$E:$E,MATCH($B874,Cost_Centers!$A:$A,0)),"(unknown)"))</f>
        <v/>
      </c>
      <c r="Y874" s="22">
        <f>IF($B874="","",IFERROR(INDEX(Cost_Centers!$D:$D,MATCH($B874,Cost_Centers!$A:$A,0)),"(unknown)"))</f>
        <v/>
      </c>
      <c r="Z874" s="22">
        <f>IF(OR($B874="",$G874&lt;&gt;"Variance vs Budget"),"",ABS(N($V874))+ROW()/1000000000)</f>
        <v/>
      </c>
    </row>
    <row r="875">
      <c r="A875" s="13">
        <f>IF(A$874="","",A$874)</f>
        <v/>
      </c>
      <c r="B875" s="13">
        <f>IF(B$874="","",B$874)</f>
        <v/>
      </c>
      <c r="C875" s="13">
        <f>IF(C$874="","",C$874)</f>
        <v/>
      </c>
      <c r="D875" s="13">
        <f>IF(D$874="","",D$874)</f>
        <v/>
      </c>
      <c r="E875" s="13">
        <f>IF(E$874="","",E$874)</f>
        <v/>
      </c>
      <c r="F875" s="13">
        <f>IF(F$874="","",F$874)</f>
        <v/>
      </c>
      <c r="G875" s="7" t="inlineStr">
        <is>
          <t>Actual</t>
        </is>
      </c>
      <c r="H875" s="18">
        <f>IF(OR($B$874="",1&gt;$C$4),"",SUMIFS(Actuals!$G:$G,Actuals!$B:$B,$C$3,Actuals!$C:$C,1,Actuals!$D:$D,$B$874,Actuals!$A:$A,LEFT($D$874,FIND("|",$D$874&amp;"|")-1),Actuals!$E:$E,MID($D$874,FIND("|",$D$874&amp;"|")+1,50),Actuals!$F:$F,"JPY")*$E$5+SUMIFS(Actuals!$G:$G,Actuals!$B:$B,$C$3,Actuals!$C:$C,1,Actuals!$D:$D,$B$874,Actuals!$A:$A,LEFT($D$874,FIND("|",$D$874&amp;"|")-1),Actuals!$E:$E,MID($D$874,FIND("|",$D$874&amp;"|")+1,50),Actuals!$F:$F,"USD")*$F$5+SUMIFS(Actuals!$G:$G,Actuals!$B:$B,$C$3,Actuals!$C:$C,1,Actuals!$D:$D,$B$874,Actuals!$A:$A,LEFT($D$874,FIND("|",$D$874&amp;"|")-1),Actuals!$E:$E,MID($D$874,FIND("|",$D$874&amp;"|")+1,50),Actuals!$F:$F,"EUR")*$G$5+SUMIFS(Actuals!$G:$G,Actuals!$B:$B,$C$3,Actuals!$C:$C,1,Actuals!$D:$D,$B$874,Actuals!$A:$A,LEFT($D$874,FIND("|",$D$874&amp;"|")-1),Actuals!$E:$E,MID($D$874,FIND("|",$D$874&amp;"|")+1,50),Actuals!$F:$F,"GBP")*$H$5)</f>
        <v/>
      </c>
      <c r="I875" s="18">
        <f>IF(OR($B$874="",2&gt;$C$4),"",SUMIFS(Actuals!$G:$G,Actuals!$B:$B,$C$3,Actuals!$C:$C,2,Actuals!$D:$D,$B$874,Actuals!$A:$A,LEFT($D$874,FIND("|",$D$874&amp;"|")-1),Actuals!$E:$E,MID($D$874,FIND("|",$D$874&amp;"|")+1,50),Actuals!$F:$F,"JPY")*$E$5+SUMIFS(Actuals!$G:$G,Actuals!$B:$B,$C$3,Actuals!$C:$C,2,Actuals!$D:$D,$B$874,Actuals!$A:$A,LEFT($D$874,FIND("|",$D$874&amp;"|")-1),Actuals!$E:$E,MID($D$874,FIND("|",$D$874&amp;"|")+1,50),Actuals!$F:$F,"USD")*$F$5+SUMIFS(Actuals!$G:$G,Actuals!$B:$B,$C$3,Actuals!$C:$C,2,Actuals!$D:$D,$B$874,Actuals!$A:$A,LEFT($D$874,FIND("|",$D$874&amp;"|")-1),Actuals!$E:$E,MID($D$874,FIND("|",$D$874&amp;"|")+1,50),Actuals!$F:$F,"EUR")*$G$5+SUMIFS(Actuals!$G:$G,Actuals!$B:$B,$C$3,Actuals!$C:$C,2,Actuals!$D:$D,$B$874,Actuals!$A:$A,LEFT($D$874,FIND("|",$D$874&amp;"|")-1),Actuals!$E:$E,MID($D$874,FIND("|",$D$874&amp;"|")+1,50),Actuals!$F:$F,"GBP")*$H$5)</f>
        <v/>
      </c>
      <c r="J875" s="18">
        <f>IF(OR($B$874="",3&gt;$C$4),"",SUMIFS(Actuals!$G:$G,Actuals!$B:$B,$C$3,Actuals!$C:$C,3,Actuals!$D:$D,$B$874,Actuals!$A:$A,LEFT($D$874,FIND("|",$D$874&amp;"|")-1),Actuals!$E:$E,MID($D$874,FIND("|",$D$874&amp;"|")+1,50),Actuals!$F:$F,"JPY")*$E$5+SUMIFS(Actuals!$G:$G,Actuals!$B:$B,$C$3,Actuals!$C:$C,3,Actuals!$D:$D,$B$874,Actuals!$A:$A,LEFT($D$874,FIND("|",$D$874&amp;"|")-1),Actuals!$E:$E,MID($D$874,FIND("|",$D$874&amp;"|")+1,50),Actuals!$F:$F,"USD")*$F$5+SUMIFS(Actuals!$G:$G,Actuals!$B:$B,$C$3,Actuals!$C:$C,3,Actuals!$D:$D,$B$874,Actuals!$A:$A,LEFT($D$874,FIND("|",$D$874&amp;"|")-1),Actuals!$E:$E,MID($D$874,FIND("|",$D$874&amp;"|")+1,50),Actuals!$F:$F,"EUR")*$G$5+SUMIFS(Actuals!$G:$G,Actuals!$B:$B,$C$3,Actuals!$C:$C,3,Actuals!$D:$D,$B$874,Actuals!$A:$A,LEFT($D$874,FIND("|",$D$874&amp;"|")-1),Actuals!$E:$E,MID($D$874,FIND("|",$D$874&amp;"|")+1,50),Actuals!$F:$F,"GBP")*$H$5)</f>
        <v/>
      </c>
      <c r="K875" s="18">
        <f>IF(OR($B$874="",4&gt;$C$4),"",SUMIFS(Actuals!$G:$G,Actuals!$B:$B,$C$3,Actuals!$C:$C,4,Actuals!$D:$D,$B$874,Actuals!$A:$A,LEFT($D$874,FIND("|",$D$874&amp;"|")-1),Actuals!$E:$E,MID($D$874,FIND("|",$D$874&amp;"|")+1,50),Actuals!$F:$F,"JPY")*$E$5+SUMIFS(Actuals!$G:$G,Actuals!$B:$B,$C$3,Actuals!$C:$C,4,Actuals!$D:$D,$B$874,Actuals!$A:$A,LEFT($D$874,FIND("|",$D$874&amp;"|")-1),Actuals!$E:$E,MID($D$874,FIND("|",$D$874&amp;"|")+1,50),Actuals!$F:$F,"USD")*$F$5+SUMIFS(Actuals!$G:$G,Actuals!$B:$B,$C$3,Actuals!$C:$C,4,Actuals!$D:$D,$B$874,Actuals!$A:$A,LEFT($D$874,FIND("|",$D$874&amp;"|")-1),Actuals!$E:$E,MID($D$874,FIND("|",$D$874&amp;"|")+1,50),Actuals!$F:$F,"EUR")*$G$5+SUMIFS(Actuals!$G:$G,Actuals!$B:$B,$C$3,Actuals!$C:$C,4,Actuals!$D:$D,$B$874,Actuals!$A:$A,LEFT($D$874,FIND("|",$D$874&amp;"|")-1),Actuals!$E:$E,MID($D$874,FIND("|",$D$874&amp;"|")+1,50),Actuals!$F:$F,"GBP")*$H$5)</f>
        <v/>
      </c>
      <c r="L875" s="18">
        <f>IF(OR($B$874="",5&gt;$C$4),"",SUMIFS(Actuals!$G:$G,Actuals!$B:$B,$C$3,Actuals!$C:$C,5,Actuals!$D:$D,$B$874,Actuals!$A:$A,LEFT($D$874,FIND("|",$D$874&amp;"|")-1),Actuals!$E:$E,MID($D$874,FIND("|",$D$874&amp;"|")+1,50),Actuals!$F:$F,"JPY")*$E$5+SUMIFS(Actuals!$G:$G,Actuals!$B:$B,$C$3,Actuals!$C:$C,5,Actuals!$D:$D,$B$874,Actuals!$A:$A,LEFT($D$874,FIND("|",$D$874&amp;"|")-1),Actuals!$E:$E,MID($D$874,FIND("|",$D$874&amp;"|")+1,50),Actuals!$F:$F,"USD")*$F$5+SUMIFS(Actuals!$G:$G,Actuals!$B:$B,$C$3,Actuals!$C:$C,5,Actuals!$D:$D,$B$874,Actuals!$A:$A,LEFT($D$874,FIND("|",$D$874&amp;"|")-1),Actuals!$E:$E,MID($D$874,FIND("|",$D$874&amp;"|")+1,50),Actuals!$F:$F,"EUR")*$G$5+SUMIFS(Actuals!$G:$G,Actuals!$B:$B,$C$3,Actuals!$C:$C,5,Actuals!$D:$D,$B$874,Actuals!$A:$A,LEFT($D$874,FIND("|",$D$874&amp;"|")-1),Actuals!$E:$E,MID($D$874,FIND("|",$D$874&amp;"|")+1,50),Actuals!$F:$F,"GBP")*$H$5)</f>
        <v/>
      </c>
      <c r="M875" s="18">
        <f>IF(OR($B$874="",6&gt;$C$4),"",SUMIFS(Actuals!$G:$G,Actuals!$B:$B,$C$3,Actuals!$C:$C,6,Actuals!$D:$D,$B$874,Actuals!$A:$A,LEFT($D$874,FIND("|",$D$874&amp;"|")-1),Actuals!$E:$E,MID($D$874,FIND("|",$D$874&amp;"|")+1,50),Actuals!$F:$F,"JPY")*$E$5+SUMIFS(Actuals!$G:$G,Actuals!$B:$B,$C$3,Actuals!$C:$C,6,Actuals!$D:$D,$B$874,Actuals!$A:$A,LEFT($D$874,FIND("|",$D$874&amp;"|")-1),Actuals!$E:$E,MID($D$874,FIND("|",$D$874&amp;"|")+1,50),Actuals!$F:$F,"USD")*$F$5+SUMIFS(Actuals!$G:$G,Actuals!$B:$B,$C$3,Actuals!$C:$C,6,Actuals!$D:$D,$B$874,Actuals!$A:$A,LEFT($D$874,FIND("|",$D$874&amp;"|")-1),Actuals!$E:$E,MID($D$874,FIND("|",$D$874&amp;"|")+1,50),Actuals!$F:$F,"EUR")*$G$5+SUMIFS(Actuals!$G:$G,Actuals!$B:$B,$C$3,Actuals!$C:$C,6,Actuals!$D:$D,$B$874,Actuals!$A:$A,LEFT($D$874,FIND("|",$D$874&amp;"|")-1),Actuals!$E:$E,MID($D$874,FIND("|",$D$874&amp;"|")+1,50),Actuals!$F:$F,"GBP")*$H$5)</f>
        <v/>
      </c>
      <c r="N875" s="18">
        <f>IF(OR($B$874="",7&gt;$C$4),"",SUMIFS(Actuals!$G:$G,Actuals!$B:$B,$C$3,Actuals!$C:$C,7,Actuals!$D:$D,$B$874,Actuals!$A:$A,LEFT($D$874,FIND("|",$D$874&amp;"|")-1),Actuals!$E:$E,MID($D$874,FIND("|",$D$874&amp;"|")+1,50),Actuals!$F:$F,"JPY")*$E$5+SUMIFS(Actuals!$G:$G,Actuals!$B:$B,$C$3,Actuals!$C:$C,7,Actuals!$D:$D,$B$874,Actuals!$A:$A,LEFT($D$874,FIND("|",$D$874&amp;"|")-1),Actuals!$E:$E,MID($D$874,FIND("|",$D$874&amp;"|")+1,50),Actuals!$F:$F,"USD")*$F$5+SUMIFS(Actuals!$G:$G,Actuals!$B:$B,$C$3,Actuals!$C:$C,7,Actuals!$D:$D,$B$874,Actuals!$A:$A,LEFT($D$874,FIND("|",$D$874&amp;"|")-1),Actuals!$E:$E,MID($D$874,FIND("|",$D$874&amp;"|")+1,50),Actuals!$F:$F,"EUR")*$G$5+SUMIFS(Actuals!$G:$G,Actuals!$B:$B,$C$3,Actuals!$C:$C,7,Actuals!$D:$D,$B$874,Actuals!$A:$A,LEFT($D$874,FIND("|",$D$874&amp;"|")-1),Actuals!$E:$E,MID($D$874,FIND("|",$D$874&amp;"|")+1,50),Actuals!$F:$F,"GBP")*$H$5)</f>
        <v/>
      </c>
      <c r="O875" s="18">
        <f>IF(OR($B$874="",8&gt;$C$4),"",SUMIFS(Actuals!$G:$G,Actuals!$B:$B,$C$3,Actuals!$C:$C,8,Actuals!$D:$D,$B$874,Actuals!$A:$A,LEFT($D$874,FIND("|",$D$874&amp;"|")-1),Actuals!$E:$E,MID($D$874,FIND("|",$D$874&amp;"|")+1,50),Actuals!$F:$F,"JPY")*$E$5+SUMIFS(Actuals!$G:$G,Actuals!$B:$B,$C$3,Actuals!$C:$C,8,Actuals!$D:$D,$B$874,Actuals!$A:$A,LEFT($D$874,FIND("|",$D$874&amp;"|")-1),Actuals!$E:$E,MID($D$874,FIND("|",$D$874&amp;"|")+1,50),Actuals!$F:$F,"USD")*$F$5+SUMIFS(Actuals!$G:$G,Actuals!$B:$B,$C$3,Actuals!$C:$C,8,Actuals!$D:$D,$B$874,Actuals!$A:$A,LEFT($D$874,FIND("|",$D$874&amp;"|")-1),Actuals!$E:$E,MID($D$874,FIND("|",$D$874&amp;"|")+1,50),Actuals!$F:$F,"EUR")*$G$5+SUMIFS(Actuals!$G:$G,Actuals!$B:$B,$C$3,Actuals!$C:$C,8,Actuals!$D:$D,$B$874,Actuals!$A:$A,LEFT($D$874,FIND("|",$D$874&amp;"|")-1),Actuals!$E:$E,MID($D$874,FIND("|",$D$874&amp;"|")+1,50),Actuals!$F:$F,"GBP")*$H$5)</f>
        <v/>
      </c>
      <c r="P875" s="18">
        <f>IF(OR($B$874="",9&gt;$C$4),"",SUMIFS(Actuals!$G:$G,Actuals!$B:$B,$C$3,Actuals!$C:$C,9,Actuals!$D:$D,$B$874,Actuals!$A:$A,LEFT($D$874,FIND("|",$D$874&amp;"|")-1),Actuals!$E:$E,MID($D$874,FIND("|",$D$874&amp;"|")+1,50),Actuals!$F:$F,"JPY")*$E$5+SUMIFS(Actuals!$G:$G,Actuals!$B:$B,$C$3,Actuals!$C:$C,9,Actuals!$D:$D,$B$874,Actuals!$A:$A,LEFT($D$874,FIND("|",$D$874&amp;"|")-1),Actuals!$E:$E,MID($D$874,FIND("|",$D$874&amp;"|")+1,50),Actuals!$F:$F,"USD")*$F$5+SUMIFS(Actuals!$G:$G,Actuals!$B:$B,$C$3,Actuals!$C:$C,9,Actuals!$D:$D,$B$874,Actuals!$A:$A,LEFT($D$874,FIND("|",$D$874&amp;"|")-1),Actuals!$E:$E,MID($D$874,FIND("|",$D$874&amp;"|")+1,50),Actuals!$F:$F,"EUR")*$G$5+SUMIFS(Actuals!$G:$G,Actuals!$B:$B,$C$3,Actuals!$C:$C,9,Actuals!$D:$D,$B$874,Actuals!$A:$A,LEFT($D$874,FIND("|",$D$874&amp;"|")-1),Actuals!$E:$E,MID($D$874,FIND("|",$D$874&amp;"|")+1,50),Actuals!$F:$F,"GBP")*$H$5)</f>
        <v/>
      </c>
      <c r="Q875" s="18">
        <f>IF(OR($B$874="",10&gt;$C$4),"",SUMIFS(Actuals!$G:$G,Actuals!$B:$B,$C$3,Actuals!$C:$C,10,Actuals!$D:$D,$B$874,Actuals!$A:$A,LEFT($D$874,FIND("|",$D$874&amp;"|")-1),Actuals!$E:$E,MID($D$874,FIND("|",$D$874&amp;"|")+1,50),Actuals!$F:$F,"JPY")*$E$5+SUMIFS(Actuals!$G:$G,Actuals!$B:$B,$C$3,Actuals!$C:$C,10,Actuals!$D:$D,$B$874,Actuals!$A:$A,LEFT($D$874,FIND("|",$D$874&amp;"|")-1),Actuals!$E:$E,MID($D$874,FIND("|",$D$874&amp;"|")+1,50),Actuals!$F:$F,"USD")*$F$5+SUMIFS(Actuals!$G:$G,Actuals!$B:$B,$C$3,Actuals!$C:$C,10,Actuals!$D:$D,$B$874,Actuals!$A:$A,LEFT($D$874,FIND("|",$D$874&amp;"|")-1),Actuals!$E:$E,MID($D$874,FIND("|",$D$874&amp;"|")+1,50),Actuals!$F:$F,"EUR")*$G$5+SUMIFS(Actuals!$G:$G,Actuals!$B:$B,$C$3,Actuals!$C:$C,10,Actuals!$D:$D,$B$874,Actuals!$A:$A,LEFT($D$874,FIND("|",$D$874&amp;"|")-1),Actuals!$E:$E,MID($D$874,FIND("|",$D$874&amp;"|")+1,50),Actuals!$F:$F,"GBP")*$H$5)</f>
        <v/>
      </c>
      <c r="R875" s="18">
        <f>IF(OR($B$874="",11&gt;$C$4),"",SUMIFS(Actuals!$G:$G,Actuals!$B:$B,$C$3,Actuals!$C:$C,11,Actuals!$D:$D,$B$874,Actuals!$A:$A,LEFT($D$874,FIND("|",$D$874&amp;"|")-1),Actuals!$E:$E,MID($D$874,FIND("|",$D$874&amp;"|")+1,50),Actuals!$F:$F,"JPY")*$E$5+SUMIFS(Actuals!$G:$G,Actuals!$B:$B,$C$3,Actuals!$C:$C,11,Actuals!$D:$D,$B$874,Actuals!$A:$A,LEFT($D$874,FIND("|",$D$874&amp;"|")-1),Actuals!$E:$E,MID($D$874,FIND("|",$D$874&amp;"|")+1,50),Actuals!$F:$F,"USD")*$F$5+SUMIFS(Actuals!$G:$G,Actuals!$B:$B,$C$3,Actuals!$C:$C,11,Actuals!$D:$D,$B$874,Actuals!$A:$A,LEFT($D$874,FIND("|",$D$874&amp;"|")-1),Actuals!$E:$E,MID($D$874,FIND("|",$D$874&amp;"|")+1,50),Actuals!$F:$F,"EUR")*$G$5+SUMIFS(Actuals!$G:$G,Actuals!$B:$B,$C$3,Actuals!$C:$C,11,Actuals!$D:$D,$B$874,Actuals!$A:$A,LEFT($D$874,FIND("|",$D$874&amp;"|")-1),Actuals!$E:$E,MID($D$874,FIND("|",$D$874&amp;"|")+1,50),Actuals!$F:$F,"GBP")*$H$5)</f>
        <v/>
      </c>
      <c r="S875" s="18">
        <f>IF(OR($B$874="",12&gt;$C$4),"",SUMIFS(Actuals!$G:$G,Actuals!$B:$B,$C$3,Actuals!$C:$C,12,Actuals!$D:$D,$B$874,Actuals!$A:$A,LEFT($D$874,FIND("|",$D$874&amp;"|")-1),Actuals!$E:$E,MID($D$874,FIND("|",$D$874&amp;"|")+1,50),Actuals!$F:$F,"JPY")*$E$5+SUMIFS(Actuals!$G:$G,Actuals!$B:$B,$C$3,Actuals!$C:$C,12,Actuals!$D:$D,$B$874,Actuals!$A:$A,LEFT($D$874,FIND("|",$D$874&amp;"|")-1),Actuals!$E:$E,MID($D$874,FIND("|",$D$874&amp;"|")+1,50),Actuals!$F:$F,"USD")*$F$5+SUMIFS(Actuals!$G:$G,Actuals!$B:$B,$C$3,Actuals!$C:$C,12,Actuals!$D:$D,$B$874,Actuals!$A:$A,LEFT($D$874,FIND("|",$D$874&amp;"|")-1),Actuals!$E:$E,MID($D$874,FIND("|",$D$874&amp;"|")+1,50),Actuals!$F:$F,"EUR")*$G$5+SUMIFS(Actuals!$G:$G,Actuals!$B:$B,$C$3,Actuals!$C:$C,12,Actuals!$D:$D,$B$874,Actuals!$A:$A,LEFT($D$874,FIND("|",$D$874&amp;"|")-1),Actuals!$E:$E,MID($D$874,FIND("|",$D$874&amp;"|")+1,50),Actuals!$F:$F,"GBP")*$H$5)</f>
        <v/>
      </c>
      <c r="T875" s="18">
        <f>IF($B$874="","",SUMIF($H$7:$S$7,"&lt;="&amp;$C$4,$H875:$S875))</f>
        <v/>
      </c>
      <c r="U875" s="18" t="n"/>
      <c r="V875" s="18" t="n"/>
      <c r="X875" s="22">
        <f>IF($B875="","",IFERROR(INDEX(Cost_Centers!$E:$E,MATCH($B875,Cost_Centers!$A:$A,0)),"(unknown)"))</f>
        <v/>
      </c>
      <c r="Y875" s="22">
        <f>IF($B875="","",IFERROR(INDEX(Cost_Centers!$D:$D,MATCH($B875,Cost_Centers!$A:$A,0)),"(unknown)"))</f>
        <v/>
      </c>
      <c r="Z875" s="22">
        <f>IF(OR($B875="",$G875&lt;&gt;"Variance vs Budget"),"",ABS(N($V875))+ROW()/1000000000)</f>
        <v/>
      </c>
    </row>
    <row r="876">
      <c r="A876" s="13">
        <f>IF(A$874="","",A$874)</f>
        <v/>
      </c>
      <c r="B876" s="13">
        <f>IF(B$874="","",B$874)</f>
        <v/>
      </c>
      <c r="C876" s="13">
        <f>IF(C$874="","",C$874)</f>
        <v/>
      </c>
      <c r="D876" s="13">
        <f>IF(D$874="","",D$874)</f>
        <v/>
      </c>
      <c r="E876" s="13">
        <f>IF(E$874="","",E$874)</f>
        <v/>
      </c>
      <c r="F876" s="13">
        <f>IF(F$874="","",F$874)</f>
        <v/>
      </c>
      <c r="G876" s="6" t="inlineStr">
        <is>
          <t>Variance vs Budget</t>
        </is>
      </c>
      <c r="H876" s="33">
        <f>IF(OR($B$874="",1&gt;$C$4),"",N(H875)-H874)</f>
        <v/>
      </c>
      <c r="I876" s="33">
        <f>IF(OR($B$874="",2&gt;$C$4),"",N(I875)-I874)</f>
        <v/>
      </c>
      <c r="J876" s="33">
        <f>IF(OR($B$874="",3&gt;$C$4),"",N(J875)-J874)</f>
        <v/>
      </c>
      <c r="K876" s="33">
        <f>IF(OR($B$874="",4&gt;$C$4),"",N(K875)-K874)</f>
        <v/>
      </c>
      <c r="L876" s="33">
        <f>IF(OR($B$874="",5&gt;$C$4),"",N(L875)-L874)</f>
        <v/>
      </c>
      <c r="M876" s="33">
        <f>IF(OR($B$874="",6&gt;$C$4),"",N(M875)-M874)</f>
        <v/>
      </c>
      <c r="N876" s="33">
        <f>IF(OR($B$874="",7&gt;$C$4),"",N(N875)-N874)</f>
        <v/>
      </c>
      <c r="O876" s="33">
        <f>IF(OR($B$874="",8&gt;$C$4),"",N(O875)-O874)</f>
        <v/>
      </c>
      <c r="P876" s="33">
        <f>IF(OR($B$874="",9&gt;$C$4),"",N(P875)-P874)</f>
        <v/>
      </c>
      <c r="Q876" s="33">
        <f>IF(OR($B$874="",10&gt;$C$4),"",N(Q875)-Q874)</f>
        <v/>
      </c>
      <c r="R876" s="33">
        <f>IF(OR($B$874="",11&gt;$C$4),"",N(R875)-R874)</f>
        <v/>
      </c>
      <c r="S876" s="33">
        <f>IF(OR($B$874="",12&gt;$C$4),"",N(S875)-S874)</f>
        <v/>
      </c>
      <c r="T876" s="33">
        <f>IF($B$874="","",T875-T874)</f>
        <v/>
      </c>
      <c r="U876" s="33">
        <f>IF($B$874="","",U878-U874)</f>
        <v/>
      </c>
      <c r="V876" s="33">
        <f>IF($B$874="","",V878-V874)</f>
        <v/>
      </c>
      <c r="X876" s="22">
        <f>IF($B876="","",IFERROR(INDEX(Cost_Centers!$E:$E,MATCH($B876,Cost_Centers!$A:$A,0)),"(unknown)"))</f>
        <v/>
      </c>
      <c r="Y876" s="22">
        <f>IF($B876="","",IFERROR(INDEX(Cost_Centers!$D:$D,MATCH($B876,Cost_Centers!$A:$A,0)),"(unknown)"))</f>
        <v/>
      </c>
      <c r="Z876" s="22">
        <f>IF(OR($B876="",$G876&lt;&gt;"Variance vs Budget"),"",ABS(N($V876))+ROW()/1000000000)</f>
        <v/>
      </c>
    </row>
    <row r="877">
      <c r="A877" s="13">
        <f>IF(A$874="","",A$874)</f>
        <v/>
      </c>
      <c r="B877" s="13">
        <f>IF(B$874="","",B$874)</f>
        <v/>
      </c>
      <c r="C877" s="13">
        <f>IF(C$874="","",C$874)</f>
        <v/>
      </c>
      <c r="D877" s="13">
        <f>IF(D$874="","",D$874)</f>
        <v/>
      </c>
      <c r="E877" s="13">
        <f>IF(E$874="","",E$874)</f>
        <v/>
      </c>
      <c r="F877" s="13">
        <f>IF(F$874="","",F$874)</f>
        <v/>
      </c>
      <c r="G877" s="7" t="inlineStr">
        <is>
          <t>Forecast (input)</t>
        </is>
      </c>
      <c r="H877" s="34" t="n"/>
      <c r="I877" s="34" t="n"/>
      <c r="J877" s="34" t="n"/>
      <c r="K877" s="34" t="n"/>
      <c r="L877" s="34" t="n"/>
      <c r="M877" s="34" t="n"/>
      <c r="N877" s="34" t="n"/>
      <c r="O877" s="34" t="n"/>
      <c r="P877" s="34" t="n"/>
      <c r="Q877" s="34" t="n"/>
      <c r="R877" s="34" t="n"/>
      <c r="S877" s="34" t="n"/>
      <c r="T877" s="18" t="n"/>
      <c r="U877" s="18" t="n"/>
      <c r="V877" s="18" t="n"/>
      <c r="X877" s="22">
        <f>IF($B877="","",IFERROR(INDEX(Cost_Centers!$E:$E,MATCH($B877,Cost_Centers!$A:$A,0)),"(unknown)"))</f>
        <v/>
      </c>
      <c r="Y877" s="22">
        <f>IF($B877="","",IFERROR(INDEX(Cost_Centers!$D:$D,MATCH($B877,Cost_Centers!$A:$A,0)),"(unknown)"))</f>
        <v/>
      </c>
      <c r="Z877" s="22">
        <f>IF(OR($B877="",$G877&lt;&gt;"Variance vs Budget"),"",ABS(N($V877))+ROW()/1000000000)</f>
        <v/>
      </c>
    </row>
    <row r="878">
      <c r="A878" s="13">
        <f>IF(A$874="","",A$874)</f>
        <v/>
      </c>
      <c r="B878" s="13">
        <f>IF(B$874="","",B$874)</f>
        <v/>
      </c>
      <c r="C878" s="13">
        <f>IF(C$874="","",C$874)</f>
        <v/>
      </c>
      <c r="D878" s="13">
        <f>IF(D$874="","",D$874)</f>
        <v/>
      </c>
      <c r="E878" s="13">
        <f>IF(E$874="","",E$874)</f>
        <v/>
      </c>
      <c r="F878" s="13">
        <f>IF(F$874="","",F$874)</f>
        <v/>
      </c>
      <c r="G878" s="35" t="inlineStr">
        <is>
          <t>Actual + Forecast</t>
        </is>
      </c>
      <c r="H878" s="18">
        <f>IF($B$874="","",IF(1&lt;=$C$4,N(H875),IF(H877="",H874,H877)))</f>
        <v/>
      </c>
      <c r="I878" s="18">
        <f>IF($B$874="","",IF(2&lt;=$C$4,N(I875),IF(I877="",I874,I877)))</f>
        <v/>
      </c>
      <c r="J878" s="18">
        <f>IF($B$874="","",IF(3&lt;=$C$4,N(J875),IF(J877="",J874,J877)))</f>
        <v/>
      </c>
      <c r="K878" s="18">
        <f>IF($B$874="","",IF(4&lt;=$C$4,N(K875),IF(K877="",K874,K877)))</f>
        <v/>
      </c>
      <c r="L878" s="18">
        <f>IF($B$874="","",IF(5&lt;=$C$4,N(L875),IF(L877="",L874,L877)))</f>
        <v/>
      </c>
      <c r="M878" s="18">
        <f>IF($B$874="","",IF(6&lt;=$C$4,N(M875),IF(M877="",M874,M877)))</f>
        <v/>
      </c>
      <c r="N878" s="18">
        <f>IF($B$874="","",IF(7&lt;=$C$4,N(N875),IF(N877="",N874,N877)))</f>
        <v/>
      </c>
      <c r="O878" s="18">
        <f>IF($B$874="","",IF(8&lt;=$C$4,N(O875),IF(O877="",O874,O877)))</f>
        <v/>
      </c>
      <c r="P878" s="18">
        <f>IF($B$874="","",IF(9&lt;=$C$4,N(P875),IF(P877="",P874,P877)))</f>
        <v/>
      </c>
      <c r="Q878" s="18">
        <f>IF($B$874="","",IF(10&lt;=$C$4,N(Q875),IF(Q877="",Q874,Q877)))</f>
        <v/>
      </c>
      <c r="R878" s="18">
        <f>IF($B$874="","",IF(11&lt;=$C$4,N(R875),IF(R877="",R874,R877)))</f>
        <v/>
      </c>
      <c r="S878" s="18">
        <f>IF($B$874="","",IF(12&lt;=$C$4,N(S875),IF(S877="",S874,S877)))</f>
        <v/>
      </c>
      <c r="T878" s="18">
        <f>IF($B$874="","",SUMIF($H$7:$S$7,"&lt;="&amp;$C$4,$H878:$S878))</f>
        <v/>
      </c>
      <c r="U878" s="18">
        <f>IF($B$874="","",SUMIF($H$7:$S$7,"&gt;"&amp;$C$4,$H878:$S878))</f>
        <v/>
      </c>
      <c r="V878" s="18">
        <f>IF($B$874="","",SUM($H878:$S878))</f>
        <v/>
      </c>
      <c r="X878" s="22">
        <f>IF($B878="","",IFERROR(INDEX(Cost_Centers!$E:$E,MATCH($B878,Cost_Centers!$A:$A,0)),"(unknown)"))</f>
        <v/>
      </c>
      <c r="Y878" s="22">
        <f>IF($B878="","",IFERROR(INDEX(Cost_Centers!$D:$D,MATCH($B878,Cost_Centers!$A:$A,0)),"(unknown)"))</f>
        <v/>
      </c>
      <c r="Z878" s="22">
        <f>IF(OR($B878="",$G878&lt;&gt;"Variance vs Budget"),"",ABS(N($V878))+ROW()/1000000000)</f>
        <v/>
      </c>
    </row>
    <row r="879">
      <c r="A879" s="13">
        <f>IF(A$874="","",A$874)</f>
        <v/>
      </c>
      <c r="B879" s="13">
        <f>IF(B$874="","",B$874)</f>
        <v/>
      </c>
      <c r="C879" s="13">
        <f>IF(C$874="","",C$874)</f>
        <v/>
      </c>
      <c r="D879" s="13">
        <f>IF(D$874="","",D$874)</f>
        <v/>
      </c>
      <c r="E879" s="13">
        <f>IF(E$874="","",E$874)</f>
        <v/>
      </c>
      <c r="F879" s="13">
        <f>IF(F$874="","",F$874)</f>
        <v/>
      </c>
      <c r="G879" s="36" t="inlineStr">
        <is>
          <t>Prior Month Forecast</t>
        </is>
      </c>
      <c r="H879" s="37">
        <f>IF($B$874="","",IF(COUNTIFS(Prior_Forecast!$A:$A,$B$874,Prior_Forecast!$B:$B,$D$874)&gt;0,SUMIFS(Prior_Forecast!$C:$C,Prior_Forecast!$A:$A,$B$874,Prior_Forecast!$B:$B,$D$874),""))</f>
        <v/>
      </c>
      <c r="I879" s="37">
        <f>IF($B$874="","",IF(COUNTIFS(Prior_Forecast!$A:$A,$B$874,Prior_Forecast!$B:$B,$D$874)&gt;0,SUMIFS(Prior_Forecast!$D:$D,Prior_Forecast!$A:$A,$B$874,Prior_Forecast!$B:$B,$D$874),""))</f>
        <v/>
      </c>
      <c r="J879" s="37">
        <f>IF($B$874="","",IF(COUNTIFS(Prior_Forecast!$A:$A,$B$874,Prior_Forecast!$B:$B,$D$874)&gt;0,SUMIFS(Prior_Forecast!$E:$E,Prior_Forecast!$A:$A,$B$874,Prior_Forecast!$B:$B,$D$874),""))</f>
        <v/>
      </c>
      <c r="K879" s="37">
        <f>IF($B$874="","",IF(COUNTIFS(Prior_Forecast!$A:$A,$B$874,Prior_Forecast!$B:$B,$D$874)&gt;0,SUMIFS(Prior_Forecast!$F:$F,Prior_Forecast!$A:$A,$B$874,Prior_Forecast!$B:$B,$D$874),""))</f>
        <v/>
      </c>
      <c r="L879" s="37">
        <f>IF($B$874="","",IF(COUNTIFS(Prior_Forecast!$A:$A,$B$874,Prior_Forecast!$B:$B,$D$874)&gt;0,SUMIFS(Prior_Forecast!$G:$G,Prior_Forecast!$A:$A,$B$874,Prior_Forecast!$B:$B,$D$874),""))</f>
        <v/>
      </c>
      <c r="M879" s="37">
        <f>IF($B$874="","",IF(COUNTIFS(Prior_Forecast!$A:$A,$B$874,Prior_Forecast!$B:$B,$D$874)&gt;0,SUMIFS(Prior_Forecast!$H:$H,Prior_Forecast!$A:$A,$B$874,Prior_Forecast!$B:$B,$D$874),""))</f>
        <v/>
      </c>
      <c r="N879" s="37">
        <f>IF($B$874="","",IF(COUNTIFS(Prior_Forecast!$A:$A,$B$874,Prior_Forecast!$B:$B,$D$874)&gt;0,SUMIFS(Prior_Forecast!$I:$I,Prior_Forecast!$A:$A,$B$874,Prior_Forecast!$B:$B,$D$874),""))</f>
        <v/>
      </c>
      <c r="O879" s="37">
        <f>IF($B$874="","",IF(COUNTIFS(Prior_Forecast!$A:$A,$B$874,Prior_Forecast!$B:$B,$D$874)&gt;0,SUMIFS(Prior_Forecast!$J:$J,Prior_Forecast!$A:$A,$B$874,Prior_Forecast!$B:$B,$D$874),""))</f>
        <v/>
      </c>
      <c r="P879" s="37">
        <f>IF($B$874="","",IF(COUNTIFS(Prior_Forecast!$A:$A,$B$874,Prior_Forecast!$B:$B,$D$874)&gt;0,SUMIFS(Prior_Forecast!$K:$K,Prior_Forecast!$A:$A,$B$874,Prior_Forecast!$B:$B,$D$874),""))</f>
        <v/>
      </c>
      <c r="Q879" s="37">
        <f>IF($B$874="","",IF(COUNTIFS(Prior_Forecast!$A:$A,$B$874,Prior_Forecast!$B:$B,$D$874)&gt;0,SUMIFS(Prior_Forecast!$L:$L,Prior_Forecast!$A:$A,$B$874,Prior_Forecast!$B:$B,$D$874),""))</f>
        <v/>
      </c>
      <c r="R879" s="37">
        <f>IF($B$874="","",IF(COUNTIFS(Prior_Forecast!$A:$A,$B$874,Prior_Forecast!$B:$B,$D$874)&gt;0,SUMIFS(Prior_Forecast!$M:$M,Prior_Forecast!$A:$A,$B$874,Prior_Forecast!$B:$B,$D$874),""))</f>
        <v/>
      </c>
      <c r="S879" s="37">
        <f>IF($B$874="","",IF(COUNTIFS(Prior_Forecast!$A:$A,$B$874,Prior_Forecast!$B:$B,$D$874)&gt;0,SUMIFS(Prior_Forecast!$N:$N,Prior_Forecast!$A:$A,$B$874,Prior_Forecast!$B:$B,$D$874),""))</f>
        <v/>
      </c>
      <c r="T879" s="37">
        <f>IF($B$874="","",IF(COUNTIFS(Prior_Forecast!$A:$A,$B$874,Prior_Forecast!$B:$B,$D$874)&gt;0,SUMIFS(Prior_Forecast!$O:$O,Prior_Forecast!$A:$A,$B$874,Prior_Forecast!$B:$B,$D$874),""))</f>
        <v/>
      </c>
      <c r="U879" s="37">
        <f>IF($B$874="","",IF(COUNTIFS(Prior_Forecast!$A:$A,$B$874,Prior_Forecast!$B:$B,$D$874)&gt;0,SUMIFS(Prior_Forecast!$P:$P,Prior_Forecast!$A:$A,$B$874,Prior_Forecast!$B:$B,$D$874),""))</f>
        <v/>
      </c>
      <c r="V879" s="37">
        <f>IF($B$874="","",IF(COUNTIFS(Prior_Forecast!$A:$A,$B$874,Prior_Forecast!$B:$B,$D$874)&gt;0,SUMIFS(Prior_Forecast!$Q:$Q,Prior_Forecast!$A:$A,$B$874,Prior_Forecast!$B:$B,$D$874),""))</f>
        <v/>
      </c>
      <c r="X879" s="22">
        <f>IF($B879="","",IFERROR(INDEX(Cost_Centers!$E:$E,MATCH($B879,Cost_Centers!$A:$A,0)),"(unknown)"))</f>
        <v/>
      </c>
      <c r="Y879" s="22">
        <f>IF($B879="","",IFERROR(INDEX(Cost_Centers!$D:$D,MATCH($B879,Cost_Centers!$A:$A,0)),"(unknown)"))</f>
        <v/>
      </c>
      <c r="Z879" s="22">
        <f>IF(OR($B879="",$G879&lt;&gt;"Variance vs Budget"),"",ABS(N($V879))+ROW()/1000000000)</f>
        <v/>
      </c>
    </row>
    <row r="880">
      <c r="A880" s="13">
        <f>IF(A$874="","",A$874)</f>
        <v/>
      </c>
      <c r="B880" s="13">
        <f>IF(B$874="","",B$874)</f>
        <v/>
      </c>
      <c r="C880" s="13">
        <f>IF(C$874="","",C$874)</f>
        <v/>
      </c>
      <c r="D880" s="13">
        <f>IF(D$874="","",D$874)</f>
        <v/>
      </c>
      <c r="E880" s="13">
        <f>IF(E$874="","",E$874)</f>
        <v/>
      </c>
      <c r="F880" s="13">
        <f>IF(F$874="","",F$874)</f>
        <v/>
      </c>
      <c r="G880" s="6" t="inlineStr">
        <is>
          <t>Variance vs Prior Month</t>
        </is>
      </c>
      <c r="H880" s="33">
        <f>IF(OR($B$874="",H879=""),"",H878-H879)</f>
        <v/>
      </c>
      <c r="I880" s="33">
        <f>IF(OR($B$874="",I879=""),"",I878-I879)</f>
        <v/>
      </c>
      <c r="J880" s="33">
        <f>IF(OR($B$874="",J879=""),"",J878-J879)</f>
        <v/>
      </c>
      <c r="K880" s="33">
        <f>IF(OR($B$874="",K879=""),"",K878-K879)</f>
        <v/>
      </c>
      <c r="L880" s="33">
        <f>IF(OR($B$874="",L879=""),"",L878-L879)</f>
        <v/>
      </c>
      <c r="M880" s="33">
        <f>IF(OR($B$874="",M879=""),"",M878-M879)</f>
        <v/>
      </c>
      <c r="N880" s="33">
        <f>IF(OR($B$874="",N879=""),"",N878-N879)</f>
        <v/>
      </c>
      <c r="O880" s="33">
        <f>IF(OR($B$874="",O879=""),"",O878-O879)</f>
        <v/>
      </c>
      <c r="P880" s="33">
        <f>IF(OR($B$874="",P879=""),"",P878-P879)</f>
        <v/>
      </c>
      <c r="Q880" s="33">
        <f>IF(OR($B$874="",Q879=""),"",Q878-Q879)</f>
        <v/>
      </c>
      <c r="R880" s="33">
        <f>IF(OR($B$874="",R879=""),"",R878-R879)</f>
        <v/>
      </c>
      <c r="S880" s="33">
        <f>IF(OR($B$874="",S879=""),"",S878-S879)</f>
        <v/>
      </c>
      <c r="T880" s="33">
        <f>IF(OR($B$874="",T879=""),"",T878-T879)</f>
        <v/>
      </c>
      <c r="U880" s="33">
        <f>IF(OR($B$874="",U879=""),"",U878-U879)</f>
        <v/>
      </c>
      <c r="V880" s="33">
        <f>IF(OR($B$874="",V879=""),"",V878-V879)</f>
        <v/>
      </c>
      <c r="X880" s="22">
        <f>IF($B880="","",IFERROR(INDEX(Cost_Centers!$E:$E,MATCH($B880,Cost_Centers!$A:$A,0)),"(unknown)"))</f>
        <v/>
      </c>
      <c r="Y880" s="22">
        <f>IF($B880="","",IFERROR(INDEX(Cost_Centers!$D:$D,MATCH($B880,Cost_Centers!$A:$A,0)),"(unknown)"))</f>
        <v/>
      </c>
      <c r="Z880" s="22">
        <f>IF(OR($B880="",$G880&lt;&gt;"Variance vs Budget"),"",ABS(N($V880))+ROW()/1000000000)</f>
        <v/>
      </c>
    </row>
    <row r="881" ht="45" customHeight="1">
      <c r="A881" s="13">
        <f>IF(A$874="","",A$874)</f>
        <v/>
      </c>
      <c r="B881" s="13">
        <f>IF(B$874="","",B$874)</f>
        <v/>
      </c>
      <c r="C881" s="13">
        <f>IF(C$874="","",C$874)</f>
        <v/>
      </c>
      <c r="D881" s="13">
        <f>IF(D$874="","",D$874)</f>
        <v/>
      </c>
      <c r="E881" s="13">
        <f>IF(E$874="","",E$874)</f>
        <v/>
      </c>
      <c r="F881" s="13">
        <f>IF(F$874="","",F$874)</f>
        <v/>
      </c>
      <c r="G881" s="7" t="inlineStr">
        <is>
          <t>Rationale</t>
        </is>
      </c>
      <c r="H881" s="38" t="n"/>
      <c r="I881" s="38" t="n"/>
      <c r="J881" s="38" t="n"/>
      <c r="K881" s="38" t="n"/>
      <c r="L881" s="38" t="n"/>
      <c r="M881" s="38" t="n"/>
      <c r="N881" s="38" t="n"/>
      <c r="O881" s="38" t="n"/>
      <c r="P881" s="38" t="n"/>
      <c r="Q881" s="38" t="n"/>
      <c r="R881" s="38" t="n"/>
      <c r="S881" s="38" t="n"/>
      <c r="T881" s="38" t="n"/>
      <c r="U881" s="38" t="n"/>
      <c r="V881" s="7" t="n"/>
      <c r="X881" s="22">
        <f>IF($B881="","",IFERROR(INDEX(Cost_Centers!$E:$E,MATCH($B881,Cost_Centers!$A:$A,0)),"(unknown)"))</f>
        <v/>
      </c>
      <c r="Y881" s="22">
        <f>IF($B881="","",IFERROR(INDEX(Cost_Centers!$D:$D,MATCH($B881,Cost_Centers!$A:$A,0)),"(unknown)"))</f>
        <v/>
      </c>
      <c r="Z881" s="22">
        <f>IF(OR($B881="",$G881&lt;&gt;"Variance vs Budget"),"",ABS(N($V881))+ROW()/1000000000)</f>
        <v/>
      </c>
    </row>
    <row r="882">
      <c r="A882" s="30">
        <f>IF($D$882="","",LEFT($D$882,FIND("|",$D$882&amp;"|")-1))</f>
        <v/>
      </c>
      <c r="B882" s="31" t="n"/>
      <c r="C882" s="30">
        <f>IF($B$882="","",IFERROR(INDEX(Cost_Centers!$B:$B,MATCH($B$882,Cost_Centers!$A:$A,0)),"(not in master)"))</f>
        <v/>
      </c>
      <c r="D882" s="31" t="n"/>
      <c r="E882" s="30">
        <f>IF($D$882="","",IFERROR(INDEX(Accounts!$D:$D,MATCH($D$882,Accounts!$A:$A,0)),"(not in master)"))</f>
        <v/>
      </c>
      <c r="F882" s="31" t="n"/>
      <c r="G882" s="30" t="inlineStr">
        <is>
          <t>Budget</t>
        </is>
      </c>
      <c r="H882" s="32">
        <f>IF($B$882="","",SUMIFS(Opex_Budget!$O:$O,Opex_Budget!$A:$A,$C$3,Opex_Budget!$E:$E,$B$882,Opex_Budget!$F:$F,$D$882,Opex_Budget!$N:$N,"JPY")*$E$5+SUMIFS(Opex_Budget!$O:$O,Opex_Budget!$A:$A,$C$3,Opex_Budget!$E:$E,$B$882,Opex_Budget!$F:$F,$D$882,Opex_Budget!$N:$N,"USD")*$F$5+SUMIFS(Opex_Budget!$O:$O,Opex_Budget!$A:$A,$C$3,Opex_Budget!$E:$E,$B$882,Opex_Budget!$F:$F,$D$882,Opex_Budget!$N:$N,"EUR")*$G$5+SUMIFS(Opex_Budget!$O:$O,Opex_Budget!$A:$A,$C$3,Opex_Budget!$E:$E,$B$882,Opex_Budget!$F:$F,$D$882,Opex_Budget!$N:$N,"GBP")*$H$5)</f>
        <v/>
      </c>
      <c r="I882" s="32">
        <f>IF($B$882="","",SUMIFS(Opex_Budget!$P:$P,Opex_Budget!$A:$A,$C$3,Opex_Budget!$E:$E,$B$882,Opex_Budget!$F:$F,$D$882,Opex_Budget!$N:$N,"JPY")*$E$5+SUMIFS(Opex_Budget!$P:$P,Opex_Budget!$A:$A,$C$3,Opex_Budget!$E:$E,$B$882,Opex_Budget!$F:$F,$D$882,Opex_Budget!$N:$N,"USD")*$F$5+SUMIFS(Opex_Budget!$P:$P,Opex_Budget!$A:$A,$C$3,Opex_Budget!$E:$E,$B$882,Opex_Budget!$F:$F,$D$882,Opex_Budget!$N:$N,"EUR")*$G$5+SUMIFS(Opex_Budget!$P:$P,Opex_Budget!$A:$A,$C$3,Opex_Budget!$E:$E,$B$882,Opex_Budget!$F:$F,$D$882,Opex_Budget!$N:$N,"GBP")*$H$5)</f>
        <v/>
      </c>
      <c r="J882" s="32">
        <f>IF($B$882="","",SUMIFS(Opex_Budget!$Q:$Q,Opex_Budget!$A:$A,$C$3,Opex_Budget!$E:$E,$B$882,Opex_Budget!$F:$F,$D$882,Opex_Budget!$N:$N,"JPY")*$E$5+SUMIFS(Opex_Budget!$Q:$Q,Opex_Budget!$A:$A,$C$3,Opex_Budget!$E:$E,$B$882,Opex_Budget!$F:$F,$D$882,Opex_Budget!$N:$N,"USD")*$F$5+SUMIFS(Opex_Budget!$Q:$Q,Opex_Budget!$A:$A,$C$3,Opex_Budget!$E:$E,$B$882,Opex_Budget!$F:$F,$D$882,Opex_Budget!$N:$N,"EUR")*$G$5+SUMIFS(Opex_Budget!$Q:$Q,Opex_Budget!$A:$A,$C$3,Opex_Budget!$E:$E,$B$882,Opex_Budget!$F:$F,$D$882,Opex_Budget!$N:$N,"GBP")*$H$5)</f>
        <v/>
      </c>
      <c r="K882" s="32">
        <f>IF($B$882="","",SUMIFS(Opex_Budget!$R:$R,Opex_Budget!$A:$A,$C$3,Opex_Budget!$E:$E,$B$882,Opex_Budget!$F:$F,$D$882,Opex_Budget!$N:$N,"JPY")*$E$5+SUMIFS(Opex_Budget!$R:$R,Opex_Budget!$A:$A,$C$3,Opex_Budget!$E:$E,$B$882,Opex_Budget!$F:$F,$D$882,Opex_Budget!$N:$N,"USD")*$F$5+SUMIFS(Opex_Budget!$R:$R,Opex_Budget!$A:$A,$C$3,Opex_Budget!$E:$E,$B$882,Opex_Budget!$F:$F,$D$882,Opex_Budget!$N:$N,"EUR")*$G$5+SUMIFS(Opex_Budget!$R:$R,Opex_Budget!$A:$A,$C$3,Opex_Budget!$E:$E,$B$882,Opex_Budget!$F:$F,$D$882,Opex_Budget!$N:$N,"GBP")*$H$5)</f>
        <v/>
      </c>
      <c r="L882" s="32">
        <f>IF($B$882="","",SUMIFS(Opex_Budget!$S:$S,Opex_Budget!$A:$A,$C$3,Opex_Budget!$E:$E,$B$882,Opex_Budget!$F:$F,$D$882,Opex_Budget!$N:$N,"JPY")*$E$5+SUMIFS(Opex_Budget!$S:$S,Opex_Budget!$A:$A,$C$3,Opex_Budget!$E:$E,$B$882,Opex_Budget!$F:$F,$D$882,Opex_Budget!$N:$N,"USD")*$F$5+SUMIFS(Opex_Budget!$S:$S,Opex_Budget!$A:$A,$C$3,Opex_Budget!$E:$E,$B$882,Opex_Budget!$F:$F,$D$882,Opex_Budget!$N:$N,"EUR")*$G$5+SUMIFS(Opex_Budget!$S:$S,Opex_Budget!$A:$A,$C$3,Opex_Budget!$E:$E,$B$882,Opex_Budget!$F:$F,$D$882,Opex_Budget!$N:$N,"GBP")*$H$5)</f>
        <v/>
      </c>
      <c r="M882" s="32">
        <f>IF($B$882="","",SUMIFS(Opex_Budget!$T:$T,Opex_Budget!$A:$A,$C$3,Opex_Budget!$E:$E,$B$882,Opex_Budget!$F:$F,$D$882,Opex_Budget!$N:$N,"JPY")*$E$5+SUMIFS(Opex_Budget!$T:$T,Opex_Budget!$A:$A,$C$3,Opex_Budget!$E:$E,$B$882,Opex_Budget!$F:$F,$D$882,Opex_Budget!$N:$N,"USD")*$F$5+SUMIFS(Opex_Budget!$T:$T,Opex_Budget!$A:$A,$C$3,Opex_Budget!$E:$E,$B$882,Opex_Budget!$F:$F,$D$882,Opex_Budget!$N:$N,"EUR")*$G$5+SUMIFS(Opex_Budget!$T:$T,Opex_Budget!$A:$A,$C$3,Opex_Budget!$E:$E,$B$882,Opex_Budget!$F:$F,$D$882,Opex_Budget!$N:$N,"GBP")*$H$5)</f>
        <v/>
      </c>
      <c r="N882" s="32">
        <f>IF($B$882="","",SUMIFS(Opex_Budget!$U:$U,Opex_Budget!$A:$A,$C$3,Opex_Budget!$E:$E,$B$882,Opex_Budget!$F:$F,$D$882,Opex_Budget!$N:$N,"JPY")*$E$5+SUMIFS(Opex_Budget!$U:$U,Opex_Budget!$A:$A,$C$3,Opex_Budget!$E:$E,$B$882,Opex_Budget!$F:$F,$D$882,Opex_Budget!$N:$N,"USD")*$F$5+SUMIFS(Opex_Budget!$U:$U,Opex_Budget!$A:$A,$C$3,Opex_Budget!$E:$E,$B$882,Opex_Budget!$F:$F,$D$882,Opex_Budget!$N:$N,"EUR")*$G$5+SUMIFS(Opex_Budget!$U:$U,Opex_Budget!$A:$A,$C$3,Opex_Budget!$E:$E,$B$882,Opex_Budget!$F:$F,$D$882,Opex_Budget!$N:$N,"GBP")*$H$5)</f>
        <v/>
      </c>
      <c r="O882" s="32">
        <f>IF($B$882="","",SUMIFS(Opex_Budget!$V:$V,Opex_Budget!$A:$A,$C$3,Opex_Budget!$E:$E,$B$882,Opex_Budget!$F:$F,$D$882,Opex_Budget!$N:$N,"JPY")*$E$5+SUMIFS(Opex_Budget!$V:$V,Opex_Budget!$A:$A,$C$3,Opex_Budget!$E:$E,$B$882,Opex_Budget!$F:$F,$D$882,Opex_Budget!$N:$N,"USD")*$F$5+SUMIFS(Opex_Budget!$V:$V,Opex_Budget!$A:$A,$C$3,Opex_Budget!$E:$E,$B$882,Opex_Budget!$F:$F,$D$882,Opex_Budget!$N:$N,"EUR")*$G$5+SUMIFS(Opex_Budget!$V:$V,Opex_Budget!$A:$A,$C$3,Opex_Budget!$E:$E,$B$882,Opex_Budget!$F:$F,$D$882,Opex_Budget!$N:$N,"GBP")*$H$5)</f>
        <v/>
      </c>
      <c r="P882" s="32">
        <f>IF($B$882="","",SUMIFS(Opex_Budget!$W:$W,Opex_Budget!$A:$A,$C$3,Opex_Budget!$E:$E,$B$882,Opex_Budget!$F:$F,$D$882,Opex_Budget!$N:$N,"JPY")*$E$5+SUMIFS(Opex_Budget!$W:$W,Opex_Budget!$A:$A,$C$3,Opex_Budget!$E:$E,$B$882,Opex_Budget!$F:$F,$D$882,Opex_Budget!$N:$N,"USD")*$F$5+SUMIFS(Opex_Budget!$W:$W,Opex_Budget!$A:$A,$C$3,Opex_Budget!$E:$E,$B$882,Opex_Budget!$F:$F,$D$882,Opex_Budget!$N:$N,"EUR")*$G$5+SUMIFS(Opex_Budget!$W:$W,Opex_Budget!$A:$A,$C$3,Opex_Budget!$E:$E,$B$882,Opex_Budget!$F:$F,$D$882,Opex_Budget!$N:$N,"GBP")*$H$5)</f>
        <v/>
      </c>
      <c r="Q882" s="32">
        <f>IF($B$882="","",SUMIFS(Opex_Budget!$X:$X,Opex_Budget!$A:$A,$C$3,Opex_Budget!$E:$E,$B$882,Opex_Budget!$F:$F,$D$882,Opex_Budget!$N:$N,"JPY")*$E$5+SUMIFS(Opex_Budget!$X:$X,Opex_Budget!$A:$A,$C$3,Opex_Budget!$E:$E,$B$882,Opex_Budget!$F:$F,$D$882,Opex_Budget!$N:$N,"USD")*$F$5+SUMIFS(Opex_Budget!$X:$X,Opex_Budget!$A:$A,$C$3,Opex_Budget!$E:$E,$B$882,Opex_Budget!$F:$F,$D$882,Opex_Budget!$N:$N,"EUR")*$G$5+SUMIFS(Opex_Budget!$X:$X,Opex_Budget!$A:$A,$C$3,Opex_Budget!$E:$E,$B$882,Opex_Budget!$F:$F,$D$882,Opex_Budget!$N:$N,"GBP")*$H$5)</f>
        <v/>
      </c>
      <c r="R882" s="32">
        <f>IF($B$882="","",SUMIFS(Opex_Budget!$Y:$Y,Opex_Budget!$A:$A,$C$3,Opex_Budget!$E:$E,$B$882,Opex_Budget!$F:$F,$D$882,Opex_Budget!$N:$N,"JPY")*$E$5+SUMIFS(Opex_Budget!$Y:$Y,Opex_Budget!$A:$A,$C$3,Opex_Budget!$E:$E,$B$882,Opex_Budget!$F:$F,$D$882,Opex_Budget!$N:$N,"USD")*$F$5+SUMIFS(Opex_Budget!$Y:$Y,Opex_Budget!$A:$A,$C$3,Opex_Budget!$E:$E,$B$882,Opex_Budget!$F:$F,$D$882,Opex_Budget!$N:$N,"EUR")*$G$5+SUMIFS(Opex_Budget!$Y:$Y,Opex_Budget!$A:$A,$C$3,Opex_Budget!$E:$E,$B$882,Opex_Budget!$F:$F,$D$882,Opex_Budget!$N:$N,"GBP")*$H$5)</f>
        <v/>
      </c>
      <c r="S882" s="32">
        <f>IF($B$882="","",SUMIFS(Opex_Budget!$Z:$Z,Opex_Budget!$A:$A,$C$3,Opex_Budget!$E:$E,$B$882,Opex_Budget!$F:$F,$D$882,Opex_Budget!$N:$N,"JPY")*$E$5+SUMIFS(Opex_Budget!$Z:$Z,Opex_Budget!$A:$A,$C$3,Opex_Budget!$E:$E,$B$882,Opex_Budget!$F:$F,$D$882,Opex_Budget!$N:$N,"USD")*$F$5+SUMIFS(Opex_Budget!$Z:$Z,Opex_Budget!$A:$A,$C$3,Opex_Budget!$E:$E,$B$882,Opex_Budget!$F:$F,$D$882,Opex_Budget!$N:$N,"EUR")*$G$5+SUMIFS(Opex_Budget!$Z:$Z,Opex_Budget!$A:$A,$C$3,Opex_Budget!$E:$E,$B$882,Opex_Budget!$F:$F,$D$882,Opex_Budget!$N:$N,"GBP")*$H$5)</f>
        <v/>
      </c>
      <c r="T882" s="32">
        <f>IF($B$882="","",SUMIF($H$7:$S$7,"&lt;="&amp;$C$4,$H882:$S882))</f>
        <v/>
      </c>
      <c r="U882" s="32">
        <f>IF($B$882="","",SUMIF($H$7:$S$7,"&gt;"&amp;$C$4,$H882:$S882))</f>
        <v/>
      </c>
      <c r="V882" s="32">
        <f>IF($B$882="","",SUM($H882:$S882))</f>
        <v/>
      </c>
      <c r="X882" s="22">
        <f>IF($B882="","",IFERROR(INDEX(Cost_Centers!$E:$E,MATCH($B882,Cost_Centers!$A:$A,0)),"(unknown)"))</f>
        <v/>
      </c>
      <c r="Y882" s="22">
        <f>IF($B882="","",IFERROR(INDEX(Cost_Centers!$D:$D,MATCH($B882,Cost_Centers!$A:$A,0)),"(unknown)"))</f>
        <v/>
      </c>
      <c r="Z882" s="22">
        <f>IF(OR($B882="",$G882&lt;&gt;"Variance vs Budget"),"",ABS(N($V882))+ROW()/1000000000)</f>
        <v/>
      </c>
    </row>
    <row r="883">
      <c r="A883" s="13">
        <f>IF(A$882="","",A$882)</f>
        <v/>
      </c>
      <c r="B883" s="13">
        <f>IF(B$882="","",B$882)</f>
        <v/>
      </c>
      <c r="C883" s="13">
        <f>IF(C$882="","",C$882)</f>
        <v/>
      </c>
      <c r="D883" s="13">
        <f>IF(D$882="","",D$882)</f>
        <v/>
      </c>
      <c r="E883" s="13">
        <f>IF(E$882="","",E$882)</f>
        <v/>
      </c>
      <c r="F883" s="13">
        <f>IF(F$882="","",F$882)</f>
        <v/>
      </c>
      <c r="G883" s="7" t="inlineStr">
        <is>
          <t>Actual</t>
        </is>
      </c>
      <c r="H883" s="18">
        <f>IF(OR($B$882="",1&gt;$C$4),"",SUMIFS(Actuals!$G:$G,Actuals!$B:$B,$C$3,Actuals!$C:$C,1,Actuals!$D:$D,$B$882,Actuals!$A:$A,LEFT($D$882,FIND("|",$D$882&amp;"|")-1),Actuals!$E:$E,MID($D$882,FIND("|",$D$882&amp;"|")+1,50),Actuals!$F:$F,"JPY")*$E$5+SUMIFS(Actuals!$G:$G,Actuals!$B:$B,$C$3,Actuals!$C:$C,1,Actuals!$D:$D,$B$882,Actuals!$A:$A,LEFT($D$882,FIND("|",$D$882&amp;"|")-1),Actuals!$E:$E,MID($D$882,FIND("|",$D$882&amp;"|")+1,50),Actuals!$F:$F,"USD")*$F$5+SUMIFS(Actuals!$G:$G,Actuals!$B:$B,$C$3,Actuals!$C:$C,1,Actuals!$D:$D,$B$882,Actuals!$A:$A,LEFT($D$882,FIND("|",$D$882&amp;"|")-1),Actuals!$E:$E,MID($D$882,FIND("|",$D$882&amp;"|")+1,50),Actuals!$F:$F,"EUR")*$G$5+SUMIFS(Actuals!$G:$G,Actuals!$B:$B,$C$3,Actuals!$C:$C,1,Actuals!$D:$D,$B$882,Actuals!$A:$A,LEFT($D$882,FIND("|",$D$882&amp;"|")-1),Actuals!$E:$E,MID($D$882,FIND("|",$D$882&amp;"|")+1,50),Actuals!$F:$F,"GBP")*$H$5)</f>
        <v/>
      </c>
      <c r="I883" s="18">
        <f>IF(OR($B$882="",2&gt;$C$4),"",SUMIFS(Actuals!$G:$G,Actuals!$B:$B,$C$3,Actuals!$C:$C,2,Actuals!$D:$D,$B$882,Actuals!$A:$A,LEFT($D$882,FIND("|",$D$882&amp;"|")-1),Actuals!$E:$E,MID($D$882,FIND("|",$D$882&amp;"|")+1,50),Actuals!$F:$F,"JPY")*$E$5+SUMIFS(Actuals!$G:$G,Actuals!$B:$B,$C$3,Actuals!$C:$C,2,Actuals!$D:$D,$B$882,Actuals!$A:$A,LEFT($D$882,FIND("|",$D$882&amp;"|")-1),Actuals!$E:$E,MID($D$882,FIND("|",$D$882&amp;"|")+1,50),Actuals!$F:$F,"USD")*$F$5+SUMIFS(Actuals!$G:$G,Actuals!$B:$B,$C$3,Actuals!$C:$C,2,Actuals!$D:$D,$B$882,Actuals!$A:$A,LEFT($D$882,FIND("|",$D$882&amp;"|")-1),Actuals!$E:$E,MID($D$882,FIND("|",$D$882&amp;"|")+1,50),Actuals!$F:$F,"EUR")*$G$5+SUMIFS(Actuals!$G:$G,Actuals!$B:$B,$C$3,Actuals!$C:$C,2,Actuals!$D:$D,$B$882,Actuals!$A:$A,LEFT($D$882,FIND("|",$D$882&amp;"|")-1),Actuals!$E:$E,MID($D$882,FIND("|",$D$882&amp;"|")+1,50),Actuals!$F:$F,"GBP")*$H$5)</f>
        <v/>
      </c>
      <c r="J883" s="18">
        <f>IF(OR($B$882="",3&gt;$C$4),"",SUMIFS(Actuals!$G:$G,Actuals!$B:$B,$C$3,Actuals!$C:$C,3,Actuals!$D:$D,$B$882,Actuals!$A:$A,LEFT($D$882,FIND("|",$D$882&amp;"|")-1),Actuals!$E:$E,MID($D$882,FIND("|",$D$882&amp;"|")+1,50),Actuals!$F:$F,"JPY")*$E$5+SUMIFS(Actuals!$G:$G,Actuals!$B:$B,$C$3,Actuals!$C:$C,3,Actuals!$D:$D,$B$882,Actuals!$A:$A,LEFT($D$882,FIND("|",$D$882&amp;"|")-1),Actuals!$E:$E,MID($D$882,FIND("|",$D$882&amp;"|")+1,50),Actuals!$F:$F,"USD")*$F$5+SUMIFS(Actuals!$G:$G,Actuals!$B:$B,$C$3,Actuals!$C:$C,3,Actuals!$D:$D,$B$882,Actuals!$A:$A,LEFT($D$882,FIND("|",$D$882&amp;"|")-1),Actuals!$E:$E,MID($D$882,FIND("|",$D$882&amp;"|")+1,50),Actuals!$F:$F,"EUR")*$G$5+SUMIFS(Actuals!$G:$G,Actuals!$B:$B,$C$3,Actuals!$C:$C,3,Actuals!$D:$D,$B$882,Actuals!$A:$A,LEFT($D$882,FIND("|",$D$882&amp;"|")-1),Actuals!$E:$E,MID($D$882,FIND("|",$D$882&amp;"|")+1,50),Actuals!$F:$F,"GBP")*$H$5)</f>
        <v/>
      </c>
      <c r="K883" s="18">
        <f>IF(OR($B$882="",4&gt;$C$4),"",SUMIFS(Actuals!$G:$G,Actuals!$B:$B,$C$3,Actuals!$C:$C,4,Actuals!$D:$D,$B$882,Actuals!$A:$A,LEFT($D$882,FIND("|",$D$882&amp;"|")-1),Actuals!$E:$E,MID($D$882,FIND("|",$D$882&amp;"|")+1,50),Actuals!$F:$F,"JPY")*$E$5+SUMIFS(Actuals!$G:$G,Actuals!$B:$B,$C$3,Actuals!$C:$C,4,Actuals!$D:$D,$B$882,Actuals!$A:$A,LEFT($D$882,FIND("|",$D$882&amp;"|")-1),Actuals!$E:$E,MID($D$882,FIND("|",$D$882&amp;"|")+1,50),Actuals!$F:$F,"USD")*$F$5+SUMIFS(Actuals!$G:$G,Actuals!$B:$B,$C$3,Actuals!$C:$C,4,Actuals!$D:$D,$B$882,Actuals!$A:$A,LEFT($D$882,FIND("|",$D$882&amp;"|")-1),Actuals!$E:$E,MID($D$882,FIND("|",$D$882&amp;"|")+1,50),Actuals!$F:$F,"EUR")*$G$5+SUMIFS(Actuals!$G:$G,Actuals!$B:$B,$C$3,Actuals!$C:$C,4,Actuals!$D:$D,$B$882,Actuals!$A:$A,LEFT($D$882,FIND("|",$D$882&amp;"|")-1),Actuals!$E:$E,MID($D$882,FIND("|",$D$882&amp;"|")+1,50),Actuals!$F:$F,"GBP")*$H$5)</f>
        <v/>
      </c>
      <c r="L883" s="18">
        <f>IF(OR($B$882="",5&gt;$C$4),"",SUMIFS(Actuals!$G:$G,Actuals!$B:$B,$C$3,Actuals!$C:$C,5,Actuals!$D:$D,$B$882,Actuals!$A:$A,LEFT($D$882,FIND("|",$D$882&amp;"|")-1),Actuals!$E:$E,MID($D$882,FIND("|",$D$882&amp;"|")+1,50),Actuals!$F:$F,"JPY")*$E$5+SUMIFS(Actuals!$G:$G,Actuals!$B:$B,$C$3,Actuals!$C:$C,5,Actuals!$D:$D,$B$882,Actuals!$A:$A,LEFT($D$882,FIND("|",$D$882&amp;"|")-1),Actuals!$E:$E,MID($D$882,FIND("|",$D$882&amp;"|")+1,50),Actuals!$F:$F,"USD")*$F$5+SUMIFS(Actuals!$G:$G,Actuals!$B:$B,$C$3,Actuals!$C:$C,5,Actuals!$D:$D,$B$882,Actuals!$A:$A,LEFT($D$882,FIND("|",$D$882&amp;"|")-1),Actuals!$E:$E,MID($D$882,FIND("|",$D$882&amp;"|")+1,50),Actuals!$F:$F,"EUR")*$G$5+SUMIFS(Actuals!$G:$G,Actuals!$B:$B,$C$3,Actuals!$C:$C,5,Actuals!$D:$D,$B$882,Actuals!$A:$A,LEFT($D$882,FIND("|",$D$882&amp;"|")-1),Actuals!$E:$E,MID($D$882,FIND("|",$D$882&amp;"|")+1,50),Actuals!$F:$F,"GBP")*$H$5)</f>
        <v/>
      </c>
      <c r="M883" s="18">
        <f>IF(OR($B$882="",6&gt;$C$4),"",SUMIFS(Actuals!$G:$G,Actuals!$B:$B,$C$3,Actuals!$C:$C,6,Actuals!$D:$D,$B$882,Actuals!$A:$A,LEFT($D$882,FIND("|",$D$882&amp;"|")-1),Actuals!$E:$E,MID($D$882,FIND("|",$D$882&amp;"|")+1,50),Actuals!$F:$F,"JPY")*$E$5+SUMIFS(Actuals!$G:$G,Actuals!$B:$B,$C$3,Actuals!$C:$C,6,Actuals!$D:$D,$B$882,Actuals!$A:$A,LEFT($D$882,FIND("|",$D$882&amp;"|")-1),Actuals!$E:$E,MID($D$882,FIND("|",$D$882&amp;"|")+1,50),Actuals!$F:$F,"USD")*$F$5+SUMIFS(Actuals!$G:$G,Actuals!$B:$B,$C$3,Actuals!$C:$C,6,Actuals!$D:$D,$B$882,Actuals!$A:$A,LEFT($D$882,FIND("|",$D$882&amp;"|")-1),Actuals!$E:$E,MID($D$882,FIND("|",$D$882&amp;"|")+1,50),Actuals!$F:$F,"EUR")*$G$5+SUMIFS(Actuals!$G:$G,Actuals!$B:$B,$C$3,Actuals!$C:$C,6,Actuals!$D:$D,$B$882,Actuals!$A:$A,LEFT($D$882,FIND("|",$D$882&amp;"|")-1),Actuals!$E:$E,MID($D$882,FIND("|",$D$882&amp;"|")+1,50),Actuals!$F:$F,"GBP")*$H$5)</f>
        <v/>
      </c>
      <c r="N883" s="18">
        <f>IF(OR($B$882="",7&gt;$C$4),"",SUMIFS(Actuals!$G:$G,Actuals!$B:$B,$C$3,Actuals!$C:$C,7,Actuals!$D:$D,$B$882,Actuals!$A:$A,LEFT($D$882,FIND("|",$D$882&amp;"|")-1),Actuals!$E:$E,MID($D$882,FIND("|",$D$882&amp;"|")+1,50),Actuals!$F:$F,"JPY")*$E$5+SUMIFS(Actuals!$G:$G,Actuals!$B:$B,$C$3,Actuals!$C:$C,7,Actuals!$D:$D,$B$882,Actuals!$A:$A,LEFT($D$882,FIND("|",$D$882&amp;"|")-1),Actuals!$E:$E,MID($D$882,FIND("|",$D$882&amp;"|")+1,50),Actuals!$F:$F,"USD")*$F$5+SUMIFS(Actuals!$G:$G,Actuals!$B:$B,$C$3,Actuals!$C:$C,7,Actuals!$D:$D,$B$882,Actuals!$A:$A,LEFT($D$882,FIND("|",$D$882&amp;"|")-1),Actuals!$E:$E,MID($D$882,FIND("|",$D$882&amp;"|")+1,50),Actuals!$F:$F,"EUR")*$G$5+SUMIFS(Actuals!$G:$G,Actuals!$B:$B,$C$3,Actuals!$C:$C,7,Actuals!$D:$D,$B$882,Actuals!$A:$A,LEFT($D$882,FIND("|",$D$882&amp;"|")-1),Actuals!$E:$E,MID($D$882,FIND("|",$D$882&amp;"|")+1,50),Actuals!$F:$F,"GBP")*$H$5)</f>
        <v/>
      </c>
      <c r="O883" s="18">
        <f>IF(OR($B$882="",8&gt;$C$4),"",SUMIFS(Actuals!$G:$G,Actuals!$B:$B,$C$3,Actuals!$C:$C,8,Actuals!$D:$D,$B$882,Actuals!$A:$A,LEFT($D$882,FIND("|",$D$882&amp;"|")-1),Actuals!$E:$E,MID($D$882,FIND("|",$D$882&amp;"|")+1,50),Actuals!$F:$F,"JPY")*$E$5+SUMIFS(Actuals!$G:$G,Actuals!$B:$B,$C$3,Actuals!$C:$C,8,Actuals!$D:$D,$B$882,Actuals!$A:$A,LEFT($D$882,FIND("|",$D$882&amp;"|")-1),Actuals!$E:$E,MID($D$882,FIND("|",$D$882&amp;"|")+1,50),Actuals!$F:$F,"USD")*$F$5+SUMIFS(Actuals!$G:$G,Actuals!$B:$B,$C$3,Actuals!$C:$C,8,Actuals!$D:$D,$B$882,Actuals!$A:$A,LEFT($D$882,FIND("|",$D$882&amp;"|")-1),Actuals!$E:$E,MID($D$882,FIND("|",$D$882&amp;"|")+1,50),Actuals!$F:$F,"EUR")*$G$5+SUMIFS(Actuals!$G:$G,Actuals!$B:$B,$C$3,Actuals!$C:$C,8,Actuals!$D:$D,$B$882,Actuals!$A:$A,LEFT($D$882,FIND("|",$D$882&amp;"|")-1),Actuals!$E:$E,MID($D$882,FIND("|",$D$882&amp;"|")+1,50),Actuals!$F:$F,"GBP")*$H$5)</f>
        <v/>
      </c>
      <c r="P883" s="18">
        <f>IF(OR($B$882="",9&gt;$C$4),"",SUMIFS(Actuals!$G:$G,Actuals!$B:$B,$C$3,Actuals!$C:$C,9,Actuals!$D:$D,$B$882,Actuals!$A:$A,LEFT($D$882,FIND("|",$D$882&amp;"|")-1),Actuals!$E:$E,MID($D$882,FIND("|",$D$882&amp;"|")+1,50),Actuals!$F:$F,"JPY")*$E$5+SUMIFS(Actuals!$G:$G,Actuals!$B:$B,$C$3,Actuals!$C:$C,9,Actuals!$D:$D,$B$882,Actuals!$A:$A,LEFT($D$882,FIND("|",$D$882&amp;"|")-1),Actuals!$E:$E,MID($D$882,FIND("|",$D$882&amp;"|")+1,50),Actuals!$F:$F,"USD")*$F$5+SUMIFS(Actuals!$G:$G,Actuals!$B:$B,$C$3,Actuals!$C:$C,9,Actuals!$D:$D,$B$882,Actuals!$A:$A,LEFT($D$882,FIND("|",$D$882&amp;"|")-1),Actuals!$E:$E,MID($D$882,FIND("|",$D$882&amp;"|")+1,50),Actuals!$F:$F,"EUR")*$G$5+SUMIFS(Actuals!$G:$G,Actuals!$B:$B,$C$3,Actuals!$C:$C,9,Actuals!$D:$D,$B$882,Actuals!$A:$A,LEFT($D$882,FIND("|",$D$882&amp;"|")-1),Actuals!$E:$E,MID($D$882,FIND("|",$D$882&amp;"|")+1,50),Actuals!$F:$F,"GBP")*$H$5)</f>
        <v/>
      </c>
      <c r="Q883" s="18">
        <f>IF(OR($B$882="",10&gt;$C$4),"",SUMIFS(Actuals!$G:$G,Actuals!$B:$B,$C$3,Actuals!$C:$C,10,Actuals!$D:$D,$B$882,Actuals!$A:$A,LEFT($D$882,FIND("|",$D$882&amp;"|")-1),Actuals!$E:$E,MID($D$882,FIND("|",$D$882&amp;"|")+1,50),Actuals!$F:$F,"JPY")*$E$5+SUMIFS(Actuals!$G:$G,Actuals!$B:$B,$C$3,Actuals!$C:$C,10,Actuals!$D:$D,$B$882,Actuals!$A:$A,LEFT($D$882,FIND("|",$D$882&amp;"|")-1),Actuals!$E:$E,MID($D$882,FIND("|",$D$882&amp;"|")+1,50),Actuals!$F:$F,"USD")*$F$5+SUMIFS(Actuals!$G:$G,Actuals!$B:$B,$C$3,Actuals!$C:$C,10,Actuals!$D:$D,$B$882,Actuals!$A:$A,LEFT($D$882,FIND("|",$D$882&amp;"|")-1),Actuals!$E:$E,MID($D$882,FIND("|",$D$882&amp;"|")+1,50),Actuals!$F:$F,"EUR")*$G$5+SUMIFS(Actuals!$G:$G,Actuals!$B:$B,$C$3,Actuals!$C:$C,10,Actuals!$D:$D,$B$882,Actuals!$A:$A,LEFT($D$882,FIND("|",$D$882&amp;"|")-1),Actuals!$E:$E,MID($D$882,FIND("|",$D$882&amp;"|")+1,50),Actuals!$F:$F,"GBP")*$H$5)</f>
        <v/>
      </c>
      <c r="R883" s="18">
        <f>IF(OR($B$882="",11&gt;$C$4),"",SUMIFS(Actuals!$G:$G,Actuals!$B:$B,$C$3,Actuals!$C:$C,11,Actuals!$D:$D,$B$882,Actuals!$A:$A,LEFT($D$882,FIND("|",$D$882&amp;"|")-1),Actuals!$E:$E,MID($D$882,FIND("|",$D$882&amp;"|")+1,50),Actuals!$F:$F,"JPY")*$E$5+SUMIFS(Actuals!$G:$G,Actuals!$B:$B,$C$3,Actuals!$C:$C,11,Actuals!$D:$D,$B$882,Actuals!$A:$A,LEFT($D$882,FIND("|",$D$882&amp;"|")-1),Actuals!$E:$E,MID($D$882,FIND("|",$D$882&amp;"|")+1,50),Actuals!$F:$F,"USD")*$F$5+SUMIFS(Actuals!$G:$G,Actuals!$B:$B,$C$3,Actuals!$C:$C,11,Actuals!$D:$D,$B$882,Actuals!$A:$A,LEFT($D$882,FIND("|",$D$882&amp;"|")-1),Actuals!$E:$E,MID($D$882,FIND("|",$D$882&amp;"|")+1,50),Actuals!$F:$F,"EUR")*$G$5+SUMIFS(Actuals!$G:$G,Actuals!$B:$B,$C$3,Actuals!$C:$C,11,Actuals!$D:$D,$B$882,Actuals!$A:$A,LEFT($D$882,FIND("|",$D$882&amp;"|")-1),Actuals!$E:$E,MID($D$882,FIND("|",$D$882&amp;"|")+1,50),Actuals!$F:$F,"GBP")*$H$5)</f>
        <v/>
      </c>
      <c r="S883" s="18">
        <f>IF(OR($B$882="",12&gt;$C$4),"",SUMIFS(Actuals!$G:$G,Actuals!$B:$B,$C$3,Actuals!$C:$C,12,Actuals!$D:$D,$B$882,Actuals!$A:$A,LEFT($D$882,FIND("|",$D$882&amp;"|")-1),Actuals!$E:$E,MID($D$882,FIND("|",$D$882&amp;"|")+1,50),Actuals!$F:$F,"JPY")*$E$5+SUMIFS(Actuals!$G:$G,Actuals!$B:$B,$C$3,Actuals!$C:$C,12,Actuals!$D:$D,$B$882,Actuals!$A:$A,LEFT($D$882,FIND("|",$D$882&amp;"|")-1),Actuals!$E:$E,MID($D$882,FIND("|",$D$882&amp;"|")+1,50),Actuals!$F:$F,"USD")*$F$5+SUMIFS(Actuals!$G:$G,Actuals!$B:$B,$C$3,Actuals!$C:$C,12,Actuals!$D:$D,$B$882,Actuals!$A:$A,LEFT($D$882,FIND("|",$D$882&amp;"|")-1),Actuals!$E:$E,MID($D$882,FIND("|",$D$882&amp;"|")+1,50),Actuals!$F:$F,"EUR")*$G$5+SUMIFS(Actuals!$G:$G,Actuals!$B:$B,$C$3,Actuals!$C:$C,12,Actuals!$D:$D,$B$882,Actuals!$A:$A,LEFT($D$882,FIND("|",$D$882&amp;"|")-1),Actuals!$E:$E,MID($D$882,FIND("|",$D$882&amp;"|")+1,50),Actuals!$F:$F,"GBP")*$H$5)</f>
        <v/>
      </c>
      <c r="T883" s="18">
        <f>IF($B$882="","",SUMIF($H$7:$S$7,"&lt;="&amp;$C$4,$H883:$S883))</f>
        <v/>
      </c>
      <c r="U883" s="18" t="n"/>
      <c r="V883" s="18" t="n"/>
      <c r="X883" s="22">
        <f>IF($B883="","",IFERROR(INDEX(Cost_Centers!$E:$E,MATCH($B883,Cost_Centers!$A:$A,0)),"(unknown)"))</f>
        <v/>
      </c>
      <c r="Y883" s="22">
        <f>IF($B883="","",IFERROR(INDEX(Cost_Centers!$D:$D,MATCH($B883,Cost_Centers!$A:$A,0)),"(unknown)"))</f>
        <v/>
      </c>
      <c r="Z883" s="22">
        <f>IF(OR($B883="",$G883&lt;&gt;"Variance vs Budget"),"",ABS(N($V883))+ROW()/1000000000)</f>
        <v/>
      </c>
    </row>
    <row r="884">
      <c r="A884" s="13">
        <f>IF(A$882="","",A$882)</f>
        <v/>
      </c>
      <c r="B884" s="13">
        <f>IF(B$882="","",B$882)</f>
        <v/>
      </c>
      <c r="C884" s="13">
        <f>IF(C$882="","",C$882)</f>
        <v/>
      </c>
      <c r="D884" s="13">
        <f>IF(D$882="","",D$882)</f>
        <v/>
      </c>
      <c r="E884" s="13">
        <f>IF(E$882="","",E$882)</f>
        <v/>
      </c>
      <c r="F884" s="13">
        <f>IF(F$882="","",F$882)</f>
        <v/>
      </c>
      <c r="G884" s="6" t="inlineStr">
        <is>
          <t>Variance vs Budget</t>
        </is>
      </c>
      <c r="H884" s="33">
        <f>IF(OR($B$882="",1&gt;$C$4),"",N(H883)-H882)</f>
        <v/>
      </c>
      <c r="I884" s="33">
        <f>IF(OR($B$882="",2&gt;$C$4),"",N(I883)-I882)</f>
        <v/>
      </c>
      <c r="J884" s="33">
        <f>IF(OR($B$882="",3&gt;$C$4),"",N(J883)-J882)</f>
        <v/>
      </c>
      <c r="K884" s="33">
        <f>IF(OR($B$882="",4&gt;$C$4),"",N(K883)-K882)</f>
        <v/>
      </c>
      <c r="L884" s="33">
        <f>IF(OR($B$882="",5&gt;$C$4),"",N(L883)-L882)</f>
        <v/>
      </c>
      <c r="M884" s="33">
        <f>IF(OR($B$882="",6&gt;$C$4),"",N(M883)-M882)</f>
        <v/>
      </c>
      <c r="N884" s="33">
        <f>IF(OR($B$882="",7&gt;$C$4),"",N(N883)-N882)</f>
        <v/>
      </c>
      <c r="O884" s="33">
        <f>IF(OR($B$882="",8&gt;$C$4),"",N(O883)-O882)</f>
        <v/>
      </c>
      <c r="P884" s="33">
        <f>IF(OR($B$882="",9&gt;$C$4),"",N(P883)-P882)</f>
        <v/>
      </c>
      <c r="Q884" s="33">
        <f>IF(OR($B$882="",10&gt;$C$4),"",N(Q883)-Q882)</f>
        <v/>
      </c>
      <c r="R884" s="33">
        <f>IF(OR($B$882="",11&gt;$C$4),"",N(R883)-R882)</f>
        <v/>
      </c>
      <c r="S884" s="33">
        <f>IF(OR($B$882="",12&gt;$C$4),"",N(S883)-S882)</f>
        <v/>
      </c>
      <c r="T884" s="33">
        <f>IF($B$882="","",T883-T882)</f>
        <v/>
      </c>
      <c r="U884" s="33">
        <f>IF($B$882="","",U886-U882)</f>
        <v/>
      </c>
      <c r="V884" s="33">
        <f>IF($B$882="","",V886-V882)</f>
        <v/>
      </c>
      <c r="X884" s="22">
        <f>IF($B884="","",IFERROR(INDEX(Cost_Centers!$E:$E,MATCH($B884,Cost_Centers!$A:$A,0)),"(unknown)"))</f>
        <v/>
      </c>
      <c r="Y884" s="22">
        <f>IF($B884="","",IFERROR(INDEX(Cost_Centers!$D:$D,MATCH($B884,Cost_Centers!$A:$A,0)),"(unknown)"))</f>
        <v/>
      </c>
      <c r="Z884" s="22">
        <f>IF(OR($B884="",$G884&lt;&gt;"Variance vs Budget"),"",ABS(N($V884))+ROW()/1000000000)</f>
        <v/>
      </c>
    </row>
    <row r="885">
      <c r="A885" s="13">
        <f>IF(A$882="","",A$882)</f>
        <v/>
      </c>
      <c r="B885" s="13">
        <f>IF(B$882="","",B$882)</f>
        <v/>
      </c>
      <c r="C885" s="13">
        <f>IF(C$882="","",C$882)</f>
        <v/>
      </c>
      <c r="D885" s="13">
        <f>IF(D$882="","",D$882)</f>
        <v/>
      </c>
      <c r="E885" s="13">
        <f>IF(E$882="","",E$882)</f>
        <v/>
      </c>
      <c r="F885" s="13">
        <f>IF(F$882="","",F$882)</f>
        <v/>
      </c>
      <c r="G885" s="7" t="inlineStr">
        <is>
          <t>Forecast (input)</t>
        </is>
      </c>
      <c r="H885" s="34" t="n"/>
      <c r="I885" s="34" t="n"/>
      <c r="J885" s="34" t="n"/>
      <c r="K885" s="34" t="n"/>
      <c r="L885" s="34" t="n"/>
      <c r="M885" s="34" t="n"/>
      <c r="N885" s="34" t="n"/>
      <c r="O885" s="34" t="n"/>
      <c r="P885" s="34" t="n"/>
      <c r="Q885" s="34" t="n"/>
      <c r="R885" s="34" t="n"/>
      <c r="S885" s="34" t="n"/>
      <c r="T885" s="18" t="n"/>
      <c r="U885" s="18" t="n"/>
      <c r="V885" s="18" t="n"/>
      <c r="X885" s="22">
        <f>IF($B885="","",IFERROR(INDEX(Cost_Centers!$E:$E,MATCH($B885,Cost_Centers!$A:$A,0)),"(unknown)"))</f>
        <v/>
      </c>
      <c r="Y885" s="22">
        <f>IF($B885="","",IFERROR(INDEX(Cost_Centers!$D:$D,MATCH($B885,Cost_Centers!$A:$A,0)),"(unknown)"))</f>
        <v/>
      </c>
      <c r="Z885" s="22">
        <f>IF(OR($B885="",$G885&lt;&gt;"Variance vs Budget"),"",ABS(N($V885))+ROW()/1000000000)</f>
        <v/>
      </c>
    </row>
    <row r="886">
      <c r="A886" s="13">
        <f>IF(A$882="","",A$882)</f>
        <v/>
      </c>
      <c r="B886" s="13">
        <f>IF(B$882="","",B$882)</f>
        <v/>
      </c>
      <c r="C886" s="13">
        <f>IF(C$882="","",C$882)</f>
        <v/>
      </c>
      <c r="D886" s="13">
        <f>IF(D$882="","",D$882)</f>
        <v/>
      </c>
      <c r="E886" s="13">
        <f>IF(E$882="","",E$882)</f>
        <v/>
      </c>
      <c r="F886" s="13">
        <f>IF(F$882="","",F$882)</f>
        <v/>
      </c>
      <c r="G886" s="35" t="inlineStr">
        <is>
          <t>Actual + Forecast</t>
        </is>
      </c>
      <c r="H886" s="18">
        <f>IF($B$882="","",IF(1&lt;=$C$4,N(H883),IF(H885="",H882,H885)))</f>
        <v/>
      </c>
      <c r="I886" s="18">
        <f>IF($B$882="","",IF(2&lt;=$C$4,N(I883),IF(I885="",I882,I885)))</f>
        <v/>
      </c>
      <c r="J886" s="18">
        <f>IF($B$882="","",IF(3&lt;=$C$4,N(J883),IF(J885="",J882,J885)))</f>
        <v/>
      </c>
      <c r="K886" s="18">
        <f>IF($B$882="","",IF(4&lt;=$C$4,N(K883),IF(K885="",K882,K885)))</f>
        <v/>
      </c>
      <c r="L886" s="18">
        <f>IF($B$882="","",IF(5&lt;=$C$4,N(L883),IF(L885="",L882,L885)))</f>
        <v/>
      </c>
      <c r="M886" s="18">
        <f>IF($B$882="","",IF(6&lt;=$C$4,N(M883),IF(M885="",M882,M885)))</f>
        <v/>
      </c>
      <c r="N886" s="18">
        <f>IF($B$882="","",IF(7&lt;=$C$4,N(N883),IF(N885="",N882,N885)))</f>
        <v/>
      </c>
      <c r="O886" s="18">
        <f>IF($B$882="","",IF(8&lt;=$C$4,N(O883),IF(O885="",O882,O885)))</f>
        <v/>
      </c>
      <c r="P886" s="18">
        <f>IF($B$882="","",IF(9&lt;=$C$4,N(P883),IF(P885="",P882,P885)))</f>
        <v/>
      </c>
      <c r="Q886" s="18">
        <f>IF($B$882="","",IF(10&lt;=$C$4,N(Q883),IF(Q885="",Q882,Q885)))</f>
        <v/>
      </c>
      <c r="R886" s="18">
        <f>IF($B$882="","",IF(11&lt;=$C$4,N(R883),IF(R885="",R882,R885)))</f>
        <v/>
      </c>
      <c r="S886" s="18">
        <f>IF($B$882="","",IF(12&lt;=$C$4,N(S883),IF(S885="",S882,S885)))</f>
        <v/>
      </c>
      <c r="T886" s="18">
        <f>IF($B$882="","",SUMIF($H$7:$S$7,"&lt;="&amp;$C$4,$H886:$S886))</f>
        <v/>
      </c>
      <c r="U886" s="18">
        <f>IF($B$882="","",SUMIF($H$7:$S$7,"&gt;"&amp;$C$4,$H886:$S886))</f>
        <v/>
      </c>
      <c r="V886" s="18">
        <f>IF($B$882="","",SUM($H886:$S886))</f>
        <v/>
      </c>
      <c r="X886" s="22">
        <f>IF($B886="","",IFERROR(INDEX(Cost_Centers!$E:$E,MATCH($B886,Cost_Centers!$A:$A,0)),"(unknown)"))</f>
        <v/>
      </c>
      <c r="Y886" s="22">
        <f>IF($B886="","",IFERROR(INDEX(Cost_Centers!$D:$D,MATCH($B886,Cost_Centers!$A:$A,0)),"(unknown)"))</f>
        <v/>
      </c>
      <c r="Z886" s="22">
        <f>IF(OR($B886="",$G886&lt;&gt;"Variance vs Budget"),"",ABS(N($V886))+ROW()/1000000000)</f>
        <v/>
      </c>
    </row>
    <row r="887">
      <c r="A887" s="13">
        <f>IF(A$882="","",A$882)</f>
        <v/>
      </c>
      <c r="B887" s="13">
        <f>IF(B$882="","",B$882)</f>
        <v/>
      </c>
      <c r="C887" s="13">
        <f>IF(C$882="","",C$882)</f>
        <v/>
      </c>
      <c r="D887" s="13">
        <f>IF(D$882="","",D$882)</f>
        <v/>
      </c>
      <c r="E887" s="13">
        <f>IF(E$882="","",E$882)</f>
        <v/>
      </c>
      <c r="F887" s="13">
        <f>IF(F$882="","",F$882)</f>
        <v/>
      </c>
      <c r="G887" s="36" t="inlineStr">
        <is>
          <t>Prior Month Forecast</t>
        </is>
      </c>
      <c r="H887" s="37">
        <f>IF($B$882="","",IF(COUNTIFS(Prior_Forecast!$A:$A,$B$882,Prior_Forecast!$B:$B,$D$882)&gt;0,SUMIFS(Prior_Forecast!$C:$C,Prior_Forecast!$A:$A,$B$882,Prior_Forecast!$B:$B,$D$882),""))</f>
        <v/>
      </c>
      <c r="I887" s="37">
        <f>IF($B$882="","",IF(COUNTIFS(Prior_Forecast!$A:$A,$B$882,Prior_Forecast!$B:$B,$D$882)&gt;0,SUMIFS(Prior_Forecast!$D:$D,Prior_Forecast!$A:$A,$B$882,Prior_Forecast!$B:$B,$D$882),""))</f>
        <v/>
      </c>
      <c r="J887" s="37">
        <f>IF($B$882="","",IF(COUNTIFS(Prior_Forecast!$A:$A,$B$882,Prior_Forecast!$B:$B,$D$882)&gt;0,SUMIFS(Prior_Forecast!$E:$E,Prior_Forecast!$A:$A,$B$882,Prior_Forecast!$B:$B,$D$882),""))</f>
        <v/>
      </c>
      <c r="K887" s="37">
        <f>IF($B$882="","",IF(COUNTIFS(Prior_Forecast!$A:$A,$B$882,Prior_Forecast!$B:$B,$D$882)&gt;0,SUMIFS(Prior_Forecast!$F:$F,Prior_Forecast!$A:$A,$B$882,Prior_Forecast!$B:$B,$D$882),""))</f>
        <v/>
      </c>
      <c r="L887" s="37">
        <f>IF($B$882="","",IF(COUNTIFS(Prior_Forecast!$A:$A,$B$882,Prior_Forecast!$B:$B,$D$882)&gt;0,SUMIFS(Prior_Forecast!$G:$G,Prior_Forecast!$A:$A,$B$882,Prior_Forecast!$B:$B,$D$882),""))</f>
        <v/>
      </c>
      <c r="M887" s="37">
        <f>IF($B$882="","",IF(COUNTIFS(Prior_Forecast!$A:$A,$B$882,Prior_Forecast!$B:$B,$D$882)&gt;0,SUMIFS(Prior_Forecast!$H:$H,Prior_Forecast!$A:$A,$B$882,Prior_Forecast!$B:$B,$D$882),""))</f>
        <v/>
      </c>
      <c r="N887" s="37">
        <f>IF($B$882="","",IF(COUNTIFS(Prior_Forecast!$A:$A,$B$882,Prior_Forecast!$B:$B,$D$882)&gt;0,SUMIFS(Prior_Forecast!$I:$I,Prior_Forecast!$A:$A,$B$882,Prior_Forecast!$B:$B,$D$882),""))</f>
        <v/>
      </c>
      <c r="O887" s="37">
        <f>IF($B$882="","",IF(COUNTIFS(Prior_Forecast!$A:$A,$B$882,Prior_Forecast!$B:$B,$D$882)&gt;0,SUMIFS(Prior_Forecast!$J:$J,Prior_Forecast!$A:$A,$B$882,Prior_Forecast!$B:$B,$D$882),""))</f>
        <v/>
      </c>
      <c r="P887" s="37">
        <f>IF($B$882="","",IF(COUNTIFS(Prior_Forecast!$A:$A,$B$882,Prior_Forecast!$B:$B,$D$882)&gt;0,SUMIFS(Prior_Forecast!$K:$K,Prior_Forecast!$A:$A,$B$882,Prior_Forecast!$B:$B,$D$882),""))</f>
        <v/>
      </c>
      <c r="Q887" s="37">
        <f>IF($B$882="","",IF(COUNTIFS(Prior_Forecast!$A:$A,$B$882,Prior_Forecast!$B:$B,$D$882)&gt;0,SUMIFS(Prior_Forecast!$L:$L,Prior_Forecast!$A:$A,$B$882,Prior_Forecast!$B:$B,$D$882),""))</f>
        <v/>
      </c>
      <c r="R887" s="37">
        <f>IF($B$882="","",IF(COUNTIFS(Prior_Forecast!$A:$A,$B$882,Prior_Forecast!$B:$B,$D$882)&gt;0,SUMIFS(Prior_Forecast!$M:$M,Prior_Forecast!$A:$A,$B$882,Prior_Forecast!$B:$B,$D$882),""))</f>
        <v/>
      </c>
      <c r="S887" s="37">
        <f>IF($B$882="","",IF(COUNTIFS(Prior_Forecast!$A:$A,$B$882,Prior_Forecast!$B:$B,$D$882)&gt;0,SUMIFS(Prior_Forecast!$N:$N,Prior_Forecast!$A:$A,$B$882,Prior_Forecast!$B:$B,$D$882),""))</f>
        <v/>
      </c>
      <c r="T887" s="37">
        <f>IF($B$882="","",IF(COUNTIFS(Prior_Forecast!$A:$A,$B$882,Prior_Forecast!$B:$B,$D$882)&gt;0,SUMIFS(Prior_Forecast!$O:$O,Prior_Forecast!$A:$A,$B$882,Prior_Forecast!$B:$B,$D$882),""))</f>
        <v/>
      </c>
      <c r="U887" s="37">
        <f>IF($B$882="","",IF(COUNTIFS(Prior_Forecast!$A:$A,$B$882,Prior_Forecast!$B:$B,$D$882)&gt;0,SUMIFS(Prior_Forecast!$P:$P,Prior_Forecast!$A:$A,$B$882,Prior_Forecast!$B:$B,$D$882),""))</f>
        <v/>
      </c>
      <c r="V887" s="37">
        <f>IF($B$882="","",IF(COUNTIFS(Prior_Forecast!$A:$A,$B$882,Prior_Forecast!$B:$B,$D$882)&gt;0,SUMIFS(Prior_Forecast!$Q:$Q,Prior_Forecast!$A:$A,$B$882,Prior_Forecast!$B:$B,$D$882),""))</f>
        <v/>
      </c>
      <c r="X887" s="22">
        <f>IF($B887="","",IFERROR(INDEX(Cost_Centers!$E:$E,MATCH($B887,Cost_Centers!$A:$A,0)),"(unknown)"))</f>
        <v/>
      </c>
      <c r="Y887" s="22">
        <f>IF($B887="","",IFERROR(INDEX(Cost_Centers!$D:$D,MATCH($B887,Cost_Centers!$A:$A,0)),"(unknown)"))</f>
        <v/>
      </c>
      <c r="Z887" s="22">
        <f>IF(OR($B887="",$G887&lt;&gt;"Variance vs Budget"),"",ABS(N($V887))+ROW()/1000000000)</f>
        <v/>
      </c>
    </row>
    <row r="888">
      <c r="A888" s="13">
        <f>IF(A$882="","",A$882)</f>
        <v/>
      </c>
      <c r="B888" s="13">
        <f>IF(B$882="","",B$882)</f>
        <v/>
      </c>
      <c r="C888" s="13">
        <f>IF(C$882="","",C$882)</f>
        <v/>
      </c>
      <c r="D888" s="13">
        <f>IF(D$882="","",D$882)</f>
        <v/>
      </c>
      <c r="E888" s="13">
        <f>IF(E$882="","",E$882)</f>
        <v/>
      </c>
      <c r="F888" s="13">
        <f>IF(F$882="","",F$882)</f>
        <v/>
      </c>
      <c r="G888" s="6" t="inlineStr">
        <is>
          <t>Variance vs Prior Month</t>
        </is>
      </c>
      <c r="H888" s="33">
        <f>IF(OR($B$882="",H887=""),"",H886-H887)</f>
        <v/>
      </c>
      <c r="I888" s="33">
        <f>IF(OR($B$882="",I887=""),"",I886-I887)</f>
        <v/>
      </c>
      <c r="J888" s="33">
        <f>IF(OR($B$882="",J887=""),"",J886-J887)</f>
        <v/>
      </c>
      <c r="K888" s="33">
        <f>IF(OR($B$882="",K887=""),"",K886-K887)</f>
        <v/>
      </c>
      <c r="L888" s="33">
        <f>IF(OR($B$882="",L887=""),"",L886-L887)</f>
        <v/>
      </c>
      <c r="M888" s="33">
        <f>IF(OR($B$882="",M887=""),"",M886-M887)</f>
        <v/>
      </c>
      <c r="N888" s="33">
        <f>IF(OR($B$882="",N887=""),"",N886-N887)</f>
        <v/>
      </c>
      <c r="O888" s="33">
        <f>IF(OR($B$882="",O887=""),"",O886-O887)</f>
        <v/>
      </c>
      <c r="P888" s="33">
        <f>IF(OR($B$882="",P887=""),"",P886-P887)</f>
        <v/>
      </c>
      <c r="Q888" s="33">
        <f>IF(OR($B$882="",Q887=""),"",Q886-Q887)</f>
        <v/>
      </c>
      <c r="R888" s="33">
        <f>IF(OR($B$882="",R887=""),"",R886-R887)</f>
        <v/>
      </c>
      <c r="S888" s="33">
        <f>IF(OR($B$882="",S887=""),"",S886-S887)</f>
        <v/>
      </c>
      <c r="T888" s="33">
        <f>IF(OR($B$882="",T887=""),"",T886-T887)</f>
        <v/>
      </c>
      <c r="U888" s="33">
        <f>IF(OR($B$882="",U887=""),"",U886-U887)</f>
        <v/>
      </c>
      <c r="V888" s="33">
        <f>IF(OR($B$882="",V887=""),"",V886-V887)</f>
        <v/>
      </c>
      <c r="X888" s="22">
        <f>IF($B888="","",IFERROR(INDEX(Cost_Centers!$E:$E,MATCH($B888,Cost_Centers!$A:$A,0)),"(unknown)"))</f>
        <v/>
      </c>
      <c r="Y888" s="22">
        <f>IF($B888="","",IFERROR(INDEX(Cost_Centers!$D:$D,MATCH($B888,Cost_Centers!$A:$A,0)),"(unknown)"))</f>
        <v/>
      </c>
      <c r="Z888" s="22">
        <f>IF(OR($B888="",$G888&lt;&gt;"Variance vs Budget"),"",ABS(N($V888))+ROW()/1000000000)</f>
        <v/>
      </c>
    </row>
    <row r="889" ht="45" customHeight="1">
      <c r="A889" s="13">
        <f>IF(A$882="","",A$882)</f>
        <v/>
      </c>
      <c r="B889" s="13">
        <f>IF(B$882="","",B$882)</f>
        <v/>
      </c>
      <c r="C889" s="13">
        <f>IF(C$882="","",C$882)</f>
        <v/>
      </c>
      <c r="D889" s="13">
        <f>IF(D$882="","",D$882)</f>
        <v/>
      </c>
      <c r="E889" s="13">
        <f>IF(E$882="","",E$882)</f>
        <v/>
      </c>
      <c r="F889" s="13">
        <f>IF(F$882="","",F$882)</f>
        <v/>
      </c>
      <c r="G889" s="7" t="inlineStr">
        <is>
          <t>Rationale</t>
        </is>
      </c>
      <c r="H889" s="38" t="n"/>
      <c r="I889" s="38" t="n"/>
      <c r="J889" s="38" t="n"/>
      <c r="K889" s="38" t="n"/>
      <c r="L889" s="38" t="n"/>
      <c r="M889" s="38" t="n"/>
      <c r="N889" s="38" t="n"/>
      <c r="O889" s="38" t="n"/>
      <c r="P889" s="38" t="n"/>
      <c r="Q889" s="38" t="n"/>
      <c r="R889" s="38" t="n"/>
      <c r="S889" s="38" t="n"/>
      <c r="T889" s="38" t="n"/>
      <c r="U889" s="38" t="n"/>
      <c r="V889" s="7" t="n"/>
      <c r="X889" s="22">
        <f>IF($B889="","",IFERROR(INDEX(Cost_Centers!$E:$E,MATCH($B889,Cost_Centers!$A:$A,0)),"(unknown)"))</f>
        <v/>
      </c>
      <c r="Y889" s="22">
        <f>IF($B889="","",IFERROR(INDEX(Cost_Centers!$D:$D,MATCH($B889,Cost_Centers!$A:$A,0)),"(unknown)"))</f>
        <v/>
      </c>
      <c r="Z889" s="22">
        <f>IF(OR($B889="",$G889&lt;&gt;"Variance vs Budget"),"",ABS(N($V889))+ROW()/1000000000)</f>
        <v/>
      </c>
    </row>
    <row r="890">
      <c r="A890" s="30">
        <f>IF($D$890="","",LEFT($D$890,FIND("|",$D$890&amp;"|")-1))</f>
        <v/>
      </c>
      <c r="B890" s="31" t="n"/>
      <c r="C890" s="30">
        <f>IF($B$890="","",IFERROR(INDEX(Cost_Centers!$B:$B,MATCH($B$890,Cost_Centers!$A:$A,0)),"(not in master)"))</f>
        <v/>
      </c>
      <c r="D890" s="31" t="n"/>
      <c r="E890" s="30">
        <f>IF($D$890="","",IFERROR(INDEX(Accounts!$D:$D,MATCH($D$890,Accounts!$A:$A,0)),"(not in master)"))</f>
        <v/>
      </c>
      <c r="F890" s="31" t="n"/>
      <c r="G890" s="30" t="inlineStr">
        <is>
          <t>Budget</t>
        </is>
      </c>
      <c r="H890" s="32">
        <f>IF($B$890="","",SUMIFS(Opex_Budget!$O:$O,Opex_Budget!$A:$A,$C$3,Opex_Budget!$E:$E,$B$890,Opex_Budget!$F:$F,$D$890,Opex_Budget!$N:$N,"JPY")*$E$5+SUMIFS(Opex_Budget!$O:$O,Opex_Budget!$A:$A,$C$3,Opex_Budget!$E:$E,$B$890,Opex_Budget!$F:$F,$D$890,Opex_Budget!$N:$N,"USD")*$F$5+SUMIFS(Opex_Budget!$O:$O,Opex_Budget!$A:$A,$C$3,Opex_Budget!$E:$E,$B$890,Opex_Budget!$F:$F,$D$890,Opex_Budget!$N:$N,"EUR")*$G$5+SUMIFS(Opex_Budget!$O:$O,Opex_Budget!$A:$A,$C$3,Opex_Budget!$E:$E,$B$890,Opex_Budget!$F:$F,$D$890,Opex_Budget!$N:$N,"GBP")*$H$5)</f>
        <v/>
      </c>
      <c r="I890" s="32">
        <f>IF($B$890="","",SUMIFS(Opex_Budget!$P:$P,Opex_Budget!$A:$A,$C$3,Opex_Budget!$E:$E,$B$890,Opex_Budget!$F:$F,$D$890,Opex_Budget!$N:$N,"JPY")*$E$5+SUMIFS(Opex_Budget!$P:$P,Opex_Budget!$A:$A,$C$3,Opex_Budget!$E:$E,$B$890,Opex_Budget!$F:$F,$D$890,Opex_Budget!$N:$N,"USD")*$F$5+SUMIFS(Opex_Budget!$P:$P,Opex_Budget!$A:$A,$C$3,Opex_Budget!$E:$E,$B$890,Opex_Budget!$F:$F,$D$890,Opex_Budget!$N:$N,"EUR")*$G$5+SUMIFS(Opex_Budget!$P:$P,Opex_Budget!$A:$A,$C$3,Opex_Budget!$E:$E,$B$890,Opex_Budget!$F:$F,$D$890,Opex_Budget!$N:$N,"GBP")*$H$5)</f>
        <v/>
      </c>
      <c r="J890" s="32">
        <f>IF($B$890="","",SUMIFS(Opex_Budget!$Q:$Q,Opex_Budget!$A:$A,$C$3,Opex_Budget!$E:$E,$B$890,Opex_Budget!$F:$F,$D$890,Opex_Budget!$N:$N,"JPY")*$E$5+SUMIFS(Opex_Budget!$Q:$Q,Opex_Budget!$A:$A,$C$3,Opex_Budget!$E:$E,$B$890,Opex_Budget!$F:$F,$D$890,Opex_Budget!$N:$N,"USD")*$F$5+SUMIFS(Opex_Budget!$Q:$Q,Opex_Budget!$A:$A,$C$3,Opex_Budget!$E:$E,$B$890,Opex_Budget!$F:$F,$D$890,Opex_Budget!$N:$N,"EUR")*$G$5+SUMIFS(Opex_Budget!$Q:$Q,Opex_Budget!$A:$A,$C$3,Opex_Budget!$E:$E,$B$890,Opex_Budget!$F:$F,$D$890,Opex_Budget!$N:$N,"GBP")*$H$5)</f>
        <v/>
      </c>
      <c r="K890" s="32">
        <f>IF($B$890="","",SUMIFS(Opex_Budget!$R:$R,Opex_Budget!$A:$A,$C$3,Opex_Budget!$E:$E,$B$890,Opex_Budget!$F:$F,$D$890,Opex_Budget!$N:$N,"JPY")*$E$5+SUMIFS(Opex_Budget!$R:$R,Opex_Budget!$A:$A,$C$3,Opex_Budget!$E:$E,$B$890,Opex_Budget!$F:$F,$D$890,Opex_Budget!$N:$N,"USD")*$F$5+SUMIFS(Opex_Budget!$R:$R,Opex_Budget!$A:$A,$C$3,Opex_Budget!$E:$E,$B$890,Opex_Budget!$F:$F,$D$890,Opex_Budget!$N:$N,"EUR")*$G$5+SUMIFS(Opex_Budget!$R:$R,Opex_Budget!$A:$A,$C$3,Opex_Budget!$E:$E,$B$890,Opex_Budget!$F:$F,$D$890,Opex_Budget!$N:$N,"GBP")*$H$5)</f>
        <v/>
      </c>
      <c r="L890" s="32">
        <f>IF($B$890="","",SUMIFS(Opex_Budget!$S:$S,Opex_Budget!$A:$A,$C$3,Opex_Budget!$E:$E,$B$890,Opex_Budget!$F:$F,$D$890,Opex_Budget!$N:$N,"JPY")*$E$5+SUMIFS(Opex_Budget!$S:$S,Opex_Budget!$A:$A,$C$3,Opex_Budget!$E:$E,$B$890,Opex_Budget!$F:$F,$D$890,Opex_Budget!$N:$N,"USD")*$F$5+SUMIFS(Opex_Budget!$S:$S,Opex_Budget!$A:$A,$C$3,Opex_Budget!$E:$E,$B$890,Opex_Budget!$F:$F,$D$890,Opex_Budget!$N:$N,"EUR")*$G$5+SUMIFS(Opex_Budget!$S:$S,Opex_Budget!$A:$A,$C$3,Opex_Budget!$E:$E,$B$890,Opex_Budget!$F:$F,$D$890,Opex_Budget!$N:$N,"GBP")*$H$5)</f>
        <v/>
      </c>
      <c r="M890" s="32">
        <f>IF($B$890="","",SUMIFS(Opex_Budget!$T:$T,Opex_Budget!$A:$A,$C$3,Opex_Budget!$E:$E,$B$890,Opex_Budget!$F:$F,$D$890,Opex_Budget!$N:$N,"JPY")*$E$5+SUMIFS(Opex_Budget!$T:$T,Opex_Budget!$A:$A,$C$3,Opex_Budget!$E:$E,$B$890,Opex_Budget!$F:$F,$D$890,Opex_Budget!$N:$N,"USD")*$F$5+SUMIFS(Opex_Budget!$T:$T,Opex_Budget!$A:$A,$C$3,Opex_Budget!$E:$E,$B$890,Opex_Budget!$F:$F,$D$890,Opex_Budget!$N:$N,"EUR")*$G$5+SUMIFS(Opex_Budget!$T:$T,Opex_Budget!$A:$A,$C$3,Opex_Budget!$E:$E,$B$890,Opex_Budget!$F:$F,$D$890,Opex_Budget!$N:$N,"GBP")*$H$5)</f>
        <v/>
      </c>
      <c r="N890" s="32">
        <f>IF($B$890="","",SUMIFS(Opex_Budget!$U:$U,Opex_Budget!$A:$A,$C$3,Opex_Budget!$E:$E,$B$890,Opex_Budget!$F:$F,$D$890,Opex_Budget!$N:$N,"JPY")*$E$5+SUMIFS(Opex_Budget!$U:$U,Opex_Budget!$A:$A,$C$3,Opex_Budget!$E:$E,$B$890,Opex_Budget!$F:$F,$D$890,Opex_Budget!$N:$N,"USD")*$F$5+SUMIFS(Opex_Budget!$U:$U,Opex_Budget!$A:$A,$C$3,Opex_Budget!$E:$E,$B$890,Opex_Budget!$F:$F,$D$890,Opex_Budget!$N:$N,"EUR")*$G$5+SUMIFS(Opex_Budget!$U:$U,Opex_Budget!$A:$A,$C$3,Opex_Budget!$E:$E,$B$890,Opex_Budget!$F:$F,$D$890,Opex_Budget!$N:$N,"GBP")*$H$5)</f>
        <v/>
      </c>
      <c r="O890" s="32">
        <f>IF($B$890="","",SUMIFS(Opex_Budget!$V:$V,Opex_Budget!$A:$A,$C$3,Opex_Budget!$E:$E,$B$890,Opex_Budget!$F:$F,$D$890,Opex_Budget!$N:$N,"JPY")*$E$5+SUMIFS(Opex_Budget!$V:$V,Opex_Budget!$A:$A,$C$3,Opex_Budget!$E:$E,$B$890,Opex_Budget!$F:$F,$D$890,Opex_Budget!$N:$N,"USD")*$F$5+SUMIFS(Opex_Budget!$V:$V,Opex_Budget!$A:$A,$C$3,Opex_Budget!$E:$E,$B$890,Opex_Budget!$F:$F,$D$890,Opex_Budget!$N:$N,"EUR")*$G$5+SUMIFS(Opex_Budget!$V:$V,Opex_Budget!$A:$A,$C$3,Opex_Budget!$E:$E,$B$890,Opex_Budget!$F:$F,$D$890,Opex_Budget!$N:$N,"GBP")*$H$5)</f>
        <v/>
      </c>
      <c r="P890" s="32">
        <f>IF($B$890="","",SUMIFS(Opex_Budget!$W:$W,Opex_Budget!$A:$A,$C$3,Opex_Budget!$E:$E,$B$890,Opex_Budget!$F:$F,$D$890,Opex_Budget!$N:$N,"JPY")*$E$5+SUMIFS(Opex_Budget!$W:$W,Opex_Budget!$A:$A,$C$3,Opex_Budget!$E:$E,$B$890,Opex_Budget!$F:$F,$D$890,Opex_Budget!$N:$N,"USD")*$F$5+SUMIFS(Opex_Budget!$W:$W,Opex_Budget!$A:$A,$C$3,Opex_Budget!$E:$E,$B$890,Opex_Budget!$F:$F,$D$890,Opex_Budget!$N:$N,"EUR")*$G$5+SUMIFS(Opex_Budget!$W:$W,Opex_Budget!$A:$A,$C$3,Opex_Budget!$E:$E,$B$890,Opex_Budget!$F:$F,$D$890,Opex_Budget!$N:$N,"GBP")*$H$5)</f>
        <v/>
      </c>
      <c r="Q890" s="32">
        <f>IF($B$890="","",SUMIFS(Opex_Budget!$X:$X,Opex_Budget!$A:$A,$C$3,Opex_Budget!$E:$E,$B$890,Opex_Budget!$F:$F,$D$890,Opex_Budget!$N:$N,"JPY")*$E$5+SUMIFS(Opex_Budget!$X:$X,Opex_Budget!$A:$A,$C$3,Opex_Budget!$E:$E,$B$890,Opex_Budget!$F:$F,$D$890,Opex_Budget!$N:$N,"USD")*$F$5+SUMIFS(Opex_Budget!$X:$X,Opex_Budget!$A:$A,$C$3,Opex_Budget!$E:$E,$B$890,Opex_Budget!$F:$F,$D$890,Opex_Budget!$N:$N,"EUR")*$G$5+SUMIFS(Opex_Budget!$X:$X,Opex_Budget!$A:$A,$C$3,Opex_Budget!$E:$E,$B$890,Opex_Budget!$F:$F,$D$890,Opex_Budget!$N:$N,"GBP")*$H$5)</f>
        <v/>
      </c>
      <c r="R890" s="32">
        <f>IF($B$890="","",SUMIFS(Opex_Budget!$Y:$Y,Opex_Budget!$A:$A,$C$3,Opex_Budget!$E:$E,$B$890,Opex_Budget!$F:$F,$D$890,Opex_Budget!$N:$N,"JPY")*$E$5+SUMIFS(Opex_Budget!$Y:$Y,Opex_Budget!$A:$A,$C$3,Opex_Budget!$E:$E,$B$890,Opex_Budget!$F:$F,$D$890,Opex_Budget!$N:$N,"USD")*$F$5+SUMIFS(Opex_Budget!$Y:$Y,Opex_Budget!$A:$A,$C$3,Opex_Budget!$E:$E,$B$890,Opex_Budget!$F:$F,$D$890,Opex_Budget!$N:$N,"EUR")*$G$5+SUMIFS(Opex_Budget!$Y:$Y,Opex_Budget!$A:$A,$C$3,Opex_Budget!$E:$E,$B$890,Opex_Budget!$F:$F,$D$890,Opex_Budget!$N:$N,"GBP")*$H$5)</f>
        <v/>
      </c>
      <c r="S890" s="32">
        <f>IF($B$890="","",SUMIFS(Opex_Budget!$Z:$Z,Opex_Budget!$A:$A,$C$3,Opex_Budget!$E:$E,$B$890,Opex_Budget!$F:$F,$D$890,Opex_Budget!$N:$N,"JPY")*$E$5+SUMIFS(Opex_Budget!$Z:$Z,Opex_Budget!$A:$A,$C$3,Opex_Budget!$E:$E,$B$890,Opex_Budget!$F:$F,$D$890,Opex_Budget!$N:$N,"USD")*$F$5+SUMIFS(Opex_Budget!$Z:$Z,Opex_Budget!$A:$A,$C$3,Opex_Budget!$E:$E,$B$890,Opex_Budget!$F:$F,$D$890,Opex_Budget!$N:$N,"EUR")*$G$5+SUMIFS(Opex_Budget!$Z:$Z,Opex_Budget!$A:$A,$C$3,Opex_Budget!$E:$E,$B$890,Opex_Budget!$F:$F,$D$890,Opex_Budget!$N:$N,"GBP")*$H$5)</f>
        <v/>
      </c>
      <c r="T890" s="32">
        <f>IF($B$890="","",SUMIF($H$7:$S$7,"&lt;="&amp;$C$4,$H890:$S890))</f>
        <v/>
      </c>
      <c r="U890" s="32">
        <f>IF($B$890="","",SUMIF($H$7:$S$7,"&gt;"&amp;$C$4,$H890:$S890))</f>
        <v/>
      </c>
      <c r="V890" s="32">
        <f>IF($B$890="","",SUM($H890:$S890))</f>
        <v/>
      </c>
      <c r="X890" s="22">
        <f>IF($B890="","",IFERROR(INDEX(Cost_Centers!$E:$E,MATCH($B890,Cost_Centers!$A:$A,0)),"(unknown)"))</f>
        <v/>
      </c>
      <c r="Y890" s="22">
        <f>IF($B890="","",IFERROR(INDEX(Cost_Centers!$D:$D,MATCH($B890,Cost_Centers!$A:$A,0)),"(unknown)"))</f>
        <v/>
      </c>
      <c r="Z890" s="22">
        <f>IF(OR($B890="",$G890&lt;&gt;"Variance vs Budget"),"",ABS(N($V890))+ROW()/1000000000)</f>
        <v/>
      </c>
    </row>
    <row r="891">
      <c r="A891" s="13">
        <f>IF(A$890="","",A$890)</f>
        <v/>
      </c>
      <c r="B891" s="13">
        <f>IF(B$890="","",B$890)</f>
        <v/>
      </c>
      <c r="C891" s="13">
        <f>IF(C$890="","",C$890)</f>
        <v/>
      </c>
      <c r="D891" s="13">
        <f>IF(D$890="","",D$890)</f>
        <v/>
      </c>
      <c r="E891" s="13">
        <f>IF(E$890="","",E$890)</f>
        <v/>
      </c>
      <c r="F891" s="13">
        <f>IF(F$890="","",F$890)</f>
        <v/>
      </c>
      <c r="G891" s="7" t="inlineStr">
        <is>
          <t>Actual</t>
        </is>
      </c>
      <c r="H891" s="18">
        <f>IF(OR($B$890="",1&gt;$C$4),"",SUMIFS(Actuals!$G:$G,Actuals!$B:$B,$C$3,Actuals!$C:$C,1,Actuals!$D:$D,$B$890,Actuals!$A:$A,LEFT($D$890,FIND("|",$D$890&amp;"|")-1),Actuals!$E:$E,MID($D$890,FIND("|",$D$890&amp;"|")+1,50),Actuals!$F:$F,"JPY")*$E$5+SUMIFS(Actuals!$G:$G,Actuals!$B:$B,$C$3,Actuals!$C:$C,1,Actuals!$D:$D,$B$890,Actuals!$A:$A,LEFT($D$890,FIND("|",$D$890&amp;"|")-1),Actuals!$E:$E,MID($D$890,FIND("|",$D$890&amp;"|")+1,50),Actuals!$F:$F,"USD")*$F$5+SUMIFS(Actuals!$G:$G,Actuals!$B:$B,$C$3,Actuals!$C:$C,1,Actuals!$D:$D,$B$890,Actuals!$A:$A,LEFT($D$890,FIND("|",$D$890&amp;"|")-1),Actuals!$E:$E,MID($D$890,FIND("|",$D$890&amp;"|")+1,50),Actuals!$F:$F,"EUR")*$G$5+SUMIFS(Actuals!$G:$G,Actuals!$B:$B,$C$3,Actuals!$C:$C,1,Actuals!$D:$D,$B$890,Actuals!$A:$A,LEFT($D$890,FIND("|",$D$890&amp;"|")-1),Actuals!$E:$E,MID($D$890,FIND("|",$D$890&amp;"|")+1,50),Actuals!$F:$F,"GBP")*$H$5)</f>
        <v/>
      </c>
      <c r="I891" s="18">
        <f>IF(OR($B$890="",2&gt;$C$4),"",SUMIFS(Actuals!$G:$G,Actuals!$B:$B,$C$3,Actuals!$C:$C,2,Actuals!$D:$D,$B$890,Actuals!$A:$A,LEFT($D$890,FIND("|",$D$890&amp;"|")-1),Actuals!$E:$E,MID($D$890,FIND("|",$D$890&amp;"|")+1,50),Actuals!$F:$F,"JPY")*$E$5+SUMIFS(Actuals!$G:$G,Actuals!$B:$B,$C$3,Actuals!$C:$C,2,Actuals!$D:$D,$B$890,Actuals!$A:$A,LEFT($D$890,FIND("|",$D$890&amp;"|")-1),Actuals!$E:$E,MID($D$890,FIND("|",$D$890&amp;"|")+1,50),Actuals!$F:$F,"USD")*$F$5+SUMIFS(Actuals!$G:$G,Actuals!$B:$B,$C$3,Actuals!$C:$C,2,Actuals!$D:$D,$B$890,Actuals!$A:$A,LEFT($D$890,FIND("|",$D$890&amp;"|")-1),Actuals!$E:$E,MID($D$890,FIND("|",$D$890&amp;"|")+1,50),Actuals!$F:$F,"EUR")*$G$5+SUMIFS(Actuals!$G:$G,Actuals!$B:$B,$C$3,Actuals!$C:$C,2,Actuals!$D:$D,$B$890,Actuals!$A:$A,LEFT($D$890,FIND("|",$D$890&amp;"|")-1),Actuals!$E:$E,MID($D$890,FIND("|",$D$890&amp;"|")+1,50),Actuals!$F:$F,"GBP")*$H$5)</f>
        <v/>
      </c>
      <c r="J891" s="18">
        <f>IF(OR($B$890="",3&gt;$C$4),"",SUMIFS(Actuals!$G:$G,Actuals!$B:$B,$C$3,Actuals!$C:$C,3,Actuals!$D:$D,$B$890,Actuals!$A:$A,LEFT($D$890,FIND("|",$D$890&amp;"|")-1),Actuals!$E:$E,MID($D$890,FIND("|",$D$890&amp;"|")+1,50),Actuals!$F:$F,"JPY")*$E$5+SUMIFS(Actuals!$G:$G,Actuals!$B:$B,$C$3,Actuals!$C:$C,3,Actuals!$D:$D,$B$890,Actuals!$A:$A,LEFT($D$890,FIND("|",$D$890&amp;"|")-1),Actuals!$E:$E,MID($D$890,FIND("|",$D$890&amp;"|")+1,50),Actuals!$F:$F,"USD")*$F$5+SUMIFS(Actuals!$G:$G,Actuals!$B:$B,$C$3,Actuals!$C:$C,3,Actuals!$D:$D,$B$890,Actuals!$A:$A,LEFT($D$890,FIND("|",$D$890&amp;"|")-1),Actuals!$E:$E,MID($D$890,FIND("|",$D$890&amp;"|")+1,50),Actuals!$F:$F,"EUR")*$G$5+SUMIFS(Actuals!$G:$G,Actuals!$B:$B,$C$3,Actuals!$C:$C,3,Actuals!$D:$D,$B$890,Actuals!$A:$A,LEFT($D$890,FIND("|",$D$890&amp;"|")-1),Actuals!$E:$E,MID($D$890,FIND("|",$D$890&amp;"|")+1,50),Actuals!$F:$F,"GBP")*$H$5)</f>
        <v/>
      </c>
      <c r="K891" s="18">
        <f>IF(OR($B$890="",4&gt;$C$4),"",SUMIFS(Actuals!$G:$G,Actuals!$B:$B,$C$3,Actuals!$C:$C,4,Actuals!$D:$D,$B$890,Actuals!$A:$A,LEFT($D$890,FIND("|",$D$890&amp;"|")-1),Actuals!$E:$E,MID($D$890,FIND("|",$D$890&amp;"|")+1,50),Actuals!$F:$F,"JPY")*$E$5+SUMIFS(Actuals!$G:$G,Actuals!$B:$B,$C$3,Actuals!$C:$C,4,Actuals!$D:$D,$B$890,Actuals!$A:$A,LEFT($D$890,FIND("|",$D$890&amp;"|")-1),Actuals!$E:$E,MID($D$890,FIND("|",$D$890&amp;"|")+1,50),Actuals!$F:$F,"USD")*$F$5+SUMIFS(Actuals!$G:$G,Actuals!$B:$B,$C$3,Actuals!$C:$C,4,Actuals!$D:$D,$B$890,Actuals!$A:$A,LEFT($D$890,FIND("|",$D$890&amp;"|")-1),Actuals!$E:$E,MID($D$890,FIND("|",$D$890&amp;"|")+1,50),Actuals!$F:$F,"EUR")*$G$5+SUMIFS(Actuals!$G:$G,Actuals!$B:$B,$C$3,Actuals!$C:$C,4,Actuals!$D:$D,$B$890,Actuals!$A:$A,LEFT($D$890,FIND("|",$D$890&amp;"|")-1),Actuals!$E:$E,MID($D$890,FIND("|",$D$890&amp;"|")+1,50),Actuals!$F:$F,"GBP")*$H$5)</f>
        <v/>
      </c>
      <c r="L891" s="18">
        <f>IF(OR($B$890="",5&gt;$C$4),"",SUMIFS(Actuals!$G:$G,Actuals!$B:$B,$C$3,Actuals!$C:$C,5,Actuals!$D:$D,$B$890,Actuals!$A:$A,LEFT($D$890,FIND("|",$D$890&amp;"|")-1),Actuals!$E:$E,MID($D$890,FIND("|",$D$890&amp;"|")+1,50),Actuals!$F:$F,"JPY")*$E$5+SUMIFS(Actuals!$G:$G,Actuals!$B:$B,$C$3,Actuals!$C:$C,5,Actuals!$D:$D,$B$890,Actuals!$A:$A,LEFT($D$890,FIND("|",$D$890&amp;"|")-1),Actuals!$E:$E,MID($D$890,FIND("|",$D$890&amp;"|")+1,50),Actuals!$F:$F,"USD")*$F$5+SUMIFS(Actuals!$G:$G,Actuals!$B:$B,$C$3,Actuals!$C:$C,5,Actuals!$D:$D,$B$890,Actuals!$A:$A,LEFT($D$890,FIND("|",$D$890&amp;"|")-1),Actuals!$E:$E,MID($D$890,FIND("|",$D$890&amp;"|")+1,50),Actuals!$F:$F,"EUR")*$G$5+SUMIFS(Actuals!$G:$G,Actuals!$B:$B,$C$3,Actuals!$C:$C,5,Actuals!$D:$D,$B$890,Actuals!$A:$A,LEFT($D$890,FIND("|",$D$890&amp;"|")-1),Actuals!$E:$E,MID($D$890,FIND("|",$D$890&amp;"|")+1,50),Actuals!$F:$F,"GBP")*$H$5)</f>
        <v/>
      </c>
      <c r="M891" s="18">
        <f>IF(OR($B$890="",6&gt;$C$4),"",SUMIFS(Actuals!$G:$G,Actuals!$B:$B,$C$3,Actuals!$C:$C,6,Actuals!$D:$D,$B$890,Actuals!$A:$A,LEFT($D$890,FIND("|",$D$890&amp;"|")-1),Actuals!$E:$E,MID($D$890,FIND("|",$D$890&amp;"|")+1,50),Actuals!$F:$F,"JPY")*$E$5+SUMIFS(Actuals!$G:$G,Actuals!$B:$B,$C$3,Actuals!$C:$C,6,Actuals!$D:$D,$B$890,Actuals!$A:$A,LEFT($D$890,FIND("|",$D$890&amp;"|")-1),Actuals!$E:$E,MID($D$890,FIND("|",$D$890&amp;"|")+1,50),Actuals!$F:$F,"USD")*$F$5+SUMIFS(Actuals!$G:$G,Actuals!$B:$B,$C$3,Actuals!$C:$C,6,Actuals!$D:$D,$B$890,Actuals!$A:$A,LEFT($D$890,FIND("|",$D$890&amp;"|")-1),Actuals!$E:$E,MID($D$890,FIND("|",$D$890&amp;"|")+1,50),Actuals!$F:$F,"EUR")*$G$5+SUMIFS(Actuals!$G:$G,Actuals!$B:$B,$C$3,Actuals!$C:$C,6,Actuals!$D:$D,$B$890,Actuals!$A:$A,LEFT($D$890,FIND("|",$D$890&amp;"|")-1),Actuals!$E:$E,MID($D$890,FIND("|",$D$890&amp;"|")+1,50),Actuals!$F:$F,"GBP")*$H$5)</f>
        <v/>
      </c>
      <c r="N891" s="18">
        <f>IF(OR($B$890="",7&gt;$C$4),"",SUMIFS(Actuals!$G:$G,Actuals!$B:$B,$C$3,Actuals!$C:$C,7,Actuals!$D:$D,$B$890,Actuals!$A:$A,LEFT($D$890,FIND("|",$D$890&amp;"|")-1),Actuals!$E:$E,MID($D$890,FIND("|",$D$890&amp;"|")+1,50),Actuals!$F:$F,"JPY")*$E$5+SUMIFS(Actuals!$G:$G,Actuals!$B:$B,$C$3,Actuals!$C:$C,7,Actuals!$D:$D,$B$890,Actuals!$A:$A,LEFT($D$890,FIND("|",$D$890&amp;"|")-1),Actuals!$E:$E,MID($D$890,FIND("|",$D$890&amp;"|")+1,50),Actuals!$F:$F,"USD")*$F$5+SUMIFS(Actuals!$G:$G,Actuals!$B:$B,$C$3,Actuals!$C:$C,7,Actuals!$D:$D,$B$890,Actuals!$A:$A,LEFT($D$890,FIND("|",$D$890&amp;"|")-1),Actuals!$E:$E,MID($D$890,FIND("|",$D$890&amp;"|")+1,50),Actuals!$F:$F,"EUR")*$G$5+SUMIFS(Actuals!$G:$G,Actuals!$B:$B,$C$3,Actuals!$C:$C,7,Actuals!$D:$D,$B$890,Actuals!$A:$A,LEFT($D$890,FIND("|",$D$890&amp;"|")-1),Actuals!$E:$E,MID($D$890,FIND("|",$D$890&amp;"|")+1,50),Actuals!$F:$F,"GBP")*$H$5)</f>
        <v/>
      </c>
      <c r="O891" s="18">
        <f>IF(OR($B$890="",8&gt;$C$4),"",SUMIFS(Actuals!$G:$G,Actuals!$B:$B,$C$3,Actuals!$C:$C,8,Actuals!$D:$D,$B$890,Actuals!$A:$A,LEFT($D$890,FIND("|",$D$890&amp;"|")-1),Actuals!$E:$E,MID($D$890,FIND("|",$D$890&amp;"|")+1,50),Actuals!$F:$F,"JPY")*$E$5+SUMIFS(Actuals!$G:$G,Actuals!$B:$B,$C$3,Actuals!$C:$C,8,Actuals!$D:$D,$B$890,Actuals!$A:$A,LEFT($D$890,FIND("|",$D$890&amp;"|")-1),Actuals!$E:$E,MID($D$890,FIND("|",$D$890&amp;"|")+1,50),Actuals!$F:$F,"USD")*$F$5+SUMIFS(Actuals!$G:$G,Actuals!$B:$B,$C$3,Actuals!$C:$C,8,Actuals!$D:$D,$B$890,Actuals!$A:$A,LEFT($D$890,FIND("|",$D$890&amp;"|")-1),Actuals!$E:$E,MID($D$890,FIND("|",$D$890&amp;"|")+1,50),Actuals!$F:$F,"EUR")*$G$5+SUMIFS(Actuals!$G:$G,Actuals!$B:$B,$C$3,Actuals!$C:$C,8,Actuals!$D:$D,$B$890,Actuals!$A:$A,LEFT($D$890,FIND("|",$D$890&amp;"|")-1),Actuals!$E:$E,MID($D$890,FIND("|",$D$890&amp;"|")+1,50),Actuals!$F:$F,"GBP")*$H$5)</f>
        <v/>
      </c>
      <c r="P891" s="18">
        <f>IF(OR($B$890="",9&gt;$C$4),"",SUMIFS(Actuals!$G:$G,Actuals!$B:$B,$C$3,Actuals!$C:$C,9,Actuals!$D:$D,$B$890,Actuals!$A:$A,LEFT($D$890,FIND("|",$D$890&amp;"|")-1),Actuals!$E:$E,MID($D$890,FIND("|",$D$890&amp;"|")+1,50),Actuals!$F:$F,"JPY")*$E$5+SUMIFS(Actuals!$G:$G,Actuals!$B:$B,$C$3,Actuals!$C:$C,9,Actuals!$D:$D,$B$890,Actuals!$A:$A,LEFT($D$890,FIND("|",$D$890&amp;"|")-1),Actuals!$E:$E,MID($D$890,FIND("|",$D$890&amp;"|")+1,50),Actuals!$F:$F,"USD")*$F$5+SUMIFS(Actuals!$G:$G,Actuals!$B:$B,$C$3,Actuals!$C:$C,9,Actuals!$D:$D,$B$890,Actuals!$A:$A,LEFT($D$890,FIND("|",$D$890&amp;"|")-1),Actuals!$E:$E,MID($D$890,FIND("|",$D$890&amp;"|")+1,50),Actuals!$F:$F,"EUR")*$G$5+SUMIFS(Actuals!$G:$G,Actuals!$B:$B,$C$3,Actuals!$C:$C,9,Actuals!$D:$D,$B$890,Actuals!$A:$A,LEFT($D$890,FIND("|",$D$890&amp;"|")-1),Actuals!$E:$E,MID($D$890,FIND("|",$D$890&amp;"|")+1,50),Actuals!$F:$F,"GBP")*$H$5)</f>
        <v/>
      </c>
      <c r="Q891" s="18">
        <f>IF(OR($B$890="",10&gt;$C$4),"",SUMIFS(Actuals!$G:$G,Actuals!$B:$B,$C$3,Actuals!$C:$C,10,Actuals!$D:$D,$B$890,Actuals!$A:$A,LEFT($D$890,FIND("|",$D$890&amp;"|")-1),Actuals!$E:$E,MID($D$890,FIND("|",$D$890&amp;"|")+1,50),Actuals!$F:$F,"JPY")*$E$5+SUMIFS(Actuals!$G:$G,Actuals!$B:$B,$C$3,Actuals!$C:$C,10,Actuals!$D:$D,$B$890,Actuals!$A:$A,LEFT($D$890,FIND("|",$D$890&amp;"|")-1),Actuals!$E:$E,MID($D$890,FIND("|",$D$890&amp;"|")+1,50),Actuals!$F:$F,"USD")*$F$5+SUMIFS(Actuals!$G:$G,Actuals!$B:$B,$C$3,Actuals!$C:$C,10,Actuals!$D:$D,$B$890,Actuals!$A:$A,LEFT($D$890,FIND("|",$D$890&amp;"|")-1),Actuals!$E:$E,MID($D$890,FIND("|",$D$890&amp;"|")+1,50),Actuals!$F:$F,"EUR")*$G$5+SUMIFS(Actuals!$G:$G,Actuals!$B:$B,$C$3,Actuals!$C:$C,10,Actuals!$D:$D,$B$890,Actuals!$A:$A,LEFT($D$890,FIND("|",$D$890&amp;"|")-1),Actuals!$E:$E,MID($D$890,FIND("|",$D$890&amp;"|")+1,50),Actuals!$F:$F,"GBP")*$H$5)</f>
        <v/>
      </c>
      <c r="R891" s="18">
        <f>IF(OR($B$890="",11&gt;$C$4),"",SUMIFS(Actuals!$G:$G,Actuals!$B:$B,$C$3,Actuals!$C:$C,11,Actuals!$D:$D,$B$890,Actuals!$A:$A,LEFT($D$890,FIND("|",$D$890&amp;"|")-1),Actuals!$E:$E,MID($D$890,FIND("|",$D$890&amp;"|")+1,50),Actuals!$F:$F,"JPY")*$E$5+SUMIFS(Actuals!$G:$G,Actuals!$B:$B,$C$3,Actuals!$C:$C,11,Actuals!$D:$D,$B$890,Actuals!$A:$A,LEFT($D$890,FIND("|",$D$890&amp;"|")-1),Actuals!$E:$E,MID($D$890,FIND("|",$D$890&amp;"|")+1,50),Actuals!$F:$F,"USD")*$F$5+SUMIFS(Actuals!$G:$G,Actuals!$B:$B,$C$3,Actuals!$C:$C,11,Actuals!$D:$D,$B$890,Actuals!$A:$A,LEFT($D$890,FIND("|",$D$890&amp;"|")-1),Actuals!$E:$E,MID($D$890,FIND("|",$D$890&amp;"|")+1,50),Actuals!$F:$F,"EUR")*$G$5+SUMIFS(Actuals!$G:$G,Actuals!$B:$B,$C$3,Actuals!$C:$C,11,Actuals!$D:$D,$B$890,Actuals!$A:$A,LEFT($D$890,FIND("|",$D$890&amp;"|")-1),Actuals!$E:$E,MID($D$890,FIND("|",$D$890&amp;"|")+1,50),Actuals!$F:$F,"GBP")*$H$5)</f>
        <v/>
      </c>
      <c r="S891" s="18">
        <f>IF(OR($B$890="",12&gt;$C$4),"",SUMIFS(Actuals!$G:$G,Actuals!$B:$B,$C$3,Actuals!$C:$C,12,Actuals!$D:$D,$B$890,Actuals!$A:$A,LEFT($D$890,FIND("|",$D$890&amp;"|")-1),Actuals!$E:$E,MID($D$890,FIND("|",$D$890&amp;"|")+1,50),Actuals!$F:$F,"JPY")*$E$5+SUMIFS(Actuals!$G:$G,Actuals!$B:$B,$C$3,Actuals!$C:$C,12,Actuals!$D:$D,$B$890,Actuals!$A:$A,LEFT($D$890,FIND("|",$D$890&amp;"|")-1),Actuals!$E:$E,MID($D$890,FIND("|",$D$890&amp;"|")+1,50),Actuals!$F:$F,"USD")*$F$5+SUMIFS(Actuals!$G:$G,Actuals!$B:$B,$C$3,Actuals!$C:$C,12,Actuals!$D:$D,$B$890,Actuals!$A:$A,LEFT($D$890,FIND("|",$D$890&amp;"|")-1),Actuals!$E:$E,MID($D$890,FIND("|",$D$890&amp;"|")+1,50),Actuals!$F:$F,"EUR")*$G$5+SUMIFS(Actuals!$G:$G,Actuals!$B:$B,$C$3,Actuals!$C:$C,12,Actuals!$D:$D,$B$890,Actuals!$A:$A,LEFT($D$890,FIND("|",$D$890&amp;"|")-1),Actuals!$E:$E,MID($D$890,FIND("|",$D$890&amp;"|")+1,50),Actuals!$F:$F,"GBP")*$H$5)</f>
        <v/>
      </c>
      <c r="T891" s="18">
        <f>IF($B$890="","",SUMIF($H$7:$S$7,"&lt;="&amp;$C$4,$H891:$S891))</f>
        <v/>
      </c>
      <c r="U891" s="18" t="n"/>
      <c r="V891" s="18" t="n"/>
      <c r="X891" s="22">
        <f>IF($B891="","",IFERROR(INDEX(Cost_Centers!$E:$E,MATCH($B891,Cost_Centers!$A:$A,0)),"(unknown)"))</f>
        <v/>
      </c>
      <c r="Y891" s="22">
        <f>IF($B891="","",IFERROR(INDEX(Cost_Centers!$D:$D,MATCH($B891,Cost_Centers!$A:$A,0)),"(unknown)"))</f>
        <v/>
      </c>
      <c r="Z891" s="22">
        <f>IF(OR($B891="",$G891&lt;&gt;"Variance vs Budget"),"",ABS(N($V891))+ROW()/1000000000)</f>
        <v/>
      </c>
    </row>
    <row r="892">
      <c r="A892" s="13">
        <f>IF(A$890="","",A$890)</f>
        <v/>
      </c>
      <c r="B892" s="13">
        <f>IF(B$890="","",B$890)</f>
        <v/>
      </c>
      <c r="C892" s="13">
        <f>IF(C$890="","",C$890)</f>
        <v/>
      </c>
      <c r="D892" s="13">
        <f>IF(D$890="","",D$890)</f>
        <v/>
      </c>
      <c r="E892" s="13">
        <f>IF(E$890="","",E$890)</f>
        <v/>
      </c>
      <c r="F892" s="13">
        <f>IF(F$890="","",F$890)</f>
        <v/>
      </c>
      <c r="G892" s="6" t="inlineStr">
        <is>
          <t>Variance vs Budget</t>
        </is>
      </c>
      <c r="H892" s="33">
        <f>IF(OR($B$890="",1&gt;$C$4),"",N(H891)-H890)</f>
        <v/>
      </c>
      <c r="I892" s="33">
        <f>IF(OR($B$890="",2&gt;$C$4),"",N(I891)-I890)</f>
        <v/>
      </c>
      <c r="J892" s="33">
        <f>IF(OR($B$890="",3&gt;$C$4),"",N(J891)-J890)</f>
        <v/>
      </c>
      <c r="K892" s="33">
        <f>IF(OR($B$890="",4&gt;$C$4),"",N(K891)-K890)</f>
        <v/>
      </c>
      <c r="L892" s="33">
        <f>IF(OR($B$890="",5&gt;$C$4),"",N(L891)-L890)</f>
        <v/>
      </c>
      <c r="M892" s="33">
        <f>IF(OR($B$890="",6&gt;$C$4),"",N(M891)-M890)</f>
        <v/>
      </c>
      <c r="N892" s="33">
        <f>IF(OR($B$890="",7&gt;$C$4),"",N(N891)-N890)</f>
        <v/>
      </c>
      <c r="O892" s="33">
        <f>IF(OR($B$890="",8&gt;$C$4),"",N(O891)-O890)</f>
        <v/>
      </c>
      <c r="P892" s="33">
        <f>IF(OR($B$890="",9&gt;$C$4),"",N(P891)-P890)</f>
        <v/>
      </c>
      <c r="Q892" s="33">
        <f>IF(OR($B$890="",10&gt;$C$4),"",N(Q891)-Q890)</f>
        <v/>
      </c>
      <c r="R892" s="33">
        <f>IF(OR($B$890="",11&gt;$C$4),"",N(R891)-R890)</f>
        <v/>
      </c>
      <c r="S892" s="33">
        <f>IF(OR($B$890="",12&gt;$C$4),"",N(S891)-S890)</f>
        <v/>
      </c>
      <c r="T892" s="33">
        <f>IF($B$890="","",T891-T890)</f>
        <v/>
      </c>
      <c r="U892" s="33">
        <f>IF($B$890="","",U894-U890)</f>
        <v/>
      </c>
      <c r="V892" s="33">
        <f>IF($B$890="","",V894-V890)</f>
        <v/>
      </c>
      <c r="X892" s="22">
        <f>IF($B892="","",IFERROR(INDEX(Cost_Centers!$E:$E,MATCH($B892,Cost_Centers!$A:$A,0)),"(unknown)"))</f>
        <v/>
      </c>
      <c r="Y892" s="22">
        <f>IF($B892="","",IFERROR(INDEX(Cost_Centers!$D:$D,MATCH($B892,Cost_Centers!$A:$A,0)),"(unknown)"))</f>
        <v/>
      </c>
      <c r="Z892" s="22">
        <f>IF(OR($B892="",$G892&lt;&gt;"Variance vs Budget"),"",ABS(N($V892))+ROW()/1000000000)</f>
        <v/>
      </c>
    </row>
    <row r="893">
      <c r="A893" s="13">
        <f>IF(A$890="","",A$890)</f>
        <v/>
      </c>
      <c r="B893" s="13">
        <f>IF(B$890="","",B$890)</f>
        <v/>
      </c>
      <c r="C893" s="13">
        <f>IF(C$890="","",C$890)</f>
        <v/>
      </c>
      <c r="D893" s="13">
        <f>IF(D$890="","",D$890)</f>
        <v/>
      </c>
      <c r="E893" s="13">
        <f>IF(E$890="","",E$890)</f>
        <v/>
      </c>
      <c r="F893" s="13">
        <f>IF(F$890="","",F$890)</f>
        <v/>
      </c>
      <c r="G893" s="7" t="inlineStr">
        <is>
          <t>Forecast (input)</t>
        </is>
      </c>
      <c r="H893" s="34" t="n"/>
      <c r="I893" s="34" t="n"/>
      <c r="J893" s="34" t="n"/>
      <c r="K893" s="34" t="n"/>
      <c r="L893" s="34" t="n"/>
      <c r="M893" s="34" t="n"/>
      <c r="N893" s="34" t="n"/>
      <c r="O893" s="34" t="n"/>
      <c r="P893" s="34" t="n"/>
      <c r="Q893" s="34" t="n"/>
      <c r="R893" s="34" t="n"/>
      <c r="S893" s="34" t="n"/>
      <c r="T893" s="18" t="n"/>
      <c r="U893" s="18" t="n"/>
      <c r="V893" s="18" t="n"/>
      <c r="X893" s="22">
        <f>IF($B893="","",IFERROR(INDEX(Cost_Centers!$E:$E,MATCH($B893,Cost_Centers!$A:$A,0)),"(unknown)"))</f>
        <v/>
      </c>
      <c r="Y893" s="22">
        <f>IF($B893="","",IFERROR(INDEX(Cost_Centers!$D:$D,MATCH($B893,Cost_Centers!$A:$A,0)),"(unknown)"))</f>
        <v/>
      </c>
      <c r="Z893" s="22">
        <f>IF(OR($B893="",$G893&lt;&gt;"Variance vs Budget"),"",ABS(N($V893))+ROW()/1000000000)</f>
        <v/>
      </c>
    </row>
    <row r="894">
      <c r="A894" s="13">
        <f>IF(A$890="","",A$890)</f>
        <v/>
      </c>
      <c r="B894" s="13">
        <f>IF(B$890="","",B$890)</f>
        <v/>
      </c>
      <c r="C894" s="13">
        <f>IF(C$890="","",C$890)</f>
        <v/>
      </c>
      <c r="D894" s="13">
        <f>IF(D$890="","",D$890)</f>
        <v/>
      </c>
      <c r="E894" s="13">
        <f>IF(E$890="","",E$890)</f>
        <v/>
      </c>
      <c r="F894" s="13">
        <f>IF(F$890="","",F$890)</f>
        <v/>
      </c>
      <c r="G894" s="35" t="inlineStr">
        <is>
          <t>Actual + Forecast</t>
        </is>
      </c>
      <c r="H894" s="18">
        <f>IF($B$890="","",IF(1&lt;=$C$4,N(H891),IF(H893="",H890,H893)))</f>
        <v/>
      </c>
      <c r="I894" s="18">
        <f>IF($B$890="","",IF(2&lt;=$C$4,N(I891),IF(I893="",I890,I893)))</f>
        <v/>
      </c>
      <c r="J894" s="18">
        <f>IF($B$890="","",IF(3&lt;=$C$4,N(J891),IF(J893="",J890,J893)))</f>
        <v/>
      </c>
      <c r="K894" s="18">
        <f>IF($B$890="","",IF(4&lt;=$C$4,N(K891),IF(K893="",K890,K893)))</f>
        <v/>
      </c>
      <c r="L894" s="18">
        <f>IF($B$890="","",IF(5&lt;=$C$4,N(L891),IF(L893="",L890,L893)))</f>
        <v/>
      </c>
      <c r="M894" s="18">
        <f>IF($B$890="","",IF(6&lt;=$C$4,N(M891),IF(M893="",M890,M893)))</f>
        <v/>
      </c>
      <c r="N894" s="18">
        <f>IF($B$890="","",IF(7&lt;=$C$4,N(N891),IF(N893="",N890,N893)))</f>
        <v/>
      </c>
      <c r="O894" s="18">
        <f>IF($B$890="","",IF(8&lt;=$C$4,N(O891),IF(O893="",O890,O893)))</f>
        <v/>
      </c>
      <c r="P894" s="18">
        <f>IF($B$890="","",IF(9&lt;=$C$4,N(P891),IF(P893="",P890,P893)))</f>
        <v/>
      </c>
      <c r="Q894" s="18">
        <f>IF($B$890="","",IF(10&lt;=$C$4,N(Q891),IF(Q893="",Q890,Q893)))</f>
        <v/>
      </c>
      <c r="R894" s="18">
        <f>IF($B$890="","",IF(11&lt;=$C$4,N(R891),IF(R893="",R890,R893)))</f>
        <v/>
      </c>
      <c r="S894" s="18">
        <f>IF($B$890="","",IF(12&lt;=$C$4,N(S891),IF(S893="",S890,S893)))</f>
        <v/>
      </c>
      <c r="T894" s="18">
        <f>IF($B$890="","",SUMIF($H$7:$S$7,"&lt;="&amp;$C$4,$H894:$S894))</f>
        <v/>
      </c>
      <c r="U894" s="18">
        <f>IF($B$890="","",SUMIF($H$7:$S$7,"&gt;"&amp;$C$4,$H894:$S894))</f>
        <v/>
      </c>
      <c r="V894" s="18">
        <f>IF($B$890="","",SUM($H894:$S894))</f>
        <v/>
      </c>
      <c r="X894" s="22">
        <f>IF($B894="","",IFERROR(INDEX(Cost_Centers!$E:$E,MATCH($B894,Cost_Centers!$A:$A,0)),"(unknown)"))</f>
        <v/>
      </c>
      <c r="Y894" s="22">
        <f>IF($B894="","",IFERROR(INDEX(Cost_Centers!$D:$D,MATCH($B894,Cost_Centers!$A:$A,0)),"(unknown)"))</f>
        <v/>
      </c>
      <c r="Z894" s="22">
        <f>IF(OR($B894="",$G894&lt;&gt;"Variance vs Budget"),"",ABS(N($V894))+ROW()/1000000000)</f>
        <v/>
      </c>
    </row>
    <row r="895">
      <c r="A895" s="13">
        <f>IF(A$890="","",A$890)</f>
        <v/>
      </c>
      <c r="B895" s="13">
        <f>IF(B$890="","",B$890)</f>
        <v/>
      </c>
      <c r="C895" s="13">
        <f>IF(C$890="","",C$890)</f>
        <v/>
      </c>
      <c r="D895" s="13">
        <f>IF(D$890="","",D$890)</f>
        <v/>
      </c>
      <c r="E895" s="13">
        <f>IF(E$890="","",E$890)</f>
        <v/>
      </c>
      <c r="F895" s="13">
        <f>IF(F$890="","",F$890)</f>
        <v/>
      </c>
      <c r="G895" s="36" t="inlineStr">
        <is>
          <t>Prior Month Forecast</t>
        </is>
      </c>
      <c r="H895" s="37">
        <f>IF($B$890="","",IF(COUNTIFS(Prior_Forecast!$A:$A,$B$890,Prior_Forecast!$B:$B,$D$890)&gt;0,SUMIFS(Prior_Forecast!$C:$C,Prior_Forecast!$A:$A,$B$890,Prior_Forecast!$B:$B,$D$890),""))</f>
        <v/>
      </c>
      <c r="I895" s="37">
        <f>IF($B$890="","",IF(COUNTIFS(Prior_Forecast!$A:$A,$B$890,Prior_Forecast!$B:$B,$D$890)&gt;0,SUMIFS(Prior_Forecast!$D:$D,Prior_Forecast!$A:$A,$B$890,Prior_Forecast!$B:$B,$D$890),""))</f>
        <v/>
      </c>
      <c r="J895" s="37">
        <f>IF($B$890="","",IF(COUNTIFS(Prior_Forecast!$A:$A,$B$890,Prior_Forecast!$B:$B,$D$890)&gt;0,SUMIFS(Prior_Forecast!$E:$E,Prior_Forecast!$A:$A,$B$890,Prior_Forecast!$B:$B,$D$890),""))</f>
        <v/>
      </c>
      <c r="K895" s="37">
        <f>IF($B$890="","",IF(COUNTIFS(Prior_Forecast!$A:$A,$B$890,Prior_Forecast!$B:$B,$D$890)&gt;0,SUMIFS(Prior_Forecast!$F:$F,Prior_Forecast!$A:$A,$B$890,Prior_Forecast!$B:$B,$D$890),""))</f>
        <v/>
      </c>
      <c r="L895" s="37">
        <f>IF($B$890="","",IF(COUNTIFS(Prior_Forecast!$A:$A,$B$890,Prior_Forecast!$B:$B,$D$890)&gt;0,SUMIFS(Prior_Forecast!$G:$G,Prior_Forecast!$A:$A,$B$890,Prior_Forecast!$B:$B,$D$890),""))</f>
        <v/>
      </c>
      <c r="M895" s="37">
        <f>IF($B$890="","",IF(COUNTIFS(Prior_Forecast!$A:$A,$B$890,Prior_Forecast!$B:$B,$D$890)&gt;0,SUMIFS(Prior_Forecast!$H:$H,Prior_Forecast!$A:$A,$B$890,Prior_Forecast!$B:$B,$D$890),""))</f>
        <v/>
      </c>
      <c r="N895" s="37">
        <f>IF($B$890="","",IF(COUNTIFS(Prior_Forecast!$A:$A,$B$890,Prior_Forecast!$B:$B,$D$890)&gt;0,SUMIFS(Prior_Forecast!$I:$I,Prior_Forecast!$A:$A,$B$890,Prior_Forecast!$B:$B,$D$890),""))</f>
        <v/>
      </c>
      <c r="O895" s="37">
        <f>IF($B$890="","",IF(COUNTIFS(Prior_Forecast!$A:$A,$B$890,Prior_Forecast!$B:$B,$D$890)&gt;0,SUMIFS(Prior_Forecast!$J:$J,Prior_Forecast!$A:$A,$B$890,Prior_Forecast!$B:$B,$D$890),""))</f>
        <v/>
      </c>
      <c r="P895" s="37">
        <f>IF($B$890="","",IF(COUNTIFS(Prior_Forecast!$A:$A,$B$890,Prior_Forecast!$B:$B,$D$890)&gt;0,SUMIFS(Prior_Forecast!$K:$K,Prior_Forecast!$A:$A,$B$890,Prior_Forecast!$B:$B,$D$890),""))</f>
        <v/>
      </c>
      <c r="Q895" s="37">
        <f>IF($B$890="","",IF(COUNTIFS(Prior_Forecast!$A:$A,$B$890,Prior_Forecast!$B:$B,$D$890)&gt;0,SUMIFS(Prior_Forecast!$L:$L,Prior_Forecast!$A:$A,$B$890,Prior_Forecast!$B:$B,$D$890),""))</f>
        <v/>
      </c>
      <c r="R895" s="37">
        <f>IF($B$890="","",IF(COUNTIFS(Prior_Forecast!$A:$A,$B$890,Prior_Forecast!$B:$B,$D$890)&gt;0,SUMIFS(Prior_Forecast!$M:$M,Prior_Forecast!$A:$A,$B$890,Prior_Forecast!$B:$B,$D$890),""))</f>
        <v/>
      </c>
      <c r="S895" s="37">
        <f>IF($B$890="","",IF(COUNTIFS(Prior_Forecast!$A:$A,$B$890,Prior_Forecast!$B:$B,$D$890)&gt;0,SUMIFS(Prior_Forecast!$N:$N,Prior_Forecast!$A:$A,$B$890,Prior_Forecast!$B:$B,$D$890),""))</f>
        <v/>
      </c>
      <c r="T895" s="37">
        <f>IF($B$890="","",IF(COUNTIFS(Prior_Forecast!$A:$A,$B$890,Prior_Forecast!$B:$B,$D$890)&gt;0,SUMIFS(Prior_Forecast!$O:$O,Prior_Forecast!$A:$A,$B$890,Prior_Forecast!$B:$B,$D$890),""))</f>
        <v/>
      </c>
      <c r="U895" s="37">
        <f>IF($B$890="","",IF(COUNTIFS(Prior_Forecast!$A:$A,$B$890,Prior_Forecast!$B:$B,$D$890)&gt;0,SUMIFS(Prior_Forecast!$P:$P,Prior_Forecast!$A:$A,$B$890,Prior_Forecast!$B:$B,$D$890),""))</f>
        <v/>
      </c>
      <c r="V895" s="37">
        <f>IF($B$890="","",IF(COUNTIFS(Prior_Forecast!$A:$A,$B$890,Prior_Forecast!$B:$B,$D$890)&gt;0,SUMIFS(Prior_Forecast!$Q:$Q,Prior_Forecast!$A:$A,$B$890,Prior_Forecast!$B:$B,$D$890),""))</f>
        <v/>
      </c>
      <c r="X895" s="22">
        <f>IF($B895="","",IFERROR(INDEX(Cost_Centers!$E:$E,MATCH($B895,Cost_Centers!$A:$A,0)),"(unknown)"))</f>
        <v/>
      </c>
      <c r="Y895" s="22">
        <f>IF($B895="","",IFERROR(INDEX(Cost_Centers!$D:$D,MATCH($B895,Cost_Centers!$A:$A,0)),"(unknown)"))</f>
        <v/>
      </c>
      <c r="Z895" s="22">
        <f>IF(OR($B895="",$G895&lt;&gt;"Variance vs Budget"),"",ABS(N($V895))+ROW()/1000000000)</f>
        <v/>
      </c>
    </row>
    <row r="896">
      <c r="A896" s="13">
        <f>IF(A$890="","",A$890)</f>
        <v/>
      </c>
      <c r="B896" s="13">
        <f>IF(B$890="","",B$890)</f>
        <v/>
      </c>
      <c r="C896" s="13">
        <f>IF(C$890="","",C$890)</f>
        <v/>
      </c>
      <c r="D896" s="13">
        <f>IF(D$890="","",D$890)</f>
        <v/>
      </c>
      <c r="E896" s="13">
        <f>IF(E$890="","",E$890)</f>
        <v/>
      </c>
      <c r="F896" s="13">
        <f>IF(F$890="","",F$890)</f>
        <v/>
      </c>
      <c r="G896" s="6" t="inlineStr">
        <is>
          <t>Variance vs Prior Month</t>
        </is>
      </c>
      <c r="H896" s="33">
        <f>IF(OR($B$890="",H895=""),"",H894-H895)</f>
        <v/>
      </c>
      <c r="I896" s="33">
        <f>IF(OR($B$890="",I895=""),"",I894-I895)</f>
        <v/>
      </c>
      <c r="J896" s="33">
        <f>IF(OR($B$890="",J895=""),"",J894-J895)</f>
        <v/>
      </c>
      <c r="K896" s="33">
        <f>IF(OR($B$890="",K895=""),"",K894-K895)</f>
        <v/>
      </c>
      <c r="L896" s="33">
        <f>IF(OR($B$890="",L895=""),"",L894-L895)</f>
        <v/>
      </c>
      <c r="M896" s="33">
        <f>IF(OR($B$890="",M895=""),"",M894-M895)</f>
        <v/>
      </c>
      <c r="N896" s="33">
        <f>IF(OR($B$890="",N895=""),"",N894-N895)</f>
        <v/>
      </c>
      <c r="O896" s="33">
        <f>IF(OR($B$890="",O895=""),"",O894-O895)</f>
        <v/>
      </c>
      <c r="P896" s="33">
        <f>IF(OR($B$890="",P895=""),"",P894-P895)</f>
        <v/>
      </c>
      <c r="Q896" s="33">
        <f>IF(OR($B$890="",Q895=""),"",Q894-Q895)</f>
        <v/>
      </c>
      <c r="R896" s="33">
        <f>IF(OR($B$890="",R895=""),"",R894-R895)</f>
        <v/>
      </c>
      <c r="S896" s="33">
        <f>IF(OR($B$890="",S895=""),"",S894-S895)</f>
        <v/>
      </c>
      <c r="T896" s="33">
        <f>IF(OR($B$890="",T895=""),"",T894-T895)</f>
        <v/>
      </c>
      <c r="U896" s="33">
        <f>IF(OR($B$890="",U895=""),"",U894-U895)</f>
        <v/>
      </c>
      <c r="V896" s="33">
        <f>IF(OR($B$890="",V895=""),"",V894-V895)</f>
        <v/>
      </c>
      <c r="X896" s="22">
        <f>IF($B896="","",IFERROR(INDEX(Cost_Centers!$E:$E,MATCH($B896,Cost_Centers!$A:$A,0)),"(unknown)"))</f>
        <v/>
      </c>
      <c r="Y896" s="22">
        <f>IF($B896="","",IFERROR(INDEX(Cost_Centers!$D:$D,MATCH($B896,Cost_Centers!$A:$A,0)),"(unknown)"))</f>
        <v/>
      </c>
      <c r="Z896" s="22">
        <f>IF(OR($B896="",$G896&lt;&gt;"Variance vs Budget"),"",ABS(N($V896))+ROW()/1000000000)</f>
        <v/>
      </c>
    </row>
    <row r="897" ht="45" customHeight="1">
      <c r="A897" s="13">
        <f>IF(A$890="","",A$890)</f>
        <v/>
      </c>
      <c r="B897" s="13">
        <f>IF(B$890="","",B$890)</f>
        <v/>
      </c>
      <c r="C897" s="13">
        <f>IF(C$890="","",C$890)</f>
        <v/>
      </c>
      <c r="D897" s="13">
        <f>IF(D$890="","",D$890)</f>
        <v/>
      </c>
      <c r="E897" s="13">
        <f>IF(E$890="","",E$890)</f>
        <v/>
      </c>
      <c r="F897" s="13">
        <f>IF(F$890="","",F$890)</f>
        <v/>
      </c>
      <c r="G897" s="7" t="inlineStr">
        <is>
          <t>Rationale</t>
        </is>
      </c>
      <c r="H897" s="38" t="n"/>
      <c r="I897" s="38" t="n"/>
      <c r="J897" s="38" t="n"/>
      <c r="K897" s="38" t="n"/>
      <c r="L897" s="38" t="n"/>
      <c r="M897" s="38" t="n"/>
      <c r="N897" s="38" t="n"/>
      <c r="O897" s="38" t="n"/>
      <c r="P897" s="38" t="n"/>
      <c r="Q897" s="38" t="n"/>
      <c r="R897" s="38" t="n"/>
      <c r="S897" s="38" t="n"/>
      <c r="T897" s="38" t="n"/>
      <c r="U897" s="38" t="n"/>
      <c r="V897" s="7" t="n"/>
      <c r="X897" s="22">
        <f>IF($B897="","",IFERROR(INDEX(Cost_Centers!$E:$E,MATCH($B897,Cost_Centers!$A:$A,0)),"(unknown)"))</f>
        <v/>
      </c>
      <c r="Y897" s="22">
        <f>IF($B897="","",IFERROR(INDEX(Cost_Centers!$D:$D,MATCH($B897,Cost_Centers!$A:$A,0)),"(unknown)"))</f>
        <v/>
      </c>
      <c r="Z897" s="22">
        <f>IF(OR($B897="",$G897&lt;&gt;"Variance vs Budget"),"",ABS(N($V897))+ROW()/1000000000)</f>
        <v/>
      </c>
    </row>
    <row r="898">
      <c r="A898" s="30">
        <f>IF($D$898="","",LEFT($D$898,FIND("|",$D$898&amp;"|")-1))</f>
        <v/>
      </c>
      <c r="B898" s="31" t="n"/>
      <c r="C898" s="30">
        <f>IF($B$898="","",IFERROR(INDEX(Cost_Centers!$B:$B,MATCH($B$898,Cost_Centers!$A:$A,0)),"(not in master)"))</f>
        <v/>
      </c>
      <c r="D898" s="31" t="n"/>
      <c r="E898" s="30">
        <f>IF($D$898="","",IFERROR(INDEX(Accounts!$D:$D,MATCH($D$898,Accounts!$A:$A,0)),"(not in master)"))</f>
        <v/>
      </c>
      <c r="F898" s="31" t="n"/>
      <c r="G898" s="30" t="inlineStr">
        <is>
          <t>Budget</t>
        </is>
      </c>
      <c r="H898" s="32">
        <f>IF($B$898="","",SUMIFS(Opex_Budget!$O:$O,Opex_Budget!$A:$A,$C$3,Opex_Budget!$E:$E,$B$898,Opex_Budget!$F:$F,$D$898,Opex_Budget!$N:$N,"JPY")*$E$5+SUMIFS(Opex_Budget!$O:$O,Opex_Budget!$A:$A,$C$3,Opex_Budget!$E:$E,$B$898,Opex_Budget!$F:$F,$D$898,Opex_Budget!$N:$N,"USD")*$F$5+SUMIFS(Opex_Budget!$O:$O,Opex_Budget!$A:$A,$C$3,Opex_Budget!$E:$E,$B$898,Opex_Budget!$F:$F,$D$898,Opex_Budget!$N:$N,"EUR")*$G$5+SUMIFS(Opex_Budget!$O:$O,Opex_Budget!$A:$A,$C$3,Opex_Budget!$E:$E,$B$898,Opex_Budget!$F:$F,$D$898,Opex_Budget!$N:$N,"GBP")*$H$5)</f>
        <v/>
      </c>
      <c r="I898" s="32">
        <f>IF($B$898="","",SUMIFS(Opex_Budget!$P:$P,Opex_Budget!$A:$A,$C$3,Opex_Budget!$E:$E,$B$898,Opex_Budget!$F:$F,$D$898,Opex_Budget!$N:$N,"JPY")*$E$5+SUMIFS(Opex_Budget!$P:$P,Opex_Budget!$A:$A,$C$3,Opex_Budget!$E:$E,$B$898,Opex_Budget!$F:$F,$D$898,Opex_Budget!$N:$N,"USD")*$F$5+SUMIFS(Opex_Budget!$P:$P,Opex_Budget!$A:$A,$C$3,Opex_Budget!$E:$E,$B$898,Opex_Budget!$F:$F,$D$898,Opex_Budget!$N:$N,"EUR")*$G$5+SUMIFS(Opex_Budget!$P:$P,Opex_Budget!$A:$A,$C$3,Opex_Budget!$E:$E,$B$898,Opex_Budget!$F:$F,$D$898,Opex_Budget!$N:$N,"GBP")*$H$5)</f>
        <v/>
      </c>
      <c r="J898" s="32">
        <f>IF($B$898="","",SUMIFS(Opex_Budget!$Q:$Q,Opex_Budget!$A:$A,$C$3,Opex_Budget!$E:$E,$B$898,Opex_Budget!$F:$F,$D$898,Opex_Budget!$N:$N,"JPY")*$E$5+SUMIFS(Opex_Budget!$Q:$Q,Opex_Budget!$A:$A,$C$3,Opex_Budget!$E:$E,$B$898,Opex_Budget!$F:$F,$D$898,Opex_Budget!$N:$N,"USD")*$F$5+SUMIFS(Opex_Budget!$Q:$Q,Opex_Budget!$A:$A,$C$3,Opex_Budget!$E:$E,$B$898,Opex_Budget!$F:$F,$D$898,Opex_Budget!$N:$N,"EUR")*$G$5+SUMIFS(Opex_Budget!$Q:$Q,Opex_Budget!$A:$A,$C$3,Opex_Budget!$E:$E,$B$898,Opex_Budget!$F:$F,$D$898,Opex_Budget!$N:$N,"GBP")*$H$5)</f>
        <v/>
      </c>
      <c r="K898" s="32">
        <f>IF($B$898="","",SUMIFS(Opex_Budget!$R:$R,Opex_Budget!$A:$A,$C$3,Opex_Budget!$E:$E,$B$898,Opex_Budget!$F:$F,$D$898,Opex_Budget!$N:$N,"JPY")*$E$5+SUMIFS(Opex_Budget!$R:$R,Opex_Budget!$A:$A,$C$3,Opex_Budget!$E:$E,$B$898,Opex_Budget!$F:$F,$D$898,Opex_Budget!$N:$N,"USD")*$F$5+SUMIFS(Opex_Budget!$R:$R,Opex_Budget!$A:$A,$C$3,Opex_Budget!$E:$E,$B$898,Opex_Budget!$F:$F,$D$898,Opex_Budget!$N:$N,"EUR")*$G$5+SUMIFS(Opex_Budget!$R:$R,Opex_Budget!$A:$A,$C$3,Opex_Budget!$E:$E,$B$898,Opex_Budget!$F:$F,$D$898,Opex_Budget!$N:$N,"GBP")*$H$5)</f>
        <v/>
      </c>
      <c r="L898" s="32">
        <f>IF($B$898="","",SUMIFS(Opex_Budget!$S:$S,Opex_Budget!$A:$A,$C$3,Opex_Budget!$E:$E,$B$898,Opex_Budget!$F:$F,$D$898,Opex_Budget!$N:$N,"JPY")*$E$5+SUMIFS(Opex_Budget!$S:$S,Opex_Budget!$A:$A,$C$3,Opex_Budget!$E:$E,$B$898,Opex_Budget!$F:$F,$D$898,Opex_Budget!$N:$N,"USD")*$F$5+SUMIFS(Opex_Budget!$S:$S,Opex_Budget!$A:$A,$C$3,Opex_Budget!$E:$E,$B$898,Opex_Budget!$F:$F,$D$898,Opex_Budget!$N:$N,"EUR")*$G$5+SUMIFS(Opex_Budget!$S:$S,Opex_Budget!$A:$A,$C$3,Opex_Budget!$E:$E,$B$898,Opex_Budget!$F:$F,$D$898,Opex_Budget!$N:$N,"GBP")*$H$5)</f>
        <v/>
      </c>
      <c r="M898" s="32">
        <f>IF($B$898="","",SUMIFS(Opex_Budget!$T:$T,Opex_Budget!$A:$A,$C$3,Opex_Budget!$E:$E,$B$898,Opex_Budget!$F:$F,$D$898,Opex_Budget!$N:$N,"JPY")*$E$5+SUMIFS(Opex_Budget!$T:$T,Opex_Budget!$A:$A,$C$3,Opex_Budget!$E:$E,$B$898,Opex_Budget!$F:$F,$D$898,Opex_Budget!$N:$N,"USD")*$F$5+SUMIFS(Opex_Budget!$T:$T,Opex_Budget!$A:$A,$C$3,Opex_Budget!$E:$E,$B$898,Opex_Budget!$F:$F,$D$898,Opex_Budget!$N:$N,"EUR")*$G$5+SUMIFS(Opex_Budget!$T:$T,Opex_Budget!$A:$A,$C$3,Opex_Budget!$E:$E,$B$898,Opex_Budget!$F:$F,$D$898,Opex_Budget!$N:$N,"GBP")*$H$5)</f>
        <v/>
      </c>
      <c r="N898" s="32">
        <f>IF($B$898="","",SUMIFS(Opex_Budget!$U:$U,Opex_Budget!$A:$A,$C$3,Opex_Budget!$E:$E,$B$898,Opex_Budget!$F:$F,$D$898,Opex_Budget!$N:$N,"JPY")*$E$5+SUMIFS(Opex_Budget!$U:$U,Opex_Budget!$A:$A,$C$3,Opex_Budget!$E:$E,$B$898,Opex_Budget!$F:$F,$D$898,Opex_Budget!$N:$N,"USD")*$F$5+SUMIFS(Opex_Budget!$U:$U,Opex_Budget!$A:$A,$C$3,Opex_Budget!$E:$E,$B$898,Opex_Budget!$F:$F,$D$898,Opex_Budget!$N:$N,"EUR")*$G$5+SUMIFS(Opex_Budget!$U:$U,Opex_Budget!$A:$A,$C$3,Opex_Budget!$E:$E,$B$898,Opex_Budget!$F:$F,$D$898,Opex_Budget!$N:$N,"GBP")*$H$5)</f>
        <v/>
      </c>
      <c r="O898" s="32">
        <f>IF($B$898="","",SUMIFS(Opex_Budget!$V:$V,Opex_Budget!$A:$A,$C$3,Opex_Budget!$E:$E,$B$898,Opex_Budget!$F:$F,$D$898,Opex_Budget!$N:$N,"JPY")*$E$5+SUMIFS(Opex_Budget!$V:$V,Opex_Budget!$A:$A,$C$3,Opex_Budget!$E:$E,$B$898,Opex_Budget!$F:$F,$D$898,Opex_Budget!$N:$N,"USD")*$F$5+SUMIFS(Opex_Budget!$V:$V,Opex_Budget!$A:$A,$C$3,Opex_Budget!$E:$E,$B$898,Opex_Budget!$F:$F,$D$898,Opex_Budget!$N:$N,"EUR")*$G$5+SUMIFS(Opex_Budget!$V:$V,Opex_Budget!$A:$A,$C$3,Opex_Budget!$E:$E,$B$898,Opex_Budget!$F:$F,$D$898,Opex_Budget!$N:$N,"GBP")*$H$5)</f>
        <v/>
      </c>
      <c r="P898" s="32">
        <f>IF($B$898="","",SUMIFS(Opex_Budget!$W:$W,Opex_Budget!$A:$A,$C$3,Opex_Budget!$E:$E,$B$898,Opex_Budget!$F:$F,$D$898,Opex_Budget!$N:$N,"JPY")*$E$5+SUMIFS(Opex_Budget!$W:$W,Opex_Budget!$A:$A,$C$3,Opex_Budget!$E:$E,$B$898,Opex_Budget!$F:$F,$D$898,Opex_Budget!$N:$N,"USD")*$F$5+SUMIFS(Opex_Budget!$W:$W,Opex_Budget!$A:$A,$C$3,Opex_Budget!$E:$E,$B$898,Opex_Budget!$F:$F,$D$898,Opex_Budget!$N:$N,"EUR")*$G$5+SUMIFS(Opex_Budget!$W:$W,Opex_Budget!$A:$A,$C$3,Opex_Budget!$E:$E,$B$898,Opex_Budget!$F:$F,$D$898,Opex_Budget!$N:$N,"GBP")*$H$5)</f>
        <v/>
      </c>
      <c r="Q898" s="32">
        <f>IF($B$898="","",SUMIFS(Opex_Budget!$X:$X,Opex_Budget!$A:$A,$C$3,Opex_Budget!$E:$E,$B$898,Opex_Budget!$F:$F,$D$898,Opex_Budget!$N:$N,"JPY")*$E$5+SUMIFS(Opex_Budget!$X:$X,Opex_Budget!$A:$A,$C$3,Opex_Budget!$E:$E,$B$898,Opex_Budget!$F:$F,$D$898,Opex_Budget!$N:$N,"USD")*$F$5+SUMIFS(Opex_Budget!$X:$X,Opex_Budget!$A:$A,$C$3,Opex_Budget!$E:$E,$B$898,Opex_Budget!$F:$F,$D$898,Opex_Budget!$N:$N,"EUR")*$G$5+SUMIFS(Opex_Budget!$X:$X,Opex_Budget!$A:$A,$C$3,Opex_Budget!$E:$E,$B$898,Opex_Budget!$F:$F,$D$898,Opex_Budget!$N:$N,"GBP")*$H$5)</f>
        <v/>
      </c>
      <c r="R898" s="32">
        <f>IF($B$898="","",SUMIFS(Opex_Budget!$Y:$Y,Opex_Budget!$A:$A,$C$3,Opex_Budget!$E:$E,$B$898,Opex_Budget!$F:$F,$D$898,Opex_Budget!$N:$N,"JPY")*$E$5+SUMIFS(Opex_Budget!$Y:$Y,Opex_Budget!$A:$A,$C$3,Opex_Budget!$E:$E,$B$898,Opex_Budget!$F:$F,$D$898,Opex_Budget!$N:$N,"USD")*$F$5+SUMIFS(Opex_Budget!$Y:$Y,Opex_Budget!$A:$A,$C$3,Opex_Budget!$E:$E,$B$898,Opex_Budget!$F:$F,$D$898,Opex_Budget!$N:$N,"EUR")*$G$5+SUMIFS(Opex_Budget!$Y:$Y,Opex_Budget!$A:$A,$C$3,Opex_Budget!$E:$E,$B$898,Opex_Budget!$F:$F,$D$898,Opex_Budget!$N:$N,"GBP")*$H$5)</f>
        <v/>
      </c>
      <c r="S898" s="32">
        <f>IF($B$898="","",SUMIFS(Opex_Budget!$Z:$Z,Opex_Budget!$A:$A,$C$3,Opex_Budget!$E:$E,$B$898,Opex_Budget!$F:$F,$D$898,Opex_Budget!$N:$N,"JPY")*$E$5+SUMIFS(Opex_Budget!$Z:$Z,Opex_Budget!$A:$A,$C$3,Opex_Budget!$E:$E,$B$898,Opex_Budget!$F:$F,$D$898,Opex_Budget!$N:$N,"USD")*$F$5+SUMIFS(Opex_Budget!$Z:$Z,Opex_Budget!$A:$A,$C$3,Opex_Budget!$E:$E,$B$898,Opex_Budget!$F:$F,$D$898,Opex_Budget!$N:$N,"EUR")*$G$5+SUMIFS(Opex_Budget!$Z:$Z,Opex_Budget!$A:$A,$C$3,Opex_Budget!$E:$E,$B$898,Opex_Budget!$F:$F,$D$898,Opex_Budget!$N:$N,"GBP")*$H$5)</f>
        <v/>
      </c>
      <c r="T898" s="32">
        <f>IF($B$898="","",SUMIF($H$7:$S$7,"&lt;="&amp;$C$4,$H898:$S898))</f>
        <v/>
      </c>
      <c r="U898" s="32">
        <f>IF($B$898="","",SUMIF($H$7:$S$7,"&gt;"&amp;$C$4,$H898:$S898))</f>
        <v/>
      </c>
      <c r="V898" s="32">
        <f>IF($B$898="","",SUM($H898:$S898))</f>
        <v/>
      </c>
      <c r="X898" s="22">
        <f>IF($B898="","",IFERROR(INDEX(Cost_Centers!$E:$E,MATCH($B898,Cost_Centers!$A:$A,0)),"(unknown)"))</f>
        <v/>
      </c>
      <c r="Y898" s="22">
        <f>IF($B898="","",IFERROR(INDEX(Cost_Centers!$D:$D,MATCH($B898,Cost_Centers!$A:$A,0)),"(unknown)"))</f>
        <v/>
      </c>
      <c r="Z898" s="22">
        <f>IF(OR($B898="",$G898&lt;&gt;"Variance vs Budget"),"",ABS(N($V898))+ROW()/1000000000)</f>
        <v/>
      </c>
    </row>
    <row r="899">
      <c r="A899" s="13">
        <f>IF(A$898="","",A$898)</f>
        <v/>
      </c>
      <c r="B899" s="13">
        <f>IF(B$898="","",B$898)</f>
        <v/>
      </c>
      <c r="C899" s="13">
        <f>IF(C$898="","",C$898)</f>
        <v/>
      </c>
      <c r="D899" s="13">
        <f>IF(D$898="","",D$898)</f>
        <v/>
      </c>
      <c r="E899" s="13">
        <f>IF(E$898="","",E$898)</f>
        <v/>
      </c>
      <c r="F899" s="13">
        <f>IF(F$898="","",F$898)</f>
        <v/>
      </c>
      <c r="G899" s="7" t="inlineStr">
        <is>
          <t>Actual</t>
        </is>
      </c>
      <c r="H899" s="18">
        <f>IF(OR($B$898="",1&gt;$C$4),"",SUMIFS(Actuals!$G:$G,Actuals!$B:$B,$C$3,Actuals!$C:$C,1,Actuals!$D:$D,$B$898,Actuals!$A:$A,LEFT($D$898,FIND("|",$D$898&amp;"|")-1),Actuals!$E:$E,MID($D$898,FIND("|",$D$898&amp;"|")+1,50),Actuals!$F:$F,"JPY")*$E$5+SUMIFS(Actuals!$G:$G,Actuals!$B:$B,$C$3,Actuals!$C:$C,1,Actuals!$D:$D,$B$898,Actuals!$A:$A,LEFT($D$898,FIND("|",$D$898&amp;"|")-1),Actuals!$E:$E,MID($D$898,FIND("|",$D$898&amp;"|")+1,50),Actuals!$F:$F,"USD")*$F$5+SUMIFS(Actuals!$G:$G,Actuals!$B:$B,$C$3,Actuals!$C:$C,1,Actuals!$D:$D,$B$898,Actuals!$A:$A,LEFT($D$898,FIND("|",$D$898&amp;"|")-1),Actuals!$E:$E,MID($D$898,FIND("|",$D$898&amp;"|")+1,50),Actuals!$F:$F,"EUR")*$G$5+SUMIFS(Actuals!$G:$G,Actuals!$B:$B,$C$3,Actuals!$C:$C,1,Actuals!$D:$D,$B$898,Actuals!$A:$A,LEFT($D$898,FIND("|",$D$898&amp;"|")-1),Actuals!$E:$E,MID($D$898,FIND("|",$D$898&amp;"|")+1,50),Actuals!$F:$F,"GBP")*$H$5)</f>
        <v/>
      </c>
      <c r="I899" s="18">
        <f>IF(OR($B$898="",2&gt;$C$4),"",SUMIFS(Actuals!$G:$G,Actuals!$B:$B,$C$3,Actuals!$C:$C,2,Actuals!$D:$D,$B$898,Actuals!$A:$A,LEFT($D$898,FIND("|",$D$898&amp;"|")-1),Actuals!$E:$E,MID($D$898,FIND("|",$D$898&amp;"|")+1,50),Actuals!$F:$F,"JPY")*$E$5+SUMIFS(Actuals!$G:$G,Actuals!$B:$B,$C$3,Actuals!$C:$C,2,Actuals!$D:$D,$B$898,Actuals!$A:$A,LEFT($D$898,FIND("|",$D$898&amp;"|")-1),Actuals!$E:$E,MID($D$898,FIND("|",$D$898&amp;"|")+1,50),Actuals!$F:$F,"USD")*$F$5+SUMIFS(Actuals!$G:$G,Actuals!$B:$B,$C$3,Actuals!$C:$C,2,Actuals!$D:$D,$B$898,Actuals!$A:$A,LEFT($D$898,FIND("|",$D$898&amp;"|")-1),Actuals!$E:$E,MID($D$898,FIND("|",$D$898&amp;"|")+1,50),Actuals!$F:$F,"EUR")*$G$5+SUMIFS(Actuals!$G:$G,Actuals!$B:$B,$C$3,Actuals!$C:$C,2,Actuals!$D:$D,$B$898,Actuals!$A:$A,LEFT($D$898,FIND("|",$D$898&amp;"|")-1),Actuals!$E:$E,MID($D$898,FIND("|",$D$898&amp;"|")+1,50),Actuals!$F:$F,"GBP")*$H$5)</f>
        <v/>
      </c>
      <c r="J899" s="18">
        <f>IF(OR($B$898="",3&gt;$C$4),"",SUMIFS(Actuals!$G:$G,Actuals!$B:$B,$C$3,Actuals!$C:$C,3,Actuals!$D:$D,$B$898,Actuals!$A:$A,LEFT($D$898,FIND("|",$D$898&amp;"|")-1),Actuals!$E:$E,MID($D$898,FIND("|",$D$898&amp;"|")+1,50),Actuals!$F:$F,"JPY")*$E$5+SUMIFS(Actuals!$G:$G,Actuals!$B:$B,$C$3,Actuals!$C:$C,3,Actuals!$D:$D,$B$898,Actuals!$A:$A,LEFT($D$898,FIND("|",$D$898&amp;"|")-1),Actuals!$E:$E,MID($D$898,FIND("|",$D$898&amp;"|")+1,50),Actuals!$F:$F,"USD")*$F$5+SUMIFS(Actuals!$G:$G,Actuals!$B:$B,$C$3,Actuals!$C:$C,3,Actuals!$D:$D,$B$898,Actuals!$A:$A,LEFT($D$898,FIND("|",$D$898&amp;"|")-1),Actuals!$E:$E,MID($D$898,FIND("|",$D$898&amp;"|")+1,50),Actuals!$F:$F,"EUR")*$G$5+SUMIFS(Actuals!$G:$G,Actuals!$B:$B,$C$3,Actuals!$C:$C,3,Actuals!$D:$D,$B$898,Actuals!$A:$A,LEFT($D$898,FIND("|",$D$898&amp;"|")-1),Actuals!$E:$E,MID($D$898,FIND("|",$D$898&amp;"|")+1,50),Actuals!$F:$F,"GBP")*$H$5)</f>
        <v/>
      </c>
      <c r="K899" s="18">
        <f>IF(OR($B$898="",4&gt;$C$4),"",SUMIFS(Actuals!$G:$G,Actuals!$B:$B,$C$3,Actuals!$C:$C,4,Actuals!$D:$D,$B$898,Actuals!$A:$A,LEFT($D$898,FIND("|",$D$898&amp;"|")-1),Actuals!$E:$E,MID($D$898,FIND("|",$D$898&amp;"|")+1,50),Actuals!$F:$F,"JPY")*$E$5+SUMIFS(Actuals!$G:$G,Actuals!$B:$B,$C$3,Actuals!$C:$C,4,Actuals!$D:$D,$B$898,Actuals!$A:$A,LEFT($D$898,FIND("|",$D$898&amp;"|")-1),Actuals!$E:$E,MID($D$898,FIND("|",$D$898&amp;"|")+1,50),Actuals!$F:$F,"USD")*$F$5+SUMIFS(Actuals!$G:$G,Actuals!$B:$B,$C$3,Actuals!$C:$C,4,Actuals!$D:$D,$B$898,Actuals!$A:$A,LEFT($D$898,FIND("|",$D$898&amp;"|")-1),Actuals!$E:$E,MID($D$898,FIND("|",$D$898&amp;"|")+1,50),Actuals!$F:$F,"EUR")*$G$5+SUMIFS(Actuals!$G:$G,Actuals!$B:$B,$C$3,Actuals!$C:$C,4,Actuals!$D:$D,$B$898,Actuals!$A:$A,LEFT($D$898,FIND("|",$D$898&amp;"|")-1),Actuals!$E:$E,MID($D$898,FIND("|",$D$898&amp;"|")+1,50),Actuals!$F:$F,"GBP")*$H$5)</f>
        <v/>
      </c>
      <c r="L899" s="18">
        <f>IF(OR($B$898="",5&gt;$C$4),"",SUMIFS(Actuals!$G:$G,Actuals!$B:$B,$C$3,Actuals!$C:$C,5,Actuals!$D:$D,$B$898,Actuals!$A:$A,LEFT($D$898,FIND("|",$D$898&amp;"|")-1),Actuals!$E:$E,MID($D$898,FIND("|",$D$898&amp;"|")+1,50),Actuals!$F:$F,"JPY")*$E$5+SUMIFS(Actuals!$G:$G,Actuals!$B:$B,$C$3,Actuals!$C:$C,5,Actuals!$D:$D,$B$898,Actuals!$A:$A,LEFT($D$898,FIND("|",$D$898&amp;"|")-1),Actuals!$E:$E,MID($D$898,FIND("|",$D$898&amp;"|")+1,50),Actuals!$F:$F,"USD")*$F$5+SUMIFS(Actuals!$G:$G,Actuals!$B:$B,$C$3,Actuals!$C:$C,5,Actuals!$D:$D,$B$898,Actuals!$A:$A,LEFT($D$898,FIND("|",$D$898&amp;"|")-1),Actuals!$E:$E,MID($D$898,FIND("|",$D$898&amp;"|")+1,50),Actuals!$F:$F,"EUR")*$G$5+SUMIFS(Actuals!$G:$G,Actuals!$B:$B,$C$3,Actuals!$C:$C,5,Actuals!$D:$D,$B$898,Actuals!$A:$A,LEFT($D$898,FIND("|",$D$898&amp;"|")-1),Actuals!$E:$E,MID($D$898,FIND("|",$D$898&amp;"|")+1,50),Actuals!$F:$F,"GBP")*$H$5)</f>
        <v/>
      </c>
      <c r="M899" s="18">
        <f>IF(OR($B$898="",6&gt;$C$4),"",SUMIFS(Actuals!$G:$G,Actuals!$B:$B,$C$3,Actuals!$C:$C,6,Actuals!$D:$D,$B$898,Actuals!$A:$A,LEFT($D$898,FIND("|",$D$898&amp;"|")-1),Actuals!$E:$E,MID($D$898,FIND("|",$D$898&amp;"|")+1,50),Actuals!$F:$F,"JPY")*$E$5+SUMIFS(Actuals!$G:$G,Actuals!$B:$B,$C$3,Actuals!$C:$C,6,Actuals!$D:$D,$B$898,Actuals!$A:$A,LEFT($D$898,FIND("|",$D$898&amp;"|")-1),Actuals!$E:$E,MID($D$898,FIND("|",$D$898&amp;"|")+1,50),Actuals!$F:$F,"USD")*$F$5+SUMIFS(Actuals!$G:$G,Actuals!$B:$B,$C$3,Actuals!$C:$C,6,Actuals!$D:$D,$B$898,Actuals!$A:$A,LEFT($D$898,FIND("|",$D$898&amp;"|")-1),Actuals!$E:$E,MID($D$898,FIND("|",$D$898&amp;"|")+1,50),Actuals!$F:$F,"EUR")*$G$5+SUMIFS(Actuals!$G:$G,Actuals!$B:$B,$C$3,Actuals!$C:$C,6,Actuals!$D:$D,$B$898,Actuals!$A:$A,LEFT($D$898,FIND("|",$D$898&amp;"|")-1),Actuals!$E:$E,MID($D$898,FIND("|",$D$898&amp;"|")+1,50),Actuals!$F:$F,"GBP")*$H$5)</f>
        <v/>
      </c>
      <c r="N899" s="18">
        <f>IF(OR($B$898="",7&gt;$C$4),"",SUMIFS(Actuals!$G:$G,Actuals!$B:$B,$C$3,Actuals!$C:$C,7,Actuals!$D:$D,$B$898,Actuals!$A:$A,LEFT($D$898,FIND("|",$D$898&amp;"|")-1),Actuals!$E:$E,MID($D$898,FIND("|",$D$898&amp;"|")+1,50),Actuals!$F:$F,"JPY")*$E$5+SUMIFS(Actuals!$G:$G,Actuals!$B:$B,$C$3,Actuals!$C:$C,7,Actuals!$D:$D,$B$898,Actuals!$A:$A,LEFT($D$898,FIND("|",$D$898&amp;"|")-1),Actuals!$E:$E,MID($D$898,FIND("|",$D$898&amp;"|")+1,50),Actuals!$F:$F,"USD")*$F$5+SUMIFS(Actuals!$G:$G,Actuals!$B:$B,$C$3,Actuals!$C:$C,7,Actuals!$D:$D,$B$898,Actuals!$A:$A,LEFT($D$898,FIND("|",$D$898&amp;"|")-1),Actuals!$E:$E,MID($D$898,FIND("|",$D$898&amp;"|")+1,50),Actuals!$F:$F,"EUR")*$G$5+SUMIFS(Actuals!$G:$G,Actuals!$B:$B,$C$3,Actuals!$C:$C,7,Actuals!$D:$D,$B$898,Actuals!$A:$A,LEFT($D$898,FIND("|",$D$898&amp;"|")-1),Actuals!$E:$E,MID($D$898,FIND("|",$D$898&amp;"|")+1,50),Actuals!$F:$F,"GBP")*$H$5)</f>
        <v/>
      </c>
      <c r="O899" s="18">
        <f>IF(OR($B$898="",8&gt;$C$4),"",SUMIFS(Actuals!$G:$G,Actuals!$B:$B,$C$3,Actuals!$C:$C,8,Actuals!$D:$D,$B$898,Actuals!$A:$A,LEFT($D$898,FIND("|",$D$898&amp;"|")-1),Actuals!$E:$E,MID($D$898,FIND("|",$D$898&amp;"|")+1,50),Actuals!$F:$F,"JPY")*$E$5+SUMIFS(Actuals!$G:$G,Actuals!$B:$B,$C$3,Actuals!$C:$C,8,Actuals!$D:$D,$B$898,Actuals!$A:$A,LEFT($D$898,FIND("|",$D$898&amp;"|")-1),Actuals!$E:$E,MID($D$898,FIND("|",$D$898&amp;"|")+1,50),Actuals!$F:$F,"USD")*$F$5+SUMIFS(Actuals!$G:$G,Actuals!$B:$B,$C$3,Actuals!$C:$C,8,Actuals!$D:$D,$B$898,Actuals!$A:$A,LEFT($D$898,FIND("|",$D$898&amp;"|")-1),Actuals!$E:$E,MID($D$898,FIND("|",$D$898&amp;"|")+1,50),Actuals!$F:$F,"EUR")*$G$5+SUMIFS(Actuals!$G:$G,Actuals!$B:$B,$C$3,Actuals!$C:$C,8,Actuals!$D:$D,$B$898,Actuals!$A:$A,LEFT($D$898,FIND("|",$D$898&amp;"|")-1),Actuals!$E:$E,MID($D$898,FIND("|",$D$898&amp;"|")+1,50),Actuals!$F:$F,"GBP")*$H$5)</f>
        <v/>
      </c>
      <c r="P899" s="18">
        <f>IF(OR($B$898="",9&gt;$C$4),"",SUMIFS(Actuals!$G:$G,Actuals!$B:$B,$C$3,Actuals!$C:$C,9,Actuals!$D:$D,$B$898,Actuals!$A:$A,LEFT($D$898,FIND("|",$D$898&amp;"|")-1),Actuals!$E:$E,MID($D$898,FIND("|",$D$898&amp;"|")+1,50),Actuals!$F:$F,"JPY")*$E$5+SUMIFS(Actuals!$G:$G,Actuals!$B:$B,$C$3,Actuals!$C:$C,9,Actuals!$D:$D,$B$898,Actuals!$A:$A,LEFT($D$898,FIND("|",$D$898&amp;"|")-1),Actuals!$E:$E,MID($D$898,FIND("|",$D$898&amp;"|")+1,50),Actuals!$F:$F,"USD")*$F$5+SUMIFS(Actuals!$G:$G,Actuals!$B:$B,$C$3,Actuals!$C:$C,9,Actuals!$D:$D,$B$898,Actuals!$A:$A,LEFT($D$898,FIND("|",$D$898&amp;"|")-1),Actuals!$E:$E,MID($D$898,FIND("|",$D$898&amp;"|")+1,50),Actuals!$F:$F,"EUR")*$G$5+SUMIFS(Actuals!$G:$G,Actuals!$B:$B,$C$3,Actuals!$C:$C,9,Actuals!$D:$D,$B$898,Actuals!$A:$A,LEFT($D$898,FIND("|",$D$898&amp;"|")-1),Actuals!$E:$E,MID($D$898,FIND("|",$D$898&amp;"|")+1,50),Actuals!$F:$F,"GBP")*$H$5)</f>
        <v/>
      </c>
      <c r="Q899" s="18">
        <f>IF(OR($B$898="",10&gt;$C$4),"",SUMIFS(Actuals!$G:$G,Actuals!$B:$B,$C$3,Actuals!$C:$C,10,Actuals!$D:$D,$B$898,Actuals!$A:$A,LEFT($D$898,FIND("|",$D$898&amp;"|")-1),Actuals!$E:$E,MID($D$898,FIND("|",$D$898&amp;"|")+1,50),Actuals!$F:$F,"JPY")*$E$5+SUMIFS(Actuals!$G:$G,Actuals!$B:$B,$C$3,Actuals!$C:$C,10,Actuals!$D:$D,$B$898,Actuals!$A:$A,LEFT($D$898,FIND("|",$D$898&amp;"|")-1),Actuals!$E:$E,MID($D$898,FIND("|",$D$898&amp;"|")+1,50),Actuals!$F:$F,"USD")*$F$5+SUMIFS(Actuals!$G:$G,Actuals!$B:$B,$C$3,Actuals!$C:$C,10,Actuals!$D:$D,$B$898,Actuals!$A:$A,LEFT($D$898,FIND("|",$D$898&amp;"|")-1),Actuals!$E:$E,MID($D$898,FIND("|",$D$898&amp;"|")+1,50),Actuals!$F:$F,"EUR")*$G$5+SUMIFS(Actuals!$G:$G,Actuals!$B:$B,$C$3,Actuals!$C:$C,10,Actuals!$D:$D,$B$898,Actuals!$A:$A,LEFT($D$898,FIND("|",$D$898&amp;"|")-1),Actuals!$E:$E,MID($D$898,FIND("|",$D$898&amp;"|")+1,50),Actuals!$F:$F,"GBP")*$H$5)</f>
        <v/>
      </c>
      <c r="R899" s="18">
        <f>IF(OR($B$898="",11&gt;$C$4),"",SUMIFS(Actuals!$G:$G,Actuals!$B:$B,$C$3,Actuals!$C:$C,11,Actuals!$D:$D,$B$898,Actuals!$A:$A,LEFT($D$898,FIND("|",$D$898&amp;"|")-1),Actuals!$E:$E,MID($D$898,FIND("|",$D$898&amp;"|")+1,50),Actuals!$F:$F,"JPY")*$E$5+SUMIFS(Actuals!$G:$G,Actuals!$B:$B,$C$3,Actuals!$C:$C,11,Actuals!$D:$D,$B$898,Actuals!$A:$A,LEFT($D$898,FIND("|",$D$898&amp;"|")-1),Actuals!$E:$E,MID($D$898,FIND("|",$D$898&amp;"|")+1,50),Actuals!$F:$F,"USD")*$F$5+SUMIFS(Actuals!$G:$G,Actuals!$B:$B,$C$3,Actuals!$C:$C,11,Actuals!$D:$D,$B$898,Actuals!$A:$A,LEFT($D$898,FIND("|",$D$898&amp;"|")-1),Actuals!$E:$E,MID($D$898,FIND("|",$D$898&amp;"|")+1,50),Actuals!$F:$F,"EUR")*$G$5+SUMIFS(Actuals!$G:$G,Actuals!$B:$B,$C$3,Actuals!$C:$C,11,Actuals!$D:$D,$B$898,Actuals!$A:$A,LEFT($D$898,FIND("|",$D$898&amp;"|")-1),Actuals!$E:$E,MID($D$898,FIND("|",$D$898&amp;"|")+1,50),Actuals!$F:$F,"GBP")*$H$5)</f>
        <v/>
      </c>
      <c r="S899" s="18">
        <f>IF(OR($B$898="",12&gt;$C$4),"",SUMIFS(Actuals!$G:$G,Actuals!$B:$B,$C$3,Actuals!$C:$C,12,Actuals!$D:$D,$B$898,Actuals!$A:$A,LEFT($D$898,FIND("|",$D$898&amp;"|")-1),Actuals!$E:$E,MID($D$898,FIND("|",$D$898&amp;"|")+1,50),Actuals!$F:$F,"JPY")*$E$5+SUMIFS(Actuals!$G:$G,Actuals!$B:$B,$C$3,Actuals!$C:$C,12,Actuals!$D:$D,$B$898,Actuals!$A:$A,LEFT($D$898,FIND("|",$D$898&amp;"|")-1),Actuals!$E:$E,MID($D$898,FIND("|",$D$898&amp;"|")+1,50),Actuals!$F:$F,"USD")*$F$5+SUMIFS(Actuals!$G:$G,Actuals!$B:$B,$C$3,Actuals!$C:$C,12,Actuals!$D:$D,$B$898,Actuals!$A:$A,LEFT($D$898,FIND("|",$D$898&amp;"|")-1),Actuals!$E:$E,MID($D$898,FIND("|",$D$898&amp;"|")+1,50),Actuals!$F:$F,"EUR")*$G$5+SUMIFS(Actuals!$G:$G,Actuals!$B:$B,$C$3,Actuals!$C:$C,12,Actuals!$D:$D,$B$898,Actuals!$A:$A,LEFT($D$898,FIND("|",$D$898&amp;"|")-1),Actuals!$E:$E,MID($D$898,FIND("|",$D$898&amp;"|")+1,50),Actuals!$F:$F,"GBP")*$H$5)</f>
        <v/>
      </c>
      <c r="T899" s="18">
        <f>IF($B$898="","",SUMIF($H$7:$S$7,"&lt;="&amp;$C$4,$H899:$S899))</f>
        <v/>
      </c>
      <c r="U899" s="18" t="n"/>
      <c r="V899" s="18" t="n"/>
      <c r="X899" s="22">
        <f>IF($B899="","",IFERROR(INDEX(Cost_Centers!$E:$E,MATCH($B899,Cost_Centers!$A:$A,0)),"(unknown)"))</f>
        <v/>
      </c>
      <c r="Y899" s="22">
        <f>IF($B899="","",IFERROR(INDEX(Cost_Centers!$D:$D,MATCH($B899,Cost_Centers!$A:$A,0)),"(unknown)"))</f>
        <v/>
      </c>
      <c r="Z899" s="22">
        <f>IF(OR($B899="",$G899&lt;&gt;"Variance vs Budget"),"",ABS(N($V899))+ROW()/1000000000)</f>
        <v/>
      </c>
    </row>
    <row r="900">
      <c r="A900" s="13">
        <f>IF(A$898="","",A$898)</f>
        <v/>
      </c>
      <c r="B900" s="13">
        <f>IF(B$898="","",B$898)</f>
        <v/>
      </c>
      <c r="C900" s="13">
        <f>IF(C$898="","",C$898)</f>
        <v/>
      </c>
      <c r="D900" s="13">
        <f>IF(D$898="","",D$898)</f>
        <v/>
      </c>
      <c r="E900" s="13">
        <f>IF(E$898="","",E$898)</f>
        <v/>
      </c>
      <c r="F900" s="13">
        <f>IF(F$898="","",F$898)</f>
        <v/>
      </c>
      <c r="G900" s="6" t="inlineStr">
        <is>
          <t>Variance vs Budget</t>
        </is>
      </c>
      <c r="H900" s="33">
        <f>IF(OR($B$898="",1&gt;$C$4),"",N(H899)-H898)</f>
        <v/>
      </c>
      <c r="I900" s="33">
        <f>IF(OR($B$898="",2&gt;$C$4),"",N(I899)-I898)</f>
        <v/>
      </c>
      <c r="J900" s="33">
        <f>IF(OR($B$898="",3&gt;$C$4),"",N(J899)-J898)</f>
        <v/>
      </c>
      <c r="K900" s="33">
        <f>IF(OR($B$898="",4&gt;$C$4),"",N(K899)-K898)</f>
        <v/>
      </c>
      <c r="L900" s="33">
        <f>IF(OR($B$898="",5&gt;$C$4),"",N(L899)-L898)</f>
        <v/>
      </c>
      <c r="M900" s="33">
        <f>IF(OR($B$898="",6&gt;$C$4),"",N(M899)-M898)</f>
        <v/>
      </c>
      <c r="N900" s="33">
        <f>IF(OR($B$898="",7&gt;$C$4),"",N(N899)-N898)</f>
        <v/>
      </c>
      <c r="O900" s="33">
        <f>IF(OR($B$898="",8&gt;$C$4),"",N(O899)-O898)</f>
        <v/>
      </c>
      <c r="P900" s="33">
        <f>IF(OR($B$898="",9&gt;$C$4),"",N(P899)-P898)</f>
        <v/>
      </c>
      <c r="Q900" s="33">
        <f>IF(OR($B$898="",10&gt;$C$4),"",N(Q899)-Q898)</f>
        <v/>
      </c>
      <c r="R900" s="33">
        <f>IF(OR($B$898="",11&gt;$C$4),"",N(R899)-R898)</f>
        <v/>
      </c>
      <c r="S900" s="33">
        <f>IF(OR($B$898="",12&gt;$C$4),"",N(S899)-S898)</f>
        <v/>
      </c>
      <c r="T900" s="33">
        <f>IF($B$898="","",T899-T898)</f>
        <v/>
      </c>
      <c r="U900" s="33">
        <f>IF($B$898="","",U902-U898)</f>
        <v/>
      </c>
      <c r="V900" s="33">
        <f>IF($B$898="","",V902-V898)</f>
        <v/>
      </c>
      <c r="X900" s="22">
        <f>IF($B900="","",IFERROR(INDEX(Cost_Centers!$E:$E,MATCH($B900,Cost_Centers!$A:$A,0)),"(unknown)"))</f>
        <v/>
      </c>
      <c r="Y900" s="22">
        <f>IF($B900="","",IFERROR(INDEX(Cost_Centers!$D:$D,MATCH($B900,Cost_Centers!$A:$A,0)),"(unknown)"))</f>
        <v/>
      </c>
      <c r="Z900" s="22">
        <f>IF(OR($B900="",$G900&lt;&gt;"Variance vs Budget"),"",ABS(N($V900))+ROW()/1000000000)</f>
        <v/>
      </c>
    </row>
    <row r="901">
      <c r="A901" s="13">
        <f>IF(A$898="","",A$898)</f>
        <v/>
      </c>
      <c r="B901" s="13">
        <f>IF(B$898="","",B$898)</f>
        <v/>
      </c>
      <c r="C901" s="13">
        <f>IF(C$898="","",C$898)</f>
        <v/>
      </c>
      <c r="D901" s="13">
        <f>IF(D$898="","",D$898)</f>
        <v/>
      </c>
      <c r="E901" s="13">
        <f>IF(E$898="","",E$898)</f>
        <v/>
      </c>
      <c r="F901" s="13">
        <f>IF(F$898="","",F$898)</f>
        <v/>
      </c>
      <c r="G901" s="7" t="inlineStr">
        <is>
          <t>Forecast (input)</t>
        </is>
      </c>
      <c r="H901" s="34" t="n"/>
      <c r="I901" s="34" t="n"/>
      <c r="J901" s="34" t="n"/>
      <c r="K901" s="34" t="n"/>
      <c r="L901" s="34" t="n"/>
      <c r="M901" s="34" t="n"/>
      <c r="N901" s="34" t="n"/>
      <c r="O901" s="34" t="n"/>
      <c r="P901" s="34" t="n"/>
      <c r="Q901" s="34" t="n"/>
      <c r="R901" s="34" t="n"/>
      <c r="S901" s="34" t="n"/>
      <c r="T901" s="18" t="n"/>
      <c r="U901" s="18" t="n"/>
      <c r="V901" s="18" t="n"/>
      <c r="X901" s="22">
        <f>IF($B901="","",IFERROR(INDEX(Cost_Centers!$E:$E,MATCH($B901,Cost_Centers!$A:$A,0)),"(unknown)"))</f>
        <v/>
      </c>
      <c r="Y901" s="22">
        <f>IF($B901="","",IFERROR(INDEX(Cost_Centers!$D:$D,MATCH($B901,Cost_Centers!$A:$A,0)),"(unknown)"))</f>
        <v/>
      </c>
      <c r="Z901" s="22">
        <f>IF(OR($B901="",$G901&lt;&gt;"Variance vs Budget"),"",ABS(N($V901))+ROW()/1000000000)</f>
        <v/>
      </c>
    </row>
    <row r="902">
      <c r="A902" s="13">
        <f>IF(A$898="","",A$898)</f>
        <v/>
      </c>
      <c r="B902" s="13">
        <f>IF(B$898="","",B$898)</f>
        <v/>
      </c>
      <c r="C902" s="13">
        <f>IF(C$898="","",C$898)</f>
        <v/>
      </c>
      <c r="D902" s="13">
        <f>IF(D$898="","",D$898)</f>
        <v/>
      </c>
      <c r="E902" s="13">
        <f>IF(E$898="","",E$898)</f>
        <v/>
      </c>
      <c r="F902" s="13">
        <f>IF(F$898="","",F$898)</f>
        <v/>
      </c>
      <c r="G902" s="35" t="inlineStr">
        <is>
          <t>Actual + Forecast</t>
        </is>
      </c>
      <c r="H902" s="18">
        <f>IF($B$898="","",IF(1&lt;=$C$4,N(H899),IF(H901="",H898,H901)))</f>
        <v/>
      </c>
      <c r="I902" s="18">
        <f>IF($B$898="","",IF(2&lt;=$C$4,N(I899),IF(I901="",I898,I901)))</f>
        <v/>
      </c>
      <c r="J902" s="18">
        <f>IF($B$898="","",IF(3&lt;=$C$4,N(J899),IF(J901="",J898,J901)))</f>
        <v/>
      </c>
      <c r="K902" s="18">
        <f>IF($B$898="","",IF(4&lt;=$C$4,N(K899),IF(K901="",K898,K901)))</f>
        <v/>
      </c>
      <c r="L902" s="18">
        <f>IF($B$898="","",IF(5&lt;=$C$4,N(L899),IF(L901="",L898,L901)))</f>
        <v/>
      </c>
      <c r="M902" s="18">
        <f>IF($B$898="","",IF(6&lt;=$C$4,N(M899),IF(M901="",M898,M901)))</f>
        <v/>
      </c>
      <c r="N902" s="18">
        <f>IF($B$898="","",IF(7&lt;=$C$4,N(N899),IF(N901="",N898,N901)))</f>
        <v/>
      </c>
      <c r="O902" s="18">
        <f>IF($B$898="","",IF(8&lt;=$C$4,N(O899),IF(O901="",O898,O901)))</f>
        <v/>
      </c>
      <c r="P902" s="18">
        <f>IF($B$898="","",IF(9&lt;=$C$4,N(P899),IF(P901="",P898,P901)))</f>
        <v/>
      </c>
      <c r="Q902" s="18">
        <f>IF($B$898="","",IF(10&lt;=$C$4,N(Q899),IF(Q901="",Q898,Q901)))</f>
        <v/>
      </c>
      <c r="R902" s="18">
        <f>IF($B$898="","",IF(11&lt;=$C$4,N(R899),IF(R901="",R898,R901)))</f>
        <v/>
      </c>
      <c r="S902" s="18">
        <f>IF($B$898="","",IF(12&lt;=$C$4,N(S899),IF(S901="",S898,S901)))</f>
        <v/>
      </c>
      <c r="T902" s="18">
        <f>IF($B$898="","",SUMIF($H$7:$S$7,"&lt;="&amp;$C$4,$H902:$S902))</f>
        <v/>
      </c>
      <c r="U902" s="18">
        <f>IF($B$898="","",SUMIF($H$7:$S$7,"&gt;"&amp;$C$4,$H902:$S902))</f>
        <v/>
      </c>
      <c r="V902" s="18">
        <f>IF($B$898="","",SUM($H902:$S902))</f>
        <v/>
      </c>
      <c r="X902" s="22">
        <f>IF($B902="","",IFERROR(INDEX(Cost_Centers!$E:$E,MATCH($B902,Cost_Centers!$A:$A,0)),"(unknown)"))</f>
        <v/>
      </c>
      <c r="Y902" s="22">
        <f>IF($B902="","",IFERROR(INDEX(Cost_Centers!$D:$D,MATCH($B902,Cost_Centers!$A:$A,0)),"(unknown)"))</f>
        <v/>
      </c>
      <c r="Z902" s="22">
        <f>IF(OR($B902="",$G902&lt;&gt;"Variance vs Budget"),"",ABS(N($V902))+ROW()/1000000000)</f>
        <v/>
      </c>
    </row>
    <row r="903">
      <c r="A903" s="13">
        <f>IF(A$898="","",A$898)</f>
        <v/>
      </c>
      <c r="B903" s="13">
        <f>IF(B$898="","",B$898)</f>
        <v/>
      </c>
      <c r="C903" s="13">
        <f>IF(C$898="","",C$898)</f>
        <v/>
      </c>
      <c r="D903" s="13">
        <f>IF(D$898="","",D$898)</f>
        <v/>
      </c>
      <c r="E903" s="13">
        <f>IF(E$898="","",E$898)</f>
        <v/>
      </c>
      <c r="F903" s="13">
        <f>IF(F$898="","",F$898)</f>
        <v/>
      </c>
      <c r="G903" s="36" t="inlineStr">
        <is>
          <t>Prior Month Forecast</t>
        </is>
      </c>
      <c r="H903" s="37">
        <f>IF($B$898="","",IF(COUNTIFS(Prior_Forecast!$A:$A,$B$898,Prior_Forecast!$B:$B,$D$898)&gt;0,SUMIFS(Prior_Forecast!$C:$C,Prior_Forecast!$A:$A,$B$898,Prior_Forecast!$B:$B,$D$898),""))</f>
        <v/>
      </c>
      <c r="I903" s="37">
        <f>IF($B$898="","",IF(COUNTIFS(Prior_Forecast!$A:$A,$B$898,Prior_Forecast!$B:$B,$D$898)&gt;0,SUMIFS(Prior_Forecast!$D:$D,Prior_Forecast!$A:$A,$B$898,Prior_Forecast!$B:$B,$D$898),""))</f>
        <v/>
      </c>
      <c r="J903" s="37">
        <f>IF($B$898="","",IF(COUNTIFS(Prior_Forecast!$A:$A,$B$898,Prior_Forecast!$B:$B,$D$898)&gt;0,SUMIFS(Prior_Forecast!$E:$E,Prior_Forecast!$A:$A,$B$898,Prior_Forecast!$B:$B,$D$898),""))</f>
        <v/>
      </c>
      <c r="K903" s="37">
        <f>IF($B$898="","",IF(COUNTIFS(Prior_Forecast!$A:$A,$B$898,Prior_Forecast!$B:$B,$D$898)&gt;0,SUMIFS(Prior_Forecast!$F:$F,Prior_Forecast!$A:$A,$B$898,Prior_Forecast!$B:$B,$D$898),""))</f>
        <v/>
      </c>
      <c r="L903" s="37">
        <f>IF($B$898="","",IF(COUNTIFS(Prior_Forecast!$A:$A,$B$898,Prior_Forecast!$B:$B,$D$898)&gt;0,SUMIFS(Prior_Forecast!$G:$G,Prior_Forecast!$A:$A,$B$898,Prior_Forecast!$B:$B,$D$898),""))</f>
        <v/>
      </c>
      <c r="M903" s="37">
        <f>IF($B$898="","",IF(COUNTIFS(Prior_Forecast!$A:$A,$B$898,Prior_Forecast!$B:$B,$D$898)&gt;0,SUMIFS(Prior_Forecast!$H:$H,Prior_Forecast!$A:$A,$B$898,Prior_Forecast!$B:$B,$D$898),""))</f>
        <v/>
      </c>
      <c r="N903" s="37">
        <f>IF($B$898="","",IF(COUNTIFS(Prior_Forecast!$A:$A,$B$898,Prior_Forecast!$B:$B,$D$898)&gt;0,SUMIFS(Prior_Forecast!$I:$I,Prior_Forecast!$A:$A,$B$898,Prior_Forecast!$B:$B,$D$898),""))</f>
        <v/>
      </c>
      <c r="O903" s="37">
        <f>IF($B$898="","",IF(COUNTIFS(Prior_Forecast!$A:$A,$B$898,Prior_Forecast!$B:$B,$D$898)&gt;0,SUMIFS(Prior_Forecast!$J:$J,Prior_Forecast!$A:$A,$B$898,Prior_Forecast!$B:$B,$D$898),""))</f>
        <v/>
      </c>
      <c r="P903" s="37">
        <f>IF($B$898="","",IF(COUNTIFS(Prior_Forecast!$A:$A,$B$898,Prior_Forecast!$B:$B,$D$898)&gt;0,SUMIFS(Prior_Forecast!$K:$K,Prior_Forecast!$A:$A,$B$898,Prior_Forecast!$B:$B,$D$898),""))</f>
        <v/>
      </c>
      <c r="Q903" s="37">
        <f>IF($B$898="","",IF(COUNTIFS(Prior_Forecast!$A:$A,$B$898,Prior_Forecast!$B:$B,$D$898)&gt;0,SUMIFS(Prior_Forecast!$L:$L,Prior_Forecast!$A:$A,$B$898,Prior_Forecast!$B:$B,$D$898),""))</f>
        <v/>
      </c>
      <c r="R903" s="37">
        <f>IF($B$898="","",IF(COUNTIFS(Prior_Forecast!$A:$A,$B$898,Prior_Forecast!$B:$B,$D$898)&gt;0,SUMIFS(Prior_Forecast!$M:$M,Prior_Forecast!$A:$A,$B$898,Prior_Forecast!$B:$B,$D$898),""))</f>
        <v/>
      </c>
      <c r="S903" s="37">
        <f>IF($B$898="","",IF(COUNTIFS(Prior_Forecast!$A:$A,$B$898,Prior_Forecast!$B:$B,$D$898)&gt;0,SUMIFS(Prior_Forecast!$N:$N,Prior_Forecast!$A:$A,$B$898,Prior_Forecast!$B:$B,$D$898),""))</f>
        <v/>
      </c>
      <c r="T903" s="37">
        <f>IF($B$898="","",IF(COUNTIFS(Prior_Forecast!$A:$A,$B$898,Prior_Forecast!$B:$B,$D$898)&gt;0,SUMIFS(Prior_Forecast!$O:$O,Prior_Forecast!$A:$A,$B$898,Prior_Forecast!$B:$B,$D$898),""))</f>
        <v/>
      </c>
      <c r="U903" s="37">
        <f>IF($B$898="","",IF(COUNTIFS(Prior_Forecast!$A:$A,$B$898,Prior_Forecast!$B:$B,$D$898)&gt;0,SUMIFS(Prior_Forecast!$P:$P,Prior_Forecast!$A:$A,$B$898,Prior_Forecast!$B:$B,$D$898),""))</f>
        <v/>
      </c>
      <c r="V903" s="37">
        <f>IF($B$898="","",IF(COUNTIFS(Prior_Forecast!$A:$A,$B$898,Prior_Forecast!$B:$B,$D$898)&gt;0,SUMIFS(Prior_Forecast!$Q:$Q,Prior_Forecast!$A:$A,$B$898,Prior_Forecast!$B:$B,$D$898),""))</f>
        <v/>
      </c>
      <c r="X903" s="22">
        <f>IF($B903="","",IFERROR(INDEX(Cost_Centers!$E:$E,MATCH($B903,Cost_Centers!$A:$A,0)),"(unknown)"))</f>
        <v/>
      </c>
      <c r="Y903" s="22">
        <f>IF($B903="","",IFERROR(INDEX(Cost_Centers!$D:$D,MATCH($B903,Cost_Centers!$A:$A,0)),"(unknown)"))</f>
        <v/>
      </c>
      <c r="Z903" s="22">
        <f>IF(OR($B903="",$G903&lt;&gt;"Variance vs Budget"),"",ABS(N($V903))+ROW()/1000000000)</f>
        <v/>
      </c>
    </row>
    <row r="904">
      <c r="A904" s="13">
        <f>IF(A$898="","",A$898)</f>
        <v/>
      </c>
      <c r="B904" s="13">
        <f>IF(B$898="","",B$898)</f>
        <v/>
      </c>
      <c r="C904" s="13">
        <f>IF(C$898="","",C$898)</f>
        <v/>
      </c>
      <c r="D904" s="13">
        <f>IF(D$898="","",D$898)</f>
        <v/>
      </c>
      <c r="E904" s="13">
        <f>IF(E$898="","",E$898)</f>
        <v/>
      </c>
      <c r="F904" s="13">
        <f>IF(F$898="","",F$898)</f>
        <v/>
      </c>
      <c r="G904" s="6" t="inlineStr">
        <is>
          <t>Variance vs Prior Month</t>
        </is>
      </c>
      <c r="H904" s="33">
        <f>IF(OR($B$898="",H903=""),"",H902-H903)</f>
        <v/>
      </c>
      <c r="I904" s="33">
        <f>IF(OR($B$898="",I903=""),"",I902-I903)</f>
        <v/>
      </c>
      <c r="J904" s="33">
        <f>IF(OR($B$898="",J903=""),"",J902-J903)</f>
        <v/>
      </c>
      <c r="K904" s="33">
        <f>IF(OR($B$898="",K903=""),"",K902-K903)</f>
        <v/>
      </c>
      <c r="L904" s="33">
        <f>IF(OR($B$898="",L903=""),"",L902-L903)</f>
        <v/>
      </c>
      <c r="M904" s="33">
        <f>IF(OR($B$898="",M903=""),"",M902-M903)</f>
        <v/>
      </c>
      <c r="N904" s="33">
        <f>IF(OR($B$898="",N903=""),"",N902-N903)</f>
        <v/>
      </c>
      <c r="O904" s="33">
        <f>IF(OR($B$898="",O903=""),"",O902-O903)</f>
        <v/>
      </c>
      <c r="P904" s="33">
        <f>IF(OR($B$898="",P903=""),"",P902-P903)</f>
        <v/>
      </c>
      <c r="Q904" s="33">
        <f>IF(OR($B$898="",Q903=""),"",Q902-Q903)</f>
        <v/>
      </c>
      <c r="R904" s="33">
        <f>IF(OR($B$898="",R903=""),"",R902-R903)</f>
        <v/>
      </c>
      <c r="S904" s="33">
        <f>IF(OR($B$898="",S903=""),"",S902-S903)</f>
        <v/>
      </c>
      <c r="T904" s="33">
        <f>IF(OR($B$898="",T903=""),"",T902-T903)</f>
        <v/>
      </c>
      <c r="U904" s="33">
        <f>IF(OR($B$898="",U903=""),"",U902-U903)</f>
        <v/>
      </c>
      <c r="V904" s="33">
        <f>IF(OR($B$898="",V903=""),"",V902-V903)</f>
        <v/>
      </c>
      <c r="X904" s="22">
        <f>IF($B904="","",IFERROR(INDEX(Cost_Centers!$E:$E,MATCH($B904,Cost_Centers!$A:$A,0)),"(unknown)"))</f>
        <v/>
      </c>
      <c r="Y904" s="22">
        <f>IF($B904="","",IFERROR(INDEX(Cost_Centers!$D:$D,MATCH($B904,Cost_Centers!$A:$A,0)),"(unknown)"))</f>
        <v/>
      </c>
      <c r="Z904" s="22">
        <f>IF(OR($B904="",$G904&lt;&gt;"Variance vs Budget"),"",ABS(N($V904))+ROW()/1000000000)</f>
        <v/>
      </c>
    </row>
    <row r="905" ht="45" customHeight="1">
      <c r="A905" s="13">
        <f>IF(A$898="","",A$898)</f>
        <v/>
      </c>
      <c r="B905" s="13">
        <f>IF(B$898="","",B$898)</f>
        <v/>
      </c>
      <c r="C905" s="13">
        <f>IF(C$898="","",C$898)</f>
        <v/>
      </c>
      <c r="D905" s="13">
        <f>IF(D$898="","",D$898)</f>
        <v/>
      </c>
      <c r="E905" s="13">
        <f>IF(E$898="","",E$898)</f>
        <v/>
      </c>
      <c r="F905" s="13">
        <f>IF(F$898="","",F$898)</f>
        <v/>
      </c>
      <c r="G905" s="7" t="inlineStr">
        <is>
          <t>Rationale</t>
        </is>
      </c>
      <c r="H905" s="38" t="n"/>
      <c r="I905" s="38" t="n"/>
      <c r="J905" s="38" t="n"/>
      <c r="K905" s="38" t="n"/>
      <c r="L905" s="38" t="n"/>
      <c r="M905" s="38" t="n"/>
      <c r="N905" s="38" t="n"/>
      <c r="O905" s="38" t="n"/>
      <c r="P905" s="38" t="n"/>
      <c r="Q905" s="38" t="n"/>
      <c r="R905" s="38" t="n"/>
      <c r="S905" s="38" t="n"/>
      <c r="T905" s="38" t="n"/>
      <c r="U905" s="38" t="n"/>
      <c r="V905" s="7" t="n"/>
      <c r="X905" s="22">
        <f>IF($B905="","",IFERROR(INDEX(Cost_Centers!$E:$E,MATCH($B905,Cost_Centers!$A:$A,0)),"(unknown)"))</f>
        <v/>
      </c>
      <c r="Y905" s="22">
        <f>IF($B905="","",IFERROR(INDEX(Cost_Centers!$D:$D,MATCH($B905,Cost_Centers!$A:$A,0)),"(unknown)"))</f>
        <v/>
      </c>
      <c r="Z905" s="22">
        <f>IF(OR($B905="",$G905&lt;&gt;"Variance vs Budget"),"",ABS(N($V905))+ROW()/1000000000)</f>
        <v/>
      </c>
    </row>
    <row r="906">
      <c r="A906" s="30">
        <f>IF($D$906="","",LEFT($D$906,FIND("|",$D$906&amp;"|")-1))</f>
        <v/>
      </c>
      <c r="B906" s="31" t="n"/>
      <c r="C906" s="30">
        <f>IF($B$906="","",IFERROR(INDEX(Cost_Centers!$B:$B,MATCH($B$906,Cost_Centers!$A:$A,0)),"(not in master)"))</f>
        <v/>
      </c>
      <c r="D906" s="31" t="n"/>
      <c r="E906" s="30">
        <f>IF($D$906="","",IFERROR(INDEX(Accounts!$D:$D,MATCH($D$906,Accounts!$A:$A,0)),"(not in master)"))</f>
        <v/>
      </c>
      <c r="F906" s="31" t="n"/>
      <c r="G906" s="30" t="inlineStr">
        <is>
          <t>Budget</t>
        </is>
      </c>
      <c r="H906" s="32">
        <f>IF($B$906="","",SUMIFS(Opex_Budget!$O:$O,Opex_Budget!$A:$A,$C$3,Opex_Budget!$E:$E,$B$906,Opex_Budget!$F:$F,$D$906,Opex_Budget!$N:$N,"JPY")*$E$5+SUMIFS(Opex_Budget!$O:$O,Opex_Budget!$A:$A,$C$3,Opex_Budget!$E:$E,$B$906,Opex_Budget!$F:$F,$D$906,Opex_Budget!$N:$N,"USD")*$F$5+SUMIFS(Opex_Budget!$O:$O,Opex_Budget!$A:$A,$C$3,Opex_Budget!$E:$E,$B$906,Opex_Budget!$F:$F,$D$906,Opex_Budget!$N:$N,"EUR")*$G$5+SUMIFS(Opex_Budget!$O:$O,Opex_Budget!$A:$A,$C$3,Opex_Budget!$E:$E,$B$906,Opex_Budget!$F:$F,$D$906,Opex_Budget!$N:$N,"GBP")*$H$5)</f>
        <v/>
      </c>
      <c r="I906" s="32">
        <f>IF($B$906="","",SUMIFS(Opex_Budget!$P:$P,Opex_Budget!$A:$A,$C$3,Opex_Budget!$E:$E,$B$906,Opex_Budget!$F:$F,$D$906,Opex_Budget!$N:$N,"JPY")*$E$5+SUMIFS(Opex_Budget!$P:$P,Opex_Budget!$A:$A,$C$3,Opex_Budget!$E:$E,$B$906,Opex_Budget!$F:$F,$D$906,Opex_Budget!$N:$N,"USD")*$F$5+SUMIFS(Opex_Budget!$P:$P,Opex_Budget!$A:$A,$C$3,Opex_Budget!$E:$E,$B$906,Opex_Budget!$F:$F,$D$906,Opex_Budget!$N:$N,"EUR")*$G$5+SUMIFS(Opex_Budget!$P:$P,Opex_Budget!$A:$A,$C$3,Opex_Budget!$E:$E,$B$906,Opex_Budget!$F:$F,$D$906,Opex_Budget!$N:$N,"GBP")*$H$5)</f>
        <v/>
      </c>
      <c r="J906" s="32">
        <f>IF($B$906="","",SUMIFS(Opex_Budget!$Q:$Q,Opex_Budget!$A:$A,$C$3,Opex_Budget!$E:$E,$B$906,Opex_Budget!$F:$F,$D$906,Opex_Budget!$N:$N,"JPY")*$E$5+SUMIFS(Opex_Budget!$Q:$Q,Opex_Budget!$A:$A,$C$3,Opex_Budget!$E:$E,$B$906,Opex_Budget!$F:$F,$D$906,Opex_Budget!$N:$N,"USD")*$F$5+SUMIFS(Opex_Budget!$Q:$Q,Opex_Budget!$A:$A,$C$3,Opex_Budget!$E:$E,$B$906,Opex_Budget!$F:$F,$D$906,Opex_Budget!$N:$N,"EUR")*$G$5+SUMIFS(Opex_Budget!$Q:$Q,Opex_Budget!$A:$A,$C$3,Opex_Budget!$E:$E,$B$906,Opex_Budget!$F:$F,$D$906,Opex_Budget!$N:$N,"GBP")*$H$5)</f>
        <v/>
      </c>
      <c r="K906" s="32">
        <f>IF($B$906="","",SUMIFS(Opex_Budget!$R:$R,Opex_Budget!$A:$A,$C$3,Opex_Budget!$E:$E,$B$906,Opex_Budget!$F:$F,$D$906,Opex_Budget!$N:$N,"JPY")*$E$5+SUMIFS(Opex_Budget!$R:$R,Opex_Budget!$A:$A,$C$3,Opex_Budget!$E:$E,$B$906,Opex_Budget!$F:$F,$D$906,Opex_Budget!$N:$N,"USD")*$F$5+SUMIFS(Opex_Budget!$R:$R,Opex_Budget!$A:$A,$C$3,Opex_Budget!$E:$E,$B$906,Opex_Budget!$F:$F,$D$906,Opex_Budget!$N:$N,"EUR")*$G$5+SUMIFS(Opex_Budget!$R:$R,Opex_Budget!$A:$A,$C$3,Opex_Budget!$E:$E,$B$906,Opex_Budget!$F:$F,$D$906,Opex_Budget!$N:$N,"GBP")*$H$5)</f>
        <v/>
      </c>
      <c r="L906" s="32">
        <f>IF($B$906="","",SUMIFS(Opex_Budget!$S:$S,Opex_Budget!$A:$A,$C$3,Opex_Budget!$E:$E,$B$906,Opex_Budget!$F:$F,$D$906,Opex_Budget!$N:$N,"JPY")*$E$5+SUMIFS(Opex_Budget!$S:$S,Opex_Budget!$A:$A,$C$3,Opex_Budget!$E:$E,$B$906,Opex_Budget!$F:$F,$D$906,Opex_Budget!$N:$N,"USD")*$F$5+SUMIFS(Opex_Budget!$S:$S,Opex_Budget!$A:$A,$C$3,Opex_Budget!$E:$E,$B$906,Opex_Budget!$F:$F,$D$906,Opex_Budget!$N:$N,"EUR")*$G$5+SUMIFS(Opex_Budget!$S:$S,Opex_Budget!$A:$A,$C$3,Opex_Budget!$E:$E,$B$906,Opex_Budget!$F:$F,$D$906,Opex_Budget!$N:$N,"GBP")*$H$5)</f>
        <v/>
      </c>
      <c r="M906" s="32">
        <f>IF($B$906="","",SUMIFS(Opex_Budget!$T:$T,Opex_Budget!$A:$A,$C$3,Opex_Budget!$E:$E,$B$906,Opex_Budget!$F:$F,$D$906,Opex_Budget!$N:$N,"JPY")*$E$5+SUMIFS(Opex_Budget!$T:$T,Opex_Budget!$A:$A,$C$3,Opex_Budget!$E:$E,$B$906,Opex_Budget!$F:$F,$D$906,Opex_Budget!$N:$N,"USD")*$F$5+SUMIFS(Opex_Budget!$T:$T,Opex_Budget!$A:$A,$C$3,Opex_Budget!$E:$E,$B$906,Opex_Budget!$F:$F,$D$906,Opex_Budget!$N:$N,"EUR")*$G$5+SUMIFS(Opex_Budget!$T:$T,Opex_Budget!$A:$A,$C$3,Opex_Budget!$E:$E,$B$906,Opex_Budget!$F:$F,$D$906,Opex_Budget!$N:$N,"GBP")*$H$5)</f>
        <v/>
      </c>
      <c r="N906" s="32">
        <f>IF($B$906="","",SUMIFS(Opex_Budget!$U:$U,Opex_Budget!$A:$A,$C$3,Opex_Budget!$E:$E,$B$906,Opex_Budget!$F:$F,$D$906,Opex_Budget!$N:$N,"JPY")*$E$5+SUMIFS(Opex_Budget!$U:$U,Opex_Budget!$A:$A,$C$3,Opex_Budget!$E:$E,$B$906,Opex_Budget!$F:$F,$D$906,Opex_Budget!$N:$N,"USD")*$F$5+SUMIFS(Opex_Budget!$U:$U,Opex_Budget!$A:$A,$C$3,Opex_Budget!$E:$E,$B$906,Opex_Budget!$F:$F,$D$906,Opex_Budget!$N:$N,"EUR")*$G$5+SUMIFS(Opex_Budget!$U:$U,Opex_Budget!$A:$A,$C$3,Opex_Budget!$E:$E,$B$906,Opex_Budget!$F:$F,$D$906,Opex_Budget!$N:$N,"GBP")*$H$5)</f>
        <v/>
      </c>
      <c r="O906" s="32">
        <f>IF($B$906="","",SUMIFS(Opex_Budget!$V:$V,Opex_Budget!$A:$A,$C$3,Opex_Budget!$E:$E,$B$906,Opex_Budget!$F:$F,$D$906,Opex_Budget!$N:$N,"JPY")*$E$5+SUMIFS(Opex_Budget!$V:$V,Opex_Budget!$A:$A,$C$3,Opex_Budget!$E:$E,$B$906,Opex_Budget!$F:$F,$D$906,Opex_Budget!$N:$N,"USD")*$F$5+SUMIFS(Opex_Budget!$V:$V,Opex_Budget!$A:$A,$C$3,Opex_Budget!$E:$E,$B$906,Opex_Budget!$F:$F,$D$906,Opex_Budget!$N:$N,"EUR")*$G$5+SUMIFS(Opex_Budget!$V:$V,Opex_Budget!$A:$A,$C$3,Opex_Budget!$E:$E,$B$906,Opex_Budget!$F:$F,$D$906,Opex_Budget!$N:$N,"GBP")*$H$5)</f>
        <v/>
      </c>
      <c r="P906" s="32">
        <f>IF($B$906="","",SUMIFS(Opex_Budget!$W:$W,Opex_Budget!$A:$A,$C$3,Opex_Budget!$E:$E,$B$906,Opex_Budget!$F:$F,$D$906,Opex_Budget!$N:$N,"JPY")*$E$5+SUMIFS(Opex_Budget!$W:$W,Opex_Budget!$A:$A,$C$3,Opex_Budget!$E:$E,$B$906,Opex_Budget!$F:$F,$D$906,Opex_Budget!$N:$N,"USD")*$F$5+SUMIFS(Opex_Budget!$W:$W,Opex_Budget!$A:$A,$C$3,Opex_Budget!$E:$E,$B$906,Opex_Budget!$F:$F,$D$906,Opex_Budget!$N:$N,"EUR")*$G$5+SUMIFS(Opex_Budget!$W:$W,Opex_Budget!$A:$A,$C$3,Opex_Budget!$E:$E,$B$906,Opex_Budget!$F:$F,$D$906,Opex_Budget!$N:$N,"GBP")*$H$5)</f>
        <v/>
      </c>
      <c r="Q906" s="32">
        <f>IF($B$906="","",SUMIFS(Opex_Budget!$X:$X,Opex_Budget!$A:$A,$C$3,Opex_Budget!$E:$E,$B$906,Opex_Budget!$F:$F,$D$906,Opex_Budget!$N:$N,"JPY")*$E$5+SUMIFS(Opex_Budget!$X:$X,Opex_Budget!$A:$A,$C$3,Opex_Budget!$E:$E,$B$906,Opex_Budget!$F:$F,$D$906,Opex_Budget!$N:$N,"USD")*$F$5+SUMIFS(Opex_Budget!$X:$X,Opex_Budget!$A:$A,$C$3,Opex_Budget!$E:$E,$B$906,Opex_Budget!$F:$F,$D$906,Opex_Budget!$N:$N,"EUR")*$G$5+SUMIFS(Opex_Budget!$X:$X,Opex_Budget!$A:$A,$C$3,Opex_Budget!$E:$E,$B$906,Opex_Budget!$F:$F,$D$906,Opex_Budget!$N:$N,"GBP")*$H$5)</f>
        <v/>
      </c>
      <c r="R906" s="32">
        <f>IF($B$906="","",SUMIFS(Opex_Budget!$Y:$Y,Opex_Budget!$A:$A,$C$3,Opex_Budget!$E:$E,$B$906,Opex_Budget!$F:$F,$D$906,Opex_Budget!$N:$N,"JPY")*$E$5+SUMIFS(Opex_Budget!$Y:$Y,Opex_Budget!$A:$A,$C$3,Opex_Budget!$E:$E,$B$906,Opex_Budget!$F:$F,$D$906,Opex_Budget!$N:$N,"USD")*$F$5+SUMIFS(Opex_Budget!$Y:$Y,Opex_Budget!$A:$A,$C$3,Opex_Budget!$E:$E,$B$906,Opex_Budget!$F:$F,$D$906,Opex_Budget!$N:$N,"EUR")*$G$5+SUMIFS(Opex_Budget!$Y:$Y,Opex_Budget!$A:$A,$C$3,Opex_Budget!$E:$E,$B$906,Opex_Budget!$F:$F,$D$906,Opex_Budget!$N:$N,"GBP")*$H$5)</f>
        <v/>
      </c>
      <c r="S906" s="32">
        <f>IF($B$906="","",SUMIFS(Opex_Budget!$Z:$Z,Opex_Budget!$A:$A,$C$3,Opex_Budget!$E:$E,$B$906,Opex_Budget!$F:$F,$D$906,Opex_Budget!$N:$N,"JPY")*$E$5+SUMIFS(Opex_Budget!$Z:$Z,Opex_Budget!$A:$A,$C$3,Opex_Budget!$E:$E,$B$906,Opex_Budget!$F:$F,$D$906,Opex_Budget!$N:$N,"USD")*$F$5+SUMIFS(Opex_Budget!$Z:$Z,Opex_Budget!$A:$A,$C$3,Opex_Budget!$E:$E,$B$906,Opex_Budget!$F:$F,$D$906,Opex_Budget!$N:$N,"EUR")*$G$5+SUMIFS(Opex_Budget!$Z:$Z,Opex_Budget!$A:$A,$C$3,Opex_Budget!$E:$E,$B$906,Opex_Budget!$F:$F,$D$906,Opex_Budget!$N:$N,"GBP")*$H$5)</f>
        <v/>
      </c>
      <c r="T906" s="32">
        <f>IF($B$906="","",SUMIF($H$7:$S$7,"&lt;="&amp;$C$4,$H906:$S906))</f>
        <v/>
      </c>
      <c r="U906" s="32">
        <f>IF($B$906="","",SUMIF($H$7:$S$7,"&gt;"&amp;$C$4,$H906:$S906))</f>
        <v/>
      </c>
      <c r="V906" s="32">
        <f>IF($B$906="","",SUM($H906:$S906))</f>
        <v/>
      </c>
      <c r="X906" s="22">
        <f>IF($B906="","",IFERROR(INDEX(Cost_Centers!$E:$E,MATCH($B906,Cost_Centers!$A:$A,0)),"(unknown)"))</f>
        <v/>
      </c>
      <c r="Y906" s="22">
        <f>IF($B906="","",IFERROR(INDEX(Cost_Centers!$D:$D,MATCH($B906,Cost_Centers!$A:$A,0)),"(unknown)"))</f>
        <v/>
      </c>
      <c r="Z906" s="22">
        <f>IF(OR($B906="",$G906&lt;&gt;"Variance vs Budget"),"",ABS(N($V906))+ROW()/1000000000)</f>
        <v/>
      </c>
    </row>
    <row r="907">
      <c r="A907" s="13">
        <f>IF(A$906="","",A$906)</f>
        <v/>
      </c>
      <c r="B907" s="13">
        <f>IF(B$906="","",B$906)</f>
        <v/>
      </c>
      <c r="C907" s="13">
        <f>IF(C$906="","",C$906)</f>
        <v/>
      </c>
      <c r="D907" s="13">
        <f>IF(D$906="","",D$906)</f>
        <v/>
      </c>
      <c r="E907" s="13">
        <f>IF(E$906="","",E$906)</f>
        <v/>
      </c>
      <c r="F907" s="13">
        <f>IF(F$906="","",F$906)</f>
        <v/>
      </c>
      <c r="G907" s="7" t="inlineStr">
        <is>
          <t>Actual</t>
        </is>
      </c>
      <c r="H907" s="18">
        <f>IF(OR($B$906="",1&gt;$C$4),"",SUMIFS(Actuals!$G:$G,Actuals!$B:$B,$C$3,Actuals!$C:$C,1,Actuals!$D:$D,$B$906,Actuals!$A:$A,LEFT($D$906,FIND("|",$D$906&amp;"|")-1),Actuals!$E:$E,MID($D$906,FIND("|",$D$906&amp;"|")+1,50),Actuals!$F:$F,"JPY")*$E$5+SUMIFS(Actuals!$G:$G,Actuals!$B:$B,$C$3,Actuals!$C:$C,1,Actuals!$D:$D,$B$906,Actuals!$A:$A,LEFT($D$906,FIND("|",$D$906&amp;"|")-1),Actuals!$E:$E,MID($D$906,FIND("|",$D$906&amp;"|")+1,50),Actuals!$F:$F,"USD")*$F$5+SUMIFS(Actuals!$G:$G,Actuals!$B:$B,$C$3,Actuals!$C:$C,1,Actuals!$D:$D,$B$906,Actuals!$A:$A,LEFT($D$906,FIND("|",$D$906&amp;"|")-1),Actuals!$E:$E,MID($D$906,FIND("|",$D$906&amp;"|")+1,50),Actuals!$F:$F,"EUR")*$G$5+SUMIFS(Actuals!$G:$G,Actuals!$B:$B,$C$3,Actuals!$C:$C,1,Actuals!$D:$D,$B$906,Actuals!$A:$A,LEFT($D$906,FIND("|",$D$906&amp;"|")-1),Actuals!$E:$E,MID($D$906,FIND("|",$D$906&amp;"|")+1,50),Actuals!$F:$F,"GBP")*$H$5)</f>
        <v/>
      </c>
      <c r="I907" s="18">
        <f>IF(OR($B$906="",2&gt;$C$4),"",SUMIFS(Actuals!$G:$G,Actuals!$B:$B,$C$3,Actuals!$C:$C,2,Actuals!$D:$D,$B$906,Actuals!$A:$A,LEFT($D$906,FIND("|",$D$906&amp;"|")-1),Actuals!$E:$E,MID($D$906,FIND("|",$D$906&amp;"|")+1,50),Actuals!$F:$F,"JPY")*$E$5+SUMIFS(Actuals!$G:$G,Actuals!$B:$B,$C$3,Actuals!$C:$C,2,Actuals!$D:$D,$B$906,Actuals!$A:$A,LEFT($D$906,FIND("|",$D$906&amp;"|")-1),Actuals!$E:$E,MID($D$906,FIND("|",$D$906&amp;"|")+1,50),Actuals!$F:$F,"USD")*$F$5+SUMIFS(Actuals!$G:$G,Actuals!$B:$B,$C$3,Actuals!$C:$C,2,Actuals!$D:$D,$B$906,Actuals!$A:$A,LEFT($D$906,FIND("|",$D$906&amp;"|")-1),Actuals!$E:$E,MID($D$906,FIND("|",$D$906&amp;"|")+1,50),Actuals!$F:$F,"EUR")*$G$5+SUMIFS(Actuals!$G:$G,Actuals!$B:$B,$C$3,Actuals!$C:$C,2,Actuals!$D:$D,$B$906,Actuals!$A:$A,LEFT($D$906,FIND("|",$D$906&amp;"|")-1),Actuals!$E:$E,MID($D$906,FIND("|",$D$906&amp;"|")+1,50),Actuals!$F:$F,"GBP")*$H$5)</f>
        <v/>
      </c>
      <c r="J907" s="18">
        <f>IF(OR($B$906="",3&gt;$C$4),"",SUMIFS(Actuals!$G:$G,Actuals!$B:$B,$C$3,Actuals!$C:$C,3,Actuals!$D:$D,$B$906,Actuals!$A:$A,LEFT($D$906,FIND("|",$D$906&amp;"|")-1),Actuals!$E:$E,MID($D$906,FIND("|",$D$906&amp;"|")+1,50),Actuals!$F:$F,"JPY")*$E$5+SUMIFS(Actuals!$G:$G,Actuals!$B:$B,$C$3,Actuals!$C:$C,3,Actuals!$D:$D,$B$906,Actuals!$A:$A,LEFT($D$906,FIND("|",$D$906&amp;"|")-1),Actuals!$E:$E,MID($D$906,FIND("|",$D$906&amp;"|")+1,50),Actuals!$F:$F,"USD")*$F$5+SUMIFS(Actuals!$G:$G,Actuals!$B:$B,$C$3,Actuals!$C:$C,3,Actuals!$D:$D,$B$906,Actuals!$A:$A,LEFT($D$906,FIND("|",$D$906&amp;"|")-1),Actuals!$E:$E,MID($D$906,FIND("|",$D$906&amp;"|")+1,50),Actuals!$F:$F,"EUR")*$G$5+SUMIFS(Actuals!$G:$G,Actuals!$B:$B,$C$3,Actuals!$C:$C,3,Actuals!$D:$D,$B$906,Actuals!$A:$A,LEFT($D$906,FIND("|",$D$906&amp;"|")-1),Actuals!$E:$E,MID($D$906,FIND("|",$D$906&amp;"|")+1,50),Actuals!$F:$F,"GBP")*$H$5)</f>
        <v/>
      </c>
      <c r="K907" s="18">
        <f>IF(OR($B$906="",4&gt;$C$4),"",SUMIFS(Actuals!$G:$G,Actuals!$B:$B,$C$3,Actuals!$C:$C,4,Actuals!$D:$D,$B$906,Actuals!$A:$A,LEFT($D$906,FIND("|",$D$906&amp;"|")-1),Actuals!$E:$E,MID($D$906,FIND("|",$D$906&amp;"|")+1,50),Actuals!$F:$F,"JPY")*$E$5+SUMIFS(Actuals!$G:$G,Actuals!$B:$B,$C$3,Actuals!$C:$C,4,Actuals!$D:$D,$B$906,Actuals!$A:$A,LEFT($D$906,FIND("|",$D$906&amp;"|")-1),Actuals!$E:$E,MID($D$906,FIND("|",$D$906&amp;"|")+1,50),Actuals!$F:$F,"USD")*$F$5+SUMIFS(Actuals!$G:$G,Actuals!$B:$B,$C$3,Actuals!$C:$C,4,Actuals!$D:$D,$B$906,Actuals!$A:$A,LEFT($D$906,FIND("|",$D$906&amp;"|")-1),Actuals!$E:$E,MID($D$906,FIND("|",$D$906&amp;"|")+1,50),Actuals!$F:$F,"EUR")*$G$5+SUMIFS(Actuals!$G:$G,Actuals!$B:$B,$C$3,Actuals!$C:$C,4,Actuals!$D:$D,$B$906,Actuals!$A:$A,LEFT($D$906,FIND("|",$D$906&amp;"|")-1),Actuals!$E:$E,MID($D$906,FIND("|",$D$906&amp;"|")+1,50),Actuals!$F:$F,"GBP")*$H$5)</f>
        <v/>
      </c>
      <c r="L907" s="18">
        <f>IF(OR($B$906="",5&gt;$C$4),"",SUMIFS(Actuals!$G:$G,Actuals!$B:$B,$C$3,Actuals!$C:$C,5,Actuals!$D:$D,$B$906,Actuals!$A:$A,LEFT($D$906,FIND("|",$D$906&amp;"|")-1),Actuals!$E:$E,MID($D$906,FIND("|",$D$906&amp;"|")+1,50),Actuals!$F:$F,"JPY")*$E$5+SUMIFS(Actuals!$G:$G,Actuals!$B:$B,$C$3,Actuals!$C:$C,5,Actuals!$D:$D,$B$906,Actuals!$A:$A,LEFT($D$906,FIND("|",$D$906&amp;"|")-1),Actuals!$E:$E,MID($D$906,FIND("|",$D$906&amp;"|")+1,50),Actuals!$F:$F,"USD")*$F$5+SUMIFS(Actuals!$G:$G,Actuals!$B:$B,$C$3,Actuals!$C:$C,5,Actuals!$D:$D,$B$906,Actuals!$A:$A,LEFT($D$906,FIND("|",$D$906&amp;"|")-1),Actuals!$E:$E,MID($D$906,FIND("|",$D$906&amp;"|")+1,50),Actuals!$F:$F,"EUR")*$G$5+SUMIFS(Actuals!$G:$G,Actuals!$B:$B,$C$3,Actuals!$C:$C,5,Actuals!$D:$D,$B$906,Actuals!$A:$A,LEFT($D$906,FIND("|",$D$906&amp;"|")-1),Actuals!$E:$E,MID($D$906,FIND("|",$D$906&amp;"|")+1,50),Actuals!$F:$F,"GBP")*$H$5)</f>
        <v/>
      </c>
      <c r="M907" s="18">
        <f>IF(OR($B$906="",6&gt;$C$4),"",SUMIFS(Actuals!$G:$G,Actuals!$B:$B,$C$3,Actuals!$C:$C,6,Actuals!$D:$D,$B$906,Actuals!$A:$A,LEFT($D$906,FIND("|",$D$906&amp;"|")-1),Actuals!$E:$E,MID($D$906,FIND("|",$D$906&amp;"|")+1,50),Actuals!$F:$F,"JPY")*$E$5+SUMIFS(Actuals!$G:$G,Actuals!$B:$B,$C$3,Actuals!$C:$C,6,Actuals!$D:$D,$B$906,Actuals!$A:$A,LEFT($D$906,FIND("|",$D$906&amp;"|")-1),Actuals!$E:$E,MID($D$906,FIND("|",$D$906&amp;"|")+1,50),Actuals!$F:$F,"USD")*$F$5+SUMIFS(Actuals!$G:$G,Actuals!$B:$B,$C$3,Actuals!$C:$C,6,Actuals!$D:$D,$B$906,Actuals!$A:$A,LEFT($D$906,FIND("|",$D$906&amp;"|")-1),Actuals!$E:$E,MID($D$906,FIND("|",$D$906&amp;"|")+1,50),Actuals!$F:$F,"EUR")*$G$5+SUMIFS(Actuals!$G:$G,Actuals!$B:$B,$C$3,Actuals!$C:$C,6,Actuals!$D:$D,$B$906,Actuals!$A:$A,LEFT($D$906,FIND("|",$D$906&amp;"|")-1),Actuals!$E:$E,MID($D$906,FIND("|",$D$906&amp;"|")+1,50),Actuals!$F:$F,"GBP")*$H$5)</f>
        <v/>
      </c>
      <c r="N907" s="18">
        <f>IF(OR($B$906="",7&gt;$C$4),"",SUMIFS(Actuals!$G:$G,Actuals!$B:$B,$C$3,Actuals!$C:$C,7,Actuals!$D:$D,$B$906,Actuals!$A:$A,LEFT($D$906,FIND("|",$D$906&amp;"|")-1),Actuals!$E:$E,MID($D$906,FIND("|",$D$906&amp;"|")+1,50),Actuals!$F:$F,"JPY")*$E$5+SUMIFS(Actuals!$G:$G,Actuals!$B:$B,$C$3,Actuals!$C:$C,7,Actuals!$D:$D,$B$906,Actuals!$A:$A,LEFT($D$906,FIND("|",$D$906&amp;"|")-1),Actuals!$E:$E,MID($D$906,FIND("|",$D$906&amp;"|")+1,50),Actuals!$F:$F,"USD")*$F$5+SUMIFS(Actuals!$G:$G,Actuals!$B:$B,$C$3,Actuals!$C:$C,7,Actuals!$D:$D,$B$906,Actuals!$A:$A,LEFT($D$906,FIND("|",$D$906&amp;"|")-1),Actuals!$E:$E,MID($D$906,FIND("|",$D$906&amp;"|")+1,50),Actuals!$F:$F,"EUR")*$G$5+SUMIFS(Actuals!$G:$G,Actuals!$B:$B,$C$3,Actuals!$C:$C,7,Actuals!$D:$D,$B$906,Actuals!$A:$A,LEFT($D$906,FIND("|",$D$906&amp;"|")-1),Actuals!$E:$E,MID($D$906,FIND("|",$D$906&amp;"|")+1,50),Actuals!$F:$F,"GBP")*$H$5)</f>
        <v/>
      </c>
      <c r="O907" s="18">
        <f>IF(OR($B$906="",8&gt;$C$4),"",SUMIFS(Actuals!$G:$G,Actuals!$B:$B,$C$3,Actuals!$C:$C,8,Actuals!$D:$D,$B$906,Actuals!$A:$A,LEFT($D$906,FIND("|",$D$906&amp;"|")-1),Actuals!$E:$E,MID($D$906,FIND("|",$D$906&amp;"|")+1,50),Actuals!$F:$F,"JPY")*$E$5+SUMIFS(Actuals!$G:$G,Actuals!$B:$B,$C$3,Actuals!$C:$C,8,Actuals!$D:$D,$B$906,Actuals!$A:$A,LEFT($D$906,FIND("|",$D$906&amp;"|")-1),Actuals!$E:$E,MID($D$906,FIND("|",$D$906&amp;"|")+1,50),Actuals!$F:$F,"USD")*$F$5+SUMIFS(Actuals!$G:$G,Actuals!$B:$B,$C$3,Actuals!$C:$C,8,Actuals!$D:$D,$B$906,Actuals!$A:$A,LEFT($D$906,FIND("|",$D$906&amp;"|")-1),Actuals!$E:$E,MID($D$906,FIND("|",$D$906&amp;"|")+1,50),Actuals!$F:$F,"EUR")*$G$5+SUMIFS(Actuals!$G:$G,Actuals!$B:$B,$C$3,Actuals!$C:$C,8,Actuals!$D:$D,$B$906,Actuals!$A:$A,LEFT($D$906,FIND("|",$D$906&amp;"|")-1),Actuals!$E:$E,MID($D$906,FIND("|",$D$906&amp;"|")+1,50),Actuals!$F:$F,"GBP")*$H$5)</f>
        <v/>
      </c>
      <c r="P907" s="18">
        <f>IF(OR($B$906="",9&gt;$C$4),"",SUMIFS(Actuals!$G:$G,Actuals!$B:$B,$C$3,Actuals!$C:$C,9,Actuals!$D:$D,$B$906,Actuals!$A:$A,LEFT($D$906,FIND("|",$D$906&amp;"|")-1),Actuals!$E:$E,MID($D$906,FIND("|",$D$906&amp;"|")+1,50),Actuals!$F:$F,"JPY")*$E$5+SUMIFS(Actuals!$G:$G,Actuals!$B:$B,$C$3,Actuals!$C:$C,9,Actuals!$D:$D,$B$906,Actuals!$A:$A,LEFT($D$906,FIND("|",$D$906&amp;"|")-1),Actuals!$E:$E,MID($D$906,FIND("|",$D$906&amp;"|")+1,50),Actuals!$F:$F,"USD")*$F$5+SUMIFS(Actuals!$G:$G,Actuals!$B:$B,$C$3,Actuals!$C:$C,9,Actuals!$D:$D,$B$906,Actuals!$A:$A,LEFT($D$906,FIND("|",$D$906&amp;"|")-1),Actuals!$E:$E,MID($D$906,FIND("|",$D$906&amp;"|")+1,50),Actuals!$F:$F,"EUR")*$G$5+SUMIFS(Actuals!$G:$G,Actuals!$B:$B,$C$3,Actuals!$C:$C,9,Actuals!$D:$D,$B$906,Actuals!$A:$A,LEFT($D$906,FIND("|",$D$906&amp;"|")-1),Actuals!$E:$E,MID($D$906,FIND("|",$D$906&amp;"|")+1,50),Actuals!$F:$F,"GBP")*$H$5)</f>
        <v/>
      </c>
      <c r="Q907" s="18">
        <f>IF(OR($B$906="",10&gt;$C$4),"",SUMIFS(Actuals!$G:$G,Actuals!$B:$B,$C$3,Actuals!$C:$C,10,Actuals!$D:$D,$B$906,Actuals!$A:$A,LEFT($D$906,FIND("|",$D$906&amp;"|")-1),Actuals!$E:$E,MID($D$906,FIND("|",$D$906&amp;"|")+1,50),Actuals!$F:$F,"JPY")*$E$5+SUMIFS(Actuals!$G:$G,Actuals!$B:$B,$C$3,Actuals!$C:$C,10,Actuals!$D:$D,$B$906,Actuals!$A:$A,LEFT($D$906,FIND("|",$D$906&amp;"|")-1),Actuals!$E:$E,MID($D$906,FIND("|",$D$906&amp;"|")+1,50),Actuals!$F:$F,"USD")*$F$5+SUMIFS(Actuals!$G:$G,Actuals!$B:$B,$C$3,Actuals!$C:$C,10,Actuals!$D:$D,$B$906,Actuals!$A:$A,LEFT($D$906,FIND("|",$D$906&amp;"|")-1),Actuals!$E:$E,MID($D$906,FIND("|",$D$906&amp;"|")+1,50),Actuals!$F:$F,"EUR")*$G$5+SUMIFS(Actuals!$G:$G,Actuals!$B:$B,$C$3,Actuals!$C:$C,10,Actuals!$D:$D,$B$906,Actuals!$A:$A,LEFT($D$906,FIND("|",$D$906&amp;"|")-1),Actuals!$E:$E,MID($D$906,FIND("|",$D$906&amp;"|")+1,50),Actuals!$F:$F,"GBP")*$H$5)</f>
        <v/>
      </c>
      <c r="R907" s="18">
        <f>IF(OR($B$906="",11&gt;$C$4),"",SUMIFS(Actuals!$G:$G,Actuals!$B:$B,$C$3,Actuals!$C:$C,11,Actuals!$D:$D,$B$906,Actuals!$A:$A,LEFT($D$906,FIND("|",$D$906&amp;"|")-1),Actuals!$E:$E,MID($D$906,FIND("|",$D$906&amp;"|")+1,50),Actuals!$F:$F,"JPY")*$E$5+SUMIFS(Actuals!$G:$G,Actuals!$B:$B,$C$3,Actuals!$C:$C,11,Actuals!$D:$D,$B$906,Actuals!$A:$A,LEFT($D$906,FIND("|",$D$906&amp;"|")-1),Actuals!$E:$E,MID($D$906,FIND("|",$D$906&amp;"|")+1,50),Actuals!$F:$F,"USD")*$F$5+SUMIFS(Actuals!$G:$G,Actuals!$B:$B,$C$3,Actuals!$C:$C,11,Actuals!$D:$D,$B$906,Actuals!$A:$A,LEFT($D$906,FIND("|",$D$906&amp;"|")-1),Actuals!$E:$E,MID($D$906,FIND("|",$D$906&amp;"|")+1,50),Actuals!$F:$F,"EUR")*$G$5+SUMIFS(Actuals!$G:$G,Actuals!$B:$B,$C$3,Actuals!$C:$C,11,Actuals!$D:$D,$B$906,Actuals!$A:$A,LEFT($D$906,FIND("|",$D$906&amp;"|")-1),Actuals!$E:$E,MID($D$906,FIND("|",$D$906&amp;"|")+1,50),Actuals!$F:$F,"GBP")*$H$5)</f>
        <v/>
      </c>
      <c r="S907" s="18">
        <f>IF(OR($B$906="",12&gt;$C$4),"",SUMIFS(Actuals!$G:$G,Actuals!$B:$B,$C$3,Actuals!$C:$C,12,Actuals!$D:$D,$B$906,Actuals!$A:$A,LEFT($D$906,FIND("|",$D$906&amp;"|")-1),Actuals!$E:$E,MID($D$906,FIND("|",$D$906&amp;"|")+1,50),Actuals!$F:$F,"JPY")*$E$5+SUMIFS(Actuals!$G:$G,Actuals!$B:$B,$C$3,Actuals!$C:$C,12,Actuals!$D:$D,$B$906,Actuals!$A:$A,LEFT($D$906,FIND("|",$D$906&amp;"|")-1),Actuals!$E:$E,MID($D$906,FIND("|",$D$906&amp;"|")+1,50),Actuals!$F:$F,"USD")*$F$5+SUMIFS(Actuals!$G:$G,Actuals!$B:$B,$C$3,Actuals!$C:$C,12,Actuals!$D:$D,$B$906,Actuals!$A:$A,LEFT($D$906,FIND("|",$D$906&amp;"|")-1),Actuals!$E:$E,MID($D$906,FIND("|",$D$906&amp;"|")+1,50),Actuals!$F:$F,"EUR")*$G$5+SUMIFS(Actuals!$G:$G,Actuals!$B:$B,$C$3,Actuals!$C:$C,12,Actuals!$D:$D,$B$906,Actuals!$A:$A,LEFT($D$906,FIND("|",$D$906&amp;"|")-1),Actuals!$E:$E,MID($D$906,FIND("|",$D$906&amp;"|")+1,50),Actuals!$F:$F,"GBP")*$H$5)</f>
        <v/>
      </c>
      <c r="T907" s="18">
        <f>IF($B$906="","",SUMIF($H$7:$S$7,"&lt;="&amp;$C$4,$H907:$S907))</f>
        <v/>
      </c>
      <c r="U907" s="18" t="n"/>
      <c r="V907" s="18" t="n"/>
      <c r="X907" s="22">
        <f>IF($B907="","",IFERROR(INDEX(Cost_Centers!$E:$E,MATCH($B907,Cost_Centers!$A:$A,0)),"(unknown)"))</f>
        <v/>
      </c>
      <c r="Y907" s="22">
        <f>IF($B907="","",IFERROR(INDEX(Cost_Centers!$D:$D,MATCH($B907,Cost_Centers!$A:$A,0)),"(unknown)"))</f>
        <v/>
      </c>
      <c r="Z907" s="22">
        <f>IF(OR($B907="",$G907&lt;&gt;"Variance vs Budget"),"",ABS(N($V907))+ROW()/1000000000)</f>
        <v/>
      </c>
    </row>
    <row r="908">
      <c r="A908" s="13">
        <f>IF(A$906="","",A$906)</f>
        <v/>
      </c>
      <c r="B908" s="13">
        <f>IF(B$906="","",B$906)</f>
        <v/>
      </c>
      <c r="C908" s="13">
        <f>IF(C$906="","",C$906)</f>
        <v/>
      </c>
      <c r="D908" s="13">
        <f>IF(D$906="","",D$906)</f>
        <v/>
      </c>
      <c r="E908" s="13">
        <f>IF(E$906="","",E$906)</f>
        <v/>
      </c>
      <c r="F908" s="13">
        <f>IF(F$906="","",F$906)</f>
        <v/>
      </c>
      <c r="G908" s="6" t="inlineStr">
        <is>
          <t>Variance vs Budget</t>
        </is>
      </c>
      <c r="H908" s="33">
        <f>IF(OR($B$906="",1&gt;$C$4),"",N(H907)-H906)</f>
        <v/>
      </c>
      <c r="I908" s="33">
        <f>IF(OR($B$906="",2&gt;$C$4),"",N(I907)-I906)</f>
        <v/>
      </c>
      <c r="J908" s="33">
        <f>IF(OR($B$906="",3&gt;$C$4),"",N(J907)-J906)</f>
        <v/>
      </c>
      <c r="K908" s="33">
        <f>IF(OR($B$906="",4&gt;$C$4),"",N(K907)-K906)</f>
        <v/>
      </c>
      <c r="L908" s="33">
        <f>IF(OR($B$906="",5&gt;$C$4),"",N(L907)-L906)</f>
        <v/>
      </c>
      <c r="M908" s="33">
        <f>IF(OR($B$906="",6&gt;$C$4),"",N(M907)-M906)</f>
        <v/>
      </c>
      <c r="N908" s="33">
        <f>IF(OR($B$906="",7&gt;$C$4),"",N(N907)-N906)</f>
        <v/>
      </c>
      <c r="O908" s="33">
        <f>IF(OR($B$906="",8&gt;$C$4),"",N(O907)-O906)</f>
        <v/>
      </c>
      <c r="P908" s="33">
        <f>IF(OR($B$906="",9&gt;$C$4),"",N(P907)-P906)</f>
        <v/>
      </c>
      <c r="Q908" s="33">
        <f>IF(OR($B$906="",10&gt;$C$4),"",N(Q907)-Q906)</f>
        <v/>
      </c>
      <c r="R908" s="33">
        <f>IF(OR($B$906="",11&gt;$C$4),"",N(R907)-R906)</f>
        <v/>
      </c>
      <c r="S908" s="33">
        <f>IF(OR($B$906="",12&gt;$C$4),"",N(S907)-S906)</f>
        <v/>
      </c>
      <c r="T908" s="33">
        <f>IF($B$906="","",T907-T906)</f>
        <v/>
      </c>
      <c r="U908" s="33">
        <f>IF($B$906="","",U910-U906)</f>
        <v/>
      </c>
      <c r="V908" s="33">
        <f>IF($B$906="","",V910-V906)</f>
        <v/>
      </c>
      <c r="X908" s="22">
        <f>IF($B908="","",IFERROR(INDEX(Cost_Centers!$E:$E,MATCH($B908,Cost_Centers!$A:$A,0)),"(unknown)"))</f>
        <v/>
      </c>
      <c r="Y908" s="22">
        <f>IF($B908="","",IFERROR(INDEX(Cost_Centers!$D:$D,MATCH($B908,Cost_Centers!$A:$A,0)),"(unknown)"))</f>
        <v/>
      </c>
      <c r="Z908" s="22">
        <f>IF(OR($B908="",$G908&lt;&gt;"Variance vs Budget"),"",ABS(N($V908))+ROW()/1000000000)</f>
        <v/>
      </c>
    </row>
    <row r="909">
      <c r="A909" s="13">
        <f>IF(A$906="","",A$906)</f>
        <v/>
      </c>
      <c r="B909" s="13">
        <f>IF(B$906="","",B$906)</f>
        <v/>
      </c>
      <c r="C909" s="13">
        <f>IF(C$906="","",C$906)</f>
        <v/>
      </c>
      <c r="D909" s="13">
        <f>IF(D$906="","",D$906)</f>
        <v/>
      </c>
      <c r="E909" s="13">
        <f>IF(E$906="","",E$906)</f>
        <v/>
      </c>
      <c r="F909" s="13">
        <f>IF(F$906="","",F$906)</f>
        <v/>
      </c>
      <c r="G909" s="7" t="inlineStr">
        <is>
          <t>Forecast (input)</t>
        </is>
      </c>
      <c r="H909" s="34" t="n"/>
      <c r="I909" s="34" t="n"/>
      <c r="J909" s="34" t="n"/>
      <c r="K909" s="34" t="n"/>
      <c r="L909" s="34" t="n"/>
      <c r="M909" s="34" t="n"/>
      <c r="N909" s="34" t="n"/>
      <c r="O909" s="34" t="n"/>
      <c r="P909" s="34" t="n"/>
      <c r="Q909" s="34" t="n"/>
      <c r="R909" s="34" t="n"/>
      <c r="S909" s="34" t="n"/>
      <c r="T909" s="18" t="n"/>
      <c r="U909" s="18" t="n"/>
      <c r="V909" s="18" t="n"/>
      <c r="X909" s="22">
        <f>IF($B909="","",IFERROR(INDEX(Cost_Centers!$E:$E,MATCH($B909,Cost_Centers!$A:$A,0)),"(unknown)"))</f>
        <v/>
      </c>
      <c r="Y909" s="22">
        <f>IF($B909="","",IFERROR(INDEX(Cost_Centers!$D:$D,MATCH($B909,Cost_Centers!$A:$A,0)),"(unknown)"))</f>
        <v/>
      </c>
      <c r="Z909" s="22">
        <f>IF(OR($B909="",$G909&lt;&gt;"Variance vs Budget"),"",ABS(N($V909))+ROW()/1000000000)</f>
        <v/>
      </c>
    </row>
    <row r="910">
      <c r="A910" s="13">
        <f>IF(A$906="","",A$906)</f>
        <v/>
      </c>
      <c r="B910" s="13">
        <f>IF(B$906="","",B$906)</f>
        <v/>
      </c>
      <c r="C910" s="13">
        <f>IF(C$906="","",C$906)</f>
        <v/>
      </c>
      <c r="D910" s="13">
        <f>IF(D$906="","",D$906)</f>
        <v/>
      </c>
      <c r="E910" s="13">
        <f>IF(E$906="","",E$906)</f>
        <v/>
      </c>
      <c r="F910" s="13">
        <f>IF(F$906="","",F$906)</f>
        <v/>
      </c>
      <c r="G910" s="35" t="inlineStr">
        <is>
          <t>Actual + Forecast</t>
        </is>
      </c>
      <c r="H910" s="18">
        <f>IF($B$906="","",IF(1&lt;=$C$4,N(H907),IF(H909="",H906,H909)))</f>
        <v/>
      </c>
      <c r="I910" s="18">
        <f>IF($B$906="","",IF(2&lt;=$C$4,N(I907),IF(I909="",I906,I909)))</f>
        <v/>
      </c>
      <c r="J910" s="18">
        <f>IF($B$906="","",IF(3&lt;=$C$4,N(J907),IF(J909="",J906,J909)))</f>
        <v/>
      </c>
      <c r="K910" s="18">
        <f>IF($B$906="","",IF(4&lt;=$C$4,N(K907),IF(K909="",K906,K909)))</f>
        <v/>
      </c>
      <c r="L910" s="18">
        <f>IF($B$906="","",IF(5&lt;=$C$4,N(L907),IF(L909="",L906,L909)))</f>
        <v/>
      </c>
      <c r="M910" s="18">
        <f>IF($B$906="","",IF(6&lt;=$C$4,N(M907),IF(M909="",M906,M909)))</f>
        <v/>
      </c>
      <c r="N910" s="18">
        <f>IF($B$906="","",IF(7&lt;=$C$4,N(N907),IF(N909="",N906,N909)))</f>
        <v/>
      </c>
      <c r="O910" s="18">
        <f>IF($B$906="","",IF(8&lt;=$C$4,N(O907),IF(O909="",O906,O909)))</f>
        <v/>
      </c>
      <c r="P910" s="18">
        <f>IF($B$906="","",IF(9&lt;=$C$4,N(P907),IF(P909="",P906,P909)))</f>
        <v/>
      </c>
      <c r="Q910" s="18">
        <f>IF($B$906="","",IF(10&lt;=$C$4,N(Q907),IF(Q909="",Q906,Q909)))</f>
        <v/>
      </c>
      <c r="R910" s="18">
        <f>IF($B$906="","",IF(11&lt;=$C$4,N(R907),IF(R909="",R906,R909)))</f>
        <v/>
      </c>
      <c r="S910" s="18">
        <f>IF($B$906="","",IF(12&lt;=$C$4,N(S907),IF(S909="",S906,S909)))</f>
        <v/>
      </c>
      <c r="T910" s="18">
        <f>IF($B$906="","",SUMIF($H$7:$S$7,"&lt;="&amp;$C$4,$H910:$S910))</f>
        <v/>
      </c>
      <c r="U910" s="18">
        <f>IF($B$906="","",SUMIF($H$7:$S$7,"&gt;"&amp;$C$4,$H910:$S910))</f>
        <v/>
      </c>
      <c r="V910" s="18">
        <f>IF($B$906="","",SUM($H910:$S910))</f>
        <v/>
      </c>
      <c r="X910" s="22">
        <f>IF($B910="","",IFERROR(INDEX(Cost_Centers!$E:$E,MATCH($B910,Cost_Centers!$A:$A,0)),"(unknown)"))</f>
        <v/>
      </c>
      <c r="Y910" s="22">
        <f>IF($B910="","",IFERROR(INDEX(Cost_Centers!$D:$D,MATCH($B910,Cost_Centers!$A:$A,0)),"(unknown)"))</f>
        <v/>
      </c>
      <c r="Z910" s="22">
        <f>IF(OR($B910="",$G910&lt;&gt;"Variance vs Budget"),"",ABS(N($V910))+ROW()/1000000000)</f>
        <v/>
      </c>
    </row>
    <row r="911">
      <c r="A911" s="13">
        <f>IF(A$906="","",A$906)</f>
        <v/>
      </c>
      <c r="B911" s="13">
        <f>IF(B$906="","",B$906)</f>
        <v/>
      </c>
      <c r="C911" s="13">
        <f>IF(C$906="","",C$906)</f>
        <v/>
      </c>
      <c r="D911" s="13">
        <f>IF(D$906="","",D$906)</f>
        <v/>
      </c>
      <c r="E911" s="13">
        <f>IF(E$906="","",E$906)</f>
        <v/>
      </c>
      <c r="F911" s="13">
        <f>IF(F$906="","",F$906)</f>
        <v/>
      </c>
      <c r="G911" s="36" t="inlineStr">
        <is>
          <t>Prior Month Forecast</t>
        </is>
      </c>
      <c r="H911" s="37">
        <f>IF($B$906="","",IF(COUNTIFS(Prior_Forecast!$A:$A,$B$906,Prior_Forecast!$B:$B,$D$906)&gt;0,SUMIFS(Prior_Forecast!$C:$C,Prior_Forecast!$A:$A,$B$906,Prior_Forecast!$B:$B,$D$906),""))</f>
        <v/>
      </c>
      <c r="I911" s="37">
        <f>IF($B$906="","",IF(COUNTIFS(Prior_Forecast!$A:$A,$B$906,Prior_Forecast!$B:$B,$D$906)&gt;0,SUMIFS(Prior_Forecast!$D:$D,Prior_Forecast!$A:$A,$B$906,Prior_Forecast!$B:$B,$D$906),""))</f>
        <v/>
      </c>
      <c r="J911" s="37">
        <f>IF($B$906="","",IF(COUNTIFS(Prior_Forecast!$A:$A,$B$906,Prior_Forecast!$B:$B,$D$906)&gt;0,SUMIFS(Prior_Forecast!$E:$E,Prior_Forecast!$A:$A,$B$906,Prior_Forecast!$B:$B,$D$906),""))</f>
        <v/>
      </c>
      <c r="K911" s="37">
        <f>IF($B$906="","",IF(COUNTIFS(Prior_Forecast!$A:$A,$B$906,Prior_Forecast!$B:$B,$D$906)&gt;0,SUMIFS(Prior_Forecast!$F:$F,Prior_Forecast!$A:$A,$B$906,Prior_Forecast!$B:$B,$D$906),""))</f>
        <v/>
      </c>
      <c r="L911" s="37">
        <f>IF($B$906="","",IF(COUNTIFS(Prior_Forecast!$A:$A,$B$906,Prior_Forecast!$B:$B,$D$906)&gt;0,SUMIFS(Prior_Forecast!$G:$G,Prior_Forecast!$A:$A,$B$906,Prior_Forecast!$B:$B,$D$906),""))</f>
        <v/>
      </c>
      <c r="M911" s="37">
        <f>IF($B$906="","",IF(COUNTIFS(Prior_Forecast!$A:$A,$B$906,Prior_Forecast!$B:$B,$D$906)&gt;0,SUMIFS(Prior_Forecast!$H:$H,Prior_Forecast!$A:$A,$B$906,Prior_Forecast!$B:$B,$D$906),""))</f>
        <v/>
      </c>
      <c r="N911" s="37">
        <f>IF($B$906="","",IF(COUNTIFS(Prior_Forecast!$A:$A,$B$906,Prior_Forecast!$B:$B,$D$906)&gt;0,SUMIFS(Prior_Forecast!$I:$I,Prior_Forecast!$A:$A,$B$906,Prior_Forecast!$B:$B,$D$906),""))</f>
        <v/>
      </c>
      <c r="O911" s="37">
        <f>IF($B$906="","",IF(COUNTIFS(Prior_Forecast!$A:$A,$B$906,Prior_Forecast!$B:$B,$D$906)&gt;0,SUMIFS(Prior_Forecast!$J:$J,Prior_Forecast!$A:$A,$B$906,Prior_Forecast!$B:$B,$D$906),""))</f>
        <v/>
      </c>
      <c r="P911" s="37">
        <f>IF($B$906="","",IF(COUNTIFS(Prior_Forecast!$A:$A,$B$906,Prior_Forecast!$B:$B,$D$906)&gt;0,SUMIFS(Prior_Forecast!$K:$K,Prior_Forecast!$A:$A,$B$906,Prior_Forecast!$B:$B,$D$906),""))</f>
        <v/>
      </c>
      <c r="Q911" s="37">
        <f>IF($B$906="","",IF(COUNTIFS(Prior_Forecast!$A:$A,$B$906,Prior_Forecast!$B:$B,$D$906)&gt;0,SUMIFS(Prior_Forecast!$L:$L,Prior_Forecast!$A:$A,$B$906,Prior_Forecast!$B:$B,$D$906),""))</f>
        <v/>
      </c>
      <c r="R911" s="37">
        <f>IF($B$906="","",IF(COUNTIFS(Prior_Forecast!$A:$A,$B$906,Prior_Forecast!$B:$B,$D$906)&gt;0,SUMIFS(Prior_Forecast!$M:$M,Prior_Forecast!$A:$A,$B$906,Prior_Forecast!$B:$B,$D$906),""))</f>
        <v/>
      </c>
      <c r="S911" s="37">
        <f>IF($B$906="","",IF(COUNTIFS(Prior_Forecast!$A:$A,$B$906,Prior_Forecast!$B:$B,$D$906)&gt;0,SUMIFS(Prior_Forecast!$N:$N,Prior_Forecast!$A:$A,$B$906,Prior_Forecast!$B:$B,$D$906),""))</f>
        <v/>
      </c>
      <c r="T911" s="37">
        <f>IF($B$906="","",IF(COUNTIFS(Prior_Forecast!$A:$A,$B$906,Prior_Forecast!$B:$B,$D$906)&gt;0,SUMIFS(Prior_Forecast!$O:$O,Prior_Forecast!$A:$A,$B$906,Prior_Forecast!$B:$B,$D$906),""))</f>
        <v/>
      </c>
      <c r="U911" s="37">
        <f>IF($B$906="","",IF(COUNTIFS(Prior_Forecast!$A:$A,$B$906,Prior_Forecast!$B:$B,$D$906)&gt;0,SUMIFS(Prior_Forecast!$P:$P,Prior_Forecast!$A:$A,$B$906,Prior_Forecast!$B:$B,$D$906),""))</f>
        <v/>
      </c>
      <c r="V911" s="37">
        <f>IF($B$906="","",IF(COUNTIFS(Prior_Forecast!$A:$A,$B$906,Prior_Forecast!$B:$B,$D$906)&gt;0,SUMIFS(Prior_Forecast!$Q:$Q,Prior_Forecast!$A:$A,$B$906,Prior_Forecast!$B:$B,$D$906),""))</f>
        <v/>
      </c>
      <c r="X911" s="22">
        <f>IF($B911="","",IFERROR(INDEX(Cost_Centers!$E:$E,MATCH($B911,Cost_Centers!$A:$A,0)),"(unknown)"))</f>
        <v/>
      </c>
      <c r="Y911" s="22">
        <f>IF($B911="","",IFERROR(INDEX(Cost_Centers!$D:$D,MATCH($B911,Cost_Centers!$A:$A,0)),"(unknown)"))</f>
        <v/>
      </c>
      <c r="Z911" s="22">
        <f>IF(OR($B911="",$G911&lt;&gt;"Variance vs Budget"),"",ABS(N($V911))+ROW()/1000000000)</f>
        <v/>
      </c>
    </row>
    <row r="912">
      <c r="A912" s="13">
        <f>IF(A$906="","",A$906)</f>
        <v/>
      </c>
      <c r="B912" s="13">
        <f>IF(B$906="","",B$906)</f>
        <v/>
      </c>
      <c r="C912" s="13">
        <f>IF(C$906="","",C$906)</f>
        <v/>
      </c>
      <c r="D912" s="13">
        <f>IF(D$906="","",D$906)</f>
        <v/>
      </c>
      <c r="E912" s="13">
        <f>IF(E$906="","",E$906)</f>
        <v/>
      </c>
      <c r="F912" s="13">
        <f>IF(F$906="","",F$906)</f>
        <v/>
      </c>
      <c r="G912" s="6" t="inlineStr">
        <is>
          <t>Variance vs Prior Month</t>
        </is>
      </c>
      <c r="H912" s="33">
        <f>IF(OR($B$906="",H911=""),"",H910-H911)</f>
        <v/>
      </c>
      <c r="I912" s="33">
        <f>IF(OR($B$906="",I911=""),"",I910-I911)</f>
        <v/>
      </c>
      <c r="J912" s="33">
        <f>IF(OR($B$906="",J911=""),"",J910-J911)</f>
        <v/>
      </c>
      <c r="K912" s="33">
        <f>IF(OR($B$906="",K911=""),"",K910-K911)</f>
        <v/>
      </c>
      <c r="L912" s="33">
        <f>IF(OR($B$906="",L911=""),"",L910-L911)</f>
        <v/>
      </c>
      <c r="M912" s="33">
        <f>IF(OR($B$906="",M911=""),"",M910-M911)</f>
        <v/>
      </c>
      <c r="N912" s="33">
        <f>IF(OR($B$906="",N911=""),"",N910-N911)</f>
        <v/>
      </c>
      <c r="O912" s="33">
        <f>IF(OR($B$906="",O911=""),"",O910-O911)</f>
        <v/>
      </c>
      <c r="P912" s="33">
        <f>IF(OR($B$906="",P911=""),"",P910-P911)</f>
        <v/>
      </c>
      <c r="Q912" s="33">
        <f>IF(OR($B$906="",Q911=""),"",Q910-Q911)</f>
        <v/>
      </c>
      <c r="R912" s="33">
        <f>IF(OR($B$906="",R911=""),"",R910-R911)</f>
        <v/>
      </c>
      <c r="S912" s="33">
        <f>IF(OR($B$906="",S911=""),"",S910-S911)</f>
        <v/>
      </c>
      <c r="T912" s="33">
        <f>IF(OR($B$906="",T911=""),"",T910-T911)</f>
        <v/>
      </c>
      <c r="U912" s="33">
        <f>IF(OR($B$906="",U911=""),"",U910-U911)</f>
        <v/>
      </c>
      <c r="V912" s="33">
        <f>IF(OR($B$906="",V911=""),"",V910-V911)</f>
        <v/>
      </c>
      <c r="X912" s="22">
        <f>IF($B912="","",IFERROR(INDEX(Cost_Centers!$E:$E,MATCH($B912,Cost_Centers!$A:$A,0)),"(unknown)"))</f>
        <v/>
      </c>
      <c r="Y912" s="22">
        <f>IF($B912="","",IFERROR(INDEX(Cost_Centers!$D:$D,MATCH($B912,Cost_Centers!$A:$A,0)),"(unknown)"))</f>
        <v/>
      </c>
      <c r="Z912" s="22">
        <f>IF(OR($B912="",$G912&lt;&gt;"Variance vs Budget"),"",ABS(N($V912))+ROW()/1000000000)</f>
        <v/>
      </c>
    </row>
    <row r="913" ht="45" customHeight="1">
      <c r="A913" s="13">
        <f>IF(A$906="","",A$906)</f>
        <v/>
      </c>
      <c r="B913" s="13">
        <f>IF(B$906="","",B$906)</f>
        <v/>
      </c>
      <c r="C913" s="13">
        <f>IF(C$906="","",C$906)</f>
        <v/>
      </c>
      <c r="D913" s="13">
        <f>IF(D$906="","",D$906)</f>
        <v/>
      </c>
      <c r="E913" s="13">
        <f>IF(E$906="","",E$906)</f>
        <v/>
      </c>
      <c r="F913" s="13">
        <f>IF(F$906="","",F$906)</f>
        <v/>
      </c>
      <c r="G913" s="7" t="inlineStr">
        <is>
          <t>Rationale</t>
        </is>
      </c>
      <c r="H913" s="38" t="n"/>
      <c r="I913" s="38" t="n"/>
      <c r="J913" s="38" t="n"/>
      <c r="K913" s="38" t="n"/>
      <c r="L913" s="38" t="n"/>
      <c r="M913" s="38" t="n"/>
      <c r="N913" s="38" t="n"/>
      <c r="O913" s="38" t="n"/>
      <c r="P913" s="38" t="n"/>
      <c r="Q913" s="38" t="n"/>
      <c r="R913" s="38" t="n"/>
      <c r="S913" s="38" t="n"/>
      <c r="T913" s="38" t="n"/>
      <c r="U913" s="38" t="n"/>
      <c r="V913" s="7" t="n"/>
      <c r="X913" s="22">
        <f>IF($B913="","",IFERROR(INDEX(Cost_Centers!$E:$E,MATCH($B913,Cost_Centers!$A:$A,0)),"(unknown)"))</f>
        <v/>
      </c>
      <c r="Y913" s="22">
        <f>IF($B913="","",IFERROR(INDEX(Cost_Centers!$D:$D,MATCH($B913,Cost_Centers!$A:$A,0)),"(unknown)"))</f>
        <v/>
      </c>
      <c r="Z913" s="22">
        <f>IF(OR($B913="",$G913&lt;&gt;"Variance vs Budget"),"",ABS(N($V913))+ROW()/1000000000)</f>
        <v/>
      </c>
    </row>
    <row r="914">
      <c r="A914" s="30">
        <f>IF($D$914="","",LEFT($D$914,FIND("|",$D$914&amp;"|")-1))</f>
        <v/>
      </c>
      <c r="B914" s="31" t="n"/>
      <c r="C914" s="30">
        <f>IF($B$914="","",IFERROR(INDEX(Cost_Centers!$B:$B,MATCH($B$914,Cost_Centers!$A:$A,0)),"(not in master)"))</f>
        <v/>
      </c>
      <c r="D914" s="31" t="n"/>
      <c r="E914" s="30">
        <f>IF($D$914="","",IFERROR(INDEX(Accounts!$D:$D,MATCH($D$914,Accounts!$A:$A,0)),"(not in master)"))</f>
        <v/>
      </c>
      <c r="F914" s="31" t="n"/>
      <c r="G914" s="30" t="inlineStr">
        <is>
          <t>Budget</t>
        </is>
      </c>
      <c r="H914" s="32">
        <f>IF($B$914="","",SUMIFS(Opex_Budget!$O:$O,Opex_Budget!$A:$A,$C$3,Opex_Budget!$E:$E,$B$914,Opex_Budget!$F:$F,$D$914,Opex_Budget!$N:$N,"JPY")*$E$5+SUMIFS(Opex_Budget!$O:$O,Opex_Budget!$A:$A,$C$3,Opex_Budget!$E:$E,$B$914,Opex_Budget!$F:$F,$D$914,Opex_Budget!$N:$N,"USD")*$F$5+SUMIFS(Opex_Budget!$O:$O,Opex_Budget!$A:$A,$C$3,Opex_Budget!$E:$E,$B$914,Opex_Budget!$F:$F,$D$914,Opex_Budget!$N:$N,"EUR")*$G$5+SUMIFS(Opex_Budget!$O:$O,Opex_Budget!$A:$A,$C$3,Opex_Budget!$E:$E,$B$914,Opex_Budget!$F:$F,$D$914,Opex_Budget!$N:$N,"GBP")*$H$5)</f>
        <v/>
      </c>
      <c r="I914" s="32">
        <f>IF($B$914="","",SUMIFS(Opex_Budget!$P:$P,Opex_Budget!$A:$A,$C$3,Opex_Budget!$E:$E,$B$914,Opex_Budget!$F:$F,$D$914,Opex_Budget!$N:$N,"JPY")*$E$5+SUMIFS(Opex_Budget!$P:$P,Opex_Budget!$A:$A,$C$3,Opex_Budget!$E:$E,$B$914,Opex_Budget!$F:$F,$D$914,Opex_Budget!$N:$N,"USD")*$F$5+SUMIFS(Opex_Budget!$P:$P,Opex_Budget!$A:$A,$C$3,Opex_Budget!$E:$E,$B$914,Opex_Budget!$F:$F,$D$914,Opex_Budget!$N:$N,"EUR")*$G$5+SUMIFS(Opex_Budget!$P:$P,Opex_Budget!$A:$A,$C$3,Opex_Budget!$E:$E,$B$914,Opex_Budget!$F:$F,$D$914,Opex_Budget!$N:$N,"GBP")*$H$5)</f>
        <v/>
      </c>
      <c r="J914" s="32">
        <f>IF($B$914="","",SUMIFS(Opex_Budget!$Q:$Q,Opex_Budget!$A:$A,$C$3,Opex_Budget!$E:$E,$B$914,Opex_Budget!$F:$F,$D$914,Opex_Budget!$N:$N,"JPY")*$E$5+SUMIFS(Opex_Budget!$Q:$Q,Opex_Budget!$A:$A,$C$3,Opex_Budget!$E:$E,$B$914,Opex_Budget!$F:$F,$D$914,Opex_Budget!$N:$N,"USD")*$F$5+SUMIFS(Opex_Budget!$Q:$Q,Opex_Budget!$A:$A,$C$3,Opex_Budget!$E:$E,$B$914,Opex_Budget!$F:$F,$D$914,Opex_Budget!$N:$N,"EUR")*$G$5+SUMIFS(Opex_Budget!$Q:$Q,Opex_Budget!$A:$A,$C$3,Opex_Budget!$E:$E,$B$914,Opex_Budget!$F:$F,$D$914,Opex_Budget!$N:$N,"GBP")*$H$5)</f>
        <v/>
      </c>
      <c r="K914" s="32">
        <f>IF($B$914="","",SUMIFS(Opex_Budget!$R:$R,Opex_Budget!$A:$A,$C$3,Opex_Budget!$E:$E,$B$914,Opex_Budget!$F:$F,$D$914,Opex_Budget!$N:$N,"JPY")*$E$5+SUMIFS(Opex_Budget!$R:$R,Opex_Budget!$A:$A,$C$3,Opex_Budget!$E:$E,$B$914,Opex_Budget!$F:$F,$D$914,Opex_Budget!$N:$N,"USD")*$F$5+SUMIFS(Opex_Budget!$R:$R,Opex_Budget!$A:$A,$C$3,Opex_Budget!$E:$E,$B$914,Opex_Budget!$F:$F,$D$914,Opex_Budget!$N:$N,"EUR")*$G$5+SUMIFS(Opex_Budget!$R:$R,Opex_Budget!$A:$A,$C$3,Opex_Budget!$E:$E,$B$914,Opex_Budget!$F:$F,$D$914,Opex_Budget!$N:$N,"GBP")*$H$5)</f>
        <v/>
      </c>
      <c r="L914" s="32">
        <f>IF($B$914="","",SUMIFS(Opex_Budget!$S:$S,Opex_Budget!$A:$A,$C$3,Opex_Budget!$E:$E,$B$914,Opex_Budget!$F:$F,$D$914,Opex_Budget!$N:$N,"JPY")*$E$5+SUMIFS(Opex_Budget!$S:$S,Opex_Budget!$A:$A,$C$3,Opex_Budget!$E:$E,$B$914,Opex_Budget!$F:$F,$D$914,Opex_Budget!$N:$N,"USD")*$F$5+SUMIFS(Opex_Budget!$S:$S,Opex_Budget!$A:$A,$C$3,Opex_Budget!$E:$E,$B$914,Opex_Budget!$F:$F,$D$914,Opex_Budget!$N:$N,"EUR")*$G$5+SUMIFS(Opex_Budget!$S:$S,Opex_Budget!$A:$A,$C$3,Opex_Budget!$E:$E,$B$914,Opex_Budget!$F:$F,$D$914,Opex_Budget!$N:$N,"GBP")*$H$5)</f>
        <v/>
      </c>
      <c r="M914" s="32">
        <f>IF($B$914="","",SUMIFS(Opex_Budget!$T:$T,Opex_Budget!$A:$A,$C$3,Opex_Budget!$E:$E,$B$914,Opex_Budget!$F:$F,$D$914,Opex_Budget!$N:$N,"JPY")*$E$5+SUMIFS(Opex_Budget!$T:$T,Opex_Budget!$A:$A,$C$3,Opex_Budget!$E:$E,$B$914,Opex_Budget!$F:$F,$D$914,Opex_Budget!$N:$N,"USD")*$F$5+SUMIFS(Opex_Budget!$T:$T,Opex_Budget!$A:$A,$C$3,Opex_Budget!$E:$E,$B$914,Opex_Budget!$F:$F,$D$914,Opex_Budget!$N:$N,"EUR")*$G$5+SUMIFS(Opex_Budget!$T:$T,Opex_Budget!$A:$A,$C$3,Opex_Budget!$E:$E,$B$914,Opex_Budget!$F:$F,$D$914,Opex_Budget!$N:$N,"GBP")*$H$5)</f>
        <v/>
      </c>
      <c r="N914" s="32">
        <f>IF($B$914="","",SUMIFS(Opex_Budget!$U:$U,Opex_Budget!$A:$A,$C$3,Opex_Budget!$E:$E,$B$914,Opex_Budget!$F:$F,$D$914,Opex_Budget!$N:$N,"JPY")*$E$5+SUMIFS(Opex_Budget!$U:$U,Opex_Budget!$A:$A,$C$3,Opex_Budget!$E:$E,$B$914,Opex_Budget!$F:$F,$D$914,Opex_Budget!$N:$N,"USD")*$F$5+SUMIFS(Opex_Budget!$U:$U,Opex_Budget!$A:$A,$C$3,Opex_Budget!$E:$E,$B$914,Opex_Budget!$F:$F,$D$914,Opex_Budget!$N:$N,"EUR")*$G$5+SUMIFS(Opex_Budget!$U:$U,Opex_Budget!$A:$A,$C$3,Opex_Budget!$E:$E,$B$914,Opex_Budget!$F:$F,$D$914,Opex_Budget!$N:$N,"GBP")*$H$5)</f>
        <v/>
      </c>
      <c r="O914" s="32">
        <f>IF($B$914="","",SUMIFS(Opex_Budget!$V:$V,Opex_Budget!$A:$A,$C$3,Opex_Budget!$E:$E,$B$914,Opex_Budget!$F:$F,$D$914,Opex_Budget!$N:$N,"JPY")*$E$5+SUMIFS(Opex_Budget!$V:$V,Opex_Budget!$A:$A,$C$3,Opex_Budget!$E:$E,$B$914,Opex_Budget!$F:$F,$D$914,Opex_Budget!$N:$N,"USD")*$F$5+SUMIFS(Opex_Budget!$V:$V,Opex_Budget!$A:$A,$C$3,Opex_Budget!$E:$E,$B$914,Opex_Budget!$F:$F,$D$914,Opex_Budget!$N:$N,"EUR")*$G$5+SUMIFS(Opex_Budget!$V:$V,Opex_Budget!$A:$A,$C$3,Opex_Budget!$E:$E,$B$914,Opex_Budget!$F:$F,$D$914,Opex_Budget!$N:$N,"GBP")*$H$5)</f>
        <v/>
      </c>
      <c r="P914" s="32">
        <f>IF($B$914="","",SUMIFS(Opex_Budget!$W:$W,Opex_Budget!$A:$A,$C$3,Opex_Budget!$E:$E,$B$914,Opex_Budget!$F:$F,$D$914,Opex_Budget!$N:$N,"JPY")*$E$5+SUMIFS(Opex_Budget!$W:$W,Opex_Budget!$A:$A,$C$3,Opex_Budget!$E:$E,$B$914,Opex_Budget!$F:$F,$D$914,Opex_Budget!$N:$N,"USD")*$F$5+SUMIFS(Opex_Budget!$W:$W,Opex_Budget!$A:$A,$C$3,Opex_Budget!$E:$E,$B$914,Opex_Budget!$F:$F,$D$914,Opex_Budget!$N:$N,"EUR")*$G$5+SUMIFS(Opex_Budget!$W:$W,Opex_Budget!$A:$A,$C$3,Opex_Budget!$E:$E,$B$914,Opex_Budget!$F:$F,$D$914,Opex_Budget!$N:$N,"GBP")*$H$5)</f>
        <v/>
      </c>
      <c r="Q914" s="32">
        <f>IF($B$914="","",SUMIFS(Opex_Budget!$X:$X,Opex_Budget!$A:$A,$C$3,Opex_Budget!$E:$E,$B$914,Opex_Budget!$F:$F,$D$914,Opex_Budget!$N:$N,"JPY")*$E$5+SUMIFS(Opex_Budget!$X:$X,Opex_Budget!$A:$A,$C$3,Opex_Budget!$E:$E,$B$914,Opex_Budget!$F:$F,$D$914,Opex_Budget!$N:$N,"USD")*$F$5+SUMIFS(Opex_Budget!$X:$X,Opex_Budget!$A:$A,$C$3,Opex_Budget!$E:$E,$B$914,Opex_Budget!$F:$F,$D$914,Opex_Budget!$N:$N,"EUR")*$G$5+SUMIFS(Opex_Budget!$X:$X,Opex_Budget!$A:$A,$C$3,Opex_Budget!$E:$E,$B$914,Opex_Budget!$F:$F,$D$914,Opex_Budget!$N:$N,"GBP")*$H$5)</f>
        <v/>
      </c>
      <c r="R914" s="32">
        <f>IF($B$914="","",SUMIFS(Opex_Budget!$Y:$Y,Opex_Budget!$A:$A,$C$3,Opex_Budget!$E:$E,$B$914,Opex_Budget!$F:$F,$D$914,Opex_Budget!$N:$N,"JPY")*$E$5+SUMIFS(Opex_Budget!$Y:$Y,Opex_Budget!$A:$A,$C$3,Opex_Budget!$E:$E,$B$914,Opex_Budget!$F:$F,$D$914,Opex_Budget!$N:$N,"USD")*$F$5+SUMIFS(Opex_Budget!$Y:$Y,Opex_Budget!$A:$A,$C$3,Opex_Budget!$E:$E,$B$914,Opex_Budget!$F:$F,$D$914,Opex_Budget!$N:$N,"EUR")*$G$5+SUMIFS(Opex_Budget!$Y:$Y,Opex_Budget!$A:$A,$C$3,Opex_Budget!$E:$E,$B$914,Opex_Budget!$F:$F,$D$914,Opex_Budget!$N:$N,"GBP")*$H$5)</f>
        <v/>
      </c>
      <c r="S914" s="32">
        <f>IF($B$914="","",SUMIFS(Opex_Budget!$Z:$Z,Opex_Budget!$A:$A,$C$3,Opex_Budget!$E:$E,$B$914,Opex_Budget!$F:$F,$D$914,Opex_Budget!$N:$N,"JPY")*$E$5+SUMIFS(Opex_Budget!$Z:$Z,Opex_Budget!$A:$A,$C$3,Opex_Budget!$E:$E,$B$914,Opex_Budget!$F:$F,$D$914,Opex_Budget!$N:$N,"USD")*$F$5+SUMIFS(Opex_Budget!$Z:$Z,Opex_Budget!$A:$A,$C$3,Opex_Budget!$E:$E,$B$914,Opex_Budget!$F:$F,$D$914,Opex_Budget!$N:$N,"EUR")*$G$5+SUMIFS(Opex_Budget!$Z:$Z,Opex_Budget!$A:$A,$C$3,Opex_Budget!$E:$E,$B$914,Opex_Budget!$F:$F,$D$914,Opex_Budget!$N:$N,"GBP")*$H$5)</f>
        <v/>
      </c>
      <c r="T914" s="32">
        <f>IF($B$914="","",SUMIF($H$7:$S$7,"&lt;="&amp;$C$4,$H914:$S914))</f>
        <v/>
      </c>
      <c r="U914" s="32">
        <f>IF($B$914="","",SUMIF($H$7:$S$7,"&gt;"&amp;$C$4,$H914:$S914))</f>
        <v/>
      </c>
      <c r="V914" s="32">
        <f>IF($B$914="","",SUM($H914:$S914))</f>
        <v/>
      </c>
      <c r="X914" s="22">
        <f>IF($B914="","",IFERROR(INDEX(Cost_Centers!$E:$E,MATCH($B914,Cost_Centers!$A:$A,0)),"(unknown)"))</f>
        <v/>
      </c>
      <c r="Y914" s="22">
        <f>IF($B914="","",IFERROR(INDEX(Cost_Centers!$D:$D,MATCH($B914,Cost_Centers!$A:$A,0)),"(unknown)"))</f>
        <v/>
      </c>
      <c r="Z914" s="22">
        <f>IF(OR($B914="",$G914&lt;&gt;"Variance vs Budget"),"",ABS(N($V914))+ROW()/1000000000)</f>
        <v/>
      </c>
    </row>
    <row r="915">
      <c r="A915" s="13">
        <f>IF(A$914="","",A$914)</f>
        <v/>
      </c>
      <c r="B915" s="13">
        <f>IF(B$914="","",B$914)</f>
        <v/>
      </c>
      <c r="C915" s="13">
        <f>IF(C$914="","",C$914)</f>
        <v/>
      </c>
      <c r="D915" s="13">
        <f>IF(D$914="","",D$914)</f>
        <v/>
      </c>
      <c r="E915" s="13">
        <f>IF(E$914="","",E$914)</f>
        <v/>
      </c>
      <c r="F915" s="13">
        <f>IF(F$914="","",F$914)</f>
        <v/>
      </c>
      <c r="G915" s="7" t="inlineStr">
        <is>
          <t>Actual</t>
        </is>
      </c>
      <c r="H915" s="18">
        <f>IF(OR($B$914="",1&gt;$C$4),"",SUMIFS(Actuals!$G:$G,Actuals!$B:$B,$C$3,Actuals!$C:$C,1,Actuals!$D:$D,$B$914,Actuals!$A:$A,LEFT($D$914,FIND("|",$D$914&amp;"|")-1),Actuals!$E:$E,MID($D$914,FIND("|",$D$914&amp;"|")+1,50),Actuals!$F:$F,"JPY")*$E$5+SUMIFS(Actuals!$G:$G,Actuals!$B:$B,$C$3,Actuals!$C:$C,1,Actuals!$D:$D,$B$914,Actuals!$A:$A,LEFT($D$914,FIND("|",$D$914&amp;"|")-1),Actuals!$E:$E,MID($D$914,FIND("|",$D$914&amp;"|")+1,50),Actuals!$F:$F,"USD")*$F$5+SUMIFS(Actuals!$G:$G,Actuals!$B:$B,$C$3,Actuals!$C:$C,1,Actuals!$D:$D,$B$914,Actuals!$A:$A,LEFT($D$914,FIND("|",$D$914&amp;"|")-1),Actuals!$E:$E,MID($D$914,FIND("|",$D$914&amp;"|")+1,50),Actuals!$F:$F,"EUR")*$G$5+SUMIFS(Actuals!$G:$G,Actuals!$B:$B,$C$3,Actuals!$C:$C,1,Actuals!$D:$D,$B$914,Actuals!$A:$A,LEFT($D$914,FIND("|",$D$914&amp;"|")-1),Actuals!$E:$E,MID($D$914,FIND("|",$D$914&amp;"|")+1,50),Actuals!$F:$F,"GBP")*$H$5)</f>
        <v/>
      </c>
      <c r="I915" s="18">
        <f>IF(OR($B$914="",2&gt;$C$4),"",SUMIFS(Actuals!$G:$G,Actuals!$B:$B,$C$3,Actuals!$C:$C,2,Actuals!$D:$D,$B$914,Actuals!$A:$A,LEFT($D$914,FIND("|",$D$914&amp;"|")-1),Actuals!$E:$E,MID($D$914,FIND("|",$D$914&amp;"|")+1,50),Actuals!$F:$F,"JPY")*$E$5+SUMIFS(Actuals!$G:$G,Actuals!$B:$B,$C$3,Actuals!$C:$C,2,Actuals!$D:$D,$B$914,Actuals!$A:$A,LEFT($D$914,FIND("|",$D$914&amp;"|")-1),Actuals!$E:$E,MID($D$914,FIND("|",$D$914&amp;"|")+1,50),Actuals!$F:$F,"USD")*$F$5+SUMIFS(Actuals!$G:$G,Actuals!$B:$B,$C$3,Actuals!$C:$C,2,Actuals!$D:$D,$B$914,Actuals!$A:$A,LEFT($D$914,FIND("|",$D$914&amp;"|")-1),Actuals!$E:$E,MID($D$914,FIND("|",$D$914&amp;"|")+1,50),Actuals!$F:$F,"EUR")*$G$5+SUMIFS(Actuals!$G:$G,Actuals!$B:$B,$C$3,Actuals!$C:$C,2,Actuals!$D:$D,$B$914,Actuals!$A:$A,LEFT($D$914,FIND("|",$D$914&amp;"|")-1),Actuals!$E:$E,MID($D$914,FIND("|",$D$914&amp;"|")+1,50),Actuals!$F:$F,"GBP")*$H$5)</f>
        <v/>
      </c>
      <c r="J915" s="18">
        <f>IF(OR($B$914="",3&gt;$C$4),"",SUMIFS(Actuals!$G:$G,Actuals!$B:$B,$C$3,Actuals!$C:$C,3,Actuals!$D:$D,$B$914,Actuals!$A:$A,LEFT($D$914,FIND("|",$D$914&amp;"|")-1),Actuals!$E:$E,MID($D$914,FIND("|",$D$914&amp;"|")+1,50),Actuals!$F:$F,"JPY")*$E$5+SUMIFS(Actuals!$G:$G,Actuals!$B:$B,$C$3,Actuals!$C:$C,3,Actuals!$D:$D,$B$914,Actuals!$A:$A,LEFT($D$914,FIND("|",$D$914&amp;"|")-1),Actuals!$E:$E,MID($D$914,FIND("|",$D$914&amp;"|")+1,50),Actuals!$F:$F,"USD")*$F$5+SUMIFS(Actuals!$G:$G,Actuals!$B:$B,$C$3,Actuals!$C:$C,3,Actuals!$D:$D,$B$914,Actuals!$A:$A,LEFT($D$914,FIND("|",$D$914&amp;"|")-1),Actuals!$E:$E,MID($D$914,FIND("|",$D$914&amp;"|")+1,50),Actuals!$F:$F,"EUR")*$G$5+SUMIFS(Actuals!$G:$G,Actuals!$B:$B,$C$3,Actuals!$C:$C,3,Actuals!$D:$D,$B$914,Actuals!$A:$A,LEFT($D$914,FIND("|",$D$914&amp;"|")-1),Actuals!$E:$E,MID($D$914,FIND("|",$D$914&amp;"|")+1,50),Actuals!$F:$F,"GBP")*$H$5)</f>
        <v/>
      </c>
      <c r="K915" s="18">
        <f>IF(OR($B$914="",4&gt;$C$4),"",SUMIFS(Actuals!$G:$G,Actuals!$B:$B,$C$3,Actuals!$C:$C,4,Actuals!$D:$D,$B$914,Actuals!$A:$A,LEFT($D$914,FIND("|",$D$914&amp;"|")-1),Actuals!$E:$E,MID($D$914,FIND("|",$D$914&amp;"|")+1,50),Actuals!$F:$F,"JPY")*$E$5+SUMIFS(Actuals!$G:$G,Actuals!$B:$B,$C$3,Actuals!$C:$C,4,Actuals!$D:$D,$B$914,Actuals!$A:$A,LEFT($D$914,FIND("|",$D$914&amp;"|")-1),Actuals!$E:$E,MID($D$914,FIND("|",$D$914&amp;"|")+1,50),Actuals!$F:$F,"USD")*$F$5+SUMIFS(Actuals!$G:$G,Actuals!$B:$B,$C$3,Actuals!$C:$C,4,Actuals!$D:$D,$B$914,Actuals!$A:$A,LEFT($D$914,FIND("|",$D$914&amp;"|")-1),Actuals!$E:$E,MID($D$914,FIND("|",$D$914&amp;"|")+1,50),Actuals!$F:$F,"EUR")*$G$5+SUMIFS(Actuals!$G:$G,Actuals!$B:$B,$C$3,Actuals!$C:$C,4,Actuals!$D:$D,$B$914,Actuals!$A:$A,LEFT($D$914,FIND("|",$D$914&amp;"|")-1),Actuals!$E:$E,MID($D$914,FIND("|",$D$914&amp;"|")+1,50),Actuals!$F:$F,"GBP")*$H$5)</f>
        <v/>
      </c>
      <c r="L915" s="18">
        <f>IF(OR($B$914="",5&gt;$C$4),"",SUMIFS(Actuals!$G:$G,Actuals!$B:$B,$C$3,Actuals!$C:$C,5,Actuals!$D:$D,$B$914,Actuals!$A:$A,LEFT($D$914,FIND("|",$D$914&amp;"|")-1),Actuals!$E:$E,MID($D$914,FIND("|",$D$914&amp;"|")+1,50),Actuals!$F:$F,"JPY")*$E$5+SUMIFS(Actuals!$G:$G,Actuals!$B:$B,$C$3,Actuals!$C:$C,5,Actuals!$D:$D,$B$914,Actuals!$A:$A,LEFT($D$914,FIND("|",$D$914&amp;"|")-1),Actuals!$E:$E,MID($D$914,FIND("|",$D$914&amp;"|")+1,50),Actuals!$F:$F,"USD")*$F$5+SUMIFS(Actuals!$G:$G,Actuals!$B:$B,$C$3,Actuals!$C:$C,5,Actuals!$D:$D,$B$914,Actuals!$A:$A,LEFT($D$914,FIND("|",$D$914&amp;"|")-1),Actuals!$E:$E,MID($D$914,FIND("|",$D$914&amp;"|")+1,50),Actuals!$F:$F,"EUR")*$G$5+SUMIFS(Actuals!$G:$G,Actuals!$B:$B,$C$3,Actuals!$C:$C,5,Actuals!$D:$D,$B$914,Actuals!$A:$A,LEFT($D$914,FIND("|",$D$914&amp;"|")-1),Actuals!$E:$E,MID($D$914,FIND("|",$D$914&amp;"|")+1,50),Actuals!$F:$F,"GBP")*$H$5)</f>
        <v/>
      </c>
      <c r="M915" s="18">
        <f>IF(OR($B$914="",6&gt;$C$4),"",SUMIFS(Actuals!$G:$G,Actuals!$B:$B,$C$3,Actuals!$C:$C,6,Actuals!$D:$D,$B$914,Actuals!$A:$A,LEFT($D$914,FIND("|",$D$914&amp;"|")-1),Actuals!$E:$E,MID($D$914,FIND("|",$D$914&amp;"|")+1,50),Actuals!$F:$F,"JPY")*$E$5+SUMIFS(Actuals!$G:$G,Actuals!$B:$B,$C$3,Actuals!$C:$C,6,Actuals!$D:$D,$B$914,Actuals!$A:$A,LEFT($D$914,FIND("|",$D$914&amp;"|")-1),Actuals!$E:$E,MID($D$914,FIND("|",$D$914&amp;"|")+1,50),Actuals!$F:$F,"USD")*$F$5+SUMIFS(Actuals!$G:$G,Actuals!$B:$B,$C$3,Actuals!$C:$C,6,Actuals!$D:$D,$B$914,Actuals!$A:$A,LEFT($D$914,FIND("|",$D$914&amp;"|")-1),Actuals!$E:$E,MID($D$914,FIND("|",$D$914&amp;"|")+1,50),Actuals!$F:$F,"EUR")*$G$5+SUMIFS(Actuals!$G:$G,Actuals!$B:$B,$C$3,Actuals!$C:$C,6,Actuals!$D:$D,$B$914,Actuals!$A:$A,LEFT($D$914,FIND("|",$D$914&amp;"|")-1),Actuals!$E:$E,MID($D$914,FIND("|",$D$914&amp;"|")+1,50),Actuals!$F:$F,"GBP")*$H$5)</f>
        <v/>
      </c>
      <c r="N915" s="18">
        <f>IF(OR($B$914="",7&gt;$C$4),"",SUMIFS(Actuals!$G:$G,Actuals!$B:$B,$C$3,Actuals!$C:$C,7,Actuals!$D:$D,$B$914,Actuals!$A:$A,LEFT($D$914,FIND("|",$D$914&amp;"|")-1),Actuals!$E:$E,MID($D$914,FIND("|",$D$914&amp;"|")+1,50),Actuals!$F:$F,"JPY")*$E$5+SUMIFS(Actuals!$G:$G,Actuals!$B:$B,$C$3,Actuals!$C:$C,7,Actuals!$D:$D,$B$914,Actuals!$A:$A,LEFT($D$914,FIND("|",$D$914&amp;"|")-1),Actuals!$E:$E,MID($D$914,FIND("|",$D$914&amp;"|")+1,50),Actuals!$F:$F,"USD")*$F$5+SUMIFS(Actuals!$G:$G,Actuals!$B:$B,$C$3,Actuals!$C:$C,7,Actuals!$D:$D,$B$914,Actuals!$A:$A,LEFT($D$914,FIND("|",$D$914&amp;"|")-1),Actuals!$E:$E,MID($D$914,FIND("|",$D$914&amp;"|")+1,50),Actuals!$F:$F,"EUR")*$G$5+SUMIFS(Actuals!$G:$G,Actuals!$B:$B,$C$3,Actuals!$C:$C,7,Actuals!$D:$D,$B$914,Actuals!$A:$A,LEFT($D$914,FIND("|",$D$914&amp;"|")-1),Actuals!$E:$E,MID($D$914,FIND("|",$D$914&amp;"|")+1,50),Actuals!$F:$F,"GBP")*$H$5)</f>
        <v/>
      </c>
      <c r="O915" s="18">
        <f>IF(OR($B$914="",8&gt;$C$4),"",SUMIFS(Actuals!$G:$G,Actuals!$B:$B,$C$3,Actuals!$C:$C,8,Actuals!$D:$D,$B$914,Actuals!$A:$A,LEFT($D$914,FIND("|",$D$914&amp;"|")-1),Actuals!$E:$E,MID($D$914,FIND("|",$D$914&amp;"|")+1,50),Actuals!$F:$F,"JPY")*$E$5+SUMIFS(Actuals!$G:$G,Actuals!$B:$B,$C$3,Actuals!$C:$C,8,Actuals!$D:$D,$B$914,Actuals!$A:$A,LEFT($D$914,FIND("|",$D$914&amp;"|")-1),Actuals!$E:$E,MID($D$914,FIND("|",$D$914&amp;"|")+1,50),Actuals!$F:$F,"USD")*$F$5+SUMIFS(Actuals!$G:$G,Actuals!$B:$B,$C$3,Actuals!$C:$C,8,Actuals!$D:$D,$B$914,Actuals!$A:$A,LEFT($D$914,FIND("|",$D$914&amp;"|")-1),Actuals!$E:$E,MID($D$914,FIND("|",$D$914&amp;"|")+1,50),Actuals!$F:$F,"EUR")*$G$5+SUMIFS(Actuals!$G:$G,Actuals!$B:$B,$C$3,Actuals!$C:$C,8,Actuals!$D:$D,$B$914,Actuals!$A:$A,LEFT($D$914,FIND("|",$D$914&amp;"|")-1),Actuals!$E:$E,MID($D$914,FIND("|",$D$914&amp;"|")+1,50),Actuals!$F:$F,"GBP")*$H$5)</f>
        <v/>
      </c>
      <c r="P915" s="18">
        <f>IF(OR($B$914="",9&gt;$C$4),"",SUMIFS(Actuals!$G:$G,Actuals!$B:$B,$C$3,Actuals!$C:$C,9,Actuals!$D:$D,$B$914,Actuals!$A:$A,LEFT($D$914,FIND("|",$D$914&amp;"|")-1),Actuals!$E:$E,MID($D$914,FIND("|",$D$914&amp;"|")+1,50),Actuals!$F:$F,"JPY")*$E$5+SUMIFS(Actuals!$G:$G,Actuals!$B:$B,$C$3,Actuals!$C:$C,9,Actuals!$D:$D,$B$914,Actuals!$A:$A,LEFT($D$914,FIND("|",$D$914&amp;"|")-1),Actuals!$E:$E,MID($D$914,FIND("|",$D$914&amp;"|")+1,50),Actuals!$F:$F,"USD")*$F$5+SUMIFS(Actuals!$G:$G,Actuals!$B:$B,$C$3,Actuals!$C:$C,9,Actuals!$D:$D,$B$914,Actuals!$A:$A,LEFT($D$914,FIND("|",$D$914&amp;"|")-1),Actuals!$E:$E,MID($D$914,FIND("|",$D$914&amp;"|")+1,50),Actuals!$F:$F,"EUR")*$G$5+SUMIFS(Actuals!$G:$G,Actuals!$B:$B,$C$3,Actuals!$C:$C,9,Actuals!$D:$D,$B$914,Actuals!$A:$A,LEFT($D$914,FIND("|",$D$914&amp;"|")-1),Actuals!$E:$E,MID($D$914,FIND("|",$D$914&amp;"|")+1,50),Actuals!$F:$F,"GBP")*$H$5)</f>
        <v/>
      </c>
      <c r="Q915" s="18">
        <f>IF(OR($B$914="",10&gt;$C$4),"",SUMIFS(Actuals!$G:$G,Actuals!$B:$B,$C$3,Actuals!$C:$C,10,Actuals!$D:$D,$B$914,Actuals!$A:$A,LEFT($D$914,FIND("|",$D$914&amp;"|")-1),Actuals!$E:$E,MID($D$914,FIND("|",$D$914&amp;"|")+1,50),Actuals!$F:$F,"JPY")*$E$5+SUMIFS(Actuals!$G:$G,Actuals!$B:$B,$C$3,Actuals!$C:$C,10,Actuals!$D:$D,$B$914,Actuals!$A:$A,LEFT($D$914,FIND("|",$D$914&amp;"|")-1),Actuals!$E:$E,MID($D$914,FIND("|",$D$914&amp;"|")+1,50),Actuals!$F:$F,"USD")*$F$5+SUMIFS(Actuals!$G:$G,Actuals!$B:$B,$C$3,Actuals!$C:$C,10,Actuals!$D:$D,$B$914,Actuals!$A:$A,LEFT($D$914,FIND("|",$D$914&amp;"|")-1),Actuals!$E:$E,MID($D$914,FIND("|",$D$914&amp;"|")+1,50),Actuals!$F:$F,"EUR")*$G$5+SUMIFS(Actuals!$G:$G,Actuals!$B:$B,$C$3,Actuals!$C:$C,10,Actuals!$D:$D,$B$914,Actuals!$A:$A,LEFT($D$914,FIND("|",$D$914&amp;"|")-1),Actuals!$E:$E,MID($D$914,FIND("|",$D$914&amp;"|")+1,50),Actuals!$F:$F,"GBP")*$H$5)</f>
        <v/>
      </c>
      <c r="R915" s="18">
        <f>IF(OR($B$914="",11&gt;$C$4),"",SUMIFS(Actuals!$G:$G,Actuals!$B:$B,$C$3,Actuals!$C:$C,11,Actuals!$D:$D,$B$914,Actuals!$A:$A,LEFT($D$914,FIND("|",$D$914&amp;"|")-1),Actuals!$E:$E,MID($D$914,FIND("|",$D$914&amp;"|")+1,50),Actuals!$F:$F,"JPY")*$E$5+SUMIFS(Actuals!$G:$G,Actuals!$B:$B,$C$3,Actuals!$C:$C,11,Actuals!$D:$D,$B$914,Actuals!$A:$A,LEFT($D$914,FIND("|",$D$914&amp;"|")-1),Actuals!$E:$E,MID($D$914,FIND("|",$D$914&amp;"|")+1,50),Actuals!$F:$F,"USD")*$F$5+SUMIFS(Actuals!$G:$G,Actuals!$B:$B,$C$3,Actuals!$C:$C,11,Actuals!$D:$D,$B$914,Actuals!$A:$A,LEFT($D$914,FIND("|",$D$914&amp;"|")-1),Actuals!$E:$E,MID($D$914,FIND("|",$D$914&amp;"|")+1,50),Actuals!$F:$F,"EUR")*$G$5+SUMIFS(Actuals!$G:$G,Actuals!$B:$B,$C$3,Actuals!$C:$C,11,Actuals!$D:$D,$B$914,Actuals!$A:$A,LEFT($D$914,FIND("|",$D$914&amp;"|")-1),Actuals!$E:$E,MID($D$914,FIND("|",$D$914&amp;"|")+1,50),Actuals!$F:$F,"GBP")*$H$5)</f>
        <v/>
      </c>
      <c r="S915" s="18">
        <f>IF(OR($B$914="",12&gt;$C$4),"",SUMIFS(Actuals!$G:$G,Actuals!$B:$B,$C$3,Actuals!$C:$C,12,Actuals!$D:$D,$B$914,Actuals!$A:$A,LEFT($D$914,FIND("|",$D$914&amp;"|")-1),Actuals!$E:$E,MID($D$914,FIND("|",$D$914&amp;"|")+1,50),Actuals!$F:$F,"JPY")*$E$5+SUMIFS(Actuals!$G:$G,Actuals!$B:$B,$C$3,Actuals!$C:$C,12,Actuals!$D:$D,$B$914,Actuals!$A:$A,LEFT($D$914,FIND("|",$D$914&amp;"|")-1),Actuals!$E:$E,MID($D$914,FIND("|",$D$914&amp;"|")+1,50),Actuals!$F:$F,"USD")*$F$5+SUMIFS(Actuals!$G:$G,Actuals!$B:$B,$C$3,Actuals!$C:$C,12,Actuals!$D:$D,$B$914,Actuals!$A:$A,LEFT($D$914,FIND("|",$D$914&amp;"|")-1),Actuals!$E:$E,MID($D$914,FIND("|",$D$914&amp;"|")+1,50),Actuals!$F:$F,"EUR")*$G$5+SUMIFS(Actuals!$G:$G,Actuals!$B:$B,$C$3,Actuals!$C:$C,12,Actuals!$D:$D,$B$914,Actuals!$A:$A,LEFT($D$914,FIND("|",$D$914&amp;"|")-1),Actuals!$E:$E,MID($D$914,FIND("|",$D$914&amp;"|")+1,50),Actuals!$F:$F,"GBP")*$H$5)</f>
        <v/>
      </c>
      <c r="T915" s="18">
        <f>IF($B$914="","",SUMIF($H$7:$S$7,"&lt;="&amp;$C$4,$H915:$S915))</f>
        <v/>
      </c>
      <c r="U915" s="18" t="n"/>
      <c r="V915" s="18" t="n"/>
      <c r="X915" s="22">
        <f>IF($B915="","",IFERROR(INDEX(Cost_Centers!$E:$E,MATCH($B915,Cost_Centers!$A:$A,0)),"(unknown)"))</f>
        <v/>
      </c>
      <c r="Y915" s="22">
        <f>IF($B915="","",IFERROR(INDEX(Cost_Centers!$D:$D,MATCH($B915,Cost_Centers!$A:$A,0)),"(unknown)"))</f>
        <v/>
      </c>
      <c r="Z915" s="22">
        <f>IF(OR($B915="",$G915&lt;&gt;"Variance vs Budget"),"",ABS(N($V915))+ROW()/1000000000)</f>
        <v/>
      </c>
    </row>
    <row r="916">
      <c r="A916" s="13">
        <f>IF(A$914="","",A$914)</f>
        <v/>
      </c>
      <c r="B916" s="13">
        <f>IF(B$914="","",B$914)</f>
        <v/>
      </c>
      <c r="C916" s="13">
        <f>IF(C$914="","",C$914)</f>
        <v/>
      </c>
      <c r="D916" s="13">
        <f>IF(D$914="","",D$914)</f>
        <v/>
      </c>
      <c r="E916" s="13">
        <f>IF(E$914="","",E$914)</f>
        <v/>
      </c>
      <c r="F916" s="13">
        <f>IF(F$914="","",F$914)</f>
        <v/>
      </c>
      <c r="G916" s="6" t="inlineStr">
        <is>
          <t>Variance vs Budget</t>
        </is>
      </c>
      <c r="H916" s="33">
        <f>IF(OR($B$914="",1&gt;$C$4),"",N(H915)-H914)</f>
        <v/>
      </c>
      <c r="I916" s="33">
        <f>IF(OR($B$914="",2&gt;$C$4),"",N(I915)-I914)</f>
        <v/>
      </c>
      <c r="J916" s="33">
        <f>IF(OR($B$914="",3&gt;$C$4),"",N(J915)-J914)</f>
        <v/>
      </c>
      <c r="K916" s="33">
        <f>IF(OR($B$914="",4&gt;$C$4),"",N(K915)-K914)</f>
        <v/>
      </c>
      <c r="L916" s="33">
        <f>IF(OR($B$914="",5&gt;$C$4),"",N(L915)-L914)</f>
        <v/>
      </c>
      <c r="M916" s="33">
        <f>IF(OR($B$914="",6&gt;$C$4),"",N(M915)-M914)</f>
        <v/>
      </c>
      <c r="N916" s="33">
        <f>IF(OR($B$914="",7&gt;$C$4),"",N(N915)-N914)</f>
        <v/>
      </c>
      <c r="O916" s="33">
        <f>IF(OR($B$914="",8&gt;$C$4),"",N(O915)-O914)</f>
        <v/>
      </c>
      <c r="P916" s="33">
        <f>IF(OR($B$914="",9&gt;$C$4),"",N(P915)-P914)</f>
        <v/>
      </c>
      <c r="Q916" s="33">
        <f>IF(OR($B$914="",10&gt;$C$4),"",N(Q915)-Q914)</f>
        <v/>
      </c>
      <c r="R916" s="33">
        <f>IF(OR($B$914="",11&gt;$C$4),"",N(R915)-R914)</f>
        <v/>
      </c>
      <c r="S916" s="33">
        <f>IF(OR($B$914="",12&gt;$C$4),"",N(S915)-S914)</f>
        <v/>
      </c>
      <c r="T916" s="33">
        <f>IF($B$914="","",T915-T914)</f>
        <v/>
      </c>
      <c r="U916" s="33">
        <f>IF($B$914="","",U918-U914)</f>
        <v/>
      </c>
      <c r="V916" s="33">
        <f>IF($B$914="","",V918-V914)</f>
        <v/>
      </c>
      <c r="X916" s="22">
        <f>IF($B916="","",IFERROR(INDEX(Cost_Centers!$E:$E,MATCH($B916,Cost_Centers!$A:$A,0)),"(unknown)"))</f>
        <v/>
      </c>
      <c r="Y916" s="22">
        <f>IF($B916="","",IFERROR(INDEX(Cost_Centers!$D:$D,MATCH($B916,Cost_Centers!$A:$A,0)),"(unknown)"))</f>
        <v/>
      </c>
      <c r="Z916" s="22">
        <f>IF(OR($B916="",$G916&lt;&gt;"Variance vs Budget"),"",ABS(N($V916))+ROW()/1000000000)</f>
        <v/>
      </c>
    </row>
    <row r="917">
      <c r="A917" s="13">
        <f>IF(A$914="","",A$914)</f>
        <v/>
      </c>
      <c r="B917" s="13">
        <f>IF(B$914="","",B$914)</f>
        <v/>
      </c>
      <c r="C917" s="13">
        <f>IF(C$914="","",C$914)</f>
        <v/>
      </c>
      <c r="D917" s="13">
        <f>IF(D$914="","",D$914)</f>
        <v/>
      </c>
      <c r="E917" s="13">
        <f>IF(E$914="","",E$914)</f>
        <v/>
      </c>
      <c r="F917" s="13">
        <f>IF(F$914="","",F$914)</f>
        <v/>
      </c>
      <c r="G917" s="7" t="inlineStr">
        <is>
          <t>Forecast (input)</t>
        </is>
      </c>
      <c r="H917" s="34" t="n"/>
      <c r="I917" s="34" t="n"/>
      <c r="J917" s="34" t="n"/>
      <c r="K917" s="34" t="n"/>
      <c r="L917" s="34" t="n"/>
      <c r="M917" s="34" t="n"/>
      <c r="N917" s="34" t="n"/>
      <c r="O917" s="34" t="n"/>
      <c r="P917" s="34" t="n"/>
      <c r="Q917" s="34" t="n"/>
      <c r="R917" s="34" t="n"/>
      <c r="S917" s="34" t="n"/>
      <c r="T917" s="18" t="n"/>
      <c r="U917" s="18" t="n"/>
      <c r="V917" s="18" t="n"/>
      <c r="X917" s="22">
        <f>IF($B917="","",IFERROR(INDEX(Cost_Centers!$E:$E,MATCH($B917,Cost_Centers!$A:$A,0)),"(unknown)"))</f>
        <v/>
      </c>
      <c r="Y917" s="22">
        <f>IF($B917="","",IFERROR(INDEX(Cost_Centers!$D:$D,MATCH($B917,Cost_Centers!$A:$A,0)),"(unknown)"))</f>
        <v/>
      </c>
      <c r="Z917" s="22">
        <f>IF(OR($B917="",$G917&lt;&gt;"Variance vs Budget"),"",ABS(N($V917))+ROW()/1000000000)</f>
        <v/>
      </c>
    </row>
    <row r="918">
      <c r="A918" s="13">
        <f>IF(A$914="","",A$914)</f>
        <v/>
      </c>
      <c r="B918" s="13">
        <f>IF(B$914="","",B$914)</f>
        <v/>
      </c>
      <c r="C918" s="13">
        <f>IF(C$914="","",C$914)</f>
        <v/>
      </c>
      <c r="D918" s="13">
        <f>IF(D$914="","",D$914)</f>
        <v/>
      </c>
      <c r="E918" s="13">
        <f>IF(E$914="","",E$914)</f>
        <v/>
      </c>
      <c r="F918" s="13">
        <f>IF(F$914="","",F$914)</f>
        <v/>
      </c>
      <c r="G918" s="35" t="inlineStr">
        <is>
          <t>Actual + Forecast</t>
        </is>
      </c>
      <c r="H918" s="18">
        <f>IF($B$914="","",IF(1&lt;=$C$4,N(H915),IF(H917="",H914,H917)))</f>
        <v/>
      </c>
      <c r="I918" s="18">
        <f>IF($B$914="","",IF(2&lt;=$C$4,N(I915),IF(I917="",I914,I917)))</f>
        <v/>
      </c>
      <c r="J918" s="18">
        <f>IF($B$914="","",IF(3&lt;=$C$4,N(J915),IF(J917="",J914,J917)))</f>
        <v/>
      </c>
      <c r="K918" s="18">
        <f>IF($B$914="","",IF(4&lt;=$C$4,N(K915),IF(K917="",K914,K917)))</f>
        <v/>
      </c>
      <c r="L918" s="18">
        <f>IF($B$914="","",IF(5&lt;=$C$4,N(L915),IF(L917="",L914,L917)))</f>
        <v/>
      </c>
      <c r="M918" s="18">
        <f>IF($B$914="","",IF(6&lt;=$C$4,N(M915),IF(M917="",M914,M917)))</f>
        <v/>
      </c>
      <c r="N918" s="18">
        <f>IF($B$914="","",IF(7&lt;=$C$4,N(N915),IF(N917="",N914,N917)))</f>
        <v/>
      </c>
      <c r="O918" s="18">
        <f>IF($B$914="","",IF(8&lt;=$C$4,N(O915),IF(O917="",O914,O917)))</f>
        <v/>
      </c>
      <c r="P918" s="18">
        <f>IF($B$914="","",IF(9&lt;=$C$4,N(P915),IF(P917="",P914,P917)))</f>
        <v/>
      </c>
      <c r="Q918" s="18">
        <f>IF($B$914="","",IF(10&lt;=$C$4,N(Q915),IF(Q917="",Q914,Q917)))</f>
        <v/>
      </c>
      <c r="R918" s="18">
        <f>IF($B$914="","",IF(11&lt;=$C$4,N(R915),IF(R917="",R914,R917)))</f>
        <v/>
      </c>
      <c r="S918" s="18">
        <f>IF($B$914="","",IF(12&lt;=$C$4,N(S915),IF(S917="",S914,S917)))</f>
        <v/>
      </c>
      <c r="T918" s="18">
        <f>IF($B$914="","",SUMIF($H$7:$S$7,"&lt;="&amp;$C$4,$H918:$S918))</f>
        <v/>
      </c>
      <c r="U918" s="18">
        <f>IF($B$914="","",SUMIF($H$7:$S$7,"&gt;"&amp;$C$4,$H918:$S918))</f>
        <v/>
      </c>
      <c r="V918" s="18">
        <f>IF($B$914="","",SUM($H918:$S918))</f>
        <v/>
      </c>
      <c r="X918" s="22">
        <f>IF($B918="","",IFERROR(INDEX(Cost_Centers!$E:$E,MATCH($B918,Cost_Centers!$A:$A,0)),"(unknown)"))</f>
        <v/>
      </c>
      <c r="Y918" s="22">
        <f>IF($B918="","",IFERROR(INDEX(Cost_Centers!$D:$D,MATCH($B918,Cost_Centers!$A:$A,0)),"(unknown)"))</f>
        <v/>
      </c>
      <c r="Z918" s="22">
        <f>IF(OR($B918="",$G918&lt;&gt;"Variance vs Budget"),"",ABS(N($V918))+ROW()/1000000000)</f>
        <v/>
      </c>
    </row>
    <row r="919">
      <c r="A919" s="13">
        <f>IF(A$914="","",A$914)</f>
        <v/>
      </c>
      <c r="B919" s="13">
        <f>IF(B$914="","",B$914)</f>
        <v/>
      </c>
      <c r="C919" s="13">
        <f>IF(C$914="","",C$914)</f>
        <v/>
      </c>
      <c r="D919" s="13">
        <f>IF(D$914="","",D$914)</f>
        <v/>
      </c>
      <c r="E919" s="13">
        <f>IF(E$914="","",E$914)</f>
        <v/>
      </c>
      <c r="F919" s="13">
        <f>IF(F$914="","",F$914)</f>
        <v/>
      </c>
      <c r="G919" s="36" t="inlineStr">
        <is>
          <t>Prior Month Forecast</t>
        </is>
      </c>
      <c r="H919" s="37">
        <f>IF($B$914="","",IF(COUNTIFS(Prior_Forecast!$A:$A,$B$914,Prior_Forecast!$B:$B,$D$914)&gt;0,SUMIFS(Prior_Forecast!$C:$C,Prior_Forecast!$A:$A,$B$914,Prior_Forecast!$B:$B,$D$914),""))</f>
        <v/>
      </c>
      <c r="I919" s="37">
        <f>IF($B$914="","",IF(COUNTIFS(Prior_Forecast!$A:$A,$B$914,Prior_Forecast!$B:$B,$D$914)&gt;0,SUMIFS(Prior_Forecast!$D:$D,Prior_Forecast!$A:$A,$B$914,Prior_Forecast!$B:$B,$D$914),""))</f>
        <v/>
      </c>
      <c r="J919" s="37">
        <f>IF($B$914="","",IF(COUNTIFS(Prior_Forecast!$A:$A,$B$914,Prior_Forecast!$B:$B,$D$914)&gt;0,SUMIFS(Prior_Forecast!$E:$E,Prior_Forecast!$A:$A,$B$914,Prior_Forecast!$B:$B,$D$914),""))</f>
        <v/>
      </c>
      <c r="K919" s="37">
        <f>IF($B$914="","",IF(COUNTIFS(Prior_Forecast!$A:$A,$B$914,Prior_Forecast!$B:$B,$D$914)&gt;0,SUMIFS(Prior_Forecast!$F:$F,Prior_Forecast!$A:$A,$B$914,Prior_Forecast!$B:$B,$D$914),""))</f>
        <v/>
      </c>
      <c r="L919" s="37">
        <f>IF($B$914="","",IF(COUNTIFS(Prior_Forecast!$A:$A,$B$914,Prior_Forecast!$B:$B,$D$914)&gt;0,SUMIFS(Prior_Forecast!$G:$G,Prior_Forecast!$A:$A,$B$914,Prior_Forecast!$B:$B,$D$914),""))</f>
        <v/>
      </c>
      <c r="M919" s="37">
        <f>IF($B$914="","",IF(COUNTIFS(Prior_Forecast!$A:$A,$B$914,Prior_Forecast!$B:$B,$D$914)&gt;0,SUMIFS(Prior_Forecast!$H:$H,Prior_Forecast!$A:$A,$B$914,Prior_Forecast!$B:$B,$D$914),""))</f>
        <v/>
      </c>
      <c r="N919" s="37">
        <f>IF($B$914="","",IF(COUNTIFS(Prior_Forecast!$A:$A,$B$914,Prior_Forecast!$B:$B,$D$914)&gt;0,SUMIFS(Prior_Forecast!$I:$I,Prior_Forecast!$A:$A,$B$914,Prior_Forecast!$B:$B,$D$914),""))</f>
        <v/>
      </c>
      <c r="O919" s="37">
        <f>IF($B$914="","",IF(COUNTIFS(Prior_Forecast!$A:$A,$B$914,Prior_Forecast!$B:$B,$D$914)&gt;0,SUMIFS(Prior_Forecast!$J:$J,Prior_Forecast!$A:$A,$B$914,Prior_Forecast!$B:$B,$D$914),""))</f>
        <v/>
      </c>
      <c r="P919" s="37">
        <f>IF($B$914="","",IF(COUNTIFS(Prior_Forecast!$A:$A,$B$914,Prior_Forecast!$B:$B,$D$914)&gt;0,SUMIFS(Prior_Forecast!$K:$K,Prior_Forecast!$A:$A,$B$914,Prior_Forecast!$B:$B,$D$914),""))</f>
        <v/>
      </c>
      <c r="Q919" s="37">
        <f>IF($B$914="","",IF(COUNTIFS(Prior_Forecast!$A:$A,$B$914,Prior_Forecast!$B:$B,$D$914)&gt;0,SUMIFS(Prior_Forecast!$L:$L,Prior_Forecast!$A:$A,$B$914,Prior_Forecast!$B:$B,$D$914),""))</f>
        <v/>
      </c>
      <c r="R919" s="37">
        <f>IF($B$914="","",IF(COUNTIFS(Prior_Forecast!$A:$A,$B$914,Prior_Forecast!$B:$B,$D$914)&gt;0,SUMIFS(Prior_Forecast!$M:$M,Prior_Forecast!$A:$A,$B$914,Prior_Forecast!$B:$B,$D$914),""))</f>
        <v/>
      </c>
      <c r="S919" s="37">
        <f>IF($B$914="","",IF(COUNTIFS(Prior_Forecast!$A:$A,$B$914,Prior_Forecast!$B:$B,$D$914)&gt;0,SUMIFS(Prior_Forecast!$N:$N,Prior_Forecast!$A:$A,$B$914,Prior_Forecast!$B:$B,$D$914),""))</f>
        <v/>
      </c>
      <c r="T919" s="37">
        <f>IF($B$914="","",IF(COUNTIFS(Prior_Forecast!$A:$A,$B$914,Prior_Forecast!$B:$B,$D$914)&gt;0,SUMIFS(Prior_Forecast!$O:$O,Prior_Forecast!$A:$A,$B$914,Prior_Forecast!$B:$B,$D$914),""))</f>
        <v/>
      </c>
      <c r="U919" s="37">
        <f>IF($B$914="","",IF(COUNTIFS(Prior_Forecast!$A:$A,$B$914,Prior_Forecast!$B:$B,$D$914)&gt;0,SUMIFS(Prior_Forecast!$P:$P,Prior_Forecast!$A:$A,$B$914,Prior_Forecast!$B:$B,$D$914),""))</f>
        <v/>
      </c>
      <c r="V919" s="37">
        <f>IF($B$914="","",IF(COUNTIFS(Prior_Forecast!$A:$A,$B$914,Prior_Forecast!$B:$B,$D$914)&gt;0,SUMIFS(Prior_Forecast!$Q:$Q,Prior_Forecast!$A:$A,$B$914,Prior_Forecast!$B:$B,$D$914),""))</f>
        <v/>
      </c>
      <c r="X919" s="22">
        <f>IF($B919="","",IFERROR(INDEX(Cost_Centers!$E:$E,MATCH($B919,Cost_Centers!$A:$A,0)),"(unknown)"))</f>
        <v/>
      </c>
      <c r="Y919" s="22">
        <f>IF($B919="","",IFERROR(INDEX(Cost_Centers!$D:$D,MATCH($B919,Cost_Centers!$A:$A,0)),"(unknown)"))</f>
        <v/>
      </c>
      <c r="Z919" s="22">
        <f>IF(OR($B919="",$G919&lt;&gt;"Variance vs Budget"),"",ABS(N($V919))+ROW()/1000000000)</f>
        <v/>
      </c>
    </row>
    <row r="920">
      <c r="A920" s="13">
        <f>IF(A$914="","",A$914)</f>
        <v/>
      </c>
      <c r="B920" s="13">
        <f>IF(B$914="","",B$914)</f>
        <v/>
      </c>
      <c r="C920" s="13">
        <f>IF(C$914="","",C$914)</f>
        <v/>
      </c>
      <c r="D920" s="13">
        <f>IF(D$914="","",D$914)</f>
        <v/>
      </c>
      <c r="E920" s="13">
        <f>IF(E$914="","",E$914)</f>
        <v/>
      </c>
      <c r="F920" s="13">
        <f>IF(F$914="","",F$914)</f>
        <v/>
      </c>
      <c r="G920" s="6" t="inlineStr">
        <is>
          <t>Variance vs Prior Month</t>
        </is>
      </c>
      <c r="H920" s="33">
        <f>IF(OR($B$914="",H919=""),"",H918-H919)</f>
        <v/>
      </c>
      <c r="I920" s="33">
        <f>IF(OR($B$914="",I919=""),"",I918-I919)</f>
        <v/>
      </c>
      <c r="J920" s="33">
        <f>IF(OR($B$914="",J919=""),"",J918-J919)</f>
        <v/>
      </c>
      <c r="K920" s="33">
        <f>IF(OR($B$914="",K919=""),"",K918-K919)</f>
        <v/>
      </c>
      <c r="L920" s="33">
        <f>IF(OR($B$914="",L919=""),"",L918-L919)</f>
        <v/>
      </c>
      <c r="M920" s="33">
        <f>IF(OR($B$914="",M919=""),"",M918-M919)</f>
        <v/>
      </c>
      <c r="N920" s="33">
        <f>IF(OR($B$914="",N919=""),"",N918-N919)</f>
        <v/>
      </c>
      <c r="O920" s="33">
        <f>IF(OR($B$914="",O919=""),"",O918-O919)</f>
        <v/>
      </c>
      <c r="P920" s="33">
        <f>IF(OR($B$914="",P919=""),"",P918-P919)</f>
        <v/>
      </c>
      <c r="Q920" s="33">
        <f>IF(OR($B$914="",Q919=""),"",Q918-Q919)</f>
        <v/>
      </c>
      <c r="R920" s="33">
        <f>IF(OR($B$914="",R919=""),"",R918-R919)</f>
        <v/>
      </c>
      <c r="S920" s="33">
        <f>IF(OR($B$914="",S919=""),"",S918-S919)</f>
        <v/>
      </c>
      <c r="T920" s="33">
        <f>IF(OR($B$914="",T919=""),"",T918-T919)</f>
        <v/>
      </c>
      <c r="U920" s="33">
        <f>IF(OR($B$914="",U919=""),"",U918-U919)</f>
        <v/>
      </c>
      <c r="V920" s="33">
        <f>IF(OR($B$914="",V919=""),"",V918-V919)</f>
        <v/>
      </c>
      <c r="X920" s="22">
        <f>IF($B920="","",IFERROR(INDEX(Cost_Centers!$E:$E,MATCH($B920,Cost_Centers!$A:$A,0)),"(unknown)"))</f>
        <v/>
      </c>
      <c r="Y920" s="22">
        <f>IF($B920="","",IFERROR(INDEX(Cost_Centers!$D:$D,MATCH($B920,Cost_Centers!$A:$A,0)),"(unknown)"))</f>
        <v/>
      </c>
      <c r="Z920" s="22">
        <f>IF(OR($B920="",$G920&lt;&gt;"Variance vs Budget"),"",ABS(N($V920))+ROW()/1000000000)</f>
        <v/>
      </c>
    </row>
    <row r="921" ht="45" customHeight="1">
      <c r="A921" s="13">
        <f>IF(A$914="","",A$914)</f>
        <v/>
      </c>
      <c r="B921" s="13">
        <f>IF(B$914="","",B$914)</f>
        <v/>
      </c>
      <c r="C921" s="13">
        <f>IF(C$914="","",C$914)</f>
        <v/>
      </c>
      <c r="D921" s="13">
        <f>IF(D$914="","",D$914)</f>
        <v/>
      </c>
      <c r="E921" s="13">
        <f>IF(E$914="","",E$914)</f>
        <v/>
      </c>
      <c r="F921" s="13">
        <f>IF(F$914="","",F$914)</f>
        <v/>
      </c>
      <c r="G921" s="7" t="inlineStr">
        <is>
          <t>Rationale</t>
        </is>
      </c>
      <c r="H921" s="38" t="n"/>
      <c r="I921" s="38" t="n"/>
      <c r="J921" s="38" t="n"/>
      <c r="K921" s="38" t="n"/>
      <c r="L921" s="38" t="n"/>
      <c r="M921" s="38" t="n"/>
      <c r="N921" s="38" t="n"/>
      <c r="O921" s="38" t="n"/>
      <c r="P921" s="38" t="n"/>
      <c r="Q921" s="38" t="n"/>
      <c r="R921" s="38" t="n"/>
      <c r="S921" s="38" t="n"/>
      <c r="T921" s="38" t="n"/>
      <c r="U921" s="38" t="n"/>
      <c r="V921" s="7" t="n"/>
      <c r="X921" s="22">
        <f>IF($B921="","",IFERROR(INDEX(Cost_Centers!$E:$E,MATCH($B921,Cost_Centers!$A:$A,0)),"(unknown)"))</f>
        <v/>
      </c>
      <c r="Y921" s="22">
        <f>IF($B921="","",IFERROR(INDEX(Cost_Centers!$D:$D,MATCH($B921,Cost_Centers!$A:$A,0)),"(unknown)"))</f>
        <v/>
      </c>
      <c r="Z921" s="22">
        <f>IF(OR($B921="",$G921&lt;&gt;"Variance vs Budget"),"",ABS(N($V921))+ROW()/1000000000)</f>
        <v/>
      </c>
    </row>
    <row r="922">
      <c r="A922" s="30">
        <f>IF($D$922="","",LEFT($D$922,FIND("|",$D$922&amp;"|")-1))</f>
        <v/>
      </c>
      <c r="B922" s="31" t="n"/>
      <c r="C922" s="30">
        <f>IF($B$922="","",IFERROR(INDEX(Cost_Centers!$B:$B,MATCH($B$922,Cost_Centers!$A:$A,0)),"(not in master)"))</f>
        <v/>
      </c>
      <c r="D922" s="31" t="n"/>
      <c r="E922" s="30">
        <f>IF($D$922="","",IFERROR(INDEX(Accounts!$D:$D,MATCH($D$922,Accounts!$A:$A,0)),"(not in master)"))</f>
        <v/>
      </c>
      <c r="F922" s="31" t="n"/>
      <c r="G922" s="30" t="inlineStr">
        <is>
          <t>Budget</t>
        </is>
      </c>
      <c r="H922" s="32">
        <f>IF($B$922="","",SUMIFS(Opex_Budget!$O:$O,Opex_Budget!$A:$A,$C$3,Opex_Budget!$E:$E,$B$922,Opex_Budget!$F:$F,$D$922,Opex_Budget!$N:$N,"JPY")*$E$5+SUMIFS(Opex_Budget!$O:$O,Opex_Budget!$A:$A,$C$3,Opex_Budget!$E:$E,$B$922,Opex_Budget!$F:$F,$D$922,Opex_Budget!$N:$N,"USD")*$F$5+SUMIFS(Opex_Budget!$O:$O,Opex_Budget!$A:$A,$C$3,Opex_Budget!$E:$E,$B$922,Opex_Budget!$F:$F,$D$922,Opex_Budget!$N:$N,"EUR")*$G$5+SUMIFS(Opex_Budget!$O:$O,Opex_Budget!$A:$A,$C$3,Opex_Budget!$E:$E,$B$922,Opex_Budget!$F:$F,$D$922,Opex_Budget!$N:$N,"GBP")*$H$5)</f>
        <v/>
      </c>
      <c r="I922" s="32">
        <f>IF($B$922="","",SUMIFS(Opex_Budget!$P:$P,Opex_Budget!$A:$A,$C$3,Opex_Budget!$E:$E,$B$922,Opex_Budget!$F:$F,$D$922,Opex_Budget!$N:$N,"JPY")*$E$5+SUMIFS(Opex_Budget!$P:$P,Opex_Budget!$A:$A,$C$3,Opex_Budget!$E:$E,$B$922,Opex_Budget!$F:$F,$D$922,Opex_Budget!$N:$N,"USD")*$F$5+SUMIFS(Opex_Budget!$P:$P,Opex_Budget!$A:$A,$C$3,Opex_Budget!$E:$E,$B$922,Opex_Budget!$F:$F,$D$922,Opex_Budget!$N:$N,"EUR")*$G$5+SUMIFS(Opex_Budget!$P:$P,Opex_Budget!$A:$A,$C$3,Opex_Budget!$E:$E,$B$922,Opex_Budget!$F:$F,$D$922,Opex_Budget!$N:$N,"GBP")*$H$5)</f>
        <v/>
      </c>
      <c r="J922" s="32">
        <f>IF($B$922="","",SUMIFS(Opex_Budget!$Q:$Q,Opex_Budget!$A:$A,$C$3,Opex_Budget!$E:$E,$B$922,Opex_Budget!$F:$F,$D$922,Opex_Budget!$N:$N,"JPY")*$E$5+SUMIFS(Opex_Budget!$Q:$Q,Opex_Budget!$A:$A,$C$3,Opex_Budget!$E:$E,$B$922,Opex_Budget!$F:$F,$D$922,Opex_Budget!$N:$N,"USD")*$F$5+SUMIFS(Opex_Budget!$Q:$Q,Opex_Budget!$A:$A,$C$3,Opex_Budget!$E:$E,$B$922,Opex_Budget!$F:$F,$D$922,Opex_Budget!$N:$N,"EUR")*$G$5+SUMIFS(Opex_Budget!$Q:$Q,Opex_Budget!$A:$A,$C$3,Opex_Budget!$E:$E,$B$922,Opex_Budget!$F:$F,$D$922,Opex_Budget!$N:$N,"GBP")*$H$5)</f>
        <v/>
      </c>
      <c r="K922" s="32">
        <f>IF($B$922="","",SUMIFS(Opex_Budget!$R:$R,Opex_Budget!$A:$A,$C$3,Opex_Budget!$E:$E,$B$922,Opex_Budget!$F:$F,$D$922,Opex_Budget!$N:$N,"JPY")*$E$5+SUMIFS(Opex_Budget!$R:$R,Opex_Budget!$A:$A,$C$3,Opex_Budget!$E:$E,$B$922,Opex_Budget!$F:$F,$D$922,Opex_Budget!$N:$N,"USD")*$F$5+SUMIFS(Opex_Budget!$R:$R,Opex_Budget!$A:$A,$C$3,Opex_Budget!$E:$E,$B$922,Opex_Budget!$F:$F,$D$922,Opex_Budget!$N:$N,"EUR")*$G$5+SUMIFS(Opex_Budget!$R:$R,Opex_Budget!$A:$A,$C$3,Opex_Budget!$E:$E,$B$922,Opex_Budget!$F:$F,$D$922,Opex_Budget!$N:$N,"GBP")*$H$5)</f>
        <v/>
      </c>
      <c r="L922" s="32">
        <f>IF($B$922="","",SUMIFS(Opex_Budget!$S:$S,Opex_Budget!$A:$A,$C$3,Opex_Budget!$E:$E,$B$922,Opex_Budget!$F:$F,$D$922,Opex_Budget!$N:$N,"JPY")*$E$5+SUMIFS(Opex_Budget!$S:$S,Opex_Budget!$A:$A,$C$3,Opex_Budget!$E:$E,$B$922,Opex_Budget!$F:$F,$D$922,Opex_Budget!$N:$N,"USD")*$F$5+SUMIFS(Opex_Budget!$S:$S,Opex_Budget!$A:$A,$C$3,Opex_Budget!$E:$E,$B$922,Opex_Budget!$F:$F,$D$922,Opex_Budget!$N:$N,"EUR")*$G$5+SUMIFS(Opex_Budget!$S:$S,Opex_Budget!$A:$A,$C$3,Opex_Budget!$E:$E,$B$922,Opex_Budget!$F:$F,$D$922,Opex_Budget!$N:$N,"GBP")*$H$5)</f>
        <v/>
      </c>
      <c r="M922" s="32">
        <f>IF($B$922="","",SUMIFS(Opex_Budget!$T:$T,Opex_Budget!$A:$A,$C$3,Opex_Budget!$E:$E,$B$922,Opex_Budget!$F:$F,$D$922,Opex_Budget!$N:$N,"JPY")*$E$5+SUMIFS(Opex_Budget!$T:$T,Opex_Budget!$A:$A,$C$3,Opex_Budget!$E:$E,$B$922,Opex_Budget!$F:$F,$D$922,Opex_Budget!$N:$N,"USD")*$F$5+SUMIFS(Opex_Budget!$T:$T,Opex_Budget!$A:$A,$C$3,Opex_Budget!$E:$E,$B$922,Opex_Budget!$F:$F,$D$922,Opex_Budget!$N:$N,"EUR")*$G$5+SUMIFS(Opex_Budget!$T:$T,Opex_Budget!$A:$A,$C$3,Opex_Budget!$E:$E,$B$922,Opex_Budget!$F:$F,$D$922,Opex_Budget!$N:$N,"GBP")*$H$5)</f>
        <v/>
      </c>
      <c r="N922" s="32">
        <f>IF($B$922="","",SUMIFS(Opex_Budget!$U:$U,Opex_Budget!$A:$A,$C$3,Opex_Budget!$E:$E,$B$922,Opex_Budget!$F:$F,$D$922,Opex_Budget!$N:$N,"JPY")*$E$5+SUMIFS(Opex_Budget!$U:$U,Opex_Budget!$A:$A,$C$3,Opex_Budget!$E:$E,$B$922,Opex_Budget!$F:$F,$D$922,Opex_Budget!$N:$N,"USD")*$F$5+SUMIFS(Opex_Budget!$U:$U,Opex_Budget!$A:$A,$C$3,Opex_Budget!$E:$E,$B$922,Opex_Budget!$F:$F,$D$922,Opex_Budget!$N:$N,"EUR")*$G$5+SUMIFS(Opex_Budget!$U:$U,Opex_Budget!$A:$A,$C$3,Opex_Budget!$E:$E,$B$922,Opex_Budget!$F:$F,$D$922,Opex_Budget!$N:$N,"GBP")*$H$5)</f>
        <v/>
      </c>
      <c r="O922" s="32">
        <f>IF($B$922="","",SUMIFS(Opex_Budget!$V:$V,Opex_Budget!$A:$A,$C$3,Opex_Budget!$E:$E,$B$922,Opex_Budget!$F:$F,$D$922,Opex_Budget!$N:$N,"JPY")*$E$5+SUMIFS(Opex_Budget!$V:$V,Opex_Budget!$A:$A,$C$3,Opex_Budget!$E:$E,$B$922,Opex_Budget!$F:$F,$D$922,Opex_Budget!$N:$N,"USD")*$F$5+SUMIFS(Opex_Budget!$V:$V,Opex_Budget!$A:$A,$C$3,Opex_Budget!$E:$E,$B$922,Opex_Budget!$F:$F,$D$922,Opex_Budget!$N:$N,"EUR")*$G$5+SUMIFS(Opex_Budget!$V:$V,Opex_Budget!$A:$A,$C$3,Opex_Budget!$E:$E,$B$922,Opex_Budget!$F:$F,$D$922,Opex_Budget!$N:$N,"GBP")*$H$5)</f>
        <v/>
      </c>
      <c r="P922" s="32">
        <f>IF($B$922="","",SUMIFS(Opex_Budget!$W:$W,Opex_Budget!$A:$A,$C$3,Opex_Budget!$E:$E,$B$922,Opex_Budget!$F:$F,$D$922,Opex_Budget!$N:$N,"JPY")*$E$5+SUMIFS(Opex_Budget!$W:$W,Opex_Budget!$A:$A,$C$3,Opex_Budget!$E:$E,$B$922,Opex_Budget!$F:$F,$D$922,Opex_Budget!$N:$N,"USD")*$F$5+SUMIFS(Opex_Budget!$W:$W,Opex_Budget!$A:$A,$C$3,Opex_Budget!$E:$E,$B$922,Opex_Budget!$F:$F,$D$922,Opex_Budget!$N:$N,"EUR")*$G$5+SUMIFS(Opex_Budget!$W:$W,Opex_Budget!$A:$A,$C$3,Opex_Budget!$E:$E,$B$922,Opex_Budget!$F:$F,$D$922,Opex_Budget!$N:$N,"GBP")*$H$5)</f>
        <v/>
      </c>
      <c r="Q922" s="32">
        <f>IF($B$922="","",SUMIFS(Opex_Budget!$X:$X,Opex_Budget!$A:$A,$C$3,Opex_Budget!$E:$E,$B$922,Opex_Budget!$F:$F,$D$922,Opex_Budget!$N:$N,"JPY")*$E$5+SUMIFS(Opex_Budget!$X:$X,Opex_Budget!$A:$A,$C$3,Opex_Budget!$E:$E,$B$922,Opex_Budget!$F:$F,$D$922,Opex_Budget!$N:$N,"USD")*$F$5+SUMIFS(Opex_Budget!$X:$X,Opex_Budget!$A:$A,$C$3,Opex_Budget!$E:$E,$B$922,Opex_Budget!$F:$F,$D$922,Opex_Budget!$N:$N,"EUR")*$G$5+SUMIFS(Opex_Budget!$X:$X,Opex_Budget!$A:$A,$C$3,Opex_Budget!$E:$E,$B$922,Opex_Budget!$F:$F,$D$922,Opex_Budget!$N:$N,"GBP")*$H$5)</f>
        <v/>
      </c>
      <c r="R922" s="32">
        <f>IF($B$922="","",SUMIFS(Opex_Budget!$Y:$Y,Opex_Budget!$A:$A,$C$3,Opex_Budget!$E:$E,$B$922,Opex_Budget!$F:$F,$D$922,Opex_Budget!$N:$N,"JPY")*$E$5+SUMIFS(Opex_Budget!$Y:$Y,Opex_Budget!$A:$A,$C$3,Opex_Budget!$E:$E,$B$922,Opex_Budget!$F:$F,$D$922,Opex_Budget!$N:$N,"USD")*$F$5+SUMIFS(Opex_Budget!$Y:$Y,Opex_Budget!$A:$A,$C$3,Opex_Budget!$E:$E,$B$922,Opex_Budget!$F:$F,$D$922,Opex_Budget!$N:$N,"EUR")*$G$5+SUMIFS(Opex_Budget!$Y:$Y,Opex_Budget!$A:$A,$C$3,Opex_Budget!$E:$E,$B$922,Opex_Budget!$F:$F,$D$922,Opex_Budget!$N:$N,"GBP")*$H$5)</f>
        <v/>
      </c>
      <c r="S922" s="32">
        <f>IF($B$922="","",SUMIFS(Opex_Budget!$Z:$Z,Opex_Budget!$A:$A,$C$3,Opex_Budget!$E:$E,$B$922,Opex_Budget!$F:$F,$D$922,Opex_Budget!$N:$N,"JPY")*$E$5+SUMIFS(Opex_Budget!$Z:$Z,Opex_Budget!$A:$A,$C$3,Opex_Budget!$E:$E,$B$922,Opex_Budget!$F:$F,$D$922,Opex_Budget!$N:$N,"USD")*$F$5+SUMIFS(Opex_Budget!$Z:$Z,Opex_Budget!$A:$A,$C$3,Opex_Budget!$E:$E,$B$922,Opex_Budget!$F:$F,$D$922,Opex_Budget!$N:$N,"EUR")*$G$5+SUMIFS(Opex_Budget!$Z:$Z,Opex_Budget!$A:$A,$C$3,Opex_Budget!$E:$E,$B$922,Opex_Budget!$F:$F,$D$922,Opex_Budget!$N:$N,"GBP")*$H$5)</f>
        <v/>
      </c>
      <c r="T922" s="32">
        <f>IF($B$922="","",SUMIF($H$7:$S$7,"&lt;="&amp;$C$4,$H922:$S922))</f>
        <v/>
      </c>
      <c r="U922" s="32">
        <f>IF($B$922="","",SUMIF($H$7:$S$7,"&gt;"&amp;$C$4,$H922:$S922))</f>
        <v/>
      </c>
      <c r="V922" s="32">
        <f>IF($B$922="","",SUM($H922:$S922))</f>
        <v/>
      </c>
      <c r="X922" s="22">
        <f>IF($B922="","",IFERROR(INDEX(Cost_Centers!$E:$E,MATCH($B922,Cost_Centers!$A:$A,0)),"(unknown)"))</f>
        <v/>
      </c>
      <c r="Y922" s="22">
        <f>IF($B922="","",IFERROR(INDEX(Cost_Centers!$D:$D,MATCH($B922,Cost_Centers!$A:$A,0)),"(unknown)"))</f>
        <v/>
      </c>
      <c r="Z922" s="22">
        <f>IF(OR($B922="",$G922&lt;&gt;"Variance vs Budget"),"",ABS(N($V922))+ROW()/1000000000)</f>
        <v/>
      </c>
    </row>
    <row r="923">
      <c r="A923" s="13">
        <f>IF(A$922="","",A$922)</f>
        <v/>
      </c>
      <c r="B923" s="13">
        <f>IF(B$922="","",B$922)</f>
        <v/>
      </c>
      <c r="C923" s="13">
        <f>IF(C$922="","",C$922)</f>
        <v/>
      </c>
      <c r="D923" s="13">
        <f>IF(D$922="","",D$922)</f>
        <v/>
      </c>
      <c r="E923" s="13">
        <f>IF(E$922="","",E$922)</f>
        <v/>
      </c>
      <c r="F923" s="13">
        <f>IF(F$922="","",F$922)</f>
        <v/>
      </c>
      <c r="G923" s="7" t="inlineStr">
        <is>
          <t>Actual</t>
        </is>
      </c>
      <c r="H923" s="18">
        <f>IF(OR($B$922="",1&gt;$C$4),"",SUMIFS(Actuals!$G:$G,Actuals!$B:$B,$C$3,Actuals!$C:$C,1,Actuals!$D:$D,$B$922,Actuals!$A:$A,LEFT($D$922,FIND("|",$D$922&amp;"|")-1),Actuals!$E:$E,MID($D$922,FIND("|",$D$922&amp;"|")+1,50),Actuals!$F:$F,"JPY")*$E$5+SUMIFS(Actuals!$G:$G,Actuals!$B:$B,$C$3,Actuals!$C:$C,1,Actuals!$D:$D,$B$922,Actuals!$A:$A,LEFT($D$922,FIND("|",$D$922&amp;"|")-1),Actuals!$E:$E,MID($D$922,FIND("|",$D$922&amp;"|")+1,50),Actuals!$F:$F,"USD")*$F$5+SUMIFS(Actuals!$G:$G,Actuals!$B:$B,$C$3,Actuals!$C:$C,1,Actuals!$D:$D,$B$922,Actuals!$A:$A,LEFT($D$922,FIND("|",$D$922&amp;"|")-1),Actuals!$E:$E,MID($D$922,FIND("|",$D$922&amp;"|")+1,50),Actuals!$F:$F,"EUR")*$G$5+SUMIFS(Actuals!$G:$G,Actuals!$B:$B,$C$3,Actuals!$C:$C,1,Actuals!$D:$D,$B$922,Actuals!$A:$A,LEFT($D$922,FIND("|",$D$922&amp;"|")-1),Actuals!$E:$E,MID($D$922,FIND("|",$D$922&amp;"|")+1,50),Actuals!$F:$F,"GBP")*$H$5)</f>
        <v/>
      </c>
      <c r="I923" s="18">
        <f>IF(OR($B$922="",2&gt;$C$4),"",SUMIFS(Actuals!$G:$G,Actuals!$B:$B,$C$3,Actuals!$C:$C,2,Actuals!$D:$D,$B$922,Actuals!$A:$A,LEFT($D$922,FIND("|",$D$922&amp;"|")-1),Actuals!$E:$E,MID($D$922,FIND("|",$D$922&amp;"|")+1,50),Actuals!$F:$F,"JPY")*$E$5+SUMIFS(Actuals!$G:$G,Actuals!$B:$B,$C$3,Actuals!$C:$C,2,Actuals!$D:$D,$B$922,Actuals!$A:$A,LEFT($D$922,FIND("|",$D$922&amp;"|")-1),Actuals!$E:$E,MID($D$922,FIND("|",$D$922&amp;"|")+1,50),Actuals!$F:$F,"USD")*$F$5+SUMIFS(Actuals!$G:$G,Actuals!$B:$B,$C$3,Actuals!$C:$C,2,Actuals!$D:$D,$B$922,Actuals!$A:$A,LEFT($D$922,FIND("|",$D$922&amp;"|")-1),Actuals!$E:$E,MID($D$922,FIND("|",$D$922&amp;"|")+1,50),Actuals!$F:$F,"EUR")*$G$5+SUMIFS(Actuals!$G:$G,Actuals!$B:$B,$C$3,Actuals!$C:$C,2,Actuals!$D:$D,$B$922,Actuals!$A:$A,LEFT($D$922,FIND("|",$D$922&amp;"|")-1),Actuals!$E:$E,MID($D$922,FIND("|",$D$922&amp;"|")+1,50),Actuals!$F:$F,"GBP")*$H$5)</f>
        <v/>
      </c>
      <c r="J923" s="18">
        <f>IF(OR($B$922="",3&gt;$C$4),"",SUMIFS(Actuals!$G:$G,Actuals!$B:$B,$C$3,Actuals!$C:$C,3,Actuals!$D:$D,$B$922,Actuals!$A:$A,LEFT($D$922,FIND("|",$D$922&amp;"|")-1),Actuals!$E:$E,MID($D$922,FIND("|",$D$922&amp;"|")+1,50),Actuals!$F:$F,"JPY")*$E$5+SUMIFS(Actuals!$G:$G,Actuals!$B:$B,$C$3,Actuals!$C:$C,3,Actuals!$D:$D,$B$922,Actuals!$A:$A,LEFT($D$922,FIND("|",$D$922&amp;"|")-1),Actuals!$E:$E,MID($D$922,FIND("|",$D$922&amp;"|")+1,50),Actuals!$F:$F,"USD")*$F$5+SUMIFS(Actuals!$G:$G,Actuals!$B:$B,$C$3,Actuals!$C:$C,3,Actuals!$D:$D,$B$922,Actuals!$A:$A,LEFT($D$922,FIND("|",$D$922&amp;"|")-1),Actuals!$E:$E,MID($D$922,FIND("|",$D$922&amp;"|")+1,50),Actuals!$F:$F,"EUR")*$G$5+SUMIFS(Actuals!$G:$G,Actuals!$B:$B,$C$3,Actuals!$C:$C,3,Actuals!$D:$D,$B$922,Actuals!$A:$A,LEFT($D$922,FIND("|",$D$922&amp;"|")-1),Actuals!$E:$E,MID($D$922,FIND("|",$D$922&amp;"|")+1,50),Actuals!$F:$F,"GBP")*$H$5)</f>
        <v/>
      </c>
      <c r="K923" s="18">
        <f>IF(OR($B$922="",4&gt;$C$4),"",SUMIFS(Actuals!$G:$G,Actuals!$B:$B,$C$3,Actuals!$C:$C,4,Actuals!$D:$D,$B$922,Actuals!$A:$A,LEFT($D$922,FIND("|",$D$922&amp;"|")-1),Actuals!$E:$E,MID($D$922,FIND("|",$D$922&amp;"|")+1,50),Actuals!$F:$F,"JPY")*$E$5+SUMIFS(Actuals!$G:$G,Actuals!$B:$B,$C$3,Actuals!$C:$C,4,Actuals!$D:$D,$B$922,Actuals!$A:$A,LEFT($D$922,FIND("|",$D$922&amp;"|")-1),Actuals!$E:$E,MID($D$922,FIND("|",$D$922&amp;"|")+1,50),Actuals!$F:$F,"USD")*$F$5+SUMIFS(Actuals!$G:$G,Actuals!$B:$B,$C$3,Actuals!$C:$C,4,Actuals!$D:$D,$B$922,Actuals!$A:$A,LEFT($D$922,FIND("|",$D$922&amp;"|")-1),Actuals!$E:$E,MID($D$922,FIND("|",$D$922&amp;"|")+1,50),Actuals!$F:$F,"EUR")*$G$5+SUMIFS(Actuals!$G:$G,Actuals!$B:$B,$C$3,Actuals!$C:$C,4,Actuals!$D:$D,$B$922,Actuals!$A:$A,LEFT($D$922,FIND("|",$D$922&amp;"|")-1),Actuals!$E:$E,MID($D$922,FIND("|",$D$922&amp;"|")+1,50),Actuals!$F:$F,"GBP")*$H$5)</f>
        <v/>
      </c>
      <c r="L923" s="18">
        <f>IF(OR($B$922="",5&gt;$C$4),"",SUMIFS(Actuals!$G:$G,Actuals!$B:$B,$C$3,Actuals!$C:$C,5,Actuals!$D:$D,$B$922,Actuals!$A:$A,LEFT($D$922,FIND("|",$D$922&amp;"|")-1),Actuals!$E:$E,MID($D$922,FIND("|",$D$922&amp;"|")+1,50),Actuals!$F:$F,"JPY")*$E$5+SUMIFS(Actuals!$G:$G,Actuals!$B:$B,$C$3,Actuals!$C:$C,5,Actuals!$D:$D,$B$922,Actuals!$A:$A,LEFT($D$922,FIND("|",$D$922&amp;"|")-1),Actuals!$E:$E,MID($D$922,FIND("|",$D$922&amp;"|")+1,50),Actuals!$F:$F,"USD")*$F$5+SUMIFS(Actuals!$G:$G,Actuals!$B:$B,$C$3,Actuals!$C:$C,5,Actuals!$D:$D,$B$922,Actuals!$A:$A,LEFT($D$922,FIND("|",$D$922&amp;"|")-1),Actuals!$E:$E,MID($D$922,FIND("|",$D$922&amp;"|")+1,50),Actuals!$F:$F,"EUR")*$G$5+SUMIFS(Actuals!$G:$G,Actuals!$B:$B,$C$3,Actuals!$C:$C,5,Actuals!$D:$D,$B$922,Actuals!$A:$A,LEFT($D$922,FIND("|",$D$922&amp;"|")-1),Actuals!$E:$E,MID($D$922,FIND("|",$D$922&amp;"|")+1,50),Actuals!$F:$F,"GBP")*$H$5)</f>
        <v/>
      </c>
      <c r="M923" s="18">
        <f>IF(OR($B$922="",6&gt;$C$4),"",SUMIFS(Actuals!$G:$G,Actuals!$B:$B,$C$3,Actuals!$C:$C,6,Actuals!$D:$D,$B$922,Actuals!$A:$A,LEFT($D$922,FIND("|",$D$922&amp;"|")-1),Actuals!$E:$E,MID($D$922,FIND("|",$D$922&amp;"|")+1,50),Actuals!$F:$F,"JPY")*$E$5+SUMIFS(Actuals!$G:$G,Actuals!$B:$B,$C$3,Actuals!$C:$C,6,Actuals!$D:$D,$B$922,Actuals!$A:$A,LEFT($D$922,FIND("|",$D$922&amp;"|")-1),Actuals!$E:$E,MID($D$922,FIND("|",$D$922&amp;"|")+1,50),Actuals!$F:$F,"USD")*$F$5+SUMIFS(Actuals!$G:$G,Actuals!$B:$B,$C$3,Actuals!$C:$C,6,Actuals!$D:$D,$B$922,Actuals!$A:$A,LEFT($D$922,FIND("|",$D$922&amp;"|")-1),Actuals!$E:$E,MID($D$922,FIND("|",$D$922&amp;"|")+1,50),Actuals!$F:$F,"EUR")*$G$5+SUMIFS(Actuals!$G:$G,Actuals!$B:$B,$C$3,Actuals!$C:$C,6,Actuals!$D:$D,$B$922,Actuals!$A:$A,LEFT($D$922,FIND("|",$D$922&amp;"|")-1),Actuals!$E:$E,MID($D$922,FIND("|",$D$922&amp;"|")+1,50),Actuals!$F:$F,"GBP")*$H$5)</f>
        <v/>
      </c>
      <c r="N923" s="18">
        <f>IF(OR($B$922="",7&gt;$C$4),"",SUMIFS(Actuals!$G:$G,Actuals!$B:$B,$C$3,Actuals!$C:$C,7,Actuals!$D:$D,$B$922,Actuals!$A:$A,LEFT($D$922,FIND("|",$D$922&amp;"|")-1),Actuals!$E:$E,MID($D$922,FIND("|",$D$922&amp;"|")+1,50),Actuals!$F:$F,"JPY")*$E$5+SUMIFS(Actuals!$G:$G,Actuals!$B:$B,$C$3,Actuals!$C:$C,7,Actuals!$D:$D,$B$922,Actuals!$A:$A,LEFT($D$922,FIND("|",$D$922&amp;"|")-1),Actuals!$E:$E,MID($D$922,FIND("|",$D$922&amp;"|")+1,50),Actuals!$F:$F,"USD")*$F$5+SUMIFS(Actuals!$G:$G,Actuals!$B:$B,$C$3,Actuals!$C:$C,7,Actuals!$D:$D,$B$922,Actuals!$A:$A,LEFT($D$922,FIND("|",$D$922&amp;"|")-1),Actuals!$E:$E,MID($D$922,FIND("|",$D$922&amp;"|")+1,50),Actuals!$F:$F,"EUR")*$G$5+SUMIFS(Actuals!$G:$G,Actuals!$B:$B,$C$3,Actuals!$C:$C,7,Actuals!$D:$D,$B$922,Actuals!$A:$A,LEFT($D$922,FIND("|",$D$922&amp;"|")-1),Actuals!$E:$E,MID($D$922,FIND("|",$D$922&amp;"|")+1,50),Actuals!$F:$F,"GBP")*$H$5)</f>
        <v/>
      </c>
      <c r="O923" s="18">
        <f>IF(OR($B$922="",8&gt;$C$4),"",SUMIFS(Actuals!$G:$G,Actuals!$B:$B,$C$3,Actuals!$C:$C,8,Actuals!$D:$D,$B$922,Actuals!$A:$A,LEFT($D$922,FIND("|",$D$922&amp;"|")-1),Actuals!$E:$E,MID($D$922,FIND("|",$D$922&amp;"|")+1,50),Actuals!$F:$F,"JPY")*$E$5+SUMIFS(Actuals!$G:$G,Actuals!$B:$B,$C$3,Actuals!$C:$C,8,Actuals!$D:$D,$B$922,Actuals!$A:$A,LEFT($D$922,FIND("|",$D$922&amp;"|")-1),Actuals!$E:$E,MID($D$922,FIND("|",$D$922&amp;"|")+1,50),Actuals!$F:$F,"USD")*$F$5+SUMIFS(Actuals!$G:$G,Actuals!$B:$B,$C$3,Actuals!$C:$C,8,Actuals!$D:$D,$B$922,Actuals!$A:$A,LEFT($D$922,FIND("|",$D$922&amp;"|")-1),Actuals!$E:$E,MID($D$922,FIND("|",$D$922&amp;"|")+1,50),Actuals!$F:$F,"EUR")*$G$5+SUMIFS(Actuals!$G:$G,Actuals!$B:$B,$C$3,Actuals!$C:$C,8,Actuals!$D:$D,$B$922,Actuals!$A:$A,LEFT($D$922,FIND("|",$D$922&amp;"|")-1),Actuals!$E:$E,MID($D$922,FIND("|",$D$922&amp;"|")+1,50),Actuals!$F:$F,"GBP")*$H$5)</f>
        <v/>
      </c>
      <c r="P923" s="18">
        <f>IF(OR($B$922="",9&gt;$C$4),"",SUMIFS(Actuals!$G:$G,Actuals!$B:$B,$C$3,Actuals!$C:$C,9,Actuals!$D:$D,$B$922,Actuals!$A:$A,LEFT($D$922,FIND("|",$D$922&amp;"|")-1),Actuals!$E:$E,MID($D$922,FIND("|",$D$922&amp;"|")+1,50),Actuals!$F:$F,"JPY")*$E$5+SUMIFS(Actuals!$G:$G,Actuals!$B:$B,$C$3,Actuals!$C:$C,9,Actuals!$D:$D,$B$922,Actuals!$A:$A,LEFT($D$922,FIND("|",$D$922&amp;"|")-1),Actuals!$E:$E,MID($D$922,FIND("|",$D$922&amp;"|")+1,50),Actuals!$F:$F,"USD")*$F$5+SUMIFS(Actuals!$G:$G,Actuals!$B:$B,$C$3,Actuals!$C:$C,9,Actuals!$D:$D,$B$922,Actuals!$A:$A,LEFT($D$922,FIND("|",$D$922&amp;"|")-1),Actuals!$E:$E,MID($D$922,FIND("|",$D$922&amp;"|")+1,50),Actuals!$F:$F,"EUR")*$G$5+SUMIFS(Actuals!$G:$G,Actuals!$B:$B,$C$3,Actuals!$C:$C,9,Actuals!$D:$D,$B$922,Actuals!$A:$A,LEFT($D$922,FIND("|",$D$922&amp;"|")-1),Actuals!$E:$E,MID($D$922,FIND("|",$D$922&amp;"|")+1,50),Actuals!$F:$F,"GBP")*$H$5)</f>
        <v/>
      </c>
      <c r="Q923" s="18">
        <f>IF(OR($B$922="",10&gt;$C$4),"",SUMIFS(Actuals!$G:$G,Actuals!$B:$B,$C$3,Actuals!$C:$C,10,Actuals!$D:$D,$B$922,Actuals!$A:$A,LEFT($D$922,FIND("|",$D$922&amp;"|")-1),Actuals!$E:$E,MID($D$922,FIND("|",$D$922&amp;"|")+1,50),Actuals!$F:$F,"JPY")*$E$5+SUMIFS(Actuals!$G:$G,Actuals!$B:$B,$C$3,Actuals!$C:$C,10,Actuals!$D:$D,$B$922,Actuals!$A:$A,LEFT($D$922,FIND("|",$D$922&amp;"|")-1),Actuals!$E:$E,MID($D$922,FIND("|",$D$922&amp;"|")+1,50),Actuals!$F:$F,"USD")*$F$5+SUMIFS(Actuals!$G:$G,Actuals!$B:$B,$C$3,Actuals!$C:$C,10,Actuals!$D:$D,$B$922,Actuals!$A:$A,LEFT($D$922,FIND("|",$D$922&amp;"|")-1),Actuals!$E:$E,MID($D$922,FIND("|",$D$922&amp;"|")+1,50),Actuals!$F:$F,"EUR")*$G$5+SUMIFS(Actuals!$G:$G,Actuals!$B:$B,$C$3,Actuals!$C:$C,10,Actuals!$D:$D,$B$922,Actuals!$A:$A,LEFT($D$922,FIND("|",$D$922&amp;"|")-1),Actuals!$E:$E,MID($D$922,FIND("|",$D$922&amp;"|")+1,50),Actuals!$F:$F,"GBP")*$H$5)</f>
        <v/>
      </c>
      <c r="R923" s="18">
        <f>IF(OR($B$922="",11&gt;$C$4),"",SUMIFS(Actuals!$G:$G,Actuals!$B:$B,$C$3,Actuals!$C:$C,11,Actuals!$D:$D,$B$922,Actuals!$A:$A,LEFT($D$922,FIND("|",$D$922&amp;"|")-1),Actuals!$E:$E,MID($D$922,FIND("|",$D$922&amp;"|")+1,50),Actuals!$F:$F,"JPY")*$E$5+SUMIFS(Actuals!$G:$G,Actuals!$B:$B,$C$3,Actuals!$C:$C,11,Actuals!$D:$D,$B$922,Actuals!$A:$A,LEFT($D$922,FIND("|",$D$922&amp;"|")-1),Actuals!$E:$E,MID($D$922,FIND("|",$D$922&amp;"|")+1,50),Actuals!$F:$F,"USD")*$F$5+SUMIFS(Actuals!$G:$G,Actuals!$B:$B,$C$3,Actuals!$C:$C,11,Actuals!$D:$D,$B$922,Actuals!$A:$A,LEFT($D$922,FIND("|",$D$922&amp;"|")-1),Actuals!$E:$E,MID($D$922,FIND("|",$D$922&amp;"|")+1,50),Actuals!$F:$F,"EUR")*$G$5+SUMIFS(Actuals!$G:$G,Actuals!$B:$B,$C$3,Actuals!$C:$C,11,Actuals!$D:$D,$B$922,Actuals!$A:$A,LEFT($D$922,FIND("|",$D$922&amp;"|")-1),Actuals!$E:$E,MID($D$922,FIND("|",$D$922&amp;"|")+1,50),Actuals!$F:$F,"GBP")*$H$5)</f>
        <v/>
      </c>
      <c r="S923" s="18">
        <f>IF(OR($B$922="",12&gt;$C$4),"",SUMIFS(Actuals!$G:$G,Actuals!$B:$B,$C$3,Actuals!$C:$C,12,Actuals!$D:$D,$B$922,Actuals!$A:$A,LEFT($D$922,FIND("|",$D$922&amp;"|")-1),Actuals!$E:$E,MID($D$922,FIND("|",$D$922&amp;"|")+1,50),Actuals!$F:$F,"JPY")*$E$5+SUMIFS(Actuals!$G:$G,Actuals!$B:$B,$C$3,Actuals!$C:$C,12,Actuals!$D:$D,$B$922,Actuals!$A:$A,LEFT($D$922,FIND("|",$D$922&amp;"|")-1),Actuals!$E:$E,MID($D$922,FIND("|",$D$922&amp;"|")+1,50),Actuals!$F:$F,"USD")*$F$5+SUMIFS(Actuals!$G:$G,Actuals!$B:$B,$C$3,Actuals!$C:$C,12,Actuals!$D:$D,$B$922,Actuals!$A:$A,LEFT($D$922,FIND("|",$D$922&amp;"|")-1),Actuals!$E:$E,MID($D$922,FIND("|",$D$922&amp;"|")+1,50),Actuals!$F:$F,"EUR")*$G$5+SUMIFS(Actuals!$G:$G,Actuals!$B:$B,$C$3,Actuals!$C:$C,12,Actuals!$D:$D,$B$922,Actuals!$A:$A,LEFT($D$922,FIND("|",$D$922&amp;"|")-1),Actuals!$E:$E,MID($D$922,FIND("|",$D$922&amp;"|")+1,50),Actuals!$F:$F,"GBP")*$H$5)</f>
        <v/>
      </c>
      <c r="T923" s="18">
        <f>IF($B$922="","",SUMIF($H$7:$S$7,"&lt;="&amp;$C$4,$H923:$S923))</f>
        <v/>
      </c>
      <c r="U923" s="18" t="n"/>
      <c r="V923" s="18" t="n"/>
      <c r="X923" s="22">
        <f>IF($B923="","",IFERROR(INDEX(Cost_Centers!$E:$E,MATCH($B923,Cost_Centers!$A:$A,0)),"(unknown)"))</f>
        <v/>
      </c>
      <c r="Y923" s="22">
        <f>IF($B923="","",IFERROR(INDEX(Cost_Centers!$D:$D,MATCH($B923,Cost_Centers!$A:$A,0)),"(unknown)"))</f>
        <v/>
      </c>
      <c r="Z923" s="22">
        <f>IF(OR($B923="",$G923&lt;&gt;"Variance vs Budget"),"",ABS(N($V923))+ROW()/1000000000)</f>
        <v/>
      </c>
    </row>
    <row r="924">
      <c r="A924" s="13">
        <f>IF(A$922="","",A$922)</f>
        <v/>
      </c>
      <c r="B924" s="13">
        <f>IF(B$922="","",B$922)</f>
        <v/>
      </c>
      <c r="C924" s="13">
        <f>IF(C$922="","",C$922)</f>
        <v/>
      </c>
      <c r="D924" s="13">
        <f>IF(D$922="","",D$922)</f>
        <v/>
      </c>
      <c r="E924" s="13">
        <f>IF(E$922="","",E$922)</f>
        <v/>
      </c>
      <c r="F924" s="13">
        <f>IF(F$922="","",F$922)</f>
        <v/>
      </c>
      <c r="G924" s="6" t="inlineStr">
        <is>
          <t>Variance vs Budget</t>
        </is>
      </c>
      <c r="H924" s="33">
        <f>IF(OR($B$922="",1&gt;$C$4),"",N(H923)-H922)</f>
        <v/>
      </c>
      <c r="I924" s="33">
        <f>IF(OR($B$922="",2&gt;$C$4),"",N(I923)-I922)</f>
        <v/>
      </c>
      <c r="J924" s="33">
        <f>IF(OR($B$922="",3&gt;$C$4),"",N(J923)-J922)</f>
        <v/>
      </c>
      <c r="K924" s="33">
        <f>IF(OR($B$922="",4&gt;$C$4),"",N(K923)-K922)</f>
        <v/>
      </c>
      <c r="L924" s="33">
        <f>IF(OR($B$922="",5&gt;$C$4),"",N(L923)-L922)</f>
        <v/>
      </c>
      <c r="M924" s="33">
        <f>IF(OR($B$922="",6&gt;$C$4),"",N(M923)-M922)</f>
        <v/>
      </c>
      <c r="N924" s="33">
        <f>IF(OR($B$922="",7&gt;$C$4),"",N(N923)-N922)</f>
        <v/>
      </c>
      <c r="O924" s="33">
        <f>IF(OR($B$922="",8&gt;$C$4),"",N(O923)-O922)</f>
        <v/>
      </c>
      <c r="P924" s="33">
        <f>IF(OR($B$922="",9&gt;$C$4),"",N(P923)-P922)</f>
        <v/>
      </c>
      <c r="Q924" s="33">
        <f>IF(OR($B$922="",10&gt;$C$4),"",N(Q923)-Q922)</f>
        <v/>
      </c>
      <c r="R924" s="33">
        <f>IF(OR($B$922="",11&gt;$C$4),"",N(R923)-R922)</f>
        <v/>
      </c>
      <c r="S924" s="33">
        <f>IF(OR($B$922="",12&gt;$C$4),"",N(S923)-S922)</f>
        <v/>
      </c>
      <c r="T924" s="33">
        <f>IF($B$922="","",T923-T922)</f>
        <v/>
      </c>
      <c r="U924" s="33">
        <f>IF($B$922="","",U926-U922)</f>
        <v/>
      </c>
      <c r="V924" s="33">
        <f>IF($B$922="","",V926-V922)</f>
        <v/>
      </c>
      <c r="X924" s="22">
        <f>IF($B924="","",IFERROR(INDEX(Cost_Centers!$E:$E,MATCH($B924,Cost_Centers!$A:$A,0)),"(unknown)"))</f>
        <v/>
      </c>
      <c r="Y924" s="22">
        <f>IF($B924="","",IFERROR(INDEX(Cost_Centers!$D:$D,MATCH($B924,Cost_Centers!$A:$A,0)),"(unknown)"))</f>
        <v/>
      </c>
      <c r="Z924" s="22">
        <f>IF(OR($B924="",$G924&lt;&gt;"Variance vs Budget"),"",ABS(N($V924))+ROW()/1000000000)</f>
        <v/>
      </c>
    </row>
    <row r="925">
      <c r="A925" s="13">
        <f>IF(A$922="","",A$922)</f>
        <v/>
      </c>
      <c r="B925" s="13">
        <f>IF(B$922="","",B$922)</f>
        <v/>
      </c>
      <c r="C925" s="13">
        <f>IF(C$922="","",C$922)</f>
        <v/>
      </c>
      <c r="D925" s="13">
        <f>IF(D$922="","",D$922)</f>
        <v/>
      </c>
      <c r="E925" s="13">
        <f>IF(E$922="","",E$922)</f>
        <v/>
      </c>
      <c r="F925" s="13">
        <f>IF(F$922="","",F$922)</f>
        <v/>
      </c>
      <c r="G925" s="7" t="inlineStr">
        <is>
          <t>Forecast (input)</t>
        </is>
      </c>
      <c r="H925" s="34" t="n"/>
      <c r="I925" s="34" t="n"/>
      <c r="J925" s="34" t="n"/>
      <c r="K925" s="34" t="n"/>
      <c r="L925" s="34" t="n"/>
      <c r="M925" s="34" t="n"/>
      <c r="N925" s="34" t="n"/>
      <c r="O925" s="34" t="n"/>
      <c r="P925" s="34" t="n"/>
      <c r="Q925" s="34" t="n"/>
      <c r="R925" s="34" t="n"/>
      <c r="S925" s="34" t="n"/>
      <c r="T925" s="18" t="n"/>
      <c r="U925" s="18" t="n"/>
      <c r="V925" s="18" t="n"/>
      <c r="X925" s="22">
        <f>IF($B925="","",IFERROR(INDEX(Cost_Centers!$E:$E,MATCH($B925,Cost_Centers!$A:$A,0)),"(unknown)"))</f>
        <v/>
      </c>
      <c r="Y925" s="22">
        <f>IF($B925="","",IFERROR(INDEX(Cost_Centers!$D:$D,MATCH($B925,Cost_Centers!$A:$A,0)),"(unknown)"))</f>
        <v/>
      </c>
      <c r="Z925" s="22">
        <f>IF(OR($B925="",$G925&lt;&gt;"Variance vs Budget"),"",ABS(N($V925))+ROW()/1000000000)</f>
        <v/>
      </c>
    </row>
    <row r="926">
      <c r="A926" s="13">
        <f>IF(A$922="","",A$922)</f>
        <v/>
      </c>
      <c r="B926" s="13">
        <f>IF(B$922="","",B$922)</f>
        <v/>
      </c>
      <c r="C926" s="13">
        <f>IF(C$922="","",C$922)</f>
        <v/>
      </c>
      <c r="D926" s="13">
        <f>IF(D$922="","",D$922)</f>
        <v/>
      </c>
      <c r="E926" s="13">
        <f>IF(E$922="","",E$922)</f>
        <v/>
      </c>
      <c r="F926" s="13">
        <f>IF(F$922="","",F$922)</f>
        <v/>
      </c>
      <c r="G926" s="35" t="inlineStr">
        <is>
          <t>Actual + Forecast</t>
        </is>
      </c>
      <c r="H926" s="18">
        <f>IF($B$922="","",IF(1&lt;=$C$4,N(H923),IF(H925="",H922,H925)))</f>
        <v/>
      </c>
      <c r="I926" s="18">
        <f>IF($B$922="","",IF(2&lt;=$C$4,N(I923),IF(I925="",I922,I925)))</f>
        <v/>
      </c>
      <c r="J926" s="18">
        <f>IF($B$922="","",IF(3&lt;=$C$4,N(J923),IF(J925="",J922,J925)))</f>
        <v/>
      </c>
      <c r="K926" s="18">
        <f>IF($B$922="","",IF(4&lt;=$C$4,N(K923),IF(K925="",K922,K925)))</f>
        <v/>
      </c>
      <c r="L926" s="18">
        <f>IF($B$922="","",IF(5&lt;=$C$4,N(L923),IF(L925="",L922,L925)))</f>
        <v/>
      </c>
      <c r="M926" s="18">
        <f>IF($B$922="","",IF(6&lt;=$C$4,N(M923),IF(M925="",M922,M925)))</f>
        <v/>
      </c>
      <c r="N926" s="18">
        <f>IF($B$922="","",IF(7&lt;=$C$4,N(N923),IF(N925="",N922,N925)))</f>
        <v/>
      </c>
      <c r="O926" s="18">
        <f>IF($B$922="","",IF(8&lt;=$C$4,N(O923),IF(O925="",O922,O925)))</f>
        <v/>
      </c>
      <c r="P926" s="18">
        <f>IF($B$922="","",IF(9&lt;=$C$4,N(P923),IF(P925="",P922,P925)))</f>
        <v/>
      </c>
      <c r="Q926" s="18">
        <f>IF($B$922="","",IF(10&lt;=$C$4,N(Q923),IF(Q925="",Q922,Q925)))</f>
        <v/>
      </c>
      <c r="R926" s="18">
        <f>IF($B$922="","",IF(11&lt;=$C$4,N(R923),IF(R925="",R922,R925)))</f>
        <v/>
      </c>
      <c r="S926" s="18">
        <f>IF($B$922="","",IF(12&lt;=$C$4,N(S923),IF(S925="",S922,S925)))</f>
        <v/>
      </c>
      <c r="T926" s="18">
        <f>IF($B$922="","",SUMIF($H$7:$S$7,"&lt;="&amp;$C$4,$H926:$S926))</f>
        <v/>
      </c>
      <c r="U926" s="18">
        <f>IF($B$922="","",SUMIF($H$7:$S$7,"&gt;"&amp;$C$4,$H926:$S926))</f>
        <v/>
      </c>
      <c r="V926" s="18">
        <f>IF($B$922="","",SUM($H926:$S926))</f>
        <v/>
      </c>
      <c r="X926" s="22">
        <f>IF($B926="","",IFERROR(INDEX(Cost_Centers!$E:$E,MATCH($B926,Cost_Centers!$A:$A,0)),"(unknown)"))</f>
        <v/>
      </c>
      <c r="Y926" s="22">
        <f>IF($B926="","",IFERROR(INDEX(Cost_Centers!$D:$D,MATCH($B926,Cost_Centers!$A:$A,0)),"(unknown)"))</f>
        <v/>
      </c>
      <c r="Z926" s="22">
        <f>IF(OR($B926="",$G926&lt;&gt;"Variance vs Budget"),"",ABS(N($V926))+ROW()/1000000000)</f>
        <v/>
      </c>
    </row>
    <row r="927">
      <c r="A927" s="13">
        <f>IF(A$922="","",A$922)</f>
        <v/>
      </c>
      <c r="B927" s="13">
        <f>IF(B$922="","",B$922)</f>
        <v/>
      </c>
      <c r="C927" s="13">
        <f>IF(C$922="","",C$922)</f>
        <v/>
      </c>
      <c r="D927" s="13">
        <f>IF(D$922="","",D$922)</f>
        <v/>
      </c>
      <c r="E927" s="13">
        <f>IF(E$922="","",E$922)</f>
        <v/>
      </c>
      <c r="F927" s="13">
        <f>IF(F$922="","",F$922)</f>
        <v/>
      </c>
      <c r="G927" s="36" t="inlineStr">
        <is>
          <t>Prior Month Forecast</t>
        </is>
      </c>
      <c r="H927" s="37">
        <f>IF($B$922="","",IF(COUNTIFS(Prior_Forecast!$A:$A,$B$922,Prior_Forecast!$B:$B,$D$922)&gt;0,SUMIFS(Prior_Forecast!$C:$C,Prior_Forecast!$A:$A,$B$922,Prior_Forecast!$B:$B,$D$922),""))</f>
        <v/>
      </c>
      <c r="I927" s="37">
        <f>IF($B$922="","",IF(COUNTIFS(Prior_Forecast!$A:$A,$B$922,Prior_Forecast!$B:$B,$D$922)&gt;0,SUMIFS(Prior_Forecast!$D:$D,Prior_Forecast!$A:$A,$B$922,Prior_Forecast!$B:$B,$D$922),""))</f>
        <v/>
      </c>
      <c r="J927" s="37">
        <f>IF($B$922="","",IF(COUNTIFS(Prior_Forecast!$A:$A,$B$922,Prior_Forecast!$B:$B,$D$922)&gt;0,SUMIFS(Prior_Forecast!$E:$E,Prior_Forecast!$A:$A,$B$922,Prior_Forecast!$B:$B,$D$922),""))</f>
        <v/>
      </c>
      <c r="K927" s="37">
        <f>IF($B$922="","",IF(COUNTIFS(Prior_Forecast!$A:$A,$B$922,Prior_Forecast!$B:$B,$D$922)&gt;0,SUMIFS(Prior_Forecast!$F:$F,Prior_Forecast!$A:$A,$B$922,Prior_Forecast!$B:$B,$D$922),""))</f>
        <v/>
      </c>
      <c r="L927" s="37">
        <f>IF($B$922="","",IF(COUNTIFS(Prior_Forecast!$A:$A,$B$922,Prior_Forecast!$B:$B,$D$922)&gt;0,SUMIFS(Prior_Forecast!$G:$G,Prior_Forecast!$A:$A,$B$922,Prior_Forecast!$B:$B,$D$922),""))</f>
        <v/>
      </c>
      <c r="M927" s="37">
        <f>IF($B$922="","",IF(COUNTIFS(Prior_Forecast!$A:$A,$B$922,Prior_Forecast!$B:$B,$D$922)&gt;0,SUMIFS(Prior_Forecast!$H:$H,Prior_Forecast!$A:$A,$B$922,Prior_Forecast!$B:$B,$D$922),""))</f>
        <v/>
      </c>
      <c r="N927" s="37">
        <f>IF($B$922="","",IF(COUNTIFS(Prior_Forecast!$A:$A,$B$922,Prior_Forecast!$B:$B,$D$922)&gt;0,SUMIFS(Prior_Forecast!$I:$I,Prior_Forecast!$A:$A,$B$922,Prior_Forecast!$B:$B,$D$922),""))</f>
        <v/>
      </c>
      <c r="O927" s="37">
        <f>IF($B$922="","",IF(COUNTIFS(Prior_Forecast!$A:$A,$B$922,Prior_Forecast!$B:$B,$D$922)&gt;0,SUMIFS(Prior_Forecast!$J:$J,Prior_Forecast!$A:$A,$B$922,Prior_Forecast!$B:$B,$D$922),""))</f>
        <v/>
      </c>
      <c r="P927" s="37">
        <f>IF($B$922="","",IF(COUNTIFS(Prior_Forecast!$A:$A,$B$922,Prior_Forecast!$B:$B,$D$922)&gt;0,SUMIFS(Prior_Forecast!$K:$K,Prior_Forecast!$A:$A,$B$922,Prior_Forecast!$B:$B,$D$922),""))</f>
        <v/>
      </c>
      <c r="Q927" s="37">
        <f>IF($B$922="","",IF(COUNTIFS(Prior_Forecast!$A:$A,$B$922,Prior_Forecast!$B:$B,$D$922)&gt;0,SUMIFS(Prior_Forecast!$L:$L,Prior_Forecast!$A:$A,$B$922,Prior_Forecast!$B:$B,$D$922),""))</f>
        <v/>
      </c>
      <c r="R927" s="37">
        <f>IF($B$922="","",IF(COUNTIFS(Prior_Forecast!$A:$A,$B$922,Prior_Forecast!$B:$B,$D$922)&gt;0,SUMIFS(Prior_Forecast!$M:$M,Prior_Forecast!$A:$A,$B$922,Prior_Forecast!$B:$B,$D$922),""))</f>
        <v/>
      </c>
      <c r="S927" s="37">
        <f>IF($B$922="","",IF(COUNTIFS(Prior_Forecast!$A:$A,$B$922,Prior_Forecast!$B:$B,$D$922)&gt;0,SUMIFS(Prior_Forecast!$N:$N,Prior_Forecast!$A:$A,$B$922,Prior_Forecast!$B:$B,$D$922),""))</f>
        <v/>
      </c>
      <c r="T927" s="37">
        <f>IF($B$922="","",IF(COUNTIFS(Prior_Forecast!$A:$A,$B$922,Prior_Forecast!$B:$B,$D$922)&gt;0,SUMIFS(Prior_Forecast!$O:$O,Prior_Forecast!$A:$A,$B$922,Prior_Forecast!$B:$B,$D$922),""))</f>
        <v/>
      </c>
      <c r="U927" s="37">
        <f>IF($B$922="","",IF(COUNTIFS(Prior_Forecast!$A:$A,$B$922,Prior_Forecast!$B:$B,$D$922)&gt;0,SUMIFS(Prior_Forecast!$P:$P,Prior_Forecast!$A:$A,$B$922,Prior_Forecast!$B:$B,$D$922),""))</f>
        <v/>
      </c>
      <c r="V927" s="37">
        <f>IF($B$922="","",IF(COUNTIFS(Prior_Forecast!$A:$A,$B$922,Prior_Forecast!$B:$B,$D$922)&gt;0,SUMIFS(Prior_Forecast!$Q:$Q,Prior_Forecast!$A:$A,$B$922,Prior_Forecast!$B:$B,$D$922),""))</f>
        <v/>
      </c>
      <c r="X927" s="22">
        <f>IF($B927="","",IFERROR(INDEX(Cost_Centers!$E:$E,MATCH($B927,Cost_Centers!$A:$A,0)),"(unknown)"))</f>
        <v/>
      </c>
      <c r="Y927" s="22">
        <f>IF($B927="","",IFERROR(INDEX(Cost_Centers!$D:$D,MATCH($B927,Cost_Centers!$A:$A,0)),"(unknown)"))</f>
        <v/>
      </c>
      <c r="Z927" s="22">
        <f>IF(OR($B927="",$G927&lt;&gt;"Variance vs Budget"),"",ABS(N($V927))+ROW()/1000000000)</f>
        <v/>
      </c>
    </row>
    <row r="928">
      <c r="A928" s="13">
        <f>IF(A$922="","",A$922)</f>
        <v/>
      </c>
      <c r="B928" s="13">
        <f>IF(B$922="","",B$922)</f>
        <v/>
      </c>
      <c r="C928" s="13">
        <f>IF(C$922="","",C$922)</f>
        <v/>
      </c>
      <c r="D928" s="13">
        <f>IF(D$922="","",D$922)</f>
        <v/>
      </c>
      <c r="E928" s="13">
        <f>IF(E$922="","",E$922)</f>
        <v/>
      </c>
      <c r="F928" s="13">
        <f>IF(F$922="","",F$922)</f>
        <v/>
      </c>
      <c r="G928" s="6" t="inlineStr">
        <is>
          <t>Variance vs Prior Month</t>
        </is>
      </c>
      <c r="H928" s="33">
        <f>IF(OR($B$922="",H927=""),"",H926-H927)</f>
        <v/>
      </c>
      <c r="I928" s="33">
        <f>IF(OR($B$922="",I927=""),"",I926-I927)</f>
        <v/>
      </c>
      <c r="J928" s="33">
        <f>IF(OR($B$922="",J927=""),"",J926-J927)</f>
        <v/>
      </c>
      <c r="K928" s="33">
        <f>IF(OR($B$922="",K927=""),"",K926-K927)</f>
        <v/>
      </c>
      <c r="L928" s="33">
        <f>IF(OR($B$922="",L927=""),"",L926-L927)</f>
        <v/>
      </c>
      <c r="M928" s="33">
        <f>IF(OR($B$922="",M927=""),"",M926-M927)</f>
        <v/>
      </c>
      <c r="N928" s="33">
        <f>IF(OR($B$922="",N927=""),"",N926-N927)</f>
        <v/>
      </c>
      <c r="O928" s="33">
        <f>IF(OR($B$922="",O927=""),"",O926-O927)</f>
        <v/>
      </c>
      <c r="P928" s="33">
        <f>IF(OR($B$922="",P927=""),"",P926-P927)</f>
        <v/>
      </c>
      <c r="Q928" s="33">
        <f>IF(OR($B$922="",Q927=""),"",Q926-Q927)</f>
        <v/>
      </c>
      <c r="R928" s="33">
        <f>IF(OR($B$922="",R927=""),"",R926-R927)</f>
        <v/>
      </c>
      <c r="S928" s="33">
        <f>IF(OR($B$922="",S927=""),"",S926-S927)</f>
        <v/>
      </c>
      <c r="T928" s="33">
        <f>IF(OR($B$922="",T927=""),"",T926-T927)</f>
        <v/>
      </c>
      <c r="U928" s="33">
        <f>IF(OR($B$922="",U927=""),"",U926-U927)</f>
        <v/>
      </c>
      <c r="V928" s="33">
        <f>IF(OR($B$922="",V927=""),"",V926-V927)</f>
        <v/>
      </c>
      <c r="X928" s="22">
        <f>IF($B928="","",IFERROR(INDEX(Cost_Centers!$E:$E,MATCH($B928,Cost_Centers!$A:$A,0)),"(unknown)"))</f>
        <v/>
      </c>
      <c r="Y928" s="22">
        <f>IF($B928="","",IFERROR(INDEX(Cost_Centers!$D:$D,MATCH($B928,Cost_Centers!$A:$A,0)),"(unknown)"))</f>
        <v/>
      </c>
      <c r="Z928" s="22">
        <f>IF(OR($B928="",$G928&lt;&gt;"Variance vs Budget"),"",ABS(N($V928))+ROW()/1000000000)</f>
        <v/>
      </c>
    </row>
    <row r="929" ht="45" customHeight="1">
      <c r="A929" s="13">
        <f>IF(A$922="","",A$922)</f>
        <v/>
      </c>
      <c r="B929" s="13">
        <f>IF(B$922="","",B$922)</f>
        <v/>
      </c>
      <c r="C929" s="13">
        <f>IF(C$922="","",C$922)</f>
        <v/>
      </c>
      <c r="D929" s="13">
        <f>IF(D$922="","",D$922)</f>
        <v/>
      </c>
      <c r="E929" s="13">
        <f>IF(E$922="","",E$922)</f>
        <v/>
      </c>
      <c r="F929" s="13">
        <f>IF(F$922="","",F$922)</f>
        <v/>
      </c>
      <c r="G929" s="7" t="inlineStr">
        <is>
          <t>Rationale</t>
        </is>
      </c>
      <c r="H929" s="38" t="n"/>
      <c r="I929" s="38" t="n"/>
      <c r="J929" s="38" t="n"/>
      <c r="K929" s="38" t="n"/>
      <c r="L929" s="38" t="n"/>
      <c r="M929" s="38" t="n"/>
      <c r="N929" s="38" t="n"/>
      <c r="O929" s="38" t="n"/>
      <c r="P929" s="38" t="n"/>
      <c r="Q929" s="38" t="n"/>
      <c r="R929" s="38" t="n"/>
      <c r="S929" s="38" t="n"/>
      <c r="T929" s="38" t="n"/>
      <c r="U929" s="38" t="n"/>
      <c r="V929" s="7" t="n"/>
      <c r="X929" s="22">
        <f>IF($B929="","",IFERROR(INDEX(Cost_Centers!$E:$E,MATCH($B929,Cost_Centers!$A:$A,0)),"(unknown)"))</f>
        <v/>
      </c>
      <c r="Y929" s="22">
        <f>IF($B929="","",IFERROR(INDEX(Cost_Centers!$D:$D,MATCH($B929,Cost_Centers!$A:$A,0)),"(unknown)"))</f>
        <v/>
      </c>
      <c r="Z929" s="22">
        <f>IF(OR($B929="",$G929&lt;&gt;"Variance vs Budget"),"",ABS(N($V929))+ROW()/1000000000)</f>
        <v/>
      </c>
    </row>
    <row r="930">
      <c r="A930" s="30">
        <f>IF($D$930="","",LEFT($D$930,FIND("|",$D$930&amp;"|")-1))</f>
        <v/>
      </c>
      <c r="B930" s="31" t="n"/>
      <c r="C930" s="30">
        <f>IF($B$930="","",IFERROR(INDEX(Cost_Centers!$B:$B,MATCH($B$930,Cost_Centers!$A:$A,0)),"(not in master)"))</f>
        <v/>
      </c>
      <c r="D930" s="31" t="n"/>
      <c r="E930" s="30">
        <f>IF($D$930="","",IFERROR(INDEX(Accounts!$D:$D,MATCH($D$930,Accounts!$A:$A,0)),"(not in master)"))</f>
        <v/>
      </c>
      <c r="F930" s="31" t="n"/>
      <c r="G930" s="30" t="inlineStr">
        <is>
          <t>Budget</t>
        </is>
      </c>
      <c r="H930" s="32">
        <f>IF($B$930="","",SUMIFS(Opex_Budget!$O:$O,Opex_Budget!$A:$A,$C$3,Opex_Budget!$E:$E,$B$930,Opex_Budget!$F:$F,$D$930,Opex_Budget!$N:$N,"JPY")*$E$5+SUMIFS(Opex_Budget!$O:$O,Opex_Budget!$A:$A,$C$3,Opex_Budget!$E:$E,$B$930,Opex_Budget!$F:$F,$D$930,Opex_Budget!$N:$N,"USD")*$F$5+SUMIFS(Opex_Budget!$O:$O,Opex_Budget!$A:$A,$C$3,Opex_Budget!$E:$E,$B$930,Opex_Budget!$F:$F,$D$930,Opex_Budget!$N:$N,"EUR")*$G$5+SUMIFS(Opex_Budget!$O:$O,Opex_Budget!$A:$A,$C$3,Opex_Budget!$E:$E,$B$930,Opex_Budget!$F:$F,$D$930,Opex_Budget!$N:$N,"GBP")*$H$5)</f>
        <v/>
      </c>
      <c r="I930" s="32">
        <f>IF($B$930="","",SUMIFS(Opex_Budget!$P:$P,Opex_Budget!$A:$A,$C$3,Opex_Budget!$E:$E,$B$930,Opex_Budget!$F:$F,$D$930,Opex_Budget!$N:$N,"JPY")*$E$5+SUMIFS(Opex_Budget!$P:$P,Opex_Budget!$A:$A,$C$3,Opex_Budget!$E:$E,$B$930,Opex_Budget!$F:$F,$D$930,Opex_Budget!$N:$N,"USD")*$F$5+SUMIFS(Opex_Budget!$P:$P,Opex_Budget!$A:$A,$C$3,Opex_Budget!$E:$E,$B$930,Opex_Budget!$F:$F,$D$930,Opex_Budget!$N:$N,"EUR")*$G$5+SUMIFS(Opex_Budget!$P:$P,Opex_Budget!$A:$A,$C$3,Opex_Budget!$E:$E,$B$930,Opex_Budget!$F:$F,$D$930,Opex_Budget!$N:$N,"GBP")*$H$5)</f>
        <v/>
      </c>
      <c r="J930" s="32">
        <f>IF($B$930="","",SUMIFS(Opex_Budget!$Q:$Q,Opex_Budget!$A:$A,$C$3,Opex_Budget!$E:$E,$B$930,Opex_Budget!$F:$F,$D$930,Opex_Budget!$N:$N,"JPY")*$E$5+SUMIFS(Opex_Budget!$Q:$Q,Opex_Budget!$A:$A,$C$3,Opex_Budget!$E:$E,$B$930,Opex_Budget!$F:$F,$D$930,Opex_Budget!$N:$N,"USD")*$F$5+SUMIFS(Opex_Budget!$Q:$Q,Opex_Budget!$A:$A,$C$3,Opex_Budget!$E:$E,$B$930,Opex_Budget!$F:$F,$D$930,Opex_Budget!$N:$N,"EUR")*$G$5+SUMIFS(Opex_Budget!$Q:$Q,Opex_Budget!$A:$A,$C$3,Opex_Budget!$E:$E,$B$930,Opex_Budget!$F:$F,$D$930,Opex_Budget!$N:$N,"GBP")*$H$5)</f>
        <v/>
      </c>
      <c r="K930" s="32">
        <f>IF($B$930="","",SUMIFS(Opex_Budget!$R:$R,Opex_Budget!$A:$A,$C$3,Opex_Budget!$E:$E,$B$930,Opex_Budget!$F:$F,$D$930,Opex_Budget!$N:$N,"JPY")*$E$5+SUMIFS(Opex_Budget!$R:$R,Opex_Budget!$A:$A,$C$3,Opex_Budget!$E:$E,$B$930,Opex_Budget!$F:$F,$D$930,Opex_Budget!$N:$N,"USD")*$F$5+SUMIFS(Opex_Budget!$R:$R,Opex_Budget!$A:$A,$C$3,Opex_Budget!$E:$E,$B$930,Opex_Budget!$F:$F,$D$930,Opex_Budget!$N:$N,"EUR")*$G$5+SUMIFS(Opex_Budget!$R:$R,Opex_Budget!$A:$A,$C$3,Opex_Budget!$E:$E,$B$930,Opex_Budget!$F:$F,$D$930,Opex_Budget!$N:$N,"GBP")*$H$5)</f>
        <v/>
      </c>
      <c r="L930" s="32">
        <f>IF($B$930="","",SUMIFS(Opex_Budget!$S:$S,Opex_Budget!$A:$A,$C$3,Opex_Budget!$E:$E,$B$930,Opex_Budget!$F:$F,$D$930,Opex_Budget!$N:$N,"JPY")*$E$5+SUMIFS(Opex_Budget!$S:$S,Opex_Budget!$A:$A,$C$3,Opex_Budget!$E:$E,$B$930,Opex_Budget!$F:$F,$D$930,Opex_Budget!$N:$N,"USD")*$F$5+SUMIFS(Opex_Budget!$S:$S,Opex_Budget!$A:$A,$C$3,Opex_Budget!$E:$E,$B$930,Opex_Budget!$F:$F,$D$930,Opex_Budget!$N:$N,"EUR")*$G$5+SUMIFS(Opex_Budget!$S:$S,Opex_Budget!$A:$A,$C$3,Opex_Budget!$E:$E,$B$930,Opex_Budget!$F:$F,$D$930,Opex_Budget!$N:$N,"GBP")*$H$5)</f>
        <v/>
      </c>
      <c r="M930" s="32">
        <f>IF($B$930="","",SUMIFS(Opex_Budget!$T:$T,Opex_Budget!$A:$A,$C$3,Opex_Budget!$E:$E,$B$930,Opex_Budget!$F:$F,$D$930,Opex_Budget!$N:$N,"JPY")*$E$5+SUMIFS(Opex_Budget!$T:$T,Opex_Budget!$A:$A,$C$3,Opex_Budget!$E:$E,$B$930,Opex_Budget!$F:$F,$D$930,Opex_Budget!$N:$N,"USD")*$F$5+SUMIFS(Opex_Budget!$T:$T,Opex_Budget!$A:$A,$C$3,Opex_Budget!$E:$E,$B$930,Opex_Budget!$F:$F,$D$930,Opex_Budget!$N:$N,"EUR")*$G$5+SUMIFS(Opex_Budget!$T:$T,Opex_Budget!$A:$A,$C$3,Opex_Budget!$E:$E,$B$930,Opex_Budget!$F:$F,$D$930,Opex_Budget!$N:$N,"GBP")*$H$5)</f>
        <v/>
      </c>
      <c r="N930" s="32">
        <f>IF($B$930="","",SUMIFS(Opex_Budget!$U:$U,Opex_Budget!$A:$A,$C$3,Opex_Budget!$E:$E,$B$930,Opex_Budget!$F:$F,$D$930,Opex_Budget!$N:$N,"JPY")*$E$5+SUMIFS(Opex_Budget!$U:$U,Opex_Budget!$A:$A,$C$3,Opex_Budget!$E:$E,$B$930,Opex_Budget!$F:$F,$D$930,Opex_Budget!$N:$N,"USD")*$F$5+SUMIFS(Opex_Budget!$U:$U,Opex_Budget!$A:$A,$C$3,Opex_Budget!$E:$E,$B$930,Opex_Budget!$F:$F,$D$930,Opex_Budget!$N:$N,"EUR")*$G$5+SUMIFS(Opex_Budget!$U:$U,Opex_Budget!$A:$A,$C$3,Opex_Budget!$E:$E,$B$930,Opex_Budget!$F:$F,$D$930,Opex_Budget!$N:$N,"GBP")*$H$5)</f>
        <v/>
      </c>
      <c r="O930" s="32">
        <f>IF($B$930="","",SUMIFS(Opex_Budget!$V:$V,Opex_Budget!$A:$A,$C$3,Opex_Budget!$E:$E,$B$930,Opex_Budget!$F:$F,$D$930,Opex_Budget!$N:$N,"JPY")*$E$5+SUMIFS(Opex_Budget!$V:$V,Opex_Budget!$A:$A,$C$3,Opex_Budget!$E:$E,$B$930,Opex_Budget!$F:$F,$D$930,Opex_Budget!$N:$N,"USD")*$F$5+SUMIFS(Opex_Budget!$V:$V,Opex_Budget!$A:$A,$C$3,Opex_Budget!$E:$E,$B$930,Opex_Budget!$F:$F,$D$930,Opex_Budget!$N:$N,"EUR")*$G$5+SUMIFS(Opex_Budget!$V:$V,Opex_Budget!$A:$A,$C$3,Opex_Budget!$E:$E,$B$930,Opex_Budget!$F:$F,$D$930,Opex_Budget!$N:$N,"GBP")*$H$5)</f>
        <v/>
      </c>
      <c r="P930" s="32">
        <f>IF($B$930="","",SUMIFS(Opex_Budget!$W:$W,Opex_Budget!$A:$A,$C$3,Opex_Budget!$E:$E,$B$930,Opex_Budget!$F:$F,$D$930,Opex_Budget!$N:$N,"JPY")*$E$5+SUMIFS(Opex_Budget!$W:$W,Opex_Budget!$A:$A,$C$3,Opex_Budget!$E:$E,$B$930,Opex_Budget!$F:$F,$D$930,Opex_Budget!$N:$N,"USD")*$F$5+SUMIFS(Opex_Budget!$W:$W,Opex_Budget!$A:$A,$C$3,Opex_Budget!$E:$E,$B$930,Opex_Budget!$F:$F,$D$930,Opex_Budget!$N:$N,"EUR")*$G$5+SUMIFS(Opex_Budget!$W:$W,Opex_Budget!$A:$A,$C$3,Opex_Budget!$E:$E,$B$930,Opex_Budget!$F:$F,$D$930,Opex_Budget!$N:$N,"GBP")*$H$5)</f>
        <v/>
      </c>
      <c r="Q930" s="32">
        <f>IF($B$930="","",SUMIFS(Opex_Budget!$X:$X,Opex_Budget!$A:$A,$C$3,Opex_Budget!$E:$E,$B$930,Opex_Budget!$F:$F,$D$930,Opex_Budget!$N:$N,"JPY")*$E$5+SUMIFS(Opex_Budget!$X:$X,Opex_Budget!$A:$A,$C$3,Opex_Budget!$E:$E,$B$930,Opex_Budget!$F:$F,$D$930,Opex_Budget!$N:$N,"USD")*$F$5+SUMIFS(Opex_Budget!$X:$X,Opex_Budget!$A:$A,$C$3,Opex_Budget!$E:$E,$B$930,Opex_Budget!$F:$F,$D$930,Opex_Budget!$N:$N,"EUR")*$G$5+SUMIFS(Opex_Budget!$X:$X,Opex_Budget!$A:$A,$C$3,Opex_Budget!$E:$E,$B$930,Opex_Budget!$F:$F,$D$930,Opex_Budget!$N:$N,"GBP")*$H$5)</f>
        <v/>
      </c>
      <c r="R930" s="32">
        <f>IF($B$930="","",SUMIFS(Opex_Budget!$Y:$Y,Opex_Budget!$A:$A,$C$3,Opex_Budget!$E:$E,$B$930,Opex_Budget!$F:$F,$D$930,Opex_Budget!$N:$N,"JPY")*$E$5+SUMIFS(Opex_Budget!$Y:$Y,Opex_Budget!$A:$A,$C$3,Opex_Budget!$E:$E,$B$930,Opex_Budget!$F:$F,$D$930,Opex_Budget!$N:$N,"USD")*$F$5+SUMIFS(Opex_Budget!$Y:$Y,Opex_Budget!$A:$A,$C$3,Opex_Budget!$E:$E,$B$930,Opex_Budget!$F:$F,$D$930,Opex_Budget!$N:$N,"EUR")*$G$5+SUMIFS(Opex_Budget!$Y:$Y,Opex_Budget!$A:$A,$C$3,Opex_Budget!$E:$E,$B$930,Opex_Budget!$F:$F,$D$930,Opex_Budget!$N:$N,"GBP")*$H$5)</f>
        <v/>
      </c>
      <c r="S930" s="32">
        <f>IF($B$930="","",SUMIFS(Opex_Budget!$Z:$Z,Opex_Budget!$A:$A,$C$3,Opex_Budget!$E:$E,$B$930,Opex_Budget!$F:$F,$D$930,Opex_Budget!$N:$N,"JPY")*$E$5+SUMIFS(Opex_Budget!$Z:$Z,Opex_Budget!$A:$A,$C$3,Opex_Budget!$E:$E,$B$930,Opex_Budget!$F:$F,$D$930,Opex_Budget!$N:$N,"USD")*$F$5+SUMIFS(Opex_Budget!$Z:$Z,Opex_Budget!$A:$A,$C$3,Opex_Budget!$E:$E,$B$930,Opex_Budget!$F:$F,$D$930,Opex_Budget!$N:$N,"EUR")*$G$5+SUMIFS(Opex_Budget!$Z:$Z,Opex_Budget!$A:$A,$C$3,Opex_Budget!$E:$E,$B$930,Opex_Budget!$F:$F,$D$930,Opex_Budget!$N:$N,"GBP")*$H$5)</f>
        <v/>
      </c>
      <c r="T930" s="32">
        <f>IF($B$930="","",SUMIF($H$7:$S$7,"&lt;="&amp;$C$4,$H930:$S930))</f>
        <v/>
      </c>
      <c r="U930" s="32">
        <f>IF($B$930="","",SUMIF($H$7:$S$7,"&gt;"&amp;$C$4,$H930:$S930))</f>
        <v/>
      </c>
      <c r="V930" s="32">
        <f>IF($B$930="","",SUM($H930:$S930))</f>
        <v/>
      </c>
      <c r="X930" s="22">
        <f>IF($B930="","",IFERROR(INDEX(Cost_Centers!$E:$E,MATCH($B930,Cost_Centers!$A:$A,0)),"(unknown)"))</f>
        <v/>
      </c>
      <c r="Y930" s="22">
        <f>IF($B930="","",IFERROR(INDEX(Cost_Centers!$D:$D,MATCH($B930,Cost_Centers!$A:$A,0)),"(unknown)"))</f>
        <v/>
      </c>
      <c r="Z930" s="22">
        <f>IF(OR($B930="",$G930&lt;&gt;"Variance vs Budget"),"",ABS(N($V930))+ROW()/1000000000)</f>
        <v/>
      </c>
    </row>
    <row r="931">
      <c r="A931" s="13">
        <f>IF(A$930="","",A$930)</f>
        <v/>
      </c>
      <c r="B931" s="13">
        <f>IF(B$930="","",B$930)</f>
        <v/>
      </c>
      <c r="C931" s="13">
        <f>IF(C$930="","",C$930)</f>
        <v/>
      </c>
      <c r="D931" s="13">
        <f>IF(D$930="","",D$930)</f>
        <v/>
      </c>
      <c r="E931" s="13">
        <f>IF(E$930="","",E$930)</f>
        <v/>
      </c>
      <c r="F931" s="13">
        <f>IF(F$930="","",F$930)</f>
        <v/>
      </c>
      <c r="G931" s="7" t="inlineStr">
        <is>
          <t>Actual</t>
        </is>
      </c>
      <c r="H931" s="18">
        <f>IF(OR($B$930="",1&gt;$C$4),"",SUMIFS(Actuals!$G:$G,Actuals!$B:$B,$C$3,Actuals!$C:$C,1,Actuals!$D:$D,$B$930,Actuals!$A:$A,LEFT($D$930,FIND("|",$D$930&amp;"|")-1),Actuals!$E:$E,MID($D$930,FIND("|",$D$930&amp;"|")+1,50),Actuals!$F:$F,"JPY")*$E$5+SUMIFS(Actuals!$G:$G,Actuals!$B:$B,$C$3,Actuals!$C:$C,1,Actuals!$D:$D,$B$930,Actuals!$A:$A,LEFT($D$930,FIND("|",$D$930&amp;"|")-1),Actuals!$E:$E,MID($D$930,FIND("|",$D$930&amp;"|")+1,50),Actuals!$F:$F,"USD")*$F$5+SUMIFS(Actuals!$G:$G,Actuals!$B:$B,$C$3,Actuals!$C:$C,1,Actuals!$D:$D,$B$930,Actuals!$A:$A,LEFT($D$930,FIND("|",$D$930&amp;"|")-1),Actuals!$E:$E,MID($D$930,FIND("|",$D$930&amp;"|")+1,50),Actuals!$F:$F,"EUR")*$G$5+SUMIFS(Actuals!$G:$G,Actuals!$B:$B,$C$3,Actuals!$C:$C,1,Actuals!$D:$D,$B$930,Actuals!$A:$A,LEFT($D$930,FIND("|",$D$930&amp;"|")-1),Actuals!$E:$E,MID($D$930,FIND("|",$D$930&amp;"|")+1,50),Actuals!$F:$F,"GBP")*$H$5)</f>
        <v/>
      </c>
      <c r="I931" s="18">
        <f>IF(OR($B$930="",2&gt;$C$4),"",SUMIFS(Actuals!$G:$G,Actuals!$B:$B,$C$3,Actuals!$C:$C,2,Actuals!$D:$D,$B$930,Actuals!$A:$A,LEFT($D$930,FIND("|",$D$930&amp;"|")-1),Actuals!$E:$E,MID($D$930,FIND("|",$D$930&amp;"|")+1,50),Actuals!$F:$F,"JPY")*$E$5+SUMIFS(Actuals!$G:$G,Actuals!$B:$B,$C$3,Actuals!$C:$C,2,Actuals!$D:$D,$B$930,Actuals!$A:$A,LEFT($D$930,FIND("|",$D$930&amp;"|")-1),Actuals!$E:$E,MID($D$930,FIND("|",$D$930&amp;"|")+1,50),Actuals!$F:$F,"USD")*$F$5+SUMIFS(Actuals!$G:$G,Actuals!$B:$B,$C$3,Actuals!$C:$C,2,Actuals!$D:$D,$B$930,Actuals!$A:$A,LEFT($D$930,FIND("|",$D$930&amp;"|")-1),Actuals!$E:$E,MID($D$930,FIND("|",$D$930&amp;"|")+1,50),Actuals!$F:$F,"EUR")*$G$5+SUMIFS(Actuals!$G:$G,Actuals!$B:$B,$C$3,Actuals!$C:$C,2,Actuals!$D:$D,$B$930,Actuals!$A:$A,LEFT($D$930,FIND("|",$D$930&amp;"|")-1),Actuals!$E:$E,MID($D$930,FIND("|",$D$930&amp;"|")+1,50),Actuals!$F:$F,"GBP")*$H$5)</f>
        <v/>
      </c>
      <c r="J931" s="18">
        <f>IF(OR($B$930="",3&gt;$C$4),"",SUMIFS(Actuals!$G:$G,Actuals!$B:$B,$C$3,Actuals!$C:$C,3,Actuals!$D:$D,$B$930,Actuals!$A:$A,LEFT($D$930,FIND("|",$D$930&amp;"|")-1),Actuals!$E:$E,MID($D$930,FIND("|",$D$930&amp;"|")+1,50),Actuals!$F:$F,"JPY")*$E$5+SUMIFS(Actuals!$G:$G,Actuals!$B:$B,$C$3,Actuals!$C:$C,3,Actuals!$D:$D,$B$930,Actuals!$A:$A,LEFT($D$930,FIND("|",$D$930&amp;"|")-1),Actuals!$E:$E,MID($D$930,FIND("|",$D$930&amp;"|")+1,50),Actuals!$F:$F,"USD")*$F$5+SUMIFS(Actuals!$G:$G,Actuals!$B:$B,$C$3,Actuals!$C:$C,3,Actuals!$D:$D,$B$930,Actuals!$A:$A,LEFT($D$930,FIND("|",$D$930&amp;"|")-1),Actuals!$E:$E,MID($D$930,FIND("|",$D$930&amp;"|")+1,50),Actuals!$F:$F,"EUR")*$G$5+SUMIFS(Actuals!$G:$G,Actuals!$B:$B,$C$3,Actuals!$C:$C,3,Actuals!$D:$D,$B$930,Actuals!$A:$A,LEFT($D$930,FIND("|",$D$930&amp;"|")-1),Actuals!$E:$E,MID($D$930,FIND("|",$D$930&amp;"|")+1,50),Actuals!$F:$F,"GBP")*$H$5)</f>
        <v/>
      </c>
      <c r="K931" s="18">
        <f>IF(OR($B$930="",4&gt;$C$4),"",SUMIFS(Actuals!$G:$G,Actuals!$B:$B,$C$3,Actuals!$C:$C,4,Actuals!$D:$D,$B$930,Actuals!$A:$A,LEFT($D$930,FIND("|",$D$930&amp;"|")-1),Actuals!$E:$E,MID($D$930,FIND("|",$D$930&amp;"|")+1,50),Actuals!$F:$F,"JPY")*$E$5+SUMIFS(Actuals!$G:$G,Actuals!$B:$B,$C$3,Actuals!$C:$C,4,Actuals!$D:$D,$B$930,Actuals!$A:$A,LEFT($D$930,FIND("|",$D$930&amp;"|")-1),Actuals!$E:$E,MID($D$930,FIND("|",$D$930&amp;"|")+1,50),Actuals!$F:$F,"USD")*$F$5+SUMIFS(Actuals!$G:$G,Actuals!$B:$B,$C$3,Actuals!$C:$C,4,Actuals!$D:$D,$B$930,Actuals!$A:$A,LEFT($D$930,FIND("|",$D$930&amp;"|")-1),Actuals!$E:$E,MID($D$930,FIND("|",$D$930&amp;"|")+1,50),Actuals!$F:$F,"EUR")*$G$5+SUMIFS(Actuals!$G:$G,Actuals!$B:$B,$C$3,Actuals!$C:$C,4,Actuals!$D:$D,$B$930,Actuals!$A:$A,LEFT($D$930,FIND("|",$D$930&amp;"|")-1),Actuals!$E:$E,MID($D$930,FIND("|",$D$930&amp;"|")+1,50),Actuals!$F:$F,"GBP")*$H$5)</f>
        <v/>
      </c>
      <c r="L931" s="18">
        <f>IF(OR($B$930="",5&gt;$C$4),"",SUMIFS(Actuals!$G:$G,Actuals!$B:$B,$C$3,Actuals!$C:$C,5,Actuals!$D:$D,$B$930,Actuals!$A:$A,LEFT($D$930,FIND("|",$D$930&amp;"|")-1),Actuals!$E:$E,MID($D$930,FIND("|",$D$930&amp;"|")+1,50),Actuals!$F:$F,"JPY")*$E$5+SUMIFS(Actuals!$G:$G,Actuals!$B:$B,$C$3,Actuals!$C:$C,5,Actuals!$D:$D,$B$930,Actuals!$A:$A,LEFT($D$930,FIND("|",$D$930&amp;"|")-1),Actuals!$E:$E,MID($D$930,FIND("|",$D$930&amp;"|")+1,50),Actuals!$F:$F,"USD")*$F$5+SUMIFS(Actuals!$G:$G,Actuals!$B:$B,$C$3,Actuals!$C:$C,5,Actuals!$D:$D,$B$930,Actuals!$A:$A,LEFT($D$930,FIND("|",$D$930&amp;"|")-1),Actuals!$E:$E,MID($D$930,FIND("|",$D$930&amp;"|")+1,50),Actuals!$F:$F,"EUR")*$G$5+SUMIFS(Actuals!$G:$G,Actuals!$B:$B,$C$3,Actuals!$C:$C,5,Actuals!$D:$D,$B$930,Actuals!$A:$A,LEFT($D$930,FIND("|",$D$930&amp;"|")-1),Actuals!$E:$E,MID($D$930,FIND("|",$D$930&amp;"|")+1,50),Actuals!$F:$F,"GBP")*$H$5)</f>
        <v/>
      </c>
      <c r="M931" s="18">
        <f>IF(OR($B$930="",6&gt;$C$4),"",SUMIFS(Actuals!$G:$G,Actuals!$B:$B,$C$3,Actuals!$C:$C,6,Actuals!$D:$D,$B$930,Actuals!$A:$A,LEFT($D$930,FIND("|",$D$930&amp;"|")-1),Actuals!$E:$E,MID($D$930,FIND("|",$D$930&amp;"|")+1,50),Actuals!$F:$F,"JPY")*$E$5+SUMIFS(Actuals!$G:$G,Actuals!$B:$B,$C$3,Actuals!$C:$C,6,Actuals!$D:$D,$B$930,Actuals!$A:$A,LEFT($D$930,FIND("|",$D$930&amp;"|")-1),Actuals!$E:$E,MID($D$930,FIND("|",$D$930&amp;"|")+1,50),Actuals!$F:$F,"USD")*$F$5+SUMIFS(Actuals!$G:$G,Actuals!$B:$B,$C$3,Actuals!$C:$C,6,Actuals!$D:$D,$B$930,Actuals!$A:$A,LEFT($D$930,FIND("|",$D$930&amp;"|")-1),Actuals!$E:$E,MID($D$930,FIND("|",$D$930&amp;"|")+1,50),Actuals!$F:$F,"EUR")*$G$5+SUMIFS(Actuals!$G:$G,Actuals!$B:$B,$C$3,Actuals!$C:$C,6,Actuals!$D:$D,$B$930,Actuals!$A:$A,LEFT($D$930,FIND("|",$D$930&amp;"|")-1),Actuals!$E:$E,MID($D$930,FIND("|",$D$930&amp;"|")+1,50),Actuals!$F:$F,"GBP")*$H$5)</f>
        <v/>
      </c>
      <c r="N931" s="18">
        <f>IF(OR($B$930="",7&gt;$C$4),"",SUMIFS(Actuals!$G:$G,Actuals!$B:$B,$C$3,Actuals!$C:$C,7,Actuals!$D:$D,$B$930,Actuals!$A:$A,LEFT($D$930,FIND("|",$D$930&amp;"|")-1),Actuals!$E:$E,MID($D$930,FIND("|",$D$930&amp;"|")+1,50),Actuals!$F:$F,"JPY")*$E$5+SUMIFS(Actuals!$G:$G,Actuals!$B:$B,$C$3,Actuals!$C:$C,7,Actuals!$D:$D,$B$930,Actuals!$A:$A,LEFT($D$930,FIND("|",$D$930&amp;"|")-1),Actuals!$E:$E,MID($D$930,FIND("|",$D$930&amp;"|")+1,50),Actuals!$F:$F,"USD")*$F$5+SUMIFS(Actuals!$G:$G,Actuals!$B:$B,$C$3,Actuals!$C:$C,7,Actuals!$D:$D,$B$930,Actuals!$A:$A,LEFT($D$930,FIND("|",$D$930&amp;"|")-1),Actuals!$E:$E,MID($D$930,FIND("|",$D$930&amp;"|")+1,50),Actuals!$F:$F,"EUR")*$G$5+SUMIFS(Actuals!$G:$G,Actuals!$B:$B,$C$3,Actuals!$C:$C,7,Actuals!$D:$D,$B$930,Actuals!$A:$A,LEFT($D$930,FIND("|",$D$930&amp;"|")-1),Actuals!$E:$E,MID($D$930,FIND("|",$D$930&amp;"|")+1,50),Actuals!$F:$F,"GBP")*$H$5)</f>
        <v/>
      </c>
      <c r="O931" s="18">
        <f>IF(OR($B$930="",8&gt;$C$4),"",SUMIFS(Actuals!$G:$G,Actuals!$B:$B,$C$3,Actuals!$C:$C,8,Actuals!$D:$D,$B$930,Actuals!$A:$A,LEFT($D$930,FIND("|",$D$930&amp;"|")-1),Actuals!$E:$E,MID($D$930,FIND("|",$D$930&amp;"|")+1,50),Actuals!$F:$F,"JPY")*$E$5+SUMIFS(Actuals!$G:$G,Actuals!$B:$B,$C$3,Actuals!$C:$C,8,Actuals!$D:$D,$B$930,Actuals!$A:$A,LEFT($D$930,FIND("|",$D$930&amp;"|")-1),Actuals!$E:$E,MID($D$930,FIND("|",$D$930&amp;"|")+1,50),Actuals!$F:$F,"USD")*$F$5+SUMIFS(Actuals!$G:$G,Actuals!$B:$B,$C$3,Actuals!$C:$C,8,Actuals!$D:$D,$B$930,Actuals!$A:$A,LEFT($D$930,FIND("|",$D$930&amp;"|")-1),Actuals!$E:$E,MID($D$930,FIND("|",$D$930&amp;"|")+1,50),Actuals!$F:$F,"EUR")*$G$5+SUMIFS(Actuals!$G:$G,Actuals!$B:$B,$C$3,Actuals!$C:$C,8,Actuals!$D:$D,$B$930,Actuals!$A:$A,LEFT($D$930,FIND("|",$D$930&amp;"|")-1),Actuals!$E:$E,MID($D$930,FIND("|",$D$930&amp;"|")+1,50),Actuals!$F:$F,"GBP")*$H$5)</f>
        <v/>
      </c>
      <c r="P931" s="18">
        <f>IF(OR($B$930="",9&gt;$C$4),"",SUMIFS(Actuals!$G:$G,Actuals!$B:$B,$C$3,Actuals!$C:$C,9,Actuals!$D:$D,$B$930,Actuals!$A:$A,LEFT($D$930,FIND("|",$D$930&amp;"|")-1),Actuals!$E:$E,MID($D$930,FIND("|",$D$930&amp;"|")+1,50),Actuals!$F:$F,"JPY")*$E$5+SUMIFS(Actuals!$G:$G,Actuals!$B:$B,$C$3,Actuals!$C:$C,9,Actuals!$D:$D,$B$930,Actuals!$A:$A,LEFT($D$930,FIND("|",$D$930&amp;"|")-1),Actuals!$E:$E,MID($D$930,FIND("|",$D$930&amp;"|")+1,50),Actuals!$F:$F,"USD")*$F$5+SUMIFS(Actuals!$G:$G,Actuals!$B:$B,$C$3,Actuals!$C:$C,9,Actuals!$D:$D,$B$930,Actuals!$A:$A,LEFT($D$930,FIND("|",$D$930&amp;"|")-1),Actuals!$E:$E,MID($D$930,FIND("|",$D$930&amp;"|")+1,50),Actuals!$F:$F,"EUR")*$G$5+SUMIFS(Actuals!$G:$G,Actuals!$B:$B,$C$3,Actuals!$C:$C,9,Actuals!$D:$D,$B$930,Actuals!$A:$A,LEFT($D$930,FIND("|",$D$930&amp;"|")-1),Actuals!$E:$E,MID($D$930,FIND("|",$D$930&amp;"|")+1,50),Actuals!$F:$F,"GBP")*$H$5)</f>
        <v/>
      </c>
      <c r="Q931" s="18">
        <f>IF(OR($B$930="",10&gt;$C$4),"",SUMIFS(Actuals!$G:$G,Actuals!$B:$B,$C$3,Actuals!$C:$C,10,Actuals!$D:$D,$B$930,Actuals!$A:$A,LEFT($D$930,FIND("|",$D$930&amp;"|")-1),Actuals!$E:$E,MID($D$930,FIND("|",$D$930&amp;"|")+1,50),Actuals!$F:$F,"JPY")*$E$5+SUMIFS(Actuals!$G:$G,Actuals!$B:$B,$C$3,Actuals!$C:$C,10,Actuals!$D:$D,$B$930,Actuals!$A:$A,LEFT($D$930,FIND("|",$D$930&amp;"|")-1),Actuals!$E:$E,MID($D$930,FIND("|",$D$930&amp;"|")+1,50),Actuals!$F:$F,"USD")*$F$5+SUMIFS(Actuals!$G:$G,Actuals!$B:$B,$C$3,Actuals!$C:$C,10,Actuals!$D:$D,$B$930,Actuals!$A:$A,LEFT($D$930,FIND("|",$D$930&amp;"|")-1),Actuals!$E:$E,MID($D$930,FIND("|",$D$930&amp;"|")+1,50),Actuals!$F:$F,"EUR")*$G$5+SUMIFS(Actuals!$G:$G,Actuals!$B:$B,$C$3,Actuals!$C:$C,10,Actuals!$D:$D,$B$930,Actuals!$A:$A,LEFT($D$930,FIND("|",$D$930&amp;"|")-1),Actuals!$E:$E,MID($D$930,FIND("|",$D$930&amp;"|")+1,50),Actuals!$F:$F,"GBP")*$H$5)</f>
        <v/>
      </c>
      <c r="R931" s="18">
        <f>IF(OR($B$930="",11&gt;$C$4),"",SUMIFS(Actuals!$G:$G,Actuals!$B:$B,$C$3,Actuals!$C:$C,11,Actuals!$D:$D,$B$930,Actuals!$A:$A,LEFT($D$930,FIND("|",$D$930&amp;"|")-1),Actuals!$E:$E,MID($D$930,FIND("|",$D$930&amp;"|")+1,50),Actuals!$F:$F,"JPY")*$E$5+SUMIFS(Actuals!$G:$G,Actuals!$B:$B,$C$3,Actuals!$C:$C,11,Actuals!$D:$D,$B$930,Actuals!$A:$A,LEFT($D$930,FIND("|",$D$930&amp;"|")-1),Actuals!$E:$E,MID($D$930,FIND("|",$D$930&amp;"|")+1,50),Actuals!$F:$F,"USD")*$F$5+SUMIFS(Actuals!$G:$G,Actuals!$B:$B,$C$3,Actuals!$C:$C,11,Actuals!$D:$D,$B$930,Actuals!$A:$A,LEFT($D$930,FIND("|",$D$930&amp;"|")-1),Actuals!$E:$E,MID($D$930,FIND("|",$D$930&amp;"|")+1,50),Actuals!$F:$F,"EUR")*$G$5+SUMIFS(Actuals!$G:$G,Actuals!$B:$B,$C$3,Actuals!$C:$C,11,Actuals!$D:$D,$B$930,Actuals!$A:$A,LEFT($D$930,FIND("|",$D$930&amp;"|")-1),Actuals!$E:$E,MID($D$930,FIND("|",$D$930&amp;"|")+1,50),Actuals!$F:$F,"GBP")*$H$5)</f>
        <v/>
      </c>
      <c r="S931" s="18">
        <f>IF(OR($B$930="",12&gt;$C$4),"",SUMIFS(Actuals!$G:$G,Actuals!$B:$B,$C$3,Actuals!$C:$C,12,Actuals!$D:$D,$B$930,Actuals!$A:$A,LEFT($D$930,FIND("|",$D$930&amp;"|")-1),Actuals!$E:$E,MID($D$930,FIND("|",$D$930&amp;"|")+1,50),Actuals!$F:$F,"JPY")*$E$5+SUMIFS(Actuals!$G:$G,Actuals!$B:$B,$C$3,Actuals!$C:$C,12,Actuals!$D:$D,$B$930,Actuals!$A:$A,LEFT($D$930,FIND("|",$D$930&amp;"|")-1),Actuals!$E:$E,MID($D$930,FIND("|",$D$930&amp;"|")+1,50),Actuals!$F:$F,"USD")*$F$5+SUMIFS(Actuals!$G:$G,Actuals!$B:$B,$C$3,Actuals!$C:$C,12,Actuals!$D:$D,$B$930,Actuals!$A:$A,LEFT($D$930,FIND("|",$D$930&amp;"|")-1),Actuals!$E:$E,MID($D$930,FIND("|",$D$930&amp;"|")+1,50),Actuals!$F:$F,"EUR")*$G$5+SUMIFS(Actuals!$G:$G,Actuals!$B:$B,$C$3,Actuals!$C:$C,12,Actuals!$D:$D,$B$930,Actuals!$A:$A,LEFT($D$930,FIND("|",$D$930&amp;"|")-1),Actuals!$E:$E,MID($D$930,FIND("|",$D$930&amp;"|")+1,50),Actuals!$F:$F,"GBP")*$H$5)</f>
        <v/>
      </c>
      <c r="T931" s="18">
        <f>IF($B$930="","",SUMIF($H$7:$S$7,"&lt;="&amp;$C$4,$H931:$S931))</f>
        <v/>
      </c>
      <c r="U931" s="18" t="n"/>
      <c r="V931" s="18" t="n"/>
      <c r="X931" s="22">
        <f>IF($B931="","",IFERROR(INDEX(Cost_Centers!$E:$E,MATCH($B931,Cost_Centers!$A:$A,0)),"(unknown)"))</f>
        <v/>
      </c>
      <c r="Y931" s="22">
        <f>IF($B931="","",IFERROR(INDEX(Cost_Centers!$D:$D,MATCH($B931,Cost_Centers!$A:$A,0)),"(unknown)"))</f>
        <v/>
      </c>
      <c r="Z931" s="22">
        <f>IF(OR($B931="",$G931&lt;&gt;"Variance vs Budget"),"",ABS(N($V931))+ROW()/1000000000)</f>
        <v/>
      </c>
    </row>
    <row r="932">
      <c r="A932" s="13">
        <f>IF(A$930="","",A$930)</f>
        <v/>
      </c>
      <c r="B932" s="13">
        <f>IF(B$930="","",B$930)</f>
        <v/>
      </c>
      <c r="C932" s="13">
        <f>IF(C$930="","",C$930)</f>
        <v/>
      </c>
      <c r="D932" s="13">
        <f>IF(D$930="","",D$930)</f>
        <v/>
      </c>
      <c r="E932" s="13">
        <f>IF(E$930="","",E$930)</f>
        <v/>
      </c>
      <c r="F932" s="13">
        <f>IF(F$930="","",F$930)</f>
        <v/>
      </c>
      <c r="G932" s="6" t="inlineStr">
        <is>
          <t>Variance vs Budget</t>
        </is>
      </c>
      <c r="H932" s="33">
        <f>IF(OR($B$930="",1&gt;$C$4),"",N(H931)-H930)</f>
        <v/>
      </c>
      <c r="I932" s="33">
        <f>IF(OR($B$930="",2&gt;$C$4),"",N(I931)-I930)</f>
        <v/>
      </c>
      <c r="J932" s="33">
        <f>IF(OR($B$930="",3&gt;$C$4),"",N(J931)-J930)</f>
        <v/>
      </c>
      <c r="K932" s="33">
        <f>IF(OR($B$930="",4&gt;$C$4),"",N(K931)-K930)</f>
        <v/>
      </c>
      <c r="L932" s="33">
        <f>IF(OR($B$930="",5&gt;$C$4),"",N(L931)-L930)</f>
        <v/>
      </c>
      <c r="M932" s="33">
        <f>IF(OR($B$930="",6&gt;$C$4),"",N(M931)-M930)</f>
        <v/>
      </c>
      <c r="N932" s="33">
        <f>IF(OR($B$930="",7&gt;$C$4),"",N(N931)-N930)</f>
        <v/>
      </c>
      <c r="O932" s="33">
        <f>IF(OR($B$930="",8&gt;$C$4),"",N(O931)-O930)</f>
        <v/>
      </c>
      <c r="P932" s="33">
        <f>IF(OR($B$930="",9&gt;$C$4),"",N(P931)-P930)</f>
        <v/>
      </c>
      <c r="Q932" s="33">
        <f>IF(OR($B$930="",10&gt;$C$4),"",N(Q931)-Q930)</f>
        <v/>
      </c>
      <c r="R932" s="33">
        <f>IF(OR($B$930="",11&gt;$C$4),"",N(R931)-R930)</f>
        <v/>
      </c>
      <c r="S932" s="33">
        <f>IF(OR($B$930="",12&gt;$C$4),"",N(S931)-S930)</f>
        <v/>
      </c>
      <c r="T932" s="33">
        <f>IF($B$930="","",T931-T930)</f>
        <v/>
      </c>
      <c r="U932" s="33">
        <f>IF($B$930="","",U934-U930)</f>
        <v/>
      </c>
      <c r="V932" s="33">
        <f>IF($B$930="","",V934-V930)</f>
        <v/>
      </c>
      <c r="X932" s="22">
        <f>IF($B932="","",IFERROR(INDEX(Cost_Centers!$E:$E,MATCH($B932,Cost_Centers!$A:$A,0)),"(unknown)"))</f>
        <v/>
      </c>
      <c r="Y932" s="22">
        <f>IF($B932="","",IFERROR(INDEX(Cost_Centers!$D:$D,MATCH($B932,Cost_Centers!$A:$A,0)),"(unknown)"))</f>
        <v/>
      </c>
      <c r="Z932" s="22">
        <f>IF(OR($B932="",$G932&lt;&gt;"Variance vs Budget"),"",ABS(N($V932))+ROW()/1000000000)</f>
        <v/>
      </c>
    </row>
    <row r="933">
      <c r="A933" s="13">
        <f>IF(A$930="","",A$930)</f>
        <v/>
      </c>
      <c r="B933" s="13">
        <f>IF(B$930="","",B$930)</f>
        <v/>
      </c>
      <c r="C933" s="13">
        <f>IF(C$930="","",C$930)</f>
        <v/>
      </c>
      <c r="D933" s="13">
        <f>IF(D$930="","",D$930)</f>
        <v/>
      </c>
      <c r="E933" s="13">
        <f>IF(E$930="","",E$930)</f>
        <v/>
      </c>
      <c r="F933" s="13">
        <f>IF(F$930="","",F$930)</f>
        <v/>
      </c>
      <c r="G933" s="7" t="inlineStr">
        <is>
          <t>Forecast (input)</t>
        </is>
      </c>
      <c r="H933" s="34" t="n"/>
      <c r="I933" s="34" t="n"/>
      <c r="J933" s="34" t="n"/>
      <c r="K933" s="34" t="n"/>
      <c r="L933" s="34" t="n"/>
      <c r="M933" s="34" t="n"/>
      <c r="N933" s="34" t="n"/>
      <c r="O933" s="34" t="n"/>
      <c r="P933" s="34" t="n"/>
      <c r="Q933" s="34" t="n"/>
      <c r="R933" s="34" t="n"/>
      <c r="S933" s="34" t="n"/>
      <c r="T933" s="18" t="n"/>
      <c r="U933" s="18" t="n"/>
      <c r="V933" s="18" t="n"/>
      <c r="X933" s="22">
        <f>IF($B933="","",IFERROR(INDEX(Cost_Centers!$E:$E,MATCH($B933,Cost_Centers!$A:$A,0)),"(unknown)"))</f>
        <v/>
      </c>
      <c r="Y933" s="22">
        <f>IF($B933="","",IFERROR(INDEX(Cost_Centers!$D:$D,MATCH($B933,Cost_Centers!$A:$A,0)),"(unknown)"))</f>
        <v/>
      </c>
      <c r="Z933" s="22">
        <f>IF(OR($B933="",$G933&lt;&gt;"Variance vs Budget"),"",ABS(N($V933))+ROW()/1000000000)</f>
        <v/>
      </c>
    </row>
    <row r="934">
      <c r="A934" s="13">
        <f>IF(A$930="","",A$930)</f>
        <v/>
      </c>
      <c r="B934" s="13">
        <f>IF(B$930="","",B$930)</f>
        <v/>
      </c>
      <c r="C934" s="13">
        <f>IF(C$930="","",C$930)</f>
        <v/>
      </c>
      <c r="D934" s="13">
        <f>IF(D$930="","",D$930)</f>
        <v/>
      </c>
      <c r="E934" s="13">
        <f>IF(E$930="","",E$930)</f>
        <v/>
      </c>
      <c r="F934" s="13">
        <f>IF(F$930="","",F$930)</f>
        <v/>
      </c>
      <c r="G934" s="35" t="inlineStr">
        <is>
          <t>Actual + Forecast</t>
        </is>
      </c>
      <c r="H934" s="18">
        <f>IF($B$930="","",IF(1&lt;=$C$4,N(H931),IF(H933="",H930,H933)))</f>
        <v/>
      </c>
      <c r="I934" s="18">
        <f>IF($B$930="","",IF(2&lt;=$C$4,N(I931),IF(I933="",I930,I933)))</f>
        <v/>
      </c>
      <c r="J934" s="18">
        <f>IF($B$930="","",IF(3&lt;=$C$4,N(J931),IF(J933="",J930,J933)))</f>
        <v/>
      </c>
      <c r="K934" s="18">
        <f>IF($B$930="","",IF(4&lt;=$C$4,N(K931),IF(K933="",K930,K933)))</f>
        <v/>
      </c>
      <c r="L934" s="18">
        <f>IF($B$930="","",IF(5&lt;=$C$4,N(L931),IF(L933="",L930,L933)))</f>
        <v/>
      </c>
      <c r="M934" s="18">
        <f>IF($B$930="","",IF(6&lt;=$C$4,N(M931),IF(M933="",M930,M933)))</f>
        <v/>
      </c>
      <c r="N934" s="18">
        <f>IF($B$930="","",IF(7&lt;=$C$4,N(N931),IF(N933="",N930,N933)))</f>
        <v/>
      </c>
      <c r="O934" s="18">
        <f>IF($B$930="","",IF(8&lt;=$C$4,N(O931),IF(O933="",O930,O933)))</f>
        <v/>
      </c>
      <c r="P934" s="18">
        <f>IF($B$930="","",IF(9&lt;=$C$4,N(P931),IF(P933="",P930,P933)))</f>
        <v/>
      </c>
      <c r="Q934" s="18">
        <f>IF($B$930="","",IF(10&lt;=$C$4,N(Q931),IF(Q933="",Q930,Q933)))</f>
        <v/>
      </c>
      <c r="R934" s="18">
        <f>IF($B$930="","",IF(11&lt;=$C$4,N(R931),IF(R933="",R930,R933)))</f>
        <v/>
      </c>
      <c r="S934" s="18">
        <f>IF($B$930="","",IF(12&lt;=$C$4,N(S931),IF(S933="",S930,S933)))</f>
        <v/>
      </c>
      <c r="T934" s="18">
        <f>IF($B$930="","",SUMIF($H$7:$S$7,"&lt;="&amp;$C$4,$H934:$S934))</f>
        <v/>
      </c>
      <c r="U934" s="18">
        <f>IF($B$930="","",SUMIF($H$7:$S$7,"&gt;"&amp;$C$4,$H934:$S934))</f>
        <v/>
      </c>
      <c r="V934" s="18">
        <f>IF($B$930="","",SUM($H934:$S934))</f>
        <v/>
      </c>
      <c r="X934" s="22">
        <f>IF($B934="","",IFERROR(INDEX(Cost_Centers!$E:$E,MATCH($B934,Cost_Centers!$A:$A,0)),"(unknown)"))</f>
        <v/>
      </c>
      <c r="Y934" s="22">
        <f>IF($B934="","",IFERROR(INDEX(Cost_Centers!$D:$D,MATCH($B934,Cost_Centers!$A:$A,0)),"(unknown)"))</f>
        <v/>
      </c>
      <c r="Z934" s="22">
        <f>IF(OR($B934="",$G934&lt;&gt;"Variance vs Budget"),"",ABS(N($V934))+ROW()/1000000000)</f>
        <v/>
      </c>
    </row>
    <row r="935">
      <c r="A935" s="13">
        <f>IF(A$930="","",A$930)</f>
        <v/>
      </c>
      <c r="B935" s="13">
        <f>IF(B$930="","",B$930)</f>
        <v/>
      </c>
      <c r="C935" s="13">
        <f>IF(C$930="","",C$930)</f>
        <v/>
      </c>
      <c r="D935" s="13">
        <f>IF(D$930="","",D$930)</f>
        <v/>
      </c>
      <c r="E935" s="13">
        <f>IF(E$930="","",E$930)</f>
        <v/>
      </c>
      <c r="F935" s="13">
        <f>IF(F$930="","",F$930)</f>
        <v/>
      </c>
      <c r="G935" s="36" t="inlineStr">
        <is>
          <t>Prior Month Forecast</t>
        </is>
      </c>
      <c r="H935" s="37">
        <f>IF($B$930="","",IF(COUNTIFS(Prior_Forecast!$A:$A,$B$930,Prior_Forecast!$B:$B,$D$930)&gt;0,SUMIFS(Prior_Forecast!$C:$C,Prior_Forecast!$A:$A,$B$930,Prior_Forecast!$B:$B,$D$930),""))</f>
        <v/>
      </c>
      <c r="I935" s="37">
        <f>IF($B$930="","",IF(COUNTIFS(Prior_Forecast!$A:$A,$B$930,Prior_Forecast!$B:$B,$D$930)&gt;0,SUMIFS(Prior_Forecast!$D:$D,Prior_Forecast!$A:$A,$B$930,Prior_Forecast!$B:$B,$D$930),""))</f>
        <v/>
      </c>
      <c r="J935" s="37">
        <f>IF($B$930="","",IF(COUNTIFS(Prior_Forecast!$A:$A,$B$930,Prior_Forecast!$B:$B,$D$930)&gt;0,SUMIFS(Prior_Forecast!$E:$E,Prior_Forecast!$A:$A,$B$930,Prior_Forecast!$B:$B,$D$930),""))</f>
        <v/>
      </c>
      <c r="K935" s="37">
        <f>IF($B$930="","",IF(COUNTIFS(Prior_Forecast!$A:$A,$B$930,Prior_Forecast!$B:$B,$D$930)&gt;0,SUMIFS(Prior_Forecast!$F:$F,Prior_Forecast!$A:$A,$B$930,Prior_Forecast!$B:$B,$D$930),""))</f>
        <v/>
      </c>
      <c r="L935" s="37">
        <f>IF($B$930="","",IF(COUNTIFS(Prior_Forecast!$A:$A,$B$930,Prior_Forecast!$B:$B,$D$930)&gt;0,SUMIFS(Prior_Forecast!$G:$G,Prior_Forecast!$A:$A,$B$930,Prior_Forecast!$B:$B,$D$930),""))</f>
        <v/>
      </c>
      <c r="M935" s="37">
        <f>IF($B$930="","",IF(COUNTIFS(Prior_Forecast!$A:$A,$B$930,Prior_Forecast!$B:$B,$D$930)&gt;0,SUMIFS(Prior_Forecast!$H:$H,Prior_Forecast!$A:$A,$B$930,Prior_Forecast!$B:$B,$D$930),""))</f>
        <v/>
      </c>
      <c r="N935" s="37">
        <f>IF($B$930="","",IF(COUNTIFS(Prior_Forecast!$A:$A,$B$930,Prior_Forecast!$B:$B,$D$930)&gt;0,SUMIFS(Prior_Forecast!$I:$I,Prior_Forecast!$A:$A,$B$930,Prior_Forecast!$B:$B,$D$930),""))</f>
        <v/>
      </c>
      <c r="O935" s="37">
        <f>IF($B$930="","",IF(COUNTIFS(Prior_Forecast!$A:$A,$B$930,Prior_Forecast!$B:$B,$D$930)&gt;0,SUMIFS(Prior_Forecast!$J:$J,Prior_Forecast!$A:$A,$B$930,Prior_Forecast!$B:$B,$D$930),""))</f>
        <v/>
      </c>
      <c r="P935" s="37">
        <f>IF($B$930="","",IF(COUNTIFS(Prior_Forecast!$A:$A,$B$930,Prior_Forecast!$B:$B,$D$930)&gt;0,SUMIFS(Prior_Forecast!$K:$K,Prior_Forecast!$A:$A,$B$930,Prior_Forecast!$B:$B,$D$930),""))</f>
        <v/>
      </c>
      <c r="Q935" s="37">
        <f>IF($B$930="","",IF(COUNTIFS(Prior_Forecast!$A:$A,$B$930,Prior_Forecast!$B:$B,$D$930)&gt;0,SUMIFS(Prior_Forecast!$L:$L,Prior_Forecast!$A:$A,$B$930,Prior_Forecast!$B:$B,$D$930),""))</f>
        <v/>
      </c>
      <c r="R935" s="37">
        <f>IF($B$930="","",IF(COUNTIFS(Prior_Forecast!$A:$A,$B$930,Prior_Forecast!$B:$B,$D$930)&gt;0,SUMIFS(Prior_Forecast!$M:$M,Prior_Forecast!$A:$A,$B$930,Prior_Forecast!$B:$B,$D$930),""))</f>
        <v/>
      </c>
      <c r="S935" s="37">
        <f>IF($B$930="","",IF(COUNTIFS(Prior_Forecast!$A:$A,$B$930,Prior_Forecast!$B:$B,$D$930)&gt;0,SUMIFS(Prior_Forecast!$N:$N,Prior_Forecast!$A:$A,$B$930,Prior_Forecast!$B:$B,$D$930),""))</f>
        <v/>
      </c>
      <c r="T935" s="37">
        <f>IF($B$930="","",IF(COUNTIFS(Prior_Forecast!$A:$A,$B$930,Prior_Forecast!$B:$B,$D$930)&gt;0,SUMIFS(Prior_Forecast!$O:$O,Prior_Forecast!$A:$A,$B$930,Prior_Forecast!$B:$B,$D$930),""))</f>
        <v/>
      </c>
      <c r="U935" s="37">
        <f>IF($B$930="","",IF(COUNTIFS(Prior_Forecast!$A:$A,$B$930,Prior_Forecast!$B:$B,$D$930)&gt;0,SUMIFS(Prior_Forecast!$P:$P,Prior_Forecast!$A:$A,$B$930,Prior_Forecast!$B:$B,$D$930),""))</f>
        <v/>
      </c>
      <c r="V935" s="37">
        <f>IF($B$930="","",IF(COUNTIFS(Prior_Forecast!$A:$A,$B$930,Prior_Forecast!$B:$B,$D$930)&gt;0,SUMIFS(Prior_Forecast!$Q:$Q,Prior_Forecast!$A:$A,$B$930,Prior_Forecast!$B:$B,$D$930),""))</f>
        <v/>
      </c>
      <c r="X935" s="22">
        <f>IF($B935="","",IFERROR(INDEX(Cost_Centers!$E:$E,MATCH($B935,Cost_Centers!$A:$A,0)),"(unknown)"))</f>
        <v/>
      </c>
      <c r="Y935" s="22">
        <f>IF($B935="","",IFERROR(INDEX(Cost_Centers!$D:$D,MATCH($B935,Cost_Centers!$A:$A,0)),"(unknown)"))</f>
        <v/>
      </c>
      <c r="Z935" s="22">
        <f>IF(OR($B935="",$G935&lt;&gt;"Variance vs Budget"),"",ABS(N($V935))+ROW()/1000000000)</f>
        <v/>
      </c>
    </row>
    <row r="936">
      <c r="A936" s="13">
        <f>IF(A$930="","",A$930)</f>
        <v/>
      </c>
      <c r="B936" s="13">
        <f>IF(B$930="","",B$930)</f>
        <v/>
      </c>
      <c r="C936" s="13">
        <f>IF(C$930="","",C$930)</f>
        <v/>
      </c>
      <c r="D936" s="13">
        <f>IF(D$930="","",D$930)</f>
        <v/>
      </c>
      <c r="E936" s="13">
        <f>IF(E$930="","",E$930)</f>
        <v/>
      </c>
      <c r="F936" s="13">
        <f>IF(F$930="","",F$930)</f>
        <v/>
      </c>
      <c r="G936" s="6" t="inlineStr">
        <is>
          <t>Variance vs Prior Month</t>
        </is>
      </c>
      <c r="H936" s="33">
        <f>IF(OR($B$930="",H935=""),"",H934-H935)</f>
        <v/>
      </c>
      <c r="I936" s="33">
        <f>IF(OR($B$930="",I935=""),"",I934-I935)</f>
        <v/>
      </c>
      <c r="J936" s="33">
        <f>IF(OR($B$930="",J935=""),"",J934-J935)</f>
        <v/>
      </c>
      <c r="K936" s="33">
        <f>IF(OR($B$930="",K935=""),"",K934-K935)</f>
        <v/>
      </c>
      <c r="L936" s="33">
        <f>IF(OR($B$930="",L935=""),"",L934-L935)</f>
        <v/>
      </c>
      <c r="M936" s="33">
        <f>IF(OR($B$930="",M935=""),"",M934-M935)</f>
        <v/>
      </c>
      <c r="N936" s="33">
        <f>IF(OR($B$930="",N935=""),"",N934-N935)</f>
        <v/>
      </c>
      <c r="O936" s="33">
        <f>IF(OR($B$930="",O935=""),"",O934-O935)</f>
        <v/>
      </c>
      <c r="P936" s="33">
        <f>IF(OR($B$930="",P935=""),"",P934-P935)</f>
        <v/>
      </c>
      <c r="Q936" s="33">
        <f>IF(OR($B$930="",Q935=""),"",Q934-Q935)</f>
        <v/>
      </c>
      <c r="R936" s="33">
        <f>IF(OR($B$930="",R935=""),"",R934-R935)</f>
        <v/>
      </c>
      <c r="S936" s="33">
        <f>IF(OR($B$930="",S935=""),"",S934-S935)</f>
        <v/>
      </c>
      <c r="T936" s="33">
        <f>IF(OR($B$930="",T935=""),"",T934-T935)</f>
        <v/>
      </c>
      <c r="U936" s="33">
        <f>IF(OR($B$930="",U935=""),"",U934-U935)</f>
        <v/>
      </c>
      <c r="V936" s="33">
        <f>IF(OR($B$930="",V935=""),"",V934-V935)</f>
        <v/>
      </c>
      <c r="X936" s="22">
        <f>IF($B936="","",IFERROR(INDEX(Cost_Centers!$E:$E,MATCH($B936,Cost_Centers!$A:$A,0)),"(unknown)"))</f>
        <v/>
      </c>
      <c r="Y936" s="22">
        <f>IF($B936="","",IFERROR(INDEX(Cost_Centers!$D:$D,MATCH($B936,Cost_Centers!$A:$A,0)),"(unknown)"))</f>
        <v/>
      </c>
      <c r="Z936" s="22">
        <f>IF(OR($B936="",$G936&lt;&gt;"Variance vs Budget"),"",ABS(N($V936))+ROW()/1000000000)</f>
        <v/>
      </c>
    </row>
    <row r="937" ht="45" customHeight="1">
      <c r="A937" s="13">
        <f>IF(A$930="","",A$930)</f>
        <v/>
      </c>
      <c r="B937" s="13">
        <f>IF(B$930="","",B$930)</f>
        <v/>
      </c>
      <c r="C937" s="13">
        <f>IF(C$930="","",C$930)</f>
        <v/>
      </c>
      <c r="D937" s="13">
        <f>IF(D$930="","",D$930)</f>
        <v/>
      </c>
      <c r="E937" s="13">
        <f>IF(E$930="","",E$930)</f>
        <v/>
      </c>
      <c r="F937" s="13">
        <f>IF(F$930="","",F$930)</f>
        <v/>
      </c>
      <c r="G937" s="7" t="inlineStr">
        <is>
          <t>Rationale</t>
        </is>
      </c>
      <c r="H937" s="38" t="n"/>
      <c r="I937" s="38" t="n"/>
      <c r="J937" s="38" t="n"/>
      <c r="K937" s="38" t="n"/>
      <c r="L937" s="38" t="n"/>
      <c r="M937" s="38" t="n"/>
      <c r="N937" s="38" t="n"/>
      <c r="O937" s="38" t="n"/>
      <c r="P937" s="38" t="n"/>
      <c r="Q937" s="38" t="n"/>
      <c r="R937" s="38" t="n"/>
      <c r="S937" s="38" t="n"/>
      <c r="T937" s="38" t="n"/>
      <c r="U937" s="38" t="n"/>
      <c r="V937" s="7" t="n"/>
      <c r="X937" s="22">
        <f>IF($B937="","",IFERROR(INDEX(Cost_Centers!$E:$E,MATCH($B937,Cost_Centers!$A:$A,0)),"(unknown)"))</f>
        <v/>
      </c>
      <c r="Y937" s="22">
        <f>IF($B937="","",IFERROR(INDEX(Cost_Centers!$D:$D,MATCH($B937,Cost_Centers!$A:$A,0)),"(unknown)"))</f>
        <v/>
      </c>
      <c r="Z937" s="22">
        <f>IF(OR($B937="",$G937&lt;&gt;"Variance vs Budget"),"",ABS(N($V937))+ROW()/1000000000)</f>
        <v/>
      </c>
    </row>
    <row r="938">
      <c r="A938" s="30">
        <f>IF($D$938="","",LEFT($D$938,FIND("|",$D$938&amp;"|")-1))</f>
        <v/>
      </c>
      <c r="B938" s="31" t="n"/>
      <c r="C938" s="30">
        <f>IF($B$938="","",IFERROR(INDEX(Cost_Centers!$B:$B,MATCH($B$938,Cost_Centers!$A:$A,0)),"(not in master)"))</f>
        <v/>
      </c>
      <c r="D938" s="31" t="n"/>
      <c r="E938" s="30">
        <f>IF($D$938="","",IFERROR(INDEX(Accounts!$D:$D,MATCH($D$938,Accounts!$A:$A,0)),"(not in master)"))</f>
        <v/>
      </c>
      <c r="F938" s="31" t="n"/>
      <c r="G938" s="30" t="inlineStr">
        <is>
          <t>Budget</t>
        </is>
      </c>
      <c r="H938" s="32">
        <f>IF($B$938="","",SUMIFS(Opex_Budget!$O:$O,Opex_Budget!$A:$A,$C$3,Opex_Budget!$E:$E,$B$938,Opex_Budget!$F:$F,$D$938,Opex_Budget!$N:$N,"JPY")*$E$5+SUMIFS(Opex_Budget!$O:$O,Opex_Budget!$A:$A,$C$3,Opex_Budget!$E:$E,$B$938,Opex_Budget!$F:$F,$D$938,Opex_Budget!$N:$N,"USD")*$F$5+SUMIFS(Opex_Budget!$O:$O,Opex_Budget!$A:$A,$C$3,Opex_Budget!$E:$E,$B$938,Opex_Budget!$F:$F,$D$938,Opex_Budget!$N:$N,"EUR")*$G$5+SUMIFS(Opex_Budget!$O:$O,Opex_Budget!$A:$A,$C$3,Opex_Budget!$E:$E,$B$938,Opex_Budget!$F:$F,$D$938,Opex_Budget!$N:$N,"GBP")*$H$5)</f>
        <v/>
      </c>
      <c r="I938" s="32">
        <f>IF($B$938="","",SUMIFS(Opex_Budget!$P:$P,Opex_Budget!$A:$A,$C$3,Opex_Budget!$E:$E,$B$938,Opex_Budget!$F:$F,$D$938,Opex_Budget!$N:$N,"JPY")*$E$5+SUMIFS(Opex_Budget!$P:$P,Opex_Budget!$A:$A,$C$3,Opex_Budget!$E:$E,$B$938,Opex_Budget!$F:$F,$D$938,Opex_Budget!$N:$N,"USD")*$F$5+SUMIFS(Opex_Budget!$P:$P,Opex_Budget!$A:$A,$C$3,Opex_Budget!$E:$E,$B$938,Opex_Budget!$F:$F,$D$938,Opex_Budget!$N:$N,"EUR")*$G$5+SUMIFS(Opex_Budget!$P:$P,Opex_Budget!$A:$A,$C$3,Opex_Budget!$E:$E,$B$938,Opex_Budget!$F:$F,$D$938,Opex_Budget!$N:$N,"GBP")*$H$5)</f>
        <v/>
      </c>
      <c r="J938" s="32">
        <f>IF($B$938="","",SUMIFS(Opex_Budget!$Q:$Q,Opex_Budget!$A:$A,$C$3,Opex_Budget!$E:$E,$B$938,Opex_Budget!$F:$F,$D$938,Opex_Budget!$N:$N,"JPY")*$E$5+SUMIFS(Opex_Budget!$Q:$Q,Opex_Budget!$A:$A,$C$3,Opex_Budget!$E:$E,$B$938,Opex_Budget!$F:$F,$D$938,Opex_Budget!$N:$N,"USD")*$F$5+SUMIFS(Opex_Budget!$Q:$Q,Opex_Budget!$A:$A,$C$3,Opex_Budget!$E:$E,$B$938,Opex_Budget!$F:$F,$D$938,Opex_Budget!$N:$N,"EUR")*$G$5+SUMIFS(Opex_Budget!$Q:$Q,Opex_Budget!$A:$A,$C$3,Opex_Budget!$E:$E,$B$938,Opex_Budget!$F:$F,$D$938,Opex_Budget!$N:$N,"GBP")*$H$5)</f>
        <v/>
      </c>
      <c r="K938" s="32">
        <f>IF($B$938="","",SUMIFS(Opex_Budget!$R:$R,Opex_Budget!$A:$A,$C$3,Opex_Budget!$E:$E,$B$938,Opex_Budget!$F:$F,$D$938,Opex_Budget!$N:$N,"JPY")*$E$5+SUMIFS(Opex_Budget!$R:$R,Opex_Budget!$A:$A,$C$3,Opex_Budget!$E:$E,$B$938,Opex_Budget!$F:$F,$D$938,Opex_Budget!$N:$N,"USD")*$F$5+SUMIFS(Opex_Budget!$R:$R,Opex_Budget!$A:$A,$C$3,Opex_Budget!$E:$E,$B$938,Opex_Budget!$F:$F,$D$938,Opex_Budget!$N:$N,"EUR")*$G$5+SUMIFS(Opex_Budget!$R:$R,Opex_Budget!$A:$A,$C$3,Opex_Budget!$E:$E,$B$938,Opex_Budget!$F:$F,$D$938,Opex_Budget!$N:$N,"GBP")*$H$5)</f>
        <v/>
      </c>
      <c r="L938" s="32">
        <f>IF($B$938="","",SUMIFS(Opex_Budget!$S:$S,Opex_Budget!$A:$A,$C$3,Opex_Budget!$E:$E,$B$938,Opex_Budget!$F:$F,$D$938,Opex_Budget!$N:$N,"JPY")*$E$5+SUMIFS(Opex_Budget!$S:$S,Opex_Budget!$A:$A,$C$3,Opex_Budget!$E:$E,$B$938,Opex_Budget!$F:$F,$D$938,Opex_Budget!$N:$N,"USD")*$F$5+SUMIFS(Opex_Budget!$S:$S,Opex_Budget!$A:$A,$C$3,Opex_Budget!$E:$E,$B$938,Opex_Budget!$F:$F,$D$938,Opex_Budget!$N:$N,"EUR")*$G$5+SUMIFS(Opex_Budget!$S:$S,Opex_Budget!$A:$A,$C$3,Opex_Budget!$E:$E,$B$938,Opex_Budget!$F:$F,$D$938,Opex_Budget!$N:$N,"GBP")*$H$5)</f>
        <v/>
      </c>
      <c r="M938" s="32">
        <f>IF($B$938="","",SUMIFS(Opex_Budget!$T:$T,Opex_Budget!$A:$A,$C$3,Opex_Budget!$E:$E,$B$938,Opex_Budget!$F:$F,$D$938,Opex_Budget!$N:$N,"JPY")*$E$5+SUMIFS(Opex_Budget!$T:$T,Opex_Budget!$A:$A,$C$3,Opex_Budget!$E:$E,$B$938,Opex_Budget!$F:$F,$D$938,Opex_Budget!$N:$N,"USD")*$F$5+SUMIFS(Opex_Budget!$T:$T,Opex_Budget!$A:$A,$C$3,Opex_Budget!$E:$E,$B$938,Opex_Budget!$F:$F,$D$938,Opex_Budget!$N:$N,"EUR")*$G$5+SUMIFS(Opex_Budget!$T:$T,Opex_Budget!$A:$A,$C$3,Opex_Budget!$E:$E,$B$938,Opex_Budget!$F:$F,$D$938,Opex_Budget!$N:$N,"GBP")*$H$5)</f>
        <v/>
      </c>
      <c r="N938" s="32">
        <f>IF($B$938="","",SUMIFS(Opex_Budget!$U:$U,Opex_Budget!$A:$A,$C$3,Opex_Budget!$E:$E,$B$938,Opex_Budget!$F:$F,$D$938,Opex_Budget!$N:$N,"JPY")*$E$5+SUMIFS(Opex_Budget!$U:$U,Opex_Budget!$A:$A,$C$3,Opex_Budget!$E:$E,$B$938,Opex_Budget!$F:$F,$D$938,Opex_Budget!$N:$N,"USD")*$F$5+SUMIFS(Opex_Budget!$U:$U,Opex_Budget!$A:$A,$C$3,Opex_Budget!$E:$E,$B$938,Opex_Budget!$F:$F,$D$938,Opex_Budget!$N:$N,"EUR")*$G$5+SUMIFS(Opex_Budget!$U:$U,Opex_Budget!$A:$A,$C$3,Opex_Budget!$E:$E,$B$938,Opex_Budget!$F:$F,$D$938,Opex_Budget!$N:$N,"GBP")*$H$5)</f>
        <v/>
      </c>
      <c r="O938" s="32">
        <f>IF($B$938="","",SUMIFS(Opex_Budget!$V:$V,Opex_Budget!$A:$A,$C$3,Opex_Budget!$E:$E,$B$938,Opex_Budget!$F:$F,$D$938,Opex_Budget!$N:$N,"JPY")*$E$5+SUMIFS(Opex_Budget!$V:$V,Opex_Budget!$A:$A,$C$3,Opex_Budget!$E:$E,$B$938,Opex_Budget!$F:$F,$D$938,Opex_Budget!$N:$N,"USD")*$F$5+SUMIFS(Opex_Budget!$V:$V,Opex_Budget!$A:$A,$C$3,Opex_Budget!$E:$E,$B$938,Opex_Budget!$F:$F,$D$938,Opex_Budget!$N:$N,"EUR")*$G$5+SUMIFS(Opex_Budget!$V:$V,Opex_Budget!$A:$A,$C$3,Opex_Budget!$E:$E,$B$938,Opex_Budget!$F:$F,$D$938,Opex_Budget!$N:$N,"GBP")*$H$5)</f>
        <v/>
      </c>
      <c r="P938" s="32">
        <f>IF($B$938="","",SUMIFS(Opex_Budget!$W:$W,Opex_Budget!$A:$A,$C$3,Opex_Budget!$E:$E,$B$938,Opex_Budget!$F:$F,$D$938,Opex_Budget!$N:$N,"JPY")*$E$5+SUMIFS(Opex_Budget!$W:$W,Opex_Budget!$A:$A,$C$3,Opex_Budget!$E:$E,$B$938,Opex_Budget!$F:$F,$D$938,Opex_Budget!$N:$N,"USD")*$F$5+SUMIFS(Opex_Budget!$W:$W,Opex_Budget!$A:$A,$C$3,Opex_Budget!$E:$E,$B$938,Opex_Budget!$F:$F,$D$938,Opex_Budget!$N:$N,"EUR")*$G$5+SUMIFS(Opex_Budget!$W:$W,Opex_Budget!$A:$A,$C$3,Opex_Budget!$E:$E,$B$938,Opex_Budget!$F:$F,$D$938,Opex_Budget!$N:$N,"GBP")*$H$5)</f>
        <v/>
      </c>
      <c r="Q938" s="32">
        <f>IF($B$938="","",SUMIFS(Opex_Budget!$X:$X,Opex_Budget!$A:$A,$C$3,Opex_Budget!$E:$E,$B$938,Opex_Budget!$F:$F,$D$938,Opex_Budget!$N:$N,"JPY")*$E$5+SUMIFS(Opex_Budget!$X:$X,Opex_Budget!$A:$A,$C$3,Opex_Budget!$E:$E,$B$938,Opex_Budget!$F:$F,$D$938,Opex_Budget!$N:$N,"USD")*$F$5+SUMIFS(Opex_Budget!$X:$X,Opex_Budget!$A:$A,$C$3,Opex_Budget!$E:$E,$B$938,Opex_Budget!$F:$F,$D$938,Opex_Budget!$N:$N,"EUR")*$G$5+SUMIFS(Opex_Budget!$X:$X,Opex_Budget!$A:$A,$C$3,Opex_Budget!$E:$E,$B$938,Opex_Budget!$F:$F,$D$938,Opex_Budget!$N:$N,"GBP")*$H$5)</f>
        <v/>
      </c>
      <c r="R938" s="32">
        <f>IF($B$938="","",SUMIFS(Opex_Budget!$Y:$Y,Opex_Budget!$A:$A,$C$3,Opex_Budget!$E:$E,$B$938,Opex_Budget!$F:$F,$D$938,Opex_Budget!$N:$N,"JPY")*$E$5+SUMIFS(Opex_Budget!$Y:$Y,Opex_Budget!$A:$A,$C$3,Opex_Budget!$E:$E,$B$938,Opex_Budget!$F:$F,$D$938,Opex_Budget!$N:$N,"USD")*$F$5+SUMIFS(Opex_Budget!$Y:$Y,Opex_Budget!$A:$A,$C$3,Opex_Budget!$E:$E,$B$938,Opex_Budget!$F:$F,$D$938,Opex_Budget!$N:$N,"EUR")*$G$5+SUMIFS(Opex_Budget!$Y:$Y,Opex_Budget!$A:$A,$C$3,Opex_Budget!$E:$E,$B$938,Opex_Budget!$F:$F,$D$938,Opex_Budget!$N:$N,"GBP")*$H$5)</f>
        <v/>
      </c>
      <c r="S938" s="32">
        <f>IF($B$938="","",SUMIFS(Opex_Budget!$Z:$Z,Opex_Budget!$A:$A,$C$3,Opex_Budget!$E:$E,$B$938,Opex_Budget!$F:$F,$D$938,Opex_Budget!$N:$N,"JPY")*$E$5+SUMIFS(Opex_Budget!$Z:$Z,Opex_Budget!$A:$A,$C$3,Opex_Budget!$E:$E,$B$938,Opex_Budget!$F:$F,$D$938,Opex_Budget!$N:$N,"USD")*$F$5+SUMIFS(Opex_Budget!$Z:$Z,Opex_Budget!$A:$A,$C$3,Opex_Budget!$E:$E,$B$938,Opex_Budget!$F:$F,$D$938,Opex_Budget!$N:$N,"EUR")*$G$5+SUMIFS(Opex_Budget!$Z:$Z,Opex_Budget!$A:$A,$C$3,Opex_Budget!$E:$E,$B$938,Opex_Budget!$F:$F,$D$938,Opex_Budget!$N:$N,"GBP")*$H$5)</f>
        <v/>
      </c>
      <c r="T938" s="32">
        <f>IF($B$938="","",SUMIF($H$7:$S$7,"&lt;="&amp;$C$4,$H938:$S938))</f>
        <v/>
      </c>
      <c r="U938" s="32">
        <f>IF($B$938="","",SUMIF($H$7:$S$7,"&gt;"&amp;$C$4,$H938:$S938))</f>
        <v/>
      </c>
      <c r="V938" s="32">
        <f>IF($B$938="","",SUM($H938:$S938))</f>
        <v/>
      </c>
      <c r="X938" s="22">
        <f>IF($B938="","",IFERROR(INDEX(Cost_Centers!$E:$E,MATCH($B938,Cost_Centers!$A:$A,0)),"(unknown)"))</f>
        <v/>
      </c>
      <c r="Y938" s="22">
        <f>IF($B938="","",IFERROR(INDEX(Cost_Centers!$D:$D,MATCH($B938,Cost_Centers!$A:$A,0)),"(unknown)"))</f>
        <v/>
      </c>
      <c r="Z938" s="22">
        <f>IF(OR($B938="",$G938&lt;&gt;"Variance vs Budget"),"",ABS(N($V938))+ROW()/1000000000)</f>
        <v/>
      </c>
    </row>
    <row r="939">
      <c r="A939" s="13">
        <f>IF(A$938="","",A$938)</f>
        <v/>
      </c>
      <c r="B939" s="13">
        <f>IF(B$938="","",B$938)</f>
        <v/>
      </c>
      <c r="C939" s="13">
        <f>IF(C$938="","",C$938)</f>
        <v/>
      </c>
      <c r="D939" s="13">
        <f>IF(D$938="","",D$938)</f>
        <v/>
      </c>
      <c r="E939" s="13">
        <f>IF(E$938="","",E$938)</f>
        <v/>
      </c>
      <c r="F939" s="13">
        <f>IF(F$938="","",F$938)</f>
        <v/>
      </c>
      <c r="G939" s="7" t="inlineStr">
        <is>
          <t>Actual</t>
        </is>
      </c>
      <c r="H939" s="18">
        <f>IF(OR($B$938="",1&gt;$C$4),"",SUMIFS(Actuals!$G:$G,Actuals!$B:$B,$C$3,Actuals!$C:$C,1,Actuals!$D:$D,$B$938,Actuals!$A:$A,LEFT($D$938,FIND("|",$D$938&amp;"|")-1),Actuals!$E:$E,MID($D$938,FIND("|",$D$938&amp;"|")+1,50),Actuals!$F:$F,"JPY")*$E$5+SUMIFS(Actuals!$G:$G,Actuals!$B:$B,$C$3,Actuals!$C:$C,1,Actuals!$D:$D,$B$938,Actuals!$A:$A,LEFT($D$938,FIND("|",$D$938&amp;"|")-1),Actuals!$E:$E,MID($D$938,FIND("|",$D$938&amp;"|")+1,50),Actuals!$F:$F,"USD")*$F$5+SUMIFS(Actuals!$G:$G,Actuals!$B:$B,$C$3,Actuals!$C:$C,1,Actuals!$D:$D,$B$938,Actuals!$A:$A,LEFT($D$938,FIND("|",$D$938&amp;"|")-1),Actuals!$E:$E,MID($D$938,FIND("|",$D$938&amp;"|")+1,50),Actuals!$F:$F,"EUR")*$G$5+SUMIFS(Actuals!$G:$G,Actuals!$B:$B,$C$3,Actuals!$C:$C,1,Actuals!$D:$D,$B$938,Actuals!$A:$A,LEFT($D$938,FIND("|",$D$938&amp;"|")-1),Actuals!$E:$E,MID($D$938,FIND("|",$D$938&amp;"|")+1,50),Actuals!$F:$F,"GBP")*$H$5)</f>
        <v/>
      </c>
      <c r="I939" s="18">
        <f>IF(OR($B$938="",2&gt;$C$4),"",SUMIFS(Actuals!$G:$G,Actuals!$B:$B,$C$3,Actuals!$C:$C,2,Actuals!$D:$D,$B$938,Actuals!$A:$A,LEFT($D$938,FIND("|",$D$938&amp;"|")-1),Actuals!$E:$E,MID($D$938,FIND("|",$D$938&amp;"|")+1,50),Actuals!$F:$F,"JPY")*$E$5+SUMIFS(Actuals!$G:$G,Actuals!$B:$B,$C$3,Actuals!$C:$C,2,Actuals!$D:$D,$B$938,Actuals!$A:$A,LEFT($D$938,FIND("|",$D$938&amp;"|")-1),Actuals!$E:$E,MID($D$938,FIND("|",$D$938&amp;"|")+1,50),Actuals!$F:$F,"USD")*$F$5+SUMIFS(Actuals!$G:$G,Actuals!$B:$B,$C$3,Actuals!$C:$C,2,Actuals!$D:$D,$B$938,Actuals!$A:$A,LEFT($D$938,FIND("|",$D$938&amp;"|")-1),Actuals!$E:$E,MID($D$938,FIND("|",$D$938&amp;"|")+1,50),Actuals!$F:$F,"EUR")*$G$5+SUMIFS(Actuals!$G:$G,Actuals!$B:$B,$C$3,Actuals!$C:$C,2,Actuals!$D:$D,$B$938,Actuals!$A:$A,LEFT($D$938,FIND("|",$D$938&amp;"|")-1),Actuals!$E:$E,MID($D$938,FIND("|",$D$938&amp;"|")+1,50),Actuals!$F:$F,"GBP")*$H$5)</f>
        <v/>
      </c>
      <c r="J939" s="18">
        <f>IF(OR($B$938="",3&gt;$C$4),"",SUMIFS(Actuals!$G:$G,Actuals!$B:$B,$C$3,Actuals!$C:$C,3,Actuals!$D:$D,$B$938,Actuals!$A:$A,LEFT($D$938,FIND("|",$D$938&amp;"|")-1),Actuals!$E:$E,MID($D$938,FIND("|",$D$938&amp;"|")+1,50),Actuals!$F:$F,"JPY")*$E$5+SUMIFS(Actuals!$G:$G,Actuals!$B:$B,$C$3,Actuals!$C:$C,3,Actuals!$D:$D,$B$938,Actuals!$A:$A,LEFT($D$938,FIND("|",$D$938&amp;"|")-1),Actuals!$E:$E,MID($D$938,FIND("|",$D$938&amp;"|")+1,50),Actuals!$F:$F,"USD")*$F$5+SUMIFS(Actuals!$G:$G,Actuals!$B:$B,$C$3,Actuals!$C:$C,3,Actuals!$D:$D,$B$938,Actuals!$A:$A,LEFT($D$938,FIND("|",$D$938&amp;"|")-1),Actuals!$E:$E,MID($D$938,FIND("|",$D$938&amp;"|")+1,50),Actuals!$F:$F,"EUR")*$G$5+SUMIFS(Actuals!$G:$G,Actuals!$B:$B,$C$3,Actuals!$C:$C,3,Actuals!$D:$D,$B$938,Actuals!$A:$A,LEFT($D$938,FIND("|",$D$938&amp;"|")-1),Actuals!$E:$E,MID($D$938,FIND("|",$D$938&amp;"|")+1,50),Actuals!$F:$F,"GBP")*$H$5)</f>
        <v/>
      </c>
      <c r="K939" s="18">
        <f>IF(OR($B$938="",4&gt;$C$4),"",SUMIFS(Actuals!$G:$G,Actuals!$B:$B,$C$3,Actuals!$C:$C,4,Actuals!$D:$D,$B$938,Actuals!$A:$A,LEFT($D$938,FIND("|",$D$938&amp;"|")-1),Actuals!$E:$E,MID($D$938,FIND("|",$D$938&amp;"|")+1,50),Actuals!$F:$F,"JPY")*$E$5+SUMIFS(Actuals!$G:$G,Actuals!$B:$B,$C$3,Actuals!$C:$C,4,Actuals!$D:$D,$B$938,Actuals!$A:$A,LEFT($D$938,FIND("|",$D$938&amp;"|")-1),Actuals!$E:$E,MID($D$938,FIND("|",$D$938&amp;"|")+1,50),Actuals!$F:$F,"USD")*$F$5+SUMIFS(Actuals!$G:$G,Actuals!$B:$B,$C$3,Actuals!$C:$C,4,Actuals!$D:$D,$B$938,Actuals!$A:$A,LEFT($D$938,FIND("|",$D$938&amp;"|")-1),Actuals!$E:$E,MID($D$938,FIND("|",$D$938&amp;"|")+1,50),Actuals!$F:$F,"EUR")*$G$5+SUMIFS(Actuals!$G:$G,Actuals!$B:$B,$C$3,Actuals!$C:$C,4,Actuals!$D:$D,$B$938,Actuals!$A:$A,LEFT($D$938,FIND("|",$D$938&amp;"|")-1),Actuals!$E:$E,MID($D$938,FIND("|",$D$938&amp;"|")+1,50),Actuals!$F:$F,"GBP")*$H$5)</f>
        <v/>
      </c>
      <c r="L939" s="18">
        <f>IF(OR($B$938="",5&gt;$C$4),"",SUMIFS(Actuals!$G:$G,Actuals!$B:$B,$C$3,Actuals!$C:$C,5,Actuals!$D:$D,$B$938,Actuals!$A:$A,LEFT($D$938,FIND("|",$D$938&amp;"|")-1),Actuals!$E:$E,MID($D$938,FIND("|",$D$938&amp;"|")+1,50),Actuals!$F:$F,"JPY")*$E$5+SUMIFS(Actuals!$G:$G,Actuals!$B:$B,$C$3,Actuals!$C:$C,5,Actuals!$D:$D,$B$938,Actuals!$A:$A,LEFT($D$938,FIND("|",$D$938&amp;"|")-1),Actuals!$E:$E,MID($D$938,FIND("|",$D$938&amp;"|")+1,50),Actuals!$F:$F,"USD")*$F$5+SUMIFS(Actuals!$G:$G,Actuals!$B:$B,$C$3,Actuals!$C:$C,5,Actuals!$D:$D,$B$938,Actuals!$A:$A,LEFT($D$938,FIND("|",$D$938&amp;"|")-1),Actuals!$E:$E,MID($D$938,FIND("|",$D$938&amp;"|")+1,50),Actuals!$F:$F,"EUR")*$G$5+SUMIFS(Actuals!$G:$G,Actuals!$B:$B,$C$3,Actuals!$C:$C,5,Actuals!$D:$D,$B$938,Actuals!$A:$A,LEFT($D$938,FIND("|",$D$938&amp;"|")-1),Actuals!$E:$E,MID($D$938,FIND("|",$D$938&amp;"|")+1,50),Actuals!$F:$F,"GBP")*$H$5)</f>
        <v/>
      </c>
      <c r="M939" s="18">
        <f>IF(OR($B$938="",6&gt;$C$4),"",SUMIFS(Actuals!$G:$G,Actuals!$B:$B,$C$3,Actuals!$C:$C,6,Actuals!$D:$D,$B$938,Actuals!$A:$A,LEFT($D$938,FIND("|",$D$938&amp;"|")-1),Actuals!$E:$E,MID($D$938,FIND("|",$D$938&amp;"|")+1,50),Actuals!$F:$F,"JPY")*$E$5+SUMIFS(Actuals!$G:$G,Actuals!$B:$B,$C$3,Actuals!$C:$C,6,Actuals!$D:$D,$B$938,Actuals!$A:$A,LEFT($D$938,FIND("|",$D$938&amp;"|")-1),Actuals!$E:$E,MID($D$938,FIND("|",$D$938&amp;"|")+1,50),Actuals!$F:$F,"USD")*$F$5+SUMIFS(Actuals!$G:$G,Actuals!$B:$B,$C$3,Actuals!$C:$C,6,Actuals!$D:$D,$B$938,Actuals!$A:$A,LEFT($D$938,FIND("|",$D$938&amp;"|")-1),Actuals!$E:$E,MID($D$938,FIND("|",$D$938&amp;"|")+1,50),Actuals!$F:$F,"EUR")*$G$5+SUMIFS(Actuals!$G:$G,Actuals!$B:$B,$C$3,Actuals!$C:$C,6,Actuals!$D:$D,$B$938,Actuals!$A:$A,LEFT($D$938,FIND("|",$D$938&amp;"|")-1),Actuals!$E:$E,MID($D$938,FIND("|",$D$938&amp;"|")+1,50),Actuals!$F:$F,"GBP")*$H$5)</f>
        <v/>
      </c>
      <c r="N939" s="18">
        <f>IF(OR($B$938="",7&gt;$C$4),"",SUMIFS(Actuals!$G:$G,Actuals!$B:$B,$C$3,Actuals!$C:$C,7,Actuals!$D:$D,$B$938,Actuals!$A:$A,LEFT($D$938,FIND("|",$D$938&amp;"|")-1),Actuals!$E:$E,MID($D$938,FIND("|",$D$938&amp;"|")+1,50),Actuals!$F:$F,"JPY")*$E$5+SUMIFS(Actuals!$G:$G,Actuals!$B:$B,$C$3,Actuals!$C:$C,7,Actuals!$D:$D,$B$938,Actuals!$A:$A,LEFT($D$938,FIND("|",$D$938&amp;"|")-1),Actuals!$E:$E,MID($D$938,FIND("|",$D$938&amp;"|")+1,50),Actuals!$F:$F,"USD")*$F$5+SUMIFS(Actuals!$G:$G,Actuals!$B:$B,$C$3,Actuals!$C:$C,7,Actuals!$D:$D,$B$938,Actuals!$A:$A,LEFT($D$938,FIND("|",$D$938&amp;"|")-1),Actuals!$E:$E,MID($D$938,FIND("|",$D$938&amp;"|")+1,50),Actuals!$F:$F,"EUR")*$G$5+SUMIFS(Actuals!$G:$G,Actuals!$B:$B,$C$3,Actuals!$C:$C,7,Actuals!$D:$D,$B$938,Actuals!$A:$A,LEFT($D$938,FIND("|",$D$938&amp;"|")-1),Actuals!$E:$E,MID($D$938,FIND("|",$D$938&amp;"|")+1,50),Actuals!$F:$F,"GBP")*$H$5)</f>
        <v/>
      </c>
      <c r="O939" s="18">
        <f>IF(OR($B$938="",8&gt;$C$4),"",SUMIFS(Actuals!$G:$G,Actuals!$B:$B,$C$3,Actuals!$C:$C,8,Actuals!$D:$D,$B$938,Actuals!$A:$A,LEFT($D$938,FIND("|",$D$938&amp;"|")-1),Actuals!$E:$E,MID($D$938,FIND("|",$D$938&amp;"|")+1,50),Actuals!$F:$F,"JPY")*$E$5+SUMIFS(Actuals!$G:$G,Actuals!$B:$B,$C$3,Actuals!$C:$C,8,Actuals!$D:$D,$B$938,Actuals!$A:$A,LEFT($D$938,FIND("|",$D$938&amp;"|")-1),Actuals!$E:$E,MID($D$938,FIND("|",$D$938&amp;"|")+1,50),Actuals!$F:$F,"USD")*$F$5+SUMIFS(Actuals!$G:$G,Actuals!$B:$B,$C$3,Actuals!$C:$C,8,Actuals!$D:$D,$B$938,Actuals!$A:$A,LEFT($D$938,FIND("|",$D$938&amp;"|")-1),Actuals!$E:$E,MID($D$938,FIND("|",$D$938&amp;"|")+1,50),Actuals!$F:$F,"EUR")*$G$5+SUMIFS(Actuals!$G:$G,Actuals!$B:$B,$C$3,Actuals!$C:$C,8,Actuals!$D:$D,$B$938,Actuals!$A:$A,LEFT($D$938,FIND("|",$D$938&amp;"|")-1),Actuals!$E:$E,MID($D$938,FIND("|",$D$938&amp;"|")+1,50),Actuals!$F:$F,"GBP")*$H$5)</f>
        <v/>
      </c>
      <c r="P939" s="18">
        <f>IF(OR($B$938="",9&gt;$C$4),"",SUMIFS(Actuals!$G:$G,Actuals!$B:$B,$C$3,Actuals!$C:$C,9,Actuals!$D:$D,$B$938,Actuals!$A:$A,LEFT($D$938,FIND("|",$D$938&amp;"|")-1),Actuals!$E:$E,MID($D$938,FIND("|",$D$938&amp;"|")+1,50),Actuals!$F:$F,"JPY")*$E$5+SUMIFS(Actuals!$G:$G,Actuals!$B:$B,$C$3,Actuals!$C:$C,9,Actuals!$D:$D,$B$938,Actuals!$A:$A,LEFT($D$938,FIND("|",$D$938&amp;"|")-1),Actuals!$E:$E,MID($D$938,FIND("|",$D$938&amp;"|")+1,50),Actuals!$F:$F,"USD")*$F$5+SUMIFS(Actuals!$G:$G,Actuals!$B:$B,$C$3,Actuals!$C:$C,9,Actuals!$D:$D,$B$938,Actuals!$A:$A,LEFT($D$938,FIND("|",$D$938&amp;"|")-1),Actuals!$E:$E,MID($D$938,FIND("|",$D$938&amp;"|")+1,50),Actuals!$F:$F,"EUR")*$G$5+SUMIFS(Actuals!$G:$G,Actuals!$B:$B,$C$3,Actuals!$C:$C,9,Actuals!$D:$D,$B$938,Actuals!$A:$A,LEFT($D$938,FIND("|",$D$938&amp;"|")-1),Actuals!$E:$E,MID($D$938,FIND("|",$D$938&amp;"|")+1,50),Actuals!$F:$F,"GBP")*$H$5)</f>
        <v/>
      </c>
      <c r="Q939" s="18">
        <f>IF(OR($B$938="",10&gt;$C$4),"",SUMIFS(Actuals!$G:$G,Actuals!$B:$B,$C$3,Actuals!$C:$C,10,Actuals!$D:$D,$B$938,Actuals!$A:$A,LEFT($D$938,FIND("|",$D$938&amp;"|")-1),Actuals!$E:$E,MID($D$938,FIND("|",$D$938&amp;"|")+1,50),Actuals!$F:$F,"JPY")*$E$5+SUMIFS(Actuals!$G:$G,Actuals!$B:$B,$C$3,Actuals!$C:$C,10,Actuals!$D:$D,$B$938,Actuals!$A:$A,LEFT($D$938,FIND("|",$D$938&amp;"|")-1),Actuals!$E:$E,MID($D$938,FIND("|",$D$938&amp;"|")+1,50),Actuals!$F:$F,"USD")*$F$5+SUMIFS(Actuals!$G:$G,Actuals!$B:$B,$C$3,Actuals!$C:$C,10,Actuals!$D:$D,$B$938,Actuals!$A:$A,LEFT($D$938,FIND("|",$D$938&amp;"|")-1),Actuals!$E:$E,MID($D$938,FIND("|",$D$938&amp;"|")+1,50),Actuals!$F:$F,"EUR")*$G$5+SUMIFS(Actuals!$G:$G,Actuals!$B:$B,$C$3,Actuals!$C:$C,10,Actuals!$D:$D,$B$938,Actuals!$A:$A,LEFT($D$938,FIND("|",$D$938&amp;"|")-1),Actuals!$E:$E,MID($D$938,FIND("|",$D$938&amp;"|")+1,50),Actuals!$F:$F,"GBP")*$H$5)</f>
        <v/>
      </c>
      <c r="R939" s="18">
        <f>IF(OR($B$938="",11&gt;$C$4),"",SUMIFS(Actuals!$G:$G,Actuals!$B:$B,$C$3,Actuals!$C:$C,11,Actuals!$D:$D,$B$938,Actuals!$A:$A,LEFT($D$938,FIND("|",$D$938&amp;"|")-1),Actuals!$E:$E,MID($D$938,FIND("|",$D$938&amp;"|")+1,50),Actuals!$F:$F,"JPY")*$E$5+SUMIFS(Actuals!$G:$G,Actuals!$B:$B,$C$3,Actuals!$C:$C,11,Actuals!$D:$D,$B$938,Actuals!$A:$A,LEFT($D$938,FIND("|",$D$938&amp;"|")-1),Actuals!$E:$E,MID($D$938,FIND("|",$D$938&amp;"|")+1,50),Actuals!$F:$F,"USD")*$F$5+SUMIFS(Actuals!$G:$G,Actuals!$B:$B,$C$3,Actuals!$C:$C,11,Actuals!$D:$D,$B$938,Actuals!$A:$A,LEFT($D$938,FIND("|",$D$938&amp;"|")-1),Actuals!$E:$E,MID($D$938,FIND("|",$D$938&amp;"|")+1,50),Actuals!$F:$F,"EUR")*$G$5+SUMIFS(Actuals!$G:$G,Actuals!$B:$B,$C$3,Actuals!$C:$C,11,Actuals!$D:$D,$B$938,Actuals!$A:$A,LEFT($D$938,FIND("|",$D$938&amp;"|")-1),Actuals!$E:$E,MID($D$938,FIND("|",$D$938&amp;"|")+1,50),Actuals!$F:$F,"GBP")*$H$5)</f>
        <v/>
      </c>
      <c r="S939" s="18">
        <f>IF(OR($B$938="",12&gt;$C$4),"",SUMIFS(Actuals!$G:$G,Actuals!$B:$B,$C$3,Actuals!$C:$C,12,Actuals!$D:$D,$B$938,Actuals!$A:$A,LEFT($D$938,FIND("|",$D$938&amp;"|")-1),Actuals!$E:$E,MID($D$938,FIND("|",$D$938&amp;"|")+1,50),Actuals!$F:$F,"JPY")*$E$5+SUMIFS(Actuals!$G:$G,Actuals!$B:$B,$C$3,Actuals!$C:$C,12,Actuals!$D:$D,$B$938,Actuals!$A:$A,LEFT($D$938,FIND("|",$D$938&amp;"|")-1),Actuals!$E:$E,MID($D$938,FIND("|",$D$938&amp;"|")+1,50),Actuals!$F:$F,"USD")*$F$5+SUMIFS(Actuals!$G:$G,Actuals!$B:$B,$C$3,Actuals!$C:$C,12,Actuals!$D:$D,$B$938,Actuals!$A:$A,LEFT($D$938,FIND("|",$D$938&amp;"|")-1),Actuals!$E:$E,MID($D$938,FIND("|",$D$938&amp;"|")+1,50),Actuals!$F:$F,"EUR")*$G$5+SUMIFS(Actuals!$G:$G,Actuals!$B:$B,$C$3,Actuals!$C:$C,12,Actuals!$D:$D,$B$938,Actuals!$A:$A,LEFT($D$938,FIND("|",$D$938&amp;"|")-1),Actuals!$E:$E,MID($D$938,FIND("|",$D$938&amp;"|")+1,50),Actuals!$F:$F,"GBP")*$H$5)</f>
        <v/>
      </c>
      <c r="T939" s="18">
        <f>IF($B$938="","",SUMIF($H$7:$S$7,"&lt;="&amp;$C$4,$H939:$S939))</f>
        <v/>
      </c>
      <c r="U939" s="18" t="n"/>
      <c r="V939" s="18" t="n"/>
      <c r="X939" s="22">
        <f>IF($B939="","",IFERROR(INDEX(Cost_Centers!$E:$E,MATCH($B939,Cost_Centers!$A:$A,0)),"(unknown)"))</f>
        <v/>
      </c>
      <c r="Y939" s="22">
        <f>IF($B939="","",IFERROR(INDEX(Cost_Centers!$D:$D,MATCH($B939,Cost_Centers!$A:$A,0)),"(unknown)"))</f>
        <v/>
      </c>
      <c r="Z939" s="22">
        <f>IF(OR($B939="",$G939&lt;&gt;"Variance vs Budget"),"",ABS(N($V939))+ROW()/1000000000)</f>
        <v/>
      </c>
    </row>
    <row r="940">
      <c r="A940" s="13">
        <f>IF(A$938="","",A$938)</f>
        <v/>
      </c>
      <c r="B940" s="13">
        <f>IF(B$938="","",B$938)</f>
        <v/>
      </c>
      <c r="C940" s="13">
        <f>IF(C$938="","",C$938)</f>
        <v/>
      </c>
      <c r="D940" s="13">
        <f>IF(D$938="","",D$938)</f>
        <v/>
      </c>
      <c r="E940" s="13">
        <f>IF(E$938="","",E$938)</f>
        <v/>
      </c>
      <c r="F940" s="13">
        <f>IF(F$938="","",F$938)</f>
        <v/>
      </c>
      <c r="G940" s="6" t="inlineStr">
        <is>
          <t>Variance vs Budget</t>
        </is>
      </c>
      <c r="H940" s="33">
        <f>IF(OR($B$938="",1&gt;$C$4),"",N(H939)-H938)</f>
        <v/>
      </c>
      <c r="I940" s="33">
        <f>IF(OR($B$938="",2&gt;$C$4),"",N(I939)-I938)</f>
        <v/>
      </c>
      <c r="J940" s="33">
        <f>IF(OR($B$938="",3&gt;$C$4),"",N(J939)-J938)</f>
        <v/>
      </c>
      <c r="K940" s="33">
        <f>IF(OR($B$938="",4&gt;$C$4),"",N(K939)-K938)</f>
        <v/>
      </c>
      <c r="L940" s="33">
        <f>IF(OR($B$938="",5&gt;$C$4),"",N(L939)-L938)</f>
        <v/>
      </c>
      <c r="M940" s="33">
        <f>IF(OR($B$938="",6&gt;$C$4),"",N(M939)-M938)</f>
        <v/>
      </c>
      <c r="N940" s="33">
        <f>IF(OR($B$938="",7&gt;$C$4),"",N(N939)-N938)</f>
        <v/>
      </c>
      <c r="O940" s="33">
        <f>IF(OR($B$938="",8&gt;$C$4),"",N(O939)-O938)</f>
        <v/>
      </c>
      <c r="P940" s="33">
        <f>IF(OR($B$938="",9&gt;$C$4),"",N(P939)-P938)</f>
        <v/>
      </c>
      <c r="Q940" s="33">
        <f>IF(OR($B$938="",10&gt;$C$4),"",N(Q939)-Q938)</f>
        <v/>
      </c>
      <c r="R940" s="33">
        <f>IF(OR($B$938="",11&gt;$C$4),"",N(R939)-R938)</f>
        <v/>
      </c>
      <c r="S940" s="33">
        <f>IF(OR($B$938="",12&gt;$C$4),"",N(S939)-S938)</f>
        <v/>
      </c>
      <c r="T940" s="33">
        <f>IF($B$938="","",T939-T938)</f>
        <v/>
      </c>
      <c r="U940" s="33">
        <f>IF($B$938="","",U942-U938)</f>
        <v/>
      </c>
      <c r="V940" s="33">
        <f>IF($B$938="","",V942-V938)</f>
        <v/>
      </c>
      <c r="X940" s="22">
        <f>IF($B940="","",IFERROR(INDEX(Cost_Centers!$E:$E,MATCH($B940,Cost_Centers!$A:$A,0)),"(unknown)"))</f>
        <v/>
      </c>
      <c r="Y940" s="22">
        <f>IF($B940="","",IFERROR(INDEX(Cost_Centers!$D:$D,MATCH($B940,Cost_Centers!$A:$A,0)),"(unknown)"))</f>
        <v/>
      </c>
      <c r="Z940" s="22">
        <f>IF(OR($B940="",$G940&lt;&gt;"Variance vs Budget"),"",ABS(N($V940))+ROW()/1000000000)</f>
        <v/>
      </c>
    </row>
    <row r="941">
      <c r="A941" s="13">
        <f>IF(A$938="","",A$938)</f>
        <v/>
      </c>
      <c r="B941" s="13">
        <f>IF(B$938="","",B$938)</f>
        <v/>
      </c>
      <c r="C941" s="13">
        <f>IF(C$938="","",C$938)</f>
        <v/>
      </c>
      <c r="D941" s="13">
        <f>IF(D$938="","",D$938)</f>
        <v/>
      </c>
      <c r="E941" s="13">
        <f>IF(E$938="","",E$938)</f>
        <v/>
      </c>
      <c r="F941" s="13">
        <f>IF(F$938="","",F$938)</f>
        <v/>
      </c>
      <c r="G941" s="7" t="inlineStr">
        <is>
          <t>Forecast (input)</t>
        </is>
      </c>
      <c r="H941" s="34" t="n"/>
      <c r="I941" s="34" t="n"/>
      <c r="J941" s="34" t="n"/>
      <c r="K941" s="34" t="n"/>
      <c r="L941" s="34" t="n"/>
      <c r="M941" s="34" t="n"/>
      <c r="N941" s="34" t="n"/>
      <c r="O941" s="34" t="n"/>
      <c r="P941" s="34" t="n"/>
      <c r="Q941" s="34" t="n"/>
      <c r="R941" s="34" t="n"/>
      <c r="S941" s="34" t="n"/>
      <c r="T941" s="18" t="n"/>
      <c r="U941" s="18" t="n"/>
      <c r="V941" s="18" t="n"/>
      <c r="X941" s="22">
        <f>IF($B941="","",IFERROR(INDEX(Cost_Centers!$E:$E,MATCH($B941,Cost_Centers!$A:$A,0)),"(unknown)"))</f>
        <v/>
      </c>
      <c r="Y941" s="22">
        <f>IF($B941="","",IFERROR(INDEX(Cost_Centers!$D:$D,MATCH($B941,Cost_Centers!$A:$A,0)),"(unknown)"))</f>
        <v/>
      </c>
      <c r="Z941" s="22">
        <f>IF(OR($B941="",$G941&lt;&gt;"Variance vs Budget"),"",ABS(N($V941))+ROW()/1000000000)</f>
        <v/>
      </c>
    </row>
    <row r="942">
      <c r="A942" s="13">
        <f>IF(A$938="","",A$938)</f>
        <v/>
      </c>
      <c r="B942" s="13">
        <f>IF(B$938="","",B$938)</f>
        <v/>
      </c>
      <c r="C942" s="13">
        <f>IF(C$938="","",C$938)</f>
        <v/>
      </c>
      <c r="D942" s="13">
        <f>IF(D$938="","",D$938)</f>
        <v/>
      </c>
      <c r="E942" s="13">
        <f>IF(E$938="","",E$938)</f>
        <v/>
      </c>
      <c r="F942" s="13">
        <f>IF(F$938="","",F$938)</f>
        <v/>
      </c>
      <c r="G942" s="35" t="inlineStr">
        <is>
          <t>Actual + Forecast</t>
        </is>
      </c>
      <c r="H942" s="18">
        <f>IF($B$938="","",IF(1&lt;=$C$4,N(H939),IF(H941="",H938,H941)))</f>
        <v/>
      </c>
      <c r="I942" s="18">
        <f>IF($B$938="","",IF(2&lt;=$C$4,N(I939),IF(I941="",I938,I941)))</f>
        <v/>
      </c>
      <c r="J942" s="18">
        <f>IF($B$938="","",IF(3&lt;=$C$4,N(J939),IF(J941="",J938,J941)))</f>
        <v/>
      </c>
      <c r="K942" s="18">
        <f>IF($B$938="","",IF(4&lt;=$C$4,N(K939),IF(K941="",K938,K941)))</f>
        <v/>
      </c>
      <c r="L942" s="18">
        <f>IF($B$938="","",IF(5&lt;=$C$4,N(L939),IF(L941="",L938,L941)))</f>
        <v/>
      </c>
      <c r="M942" s="18">
        <f>IF($B$938="","",IF(6&lt;=$C$4,N(M939),IF(M941="",M938,M941)))</f>
        <v/>
      </c>
      <c r="N942" s="18">
        <f>IF($B$938="","",IF(7&lt;=$C$4,N(N939),IF(N941="",N938,N941)))</f>
        <v/>
      </c>
      <c r="O942" s="18">
        <f>IF($B$938="","",IF(8&lt;=$C$4,N(O939),IF(O941="",O938,O941)))</f>
        <v/>
      </c>
      <c r="P942" s="18">
        <f>IF($B$938="","",IF(9&lt;=$C$4,N(P939),IF(P941="",P938,P941)))</f>
        <v/>
      </c>
      <c r="Q942" s="18">
        <f>IF($B$938="","",IF(10&lt;=$C$4,N(Q939),IF(Q941="",Q938,Q941)))</f>
        <v/>
      </c>
      <c r="R942" s="18">
        <f>IF($B$938="","",IF(11&lt;=$C$4,N(R939),IF(R941="",R938,R941)))</f>
        <v/>
      </c>
      <c r="S942" s="18">
        <f>IF($B$938="","",IF(12&lt;=$C$4,N(S939),IF(S941="",S938,S941)))</f>
        <v/>
      </c>
      <c r="T942" s="18">
        <f>IF($B$938="","",SUMIF($H$7:$S$7,"&lt;="&amp;$C$4,$H942:$S942))</f>
        <v/>
      </c>
      <c r="U942" s="18">
        <f>IF($B$938="","",SUMIF($H$7:$S$7,"&gt;"&amp;$C$4,$H942:$S942))</f>
        <v/>
      </c>
      <c r="V942" s="18">
        <f>IF($B$938="","",SUM($H942:$S942))</f>
        <v/>
      </c>
      <c r="X942" s="22">
        <f>IF($B942="","",IFERROR(INDEX(Cost_Centers!$E:$E,MATCH($B942,Cost_Centers!$A:$A,0)),"(unknown)"))</f>
        <v/>
      </c>
      <c r="Y942" s="22">
        <f>IF($B942="","",IFERROR(INDEX(Cost_Centers!$D:$D,MATCH($B942,Cost_Centers!$A:$A,0)),"(unknown)"))</f>
        <v/>
      </c>
      <c r="Z942" s="22">
        <f>IF(OR($B942="",$G942&lt;&gt;"Variance vs Budget"),"",ABS(N($V942))+ROW()/1000000000)</f>
        <v/>
      </c>
    </row>
    <row r="943">
      <c r="A943" s="13">
        <f>IF(A$938="","",A$938)</f>
        <v/>
      </c>
      <c r="B943" s="13">
        <f>IF(B$938="","",B$938)</f>
        <v/>
      </c>
      <c r="C943" s="13">
        <f>IF(C$938="","",C$938)</f>
        <v/>
      </c>
      <c r="D943" s="13">
        <f>IF(D$938="","",D$938)</f>
        <v/>
      </c>
      <c r="E943" s="13">
        <f>IF(E$938="","",E$938)</f>
        <v/>
      </c>
      <c r="F943" s="13">
        <f>IF(F$938="","",F$938)</f>
        <v/>
      </c>
      <c r="G943" s="36" t="inlineStr">
        <is>
          <t>Prior Month Forecast</t>
        </is>
      </c>
      <c r="H943" s="37">
        <f>IF($B$938="","",IF(COUNTIFS(Prior_Forecast!$A:$A,$B$938,Prior_Forecast!$B:$B,$D$938)&gt;0,SUMIFS(Prior_Forecast!$C:$C,Prior_Forecast!$A:$A,$B$938,Prior_Forecast!$B:$B,$D$938),""))</f>
        <v/>
      </c>
      <c r="I943" s="37">
        <f>IF($B$938="","",IF(COUNTIFS(Prior_Forecast!$A:$A,$B$938,Prior_Forecast!$B:$B,$D$938)&gt;0,SUMIFS(Prior_Forecast!$D:$D,Prior_Forecast!$A:$A,$B$938,Prior_Forecast!$B:$B,$D$938),""))</f>
        <v/>
      </c>
      <c r="J943" s="37">
        <f>IF($B$938="","",IF(COUNTIFS(Prior_Forecast!$A:$A,$B$938,Prior_Forecast!$B:$B,$D$938)&gt;0,SUMIFS(Prior_Forecast!$E:$E,Prior_Forecast!$A:$A,$B$938,Prior_Forecast!$B:$B,$D$938),""))</f>
        <v/>
      </c>
      <c r="K943" s="37">
        <f>IF($B$938="","",IF(COUNTIFS(Prior_Forecast!$A:$A,$B$938,Prior_Forecast!$B:$B,$D$938)&gt;0,SUMIFS(Prior_Forecast!$F:$F,Prior_Forecast!$A:$A,$B$938,Prior_Forecast!$B:$B,$D$938),""))</f>
        <v/>
      </c>
      <c r="L943" s="37">
        <f>IF($B$938="","",IF(COUNTIFS(Prior_Forecast!$A:$A,$B$938,Prior_Forecast!$B:$B,$D$938)&gt;0,SUMIFS(Prior_Forecast!$G:$G,Prior_Forecast!$A:$A,$B$938,Prior_Forecast!$B:$B,$D$938),""))</f>
        <v/>
      </c>
      <c r="M943" s="37">
        <f>IF($B$938="","",IF(COUNTIFS(Prior_Forecast!$A:$A,$B$938,Prior_Forecast!$B:$B,$D$938)&gt;0,SUMIFS(Prior_Forecast!$H:$H,Prior_Forecast!$A:$A,$B$938,Prior_Forecast!$B:$B,$D$938),""))</f>
        <v/>
      </c>
      <c r="N943" s="37">
        <f>IF($B$938="","",IF(COUNTIFS(Prior_Forecast!$A:$A,$B$938,Prior_Forecast!$B:$B,$D$938)&gt;0,SUMIFS(Prior_Forecast!$I:$I,Prior_Forecast!$A:$A,$B$938,Prior_Forecast!$B:$B,$D$938),""))</f>
        <v/>
      </c>
      <c r="O943" s="37">
        <f>IF($B$938="","",IF(COUNTIFS(Prior_Forecast!$A:$A,$B$938,Prior_Forecast!$B:$B,$D$938)&gt;0,SUMIFS(Prior_Forecast!$J:$J,Prior_Forecast!$A:$A,$B$938,Prior_Forecast!$B:$B,$D$938),""))</f>
        <v/>
      </c>
      <c r="P943" s="37">
        <f>IF($B$938="","",IF(COUNTIFS(Prior_Forecast!$A:$A,$B$938,Prior_Forecast!$B:$B,$D$938)&gt;0,SUMIFS(Prior_Forecast!$K:$K,Prior_Forecast!$A:$A,$B$938,Prior_Forecast!$B:$B,$D$938),""))</f>
        <v/>
      </c>
      <c r="Q943" s="37">
        <f>IF($B$938="","",IF(COUNTIFS(Prior_Forecast!$A:$A,$B$938,Prior_Forecast!$B:$B,$D$938)&gt;0,SUMIFS(Prior_Forecast!$L:$L,Prior_Forecast!$A:$A,$B$938,Prior_Forecast!$B:$B,$D$938),""))</f>
        <v/>
      </c>
      <c r="R943" s="37">
        <f>IF($B$938="","",IF(COUNTIFS(Prior_Forecast!$A:$A,$B$938,Prior_Forecast!$B:$B,$D$938)&gt;0,SUMIFS(Prior_Forecast!$M:$M,Prior_Forecast!$A:$A,$B$938,Prior_Forecast!$B:$B,$D$938),""))</f>
        <v/>
      </c>
      <c r="S943" s="37">
        <f>IF($B$938="","",IF(COUNTIFS(Prior_Forecast!$A:$A,$B$938,Prior_Forecast!$B:$B,$D$938)&gt;0,SUMIFS(Prior_Forecast!$N:$N,Prior_Forecast!$A:$A,$B$938,Prior_Forecast!$B:$B,$D$938),""))</f>
        <v/>
      </c>
      <c r="T943" s="37">
        <f>IF($B$938="","",IF(COUNTIFS(Prior_Forecast!$A:$A,$B$938,Prior_Forecast!$B:$B,$D$938)&gt;0,SUMIFS(Prior_Forecast!$O:$O,Prior_Forecast!$A:$A,$B$938,Prior_Forecast!$B:$B,$D$938),""))</f>
        <v/>
      </c>
      <c r="U943" s="37">
        <f>IF($B$938="","",IF(COUNTIFS(Prior_Forecast!$A:$A,$B$938,Prior_Forecast!$B:$B,$D$938)&gt;0,SUMIFS(Prior_Forecast!$P:$P,Prior_Forecast!$A:$A,$B$938,Prior_Forecast!$B:$B,$D$938),""))</f>
        <v/>
      </c>
      <c r="V943" s="37">
        <f>IF($B$938="","",IF(COUNTIFS(Prior_Forecast!$A:$A,$B$938,Prior_Forecast!$B:$B,$D$938)&gt;0,SUMIFS(Prior_Forecast!$Q:$Q,Prior_Forecast!$A:$A,$B$938,Prior_Forecast!$B:$B,$D$938),""))</f>
        <v/>
      </c>
      <c r="X943" s="22">
        <f>IF($B943="","",IFERROR(INDEX(Cost_Centers!$E:$E,MATCH($B943,Cost_Centers!$A:$A,0)),"(unknown)"))</f>
        <v/>
      </c>
      <c r="Y943" s="22">
        <f>IF($B943="","",IFERROR(INDEX(Cost_Centers!$D:$D,MATCH($B943,Cost_Centers!$A:$A,0)),"(unknown)"))</f>
        <v/>
      </c>
      <c r="Z943" s="22">
        <f>IF(OR($B943="",$G943&lt;&gt;"Variance vs Budget"),"",ABS(N($V943))+ROW()/1000000000)</f>
        <v/>
      </c>
    </row>
    <row r="944">
      <c r="A944" s="13">
        <f>IF(A$938="","",A$938)</f>
        <v/>
      </c>
      <c r="B944" s="13">
        <f>IF(B$938="","",B$938)</f>
        <v/>
      </c>
      <c r="C944" s="13">
        <f>IF(C$938="","",C$938)</f>
        <v/>
      </c>
      <c r="D944" s="13">
        <f>IF(D$938="","",D$938)</f>
        <v/>
      </c>
      <c r="E944" s="13">
        <f>IF(E$938="","",E$938)</f>
        <v/>
      </c>
      <c r="F944" s="13">
        <f>IF(F$938="","",F$938)</f>
        <v/>
      </c>
      <c r="G944" s="6" t="inlineStr">
        <is>
          <t>Variance vs Prior Month</t>
        </is>
      </c>
      <c r="H944" s="33">
        <f>IF(OR($B$938="",H943=""),"",H942-H943)</f>
        <v/>
      </c>
      <c r="I944" s="33">
        <f>IF(OR($B$938="",I943=""),"",I942-I943)</f>
        <v/>
      </c>
      <c r="J944" s="33">
        <f>IF(OR($B$938="",J943=""),"",J942-J943)</f>
        <v/>
      </c>
      <c r="K944" s="33">
        <f>IF(OR($B$938="",K943=""),"",K942-K943)</f>
        <v/>
      </c>
      <c r="L944" s="33">
        <f>IF(OR($B$938="",L943=""),"",L942-L943)</f>
        <v/>
      </c>
      <c r="M944" s="33">
        <f>IF(OR($B$938="",M943=""),"",M942-M943)</f>
        <v/>
      </c>
      <c r="N944" s="33">
        <f>IF(OR($B$938="",N943=""),"",N942-N943)</f>
        <v/>
      </c>
      <c r="O944" s="33">
        <f>IF(OR($B$938="",O943=""),"",O942-O943)</f>
        <v/>
      </c>
      <c r="P944" s="33">
        <f>IF(OR($B$938="",P943=""),"",P942-P943)</f>
        <v/>
      </c>
      <c r="Q944" s="33">
        <f>IF(OR($B$938="",Q943=""),"",Q942-Q943)</f>
        <v/>
      </c>
      <c r="R944" s="33">
        <f>IF(OR($B$938="",R943=""),"",R942-R943)</f>
        <v/>
      </c>
      <c r="S944" s="33">
        <f>IF(OR($B$938="",S943=""),"",S942-S943)</f>
        <v/>
      </c>
      <c r="T944" s="33">
        <f>IF(OR($B$938="",T943=""),"",T942-T943)</f>
        <v/>
      </c>
      <c r="U944" s="33">
        <f>IF(OR($B$938="",U943=""),"",U942-U943)</f>
        <v/>
      </c>
      <c r="V944" s="33">
        <f>IF(OR($B$938="",V943=""),"",V942-V943)</f>
        <v/>
      </c>
      <c r="X944" s="22">
        <f>IF($B944="","",IFERROR(INDEX(Cost_Centers!$E:$E,MATCH($B944,Cost_Centers!$A:$A,0)),"(unknown)"))</f>
        <v/>
      </c>
      <c r="Y944" s="22">
        <f>IF($B944="","",IFERROR(INDEX(Cost_Centers!$D:$D,MATCH($B944,Cost_Centers!$A:$A,0)),"(unknown)"))</f>
        <v/>
      </c>
      <c r="Z944" s="22">
        <f>IF(OR($B944="",$G944&lt;&gt;"Variance vs Budget"),"",ABS(N($V944))+ROW()/1000000000)</f>
        <v/>
      </c>
    </row>
    <row r="945" ht="45" customHeight="1">
      <c r="A945" s="13">
        <f>IF(A$938="","",A$938)</f>
        <v/>
      </c>
      <c r="B945" s="13">
        <f>IF(B$938="","",B$938)</f>
        <v/>
      </c>
      <c r="C945" s="13">
        <f>IF(C$938="","",C$938)</f>
        <v/>
      </c>
      <c r="D945" s="13">
        <f>IF(D$938="","",D$938)</f>
        <v/>
      </c>
      <c r="E945" s="13">
        <f>IF(E$938="","",E$938)</f>
        <v/>
      </c>
      <c r="F945" s="13">
        <f>IF(F$938="","",F$938)</f>
        <v/>
      </c>
      <c r="G945" s="7" t="inlineStr">
        <is>
          <t>Rationale</t>
        </is>
      </c>
      <c r="H945" s="38" t="n"/>
      <c r="I945" s="38" t="n"/>
      <c r="J945" s="38" t="n"/>
      <c r="K945" s="38" t="n"/>
      <c r="L945" s="38" t="n"/>
      <c r="M945" s="38" t="n"/>
      <c r="N945" s="38" t="n"/>
      <c r="O945" s="38" t="n"/>
      <c r="P945" s="38" t="n"/>
      <c r="Q945" s="38" t="n"/>
      <c r="R945" s="38" t="n"/>
      <c r="S945" s="38" t="n"/>
      <c r="T945" s="38" t="n"/>
      <c r="U945" s="38" t="n"/>
      <c r="V945" s="7" t="n"/>
      <c r="X945" s="22">
        <f>IF($B945="","",IFERROR(INDEX(Cost_Centers!$E:$E,MATCH($B945,Cost_Centers!$A:$A,0)),"(unknown)"))</f>
        <v/>
      </c>
      <c r="Y945" s="22">
        <f>IF($B945="","",IFERROR(INDEX(Cost_Centers!$D:$D,MATCH($B945,Cost_Centers!$A:$A,0)),"(unknown)"))</f>
        <v/>
      </c>
      <c r="Z945" s="22">
        <f>IF(OR($B945="",$G945&lt;&gt;"Variance vs Budget"),"",ABS(N($V945))+ROW()/1000000000)</f>
        <v/>
      </c>
    </row>
    <row r="946">
      <c r="A946" s="30">
        <f>IF($D$946="","",LEFT($D$946,FIND("|",$D$946&amp;"|")-1))</f>
        <v/>
      </c>
      <c r="B946" s="31" t="n"/>
      <c r="C946" s="30">
        <f>IF($B$946="","",IFERROR(INDEX(Cost_Centers!$B:$B,MATCH($B$946,Cost_Centers!$A:$A,0)),"(not in master)"))</f>
        <v/>
      </c>
      <c r="D946" s="31" t="n"/>
      <c r="E946" s="30">
        <f>IF($D$946="","",IFERROR(INDEX(Accounts!$D:$D,MATCH($D$946,Accounts!$A:$A,0)),"(not in master)"))</f>
        <v/>
      </c>
      <c r="F946" s="31" t="n"/>
      <c r="G946" s="30" t="inlineStr">
        <is>
          <t>Budget</t>
        </is>
      </c>
      <c r="H946" s="32">
        <f>IF($B$946="","",SUMIFS(Opex_Budget!$O:$O,Opex_Budget!$A:$A,$C$3,Opex_Budget!$E:$E,$B$946,Opex_Budget!$F:$F,$D$946,Opex_Budget!$N:$N,"JPY")*$E$5+SUMIFS(Opex_Budget!$O:$O,Opex_Budget!$A:$A,$C$3,Opex_Budget!$E:$E,$B$946,Opex_Budget!$F:$F,$D$946,Opex_Budget!$N:$N,"USD")*$F$5+SUMIFS(Opex_Budget!$O:$O,Opex_Budget!$A:$A,$C$3,Opex_Budget!$E:$E,$B$946,Opex_Budget!$F:$F,$D$946,Opex_Budget!$N:$N,"EUR")*$G$5+SUMIFS(Opex_Budget!$O:$O,Opex_Budget!$A:$A,$C$3,Opex_Budget!$E:$E,$B$946,Opex_Budget!$F:$F,$D$946,Opex_Budget!$N:$N,"GBP")*$H$5)</f>
        <v/>
      </c>
      <c r="I946" s="32">
        <f>IF($B$946="","",SUMIFS(Opex_Budget!$P:$P,Opex_Budget!$A:$A,$C$3,Opex_Budget!$E:$E,$B$946,Opex_Budget!$F:$F,$D$946,Opex_Budget!$N:$N,"JPY")*$E$5+SUMIFS(Opex_Budget!$P:$P,Opex_Budget!$A:$A,$C$3,Opex_Budget!$E:$E,$B$946,Opex_Budget!$F:$F,$D$946,Opex_Budget!$N:$N,"USD")*$F$5+SUMIFS(Opex_Budget!$P:$P,Opex_Budget!$A:$A,$C$3,Opex_Budget!$E:$E,$B$946,Opex_Budget!$F:$F,$D$946,Opex_Budget!$N:$N,"EUR")*$G$5+SUMIFS(Opex_Budget!$P:$P,Opex_Budget!$A:$A,$C$3,Opex_Budget!$E:$E,$B$946,Opex_Budget!$F:$F,$D$946,Opex_Budget!$N:$N,"GBP")*$H$5)</f>
        <v/>
      </c>
      <c r="J946" s="32">
        <f>IF($B$946="","",SUMIFS(Opex_Budget!$Q:$Q,Opex_Budget!$A:$A,$C$3,Opex_Budget!$E:$E,$B$946,Opex_Budget!$F:$F,$D$946,Opex_Budget!$N:$N,"JPY")*$E$5+SUMIFS(Opex_Budget!$Q:$Q,Opex_Budget!$A:$A,$C$3,Opex_Budget!$E:$E,$B$946,Opex_Budget!$F:$F,$D$946,Opex_Budget!$N:$N,"USD")*$F$5+SUMIFS(Opex_Budget!$Q:$Q,Opex_Budget!$A:$A,$C$3,Opex_Budget!$E:$E,$B$946,Opex_Budget!$F:$F,$D$946,Opex_Budget!$N:$N,"EUR")*$G$5+SUMIFS(Opex_Budget!$Q:$Q,Opex_Budget!$A:$A,$C$3,Opex_Budget!$E:$E,$B$946,Opex_Budget!$F:$F,$D$946,Opex_Budget!$N:$N,"GBP")*$H$5)</f>
        <v/>
      </c>
      <c r="K946" s="32">
        <f>IF($B$946="","",SUMIFS(Opex_Budget!$R:$R,Opex_Budget!$A:$A,$C$3,Opex_Budget!$E:$E,$B$946,Opex_Budget!$F:$F,$D$946,Opex_Budget!$N:$N,"JPY")*$E$5+SUMIFS(Opex_Budget!$R:$R,Opex_Budget!$A:$A,$C$3,Opex_Budget!$E:$E,$B$946,Opex_Budget!$F:$F,$D$946,Opex_Budget!$N:$N,"USD")*$F$5+SUMIFS(Opex_Budget!$R:$R,Opex_Budget!$A:$A,$C$3,Opex_Budget!$E:$E,$B$946,Opex_Budget!$F:$F,$D$946,Opex_Budget!$N:$N,"EUR")*$G$5+SUMIFS(Opex_Budget!$R:$R,Opex_Budget!$A:$A,$C$3,Opex_Budget!$E:$E,$B$946,Opex_Budget!$F:$F,$D$946,Opex_Budget!$N:$N,"GBP")*$H$5)</f>
        <v/>
      </c>
      <c r="L946" s="32">
        <f>IF($B$946="","",SUMIFS(Opex_Budget!$S:$S,Opex_Budget!$A:$A,$C$3,Opex_Budget!$E:$E,$B$946,Opex_Budget!$F:$F,$D$946,Opex_Budget!$N:$N,"JPY")*$E$5+SUMIFS(Opex_Budget!$S:$S,Opex_Budget!$A:$A,$C$3,Opex_Budget!$E:$E,$B$946,Opex_Budget!$F:$F,$D$946,Opex_Budget!$N:$N,"USD")*$F$5+SUMIFS(Opex_Budget!$S:$S,Opex_Budget!$A:$A,$C$3,Opex_Budget!$E:$E,$B$946,Opex_Budget!$F:$F,$D$946,Opex_Budget!$N:$N,"EUR")*$G$5+SUMIFS(Opex_Budget!$S:$S,Opex_Budget!$A:$A,$C$3,Opex_Budget!$E:$E,$B$946,Opex_Budget!$F:$F,$D$946,Opex_Budget!$N:$N,"GBP")*$H$5)</f>
        <v/>
      </c>
      <c r="M946" s="32">
        <f>IF($B$946="","",SUMIFS(Opex_Budget!$T:$T,Opex_Budget!$A:$A,$C$3,Opex_Budget!$E:$E,$B$946,Opex_Budget!$F:$F,$D$946,Opex_Budget!$N:$N,"JPY")*$E$5+SUMIFS(Opex_Budget!$T:$T,Opex_Budget!$A:$A,$C$3,Opex_Budget!$E:$E,$B$946,Opex_Budget!$F:$F,$D$946,Opex_Budget!$N:$N,"USD")*$F$5+SUMIFS(Opex_Budget!$T:$T,Opex_Budget!$A:$A,$C$3,Opex_Budget!$E:$E,$B$946,Opex_Budget!$F:$F,$D$946,Opex_Budget!$N:$N,"EUR")*$G$5+SUMIFS(Opex_Budget!$T:$T,Opex_Budget!$A:$A,$C$3,Opex_Budget!$E:$E,$B$946,Opex_Budget!$F:$F,$D$946,Opex_Budget!$N:$N,"GBP")*$H$5)</f>
        <v/>
      </c>
      <c r="N946" s="32">
        <f>IF($B$946="","",SUMIFS(Opex_Budget!$U:$U,Opex_Budget!$A:$A,$C$3,Opex_Budget!$E:$E,$B$946,Opex_Budget!$F:$F,$D$946,Opex_Budget!$N:$N,"JPY")*$E$5+SUMIFS(Opex_Budget!$U:$U,Opex_Budget!$A:$A,$C$3,Opex_Budget!$E:$E,$B$946,Opex_Budget!$F:$F,$D$946,Opex_Budget!$N:$N,"USD")*$F$5+SUMIFS(Opex_Budget!$U:$U,Opex_Budget!$A:$A,$C$3,Opex_Budget!$E:$E,$B$946,Opex_Budget!$F:$F,$D$946,Opex_Budget!$N:$N,"EUR")*$G$5+SUMIFS(Opex_Budget!$U:$U,Opex_Budget!$A:$A,$C$3,Opex_Budget!$E:$E,$B$946,Opex_Budget!$F:$F,$D$946,Opex_Budget!$N:$N,"GBP")*$H$5)</f>
        <v/>
      </c>
      <c r="O946" s="32">
        <f>IF($B$946="","",SUMIFS(Opex_Budget!$V:$V,Opex_Budget!$A:$A,$C$3,Opex_Budget!$E:$E,$B$946,Opex_Budget!$F:$F,$D$946,Opex_Budget!$N:$N,"JPY")*$E$5+SUMIFS(Opex_Budget!$V:$V,Opex_Budget!$A:$A,$C$3,Opex_Budget!$E:$E,$B$946,Opex_Budget!$F:$F,$D$946,Opex_Budget!$N:$N,"USD")*$F$5+SUMIFS(Opex_Budget!$V:$V,Opex_Budget!$A:$A,$C$3,Opex_Budget!$E:$E,$B$946,Opex_Budget!$F:$F,$D$946,Opex_Budget!$N:$N,"EUR")*$G$5+SUMIFS(Opex_Budget!$V:$V,Opex_Budget!$A:$A,$C$3,Opex_Budget!$E:$E,$B$946,Opex_Budget!$F:$F,$D$946,Opex_Budget!$N:$N,"GBP")*$H$5)</f>
        <v/>
      </c>
      <c r="P946" s="32">
        <f>IF($B$946="","",SUMIFS(Opex_Budget!$W:$W,Opex_Budget!$A:$A,$C$3,Opex_Budget!$E:$E,$B$946,Opex_Budget!$F:$F,$D$946,Opex_Budget!$N:$N,"JPY")*$E$5+SUMIFS(Opex_Budget!$W:$W,Opex_Budget!$A:$A,$C$3,Opex_Budget!$E:$E,$B$946,Opex_Budget!$F:$F,$D$946,Opex_Budget!$N:$N,"USD")*$F$5+SUMIFS(Opex_Budget!$W:$W,Opex_Budget!$A:$A,$C$3,Opex_Budget!$E:$E,$B$946,Opex_Budget!$F:$F,$D$946,Opex_Budget!$N:$N,"EUR")*$G$5+SUMIFS(Opex_Budget!$W:$W,Opex_Budget!$A:$A,$C$3,Opex_Budget!$E:$E,$B$946,Opex_Budget!$F:$F,$D$946,Opex_Budget!$N:$N,"GBP")*$H$5)</f>
        <v/>
      </c>
      <c r="Q946" s="32">
        <f>IF($B$946="","",SUMIFS(Opex_Budget!$X:$X,Opex_Budget!$A:$A,$C$3,Opex_Budget!$E:$E,$B$946,Opex_Budget!$F:$F,$D$946,Opex_Budget!$N:$N,"JPY")*$E$5+SUMIFS(Opex_Budget!$X:$X,Opex_Budget!$A:$A,$C$3,Opex_Budget!$E:$E,$B$946,Opex_Budget!$F:$F,$D$946,Opex_Budget!$N:$N,"USD")*$F$5+SUMIFS(Opex_Budget!$X:$X,Opex_Budget!$A:$A,$C$3,Opex_Budget!$E:$E,$B$946,Opex_Budget!$F:$F,$D$946,Opex_Budget!$N:$N,"EUR")*$G$5+SUMIFS(Opex_Budget!$X:$X,Opex_Budget!$A:$A,$C$3,Opex_Budget!$E:$E,$B$946,Opex_Budget!$F:$F,$D$946,Opex_Budget!$N:$N,"GBP")*$H$5)</f>
        <v/>
      </c>
      <c r="R946" s="32">
        <f>IF($B$946="","",SUMIFS(Opex_Budget!$Y:$Y,Opex_Budget!$A:$A,$C$3,Opex_Budget!$E:$E,$B$946,Opex_Budget!$F:$F,$D$946,Opex_Budget!$N:$N,"JPY")*$E$5+SUMIFS(Opex_Budget!$Y:$Y,Opex_Budget!$A:$A,$C$3,Opex_Budget!$E:$E,$B$946,Opex_Budget!$F:$F,$D$946,Opex_Budget!$N:$N,"USD")*$F$5+SUMIFS(Opex_Budget!$Y:$Y,Opex_Budget!$A:$A,$C$3,Opex_Budget!$E:$E,$B$946,Opex_Budget!$F:$F,$D$946,Opex_Budget!$N:$N,"EUR")*$G$5+SUMIFS(Opex_Budget!$Y:$Y,Opex_Budget!$A:$A,$C$3,Opex_Budget!$E:$E,$B$946,Opex_Budget!$F:$F,$D$946,Opex_Budget!$N:$N,"GBP")*$H$5)</f>
        <v/>
      </c>
      <c r="S946" s="32">
        <f>IF($B$946="","",SUMIFS(Opex_Budget!$Z:$Z,Opex_Budget!$A:$A,$C$3,Opex_Budget!$E:$E,$B$946,Opex_Budget!$F:$F,$D$946,Opex_Budget!$N:$N,"JPY")*$E$5+SUMIFS(Opex_Budget!$Z:$Z,Opex_Budget!$A:$A,$C$3,Opex_Budget!$E:$E,$B$946,Opex_Budget!$F:$F,$D$946,Opex_Budget!$N:$N,"USD")*$F$5+SUMIFS(Opex_Budget!$Z:$Z,Opex_Budget!$A:$A,$C$3,Opex_Budget!$E:$E,$B$946,Opex_Budget!$F:$F,$D$946,Opex_Budget!$N:$N,"EUR")*$G$5+SUMIFS(Opex_Budget!$Z:$Z,Opex_Budget!$A:$A,$C$3,Opex_Budget!$E:$E,$B$946,Opex_Budget!$F:$F,$D$946,Opex_Budget!$N:$N,"GBP")*$H$5)</f>
        <v/>
      </c>
      <c r="T946" s="32">
        <f>IF($B$946="","",SUMIF($H$7:$S$7,"&lt;="&amp;$C$4,$H946:$S946))</f>
        <v/>
      </c>
      <c r="U946" s="32">
        <f>IF($B$946="","",SUMIF($H$7:$S$7,"&gt;"&amp;$C$4,$H946:$S946))</f>
        <v/>
      </c>
      <c r="V946" s="32">
        <f>IF($B$946="","",SUM($H946:$S946))</f>
        <v/>
      </c>
      <c r="X946" s="22">
        <f>IF($B946="","",IFERROR(INDEX(Cost_Centers!$E:$E,MATCH($B946,Cost_Centers!$A:$A,0)),"(unknown)"))</f>
        <v/>
      </c>
      <c r="Y946" s="22">
        <f>IF($B946="","",IFERROR(INDEX(Cost_Centers!$D:$D,MATCH($B946,Cost_Centers!$A:$A,0)),"(unknown)"))</f>
        <v/>
      </c>
      <c r="Z946" s="22">
        <f>IF(OR($B946="",$G946&lt;&gt;"Variance vs Budget"),"",ABS(N($V946))+ROW()/1000000000)</f>
        <v/>
      </c>
    </row>
    <row r="947">
      <c r="A947" s="13">
        <f>IF(A$946="","",A$946)</f>
        <v/>
      </c>
      <c r="B947" s="13">
        <f>IF(B$946="","",B$946)</f>
        <v/>
      </c>
      <c r="C947" s="13">
        <f>IF(C$946="","",C$946)</f>
        <v/>
      </c>
      <c r="D947" s="13">
        <f>IF(D$946="","",D$946)</f>
        <v/>
      </c>
      <c r="E947" s="13">
        <f>IF(E$946="","",E$946)</f>
        <v/>
      </c>
      <c r="F947" s="13">
        <f>IF(F$946="","",F$946)</f>
        <v/>
      </c>
      <c r="G947" s="7" t="inlineStr">
        <is>
          <t>Actual</t>
        </is>
      </c>
      <c r="H947" s="18">
        <f>IF(OR($B$946="",1&gt;$C$4),"",SUMIFS(Actuals!$G:$G,Actuals!$B:$B,$C$3,Actuals!$C:$C,1,Actuals!$D:$D,$B$946,Actuals!$A:$A,LEFT($D$946,FIND("|",$D$946&amp;"|")-1),Actuals!$E:$E,MID($D$946,FIND("|",$D$946&amp;"|")+1,50),Actuals!$F:$F,"JPY")*$E$5+SUMIFS(Actuals!$G:$G,Actuals!$B:$B,$C$3,Actuals!$C:$C,1,Actuals!$D:$D,$B$946,Actuals!$A:$A,LEFT($D$946,FIND("|",$D$946&amp;"|")-1),Actuals!$E:$E,MID($D$946,FIND("|",$D$946&amp;"|")+1,50),Actuals!$F:$F,"USD")*$F$5+SUMIFS(Actuals!$G:$G,Actuals!$B:$B,$C$3,Actuals!$C:$C,1,Actuals!$D:$D,$B$946,Actuals!$A:$A,LEFT($D$946,FIND("|",$D$946&amp;"|")-1),Actuals!$E:$E,MID($D$946,FIND("|",$D$946&amp;"|")+1,50),Actuals!$F:$F,"EUR")*$G$5+SUMIFS(Actuals!$G:$G,Actuals!$B:$B,$C$3,Actuals!$C:$C,1,Actuals!$D:$D,$B$946,Actuals!$A:$A,LEFT($D$946,FIND("|",$D$946&amp;"|")-1),Actuals!$E:$E,MID($D$946,FIND("|",$D$946&amp;"|")+1,50),Actuals!$F:$F,"GBP")*$H$5)</f>
        <v/>
      </c>
      <c r="I947" s="18">
        <f>IF(OR($B$946="",2&gt;$C$4),"",SUMIFS(Actuals!$G:$G,Actuals!$B:$B,$C$3,Actuals!$C:$C,2,Actuals!$D:$D,$B$946,Actuals!$A:$A,LEFT($D$946,FIND("|",$D$946&amp;"|")-1),Actuals!$E:$E,MID($D$946,FIND("|",$D$946&amp;"|")+1,50),Actuals!$F:$F,"JPY")*$E$5+SUMIFS(Actuals!$G:$G,Actuals!$B:$B,$C$3,Actuals!$C:$C,2,Actuals!$D:$D,$B$946,Actuals!$A:$A,LEFT($D$946,FIND("|",$D$946&amp;"|")-1),Actuals!$E:$E,MID($D$946,FIND("|",$D$946&amp;"|")+1,50),Actuals!$F:$F,"USD")*$F$5+SUMIFS(Actuals!$G:$G,Actuals!$B:$B,$C$3,Actuals!$C:$C,2,Actuals!$D:$D,$B$946,Actuals!$A:$A,LEFT($D$946,FIND("|",$D$946&amp;"|")-1),Actuals!$E:$E,MID($D$946,FIND("|",$D$946&amp;"|")+1,50),Actuals!$F:$F,"EUR")*$G$5+SUMIFS(Actuals!$G:$G,Actuals!$B:$B,$C$3,Actuals!$C:$C,2,Actuals!$D:$D,$B$946,Actuals!$A:$A,LEFT($D$946,FIND("|",$D$946&amp;"|")-1),Actuals!$E:$E,MID($D$946,FIND("|",$D$946&amp;"|")+1,50),Actuals!$F:$F,"GBP")*$H$5)</f>
        <v/>
      </c>
      <c r="J947" s="18">
        <f>IF(OR($B$946="",3&gt;$C$4),"",SUMIFS(Actuals!$G:$G,Actuals!$B:$B,$C$3,Actuals!$C:$C,3,Actuals!$D:$D,$B$946,Actuals!$A:$A,LEFT($D$946,FIND("|",$D$946&amp;"|")-1),Actuals!$E:$E,MID($D$946,FIND("|",$D$946&amp;"|")+1,50),Actuals!$F:$F,"JPY")*$E$5+SUMIFS(Actuals!$G:$G,Actuals!$B:$B,$C$3,Actuals!$C:$C,3,Actuals!$D:$D,$B$946,Actuals!$A:$A,LEFT($D$946,FIND("|",$D$946&amp;"|")-1),Actuals!$E:$E,MID($D$946,FIND("|",$D$946&amp;"|")+1,50),Actuals!$F:$F,"USD")*$F$5+SUMIFS(Actuals!$G:$G,Actuals!$B:$B,$C$3,Actuals!$C:$C,3,Actuals!$D:$D,$B$946,Actuals!$A:$A,LEFT($D$946,FIND("|",$D$946&amp;"|")-1),Actuals!$E:$E,MID($D$946,FIND("|",$D$946&amp;"|")+1,50),Actuals!$F:$F,"EUR")*$G$5+SUMIFS(Actuals!$G:$G,Actuals!$B:$B,$C$3,Actuals!$C:$C,3,Actuals!$D:$D,$B$946,Actuals!$A:$A,LEFT($D$946,FIND("|",$D$946&amp;"|")-1),Actuals!$E:$E,MID($D$946,FIND("|",$D$946&amp;"|")+1,50),Actuals!$F:$F,"GBP")*$H$5)</f>
        <v/>
      </c>
      <c r="K947" s="18">
        <f>IF(OR($B$946="",4&gt;$C$4),"",SUMIFS(Actuals!$G:$G,Actuals!$B:$B,$C$3,Actuals!$C:$C,4,Actuals!$D:$D,$B$946,Actuals!$A:$A,LEFT($D$946,FIND("|",$D$946&amp;"|")-1),Actuals!$E:$E,MID($D$946,FIND("|",$D$946&amp;"|")+1,50),Actuals!$F:$F,"JPY")*$E$5+SUMIFS(Actuals!$G:$G,Actuals!$B:$B,$C$3,Actuals!$C:$C,4,Actuals!$D:$D,$B$946,Actuals!$A:$A,LEFT($D$946,FIND("|",$D$946&amp;"|")-1),Actuals!$E:$E,MID($D$946,FIND("|",$D$946&amp;"|")+1,50),Actuals!$F:$F,"USD")*$F$5+SUMIFS(Actuals!$G:$G,Actuals!$B:$B,$C$3,Actuals!$C:$C,4,Actuals!$D:$D,$B$946,Actuals!$A:$A,LEFT($D$946,FIND("|",$D$946&amp;"|")-1),Actuals!$E:$E,MID($D$946,FIND("|",$D$946&amp;"|")+1,50),Actuals!$F:$F,"EUR")*$G$5+SUMIFS(Actuals!$G:$G,Actuals!$B:$B,$C$3,Actuals!$C:$C,4,Actuals!$D:$D,$B$946,Actuals!$A:$A,LEFT($D$946,FIND("|",$D$946&amp;"|")-1),Actuals!$E:$E,MID($D$946,FIND("|",$D$946&amp;"|")+1,50),Actuals!$F:$F,"GBP")*$H$5)</f>
        <v/>
      </c>
      <c r="L947" s="18">
        <f>IF(OR($B$946="",5&gt;$C$4),"",SUMIFS(Actuals!$G:$G,Actuals!$B:$B,$C$3,Actuals!$C:$C,5,Actuals!$D:$D,$B$946,Actuals!$A:$A,LEFT($D$946,FIND("|",$D$946&amp;"|")-1),Actuals!$E:$E,MID($D$946,FIND("|",$D$946&amp;"|")+1,50),Actuals!$F:$F,"JPY")*$E$5+SUMIFS(Actuals!$G:$G,Actuals!$B:$B,$C$3,Actuals!$C:$C,5,Actuals!$D:$D,$B$946,Actuals!$A:$A,LEFT($D$946,FIND("|",$D$946&amp;"|")-1),Actuals!$E:$E,MID($D$946,FIND("|",$D$946&amp;"|")+1,50),Actuals!$F:$F,"USD")*$F$5+SUMIFS(Actuals!$G:$G,Actuals!$B:$B,$C$3,Actuals!$C:$C,5,Actuals!$D:$D,$B$946,Actuals!$A:$A,LEFT($D$946,FIND("|",$D$946&amp;"|")-1),Actuals!$E:$E,MID($D$946,FIND("|",$D$946&amp;"|")+1,50),Actuals!$F:$F,"EUR")*$G$5+SUMIFS(Actuals!$G:$G,Actuals!$B:$B,$C$3,Actuals!$C:$C,5,Actuals!$D:$D,$B$946,Actuals!$A:$A,LEFT($D$946,FIND("|",$D$946&amp;"|")-1),Actuals!$E:$E,MID($D$946,FIND("|",$D$946&amp;"|")+1,50),Actuals!$F:$F,"GBP")*$H$5)</f>
        <v/>
      </c>
      <c r="M947" s="18">
        <f>IF(OR($B$946="",6&gt;$C$4),"",SUMIFS(Actuals!$G:$G,Actuals!$B:$B,$C$3,Actuals!$C:$C,6,Actuals!$D:$D,$B$946,Actuals!$A:$A,LEFT($D$946,FIND("|",$D$946&amp;"|")-1),Actuals!$E:$E,MID($D$946,FIND("|",$D$946&amp;"|")+1,50),Actuals!$F:$F,"JPY")*$E$5+SUMIFS(Actuals!$G:$G,Actuals!$B:$B,$C$3,Actuals!$C:$C,6,Actuals!$D:$D,$B$946,Actuals!$A:$A,LEFT($D$946,FIND("|",$D$946&amp;"|")-1),Actuals!$E:$E,MID($D$946,FIND("|",$D$946&amp;"|")+1,50),Actuals!$F:$F,"USD")*$F$5+SUMIFS(Actuals!$G:$G,Actuals!$B:$B,$C$3,Actuals!$C:$C,6,Actuals!$D:$D,$B$946,Actuals!$A:$A,LEFT($D$946,FIND("|",$D$946&amp;"|")-1),Actuals!$E:$E,MID($D$946,FIND("|",$D$946&amp;"|")+1,50),Actuals!$F:$F,"EUR")*$G$5+SUMIFS(Actuals!$G:$G,Actuals!$B:$B,$C$3,Actuals!$C:$C,6,Actuals!$D:$D,$B$946,Actuals!$A:$A,LEFT($D$946,FIND("|",$D$946&amp;"|")-1),Actuals!$E:$E,MID($D$946,FIND("|",$D$946&amp;"|")+1,50),Actuals!$F:$F,"GBP")*$H$5)</f>
        <v/>
      </c>
      <c r="N947" s="18">
        <f>IF(OR($B$946="",7&gt;$C$4),"",SUMIFS(Actuals!$G:$G,Actuals!$B:$B,$C$3,Actuals!$C:$C,7,Actuals!$D:$D,$B$946,Actuals!$A:$A,LEFT($D$946,FIND("|",$D$946&amp;"|")-1),Actuals!$E:$E,MID($D$946,FIND("|",$D$946&amp;"|")+1,50),Actuals!$F:$F,"JPY")*$E$5+SUMIFS(Actuals!$G:$G,Actuals!$B:$B,$C$3,Actuals!$C:$C,7,Actuals!$D:$D,$B$946,Actuals!$A:$A,LEFT($D$946,FIND("|",$D$946&amp;"|")-1),Actuals!$E:$E,MID($D$946,FIND("|",$D$946&amp;"|")+1,50),Actuals!$F:$F,"USD")*$F$5+SUMIFS(Actuals!$G:$G,Actuals!$B:$B,$C$3,Actuals!$C:$C,7,Actuals!$D:$D,$B$946,Actuals!$A:$A,LEFT($D$946,FIND("|",$D$946&amp;"|")-1),Actuals!$E:$E,MID($D$946,FIND("|",$D$946&amp;"|")+1,50),Actuals!$F:$F,"EUR")*$G$5+SUMIFS(Actuals!$G:$G,Actuals!$B:$B,$C$3,Actuals!$C:$C,7,Actuals!$D:$D,$B$946,Actuals!$A:$A,LEFT($D$946,FIND("|",$D$946&amp;"|")-1),Actuals!$E:$E,MID($D$946,FIND("|",$D$946&amp;"|")+1,50),Actuals!$F:$F,"GBP")*$H$5)</f>
        <v/>
      </c>
      <c r="O947" s="18">
        <f>IF(OR($B$946="",8&gt;$C$4),"",SUMIFS(Actuals!$G:$G,Actuals!$B:$B,$C$3,Actuals!$C:$C,8,Actuals!$D:$D,$B$946,Actuals!$A:$A,LEFT($D$946,FIND("|",$D$946&amp;"|")-1),Actuals!$E:$E,MID($D$946,FIND("|",$D$946&amp;"|")+1,50),Actuals!$F:$F,"JPY")*$E$5+SUMIFS(Actuals!$G:$G,Actuals!$B:$B,$C$3,Actuals!$C:$C,8,Actuals!$D:$D,$B$946,Actuals!$A:$A,LEFT($D$946,FIND("|",$D$946&amp;"|")-1),Actuals!$E:$E,MID($D$946,FIND("|",$D$946&amp;"|")+1,50),Actuals!$F:$F,"USD")*$F$5+SUMIFS(Actuals!$G:$G,Actuals!$B:$B,$C$3,Actuals!$C:$C,8,Actuals!$D:$D,$B$946,Actuals!$A:$A,LEFT($D$946,FIND("|",$D$946&amp;"|")-1),Actuals!$E:$E,MID($D$946,FIND("|",$D$946&amp;"|")+1,50),Actuals!$F:$F,"EUR")*$G$5+SUMIFS(Actuals!$G:$G,Actuals!$B:$B,$C$3,Actuals!$C:$C,8,Actuals!$D:$D,$B$946,Actuals!$A:$A,LEFT($D$946,FIND("|",$D$946&amp;"|")-1),Actuals!$E:$E,MID($D$946,FIND("|",$D$946&amp;"|")+1,50),Actuals!$F:$F,"GBP")*$H$5)</f>
        <v/>
      </c>
      <c r="P947" s="18">
        <f>IF(OR($B$946="",9&gt;$C$4),"",SUMIFS(Actuals!$G:$G,Actuals!$B:$B,$C$3,Actuals!$C:$C,9,Actuals!$D:$D,$B$946,Actuals!$A:$A,LEFT($D$946,FIND("|",$D$946&amp;"|")-1),Actuals!$E:$E,MID($D$946,FIND("|",$D$946&amp;"|")+1,50),Actuals!$F:$F,"JPY")*$E$5+SUMIFS(Actuals!$G:$G,Actuals!$B:$B,$C$3,Actuals!$C:$C,9,Actuals!$D:$D,$B$946,Actuals!$A:$A,LEFT($D$946,FIND("|",$D$946&amp;"|")-1),Actuals!$E:$E,MID($D$946,FIND("|",$D$946&amp;"|")+1,50),Actuals!$F:$F,"USD")*$F$5+SUMIFS(Actuals!$G:$G,Actuals!$B:$B,$C$3,Actuals!$C:$C,9,Actuals!$D:$D,$B$946,Actuals!$A:$A,LEFT($D$946,FIND("|",$D$946&amp;"|")-1),Actuals!$E:$E,MID($D$946,FIND("|",$D$946&amp;"|")+1,50),Actuals!$F:$F,"EUR")*$G$5+SUMIFS(Actuals!$G:$G,Actuals!$B:$B,$C$3,Actuals!$C:$C,9,Actuals!$D:$D,$B$946,Actuals!$A:$A,LEFT($D$946,FIND("|",$D$946&amp;"|")-1),Actuals!$E:$E,MID($D$946,FIND("|",$D$946&amp;"|")+1,50),Actuals!$F:$F,"GBP")*$H$5)</f>
        <v/>
      </c>
      <c r="Q947" s="18">
        <f>IF(OR($B$946="",10&gt;$C$4),"",SUMIFS(Actuals!$G:$G,Actuals!$B:$B,$C$3,Actuals!$C:$C,10,Actuals!$D:$D,$B$946,Actuals!$A:$A,LEFT($D$946,FIND("|",$D$946&amp;"|")-1),Actuals!$E:$E,MID($D$946,FIND("|",$D$946&amp;"|")+1,50),Actuals!$F:$F,"JPY")*$E$5+SUMIFS(Actuals!$G:$G,Actuals!$B:$B,$C$3,Actuals!$C:$C,10,Actuals!$D:$D,$B$946,Actuals!$A:$A,LEFT($D$946,FIND("|",$D$946&amp;"|")-1),Actuals!$E:$E,MID($D$946,FIND("|",$D$946&amp;"|")+1,50),Actuals!$F:$F,"USD")*$F$5+SUMIFS(Actuals!$G:$G,Actuals!$B:$B,$C$3,Actuals!$C:$C,10,Actuals!$D:$D,$B$946,Actuals!$A:$A,LEFT($D$946,FIND("|",$D$946&amp;"|")-1),Actuals!$E:$E,MID($D$946,FIND("|",$D$946&amp;"|")+1,50),Actuals!$F:$F,"EUR")*$G$5+SUMIFS(Actuals!$G:$G,Actuals!$B:$B,$C$3,Actuals!$C:$C,10,Actuals!$D:$D,$B$946,Actuals!$A:$A,LEFT($D$946,FIND("|",$D$946&amp;"|")-1),Actuals!$E:$E,MID($D$946,FIND("|",$D$946&amp;"|")+1,50),Actuals!$F:$F,"GBP")*$H$5)</f>
        <v/>
      </c>
      <c r="R947" s="18">
        <f>IF(OR($B$946="",11&gt;$C$4),"",SUMIFS(Actuals!$G:$G,Actuals!$B:$B,$C$3,Actuals!$C:$C,11,Actuals!$D:$D,$B$946,Actuals!$A:$A,LEFT($D$946,FIND("|",$D$946&amp;"|")-1),Actuals!$E:$E,MID($D$946,FIND("|",$D$946&amp;"|")+1,50),Actuals!$F:$F,"JPY")*$E$5+SUMIFS(Actuals!$G:$G,Actuals!$B:$B,$C$3,Actuals!$C:$C,11,Actuals!$D:$D,$B$946,Actuals!$A:$A,LEFT($D$946,FIND("|",$D$946&amp;"|")-1),Actuals!$E:$E,MID($D$946,FIND("|",$D$946&amp;"|")+1,50),Actuals!$F:$F,"USD")*$F$5+SUMIFS(Actuals!$G:$G,Actuals!$B:$B,$C$3,Actuals!$C:$C,11,Actuals!$D:$D,$B$946,Actuals!$A:$A,LEFT($D$946,FIND("|",$D$946&amp;"|")-1),Actuals!$E:$E,MID($D$946,FIND("|",$D$946&amp;"|")+1,50),Actuals!$F:$F,"EUR")*$G$5+SUMIFS(Actuals!$G:$G,Actuals!$B:$B,$C$3,Actuals!$C:$C,11,Actuals!$D:$D,$B$946,Actuals!$A:$A,LEFT($D$946,FIND("|",$D$946&amp;"|")-1),Actuals!$E:$E,MID($D$946,FIND("|",$D$946&amp;"|")+1,50),Actuals!$F:$F,"GBP")*$H$5)</f>
        <v/>
      </c>
      <c r="S947" s="18">
        <f>IF(OR($B$946="",12&gt;$C$4),"",SUMIFS(Actuals!$G:$G,Actuals!$B:$B,$C$3,Actuals!$C:$C,12,Actuals!$D:$D,$B$946,Actuals!$A:$A,LEFT($D$946,FIND("|",$D$946&amp;"|")-1),Actuals!$E:$E,MID($D$946,FIND("|",$D$946&amp;"|")+1,50),Actuals!$F:$F,"JPY")*$E$5+SUMIFS(Actuals!$G:$G,Actuals!$B:$B,$C$3,Actuals!$C:$C,12,Actuals!$D:$D,$B$946,Actuals!$A:$A,LEFT($D$946,FIND("|",$D$946&amp;"|")-1),Actuals!$E:$E,MID($D$946,FIND("|",$D$946&amp;"|")+1,50),Actuals!$F:$F,"USD")*$F$5+SUMIFS(Actuals!$G:$G,Actuals!$B:$B,$C$3,Actuals!$C:$C,12,Actuals!$D:$D,$B$946,Actuals!$A:$A,LEFT($D$946,FIND("|",$D$946&amp;"|")-1),Actuals!$E:$E,MID($D$946,FIND("|",$D$946&amp;"|")+1,50),Actuals!$F:$F,"EUR")*$G$5+SUMIFS(Actuals!$G:$G,Actuals!$B:$B,$C$3,Actuals!$C:$C,12,Actuals!$D:$D,$B$946,Actuals!$A:$A,LEFT($D$946,FIND("|",$D$946&amp;"|")-1),Actuals!$E:$E,MID($D$946,FIND("|",$D$946&amp;"|")+1,50),Actuals!$F:$F,"GBP")*$H$5)</f>
        <v/>
      </c>
      <c r="T947" s="18">
        <f>IF($B$946="","",SUMIF($H$7:$S$7,"&lt;="&amp;$C$4,$H947:$S947))</f>
        <v/>
      </c>
      <c r="U947" s="18" t="n"/>
      <c r="V947" s="18" t="n"/>
      <c r="X947" s="22">
        <f>IF($B947="","",IFERROR(INDEX(Cost_Centers!$E:$E,MATCH($B947,Cost_Centers!$A:$A,0)),"(unknown)"))</f>
        <v/>
      </c>
      <c r="Y947" s="22">
        <f>IF($B947="","",IFERROR(INDEX(Cost_Centers!$D:$D,MATCH($B947,Cost_Centers!$A:$A,0)),"(unknown)"))</f>
        <v/>
      </c>
      <c r="Z947" s="22">
        <f>IF(OR($B947="",$G947&lt;&gt;"Variance vs Budget"),"",ABS(N($V947))+ROW()/1000000000)</f>
        <v/>
      </c>
    </row>
    <row r="948">
      <c r="A948" s="13">
        <f>IF(A$946="","",A$946)</f>
        <v/>
      </c>
      <c r="B948" s="13">
        <f>IF(B$946="","",B$946)</f>
        <v/>
      </c>
      <c r="C948" s="13">
        <f>IF(C$946="","",C$946)</f>
        <v/>
      </c>
      <c r="D948" s="13">
        <f>IF(D$946="","",D$946)</f>
        <v/>
      </c>
      <c r="E948" s="13">
        <f>IF(E$946="","",E$946)</f>
        <v/>
      </c>
      <c r="F948" s="13">
        <f>IF(F$946="","",F$946)</f>
        <v/>
      </c>
      <c r="G948" s="6" t="inlineStr">
        <is>
          <t>Variance vs Budget</t>
        </is>
      </c>
      <c r="H948" s="33">
        <f>IF(OR($B$946="",1&gt;$C$4),"",N(H947)-H946)</f>
        <v/>
      </c>
      <c r="I948" s="33">
        <f>IF(OR($B$946="",2&gt;$C$4),"",N(I947)-I946)</f>
        <v/>
      </c>
      <c r="J948" s="33">
        <f>IF(OR($B$946="",3&gt;$C$4),"",N(J947)-J946)</f>
        <v/>
      </c>
      <c r="K948" s="33">
        <f>IF(OR($B$946="",4&gt;$C$4),"",N(K947)-K946)</f>
        <v/>
      </c>
      <c r="L948" s="33">
        <f>IF(OR($B$946="",5&gt;$C$4),"",N(L947)-L946)</f>
        <v/>
      </c>
      <c r="M948" s="33">
        <f>IF(OR($B$946="",6&gt;$C$4),"",N(M947)-M946)</f>
        <v/>
      </c>
      <c r="N948" s="33">
        <f>IF(OR($B$946="",7&gt;$C$4),"",N(N947)-N946)</f>
        <v/>
      </c>
      <c r="O948" s="33">
        <f>IF(OR($B$946="",8&gt;$C$4),"",N(O947)-O946)</f>
        <v/>
      </c>
      <c r="P948" s="33">
        <f>IF(OR($B$946="",9&gt;$C$4),"",N(P947)-P946)</f>
        <v/>
      </c>
      <c r="Q948" s="33">
        <f>IF(OR($B$946="",10&gt;$C$4),"",N(Q947)-Q946)</f>
        <v/>
      </c>
      <c r="R948" s="33">
        <f>IF(OR($B$946="",11&gt;$C$4),"",N(R947)-R946)</f>
        <v/>
      </c>
      <c r="S948" s="33">
        <f>IF(OR($B$946="",12&gt;$C$4),"",N(S947)-S946)</f>
        <v/>
      </c>
      <c r="T948" s="33">
        <f>IF($B$946="","",T947-T946)</f>
        <v/>
      </c>
      <c r="U948" s="33">
        <f>IF($B$946="","",U950-U946)</f>
        <v/>
      </c>
      <c r="V948" s="33">
        <f>IF($B$946="","",V950-V946)</f>
        <v/>
      </c>
      <c r="X948" s="22">
        <f>IF($B948="","",IFERROR(INDEX(Cost_Centers!$E:$E,MATCH($B948,Cost_Centers!$A:$A,0)),"(unknown)"))</f>
        <v/>
      </c>
      <c r="Y948" s="22">
        <f>IF($B948="","",IFERROR(INDEX(Cost_Centers!$D:$D,MATCH($B948,Cost_Centers!$A:$A,0)),"(unknown)"))</f>
        <v/>
      </c>
      <c r="Z948" s="22">
        <f>IF(OR($B948="",$G948&lt;&gt;"Variance vs Budget"),"",ABS(N($V948))+ROW()/1000000000)</f>
        <v/>
      </c>
    </row>
    <row r="949">
      <c r="A949" s="13">
        <f>IF(A$946="","",A$946)</f>
        <v/>
      </c>
      <c r="B949" s="13">
        <f>IF(B$946="","",B$946)</f>
        <v/>
      </c>
      <c r="C949" s="13">
        <f>IF(C$946="","",C$946)</f>
        <v/>
      </c>
      <c r="D949" s="13">
        <f>IF(D$946="","",D$946)</f>
        <v/>
      </c>
      <c r="E949" s="13">
        <f>IF(E$946="","",E$946)</f>
        <v/>
      </c>
      <c r="F949" s="13">
        <f>IF(F$946="","",F$946)</f>
        <v/>
      </c>
      <c r="G949" s="7" t="inlineStr">
        <is>
          <t>Forecast (input)</t>
        </is>
      </c>
      <c r="H949" s="34" t="n"/>
      <c r="I949" s="34" t="n"/>
      <c r="J949" s="34" t="n"/>
      <c r="K949" s="34" t="n"/>
      <c r="L949" s="34" t="n"/>
      <c r="M949" s="34" t="n"/>
      <c r="N949" s="34" t="n"/>
      <c r="O949" s="34" t="n"/>
      <c r="P949" s="34" t="n"/>
      <c r="Q949" s="34" t="n"/>
      <c r="R949" s="34" t="n"/>
      <c r="S949" s="34" t="n"/>
      <c r="T949" s="18" t="n"/>
      <c r="U949" s="18" t="n"/>
      <c r="V949" s="18" t="n"/>
      <c r="X949" s="22">
        <f>IF($B949="","",IFERROR(INDEX(Cost_Centers!$E:$E,MATCH($B949,Cost_Centers!$A:$A,0)),"(unknown)"))</f>
        <v/>
      </c>
      <c r="Y949" s="22">
        <f>IF($B949="","",IFERROR(INDEX(Cost_Centers!$D:$D,MATCH($B949,Cost_Centers!$A:$A,0)),"(unknown)"))</f>
        <v/>
      </c>
      <c r="Z949" s="22">
        <f>IF(OR($B949="",$G949&lt;&gt;"Variance vs Budget"),"",ABS(N($V949))+ROW()/1000000000)</f>
        <v/>
      </c>
    </row>
    <row r="950">
      <c r="A950" s="13">
        <f>IF(A$946="","",A$946)</f>
        <v/>
      </c>
      <c r="B950" s="13">
        <f>IF(B$946="","",B$946)</f>
        <v/>
      </c>
      <c r="C950" s="13">
        <f>IF(C$946="","",C$946)</f>
        <v/>
      </c>
      <c r="D950" s="13">
        <f>IF(D$946="","",D$946)</f>
        <v/>
      </c>
      <c r="E950" s="13">
        <f>IF(E$946="","",E$946)</f>
        <v/>
      </c>
      <c r="F950" s="13">
        <f>IF(F$946="","",F$946)</f>
        <v/>
      </c>
      <c r="G950" s="35" t="inlineStr">
        <is>
          <t>Actual + Forecast</t>
        </is>
      </c>
      <c r="H950" s="18">
        <f>IF($B$946="","",IF(1&lt;=$C$4,N(H947),IF(H949="",H946,H949)))</f>
        <v/>
      </c>
      <c r="I950" s="18">
        <f>IF($B$946="","",IF(2&lt;=$C$4,N(I947),IF(I949="",I946,I949)))</f>
        <v/>
      </c>
      <c r="J950" s="18">
        <f>IF($B$946="","",IF(3&lt;=$C$4,N(J947),IF(J949="",J946,J949)))</f>
        <v/>
      </c>
      <c r="K950" s="18">
        <f>IF($B$946="","",IF(4&lt;=$C$4,N(K947),IF(K949="",K946,K949)))</f>
        <v/>
      </c>
      <c r="L950" s="18">
        <f>IF($B$946="","",IF(5&lt;=$C$4,N(L947),IF(L949="",L946,L949)))</f>
        <v/>
      </c>
      <c r="M950" s="18">
        <f>IF($B$946="","",IF(6&lt;=$C$4,N(M947),IF(M949="",M946,M949)))</f>
        <v/>
      </c>
      <c r="N950" s="18">
        <f>IF($B$946="","",IF(7&lt;=$C$4,N(N947),IF(N949="",N946,N949)))</f>
        <v/>
      </c>
      <c r="O950" s="18">
        <f>IF($B$946="","",IF(8&lt;=$C$4,N(O947),IF(O949="",O946,O949)))</f>
        <v/>
      </c>
      <c r="P950" s="18">
        <f>IF($B$946="","",IF(9&lt;=$C$4,N(P947),IF(P949="",P946,P949)))</f>
        <v/>
      </c>
      <c r="Q950" s="18">
        <f>IF($B$946="","",IF(10&lt;=$C$4,N(Q947),IF(Q949="",Q946,Q949)))</f>
        <v/>
      </c>
      <c r="R950" s="18">
        <f>IF($B$946="","",IF(11&lt;=$C$4,N(R947),IF(R949="",R946,R949)))</f>
        <v/>
      </c>
      <c r="S950" s="18">
        <f>IF($B$946="","",IF(12&lt;=$C$4,N(S947),IF(S949="",S946,S949)))</f>
        <v/>
      </c>
      <c r="T950" s="18">
        <f>IF($B$946="","",SUMIF($H$7:$S$7,"&lt;="&amp;$C$4,$H950:$S950))</f>
        <v/>
      </c>
      <c r="U950" s="18">
        <f>IF($B$946="","",SUMIF($H$7:$S$7,"&gt;"&amp;$C$4,$H950:$S950))</f>
        <v/>
      </c>
      <c r="V950" s="18">
        <f>IF($B$946="","",SUM($H950:$S950))</f>
        <v/>
      </c>
      <c r="X950" s="22">
        <f>IF($B950="","",IFERROR(INDEX(Cost_Centers!$E:$E,MATCH($B950,Cost_Centers!$A:$A,0)),"(unknown)"))</f>
        <v/>
      </c>
      <c r="Y950" s="22">
        <f>IF($B950="","",IFERROR(INDEX(Cost_Centers!$D:$D,MATCH($B950,Cost_Centers!$A:$A,0)),"(unknown)"))</f>
        <v/>
      </c>
      <c r="Z950" s="22">
        <f>IF(OR($B950="",$G950&lt;&gt;"Variance vs Budget"),"",ABS(N($V950))+ROW()/1000000000)</f>
        <v/>
      </c>
    </row>
    <row r="951">
      <c r="A951" s="13">
        <f>IF(A$946="","",A$946)</f>
        <v/>
      </c>
      <c r="B951" s="13">
        <f>IF(B$946="","",B$946)</f>
        <v/>
      </c>
      <c r="C951" s="13">
        <f>IF(C$946="","",C$946)</f>
        <v/>
      </c>
      <c r="D951" s="13">
        <f>IF(D$946="","",D$946)</f>
        <v/>
      </c>
      <c r="E951" s="13">
        <f>IF(E$946="","",E$946)</f>
        <v/>
      </c>
      <c r="F951" s="13">
        <f>IF(F$946="","",F$946)</f>
        <v/>
      </c>
      <c r="G951" s="36" t="inlineStr">
        <is>
          <t>Prior Month Forecast</t>
        </is>
      </c>
      <c r="H951" s="37">
        <f>IF($B$946="","",IF(COUNTIFS(Prior_Forecast!$A:$A,$B$946,Prior_Forecast!$B:$B,$D$946)&gt;0,SUMIFS(Prior_Forecast!$C:$C,Prior_Forecast!$A:$A,$B$946,Prior_Forecast!$B:$B,$D$946),""))</f>
        <v/>
      </c>
      <c r="I951" s="37">
        <f>IF($B$946="","",IF(COUNTIFS(Prior_Forecast!$A:$A,$B$946,Prior_Forecast!$B:$B,$D$946)&gt;0,SUMIFS(Prior_Forecast!$D:$D,Prior_Forecast!$A:$A,$B$946,Prior_Forecast!$B:$B,$D$946),""))</f>
        <v/>
      </c>
      <c r="J951" s="37">
        <f>IF($B$946="","",IF(COUNTIFS(Prior_Forecast!$A:$A,$B$946,Prior_Forecast!$B:$B,$D$946)&gt;0,SUMIFS(Prior_Forecast!$E:$E,Prior_Forecast!$A:$A,$B$946,Prior_Forecast!$B:$B,$D$946),""))</f>
        <v/>
      </c>
      <c r="K951" s="37">
        <f>IF($B$946="","",IF(COUNTIFS(Prior_Forecast!$A:$A,$B$946,Prior_Forecast!$B:$B,$D$946)&gt;0,SUMIFS(Prior_Forecast!$F:$F,Prior_Forecast!$A:$A,$B$946,Prior_Forecast!$B:$B,$D$946),""))</f>
        <v/>
      </c>
      <c r="L951" s="37">
        <f>IF($B$946="","",IF(COUNTIFS(Prior_Forecast!$A:$A,$B$946,Prior_Forecast!$B:$B,$D$946)&gt;0,SUMIFS(Prior_Forecast!$G:$G,Prior_Forecast!$A:$A,$B$946,Prior_Forecast!$B:$B,$D$946),""))</f>
        <v/>
      </c>
      <c r="M951" s="37">
        <f>IF($B$946="","",IF(COUNTIFS(Prior_Forecast!$A:$A,$B$946,Prior_Forecast!$B:$B,$D$946)&gt;0,SUMIFS(Prior_Forecast!$H:$H,Prior_Forecast!$A:$A,$B$946,Prior_Forecast!$B:$B,$D$946),""))</f>
        <v/>
      </c>
      <c r="N951" s="37">
        <f>IF($B$946="","",IF(COUNTIFS(Prior_Forecast!$A:$A,$B$946,Prior_Forecast!$B:$B,$D$946)&gt;0,SUMIFS(Prior_Forecast!$I:$I,Prior_Forecast!$A:$A,$B$946,Prior_Forecast!$B:$B,$D$946),""))</f>
        <v/>
      </c>
      <c r="O951" s="37">
        <f>IF($B$946="","",IF(COUNTIFS(Prior_Forecast!$A:$A,$B$946,Prior_Forecast!$B:$B,$D$946)&gt;0,SUMIFS(Prior_Forecast!$J:$J,Prior_Forecast!$A:$A,$B$946,Prior_Forecast!$B:$B,$D$946),""))</f>
        <v/>
      </c>
      <c r="P951" s="37">
        <f>IF($B$946="","",IF(COUNTIFS(Prior_Forecast!$A:$A,$B$946,Prior_Forecast!$B:$B,$D$946)&gt;0,SUMIFS(Prior_Forecast!$K:$K,Prior_Forecast!$A:$A,$B$946,Prior_Forecast!$B:$B,$D$946),""))</f>
        <v/>
      </c>
      <c r="Q951" s="37">
        <f>IF($B$946="","",IF(COUNTIFS(Prior_Forecast!$A:$A,$B$946,Prior_Forecast!$B:$B,$D$946)&gt;0,SUMIFS(Prior_Forecast!$L:$L,Prior_Forecast!$A:$A,$B$946,Prior_Forecast!$B:$B,$D$946),""))</f>
        <v/>
      </c>
      <c r="R951" s="37">
        <f>IF($B$946="","",IF(COUNTIFS(Prior_Forecast!$A:$A,$B$946,Prior_Forecast!$B:$B,$D$946)&gt;0,SUMIFS(Prior_Forecast!$M:$M,Prior_Forecast!$A:$A,$B$946,Prior_Forecast!$B:$B,$D$946),""))</f>
        <v/>
      </c>
      <c r="S951" s="37">
        <f>IF($B$946="","",IF(COUNTIFS(Prior_Forecast!$A:$A,$B$946,Prior_Forecast!$B:$B,$D$946)&gt;0,SUMIFS(Prior_Forecast!$N:$N,Prior_Forecast!$A:$A,$B$946,Prior_Forecast!$B:$B,$D$946),""))</f>
        <v/>
      </c>
      <c r="T951" s="37">
        <f>IF($B$946="","",IF(COUNTIFS(Prior_Forecast!$A:$A,$B$946,Prior_Forecast!$B:$B,$D$946)&gt;0,SUMIFS(Prior_Forecast!$O:$O,Prior_Forecast!$A:$A,$B$946,Prior_Forecast!$B:$B,$D$946),""))</f>
        <v/>
      </c>
      <c r="U951" s="37">
        <f>IF($B$946="","",IF(COUNTIFS(Prior_Forecast!$A:$A,$B$946,Prior_Forecast!$B:$B,$D$946)&gt;0,SUMIFS(Prior_Forecast!$P:$P,Prior_Forecast!$A:$A,$B$946,Prior_Forecast!$B:$B,$D$946),""))</f>
        <v/>
      </c>
      <c r="V951" s="37">
        <f>IF($B$946="","",IF(COUNTIFS(Prior_Forecast!$A:$A,$B$946,Prior_Forecast!$B:$B,$D$946)&gt;0,SUMIFS(Prior_Forecast!$Q:$Q,Prior_Forecast!$A:$A,$B$946,Prior_Forecast!$B:$B,$D$946),""))</f>
        <v/>
      </c>
      <c r="X951" s="22">
        <f>IF($B951="","",IFERROR(INDEX(Cost_Centers!$E:$E,MATCH($B951,Cost_Centers!$A:$A,0)),"(unknown)"))</f>
        <v/>
      </c>
      <c r="Y951" s="22">
        <f>IF($B951="","",IFERROR(INDEX(Cost_Centers!$D:$D,MATCH($B951,Cost_Centers!$A:$A,0)),"(unknown)"))</f>
        <v/>
      </c>
      <c r="Z951" s="22">
        <f>IF(OR($B951="",$G951&lt;&gt;"Variance vs Budget"),"",ABS(N($V951))+ROW()/1000000000)</f>
        <v/>
      </c>
    </row>
    <row r="952">
      <c r="A952" s="13">
        <f>IF(A$946="","",A$946)</f>
        <v/>
      </c>
      <c r="B952" s="13">
        <f>IF(B$946="","",B$946)</f>
        <v/>
      </c>
      <c r="C952" s="13">
        <f>IF(C$946="","",C$946)</f>
        <v/>
      </c>
      <c r="D952" s="13">
        <f>IF(D$946="","",D$946)</f>
        <v/>
      </c>
      <c r="E952" s="13">
        <f>IF(E$946="","",E$946)</f>
        <v/>
      </c>
      <c r="F952" s="13">
        <f>IF(F$946="","",F$946)</f>
        <v/>
      </c>
      <c r="G952" s="6" t="inlineStr">
        <is>
          <t>Variance vs Prior Month</t>
        </is>
      </c>
      <c r="H952" s="33">
        <f>IF(OR($B$946="",H951=""),"",H950-H951)</f>
        <v/>
      </c>
      <c r="I952" s="33">
        <f>IF(OR($B$946="",I951=""),"",I950-I951)</f>
        <v/>
      </c>
      <c r="J952" s="33">
        <f>IF(OR($B$946="",J951=""),"",J950-J951)</f>
        <v/>
      </c>
      <c r="K952" s="33">
        <f>IF(OR($B$946="",K951=""),"",K950-K951)</f>
        <v/>
      </c>
      <c r="L952" s="33">
        <f>IF(OR($B$946="",L951=""),"",L950-L951)</f>
        <v/>
      </c>
      <c r="M952" s="33">
        <f>IF(OR($B$946="",M951=""),"",M950-M951)</f>
        <v/>
      </c>
      <c r="N952" s="33">
        <f>IF(OR($B$946="",N951=""),"",N950-N951)</f>
        <v/>
      </c>
      <c r="O952" s="33">
        <f>IF(OR($B$946="",O951=""),"",O950-O951)</f>
        <v/>
      </c>
      <c r="P952" s="33">
        <f>IF(OR($B$946="",P951=""),"",P950-P951)</f>
        <v/>
      </c>
      <c r="Q952" s="33">
        <f>IF(OR($B$946="",Q951=""),"",Q950-Q951)</f>
        <v/>
      </c>
      <c r="R952" s="33">
        <f>IF(OR($B$946="",R951=""),"",R950-R951)</f>
        <v/>
      </c>
      <c r="S952" s="33">
        <f>IF(OR($B$946="",S951=""),"",S950-S951)</f>
        <v/>
      </c>
      <c r="T952" s="33">
        <f>IF(OR($B$946="",T951=""),"",T950-T951)</f>
        <v/>
      </c>
      <c r="U952" s="33">
        <f>IF(OR($B$946="",U951=""),"",U950-U951)</f>
        <v/>
      </c>
      <c r="V952" s="33">
        <f>IF(OR($B$946="",V951=""),"",V950-V951)</f>
        <v/>
      </c>
      <c r="X952" s="22">
        <f>IF($B952="","",IFERROR(INDEX(Cost_Centers!$E:$E,MATCH($B952,Cost_Centers!$A:$A,0)),"(unknown)"))</f>
        <v/>
      </c>
      <c r="Y952" s="22">
        <f>IF($B952="","",IFERROR(INDEX(Cost_Centers!$D:$D,MATCH($B952,Cost_Centers!$A:$A,0)),"(unknown)"))</f>
        <v/>
      </c>
      <c r="Z952" s="22">
        <f>IF(OR($B952="",$G952&lt;&gt;"Variance vs Budget"),"",ABS(N($V952))+ROW()/1000000000)</f>
        <v/>
      </c>
    </row>
    <row r="953" ht="45" customHeight="1">
      <c r="A953" s="13">
        <f>IF(A$946="","",A$946)</f>
        <v/>
      </c>
      <c r="B953" s="13">
        <f>IF(B$946="","",B$946)</f>
        <v/>
      </c>
      <c r="C953" s="13">
        <f>IF(C$946="","",C$946)</f>
        <v/>
      </c>
      <c r="D953" s="13">
        <f>IF(D$946="","",D$946)</f>
        <v/>
      </c>
      <c r="E953" s="13">
        <f>IF(E$946="","",E$946)</f>
        <v/>
      </c>
      <c r="F953" s="13">
        <f>IF(F$946="","",F$946)</f>
        <v/>
      </c>
      <c r="G953" s="7" t="inlineStr">
        <is>
          <t>Rationale</t>
        </is>
      </c>
      <c r="H953" s="38" t="n"/>
      <c r="I953" s="38" t="n"/>
      <c r="J953" s="38" t="n"/>
      <c r="K953" s="38" t="n"/>
      <c r="L953" s="38" t="n"/>
      <c r="M953" s="38" t="n"/>
      <c r="N953" s="38" t="n"/>
      <c r="O953" s="38" t="n"/>
      <c r="P953" s="38" t="n"/>
      <c r="Q953" s="38" t="n"/>
      <c r="R953" s="38" t="n"/>
      <c r="S953" s="38" t="n"/>
      <c r="T953" s="38" t="n"/>
      <c r="U953" s="38" t="n"/>
      <c r="V953" s="7" t="n"/>
      <c r="X953" s="22">
        <f>IF($B953="","",IFERROR(INDEX(Cost_Centers!$E:$E,MATCH($B953,Cost_Centers!$A:$A,0)),"(unknown)"))</f>
        <v/>
      </c>
      <c r="Y953" s="22">
        <f>IF($B953="","",IFERROR(INDEX(Cost_Centers!$D:$D,MATCH($B953,Cost_Centers!$A:$A,0)),"(unknown)"))</f>
        <v/>
      </c>
      <c r="Z953" s="22">
        <f>IF(OR($B953="",$G953&lt;&gt;"Variance vs Budget"),"",ABS(N($V953))+ROW()/1000000000)</f>
        <v/>
      </c>
    </row>
    <row r="954">
      <c r="A954" s="30">
        <f>IF($D$954="","",LEFT($D$954,FIND("|",$D$954&amp;"|")-1))</f>
        <v/>
      </c>
      <c r="B954" s="31" t="n"/>
      <c r="C954" s="30">
        <f>IF($B$954="","",IFERROR(INDEX(Cost_Centers!$B:$B,MATCH($B$954,Cost_Centers!$A:$A,0)),"(not in master)"))</f>
        <v/>
      </c>
      <c r="D954" s="31" t="n"/>
      <c r="E954" s="30">
        <f>IF($D$954="","",IFERROR(INDEX(Accounts!$D:$D,MATCH($D$954,Accounts!$A:$A,0)),"(not in master)"))</f>
        <v/>
      </c>
      <c r="F954" s="31" t="n"/>
      <c r="G954" s="30" t="inlineStr">
        <is>
          <t>Budget</t>
        </is>
      </c>
      <c r="H954" s="32">
        <f>IF($B$954="","",SUMIFS(Opex_Budget!$O:$O,Opex_Budget!$A:$A,$C$3,Opex_Budget!$E:$E,$B$954,Opex_Budget!$F:$F,$D$954,Opex_Budget!$N:$N,"JPY")*$E$5+SUMIFS(Opex_Budget!$O:$O,Opex_Budget!$A:$A,$C$3,Opex_Budget!$E:$E,$B$954,Opex_Budget!$F:$F,$D$954,Opex_Budget!$N:$N,"USD")*$F$5+SUMIFS(Opex_Budget!$O:$O,Opex_Budget!$A:$A,$C$3,Opex_Budget!$E:$E,$B$954,Opex_Budget!$F:$F,$D$954,Opex_Budget!$N:$N,"EUR")*$G$5+SUMIFS(Opex_Budget!$O:$O,Opex_Budget!$A:$A,$C$3,Opex_Budget!$E:$E,$B$954,Opex_Budget!$F:$F,$D$954,Opex_Budget!$N:$N,"GBP")*$H$5)</f>
        <v/>
      </c>
      <c r="I954" s="32">
        <f>IF($B$954="","",SUMIFS(Opex_Budget!$P:$P,Opex_Budget!$A:$A,$C$3,Opex_Budget!$E:$E,$B$954,Opex_Budget!$F:$F,$D$954,Opex_Budget!$N:$N,"JPY")*$E$5+SUMIFS(Opex_Budget!$P:$P,Opex_Budget!$A:$A,$C$3,Opex_Budget!$E:$E,$B$954,Opex_Budget!$F:$F,$D$954,Opex_Budget!$N:$N,"USD")*$F$5+SUMIFS(Opex_Budget!$P:$P,Opex_Budget!$A:$A,$C$3,Opex_Budget!$E:$E,$B$954,Opex_Budget!$F:$F,$D$954,Opex_Budget!$N:$N,"EUR")*$G$5+SUMIFS(Opex_Budget!$P:$P,Opex_Budget!$A:$A,$C$3,Opex_Budget!$E:$E,$B$954,Opex_Budget!$F:$F,$D$954,Opex_Budget!$N:$N,"GBP")*$H$5)</f>
        <v/>
      </c>
      <c r="J954" s="32">
        <f>IF($B$954="","",SUMIFS(Opex_Budget!$Q:$Q,Opex_Budget!$A:$A,$C$3,Opex_Budget!$E:$E,$B$954,Opex_Budget!$F:$F,$D$954,Opex_Budget!$N:$N,"JPY")*$E$5+SUMIFS(Opex_Budget!$Q:$Q,Opex_Budget!$A:$A,$C$3,Opex_Budget!$E:$E,$B$954,Opex_Budget!$F:$F,$D$954,Opex_Budget!$N:$N,"USD")*$F$5+SUMIFS(Opex_Budget!$Q:$Q,Opex_Budget!$A:$A,$C$3,Opex_Budget!$E:$E,$B$954,Opex_Budget!$F:$F,$D$954,Opex_Budget!$N:$N,"EUR")*$G$5+SUMIFS(Opex_Budget!$Q:$Q,Opex_Budget!$A:$A,$C$3,Opex_Budget!$E:$E,$B$954,Opex_Budget!$F:$F,$D$954,Opex_Budget!$N:$N,"GBP")*$H$5)</f>
        <v/>
      </c>
      <c r="K954" s="32">
        <f>IF($B$954="","",SUMIFS(Opex_Budget!$R:$R,Opex_Budget!$A:$A,$C$3,Opex_Budget!$E:$E,$B$954,Opex_Budget!$F:$F,$D$954,Opex_Budget!$N:$N,"JPY")*$E$5+SUMIFS(Opex_Budget!$R:$R,Opex_Budget!$A:$A,$C$3,Opex_Budget!$E:$E,$B$954,Opex_Budget!$F:$F,$D$954,Opex_Budget!$N:$N,"USD")*$F$5+SUMIFS(Opex_Budget!$R:$R,Opex_Budget!$A:$A,$C$3,Opex_Budget!$E:$E,$B$954,Opex_Budget!$F:$F,$D$954,Opex_Budget!$N:$N,"EUR")*$G$5+SUMIFS(Opex_Budget!$R:$R,Opex_Budget!$A:$A,$C$3,Opex_Budget!$E:$E,$B$954,Opex_Budget!$F:$F,$D$954,Opex_Budget!$N:$N,"GBP")*$H$5)</f>
        <v/>
      </c>
      <c r="L954" s="32">
        <f>IF($B$954="","",SUMIFS(Opex_Budget!$S:$S,Opex_Budget!$A:$A,$C$3,Opex_Budget!$E:$E,$B$954,Opex_Budget!$F:$F,$D$954,Opex_Budget!$N:$N,"JPY")*$E$5+SUMIFS(Opex_Budget!$S:$S,Opex_Budget!$A:$A,$C$3,Opex_Budget!$E:$E,$B$954,Opex_Budget!$F:$F,$D$954,Opex_Budget!$N:$N,"USD")*$F$5+SUMIFS(Opex_Budget!$S:$S,Opex_Budget!$A:$A,$C$3,Opex_Budget!$E:$E,$B$954,Opex_Budget!$F:$F,$D$954,Opex_Budget!$N:$N,"EUR")*$G$5+SUMIFS(Opex_Budget!$S:$S,Opex_Budget!$A:$A,$C$3,Opex_Budget!$E:$E,$B$954,Opex_Budget!$F:$F,$D$954,Opex_Budget!$N:$N,"GBP")*$H$5)</f>
        <v/>
      </c>
      <c r="M954" s="32">
        <f>IF($B$954="","",SUMIFS(Opex_Budget!$T:$T,Opex_Budget!$A:$A,$C$3,Opex_Budget!$E:$E,$B$954,Opex_Budget!$F:$F,$D$954,Opex_Budget!$N:$N,"JPY")*$E$5+SUMIFS(Opex_Budget!$T:$T,Opex_Budget!$A:$A,$C$3,Opex_Budget!$E:$E,$B$954,Opex_Budget!$F:$F,$D$954,Opex_Budget!$N:$N,"USD")*$F$5+SUMIFS(Opex_Budget!$T:$T,Opex_Budget!$A:$A,$C$3,Opex_Budget!$E:$E,$B$954,Opex_Budget!$F:$F,$D$954,Opex_Budget!$N:$N,"EUR")*$G$5+SUMIFS(Opex_Budget!$T:$T,Opex_Budget!$A:$A,$C$3,Opex_Budget!$E:$E,$B$954,Opex_Budget!$F:$F,$D$954,Opex_Budget!$N:$N,"GBP")*$H$5)</f>
        <v/>
      </c>
      <c r="N954" s="32">
        <f>IF($B$954="","",SUMIFS(Opex_Budget!$U:$U,Opex_Budget!$A:$A,$C$3,Opex_Budget!$E:$E,$B$954,Opex_Budget!$F:$F,$D$954,Opex_Budget!$N:$N,"JPY")*$E$5+SUMIFS(Opex_Budget!$U:$U,Opex_Budget!$A:$A,$C$3,Opex_Budget!$E:$E,$B$954,Opex_Budget!$F:$F,$D$954,Opex_Budget!$N:$N,"USD")*$F$5+SUMIFS(Opex_Budget!$U:$U,Opex_Budget!$A:$A,$C$3,Opex_Budget!$E:$E,$B$954,Opex_Budget!$F:$F,$D$954,Opex_Budget!$N:$N,"EUR")*$G$5+SUMIFS(Opex_Budget!$U:$U,Opex_Budget!$A:$A,$C$3,Opex_Budget!$E:$E,$B$954,Opex_Budget!$F:$F,$D$954,Opex_Budget!$N:$N,"GBP")*$H$5)</f>
        <v/>
      </c>
      <c r="O954" s="32">
        <f>IF($B$954="","",SUMIFS(Opex_Budget!$V:$V,Opex_Budget!$A:$A,$C$3,Opex_Budget!$E:$E,$B$954,Opex_Budget!$F:$F,$D$954,Opex_Budget!$N:$N,"JPY")*$E$5+SUMIFS(Opex_Budget!$V:$V,Opex_Budget!$A:$A,$C$3,Opex_Budget!$E:$E,$B$954,Opex_Budget!$F:$F,$D$954,Opex_Budget!$N:$N,"USD")*$F$5+SUMIFS(Opex_Budget!$V:$V,Opex_Budget!$A:$A,$C$3,Opex_Budget!$E:$E,$B$954,Opex_Budget!$F:$F,$D$954,Opex_Budget!$N:$N,"EUR")*$G$5+SUMIFS(Opex_Budget!$V:$V,Opex_Budget!$A:$A,$C$3,Opex_Budget!$E:$E,$B$954,Opex_Budget!$F:$F,$D$954,Opex_Budget!$N:$N,"GBP")*$H$5)</f>
        <v/>
      </c>
      <c r="P954" s="32">
        <f>IF($B$954="","",SUMIFS(Opex_Budget!$W:$W,Opex_Budget!$A:$A,$C$3,Opex_Budget!$E:$E,$B$954,Opex_Budget!$F:$F,$D$954,Opex_Budget!$N:$N,"JPY")*$E$5+SUMIFS(Opex_Budget!$W:$W,Opex_Budget!$A:$A,$C$3,Opex_Budget!$E:$E,$B$954,Opex_Budget!$F:$F,$D$954,Opex_Budget!$N:$N,"USD")*$F$5+SUMIFS(Opex_Budget!$W:$W,Opex_Budget!$A:$A,$C$3,Opex_Budget!$E:$E,$B$954,Opex_Budget!$F:$F,$D$954,Opex_Budget!$N:$N,"EUR")*$G$5+SUMIFS(Opex_Budget!$W:$W,Opex_Budget!$A:$A,$C$3,Opex_Budget!$E:$E,$B$954,Opex_Budget!$F:$F,$D$954,Opex_Budget!$N:$N,"GBP")*$H$5)</f>
        <v/>
      </c>
      <c r="Q954" s="32">
        <f>IF($B$954="","",SUMIFS(Opex_Budget!$X:$X,Opex_Budget!$A:$A,$C$3,Opex_Budget!$E:$E,$B$954,Opex_Budget!$F:$F,$D$954,Opex_Budget!$N:$N,"JPY")*$E$5+SUMIFS(Opex_Budget!$X:$X,Opex_Budget!$A:$A,$C$3,Opex_Budget!$E:$E,$B$954,Opex_Budget!$F:$F,$D$954,Opex_Budget!$N:$N,"USD")*$F$5+SUMIFS(Opex_Budget!$X:$X,Opex_Budget!$A:$A,$C$3,Opex_Budget!$E:$E,$B$954,Opex_Budget!$F:$F,$D$954,Opex_Budget!$N:$N,"EUR")*$G$5+SUMIFS(Opex_Budget!$X:$X,Opex_Budget!$A:$A,$C$3,Opex_Budget!$E:$E,$B$954,Opex_Budget!$F:$F,$D$954,Opex_Budget!$N:$N,"GBP")*$H$5)</f>
        <v/>
      </c>
      <c r="R954" s="32">
        <f>IF($B$954="","",SUMIFS(Opex_Budget!$Y:$Y,Opex_Budget!$A:$A,$C$3,Opex_Budget!$E:$E,$B$954,Opex_Budget!$F:$F,$D$954,Opex_Budget!$N:$N,"JPY")*$E$5+SUMIFS(Opex_Budget!$Y:$Y,Opex_Budget!$A:$A,$C$3,Opex_Budget!$E:$E,$B$954,Opex_Budget!$F:$F,$D$954,Opex_Budget!$N:$N,"USD")*$F$5+SUMIFS(Opex_Budget!$Y:$Y,Opex_Budget!$A:$A,$C$3,Opex_Budget!$E:$E,$B$954,Opex_Budget!$F:$F,$D$954,Opex_Budget!$N:$N,"EUR")*$G$5+SUMIFS(Opex_Budget!$Y:$Y,Opex_Budget!$A:$A,$C$3,Opex_Budget!$E:$E,$B$954,Opex_Budget!$F:$F,$D$954,Opex_Budget!$N:$N,"GBP")*$H$5)</f>
        <v/>
      </c>
      <c r="S954" s="32">
        <f>IF($B$954="","",SUMIFS(Opex_Budget!$Z:$Z,Opex_Budget!$A:$A,$C$3,Opex_Budget!$E:$E,$B$954,Opex_Budget!$F:$F,$D$954,Opex_Budget!$N:$N,"JPY")*$E$5+SUMIFS(Opex_Budget!$Z:$Z,Opex_Budget!$A:$A,$C$3,Opex_Budget!$E:$E,$B$954,Opex_Budget!$F:$F,$D$954,Opex_Budget!$N:$N,"USD")*$F$5+SUMIFS(Opex_Budget!$Z:$Z,Opex_Budget!$A:$A,$C$3,Opex_Budget!$E:$E,$B$954,Opex_Budget!$F:$F,$D$954,Opex_Budget!$N:$N,"EUR")*$G$5+SUMIFS(Opex_Budget!$Z:$Z,Opex_Budget!$A:$A,$C$3,Opex_Budget!$E:$E,$B$954,Opex_Budget!$F:$F,$D$954,Opex_Budget!$N:$N,"GBP")*$H$5)</f>
        <v/>
      </c>
      <c r="T954" s="32">
        <f>IF($B$954="","",SUMIF($H$7:$S$7,"&lt;="&amp;$C$4,$H954:$S954))</f>
        <v/>
      </c>
      <c r="U954" s="32">
        <f>IF($B$954="","",SUMIF($H$7:$S$7,"&gt;"&amp;$C$4,$H954:$S954))</f>
        <v/>
      </c>
      <c r="V954" s="32">
        <f>IF($B$954="","",SUM($H954:$S954))</f>
        <v/>
      </c>
      <c r="X954" s="22">
        <f>IF($B954="","",IFERROR(INDEX(Cost_Centers!$E:$E,MATCH($B954,Cost_Centers!$A:$A,0)),"(unknown)"))</f>
        <v/>
      </c>
      <c r="Y954" s="22">
        <f>IF($B954="","",IFERROR(INDEX(Cost_Centers!$D:$D,MATCH($B954,Cost_Centers!$A:$A,0)),"(unknown)"))</f>
        <v/>
      </c>
      <c r="Z954" s="22">
        <f>IF(OR($B954="",$G954&lt;&gt;"Variance vs Budget"),"",ABS(N($V954))+ROW()/1000000000)</f>
        <v/>
      </c>
    </row>
    <row r="955">
      <c r="A955" s="13">
        <f>IF(A$954="","",A$954)</f>
        <v/>
      </c>
      <c r="B955" s="13">
        <f>IF(B$954="","",B$954)</f>
        <v/>
      </c>
      <c r="C955" s="13">
        <f>IF(C$954="","",C$954)</f>
        <v/>
      </c>
      <c r="D955" s="13">
        <f>IF(D$954="","",D$954)</f>
        <v/>
      </c>
      <c r="E955" s="13">
        <f>IF(E$954="","",E$954)</f>
        <v/>
      </c>
      <c r="F955" s="13">
        <f>IF(F$954="","",F$954)</f>
        <v/>
      </c>
      <c r="G955" s="7" t="inlineStr">
        <is>
          <t>Actual</t>
        </is>
      </c>
      <c r="H955" s="18">
        <f>IF(OR($B$954="",1&gt;$C$4),"",SUMIFS(Actuals!$G:$G,Actuals!$B:$B,$C$3,Actuals!$C:$C,1,Actuals!$D:$D,$B$954,Actuals!$A:$A,LEFT($D$954,FIND("|",$D$954&amp;"|")-1),Actuals!$E:$E,MID($D$954,FIND("|",$D$954&amp;"|")+1,50),Actuals!$F:$F,"JPY")*$E$5+SUMIFS(Actuals!$G:$G,Actuals!$B:$B,$C$3,Actuals!$C:$C,1,Actuals!$D:$D,$B$954,Actuals!$A:$A,LEFT($D$954,FIND("|",$D$954&amp;"|")-1),Actuals!$E:$E,MID($D$954,FIND("|",$D$954&amp;"|")+1,50),Actuals!$F:$F,"USD")*$F$5+SUMIFS(Actuals!$G:$G,Actuals!$B:$B,$C$3,Actuals!$C:$C,1,Actuals!$D:$D,$B$954,Actuals!$A:$A,LEFT($D$954,FIND("|",$D$954&amp;"|")-1),Actuals!$E:$E,MID($D$954,FIND("|",$D$954&amp;"|")+1,50),Actuals!$F:$F,"EUR")*$G$5+SUMIFS(Actuals!$G:$G,Actuals!$B:$B,$C$3,Actuals!$C:$C,1,Actuals!$D:$D,$B$954,Actuals!$A:$A,LEFT($D$954,FIND("|",$D$954&amp;"|")-1),Actuals!$E:$E,MID($D$954,FIND("|",$D$954&amp;"|")+1,50),Actuals!$F:$F,"GBP")*$H$5)</f>
        <v/>
      </c>
      <c r="I955" s="18">
        <f>IF(OR($B$954="",2&gt;$C$4),"",SUMIFS(Actuals!$G:$G,Actuals!$B:$B,$C$3,Actuals!$C:$C,2,Actuals!$D:$D,$B$954,Actuals!$A:$A,LEFT($D$954,FIND("|",$D$954&amp;"|")-1),Actuals!$E:$E,MID($D$954,FIND("|",$D$954&amp;"|")+1,50),Actuals!$F:$F,"JPY")*$E$5+SUMIFS(Actuals!$G:$G,Actuals!$B:$B,$C$3,Actuals!$C:$C,2,Actuals!$D:$D,$B$954,Actuals!$A:$A,LEFT($D$954,FIND("|",$D$954&amp;"|")-1),Actuals!$E:$E,MID($D$954,FIND("|",$D$954&amp;"|")+1,50),Actuals!$F:$F,"USD")*$F$5+SUMIFS(Actuals!$G:$G,Actuals!$B:$B,$C$3,Actuals!$C:$C,2,Actuals!$D:$D,$B$954,Actuals!$A:$A,LEFT($D$954,FIND("|",$D$954&amp;"|")-1),Actuals!$E:$E,MID($D$954,FIND("|",$D$954&amp;"|")+1,50),Actuals!$F:$F,"EUR")*$G$5+SUMIFS(Actuals!$G:$G,Actuals!$B:$B,$C$3,Actuals!$C:$C,2,Actuals!$D:$D,$B$954,Actuals!$A:$A,LEFT($D$954,FIND("|",$D$954&amp;"|")-1),Actuals!$E:$E,MID($D$954,FIND("|",$D$954&amp;"|")+1,50),Actuals!$F:$F,"GBP")*$H$5)</f>
        <v/>
      </c>
      <c r="J955" s="18">
        <f>IF(OR($B$954="",3&gt;$C$4),"",SUMIFS(Actuals!$G:$G,Actuals!$B:$B,$C$3,Actuals!$C:$C,3,Actuals!$D:$D,$B$954,Actuals!$A:$A,LEFT($D$954,FIND("|",$D$954&amp;"|")-1),Actuals!$E:$E,MID($D$954,FIND("|",$D$954&amp;"|")+1,50),Actuals!$F:$F,"JPY")*$E$5+SUMIFS(Actuals!$G:$G,Actuals!$B:$B,$C$3,Actuals!$C:$C,3,Actuals!$D:$D,$B$954,Actuals!$A:$A,LEFT($D$954,FIND("|",$D$954&amp;"|")-1),Actuals!$E:$E,MID($D$954,FIND("|",$D$954&amp;"|")+1,50),Actuals!$F:$F,"USD")*$F$5+SUMIFS(Actuals!$G:$G,Actuals!$B:$B,$C$3,Actuals!$C:$C,3,Actuals!$D:$D,$B$954,Actuals!$A:$A,LEFT($D$954,FIND("|",$D$954&amp;"|")-1),Actuals!$E:$E,MID($D$954,FIND("|",$D$954&amp;"|")+1,50),Actuals!$F:$F,"EUR")*$G$5+SUMIFS(Actuals!$G:$G,Actuals!$B:$B,$C$3,Actuals!$C:$C,3,Actuals!$D:$D,$B$954,Actuals!$A:$A,LEFT($D$954,FIND("|",$D$954&amp;"|")-1),Actuals!$E:$E,MID($D$954,FIND("|",$D$954&amp;"|")+1,50),Actuals!$F:$F,"GBP")*$H$5)</f>
        <v/>
      </c>
      <c r="K955" s="18">
        <f>IF(OR($B$954="",4&gt;$C$4),"",SUMIFS(Actuals!$G:$G,Actuals!$B:$B,$C$3,Actuals!$C:$C,4,Actuals!$D:$D,$B$954,Actuals!$A:$A,LEFT($D$954,FIND("|",$D$954&amp;"|")-1),Actuals!$E:$E,MID($D$954,FIND("|",$D$954&amp;"|")+1,50),Actuals!$F:$F,"JPY")*$E$5+SUMIFS(Actuals!$G:$G,Actuals!$B:$B,$C$3,Actuals!$C:$C,4,Actuals!$D:$D,$B$954,Actuals!$A:$A,LEFT($D$954,FIND("|",$D$954&amp;"|")-1),Actuals!$E:$E,MID($D$954,FIND("|",$D$954&amp;"|")+1,50),Actuals!$F:$F,"USD")*$F$5+SUMIFS(Actuals!$G:$G,Actuals!$B:$B,$C$3,Actuals!$C:$C,4,Actuals!$D:$D,$B$954,Actuals!$A:$A,LEFT($D$954,FIND("|",$D$954&amp;"|")-1),Actuals!$E:$E,MID($D$954,FIND("|",$D$954&amp;"|")+1,50),Actuals!$F:$F,"EUR")*$G$5+SUMIFS(Actuals!$G:$G,Actuals!$B:$B,$C$3,Actuals!$C:$C,4,Actuals!$D:$D,$B$954,Actuals!$A:$A,LEFT($D$954,FIND("|",$D$954&amp;"|")-1),Actuals!$E:$E,MID($D$954,FIND("|",$D$954&amp;"|")+1,50),Actuals!$F:$F,"GBP")*$H$5)</f>
        <v/>
      </c>
      <c r="L955" s="18">
        <f>IF(OR($B$954="",5&gt;$C$4),"",SUMIFS(Actuals!$G:$G,Actuals!$B:$B,$C$3,Actuals!$C:$C,5,Actuals!$D:$D,$B$954,Actuals!$A:$A,LEFT($D$954,FIND("|",$D$954&amp;"|")-1),Actuals!$E:$E,MID($D$954,FIND("|",$D$954&amp;"|")+1,50),Actuals!$F:$F,"JPY")*$E$5+SUMIFS(Actuals!$G:$G,Actuals!$B:$B,$C$3,Actuals!$C:$C,5,Actuals!$D:$D,$B$954,Actuals!$A:$A,LEFT($D$954,FIND("|",$D$954&amp;"|")-1),Actuals!$E:$E,MID($D$954,FIND("|",$D$954&amp;"|")+1,50),Actuals!$F:$F,"USD")*$F$5+SUMIFS(Actuals!$G:$G,Actuals!$B:$B,$C$3,Actuals!$C:$C,5,Actuals!$D:$D,$B$954,Actuals!$A:$A,LEFT($D$954,FIND("|",$D$954&amp;"|")-1),Actuals!$E:$E,MID($D$954,FIND("|",$D$954&amp;"|")+1,50),Actuals!$F:$F,"EUR")*$G$5+SUMIFS(Actuals!$G:$G,Actuals!$B:$B,$C$3,Actuals!$C:$C,5,Actuals!$D:$D,$B$954,Actuals!$A:$A,LEFT($D$954,FIND("|",$D$954&amp;"|")-1),Actuals!$E:$E,MID($D$954,FIND("|",$D$954&amp;"|")+1,50),Actuals!$F:$F,"GBP")*$H$5)</f>
        <v/>
      </c>
      <c r="M955" s="18">
        <f>IF(OR($B$954="",6&gt;$C$4),"",SUMIFS(Actuals!$G:$G,Actuals!$B:$B,$C$3,Actuals!$C:$C,6,Actuals!$D:$D,$B$954,Actuals!$A:$A,LEFT($D$954,FIND("|",$D$954&amp;"|")-1),Actuals!$E:$E,MID($D$954,FIND("|",$D$954&amp;"|")+1,50),Actuals!$F:$F,"JPY")*$E$5+SUMIFS(Actuals!$G:$G,Actuals!$B:$B,$C$3,Actuals!$C:$C,6,Actuals!$D:$D,$B$954,Actuals!$A:$A,LEFT($D$954,FIND("|",$D$954&amp;"|")-1),Actuals!$E:$E,MID($D$954,FIND("|",$D$954&amp;"|")+1,50),Actuals!$F:$F,"USD")*$F$5+SUMIFS(Actuals!$G:$G,Actuals!$B:$B,$C$3,Actuals!$C:$C,6,Actuals!$D:$D,$B$954,Actuals!$A:$A,LEFT($D$954,FIND("|",$D$954&amp;"|")-1),Actuals!$E:$E,MID($D$954,FIND("|",$D$954&amp;"|")+1,50),Actuals!$F:$F,"EUR")*$G$5+SUMIFS(Actuals!$G:$G,Actuals!$B:$B,$C$3,Actuals!$C:$C,6,Actuals!$D:$D,$B$954,Actuals!$A:$A,LEFT($D$954,FIND("|",$D$954&amp;"|")-1),Actuals!$E:$E,MID($D$954,FIND("|",$D$954&amp;"|")+1,50),Actuals!$F:$F,"GBP")*$H$5)</f>
        <v/>
      </c>
      <c r="N955" s="18">
        <f>IF(OR($B$954="",7&gt;$C$4),"",SUMIFS(Actuals!$G:$G,Actuals!$B:$B,$C$3,Actuals!$C:$C,7,Actuals!$D:$D,$B$954,Actuals!$A:$A,LEFT($D$954,FIND("|",$D$954&amp;"|")-1),Actuals!$E:$E,MID($D$954,FIND("|",$D$954&amp;"|")+1,50),Actuals!$F:$F,"JPY")*$E$5+SUMIFS(Actuals!$G:$G,Actuals!$B:$B,$C$3,Actuals!$C:$C,7,Actuals!$D:$D,$B$954,Actuals!$A:$A,LEFT($D$954,FIND("|",$D$954&amp;"|")-1),Actuals!$E:$E,MID($D$954,FIND("|",$D$954&amp;"|")+1,50),Actuals!$F:$F,"USD")*$F$5+SUMIFS(Actuals!$G:$G,Actuals!$B:$B,$C$3,Actuals!$C:$C,7,Actuals!$D:$D,$B$954,Actuals!$A:$A,LEFT($D$954,FIND("|",$D$954&amp;"|")-1),Actuals!$E:$E,MID($D$954,FIND("|",$D$954&amp;"|")+1,50),Actuals!$F:$F,"EUR")*$G$5+SUMIFS(Actuals!$G:$G,Actuals!$B:$B,$C$3,Actuals!$C:$C,7,Actuals!$D:$D,$B$954,Actuals!$A:$A,LEFT($D$954,FIND("|",$D$954&amp;"|")-1),Actuals!$E:$E,MID($D$954,FIND("|",$D$954&amp;"|")+1,50),Actuals!$F:$F,"GBP")*$H$5)</f>
        <v/>
      </c>
      <c r="O955" s="18">
        <f>IF(OR($B$954="",8&gt;$C$4),"",SUMIFS(Actuals!$G:$G,Actuals!$B:$B,$C$3,Actuals!$C:$C,8,Actuals!$D:$D,$B$954,Actuals!$A:$A,LEFT($D$954,FIND("|",$D$954&amp;"|")-1),Actuals!$E:$E,MID($D$954,FIND("|",$D$954&amp;"|")+1,50),Actuals!$F:$F,"JPY")*$E$5+SUMIFS(Actuals!$G:$G,Actuals!$B:$B,$C$3,Actuals!$C:$C,8,Actuals!$D:$D,$B$954,Actuals!$A:$A,LEFT($D$954,FIND("|",$D$954&amp;"|")-1),Actuals!$E:$E,MID($D$954,FIND("|",$D$954&amp;"|")+1,50),Actuals!$F:$F,"USD")*$F$5+SUMIFS(Actuals!$G:$G,Actuals!$B:$B,$C$3,Actuals!$C:$C,8,Actuals!$D:$D,$B$954,Actuals!$A:$A,LEFT($D$954,FIND("|",$D$954&amp;"|")-1),Actuals!$E:$E,MID($D$954,FIND("|",$D$954&amp;"|")+1,50),Actuals!$F:$F,"EUR")*$G$5+SUMIFS(Actuals!$G:$G,Actuals!$B:$B,$C$3,Actuals!$C:$C,8,Actuals!$D:$D,$B$954,Actuals!$A:$A,LEFT($D$954,FIND("|",$D$954&amp;"|")-1),Actuals!$E:$E,MID($D$954,FIND("|",$D$954&amp;"|")+1,50),Actuals!$F:$F,"GBP")*$H$5)</f>
        <v/>
      </c>
      <c r="P955" s="18">
        <f>IF(OR($B$954="",9&gt;$C$4),"",SUMIFS(Actuals!$G:$G,Actuals!$B:$B,$C$3,Actuals!$C:$C,9,Actuals!$D:$D,$B$954,Actuals!$A:$A,LEFT($D$954,FIND("|",$D$954&amp;"|")-1),Actuals!$E:$E,MID($D$954,FIND("|",$D$954&amp;"|")+1,50),Actuals!$F:$F,"JPY")*$E$5+SUMIFS(Actuals!$G:$G,Actuals!$B:$B,$C$3,Actuals!$C:$C,9,Actuals!$D:$D,$B$954,Actuals!$A:$A,LEFT($D$954,FIND("|",$D$954&amp;"|")-1),Actuals!$E:$E,MID($D$954,FIND("|",$D$954&amp;"|")+1,50),Actuals!$F:$F,"USD")*$F$5+SUMIFS(Actuals!$G:$G,Actuals!$B:$B,$C$3,Actuals!$C:$C,9,Actuals!$D:$D,$B$954,Actuals!$A:$A,LEFT($D$954,FIND("|",$D$954&amp;"|")-1),Actuals!$E:$E,MID($D$954,FIND("|",$D$954&amp;"|")+1,50),Actuals!$F:$F,"EUR")*$G$5+SUMIFS(Actuals!$G:$G,Actuals!$B:$B,$C$3,Actuals!$C:$C,9,Actuals!$D:$D,$B$954,Actuals!$A:$A,LEFT($D$954,FIND("|",$D$954&amp;"|")-1),Actuals!$E:$E,MID($D$954,FIND("|",$D$954&amp;"|")+1,50),Actuals!$F:$F,"GBP")*$H$5)</f>
        <v/>
      </c>
      <c r="Q955" s="18">
        <f>IF(OR($B$954="",10&gt;$C$4),"",SUMIFS(Actuals!$G:$G,Actuals!$B:$B,$C$3,Actuals!$C:$C,10,Actuals!$D:$D,$B$954,Actuals!$A:$A,LEFT($D$954,FIND("|",$D$954&amp;"|")-1),Actuals!$E:$E,MID($D$954,FIND("|",$D$954&amp;"|")+1,50),Actuals!$F:$F,"JPY")*$E$5+SUMIFS(Actuals!$G:$G,Actuals!$B:$B,$C$3,Actuals!$C:$C,10,Actuals!$D:$D,$B$954,Actuals!$A:$A,LEFT($D$954,FIND("|",$D$954&amp;"|")-1),Actuals!$E:$E,MID($D$954,FIND("|",$D$954&amp;"|")+1,50),Actuals!$F:$F,"USD")*$F$5+SUMIFS(Actuals!$G:$G,Actuals!$B:$B,$C$3,Actuals!$C:$C,10,Actuals!$D:$D,$B$954,Actuals!$A:$A,LEFT($D$954,FIND("|",$D$954&amp;"|")-1),Actuals!$E:$E,MID($D$954,FIND("|",$D$954&amp;"|")+1,50),Actuals!$F:$F,"EUR")*$G$5+SUMIFS(Actuals!$G:$G,Actuals!$B:$B,$C$3,Actuals!$C:$C,10,Actuals!$D:$D,$B$954,Actuals!$A:$A,LEFT($D$954,FIND("|",$D$954&amp;"|")-1),Actuals!$E:$E,MID($D$954,FIND("|",$D$954&amp;"|")+1,50),Actuals!$F:$F,"GBP")*$H$5)</f>
        <v/>
      </c>
      <c r="R955" s="18">
        <f>IF(OR($B$954="",11&gt;$C$4),"",SUMIFS(Actuals!$G:$G,Actuals!$B:$B,$C$3,Actuals!$C:$C,11,Actuals!$D:$D,$B$954,Actuals!$A:$A,LEFT($D$954,FIND("|",$D$954&amp;"|")-1),Actuals!$E:$E,MID($D$954,FIND("|",$D$954&amp;"|")+1,50),Actuals!$F:$F,"JPY")*$E$5+SUMIFS(Actuals!$G:$G,Actuals!$B:$B,$C$3,Actuals!$C:$C,11,Actuals!$D:$D,$B$954,Actuals!$A:$A,LEFT($D$954,FIND("|",$D$954&amp;"|")-1),Actuals!$E:$E,MID($D$954,FIND("|",$D$954&amp;"|")+1,50),Actuals!$F:$F,"USD")*$F$5+SUMIFS(Actuals!$G:$G,Actuals!$B:$B,$C$3,Actuals!$C:$C,11,Actuals!$D:$D,$B$954,Actuals!$A:$A,LEFT($D$954,FIND("|",$D$954&amp;"|")-1),Actuals!$E:$E,MID($D$954,FIND("|",$D$954&amp;"|")+1,50),Actuals!$F:$F,"EUR")*$G$5+SUMIFS(Actuals!$G:$G,Actuals!$B:$B,$C$3,Actuals!$C:$C,11,Actuals!$D:$D,$B$954,Actuals!$A:$A,LEFT($D$954,FIND("|",$D$954&amp;"|")-1),Actuals!$E:$E,MID($D$954,FIND("|",$D$954&amp;"|")+1,50),Actuals!$F:$F,"GBP")*$H$5)</f>
        <v/>
      </c>
      <c r="S955" s="18">
        <f>IF(OR($B$954="",12&gt;$C$4),"",SUMIFS(Actuals!$G:$G,Actuals!$B:$B,$C$3,Actuals!$C:$C,12,Actuals!$D:$D,$B$954,Actuals!$A:$A,LEFT($D$954,FIND("|",$D$954&amp;"|")-1),Actuals!$E:$E,MID($D$954,FIND("|",$D$954&amp;"|")+1,50),Actuals!$F:$F,"JPY")*$E$5+SUMIFS(Actuals!$G:$G,Actuals!$B:$B,$C$3,Actuals!$C:$C,12,Actuals!$D:$D,$B$954,Actuals!$A:$A,LEFT($D$954,FIND("|",$D$954&amp;"|")-1),Actuals!$E:$E,MID($D$954,FIND("|",$D$954&amp;"|")+1,50),Actuals!$F:$F,"USD")*$F$5+SUMIFS(Actuals!$G:$G,Actuals!$B:$B,$C$3,Actuals!$C:$C,12,Actuals!$D:$D,$B$954,Actuals!$A:$A,LEFT($D$954,FIND("|",$D$954&amp;"|")-1),Actuals!$E:$E,MID($D$954,FIND("|",$D$954&amp;"|")+1,50),Actuals!$F:$F,"EUR")*$G$5+SUMIFS(Actuals!$G:$G,Actuals!$B:$B,$C$3,Actuals!$C:$C,12,Actuals!$D:$D,$B$954,Actuals!$A:$A,LEFT($D$954,FIND("|",$D$954&amp;"|")-1),Actuals!$E:$E,MID($D$954,FIND("|",$D$954&amp;"|")+1,50),Actuals!$F:$F,"GBP")*$H$5)</f>
        <v/>
      </c>
      <c r="T955" s="18">
        <f>IF($B$954="","",SUMIF($H$7:$S$7,"&lt;="&amp;$C$4,$H955:$S955))</f>
        <v/>
      </c>
      <c r="U955" s="18" t="n"/>
      <c r="V955" s="18" t="n"/>
      <c r="X955" s="22">
        <f>IF($B955="","",IFERROR(INDEX(Cost_Centers!$E:$E,MATCH($B955,Cost_Centers!$A:$A,0)),"(unknown)"))</f>
        <v/>
      </c>
      <c r="Y955" s="22">
        <f>IF($B955="","",IFERROR(INDEX(Cost_Centers!$D:$D,MATCH($B955,Cost_Centers!$A:$A,0)),"(unknown)"))</f>
        <v/>
      </c>
      <c r="Z955" s="22">
        <f>IF(OR($B955="",$G955&lt;&gt;"Variance vs Budget"),"",ABS(N($V955))+ROW()/1000000000)</f>
        <v/>
      </c>
    </row>
    <row r="956">
      <c r="A956" s="13">
        <f>IF(A$954="","",A$954)</f>
        <v/>
      </c>
      <c r="B956" s="13">
        <f>IF(B$954="","",B$954)</f>
        <v/>
      </c>
      <c r="C956" s="13">
        <f>IF(C$954="","",C$954)</f>
        <v/>
      </c>
      <c r="D956" s="13">
        <f>IF(D$954="","",D$954)</f>
        <v/>
      </c>
      <c r="E956" s="13">
        <f>IF(E$954="","",E$954)</f>
        <v/>
      </c>
      <c r="F956" s="13">
        <f>IF(F$954="","",F$954)</f>
        <v/>
      </c>
      <c r="G956" s="6" t="inlineStr">
        <is>
          <t>Variance vs Budget</t>
        </is>
      </c>
      <c r="H956" s="33">
        <f>IF(OR($B$954="",1&gt;$C$4),"",N(H955)-H954)</f>
        <v/>
      </c>
      <c r="I956" s="33">
        <f>IF(OR($B$954="",2&gt;$C$4),"",N(I955)-I954)</f>
        <v/>
      </c>
      <c r="J956" s="33">
        <f>IF(OR($B$954="",3&gt;$C$4),"",N(J955)-J954)</f>
        <v/>
      </c>
      <c r="K956" s="33">
        <f>IF(OR($B$954="",4&gt;$C$4),"",N(K955)-K954)</f>
        <v/>
      </c>
      <c r="L956" s="33">
        <f>IF(OR($B$954="",5&gt;$C$4),"",N(L955)-L954)</f>
        <v/>
      </c>
      <c r="M956" s="33">
        <f>IF(OR($B$954="",6&gt;$C$4),"",N(M955)-M954)</f>
        <v/>
      </c>
      <c r="N956" s="33">
        <f>IF(OR($B$954="",7&gt;$C$4),"",N(N955)-N954)</f>
        <v/>
      </c>
      <c r="O956" s="33">
        <f>IF(OR($B$954="",8&gt;$C$4),"",N(O955)-O954)</f>
        <v/>
      </c>
      <c r="P956" s="33">
        <f>IF(OR($B$954="",9&gt;$C$4),"",N(P955)-P954)</f>
        <v/>
      </c>
      <c r="Q956" s="33">
        <f>IF(OR($B$954="",10&gt;$C$4),"",N(Q955)-Q954)</f>
        <v/>
      </c>
      <c r="R956" s="33">
        <f>IF(OR($B$954="",11&gt;$C$4),"",N(R955)-R954)</f>
        <v/>
      </c>
      <c r="S956" s="33">
        <f>IF(OR($B$954="",12&gt;$C$4),"",N(S955)-S954)</f>
        <v/>
      </c>
      <c r="T956" s="33">
        <f>IF($B$954="","",T955-T954)</f>
        <v/>
      </c>
      <c r="U956" s="33">
        <f>IF($B$954="","",U958-U954)</f>
        <v/>
      </c>
      <c r="V956" s="33">
        <f>IF($B$954="","",V958-V954)</f>
        <v/>
      </c>
      <c r="X956" s="22">
        <f>IF($B956="","",IFERROR(INDEX(Cost_Centers!$E:$E,MATCH($B956,Cost_Centers!$A:$A,0)),"(unknown)"))</f>
        <v/>
      </c>
      <c r="Y956" s="22">
        <f>IF($B956="","",IFERROR(INDEX(Cost_Centers!$D:$D,MATCH($B956,Cost_Centers!$A:$A,0)),"(unknown)"))</f>
        <v/>
      </c>
      <c r="Z956" s="22">
        <f>IF(OR($B956="",$G956&lt;&gt;"Variance vs Budget"),"",ABS(N($V956))+ROW()/1000000000)</f>
        <v/>
      </c>
    </row>
    <row r="957">
      <c r="A957" s="13">
        <f>IF(A$954="","",A$954)</f>
        <v/>
      </c>
      <c r="B957" s="13">
        <f>IF(B$954="","",B$954)</f>
        <v/>
      </c>
      <c r="C957" s="13">
        <f>IF(C$954="","",C$954)</f>
        <v/>
      </c>
      <c r="D957" s="13">
        <f>IF(D$954="","",D$954)</f>
        <v/>
      </c>
      <c r="E957" s="13">
        <f>IF(E$954="","",E$954)</f>
        <v/>
      </c>
      <c r="F957" s="13">
        <f>IF(F$954="","",F$954)</f>
        <v/>
      </c>
      <c r="G957" s="7" t="inlineStr">
        <is>
          <t>Forecast (input)</t>
        </is>
      </c>
      <c r="H957" s="34" t="n"/>
      <c r="I957" s="34" t="n"/>
      <c r="J957" s="34" t="n"/>
      <c r="K957" s="34" t="n"/>
      <c r="L957" s="34" t="n"/>
      <c r="M957" s="34" t="n"/>
      <c r="N957" s="34" t="n"/>
      <c r="O957" s="34" t="n"/>
      <c r="P957" s="34" t="n"/>
      <c r="Q957" s="34" t="n"/>
      <c r="R957" s="34" t="n"/>
      <c r="S957" s="34" t="n"/>
      <c r="T957" s="18" t="n"/>
      <c r="U957" s="18" t="n"/>
      <c r="V957" s="18" t="n"/>
      <c r="X957" s="22">
        <f>IF($B957="","",IFERROR(INDEX(Cost_Centers!$E:$E,MATCH($B957,Cost_Centers!$A:$A,0)),"(unknown)"))</f>
        <v/>
      </c>
      <c r="Y957" s="22">
        <f>IF($B957="","",IFERROR(INDEX(Cost_Centers!$D:$D,MATCH($B957,Cost_Centers!$A:$A,0)),"(unknown)"))</f>
        <v/>
      </c>
      <c r="Z957" s="22">
        <f>IF(OR($B957="",$G957&lt;&gt;"Variance vs Budget"),"",ABS(N($V957))+ROW()/1000000000)</f>
        <v/>
      </c>
    </row>
    <row r="958">
      <c r="A958" s="13">
        <f>IF(A$954="","",A$954)</f>
        <v/>
      </c>
      <c r="B958" s="13">
        <f>IF(B$954="","",B$954)</f>
        <v/>
      </c>
      <c r="C958" s="13">
        <f>IF(C$954="","",C$954)</f>
        <v/>
      </c>
      <c r="D958" s="13">
        <f>IF(D$954="","",D$954)</f>
        <v/>
      </c>
      <c r="E958" s="13">
        <f>IF(E$954="","",E$954)</f>
        <v/>
      </c>
      <c r="F958" s="13">
        <f>IF(F$954="","",F$954)</f>
        <v/>
      </c>
      <c r="G958" s="35" t="inlineStr">
        <is>
          <t>Actual + Forecast</t>
        </is>
      </c>
      <c r="H958" s="18">
        <f>IF($B$954="","",IF(1&lt;=$C$4,N(H955),IF(H957="",H954,H957)))</f>
        <v/>
      </c>
      <c r="I958" s="18">
        <f>IF($B$954="","",IF(2&lt;=$C$4,N(I955),IF(I957="",I954,I957)))</f>
        <v/>
      </c>
      <c r="J958" s="18">
        <f>IF($B$954="","",IF(3&lt;=$C$4,N(J955),IF(J957="",J954,J957)))</f>
        <v/>
      </c>
      <c r="K958" s="18">
        <f>IF($B$954="","",IF(4&lt;=$C$4,N(K955),IF(K957="",K954,K957)))</f>
        <v/>
      </c>
      <c r="L958" s="18">
        <f>IF($B$954="","",IF(5&lt;=$C$4,N(L955),IF(L957="",L954,L957)))</f>
        <v/>
      </c>
      <c r="M958" s="18">
        <f>IF($B$954="","",IF(6&lt;=$C$4,N(M955),IF(M957="",M954,M957)))</f>
        <v/>
      </c>
      <c r="N958" s="18">
        <f>IF($B$954="","",IF(7&lt;=$C$4,N(N955),IF(N957="",N954,N957)))</f>
        <v/>
      </c>
      <c r="O958" s="18">
        <f>IF($B$954="","",IF(8&lt;=$C$4,N(O955),IF(O957="",O954,O957)))</f>
        <v/>
      </c>
      <c r="P958" s="18">
        <f>IF($B$954="","",IF(9&lt;=$C$4,N(P955),IF(P957="",P954,P957)))</f>
        <v/>
      </c>
      <c r="Q958" s="18">
        <f>IF($B$954="","",IF(10&lt;=$C$4,N(Q955),IF(Q957="",Q954,Q957)))</f>
        <v/>
      </c>
      <c r="R958" s="18">
        <f>IF($B$954="","",IF(11&lt;=$C$4,N(R955),IF(R957="",R954,R957)))</f>
        <v/>
      </c>
      <c r="S958" s="18">
        <f>IF($B$954="","",IF(12&lt;=$C$4,N(S955),IF(S957="",S954,S957)))</f>
        <v/>
      </c>
      <c r="T958" s="18">
        <f>IF($B$954="","",SUMIF($H$7:$S$7,"&lt;="&amp;$C$4,$H958:$S958))</f>
        <v/>
      </c>
      <c r="U958" s="18">
        <f>IF($B$954="","",SUMIF($H$7:$S$7,"&gt;"&amp;$C$4,$H958:$S958))</f>
        <v/>
      </c>
      <c r="V958" s="18">
        <f>IF($B$954="","",SUM($H958:$S958))</f>
        <v/>
      </c>
      <c r="X958" s="22">
        <f>IF($B958="","",IFERROR(INDEX(Cost_Centers!$E:$E,MATCH($B958,Cost_Centers!$A:$A,0)),"(unknown)"))</f>
        <v/>
      </c>
      <c r="Y958" s="22">
        <f>IF($B958="","",IFERROR(INDEX(Cost_Centers!$D:$D,MATCH($B958,Cost_Centers!$A:$A,0)),"(unknown)"))</f>
        <v/>
      </c>
      <c r="Z958" s="22">
        <f>IF(OR($B958="",$G958&lt;&gt;"Variance vs Budget"),"",ABS(N($V958))+ROW()/1000000000)</f>
        <v/>
      </c>
    </row>
    <row r="959">
      <c r="A959" s="13">
        <f>IF(A$954="","",A$954)</f>
        <v/>
      </c>
      <c r="B959" s="13">
        <f>IF(B$954="","",B$954)</f>
        <v/>
      </c>
      <c r="C959" s="13">
        <f>IF(C$954="","",C$954)</f>
        <v/>
      </c>
      <c r="D959" s="13">
        <f>IF(D$954="","",D$954)</f>
        <v/>
      </c>
      <c r="E959" s="13">
        <f>IF(E$954="","",E$954)</f>
        <v/>
      </c>
      <c r="F959" s="13">
        <f>IF(F$954="","",F$954)</f>
        <v/>
      </c>
      <c r="G959" s="36" t="inlineStr">
        <is>
          <t>Prior Month Forecast</t>
        </is>
      </c>
      <c r="H959" s="37">
        <f>IF($B$954="","",IF(COUNTIFS(Prior_Forecast!$A:$A,$B$954,Prior_Forecast!$B:$B,$D$954)&gt;0,SUMIFS(Prior_Forecast!$C:$C,Prior_Forecast!$A:$A,$B$954,Prior_Forecast!$B:$B,$D$954),""))</f>
        <v/>
      </c>
      <c r="I959" s="37">
        <f>IF($B$954="","",IF(COUNTIFS(Prior_Forecast!$A:$A,$B$954,Prior_Forecast!$B:$B,$D$954)&gt;0,SUMIFS(Prior_Forecast!$D:$D,Prior_Forecast!$A:$A,$B$954,Prior_Forecast!$B:$B,$D$954),""))</f>
        <v/>
      </c>
      <c r="J959" s="37">
        <f>IF($B$954="","",IF(COUNTIFS(Prior_Forecast!$A:$A,$B$954,Prior_Forecast!$B:$B,$D$954)&gt;0,SUMIFS(Prior_Forecast!$E:$E,Prior_Forecast!$A:$A,$B$954,Prior_Forecast!$B:$B,$D$954),""))</f>
        <v/>
      </c>
      <c r="K959" s="37">
        <f>IF($B$954="","",IF(COUNTIFS(Prior_Forecast!$A:$A,$B$954,Prior_Forecast!$B:$B,$D$954)&gt;0,SUMIFS(Prior_Forecast!$F:$F,Prior_Forecast!$A:$A,$B$954,Prior_Forecast!$B:$B,$D$954),""))</f>
        <v/>
      </c>
      <c r="L959" s="37">
        <f>IF($B$954="","",IF(COUNTIFS(Prior_Forecast!$A:$A,$B$954,Prior_Forecast!$B:$B,$D$954)&gt;0,SUMIFS(Prior_Forecast!$G:$G,Prior_Forecast!$A:$A,$B$954,Prior_Forecast!$B:$B,$D$954),""))</f>
        <v/>
      </c>
      <c r="M959" s="37">
        <f>IF($B$954="","",IF(COUNTIFS(Prior_Forecast!$A:$A,$B$954,Prior_Forecast!$B:$B,$D$954)&gt;0,SUMIFS(Prior_Forecast!$H:$H,Prior_Forecast!$A:$A,$B$954,Prior_Forecast!$B:$B,$D$954),""))</f>
        <v/>
      </c>
      <c r="N959" s="37">
        <f>IF($B$954="","",IF(COUNTIFS(Prior_Forecast!$A:$A,$B$954,Prior_Forecast!$B:$B,$D$954)&gt;0,SUMIFS(Prior_Forecast!$I:$I,Prior_Forecast!$A:$A,$B$954,Prior_Forecast!$B:$B,$D$954),""))</f>
        <v/>
      </c>
      <c r="O959" s="37">
        <f>IF($B$954="","",IF(COUNTIFS(Prior_Forecast!$A:$A,$B$954,Prior_Forecast!$B:$B,$D$954)&gt;0,SUMIFS(Prior_Forecast!$J:$J,Prior_Forecast!$A:$A,$B$954,Prior_Forecast!$B:$B,$D$954),""))</f>
        <v/>
      </c>
      <c r="P959" s="37">
        <f>IF($B$954="","",IF(COUNTIFS(Prior_Forecast!$A:$A,$B$954,Prior_Forecast!$B:$B,$D$954)&gt;0,SUMIFS(Prior_Forecast!$K:$K,Prior_Forecast!$A:$A,$B$954,Prior_Forecast!$B:$B,$D$954),""))</f>
        <v/>
      </c>
      <c r="Q959" s="37">
        <f>IF($B$954="","",IF(COUNTIFS(Prior_Forecast!$A:$A,$B$954,Prior_Forecast!$B:$B,$D$954)&gt;0,SUMIFS(Prior_Forecast!$L:$L,Prior_Forecast!$A:$A,$B$954,Prior_Forecast!$B:$B,$D$954),""))</f>
        <v/>
      </c>
      <c r="R959" s="37">
        <f>IF($B$954="","",IF(COUNTIFS(Prior_Forecast!$A:$A,$B$954,Prior_Forecast!$B:$B,$D$954)&gt;0,SUMIFS(Prior_Forecast!$M:$M,Prior_Forecast!$A:$A,$B$954,Prior_Forecast!$B:$B,$D$954),""))</f>
        <v/>
      </c>
      <c r="S959" s="37">
        <f>IF($B$954="","",IF(COUNTIFS(Prior_Forecast!$A:$A,$B$954,Prior_Forecast!$B:$B,$D$954)&gt;0,SUMIFS(Prior_Forecast!$N:$N,Prior_Forecast!$A:$A,$B$954,Prior_Forecast!$B:$B,$D$954),""))</f>
        <v/>
      </c>
      <c r="T959" s="37">
        <f>IF($B$954="","",IF(COUNTIFS(Prior_Forecast!$A:$A,$B$954,Prior_Forecast!$B:$B,$D$954)&gt;0,SUMIFS(Prior_Forecast!$O:$O,Prior_Forecast!$A:$A,$B$954,Prior_Forecast!$B:$B,$D$954),""))</f>
        <v/>
      </c>
      <c r="U959" s="37">
        <f>IF($B$954="","",IF(COUNTIFS(Prior_Forecast!$A:$A,$B$954,Prior_Forecast!$B:$B,$D$954)&gt;0,SUMIFS(Prior_Forecast!$P:$P,Prior_Forecast!$A:$A,$B$954,Prior_Forecast!$B:$B,$D$954),""))</f>
        <v/>
      </c>
      <c r="V959" s="37">
        <f>IF($B$954="","",IF(COUNTIFS(Prior_Forecast!$A:$A,$B$954,Prior_Forecast!$B:$B,$D$954)&gt;0,SUMIFS(Prior_Forecast!$Q:$Q,Prior_Forecast!$A:$A,$B$954,Prior_Forecast!$B:$B,$D$954),""))</f>
        <v/>
      </c>
      <c r="X959" s="22">
        <f>IF($B959="","",IFERROR(INDEX(Cost_Centers!$E:$E,MATCH($B959,Cost_Centers!$A:$A,0)),"(unknown)"))</f>
        <v/>
      </c>
      <c r="Y959" s="22">
        <f>IF($B959="","",IFERROR(INDEX(Cost_Centers!$D:$D,MATCH($B959,Cost_Centers!$A:$A,0)),"(unknown)"))</f>
        <v/>
      </c>
      <c r="Z959" s="22">
        <f>IF(OR($B959="",$G959&lt;&gt;"Variance vs Budget"),"",ABS(N($V959))+ROW()/1000000000)</f>
        <v/>
      </c>
    </row>
    <row r="960">
      <c r="A960" s="13">
        <f>IF(A$954="","",A$954)</f>
        <v/>
      </c>
      <c r="B960" s="13">
        <f>IF(B$954="","",B$954)</f>
        <v/>
      </c>
      <c r="C960" s="13">
        <f>IF(C$954="","",C$954)</f>
        <v/>
      </c>
      <c r="D960" s="13">
        <f>IF(D$954="","",D$954)</f>
        <v/>
      </c>
      <c r="E960" s="13">
        <f>IF(E$954="","",E$954)</f>
        <v/>
      </c>
      <c r="F960" s="13">
        <f>IF(F$954="","",F$954)</f>
        <v/>
      </c>
      <c r="G960" s="6" t="inlineStr">
        <is>
          <t>Variance vs Prior Month</t>
        </is>
      </c>
      <c r="H960" s="33">
        <f>IF(OR($B$954="",H959=""),"",H958-H959)</f>
        <v/>
      </c>
      <c r="I960" s="33">
        <f>IF(OR($B$954="",I959=""),"",I958-I959)</f>
        <v/>
      </c>
      <c r="J960" s="33">
        <f>IF(OR($B$954="",J959=""),"",J958-J959)</f>
        <v/>
      </c>
      <c r="K960" s="33">
        <f>IF(OR($B$954="",K959=""),"",K958-K959)</f>
        <v/>
      </c>
      <c r="L960" s="33">
        <f>IF(OR($B$954="",L959=""),"",L958-L959)</f>
        <v/>
      </c>
      <c r="M960" s="33">
        <f>IF(OR($B$954="",M959=""),"",M958-M959)</f>
        <v/>
      </c>
      <c r="N960" s="33">
        <f>IF(OR($B$954="",N959=""),"",N958-N959)</f>
        <v/>
      </c>
      <c r="O960" s="33">
        <f>IF(OR($B$954="",O959=""),"",O958-O959)</f>
        <v/>
      </c>
      <c r="P960" s="33">
        <f>IF(OR($B$954="",P959=""),"",P958-P959)</f>
        <v/>
      </c>
      <c r="Q960" s="33">
        <f>IF(OR($B$954="",Q959=""),"",Q958-Q959)</f>
        <v/>
      </c>
      <c r="R960" s="33">
        <f>IF(OR($B$954="",R959=""),"",R958-R959)</f>
        <v/>
      </c>
      <c r="S960" s="33">
        <f>IF(OR($B$954="",S959=""),"",S958-S959)</f>
        <v/>
      </c>
      <c r="T960" s="33">
        <f>IF(OR($B$954="",T959=""),"",T958-T959)</f>
        <v/>
      </c>
      <c r="U960" s="33">
        <f>IF(OR($B$954="",U959=""),"",U958-U959)</f>
        <v/>
      </c>
      <c r="V960" s="33">
        <f>IF(OR($B$954="",V959=""),"",V958-V959)</f>
        <v/>
      </c>
      <c r="X960" s="22">
        <f>IF($B960="","",IFERROR(INDEX(Cost_Centers!$E:$E,MATCH($B960,Cost_Centers!$A:$A,0)),"(unknown)"))</f>
        <v/>
      </c>
      <c r="Y960" s="22">
        <f>IF($B960="","",IFERROR(INDEX(Cost_Centers!$D:$D,MATCH($B960,Cost_Centers!$A:$A,0)),"(unknown)"))</f>
        <v/>
      </c>
      <c r="Z960" s="22">
        <f>IF(OR($B960="",$G960&lt;&gt;"Variance vs Budget"),"",ABS(N($V960))+ROW()/1000000000)</f>
        <v/>
      </c>
    </row>
    <row r="961" ht="45" customHeight="1">
      <c r="A961" s="13">
        <f>IF(A$954="","",A$954)</f>
        <v/>
      </c>
      <c r="B961" s="13">
        <f>IF(B$954="","",B$954)</f>
        <v/>
      </c>
      <c r="C961" s="13">
        <f>IF(C$954="","",C$954)</f>
        <v/>
      </c>
      <c r="D961" s="13">
        <f>IF(D$954="","",D$954)</f>
        <v/>
      </c>
      <c r="E961" s="13">
        <f>IF(E$954="","",E$954)</f>
        <v/>
      </c>
      <c r="F961" s="13">
        <f>IF(F$954="","",F$954)</f>
        <v/>
      </c>
      <c r="G961" s="7" t="inlineStr">
        <is>
          <t>Rationale</t>
        </is>
      </c>
      <c r="H961" s="38" t="n"/>
      <c r="I961" s="38" t="n"/>
      <c r="J961" s="38" t="n"/>
      <c r="K961" s="38" t="n"/>
      <c r="L961" s="38" t="n"/>
      <c r="M961" s="38" t="n"/>
      <c r="N961" s="38" t="n"/>
      <c r="O961" s="38" t="n"/>
      <c r="P961" s="38" t="n"/>
      <c r="Q961" s="38" t="n"/>
      <c r="R961" s="38" t="n"/>
      <c r="S961" s="38" t="n"/>
      <c r="T961" s="38" t="n"/>
      <c r="U961" s="38" t="n"/>
      <c r="V961" s="7" t="n"/>
      <c r="X961" s="22">
        <f>IF($B961="","",IFERROR(INDEX(Cost_Centers!$E:$E,MATCH($B961,Cost_Centers!$A:$A,0)),"(unknown)"))</f>
        <v/>
      </c>
      <c r="Y961" s="22">
        <f>IF($B961="","",IFERROR(INDEX(Cost_Centers!$D:$D,MATCH($B961,Cost_Centers!$A:$A,0)),"(unknown)"))</f>
        <v/>
      </c>
      <c r="Z961" s="22">
        <f>IF(OR($B961="",$G961&lt;&gt;"Variance vs Budget"),"",ABS(N($V961))+ROW()/1000000000)</f>
        <v/>
      </c>
    </row>
    <row r="962">
      <c r="A962" s="30">
        <f>IF($D$962="","",LEFT($D$962,FIND("|",$D$962&amp;"|")-1))</f>
        <v/>
      </c>
      <c r="B962" s="31" t="n"/>
      <c r="C962" s="30">
        <f>IF($B$962="","",IFERROR(INDEX(Cost_Centers!$B:$B,MATCH($B$962,Cost_Centers!$A:$A,0)),"(not in master)"))</f>
        <v/>
      </c>
      <c r="D962" s="31" t="n"/>
      <c r="E962" s="30">
        <f>IF($D$962="","",IFERROR(INDEX(Accounts!$D:$D,MATCH($D$962,Accounts!$A:$A,0)),"(not in master)"))</f>
        <v/>
      </c>
      <c r="F962" s="31" t="n"/>
      <c r="G962" s="30" t="inlineStr">
        <is>
          <t>Budget</t>
        </is>
      </c>
      <c r="H962" s="32">
        <f>IF($B$962="","",SUMIFS(Opex_Budget!$O:$O,Opex_Budget!$A:$A,$C$3,Opex_Budget!$E:$E,$B$962,Opex_Budget!$F:$F,$D$962,Opex_Budget!$N:$N,"JPY")*$E$5+SUMIFS(Opex_Budget!$O:$O,Opex_Budget!$A:$A,$C$3,Opex_Budget!$E:$E,$B$962,Opex_Budget!$F:$F,$D$962,Opex_Budget!$N:$N,"USD")*$F$5+SUMIFS(Opex_Budget!$O:$O,Opex_Budget!$A:$A,$C$3,Opex_Budget!$E:$E,$B$962,Opex_Budget!$F:$F,$D$962,Opex_Budget!$N:$N,"EUR")*$G$5+SUMIFS(Opex_Budget!$O:$O,Opex_Budget!$A:$A,$C$3,Opex_Budget!$E:$E,$B$962,Opex_Budget!$F:$F,$D$962,Opex_Budget!$N:$N,"GBP")*$H$5)</f>
        <v/>
      </c>
      <c r="I962" s="32">
        <f>IF($B$962="","",SUMIFS(Opex_Budget!$P:$P,Opex_Budget!$A:$A,$C$3,Opex_Budget!$E:$E,$B$962,Opex_Budget!$F:$F,$D$962,Opex_Budget!$N:$N,"JPY")*$E$5+SUMIFS(Opex_Budget!$P:$P,Opex_Budget!$A:$A,$C$3,Opex_Budget!$E:$E,$B$962,Opex_Budget!$F:$F,$D$962,Opex_Budget!$N:$N,"USD")*$F$5+SUMIFS(Opex_Budget!$P:$P,Opex_Budget!$A:$A,$C$3,Opex_Budget!$E:$E,$B$962,Opex_Budget!$F:$F,$D$962,Opex_Budget!$N:$N,"EUR")*$G$5+SUMIFS(Opex_Budget!$P:$P,Opex_Budget!$A:$A,$C$3,Opex_Budget!$E:$E,$B$962,Opex_Budget!$F:$F,$D$962,Opex_Budget!$N:$N,"GBP")*$H$5)</f>
        <v/>
      </c>
      <c r="J962" s="32">
        <f>IF($B$962="","",SUMIFS(Opex_Budget!$Q:$Q,Opex_Budget!$A:$A,$C$3,Opex_Budget!$E:$E,$B$962,Opex_Budget!$F:$F,$D$962,Opex_Budget!$N:$N,"JPY")*$E$5+SUMIFS(Opex_Budget!$Q:$Q,Opex_Budget!$A:$A,$C$3,Opex_Budget!$E:$E,$B$962,Opex_Budget!$F:$F,$D$962,Opex_Budget!$N:$N,"USD")*$F$5+SUMIFS(Opex_Budget!$Q:$Q,Opex_Budget!$A:$A,$C$3,Opex_Budget!$E:$E,$B$962,Opex_Budget!$F:$F,$D$962,Opex_Budget!$N:$N,"EUR")*$G$5+SUMIFS(Opex_Budget!$Q:$Q,Opex_Budget!$A:$A,$C$3,Opex_Budget!$E:$E,$B$962,Opex_Budget!$F:$F,$D$962,Opex_Budget!$N:$N,"GBP")*$H$5)</f>
        <v/>
      </c>
      <c r="K962" s="32">
        <f>IF($B$962="","",SUMIFS(Opex_Budget!$R:$R,Opex_Budget!$A:$A,$C$3,Opex_Budget!$E:$E,$B$962,Opex_Budget!$F:$F,$D$962,Opex_Budget!$N:$N,"JPY")*$E$5+SUMIFS(Opex_Budget!$R:$R,Opex_Budget!$A:$A,$C$3,Opex_Budget!$E:$E,$B$962,Opex_Budget!$F:$F,$D$962,Opex_Budget!$N:$N,"USD")*$F$5+SUMIFS(Opex_Budget!$R:$R,Opex_Budget!$A:$A,$C$3,Opex_Budget!$E:$E,$B$962,Opex_Budget!$F:$F,$D$962,Opex_Budget!$N:$N,"EUR")*$G$5+SUMIFS(Opex_Budget!$R:$R,Opex_Budget!$A:$A,$C$3,Opex_Budget!$E:$E,$B$962,Opex_Budget!$F:$F,$D$962,Opex_Budget!$N:$N,"GBP")*$H$5)</f>
        <v/>
      </c>
      <c r="L962" s="32">
        <f>IF($B$962="","",SUMIFS(Opex_Budget!$S:$S,Opex_Budget!$A:$A,$C$3,Opex_Budget!$E:$E,$B$962,Opex_Budget!$F:$F,$D$962,Opex_Budget!$N:$N,"JPY")*$E$5+SUMIFS(Opex_Budget!$S:$S,Opex_Budget!$A:$A,$C$3,Opex_Budget!$E:$E,$B$962,Opex_Budget!$F:$F,$D$962,Opex_Budget!$N:$N,"USD")*$F$5+SUMIFS(Opex_Budget!$S:$S,Opex_Budget!$A:$A,$C$3,Opex_Budget!$E:$E,$B$962,Opex_Budget!$F:$F,$D$962,Opex_Budget!$N:$N,"EUR")*$G$5+SUMIFS(Opex_Budget!$S:$S,Opex_Budget!$A:$A,$C$3,Opex_Budget!$E:$E,$B$962,Opex_Budget!$F:$F,$D$962,Opex_Budget!$N:$N,"GBP")*$H$5)</f>
        <v/>
      </c>
      <c r="M962" s="32">
        <f>IF($B$962="","",SUMIFS(Opex_Budget!$T:$T,Opex_Budget!$A:$A,$C$3,Opex_Budget!$E:$E,$B$962,Opex_Budget!$F:$F,$D$962,Opex_Budget!$N:$N,"JPY")*$E$5+SUMIFS(Opex_Budget!$T:$T,Opex_Budget!$A:$A,$C$3,Opex_Budget!$E:$E,$B$962,Opex_Budget!$F:$F,$D$962,Opex_Budget!$N:$N,"USD")*$F$5+SUMIFS(Opex_Budget!$T:$T,Opex_Budget!$A:$A,$C$3,Opex_Budget!$E:$E,$B$962,Opex_Budget!$F:$F,$D$962,Opex_Budget!$N:$N,"EUR")*$G$5+SUMIFS(Opex_Budget!$T:$T,Opex_Budget!$A:$A,$C$3,Opex_Budget!$E:$E,$B$962,Opex_Budget!$F:$F,$D$962,Opex_Budget!$N:$N,"GBP")*$H$5)</f>
        <v/>
      </c>
      <c r="N962" s="32">
        <f>IF($B$962="","",SUMIFS(Opex_Budget!$U:$U,Opex_Budget!$A:$A,$C$3,Opex_Budget!$E:$E,$B$962,Opex_Budget!$F:$F,$D$962,Opex_Budget!$N:$N,"JPY")*$E$5+SUMIFS(Opex_Budget!$U:$U,Opex_Budget!$A:$A,$C$3,Opex_Budget!$E:$E,$B$962,Opex_Budget!$F:$F,$D$962,Opex_Budget!$N:$N,"USD")*$F$5+SUMIFS(Opex_Budget!$U:$U,Opex_Budget!$A:$A,$C$3,Opex_Budget!$E:$E,$B$962,Opex_Budget!$F:$F,$D$962,Opex_Budget!$N:$N,"EUR")*$G$5+SUMIFS(Opex_Budget!$U:$U,Opex_Budget!$A:$A,$C$3,Opex_Budget!$E:$E,$B$962,Opex_Budget!$F:$F,$D$962,Opex_Budget!$N:$N,"GBP")*$H$5)</f>
        <v/>
      </c>
      <c r="O962" s="32">
        <f>IF($B$962="","",SUMIFS(Opex_Budget!$V:$V,Opex_Budget!$A:$A,$C$3,Opex_Budget!$E:$E,$B$962,Opex_Budget!$F:$F,$D$962,Opex_Budget!$N:$N,"JPY")*$E$5+SUMIFS(Opex_Budget!$V:$V,Opex_Budget!$A:$A,$C$3,Opex_Budget!$E:$E,$B$962,Opex_Budget!$F:$F,$D$962,Opex_Budget!$N:$N,"USD")*$F$5+SUMIFS(Opex_Budget!$V:$V,Opex_Budget!$A:$A,$C$3,Opex_Budget!$E:$E,$B$962,Opex_Budget!$F:$F,$D$962,Opex_Budget!$N:$N,"EUR")*$G$5+SUMIFS(Opex_Budget!$V:$V,Opex_Budget!$A:$A,$C$3,Opex_Budget!$E:$E,$B$962,Opex_Budget!$F:$F,$D$962,Opex_Budget!$N:$N,"GBP")*$H$5)</f>
        <v/>
      </c>
      <c r="P962" s="32">
        <f>IF($B$962="","",SUMIFS(Opex_Budget!$W:$W,Opex_Budget!$A:$A,$C$3,Opex_Budget!$E:$E,$B$962,Opex_Budget!$F:$F,$D$962,Opex_Budget!$N:$N,"JPY")*$E$5+SUMIFS(Opex_Budget!$W:$W,Opex_Budget!$A:$A,$C$3,Opex_Budget!$E:$E,$B$962,Opex_Budget!$F:$F,$D$962,Opex_Budget!$N:$N,"USD")*$F$5+SUMIFS(Opex_Budget!$W:$W,Opex_Budget!$A:$A,$C$3,Opex_Budget!$E:$E,$B$962,Opex_Budget!$F:$F,$D$962,Opex_Budget!$N:$N,"EUR")*$G$5+SUMIFS(Opex_Budget!$W:$W,Opex_Budget!$A:$A,$C$3,Opex_Budget!$E:$E,$B$962,Opex_Budget!$F:$F,$D$962,Opex_Budget!$N:$N,"GBP")*$H$5)</f>
        <v/>
      </c>
      <c r="Q962" s="32">
        <f>IF($B$962="","",SUMIFS(Opex_Budget!$X:$X,Opex_Budget!$A:$A,$C$3,Opex_Budget!$E:$E,$B$962,Opex_Budget!$F:$F,$D$962,Opex_Budget!$N:$N,"JPY")*$E$5+SUMIFS(Opex_Budget!$X:$X,Opex_Budget!$A:$A,$C$3,Opex_Budget!$E:$E,$B$962,Opex_Budget!$F:$F,$D$962,Opex_Budget!$N:$N,"USD")*$F$5+SUMIFS(Opex_Budget!$X:$X,Opex_Budget!$A:$A,$C$3,Opex_Budget!$E:$E,$B$962,Opex_Budget!$F:$F,$D$962,Opex_Budget!$N:$N,"EUR")*$G$5+SUMIFS(Opex_Budget!$X:$X,Opex_Budget!$A:$A,$C$3,Opex_Budget!$E:$E,$B$962,Opex_Budget!$F:$F,$D$962,Opex_Budget!$N:$N,"GBP")*$H$5)</f>
        <v/>
      </c>
      <c r="R962" s="32">
        <f>IF($B$962="","",SUMIFS(Opex_Budget!$Y:$Y,Opex_Budget!$A:$A,$C$3,Opex_Budget!$E:$E,$B$962,Opex_Budget!$F:$F,$D$962,Opex_Budget!$N:$N,"JPY")*$E$5+SUMIFS(Opex_Budget!$Y:$Y,Opex_Budget!$A:$A,$C$3,Opex_Budget!$E:$E,$B$962,Opex_Budget!$F:$F,$D$962,Opex_Budget!$N:$N,"USD")*$F$5+SUMIFS(Opex_Budget!$Y:$Y,Opex_Budget!$A:$A,$C$3,Opex_Budget!$E:$E,$B$962,Opex_Budget!$F:$F,$D$962,Opex_Budget!$N:$N,"EUR")*$G$5+SUMIFS(Opex_Budget!$Y:$Y,Opex_Budget!$A:$A,$C$3,Opex_Budget!$E:$E,$B$962,Opex_Budget!$F:$F,$D$962,Opex_Budget!$N:$N,"GBP")*$H$5)</f>
        <v/>
      </c>
      <c r="S962" s="32">
        <f>IF($B$962="","",SUMIFS(Opex_Budget!$Z:$Z,Opex_Budget!$A:$A,$C$3,Opex_Budget!$E:$E,$B$962,Opex_Budget!$F:$F,$D$962,Opex_Budget!$N:$N,"JPY")*$E$5+SUMIFS(Opex_Budget!$Z:$Z,Opex_Budget!$A:$A,$C$3,Opex_Budget!$E:$E,$B$962,Opex_Budget!$F:$F,$D$962,Opex_Budget!$N:$N,"USD")*$F$5+SUMIFS(Opex_Budget!$Z:$Z,Opex_Budget!$A:$A,$C$3,Opex_Budget!$E:$E,$B$962,Opex_Budget!$F:$F,$D$962,Opex_Budget!$N:$N,"EUR")*$G$5+SUMIFS(Opex_Budget!$Z:$Z,Opex_Budget!$A:$A,$C$3,Opex_Budget!$E:$E,$B$962,Opex_Budget!$F:$F,$D$962,Opex_Budget!$N:$N,"GBP")*$H$5)</f>
        <v/>
      </c>
      <c r="T962" s="32">
        <f>IF($B$962="","",SUMIF($H$7:$S$7,"&lt;="&amp;$C$4,$H962:$S962))</f>
        <v/>
      </c>
      <c r="U962" s="32">
        <f>IF($B$962="","",SUMIF($H$7:$S$7,"&gt;"&amp;$C$4,$H962:$S962))</f>
        <v/>
      </c>
      <c r="V962" s="32">
        <f>IF($B$962="","",SUM($H962:$S962))</f>
        <v/>
      </c>
      <c r="X962" s="22">
        <f>IF($B962="","",IFERROR(INDEX(Cost_Centers!$E:$E,MATCH($B962,Cost_Centers!$A:$A,0)),"(unknown)"))</f>
        <v/>
      </c>
      <c r="Y962" s="22">
        <f>IF($B962="","",IFERROR(INDEX(Cost_Centers!$D:$D,MATCH($B962,Cost_Centers!$A:$A,0)),"(unknown)"))</f>
        <v/>
      </c>
      <c r="Z962" s="22">
        <f>IF(OR($B962="",$G962&lt;&gt;"Variance vs Budget"),"",ABS(N($V962))+ROW()/1000000000)</f>
        <v/>
      </c>
    </row>
    <row r="963">
      <c r="A963" s="13">
        <f>IF(A$962="","",A$962)</f>
        <v/>
      </c>
      <c r="B963" s="13">
        <f>IF(B$962="","",B$962)</f>
        <v/>
      </c>
      <c r="C963" s="13">
        <f>IF(C$962="","",C$962)</f>
        <v/>
      </c>
      <c r="D963" s="13">
        <f>IF(D$962="","",D$962)</f>
        <v/>
      </c>
      <c r="E963" s="13">
        <f>IF(E$962="","",E$962)</f>
        <v/>
      </c>
      <c r="F963" s="13">
        <f>IF(F$962="","",F$962)</f>
        <v/>
      </c>
      <c r="G963" s="7" t="inlineStr">
        <is>
          <t>Actual</t>
        </is>
      </c>
      <c r="H963" s="18">
        <f>IF(OR($B$962="",1&gt;$C$4),"",SUMIFS(Actuals!$G:$G,Actuals!$B:$B,$C$3,Actuals!$C:$C,1,Actuals!$D:$D,$B$962,Actuals!$A:$A,LEFT($D$962,FIND("|",$D$962&amp;"|")-1),Actuals!$E:$E,MID($D$962,FIND("|",$D$962&amp;"|")+1,50),Actuals!$F:$F,"JPY")*$E$5+SUMIFS(Actuals!$G:$G,Actuals!$B:$B,$C$3,Actuals!$C:$C,1,Actuals!$D:$D,$B$962,Actuals!$A:$A,LEFT($D$962,FIND("|",$D$962&amp;"|")-1),Actuals!$E:$E,MID($D$962,FIND("|",$D$962&amp;"|")+1,50),Actuals!$F:$F,"USD")*$F$5+SUMIFS(Actuals!$G:$G,Actuals!$B:$B,$C$3,Actuals!$C:$C,1,Actuals!$D:$D,$B$962,Actuals!$A:$A,LEFT($D$962,FIND("|",$D$962&amp;"|")-1),Actuals!$E:$E,MID($D$962,FIND("|",$D$962&amp;"|")+1,50),Actuals!$F:$F,"EUR")*$G$5+SUMIFS(Actuals!$G:$G,Actuals!$B:$B,$C$3,Actuals!$C:$C,1,Actuals!$D:$D,$B$962,Actuals!$A:$A,LEFT($D$962,FIND("|",$D$962&amp;"|")-1),Actuals!$E:$E,MID($D$962,FIND("|",$D$962&amp;"|")+1,50),Actuals!$F:$F,"GBP")*$H$5)</f>
        <v/>
      </c>
      <c r="I963" s="18">
        <f>IF(OR($B$962="",2&gt;$C$4),"",SUMIFS(Actuals!$G:$G,Actuals!$B:$B,$C$3,Actuals!$C:$C,2,Actuals!$D:$D,$B$962,Actuals!$A:$A,LEFT($D$962,FIND("|",$D$962&amp;"|")-1),Actuals!$E:$E,MID($D$962,FIND("|",$D$962&amp;"|")+1,50),Actuals!$F:$F,"JPY")*$E$5+SUMIFS(Actuals!$G:$G,Actuals!$B:$B,$C$3,Actuals!$C:$C,2,Actuals!$D:$D,$B$962,Actuals!$A:$A,LEFT($D$962,FIND("|",$D$962&amp;"|")-1),Actuals!$E:$E,MID($D$962,FIND("|",$D$962&amp;"|")+1,50),Actuals!$F:$F,"USD")*$F$5+SUMIFS(Actuals!$G:$G,Actuals!$B:$B,$C$3,Actuals!$C:$C,2,Actuals!$D:$D,$B$962,Actuals!$A:$A,LEFT($D$962,FIND("|",$D$962&amp;"|")-1),Actuals!$E:$E,MID($D$962,FIND("|",$D$962&amp;"|")+1,50),Actuals!$F:$F,"EUR")*$G$5+SUMIFS(Actuals!$G:$G,Actuals!$B:$B,$C$3,Actuals!$C:$C,2,Actuals!$D:$D,$B$962,Actuals!$A:$A,LEFT($D$962,FIND("|",$D$962&amp;"|")-1),Actuals!$E:$E,MID($D$962,FIND("|",$D$962&amp;"|")+1,50),Actuals!$F:$F,"GBP")*$H$5)</f>
        <v/>
      </c>
      <c r="J963" s="18">
        <f>IF(OR($B$962="",3&gt;$C$4),"",SUMIFS(Actuals!$G:$G,Actuals!$B:$B,$C$3,Actuals!$C:$C,3,Actuals!$D:$D,$B$962,Actuals!$A:$A,LEFT($D$962,FIND("|",$D$962&amp;"|")-1),Actuals!$E:$E,MID($D$962,FIND("|",$D$962&amp;"|")+1,50),Actuals!$F:$F,"JPY")*$E$5+SUMIFS(Actuals!$G:$G,Actuals!$B:$B,$C$3,Actuals!$C:$C,3,Actuals!$D:$D,$B$962,Actuals!$A:$A,LEFT($D$962,FIND("|",$D$962&amp;"|")-1),Actuals!$E:$E,MID($D$962,FIND("|",$D$962&amp;"|")+1,50),Actuals!$F:$F,"USD")*$F$5+SUMIFS(Actuals!$G:$G,Actuals!$B:$B,$C$3,Actuals!$C:$C,3,Actuals!$D:$D,$B$962,Actuals!$A:$A,LEFT($D$962,FIND("|",$D$962&amp;"|")-1),Actuals!$E:$E,MID($D$962,FIND("|",$D$962&amp;"|")+1,50),Actuals!$F:$F,"EUR")*$G$5+SUMIFS(Actuals!$G:$G,Actuals!$B:$B,$C$3,Actuals!$C:$C,3,Actuals!$D:$D,$B$962,Actuals!$A:$A,LEFT($D$962,FIND("|",$D$962&amp;"|")-1),Actuals!$E:$E,MID($D$962,FIND("|",$D$962&amp;"|")+1,50),Actuals!$F:$F,"GBP")*$H$5)</f>
        <v/>
      </c>
      <c r="K963" s="18">
        <f>IF(OR($B$962="",4&gt;$C$4),"",SUMIFS(Actuals!$G:$G,Actuals!$B:$B,$C$3,Actuals!$C:$C,4,Actuals!$D:$D,$B$962,Actuals!$A:$A,LEFT($D$962,FIND("|",$D$962&amp;"|")-1),Actuals!$E:$E,MID($D$962,FIND("|",$D$962&amp;"|")+1,50),Actuals!$F:$F,"JPY")*$E$5+SUMIFS(Actuals!$G:$G,Actuals!$B:$B,$C$3,Actuals!$C:$C,4,Actuals!$D:$D,$B$962,Actuals!$A:$A,LEFT($D$962,FIND("|",$D$962&amp;"|")-1),Actuals!$E:$E,MID($D$962,FIND("|",$D$962&amp;"|")+1,50),Actuals!$F:$F,"USD")*$F$5+SUMIFS(Actuals!$G:$G,Actuals!$B:$B,$C$3,Actuals!$C:$C,4,Actuals!$D:$D,$B$962,Actuals!$A:$A,LEFT($D$962,FIND("|",$D$962&amp;"|")-1),Actuals!$E:$E,MID($D$962,FIND("|",$D$962&amp;"|")+1,50),Actuals!$F:$F,"EUR")*$G$5+SUMIFS(Actuals!$G:$G,Actuals!$B:$B,$C$3,Actuals!$C:$C,4,Actuals!$D:$D,$B$962,Actuals!$A:$A,LEFT($D$962,FIND("|",$D$962&amp;"|")-1),Actuals!$E:$E,MID($D$962,FIND("|",$D$962&amp;"|")+1,50),Actuals!$F:$F,"GBP")*$H$5)</f>
        <v/>
      </c>
      <c r="L963" s="18">
        <f>IF(OR($B$962="",5&gt;$C$4),"",SUMIFS(Actuals!$G:$G,Actuals!$B:$B,$C$3,Actuals!$C:$C,5,Actuals!$D:$D,$B$962,Actuals!$A:$A,LEFT($D$962,FIND("|",$D$962&amp;"|")-1),Actuals!$E:$E,MID($D$962,FIND("|",$D$962&amp;"|")+1,50),Actuals!$F:$F,"JPY")*$E$5+SUMIFS(Actuals!$G:$G,Actuals!$B:$B,$C$3,Actuals!$C:$C,5,Actuals!$D:$D,$B$962,Actuals!$A:$A,LEFT($D$962,FIND("|",$D$962&amp;"|")-1),Actuals!$E:$E,MID($D$962,FIND("|",$D$962&amp;"|")+1,50),Actuals!$F:$F,"USD")*$F$5+SUMIFS(Actuals!$G:$G,Actuals!$B:$B,$C$3,Actuals!$C:$C,5,Actuals!$D:$D,$B$962,Actuals!$A:$A,LEFT($D$962,FIND("|",$D$962&amp;"|")-1),Actuals!$E:$E,MID($D$962,FIND("|",$D$962&amp;"|")+1,50),Actuals!$F:$F,"EUR")*$G$5+SUMIFS(Actuals!$G:$G,Actuals!$B:$B,$C$3,Actuals!$C:$C,5,Actuals!$D:$D,$B$962,Actuals!$A:$A,LEFT($D$962,FIND("|",$D$962&amp;"|")-1),Actuals!$E:$E,MID($D$962,FIND("|",$D$962&amp;"|")+1,50),Actuals!$F:$F,"GBP")*$H$5)</f>
        <v/>
      </c>
      <c r="M963" s="18">
        <f>IF(OR($B$962="",6&gt;$C$4),"",SUMIFS(Actuals!$G:$G,Actuals!$B:$B,$C$3,Actuals!$C:$C,6,Actuals!$D:$D,$B$962,Actuals!$A:$A,LEFT($D$962,FIND("|",$D$962&amp;"|")-1),Actuals!$E:$E,MID($D$962,FIND("|",$D$962&amp;"|")+1,50),Actuals!$F:$F,"JPY")*$E$5+SUMIFS(Actuals!$G:$G,Actuals!$B:$B,$C$3,Actuals!$C:$C,6,Actuals!$D:$D,$B$962,Actuals!$A:$A,LEFT($D$962,FIND("|",$D$962&amp;"|")-1),Actuals!$E:$E,MID($D$962,FIND("|",$D$962&amp;"|")+1,50),Actuals!$F:$F,"USD")*$F$5+SUMIFS(Actuals!$G:$G,Actuals!$B:$B,$C$3,Actuals!$C:$C,6,Actuals!$D:$D,$B$962,Actuals!$A:$A,LEFT($D$962,FIND("|",$D$962&amp;"|")-1),Actuals!$E:$E,MID($D$962,FIND("|",$D$962&amp;"|")+1,50),Actuals!$F:$F,"EUR")*$G$5+SUMIFS(Actuals!$G:$G,Actuals!$B:$B,$C$3,Actuals!$C:$C,6,Actuals!$D:$D,$B$962,Actuals!$A:$A,LEFT($D$962,FIND("|",$D$962&amp;"|")-1),Actuals!$E:$E,MID($D$962,FIND("|",$D$962&amp;"|")+1,50),Actuals!$F:$F,"GBP")*$H$5)</f>
        <v/>
      </c>
      <c r="N963" s="18">
        <f>IF(OR($B$962="",7&gt;$C$4),"",SUMIFS(Actuals!$G:$G,Actuals!$B:$B,$C$3,Actuals!$C:$C,7,Actuals!$D:$D,$B$962,Actuals!$A:$A,LEFT($D$962,FIND("|",$D$962&amp;"|")-1),Actuals!$E:$E,MID($D$962,FIND("|",$D$962&amp;"|")+1,50),Actuals!$F:$F,"JPY")*$E$5+SUMIFS(Actuals!$G:$G,Actuals!$B:$B,$C$3,Actuals!$C:$C,7,Actuals!$D:$D,$B$962,Actuals!$A:$A,LEFT($D$962,FIND("|",$D$962&amp;"|")-1),Actuals!$E:$E,MID($D$962,FIND("|",$D$962&amp;"|")+1,50),Actuals!$F:$F,"USD")*$F$5+SUMIFS(Actuals!$G:$G,Actuals!$B:$B,$C$3,Actuals!$C:$C,7,Actuals!$D:$D,$B$962,Actuals!$A:$A,LEFT($D$962,FIND("|",$D$962&amp;"|")-1),Actuals!$E:$E,MID($D$962,FIND("|",$D$962&amp;"|")+1,50),Actuals!$F:$F,"EUR")*$G$5+SUMIFS(Actuals!$G:$G,Actuals!$B:$B,$C$3,Actuals!$C:$C,7,Actuals!$D:$D,$B$962,Actuals!$A:$A,LEFT($D$962,FIND("|",$D$962&amp;"|")-1),Actuals!$E:$E,MID($D$962,FIND("|",$D$962&amp;"|")+1,50),Actuals!$F:$F,"GBP")*$H$5)</f>
        <v/>
      </c>
      <c r="O963" s="18">
        <f>IF(OR($B$962="",8&gt;$C$4),"",SUMIFS(Actuals!$G:$G,Actuals!$B:$B,$C$3,Actuals!$C:$C,8,Actuals!$D:$D,$B$962,Actuals!$A:$A,LEFT($D$962,FIND("|",$D$962&amp;"|")-1),Actuals!$E:$E,MID($D$962,FIND("|",$D$962&amp;"|")+1,50),Actuals!$F:$F,"JPY")*$E$5+SUMIFS(Actuals!$G:$G,Actuals!$B:$B,$C$3,Actuals!$C:$C,8,Actuals!$D:$D,$B$962,Actuals!$A:$A,LEFT($D$962,FIND("|",$D$962&amp;"|")-1),Actuals!$E:$E,MID($D$962,FIND("|",$D$962&amp;"|")+1,50),Actuals!$F:$F,"USD")*$F$5+SUMIFS(Actuals!$G:$G,Actuals!$B:$B,$C$3,Actuals!$C:$C,8,Actuals!$D:$D,$B$962,Actuals!$A:$A,LEFT($D$962,FIND("|",$D$962&amp;"|")-1),Actuals!$E:$E,MID($D$962,FIND("|",$D$962&amp;"|")+1,50),Actuals!$F:$F,"EUR")*$G$5+SUMIFS(Actuals!$G:$G,Actuals!$B:$B,$C$3,Actuals!$C:$C,8,Actuals!$D:$D,$B$962,Actuals!$A:$A,LEFT($D$962,FIND("|",$D$962&amp;"|")-1),Actuals!$E:$E,MID($D$962,FIND("|",$D$962&amp;"|")+1,50),Actuals!$F:$F,"GBP")*$H$5)</f>
        <v/>
      </c>
      <c r="P963" s="18">
        <f>IF(OR($B$962="",9&gt;$C$4),"",SUMIFS(Actuals!$G:$G,Actuals!$B:$B,$C$3,Actuals!$C:$C,9,Actuals!$D:$D,$B$962,Actuals!$A:$A,LEFT($D$962,FIND("|",$D$962&amp;"|")-1),Actuals!$E:$E,MID($D$962,FIND("|",$D$962&amp;"|")+1,50),Actuals!$F:$F,"JPY")*$E$5+SUMIFS(Actuals!$G:$G,Actuals!$B:$B,$C$3,Actuals!$C:$C,9,Actuals!$D:$D,$B$962,Actuals!$A:$A,LEFT($D$962,FIND("|",$D$962&amp;"|")-1),Actuals!$E:$E,MID($D$962,FIND("|",$D$962&amp;"|")+1,50),Actuals!$F:$F,"USD")*$F$5+SUMIFS(Actuals!$G:$G,Actuals!$B:$B,$C$3,Actuals!$C:$C,9,Actuals!$D:$D,$B$962,Actuals!$A:$A,LEFT($D$962,FIND("|",$D$962&amp;"|")-1),Actuals!$E:$E,MID($D$962,FIND("|",$D$962&amp;"|")+1,50),Actuals!$F:$F,"EUR")*$G$5+SUMIFS(Actuals!$G:$G,Actuals!$B:$B,$C$3,Actuals!$C:$C,9,Actuals!$D:$D,$B$962,Actuals!$A:$A,LEFT($D$962,FIND("|",$D$962&amp;"|")-1),Actuals!$E:$E,MID($D$962,FIND("|",$D$962&amp;"|")+1,50),Actuals!$F:$F,"GBP")*$H$5)</f>
        <v/>
      </c>
      <c r="Q963" s="18">
        <f>IF(OR($B$962="",10&gt;$C$4),"",SUMIFS(Actuals!$G:$G,Actuals!$B:$B,$C$3,Actuals!$C:$C,10,Actuals!$D:$D,$B$962,Actuals!$A:$A,LEFT($D$962,FIND("|",$D$962&amp;"|")-1),Actuals!$E:$E,MID($D$962,FIND("|",$D$962&amp;"|")+1,50),Actuals!$F:$F,"JPY")*$E$5+SUMIFS(Actuals!$G:$G,Actuals!$B:$B,$C$3,Actuals!$C:$C,10,Actuals!$D:$D,$B$962,Actuals!$A:$A,LEFT($D$962,FIND("|",$D$962&amp;"|")-1),Actuals!$E:$E,MID($D$962,FIND("|",$D$962&amp;"|")+1,50),Actuals!$F:$F,"USD")*$F$5+SUMIFS(Actuals!$G:$G,Actuals!$B:$B,$C$3,Actuals!$C:$C,10,Actuals!$D:$D,$B$962,Actuals!$A:$A,LEFT($D$962,FIND("|",$D$962&amp;"|")-1),Actuals!$E:$E,MID($D$962,FIND("|",$D$962&amp;"|")+1,50),Actuals!$F:$F,"EUR")*$G$5+SUMIFS(Actuals!$G:$G,Actuals!$B:$B,$C$3,Actuals!$C:$C,10,Actuals!$D:$D,$B$962,Actuals!$A:$A,LEFT($D$962,FIND("|",$D$962&amp;"|")-1),Actuals!$E:$E,MID($D$962,FIND("|",$D$962&amp;"|")+1,50),Actuals!$F:$F,"GBP")*$H$5)</f>
        <v/>
      </c>
      <c r="R963" s="18">
        <f>IF(OR($B$962="",11&gt;$C$4),"",SUMIFS(Actuals!$G:$G,Actuals!$B:$B,$C$3,Actuals!$C:$C,11,Actuals!$D:$D,$B$962,Actuals!$A:$A,LEFT($D$962,FIND("|",$D$962&amp;"|")-1),Actuals!$E:$E,MID($D$962,FIND("|",$D$962&amp;"|")+1,50),Actuals!$F:$F,"JPY")*$E$5+SUMIFS(Actuals!$G:$G,Actuals!$B:$B,$C$3,Actuals!$C:$C,11,Actuals!$D:$D,$B$962,Actuals!$A:$A,LEFT($D$962,FIND("|",$D$962&amp;"|")-1),Actuals!$E:$E,MID($D$962,FIND("|",$D$962&amp;"|")+1,50),Actuals!$F:$F,"USD")*$F$5+SUMIFS(Actuals!$G:$G,Actuals!$B:$B,$C$3,Actuals!$C:$C,11,Actuals!$D:$D,$B$962,Actuals!$A:$A,LEFT($D$962,FIND("|",$D$962&amp;"|")-1),Actuals!$E:$E,MID($D$962,FIND("|",$D$962&amp;"|")+1,50),Actuals!$F:$F,"EUR")*$G$5+SUMIFS(Actuals!$G:$G,Actuals!$B:$B,$C$3,Actuals!$C:$C,11,Actuals!$D:$D,$B$962,Actuals!$A:$A,LEFT($D$962,FIND("|",$D$962&amp;"|")-1),Actuals!$E:$E,MID($D$962,FIND("|",$D$962&amp;"|")+1,50),Actuals!$F:$F,"GBP")*$H$5)</f>
        <v/>
      </c>
      <c r="S963" s="18">
        <f>IF(OR($B$962="",12&gt;$C$4),"",SUMIFS(Actuals!$G:$G,Actuals!$B:$B,$C$3,Actuals!$C:$C,12,Actuals!$D:$D,$B$962,Actuals!$A:$A,LEFT($D$962,FIND("|",$D$962&amp;"|")-1),Actuals!$E:$E,MID($D$962,FIND("|",$D$962&amp;"|")+1,50),Actuals!$F:$F,"JPY")*$E$5+SUMIFS(Actuals!$G:$G,Actuals!$B:$B,$C$3,Actuals!$C:$C,12,Actuals!$D:$D,$B$962,Actuals!$A:$A,LEFT($D$962,FIND("|",$D$962&amp;"|")-1),Actuals!$E:$E,MID($D$962,FIND("|",$D$962&amp;"|")+1,50),Actuals!$F:$F,"USD")*$F$5+SUMIFS(Actuals!$G:$G,Actuals!$B:$B,$C$3,Actuals!$C:$C,12,Actuals!$D:$D,$B$962,Actuals!$A:$A,LEFT($D$962,FIND("|",$D$962&amp;"|")-1),Actuals!$E:$E,MID($D$962,FIND("|",$D$962&amp;"|")+1,50),Actuals!$F:$F,"EUR")*$G$5+SUMIFS(Actuals!$G:$G,Actuals!$B:$B,$C$3,Actuals!$C:$C,12,Actuals!$D:$D,$B$962,Actuals!$A:$A,LEFT($D$962,FIND("|",$D$962&amp;"|")-1),Actuals!$E:$E,MID($D$962,FIND("|",$D$962&amp;"|")+1,50),Actuals!$F:$F,"GBP")*$H$5)</f>
        <v/>
      </c>
      <c r="T963" s="18">
        <f>IF($B$962="","",SUMIF($H$7:$S$7,"&lt;="&amp;$C$4,$H963:$S963))</f>
        <v/>
      </c>
      <c r="U963" s="18" t="n"/>
      <c r="V963" s="18" t="n"/>
      <c r="X963" s="22">
        <f>IF($B963="","",IFERROR(INDEX(Cost_Centers!$E:$E,MATCH($B963,Cost_Centers!$A:$A,0)),"(unknown)"))</f>
        <v/>
      </c>
      <c r="Y963" s="22">
        <f>IF($B963="","",IFERROR(INDEX(Cost_Centers!$D:$D,MATCH($B963,Cost_Centers!$A:$A,0)),"(unknown)"))</f>
        <v/>
      </c>
      <c r="Z963" s="22">
        <f>IF(OR($B963="",$G963&lt;&gt;"Variance vs Budget"),"",ABS(N($V963))+ROW()/1000000000)</f>
        <v/>
      </c>
    </row>
    <row r="964">
      <c r="A964" s="13">
        <f>IF(A$962="","",A$962)</f>
        <v/>
      </c>
      <c r="B964" s="13">
        <f>IF(B$962="","",B$962)</f>
        <v/>
      </c>
      <c r="C964" s="13">
        <f>IF(C$962="","",C$962)</f>
        <v/>
      </c>
      <c r="D964" s="13">
        <f>IF(D$962="","",D$962)</f>
        <v/>
      </c>
      <c r="E964" s="13">
        <f>IF(E$962="","",E$962)</f>
        <v/>
      </c>
      <c r="F964" s="13">
        <f>IF(F$962="","",F$962)</f>
        <v/>
      </c>
      <c r="G964" s="6" t="inlineStr">
        <is>
          <t>Variance vs Budget</t>
        </is>
      </c>
      <c r="H964" s="33">
        <f>IF(OR($B$962="",1&gt;$C$4),"",N(H963)-H962)</f>
        <v/>
      </c>
      <c r="I964" s="33">
        <f>IF(OR($B$962="",2&gt;$C$4),"",N(I963)-I962)</f>
        <v/>
      </c>
      <c r="J964" s="33">
        <f>IF(OR($B$962="",3&gt;$C$4),"",N(J963)-J962)</f>
        <v/>
      </c>
      <c r="K964" s="33">
        <f>IF(OR($B$962="",4&gt;$C$4),"",N(K963)-K962)</f>
        <v/>
      </c>
      <c r="L964" s="33">
        <f>IF(OR($B$962="",5&gt;$C$4),"",N(L963)-L962)</f>
        <v/>
      </c>
      <c r="M964" s="33">
        <f>IF(OR($B$962="",6&gt;$C$4),"",N(M963)-M962)</f>
        <v/>
      </c>
      <c r="N964" s="33">
        <f>IF(OR($B$962="",7&gt;$C$4),"",N(N963)-N962)</f>
        <v/>
      </c>
      <c r="O964" s="33">
        <f>IF(OR($B$962="",8&gt;$C$4),"",N(O963)-O962)</f>
        <v/>
      </c>
      <c r="P964" s="33">
        <f>IF(OR($B$962="",9&gt;$C$4),"",N(P963)-P962)</f>
        <v/>
      </c>
      <c r="Q964" s="33">
        <f>IF(OR($B$962="",10&gt;$C$4),"",N(Q963)-Q962)</f>
        <v/>
      </c>
      <c r="R964" s="33">
        <f>IF(OR($B$962="",11&gt;$C$4),"",N(R963)-R962)</f>
        <v/>
      </c>
      <c r="S964" s="33">
        <f>IF(OR($B$962="",12&gt;$C$4),"",N(S963)-S962)</f>
        <v/>
      </c>
      <c r="T964" s="33">
        <f>IF($B$962="","",T963-T962)</f>
        <v/>
      </c>
      <c r="U964" s="33">
        <f>IF($B$962="","",U966-U962)</f>
        <v/>
      </c>
      <c r="V964" s="33">
        <f>IF($B$962="","",V966-V962)</f>
        <v/>
      </c>
      <c r="X964" s="22">
        <f>IF($B964="","",IFERROR(INDEX(Cost_Centers!$E:$E,MATCH($B964,Cost_Centers!$A:$A,0)),"(unknown)"))</f>
        <v/>
      </c>
      <c r="Y964" s="22">
        <f>IF($B964="","",IFERROR(INDEX(Cost_Centers!$D:$D,MATCH($B964,Cost_Centers!$A:$A,0)),"(unknown)"))</f>
        <v/>
      </c>
      <c r="Z964" s="22">
        <f>IF(OR($B964="",$G964&lt;&gt;"Variance vs Budget"),"",ABS(N($V964))+ROW()/1000000000)</f>
        <v/>
      </c>
    </row>
    <row r="965">
      <c r="A965" s="13">
        <f>IF(A$962="","",A$962)</f>
        <v/>
      </c>
      <c r="B965" s="13">
        <f>IF(B$962="","",B$962)</f>
        <v/>
      </c>
      <c r="C965" s="13">
        <f>IF(C$962="","",C$962)</f>
        <v/>
      </c>
      <c r="D965" s="13">
        <f>IF(D$962="","",D$962)</f>
        <v/>
      </c>
      <c r="E965" s="13">
        <f>IF(E$962="","",E$962)</f>
        <v/>
      </c>
      <c r="F965" s="13">
        <f>IF(F$962="","",F$962)</f>
        <v/>
      </c>
      <c r="G965" s="7" t="inlineStr">
        <is>
          <t>Forecast (input)</t>
        </is>
      </c>
      <c r="H965" s="34" t="n"/>
      <c r="I965" s="34" t="n"/>
      <c r="J965" s="34" t="n"/>
      <c r="K965" s="34" t="n"/>
      <c r="L965" s="34" t="n"/>
      <c r="M965" s="34" t="n"/>
      <c r="N965" s="34" t="n"/>
      <c r="O965" s="34" t="n"/>
      <c r="P965" s="34" t="n"/>
      <c r="Q965" s="34" t="n"/>
      <c r="R965" s="34" t="n"/>
      <c r="S965" s="34" t="n"/>
      <c r="T965" s="18" t="n"/>
      <c r="U965" s="18" t="n"/>
      <c r="V965" s="18" t="n"/>
      <c r="X965" s="22">
        <f>IF($B965="","",IFERROR(INDEX(Cost_Centers!$E:$E,MATCH($B965,Cost_Centers!$A:$A,0)),"(unknown)"))</f>
        <v/>
      </c>
      <c r="Y965" s="22">
        <f>IF($B965="","",IFERROR(INDEX(Cost_Centers!$D:$D,MATCH($B965,Cost_Centers!$A:$A,0)),"(unknown)"))</f>
        <v/>
      </c>
      <c r="Z965" s="22">
        <f>IF(OR($B965="",$G965&lt;&gt;"Variance vs Budget"),"",ABS(N($V965))+ROW()/1000000000)</f>
        <v/>
      </c>
    </row>
    <row r="966">
      <c r="A966" s="13">
        <f>IF(A$962="","",A$962)</f>
        <v/>
      </c>
      <c r="B966" s="13">
        <f>IF(B$962="","",B$962)</f>
        <v/>
      </c>
      <c r="C966" s="13">
        <f>IF(C$962="","",C$962)</f>
        <v/>
      </c>
      <c r="D966" s="13">
        <f>IF(D$962="","",D$962)</f>
        <v/>
      </c>
      <c r="E966" s="13">
        <f>IF(E$962="","",E$962)</f>
        <v/>
      </c>
      <c r="F966" s="13">
        <f>IF(F$962="","",F$962)</f>
        <v/>
      </c>
      <c r="G966" s="35" t="inlineStr">
        <is>
          <t>Actual + Forecast</t>
        </is>
      </c>
      <c r="H966" s="18">
        <f>IF($B$962="","",IF(1&lt;=$C$4,N(H963),IF(H965="",H962,H965)))</f>
        <v/>
      </c>
      <c r="I966" s="18">
        <f>IF($B$962="","",IF(2&lt;=$C$4,N(I963),IF(I965="",I962,I965)))</f>
        <v/>
      </c>
      <c r="J966" s="18">
        <f>IF($B$962="","",IF(3&lt;=$C$4,N(J963),IF(J965="",J962,J965)))</f>
        <v/>
      </c>
      <c r="K966" s="18">
        <f>IF($B$962="","",IF(4&lt;=$C$4,N(K963),IF(K965="",K962,K965)))</f>
        <v/>
      </c>
      <c r="L966" s="18">
        <f>IF($B$962="","",IF(5&lt;=$C$4,N(L963),IF(L965="",L962,L965)))</f>
        <v/>
      </c>
      <c r="M966" s="18">
        <f>IF($B$962="","",IF(6&lt;=$C$4,N(M963),IF(M965="",M962,M965)))</f>
        <v/>
      </c>
      <c r="N966" s="18">
        <f>IF($B$962="","",IF(7&lt;=$C$4,N(N963),IF(N965="",N962,N965)))</f>
        <v/>
      </c>
      <c r="O966" s="18">
        <f>IF($B$962="","",IF(8&lt;=$C$4,N(O963),IF(O965="",O962,O965)))</f>
        <v/>
      </c>
      <c r="P966" s="18">
        <f>IF($B$962="","",IF(9&lt;=$C$4,N(P963),IF(P965="",P962,P965)))</f>
        <v/>
      </c>
      <c r="Q966" s="18">
        <f>IF($B$962="","",IF(10&lt;=$C$4,N(Q963),IF(Q965="",Q962,Q965)))</f>
        <v/>
      </c>
      <c r="R966" s="18">
        <f>IF($B$962="","",IF(11&lt;=$C$4,N(R963),IF(R965="",R962,R965)))</f>
        <v/>
      </c>
      <c r="S966" s="18">
        <f>IF($B$962="","",IF(12&lt;=$C$4,N(S963),IF(S965="",S962,S965)))</f>
        <v/>
      </c>
      <c r="T966" s="18">
        <f>IF($B$962="","",SUMIF($H$7:$S$7,"&lt;="&amp;$C$4,$H966:$S966))</f>
        <v/>
      </c>
      <c r="U966" s="18">
        <f>IF($B$962="","",SUMIF($H$7:$S$7,"&gt;"&amp;$C$4,$H966:$S966))</f>
        <v/>
      </c>
      <c r="V966" s="18">
        <f>IF($B$962="","",SUM($H966:$S966))</f>
        <v/>
      </c>
      <c r="X966" s="22">
        <f>IF($B966="","",IFERROR(INDEX(Cost_Centers!$E:$E,MATCH($B966,Cost_Centers!$A:$A,0)),"(unknown)"))</f>
        <v/>
      </c>
      <c r="Y966" s="22">
        <f>IF($B966="","",IFERROR(INDEX(Cost_Centers!$D:$D,MATCH($B966,Cost_Centers!$A:$A,0)),"(unknown)"))</f>
        <v/>
      </c>
      <c r="Z966" s="22">
        <f>IF(OR($B966="",$G966&lt;&gt;"Variance vs Budget"),"",ABS(N($V966))+ROW()/1000000000)</f>
        <v/>
      </c>
    </row>
    <row r="967">
      <c r="A967" s="13">
        <f>IF(A$962="","",A$962)</f>
        <v/>
      </c>
      <c r="B967" s="13">
        <f>IF(B$962="","",B$962)</f>
        <v/>
      </c>
      <c r="C967" s="13">
        <f>IF(C$962="","",C$962)</f>
        <v/>
      </c>
      <c r="D967" s="13">
        <f>IF(D$962="","",D$962)</f>
        <v/>
      </c>
      <c r="E967" s="13">
        <f>IF(E$962="","",E$962)</f>
        <v/>
      </c>
      <c r="F967" s="13">
        <f>IF(F$962="","",F$962)</f>
        <v/>
      </c>
      <c r="G967" s="36" t="inlineStr">
        <is>
          <t>Prior Month Forecast</t>
        </is>
      </c>
      <c r="H967" s="37">
        <f>IF($B$962="","",IF(COUNTIFS(Prior_Forecast!$A:$A,$B$962,Prior_Forecast!$B:$B,$D$962)&gt;0,SUMIFS(Prior_Forecast!$C:$C,Prior_Forecast!$A:$A,$B$962,Prior_Forecast!$B:$B,$D$962),""))</f>
        <v/>
      </c>
      <c r="I967" s="37">
        <f>IF($B$962="","",IF(COUNTIFS(Prior_Forecast!$A:$A,$B$962,Prior_Forecast!$B:$B,$D$962)&gt;0,SUMIFS(Prior_Forecast!$D:$D,Prior_Forecast!$A:$A,$B$962,Prior_Forecast!$B:$B,$D$962),""))</f>
        <v/>
      </c>
      <c r="J967" s="37">
        <f>IF($B$962="","",IF(COUNTIFS(Prior_Forecast!$A:$A,$B$962,Prior_Forecast!$B:$B,$D$962)&gt;0,SUMIFS(Prior_Forecast!$E:$E,Prior_Forecast!$A:$A,$B$962,Prior_Forecast!$B:$B,$D$962),""))</f>
        <v/>
      </c>
      <c r="K967" s="37">
        <f>IF($B$962="","",IF(COUNTIFS(Prior_Forecast!$A:$A,$B$962,Prior_Forecast!$B:$B,$D$962)&gt;0,SUMIFS(Prior_Forecast!$F:$F,Prior_Forecast!$A:$A,$B$962,Prior_Forecast!$B:$B,$D$962),""))</f>
        <v/>
      </c>
      <c r="L967" s="37">
        <f>IF($B$962="","",IF(COUNTIFS(Prior_Forecast!$A:$A,$B$962,Prior_Forecast!$B:$B,$D$962)&gt;0,SUMIFS(Prior_Forecast!$G:$G,Prior_Forecast!$A:$A,$B$962,Prior_Forecast!$B:$B,$D$962),""))</f>
        <v/>
      </c>
      <c r="M967" s="37">
        <f>IF($B$962="","",IF(COUNTIFS(Prior_Forecast!$A:$A,$B$962,Prior_Forecast!$B:$B,$D$962)&gt;0,SUMIFS(Prior_Forecast!$H:$H,Prior_Forecast!$A:$A,$B$962,Prior_Forecast!$B:$B,$D$962),""))</f>
        <v/>
      </c>
      <c r="N967" s="37">
        <f>IF($B$962="","",IF(COUNTIFS(Prior_Forecast!$A:$A,$B$962,Prior_Forecast!$B:$B,$D$962)&gt;0,SUMIFS(Prior_Forecast!$I:$I,Prior_Forecast!$A:$A,$B$962,Prior_Forecast!$B:$B,$D$962),""))</f>
        <v/>
      </c>
      <c r="O967" s="37">
        <f>IF($B$962="","",IF(COUNTIFS(Prior_Forecast!$A:$A,$B$962,Prior_Forecast!$B:$B,$D$962)&gt;0,SUMIFS(Prior_Forecast!$J:$J,Prior_Forecast!$A:$A,$B$962,Prior_Forecast!$B:$B,$D$962),""))</f>
        <v/>
      </c>
      <c r="P967" s="37">
        <f>IF($B$962="","",IF(COUNTIFS(Prior_Forecast!$A:$A,$B$962,Prior_Forecast!$B:$B,$D$962)&gt;0,SUMIFS(Prior_Forecast!$K:$K,Prior_Forecast!$A:$A,$B$962,Prior_Forecast!$B:$B,$D$962),""))</f>
        <v/>
      </c>
      <c r="Q967" s="37">
        <f>IF($B$962="","",IF(COUNTIFS(Prior_Forecast!$A:$A,$B$962,Prior_Forecast!$B:$B,$D$962)&gt;0,SUMIFS(Prior_Forecast!$L:$L,Prior_Forecast!$A:$A,$B$962,Prior_Forecast!$B:$B,$D$962),""))</f>
        <v/>
      </c>
      <c r="R967" s="37">
        <f>IF($B$962="","",IF(COUNTIFS(Prior_Forecast!$A:$A,$B$962,Prior_Forecast!$B:$B,$D$962)&gt;0,SUMIFS(Prior_Forecast!$M:$M,Prior_Forecast!$A:$A,$B$962,Prior_Forecast!$B:$B,$D$962),""))</f>
        <v/>
      </c>
      <c r="S967" s="37">
        <f>IF($B$962="","",IF(COUNTIFS(Prior_Forecast!$A:$A,$B$962,Prior_Forecast!$B:$B,$D$962)&gt;0,SUMIFS(Prior_Forecast!$N:$N,Prior_Forecast!$A:$A,$B$962,Prior_Forecast!$B:$B,$D$962),""))</f>
        <v/>
      </c>
      <c r="T967" s="37">
        <f>IF($B$962="","",IF(COUNTIFS(Prior_Forecast!$A:$A,$B$962,Prior_Forecast!$B:$B,$D$962)&gt;0,SUMIFS(Prior_Forecast!$O:$O,Prior_Forecast!$A:$A,$B$962,Prior_Forecast!$B:$B,$D$962),""))</f>
        <v/>
      </c>
      <c r="U967" s="37">
        <f>IF($B$962="","",IF(COUNTIFS(Prior_Forecast!$A:$A,$B$962,Prior_Forecast!$B:$B,$D$962)&gt;0,SUMIFS(Prior_Forecast!$P:$P,Prior_Forecast!$A:$A,$B$962,Prior_Forecast!$B:$B,$D$962),""))</f>
        <v/>
      </c>
      <c r="V967" s="37">
        <f>IF($B$962="","",IF(COUNTIFS(Prior_Forecast!$A:$A,$B$962,Prior_Forecast!$B:$B,$D$962)&gt;0,SUMIFS(Prior_Forecast!$Q:$Q,Prior_Forecast!$A:$A,$B$962,Prior_Forecast!$B:$B,$D$962),""))</f>
        <v/>
      </c>
      <c r="X967" s="22">
        <f>IF($B967="","",IFERROR(INDEX(Cost_Centers!$E:$E,MATCH($B967,Cost_Centers!$A:$A,0)),"(unknown)"))</f>
        <v/>
      </c>
      <c r="Y967" s="22">
        <f>IF($B967="","",IFERROR(INDEX(Cost_Centers!$D:$D,MATCH($B967,Cost_Centers!$A:$A,0)),"(unknown)"))</f>
        <v/>
      </c>
      <c r="Z967" s="22">
        <f>IF(OR($B967="",$G967&lt;&gt;"Variance vs Budget"),"",ABS(N($V967))+ROW()/1000000000)</f>
        <v/>
      </c>
    </row>
    <row r="968">
      <c r="A968" s="13">
        <f>IF(A$962="","",A$962)</f>
        <v/>
      </c>
      <c r="B968" s="13">
        <f>IF(B$962="","",B$962)</f>
        <v/>
      </c>
      <c r="C968" s="13">
        <f>IF(C$962="","",C$962)</f>
        <v/>
      </c>
      <c r="D968" s="13">
        <f>IF(D$962="","",D$962)</f>
        <v/>
      </c>
      <c r="E968" s="13">
        <f>IF(E$962="","",E$962)</f>
        <v/>
      </c>
      <c r="F968" s="13">
        <f>IF(F$962="","",F$962)</f>
        <v/>
      </c>
      <c r="G968" s="6" t="inlineStr">
        <is>
          <t>Variance vs Prior Month</t>
        </is>
      </c>
      <c r="H968" s="33">
        <f>IF(OR($B$962="",H967=""),"",H966-H967)</f>
        <v/>
      </c>
      <c r="I968" s="33">
        <f>IF(OR($B$962="",I967=""),"",I966-I967)</f>
        <v/>
      </c>
      <c r="J968" s="33">
        <f>IF(OR($B$962="",J967=""),"",J966-J967)</f>
        <v/>
      </c>
      <c r="K968" s="33">
        <f>IF(OR($B$962="",K967=""),"",K966-K967)</f>
        <v/>
      </c>
      <c r="L968" s="33">
        <f>IF(OR($B$962="",L967=""),"",L966-L967)</f>
        <v/>
      </c>
      <c r="M968" s="33">
        <f>IF(OR($B$962="",M967=""),"",M966-M967)</f>
        <v/>
      </c>
      <c r="N968" s="33">
        <f>IF(OR($B$962="",N967=""),"",N966-N967)</f>
        <v/>
      </c>
      <c r="O968" s="33">
        <f>IF(OR($B$962="",O967=""),"",O966-O967)</f>
        <v/>
      </c>
      <c r="P968" s="33">
        <f>IF(OR($B$962="",P967=""),"",P966-P967)</f>
        <v/>
      </c>
      <c r="Q968" s="33">
        <f>IF(OR($B$962="",Q967=""),"",Q966-Q967)</f>
        <v/>
      </c>
      <c r="R968" s="33">
        <f>IF(OR($B$962="",R967=""),"",R966-R967)</f>
        <v/>
      </c>
      <c r="S968" s="33">
        <f>IF(OR($B$962="",S967=""),"",S966-S967)</f>
        <v/>
      </c>
      <c r="T968" s="33">
        <f>IF(OR($B$962="",T967=""),"",T966-T967)</f>
        <v/>
      </c>
      <c r="U968" s="33">
        <f>IF(OR($B$962="",U967=""),"",U966-U967)</f>
        <v/>
      </c>
      <c r="V968" s="33">
        <f>IF(OR($B$962="",V967=""),"",V966-V967)</f>
        <v/>
      </c>
      <c r="X968" s="22">
        <f>IF($B968="","",IFERROR(INDEX(Cost_Centers!$E:$E,MATCH($B968,Cost_Centers!$A:$A,0)),"(unknown)"))</f>
        <v/>
      </c>
      <c r="Y968" s="22">
        <f>IF($B968="","",IFERROR(INDEX(Cost_Centers!$D:$D,MATCH($B968,Cost_Centers!$A:$A,0)),"(unknown)"))</f>
        <v/>
      </c>
      <c r="Z968" s="22">
        <f>IF(OR($B968="",$G968&lt;&gt;"Variance vs Budget"),"",ABS(N($V968))+ROW()/1000000000)</f>
        <v/>
      </c>
    </row>
    <row r="969" ht="45" customHeight="1">
      <c r="A969" s="13">
        <f>IF(A$962="","",A$962)</f>
        <v/>
      </c>
      <c r="B969" s="13">
        <f>IF(B$962="","",B$962)</f>
        <v/>
      </c>
      <c r="C969" s="13">
        <f>IF(C$962="","",C$962)</f>
        <v/>
      </c>
      <c r="D969" s="13">
        <f>IF(D$962="","",D$962)</f>
        <v/>
      </c>
      <c r="E969" s="13">
        <f>IF(E$962="","",E$962)</f>
        <v/>
      </c>
      <c r="F969" s="13">
        <f>IF(F$962="","",F$962)</f>
        <v/>
      </c>
      <c r="G969" s="7" t="inlineStr">
        <is>
          <t>Rationale</t>
        </is>
      </c>
      <c r="H969" s="38" t="n"/>
      <c r="I969" s="38" t="n"/>
      <c r="J969" s="38" t="n"/>
      <c r="K969" s="38" t="n"/>
      <c r="L969" s="38" t="n"/>
      <c r="M969" s="38" t="n"/>
      <c r="N969" s="38" t="n"/>
      <c r="O969" s="38" t="n"/>
      <c r="P969" s="38" t="n"/>
      <c r="Q969" s="38" t="n"/>
      <c r="R969" s="38" t="n"/>
      <c r="S969" s="38" t="n"/>
      <c r="T969" s="38" t="n"/>
      <c r="U969" s="38" t="n"/>
      <c r="V969" s="7" t="n"/>
      <c r="X969" s="22">
        <f>IF($B969="","",IFERROR(INDEX(Cost_Centers!$E:$E,MATCH($B969,Cost_Centers!$A:$A,0)),"(unknown)"))</f>
        <v/>
      </c>
      <c r="Y969" s="22">
        <f>IF($B969="","",IFERROR(INDEX(Cost_Centers!$D:$D,MATCH($B969,Cost_Centers!$A:$A,0)),"(unknown)"))</f>
        <v/>
      </c>
      <c r="Z969" s="22">
        <f>IF(OR($B969="",$G969&lt;&gt;"Variance vs Budget"),"",ABS(N($V969))+ROW()/1000000000)</f>
        <v/>
      </c>
    </row>
    <row r="970">
      <c r="A970" s="30">
        <f>IF($D$970="","",LEFT($D$970,FIND("|",$D$970&amp;"|")-1))</f>
        <v/>
      </c>
      <c r="B970" s="31" t="n"/>
      <c r="C970" s="30">
        <f>IF($B$970="","",IFERROR(INDEX(Cost_Centers!$B:$B,MATCH($B$970,Cost_Centers!$A:$A,0)),"(not in master)"))</f>
        <v/>
      </c>
      <c r="D970" s="31" t="n"/>
      <c r="E970" s="30">
        <f>IF($D$970="","",IFERROR(INDEX(Accounts!$D:$D,MATCH($D$970,Accounts!$A:$A,0)),"(not in master)"))</f>
        <v/>
      </c>
      <c r="F970" s="31" t="n"/>
      <c r="G970" s="30" t="inlineStr">
        <is>
          <t>Budget</t>
        </is>
      </c>
      <c r="H970" s="32">
        <f>IF($B$970="","",SUMIFS(Opex_Budget!$O:$O,Opex_Budget!$A:$A,$C$3,Opex_Budget!$E:$E,$B$970,Opex_Budget!$F:$F,$D$970,Opex_Budget!$N:$N,"JPY")*$E$5+SUMIFS(Opex_Budget!$O:$O,Opex_Budget!$A:$A,$C$3,Opex_Budget!$E:$E,$B$970,Opex_Budget!$F:$F,$D$970,Opex_Budget!$N:$N,"USD")*$F$5+SUMIFS(Opex_Budget!$O:$O,Opex_Budget!$A:$A,$C$3,Opex_Budget!$E:$E,$B$970,Opex_Budget!$F:$F,$D$970,Opex_Budget!$N:$N,"EUR")*$G$5+SUMIFS(Opex_Budget!$O:$O,Opex_Budget!$A:$A,$C$3,Opex_Budget!$E:$E,$B$970,Opex_Budget!$F:$F,$D$970,Opex_Budget!$N:$N,"GBP")*$H$5)</f>
        <v/>
      </c>
      <c r="I970" s="32">
        <f>IF($B$970="","",SUMIFS(Opex_Budget!$P:$P,Opex_Budget!$A:$A,$C$3,Opex_Budget!$E:$E,$B$970,Opex_Budget!$F:$F,$D$970,Opex_Budget!$N:$N,"JPY")*$E$5+SUMIFS(Opex_Budget!$P:$P,Opex_Budget!$A:$A,$C$3,Opex_Budget!$E:$E,$B$970,Opex_Budget!$F:$F,$D$970,Opex_Budget!$N:$N,"USD")*$F$5+SUMIFS(Opex_Budget!$P:$P,Opex_Budget!$A:$A,$C$3,Opex_Budget!$E:$E,$B$970,Opex_Budget!$F:$F,$D$970,Opex_Budget!$N:$N,"EUR")*$G$5+SUMIFS(Opex_Budget!$P:$P,Opex_Budget!$A:$A,$C$3,Opex_Budget!$E:$E,$B$970,Opex_Budget!$F:$F,$D$970,Opex_Budget!$N:$N,"GBP")*$H$5)</f>
        <v/>
      </c>
      <c r="J970" s="32">
        <f>IF($B$970="","",SUMIFS(Opex_Budget!$Q:$Q,Opex_Budget!$A:$A,$C$3,Opex_Budget!$E:$E,$B$970,Opex_Budget!$F:$F,$D$970,Opex_Budget!$N:$N,"JPY")*$E$5+SUMIFS(Opex_Budget!$Q:$Q,Opex_Budget!$A:$A,$C$3,Opex_Budget!$E:$E,$B$970,Opex_Budget!$F:$F,$D$970,Opex_Budget!$N:$N,"USD")*$F$5+SUMIFS(Opex_Budget!$Q:$Q,Opex_Budget!$A:$A,$C$3,Opex_Budget!$E:$E,$B$970,Opex_Budget!$F:$F,$D$970,Opex_Budget!$N:$N,"EUR")*$G$5+SUMIFS(Opex_Budget!$Q:$Q,Opex_Budget!$A:$A,$C$3,Opex_Budget!$E:$E,$B$970,Opex_Budget!$F:$F,$D$970,Opex_Budget!$N:$N,"GBP")*$H$5)</f>
        <v/>
      </c>
      <c r="K970" s="32">
        <f>IF($B$970="","",SUMIFS(Opex_Budget!$R:$R,Opex_Budget!$A:$A,$C$3,Opex_Budget!$E:$E,$B$970,Opex_Budget!$F:$F,$D$970,Opex_Budget!$N:$N,"JPY")*$E$5+SUMIFS(Opex_Budget!$R:$R,Opex_Budget!$A:$A,$C$3,Opex_Budget!$E:$E,$B$970,Opex_Budget!$F:$F,$D$970,Opex_Budget!$N:$N,"USD")*$F$5+SUMIFS(Opex_Budget!$R:$R,Opex_Budget!$A:$A,$C$3,Opex_Budget!$E:$E,$B$970,Opex_Budget!$F:$F,$D$970,Opex_Budget!$N:$N,"EUR")*$G$5+SUMIFS(Opex_Budget!$R:$R,Opex_Budget!$A:$A,$C$3,Opex_Budget!$E:$E,$B$970,Opex_Budget!$F:$F,$D$970,Opex_Budget!$N:$N,"GBP")*$H$5)</f>
        <v/>
      </c>
      <c r="L970" s="32">
        <f>IF($B$970="","",SUMIFS(Opex_Budget!$S:$S,Opex_Budget!$A:$A,$C$3,Opex_Budget!$E:$E,$B$970,Opex_Budget!$F:$F,$D$970,Opex_Budget!$N:$N,"JPY")*$E$5+SUMIFS(Opex_Budget!$S:$S,Opex_Budget!$A:$A,$C$3,Opex_Budget!$E:$E,$B$970,Opex_Budget!$F:$F,$D$970,Opex_Budget!$N:$N,"USD")*$F$5+SUMIFS(Opex_Budget!$S:$S,Opex_Budget!$A:$A,$C$3,Opex_Budget!$E:$E,$B$970,Opex_Budget!$F:$F,$D$970,Opex_Budget!$N:$N,"EUR")*$G$5+SUMIFS(Opex_Budget!$S:$S,Opex_Budget!$A:$A,$C$3,Opex_Budget!$E:$E,$B$970,Opex_Budget!$F:$F,$D$970,Opex_Budget!$N:$N,"GBP")*$H$5)</f>
        <v/>
      </c>
      <c r="M970" s="32">
        <f>IF($B$970="","",SUMIFS(Opex_Budget!$T:$T,Opex_Budget!$A:$A,$C$3,Opex_Budget!$E:$E,$B$970,Opex_Budget!$F:$F,$D$970,Opex_Budget!$N:$N,"JPY")*$E$5+SUMIFS(Opex_Budget!$T:$T,Opex_Budget!$A:$A,$C$3,Opex_Budget!$E:$E,$B$970,Opex_Budget!$F:$F,$D$970,Opex_Budget!$N:$N,"USD")*$F$5+SUMIFS(Opex_Budget!$T:$T,Opex_Budget!$A:$A,$C$3,Opex_Budget!$E:$E,$B$970,Opex_Budget!$F:$F,$D$970,Opex_Budget!$N:$N,"EUR")*$G$5+SUMIFS(Opex_Budget!$T:$T,Opex_Budget!$A:$A,$C$3,Opex_Budget!$E:$E,$B$970,Opex_Budget!$F:$F,$D$970,Opex_Budget!$N:$N,"GBP")*$H$5)</f>
        <v/>
      </c>
      <c r="N970" s="32">
        <f>IF($B$970="","",SUMIFS(Opex_Budget!$U:$U,Opex_Budget!$A:$A,$C$3,Opex_Budget!$E:$E,$B$970,Opex_Budget!$F:$F,$D$970,Opex_Budget!$N:$N,"JPY")*$E$5+SUMIFS(Opex_Budget!$U:$U,Opex_Budget!$A:$A,$C$3,Opex_Budget!$E:$E,$B$970,Opex_Budget!$F:$F,$D$970,Opex_Budget!$N:$N,"USD")*$F$5+SUMIFS(Opex_Budget!$U:$U,Opex_Budget!$A:$A,$C$3,Opex_Budget!$E:$E,$B$970,Opex_Budget!$F:$F,$D$970,Opex_Budget!$N:$N,"EUR")*$G$5+SUMIFS(Opex_Budget!$U:$U,Opex_Budget!$A:$A,$C$3,Opex_Budget!$E:$E,$B$970,Opex_Budget!$F:$F,$D$970,Opex_Budget!$N:$N,"GBP")*$H$5)</f>
        <v/>
      </c>
      <c r="O970" s="32">
        <f>IF($B$970="","",SUMIFS(Opex_Budget!$V:$V,Opex_Budget!$A:$A,$C$3,Opex_Budget!$E:$E,$B$970,Opex_Budget!$F:$F,$D$970,Opex_Budget!$N:$N,"JPY")*$E$5+SUMIFS(Opex_Budget!$V:$V,Opex_Budget!$A:$A,$C$3,Opex_Budget!$E:$E,$B$970,Opex_Budget!$F:$F,$D$970,Opex_Budget!$N:$N,"USD")*$F$5+SUMIFS(Opex_Budget!$V:$V,Opex_Budget!$A:$A,$C$3,Opex_Budget!$E:$E,$B$970,Opex_Budget!$F:$F,$D$970,Opex_Budget!$N:$N,"EUR")*$G$5+SUMIFS(Opex_Budget!$V:$V,Opex_Budget!$A:$A,$C$3,Opex_Budget!$E:$E,$B$970,Opex_Budget!$F:$F,$D$970,Opex_Budget!$N:$N,"GBP")*$H$5)</f>
        <v/>
      </c>
      <c r="P970" s="32">
        <f>IF($B$970="","",SUMIFS(Opex_Budget!$W:$W,Opex_Budget!$A:$A,$C$3,Opex_Budget!$E:$E,$B$970,Opex_Budget!$F:$F,$D$970,Opex_Budget!$N:$N,"JPY")*$E$5+SUMIFS(Opex_Budget!$W:$W,Opex_Budget!$A:$A,$C$3,Opex_Budget!$E:$E,$B$970,Opex_Budget!$F:$F,$D$970,Opex_Budget!$N:$N,"USD")*$F$5+SUMIFS(Opex_Budget!$W:$W,Opex_Budget!$A:$A,$C$3,Opex_Budget!$E:$E,$B$970,Opex_Budget!$F:$F,$D$970,Opex_Budget!$N:$N,"EUR")*$G$5+SUMIFS(Opex_Budget!$W:$W,Opex_Budget!$A:$A,$C$3,Opex_Budget!$E:$E,$B$970,Opex_Budget!$F:$F,$D$970,Opex_Budget!$N:$N,"GBP")*$H$5)</f>
        <v/>
      </c>
      <c r="Q970" s="32">
        <f>IF($B$970="","",SUMIFS(Opex_Budget!$X:$X,Opex_Budget!$A:$A,$C$3,Opex_Budget!$E:$E,$B$970,Opex_Budget!$F:$F,$D$970,Opex_Budget!$N:$N,"JPY")*$E$5+SUMIFS(Opex_Budget!$X:$X,Opex_Budget!$A:$A,$C$3,Opex_Budget!$E:$E,$B$970,Opex_Budget!$F:$F,$D$970,Opex_Budget!$N:$N,"USD")*$F$5+SUMIFS(Opex_Budget!$X:$X,Opex_Budget!$A:$A,$C$3,Opex_Budget!$E:$E,$B$970,Opex_Budget!$F:$F,$D$970,Opex_Budget!$N:$N,"EUR")*$G$5+SUMIFS(Opex_Budget!$X:$X,Opex_Budget!$A:$A,$C$3,Opex_Budget!$E:$E,$B$970,Opex_Budget!$F:$F,$D$970,Opex_Budget!$N:$N,"GBP")*$H$5)</f>
        <v/>
      </c>
      <c r="R970" s="32">
        <f>IF($B$970="","",SUMIFS(Opex_Budget!$Y:$Y,Opex_Budget!$A:$A,$C$3,Opex_Budget!$E:$E,$B$970,Opex_Budget!$F:$F,$D$970,Opex_Budget!$N:$N,"JPY")*$E$5+SUMIFS(Opex_Budget!$Y:$Y,Opex_Budget!$A:$A,$C$3,Opex_Budget!$E:$E,$B$970,Opex_Budget!$F:$F,$D$970,Opex_Budget!$N:$N,"USD")*$F$5+SUMIFS(Opex_Budget!$Y:$Y,Opex_Budget!$A:$A,$C$3,Opex_Budget!$E:$E,$B$970,Opex_Budget!$F:$F,$D$970,Opex_Budget!$N:$N,"EUR")*$G$5+SUMIFS(Opex_Budget!$Y:$Y,Opex_Budget!$A:$A,$C$3,Opex_Budget!$E:$E,$B$970,Opex_Budget!$F:$F,$D$970,Opex_Budget!$N:$N,"GBP")*$H$5)</f>
        <v/>
      </c>
      <c r="S970" s="32">
        <f>IF($B$970="","",SUMIFS(Opex_Budget!$Z:$Z,Opex_Budget!$A:$A,$C$3,Opex_Budget!$E:$E,$B$970,Opex_Budget!$F:$F,$D$970,Opex_Budget!$N:$N,"JPY")*$E$5+SUMIFS(Opex_Budget!$Z:$Z,Opex_Budget!$A:$A,$C$3,Opex_Budget!$E:$E,$B$970,Opex_Budget!$F:$F,$D$970,Opex_Budget!$N:$N,"USD")*$F$5+SUMIFS(Opex_Budget!$Z:$Z,Opex_Budget!$A:$A,$C$3,Opex_Budget!$E:$E,$B$970,Opex_Budget!$F:$F,$D$970,Opex_Budget!$N:$N,"EUR")*$G$5+SUMIFS(Opex_Budget!$Z:$Z,Opex_Budget!$A:$A,$C$3,Opex_Budget!$E:$E,$B$970,Opex_Budget!$F:$F,$D$970,Opex_Budget!$N:$N,"GBP")*$H$5)</f>
        <v/>
      </c>
      <c r="T970" s="32">
        <f>IF($B$970="","",SUMIF($H$7:$S$7,"&lt;="&amp;$C$4,$H970:$S970))</f>
        <v/>
      </c>
      <c r="U970" s="32">
        <f>IF($B$970="","",SUMIF($H$7:$S$7,"&gt;"&amp;$C$4,$H970:$S970))</f>
        <v/>
      </c>
      <c r="V970" s="32">
        <f>IF($B$970="","",SUM($H970:$S970))</f>
        <v/>
      </c>
      <c r="X970" s="22">
        <f>IF($B970="","",IFERROR(INDEX(Cost_Centers!$E:$E,MATCH($B970,Cost_Centers!$A:$A,0)),"(unknown)"))</f>
        <v/>
      </c>
      <c r="Y970" s="22">
        <f>IF($B970="","",IFERROR(INDEX(Cost_Centers!$D:$D,MATCH($B970,Cost_Centers!$A:$A,0)),"(unknown)"))</f>
        <v/>
      </c>
      <c r="Z970" s="22">
        <f>IF(OR($B970="",$G970&lt;&gt;"Variance vs Budget"),"",ABS(N($V970))+ROW()/1000000000)</f>
        <v/>
      </c>
    </row>
    <row r="971">
      <c r="A971" s="13">
        <f>IF(A$970="","",A$970)</f>
        <v/>
      </c>
      <c r="B971" s="13">
        <f>IF(B$970="","",B$970)</f>
        <v/>
      </c>
      <c r="C971" s="13">
        <f>IF(C$970="","",C$970)</f>
        <v/>
      </c>
      <c r="D971" s="13">
        <f>IF(D$970="","",D$970)</f>
        <v/>
      </c>
      <c r="E971" s="13">
        <f>IF(E$970="","",E$970)</f>
        <v/>
      </c>
      <c r="F971" s="13">
        <f>IF(F$970="","",F$970)</f>
        <v/>
      </c>
      <c r="G971" s="7" t="inlineStr">
        <is>
          <t>Actual</t>
        </is>
      </c>
      <c r="H971" s="18">
        <f>IF(OR($B$970="",1&gt;$C$4),"",SUMIFS(Actuals!$G:$G,Actuals!$B:$B,$C$3,Actuals!$C:$C,1,Actuals!$D:$D,$B$970,Actuals!$A:$A,LEFT($D$970,FIND("|",$D$970&amp;"|")-1),Actuals!$E:$E,MID($D$970,FIND("|",$D$970&amp;"|")+1,50),Actuals!$F:$F,"JPY")*$E$5+SUMIFS(Actuals!$G:$G,Actuals!$B:$B,$C$3,Actuals!$C:$C,1,Actuals!$D:$D,$B$970,Actuals!$A:$A,LEFT($D$970,FIND("|",$D$970&amp;"|")-1),Actuals!$E:$E,MID($D$970,FIND("|",$D$970&amp;"|")+1,50),Actuals!$F:$F,"USD")*$F$5+SUMIFS(Actuals!$G:$G,Actuals!$B:$B,$C$3,Actuals!$C:$C,1,Actuals!$D:$D,$B$970,Actuals!$A:$A,LEFT($D$970,FIND("|",$D$970&amp;"|")-1),Actuals!$E:$E,MID($D$970,FIND("|",$D$970&amp;"|")+1,50),Actuals!$F:$F,"EUR")*$G$5+SUMIFS(Actuals!$G:$G,Actuals!$B:$B,$C$3,Actuals!$C:$C,1,Actuals!$D:$D,$B$970,Actuals!$A:$A,LEFT($D$970,FIND("|",$D$970&amp;"|")-1),Actuals!$E:$E,MID($D$970,FIND("|",$D$970&amp;"|")+1,50),Actuals!$F:$F,"GBP")*$H$5)</f>
        <v/>
      </c>
      <c r="I971" s="18">
        <f>IF(OR($B$970="",2&gt;$C$4),"",SUMIFS(Actuals!$G:$G,Actuals!$B:$B,$C$3,Actuals!$C:$C,2,Actuals!$D:$D,$B$970,Actuals!$A:$A,LEFT($D$970,FIND("|",$D$970&amp;"|")-1),Actuals!$E:$E,MID($D$970,FIND("|",$D$970&amp;"|")+1,50),Actuals!$F:$F,"JPY")*$E$5+SUMIFS(Actuals!$G:$G,Actuals!$B:$B,$C$3,Actuals!$C:$C,2,Actuals!$D:$D,$B$970,Actuals!$A:$A,LEFT($D$970,FIND("|",$D$970&amp;"|")-1),Actuals!$E:$E,MID($D$970,FIND("|",$D$970&amp;"|")+1,50),Actuals!$F:$F,"USD")*$F$5+SUMIFS(Actuals!$G:$G,Actuals!$B:$B,$C$3,Actuals!$C:$C,2,Actuals!$D:$D,$B$970,Actuals!$A:$A,LEFT($D$970,FIND("|",$D$970&amp;"|")-1),Actuals!$E:$E,MID($D$970,FIND("|",$D$970&amp;"|")+1,50),Actuals!$F:$F,"EUR")*$G$5+SUMIFS(Actuals!$G:$G,Actuals!$B:$B,$C$3,Actuals!$C:$C,2,Actuals!$D:$D,$B$970,Actuals!$A:$A,LEFT($D$970,FIND("|",$D$970&amp;"|")-1),Actuals!$E:$E,MID($D$970,FIND("|",$D$970&amp;"|")+1,50),Actuals!$F:$F,"GBP")*$H$5)</f>
        <v/>
      </c>
      <c r="J971" s="18">
        <f>IF(OR($B$970="",3&gt;$C$4),"",SUMIFS(Actuals!$G:$G,Actuals!$B:$B,$C$3,Actuals!$C:$C,3,Actuals!$D:$D,$B$970,Actuals!$A:$A,LEFT($D$970,FIND("|",$D$970&amp;"|")-1),Actuals!$E:$E,MID($D$970,FIND("|",$D$970&amp;"|")+1,50),Actuals!$F:$F,"JPY")*$E$5+SUMIFS(Actuals!$G:$G,Actuals!$B:$B,$C$3,Actuals!$C:$C,3,Actuals!$D:$D,$B$970,Actuals!$A:$A,LEFT($D$970,FIND("|",$D$970&amp;"|")-1),Actuals!$E:$E,MID($D$970,FIND("|",$D$970&amp;"|")+1,50),Actuals!$F:$F,"USD")*$F$5+SUMIFS(Actuals!$G:$G,Actuals!$B:$B,$C$3,Actuals!$C:$C,3,Actuals!$D:$D,$B$970,Actuals!$A:$A,LEFT($D$970,FIND("|",$D$970&amp;"|")-1),Actuals!$E:$E,MID($D$970,FIND("|",$D$970&amp;"|")+1,50),Actuals!$F:$F,"EUR")*$G$5+SUMIFS(Actuals!$G:$G,Actuals!$B:$B,$C$3,Actuals!$C:$C,3,Actuals!$D:$D,$B$970,Actuals!$A:$A,LEFT($D$970,FIND("|",$D$970&amp;"|")-1),Actuals!$E:$E,MID($D$970,FIND("|",$D$970&amp;"|")+1,50),Actuals!$F:$F,"GBP")*$H$5)</f>
        <v/>
      </c>
      <c r="K971" s="18">
        <f>IF(OR($B$970="",4&gt;$C$4),"",SUMIFS(Actuals!$G:$G,Actuals!$B:$B,$C$3,Actuals!$C:$C,4,Actuals!$D:$D,$B$970,Actuals!$A:$A,LEFT($D$970,FIND("|",$D$970&amp;"|")-1),Actuals!$E:$E,MID($D$970,FIND("|",$D$970&amp;"|")+1,50),Actuals!$F:$F,"JPY")*$E$5+SUMIFS(Actuals!$G:$G,Actuals!$B:$B,$C$3,Actuals!$C:$C,4,Actuals!$D:$D,$B$970,Actuals!$A:$A,LEFT($D$970,FIND("|",$D$970&amp;"|")-1),Actuals!$E:$E,MID($D$970,FIND("|",$D$970&amp;"|")+1,50),Actuals!$F:$F,"USD")*$F$5+SUMIFS(Actuals!$G:$G,Actuals!$B:$B,$C$3,Actuals!$C:$C,4,Actuals!$D:$D,$B$970,Actuals!$A:$A,LEFT($D$970,FIND("|",$D$970&amp;"|")-1),Actuals!$E:$E,MID($D$970,FIND("|",$D$970&amp;"|")+1,50),Actuals!$F:$F,"EUR")*$G$5+SUMIFS(Actuals!$G:$G,Actuals!$B:$B,$C$3,Actuals!$C:$C,4,Actuals!$D:$D,$B$970,Actuals!$A:$A,LEFT($D$970,FIND("|",$D$970&amp;"|")-1),Actuals!$E:$E,MID($D$970,FIND("|",$D$970&amp;"|")+1,50),Actuals!$F:$F,"GBP")*$H$5)</f>
        <v/>
      </c>
      <c r="L971" s="18">
        <f>IF(OR($B$970="",5&gt;$C$4),"",SUMIFS(Actuals!$G:$G,Actuals!$B:$B,$C$3,Actuals!$C:$C,5,Actuals!$D:$D,$B$970,Actuals!$A:$A,LEFT($D$970,FIND("|",$D$970&amp;"|")-1),Actuals!$E:$E,MID($D$970,FIND("|",$D$970&amp;"|")+1,50),Actuals!$F:$F,"JPY")*$E$5+SUMIFS(Actuals!$G:$G,Actuals!$B:$B,$C$3,Actuals!$C:$C,5,Actuals!$D:$D,$B$970,Actuals!$A:$A,LEFT($D$970,FIND("|",$D$970&amp;"|")-1),Actuals!$E:$E,MID($D$970,FIND("|",$D$970&amp;"|")+1,50),Actuals!$F:$F,"USD")*$F$5+SUMIFS(Actuals!$G:$G,Actuals!$B:$B,$C$3,Actuals!$C:$C,5,Actuals!$D:$D,$B$970,Actuals!$A:$A,LEFT($D$970,FIND("|",$D$970&amp;"|")-1),Actuals!$E:$E,MID($D$970,FIND("|",$D$970&amp;"|")+1,50),Actuals!$F:$F,"EUR")*$G$5+SUMIFS(Actuals!$G:$G,Actuals!$B:$B,$C$3,Actuals!$C:$C,5,Actuals!$D:$D,$B$970,Actuals!$A:$A,LEFT($D$970,FIND("|",$D$970&amp;"|")-1),Actuals!$E:$E,MID($D$970,FIND("|",$D$970&amp;"|")+1,50),Actuals!$F:$F,"GBP")*$H$5)</f>
        <v/>
      </c>
      <c r="M971" s="18">
        <f>IF(OR($B$970="",6&gt;$C$4),"",SUMIFS(Actuals!$G:$G,Actuals!$B:$B,$C$3,Actuals!$C:$C,6,Actuals!$D:$D,$B$970,Actuals!$A:$A,LEFT($D$970,FIND("|",$D$970&amp;"|")-1),Actuals!$E:$E,MID($D$970,FIND("|",$D$970&amp;"|")+1,50),Actuals!$F:$F,"JPY")*$E$5+SUMIFS(Actuals!$G:$G,Actuals!$B:$B,$C$3,Actuals!$C:$C,6,Actuals!$D:$D,$B$970,Actuals!$A:$A,LEFT($D$970,FIND("|",$D$970&amp;"|")-1),Actuals!$E:$E,MID($D$970,FIND("|",$D$970&amp;"|")+1,50),Actuals!$F:$F,"USD")*$F$5+SUMIFS(Actuals!$G:$G,Actuals!$B:$B,$C$3,Actuals!$C:$C,6,Actuals!$D:$D,$B$970,Actuals!$A:$A,LEFT($D$970,FIND("|",$D$970&amp;"|")-1),Actuals!$E:$E,MID($D$970,FIND("|",$D$970&amp;"|")+1,50),Actuals!$F:$F,"EUR")*$G$5+SUMIFS(Actuals!$G:$G,Actuals!$B:$B,$C$3,Actuals!$C:$C,6,Actuals!$D:$D,$B$970,Actuals!$A:$A,LEFT($D$970,FIND("|",$D$970&amp;"|")-1),Actuals!$E:$E,MID($D$970,FIND("|",$D$970&amp;"|")+1,50),Actuals!$F:$F,"GBP")*$H$5)</f>
        <v/>
      </c>
      <c r="N971" s="18">
        <f>IF(OR($B$970="",7&gt;$C$4),"",SUMIFS(Actuals!$G:$G,Actuals!$B:$B,$C$3,Actuals!$C:$C,7,Actuals!$D:$D,$B$970,Actuals!$A:$A,LEFT($D$970,FIND("|",$D$970&amp;"|")-1),Actuals!$E:$E,MID($D$970,FIND("|",$D$970&amp;"|")+1,50),Actuals!$F:$F,"JPY")*$E$5+SUMIFS(Actuals!$G:$G,Actuals!$B:$B,$C$3,Actuals!$C:$C,7,Actuals!$D:$D,$B$970,Actuals!$A:$A,LEFT($D$970,FIND("|",$D$970&amp;"|")-1),Actuals!$E:$E,MID($D$970,FIND("|",$D$970&amp;"|")+1,50),Actuals!$F:$F,"USD")*$F$5+SUMIFS(Actuals!$G:$G,Actuals!$B:$B,$C$3,Actuals!$C:$C,7,Actuals!$D:$D,$B$970,Actuals!$A:$A,LEFT($D$970,FIND("|",$D$970&amp;"|")-1),Actuals!$E:$E,MID($D$970,FIND("|",$D$970&amp;"|")+1,50),Actuals!$F:$F,"EUR")*$G$5+SUMIFS(Actuals!$G:$G,Actuals!$B:$B,$C$3,Actuals!$C:$C,7,Actuals!$D:$D,$B$970,Actuals!$A:$A,LEFT($D$970,FIND("|",$D$970&amp;"|")-1),Actuals!$E:$E,MID($D$970,FIND("|",$D$970&amp;"|")+1,50),Actuals!$F:$F,"GBP")*$H$5)</f>
        <v/>
      </c>
      <c r="O971" s="18">
        <f>IF(OR($B$970="",8&gt;$C$4),"",SUMIFS(Actuals!$G:$G,Actuals!$B:$B,$C$3,Actuals!$C:$C,8,Actuals!$D:$D,$B$970,Actuals!$A:$A,LEFT($D$970,FIND("|",$D$970&amp;"|")-1),Actuals!$E:$E,MID($D$970,FIND("|",$D$970&amp;"|")+1,50),Actuals!$F:$F,"JPY")*$E$5+SUMIFS(Actuals!$G:$G,Actuals!$B:$B,$C$3,Actuals!$C:$C,8,Actuals!$D:$D,$B$970,Actuals!$A:$A,LEFT($D$970,FIND("|",$D$970&amp;"|")-1),Actuals!$E:$E,MID($D$970,FIND("|",$D$970&amp;"|")+1,50),Actuals!$F:$F,"USD")*$F$5+SUMIFS(Actuals!$G:$G,Actuals!$B:$B,$C$3,Actuals!$C:$C,8,Actuals!$D:$D,$B$970,Actuals!$A:$A,LEFT($D$970,FIND("|",$D$970&amp;"|")-1),Actuals!$E:$E,MID($D$970,FIND("|",$D$970&amp;"|")+1,50),Actuals!$F:$F,"EUR")*$G$5+SUMIFS(Actuals!$G:$G,Actuals!$B:$B,$C$3,Actuals!$C:$C,8,Actuals!$D:$D,$B$970,Actuals!$A:$A,LEFT($D$970,FIND("|",$D$970&amp;"|")-1),Actuals!$E:$E,MID($D$970,FIND("|",$D$970&amp;"|")+1,50),Actuals!$F:$F,"GBP")*$H$5)</f>
        <v/>
      </c>
      <c r="P971" s="18">
        <f>IF(OR($B$970="",9&gt;$C$4),"",SUMIFS(Actuals!$G:$G,Actuals!$B:$B,$C$3,Actuals!$C:$C,9,Actuals!$D:$D,$B$970,Actuals!$A:$A,LEFT($D$970,FIND("|",$D$970&amp;"|")-1),Actuals!$E:$E,MID($D$970,FIND("|",$D$970&amp;"|")+1,50),Actuals!$F:$F,"JPY")*$E$5+SUMIFS(Actuals!$G:$G,Actuals!$B:$B,$C$3,Actuals!$C:$C,9,Actuals!$D:$D,$B$970,Actuals!$A:$A,LEFT($D$970,FIND("|",$D$970&amp;"|")-1),Actuals!$E:$E,MID($D$970,FIND("|",$D$970&amp;"|")+1,50),Actuals!$F:$F,"USD")*$F$5+SUMIFS(Actuals!$G:$G,Actuals!$B:$B,$C$3,Actuals!$C:$C,9,Actuals!$D:$D,$B$970,Actuals!$A:$A,LEFT($D$970,FIND("|",$D$970&amp;"|")-1),Actuals!$E:$E,MID($D$970,FIND("|",$D$970&amp;"|")+1,50),Actuals!$F:$F,"EUR")*$G$5+SUMIFS(Actuals!$G:$G,Actuals!$B:$B,$C$3,Actuals!$C:$C,9,Actuals!$D:$D,$B$970,Actuals!$A:$A,LEFT($D$970,FIND("|",$D$970&amp;"|")-1),Actuals!$E:$E,MID($D$970,FIND("|",$D$970&amp;"|")+1,50),Actuals!$F:$F,"GBP")*$H$5)</f>
        <v/>
      </c>
      <c r="Q971" s="18">
        <f>IF(OR($B$970="",10&gt;$C$4),"",SUMIFS(Actuals!$G:$G,Actuals!$B:$B,$C$3,Actuals!$C:$C,10,Actuals!$D:$D,$B$970,Actuals!$A:$A,LEFT($D$970,FIND("|",$D$970&amp;"|")-1),Actuals!$E:$E,MID($D$970,FIND("|",$D$970&amp;"|")+1,50),Actuals!$F:$F,"JPY")*$E$5+SUMIFS(Actuals!$G:$G,Actuals!$B:$B,$C$3,Actuals!$C:$C,10,Actuals!$D:$D,$B$970,Actuals!$A:$A,LEFT($D$970,FIND("|",$D$970&amp;"|")-1),Actuals!$E:$E,MID($D$970,FIND("|",$D$970&amp;"|")+1,50),Actuals!$F:$F,"USD")*$F$5+SUMIFS(Actuals!$G:$G,Actuals!$B:$B,$C$3,Actuals!$C:$C,10,Actuals!$D:$D,$B$970,Actuals!$A:$A,LEFT($D$970,FIND("|",$D$970&amp;"|")-1),Actuals!$E:$E,MID($D$970,FIND("|",$D$970&amp;"|")+1,50),Actuals!$F:$F,"EUR")*$G$5+SUMIFS(Actuals!$G:$G,Actuals!$B:$B,$C$3,Actuals!$C:$C,10,Actuals!$D:$D,$B$970,Actuals!$A:$A,LEFT($D$970,FIND("|",$D$970&amp;"|")-1),Actuals!$E:$E,MID($D$970,FIND("|",$D$970&amp;"|")+1,50),Actuals!$F:$F,"GBP")*$H$5)</f>
        <v/>
      </c>
      <c r="R971" s="18">
        <f>IF(OR($B$970="",11&gt;$C$4),"",SUMIFS(Actuals!$G:$G,Actuals!$B:$B,$C$3,Actuals!$C:$C,11,Actuals!$D:$D,$B$970,Actuals!$A:$A,LEFT($D$970,FIND("|",$D$970&amp;"|")-1),Actuals!$E:$E,MID($D$970,FIND("|",$D$970&amp;"|")+1,50),Actuals!$F:$F,"JPY")*$E$5+SUMIFS(Actuals!$G:$G,Actuals!$B:$B,$C$3,Actuals!$C:$C,11,Actuals!$D:$D,$B$970,Actuals!$A:$A,LEFT($D$970,FIND("|",$D$970&amp;"|")-1),Actuals!$E:$E,MID($D$970,FIND("|",$D$970&amp;"|")+1,50),Actuals!$F:$F,"USD")*$F$5+SUMIFS(Actuals!$G:$G,Actuals!$B:$B,$C$3,Actuals!$C:$C,11,Actuals!$D:$D,$B$970,Actuals!$A:$A,LEFT($D$970,FIND("|",$D$970&amp;"|")-1),Actuals!$E:$E,MID($D$970,FIND("|",$D$970&amp;"|")+1,50),Actuals!$F:$F,"EUR")*$G$5+SUMIFS(Actuals!$G:$G,Actuals!$B:$B,$C$3,Actuals!$C:$C,11,Actuals!$D:$D,$B$970,Actuals!$A:$A,LEFT($D$970,FIND("|",$D$970&amp;"|")-1),Actuals!$E:$E,MID($D$970,FIND("|",$D$970&amp;"|")+1,50),Actuals!$F:$F,"GBP")*$H$5)</f>
        <v/>
      </c>
      <c r="S971" s="18">
        <f>IF(OR($B$970="",12&gt;$C$4),"",SUMIFS(Actuals!$G:$G,Actuals!$B:$B,$C$3,Actuals!$C:$C,12,Actuals!$D:$D,$B$970,Actuals!$A:$A,LEFT($D$970,FIND("|",$D$970&amp;"|")-1),Actuals!$E:$E,MID($D$970,FIND("|",$D$970&amp;"|")+1,50),Actuals!$F:$F,"JPY")*$E$5+SUMIFS(Actuals!$G:$G,Actuals!$B:$B,$C$3,Actuals!$C:$C,12,Actuals!$D:$D,$B$970,Actuals!$A:$A,LEFT($D$970,FIND("|",$D$970&amp;"|")-1),Actuals!$E:$E,MID($D$970,FIND("|",$D$970&amp;"|")+1,50),Actuals!$F:$F,"USD")*$F$5+SUMIFS(Actuals!$G:$G,Actuals!$B:$B,$C$3,Actuals!$C:$C,12,Actuals!$D:$D,$B$970,Actuals!$A:$A,LEFT($D$970,FIND("|",$D$970&amp;"|")-1),Actuals!$E:$E,MID($D$970,FIND("|",$D$970&amp;"|")+1,50),Actuals!$F:$F,"EUR")*$G$5+SUMIFS(Actuals!$G:$G,Actuals!$B:$B,$C$3,Actuals!$C:$C,12,Actuals!$D:$D,$B$970,Actuals!$A:$A,LEFT($D$970,FIND("|",$D$970&amp;"|")-1),Actuals!$E:$E,MID($D$970,FIND("|",$D$970&amp;"|")+1,50),Actuals!$F:$F,"GBP")*$H$5)</f>
        <v/>
      </c>
      <c r="T971" s="18">
        <f>IF($B$970="","",SUMIF($H$7:$S$7,"&lt;="&amp;$C$4,$H971:$S971))</f>
        <v/>
      </c>
      <c r="U971" s="18" t="n"/>
      <c r="V971" s="18" t="n"/>
      <c r="X971" s="22">
        <f>IF($B971="","",IFERROR(INDEX(Cost_Centers!$E:$E,MATCH($B971,Cost_Centers!$A:$A,0)),"(unknown)"))</f>
        <v/>
      </c>
      <c r="Y971" s="22">
        <f>IF($B971="","",IFERROR(INDEX(Cost_Centers!$D:$D,MATCH($B971,Cost_Centers!$A:$A,0)),"(unknown)"))</f>
        <v/>
      </c>
      <c r="Z971" s="22">
        <f>IF(OR($B971="",$G971&lt;&gt;"Variance vs Budget"),"",ABS(N($V971))+ROW()/1000000000)</f>
        <v/>
      </c>
    </row>
    <row r="972">
      <c r="A972" s="13">
        <f>IF(A$970="","",A$970)</f>
        <v/>
      </c>
      <c r="B972" s="13">
        <f>IF(B$970="","",B$970)</f>
        <v/>
      </c>
      <c r="C972" s="13">
        <f>IF(C$970="","",C$970)</f>
        <v/>
      </c>
      <c r="D972" s="13">
        <f>IF(D$970="","",D$970)</f>
        <v/>
      </c>
      <c r="E972" s="13">
        <f>IF(E$970="","",E$970)</f>
        <v/>
      </c>
      <c r="F972" s="13">
        <f>IF(F$970="","",F$970)</f>
        <v/>
      </c>
      <c r="G972" s="6" t="inlineStr">
        <is>
          <t>Variance vs Budget</t>
        </is>
      </c>
      <c r="H972" s="33">
        <f>IF(OR($B$970="",1&gt;$C$4),"",N(H971)-H970)</f>
        <v/>
      </c>
      <c r="I972" s="33">
        <f>IF(OR($B$970="",2&gt;$C$4),"",N(I971)-I970)</f>
        <v/>
      </c>
      <c r="J972" s="33">
        <f>IF(OR($B$970="",3&gt;$C$4),"",N(J971)-J970)</f>
        <v/>
      </c>
      <c r="K972" s="33">
        <f>IF(OR($B$970="",4&gt;$C$4),"",N(K971)-K970)</f>
        <v/>
      </c>
      <c r="L972" s="33">
        <f>IF(OR($B$970="",5&gt;$C$4),"",N(L971)-L970)</f>
        <v/>
      </c>
      <c r="M972" s="33">
        <f>IF(OR($B$970="",6&gt;$C$4),"",N(M971)-M970)</f>
        <v/>
      </c>
      <c r="N972" s="33">
        <f>IF(OR($B$970="",7&gt;$C$4),"",N(N971)-N970)</f>
        <v/>
      </c>
      <c r="O972" s="33">
        <f>IF(OR($B$970="",8&gt;$C$4),"",N(O971)-O970)</f>
        <v/>
      </c>
      <c r="P972" s="33">
        <f>IF(OR($B$970="",9&gt;$C$4),"",N(P971)-P970)</f>
        <v/>
      </c>
      <c r="Q972" s="33">
        <f>IF(OR($B$970="",10&gt;$C$4),"",N(Q971)-Q970)</f>
        <v/>
      </c>
      <c r="R972" s="33">
        <f>IF(OR($B$970="",11&gt;$C$4),"",N(R971)-R970)</f>
        <v/>
      </c>
      <c r="S972" s="33">
        <f>IF(OR($B$970="",12&gt;$C$4),"",N(S971)-S970)</f>
        <v/>
      </c>
      <c r="T972" s="33">
        <f>IF($B$970="","",T971-T970)</f>
        <v/>
      </c>
      <c r="U972" s="33">
        <f>IF($B$970="","",U974-U970)</f>
        <v/>
      </c>
      <c r="V972" s="33">
        <f>IF($B$970="","",V974-V970)</f>
        <v/>
      </c>
      <c r="X972" s="22">
        <f>IF($B972="","",IFERROR(INDEX(Cost_Centers!$E:$E,MATCH($B972,Cost_Centers!$A:$A,0)),"(unknown)"))</f>
        <v/>
      </c>
      <c r="Y972" s="22">
        <f>IF($B972="","",IFERROR(INDEX(Cost_Centers!$D:$D,MATCH($B972,Cost_Centers!$A:$A,0)),"(unknown)"))</f>
        <v/>
      </c>
      <c r="Z972" s="22">
        <f>IF(OR($B972="",$G972&lt;&gt;"Variance vs Budget"),"",ABS(N($V972))+ROW()/1000000000)</f>
        <v/>
      </c>
    </row>
    <row r="973">
      <c r="A973" s="13">
        <f>IF(A$970="","",A$970)</f>
        <v/>
      </c>
      <c r="B973" s="13">
        <f>IF(B$970="","",B$970)</f>
        <v/>
      </c>
      <c r="C973" s="13">
        <f>IF(C$970="","",C$970)</f>
        <v/>
      </c>
      <c r="D973" s="13">
        <f>IF(D$970="","",D$970)</f>
        <v/>
      </c>
      <c r="E973" s="13">
        <f>IF(E$970="","",E$970)</f>
        <v/>
      </c>
      <c r="F973" s="13">
        <f>IF(F$970="","",F$970)</f>
        <v/>
      </c>
      <c r="G973" s="7" t="inlineStr">
        <is>
          <t>Forecast (input)</t>
        </is>
      </c>
      <c r="H973" s="34" t="n"/>
      <c r="I973" s="34" t="n"/>
      <c r="J973" s="34" t="n"/>
      <c r="K973" s="34" t="n"/>
      <c r="L973" s="34" t="n"/>
      <c r="M973" s="34" t="n"/>
      <c r="N973" s="34" t="n"/>
      <c r="O973" s="34" t="n"/>
      <c r="P973" s="34" t="n"/>
      <c r="Q973" s="34" t="n"/>
      <c r="R973" s="34" t="n"/>
      <c r="S973" s="34" t="n"/>
      <c r="T973" s="18" t="n"/>
      <c r="U973" s="18" t="n"/>
      <c r="V973" s="18" t="n"/>
      <c r="X973" s="22">
        <f>IF($B973="","",IFERROR(INDEX(Cost_Centers!$E:$E,MATCH($B973,Cost_Centers!$A:$A,0)),"(unknown)"))</f>
        <v/>
      </c>
      <c r="Y973" s="22">
        <f>IF($B973="","",IFERROR(INDEX(Cost_Centers!$D:$D,MATCH($B973,Cost_Centers!$A:$A,0)),"(unknown)"))</f>
        <v/>
      </c>
      <c r="Z973" s="22">
        <f>IF(OR($B973="",$G973&lt;&gt;"Variance vs Budget"),"",ABS(N($V973))+ROW()/1000000000)</f>
        <v/>
      </c>
    </row>
    <row r="974">
      <c r="A974" s="13">
        <f>IF(A$970="","",A$970)</f>
        <v/>
      </c>
      <c r="B974" s="13">
        <f>IF(B$970="","",B$970)</f>
        <v/>
      </c>
      <c r="C974" s="13">
        <f>IF(C$970="","",C$970)</f>
        <v/>
      </c>
      <c r="D974" s="13">
        <f>IF(D$970="","",D$970)</f>
        <v/>
      </c>
      <c r="E974" s="13">
        <f>IF(E$970="","",E$970)</f>
        <v/>
      </c>
      <c r="F974" s="13">
        <f>IF(F$970="","",F$970)</f>
        <v/>
      </c>
      <c r="G974" s="35" t="inlineStr">
        <is>
          <t>Actual + Forecast</t>
        </is>
      </c>
      <c r="H974" s="18">
        <f>IF($B$970="","",IF(1&lt;=$C$4,N(H971),IF(H973="",H970,H973)))</f>
        <v/>
      </c>
      <c r="I974" s="18">
        <f>IF($B$970="","",IF(2&lt;=$C$4,N(I971),IF(I973="",I970,I973)))</f>
        <v/>
      </c>
      <c r="J974" s="18">
        <f>IF($B$970="","",IF(3&lt;=$C$4,N(J971),IF(J973="",J970,J973)))</f>
        <v/>
      </c>
      <c r="K974" s="18">
        <f>IF($B$970="","",IF(4&lt;=$C$4,N(K971),IF(K973="",K970,K973)))</f>
        <v/>
      </c>
      <c r="L974" s="18">
        <f>IF($B$970="","",IF(5&lt;=$C$4,N(L971),IF(L973="",L970,L973)))</f>
        <v/>
      </c>
      <c r="M974" s="18">
        <f>IF($B$970="","",IF(6&lt;=$C$4,N(M971),IF(M973="",M970,M973)))</f>
        <v/>
      </c>
      <c r="N974" s="18">
        <f>IF($B$970="","",IF(7&lt;=$C$4,N(N971),IF(N973="",N970,N973)))</f>
        <v/>
      </c>
      <c r="O974" s="18">
        <f>IF($B$970="","",IF(8&lt;=$C$4,N(O971),IF(O973="",O970,O973)))</f>
        <v/>
      </c>
      <c r="P974" s="18">
        <f>IF($B$970="","",IF(9&lt;=$C$4,N(P971),IF(P973="",P970,P973)))</f>
        <v/>
      </c>
      <c r="Q974" s="18">
        <f>IF($B$970="","",IF(10&lt;=$C$4,N(Q971),IF(Q973="",Q970,Q973)))</f>
        <v/>
      </c>
      <c r="R974" s="18">
        <f>IF($B$970="","",IF(11&lt;=$C$4,N(R971),IF(R973="",R970,R973)))</f>
        <v/>
      </c>
      <c r="S974" s="18">
        <f>IF($B$970="","",IF(12&lt;=$C$4,N(S971),IF(S973="",S970,S973)))</f>
        <v/>
      </c>
      <c r="T974" s="18">
        <f>IF($B$970="","",SUMIF($H$7:$S$7,"&lt;="&amp;$C$4,$H974:$S974))</f>
        <v/>
      </c>
      <c r="U974" s="18">
        <f>IF($B$970="","",SUMIF($H$7:$S$7,"&gt;"&amp;$C$4,$H974:$S974))</f>
        <v/>
      </c>
      <c r="V974" s="18">
        <f>IF($B$970="","",SUM($H974:$S974))</f>
        <v/>
      </c>
      <c r="X974" s="22">
        <f>IF($B974="","",IFERROR(INDEX(Cost_Centers!$E:$E,MATCH($B974,Cost_Centers!$A:$A,0)),"(unknown)"))</f>
        <v/>
      </c>
      <c r="Y974" s="22">
        <f>IF($B974="","",IFERROR(INDEX(Cost_Centers!$D:$D,MATCH($B974,Cost_Centers!$A:$A,0)),"(unknown)"))</f>
        <v/>
      </c>
      <c r="Z974" s="22">
        <f>IF(OR($B974="",$G974&lt;&gt;"Variance vs Budget"),"",ABS(N($V974))+ROW()/1000000000)</f>
        <v/>
      </c>
    </row>
    <row r="975">
      <c r="A975" s="13">
        <f>IF(A$970="","",A$970)</f>
        <v/>
      </c>
      <c r="B975" s="13">
        <f>IF(B$970="","",B$970)</f>
        <v/>
      </c>
      <c r="C975" s="13">
        <f>IF(C$970="","",C$970)</f>
        <v/>
      </c>
      <c r="D975" s="13">
        <f>IF(D$970="","",D$970)</f>
        <v/>
      </c>
      <c r="E975" s="13">
        <f>IF(E$970="","",E$970)</f>
        <v/>
      </c>
      <c r="F975" s="13">
        <f>IF(F$970="","",F$970)</f>
        <v/>
      </c>
      <c r="G975" s="36" t="inlineStr">
        <is>
          <t>Prior Month Forecast</t>
        </is>
      </c>
      <c r="H975" s="37">
        <f>IF($B$970="","",IF(COUNTIFS(Prior_Forecast!$A:$A,$B$970,Prior_Forecast!$B:$B,$D$970)&gt;0,SUMIFS(Prior_Forecast!$C:$C,Prior_Forecast!$A:$A,$B$970,Prior_Forecast!$B:$B,$D$970),""))</f>
        <v/>
      </c>
      <c r="I975" s="37">
        <f>IF($B$970="","",IF(COUNTIFS(Prior_Forecast!$A:$A,$B$970,Prior_Forecast!$B:$B,$D$970)&gt;0,SUMIFS(Prior_Forecast!$D:$D,Prior_Forecast!$A:$A,$B$970,Prior_Forecast!$B:$B,$D$970),""))</f>
        <v/>
      </c>
      <c r="J975" s="37">
        <f>IF($B$970="","",IF(COUNTIFS(Prior_Forecast!$A:$A,$B$970,Prior_Forecast!$B:$B,$D$970)&gt;0,SUMIFS(Prior_Forecast!$E:$E,Prior_Forecast!$A:$A,$B$970,Prior_Forecast!$B:$B,$D$970),""))</f>
        <v/>
      </c>
      <c r="K975" s="37">
        <f>IF($B$970="","",IF(COUNTIFS(Prior_Forecast!$A:$A,$B$970,Prior_Forecast!$B:$B,$D$970)&gt;0,SUMIFS(Prior_Forecast!$F:$F,Prior_Forecast!$A:$A,$B$970,Prior_Forecast!$B:$B,$D$970),""))</f>
        <v/>
      </c>
      <c r="L975" s="37">
        <f>IF($B$970="","",IF(COUNTIFS(Prior_Forecast!$A:$A,$B$970,Prior_Forecast!$B:$B,$D$970)&gt;0,SUMIFS(Prior_Forecast!$G:$G,Prior_Forecast!$A:$A,$B$970,Prior_Forecast!$B:$B,$D$970),""))</f>
        <v/>
      </c>
      <c r="M975" s="37">
        <f>IF($B$970="","",IF(COUNTIFS(Prior_Forecast!$A:$A,$B$970,Prior_Forecast!$B:$B,$D$970)&gt;0,SUMIFS(Prior_Forecast!$H:$H,Prior_Forecast!$A:$A,$B$970,Prior_Forecast!$B:$B,$D$970),""))</f>
        <v/>
      </c>
      <c r="N975" s="37">
        <f>IF($B$970="","",IF(COUNTIFS(Prior_Forecast!$A:$A,$B$970,Prior_Forecast!$B:$B,$D$970)&gt;0,SUMIFS(Prior_Forecast!$I:$I,Prior_Forecast!$A:$A,$B$970,Prior_Forecast!$B:$B,$D$970),""))</f>
        <v/>
      </c>
      <c r="O975" s="37">
        <f>IF($B$970="","",IF(COUNTIFS(Prior_Forecast!$A:$A,$B$970,Prior_Forecast!$B:$B,$D$970)&gt;0,SUMIFS(Prior_Forecast!$J:$J,Prior_Forecast!$A:$A,$B$970,Prior_Forecast!$B:$B,$D$970),""))</f>
        <v/>
      </c>
      <c r="P975" s="37">
        <f>IF($B$970="","",IF(COUNTIFS(Prior_Forecast!$A:$A,$B$970,Prior_Forecast!$B:$B,$D$970)&gt;0,SUMIFS(Prior_Forecast!$K:$K,Prior_Forecast!$A:$A,$B$970,Prior_Forecast!$B:$B,$D$970),""))</f>
        <v/>
      </c>
      <c r="Q975" s="37">
        <f>IF($B$970="","",IF(COUNTIFS(Prior_Forecast!$A:$A,$B$970,Prior_Forecast!$B:$B,$D$970)&gt;0,SUMIFS(Prior_Forecast!$L:$L,Prior_Forecast!$A:$A,$B$970,Prior_Forecast!$B:$B,$D$970),""))</f>
        <v/>
      </c>
      <c r="R975" s="37">
        <f>IF($B$970="","",IF(COUNTIFS(Prior_Forecast!$A:$A,$B$970,Prior_Forecast!$B:$B,$D$970)&gt;0,SUMIFS(Prior_Forecast!$M:$M,Prior_Forecast!$A:$A,$B$970,Prior_Forecast!$B:$B,$D$970),""))</f>
        <v/>
      </c>
      <c r="S975" s="37">
        <f>IF($B$970="","",IF(COUNTIFS(Prior_Forecast!$A:$A,$B$970,Prior_Forecast!$B:$B,$D$970)&gt;0,SUMIFS(Prior_Forecast!$N:$N,Prior_Forecast!$A:$A,$B$970,Prior_Forecast!$B:$B,$D$970),""))</f>
        <v/>
      </c>
      <c r="T975" s="37">
        <f>IF($B$970="","",IF(COUNTIFS(Prior_Forecast!$A:$A,$B$970,Prior_Forecast!$B:$B,$D$970)&gt;0,SUMIFS(Prior_Forecast!$O:$O,Prior_Forecast!$A:$A,$B$970,Prior_Forecast!$B:$B,$D$970),""))</f>
        <v/>
      </c>
      <c r="U975" s="37">
        <f>IF($B$970="","",IF(COUNTIFS(Prior_Forecast!$A:$A,$B$970,Prior_Forecast!$B:$B,$D$970)&gt;0,SUMIFS(Prior_Forecast!$P:$P,Prior_Forecast!$A:$A,$B$970,Prior_Forecast!$B:$B,$D$970),""))</f>
        <v/>
      </c>
      <c r="V975" s="37">
        <f>IF($B$970="","",IF(COUNTIFS(Prior_Forecast!$A:$A,$B$970,Prior_Forecast!$B:$B,$D$970)&gt;0,SUMIFS(Prior_Forecast!$Q:$Q,Prior_Forecast!$A:$A,$B$970,Prior_Forecast!$B:$B,$D$970),""))</f>
        <v/>
      </c>
      <c r="X975" s="22">
        <f>IF($B975="","",IFERROR(INDEX(Cost_Centers!$E:$E,MATCH($B975,Cost_Centers!$A:$A,0)),"(unknown)"))</f>
        <v/>
      </c>
      <c r="Y975" s="22">
        <f>IF($B975="","",IFERROR(INDEX(Cost_Centers!$D:$D,MATCH($B975,Cost_Centers!$A:$A,0)),"(unknown)"))</f>
        <v/>
      </c>
      <c r="Z975" s="22">
        <f>IF(OR($B975="",$G975&lt;&gt;"Variance vs Budget"),"",ABS(N($V975))+ROW()/1000000000)</f>
        <v/>
      </c>
    </row>
    <row r="976">
      <c r="A976" s="13">
        <f>IF(A$970="","",A$970)</f>
        <v/>
      </c>
      <c r="B976" s="13">
        <f>IF(B$970="","",B$970)</f>
        <v/>
      </c>
      <c r="C976" s="13">
        <f>IF(C$970="","",C$970)</f>
        <v/>
      </c>
      <c r="D976" s="13">
        <f>IF(D$970="","",D$970)</f>
        <v/>
      </c>
      <c r="E976" s="13">
        <f>IF(E$970="","",E$970)</f>
        <v/>
      </c>
      <c r="F976" s="13">
        <f>IF(F$970="","",F$970)</f>
        <v/>
      </c>
      <c r="G976" s="6" t="inlineStr">
        <is>
          <t>Variance vs Prior Month</t>
        </is>
      </c>
      <c r="H976" s="33">
        <f>IF(OR($B$970="",H975=""),"",H974-H975)</f>
        <v/>
      </c>
      <c r="I976" s="33">
        <f>IF(OR($B$970="",I975=""),"",I974-I975)</f>
        <v/>
      </c>
      <c r="J976" s="33">
        <f>IF(OR($B$970="",J975=""),"",J974-J975)</f>
        <v/>
      </c>
      <c r="K976" s="33">
        <f>IF(OR($B$970="",K975=""),"",K974-K975)</f>
        <v/>
      </c>
      <c r="L976" s="33">
        <f>IF(OR($B$970="",L975=""),"",L974-L975)</f>
        <v/>
      </c>
      <c r="M976" s="33">
        <f>IF(OR($B$970="",M975=""),"",M974-M975)</f>
        <v/>
      </c>
      <c r="N976" s="33">
        <f>IF(OR($B$970="",N975=""),"",N974-N975)</f>
        <v/>
      </c>
      <c r="O976" s="33">
        <f>IF(OR($B$970="",O975=""),"",O974-O975)</f>
        <v/>
      </c>
      <c r="P976" s="33">
        <f>IF(OR($B$970="",P975=""),"",P974-P975)</f>
        <v/>
      </c>
      <c r="Q976" s="33">
        <f>IF(OR($B$970="",Q975=""),"",Q974-Q975)</f>
        <v/>
      </c>
      <c r="R976" s="33">
        <f>IF(OR($B$970="",R975=""),"",R974-R975)</f>
        <v/>
      </c>
      <c r="S976" s="33">
        <f>IF(OR($B$970="",S975=""),"",S974-S975)</f>
        <v/>
      </c>
      <c r="T976" s="33">
        <f>IF(OR($B$970="",T975=""),"",T974-T975)</f>
        <v/>
      </c>
      <c r="U976" s="33">
        <f>IF(OR($B$970="",U975=""),"",U974-U975)</f>
        <v/>
      </c>
      <c r="V976" s="33">
        <f>IF(OR($B$970="",V975=""),"",V974-V975)</f>
        <v/>
      </c>
      <c r="X976" s="22">
        <f>IF($B976="","",IFERROR(INDEX(Cost_Centers!$E:$E,MATCH($B976,Cost_Centers!$A:$A,0)),"(unknown)"))</f>
        <v/>
      </c>
      <c r="Y976" s="22">
        <f>IF($B976="","",IFERROR(INDEX(Cost_Centers!$D:$D,MATCH($B976,Cost_Centers!$A:$A,0)),"(unknown)"))</f>
        <v/>
      </c>
      <c r="Z976" s="22">
        <f>IF(OR($B976="",$G976&lt;&gt;"Variance vs Budget"),"",ABS(N($V976))+ROW()/1000000000)</f>
        <v/>
      </c>
    </row>
    <row r="977" ht="45" customHeight="1">
      <c r="A977" s="13">
        <f>IF(A$970="","",A$970)</f>
        <v/>
      </c>
      <c r="B977" s="13">
        <f>IF(B$970="","",B$970)</f>
        <v/>
      </c>
      <c r="C977" s="13">
        <f>IF(C$970="","",C$970)</f>
        <v/>
      </c>
      <c r="D977" s="13">
        <f>IF(D$970="","",D$970)</f>
        <v/>
      </c>
      <c r="E977" s="13">
        <f>IF(E$970="","",E$970)</f>
        <v/>
      </c>
      <c r="F977" s="13">
        <f>IF(F$970="","",F$970)</f>
        <v/>
      </c>
      <c r="G977" s="7" t="inlineStr">
        <is>
          <t>Rationale</t>
        </is>
      </c>
      <c r="H977" s="38" t="n"/>
      <c r="I977" s="38" t="n"/>
      <c r="J977" s="38" t="n"/>
      <c r="K977" s="38" t="n"/>
      <c r="L977" s="38" t="n"/>
      <c r="M977" s="38" t="n"/>
      <c r="N977" s="38" t="n"/>
      <c r="O977" s="38" t="n"/>
      <c r="P977" s="38" t="n"/>
      <c r="Q977" s="38" t="n"/>
      <c r="R977" s="38" t="n"/>
      <c r="S977" s="38" t="n"/>
      <c r="T977" s="38" t="n"/>
      <c r="U977" s="38" t="n"/>
      <c r="V977" s="7" t="n"/>
      <c r="X977" s="22">
        <f>IF($B977="","",IFERROR(INDEX(Cost_Centers!$E:$E,MATCH($B977,Cost_Centers!$A:$A,0)),"(unknown)"))</f>
        <v/>
      </c>
      <c r="Y977" s="22">
        <f>IF($B977="","",IFERROR(INDEX(Cost_Centers!$D:$D,MATCH($B977,Cost_Centers!$A:$A,0)),"(unknown)"))</f>
        <v/>
      </c>
      <c r="Z977" s="22">
        <f>IF(OR($B977="",$G977&lt;&gt;"Variance vs Budget"),"",ABS(N($V977))+ROW()/1000000000)</f>
        <v/>
      </c>
    </row>
    <row r="978">
      <c r="A978" s="30">
        <f>IF($D$978="","",LEFT($D$978,FIND("|",$D$978&amp;"|")-1))</f>
        <v/>
      </c>
      <c r="B978" s="31" t="n"/>
      <c r="C978" s="30">
        <f>IF($B$978="","",IFERROR(INDEX(Cost_Centers!$B:$B,MATCH($B$978,Cost_Centers!$A:$A,0)),"(not in master)"))</f>
        <v/>
      </c>
      <c r="D978" s="31" t="n"/>
      <c r="E978" s="30">
        <f>IF($D$978="","",IFERROR(INDEX(Accounts!$D:$D,MATCH($D$978,Accounts!$A:$A,0)),"(not in master)"))</f>
        <v/>
      </c>
      <c r="F978" s="31" t="n"/>
      <c r="G978" s="30" t="inlineStr">
        <is>
          <t>Budget</t>
        </is>
      </c>
      <c r="H978" s="32">
        <f>IF($B$978="","",SUMIFS(Opex_Budget!$O:$O,Opex_Budget!$A:$A,$C$3,Opex_Budget!$E:$E,$B$978,Opex_Budget!$F:$F,$D$978,Opex_Budget!$N:$N,"JPY")*$E$5+SUMIFS(Opex_Budget!$O:$O,Opex_Budget!$A:$A,$C$3,Opex_Budget!$E:$E,$B$978,Opex_Budget!$F:$F,$D$978,Opex_Budget!$N:$N,"USD")*$F$5+SUMIFS(Opex_Budget!$O:$O,Opex_Budget!$A:$A,$C$3,Opex_Budget!$E:$E,$B$978,Opex_Budget!$F:$F,$D$978,Opex_Budget!$N:$N,"EUR")*$G$5+SUMIFS(Opex_Budget!$O:$O,Opex_Budget!$A:$A,$C$3,Opex_Budget!$E:$E,$B$978,Opex_Budget!$F:$F,$D$978,Opex_Budget!$N:$N,"GBP")*$H$5)</f>
        <v/>
      </c>
      <c r="I978" s="32">
        <f>IF($B$978="","",SUMIFS(Opex_Budget!$P:$P,Opex_Budget!$A:$A,$C$3,Opex_Budget!$E:$E,$B$978,Opex_Budget!$F:$F,$D$978,Opex_Budget!$N:$N,"JPY")*$E$5+SUMIFS(Opex_Budget!$P:$P,Opex_Budget!$A:$A,$C$3,Opex_Budget!$E:$E,$B$978,Opex_Budget!$F:$F,$D$978,Opex_Budget!$N:$N,"USD")*$F$5+SUMIFS(Opex_Budget!$P:$P,Opex_Budget!$A:$A,$C$3,Opex_Budget!$E:$E,$B$978,Opex_Budget!$F:$F,$D$978,Opex_Budget!$N:$N,"EUR")*$G$5+SUMIFS(Opex_Budget!$P:$P,Opex_Budget!$A:$A,$C$3,Opex_Budget!$E:$E,$B$978,Opex_Budget!$F:$F,$D$978,Opex_Budget!$N:$N,"GBP")*$H$5)</f>
        <v/>
      </c>
      <c r="J978" s="32">
        <f>IF($B$978="","",SUMIFS(Opex_Budget!$Q:$Q,Opex_Budget!$A:$A,$C$3,Opex_Budget!$E:$E,$B$978,Opex_Budget!$F:$F,$D$978,Opex_Budget!$N:$N,"JPY")*$E$5+SUMIFS(Opex_Budget!$Q:$Q,Opex_Budget!$A:$A,$C$3,Opex_Budget!$E:$E,$B$978,Opex_Budget!$F:$F,$D$978,Opex_Budget!$N:$N,"USD")*$F$5+SUMIFS(Opex_Budget!$Q:$Q,Opex_Budget!$A:$A,$C$3,Opex_Budget!$E:$E,$B$978,Opex_Budget!$F:$F,$D$978,Opex_Budget!$N:$N,"EUR")*$G$5+SUMIFS(Opex_Budget!$Q:$Q,Opex_Budget!$A:$A,$C$3,Opex_Budget!$E:$E,$B$978,Opex_Budget!$F:$F,$D$978,Opex_Budget!$N:$N,"GBP")*$H$5)</f>
        <v/>
      </c>
      <c r="K978" s="32">
        <f>IF($B$978="","",SUMIFS(Opex_Budget!$R:$R,Opex_Budget!$A:$A,$C$3,Opex_Budget!$E:$E,$B$978,Opex_Budget!$F:$F,$D$978,Opex_Budget!$N:$N,"JPY")*$E$5+SUMIFS(Opex_Budget!$R:$R,Opex_Budget!$A:$A,$C$3,Opex_Budget!$E:$E,$B$978,Opex_Budget!$F:$F,$D$978,Opex_Budget!$N:$N,"USD")*$F$5+SUMIFS(Opex_Budget!$R:$R,Opex_Budget!$A:$A,$C$3,Opex_Budget!$E:$E,$B$978,Opex_Budget!$F:$F,$D$978,Opex_Budget!$N:$N,"EUR")*$G$5+SUMIFS(Opex_Budget!$R:$R,Opex_Budget!$A:$A,$C$3,Opex_Budget!$E:$E,$B$978,Opex_Budget!$F:$F,$D$978,Opex_Budget!$N:$N,"GBP")*$H$5)</f>
        <v/>
      </c>
      <c r="L978" s="32">
        <f>IF($B$978="","",SUMIFS(Opex_Budget!$S:$S,Opex_Budget!$A:$A,$C$3,Opex_Budget!$E:$E,$B$978,Opex_Budget!$F:$F,$D$978,Opex_Budget!$N:$N,"JPY")*$E$5+SUMIFS(Opex_Budget!$S:$S,Opex_Budget!$A:$A,$C$3,Opex_Budget!$E:$E,$B$978,Opex_Budget!$F:$F,$D$978,Opex_Budget!$N:$N,"USD")*$F$5+SUMIFS(Opex_Budget!$S:$S,Opex_Budget!$A:$A,$C$3,Opex_Budget!$E:$E,$B$978,Opex_Budget!$F:$F,$D$978,Opex_Budget!$N:$N,"EUR")*$G$5+SUMIFS(Opex_Budget!$S:$S,Opex_Budget!$A:$A,$C$3,Opex_Budget!$E:$E,$B$978,Opex_Budget!$F:$F,$D$978,Opex_Budget!$N:$N,"GBP")*$H$5)</f>
        <v/>
      </c>
      <c r="M978" s="32">
        <f>IF($B$978="","",SUMIFS(Opex_Budget!$T:$T,Opex_Budget!$A:$A,$C$3,Opex_Budget!$E:$E,$B$978,Opex_Budget!$F:$F,$D$978,Opex_Budget!$N:$N,"JPY")*$E$5+SUMIFS(Opex_Budget!$T:$T,Opex_Budget!$A:$A,$C$3,Opex_Budget!$E:$E,$B$978,Opex_Budget!$F:$F,$D$978,Opex_Budget!$N:$N,"USD")*$F$5+SUMIFS(Opex_Budget!$T:$T,Opex_Budget!$A:$A,$C$3,Opex_Budget!$E:$E,$B$978,Opex_Budget!$F:$F,$D$978,Opex_Budget!$N:$N,"EUR")*$G$5+SUMIFS(Opex_Budget!$T:$T,Opex_Budget!$A:$A,$C$3,Opex_Budget!$E:$E,$B$978,Opex_Budget!$F:$F,$D$978,Opex_Budget!$N:$N,"GBP")*$H$5)</f>
        <v/>
      </c>
      <c r="N978" s="32">
        <f>IF($B$978="","",SUMIFS(Opex_Budget!$U:$U,Opex_Budget!$A:$A,$C$3,Opex_Budget!$E:$E,$B$978,Opex_Budget!$F:$F,$D$978,Opex_Budget!$N:$N,"JPY")*$E$5+SUMIFS(Opex_Budget!$U:$U,Opex_Budget!$A:$A,$C$3,Opex_Budget!$E:$E,$B$978,Opex_Budget!$F:$F,$D$978,Opex_Budget!$N:$N,"USD")*$F$5+SUMIFS(Opex_Budget!$U:$U,Opex_Budget!$A:$A,$C$3,Opex_Budget!$E:$E,$B$978,Opex_Budget!$F:$F,$D$978,Opex_Budget!$N:$N,"EUR")*$G$5+SUMIFS(Opex_Budget!$U:$U,Opex_Budget!$A:$A,$C$3,Opex_Budget!$E:$E,$B$978,Opex_Budget!$F:$F,$D$978,Opex_Budget!$N:$N,"GBP")*$H$5)</f>
        <v/>
      </c>
      <c r="O978" s="32">
        <f>IF($B$978="","",SUMIFS(Opex_Budget!$V:$V,Opex_Budget!$A:$A,$C$3,Opex_Budget!$E:$E,$B$978,Opex_Budget!$F:$F,$D$978,Opex_Budget!$N:$N,"JPY")*$E$5+SUMIFS(Opex_Budget!$V:$V,Opex_Budget!$A:$A,$C$3,Opex_Budget!$E:$E,$B$978,Opex_Budget!$F:$F,$D$978,Opex_Budget!$N:$N,"USD")*$F$5+SUMIFS(Opex_Budget!$V:$V,Opex_Budget!$A:$A,$C$3,Opex_Budget!$E:$E,$B$978,Opex_Budget!$F:$F,$D$978,Opex_Budget!$N:$N,"EUR")*$G$5+SUMIFS(Opex_Budget!$V:$V,Opex_Budget!$A:$A,$C$3,Opex_Budget!$E:$E,$B$978,Opex_Budget!$F:$F,$D$978,Opex_Budget!$N:$N,"GBP")*$H$5)</f>
        <v/>
      </c>
      <c r="P978" s="32">
        <f>IF($B$978="","",SUMIFS(Opex_Budget!$W:$W,Opex_Budget!$A:$A,$C$3,Opex_Budget!$E:$E,$B$978,Opex_Budget!$F:$F,$D$978,Opex_Budget!$N:$N,"JPY")*$E$5+SUMIFS(Opex_Budget!$W:$W,Opex_Budget!$A:$A,$C$3,Opex_Budget!$E:$E,$B$978,Opex_Budget!$F:$F,$D$978,Opex_Budget!$N:$N,"USD")*$F$5+SUMIFS(Opex_Budget!$W:$W,Opex_Budget!$A:$A,$C$3,Opex_Budget!$E:$E,$B$978,Opex_Budget!$F:$F,$D$978,Opex_Budget!$N:$N,"EUR")*$G$5+SUMIFS(Opex_Budget!$W:$W,Opex_Budget!$A:$A,$C$3,Opex_Budget!$E:$E,$B$978,Opex_Budget!$F:$F,$D$978,Opex_Budget!$N:$N,"GBP")*$H$5)</f>
        <v/>
      </c>
      <c r="Q978" s="32">
        <f>IF($B$978="","",SUMIFS(Opex_Budget!$X:$X,Opex_Budget!$A:$A,$C$3,Opex_Budget!$E:$E,$B$978,Opex_Budget!$F:$F,$D$978,Opex_Budget!$N:$N,"JPY")*$E$5+SUMIFS(Opex_Budget!$X:$X,Opex_Budget!$A:$A,$C$3,Opex_Budget!$E:$E,$B$978,Opex_Budget!$F:$F,$D$978,Opex_Budget!$N:$N,"USD")*$F$5+SUMIFS(Opex_Budget!$X:$X,Opex_Budget!$A:$A,$C$3,Opex_Budget!$E:$E,$B$978,Opex_Budget!$F:$F,$D$978,Opex_Budget!$N:$N,"EUR")*$G$5+SUMIFS(Opex_Budget!$X:$X,Opex_Budget!$A:$A,$C$3,Opex_Budget!$E:$E,$B$978,Opex_Budget!$F:$F,$D$978,Opex_Budget!$N:$N,"GBP")*$H$5)</f>
        <v/>
      </c>
      <c r="R978" s="32">
        <f>IF($B$978="","",SUMIFS(Opex_Budget!$Y:$Y,Opex_Budget!$A:$A,$C$3,Opex_Budget!$E:$E,$B$978,Opex_Budget!$F:$F,$D$978,Opex_Budget!$N:$N,"JPY")*$E$5+SUMIFS(Opex_Budget!$Y:$Y,Opex_Budget!$A:$A,$C$3,Opex_Budget!$E:$E,$B$978,Opex_Budget!$F:$F,$D$978,Opex_Budget!$N:$N,"USD")*$F$5+SUMIFS(Opex_Budget!$Y:$Y,Opex_Budget!$A:$A,$C$3,Opex_Budget!$E:$E,$B$978,Opex_Budget!$F:$F,$D$978,Opex_Budget!$N:$N,"EUR")*$G$5+SUMIFS(Opex_Budget!$Y:$Y,Opex_Budget!$A:$A,$C$3,Opex_Budget!$E:$E,$B$978,Opex_Budget!$F:$F,$D$978,Opex_Budget!$N:$N,"GBP")*$H$5)</f>
        <v/>
      </c>
      <c r="S978" s="32">
        <f>IF($B$978="","",SUMIFS(Opex_Budget!$Z:$Z,Opex_Budget!$A:$A,$C$3,Opex_Budget!$E:$E,$B$978,Opex_Budget!$F:$F,$D$978,Opex_Budget!$N:$N,"JPY")*$E$5+SUMIFS(Opex_Budget!$Z:$Z,Opex_Budget!$A:$A,$C$3,Opex_Budget!$E:$E,$B$978,Opex_Budget!$F:$F,$D$978,Opex_Budget!$N:$N,"USD")*$F$5+SUMIFS(Opex_Budget!$Z:$Z,Opex_Budget!$A:$A,$C$3,Opex_Budget!$E:$E,$B$978,Opex_Budget!$F:$F,$D$978,Opex_Budget!$N:$N,"EUR")*$G$5+SUMIFS(Opex_Budget!$Z:$Z,Opex_Budget!$A:$A,$C$3,Opex_Budget!$E:$E,$B$978,Opex_Budget!$F:$F,$D$978,Opex_Budget!$N:$N,"GBP")*$H$5)</f>
        <v/>
      </c>
      <c r="T978" s="32">
        <f>IF($B$978="","",SUMIF($H$7:$S$7,"&lt;="&amp;$C$4,$H978:$S978))</f>
        <v/>
      </c>
      <c r="U978" s="32">
        <f>IF($B$978="","",SUMIF($H$7:$S$7,"&gt;"&amp;$C$4,$H978:$S978))</f>
        <v/>
      </c>
      <c r="V978" s="32">
        <f>IF($B$978="","",SUM($H978:$S978))</f>
        <v/>
      </c>
      <c r="X978" s="22">
        <f>IF($B978="","",IFERROR(INDEX(Cost_Centers!$E:$E,MATCH($B978,Cost_Centers!$A:$A,0)),"(unknown)"))</f>
        <v/>
      </c>
      <c r="Y978" s="22">
        <f>IF($B978="","",IFERROR(INDEX(Cost_Centers!$D:$D,MATCH($B978,Cost_Centers!$A:$A,0)),"(unknown)"))</f>
        <v/>
      </c>
      <c r="Z978" s="22">
        <f>IF(OR($B978="",$G978&lt;&gt;"Variance vs Budget"),"",ABS(N($V978))+ROW()/1000000000)</f>
        <v/>
      </c>
    </row>
    <row r="979">
      <c r="A979" s="13">
        <f>IF(A$978="","",A$978)</f>
        <v/>
      </c>
      <c r="B979" s="13">
        <f>IF(B$978="","",B$978)</f>
        <v/>
      </c>
      <c r="C979" s="13">
        <f>IF(C$978="","",C$978)</f>
        <v/>
      </c>
      <c r="D979" s="13">
        <f>IF(D$978="","",D$978)</f>
        <v/>
      </c>
      <c r="E979" s="13">
        <f>IF(E$978="","",E$978)</f>
        <v/>
      </c>
      <c r="F979" s="13">
        <f>IF(F$978="","",F$978)</f>
        <v/>
      </c>
      <c r="G979" s="7" t="inlineStr">
        <is>
          <t>Actual</t>
        </is>
      </c>
      <c r="H979" s="18">
        <f>IF(OR($B$978="",1&gt;$C$4),"",SUMIFS(Actuals!$G:$G,Actuals!$B:$B,$C$3,Actuals!$C:$C,1,Actuals!$D:$D,$B$978,Actuals!$A:$A,LEFT($D$978,FIND("|",$D$978&amp;"|")-1),Actuals!$E:$E,MID($D$978,FIND("|",$D$978&amp;"|")+1,50),Actuals!$F:$F,"JPY")*$E$5+SUMIFS(Actuals!$G:$G,Actuals!$B:$B,$C$3,Actuals!$C:$C,1,Actuals!$D:$D,$B$978,Actuals!$A:$A,LEFT($D$978,FIND("|",$D$978&amp;"|")-1),Actuals!$E:$E,MID($D$978,FIND("|",$D$978&amp;"|")+1,50),Actuals!$F:$F,"USD")*$F$5+SUMIFS(Actuals!$G:$G,Actuals!$B:$B,$C$3,Actuals!$C:$C,1,Actuals!$D:$D,$B$978,Actuals!$A:$A,LEFT($D$978,FIND("|",$D$978&amp;"|")-1),Actuals!$E:$E,MID($D$978,FIND("|",$D$978&amp;"|")+1,50),Actuals!$F:$F,"EUR")*$G$5+SUMIFS(Actuals!$G:$G,Actuals!$B:$B,$C$3,Actuals!$C:$C,1,Actuals!$D:$D,$B$978,Actuals!$A:$A,LEFT($D$978,FIND("|",$D$978&amp;"|")-1),Actuals!$E:$E,MID($D$978,FIND("|",$D$978&amp;"|")+1,50),Actuals!$F:$F,"GBP")*$H$5)</f>
        <v/>
      </c>
      <c r="I979" s="18">
        <f>IF(OR($B$978="",2&gt;$C$4),"",SUMIFS(Actuals!$G:$G,Actuals!$B:$B,$C$3,Actuals!$C:$C,2,Actuals!$D:$D,$B$978,Actuals!$A:$A,LEFT($D$978,FIND("|",$D$978&amp;"|")-1),Actuals!$E:$E,MID($D$978,FIND("|",$D$978&amp;"|")+1,50),Actuals!$F:$F,"JPY")*$E$5+SUMIFS(Actuals!$G:$G,Actuals!$B:$B,$C$3,Actuals!$C:$C,2,Actuals!$D:$D,$B$978,Actuals!$A:$A,LEFT($D$978,FIND("|",$D$978&amp;"|")-1),Actuals!$E:$E,MID($D$978,FIND("|",$D$978&amp;"|")+1,50),Actuals!$F:$F,"USD")*$F$5+SUMIFS(Actuals!$G:$G,Actuals!$B:$B,$C$3,Actuals!$C:$C,2,Actuals!$D:$D,$B$978,Actuals!$A:$A,LEFT($D$978,FIND("|",$D$978&amp;"|")-1),Actuals!$E:$E,MID($D$978,FIND("|",$D$978&amp;"|")+1,50),Actuals!$F:$F,"EUR")*$G$5+SUMIFS(Actuals!$G:$G,Actuals!$B:$B,$C$3,Actuals!$C:$C,2,Actuals!$D:$D,$B$978,Actuals!$A:$A,LEFT($D$978,FIND("|",$D$978&amp;"|")-1),Actuals!$E:$E,MID($D$978,FIND("|",$D$978&amp;"|")+1,50),Actuals!$F:$F,"GBP")*$H$5)</f>
        <v/>
      </c>
      <c r="J979" s="18">
        <f>IF(OR($B$978="",3&gt;$C$4),"",SUMIFS(Actuals!$G:$G,Actuals!$B:$B,$C$3,Actuals!$C:$C,3,Actuals!$D:$D,$B$978,Actuals!$A:$A,LEFT($D$978,FIND("|",$D$978&amp;"|")-1),Actuals!$E:$E,MID($D$978,FIND("|",$D$978&amp;"|")+1,50),Actuals!$F:$F,"JPY")*$E$5+SUMIFS(Actuals!$G:$G,Actuals!$B:$B,$C$3,Actuals!$C:$C,3,Actuals!$D:$D,$B$978,Actuals!$A:$A,LEFT($D$978,FIND("|",$D$978&amp;"|")-1),Actuals!$E:$E,MID($D$978,FIND("|",$D$978&amp;"|")+1,50),Actuals!$F:$F,"USD")*$F$5+SUMIFS(Actuals!$G:$G,Actuals!$B:$B,$C$3,Actuals!$C:$C,3,Actuals!$D:$D,$B$978,Actuals!$A:$A,LEFT($D$978,FIND("|",$D$978&amp;"|")-1),Actuals!$E:$E,MID($D$978,FIND("|",$D$978&amp;"|")+1,50),Actuals!$F:$F,"EUR")*$G$5+SUMIFS(Actuals!$G:$G,Actuals!$B:$B,$C$3,Actuals!$C:$C,3,Actuals!$D:$D,$B$978,Actuals!$A:$A,LEFT($D$978,FIND("|",$D$978&amp;"|")-1),Actuals!$E:$E,MID($D$978,FIND("|",$D$978&amp;"|")+1,50),Actuals!$F:$F,"GBP")*$H$5)</f>
        <v/>
      </c>
      <c r="K979" s="18">
        <f>IF(OR($B$978="",4&gt;$C$4),"",SUMIFS(Actuals!$G:$G,Actuals!$B:$B,$C$3,Actuals!$C:$C,4,Actuals!$D:$D,$B$978,Actuals!$A:$A,LEFT($D$978,FIND("|",$D$978&amp;"|")-1),Actuals!$E:$E,MID($D$978,FIND("|",$D$978&amp;"|")+1,50),Actuals!$F:$F,"JPY")*$E$5+SUMIFS(Actuals!$G:$G,Actuals!$B:$B,$C$3,Actuals!$C:$C,4,Actuals!$D:$D,$B$978,Actuals!$A:$A,LEFT($D$978,FIND("|",$D$978&amp;"|")-1),Actuals!$E:$E,MID($D$978,FIND("|",$D$978&amp;"|")+1,50),Actuals!$F:$F,"USD")*$F$5+SUMIFS(Actuals!$G:$G,Actuals!$B:$B,$C$3,Actuals!$C:$C,4,Actuals!$D:$D,$B$978,Actuals!$A:$A,LEFT($D$978,FIND("|",$D$978&amp;"|")-1),Actuals!$E:$E,MID($D$978,FIND("|",$D$978&amp;"|")+1,50),Actuals!$F:$F,"EUR")*$G$5+SUMIFS(Actuals!$G:$G,Actuals!$B:$B,$C$3,Actuals!$C:$C,4,Actuals!$D:$D,$B$978,Actuals!$A:$A,LEFT($D$978,FIND("|",$D$978&amp;"|")-1),Actuals!$E:$E,MID($D$978,FIND("|",$D$978&amp;"|")+1,50),Actuals!$F:$F,"GBP")*$H$5)</f>
        <v/>
      </c>
      <c r="L979" s="18">
        <f>IF(OR($B$978="",5&gt;$C$4),"",SUMIFS(Actuals!$G:$G,Actuals!$B:$B,$C$3,Actuals!$C:$C,5,Actuals!$D:$D,$B$978,Actuals!$A:$A,LEFT($D$978,FIND("|",$D$978&amp;"|")-1),Actuals!$E:$E,MID($D$978,FIND("|",$D$978&amp;"|")+1,50),Actuals!$F:$F,"JPY")*$E$5+SUMIFS(Actuals!$G:$G,Actuals!$B:$B,$C$3,Actuals!$C:$C,5,Actuals!$D:$D,$B$978,Actuals!$A:$A,LEFT($D$978,FIND("|",$D$978&amp;"|")-1),Actuals!$E:$E,MID($D$978,FIND("|",$D$978&amp;"|")+1,50),Actuals!$F:$F,"USD")*$F$5+SUMIFS(Actuals!$G:$G,Actuals!$B:$B,$C$3,Actuals!$C:$C,5,Actuals!$D:$D,$B$978,Actuals!$A:$A,LEFT($D$978,FIND("|",$D$978&amp;"|")-1),Actuals!$E:$E,MID($D$978,FIND("|",$D$978&amp;"|")+1,50),Actuals!$F:$F,"EUR")*$G$5+SUMIFS(Actuals!$G:$G,Actuals!$B:$B,$C$3,Actuals!$C:$C,5,Actuals!$D:$D,$B$978,Actuals!$A:$A,LEFT($D$978,FIND("|",$D$978&amp;"|")-1),Actuals!$E:$E,MID($D$978,FIND("|",$D$978&amp;"|")+1,50),Actuals!$F:$F,"GBP")*$H$5)</f>
        <v/>
      </c>
      <c r="M979" s="18">
        <f>IF(OR($B$978="",6&gt;$C$4),"",SUMIFS(Actuals!$G:$G,Actuals!$B:$B,$C$3,Actuals!$C:$C,6,Actuals!$D:$D,$B$978,Actuals!$A:$A,LEFT($D$978,FIND("|",$D$978&amp;"|")-1),Actuals!$E:$E,MID($D$978,FIND("|",$D$978&amp;"|")+1,50),Actuals!$F:$F,"JPY")*$E$5+SUMIFS(Actuals!$G:$G,Actuals!$B:$B,$C$3,Actuals!$C:$C,6,Actuals!$D:$D,$B$978,Actuals!$A:$A,LEFT($D$978,FIND("|",$D$978&amp;"|")-1),Actuals!$E:$E,MID($D$978,FIND("|",$D$978&amp;"|")+1,50),Actuals!$F:$F,"USD")*$F$5+SUMIFS(Actuals!$G:$G,Actuals!$B:$B,$C$3,Actuals!$C:$C,6,Actuals!$D:$D,$B$978,Actuals!$A:$A,LEFT($D$978,FIND("|",$D$978&amp;"|")-1),Actuals!$E:$E,MID($D$978,FIND("|",$D$978&amp;"|")+1,50),Actuals!$F:$F,"EUR")*$G$5+SUMIFS(Actuals!$G:$G,Actuals!$B:$B,$C$3,Actuals!$C:$C,6,Actuals!$D:$D,$B$978,Actuals!$A:$A,LEFT($D$978,FIND("|",$D$978&amp;"|")-1),Actuals!$E:$E,MID($D$978,FIND("|",$D$978&amp;"|")+1,50),Actuals!$F:$F,"GBP")*$H$5)</f>
        <v/>
      </c>
      <c r="N979" s="18">
        <f>IF(OR($B$978="",7&gt;$C$4),"",SUMIFS(Actuals!$G:$G,Actuals!$B:$B,$C$3,Actuals!$C:$C,7,Actuals!$D:$D,$B$978,Actuals!$A:$A,LEFT($D$978,FIND("|",$D$978&amp;"|")-1),Actuals!$E:$E,MID($D$978,FIND("|",$D$978&amp;"|")+1,50),Actuals!$F:$F,"JPY")*$E$5+SUMIFS(Actuals!$G:$G,Actuals!$B:$B,$C$3,Actuals!$C:$C,7,Actuals!$D:$D,$B$978,Actuals!$A:$A,LEFT($D$978,FIND("|",$D$978&amp;"|")-1),Actuals!$E:$E,MID($D$978,FIND("|",$D$978&amp;"|")+1,50),Actuals!$F:$F,"USD")*$F$5+SUMIFS(Actuals!$G:$G,Actuals!$B:$B,$C$3,Actuals!$C:$C,7,Actuals!$D:$D,$B$978,Actuals!$A:$A,LEFT($D$978,FIND("|",$D$978&amp;"|")-1),Actuals!$E:$E,MID($D$978,FIND("|",$D$978&amp;"|")+1,50),Actuals!$F:$F,"EUR")*$G$5+SUMIFS(Actuals!$G:$G,Actuals!$B:$B,$C$3,Actuals!$C:$C,7,Actuals!$D:$D,$B$978,Actuals!$A:$A,LEFT($D$978,FIND("|",$D$978&amp;"|")-1),Actuals!$E:$E,MID($D$978,FIND("|",$D$978&amp;"|")+1,50),Actuals!$F:$F,"GBP")*$H$5)</f>
        <v/>
      </c>
      <c r="O979" s="18">
        <f>IF(OR($B$978="",8&gt;$C$4),"",SUMIFS(Actuals!$G:$G,Actuals!$B:$B,$C$3,Actuals!$C:$C,8,Actuals!$D:$D,$B$978,Actuals!$A:$A,LEFT($D$978,FIND("|",$D$978&amp;"|")-1),Actuals!$E:$E,MID($D$978,FIND("|",$D$978&amp;"|")+1,50),Actuals!$F:$F,"JPY")*$E$5+SUMIFS(Actuals!$G:$G,Actuals!$B:$B,$C$3,Actuals!$C:$C,8,Actuals!$D:$D,$B$978,Actuals!$A:$A,LEFT($D$978,FIND("|",$D$978&amp;"|")-1),Actuals!$E:$E,MID($D$978,FIND("|",$D$978&amp;"|")+1,50),Actuals!$F:$F,"USD")*$F$5+SUMIFS(Actuals!$G:$G,Actuals!$B:$B,$C$3,Actuals!$C:$C,8,Actuals!$D:$D,$B$978,Actuals!$A:$A,LEFT($D$978,FIND("|",$D$978&amp;"|")-1),Actuals!$E:$E,MID($D$978,FIND("|",$D$978&amp;"|")+1,50),Actuals!$F:$F,"EUR")*$G$5+SUMIFS(Actuals!$G:$G,Actuals!$B:$B,$C$3,Actuals!$C:$C,8,Actuals!$D:$D,$B$978,Actuals!$A:$A,LEFT($D$978,FIND("|",$D$978&amp;"|")-1),Actuals!$E:$E,MID($D$978,FIND("|",$D$978&amp;"|")+1,50),Actuals!$F:$F,"GBP")*$H$5)</f>
        <v/>
      </c>
      <c r="P979" s="18">
        <f>IF(OR($B$978="",9&gt;$C$4),"",SUMIFS(Actuals!$G:$G,Actuals!$B:$B,$C$3,Actuals!$C:$C,9,Actuals!$D:$D,$B$978,Actuals!$A:$A,LEFT($D$978,FIND("|",$D$978&amp;"|")-1),Actuals!$E:$E,MID($D$978,FIND("|",$D$978&amp;"|")+1,50),Actuals!$F:$F,"JPY")*$E$5+SUMIFS(Actuals!$G:$G,Actuals!$B:$B,$C$3,Actuals!$C:$C,9,Actuals!$D:$D,$B$978,Actuals!$A:$A,LEFT($D$978,FIND("|",$D$978&amp;"|")-1),Actuals!$E:$E,MID($D$978,FIND("|",$D$978&amp;"|")+1,50),Actuals!$F:$F,"USD")*$F$5+SUMIFS(Actuals!$G:$G,Actuals!$B:$B,$C$3,Actuals!$C:$C,9,Actuals!$D:$D,$B$978,Actuals!$A:$A,LEFT($D$978,FIND("|",$D$978&amp;"|")-1),Actuals!$E:$E,MID($D$978,FIND("|",$D$978&amp;"|")+1,50),Actuals!$F:$F,"EUR")*$G$5+SUMIFS(Actuals!$G:$G,Actuals!$B:$B,$C$3,Actuals!$C:$C,9,Actuals!$D:$D,$B$978,Actuals!$A:$A,LEFT($D$978,FIND("|",$D$978&amp;"|")-1),Actuals!$E:$E,MID($D$978,FIND("|",$D$978&amp;"|")+1,50),Actuals!$F:$F,"GBP")*$H$5)</f>
        <v/>
      </c>
      <c r="Q979" s="18">
        <f>IF(OR($B$978="",10&gt;$C$4),"",SUMIFS(Actuals!$G:$G,Actuals!$B:$B,$C$3,Actuals!$C:$C,10,Actuals!$D:$D,$B$978,Actuals!$A:$A,LEFT($D$978,FIND("|",$D$978&amp;"|")-1),Actuals!$E:$E,MID($D$978,FIND("|",$D$978&amp;"|")+1,50),Actuals!$F:$F,"JPY")*$E$5+SUMIFS(Actuals!$G:$G,Actuals!$B:$B,$C$3,Actuals!$C:$C,10,Actuals!$D:$D,$B$978,Actuals!$A:$A,LEFT($D$978,FIND("|",$D$978&amp;"|")-1),Actuals!$E:$E,MID($D$978,FIND("|",$D$978&amp;"|")+1,50),Actuals!$F:$F,"USD")*$F$5+SUMIFS(Actuals!$G:$G,Actuals!$B:$B,$C$3,Actuals!$C:$C,10,Actuals!$D:$D,$B$978,Actuals!$A:$A,LEFT($D$978,FIND("|",$D$978&amp;"|")-1),Actuals!$E:$E,MID($D$978,FIND("|",$D$978&amp;"|")+1,50),Actuals!$F:$F,"EUR")*$G$5+SUMIFS(Actuals!$G:$G,Actuals!$B:$B,$C$3,Actuals!$C:$C,10,Actuals!$D:$D,$B$978,Actuals!$A:$A,LEFT($D$978,FIND("|",$D$978&amp;"|")-1),Actuals!$E:$E,MID($D$978,FIND("|",$D$978&amp;"|")+1,50),Actuals!$F:$F,"GBP")*$H$5)</f>
        <v/>
      </c>
      <c r="R979" s="18">
        <f>IF(OR($B$978="",11&gt;$C$4),"",SUMIFS(Actuals!$G:$G,Actuals!$B:$B,$C$3,Actuals!$C:$C,11,Actuals!$D:$D,$B$978,Actuals!$A:$A,LEFT($D$978,FIND("|",$D$978&amp;"|")-1),Actuals!$E:$E,MID($D$978,FIND("|",$D$978&amp;"|")+1,50),Actuals!$F:$F,"JPY")*$E$5+SUMIFS(Actuals!$G:$G,Actuals!$B:$B,$C$3,Actuals!$C:$C,11,Actuals!$D:$D,$B$978,Actuals!$A:$A,LEFT($D$978,FIND("|",$D$978&amp;"|")-1),Actuals!$E:$E,MID($D$978,FIND("|",$D$978&amp;"|")+1,50),Actuals!$F:$F,"USD")*$F$5+SUMIFS(Actuals!$G:$G,Actuals!$B:$B,$C$3,Actuals!$C:$C,11,Actuals!$D:$D,$B$978,Actuals!$A:$A,LEFT($D$978,FIND("|",$D$978&amp;"|")-1),Actuals!$E:$E,MID($D$978,FIND("|",$D$978&amp;"|")+1,50),Actuals!$F:$F,"EUR")*$G$5+SUMIFS(Actuals!$G:$G,Actuals!$B:$B,$C$3,Actuals!$C:$C,11,Actuals!$D:$D,$B$978,Actuals!$A:$A,LEFT($D$978,FIND("|",$D$978&amp;"|")-1),Actuals!$E:$E,MID($D$978,FIND("|",$D$978&amp;"|")+1,50),Actuals!$F:$F,"GBP")*$H$5)</f>
        <v/>
      </c>
      <c r="S979" s="18">
        <f>IF(OR($B$978="",12&gt;$C$4),"",SUMIFS(Actuals!$G:$G,Actuals!$B:$B,$C$3,Actuals!$C:$C,12,Actuals!$D:$D,$B$978,Actuals!$A:$A,LEFT($D$978,FIND("|",$D$978&amp;"|")-1),Actuals!$E:$E,MID($D$978,FIND("|",$D$978&amp;"|")+1,50),Actuals!$F:$F,"JPY")*$E$5+SUMIFS(Actuals!$G:$G,Actuals!$B:$B,$C$3,Actuals!$C:$C,12,Actuals!$D:$D,$B$978,Actuals!$A:$A,LEFT($D$978,FIND("|",$D$978&amp;"|")-1),Actuals!$E:$E,MID($D$978,FIND("|",$D$978&amp;"|")+1,50),Actuals!$F:$F,"USD")*$F$5+SUMIFS(Actuals!$G:$G,Actuals!$B:$B,$C$3,Actuals!$C:$C,12,Actuals!$D:$D,$B$978,Actuals!$A:$A,LEFT($D$978,FIND("|",$D$978&amp;"|")-1),Actuals!$E:$E,MID($D$978,FIND("|",$D$978&amp;"|")+1,50),Actuals!$F:$F,"EUR")*$G$5+SUMIFS(Actuals!$G:$G,Actuals!$B:$B,$C$3,Actuals!$C:$C,12,Actuals!$D:$D,$B$978,Actuals!$A:$A,LEFT($D$978,FIND("|",$D$978&amp;"|")-1),Actuals!$E:$E,MID($D$978,FIND("|",$D$978&amp;"|")+1,50),Actuals!$F:$F,"GBP")*$H$5)</f>
        <v/>
      </c>
      <c r="T979" s="18">
        <f>IF($B$978="","",SUMIF($H$7:$S$7,"&lt;="&amp;$C$4,$H979:$S979))</f>
        <v/>
      </c>
      <c r="U979" s="18" t="n"/>
      <c r="V979" s="18" t="n"/>
      <c r="X979" s="22">
        <f>IF($B979="","",IFERROR(INDEX(Cost_Centers!$E:$E,MATCH($B979,Cost_Centers!$A:$A,0)),"(unknown)"))</f>
        <v/>
      </c>
      <c r="Y979" s="22">
        <f>IF($B979="","",IFERROR(INDEX(Cost_Centers!$D:$D,MATCH($B979,Cost_Centers!$A:$A,0)),"(unknown)"))</f>
        <v/>
      </c>
      <c r="Z979" s="22">
        <f>IF(OR($B979="",$G979&lt;&gt;"Variance vs Budget"),"",ABS(N($V979))+ROW()/1000000000)</f>
        <v/>
      </c>
    </row>
    <row r="980">
      <c r="A980" s="13">
        <f>IF(A$978="","",A$978)</f>
        <v/>
      </c>
      <c r="B980" s="13">
        <f>IF(B$978="","",B$978)</f>
        <v/>
      </c>
      <c r="C980" s="13">
        <f>IF(C$978="","",C$978)</f>
        <v/>
      </c>
      <c r="D980" s="13">
        <f>IF(D$978="","",D$978)</f>
        <v/>
      </c>
      <c r="E980" s="13">
        <f>IF(E$978="","",E$978)</f>
        <v/>
      </c>
      <c r="F980" s="13">
        <f>IF(F$978="","",F$978)</f>
        <v/>
      </c>
      <c r="G980" s="6" t="inlineStr">
        <is>
          <t>Variance vs Budget</t>
        </is>
      </c>
      <c r="H980" s="33">
        <f>IF(OR($B$978="",1&gt;$C$4),"",N(H979)-H978)</f>
        <v/>
      </c>
      <c r="I980" s="33">
        <f>IF(OR($B$978="",2&gt;$C$4),"",N(I979)-I978)</f>
        <v/>
      </c>
      <c r="J980" s="33">
        <f>IF(OR($B$978="",3&gt;$C$4),"",N(J979)-J978)</f>
        <v/>
      </c>
      <c r="K980" s="33">
        <f>IF(OR($B$978="",4&gt;$C$4),"",N(K979)-K978)</f>
        <v/>
      </c>
      <c r="L980" s="33">
        <f>IF(OR($B$978="",5&gt;$C$4),"",N(L979)-L978)</f>
        <v/>
      </c>
      <c r="M980" s="33">
        <f>IF(OR($B$978="",6&gt;$C$4),"",N(M979)-M978)</f>
        <v/>
      </c>
      <c r="N980" s="33">
        <f>IF(OR($B$978="",7&gt;$C$4),"",N(N979)-N978)</f>
        <v/>
      </c>
      <c r="O980" s="33">
        <f>IF(OR($B$978="",8&gt;$C$4),"",N(O979)-O978)</f>
        <v/>
      </c>
      <c r="P980" s="33">
        <f>IF(OR($B$978="",9&gt;$C$4),"",N(P979)-P978)</f>
        <v/>
      </c>
      <c r="Q980" s="33">
        <f>IF(OR($B$978="",10&gt;$C$4),"",N(Q979)-Q978)</f>
        <v/>
      </c>
      <c r="R980" s="33">
        <f>IF(OR($B$978="",11&gt;$C$4),"",N(R979)-R978)</f>
        <v/>
      </c>
      <c r="S980" s="33">
        <f>IF(OR($B$978="",12&gt;$C$4),"",N(S979)-S978)</f>
        <v/>
      </c>
      <c r="T980" s="33">
        <f>IF($B$978="","",T979-T978)</f>
        <v/>
      </c>
      <c r="U980" s="33">
        <f>IF($B$978="","",U982-U978)</f>
        <v/>
      </c>
      <c r="V980" s="33">
        <f>IF($B$978="","",V982-V978)</f>
        <v/>
      </c>
      <c r="X980" s="22">
        <f>IF($B980="","",IFERROR(INDEX(Cost_Centers!$E:$E,MATCH($B980,Cost_Centers!$A:$A,0)),"(unknown)"))</f>
        <v/>
      </c>
      <c r="Y980" s="22">
        <f>IF($B980="","",IFERROR(INDEX(Cost_Centers!$D:$D,MATCH($B980,Cost_Centers!$A:$A,0)),"(unknown)"))</f>
        <v/>
      </c>
      <c r="Z980" s="22">
        <f>IF(OR($B980="",$G980&lt;&gt;"Variance vs Budget"),"",ABS(N($V980))+ROW()/1000000000)</f>
        <v/>
      </c>
    </row>
    <row r="981">
      <c r="A981" s="13">
        <f>IF(A$978="","",A$978)</f>
        <v/>
      </c>
      <c r="B981" s="13">
        <f>IF(B$978="","",B$978)</f>
        <v/>
      </c>
      <c r="C981" s="13">
        <f>IF(C$978="","",C$978)</f>
        <v/>
      </c>
      <c r="D981" s="13">
        <f>IF(D$978="","",D$978)</f>
        <v/>
      </c>
      <c r="E981" s="13">
        <f>IF(E$978="","",E$978)</f>
        <v/>
      </c>
      <c r="F981" s="13">
        <f>IF(F$978="","",F$978)</f>
        <v/>
      </c>
      <c r="G981" s="7" t="inlineStr">
        <is>
          <t>Forecast (input)</t>
        </is>
      </c>
      <c r="H981" s="34" t="n"/>
      <c r="I981" s="34" t="n"/>
      <c r="J981" s="34" t="n"/>
      <c r="K981" s="34" t="n"/>
      <c r="L981" s="34" t="n"/>
      <c r="M981" s="34" t="n"/>
      <c r="N981" s="34" t="n"/>
      <c r="O981" s="34" t="n"/>
      <c r="P981" s="34" t="n"/>
      <c r="Q981" s="34" t="n"/>
      <c r="R981" s="34" t="n"/>
      <c r="S981" s="34" t="n"/>
      <c r="T981" s="18" t="n"/>
      <c r="U981" s="18" t="n"/>
      <c r="V981" s="18" t="n"/>
      <c r="X981" s="22">
        <f>IF($B981="","",IFERROR(INDEX(Cost_Centers!$E:$E,MATCH($B981,Cost_Centers!$A:$A,0)),"(unknown)"))</f>
        <v/>
      </c>
      <c r="Y981" s="22">
        <f>IF($B981="","",IFERROR(INDEX(Cost_Centers!$D:$D,MATCH($B981,Cost_Centers!$A:$A,0)),"(unknown)"))</f>
        <v/>
      </c>
      <c r="Z981" s="22">
        <f>IF(OR($B981="",$G981&lt;&gt;"Variance vs Budget"),"",ABS(N($V981))+ROW()/1000000000)</f>
        <v/>
      </c>
    </row>
    <row r="982">
      <c r="A982" s="13">
        <f>IF(A$978="","",A$978)</f>
        <v/>
      </c>
      <c r="B982" s="13">
        <f>IF(B$978="","",B$978)</f>
        <v/>
      </c>
      <c r="C982" s="13">
        <f>IF(C$978="","",C$978)</f>
        <v/>
      </c>
      <c r="D982" s="13">
        <f>IF(D$978="","",D$978)</f>
        <v/>
      </c>
      <c r="E982" s="13">
        <f>IF(E$978="","",E$978)</f>
        <v/>
      </c>
      <c r="F982" s="13">
        <f>IF(F$978="","",F$978)</f>
        <v/>
      </c>
      <c r="G982" s="35" t="inlineStr">
        <is>
          <t>Actual + Forecast</t>
        </is>
      </c>
      <c r="H982" s="18">
        <f>IF($B$978="","",IF(1&lt;=$C$4,N(H979),IF(H981="",H978,H981)))</f>
        <v/>
      </c>
      <c r="I982" s="18">
        <f>IF($B$978="","",IF(2&lt;=$C$4,N(I979),IF(I981="",I978,I981)))</f>
        <v/>
      </c>
      <c r="J982" s="18">
        <f>IF($B$978="","",IF(3&lt;=$C$4,N(J979),IF(J981="",J978,J981)))</f>
        <v/>
      </c>
      <c r="K982" s="18">
        <f>IF($B$978="","",IF(4&lt;=$C$4,N(K979),IF(K981="",K978,K981)))</f>
        <v/>
      </c>
      <c r="L982" s="18">
        <f>IF($B$978="","",IF(5&lt;=$C$4,N(L979),IF(L981="",L978,L981)))</f>
        <v/>
      </c>
      <c r="M982" s="18">
        <f>IF($B$978="","",IF(6&lt;=$C$4,N(M979),IF(M981="",M978,M981)))</f>
        <v/>
      </c>
      <c r="N982" s="18">
        <f>IF($B$978="","",IF(7&lt;=$C$4,N(N979),IF(N981="",N978,N981)))</f>
        <v/>
      </c>
      <c r="O982" s="18">
        <f>IF($B$978="","",IF(8&lt;=$C$4,N(O979),IF(O981="",O978,O981)))</f>
        <v/>
      </c>
      <c r="P982" s="18">
        <f>IF($B$978="","",IF(9&lt;=$C$4,N(P979),IF(P981="",P978,P981)))</f>
        <v/>
      </c>
      <c r="Q982" s="18">
        <f>IF($B$978="","",IF(10&lt;=$C$4,N(Q979),IF(Q981="",Q978,Q981)))</f>
        <v/>
      </c>
      <c r="R982" s="18">
        <f>IF($B$978="","",IF(11&lt;=$C$4,N(R979),IF(R981="",R978,R981)))</f>
        <v/>
      </c>
      <c r="S982" s="18">
        <f>IF($B$978="","",IF(12&lt;=$C$4,N(S979),IF(S981="",S978,S981)))</f>
        <v/>
      </c>
      <c r="T982" s="18">
        <f>IF($B$978="","",SUMIF($H$7:$S$7,"&lt;="&amp;$C$4,$H982:$S982))</f>
        <v/>
      </c>
      <c r="U982" s="18">
        <f>IF($B$978="","",SUMIF($H$7:$S$7,"&gt;"&amp;$C$4,$H982:$S982))</f>
        <v/>
      </c>
      <c r="V982" s="18">
        <f>IF($B$978="","",SUM($H982:$S982))</f>
        <v/>
      </c>
      <c r="X982" s="22">
        <f>IF($B982="","",IFERROR(INDEX(Cost_Centers!$E:$E,MATCH($B982,Cost_Centers!$A:$A,0)),"(unknown)"))</f>
        <v/>
      </c>
      <c r="Y982" s="22">
        <f>IF($B982="","",IFERROR(INDEX(Cost_Centers!$D:$D,MATCH($B982,Cost_Centers!$A:$A,0)),"(unknown)"))</f>
        <v/>
      </c>
      <c r="Z982" s="22">
        <f>IF(OR($B982="",$G982&lt;&gt;"Variance vs Budget"),"",ABS(N($V982))+ROW()/1000000000)</f>
        <v/>
      </c>
    </row>
    <row r="983">
      <c r="A983" s="13">
        <f>IF(A$978="","",A$978)</f>
        <v/>
      </c>
      <c r="B983" s="13">
        <f>IF(B$978="","",B$978)</f>
        <v/>
      </c>
      <c r="C983" s="13">
        <f>IF(C$978="","",C$978)</f>
        <v/>
      </c>
      <c r="D983" s="13">
        <f>IF(D$978="","",D$978)</f>
        <v/>
      </c>
      <c r="E983" s="13">
        <f>IF(E$978="","",E$978)</f>
        <v/>
      </c>
      <c r="F983" s="13">
        <f>IF(F$978="","",F$978)</f>
        <v/>
      </c>
      <c r="G983" s="36" t="inlineStr">
        <is>
          <t>Prior Month Forecast</t>
        </is>
      </c>
      <c r="H983" s="37">
        <f>IF($B$978="","",IF(COUNTIFS(Prior_Forecast!$A:$A,$B$978,Prior_Forecast!$B:$B,$D$978)&gt;0,SUMIFS(Prior_Forecast!$C:$C,Prior_Forecast!$A:$A,$B$978,Prior_Forecast!$B:$B,$D$978),""))</f>
        <v/>
      </c>
      <c r="I983" s="37">
        <f>IF($B$978="","",IF(COUNTIFS(Prior_Forecast!$A:$A,$B$978,Prior_Forecast!$B:$B,$D$978)&gt;0,SUMIFS(Prior_Forecast!$D:$D,Prior_Forecast!$A:$A,$B$978,Prior_Forecast!$B:$B,$D$978),""))</f>
        <v/>
      </c>
      <c r="J983" s="37">
        <f>IF($B$978="","",IF(COUNTIFS(Prior_Forecast!$A:$A,$B$978,Prior_Forecast!$B:$B,$D$978)&gt;0,SUMIFS(Prior_Forecast!$E:$E,Prior_Forecast!$A:$A,$B$978,Prior_Forecast!$B:$B,$D$978),""))</f>
        <v/>
      </c>
      <c r="K983" s="37">
        <f>IF($B$978="","",IF(COUNTIFS(Prior_Forecast!$A:$A,$B$978,Prior_Forecast!$B:$B,$D$978)&gt;0,SUMIFS(Prior_Forecast!$F:$F,Prior_Forecast!$A:$A,$B$978,Prior_Forecast!$B:$B,$D$978),""))</f>
        <v/>
      </c>
      <c r="L983" s="37">
        <f>IF($B$978="","",IF(COUNTIFS(Prior_Forecast!$A:$A,$B$978,Prior_Forecast!$B:$B,$D$978)&gt;0,SUMIFS(Prior_Forecast!$G:$G,Prior_Forecast!$A:$A,$B$978,Prior_Forecast!$B:$B,$D$978),""))</f>
        <v/>
      </c>
      <c r="M983" s="37">
        <f>IF($B$978="","",IF(COUNTIFS(Prior_Forecast!$A:$A,$B$978,Prior_Forecast!$B:$B,$D$978)&gt;0,SUMIFS(Prior_Forecast!$H:$H,Prior_Forecast!$A:$A,$B$978,Prior_Forecast!$B:$B,$D$978),""))</f>
        <v/>
      </c>
      <c r="N983" s="37">
        <f>IF($B$978="","",IF(COUNTIFS(Prior_Forecast!$A:$A,$B$978,Prior_Forecast!$B:$B,$D$978)&gt;0,SUMIFS(Prior_Forecast!$I:$I,Prior_Forecast!$A:$A,$B$978,Prior_Forecast!$B:$B,$D$978),""))</f>
        <v/>
      </c>
      <c r="O983" s="37">
        <f>IF($B$978="","",IF(COUNTIFS(Prior_Forecast!$A:$A,$B$978,Prior_Forecast!$B:$B,$D$978)&gt;0,SUMIFS(Prior_Forecast!$J:$J,Prior_Forecast!$A:$A,$B$978,Prior_Forecast!$B:$B,$D$978),""))</f>
        <v/>
      </c>
      <c r="P983" s="37">
        <f>IF($B$978="","",IF(COUNTIFS(Prior_Forecast!$A:$A,$B$978,Prior_Forecast!$B:$B,$D$978)&gt;0,SUMIFS(Prior_Forecast!$K:$K,Prior_Forecast!$A:$A,$B$978,Prior_Forecast!$B:$B,$D$978),""))</f>
        <v/>
      </c>
      <c r="Q983" s="37">
        <f>IF($B$978="","",IF(COUNTIFS(Prior_Forecast!$A:$A,$B$978,Prior_Forecast!$B:$B,$D$978)&gt;0,SUMIFS(Prior_Forecast!$L:$L,Prior_Forecast!$A:$A,$B$978,Prior_Forecast!$B:$B,$D$978),""))</f>
        <v/>
      </c>
      <c r="R983" s="37">
        <f>IF($B$978="","",IF(COUNTIFS(Prior_Forecast!$A:$A,$B$978,Prior_Forecast!$B:$B,$D$978)&gt;0,SUMIFS(Prior_Forecast!$M:$M,Prior_Forecast!$A:$A,$B$978,Prior_Forecast!$B:$B,$D$978),""))</f>
        <v/>
      </c>
      <c r="S983" s="37">
        <f>IF($B$978="","",IF(COUNTIFS(Prior_Forecast!$A:$A,$B$978,Prior_Forecast!$B:$B,$D$978)&gt;0,SUMIFS(Prior_Forecast!$N:$N,Prior_Forecast!$A:$A,$B$978,Prior_Forecast!$B:$B,$D$978),""))</f>
        <v/>
      </c>
      <c r="T983" s="37">
        <f>IF($B$978="","",IF(COUNTIFS(Prior_Forecast!$A:$A,$B$978,Prior_Forecast!$B:$B,$D$978)&gt;0,SUMIFS(Prior_Forecast!$O:$O,Prior_Forecast!$A:$A,$B$978,Prior_Forecast!$B:$B,$D$978),""))</f>
        <v/>
      </c>
      <c r="U983" s="37">
        <f>IF($B$978="","",IF(COUNTIFS(Prior_Forecast!$A:$A,$B$978,Prior_Forecast!$B:$B,$D$978)&gt;0,SUMIFS(Prior_Forecast!$P:$P,Prior_Forecast!$A:$A,$B$978,Prior_Forecast!$B:$B,$D$978),""))</f>
        <v/>
      </c>
      <c r="V983" s="37">
        <f>IF($B$978="","",IF(COUNTIFS(Prior_Forecast!$A:$A,$B$978,Prior_Forecast!$B:$B,$D$978)&gt;0,SUMIFS(Prior_Forecast!$Q:$Q,Prior_Forecast!$A:$A,$B$978,Prior_Forecast!$B:$B,$D$978),""))</f>
        <v/>
      </c>
      <c r="X983" s="22">
        <f>IF($B983="","",IFERROR(INDEX(Cost_Centers!$E:$E,MATCH($B983,Cost_Centers!$A:$A,0)),"(unknown)"))</f>
        <v/>
      </c>
      <c r="Y983" s="22">
        <f>IF($B983="","",IFERROR(INDEX(Cost_Centers!$D:$D,MATCH($B983,Cost_Centers!$A:$A,0)),"(unknown)"))</f>
        <v/>
      </c>
      <c r="Z983" s="22">
        <f>IF(OR($B983="",$G983&lt;&gt;"Variance vs Budget"),"",ABS(N($V983))+ROW()/1000000000)</f>
        <v/>
      </c>
    </row>
    <row r="984">
      <c r="A984" s="13">
        <f>IF(A$978="","",A$978)</f>
        <v/>
      </c>
      <c r="B984" s="13">
        <f>IF(B$978="","",B$978)</f>
        <v/>
      </c>
      <c r="C984" s="13">
        <f>IF(C$978="","",C$978)</f>
        <v/>
      </c>
      <c r="D984" s="13">
        <f>IF(D$978="","",D$978)</f>
        <v/>
      </c>
      <c r="E984" s="13">
        <f>IF(E$978="","",E$978)</f>
        <v/>
      </c>
      <c r="F984" s="13">
        <f>IF(F$978="","",F$978)</f>
        <v/>
      </c>
      <c r="G984" s="6" t="inlineStr">
        <is>
          <t>Variance vs Prior Month</t>
        </is>
      </c>
      <c r="H984" s="33">
        <f>IF(OR($B$978="",H983=""),"",H982-H983)</f>
        <v/>
      </c>
      <c r="I984" s="33">
        <f>IF(OR($B$978="",I983=""),"",I982-I983)</f>
        <v/>
      </c>
      <c r="J984" s="33">
        <f>IF(OR($B$978="",J983=""),"",J982-J983)</f>
        <v/>
      </c>
      <c r="K984" s="33">
        <f>IF(OR($B$978="",K983=""),"",K982-K983)</f>
        <v/>
      </c>
      <c r="L984" s="33">
        <f>IF(OR($B$978="",L983=""),"",L982-L983)</f>
        <v/>
      </c>
      <c r="M984" s="33">
        <f>IF(OR($B$978="",M983=""),"",M982-M983)</f>
        <v/>
      </c>
      <c r="N984" s="33">
        <f>IF(OR($B$978="",N983=""),"",N982-N983)</f>
        <v/>
      </c>
      <c r="O984" s="33">
        <f>IF(OR($B$978="",O983=""),"",O982-O983)</f>
        <v/>
      </c>
      <c r="P984" s="33">
        <f>IF(OR($B$978="",P983=""),"",P982-P983)</f>
        <v/>
      </c>
      <c r="Q984" s="33">
        <f>IF(OR($B$978="",Q983=""),"",Q982-Q983)</f>
        <v/>
      </c>
      <c r="R984" s="33">
        <f>IF(OR($B$978="",R983=""),"",R982-R983)</f>
        <v/>
      </c>
      <c r="S984" s="33">
        <f>IF(OR($B$978="",S983=""),"",S982-S983)</f>
        <v/>
      </c>
      <c r="T984" s="33">
        <f>IF(OR($B$978="",T983=""),"",T982-T983)</f>
        <v/>
      </c>
      <c r="U984" s="33">
        <f>IF(OR($B$978="",U983=""),"",U982-U983)</f>
        <v/>
      </c>
      <c r="V984" s="33">
        <f>IF(OR($B$978="",V983=""),"",V982-V983)</f>
        <v/>
      </c>
      <c r="X984" s="22">
        <f>IF($B984="","",IFERROR(INDEX(Cost_Centers!$E:$E,MATCH($B984,Cost_Centers!$A:$A,0)),"(unknown)"))</f>
        <v/>
      </c>
      <c r="Y984" s="22">
        <f>IF($B984="","",IFERROR(INDEX(Cost_Centers!$D:$D,MATCH($B984,Cost_Centers!$A:$A,0)),"(unknown)"))</f>
        <v/>
      </c>
      <c r="Z984" s="22">
        <f>IF(OR($B984="",$G984&lt;&gt;"Variance vs Budget"),"",ABS(N($V984))+ROW()/1000000000)</f>
        <v/>
      </c>
    </row>
    <row r="985" ht="45" customHeight="1">
      <c r="A985" s="13">
        <f>IF(A$978="","",A$978)</f>
        <v/>
      </c>
      <c r="B985" s="13">
        <f>IF(B$978="","",B$978)</f>
        <v/>
      </c>
      <c r="C985" s="13">
        <f>IF(C$978="","",C$978)</f>
        <v/>
      </c>
      <c r="D985" s="13">
        <f>IF(D$978="","",D$978)</f>
        <v/>
      </c>
      <c r="E985" s="13">
        <f>IF(E$978="","",E$978)</f>
        <v/>
      </c>
      <c r="F985" s="13">
        <f>IF(F$978="","",F$978)</f>
        <v/>
      </c>
      <c r="G985" s="7" t="inlineStr">
        <is>
          <t>Rationale</t>
        </is>
      </c>
      <c r="H985" s="38" t="n"/>
      <c r="I985" s="38" t="n"/>
      <c r="J985" s="38" t="n"/>
      <c r="K985" s="38" t="n"/>
      <c r="L985" s="38" t="n"/>
      <c r="M985" s="38" t="n"/>
      <c r="N985" s="38" t="n"/>
      <c r="O985" s="38" t="n"/>
      <c r="P985" s="38" t="n"/>
      <c r="Q985" s="38" t="n"/>
      <c r="R985" s="38" t="n"/>
      <c r="S985" s="38" t="n"/>
      <c r="T985" s="38" t="n"/>
      <c r="U985" s="38" t="n"/>
      <c r="V985" s="7" t="n"/>
      <c r="X985" s="22">
        <f>IF($B985="","",IFERROR(INDEX(Cost_Centers!$E:$E,MATCH($B985,Cost_Centers!$A:$A,0)),"(unknown)"))</f>
        <v/>
      </c>
      <c r="Y985" s="22">
        <f>IF($B985="","",IFERROR(INDEX(Cost_Centers!$D:$D,MATCH($B985,Cost_Centers!$A:$A,0)),"(unknown)"))</f>
        <v/>
      </c>
      <c r="Z985" s="22">
        <f>IF(OR($B985="",$G985&lt;&gt;"Variance vs Budget"),"",ABS(N($V985))+ROW()/1000000000)</f>
        <v/>
      </c>
    </row>
    <row r="986">
      <c r="A986" s="30">
        <f>IF($D$986="","",LEFT($D$986,FIND("|",$D$986&amp;"|")-1))</f>
        <v/>
      </c>
      <c r="B986" s="31" t="n"/>
      <c r="C986" s="30">
        <f>IF($B$986="","",IFERROR(INDEX(Cost_Centers!$B:$B,MATCH($B$986,Cost_Centers!$A:$A,0)),"(not in master)"))</f>
        <v/>
      </c>
      <c r="D986" s="31" t="n"/>
      <c r="E986" s="30">
        <f>IF($D$986="","",IFERROR(INDEX(Accounts!$D:$D,MATCH($D$986,Accounts!$A:$A,0)),"(not in master)"))</f>
        <v/>
      </c>
      <c r="F986" s="31" t="n"/>
      <c r="G986" s="30" t="inlineStr">
        <is>
          <t>Budget</t>
        </is>
      </c>
      <c r="H986" s="32">
        <f>IF($B$986="","",SUMIFS(Opex_Budget!$O:$O,Opex_Budget!$A:$A,$C$3,Opex_Budget!$E:$E,$B$986,Opex_Budget!$F:$F,$D$986,Opex_Budget!$N:$N,"JPY")*$E$5+SUMIFS(Opex_Budget!$O:$O,Opex_Budget!$A:$A,$C$3,Opex_Budget!$E:$E,$B$986,Opex_Budget!$F:$F,$D$986,Opex_Budget!$N:$N,"USD")*$F$5+SUMIFS(Opex_Budget!$O:$O,Opex_Budget!$A:$A,$C$3,Opex_Budget!$E:$E,$B$986,Opex_Budget!$F:$F,$D$986,Opex_Budget!$N:$N,"EUR")*$G$5+SUMIFS(Opex_Budget!$O:$O,Opex_Budget!$A:$A,$C$3,Opex_Budget!$E:$E,$B$986,Opex_Budget!$F:$F,$D$986,Opex_Budget!$N:$N,"GBP")*$H$5)</f>
        <v/>
      </c>
      <c r="I986" s="32">
        <f>IF($B$986="","",SUMIFS(Opex_Budget!$P:$P,Opex_Budget!$A:$A,$C$3,Opex_Budget!$E:$E,$B$986,Opex_Budget!$F:$F,$D$986,Opex_Budget!$N:$N,"JPY")*$E$5+SUMIFS(Opex_Budget!$P:$P,Opex_Budget!$A:$A,$C$3,Opex_Budget!$E:$E,$B$986,Opex_Budget!$F:$F,$D$986,Opex_Budget!$N:$N,"USD")*$F$5+SUMIFS(Opex_Budget!$P:$P,Opex_Budget!$A:$A,$C$3,Opex_Budget!$E:$E,$B$986,Opex_Budget!$F:$F,$D$986,Opex_Budget!$N:$N,"EUR")*$G$5+SUMIFS(Opex_Budget!$P:$P,Opex_Budget!$A:$A,$C$3,Opex_Budget!$E:$E,$B$986,Opex_Budget!$F:$F,$D$986,Opex_Budget!$N:$N,"GBP")*$H$5)</f>
        <v/>
      </c>
      <c r="J986" s="32">
        <f>IF($B$986="","",SUMIFS(Opex_Budget!$Q:$Q,Opex_Budget!$A:$A,$C$3,Opex_Budget!$E:$E,$B$986,Opex_Budget!$F:$F,$D$986,Opex_Budget!$N:$N,"JPY")*$E$5+SUMIFS(Opex_Budget!$Q:$Q,Opex_Budget!$A:$A,$C$3,Opex_Budget!$E:$E,$B$986,Opex_Budget!$F:$F,$D$986,Opex_Budget!$N:$N,"USD")*$F$5+SUMIFS(Opex_Budget!$Q:$Q,Opex_Budget!$A:$A,$C$3,Opex_Budget!$E:$E,$B$986,Opex_Budget!$F:$F,$D$986,Opex_Budget!$N:$N,"EUR")*$G$5+SUMIFS(Opex_Budget!$Q:$Q,Opex_Budget!$A:$A,$C$3,Opex_Budget!$E:$E,$B$986,Opex_Budget!$F:$F,$D$986,Opex_Budget!$N:$N,"GBP")*$H$5)</f>
        <v/>
      </c>
      <c r="K986" s="32">
        <f>IF($B$986="","",SUMIFS(Opex_Budget!$R:$R,Opex_Budget!$A:$A,$C$3,Opex_Budget!$E:$E,$B$986,Opex_Budget!$F:$F,$D$986,Opex_Budget!$N:$N,"JPY")*$E$5+SUMIFS(Opex_Budget!$R:$R,Opex_Budget!$A:$A,$C$3,Opex_Budget!$E:$E,$B$986,Opex_Budget!$F:$F,$D$986,Opex_Budget!$N:$N,"USD")*$F$5+SUMIFS(Opex_Budget!$R:$R,Opex_Budget!$A:$A,$C$3,Opex_Budget!$E:$E,$B$986,Opex_Budget!$F:$F,$D$986,Opex_Budget!$N:$N,"EUR")*$G$5+SUMIFS(Opex_Budget!$R:$R,Opex_Budget!$A:$A,$C$3,Opex_Budget!$E:$E,$B$986,Opex_Budget!$F:$F,$D$986,Opex_Budget!$N:$N,"GBP")*$H$5)</f>
        <v/>
      </c>
      <c r="L986" s="32">
        <f>IF($B$986="","",SUMIFS(Opex_Budget!$S:$S,Opex_Budget!$A:$A,$C$3,Opex_Budget!$E:$E,$B$986,Opex_Budget!$F:$F,$D$986,Opex_Budget!$N:$N,"JPY")*$E$5+SUMIFS(Opex_Budget!$S:$S,Opex_Budget!$A:$A,$C$3,Opex_Budget!$E:$E,$B$986,Opex_Budget!$F:$F,$D$986,Opex_Budget!$N:$N,"USD")*$F$5+SUMIFS(Opex_Budget!$S:$S,Opex_Budget!$A:$A,$C$3,Opex_Budget!$E:$E,$B$986,Opex_Budget!$F:$F,$D$986,Opex_Budget!$N:$N,"EUR")*$G$5+SUMIFS(Opex_Budget!$S:$S,Opex_Budget!$A:$A,$C$3,Opex_Budget!$E:$E,$B$986,Opex_Budget!$F:$F,$D$986,Opex_Budget!$N:$N,"GBP")*$H$5)</f>
        <v/>
      </c>
      <c r="M986" s="32">
        <f>IF($B$986="","",SUMIFS(Opex_Budget!$T:$T,Opex_Budget!$A:$A,$C$3,Opex_Budget!$E:$E,$B$986,Opex_Budget!$F:$F,$D$986,Opex_Budget!$N:$N,"JPY")*$E$5+SUMIFS(Opex_Budget!$T:$T,Opex_Budget!$A:$A,$C$3,Opex_Budget!$E:$E,$B$986,Opex_Budget!$F:$F,$D$986,Opex_Budget!$N:$N,"USD")*$F$5+SUMIFS(Opex_Budget!$T:$T,Opex_Budget!$A:$A,$C$3,Opex_Budget!$E:$E,$B$986,Opex_Budget!$F:$F,$D$986,Opex_Budget!$N:$N,"EUR")*$G$5+SUMIFS(Opex_Budget!$T:$T,Opex_Budget!$A:$A,$C$3,Opex_Budget!$E:$E,$B$986,Opex_Budget!$F:$F,$D$986,Opex_Budget!$N:$N,"GBP")*$H$5)</f>
        <v/>
      </c>
      <c r="N986" s="32">
        <f>IF($B$986="","",SUMIFS(Opex_Budget!$U:$U,Opex_Budget!$A:$A,$C$3,Opex_Budget!$E:$E,$B$986,Opex_Budget!$F:$F,$D$986,Opex_Budget!$N:$N,"JPY")*$E$5+SUMIFS(Opex_Budget!$U:$U,Opex_Budget!$A:$A,$C$3,Opex_Budget!$E:$E,$B$986,Opex_Budget!$F:$F,$D$986,Opex_Budget!$N:$N,"USD")*$F$5+SUMIFS(Opex_Budget!$U:$U,Opex_Budget!$A:$A,$C$3,Opex_Budget!$E:$E,$B$986,Opex_Budget!$F:$F,$D$986,Opex_Budget!$N:$N,"EUR")*$G$5+SUMIFS(Opex_Budget!$U:$U,Opex_Budget!$A:$A,$C$3,Opex_Budget!$E:$E,$B$986,Opex_Budget!$F:$F,$D$986,Opex_Budget!$N:$N,"GBP")*$H$5)</f>
        <v/>
      </c>
      <c r="O986" s="32">
        <f>IF($B$986="","",SUMIFS(Opex_Budget!$V:$V,Opex_Budget!$A:$A,$C$3,Opex_Budget!$E:$E,$B$986,Opex_Budget!$F:$F,$D$986,Opex_Budget!$N:$N,"JPY")*$E$5+SUMIFS(Opex_Budget!$V:$V,Opex_Budget!$A:$A,$C$3,Opex_Budget!$E:$E,$B$986,Opex_Budget!$F:$F,$D$986,Opex_Budget!$N:$N,"USD")*$F$5+SUMIFS(Opex_Budget!$V:$V,Opex_Budget!$A:$A,$C$3,Opex_Budget!$E:$E,$B$986,Opex_Budget!$F:$F,$D$986,Opex_Budget!$N:$N,"EUR")*$G$5+SUMIFS(Opex_Budget!$V:$V,Opex_Budget!$A:$A,$C$3,Opex_Budget!$E:$E,$B$986,Opex_Budget!$F:$F,$D$986,Opex_Budget!$N:$N,"GBP")*$H$5)</f>
        <v/>
      </c>
      <c r="P986" s="32">
        <f>IF($B$986="","",SUMIFS(Opex_Budget!$W:$W,Opex_Budget!$A:$A,$C$3,Opex_Budget!$E:$E,$B$986,Opex_Budget!$F:$F,$D$986,Opex_Budget!$N:$N,"JPY")*$E$5+SUMIFS(Opex_Budget!$W:$W,Opex_Budget!$A:$A,$C$3,Opex_Budget!$E:$E,$B$986,Opex_Budget!$F:$F,$D$986,Opex_Budget!$N:$N,"USD")*$F$5+SUMIFS(Opex_Budget!$W:$W,Opex_Budget!$A:$A,$C$3,Opex_Budget!$E:$E,$B$986,Opex_Budget!$F:$F,$D$986,Opex_Budget!$N:$N,"EUR")*$G$5+SUMIFS(Opex_Budget!$W:$W,Opex_Budget!$A:$A,$C$3,Opex_Budget!$E:$E,$B$986,Opex_Budget!$F:$F,$D$986,Opex_Budget!$N:$N,"GBP")*$H$5)</f>
        <v/>
      </c>
      <c r="Q986" s="32">
        <f>IF($B$986="","",SUMIFS(Opex_Budget!$X:$X,Opex_Budget!$A:$A,$C$3,Opex_Budget!$E:$E,$B$986,Opex_Budget!$F:$F,$D$986,Opex_Budget!$N:$N,"JPY")*$E$5+SUMIFS(Opex_Budget!$X:$X,Opex_Budget!$A:$A,$C$3,Opex_Budget!$E:$E,$B$986,Opex_Budget!$F:$F,$D$986,Opex_Budget!$N:$N,"USD")*$F$5+SUMIFS(Opex_Budget!$X:$X,Opex_Budget!$A:$A,$C$3,Opex_Budget!$E:$E,$B$986,Opex_Budget!$F:$F,$D$986,Opex_Budget!$N:$N,"EUR")*$G$5+SUMIFS(Opex_Budget!$X:$X,Opex_Budget!$A:$A,$C$3,Opex_Budget!$E:$E,$B$986,Opex_Budget!$F:$F,$D$986,Opex_Budget!$N:$N,"GBP")*$H$5)</f>
        <v/>
      </c>
      <c r="R986" s="32">
        <f>IF($B$986="","",SUMIFS(Opex_Budget!$Y:$Y,Opex_Budget!$A:$A,$C$3,Opex_Budget!$E:$E,$B$986,Opex_Budget!$F:$F,$D$986,Opex_Budget!$N:$N,"JPY")*$E$5+SUMIFS(Opex_Budget!$Y:$Y,Opex_Budget!$A:$A,$C$3,Opex_Budget!$E:$E,$B$986,Opex_Budget!$F:$F,$D$986,Opex_Budget!$N:$N,"USD")*$F$5+SUMIFS(Opex_Budget!$Y:$Y,Opex_Budget!$A:$A,$C$3,Opex_Budget!$E:$E,$B$986,Opex_Budget!$F:$F,$D$986,Opex_Budget!$N:$N,"EUR")*$G$5+SUMIFS(Opex_Budget!$Y:$Y,Opex_Budget!$A:$A,$C$3,Opex_Budget!$E:$E,$B$986,Opex_Budget!$F:$F,$D$986,Opex_Budget!$N:$N,"GBP")*$H$5)</f>
        <v/>
      </c>
      <c r="S986" s="32">
        <f>IF($B$986="","",SUMIFS(Opex_Budget!$Z:$Z,Opex_Budget!$A:$A,$C$3,Opex_Budget!$E:$E,$B$986,Opex_Budget!$F:$F,$D$986,Opex_Budget!$N:$N,"JPY")*$E$5+SUMIFS(Opex_Budget!$Z:$Z,Opex_Budget!$A:$A,$C$3,Opex_Budget!$E:$E,$B$986,Opex_Budget!$F:$F,$D$986,Opex_Budget!$N:$N,"USD")*$F$5+SUMIFS(Opex_Budget!$Z:$Z,Opex_Budget!$A:$A,$C$3,Opex_Budget!$E:$E,$B$986,Opex_Budget!$F:$F,$D$986,Opex_Budget!$N:$N,"EUR")*$G$5+SUMIFS(Opex_Budget!$Z:$Z,Opex_Budget!$A:$A,$C$3,Opex_Budget!$E:$E,$B$986,Opex_Budget!$F:$F,$D$986,Opex_Budget!$N:$N,"GBP")*$H$5)</f>
        <v/>
      </c>
      <c r="T986" s="32">
        <f>IF($B$986="","",SUMIF($H$7:$S$7,"&lt;="&amp;$C$4,$H986:$S986))</f>
        <v/>
      </c>
      <c r="U986" s="32">
        <f>IF($B$986="","",SUMIF($H$7:$S$7,"&gt;"&amp;$C$4,$H986:$S986))</f>
        <v/>
      </c>
      <c r="V986" s="32">
        <f>IF($B$986="","",SUM($H986:$S986))</f>
        <v/>
      </c>
      <c r="X986" s="22">
        <f>IF($B986="","",IFERROR(INDEX(Cost_Centers!$E:$E,MATCH($B986,Cost_Centers!$A:$A,0)),"(unknown)"))</f>
        <v/>
      </c>
      <c r="Y986" s="22">
        <f>IF($B986="","",IFERROR(INDEX(Cost_Centers!$D:$D,MATCH($B986,Cost_Centers!$A:$A,0)),"(unknown)"))</f>
        <v/>
      </c>
      <c r="Z986" s="22">
        <f>IF(OR($B986="",$G986&lt;&gt;"Variance vs Budget"),"",ABS(N($V986))+ROW()/1000000000)</f>
        <v/>
      </c>
    </row>
    <row r="987">
      <c r="A987" s="13">
        <f>IF(A$986="","",A$986)</f>
        <v/>
      </c>
      <c r="B987" s="13">
        <f>IF(B$986="","",B$986)</f>
        <v/>
      </c>
      <c r="C987" s="13">
        <f>IF(C$986="","",C$986)</f>
        <v/>
      </c>
      <c r="D987" s="13">
        <f>IF(D$986="","",D$986)</f>
        <v/>
      </c>
      <c r="E987" s="13">
        <f>IF(E$986="","",E$986)</f>
        <v/>
      </c>
      <c r="F987" s="13">
        <f>IF(F$986="","",F$986)</f>
        <v/>
      </c>
      <c r="G987" s="7" t="inlineStr">
        <is>
          <t>Actual</t>
        </is>
      </c>
      <c r="H987" s="18">
        <f>IF(OR($B$986="",1&gt;$C$4),"",SUMIFS(Actuals!$G:$G,Actuals!$B:$B,$C$3,Actuals!$C:$C,1,Actuals!$D:$D,$B$986,Actuals!$A:$A,LEFT($D$986,FIND("|",$D$986&amp;"|")-1),Actuals!$E:$E,MID($D$986,FIND("|",$D$986&amp;"|")+1,50),Actuals!$F:$F,"JPY")*$E$5+SUMIFS(Actuals!$G:$G,Actuals!$B:$B,$C$3,Actuals!$C:$C,1,Actuals!$D:$D,$B$986,Actuals!$A:$A,LEFT($D$986,FIND("|",$D$986&amp;"|")-1),Actuals!$E:$E,MID($D$986,FIND("|",$D$986&amp;"|")+1,50),Actuals!$F:$F,"USD")*$F$5+SUMIFS(Actuals!$G:$G,Actuals!$B:$B,$C$3,Actuals!$C:$C,1,Actuals!$D:$D,$B$986,Actuals!$A:$A,LEFT($D$986,FIND("|",$D$986&amp;"|")-1),Actuals!$E:$E,MID($D$986,FIND("|",$D$986&amp;"|")+1,50),Actuals!$F:$F,"EUR")*$G$5+SUMIFS(Actuals!$G:$G,Actuals!$B:$B,$C$3,Actuals!$C:$C,1,Actuals!$D:$D,$B$986,Actuals!$A:$A,LEFT($D$986,FIND("|",$D$986&amp;"|")-1),Actuals!$E:$E,MID($D$986,FIND("|",$D$986&amp;"|")+1,50),Actuals!$F:$F,"GBP")*$H$5)</f>
        <v/>
      </c>
      <c r="I987" s="18">
        <f>IF(OR($B$986="",2&gt;$C$4),"",SUMIFS(Actuals!$G:$G,Actuals!$B:$B,$C$3,Actuals!$C:$C,2,Actuals!$D:$D,$B$986,Actuals!$A:$A,LEFT($D$986,FIND("|",$D$986&amp;"|")-1),Actuals!$E:$E,MID($D$986,FIND("|",$D$986&amp;"|")+1,50),Actuals!$F:$F,"JPY")*$E$5+SUMIFS(Actuals!$G:$G,Actuals!$B:$B,$C$3,Actuals!$C:$C,2,Actuals!$D:$D,$B$986,Actuals!$A:$A,LEFT($D$986,FIND("|",$D$986&amp;"|")-1),Actuals!$E:$E,MID($D$986,FIND("|",$D$986&amp;"|")+1,50),Actuals!$F:$F,"USD")*$F$5+SUMIFS(Actuals!$G:$G,Actuals!$B:$B,$C$3,Actuals!$C:$C,2,Actuals!$D:$D,$B$986,Actuals!$A:$A,LEFT($D$986,FIND("|",$D$986&amp;"|")-1),Actuals!$E:$E,MID($D$986,FIND("|",$D$986&amp;"|")+1,50),Actuals!$F:$F,"EUR")*$G$5+SUMIFS(Actuals!$G:$G,Actuals!$B:$B,$C$3,Actuals!$C:$C,2,Actuals!$D:$D,$B$986,Actuals!$A:$A,LEFT($D$986,FIND("|",$D$986&amp;"|")-1),Actuals!$E:$E,MID($D$986,FIND("|",$D$986&amp;"|")+1,50),Actuals!$F:$F,"GBP")*$H$5)</f>
        <v/>
      </c>
      <c r="J987" s="18">
        <f>IF(OR($B$986="",3&gt;$C$4),"",SUMIFS(Actuals!$G:$G,Actuals!$B:$B,$C$3,Actuals!$C:$C,3,Actuals!$D:$D,$B$986,Actuals!$A:$A,LEFT($D$986,FIND("|",$D$986&amp;"|")-1),Actuals!$E:$E,MID($D$986,FIND("|",$D$986&amp;"|")+1,50),Actuals!$F:$F,"JPY")*$E$5+SUMIFS(Actuals!$G:$G,Actuals!$B:$B,$C$3,Actuals!$C:$C,3,Actuals!$D:$D,$B$986,Actuals!$A:$A,LEFT($D$986,FIND("|",$D$986&amp;"|")-1),Actuals!$E:$E,MID($D$986,FIND("|",$D$986&amp;"|")+1,50),Actuals!$F:$F,"USD")*$F$5+SUMIFS(Actuals!$G:$G,Actuals!$B:$B,$C$3,Actuals!$C:$C,3,Actuals!$D:$D,$B$986,Actuals!$A:$A,LEFT($D$986,FIND("|",$D$986&amp;"|")-1),Actuals!$E:$E,MID($D$986,FIND("|",$D$986&amp;"|")+1,50),Actuals!$F:$F,"EUR")*$G$5+SUMIFS(Actuals!$G:$G,Actuals!$B:$B,$C$3,Actuals!$C:$C,3,Actuals!$D:$D,$B$986,Actuals!$A:$A,LEFT($D$986,FIND("|",$D$986&amp;"|")-1),Actuals!$E:$E,MID($D$986,FIND("|",$D$986&amp;"|")+1,50),Actuals!$F:$F,"GBP")*$H$5)</f>
        <v/>
      </c>
      <c r="K987" s="18">
        <f>IF(OR($B$986="",4&gt;$C$4),"",SUMIFS(Actuals!$G:$G,Actuals!$B:$B,$C$3,Actuals!$C:$C,4,Actuals!$D:$D,$B$986,Actuals!$A:$A,LEFT($D$986,FIND("|",$D$986&amp;"|")-1),Actuals!$E:$E,MID($D$986,FIND("|",$D$986&amp;"|")+1,50),Actuals!$F:$F,"JPY")*$E$5+SUMIFS(Actuals!$G:$G,Actuals!$B:$B,$C$3,Actuals!$C:$C,4,Actuals!$D:$D,$B$986,Actuals!$A:$A,LEFT($D$986,FIND("|",$D$986&amp;"|")-1),Actuals!$E:$E,MID($D$986,FIND("|",$D$986&amp;"|")+1,50),Actuals!$F:$F,"USD")*$F$5+SUMIFS(Actuals!$G:$G,Actuals!$B:$B,$C$3,Actuals!$C:$C,4,Actuals!$D:$D,$B$986,Actuals!$A:$A,LEFT($D$986,FIND("|",$D$986&amp;"|")-1),Actuals!$E:$E,MID($D$986,FIND("|",$D$986&amp;"|")+1,50),Actuals!$F:$F,"EUR")*$G$5+SUMIFS(Actuals!$G:$G,Actuals!$B:$B,$C$3,Actuals!$C:$C,4,Actuals!$D:$D,$B$986,Actuals!$A:$A,LEFT($D$986,FIND("|",$D$986&amp;"|")-1),Actuals!$E:$E,MID($D$986,FIND("|",$D$986&amp;"|")+1,50),Actuals!$F:$F,"GBP")*$H$5)</f>
        <v/>
      </c>
      <c r="L987" s="18">
        <f>IF(OR($B$986="",5&gt;$C$4),"",SUMIFS(Actuals!$G:$G,Actuals!$B:$B,$C$3,Actuals!$C:$C,5,Actuals!$D:$D,$B$986,Actuals!$A:$A,LEFT($D$986,FIND("|",$D$986&amp;"|")-1),Actuals!$E:$E,MID($D$986,FIND("|",$D$986&amp;"|")+1,50),Actuals!$F:$F,"JPY")*$E$5+SUMIFS(Actuals!$G:$G,Actuals!$B:$B,$C$3,Actuals!$C:$C,5,Actuals!$D:$D,$B$986,Actuals!$A:$A,LEFT($D$986,FIND("|",$D$986&amp;"|")-1),Actuals!$E:$E,MID($D$986,FIND("|",$D$986&amp;"|")+1,50),Actuals!$F:$F,"USD")*$F$5+SUMIFS(Actuals!$G:$G,Actuals!$B:$B,$C$3,Actuals!$C:$C,5,Actuals!$D:$D,$B$986,Actuals!$A:$A,LEFT($D$986,FIND("|",$D$986&amp;"|")-1),Actuals!$E:$E,MID($D$986,FIND("|",$D$986&amp;"|")+1,50),Actuals!$F:$F,"EUR")*$G$5+SUMIFS(Actuals!$G:$G,Actuals!$B:$B,$C$3,Actuals!$C:$C,5,Actuals!$D:$D,$B$986,Actuals!$A:$A,LEFT($D$986,FIND("|",$D$986&amp;"|")-1),Actuals!$E:$E,MID($D$986,FIND("|",$D$986&amp;"|")+1,50),Actuals!$F:$F,"GBP")*$H$5)</f>
        <v/>
      </c>
      <c r="M987" s="18">
        <f>IF(OR($B$986="",6&gt;$C$4),"",SUMIFS(Actuals!$G:$G,Actuals!$B:$B,$C$3,Actuals!$C:$C,6,Actuals!$D:$D,$B$986,Actuals!$A:$A,LEFT($D$986,FIND("|",$D$986&amp;"|")-1),Actuals!$E:$E,MID($D$986,FIND("|",$D$986&amp;"|")+1,50),Actuals!$F:$F,"JPY")*$E$5+SUMIFS(Actuals!$G:$G,Actuals!$B:$B,$C$3,Actuals!$C:$C,6,Actuals!$D:$D,$B$986,Actuals!$A:$A,LEFT($D$986,FIND("|",$D$986&amp;"|")-1),Actuals!$E:$E,MID($D$986,FIND("|",$D$986&amp;"|")+1,50),Actuals!$F:$F,"USD")*$F$5+SUMIFS(Actuals!$G:$G,Actuals!$B:$B,$C$3,Actuals!$C:$C,6,Actuals!$D:$D,$B$986,Actuals!$A:$A,LEFT($D$986,FIND("|",$D$986&amp;"|")-1),Actuals!$E:$E,MID($D$986,FIND("|",$D$986&amp;"|")+1,50),Actuals!$F:$F,"EUR")*$G$5+SUMIFS(Actuals!$G:$G,Actuals!$B:$B,$C$3,Actuals!$C:$C,6,Actuals!$D:$D,$B$986,Actuals!$A:$A,LEFT($D$986,FIND("|",$D$986&amp;"|")-1),Actuals!$E:$E,MID($D$986,FIND("|",$D$986&amp;"|")+1,50),Actuals!$F:$F,"GBP")*$H$5)</f>
        <v/>
      </c>
      <c r="N987" s="18">
        <f>IF(OR($B$986="",7&gt;$C$4),"",SUMIFS(Actuals!$G:$G,Actuals!$B:$B,$C$3,Actuals!$C:$C,7,Actuals!$D:$D,$B$986,Actuals!$A:$A,LEFT($D$986,FIND("|",$D$986&amp;"|")-1),Actuals!$E:$E,MID($D$986,FIND("|",$D$986&amp;"|")+1,50),Actuals!$F:$F,"JPY")*$E$5+SUMIFS(Actuals!$G:$G,Actuals!$B:$B,$C$3,Actuals!$C:$C,7,Actuals!$D:$D,$B$986,Actuals!$A:$A,LEFT($D$986,FIND("|",$D$986&amp;"|")-1),Actuals!$E:$E,MID($D$986,FIND("|",$D$986&amp;"|")+1,50),Actuals!$F:$F,"USD")*$F$5+SUMIFS(Actuals!$G:$G,Actuals!$B:$B,$C$3,Actuals!$C:$C,7,Actuals!$D:$D,$B$986,Actuals!$A:$A,LEFT($D$986,FIND("|",$D$986&amp;"|")-1),Actuals!$E:$E,MID($D$986,FIND("|",$D$986&amp;"|")+1,50),Actuals!$F:$F,"EUR")*$G$5+SUMIFS(Actuals!$G:$G,Actuals!$B:$B,$C$3,Actuals!$C:$C,7,Actuals!$D:$D,$B$986,Actuals!$A:$A,LEFT($D$986,FIND("|",$D$986&amp;"|")-1),Actuals!$E:$E,MID($D$986,FIND("|",$D$986&amp;"|")+1,50),Actuals!$F:$F,"GBP")*$H$5)</f>
        <v/>
      </c>
      <c r="O987" s="18">
        <f>IF(OR($B$986="",8&gt;$C$4),"",SUMIFS(Actuals!$G:$G,Actuals!$B:$B,$C$3,Actuals!$C:$C,8,Actuals!$D:$D,$B$986,Actuals!$A:$A,LEFT($D$986,FIND("|",$D$986&amp;"|")-1),Actuals!$E:$E,MID($D$986,FIND("|",$D$986&amp;"|")+1,50),Actuals!$F:$F,"JPY")*$E$5+SUMIFS(Actuals!$G:$G,Actuals!$B:$B,$C$3,Actuals!$C:$C,8,Actuals!$D:$D,$B$986,Actuals!$A:$A,LEFT($D$986,FIND("|",$D$986&amp;"|")-1),Actuals!$E:$E,MID($D$986,FIND("|",$D$986&amp;"|")+1,50),Actuals!$F:$F,"USD")*$F$5+SUMIFS(Actuals!$G:$G,Actuals!$B:$B,$C$3,Actuals!$C:$C,8,Actuals!$D:$D,$B$986,Actuals!$A:$A,LEFT($D$986,FIND("|",$D$986&amp;"|")-1),Actuals!$E:$E,MID($D$986,FIND("|",$D$986&amp;"|")+1,50),Actuals!$F:$F,"EUR")*$G$5+SUMIFS(Actuals!$G:$G,Actuals!$B:$B,$C$3,Actuals!$C:$C,8,Actuals!$D:$D,$B$986,Actuals!$A:$A,LEFT($D$986,FIND("|",$D$986&amp;"|")-1),Actuals!$E:$E,MID($D$986,FIND("|",$D$986&amp;"|")+1,50),Actuals!$F:$F,"GBP")*$H$5)</f>
        <v/>
      </c>
      <c r="P987" s="18">
        <f>IF(OR($B$986="",9&gt;$C$4),"",SUMIFS(Actuals!$G:$G,Actuals!$B:$B,$C$3,Actuals!$C:$C,9,Actuals!$D:$D,$B$986,Actuals!$A:$A,LEFT($D$986,FIND("|",$D$986&amp;"|")-1),Actuals!$E:$E,MID($D$986,FIND("|",$D$986&amp;"|")+1,50),Actuals!$F:$F,"JPY")*$E$5+SUMIFS(Actuals!$G:$G,Actuals!$B:$B,$C$3,Actuals!$C:$C,9,Actuals!$D:$D,$B$986,Actuals!$A:$A,LEFT($D$986,FIND("|",$D$986&amp;"|")-1),Actuals!$E:$E,MID($D$986,FIND("|",$D$986&amp;"|")+1,50),Actuals!$F:$F,"USD")*$F$5+SUMIFS(Actuals!$G:$G,Actuals!$B:$B,$C$3,Actuals!$C:$C,9,Actuals!$D:$D,$B$986,Actuals!$A:$A,LEFT($D$986,FIND("|",$D$986&amp;"|")-1),Actuals!$E:$E,MID($D$986,FIND("|",$D$986&amp;"|")+1,50),Actuals!$F:$F,"EUR")*$G$5+SUMIFS(Actuals!$G:$G,Actuals!$B:$B,$C$3,Actuals!$C:$C,9,Actuals!$D:$D,$B$986,Actuals!$A:$A,LEFT($D$986,FIND("|",$D$986&amp;"|")-1),Actuals!$E:$E,MID($D$986,FIND("|",$D$986&amp;"|")+1,50),Actuals!$F:$F,"GBP")*$H$5)</f>
        <v/>
      </c>
      <c r="Q987" s="18">
        <f>IF(OR($B$986="",10&gt;$C$4),"",SUMIFS(Actuals!$G:$G,Actuals!$B:$B,$C$3,Actuals!$C:$C,10,Actuals!$D:$D,$B$986,Actuals!$A:$A,LEFT($D$986,FIND("|",$D$986&amp;"|")-1),Actuals!$E:$E,MID($D$986,FIND("|",$D$986&amp;"|")+1,50),Actuals!$F:$F,"JPY")*$E$5+SUMIFS(Actuals!$G:$G,Actuals!$B:$B,$C$3,Actuals!$C:$C,10,Actuals!$D:$D,$B$986,Actuals!$A:$A,LEFT($D$986,FIND("|",$D$986&amp;"|")-1),Actuals!$E:$E,MID($D$986,FIND("|",$D$986&amp;"|")+1,50),Actuals!$F:$F,"USD")*$F$5+SUMIFS(Actuals!$G:$G,Actuals!$B:$B,$C$3,Actuals!$C:$C,10,Actuals!$D:$D,$B$986,Actuals!$A:$A,LEFT($D$986,FIND("|",$D$986&amp;"|")-1),Actuals!$E:$E,MID($D$986,FIND("|",$D$986&amp;"|")+1,50),Actuals!$F:$F,"EUR")*$G$5+SUMIFS(Actuals!$G:$G,Actuals!$B:$B,$C$3,Actuals!$C:$C,10,Actuals!$D:$D,$B$986,Actuals!$A:$A,LEFT($D$986,FIND("|",$D$986&amp;"|")-1),Actuals!$E:$E,MID($D$986,FIND("|",$D$986&amp;"|")+1,50),Actuals!$F:$F,"GBP")*$H$5)</f>
        <v/>
      </c>
      <c r="R987" s="18">
        <f>IF(OR($B$986="",11&gt;$C$4),"",SUMIFS(Actuals!$G:$G,Actuals!$B:$B,$C$3,Actuals!$C:$C,11,Actuals!$D:$D,$B$986,Actuals!$A:$A,LEFT($D$986,FIND("|",$D$986&amp;"|")-1),Actuals!$E:$E,MID($D$986,FIND("|",$D$986&amp;"|")+1,50),Actuals!$F:$F,"JPY")*$E$5+SUMIFS(Actuals!$G:$G,Actuals!$B:$B,$C$3,Actuals!$C:$C,11,Actuals!$D:$D,$B$986,Actuals!$A:$A,LEFT($D$986,FIND("|",$D$986&amp;"|")-1),Actuals!$E:$E,MID($D$986,FIND("|",$D$986&amp;"|")+1,50),Actuals!$F:$F,"USD")*$F$5+SUMIFS(Actuals!$G:$G,Actuals!$B:$B,$C$3,Actuals!$C:$C,11,Actuals!$D:$D,$B$986,Actuals!$A:$A,LEFT($D$986,FIND("|",$D$986&amp;"|")-1),Actuals!$E:$E,MID($D$986,FIND("|",$D$986&amp;"|")+1,50),Actuals!$F:$F,"EUR")*$G$5+SUMIFS(Actuals!$G:$G,Actuals!$B:$B,$C$3,Actuals!$C:$C,11,Actuals!$D:$D,$B$986,Actuals!$A:$A,LEFT($D$986,FIND("|",$D$986&amp;"|")-1),Actuals!$E:$E,MID($D$986,FIND("|",$D$986&amp;"|")+1,50),Actuals!$F:$F,"GBP")*$H$5)</f>
        <v/>
      </c>
      <c r="S987" s="18">
        <f>IF(OR($B$986="",12&gt;$C$4),"",SUMIFS(Actuals!$G:$G,Actuals!$B:$B,$C$3,Actuals!$C:$C,12,Actuals!$D:$D,$B$986,Actuals!$A:$A,LEFT($D$986,FIND("|",$D$986&amp;"|")-1),Actuals!$E:$E,MID($D$986,FIND("|",$D$986&amp;"|")+1,50),Actuals!$F:$F,"JPY")*$E$5+SUMIFS(Actuals!$G:$G,Actuals!$B:$B,$C$3,Actuals!$C:$C,12,Actuals!$D:$D,$B$986,Actuals!$A:$A,LEFT($D$986,FIND("|",$D$986&amp;"|")-1),Actuals!$E:$E,MID($D$986,FIND("|",$D$986&amp;"|")+1,50),Actuals!$F:$F,"USD")*$F$5+SUMIFS(Actuals!$G:$G,Actuals!$B:$B,$C$3,Actuals!$C:$C,12,Actuals!$D:$D,$B$986,Actuals!$A:$A,LEFT($D$986,FIND("|",$D$986&amp;"|")-1),Actuals!$E:$E,MID($D$986,FIND("|",$D$986&amp;"|")+1,50),Actuals!$F:$F,"EUR")*$G$5+SUMIFS(Actuals!$G:$G,Actuals!$B:$B,$C$3,Actuals!$C:$C,12,Actuals!$D:$D,$B$986,Actuals!$A:$A,LEFT($D$986,FIND("|",$D$986&amp;"|")-1),Actuals!$E:$E,MID($D$986,FIND("|",$D$986&amp;"|")+1,50),Actuals!$F:$F,"GBP")*$H$5)</f>
        <v/>
      </c>
      <c r="T987" s="18">
        <f>IF($B$986="","",SUMIF($H$7:$S$7,"&lt;="&amp;$C$4,$H987:$S987))</f>
        <v/>
      </c>
      <c r="U987" s="18" t="n"/>
      <c r="V987" s="18" t="n"/>
      <c r="X987" s="22">
        <f>IF($B987="","",IFERROR(INDEX(Cost_Centers!$E:$E,MATCH($B987,Cost_Centers!$A:$A,0)),"(unknown)"))</f>
        <v/>
      </c>
      <c r="Y987" s="22">
        <f>IF($B987="","",IFERROR(INDEX(Cost_Centers!$D:$D,MATCH($B987,Cost_Centers!$A:$A,0)),"(unknown)"))</f>
        <v/>
      </c>
      <c r="Z987" s="22">
        <f>IF(OR($B987="",$G987&lt;&gt;"Variance vs Budget"),"",ABS(N($V987))+ROW()/1000000000)</f>
        <v/>
      </c>
    </row>
    <row r="988">
      <c r="A988" s="13">
        <f>IF(A$986="","",A$986)</f>
        <v/>
      </c>
      <c r="B988" s="13">
        <f>IF(B$986="","",B$986)</f>
        <v/>
      </c>
      <c r="C988" s="13">
        <f>IF(C$986="","",C$986)</f>
        <v/>
      </c>
      <c r="D988" s="13">
        <f>IF(D$986="","",D$986)</f>
        <v/>
      </c>
      <c r="E988" s="13">
        <f>IF(E$986="","",E$986)</f>
        <v/>
      </c>
      <c r="F988" s="13">
        <f>IF(F$986="","",F$986)</f>
        <v/>
      </c>
      <c r="G988" s="6" t="inlineStr">
        <is>
          <t>Variance vs Budget</t>
        </is>
      </c>
      <c r="H988" s="33">
        <f>IF(OR($B$986="",1&gt;$C$4),"",N(H987)-H986)</f>
        <v/>
      </c>
      <c r="I988" s="33">
        <f>IF(OR($B$986="",2&gt;$C$4),"",N(I987)-I986)</f>
        <v/>
      </c>
      <c r="J988" s="33">
        <f>IF(OR($B$986="",3&gt;$C$4),"",N(J987)-J986)</f>
        <v/>
      </c>
      <c r="K988" s="33">
        <f>IF(OR($B$986="",4&gt;$C$4),"",N(K987)-K986)</f>
        <v/>
      </c>
      <c r="L988" s="33">
        <f>IF(OR($B$986="",5&gt;$C$4),"",N(L987)-L986)</f>
        <v/>
      </c>
      <c r="M988" s="33">
        <f>IF(OR($B$986="",6&gt;$C$4),"",N(M987)-M986)</f>
        <v/>
      </c>
      <c r="N988" s="33">
        <f>IF(OR($B$986="",7&gt;$C$4),"",N(N987)-N986)</f>
        <v/>
      </c>
      <c r="O988" s="33">
        <f>IF(OR($B$986="",8&gt;$C$4),"",N(O987)-O986)</f>
        <v/>
      </c>
      <c r="P988" s="33">
        <f>IF(OR($B$986="",9&gt;$C$4),"",N(P987)-P986)</f>
        <v/>
      </c>
      <c r="Q988" s="33">
        <f>IF(OR($B$986="",10&gt;$C$4),"",N(Q987)-Q986)</f>
        <v/>
      </c>
      <c r="R988" s="33">
        <f>IF(OR($B$986="",11&gt;$C$4),"",N(R987)-R986)</f>
        <v/>
      </c>
      <c r="S988" s="33">
        <f>IF(OR($B$986="",12&gt;$C$4),"",N(S987)-S986)</f>
        <v/>
      </c>
      <c r="T988" s="33">
        <f>IF($B$986="","",T987-T986)</f>
        <v/>
      </c>
      <c r="U988" s="33">
        <f>IF($B$986="","",U990-U986)</f>
        <v/>
      </c>
      <c r="V988" s="33">
        <f>IF($B$986="","",V990-V986)</f>
        <v/>
      </c>
      <c r="X988" s="22">
        <f>IF($B988="","",IFERROR(INDEX(Cost_Centers!$E:$E,MATCH($B988,Cost_Centers!$A:$A,0)),"(unknown)"))</f>
        <v/>
      </c>
      <c r="Y988" s="22">
        <f>IF($B988="","",IFERROR(INDEX(Cost_Centers!$D:$D,MATCH($B988,Cost_Centers!$A:$A,0)),"(unknown)"))</f>
        <v/>
      </c>
      <c r="Z988" s="22">
        <f>IF(OR($B988="",$G988&lt;&gt;"Variance vs Budget"),"",ABS(N($V988))+ROW()/1000000000)</f>
        <v/>
      </c>
    </row>
    <row r="989">
      <c r="A989" s="13">
        <f>IF(A$986="","",A$986)</f>
        <v/>
      </c>
      <c r="B989" s="13">
        <f>IF(B$986="","",B$986)</f>
        <v/>
      </c>
      <c r="C989" s="13">
        <f>IF(C$986="","",C$986)</f>
        <v/>
      </c>
      <c r="D989" s="13">
        <f>IF(D$986="","",D$986)</f>
        <v/>
      </c>
      <c r="E989" s="13">
        <f>IF(E$986="","",E$986)</f>
        <v/>
      </c>
      <c r="F989" s="13">
        <f>IF(F$986="","",F$986)</f>
        <v/>
      </c>
      <c r="G989" s="7" t="inlineStr">
        <is>
          <t>Forecast (input)</t>
        </is>
      </c>
      <c r="H989" s="34" t="n"/>
      <c r="I989" s="34" t="n"/>
      <c r="J989" s="34" t="n"/>
      <c r="K989" s="34" t="n"/>
      <c r="L989" s="34" t="n"/>
      <c r="M989" s="34" t="n"/>
      <c r="N989" s="34" t="n"/>
      <c r="O989" s="34" t="n"/>
      <c r="P989" s="34" t="n"/>
      <c r="Q989" s="34" t="n"/>
      <c r="R989" s="34" t="n"/>
      <c r="S989" s="34" t="n"/>
      <c r="T989" s="18" t="n"/>
      <c r="U989" s="18" t="n"/>
      <c r="V989" s="18" t="n"/>
      <c r="X989" s="22">
        <f>IF($B989="","",IFERROR(INDEX(Cost_Centers!$E:$E,MATCH($B989,Cost_Centers!$A:$A,0)),"(unknown)"))</f>
        <v/>
      </c>
      <c r="Y989" s="22">
        <f>IF($B989="","",IFERROR(INDEX(Cost_Centers!$D:$D,MATCH($B989,Cost_Centers!$A:$A,0)),"(unknown)"))</f>
        <v/>
      </c>
      <c r="Z989" s="22">
        <f>IF(OR($B989="",$G989&lt;&gt;"Variance vs Budget"),"",ABS(N($V989))+ROW()/1000000000)</f>
        <v/>
      </c>
    </row>
    <row r="990">
      <c r="A990" s="13">
        <f>IF(A$986="","",A$986)</f>
        <v/>
      </c>
      <c r="B990" s="13">
        <f>IF(B$986="","",B$986)</f>
        <v/>
      </c>
      <c r="C990" s="13">
        <f>IF(C$986="","",C$986)</f>
        <v/>
      </c>
      <c r="D990" s="13">
        <f>IF(D$986="","",D$986)</f>
        <v/>
      </c>
      <c r="E990" s="13">
        <f>IF(E$986="","",E$986)</f>
        <v/>
      </c>
      <c r="F990" s="13">
        <f>IF(F$986="","",F$986)</f>
        <v/>
      </c>
      <c r="G990" s="35" t="inlineStr">
        <is>
          <t>Actual + Forecast</t>
        </is>
      </c>
      <c r="H990" s="18">
        <f>IF($B$986="","",IF(1&lt;=$C$4,N(H987),IF(H989="",H986,H989)))</f>
        <v/>
      </c>
      <c r="I990" s="18">
        <f>IF($B$986="","",IF(2&lt;=$C$4,N(I987),IF(I989="",I986,I989)))</f>
        <v/>
      </c>
      <c r="J990" s="18">
        <f>IF($B$986="","",IF(3&lt;=$C$4,N(J987),IF(J989="",J986,J989)))</f>
        <v/>
      </c>
      <c r="K990" s="18">
        <f>IF($B$986="","",IF(4&lt;=$C$4,N(K987),IF(K989="",K986,K989)))</f>
        <v/>
      </c>
      <c r="L990" s="18">
        <f>IF($B$986="","",IF(5&lt;=$C$4,N(L987),IF(L989="",L986,L989)))</f>
        <v/>
      </c>
      <c r="M990" s="18">
        <f>IF($B$986="","",IF(6&lt;=$C$4,N(M987),IF(M989="",M986,M989)))</f>
        <v/>
      </c>
      <c r="N990" s="18">
        <f>IF($B$986="","",IF(7&lt;=$C$4,N(N987),IF(N989="",N986,N989)))</f>
        <v/>
      </c>
      <c r="O990" s="18">
        <f>IF($B$986="","",IF(8&lt;=$C$4,N(O987),IF(O989="",O986,O989)))</f>
        <v/>
      </c>
      <c r="P990" s="18">
        <f>IF($B$986="","",IF(9&lt;=$C$4,N(P987),IF(P989="",P986,P989)))</f>
        <v/>
      </c>
      <c r="Q990" s="18">
        <f>IF($B$986="","",IF(10&lt;=$C$4,N(Q987),IF(Q989="",Q986,Q989)))</f>
        <v/>
      </c>
      <c r="R990" s="18">
        <f>IF($B$986="","",IF(11&lt;=$C$4,N(R987),IF(R989="",R986,R989)))</f>
        <v/>
      </c>
      <c r="S990" s="18">
        <f>IF($B$986="","",IF(12&lt;=$C$4,N(S987),IF(S989="",S986,S989)))</f>
        <v/>
      </c>
      <c r="T990" s="18">
        <f>IF($B$986="","",SUMIF($H$7:$S$7,"&lt;="&amp;$C$4,$H990:$S990))</f>
        <v/>
      </c>
      <c r="U990" s="18">
        <f>IF($B$986="","",SUMIF($H$7:$S$7,"&gt;"&amp;$C$4,$H990:$S990))</f>
        <v/>
      </c>
      <c r="V990" s="18">
        <f>IF($B$986="","",SUM($H990:$S990))</f>
        <v/>
      </c>
      <c r="X990" s="22">
        <f>IF($B990="","",IFERROR(INDEX(Cost_Centers!$E:$E,MATCH($B990,Cost_Centers!$A:$A,0)),"(unknown)"))</f>
        <v/>
      </c>
      <c r="Y990" s="22">
        <f>IF($B990="","",IFERROR(INDEX(Cost_Centers!$D:$D,MATCH($B990,Cost_Centers!$A:$A,0)),"(unknown)"))</f>
        <v/>
      </c>
      <c r="Z990" s="22">
        <f>IF(OR($B990="",$G990&lt;&gt;"Variance vs Budget"),"",ABS(N($V990))+ROW()/1000000000)</f>
        <v/>
      </c>
    </row>
    <row r="991">
      <c r="A991" s="13">
        <f>IF(A$986="","",A$986)</f>
        <v/>
      </c>
      <c r="B991" s="13">
        <f>IF(B$986="","",B$986)</f>
        <v/>
      </c>
      <c r="C991" s="13">
        <f>IF(C$986="","",C$986)</f>
        <v/>
      </c>
      <c r="D991" s="13">
        <f>IF(D$986="","",D$986)</f>
        <v/>
      </c>
      <c r="E991" s="13">
        <f>IF(E$986="","",E$986)</f>
        <v/>
      </c>
      <c r="F991" s="13">
        <f>IF(F$986="","",F$986)</f>
        <v/>
      </c>
      <c r="G991" s="36" t="inlineStr">
        <is>
          <t>Prior Month Forecast</t>
        </is>
      </c>
      <c r="H991" s="37">
        <f>IF($B$986="","",IF(COUNTIFS(Prior_Forecast!$A:$A,$B$986,Prior_Forecast!$B:$B,$D$986)&gt;0,SUMIFS(Prior_Forecast!$C:$C,Prior_Forecast!$A:$A,$B$986,Prior_Forecast!$B:$B,$D$986),""))</f>
        <v/>
      </c>
      <c r="I991" s="37">
        <f>IF($B$986="","",IF(COUNTIFS(Prior_Forecast!$A:$A,$B$986,Prior_Forecast!$B:$B,$D$986)&gt;0,SUMIFS(Prior_Forecast!$D:$D,Prior_Forecast!$A:$A,$B$986,Prior_Forecast!$B:$B,$D$986),""))</f>
        <v/>
      </c>
      <c r="J991" s="37">
        <f>IF($B$986="","",IF(COUNTIFS(Prior_Forecast!$A:$A,$B$986,Prior_Forecast!$B:$B,$D$986)&gt;0,SUMIFS(Prior_Forecast!$E:$E,Prior_Forecast!$A:$A,$B$986,Prior_Forecast!$B:$B,$D$986),""))</f>
        <v/>
      </c>
      <c r="K991" s="37">
        <f>IF($B$986="","",IF(COUNTIFS(Prior_Forecast!$A:$A,$B$986,Prior_Forecast!$B:$B,$D$986)&gt;0,SUMIFS(Prior_Forecast!$F:$F,Prior_Forecast!$A:$A,$B$986,Prior_Forecast!$B:$B,$D$986),""))</f>
        <v/>
      </c>
      <c r="L991" s="37">
        <f>IF($B$986="","",IF(COUNTIFS(Prior_Forecast!$A:$A,$B$986,Prior_Forecast!$B:$B,$D$986)&gt;0,SUMIFS(Prior_Forecast!$G:$G,Prior_Forecast!$A:$A,$B$986,Prior_Forecast!$B:$B,$D$986),""))</f>
        <v/>
      </c>
      <c r="M991" s="37">
        <f>IF($B$986="","",IF(COUNTIFS(Prior_Forecast!$A:$A,$B$986,Prior_Forecast!$B:$B,$D$986)&gt;0,SUMIFS(Prior_Forecast!$H:$H,Prior_Forecast!$A:$A,$B$986,Prior_Forecast!$B:$B,$D$986),""))</f>
        <v/>
      </c>
      <c r="N991" s="37">
        <f>IF($B$986="","",IF(COUNTIFS(Prior_Forecast!$A:$A,$B$986,Prior_Forecast!$B:$B,$D$986)&gt;0,SUMIFS(Prior_Forecast!$I:$I,Prior_Forecast!$A:$A,$B$986,Prior_Forecast!$B:$B,$D$986),""))</f>
        <v/>
      </c>
      <c r="O991" s="37">
        <f>IF($B$986="","",IF(COUNTIFS(Prior_Forecast!$A:$A,$B$986,Prior_Forecast!$B:$B,$D$986)&gt;0,SUMIFS(Prior_Forecast!$J:$J,Prior_Forecast!$A:$A,$B$986,Prior_Forecast!$B:$B,$D$986),""))</f>
        <v/>
      </c>
      <c r="P991" s="37">
        <f>IF($B$986="","",IF(COUNTIFS(Prior_Forecast!$A:$A,$B$986,Prior_Forecast!$B:$B,$D$986)&gt;0,SUMIFS(Prior_Forecast!$K:$K,Prior_Forecast!$A:$A,$B$986,Prior_Forecast!$B:$B,$D$986),""))</f>
        <v/>
      </c>
      <c r="Q991" s="37">
        <f>IF($B$986="","",IF(COUNTIFS(Prior_Forecast!$A:$A,$B$986,Prior_Forecast!$B:$B,$D$986)&gt;0,SUMIFS(Prior_Forecast!$L:$L,Prior_Forecast!$A:$A,$B$986,Prior_Forecast!$B:$B,$D$986),""))</f>
        <v/>
      </c>
      <c r="R991" s="37">
        <f>IF($B$986="","",IF(COUNTIFS(Prior_Forecast!$A:$A,$B$986,Prior_Forecast!$B:$B,$D$986)&gt;0,SUMIFS(Prior_Forecast!$M:$M,Prior_Forecast!$A:$A,$B$986,Prior_Forecast!$B:$B,$D$986),""))</f>
        <v/>
      </c>
      <c r="S991" s="37">
        <f>IF($B$986="","",IF(COUNTIFS(Prior_Forecast!$A:$A,$B$986,Prior_Forecast!$B:$B,$D$986)&gt;0,SUMIFS(Prior_Forecast!$N:$N,Prior_Forecast!$A:$A,$B$986,Prior_Forecast!$B:$B,$D$986),""))</f>
        <v/>
      </c>
      <c r="T991" s="37">
        <f>IF($B$986="","",IF(COUNTIFS(Prior_Forecast!$A:$A,$B$986,Prior_Forecast!$B:$B,$D$986)&gt;0,SUMIFS(Prior_Forecast!$O:$O,Prior_Forecast!$A:$A,$B$986,Prior_Forecast!$B:$B,$D$986),""))</f>
        <v/>
      </c>
      <c r="U991" s="37">
        <f>IF($B$986="","",IF(COUNTIFS(Prior_Forecast!$A:$A,$B$986,Prior_Forecast!$B:$B,$D$986)&gt;0,SUMIFS(Prior_Forecast!$P:$P,Prior_Forecast!$A:$A,$B$986,Prior_Forecast!$B:$B,$D$986),""))</f>
        <v/>
      </c>
      <c r="V991" s="37">
        <f>IF($B$986="","",IF(COUNTIFS(Prior_Forecast!$A:$A,$B$986,Prior_Forecast!$B:$B,$D$986)&gt;0,SUMIFS(Prior_Forecast!$Q:$Q,Prior_Forecast!$A:$A,$B$986,Prior_Forecast!$B:$B,$D$986),""))</f>
        <v/>
      </c>
      <c r="X991" s="22">
        <f>IF($B991="","",IFERROR(INDEX(Cost_Centers!$E:$E,MATCH($B991,Cost_Centers!$A:$A,0)),"(unknown)"))</f>
        <v/>
      </c>
      <c r="Y991" s="22">
        <f>IF($B991="","",IFERROR(INDEX(Cost_Centers!$D:$D,MATCH($B991,Cost_Centers!$A:$A,0)),"(unknown)"))</f>
        <v/>
      </c>
      <c r="Z991" s="22">
        <f>IF(OR($B991="",$G991&lt;&gt;"Variance vs Budget"),"",ABS(N($V991))+ROW()/1000000000)</f>
        <v/>
      </c>
    </row>
    <row r="992">
      <c r="A992" s="13">
        <f>IF(A$986="","",A$986)</f>
        <v/>
      </c>
      <c r="B992" s="13">
        <f>IF(B$986="","",B$986)</f>
        <v/>
      </c>
      <c r="C992" s="13">
        <f>IF(C$986="","",C$986)</f>
        <v/>
      </c>
      <c r="D992" s="13">
        <f>IF(D$986="","",D$986)</f>
        <v/>
      </c>
      <c r="E992" s="13">
        <f>IF(E$986="","",E$986)</f>
        <v/>
      </c>
      <c r="F992" s="13">
        <f>IF(F$986="","",F$986)</f>
        <v/>
      </c>
      <c r="G992" s="6" t="inlineStr">
        <is>
          <t>Variance vs Prior Month</t>
        </is>
      </c>
      <c r="H992" s="33">
        <f>IF(OR($B$986="",H991=""),"",H990-H991)</f>
        <v/>
      </c>
      <c r="I992" s="33">
        <f>IF(OR($B$986="",I991=""),"",I990-I991)</f>
        <v/>
      </c>
      <c r="J992" s="33">
        <f>IF(OR($B$986="",J991=""),"",J990-J991)</f>
        <v/>
      </c>
      <c r="K992" s="33">
        <f>IF(OR($B$986="",K991=""),"",K990-K991)</f>
        <v/>
      </c>
      <c r="L992" s="33">
        <f>IF(OR($B$986="",L991=""),"",L990-L991)</f>
        <v/>
      </c>
      <c r="M992" s="33">
        <f>IF(OR($B$986="",M991=""),"",M990-M991)</f>
        <v/>
      </c>
      <c r="N992" s="33">
        <f>IF(OR($B$986="",N991=""),"",N990-N991)</f>
        <v/>
      </c>
      <c r="O992" s="33">
        <f>IF(OR($B$986="",O991=""),"",O990-O991)</f>
        <v/>
      </c>
      <c r="P992" s="33">
        <f>IF(OR($B$986="",P991=""),"",P990-P991)</f>
        <v/>
      </c>
      <c r="Q992" s="33">
        <f>IF(OR($B$986="",Q991=""),"",Q990-Q991)</f>
        <v/>
      </c>
      <c r="R992" s="33">
        <f>IF(OR($B$986="",R991=""),"",R990-R991)</f>
        <v/>
      </c>
      <c r="S992" s="33">
        <f>IF(OR($B$986="",S991=""),"",S990-S991)</f>
        <v/>
      </c>
      <c r="T992" s="33">
        <f>IF(OR($B$986="",T991=""),"",T990-T991)</f>
        <v/>
      </c>
      <c r="U992" s="33">
        <f>IF(OR($B$986="",U991=""),"",U990-U991)</f>
        <v/>
      </c>
      <c r="V992" s="33">
        <f>IF(OR($B$986="",V991=""),"",V990-V991)</f>
        <v/>
      </c>
      <c r="X992" s="22">
        <f>IF($B992="","",IFERROR(INDEX(Cost_Centers!$E:$E,MATCH($B992,Cost_Centers!$A:$A,0)),"(unknown)"))</f>
        <v/>
      </c>
      <c r="Y992" s="22">
        <f>IF($B992="","",IFERROR(INDEX(Cost_Centers!$D:$D,MATCH($B992,Cost_Centers!$A:$A,0)),"(unknown)"))</f>
        <v/>
      </c>
      <c r="Z992" s="22">
        <f>IF(OR($B992="",$G992&lt;&gt;"Variance vs Budget"),"",ABS(N($V992))+ROW()/1000000000)</f>
        <v/>
      </c>
    </row>
    <row r="993" ht="45" customHeight="1">
      <c r="A993" s="13">
        <f>IF(A$986="","",A$986)</f>
        <v/>
      </c>
      <c r="B993" s="13">
        <f>IF(B$986="","",B$986)</f>
        <v/>
      </c>
      <c r="C993" s="13">
        <f>IF(C$986="","",C$986)</f>
        <v/>
      </c>
      <c r="D993" s="13">
        <f>IF(D$986="","",D$986)</f>
        <v/>
      </c>
      <c r="E993" s="13">
        <f>IF(E$986="","",E$986)</f>
        <v/>
      </c>
      <c r="F993" s="13">
        <f>IF(F$986="","",F$986)</f>
        <v/>
      </c>
      <c r="G993" s="7" t="inlineStr">
        <is>
          <t>Rationale</t>
        </is>
      </c>
      <c r="H993" s="38" t="n"/>
      <c r="I993" s="38" t="n"/>
      <c r="J993" s="38" t="n"/>
      <c r="K993" s="38" t="n"/>
      <c r="L993" s="38" t="n"/>
      <c r="M993" s="38" t="n"/>
      <c r="N993" s="38" t="n"/>
      <c r="O993" s="38" t="n"/>
      <c r="P993" s="38" t="n"/>
      <c r="Q993" s="38" t="n"/>
      <c r="R993" s="38" t="n"/>
      <c r="S993" s="38" t="n"/>
      <c r="T993" s="38" t="n"/>
      <c r="U993" s="38" t="n"/>
      <c r="V993" s="7" t="n"/>
      <c r="X993" s="22">
        <f>IF($B993="","",IFERROR(INDEX(Cost_Centers!$E:$E,MATCH($B993,Cost_Centers!$A:$A,0)),"(unknown)"))</f>
        <v/>
      </c>
      <c r="Y993" s="22">
        <f>IF($B993="","",IFERROR(INDEX(Cost_Centers!$D:$D,MATCH($B993,Cost_Centers!$A:$A,0)),"(unknown)"))</f>
        <v/>
      </c>
      <c r="Z993" s="22">
        <f>IF(OR($B993="",$G993&lt;&gt;"Variance vs Budget"),"",ABS(N($V993))+ROW()/1000000000)</f>
        <v/>
      </c>
    </row>
    <row r="994">
      <c r="A994" s="30">
        <f>IF($D$994="","",LEFT($D$994,FIND("|",$D$994&amp;"|")-1))</f>
        <v/>
      </c>
      <c r="B994" s="31" t="n"/>
      <c r="C994" s="30">
        <f>IF($B$994="","",IFERROR(INDEX(Cost_Centers!$B:$B,MATCH($B$994,Cost_Centers!$A:$A,0)),"(not in master)"))</f>
        <v/>
      </c>
      <c r="D994" s="31" t="n"/>
      <c r="E994" s="30">
        <f>IF($D$994="","",IFERROR(INDEX(Accounts!$D:$D,MATCH($D$994,Accounts!$A:$A,0)),"(not in master)"))</f>
        <v/>
      </c>
      <c r="F994" s="31" t="n"/>
      <c r="G994" s="30" t="inlineStr">
        <is>
          <t>Budget</t>
        </is>
      </c>
      <c r="H994" s="32">
        <f>IF($B$994="","",SUMIFS(Opex_Budget!$O:$O,Opex_Budget!$A:$A,$C$3,Opex_Budget!$E:$E,$B$994,Opex_Budget!$F:$F,$D$994,Opex_Budget!$N:$N,"JPY")*$E$5+SUMIFS(Opex_Budget!$O:$O,Opex_Budget!$A:$A,$C$3,Opex_Budget!$E:$E,$B$994,Opex_Budget!$F:$F,$D$994,Opex_Budget!$N:$N,"USD")*$F$5+SUMIFS(Opex_Budget!$O:$O,Opex_Budget!$A:$A,$C$3,Opex_Budget!$E:$E,$B$994,Opex_Budget!$F:$F,$D$994,Opex_Budget!$N:$N,"EUR")*$G$5+SUMIFS(Opex_Budget!$O:$O,Opex_Budget!$A:$A,$C$3,Opex_Budget!$E:$E,$B$994,Opex_Budget!$F:$F,$D$994,Opex_Budget!$N:$N,"GBP")*$H$5)</f>
        <v/>
      </c>
      <c r="I994" s="32">
        <f>IF($B$994="","",SUMIFS(Opex_Budget!$P:$P,Opex_Budget!$A:$A,$C$3,Opex_Budget!$E:$E,$B$994,Opex_Budget!$F:$F,$D$994,Opex_Budget!$N:$N,"JPY")*$E$5+SUMIFS(Opex_Budget!$P:$P,Opex_Budget!$A:$A,$C$3,Opex_Budget!$E:$E,$B$994,Opex_Budget!$F:$F,$D$994,Opex_Budget!$N:$N,"USD")*$F$5+SUMIFS(Opex_Budget!$P:$P,Opex_Budget!$A:$A,$C$3,Opex_Budget!$E:$E,$B$994,Opex_Budget!$F:$F,$D$994,Opex_Budget!$N:$N,"EUR")*$G$5+SUMIFS(Opex_Budget!$P:$P,Opex_Budget!$A:$A,$C$3,Opex_Budget!$E:$E,$B$994,Opex_Budget!$F:$F,$D$994,Opex_Budget!$N:$N,"GBP")*$H$5)</f>
        <v/>
      </c>
      <c r="J994" s="32">
        <f>IF($B$994="","",SUMIFS(Opex_Budget!$Q:$Q,Opex_Budget!$A:$A,$C$3,Opex_Budget!$E:$E,$B$994,Opex_Budget!$F:$F,$D$994,Opex_Budget!$N:$N,"JPY")*$E$5+SUMIFS(Opex_Budget!$Q:$Q,Opex_Budget!$A:$A,$C$3,Opex_Budget!$E:$E,$B$994,Opex_Budget!$F:$F,$D$994,Opex_Budget!$N:$N,"USD")*$F$5+SUMIFS(Opex_Budget!$Q:$Q,Opex_Budget!$A:$A,$C$3,Opex_Budget!$E:$E,$B$994,Opex_Budget!$F:$F,$D$994,Opex_Budget!$N:$N,"EUR")*$G$5+SUMIFS(Opex_Budget!$Q:$Q,Opex_Budget!$A:$A,$C$3,Opex_Budget!$E:$E,$B$994,Opex_Budget!$F:$F,$D$994,Opex_Budget!$N:$N,"GBP")*$H$5)</f>
        <v/>
      </c>
      <c r="K994" s="32">
        <f>IF($B$994="","",SUMIFS(Opex_Budget!$R:$R,Opex_Budget!$A:$A,$C$3,Opex_Budget!$E:$E,$B$994,Opex_Budget!$F:$F,$D$994,Opex_Budget!$N:$N,"JPY")*$E$5+SUMIFS(Opex_Budget!$R:$R,Opex_Budget!$A:$A,$C$3,Opex_Budget!$E:$E,$B$994,Opex_Budget!$F:$F,$D$994,Opex_Budget!$N:$N,"USD")*$F$5+SUMIFS(Opex_Budget!$R:$R,Opex_Budget!$A:$A,$C$3,Opex_Budget!$E:$E,$B$994,Opex_Budget!$F:$F,$D$994,Opex_Budget!$N:$N,"EUR")*$G$5+SUMIFS(Opex_Budget!$R:$R,Opex_Budget!$A:$A,$C$3,Opex_Budget!$E:$E,$B$994,Opex_Budget!$F:$F,$D$994,Opex_Budget!$N:$N,"GBP")*$H$5)</f>
        <v/>
      </c>
      <c r="L994" s="32">
        <f>IF($B$994="","",SUMIFS(Opex_Budget!$S:$S,Opex_Budget!$A:$A,$C$3,Opex_Budget!$E:$E,$B$994,Opex_Budget!$F:$F,$D$994,Opex_Budget!$N:$N,"JPY")*$E$5+SUMIFS(Opex_Budget!$S:$S,Opex_Budget!$A:$A,$C$3,Opex_Budget!$E:$E,$B$994,Opex_Budget!$F:$F,$D$994,Opex_Budget!$N:$N,"USD")*$F$5+SUMIFS(Opex_Budget!$S:$S,Opex_Budget!$A:$A,$C$3,Opex_Budget!$E:$E,$B$994,Opex_Budget!$F:$F,$D$994,Opex_Budget!$N:$N,"EUR")*$G$5+SUMIFS(Opex_Budget!$S:$S,Opex_Budget!$A:$A,$C$3,Opex_Budget!$E:$E,$B$994,Opex_Budget!$F:$F,$D$994,Opex_Budget!$N:$N,"GBP")*$H$5)</f>
        <v/>
      </c>
      <c r="M994" s="32">
        <f>IF($B$994="","",SUMIFS(Opex_Budget!$T:$T,Opex_Budget!$A:$A,$C$3,Opex_Budget!$E:$E,$B$994,Opex_Budget!$F:$F,$D$994,Opex_Budget!$N:$N,"JPY")*$E$5+SUMIFS(Opex_Budget!$T:$T,Opex_Budget!$A:$A,$C$3,Opex_Budget!$E:$E,$B$994,Opex_Budget!$F:$F,$D$994,Opex_Budget!$N:$N,"USD")*$F$5+SUMIFS(Opex_Budget!$T:$T,Opex_Budget!$A:$A,$C$3,Opex_Budget!$E:$E,$B$994,Opex_Budget!$F:$F,$D$994,Opex_Budget!$N:$N,"EUR")*$G$5+SUMIFS(Opex_Budget!$T:$T,Opex_Budget!$A:$A,$C$3,Opex_Budget!$E:$E,$B$994,Opex_Budget!$F:$F,$D$994,Opex_Budget!$N:$N,"GBP")*$H$5)</f>
        <v/>
      </c>
      <c r="N994" s="32">
        <f>IF($B$994="","",SUMIFS(Opex_Budget!$U:$U,Opex_Budget!$A:$A,$C$3,Opex_Budget!$E:$E,$B$994,Opex_Budget!$F:$F,$D$994,Opex_Budget!$N:$N,"JPY")*$E$5+SUMIFS(Opex_Budget!$U:$U,Opex_Budget!$A:$A,$C$3,Opex_Budget!$E:$E,$B$994,Opex_Budget!$F:$F,$D$994,Opex_Budget!$N:$N,"USD")*$F$5+SUMIFS(Opex_Budget!$U:$U,Opex_Budget!$A:$A,$C$3,Opex_Budget!$E:$E,$B$994,Opex_Budget!$F:$F,$D$994,Opex_Budget!$N:$N,"EUR")*$G$5+SUMIFS(Opex_Budget!$U:$U,Opex_Budget!$A:$A,$C$3,Opex_Budget!$E:$E,$B$994,Opex_Budget!$F:$F,$D$994,Opex_Budget!$N:$N,"GBP")*$H$5)</f>
        <v/>
      </c>
      <c r="O994" s="32">
        <f>IF($B$994="","",SUMIFS(Opex_Budget!$V:$V,Opex_Budget!$A:$A,$C$3,Opex_Budget!$E:$E,$B$994,Opex_Budget!$F:$F,$D$994,Opex_Budget!$N:$N,"JPY")*$E$5+SUMIFS(Opex_Budget!$V:$V,Opex_Budget!$A:$A,$C$3,Opex_Budget!$E:$E,$B$994,Opex_Budget!$F:$F,$D$994,Opex_Budget!$N:$N,"USD")*$F$5+SUMIFS(Opex_Budget!$V:$V,Opex_Budget!$A:$A,$C$3,Opex_Budget!$E:$E,$B$994,Opex_Budget!$F:$F,$D$994,Opex_Budget!$N:$N,"EUR")*$G$5+SUMIFS(Opex_Budget!$V:$V,Opex_Budget!$A:$A,$C$3,Opex_Budget!$E:$E,$B$994,Opex_Budget!$F:$F,$D$994,Opex_Budget!$N:$N,"GBP")*$H$5)</f>
        <v/>
      </c>
      <c r="P994" s="32">
        <f>IF($B$994="","",SUMIFS(Opex_Budget!$W:$W,Opex_Budget!$A:$A,$C$3,Opex_Budget!$E:$E,$B$994,Opex_Budget!$F:$F,$D$994,Opex_Budget!$N:$N,"JPY")*$E$5+SUMIFS(Opex_Budget!$W:$W,Opex_Budget!$A:$A,$C$3,Opex_Budget!$E:$E,$B$994,Opex_Budget!$F:$F,$D$994,Opex_Budget!$N:$N,"USD")*$F$5+SUMIFS(Opex_Budget!$W:$W,Opex_Budget!$A:$A,$C$3,Opex_Budget!$E:$E,$B$994,Opex_Budget!$F:$F,$D$994,Opex_Budget!$N:$N,"EUR")*$G$5+SUMIFS(Opex_Budget!$W:$W,Opex_Budget!$A:$A,$C$3,Opex_Budget!$E:$E,$B$994,Opex_Budget!$F:$F,$D$994,Opex_Budget!$N:$N,"GBP")*$H$5)</f>
        <v/>
      </c>
      <c r="Q994" s="32">
        <f>IF($B$994="","",SUMIFS(Opex_Budget!$X:$X,Opex_Budget!$A:$A,$C$3,Opex_Budget!$E:$E,$B$994,Opex_Budget!$F:$F,$D$994,Opex_Budget!$N:$N,"JPY")*$E$5+SUMIFS(Opex_Budget!$X:$X,Opex_Budget!$A:$A,$C$3,Opex_Budget!$E:$E,$B$994,Opex_Budget!$F:$F,$D$994,Opex_Budget!$N:$N,"USD")*$F$5+SUMIFS(Opex_Budget!$X:$X,Opex_Budget!$A:$A,$C$3,Opex_Budget!$E:$E,$B$994,Opex_Budget!$F:$F,$D$994,Opex_Budget!$N:$N,"EUR")*$G$5+SUMIFS(Opex_Budget!$X:$X,Opex_Budget!$A:$A,$C$3,Opex_Budget!$E:$E,$B$994,Opex_Budget!$F:$F,$D$994,Opex_Budget!$N:$N,"GBP")*$H$5)</f>
        <v/>
      </c>
      <c r="R994" s="32">
        <f>IF($B$994="","",SUMIFS(Opex_Budget!$Y:$Y,Opex_Budget!$A:$A,$C$3,Opex_Budget!$E:$E,$B$994,Opex_Budget!$F:$F,$D$994,Opex_Budget!$N:$N,"JPY")*$E$5+SUMIFS(Opex_Budget!$Y:$Y,Opex_Budget!$A:$A,$C$3,Opex_Budget!$E:$E,$B$994,Opex_Budget!$F:$F,$D$994,Opex_Budget!$N:$N,"USD")*$F$5+SUMIFS(Opex_Budget!$Y:$Y,Opex_Budget!$A:$A,$C$3,Opex_Budget!$E:$E,$B$994,Opex_Budget!$F:$F,$D$994,Opex_Budget!$N:$N,"EUR")*$G$5+SUMIFS(Opex_Budget!$Y:$Y,Opex_Budget!$A:$A,$C$3,Opex_Budget!$E:$E,$B$994,Opex_Budget!$F:$F,$D$994,Opex_Budget!$N:$N,"GBP")*$H$5)</f>
        <v/>
      </c>
      <c r="S994" s="32">
        <f>IF($B$994="","",SUMIFS(Opex_Budget!$Z:$Z,Opex_Budget!$A:$A,$C$3,Opex_Budget!$E:$E,$B$994,Opex_Budget!$F:$F,$D$994,Opex_Budget!$N:$N,"JPY")*$E$5+SUMIFS(Opex_Budget!$Z:$Z,Opex_Budget!$A:$A,$C$3,Opex_Budget!$E:$E,$B$994,Opex_Budget!$F:$F,$D$994,Opex_Budget!$N:$N,"USD")*$F$5+SUMIFS(Opex_Budget!$Z:$Z,Opex_Budget!$A:$A,$C$3,Opex_Budget!$E:$E,$B$994,Opex_Budget!$F:$F,$D$994,Opex_Budget!$N:$N,"EUR")*$G$5+SUMIFS(Opex_Budget!$Z:$Z,Opex_Budget!$A:$A,$C$3,Opex_Budget!$E:$E,$B$994,Opex_Budget!$F:$F,$D$994,Opex_Budget!$N:$N,"GBP")*$H$5)</f>
        <v/>
      </c>
      <c r="T994" s="32">
        <f>IF($B$994="","",SUMIF($H$7:$S$7,"&lt;="&amp;$C$4,$H994:$S994))</f>
        <v/>
      </c>
      <c r="U994" s="32">
        <f>IF($B$994="","",SUMIF($H$7:$S$7,"&gt;"&amp;$C$4,$H994:$S994))</f>
        <v/>
      </c>
      <c r="V994" s="32">
        <f>IF($B$994="","",SUM($H994:$S994))</f>
        <v/>
      </c>
      <c r="X994" s="22">
        <f>IF($B994="","",IFERROR(INDEX(Cost_Centers!$E:$E,MATCH($B994,Cost_Centers!$A:$A,0)),"(unknown)"))</f>
        <v/>
      </c>
      <c r="Y994" s="22">
        <f>IF($B994="","",IFERROR(INDEX(Cost_Centers!$D:$D,MATCH($B994,Cost_Centers!$A:$A,0)),"(unknown)"))</f>
        <v/>
      </c>
      <c r="Z994" s="22">
        <f>IF(OR($B994="",$G994&lt;&gt;"Variance vs Budget"),"",ABS(N($V994))+ROW()/1000000000)</f>
        <v/>
      </c>
    </row>
    <row r="995">
      <c r="A995" s="13">
        <f>IF(A$994="","",A$994)</f>
        <v/>
      </c>
      <c r="B995" s="13">
        <f>IF(B$994="","",B$994)</f>
        <v/>
      </c>
      <c r="C995" s="13">
        <f>IF(C$994="","",C$994)</f>
        <v/>
      </c>
      <c r="D995" s="13">
        <f>IF(D$994="","",D$994)</f>
        <v/>
      </c>
      <c r="E995" s="13">
        <f>IF(E$994="","",E$994)</f>
        <v/>
      </c>
      <c r="F995" s="13">
        <f>IF(F$994="","",F$994)</f>
        <v/>
      </c>
      <c r="G995" s="7" t="inlineStr">
        <is>
          <t>Actual</t>
        </is>
      </c>
      <c r="H995" s="18">
        <f>IF(OR($B$994="",1&gt;$C$4),"",SUMIFS(Actuals!$G:$G,Actuals!$B:$B,$C$3,Actuals!$C:$C,1,Actuals!$D:$D,$B$994,Actuals!$A:$A,LEFT($D$994,FIND("|",$D$994&amp;"|")-1),Actuals!$E:$E,MID($D$994,FIND("|",$D$994&amp;"|")+1,50),Actuals!$F:$F,"JPY")*$E$5+SUMIFS(Actuals!$G:$G,Actuals!$B:$B,$C$3,Actuals!$C:$C,1,Actuals!$D:$D,$B$994,Actuals!$A:$A,LEFT($D$994,FIND("|",$D$994&amp;"|")-1),Actuals!$E:$E,MID($D$994,FIND("|",$D$994&amp;"|")+1,50),Actuals!$F:$F,"USD")*$F$5+SUMIFS(Actuals!$G:$G,Actuals!$B:$B,$C$3,Actuals!$C:$C,1,Actuals!$D:$D,$B$994,Actuals!$A:$A,LEFT($D$994,FIND("|",$D$994&amp;"|")-1),Actuals!$E:$E,MID($D$994,FIND("|",$D$994&amp;"|")+1,50),Actuals!$F:$F,"EUR")*$G$5+SUMIFS(Actuals!$G:$G,Actuals!$B:$B,$C$3,Actuals!$C:$C,1,Actuals!$D:$D,$B$994,Actuals!$A:$A,LEFT($D$994,FIND("|",$D$994&amp;"|")-1),Actuals!$E:$E,MID($D$994,FIND("|",$D$994&amp;"|")+1,50),Actuals!$F:$F,"GBP")*$H$5)</f>
        <v/>
      </c>
      <c r="I995" s="18">
        <f>IF(OR($B$994="",2&gt;$C$4),"",SUMIFS(Actuals!$G:$G,Actuals!$B:$B,$C$3,Actuals!$C:$C,2,Actuals!$D:$D,$B$994,Actuals!$A:$A,LEFT($D$994,FIND("|",$D$994&amp;"|")-1),Actuals!$E:$E,MID($D$994,FIND("|",$D$994&amp;"|")+1,50),Actuals!$F:$F,"JPY")*$E$5+SUMIFS(Actuals!$G:$G,Actuals!$B:$B,$C$3,Actuals!$C:$C,2,Actuals!$D:$D,$B$994,Actuals!$A:$A,LEFT($D$994,FIND("|",$D$994&amp;"|")-1),Actuals!$E:$E,MID($D$994,FIND("|",$D$994&amp;"|")+1,50),Actuals!$F:$F,"USD")*$F$5+SUMIFS(Actuals!$G:$G,Actuals!$B:$B,$C$3,Actuals!$C:$C,2,Actuals!$D:$D,$B$994,Actuals!$A:$A,LEFT($D$994,FIND("|",$D$994&amp;"|")-1),Actuals!$E:$E,MID($D$994,FIND("|",$D$994&amp;"|")+1,50),Actuals!$F:$F,"EUR")*$G$5+SUMIFS(Actuals!$G:$G,Actuals!$B:$B,$C$3,Actuals!$C:$C,2,Actuals!$D:$D,$B$994,Actuals!$A:$A,LEFT($D$994,FIND("|",$D$994&amp;"|")-1),Actuals!$E:$E,MID($D$994,FIND("|",$D$994&amp;"|")+1,50),Actuals!$F:$F,"GBP")*$H$5)</f>
        <v/>
      </c>
      <c r="J995" s="18">
        <f>IF(OR($B$994="",3&gt;$C$4),"",SUMIFS(Actuals!$G:$G,Actuals!$B:$B,$C$3,Actuals!$C:$C,3,Actuals!$D:$D,$B$994,Actuals!$A:$A,LEFT($D$994,FIND("|",$D$994&amp;"|")-1),Actuals!$E:$E,MID($D$994,FIND("|",$D$994&amp;"|")+1,50),Actuals!$F:$F,"JPY")*$E$5+SUMIFS(Actuals!$G:$G,Actuals!$B:$B,$C$3,Actuals!$C:$C,3,Actuals!$D:$D,$B$994,Actuals!$A:$A,LEFT($D$994,FIND("|",$D$994&amp;"|")-1),Actuals!$E:$E,MID($D$994,FIND("|",$D$994&amp;"|")+1,50),Actuals!$F:$F,"USD")*$F$5+SUMIFS(Actuals!$G:$G,Actuals!$B:$B,$C$3,Actuals!$C:$C,3,Actuals!$D:$D,$B$994,Actuals!$A:$A,LEFT($D$994,FIND("|",$D$994&amp;"|")-1),Actuals!$E:$E,MID($D$994,FIND("|",$D$994&amp;"|")+1,50),Actuals!$F:$F,"EUR")*$G$5+SUMIFS(Actuals!$G:$G,Actuals!$B:$B,$C$3,Actuals!$C:$C,3,Actuals!$D:$D,$B$994,Actuals!$A:$A,LEFT($D$994,FIND("|",$D$994&amp;"|")-1),Actuals!$E:$E,MID($D$994,FIND("|",$D$994&amp;"|")+1,50),Actuals!$F:$F,"GBP")*$H$5)</f>
        <v/>
      </c>
      <c r="K995" s="18">
        <f>IF(OR($B$994="",4&gt;$C$4),"",SUMIFS(Actuals!$G:$G,Actuals!$B:$B,$C$3,Actuals!$C:$C,4,Actuals!$D:$D,$B$994,Actuals!$A:$A,LEFT($D$994,FIND("|",$D$994&amp;"|")-1),Actuals!$E:$E,MID($D$994,FIND("|",$D$994&amp;"|")+1,50),Actuals!$F:$F,"JPY")*$E$5+SUMIFS(Actuals!$G:$G,Actuals!$B:$B,$C$3,Actuals!$C:$C,4,Actuals!$D:$D,$B$994,Actuals!$A:$A,LEFT($D$994,FIND("|",$D$994&amp;"|")-1),Actuals!$E:$E,MID($D$994,FIND("|",$D$994&amp;"|")+1,50),Actuals!$F:$F,"USD")*$F$5+SUMIFS(Actuals!$G:$G,Actuals!$B:$B,$C$3,Actuals!$C:$C,4,Actuals!$D:$D,$B$994,Actuals!$A:$A,LEFT($D$994,FIND("|",$D$994&amp;"|")-1),Actuals!$E:$E,MID($D$994,FIND("|",$D$994&amp;"|")+1,50),Actuals!$F:$F,"EUR")*$G$5+SUMIFS(Actuals!$G:$G,Actuals!$B:$B,$C$3,Actuals!$C:$C,4,Actuals!$D:$D,$B$994,Actuals!$A:$A,LEFT($D$994,FIND("|",$D$994&amp;"|")-1),Actuals!$E:$E,MID($D$994,FIND("|",$D$994&amp;"|")+1,50),Actuals!$F:$F,"GBP")*$H$5)</f>
        <v/>
      </c>
      <c r="L995" s="18">
        <f>IF(OR($B$994="",5&gt;$C$4),"",SUMIFS(Actuals!$G:$G,Actuals!$B:$B,$C$3,Actuals!$C:$C,5,Actuals!$D:$D,$B$994,Actuals!$A:$A,LEFT($D$994,FIND("|",$D$994&amp;"|")-1),Actuals!$E:$E,MID($D$994,FIND("|",$D$994&amp;"|")+1,50),Actuals!$F:$F,"JPY")*$E$5+SUMIFS(Actuals!$G:$G,Actuals!$B:$B,$C$3,Actuals!$C:$C,5,Actuals!$D:$D,$B$994,Actuals!$A:$A,LEFT($D$994,FIND("|",$D$994&amp;"|")-1),Actuals!$E:$E,MID($D$994,FIND("|",$D$994&amp;"|")+1,50),Actuals!$F:$F,"USD")*$F$5+SUMIFS(Actuals!$G:$G,Actuals!$B:$B,$C$3,Actuals!$C:$C,5,Actuals!$D:$D,$B$994,Actuals!$A:$A,LEFT($D$994,FIND("|",$D$994&amp;"|")-1),Actuals!$E:$E,MID($D$994,FIND("|",$D$994&amp;"|")+1,50),Actuals!$F:$F,"EUR")*$G$5+SUMIFS(Actuals!$G:$G,Actuals!$B:$B,$C$3,Actuals!$C:$C,5,Actuals!$D:$D,$B$994,Actuals!$A:$A,LEFT($D$994,FIND("|",$D$994&amp;"|")-1),Actuals!$E:$E,MID($D$994,FIND("|",$D$994&amp;"|")+1,50),Actuals!$F:$F,"GBP")*$H$5)</f>
        <v/>
      </c>
      <c r="M995" s="18">
        <f>IF(OR($B$994="",6&gt;$C$4),"",SUMIFS(Actuals!$G:$G,Actuals!$B:$B,$C$3,Actuals!$C:$C,6,Actuals!$D:$D,$B$994,Actuals!$A:$A,LEFT($D$994,FIND("|",$D$994&amp;"|")-1),Actuals!$E:$E,MID($D$994,FIND("|",$D$994&amp;"|")+1,50),Actuals!$F:$F,"JPY")*$E$5+SUMIFS(Actuals!$G:$G,Actuals!$B:$B,$C$3,Actuals!$C:$C,6,Actuals!$D:$D,$B$994,Actuals!$A:$A,LEFT($D$994,FIND("|",$D$994&amp;"|")-1),Actuals!$E:$E,MID($D$994,FIND("|",$D$994&amp;"|")+1,50),Actuals!$F:$F,"USD")*$F$5+SUMIFS(Actuals!$G:$G,Actuals!$B:$B,$C$3,Actuals!$C:$C,6,Actuals!$D:$D,$B$994,Actuals!$A:$A,LEFT($D$994,FIND("|",$D$994&amp;"|")-1),Actuals!$E:$E,MID($D$994,FIND("|",$D$994&amp;"|")+1,50),Actuals!$F:$F,"EUR")*$G$5+SUMIFS(Actuals!$G:$G,Actuals!$B:$B,$C$3,Actuals!$C:$C,6,Actuals!$D:$D,$B$994,Actuals!$A:$A,LEFT($D$994,FIND("|",$D$994&amp;"|")-1),Actuals!$E:$E,MID($D$994,FIND("|",$D$994&amp;"|")+1,50),Actuals!$F:$F,"GBP")*$H$5)</f>
        <v/>
      </c>
      <c r="N995" s="18">
        <f>IF(OR($B$994="",7&gt;$C$4),"",SUMIFS(Actuals!$G:$G,Actuals!$B:$B,$C$3,Actuals!$C:$C,7,Actuals!$D:$D,$B$994,Actuals!$A:$A,LEFT($D$994,FIND("|",$D$994&amp;"|")-1),Actuals!$E:$E,MID($D$994,FIND("|",$D$994&amp;"|")+1,50),Actuals!$F:$F,"JPY")*$E$5+SUMIFS(Actuals!$G:$G,Actuals!$B:$B,$C$3,Actuals!$C:$C,7,Actuals!$D:$D,$B$994,Actuals!$A:$A,LEFT($D$994,FIND("|",$D$994&amp;"|")-1),Actuals!$E:$E,MID($D$994,FIND("|",$D$994&amp;"|")+1,50),Actuals!$F:$F,"USD")*$F$5+SUMIFS(Actuals!$G:$G,Actuals!$B:$B,$C$3,Actuals!$C:$C,7,Actuals!$D:$D,$B$994,Actuals!$A:$A,LEFT($D$994,FIND("|",$D$994&amp;"|")-1),Actuals!$E:$E,MID($D$994,FIND("|",$D$994&amp;"|")+1,50),Actuals!$F:$F,"EUR")*$G$5+SUMIFS(Actuals!$G:$G,Actuals!$B:$B,$C$3,Actuals!$C:$C,7,Actuals!$D:$D,$B$994,Actuals!$A:$A,LEFT($D$994,FIND("|",$D$994&amp;"|")-1),Actuals!$E:$E,MID($D$994,FIND("|",$D$994&amp;"|")+1,50),Actuals!$F:$F,"GBP")*$H$5)</f>
        <v/>
      </c>
      <c r="O995" s="18">
        <f>IF(OR($B$994="",8&gt;$C$4),"",SUMIFS(Actuals!$G:$G,Actuals!$B:$B,$C$3,Actuals!$C:$C,8,Actuals!$D:$D,$B$994,Actuals!$A:$A,LEFT($D$994,FIND("|",$D$994&amp;"|")-1),Actuals!$E:$E,MID($D$994,FIND("|",$D$994&amp;"|")+1,50),Actuals!$F:$F,"JPY")*$E$5+SUMIFS(Actuals!$G:$G,Actuals!$B:$B,$C$3,Actuals!$C:$C,8,Actuals!$D:$D,$B$994,Actuals!$A:$A,LEFT($D$994,FIND("|",$D$994&amp;"|")-1),Actuals!$E:$E,MID($D$994,FIND("|",$D$994&amp;"|")+1,50),Actuals!$F:$F,"USD")*$F$5+SUMIFS(Actuals!$G:$G,Actuals!$B:$B,$C$3,Actuals!$C:$C,8,Actuals!$D:$D,$B$994,Actuals!$A:$A,LEFT($D$994,FIND("|",$D$994&amp;"|")-1),Actuals!$E:$E,MID($D$994,FIND("|",$D$994&amp;"|")+1,50),Actuals!$F:$F,"EUR")*$G$5+SUMIFS(Actuals!$G:$G,Actuals!$B:$B,$C$3,Actuals!$C:$C,8,Actuals!$D:$D,$B$994,Actuals!$A:$A,LEFT($D$994,FIND("|",$D$994&amp;"|")-1),Actuals!$E:$E,MID($D$994,FIND("|",$D$994&amp;"|")+1,50),Actuals!$F:$F,"GBP")*$H$5)</f>
        <v/>
      </c>
      <c r="P995" s="18">
        <f>IF(OR($B$994="",9&gt;$C$4),"",SUMIFS(Actuals!$G:$G,Actuals!$B:$B,$C$3,Actuals!$C:$C,9,Actuals!$D:$D,$B$994,Actuals!$A:$A,LEFT($D$994,FIND("|",$D$994&amp;"|")-1),Actuals!$E:$E,MID($D$994,FIND("|",$D$994&amp;"|")+1,50),Actuals!$F:$F,"JPY")*$E$5+SUMIFS(Actuals!$G:$G,Actuals!$B:$B,$C$3,Actuals!$C:$C,9,Actuals!$D:$D,$B$994,Actuals!$A:$A,LEFT($D$994,FIND("|",$D$994&amp;"|")-1),Actuals!$E:$E,MID($D$994,FIND("|",$D$994&amp;"|")+1,50),Actuals!$F:$F,"USD")*$F$5+SUMIFS(Actuals!$G:$G,Actuals!$B:$B,$C$3,Actuals!$C:$C,9,Actuals!$D:$D,$B$994,Actuals!$A:$A,LEFT($D$994,FIND("|",$D$994&amp;"|")-1),Actuals!$E:$E,MID($D$994,FIND("|",$D$994&amp;"|")+1,50),Actuals!$F:$F,"EUR")*$G$5+SUMIFS(Actuals!$G:$G,Actuals!$B:$B,$C$3,Actuals!$C:$C,9,Actuals!$D:$D,$B$994,Actuals!$A:$A,LEFT($D$994,FIND("|",$D$994&amp;"|")-1),Actuals!$E:$E,MID($D$994,FIND("|",$D$994&amp;"|")+1,50),Actuals!$F:$F,"GBP")*$H$5)</f>
        <v/>
      </c>
      <c r="Q995" s="18">
        <f>IF(OR($B$994="",10&gt;$C$4),"",SUMIFS(Actuals!$G:$G,Actuals!$B:$B,$C$3,Actuals!$C:$C,10,Actuals!$D:$D,$B$994,Actuals!$A:$A,LEFT($D$994,FIND("|",$D$994&amp;"|")-1),Actuals!$E:$E,MID($D$994,FIND("|",$D$994&amp;"|")+1,50),Actuals!$F:$F,"JPY")*$E$5+SUMIFS(Actuals!$G:$G,Actuals!$B:$B,$C$3,Actuals!$C:$C,10,Actuals!$D:$D,$B$994,Actuals!$A:$A,LEFT($D$994,FIND("|",$D$994&amp;"|")-1),Actuals!$E:$E,MID($D$994,FIND("|",$D$994&amp;"|")+1,50),Actuals!$F:$F,"USD")*$F$5+SUMIFS(Actuals!$G:$G,Actuals!$B:$B,$C$3,Actuals!$C:$C,10,Actuals!$D:$D,$B$994,Actuals!$A:$A,LEFT($D$994,FIND("|",$D$994&amp;"|")-1),Actuals!$E:$E,MID($D$994,FIND("|",$D$994&amp;"|")+1,50),Actuals!$F:$F,"EUR")*$G$5+SUMIFS(Actuals!$G:$G,Actuals!$B:$B,$C$3,Actuals!$C:$C,10,Actuals!$D:$D,$B$994,Actuals!$A:$A,LEFT($D$994,FIND("|",$D$994&amp;"|")-1),Actuals!$E:$E,MID($D$994,FIND("|",$D$994&amp;"|")+1,50),Actuals!$F:$F,"GBP")*$H$5)</f>
        <v/>
      </c>
      <c r="R995" s="18">
        <f>IF(OR($B$994="",11&gt;$C$4),"",SUMIFS(Actuals!$G:$G,Actuals!$B:$B,$C$3,Actuals!$C:$C,11,Actuals!$D:$D,$B$994,Actuals!$A:$A,LEFT($D$994,FIND("|",$D$994&amp;"|")-1),Actuals!$E:$E,MID($D$994,FIND("|",$D$994&amp;"|")+1,50),Actuals!$F:$F,"JPY")*$E$5+SUMIFS(Actuals!$G:$G,Actuals!$B:$B,$C$3,Actuals!$C:$C,11,Actuals!$D:$D,$B$994,Actuals!$A:$A,LEFT($D$994,FIND("|",$D$994&amp;"|")-1),Actuals!$E:$E,MID($D$994,FIND("|",$D$994&amp;"|")+1,50),Actuals!$F:$F,"USD")*$F$5+SUMIFS(Actuals!$G:$G,Actuals!$B:$B,$C$3,Actuals!$C:$C,11,Actuals!$D:$D,$B$994,Actuals!$A:$A,LEFT($D$994,FIND("|",$D$994&amp;"|")-1),Actuals!$E:$E,MID($D$994,FIND("|",$D$994&amp;"|")+1,50),Actuals!$F:$F,"EUR")*$G$5+SUMIFS(Actuals!$G:$G,Actuals!$B:$B,$C$3,Actuals!$C:$C,11,Actuals!$D:$D,$B$994,Actuals!$A:$A,LEFT($D$994,FIND("|",$D$994&amp;"|")-1),Actuals!$E:$E,MID($D$994,FIND("|",$D$994&amp;"|")+1,50),Actuals!$F:$F,"GBP")*$H$5)</f>
        <v/>
      </c>
      <c r="S995" s="18">
        <f>IF(OR($B$994="",12&gt;$C$4),"",SUMIFS(Actuals!$G:$G,Actuals!$B:$B,$C$3,Actuals!$C:$C,12,Actuals!$D:$D,$B$994,Actuals!$A:$A,LEFT($D$994,FIND("|",$D$994&amp;"|")-1),Actuals!$E:$E,MID($D$994,FIND("|",$D$994&amp;"|")+1,50),Actuals!$F:$F,"JPY")*$E$5+SUMIFS(Actuals!$G:$G,Actuals!$B:$B,$C$3,Actuals!$C:$C,12,Actuals!$D:$D,$B$994,Actuals!$A:$A,LEFT($D$994,FIND("|",$D$994&amp;"|")-1),Actuals!$E:$E,MID($D$994,FIND("|",$D$994&amp;"|")+1,50),Actuals!$F:$F,"USD")*$F$5+SUMIFS(Actuals!$G:$G,Actuals!$B:$B,$C$3,Actuals!$C:$C,12,Actuals!$D:$D,$B$994,Actuals!$A:$A,LEFT($D$994,FIND("|",$D$994&amp;"|")-1),Actuals!$E:$E,MID($D$994,FIND("|",$D$994&amp;"|")+1,50),Actuals!$F:$F,"EUR")*$G$5+SUMIFS(Actuals!$G:$G,Actuals!$B:$B,$C$3,Actuals!$C:$C,12,Actuals!$D:$D,$B$994,Actuals!$A:$A,LEFT($D$994,FIND("|",$D$994&amp;"|")-1),Actuals!$E:$E,MID($D$994,FIND("|",$D$994&amp;"|")+1,50),Actuals!$F:$F,"GBP")*$H$5)</f>
        <v/>
      </c>
      <c r="T995" s="18">
        <f>IF($B$994="","",SUMIF($H$7:$S$7,"&lt;="&amp;$C$4,$H995:$S995))</f>
        <v/>
      </c>
      <c r="U995" s="18" t="n"/>
      <c r="V995" s="18" t="n"/>
      <c r="X995" s="22">
        <f>IF($B995="","",IFERROR(INDEX(Cost_Centers!$E:$E,MATCH($B995,Cost_Centers!$A:$A,0)),"(unknown)"))</f>
        <v/>
      </c>
      <c r="Y995" s="22">
        <f>IF($B995="","",IFERROR(INDEX(Cost_Centers!$D:$D,MATCH($B995,Cost_Centers!$A:$A,0)),"(unknown)"))</f>
        <v/>
      </c>
      <c r="Z995" s="22">
        <f>IF(OR($B995="",$G995&lt;&gt;"Variance vs Budget"),"",ABS(N($V995))+ROW()/1000000000)</f>
        <v/>
      </c>
    </row>
    <row r="996">
      <c r="A996" s="13">
        <f>IF(A$994="","",A$994)</f>
        <v/>
      </c>
      <c r="B996" s="13">
        <f>IF(B$994="","",B$994)</f>
        <v/>
      </c>
      <c r="C996" s="13">
        <f>IF(C$994="","",C$994)</f>
        <v/>
      </c>
      <c r="D996" s="13">
        <f>IF(D$994="","",D$994)</f>
        <v/>
      </c>
      <c r="E996" s="13">
        <f>IF(E$994="","",E$994)</f>
        <v/>
      </c>
      <c r="F996" s="13">
        <f>IF(F$994="","",F$994)</f>
        <v/>
      </c>
      <c r="G996" s="6" t="inlineStr">
        <is>
          <t>Variance vs Budget</t>
        </is>
      </c>
      <c r="H996" s="33">
        <f>IF(OR($B$994="",1&gt;$C$4),"",N(H995)-H994)</f>
        <v/>
      </c>
      <c r="I996" s="33">
        <f>IF(OR($B$994="",2&gt;$C$4),"",N(I995)-I994)</f>
        <v/>
      </c>
      <c r="J996" s="33">
        <f>IF(OR($B$994="",3&gt;$C$4),"",N(J995)-J994)</f>
        <v/>
      </c>
      <c r="K996" s="33">
        <f>IF(OR($B$994="",4&gt;$C$4),"",N(K995)-K994)</f>
        <v/>
      </c>
      <c r="L996" s="33">
        <f>IF(OR($B$994="",5&gt;$C$4),"",N(L995)-L994)</f>
        <v/>
      </c>
      <c r="M996" s="33">
        <f>IF(OR($B$994="",6&gt;$C$4),"",N(M995)-M994)</f>
        <v/>
      </c>
      <c r="N996" s="33">
        <f>IF(OR($B$994="",7&gt;$C$4),"",N(N995)-N994)</f>
        <v/>
      </c>
      <c r="O996" s="33">
        <f>IF(OR($B$994="",8&gt;$C$4),"",N(O995)-O994)</f>
        <v/>
      </c>
      <c r="P996" s="33">
        <f>IF(OR($B$994="",9&gt;$C$4),"",N(P995)-P994)</f>
        <v/>
      </c>
      <c r="Q996" s="33">
        <f>IF(OR($B$994="",10&gt;$C$4),"",N(Q995)-Q994)</f>
        <v/>
      </c>
      <c r="R996" s="33">
        <f>IF(OR($B$994="",11&gt;$C$4),"",N(R995)-R994)</f>
        <v/>
      </c>
      <c r="S996" s="33">
        <f>IF(OR($B$994="",12&gt;$C$4),"",N(S995)-S994)</f>
        <v/>
      </c>
      <c r="T996" s="33">
        <f>IF($B$994="","",T995-T994)</f>
        <v/>
      </c>
      <c r="U996" s="33">
        <f>IF($B$994="","",U998-U994)</f>
        <v/>
      </c>
      <c r="V996" s="33">
        <f>IF($B$994="","",V998-V994)</f>
        <v/>
      </c>
      <c r="X996" s="22">
        <f>IF($B996="","",IFERROR(INDEX(Cost_Centers!$E:$E,MATCH($B996,Cost_Centers!$A:$A,0)),"(unknown)"))</f>
        <v/>
      </c>
      <c r="Y996" s="22">
        <f>IF($B996="","",IFERROR(INDEX(Cost_Centers!$D:$D,MATCH($B996,Cost_Centers!$A:$A,0)),"(unknown)"))</f>
        <v/>
      </c>
      <c r="Z996" s="22">
        <f>IF(OR($B996="",$G996&lt;&gt;"Variance vs Budget"),"",ABS(N($V996))+ROW()/1000000000)</f>
        <v/>
      </c>
    </row>
    <row r="997">
      <c r="A997" s="13">
        <f>IF(A$994="","",A$994)</f>
        <v/>
      </c>
      <c r="B997" s="13">
        <f>IF(B$994="","",B$994)</f>
        <v/>
      </c>
      <c r="C997" s="13">
        <f>IF(C$994="","",C$994)</f>
        <v/>
      </c>
      <c r="D997" s="13">
        <f>IF(D$994="","",D$994)</f>
        <v/>
      </c>
      <c r="E997" s="13">
        <f>IF(E$994="","",E$994)</f>
        <v/>
      </c>
      <c r="F997" s="13">
        <f>IF(F$994="","",F$994)</f>
        <v/>
      </c>
      <c r="G997" s="7" t="inlineStr">
        <is>
          <t>Forecast (input)</t>
        </is>
      </c>
      <c r="H997" s="34" t="n"/>
      <c r="I997" s="34" t="n"/>
      <c r="J997" s="34" t="n"/>
      <c r="K997" s="34" t="n"/>
      <c r="L997" s="34" t="n"/>
      <c r="M997" s="34" t="n"/>
      <c r="N997" s="34" t="n"/>
      <c r="O997" s="34" t="n"/>
      <c r="P997" s="34" t="n"/>
      <c r="Q997" s="34" t="n"/>
      <c r="R997" s="34" t="n"/>
      <c r="S997" s="34" t="n"/>
      <c r="T997" s="18" t="n"/>
      <c r="U997" s="18" t="n"/>
      <c r="V997" s="18" t="n"/>
      <c r="X997" s="22">
        <f>IF($B997="","",IFERROR(INDEX(Cost_Centers!$E:$E,MATCH($B997,Cost_Centers!$A:$A,0)),"(unknown)"))</f>
        <v/>
      </c>
      <c r="Y997" s="22">
        <f>IF($B997="","",IFERROR(INDEX(Cost_Centers!$D:$D,MATCH($B997,Cost_Centers!$A:$A,0)),"(unknown)"))</f>
        <v/>
      </c>
      <c r="Z997" s="22">
        <f>IF(OR($B997="",$G997&lt;&gt;"Variance vs Budget"),"",ABS(N($V997))+ROW()/1000000000)</f>
        <v/>
      </c>
    </row>
    <row r="998">
      <c r="A998" s="13">
        <f>IF(A$994="","",A$994)</f>
        <v/>
      </c>
      <c r="B998" s="13">
        <f>IF(B$994="","",B$994)</f>
        <v/>
      </c>
      <c r="C998" s="13">
        <f>IF(C$994="","",C$994)</f>
        <v/>
      </c>
      <c r="D998" s="13">
        <f>IF(D$994="","",D$994)</f>
        <v/>
      </c>
      <c r="E998" s="13">
        <f>IF(E$994="","",E$994)</f>
        <v/>
      </c>
      <c r="F998" s="13">
        <f>IF(F$994="","",F$994)</f>
        <v/>
      </c>
      <c r="G998" s="35" t="inlineStr">
        <is>
          <t>Actual + Forecast</t>
        </is>
      </c>
      <c r="H998" s="18">
        <f>IF($B$994="","",IF(1&lt;=$C$4,N(H995),IF(H997="",H994,H997)))</f>
        <v/>
      </c>
      <c r="I998" s="18">
        <f>IF($B$994="","",IF(2&lt;=$C$4,N(I995),IF(I997="",I994,I997)))</f>
        <v/>
      </c>
      <c r="J998" s="18">
        <f>IF($B$994="","",IF(3&lt;=$C$4,N(J995),IF(J997="",J994,J997)))</f>
        <v/>
      </c>
      <c r="K998" s="18">
        <f>IF($B$994="","",IF(4&lt;=$C$4,N(K995),IF(K997="",K994,K997)))</f>
        <v/>
      </c>
      <c r="L998" s="18">
        <f>IF($B$994="","",IF(5&lt;=$C$4,N(L995),IF(L997="",L994,L997)))</f>
        <v/>
      </c>
      <c r="M998" s="18">
        <f>IF($B$994="","",IF(6&lt;=$C$4,N(M995),IF(M997="",M994,M997)))</f>
        <v/>
      </c>
      <c r="N998" s="18">
        <f>IF($B$994="","",IF(7&lt;=$C$4,N(N995),IF(N997="",N994,N997)))</f>
        <v/>
      </c>
      <c r="O998" s="18">
        <f>IF($B$994="","",IF(8&lt;=$C$4,N(O995),IF(O997="",O994,O997)))</f>
        <v/>
      </c>
      <c r="P998" s="18">
        <f>IF($B$994="","",IF(9&lt;=$C$4,N(P995),IF(P997="",P994,P997)))</f>
        <v/>
      </c>
      <c r="Q998" s="18">
        <f>IF($B$994="","",IF(10&lt;=$C$4,N(Q995),IF(Q997="",Q994,Q997)))</f>
        <v/>
      </c>
      <c r="R998" s="18">
        <f>IF($B$994="","",IF(11&lt;=$C$4,N(R995),IF(R997="",R994,R997)))</f>
        <v/>
      </c>
      <c r="S998" s="18">
        <f>IF($B$994="","",IF(12&lt;=$C$4,N(S995),IF(S997="",S994,S997)))</f>
        <v/>
      </c>
      <c r="T998" s="18">
        <f>IF($B$994="","",SUMIF($H$7:$S$7,"&lt;="&amp;$C$4,$H998:$S998))</f>
        <v/>
      </c>
      <c r="U998" s="18">
        <f>IF($B$994="","",SUMIF($H$7:$S$7,"&gt;"&amp;$C$4,$H998:$S998))</f>
        <v/>
      </c>
      <c r="V998" s="18">
        <f>IF($B$994="","",SUM($H998:$S998))</f>
        <v/>
      </c>
      <c r="X998" s="22">
        <f>IF($B998="","",IFERROR(INDEX(Cost_Centers!$E:$E,MATCH($B998,Cost_Centers!$A:$A,0)),"(unknown)"))</f>
        <v/>
      </c>
      <c r="Y998" s="22">
        <f>IF($B998="","",IFERROR(INDEX(Cost_Centers!$D:$D,MATCH($B998,Cost_Centers!$A:$A,0)),"(unknown)"))</f>
        <v/>
      </c>
      <c r="Z998" s="22">
        <f>IF(OR($B998="",$G998&lt;&gt;"Variance vs Budget"),"",ABS(N($V998))+ROW()/1000000000)</f>
        <v/>
      </c>
    </row>
    <row r="999">
      <c r="A999" s="13">
        <f>IF(A$994="","",A$994)</f>
        <v/>
      </c>
      <c r="B999" s="13">
        <f>IF(B$994="","",B$994)</f>
        <v/>
      </c>
      <c r="C999" s="13">
        <f>IF(C$994="","",C$994)</f>
        <v/>
      </c>
      <c r="D999" s="13">
        <f>IF(D$994="","",D$994)</f>
        <v/>
      </c>
      <c r="E999" s="13">
        <f>IF(E$994="","",E$994)</f>
        <v/>
      </c>
      <c r="F999" s="13">
        <f>IF(F$994="","",F$994)</f>
        <v/>
      </c>
      <c r="G999" s="36" t="inlineStr">
        <is>
          <t>Prior Month Forecast</t>
        </is>
      </c>
      <c r="H999" s="37">
        <f>IF($B$994="","",IF(COUNTIFS(Prior_Forecast!$A:$A,$B$994,Prior_Forecast!$B:$B,$D$994)&gt;0,SUMIFS(Prior_Forecast!$C:$C,Prior_Forecast!$A:$A,$B$994,Prior_Forecast!$B:$B,$D$994),""))</f>
        <v/>
      </c>
      <c r="I999" s="37">
        <f>IF($B$994="","",IF(COUNTIFS(Prior_Forecast!$A:$A,$B$994,Prior_Forecast!$B:$B,$D$994)&gt;0,SUMIFS(Prior_Forecast!$D:$D,Prior_Forecast!$A:$A,$B$994,Prior_Forecast!$B:$B,$D$994),""))</f>
        <v/>
      </c>
      <c r="J999" s="37">
        <f>IF($B$994="","",IF(COUNTIFS(Prior_Forecast!$A:$A,$B$994,Prior_Forecast!$B:$B,$D$994)&gt;0,SUMIFS(Prior_Forecast!$E:$E,Prior_Forecast!$A:$A,$B$994,Prior_Forecast!$B:$B,$D$994),""))</f>
        <v/>
      </c>
      <c r="K999" s="37">
        <f>IF($B$994="","",IF(COUNTIFS(Prior_Forecast!$A:$A,$B$994,Prior_Forecast!$B:$B,$D$994)&gt;0,SUMIFS(Prior_Forecast!$F:$F,Prior_Forecast!$A:$A,$B$994,Prior_Forecast!$B:$B,$D$994),""))</f>
        <v/>
      </c>
      <c r="L999" s="37">
        <f>IF($B$994="","",IF(COUNTIFS(Prior_Forecast!$A:$A,$B$994,Prior_Forecast!$B:$B,$D$994)&gt;0,SUMIFS(Prior_Forecast!$G:$G,Prior_Forecast!$A:$A,$B$994,Prior_Forecast!$B:$B,$D$994),""))</f>
        <v/>
      </c>
      <c r="M999" s="37">
        <f>IF($B$994="","",IF(COUNTIFS(Prior_Forecast!$A:$A,$B$994,Prior_Forecast!$B:$B,$D$994)&gt;0,SUMIFS(Prior_Forecast!$H:$H,Prior_Forecast!$A:$A,$B$994,Prior_Forecast!$B:$B,$D$994),""))</f>
        <v/>
      </c>
      <c r="N999" s="37">
        <f>IF($B$994="","",IF(COUNTIFS(Prior_Forecast!$A:$A,$B$994,Prior_Forecast!$B:$B,$D$994)&gt;0,SUMIFS(Prior_Forecast!$I:$I,Prior_Forecast!$A:$A,$B$994,Prior_Forecast!$B:$B,$D$994),""))</f>
        <v/>
      </c>
      <c r="O999" s="37">
        <f>IF($B$994="","",IF(COUNTIFS(Prior_Forecast!$A:$A,$B$994,Prior_Forecast!$B:$B,$D$994)&gt;0,SUMIFS(Prior_Forecast!$J:$J,Prior_Forecast!$A:$A,$B$994,Prior_Forecast!$B:$B,$D$994),""))</f>
        <v/>
      </c>
      <c r="P999" s="37">
        <f>IF($B$994="","",IF(COUNTIFS(Prior_Forecast!$A:$A,$B$994,Prior_Forecast!$B:$B,$D$994)&gt;0,SUMIFS(Prior_Forecast!$K:$K,Prior_Forecast!$A:$A,$B$994,Prior_Forecast!$B:$B,$D$994),""))</f>
        <v/>
      </c>
      <c r="Q999" s="37">
        <f>IF($B$994="","",IF(COUNTIFS(Prior_Forecast!$A:$A,$B$994,Prior_Forecast!$B:$B,$D$994)&gt;0,SUMIFS(Prior_Forecast!$L:$L,Prior_Forecast!$A:$A,$B$994,Prior_Forecast!$B:$B,$D$994),""))</f>
        <v/>
      </c>
      <c r="R999" s="37">
        <f>IF($B$994="","",IF(COUNTIFS(Prior_Forecast!$A:$A,$B$994,Prior_Forecast!$B:$B,$D$994)&gt;0,SUMIFS(Prior_Forecast!$M:$M,Prior_Forecast!$A:$A,$B$994,Prior_Forecast!$B:$B,$D$994),""))</f>
        <v/>
      </c>
      <c r="S999" s="37">
        <f>IF($B$994="","",IF(COUNTIFS(Prior_Forecast!$A:$A,$B$994,Prior_Forecast!$B:$B,$D$994)&gt;0,SUMIFS(Prior_Forecast!$N:$N,Prior_Forecast!$A:$A,$B$994,Prior_Forecast!$B:$B,$D$994),""))</f>
        <v/>
      </c>
      <c r="T999" s="37">
        <f>IF($B$994="","",IF(COUNTIFS(Prior_Forecast!$A:$A,$B$994,Prior_Forecast!$B:$B,$D$994)&gt;0,SUMIFS(Prior_Forecast!$O:$O,Prior_Forecast!$A:$A,$B$994,Prior_Forecast!$B:$B,$D$994),""))</f>
        <v/>
      </c>
      <c r="U999" s="37">
        <f>IF($B$994="","",IF(COUNTIFS(Prior_Forecast!$A:$A,$B$994,Prior_Forecast!$B:$B,$D$994)&gt;0,SUMIFS(Prior_Forecast!$P:$P,Prior_Forecast!$A:$A,$B$994,Prior_Forecast!$B:$B,$D$994),""))</f>
        <v/>
      </c>
      <c r="V999" s="37">
        <f>IF($B$994="","",IF(COUNTIFS(Prior_Forecast!$A:$A,$B$994,Prior_Forecast!$B:$B,$D$994)&gt;0,SUMIFS(Prior_Forecast!$Q:$Q,Prior_Forecast!$A:$A,$B$994,Prior_Forecast!$B:$B,$D$994),""))</f>
        <v/>
      </c>
      <c r="X999" s="22">
        <f>IF($B999="","",IFERROR(INDEX(Cost_Centers!$E:$E,MATCH($B999,Cost_Centers!$A:$A,0)),"(unknown)"))</f>
        <v/>
      </c>
      <c r="Y999" s="22">
        <f>IF($B999="","",IFERROR(INDEX(Cost_Centers!$D:$D,MATCH($B999,Cost_Centers!$A:$A,0)),"(unknown)"))</f>
        <v/>
      </c>
      <c r="Z999" s="22">
        <f>IF(OR($B999="",$G999&lt;&gt;"Variance vs Budget"),"",ABS(N($V999))+ROW()/1000000000)</f>
        <v/>
      </c>
    </row>
    <row r="1000">
      <c r="A1000" s="13">
        <f>IF(A$994="","",A$994)</f>
        <v/>
      </c>
      <c r="B1000" s="13">
        <f>IF(B$994="","",B$994)</f>
        <v/>
      </c>
      <c r="C1000" s="13">
        <f>IF(C$994="","",C$994)</f>
        <v/>
      </c>
      <c r="D1000" s="13">
        <f>IF(D$994="","",D$994)</f>
        <v/>
      </c>
      <c r="E1000" s="13">
        <f>IF(E$994="","",E$994)</f>
        <v/>
      </c>
      <c r="F1000" s="13">
        <f>IF(F$994="","",F$994)</f>
        <v/>
      </c>
      <c r="G1000" s="6" t="inlineStr">
        <is>
          <t>Variance vs Prior Month</t>
        </is>
      </c>
      <c r="H1000" s="33">
        <f>IF(OR($B$994="",H999=""),"",H998-H999)</f>
        <v/>
      </c>
      <c r="I1000" s="33">
        <f>IF(OR($B$994="",I999=""),"",I998-I999)</f>
        <v/>
      </c>
      <c r="J1000" s="33">
        <f>IF(OR($B$994="",J999=""),"",J998-J999)</f>
        <v/>
      </c>
      <c r="K1000" s="33">
        <f>IF(OR($B$994="",K999=""),"",K998-K999)</f>
        <v/>
      </c>
      <c r="L1000" s="33">
        <f>IF(OR($B$994="",L999=""),"",L998-L999)</f>
        <v/>
      </c>
      <c r="M1000" s="33">
        <f>IF(OR($B$994="",M999=""),"",M998-M999)</f>
        <v/>
      </c>
      <c r="N1000" s="33">
        <f>IF(OR($B$994="",N999=""),"",N998-N999)</f>
        <v/>
      </c>
      <c r="O1000" s="33">
        <f>IF(OR($B$994="",O999=""),"",O998-O999)</f>
        <v/>
      </c>
      <c r="P1000" s="33">
        <f>IF(OR($B$994="",P999=""),"",P998-P999)</f>
        <v/>
      </c>
      <c r="Q1000" s="33">
        <f>IF(OR($B$994="",Q999=""),"",Q998-Q999)</f>
        <v/>
      </c>
      <c r="R1000" s="33">
        <f>IF(OR($B$994="",R999=""),"",R998-R999)</f>
        <v/>
      </c>
      <c r="S1000" s="33">
        <f>IF(OR($B$994="",S999=""),"",S998-S999)</f>
        <v/>
      </c>
      <c r="T1000" s="33">
        <f>IF(OR($B$994="",T999=""),"",T998-T999)</f>
        <v/>
      </c>
      <c r="U1000" s="33">
        <f>IF(OR($B$994="",U999=""),"",U998-U999)</f>
        <v/>
      </c>
      <c r="V1000" s="33">
        <f>IF(OR($B$994="",V999=""),"",V998-V999)</f>
        <v/>
      </c>
      <c r="X1000" s="22">
        <f>IF($B1000="","",IFERROR(INDEX(Cost_Centers!$E:$E,MATCH($B1000,Cost_Centers!$A:$A,0)),"(unknown)"))</f>
        <v/>
      </c>
      <c r="Y1000" s="22">
        <f>IF($B1000="","",IFERROR(INDEX(Cost_Centers!$D:$D,MATCH($B1000,Cost_Centers!$A:$A,0)),"(unknown)"))</f>
        <v/>
      </c>
      <c r="Z1000" s="22">
        <f>IF(OR($B1000="",$G1000&lt;&gt;"Variance vs Budget"),"",ABS(N($V1000))+ROW()/1000000000)</f>
        <v/>
      </c>
    </row>
    <row r="1001" ht="45" customHeight="1">
      <c r="A1001" s="13">
        <f>IF(A$994="","",A$994)</f>
        <v/>
      </c>
      <c r="B1001" s="13">
        <f>IF(B$994="","",B$994)</f>
        <v/>
      </c>
      <c r="C1001" s="13">
        <f>IF(C$994="","",C$994)</f>
        <v/>
      </c>
      <c r="D1001" s="13">
        <f>IF(D$994="","",D$994)</f>
        <v/>
      </c>
      <c r="E1001" s="13">
        <f>IF(E$994="","",E$994)</f>
        <v/>
      </c>
      <c r="F1001" s="13">
        <f>IF(F$994="","",F$994)</f>
        <v/>
      </c>
      <c r="G1001" s="7" t="inlineStr">
        <is>
          <t>Rationale</t>
        </is>
      </c>
      <c r="H1001" s="38" t="n"/>
      <c r="I1001" s="38" t="n"/>
      <c r="J1001" s="38" t="n"/>
      <c r="K1001" s="38" t="n"/>
      <c r="L1001" s="38" t="n"/>
      <c r="M1001" s="38" t="n"/>
      <c r="N1001" s="38" t="n"/>
      <c r="O1001" s="38" t="n"/>
      <c r="P1001" s="38" t="n"/>
      <c r="Q1001" s="38" t="n"/>
      <c r="R1001" s="38" t="n"/>
      <c r="S1001" s="38" t="n"/>
      <c r="T1001" s="38" t="n"/>
      <c r="U1001" s="38" t="n"/>
      <c r="V1001" s="7" t="n"/>
      <c r="X1001" s="22">
        <f>IF($B1001="","",IFERROR(INDEX(Cost_Centers!$E:$E,MATCH($B1001,Cost_Centers!$A:$A,0)),"(unknown)"))</f>
        <v/>
      </c>
      <c r="Y1001" s="22">
        <f>IF($B1001="","",IFERROR(INDEX(Cost_Centers!$D:$D,MATCH($B1001,Cost_Centers!$A:$A,0)),"(unknown)"))</f>
        <v/>
      </c>
      <c r="Z1001" s="22">
        <f>IF(OR($B1001="",$G1001&lt;&gt;"Variance vs Budget"),"",ABS(N($V1001))+ROW()/1000000000)</f>
        <v/>
      </c>
    </row>
    <row r="1002">
      <c r="A1002" s="30">
        <f>IF($D$1002="","",LEFT($D$1002,FIND("|",$D$1002&amp;"|")-1))</f>
        <v/>
      </c>
      <c r="B1002" s="31" t="n"/>
      <c r="C1002" s="30">
        <f>IF($B$1002="","",IFERROR(INDEX(Cost_Centers!$B:$B,MATCH($B$1002,Cost_Centers!$A:$A,0)),"(not in master)"))</f>
        <v/>
      </c>
      <c r="D1002" s="31" t="n"/>
      <c r="E1002" s="30">
        <f>IF($D$1002="","",IFERROR(INDEX(Accounts!$D:$D,MATCH($D$1002,Accounts!$A:$A,0)),"(not in master)"))</f>
        <v/>
      </c>
      <c r="F1002" s="31" t="n"/>
      <c r="G1002" s="30" t="inlineStr">
        <is>
          <t>Budget</t>
        </is>
      </c>
      <c r="H1002" s="32">
        <f>IF($B$1002="","",SUMIFS(Opex_Budget!$O:$O,Opex_Budget!$A:$A,$C$3,Opex_Budget!$E:$E,$B$1002,Opex_Budget!$F:$F,$D$1002,Opex_Budget!$N:$N,"JPY")*$E$5+SUMIFS(Opex_Budget!$O:$O,Opex_Budget!$A:$A,$C$3,Opex_Budget!$E:$E,$B$1002,Opex_Budget!$F:$F,$D$1002,Opex_Budget!$N:$N,"USD")*$F$5+SUMIFS(Opex_Budget!$O:$O,Opex_Budget!$A:$A,$C$3,Opex_Budget!$E:$E,$B$1002,Opex_Budget!$F:$F,$D$1002,Opex_Budget!$N:$N,"EUR")*$G$5+SUMIFS(Opex_Budget!$O:$O,Opex_Budget!$A:$A,$C$3,Opex_Budget!$E:$E,$B$1002,Opex_Budget!$F:$F,$D$1002,Opex_Budget!$N:$N,"GBP")*$H$5)</f>
        <v/>
      </c>
      <c r="I1002" s="32">
        <f>IF($B$1002="","",SUMIFS(Opex_Budget!$P:$P,Opex_Budget!$A:$A,$C$3,Opex_Budget!$E:$E,$B$1002,Opex_Budget!$F:$F,$D$1002,Opex_Budget!$N:$N,"JPY")*$E$5+SUMIFS(Opex_Budget!$P:$P,Opex_Budget!$A:$A,$C$3,Opex_Budget!$E:$E,$B$1002,Opex_Budget!$F:$F,$D$1002,Opex_Budget!$N:$N,"USD")*$F$5+SUMIFS(Opex_Budget!$P:$P,Opex_Budget!$A:$A,$C$3,Opex_Budget!$E:$E,$B$1002,Opex_Budget!$F:$F,$D$1002,Opex_Budget!$N:$N,"EUR")*$G$5+SUMIFS(Opex_Budget!$P:$P,Opex_Budget!$A:$A,$C$3,Opex_Budget!$E:$E,$B$1002,Opex_Budget!$F:$F,$D$1002,Opex_Budget!$N:$N,"GBP")*$H$5)</f>
        <v/>
      </c>
      <c r="J1002" s="32">
        <f>IF($B$1002="","",SUMIFS(Opex_Budget!$Q:$Q,Opex_Budget!$A:$A,$C$3,Opex_Budget!$E:$E,$B$1002,Opex_Budget!$F:$F,$D$1002,Opex_Budget!$N:$N,"JPY")*$E$5+SUMIFS(Opex_Budget!$Q:$Q,Opex_Budget!$A:$A,$C$3,Opex_Budget!$E:$E,$B$1002,Opex_Budget!$F:$F,$D$1002,Opex_Budget!$N:$N,"USD")*$F$5+SUMIFS(Opex_Budget!$Q:$Q,Opex_Budget!$A:$A,$C$3,Opex_Budget!$E:$E,$B$1002,Opex_Budget!$F:$F,$D$1002,Opex_Budget!$N:$N,"EUR")*$G$5+SUMIFS(Opex_Budget!$Q:$Q,Opex_Budget!$A:$A,$C$3,Opex_Budget!$E:$E,$B$1002,Opex_Budget!$F:$F,$D$1002,Opex_Budget!$N:$N,"GBP")*$H$5)</f>
        <v/>
      </c>
      <c r="K1002" s="32">
        <f>IF($B$1002="","",SUMIFS(Opex_Budget!$R:$R,Opex_Budget!$A:$A,$C$3,Opex_Budget!$E:$E,$B$1002,Opex_Budget!$F:$F,$D$1002,Opex_Budget!$N:$N,"JPY")*$E$5+SUMIFS(Opex_Budget!$R:$R,Opex_Budget!$A:$A,$C$3,Opex_Budget!$E:$E,$B$1002,Opex_Budget!$F:$F,$D$1002,Opex_Budget!$N:$N,"USD")*$F$5+SUMIFS(Opex_Budget!$R:$R,Opex_Budget!$A:$A,$C$3,Opex_Budget!$E:$E,$B$1002,Opex_Budget!$F:$F,$D$1002,Opex_Budget!$N:$N,"EUR")*$G$5+SUMIFS(Opex_Budget!$R:$R,Opex_Budget!$A:$A,$C$3,Opex_Budget!$E:$E,$B$1002,Opex_Budget!$F:$F,$D$1002,Opex_Budget!$N:$N,"GBP")*$H$5)</f>
        <v/>
      </c>
      <c r="L1002" s="32">
        <f>IF($B$1002="","",SUMIFS(Opex_Budget!$S:$S,Opex_Budget!$A:$A,$C$3,Opex_Budget!$E:$E,$B$1002,Opex_Budget!$F:$F,$D$1002,Opex_Budget!$N:$N,"JPY")*$E$5+SUMIFS(Opex_Budget!$S:$S,Opex_Budget!$A:$A,$C$3,Opex_Budget!$E:$E,$B$1002,Opex_Budget!$F:$F,$D$1002,Opex_Budget!$N:$N,"USD")*$F$5+SUMIFS(Opex_Budget!$S:$S,Opex_Budget!$A:$A,$C$3,Opex_Budget!$E:$E,$B$1002,Opex_Budget!$F:$F,$D$1002,Opex_Budget!$N:$N,"EUR")*$G$5+SUMIFS(Opex_Budget!$S:$S,Opex_Budget!$A:$A,$C$3,Opex_Budget!$E:$E,$B$1002,Opex_Budget!$F:$F,$D$1002,Opex_Budget!$N:$N,"GBP")*$H$5)</f>
        <v/>
      </c>
      <c r="M1002" s="32">
        <f>IF($B$1002="","",SUMIFS(Opex_Budget!$T:$T,Opex_Budget!$A:$A,$C$3,Opex_Budget!$E:$E,$B$1002,Opex_Budget!$F:$F,$D$1002,Opex_Budget!$N:$N,"JPY")*$E$5+SUMIFS(Opex_Budget!$T:$T,Opex_Budget!$A:$A,$C$3,Opex_Budget!$E:$E,$B$1002,Opex_Budget!$F:$F,$D$1002,Opex_Budget!$N:$N,"USD")*$F$5+SUMIFS(Opex_Budget!$T:$T,Opex_Budget!$A:$A,$C$3,Opex_Budget!$E:$E,$B$1002,Opex_Budget!$F:$F,$D$1002,Opex_Budget!$N:$N,"EUR")*$G$5+SUMIFS(Opex_Budget!$T:$T,Opex_Budget!$A:$A,$C$3,Opex_Budget!$E:$E,$B$1002,Opex_Budget!$F:$F,$D$1002,Opex_Budget!$N:$N,"GBP")*$H$5)</f>
        <v/>
      </c>
      <c r="N1002" s="32">
        <f>IF($B$1002="","",SUMIFS(Opex_Budget!$U:$U,Opex_Budget!$A:$A,$C$3,Opex_Budget!$E:$E,$B$1002,Opex_Budget!$F:$F,$D$1002,Opex_Budget!$N:$N,"JPY")*$E$5+SUMIFS(Opex_Budget!$U:$U,Opex_Budget!$A:$A,$C$3,Opex_Budget!$E:$E,$B$1002,Opex_Budget!$F:$F,$D$1002,Opex_Budget!$N:$N,"USD")*$F$5+SUMIFS(Opex_Budget!$U:$U,Opex_Budget!$A:$A,$C$3,Opex_Budget!$E:$E,$B$1002,Opex_Budget!$F:$F,$D$1002,Opex_Budget!$N:$N,"EUR")*$G$5+SUMIFS(Opex_Budget!$U:$U,Opex_Budget!$A:$A,$C$3,Opex_Budget!$E:$E,$B$1002,Opex_Budget!$F:$F,$D$1002,Opex_Budget!$N:$N,"GBP")*$H$5)</f>
        <v/>
      </c>
      <c r="O1002" s="32">
        <f>IF($B$1002="","",SUMIFS(Opex_Budget!$V:$V,Opex_Budget!$A:$A,$C$3,Opex_Budget!$E:$E,$B$1002,Opex_Budget!$F:$F,$D$1002,Opex_Budget!$N:$N,"JPY")*$E$5+SUMIFS(Opex_Budget!$V:$V,Opex_Budget!$A:$A,$C$3,Opex_Budget!$E:$E,$B$1002,Opex_Budget!$F:$F,$D$1002,Opex_Budget!$N:$N,"USD")*$F$5+SUMIFS(Opex_Budget!$V:$V,Opex_Budget!$A:$A,$C$3,Opex_Budget!$E:$E,$B$1002,Opex_Budget!$F:$F,$D$1002,Opex_Budget!$N:$N,"EUR")*$G$5+SUMIFS(Opex_Budget!$V:$V,Opex_Budget!$A:$A,$C$3,Opex_Budget!$E:$E,$B$1002,Opex_Budget!$F:$F,$D$1002,Opex_Budget!$N:$N,"GBP")*$H$5)</f>
        <v/>
      </c>
      <c r="P1002" s="32">
        <f>IF($B$1002="","",SUMIFS(Opex_Budget!$W:$W,Opex_Budget!$A:$A,$C$3,Opex_Budget!$E:$E,$B$1002,Opex_Budget!$F:$F,$D$1002,Opex_Budget!$N:$N,"JPY")*$E$5+SUMIFS(Opex_Budget!$W:$W,Opex_Budget!$A:$A,$C$3,Opex_Budget!$E:$E,$B$1002,Opex_Budget!$F:$F,$D$1002,Opex_Budget!$N:$N,"USD")*$F$5+SUMIFS(Opex_Budget!$W:$W,Opex_Budget!$A:$A,$C$3,Opex_Budget!$E:$E,$B$1002,Opex_Budget!$F:$F,$D$1002,Opex_Budget!$N:$N,"EUR")*$G$5+SUMIFS(Opex_Budget!$W:$W,Opex_Budget!$A:$A,$C$3,Opex_Budget!$E:$E,$B$1002,Opex_Budget!$F:$F,$D$1002,Opex_Budget!$N:$N,"GBP")*$H$5)</f>
        <v/>
      </c>
      <c r="Q1002" s="32">
        <f>IF($B$1002="","",SUMIFS(Opex_Budget!$X:$X,Opex_Budget!$A:$A,$C$3,Opex_Budget!$E:$E,$B$1002,Opex_Budget!$F:$F,$D$1002,Opex_Budget!$N:$N,"JPY")*$E$5+SUMIFS(Opex_Budget!$X:$X,Opex_Budget!$A:$A,$C$3,Opex_Budget!$E:$E,$B$1002,Opex_Budget!$F:$F,$D$1002,Opex_Budget!$N:$N,"USD")*$F$5+SUMIFS(Opex_Budget!$X:$X,Opex_Budget!$A:$A,$C$3,Opex_Budget!$E:$E,$B$1002,Opex_Budget!$F:$F,$D$1002,Opex_Budget!$N:$N,"EUR")*$G$5+SUMIFS(Opex_Budget!$X:$X,Opex_Budget!$A:$A,$C$3,Opex_Budget!$E:$E,$B$1002,Opex_Budget!$F:$F,$D$1002,Opex_Budget!$N:$N,"GBP")*$H$5)</f>
        <v/>
      </c>
      <c r="R1002" s="32">
        <f>IF($B$1002="","",SUMIFS(Opex_Budget!$Y:$Y,Opex_Budget!$A:$A,$C$3,Opex_Budget!$E:$E,$B$1002,Opex_Budget!$F:$F,$D$1002,Opex_Budget!$N:$N,"JPY")*$E$5+SUMIFS(Opex_Budget!$Y:$Y,Opex_Budget!$A:$A,$C$3,Opex_Budget!$E:$E,$B$1002,Opex_Budget!$F:$F,$D$1002,Opex_Budget!$N:$N,"USD")*$F$5+SUMIFS(Opex_Budget!$Y:$Y,Opex_Budget!$A:$A,$C$3,Opex_Budget!$E:$E,$B$1002,Opex_Budget!$F:$F,$D$1002,Opex_Budget!$N:$N,"EUR")*$G$5+SUMIFS(Opex_Budget!$Y:$Y,Opex_Budget!$A:$A,$C$3,Opex_Budget!$E:$E,$B$1002,Opex_Budget!$F:$F,$D$1002,Opex_Budget!$N:$N,"GBP")*$H$5)</f>
        <v/>
      </c>
      <c r="S1002" s="32">
        <f>IF($B$1002="","",SUMIFS(Opex_Budget!$Z:$Z,Opex_Budget!$A:$A,$C$3,Opex_Budget!$E:$E,$B$1002,Opex_Budget!$F:$F,$D$1002,Opex_Budget!$N:$N,"JPY")*$E$5+SUMIFS(Opex_Budget!$Z:$Z,Opex_Budget!$A:$A,$C$3,Opex_Budget!$E:$E,$B$1002,Opex_Budget!$F:$F,$D$1002,Opex_Budget!$N:$N,"USD")*$F$5+SUMIFS(Opex_Budget!$Z:$Z,Opex_Budget!$A:$A,$C$3,Opex_Budget!$E:$E,$B$1002,Opex_Budget!$F:$F,$D$1002,Opex_Budget!$N:$N,"EUR")*$G$5+SUMIFS(Opex_Budget!$Z:$Z,Opex_Budget!$A:$A,$C$3,Opex_Budget!$E:$E,$B$1002,Opex_Budget!$F:$F,$D$1002,Opex_Budget!$N:$N,"GBP")*$H$5)</f>
        <v/>
      </c>
      <c r="T1002" s="32">
        <f>IF($B$1002="","",SUMIF($H$7:$S$7,"&lt;="&amp;$C$4,$H1002:$S1002))</f>
        <v/>
      </c>
      <c r="U1002" s="32">
        <f>IF($B$1002="","",SUMIF($H$7:$S$7,"&gt;"&amp;$C$4,$H1002:$S1002))</f>
        <v/>
      </c>
      <c r="V1002" s="32">
        <f>IF($B$1002="","",SUM($H1002:$S1002))</f>
        <v/>
      </c>
      <c r="X1002" s="22">
        <f>IF($B1002="","",IFERROR(INDEX(Cost_Centers!$E:$E,MATCH($B1002,Cost_Centers!$A:$A,0)),"(unknown)"))</f>
        <v/>
      </c>
      <c r="Y1002" s="22">
        <f>IF($B1002="","",IFERROR(INDEX(Cost_Centers!$D:$D,MATCH($B1002,Cost_Centers!$A:$A,0)),"(unknown)"))</f>
        <v/>
      </c>
      <c r="Z1002" s="22">
        <f>IF(OR($B1002="",$G1002&lt;&gt;"Variance vs Budget"),"",ABS(N($V1002))+ROW()/1000000000)</f>
        <v/>
      </c>
    </row>
    <row r="1003">
      <c r="A1003" s="13">
        <f>IF(A$1002="","",A$1002)</f>
        <v/>
      </c>
      <c r="B1003" s="13">
        <f>IF(B$1002="","",B$1002)</f>
        <v/>
      </c>
      <c r="C1003" s="13">
        <f>IF(C$1002="","",C$1002)</f>
        <v/>
      </c>
      <c r="D1003" s="13">
        <f>IF(D$1002="","",D$1002)</f>
        <v/>
      </c>
      <c r="E1003" s="13">
        <f>IF(E$1002="","",E$1002)</f>
        <v/>
      </c>
      <c r="F1003" s="13">
        <f>IF(F$1002="","",F$1002)</f>
        <v/>
      </c>
      <c r="G1003" s="7" t="inlineStr">
        <is>
          <t>Actual</t>
        </is>
      </c>
      <c r="H1003" s="18">
        <f>IF(OR($B$1002="",1&gt;$C$4),"",SUMIFS(Actuals!$G:$G,Actuals!$B:$B,$C$3,Actuals!$C:$C,1,Actuals!$D:$D,$B$1002,Actuals!$A:$A,LEFT($D$1002,FIND("|",$D$1002&amp;"|")-1),Actuals!$E:$E,MID($D$1002,FIND("|",$D$1002&amp;"|")+1,50),Actuals!$F:$F,"JPY")*$E$5+SUMIFS(Actuals!$G:$G,Actuals!$B:$B,$C$3,Actuals!$C:$C,1,Actuals!$D:$D,$B$1002,Actuals!$A:$A,LEFT($D$1002,FIND("|",$D$1002&amp;"|")-1),Actuals!$E:$E,MID($D$1002,FIND("|",$D$1002&amp;"|")+1,50),Actuals!$F:$F,"USD")*$F$5+SUMIFS(Actuals!$G:$G,Actuals!$B:$B,$C$3,Actuals!$C:$C,1,Actuals!$D:$D,$B$1002,Actuals!$A:$A,LEFT($D$1002,FIND("|",$D$1002&amp;"|")-1),Actuals!$E:$E,MID($D$1002,FIND("|",$D$1002&amp;"|")+1,50),Actuals!$F:$F,"EUR")*$G$5+SUMIFS(Actuals!$G:$G,Actuals!$B:$B,$C$3,Actuals!$C:$C,1,Actuals!$D:$D,$B$1002,Actuals!$A:$A,LEFT($D$1002,FIND("|",$D$1002&amp;"|")-1),Actuals!$E:$E,MID($D$1002,FIND("|",$D$1002&amp;"|")+1,50),Actuals!$F:$F,"GBP")*$H$5)</f>
        <v/>
      </c>
      <c r="I1003" s="18">
        <f>IF(OR($B$1002="",2&gt;$C$4),"",SUMIFS(Actuals!$G:$G,Actuals!$B:$B,$C$3,Actuals!$C:$C,2,Actuals!$D:$D,$B$1002,Actuals!$A:$A,LEFT($D$1002,FIND("|",$D$1002&amp;"|")-1),Actuals!$E:$E,MID($D$1002,FIND("|",$D$1002&amp;"|")+1,50),Actuals!$F:$F,"JPY")*$E$5+SUMIFS(Actuals!$G:$G,Actuals!$B:$B,$C$3,Actuals!$C:$C,2,Actuals!$D:$D,$B$1002,Actuals!$A:$A,LEFT($D$1002,FIND("|",$D$1002&amp;"|")-1),Actuals!$E:$E,MID($D$1002,FIND("|",$D$1002&amp;"|")+1,50),Actuals!$F:$F,"USD")*$F$5+SUMIFS(Actuals!$G:$G,Actuals!$B:$B,$C$3,Actuals!$C:$C,2,Actuals!$D:$D,$B$1002,Actuals!$A:$A,LEFT($D$1002,FIND("|",$D$1002&amp;"|")-1),Actuals!$E:$E,MID($D$1002,FIND("|",$D$1002&amp;"|")+1,50),Actuals!$F:$F,"EUR")*$G$5+SUMIFS(Actuals!$G:$G,Actuals!$B:$B,$C$3,Actuals!$C:$C,2,Actuals!$D:$D,$B$1002,Actuals!$A:$A,LEFT($D$1002,FIND("|",$D$1002&amp;"|")-1),Actuals!$E:$E,MID($D$1002,FIND("|",$D$1002&amp;"|")+1,50),Actuals!$F:$F,"GBP")*$H$5)</f>
        <v/>
      </c>
      <c r="J1003" s="18">
        <f>IF(OR($B$1002="",3&gt;$C$4),"",SUMIFS(Actuals!$G:$G,Actuals!$B:$B,$C$3,Actuals!$C:$C,3,Actuals!$D:$D,$B$1002,Actuals!$A:$A,LEFT($D$1002,FIND("|",$D$1002&amp;"|")-1),Actuals!$E:$E,MID($D$1002,FIND("|",$D$1002&amp;"|")+1,50),Actuals!$F:$F,"JPY")*$E$5+SUMIFS(Actuals!$G:$G,Actuals!$B:$B,$C$3,Actuals!$C:$C,3,Actuals!$D:$D,$B$1002,Actuals!$A:$A,LEFT($D$1002,FIND("|",$D$1002&amp;"|")-1),Actuals!$E:$E,MID($D$1002,FIND("|",$D$1002&amp;"|")+1,50),Actuals!$F:$F,"USD")*$F$5+SUMIFS(Actuals!$G:$G,Actuals!$B:$B,$C$3,Actuals!$C:$C,3,Actuals!$D:$D,$B$1002,Actuals!$A:$A,LEFT($D$1002,FIND("|",$D$1002&amp;"|")-1),Actuals!$E:$E,MID($D$1002,FIND("|",$D$1002&amp;"|")+1,50),Actuals!$F:$F,"EUR")*$G$5+SUMIFS(Actuals!$G:$G,Actuals!$B:$B,$C$3,Actuals!$C:$C,3,Actuals!$D:$D,$B$1002,Actuals!$A:$A,LEFT($D$1002,FIND("|",$D$1002&amp;"|")-1),Actuals!$E:$E,MID($D$1002,FIND("|",$D$1002&amp;"|")+1,50),Actuals!$F:$F,"GBP")*$H$5)</f>
        <v/>
      </c>
      <c r="K1003" s="18">
        <f>IF(OR($B$1002="",4&gt;$C$4),"",SUMIFS(Actuals!$G:$G,Actuals!$B:$B,$C$3,Actuals!$C:$C,4,Actuals!$D:$D,$B$1002,Actuals!$A:$A,LEFT($D$1002,FIND("|",$D$1002&amp;"|")-1),Actuals!$E:$E,MID($D$1002,FIND("|",$D$1002&amp;"|")+1,50),Actuals!$F:$F,"JPY")*$E$5+SUMIFS(Actuals!$G:$G,Actuals!$B:$B,$C$3,Actuals!$C:$C,4,Actuals!$D:$D,$B$1002,Actuals!$A:$A,LEFT($D$1002,FIND("|",$D$1002&amp;"|")-1),Actuals!$E:$E,MID($D$1002,FIND("|",$D$1002&amp;"|")+1,50),Actuals!$F:$F,"USD")*$F$5+SUMIFS(Actuals!$G:$G,Actuals!$B:$B,$C$3,Actuals!$C:$C,4,Actuals!$D:$D,$B$1002,Actuals!$A:$A,LEFT($D$1002,FIND("|",$D$1002&amp;"|")-1),Actuals!$E:$E,MID($D$1002,FIND("|",$D$1002&amp;"|")+1,50),Actuals!$F:$F,"EUR")*$G$5+SUMIFS(Actuals!$G:$G,Actuals!$B:$B,$C$3,Actuals!$C:$C,4,Actuals!$D:$D,$B$1002,Actuals!$A:$A,LEFT($D$1002,FIND("|",$D$1002&amp;"|")-1),Actuals!$E:$E,MID($D$1002,FIND("|",$D$1002&amp;"|")+1,50),Actuals!$F:$F,"GBP")*$H$5)</f>
        <v/>
      </c>
      <c r="L1003" s="18">
        <f>IF(OR($B$1002="",5&gt;$C$4),"",SUMIFS(Actuals!$G:$G,Actuals!$B:$B,$C$3,Actuals!$C:$C,5,Actuals!$D:$D,$B$1002,Actuals!$A:$A,LEFT($D$1002,FIND("|",$D$1002&amp;"|")-1),Actuals!$E:$E,MID($D$1002,FIND("|",$D$1002&amp;"|")+1,50),Actuals!$F:$F,"JPY")*$E$5+SUMIFS(Actuals!$G:$G,Actuals!$B:$B,$C$3,Actuals!$C:$C,5,Actuals!$D:$D,$B$1002,Actuals!$A:$A,LEFT($D$1002,FIND("|",$D$1002&amp;"|")-1),Actuals!$E:$E,MID($D$1002,FIND("|",$D$1002&amp;"|")+1,50),Actuals!$F:$F,"USD")*$F$5+SUMIFS(Actuals!$G:$G,Actuals!$B:$B,$C$3,Actuals!$C:$C,5,Actuals!$D:$D,$B$1002,Actuals!$A:$A,LEFT($D$1002,FIND("|",$D$1002&amp;"|")-1),Actuals!$E:$E,MID($D$1002,FIND("|",$D$1002&amp;"|")+1,50),Actuals!$F:$F,"EUR")*$G$5+SUMIFS(Actuals!$G:$G,Actuals!$B:$B,$C$3,Actuals!$C:$C,5,Actuals!$D:$D,$B$1002,Actuals!$A:$A,LEFT($D$1002,FIND("|",$D$1002&amp;"|")-1),Actuals!$E:$E,MID($D$1002,FIND("|",$D$1002&amp;"|")+1,50),Actuals!$F:$F,"GBP")*$H$5)</f>
        <v/>
      </c>
      <c r="M1003" s="18">
        <f>IF(OR($B$1002="",6&gt;$C$4),"",SUMIFS(Actuals!$G:$G,Actuals!$B:$B,$C$3,Actuals!$C:$C,6,Actuals!$D:$D,$B$1002,Actuals!$A:$A,LEFT($D$1002,FIND("|",$D$1002&amp;"|")-1),Actuals!$E:$E,MID($D$1002,FIND("|",$D$1002&amp;"|")+1,50),Actuals!$F:$F,"JPY")*$E$5+SUMIFS(Actuals!$G:$G,Actuals!$B:$B,$C$3,Actuals!$C:$C,6,Actuals!$D:$D,$B$1002,Actuals!$A:$A,LEFT($D$1002,FIND("|",$D$1002&amp;"|")-1),Actuals!$E:$E,MID($D$1002,FIND("|",$D$1002&amp;"|")+1,50),Actuals!$F:$F,"USD")*$F$5+SUMIFS(Actuals!$G:$G,Actuals!$B:$B,$C$3,Actuals!$C:$C,6,Actuals!$D:$D,$B$1002,Actuals!$A:$A,LEFT($D$1002,FIND("|",$D$1002&amp;"|")-1),Actuals!$E:$E,MID($D$1002,FIND("|",$D$1002&amp;"|")+1,50),Actuals!$F:$F,"EUR")*$G$5+SUMIFS(Actuals!$G:$G,Actuals!$B:$B,$C$3,Actuals!$C:$C,6,Actuals!$D:$D,$B$1002,Actuals!$A:$A,LEFT($D$1002,FIND("|",$D$1002&amp;"|")-1),Actuals!$E:$E,MID($D$1002,FIND("|",$D$1002&amp;"|")+1,50),Actuals!$F:$F,"GBP")*$H$5)</f>
        <v/>
      </c>
      <c r="N1003" s="18">
        <f>IF(OR($B$1002="",7&gt;$C$4),"",SUMIFS(Actuals!$G:$G,Actuals!$B:$B,$C$3,Actuals!$C:$C,7,Actuals!$D:$D,$B$1002,Actuals!$A:$A,LEFT($D$1002,FIND("|",$D$1002&amp;"|")-1),Actuals!$E:$E,MID($D$1002,FIND("|",$D$1002&amp;"|")+1,50),Actuals!$F:$F,"JPY")*$E$5+SUMIFS(Actuals!$G:$G,Actuals!$B:$B,$C$3,Actuals!$C:$C,7,Actuals!$D:$D,$B$1002,Actuals!$A:$A,LEFT($D$1002,FIND("|",$D$1002&amp;"|")-1),Actuals!$E:$E,MID($D$1002,FIND("|",$D$1002&amp;"|")+1,50),Actuals!$F:$F,"USD")*$F$5+SUMIFS(Actuals!$G:$G,Actuals!$B:$B,$C$3,Actuals!$C:$C,7,Actuals!$D:$D,$B$1002,Actuals!$A:$A,LEFT($D$1002,FIND("|",$D$1002&amp;"|")-1),Actuals!$E:$E,MID($D$1002,FIND("|",$D$1002&amp;"|")+1,50),Actuals!$F:$F,"EUR")*$G$5+SUMIFS(Actuals!$G:$G,Actuals!$B:$B,$C$3,Actuals!$C:$C,7,Actuals!$D:$D,$B$1002,Actuals!$A:$A,LEFT($D$1002,FIND("|",$D$1002&amp;"|")-1),Actuals!$E:$E,MID($D$1002,FIND("|",$D$1002&amp;"|")+1,50),Actuals!$F:$F,"GBP")*$H$5)</f>
        <v/>
      </c>
      <c r="O1003" s="18">
        <f>IF(OR($B$1002="",8&gt;$C$4),"",SUMIFS(Actuals!$G:$G,Actuals!$B:$B,$C$3,Actuals!$C:$C,8,Actuals!$D:$D,$B$1002,Actuals!$A:$A,LEFT($D$1002,FIND("|",$D$1002&amp;"|")-1),Actuals!$E:$E,MID($D$1002,FIND("|",$D$1002&amp;"|")+1,50),Actuals!$F:$F,"JPY")*$E$5+SUMIFS(Actuals!$G:$G,Actuals!$B:$B,$C$3,Actuals!$C:$C,8,Actuals!$D:$D,$B$1002,Actuals!$A:$A,LEFT($D$1002,FIND("|",$D$1002&amp;"|")-1),Actuals!$E:$E,MID($D$1002,FIND("|",$D$1002&amp;"|")+1,50),Actuals!$F:$F,"USD")*$F$5+SUMIFS(Actuals!$G:$G,Actuals!$B:$B,$C$3,Actuals!$C:$C,8,Actuals!$D:$D,$B$1002,Actuals!$A:$A,LEFT($D$1002,FIND("|",$D$1002&amp;"|")-1),Actuals!$E:$E,MID($D$1002,FIND("|",$D$1002&amp;"|")+1,50),Actuals!$F:$F,"EUR")*$G$5+SUMIFS(Actuals!$G:$G,Actuals!$B:$B,$C$3,Actuals!$C:$C,8,Actuals!$D:$D,$B$1002,Actuals!$A:$A,LEFT($D$1002,FIND("|",$D$1002&amp;"|")-1),Actuals!$E:$E,MID($D$1002,FIND("|",$D$1002&amp;"|")+1,50),Actuals!$F:$F,"GBP")*$H$5)</f>
        <v/>
      </c>
      <c r="P1003" s="18">
        <f>IF(OR($B$1002="",9&gt;$C$4),"",SUMIFS(Actuals!$G:$G,Actuals!$B:$B,$C$3,Actuals!$C:$C,9,Actuals!$D:$D,$B$1002,Actuals!$A:$A,LEFT($D$1002,FIND("|",$D$1002&amp;"|")-1),Actuals!$E:$E,MID($D$1002,FIND("|",$D$1002&amp;"|")+1,50),Actuals!$F:$F,"JPY")*$E$5+SUMIFS(Actuals!$G:$G,Actuals!$B:$B,$C$3,Actuals!$C:$C,9,Actuals!$D:$D,$B$1002,Actuals!$A:$A,LEFT($D$1002,FIND("|",$D$1002&amp;"|")-1),Actuals!$E:$E,MID($D$1002,FIND("|",$D$1002&amp;"|")+1,50),Actuals!$F:$F,"USD")*$F$5+SUMIFS(Actuals!$G:$G,Actuals!$B:$B,$C$3,Actuals!$C:$C,9,Actuals!$D:$D,$B$1002,Actuals!$A:$A,LEFT($D$1002,FIND("|",$D$1002&amp;"|")-1),Actuals!$E:$E,MID($D$1002,FIND("|",$D$1002&amp;"|")+1,50),Actuals!$F:$F,"EUR")*$G$5+SUMIFS(Actuals!$G:$G,Actuals!$B:$B,$C$3,Actuals!$C:$C,9,Actuals!$D:$D,$B$1002,Actuals!$A:$A,LEFT($D$1002,FIND("|",$D$1002&amp;"|")-1),Actuals!$E:$E,MID($D$1002,FIND("|",$D$1002&amp;"|")+1,50),Actuals!$F:$F,"GBP")*$H$5)</f>
        <v/>
      </c>
      <c r="Q1003" s="18">
        <f>IF(OR($B$1002="",10&gt;$C$4),"",SUMIFS(Actuals!$G:$G,Actuals!$B:$B,$C$3,Actuals!$C:$C,10,Actuals!$D:$D,$B$1002,Actuals!$A:$A,LEFT($D$1002,FIND("|",$D$1002&amp;"|")-1),Actuals!$E:$E,MID($D$1002,FIND("|",$D$1002&amp;"|")+1,50),Actuals!$F:$F,"JPY")*$E$5+SUMIFS(Actuals!$G:$G,Actuals!$B:$B,$C$3,Actuals!$C:$C,10,Actuals!$D:$D,$B$1002,Actuals!$A:$A,LEFT($D$1002,FIND("|",$D$1002&amp;"|")-1),Actuals!$E:$E,MID($D$1002,FIND("|",$D$1002&amp;"|")+1,50),Actuals!$F:$F,"USD")*$F$5+SUMIFS(Actuals!$G:$G,Actuals!$B:$B,$C$3,Actuals!$C:$C,10,Actuals!$D:$D,$B$1002,Actuals!$A:$A,LEFT($D$1002,FIND("|",$D$1002&amp;"|")-1),Actuals!$E:$E,MID($D$1002,FIND("|",$D$1002&amp;"|")+1,50),Actuals!$F:$F,"EUR")*$G$5+SUMIFS(Actuals!$G:$G,Actuals!$B:$B,$C$3,Actuals!$C:$C,10,Actuals!$D:$D,$B$1002,Actuals!$A:$A,LEFT($D$1002,FIND("|",$D$1002&amp;"|")-1),Actuals!$E:$E,MID($D$1002,FIND("|",$D$1002&amp;"|")+1,50),Actuals!$F:$F,"GBP")*$H$5)</f>
        <v/>
      </c>
      <c r="R1003" s="18">
        <f>IF(OR($B$1002="",11&gt;$C$4),"",SUMIFS(Actuals!$G:$G,Actuals!$B:$B,$C$3,Actuals!$C:$C,11,Actuals!$D:$D,$B$1002,Actuals!$A:$A,LEFT($D$1002,FIND("|",$D$1002&amp;"|")-1),Actuals!$E:$E,MID($D$1002,FIND("|",$D$1002&amp;"|")+1,50),Actuals!$F:$F,"JPY")*$E$5+SUMIFS(Actuals!$G:$G,Actuals!$B:$B,$C$3,Actuals!$C:$C,11,Actuals!$D:$D,$B$1002,Actuals!$A:$A,LEFT($D$1002,FIND("|",$D$1002&amp;"|")-1),Actuals!$E:$E,MID($D$1002,FIND("|",$D$1002&amp;"|")+1,50),Actuals!$F:$F,"USD")*$F$5+SUMIFS(Actuals!$G:$G,Actuals!$B:$B,$C$3,Actuals!$C:$C,11,Actuals!$D:$D,$B$1002,Actuals!$A:$A,LEFT($D$1002,FIND("|",$D$1002&amp;"|")-1),Actuals!$E:$E,MID($D$1002,FIND("|",$D$1002&amp;"|")+1,50),Actuals!$F:$F,"EUR")*$G$5+SUMIFS(Actuals!$G:$G,Actuals!$B:$B,$C$3,Actuals!$C:$C,11,Actuals!$D:$D,$B$1002,Actuals!$A:$A,LEFT($D$1002,FIND("|",$D$1002&amp;"|")-1),Actuals!$E:$E,MID($D$1002,FIND("|",$D$1002&amp;"|")+1,50),Actuals!$F:$F,"GBP")*$H$5)</f>
        <v/>
      </c>
      <c r="S1003" s="18">
        <f>IF(OR($B$1002="",12&gt;$C$4),"",SUMIFS(Actuals!$G:$G,Actuals!$B:$B,$C$3,Actuals!$C:$C,12,Actuals!$D:$D,$B$1002,Actuals!$A:$A,LEFT($D$1002,FIND("|",$D$1002&amp;"|")-1),Actuals!$E:$E,MID($D$1002,FIND("|",$D$1002&amp;"|")+1,50),Actuals!$F:$F,"JPY")*$E$5+SUMIFS(Actuals!$G:$G,Actuals!$B:$B,$C$3,Actuals!$C:$C,12,Actuals!$D:$D,$B$1002,Actuals!$A:$A,LEFT($D$1002,FIND("|",$D$1002&amp;"|")-1),Actuals!$E:$E,MID($D$1002,FIND("|",$D$1002&amp;"|")+1,50),Actuals!$F:$F,"USD")*$F$5+SUMIFS(Actuals!$G:$G,Actuals!$B:$B,$C$3,Actuals!$C:$C,12,Actuals!$D:$D,$B$1002,Actuals!$A:$A,LEFT($D$1002,FIND("|",$D$1002&amp;"|")-1),Actuals!$E:$E,MID($D$1002,FIND("|",$D$1002&amp;"|")+1,50),Actuals!$F:$F,"EUR")*$G$5+SUMIFS(Actuals!$G:$G,Actuals!$B:$B,$C$3,Actuals!$C:$C,12,Actuals!$D:$D,$B$1002,Actuals!$A:$A,LEFT($D$1002,FIND("|",$D$1002&amp;"|")-1),Actuals!$E:$E,MID($D$1002,FIND("|",$D$1002&amp;"|")+1,50),Actuals!$F:$F,"GBP")*$H$5)</f>
        <v/>
      </c>
      <c r="T1003" s="18">
        <f>IF($B$1002="","",SUMIF($H$7:$S$7,"&lt;="&amp;$C$4,$H1003:$S1003))</f>
        <v/>
      </c>
      <c r="U1003" s="18" t="n"/>
      <c r="V1003" s="18" t="n"/>
      <c r="X1003" s="22">
        <f>IF($B1003="","",IFERROR(INDEX(Cost_Centers!$E:$E,MATCH($B1003,Cost_Centers!$A:$A,0)),"(unknown)"))</f>
        <v/>
      </c>
      <c r="Y1003" s="22">
        <f>IF($B1003="","",IFERROR(INDEX(Cost_Centers!$D:$D,MATCH($B1003,Cost_Centers!$A:$A,0)),"(unknown)"))</f>
        <v/>
      </c>
      <c r="Z1003" s="22">
        <f>IF(OR($B1003="",$G1003&lt;&gt;"Variance vs Budget"),"",ABS(N($V1003))+ROW()/1000000000)</f>
        <v/>
      </c>
    </row>
    <row r="1004">
      <c r="A1004" s="13">
        <f>IF(A$1002="","",A$1002)</f>
        <v/>
      </c>
      <c r="B1004" s="13">
        <f>IF(B$1002="","",B$1002)</f>
        <v/>
      </c>
      <c r="C1004" s="13">
        <f>IF(C$1002="","",C$1002)</f>
        <v/>
      </c>
      <c r="D1004" s="13">
        <f>IF(D$1002="","",D$1002)</f>
        <v/>
      </c>
      <c r="E1004" s="13">
        <f>IF(E$1002="","",E$1002)</f>
        <v/>
      </c>
      <c r="F1004" s="13">
        <f>IF(F$1002="","",F$1002)</f>
        <v/>
      </c>
      <c r="G1004" s="6" t="inlineStr">
        <is>
          <t>Variance vs Budget</t>
        </is>
      </c>
      <c r="H1004" s="33">
        <f>IF(OR($B$1002="",1&gt;$C$4),"",N(H1003)-H1002)</f>
        <v/>
      </c>
      <c r="I1004" s="33">
        <f>IF(OR($B$1002="",2&gt;$C$4),"",N(I1003)-I1002)</f>
        <v/>
      </c>
      <c r="J1004" s="33">
        <f>IF(OR($B$1002="",3&gt;$C$4),"",N(J1003)-J1002)</f>
        <v/>
      </c>
      <c r="K1004" s="33">
        <f>IF(OR($B$1002="",4&gt;$C$4),"",N(K1003)-K1002)</f>
        <v/>
      </c>
      <c r="L1004" s="33">
        <f>IF(OR($B$1002="",5&gt;$C$4),"",N(L1003)-L1002)</f>
        <v/>
      </c>
      <c r="M1004" s="33">
        <f>IF(OR($B$1002="",6&gt;$C$4),"",N(M1003)-M1002)</f>
        <v/>
      </c>
      <c r="N1004" s="33">
        <f>IF(OR($B$1002="",7&gt;$C$4),"",N(N1003)-N1002)</f>
        <v/>
      </c>
      <c r="O1004" s="33">
        <f>IF(OR($B$1002="",8&gt;$C$4),"",N(O1003)-O1002)</f>
        <v/>
      </c>
      <c r="P1004" s="33">
        <f>IF(OR($B$1002="",9&gt;$C$4),"",N(P1003)-P1002)</f>
        <v/>
      </c>
      <c r="Q1004" s="33">
        <f>IF(OR($B$1002="",10&gt;$C$4),"",N(Q1003)-Q1002)</f>
        <v/>
      </c>
      <c r="R1004" s="33">
        <f>IF(OR($B$1002="",11&gt;$C$4),"",N(R1003)-R1002)</f>
        <v/>
      </c>
      <c r="S1004" s="33">
        <f>IF(OR($B$1002="",12&gt;$C$4),"",N(S1003)-S1002)</f>
        <v/>
      </c>
      <c r="T1004" s="33">
        <f>IF($B$1002="","",T1003-T1002)</f>
        <v/>
      </c>
      <c r="U1004" s="33">
        <f>IF($B$1002="","",U1006-U1002)</f>
        <v/>
      </c>
      <c r="V1004" s="33">
        <f>IF($B$1002="","",V1006-V1002)</f>
        <v/>
      </c>
      <c r="X1004" s="22">
        <f>IF($B1004="","",IFERROR(INDEX(Cost_Centers!$E:$E,MATCH($B1004,Cost_Centers!$A:$A,0)),"(unknown)"))</f>
        <v/>
      </c>
      <c r="Y1004" s="22">
        <f>IF($B1004="","",IFERROR(INDEX(Cost_Centers!$D:$D,MATCH($B1004,Cost_Centers!$A:$A,0)),"(unknown)"))</f>
        <v/>
      </c>
      <c r="Z1004" s="22">
        <f>IF(OR($B1004="",$G1004&lt;&gt;"Variance vs Budget"),"",ABS(N($V1004))+ROW()/1000000000)</f>
        <v/>
      </c>
    </row>
    <row r="1005">
      <c r="A1005" s="13">
        <f>IF(A$1002="","",A$1002)</f>
        <v/>
      </c>
      <c r="B1005" s="13">
        <f>IF(B$1002="","",B$1002)</f>
        <v/>
      </c>
      <c r="C1005" s="13">
        <f>IF(C$1002="","",C$1002)</f>
        <v/>
      </c>
      <c r="D1005" s="13">
        <f>IF(D$1002="","",D$1002)</f>
        <v/>
      </c>
      <c r="E1005" s="13">
        <f>IF(E$1002="","",E$1002)</f>
        <v/>
      </c>
      <c r="F1005" s="13">
        <f>IF(F$1002="","",F$1002)</f>
        <v/>
      </c>
      <c r="G1005" s="7" t="inlineStr">
        <is>
          <t>Forecast (input)</t>
        </is>
      </c>
      <c r="H1005" s="34" t="n"/>
      <c r="I1005" s="34" t="n"/>
      <c r="J1005" s="34" t="n"/>
      <c r="K1005" s="34" t="n"/>
      <c r="L1005" s="34" t="n"/>
      <c r="M1005" s="34" t="n"/>
      <c r="N1005" s="34" t="n"/>
      <c r="O1005" s="34" t="n"/>
      <c r="P1005" s="34" t="n"/>
      <c r="Q1005" s="34" t="n"/>
      <c r="R1005" s="34" t="n"/>
      <c r="S1005" s="34" t="n"/>
      <c r="T1005" s="18" t="n"/>
      <c r="U1005" s="18" t="n"/>
      <c r="V1005" s="18" t="n"/>
      <c r="X1005" s="22">
        <f>IF($B1005="","",IFERROR(INDEX(Cost_Centers!$E:$E,MATCH($B1005,Cost_Centers!$A:$A,0)),"(unknown)"))</f>
        <v/>
      </c>
      <c r="Y1005" s="22">
        <f>IF($B1005="","",IFERROR(INDEX(Cost_Centers!$D:$D,MATCH($B1005,Cost_Centers!$A:$A,0)),"(unknown)"))</f>
        <v/>
      </c>
      <c r="Z1005" s="22">
        <f>IF(OR($B1005="",$G1005&lt;&gt;"Variance vs Budget"),"",ABS(N($V1005))+ROW()/1000000000)</f>
        <v/>
      </c>
    </row>
    <row r="1006">
      <c r="A1006" s="13">
        <f>IF(A$1002="","",A$1002)</f>
        <v/>
      </c>
      <c r="B1006" s="13">
        <f>IF(B$1002="","",B$1002)</f>
        <v/>
      </c>
      <c r="C1006" s="13">
        <f>IF(C$1002="","",C$1002)</f>
        <v/>
      </c>
      <c r="D1006" s="13">
        <f>IF(D$1002="","",D$1002)</f>
        <v/>
      </c>
      <c r="E1006" s="13">
        <f>IF(E$1002="","",E$1002)</f>
        <v/>
      </c>
      <c r="F1006" s="13">
        <f>IF(F$1002="","",F$1002)</f>
        <v/>
      </c>
      <c r="G1006" s="35" t="inlineStr">
        <is>
          <t>Actual + Forecast</t>
        </is>
      </c>
      <c r="H1006" s="18">
        <f>IF($B$1002="","",IF(1&lt;=$C$4,N(H1003),IF(H1005="",H1002,H1005)))</f>
        <v/>
      </c>
      <c r="I1006" s="18">
        <f>IF($B$1002="","",IF(2&lt;=$C$4,N(I1003),IF(I1005="",I1002,I1005)))</f>
        <v/>
      </c>
      <c r="J1006" s="18">
        <f>IF($B$1002="","",IF(3&lt;=$C$4,N(J1003),IF(J1005="",J1002,J1005)))</f>
        <v/>
      </c>
      <c r="K1006" s="18">
        <f>IF($B$1002="","",IF(4&lt;=$C$4,N(K1003),IF(K1005="",K1002,K1005)))</f>
        <v/>
      </c>
      <c r="L1006" s="18">
        <f>IF($B$1002="","",IF(5&lt;=$C$4,N(L1003),IF(L1005="",L1002,L1005)))</f>
        <v/>
      </c>
      <c r="M1006" s="18">
        <f>IF($B$1002="","",IF(6&lt;=$C$4,N(M1003),IF(M1005="",M1002,M1005)))</f>
        <v/>
      </c>
      <c r="N1006" s="18">
        <f>IF($B$1002="","",IF(7&lt;=$C$4,N(N1003),IF(N1005="",N1002,N1005)))</f>
        <v/>
      </c>
      <c r="O1006" s="18">
        <f>IF($B$1002="","",IF(8&lt;=$C$4,N(O1003),IF(O1005="",O1002,O1005)))</f>
        <v/>
      </c>
      <c r="P1006" s="18">
        <f>IF($B$1002="","",IF(9&lt;=$C$4,N(P1003),IF(P1005="",P1002,P1005)))</f>
        <v/>
      </c>
      <c r="Q1006" s="18">
        <f>IF($B$1002="","",IF(10&lt;=$C$4,N(Q1003),IF(Q1005="",Q1002,Q1005)))</f>
        <v/>
      </c>
      <c r="R1006" s="18">
        <f>IF($B$1002="","",IF(11&lt;=$C$4,N(R1003),IF(R1005="",R1002,R1005)))</f>
        <v/>
      </c>
      <c r="S1006" s="18">
        <f>IF($B$1002="","",IF(12&lt;=$C$4,N(S1003),IF(S1005="",S1002,S1005)))</f>
        <v/>
      </c>
      <c r="T1006" s="18">
        <f>IF($B$1002="","",SUMIF($H$7:$S$7,"&lt;="&amp;$C$4,$H1006:$S1006))</f>
        <v/>
      </c>
      <c r="U1006" s="18">
        <f>IF($B$1002="","",SUMIF($H$7:$S$7,"&gt;"&amp;$C$4,$H1006:$S1006))</f>
        <v/>
      </c>
      <c r="V1006" s="18">
        <f>IF($B$1002="","",SUM($H1006:$S1006))</f>
        <v/>
      </c>
      <c r="X1006" s="22">
        <f>IF($B1006="","",IFERROR(INDEX(Cost_Centers!$E:$E,MATCH($B1006,Cost_Centers!$A:$A,0)),"(unknown)"))</f>
        <v/>
      </c>
      <c r="Y1006" s="22">
        <f>IF($B1006="","",IFERROR(INDEX(Cost_Centers!$D:$D,MATCH($B1006,Cost_Centers!$A:$A,0)),"(unknown)"))</f>
        <v/>
      </c>
      <c r="Z1006" s="22">
        <f>IF(OR($B1006="",$G1006&lt;&gt;"Variance vs Budget"),"",ABS(N($V1006))+ROW()/1000000000)</f>
        <v/>
      </c>
    </row>
    <row r="1007">
      <c r="A1007" s="13">
        <f>IF(A$1002="","",A$1002)</f>
        <v/>
      </c>
      <c r="B1007" s="13">
        <f>IF(B$1002="","",B$1002)</f>
        <v/>
      </c>
      <c r="C1007" s="13">
        <f>IF(C$1002="","",C$1002)</f>
        <v/>
      </c>
      <c r="D1007" s="13">
        <f>IF(D$1002="","",D$1002)</f>
        <v/>
      </c>
      <c r="E1007" s="13">
        <f>IF(E$1002="","",E$1002)</f>
        <v/>
      </c>
      <c r="F1007" s="13">
        <f>IF(F$1002="","",F$1002)</f>
        <v/>
      </c>
      <c r="G1007" s="36" t="inlineStr">
        <is>
          <t>Prior Month Forecast</t>
        </is>
      </c>
      <c r="H1007" s="37">
        <f>IF($B$1002="","",IF(COUNTIFS(Prior_Forecast!$A:$A,$B$1002,Prior_Forecast!$B:$B,$D$1002)&gt;0,SUMIFS(Prior_Forecast!$C:$C,Prior_Forecast!$A:$A,$B$1002,Prior_Forecast!$B:$B,$D$1002),""))</f>
        <v/>
      </c>
      <c r="I1007" s="37">
        <f>IF($B$1002="","",IF(COUNTIFS(Prior_Forecast!$A:$A,$B$1002,Prior_Forecast!$B:$B,$D$1002)&gt;0,SUMIFS(Prior_Forecast!$D:$D,Prior_Forecast!$A:$A,$B$1002,Prior_Forecast!$B:$B,$D$1002),""))</f>
        <v/>
      </c>
      <c r="J1007" s="37">
        <f>IF($B$1002="","",IF(COUNTIFS(Prior_Forecast!$A:$A,$B$1002,Prior_Forecast!$B:$B,$D$1002)&gt;0,SUMIFS(Prior_Forecast!$E:$E,Prior_Forecast!$A:$A,$B$1002,Prior_Forecast!$B:$B,$D$1002),""))</f>
        <v/>
      </c>
      <c r="K1007" s="37">
        <f>IF($B$1002="","",IF(COUNTIFS(Prior_Forecast!$A:$A,$B$1002,Prior_Forecast!$B:$B,$D$1002)&gt;0,SUMIFS(Prior_Forecast!$F:$F,Prior_Forecast!$A:$A,$B$1002,Prior_Forecast!$B:$B,$D$1002),""))</f>
        <v/>
      </c>
      <c r="L1007" s="37">
        <f>IF($B$1002="","",IF(COUNTIFS(Prior_Forecast!$A:$A,$B$1002,Prior_Forecast!$B:$B,$D$1002)&gt;0,SUMIFS(Prior_Forecast!$G:$G,Prior_Forecast!$A:$A,$B$1002,Prior_Forecast!$B:$B,$D$1002),""))</f>
        <v/>
      </c>
      <c r="M1007" s="37">
        <f>IF($B$1002="","",IF(COUNTIFS(Prior_Forecast!$A:$A,$B$1002,Prior_Forecast!$B:$B,$D$1002)&gt;0,SUMIFS(Prior_Forecast!$H:$H,Prior_Forecast!$A:$A,$B$1002,Prior_Forecast!$B:$B,$D$1002),""))</f>
        <v/>
      </c>
      <c r="N1007" s="37">
        <f>IF($B$1002="","",IF(COUNTIFS(Prior_Forecast!$A:$A,$B$1002,Prior_Forecast!$B:$B,$D$1002)&gt;0,SUMIFS(Prior_Forecast!$I:$I,Prior_Forecast!$A:$A,$B$1002,Prior_Forecast!$B:$B,$D$1002),""))</f>
        <v/>
      </c>
      <c r="O1007" s="37">
        <f>IF($B$1002="","",IF(COUNTIFS(Prior_Forecast!$A:$A,$B$1002,Prior_Forecast!$B:$B,$D$1002)&gt;0,SUMIFS(Prior_Forecast!$J:$J,Prior_Forecast!$A:$A,$B$1002,Prior_Forecast!$B:$B,$D$1002),""))</f>
        <v/>
      </c>
      <c r="P1007" s="37">
        <f>IF($B$1002="","",IF(COUNTIFS(Prior_Forecast!$A:$A,$B$1002,Prior_Forecast!$B:$B,$D$1002)&gt;0,SUMIFS(Prior_Forecast!$K:$K,Prior_Forecast!$A:$A,$B$1002,Prior_Forecast!$B:$B,$D$1002),""))</f>
        <v/>
      </c>
      <c r="Q1007" s="37">
        <f>IF($B$1002="","",IF(COUNTIFS(Prior_Forecast!$A:$A,$B$1002,Prior_Forecast!$B:$B,$D$1002)&gt;0,SUMIFS(Prior_Forecast!$L:$L,Prior_Forecast!$A:$A,$B$1002,Prior_Forecast!$B:$B,$D$1002),""))</f>
        <v/>
      </c>
      <c r="R1007" s="37">
        <f>IF($B$1002="","",IF(COUNTIFS(Prior_Forecast!$A:$A,$B$1002,Prior_Forecast!$B:$B,$D$1002)&gt;0,SUMIFS(Prior_Forecast!$M:$M,Prior_Forecast!$A:$A,$B$1002,Prior_Forecast!$B:$B,$D$1002),""))</f>
        <v/>
      </c>
      <c r="S1007" s="37">
        <f>IF($B$1002="","",IF(COUNTIFS(Prior_Forecast!$A:$A,$B$1002,Prior_Forecast!$B:$B,$D$1002)&gt;0,SUMIFS(Prior_Forecast!$N:$N,Prior_Forecast!$A:$A,$B$1002,Prior_Forecast!$B:$B,$D$1002),""))</f>
        <v/>
      </c>
      <c r="T1007" s="37">
        <f>IF($B$1002="","",IF(COUNTIFS(Prior_Forecast!$A:$A,$B$1002,Prior_Forecast!$B:$B,$D$1002)&gt;0,SUMIFS(Prior_Forecast!$O:$O,Prior_Forecast!$A:$A,$B$1002,Prior_Forecast!$B:$B,$D$1002),""))</f>
        <v/>
      </c>
      <c r="U1007" s="37">
        <f>IF($B$1002="","",IF(COUNTIFS(Prior_Forecast!$A:$A,$B$1002,Prior_Forecast!$B:$B,$D$1002)&gt;0,SUMIFS(Prior_Forecast!$P:$P,Prior_Forecast!$A:$A,$B$1002,Prior_Forecast!$B:$B,$D$1002),""))</f>
        <v/>
      </c>
      <c r="V1007" s="37">
        <f>IF($B$1002="","",IF(COUNTIFS(Prior_Forecast!$A:$A,$B$1002,Prior_Forecast!$B:$B,$D$1002)&gt;0,SUMIFS(Prior_Forecast!$Q:$Q,Prior_Forecast!$A:$A,$B$1002,Prior_Forecast!$B:$B,$D$1002),""))</f>
        <v/>
      </c>
      <c r="X1007" s="22">
        <f>IF($B1007="","",IFERROR(INDEX(Cost_Centers!$E:$E,MATCH($B1007,Cost_Centers!$A:$A,0)),"(unknown)"))</f>
        <v/>
      </c>
      <c r="Y1007" s="22">
        <f>IF($B1007="","",IFERROR(INDEX(Cost_Centers!$D:$D,MATCH($B1007,Cost_Centers!$A:$A,0)),"(unknown)"))</f>
        <v/>
      </c>
      <c r="Z1007" s="22">
        <f>IF(OR($B1007="",$G1007&lt;&gt;"Variance vs Budget"),"",ABS(N($V1007))+ROW()/1000000000)</f>
        <v/>
      </c>
    </row>
    <row r="1008">
      <c r="A1008" s="13">
        <f>IF(A$1002="","",A$1002)</f>
        <v/>
      </c>
      <c r="B1008" s="13">
        <f>IF(B$1002="","",B$1002)</f>
        <v/>
      </c>
      <c r="C1008" s="13">
        <f>IF(C$1002="","",C$1002)</f>
        <v/>
      </c>
      <c r="D1008" s="13">
        <f>IF(D$1002="","",D$1002)</f>
        <v/>
      </c>
      <c r="E1008" s="13">
        <f>IF(E$1002="","",E$1002)</f>
        <v/>
      </c>
      <c r="F1008" s="13">
        <f>IF(F$1002="","",F$1002)</f>
        <v/>
      </c>
      <c r="G1008" s="6" t="inlineStr">
        <is>
          <t>Variance vs Prior Month</t>
        </is>
      </c>
      <c r="H1008" s="33">
        <f>IF(OR($B$1002="",H1007=""),"",H1006-H1007)</f>
        <v/>
      </c>
      <c r="I1008" s="33">
        <f>IF(OR($B$1002="",I1007=""),"",I1006-I1007)</f>
        <v/>
      </c>
      <c r="J1008" s="33">
        <f>IF(OR($B$1002="",J1007=""),"",J1006-J1007)</f>
        <v/>
      </c>
      <c r="K1008" s="33">
        <f>IF(OR($B$1002="",K1007=""),"",K1006-K1007)</f>
        <v/>
      </c>
      <c r="L1008" s="33">
        <f>IF(OR($B$1002="",L1007=""),"",L1006-L1007)</f>
        <v/>
      </c>
      <c r="M1008" s="33">
        <f>IF(OR($B$1002="",M1007=""),"",M1006-M1007)</f>
        <v/>
      </c>
      <c r="N1008" s="33">
        <f>IF(OR($B$1002="",N1007=""),"",N1006-N1007)</f>
        <v/>
      </c>
      <c r="O1008" s="33">
        <f>IF(OR($B$1002="",O1007=""),"",O1006-O1007)</f>
        <v/>
      </c>
      <c r="P1008" s="33">
        <f>IF(OR($B$1002="",P1007=""),"",P1006-P1007)</f>
        <v/>
      </c>
      <c r="Q1008" s="33">
        <f>IF(OR($B$1002="",Q1007=""),"",Q1006-Q1007)</f>
        <v/>
      </c>
      <c r="R1008" s="33">
        <f>IF(OR($B$1002="",R1007=""),"",R1006-R1007)</f>
        <v/>
      </c>
      <c r="S1008" s="33">
        <f>IF(OR($B$1002="",S1007=""),"",S1006-S1007)</f>
        <v/>
      </c>
      <c r="T1008" s="33">
        <f>IF(OR($B$1002="",T1007=""),"",T1006-T1007)</f>
        <v/>
      </c>
      <c r="U1008" s="33">
        <f>IF(OR($B$1002="",U1007=""),"",U1006-U1007)</f>
        <v/>
      </c>
      <c r="V1008" s="33">
        <f>IF(OR($B$1002="",V1007=""),"",V1006-V1007)</f>
        <v/>
      </c>
      <c r="X1008" s="22">
        <f>IF($B1008="","",IFERROR(INDEX(Cost_Centers!$E:$E,MATCH($B1008,Cost_Centers!$A:$A,0)),"(unknown)"))</f>
        <v/>
      </c>
      <c r="Y1008" s="22">
        <f>IF($B1008="","",IFERROR(INDEX(Cost_Centers!$D:$D,MATCH($B1008,Cost_Centers!$A:$A,0)),"(unknown)"))</f>
        <v/>
      </c>
      <c r="Z1008" s="22">
        <f>IF(OR($B1008="",$G1008&lt;&gt;"Variance vs Budget"),"",ABS(N($V1008))+ROW()/1000000000)</f>
        <v/>
      </c>
    </row>
    <row r="1009" ht="45" customHeight="1">
      <c r="A1009" s="13">
        <f>IF(A$1002="","",A$1002)</f>
        <v/>
      </c>
      <c r="B1009" s="13">
        <f>IF(B$1002="","",B$1002)</f>
        <v/>
      </c>
      <c r="C1009" s="13">
        <f>IF(C$1002="","",C$1002)</f>
        <v/>
      </c>
      <c r="D1009" s="13">
        <f>IF(D$1002="","",D$1002)</f>
        <v/>
      </c>
      <c r="E1009" s="13">
        <f>IF(E$1002="","",E$1002)</f>
        <v/>
      </c>
      <c r="F1009" s="13">
        <f>IF(F$1002="","",F$1002)</f>
        <v/>
      </c>
      <c r="G1009" s="7" t="inlineStr">
        <is>
          <t>Rationale</t>
        </is>
      </c>
      <c r="H1009" s="38" t="n"/>
      <c r="I1009" s="38" t="n"/>
      <c r="J1009" s="38" t="n"/>
      <c r="K1009" s="38" t="n"/>
      <c r="L1009" s="38" t="n"/>
      <c r="M1009" s="38" t="n"/>
      <c r="N1009" s="38" t="n"/>
      <c r="O1009" s="38" t="n"/>
      <c r="P1009" s="38" t="n"/>
      <c r="Q1009" s="38" t="n"/>
      <c r="R1009" s="38" t="n"/>
      <c r="S1009" s="38" t="n"/>
      <c r="T1009" s="38" t="n"/>
      <c r="U1009" s="38" t="n"/>
      <c r="V1009" s="7" t="n"/>
      <c r="X1009" s="22">
        <f>IF($B1009="","",IFERROR(INDEX(Cost_Centers!$E:$E,MATCH($B1009,Cost_Centers!$A:$A,0)),"(unknown)"))</f>
        <v/>
      </c>
      <c r="Y1009" s="22">
        <f>IF($B1009="","",IFERROR(INDEX(Cost_Centers!$D:$D,MATCH($B1009,Cost_Centers!$A:$A,0)),"(unknown)"))</f>
        <v/>
      </c>
      <c r="Z1009" s="22">
        <f>IF(OR($B1009="",$G1009&lt;&gt;"Variance vs Budget"),"",ABS(N($V1009))+ROW()/1000000000)</f>
        <v/>
      </c>
    </row>
    <row r="1010">
      <c r="A1010" s="30">
        <f>IF($D$1010="","",LEFT($D$1010,FIND("|",$D$1010&amp;"|")-1))</f>
        <v/>
      </c>
      <c r="B1010" s="31" t="n"/>
      <c r="C1010" s="30">
        <f>IF($B$1010="","",IFERROR(INDEX(Cost_Centers!$B:$B,MATCH($B$1010,Cost_Centers!$A:$A,0)),"(not in master)"))</f>
        <v/>
      </c>
      <c r="D1010" s="31" t="n"/>
      <c r="E1010" s="30">
        <f>IF($D$1010="","",IFERROR(INDEX(Accounts!$D:$D,MATCH($D$1010,Accounts!$A:$A,0)),"(not in master)"))</f>
        <v/>
      </c>
      <c r="F1010" s="31" t="n"/>
      <c r="G1010" s="30" t="inlineStr">
        <is>
          <t>Budget</t>
        </is>
      </c>
      <c r="H1010" s="32">
        <f>IF($B$1010="","",SUMIFS(Opex_Budget!$O:$O,Opex_Budget!$A:$A,$C$3,Opex_Budget!$E:$E,$B$1010,Opex_Budget!$F:$F,$D$1010,Opex_Budget!$N:$N,"JPY")*$E$5+SUMIFS(Opex_Budget!$O:$O,Opex_Budget!$A:$A,$C$3,Opex_Budget!$E:$E,$B$1010,Opex_Budget!$F:$F,$D$1010,Opex_Budget!$N:$N,"USD")*$F$5+SUMIFS(Opex_Budget!$O:$O,Opex_Budget!$A:$A,$C$3,Opex_Budget!$E:$E,$B$1010,Opex_Budget!$F:$F,$D$1010,Opex_Budget!$N:$N,"EUR")*$G$5+SUMIFS(Opex_Budget!$O:$O,Opex_Budget!$A:$A,$C$3,Opex_Budget!$E:$E,$B$1010,Opex_Budget!$F:$F,$D$1010,Opex_Budget!$N:$N,"GBP")*$H$5)</f>
        <v/>
      </c>
      <c r="I1010" s="32">
        <f>IF($B$1010="","",SUMIFS(Opex_Budget!$P:$P,Opex_Budget!$A:$A,$C$3,Opex_Budget!$E:$E,$B$1010,Opex_Budget!$F:$F,$D$1010,Opex_Budget!$N:$N,"JPY")*$E$5+SUMIFS(Opex_Budget!$P:$P,Opex_Budget!$A:$A,$C$3,Opex_Budget!$E:$E,$B$1010,Opex_Budget!$F:$F,$D$1010,Opex_Budget!$N:$N,"USD")*$F$5+SUMIFS(Opex_Budget!$P:$P,Opex_Budget!$A:$A,$C$3,Opex_Budget!$E:$E,$B$1010,Opex_Budget!$F:$F,$D$1010,Opex_Budget!$N:$N,"EUR")*$G$5+SUMIFS(Opex_Budget!$P:$P,Opex_Budget!$A:$A,$C$3,Opex_Budget!$E:$E,$B$1010,Opex_Budget!$F:$F,$D$1010,Opex_Budget!$N:$N,"GBP")*$H$5)</f>
        <v/>
      </c>
      <c r="J1010" s="32">
        <f>IF($B$1010="","",SUMIFS(Opex_Budget!$Q:$Q,Opex_Budget!$A:$A,$C$3,Opex_Budget!$E:$E,$B$1010,Opex_Budget!$F:$F,$D$1010,Opex_Budget!$N:$N,"JPY")*$E$5+SUMIFS(Opex_Budget!$Q:$Q,Opex_Budget!$A:$A,$C$3,Opex_Budget!$E:$E,$B$1010,Opex_Budget!$F:$F,$D$1010,Opex_Budget!$N:$N,"USD")*$F$5+SUMIFS(Opex_Budget!$Q:$Q,Opex_Budget!$A:$A,$C$3,Opex_Budget!$E:$E,$B$1010,Opex_Budget!$F:$F,$D$1010,Opex_Budget!$N:$N,"EUR")*$G$5+SUMIFS(Opex_Budget!$Q:$Q,Opex_Budget!$A:$A,$C$3,Opex_Budget!$E:$E,$B$1010,Opex_Budget!$F:$F,$D$1010,Opex_Budget!$N:$N,"GBP")*$H$5)</f>
        <v/>
      </c>
      <c r="K1010" s="32">
        <f>IF($B$1010="","",SUMIFS(Opex_Budget!$R:$R,Opex_Budget!$A:$A,$C$3,Opex_Budget!$E:$E,$B$1010,Opex_Budget!$F:$F,$D$1010,Opex_Budget!$N:$N,"JPY")*$E$5+SUMIFS(Opex_Budget!$R:$R,Opex_Budget!$A:$A,$C$3,Opex_Budget!$E:$E,$B$1010,Opex_Budget!$F:$F,$D$1010,Opex_Budget!$N:$N,"USD")*$F$5+SUMIFS(Opex_Budget!$R:$R,Opex_Budget!$A:$A,$C$3,Opex_Budget!$E:$E,$B$1010,Opex_Budget!$F:$F,$D$1010,Opex_Budget!$N:$N,"EUR")*$G$5+SUMIFS(Opex_Budget!$R:$R,Opex_Budget!$A:$A,$C$3,Opex_Budget!$E:$E,$B$1010,Opex_Budget!$F:$F,$D$1010,Opex_Budget!$N:$N,"GBP")*$H$5)</f>
        <v/>
      </c>
      <c r="L1010" s="32">
        <f>IF($B$1010="","",SUMIFS(Opex_Budget!$S:$S,Opex_Budget!$A:$A,$C$3,Opex_Budget!$E:$E,$B$1010,Opex_Budget!$F:$F,$D$1010,Opex_Budget!$N:$N,"JPY")*$E$5+SUMIFS(Opex_Budget!$S:$S,Opex_Budget!$A:$A,$C$3,Opex_Budget!$E:$E,$B$1010,Opex_Budget!$F:$F,$D$1010,Opex_Budget!$N:$N,"USD")*$F$5+SUMIFS(Opex_Budget!$S:$S,Opex_Budget!$A:$A,$C$3,Opex_Budget!$E:$E,$B$1010,Opex_Budget!$F:$F,$D$1010,Opex_Budget!$N:$N,"EUR")*$G$5+SUMIFS(Opex_Budget!$S:$S,Opex_Budget!$A:$A,$C$3,Opex_Budget!$E:$E,$B$1010,Opex_Budget!$F:$F,$D$1010,Opex_Budget!$N:$N,"GBP")*$H$5)</f>
        <v/>
      </c>
      <c r="M1010" s="32">
        <f>IF($B$1010="","",SUMIFS(Opex_Budget!$T:$T,Opex_Budget!$A:$A,$C$3,Opex_Budget!$E:$E,$B$1010,Opex_Budget!$F:$F,$D$1010,Opex_Budget!$N:$N,"JPY")*$E$5+SUMIFS(Opex_Budget!$T:$T,Opex_Budget!$A:$A,$C$3,Opex_Budget!$E:$E,$B$1010,Opex_Budget!$F:$F,$D$1010,Opex_Budget!$N:$N,"USD")*$F$5+SUMIFS(Opex_Budget!$T:$T,Opex_Budget!$A:$A,$C$3,Opex_Budget!$E:$E,$B$1010,Opex_Budget!$F:$F,$D$1010,Opex_Budget!$N:$N,"EUR")*$G$5+SUMIFS(Opex_Budget!$T:$T,Opex_Budget!$A:$A,$C$3,Opex_Budget!$E:$E,$B$1010,Opex_Budget!$F:$F,$D$1010,Opex_Budget!$N:$N,"GBP")*$H$5)</f>
        <v/>
      </c>
      <c r="N1010" s="32">
        <f>IF($B$1010="","",SUMIFS(Opex_Budget!$U:$U,Opex_Budget!$A:$A,$C$3,Opex_Budget!$E:$E,$B$1010,Opex_Budget!$F:$F,$D$1010,Opex_Budget!$N:$N,"JPY")*$E$5+SUMIFS(Opex_Budget!$U:$U,Opex_Budget!$A:$A,$C$3,Opex_Budget!$E:$E,$B$1010,Opex_Budget!$F:$F,$D$1010,Opex_Budget!$N:$N,"USD")*$F$5+SUMIFS(Opex_Budget!$U:$U,Opex_Budget!$A:$A,$C$3,Opex_Budget!$E:$E,$B$1010,Opex_Budget!$F:$F,$D$1010,Opex_Budget!$N:$N,"EUR")*$G$5+SUMIFS(Opex_Budget!$U:$U,Opex_Budget!$A:$A,$C$3,Opex_Budget!$E:$E,$B$1010,Opex_Budget!$F:$F,$D$1010,Opex_Budget!$N:$N,"GBP")*$H$5)</f>
        <v/>
      </c>
      <c r="O1010" s="32">
        <f>IF($B$1010="","",SUMIFS(Opex_Budget!$V:$V,Opex_Budget!$A:$A,$C$3,Opex_Budget!$E:$E,$B$1010,Opex_Budget!$F:$F,$D$1010,Opex_Budget!$N:$N,"JPY")*$E$5+SUMIFS(Opex_Budget!$V:$V,Opex_Budget!$A:$A,$C$3,Opex_Budget!$E:$E,$B$1010,Opex_Budget!$F:$F,$D$1010,Opex_Budget!$N:$N,"USD")*$F$5+SUMIFS(Opex_Budget!$V:$V,Opex_Budget!$A:$A,$C$3,Opex_Budget!$E:$E,$B$1010,Opex_Budget!$F:$F,$D$1010,Opex_Budget!$N:$N,"EUR")*$G$5+SUMIFS(Opex_Budget!$V:$V,Opex_Budget!$A:$A,$C$3,Opex_Budget!$E:$E,$B$1010,Opex_Budget!$F:$F,$D$1010,Opex_Budget!$N:$N,"GBP")*$H$5)</f>
        <v/>
      </c>
      <c r="P1010" s="32">
        <f>IF($B$1010="","",SUMIFS(Opex_Budget!$W:$W,Opex_Budget!$A:$A,$C$3,Opex_Budget!$E:$E,$B$1010,Opex_Budget!$F:$F,$D$1010,Opex_Budget!$N:$N,"JPY")*$E$5+SUMIFS(Opex_Budget!$W:$W,Opex_Budget!$A:$A,$C$3,Opex_Budget!$E:$E,$B$1010,Opex_Budget!$F:$F,$D$1010,Opex_Budget!$N:$N,"USD")*$F$5+SUMIFS(Opex_Budget!$W:$W,Opex_Budget!$A:$A,$C$3,Opex_Budget!$E:$E,$B$1010,Opex_Budget!$F:$F,$D$1010,Opex_Budget!$N:$N,"EUR")*$G$5+SUMIFS(Opex_Budget!$W:$W,Opex_Budget!$A:$A,$C$3,Opex_Budget!$E:$E,$B$1010,Opex_Budget!$F:$F,$D$1010,Opex_Budget!$N:$N,"GBP")*$H$5)</f>
        <v/>
      </c>
      <c r="Q1010" s="32">
        <f>IF($B$1010="","",SUMIFS(Opex_Budget!$X:$X,Opex_Budget!$A:$A,$C$3,Opex_Budget!$E:$E,$B$1010,Opex_Budget!$F:$F,$D$1010,Opex_Budget!$N:$N,"JPY")*$E$5+SUMIFS(Opex_Budget!$X:$X,Opex_Budget!$A:$A,$C$3,Opex_Budget!$E:$E,$B$1010,Opex_Budget!$F:$F,$D$1010,Opex_Budget!$N:$N,"USD")*$F$5+SUMIFS(Opex_Budget!$X:$X,Opex_Budget!$A:$A,$C$3,Opex_Budget!$E:$E,$B$1010,Opex_Budget!$F:$F,$D$1010,Opex_Budget!$N:$N,"EUR")*$G$5+SUMIFS(Opex_Budget!$X:$X,Opex_Budget!$A:$A,$C$3,Opex_Budget!$E:$E,$B$1010,Opex_Budget!$F:$F,$D$1010,Opex_Budget!$N:$N,"GBP")*$H$5)</f>
        <v/>
      </c>
      <c r="R1010" s="32">
        <f>IF($B$1010="","",SUMIFS(Opex_Budget!$Y:$Y,Opex_Budget!$A:$A,$C$3,Opex_Budget!$E:$E,$B$1010,Opex_Budget!$F:$F,$D$1010,Opex_Budget!$N:$N,"JPY")*$E$5+SUMIFS(Opex_Budget!$Y:$Y,Opex_Budget!$A:$A,$C$3,Opex_Budget!$E:$E,$B$1010,Opex_Budget!$F:$F,$D$1010,Opex_Budget!$N:$N,"USD")*$F$5+SUMIFS(Opex_Budget!$Y:$Y,Opex_Budget!$A:$A,$C$3,Opex_Budget!$E:$E,$B$1010,Opex_Budget!$F:$F,$D$1010,Opex_Budget!$N:$N,"EUR")*$G$5+SUMIFS(Opex_Budget!$Y:$Y,Opex_Budget!$A:$A,$C$3,Opex_Budget!$E:$E,$B$1010,Opex_Budget!$F:$F,$D$1010,Opex_Budget!$N:$N,"GBP")*$H$5)</f>
        <v/>
      </c>
      <c r="S1010" s="32">
        <f>IF($B$1010="","",SUMIFS(Opex_Budget!$Z:$Z,Opex_Budget!$A:$A,$C$3,Opex_Budget!$E:$E,$B$1010,Opex_Budget!$F:$F,$D$1010,Opex_Budget!$N:$N,"JPY")*$E$5+SUMIFS(Opex_Budget!$Z:$Z,Opex_Budget!$A:$A,$C$3,Opex_Budget!$E:$E,$B$1010,Opex_Budget!$F:$F,$D$1010,Opex_Budget!$N:$N,"USD")*$F$5+SUMIFS(Opex_Budget!$Z:$Z,Opex_Budget!$A:$A,$C$3,Opex_Budget!$E:$E,$B$1010,Opex_Budget!$F:$F,$D$1010,Opex_Budget!$N:$N,"EUR")*$G$5+SUMIFS(Opex_Budget!$Z:$Z,Opex_Budget!$A:$A,$C$3,Opex_Budget!$E:$E,$B$1010,Opex_Budget!$F:$F,$D$1010,Opex_Budget!$N:$N,"GBP")*$H$5)</f>
        <v/>
      </c>
      <c r="T1010" s="32">
        <f>IF($B$1010="","",SUMIF($H$7:$S$7,"&lt;="&amp;$C$4,$H1010:$S1010))</f>
        <v/>
      </c>
      <c r="U1010" s="32">
        <f>IF($B$1010="","",SUMIF($H$7:$S$7,"&gt;"&amp;$C$4,$H1010:$S1010))</f>
        <v/>
      </c>
      <c r="V1010" s="32">
        <f>IF($B$1010="","",SUM($H1010:$S1010))</f>
        <v/>
      </c>
      <c r="X1010" s="22">
        <f>IF($B1010="","",IFERROR(INDEX(Cost_Centers!$E:$E,MATCH($B1010,Cost_Centers!$A:$A,0)),"(unknown)"))</f>
        <v/>
      </c>
      <c r="Y1010" s="22">
        <f>IF($B1010="","",IFERROR(INDEX(Cost_Centers!$D:$D,MATCH($B1010,Cost_Centers!$A:$A,0)),"(unknown)"))</f>
        <v/>
      </c>
      <c r="Z1010" s="22">
        <f>IF(OR($B1010="",$G1010&lt;&gt;"Variance vs Budget"),"",ABS(N($V1010))+ROW()/1000000000)</f>
        <v/>
      </c>
    </row>
    <row r="1011">
      <c r="A1011" s="13">
        <f>IF(A$1010="","",A$1010)</f>
        <v/>
      </c>
      <c r="B1011" s="13">
        <f>IF(B$1010="","",B$1010)</f>
        <v/>
      </c>
      <c r="C1011" s="13">
        <f>IF(C$1010="","",C$1010)</f>
        <v/>
      </c>
      <c r="D1011" s="13">
        <f>IF(D$1010="","",D$1010)</f>
        <v/>
      </c>
      <c r="E1011" s="13">
        <f>IF(E$1010="","",E$1010)</f>
        <v/>
      </c>
      <c r="F1011" s="13">
        <f>IF(F$1010="","",F$1010)</f>
        <v/>
      </c>
      <c r="G1011" s="7" t="inlineStr">
        <is>
          <t>Actual</t>
        </is>
      </c>
      <c r="H1011" s="18">
        <f>IF(OR($B$1010="",1&gt;$C$4),"",SUMIFS(Actuals!$G:$G,Actuals!$B:$B,$C$3,Actuals!$C:$C,1,Actuals!$D:$D,$B$1010,Actuals!$A:$A,LEFT($D$1010,FIND("|",$D$1010&amp;"|")-1),Actuals!$E:$E,MID($D$1010,FIND("|",$D$1010&amp;"|")+1,50),Actuals!$F:$F,"JPY")*$E$5+SUMIFS(Actuals!$G:$G,Actuals!$B:$B,$C$3,Actuals!$C:$C,1,Actuals!$D:$D,$B$1010,Actuals!$A:$A,LEFT($D$1010,FIND("|",$D$1010&amp;"|")-1),Actuals!$E:$E,MID($D$1010,FIND("|",$D$1010&amp;"|")+1,50),Actuals!$F:$F,"USD")*$F$5+SUMIFS(Actuals!$G:$G,Actuals!$B:$B,$C$3,Actuals!$C:$C,1,Actuals!$D:$D,$B$1010,Actuals!$A:$A,LEFT($D$1010,FIND("|",$D$1010&amp;"|")-1),Actuals!$E:$E,MID($D$1010,FIND("|",$D$1010&amp;"|")+1,50),Actuals!$F:$F,"EUR")*$G$5+SUMIFS(Actuals!$G:$G,Actuals!$B:$B,$C$3,Actuals!$C:$C,1,Actuals!$D:$D,$B$1010,Actuals!$A:$A,LEFT($D$1010,FIND("|",$D$1010&amp;"|")-1),Actuals!$E:$E,MID($D$1010,FIND("|",$D$1010&amp;"|")+1,50),Actuals!$F:$F,"GBP")*$H$5)</f>
        <v/>
      </c>
      <c r="I1011" s="18">
        <f>IF(OR($B$1010="",2&gt;$C$4),"",SUMIFS(Actuals!$G:$G,Actuals!$B:$B,$C$3,Actuals!$C:$C,2,Actuals!$D:$D,$B$1010,Actuals!$A:$A,LEFT($D$1010,FIND("|",$D$1010&amp;"|")-1),Actuals!$E:$E,MID($D$1010,FIND("|",$D$1010&amp;"|")+1,50),Actuals!$F:$F,"JPY")*$E$5+SUMIFS(Actuals!$G:$G,Actuals!$B:$B,$C$3,Actuals!$C:$C,2,Actuals!$D:$D,$B$1010,Actuals!$A:$A,LEFT($D$1010,FIND("|",$D$1010&amp;"|")-1),Actuals!$E:$E,MID($D$1010,FIND("|",$D$1010&amp;"|")+1,50),Actuals!$F:$F,"USD")*$F$5+SUMIFS(Actuals!$G:$G,Actuals!$B:$B,$C$3,Actuals!$C:$C,2,Actuals!$D:$D,$B$1010,Actuals!$A:$A,LEFT($D$1010,FIND("|",$D$1010&amp;"|")-1),Actuals!$E:$E,MID($D$1010,FIND("|",$D$1010&amp;"|")+1,50),Actuals!$F:$F,"EUR")*$G$5+SUMIFS(Actuals!$G:$G,Actuals!$B:$B,$C$3,Actuals!$C:$C,2,Actuals!$D:$D,$B$1010,Actuals!$A:$A,LEFT($D$1010,FIND("|",$D$1010&amp;"|")-1),Actuals!$E:$E,MID($D$1010,FIND("|",$D$1010&amp;"|")+1,50),Actuals!$F:$F,"GBP")*$H$5)</f>
        <v/>
      </c>
      <c r="J1011" s="18">
        <f>IF(OR($B$1010="",3&gt;$C$4),"",SUMIFS(Actuals!$G:$G,Actuals!$B:$B,$C$3,Actuals!$C:$C,3,Actuals!$D:$D,$B$1010,Actuals!$A:$A,LEFT($D$1010,FIND("|",$D$1010&amp;"|")-1),Actuals!$E:$E,MID($D$1010,FIND("|",$D$1010&amp;"|")+1,50),Actuals!$F:$F,"JPY")*$E$5+SUMIFS(Actuals!$G:$G,Actuals!$B:$B,$C$3,Actuals!$C:$C,3,Actuals!$D:$D,$B$1010,Actuals!$A:$A,LEFT($D$1010,FIND("|",$D$1010&amp;"|")-1),Actuals!$E:$E,MID($D$1010,FIND("|",$D$1010&amp;"|")+1,50),Actuals!$F:$F,"USD")*$F$5+SUMIFS(Actuals!$G:$G,Actuals!$B:$B,$C$3,Actuals!$C:$C,3,Actuals!$D:$D,$B$1010,Actuals!$A:$A,LEFT($D$1010,FIND("|",$D$1010&amp;"|")-1),Actuals!$E:$E,MID($D$1010,FIND("|",$D$1010&amp;"|")+1,50),Actuals!$F:$F,"EUR")*$G$5+SUMIFS(Actuals!$G:$G,Actuals!$B:$B,$C$3,Actuals!$C:$C,3,Actuals!$D:$D,$B$1010,Actuals!$A:$A,LEFT($D$1010,FIND("|",$D$1010&amp;"|")-1),Actuals!$E:$E,MID($D$1010,FIND("|",$D$1010&amp;"|")+1,50),Actuals!$F:$F,"GBP")*$H$5)</f>
        <v/>
      </c>
      <c r="K1011" s="18">
        <f>IF(OR($B$1010="",4&gt;$C$4),"",SUMIFS(Actuals!$G:$G,Actuals!$B:$B,$C$3,Actuals!$C:$C,4,Actuals!$D:$D,$B$1010,Actuals!$A:$A,LEFT($D$1010,FIND("|",$D$1010&amp;"|")-1),Actuals!$E:$E,MID($D$1010,FIND("|",$D$1010&amp;"|")+1,50),Actuals!$F:$F,"JPY")*$E$5+SUMIFS(Actuals!$G:$G,Actuals!$B:$B,$C$3,Actuals!$C:$C,4,Actuals!$D:$D,$B$1010,Actuals!$A:$A,LEFT($D$1010,FIND("|",$D$1010&amp;"|")-1),Actuals!$E:$E,MID($D$1010,FIND("|",$D$1010&amp;"|")+1,50),Actuals!$F:$F,"USD")*$F$5+SUMIFS(Actuals!$G:$G,Actuals!$B:$B,$C$3,Actuals!$C:$C,4,Actuals!$D:$D,$B$1010,Actuals!$A:$A,LEFT($D$1010,FIND("|",$D$1010&amp;"|")-1),Actuals!$E:$E,MID($D$1010,FIND("|",$D$1010&amp;"|")+1,50),Actuals!$F:$F,"EUR")*$G$5+SUMIFS(Actuals!$G:$G,Actuals!$B:$B,$C$3,Actuals!$C:$C,4,Actuals!$D:$D,$B$1010,Actuals!$A:$A,LEFT($D$1010,FIND("|",$D$1010&amp;"|")-1),Actuals!$E:$E,MID($D$1010,FIND("|",$D$1010&amp;"|")+1,50),Actuals!$F:$F,"GBP")*$H$5)</f>
        <v/>
      </c>
      <c r="L1011" s="18">
        <f>IF(OR($B$1010="",5&gt;$C$4),"",SUMIFS(Actuals!$G:$G,Actuals!$B:$B,$C$3,Actuals!$C:$C,5,Actuals!$D:$D,$B$1010,Actuals!$A:$A,LEFT($D$1010,FIND("|",$D$1010&amp;"|")-1),Actuals!$E:$E,MID($D$1010,FIND("|",$D$1010&amp;"|")+1,50),Actuals!$F:$F,"JPY")*$E$5+SUMIFS(Actuals!$G:$G,Actuals!$B:$B,$C$3,Actuals!$C:$C,5,Actuals!$D:$D,$B$1010,Actuals!$A:$A,LEFT($D$1010,FIND("|",$D$1010&amp;"|")-1),Actuals!$E:$E,MID($D$1010,FIND("|",$D$1010&amp;"|")+1,50),Actuals!$F:$F,"USD")*$F$5+SUMIFS(Actuals!$G:$G,Actuals!$B:$B,$C$3,Actuals!$C:$C,5,Actuals!$D:$D,$B$1010,Actuals!$A:$A,LEFT($D$1010,FIND("|",$D$1010&amp;"|")-1),Actuals!$E:$E,MID($D$1010,FIND("|",$D$1010&amp;"|")+1,50),Actuals!$F:$F,"EUR")*$G$5+SUMIFS(Actuals!$G:$G,Actuals!$B:$B,$C$3,Actuals!$C:$C,5,Actuals!$D:$D,$B$1010,Actuals!$A:$A,LEFT($D$1010,FIND("|",$D$1010&amp;"|")-1),Actuals!$E:$E,MID($D$1010,FIND("|",$D$1010&amp;"|")+1,50),Actuals!$F:$F,"GBP")*$H$5)</f>
        <v/>
      </c>
      <c r="M1011" s="18">
        <f>IF(OR($B$1010="",6&gt;$C$4),"",SUMIFS(Actuals!$G:$G,Actuals!$B:$B,$C$3,Actuals!$C:$C,6,Actuals!$D:$D,$B$1010,Actuals!$A:$A,LEFT($D$1010,FIND("|",$D$1010&amp;"|")-1),Actuals!$E:$E,MID($D$1010,FIND("|",$D$1010&amp;"|")+1,50),Actuals!$F:$F,"JPY")*$E$5+SUMIFS(Actuals!$G:$G,Actuals!$B:$B,$C$3,Actuals!$C:$C,6,Actuals!$D:$D,$B$1010,Actuals!$A:$A,LEFT($D$1010,FIND("|",$D$1010&amp;"|")-1),Actuals!$E:$E,MID($D$1010,FIND("|",$D$1010&amp;"|")+1,50),Actuals!$F:$F,"USD")*$F$5+SUMIFS(Actuals!$G:$G,Actuals!$B:$B,$C$3,Actuals!$C:$C,6,Actuals!$D:$D,$B$1010,Actuals!$A:$A,LEFT($D$1010,FIND("|",$D$1010&amp;"|")-1),Actuals!$E:$E,MID($D$1010,FIND("|",$D$1010&amp;"|")+1,50),Actuals!$F:$F,"EUR")*$G$5+SUMIFS(Actuals!$G:$G,Actuals!$B:$B,$C$3,Actuals!$C:$C,6,Actuals!$D:$D,$B$1010,Actuals!$A:$A,LEFT($D$1010,FIND("|",$D$1010&amp;"|")-1),Actuals!$E:$E,MID($D$1010,FIND("|",$D$1010&amp;"|")+1,50),Actuals!$F:$F,"GBP")*$H$5)</f>
        <v/>
      </c>
      <c r="N1011" s="18">
        <f>IF(OR($B$1010="",7&gt;$C$4),"",SUMIFS(Actuals!$G:$G,Actuals!$B:$B,$C$3,Actuals!$C:$C,7,Actuals!$D:$D,$B$1010,Actuals!$A:$A,LEFT($D$1010,FIND("|",$D$1010&amp;"|")-1),Actuals!$E:$E,MID($D$1010,FIND("|",$D$1010&amp;"|")+1,50),Actuals!$F:$F,"JPY")*$E$5+SUMIFS(Actuals!$G:$G,Actuals!$B:$B,$C$3,Actuals!$C:$C,7,Actuals!$D:$D,$B$1010,Actuals!$A:$A,LEFT($D$1010,FIND("|",$D$1010&amp;"|")-1),Actuals!$E:$E,MID($D$1010,FIND("|",$D$1010&amp;"|")+1,50),Actuals!$F:$F,"USD")*$F$5+SUMIFS(Actuals!$G:$G,Actuals!$B:$B,$C$3,Actuals!$C:$C,7,Actuals!$D:$D,$B$1010,Actuals!$A:$A,LEFT($D$1010,FIND("|",$D$1010&amp;"|")-1),Actuals!$E:$E,MID($D$1010,FIND("|",$D$1010&amp;"|")+1,50),Actuals!$F:$F,"EUR")*$G$5+SUMIFS(Actuals!$G:$G,Actuals!$B:$B,$C$3,Actuals!$C:$C,7,Actuals!$D:$D,$B$1010,Actuals!$A:$A,LEFT($D$1010,FIND("|",$D$1010&amp;"|")-1),Actuals!$E:$E,MID($D$1010,FIND("|",$D$1010&amp;"|")+1,50),Actuals!$F:$F,"GBP")*$H$5)</f>
        <v/>
      </c>
      <c r="O1011" s="18">
        <f>IF(OR($B$1010="",8&gt;$C$4),"",SUMIFS(Actuals!$G:$G,Actuals!$B:$B,$C$3,Actuals!$C:$C,8,Actuals!$D:$D,$B$1010,Actuals!$A:$A,LEFT($D$1010,FIND("|",$D$1010&amp;"|")-1),Actuals!$E:$E,MID($D$1010,FIND("|",$D$1010&amp;"|")+1,50),Actuals!$F:$F,"JPY")*$E$5+SUMIFS(Actuals!$G:$G,Actuals!$B:$B,$C$3,Actuals!$C:$C,8,Actuals!$D:$D,$B$1010,Actuals!$A:$A,LEFT($D$1010,FIND("|",$D$1010&amp;"|")-1),Actuals!$E:$E,MID($D$1010,FIND("|",$D$1010&amp;"|")+1,50),Actuals!$F:$F,"USD")*$F$5+SUMIFS(Actuals!$G:$G,Actuals!$B:$B,$C$3,Actuals!$C:$C,8,Actuals!$D:$D,$B$1010,Actuals!$A:$A,LEFT($D$1010,FIND("|",$D$1010&amp;"|")-1),Actuals!$E:$E,MID($D$1010,FIND("|",$D$1010&amp;"|")+1,50),Actuals!$F:$F,"EUR")*$G$5+SUMIFS(Actuals!$G:$G,Actuals!$B:$B,$C$3,Actuals!$C:$C,8,Actuals!$D:$D,$B$1010,Actuals!$A:$A,LEFT($D$1010,FIND("|",$D$1010&amp;"|")-1),Actuals!$E:$E,MID($D$1010,FIND("|",$D$1010&amp;"|")+1,50),Actuals!$F:$F,"GBP")*$H$5)</f>
        <v/>
      </c>
      <c r="P1011" s="18">
        <f>IF(OR($B$1010="",9&gt;$C$4),"",SUMIFS(Actuals!$G:$G,Actuals!$B:$B,$C$3,Actuals!$C:$C,9,Actuals!$D:$D,$B$1010,Actuals!$A:$A,LEFT($D$1010,FIND("|",$D$1010&amp;"|")-1),Actuals!$E:$E,MID($D$1010,FIND("|",$D$1010&amp;"|")+1,50),Actuals!$F:$F,"JPY")*$E$5+SUMIFS(Actuals!$G:$G,Actuals!$B:$B,$C$3,Actuals!$C:$C,9,Actuals!$D:$D,$B$1010,Actuals!$A:$A,LEFT($D$1010,FIND("|",$D$1010&amp;"|")-1),Actuals!$E:$E,MID($D$1010,FIND("|",$D$1010&amp;"|")+1,50),Actuals!$F:$F,"USD")*$F$5+SUMIFS(Actuals!$G:$G,Actuals!$B:$B,$C$3,Actuals!$C:$C,9,Actuals!$D:$D,$B$1010,Actuals!$A:$A,LEFT($D$1010,FIND("|",$D$1010&amp;"|")-1),Actuals!$E:$E,MID($D$1010,FIND("|",$D$1010&amp;"|")+1,50),Actuals!$F:$F,"EUR")*$G$5+SUMIFS(Actuals!$G:$G,Actuals!$B:$B,$C$3,Actuals!$C:$C,9,Actuals!$D:$D,$B$1010,Actuals!$A:$A,LEFT($D$1010,FIND("|",$D$1010&amp;"|")-1),Actuals!$E:$E,MID($D$1010,FIND("|",$D$1010&amp;"|")+1,50),Actuals!$F:$F,"GBP")*$H$5)</f>
        <v/>
      </c>
      <c r="Q1011" s="18">
        <f>IF(OR($B$1010="",10&gt;$C$4),"",SUMIFS(Actuals!$G:$G,Actuals!$B:$B,$C$3,Actuals!$C:$C,10,Actuals!$D:$D,$B$1010,Actuals!$A:$A,LEFT($D$1010,FIND("|",$D$1010&amp;"|")-1),Actuals!$E:$E,MID($D$1010,FIND("|",$D$1010&amp;"|")+1,50),Actuals!$F:$F,"JPY")*$E$5+SUMIFS(Actuals!$G:$G,Actuals!$B:$B,$C$3,Actuals!$C:$C,10,Actuals!$D:$D,$B$1010,Actuals!$A:$A,LEFT($D$1010,FIND("|",$D$1010&amp;"|")-1),Actuals!$E:$E,MID($D$1010,FIND("|",$D$1010&amp;"|")+1,50),Actuals!$F:$F,"USD")*$F$5+SUMIFS(Actuals!$G:$G,Actuals!$B:$B,$C$3,Actuals!$C:$C,10,Actuals!$D:$D,$B$1010,Actuals!$A:$A,LEFT($D$1010,FIND("|",$D$1010&amp;"|")-1),Actuals!$E:$E,MID($D$1010,FIND("|",$D$1010&amp;"|")+1,50),Actuals!$F:$F,"EUR")*$G$5+SUMIFS(Actuals!$G:$G,Actuals!$B:$B,$C$3,Actuals!$C:$C,10,Actuals!$D:$D,$B$1010,Actuals!$A:$A,LEFT($D$1010,FIND("|",$D$1010&amp;"|")-1),Actuals!$E:$E,MID($D$1010,FIND("|",$D$1010&amp;"|")+1,50),Actuals!$F:$F,"GBP")*$H$5)</f>
        <v/>
      </c>
      <c r="R1011" s="18">
        <f>IF(OR($B$1010="",11&gt;$C$4),"",SUMIFS(Actuals!$G:$G,Actuals!$B:$B,$C$3,Actuals!$C:$C,11,Actuals!$D:$D,$B$1010,Actuals!$A:$A,LEFT($D$1010,FIND("|",$D$1010&amp;"|")-1),Actuals!$E:$E,MID($D$1010,FIND("|",$D$1010&amp;"|")+1,50),Actuals!$F:$F,"JPY")*$E$5+SUMIFS(Actuals!$G:$G,Actuals!$B:$B,$C$3,Actuals!$C:$C,11,Actuals!$D:$D,$B$1010,Actuals!$A:$A,LEFT($D$1010,FIND("|",$D$1010&amp;"|")-1),Actuals!$E:$E,MID($D$1010,FIND("|",$D$1010&amp;"|")+1,50),Actuals!$F:$F,"USD")*$F$5+SUMIFS(Actuals!$G:$G,Actuals!$B:$B,$C$3,Actuals!$C:$C,11,Actuals!$D:$D,$B$1010,Actuals!$A:$A,LEFT($D$1010,FIND("|",$D$1010&amp;"|")-1),Actuals!$E:$E,MID($D$1010,FIND("|",$D$1010&amp;"|")+1,50),Actuals!$F:$F,"EUR")*$G$5+SUMIFS(Actuals!$G:$G,Actuals!$B:$B,$C$3,Actuals!$C:$C,11,Actuals!$D:$D,$B$1010,Actuals!$A:$A,LEFT($D$1010,FIND("|",$D$1010&amp;"|")-1),Actuals!$E:$E,MID($D$1010,FIND("|",$D$1010&amp;"|")+1,50),Actuals!$F:$F,"GBP")*$H$5)</f>
        <v/>
      </c>
      <c r="S1011" s="18">
        <f>IF(OR($B$1010="",12&gt;$C$4),"",SUMIFS(Actuals!$G:$G,Actuals!$B:$B,$C$3,Actuals!$C:$C,12,Actuals!$D:$D,$B$1010,Actuals!$A:$A,LEFT($D$1010,FIND("|",$D$1010&amp;"|")-1),Actuals!$E:$E,MID($D$1010,FIND("|",$D$1010&amp;"|")+1,50),Actuals!$F:$F,"JPY")*$E$5+SUMIFS(Actuals!$G:$G,Actuals!$B:$B,$C$3,Actuals!$C:$C,12,Actuals!$D:$D,$B$1010,Actuals!$A:$A,LEFT($D$1010,FIND("|",$D$1010&amp;"|")-1),Actuals!$E:$E,MID($D$1010,FIND("|",$D$1010&amp;"|")+1,50),Actuals!$F:$F,"USD")*$F$5+SUMIFS(Actuals!$G:$G,Actuals!$B:$B,$C$3,Actuals!$C:$C,12,Actuals!$D:$D,$B$1010,Actuals!$A:$A,LEFT($D$1010,FIND("|",$D$1010&amp;"|")-1),Actuals!$E:$E,MID($D$1010,FIND("|",$D$1010&amp;"|")+1,50),Actuals!$F:$F,"EUR")*$G$5+SUMIFS(Actuals!$G:$G,Actuals!$B:$B,$C$3,Actuals!$C:$C,12,Actuals!$D:$D,$B$1010,Actuals!$A:$A,LEFT($D$1010,FIND("|",$D$1010&amp;"|")-1),Actuals!$E:$E,MID($D$1010,FIND("|",$D$1010&amp;"|")+1,50),Actuals!$F:$F,"GBP")*$H$5)</f>
        <v/>
      </c>
      <c r="T1011" s="18">
        <f>IF($B$1010="","",SUMIF($H$7:$S$7,"&lt;="&amp;$C$4,$H1011:$S1011))</f>
        <v/>
      </c>
      <c r="U1011" s="18" t="n"/>
      <c r="V1011" s="18" t="n"/>
      <c r="X1011" s="22">
        <f>IF($B1011="","",IFERROR(INDEX(Cost_Centers!$E:$E,MATCH($B1011,Cost_Centers!$A:$A,0)),"(unknown)"))</f>
        <v/>
      </c>
      <c r="Y1011" s="22">
        <f>IF($B1011="","",IFERROR(INDEX(Cost_Centers!$D:$D,MATCH($B1011,Cost_Centers!$A:$A,0)),"(unknown)"))</f>
        <v/>
      </c>
      <c r="Z1011" s="22">
        <f>IF(OR($B1011="",$G1011&lt;&gt;"Variance vs Budget"),"",ABS(N($V1011))+ROW()/1000000000)</f>
        <v/>
      </c>
    </row>
    <row r="1012">
      <c r="A1012" s="13">
        <f>IF(A$1010="","",A$1010)</f>
        <v/>
      </c>
      <c r="B1012" s="13">
        <f>IF(B$1010="","",B$1010)</f>
        <v/>
      </c>
      <c r="C1012" s="13">
        <f>IF(C$1010="","",C$1010)</f>
        <v/>
      </c>
      <c r="D1012" s="13">
        <f>IF(D$1010="","",D$1010)</f>
        <v/>
      </c>
      <c r="E1012" s="13">
        <f>IF(E$1010="","",E$1010)</f>
        <v/>
      </c>
      <c r="F1012" s="13">
        <f>IF(F$1010="","",F$1010)</f>
        <v/>
      </c>
      <c r="G1012" s="6" t="inlineStr">
        <is>
          <t>Variance vs Budget</t>
        </is>
      </c>
      <c r="H1012" s="33">
        <f>IF(OR($B$1010="",1&gt;$C$4),"",N(H1011)-H1010)</f>
        <v/>
      </c>
      <c r="I1012" s="33">
        <f>IF(OR($B$1010="",2&gt;$C$4),"",N(I1011)-I1010)</f>
        <v/>
      </c>
      <c r="J1012" s="33">
        <f>IF(OR($B$1010="",3&gt;$C$4),"",N(J1011)-J1010)</f>
        <v/>
      </c>
      <c r="K1012" s="33">
        <f>IF(OR($B$1010="",4&gt;$C$4),"",N(K1011)-K1010)</f>
        <v/>
      </c>
      <c r="L1012" s="33">
        <f>IF(OR($B$1010="",5&gt;$C$4),"",N(L1011)-L1010)</f>
        <v/>
      </c>
      <c r="M1012" s="33">
        <f>IF(OR($B$1010="",6&gt;$C$4),"",N(M1011)-M1010)</f>
        <v/>
      </c>
      <c r="N1012" s="33">
        <f>IF(OR($B$1010="",7&gt;$C$4),"",N(N1011)-N1010)</f>
        <v/>
      </c>
      <c r="O1012" s="33">
        <f>IF(OR($B$1010="",8&gt;$C$4),"",N(O1011)-O1010)</f>
        <v/>
      </c>
      <c r="P1012" s="33">
        <f>IF(OR($B$1010="",9&gt;$C$4),"",N(P1011)-P1010)</f>
        <v/>
      </c>
      <c r="Q1012" s="33">
        <f>IF(OR($B$1010="",10&gt;$C$4),"",N(Q1011)-Q1010)</f>
        <v/>
      </c>
      <c r="R1012" s="33">
        <f>IF(OR($B$1010="",11&gt;$C$4),"",N(R1011)-R1010)</f>
        <v/>
      </c>
      <c r="S1012" s="33">
        <f>IF(OR($B$1010="",12&gt;$C$4),"",N(S1011)-S1010)</f>
        <v/>
      </c>
      <c r="T1012" s="33">
        <f>IF($B$1010="","",T1011-T1010)</f>
        <v/>
      </c>
      <c r="U1012" s="33">
        <f>IF($B$1010="","",U1014-U1010)</f>
        <v/>
      </c>
      <c r="V1012" s="33">
        <f>IF($B$1010="","",V1014-V1010)</f>
        <v/>
      </c>
      <c r="X1012" s="22">
        <f>IF($B1012="","",IFERROR(INDEX(Cost_Centers!$E:$E,MATCH($B1012,Cost_Centers!$A:$A,0)),"(unknown)"))</f>
        <v/>
      </c>
      <c r="Y1012" s="22">
        <f>IF($B1012="","",IFERROR(INDEX(Cost_Centers!$D:$D,MATCH($B1012,Cost_Centers!$A:$A,0)),"(unknown)"))</f>
        <v/>
      </c>
      <c r="Z1012" s="22">
        <f>IF(OR($B1012="",$G1012&lt;&gt;"Variance vs Budget"),"",ABS(N($V1012))+ROW()/1000000000)</f>
        <v/>
      </c>
    </row>
    <row r="1013">
      <c r="A1013" s="13">
        <f>IF(A$1010="","",A$1010)</f>
        <v/>
      </c>
      <c r="B1013" s="13">
        <f>IF(B$1010="","",B$1010)</f>
        <v/>
      </c>
      <c r="C1013" s="13">
        <f>IF(C$1010="","",C$1010)</f>
        <v/>
      </c>
      <c r="D1013" s="13">
        <f>IF(D$1010="","",D$1010)</f>
        <v/>
      </c>
      <c r="E1013" s="13">
        <f>IF(E$1010="","",E$1010)</f>
        <v/>
      </c>
      <c r="F1013" s="13">
        <f>IF(F$1010="","",F$1010)</f>
        <v/>
      </c>
      <c r="G1013" s="7" t="inlineStr">
        <is>
          <t>Forecast (input)</t>
        </is>
      </c>
      <c r="H1013" s="34" t="n"/>
      <c r="I1013" s="34" t="n"/>
      <c r="J1013" s="34" t="n"/>
      <c r="K1013" s="34" t="n"/>
      <c r="L1013" s="34" t="n"/>
      <c r="M1013" s="34" t="n"/>
      <c r="N1013" s="34" t="n"/>
      <c r="O1013" s="34" t="n"/>
      <c r="P1013" s="34" t="n"/>
      <c r="Q1013" s="34" t="n"/>
      <c r="R1013" s="34" t="n"/>
      <c r="S1013" s="34" t="n"/>
      <c r="T1013" s="18" t="n"/>
      <c r="U1013" s="18" t="n"/>
      <c r="V1013" s="18" t="n"/>
      <c r="X1013" s="22">
        <f>IF($B1013="","",IFERROR(INDEX(Cost_Centers!$E:$E,MATCH($B1013,Cost_Centers!$A:$A,0)),"(unknown)"))</f>
        <v/>
      </c>
      <c r="Y1013" s="22">
        <f>IF($B1013="","",IFERROR(INDEX(Cost_Centers!$D:$D,MATCH($B1013,Cost_Centers!$A:$A,0)),"(unknown)"))</f>
        <v/>
      </c>
      <c r="Z1013" s="22">
        <f>IF(OR($B1013="",$G1013&lt;&gt;"Variance vs Budget"),"",ABS(N($V1013))+ROW()/1000000000)</f>
        <v/>
      </c>
    </row>
    <row r="1014">
      <c r="A1014" s="13">
        <f>IF(A$1010="","",A$1010)</f>
        <v/>
      </c>
      <c r="B1014" s="13">
        <f>IF(B$1010="","",B$1010)</f>
        <v/>
      </c>
      <c r="C1014" s="13">
        <f>IF(C$1010="","",C$1010)</f>
        <v/>
      </c>
      <c r="D1014" s="13">
        <f>IF(D$1010="","",D$1010)</f>
        <v/>
      </c>
      <c r="E1014" s="13">
        <f>IF(E$1010="","",E$1010)</f>
        <v/>
      </c>
      <c r="F1014" s="13">
        <f>IF(F$1010="","",F$1010)</f>
        <v/>
      </c>
      <c r="G1014" s="35" t="inlineStr">
        <is>
          <t>Actual + Forecast</t>
        </is>
      </c>
      <c r="H1014" s="18">
        <f>IF($B$1010="","",IF(1&lt;=$C$4,N(H1011),IF(H1013="",H1010,H1013)))</f>
        <v/>
      </c>
      <c r="I1014" s="18">
        <f>IF($B$1010="","",IF(2&lt;=$C$4,N(I1011),IF(I1013="",I1010,I1013)))</f>
        <v/>
      </c>
      <c r="J1014" s="18">
        <f>IF($B$1010="","",IF(3&lt;=$C$4,N(J1011),IF(J1013="",J1010,J1013)))</f>
        <v/>
      </c>
      <c r="K1014" s="18">
        <f>IF($B$1010="","",IF(4&lt;=$C$4,N(K1011),IF(K1013="",K1010,K1013)))</f>
        <v/>
      </c>
      <c r="L1014" s="18">
        <f>IF($B$1010="","",IF(5&lt;=$C$4,N(L1011),IF(L1013="",L1010,L1013)))</f>
        <v/>
      </c>
      <c r="M1014" s="18">
        <f>IF($B$1010="","",IF(6&lt;=$C$4,N(M1011),IF(M1013="",M1010,M1013)))</f>
        <v/>
      </c>
      <c r="N1014" s="18">
        <f>IF($B$1010="","",IF(7&lt;=$C$4,N(N1011),IF(N1013="",N1010,N1013)))</f>
        <v/>
      </c>
      <c r="O1014" s="18">
        <f>IF($B$1010="","",IF(8&lt;=$C$4,N(O1011),IF(O1013="",O1010,O1013)))</f>
        <v/>
      </c>
      <c r="P1014" s="18">
        <f>IF($B$1010="","",IF(9&lt;=$C$4,N(P1011),IF(P1013="",P1010,P1013)))</f>
        <v/>
      </c>
      <c r="Q1014" s="18">
        <f>IF($B$1010="","",IF(10&lt;=$C$4,N(Q1011),IF(Q1013="",Q1010,Q1013)))</f>
        <v/>
      </c>
      <c r="R1014" s="18">
        <f>IF($B$1010="","",IF(11&lt;=$C$4,N(R1011),IF(R1013="",R1010,R1013)))</f>
        <v/>
      </c>
      <c r="S1014" s="18">
        <f>IF($B$1010="","",IF(12&lt;=$C$4,N(S1011),IF(S1013="",S1010,S1013)))</f>
        <v/>
      </c>
      <c r="T1014" s="18">
        <f>IF($B$1010="","",SUMIF($H$7:$S$7,"&lt;="&amp;$C$4,$H1014:$S1014))</f>
        <v/>
      </c>
      <c r="U1014" s="18">
        <f>IF($B$1010="","",SUMIF($H$7:$S$7,"&gt;"&amp;$C$4,$H1014:$S1014))</f>
        <v/>
      </c>
      <c r="V1014" s="18">
        <f>IF($B$1010="","",SUM($H1014:$S1014))</f>
        <v/>
      </c>
      <c r="X1014" s="22">
        <f>IF($B1014="","",IFERROR(INDEX(Cost_Centers!$E:$E,MATCH($B1014,Cost_Centers!$A:$A,0)),"(unknown)"))</f>
        <v/>
      </c>
      <c r="Y1014" s="22">
        <f>IF($B1014="","",IFERROR(INDEX(Cost_Centers!$D:$D,MATCH($B1014,Cost_Centers!$A:$A,0)),"(unknown)"))</f>
        <v/>
      </c>
      <c r="Z1014" s="22">
        <f>IF(OR($B1014="",$G1014&lt;&gt;"Variance vs Budget"),"",ABS(N($V1014))+ROW()/1000000000)</f>
        <v/>
      </c>
    </row>
    <row r="1015">
      <c r="A1015" s="13">
        <f>IF(A$1010="","",A$1010)</f>
        <v/>
      </c>
      <c r="B1015" s="13">
        <f>IF(B$1010="","",B$1010)</f>
        <v/>
      </c>
      <c r="C1015" s="13">
        <f>IF(C$1010="","",C$1010)</f>
        <v/>
      </c>
      <c r="D1015" s="13">
        <f>IF(D$1010="","",D$1010)</f>
        <v/>
      </c>
      <c r="E1015" s="13">
        <f>IF(E$1010="","",E$1010)</f>
        <v/>
      </c>
      <c r="F1015" s="13">
        <f>IF(F$1010="","",F$1010)</f>
        <v/>
      </c>
      <c r="G1015" s="36" t="inlineStr">
        <is>
          <t>Prior Month Forecast</t>
        </is>
      </c>
      <c r="H1015" s="37">
        <f>IF($B$1010="","",IF(COUNTIFS(Prior_Forecast!$A:$A,$B$1010,Prior_Forecast!$B:$B,$D$1010)&gt;0,SUMIFS(Prior_Forecast!$C:$C,Prior_Forecast!$A:$A,$B$1010,Prior_Forecast!$B:$B,$D$1010),""))</f>
        <v/>
      </c>
      <c r="I1015" s="37">
        <f>IF($B$1010="","",IF(COUNTIFS(Prior_Forecast!$A:$A,$B$1010,Prior_Forecast!$B:$B,$D$1010)&gt;0,SUMIFS(Prior_Forecast!$D:$D,Prior_Forecast!$A:$A,$B$1010,Prior_Forecast!$B:$B,$D$1010),""))</f>
        <v/>
      </c>
      <c r="J1015" s="37">
        <f>IF($B$1010="","",IF(COUNTIFS(Prior_Forecast!$A:$A,$B$1010,Prior_Forecast!$B:$B,$D$1010)&gt;0,SUMIFS(Prior_Forecast!$E:$E,Prior_Forecast!$A:$A,$B$1010,Prior_Forecast!$B:$B,$D$1010),""))</f>
        <v/>
      </c>
      <c r="K1015" s="37">
        <f>IF($B$1010="","",IF(COUNTIFS(Prior_Forecast!$A:$A,$B$1010,Prior_Forecast!$B:$B,$D$1010)&gt;0,SUMIFS(Prior_Forecast!$F:$F,Prior_Forecast!$A:$A,$B$1010,Prior_Forecast!$B:$B,$D$1010),""))</f>
        <v/>
      </c>
      <c r="L1015" s="37">
        <f>IF($B$1010="","",IF(COUNTIFS(Prior_Forecast!$A:$A,$B$1010,Prior_Forecast!$B:$B,$D$1010)&gt;0,SUMIFS(Prior_Forecast!$G:$G,Prior_Forecast!$A:$A,$B$1010,Prior_Forecast!$B:$B,$D$1010),""))</f>
        <v/>
      </c>
      <c r="M1015" s="37">
        <f>IF($B$1010="","",IF(COUNTIFS(Prior_Forecast!$A:$A,$B$1010,Prior_Forecast!$B:$B,$D$1010)&gt;0,SUMIFS(Prior_Forecast!$H:$H,Prior_Forecast!$A:$A,$B$1010,Prior_Forecast!$B:$B,$D$1010),""))</f>
        <v/>
      </c>
      <c r="N1015" s="37">
        <f>IF($B$1010="","",IF(COUNTIFS(Prior_Forecast!$A:$A,$B$1010,Prior_Forecast!$B:$B,$D$1010)&gt;0,SUMIFS(Prior_Forecast!$I:$I,Prior_Forecast!$A:$A,$B$1010,Prior_Forecast!$B:$B,$D$1010),""))</f>
        <v/>
      </c>
      <c r="O1015" s="37">
        <f>IF($B$1010="","",IF(COUNTIFS(Prior_Forecast!$A:$A,$B$1010,Prior_Forecast!$B:$B,$D$1010)&gt;0,SUMIFS(Prior_Forecast!$J:$J,Prior_Forecast!$A:$A,$B$1010,Prior_Forecast!$B:$B,$D$1010),""))</f>
        <v/>
      </c>
      <c r="P1015" s="37">
        <f>IF($B$1010="","",IF(COUNTIFS(Prior_Forecast!$A:$A,$B$1010,Prior_Forecast!$B:$B,$D$1010)&gt;0,SUMIFS(Prior_Forecast!$K:$K,Prior_Forecast!$A:$A,$B$1010,Prior_Forecast!$B:$B,$D$1010),""))</f>
        <v/>
      </c>
      <c r="Q1015" s="37">
        <f>IF($B$1010="","",IF(COUNTIFS(Prior_Forecast!$A:$A,$B$1010,Prior_Forecast!$B:$B,$D$1010)&gt;0,SUMIFS(Prior_Forecast!$L:$L,Prior_Forecast!$A:$A,$B$1010,Prior_Forecast!$B:$B,$D$1010),""))</f>
        <v/>
      </c>
      <c r="R1015" s="37">
        <f>IF($B$1010="","",IF(COUNTIFS(Prior_Forecast!$A:$A,$B$1010,Prior_Forecast!$B:$B,$D$1010)&gt;0,SUMIFS(Prior_Forecast!$M:$M,Prior_Forecast!$A:$A,$B$1010,Prior_Forecast!$B:$B,$D$1010),""))</f>
        <v/>
      </c>
      <c r="S1015" s="37">
        <f>IF($B$1010="","",IF(COUNTIFS(Prior_Forecast!$A:$A,$B$1010,Prior_Forecast!$B:$B,$D$1010)&gt;0,SUMIFS(Prior_Forecast!$N:$N,Prior_Forecast!$A:$A,$B$1010,Prior_Forecast!$B:$B,$D$1010),""))</f>
        <v/>
      </c>
      <c r="T1015" s="37">
        <f>IF($B$1010="","",IF(COUNTIFS(Prior_Forecast!$A:$A,$B$1010,Prior_Forecast!$B:$B,$D$1010)&gt;0,SUMIFS(Prior_Forecast!$O:$O,Prior_Forecast!$A:$A,$B$1010,Prior_Forecast!$B:$B,$D$1010),""))</f>
        <v/>
      </c>
      <c r="U1015" s="37">
        <f>IF($B$1010="","",IF(COUNTIFS(Prior_Forecast!$A:$A,$B$1010,Prior_Forecast!$B:$B,$D$1010)&gt;0,SUMIFS(Prior_Forecast!$P:$P,Prior_Forecast!$A:$A,$B$1010,Prior_Forecast!$B:$B,$D$1010),""))</f>
        <v/>
      </c>
      <c r="V1015" s="37">
        <f>IF($B$1010="","",IF(COUNTIFS(Prior_Forecast!$A:$A,$B$1010,Prior_Forecast!$B:$B,$D$1010)&gt;0,SUMIFS(Prior_Forecast!$Q:$Q,Prior_Forecast!$A:$A,$B$1010,Prior_Forecast!$B:$B,$D$1010),""))</f>
        <v/>
      </c>
      <c r="X1015" s="22">
        <f>IF($B1015="","",IFERROR(INDEX(Cost_Centers!$E:$E,MATCH($B1015,Cost_Centers!$A:$A,0)),"(unknown)"))</f>
        <v/>
      </c>
      <c r="Y1015" s="22">
        <f>IF($B1015="","",IFERROR(INDEX(Cost_Centers!$D:$D,MATCH($B1015,Cost_Centers!$A:$A,0)),"(unknown)"))</f>
        <v/>
      </c>
      <c r="Z1015" s="22">
        <f>IF(OR($B1015="",$G1015&lt;&gt;"Variance vs Budget"),"",ABS(N($V1015))+ROW()/1000000000)</f>
        <v/>
      </c>
    </row>
    <row r="1016">
      <c r="A1016" s="13">
        <f>IF(A$1010="","",A$1010)</f>
        <v/>
      </c>
      <c r="B1016" s="13">
        <f>IF(B$1010="","",B$1010)</f>
        <v/>
      </c>
      <c r="C1016" s="13">
        <f>IF(C$1010="","",C$1010)</f>
        <v/>
      </c>
      <c r="D1016" s="13">
        <f>IF(D$1010="","",D$1010)</f>
        <v/>
      </c>
      <c r="E1016" s="13">
        <f>IF(E$1010="","",E$1010)</f>
        <v/>
      </c>
      <c r="F1016" s="13">
        <f>IF(F$1010="","",F$1010)</f>
        <v/>
      </c>
      <c r="G1016" s="6" t="inlineStr">
        <is>
          <t>Variance vs Prior Month</t>
        </is>
      </c>
      <c r="H1016" s="33">
        <f>IF(OR($B$1010="",H1015=""),"",H1014-H1015)</f>
        <v/>
      </c>
      <c r="I1016" s="33">
        <f>IF(OR($B$1010="",I1015=""),"",I1014-I1015)</f>
        <v/>
      </c>
      <c r="J1016" s="33">
        <f>IF(OR($B$1010="",J1015=""),"",J1014-J1015)</f>
        <v/>
      </c>
      <c r="K1016" s="33">
        <f>IF(OR($B$1010="",K1015=""),"",K1014-K1015)</f>
        <v/>
      </c>
      <c r="L1016" s="33">
        <f>IF(OR($B$1010="",L1015=""),"",L1014-L1015)</f>
        <v/>
      </c>
      <c r="M1016" s="33">
        <f>IF(OR($B$1010="",M1015=""),"",M1014-M1015)</f>
        <v/>
      </c>
      <c r="N1016" s="33">
        <f>IF(OR($B$1010="",N1015=""),"",N1014-N1015)</f>
        <v/>
      </c>
      <c r="O1016" s="33">
        <f>IF(OR($B$1010="",O1015=""),"",O1014-O1015)</f>
        <v/>
      </c>
      <c r="P1016" s="33">
        <f>IF(OR($B$1010="",P1015=""),"",P1014-P1015)</f>
        <v/>
      </c>
      <c r="Q1016" s="33">
        <f>IF(OR($B$1010="",Q1015=""),"",Q1014-Q1015)</f>
        <v/>
      </c>
      <c r="R1016" s="33">
        <f>IF(OR($B$1010="",R1015=""),"",R1014-R1015)</f>
        <v/>
      </c>
      <c r="S1016" s="33">
        <f>IF(OR($B$1010="",S1015=""),"",S1014-S1015)</f>
        <v/>
      </c>
      <c r="T1016" s="33">
        <f>IF(OR($B$1010="",T1015=""),"",T1014-T1015)</f>
        <v/>
      </c>
      <c r="U1016" s="33">
        <f>IF(OR($B$1010="",U1015=""),"",U1014-U1015)</f>
        <v/>
      </c>
      <c r="V1016" s="33">
        <f>IF(OR($B$1010="",V1015=""),"",V1014-V1015)</f>
        <v/>
      </c>
      <c r="X1016" s="22">
        <f>IF($B1016="","",IFERROR(INDEX(Cost_Centers!$E:$E,MATCH($B1016,Cost_Centers!$A:$A,0)),"(unknown)"))</f>
        <v/>
      </c>
      <c r="Y1016" s="22">
        <f>IF($B1016="","",IFERROR(INDEX(Cost_Centers!$D:$D,MATCH($B1016,Cost_Centers!$A:$A,0)),"(unknown)"))</f>
        <v/>
      </c>
      <c r="Z1016" s="22">
        <f>IF(OR($B1016="",$G1016&lt;&gt;"Variance vs Budget"),"",ABS(N($V1016))+ROW()/1000000000)</f>
        <v/>
      </c>
    </row>
    <row r="1017" ht="45" customHeight="1">
      <c r="A1017" s="13">
        <f>IF(A$1010="","",A$1010)</f>
        <v/>
      </c>
      <c r="B1017" s="13">
        <f>IF(B$1010="","",B$1010)</f>
        <v/>
      </c>
      <c r="C1017" s="13">
        <f>IF(C$1010="","",C$1010)</f>
        <v/>
      </c>
      <c r="D1017" s="13">
        <f>IF(D$1010="","",D$1010)</f>
        <v/>
      </c>
      <c r="E1017" s="13">
        <f>IF(E$1010="","",E$1010)</f>
        <v/>
      </c>
      <c r="F1017" s="13">
        <f>IF(F$1010="","",F$1010)</f>
        <v/>
      </c>
      <c r="G1017" s="7" t="inlineStr">
        <is>
          <t>Rationale</t>
        </is>
      </c>
      <c r="H1017" s="38" t="n"/>
      <c r="I1017" s="38" t="n"/>
      <c r="J1017" s="38" t="n"/>
      <c r="K1017" s="38" t="n"/>
      <c r="L1017" s="38" t="n"/>
      <c r="M1017" s="38" t="n"/>
      <c r="N1017" s="38" t="n"/>
      <c r="O1017" s="38" t="n"/>
      <c r="P1017" s="38" t="n"/>
      <c r="Q1017" s="38" t="n"/>
      <c r="R1017" s="38" t="n"/>
      <c r="S1017" s="38" t="n"/>
      <c r="T1017" s="38" t="n"/>
      <c r="U1017" s="38" t="n"/>
      <c r="V1017" s="7" t="n"/>
      <c r="X1017" s="22">
        <f>IF($B1017="","",IFERROR(INDEX(Cost_Centers!$E:$E,MATCH($B1017,Cost_Centers!$A:$A,0)),"(unknown)"))</f>
        <v/>
      </c>
      <c r="Y1017" s="22">
        <f>IF($B1017="","",IFERROR(INDEX(Cost_Centers!$D:$D,MATCH($B1017,Cost_Centers!$A:$A,0)),"(unknown)"))</f>
        <v/>
      </c>
      <c r="Z1017" s="22">
        <f>IF(OR($B1017="",$G1017&lt;&gt;"Variance vs Budget"),"",ABS(N($V1017))+ROW()/1000000000)</f>
        <v/>
      </c>
    </row>
    <row r="1018">
      <c r="A1018" s="30">
        <f>IF($D$1018="","",LEFT($D$1018,FIND("|",$D$1018&amp;"|")-1))</f>
        <v/>
      </c>
      <c r="B1018" s="31" t="n"/>
      <c r="C1018" s="30">
        <f>IF($B$1018="","",IFERROR(INDEX(Cost_Centers!$B:$B,MATCH($B$1018,Cost_Centers!$A:$A,0)),"(not in master)"))</f>
        <v/>
      </c>
      <c r="D1018" s="31" t="n"/>
      <c r="E1018" s="30">
        <f>IF($D$1018="","",IFERROR(INDEX(Accounts!$D:$D,MATCH($D$1018,Accounts!$A:$A,0)),"(not in master)"))</f>
        <v/>
      </c>
      <c r="F1018" s="31" t="n"/>
      <c r="G1018" s="30" t="inlineStr">
        <is>
          <t>Budget</t>
        </is>
      </c>
      <c r="H1018" s="32">
        <f>IF($B$1018="","",SUMIFS(Opex_Budget!$O:$O,Opex_Budget!$A:$A,$C$3,Opex_Budget!$E:$E,$B$1018,Opex_Budget!$F:$F,$D$1018,Opex_Budget!$N:$N,"JPY")*$E$5+SUMIFS(Opex_Budget!$O:$O,Opex_Budget!$A:$A,$C$3,Opex_Budget!$E:$E,$B$1018,Opex_Budget!$F:$F,$D$1018,Opex_Budget!$N:$N,"USD")*$F$5+SUMIFS(Opex_Budget!$O:$O,Opex_Budget!$A:$A,$C$3,Opex_Budget!$E:$E,$B$1018,Opex_Budget!$F:$F,$D$1018,Opex_Budget!$N:$N,"EUR")*$G$5+SUMIFS(Opex_Budget!$O:$O,Opex_Budget!$A:$A,$C$3,Opex_Budget!$E:$E,$B$1018,Opex_Budget!$F:$F,$D$1018,Opex_Budget!$N:$N,"GBP")*$H$5)</f>
        <v/>
      </c>
      <c r="I1018" s="32">
        <f>IF($B$1018="","",SUMIFS(Opex_Budget!$P:$P,Opex_Budget!$A:$A,$C$3,Opex_Budget!$E:$E,$B$1018,Opex_Budget!$F:$F,$D$1018,Opex_Budget!$N:$N,"JPY")*$E$5+SUMIFS(Opex_Budget!$P:$P,Opex_Budget!$A:$A,$C$3,Opex_Budget!$E:$E,$B$1018,Opex_Budget!$F:$F,$D$1018,Opex_Budget!$N:$N,"USD")*$F$5+SUMIFS(Opex_Budget!$P:$P,Opex_Budget!$A:$A,$C$3,Opex_Budget!$E:$E,$B$1018,Opex_Budget!$F:$F,$D$1018,Opex_Budget!$N:$N,"EUR")*$G$5+SUMIFS(Opex_Budget!$P:$P,Opex_Budget!$A:$A,$C$3,Opex_Budget!$E:$E,$B$1018,Opex_Budget!$F:$F,$D$1018,Opex_Budget!$N:$N,"GBP")*$H$5)</f>
        <v/>
      </c>
      <c r="J1018" s="32">
        <f>IF($B$1018="","",SUMIFS(Opex_Budget!$Q:$Q,Opex_Budget!$A:$A,$C$3,Opex_Budget!$E:$E,$B$1018,Opex_Budget!$F:$F,$D$1018,Opex_Budget!$N:$N,"JPY")*$E$5+SUMIFS(Opex_Budget!$Q:$Q,Opex_Budget!$A:$A,$C$3,Opex_Budget!$E:$E,$B$1018,Opex_Budget!$F:$F,$D$1018,Opex_Budget!$N:$N,"USD")*$F$5+SUMIFS(Opex_Budget!$Q:$Q,Opex_Budget!$A:$A,$C$3,Opex_Budget!$E:$E,$B$1018,Opex_Budget!$F:$F,$D$1018,Opex_Budget!$N:$N,"EUR")*$G$5+SUMIFS(Opex_Budget!$Q:$Q,Opex_Budget!$A:$A,$C$3,Opex_Budget!$E:$E,$B$1018,Opex_Budget!$F:$F,$D$1018,Opex_Budget!$N:$N,"GBP")*$H$5)</f>
        <v/>
      </c>
      <c r="K1018" s="32">
        <f>IF($B$1018="","",SUMIFS(Opex_Budget!$R:$R,Opex_Budget!$A:$A,$C$3,Opex_Budget!$E:$E,$B$1018,Opex_Budget!$F:$F,$D$1018,Opex_Budget!$N:$N,"JPY")*$E$5+SUMIFS(Opex_Budget!$R:$R,Opex_Budget!$A:$A,$C$3,Opex_Budget!$E:$E,$B$1018,Opex_Budget!$F:$F,$D$1018,Opex_Budget!$N:$N,"USD")*$F$5+SUMIFS(Opex_Budget!$R:$R,Opex_Budget!$A:$A,$C$3,Opex_Budget!$E:$E,$B$1018,Opex_Budget!$F:$F,$D$1018,Opex_Budget!$N:$N,"EUR")*$G$5+SUMIFS(Opex_Budget!$R:$R,Opex_Budget!$A:$A,$C$3,Opex_Budget!$E:$E,$B$1018,Opex_Budget!$F:$F,$D$1018,Opex_Budget!$N:$N,"GBP")*$H$5)</f>
        <v/>
      </c>
      <c r="L1018" s="32">
        <f>IF($B$1018="","",SUMIFS(Opex_Budget!$S:$S,Opex_Budget!$A:$A,$C$3,Opex_Budget!$E:$E,$B$1018,Opex_Budget!$F:$F,$D$1018,Opex_Budget!$N:$N,"JPY")*$E$5+SUMIFS(Opex_Budget!$S:$S,Opex_Budget!$A:$A,$C$3,Opex_Budget!$E:$E,$B$1018,Opex_Budget!$F:$F,$D$1018,Opex_Budget!$N:$N,"USD")*$F$5+SUMIFS(Opex_Budget!$S:$S,Opex_Budget!$A:$A,$C$3,Opex_Budget!$E:$E,$B$1018,Opex_Budget!$F:$F,$D$1018,Opex_Budget!$N:$N,"EUR")*$G$5+SUMIFS(Opex_Budget!$S:$S,Opex_Budget!$A:$A,$C$3,Opex_Budget!$E:$E,$B$1018,Opex_Budget!$F:$F,$D$1018,Opex_Budget!$N:$N,"GBP")*$H$5)</f>
        <v/>
      </c>
      <c r="M1018" s="32">
        <f>IF($B$1018="","",SUMIFS(Opex_Budget!$T:$T,Opex_Budget!$A:$A,$C$3,Opex_Budget!$E:$E,$B$1018,Opex_Budget!$F:$F,$D$1018,Opex_Budget!$N:$N,"JPY")*$E$5+SUMIFS(Opex_Budget!$T:$T,Opex_Budget!$A:$A,$C$3,Opex_Budget!$E:$E,$B$1018,Opex_Budget!$F:$F,$D$1018,Opex_Budget!$N:$N,"USD")*$F$5+SUMIFS(Opex_Budget!$T:$T,Opex_Budget!$A:$A,$C$3,Opex_Budget!$E:$E,$B$1018,Opex_Budget!$F:$F,$D$1018,Opex_Budget!$N:$N,"EUR")*$G$5+SUMIFS(Opex_Budget!$T:$T,Opex_Budget!$A:$A,$C$3,Opex_Budget!$E:$E,$B$1018,Opex_Budget!$F:$F,$D$1018,Opex_Budget!$N:$N,"GBP")*$H$5)</f>
        <v/>
      </c>
      <c r="N1018" s="32">
        <f>IF($B$1018="","",SUMIFS(Opex_Budget!$U:$U,Opex_Budget!$A:$A,$C$3,Opex_Budget!$E:$E,$B$1018,Opex_Budget!$F:$F,$D$1018,Opex_Budget!$N:$N,"JPY")*$E$5+SUMIFS(Opex_Budget!$U:$U,Opex_Budget!$A:$A,$C$3,Opex_Budget!$E:$E,$B$1018,Opex_Budget!$F:$F,$D$1018,Opex_Budget!$N:$N,"USD")*$F$5+SUMIFS(Opex_Budget!$U:$U,Opex_Budget!$A:$A,$C$3,Opex_Budget!$E:$E,$B$1018,Opex_Budget!$F:$F,$D$1018,Opex_Budget!$N:$N,"EUR")*$G$5+SUMIFS(Opex_Budget!$U:$U,Opex_Budget!$A:$A,$C$3,Opex_Budget!$E:$E,$B$1018,Opex_Budget!$F:$F,$D$1018,Opex_Budget!$N:$N,"GBP")*$H$5)</f>
        <v/>
      </c>
      <c r="O1018" s="32">
        <f>IF($B$1018="","",SUMIFS(Opex_Budget!$V:$V,Opex_Budget!$A:$A,$C$3,Opex_Budget!$E:$E,$B$1018,Opex_Budget!$F:$F,$D$1018,Opex_Budget!$N:$N,"JPY")*$E$5+SUMIFS(Opex_Budget!$V:$V,Opex_Budget!$A:$A,$C$3,Opex_Budget!$E:$E,$B$1018,Opex_Budget!$F:$F,$D$1018,Opex_Budget!$N:$N,"USD")*$F$5+SUMIFS(Opex_Budget!$V:$V,Opex_Budget!$A:$A,$C$3,Opex_Budget!$E:$E,$B$1018,Opex_Budget!$F:$F,$D$1018,Opex_Budget!$N:$N,"EUR")*$G$5+SUMIFS(Opex_Budget!$V:$V,Opex_Budget!$A:$A,$C$3,Opex_Budget!$E:$E,$B$1018,Opex_Budget!$F:$F,$D$1018,Opex_Budget!$N:$N,"GBP")*$H$5)</f>
        <v/>
      </c>
      <c r="P1018" s="32">
        <f>IF($B$1018="","",SUMIFS(Opex_Budget!$W:$W,Opex_Budget!$A:$A,$C$3,Opex_Budget!$E:$E,$B$1018,Opex_Budget!$F:$F,$D$1018,Opex_Budget!$N:$N,"JPY")*$E$5+SUMIFS(Opex_Budget!$W:$W,Opex_Budget!$A:$A,$C$3,Opex_Budget!$E:$E,$B$1018,Opex_Budget!$F:$F,$D$1018,Opex_Budget!$N:$N,"USD")*$F$5+SUMIFS(Opex_Budget!$W:$W,Opex_Budget!$A:$A,$C$3,Opex_Budget!$E:$E,$B$1018,Opex_Budget!$F:$F,$D$1018,Opex_Budget!$N:$N,"EUR")*$G$5+SUMIFS(Opex_Budget!$W:$W,Opex_Budget!$A:$A,$C$3,Opex_Budget!$E:$E,$B$1018,Opex_Budget!$F:$F,$D$1018,Opex_Budget!$N:$N,"GBP")*$H$5)</f>
        <v/>
      </c>
      <c r="Q1018" s="32">
        <f>IF($B$1018="","",SUMIFS(Opex_Budget!$X:$X,Opex_Budget!$A:$A,$C$3,Opex_Budget!$E:$E,$B$1018,Opex_Budget!$F:$F,$D$1018,Opex_Budget!$N:$N,"JPY")*$E$5+SUMIFS(Opex_Budget!$X:$X,Opex_Budget!$A:$A,$C$3,Opex_Budget!$E:$E,$B$1018,Opex_Budget!$F:$F,$D$1018,Opex_Budget!$N:$N,"USD")*$F$5+SUMIFS(Opex_Budget!$X:$X,Opex_Budget!$A:$A,$C$3,Opex_Budget!$E:$E,$B$1018,Opex_Budget!$F:$F,$D$1018,Opex_Budget!$N:$N,"EUR")*$G$5+SUMIFS(Opex_Budget!$X:$X,Opex_Budget!$A:$A,$C$3,Opex_Budget!$E:$E,$B$1018,Opex_Budget!$F:$F,$D$1018,Opex_Budget!$N:$N,"GBP")*$H$5)</f>
        <v/>
      </c>
      <c r="R1018" s="32">
        <f>IF($B$1018="","",SUMIFS(Opex_Budget!$Y:$Y,Opex_Budget!$A:$A,$C$3,Opex_Budget!$E:$E,$B$1018,Opex_Budget!$F:$F,$D$1018,Opex_Budget!$N:$N,"JPY")*$E$5+SUMIFS(Opex_Budget!$Y:$Y,Opex_Budget!$A:$A,$C$3,Opex_Budget!$E:$E,$B$1018,Opex_Budget!$F:$F,$D$1018,Opex_Budget!$N:$N,"USD")*$F$5+SUMIFS(Opex_Budget!$Y:$Y,Opex_Budget!$A:$A,$C$3,Opex_Budget!$E:$E,$B$1018,Opex_Budget!$F:$F,$D$1018,Opex_Budget!$N:$N,"EUR")*$G$5+SUMIFS(Opex_Budget!$Y:$Y,Opex_Budget!$A:$A,$C$3,Opex_Budget!$E:$E,$B$1018,Opex_Budget!$F:$F,$D$1018,Opex_Budget!$N:$N,"GBP")*$H$5)</f>
        <v/>
      </c>
      <c r="S1018" s="32">
        <f>IF($B$1018="","",SUMIFS(Opex_Budget!$Z:$Z,Opex_Budget!$A:$A,$C$3,Opex_Budget!$E:$E,$B$1018,Opex_Budget!$F:$F,$D$1018,Opex_Budget!$N:$N,"JPY")*$E$5+SUMIFS(Opex_Budget!$Z:$Z,Opex_Budget!$A:$A,$C$3,Opex_Budget!$E:$E,$B$1018,Opex_Budget!$F:$F,$D$1018,Opex_Budget!$N:$N,"USD")*$F$5+SUMIFS(Opex_Budget!$Z:$Z,Opex_Budget!$A:$A,$C$3,Opex_Budget!$E:$E,$B$1018,Opex_Budget!$F:$F,$D$1018,Opex_Budget!$N:$N,"EUR")*$G$5+SUMIFS(Opex_Budget!$Z:$Z,Opex_Budget!$A:$A,$C$3,Opex_Budget!$E:$E,$B$1018,Opex_Budget!$F:$F,$D$1018,Opex_Budget!$N:$N,"GBP")*$H$5)</f>
        <v/>
      </c>
      <c r="T1018" s="32">
        <f>IF($B$1018="","",SUMIF($H$7:$S$7,"&lt;="&amp;$C$4,$H1018:$S1018))</f>
        <v/>
      </c>
      <c r="U1018" s="32">
        <f>IF($B$1018="","",SUMIF($H$7:$S$7,"&gt;"&amp;$C$4,$H1018:$S1018))</f>
        <v/>
      </c>
      <c r="V1018" s="32">
        <f>IF($B$1018="","",SUM($H1018:$S1018))</f>
        <v/>
      </c>
      <c r="X1018" s="22">
        <f>IF($B1018="","",IFERROR(INDEX(Cost_Centers!$E:$E,MATCH($B1018,Cost_Centers!$A:$A,0)),"(unknown)"))</f>
        <v/>
      </c>
      <c r="Y1018" s="22">
        <f>IF($B1018="","",IFERROR(INDEX(Cost_Centers!$D:$D,MATCH($B1018,Cost_Centers!$A:$A,0)),"(unknown)"))</f>
        <v/>
      </c>
      <c r="Z1018" s="22">
        <f>IF(OR($B1018="",$G1018&lt;&gt;"Variance vs Budget"),"",ABS(N($V1018))+ROW()/1000000000)</f>
        <v/>
      </c>
    </row>
    <row r="1019">
      <c r="A1019" s="13">
        <f>IF(A$1018="","",A$1018)</f>
        <v/>
      </c>
      <c r="B1019" s="13">
        <f>IF(B$1018="","",B$1018)</f>
        <v/>
      </c>
      <c r="C1019" s="13">
        <f>IF(C$1018="","",C$1018)</f>
        <v/>
      </c>
      <c r="D1019" s="13">
        <f>IF(D$1018="","",D$1018)</f>
        <v/>
      </c>
      <c r="E1019" s="13">
        <f>IF(E$1018="","",E$1018)</f>
        <v/>
      </c>
      <c r="F1019" s="13">
        <f>IF(F$1018="","",F$1018)</f>
        <v/>
      </c>
      <c r="G1019" s="7" t="inlineStr">
        <is>
          <t>Actual</t>
        </is>
      </c>
      <c r="H1019" s="18">
        <f>IF(OR($B$1018="",1&gt;$C$4),"",SUMIFS(Actuals!$G:$G,Actuals!$B:$B,$C$3,Actuals!$C:$C,1,Actuals!$D:$D,$B$1018,Actuals!$A:$A,LEFT($D$1018,FIND("|",$D$1018&amp;"|")-1),Actuals!$E:$E,MID($D$1018,FIND("|",$D$1018&amp;"|")+1,50),Actuals!$F:$F,"JPY")*$E$5+SUMIFS(Actuals!$G:$G,Actuals!$B:$B,$C$3,Actuals!$C:$C,1,Actuals!$D:$D,$B$1018,Actuals!$A:$A,LEFT($D$1018,FIND("|",$D$1018&amp;"|")-1),Actuals!$E:$E,MID($D$1018,FIND("|",$D$1018&amp;"|")+1,50),Actuals!$F:$F,"USD")*$F$5+SUMIFS(Actuals!$G:$G,Actuals!$B:$B,$C$3,Actuals!$C:$C,1,Actuals!$D:$D,$B$1018,Actuals!$A:$A,LEFT($D$1018,FIND("|",$D$1018&amp;"|")-1),Actuals!$E:$E,MID($D$1018,FIND("|",$D$1018&amp;"|")+1,50),Actuals!$F:$F,"EUR")*$G$5+SUMIFS(Actuals!$G:$G,Actuals!$B:$B,$C$3,Actuals!$C:$C,1,Actuals!$D:$D,$B$1018,Actuals!$A:$A,LEFT($D$1018,FIND("|",$D$1018&amp;"|")-1),Actuals!$E:$E,MID($D$1018,FIND("|",$D$1018&amp;"|")+1,50),Actuals!$F:$F,"GBP")*$H$5)</f>
        <v/>
      </c>
      <c r="I1019" s="18">
        <f>IF(OR($B$1018="",2&gt;$C$4),"",SUMIFS(Actuals!$G:$G,Actuals!$B:$B,$C$3,Actuals!$C:$C,2,Actuals!$D:$D,$B$1018,Actuals!$A:$A,LEFT($D$1018,FIND("|",$D$1018&amp;"|")-1),Actuals!$E:$E,MID($D$1018,FIND("|",$D$1018&amp;"|")+1,50),Actuals!$F:$F,"JPY")*$E$5+SUMIFS(Actuals!$G:$G,Actuals!$B:$B,$C$3,Actuals!$C:$C,2,Actuals!$D:$D,$B$1018,Actuals!$A:$A,LEFT($D$1018,FIND("|",$D$1018&amp;"|")-1),Actuals!$E:$E,MID($D$1018,FIND("|",$D$1018&amp;"|")+1,50),Actuals!$F:$F,"USD")*$F$5+SUMIFS(Actuals!$G:$G,Actuals!$B:$B,$C$3,Actuals!$C:$C,2,Actuals!$D:$D,$B$1018,Actuals!$A:$A,LEFT($D$1018,FIND("|",$D$1018&amp;"|")-1),Actuals!$E:$E,MID($D$1018,FIND("|",$D$1018&amp;"|")+1,50),Actuals!$F:$F,"EUR")*$G$5+SUMIFS(Actuals!$G:$G,Actuals!$B:$B,$C$3,Actuals!$C:$C,2,Actuals!$D:$D,$B$1018,Actuals!$A:$A,LEFT($D$1018,FIND("|",$D$1018&amp;"|")-1),Actuals!$E:$E,MID($D$1018,FIND("|",$D$1018&amp;"|")+1,50),Actuals!$F:$F,"GBP")*$H$5)</f>
        <v/>
      </c>
      <c r="J1019" s="18">
        <f>IF(OR($B$1018="",3&gt;$C$4),"",SUMIFS(Actuals!$G:$G,Actuals!$B:$B,$C$3,Actuals!$C:$C,3,Actuals!$D:$D,$B$1018,Actuals!$A:$A,LEFT($D$1018,FIND("|",$D$1018&amp;"|")-1),Actuals!$E:$E,MID($D$1018,FIND("|",$D$1018&amp;"|")+1,50),Actuals!$F:$F,"JPY")*$E$5+SUMIFS(Actuals!$G:$G,Actuals!$B:$B,$C$3,Actuals!$C:$C,3,Actuals!$D:$D,$B$1018,Actuals!$A:$A,LEFT($D$1018,FIND("|",$D$1018&amp;"|")-1),Actuals!$E:$E,MID($D$1018,FIND("|",$D$1018&amp;"|")+1,50),Actuals!$F:$F,"USD")*$F$5+SUMIFS(Actuals!$G:$G,Actuals!$B:$B,$C$3,Actuals!$C:$C,3,Actuals!$D:$D,$B$1018,Actuals!$A:$A,LEFT($D$1018,FIND("|",$D$1018&amp;"|")-1),Actuals!$E:$E,MID($D$1018,FIND("|",$D$1018&amp;"|")+1,50),Actuals!$F:$F,"EUR")*$G$5+SUMIFS(Actuals!$G:$G,Actuals!$B:$B,$C$3,Actuals!$C:$C,3,Actuals!$D:$D,$B$1018,Actuals!$A:$A,LEFT($D$1018,FIND("|",$D$1018&amp;"|")-1),Actuals!$E:$E,MID($D$1018,FIND("|",$D$1018&amp;"|")+1,50),Actuals!$F:$F,"GBP")*$H$5)</f>
        <v/>
      </c>
      <c r="K1019" s="18">
        <f>IF(OR($B$1018="",4&gt;$C$4),"",SUMIFS(Actuals!$G:$G,Actuals!$B:$B,$C$3,Actuals!$C:$C,4,Actuals!$D:$D,$B$1018,Actuals!$A:$A,LEFT($D$1018,FIND("|",$D$1018&amp;"|")-1),Actuals!$E:$E,MID($D$1018,FIND("|",$D$1018&amp;"|")+1,50),Actuals!$F:$F,"JPY")*$E$5+SUMIFS(Actuals!$G:$G,Actuals!$B:$B,$C$3,Actuals!$C:$C,4,Actuals!$D:$D,$B$1018,Actuals!$A:$A,LEFT($D$1018,FIND("|",$D$1018&amp;"|")-1),Actuals!$E:$E,MID($D$1018,FIND("|",$D$1018&amp;"|")+1,50),Actuals!$F:$F,"USD")*$F$5+SUMIFS(Actuals!$G:$G,Actuals!$B:$B,$C$3,Actuals!$C:$C,4,Actuals!$D:$D,$B$1018,Actuals!$A:$A,LEFT($D$1018,FIND("|",$D$1018&amp;"|")-1),Actuals!$E:$E,MID($D$1018,FIND("|",$D$1018&amp;"|")+1,50),Actuals!$F:$F,"EUR")*$G$5+SUMIFS(Actuals!$G:$G,Actuals!$B:$B,$C$3,Actuals!$C:$C,4,Actuals!$D:$D,$B$1018,Actuals!$A:$A,LEFT($D$1018,FIND("|",$D$1018&amp;"|")-1),Actuals!$E:$E,MID($D$1018,FIND("|",$D$1018&amp;"|")+1,50),Actuals!$F:$F,"GBP")*$H$5)</f>
        <v/>
      </c>
      <c r="L1019" s="18">
        <f>IF(OR($B$1018="",5&gt;$C$4),"",SUMIFS(Actuals!$G:$G,Actuals!$B:$B,$C$3,Actuals!$C:$C,5,Actuals!$D:$D,$B$1018,Actuals!$A:$A,LEFT($D$1018,FIND("|",$D$1018&amp;"|")-1),Actuals!$E:$E,MID($D$1018,FIND("|",$D$1018&amp;"|")+1,50),Actuals!$F:$F,"JPY")*$E$5+SUMIFS(Actuals!$G:$G,Actuals!$B:$B,$C$3,Actuals!$C:$C,5,Actuals!$D:$D,$B$1018,Actuals!$A:$A,LEFT($D$1018,FIND("|",$D$1018&amp;"|")-1),Actuals!$E:$E,MID($D$1018,FIND("|",$D$1018&amp;"|")+1,50),Actuals!$F:$F,"USD")*$F$5+SUMIFS(Actuals!$G:$G,Actuals!$B:$B,$C$3,Actuals!$C:$C,5,Actuals!$D:$D,$B$1018,Actuals!$A:$A,LEFT($D$1018,FIND("|",$D$1018&amp;"|")-1),Actuals!$E:$E,MID($D$1018,FIND("|",$D$1018&amp;"|")+1,50),Actuals!$F:$F,"EUR")*$G$5+SUMIFS(Actuals!$G:$G,Actuals!$B:$B,$C$3,Actuals!$C:$C,5,Actuals!$D:$D,$B$1018,Actuals!$A:$A,LEFT($D$1018,FIND("|",$D$1018&amp;"|")-1),Actuals!$E:$E,MID($D$1018,FIND("|",$D$1018&amp;"|")+1,50),Actuals!$F:$F,"GBP")*$H$5)</f>
        <v/>
      </c>
      <c r="M1019" s="18">
        <f>IF(OR($B$1018="",6&gt;$C$4),"",SUMIFS(Actuals!$G:$G,Actuals!$B:$B,$C$3,Actuals!$C:$C,6,Actuals!$D:$D,$B$1018,Actuals!$A:$A,LEFT($D$1018,FIND("|",$D$1018&amp;"|")-1),Actuals!$E:$E,MID($D$1018,FIND("|",$D$1018&amp;"|")+1,50),Actuals!$F:$F,"JPY")*$E$5+SUMIFS(Actuals!$G:$G,Actuals!$B:$B,$C$3,Actuals!$C:$C,6,Actuals!$D:$D,$B$1018,Actuals!$A:$A,LEFT($D$1018,FIND("|",$D$1018&amp;"|")-1),Actuals!$E:$E,MID($D$1018,FIND("|",$D$1018&amp;"|")+1,50),Actuals!$F:$F,"USD")*$F$5+SUMIFS(Actuals!$G:$G,Actuals!$B:$B,$C$3,Actuals!$C:$C,6,Actuals!$D:$D,$B$1018,Actuals!$A:$A,LEFT($D$1018,FIND("|",$D$1018&amp;"|")-1),Actuals!$E:$E,MID($D$1018,FIND("|",$D$1018&amp;"|")+1,50),Actuals!$F:$F,"EUR")*$G$5+SUMIFS(Actuals!$G:$G,Actuals!$B:$B,$C$3,Actuals!$C:$C,6,Actuals!$D:$D,$B$1018,Actuals!$A:$A,LEFT($D$1018,FIND("|",$D$1018&amp;"|")-1),Actuals!$E:$E,MID($D$1018,FIND("|",$D$1018&amp;"|")+1,50),Actuals!$F:$F,"GBP")*$H$5)</f>
        <v/>
      </c>
      <c r="N1019" s="18">
        <f>IF(OR($B$1018="",7&gt;$C$4),"",SUMIFS(Actuals!$G:$G,Actuals!$B:$B,$C$3,Actuals!$C:$C,7,Actuals!$D:$D,$B$1018,Actuals!$A:$A,LEFT($D$1018,FIND("|",$D$1018&amp;"|")-1),Actuals!$E:$E,MID($D$1018,FIND("|",$D$1018&amp;"|")+1,50),Actuals!$F:$F,"JPY")*$E$5+SUMIFS(Actuals!$G:$G,Actuals!$B:$B,$C$3,Actuals!$C:$C,7,Actuals!$D:$D,$B$1018,Actuals!$A:$A,LEFT($D$1018,FIND("|",$D$1018&amp;"|")-1),Actuals!$E:$E,MID($D$1018,FIND("|",$D$1018&amp;"|")+1,50),Actuals!$F:$F,"USD")*$F$5+SUMIFS(Actuals!$G:$G,Actuals!$B:$B,$C$3,Actuals!$C:$C,7,Actuals!$D:$D,$B$1018,Actuals!$A:$A,LEFT($D$1018,FIND("|",$D$1018&amp;"|")-1),Actuals!$E:$E,MID($D$1018,FIND("|",$D$1018&amp;"|")+1,50),Actuals!$F:$F,"EUR")*$G$5+SUMIFS(Actuals!$G:$G,Actuals!$B:$B,$C$3,Actuals!$C:$C,7,Actuals!$D:$D,$B$1018,Actuals!$A:$A,LEFT($D$1018,FIND("|",$D$1018&amp;"|")-1),Actuals!$E:$E,MID($D$1018,FIND("|",$D$1018&amp;"|")+1,50),Actuals!$F:$F,"GBP")*$H$5)</f>
        <v/>
      </c>
      <c r="O1019" s="18">
        <f>IF(OR($B$1018="",8&gt;$C$4),"",SUMIFS(Actuals!$G:$G,Actuals!$B:$B,$C$3,Actuals!$C:$C,8,Actuals!$D:$D,$B$1018,Actuals!$A:$A,LEFT($D$1018,FIND("|",$D$1018&amp;"|")-1),Actuals!$E:$E,MID($D$1018,FIND("|",$D$1018&amp;"|")+1,50),Actuals!$F:$F,"JPY")*$E$5+SUMIFS(Actuals!$G:$G,Actuals!$B:$B,$C$3,Actuals!$C:$C,8,Actuals!$D:$D,$B$1018,Actuals!$A:$A,LEFT($D$1018,FIND("|",$D$1018&amp;"|")-1),Actuals!$E:$E,MID($D$1018,FIND("|",$D$1018&amp;"|")+1,50),Actuals!$F:$F,"USD")*$F$5+SUMIFS(Actuals!$G:$G,Actuals!$B:$B,$C$3,Actuals!$C:$C,8,Actuals!$D:$D,$B$1018,Actuals!$A:$A,LEFT($D$1018,FIND("|",$D$1018&amp;"|")-1),Actuals!$E:$E,MID($D$1018,FIND("|",$D$1018&amp;"|")+1,50),Actuals!$F:$F,"EUR")*$G$5+SUMIFS(Actuals!$G:$G,Actuals!$B:$B,$C$3,Actuals!$C:$C,8,Actuals!$D:$D,$B$1018,Actuals!$A:$A,LEFT($D$1018,FIND("|",$D$1018&amp;"|")-1),Actuals!$E:$E,MID($D$1018,FIND("|",$D$1018&amp;"|")+1,50),Actuals!$F:$F,"GBP")*$H$5)</f>
        <v/>
      </c>
      <c r="P1019" s="18">
        <f>IF(OR($B$1018="",9&gt;$C$4),"",SUMIFS(Actuals!$G:$G,Actuals!$B:$B,$C$3,Actuals!$C:$C,9,Actuals!$D:$D,$B$1018,Actuals!$A:$A,LEFT($D$1018,FIND("|",$D$1018&amp;"|")-1),Actuals!$E:$E,MID($D$1018,FIND("|",$D$1018&amp;"|")+1,50),Actuals!$F:$F,"JPY")*$E$5+SUMIFS(Actuals!$G:$G,Actuals!$B:$B,$C$3,Actuals!$C:$C,9,Actuals!$D:$D,$B$1018,Actuals!$A:$A,LEFT($D$1018,FIND("|",$D$1018&amp;"|")-1),Actuals!$E:$E,MID($D$1018,FIND("|",$D$1018&amp;"|")+1,50),Actuals!$F:$F,"USD")*$F$5+SUMIFS(Actuals!$G:$G,Actuals!$B:$B,$C$3,Actuals!$C:$C,9,Actuals!$D:$D,$B$1018,Actuals!$A:$A,LEFT($D$1018,FIND("|",$D$1018&amp;"|")-1),Actuals!$E:$E,MID($D$1018,FIND("|",$D$1018&amp;"|")+1,50),Actuals!$F:$F,"EUR")*$G$5+SUMIFS(Actuals!$G:$G,Actuals!$B:$B,$C$3,Actuals!$C:$C,9,Actuals!$D:$D,$B$1018,Actuals!$A:$A,LEFT($D$1018,FIND("|",$D$1018&amp;"|")-1),Actuals!$E:$E,MID($D$1018,FIND("|",$D$1018&amp;"|")+1,50),Actuals!$F:$F,"GBP")*$H$5)</f>
        <v/>
      </c>
      <c r="Q1019" s="18">
        <f>IF(OR($B$1018="",10&gt;$C$4),"",SUMIFS(Actuals!$G:$G,Actuals!$B:$B,$C$3,Actuals!$C:$C,10,Actuals!$D:$D,$B$1018,Actuals!$A:$A,LEFT($D$1018,FIND("|",$D$1018&amp;"|")-1),Actuals!$E:$E,MID($D$1018,FIND("|",$D$1018&amp;"|")+1,50),Actuals!$F:$F,"JPY")*$E$5+SUMIFS(Actuals!$G:$G,Actuals!$B:$B,$C$3,Actuals!$C:$C,10,Actuals!$D:$D,$B$1018,Actuals!$A:$A,LEFT($D$1018,FIND("|",$D$1018&amp;"|")-1),Actuals!$E:$E,MID($D$1018,FIND("|",$D$1018&amp;"|")+1,50),Actuals!$F:$F,"USD")*$F$5+SUMIFS(Actuals!$G:$G,Actuals!$B:$B,$C$3,Actuals!$C:$C,10,Actuals!$D:$D,$B$1018,Actuals!$A:$A,LEFT($D$1018,FIND("|",$D$1018&amp;"|")-1),Actuals!$E:$E,MID($D$1018,FIND("|",$D$1018&amp;"|")+1,50),Actuals!$F:$F,"EUR")*$G$5+SUMIFS(Actuals!$G:$G,Actuals!$B:$B,$C$3,Actuals!$C:$C,10,Actuals!$D:$D,$B$1018,Actuals!$A:$A,LEFT($D$1018,FIND("|",$D$1018&amp;"|")-1),Actuals!$E:$E,MID($D$1018,FIND("|",$D$1018&amp;"|")+1,50),Actuals!$F:$F,"GBP")*$H$5)</f>
        <v/>
      </c>
      <c r="R1019" s="18">
        <f>IF(OR($B$1018="",11&gt;$C$4),"",SUMIFS(Actuals!$G:$G,Actuals!$B:$B,$C$3,Actuals!$C:$C,11,Actuals!$D:$D,$B$1018,Actuals!$A:$A,LEFT($D$1018,FIND("|",$D$1018&amp;"|")-1),Actuals!$E:$E,MID($D$1018,FIND("|",$D$1018&amp;"|")+1,50),Actuals!$F:$F,"JPY")*$E$5+SUMIFS(Actuals!$G:$G,Actuals!$B:$B,$C$3,Actuals!$C:$C,11,Actuals!$D:$D,$B$1018,Actuals!$A:$A,LEFT($D$1018,FIND("|",$D$1018&amp;"|")-1),Actuals!$E:$E,MID($D$1018,FIND("|",$D$1018&amp;"|")+1,50),Actuals!$F:$F,"USD")*$F$5+SUMIFS(Actuals!$G:$G,Actuals!$B:$B,$C$3,Actuals!$C:$C,11,Actuals!$D:$D,$B$1018,Actuals!$A:$A,LEFT($D$1018,FIND("|",$D$1018&amp;"|")-1),Actuals!$E:$E,MID($D$1018,FIND("|",$D$1018&amp;"|")+1,50),Actuals!$F:$F,"EUR")*$G$5+SUMIFS(Actuals!$G:$G,Actuals!$B:$B,$C$3,Actuals!$C:$C,11,Actuals!$D:$D,$B$1018,Actuals!$A:$A,LEFT($D$1018,FIND("|",$D$1018&amp;"|")-1),Actuals!$E:$E,MID($D$1018,FIND("|",$D$1018&amp;"|")+1,50),Actuals!$F:$F,"GBP")*$H$5)</f>
        <v/>
      </c>
      <c r="S1019" s="18">
        <f>IF(OR($B$1018="",12&gt;$C$4),"",SUMIFS(Actuals!$G:$G,Actuals!$B:$B,$C$3,Actuals!$C:$C,12,Actuals!$D:$D,$B$1018,Actuals!$A:$A,LEFT($D$1018,FIND("|",$D$1018&amp;"|")-1),Actuals!$E:$E,MID($D$1018,FIND("|",$D$1018&amp;"|")+1,50),Actuals!$F:$F,"JPY")*$E$5+SUMIFS(Actuals!$G:$G,Actuals!$B:$B,$C$3,Actuals!$C:$C,12,Actuals!$D:$D,$B$1018,Actuals!$A:$A,LEFT($D$1018,FIND("|",$D$1018&amp;"|")-1),Actuals!$E:$E,MID($D$1018,FIND("|",$D$1018&amp;"|")+1,50),Actuals!$F:$F,"USD")*$F$5+SUMIFS(Actuals!$G:$G,Actuals!$B:$B,$C$3,Actuals!$C:$C,12,Actuals!$D:$D,$B$1018,Actuals!$A:$A,LEFT($D$1018,FIND("|",$D$1018&amp;"|")-1),Actuals!$E:$E,MID($D$1018,FIND("|",$D$1018&amp;"|")+1,50),Actuals!$F:$F,"EUR")*$G$5+SUMIFS(Actuals!$G:$G,Actuals!$B:$B,$C$3,Actuals!$C:$C,12,Actuals!$D:$D,$B$1018,Actuals!$A:$A,LEFT($D$1018,FIND("|",$D$1018&amp;"|")-1),Actuals!$E:$E,MID($D$1018,FIND("|",$D$1018&amp;"|")+1,50),Actuals!$F:$F,"GBP")*$H$5)</f>
        <v/>
      </c>
      <c r="T1019" s="18">
        <f>IF($B$1018="","",SUMIF($H$7:$S$7,"&lt;="&amp;$C$4,$H1019:$S1019))</f>
        <v/>
      </c>
      <c r="U1019" s="18" t="n"/>
      <c r="V1019" s="18" t="n"/>
      <c r="X1019" s="22">
        <f>IF($B1019="","",IFERROR(INDEX(Cost_Centers!$E:$E,MATCH($B1019,Cost_Centers!$A:$A,0)),"(unknown)"))</f>
        <v/>
      </c>
      <c r="Y1019" s="22">
        <f>IF($B1019="","",IFERROR(INDEX(Cost_Centers!$D:$D,MATCH($B1019,Cost_Centers!$A:$A,0)),"(unknown)"))</f>
        <v/>
      </c>
      <c r="Z1019" s="22">
        <f>IF(OR($B1019="",$G1019&lt;&gt;"Variance vs Budget"),"",ABS(N($V1019))+ROW()/1000000000)</f>
        <v/>
      </c>
    </row>
    <row r="1020">
      <c r="A1020" s="13">
        <f>IF(A$1018="","",A$1018)</f>
        <v/>
      </c>
      <c r="B1020" s="13">
        <f>IF(B$1018="","",B$1018)</f>
        <v/>
      </c>
      <c r="C1020" s="13">
        <f>IF(C$1018="","",C$1018)</f>
        <v/>
      </c>
      <c r="D1020" s="13">
        <f>IF(D$1018="","",D$1018)</f>
        <v/>
      </c>
      <c r="E1020" s="13">
        <f>IF(E$1018="","",E$1018)</f>
        <v/>
      </c>
      <c r="F1020" s="13">
        <f>IF(F$1018="","",F$1018)</f>
        <v/>
      </c>
      <c r="G1020" s="6" t="inlineStr">
        <is>
          <t>Variance vs Budget</t>
        </is>
      </c>
      <c r="H1020" s="33">
        <f>IF(OR($B$1018="",1&gt;$C$4),"",N(H1019)-H1018)</f>
        <v/>
      </c>
      <c r="I1020" s="33">
        <f>IF(OR($B$1018="",2&gt;$C$4),"",N(I1019)-I1018)</f>
        <v/>
      </c>
      <c r="J1020" s="33">
        <f>IF(OR($B$1018="",3&gt;$C$4),"",N(J1019)-J1018)</f>
        <v/>
      </c>
      <c r="K1020" s="33">
        <f>IF(OR($B$1018="",4&gt;$C$4),"",N(K1019)-K1018)</f>
        <v/>
      </c>
      <c r="L1020" s="33">
        <f>IF(OR($B$1018="",5&gt;$C$4),"",N(L1019)-L1018)</f>
        <v/>
      </c>
      <c r="M1020" s="33">
        <f>IF(OR($B$1018="",6&gt;$C$4),"",N(M1019)-M1018)</f>
        <v/>
      </c>
      <c r="N1020" s="33">
        <f>IF(OR($B$1018="",7&gt;$C$4),"",N(N1019)-N1018)</f>
        <v/>
      </c>
      <c r="O1020" s="33">
        <f>IF(OR($B$1018="",8&gt;$C$4),"",N(O1019)-O1018)</f>
        <v/>
      </c>
      <c r="P1020" s="33">
        <f>IF(OR($B$1018="",9&gt;$C$4),"",N(P1019)-P1018)</f>
        <v/>
      </c>
      <c r="Q1020" s="33">
        <f>IF(OR($B$1018="",10&gt;$C$4),"",N(Q1019)-Q1018)</f>
        <v/>
      </c>
      <c r="R1020" s="33">
        <f>IF(OR($B$1018="",11&gt;$C$4),"",N(R1019)-R1018)</f>
        <v/>
      </c>
      <c r="S1020" s="33">
        <f>IF(OR($B$1018="",12&gt;$C$4),"",N(S1019)-S1018)</f>
        <v/>
      </c>
      <c r="T1020" s="33">
        <f>IF($B$1018="","",T1019-T1018)</f>
        <v/>
      </c>
      <c r="U1020" s="33">
        <f>IF($B$1018="","",U1022-U1018)</f>
        <v/>
      </c>
      <c r="V1020" s="33">
        <f>IF($B$1018="","",V1022-V1018)</f>
        <v/>
      </c>
      <c r="X1020" s="22">
        <f>IF($B1020="","",IFERROR(INDEX(Cost_Centers!$E:$E,MATCH($B1020,Cost_Centers!$A:$A,0)),"(unknown)"))</f>
        <v/>
      </c>
      <c r="Y1020" s="22">
        <f>IF($B1020="","",IFERROR(INDEX(Cost_Centers!$D:$D,MATCH($B1020,Cost_Centers!$A:$A,0)),"(unknown)"))</f>
        <v/>
      </c>
      <c r="Z1020" s="22">
        <f>IF(OR($B1020="",$G1020&lt;&gt;"Variance vs Budget"),"",ABS(N($V1020))+ROW()/1000000000)</f>
        <v/>
      </c>
    </row>
    <row r="1021">
      <c r="A1021" s="13">
        <f>IF(A$1018="","",A$1018)</f>
        <v/>
      </c>
      <c r="B1021" s="13">
        <f>IF(B$1018="","",B$1018)</f>
        <v/>
      </c>
      <c r="C1021" s="13">
        <f>IF(C$1018="","",C$1018)</f>
        <v/>
      </c>
      <c r="D1021" s="13">
        <f>IF(D$1018="","",D$1018)</f>
        <v/>
      </c>
      <c r="E1021" s="13">
        <f>IF(E$1018="","",E$1018)</f>
        <v/>
      </c>
      <c r="F1021" s="13">
        <f>IF(F$1018="","",F$1018)</f>
        <v/>
      </c>
      <c r="G1021" s="7" t="inlineStr">
        <is>
          <t>Forecast (input)</t>
        </is>
      </c>
      <c r="H1021" s="34" t="n"/>
      <c r="I1021" s="34" t="n"/>
      <c r="J1021" s="34" t="n"/>
      <c r="K1021" s="34" t="n"/>
      <c r="L1021" s="34" t="n"/>
      <c r="M1021" s="34" t="n"/>
      <c r="N1021" s="34" t="n"/>
      <c r="O1021" s="34" t="n"/>
      <c r="P1021" s="34" t="n"/>
      <c r="Q1021" s="34" t="n"/>
      <c r="R1021" s="34" t="n"/>
      <c r="S1021" s="34" t="n"/>
      <c r="T1021" s="18" t="n"/>
      <c r="U1021" s="18" t="n"/>
      <c r="V1021" s="18" t="n"/>
      <c r="X1021" s="22">
        <f>IF($B1021="","",IFERROR(INDEX(Cost_Centers!$E:$E,MATCH($B1021,Cost_Centers!$A:$A,0)),"(unknown)"))</f>
        <v/>
      </c>
      <c r="Y1021" s="22">
        <f>IF($B1021="","",IFERROR(INDEX(Cost_Centers!$D:$D,MATCH($B1021,Cost_Centers!$A:$A,0)),"(unknown)"))</f>
        <v/>
      </c>
      <c r="Z1021" s="22">
        <f>IF(OR($B1021="",$G1021&lt;&gt;"Variance vs Budget"),"",ABS(N($V1021))+ROW()/1000000000)</f>
        <v/>
      </c>
    </row>
    <row r="1022">
      <c r="A1022" s="13">
        <f>IF(A$1018="","",A$1018)</f>
        <v/>
      </c>
      <c r="B1022" s="13">
        <f>IF(B$1018="","",B$1018)</f>
        <v/>
      </c>
      <c r="C1022" s="13">
        <f>IF(C$1018="","",C$1018)</f>
        <v/>
      </c>
      <c r="D1022" s="13">
        <f>IF(D$1018="","",D$1018)</f>
        <v/>
      </c>
      <c r="E1022" s="13">
        <f>IF(E$1018="","",E$1018)</f>
        <v/>
      </c>
      <c r="F1022" s="13">
        <f>IF(F$1018="","",F$1018)</f>
        <v/>
      </c>
      <c r="G1022" s="35" t="inlineStr">
        <is>
          <t>Actual + Forecast</t>
        </is>
      </c>
      <c r="H1022" s="18">
        <f>IF($B$1018="","",IF(1&lt;=$C$4,N(H1019),IF(H1021="",H1018,H1021)))</f>
        <v/>
      </c>
      <c r="I1022" s="18">
        <f>IF($B$1018="","",IF(2&lt;=$C$4,N(I1019),IF(I1021="",I1018,I1021)))</f>
        <v/>
      </c>
      <c r="J1022" s="18">
        <f>IF($B$1018="","",IF(3&lt;=$C$4,N(J1019),IF(J1021="",J1018,J1021)))</f>
        <v/>
      </c>
      <c r="K1022" s="18">
        <f>IF($B$1018="","",IF(4&lt;=$C$4,N(K1019),IF(K1021="",K1018,K1021)))</f>
        <v/>
      </c>
      <c r="L1022" s="18">
        <f>IF($B$1018="","",IF(5&lt;=$C$4,N(L1019),IF(L1021="",L1018,L1021)))</f>
        <v/>
      </c>
      <c r="M1022" s="18">
        <f>IF($B$1018="","",IF(6&lt;=$C$4,N(M1019),IF(M1021="",M1018,M1021)))</f>
        <v/>
      </c>
      <c r="N1022" s="18">
        <f>IF($B$1018="","",IF(7&lt;=$C$4,N(N1019),IF(N1021="",N1018,N1021)))</f>
        <v/>
      </c>
      <c r="O1022" s="18">
        <f>IF($B$1018="","",IF(8&lt;=$C$4,N(O1019),IF(O1021="",O1018,O1021)))</f>
        <v/>
      </c>
      <c r="P1022" s="18">
        <f>IF($B$1018="","",IF(9&lt;=$C$4,N(P1019),IF(P1021="",P1018,P1021)))</f>
        <v/>
      </c>
      <c r="Q1022" s="18">
        <f>IF($B$1018="","",IF(10&lt;=$C$4,N(Q1019),IF(Q1021="",Q1018,Q1021)))</f>
        <v/>
      </c>
      <c r="R1022" s="18">
        <f>IF($B$1018="","",IF(11&lt;=$C$4,N(R1019),IF(R1021="",R1018,R1021)))</f>
        <v/>
      </c>
      <c r="S1022" s="18">
        <f>IF($B$1018="","",IF(12&lt;=$C$4,N(S1019),IF(S1021="",S1018,S1021)))</f>
        <v/>
      </c>
      <c r="T1022" s="18">
        <f>IF($B$1018="","",SUMIF($H$7:$S$7,"&lt;="&amp;$C$4,$H1022:$S1022))</f>
        <v/>
      </c>
      <c r="U1022" s="18">
        <f>IF($B$1018="","",SUMIF($H$7:$S$7,"&gt;"&amp;$C$4,$H1022:$S1022))</f>
        <v/>
      </c>
      <c r="V1022" s="18">
        <f>IF($B$1018="","",SUM($H1022:$S1022))</f>
        <v/>
      </c>
      <c r="X1022" s="22">
        <f>IF($B1022="","",IFERROR(INDEX(Cost_Centers!$E:$E,MATCH($B1022,Cost_Centers!$A:$A,0)),"(unknown)"))</f>
        <v/>
      </c>
      <c r="Y1022" s="22">
        <f>IF($B1022="","",IFERROR(INDEX(Cost_Centers!$D:$D,MATCH($B1022,Cost_Centers!$A:$A,0)),"(unknown)"))</f>
        <v/>
      </c>
      <c r="Z1022" s="22">
        <f>IF(OR($B1022="",$G1022&lt;&gt;"Variance vs Budget"),"",ABS(N($V1022))+ROW()/1000000000)</f>
        <v/>
      </c>
    </row>
    <row r="1023">
      <c r="A1023" s="13">
        <f>IF(A$1018="","",A$1018)</f>
        <v/>
      </c>
      <c r="B1023" s="13">
        <f>IF(B$1018="","",B$1018)</f>
        <v/>
      </c>
      <c r="C1023" s="13">
        <f>IF(C$1018="","",C$1018)</f>
        <v/>
      </c>
      <c r="D1023" s="13">
        <f>IF(D$1018="","",D$1018)</f>
        <v/>
      </c>
      <c r="E1023" s="13">
        <f>IF(E$1018="","",E$1018)</f>
        <v/>
      </c>
      <c r="F1023" s="13">
        <f>IF(F$1018="","",F$1018)</f>
        <v/>
      </c>
      <c r="G1023" s="36" t="inlineStr">
        <is>
          <t>Prior Month Forecast</t>
        </is>
      </c>
      <c r="H1023" s="37">
        <f>IF($B$1018="","",IF(COUNTIFS(Prior_Forecast!$A:$A,$B$1018,Prior_Forecast!$B:$B,$D$1018)&gt;0,SUMIFS(Prior_Forecast!$C:$C,Prior_Forecast!$A:$A,$B$1018,Prior_Forecast!$B:$B,$D$1018),""))</f>
        <v/>
      </c>
      <c r="I1023" s="37">
        <f>IF($B$1018="","",IF(COUNTIFS(Prior_Forecast!$A:$A,$B$1018,Prior_Forecast!$B:$B,$D$1018)&gt;0,SUMIFS(Prior_Forecast!$D:$D,Prior_Forecast!$A:$A,$B$1018,Prior_Forecast!$B:$B,$D$1018),""))</f>
        <v/>
      </c>
      <c r="J1023" s="37">
        <f>IF($B$1018="","",IF(COUNTIFS(Prior_Forecast!$A:$A,$B$1018,Prior_Forecast!$B:$B,$D$1018)&gt;0,SUMIFS(Prior_Forecast!$E:$E,Prior_Forecast!$A:$A,$B$1018,Prior_Forecast!$B:$B,$D$1018),""))</f>
        <v/>
      </c>
      <c r="K1023" s="37">
        <f>IF($B$1018="","",IF(COUNTIFS(Prior_Forecast!$A:$A,$B$1018,Prior_Forecast!$B:$B,$D$1018)&gt;0,SUMIFS(Prior_Forecast!$F:$F,Prior_Forecast!$A:$A,$B$1018,Prior_Forecast!$B:$B,$D$1018),""))</f>
        <v/>
      </c>
      <c r="L1023" s="37">
        <f>IF($B$1018="","",IF(COUNTIFS(Prior_Forecast!$A:$A,$B$1018,Prior_Forecast!$B:$B,$D$1018)&gt;0,SUMIFS(Prior_Forecast!$G:$G,Prior_Forecast!$A:$A,$B$1018,Prior_Forecast!$B:$B,$D$1018),""))</f>
        <v/>
      </c>
      <c r="M1023" s="37">
        <f>IF($B$1018="","",IF(COUNTIFS(Prior_Forecast!$A:$A,$B$1018,Prior_Forecast!$B:$B,$D$1018)&gt;0,SUMIFS(Prior_Forecast!$H:$H,Prior_Forecast!$A:$A,$B$1018,Prior_Forecast!$B:$B,$D$1018),""))</f>
        <v/>
      </c>
      <c r="N1023" s="37">
        <f>IF($B$1018="","",IF(COUNTIFS(Prior_Forecast!$A:$A,$B$1018,Prior_Forecast!$B:$B,$D$1018)&gt;0,SUMIFS(Prior_Forecast!$I:$I,Prior_Forecast!$A:$A,$B$1018,Prior_Forecast!$B:$B,$D$1018),""))</f>
        <v/>
      </c>
      <c r="O1023" s="37">
        <f>IF($B$1018="","",IF(COUNTIFS(Prior_Forecast!$A:$A,$B$1018,Prior_Forecast!$B:$B,$D$1018)&gt;0,SUMIFS(Prior_Forecast!$J:$J,Prior_Forecast!$A:$A,$B$1018,Prior_Forecast!$B:$B,$D$1018),""))</f>
        <v/>
      </c>
      <c r="P1023" s="37">
        <f>IF($B$1018="","",IF(COUNTIFS(Prior_Forecast!$A:$A,$B$1018,Prior_Forecast!$B:$B,$D$1018)&gt;0,SUMIFS(Prior_Forecast!$K:$K,Prior_Forecast!$A:$A,$B$1018,Prior_Forecast!$B:$B,$D$1018),""))</f>
        <v/>
      </c>
      <c r="Q1023" s="37">
        <f>IF($B$1018="","",IF(COUNTIFS(Prior_Forecast!$A:$A,$B$1018,Prior_Forecast!$B:$B,$D$1018)&gt;0,SUMIFS(Prior_Forecast!$L:$L,Prior_Forecast!$A:$A,$B$1018,Prior_Forecast!$B:$B,$D$1018),""))</f>
        <v/>
      </c>
      <c r="R1023" s="37">
        <f>IF($B$1018="","",IF(COUNTIFS(Prior_Forecast!$A:$A,$B$1018,Prior_Forecast!$B:$B,$D$1018)&gt;0,SUMIFS(Prior_Forecast!$M:$M,Prior_Forecast!$A:$A,$B$1018,Prior_Forecast!$B:$B,$D$1018),""))</f>
        <v/>
      </c>
      <c r="S1023" s="37">
        <f>IF($B$1018="","",IF(COUNTIFS(Prior_Forecast!$A:$A,$B$1018,Prior_Forecast!$B:$B,$D$1018)&gt;0,SUMIFS(Prior_Forecast!$N:$N,Prior_Forecast!$A:$A,$B$1018,Prior_Forecast!$B:$B,$D$1018),""))</f>
        <v/>
      </c>
      <c r="T1023" s="37">
        <f>IF($B$1018="","",IF(COUNTIFS(Prior_Forecast!$A:$A,$B$1018,Prior_Forecast!$B:$B,$D$1018)&gt;0,SUMIFS(Prior_Forecast!$O:$O,Prior_Forecast!$A:$A,$B$1018,Prior_Forecast!$B:$B,$D$1018),""))</f>
        <v/>
      </c>
      <c r="U1023" s="37">
        <f>IF($B$1018="","",IF(COUNTIFS(Prior_Forecast!$A:$A,$B$1018,Prior_Forecast!$B:$B,$D$1018)&gt;0,SUMIFS(Prior_Forecast!$P:$P,Prior_Forecast!$A:$A,$B$1018,Prior_Forecast!$B:$B,$D$1018),""))</f>
        <v/>
      </c>
      <c r="V1023" s="37">
        <f>IF($B$1018="","",IF(COUNTIFS(Prior_Forecast!$A:$A,$B$1018,Prior_Forecast!$B:$B,$D$1018)&gt;0,SUMIFS(Prior_Forecast!$Q:$Q,Prior_Forecast!$A:$A,$B$1018,Prior_Forecast!$B:$B,$D$1018),""))</f>
        <v/>
      </c>
      <c r="X1023" s="22">
        <f>IF($B1023="","",IFERROR(INDEX(Cost_Centers!$E:$E,MATCH($B1023,Cost_Centers!$A:$A,0)),"(unknown)"))</f>
        <v/>
      </c>
      <c r="Y1023" s="22">
        <f>IF($B1023="","",IFERROR(INDEX(Cost_Centers!$D:$D,MATCH($B1023,Cost_Centers!$A:$A,0)),"(unknown)"))</f>
        <v/>
      </c>
      <c r="Z1023" s="22">
        <f>IF(OR($B1023="",$G1023&lt;&gt;"Variance vs Budget"),"",ABS(N($V1023))+ROW()/1000000000)</f>
        <v/>
      </c>
    </row>
    <row r="1024">
      <c r="A1024" s="13">
        <f>IF(A$1018="","",A$1018)</f>
        <v/>
      </c>
      <c r="B1024" s="13">
        <f>IF(B$1018="","",B$1018)</f>
        <v/>
      </c>
      <c r="C1024" s="13">
        <f>IF(C$1018="","",C$1018)</f>
        <v/>
      </c>
      <c r="D1024" s="13">
        <f>IF(D$1018="","",D$1018)</f>
        <v/>
      </c>
      <c r="E1024" s="13">
        <f>IF(E$1018="","",E$1018)</f>
        <v/>
      </c>
      <c r="F1024" s="13">
        <f>IF(F$1018="","",F$1018)</f>
        <v/>
      </c>
      <c r="G1024" s="6" t="inlineStr">
        <is>
          <t>Variance vs Prior Month</t>
        </is>
      </c>
      <c r="H1024" s="33">
        <f>IF(OR($B$1018="",H1023=""),"",H1022-H1023)</f>
        <v/>
      </c>
      <c r="I1024" s="33">
        <f>IF(OR($B$1018="",I1023=""),"",I1022-I1023)</f>
        <v/>
      </c>
      <c r="J1024" s="33">
        <f>IF(OR($B$1018="",J1023=""),"",J1022-J1023)</f>
        <v/>
      </c>
      <c r="K1024" s="33">
        <f>IF(OR($B$1018="",K1023=""),"",K1022-K1023)</f>
        <v/>
      </c>
      <c r="L1024" s="33">
        <f>IF(OR($B$1018="",L1023=""),"",L1022-L1023)</f>
        <v/>
      </c>
      <c r="M1024" s="33">
        <f>IF(OR($B$1018="",M1023=""),"",M1022-M1023)</f>
        <v/>
      </c>
      <c r="N1024" s="33">
        <f>IF(OR($B$1018="",N1023=""),"",N1022-N1023)</f>
        <v/>
      </c>
      <c r="O1024" s="33">
        <f>IF(OR($B$1018="",O1023=""),"",O1022-O1023)</f>
        <v/>
      </c>
      <c r="P1024" s="33">
        <f>IF(OR($B$1018="",P1023=""),"",P1022-P1023)</f>
        <v/>
      </c>
      <c r="Q1024" s="33">
        <f>IF(OR($B$1018="",Q1023=""),"",Q1022-Q1023)</f>
        <v/>
      </c>
      <c r="R1024" s="33">
        <f>IF(OR($B$1018="",R1023=""),"",R1022-R1023)</f>
        <v/>
      </c>
      <c r="S1024" s="33">
        <f>IF(OR($B$1018="",S1023=""),"",S1022-S1023)</f>
        <v/>
      </c>
      <c r="T1024" s="33">
        <f>IF(OR($B$1018="",T1023=""),"",T1022-T1023)</f>
        <v/>
      </c>
      <c r="U1024" s="33">
        <f>IF(OR($B$1018="",U1023=""),"",U1022-U1023)</f>
        <v/>
      </c>
      <c r="V1024" s="33">
        <f>IF(OR($B$1018="",V1023=""),"",V1022-V1023)</f>
        <v/>
      </c>
      <c r="X1024" s="22">
        <f>IF($B1024="","",IFERROR(INDEX(Cost_Centers!$E:$E,MATCH($B1024,Cost_Centers!$A:$A,0)),"(unknown)"))</f>
        <v/>
      </c>
      <c r="Y1024" s="22">
        <f>IF($B1024="","",IFERROR(INDEX(Cost_Centers!$D:$D,MATCH($B1024,Cost_Centers!$A:$A,0)),"(unknown)"))</f>
        <v/>
      </c>
      <c r="Z1024" s="22">
        <f>IF(OR($B1024="",$G1024&lt;&gt;"Variance vs Budget"),"",ABS(N($V1024))+ROW()/1000000000)</f>
        <v/>
      </c>
    </row>
    <row r="1025" ht="45" customHeight="1">
      <c r="A1025" s="13">
        <f>IF(A$1018="","",A$1018)</f>
        <v/>
      </c>
      <c r="B1025" s="13">
        <f>IF(B$1018="","",B$1018)</f>
        <v/>
      </c>
      <c r="C1025" s="13">
        <f>IF(C$1018="","",C$1018)</f>
        <v/>
      </c>
      <c r="D1025" s="13">
        <f>IF(D$1018="","",D$1018)</f>
        <v/>
      </c>
      <c r="E1025" s="13">
        <f>IF(E$1018="","",E$1018)</f>
        <v/>
      </c>
      <c r="F1025" s="13">
        <f>IF(F$1018="","",F$1018)</f>
        <v/>
      </c>
      <c r="G1025" s="7" t="inlineStr">
        <is>
          <t>Rationale</t>
        </is>
      </c>
      <c r="H1025" s="38" t="n"/>
      <c r="I1025" s="38" t="n"/>
      <c r="J1025" s="38" t="n"/>
      <c r="K1025" s="38" t="n"/>
      <c r="L1025" s="38" t="n"/>
      <c r="M1025" s="38" t="n"/>
      <c r="N1025" s="38" t="n"/>
      <c r="O1025" s="38" t="n"/>
      <c r="P1025" s="38" t="n"/>
      <c r="Q1025" s="38" t="n"/>
      <c r="R1025" s="38" t="n"/>
      <c r="S1025" s="38" t="n"/>
      <c r="T1025" s="38" t="n"/>
      <c r="U1025" s="38" t="n"/>
      <c r="V1025" s="7" t="n"/>
      <c r="X1025" s="22">
        <f>IF($B1025="","",IFERROR(INDEX(Cost_Centers!$E:$E,MATCH($B1025,Cost_Centers!$A:$A,0)),"(unknown)"))</f>
        <v/>
      </c>
      <c r="Y1025" s="22">
        <f>IF($B1025="","",IFERROR(INDEX(Cost_Centers!$D:$D,MATCH($B1025,Cost_Centers!$A:$A,0)),"(unknown)"))</f>
        <v/>
      </c>
      <c r="Z1025" s="22">
        <f>IF(OR($B1025="",$G1025&lt;&gt;"Variance vs Budget"),"",ABS(N($V1025))+ROW()/1000000000)</f>
        <v/>
      </c>
    </row>
    <row r="1026">
      <c r="A1026" s="30">
        <f>IF($D$1026="","",LEFT($D$1026,FIND("|",$D$1026&amp;"|")-1))</f>
        <v/>
      </c>
      <c r="B1026" s="31" t="n"/>
      <c r="C1026" s="30">
        <f>IF($B$1026="","",IFERROR(INDEX(Cost_Centers!$B:$B,MATCH($B$1026,Cost_Centers!$A:$A,0)),"(not in master)"))</f>
        <v/>
      </c>
      <c r="D1026" s="31" t="n"/>
      <c r="E1026" s="30">
        <f>IF($D$1026="","",IFERROR(INDEX(Accounts!$D:$D,MATCH($D$1026,Accounts!$A:$A,0)),"(not in master)"))</f>
        <v/>
      </c>
      <c r="F1026" s="31" t="n"/>
      <c r="G1026" s="30" t="inlineStr">
        <is>
          <t>Budget</t>
        </is>
      </c>
      <c r="H1026" s="32">
        <f>IF($B$1026="","",SUMIFS(Opex_Budget!$O:$O,Opex_Budget!$A:$A,$C$3,Opex_Budget!$E:$E,$B$1026,Opex_Budget!$F:$F,$D$1026,Opex_Budget!$N:$N,"JPY")*$E$5+SUMIFS(Opex_Budget!$O:$O,Opex_Budget!$A:$A,$C$3,Opex_Budget!$E:$E,$B$1026,Opex_Budget!$F:$F,$D$1026,Opex_Budget!$N:$N,"USD")*$F$5+SUMIFS(Opex_Budget!$O:$O,Opex_Budget!$A:$A,$C$3,Opex_Budget!$E:$E,$B$1026,Opex_Budget!$F:$F,$D$1026,Opex_Budget!$N:$N,"EUR")*$G$5+SUMIFS(Opex_Budget!$O:$O,Opex_Budget!$A:$A,$C$3,Opex_Budget!$E:$E,$B$1026,Opex_Budget!$F:$F,$D$1026,Opex_Budget!$N:$N,"GBP")*$H$5)</f>
        <v/>
      </c>
      <c r="I1026" s="32">
        <f>IF($B$1026="","",SUMIFS(Opex_Budget!$P:$P,Opex_Budget!$A:$A,$C$3,Opex_Budget!$E:$E,$B$1026,Opex_Budget!$F:$F,$D$1026,Opex_Budget!$N:$N,"JPY")*$E$5+SUMIFS(Opex_Budget!$P:$P,Opex_Budget!$A:$A,$C$3,Opex_Budget!$E:$E,$B$1026,Opex_Budget!$F:$F,$D$1026,Opex_Budget!$N:$N,"USD")*$F$5+SUMIFS(Opex_Budget!$P:$P,Opex_Budget!$A:$A,$C$3,Opex_Budget!$E:$E,$B$1026,Opex_Budget!$F:$F,$D$1026,Opex_Budget!$N:$N,"EUR")*$G$5+SUMIFS(Opex_Budget!$P:$P,Opex_Budget!$A:$A,$C$3,Opex_Budget!$E:$E,$B$1026,Opex_Budget!$F:$F,$D$1026,Opex_Budget!$N:$N,"GBP")*$H$5)</f>
        <v/>
      </c>
      <c r="J1026" s="32">
        <f>IF($B$1026="","",SUMIFS(Opex_Budget!$Q:$Q,Opex_Budget!$A:$A,$C$3,Opex_Budget!$E:$E,$B$1026,Opex_Budget!$F:$F,$D$1026,Opex_Budget!$N:$N,"JPY")*$E$5+SUMIFS(Opex_Budget!$Q:$Q,Opex_Budget!$A:$A,$C$3,Opex_Budget!$E:$E,$B$1026,Opex_Budget!$F:$F,$D$1026,Opex_Budget!$N:$N,"USD")*$F$5+SUMIFS(Opex_Budget!$Q:$Q,Opex_Budget!$A:$A,$C$3,Opex_Budget!$E:$E,$B$1026,Opex_Budget!$F:$F,$D$1026,Opex_Budget!$N:$N,"EUR")*$G$5+SUMIFS(Opex_Budget!$Q:$Q,Opex_Budget!$A:$A,$C$3,Opex_Budget!$E:$E,$B$1026,Opex_Budget!$F:$F,$D$1026,Opex_Budget!$N:$N,"GBP")*$H$5)</f>
        <v/>
      </c>
      <c r="K1026" s="32">
        <f>IF($B$1026="","",SUMIFS(Opex_Budget!$R:$R,Opex_Budget!$A:$A,$C$3,Opex_Budget!$E:$E,$B$1026,Opex_Budget!$F:$F,$D$1026,Opex_Budget!$N:$N,"JPY")*$E$5+SUMIFS(Opex_Budget!$R:$R,Opex_Budget!$A:$A,$C$3,Opex_Budget!$E:$E,$B$1026,Opex_Budget!$F:$F,$D$1026,Opex_Budget!$N:$N,"USD")*$F$5+SUMIFS(Opex_Budget!$R:$R,Opex_Budget!$A:$A,$C$3,Opex_Budget!$E:$E,$B$1026,Opex_Budget!$F:$F,$D$1026,Opex_Budget!$N:$N,"EUR")*$G$5+SUMIFS(Opex_Budget!$R:$R,Opex_Budget!$A:$A,$C$3,Opex_Budget!$E:$E,$B$1026,Opex_Budget!$F:$F,$D$1026,Opex_Budget!$N:$N,"GBP")*$H$5)</f>
        <v/>
      </c>
      <c r="L1026" s="32">
        <f>IF($B$1026="","",SUMIFS(Opex_Budget!$S:$S,Opex_Budget!$A:$A,$C$3,Opex_Budget!$E:$E,$B$1026,Opex_Budget!$F:$F,$D$1026,Opex_Budget!$N:$N,"JPY")*$E$5+SUMIFS(Opex_Budget!$S:$S,Opex_Budget!$A:$A,$C$3,Opex_Budget!$E:$E,$B$1026,Opex_Budget!$F:$F,$D$1026,Opex_Budget!$N:$N,"USD")*$F$5+SUMIFS(Opex_Budget!$S:$S,Opex_Budget!$A:$A,$C$3,Opex_Budget!$E:$E,$B$1026,Opex_Budget!$F:$F,$D$1026,Opex_Budget!$N:$N,"EUR")*$G$5+SUMIFS(Opex_Budget!$S:$S,Opex_Budget!$A:$A,$C$3,Opex_Budget!$E:$E,$B$1026,Opex_Budget!$F:$F,$D$1026,Opex_Budget!$N:$N,"GBP")*$H$5)</f>
        <v/>
      </c>
      <c r="M1026" s="32">
        <f>IF($B$1026="","",SUMIFS(Opex_Budget!$T:$T,Opex_Budget!$A:$A,$C$3,Opex_Budget!$E:$E,$B$1026,Opex_Budget!$F:$F,$D$1026,Opex_Budget!$N:$N,"JPY")*$E$5+SUMIFS(Opex_Budget!$T:$T,Opex_Budget!$A:$A,$C$3,Opex_Budget!$E:$E,$B$1026,Opex_Budget!$F:$F,$D$1026,Opex_Budget!$N:$N,"USD")*$F$5+SUMIFS(Opex_Budget!$T:$T,Opex_Budget!$A:$A,$C$3,Opex_Budget!$E:$E,$B$1026,Opex_Budget!$F:$F,$D$1026,Opex_Budget!$N:$N,"EUR")*$G$5+SUMIFS(Opex_Budget!$T:$T,Opex_Budget!$A:$A,$C$3,Opex_Budget!$E:$E,$B$1026,Opex_Budget!$F:$F,$D$1026,Opex_Budget!$N:$N,"GBP")*$H$5)</f>
        <v/>
      </c>
      <c r="N1026" s="32">
        <f>IF($B$1026="","",SUMIFS(Opex_Budget!$U:$U,Opex_Budget!$A:$A,$C$3,Opex_Budget!$E:$E,$B$1026,Opex_Budget!$F:$F,$D$1026,Opex_Budget!$N:$N,"JPY")*$E$5+SUMIFS(Opex_Budget!$U:$U,Opex_Budget!$A:$A,$C$3,Opex_Budget!$E:$E,$B$1026,Opex_Budget!$F:$F,$D$1026,Opex_Budget!$N:$N,"USD")*$F$5+SUMIFS(Opex_Budget!$U:$U,Opex_Budget!$A:$A,$C$3,Opex_Budget!$E:$E,$B$1026,Opex_Budget!$F:$F,$D$1026,Opex_Budget!$N:$N,"EUR")*$G$5+SUMIFS(Opex_Budget!$U:$U,Opex_Budget!$A:$A,$C$3,Opex_Budget!$E:$E,$B$1026,Opex_Budget!$F:$F,$D$1026,Opex_Budget!$N:$N,"GBP")*$H$5)</f>
        <v/>
      </c>
      <c r="O1026" s="32">
        <f>IF($B$1026="","",SUMIFS(Opex_Budget!$V:$V,Opex_Budget!$A:$A,$C$3,Opex_Budget!$E:$E,$B$1026,Opex_Budget!$F:$F,$D$1026,Opex_Budget!$N:$N,"JPY")*$E$5+SUMIFS(Opex_Budget!$V:$V,Opex_Budget!$A:$A,$C$3,Opex_Budget!$E:$E,$B$1026,Opex_Budget!$F:$F,$D$1026,Opex_Budget!$N:$N,"USD")*$F$5+SUMIFS(Opex_Budget!$V:$V,Opex_Budget!$A:$A,$C$3,Opex_Budget!$E:$E,$B$1026,Opex_Budget!$F:$F,$D$1026,Opex_Budget!$N:$N,"EUR")*$G$5+SUMIFS(Opex_Budget!$V:$V,Opex_Budget!$A:$A,$C$3,Opex_Budget!$E:$E,$B$1026,Opex_Budget!$F:$F,$D$1026,Opex_Budget!$N:$N,"GBP")*$H$5)</f>
        <v/>
      </c>
      <c r="P1026" s="32">
        <f>IF($B$1026="","",SUMIFS(Opex_Budget!$W:$W,Opex_Budget!$A:$A,$C$3,Opex_Budget!$E:$E,$B$1026,Opex_Budget!$F:$F,$D$1026,Opex_Budget!$N:$N,"JPY")*$E$5+SUMIFS(Opex_Budget!$W:$W,Opex_Budget!$A:$A,$C$3,Opex_Budget!$E:$E,$B$1026,Opex_Budget!$F:$F,$D$1026,Opex_Budget!$N:$N,"USD")*$F$5+SUMIFS(Opex_Budget!$W:$W,Opex_Budget!$A:$A,$C$3,Opex_Budget!$E:$E,$B$1026,Opex_Budget!$F:$F,$D$1026,Opex_Budget!$N:$N,"EUR")*$G$5+SUMIFS(Opex_Budget!$W:$W,Opex_Budget!$A:$A,$C$3,Opex_Budget!$E:$E,$B$1026,Opex_Budget!$F:$F,$D$1026,Opex_Budget!$N:$N,"GBP")*$H$5)</f>
        <v/>
      </c>
      <c r="Q1026" s="32">
        <f>IF($B$1026="","",SUMIFS(Opex_Budget!$X:$X,Opex_Budget!$A:$A,$C$3,Opex_Budget!$E:$E,$B$1026,Opex_Budget!$F:$F,$D$1026,Opex_Budget!$N:$N,"JPY")*$E$5+SUMIFS(Opex_Budget!$X:$X,Opex_Budget!$A:$A,$C$3,Opex_Budget!$E:$E,$B$1026,Opex_Budget!$F:$F,$D$1026,Opex_Budget!$N:$N,"USD")*$F$5+SUMIFS(Opex_Budget!$X:$X,Opex_Budget!$A:$A,$C$3,Opex_Budget!$E:$E,$B$1026,Opex_Budget!$F:$F,$D$1026,Opex_Budget!$N:$N,"EUR")*$G$5+SUMIFS(Opex_Budget!$X:$X,Opex_Budget!$A:$A,$C$3,Opex_Budget!$E:$E,$B$1026,Opex_Budget!$F:$F,$D$1026,Opex_Budget!$N:$N,"GBP")*$H$5)</f>
        <v/>
      </c>
      <c r="R1026" s="32">
        <f>IF($B$1026="","",SUMIFS(Opex_Budget!$Y:$Y,Opex_Budget!$A:$A,$C$3,Opex_Budget!$E:$E,$B$1026,Opex_Budget!$F:$F,$D$1026,Opex_Budget!$N:$N,"JPY")*$E$5+SUMIFS(Opex_Budget!$Y:$Y,Opex_Budget!$A:$A,$C$3,Opex_Budget!$E:$E,$B$1026,Opex_Budget!$F:$F,$D$1026,Opex_Budget!$N:$N,"USD")*$F$5+SUMIFS(Opex_Budget!$Y:$Y,Opex_Budget!$A:$A,$C$3,Opex_Budget!$E:$E,$B$1026,Opex_Budget!$F:$F,$D$1026,Opex_Budget!$N:$N,"EUR")*$G$5+SUMIFS(Opex_Budget!$Y:$Y,Opex_Budget!$A:$A,$C$3,Opex_Budget!$E:$E,$B$1026,Opex_Budget!$F:$F,$D$1026,Opex_Budget!$N:$N,"GBP")*$H$5)</f>
        <v/>
      </c>
      <c r="S1026" s="32">
        <f>IF($B$1026="","",SUMIFS(Opex_Budget!$Z:$Z,Opex_Budget!$A:$A,$C$3,Opex_Budget!$E:$E,$B$1026,Opex_Budget!$F:$F,$D$1026,Opex_Budget!$N:$N,"JPY")*$E$5+SUMIFS(Opex_Budget!$Z:$Z,Opex_Budget!$A:$A,$C$3,Opex_Budget!$E:$E,$B$1026,Opex_Budget!$F:$F,$D$1026,Opex_Budget!$N:$N,"USD")*$F$5+SUMIFS(Opex_Budget!$Z:$Z,Opex_Budget!$A:$A,$C$3,Opex_Budget!$E:$E,$B$1026,Opex_Budget!$F:$F,$D$1026,Opex_Budget!$N:$N,"EUR")*$G$5+SUMIFS(Opex_Budget!$Z:$Z,Opex_Budget!$A:$A,$C$3,Opex_Budget!$E:$E,$B$1026,Opex_Budget!$F:$F,$D$1026,Opex_Budget!$N:$N,"GBP")*$H$5)</f>
        <v/>
      </c>
      <c r="T1026" s="32">
        <f>IF($B$1026="","",SUMIF($H$7:$S$7,"&lt;="&amp;$C$4,$H1026:$S1026))</f>
        <v/>
      </c>
      <c r="U1026" s="32">
        <f>IF($B$1026="","",SUMIF($H$7:$S$7,"&gt;"&amp;$C$4,$H1026:$S1026))</f>
        <v/>
      </c>
      <c r="V1026" s="32">
        <f>IF($B$1026="","",SUM($H1026:$S1026))</f>
        <v/>
      </c>
      <c r="X1026" s="22">
        <f>IF($B1026="","",IFERROR(INDEX(Cost_Centers!$E:$E,MATCH($B1026,Cost_Centers!$A:$A,0)),"(unknown)"))</f>
        <v/>
      </c>
      <c r="Y1026" s="22">
        <f>IF($B1026="","",IFERROR(INDEX(Cost_Centers!$D:$D,MATCH($B1026,Cost_Centers!$A:$A,0)),"(unknown)"))</f>
        <v/>
      </c>
      <c r="Z1026" s="22">
        <f>IF(OR($B1026="",$G1026&lt;&gt;"Variance vs Budget"),"",ABS(N($V1026))+ROW()/1000000000)</f>
        <v/>
      </c>
    </row>
    <row r="1027">
      <c r="A1027" s="13">
        <f>IF(A$1026="","",A$1026)</f>
        <v/>
      </c>
      <c r="B1027" s="13">
        <f>IF(B$1026="","",B$1026)</f>
        <v/>
      </c>
      <c r="C1027" s="13">
        <f>IF(C$1026="","",C$1026)</f>
        <v/>
      </c>
      <c r="D1027" s="13">
        <f>IF(D$1026="","",D$1026)</f>
        <v/>
      </c>
      <c r="E1027" s="13">
        <f>IF(E$1026="","",E$1026)</f>
        <v/>
      </c>
      <c r="F1027" s="13">
        <f>IF(F$1026="","",F$1026)</f>
        <v/>
      </c>
      <c r="G1027" s="7" t="inlineStr">
        <is>
          <t>Actual</t>
        </is>
      </c>
      <c r="H1027" s="18">
        <f>IF(OR($B$1026="",1&gt;$C$4),"",SUMIFS(Actuals!$G:$G,Actuals!$B:$B,$C$3,Actuals!$C:$C,1,Actuals!$D:$D,$B$1026,Actuals!$A:$A,LEFT($D$1026,FIND("|",$D$1026&amp;"|")-1),Actuals!$E:$E,MID($D$1026,FIND("|",$D$1026&amp;"|")+1,50),Actuals!$F:$F,"JPY")*$E$5+SUMIFS(Actuals!$G:$G,Actuals!$B:$B,$C$3,Actuals!$C:$C,1,Actuals!$D:$D,$B$1026,Actuals!$A:$A,LEFT($D$1026,FIND("|",$D$1026&amp;"|")-1),Actuals!$E:$E,MID($D$1026,FIND("|",$D$1026&amp;"|")+1,50),Actuals!$F:$F,"USD")*$F$5+SUMIFS(Actuals!$G:$G,Actuals!$B:$B,$C$3,Actuals!$C:$C,1,Actuals!$D:$D,$B$1026,Actuals!$A:$A,LEFT($D$1026,FIND("|",$D$1026&amp;"|")-1),Actuals!$E:$E,MID($D$1026,FIND("|",$D$1026&amp;"|")+1,50),Actuals!$F:$F,"EUR")*$G$5+SUMIFS(Actuals!$G:$G,Actuals!$B:$B,$C$3,Actuals!$C:$C,1,Actuals!$D:$D,$B$1026,Actuals!$A:$A,LEFT($D$1026,FIND("|",$D$1026&amp;"|")-1),Actuals!$E:$E,MID($D$1026,FIND("|",$D$1026&amp;"|")+1,50),Actuals!$F:$F,"GBP")*$H$5)</f>
        <v/>
      </c>
      <c r="I1027" s="18">
        <f>IF(OR($B$1026="",2&gt;$C$4),"",SUMIFS(Actuals!$G:$G,Actuals!$B:$B,$C$3,Actuals!$C:$C,2,Actuals!$D:$D,$B$1026,Actuals!$A:$A,LEFT($D$1026,FIND("|",$D$1026&amp;"|")-1),Actuals!$E:$E,MID($D$1026,FIND("|",$D$1026&amp;"|")+1,50),Actuals!$F:$F,"JPY")*$E$5+SUMIFS(Actuals!$G:$G,Actuals!$B:$B,$C$3,Actuals!$C:$C,2,Actuals!$D:$D,$B$1026,Actuals!$A:$A,LEFT($D$1026,FIND("|",$D$1026&amp;"|")-1),Actuals!$E:$E,MID($D$1026,FIND("|",$D$1026&amp;"|")+1,50),Actuals!$F:$F,"USD")*$F$5+SUMIFS(Actuals!$G:$G,Actuals!$B:$B,$C$3,Actuals!$C:$C,2,Actuals!$D:$D,$B$1026,Actuals!$A:$A,LEFT($D$1026,FIND("|",$D$1026&amp;"|")-1),Actuals!$E:$E,MID($D$1026,FIND("|",$D$1026&amp;"|")+1,50),Actuals!$F:$F,"EUR")*$G$5+SUMIFS(Actuals!$G:$G,Actuals!$B:$B,$C$3,Actuals!$C:$C,2,Actuals!$D:$D,$B$1026,Actuals!$A:$A,LEFT($D$1026,FIND("|",$D$1026&amp;"|")-1),Actuals!$E:$E,MID($D$1026,FIND("|",$D$1026&amp;"|")+1,50),Actuals!$F:$F,"GBP")*$H$5)</f>
        <v/>
      </c>
      <c r="J1027" s="18">
        <f>IF(OR($B$1026="",3&gt;$C$4),"",SUMIFS(Actuals!$G:$G,Actuals!$B:$B,$C$3,Actuals!$C:$C,3,Actuals!$D:$D,$B$1026,Actuals!$A:$A,LEFT($D$1026,FIND("|",$D$1026&amp;"|")-1),Actuals!$E:$E,MID($D$1026,FIND("|",$D$1026&amp;"|")+1,50),Actuals!$F:$F,"JPY")*$E$5+SUMIFS(Actuals!$G:$G,Actuals!$B:$B,$C$3,Actuals!$C:$C,3,Actuals!$D:$D,$B$1026,Actuals!$A:$A,LEFT($D$1026,FIND("|",$D$1026&amp;"|")-1),Actuals!$E:$E,MID($D$1026,FIND("|",$D$1026&amp;"|")+1,50),Actuals!$F:$F,"USD")*$F$5+SUMIFS(Actuals!$G:$G,Actuals!$B:$B,$C$3,Actuals!$C:$C,3,Actuals!$D:$D,$B$1026,Actuals!$A:$A,LEFT($D$1026,FIND("|",$D$1026&amp;"|")-1),Actuals!$E:$E,MID($D$1026,FIND("|",$D$1026&amp;"|")+1,50),Actuals!$F:$F,"EUR")*$G$5+SUMIFS(Actuals!$G:$G,Actuals!$B:$B,$C$3,Actuals!$C:$C,3,Actuals!$D:$D,$B$1026,Actuals!$A:$A,LEFT($D$1026,FIND("|",$D$1026&amp;"|")-1),Actuals!$E:$E,MID($D$1026,FIND("|",$D$1026&amp;"|")+1,50),Actuals!$F:$F,"GBP")*$H$5)</f>
        <v/>
      </c>
      <c r="K1027" s="18">
        <f>IF(OR($B$1026="",4&gt;$C$4),"",SUMIFS(Actuals!$G:$G,Actuals!$B:$B,$C$3,Actuals!$C:$C,4,Actuals!$D:$D,$B$1026,Actuals!$A:$A,LEFT($D$1026,FIND("|",$D$1026&amp;"|")-1),Actuals!$E:$E,MID($D$1026,FIND("|",$D$1026&amp;"|")+1,50),Actuals!$F:$F,"JPY")*$E$5+SUMIFS(Actuals!$G:$G,Actuals!$B:$B,$C$3,Actuals!$C:$C,4,Actuals!$D:$D,$B$1026,Actuals!$A:$A,LEFT($D$1026,FIND("|",$D$1026&amp;"|")-1),Actuals!$E:$E,MID($D$1026,FIND("|",$D$1026&amp;"|")+1,50),Actuals!$F:$F,"USD")*$F$5+SUMIFS(Actuals!$G:$G,Actuals!$B:$B,$C$3,Actuals!$C:$C,4,Actuals!$D:$D,$B$1026,Actuals!$A:$A,LEFT($D$1026,FIND("|",$D$1026&amp;"|")-1),Actuals!$E:$E,MID($D$1026,FIND("|",$D$1026&amp;"|")+1,50),Actuals!$F:$F,"EUR")*$G$5+SUMIFS(Actuals!$G:$G,Actuals!$B:$B,$C$3,Actuals!$C:$C,4,Actuals!$D:$D,$B$1026,Actuals!$A:$A,LEFT($D$1026,FIND("|",$D$1026&amp;"|")-1),Actuals!$E:$E,MID($D$1026,FIND("|",$D$1026&amp;"|")+1,50),Actuals!$F:$F,"GBP")*$H$5)</f>
        <v/>
      </c>
      <c r="L1027" s="18">
        <f>IF(OR($B$1026="",5&gt;$C$4),"",SUMIFS(Actuals!$G:$G,Actuals!$B:$B,$C$3,Actuals!$C:$C,5,Actuals!$D:$D,$B$1026,Actuals!$A:$A,LEFT($D$1026,FIND("|",$D$1026&amp;"|")-1),Actuals!$E:$E,MID($D$1026,FIND("|",$D$1026&amp;"|")+1,50),Actuals!$F:$F,"JPY")*$E$5+SUMIFS(Actuals!$G:$G,Actuals!$B:$B,$C$3,Actuals!$C:$C,5,Actuals!$D:$D,$B$1026,Actuals!$A:$A,LEFT($D$1026,FIND("|",$D$1026&amp;"|")-1),Actuals!$E:$E,MID($D$1026,FIND("|",$D$1026&amp;"|")+1,50),Actuals!$F:$F,"USD")*$F$5+SUMIFS(Actuals!$G:$G,Actuals!$B:$B,$C$3,Actuals!$C:$C,5,Actuals!$D:$D,$B$1026,Actuals!$A:$A,LEFT($D$1026,FIND("|",$D$1026&amp;"|")-1),Actuals!$E:$E,MID($D$1026,FIND("|",$D$1026&amp;"|")+1,50),Actuals!$F:$F,"EUR")*$G$5+SUMIFS(Actuals!$G:$G,Actuals!$B:$B,$C$3,Actuals!$C:$C,5,Actuals!$D:$D,$B$1026,Actuals!$A:$A,LEFT($D$1026,FIND("|",$D$1026&amp;"|")-1),Actuals!$E:$E,MID($D$1026,FIND("|",$D$1026&amp;"|")+1,50),Actuals!$F:$F,"GBP")*$H$5)</f>
        <v/>
      </c>
      <c r="M1027" s="18">
        <f>IF(OR($B$1026="",6&gt;$C$4),"",SUMIFS(Actuals!$G:$G,Actuals!$B:$B,$C$3,Actuals!$C:$C,6,Actuals!$D:$D,$B$1026,Actuals!$A:$A,LEFT($D$1026,FIND("|",$D$1026&amp;"|")-1),Actuals!$E:$E,MID($D$1026,FIND("|",$D$1026&amp;"|")+1,50),Actuals!$F:$F,"JPY")*$E$5+SUMIFS(Actuals!$G:$G,Actuals!$B:$B,$C$3,Actuals!$C:$C,6,Actuals!$D:$D,$B$1026,Actuals!$A:$A,LEFT($D$1026,FIND("|",$D$1026&amp;"|")-1),Actuals!$E:$E,MID($D$1026,FIND("|",$D$1026&amp;"|")+1,50),Actuals!$F:$F,"USD")*$F$5+SUMIFS(Actuals!$G:$G,Actuals!$B:$B,$C$3,Actuals!$C:$C,6,Actuals!$D:$D,$B$1026,Actuals!$A:$A,LEFT($D$1026,FIND("|",$D$1026&amp;"|")-1),Actuals!$E:$E,MID($D$1026,FIND("|",$D$1026&amp;"|")+1,50),Actuals!$F:$F,"EUR")*$G$5+SUMIFS(Actuals!$G:$G,Actuals!$B:$B,$C$3,Actuals!$C:$C,6,Actuals!$D:$D,$B$1026,Actuals!$A:$A,LEFT($D$1026,FIND("|",$D$1026&amp;"|")-1),Actuals!$E:$E,MID($D$1026,FIND("|",$D$1026&amp;"|")+1,50),Actuals!$F:$F,"GBP")*$H$5)</f>
        <v/>
      </c>
      <c r="N1027" s="18">
        <f>IF(OR($B$1026="",7&gt;$C$4),"",SUMIFS(Actuals!$G:$G,Actuals!$B:$B,$C$3,Actuals!$C:$C,7,Actuals!$D:$D,$B$1026,Actuals!$A:$A,LEFT($D$1026,FIND("|",$D$1026&amp;"|")-1),Actuals!$E:$E,MID($D$1026,FIND("|",$D$1026&amp;"|")+1,50),Actuals!$F:$F,"JPY")*$E$5+SUMIFS(Actuals!$G:$G,Actuals!$B:$B,$C$3,Actuals!$C:$C,7,Actuals!$D:$D,$B$1026,Actuals!$A:$A,LEFT($D$1026,FIND("|",$D$1026&amp;"|")-1),Actuals!$E:$E,MID($D$1026,FIND("|",$D$1026&amp;"|")+1,50),Actuals!$F:$F,"USD")*$F$5+SUMIFS(Actuals!$G:$G,Actuals!$B:$B,$C$3,Actuals!$C:$C,7,Actuals!$D:$D,$B$1026,Actuals!$A:$A,LEFT($D$1026,FIND("|",$D$1026&amp;"|")-1),Actuals!$E:$E,MID($D$1026,FIND("|",$D$1026&amp;"|")+1,50),Actuals!$F:$F,"EUR")*$G$5+SUMIFS(Actuals!$G:$G,Actuals!$B:$B,$C$3,Actuals!$C:$C,7,Actuals!$D:$D,$B$1026,Actuals!$A:$A,LEFT($D$1026,FIND("|",$D$1026&amp;"|")-1),Actuals!$E:$E,MID($D$1026,FIND("|",$D$1026&amp;"|")+1,50),Actuals!$F:$F,"GBP")*$H$5)</f>
        <v/>
      </c>
      <c r="O1027" s="18">
        <f>IF(OR($B$1026="",8&gt;$C$4),"",SUMIFS(Actuals!$G:$G,Actuals!$B:$B,$C$3,Actuals!$C:$C,8,Actuals!$D:$D,$B$1026,Actuals!$A:$A,LEFT($D$1026,FIND("|",$D$1026&amp;"|")-1),Actuals!$E:$E,MID($D$1026,FIND("|",$D$1026&amp;"|")+1,50),Actuals!$F:$F,"JPY")*$E$5+SUMIFS(Actuals!$G:$G,Actuals!$B:$B,$C$3,Actuals!$C:$C,8,Actuals!$D:$D,$B$1026,Actuals!$A:$A,LEFT($D$1026,FIND("|",$D$1026&amp;"|")-1),Actuals!$E:$E,MID($D$1026,FIND("|",$D$1026&amp;"|")+1,50),Actuals!$F:$F,"USD")*$F$5+SUMIFS(Actuals!$G:$G,Actuals!$B:$B,$C$3,Actuals!$C:$C,8,Actuals!$D:$D,$B$1026,Actuals!$A:$A,LEFT($D$1026,FIND("|",$D$1026&amp;"|")-1),Actuals!$E:$E,MID($D$1026,FIND("|",$D$1026&amp;"|")+1,50),Actuals!$F:$F,"EUR")*$G$5+SUMIFS(Actuals!$G:$G,Actuals!$B:$B,$C$3,Actuals!$C:$C,8,Actuals!$D:$D,$B$1026,Actuals!$A:$A,LEFT($D$1026,FIND("|",$D$1026&amp;"|")-1),Actuals!$E:$E,MID($D$1026,FIND("|",$D$1026&amp;"|")+1,50),Actuals!$F:$F,"GBP")*$H$5)</f>
        <v/>
      </c>
      <c r="P1027" s="18">
        <f>IF(OR($B$1026="",9&gt;$C$4),"",SUMIFS(Actuals!$G:$G,Actuals!$B:$B,$C$3,Actuals!$C:$C,9,Actuals!$D:$D,$B$1026,Actuals!$A:$A,LEFT($D$1026,FIND("|",$D$1026&amp;"|")-1),Actuals!$E:$E,MID($D$1026,FIND("|",$D$1026&amp;"|")+1,50),Actuals!$F:$F,"JPY")*$E$5+SUMIFS(Actuals!$G:$G,Actuals!$B:$B,$C$3,Actuals!$C:$C,9,Actuals!$D:$D,$B$1026,Actuals!$A:$A,LEFT($D$1026,FIND("|",$D$1026&amp;"|")-1),Actuals!$E:$E,MID($D$1026,FIND("|",$D$1026&amp;"|")+1,50),Actuals!$F:$F,"USD")*$F$5+SUMIFS(Actuals!$G:$G,Actuals!$B:$B,$C$3,Actuals!$C:$C,9,Actuals!$D:$D,$B$1026,Actuals!$A:$A,LEFT($D$1026,FIND("|",$D$1026&amp;"|")-1),Actuals!$E:$E,MID($D$1026,FIND("|",$D$1026&amp;"|")+1,50),Actuals!$F:$F,"EUR")*$G$5+SUMIFS(Actuals!$G:$G,Actuals!$B:$B,$C$3,Actuals!$C:$C,9,Actuals!$D:$D,$B$1026,Actuals!$A:$A,LEFT($D$1026,FIND("|",$D$1026&amp;"|")-1),Actuals!$E:$E,MID($D$1026,FIND("|",$D$1026&amp;"|")+1,50),Actuals!$F:$F,"GBP")*$H$5)</f>
        <v/>
      </c>
      <c r="Q1027" s="18">
        <f>IF(OR($B$1026="",10&gt;$C$4),"",SUMIFS(Actuals!$G:$G,Actuals!$B:$B,$C$3,Actuals!$C:$C,10,Actuals!$D:$D,$B$1026,Actuals!$A:$A,LEFT($D$1026,FIND("|",$D$1026&amp;"|")-1),Actuals!$E:$E,MID($D$1026,FIND("|",$D$1026&amp;"|")+1,50),Actuals!$F:$F,"JPY")*$E$5+SUMIFS(Actuals!$G:$G,Actuals!$B:$B,$C$3,Actuals!$C:$C,10,Actuals!$D:$D,$B$1026,Actuals!$A:$A,LEFT($D$1026,FIND("|",$D$1026&amp;"|")-1),Actuals!$E:$E,MID($D$1026,FIND("|",$D$1026&amp;"|")+1,50),Actuals!$F:$F,"USD")*$F$5+SUMIFS(Actuals!$G:$G,Actuals!$B:$B,$C$3,Actuals!$C:$C,10,Actuals!$D:$D,$B$1026,Actuals!$A:$A,LEFT($D$1026,FIND("|",$D$1026&amp;"|")-1),Actuals!$E:$E,MID($D$1026,FIND("|",$D$1026&amp;"|")+1,50),Actuals!$F:$F,"EUR")*$G$5+SUMIFS(Actuals!$G:$G,Actuals!$B:$B,$C$3,Actuals!$C:$C,10,Actuals!$D:$D,$B$1026,Actuals!$A:$A,LEFT($D$1026,FIND("|",$D$1026&amp;"|")-1),Actuals!$E:$E,MID($D$1026,FIND("|",$D$1026&amp;"|")+1,50),Actuals!$F:$F,"GBP")*$H$5)</f>
        <v/>
      </c>
      <c r="R1027" s="18">
        <f>IF(OR($B$1026="",11&gt;$C$4),"",SUMIFS(Actuals!$G:$G,Actuals!$B:$B,$C$3,Actuals!$C:$C,11,Actuals!$D:$D,$B$1026,Actuals!$A:$A,LEFT($D$1026,FIND("|",$D$1026&amp;"|")-1),Actuals!$E:$E,MID($D$1026,FIND("|",$D$1026&amp;"|")+1,50),Actuals!$F:$F,"JPY")*$E$5+SUMIFS(Actuals!$G:$G,Actuals!$B:$B,$C$3,Actuals!$C:$C,11,Actuals!$D:$D,$B$1026,Actuals!$A:$A,LEFT($D$1026,FIND("|",$D$1026&amp;"|")-1),Actuals!$E:$E,MID($D$1026,FIND("|",$D$1026&amp;"|")+1,50),Actuals!$F:$F,"USD")*$F$5+SUMIFS(Actuals!$G:$G,Actuals!$B:$B,$C$3,Actuals!$C:$C,11,Actuals!$D:$D,$B$1026,Actuals!$A:$A,LEFT($D$1026,FIND("|",$D$1026&amp;"|")-1),Actuals!$E:$E,MID($D$1026,FIND("|",$D$1026&amp;"|")+1,50),Actuals!$F:$F,"EUR")*$G$5+SUMIFS(Actuals!$G:$G,Actuals!$B:$B,$C$3,Actuals!$C:$C,11,Actuals!$D:$D,$B$1026,Actuals!$A:$A,LEFT($D$1026,FIND("|",$D$1026&amp;"|")-1),Actuals!$E:$E,MID($D$1026,FIND("|",$D$1026&amp;"|")+1,50),Actuals!$F:$F,"GBP")*$H$5)</f>
        <v/>
      </c>
      <c r="S1027" s="18">
        <f>IF(OR($B$1026="",12&gt;$C$4),"",SUMIFS(Actuals!$G:$G,Actuals!$B:$B,$C$3,Actuals!$C:$C,12,Actuals!$D:$D,$B$1026,Actuals!$A:$A,LEFT($D$1026,FIND("|",$D$1026&amp;"|")-1),Actuals!$E:$E,MID($D$1026,FIND("|",$D$1026&amp;"|")+1,50),Actuals!$F:$F,"JPY")*$E$5+SUMIFS(Actuals!$G:$G,Actuals!$B:$B,$C$3,Actuals!$C:$C,12,Actuals!$D:$D,$B$1026,Actuals!$A:$A,LEFT($D$1026,FIND("|",$D$1026&amp;"|")-1),Actuals!$E:$E,MID($D$1026,FIND("|",$D$1026&amp;"|")+1,50),Actuals!$F:$F,"USD")*$F$5+SUMIFS(Actuals!$G:$G,Actuals!$B:$B,$C$3,Actuals!$C:$C,12,Actuals!$D:$D,$B$1026,Actuals!$A:$A,LEFT($D$1026,FIND("|",$D$1026&amp;"|")-1),Actuals!$E:$E,MID($D$1026,FIND("|",$D$1026&amp;"|")+1,50),Actuals!$F:$F,"EUR")*$G$5+SUMIFS(Actuals!$G:$G,Actuals!$B:$B,$C$3,Actuals!$C:$C,12,Actuals!$D:$D,$B$1026,Actuals!$A:$A,LEFT($D$1026,FIND("|",$D$1026&amp;"|")-1),Actuals!$E:$E,MID($D$1026,FIND("|",$D$1026&amp;"|")+1,50),Actuals!$F:$F,"GBP")*$H$5)</f>
        <v/>
      </c>
      <c r="T1027" s="18">
        <f>IF($B$1026="","",SUMIF($H$7:$S$7,"&lt;="&amp;$C$4,$H1027:$S1027))</f>
        <v/>
      </c>
      <c r="U1027" s="18" t="n"/>
      <c r="V1027" s="18" t="n"/>
      <c r="X1027" s="22">
        <f>IF($B1027="","",IFERROR(INDEX(Cost_Centers!$E:$E,MATCH($B1027,Cost_Centers!$A:$A,0)),"(unknown)"))</f>
        <v/>
      </c>
      <c r="Y1027" s="22">
        <f>IF($B1027="","",IFERROR(INDEX(Cost_Centers!$D:$D,MATCH($B1027,Cost_Centers!$A:$A,0)),"(unknown)"))</f>
        <v/>
      </c>
      <c r="Z1027" s="22">
        <f>IF(OR($B1027="",$G1027&lt;&gt;"Variance vs Budget"),"",ABS(N($V1027))+ROW()/1000000000)</f>
        <v/>
      </c>
    </row>
    <row r="1028">
      <c r="A1028" s="13">
        <f>IF(A$1026="","",A$1026)</f>
        <v/>
      </c>
      <c r="B1028" s="13">
        <f>IF(B$1026="","",B$1026)</f>
        <v/>
      </c>
      <c r="C1028" s="13">
        <f>IF(C$1026="","",C$1026)</f>
        <v/>
      </c>
      <c r="D1028" s="13">
        <f>IF(D$1026="","",D$1026)</f>
        <v/>
      </c>
      <c r="E1028" s="13">
        <f>IF(E$1026="","",E$1026)</f>
        <v/>
      </c>
      <c r="F1028" s="13">
        <f>IF(F$1026="","",F$1026)</f>
        <v/>
      </c>
      <c r="G1028" s="6" t="inlineStr">
        <is>
          <t>Variance vs Budget</t>
        </is>
      </c>
      <c r="H1028" s="33">
        <f>IF(OR($B$1026="",1&gt;$C$4),"",N(H1027)-H1026)</f>
        <v/>
      </c>
      <c r="I1028" s="33">
        <f>IF(OR($B$1026="",2&gt;$C$4),"",N(I1027)-I1026)</f>
        <v/>
      </c>
      <c r="J1028" s="33">
        <f>IF(OR($B$1026="",3&gt;$C$4),"",N(J1027)-J1026)</f>
        <v/>
      </c>
      <c r="K1028" s="33">
        <f>IF(OR($B$1026="",4&gt;$C$4),"",N(K1027)-K1026)</f>
        <v/>
      </c>
      <c r="L1028" s="33">
        <f>IF(OR($B$1026="",5&gt;$C$4),"",N(L1027)-L1026)</f>
        <v/>
      </c>
      <c r="M1028" s="33">
        <f>IF(OR($B$1026="",6&gt;$C$4),"",N(M1027)-M1026)</f>
        <v/>
      </c>
      <c r="N1028" s="33">
        <f>IF(OR($B$1026="",7&gt;$C$4),"",N(N1027)-N1026)</f>
        <v/>
      </c>
      <c r="O1028" s="33">
        <f>IF(OR($B$1026="",8&gt;$C$4),"",N(O1027)-O1026)</f>
        <v/>
      </c>
      <c r="P1028" s="33">
        <f>IF(OR($B$1026="",9&gt;$C$4),"",N(P1027)-P1026)</f>
        <v/>
      </c>
      <c r="Q1028" s="33">
        <f>IF(OR($B$1026="",10&gt;$C$4),"",N(Q1027)-Q1026)</f>
        <v/>
      </c>
      <c r="R1028" s="33">
        <f>IF(OR($B$1026="",11&gt;$C$4),"",N(R1027)-R1026)</f>
        <v/>
      </c>
      <c r="S1028" s="33">
        <f>IF(OR($B$1026="",12&gt;$C$4),"",N(S1027)-S1026)</f>
        <v/>
      </c>
      <c r="T1028" s="33">
        <f>IF($B$1026="","",T1027-T1026)</f>
        <v/>
      </c>
      <c r="U1028" s="33">
        <f>IF($B$1026="","",U1030-U1026)</f>
        <v/>
      </c>
      <c r="V1028" s="33">
        <f>IF($B$1026="","",V1030-V1026)</f>
        <v/>
      </c>
      <c r="X1028" s="22">
        <f>IF($B1028="","",IFERROR(INDEX(Cost_Centers!$E:$E,MATCH($B1028,Cost_Centers!$A:$A,0)),"(unknown)"))</f>
        <v/>
      </c>
      <c r="Y1028" s="22">
        <f>IF($B1028="","",IFERROR(INDEX(Cost_Centers!$D:$D,MATCH($B1028,Cost_Centers!$A:$A,0)),"(unknown)"))</f>
        <v/>
      </c>
      <c r="Z1028" s="22">
        <f>IF(OR($B1028="",$G1028&lt;&gt;"Variance vs Budget"),"",ABS(N($V1028))+ROW()/1000000000)</f>
        <v/>
      </c>
    </row>
    <row r="1029">
      <c r="A1029" s="13">
        <f>IF(A$1026="","",A$1026)</f>
        <v/>
      </c>
      <c r="B1029" s="13">
        <f>IF(B$1026="","",B$1026)</f>
        <v/>
      </c>
      <c r="C1029" s="13">
        <f>IF(C$1026="","",C$1026)</f>
        <v/>
      </c>
      <c r="D1029" s="13">
        <f>IF(D$1026="","",D$1026)</f>
        <v/>
      </c>
      <c r="E1029" s="13">
        <f>IF(E$1026="","",E$1026)</f>
        <v/>
      </c>
      <c r="F1029" s="13">
        <f>IF(F$1026="","",F$1026)</f>
        <v/>
      </c>
      <c r="G1029" s="7" t="inlineStr">
        <is>
          <t>Forecast (input)</t>
        </is>
      </c>
      <c r="H1029" s="34" t="n"/>
      <c r="I1029" s="34" t="n"/>
      <c r="J1029" s="34" t="n"/>
      <c r="K1029" s="34" t="n"/>
      <c r="L1029" s="34" t="n"/>
      <c r="M1029" s="34" t="n"/>
      <c r="N1029" s="34" t="n"/>
      <c r="O1029" s="34" t="n"/>
      <c r="P1029" s="34" t="n"/>
      <c r="Q1029" s="34" t="n"/>
      <c r="R1029" s="34" t="n"/>
      <c r="S1029" s="34" t="n"/>
      <c r="T1029" s="18" t="n"/>
      <c r="U1029" s="18" t="n"/>
      <c r="V1029" s="18" t="n"/>
      <c r="X1029" s="22">
        <f>IF($B1029="","",IFERROR(INDEX(Cost_Centers!$E:$E,MATCH($B1029,Cost_Centers!$A:$A,0)),"(unknown)"))</f>
        <v/>
      </c>
      <c r="Y1029" s="22">
        <f>IF($B1029="","",IFERROR(INDEX(Cost_Centers!$D:$D,MATCH($B1029,Cost_Centers!$A:$A,0)),"(unknown)"))</f>
        <v/>
      </c>
      <c r="Z1029" s="22">
        <f>IF(OR($B1029="",$G1029&lt;&gt;"Variance vs Budget"),"",ABS(N($V1029))+ROW()/1000000000)</f>
        <v/>
      </c>
    </row>
    <row r="1030">
      <c r="A1030" s="13">
        <f>IF(A$1026="","",A$1026)</f>
        <v/>
      </c>
      <c r="B1030" s="13">
        <f>IF(B$1026="","",B$1026)</f>
        <v/>
      </c>
      <c r="C1030" s="13">
        <f>IF(C$1026="","",C$1026)</f>
        <v/>
      </c>
      <c r="D1030" s="13">
        <f>IF(D$1026="","",D$1026)</f>
        <v/>
      </c>
      <c r="E1030" s="13">
        <f>IF(E$1026="","",E$1026)</f>
        <v/>
      </c>
      <c r="F1030" s="13">
        <f>IF(F$1026="","",F$1026)</f>
        <v/>
      </c>
      <c r="G1030" s="35" t="inlineStr">
        <is>
          <t>Actual + Forecast</t>
        </is>
      </c>
      <c r="H1030" s="18">
        <f>IF($B$1026="","",IF(1&lt;=$C$4,N(H1027),IF(H1029="",H1026,H1029)))</f>
        <v/>
      </c>
      <c r="I1030" s="18">
        <f>IF($B$1026="","",IF(2&lt;=$C$4,N(I1027),IF(I1029="",I1026,I1029)))</f>
        <v/>
      </c>
      <c r="J1030" s="18">
        <f>IF($B$1026="","",IF(3&lt;=$C$4,N(J1027),IF(J1029="",J1026,J1029)))</f>
        <v/>
      </c>
      <c r="K1030" s="18">
        <f>IF($B$1026="","",IF(4&lt;=$C$4,N(K1027),IF(K1029="",K1026,K1029)))</f>
        <v/>
      </c>
      <c r="L1030" s="18">
        <f>IF($B$1026="","",IF(5&lt;=$C$4,N(L1027),IF(L1029="",L1026,L1029)))</f>
        <v/>
      </c>
      <c r="M1030" s="18">
        <f>IF($B$1026="","",IF(6&lt;=$C$4,N(M1027),IF(M1029="",M1026,M1029)))</f>
        <v/>
      </c>
      <c r="N1030" s="18">
        <f>IF($B$1026="","",IF(7&lt;=$C$4,N(N1027),IF(N1029="",N1026,N1029)))</f>
        <v/>
      </c>
      <c r="O1030" s="18">
        <f>IF($B$1026="","",IF(8&lt;=$C$4,N(O1027),IF(O1029="",O1026,O1029)))</f>
        <v/>
      </c>
      <c r="P1030" s="18">
        <f>IF($B$1026="","",IF(9&lt;=$C$4,N(P1027),IF(P1029="",P1026,P1029)))</f>
        <v/>
      </c>
      <c r="Q1030" s="18">
        <f>IF($B$1026="","",IF(10&lt;=$C$4,N(Q1027),IF(Q1029="",Q1026,Q1029)))</f>
        <v/>
      </c>
      <c r="R1030" s="18">
        <f>IF($B$1026="","",IF(11&lt;=$C$4,N(R1027),IF(R1029="",R1026,R1029)))</f>
        <v/>
      </c>
      <c r="S1030" s="18">
        <f>IF($B$1026="","",IF(12&lt;=$C$4,N(S1027),IF(S1029="",S1026,S1029)))</f>
        <v/>
      </c>
      <c r="T1030" s="18">
        <f>IF($B$1026="","",SUMIF($H$7:$S$7,"&lt;="&amp;$C$4,$H1030:$S1030))</f>
        <v/>
      </c>
      <c r="U1030" s="18">
        <f>IF($B$1026="","",SUMIF($H$7:$S$7,"&gt;"&amp;$C$4,$H1030:$S1030))</f>
        <v/>
      </c>
      <c r="V1030" s="18">
        <f>IF($B$1026="","",SUM($H1030:$S1030))</f>
        <v/>
      </c>
      <c r="X1030" s="22">
        <f>IF($B1030="","",IFERROR(INDEX(Cost_Centers!$E:$E,MATCH($B1030,Cost_Centers!$A:$A,0)),"(unknown)"))</f>
        <v/>
      </c>
      <c r="Y1030" s="22">
        <f>IF($B1030="","",IFERROR(INDEX(Cost_Centers!$D:$D,MATCH($B1030,Cost_Centers!$A:$A,0)),"(unknown)"))</f>
        <v/>
      </c>
      <c r="Z1030" s="22">
        <f>IF(OR($B1030="",$G1030&lt;&gt;"Variance vs Budget"),"",ABS(N($V1030))+ROW()/1000000000)</f>
        <v/>
      </c>
    </row>
    <row r="1031">
      <c r="A1031" s="13">
        <f>IF(A$1026="","",A$1026)</f>
        <v/>
      </c>
      <c r="B1031" s="13">
        <f>IF(B$1026="","",B$1026)</f>
        <v/>
      </c>
      <c r="C1031" s="13">
        <f>IF(C$1026="","",C$1026)</f>
        <v/>
      </c>
      <c r="D1031" s="13">
        <f>IF(D$1026="","",D$1026)</f>
        <v/>
      </c>
      <c r="E1031" s="13">
        <f>IF(E$1026="","",E$1026)</f>
        <v/>
      </c>
      <c r="F1031" s="13">
        <f>IF(F$1026="","",F$1026)</f>
        <v/>
      </c>
      <c r="G1031" s="36" t="inlineStr">
        <is>
          <t>Prior Month Forecast</t>
        </is>
      </c>
      <c r="H1031" s="37">
        <f>IF($B$1026="","",IF(COUNTIFS(Prior_Forecast!$A:$A,$B$1026,Prior_Forecast!$B:$B,$D$1026)&gt;0,SUMIFS(Prior_Forecast!$C:$C,Prior_Forecast!$A:$A,$B$1026,Prior_Forecast!$B:$B,$D$1026),""))</f>
        <v/>
      </c>
      <c r="I1031" s="37">
        <f>IF($B$1026="","",IF(COUNTIFS(Prior_Forecast!$A:$A,$B$1026,Prior_Forecast!$B:$B,$D$1026)&gt;0,SUMIFS(Prior_Forecast!$D:$D,Prior_Forecast!$A:$A,$B$1026,Prior_Forecast!$B:$B,$D$1026),""))</f>
        <v/>
      </c>
      <c r="J1031" s="37">
        <f>IF($B$1026="","",IF(COUNTIFS(Prior_Forecast!$A:$A,$B$1026,Prior_Forecast!$B:$B,$D$1026)&gt;0,SUMIFS(Prior_Forecast!$E:$E,Prior_Forecast!$A:$A,$B$1026,Prior_Forecast!$B:$B,$D$1026),""))</f>
        <v/>
      </c>
      <c r="K1031" s="37">
        <f>IF($B$1026="","",IF(COUNTIFS(Prior_Forecast!$A:$A,$B$1026,Prior_Forecast!$B:$B,$D$1026)&gt;0,SUMIFS(Prior_Forecast!$F:$F,Prior_Forecast!$A:$A,$B$1026,Prior_Forecast!$B:$B,$D$1026),""))</f>
        <v/>
      </c>
      <c r="L1031" s="37">
        <f>IF($B$1026="","",IF(COUNTIFS(Prior_Forecast!$A:$A,$B$1026,Prior_Forecast!$B:$B,$D$1026)&gt;0,SUMIFS(Prior_Forecast!$G:$G,Prior_Forecast!$A:$A,$B$1026,Prior_Forecast!$B:$B,$D$1026),""))</f>
        <v/>
      </c>
      <c r="M1031" s="37">
        <f>IF($B$1026="","",IF(COUNTIFS(Prior_Forecast!$A:$A,$B$1026,Prior_Forecast!$B:$B,$D$1026)&gt;0,SUMIFS(Prior_Forecast!$H:$H,Prior_Forecast!$A:$A,$B$1026,Prior_Forecast!$B:$B,$D$1026),""))</f>
        <v/>
      </c>
      <c r="N1031" s="37">
        <f>IF($B$1026="","",IF(COUNTIFS(Prior_Forecast!$A:$A,$B$1026,Prior_Forecast!$B:$B,$D$1026)&gt;0,SUMIFS(Prior_Forecast!$I:$I,Prior_Forecast!$A:$A,$B$1026,Prior_Forecast!$B:$B,$D$1026),""))</f>
        <v/>
      </c>
      <c r="O1031" s="37">
        <f>IF($B$1026="","",IF(COUNTIFS(Prior_Forecast!$A:$A,$B$1026,Prior_Forecast!$B:$B,$D$1026)&gt;0,SUMIFS(Prior_Forecast!$J:$J,Prior_Forecast!$A:$A,$B$1026,Prior_Forecast!$B:$B,$D$1026),""))</f>
        <v/>
      </c>
      <c r="P1031" s="37">
        <f>IF($B$1026="","",IF(COUNTIFS(Prior_Forecast!$A:$A,$B$1026,Prior_Forecast!$B:$B,$D$1026)&gt;0,SUMIFS(Prior_Forecast!$K:$K,Prior_Forecast!$A:$A,$B$1026,Prior_Forecast!$B:$B,$D$1026),""))</f>
        <v/>
      </c>
      <c r="Q1031" s="37">
        <f>IF($B$1026="","",IF(COUNTIFS(Prior_Forecast!$A:$A,$B$1026,Prior_Forecast!$B:$B,$D$1026)&gt;0,SUMIFS(Prior_Forecast!$L:$L,Prior_Forecast!$A:$A,$B$1026,Prior_Forecast!$B:$B,$D$1026),""))</f>
        <v/>
      </c>
      <c r="R1031" s="37">
        <f>IF($B$1026="","",IF(COUNTIFS(Prior_Forecast!$A:$A,$B$1026,Prior_Forecast!$B:$B,$D$1026)&gt;0,SUMIFS(Prior_Forecast!$M:$M,Prior_Forecast!$A:$A,$B$1026,Prior_Forecast!$B:$B,$D$1026),""))</f>
        <v/>
      </c>
      <c r="S1031" s="37">
        <f>IF($B$1026="","",IF(COUNTIFS(Prior_Forecast!$A:$A,$B$1026,Prior_Forecast!$B:$B,$D$1026)&gt;0,SUMIFS(Prior_Forecast!$N:$N,Prior_Forecast!$A:$A,$B$1026,Prior_Forecast!$B:$B,$D$1026),""))</f>
        <v/>
      </c>
      <c r="T1031" s="37">
        <f>IF($B$1026="","",IF(COUNTIFS(Prior_Forecast!$A:$A,$B$1026,Prior_Forecast!$B:$B,$D$1026)&gt;0,SUMIFS(Prior_Forecast!$O:$O,Prior_Forecast!$A:$A,$B$1026,Prior_Forecast!$B:$B,$D$1026),""))</f>
        <v/>
      </c>
      <c r="U1031" s="37">
        <f>IF($B$1026="","",IF(COUNTIFS(Prior_Forecast!$A:$A,$B$1026,Prior_Forecast!$B:$B,$D$1026)&gt;0,SUMIFS(Prior_Forecast!$P:$P,Prior_Forecast!$A:$A,$B$1026,Prior_Forecast!$B:$B,$D$1026),""))</f>
        <v/>
      </c>
      <c r="V1031" s="37">
        <f>IF($B$1026="","",IF(COUNTIFS(Prior_Forecast!$A:$A,$B$1026,Prior_Forecast!$B:$B,$D$1026)&gt;0,SUMIFS(Prior_Forecast!$Q:$Q,Prior_Forecast!$A:$A,$B$1026,Prior_Forecast!$B:$B,$D$1026),""))</f>
        <v/>
      </c>
      <c r="X1031" s="22">
        <f>IF($B1031="","",IFERROR(INDEX(Cost_Centers!$E:$E,MATCH($B1031,Cost_Centers!$A:$A,0)),"(unknown)"))</f>
        <v/>
      </c>
      <c r="Y1031" s="22">
        <f>IF($B1031="","",IFERROR(INDEX(Cost_Centers!$D:$D,MATCH($B1031,Cost_Centers!$A:$A,0)),"(unknown)"))</f>
        <v/>
      </c>
      <c r="Z1031" s="22">
        <f>IF(OR($B1031="",$G1031&lt;&gt;"Variance vs Budget"),"",ABS(N($V1031))+ROW()/1000000000)</f>
        <v/>
      </c>
    </row>
    <row r="1032">
      <c r="A1032" s="13">
        <f>IF(A$1026="","",A$1026)</f>
        <v/>
      </c>
      <c r="B1032" s="13">
        <f>IF(B$1026="","",B$1026)</f>
        <v/>
      </c>
      <c r="C1032" s="13">
        <f>IF(C$1026="","",C$1026)</f>
        <v/>
      </c>
      <c r="D1032" s="13">
        <f>IF(D$1026="","",D$1026)</f>
        <v/>
      </c>
      <c r="E1032" s="13">
        <f>IF(E$1026="","",E$1026)</f>
        <v/>
      </c>
      <c r="F1032" s="13">
        <f>IF(F$1026="","",F$1026)</f>
        <v/>
      </c>
      <c r="G1032" s="6" t="inlineStr">
        <is>
          <t>Variance vs Prior Month</t>
        </is>
      </c>
      <c r="H1032" s="33">
        <f>IF(OR($B$1026="",H1031=""),"",H1030-H1031)</f>
        <v/>
      </c>
      <c r="I1032" s="33">
        <f>IF(OR($B$1026="",I1031=""),"",I1030-I1031)</f>
        <v/>
      </c>
      <c r="J1032" s="33">
        <f>IF(OR($B$1026="",J1031=""),"",J1030-J1031)</f>
        <v/>
      </c>
      <c r="K1032" s="33">
        <f>IF(OR($B$1026="",K1031=""),"",K1030-K1031)</f>
        <v/>
      </c>
      <c r="L1032" s="33">
        <f>IF(OR($B$1026="",L1031=""),"",L1030-L1031)</f>
        <v/>
      </c>
      <c r="M1032" s="33">
        <f>IF(OR($B$1026="",M1031=""),"",M1030-M1031)</f>
        <v/>
      </c>
      <c r="N1032" s="33">
        <f>IF(OR($B$1026="",N1031=""),"",N1030-N1031)</f>
        <v/>
      </c>
      <c r="O1032" s="33">
        <f>IF(OR($B$1026="",O1031=""),"",O1030-O1031)</f>
        <v/>
      </c>
      <c r="P1032" s="33">
        <f>IF(OR($B$1026="",P1031=""),"",P1030-P1031)</f>
        <v/>
      </c>
      <c r="Q1032" s="33">
        <f>IF(OR($B$1026="",Q1031=""),"",Q1030-Q1031)</f>
        <v/>
      </c>
      <c r="R1032" s="33">
        <f>IF(OR($B$1026="",R1031=""),"",R1030-R1031)</f>
        <v/>
      </c>
      <c r="S1032" s="33">
        <f>IF(OR($B$1026="",S1031=""),"",S1030-S1031)</f>
        <v/>
      </c>
      <c r="T1032" s="33">
        <f>IF(OR($B$1026="",T1031=""),"",T1030-T1031)</f>
        <v/>
      </c>
      <c r="U1032" s="33">
        <f>IF(OR($B$1026="",U1031=""),"",U1030-U1031)</f>
        <v/>
      </c>
      <c r="V1032" s="33">
        <f>IF(OR($B$1026="",V1031=""),"",V1030-V1031)</f>
        <v/>
      </c>
      <c r="X1032" s="22">
        <f>IF($B1032="","",IFERROR(INDEX(Cost_Centers!$E:$E,MATCH($B1032,Cost_Centers!$A:$A,0)),"(unknown)"))</f>
        <v/>
      </c>
      <c r="Y1032" s="22">
        <f>IF($B1032="","",IFERROR(INDEX(Cost_Centers!$D:$D,MATCH($B1032,Cost_Centers!$A:$A,0)),"(unknown)"))</f>
        <v/>
      </c>
      <c r="Z1032" s="22">
        <f>IF(OR($B1032="",$G1032&lt;&gt;"Variance vs Budget"),"",ABS(N($V1032))+ROW()/1000000000)</f>
        <v/>
      </c>
    </row>
    <row r="1033" ht="45" customHeight="1">
      <c r="A1033" s="13">
        <f>IF(A$1026="","",A$1026)</f>
        <v/>
      </c>
      <c r="B1033" s="13">
        <f>IF(B$1026="","",B$1026)</f>
        <v/>
      </c>
      <c r="C1033" s="13">
        <f>IF(C$1026="","",C$1026)</f>
        <v/>
      </c>
      <c r="D1033" s="13">
        <f>IF(D$1026="","",D$1026)</f>
        <v/>
      </c>
      <c r="E1033" s="13">
        <f>IF(E$1026="","",E$1026)</f>
        <v/>
      </c>
      <c r="F1033" s="13">
        <f>IF(F$1026="","",F$1026)</f>
        <v/>
      </c>
      <c r="G1033" s="7" t="inlineStr">
        <is>
          <t>Rationale</t>
        </is>
      </c>
      <c r="H1033" s="38" t="n"/>
      <c r="I1033" s="38" t="n"/>
      <c r="J1033" s="38" t="n"/>
      <c r="K1033" s="38" t="n"/>
      <c r="L1033" s="38" t="n"/>
      <c r="M1033" s="38" t="n"/>
      <c r="N1033" s="38" t="n"/>
      <c r="O1033" s="38" t="n"/>
      <c r="P1033" s="38" t="n"/>
      <c r="Q1033" s="38" t="n"/>
      <c r="R1033" s="38" t="n"/>
      <c r="S1033" s="38" t="n"/>
      <c r="T1033" s="38" t="n"/>
      <c r="U1033" s="38" t="n"/>
      <c r="V1033" s="7" t="n"/>
      <c r="X1033" s="22">
        <f>IF($B1033="","",IFERROR(INDEX(Cost_Centers!$E:$E,MATCH($B1033,Cost_Centers!$A:$A,0)),"(unknown)"))</f>
        <v/>
      </c>
      <c r="Y1033" s="22">
        <f>IF($B1033="","",IFERROR(INDEX(Cost_Centers!$D:$D,MATCH($B1033,Cost_Centers!$A:$A,0)),"(unknown)"))</f>
        <v/>
      </c>
      <c r="Z1033" s="22">
        <f>IF(OR($B1033="",$G1033&lt;&gt;"Variance vs Budget"),"",ABS(N($V1033))+ROW()/1000000000)</f>
        <v/>
      </c>
    </row>
    <row r="1034">
      <c r="A1034" s="30">
        <f>IF($D$1034="","",LEFT($D$1034,FIND("|",$D$1034&amp;"|")-1))</f>
        <v/>
      </c>
      <c r="B1034" s="31" t="n"/>
      <c r="C1034" s="30">
        <f>IF($B$1034="","",IFERROR(INDEX(Cost_Centers!$B:$B,MATCH($B$1034,Cost_Centers!$A:$A,0)),"(not in master)"))</f>
        <v/>
      </c>
      <c r="D1034" s="31" t="n"/>
      <c r="E1034" s="30">
        <f>IF($D$1034="","",IFERROR(INDEX(Accounts!$D:$D,MATCH($D$1034,Accounts!$A:$A,0)),"(not in master)"))</f>
        <v/>
      </c>
      <c r="F1034" s="31" t="n"/>
      <c r="G1034" s="30" t="inlineStr">
        <is>
          <t>Budget</t>
        </is>
      </c>
      <c r="H1034" s="32">
        <f>IF($B$1034="","",SUMIFS(Opex_Budget!$O:$O,Opex_Budget!$A:$A,$C$3,Opex_Budget!$E:$E,$B$1034,Opex_Budget!$F:$F,$D$1034,Opex_Budget!$N:$N,"JPY")*$E$5+SUMIFS(Opex_Budget!$O:$O,Opex_Budget!$A:$A,$C$3,Opex_Budget!$E:$E,$B$1034,Opex_Budget!$F:$F,$D$1034,Opex_Budget!$N:$N,"USD")*$F$5+SUMIFS(Opex_Budget!$O:$O,Opex_Budget!$A:$A,$C$3,Opex_Budget!$E:$E,$B$1034,Opex_Budget!$F:$F,$D$1034,Opex_Budget!$N:$N,"EUR")*$G$5+SUMIFS(Opex_Budget!$O:$O,Opex_Budget!$A:$A,$C$3,Opex_Budget!$E:$E,$B$1034,Opex_Budget!$F:$F,$D$1034,Opex_Budget!$N:$N,"GBP")*$H$5)</f>
        <v/>
      </c>
      <c r="I1034" s="32">
        <f>IF($B$1034="","",SUMIFS(Opex_Budget!$P:$P,Opex_Budget!$A:$A,$C$3,Opex_Budget!$E:$E,$B$1034,Opex_Budget!$F:$F,$D$1034,Opex_Budget!$N:$N,"JPY")*$E$5+SUMIFS(Opex_Budget!$P:$P,Opex_Budget!$A:$A,$C$3,Opex_Budget!$E:$E,$B$1034,Opex_Budget!$F:$F,$D$1034,Opex_Budget!$N:$N,"USD")*$F$5+SUMIFS(Opex_Budget!$P:$P,Opex_Budget!$A:$A,$C$3,Opex_Budget!$E:$E,$B$1034,Opex_Budget!$F:$F,$D$1034,Opex_Budget!$N:$N,"EUR")*$G$5+SUMIFS(Opex_Budget!$P:$P,Opex_Budget!$A:$A,$C$3,Opex_Budget!$E:$E,$B$1034,Opex_Budget!$F:$F,$D$1034,Opex_Budget!$N:$N,"GBP")*$H$5)</f>
        <v/>
      </c>
      <c r="J1034" s="32">
        <f>IF($B$1034="","",SUMIFS(Opex_Budget!$Q:$Q,Opex_Budget!$A:$A,$C$3,Opex_Budget!$E:$E,$B$1034,Opex_Budget!$F:$F,$D$1034,Opex_Budget!$N:$N,"JPY")*$E$5+SUMIFS(Opex_Budget!$Q:$Q,Opex_Budget!$A:$A,$C$3,Opex_Budget!$E:$E,$B$1034,Opex_Budget!$F:$F,$D$1034,Opex_Budget!$N:$N,"USD")*$F$5+SUMIFS(Opex_Budget!$Q:$Q,Opex_Budget!$A:$A,$C$3,Opex_Budget!$E:$E,$B$1034,Opex_Budget!$F:$F,$D$1034,Opex_Budget!$N:$N,"EUR")*$G$5+SUMIFS(Opex_Budget!$Q:$Q,Opex_Budget!$A:$A,$C$3,Opex_Budget!$E:$E,$B$1034,Opex_Budget!$F:$F,$D$1034,Opex_Budget!$N:$N,"GBP")*$H$5)</f>
        <v/>
      </c>
      <c r="K1034" s="32">
        <f>IF($B$1034="","",SUMIFS(Opex_Budget!$R:$R,Opex_Budget!$A:$A,$C$3,Opex_Budget!$E:$E,$B$1034,Opex_Budget!$F:$F,$D$1034,Opex_Budget!$N:$N,"JPY")*$E$5+SUMIFS(Opex_Budget!$R:$R,Opex_Budget!$A:$A,$C$3,Opex_Budget!$E:$E,$B$1034,Opex_Budget!$F:$F,$D$1034,Opex_Budget!$N:$N,"USD")*$F$5+SUMIFS(Opex_Budget!$R:$R,Opex_Budget!$A:$A,$C$3,Opex_Budget!$E:$E,$B$1034,Opex_Budget!$F:$F,$D$1034,Opex_Budget!$N:$N,"EUR")*$G$5+SUMIFS(Opex_Budget!$R:$R,Opex_Budget!$A:$A,$C$3,Opex_Budget!$E:$E,$B$1034,Opex_Budget!$F:$F,$D$1034,Opex_Budget!$N:$N,"GBP")*$H$5)</f>
        <v/>
      </c>
      <c r="L1034" s="32">
        <f>IF($B$1034="","",SUMIFS(Opex_Budget!$S:$S,Opex_Budget!$A:$A,$C$3,Opex_Budget!$E:$E,$B$1034,Opex_Budget!$F:$F,$D$1034,Opex_Budget!$N:$N,"JPY")*$E$5+SUMIFS(Opex_Budget!$S:$S,Opex_Budget!$A:$A,$C$3,Opex_Budget!$E:$E,$B$1034,Opex_Budget!$F:$F,$D$1034,Opex_Budget!$N:$N,"USD")*$F$5+SUMIFS(Opex_Budget!$S:$S,Opex_Budget!$A:$A,$C$3,Opex_Budget!$E:$E,$B$1034,Opex_Budget!$F:$F,$D$1034,Opex_Budget!$N:$N,"EUR")*$G$5+SUMIFS(Opex_Budget!$S:$S,Opex_Budget!$A:$A,$C$3,Opex_Budget!$E:$E,$B$1034,Opex_Budget!$F:$F,$D$1034,Opex_Budget!$N:$N,"GBP")*$H$5)</f>
        <v/>
      </c>
      <c r="M1034" s="32">
        <f>IF($B$1034="","",SUMIFS(Opex_Budget!$T:$T,Opex_Budget!$A:$A,$C$3,Opex_Budget!$E:$E,$B$1034,Opex_Budget!$F:$F,$D$1034,Opex_Budget!$N:$N,"JPY")*$E$5+SUMIFS(Opex_Budget!$T:$T,Opex_Budget!$A:$A,$C$3,Opex_Budget!$E:$E,$B$1034,Opex_Budget!$F:$F,$D$1034,Opex_Budget!$N:$N,"USD")*$F$5+SUMIFS(Opex_Budget!$T:$T,Opex_Budget!$A:$A,$C$3,Opex_Budget!$E:$E,$B$1034,Opex_Budget!$F:$F,$D$1034,Opex_Budget!$N:$N,"EUR")*$G$5+SUMIFS(Opex_Budget!$T:$T,Opex_Budget!$A:$A,$C$3,Opex_Budget!$E:$E,$B$1034,Opex_Budget!$F:$F,$D$1034,Opex_Budget!$N:$N,"GBP")*$H$5)</f>
        <v/>
      </c>
      <c r="N1034" s="32">
        <f>IF($B$1034="","",SUMIFS(Opex_Budget!$U:$U,Opex_Budget!$A:$A,$C$3,Opex_Budget!$E:$E,$B$1034,Opex_Budget!$F:$F,$D$1034,Opex_Budget!$N:$N,"JPY")*$E$5+SUMIFS(Opex_Budget!$U:$U,Opex_Budget!$A:$A,$C$3,Opex_Budget!$E:$E,$B$1034,Opex_Budget!$F:$F,$D$1034,Opex_Budget!$N:$N,"USD")*$F$5+SUMIFS(Opex_Budget!$U:$U,Opex_Budget!$A:$A,$C$3,Opex_Budget!$E:$E,$B$1034,Opex_Budget!$F:$F,$D$1034,Opex_Budget!$N:$N,"EUR")*$G$5+SUMIFS(Opex_Budget!$U:$U,Opex_Budget!$A:$A,$C$3,Opex_Budget!$E:$E,$B$1034,Opex_Budget!$F:$F,$D$1034,Opex_Budget!$N:$N,"GBP")*$H$5)</f>
        <v/>
      </c>
      <c r="O1034" s="32">
        <f>IF($B$1034="","",SUMIFS(Opex_Budget!$V:$V,Opex_Budget!$A:$A,$C$3,Opex_Budget!$E:$E,$B$1034,Opex_Budget!$F:$F,$D$1034,Opex_Budget!$N:$N,"JPY")*$E$5+SUMIFS(Opex_Budget!$V:$V,Opex_Budget!$A:$A,$C$3,Opex_Budget!$E:$E,$B$1034,Opex_Budget!$F:$F,$D$1034,Opex_Budget!$N:$N,"USD")*$F$5+SUMIFS(Opex_Budget!$V:$V,Opex_Budget!$A:$A,$C$3,Opex_Budget!$E:$E,$B$1034,Opex_Budget!$F:$F,$D$1034,Opex_Budget!$N:$N,"EUR")*$G$5+SUMIFS(Opex_Budget!$V:$V,Opex_Budget!$A:$A,$C$3,Opex_Budget!$E:$E,$B$1034,Opex_Budget!$F:$F,$D$1034,Opex_Budget!$N:$N,"GBP")*$H$5)</f>
        <v/>
      </c>
      <c r="P1034" s="32">
        <f>IF($B$1034="","",SUMIFS(Opex_Budget!$W:$W,Opex_Budget!$A:$A,$C$3,Opex_Budget!$E:$E,$B$1034,Opex_Budget!$F:$F,$D$1034,Opex_Budget!$N:$N,"JPY")*$E$5+SUMIFS(Opex_Budget!$W:$W,Opex_Budget!$A:$A,$C$3,Opex_Budget!$E:$E,$B$1034,Opex_Budget!$F:$F,$D$1034,Opex_Budget!$N:$N,"USD")*$F$5+SUMIFS(Opex_Budget!$W:$W,Opex_Budget!$A:$A,$C$3,Opex_Budget!$E:$E,$B$1034,Opex_Budget!$F:$F,$D$1034,Opex_Budget!$N:$N,"EUR")*$G$5+SUMIFS(Opex_Budget!$W:$W,Opex_Budget!$A:$A,$C$3,Opex_Budget!$E:$E,$B$1034,Opex_Budget!$F:$F,$D$1034,Opex_Budget!$N:$N,"GBP")*$H$5)</f>
        <v/>
      </c>
      <c r="Q1034" s="32">
        <f>IF($B$1034="","",SUMIFS(Opex_Budget!$X:$X,Opex_Budget!$A:$A,$C$3,Opex_Budget!$E:$E,$B$1034,Opex_Budget!$F:$F,$D$1034,Opex_Budget!$N:$N,"JPY")*$E$5+SUMIFS(Opex_Budget!$X:$X,Opex_Budget!$A:$A,$C$3,Opex_Budget!$E:$E,$B$1034,Opex_Budget!$F:$F,$D$1034,Opex_Budget!$N:$N,"USD")*$F$5+SUMIFS(Opex_Budget!$X:$X,Opex_Budget!$A:$A,$C$3,Opex_Budget!$E:$E,$B$1034,Opex_Budget!$F:$F,$D$1034,Opex_Budget!$N:$N,"EUR")*$G$5+SUMIFS(Opex_Budget!$X:$X,Opex_Budget!$A:$A,$C$3,Opex_Budget!$E:$E,$B$1034,Opex_Budget!$F:$F,$D$1034,Opex_Budget!$N:$N,"GBP")*$H$5)</f>
        <v/>
      </c>
      <c r="R1034" s="32">
        <f>IF($B$1034="","",SUMIFS(Opex_Budget!$Y:$Y,Opex_Budget!$A:$A,$C$3,Opex_Budget!$E:$E,$B$1034,Opex_Budget!$F:$F,$D$1034,Opex_Budget!$N:$N,"JPY")*$E$5+SUMIFS(Opex_Budget!$Y:$Y,Opex_Budget!$A:$A,$C$3,Opex_Budget!$E:$E,$B$1034,Opex_Budget!$F:$F,$D$1034,Opex_Budget!$N:$N,"USD")*$F$5+SUMIFS(Opex_Budget!$Y:$Y,Opex_Budget!$A:$A,$C$3,Opex_Budget!$E:$E,$B$1034,Opex_Budget!$F:$F,$D$1034,Opex_Budget!$N:$N,"EUR")*$G$5+SUMIFS(Opex_Budget!$Y:$Y,Opex_Budget!$A:$A,$C$3,Opex_Budget!$E:$E,$B$1034,Opex_Budget!$F:$F,$D$1034,Opex_Budget!$N:$N,"GBP")*$H$5)</f>
        <v/>
      </c>
      <c r="S1034" s="32">
        <f>IF($B$1034="","",SUMIFS(Opex_Budget!$Z:$Z,Opex_Budget!$A:$A,$C$3,Opex_Budget!$E:$E,$B$1034,Opex_Budget!$F:$F,$D$1034,Opex_Budget!$N:$N,"JPY")*$E$5+SUMIFS(Opex_Budget!$Z:$Z,Opex_Budget!$A:$A,$C$3,Opex_Budget!$E:$E,$B$1034,Opex_Budget!$F:$F,$D$1034,Opex_Budget!$N:$N,"USD")*$F$5+SUMIFS(Opex_Budget!$Z:$Z,Opex_Budget!$A:$A,$C$3,Opex_Budget!$E:$E,$B$1034,Opex_Budget!$F:$F,$D$1034,Opex_Budget!$N:$N,"EUR")*$G$5+SUMIFS(Opex_Budget!$Z:$Z,Opex_Budget!$A:$A,$C$3,Opex_Budget!$E:$E,$B$1034,Opex_Budget!$F:$F,$D$1034,Opex_Budget!$N:$N,"GBP")*$H$5)</f>
        <v/>
      </c>
      <c r="T1034" s="32">
        <f>IF($B$1034="","",SUMIF($H$7:$S$7,"&lt;="&amp;$C$4,$H1034:$S1034))</f>
        <v/>
      </c>
      <c r="U1034" s="32">
        <f>IF($B$1034="","",SUMIF($H$7:$S$7,"&gt;"&amp;$C$4,$H1034:$S1034))</f>
        <v/>
      </c>
      <c r="V1034" s="32">
        <f>IF($B$1034="","",SUM($H1034:$S1034))</f>
        <v/>
      </c>
      <c r="X1034" s="22">
        <f>IF($B1034="","",IFERROR(INDEX(Cost_Centers!$E:$E,MATCH($B1034,Cost_Centers!$A:$A,0)),"(unknown)"))</f>
        <v/>
      </c>
      <c r="Y1034" s="22">
        <f>IF($B1034="","",IFERROR(INDEX(Cost_Centers!$D:$D,MATCH($B1034,Cost_Centers!$A:$A,0)),"(unknown)"))</f>
        <v/>
      </c>
      <c r="Z1034" s="22">
        <f>IF(OR($B1034="",$G1034&lt;&gt;"Variance vs Budget"),"",ABS(N($V1034))+ROW()/1000000000)</f>
        <v/>
      </c>
    </row>
    <row r="1035">
      <c r="A1035" s="13">
        <f>IF(A$1034="","",A$1034)</f>
        <v/>
      </c>
      <c r="B1035" s="13">
        <f>IF(B$1034="","",B$1034)</f>
        <v/>
      </c>
      <c r="C1035" s="13">
        <f>IF(C$1034="","",C$1034)</f>
        <v/>
      </c>
      <c r="D1035" s="13">
        <f>IF(D$1034="","",D$1034)</f>
        <v/>
      </c>
      <c r="E1035" s="13">
        <f>IF(E$1034="","",E$1034)</f>
        <v/>
      </c>
      <c r="F1035" s="13">
        <f>IF(F$1034="","",F$1034)</f>
        <v/>
      </c>
      <c r="G1035" s="7" t="inlineStr">
        <is>
          <t>Actual</t>
        </is>
      </c>
      <c r="H1035" s="18">
        <f>IF(OR($B$1034="",1&gt;$C$4),"",SUMIFS(Actuals!$G:$G,Actuals!$B:$B,$C$3,Actuals!$C:$C,1,Actuals!$D:$D,$B$1034,Actuals!$A:$A,LEFT($D$1034,FIND("|",$D$1034&amp;"|")-1),Actuals!$E:$E,MID($D$1034,FIND("|",$D$1034&amp;"|")+1,50),Actuals!$F:$F,"JPY")*$E$5+SUMIFS(Actuals!$G:$G,Actuals!$B:$B,$C$3,Actuals!$C:$C,1,Actuals!$D:$D,$B$1034,Actuals!$A:$A,LEFT($D$1034,FIND("|",$D$1034&amp;"|")-1),Actuals!$E:$E,MID($D$1034,FIND("|",$D$1034&amp;"|")+1,50),Actuals!$F:$F,"USD")*$F$5+SUMIFS(Actuals!$G:$G,Actuals!$B:$B,$C$3,Actuals!$C:$C,1,Actuals!$D:$D,$B$1034,Actuals!$A:$A,LEFT($D$1034,FIND("|",$D$1034&amp;"|")-1),Actuals!$E:$E,MID($D$1034,FIND("|",$D$1034&amp;"|")+1,50),Actuals!$F:$F,"EUR")*$G$5+SUMIFS(Actuals!$G:$G,Actuals!$B:$B,$C$3,Actuals!$C:$C,1,Actuals!$D:$D,$B$1034,Actuals!$A:$A,LEFT($D$1034,FIND("|",$D$1034&amp;"|")-1),Actuals!$E:$E,MID($D$1034,FIND("|",$D$1034&amp;"|")+1,50),Actuals!$F:$F,"GBP")*$H$5)</f>
        <v/>
      </c>
      <c r="I1035" s="18">
        <f>IF(OR($B$1034="",2&gt;$C$4),"",SUMIFS(Actuals!$G:$G,Actuals!$B:$B,$C$3,Actuals!$C:$C,2,Actuals!$D:$D,$B$1034,Actuals!$A:$A,LEFT($D$1034,FIND("|",$D$1034&amp;"|")-1),Actuals!$E:$E,MID($D$1034,FIND("|",$D$1034&amp;"|")+1,50),Actuals!$F:$F,"JPY")*$E$5+SUMIFS(Actuals!$G:$G,Actuals!$B:$B,$C$3,Actuals!$C:$C,2,Actuals!$D:$D,$B$1034,Actuals!$A:$A,LEFT($D$1034,FIND("|",$D$1034&amp;"|")-1),Actuals!$E:$E,MID($D$1034,FIND("|",$D$1034&amp;"|")+1,50),Actuals!$F:$F,"USD")*$F$5+SUMIFS(Actuals!$G:$G,Actuals!$B:$B,$C$3,Actuals!$C:$C,2,Actuals!$D:$D,$B$1034,Actuals!$A:$A,LEFT($D$1034,FIND("|",$D$1034&amp;"|")-1),Actuals!$E:$E,MID($D$1034,FIND("|",$D$1034&amp;"|")+1,50),Actuals!$F:$F,"EUR")*$G$5+SUMIFS(Actuals!$G:$G,Actuals!$B:$B,$C$3,Actuals!$C:$C,2,Actuals!$D:$D,$B$1034,Actuals!$A:$A,LEFT($D$1034,FIND("|",$D$1034&amp;"|")-1),Actuals!$E:$E,MID($D$1034,FIND("|",$D$1034&amp;"|")+1,50),Actuals!$F:$F,"GBP")*$H$5)</f>
        <v/>
      </c>
      <c r="J1035" s="18">
        <f>IF(OR($B$1034="",3&gt;$C$4),"",SUMIFS(Actuals!$G:$G,Actuals!$B:$B,$C$3,Actuals!$C:$C,3,Actuals!$D:$D,$B$1034,Actuals!$A:$A,LEFT($D$1034,FIND("|",$D$1034&amp;"|")-1),Actuals!$E:$E,MID($D$1034,FIND("|",$D$1034&amp;"|")+1,50),Actuals!$F:$F,"JPY")*$E$5+SUMIFS(Actuals!$G:$G,Actuals!$B:$B,$C$3,Actuals!$C:$C,3,Actuals!$D:$D,$B$1034,Actuals!$A:$A,LEFT($D$1034,FIND("|",$D$1034&amp;"|")-1),Actuals!$E:$E,MID($D$1034,FIND("|",$D$1034&amp;"|")+1,50),Actuals!$F:$F,"USD")*$F$5+SUMIFS(Actuals!$G:$G,Actuals!$B:$B,$C$3,Actuals!$C:$C,3,Actuals!$D:$D,$B$1034,Actuals!$A:$A,LEFT($D$1034,FIND("|",$D$1034&amp;"|")-1),Actuals!$E:$E,MID($D$1034,FIND("|",$D$1034&amp;"|")+1,50),Actuals!$F:$F,"EUR")*$G$5+SUMIFS(Actuals!$G:$G,Actuals!$B:$B,$C$3,Actuals!$C:$C,3,Actuals!$D:$D,$B$1034,Actuals!$A:$A,LEFT($D$1034,FIND("|",$D$1034&amp;"|")-1),Actuals!$E:$E,MID($D$1034,FIND("|",$D$1034&amp;"|")+1,50),Actuals!$F:$F,"GBP")*$H$5)</f>
        <v/>
      </c>
      <c r="K1035" s="18">
        <f>IF(OR($B$1034="",4&gt;$C$4),"",SUMIFS(Actuals!$G:$G,Actuals!$B:$B,$C$3,Actuals!$C:$C,4,Actuals!$D:$D,$B$1034,Actuals!$A:$A,LEFT($D$1034,FIND("|",$D$1034&amp;"|")-1),Actuals!$E:$E,MID($D$1034,FIND("|",$D$1034&amp;"|")+1,50),Actuals!$F:$F,"JPY")*$E$5+SUMIFS(Actuals!$G:$G,Actuals!$B:$B,$C$3,Actuals!$C:$C,4,Actuals!$D:$D,$B$1034,Actuals!$A:$A,LEFT($D$1034,FIND("|",$D$1034&amp;"|")-1),Actuals!$E:$E,MID($D$1034,FIND("|",$D$1034&amp;"|")+1,50),Actuals!$F:$F,"USD")*$F$5+SUMIFS(Actuals!$G:$G,Actuals!$B:$B,$C$3,Actuals!$C:$C,4,Actuals!$D:$D,$B$1034,Actuals!$A:$A,LEFT($D$1034,FIND("|",$D$1034&amp;"|")-1),Actuals!$E:$E,MID($D$1034,FIND("|",$D$1034&amp;"|")+1,50),Actuals!$F:$F,"EUR")*$G$5+SUMIFS(Actuals!$G:$G,Actuals!$B:$B,$C$3,Actuals!$C:$C,4,Actuals!$D:$D,$B$1034,Actuals!$A:$A,LEFT($D$1034,FIND("|",$D$1034&amp;"|")-1),Actuals!$E:$E,MID($D$1034,FIND("|",$D$1034&amp;"|")+1,50),Actuals!$F:$F,"GBP")*$H$5)</f>
        <v/>
      </c>
      <c r="L1035" s="18">
        <f>IF(OR($B$1034="",5&gt;$C$4),"",SUMIFS(Actuals!$G:$G,Actuals!$B:$B,$C$3,Actuals!$C:$C,5,Actuals!$D:$D,$B$1034,Actuals!$A:$A,LEFT($D$1034,FIND("|",$D$1034&amp;"|")-1),Actuals!$E:$E,MID($D$1034,FIND("|",$D$1034&amp;"|")+1,50),Actuals!$F:$F,"JPY")*$E$5+SUMIFS(Actuals!$G:$G,Actuals!$B:$B,$C$3,Actuals!$C:$C,5,Actuals!$D:$D,$B$1034,Actuals!$A:$A,LEFT($D$1034,FIND("|",$D$1034&amp;"|")-1),Actuals!$E:$E,MID($D$1034,FIND("|",$D$1034&amp;"|")+1,50),Actuals!$F:$F,"USD")*$F$5+SUMIFS(Actuals!$G:$G,Actuals!$B:$B,$C$3,Actuals!$C:$C,5,Actuals!$D:$D,$B$1034,Actuals!$A:$A,LEFT($D$1034,FIND("|",$D$1034&amp;"|")-1),Actuals!$E:$E,MID($D$1034,FIND("|",$D$1034&amp;"|")+1,50),Actuals!$F:$F,"EUR")*$G$5+SUMIFS(Actuals!$G:$G,Actuals!$B:$B,$C$3,Actuals!$C:$C,5,Actuals!$D:$D,$B$1034,Actuals!$A:$A,LEFT($D$1034,FIND("|",$D$1034&amp;"|")-1),Actuals!$E:$E,MID($D$1034,FIND("|",$D$1034&amp;"|")+1,50),Actuals!$F:$F,"GBP")*$H$5)</f>
        <v/>
      </c>
      <c r="M1035" s="18">
        <f>IF(OR($B$1034="",6&gt;$C$4),"",SUMIFS(Actuals!$G:$G,Actuals!$B:$B,$C$3,Actuals!$C:$C,6,Actuals!$D:$D,$B$1034,Actuals!$A:$A,LEFT($D$1034,FIND("|",$D$1034&amp;"|")-1),Actuals!$E:$E,MID($D$1034,FIND("|",$D$1034&amp;"|")+1,50),Actuals!$F:$F,"JPY")*$E$5+SUMIFS(Actuals!$G:$G,Actuals!$B:$B,$C$3,Actuals!$C:$C,6,Actuals!$D:$D,$B$1034,Actuals!$A:$A,LEFT($D$1034,FIND("|",$D$1034&amp;"|")-1),Actuals!$E:$E,MID($D$1034,FIND("|",$D$1034&amp;"|")+1,50),Actuals!$F:$F,"USD")*$F$5+SUMIFS(Actuals!$G:$G,Actuals!$B:$B,$C$3,Actuals!$C:$C,6,Actuals!$D:$D,$B$1034,Actuals!$A:$A,LEFT($D$1034,FIND("|",$D$1034&amp;"|")-1),Actuals!$E:$E,MID($D$1034,FIND("|",$D$1034&amp;"|")+1,50),Actuals!$F:$F,"EUR")*$G$5+SUMIFS(Actuals!$G:$G,Actuals!$B:$B,$C$3,Actuals!$C:$C,6,Actuals!$D:$D,$B$1034,Actuals!$A:$A,LEFT($D$1034,FIND("|",$D$1034&amp;"|")-1),Actuals!$E:$E,MID($D$1034,FIND("|",$D$1034&amp;"|")+1,50),Actuals!$F:$F,"GBP")*$H$5)</f>
        <v/>
      </c>
      <c r="N1035" s="18">
        <f>IF(OR($B$1034="",7&gt;$C$4),"",SUMIFS(Actuals!$G:$G,Actuals!$B:$B,$C$3,Actuals!$C:$C,7,Actuals!$D:$D,$B$1034,Actuals!$A:$A,LEFT($D$1034,FIND("|",$D$1034&amp;"|")-1),Actuals!$E:$E,MID($D$1034,FIND("|",$D$1034&amp;"|")+1,50),Actuals!$F:$F,"JPY")*$E$5+SUMIFS(Actuals!$G:$G,Actuals!$B:$B,$C$3,Actuals!$C:$C,7,Actuals!$D:$D,$B$1034,Actuals!$A:$A,LEFT($D$1034,FIND("|",$D$1034&amp;"|")-1),Actuals!$E:$E,MID($D$1034,FIND("|",$D$1034&amp;"|")+1,50),Actuals!$F:$F,"USD")*$F$5+SUMIFS(Actuals!$G:$G,Actuals!$B:$B,$C$3,Actuals!$C:$C,7,Actuals!$D:$D,$B$1034,Actuals!$A:$A,LEFT($D$1034,FIND("|",$D$1034&amp;"|")-1),Actuals!$E:$E,MID($D$1034,FIND("|",$D$1034&amp;"|")+1,50),Actuals!$F:$F,"EUR")*$G$5+SUMIFS(Actuals!$G:$G,Actuals!$B:$B,$C$3,Actuals!$C:$C,7,Actuals!$D:$D,$B$1034,Actuals!$A:$A,LEFT($D$1034,FIND("|",$D$1034&amp;"|")-1),Actuals!$E:$E,MID($D$1034,FIND("|",$D$1034&amp;"|")+1,50),Actuals!$F:$F,"GBP")*$H$5)</f>
        <v/>
      </c>
      <c r="O1035" s="18">
        <f>IF(OR($B$1034="",8&gt;$C$4),"",SUMIFS(Actuals!$G:$G,Actuals!$B:$B,$C$3,Actuals!$C:$C,8,Actuals!$D:$D,$B$1034,Actuals!$A:$A,LEFT($D$1034,FIND("|",$D$1034&amp;"|")-1),Actuals!$E:$E,MID($D$1034,FIND("|",$D$1034&amp;"|")+1,50),Actuals!$F:$F,"JPY")*$E$5+SUMIFS(Actuals!$G:$G,Actuals!$B:$B,$C$3,Actuals!$C:$C,8,Actuals!$D:$D,$B$1034,Actuals!$A:$A,LEFT($D$1034,FIND("|",$D$1034&amp;"|")-1),Actuals!$E:$E,MID($D$1034,FIND("|",$D$1034&amp;"|")+1,50),Actuals!$F:$F,"USD")*$F$5+SUMIFS(Actuals!$G:$G,Actuals!$B:$B,$C$3,Actuals!$C:$C,8,Actuals!$D:$D,$B$1034,Actuals!$A:$A,LEFT($D$1034,FIND("|",$D$1034&amp;"|")-1),Actuals!$E:$E,MID($D$1034,FIND("|",$D$1034&amp;"|")+1,50),Actuals!$F:$F,"EUR")*$G$5+SUMIFS(Actuals!$G:$G,Actuals!$B:$B,$C$3,Actuals!$C:$C,8,Actuals!$D:$D,$B$1034,Actuals!$A:$A,LEFT($D$1034,FIND("|",$D$1034&amp;"|")-1),Actuals!$E:$E,MID($D$1034,FIND("|",$D$1034&amp;"|")+1,50),Actuals!$F:$F,"GBP")*$H$5)</f>
        <v/>
      </c>
      <c r="P1035" s="18">
        <f>IF(OR($B$1034="",9&gt;$C$4),"",SUMIFS(Actuals!$G:$G,Actuals!$B:$B,$C$3,Actuals!$C:$C,9,Actuals!$D:$D,$B$1034,Actuals!$A:$A,LEFT($D$1034,FIND("|",$D$1034&amp;"|")-1),Actuals!$E:$E,MID($D$1034,FIND("|",$D$1034&amp;"|")+1,50),Actuals!$F:$F,"JPY")*$E$5+SUMIFS(Actuals!$G:$G,Actuals!$B:$B,$C$3,Actuals!$C:$C,9,Actuals!$D:$D,$B$1034,Actuals!$A:$A,LEFT($D$1034,FIND("|",$D$1034&amp;"|")-1),Actuals!$E:$E,MID($D$1034,FIND("|",$D$1034&amp;"|")+1,50),Actuals!$F:$F,"USD")*$F$5+SUMIFS(Actuals!$G:$G,Actuals!$B:$B,$C$3,Actuals!$C:$C,9,Actuals!$D:$D,$B$1034,Actuals!$A:$A,LEFT($D$1034,FIND("|",$D$1034&amp;"|")-1),Actuals!$E:$E,MID($D$1034,FIND("|",$D$1034&amp;"|")+1,50),Actuals!$F:$F,"EUR")*$G$5+SUMIFS(Actuals!$G:$G,Actuals!$B:$B,$C$3,Actuals!$C:$C,9,Actuals!$D:$D,$B$1034,Actuals!$A:$A,LEFT($D$1034,FIND("|",$D$1034&amp;"|")-1),Actuals!$E:$E,MID($D$1034,FIND("|",$D$1034&amp;"|")+1,50),Actuals!$F:$F,"GBP")*$H$5)</f>
        <v/>
      </c>
      <c r="Q1035" s="18">
        <f>IF(OR($B$1034="",10&gt;$C$4),"",SUMIFS(Actuals!$G:$G,Actuals!$B:$B,$C$3,Actuals!$C:$C,10,Actuals!$D:$D,$B$1034,Actuals!$A:$A,LEFT($D$1034,FIND("|",$D$1034&amp;"|")-1),Actuals!$E:$E,MID($D$1034,FIND("|",$D$1034&amp;"|")+1,50),Actuals!$F:$F,"JPY")*$E$5+SUMIFS(Actuals!$G:$G,Actuals!$B:$B,$C$3,Actuals!$C:$C,10,Actuals!$D:$D,$B$1034,Actuals!$A:$A,LEFT($D$1034,FIND("|",$D$1034&amp;"|")-1),Actuals!$E:$E,MID($D$1034,FIND("|",$D$1034&amp;"|")+1,50),Actuals!$F:$F,"USD")*$F$5+SUMIFS(Actuals!$G:$G,Actuals!$B:$B,$C$3,Actuals!$C:$C,10,Actuals!$D:$D,$B$1034,Actuals!$A:$A,LEFT($D$1034,FIND("|",$D$1034&amp;"|")-1),Actuals!$E:$E,MID($D$1034,FIND("|",$D$1034&amp;"|")+1,50),Actuals!$F:$F,"EUR")*$G$5+SUMIFS(Actuals!$G:$G,Actuals!$B:$B,$C$3,Actuals!$C:$C,10,Actuals!$D:$D,$B$1034,Actuals!$A:$A,LEFT($D$1034,FIND("|",$D$1034&amp;"|")-1),Actuals!$E:$E,MID($D$1034,FIND("|",$D$1034&amp;"|")+1,50),Actuals!$F:$F,"GBP")*$H$5)</f>
        <v/>
      </c>
      <c r="R1035" s="18">
        <f>IF(OR($B$1034="",11&gt;$C$4),"",SUMIFS(Actuals!$G:$G,Actuals!$B:$B,$C$3,Actuals!$C:$C,11,Actuals!$D:$D,$B$1034,Actuals!$A:$A,LEFT($D$1034,FIND("|",$D$1034&amp;"|")-1),Actuals!$E:$E,MID($D$1034,FIND("|",$D$1034&amp;"|")+1,50),Actuals!$F:$F,"JPY")*$E$5+SUMIFS(Actuals!$G:$G,Actuals!$B:$B,$C$3,Actuals!$C:$C,11,Actuals!$D:$D,$B$1034,Actuals!$A:$A,LEFT($D$1034,FIND("|",$D$1034&amp;"|")-1),Actuals!$E:$E,MID($D$1034,FIND("|",$D$1034&amp;"|")+1,50),Actuals!$F:$F,"USD")*$F$5+SUMIFS(Actuals!$G:$G,Actuals!$B:$B,$C$3,Actuals!$C:$C,11,Actuals!$D:$D,$B$1034,Actuals!$A:$A,LEFT($D$1034,FIND("|",$D$1034&amp;"|")-1),Actuals!$E:$E,MID($D$1034,FIND("|",$D$1034&amp;"|")+1,50),Actuals!$F:$F,"EUR")*$G$5+SUMIFS(Actuals!$G:$G,Actuals!$B:$B,$C$3,Actuals!$C:$C,11,Actuals!$D:$D,$B$1034,Actuals!$A:$A,LEFT($D$1034,FIND("|",$D$1034&amp;"|")-1),Actuals!$E:$E,MID($D$1034,FIND("|",$D$1034&amp;"|")+1,50),Actuals!$F:$F,"GBP")*$H$5)</f>
        <v/>
      </c>
      <c r="S1035" s="18">
        <f>IF(OR($B$1034="",12&gt;$C$4),"",SUMIFS(Actuals!$G:$G,Actuals!$B:$B,$C$3,Actuals!$C:$C,12,Actuals!$D:$D,$B$1034,Actuals!$A:$A,LEFT($D$1034,FIND("|",$D$1034&amp;"|")-1),Actuals!$E:$E,MID($D$1034,FIND("|",$D$1034&amp;"|")+1,50),Actuals!$F:$F,"JPY")*$E$5+SUMIFS(Actuals!$G:$G,Actuals!$B:$B,$C$3,Actuals!$C:$C,12,Actuals!$D:$D,$B$1034,Actuals!$A:$A,LEFT($D$1034,FIND("|",$D$1034&amp;"|")-1),Actuals!$E:$E,MID($D$1034,FIND("|",$D$1034&amp;"|")+1,50),Actuals!$F:$F,"USD")*$F$5+SUMIFS(Actuals!$G:$G,Actuals!$B:$B,$C$3,Actuals!$C:$C,12,Actuals!$D:$D,$B$1034,Actuals!$A:$A,LEFT($D$1034,FIND("|",$D$1034&amp;"|")-1),Actuals!$E:$E,MID($D$1034,FIND("|",$D$1034&amp;"|")+1,50),Actuals!$F:$F,"EUR")*$G$5+SUMIFS(Actuals!$G:$G,Actuals!$B:$B,$C$3,Actuals!$C:$C,12,Actuals!$D:$D,$B$1034,Actuals!$A:$A,LEFT($D$1034,FIND("|",$D$1034&amp;"|")-1),Actuals!$E:$E,MID($D$1034,FIND("|",$D$1034&amp;"|")+1,50),Actuals!$F:$F,"GBP")*$H$5)</f>
        <v/>
      </c>
      <c r="T1035" s="18">
        <f>IF($B$1034="","",SUMIF($H$7:$S$7,"&lt;="&amp;$C$4,$H1035:$S1035))</f>
        <v/>
      </c>
      <c r="U1035" s="18" t="n"/>
      <c r="V1035" s="18" t="n"/>
      <c r="X1035" s="22">
        <f>IF($B1035="","",IFERROR(INDEX(Cost_Centers!$E:$E,MATCH($B1035,Cost_Centers!$A:$A,0)),"(unknown)"))</f>
        <v/>
      </c>
      <c r="Y1035" s="22">
        <f>IF($B1035="","",IFERROR(INDEX(Cost_Centers!$D:$D,MATCH($B1035,Cost_Centers!$A:$A,0)),"(unknown)"))</f>
        <v/>
      </c>
      <c r="Z1035" s="22">
        <f>IF(OR($B1035="",$G1035&lt;&gt;"Variance vs Budget"),"",ABS(N($V1035))+ROW()/1000000000)</f>
        <v/>
      </c>
    </row>
    <row r="1036">
      <c r="A1036" s="13">
        <f>IF(A$1034="","",A$1034)</f>
        <v/>
      </c>
      <c r="B1036" s="13">
        <f>IF(B$1034="","",B$1034)</f>
        <v/>
      </c>
      <c r="C1036" s="13">
        <f>IF(C$1034="","",C$1034)</f>
        <v/>
      </c>
      <c r="D1036" s="13">
        <f>IF(D$1034="","",D$1034)</f>
        <v/>
      </c>
      <c r="E1036" s="13">
        <f>IF(E$1034="","",E$1034)</f>
        <v/>
      </c>
      <c r="F1036" s="13">
        <f>IF(F$1034="","",F$1034)</f>
        <v/>
      </c>
      <c r="G1036" s="6" t="inlineStr">
        <is>
          <t>Variance vs Budget</t>
        </is>
      </c>
      <c r="H1036" s="33">
        <f>IF(OR($B$1034="",1&gt;$C$4),"",N(H1035)-H1034)</f>
        <v/>
      </c>
      <c r="I1036" s="33">
        <f>IF(OR($B$1034="",2&gt;$C$4),"",N(I1035)-I1034)</f>
        <v/>
      </c>
      <c r="J1036" s="33">
        <f>IF(OR($B$1034="",3&gt;$C$4),"",N(J1035)-J1034)</f>
        <v/>
      </c>
      <c r="K1036" s="33">
        <f>IF(OR($B$1034="",4&gt;$C$4),"",N(K1035)-K1034)</f>
        <v/>
      </c>
      <c r="L1036" s="33">
        <f>IF(OR($B$1034="",5&gt;$C$4),"",N(L1035)-L1034)</f>
        <v/>
      </c>
      <c r="M1036" s="33">
        <f>IF(OR($B$1034="",6&gt;$C$4),"",N(M1035)-M1034)</f>
        <v/>
      </c>
      <c r="N1036" s="33">
        <f>IF(OR($B$1034="",7&gt;$C$4),"",N(N1035)-N1034)</f>
        <v/>
      </c>
      <c r="O1036" s="33">
        <f>IF(OR($B$1034="",8&gt;$C$4),"",N(O1035)-O1034)</f>
        <v/>
      </c>
      <c r="P1036" s="33">
        <f>IF(OR($B$1034="",9&gt;$C$4),"",N(P1035)-P1034)</f>
        <v/>
      </c>
      <c r="Q1036" s="33">
        <f>IF(OR($B$1034="",10&gt;$C$4),"",N(Q1035)-Q1034)</f>
        <v/>
      </c>
      <c r="R1036" s="33">
        <f>IF(OR($B$1034="",11&gt;$C$4),"",N(R1035)-R1034)</f>
        <v/>
      </c>
      <c r="S1036" s="33">
        <f>IF(OR($B$1034="",12&gt;$C$4),"",N(S1035)-S1034)</f>
        <v/>
      </c>
      <c r="T1036" s="33">
        <f>IF($B$1034="","",T1035-T1034)</f>
        <v/>
      </c>
      <c r="U1036" s="33">
        <f>IF($B$1034="","",U1038-U1034)</f>
        <v/>
      </c>
      <c r="V1036" s="33">
        <f>IF($B$1034="","",V1038-V1034)</f>
        <v/>
      </c>
      <c r="X1036" s="22">
        <f>IF($B1036="","",IFERROR(INDEX(Cost_Centers!$E:$E,MATCH($B1036,Cost_Centers!$A:$A,0)),"(unknown)"))</f>
        <v/>
      </c>
      <c r="Y1036" s="22">
        <f>IF($B1036="","",IFERROR(INDEX(Cost_Centers!$D:$D,MATCH($B1036,Cost_Centers!$A:$A,0)),"(unknown)"))</f>
        <v/>
      </c>
      <c r="Z1036" s="22">
        <f>IF(OR($B1036="",$G1036&lt;&gt;"Variance vs Budget"),"",ABS(N($V1036))+ROW()/1000000000)</f>
        <v/>
      </c>
    </row>
    <row r="1037">
      <c r="A1037" s="13">
        <f>IF(A$1034="","",A$1034)</f>
        <v/>
      </c>
      <c r="B1037" s="13">
        <f>IF(B$1034="","",B$1034)</f>
        <v/>
      </c>
      <c r="C1037" s="13">
        <f>IF(C$1034="","",C$1034)</f>
        <v/>
      </c>
      <c r="D1037" s="13">
        <f>IF(D$1034="","",D$1034)</f>
        <v/>
      </c>
      <c r="E1037" s="13">
        <f>IF(E$1034="","",E$1034)</f>
        <v/>
      </c>
      <c r="F1037" s="13">
        <f>IF(F$1034="","",F$1034)</f>
        <v/>
      </c>
      <c r="G1037" s="7" t="inlineStr">
        <is>
          <t>Forecast (input)</t>
        </is>
      </c>
      <c r="H1037" s="34" t="n"/>
      <c r="I1037" s="34" t="n"/>
      <c r="J1037" s="34" t="n"/>
      <c r="K1037" s="34" t="n"/>
      <c r="L1037" s="34" t="n"/>
      <c r="M1037" s="34" t="n"/>
      <c r="N1037" s="34" t="n"/>
      <c r="O1037" s="34" t="n"/>
      <c r="P1037" s="34" t="n"/>
      <c r="Q1037" s="34" t="n"/>
      <c r="R1037" s="34" t="n"/>
      <c r="S1037" s="34" t="n"/>
      <c r="T1037" s="18" t="n"/>
      <c r="U1037" s="18" t="n"/>
      <c r="V1037" s="18" t="n"/>
      <c r="X1037" s="22">
        <f>IF($B1037="","",IFERROR(INDEX(Cost_Centers!$E:$E,MATCH($B1037,Cost_Centers!$A:$A,0)),"(unknown)"))</f>
        <v/>
      </c>
      <c r="Y1037" s="22">
        <f>IF($B1037="","",IFERROR(INDEX(Cost_Centers!$D:$D,MATCH($B1037,Cost_Centers!$A:$A,0)),"(unknown)"))</f>
        <v/>
      </c>
      <c r="Z1037" s="22">
        <f>IF(OR($B1037="",$G1037&lt;&gt;"Variance vs Budget"),"",ABS(N($V1037))+ROW()/1000000000)</f>
        <v/>
      </c>
    </row>
    <row r="1038">
      <c r="A1038" s="13">
        <f>IF(A$1034="","",A$1034)</f>
        <v/>
      </c>
      <c r="B1038" s="13">
        <f>IF(B$1034="","",B$1034)</f>
        <v/>
      </c>
      <c r="C1038" s="13">
        <f>IF(C$1034="","",C$1034)</f>
        <v/>
      </c>
      <c r="D1038" s="13">
        <f>IF(D$1034="","",D$1034)</f>
        <v/>
      </c>
      <c r="E1038" s="13">
        <f>IF(E$1034="","",E$1034)</f>
        <v/>
      </c>
      <c r="F1038" s="13">
        <f>IF(F$1034="","",F$1034)</f>
        <v/>
      </c>
      <c r="G1038" s="35" t="inlineStr">
        <is>
          <t>Actual + Forecast</t>
        </is>
      </c>
      <c r="H1038" s="18">
        <f>IF($B$1034="","",IF(1&lt;=$C$4,N(H1035),IF(H1037="",H1034,H1037)))</f>
        <v/>
      </c>
      <c r="I1038" s="18">
        <f>IF($B$1034="","",IF(2&lt;=$C$4,N(I1035),IF(I1037="",I1034,I1037)))</f>
        <v/>
      </c>
      <c r="J1038" s="18">
        <f>IF($B$1034="","",IF(3&lt;=$C$4,N(J1035),IF(J1037="",J1034,J1037)))</f>
        <v/>
      </c>
      <c r="K1038" s="18">
        <f>IF($B$1034="","",IF(4&lt;=$C$4,N(K1035),IF(K1037="",K1034,K1037)))</f>
        <v/>
      </c>
      <c r="L1038" s="18">
        <f>IF($B$1034="","",IF(5&lt;=$C$4,N(L1035),IF(L1037="",L1034,L1037)))</f>
        <v/>
      </c>
      <c r="M1038" s="18">
        <f>IF($B$1034="","",IF(6&lt;=$C$4,N(M1035),IF(M1037="",M1034,M1037)))</f>
        <v/>
      </c>
      <c r="N1038" s="18">
        <f>IF($B$1034="","",IF(7&lt;=$C$4,N(N1035),IF(N1037="",N1034,N1037)))</f>
        <v/>
      </c>
      <c r="O1038" s="18">
        <f>IF($B$1034="","",IF(8&lt;=$C$4,N(O1035),IF(O1037="",O1034,O1037)))</f>
        <v/>
      </c>
      <c r="P1038" s="18">
        <f>IF($B$1034="","",IF(9&lt;=$C$4,N(P1035),IF(P1037="",P1034,P1037)))</f>
        <v/>
      </c>
      <c r="Q1038" s="18">
        <f>IF($B$1034="","",IF(10&lt;=$C$4,N(Q1035),IF(Q1037="",Q1034,Q1037)))</f>
        <v/>
      </c>
      <c r="R1038" s="18">
        <f>IF($B$1034="","",IF(11&lt;=$C$4,N(R1035),IF(R1037="",R1034,R1037)))</f>
        <v/>
      </c>
      <c r="S1038" s="18">
        <f>IF($B$1034="","",IF(12&lt;=$C$4,N(S1035),IF(S1037="",S1034,S1037)))</f>
        <v/>
      </c>
      <c r="T1038" s="18">
        <f>IF($B$1034="","",SUMIF($H$7:$S$7,"&lt;="&amp;$C$4,$H1038:$S1038))</f>
        <v/>
      </c>
      <c r="U1038" s="18">
        <f>IF($B$1034="","",SUMIF($H$7:$S$7,"&gt;"&amp;$C$4,$H1038:$S1038))</f>
        <v/>
      </c>
      <c r="V1038" s="18">
        <f>IF($B$1034="","",SUM($H1038:$S1038))</f>
        <v/>
      </c>
      <c r="X1038" s="22">
        <f>IF($B1038="","",IFERROR(INDEX(Cost_Centers!$E:$E,MATCH($B1038,Cost_Centers!$A:$A,0)),"(unknown)"))</f>
        <v/>
      </c>
      <c r="Y1038" s="22">
        <f>IF($B1038="","",IFERROR(INDEX(Cost_Centers!$D:$D,MATCH($B1038,Cost_Centers!$A:$A,0)),"(unknown)"))</f>
        <v/>
      </c>
      <c r="Z1038" s="22">
        <f>IF(OR($B1038="",$G1038&lt;&gt;"Variance vs Budget"),"",ABS(N($V1038))+ROW()/1000000000)</f>
        <v/>
      </c>
    </row>
    <row r="1039">
      <c r="A1039" s="13">
        <f>IF(A$1034="","",A$1034)</f>
        <v/>
      </c>
      <c r="B1039" s="13">
        <f>IF(B$1034="","",B$1034)</f>
        <v/>
      </c>
      <c r="C1039" s="13">
        <f>IF(C$1034="","",C$1034)</f>
        <v/>
      </c>
      <c r="D1039" s="13">
        <f>IF(D$1034="","",D$1034)</f>
        <v/>
      </c>
      <c r="E1039" s="13">
        <f>IF(E$1034="","",E$1034)</f>
        <v/>
      </c>
      <c r="F1039" s="13">
        <f>IF(F$1034="","",F$1034)</f>
        <v/>
      </c>
      <c r="G1039" s="36" t="inlineStr">
        <is>
          <t>Prior Month Forecast</t>
        </is>
      </c>
      <c r="H1039" s="37">
        <f>IF($B$1034="","",IF(COUNTIFS(Prior_Forecast!$A:$A,$B$1034,Prior_Forecast!$B:$B,$D$1034)&gt;0,SUMIFS(Prior_Forecast!$C:$C,Prior_Forecast!$A:$A,$B$1034,Prior_Forecast!$B:$B,$D$1034),""))</f>
        <v/>
      </c>
      <c r="I1039" s="37">
        <f>IF($B$1034="","",IF(COUNTIFS(Prior_Forecast!$A:$A,$B$1034,Prior_Forecast!$B:$B,$D$1034)&gt;0,SUMIFS(Prior_Forecast!$D:$D,Prior_Forecast!$A:$A,$B$1034,Prior_Forecast!$B:$B,$D$1034),""))</f>
        <v/>
      </c>
      <c r="J1039" s="37">
        <f>IF($B$1034="","",IF(COUNTIFS(Prior_Forecast!$A:$A,$B$1034,Prior_Forecast!$B:$B,$D$1034)&gt;0,SUMIFS(Prior_Forecast!$E:$E,Prior_Forecast!$A:$A,$B$1034,Prior_Forecast!$B:$B,$D$1034),""))</f>
        <v/>
      </c>
      <c r="K1039" s="37">
        <f>IF($B$1034="","",IF(COUNTIFS(Prior_Forecast!$A:$A,$B$1034,Prior_Forecast!$B:$B,$D$1034)&gt;0,SUMIFS(Prior_Forecast!$F:$F,Prior_Forecast!$A:$A,$B$1034,Prior_Forecast!$B:$B,$D$1034),""))</f>
        <v/>
      </c>
      <c r="L1039" s="37">
        <f>IF($B$1034="","",IF(COUNTIFS(Prior_Forecast!$A:$A,$B$1034,Prior_Forecast!$B:$B,$D$1034)&gt;0,SUMIFS(Prior_Forecast!$G:$G,Prior_Forecast!$A:$A,$B$1034,Prior_Forecast!$B:$B,$D$1034),""))</f>
        <v/>
      </c>
      <c r="M1039" s="37">
        <f>IF($B$1034="","",IF(COUNTIFS(Prior_Forecast!$A:$A,$B$1034,Prior_Forecast!$B:$B,$D$1034)&gt;0,SUMIFS(Prior_Forecast!$H:$H,Prior_Forecast!$A:$A,$B$1034,Prior_Forecast!$B:$B,$D$1034),""))</f>
        <v/>
      </c>
      <c r="N1039" s="37">
        <f>IF($B$1034="","",IF(COUNTIFS(Prior_Forecast!$A:$A,$B$1034,Prior_Forecast!$B:$B,$D$1034)&gt;0,SUMIFS(Prior_Forecast!$I:$I,Prior_Forecast!$A:$A,$B$1034,Prior_Forecast!$B:$B,$D$1034),""))</f>
        <v/>
      </c>
      <c r="O1039" s="37">
        <f>IF($B$1034="","",IF(COUNTIFS(Prior_Forecast!$A:$A,$B$1034,Prior_Forecast!$B:$B,$D$1034)&gt;0,SUMIFS(Prior_Forecast!$J:$J,Prior_Forecast!$A:$A,$B$1034,Prior_Forecast!$B:$B,$D$1034),""))</f>
        <v/>
      </c>
      <c r="P1039" s="37">
        <f>IF($B$1034="","",IF(COUNTIFS(Prior_Forecast!$A:$A,$B$1034,Prior_Forecast!$B:$B,$D$1034)&gt;0,SUMIFS(Prior_Forecast!$K:$K,Prior_Forecast!$A:$A,$B$1034,Prior_Forecast!$B:$B,$D$1034),""))</f>
        <v/>
      </c>
      <c r="Q1039" s="37">
        <f>IF($B$1034="","",IF(COUNTIFS(Prior_Forecast!$A:$A,$B$1034,Prior_Forecast!$B:$B,$D$1034)&gt;0,SUMIFS(Prior_Forecast!$L:$L,Prior_Forecast!$A:$A,$B$1034,Prior_Forecast!$B:$B,$D$1034),""))</f>
        <v/>
      </c>
      <c r="R1039" s="37">
        <f>IF($B$1034="","",IF(COUNTIFS(Prior_Forecast!$A:$A,$B$1034,Prior_Forecast!$B:$B,$D$1034)&gt;0,SUMIFS(Prior_Forecast!$M:$M,Prior_Forecast!$A:$A,$B$1034,Prior_Forecast!$B:$B,$D$1034),""))</f>
        <v/>
      </c>
      <c r="S1039" s="37">
        <f>IF($B$1034="","",IF(COUNTIFS(Prior_Forecast!$A:$A,$B$1034,Prior_Forecast!$B:$B,$D$1034)&gt;0,SUMIFS(Prior_Forecast!$N:$N,Prior_Forecast!$A:$A,$B$1034,Prior_Forecast!$B:$B,$D$1034),""))</f>
        <v/>
      </c>
      <c r="T1039" s="37">
        <f>IF($B$1034="","",IF(COUNTIFS(Prior_Forecast!$A:$A,$B$1034,Prior_Forecast!$B:$B,$D$1034)&gt;0,SUMIFS(Prior_Forecast!$O:$O,Prior_Forecast!$A:$A,$B$1034,Prior_Forecast!$B:$B,$D$1034),""))</f>
        <v/>
      </c>
      <c r="U1039" s="37">
        <f>IF($B$1034="","",IF(COUNTIFS(Prior_Forecast!$A:$A,$B$1034,Prior_Forecast!$B:$B,$D$1034)&gt;0,SUMIFS(Prior_Forecast!$P:$P,Prior_Forecast!$A:$A,$B$1034,Prior_Forecast!$B:$B,$D$1034),""))</f>
        <v/>
      </c>
      <c r="V1039" s="37">
        <f>IF($B$1034="","",IF(COUNTIFS(Prior_Forecast!$A:$A,$B$1034,Prior_Forecast!$B:$B,$D$1034)&gt;0,SUMIFS(Prior_Forecast!$Q:$Q,Prior_Forecast!$A:$A,$B$1034,Prior_Forecast!$B:$B,$D$1034),""))</f>
        <v/>
      </c>
      <c r="X1039" s="22">
        <f>IF($B1039="","",IFERROR(INDEX(Cost_Centers!$E:$E,MATCH($B1039,Cost_Centers!$A:$A,0)),"(unknown)"))</f>
        <v/>
      </c>
      <c r="Y1039" s="22">
        <f>IF($B1039="","",IFERROR(INDEX(Cost_Centers!$D:$D,MATCH($B1039,Cost_Centers!$A:$A,0)),"(unknown)"))</f>
        <v/>
      </c>
      <c r="Z1039" s="22">
        <f>IF(OR($B1039="",$G1039&lt;&gt;"Variance vs Budget"),"",ABS(N($V1039))+ROW()/1000000000)</f>
        <v/>
      </c>
    </row>
    <row r="1040">
      <c r="A1040" s="13">
        <f>IF(A$1034="","",A$1034)</f>
        <v/>
      </c>
      <c r="B1040" s="13">
        <f>IF(B$1034="","",B$1034)</f>
        <v/>
      </c>
      <c r="C1040" s="13">
        <f>IF(C$1034="","",C$1034)</f>
        <v/>
      </c>
      <c r="D1040" s="13">
        <f>IF(D$1034="","",D$1034)</f>
        <v/>
      </c>
      <c r="E1040" s="13">
        <f>IF(E$1034="","",E$1034)</f>
        <v/>
      </c>
      <c r="F1040" s="13">
        <f>IF(F$1034="","",F$1034)</f>
        <v/>
      </c>
      <c r="G1040" s="6" t="inlineStr">
        <is>
          <t>Variance vs Prior Month</t>
        </is>
      </c>
      <c r="H1040" s="33">
        <f>IF(OR($B$1034="",H1039=""),"",H1038-H1039)</f>
        <v/>
      </c>
      <c r="I1040" s="33">
        <f>IF(OR($B$1034="",I1039=""),"",I1038-I1039)</f>
        <v/>
      </c>
      <c r="J1040" s="33">
        <f>IF(OR($B$1034="",J1039=""),"",J1038-J1039)</f>
        <v/>
      </c>
      <c r="K1040" s="33">
        <f>IF(OR($B$1034="",K1039=""),"",K1038-K1039)</f>
        <v/>
      </c>
      <c r="L1040" s="33">
        <f>IF(OR($B$1034="",L1039=""),"",L1038-L1039)</f>
        <v/>
      </c>
      <c r="M1040" s="33">
        <f>IF(OR($B$1034="",M1039=""),"",M1038-M1039)</f>
        <v/>
      </c>
      <c r="N1040" s="33">
        <f>IF(OR($B$1034="",N1039=""),"",N1038-N1039)</f>
        <v/>
      </c>
      <c r="O1040" s="33">
        <f>IF(OR($B$1034="",O1039=""),"",O1038-O1039)</f>
        <v/>
      </c>
      <c r="P1040" s="33">
        <f>IF(OR($B$1034="",P1039=""),"",P1038-P1039)</f>
        <v/>
      </c>
      <c r="Q1040" s="33">
        <f>IF(OR($B$1034="",Q1039=""),"",Q1038-Q1039)</f>
        <v/>
      </c>
      <c r="R1040" s="33">
        <f>IF(OR($B$1034="",R1039=""),"",R1038-R1039)</f>
        <v/>
      </c>
      <c r="S1040" s="33">
        <f>IF(OR($B$1034="",S1039=""),"",S1038-S1039)</f>
        <v/>
      </c>
      <c r="T1040" s="33">
        <f>IF(OR($B$1034="",T1039=""),"",T1038-T1039)</f>
        <v/>
      </c>
      <c r="U1040" s="33">
        <f>IF(OR($B$1034="",U1039=""),"",U1038-U1039)</f>
        <v/>
      </c>
      <c r="V1040" s="33">
        <f>IF(OR($B$1034="",V1039=""),"",V1038-V1039)</f>
        <v/>
      </c>
      <c r="X1040" s="22">
        <f>IF($B1040="","",IFERROR(INDEX(Cost_Centers!$E:$E,MATCH($B1040,Cost_Centers!$A:$A,0)),"(unknown)"))</f>
        <v/>
      </c>
      <c r="Y1040" s="22">
        <f>IF($B1040="","",IFERROR(INDEX(Cost_Centers!$D:$D,MATCH($B1040,Cost_Centers!$A:$A,0)),"(unknown)"))</f>
        <v/>
      </c>
      <c r="Z1040" s="22">
        <f>IF(OR($B1040="",$G1040&lt;&gt;"Variance vs Budget"),"",ABS(N($V1040))+ROW()/1000000000)</f>
        <v/>
      </c>
    </row>
    <row r="1041" ht="45" customHeight="1">
      <c r="A1041" s="13">
        <f>IF(A$1034="","",A$1034)</f>
        <v/>
      </c>
      <c r="B1041" s="13">
        <f>IF(B$1034="","",B$1034)</f>
        <v/>
      </c>
      <c r="C1041" s="13">
        <f>IF(C$1034="","",C$1034)</f>
        <v/>
      </c>
      <c r="D1041" s="13">
        <f>IF(D$1034="","",D$1034)</f>
        <v/>
      </c>
      <c r="E1041" s="13">
        <f>IF(E$1034="","",E$1034)</f>
        <v/>
      </c>
      <c r="F1041" s="13">
        <f>IF(F$1034="","",F$1034)</f>
        <v/>
      </c>
      <c r="G1041" s="7" t="inlineStr">
        <is>
          <t>Rationale</t>
        </is>
      </c>
      <c r="H1041" s="38" t="n"/>
      <c r="I1041" s="38" t="n"/>
      <c r="J1041" s="38" t="n"/>
      <c r="K1041" s="38" t="n"/>
      <c r="L1041" s="38" t="n"/>
      <c r="M1041" s="38" t="n"/>
      <c r="N1041" s="38" t="n"/>
      <c r="O1041" s="38" t="n"/>
      <c r="P1041" s="38" t="n"/>
      <c r="Q1041" s="38" t="n"/>
      <c r="R1041" s="38" t="n"/>
      <c r="S1041" s="38" t="n"/>
      <c r="T1041" s="38" t="n"/>
      <c r="U1041" s="38" t="n"/>
      <c r="V1041" s="7" t="n"/>
      <c r="X1041" s="22">
        <f>IF($B1041="","",IFERROR(INDEX(Cost_Centers!$E:$E,MATCH($B1041,Cost_Centers!$A:$A,0)),"(unknown)"))</f>
        <v/>
      </c>
      <c r="Y1041" s="22">
        <f>IF($B1041="","",IFERROR(INDEX(Cost_Centers!$D:$D,MATCH($B1041,Cost_Centers!$A:$A,0)),"(unknown)"))</f>
        <v/>
      </c>
      <c r="Z1041" s="22">
        <f>IF(OR($B1041="",$G1041&lt;&gt;"Variance vs Budget"),"",ABS(N($V1041))+ROW()/1000000000)</f>
        <v/>
      </c>
    </row>
    <row r="1042">
      <c r="A1042" s="30">
        <f>IF($D$1042="","",LEFT($D$1042,FIND("|",$D$1042&amp;"|")-1))</f>
        <v/>
      </c>
      <c r="B1042" s="31" t="n"/>
      <c r="C1042" s="30">
        <f>IF($B$1042="","",IFERROR(INDEX(Cost_Centers!$B:$B,MATCH($B$1042,Cost_Centers!$A:$A,0)),"(not in master)"))</f>
        <v/>
      </c>
      <c r="D1042" s="31" t="n"/>
      <c r="E1042" s="30">
        <f>IF($D$1042="","",IFERROR(INDEX(Accounts!$D:$D,MATCH($D$1042,Accounts!$A:$A,0)),"(not in master)"))</f>
        <v/>
      </c>
      <c r="F1042" s="31" t="n"/>
      <c r="G1042" s="30" t="inlineStr">
        <is>
          <t>Budget</t>
        </is>
      </c>
      <c r="H1042" s="32">
        <f>IF($B$1042="","",SUMIFS(Opex_Budget!$O:$O,Opex_Budget!$A:$A,$C$3,Opex_Budget!$E:$E,$B$1042,Opex_Budget!$F:$F,$D$1042,Opex_Budget!$N:$N,"JPY")*$E$5+SUMIFS(Opex_Budget!$O:$O,Opex_Budget!$A:$A,$C$3,Opex_Budget!$E:$E,$B$1042,Opex_Budget!$F:$F,$D$1042,Opex_Budget!$N:$N,"USD")*$F$5+SUMIFS(Opex_Budget!$O:$O,Opex_Budget!$A:$A,$C$3,Opex_Budget!$E:$E,$B$1042,Opex_Budget!$F:$F,$D$1042,Opex_Budget!$N:$N,"EUR")*$G$5+SUMIFS(Opex_Budget!$O:$O,Opex_Budget!$A:$A,$C$3,Opex_Budget!$E:$E,$B$1042,Opex_Budget!$F:$F,$D$1042,Opex_Budget!$N:$N,"GBP")*$H$5)</f>
        <v/>
      </c>
      <c r="I1042" s="32">
        <f>IF($B$1042="","",SUMIFS(Opex_Budget!$P:$P,Opex_Budget!$A:$A,$C$3,Opex_Budget!$E:$E,$B$1042,Opex_Budget!$F:$F,$D$1042,Opex_Budget!$N:$N,"JPY")*$E$5+SUMIFS(Opex_Budget!$P:$P,Opex_Budget!$A:$A,$C$3,Opex_Budget!$E:$E,$B$1042,Opex_Budget!$F:$F,$D$1042,Opex_Budget!$N:$N,"USD")*$F$5+SUMIFS(Opex_Budget!$P:$P,Opex_Budget!$A:$A,$C$3,Opex_Budget!$E:$E,$B$1042,Opex_Budget!$F:$F,$D$1042,Opex_Budget!$N:$N,"EUR")*$G$5+SUMIFS(Opex_Budget!$P:$P,Opex_Budget!$A:$A,$C$3,Opex_Budget!$E:$E,$B$1042,Opex_Budget!$F:$F,$D$1042,Opex_Budget!$N:$N,"GBP")*$H$5)</f>
        <v/>
      </c>
      <c r="J1042" s="32">
        <f>IF($B$1042="","",SUMIFS(Opex_Budget!$Q:$Q,Opex_Budget!$A:$A,$C$3,Opex_Budget!$E:$E,$B$1042,Opex_Budget!$F:$F,$D$1042,Opex_Budget!$N:$N,"JPY")*$E$5+SUMIFS(Opex_Budget!$Q:$Q,Opex_Budget!$A:$A,$C$3,Opex_Budget!$E:$E,$B$1042,Opex_Budget!$F:$F,$D$1042,Opex_Budget!$N:$N,"USD")*$F$5+SUMIFS(Opex_Budget!$Q:$Q,Opex_Budget!$A:$A,$C$3,Opex_Budget!$E:$E,$B$1042,Opex_Budget!$F:$F,$D$1042,Opex_Budget!$N:$N,"EUR")*$G$5+SUMIFS(Opex_Budget!$Q:$Q,Opex_Budget!$A:$A,$C$3,Opex_Budget!$E:$E,$B$1042,Opex_Budget!$F:$F,$D$1042,Opex_Budget!$N:$N,"GBP")*$H$5)</f>
        <v/>
      </c>
      <c r="K1042" s="32">
        <f>IF($B$1042="","",SUMIFS(Opex_Budget!$R:$R,Opex_Budget!$A:$A,$C$3,Opex_Budget!$E:$E,$B$1042,Opex_Budget!$F:$F,$D$1042,Opex_Budget!$N:$N,"JPY")*$E$5+SUMIFS(Opex_Budget!$R:$R,Opex_Budget!$A:$A,$C$3,Opex_Budget!$E:$E,$B$1042,Opex_Budget!$F:$F,$D$1042,Opex_Budget!$N:$N,"USD")*$F$5+SUMIFS(Opex_Budget!$R:$R,Opex_Budget!$A:$A,$C$3,Opex_Budget!$E:$E,$B$1042,Opex_Budget!$F:$F,$D$1042,Opex_Budget!$N:$N,"EUR")*$G$5+SUMIFS(Opex_Budget!$R:$R,Opex_Budget!$A:$A,$C$3,Opex_Budget!$E:$E,$B$1042,Opex_Budget!$F:$F,$D$1042,Opex_Budget!$N:$N,"GBP")*$H$5)</f>
        <v/>
      </c>
      <c r="L1042" s="32">
        <f>IF($B$1042="","",SUMIFS(Opex_Budget!$S:$S,Opex_Budget!$A:$A,$C$3,Opex_Budget!$E:$E,$B$1042,Opex_Budget!$F:$F,$D$1042,Opex_Budget!$N:$N,"JPY")*$E$5+SUMIFS(Opex_Budget!$S:$S,Opex_Budget!$A:$A,$C$3,Opex_Budget!$E:$E,$B$1042,Opex_Budget!$F:$F,$D$1042,Opex_Budget!$N:$N,"USD")*$F$5+SUMIFS(Opex_Budget!$S:$S,Opex_Budget!$A:$A,$C$3,Opex_Budget!$E:$E,$B$1042,Opex_Budget!$F:$F,$D$1042,Opex_Budget!$N:$N,"EUR")*$G$5+SUMIFS(Opex_Budget!$S:$S,Opex_Budget!$A:$A,$C$3,Opex_Budget!$E:$E,$B$1042,Opex_Budget!$F:$F,$D$1042,Opex_Budget!$N:$N,"GBP")*$H$5)</f>
        <v/>
      </c>
      <c r="M1042" s="32">
        <f>IF($B$1042="","",SUMIFS(Opex_Budget!$T:$T,Opex_Budget!$A:$A,$C$3,Opex_Budget!$E:$E,$B$1042,Opex_Budget!$F:$F,$D$1042,Opex_Budget!$N:$N,"JPY")*$E$5+SUMIFS(Opex_Budget!$T:$T,Opex_Budget!$A:$A,$C$3,Opex_Budget!$E:$E,$B$1042,Opex_Budget!$F:$F,$D$1042,Opex_Budget!$N:$N,"USD")*$F$5+SUMIFS(Opex_Budget!$T:$T,Opex_Budget!$A:$A,$C$3,Opex_Budget!$E:$E,$B$1042,Opex_Budget!$F:$F,$D$1042,Opex_Budget!$N:$N,"EUR")*$G$5+SUMIFS(Opex_Budget!$T:$T,Opex_Budget!$A:$A,$C$3,Opex_Budget!$E:$E,$B$1042,Opex_Budget!$F:$F,$D$1042,Opex_Budget!$N:$N,"GBP")*$H$5)</f>
        <v/>
      </c>
      <c r="N1042" s="32">
        <f>IF($B$1042="","",SUMIFS(Opex_Budget!$U:$U,Opex_Budget!$A:$A,$C$3,Opex_Budget!$E:$E,$B$1042,Opex_Budget!$F:$F,$D$1042,Opex_Budget!$N:$N,"JPY")*$E$5+SUMIFS(Opex_Budget!$U:$U,Opex_Budget!$A:$A,$C$3,Opex_Budget!$E:$E,$B$1042,Opex_Budget!$F:$F,$D$1042,Opex_Budget!$N:$N,"USD")*$F$5+SUMIFS(Opex_Budget!$U:$U,Opex_Budget!$A:$A,$C$3,Opex_Budget!$E:$E,$B$1042,Opex_Budget!$F:$F,$D$1042,Opex_Budget!$N:$N,"EUR")*$G$5+SUMIFS(Opex_Budget!$U:$U,Opex_Budget!$A:$A,$C$3,Opex_Budget!$E:$E,$B$1042,Opex_Budget!$F:$F,$D$1042,Opex_Budget!$N:$N,"GBP")*$H$5)</f>
        <v/>
      </c>
      <c r="O1042" s="32">
        <f>IF($B$1042="","",SUMIFS(Opex_Budget!$V:$V,Opex_Budget!$A:$A,$C$3,Opex_Budget!$E:$E,$B$1042,Opex_Budget!$F:$F,$D$1042,Opex_Budget!$N:$N,"JPY")*$E$5+SUMIFS(Opex_Budget!$V:$V,Opex_Budget!$A:$A,$C$3,Opex_Budget!$E:$E,$B$1042,Opex_Budget!$F:$F,$D$1042,Opex_Budget!$N:$N,"USD")*$F$5+SUMIFS(Opex_Budget!$V:$V,Opex_Budget!$A:$A,$C$3,Opex_Budget!$E:$E,$B$1042,Opex_Budget!$F:$F,$D$1042,Opex_Budget!$N:$N,"EUR")*$G$5+SUMIFS(Opex_Budget!$V:$V,Opex_Budget!$A:$A,$C$3,Opex_Budget!$E:$E,$B$1042,Opex_Budget!$F:$F,$D$1042,Opex_Budget!$N:$N,"GBP")*$H$5)</f>
        <v/>
      </c>
      <c r="P1042" s="32">
        <f>IF($B$1042="","",SUMIFS(Opex_Budget!$W:$W,Opex_Budget!$A:$A,$C$3,Opex_Budget!$E:$E,$B$1042,Opex_Budget!$F:$F,$D$1042,Opex_Budget!$N:$N,"JPY")*$E$5+SUMIFS(Opex_Budget!$W:$W,Opex_Budget!$A:$A,$C$3,Opex_Budget!$E:$E,$B$1042,Opex_Budget!$F:$F,$D$1042,Opex_Budget!$N:$N,"USD")*$F$5+SUMIFS(Opex_Budget!$W:$W,Opex_Budget!$A:$A,$C$3,Opex_Budget!$E:$E,$B$1042,Opex_Budget!$F:$F,$D$1042,Opex_Budget!$N:$N,"EUR")*$G$5+SUMIFS(Opex_Budget!$W:$W,Opex_Budget!$A:$A,$C$3,Opex_Budget!$E:$E,$B$1042,Opex_Budget!$F:$F,$D$1042,Opex_Budget!$N:$N,"GBP")*$H$5)</f>
        <v/>
      </c>
      <c r="Q1042" s="32">
        <f>IF($B$1042="","",SUMIFS(Opex_Budget!$X:$X,Opex_Budget!$A:$A,$C$3,Opex_Budget!$E:$E,$B$1042,Opex_Budget!$F:$F,$D$1042,Opex_Budget!$N:$N,"JPY")*$E$5+SUMIFS(Opex_Budget!$X:$X,Opex_Budget!$A:$A,$C$3,Opex_Budget!$E:$E,$B$1042,Opex_Budget!$F:$F,$D$1042,Opex_Budget!$N:$N,"USD")*$F$5+SUMIFS(Opex_Budget!$X:$X,Opex_Budget!$A:$A,$C$3,Opex_Budget!$E:$E,$B$1042,Opex_Budget!$F:$F,$D$1042,Opex_Budget!$N:$N,"EUR")*$G$5+SUMIFS(Opex_Budget!$X:$X,Opex_Budget!$A:$A,$C$3,Opex_Budget!$E:$E,$B$1042,Opex_Budget!$F:$F,$D$1042,Opex_Budget!$N:$N,"GBP")*$H$5)</f>
        <v/>
      </c>
      <c r="R1042" s="32">
        <f>IF($B$1042="","",SUMIFS(Opex_Budget!$Y:$Y,Opex_Budget!$A:$A,$C$3,Opex_Budget!$E:$E,$B$1042,Opex_Budget!$F:$F,$D$1042,Opex_Budget!$N:$N,"JPY")*$E$5+SUMIFS(Opex_Budget!$Y:$Y,Opex_Budget!$A:$A,$C$3,Opex_Budget!$E:$E,$B$1042,Opex_Budget!$F:$F,$D$1042,Opex_Budget!$N:$N,"USD")*$F$5+SUMIFS(Opex_Budget!$Y:$Y,Opex_Budget!$A:$A,$C$3,Opex_Budget!$E:$E,$B$1042,Opex_Budget!$F:$F,$D$1042,Opex_Budget!$N:$N,"EUR")*$G$5+SUMIFS(Opex_Budget!$Y:$Y,Opex_Budget!$A:$A,$C$3,Opex_Budget!$E:$E,$B$1042,Opex_Budget!$F:$F,$D$1042,Opex_Budget!$N:$N,"GBP")*$H$5)</f>
        <v/>
      </c>
      <c r="S1042" s="32">
        <f>IF($B$1042="","",SUMIFS(Opex_Budget!$Z:$Z,Opex_Budget!$A:$A,$C$3,Opex_Budget!$E:$E,$B$1042,Opex_Budget!$F:$F,$D$1042,Opex_Budget!$N:$N,"JPY")*$E$5+SUMIFS(Opex_Budget!$Z:$Z,Opex_Budget!$A:$A,$C$3,Opex_Budget!$E:$E,$B$1042,Opex_Budget!$F:$F,$D$1042,Opex_Budget!$N:$N,"USD")*$F$5+SUMIFS(Opex_Budget!$Z:$Z,Opex_Budget!$A:$A,$C$3,Opex_Budget!$E:$E,$B$1042,Opex_Budget!$F:$F,$D$1042,Opex_Budget!$N:$N,"EUR")*$G$5+SUMIFS(Opex_Budget!$Z:$Z,Opex_Budget!$A:$A,$C$3,Opex_Budget!$E:$E,$B$1042,Opex_Budget!$F:$F,$D$1042,Opex_Budget!$N:$N,"GBP")*$H$5)</f>
        <v/>
      </c>
      <c r="T1042" s="32">
        <f>IF($B$1042="","",SUMIF($H$7:$S$7,"&lt;="&amp;$C$4,$H1042:$S1042))</f>
        <v/>
      </c>
      <c r="U1042" s="32">
        <f>IF($B$1042="","",SUMIF($H$7:$S$7,"&gt;"&amp;$C$4,$H1042:$S1042))</f>
        <v/>
      </c>
      <c r="V1042" s="32">
        <f>IF($B$1042="","",SUM($H1042:$S1042))</f>
        <v/>
      </c>
      <c r="X1042" s="22">
        <f>IF($B1042="","",IFERROR(INDEX(Cost_Centers!$E:$E,MATCH($B1042,Cost_Centers!$A:$A,0)),"(unknown)"))</f>
        <v/>
      </c>
      <c r="Y1042" s="22">
        <f>IF($B1042="","",IFERROR(INDEX(Cost_Centers!$D:$D,MATCH($B1042,Cost_Centers!$A:$A,0)),"(unknown)"))</f>
        <v/>
      </c>
      <c r="Z1042" s="22">
        <f>IF(OR($B1042="",$G1042&lt;&gt;"Variance vs Budget"),"",ABS(N($V1042))+ROW()/1000000000)</f>
        <v/>
      </c>
    </row>
    <row r="1043">
      <c r="A1043" s="13">
        <f>IF(A$1042="","",A$1042)</f>
        <v/>
      </c>
      <c r="B1043" s="13">
        <f>IF(B$1042="","",B$1042)</f>
        <v/>
      </c>
      <c r="C1043" s="13">
        <f>IF(C$1042="","",C$1042)</f>
        <v/>
      </c>
      <c r="D1043" s="13">
        <f>IF(D$1042="","",D$1042)</f>
        <v/>
      </c>
      <c r="E1043" s="13">
        <f>IF(E$1042="","",E$1042)</f>
        <v/>
      </c>
      <c r="F1043" s="13">
        <f>IF(F$1042="","",F$1042)</f>
        <v/>
      </c>
      <c r="G1043" s="7" t="inlineStr">
        <is>
          <t>Actual</t>
        </is>
      </c>
      <c r="H1043" s="18">
        <f>IF(OR($B$1042="",1&gt;$C$4),"",SUMIFS(Actuals!$G:$G,Actuals!$B:$B,$C$3,Actuals!$C:$C,1,Actuals!$D:$D,$B$1042,Actuals!$A:$A,LEFT($D$1042,FIND("|",$D$1042&amp;"|")-1),Actuals!$E:$E,MID($D$1042,FIND("|",$D$1042&amp;"|")+1,50),Actuals!$F:$F,"JPY")*$E$5+SUMIFS(Actuals!$G:$G,Actuals!$B:$B,$C$3,Actuals!$C:$C,1,Actuals!$D:$D,$B$1042,Actuals!$A:$A,LEFT($D$1042,FIND("|",$D$1042&amp;"|")-1),Actuals!$E:$E,MID($D$1042,FIND("|",$D$1042&amp;"|")+1,50),Actuals!$F:$F,"USD")*$F$5+SUMIFS(Actuals!$G:$G,Actuals!$B:$B,$C$3,Actuals!$C:$C,1,Actuals!$D:$D,$B$1042,Actuals!$A:$A,LEFT($D$1042,FIND("|",$D$1042&amp;"|")-1),Actuals!$E:$E,MID($D$1042,FIND("|",$D$1042&amp;"|")+1,50),Actuals!$F:$F,"EUR")*$G$5+SUMIFS(Actuals!$G:$G,Actuals!$B:$B,$C$3,Actuals!$C:$C,1,Actuals!$D:$D,$B$1042,Actuals!$A:$A,LEFT($D$1042,FIND("|",$D$1042&amp;"|")-1),Actuals!$E:$E,MID($D$1042,FIND("|",$D$1042&amp;"|")+1,50),Actuals!$F:$F,"GBP")*$H$5)</f>
        <v/>
      </c>
      <c r="I1043" s="18">
        <f>IF(OR($B$1042="",2&gt;$C$4),"",SUMIFS(Actuals!$G:$G,Actuals!$B:$B,$C$3,Actuals!$C:$C,2,Actuals!$D:$D,$B$1042,Actuals!$A:$A,LEFT($D$1042,FIND("|",$D$1042&amp;"|")-1),Actuals!$E:$E,MID($D$1042,FIND("|",$D$1042&amp;"|")+1,50),Actuals!$F:$F,"JPY")*$E$5+SUMIFS(Actuals!$G:$G,Actuals!$B:$B,$C$3,Actuals!$C:$C,2,Actuals!$D:$D,$B$1042,Actuals!$A:$A,LEFT($D$1042,FIND("|",$D$1042&amp;"|")-1),Actuals!$E:$E,MID($D$1042,FIND("|",$D$1042&amp;"|")+1,50),Actuals!$F:$F,"USD")*$F$5+SUMIFS(Actuals!$G:$G,Actuals!$B:$B,$C$3,Actuals!$C:$C,2,Actuals!$D:$D,$B$1042,Actuals!$A:$A,LEFT($D$1042,FIND("|",$D$1042&amp;"|")-1),Actuals!$E:$E,MID($D$1042,FIND("|",$D$1042&amp;"|")+1,50),Actuals!$F:$F,"EUR")*$G$5+SUMIFS(Actuals!$G:$G,Actuals!$B:$B,$C$3,Actuals!$C:$C,2,Actuals!$D:$D,$B$1042,Actuals!$A:$A,LEFT($D$1042,FIND("|",$D$1042&amp;"|")-1),Actuals!$E:$E,MID($D$1042,FIND("|",$D$1042&amp;"|")+1,50),Actuals!$F:$F,"GBP")*$H$5)</f>
        <v/>
      </c>
      <c r="J1043" s="18">
        <f>IF(OR($B$1042="",3&gt;$C$4),"",SUMIFS(Actuals!$G:$G,Actuals!$B:$B,$C$3,Actuals!$C:$C,3,Actuals!$D:$D,$B$1042,Actuals!$A:$A,LEFT($D$1042,FIND("|",$D$1042&amp;"|")-1),Actuals!$E:$E,MID($D$1042,FIND("|",$D$1042&amp;"|")+1,50),Actuals!$F:$F,"JPY")*$E$5+SUMIFS(Actuals!$G:$G,Actuals!$B:$B,$C$3,Actuals!$C:$C,3,Actuals!$D:$D,$B$1042,Actuals!$A:$A,LEFT($D$1042,FIND("|",$D$1042&amp;"|")-1),Actuals!$E:$E,MID($D$1042,FIND("|",$D$1042&amp;"|")+1,50),Actuals!$F:$F,"USD")*$F$5+SUMIFS(Actuals!$G:$G,Actuals!$B:$B,$C$3,Actuals!$C:$C,3,Actuals!$D:$D,$B$1042,Actuals!$A:$A,LEFT($D$1042,FIND("|",$D$1042&amp;"|")-1),Actuals!$E:$E,MID($D$1042,FIND("|",$D$1042&amp;"|")+1,50),Actuals!$F:$F,"EUR")*$G$5+SUMIFS(Actuals!$G:$G,Actuals!$B:$B,$C$3,Actuals!$C:$C,3,Actuals!$D:$D,$B$1042,Actuals!$A:$A,LEFT($D$1042,FIND("|",$D$1042&amp;"|")-1),Actuals!$E:$E,MID($D$1042,FIND("|",$D$1042&amp;"|")+1,50),Actuals!$F:$F,"GBP")*$H$5)</f>
        <v/>
      </c>
      <c r="K1043" s="18">
        <f>IF(OR($B$1042="",4&gt;$C$4),"",SUMIFS(Actuals!$G:$G,Actuals!$B:$B,$C$3,Actuals!$C:$C,4,Actuals!$D:$D,$B$1042,Actuals!$A:$A,LEFT($D$1042,FIND("|",$D$1042&amp;"|")-1),Actuals!$E:$E,MID($D$1042,FIND("|",$D$1042&amp;"|")+1,50),Actuals!$F:$F,"JPY")*$E$5+SUMIFS(Actuals!$G:$G,Actuals!$B:$B,$C$3,Actuals!$C:$C,4,Actuals!$D:$D,$B$1042,Actuals!$A:$A,LEFT($D$1042,FIND("|",$D$1042&amp;"|")-1),Actuals!$E:$E,MID($D$1042,FIND("|",$D$1042&amp;"|")+1,50),Actuals!$F:$F,"USD")*$F$5+SUMIFS(Actuals!$G:$G,Actuals!$B:$B,$C$3,Actuals!$C:$C,4,Actuals!$D:$D,$B$1042,Actuals!$A:$A,LEFT($D$1042,FIND("|",$D$1042&amp;"|")-1),Actuals!$E:$E,MID($D$1042,FIND("|",$D$1042&amp;"|")+1,50),Actuals!$F:$F,"EUR")*$G$5+SUMIFS(Actuals!$G:$G,Actuals!$B:$B,$C$3,Actuals!$C:$C,4,Actuals!$D:$D,$B$1042,Actuals!$A:$A,LEFT($D$1042,FIND("|",$D$1042&amp;"|")-1),Actuals!$E:$E,MID($D$1042,FIND("|",$D$1042&amp;"|")+1,50),Actuals!$F:$F,"GBP")*$H$5)</f>
        <v/>
      </c>
      <c r="L1043" s="18">
        <f>IF(OR($B$1042="",5&gt;$C$4),"",SUMIFS(Actuals!$G:$G,Actuals!$B:$B,$C$3,Actuals!$C:$C,5,Actuals!$D:$D,$B$1042,Actuals!$A:$A,LEFT($D$1042,FIND("|",$D$1042&amp;"|")-1),Actuals!$E:$E,MID($D$1042,FIND("|",$D$1042&amp;"|")+1,50),Actuals!$F:$F,"JPY")*$E$5+SUMIFS(Actuals!$G:$G,Actuals!$B:$B,$C$3,Actuals!$C:$C,5,Actuals!$D:$D,$B$1042,Actuals!$A:$A,LEFT($D$1042,FIND("|",$D$1042&amp;"|")-1),Actuals!$E:$E,MID($D$1042,FIND("|",$D$1042&amp;"|")+1,50),Actuals!$F:$F,"USD")*$F$5+SUMIFS(Actuals!$G:$G,Actuals!$B:$B,$C$3,Actuals!$C:$C,5,Actuals!$D:$D,$B$1042,Actuals!$A:$A,LEFT($D$1042,FIND("|",$D$1042&amp;"|")-1),Actuals!$E:$E,MID($D$1042,FIND("|",$D$1042&amp;"|")+1,50),Actuals!$F:$F,"EUR")*$G$5+SUMIFS(Actuals!$G:$G,Actuals!$B:$B,$C$3,Actuals!$C:$C,5,Actuals!$D:$D,$B$1042,Actuals!$A:$A,LEFT($D$1042,FIND("|",$D$1042&amp;"|")-1),Actuals!$E:$E,MID($D$1042,FIND("|",$D$1042&amp;"|")+1,50),Actuals!$F:$F,"GBP")*$H$5)</f>
        <v/>
      </c>
      <c r="M1043" s="18">
        <f>IF(OR($B$1042="",6&gt;$C$4),"",SUMIFS(Actuals!$G:$G,Actuals!$B:$B,$C$3,Actuals!$C:$C,6,Actuals!$D:$D,$B$1042,Actuals!$A:$A,LEFT($D$1042,FIND("|",$D$1042&amp;"|")-1),Actuals!$E:$E,MID($D$1042,FIND("|",$D$1042&amp;"|")+1,50),Actuals!$F:$F,"JPY")*$E$5+SUMIFS(Actuals!$G:$G,Actuals!$B:$B,$C$3,Actuals!$C:$C,6,Actuals!$D:$D,$B$1042,Actuals!$A:$A,LEFT($D$1042,FIND("|",$D$1042&amp;"|")-1),Actuals!$E:$E,MID($D$1042,FIND("|",$D$1042&amp;"|")+1,50),Actuals!$F:$F,"USD")*$F$5+SUMIFS(Actuals!$G:$G,Actuals!$B:$B,$C$3,Actuals!$C:$C,6,Actuals!$D:$D,$B$1042,Actuals!$A:$A,LEFT($D$1042,FIND("|",$D$1042&amp;"|")-1),Actuals!$E:$E,MID($D$1042,FIND("|",$D$1042&amp;"|")+1,50),Actuals!$F:$F,"EUR")*$G$5+SUMIFS(Actuals!$G:$G,Actuals!$B:$B,$C$3,Actuals!$C:$C,6,Actuals!$D:$D,$B$1042,Actuals!$A:$A,LEFT($D$1042,FIND("|",$D$1042&amp;"|")-1),Actuals!$E:$E,MID($D$1042,FIND("|",$D$1042&amp;"|")+1,50),Actuals!$F:$F,"GBP")*$H$5)</f>
        <v/>
      </c>
      <c r="N1043" s="18">
        <f>IF(OR($B$1042="",7&gt;$C$4),"",SUMIFS(Actuals!$G:$G,Actuals!$B:$B,$C$3,Actuals!$C:$C,7,Actuals!$D:$D,$B$1042,Actuals!$A:$A,LEFT($D$1042,FIND("|",$D$1042&amp;"|")-1),Actuals!$E:$E,MID($D$1042,FIND("|",$D$1042&amp;"|")+1,50),Actuals!$F:$F,"JPY")*$E$5+SUMIFS(Actuals!$G:$G,Actuals!$B:$B,$C$3,Actuals!$C:$C,7,Actuals!$D:$D,$B$1042,Actuals!$A:$A,LEFT($D$1042,FIND("|",$D$1042&amp;"|")-1),Actuals!$E:$E,MID($D$1042,FIND("|",$D$1042&amp;"|")+1,50),Actuals!$F:$F,"USD")*$F$5+SUMIFS(Actuals!$G:$G,Actuals!$B:$B,$C$3,Actuals!$C:$C,7,Actuals!$D:$D,$B$1042,Actuals!$A:$A,LEFT($D$1042,FIND("|",$D$1042&amp;"|")-1),Actuals!$E:$E,MID($D$1042,FIND("|",$D$1042&amp;"|")+1,50),Actuals!$F:$F,"EUR")*$G$5+SUMIFS(Actuals!$G:$G,Actuals!$B:$B,$C$3,Actuals!$C:$C,7,Actuals!$D:$D,$B$1042,Actuals!$A:$A,LEFT($D$1042,FIND("|",$D$1042&amp;"|")-1),Actuals!$E:$E,MID($D$1042,FIND("|",$D$1042&amp;"|")+1,50),Actuals!$F:$F,"GBP")*$H$5)</f>
        <v/>
      </c>
      <c r="O1043" s="18">
        <f>IF(OR($B$1042="",8&gt;$C$4),"",SUMIFS(Actuals!$G:$G,Actuals!$B:$B,$C$3,Actuals!$C:$C,8,Actuals!$D:$D,$B$1042,Actuals!$A:$A,LEFT($D$1042,FIND("|",$D$1042&amp;"|")-1),Actuals!$E:$E,MID($D$1042,FIND("|",$D$1042&amp;"|")+1,50),Actuals!$F:$F,"JPY")*$E$5+SUMIFS(Actuals!$G:$G,Actuals!$B:$B,$C$3,Actuals!$C:$C,8,Actuals!$D:$D,$B$1042,Actuals!$A:$A,LEFT($D$1042,FIND("|",$D$1042&amp;"|")-1),Actuals!$E:$E,MID($D$1042,FIND("|",$D$1042&amp;"|")+1,50),Actuals!$F:$F,"USD")*$F$5+SUMIFS(Actuals!$G:$G,Actuals!$B:$B,$C$3,Actuals!$C:$C,8,Actuals!$D:$D,$B$1042,Actuals!$A:$A,LEFT($D$1042,FIND("|",$D$1042&amp;"|")-1),Actuals!$E:$E,MID($D$1042,FIND("|",$D$1042&amp;"|")+1,50),Actuals!$F:$F,"EUR")*$G$5+SUMIFS(Actuals!$G:$G,Actuals!$B:$B,$C$3,Actuals!$C:$C,8,Actuals!$D:$D,$B$1042,Actuals!$A:$A,LEFT($D$1042,FIND("|",$D$1042&amp;"|")-1),Actuals!$E:$E,MID($D$1042,FIND("|",$D$1042&amp;"|")+1,50),Actuals!$F:$F,"GBP")*$H$5)</f>
        <v/>
      </c>
      <c r="P1043" s="18">
        <f>IF(OR($B$1042="",9&gt;$C$4),"",SUMIFS(Actuals!$G:$G,Actuals!$B:$B,$C$3,Actuals!$C:$C,9,Actuals!$D:$D,$B$1042,Actuals!$A:$A,LEFT($D$1042,FIND("|",$D$1042&amp;"|")-1),Actuals!$E:$E,MID($D$1042,FIND("|",$D$1042&amp;"|")+1,50),Actuals!$F:$F,"JPY")*$E$5+SUMIFS(Actuals!$G:$G,Actuals!$B:$B,$C$3,Actuals!$C:$C,9,Actuals!$D:$D,$B$1042,Actuals!$A:$A,LEFT($D$1042,FIND("|",$D$1042&amp;"|")-1),Actuals!$E:$E,MID($D$1042,FIND("|",$D$1042&amp;"|")+1,50),Actuals!$F:$F,"USD")*$F$5+SUMIFS(Actuals!$G:$G,Actuals!$B:$B,$C$3,Actuals!$C:$C,9,Actuals!$D:$D,$B$1042,Actuals!$A:$A,LEFT($D$1042,FIND("|",$D$1042&amp;"|")-1),Actuals!$E:$E,MID($D$1042,FIND("|",$D$1042&amp;"|")+1,50),Actuals!$F:$F,"EUR")*$G$5+SUMIFS(Actuals!$G:$G,Actuals!$B:$B,$C$3,Actuals!$C:$C,9,Actuals!$D:$D,$B$1042,Actuals!$A:$A,LEFT($D$1042,FIND("|",$D$1042&amp;"|")-1),Actuals!$E:$E,MID($D$1042,FIND("|",$D$1042&amp;"|")+1,50),Actuals!$F:$F,"GBP")*$H$5)</f>
        <v/>
      </c>
      <c r="Q1043" s="18">
        <f>IF(OR($B$1042="",10&gt;$C$4),"",SUMIFS(Actuals!$G:$G,Actuals!$B:$B,$C$3,Actuals!$C:$C,10,Actuals!$D:$D,$B$1042,Actuals!$A:$A,LEFT($D$1042,FIND("|",$D$1042&amp;"|")-1),Actuals!$E:$E,MID($D$1042,FIND("|",$D$1042&amp;"|")+1,50),Actuals!$F:$F,"JPY")*$E$5+SUMIFS(Actuals!$G:$G,Actuals!$B:$B,$C$3,Actuals!$C:$C,10,Actuals!$D:$D,$B$1042,Actuals!$A:$A,LEFT($D$1042,FIND("|",$D$1042&amp;"|")-1),Actuals!$E:$E,MID($D$1042,FIND("|",$D$1042&amp;"|")+1,50),Actuals!$F:$F,"USD")*$F$5+SUMIFS(Actuals!$G:$G,Actuals!$B:$B,$C$3,Actuals!$C:$C,10,Actuals!$D:$D,$B$1042,Actuals!$A:$A,LEFT($D$1042,FIND("|",$D$1042&amp;"|")-1),Actuals!$E:$E,MID($D$1042,FIND("|",$D$1042&amp;"|")+1,50),Actuals!$F:$F,"EUR")*$G$5+SUMIFS(Actuals!$G:$G,Actuals!$B:$B,$C$3,Actuals!$C:$C,10,Actuals!$D:$D,$B$1042,Actuals!$A:$A,LEFT($D$1042,FIND("|",$D$1042&amp;"|")-1),Actuals!$E:$E,MID($D$1042,FIND("|",$D$1042&amp;"|")+1,50),Actuals!$F:$F,"GBP")*$H$5)</f>
        <v/>
      </c>
      <c r="R1043" s="18">
        <f>IF(OR($B$1042="",11&gt;$C$4),"",SUMIFS(Actuals!$G:$G,Actuals!$B:$B,$C$3,Actuals!$C:$C,11,Actuals!$D:$D,$B$1042,Actuals!$A:$A,LEFT($D$1042,FIND("|",$D$1042&amp;"|")-1),Actuals!$E:$E,MID($D$1042,FIND("|",$D$1042&amp;"|")+1,50),Actuals!$F:$F,"JPY")*$E$5+SUMIFS(Actuals!$G:$G,Actuals!$B:$B,$C$3,Actuals!$C:$C,11,Actuals!$D:$D,$B$1042,Actuals!$A:$A,LEFT($D$1042,FIND("|",$D$1042&amp;"|")-1),Actuals!$E:$E,MID($D$1042,FIND("|",$D$1042&amp;"|")+1,50),Actuals!$F:$F,"USD")*$F$5+SUMIFS(Actuals!$G:$G,Actuals!$B:$B,$C$3,Actuals!$C:$C,11,Actuals!$D:$D,$B$1042,Actuals!$A:$A,LEFT($D$1042,FIND("|",$D$1042&amp;"|")-1),Actuals!$E:$E,MID($D$1042,FIND("|",$D$1042&amp;"|")+1,50),Actuals!$F:$F,"EUR")*$G$5+SUMIFS(Actuals!$G:$G,Actuals!$B:$B,$C$3,Actuals!$C:$C,11,Actuals!$D:$D,$B$1042,Actuals!$A:$A,LEFT($D$1042,FIND("|",$D$1042&amp;"|")-1),Actuals!$E:$E,MID($D$1042,FIND("|",$D$1042&amp;"|")+1,50),Actuals!$F:$F,"GBP")*$H$5)</f>
        <v/>
      </c>
      <c r="S1043" s="18">
        <f>IF(OR($B$1042="",12&gt;$C$4),"",SUMIFS(Actuals!$G:$G,Actuals!$B:$B,$C$3,Actuals!$C:$C,12,Actuals!$D:$D,$B$1042,Actuals!$A:$A,LEFT($D$1042,FIND("|",$D$1042&amp;"|")-1),Actuals!$E:$E,MID($D$1042,FIND("|",$D$1042&amp;"|")+1,50),Actuals!$F:$F,"JPY")*$E$5+SUMIFS(Actuals!$G:$G,Actuals!$B:$B,$C$3,Actuals!$C:$C,12,Actuals!$D:$D,$B$1042,Actuals!$A:$A,LEFT($D$1042,FIND("|",$D$1042&amp;"|")-1),Actuals!$E:$E,MID($D$1042,FIND("|",$D$1042&amp;"|")+1,50),Actuals!$F:$F,"USD")*$F$5+SUMIFS(Actuals!$G:$G,Actuals!$B:$B,$C$3,Actuals!$C:$C,12,Actuals!$D:$D,$B$1042,Actuals!$A:$A,LEFT($D$1042,FIND("|",$D$1042&amp;"|")-1),Actuals!$E:$E,MID($D$1042,FIND("|",$D$1042&amp;"|")+1,50),Actuals!$F:$F,"EUR")*$G$5+SUMIFS(Actuals!$G:$G,Actuals!$B:$B,$C$3,Actuals!$C:$C,12,Actuals!$D:$D,$B$1042,Actuals!$A:$A,LEFT($D$1042,FIND("|",$D$1042&amp;"|")-1),Actuals!$E:$E,MID($D$1042,FIND("|",$D$1042&amp;"|")+1,50),Actuals!$F:$F,"GBP")*$H$5)</f>
        <v/>
      </c>
      <c r="T1043" s="18">
        <f>IF($B$1042="","",SUMIF($H$7:$S$7,"&lt;="&amp;$C$4,$H1043:$S1043))</f>
        <v/>
      </c>
      <c r="U1043" s="18" t="n"/>
      <c r="V1043" s="18" t="n"/>
      <c r="X1043" s="22">
        <f>IF($B1043="","",IFERROR(INDEX(Cost_Centers!$E:$E,MATCH($B1043,Cost_Centers!$A:$A,0)),"(unknown)"))</f>
        <v/>
      </c>
      <c r="Y1043" s="22">
        <f>IF($B1043="","",IFERROR(INDEX(Cost_Centers!$D:$D,MATCH($B1043,Cost_Centers!$A:$A,0)),"(unknown)"))</f>
        <v/>
      </c>
      <c r="Z1043" s="22">
        <f>IF(OR($B1043="",$G1043&lt;&gt;"Variance vs Budget"),"",ABS(N($V1043))+ROW()/1000000000)</f>
        <v/>
      </c>
    </row>
    <row r="1044">
      <c r="A1044" s="13">
        <f>IF(A$1042="","",A$1042)</f>
        <v/>
      </c>
      <c r="B1044" s="13">
        <f>IF(B$1042="","",B$1042)</f>
        <v/>
      </c>
      <c r="C1044" s="13">
        <f>IF(C$1042="","",C$1042)</f>
        <v/>
      </c>
      <c r="D1044" s="13">
        <f>IF(D$1042="","",D$1042)</f>
        <v/>
      </c>
      <c r="E1044" s="13">
        <f>IF(E$1042="","",E$1042)</f>
        <v/>
      </c>
      <c r="F1044" s="13">
        <f>IF(F$1042="","",F$1042)</f>
        <v/>
      </c>
      <c r="G1044" s="6" t="inlineStr">
        <is>
          <t>Variance vs Budget</t>
        </is>
      </c>
      <c r="H1044" s="33">
        <f>IF(OR($B$1042="",1&gt;$C$4),"",N(H1043)-H1042)</f>
        <v/>
      </c>
      <c r="I1044" s="33">
        <f>IF(OR($B$1042="",2&gt;$C$4),"",N(I1043)-I1042)</f>
        <v/>
      </c>
      <c r="J1044" s="33">
        <f>IF(OR($B$1042="",3&gt;$C$4),"",N(J1043)-J1042)</f>
        <v/>
      </c>
      <c r="K1044" s="33">
        <f>IF(OR($B$1042="",4&gt;$C$4),"",N(K1043)-K1042)</f>
        <v/>
      </c>
      <c r="L1044" s="33">
        <f>IF(OR($B$1042="",5&gt;$C$4),"",N(L1043)-L1042)</f>
        <v/>
      </c>
      <c r="M1044" s="33">
        <f>IF(OR($B$1042="",6&gt;$C$4),"",N(M1043)-M1042)</f>
        <v/>
      </c>
      <c r="N1044" s="33">
        <f>IF(OR($B$1042="",7&gt;$C$4),"",N(N1043)-N1042)</f>
        <v/>
      </c>
      <c r="O1044" s="33">
        <f>IF(OR($B$1042="",8&gt;$C$4),"",N(O1043)-O1042)</f>
        <v/>
      </c>
      <c r="P1044" s="33">
        <f>IF(OR($B$1042="",9&gt;$C$4),"",N(P1043)-P1042)</f>
        <v/>
      </c>
      <c r="Q1044" s="33">
        <f>IF(OR($B$1042="",10&gt;$C$4),"",N(Q1043)-Q1042)</f>
        <v/>
      </c>
      <c r="R1044" s="33">
        <f>IF(OR($B$1042="",11&gt;$C$4),"",N(R1043)-R1042)</f>
        <v/>
      </c>
      <c r="S1044" s="33">
        <f>IF(OR($B$1042="",12&gt;$C$4),"",N(S1043)-S1042)</f>
        <v/>
      </c>
      <c r="T1044" s="33">
        <f>IF($B$1042="","",T1043-T1042)</f>
        <v/>
      </c>
      <c r="U1044" s="33">
        <f>IF($B$1042="","",U1046-U1042)</f>
        <v/>
      </c>
      <c r="V1044" s="33">
        <f>IF($B$1042="","",V1046-V1042)</f>
        <v/>
      </c>
      <c r="X1044" s="22">
        <f>IF($B1044="","",IFERROR(INDEX(Cost_Centers!$E:$E,MATCH($B1044,Cost_Centers!$A:$A,0)),"(unknown)"))</f>
        <v/>
      </c>
      <c r="Y1044" s="22">
        <f>IF($B1044="","",IFERROR(INDEX(Cost_Centers!$D:$D,MATCH($B1044,Cost_Centers!$A:$A,0)),"(unknown)"))</f>
        <v/>
      </c>
      <c r="Z1044" s="22">
        <f>IF(OR($B1044="",$G1044&lt;&gt;"Variance vs Budget"),"",ABS(N($V1044))+ROW()/1000000000)</f>
        <v/>
      </c>
    </row>
    <row r="1045">
      <c r="A1045" s="13">
        <f>IF(A$1042="","",A$1042)</f>
        <v/>
      </c>
      <c r="B1045" s="13">
        <f>IF(B$1042="","",B$1042)</f>
        <v/>
      </c>
      <c r="C1045" s="13">
        <f>IF(C$1042="","",C$1042)</f>
        <v/>
      </c>
      <c r="D1045" s="13">
        <f>IF(D$1042="","",D$1042)</f>
        <v/>
      </c>
      <c r="E1045" s="13">
        <f>IF(E$1042="","",E$1042)</f>
        <v/>
      </c>
      <c r="F1045" s="13">
        <f>IF(F$1042="","",F$1042)</f>
        <v/>
      </c>
      <c r="G1045" s="7" t="inlineStr">
        <is>
          <t>Forecast (input)</t>
        </is>
      </c>
      <c r="H1045" s="34" t="n"/>
      <c r="I1045" s="34" t="n"/>
      <c r="J1045" s="34" t="n"/>
      <c r="K1045" s="34" t="n"/>
      <c r="L1045" s="34" t="n"/>
      <c r="M1045" s="34" t="n"/>
      <c r="N1045" s="34" t="n"/>
      <c r="O1045" s="34" t="n"/>
      <c r="P1045" s="34" t="n"/>
      <c r="Q1045" s="34" t="n"/>
      <c r="R1045" s="34" t="n"/>
      <c r="S1045" s="34" t="n"/>
      <c r="T1045" s="18" t="n"/>
      <c r="U1045" s="18" t="n"/>
      <c r="V1045" s="18" t="n"/>
      <c r="X1045" s="22">
        <f>IF($B1045="","",IFERROR(INDEX(Cost_Centers!$E:$E,MATCH($B1045,Cost_Centers!$A:$A,0)),"(unknown)"))</f>
        <v/>
      </c>
      <c r="Y1045" s="22">
        <f>IF($B1045="","",IFERROR(INDEX(Cost_Centers!$D:$D,MATCH($B1045,Cost_Centers!$A:$A,0)),"(unknown)"))</f>
        <v/>
      </c>
      <c r="Z1045" s="22">
        <f>IF(OR($B1045="",$G1045&lt;&gt;"Variance vs Budget"),"",ABS(N($V1045))+ROW()/1000000000)</f>
        <v/>
      </c>
    </row>
    <row r="1046">
      <c r="A1046" s="13">
        <f>IF(A$1042="","",A$1042)</f>
        <v/>
      </c>
      <c r="B1046" s="13">
        <f>IF(B$1042="","",B$1042)</f>
        <v/>
      </c>
      <c r="C1046" s="13">
        <f>IF(C$1042="","",C$1042)</f>
        <v/>
      </c>
      <c r="D1046" s="13">
        <f>IF(D$1042="","",D$1042)</f>
        <v/>
      </c>
      <c r="E1046" s="13">
        <f>IF(E$1042="","",E$1042)</f>
        <v/>
      </c>
      <c r="F1046" s="13">
        <f>IF(F$1042="","",F$1042)</f>
        <v/>
      </c>
      <c r="G1046" s="35" t="inlineStr">
        <is>
          <t>Actual + Forecast</t>
        </is>
      </c>
      <c r="H1046" s="18">
        <f>IF($B$1042="","",IF(1&lt;=$C$4,N(H1043),IF(H1045="",H1042,H1045)))</f>
        <v/>
      </c>
      <c r="I1046" s="18">
        <f>IF($B$1042="","",IF(2&lt;=$C$4,N(I1043),IF(I1045="",I1042,I1045)))</f>
        <v/>
      </c>
      <c r="J1046" s="18">
        <f>IF($B$1042="","",IF(3&lt;=$C$4,N(J1043),IF(J1045="",J1042,J1045)))</f>
        <v/>
      </c>
      <c r="K1046" s="18">
        <f>IF($B$1042="","",IF(4&lt;=$C$4,N(K1043),IF(K1045="",K1042,K1045)))</f>
        <v/>
      </c>
      <c r="L1046" s="18">
        <f>IF($B$1042="","",IF(5&lt;=$C$4,N(L1043),IF(L1045="",L1042,L1045)))</f>
        <v/>
      </c>
      <c r="M1046" s="18">
        <f>IF($B$1042="","",IF(6&lt;=$C$4,N(M1043),IF(M1045="",M1042,M1045)))</f>
        <v/>
      </c>
      <c r="N1046" s="18">
        <f>IF($B$1042="","",IF(7&lt;=$C$4,N(N1043),IF(N1045="",N1042,N1045)))</f>
        <v/>
      </c>
      <c r="O1046" s="18">
        <f>IF($B$1042="","",IF(8&lt;=$C$4,N(O1043),IF(O1045="",O1042,O1045)))</f>
        <v/>
      </c>
      <c r="P1046" s="18">
        <f>IF($B$1042="","",IF(9&lt;=$C$4,N(P1043),IF(P1045="",P1042,P1045)))</f>
        <v/>
      </c>
      <c r="Q1046" s="18">
        <f>IF($B$1042="","",IF(10&lt;=$C$4,N(Q1043),IF(Q1045="",Q1042,Q1045)))</f>
        <v/>
      </c>
      <c r="R1046" s="18">
        <f>IF($B$1042="","",IF(11&lt;=$C$4,N(R1043),IF(R1045="",R1042,R1045)))</f>
        <v/>
      </c>
      <c r="S1046" s="18">
        <f>IF($B$1042="","",IF(12&lt;=$C$4,N(S1043),IF(S1045="",S1042,S1045)))</f>
        <v/>
      </c>
      <c r="T1046" s="18">
        <f>IF($B$1042="","",SUMIF($H$7:$S$7,"&lt;="&amp;$C$4,$H1046:$S1046))</f>
        <v/>
      </c>
      <c r="U1046" s="18">
        <f>IF($B$1042="","",SUMIF($H$7:$S$7,"&gt;"&amp;$C$4,$H1046:$S1046))</f>
        <v/>
      </c>
      <c r="V1046" s="18">
        <f>IF($B$1042="","",SUM($H1046:$S1046))</f>
        <v/>
      </c>
      <c r="X1046" s="22">
        <f>IF($B1046="","",IFERROR(INDEX(Cost_Centers!$E:$E,MATCH($B1046,Cost_Centers!$A:$A,0)),"(unknown)"))</f>
        <v/>
      </c>
      <c r="Y1046" s="22">
        <f>IF($B1046="","",IFERROR(INDEX(Cost_Centers!$D:$D,MATCH($B1046,Cost_Centers!$A:$A,0)),"(unknown)"))</f>
        <v/>
      </c>
      <c r="Z1046" s="22">
        <f>IF(OR($B1046="",$G1046&lt;&gt;"Variance vs Budget"),"",ABS(N($V1046))+ROW()/1000000000)</f>
        <v/>
      </c>
    </row>
    <row r="1047">
      <c r="A1047" s="13">
        <f>IF(A$1042="","",A$1042)</f>
        <v/>
      </c>
      <c r="B1047" s="13">
        <f>IF(B$1042="","",B$1042)</f>
        <v/>
      </c>
      <c r="C1047" s="13">
        <f>IF(C$1042="","",C$1042)</f>
        <v/>
      </c>
      <c r="D1047" s="13">
        <f>IF(D$1042="","",D$1042)</f>
        <v/>
      </c>
      <c r="E1047" s="13">
        <f>IF(E$1042="","",E$1042)</f>
        <v/>
      </c>
      <c r="F1047" s="13">
        <f>IF(F$1042="","",F$1042)</f>
        <v/>
      </c>
      <c r="G1047" s="36" t="inlineStr">
        <is>
          <t>Prior Month Forecast</t>
        </is>
      </c>
      <c r="H1047" s="37">
        <f>IF($B$1042="","",IF(COUNTIFS(Prior_Forecast!$A:$A,$B$1042,Prior_Forecast!$B:$B,$D$1042)&gt;0,SUMIFS(Prior_Forecast!$C:$C,Prior_Forecast!$A:$A,$B$1042,Prior_Forecast!$B:$B,$D$1042),""))</f>
        <v/>
      </c>
      <c r="I1047" s="37">
        <f>IF($B$1042="","",IF(COUNTIFS(Prior_Forecast!$A:$A,$B$1042,Prior_Forecast!$B:$B,$D$1042)&gt;0,SUMIFS(Prior_Forecast!$D:$D,Prior_Forecast!$A:$A,$B$1042,Prior_Forecast!$B:$B,$D$1042),""))</f>
        <v/>
      </c>
      <c r="J1047" s="37">
        <f>IF($B$1042="","",IF(COUNTIFS(Prior_Forecast!$A:$A,$B$1042,Prior_Forecast!$B:$B,$D$1042)&gt;0,SUMIFS(Prior_Forecast!$E:$E,Prior_Forecast!$A:$A,$B$1042,Prior_Forecast!$B:$B,$D$1042),""))</f>
        <v/>
      </c>
      <c r="K1047" s="37">
        <f>IF($B$1042="","",IF(COUNTIFS(Prior_Forecast!$A:$A,$B$1042,Prior_Forecast!$B:$B,$D$1042)&gt;0,SUMIFS(Prior_Forecast!$F:$F,Prior_Forecast!$A:$A,$B$1042,Prior_Forecast!$B:$B,$D$1042),""))</f>
        <v/>
      </c>
      <c r="L1047" s="37">
        <f>IF($B$1042="","",IF(COUNTIFS(Prior_Forecast!$A:$A,$B$1042,Prior_Forecast!$B:$B,$D$1042)&gt;0,SUMIFS(Prior_Forecast!$G:$G,Prior_Forecast!$A:$A,$B$1042,Prior_Forecast!$B:$B,$D$1042),""))</f>
        <v/>
      </c>
      <c r="M1047" s="37">
        <f>IF($B$1042="","",IF(COUNTIFS(Prior_Forecast!$A:$A,$B$1042,Prior_Forecast!$B:$B,$D$1042)&gt;0,SUMIFS(Prior_Forecast!$H:$H,Prior_Forecast!$A:$A,$B$1042,Prior_Forecast!$B:$B,$D$1042),""))</f>
        <v/>
      </c>
      <c r="N1047" s="37">
        <f>IF($B$1042="","",IF(COUNTIFS(Prior_Forecast!$A:$A,$B$1042,Prior_Forecast!$B:$B,$D$1042)&gt;0,SUMIFS(Prior_Forecast!$I:$I,Prior_Forecast!$A:$A,$B$1042,Prior_Forecast!$B:$B,$D$1042),""))</f>
        <v/>
      </c>
      <c r="O1047" s="37">
        <f>IF($B$1042="","",IF(COUNTIFS(Prior_Forecast!$A:$A,$B$1042,Prior_Forecast!$B:$B,$D$1042)&gt;0,SUMIFS(Prior_Forecast!$J:$J,Prior_Forecast!$A:$A,$B$1042,Prior_Forecast!$B:$B,$D$1042),""))</f>
        <v/>
      </c>
      <c r="P1047" s="37">
        <f>IF($B$1042="","",IF(COUNTIFS(Prior_Forecast!$A:$A,$B$1042,Prior_Forecast!$B:$B,$D$1042)&gt;0,SUMIFS(Prior_Forecast!$K:$K,Prior_Forecast!$A:$A,$B$1042,Prior_Forecast!$B:$B,$D$1042),""))</f>
        <v/>
      </c>
      <c r="Q1047" s="37">
        <f>IF($B$1042="","",IF(COUNTIFS(Prior_Forecast!$A:$A,$B$1042,Prior_Forecast!$B:$B,$D$1042)&gt;0,SUMIFS(Prior_Forecast!$L:$L,Prior_Forecast!$A:$A,$B$1042,Prior_Forecast!$B:$B,$D$1042),""))</f>
        <v/>
      </c>
      <c r="R1047" s="37">
        <f>IF($B$1042="","",IF(COUNTIFS(Prior_Forecast!$A:$A,$B$1042,Prior_Forecast!$B:$B,$D$1042)&gt;0,SUMIFS(Prior_Forecast!$M:$M,Prior_Forecast!$A:$A,$B$1042,Prior_Forecast!$B:$B,$D$1042),""))</f>
        <v/>
      </c>
      <c r="S1047" s="37">
        <f>IF($B$1042="","",IF(COUNTIFS(Prior_Forecast!$A:$A,$B$1042,Prior_Forecast!$B:$B,$D$1042)&gt;0,SUMIFS(Prior_Forecast!$N:$N,Prior_Forecast!$A:$A,$B$1042,Prior_Forecast!$B:$B,$D$1042),""))</f>
        <v/>
      </c>
      <c r="T1047" s="37">
        <f>IF($B$1042="","",IF(COUNTIFS(Prior_Forecast!$A:$A,$B$1042,Prior_Forecast!$B:$B,$D$1042)&gt;0,SUMIFS(Prior_Forecast!$O:$O,Prior_Forecast!$A:$A,$B$1042,Prior_Forecast!$B:$B,$D$1042),""))</f>
        <v/>
      </c>
      <c r="U1047" s="37">
        <f>IF($B$1042="","",IF(COUNTIFS(Prior_Forecast!$A:$A,$B$1042,Prior_Forecast!$B:$B,$D$1042)&gt;0,SUMIFS(Prior_Forecast!$P:$P,Prior_Forecast!$A:$A,$B$1042,Prior_Forecast!$B:$B,$D$1042),""))</f>
        <v/>
      </c>
      <c r="V1047" s="37">
        <f>IF($B$1042="","",IF(COUNTIFS(Prior_Forecast!$A:$A,$B$1042,Prior_Forecast!$B:$B,$D$1042)&gt;0,SUMIFS(Prior_Forecast!$Q:$Q,Prior_Forecast!$A:$A,$B$1042,Prior_Forecast!$B:$B,$D$1042),""))</f>
        <v/>
      </c>
      <c r="X1047" s="22">
        <f>IF($B1047="","",IFERROR(INDEX(Cost_Centers!$E:$E,MATCH($B1047,Cost_Centers!$A:$A,0)),"(unknown)"))</f>
        <v/>
      </c>
      <c r="Y1047" s="22">
        <f>IF($B1047="","",IFERROR(INDEX(Cost_Centers!$D:$D,MATCH($B1047,Cost_Centers!$A:$A,0)),"(unknown)"))</f>
        <v/>
      </c>
      <c r="Z1047" s="22">
        <f>IF(OR($B1047="",$G1047&lt;&gt;"Variance vs Budget"),"",ABS(N($V1047))+ROW()/1000000000)</f>
        <v/>
      </c>
    </row>
    <row r="1048">
      <c r="A1048" s="13">
        <f>IF(A$1042="","",A$1042)</f>
        <v/>
      </c>
      <c r="B1048" s="13">
        <f>IF(B$1042="","",B$1042)</f>
        <v/>
      </c>
      <c r="C1048" s="13">
        <f>IF(C$1042="","",C$1042)</f>
        <v/>
      </c>
      <c r="D1048" s="13">
        <f>IF(D$1042="","",D$1042)</f>
        <v/>
      </c>
      <c r="E1048" s="13">
        <f>IF(E$1042="","",E$1042)</f>
        <v/>
      </c>
      <c r="F1048" s="13">
        <f>IF(F$1042="","",F$1042)</f>
        <v/>
      </c>
      <c r="G1048" s="6" t="inlineStr">
        <is>
          <t>Variance vs Prior Month</t>
        </is>
      </c>
      <c r="H1048" s="33">
        <f>IF(OR($B$1042="",H1047=""),"",H1046-H1047)</f>
        <v/>
      </c>
      <c r="I1048" s="33">
        <f>IF(OR($B$1042="",I1047=""),"",I1046-I1047)</f>
        <v/>
      </c>
      <c r="J1048" s="33">
        <f>IF(OR($B$1042="",J1047=""),"",J1046-J1047)</f>
        <v/>
      </c>
      <c r="K1048" s="33">
        <f>IF(OR($B$1042="",K1047=""),"",K1046-K1047)</f>
        <v/>
      </c>
      <c r="L1048" s="33">
        <f>IF(OR($B$1042="",L1047=""),"",L1046-L1047)</f>
        <v/>
      </c>
      <c r="M1048" s="33">
        <f>IF(OR($B$1042="",M1047=""),"",M1046-M1047)</f>
        <v/>
      </c>
      <c r="N1048" s="33">
        <f>IF(OR($B$1042="",N1047=""),"",N1046-N1047)</f>
        <v/>
      </c>
      <c r="O1048" s="33">
        <f>IF(OR($B$1042="",O1047=""),"",O1046-O1047)</f>
        <v/>
      </c>
      <c r="P1048" s="33">
        <f>IF(OR($B$1042="",P1047=""),"",P1046-P1047)</f>
        <v/>
      </c>
      <c r="Q1048" s="33">
        <f>IF(OR($B$1042="",Q1047=""),"",Q1046-Q1047)</f>
        <v/>
      </c>
      <c r="R1048" s="33">
        <f>IF(OR($B$1042="",R1047=""),"",R1046-R1047)</f>
        <v/>
      </c>
      <c r="S1048" s="33">
        <f>IF(OR($B$1042="",S1047=""),"",S1046-S1047)</f>
        <v/>
      </c>
      <c r="T1048" s="33">
        <f>IF(OR($B$1042="",T1047=""),"",T1046-T1047)</f>
        <v/>
      </c>
      <c r="U1048" s="33">
        <f>IF(OR($B$1042="",U1047=""),"",U1046-U1047)</f>
        <v/>
      </c>
      <c r="V1048" s="33">
        <f>IF(OR($B$1042="",V1047=""),"",V1046-V1047)</f>
        <v/>
      </c>
      <c r="X1048" s="22">
        <f>IF($B1048="","",IFERROR(INDEX(Cost_Centers!$E:$E,MATCH($B1048,Cost_Centers!$A:$A,0)),"(unknown)"))</f>
        <v/>
      </c>
      <c r="Y1048" s="22">
        <f>IF($B1048="","",IFERROR(INDEX(Cost_Centers!$D:$D,MATCH($B1048,Cost_Centers!$A:$A,0)),"(unknown)"))</f>
        <v/>
      </c>
      <c r="Z1048" s="22">
        <f>IF(OR($B1048="",$G1048&lt;&gt;"Variance vs Budget"),"",ABS(N($V1048))+ROW()/1000000000)</f>
        <v/>
      </c>
    </row>
    <row r="1049" ht="45" customHeight="1">
      <c r="A1049" s="13">
        <f>IF(A$1042="","",A$1042)</f>
        <v/>
      </c>
      <c r="B1049" s="13">
        <f>IF(B$1042="","",B$1042)</f>
        <v/>
      </c>
      <c r="C1049" s="13">
        <f>IF(C$1042="","",C$1042)</f>
        <v/>
      </c>
      <c r="D1049" s="13">
        <f>IF(D$1042="","",D$1042)</f>
        <v/>
      </c>
      <c r="E1049" s="13">
        <f>IF(E$1042="","",E$1042)</f>
        <v/>
      </c>
      <c r="F1049" s="13">
        <f>IF(F$1042="","",F$1042)</f>
        <v/>
      </c>
      <c r="G1049" s="7" t="inlineStr">
        <is>
          <t>Rationale</t>
        </is>
      </c>
      <c r="H1049" s="38" t="n"/>
      <c r="I1049" s="38" t="n"/>
      <c r="J1049" s="38" t="n"/>
      <c r="K1049" s="38" t="n"/>
      <c r="L1049" s="38" t="n"/>
      <c r="M1049" s="38" t="n"/>
      <c r="N1049" s="38" t="n"/>
      <c r="O1049" s="38" t="n"/>
      <c r="P1049" s="38" t="n"/>
      <c r="Q1049" s="38" t="n"/>
      <c r="R1049" s="38" t="n"/>
      <c r="S1049" s="38" t="n"/>
      <c r="T1049" s="38" t="n"/>
      <c r="U1049" s="38" t="n"/>
      <c r="V1049" s="7" t="n"/>
      <c r="X1049" s="22">
        <f>IF($B1049="","",IFERROR(INDEX(Cost_Centers!$E:$E,MATCH($B1049,Cost_Centers!$A:$A,0)),"(unknown)"))</f>
        <v/>
      </c>
      <c r="Y1049" s="22">
        <f>IF($B1049="","",IFERROR(INDEX(Cost_Centers!$D:$D,MATCH($B1049,Cost_Centers!$A:$A,0)),"(unknown)"))</f>
        <v/>
      </c>
      <c r="Z1049" s="22">
        <f>IF(OR($B1049="",$G1049&lt;&gt;"Variance vs Budget"),"",ABS(N($V1049))+ROW()/1000000000)</f>
        <v/>
      </c>
    </row>
    <row r="1050">
      <c r="A1050" s="30">
        <f>IF($D$1050="","",LEFT($D$1050,FIND("|",$D$1050&amp;"|")-1))</f>
        <v/>
      </c>
      <c r="B1050" s="31" t="n"/>
      <c r="C1050" s="30">
        <f>IF($B$1050="","",IFERROR(INDEX(Cost_Centers!$B:$B,MATCH($B$1050,Cost_Centers!$A:$A,0)),"(not in master)"))</f>
        <v/>
      </c>
      <c r="D1050" s="31" t="n"/>
      <c r="E1050" s="30">
        <f>IF($D$1050="","",IFERROR(INDEX(Accounts!$D:$D,MATCH($D$1050,Accounts!$A:$A,0)),"(not in master)"))</f>
        <v/>
      </c>
      <c r="F1050" s="31" t="n"/>
      <c r="G1050" s="30" t="inlineStr">
        <is>
          <t>Budget</t>
        </is>
      </c>
      <c r="H1050" s="32">
        <f>IF($B$1050="","",SUMIFS(Opex_Budget!$O:$O,Opex_Budget!$A:$A,$C$3,Opex_Budget!$E:$E,$B$1050,Opex_Budget!$F:$F,$D$1050,Opex_Budget!$N:$N,"JPY")*$E$5+SUMIFS(Opex_Budget!$O:$O,Opex_Budget!$A:$A,$C$3,Opex_Budget!$E:$E,$B$1050,Opex_Budget!$F:$F,$D$1050,Opex_Budget!$N:$N,"USD")*$F$5+SUMIFS(Opex_Budget!$O:$O,Opex_Budget!$A:$A,$C$3,Opex_Budget!$E:$E,$B$1050,Opex_Budget!$F:$F,$D$1050,Opex_Budget!$N:$N,"EUR")*$G$5+SUMIFS(Opex_Budget!$O:$O,Opex_Budget!$A:$A,$C$3,Opex_Budget!$E:$E,$B$1050,Opex_Budget!$F:$F,$D$1050,Opex_Budget!$N:$N,"GBP")*$H$5)</f>
        <v/>
      </c>
      <c r="I1050" s="32">
        <f>IF($B$1050="","",SUMIFS(Opex_Budget!$P:$P,Opex_Budget!$A:$A,$C$3,Opex_Budget!$E:$E,$B$1050,Opex_Budget!$F:$F,$D$1050,Opex_Budget!$N:$N,"JPY")*$E$5+SUMIFS(Opex_Budget!$P:$P,Opex_Budget!$A:$A,$C$3,Opex_Budget!$E:$E,$B$1050,Opex_Budget!$F:$F,$D$1050,Opex_Budget!$N:$N,"USD")*$F$5+SUMIFS(Opex_Budget!$P:$P,Opex_Budget!$A:$A,$C$3,Opex_Budget!$E:$E,$B$1050,Opex_Budget!$F:$F,$D$1050,Opex_Budget!$N:$N,"EUR")*$G$5+SUMIFS(Opex_Budget!$P:$P,Opex_Budget!$A:$A,$C$3,Opex_Budget!$E:$E,$B$1050,Opex_Budget!$F:$F,$D$1050,Opex_Budget!$N:$N,"GBP")*$H$5)</f>
        <v/>
      </c>
      <c r="J1050" s="32">
        <f>IF($B$1050="","",SUMIFS(Opex_Budget!$Q:$Q,Opex_Budget!$A:$A,$C$3,Opex_Budget!$E:$E,$B$1050,Opex_Budget!$F:$F,$D$1050,Opex_Budget!$N:$N,"JPY")*$E$5+SUMIFS(Opex_Budget!$Q:$Q,Opex_Budget!$A:$A,$C$3,Opex_Budget!$E:$E,$B$1050,Opex_Budget!$F:$F,$D$1050,Opex_Budget!$N:$N,"USD")*$F$5+SUMIFS(Opex_Budget!$Q:$Q,Opex_Budget!$A:$A,$C$3,Opex_Budget!$E:$E,$B$1050,Opex_Budget!$F:$F,$D$1050,Opex_Budget!$N:$N,"EUR")*$G$5+SUMIFS(Opex_Budget!$Q:$Q,Opex_Budget!$A:$A,$C$3,Opex_Budget!$E:$E,$B$1050,Opex_Budget!$F:$F,$D$1050,Opex_Budget!$N:$N,"GBP")*$H$5)</f>
        <v/>
      </c>
      <c r="K1050" s="32">
        <f>IF($B$1050="","",SUMIFS(Opex_Budget!$R:$R,Opex_Budget!$A:$A,$C$3,Opex_Budget!$E:$E,$B$1050,Opex_Budget!$F:$F,$D$1050,Opex_Budget!$N:$N,"JPY")*$E$5+SUMIFS(Opex_Budget!$R:$R,Opex_Budget!$A:$A,$C$3,Opex_Budget!$E:$E,$B$1050,Opex_Budget!$F:$F,$D$1050,Opex_Budget!$N:$N,"USD")*$F$5+SUMIFS(Opex_Budget!$R:$R,Opex_Budget!$A:$A,$C$3,Opex_Budget!$E:$E,$B$1050,Opex_Budget!$F:$F,$D$1050,Opex_Budget!$N:$N,"EUR")*$G$5+SUMIFS(Opex_Budget!$R:$R,Opex_Budget!$A:$A,$C$3,Opex_Budget!$E:$E,$B$1050,Opex_Budget!$F:$F,$D$1050,Opex_Budget!$N:$N,"GBP")*$H$5)</f>
        <v/>
      </c>
      <c r="L1050" s="32">
        <f>IF($B$1050="","",SUMIFS(Opex_Budget!$S:$S,Opex_Budget!$A:$A,$C$3,Opex_Budget!$E:$E,$B$1050,Opex_Budget!$F:$F,$D$1050,Opex_Budget!$N:$N,"JPY")*$E$5+SUMIFS(Opex_Budget!$S:$S,Opex_Budget!$A:$A,$C$3,Opex_Budget!$E:$E,$B$1050,Opex_Budget!$F:$F,$D$1050,Opex_Budget!$N:$N,"USD")*$F$5+SUMIFS(Opex_Budget!$S:$S,Opex_Budget!$A:$A,$C$3,Opex_Budget!$E:$E,$B$1050,Opex_Budget!$F:$F,$D$1050,Opex_Budget!$N:$N,"EUR")*$G$5+SUMIFS(Opex_Budget!$S:$S,Opex_Budget!$A:$A,$C$3,Opex_Budget!$E:$E,$B$1050,Opex_Budget!$F:$F,$D$1050,Opex_Budget!$N:$N,"GBP")*$H$5)</f>
        <v/>
      </c>
      <c r="M1050" s="32">
        <f>IF($B$1050="","",SUMIFS(Opex_Budget!$T:$T,Opex_Budget!$A:$A,$C$3,Opex_Budget!$E:$E,$B$1050,Opex_Budget!$F:$F,$D$1050,Opex_Budget!$N:$N,"JPY")*$E$5+SUMIFS(Opex_Budget!$T:$T,Opex_Budget!$A:$A,$C$3,Opex_Budget!$E:$E,$B$1050,Opex_Budget!$F:$F,$D$1050,Opex_Budget!$N:$N,"USD")*$F$5+SUMIFS(Opex_Budget!$T:$T,Opex_Budget!$A:$A,$C$3,Opex_Budget!$E:$E,$B$1050,Opex_Budget!$F:$F,$D$1050,Opex_Budget!$N:$N,"EUR")*$G$5+SUMIFS(Opex_Budget!$T:$T,Opex_Budget!$A:$A,$C$3,Opex_Budget!$E:$E,$B$1050,Opex_Budget!$F:$F,$D$1050,Opex_Budget!$N:$N,"GBP")*$H$5)</f>
        <v/>
      </c>
      <c r="N1050" s="32">
        <f>IF($B$1050="","",SUMIFS(Opex_Budget!$U:$U,Opex_Budget!$A:$A,$C$3,Opex_Budget!$E:$E,$B$1050,Opex_Budget!$F:$F,$D$1050,Opex_Budget!$N:$N,"JPY")*$E$5+SUMIFS(Opex_Budget!$U:$U,Opex_Budget!$A:$A,$C$3,Opex_Budget!$E:$E,$B$1050,Opex_Budget!$F:$F,$D$1050,Opex_Budget!$N:$N,"USD")*$F$5+SUMIFS(Opex_Budget!$U:$U,Opex_Budget!$A:$A,$C$3,Opex_Budget!$E:$E,$B$1050,Opex_Budget!$F:$F,$D$1050,Opex_Budget!$N:$N,"EUR")*$G$5+SUMIFS(Opex_Budget!$U:$U,Opex_Budget!$A:$A,$C$3,Opex_Budget!$E:$E,$B$1050,Opex_Budget!$F:$F,$D$1050,Opex_Budget!$N:$N,"GBP")*$H$5)</f>
        <v/>
      </c>
      <c r="O1050" s="32">
        <f>IF($B$1050="","",SUMIFS(Opex_Budget!$V:$V,Opex_Budget!$A:$A,$C$3,Opex_Budget!$E:$E,$B$1050,Opex_Budget!$F:$F,$D$1050,Opex_Budget!$N:$N,"JPY")*$E$5+SUMIFS(Opex_Budget!$V:$V,Opex_Budget!$A:$A,$C$3,Opex_Budget!$E:$E,$B$1050,Opex_Budget!$F:$F,$D$1050,Opex_Budget!$N:$N,"USD")*$F$5+SUMIFS(Opex_Budget!$V:$V,Opex_Budget!$A:$A,$C$3,Opex_Budget!$E:$E,$B$1050,Opex_Budget!$F:$F,$D$1050,Opex_Budget!$N:$N,"EUR")*$G$5+SUMIFS(Opex_Budget!$V:$V,Opex_Budget!$A:$A,$C$3,Opex_Budget!$E:$E,$B$1050,Opex_Budget!$F:$F,$D$1050,Opex_Budget!$N:$N,"GBP")*$H$5)</f>
        <v/>
      </c>
      <c r="P1050" s="32">
        <f>IF($B$1050="","",SUMIFS(Opex_Budget!$W:$W,Opex_Budget!$A:$A,$C$3,Opex_Budget!$E:$E,$B$1050,Opex_Budget!$F:$F,$D$1050,Opex_Budget!$N:$N,"JPY")*$E$5+SUMIFS(Opex_Budget!$W:$W,Opex_Budget!$A:$A,$C$3,Opex_Budget!$E:$E,$B$1050,Opex_Budget!$F:$F,$D$1050,Opex_Budget!$N:$N,"USD")*$F$5+SUMIFS(Opex_Budget!$W:$W,Opex_Budget!$A:$A,$C$3,Opex_Budget!$E:$E,$B$1050,Opex_Budget!$F:$F,$D$1050,Opex_Budget!$N:$N,"EUR")*$G$5+SUMIFS(Opex_Budget!$W:$W,Opex_Budget!$A:$A,$C$3,Opex_Budget!$E:$E,$B$1050,Opex_Budget!$F:$F,$D$1050,Opex_Budget!$N:$N,"GBP")*$H$5)</f>
        <v/>
      </c>
      <c r="Q1050" s="32">
        <f>IF($B$1050="","",SUMIFS(Opex_Budget!$X:$X,Opex_Budget!$A:$A,$C$3,Opex_Budget!$E:$E,$B$1050,Opex_Budget!$F:$F,$D$1050,Opex_Budget!$N:$N,"JPY")*$E$5+SUMIFS(Opex_Budget!$X:$X,Opex_Budget!$A:$A,$C$3,Opex_Budget!$E:$E,$B$1050,Opex_Budget!$F:$F,$D$1050,Opex_Budget!$N:$N,"USD")*$F$5+SUMIFS(Opex_Budget!$X:$X,Opex_Budget!$A:$A,$C$3,Opex_Budget!$E:$E,$B$1050,Opex_Budget!$F:$F,$D$1050,Opex_Budget!$N:$N,"EUR")*$G$5+SUMIFS(Opex_Budget!$X:$X,Opex_Budget!$A:$A,$C$3,Opex_Budget!$E:$E,$B$1050,Opex_Budget!$F:$F,$D$1050,Opex_Budget!$N:$N,"GBP")*$H$5)</f>
        <v/>
      </c>
      <c r="R1050" s="32">
        <f>IF($B$1050="","",SUMIFS(Opex_Budget!$Y:$Y,Opex_Budget!$A:$A,$C$3,Opex_Budget!$E:$E,$B$1050,Opex_Budget!$F:$F,$D$1050,Opex_Budget!$N:$N,"JPY")*$E$5+SUMIFS(Opex_Budget!$Y:$Y,Opex_Budget!$A:$A,$C$3,Opex_Budget!$E:$E,$B$1050,Opex_Budget!$F:$F,$D$1050,Opex_Budget!$N:$N,"USD")*$F$5+SUMIFS(Opex_Budget!$Y:$Y,Opex_Budget!$A:$A,$C$3,Opex_Budget!$E:$E,$B$1050,Opex_Budget!$F:$F,$D$1050,Opex_Budget!$N:$N,"EUR")*$G$5+SUMIFS(Opex_Budget!$Y:$Y,Opex_Budget!$A:$A,$C$3,Opex_Budget!$E:$E,$B$1050,Opex_Budget!$F:$F,$D$1050,Opex_Budget!$N:$N,"GBP")*$H$5)</f>
        <v/>
      </c>
      <c r="S1050" s="32">
        <f>IF($B$1050="","",SUMIFS(Opex_Budget!$Z:$Z,Opex_Budget!$A:$A,$C$3,Opex_Budget!$E:$E,$B$1050,Opex_Budget!$F:$F,$D$1050,Opex_Budget!$N:$N,"JPY")*$E$5+SUMIFS(Opex_Budget!$Z:$Z,Opex_Budget!$A:$A,$C$3,Opex_Budget!$E:$E,$B$1050,Opex_Budget!$F:$F,$D$1050,Opex_Budget!$N:$N,"USD")*$F$5+SUMIFS(Opex_Budget!$Z:$Z,Opex_Budget!$A:$A,$C$3,Opex_Budget!$E:$E,$B$1050,Opex_Budget!$F:$F,$D$1050,Opex_Budget!$N:$N,"EUR")*$G$5+SUMIFS(Opex_Budget!$Z:$Z,Opex_Budget!$A:$A,$C$3,Opex_Budget!$E:$E,$B$1050,Opex_Budget!$F:$F,$D$1050,Opex_Budget!$N:$N,"GBP")*$H$5)</f>
        <v/>
      </c>
      <c r="T1050" s="32">
        <f>IF($B$1050="","",SUMIF($H$7:$S$7,"&lt;="&amp;$C$4,$H1050:$S1050))</f>
        <v/>
      </c>
      <c r="U1050" s="32">
        <f>IF($B$1050="","",SUMIF($H$7:$S$7,"&gt;"&amp;$C$4,$H1050:$S1050))</f>
        <v/>
      </c>
      <c r="V1050" s="32">
        <f>IF($B$1050="","",SUM($H1050:$S1050))</f>
        <v/>
      </c>
      <c r="X1050" s="22">
        <f>IF($B1050="","",IFERROR(INDEX(Cost_Centers!$E:$E,MATCH($B1050,Cost_Centers!$A:$A,0)),"(unknown)"))</f>
        <v/>
      </c>
      <c r="Y1050" s="22">
        <f>IF($B1050="","",IFERROR(INDEX(Cost_Centers!$D:$D,MATCH($B1050,Cost_Centers!$A:$A,0)),"(unknown)"))</f>
        <v/>
      </c>
      <c r="Z1050" s="22">
        <f>IF(OR($B1050="",$G1050&lt;&gt;"Variance vs Budget"),"",ABS(N($V1050))+ROW()/1000000000)</f>
        <v/>
      </c>
    </row>
    <row r="1051">
      <c r="A1051" s="13">
        <f>IF(A$1050="","",A$1050)</f>
        <v/>
      </c>
      <c r="B1051" s="13">
        <f>IF(B$1050="","",B$1050)</f>
        <v/>
      </c>
      <c r="C1051" s="13">
        <f>IF(C$1050="","",C$1050)</f>
        <v/>
      </c>
      <c r="D1051" s="13">
        <f>IF(D$1050="","",D$1050)</f>
        <v/>
      </c>
      <c r="E1051" s="13">
        <f>IF(E$1050="","",E$1050)</f>
        <v/>
      </c>
      <c r="F1051" s="13">
        <f>IF(F$1050="","",F$1050)</f>
        <v/>
      </c>
      <c r="G1051" s="7" t="inlineStr">
        <is>
          <t>Actual</t>
        </is>
      </c>
      <c r="H1051" s="18">
        <f>IF(OR($B$1050="",1&gt;$C$4),"",SUMIFS(Actuals!$G:$G,Actuals!$B:$B,$C$3,Actuals!$C:$C,1,Actuals!$D:$D,$B$1050,Actuals!$A:$A,LEFT($D$1050,FIND("|",$D$1050&amp;"|")-1),Actuals!$E:$E,MID($D$1050,FIND("|",$D$1050&amp;"|")+1,50),Actuals!$F:$F,"JPY")*$E$5+SUMIFS(Actuals!$G:$G,Actuals!$B:$B,$C$3,Actuals!$C:$C,1,Actuals!$D:$D,$B$1050,Actuals!$A:$A,LEFT($D$1050,FIND("|",$D$1050&amp;"|")-1),Actuals!$E:$E,MID($D$1050,FIND("|",$D$1050&amp;"|")+1,50),Actuals!$F:$F,"USD")*$F$5+SUMIFS(Actuals!$G:$G,Actuals!$B:$B,$C$3,Actuals!$C:$C,1,Actuals!$D:$D,$B$1050,Actuals!$A:$A,LEFT($D$1050,FIND("|",$D$1050&amp;"|")-1),Actuals!$E:$E,MID($D$1050,FIND("|",$D$1050&amp;"|")+1,50),Actuals!$F:$F,"EUR")*$G$5+SUMIFS(Actuals!$G:$G,Actuals!$B:$B,$C$3,Actuals!$C:$C,1,Actuals!$D:$D,$B$1050,Actuals!$A:$A,LEFT($D$1050,FIND("|",$D$1050&amp;"|")-1),Actuals!$E:$E,MID($D$1050,FIND("|",$D$1050&amp;"|")+1,50),Actuals!$F:$F,"GBP")*$H$5)</f>
        <v/>
      </c>
      <c r="I1051" s="18">
        <f>IF(OR($B$1050="",2&gt;$C$4),"",SUMIFS(Actuals!$G:$G,Actuals!$B:$B,$C$3,Actuals!$C:$C,2,Actuals!$D:$D,$B$1050,Actuals!$A:$A,LEFT($D$1050,FIND("|",$D$1050&amp;"|")-1),Actuals!$E:$E,MID($D$1050,FIND("|",$D$1050&amp;"|")+1,50),Actuals!$F:$F,"JPY")*$E$5+SUMIFS(Actuals!$G:$G,Actuals!$B:$B,$C$3,Actuals!$C:$C,2,Actuals!$D:$D,$B$1050,Actuals!$A:$A,LEFT($D$1050,FIND("|",$D$1050&amp;"|")-1),Actuals!$E:$E,MID($D$1050,FIND("|",$D$1050&amp;"|")+1,50),Actuals!$F:$F,"USD")*$F$5+SUMIFS(Actuals!$G:$G,Actuals!$B:$B,$C$3,Actuals!$C:$C,2,Actuals!$D:$D,$B$1050,Actuals!$A:$A,LEFT($D$1050,FIND("|",$D$1050&amp;"|")-1),Actuals!$E:$E,MID($D$1050,FIND("|",$D$1050&amp;"|")+1,50),Actuals!$F:$F,"EUR")*$G$5+SUMIFS(Actuals!$G:$G,Actuals!$B:$B,$C$3,Actuals!$C:$C,2,Actuals!$D:$D,$B$1050,Actuals!$A:$A,LEFT($D$1050,FIND("|",$D$1050&amp;"|")-1),Actuals!$E:$E,MID($D$1050,FIND("|",$D$1050&amp;"|")+1,50),Actuals!$F:$F,"GBP")*$H$5)</f>
        <v/>
      </c>
      <c r="J1051" s="18">
        <f>IF(OR($B$1050="",3&gt;$C$4),"",SUMIFS(Actuals!$G:$G,Actuals!$B:$B,$C$3,Actuals!$C:$C,3,Actuals!$D:$D,$B$1050,Actuals!$A:$A,LEFT($D$1050,FIND("|",$D$1050&amp;"|")-1),Actuals!$E:$E,MID($D$1050,FIND("|",$D$1050&amp;"|")+1,50),Actuals!$F:$F,"JPY")*$E$5+SUMIFS(Actuals!$G:$G,Actuals!$B:$B,$C$3,Actuals!$C:$C,3,Actuals!$D:$D,$B$1050,Actuals!$A:$A,LEFT($D$1050,FIND("|",$D$1050&amp;"|")-1),Actuals!$E:$E,MID($D$1050,FIND("|",$D$1050&amp;"|")+1,50),Actuals!$F:$F,"USD")*$F$5+SUMIFS(Actuals!$G:$G,Actuals!$B:$B,$C$3,Actuals!$C:$C,3,Actuals!$D:$D,$B$1050,Actuals!$A:$A,LEFT($D$1050,FIND("|",$D$1050&amp;"|")-1),Actuals!$E:$E,MID($D$1050,FIND("|",$D$1050&amp;"|")+1,50),Actuals!$F:$F,"EUR")*$G$5+SUMIFS(Actuals!$G:$G,Actuals!$B:$B,$C$3,Actuals!$C:$C,3,Actuals!$D:$D,$B$1050,Actuals!$A:$A,LEFT($D$1050,FIND("|",$D$1050&amp;"|")-1),Actuals!$E:$E,MID($D$1050,FIND("|",$D$1050&amp;"|")+1,50),Actuals!$F:$F,"GBP")*$H$5)</f>
        <v/>
      </c>
      <c r="K1051" s="18">
        <f>IF(OR($B$1050="",4&gt;$C$4),"",SUMIFS(Actuals!$G:$G,Actuals!$B:$B,$C$3,Actuals!$C:$C,4,Actuals!$D:$D,$B$1050,Actuals!$A:$A,LEFT($D$1050,FIND("|",$D$1050&amp;"|")-1),Actuals!$E:$E,MID($D$1050,FIND("|",$D$1050&amp;"|")+1,50),Actuals!$F:$F,"JPY")*$E$5+SUMIFS(Actuals!$G:$G,Actuals!$B:$B,$C$3,Actuals!$C:$C,4,Actuals!$D:$D,$B$1050,Actuals!$A:$A,LEFT($D$1050,FIND("|",$D$1050&amp;"|")-1),Actuals!$E:$E,MID($D$1050,FIND("|",$D$1050&amp;"|")+1,50),Actuals!$F:$F,"USD")*$F$5+SUMIFS(Actuals!$G:$G,Actuals!$B:$B,$C$3,Actuals!$C:$C,4,Actuals!$D:$D,$B$1050,Actuals!$A:$A,LEFT($D$1050,FIND("|",$D$1050&amp;"|")-1),Actuals!$E:$E,MID($D$1050,FIND("|",$D$1050&amp;"|")+1,50),Actuals!$F:$F,"EUR")*$G$5+SUMIFS(Actuals!$G:$G,Actuals!$B:$B,$C$3,Actuals!$C:$C,4,Actuals!$D:$D,$B$1050,Actuals!$A:$A,LEFT($D$1050,FIND("|",$D$1050&amp;"|")-1),Actuals!$E:$E,MID($D$1050,FIND("|",$D$1050&amp;"|")+1,50),Actuals!$F:$F,"GBP")*$H$5)</f>
        <v/>
      </c>
      <c r="L1051" s="18">
        <f>IF(OR($B$1050="",5&gt;$C$4),"",SUMIFS(Actuals!$G:$G,Actuals!$B:$B,$C$3,Actuals!$C:$C,5,Actuals!$D:$D,$B$1050,Actuals!$A:$A,LEFT($D$1050,FIND("|",$D$1050&amp;"|")-1),Actuals!$E:$E,MID($D$1050,FIND("|",$D$1050&amp;"|")+1,50),Actuals!$F:$F,"JPY")*$E$5+SUMIFS(Actuals!$G:$G,Actuals!$B:$B,$C$3,Actuals!$C:$C,5,Actuals!$D:$D,$B$1050,Actuals!$A:$A,LEFT($D$1050,FIND("|",$D$1050&amp;"|")-1),Actuals!$E:$E,MID($D$1050,FIND("|",$D$1050&amp;"|")+1,50),Actuals!$F:$F,"USD")*$F$5+SUMIFS(Actuals!$G:$G,Actuals!$B:$B,$C$3,Actuals!$C:$C,5,Actuals!$D:$D,$B$1050,Actuals!$A:$A,LEFT($D$1050,FIND("|",$D$1050&amp;"|")-1),Actuals!$E:$E,MID($D$1050,FIND("|",$D$1050&amp;"|")+1,50),Actuals!$F:$F,"EUR")*$G$5+SUMIFS(Actuals!$G:$G,Actuals!$B:$B,$C$3,Actuals!$C:$C,5,Actuals!$D:$D,$B$1050,Actuals!$A:$A,LEFT($D$1050,FIND("|",$D$1050&amp;"|")-1),Actuals!$E:$E,MID($D$1050,FIND("|",$D$1050&amp;"|")+1,50),Actuals!$F:$F,"GBP")*$H$5)</f>
        <v/>
      </c>
      <c r="M1051" s="18">
        <f>IF(OR($B$1050="",6&gt;$C$4),"",SUMIFS(Actuals!$G:$G,Actuals!$B:$B,$C$3,Actuals!$C:$C,6,Actuals!$D:$D,$B$1050,Actuals!$A:$A,LEFT($D$1050,FIND("|",$D$1050&amp;"|")-1),Actuals!$E:$E,MID($D$1050,FIND("|",$D$1050&amp;"|")+1,50),Actuals!$F:$F,"JPY")*$E$5+SUMIFS(Actuals!$G:$G,Actuals!$B:$B,$C$3,Actuals!$C:$C,6,Actuals!$D:$D,$B$1050,Actuals!$A:$A,LEFT($D$1050,FIND("|",$D$1050&amp;"|")-1),Actuals!$E:$E,MID($D$1050,FIND("|",$D$1050&amp;"|")+1,50),Actuals!$F:$F,"USD")*$F$5+SUMIFS(Actuals!$G:$G,Actuals!$B:$B,$C$3,Actuals!$C:$C,6,Actuals!$D:$D,$B$1050,Actuals!$A:$A,LEFT($D$1050,FIND("|",$D$1050&amp;"|")-1),Actuals!$E:$E,MID($D$1050,FIND("|",$D$1050&amp;"|")+1,50),Actuals!$F:$F,"EUR")*$G$5+SUMIFS(Actuals!$G:$G,Actuals!$B:$B,$C$3,Actuals!$C:$C,6,Actuals!$D:$D,$B$1050,Actuals!$A:$A,LEFT($D$1050,FIND("|",$D$1050&amp;"|")-1),Actuals!$E:$E,MID($D$1050,FIND("|",$D$1050&amp;"|")+1,50),Actuals!$F:$F,"GBP")*$H$5)</f>
        <v/>
      </c>
      <c r="N1051" s="18">
        <f>IF(OR($B$1050="",7&gt;$C$4),"",SUMIFS(Actuals!$G:$G,Actuals!$B:$B,$C$3,Actuals!$C:$C,7,Actuals!$D:$D,$B$1050,Actuals!$A:$A,LEFT($D$1050,FIND("|",$D$1050&amp;"|")-1),Actuals!$E:$E,MID($D$1050,FIND("|",$D$1050&amp;"|")+1,50),Actuals!$F:$F,"JPY")*$E$5+SUMIFS(Actuals!$G:$G,Actuals!$B:$B,$C$3,Actuals!$C:$C,7,Actuals!$D:$D,$B$1050,Actuals!$A:$A,LEFT($D$1050,FIND("|",$D$1050&amp;"|")-1),Actuals!$E:$E,MID($D$1050,FIND("|",$D$1050&amp;"|")+1,50),Actuals!$F:$F,"USD")*$F$5+SUMIFS(Actuals!$G:$G,Actuals!$B:$B,$C$3,Actuals!$C:$C,7,Actuals!$D:$D,$B$1050,Actuals!$A:$A,LEFT($D$1050,FIND("|",$D$1050&amp;"|")-1),Actuals!$E:$E,MID($D$1050,FIND("|",$D$1050&amp;"|")+1,50),Actuals!$F:$F,"EUR")*$G$5+SUMIFS(Actuals!$G:$G,Actuals!$B:$B,$C$3,Actuals!$C:$C,7,Actuals!$D:$D,$B$1050,Actuals!$A:$A,LEFT($D$1050,FIND("|",$D$1050&amp;"|")-1),Actuals!$E:$E,MID($D$1050,FIND("|",$D$1050&amp;"|")+1,50),Actuals!$F:$F,"GBP")*$H$5)</f>
        <v/>
      </c>
      <c r="O1051" s="18">
        <f>IF(OR($B$1050="",8&gt;$C$4),"",SUMIFS(Actuals!$G:$G,Actuals!$B:$B,$C$3,Actuals!$C:$C,8,Actuals!$D:$D,$B$1050,Actuals!$A:$A,LEFT($D$1050,FIND("|",$D$1050&amp;"|")-1),Actuals!$E:$E,MID($D$1050,FIND("|",$D$1050&amp;"|")+1,50),Actuals!$F:$F,"JPY")*$E$5+SUMIFS(Actuals!$G:$G,Actuals!$B:$B,$C$3,Actuals!$C:$C,8,Actuals!$D:$D,$B$1050,Actuals!$A:$A,LEFT($D$1050,FIND("|",$D$1050&amp;"|")-1),Actuals!$E:$E,MID($D$1050,FIND("|",$D$1050&amp;"|")+1,50),Actuals!$F:$F,"USD")*$F$5+SUMIFS(Actuals!$G:$G,Actuals!$B:$B,$C$3,Actuals!$C:$C,8,Actuals!$D:$D,$B$1050,Actuals!$A:$A,LEFT($D$1050,FIND("|",$D$1050&amp;"|")-1),Actuals!$E:$E,MID($D$1050,FIND("|",$D$1050&amp;"|")+1,50),Actuals!$F:$F,"EUR")*$G$5+SUMIFS(Actuals!$G:$G,Actuals!$B:$B,$C$3,Actuals!$C:$C,8,Actuals!$D:$D,$B$1050,Actuals!$A:$A,LEFT($D$1050,FIND("|",$D$1050&amp;"|")-1),Actuals!$E:$E,MID($D$1050,FIND("|",$D$1050&amp;"|")+1,50),Actuals!$F:$F,"GBP")*$H$5)</f>
        <v/>
      </c>
      <c r="P1051" s="18">
        <f>IF(OR($B$1050="",9&gt;$C$4),"",SUMIFS(Actuals!$G:$G,Actuals!$B:$B,$C$3,Actuals!$C:$C,9,Actuals!$D:$D,$B$1050,Actuals!$A:$A,LEFT($D$1050,FIND("|",$D$1050&amp;"|")-1),Actuals!$E:$E,MID($D$1050,FIND("|",$D$1050&amp;"|")+1,50),Actuals!$F:$F,"JPY")*$E$5+SUMIFS(Actuals!$G:$G,Actuals!$B:$B,$C$3,Actuals!$C:$C,9,Actuals!$D:$D,$B$1050,Actuals!$A:$A,LEFT($D$1050,FIND("|",$D$1050&amp;"|")-1),Actuals!$E:$E,MID($D$1050,FIND("|",$D$1050&amp;"|")+1,50),Actuals!$F:$F,"USD")*$F$5+SUMIFS(Actuals!$G:$G,Actuals!$B:$B,$C$3,Actuals!$C:$C,9,Actuals!$D:$D,$B$1050,Actuals!$A:$A,LEFT($D$1050,FIND("|",$D$1050&amp;"|")-1),Actuals!$E:$E,MID($D$1050,FIND("|",$D$1050&amp;"|")+1,50),Actuals!$F:$F,"EUR")*$G$5+SUMIFS(Actuals!$G:$G,Actuals!$B:$B,$C$3,Actuals!$C:$C,9,Actuals!$D:$D,$B$1050,Actuals!$A:$A,LEFT($D$1050,FIND("|",$D$1050&amp;"|")-1),Actuals!$E:$E,MID($D$1050,FIND("|",$D$1050&amp;"|")+1,50),Actuals!$F:$F,"GBP")*$H$5)</f>
        <v/>
      </c>
      <c r="Q1051" s="18">
        <f>IF(OR($B$1050="",10&gt;$C$4),"",SUMIFS(Actuals!$G:$G,Actuals!$B:$B,$C$3,Actuals!$C:$C,10,Actuals!$D:$D,$B$1050,Actuals!$A:$A,LEFT($D$1050,FIND("|",$D$1050&amp;"|")-1),Actuals!$E:$E,MID($D$1050,FIND("|",$D$1050&amp;"|")+1,50),Actuals!$F:$F,"JPY")*$E$5+SUMIFS(Actuals!$G:$G,Actuals!$B:$B,$C$3,Actuals!$C:$C,10,Actuals!$D:$D,$B$1050,Actuals!$A:$A,LEFT($D$1050,FIND("|",$D$1050&amp;"|")-1),Actuals!$E:$E,MID($D$1050,FIND("|",$D$1050&amp;"|")+1,50),Actuals!$F:$F,"USD")*$F$5+SUMIFS(Actuals!$G:$G,Actuals!$B:$B,$C$3,Actuals!$C:$C,10,Actuals!$D:$D,$B$1050,Actuals!$A:$A,LEFT($D$1050,FIND("|",$D$1050&amp;"|")-1),Actuals!$E:$E,MID($D$1050,FIND("|",$D$1050&amp;"|")+1,50),Actuals!$F:$F,"EUR")*$G$5+SUMIFS(Actuals!$G:$G,Actuals!$B:$B,$C$3,Actuals!$C:$C,10,Actuals!$D:$D,$B$1050,Actuals!$A:$A,LEFT($D$1050,FIND("|",$D$1050&amp;"|")-1),Actuals!$E:$E,MID($D$1050,FIND("|",$D$1050&amp;"|")+1,50),Actuals!$F:$F,"GBP")*$H$5)</f>
        <v/>
      </c>
      <c r="R1051" s="18">
        <f>IF(OR($B$1050="",11&gt;$C$4),"",SUMIFS(Actuals!$G:$G,Actuals!$B:$B,$C$3,Actuals!$C:$C,11,Actuals!$D:$D,$B$1050,Actuals!$A:$A,LEFT($D$1050,FIND("|",$D$1050&amp;"|")-1),Actuals!$E:$E,MID($D$1050,FIND("|",$D$1050&amp;"|")+1,50),Actuals!$F:$F,"JPY")*$E$5+SUMIFS(Actuals!$G:$G,Actuals!$B:$B,$C$3,Actuals!$C:$C,11,Actuals!$D:$D,$B$1050,Actuals!$A:$A,LEFT($D$1050,FIND("|",$D$1050&amp;"|")-1),Actuals!$E:$E,MID($D$1050,FIND("|",$D$1050&amp;"|")+1,50),Actuals!$F:$F,"USD")*$F$5+SUMIFS(Actuals!$G:$G,Actuals!$B:$B,$C$3,Actuals!$C:$C,11,Actuals!$D:$D,$B$1050,Actuals!$A:$A,LEFT($D$1050,FIND("|",$D$1050&amp;"|")-1),Actuals!$E:$E,MID($D$1050,FIND("|",$D$1050&amp;"|")+1,50),Actuals!$F:$F,"EUR")*$G$5+SUMIFS(Actuals!$G:$G,Actuals!$B:$B,$C$3,Actuals!$C:$C,11,Actuals!$D:$D,$B$1050,Actuals!$A:$A,LEFT($D$1050,FIND("|",$D$1050&amp;"|")-1),Actuals!$E:$E,MID($D$1050,FIND("|",$D$1050&amp;"|")+1,50),Actuals!$F:$F,"GBP")*$H$5)</f>
        <v/>
      </c>
      <c r="S1051" s="18">
        <f>IF(OR($B$1050="",12&gt;$C$4),"",SUMIFS(Actuals!$G:$G,Actuals!$B:$B,$C$3,Actuals!$C:$C,12,Actuals!$D:$D,$B$1050,Actuals!$A:$A,LEFT($D$1050,FIND("|",$D$1050&amp;"|")-1),Actuals!$E:$E,MID($D$1050,FIND("|",$D$1050&amp;"|")+1,50),Actuals!$F:$F,"JPY")*$E$5+SUMIFS(Actuals!$G:$G,Actuals!$B:$B,$C$3,Actuals!$C:$C,12,Actuals!$D:$D,$B$1050,Actuals!$A:$A,LEFT($D$1050,FIND("|",$D$1050&amp;"|")-1),Actuals!$E:$E,MID($D$1050,FIND("|",$D$1050&amp;"|")+1,50),Actuals!$F:$F,"USD")*$F$5+SUMIFS(Actuals!$G:$G,Actuals!$B:$B,$C$3,Actuals!$C:$C,12,Actuals!$D:$D,$B$1050,Actuals!$A:$A,LEFT($D$1050,FIND("|",$D$1050&amp;"|")-1),Actuals!$E:$E,MID($D$1050,FIND("|",$D$1050&amp;"|")+1,50),Actuals!$F:$F,"EUR")*$G$5+SUMIFS(Actuals!$G:$G,Actuals!$B:$B,$C$3,Actuals!$C:$C,12,Actuals!$D:$D,$B$1050,Actuals!$A:$A,LEFT($D$1050,FIND("|",$D$1050&amp;"|")-1),Actuals!$E:$E,MID($D$1050,FIND("|",$D$1050&amp;"|")+1,50),Actuals!$F:$F,"GBP")*$H$5)</f>
        <v/>
      </c>
      <c r="T1051" s="18">
        <f>IF($B$1050="","",SUMIF($H$7:$S$7,"&lt;="&amp;$C$4,$H1051:$S1051))</f>
        <v/>
      </c>
      <c r="U1051" s="18" t="n"/>
      <c r="V1051" s="18" t="n"/>
      <c r="X1051" s="22">
        <f>IF($B1051="","",IFERROR(INDEX(Cost_Centers!$E:$E,MATCH($B1051,Cost_Centers!$A:$A,0)),"(unknown)"))</f>
        <v/>
      </c>
      <c r="Y1051" s="22">
        <f>IF($B1051="","",IFERROR(INDEX(Cost_Centers!$D:$D,MATCH($B1051,Cost_Centers!$A:$A,0)),"(unknown)"))</f>
        <v/>
      </c>
      <c r="Z1051" s="22">
        <f>IF(OR($B1051="",$G1051&lt;&gt;"Variance vs Budget"),"",ABS(N($V1051))+ROW()/1000000000)</f>
        <v/>
      </c>
    </row>
    <row r="1052">
      <c r="A1052" s="13">
        <f>IF(A$1050="","",A$1050)</f>
        <v/>
      </c>
      <c r="B1052" s="13">
        <f>IF(B$1050="","",B$1050)</f>
        <v/>
      </c>
      <c r="C1052" s="13">
        <f>IF(C$1050="","",C$1050)</f>
        <v/>
      </c>
      <c r="D1052" s="13">
        <f>IF(D$1050="","",D$1050)</f>
        <v/>
      </c>
      <c r="E1052" s="13">
        <f>IF(E$1050="","",E$1050)</f>
        <v/>
      </c>
      <c r="F1052" s="13">
        <f>IF(F$1050="","",F$1050)</f>
        <v/>
      </c>
      <c r="G1052" s="6" t="inlineStr">
        <is>
          <t>Variance vs Budget</t>
        </is>
      </c>
      <c r="H1052" s="33">
        <f>IF(OR($B$1050="",1&gt;$C$4),"",N(H1051)-H1050)</f>
        <v/>
      </c>
      <c r="I1052" s="33">
        <f>IF(OR($B$1050="",2&gt;$C$4),"",N(I1051)-I1050)</f>
        <v/>
      </c>
      <c r="J1052" s="33">
        <f>IF(OR($B$1050="",3&gt;$C$4),"",N(J1051)-J1050)</f>
        <v/>
      </c>
      <c r="K1052" s="33">
        <f>IF(OR($B$1050="",4&gt;$C$4),"",N(K1051)-K1050)</f>
        <v/>
      </c>
      <c r="L1052" s="33">
        <f>IF(OR($B$1050="",5&gt;$C$4),"",N(L1051)-L1050)</f>
        <v/>
      </c>
      <c r="M1052" s="33">
        <f>IF(OR($B$1050="",6&gt;$C$4),"",N(M1051)-M1050)</f>
        <v/>
      </c>
      <c r="N1052" s="33">
        <f>IF(OR($B$1050="",7&gt;$C$4),"",N(N1051)-N1050)</f>
        <v/>
      </c>
      <c r="O1052" s="33">
        <f>IF(OR($B$1050="",8&gt;$C$4),"",N(O1051)-O1050)</f>
        <v/>
      </c>
      <c r="P1052" s="33">
        <f>IF(OR($B$1050="",9&gt;$C$4),"",N(P1051)-P1050)</f>
        <v/>
      </c>
      <c r="Q1052" s="33">
        <f>IF(OR($B$1050="",10&gt;$C$4),"",N(Q1051)-Q1050)</f>
        <v/>
      </c>
      <c r="R1052" s="33">
        <f>IF(OR($B$1050="",11&gt;$C$4),"",N(R1051)-R1050)</f>
        <v/>
      </c>
      <c r="S1052" s="33">
        <f>IF(OR($B$1050="",12&gt;$C$4),"",N(S1051)-S1050)</f>
        <v/>
      </c>
      <c r="T1052" s="33">
        <f>IF($B$1050="","",T1051-T1050)</f>
        <v/>
      </c>
      <c r="U1052" s="33">
        <f>IF($B$1050="","",U1054-U1050)</f>
        <v/>
      </c>
      <c r="V1052" s="33">
        <f>IF($B$1050="","",V1054-V1050)</f>
        <v/>
      </c>
      <c r="X1052" s="22">
        <f>IF($B1052="","",IFERROR(INDEX(Cost_Centers!$E:$E,MATCH($B1052,Cost_Centers!$A:$A,0)),"(unknown)"))</f>
        <v/>
      </c>
      <c r="Y1052" s="22">
        <f>IF($B1052="","",IFERROR(INDEX(Cost_Centers!$D:$D,MATCH($B1052,Cost_Centers!$A:$A,0)),"(unknown)"))</f>
        <v/>
      </c>
      <c r="Z1052" s="22">
        <f>IF(OR($B1052="",$G1052&lt;&gt;"Variance vs Budget"),"",ABS(N($V1052))+ROW()/1000000000)</f>
        <v/>
      </c>
    </row>
    <row r="1053">
      <c r="A1053" s="13">
        <f>IF(A$1050="","",A$1050)</f>
        <v/>
      </c>
      <c r="B1053" s="13">
        <f>IF(B$1050="","",B$1050)</f>
        <v/>
      </c>
      <c r="C1053" s="13">
        <f>IF(C$1050="","",C$1050)</f>
        <v/>
      </c>
      <c r="D1053" s="13">
        <f>IF(D$1050="","",D$1050)</f>
        <v/>
      </c>
      <c r="E1053" s="13">
        <f>IF(E$1050="","",E$1050)</f>
        <v/>
      </c>
      <c r="F1053" s="13">
        <f>IF(F$1050="","",F$1050)</f>
        <v/>
      </c>
      <c r="G1053" s="7" t="inlineStr">
        <is>
          <t>Forecast (input)</t>
        </is>
      </c>
      <c r="H1053" s="34" t="n"/>
      <c r="I1053" s="34" t="n"/>
      <c r="J1053" s="34" t="n"/>
      <c r="K1053" s="34" t="n"/>
      <c r="L1053" s="34" t="n"/>
      <c r="M1053" s="34" t="n"/>
      <c r="N1053" s="34" t="n"/>
      <c r="O1053" s="34" t="n"/>
      <c r="P1053" s="34" t="n"/>
      <c r="Q1053" s="34" t="n"/>
      <c r="R1053" s="34" t="n"/>
      <c r="S1053" s="34" t="n"/>
      <c r="T1053" s="18" t="n"/>
      <c r="U1053" s="18" t="n"/>
      <c r="V1053" s="18" t="n"/>
      <c r="X1053" s="22">
        <f>IF($B1053="","",IFERROR(INDEX(Cost_Centers!$E:$E,MATCH($B1053,Cost_Centers!$A:$A,0)),"(unknown)"))</f>
        <v/>
      </c>
      <c r="Y1053" s="22">
        <f>IF($B1053="","",IFERROR(INDEX(Cost_Centers!$D:$D,MATCH($B1053,Cost_Centers!$A:$A,0)),"(unknown)"))</f>
        <v/>
      </c>
      <c r="Z1053" s="22">
        <f>IF(OR($B1053="",$G1053&lt;&gt;"Variance vs Budget"),"",ABS(N($V1053))+ROW()/1000000000)</f>
        <v/>
      </c>
    </row>
    <row r="1054">
      <c r="A1054" s="13">
        <f>IF(A$1050="","",A$1050)</f>
        <v/>
      </c>
      <c r="B1054" s="13">
        <f>IF(B$1050="","",B$1050)</f>
        <v/>
      </c>
      <c r="C1054" s="13">
        <f>IF(C$1050="","",C$1050)</f>
        <v/>
      </c>
      <c r="D1054" s="13">
        <f>IF(D$1050="","",D$1050)</f>
        <v/>
      </c>
      <c r="E1054" s="13">
        <f>IF(E$1050="","",E$1050)</f>
        <v/>
      </c>
      <c r="F1054" s="13">
        <f>IF(F$1050="","",F$1050)</f>
        <v/>
      </c>
      <c r="G1054" s="35" t="inlineStr">
        <is>
          <t>Actual + Forecast</t>
        </is>
      </c>
      <c r="H1054" s="18">
        <f>IF($B$1050="","",IF(1&lt;=$C$4,N(H1051),IF(H1053="",H1050,H1053)))</f>
        <v/>
      </c>
      <c r="I1054" s="18">
        <f>IF($B$1050="","",IF(2&lt;=$C$4,N(I1051),IF(I1053="",I1050,I1053)))</f>
        <v/>
      </c>
      <c r="J1054" s="18">
        <f>IF($B$1050="","",IF(3&lt;=$C$4,N(J1051),IF(J1053="",J1050,J1053)))</f>
        <v/>
      </c>
      <c r="K1054" s="18">
        <f>IF($B$1050="","",IF(4&lt;=$C$4,N(K1051),IF(K1053="",K1050,K1053)))</f>
        <v/>
      </c>
      <c r="L1054" s="18">
        <f>IF($B$1050="","",IF(5&lt;=$C$4,N(L1051),IF(L1053="",L1050,L1053)))</f>
        <v/>
      </c>
      <c r="M1054" s="18">
        <f>IF($B$1050="","",IF(6&lt;=$C$4,N(M1051),IF(M1053="",M1050,M1053)))</f>
        <v/>
      </c>
      <c r="N1054" s="18">
        <f>IF($B$1050="","",IF(7&lt;=$C$4,N(N1051),IF(N1053="",N1050,N1053)))</f>
        <v/>
      </c>
      <c r="O1054" s="18">
        <f>IF($B$1050="","",IF(8&lt;=$C$4,N(O1051),IF(O1053="",O1050,O1053)))</f>
        <v/>
      </c>
      <c r="P1054" s="18">
        <f>IF($B$1050="","",IF(9&lt;=$C$4,N(P1051),IF(P1053="",P1050,P1053)))</f>
        <v/>
      </c>
      <c r="Q1054" s="18">
        <f>IF($B$1050="","",IF(10&lt;=$C$4,N(Q1051),IF(Q1053="",Q1050,Q1053)))</f>
        <v/>
      </c>
      <c r="R1054" s="18">
        <f>IF($B$1050="","",IF(11&lt;=$C$4,N(R1051),IF(R1053="",R1050,R1053)))</f>
        <v/>
      </c>
      <c r="S1054" s="18">
        <f>IF($B$1050="","",IF(12&lt;=$C$4,N(S1051),IF(S1053="",S1050,S1053)))</f>
        <v/>
      </c>
      <c r="T1054" s="18">
        <f>IF($B$1050="","",SUMIF($H$7:$S$7,"&lt;="&amp;$C$4,$H1054:$S1054))</f>
        <v/>
      </c>
      <c r="U1054" s="18">
        <f>IF($B$1050="","",SUMIF($H$7:$S$7,"&gt;"&amp;$C$4,$H1054:$S1054))</f>
        <v/>
      </c>
      <c r="V1054" s="18">
        <f>IF($B$1050="","",SUM($H1054:$S1054))</f>
        <v/>
      </c>
      <c r="X1054" s="22">
        <f>IF($B1054="","",IFERROR(INDEX(Cost_Centers!$E:$E,MATCH($B1054,Cost_Centers!$A:$A,0)),"(unknown)"))</f>
        <v/>
      </c>
      <c r="Y1054" s="22">
        <f>IF($B1054="","",IFERROR(INDEX(Cost_Centers!$D:$D,MATCH($B1054,Cost_Centers!$A:$A,0)),"(unknown)"))</f>
        <v/>
      </c>
      <c r="Z1054" s="22">
        <f>IF(OR($B1054="",$G1054&lt;&gt;"Variance vs Budget"),"",ABS(N($V1054))+ROW()/1000000000)</f>
        <v/>
      </c>
    </row>
    <row r="1055">
      <c r="A1055" s="13">
        <f>IF(A$1050="","",A$1050)</f>
        <v/>
      </c>
      <c r="B1055" s="13">
        <f>IF(B$1050="","",B$1050)</f>
        <v/>
      </c>
      <c r="C1055" s="13">
        <f>IF(C$1050="","",C$1050)</f>
        <v/>
      </c>
      <c r="D1055" s="13">
        <f>IF(D$1050="","",D$1050)</f>
        <v/>
      </c>
      <c r="E1055" s="13">
        <f>IF(E$1050="","",E$1050)</f>
        <v/>
      </c>
      <c r="F1055" s="13">
        <f>IF(F$1050="","",F$1050)</f>
        <v/>
      </c>
      <c r="G1055" s="36" t="inlineStr">
        <is>
          <t>Prior Month Forecast</t>
        </is>
      </c>
      <c r="H1055" s="37">
        <f>IF($B$1050="","",IF(COUNTIFS(Prior_Forecast!$A:$A,$B$1050,Prior_Forecast!$B:$B,$D$1050)&gt;0,SUMIFS(Prior_Forecast!$C:$C,Prior_Forecast!$A:$A,$B$1050,Prior_Forecast!$B:$B,$D$1050),""))</f>
        <v/>
      </c>
      <c r="I1055" s="37">
        <f>IF($B$1050="","",IF(COUNTIFS(Prior_Forecast!$A:$A,$B$1050,Prior_Forecast!$B:$B,$D$1050)&gt;0,SUMIFS(Prior_Forecast!$D:$D,Prior_Forecast!$A:$A,$B$1050,Prior_Forecast!$B:$B,$D$1050),""))</f>
        <v/>
      </c>
      <c r="J1055" s="37">
        <f>IF($B$1050="","",IF(COUNTIFS(Prior_Forecast!$A:$A,$B$1050,Prior_Forecast!$B:$B,$D$1050)&gt;0,SUMIFS(Prior_Forecast!$E:$E,Prior_Forecast!$A:$A,$B$1050,Prior_Forecast!$B:$B,$D$1050),""))</f>
        <v/>
      </c>
      <c r="K1055" s="37">
        <f>IF($B$1050="","",IF(COUNTIFS(Prior_Forecast!$A:$A,$B$1050,Prior_Forecast!$B:$B,$D$1050)&gt;0,SUMIFS(Prior_Forecast!$F:$F,Prior_Forecast!$A:$A,$B$1050,Prior_Forecast!$B:$B,$D$1050),""))</f>
        <v/>
      </c>
      <c r="L1055" s="37">
        <f>IF($B$1050="","",IF(COUNTIFS(Prior_Forecast!$A:$A,$B$1050,Prior_Forecast!$B:$B,$D$1050)&gt;0,SUMIFS(Prior_Forecast!$G:$G,Prior_Forecast!$A:$A,$B$1050,Prior_Forecast!$B:$B,$D$1050),""))</f>
        <v/>
      </c>
      <c r="M1055" s="37">
        <f>IF($B$1050="","",IF(COUNTIFS(Prior_Forecast!$A:$A,$B$1050,Prior_Forecast!$B:$B,$D$1050)&gt;0,SUMIFS(Prior_Forecast!$H:$H,Prior_Forecast!$A:$A,$B$1050,Prior_Forecast!$B:$B,$D$1050),""))</f>
        <v/>
      </c>
      <c r="N1055" s="37">
        <f>IF($B$1050="","",IF(COUNTIFS(Prior_Forecast!$A:$A,$B$1050,Prior_Forecast!$B:$B,$D$1050)&gt;0,SUMIFS(Prior_Forecast!$I:$I,Prior_Forecast!$A:$A,$B$1050,Prior_Forecast!$B:$B,$D$1050),""))</f>
        <v/>
      </c>
      <c r="O1055" s="37">
        <f>IF($B$1050="","",IF(COUNTIFS(Prior_Forecast!$A:$A,$B$1050,Prior_Forecast!$B:$B,$D$1050)&gt;0,SUMIFS(Prior_Forecast!$J:$J,Prior_Forecast!$A:$A,$B$1050,Prior_Forecast!$B:$B,$D$1050),""))</f>
        <v/>
      </c>
      <c r="P1055" s="37">
        <f>IF($B$1050="","",IF(COUNTIFS(Prior_Forecast!$A:$A,$B$1050,Prior_Forecast!$B:$B,$D$1050)&gt;0,SUMIFS(Prior_Forecast!$K:$K,Prior_Forecast!$A:$A,$B$1050,Prior_Forecast!$B:$B,$D$1050),""))</f>
        <v/>
      </c>
      <c r="Q1055" s="37">
        <f>IF($B$1050="","",IF(COUNTIFS(Prior_Forecast!$A:$A,$B$1050,Prior_Forecast!$B:$B,$D$1050)&gt;0,SUMIFS(Prior_Forecast!$L:$L,Prior_Forecast!$A:$A,$B$1050,Prior_Forecast!$B:$B,$D$1050),""))</f>
        <v/>
      </c>
      <c r="R1055" s="37">
        <f>IF($B$1050="","",IF(COUNTIFS(Prior_Forecast!$A:$A,$B$1050,Prior_Forecast!$B:$B,$D$1050)&gt;0,SUMIFS(Prior_Forecast!$M:$M,Prior_Forecast!$A:$A,$B$1050,Prior_Forecast!$B:$B,$D$1050),""))</f>
        <v/>
      </c>
      <c r="S1055" s="37">
        <f>IF($B$1050="","",IF(COUNTIFS(Prior_Forecast!$A:$A,$B$1050,Prior_Forecast!$B:$B,$D$1050)&gt;0,SUMIFS(Prior_Forecast!$N:$N,Prior_Forecast!$A:$A,$B$1050,Prior_Forecast!$B:$B,$D$1050),""))</f>
        <v/>
      </c>
      <c r="T1055" s="37">
        <f>IF($B$1050="","",IF(COUNTIFS(Prior_Forecast!$A:$A,$B$1050,Prior_Forecast!$B:$B,$D$1050)&gt;0,SUMIFS(Prior_Forecast!$O:$O,Prior_Forecast!$A:$A,$B$1050,Prior_Forecast!$B:$B,$D$1050),""))</f>
        <v/>
      </c>
      <c r="U1055" s="37">
        <f>IF($B$1050="","",IF(COUNTIFS(Prior_Forecast!$A:$A,$B$1050,Prior_Forecast!$B:$B,$D$1050)&gt;0,SUMIFS(Prior_Forecast!$P:$P,Prior_Forecast!$A:$A,$B$1050,Prior_Forecast!$B:$B,$D$1050),""))</f>
        <v/>
      </c>
      <c r="V1055" s="37">
        <f>IF($B$1050="","",IF(COUNTIFS(Prior_Forecast!$A:$A,$B$1050,Prior_Forecast!$B:$B,$D$1050)&gt;0,SUMIFS(Prior_Forecast!$Q:$Q,Prior_Forecast!$A:$A,$B$1050,Prior_Forecast!$B:$B,$D$1050),""))</f>
        <v/>
      </c>
      <c r="X1055" s="22">
        <f>IF($B1055="","",IFERROR(INDEX(Cost_Centers!$E:$E,MATCH($B1055,Cost_Centers!$A:$A,0)),"(unknown)"))</f>
        <v/>
      </c>
      <c r="Y1055" s="22">
        <f>IF($B1055="","",IFERROR(INDEX(Cost_Centers!$D:$D,MATCH($B1055,Cost_Centers!$A:$A,0)),"(unknown)"))</f>
        <v/>
      </c>
      <c r="Z1055" s="22">
        <f>IF(OR($B1055="",$G1055&lt;&gt;"Variance vs Budget"),"",ABS(N($V1055))+ROW()/1000000000)</f>
        <v/>
      </c>
    </row>
    <row r="1056">
      <c r="A1056" s="13">
        <f>IF(A$1050="","",A$1050)</f>
        <v/>
      </c>
      <c r="B1056" s="13">
        <f>IF(B$1050="","",B$1050)</f>
        <v/>
      </c>
      <c r="C1056" s="13">
        <f>IF(C$1050="","",C$1050)</f>
        <v/>
      </c>
      <c r="D1056" s="13">
        <f>IF(D$1050="","",D$1050)</f>
        <v/>
      </c>
      <c r="E1056" s="13">
        <f>IF(E$1050="","",E$1050)</f>
        <v/>
      </c>
      <c r="F1056" s="13">
        <f>IF(F$1050="","",F$1050)</f>
        <v/>
      </c>
      <c r="G1056" s="6" t="inlineStr">
        <is>
          <t>Variance vs Prior Month</t>
        </is>
      </c>
      <c r="H1056" s="33">
        <f>IF(OR($B$1050="",H1055=""),"",H1054-H1055)</f>
        <v/>
      </c>
      <c r="I1056" s="33">
        <f>IF(OR($B$1050="",I1055=""),"",I1054-I1055)</f>
        <v/>
      </c>
      <c r="J1056" s="33">
        <f>IF(OR($B$1050="",J1055=""),"",J1054-J1055)</f>
        <v/>
      </c>
      <c r="K1056" s="33">
        <f>IF(OR($B$1050="",K1055=""),"",K1054-K1055)</f>
        <v/>
      </c>
      <c r="L1056" s="33">
        <f>IF(OR($B$1050="",L1055=""),"",L1054-L1055)</f>
        <v/>
      </c>
      <c r="M1056" s="33">
        <f>IF(OR($B$1050="",M1055=""),"",M1054-M1055)</f>
        <v/>
      </c>
      <c r="N1056" s="33">
        <f>IF(OR($B$1050="",N1055=""),"",N1054-N1055)</f>
        <v/>
      </c>
      <c r="O1056" s="33">
        <f>IF(OR($B$1050="",O1055=""),"",O1054-O1055)</f>
        <v/>
      </c>
      <c r="P1056" s="33">
        <f>IF(OR($B$1050="",P1055=""),"",P1054-P1055)</f>
        <v/>
      </c>
      <c r="Q1056" s="33">
        <f>IF(OR($B$1050="",Q1055=""),"",Q1054-Q1055)</f>
        <v/>
      </c>
      <c r="R1056" s="33">
        <f>IF(OR($B$1050="",R1055=""),"",R1054-R1055)</f>
        <v/>
      </c>
      <c r="S1056" s="33">
        <f>IF(OR($B$1050="",S1055=""),"",S1054-S1055)</f>
        <v/>
      </c>
      <c r="T1056" s="33">
        <f>IF(OR($B$1050="",T1055=""),"",T1054-T1055)</f>
        <v/>
      </c>
      <c r="U1056" s="33">
        <f>IF(OR($B$1050="",U1055=""),"",U1054-U1055)</f>
        <v/>
      </c>
      <c r="V1056" s="33">
        <f>IF(OR($B$1050="",V1055=""),"",V1054-V1055)</f>
        <v/>
      </c>
      <c r="X1056" s="22">
        <f>IF($B1056="","",IFERROR(INDEX(Cost_Centers!$E:$E,MATCH($B1056,Cost_Centers!$A:$A,0)),"(unknown)"))</f>
        <v/>
      </c>
      <c r="Y1056" s="22">
        <f>IF($B1056="","",IFERROR(INDEX(Cost_Centers!$D:$D,MATCH($B1056,Cost_Centers!$A:$A,0)),"(unknown)"))</f>
        <v/>
      </c>
      <c r="Z1056" s="22">
        <f>IF(OR($B1056="",$G1056&lt;&gt;"Variance vs Budget"),"",ABS(N($V1056))+ROW()/1000000000)</f>
        <v/>
      </c>
    </row>
    <row r="1057" ht="45" customHeight="1">
      <c r="A1057" s="13">
        <f>IF(A$1050="","",A$1050)</f>
        <v/>
      </c>
      <c r="B1057" s="13">
        <f>IF(B$1050="","",B$1050)</f>
        <v/>
      </c>
      <c r="C1057" s="13">
        <f>IF(C$1050="","",C$1050)</f>
        <v/>
      </c>
      <c r="D1057" s="13">
        <f>IF(D$1050="","",D$1050)</f>
        <v/>
      </c>
      <c r="E1057" s="13">
        <f>IF(E$1050="","",E$1050)</f>
        <v/>
      </c>
      <c r="F1057" s="13">
        <f>IF(F$1050="","",F$1050)</f>
        <v/>
      </c>
      <c r="G1057" s="7" t="inlineStr">
        <is>
          <t>Rationale</t>
        </is>
      </c>
      <c r="H1057" s="38" t="n"/>
      <c r="I1057" s="38" t="n"/>
      <c r="J1057" s="38" t="n"/>
      <c r="K1057" s="38" t="n"/>
      <c r="L1057" s="38" t="n"/>
      <c r="M1057" s="38" t="n"/>
      <c r="N1057" s="38" t="n"/>
      <c r="O1057" s="38" t="n"/>
      <c r="P1057" s="38" t="n"/>
      <c r="Q1057" s="38" t="n"/>
      <c r="R1057" s="38" t="n"/>
      <c r="S1057" s="38" t="n"/>
      <c r="T1057" s="38" t="n"/>
      <c r="U1057" s="38" t="n"/>
      <c r="V1057" s="7" t="n"/>
      <c r="X1057" s="22">
        <f>IF($B1057="","",IFERROR(INDEX(Cost_Centers!$E:$E,MATCH($B1057,Cost_Centers!$A:$A,0)),"(unknown)"))</f>
        <v/>
      </c>
      <c r="Y1057" s="22">
        <f>IF($B1057="","",IFERROR(INDEX(Cost_Centers!$D:$D,MATCH($B1057,Cost_Centers!$A:$A,0)),"(unknown)"))</f>
        <v/>
      </c>
      <c r="Z1057" s="22">
        <f>IF(OR($B1057="",$G1057&lt;&gt;"Variance vs Budget"),"",ABS(N($V1057))+ROW()/1000000000)</f>
        <v/>
      </c>
    </row>
    <row r="1058">
      <c r="A1058" s="30">
        <f>IF($D$1058="","",LEFT($D$1058,FIND("|",$D$1058&amp;"|")-1))</f>
        <v/>
      </c>
      <c r="B1058" s="31" t="n"/>
      <c r="C1058" s="30">
        <f>IF($B$1058="","",IFERROR(INDEX(Cost_Centers!$B:$B,MATCH($B$1058,Cost_Centers!$A:$A,0)),"(not in master)"))</f>
        <v/>
      </c>
      <c r="D1058" s="31" t="n"/>
      <c r="E1058" s="30">
        <f>IF($D$1058="","",IFERROR(INDEX(Accounts!$D:$D,MATCH($D$1058,Accounts!$A:$A,0)),"(not in master)"))</f>
        <v/>
      </c>
      <c r="F1058" s="31" t="n"/>
      <c r="G1058" s="30" t="inlineStr">
        <is>
          <t>Budget</t>
        </is>
      </c>
      <c r="H1058" s="32">
        <f>IF($B$1058="","",SUMIFS(Opex_Budget!$O:$O,Opex_Budget!$A:$A,$C$3,Opex_Budget!$E:$E,$B$1058,Opex_Budget!$F:$F,$D$1058,Opex_Budget!$N:$N,"JPY")*$E$5+SUMIFS(Opex_Budget!$O:$O,Opex_Budget!$A:$A,$C$3,Opex_Budget!$E:$E,$B$1058,Opex_Budget!$F:$F,$D$1058,Opex_Budget!$N:$N,"USD")*$F$5+SUMIFS(Opex_Budget!$O:$O,Opex_Budget!$A:$A,$C$3,Opex_Budget!$E:$E,$B$1058,Opex_Budget!$F:$F,$D$1058,Opex_Budget!$N:$N,"EUR")*$G$5+SUMIFS(Opex_Budget!$O:$O,Opex_Budget!$A:$A,$C$3,Opex_Budget!$E:$E,$B$1058,Opex_Budget!$F:$F,$D$1058,Opex_Budget!$N:$N,"GBP")*$H$5)</f>
        <v/>
      </c>
      <c r="I1058" s="32">
        <f>IF($B$1058="","",SUMIFS(Opex_Budget!$P:$P,Opex_Budget!$A:$A,$C$3,Opex_Budget!$E:$E,$B$1058,Opex_Budget!$F:$F,$D$1058,Opex_Budget!$N:$N,"JPY")*$E$5+SUMIFS(Opex_Budget!$P:$P,Opex_Budget!$A:$A,$C$3,Opex_Budget!$E:$E,$B$1058,Opex_Budget!$F:$F,$D$1058,Opex_Budget!$N:$N,"USD")*$F$5+SUMIFS(Opex_Budget!$P:$P,Opex_Budget!$A:$A,$C$3,Opex_Budget!$E:$E,$B$1058,Opex_Budget!$F:$F,$D$1058,Opex_Budget!$N:$N,"EUR")*$G$5+SUMIFS(Opex_Budget!$P:$P,Opex_Budget!$A:$A,$C$3,Opex_Budget!$E:$E,$B$1058,Opex_Budget!$F:$F,$D$1058,Opex_Budget!$N:$N,"GBP")*$H$5)</f>
        <v/>
      </c>
      <c r="J1058" s="32">
        <f>IF($B$1058="","",SUMIFS(Opex_Budget!$Q:$Q,Opex_Budget!$A:$A,$C$3,Opex_Budget!$E:$E,$B$1058,Opex_Budget!$F:$F,$D$1058,Opex_Budget!$N:$N,"JPY")*$E$5+SUMIFS(Opex_Budget!$Q:$Q,Opex_Budget!$A:$A,$C$3,Opex_Budget!$E:$E,$B$1058,Opex_Budget!$F:$F,$D$1058,Opex_Budget!$N:$N,"USD")*$F$5+SUMIFS(Opex_Budget!$Q:$Q,Opex_Budget!$A:$A,$C$3,Opex_Budget!$E:$E,$B$1058,Opex_Budget!$F:$F,$D$1058,Opex_Budget!$N:$N,"EUR")*$G$5+SUMIFS(Opex_Budget!$Q:$Q,Opex_Budget!$A:$A,$C$3,Opex_Budget!$E:$E,$B$1058,Opex_Budget!$F:$F,$D$1058,Opex_Budget!$N:$N,"GBP")*$H$5)</f>
        <v/>
      </c>
      <c r="K1058" s="32">
        <f>IF($B$1058="","",SUMIFS(Opex_Budget!$R:$R,Opex_Budget!$A:$A,$C$3,Opex_Budget!$E:$E,$B$1058,Opex_Budget!$F:$F,$D$1058,Opex_Budget!$N:$N,"JPY")*$E$5+SUMIFS(Opex_Budget!$R:$R,Opex_Budget!$A:$A,$C$3,Opex_Budget!$E:$E,$B$1058,Opex_Budget!$F:$F,$D$1058,Opex_Budget!$N:$N,"USD")*$F$5+SUMIFS(Opex_Budget!$R:$R,Opex_Budget!$A:$A,$C$3,Opex_Budget!$E:$E,$B$1058,Opex_Budget!$F:$F,$D$1058,Opex_Budget!$N:$N,"EUR")*$G$5+SUMIFS(Opex_Budget!$R:$R,Opex_Budget!$A:$A,$C$3,Opex_Budget!$E:$E,$B$1058,Opex_Budget!$F:$F,$D$1058,Opex_Budget!$N:$N,"GBP")*$H$5)</f>
        <v/>
      </c>
      <c r="L1058" s="32">
        <f>IF($B$1058="","",SUMIFS(Opex_Budget!$S:$S,Opex_Budget!$A:$A,$C$3,Opex_Budget!$E:$E,$B$1058,Opex_Budget!$F:$F,$D$1058,Opex_Budget!$N:$N,"JPY")*$E$5+SUMIFS(Opex_Budget!$S:$S,Opex_Budget!$A:$A,$C$3,Opex_Budget!$E:$E,$B$1058,Opex_Budget!$F:$F,$D$1058,Opex_Budget!$N:$N,"USD")*$F$5+SUMIFS(Opex_Budget!$S:$S,Opex_Budget!$A:$A,$C$3,Opex_Budget!$E:$E,$B$1058,Opex_Budget!$F:$F,$D$1058,Opex_Budget!$N:$N,"EUR")*$G$5+SUMIFS(Opex_Budget!$S:$S,Opex_Budget!$A:$A,$C$3,Opex_Budget!$E:$E,$B$1058,Opex_Budget!$F:$F,$D$1058,Opex_Budget!$N:$N,"GBP")*$H$5)</f>
        <v/>
      </c>
      <c r="M1058" s="32">
        <f>IF($B$1058="","",SUMIFS(Opex_Budget!$T:$T,Opex_Budget!$A:$A,$C$3,Opex_Budget!$E:$E,$B$1058,Opex_Budget!$F:$F,$D$1058,Opex_Budget!$N:$N,"JPY")*$E$5+SUMIFS(Opex_Budget!$T:$T,Opex_Budget!$A:$A,$C$3,Opex_Budget!$E:$E,$B$1058,Opex_Budget!$F:$F,$D$1058,Opex_Budget!$N:$N,"USD")*$F$5+SUMIFS(Opex_Budget!$T:$T,Opex_Budget!$A:$A,$C$3,Opex_Budget!$E:$E,$B$1058,Opex_Budget!$F:$F,$D$1058,Opex_Budget!$N:$N,"EUR")*$G$5+SUMIFS(Opex_Budget!$T:$T,Opex_Budget!$A:$A,$C$3,Opex_Budget!$E:$E,$B$1058,Opex_Budget!$F:$F,$D$1058,Opex_Budget!$N:$N,"GBP")*$H$5)</f>
        <v/>
      </c>
      <c r="N1058" s="32">
        <f>IF($B$1058="","",SUMIFS(Opex_Budget!$U:$U,Opex_Budget!$A:$A,$C$3,Opex_Budget!$E:$E,$B$1058,Opex_Budget!$F:$F,$D$1058,Opex_Budget!$N:$N,"JPY")*$E$5+SUMIFS(Opex_Budget!$U:$U,Opex_Budget!$A:$A,$C$3,Opex_Budget!$E:$E,$B$1058,Opex_Budget!$F:$F,$D$1058,Opex_Budget!$N:$N,"USD")*$F$5+SUMIFS(Opex_Budget!$U:$U,Opex_Budget!$A:$A,$C$3,Opex_Budget!$E:$E,$B$1058,Opex_Budget!$F:$F,$D$1058,Opex_Budget!$N:$N,"EUR")*$G$5+SUMIFS(Opex_Budget!$U:$U,Opex_Budget!$A:$A,$C$3,Opex_Budget!$E:$E,$B$1058,Opex_Budget!$F:$F,$D$1058,Opex_Budget!$N:$N,"GBP")*$H$5)</f>
        <v/>
      </c>
      <c r="O1058" s="32">
        <f>IF($B$1058="","",SUMIFS(Opex_Budget!$V:$V,Opex_Budget!$A:$A,$C$3,Opex_Budget!$E:$E,$B$1058,Opex_Budget!$F:$F,$D$1058,Opex_Budget!$N:$N,"JPY")*$E$5+SUMIFS(Opex_Budget!$V:$V,Opex_Budget!$A:$A,$C$3,Opex_Budget!$E:$E,$B$1058,Opex_Budget!$F:$F,$D$1058,Opex_Budget!$N:$N,"USD")*$F$5+SUMIFS(Opex_Budget!$V:$V,Opex_Budget!$A:$A,$C$3,Opex_Budget!$E:$E,$B$1058,Opex_Budget!$F:$F,$D$1058,Opex_Budget!$N:$N,"EUR")*$G$5+SUMIFS(Opex_Budget!$V:$V,Opex_Budget!$A:$A,$C$3,Opex_Budget!$E:$E,$B$1058,Opex_Budget!$F:$F,$D$1058,Opex_Budget!$N:$N,"GBP")*$H$5)</f>
        <v/>
      </c>
      <c r="P1058" s="32">
        <f>IF($B$1058="","",SUMIFS(Opex_Budget!$W:$W,Opex_Budget!$A:$A,$C$3,Opex_Budget!$E:$E,$B$1058,Opex_Budget!$F:$F,$D$1058,Opex_Budget!$N:$N,"JPY")*$E$5+SUMIFS(Opex_Budget!$W:$W,Opex_Budget!$A:$A,$C$3,Opex_Budget!$E:$E,$B$1058,Opex_Budget!$F:$F,$D$1058,Opex_Budget!$N:$N,"USD")*$F$5+SUMIFS(Opex_Budget!$W:$W,Opex_Budget!$A:$A,$C$3,Opex_Budget!$E:$E,$B$1058,Opex_Budget!$F:$F,$D$1058,Opex_Budget!$N:$N,"EUR")*$G$5+SUMIFS(Opex_Budget!$W:$W,Opex_Budget!$A:$A,$C$3,Opex_Budget!$E:$E,$B$1058,Opex_Budget!$F:$F,$D$1058,Opex_Budget!$N:$N,"GBP")*$H$5)</f>
        <v/>
      </c>
      <c r="Q1058" s="32">
        <f>IF($B$1058="","",SUMIFS(Opex_Budget!$X:$X,Opex_Budget!$A:$A,$C$3,Opex_Budget!$E:$E,$B$1058,Opex_Budget!$F:$F,$D$1058,Opex_Budget!$N:$N,"JPY")*$E$5+SUMIFS(Opex_Budget!$X:$X,Opex_Budget!$A:$A,$C$3,Opex_Budget!$E:$E,$B$1058,Opex_Budget!$F:$F,$D$1058,Opex_Budget!$N:$N,"USD")*$F$5+SUMIFS(Opex_Budget!$X:$X,Opex_Budget!$A:$A,$C$3,Opex_Budget!$E:$E,$B$1058,Opex_Budget!$F:$F,$D$1058,Opex_Budget!$N:$N,"EUR")*$G$5+SUMIFS(Opex_Budget!$X:$X,Opex_Budget!$A:$A,$C$3,Opex_Budget!$E:$E,$B$1058,Opex_Budget!$F:$F,$D$1058,Opex_Budget!$N:$N,"GBP")*$H$5)</f>
        <v/>
      </c>
      <c r="R1058" s="32">
        <f>IF($B$1058="","",SUMIFS(Opex_Budget!$Y:$Y,Opex_Budget!$A:$A,$C$3,Opex_Budget!$E:$E,$B$1058,Opex_Budget!$F:$F,$D$1058,Opex_Budget!$N:$N,"JPY")*$E$5+SUMIFS(Opex_Budget!$Y:$Y,Opex_Budget!$A:$A,$C$3,Opex_Budget!$E:$E,$B$1058,Opex_Budget!$F:$F,$D$1058,Opex_Budget!$N:$N,"USD")*$F$5+SUMIFS(Opex_Budget!$Y:$Y,Opex_Budget!$A:$A,$C$3,Opex_Budget!$E:$E,$B$1058,Opex_Budget!$F:$F,$D$1058,Opex_Budget!$N:$N,"EUR")*$G$5+SUMIFS(Opex_Budget!$Y:$Y,Opex_Budget!$A:$A,$C$3,Opex_Budget!$E:$E,$B$1058,Opex_Budget!$F:$F,$D$1058,Opex_Budget!$N:$N,"GBP")*$H$5)</f>
        <v/>
      </c>
      <c r="S1058" s="32">
        <f>IF($B$1058="","",SUMIFS(Opex_Budget!$Z:$Z,Opex_Budget!$A:$A,$C$3,Opex_Budget!$E:$E,$B$1058,Opex_Budget!$F:$F,$D$1058,Opex_Budget!$N:$N,"JPY")*$E$5+SUMIFS(Opex_Budget!$Z:$Z,Opex_Budget!$A:$A,$C$3,Opex_Budget!$E:$E,$B$1058,Opex_Budget!$F:$F,$D$1058,Opex_Budget!$N:$N,"USD")*$F$5+SUMIFS(Opex_Budget!$Z:$Z,Opex_Budget!$A:$A,$C$3,Opex_Budget!$E:$E,$B$1058,Opex_Budget!$F:$F,$D$1058,Opex_Budget!$N:$N,"EUR")*$G$5+SUMIFS(Opex_Budget!$Z:$Z,Opex_Budget!$A:$A,$C$3,Opex_Budget!$E:$E,$B$1058,Opex_Budget!$F:$F,$D$1058,Opex_Budget!$N:$N,"GBP")*$H$5)</f>
        <v/>
      </c>
      <c r="T1058" s="32">
        <f>IF($B$1058="","",SUMIF($H$7:$S$7,"&lt;="&amp;$C$4,$H1058:$S1058))</f>
        <v/>
      </c>
      <c r="U1058" s="32">
        <f>IF($B$1058="","",SUMIF($H$7:$S$7,"&gt;"&amp;$C$4,$H1058:$S1058))</f>
        <v/>
      </c>
      <c r="V1058" s="32">
        <f>IF($B$1058="","",SUM($H1058:$S1058))</f>
        <v/>
      </c>
      <c r="X1058" s="22">
        <f>IF($B1058="","",IFERROR(INDEX(Cost_Centers!$E:$E,MATCH($B1058,Cost_Centers!$A:$A,0)),"(unknown)"))</f>
        <v/>
      </c>
      <c r="Y1058" s="22">
        <f>IF($B1058="","",IFERROR(INDEX(Cost_Centers!$D:$D,MATCH($B1058,Cost_Centers!$A:$A,0)),"(unknown)"))</f>
        <v/>
      </c>
      <c r="Z1058" s="22">
        <f>IF(OR($B1058="",$G1058&lt;&gt;"Variance vs Budget"),"",ABS(N($V1058))+ROW()/1000000000)</f>
        <v/>
      </c>
    </row>
    <row r="1059">
      <c r="A1059" s="13">
        <f>IF(A$1058="","",A$1058)</f>
        <v/>
      </c>
      <c r="B1059" s="13">
        <f>IF(B$1058="","",B$1058)</f>
        <v/>
      </c>
      <c r="C1059" s="13">
        <f>IF(C$1058="","",C$1058)</f>
        <v/>
      </c>
      <c r="D1059" s="13">
        <f>IF(D$1058="","",D$1058)</f>
        <v/>
      </c>
      <c r="E1059" s="13">
        <f>IF(E$1058="","",E$1058)</f>
        <v/>
      </c>
      <c r="F1059" s="13">
        <f>IF(F$1058="","",F$1058)</f>
        <v/>
      </c>
      <c r="G1059" s="7" t="inlineStr">
        <is>
          <t>Actual</t>
        </is>
      </c>
      <c r="H1059" s="18">
        <f>IF(OR($B$1058="",1&gt;$C$4),"",SUMIFS(Actuals!$G:$G,Actuals!$B:$B,$C$3,Actuals!$C:$C,1,Actuals!$D:$D,$B$1058,Actuals!$A:$A,LEFT($D$1058,FIND("|",$D$1058&amp;"|")-1),Actuals!$E:$E,MID($D$1058,FIND("|",$D$1058&amp;"|")+1,50),Actuals!$F:$F,"JPY")*$E$5+SUMIFS(Actuals!$G:$G,Actuals!$B:$B,$C$3,Actuals!$C:$C,1,Actuals!$D:$D,$B$1058,Actuals!$A:$A,LEFT($D$1058,FIND("|",$D$1058&amp;"|")-1),Actuals!$E:$E,MID($D$1058,FIND("|",$D$1058&amp;"|")+1,50),Actuals!$F:$F,"USD")*$F$5+SUMIFS(Actuals!$G:$G,Actuals!$B:$B,$C$3,Actuals!$C:$C,1,Actuals!$D:$D,$B$1058,Actuals!$A:$A,LEFT($D$1058,FIND("|",$D$1058&amp;"|")-1),Actuals!$E:$E,MID($D$1058,FIND("|",$D$1058&amp;"|")+1,50),Actuals!$F:$F,"EUR")*$G$5+SUMIFS(Actuals!$G:$G,Actuals!$B:$B,$C$3,Actuals!$C:$C,1,Actuals!$D:$D,$B$1058,Actuals!$A:$A,LEFT($D$1058,FIND("|",$D$1058&amp;"|")-1),Actuals!$E:$E,MID($D$1058,FIND("|",$D$1058&amp;"|")+1,50),Actuals!$F:$F,"GBP")*$H$5)</f>
        <v/>
      </c>
      <c r="I1059" s="18">
        <f>IF(OR($B$1058="",2&gt;$C$4),"",SUMIFS(Actuals!$G:$G,Actuals!$B:$B,$C$3,Actuals!$C:$C,2,Actuals!$D:$D,$B$1058,Actuals!$A:$A,LEFT($D$1058,FIND("|",$D$1058&amp;"|")-1),Actuals!$E:$E,MID($D$1058,FIND("|",$D$1058&amp;"|")+1,50),Actuals!$F:$F,"JPY")*$E$5+SUMIFS(Actuals!$G:$G,Actuals!$B:$B,$C$3,Actuals!$C:$C,2,Actuals!$D:$D,$B$1058,Actuals!$A:$A,LEFT($D$1058,FIND("|",$D$1058&amp;"|")-1),Actuals!$E:$E,MID($D$1058,FIND("|",$D$1058&amp;"|")+1,50),Actuals!$F:$F,"USD")*$F$5+SUMIFS(Actuals!$G:$G,Actuals!$B:$B,$C$3,Actuals!$C:$C,2,Actuals!$D:$D,$B$1058,Actuals!$A:$A,LEFT($D$1058,FIND("|",$D$1058&amp;"|")-1),Actuals!$E:$E,MID($D$1058,FIND("|",$D$1058&amp;"|")+1,50),Actuals!$F:$F,"EUR")*$G$5+SUMIFS(Actuals!$G:$G,Actuals!$B:$B,$C$3,Actuals!$C:$C,2,Actuals!$D:$D,$B$1058,Actuals!$A:$A,LEFT($D$1058,FIND("|",$D$1058&amp;"|")-1),Actuals!$E:$E,MID($D$1058,FIND("|",$D$1058&amp;"|")+1,50),Actuals!$F:$F,"GBP")*$H$5)</f>
        <v/>
      </c>
      <c r="J1059" s="18">
        <f>IF(OR($B$1058="",3&gt;$C$4),"",SUMIFS(Actuals!$G:$G,Actuals!$B:$B,$C$3,Actuals!$C:$C,3,Actuals!$D:$D,$B$1058,Actuals!$A:$A,LEFT($D$1058,FIND("|",$D$1058&amp;"|")-1),Actuals!$E:$E,MID($D$1058,FIND("|",$D$1058&amp;"|")+1,50),Actuals!$F:$F,"JPY")*$E$5+SUMIFS(Actuals!$G:$G,Actuals!$B:$B,$C$3,Actuals!$C:$C,3,Actuals!$D:$D,$B$1058,Actuals!$A:$A,LEFT($D$1058,FIND("|",$D$1058&amp;"|")-1),Actuals!$E:$E,MID($D$1058,FIND("|",$D$1058&amp;"|")+1,50),Actuals!$F:$F,"USD")*$F$5+SUMIFS(Actuals!$G:$G,Actuals!$B:$B,$C$3,Actuals!$C:$C,3,Actuals!$D:$D,$B$1058,Actuals!$A:$A,LEFT($D$1058,FIND("|",$D$1058&amp;"|")-1),Actuals!$E:$E,MID($D$1058,FIND("|",$D$1058&amp;"|")+1,50),Actuals!$F:$F,"EUR")*$G$5+SUMIFS(Actuals!$G:$G,Actuals!$B:$B,$C$3,Actuals!$C:$C,3,Actuals!$D:$D,$B$1058,Actuals!$A:$A,LEFT($D$1058,FIND("|",$D$1058&amp;"|")-1),Actuals!$E:$E,MID($D$1058,FIND("|",$D$1058&amp;"|")+1,50),Actuals!$F:$F,"GBP")*$H$5)</f>
        <v/>
      </c>
      <c r="K1059" s="18">
        <f>IF(OR($B$1058="",4&gt;$C$4),"",SUMIFS(Actuals!$G:$G,Actuals!$B:$B,$C$3,Actuals!$C:$C,4,Actuals!$D:$D,$B$1058,Actuals!$A:$A,LEFT($D$1058,FIND("|",$D$1058&amp;"|")-1),Actuals!$E:$E,MID($D$1058,FIND("|",$D$1058&amp;"|")+1,50),Actuals!$F:$F,"JPY")*$E$5+SUMIFS(Actuals!$G:$G,Actuals!$B:$B,$C$3,Actuals!$C:$C,4,Actuals!$D:$D,$B$1058,Actuals!$A:$A,LEFT($D$1058,FIND("|",$D$1058&amp;"|")-1),Actuals!$E:$E,MID($D$1058,FIND("|",$D$1058&amp;"|")+1,50),Actuals!$F:$F,"USD")*$F$5+SUMIFS(Actuals!$G:$G,Actuals!$B:$B,$C$3,Actuals!$C:$C,4,Actuals!$D:$D,$B$1058,Actuals!$A:$A,LEFT($D$1058,FIND("|",$D$1058&amp;"|")-1),Actuals!$E:$E,MID($D$1058,FIND("|",$D$1058&amp;"|")+1,50),Actuals!$F:$F,"EUR")*$G$5+SUMIFS(Actuals!$G:$G,Actuals!$B:$B,$C$3,Actuals!$C:$C,4,Actuals!$D:$D,$B$1058,Actuals!$A:$A,LEFT($D$1058,FIND("|",$D$1058&amp;"|")-1),Actuals!$E:$E,MID($D$1058,FIND("|",$D$1058&amp;"|")+1,50),Actuals!$F:$F,"GBP")*$H$5)</f>
        <v/>
      </c>
      <c r="L1059" s="18">
        <f>IF(OR($B$1058="",5&gt;$C$4),"",SUMIFS(Actuals!$G:$G,Actuals!$B:$B,$C$3,Actuals!$C:$C,5,Actuals!$D:$D,$B$1058,Actuals!$A:$A,LEFT($D$1058,FIND("|",$D$1058&amp;"|")-1),Actuals!$E:$E,MID($D$1058,FIND("|",$D$1058&amp;"|")+1,50),Actuals!$F:$F,"JPY")*$E$5+SUMIFS(Actuals!$G:$G,Actuals!$B:$B,$C$3,Actuals!$C:$C,5,Actuals!$D:$D,$B$1058,Actuals!$A:$A,LEFT($D$1058,FIND("|",$D$1058&amp;"|")-1),Actuals!$E:$E,MID($D$1058,FIND("|",$D$1058&amp;"|")+1,50),Actuals!$F:$F,"USD")*$F$5+SUMIFS(Actuals!$G:$G,Actuals!$B:$B,$C$3,Actuals!$C:$C,5,Actuals!$D:$D,$B$1058,Actuals!$A:$A,LEFT($D$1058,FIND("|",$D$1058&amp;"|")-1),Actuals!$E:$E,MID($D$1058,FIND("|",$D$1058&amp;"|")+1,50),Actuals!$F:$F,"EUR")*$G$5+SUMIFS(Actuals!$G:$G,Actuals!$B:$B,$C$3,Actuals!$C:$C,5,Actuals!$D:$D,$B$1058,Actuals!$A:$A,LEFT($D$1058,FIND("|",$D$1058&amp;"|")-1),Actuals!$E:$E,MID($D$1058,FIND("|",$D$1058&amp;"|")+1,50),Actuals!$F:$F,"GBP")*$H$5)</f>
        <v/>
      </c>
      <c r="M1059" s="18">
        <f>IF(OR($B$1058="",6&gt;$C$4),"",SUMIFS(Actuals!$G:$G,Actuals!$B:$B,$C$3,Actuals!$C:$C,6,Actuals!$D:$D,$B$1058,Actuals!$A:$A,LEFT($D$1058,FIND("|",$D$1058&amp;"|")-1),Actuals!$E:$E,MID($D$1058,FIND("|",$D$1058&amp;"|")+1,50),Actuals!$F:$F,"JPY")*$E$5+SUMIFS(Actuals!$G:$G,Actuals!$B:$B,$C$3,Actuals!$C:$C,6,Actuals!$D:$D,$B$1058,Actuals!$A:$A,LEFT($D$1058,FIND("|",$D$1058&amp;"|")-1),Actuals!$E:$E,MID($D$1058,FIND("|",$D$1058&amp;"|")+1,50),Actuals!$F:$F,"USD")*$F$5+SUMIFS(Actuals!$G:$G,Actuals!$B:$B,$C$3,Actuals!$C:$C,6,Actuals!$D:$D,$B$1058,Actuals!$A:$A,LEFT($D$1058,FIND("|",$D$1058&amp;"|")-1),Actuals!$E:$E,MID($D$1058,FIND("|",$D$1058&amp;"|")+1,50),Actuals!$F:$F,"EUR")*$G$5+SUMIFS(Actuals!$G:$G,Actuals!$B:$B,$C$3,Actuals!$C:$C,6,Actuals!$D:$D,$B$1058,Actuals!$A:$A,LEFT($D$1058,FIND("|",$D$1058&amp;"|")-1),Actuals!$E:$E,MID($D$1058,FIND("|",$D$1058&amp;"|")+1,50),Actuals!$F:$F,"GBP")*$H$5)</f>
        <v/>
      </c>
      <c r="N1059" s="18">
        <f>IF(OR($B$1058="",7&gt;$C$4),"",SUMIFS(Actuals!$G:$G,Actuals!$B:$B,$C$3,Actuals!$C:$C,7,Actuals!$D:$D,$B$1058,Actuals!$A:$A,LEFT($D$1058,FIND("|",$D$1058&amp;"|")-1),Actuals!$E:$E,MID($D$1058,FIND("|",$D$1058&amp;"|")+1,50),Actuals!$F:$F,"JPY")*$E$5+SUMIFS(Actuals!$G:$G,Actuals!$B:$B,$C$3,Actuals!$C:$C,7,Actuals!$D:$D,$B$1058,Actuals!$A:$A,LEFT($D$1058,FIND("|",$D$1058&amp;"|")-1),Actuals!$E:$E,MID($D$1058,FIND("|",$D$1058&amp;"|")+1,50),Actuals!$F:$F,"USD")*$F$5+SUMIFS(Actuals!$G:$G,Actuals!$B:$B,$C$3,Actuals!$C:$C,7,Actuals!$D:$D,$B$1058,Actuals!$A:$A,LEFT($D$1058,FIND("|",$D$1058&amp;"|")-1),Actuals!$E:$E,MID($D$1058,FIND("|",$D$1058&amp;"|")+1,50),Actuals!$F:$F,"EUR")*$G$5+SUMIFS(Actuals!$G:$G,Actuals!$B:$B,$C$3,Actuals!$C:$C,7,Actuals!$D:$D,$B$1058,Actuals!$A:$A,LEFT($D$1058,FIND("|",$D$1058&amp;"|")-1),Actuals!$E:$E,MID($D$1058,FIND("|",$D$1058&amp;"|")+1,50),Actuals!$F:$F,"GBP")*$H$5)</f>
        <v/>
      </c>
      <c r="O1059" s="18">
        <f>IF(OR($B$1058="",8&gt;$C$4),"",SUMIFS(Actuals!$G:$G,Actuals!$B:$B,$C$3,Actuals!$C:$C,8,Actuals!$D:$D,$B$1058,Actuals!$A:$A,LEFT($D$1058,FIND("|",$D$1058&amp;"|")-1),Actuals!$E:$E,MID($D$1058,FIND("|",$D$1058&amp;"|")+1,50),Actuals!$F:$F,"JPY")*$E$5+SUMIFS(Actuals!$G:$G,Actuals!$B:$B,$C$3,Actuals!$C:$C,8,Actuals!$D:$D,$B$1058,Actuals!$A:$A,LEFT($D$1058,FIND("|",$D$1058&amp;"|")-1),Actuals!$E:$E,MID($D$1058,FIND("|",$D$1058&amp;"|")+1,50),Actuals!$F:$F,"USD")*$F$5+SUMIFS(Actuals!$G:$G,Actuals!$B:$B,$C$3,Actuals!$C:$C,8,Actuals!$D:$D,$B$1058,Actuals!$A:$A,LEFT($D$1058,FIND("|",$D$1058&amp;"|")-1),Actuals!$E:$E,MID($D$1058,FIND("|",$D$1058&amp;"|")+1,50),Actuals!$F:$F,"EUR")*$G$5+SUMIFS(Actuals!$G:$G,Actuals!$B:$B,$C$3,Actuals!$C:$C,8,Actuals!$D:$D,$B$1058,Actuals!$A:$A,LEFT($D$1058,FIND("|",$D$1058&amp;"|")-1),Actuals!$E:$E,MID($D$1058,FIND("|",$D$1058&amp;"|")+1,50),Actuals!$F:$F,"GBP")*$H$5)</f>
        <v/>
      </c>
      <c r="P1059" s="18">
        <f>IF(OR($B$1058="",9&gt;$C$4),"",SUMIFS(Actuals!$G:$G,Actuals!$B:$B,$C$3,Actuals!$C:$C,9,Actuals!$D:$D,$B$1058,Actuals!$A:$A,LEFT($D$1058,FIND("|",$D$1058&amp;"|")-1),Actuals!$E:$E,MID($D$1058,FIND("|",$D$1058&amp;"|")+1,50),Actuals!$F:$F,"JPY")*$E$5+SUMIFS(Actuals!$G:$G,Actuals!$B:$B,$C$3,Actuals!$C:$C,9,Actuals!$D:$D,$B$1058,Actuals!$A:$A,LEFT($D$1058,FIND("|",$D$1058&amp;"|")-1),Actuals!$E:$E,MID($D$1058,FIND("|",$D$1058&amp;"|")+1,50),Actuals!$F:$F,"USD")*$F$5+SUMIFS(Actuals!$G:$G,Actuals!$B:$B,$C$3,Actuals!$C:$C,9,Actuals!$D:$D,$B$1058,Actuals!$A:$A,LEFT($D$1058,FIND("|",$D$1058&amp;"|")-1),Actuals!$E:$E,MID($D$1058,FIND("|",$D$1058&amp;"|")+1,50),Actuals!$F:$F,"EUR")*$G$5+SUMIFS(Actuals!$G:$G,Actuals!$B:$B,$C$3,Actuals!$C:$C,9,Actuals!$D:$D,$B$1058,Actuals!$A:$A,LEFT($D$1058,FIND("|",$D$1058&amp;"|")-1),Actuals!$E:$E,MID($D$1058,FIND("|",$D$1058&amp;"|")+1,50),Actuals!$F:$F,"GBP")*$H$5)</f>
        <v/>
      </c>
      <c r="Q1059" s="18">
        <f>IF(OR($B$1058="",10&gt;$C$4),"",SUMIFS(Actuals!$G:$G,Actuals!$B:$B,$C$3,Actuals!$C:$C,10,Actuals!$D:$D,$B$1058,Actuals!$A:$A,LEFT($D$1058,FIND("|",$D$1058&amp;"|")-1),Actuals!$E:$E,MID($D$1058,FIND("|",$D$1058&amp;"|")+1,50),Actuals!$F:$F,"JPY")*$E$5+SUMIFS(Actuals!$G:$G,Actuals!$B:$B,$C$3,Actuals!$C:$C,10,Actuals!$D:$D,$B$1058,Actuals!$A:$A,LEFT($D$1058,FIND("|",$D$1058&amp;"|")-1),Actuals!$E:$E,MID($D$1058,FIND("|",$D$1058&amp;"|")+1,50),Actuals!$F:$F,"USD")*$F$5+SUMIFS(Actuals!$G:$G,Actuals!$B:$B,$C$3,Actuals!$C:$C,10,Actuals!$D:$D,$B$1058,Actuals!$A:$A,LEFT($D$1058,FIND("|",$D$1058&amp;"|")-1),Actuals!$E:$E,MID($D$1058,FIND("|",$D$1058&amp;"|")+1,50),Actuals!$F:$F,"EUR")*$G$5+SUMIFS(Actuals!$G:$G,Actuals!$B:$B,$C$3,Actuals!$C:$C,10,Actuals!$D:$D,$B$1058,Actuals!$A:$A,LEFT($D$1058,FIND("|",$D$1058&amp;"|")-1),Actuals!$E:$E,MID($D$1058,FIND("|",$D$1058&amp;"|")+1,50),Actuals!$F:$F,"GBP")*$H$5)</f>
        <v/>
      </c>
      <c r="R1059" s="18">
        <f>IF(OR($B$1058="",11&gt;$C$4),"",SUMIFS(Actuals!$G:$G,Actuals!$B:$B,$C$3,Actuals!$C:$C,11,Actuals!$D:$D,$B$1058,Actuals!$A:$A,LEFT($D$1058,FIND("|",$D$1058&amp;"|")-1),Actuals!$E:$E,MID($D$1058,FIND("|",$D$1058&amp;"|")+1,50),Actuals!$F:$F,"JPY")*$E$5+SUMIFS(Actuals!$G:$G,Actuals!$B:$B,$C$3,Actuals!$C:$C,11,Actuals!$D:$D,$B$1058,Actuals!$A:$A,LEFT($D$1058,FIND("|",$D$1058&amp;"|")-1),Actuals!$E:$E,MID($D$1058,FIND("|",$D$1058&amp;"|")+1,50),Actuals!$F:$F,"USD")*$F$5+SUMIFS(Actuals!$G:$G,Actuals!$B:$B,$C$3,Actuals!$C:$C,11,Actuals!$D:$D,$B$1058,Actuals!$A:$A,LEFT($D$1058,FIND("|",$D$1058&amp;"|")-1),Actuals!$E:$E,MID($D$1058,FIND("|",$D$1058&amp;"|")+1,50),Actuals!$F:$F,"EUR")*$G$5+SUMIFS(Actuals!$G:$G,Actuals!$B:$B,$C$3,Actuals!$C:$C,11,Actuals!$D:$D,$B$1058,Actuals!$A:$A,LEFT($D$1058,FIND("|",$D$1058&amp;"|")-1),Actuals!$E:$E,MID($D$1058,FIND("|",$D$1058&amp;"|")+1,50),Actuals!$F:$F,"GBP")*$H$5)</f>
        <v/>
      </c>
      <c r="S1059" s="18">
        <f>IF(OR($B$1058="",12&gt;$C$4),"",SUMIFS(Actuals!$G:$G,Actuals!$B:$B,$C$3,Actuals!$C:$C,12,Actuals!$D:$D,$B$1058,Actuals!$A:$A,LEFT($D$1058,FIND("|",$D$1058&amp;"|")-1),Actuals!$E:$E,MID($D$1058,FIND("|",$D$1058&amp;"|")+1,50),Actuals!$F:$F,"JPY")*$E$5+SUMIFS(Actuals!$G:$G,Actuals!$B:$B,$C$3,Actuals!$C:$C,12,Actuals!$D:$D,$B$1058,Actuals!$A:$A,LEFT($D$1058,FIND("|",$D$1058&amp;"|")-1),Actuals!$E:$E,MID($D$1058,FIND("|",$D$1058&amp;"|")+1,50),Actuals!$F:$F,"USD")*$F$5+SUMIFS(Actuals!$G:$G,Actuals!$B:$B,$C$3,Actuals!$C:$C,12,Actuals!$D:$D,$B$1058,Actuals!$A:$A,LEFT($D$1058,FIND("|",$D$1058&amp;"|")-1),Actuals!$E:$E,MID($D$1058,FIND("|",$D$1058&amp;"|")+1,50),Actuals!$F:$F,"EUR")*$G$5+SUMIFS(Actuals!$G:$G,Actuals!$B:$B,$C$3,Actuals!$C:$C,12,Actuals!$D:$D,$B$1058,Actuals!$A:$A,LEFT($D$1058,FIND("|",$D$1058&amp;"|")-1),Actuals!$E:$E,MID($D$1058,FIND("|",$D$1058&amp;"|")+1,50),Actuals!$F:$F,"GBP")*$H$5)</f>
        <v/>
      </c>
      <c r="T1059" s="18">
        <f>IF($B$1058="","",SUMIF($H$7:$S$7,"&lt;="&amp;$C$4,$H1059:$S1059))</f>
        <v/>
      </c>
      <c r="U1059" s="18" t="n"/>
      <c r="V1059" s="18" t="n"/>
      <c r="X1059" s="22">
        <f>IF($B1059="","",IFERROR(INDEX(Cost_Centers!$E:$E,MATCH($B1059,Cost_Centers!$A:$A,0)),"(unknown)"))</f>
        <v/>
      </c>
      <c r="Y1059" s="22">
        <f>IF($B1059="","",IFERROR(INDEX(Cost_Centers!$D:$D,MATCH($B1059,Cost_Centers!$A:$A,0)),"(unknown)"))</f>
        <v/>
      </c>
      <c r="Z1059" s="22">
        <f>IF(OR($B1059="",$G1059&lt;&gt;"Variance vs Budget"),"",ABS(N($V1059))+ROW()/1000000000)</f>
        <v/>
      </c>
    </row>
    <row r="1060">
      <c r="A1060" s="13">
        <f>IF(A$1058="","",A$1058)</f>
        <v/>
      </c>
      <c r="B1060" s="13">
        <f>IF(B$1058="","",B$1058)</f>
        <v/>
      </c>
      <c r="C1060" s="13">
        <f>IF(C$1058="","",C$1058)</f>
        <v/>
      </c>
      <c r="D1060" s="13">
        <f>IF(D$1058="","",D$1058)</f>
        <v/>
      </c>
      <c r="E1060" s="13">
        <f>IF(E$1058="","",E$1058)</f>
        <v/>
      </c>
      <c r="F1060" s="13">
        <f>IF(F$1058="","",F$1058)</f>
        <v/>
      </c>
      <c r="G1060" s="6" t="inlineStr">
        <is>
          <t>Variance vs Budget</t>
        </is>
      </c>
      <c r="H1060" s="33">
        <f>IF(OR($B$1058="",1&gt;$C$4),"",N(H1059)-H1058)</f>
        <v/>
      </c>
      <c r="I1060" s="33">
        <f>IF(OR($B$1058="",2&gt;$C$4),"",N(I1059)-I1058)</f>
        <v/>
      </c>
      <c r="J1060" s="33">
        <f>IF(OR($B$1058="",3&gt;$C$4),"",N(J1059)-J1058)</f>
        <v/>
      </c>
      <c r="K1060" s="33">
        <f>IF(OR($B$1058="",4&gt;$C$4),"",N(K1059)-K1058)</f>
        <v/>
      </c>
      <c r="L1060" s="33">
        <f>IF(OR($B$1058="",5&gt;$C$4),"",N(L1059)-L1058)</f>
        <v/>
      </c>
      <c r="M1060" s="33">
        <f>IF(OR($B$1058="",6&gt;$C$4),"",N(M1059)-M1058)</f>
        <v/>
      </c>
      <c r="N1060" s="33">
        <f>IF(OR($B$1058="",7&gt;$C$4),"",N(N1059)-N1058)</f>
        <v/>
      </c>
      <c r="O1060" s="33">
        <f>IF(OR($B$1058="",8&gt;$C$4),"",N(O1059)-O1058)</f>
        <v/>
      </c>
      <c r="P1060" s="33">
        <f>IF(OR($B$1058="",9&gt;$C$4),"",N(P1059)-P1058)</f>
        <v/>
      </c>
      <c r="Q1060" s="33">
        <f>IF(OR($B$1058="",10&gt;$C$4),"",N(Q1059)-Q1058)</f>
        <v/>
      </c>
      <c r="R1060" s="33">
        <f>IF(OR($B$1058="",11&gt;$C$4),"",N(R1059)-R1058)</f>
        <v/>
      </c>
      <c r="S1060" s="33">
        <f>IF(OR($B$1058="",12&gt;$C$4),"",N(S1059)-S1058)</f>
        <v/>
      </c>
      <c r="T1060" s="33">
        <f>IF($B$1058="","",T1059-T1058)</f>
        <v/>
      </c>
      <c r="U1060" s="33">
        <f>IF($B$1058="","",U1062-U1058)</f>
        <v/>
      </c>
      <c r="V1060" s="33">
        <f>IF($B$1058="","",V1062-V1058)</f>
        <v/>
      </c>
      <c r="X1060" s="22">
        <f>IF($B1060="","",IFERROR(INDEX(Cost_Centers!$E:$E,MATCH($B1060,Cost_Centers!$A:$A,0)),"(unknown)"))</f>
        <v/>
      </c>
      <c r="Y1060" s="22">
        <f>IF($B1060="","",IFERROR(INDEX(Cost_Centers!$D:$D,MATCH($B1060,Cost_Centers!$A:$A,0)),"(unknown)"))</f>
        <v/>
      </c>
      <c r="Z1060" s="22">
        <f>IF(OR($B1060="",$G1060&lt;&gt;"Variance vs Budget"),"",ABS(N($V1060))+ROW()/1000000000)</f>
        <v/>
      </c>
    </row>
    <row r="1061">
      <c r="A1061" s="13">
        <f>IF(A$1058="","",A$1058)</f>
        <v/>
      </c>
      <c r="B1061" s="13">
        <f>IF(B$1058="","",B$1058)</f>
        <v/>
      </c>
      <c r="C1061" s="13">
        <f>IF(C$1058="","",C$1058)</f>
        <v/>
      </c>
      <c r="D1061" s="13">
        <f>IF(D$1058="","",D$1058)</f>
        <v/>
      </c>
      <c r="E1061" s="13">
        <f>IF(E$1058="","",E$1058)</f>
        <v/>
      </c>
      <c r="F1061" s="13">
        <f>IF(F$1058="","",F$1058)</f>
        <v/>
      </c>
      <c r="G1061" s="7" t="inlineStr">
        <is>
          <t>Forecast (input)</t>
        </is>
      </c>
      <c r="H1061" s="34" t="n"/>
      <c r="I1061" s="34" t="n"/>
      <c r="J1061" s="34" t="n"/>
      <c r="K1061" s="34" t="n"/>
      <c r="L1061" s="34" t="n"/>
      <c r="M1061" s="34" t="n"/>
      <c r="N1061" s="34" t="n"/>
      <c r="O1061" s="34" t="n"/>
      <c r="P1061" s="34" t="n"/>
      <c r="Q1061" s="34" t="n"/>
      <c r="R1061" s="34" t="n"/>
      <c r="S1061" s="34" t="n"/>
      <c r="T1061" s="18" t="n"/>
      <c r="U1061" s="18" t="n"/>
      <c r="V1061" s="18" t="n"/>
      <c r="X1061" s="22">
        <f>IF($B1061="","",IFERROR(INDEX(Cost_Centers!$E:$E,MATCH($B1061,Cost_Centers!$A:$A,0)),"(unknown)"))</f>
        <v/>
      </c>
      <c r="Y1061" s="22">
        <f>IF($B1061="","",IFERROR(INDEX(Cost_Centers!$D:$D,MATCH($B1061,Cost_Centers!$A:$A,0)),"(unknown)"))</f>
        <v/>
      </c>
      <c r="Z1061" s="22">
        <f>IF(OR($B1061="",$G1061&lt;&gt;"Variance vs Budget"),"",ABS(N($V1061))+ROW()/1000000000)</f>
        <v/>
      </c>
    </row>
    <row r="1062">
      <c r="A1062" s="13">
        <f>IF(A$1058="","",A$1058)</f>
        <v/>
      </c>
      <c r="B1062" s="13">
        <f>IF(B$1058="","",B$1058)</f>
        <v/>
      </c>
      <c r="C1062" s="13">
        <f>IF(C$1058="","",C$1058)</f>
        <v/>
      </c>
      <c r="D1062" s="13">
        <f>IF(D$1058="","",D$1058)</f>
        <v/>
      </c>
      <c r="E1062" s="13">
        <f>IF(E$1058="","",E$1058)</f>
        <v/>
      </c>
      <c r="F1062" s="13">
        <f>IF(F$1058="","",F$1058)</f>
        <v/>
      </c>
      <c r="G1062" s="35" t="inlineStr">
        <is>
          <t>Actual + Forecast</t>
        </is>
      </c>
      <c r="H1062" s="18">
        <f>IF($B$1058="","",IF(1&lt;=$C$4,N(H1059),IF(H1061="",H1058,H1061)))</f>
        <v/>
      </c>
      <c r="I1062" s="18">
        <f>IF($B$1058="","",IF(2&lt;=$C$4,N(I1059),IF(I1061="",I1058,I1061)))</f>
        <v/>
      </c>
      <c r="J1062" s="18">
        <f>IF($B$1058="","",IF(3&lt;=$C$4,N(J1059),IF(J1061="",J1058,J1061)))</f>
        <v/>
      </c>
      <c r="K1062" s="18">
        <f>IF($B$1058="","",IF(4&lt;=$C$4,N(K1059),IF(K1061="",K1058,K1061)))</f>
        <v/>
      </c>
      <c r="L1062" s="18">
        <f>IF($B$1058="","",IF(5&lt;=$C$4,N(L1059),IF(L1061="",L1058,L1061)))</f>
        <v/>
      </c>
      <c r="M1062" s="18">
        <f>IF($B$1058="","",IF(6&lt;=$C$4,N(M1059),IF(M1061="",M1058,M1061)))</f>
        <v/>
      </c>
      <c r="N1062" s="18">
        <f>IF($B$1058="","",IF(7&lt;=$C$4,N(N1059),IF(N1061="",N1058,N1061)))</f>
        <v/>
      </c>
      <c r="O1062" s="18">
        <f>IF($B$1058="","",IF(8&lt;=$C$4,N(O1059),IF(O1061="",O1058,O1061)))</f>
        <v/>
      </c>
      <c r="P1062" s="18">
        <f>IF($B$1058="","",IF(9&lt;=$C$4,N(P1059),IF(P1061="",P1058,P1061)))</f>
        <v/>
      </c>
      <c r="Q1062" s="18">
        <f>IF($B$1058="","",IF(10&lt;=$C$4,N(Q1059),IF(Q1061="",Q1058,Q1061)))</f>
        <v/>
      </c>
      <c r="R1062" s="18">
        <f>IF($B$1058="","",IF(11&lt;=$C$4,N(R1059),IF(R1061="",R1058,R1061)))</f>
        <v/>
      </c>
      <c r="S1062" s="18">
        <f>IF($B$1058="","",IF(12&lt;=$C$4,N(S1059),IF(S1061="",S1058,S1061)))</f>
        <v/>
      </c>
      <c r="T1062" s="18">
        <f>IF($B$1058="","",SUMIF($H$7:$S$7,"&lt;="&amp;$C$4,$H1062:$S1062))</f>
        <v/>
      </c>
      <c r="U1062" s="18">
        <f>IF($B$1058="","",SUMIF($H$7:$S$7,"&gt;"&amp;$C$4,$H1062:$S1062))</f>
        <v/>
      </c>
      <c r="V1062" s="18">
        <f>IF($B$1058="","",SUM($H1062:$S1062))</f>
        <v/>
      </c>
      <c r="X1062" s="22">
        <f>IF($B1062="","",IFERROR(INDEX(Cost_Centers!$E:$E,MATCH($B1062,Cost_Centers!$A:$A,0)),"(unknown)"))</f>
        <v/>
      </c>
      <c r="Y1062" s="22">
        <f>IF($B1062="","",IFERROR(INDEX(Cost_Centers!$D:$D,MATCH($B1062,Cost_Centers!$A:$A,0)),"(unknown)"))</f>
        <v/>
      </c>
      <c r="Z1062" s="22">
        <f>IF(OR($B1062="",$G1062&lt;&gt;"Variance vs Budget"),"",ABS(N($V1062))+ROW()/1000000000)</f>
        <v/>
      </c>
    </row>
    <row r="1063">
      <c r="A1063" s="13">
        <f>IF(A$1058="","",A$1058)</f>
        <v/>
      </c>
      <c r="B1063" s="13">
        <f>IF(B$1058="","",B$1058)</f>
        <v/>
      </c>
      <c r="C1063" s="13">
        <f>IF(C$1058="","",C$1058)</f>
        <v/>
      </c>
      <c r="D1063" s="13">
        <f>IF(D$1058="","",D$1058)</f>
        <v/>
      </c>
      <c r="E1063" s="13">
        <f>IF(E$1058="","",E$1058)</f>
        <v/>
      </c>
      <c r="F1063" s="13">
        <f>IF(F$1058="","",F$1058)</f>
        <v/>
      </c>
      <c r="G1063" s="36" t="inlineStr">
        <is>
          <t>Prior Month Forecast</t>
        </is>
      </c>
      <c r="H1063" s="37">
        <f>IF($B$1058="","",IF(COUNTIFS(Prior_Forecast!$A:$A,$B$1058,Prior_Forecast!$B:$B,$D$1058)&gt;0,SUMIFS(Prior_Forecast!$C:$C,Prior_Forecast!$A:$A,$B$1058,Prior_Forecast!$B:$B,$D$1058),""))</f>
        <v/>
      </c>
      <c r="I1063" s="37">
        <f>IF($B$1058="","",IF(COUNTIFS(Prior_Forecast!$A:$A,$B$1058,Prior_Forecast!$B:$B,$D$1058)&gt;0,SUMIFS(Prior_Forecast!$D:$D,Prior_Forecast!$A:$A,$B$1058,Prior_Forecast!$B:$B,$D$1058),""))</f>
        <v/>
      </c>
      <c r="J1063" s="37">
        <f>IF($B$1058="","",IF(COUNTIFS(Prior_Forecast!$A:$A,$B$1058,Prior_Forecast!$B:$B,$D$1058)&gt;0,SUMIFS(Prior_Forecast!$E:$E,Prior_Forecast!$A:$A,$B$1058,Prior_Forecast!$B:$B,$D$1058),""))</f>
        <v/>
      </c>
      <c r="K1063" s="37">
        <f>IF($B$1058="","",IF(COUNTIFS(Prior_Forecast!$A:$A,$B$1058,Prior_Forecast!$B:$B,$D$1058)&gt;0,SUMIFS(Prior_Forecast!$F:$F,Prior_Forecast!$A:$A,$B$1058,Prior_Forecast!$B:$B,$D$1058),""))</f>
        <v/>
      </c>
      <c r="L1063" s="37">
        <f>IF($B$1058="","",IF(COUNTIFS(Prior_Forecast!$A:$A,$B$1058,Prior_Forecast!$B:$B,$D$1058)&gt;0,SUMIFS(Prior_Forecast!$G:$G,Prior_Forecast!$A:$A,$B$1058,Prior_Forecast!$B:$B,$D$1058),""))</f>
        <v/>
      </c>
      <c r="M1063" s="37">
        <f>IF($B$1058="","",IF(COUNTIFS(Prior_Forecast!$A:$A,$B$1058,Prior_Forecast!$B:$B,$D$1058)&gt;0,SUMIFS(Prior_Forecast!$H:$H,Prior_Forecast!$A:$A,$B$1058,Prior_Forecast!$B:$B,$D$1058),""))</f>
        <v/>
      </c>
      <c r="N1063" s="37">
        <f>IF($B$1058="","",IF(COUNTIFS(Prior_Forecast!$A:$A,$B$1058,Prior_Forecast!$B:$B,$D$1058)&gt;0,SUMIFS(Prior_Forecast!$I:$I,Prior_Forecast!$A:$A,$B$1058,Prior_Forecast!$B:$B,$D$1058),""))</f>
        <v/>
      </c>
      <c r="O1063" s="37">
        <f>IF($B$1058="","",IF(COUNTIFS(Prior_Forecast!$A:$A,$B$1058,Prior_Forecast!$B:$B,$D$1058)&gt;0,SUMIFS(Prior_Forecast!$J:$J,Prior_Forecast!$A:$A,$B$1058,Prior_Forecast!$B:$B,$D$1058),""))</f>
        <v/>
      </c>
      <c r="P1063" s="37">
        <f>IF($B$1058="","",IF(COUNTIFS(Prior_Forecast!$A:$A,$B$1058,Prior_Forecast!$B:$B,$D$1058)&gt;0,SUMIFS(Prior_Forecast!$K:$K,Prior_Forecast!$A:$A,$B$1058,Prior_Forecast!$B:$B,$D$1058),""))</f>
        <v/>
      </c>
      <c r="Q1063" s="37">
        <f>IF($B$1058="","",IF(COUNTIFS(Prior_Forecast!$A:$A,$B$1058,Prior_Forecast!$B:$B,$D$1058)&gt;0,SUMIFS(Prior_Forecast!$L:$L,Prior_Forecast!$A:$A,$B$1058,Prior_Forecast!$B:$B,$D$1058),""))</f>
        <v/>
      </c>
      <c r="R1063" s="37">
        <f>IF($B$1058="","",IF(COUNTIFS(Prior_Forecast!$A:$A,$B$1058,Prior_Forecast!$B:$B,$D$1058)&gt;0,SUMIFS(Prior_Forecast!$M:$M,Prior_Forecast!$A:$A,$B$1058,Prior_Forecast!$B:$B,$D$1058),""))</f>
        <v/>
      </c>
      <c r="S1063" s="37">
        <f>IF($B$1058="","",IF(COUNTIFS(Prior_Forecast!$A:$A,$B$1058,Prior_Forecast!$B:$B,$D$1058)&gt;0,SUMIFS(Prior_Forecast!$N:$N,Prior_Forecast!$A:$A,$B$1058,Prior_Forecast!$B:$B,$D$1058),""))</f>
        <v/>
      </c>
      <c r="T1063" s="37">
        <f>IF($B$1058="","",IF(COUNTIFS(Prior_Forecast!$A:$A,$B$1058,Prior_Forecast!$B:$B,$D$1058)&gt;0,SUMIFS(Prior_Forecast!$O:$O,Prior_Forecast!$A:$A,$B$1058,Prior_Forecast!$B:$B,$D$1058),""))</f>
        <v/>
      </c>
      <c r="U1063" s="37">
        <f>IF($B$1058="","",IF(COUNTIFS(Prior_Forecast!$A:$A,$B$1058,Prior_Forecast!$B:$B,$D$1058)&gt;0,SUMIFS(Prior_Forecast!$P:$P,Prior_Forecast!$A:$A,$B$1058,Prior_Forecast!$B:$B,$D$1058),""))</f>
        <v/>
      </c>
      <c r="V1063" s="37">
        <f>IF($B$1058="","",IF(COUNTIFS(Prior_Forecast!$A:$A,$B$1058,Prior_Forecast!$B:$B,$D$1058)&gt;0,SUMIFS(Prior_Forecast!$Q:$Q,Prior_Forecast!$A:$A,$B$1058,Prior_Forecast!$B:$B,$D$1058),""))</f>
        <v/>
      </c>
      <c r="X1063" s="22">
        <f>IF($B1063="","",IFERROR(INDEX(Cost_Centers!$E:$E,MATCH($B1063,Cost_Centers!$A:$A,0)),"(unknown)"))</f>
        <v/>
      </c>
      <c r="Y1063" s="22">
        <f>IF($B1063="","",IFERROR(INDEX(Cost_Centers!$D:$D,MATCH($B1063,Cost_Centers!$A:$A,0)),"(unknown)"))</f>
        <v/>
      </c>
      <c r="Z1063" s="22">
        <f>IF(OR($B1063="",$G1063&lt;&gt;"Variance vs Budget"),"",ABS(N($V1063))+ROW()/1000000000)</f>
        <v/>
      </c>
    </row>
    <row r="1064">
      <c r="A1064" s="13">
        <f>IF(A$1058="","",A$1058)</f>
        <v/>
      </c>
      <c r="B1064" s="13">
        <f>IF(B$1058="","",B$1058)</f>
        <v/>
      </c>
      <c r="C1064" s="13">
        <f>IF(C$1058="","",C$1058)</f>
        <v/>
      </c>
      <c r="D1064" s="13">
        <f>IF(D$1058="","",D$1058)</f>
        <v/>
      </c>
      <c r="E1064" s="13">
        <f>IF(E$1058="","",E$1058)</f>
        <v/>
      </c>
      <c r="F1064" s="13">
        <f>IF(F$1058="","",F$1058)</f>
        <v/>
      </c>
      <c r="G1064" s="6" t="inlineStr">
        <is>
          <t>Variance vs Prior Month</t>
        </is>
      </c>
      <c r="H1064" s="33">
        <f>IF(OR($B$1058="",H1063=""),"",H1062-H1063)</f>
        <v/>
      </c>
      <c r="I1064" s="33">
        <f>IF(OR($B$1058="",I1063=""),"",I1062-I1063)</f>
        <v/>
      </c>
      <c r="J1064" s="33">
        <f>IF(OR($B$1058="",J1063=""),"",J1062-J1063)</f>
        <v/>
      </c>
      <c r="K1064" s="33">
        <f>IF(OR($B$1058="",K1063=""),"",K1062-K1063)</f>
        <v/>
      </c>
      <c r="L1064" s="33">
        <f>IF(OR($B$1058="",L1063=""),"",L1062-L1063)</f>
        <v/>
      </c>
      <c r="M1064" s="33">
        <f>IF(OR($B$1058="",M1063=""),"",M1062-M1063)</f>
        <v/>
      </c>
      <c r="N1064" s="33">
        <f>IF(OR($B$1058="",N1063=""),"",N1062-N1063)</f>
        <v/>
      </c>
      <c r="O1064" s="33">
        <f>IF(OR($B$1058="",O1063=""),"",O1062-O1063)</f>
        <v/>
      </c>
      <c r="P1064" s="33">
        <f>IF(OR($B$1058="",P1063=""),"",P1062-P1063)</f>
        <v/>
      </c>
      <c r="Q1064" s="33">
        <f>IF(OR($B$1058="",Q1063=""),"",Q1062-Q1063)</f>
        <v/>
      </c>
      <c r="R1064" s="33">
        <f>IF(OR($B$1058="",R1063=""),"",R1062-R1063)</f>
        <v/>
      </c>
      <c r="S1064" s="33">
        <f>IF(OR($B$1058="",S1063=""),"",S1062-S1063)</f>
        <v/>
      </c>
      <c r="T1064" s="33">
        <f>IF(OR($B$1058="",T1063=""),"",T1062-T1063)</f>
        <v/>
      </c>
      <c r="U1064" s="33">
        <f>IF(OR($B$1058="",U1063=""),"",U1062-U1063)</f>
        <v/>
      </c>
      <c r="V1064" s="33">
        <f>IF(OR($B$1058="",V1063=""),"",V1062-V1063)</f>
        <v/>
      </c>
      <c r="X1064" s="22">
        <f>IF($B1064="","",IFERROR(INDEX(Cost_Centers!$E:$E,MATCH($B1064,Cost_Centers!$A:$A,0)),"(unknown)"))</f>
        <v/>
      </c>
      <c r="Y1064" s="22">
        <f>IF($B1064="","",IFERROR(INDEX(Cost_Centers!$D:$D,MATCH($B1064,Cost_Centers!$A:$A,0)),"(unknown)"))</f>
        <v/>
      </c>
      <c r="Z1064" s="22">
        <f>IF(OR($B1064="",$G1064&lt;&gt;"Variance vs Budget"),"",ABS(N($V1064))+ROW()/1000000000)</f>
        <v/>
      </c>
    </row>
    <row r="1065" ht="45" customHeight="1">
      <c r="A1065" s="13">
        <f>IF(A$1058="","",A$1058)</f>
        <v/>
      </c>
      <c r="B1065" s="13">
        <f>IF(B$1058="","",B$1058)</f>
        <v/>
      </c>
      <c r="C1065" s="13">
        <f>IF(C$1058="","",C$1058)</f>
        <v/>
      </c>
      <c r="D1065" s="13">
        <f>IF(D$1058="","",D$1058)</f>
        <v/>
      </c>
      <c r="E1065" s="13">
        <f>IF(E$1058="","",E$1058)</f>
        <v/>
      </c>
      <c r="F1065" s="13">
        <f>IF(F$1058="","",F$1058)</f>
        <v/>
      </c>
      <c r="G1065" s="7" t="inlineStr">
        <is>
          <t>Rationale</t>
        </is>
      </c>
      <c r="H1065" s="38" t="n"/>
      <c r="I1065" s="38" t="n"/>
      <c r="J1065" s="38" t="n"/>
      <c r="K1065" s="38" t="n"/>
      <c r="L1065" s="38" t="n"/>
      <c r="M1065" s="38" t="n"/>
      <c r="N1065" s="38" t="n"/>
      <c r="O1065" s="38" t="n"/>
      <c r="P1065" s="38" t="n"/>
      <c r="Q1065" s="38" t="n"/>
      <c r="R1065" s="38" t="n"/>
      <c r="S1065" s="38" t="n"/>
      <c r="T1065" s="38" t="n"/>
      <c r="U1065" s="38" t="n"/>
      <c r="V1065" s="7" t="n"/>
      <c r="X1065" s="22">
        <f>IF($B1065="","",IFERROR(INDEX(Cost_Centers!$E:$E,MATCH($B1065,Cost_Centers!$A:$A,0)),"(unknown)"))</f>
        <v/>
      </c>
      <c r="Y1065" s="22">
        <f>IF($B1065="","",IFERROR(INDEX(Cost_Centers!$D:$D,MATCH($B1065,Cost_Centers!$A:$A,0)),"(unknown)"))</f>
        <v/>
      </c>
      <c r="Z1065" s="22">
        <f>IF(OR($B1065="",$G1065&lt;&gt;"Variance vs Budget"),"",ABS(N($V1065))+ROW()/1000000000)</f>
        <v/>
      </c>
    </row>
    <row r="1066">
      <c r="A1066" s="30">
        <f>IF($D$1066="","",LEFT($D$1066,FIND("|",$D$1066&amp;"|")-1))</f>
        <v/>
      </c>
      <c r="B1066" s="31" t="n"/>
      <c r="C1066" s="30">
        <f>IF($B$1066="","",IFERROR(INDEX(Cost_Centers!$B:$B,MATCH($B$1066,Cost_Centers!$A:$A,0)),"(not in master)"))</f>
        <v/>
      </c>
      <c r="D1066" s="31" t="n"/>
      <c r="E1066" s="30">
        <f>IF($D$1066="","",IFERROR(INDEX(Accounts!$D:$D,MATCH($D$1066,Accounts!$A:$A,0)),"(not in master)"))</f>
        <v/>
      </c>
      <c r="F1066" s="31" t="n"/>
      <c r="G1066" s="30" t="inlineStr">
        <is>
          <t>Budget</t>
        </is>
      </c>
      <c r="H1066" s="32">
        <f>IF($B$1066="","",SUMIFS(Opex_Budget!$O:$O,Opex_Budget!$A:$A,$C$3,Opex_Budget!$E:$E,$B$1066,Opex_Budget!$F:$F,$D$1066,Opex_Budget!$N:$N,"JPY")*$E$5+SUMIFS(Opex_Budget!$O:$O,Opex_Budget!$A:$A,$C$3,Opex_Budget!$E:$E,$B$1066,Opex_Budget!$F:$F,$D$1066,Opex_Budget!$N:$N,"USD")*$F$5+SUMIFS(Opex_Budget!$O:$O,Opex_Budget!$A:$A,$C$3,Opex_Budget!$E:$E,$B$1066,Opex_Budget!$F:$F,$D$1066,Opex_Budget!$N:$N,"EUR")*$G$5+SUMIFS(Opex_Budget!$O:$O,Opex_Budget!$A:$A,$C$3,Opex_Budget!$E:$E,$B$1066,Opex_Budget!$F:$F,$D$1066,Opex_Budget!$N:$N,"GBP")*$H$5)</f>
        <v/>
      </c>
      <c r="I1066" s="32">
        <f>IF($B$1066="","",SUMIFS(Opex_Budget!$P:$P,Opex_Budget!$A:$A,$C$3,Opex_Budget!$E:$E,$B$1066,Opex_Budget!$F:$F,$D$1066,Opex_Budget!$N:$N,"JPY")*$E$5+SUMIFS(Opex_Budget!$P:$P,Opex_Budget!$A:$A,$C$3,Opex_Budget!$E:$E,$B$1066,Opex_Budget!$F:$F,$D$1066,Opex_Budget!$N:$N,"USD")*$F$5+SUMIFS(Opex_Budget!$P:$P,Opex_Budget!$A:$A,$C$3,Opex_Budget!$E:$E,$B$1066,Opex_Budget!$F:$F,$D$1066,Opex_Budget!$N:$N,"EUR")*$G$5+SUMIFS(Opex_Budget!$P:$P,Opex_Budget!$A:$A,$C$3,Opex_Budget!$E:$E,$B$1066,Opex_Budget!$F:$F,$D$1066,Opex_Budget!$N:$N,"GBP")*$H$5)</f>
        <v/>
      </c>
      <c r="J1066" s="32">
        <f>IF($B$1066="","",SUMIFS(Opex_Budget!$Q:$Q,Opex_Budget!$A:$A,$C$3,Opex_Budget!$E:$E,$B$1066,Opex_Budget!$F:$F,$D$1066,Opex_Budget!$N:$N,"JPY")*$E$5+SUMIFS(Opex_Budget!$Q:$Q,Opex_Budget!$A:$A,$C$3,Opex_Budget!$E:$E,$B$1066,Opex_Budget!$F:$F,$D$1066,Opex_Budget!$N:$N,"USD")*$F$5+SUMIFS(Opex_Budget!$Q:$Q,Opex_Budget!$A:$A,$C$3,Opex_Budget!$E:$E,$B$1066,Opex_Budget!$F:$F,$D$1066,Opex_Budget!$N:$N,"EUR")*$G$5+SUMIFS(Opex_Budget!$Q:$Q,Opex_Budget!$A:$A,$C$3,Opex_Budget!$E:$E,$B$1066,Opex_Budget!$F:$F,$D$1066,Opex_Budget!$N:$N,"GBP")*$H$5)</f>
        <v/>
      </c>
      <c r="K1066" s="32">
        <f>IF($B$1066="","",SUMIFS(Opex_Budget!$R:$R,Opex_Budget!$A:$A,$C$3,Opex_Budget!$E:$E,$B$1066,Opex_Budget!$F:$F,$D$1066,Opex_Budget!$N:$N,"JPY")*$E$5+SUMIFS(Opex_Budget!$R:$R,Opex_Budget!$A:$A,$C$3,Opex_Budget!$E:$E,$B$1066,Opex_Budget!$F:$F,$D$1066,Opex_Budget!$N:$N,"USD")*$F$5+SUMIFS(Opex_Budget!$R:$R,Opex_Budget!$A:$A,$C$3,Opex_Budget!$E:$E,$B$1066,Opex_Budget!$F:$F,$D$1066,Opex_Budget!$N:$N,"EUR")*$G$5+SUMIFS(Opex_Budget!$R:$R,Opex_Budget!$A:$A,$C$3,Opex_Budget!$E:$E,$B$1066,Opex_Budget!$F:$F,$D$1066,Opex_Budget!$N:$N,"GBP")*$H$5)</f>
        <v/>
      </c>
      <c r="L1066" s="32">
        <f>IF($B$1066="","",SUMIFS(Opex_Budget!$S:$S,Opex_Budget!$A:$A,$C$3,Opex_Budget!$E:$E,$B$1066,Opex_Budget!$F:$F,$D$1066,Opex_Budget!$N:$N,"JPY")*$E$5+SUMIFS(Opex_Budget!$S:$S,Opex_Budget!$A:$A,$C$3,Opex_Budget!$E:$E,$B$1066,Opex_Budget!$F:$F,$D$1066,Opex_Budget!$N:$N,"USD")*$F$5+SUMIFS(Opex_Budget!$S:$S,Opex_Budget!$A:$A,$C$3,Opex_Budget!$E:$E,$B$1066,Opex_Budget!$F:$F,$D$1066,Opex_Budget!$N:$N,"EUR")*$G$5+SUMIFS(Opex_Budget!$S:$S,Opex_Budget!$A:$A,$C$3,Opex_Budget!$E:$E,$B$1066,Opex_Budget!$F:$F,$D$1066,Opex_Budget!$N:$N,"GBP")*$H$5)</f>
        <v/>
      </c>
      <c r="M1066" s="32">
        <f>IF($B$1066="","",SUMIFS(Opex_Budget!$T:$T,Opex_Budget!$A:$A,$C$3,Opex_Budget!$E:$E,$B$1066,Opex_Budget!$F:$F,$D$1066,Opex_Budget!$N:$N,"JPY")*$E$5+SUMIFS(Opex_Budget!$T:$T,Opex_Budget!$A:$A,$C$3,Opex_Budget!$E:$E,$B$1066,Opex_Budget!$F:$F,$D$1066,Opex_Budget!$N:$N,"USD")*$F$5+SUMIFS(Opex_Budget!$T:$T,Opex_Budget!$A:$A,$C$3,Opex_Budget!$E:$E,$B$1066,Opex_Budget!$F:$F,$D$1066,Opex_Budget!$N:$N,"EUR")*$G$5+SUMIFS(Opex_Budget!$T:$T,Opex_Budget!$A:$A,$C$3,Opex_Budget!$E:$E,$B$1066,Opex_Budget!$F:$F,$D$1066,Opex_Budget!$N:$N,"GBP")*$H$5)</f>
        <v/>
      </c>
      <c r="N1066" s="32">
        <f>IF($B$1066="","",SUMIFS(Opex_Budget!$U:$U,Opex_Budget!$A:$A,$C$3,Opex_Budget!$E:$E,$B$1066,Opex_Budget!$F:$F,$D$1066,Opex_Budget!$N:$N,"JPY")*$E$5+SUMIFS(Opex_Budget!$U:$U,Opex_Budget!$A:$A,$C$3,Opex_Budget!$E:$E,$B$1066,Opex_Budget!$F:$F,$D$1066,Opex_Budget!$N:$N,"USD")*$F$5+SUMIFS(Opex_Budget!$U:$U,Opex_Budget!$A:$A,$C$3,Opex_Budget!$E:$E,$B$1066,Opex_Budget!$F:$F,$D$1066,Opex_Budget!$N:$N,"EUR")*$G$5+SUMIFS(Opex_Budget!$U:$U,Opex_Budget!$A:$A,$C$3,Opex_Budget!$E:$E,$B$1066,Opex_Budget!$F:$F,$D$1066,Opex_Budget!$N:$N,"GBP")*$H$5)</f>
        <v/>
      </c>
      <c r="O1066" s="32">
        <f>IF($B$1066="","",SUMIFS(Opex_Budget!$V:$V,Opex_Budget!$A:$A,$C$3,Opex_Budget!$E:$E,$B$1066,Opex_Budget!$F:$F,$D$1066,Opex_Budget!$N:$N,"JPY")*$E$5+SUMIFS(Opex_Budget!$V:$V,Opex_Budget!$A:$A,$C$3,Opex_Budget!$E:$E,$B$1066,Opex_Budget!$F:$F,$D$1066,Opex_Budget!$N:$N,"USD")*$F$5+SUMIFS(Opex_Budget!$V:$V,Opex_Budget!$A:$A,$C$3,Opex_Budget!$E:$E,$B$1066,Opex_Budget!$F:$F,$D$1066,Opex_Budget!$N:$N,"EUR")*$G$5+SUMIFS(Opex_Budget!$V:$V,Opex_Budget!$A:$A,$C$3,Opex_Budget!$E:$E,$B$1066,Opex_Budget!$F:$F,$D$1066,Opex_Budget!$N:$N,"GBP")*$H$5)</f>
        <v/>
      </c>
      <c r="P1066" s="32">
        <f>IF($B$1066="","",SUMIFS(Opex_Budget!$W:$W,Opex_Budget!$A:$A,$C$3,Opex_Budget!$E:$E,$B$1066,Opex_Budget!$F:$F,$D$1066,Opex_Budget!$N:$N,"JPY")*$E$5+SUMIFS(Opex_Budget!$W:$W,Opex_Budget!$A:$A,$C$3,Opex_Budget!$E:$E,$B$1066,Opex_Budget!$F:$F,$D$1066,Opex_Budget!$N:$N,"USD")*$F$5+SUMIFS(Opex_Budget!$W:$W,Opex_Budget!$A:$A,$C$3,Opex_Budget!$E:$E,$B$1066,Opex_Budget!$F:$F,$D$1066,Opex_Budget!$N:$N,"EUR")*$G$5+SUMIFS(Opex_Budget!$W:$W,Opex_Budget!$A:$A,$C$3,Opex_Budget!$E:$E,$B$1066,Opex_Budget!$F:$F,$D$1066,Opex_Budget!$N:$N,"GBP")*$H$5)</f>
        <v/>
      </c>
      <c r="Q1066" s="32">
        <f>IF($B$1066="","",SUMIFS(Opex_Budget!$X:$X,Opex_Budget!$A:$A,$C$3,Opex_Budget!$E:$E,$B$1066,Opex_Budget!$F:$F,$D$1066,Opex_Budget!$N:$N,"JPY")*$E$5+SUMIFS(Opex_Budget!$X:$X,Opex_Budget!$A:$A,$C$3,Opex_Budget!$E:$E,$B$1066,Opex_Budget!$F:$F,$D$1066,Opex_Budget!$N:$N,"USD")*$F$5+SUMIFS(Opex_Budget!$X:$X,Opex_Budget!$A:$A,$C$3,Opex_Budget!$E:$E,$B$1066,Opex_Budget!$F:$F,$D$1066,Opex_Budget!$N:$N,"EUR")*$G$5+SUMIFS(Opex_Budget!$X:$X,Opex_Budget!$A:$A,$C$3,Opex_Budget!$E:$E,$B$1066,Opex_Budget!$F:$F,$D$1066,Opex_Budget!$N:$N,"GBP")*$H$5)</f>
        <v/>
      </c>
      <c r="R1066" s="32">
        <f>IF($B$1066="","",SUMIFS(Opex_Budget!$Y:$Y,Opex_Budget!$A:$A,$C$3,Opex_Budget!$E:$E,$B$1066,Opex_Budget!$F:$F,$D$1066,Opex_Budget!$N:$N,"JPY")*$E$5+SUMIFS(Opex_Budget!$Y:$Y,Opex_Budget!$A:$A,$C$3,Opex_Budget!$E:$E,$B$1066,Opex_Budget!$F:$F,$D$1066,Opex_Budget!$N:$N,"USD")*$F$5+SUMIFS(Opex_Budget!$Y:$Y,Opex_Budget!$A:$A,$C$3,Opex_Budget!$E:$E,$B$1066,Opex_Budget!$F:$F,$D$1066,Opex_Budget!$N:$N,"EUR")*$G$5+SUMIFS(Opex_Budget!$Y:$Y,Opex_Budget!$A:$A,$C$3,Opex_Budget!$E:$E,$B$1066,Opex_Budget!$F:$F,$D$1066,Opex_Budget!$N:$N,"GBP")*$H$5)</f>
        <v/>
      </c>
      <c r="S1066" s="32">
        <f>IF($B$1066="","",SUMIFS(Opex_Budget!$Z:$Z,Opex_Budget!$A:$A,$C$3,Opex_Budget!$E:$E,$B$1066,Opex_Budget!$F:$F,$D$1066,Opex_Budget!$N:$N,"JPY")*$E$5+SUMIFS(Opex_Budget!$Z:$Z,Opex_Budget!$A:$A,$C$3,Opex_Budget!$E:$E,$B$1066,Opex_Budget!$F:$F,$D$1066,Opex_Budget!$N:$N,"USD")*$F$5+SUMIFS(Opex_Budget!$Z:$Z,Opex_Budget!$A:$A,$C$3,Opex_Budget!$E:$E,$B$1066,Opex_Budget!$F:$F,$D$1066,Opex_Budget!$N:$N,"EUR")*$G$5+SUMIFS(Opex_Budget!$Z:$Z,Opex_Budget!$A:$A,$C$3,Opex_Budget!$E:$E,$B$1066,Opex_Budget!$F:$F,$D$1066,Opex_Budget!$N:$N,"GBP")*$H$5)</f>
        <v/>
      </c>
      <c r="T1066" s="32">
        <f>IF($B$1066="","",SUMIF($H$7:$S$7,"&lt;="&amp;$C$4,$H1066:$S1066))</f>
        <v/>
      </c>
      <c r="U1066" s="32">
        <f>IF($B$1066="","",SUMIF($H$7:$S$7,"&gt;"&amp;$C$4,$H1066:$S1066))</f>
        <v/>
      </c>
      <c r="V1066" s="32">
        <f>IF($B$1066="","",SUM($H1066:$S1066))</f>
        <v/>
      </c>
      <c r="X1066" s="22">
        <f>IF($B1066="","",IFERROR(INDEX(Cost_Centers!$E:$E,MATCH($B1066,Cost_Centers!$A:$A,0)),"(unknown)"))</f>
        <v/>
      </c>
      <c r="Y1066" s="22">
        <f>IF($B1066="","",IFERROR(INDEX(Cost_Centers!$D:$D,MATCH($B1066,Cost_Centers!$A:$A,0)),"(unknown)"))</f>
        <v/>
      </c>
      <c r="Z1066" s="22">
        <f>IF(OR($B1066="",$G1066&lt;&gt;"Variance vs Budget"),"",ABS(N($V1066))+ROW()/1000000000)</f>
        <v/>
      </c>
    </row>
    <row r="1067">
      <c r="A1067" s="13">
        <f>IF(A$1066="","",A$1066)</f>
        <v/>
      </c>
      <c r="B1067" s="13">
        <f>IF(B$1066="","",B$1066)</f>
        <v/>
      </c>
      <c r="C1067" s="13">
        <f>IF(C$1066="","",C$1066)</f>
        <v/>
      </c>
      <c r="D1067" s="13">
        <f>IF(D$1066="","",D$1066)</f>
        <v/>
      </c>
      <c r="E1067" s="13">
        <f>IF(E$1066="","",E$1066)</f>
        <v/>
      </c>
      <c r="F1067" s="13">
        <f>IF(F$1066="","",F$1066)</f>
        <v/>
      </c>
      <c r="G1067" s="7" t="inlineStr">
        <is>
          <t>Actual</t>
        </is>
      </c>
      <c r="H1067" s="18">
        <f>IF(OR($B$1066="",1&gt;$C$4),"",SUMIFS(Actuals!$G:$G,Actuals!$B:$B,$C$3,Actuals!$C:$C,1,Actuals!$D:$D,$B$1066,Actuals!$A:$A,LEFT($D$1066,FIND("|",$D$1066&amp;"|")-1),Actuals!$E:$E,MID($D$1066,FIND("|",$D$1066&amp;"|")+1,50),Actuals!$F:$F,"JPY")*$E$5+SUMIFS(Actuals!$G:$G,Actuals!$B:$B,$C$3,Actuals!$C:$C,1,Actuals!$D:$D,$B$1066,Actuals!$A:$A,LEFT($D$1066,FIND("|",$D$1066&amp;"|")-1),Actuals!$E:$E,MID($D$1066,FIND("|",$D$1066&amp;"|")+1,50),Actuals!$F:$F,"USD")*$F$5+SUMIFS(Actuals!$G:$G,Actuals!$B:$B,$C$3,Actuals!$C:$C,1,Actuals!$D:$D,$B$1066,Actuals!$A:$A,LEFT($D$1066,FIND("|",$D$1066&amp;"|")-1),Actuals!$E:$E,MID($D$1066,FIND("|",$D$1066&amp;"|")+1,50),Actuals!$F:$F,"EUR")*$G$5+SUMIFS(Actuals!$G:$G,Actuals!$B:$B,$C$3,Actuals!$C:$C,1,Actuals!$D:$D,$B$1066,Actuals!$A:$A,LEFT($D$1066,FIND("|",$D$1066&amp;"|")-1),Actuals!$E:$E,MID($D$1066,FIND("|",$D$1066&amp;"|")+1,50),Actuals!$F:$F,"GBP")*$H$5)</f>
        <v/>
      </c>
      <c r="I1067" s="18">
        <f>IF(OR($B$1066="",2&gt;$C$4),"",SUMIFS(Actuals!$G:$G,Actuals!$B:$B,$C$3,Actuals!$C:$C,2,Actuals!$D:$D,$B$1066,Actuals!$A:$A,LEFT($D$1066,FIND("|",$D$1066&amp;"|")-1),Actuals!$E:$E,MID($D$1066,FIND("|",$D$1066&amp;"|")+1,50),Actuals!$F:$F,"JPY")*$E$5+SUMIFS(Actuals!$G:$G,Actuals!$B:$B,$C$3,Actuals!$C:$C,2,Actuals!$D:$D,$B$1066,Actuals!$A:$A,LEFT($D$1066,FIND("|",$D$1066&amp;"|")-1),Actuals!$E:$E,MID($D$1066,FIND("|",$D$1066&amp;"|")+1,50),Actuals!$F:$F,"USD")*$F$5+SUMIFS(Actuals!$G:$G,Actuals!$B:$B,$C$3,Actuals!$C:$C,2,Actuals!$D:$D,$B$1066,Actuals!$A:$A,LEFT($D$1066,FIND("|",$D$1066&amp;"|")-1),Actuals!$E:$E,MID($D$1066,FIND("|",$D$1066&amp;"|")+1,50),Actuals!$F:$F,"EUR")*$G$5+SUMIFS(Actuals!$G:$G,Actuals!$B:$B,$C$3,Actuals!$C:$C,2,Actuals!$D:$D,$B$1066,Actuals!$A:$A,LEFT($D$1066,FIND("|",$D$1066&amp;"|")-1),Actuals!$E:$E,MID($D$1066,FIND("|",$D$1066&amp;"|")+1,50),Actuals!$F:$F,"GBP")*$H$5)</f>
        <v/>
      </c>
      <c r="J1067" s="18">
        <f>IF(OR($B$1066="",3&gt;$C$4),"",SUMIFS(Actuals!$G:$G,Actuals!$B:$B,$C$3,Actuals!$C:$C,3,Actuals!$D:$D,$B$1066,Actuals!$A:$A,LEFT($D$1066,FIND("|",$D$1066&amp;"|")-1),Actuals!$E:$E,MID($D$1066,FIND("|",$D$1066&amp;"|")+1,50),Actuals!$F:$F,"JPY")*$E$5+SUMIFS(Actuals!$G:$G,Actuals!$B:$B,$C$3,Actuals!$C:$C,3,Actuals!$D:$D,$B$1066,Actuals!$A:$A,LEFT($D$1066,FIND("|",$D$1066&amp;"|")-1),Actuals!$E:$E,MID($D$1066,FIND("|",$D$1066&amp;"|")+1,50),Actuals!$F:$F,"USD")*$F$5+SUMIFS(Actuals!$G:$G,Actuals!$B:$B,$C$3,Actuals!$C:$C,3,Actuals!$D:$D,$B$1066,Actuals!$A:$A,LEFT($D$1066,FIND("|",$D$1066&amp;"|")-1),Actuals!$E:$E,MID($D$1066,FIND("|",$D$1066&amp;"|")+1,50),Actuals!$F:$F,"EUR")*$G$5+SUMIFS(Actuals!$G:$G,Actuals!$B:$B,$C$3,Actuals!$C:$C,3,Actuals!$D:$D,$B$1066,Actuals!$A:$A,LEFT($D$1066,FIND("|",$D$1066&amp;"|")-1),Actuals!$E:$E,MID($D$1066,FIND("|",$D$1066&amp;"|")+1,50),Actuals!$F:$F,"GBP")*$H$5)</f>
        <v/>
      </c>
      <c r="K1067" s="18">
        <f>IF(OR($B$1066="",4&gt;$C$4),"",SUMIFS(Actuals!$G:$G,Actuals!$B:$B,$C$3,Actuals!$C:$C,4,Actuals!$D:$D,$B$1066,Actuals!$A:$A,LEFT($D$1066,FIND("|",$D$1066&amp;"|")-1),Actuals!$E:$E,MID($D$1066,FIND("|",$D$1066&amp;"|")+1,50),Actuals!$F:$F,"JPY")*$E$5+SUMIFS(Actuals!$G:$G,Actuals!$B:$B,$C$3,Actuals!$C:$C,4,Actuals!$D:$D,$B$1066,Actuals!$A:$A,LEFT($D$1066,FIND("|",$D$1066&amp;"|")-1),Actuals!$E:$E,MID($D$1066,FIND("|",$D$1066&amp;"|")+1,50),Actuals!$F:$F,"USD")*$F$5+SUMIFS(Actuals!$G:$G,Actuals!$B:$B,$C$3,Actuals!$C:$C,4,Actuals!$D:$D,$B$1066,Actuals!$A:$A,LEFT($D$1066,FIND("|",$D$1066&amp;"|")-1),Actuals!$E:$E,MID($D$1066,FIND("|",$D$1066&amp;"|")+1,50),Actuals!$F:$F,"EUR")*$G$5+SUMIFS(Actuals!$G:$G,Actuals!$B:$B,$C$3,Actuals!$C:$C,4,Actuals!$D:$D,$B$1066,Actuals!$A:$A,LEFT($D$1066,FIND("|",$D$1066&amp;"|")-1),Actuals!$E:$E,MID($D$1066,FIND("|",$D$1066&amp;"|")+1,50),Actuals!$F:$F,"GBP")*$H$5)</f>
        <v/>
      </c>
      <c r="L1067" s="18">
        <f>IF(OR($B$1066="",5&gt;$C$4),"",SUMIFS(Actuals!$G:$G,Actuals!$B:$B,$C$3,Actuals!$C:$C,5,Actuals!$D:$D,$B$1066,Actuals!$A:$A,LEFT($D$1066,FIND("|",$D$1066&amp;"|")-1),Actuals!$E:$E,MID($D$1066,FIND("|",$D$1066&amp;"|")+1,50),Actuals!$F:$F,"JPY")*$E$5+SUMIFS(Actuals!$G:$G,Actuals!$B:$B,$C$3,Actuals!$C:$C,5,Actuals!$D:$D,$B$1066,Actuals!$A:$A,LEFT($D$1066,FIND("|",$D$1066&amp;"|")-1),Actuals!$E:$E,MID($D$1066,FIND("|",$D$1066&amp;"|")+1,50),Actuals!$F:$F,"USD")*$F$5+SUMIFS(Actuals!$G:$G,Actuals!$B:$B,$C$3,Actuals!$C:$C,5,Actuals!$D:$D,$B$1066,Actuals!$A:$A,LEFT($D$1066,FIND("|",$D$1066&amp;"|")-1),Actuals!$E:$E,MID($D$1066,FIND("|",$D$1066&amp;"|")+1,50),Actuals!$F:$F,"EUR")*$G$5+SUMIFS(Actuals!$G:$G,Actuals!$B:$B,$C$3,Actuals!$C:$C,5,Actuals!$D:$D,$B$1066,Actuals!$A:$A,LEFT($D$1066,FIND("|",$D$1066&amp;"|")-1),Actuals!$E:$E,MID($D$1066,FIND("|",$D$1066&amp;"|")+1,50),Actuals!$F:$F,"GBP")*$H$5)</f>
        <v/>
      </c>
      <c r="M1067" s="18">
        <f>IF(OR($B$1066="",6&gt;$C$4),"",SUMIFS(Actuals!$G:$G,Actuals!$B:$B,$C$3,Actuals!$C:$C,6,Actuals!$D:$D,$B$1066,Actuals!$A:$A,LEFT($D$1066,FIND("|",$D$1066&amp;"|")-1),Actuals!$E:$E,MID($D$1066,FIND("|",$D$1066&amp;"|")+1,50),Actuals!$F:$F,"JPY")*$E$5+SUMIFS(Actuals!$G:$G,Actuals!$B:$B,$C$3,Actuals!$C:$C,6,Actuals!$D:$D,$B$1066,Actuals!$A:$A,LEFT($D$1066,FIND("|",$D$1066&amp;"|")-1),Actuals!$E:$E,MID($D$1066,FIND("|",$D$1066&amp;"|")+1,50),Actuals!$F:$F,"USD")*$F$5+SUMIFS(Actuals!$G:$G,Actuals!$B:$B,$C$3,Actuals!$C:$C,6,Actuals!$D:$D,$B$1066,Actuals!$A:$A,LEFT($D$1066,FIND("|",$D$1066&amp;"|")-1),Actuals!$E:$E,MID($D$1066,FIND("|",$D$1066&amp;"|")+1,50),Actuals!$F:$F,"EUR")*$G$5+SUMIFS(Actuals!$G:$G,Actuals!$B:$B,$C$3,Actuals!$C:$C,6,Actuals!$D:$D,$B$1066,Actuals!$A:$A,LEFT($D$1066,FIND("|",$D$1066&amp;"|")-1),Actuals!$E:$E,MID($D$1066,FIND("|",$D$1066&amp;"|")+1,50),Actuals!$F:$F,"GBP")*$H$5)</f>
        <v/>
      </c>
      <c r="N1067" s="18">
        <f>IF(OR($B$1066="",7&gt;$C$4),"",SUMIFS(Actuals!$G:$G,Actuals!$B:$B,$C$3,Actuals!$C:$C,7,Actuals!$D:$D,$B$1066,Actuals!$A:$A,LEFT($D$1066,FIND("|",$D$1066&amp;"|")-1),Actuals!$E:$E,MID($D$1066,FIND("|",$D$1066&amp;"|")+1,50),Actuals!$F:$F,"JPY")*$E$5+SUMIFS(Actuals!$G:$G,Actuals!$B:$B,$C$3,Actuals!$C:$C,7,Actuals!$D:$D,$B$1066,Actuals!$A:$A,LEFT($D$1066,FIND("|",$D$1066&amp;"|")-1),Actuals!$E:$E,MID($D$1066,FIND("|",$D$1066&amp;"|")+1,50),Actuals!$F:$F,"USD")*$F$5+SUMIFS(Actuals!$G:$G,Actuals!$B:$B,$C$3,Actuals!$C:$C,7,Actuals!$D:$D,$B$1066,Actuals!$A:$A,LEFT($D$1066,FIND("|",$D$1066&amp;"|")-1),Actuals!$E:$E,MID($D$1066,FIND("|",$D$1066&amp;"|")+1,50),Actuals!$F:$F,"EUR")*$G$5+SUMIFS(Actuals!$G:$G,Actuals!$B:$B,$C$3,Actuals!$C:$C,7,Actuals!$D:$D,$B$1066,Actuals!$A:$A,LEFT($D$1066,FIND("|",$D$1066&amp;"|")-1),Actuals!$E:$E,MID($D$1066,FIND("|",$D$1066&amp;"|")+1,50),Actuals!$F:$F,"GBP")*$H$5)</f>
        <v/>
      </c>
      <c r="O1067" s="18">
        <f>IF(OR($B$1066="",8&gt;$C$4),"",SUMIFS(Actuals!$G:$G,Actuals!$B:$B,$C$3,Actuals!$C:$C,8,Actuals!$D:$D,$B$1066,Actuals!$A:$A,LEFT($D$1066,FIND("|",$D$1066&amp;"|")-1),Actuals!$E:$E,MID($D$1066,FIND("|",$D$1066&amp;"|")+1,50),Actuals!$F:$F,"JPY")*$E$5+SUMIFS(Actuals!$G:$G,Actuals!$B:$B,$C$3,Actuals!$C:$C,8,Actuals!$D:$D,$B$1066,Actuals!$A:$A,LEFT($D$1066,FIND("|",$D$1066&amp;"|")-1),Actuals!$E:$E,MID($D$1066,FIND("|",$D$1066&amp;"|")+1,50),Actuals!$F:$F,"USD")*$F$5+SUMIFS(Actuals!$G:$G,Actuals!$B:$B,$C$3,Actuals!$C:$C,8,Actuals!$D:$D,$B$1066,Actuals!$A:$A,LEFT($D$1066,FIND("|",$D$1066&amp;"|")-1),Actuals!$E:$E,MID($D$1066,FIND("|",$D$1066&amp;"|")+1,50),Actuals!$F:$F,"EUR")*$G$5+SUMIFS(Actuals!$G:$G,Actuals!$B:$B,$C$3,Actuals!$C:$C,8,Actuals!$D:$D,$B$1066,Actuals!$A:$A,LEFT($D$1066,FIND("|",$D$1066&amp;"|")-1),Actuals!$E:$E,MID($D$1066,FIND("|",$D$1066&amp;"|")+1,50),Actuals!$F:$F,"GBP")*$H$5)</f>
        <v/>
      </c>
      <c r="P1067" s="18">
        <f>IF(OR($B$1066="",9&gt;$C$4),"",SUMIFS(Actuals!$G:$G,Actuals!$B:$B,$C$3,Actuals!$C:$C,9,Actuals!$D:$D,$B$1066,Actuals!$A:$A,LEFT($D$1066,FIND("|",$D$1066&amp;"|")-1),Actuals!$E:$E,MID($D$1066,FIND("|",$D$1066&amp;"|")+1,50),Actuals!$F:$F,"JPY")*$E$5+SUMIFS(Actuals!$G:$G,Actuals!$B:$B,$C$3,Actuals!$C:$C,9,Actuals!$D:$D,$B$1066,Actuals!$A:$A,LEFT($D$1066,FIND("|",$D$1066&amp;"|")-1),Actuals!$E:$E,MID($D$1066,FIND("|",$D$1066&amp;"|")+1,50),Actuals!$F:$F,"USD")*$F$5+SUMIFS(Actuals!$G:$G,Actuals!$B:$B,$C$3,Actuals!$C:$C,9,Actuals!$D:$D,$B$1066,Actuals!$A:$A,LEFT($D$1066,FIND("|",$D$1066&amp;"|")-1),Actuals!$E:$E,MID($D$1066,FIND("|",$D$1066&amp;"|")+1,50),Actuals!$F:$F,"EUR")*$G$5+SUMIFS(Actuals!$G:$G,Actuals!$B:$B,$C$3,Actuals!$C:$C,9,Actuals!$D:$D,$B$1066,Actuals!$A:$A,LEFT($D$1066,FIND("|",$D$1066&amp;"|")-1),Actuals!$E:$E,MID($D$1066,FIND("|",$D$1066&amp;"|")+1,50),Actuals!$F:$F,"GBP")*$H$5)</f>
        <v/>
      </c>
      <c r="Q1067" s="18">
        <f>IF(OR($B$1066="",10&gt;$C$4),"",SUMIFS(Actuals!$G:$G,Actuals!$B:$B,$C$3,Actuals!$C:$C,10,Actuals!$D:$D,$B$1066,Actuals!$A:$A,LEFT($D$1066,FIND("|",$D$1066&amp;"|")-1),Actuals!$E:$E,MID($D$1066,FIND("|",$D$1066&amp;"|")+1,50),Actuals!$F:$F,"JPY")*$E$5+SUMIFS(Actuals!$G:$G,Actuals!$B:$B,$C$3,Actuals!$C:$C,10,Actuals!$D:$D,$B$1066,Actuals!$A:$A,LEFT($D$1066,FIND("|",$D$1066&amp;"|")-1),Actuals!$E:$E,MID($D$1066,FIND("|",$D$1066&amp;"|")+1,50),Actuals!$F:$F,"USD")*$F$5+SUMIFS(Actuals!$G:$G,Actuals!$B:$B,$C$3,Actuals!$C:$C,10,Actuals!$D:$D,$B$1066,Actuals!$A:$A,LEFT($D$1066,FIND("|",$D$1066&amp;"|")-1),Actuals!$E:$E,MID($D$1066,FIND("|",$D$1066&amp;"|")+1,50),Actuals!$F:$F,"EUR")*$G$5+SUMIFS(Actuals!$G:$G,Actuals!$B:$B,$C$3,Actuals!$C:$C,10,Actuals!$D:$D,$B$1066,Actuals!$A:$A,LEFT($D$1066,FIND("|",$D$1066&amp;"|")-1),Actuals!$E:$E,MID($D$1066,FIND("|",$D$1066&amp;"|")+1,50),Actuals!$F:$F,"GBP")*$H$5)</f>
        <v/>
      </c>
      <c r="R1067" s="18">
        <f>IF(OR($B$1066="",11&gt;$C$4),"",SUMIFS(Actuals!$G:$G,Actuals!$B:$B,$C$3,Actuals!$C:$C,11,Actuals!$D:$D,$B$1066,Actuals!$A:$A,LEFT($D$1066,FIND("|",$D$1066&amp;"|")-1),Actuals!$E:$E,MID($D$1066,FIND("|",$D$1066&amp;"|")+1,50),Actuals!$F:$F,"JPY")*$E$5+SUMIFS(Actuals!$G:$G,Actuals!$B:$B,$C$3,Actuals!$C:$C,11,Actuals!$D:$D,$B$1066,Actuals!$A:$A,LEFT($D$1066,FIND("|",$D$1066&amp;"|")-1),Actuals!$E:$E,MID($D$1066,FIND("|",$D$1066&amp;"|")+1,50),Actuals!$F:$F,"USD")*$F$5+SUMIFS(Actuals!$G:$G,Actuals!$B:$B,$C$3,Actuals!$C:$C,11,Actuals!$D:$D,$B$1066,Actuals!$A:$A,LEFT($D$1066,FIND("|",$D$1066&amp;"|")-1),Actuals!$E:$E,MID($D$1066,FIND("|",$D$1066&amp;"|")+1,50),Actuals!$F:$F,"EUR")*$G$5+SUMIFS(Actuals!$G:$G,Actuals!$B:$B,$C$3,Actuals!$C:$C,11,Actuals!$D:$D,$B$1066,Actuals!$A:$A,LEFT($D$1066,FIND("|",$D$1066&amp;"|")-1),Actuals!$E:$E,MID($D$1066,FIND("|",$D$1066&amp;"|")+1,50),Actuals!$F:$F,"GBP")*$H$5)</f>
        <v/>
      </c>
      <c r="S1067" s="18">
        <f>IF(OR($B$1066="",12&gt;$C$4),"",SUMIFS(Actuals!$G:$G,Actuals!$B:$B,$C$3,Actuals!$C:$C,12,Actuals!$D:$D,$B$1066,Actuals!$A:$A,LEFT($D$1066,FIND("|",$D$1066&amp;"|")-1),Actuals!$E:$E,MID($D$1066,FIND("|",$D$1066&amp;"|")+1,50),Actuals!$F:$F,"JPY")*$E$5+SUMIFS(Actuals!$G:$G,Actuals!$B:$B,$C$3,Actuals!$C:$C,12,Actuals!$D:$D,$B$1066,Actuals!$A:$A,LEFT($D$1066,FIND("|",$D$1066&amp;"|")-1),Actuals!$E:$E,MID($D$1066,FIND("|",$D$1066&amp;"|")+1,50),Actuals!$F:$F,"USD")*$F$5+SUMIFS(Actuals!$G:$G,Actuals!$B:$B,$C$3,Actuals!$C:$C,12,Actuals!$D:$D,$B$1066,Actuals!$A:$A,LEFT($D$1066,FIND("|",$D$1066&amp;"|")-1),Actuals!$E:$E,MID($D$1066,FIND("|",$D$1066&amp;"|")+1,50),Actuals!$F:$F,"EUR")*$G$5+SUMIFS(Actuals!$G:$G,Actuals!$B:$B,$C$3,Actuals!$C:$C,12,Actuals!$D:$D,$B$1066,Actuals!$A:$A,LEFT($D$1066,FIND("|",$D$1066&amp;"|")-1),Actuals!$E:$E,MID($D$1066,FIND("|",$D$1066&amp;"|")+1,50),Actuals!$F:$F,"GBP")*$H$5)</f>
        <v/>
      </c>
      <c r="T1067" s="18">
        <f>IF($B$1066="","",SUMIF($H$7:$S$7,"&lt;="&amp;$C$4,$H1067:$S1067))</f>
        <v/>
      </c>
      <c r="U1067" s="18" t="n"/>
      <c r="V1067" s="18" t="n"/>
      <c r="X1067" s="22">
        <f>IF($B1067="","",IFERROR(INDEX(Cost_Centers!$E:$E,MATCH($B1067,Cost_Centers!$A:$A,0)),"(unknown)"))</f>
        <v/>
      </c>
      <c r="Y1067" s="22">
        <f>IF($B1067="","",IFERROR(INDEX(Cost_Centers!$D:$D,MATCH($B1067,Cost_Centers!$A:$A,0)),"(unknown)"))</f>
        <v/>
      </c>
      <c r="Z1067" s="22">
        <f>IF(OR($B1067="",$G1067&lt;&gt;"Variance vs Budget"),"",ABS(N($V1067))+ROW()/1000000000)</f>
        <v/>
      </c>
    </row>
    <row r="1068">
      <c r="A1068" s="13">
        <f>IF(A$1066="","",A$1066)</f>
        <v/>
      </c>
      <c r="B1068" s="13">
        <f>IF(B$1066="","",B$1066)</f>
        <v/>
      </c>
      <c r="C1068" s="13">
        <f>IF(C$1066="","",C$1066)</f>
        <v/>
      </c>
      <c r="D1068" s="13">
        <f>IF(D$1066="","",D$1066)</f>
        <v/>
      </c>
      <c r="E1068" s="13">
        <f>IF(E$1066="","",E$1066)</f>
        <v/>
      </c>
      <c r="F1068" s="13">
        <f>IF(F$1066="","",F$1066)</f>
        <v/>
      </c>
      <c r="G1068" s="6" t="inlineStr">
        <is>
          <t>Variance vs Budget</t>
        </is>
      </c>
      <c r="H1068" s="33">
        <f>IF(OR($B$1066="",1&gt;$C$4),"",N(H1067)-H1066)</f>
        <v/>
      </c>
      <c r="I1068" s="33">
        <f>IF(OR($B$1066="",2&gt;$C$4),"",N(I1067)-I1066)</f>
        <v/>
      </c>
      <c r="J1068" s="33">
        <f>IF(OR($B$1066="",3&gt;$C$4),"",N(J1067)-J1066)</f>
        <v/>
      </c>
      <c r="K1068" s="33">
        <f>IF(OR($B$1066="",4&gt;$C$4),"",N(K1067)-K1066)</f>
        <v/>
      </c>
      <c r="L1068" s="33">
        <f>IF(OR($B$1066="",5&gt;$C$4),"",N(L1067)-L1066)</f>
        <v/>
      </c>
      <c r="M1068" s="33">
        <f>IF(OR($B$1066="",6&gt;$C$4),"",N(M1067)-M1066)</f>
        <v/>
      </c>
      <c r="N1068" s="33">
        <f>IF(OR($B$1066="",7&gt;$C$4),"",N(N1067)-N1066)</f>
        <v/>
      </c>
      <c r="O1068" s="33">
        <f>IF(OR($B$1066="",8&gt;$C$4),"",N(O1067)-O1066)</f>
        <v/>
      </c>
      <c r="P1068" s="33">
        <f>IF(OR($B$1066="",9&gt;$C$4),"",N(P1067)-P1066)</f>
        <v/>
      </c>
      <c r="Q1068" s="33">
        <f>IF(OR($B$1066="",10&gt;$C$4),"",N(Q1067)-Q1066)</f>
        <v/>
      </c>
      <c r="R1068" s="33">
        <f>IF(OR($B$1066="",11&gt;$C$4),"",N(R1067)-R1066)</f>
        <v/>
      </c>
      <c r="S1068" s="33">
        <f>IF(OR($B$1066="",12&gt;$C$4),"",N(S1067)-S1066)</f>
        <v/>
      </c>
      <c r="T1068" s="33">
        <f>IF($B$1066="","",T1067-T1066)</f>
        <v/>
      </c>
      <c r="U1068" s="33">
        <f>IF($B$1066="","",U1070-U1066)</f>
        <v/>
      </c>
      <c r="V1068" s="33">
        <f>IF($B$1066="","",V1070-V1066)</f>
        <v/>
      </c>
      <c r="X1068" s="22">
        <f>IF($B1068="","",IFERROR(INDEX(Cost_Centers!$E:$E,MATCH($B1068,Cost_Centers!$A:$A,0)),"(unknown)"))</f>
        <v/>
      </c>
      <c r="Y1068" s="22">
        <f>IF($B1068="","",IFERROR(INDEX(Cost_Centers!$D:$D,MATCH($B1068,Cost_Centers!$A:$A,0)),"(unknown)"))</f>
        <v/>
      </c>
      <c r="Z1068" s="22">
        <f>IF(OR($B1068="",$G1068&lt;&gt;"Variance vs Budget"),"",ABS(N($V1068))+ROW()/1000000000)</f>
        <v/>
      </c>
    </row>
    <row r="1069">
      <c r="A1069" s="13">
        <f>IF(A$1066="","",A$1066)</f>
        <v/>
      </c>
      <c r="B1069" s="13">
        <f>IF(B$1066="","",B$1066)</f>
        <v/>
      </c>
      <c r="C1069" s="13">
        <f>IF(C$1066="","",C$1066)</f>
        <v/>
      </c>
      <c r="D1069" s="13">
        <f>IF(D$1066="","",D$1066)</f>
        <v/>
      </c>
      <c r="E1069" s="13">
        <f>IF(E$1066="","",E$1066)</f>
        <v/>
      </c>
      <c r="F1069" s="13">
        <f>IF(F$1066="","",F$1066)</f>
        <v/>
      </c>
      <c r="G1069" s="7" t="inlineStr">
        <is>
          <t>Forecast (input)</t>
        </is>
      </c>
      <c r="H1069" s="34" t="n"/>
      <c r="I1069" s="34" t="n"/>
      <c r="J1069" s="34" t="n"/>
      <c r="K1069" s="34" t="n"/>
      <c r="L1069" s="34" t="n"/>
      <c r="M1069" s="34" t="n"/>
      <c r="N1069" s="34" t="n"/>
      <c r="O1069" s="34" t="n"/>
      <c r="P1069" s="34" t="n"/>
      <c r="Q1069" s="34" t="n"/>
      <c r="R1069" s="34" t="n"/>
      <c r="S1069" s="34" t="n"/>
      <c r="T1069" s="18" t="n"/>
      <c r="U1069" s="18" t="n"/>
      <c r="V1069" s="18" t="n"/>
      <c r="X1069" s="22">
        <f>IF($B1069="","",IFERROR(INDEX(Cost_Centers!$E:$E,MATCH($B1069,Cost_Centers!$A:$A,0)),"(unknown)"))</f>
        <v/>
      </c>
      <c r="Y1069" s="22">
        <f>IF($B1069="","",IFERROR(INDEX(Cost_Centers!$D:$D,MATCH($B1069,Cost_Centers!$A:$A,0)),"(unknown)"))</f>
        <v/>
      </c>
      <c r="Z1069" s="22">
        <f>IF(OR($B1069="",$G1069&lt;&gt;"Variance vs Budget"),"",ABS(N($V1069))+ROW()/1000000000)</f>
        <v/>
      </c>
    </row>
    <row r="1070">
      <c r="A1070" s="13">
        <f>IF(A$1066="","",A$1066)</f>
        <v/>
      </c>
      <c r="B1070" s="13">
        <f>IF(B$1066="","",B$1066)</f>
        <v/>
      </c>
      <c r="C1070" s="13">
        <f>IF(C$1066="","",C$1066)</f>
        <v/>
      </c>
      <c r="D1070" s="13">
        <f>IF(D$1066="","",D$1066)</f>
        <v/>
      </c>
      <c r="E1070" s="13">
        <f>IF(E$1066="","",E$1066)</f>
        <v/>
      </c>
      <c r="F1070" s="13">
        <f>IF(F$1066="","",F$1066)</f>
        <v/>
      </c>
      <c r="G1070" s="35" t="inlineStr">
        <is>
          <t>Actual + Forecast</t>
        </is>
      </c>
      <c r="H1070" s="18">
        <f>IF($B$1066="","",IF(1&lt;=$C$4,N(H1067),IF(H1069="",H1066,H1069)))</f>
        <v/>
      </c>
      <c r="I1070" s="18">
        <f>IF($B$1066="","",IF(2&lt;=$C$4,N(I1067),IF(I1069="",I1066,I1069)))</f>
        <v/>
      </c>
      <c r="J1070" s="18">
        <f>IF($B$1066="","",IF(3&lt;=$C$4,N(J1067),IF(J1069="",J1066,J1069)))</f>
        <v/>
      </c>
      <c r="K1070" s="18">
        <f>IF($B$1066="","",IF(4&lt;=$C$4,N(K1067),IF(K1069="",K1066,K1069)))</f>
        <v/>
      </c>
      <c r="L1070" s="18">
        <f>IF($B$1066="","",IF(5&lt;=$C$4,N(L1067),IF(L1069="",L1066,L1069)))</f>
        <v/>
      </c>
      <c r="M1070" s="18">
        <f>IF($B$1066="","",IF(6&lt;=$C$4,N(M1067),IF(M1069="",M1066,M1069)))</f>
        <v/>
      </c>
      <c r="N1070" s="18">
        <f>IF($B$1066="","",IF(7&lt;=$C$4,N(N1067),IF(N1069="",N1066,N1069)))</f>
        <v/>
      </c>
      <c r="O1070" s="18">
        <f>IF($B$1066="","",IF(8&lt;=$C$4,N(O1067),IF(O1069="",O1066,O1069)))</f>
        <v/>
      </c>
      <c r="P1070" s="18">
        <f>IF($B$1066="","",IF(9&lt;=$C$4,N(P1067),IF(P1069="",P1066,P1069)))</f>
        <v/>
      </c>
      <c r="Q1070" s="18">
        <f>IF($B$1066="","",IF(10&lt;=$C$4,N(Q1067),IF(Q1069="",Q1066,Q1069)))</f>
        <v/>
      </c>
      <c r="R1070" s="18">
        <f>IF($B$1066="","",IF(11&lt;=$C$4,N(R1067),IF(R1069="",R1066,R1069)))</f>
        <v/>
      </c>
      <c r="S1070" s="18">
        <f>IF($B$1066="","",IF(12&lt;=$C$4,N(S1067),IF(S1069="",S1066,S1069)))</f>
        <v/>
      </c>
      <c r="T1070" s="18">
        <f>IF($B$1066="","",SUMIF($H$7:$S$7,"&lt;="&amp;$C$4,$H1070:$S1070))</f>
        <v/>
      </c>
      <c r="U1070" s="18">
        <f>IF($B$1066="","",SUMIF($H$7:$S$7,"&gt;"&amp;$C$4,$H1070:$S1070))</f>
        <v/>
      </c>
      <c r="V1070" s="18">
        <f>IF($B$1066="","",SUM($H1070:$S1070))</f>
        <v/>
      </c>
      <c r="X1070" s="22">
        <f>IF($B1070="","",IFERROR(INDEX(Cost_Centers!$E:$E,MATCH($B1070,Cost_Centers!$A:$A,0)),"(unknown)"))</f>
        <v/>
      </c>
      <c r="Y1070" s="22">
        <f>IF($B1070="","",IFERROR(INDEX(Cost_Centers!$D:$D,MATCH($B1070,Cost_Centers!$A:$A,0)),"(unknown)"))</f>
        <v/>
      </c>
      <c r="Z1070" s="22">
        <f>IF(OR($B1070="",$G1070&lt;&gt;"Variance vs Budget"),"",ABS(N($V1070))+ROW()/1000000000)</f>
        <v/>
      </c>
    </row>
    <row r="1071">
      <c r="A1071" s="13">
        <f>IF(A$1066="","",A$1066)</f>
        <v/>
      </c>
      <c r="B1071" s="13">
        <f>IF(B$1066="","",B$1066)</f>
        <v/>
      </c>
      <c r="C1071" s="13">
        <f>IF(C$1066="","",C$1066)</f>
        <v/>
      </c>
      <c r="D1071" s="13">
        <f>IF(D$1066="","",D$1066)</f>
        <v/>
      </c>
      <c r="E1071" s="13">
        <f>IF(E$1066="","",E$1066)</f>
        <v/>
      </c>
      <c r="F1071" s="13">
        <f>IF(F$1066="","",F$1066)</f>
        <v/>
      </c>
      <c r="G1071" s="36" t="inlineStr">
        <is>
          <t>Prior Month Forecast</t>
        </is>
      </c>
      <c r="H1071" s="37">
        <f>IF($B$1066="","",IF(COUNTIFS(Prior_Forecast!$A:$A,$B$1066,Prior_Forecast!$B:$B,$D$1066)&gt;0,SUMIFS(Prior_Forecast!$C:$C,Prior_Forecast!$A:$A,$B$1066,Prior_Forecast!$B:$B,$D$1066),""))</f>
        <v/>
      </c>
      <c r="I1071" s="37">
        <f>IF($B$1066="","",IF(COUNTIFS(Prior_Forecast!$A:$A,$B$1066,Prior_Forecast!$B:$B,$D$1066)&gt;0,SUMIFS(Prior_Forecast!$D:$D,Prior_Forecast!$A:$A,$B$1066,Prior_Forecast!$B:$B,$D$1066),""))</f>
        <v/>
      </c>
      <c r="J1071" s="37">
        <f>IF($B$1066="","",IF(COUNTIFS(Prior_Forecast!$A:$A,$B$1066,Prior_Forecast!$B:$B,$D$1066)&gt;0,SUMIFS(Prior_Forecast!$E:$E,Prior_Forecast!$A:$A,$B$1066,Prior_Forecast!$B:$B,$D$1066),""))</f>
        <v/>
      </c>
      <c r="K1071" s="37">
        <f>IF($B$1066="","",IF(COUNTIFS(Prior_Forecast!$A:$A,$B$1066,Prior_Forecast!$B:$B,$D$1066)&gt;0,SUMIFS(Prior_Forecast!$F:$F,Prior_Forecast!$A:$A,$B$1066,Prior_Forecast!$B:$B,$D$1066),""))</f>
        <v/>
      </c>
      <c r="L1071" s="37">
        <f>IF($B$1066="","",IF(COUNTIFS(Prior_Forecast!$A:$A,$B$1066,Prior_Forecast!$B:$B,$D$1066)&gt;0,SUMIFS(Prior_Forecast!$G:$G,Prior_Forecast!$A:$A,$B$1066,Prior_Forecast!$B:$B,$D$1066),""))</f>
        <v/>
      </c>
      <c r="M1071" s="37">
        <f>IF($B$1066="","",IF(COUNTIFS(Prior_Forecast!$A:$A,$B$1066,Prior_Forecast!$B:$B,$D$1066)&gt;0,SUMIFS(Prior_Forecast!$H:$H,Prior_Forecast!$A:$A,$B$1066,Prior_Forecast!$B:$B,$D$1066),""))</f>
        <v/>
      </c>
      <c r="N1071" s="37">
        <f>IF($B$1066="","",IF(COUNTIFS(Prior_Forecast!$A:$A,$B$1066,Prior_Forecast!$B:$B,$D$1066)&gt;0,SUMIFS(Prior_Forecast!$I:$I,Prior_Forecast!$A:$A,$B$1066,Prior_Forecast!$B:$B,$D$1066),""))</f>
        <v/>
      </c>
      <c r="O1071" s="37">
        <f>IF($B$1066="","",IF(COUNTIFS(Prior_Forecast!$A:$A,$B$1066,Prior_Forecast!$B:$B,$D$1066)&gt;0,SUMIFS(Prior_Forecast!$J:$J,Prior_Forecast!$A:$A,$B$1066,Prior_Forecast!$B:$B,$D$1066),""))</f>
        <v/>
      </c>
      <c r="P1071" s="37">
        <f>IF($B$1066="","",IF(COUNTIFS(Prior_Forecast!$A:$A,$B$1066,Prior_Forecast!$B:$B,$D$1066)&gt;0,SUMIFS(Prior_Forecast!$K:$K,Prior_Forecast!$A:$A,$B$1066,Prior_Forecast!$B:$B,$D$1066),""))</f>
        <v/>
      </c>
      <c r="Q1071" s="37">
        <f>IF($B$1066="","",IF(COUNTIFS(Prior_Forecast!$A:$A,$B$1066,Prior_Forecast!$B:$B,$D$1066)&gt;0,SUMIFS(Prior_Forecast!$L:$L,Prior_Forecast!$A:$A,$B$1066,Prior_Forecast!$B:$B,$D$1066),""))</f>
        <v/>
      </c>
      <c r="R1071" s="37">
        <f>IF($B$1066="","",IF(COUNTIFS(Prior_Forecast!$A:$A,$B$1066,Prior_Forecast!$B:$B,$D$1066)&gt;0,SUMIFS(Prior_Forecast!$M:$M,Prior_Forecast!$A:$A,$B$1066,Prior_Forecast!$B:$B,$D$1066),""))</f>
        <v/>
      </c>
      <c r="S1071" s="37">
        <f>IF($B$1066="","",IF(COUNTIFS(Prior_Forecast!$A:$A,$B$1066,Prior_Forecast!$B:$B,$D$1066)&gt;0,SUMIFS(Prior_Forecast!$N:$N,Prior_Forecast!$A:$A,$B$1066,Prior_Forecast!$B:$B,$D$1066),""))</f>
        <v/>
      </c>
      <c r="T1071" s="37">
        <f>IF($B$1066="","",IF(COUNTIFS(Prior_Forecast!$A:$A,$B$1066,Prior_Forecast!$B:$B,$D$1066)&gt;0,SUMIFS(Prior_Forecast!$O:$O,Prior_Forecast!$A:$A,$B$1066,Prior_Forecast!$B:$B,$D$1066),""))</f>
        <v/>
      </c>
      <c r="U1071" s="37">
        <f>IF($B$1066="","",IF(COUNTIFS(Prior_Forecast!$A:$A,$B$1066,Prior_Forecast!$B:$B,$D$1066)&gt;0,SUMIFS(Prior_Forecast!$P:$P,Prior_Forecast!$A:$A,$B$1066,Prior_Forecast!$B:$B,$D$1066),""))</f>
        <v/>
      </c>
      <c r="V1071" s="37">
        <f>IF($B$1066="","",IF(COUNTIFS(Prior_Forecast!$A:$A,$B$1066,Prior_Forecast!$B:$B,$D$1066)&gt;0,SUMIFS(Prior_Forecast!$Q:$Q,Prior_Forecast!$A:$A,$B$1066,Prior_Forecast!$B:$B,$D$1066),""))</f>
        <v/>
      </c>
      <c r="X1071" s="22">
        <f>IF($B1071="","",IFERROR(INDEX(Cost_Centers!$E:$E,MATCH($B1071,Cost_Centers!$A:$A,0)),"(unknown)"))</f>
        <v/>
      </c>
      <c r="Y1071" s="22">
        <f>IF($B1071="","",IFERROR(INDEX(Cost_Centers!$D:$D,MATCH($B1071,Cost_Centers!$A:$A,0)),"(unknown)"))</f>
        <v/>
      </c>
      <c r="Z1071" s="22">
        <f>IF(OR($B1071="",$G1071&lt;&gt;"Variance vs Budget"),"",ABS(N($V1071))+ROW()/1000000000)</f>
        <v/>
      </c>
    </row>
    <row r="1072">
      <c r="A1072" s="13">
        <f>IF(A$1066="","",A$1066)</f>
        <v/>
      </c>
      <c r="B1072" s="13">
        <f>IF(B$1066="","",B$1066)</f>
        <v/>
      </c>
      <c r="C1072" s="13">
        <f>IF(C$1066="","",C$1066)</f>
        <v/>
      </c>
      <c r="D1072" s="13">
        <f>IF(D$1066="","",D$1066)</f>
        <v/>
      </c>
      <c r="E1072" s="13">
        <f>IF(E$1066="","",E$1066)</f>
        <v/>
      </c>
      <c r="F1072" s="13">
        <f>IF(F$1066="","",F$1066)</f>
        <v/>
      </c>
      <c r="G1072" s="6" t="inlineStr">
        <is>
          <t>Variance vs Prior Month</t>
        </is>
      </c>
      <c r="H1072" s="33">
        <f>IF(OR($B$1066="",H1071=""),"",H1070-H1071)</f>
        <v/>
      </c>
      <c r="I1072" s="33">
        <f>IF(OR($B$1066="",I1071=""),"",I1070-I1071)</f>
        <v/>
      </c>
      <c r="J1072" s="33">
        <f>IF(OR($B$1066="",J1071=""),"",J1070-J1071)</f>
        <v/>
      </c>
      <c r="K1072" s="33">
        <f>IF(OR($B$1066="",K1071=""),"",K1070-K1071)</f>
        <v/>
      </c>
      <c r="L1072" s="33">
        <f>IF(OR($B$1066="",L1071=""),"",L1070-L1071)</f>
        <v/>
      </c>
      <c r="M1072" s="33">
        <f>IF(OR($B$1066="",M1071=""),"",M1070-M1071)</f>
        <v/>
      </c>
      <c r="N1072" s="33">
        <f>IF(OR($B$1066="",N1071=""),"",N1070-N1071)</f>
        <v/>
      </c>
      <c r="O1072" s="33">
        <f>IF(OR($B$1066="",O1071=""),"",O1070-O1071)</f>
        <v/>
      </c>
      <c r="P1072" s="33">
        <f>IF(OR($B$1066="",P1071=""),"",P1070-P1071)</f>
        <v/>
      </c>
      <c r="Q1072" s="33">
        <f>IF(OR($B$1066="",Q1071=""),"",Q1070-Q1071)</f>
        <v/>
      </c>
      <c r="R1072" s="33">
        <f>IF(OR($B$1066="",R1071=""),"",R1070-R1071)</f>
        <v/>
      </c>
      <c r="S1072" s="33">
        <f>IF(OR($B$1066="",S1071=""),"",S1070-S1071)</f>
        <v/>
      </c>
      <c r="T1072" s="33">
        <f>IF(OR($B$1066="",T1071=""),"",T1070-T1071)</f>
        <v/>
      </c>
      <c r="U1072" s="33">
        <f>IF(OR($B$1066="",U1071=""),"",U1070-U1071)</f>
        <v/>
      </c>
      <c r="V1072" s="33">
        <f>IF(OR($B$1066="",V1071=""),"",V1070-V1071)</f>
        <v/>
      </c>
      <c r="X1072" s="22">
        <f>IF($B1072="","",IFERROR(INDEX(Cost_Centers!$E:$E,MATCH($B1072,Cost_Centers!$A:$A,0)),"(unknown)"))</f>
        <v/>
      </c>
      <c r="Y1072" s="22">
        <f>IF($B1072="","",IFERROR(INDEX(Cost_Centers!$D:$D,MATCH($B1072,Cost_Centers!$A:$A,0)),"(unknown)"))</f>
        <v/>
      </c>
      <c r="Z1072" s="22">
        <f>IF(OR($B1072="",$G1072&lt;&gt;"Variance vs Budget"),"",ABS(N($V1072))+ROW()/1000000000)</f>
        <v/>
      </c>
    </row>
    <row r="1073" ht="45" customHeight="1">
      <c r="A1073" s="13">
        <f>IF(A$1066="","",A$1066)</f>
        <v/>
      </c>
      <c r="B1073" s="13">
        <f>IF(B$1066="","",B$1066)</f>
        <v/>
      </c>
      <c r="C1073" s="13">
        <f>IF(C$1066="","",C$1066)</f>
        <v/>
      </c>
      <c r="D1073" s="13">
        <f>IF(D$1066="","",D$1066)</f>
        <v/>
      </c>
      <c r="E1073" s="13">
        <f>IF(E$1066="","",E$1066)</f>
        <v/>
      </c>
      <c r="F1073" s="13">
        <f>IF(F$1066="","",F$1066)</f>
        <v/>
      </c>
      <c r="G1073" s="7" t="inlineStr">
        <is>
          <t>Rationale</t>
        </is>
      </c>
      <c r="H1073" s="38" t="n"/>
      <c r="I1073" s="38" t="n"/>
      <c r="J1073" s="38" t="n"/>
      <c r="K1073" s="38" t="n"/>
      <c r="L1073" s="38" t="n"/>
      <c r="M1073" s="38" t="n"/>
      <c r="N1073" s="38" t="n"/>
      <c r="O1073" s="38" t="n"/>
      <c r="P1073" s="38" t="n"/>
      <c r="Q1073" s="38" t="n"/>
      <c r="R1073" s="38" t="n"/>
      <c r="S1073" s="38" t="n"/>
      <c r="T1073" s="38" t="n"/>
      <c r="U1073" s="38" t="n"/>
      <c r="V1073" s="7" t="n"/>
      <c r="X1073" s="22">
        <f>IF($B1073="","",IFERROR(INDEX(Cost_Centers!$E:$E,MATCH($B1073,Cost_Centers!$A:$A,0)),"(unknown)"))</f>
        <v/>
      </c>
      <c r="Y1073" s="22">
        <f>IF($B1073="","",IFERROR(INDEX(Cost_Centers!$D:$D,MATCH($B1073,Cost_Centers!$A:$A,0)),"(unknown)"))</f>
        <v/>
      </c>
      <c r="Z1073" s="22">
        <f>IF(OR($B1073="",$G1073&lt;&gt;"Variance vs Budget"),"",ABS(N($V1073))+ROW()/1000000000)</f>
        <v/>
      </c>
    </row>
    <row r="1074">
      <c r="A1074" s="30">
        <f>IF($D$1074="","",LEFT($D$1074,FIND("|",$D$1074&amp;"|")-1))</f>
        <v/>
      </c>
      <c r="B1074" s="31" t="n"/>
      <c r="C1074" s="30">
        <f>IF($B$1074="","",IFERROR(INDEX(Cost_Centers!$B:$B,MATCH($B$1074,Cost_Centers!$A:$A,0)),"(not in master)"))</f>
        <v/>
      </c>
      <c r="D1074" s="31" t="n"/>
      <c r="E1074" s="30">
        <f>IF($D$1074="","",IFERROR(INDEX(Accounts!$D:$D,MATCH($D$1074,Accounts!$A:$A,0)),"(not in master)"))</f>
        <v/>
      </c>
      <c r="F1074" s="31" t="n"/>
      <c r="G1074" s="30" t="inlineStr">
        <is>
          <t>Budget</t>
        </is>
      </c>
      <c r="H1074" s="32">
        <f>IF($B$1074="","",SUMIFS(Opex_Budget!$O:$O,Opex_Budget!$A:$A,$C$3,Opex_Budget!$E:$E,$B$1074,Opex_Budget!$F:$F,$D$1074,Opex_Budget!$N:$N,"JPY")*$E$5+SUMIFS(Opex_Budget!$O:$O,Opex_Budget!$A:$A,$C$3,Opex_Budget!$E:$E,$B$1074,Opex_Budget!$F:$F,$D$1074,Opex_Budget!$N:$N,"USD")*$F$5+SUMIFS(Opex_Budget!$O:$O,Opex_Budget!$A:$A,$C$3,Opex_Budget!$E:$E,$B$1074,Opex_Budget!$F:$F,$D$1074,Opex_Budget!$N:$N,"EUR")*$G$5+SUMIFS(Opex_Budget!$O:$O,Opex_Budget!$A:$A,$C$3,Opex_Budget!$E:$E,$B$1074,Opex_Budget!$F:$F,$D$1074,Opex_Budget!$N:$N,"GBP")*$H$5)</f>
        <v/>
      </c>
      <c r="I1074" s="32">
        <f>IF($B$1074="","",SUMIFS(Opex_Budget!$P:$P,Opex_Budget!$A:$A,$C$3,Opex_Budget!$E:$E,$B$1074,Opex_Budget!$F:$F,$D$1074,Opex_Budget!$N:$N,"JPY")*$E$5+SUMIFS(Opex_Budget!$P:$P,Opex_Budget!$A:$A,$C$3,Opex_Budget!$E:$E,$B$1074,Opex_Budget!$F:$F,$D$1074,Opex_Budget!$N:$N,"USD")*$F$5+SUMIFS(Opex_Budget!$P:$P,Opex_Budget!$A:$A,$C$3,Opex_Budget!$E:$E,$B$1074,Opex_Budget!$F:$F,$D$1074,Opex_Budget!$N:$N,"EUR")*$G$5+SUMIFS(Opex_Budget!$P:$P,Opex_Budget!$A:$A,$C$3,Opex_Budget!$E:$E,$B$1074,Opex_Budget!$F:$F,$D$1074,Opex_Budget!$N:$N,"GBP")*$H$5)</f>
        <v/>
      </c>
      <c r="J1074" s="32">
        <f>IF($B$1074="","",SUMIFS(Opex_Budget!$Q:$Q,Opex_Budget!$A:$A,$C$3,Opex_Budget!$E:$E,$B$1074,Opex_Budget!$F:$F,$D$1074,Opex_Budget!$N:$N,"JPY")*$E$5+SUMIFS(Opex_Budget!$Q:$Q,Opex_Budget!$A:$A,$C$3,Opex_Budget!$E:$E,$B$1074,Opex_Budget!$F:$F,$D$1074,Opex_Budget!$N:$N,"USD")*$F$5+SUMIFS(Opex_Budget!$Q:$Q,Opex_Budget!$A:$A,$C$3,Opex_Budget!$E:$E,$B$1074,Opex_Budget!$F:$F,$D$1074,Opex_Budget!$N:$N,"EUR")*$G$5+SUMIFS(Opex_Budget!$Q:$Q,Opex_Budget!$A:$A,$C$3,Opex_Budget!$E:$E,$B$1074,Opex_Budget!$F:$F,$D$1074,Opex_Budget!$N:$N,"GBP")*$H$5)</f>
        <v/>
      </c>
      <c r="K1074" s="32">
        <f>IF($B$1074="","",SUMIFS(Opex_Budget!$R:$R,Opex_Budget!$A:$A,$C$3,Opex_Budget!$E:$E,$B$1074,Opex_Budget!$F:$F,$D$1074,Opex_Budget!$N:$N,"JPY")*$E$5+SUMIFS(Opex_Budget!$R:$R,Opex_Budget!$A:$A,$C$3,Opex_Budget!$E:$E,$B$1074,Opex_Budget!$F:$F,$D$1074,Opex_Budget!$N:$N,"USD")*$F$5+SUMIFS(Opex_Budget!$R:$R,Opex_Budget!$A:$A,$C$3,Opex_Budget!$E:$E,$B$1074,Opex_Budget!$F:$F,$D$1074,Opex_Budget!$N:$N,"EUR")*$G$5+SUMIFS(Opex_Budget!$R:$R,Opex_Budget!$A:$A,$C$3,Opex_Budget!$E:$E,$B$1074,Opex_Budget!$F:$F,$D$1074,Opex_Budget!$N:$N,"GBP")*$H$5)</f>
        <v/>
      </c>
      <c r="L1074" s="32">
        <f>IF($B$1074="","",SUMIFS(Opex_Budget!$S:$S,Opex_Budget!$A:$A,$C$3,Opex_Budget!$E:$E,$B$1074,Opex_Budget!$F:$F,$D$1074,Opex_Budget!$N:$N,"JPY")*$E$5+SUMIFS(Opex_Budget!$S:$S,Opex_Budget!$A:$A,$C$3,Opex_Budget!$E:$E,$B$1074,Opex_Budget!$F:$F,$D$1074,Opex_Budget!$N:$N,"USD")*$F$5+SUMIFS(Opex_Budget!$S:$S,Opex_Budget!$A:$A,$C$3,Opex_Budget!$E:$E,$B$1074,Opex_Budget!$F:$F,$D$1074,Opex_Budget!$N:$N,"EUR")*$G$5+SUMIFS(Opex_Budget!$S:$S,Opex_Budget!$A:$A,$C$3,Opex_Budget!$E:$E,$B$1074,Opex_Budget!$F:$F,$D$1074,Opex_Budget!$N:$N,"GBP")*$H$5)</f>
        <v/>
      </c>
      <c r="M1074" s="32">
        <f>IF($B$1074="","",SUMIFS(Opex_Budget!$T:$T,Opex_Budget!$A:$A,$C$3,Opex_Budget!$E:$E,$B$1074,Opex_Budget!$F:$F,$D$1074,Opex_Budget!$N:$N,"JPY")*$E$5+SUMIFS(Opex_Budget!$T:$T,Opex_Budget!$A:$A,$C$3,Opex_Budget!$E:$E,$B$1074,Opex_Budget!$F:$F,$D$1074,Opex_Budget!$N:$N,"USD")*$F$5+SUMIFS(Opex_Budget!$T:$T,Opex_Budget!$A:$A,$C$3,Opex_Budget!$E:$E,$B$1074,Opex_Budget!$F:$F,$D$1074,Opex_Budget!$N:$N,"EUR")*$G$5+SUMIFS(Opex_Budget!$T:$T,Opex_Budget!$A:$A,$C$3,Opex_Budget!$E:$E,$B$1074,Opex_Budget!$F:$F,$D$1074,Opex_Budget!$N:$N,"GBP")*$H$5)</f>
        <v/>
      </c>
      <c r="N1074" s="32">
        <f>IF($B$1074="","",SUMIFS(Opex_Budget!$U:$U,Opex_Budget!$A:$A,$C$3,Opex_Budget!$E:$E,$B$1074,Opex_Budget!$F:$F,$D$1074,Opex_Budget!$N:$N,"JPY")*$E$5+SUMIFS(Opex_Budget!$U:$U,Opex_Budget!$A:$A,$C$3,Opex_Budget!$E:$E,$B$1074,Opex_Budget!$F:$F,$D$1074,Opex_Budget!$N:$N,"USD")*$F$5+SUMIFS(Opex_Budget!$U:$U,Opex_Budget!$A:$A,$C$3,Opex_Budget!$E:$E,$B$1074,Opex_Budget!$F:$F,$D$1074,Opex_Budget!$N:$N,"EUR")*$G$5+SUMIFS(Opex_Budget!$U:$U,Opex_Budget!$A:$A,$C$3,Opex_Budget!$E:$E,$B$1074,Opex_Budget!$F:$F,$D$1074,Opex_Budget!$N:$N,"GBP")*$H$5)</f>
        <v/>
      </c>
      <c r="O1074" s="32">
        <f>IF($B$1074="","",SUMIFS(Opex_Budget!$V:$V,Opex_Budget!$A:$A,$C$3,Opex_Budget!$E:$E,$B$1074,Opex_Budget!$F:$F,$D$1074,Opex_Budget!$N:$N,"JPY")*$E$5+SUMIFS(Opex_Budget!$V:$V,Opex_Budget!$A:$A,$C$3,Opex_Budget!$E:$E,$B$1074,Opex_Budget!$F:$F,$D$1074,Opex_Budget!$N:$N,"USD")*$F$5+SUMIFS(Opex_Budget!$V:$V,Opex_Budget!$A:$A,$C$3,Opex_Budget!$E:$E,$B$1074,Opex_Budget!$F:$F,$D$1074,Opex_Budget!$N:$N,"EUR")*$G$5+SUMIFS(Opex_Budget!$V:$V,Opex_Budget!$A:$A,$C$3,Opex_Budget!$E:$E,$B$1074,Opex_Budget!$F:$F,$D$1074,Opex_Budget!$N:$N,"GBP")*$H$5)</f>
        <v/>
      </c>
      <c r="P1074" s="32">
        <f>IF($B$1074="","",SUMIFS(Opex_Budget!$W:$W,Opex_Budget!$A:$A,$C$3,Opex_Budget!$E:$E,$B$1074,Opex_Budget!$F:$F,$D$1074,Opex_Budget!$N:$N,"JPY")*$E$5+SUMIFS(Opex_Budget!$W:$W,Opex_Budget!$A:$A,$C$3,Opex_Budget!$E:$E,$B$1074,Opex_Budget!$F:$F,$D$1074,Opex_Budget!$N:$N,"USD")*$F$5+SUMIFS(Opex_Budget!$W:$W,Opex_Budget!$A:$A,$C$3,Opex_Budget!$E:$E,$B$1074,Opex_Budget!$F:$F,$D$1074,Opex_Budget!$N:$N,"EUR")*$G$5+SUMIFS(Opex_Budget!$W:$W,Opex_Budget!$A:$A,$C$3,Opex_Budget!$E:$E,$B$1074,Opex_Budget!$F:$F,$D$1074,Opex_Budget!$N:$N,"GBP")*$H$5)</f>
        <v/>
      </c>
      <c r="Q1074" s="32">
        <f>IF($B$1074="","",SUMIFS(Opex_Budget!$X:$X,Opex_Budget!$A:$A,$C$3,Opex_Budget!$E:$E,$B$1074,Opex_Budget!$F:$F,$D$1074,Opex_Budget!$N:$N,"JPY")*$E$5+SUMIFS(Opex_Budget!$X:$X,Opex_Budget!$A:$A,$C$3,Opex_Budget!$E:$E,$B$1074,Opex_Budget!$F:$F,$D$1074,Opex_Budget!$N:$N,"USD")*$F$5+SUMIFS(Opex_Budget!$X:$X,Opex_Budget!$A:$A,$C$3,Opex_Budget!$E:$E,$B$1074,Opex_Budget!$F:$F,$D$1074,Opex_Budget!$N:$N,"EUR")*$G$5+SUMIFS(Opex_Budget!$X:$X,Opex_Budget!$A:$A,$C$3,Opex_Budget!$E:$E,$B$1074,Opex_Budget!$F:$F,$D$1074,Opex_Budget!$N:$N,"GBP")*$H$5)</f>
        <v/>
      </c>
      <c r="R1074" s="32">
        <f>IF($B$1074="","",SUMIFS(Opex_Budget!$Y:$Y,Opex_Budget!$A:$A,$C$3,Opex_Budget!$E:$E,$B$1074,Opex_Budget!$F:$F,$D$1074,Opex_Budget!$N:$N,"JPY")*$E$5+SUMIFS(Opex_Budget!$Y:$Y,Opex_Budget!$A:$A,$C$3,Opex_Budget!$E:$E,$B$1074,Opex_Budget!$F:$F,$D$1074,Opex_Budget!$N:$N,"USD")*$F$5+SUMIFS(Opex_Budget!$Y:$Y,Opex_Budget!$A:$A,$C$3,Opex_Budget!$E:$E,$B$1074,Opex_Budget!$F:$F,$D$1074,Opex_Budget!$N:$N,"EUR")*$G$5+SUMIFS(Opex_Budget!$Y:$Y,Opex_Budget!$A:$A,$C$3,Opex_Budget!$E:$E,$B$1074,Opex_Budget!$F:$F,$D$1074,Opex_Budget!$N:$N,"GBP")*$H$5)</f>
        <v/>
      </c>
      <c r="S1074" s="32">
        <f>IF($B$1074="","",SUMIFS(Opex_Budget!$Z:$Z,Opex_Budget!$A:$A,$C$3,Opex_Budget!$E:$E,$B$1074,Opex_Budget!$F:$F,$D$1074,Opex_Budget!$N:$N,"JPY")*$E$5+SUMIFS(Opex_Budget!$Z:$Z,Opex_Budget!$A:$A,$C$3,Opex_Budget!$E:$E,$B$1074,Opex_Budget!$F:$F,$D$1074,Opex_Budget!$N:$N,"USD")*$F$5+SUMIFS(Opex_Budget!$Z:$Z,Opex_Budget!$A:$A,$C$3,Opex_Budget!$E:$E,$B$1074,Opex_Budget!$F:$F,$D$1074,Opex_Budget!$N:$N,"EUR")*$G$5+SUMIFS(Opex_Budget!$Z:$Z,Opex_Budget!$A:$A,$C$3,Opex_Budget!$E:$E,$B$1074,Opex_Budget!$F:$F,$D$1074,Opex_Budget!$N:$N,"GBP")*$H$5)</f>
        <v/>
      </c>
      <c r="T1074" s="32">
        <f>IF($B$1074="","",SUMIF($H$7:$S$7,"&lt;="&amp;$C$4,$H1074:$S1074))</f>
        <v/>
      </c>
      <c r="U1074" s="32">
        <f>IF($B$1074="","",SUMIF($H$7:$S$7,"&gt;"&amp;$C$4,$H1074:$S1074))</f>
        <v/>
      </c>
      <c r="V1074" s="32">
        <f>IF($B$1074="","",SUM($H1074:$S1074))</f>
        <v/>
      </c>
      <c r="X1074" s="22">
        <f>IF($B1074="","",IFERROR(INDEX(Cost_Centers!$E:$E,MATCH($B1074,Cost_Centers!$A:$A,0)),"(unknown)"))</f>
        <v/>
      </c>
      <c r="Y1074" s="22">
        <f>IF($B1074="","",IFERROR(INDEX(Cost_Centers!$D:$D,MATCH($B1074,Cost_Centers!$A:$A,0)),"(unknown)"))</f>
        <v/>
      </c>
      <c r="Z1074" s="22">
        <f>IF(OR($B1074="",$G1074&lt;&gt;"Variance vs Budget"),"",ABS(N($V1074))+ROW()/1000000000)</f>
        <v/>
      </c>
    </row>
    <row r="1075">
      <c r="A1075" s="13">
        <f>IF(A$1074="","",A$1074)</f>
        <v/>
      </c>
      <c r="B1075" s="13">
        <f>IF(B$1074="","",B$1074)</f>
        <v/>
      </c>
      <c r="C1075" s="13">
        <f>IF(C$1074="","",C$1074)</f>
        <v/>
      </c>
      <c r="D1075" s="13">
        <f>IF(D$1074="","",D$1074)</f>
        <v/>
      </c>
      <c r="E1075" s="13">
        <f>IF(E$1074="","",E$1074)</f>
        <v/>
      </c>
      <c r="F1075" s="13">
        <f>IF(F$1074="","",F$1074)</f>
        <v/>
      </c>
      <c r="G1075" s="7" t="inlineStr">
        <is>
          <t>Actual</t>
        </is>
      </c>
      <c r="H1075" s="18">
        <f>IF(OR($B$1074="",1&gt;$C$4),"",SUMIFS(Actuals!$G:$G,Actuals!$B:$B,$C$3,Actuals!$C:$C,1,Actuals!$D:$D,$B$1074,Actuals!$A:$A,LEFT($D$1074,FIND("|",$D$1074&amp;"|")-1),Actuals!$E:$E,MID($D$1074,FIND("|",$D$1074&amp;"|")+1,50),Actuals!$F:$F,"JPY")*$E$5+SUMIFS(Actuals!$G:$G,Actuals!$B:$B,$C$3,Actuals!$C:$C,1,Actuals!$D:$D,$B$1074,Actuals!$A:$A,LEFT($D$1074,FIND("|",$D$1074&amp;"|")-1),Actuals!$E:$E,MID($D$1074,FIND("|",$D$1074&amp;"|")+1,50),Actuals!$F:$F,"USD")*$F$5+SUMIFS(Actuals!$G:$G,Actuals!$B:$B,$C$3,Actuals!$C:$C,1,Actuals!$D:$D,$B$1074,Actuals!$A:$A,LEFT($D$1074,FIND("|",$D$1074&amp;"|")-1),Actuals!$E:$E,MID($D$1074,FIND("|",$D$1074&amp;"|")+1,50),Actuals!$F:$F,"EUR")*$G$5+SUMIFS(Actuals!$G:$G,Actuals!$B:$B,$C$3,Actuals!$C:$C,1,Actuals!$D:$D,$B$1074,Actuals!$A:$A,LEFT($D$1074,FIND("|",$D$1074&amp;"|")-1),Actuals!$E:$E,MID($D$1074,FIND("|",$D$1074&amp;"|")+1,50),Actuals!$F:$F,"GBP")*$H$5)</f>
        <v/>
      </c>
      <c r="I1075" s="18">
        <f>IF(OR($B$1074="",2&gt;$C$4),"",SUMIFS(Actuals!$G:$G,Actuals!$B:$B,$C$3,Actuals!$C:$C,2,Actuals!$D:$D,$B$1074,Actuals!$A:$A,LEFT($D$1074,FIND("|",$D$1074&amp;"|")-1),Actuals!$E:$E,MID($D$1074,FIND("|",$D$1074&amp;"|")+1,50),Actuals!$F:$F,"JPY")*$E$5+SUMIFS(Actuals!$G:$G,Actuals!$B:$B,$C$3,Actuals!$C:$C,2,Actuals!$D:$D,$B$1074,Actuals!$A:$A,LEFT($D$1074,FIND("|",$D$1074&amp;"|")-1),Actuals!$E:$E,MID($D$1074,FIND("|",$D$1074&amp;"|")+1,50),Actuals!$F:$F,"USD")*$F$5+SUMIFS(Actuals!$G:$G,Actuals!$B:$B,$C$3,Actuals!$C:$C,2,Actuals!$D:$D,$B$1074,Actuals!$A:$A,LEFT($D$1074,FIND("|",$D$1074&amp;"|")-1),Actuals!$E:$E,MID($D$1074,FIND("|",$D$1074&amp;"|")+1,50),Actuals!$F:$F,"EUR")*$G$5+SUMIFS(Actuals!$G:$G,Actuals!$B:$B,$C$3,Actuals!$C:$C,2,Actuals!$D:$D,$B$1074,Actuals!$A:$A,LEFT($D$1074,FIND("|",$D$1074&amp;"|")-1),Actuals!$E:$E,MID($D$1074,FIND("|",$D$1074&amp;"|")+1,50),Actuals!$F:$F,"GBP")*$H$5)</f>
        <v/>
      </c>
      <c r="J1075" s="18">
        <f>IF(OR($B$1074="",3&gt;$C$4),"",SUMIFS(Actuals!$G:$G,Actuals!$B:$B,$C$3,Actuals!$C:$C,3,Actuals!$D:$D,$B$1074,Actuals!$A:$A,LEFT($D$1074,FIND("|",$D$1074&amp;"|")-1),Actuals!$E:$E,MID($D$1074,FIND("|",$D$1074&amp;"|")+1,50),Actuals!$F:$F,"JPY")*$E$5+SUMIFS(Actuals!$G:$G,Actuals!$B:$B,$C$3,Actuals!$C:$C,3,Actuals!$D:$D,$B$1074,Actuals!$A:$A,LEFT($D$1074,FIND("|",$D$1074&amp;"|")-1),Actuals!$E:$E,MID($D$1074,FIND("|",$D$1074&amp;"|")+1,50),Actuals!$F:$F,"USD")*$F$5+SUMIFS(Actuals!$G:$G,Actuals!$B:$B,$C$3,Actuals!$C:$C,3,Actuals!$D:$D,$B$1074,Actuals!$A:$A,LEFT($D$1074,FIND("|",$D$1074&amp;"|")-1),Actuals!$E:$E,MID($D$1074,FIND("|",$D$1074&amp;"|")+1,50),Actuals!$F:$F,"EUR")*$G$5+SUMIFS(Actuals!$G:$G,Actuals!$B:$B,$C$3,Actuals!$C:$C,3,Actuals!$D:$D,$B$1074,Actuals!$A:$A,LEFT($D$1074,FIND("|",$D$1074&amp;"|")-1),Actuals!$E:$E,MID($D$1074,FIND("|",$D$1074&amp;"|")+1,50),Actuals!$F:$F,"GBP")*$H$5)</f>
        <v/>
      </c>
      <c r="K1075" s="18">
        <f>IF(OR($B$1074="",4&gt;$C$4),"",SUMIFS(Actuals!$G:$G,Actuals!$B:$B,$C$3,Actuals!$C:$C,4,Actuals!$D:$D,$B$1074,Actuals!$A:$A,LEFT($D$1074,FIND("|",$D$1074&amp;"|")-1),Actuals!$E:$E,MID($D$1074,FIND("|",$D$1074&amp;"|")+1,50),Actuals!$F:$F,"JPY")*$E$5+SUMIFS(Actuals!$G:$G,Actuals!$B:$B,$C$3,Actuals!$C:$C,4,Actuals!$D:$D,$B$1074,Actuals!$A:$A,LEFT($D$1074,FIND("|",$D$1074&amp;"|")-1),Actuals!$E:$E,MID($D$1074,FIND("|",$D$1074&amp;"|")+1,50),Actuals!$F:$F,"USD")*$F$5+SUMIFS(Actuals!$G:$G,Actuals!$B:$B,$C$3,Actuals!$C:$C,4,Actuals!$D:$D,$B$1074,Actuals!$A:$A,LEFT($D$1074,FIND("|",$D$1074&amp;"|")-1),Actuals!$E:$E,MID($D$1074,FIND("|",$D$1074&amp;"|")+1,50),Actuals!$F:$F,"EUR")*$G$5+SUMIFS(Actuals!$G:$G,Actuals!$B:$B,$C$3,Actuals!$C:$C,4,Actuals!$D:$D,$B$1074,Actuals!$A:$A,LEFT($D$1074,FIND("|",$D$1074&amp;"|")-1),Actuals!$E:$E,MID($D$1074,FIND("|",$D$1074&amp;"|")+1,50),Actuals!$F:$F,"GBP")*$H$5)</f>
        <v/>
      </c>
      <c r="L1075" s="18">
        <f>IF(OR($B$1074="",5&gt;$C$4),"",SUMIFS(Actuals!$G:$G,Actuals!$B:$B,$C$3,Actuals!$C:$C,5,Actuals!$D:$D,$B$1074,Actuals!$A:$A,LEFT($D$1074,FIND("|",$D$1074&amp;"|")-1),Actuals!$E:$E,MID($D$1074,FIND("|",$D$1074&amp;"|")+1,50),Actuals!$F:$F,"JPY")*$E$5+SUMIFS(Actuals!$G:$G,Actuals!$B:$B,$C$3,Actuals!$C:$C,5,Actuals!$D:$D,$B$1074,Actuals!$A:$A,LEFT($D$1074,FIND("|",$D$1074&amp;"|")-1),Actuals!$E:$E,MID($D$1074,FIND("|",$D$1074&amp;"|")+1,50),Actuals!$F:$F,"USD")*$F$5+SUMIFS(Actuals!$G:$G,Actuals!$B:$B,$C$3,Actuals!$C:$C,5,Actuals!$D:$D,$B$1074,Actuals!$A:$A,LEFT($D$1074,FIND("|",$D$1074&amp;"|")-1),Actuals!$E:$E,MID($D$1074,FIND("|",$D$1074&amp;"|")+1,50),Actuals!$F:$F,"EUR")*$G$5+SUMIFS(Actuals!$G:$G,Actuals!$B:$B,$C$3,Actuals!$C:$C,5,Actuals!$D:$D,$B$1074,Actuals!$A:$A,LEFT($D$1074,FIND("|",$D$1074&amp;"|")-1),Actuals!$E:$E,MID($D$1074,FIND("|",$D$1074&amp;"|")+1,50),Actuals!$F:$F,"GBP")*$H$5)</f>
        <v/>
      </c>
      <c r="M1075" s="18">
        <f>IF(OR($B$1074="",6&gt;$C$4),"",SUMIFS(Actuals!$G:$G,Actuals!$B:$B,$C$3,Actuals!$C:$C,6,Actuals!$D:$D,$B$1074,Actuals!$A:$A,LEFT($D$1074,FIND("|",$D$1074&amp;"|")-1),Actuals!$E:$E,MID($D$1074,FIND("|",$D$1074&amp;"|")+1,50),Actuals!$F:$F,"JPY")*$E$5+SUMIFS(Actuals!$G:$G,Actuals!$B:$B,$C$3,Actuals!$C:$C,6,Actuals!$D:$D,$B$1074,Actuals!$A:$A,LEFT($D$1074,FIND("|",$D$1074&amp;"|")-1),Actuals!$E:$E,MID($D$1074,FIND("|",$D$1074&amp;"|")+1,50),Actuals!$F:$F,"USD")*$F$5+SUMIFS(Actuals!$G:$G,Actuals!$B:$B,$C$3,Actuals!$C:$C,6,Actuals!$D:$D,$B$1074,Actuals!$A:$A,LEFT($D$1074,FIND("|",$D$1074&amp;"|")-1),Actuals!$E:$E,MID($D$1074,FIND("|",$D$1074&amp;"|")+1,50),Actuals!$F:$F,"EUR")*$G$5+SUMIFS(Actuals!$G:$G,Actuals!$B:$B,$C$3,Actuals!$C:$C,6,Actuals!$D:$D,$B$1074,Actuals!$A:$A,LEFT($D$1074,FIND("|",$D$1074&amp;"|")-1),Actuals!$E:$E,MID($D$1074,FIND("|",$D$1074&amp;"|")+1,50),Actuals!$F:$F,"GBP")*$H$5)</f>
        <v/>
      </c>
      <c r="N1075" s="18">
        <f>IF(OR($B$1074="",7&gt;$C$4),"",SUMIFS(Actuals!$G:$G,Actuals!$B:$B,$C$3,Actuals!$C:$C,7,Actuals!$D:$D,$B$1074,Actuals!$A:$A,LEFT($D$1074,FIND("|",$D$1074&amp;"|")-1),Actuals!$E:$E,MID($D$1074,FIND("|",$D$1074&amp;"|")+1,50),Actuals!$F:$F,"JPY")*$E$5+SUMIFS(Actuals!$G:$G,Actuals!$B:$B,$C$3,Actuals!$C:$C,7,Actuals!$D:$D,$B$1074,Actuals!$A:$A,LEFT($D$1074,FIND("|",$D$1074&amp;"|")-1),Actuals!$E:$E,MID($D$1074,FIND("|",$D$1074&amp;"|")+1,50),Actuals!$F:$F,"USD")*$F$5+SUMIFS(Actuals!$G:$G,Actuals!$B:$B,$C$3,Actuals!$C:$C,7,Actuals!$D:$D,$B$1074,Actuals!$A:$A,LEFT($D$1074,FIND("|",$D$1074&amp;"|")-1),Actuals!$E:$E,MID($D$1074,FIND("|",$D$1074&amp;"|")+1,50),Actuals!$F:$F,"EUR")*$G$5+SUMIFS(Actuals!$G:$G,Actuals!$B:$B,$C$3,Actuals!$C:$C,7,Actuals!$D:$D,$B$1074,Actuals!$A:$A,LEFT($D$1074,FIND("|",$D$1074&amp;"|")-1),Actuals!$E:$E,MID($D$1074,FIND("|",$D$1074&amp;"|")+1,50),Actuals!$F:$F,"GBP")*$H$5)</f>
        <v/>
      </c>
      <c r="O1075" s="18">
        <f>IF(OR($B$1074="",8&gt;$C$4),"",SUMIFS(Actuals!$G:$G,Actuals!$B:$B,$C$3,Actuals!$C:$C,8,Actuals!$D:$D,$B$1074,Actuals!$A:$A,LEFT($D$1074,FIND("|",$D$1074&amp;"|")-1),Actuals!$E:$E,MID($D$1074,FIND("|",$D$1074&amp;"|")+1,50),Actuals!$F:$F,"JPY")*$E$5+SUMIFS(Actuals!$G:$G,Actuals!$B:$B,$C$3,Actuals!$C:$C,8,Actuals!$D:$D,$B$1074,Actuals!$A:$A,LEFT($D$1074,FIND("|",$D$1074&amp;"|")-1),Actuals!$E:$E,MID($D$1074,FIND("|",$D$1074&amp;"|")+1,50),Actuals!$F:$F,"USD")*$F$5+SUMIFS(Actuals!$G:$G,Actuals!$B:$B,$C$3,Actuals!$C:$C,8,Actuals!$D:$D,$B$1074,Actuals!$A:$A,LEFT($D$1074,FIND("|",$D$1074&amp;"|")-1),Actuals!$E:$E,MID($D$1074,FIND("|",$D$1074&amp;"|")+1,50),Actuals!$F:$F,"EUR")*$G$5+SUMIFS(Actuals!$G:$G,Actuals!$B:$B,$C$3,Actuals!$C:$C,8,Actuals!$D:$D,$B$1074,Actuals!$A:$A,LEFT($D$1074,FIND("|",$D$1074&amp;"|")-1),Actuals!$E:$E,MID($D$1074,FIND("|",$D$1074&amp;"|")+1,50),Actuals!$F:$F,"GBP")*$H$5)</f>
        <v/>
      </c>
      <c r="P1075" s="18">
        <f>IF(OR($B$1074="",9&gt;$C$4),"",SUMIFS(Actuals!$G:$G,Actuals!$B:$B,$C$3,Actuals!$C:$C,9,Actuals!$D:$D,$B$1074,Actuals!$A:$A,LEFT($D$1074,FIND("|",$D$1074&amp;"|")-1),Actuals!$E:$E,MID($D$1074,FIND("|",$D$1074&amp;"|")+1,50),Actuals!$F:$F,"JPY")*$E$5+SUMIFS(Actuals!$G:$G,Actuals!$B:$B,$C$3,Actuals!$C:$C,9,Actuals!$D:$D,$B$1074,Actuals!$A:$A,LEFT($D$1074,FIND("|",$D$1074&amp;"|")-1),Actuals!$E:$E,MID($D$1074,FIND("|",$D$1074&amp;"|")+1,50),Actuals!$F:$F,"USD")*$F$5+SUMIFS(Actuals!$G:$G,Actuals!$B:$B,$C$3,Actuals!$C:$C,9,Actuals!$D:$D,$B$1074,Actuals!$A:$A,LEFT($D$1074,FIND("|",$D$1074&amp;"|")-1),Actuals!$E:$E,MID($D$1074,FIND("|",$D$1074&amp;"|")+1,50),Actuals!$F:$F,"EUR")*$G$5+SUMIFS(Actuals!$G:$G,Actuals!$B:$B,$C$3,Actuals!$C:$C,9,Actuals!$D:$D,$B$1074,Actuals!$A:$A,LEFT($D$1074,FIND("|",$D$1074&amp;"|")-1),Actuals!$E:$E,MID($D$1074,FIND("|",$D$1074&amp;"|")+1,50),Actuals!$F:$F,"GBP")*$H$5)</f>
        <v/>
      </c>
      <c r="Q1075" s="18">
        <f>IF(OR($B$1074="",10&gt;$C$4),"",SUMIFS(Actuals!$G:$G,Actuals!$B:$B,$C$3,Actuals!$C:$C,10,Actuals!$D:$D,$B$1074,Actuals!$A:$A,LEFT($D$1074,FIND("|",$D$1074&amp;"|")-1),Actuals!$E:$E,MID($D$1074,FIND("|",$D$1074&amp;"|")+1,50),Actuals!$F:$F,"JPY")*$E$5+SUMIFS(Actuals!$G:$G,Actuals!$B:$B,$C$3,Actuals!$C:$C,10,Actuals!$D:$D,$B$1074,Actuals!$A:$A,LEFT($D$1074,FIND("|",$D$1074&amp;"|")-1),Actuals!$E:$E,MID($D$1074,FIND("|",$D$1074&amp;"|")+1,50),Actuals!$F:$F,"USD")*$F$5+SUMIFS(Actuals!$G:$G,Actuals!$B:$B,$C$3,Actuals!$C:$C,10,Actuals!$D:$D,$B$1074,Actuals!$A:$A,LEFT($D$1074,FIND("|",$D$1074&amp;"|")-1),Actuals!$E:$E,MID($D$1074,FIND("|",$D$1074&amp;"|")+1,50),Actuals!$F:$F,"EUR")*$G$5+SUMIFS(Actuals!$G:$G,Actuals!$B:$B,$C$3,Actuals!$C:$C,10,Actuals!$D:$D,$B$1074,Actuals!$A:$A,LEFT($D$1074,FIND("|",$D$1074&amp;"|")-1),Actuals!$E:$E,MID($D$1074,FIND("|",$D$1074&amp;"|")+1,50),Actuals!$F:$F,"GBP")*$H$5)</f>
        <v/>
      </c>
      <c r="R1075" s="18">
        <f>IF(OR($B$1074="",11&gt;$C$4),"",SUMIFS(Actuals!$G:$G,Actuals!$B:$B,$C$3,Actuals!$C:$C,11,Actuals!$D:$D,$B$1074,Actuals!$A:$A,LEFT($D$1074,FIND("|",$D$1074&amp;"|")-1),Actuals!$E:$E,MID($D$1074,FIND("|",$D$1074&amp;"|")+1,50),Actuals!$F:$F,"JPY")*$E$5+SUMIFS(Actuals!$G:$G,Actuals!$B:$B,$C$3,Actuals!$C:$C,11,Actuals!$D:$D,$B$1074,Actuals!$A:$A,LEFT($D$1074,FIND("|",$D$1074&amp;"|")-1),Actuals!$E:$E,MID($D$1074,FIND("|",$D$1074&amp;"|")+1,50),Actuals!$F:$F,"USD")*$F$5+SUMIFS(Actuals!$G:$G,Actuals!$B:$B,$C$3,Actuals!$C:$C,11,Actuals!$D:$D,$B$1074,Actuals!$A:$A,LEFT($D$1074,FIND("|",$D$1074&amp;"|")-1),Actuals!$E:$E,MID($D$1074,FIND("|",$D$1074&amp;"|")+1,50),Actuals!$F:$F,"EUR")*$G$5+SUMIFS(Actuals!$G:$G,Actuals!$B:$B,$C$3,Actuals!$C:$C,11,Actuals!$D:$D,$B$1074,Actuals!$A:$A,LEFT($D$1074,FIND("|",$D$1074&amp;"|")-1),Actuals!$E:$E,MID($D$1074,FIND("|",$D$1074&amp;"|")+1,50),Actuals!$F:$F,"GBP")*$H$5)</f>
        <v/>
      </c>
      <c r="S1075" s="18">
        <f>IF(OR($B$1074="",12&gt;$C$4),"",SUMIFS(Actuals!$G:$G,Actuals!$B:$B,$C$3,Actuals!$C:$C,12,Actuals!$D:$D,$B$1074,Actuals!$A:$A,LEFT($D$1074,FIND("|",$D$1074&amp;"|")-1),Actuals!$E:$E,MID($D$1074,FIND("|",$D$1074&amp;"|")+1,50),Actuals!$F:$F,"JPY")*$E$5+SUMIFS(Actuals!$G:$G,Actuals!$B:$B,$C$3,Actuals!$C:$C,12,Actuals!$D:$D,$B$1074,Actuals!$A:$A,LEFT($D$1074,FIND("|",$D$1074&amp;"|")-1),Actuals!$E:$E,MID($D$1074,FIND("|",$D$1074&amp;"|")+1,50),Actuals!$F:$F,"USD")*$F$5+SUMIFS(Actuals!$G:$G,Actuals!$B:$B,$C$3,Actuals!$C:$C,12,Actuals!$D:$D,$B$1074,Actuals!$A:$A,LEFT($D$1074,FIND("|",$D$1074&amp;"|")-1),Actuals!$E:$E,MID($D$1074,FIND("|",$D$1074&amp;"|")+1,50),Actuals!$F:$F,"EUR")*$G$5+SUMIFS(Actuals!$G:$G,Actuals!$B:$B,$C$3,Actuals!$C:$C,12,Actuals!$D:$D,$B$1074,Actuals!$A:$A,LEFT($D$1074,FIND("|",$D$1074&amp;"|")-1),Actuals!$E:$E,MID($D$1074,FIND("|",$D$1074&amp;"|")+1,50),Actuals!$F:$F,"GBP")*$H$5)</f>
        <v/>
      </c>
      <c r="T1075" s="18">
        <f>IF($B$1074="","",SUMIF($H$7:$S$7,"&lt;="&amp;$C$4,$H1075:$S1075))</f>
        <v/>
      </c>
      <c r="U1075" s="18" t="n"/>
      <c r="V1075" s="18" t="n"/>
      <c r="X1075" s="22">
        <f>IF($B1075="","",IFERROR(INDEX(Cost_Centers!$E:$E,MATCH($B1075,Cost_Centers!$A:$A,0)),"(unknown)"))</f>
        <v/>
      </c>
      <c r="Y1075" s="22">
        <f>IF($B1075="","",IFERROR(INDEX(Cost_Centers!$D:$D,MATCH($B1075,Cost_Centers!$A:$A,0)),"(unknown)"))</f>
        <v/>
      </c>
      <c r="Z1075" s="22">
        <f>IF(OR($B1075="",$G1075&lt;&gt;"Variance vs Budget"),"",ABS(N($V1075))+ROW()/1000000000)</f>
        <v/>
      </c>
    </row>
    <row r="1076">
      <c r="A1076" s="13">
        <f>IF(A$1074="","",A$1074)</f>
        <v/>
      </c>
      <c r="B1076" s="13">
        <f>IF(B$1074="","",B$1074)</f>
        <v/>
      </c>
      <c r="C1076" s="13">
        <f>IF(C$1074="","",C$1074)</f>
        <v/>
      </c>
      <c r="D1076" s="13">
        <f>IF(D$1074="","",D$1074)</f>
        <v/>
      </c>
      <c r="E1076" s="13">
        <f>IF(E$1074="","",E$1074)</f>
        <v/>
      </c>
      <c r="F1076" s="13">
        <f>IF(F$1074="","",F$1074)</f>
        <v/>
      </c>
      <c r="G1076" s="6" t="inlineStr">
        <is>
          <t>Variance vs Budget</t>
        </is>
      </c>
      <c r="H1076" s="33">
        <f>IF(OR($B$1074="",1&gt;$C$4),"",N(H1075)-H1074)</f>
        <v/>
      </c>
      <c r="I1076" s="33">
        <f>IF(OR($B$1074="",2&gt;$C$4),"",N(I1075)-I1074)</f>
        <v/>
      </c>
      <c r="J1076" s="33">
        <f>IF(OR($B$1074="",3&gt;$C$4),"",N(J1075)-J1074)</f>
        <v/>
      </c>
      <c r="K1076" s="33">
        <f>IF(OR($B$1074="",4&gt;$C$4),"",N(K1075)-K1074)</f>
        <v/>
      </c>
      <c r="L1076" s="33">
        <f>IF(OR($B$1074="",5&gt;$C$4),"",N(L1075)-L1074)</f>
        <v/>
      </c>
      <c r="M1076" s="33">
        <f>IF(OR($B$1074="",6&gt;$C$4),"",N(M1075)-M1074)</f>
        <v/>
      </c>
      <c r="N1076" s="33">
        <f>IF(OR($B$1074="",7&gt;$C$4),"",N(N1075)-N1074)</f>
        <v/>
      </c>
      <c r="O1076" s="33">
        <f>IF(OR($B$1074="",8&gt;$C$4),"",N(O1075)-O1074)</f>
        <v/>
      </c>
      <c r="P1076" s="33">
        <f>IF(OR($B$1074="",9&gt;$C$4),"",N(P1075)-P1074)</f>
        <v/>
      </c>
      <c r="Q1076" s="33">
        <f>IF(OR($B$1074="",10&gt;$C$4),"",N(Q1075)-Q1074)</f>
        <v/>
      </c>
      <c r="R1076" s="33">
        <f>IF(OR($B$1074="",11&gt;$C$4),"",N(R1075)-R1074)</f>
        <v/>
      </c>
      <c r="S1076" s="33">
        <f>IF(OR($B$1074="",12&gt;$C$4),"",N(S1075)-S1074)</f>
        <v/>
      </c>
      <c r="T1076" s="33">
        <f>IF($B$1074="","",T1075-T1074)</f>
        <v/>
      </c>
      <c r="U1076" s="33">
        <f>IF($B$1074="","",U1078-U1074)</f>
        <v/>
      </c>
      <c r="V1076" s="33">
        <f>IF($B$1074="","",V1078-V1074)</f>
        <v/>
      </c>
      <c r="X1076" s="22">
        <f>IF($B1076="","",IFERROR(INDEX(Cost_Centers!$E:$E,MATCH($B1076,Cost_Centers!$A:$A,0)),"(unknown)"))</f>
        <v/>
      </c>
      <c r="Y1076" s="22">
        <f>IF($B1076="","",IFERROR(INDEX(Cost_Centers!$D:$D,MATCH($B1076,Cost_Centers!$A:$A,0)),"(unknown)"))</f>
        <v/>
      </c>
      <c r="Z1076" s="22">
        <f>IF(OR($B1076="",$G1076&lt;&gt;"Variance vs Budget"),"",ABS(N($V1076))+ROW()/1000000000)</f>
        <v/>
      </c>
    </row>
    <row r="1077">
      <c r="A1077" s="13">
        <f>IF(A$1074="","",A$1074)</f>
        <v/>
      </c>
      <c r="B1077" s="13">
        <f>IF(B$1074="","",B$1074)</f>
        <v/>
      </c>
      <c r="C1077" s="13">
        <f>IF(C$1074="","",C$1074)</f>
        <v/>
      </c>
      <c r="D1077" s="13">
        <f>IF(D$1074="","",D$1074)</f>
        <v/>
      </c>
      <c r="E1077" s="13">
        <f>IF(E$1074="","",E$1074)</f>
        <v/>
      </c>
      <c r="F1077" s="13">
        <f>IF(F$1074="","",F$1074)</f>
        <v/>
      </c>
      <c r="G1077" s="7" t="inlineStr">
        <is>
          <t>Forecast (input)</t>
        </is>
      </c>
      <c r="H1077" s="34" t="n"/>
      <c r="I1077" s="34" t="n"/>
      <c r="J1077" s="34" t="n"/>
      <c r="K1077" s="34" t="n"/>
      <c r="L1077" s="34" t="n"/>
      <c r="M1077" s="34" t="n"/>
      <c r="N1077" s="34" t="n"/>
      <c r="O1077" s="34" t="n"/>
      <c r="P1077" s="34" t="n"/>
      <c r="Q1077" s="34" t="n"/>
      <c r="R1077" s="34" t="n"/>
      <c r="S1077" s="34" t="n"/>
      <c r="T1077" s="18" t="n"/>
      <c r="U1077" s="18" t="n"/>
      <c r="V1077" s="18" t="n"/>
      <c r="X1077" s="22">
        <f>IF($B1077="","",IFERROR(INDEX(Cost_Centers!$E:$E,MATCH($B1077,Cost_Centers!$A:$A,0)),"(unknown)"))</f>
        <v/>
      </c>
      <c r="Y1077" s="22">
        <f>IF($B1077="","",IFERROR(INDEX(Cost_Centers!$D:$D,MATCH($B1077,Cost_Centers!$A:$A,0)),"(unknown)"))</f>
        <v/>
      </c>
      <c r="Z1077" s="22">
        <f>IF(OR($B1077="",$G1077&lt;&gt;"Variance vs Budget"),"",ABS(N($V1077))+ROW()/1000000000)</f>
        <v/>
      </c>
    </row>
    <row r="1078">
      <c r="A1078" s="13">
        <f>IF(A$1074="","",A$1074)</f>
        <v/>
      </c>
      <c r="B1078" s="13">
        <f>IF(B$1074="","",B$1074)</f>
        <v/>
      </c>
      <c r="C1078" s="13">
        <f>IF(C$1074="","",C$1074)</f>
        <v/>
      </c>
      <c r="D1078" s="13">
        <f>IF(D$1074="","",D$1074)</f>
        <v/>
      </c>
      <c r="E1078" s="13">
        <f>IF(E$1074="","",E$1074)</f>
        <v/>
      </c>
      <c r="F1078" s="13">
        <f>IF(F$1074="","",F$1074)</f>
        <v/>
      </c>
      <c r="G1078" s="35" t="inlineStr">
        <is>
          <t>Actual + Forecast</t>
        </is>
      </c>
      <c r="H1078" s="18">
        <f>IF($B$1074="","",IF(1&lt;=$C$4,N(H1075),IF(H1077="",H1074,H1077)))</f>
        <v/>
      </c>
      <c r="I1078" s="18">
        <f>IF($B$1074="","",IF(2&lt;=$C$4,N(I1075),IF(I1077="",I1074,I1077)))</f>
        <v/>
      </c>
      <c r="J1078" s="18">
        <f>IF($B$1074="","",IF(3&lt;=$C$4,N(J1075),IF(J1077="",J1074,J1077)))</f>
        <v/>
      </c>
      <c r="K1078" s="18">
        <f>IF($B$1074="","",IF(4&lt;=$C$4,N(K1075),IF(K1077="",K1074,K1077)))</f>
        <v/>
      </c>
      <c r="L1078" s="18">
        <f>IF($B$1074="","",IF(5&lt;=$C$4,N(L1075),IF(L1077="",L1074,L1077)))</f>
        <v/>
      </c>
      <c r="M1078" s="18">
        <f>IF($B$1074="","",IF(6&lt;=$C$4,N(M1075),IF(M1077="",M1074,M1077)))</f>
        <v/>
      </c>
      <c r="N1078" s="18">
        <f>IF($B$1074="","",IF(7&lt;=$C$4,N(N1075),IF(N1077="",N1074,N1077)))</f>
        <v/>
      </c>
      <c r="O1078" s="18">
        <f>IF($B$1074="","",IF(8&lt;=$C$4,N(O1075),IF(O1077="",O1074,O1077)))</f>
        <v/>
      </c>
      <c r="P1078" s="18">
        <f>IF($B$1074="","",IF(9&lt;=$C$4,N(P1075),IF(P1077="",P1074,P1077)))</f>
        <v/>
      </c>
      <c r="Q1078" s="18">
        <f>IF($B$1074="","",IF(10&lt;=$C$4,N(Q1075),IF(Q1077="",Q1074,Q1077)))</f>
        <v/>
      </c>
      <c r="R1078" s="18">
        <f>IF($B$1074="","",IF(11&lt;=$C$4,N(R1075),IF(R1077="",R1074,R1077)))</f>
        <v/>
      </c>
      <c r="S1078" s="18">
        <f>IF($B$1074="","",IF(12&lt;=$C$4,N(S1075),IF(S1077="",S1074,S1077)))</f>
        <v/>
      </c>
      <c r="T1078" s="18">
        <f>IF($B$1074="","",SUMIF($H$7:$S$7,"&lt;="&amp;$C$4,$H1078:$S1078))</f>
        <v/>
      </c>
      <c r="U1078" s="18">
        <f>IF($B$1074="","",SUMIF($H$7:$S$7,"&gt;"&amp;$C$4,$H1078:$S1078))</f>
        <v/>
      </c>
      <c r="V1078" s="18">
        <f>IF($B$1074="","",SUM($H1078:$S1078))</f>
        <v/>
      </c>
      <c r="X1078" s="22">
        <f>IF($B1078="","",IFERROR(INDEX(Cost_Centers!$E:$E,MATCH($B1078,Cost_Centers!$A:$A,0)),"(unknown)"))</f>
        <v/>
      </c>
      <c r="Y1078" s="22">
        <f>IF($B1078="","",IFERROR(INDEX(Cost_Centers!$D:$D,MATCH($B1078,Cost_Centers!$A:$A,0)),"(unknown)"))</f>
        <v/>
      </c>
      <c r="Z1078" s="22">
        <f>IF(OR($B1078="",$G1078&lt;&gt;"Variance vs Budget"),"",ABS(N($V1078))+ROW()/1000000000)</f>
        <v/>
      </c>
    </row>
    <row r="1079">
      <c r="A1079" s="13">
        <f>IF(A$1074="","",A$1074)</f>
        <v/>
      </c>
      <c r="B1079" s="13">
        <f>IF(B$1074="","",B$1074)</f>
        <v/>
      </c>
      <c r="C1079" s="13">
        <f>IF(C$1074="","",C$1074)</f>
        <v/>
      </c>
      <c r="D1079" s="13">
        <f>IF(D$1074="","",D$1074)</f>
        <v/>
      </c>
      <c r="E1079" s="13">
        <f>IF(E$1074="","",E$1074)</f>
        <v/>
      </c>
      <c r="F1079" s="13">
        <f>IF(F$1074="","",F$1074)</f>
        <v/>
      </c>
      <c r="G1079" s="36" t="inlineStr">
        <is>
          <t>Prior Month Forecast</t>
        </is>
      </c>
      <c r="H1079" s="37">
        <f>IF($B$1074="","",IF(COUNTIFS(Prior_Forecast!$A:$A,$B$1074,Prior_Forecast!$B:$B,$D$1074)&gt;0,SUMIFS(Prior_Forecast!$C:$C,Prior_Forecast!$A:$A,$B$1074,Prior_Forecast!$B:$B,$D$1074),""))</f>
        <v/>
      </c>
      <c r="I1079" s="37">
        <f>IF($B$1074="","",IF(COUNTIFS(Prior_Forecast!$A:$A,$B$1074,Prior_Forecast!$B:$B,$D$1074)&gt;0,SUMIFS(Prior_Forecast!$D:$D,Prior_Forecast!$A:$A,$B$1074,Prior_Forecast!$B:$B,$D$1074),""))</f>
        <v/>
      </c>
      <c r="J1079" s="37">
        <f>IF($B$1074="","",IF(COUNTIFS(Prior_Forecast!$A:$A,$B$1074,Prior_Forecast!$B:$B,$D$1074)&gt;0,SUMIFS(Prior_Forecast!$E:$E,Prior_Forecast!$A:$A,$B$1074,Prior_Forecast!$B:$B,$D$1074),""))</f>
        <v/>
      </c>
      <c r="K1079" s="37">
        <f>IF($B$1074="","",IF(COUNTIFS(Prior_Forecast!$A:$A,$B$1074,Prior_Forecast!$B:$B,$D$1074)&gt;0,SUMIFS(Prior_Forecast!$F:$F,Prior_Forecast!$A:$A,$B$1074,Prior_Forecast!$B:$B,$D$1074),""))</f>
        <v/>
      </c>
      <c r="L1079" s="37">
        <f>IF($B$1074="","",IF(COUNTIFS(Prior_Forecast!$A:$A,$B$1074,Prior_Forecast!$B:$B,$D$1074)&gt;0,SUMIFS(Prior_Forecast!$G:$G,Prior_Forecast!$A:$A,$B$1074,Prior_Forecast!$B:$B,$D$1074),""))</f>
        <v/>
      </c>
      <c r="M1079" s="37">
        <f>IF($B$1074="","",IF(COUNTIFS(Prior_Forecast!$A:$A,$B$1074,Prior_Forecast!$B:$B,$D$1074)&gt;0,SUMIFS(Prior_Forecast!$H:$H,Prior_Forecast!$A:$A,$B$1074,Prior_Forecast!$B:$B,$D$1074),""))</f>
        <v/>
      </c>
      <c r="N1079" s="37">
        <f>IF($B$1074="","",IF(COUNTIFS(Prior_Forecast!$A:$A,$B$1074,Prior_Forecast!$B:$B,$D$1074)&gt;0,SUMIFS(Prior_Forecast!$I:$I,Prior_Forecast!$A:$A,$B$1074,Prior_Forecast!$B:$B,$D$1074),""))</f>
        <v/>
      </c>
      <c r="O1079" s="37">
        <f>IF($B$1074="","",IF(COUNTIFS(Prior_Forecast!$A:$A,$B$1074,Prior_Forecast!$B:$B,$D$1074)&gt;0,SUMIFS(Prior_Forecast!$J:$J,Prior_Forecast!$A:$A,$B$1074,Prior_Forecast!$B:$B,$D$1074),""))</f>
        <v/>
      </c>
      <c r="P1079" s="37">
        <f>IF($B$1074="","",IF(COUNTIFS(Prior_Forecast!$A:$A,$B$1074,Prior_Forecast!$B:$B,$D$1074)&gt;0,SUMIFS(Prior_Forecast!$K:$K,Prior_Forecast!$A:$A,$B$1074,Prior_Forecast!$B:$B,$D$1074),""))</f>
        <v/>
      </c>
      <c r="Q1079" s="37">
        <f>IF($B$1074="","",IF(COUNTIFS(Prior_Forecast!$A:$A,$B$1074,Prior_Forecast!$B:$B,$D$1074)&gt;0,SUMIFS(Prior_Forecast!$L:$L,Prior_Forecast!$A:$A,$B$1074,Prior_Forecast!$B:$B,$D$1074),""))</f>
        <v/>
      </c>
      <c r="R1079" s="37">
        <f>IF($B$1074="","",IF(COUNTIFS(Prior_Forecast!$A:$A,$B$1074,Prior_Forecast!$B:$B,$D$1074)&gt;0,SUMIFS(Prior_Forecast!$M:$M,Prior_Forecast!$A:$A,$B$1074,Prior_Forecast!$B:$B,$D$1074),""))</f>
        <v/>
      </c>
      <c r="S1079" s="37">
        <f>IF($B$1074="","",IF(COUNTIFS(Prior_Forecast!$A:$A,$B$1074,Prior_Forecast!$B:$B,$D$1074)&gt;0,SUMIFS(Prior_Forecast!$N:$N,Prior_Forecast!$A:$A,$B$1074,Prior_Forecast!$B:$B,$D$1074),""))</f>
        <v/>
      </c>
      <c r="T1079" s="37">
        <f>IF($B$1074="","",IF(COUNTIFS(Prior_Forecast!$A:$A,$B$1074,Prior_Forecast!$B:$B,$D$1074)&gt;0,SUMIFS(Prior_Forecast!$O:$O,Prior_Forecast!$A:$A,$B$1074,Prior_Forecast!$B:$B,$D$1074),""))</f>
        <v/>
      </c>
      <c r="U1079" s="37">
        <f>IF($B$1074="","",IF(COUNTIFS(Prior_Forecast!$A:$A,$B$1074,Prior_Forecast!$B:$B,$D$1074)&gt;0,SUMIFS(Prior_Forecast!$P:$P,Prior_Forecast!$A:$A,$B$1074,Prior_Forecast!$B:$B,$D$1074),""))</f>
        <v/>
      </c>
      <c r="V1079" s="37">
        <f>IF($B$1074="","",IF(COUNTIFS(Prior_Forecast!$A:$A,$B$1074,Prior_Forecast!$B:$B,$D$1074)&gt;0,SUMIFS(Prior_Forecast!$Q:$Q,Prior_Forecast!$A:$A,$B$1074,Prior_Forecast!$B:$B,$D$1074),""))</f>
        <v/>
      </c>
      <c r="X1079" s="22">
        <f>IF($B1079="","",IFERROR(INDEX(Cost_Centers!$E:$E,MATCH($B1079,Cost_Centers!$A:$A,0)),"(unknown)"))</f>
        <v/>
      </c>
      <c r="Y1079" s="22">
        <f>IF($B1079="","",IFERROR(INDEX(Cost_Centers!$D:$D,MATCH($B1079,Cost_Centers!$A:$A,0)),"(unknown)"))</f>
        <v/>
      </c>
      <c r="Z1079" s="22">
        <f>IF(OR($B1079="",$G1079&lt;&gt;"Variance vs Budget"),"",ABS(N($V1079))+ROW()/1000000000)</f>
        <v/>
      </c>
    </row>
    <row r="1080">
      <c r="A1080" s="13">
        <f>IF(A$1074="","",A$1074)</f>
        <v/>
      </c>
      <c r="B1080" s="13">
        <f>IF(B$1074="","",B$1074)</f>
        <v/>
      </c>
      <c r="C1080" s="13">
        <f>IF(C$1074="","",C$1074)</f>
        <v/>
      </c>
      <c r="D1080" s="13">
        <f>IF(D$1074="","",D$1074)</f>
        <v/>
      </c>
      <c r="E1080" s="13">
        <f>IF(E$1074="","",E$1074)</f>
        <v/>
      </c>
      <c r="F1080" s="13">
        <f>IF(F$1074="","",F$1074)</f>
        <v/>
      </c>
      <c r="G1080" s="6" t="inlineStr">
        <is>
          <t>Variance vs Prior Month</t>
        </is>
      </c>
      <c r="H1080" s="33">
        <f>IF(OR($B$1074="",H1079=""),"",H1078-H1079)</f>
        <v/>
      </c>
      <c r="I1080" s="33">
        <f>IF(OR($B$1074="",I1079=""),"",I1078-I1079)</f>
        <v/>
      </c>
      <c r="J1080" s="33">
        <f>IF(OR($B$1074="",J1079=""),"",J1078-J1079)</f>
        <v/>
      </c>
      <c r="K1080" s="33">
        <f>IF(OR($B$1074="",K1079=""),"",K1078-K1079)</f>
        <v/>
      </c>
      <c r="L1080" s="33">
        <f>IF(OR($B$1074="",L1079=""),"",L1078-L1079)</f>
        <v/>
      </c>
      <c r="M1080" s="33">
        <f>IF(OR($B$1074="",M1079=""),"",M1078-M1079)</f>
        <v/>
      </c>
      <c r="N1080" s="33">
        <f>IF(OR($B$1074="",N1079=""),"",N1078-N1079)</f>
        <v/>
      </c>
      <c r="O1080" s="33">
        <f>IF(OR($B$1074="",O1079=""),"",O1078-O1079)</f>
        <v/>
      </c>
      <c r="P1080" s="33">
        <f>IF(OR($B$1074="",P1079=""),"",P1078-P1079)</f>
        <v/>
      </c>
      <c r="Q1080" s="33">
        <f>IF(OR($B$1074="",Q1079=""),"",Q1078-Q1079)</f>
        <v/>
      </c>
      <c r="R1080" s="33">
        <f>IF(OR($B$1074="",R1079=""),"",R1078-R1079)</f>
        <v/>
      </c>
      <c r="S1080" s="33">
        <f>IF(OR($B$1074="",S1079=""),"",S1078-S1079)</f>
        <v/>
      </c>
      <c r="T1080" s="33">
        <f>IF(OR($B$1074="",T1079=""),"",T1078-T1079)</f>
        <v/>
      </c>
      <c r="U1080" s="33">
        <f>IF(OR($B$1074="",U1079=""),"",U1078-U1079)</f>
        <v/>
      </c>
      <c r="V1080" s="33">
        <f>IF(OR($B$1074="",V1079=""),"",V1078-V1079)</f>
        <v/>
      </c>
      <c r="X1080" s="22">
        <f>IF($B1080="","",IFERROR(INDEX(Cost_Centers!$E:$E,MATCH($B1080,Cost_Centers!$A:$A,0)),"(unknown)"))</f>
        <v/>
      </c>
      <c r="Y1080" s="22">
        <f>IF($B1080="","",IFERROR(INDEX(Cost_Centers!$D:$D,MATCH($B1080,Cost_Centers!$A:$A,0)),"(unknown)"))</f>
        <v/>
      </c>
      <c r="Z1080" s="22">
        <f>IF(OR($B1080="",$G1080&lt;&gt;"Variance vs Budget"),"",ABS(N($V1080))+ROW()/1000000000)</f>
        <v/>
      </c>
    </row>
    <row r="1081" ht="45" customHeight="1">
      <c r="A1081" s="13">
        <f>IF(A$1074="","",A$1074)</f>
        <v/>
      </c>
      <c r="B1081" s="13">
        <f>IF(B$1074="","",B$1074)</f>
        <v/>
      </c>
      <c r="C1081" s="13">
        <f>IF(C$1074="","",C$1074)</f>
        <v/>
      </c>
      <c r="D1081" s="13">
        <f>IF(D$1074="","",D$1074)</f>
        <v/>
      </c>
      <c r="E1081" s="13">
        <f>IF(E$1074="","",E$1074)</f>
        <v/>
      </c>
      <c r="F1081" s="13">
        <f>IF(F$1074="","",F$1074)</f>
        <v/>
      </c>
      <c r="G1081" s="7" t="inlineStr">
        <is>
          <t>Rationale</t>
        </is>
      </c>
      <c r="H1081" s="38" t="n"/>
      <c r="I1081" s="38" t="n"/>
      <c r="J1081" s="38" t="n"/>
      <c r="K1081" s="38" t="n"/>
      <c r="L1081" s="38" t="n"/>
      <c r="M1081" s="38" t="n"/>
      <c r="N1081" s="38" t="n"/>
      <c r="O1081" s="38" t="n"/>
      <c r="P1081" s="38" t="n"/>
      <c r="Q1081" s="38" t="n"/>
      <c r="R1081" s="38" t="n"/>
      <c r="S1081" s="38" t="n"/>
      <c r="T1081" s="38" t="n"/>
      <c r="U1081" s="38" t="n"/>
      <c r="V1081" s="7" t="n"/>
      <c r="X1081" s="22">
        <f>IF($B1081="","",IFERROR(INDEX(Cost_Centers!$E:$E,MATCH($B1081,Cost_Centers!$A:$A,0)),"(unknown)"))</f>
        <v/>
      </c>
      <c r="Y1081" s="22">
        <f>IF($B1081="","",IFERROR(INDEX(Cost_Centers!$D:$D,MATCH($B1081,Cost_Centers!$A:$A,0)),"(unknown)"))</f>
        <v/>
      </c>
      <c r="Z1081" s="22">
        <f>IF(OR($B1081="",$G1081&lt;&gt;"Variance vs Budget"),"",ABS(N($V1081))+ROW()/1000000000)</f>
        <v/>
      </c>
    </row>
    <row r="1082">
      <c r="A1082" s="30">
        <f>IF($D$1082="","",LEFT($D$1082,FIND("|",$D$1082&amp;"|")-1))</f>
        <v/>
      </c>
      <c r="B1082" s="31" t="n"/>
      <c r="C1082" s="30">
        <f>IF($B$1082="","",IFERROR(INDEX(Cost_Centers!$B:$B,MATCH($B$1082,Cost_Centers!$A:$A,0)),"(not in master)"))</f>
        <v/>
      </c>
      <c r="D1082" s="31" t="n"/>
      <c r="E1082" s="30">
        <f>IF($D$1082="","",IFERROR(INDEX(Accounts!$D:$D,MATCH($D$1082,Accounts!$A:$A,0)),"(not in master)"))</f>
        <v/>
      </c>
      <c r="F1082" s="31" t="n"/>
      <c r="G1082" s="30" t="inlineStr">
        <is>
          <t>Budget</t>
        </is>
      </c>
      <c r="H1082" s="32">
        <f>IF($B$1082="","",SUMIFS(Opex_Budget!$O:$O,Opex_Budget!$A:$A,$C$3,Opex_Budget!$E:$E,$B$1082,Opex_Budget!$F:$F,$D$1082,Opex_Budget!$N:$N,"JPY")*$E$5+SUMIFS(Opex_Budget!$O:$O,Opex_Budget!$A:$A,$C$3,Opex_Budget!$E:$E,$B$1082,Opex_Budget!$F:$F,$D$1082,Opex_Budget!$N:$N,"USD")*$F$5+SUMIFS(Opex_Budget!$O:$O,Opex_Budget!$A:$A,$C$3,Opex_Budget!$E:$E,$B$1082,Opex_Budget!$F:$F,$D$1082,Opex_Budget!$N:$N,"EUR")*$G$5+SUMIFS(Opex_Budget!$O:$O,Opex_Budget!$A:$A,$C$3,Opex_Budget!$E:$E,$B$1082,Opex_Budget!$F:$F,$D$1082,Opex_Budget!$N:$N,"GBP")*$H$5)</f>
        <v/>
      </c>
      <c r="I1082" s="32">
        <f>IF($B$1082="","",SUMIFS(Opex_Budget!$P:$P,Opex_Budget!$A:$A,$C$3,Opex_Budget!$E:$E,$B$1082,Opex_Budget!$F:$F,$D$1082,Opex_Budget!$N:$N,"JPY")*$E$5+SUMIFS(Opex_Budget!$P:$P,Opex_Budget!$A:$A,$C$3,Opex_Budget!$E:$E,$B$1082,Opex_Budget!$F:$F,$D$1082,Opex_Budget!$N:$N,"USD")*$F$5+SUMIFS(Opex_Budget!$P:$P,Opex_Budget!$A:$A,$C$3,Opex_Budget!$E:$E,$B$1082,Opex_Budget!$F:$F,$D$1082,Opex_Budget!$N:$N,"EUR")*$G$5+SUMIFS(Opex_Budget!$P:$P,Opex_Budget!$A:$A,$C$3,Opex_Budget!$E:$E,$B$1082,Opex_Budget!$F:$F,$D$1082,Opex_Budget!$N:$N,"GBP")*$H$5)</f>
        <v/>
      </c>
      <c r="J1082" s="32">
        <f>IF($B$1082="","",SUMIFS(Opex_Budget!$Q:$Q,Opex_Budget!$A:$A,$C$3,Opex_Budget!$E:$E,$B$1082,Opex_Budget!$F:$F,$D$1082,Opex_Budget!$N:$N,"JPY")*$E$5+SUMIFS(Opex_Budget!$Q:$Q,Opex_Budget!$A:$A,$C$3,Opex_Budget!$E:$E,$B$1082,Opex_Budget!$F:$F,$D$1082,Opex_Budget!$N:$N,"USD")*$F$5+SUMIFS(Opex_Budget!$Q:$Q,Opex_Budget!$A:$A,$C$3,Opex_Budget!$E:$E,$B$1082,Opex_Budget!$F:$F,$D$1082,Opex_Budget!$N:$N,"EUR")*$G$5+SUMIFS(Opex_Budget!$Q:$Q,Opex_Budget!$A:$A,$C$3,Opex_Budget!$E:$E,$B$1082,Opex_Budget!$F:$F,$D$1082,Opex_Budget!$N:$N,"GBP")*$H$5)</f>
        <v/>
      </c>
      <c r="K1082" s="32">
        <f>IF($B$1082="","",SUMIFS(Opex_Budget!$R:$R,Opex_Budget!$A:$A,$C$3,Opex_Budget!$E:$E,$B$1082,Opex_Budget!$F:$F,$D$1082,Opex_Budget!$N:$N,"JPY")*$E$5+SUMIFS(Opex_Budget!$R:$R,Opex_Budget!$A:$A,$C$3,Opex_Budget!$E:$E,$B$1082,Opex_Budget!$F:$F,$D$1082,Opex_Budget!$N:$N,"USD")*$F$5+SUMIFS(Opex_Budget!$R:$R,Opex_Budget!$A:$A,$C$3,Opex_Budget!$E:$E,$B$1082,Opex_Budget!$F:$F,$D$1082,Opex_Budget!$N:$N,"EUR")*$G$5+SUMIFS(Opex_Budget!$R:$R,Opex_Budget!$A:$A,$C$3,Opex_Budget!$E:$E,$B$1082,Opex_Budget!$F:$F,$D$1082,Opex_Budget!$N:$N,"GBP")*$H$5)</f>
        <v/>
      </c>
      <c r="L1082" s="32">
        <f>IF($B$1082="","",SUMIFS(Opex_Budget!$S:$S,Opex_Budget!$A:$A,$C$3,Opex_Budget!$E:$E,$B$1082,Opex_Budget!$F:$F,$D$1082,Opex_Budget!$N:$N,"JPY")*$E$5+SUMIFS(Opex_Budget!$S:$S,Opex_Budget!$A:$A,$C$3,Opex_Budget!$E:$E,$B$1082,Opex_Budget!$F:$F,$D$1082,Opex_Budget!$N:$N,"USD")*$F$5+SUMIFS(Opex_Budget!$S:$S,Opex_Budget!$A:$A,$C$3,Opex_Budget!$E:$E,$B$1082,Opex_Budget!$F:$F,$D$1082,Opex_Budget!$N:$N,"EUR")*$G$5+SUMIFS(Opex_Budget!$S:$S,Opex_Budget!$A:$A,$C$3,Opex_Budget!$E:$E,$B$1082,Opex_Budget!$F:$F,$D$1082,Opex_Budget!$N:$N,"GBP")*$H$5)</f>
        <v/>
      </c>
      <c r="M1082" s="32">
        <f>IF($B$1082="","",SUMIFS(Opex_Budget!$T:$T,Opex_Budget!$A:$A,$C$3,Opex_Budget!$E:$E,$B$1082,Opex_Budget!$F:$F,$D$1082,Opex_Budget!$N:$N,"JPY")*$E$5+SUMIFS(Opex_Budget!$T:$T,Opex_Budget!$A:$A,$C$3,Opex_Budget!$E:$E,$B$1082,Opex_Budget!$F:$F,$D$1082,Opex_Budget!$N:$N,"USD")*$F$5+SUMIFS(Opex_Budget!$T:$T,Opex_Budget!$A:$A,$C$3,Opex_Budget!$E:$E,$B$1082,Opex_Budget!$F:$F,$D$1082,Opex_Budget!$N:$N,"EUR")*$G$5+SUMIFS(Opex_Budget!$T:$T,Opex_Budget!$A:$A,$C$3,Opex_Budget!$E:$E,$B$1082,Opex_Budget!$F:$F,$D$1082,Opex_Budget!$N:$N,"GBP")*$H$5)</f>
        <v/>
      </c>
      <c r="N1082" s="32">
        <f>IF($B$1082="","",SUMIFS(Opex_Budget!$U:$U,Opex_Budget!$A:$A,$C$3,Opex_Budget!$E:$E,$B$1082,Opex_Budget!$F:$F,$D$1082,Opex_Budget!$N:$N,"JPY")*$E$5+SUMIFS(Opex_Budget!$U:$U,Opex_Budget!$A:$A,$C$3,Opex_Budget!$E:$E,$B$1082,Opex_Budget!$F:$F,$D$1082,Opex_Budget!$N:$N,"USD")*$F$5+SUMIFS(Opex_Budget!$U:$U,Opex_Budget!$A:$A,$C$3,Opex_Budget!$E:$E,$B$1082,Opex_Budget!$F:$F,$D$1082,Opex_Budget!$N:$N,"EUR")*$G$5+SUMIFS(Opex_Budget!$U:$U,Opex_Budget!$A:$A,$C$3,Opex_Budget!$E:$E,$B$1082,Opex_Budget!$F:$F,$D$1082,Opex_Budget!$N:$N,"GBP")*$H$5)</f>
        <v/>
      </c>
      <c r="O1082" s="32">
        <f>IF($B$1082="","",SUMIFS(Opex_Budget!$V:$V,Opex_Budget!$A:$A,$C$3,Opex_Budget!$E:$E,$B$1082,Opex_Budget!$F:$F,$D$1082,Opex_Budget!$N:$N,"JPY")*$E$5+SUMIFS(Opex_Budget!$V:$V,Opex_Budget!$A:$A,$C$3,Opex_Budget!$E:$E,$B$1082,Opex_Budget!$F:$F,$D$1082,Opex_Budget!$N:$N,"USD")*$F$5+SUMIFS(Opex_Budget!$V:$V,Opex_Budget!$A:$A,$C$3,Opex_Budget!$E:$E,$B$1082,Opex_Budget!$F:$F,$D$1082,Opex_Budget!$N:$N,"EUR")*$G$5+SUMIFS(Opex_Budget!$V:$V,Opex_Budget!$A:$A,$C$3,Opex_Budget!$E:$E,$B$1082,Opex_Budget!$F:$F,$D$1082,Opex_Budget!$N:$N,"GBP")*$H$5)</f>
        <v/>
      </c>
      <c r="P1082" s="32">
        <f>IF($B$1082="","",SUMIFS(Opex_Budget!$W:$W,Opex_Budget!$A:$A,$C$3,Opex_Budget!$E:$E,$B$1082,Opex_Budget!$F:$F,$D$1082,Opex_Budget!$N:$N,"JPY")*$E$5+SUMIFS(Opex_Budget!$W:$W,Opex_Budget!$A:$A,$C$3,Opex_Budget!$E:$E,$B$1082,Opex_Budget!$F:$F,$D$1082,Opex_Budget!$N:$N,"USD")*$F$5+SUMIFS(Opex_Budget!$W:$W,Opex_Budget!$A:$A,$C$3,Opex_Budget!$E:$E,$B$1082,Opex_Budget!$F:$F,$D$1082,Opex_Budget!$N:$N,"EUR")*$G$5+SUMIFS(Opex_Budget!$W:$W,Opex_Budget!$A:$A,$C$3,Opex_Budget!$E:$E,$B$1082,Opex_Budget!$F:$F,$D$1082,Opex_Budget!$N:$N,"GBP")*$H$5)</f>
        <v/>
      </c>
      <c r="Q1082" s="32">
        <f>IF($B$1082="","",SUMIFS(Opex_Budget!$X:$X,Opex_Budget!$A:$A,$C$3,Opex_Budget!$E:$E,$B$1082,Opex_Budget!$F:$F,$D$1082,Opex_Budget!$N:$N,"JPY")*$E$5+SUMIFS(Opex_Budget!$X:$X,Opex_Budget!$A:$A,$C$3,Opex_Budget!$E:$E,$B$1082,Opex_Budget!$F:$F,$D$1082,Opex_Budget!$N:$N,"USD")*$F$5+SUMIFS(Opex_Budget!$X:$X,Opex_Budget!$A:$A,$C$3,Opex_Budget!$E:$E,$B$1082,Opex_Budget!$F:$F,$D$1082,Opex_Budget!$N:$N,"EUR")*$G$5+SUMIFS(Opex_Budget!$X:$X,Opex_Budget!$A:$A,$C$3,Opex_Budget!$E:$E,$B$1082,Opex_Budget!$F:$F,$D$1082,Opex_Budget!$N:$N,"GBP")*$H$5)</f>
        <v/>
      </c>
      <c r="R1082" s="32">
        <f>IF($B$1082="","",SUMIFS(Opex_Budget!$Y:$Y,Opex_Budget!$A:$A,$C$3,Opex_Budget!$E:$E,$B$1082,Opex_Budget!$F:$F,$D$1082,Opex_Budget!$N:$N,"JPY")*$E$5+SUMIFS(Opex_Budget!$Y:$Y,Opex_Budget!$A:$A,$C$3,Opex_Budget!$E:$E,$B$1082,Opex_Budget!$F:$F,$D$1082,Opex_Budget!$N:$N,"USD")*$F$5+SUMIFS(Opex_Budget!$Y:$Y,Opex_Budget!$A:$A,$C$3,Opex_Budget!$E:$E,$B$1082,Opex_Budget!$F:$F,$D$1082,Opex_Budget!$N:$N,"EUR")*$G$5+SUMIFS(Opex_Budget!$Y:$Y,Opex_Budget!$A:$A,$C$3,Opex_Budget!$E:$E,$B$1082,Opex_Budget!$F:$F,$D$1082,Opex_Budget!$N:$N,"GBP")*$H$5)</f>
        <v/>
      </c>
      <c r="S1082" s="32">
        <f>IF($B$1082="","",SUMIFS(Opex_Budget!$Z:$Z,Opex_Budget!$A:$A,$C$3,Opex_Budget!$E:$E,$B$1082,Opex_Budget!$F:$F,$D$1082,Opex_Budget!$N:$N,"JPY")*$E$5+SUMIFS(Opex_Budget!$Z:$Z,Opex_Budget!$A:$A,$C$3,Opex_Budget!$E:$E,$B$1082,Opex_Budget!$F:$F,$D$1082,Opex_Budget!$N:$N,"USD")*$F$5+SUMIFS(Opex_Budget!$Z:$Z,Opex_Budget!$A:$A,$C$3,Opex_Budget!$E:$E,$B$1082,Opex_Budget!$F:$F,$D$1082,Opex_Budget!$N:$N,"EUR")*$G$5+SUMIFS(Opex_Budget!$Z:$Z,Opex_Budget!$A:$A,$C$3,Opex_Budget!$E:$E,$B$1082,Opex_Budget!$F:$F,$D$1082,Opex_Budget!$N:$N,"GBP")*$H$5)</f>
        <v/>
      </c>
      <c r="T1082" s="32">
        <f>IF($B$1082="","",SUMIF($H$7:$S$7,"&lt;="&amp;$C$4,$H1082:$S1082))</f>
        <v/>
      </c>
      <c r="U1082" s="32">
        <f>IF($B$1082="","",SUMIF($H$7:$S$7,"&gt;"&amp;$C$4,$H1082:$S1082))</f>
        <v/>
      </c>
      <c r="V1082" s="32">
        <f>IF($B$1082="","",SUM($H1082:$S1082))</f>
        <v/>
      </c>
      <c r="X1082" s="22">
        <f>IF($B1082="","",IFERROR(INDEX(Cost_Centers!$E:$E,MATCH($B1082,Cost_Centers!$A:$A,0)),"(unknown)"))</f>
        <v/>
      </c>
      <c r="Y1082" s="22">
        <f>IF($B1082="","",IFERROR(INDEX(Cost_Centers!$D:$D,MATCH($B1082,Cost_Centers!$A:$A,0)),"(unknown)"))</f>
        <v/>
      </c>
      <c r="Z1082" s="22">
        <f>IF(OR($B1082="",$G1082&lt;&gt;"Variance vs Budget"),"",ABS(N($V1082))+ROW()/1000000000)</f>
        <v/>
      </c>
    </row>
    <row r="1083">
      <c r="A1083" s="13">
        <f>IF(A$1082="","",A$1082)</f>
        <v/>
      </c>
      <c r="B1083" s="13">
        <f>IF(B$1082="","",B$1082)</f>
        <v/>
      </c>
      <c r="C1083" s="13">
        <f>IF(C$1082="","",C$1082)</f>
        <v/>
      </c>
      <c r="D1083" s="13">
        <f>IF(D$1082="","",D$1082)</f>
        <v/>
      </c>
      <c r="E1083" s="13">
        <f>IF(E$1082="","",E$1082)</f>
        <v/>
      </c>
      <c r="F1083" s="13">
        <f>IF(F$1082="","",F$1082)</f>
        <v/>
      </c>
      <c r="G1083" s="7" t="inlineStr">
        <is>
          <t>Actual</t>
        </is>
      </c>
      <c r="H1083" s="18">
        <f>IF(OR($B$1082="",1&gt;$C$4),"",SUMIFS(Actuals!$G:$G,Actuals!$B:$B,$C$3,Actuals!$C:$C,1,Actuals!$D:$D,$B$1082,Actuals!$A:$A,LEFT($D$1082,FIND("|",$D$1082&amp;"|")-1),Actuals!$E:$E,MID($D$1082,FIND("|",$D$1082&amp;"|")+1,50),Actuals!$F:$F,"JPY")*$E$5+SUMIFS(Actuals!$G:$G,Actuals!$B:$B,$C$3,Actuals!$C:$C,1,Actuals!$D:$D,$B$1082,Actuals!$A:$A,LEFT($D$1082,FIND("|",$D$1082&amp;"|")-1),Actuals!$E:$E,MID($D$1082,FIND("|",$D$1082&amp;"|")+1,50),Actuals!$F:$F,"USD")*$F$5+SUMIFS(Actuals!$G:$G,Actuals!$B:$B,$C$3,Actuals!$C:$C,1,Actuals!$D:$D,$B$1082,Actuals!$A:$A,LEFT($D$1082,FIND("|",$D$1082&amp;"|")-1),Actuals!$E:$E,MID($D$1082,FIND("|",$D$1082&amp;"|")+1,50),Actuals!$F:$F,"EUR")*$G$5+SUMIFS(Actuals!$G:$G,Actuals!$B:$B,$C$3,Actuals!$C:$C,1,Actuals!$D:$D,$B$1082,Actuals!$A:$A,LEFT($D$1082,FIND("|",$D$1082&amp;"|")-1),Actuals!$E:$E,MID($D$1082,FIND("|",$D$1082&amp;"|")+1,50),Actuals!$F:$F,"GBP")*$H$5)</f>
        <v/>
      </c>
      <c r="I1083" s="18">
        <f>IF(OR($B$1082="",2&gt;$C$4),"",SUMIFS(Actuals!$G:$G,Actuals!$B:$B,$C$3,Actuals!$C:$C,2,Actuals!$D:$D,$B$1082,Actuals!$A:$A,LEFT($D$1082,FIND("|",$D$1082&amp;"|")-1),Actuals!$E:$E,MID($D$1082,FIND("|",$D$1082&amp;"|")+1,50),Actuals!$F:$F,"JPY")*$E$5+SUMIFS(Actuals!$G:$G,Actuals!$B:$B,$C$3,Actuals!$C:$C,2,Actuals!$D:$D,$B$1082,Actuals!$A:$A,LEFT($D$1082,FIND("|",$D$1082&amp;"|")-1),Actuals!$E:$E,MID($D$1082,FIND("|",$D$1082&amp;"|")+1,50),Actuals!$F:$F,"USD")*$F$5+SUMIFS(Actuals!$G:$G,Actuals!$B:$B,$C$3,Actuals!$C:$C,2,Actuals!$D:$D,$B$1082,Actuals!$A:$A,LEFT($D$1082,FIND("|",$D$1082&amp;"|")-1),Actuals!$E:$E,MID($D$1082,FIND("|",$D$1082&amp;"|")+1,50),Actuals!$F:$F,"EUR")*$G$5+SUMIFS(Actuals!$G:$G,Actuals!$B:$B,$C$3,Actuals!$C:$C,2,Actuals!$D:$D,$B$1082,Actuals!$A:$A,LEFT($D$1082,FIND("|",$D$1082&amp;"|")-1),Actuals!$E:$E,MID($D$1082,FIND("|",$D$1082&amp;"|")+1,50),Actuals!$F:$F,"GBP")*$H$5)</f>
        <v/>
      </c>
      <c r="J1083" s="18">
        <f>IF(OR($B$1082="",3&gt;$C$4),"",SUMIFS(Actuals!$G:$G,Actuals!$B:$B,$C$3,Actuals!$C:$C,3,Actuals!$D:$D,$B$1082,Actuals!$A:$A,LEFT($D$1082,FIND("|",$D$1082&amp;"|")-1),Actuals!$E:$E,MID($D$1082,FIND("|",$D$1082&amp;"|")+1,50),Actuals!$F:$F,"JPY")*$E$5+SUMIFS(Actuals!$G:$G,Actuals!$B:$B,$C$3,Actuals!$C:$C,3,Actuals!$D:$D,$B$1082,Actuals!$A:$A,LEFT($D$1082,FIND("|",$D$1082&amp;"|")-1),Actuals!$E:$E,MID($D$1082,FIND("|",$D$1082&amp;"|")+1,50),Actuals!$F:$F,"USD")*$F$5+SUMIFS(Actuals!$G:$G,Actuals!$B:$B,$C$3,Actuals!$C:$C,3,Actuals!$D:$D,$B$1082,Actuals!$A:$A,LEFT($D$1082,FIND("|",$D$1082&amp;"|")-1),Actuals!$E:$E,MID($D$1082,FIND("|",$D$1082&amp;"|")+1,50),Actuals!$F:$F,"EUR")*$G$5+SUMIFS(Actuals!$G:$G,Actuals!$B:$B,$C$3,Actuals!$C:$C,3,Actuals!$D:$D,$B$1082,Actuals!$A:$A,LEFT($D$1082,FIND("|",$D$1082&amp;"|")-1),Actuals!$E:$E,MID($D$1082,FIND("|",$D$1082&amp;"|")+1,50),Actuals!$F:$F,"GBP")*$H$5)</f>
        <v/>
      </c>
      <c r="K1083" s="18">
        <f>IF(OR($B$1082="",4&gt;$C$4),"",SUMIFS(Actuals!$G:$G,Actuals!$B:$B,$C$3,Actuals!$C:$C,4,Actuals!$D:$D,$B$1082,Actuals!$A:$A,LEFT($D$1082,FIND("|",$D$1082&amp;"|")-1),Actuals!$E:$E,MID($D$1082,FIND("|",$D$1082&amp;"|")+1,50),Actuals!$F:$F,"JPY")*$E$5+SUMIFS(Actuals!$G:$G,Actuals!$B:$B,$C$3,Actuals!$C:$C,4,Actuals!$D:$D,$B$1082,Actuals!$A:$A,LEFT($D$1082,FIND("|",$D$1082&amp;"|")-1),Actuals!$E:$E,MID($D$1082,FIND("|",$D$1082&amp;"|")+1,50),Actuals!$F:$F,"USD")*$F$5+SUMIFS(Actuals!$G:$G,Actuals!$B:$B,$C$3,Actuals!$C:$C,4,Actuals!$D:$D,$B$1082,Actuals!$A:$A,LEFT($D$1082,FIND("|",$D$1082&amp;"|")-1),Actuals!$E:$E,MID($D$1082,FIND("|",$D$1082&amp;"|")+1,50),Actuals!$F:$F,"EUR")*$G$5+SUMIFS(Actuals!$G:$G,Actuals!$B:$B,$C$3,Actuals!$C:$C,4,Actuals!$D:$D,$B$1082,Actuals!$A:$A,LEFT($D$1082,FIND("|",$D$1082&amp;"|")-1),Actuals!$E:$E,MID($D$1082,FIND("|",$D$1082&amp;"|")+1,50),Actuals!$F:$F,"GBP")*$H$5)</f>
        <v/>
      </c>
      <c r="L1083" s="18">
        <f>IF(OR($B$1082="",5&gt;$C$4),"",SUMIFS(Actuals!$G:$G,Actuals!$B:$B,$C$3,Actuals!$C:$C,5,Actuals!$D:$D,$B$1082,Actuals!$A:$A,LEFT($D$1082,FIND("|",$D$1082&amp;"|")-1),Actuals!$E:$E,MID($D$1082,FIND("|",$D$1082&amp;"|")+1,50),Actuals!$F:$F,"JPY")*$E$5+SUMIFS(Actuals!$G:$G,Actuals!$B:$B,$C$3,Actuals!$C:$C,5,Actuals!$D:$D,$B$1082,Actuals!$A:$A,LEFT($D$1082,FIND("|",$D$1082&amp;"|")-1),Actuals!$E:$E,MID($D$1082,FIND("|",$D$1082&amp;"|")+1,50),Actuals!$F:$F,"USD")*$F$5+SUMIFS(Actuals!$G:$G,Actuals!$B:$B,$C$3,Actuals!$C:$C,5,Actuals!$D:$D,$B$1082,Actuals!$A:$A,LEFT($D$1082,FIND("|",$D$1082&amp;"|")-1),Actuals!$E:$E,MID($D$1082,FIND("|",$D$1082&amp;"|")+1,50),Actuals!$F:$F,"EUR")*$G$5+SUMIFS(Actuals!$G:$G,Actuals!$B:$B,$C$3,Actuals!$C:$C,5,Actuals!$D:$D,$B$1082,Actuals!$A:$A,LEFT($D$1082,FIND("|",$D$1082&amp;"|")-1),Actuals!$E:$E,MID($D$1082,FIND("|",$D$1082&amp;"|")+1,50),Actuals!$F:$F,"GBP")*$H$5)</f>
        <v/>
      </c>
      <c r="M1083" s="18">
        <f>IF(OR($B$1082="",6&gt;$C$4),"",SUMIFS(Actuals!$G:$G,Actuals!$B:$B,$C$3,Actuals!$C:$C,6,Actuals!$D:$D,$B$1082,Actuals!$A:$A,LEFT($D$1082,FIND("|",$D$1082&amp;"|")-1),Actuals!$E:$E,MID($D$1082,FIND("|",$D$1082&amp;"|")+1,50),Actuals!$F:$F,"JPY")*$E$5+SUMIFS(Actuals!$G:$G,Actuals!$B:$B,$C$3,Actuals!$C:$C,6,Actuals!$D:$D,$B$1082,Actuals!$A:$A,LEFT($D$1082,FIND("|",$D$1082&amp;"|")-1),Actuals!$E:$E,MID($D$1082,FIND("|",$D$1082&amp;"|")+1,50),Actuals!$F:$F,"USD")*$F$5+SUMIFS(Actuals!$G:$G,Actuals!$B:$B,$C$3,Actuals!$C:$C,6,Actuals!$D:$D,$B$1082,Actuals!$A:$A,LEFT($D$1082,FIND("|",$D$1082&amp;"|")-1),Actuals!$E:$E,MID($D$1082,FIND("|",$D$1082&amp;"|")+1,50),Actuals!$F:$F,"EUR")*$G$5+SUMIFS(Actuals!$G:$G,Actuals!$B:$B,$C$3,Actuals!$C:$C,6,Actuals!$D:$D,$B$1082,Actuals!$A:$A,LEFT($D$1082,FIND("|",$D$1082&amp;"|")-1),Actuals!$E:$E,MID($D$1082,FIND("|",$D$1082&amp;"|")+1,50),Actuals!$F:$F,"GBP")*$H$5)</f>
        <v/>
      </c>
      <c r="N1083" s="18">
        <f>IF(OR($B$1082="",7&gt;$C$4),"",SUMIFS(Actuals!$G:$G,Actuals!$B:$B,$C$3,Actuals!$C:$C,7,Actuals!$D:$D,$B$1082,Actuals!$A:$A,LEFT($D$1082,FIND("|",$D$1082&amp;"|")-1),Actuals!$E:$E,MID($D$1082,FIND("|",$D$1082&amp;"|")+1,50),Actuals!$F:$F,"JPY")*$E$5+SUMIFS(Actuals!$G:$G,Actuals!$B:$B,$C$3,Actuals!$C:$C,7,Actuals!$D:$D,$B$1082,Actuals!$A:$A,LEFT($D$1082,FIND("|",$D$1082&amp;"|")-1),Actuals!$E:$E,MID($D$1082,FIND("|",$D$1082&amp;"|")+1,50),Actuals!$F:$F,"USD")*$F$5+SUMIFS(Actuals!$G:$G,Actuals!$B:$B,$C$3,Actuals!$C:$C,7,Actuals!$D:$D,$B$1082,Actuals!$A:$A,LEFT($D$1082,FIND("|",$D$1082&amp;"|")-1),Actuals!$E:$E,MID($D$1082,FIND("|",$D$1082&amp;"|")+1,50),Actuals!$F:$F,"EUR")*$G$5+SUMIFS(Actuals!$G:$G,Actuals!$B:$B,$C$3,Actuals!$C:$C,7,Actuals!$D:$D,$B$1082,Actuals!$A:$A,LEFT($D$1082,FIND("|",$D$1082&amp;"|")-1),Actuals!$E:$E,MID($D$1082,FIND("|",$D$1082&amp;"|")+1,50),Actuals!$F:$F,"GBP")*$H$5)</f>
        <v/>
      </c>
      <c r="O1083" s="18">
        <f>IF(OR($B$1082="",8&gt;$C$4),"",SUMIFS(Actuals!$G:$G,Actuals!$B:$B,$C$3,Actuals!$C:$C,8,Actuals!$D:$D,$B$1082,Actuals!$A:$A,LEFT($D$1082,FIND("|",$D$1082&amp;"|")-1),Actuals!$E:$E,MID($D$1082,FIND("|",$D$1082&amp;"|")+1,50),Actuals!$F:$F,"JPY")*$E$5+SUMIFS(Actuals!$G:$G,Actuals!$B:$B,$C$3,Actuals!$C:$C,8,Actuals!$D:$D,$B$1082,Actuals!$A:$A,LEFT($D$1082,FIND("|",$D$1082&amp;"|")-1),Actuals!$E:$E,MID($D$1082,FIND("|",$D$1082&amp;"|")+1,50),Actuals!$F:$F,"USD")*$F$5+SUMIFS(Actuals!$G:$G,Actuals!$B:$B,$C$3,Actuals!$C:$C,8,Actuals!$D:$D,$B$1082,Actuals!$A:$A,LEFT($D$1082,FIND("|",$D$1082&amp;"|")-1),Actuals!$E:$E,MID($D$1082,FIND("|",$D$1082&amp;"|")+1,50),Actuals!$F:$F,"EUR")*$G$5+SUMIFS(Actuals!$G:$G,Actuals!$B:$B,$C$3,Actuals!$C:$C,8,Actuals!$D:$D,$B$1082,Actuals!$A:$A,LEFT($D$1082,FIND("|",$D$1082&amp;"|")-1),Actuals!$E:$E,MID($D$1082,FIND("|",$D$1082&amp;"|")+1,50),Actuals!$F:$F,"GBP")*$H$5)</f>
        <v/>
      </c>
      <c r="P1083" s="18">
        <f>IF(OR($B$1082="",9&gt;$C$4),"",SUMIFS(Actuals!$G:$G,Actuals!$B:$B,$C$3,Actuals!$C:$C,9,Actuals!$D:$D,$B$1082,Actuals!$A:$A,LEFT($D$1082,FIND("|",$D$1082&amp;"|")-1),Actuals!$E:$E,MID($D$1082,FIND("|",$D$1082&amp;"|")+1,50),Actuals!$F:$F,"JPY")*$E$5+SUMIFS(Actuals!$G:$G,Actuals!$B:$B,$C$3,Actuals!$C:$C,9,Actuals!$D:$D,$B$1082,Actuals!$A:$A,LEFT($D$1082,FIND("|",$D$1082&amp;"|")-1),Actuals!$E:$E,MID($D$1082,FIND("|",$D$1082&amp;"|")+1,50),Actuals!$F:$F,"USD")*$F$5+SUMIFS(Actuals!$G:$G,Actuals!$B:$B,$C$3,Actuals!$C:$C,9,Actuals!$D:$D,$B$1082,Actuals!$A:$A,LEFT($D$1082,FIND("|",$D$1082&amp;"|")-1),Actuals!$E:$E,MID($D$1082,FIND("|",$D$1082&amp;"|")+1,50),Actuals!$F:$F,"EUR")*$G$5+SUMIFS(Actuals!$G:$G,Actuals!$B:$B,$C$3,Actuals!$C:$C,9,Actuals!$D:$D,$B$1082,Actuals!$A:$A,LEFT($D$1082,FIND("|",$D$1082&amp;"|")-1),Actuals!$E:$E,MID($D$1082,FIND("|",$D$1082&amp;"|")+1,50),Actuals!$F:$F,"GBP")*$H$5)</f>
        <v/>
      </c>
      <c r="Q1083" s="18">
        <f>IF(OR($B$1082="",10&gt;$C$4),"",SUMIFS(Actuals!$G:$G,Actuals!$B:$B,$C$3,Actuals!$C:$C,10,Actuals!$D:$D,$B$1082,Actuals!$A:$A,LEFT($D$1082,FIND("|",$D$1082&amp;"|")-1),Actuals!$E:$E,MID($D$1082,FIND("|",$D$1082&amp;"|")+1,50),Actuals!$F:$F,"JPY")*$E$5+SUMIFS(Actuals!$G:$G,Actuals!$B:$B,$C$3,Actuals!$C:$C,10,Actuals!$D:$D,$B$1082,Actuals!$A:$A,LEFT($D$1082,FIND("|",$D$1082&amp;"|")-1),Actuals!$E:$E,MID($D$1082,FIND("|",$D$1082&amp;"|")+1,50),Actuals!$F:$F,"USD")*$F$5+SUMIFS(Actuals!$G:$G,Actuals!$B:$B,$C$3,Actuals!$C:$C,10,Actuals!$D:$D,$B$1082,Actuals!$A:$A,LEFT($D$1082,FIND("|",$D$1082&amp;"|")-1),Actuals!$E:$E,MID($D$1082,FIND("|",$D$1082&amp;"|")+1,50),Actuals!$F:$F,"EUR")*$G$5+SUMIFS(Actuals!$G:$G,Actuals!$B:$B,$C$3,Actuals!$C:$C,10,Actuals!$D:$D,$B$1082,Actuals!$A:$A,LEFT($D$1082,FIND("|",$D$1082&amp;"|")-1),Actuals!$E:$E,MID($D$1082,FIND("|",$D$1082&amp;"|")+1,50),Actuals!$F:$F,"GBP")*$H$5)</f>
        <v/>
      </c>
      <c r="R1083" s="18">
        <f>IF(OR($B$1082="",11&gt;$C$4),"",SUMIFS(Actuals!$G:$G,Actuals!$B:$B,$C$3,Actuals!$C:$C,11,Actuals!$D:$D,$B$1082,Actuals!$A:$A,LEFT($D$1082,FIND("|",$D$1082&amp;"|")-1),Actuals!$E:$E,MID($D$1082,FIND("|",$D$1082&amp;"|")+1,50),Actuals!$F:$F,"JPY")*$E$5+SUMIFS(Actuals!$G:$G,Actuals!$B:$B,$C$3,Actuals!$C:$C,11,Actuals!$D:$D,$B$1082,Actuals!$A:$A,LEFT($D$1082,FIND("|",$D$1082&amp;"|")-1),Actuals!$E:$E,MID($D$1082,FIND("|",$D$1082&amp;"|")+1,50),Actuals!$F:$F,"USD")*$F$5+SUMIFS(Actuals!$G:$G,Actuals!$B:$B,$C$3,Actuals!$C:$C,11,Actuals!$D:$D,$B$1082,Actuals!$A:$A,LEFT($D$1082,FIND("|",$D$1082&amp;"|")-1),Actuals!$E:$E,MID($D$1082,FIND("|",$D$1082&amp;"|")+1,50),Actuals!$F:$F,"EUR")*$G$5+SUMIFS(Actuals!$G:$G,Actuals!$B:$B,$C$3,Actuals!$C:$C,11,Actuals!$D:$D,$B$1082,Actuals!$A:$A,LEFT($D$1082,FIND("|",$D$1082&amp;"|")-1),Actuals!$E:$E,MID($D$1082,FIND("|",$D$1082&amp;"|")+1,50),Actuals!$F:$F,"GBP")*$H$5)</f>
        <v/>
      </c>
      <c r="S1083" s="18">
        <f>IF(OR($B$1082="",12&gt;$C$4),"",SUMIFS(Actuals!$G:$G,Actuals!$B:$B,$C$3,Actuals!$C:$C,12,Actuals!$D:$D,$B$1082,Actuals!$A:$A,LEFT($D$1082,FIND("|",$D$1082&amp;"|")-1),Actuals!$E:$E,MID($D$1082,FIND("|",$D$1082&amp;"|")+1,50),Actuals!$F:$F,"JPY")*$E$5+SUMIFS(Actuals!$G:$G,Actuals!$B:$B,$C$3,Actuals!$C:$C,12,Actuals!$D:$D,$B$1082,Actuals!$A:$A,LEFT($D$1082,FIND("|",$D$1082&amp;"|")-1),Actuals!$E:$E,MID($D$1082,FIND("|",$D$1082&amp;"|")+1,50),Actuals!$F:$F,"USD")*$F$5+SUMIFS(Actuals!$G:$G,Actuals!$B:$B,$C$3,Actuals!$C:$C,12,Actuals!$D:$D,$B$1082,Actuals!$A:$A,LEFT($D$1082,FIND("|",$D$1082&amp;"|")-1),Actuals!$E:$E,MID($D$1082,FIND("|",$D$1082&amp;"|")+1,50),Actuals!$F:$F,"EUR")*$G$5+SUMIFS(Actuals!$G:$G,Actuals!$B:$B,$C$3,Actuals!$C:$C,12,Actuals!$D:$D,$B$1082,Actuals!$A:$A,LEFT($D$1082,FIND("|",$D$1082&amp;"|")-1),Actuals!$E:$E,MID($D$1082,FIND("|",$D$1082&amp;"|")+1,50),Actuals!$F:$F,"GBP")*$H$5)</f>
        <v/>
      </c>
      <c r="T1083" s="18">
        <f>IF($B$1082="","",SUMIF($H$7:$S$7,"&lt;="&amp;$C$4,$H1083:$S1083))</f>
        <v/>
      </c>
      <c r="U1083" s="18" t="n"/>
      <c r="V1083" s="18" t="n"/>
      <c r="X1083" s="22">
        <f>IF($B1083="","",IFERROR(INDEX(Cost_Centers!$E:$E,MATCH($B1083,Cost_Centers!$A:$A,0)),"(unknown)"))</f>
        <v/>
      </c>
      <c r="Y1083" s="22">
        <f>IF($B1083="","",IFERROR(INDEX(Cost_Centers!$D:$D,MATCH($B1083,Cost_Centers!$A:$A,0)),"(unknown)"))</f>
        <v/>
      </c>
      <c r="Z1083" s="22">
        <f>IF(OR($B1083="",$G1083&lt;&gt;"Variance vs Budget"),"",ABS(N($V1083))+ROW()/1000000000)</f>
        <v/>
      </c>
    </row>
    <row r="1084">
      <c r="A1084" s="13">
        <f>IF(A$1082="","",A$1082)</f>
        <v/>
      </c>
      <c r="B1084" s="13">
        <f>IF(B$1082="","",B$1082)</f>
        <v/>
      </c>
      <c r="C1084" s="13">
        <f>IF(C$1082="","",C$1082)</f>
        <v/>
      </c>
      <c r="D1084" s="13">
        <f>IF(D$1082="","",D$1082)</f>
        <v/>
      </c>
      <c r="E1084" s="13">
        <f>IF(E$1082="","",E$1082)</f>
        <v/>
      </c>
      <c r="F1084" s="13">
        <f>IF(F$1082="","",F$1082)</f>
        <v/>
      </c>
      <c r="G1084" s="6" t="inlineStr">
        <is>
          <t>Variance vs Budget</t>
        </is>
      </c>
      <c r="H1084" s="33">
        <f>IF(OR($B$1082="",1&gt;$C$4),"",N(H1083)-H1082)</f>
        <v/>
      </c>
      <c r="I1084" s="33">
        <f>IF(OR($B$1082="",2&gt;$C$4),"",N(I1083)-I1082)</f>
        <v/>
      </c>
      <c r="J1084" s="33">
        <f>IF(OR($B$1082="",3&gt;$C$4),"",N(J1083)-J1082)</f>
        <v/>
      </c>
      <c r="K1084" s="33">
        <f>IF(OR($B$1082="",4&gt;$C$4),"",N(K1083)-K1082)</f>
        <v/>
      </c>
      <c r="L1084" s="33">
        <f>IF(OR($B$1082="",5&gt;$C$4),"",N(L1083)-L1082)</f>
        <v/>
      </c>
      <c r="M1084" s="33">
        <f>IF(OR($B$1082="",6&gt;$C$4),"",N(M1083)-M1082)</f>
        <v/>
      </c>
      <c r="N1084" s="33">
        <f>IF(OR($B$1082="",7&gt;$C$4),"",N(N1083)-N1082)</f>
        <v/>
      </c>
      <c r="O1084" s="33">
        <f>IF(OR($B$1082="",8&gt;$C$4),"",N(O1083)-O1082)</f>
        <v/>
      </c>
      <c r="P1084" s="33">
        <f>IF(OR($B$1082="",9&gt;$C$4),"",N(P1083)-P1082)</f>
        <v/>
      </c>
      <c r="Q1084" s="33">
        <f>IF(OR($B$1082="",10&gt;$C$4),"",N(Q1083)-Q1082)</f>
        <v/>
      </c>
      <c r="R1084" s="33">
        <f>IF(OR($B$1082="",11&gt;$C$4),"",N(R1083)-R1082)</f>
        <v/>
      </c>
      <c r="S1084" s="33">
        <f>IF(OR($B$1082="",12&gt;$C$4),"",N(S1083)-S1082)</f>
        <v/>
      </c>
      <c r="T1084" s="33">
        <f>IF($B$1082="","",T1083-T1082)</f>
        <v/>
      </c>
      <c r="U1084" s="33">
        <f>IF($B$1082="","",U1086-U1082)</f>
        <v/>
      </c>
      <c r="V1084" s="33">
        <f>IF($B$1082="","",V1086-V1082)</f>
        <v/>
      </c>
      <c r="X1084" s="22">
        <f>IF($B1084="","",IFERROR(INDEX(Cost_Centers!$E:$E,MATCH($B1084,Cost_Centers!$A:$A,0)),"(unknown)"))</f>
        <v/>
      </c>
      <c r="Y1084" s="22">
        <f>IF($B1084="","",IFERROR(INDEX(Cost_Centers!$D:$D,MATCH($B1084,Cost_Centers!$A:$A,0)),"(unknown)"))</f>
        <v/>
      </c>
      <c r="Z1084" s="22">
        <f>IF(OR($B1084="",$G1084&lt;&gt;"Variance vs Budget"),"",ABS(N($V1084))+ROW()/1000000000)</f>
        <v/>
      </c>
    </row>
    <row r="1085">
      <c r="A1085" s="13">
        <f>IF(A$1082="","",A$1082)</f>
        <v/>
      </c>
      <c r="B1085" s="13">
        <f>IF(B$1082="","",B$1082)</f>
        <v/>
      </c>
      <c r="C1085" s="13">
        <f>IF(C$1082="","",C$1082)</f>
        <v/>
      </c>
      <c r="D1085" s="13">
        <f>IF(D$1082="","",D$1082)</f>
        <v/>
      </c>
      <c r="E1085" s="13">
        <f>IF(E$1082="","",E$1082)</f>
        <v/>
      </c>
      <c r="F1085" s="13">
        <f>IF(F$1082="","",F$1082)</f>
        <v/>
      </c>
      <c r="G1085" s="7" t="inlineStr">
        <is>
          <t>Forecast (input)</t>
        </is>
      </c>
      <c r="H1085" s="34" t="n"/>
      <c r="I1085" s="34" t="n"/>
      <c r="J1085" s="34" t="n"/>
      <c r="K1085" s="34" t="n"/>
      <c r="L1085" s="34" t="n"/>
      <c r="M1085" s="34" t="n"/>
      <c r="N1085" s="34" t="n"/>
      <c r="O1085" s="34" t="n"/>
      <c r="P1085" s="34" t="n"/>
      <c r="Q1085" s="34" t="n"/>
      <c r="R1085" s="34" t="n"/>
      <c r="S1085" s="34" t="n"/>
      <c r="T1085" s="18" t="n"/>
      <c r="U1085" s="18" t="n"/>
      <c r="V1085" s="18" t="n"/>
      <c r="X1085" s="22">
        <f>IF($B1085="","",IFERROR(INDEX(Cost_Centers!$E:$E,MATCH($B1085,Cost_Centers!$A:$A,0)),"(unknown)"))</f>
        <v/>
      </c>
      <c r="Y1085" s="22">
        <f>IF($B1085="","",IFERROR(INDEX(Cost_Centers!$D:$D,MATCH($B1085,Cost_Centers!$A:$A,0)),"(unknown)"))</f>
        <v/>
      </c>
      <c r="Z1085" s="22">
        <f>IF(OR($B1085="",$G1085&lt;&gt;"Variance vs Budget"),"",ABS(N($V1085))+ROW()/1000000000)</f>
        <v/>
      </c>
    </row>
    <row r="1086">
      <c r="A1086" s="13">
        <f>IF(A$1082="","",A$1082)</f>
        <v/>
      </c>
      <c r="B1086" s="13">
        <f>IF(B$1082="","",B$1082)</f>
        <v/>
      </c>
      <c r="C1086" s="13">
        <f>IF(C$1082="","",C$1082)</f>
        <v/>
      </c>
      <c r="D1086" s="13">
        <f>IF(D$1082="","",D$1082)</f>
        <v/>
      </c>
      <c r="E1086" s="13">
        <f>IF(E$1082="","",E$1082)</f>
        <v/>
      </c>
      <c r="F1086" s="13">
        <f>IF(F$1082="","",F$1082)</f>
        <v/>
      </c>
      <c r="G1086" s="35" t="inlineStr">
        <is>
          <t>Actual + Forecast</t>
        </is>
      </c>
      <c r="H1086" s="18">
        <f>IF($B$1082="","",IF(1&lt;=$C$4,N(H1083),IF(H1085="",H1082,H1085)))</f>
        <v/>
      </c>
      <c r="I1086" s="18">
        <f>IF($B$1082="","",IF(2&lt;=$C$4,N(I1083),IF(I1085="",I1082,I1085)))</f>
        <v/>
      </c>
      <c r="J1086" s="18">
        <f>IF($B$1082="","",IF(3&lt;=$C$4,N(J1083),IF(J1085="",J1082,J1085)))</f>
        <v/>
      </c>
      <c r="K1086" s="18">
        <f>IF($B$1082="","",IF(4&lt;=$C$4,N(K1083),IF(K1085="",K1082,K1085)))</f>
        <v/>
      </c>
      <c r="L1086" s="18">
        <f>IF($B$1082="","",IF(5&lt;=$C$4,N(L1083),IF(L1085="",L1082,L1085)))</f>
        <v/>
      </c>
      <c r="M1086" s="18">
        <f>IF($B$1082="","",IF(6&lt;=$C$4,N(M1083),IF(M1085="",M1082,M1085)))</f>
        <v/>
      </c>
      <c r="N1086" s="18">
        <f>IF($B$1082="","",IF(7&lt;=$C$4,N(N1083),IF(N1085="",N1082,N1085)))</f>
        <v/>
      </c>
      <c r="O1086" s="18">
        <f>IF($B$1082="","",IF(8&lt;=$C$4,N(O1083),IF(O1085="",O1082,O1085)))</f>
        <v/>
      </c>
      <c r="P1086" s="18">
        <f>IF($B$1082="","",IF(9&lt;=$C$4,N(P1083),IF(P1085="",P1082,P1085)))</f>
        <v/>
      </c>
      <c r="Q1086" s="18">
        <f>IF($B$1082="","",IF(10&lt;=$C$4,N(Q1083),IF(Q1085="",Q1082,Q1085)))</f>
        <v/>
      </c>
      <c r="R1086" s="18">
        <f>IF($B$1082="","",IF(11&lt;=$C$4,N(R1083),IF(R1085="",R1082,R1085)))</f>
        <v/>
      </c>
      <c r="S1086" s="18">
        <f>IF($B$1082="","",IF(12&lt;=$C$4,N(S1083),IF(S1085="",S1082,S1085)))</f>
        <v/>
      </c>
      <c r="T1086" s="18">
        <f>IF($B$1082="","",SUMIF($H$7:$S$7,"&lt;="&amp;$C$4,$H1086:$S1086))</f>
        <v/>
      </c>
      <c r="U1086" s="18">
        <f>IF($B$1082="","",SUMIF($H$7:$S$7,"&gt;"&amp;$C$4,$H1086:$S1086))</f>
        <v/>
      </c>
      <c r="V1086" s="18">
        <f>IF($B$1082="","",SUM($H1086:$S1086))</f>
        <v/>
      </c>
      <c r="X1086" s="22">
        <f>IF($B1086="","",IFERROR(INDEX(Cost_Centers!$E:$E,MATCH($B1086,Cost_Centers!$A:$A,0)),"(unknown)"))</f>
        <v/>
      </c>
      <c r="Y1086" s="22">
        <f>IF($B1086="","",IFERROR(INDEX(Cost_Centers!$D:$D,MATCH($B1086,Cost_Centers!$A:$A,0)),"(unknown)"))</f>
        <v/>
      </c>
      <c r="Z1086" s="22">
        <f>IF(OR($B1086="",$G1086&lt;&gt;"Variance vs Budget"),"",ABS(N($V1086))+ROW()/1000000000)</f>
        <v/>
      </c>
    </row>
    <row r="1087">
      <c r="A1087" s="13">
        <f>IF(A$1082="","",A$1082)</f>
        <v/>
      </c>
      <c r="B1087" s="13">
        <f>IF(B$1082="","",B$1082)</f>
        <v/>
      </c>
      <c r="C1087" s="13">
        <f>IF(C$1082="","",C$1082)</f>
        <v/>
      </c>
      <c r="D1087" s="13">
        <f>IF(D$1082="","",D$1082)</f>
        <v/>
      </c>
      <c r="E1087" s="13">
        <f>IF(E$1082="","",E$1082)</f>
        <v/>
      </c>
      <c r="F1087" s="13">
        <f>IF(F$1082="","",F$1082)</f>
        <v/>
      </c>
      <c r="G1087" s="36" t="inlineStr">
        <is>
          <t>Prior Month Forecast</t>
        </is>
      </c>
      <c r="H1087" s="37">
        <f>IF($B$1082="","",IF(COUNTIFS(Prior_Forecast!$A:$A,$B$1082,Prior_Forecast!$B:$B,$D$1082)&gt;0,SUMIFS(Prior_Forecast!$C:$C,Prior_Forecast!$A:$A,$B$1082,Prior_Forecast!$B:$B,$D$1082),""))</f>
        <v/>
      </c>
      <c r="I1087" s="37">
        <f>IF($B$1082="","",IF(COUNTIFS(Prior_Forecast!$A:$A,$B$1082,Prior_Forecast!$B:$B,$D$1082)&gt;0,SUMIFS(Prior_Forecast!$D:$D,Prior_Forecast!$A:$A,$B$1082,Prior_Forecast!$B:$B,$D$1082),""))</f>
        <v/>
      </c>
      <c r="J1087" s="37">
        <f>IF($B$1082="","",IF(COUNTIFS(Prior_Forecast!$A:$A,$B$1082,Prior_Forecast!$B:$B,$D$1082)&gt;0,SUMIFS(Prior_Forecast!$E:$E,Prior_Forecast!$A:$A,$B$1082,Prior_Forecast!$B:$B,$D$1082),""))</f>
        <v/>
      </c>
      <c r="K1087" s="37">
        <f>IF($B$1082="","",IF(COUNTIFS(Prior_Forecast!$A:$A,$B$1082,Prior_Forecast!$B:$B,$D$1082)&gt;0,SUMIFS(Prior_Forecast!$F:$F,Prior_Forecast!$A:$A,$B$1082,Prior_Forecast!$B:$B,$D$1082),""))</f>
        <v/>
      </c>
      <c r="L1087" s="37">
        <f>IF($B$1082="","",IF(COUNTIFS(Prior_Forecast!$A:$A,$B$1082,Prior_Forecast!$B:$B,$D$1082)&gt;0,SUMIFS(Prior_Forecast!$G:$G,Prior_Forecast!$A:$A,$B$1082,Prior_Forecast!$B:$B,$D$1082),""))</f>
        <v/>
      </c>
      <c r="M1087" s="37">
        <f>IF($B$1082="","",IF(COUNTIFS(Prior_Forecast!$A:$A,$B$1082,Prior_Forecast!$B:$B,$D$1082)&gt;0,SUMIFS(Prior_Forecast!$H:$H,Prior_Forecast!$A:$A,$B$1082,Prior_Forecast!$B:$B,$D$1082),""))</f>
        <v/>
      </c>
      <c r="N1087" s="37">
        <f>IF($B$1082="","",IF(COUNTIFS(Prior_Forecast!$A:$A,$B$1082,Prior_Forecast!$B:$B,$D$1082)&gt;0,SUMIFS(Prior_Forecast!$I:$I,Prior_Forecast!$A:$A,$B$1082,Prior_Forecast!$B:$B,$D$1082),""))</f>
        <v/>
      </c>
      <c r="O1087" s="37">
        <f>IF($B$1082="","",IF(COUNTIFS(Prior_Forecast!$A:$A,$B$1082,Prior_Forecast!$B:$B,$D$1082)&gt;0,SUMIFS(Prior_Forecast!$J:$J,Prior_Forecast!$A:$A,$B$1082,Prior_Forecast!$B:$B,$D$1082),""))</f>
        <v/>
      </c>
      <c r="P1087" s="37">
        <f>IF($B$1082="","",IF(COUNTIFS(Prior_Forecast!$A:$A,$B$1082,Prior_Forecast!$B:$B,$D$1082)&gt;0,SUMIFS(Prior_Forecast!$K:$K,Prior_Forecast!$A:$A,$B$1082,Prior_Forecast!$B:$B,$D$1082),""))</f>
        <v/>
      </c>
      <c r="Q1087" s="37">
        <f>IF($B$1082="","",IF(COUNTIFS(Prior_Forecast!$A:$A,$B$1082,Prior_Forecast!$B:$B,$D$1082)&gt;0,SUMIFS(Prior_Forecast!$L:$L,Prior_Forecast!$A:$A,$B$1082,Prior_Forecast!$B:$B,$D$1082),""))</f>
        <v/>
      </c>
      <c r="R1087" s="37">
        <f>IF($B$1082="","",IF(COUNTIFS(Prior_Forecast!$A:$A,$B$1082,Prior_Forecast!$B:$B,$D$1082)&gt;0,SUMIFS(Prior_Forecast!$M:$M,Prior_Forecast!$A:$A,$B$1082,Prior_Forecast!$B:$B,$D$1082),""))</f>
        <v/>
      </c>
      <c r="S1087" s="37">
        <f>IF($B$1082="","",IF(COUNTIFS(Prior_Forecast!$A:$A,$B$1082,Prior_Forecast!$B:$B,$D$1082)&gt;0,SUMIFS(Prior_Forecast!$N:$N,Prior_Forecast!$A:$A,$B$1082,Prior_Forecast!$B:$B,$D$1082),""))</f>
        <v/>
      </c>
      <c r="T1087" s="37">
        <f>IF($B$1082="","",IF(COUNTIFS(Prior_Forecast!$A:$A,$B$1082,Prior_Forecast!$B:$B,$D$1082)&gt;0,SUMIFS(Prior_Forecast!$O:$O,Prior_Forecast!$A:$A,$B$1082,Prior_Forecast!$B:$B,$D$1082),""))</f>
        <v/>
      </c>
      <c r="U1087" s="37">
        <f>IF($B$1082="","",IF(COUNTIFS(Prior_Forecast!$A:$A,$B$1082,Prior_Forecast!$B:$B,$D$1082)&gt;0,SUMIFS(Prior_Forecast!$P:$P,Prior_Forecast!$A:$A,$B$1082,Prior_Forecast!$B:$B,$D$1082),""))</f>
        <v/>
      </c>
      <c r="V1087" s="37">
        <f>IF($B$1082="","",IF(COUNTIFS(Prior_Forecast!$A:$A,$B$1082,Prior_Forecast!$B:$B,$D$1082)&gt;0,SUMIFS(Prior_Forecast!$Q:$Q,Prior_Forecast!$A:$A,$B$1082,Prior_Forecast!$B:$B,$D$1082),""))</f>
        <v/>
      </c>
      <c r="X1087" s="22">
        <f>IF($B1087="","",IFERROR(INDEX(Cost_Centers!$E:$E,MATCH($B1087,Cost_Centers!$A:$A,0)),"(unknown)"))</f>
        <v/>
      </c>
      <c r="Y1087" s="22">
        <f>IF($B1087="","",IFERROR(INDEX(Cost_Centers!$D:$D,MATCH($B1087,Cost_Centers!$A:$A,0)),"(unknown)"))</f>
        <v/>
      </c>
      <c r="Z1087" s="22">
        <f>IF(OR($B1087="",$G1087&lt;&gt;"Variance vs Budget"),"",ABS(N($V1087))+ROW()/1000000000)</f>
        <v/>
      </c>
    </row>
    <row r="1088">
      <c r="A1088" s="13">
        <f>IF(A$1082="","",A$1082)</f>
        <v/>
      </c>
      <c r="B1088" s="13">
        <f>IF(B$1082="","",B$1082)</f>
        <v/>
      </c>
      <c r="C1088" s="13">
        <f>IF(C$1082="","",C$1082)</f>
        <v/>
      </c>
      <c r="D1088" s="13">
        <f>IF(D$1082="","",D$1082)</f>
        <v/>
      </c>
      <c r="E1088" s="13">
        <f>IF(E$1082="","",E$1082)</f>
        <v/>
      </c>
      <c r="F1088" s="13">
        <f>IF(F$1082="","",F$1082)</f>
        <v/>
      </c>
      <c r="G1088" s="6" t="inlineStr">
        <is>
          <t>Variance vs Prior Month</t>
        </is>
      </c>
      <c r="H1088" s="33">
        <f>IF(OR($B$1082="",H1087=""),"",H1086-H1087)</f>
        <v/>
      </c>
      <c r="I1088" s="33">
        <f>IF(OR($B$1082="",I1087=""),"",I1086-I1087)</f>
        <v/>
      </c>
      <c r="J1088" s="33">
        <f>IF(OR($B$1082="",J1087=""),"",J1086-J1087)</f>
        <v/>
      </c>
      <c r="K1088" s="33">
        <f>IF(OR($B$1082="",K1087=""),"",K1086-K1087)</f>
        <v/>
      </c>
      <c r="L1088" s="33">
        <f>IF(OR($B$1082="",L1087=""),"",L1086-L1087)</f>
        <v/>
      </c>
      <c r="M1088" s="33">
        <f>IF(OR($B$1082="",M1087=""),"",M1086-M1087)</f>
        <v/>
      </c>
      <c r="N1088" s="33">
        <f>IF(OR($B$1082="",N1087=""),"",N1086-N1087)</f>
        <v/>
      </c>
      <c r="O1088" s="33">
        <f>IF(OR($B$1082="",O1087=""),"",O1086-O1087)</f>
        <v/>
      </c>
      <c r="P1088" s="33">
        <f>IF(OR($B$1082="",P1087=""),"",P1086-P1087)</f>
        <v/>
      </c>
      <c r="Q1088" s="33">
        <f>IF(OR($B$1082="",Q1087=""),"",Q1086-Q1087)</f>
        <v/>
      </c>
      <c r="R1088" s="33">
        <f>IF(OR($B$1082="",R1087=""),"",R1086-R1087)</f>
        <v/>
      </c>
      <c r="S1088" s="33">
        <f>IF(OR($B$1082="",S1087=""),"",S1086-S1087)</f>
        <v/>
      </c>
      <c r="T1088" s="33">
        <f>IF(OR($B$1082="",T1087=""),"",T1086-T1087)</f>
        <v/>
      </c>
      <c r="U1088" s="33">
        <f>IF(OR($B$1082="",U1087=""),"",U1086-U1087)</f>
        <v/>
      </c>
      <c r="V1088" s="33">
        <f>IF(OR($B$1082="",V1087=""),"",V1086-V1087)</f>
        <v/>
      </c>
      <c r="X1088" s="22">
        <f>IF($B1088="","",IFERROR(INDEX(Cost_Centers!$E:$E,MATCH($B1088,Cost_Centers!$A:$A,0)),"(unknown)"))</f>
        <v/>
      </c>
      <c r="Y1088" s="22">
        <f>IF($B1088="","",IFERROR(INDEX(Cost_Centers!$D:$D,MATCH($B1088,Cost_Centers!$A:$A,0)),"(unknown)"))</f>
        <v/>
      </c>
      <c r="Z1088" s="22">
        <f>IF(OR($B1088="",$G1088&lt;&gt;"Variance vs Budget"),"",ABS(N($V1088))+ROW()/1000000000)</f>
        <v/>
      </c>
    </row>
    <row r="1089" ht="45" customHeight="1">
      <c r="A1089" s="13">
        <f>IF(A$1082="","",A$1082)</f>
        <v/>
      </c>
      <c r="B1089" s="13">
        <f>IF(B$1082="","",B$1082)</f>
        <v/>
      </c>
      <c r="C1089" s="13">
        <f>IF(C$1082="","",C$1082)</f>
        <v/>
      </c>
      <c r="D1089" s="13">
        <f>IF(D$1082="","",D$1082)</f>
        <v/>
      </c>
      <c r="E1089" s="13">
        <f>IF(E$1082="","",E$1082)</f>
        <v/>
      </c>
      <c r="F1089" s="13">
        <f>IF(F$1082="","",F$1082)</f>
        <v/>
      </c>
      <c r="G1089" s="7" t="inlineStr">
        <is>
          <t>Rationale</t>
        </is>
      </c>
      <c r="H1089" s="38" t="n"/>
      <c r="I1089" s="38" t="n"/>
      <c r="J1089" s="38" t="n"/>
      <c r="K1089" s="38" t="n"/>
      <c r="L1089" s="38" t="n"/>
      <c r="M1089" s="38" t="n"/>
      <c r="N1089" s="38" t="n"/>
      <c r="O1089" s="38" t="n"/>
      <c r="P1089" s="38" t="n"/>
      <c r="Q1089" s="38" t="n"/>
      <c r="R1089" s="38" t="n"/>
      <c r="S1089" s="38" t="n"/>
      <c r="T1089" s="38" t="n"/>
      <c r="U1089" s="38" t="n"/>
      <c r="V1089" s="7" t="n"/>
      <c r="X1089" s="22">
        <f>IF($B1089="","",IFERROR(INDEX(Cost_Centers!$E:$E,MATCH($B1089,Cost_Centers!$A:$A,0)),"(unknown)"))</f>
        <v/>
      </c>
      <c r="Y1089" s="22">
        <f>IF($B1089="","",IFERROR(INDEX(Cost_Centers!$D:$D,MATCH($B1089,Cost_Centers!$A:$A,0)),"(unknown)"))</f>
        <v/>
      </c>
      <c r="Z1089" s="22">
        <f>IF(OR($B1089="",$G1089&lt;&gt;"Variance vs Budget"),"",ABS(N($V1089))+ROW()/1000000000)</f>
        <v/>
      </c>
    </row>
    <row r="1090">
      <c r="A1090" s="30">
        <f>IF($D$1090="","",LEFT($D$1090,FIND("|",$D$1090&amp;"|")-1))</f>
        <v/>
      </c>
      <c r="B1090" s="31" t="n"/>
      <c r="C1090" s="30">
        <f>IF($B$1090="","",IFERROR(INDEX(Cost_Centers!$B:$B,MATCH($B$1090,Cost_Centers!$A:$A,0)),"(not in master)"))</f>
        <v/>
      </c>
      <c r="D1090" s="31" t="n"/>
      <c r="E1090" s="30">
        <f>IF($D$1090="","",IFERROR(INDEX(Accounts!$D:$D,MATCH($D$1090,Accounts!$A:$A,0)),"(not in master)"))</f>
        <v/>
      </c>
      <c r="F1090" s="31" t="n"/>
      <c r="G1090" s="30" t="inlineStr">
        <is>
          <t>Budget</t>
        </is>
      </c>
      <c r="H1090" s="32">
        <f>IF($B$1090="","",SUMIFS(Opex_Budget!$O:$O,Opex_Budget!$A:$A,$C$3,Opex_Budget!$E:$E,$B$1090,Opex_Budget!$F:$F,$D$1090,Opex_Budget!$N:$N,"JPY")*$E$5+SUMIFS(Opex_Budget!$O:$O,Opex_Budget!$A:$A,$C$3,Opex_Budget!$E:$E,$B$1090,Opex_Budget!$F:$F,$D$1090,Opex_Budget!$N:$N,"USD")*$F$5+SUMIFS(Opex_Budget!$O:$O,Opex_Budget!$A:$A,$C$3,Opex_Budget!$E:$E,$B$1090,Opex_Budget!$F:$F,$D$1090,Opex_Budget!$N:$N,"EUR")*$G$5+SUMIFS(Opex_Budget!$O:$O,Opex_Budget!$A:$A,$C$3,Opex_Budget!$E:$E,$B$1090,Opex_Budget!$F:$F,$D$1090,Opex_Budget!$N:$N,"GBP")*$H$5)</f>
        <v/>
      </c>
      <c r="I1090" s="32">
        <f>IF($B$1090="","",SUMIFS(Opex_Budget!$P:$P,Opex_Budget!$A:$A,$C$3,Opex_Budget!$E:$E,$B$1090,Opex_Budget!$F:$F,$D$1090,Opex_Budget!$N:$N,"JPY")*$E$5+SUMIFS(Opex_Budget!$P:$P,Opex_Budget!$A:$A,$C$3,Opex_Budget!$E:$E,$B$1090,Opex_Budget!$F:$F,$D$1090,Opex_Budget!$N:$N,"USD")*$F$5+SUMIFS(Opex_Budget!$P:$P,Opex_Budget!$A:$A,$C$3,Opex_Budget!$E:$E,$B$1090,Opex_Budget!$F:$F,$D$1090,Opex_Budget!$N:$N,"EUR")*$G$5+SUMIFS(Opex_Budget!$P:$P,Opex_Budget!$A:$A,$C$3,Opex_Budget!$E:$E,$B$1090,Opex_Budget!$F:$F,$D$1090,Opex_Budget!$N:$N,"GBP")*$H$5)</f>
        <v/>
      </c>
      <c r="J1090" s="32">
        <f>IF($B$1090="","",SUMIFS(Opex_Budget!$Q:$Q,Opex_Budget!$A:$A,$C$3,Opex_Budget!$E:$E,$B$1090,Opex_Budget!$F:$F,$D$1090,Opex_Budget!$N:$N,"JPY")*$E$5+SUMIFS(Opex_Budget!$Q:$Q,Opex_Budget!$A:$A,$C$3,Opex_Budget!$E:$E,$B$1090,Opex_Budget!$F:$F,$D$1090,Opex_Budget!$N:$N,"USD")*$F$5+SUMIFS(Opex_Budget!$Q:$Q,Opex_Budget!$A:$A,$C$3,Opex_Budget!$E:$E,$B$1090,Opex_Budget!$F:$F,$D$1090,Opex_Budget!$N:$N,"EUR")*$G$5+SUMIFS(Opex_Budget!$Q:$Q,Opex_Budget!$A:$A,$C$3,Opex_Budget!$E:$E,$B$1090,Opex_Budget!$F:$F,$D$1090,Opex_Budget!$N:$N,"GBP")*$H$5)</f>
        <v/>
      </c>
      <c r="K1090" s="32">
        <f>IF($B$1090="","",SUMIFS(Opex_Budget!$R:$R,Opex_Budget!$A:$A,$C$3,Opex_Budget!$E:$E,$B$1090,Opex_Budget!$F:$F,$D$1090,Opex_Budget!$N:$N,"JPY")*$E$5+SUMIFS(Opex_Budget!$R:$R,Opex_Budget!$A:$A,$C$3,Opex_Budget!$E:$E,$B$1090,Opex_Budget!$F:$F,$D$1090,Opex_Budget!$N:$N,"USD")*$F$5+SUMIFS(Opex_Budget!$R:$R,Opex_Budget!$A:$A,$C$3,Opex_Budget!$E:$E,$B$1090,Opex_Budget!$F:$F,$D$1090,Opex_Budget!$N:$N,"EUR")*$G$5+SUMIFS(Opex_Budget!$R:$R,Opex_Budget!$A:$A,$C$3,Opex_Budget!$E:$E,$B$1090,Opex_Budget!$F:$F,$D$1090,Opex_Budget!$N:$N,"GBP")*$H$5)</f>
        <v/>
      </c>
      <c r="L1090" s="32">
        <f>IF($B$1090="","",SUMIFS(Opex_Budget!$S:$S,Opex_Budget!$A:$A,$C$3,Opex_Budget!$E:$E,$B$1090,Opex_Budget!$F:$F,$D$1090,Opex_Budget!$N:$N,"JPY")*$E$5+SUMIFS(Opex_Budget!$S:$S,Opex_Budget!$A:$A,$C$3,Opex_Budget!$E:$E,$B$1090,Opex_Budget!$F:$F,$D$1090,Opex_Budget!$N:$N,"USD")*$F$5+SUMIFS(Opex_Budget!$S:$S,Opex_Budget!$A:$A,$C$3,Opex_Budget!$E:$E,$B$1090,Opex_Budget!$F:$F,$D$1090,Opex_Budget!$N:$N,"EUR")*$G$5+SUMIFS(Opex_Budget!$S:$S,Opex_Budget!$A:$A,$C$3,Opex_Budget!$E:$E,$B$1090,Opex_Budget!$F:$F,$D$1090,Opex_Budget!$N:$N,"GBP")*$H$5)</f>
        <v/>
      </c>
      <c r="M1090" s="32">
        <f>IF($B$1090="","",SUMIFS(Opex_Budget!$T:$T,Opex_Budget!$A:$A,$C$3,Opex_Budget!$E:$E,$B$1090,Opex_Budget!$F:$F,$D$1090,Opex_Budget!$N:$N,"JPY")*$E$5+SUMIFS(Opex_Budget!$T:$T,Opex_Budget!$A:$A,$C$3,Opex_Budget!$E:$E,$B$1090,Opex_Budget!$F:$F,$D$1090,Opex_Budget!$N:$N,"USD")*$F$5+SUMIFS(Opex_Budget!$T:$T,Opex_Budget!$A:$A,$C$3,Opex_Budget!$E:$E,$B$1090,Opex_Budget!$F:$F,$D$1090,Opex_Budget!$N:$N,"EUR")*$G$5+SUMIFS(Opex_Budget!$T:$T,Opex_Budget!$A:$A,$C$3,Opex_Budget!$E:$E,$B$1090,Opex_Budget!$F:$F,$D$1090,Opex_Budget!$N:$N,"GBP")*$H$5)</f>
        <v/>
      </c>
      <c r="N1090" s="32">
        <f>IF($B$1090="","",SUMIFS(Opex_Budget!$U:$U,Opex_Budget!$A:$A,$C$3,Opex_Budget!$E:$E,$B$1090,Opex_Budget!$F:$F,$D$1090,Opex_Budget!$N:$N,"JPY")*$E$5+SUMIFS(Opex_Budget!$U:$U,Opex_Budget!$A:$A,$C$3,Opex_Budget!$E:$E,$B$1090,Opex_Budget!$F:$F,$D$1090,Opex_Budget!$N:$N,"USD")*$F$5+SUMIFS(Opex_Budget!$U:$U,Opex_Budget!$A:$A,$C$3,Opex_Budget!$E:$E,$B$1090,Opex_Budget!$F:$F,$D$1090,Opex_Budget!$N:$N,"EUR")*$G$5+SUMIFS(Opex_Budget!$U:$U,Opex_Budget!$A:$A,$C$3,Opex_Budget!$E:$E,$B$1090,Opex_Budget!$F:$F,$D$1090,Opex_Budget!$N:$N,"GBP")*$H$5)</f>
        <v/>
      </c>
      <c r="O1090" s="32">
        <f>IF($B$1090="","",SUMIFS(Opex_Budget!$V:$V,Opex_Budget!$A:$A,$C$3,Opex_Budget!$E:$E,$B$1090,Opex_Budget!$F:$F,$D$1090,Opex_Budget!$N:$N,"JPY")*$E$5+SUMIFS(Opex_Budget!$V:$V,Opex_Budget!$A:$A,$C$3,Opex_Budget!$E:$E,$B$1090,Opex_Budget!$F:$F,$D$1090,Opex_Budget!$N:$N,"USD")*$F$5+SUMIFS(Opex_Budget!$V:$V,Opex_Budget!$A:$A,$C$3,Opex_Budget!$E:$E,$B$1090,Opex_Budget!$F:$F,$D$1090,Opex_Budget!$N:$N,"EUR")*$G$5+SUMIFS(Opex_Budget!$V:$V,Opex_Budget!$A:$A,$C$3,Opex_Budget!$E:$E,$B$1090,Opex_Budget!$F:$F,$D$1090,Opex_Budget!$N:$N,"GBP")*$H$5)</f>
        <v/>
      </c>
      <c r="P1090" s="32">
        <f>IF($B$1090="","",SUMIFS(Opex_Budget!$W:$W,Opex_Budget!$A:$A,$C$3,Opex_Budget!$E:$E,$B$1090,Opex_Budget!$F:$F,$D$1090,Opex_Budget!$N:$N,"JPY")*$E$5+SUMIFS(Opex_Budget!$W:$W,Opex_Budget!$A:$A,$C$3,Opex_Budget!$E:$E,$B$1090,Opex_Budget!$F:$F,$D$1090,Opex_Budget!$N:$N,"USD")*$F$5+SUMIFS(Opex_Budget!$W:$W,Opex_Budget!$A:$A,$C$3,Opex_Budget!$E:$E,$B$1090,Opex_Budget!$F:$F,$D$1090,Opex_Budget!$N:$N,"EUR")*$G$5+SUMIFS(Opex_Budget!$W:$W,Opex_Budget!$A:$A,$C$3,Opex_Budget!$E:$E,$B$1090,Opex_Budget!$F:$F,$D$1090,Opex_Budget!$N:$N,"GBP")*$H$5)</f>
        <v/>
      </c>
      <c r="Q1090" s="32">
        <f>IF($B$1090="","",SUMIFS(Opex_Budget!$X:$X,Opex_Budget!$A:$A,$C$3,Opex_Budget!$E:$E,$B$1090,Opex_Budget!$F:$F,$D$1090,Opex_Budget!$N:$N,"JPY")*$E$5+SUMIFS(Opex_Budget!$X:$X,Opex_Budget!$A:$A,$C$3,Opex_Budget!$E:$E,$B$1090,Opex_Budget!$F:$F,$D$1090,Opex_Budget!$N:$N,"USD")*$F$5+SUMIFS(Opex_Budget!$X:$X,Opex_Budget!$A:$A,$C$3,Opex_Budget!$E:$E,$B$1090,Opex_Budget!$F:$F,$D$1090,Opex_Budget!$N:$N,"EUR")*$G$5+SUMIFS(Opex_Budget!$X:$X,Opex_Budget!$A:$A,$C$3,Opex_Budget!$E:$E,$B$1090,Opex_Budget!$F:$F,$D$1090,Opex_Budget!$N:$N,"GBP")*$H$5)</f>
        <v/>
      </c>
      <c r="R1090" s="32">
        <f>IF($B$1090="","",SUMIFS(Opex_Budget!$Y:$Y,Opex_Budget!$A:$A,$C$3,Opex_Budget!$E:$E,$B$1090,Opex_Budget!$F:$F,$D$1090,Opex_Budget!$N:$N,"JPY")*$E$5+SUMIFS(Opex_Budget!$Y:$Y,Opex_Budget!$A:$A,$C$3,Opex_Budget!$E:$E,$B$1090,Opex_Budget!$F:$F,$D$1090,Opex_Budget!$N:$N,"USD")*$F$5+SUMIFS(Opex_Budget!$Y:$Y,Opex_Budget!$A:$A,$C$3,Opex_Budget!$E:$E,$B$1090,Opex_Budget!$F:$F,$D$1090,Opex_Budget!$N:$N,"EUR")*$G$5+SUMIFS(Opex_Budget!$Y:$Y,Opex_Budget!$A:$A,$C$3,Opex_Budget!$E:$E,$B$1090,Opex_Budget!$F:$F,$D$1090,Opex_Budget!$N:$N,"GBP")*$H$5)</f>
        <v/>
      </c>
      <c r="S1090" s="32">
        <f>IF($B$1090="","",SUMIFS(Opex_Budget!$Z:$Z,Opex_Budget!$A:$A,$C$3,Opex_Budget!$E:$E,$B$1090,Opex_Budget!$F:$F,$D$1090,Opex_Budget!$N:$N,"JPY")*$E$5+SUMIFS(Opex_Budget!$Z:$Z,Opex_Budget!$A:$A,$C$3,Opex_Budget!$E:$E,$B$1090,Opex_Budget!$F:$F,$D$1090,Opex_Budget!$N:$N,"USD")*$F$5+SUMIFS(Opex_Budget!$Z:$Z,Opex_Budget!$A:$A,$C$3,Opex_Budget!$E:$E,$B$1090,Opex_Budget!$F:$F,$D$1090,Opex_Budget!$N:$N,"EUR")*$G$5+SUMIFS(Opex_Budget!$Z:$Z,Opex_Budget!$A:$A,$C$3,Opex_Budget!$E:$E,$B$1090,Opex_Budget!$F:$F,$D$1090,Opex_Budget!$N:$N,"GBP")*$H$5)</f>
        <v/>
      </c>
      <c r="T1090" s="32">
        <f>IF($B$1090="","",SUMIF($H$7:$S$7,"&lt;="&amp;$C$4,$H1090:$S1090))</f>
        <v/>
      </c>
      <c r="U1090" s="32">
        <f>IF($B$1090="","",SUMIF($H$7:$S$7,"&gt;"&amp;$C$4,$H1090:$S1090))</f>
        <v/>
      </c>
      <c r="V1090" s="32">
        <f>IF($B$1090="","",SUM($H1090:$S1090))</f>
        <v/>
      </c>
      <c r="X1090" s="22">
        <f>IF($B1090="","",IFERROR(INDEX(Cost_Centers!$E:$E,MATCH($B1090,Cost_Centers!$A:$A,0)),"(unknown)"))</f>
        <v/>
      </c>
      <c r="Y1090" s="22">
        <f>IF($B1090="","",IFERROR(INDEX(Cost_Centers!$D:$D,MATCH($B1090,Cost_Centers!$A:$A,0)),"(unknown)"))</f>
        <v/>
      </c>
      <c r="Z1090" s="22">
        <f>IF(OR($B1090="",$G1090&lt;&gt;"Variance vs Budget"),"",ABS(N($V1090))+ROW()/1000000000)</f>
        <v/>
      </c>
    </row>
    <row r="1091">
      <c r="A1091" s="13">
        <f>IF(A$1090="","",A$1090)</f>
        <v/>
      </c>
      <c r="B1091" s="13">
        <f>IF(B$1090="","",B$1090)</f>
        <v/>
      </c>
      <c r="C1091" s="13">
        <f>IF(C$1090="","",C$1090)</f>
        <v/>
      </c>
      <c r="D1091" s="13">
        <f>IF(D$1090="","",D$1090)</f>
        <v/>
      </c>
      <c r="E1091" s="13">
        <f>IF(E$1090="","",E$1090)</f>
        <v/>
      </c>
      <c r="F1091" s="13">
        <f>IF(F$1090="","",F$1090)</f>
        <v/>
      </c>
      <c r="G1091" s="7" t="inlineStr">
        <is>
          <t>Actual</t>
        </is>
      </c>
      <c r="H1091" s="18">
        <f>IF(OR($B$1090="",1&gt;$C$4),"",SUMIFS(Actuals!$G:$G,Actuals!$B:$B,$C$3,Actuals!$C:$C,1,Actuals!$D:$D,$B$1090,Actuals!$A:$A,LEFT($D$1090,FIND("|",$D$1090&amp;"|")-1),Actuals!$E:$E,MID($D$1090,FIND("|",$D$1090&amp;"|")+1,50),Actuals!$F:$F,"JPY")*$E$5+SUMIFS(Actuals!$G:$G,Actuals!$B:$B,$C$3,Actuals!$C:$C,1,Actuals!$D:$D,$B$1090,Actuals!$A:$A,LEFT($D$1090,FIND("|",$D$1090&amp;"|")-1),Actuals!$E:$E,MID($D$1090,FIND("|",$D$1090&amp;"|")+1,50),Actuals!$F:$F,"USD")*$F$5+SUMIFS(Actuals!$G:$G,Actuals!$B:$B,$C$3,Actuals!$C:$C,1,Actuals!$D:$D,$B$1090,Actuals!$A:$A,LEFT($D$1090,FIND("|",$D$1090&amp;"|")-1),Actuals!$E:$E,MID($D$1090,FIND("|",$D$1090&amp;"|")+1,50),Actuals!$F:$F,"EUR")*$G$5+SUMIFS(Actuals!$G:$G,Actuals!$B:$B,$C$3,Actuals!$C:$C,1,Actuals!$D:$D,$B$1090,Actuals!$A:$A,LEFT($D$1090,FIND("|",$D$1090&amp;"|")-1),Actuals!$E:$E,MID($D$1090,FIND("|",$D$1090&amp;"|")+1,50),Actuals!$F:$F,"GBP")*$H$5)</f>
        <v/>
      </c>
      <c r="I1091" s="18">
        <f>IF(OR($B$1090="",2&gt;$C$4),"",SUMIFS(Actuals!$G:$G,Actuals!$B:$B,$C$3,Actuals!$C:$C,2,Actuals!$D:$D,$B$1090,Actuals!$A:$A,LEFT($D$1090,FIND("|",$D$1090&amp;"|")-1),Actuals!$E:$E,MID($D$1090,FIND("|",$D$1090&amp;"|")+1,50),Actuals!$F:$F,"JPY")*$E$5+SUMIFS(Actuals!$G:$G,Actuals!$B:$B,$C$3,Actuals!$C:$C,2,Actuals!$D:$D,$B$1090,Actuals!$A:$A,LEFT($D$1090,FIND("|",$D$1090&amp;"|")-1),Actuals!$E:$E,MID($D$1090,FIND("|",$D$1090&amp;"|")+1,50),Actuals!$F:$F,"USD")*$F$5+SUMIFS(Actuals!$G:$G,Actuals!$B:$B,$C$3,Actuals!$C:$C,2,Actuals!$D:$D,$B$1090,Actuals!$A:$A,LEFT($D$1090,FIND("|",$D$1090&amp;"|")-1),Actuals!$E:$E,MID($D$1090,FIND("|",$D$1090&amp;"|")+1,50),Actuals!$F:$F,"EUR")*$G$5+SUMIFS(Actuals!$G:$G,Actuals!$B:$B,$C$3,Actuals!$C:$C,2,Actuals!$D:$D,$B$1090,Actuals!$A:$A,LEFT($D$1090,FIND("|",$D$1090&amp;"|")-1),Actuals!$E:$E,MID($D$1090,FIND("|",$D$1090&amp;"|")+1,50),Actuals!$F:$F,"GBP")*$H$5)</f>
        <v/>
      </c>
      <c r="J1091" s="18">
        <f>IF(OR($B$1090="",3&gt;$C$4),"",SUMIFS(Actuals!$G:$G,Actuals!$B:$B,$C$3,Actuals!$C:$C,3,Actuals!$D:$D,$B$1090,Actuals!$A:$A,LEFT($D$1090,FIND("|",$D$1090&amp;"|")-1),Actuals!$E:$E,MID($D$1090,FIND("|",$D$1090&amp;"|")+1,50),Actuals!$F:$F,"JPY")*$E$5+SUMIFS(Actuals!$G:$G,Actuals!$B:$B,$C$3,Actuals!$C:$C,3,Actuals!$D:$D,$B$1090,Actuals!$A:$A,LEFT($D$1090,FIND("|",$D$1090&amp;"|")-1),Actuals!$E:$E,MID($D$1090,FIND("|",$D$1090&amp;"|")+1,50),Actuals!$F:$F,"USD")*$F$5+SUMIFS(Actuals!$G:$G,Actuals!$B:$B,$C$3,Actuals!$C:$C,3,Actuals!$D:$D,$B$1090,Actuals!$A:$A,LEFT($D$1090,FIND("|",$D$1090&amp;"|")-1),Actuals!$E:$E,MID($D$1090,FIND("|",$D$1090&amp;"|")+1,50),Actuals!$F:$F,"EUR")*$G$5+SUMIFS(Actuals!$G:$G,Actuals!$B:$B,$C$3,Actuals!$C:$C,3,Actuals!$D:$D,$B$1090,Actuals!$A:$A,LEFT($D$1090,FIND("|",$D$1090&amp;"|")-1),Actuals!$E:$E,MID($D$1090,FIND("|",$D$1090&amp;"|")+1,50),Actuals!$F:$F,"GBP")*$H$5)</f>
        <v/>
      </c>
      <c r="K1091" s="18">
        <f>IF(OR($B$1090="",4&gt;$C$4),"",SUMIFS(Actuals!$G:$G,Actuals!$B:$B,$C$3,Actuals!$C:$C,4,Actuals!$D:$D,$B$1090,Actuals!$A:$A,LEFT($D$1090,FIND("|",$D$1090&amp;"|")-1),Actuals!$E:$E,MID($D$1090,FIND("|",$D$1090&amp;"|")+1,50),Actuals!$F:$F,"JPY")*$E$5+SUMIFS(Actuals!$G:$G,Actuals!$B:$B,$C$3,Actuals!$C:$C,4,Actuals!$D:$D,$B$1090,Actuals!$A:$A,LEFT($D$1090,FIND("|",$D$1090&amp;"|")-1),Actuals!$E:$E,MID($D$1090,FIND("|",$D$1090&amp;"|")+1,50),Actuals!$F:$F,"USD")*$F$5+SUMIFS(Actuals!$G:$G,Actuals!$B:$B,$C$3,Actuals!$C:$C,4,Actuals!$D:$D,$B$1090,Actuals!$A:$A,LEFT($D$1090,FIND("|",$D$1090&amp;"|")-1),Actuals!$E:$E,MID($D$1090,FIND("|",$D$1090&amp;"|")+1,50),Actuals!$F:$F,"EUR")*$G$5+SUMIFS(Actuals!$G:$G,Actuals!$B:$B,$C$3,Actuals!$C:$C,4,Actuals!$D:$D,$B$1090,Actuals!$A:$A,LEFT($D$1090,FIND("|",$D$1090&amp;"|")-1),Actuals!$E:$E,MID($D$1090,FIND("|",$D$1090&amp;"|")+1,50),Actuals!$F:$F,"GBP")*$H$5)</f>
        <v/>
      </c>
      <c r="L1091" s="18">
        <f>IF(OR($B$1090="",5&gt;$C$4),"",SUMIFS(Actuals!$G:$G,Actuals!$B:$B,$C$3,Actuals!$C:$C,5,Actuals!$D:$D,$B$1090,Actuals!$A:$A,LEFT($D$1090,FIND("|",$D$1090&amp;"|")-1),Actuals!$E:$E,MID($D$1090,FIND("|",$D$1090&amp;"|")+1,50),Actuals!$F:$F,"JPY")*$E$5+SUMIFS(Actuals!$G:$G,Actuals!$B:$B,$C$3,Actuals!$C:$C,5,Actuals!$D:$D,$B$1090,Actuals!$A:$A,LEFT($D$1090,FIND("|",$D$1090&amp;"|")-1),Actuals!$E:$E,MID($D$1090,FIND("|",$D$1090&amp;"|")+1,50),Actuals!$F:$F,"USD")*$F$5+SUMIFS(Actuals!$G:$G,Actuals!$B:$B,$C$3,Actuals!$C:$C,5,Actuals!$D:$D,$B$1090,Actuals!$A:$A,LEFT($D$1090,FIND("|",$D$1090&amp;"|")-1),Actuals!$E:$E,MID($D$1090,FIND("|",$D$1090&amp;"|")+1,50),Actuals!$F:$F,"EUR")*$G$5+SUMIFS(Actuals!$G:$G,Actuals!$B:$B,$C$3,Actuals!$C:$C,5,Actuals!$D:$D,$B$1090,Actuals!$A:$A,LEFT($D$1090,FIND("|",$D$1090&amp;"|")-1),Actuals!$E:$E,MID($D$1090,FIND("|",$D$1090&amp;"|")+1,50),Actuals!$F:$F,"GBP")*$H$5)</f>
        <v/>
      </c>
      <c r="M1091" s="18">
        <f>IF(OR($B$1090="",6&gt;$C$4),"",SUMIFS(Actuals!$G:$G,Actuals!$B:$B,$C$3,Actuals!$C:$C,6,Actuals!$D:$D,$B$1090,Actuals!$A:$A,LEFT($D$1090,FIND("|",$D$1090&amp;"|")-1),Actuals!$E:$E,MID($D$1090,FIND("|",$D$1090&amp;"|")+1,50),Actuals!$F:$F,"JPY")*$E$5+SUMIFS(Actuals!$G:$G,Actuals!$B:$B,$C$3,Actuals!$C:$C,6,Actuals!$D:$D,$B$1090,Actuals!$A:$A,LEFT($D$1090,FIND("|",$D$1090&amp;"|")-1),Actuals!$E:$E,MID($D$1090,FIND("|",$D$1090&amp;"|")+1,50),Actuals!$F:$F,"USD")*$F$5+SUMIFS(Actuals!$G:$G,Actuals!$B:$B,$C$3,Actuals!$C:$C,6,Actuals!$D:$D,$B$1090,Actuals!$A:$A,LEFT($D$1090,FIND("|",$D$1090&amp;"|")-1),Actuals!$E:$E,MID($D$1090,FIND("|",$D$1090&amp;"|")+1,50),Actuals!$F:$F,"EUR")*$G$5+SUMIFS(Actuals!$G:$G,Actuals!$B:$B,$C$3,Actuals!$C:$C,6,Actuals!$D:$D,$B$1090,Actuals!$A:$A,LEFT($D$1090,FIND("|",$D$1090&amp;"|")-1),Actuals!$E:$E,MID($D$1090,FIND("|",$D$1090&amp;"|")+1,50),Actuals!$F:$F,"GBP")*$H$5)</f>
        <v/>
      </c>
      <c r="N1091" s="18">
        <f>IF(OR($B$1090="",7&gt;$C$4),"",SUMIFS(Actuals!$G:$G,Actuals!$B:$B,$C$3,Actuals!$C:$C,7,Actuals!$D:$D,$B$1090,Actuals!$A:$A,LEFT($D$1090,FIND("|",$D$1090&amp;"|")-1),Actuals!$E:$E,MID($D$1090,FIND("|",$D$1090&amp;"|")+1,50),Actuals!$F:$F,"JPY")*$E$5+SUMIFS(Actuals!$G:$G,Actuals!$B:$B,$C$3,Actuals!$C:$C,7,Actuals!$D:$D,$B$1090,Actuals!$A:$A,LEFT($D$1090,FIND("|",$D$1090&amp;"|")-1),Actuals!$E:$E,MID($D$1090,FIND("|",$D$1090&amp;"|")+1,50),Actuals!$F:$F,"USD")*$F$5+SUMIFS(Actuals!$G:$G,Actuals!$B:$B,$C$3,Actuals!$C:$C,7,Actuals!$D:$D,$B$1090,Actuals!$A:$A,LEFT($D$1090,FIND("|",$D$1090&amp;"|")-1),Actuals!$E:$E,MID($D$1090,FIND("|",$D$1090&amp;"|")+1,50),Actuals!$F:$F,"EUR")*$G$5+SUMIFS(Actuals!$G:$G,Actuals!$B:$B,$C$3,Actuals!$C:$C,7,Actuals!$D:$D,$B$1090,Actuals!$A:$A,LEFT($D$1090,FIND("|",$D$1090&amp;"|")-1),Actuals!$E:$E,MID($D$1090,FIND("|",$D$1090&amp;"|")+1,50),Actuals!$F:$F,"GBP")*$H$5)</f>
        <v/>
      </c>
      <c r="O1091" s="18">
        <f>IF(OR($B$1090="",8&gt;$C$4),"",SUMIFS(Actuals!$G:$G,Actuals!$B:$B,$C$3,Actuals!$C:$C,8,Actuals!$D:$D,$B$1090,Actuals!$A:$A,LEFT($D$1090,FIND("|",$D$1090&amp;"|")-1),Actuals!$E:$E,MID($D$1090,FIND("|",$D$1090&amp;"|")+1,50),Actuals!$F:$F,"JPY")*$E$5+SUMIFS(Actuals!$G:$G,Actuals!$B:$B,$C$3,Actuals!$C:$C,8,Actuals!$D:$D,$B$1090,Actuals!$A:$A,LEFT($D$1090,FIND("|",$D$1090&amp;"|")-1),Actuals!$E:$E,MID($D$1090,FIND("|",$D$1090&amp;"|")+1,50),Actuals!$F:$F,"USD")*$F$5+SUMIFS(Actuals!$G:$G,Actuals!$B:$B,$C$3,Actuals!$C:$C,8,Actuals!$D:$D,$B$1090,Actuals!$A:$A,LEFT($D$1090,FIND("|",$D$1090&amp;"|")-1),Actuals!$E:$E,MID($D$1090,FIND("|",$D$1090&amp;"|")+1,50),Actuals!$F:$F,"EUR")*$G$5+SUMIFS(Actuals!$G:$G,Actuals!$B:$B,$C$3,Actuals!$C:$C,8,Actuals!$D:$D,$B$1090,Actuals!$A:$A,LEFT($D$1090,FIND("|",$D$1090&amp;"|")-1),Actuals!$E:$E,MID($D$1090,FIND("|",$D$1090&amp;"|")+1,50),Actuals!$F:$F,"GBP")*$H$5)</f>
        <v/>
      </c>
      <c r="P1091" s="18">
        <f>IF(OR($B$1090="",9&gt;$C$4),"",SUMIFS(Actuals!$G:$G,Actuals!$B:$B,$C$3,Actuals!$C:$C,9,Actuals!$D:$D,$B$1090,Actuals!$A:$A,LEFT($D$1090,FIND("|",$D$1090&amp;"|")-1),Actuals!$E:$E,MID($D$1090,FIND("|",$D$1090&amp;"|")+1,50),Actuals!$F:$F,"JPY")*$E$5+SUMIFS(Actuals!$G:$G,Actuals!$B:$B,$C$3,Actuals!$C:$C,9,Actuals!$D:$D,$B$1090,Actuals!$A:$A,LEFT($D$1090,FIND("|",$D$1090&amp;"|")-1),Actuals!$E:$E,MID($D$1090,FIND("|",$D$1090&amp;"|")+1,50),Actuals!$F:$F,"USD")*$F$5+SUMIFS(Actuals!$G:$G,Actuals!$B:$B,$C$3,Actuals!$C:$C,9,Actuals!$D:$D,$B$1090,Actuals!$A:$A,LEFT($D$1090,FIND("|",$D$1090&amp;"|")-1),Actuals!$E:$E,MID($D$1090,FIND("|",$D$1090&amp;"|")+1,50),Actuals!$F:$F,"EUR")*$G$5+SUMIFS(Actuals!$G:$G,Actuals!$B:$B,$C$3,Actuals!$C:$C,9,Actuals!$D:$D,$B$1090,Actuals!$A:$A,LEFT($D$1090,FIND("|",$D$1090&amp;"|")-1),Actuals!$E:$E,MID($D$1090,FIND("|",$D$1090&amp;"|")+1,50),Actuals!$F:$F,"GBP")*$H$5)</f>
        <v/>
      </c>
      <c r="Q1091" s="18">
        <f>IF(OR($B$1090="",10&gt;$C$4),"",SUMIFS(Actuals!$G:$G,Actuals!$B:$B,$C$3,Actuals!$C:$C,10,Actuals!$D:$D,$B$1090,Actuals!$A:$A,LEFT($D$1090,FIND("|",$D$1090&amp;"|")-1),Actuals!$E:$E,MID($D$1090,FIND("|",$D$1090&amp;"|")+1,50),Actuals!$F:$F,"JPY")*$E$5+SUMIFS(Actuals!$G:$G,Actuals!$B:$B,$C$3,Actuals!$C:$C,10,Actuals!$D:$D,$B$1090,Actuals!$A:$A,LEFT($D$1090,FIND("|",$D$1090&amp;"|")-1),Actuals!$E:$E,MID($D$1090,FIND("|",$D$1090&amp;"|")+1,50),Actuals!$F:$F,"USD")*$F$5+SUMIFS(Actuals!$G:$G,Actuals!$B:$B,$C$3,Actuals!$C:$C,10,Actuals!$D:$D,$B$1090,Actuals!$A:$A,LEFT($D$1090,FIND("|",$D$1090&amp;"|")-1),Actuals!$E:$E,MID($D$1090,FIND("|",$D$1090&amp;"|")+1,50),Actuals!$F:$F,"EUR")*$G$5+SUMIFS(Actuals!$G:$G,Actuals!$B:$B,$C$3,Actuals!$C:$C,10,Actuals!$D:$D,$B$1090,Actuals!$A:$A,LEFT($D$1090,FIND("|",$D$1090&amp;"|")-1),Actuals!$E:$E,MID($D$1090,FIND("|",$D$1090&amp;"|")+1,50),Actuals!$F:$F,"GBP")*$H$5)</f>
        <v/>
      </c>
      <c r="R1091" s="18">
        <f>IF(OR($B$1090="",11&gt;$C$4),"",SUMIFS(Actuals!$G:$G,Actuals!$B:$B,$C$3,Actuals!$C:$C,11,Actuals!$D:$D,$B$1090,Actuals!$A:$A,LEFT($D$1090,FIND("|",$D$1090&amp;"|")-1),Actuals!$E:$E,MID($D$1090,FIND("|",$D$1090&amp;"|")+1,50),Actuals!$F:$F,"JPY")*$E$5+SUMIFS(Actuals!$G:$G,Actuals!$B:$B,$C$3,Actuals!$C:$C,11,Actuals!$D:$D,$B$1090,Actuals!$A:$A,LEFT($D$1090,FIND("|",$D$1090&amp;"|")-1),Actuals!$E:$E,MID($D$1090,FIND("|",$D$1090&amp;"|")+1,50),Actuals!$F:$F,"USD")*$F$5+SUMIFS(Actuals!$G:$G,Actuals!$B:$B,$C$3,Actuals!$C:$C,11,Actuals!$D:$D,$B$1090,Actuals!$A:$A,LEFT($D$1090,FIND("|",$D$1090&amp;"|")-1),Actuals!$E:$E,MID($D$1090,FIND("|",$D$1090&amp;"|")+1,50),Actuals!$F:$F,"EUR")*$G$5+SUMIFS(Actuals!$G:$G,Actuals!$B:$B,$C$3,Actuals!$C:$C,11,Actuals!$D:$D,$B$1090,Actuals!$A:$A,LEFT($D$1090,FIND("|",$D$1090&amp;"|")-1),Actuals!$E:$E,MID($D$1090,FIND("|",$D$1090&amp;"|")+1,50),Actuals!$F:$F,"GBP")*$H$5)</f>
        <v/>
      </c>
      <c r="S1091" s="18">
        <f>IF(OR($B$1090="",12&gt;$C$4),"",SUMIFS(Actuals!$G:$G,Actuals!$B:$B,$C$3,Actuals!$C:$C,12,Actuals!$D:$D,$B$1090,Actuals!$A:$A,LEFT($D$1090,FIND("|",$D$1090&amp;"|")-1),Actuals!$E:$E,MID($D$1090,FIND("|",$D$1090&amp;"|")+1,50),Actuals!$F:$F,"JPY")*$E$5+SUMIFS(Actuals!$G:$G,Actuals!$B:$B,$C$3,Actuals!$C:$C,12,Actuals!$D:$D,$B$1090,Actuals!$A:$A,LEFT($D$1090,FIND("|",$D$1090&amp;"|")-1),Actuals!$E:$E,MID($D$1090,FIND("|",$D$1090&amp;"|")+1,50),Actuals!$F:$F,"USD")*$F$5+SUMIFS(Actuals!$G:$G,Actuals!$B:$B,$C$3,Actuals!$C:$C,12,Actuals!$D:$D,$B$1090,Actuals!$A:$A,LEFT($D$1090,FIND("|",$D$1090&amp;"|")-1),Actuals!$E:$E,MID($D$1090,FIND("|",$D$1090&amp;"|")+1,50),Actuals!$F:$F,"EUR")*$G$5+SUMIFS(Actuals!$G:$G,Actuals!$B:$B,$C$3,Actuals!$C:$C,12,Actuals!$D:$D,$B$1090,Actuals!$A:$A,LEFT($D$1090,FIND("|",$D$1090&amp;"|")-1),Actuals!$E:$E,MID($D$1090,FIND("|",$D$1090&amp;"|")+1,50),Actuals!$F:$F,"GBP")*$H$5)</f>
        <v/>
      </c>
      <c r="T1091" s="18">
        <f>IF($B$1090="","",SUMIF($H$7:$S$7,"&lt;="&amp;$C$4,$H1091:$S1091))</f>
        <v/>
      </c>
      <c r="U1091" s="18" t="n"/>
      <c r="V1091" s="18" t="n"/>
      <c r="X1091" s="22">
        <f>IF($B1091="","",IFERROR(INDEX(Cost_Centers!$E:$E,MATCH($B1091,Cost_Centers!$A:$A,0)),"(unknown)"))</f>
        <v/>
      </c>
      <c r="Y1091" s="22">
        <f>IF($B1091="","",IFERROR(INDEX(Cost_Centers!$D:$D,MATCH($B1091,Cost_Centers!$A:$A,0)),"(unknown)"))</f>
        <v/>
      </c>
      <c r="Z1091" s="22">
        <f>IF(OR($B1091="",$G1091&lt;&gt;"Variance vs Budget"),"",ABS(N($V1091))+ROW()/1000000000)</f>
        <v/>
      </c>
    </row>
    <row r="1092">
      <c r="A1092" s="13">
        <f>IF(A$1090="","",A$1090)</f>
        <v/>
      </c>
      <c r="B1092" s="13">
        <f>IF(B$1090="","",B$1090)</f>
        <v/>
      </c>
      <c r="C1092" s="13">
        <f>IF(C$1090="","",C$1090)</f>
        <v/>
      </c>
      <c r="D1092" s="13">
        <f>IF(D$1090="","",D$1090)</f>
        <v/>
      </c>
      <c r="E1092" s="13">
        <f>IF(E$1090="","",E$1090)</f>
        <v/>
      </c>
      <c r="F1092" s="13">
        <f>IF(F$1090="","",F$1090)</f>
        <v/>
      </c>
      <c r="G1092" s="6" t="inlineStr">
        <is>
          <t>Variance vs Budget</t>
        </is>
      </c>
      <c r="H1092" s="33">
        <f>IF(OR($B$1090="",1&gt;$C$4),"",N(H1091)-H1090)</f>
        <v/>
      </c>
      <c r="I1092" s="33">
        <f>IF(OR($B$1090="",2&gt;$C$4),"",N(I1091)-I1090)</f>
        <v/>
      </c>
      <c r="J1092" s="33">
        <f>IF(OR($B$1090="",3&gt;$C$4),"",N(J1091)-J1090)</f>
        <v/>
      </c>
      <c r="K1092" s="33">
        <f>IF(OR($B$1090="",4&gt;$C$4),"",N(K1091)-K1090)</f>
        <v/>
      </c>
      <c r="L1092" s="33">
        <f>IF(OR($B$1090="",5&gt;$C$4),"",N(L1091)-L1090)</f>
        <v/>
      </c>
      <c r="M1092" s="33">
        <f>IF(OR($B$1090="",6&gt;$C$4),"",N(M1091)-M1090)</f>
        <v/>
      </c>
      <c r="N1092" s="33">
        <f>IF(OR($B$1090="",7&gt;$C$4),"",N(N1091)-N1090)</f>
        <v/>
      </c>
      <c r="O1092" s="33">
        <f>IF(OR($B$1090="",8&gt;$C$4),"",N(O1091)-O1090)</f>
        <v/>
      </c>
      <c r="P1092" s="33">
        <f>IF(OR($B$1090="",9&gt;$C$4),"",N(P1091)-P1090)</f>
        <v/>
      </c>
      <c r="Q1092" s="33">
        <f>IF(OR($B$1090="",10&gt;$C$4),"",N(Q1091)-Q1090)</f>
        <v/>
      </c>
      <c r="R1092" s="33">
        <f>IF(OR($B$1090="",11&gt;$C$4),"",N(R1091)-R1090)</f>
        <v/>
      </c>
      <c r="S1092" s="33">
        <f>IF(OR($B$1090="",12&gt;$C$4),"",N(S1091)-S1090)</f>
        <v/>
      </c>
      <c r="T1092" s="33">
        <f>IF($B$1090="","",T1091-T1090)</f>
        <v/>
      </c>
      <c r="U1092" s="33">
        <f>IF($B$1090="","",U1094-U1090)</f>
        <v/>
      </c>
      <c r="V1092" s="33">
        <f>IF($B$1090="","",V1094-V1090)</f>
        <v/>
      </c>
      <c r="X1092" s="22">
        <f>IF($B1092="","",IFERROR(INDEX(Cost_Centers!$E:$E,MATCH($B1092,Cost_Centers!$A:$A,0)),"(unknown)"))</f>
        <v/>
      </c>
      <c r="Y1092" s="22">
        <f>IF($B1092="","",IFERROR(INDEX(Cost_Centers!$D:$D,MATCH($B1092,Cost_Centers!$A:$A,0)),"(unknown)"))</f>
        <v/>
      </c>
      <c r="Z1092" s="22">
        <f>IF(OR($B1092="",$G1092&lt;&gt;"Variance vs Budget"),"",ABS(N($V1092))+ROW()/1000000000)</f>
        <v/>
      </c>
    </row>
    <row r="1093">
      <c r="A1093" s="13">
        <f>IF(A$1090="","",A$1090)</f>
        <v/>
      </c>
      <c r="B1093" s="13">
        <f>IF(B$1090="","",B$1090)</f>
        <v/>
      </c>
      <c r="C1093" s="13">
        <f>IF(C$1090="","",C$1090)</f>
        <v/>
      </c>
      <c r="D1093" s="13">
        <f>IF(D$1090="","",D$1090)</f>
        <v/>
      </c>
      <c r="E1093" s="13">
        <f>IF(E$1090="","",E$1090)</f>
        <v/>
      </c>
      <c r="F1093" s="13">
        <f>IF(F$1090="","",F$1090)</f>
        <v/>
      </c>
      <c r="G1093" s="7" t="inlineStr">
        <is>
          <t>Forecast (input)</t>
        </is>
      </c>
      <c r="H1093" s="34" t="n"/>
      <c r="I1093" s="34" t="n"/>
      <c r="J1093" s="34" t="n"/>
      <c r="K1093" s="34" t="n"/>
      <c r="L1093" s="34" t="n"/>
      <c r="M1093" s="34" t="n"/>
      <c r="N1093" s="34" t="n"/>
      <c r="O1093" s="34" t="n"/>
      <c r="P1093" s="34" t="n"/>
      <c r="Q1093" s="34" t="n"/>
      <c r="R1093" s="34" t="n"/>
      <c r="S1093" s="34" t="n"/>
      <c r="T1093" s="18" t="n"/>
      <c r="U1093" s="18" t="n"/>
      <c r="V1093" s="18" t="n"/>
      <c r="X1093" s="22">
        <f>IF($B1093="","",IFERROR(INDEX(Cost_Centers!$E:$E,MATCH($B1093,Cost_Centers!$A:$A,0)),"(unknown)"))</f>
        <v/>
      </c>
      <c r="Y1093" s="22">
        <f>IF($B1093="","",IFERROR(INDEX(Cost_Centers!$D:$D,MATCH($B1093,Cost_Centers!$A:$A,0)),"(unknown)"))</f>
        <v/>
      </c>
      <c r="Z1093" s="22">
        <f>IF(OR($B1093="",$G1093&lt;&gt;"Variance vs Budget"),"",ABS(N($V1093))+ROW()/1000000000)</f>
        <v/>
      </c>
    </row>
    <row r="1094">
      <c r="A1094" s="13">
        <f>IF(A$1090="","",A$1090)</f>
        <v/>
      </c>
      <c r="B1094" s="13">
        <f>IF(B$1090="","",B$1090)</f>
        <v/>
      </c>
      <c r="C1094" s="13">
        <f>IF(C$1090="","",C$1090)</f>
        <v/>
      </c>
      <c r="D1094" s="13">
        <f>IF(D$1090="","",D$1090)</f>
        <v/>
      </c>
      <c r="E1094" s="13">
        <f>IF(E$1090="","",E$1090)</f>
        <v/>
      </c>
      <c r="F1094" s="13">
        <f>IF(F$1090="","",F$1090)</f>
        <v/>
      </c>
      <c r="G1094" s="35" t="inlineStr">
        <is>
          <t>Actual + Forecast</t>
        </is>
      </c>
      <c r="H1094" s="18">
        <f>IF($B$1090="","",IF(1&lt;=$C$4,N(H1091),IF(H1093="",H1090,H1093)))</f>
        <v/>
      </c>
      <c r="I1094" s="18">
        <f>IF($B$1090="","",IF(2&lt;=$C$4,N(I1091),IF(I1093="",I1090,I1093)))</f>
        <v/>
      </c>
      <c r="J1094" s="18">
        <f>IF($B$1090="","",IF(3&lt;=$C$4,N(J1091),IF(J1093="",J1090,J1093)))</f>
        <v/>
      </c>
      <c r="K1094" s="18">
        <f>IF($B$1090="","",IF(4&lt;=$C$4,N(K1091),IF(K1093="",K1090,K1093)))</f>
        <v/>
      </c>
      <c r="L1094" s="18">
        <f>IF($B$1090="","",IF(5&lt;=$C$4,N(L1091),IF(L1093="",L1090,L1093)))</f>
        <v/>
      </c>
      <c r="M1094" s="18">
        <f>IF($B$1090="","",IF(6&lt;=$C$4,N(M1091),IF(M1093="",M1090,M1093)))</f>
        <v/>
      </c>
      <c r="N1094" s="18">
        <f>IF($B$1090="","",IF(7&lt;=$C$4,N(N1091),IF(N1093="",N1090,N1093)))</f>
        <v/>
      </c>
      <c r="O1094" s="18">
        <f>IF($B$1090="","",IF(8&lt;=$C$4,N(O1091),IF(O1093="",O1090,O1093)))</f>
        <v/>
      </c>
      <c r="P1094" s="18">
        <f>IF($B$1090="","",IF(9&lt;=$C$4,N(P1091),IF(P1093="",P1090,P1093)))</f>
        <v/>
      </c>
      <c r="Q1094" s="18">
        <f>IF($B$1090="","",IF(10&lt;=$C$4,N(Q1091),IF(Q1093="",Q1090,Q1093)))</f>
        <v/>
      </c>
      <c r="R1094" s="18">
        <f>IF($B$1090="","",IF(11&lt;=$C$4,N(R1091),IF(R1093="",R1090,R1093)))</f>
        <v/>
      </c>
      <c r="S1094" s="18">
        <f>IF($B$1090="","",IF(12&lt;=$C$4,N(S1091),IF(S1093="",S1090,S1093)))</f>
        <v/>
      </c>
      <c r="T1094" s="18">
        <f>IF($B$1090="","",SUMIF($H$7:$S$7,"&lt;="&amp;$C$4,$H1094:$S1094))</f>
        <v/>
      </c>
      <c r="U1094" s="18">
        <f>IF($B$1090="","",SUMIF($H$7:$S$7,"&gt;"&amp;$C$4,$H1094:$S1094))</f>
        <v/>
      </c>
      <c r="V1094" s="18">
        <f>IF($B$1090="","",SUM($H1094:$S1094))</f>
        <v/>
      </c>
      <c r="X1094" s="22">
        <f>IF($B1094="","",IFERROR(INDEX(Cost_Centers!$E:$E,MATCH($B1094,Cost_Centers!$A:$A,0)),"(unknown)"))</f>
        <v/>
      </c>
      <c r="Y1094" s="22">
        <f>IF($B1094="","",IFERROR(INDEX(Cost_Centers!$D:$D,MATCH($B1094,Cost_Centers!$A:$A,0)),"(unknown)"))</f>
        <v/>
      </c>
      <c r="Z1094" s="22">
        <f>IF(OR($B1094="",$G1094&lt;&gt;"Variance vs Budget"),"",ABS(N($V1094))+ROW()/1000000000)</f>
        <v/>
      </c>
    </row>
    <row r="1095">
      <c r="A1095" s="13">
        <f>IF(A$1090="","",A$1090)</f>
        <v/>
      </c>
      <c r="B1095" s="13">
        <f>IF(B$1090="","",B$1090)</f>
        <v/>
      </c>
      <c r="C1095" s="13">
        <f>IF(C$1090="","",C$1090)</f>
        <v/>
      </c>
      <c r="D1095" s="13">
        <f>IF(D$1090="","",D$1090)</f>
        <v/>
      </c>
      <c r="E1095" s="13">
        <f>IF(E$1090="","",E$1090)</f>
        <v/>
      </c>
      <c r="F1095" s="13">
        <f>IF(F$1090="","",F$1090)</f>
        <v/>
      </c>
      <c r="G1095" s="36" t="inlineStr">
        <is>
          <t>Prior Month Forecast</t>
        </is>
      </c>
      <c r="H1095" s="37">
        <f>IF($B$1090="","",IF(COUNTIFS(Prior_Forecast!$A:$A,$B$1090,Prior_Forecast!$B:$B,$D$1090)&gt;0,SUMIFS(Prior_Forecast!$C:$C,Prior_Forecast!$A:$A,$B$1090,Prior_Forecast!$B:$B,$D$1090),""))</f>
        <v/>
      </c>
      <c r="I1095" s="37">
        <f>IF($B$1090="","",IF(COUNTIFS(Prior_Forecast!$A:$A,$B$1090,Prior_Forecast!$B:$B,$D$1090)&gt;0,SUMIFS(Prior_Forecast!$D:$D,Prior_Forecast!$A:$A,$B$1090,Prior_Forecast!$B:$B,$D$1090),""))</f>
        <v/>
      </c>
      <c r="J1095" s="37">
        <f>IF($B$1090="","",IF(COUNTIFS(Prior_Forecast!$A:$A,$B$1090,Prior_Forecast!$B:$B,$D$1090)&gt;0,SUMIFS(Prior_Forecast!$E:$E,Prior_Forecast!$A:$A,$B$1090,Prior_Forecast!$B:$B,$D$1090),""))</f>
        <v/>
      </c>
      <c r="K1095" s="37">
        <f>IF($B$1090="","",IF(COUNTIFS(Prior_Forecast!$A:$A,$B$1090,Prior_Forecast!$B:$B,$D$1090)&gt;0,SUMIFS(Prior_Forecast!$F:$F,Prior_Forecast!$A:$A,$B$1090,Prior_Forecast!$B:$B,$D$1090),""))</f>
        <v/>
      </c>
      <c r="L1095" s="37">
        <f>IF($B$1090="","",IF(COUNTIFS(Prior_Forecast!$A:$A,$B$1090,Prior_Forecast!$B:$B,$D$1090)&gt;0,SUMIFS(Prior_Forecast!$G:$G,Prior_Forecast!$A:$A,$B$1090,Prior_Forecast!$B:$B,$D$1090),""))</f>
        <v/>
      </c>
      <c r="M1095" s="37">
        <f>IF($B$1090="","",IF(COUNTIFS(Prior_Forecast!$A:$A,$B$1090,Prior_Forecast!$B:$B,$D$1090)&gt;0,SUMIFS(Prior_Forecast!$H:$H,Prior_Forecast!$A:$A,$B$1090,Prior_Forecast!$B:$B,$D$1090),""))</f>
        <v/>
      </c>
      <c r="N1095" s="37">
        <f>IF($B$1090="","",IF(COUNTIFS(Prior_Forecast!$A:$A,$B$1090,Prior_Forecast!$B:$B,$D$1090)&gt;0,SUMIFS(Prior_Forecast!$I:$I,Prior_Forecast!$A:$A,$B$1090,Prior_Forecast!$B:$B,$D$1090),""))</f>
        <v/>
      </c>
      <c r="O1095" s="37">
        <f>IF($B$1090="","",IF(COUNTIFS(Prior_Forecast!$A:$A,$B$1090,Prior_Forecast!$B:$B,$D$1090)&gt;0,SUMIFS(Prior_Forecast!$J:$J,Prior_Forecast!$A:$A,$B$1090,Prior_Forecast!$B:$B,$D$1090),""))</f>
        <v/>
      </c>
      <c r="P1095" s="37">
        <f>IF($B$1090="","",IF(COUNTIFS(Prior_Forecast!$A:$A,$B$1090,Prior_Forecast!$B:$B,$D$1090)&gt;0,SUMIFS(Prior_Forecast!$K:$K,Prior_Forecast!$A:$A,$B$1090,Prior_Forecast!$B:$B,$D$1090),""))</f>
        <v/>
      </c>
      <c r="Q1095" s="37">
        <f>IF($B$1090="","",IF(COUNTIFS(Prior_Forecast!$A:$A,$B$1090,Prior_Forecast!$B:$B,$D$1090)&gt;0,SUMIFS(Prior_Forecast!$L:$L,Prior_Forecast!$A:$A,$B$1090,Prior_Forecast!$B:$B,$D$1090),""))</f>
        <v/>
      </c>
      <c r="R1095" s="37">
        <f>IF($B$1090="","",IF(COUNTIFS(Prior_Forecast!$A:$A,$B$1090,Prior_Forecast!$B:$B,$D$1090)&gt;0,SUMIFS(Prior_Forecast!$M:$M,Prior_Forecast!$A:$A,$B$1090,Prior_Forecast!$B:$B,$D$1090),""))</f>
        <v/>
      </c>
      <c r="S1095" s="37">
        <f>IF($B$1090="","",IF(COUNTIFS(Prior_Forecast!$A:$A,$B$1090,Prior_Forecast!$B:$B,$D$1090)&gt;0,SUMIFS(Prior_Forecast!$N:$N,Prior_Forecast!$A:$A,$B$1090,Prior_Forecast!$B:$B,$D$1090),""))</f>
        <v/>
      </c>
      <c r="T1095" s="37">
        <f>IF($B$1090="","",IF(COUNTIFS(Prior_Forecast!$A:$A,$B$1090,Prior_Forecast!$B:$B,$D$1090)&gt;0,SUMIFS(Prior_Forecast!$O:$O,Prior_Forecast!$A:$A,$B$1090,Prior_Forecast!$B:$B,$D$1090),""))</f>
        <v/>
      </c>
      <c r="U1095" s="37">
        <f>IF($B$1090="","",IF(COUNTIFS(Prior_Forecast!$A:$A,$B$1090,Prior_Forecast!$B:$B,$D$1090)&gt;0,SUMIFS(Prior_Forecast!$P:$P,Prior_Forecast!$A:$A,$B$1090,Prior_Forecast!$B:$B,$D$1090),""))</f>
        <v/>
      </c>
      <c r="V1095" s="37">
        <f>IF($B$1090="","",IF(COUNTIFS(Prior_Forecast!$A:$A,$B$1090,Prior_Forecast!$B:$B,$D$1090)&gt;0,SUMIFS(Prior_Forecast!$Q:$Q,Prior_Forecast!$A:$A,$B$1090,Prior_Forecast!$B:$B,$D$1090),""))</f>
        <v/>
      </c>
      <c r="X1095" s="22">
        <f>IF($B1095="","",IFERROR(INDEX(Cost_Centers!$E:$E,MATCH($B1095,Cost_Centers!$A:$A,0)),"(unknown)"))</f>
        <v/>
      </c>
      <c r="Y1095" s="22">
        <f>IF($B1095="","",IFERROR(INDEX(Cost_Centers!$D:$D,MATCH($B1095,Cost_Centers!$A:$A,0)),"(unknown)"))</f>
        <v/>
      </c>
      <c r="Z1095" s="22">
        <f>IF(OR($B1095="",$G1095&lt;&gt;"Variance vs Budget"),"",ABS(N($V1095))+ROW()/1000000000)</f>
        <v/>
      </c>
    </row>
    <row r="1096">
      <c r="A1096" s="13">
        <f>IF(A$1090="","",A$1090)</f>
        <v/>
      </c>
      <c r="B1096" s="13">
        <f>IF(B$1090="","",B$1090)</f>
        <v/>
      </c>
      <c r="C1096" s="13">
        <f>IF(C$1090="","",C$1090)</f>
        <v/>
      </c>
      <c r="D1096" s="13">
        <f>IF(D$1090="","",D$1090)</f>
        <v/>
      </c>
      <c r="E1096" s="13">
        <f>IF(E$1090="","",E$1090)</f>
        <v/>
      </c>
      <c r="F1096" s="13">
        <f>IF(F$1090="","",F$1090)</f>
        <v/>
      </c>
      <c r="G1096" s="6" t="inlineStr">
        <is>
          <t>Variance vs Prior Month</t>
        </is>
      </c>
      <c r="H1096" s="33">
        <f>IF(OR($B$1090="",H1095=""),"",H1094-H1095)</f>
        <v/>
      </c>
      <c r="I1096" s="33">
        <f>IF(OR($B$1090="",I1095=""),"",I1094-I1095)</f>
        <v/>
      </c>
      <c r="J1096" s="33">
        <f>IF(OR($B$1090="",J1095=""),"",J1094-J1095)</f>
        <v/>
      </c>
      <c r="K1096" s="33">
        <f>IF(OR($B$1090="",K1095=""),"",K1094-K1095)</f>
        <v/>
      </c>
      <c r="L1096" s="33">
        <f>IF(OR($B$1090="",L1095=""),"",L1094-L1095)</f>
        <v/>
      </c>
      <c r="M1096" s="33">
        <f>IF(OR($B$1090="",M1095=""),"",M1094-M1095)</f>
        <v/>
      </c>
      <c r="N1096" s="33">
        <f>IF(OR($B$1090="",N1095=""),"",N1094-N1095)</f>
        <v/>
      </c>
      <c r="O1096" s="33">
        <f>IF(OR($B$1090="",O1095=""),"",O1094-O1095)</f>
        <v/>
      </c>
      <c r="P1096" s="33">
        <f>IF(OR($B$1090="",P1095=""),"",P1094-P1095)</f>
        <v/>
      </c>
      <c r="Q1096" s="33">
        <f>IF(OR($B$1090="",Q1095=""),"",Q1094-Q1095)</f>
        <v/>
      </c>
      <c r="R1096" s="33">
        <f>IF(OR($B$1090="",R1095=""),"",R1094-R1095)</f>
        <v/>
      </c>
      <c r="S1096" s="33">
        <f>IF(OR($B$1090="",S1095=""),"",S1094-S1095)</f>
        <v/>
      </c>
      <c r="T1096" s="33">
        <f>IF(OR($B$1090="",T1095=""),"",T1094-T1095)</f>
        <v/>
      </c>
      <c r="U1096" s="33">
        <f>IF(OR($B$1090="",U1095=""),"",U1094-U1095)</f>
        <v/>
      </c>
      <c r="V1096" s="33">
        <f>IF(OR($B$1090="",V1095=""),"",V1094-V1095)</f>
        <v/>
      </c>
      <c r="X1096" s="22">
        <f>IF($B1096="","",IFERROR(INDEX(Cost_Centers!$E:$E,MATCH($B1096,Cost_Centers!$A:$A,0)),"(unknown)"))</f>
        <v/>
      </c>
      <c r="Y1096" s="22">
        <f>IF($B1096="","",IFERROR(INDEX(Cost_Centers!$D:$D,MATCH($B1096,Cost_Centers!$A:$A,0)),"(unknown)"))</f>
        <v/>
      </c>
      <c r="Z1096" s="22">
        <f>IF(OR($B1096="",$G1096&lt;&gt;"Variance vs Budget"),"",ABS(N($V1096))+ROW()/1000000000)</f>
        <v/>
      </c>
    </row>
    <row r="1097" ht="45" customHeight="1">
      <c r="A1097" s="13">
        <f>IF(A$1090="","",A$1090)</f>
        <v/>
      </c>
      <c r="B1097" s="13">
        <f>IF(B$1090="","",B$1090)</f>
        <v/>
      </c>
      <c r="C1097" s="13">
        <f>IF(C$1090="","",C$1090)</f>
        <v/>
      </c>
      <c r="D1097" s="13">
        <f>IF(D$1090="","",D$1090)</f>
        <v/>
      </c>
      <c r="E1097" s="13">
        <f>IF(E$1090="","",E$1090)</f>
        <v/>
      </c>
      <c r="F1097" s="13">
        <f>IF(F$1090="","",F$1090)</f>
        <v/>
      </c>
      <c r="G1097" s="7" t="inlineStr">
        <is>
          <t>Rationale</t>
        </is>
      </c>
      <c r="H1097" s="38" t="n"/>
      <c r="I1097" s="38" t="n"/>
      <c r="J1097" s="38" t="n"/>
      <c r="K1097" s="38" t="n"/>
      <c r="L1097" s="38" t="n"/>
      <c r="M1097" s="38" t="n"/>
      <c r="N1097" s="38" t="n"/>
      <c r="O1097" s="38" t="n"/>
      <c r="P1097" s="38" t="n"/>
      <c r="Q1097" s="38" t="n"/>
      <c r="R1097" s="38" t="n"/>
      <c r="S1097" s="38" t="n"/>
      <c r="T1097" s="38" t="n"/>
      <c r="U1097" s="38" t="n"/>
      <c r="V1097" s="7" t="n"/>
      <c r="X1097" s="22">
        <f>IF($B1097="","",IFERROR(INDEX(Cost_Centers!$E:$E,MATCH($B1097,Cost_Centers!$A:$A,0)),"(unknown)"))</f>
        <v/>
      </c>
      <c r="Y1097" s="22">
        <f>IF($B1097="","",IFERROR(INDEX(Cost_Centers!$D:$D,MATCH($B1097,Cost_Centers!$A:$A,0)),"(unknown)"))</f>
        <v/>
      </c>
      <c r="Z1097" s="22">
        <f>IF(OR($B1097="",$G1097&lt;&gt;"Variance vs Budget"),"",ABS(N($V1097))+ROW()/1000000000)</f>
        <v/>
      </c>
    </row>
    <row r="1098">
      <c r="A1098" s="30">
        <f>IF($D$1098="","",LEFT($D$1098,FIND("|",$D$1098&amp;"|")-1))</f>
        <v/>
      </c>
      <c r="B1098" s="31" t="n"/>
      <c r="C1098" s="30">
        <f>IF($B$1098="","",IFERROR(INDEX(Cost_Centers!$B:$B,MATCH($B$1098,Cost_Centers!$A:$A,0)),"(not in master)"))</f>
        <v/>
      </c>
      <c r="D1098" s="31" t="n"/>
      <c r="E1098" s="30">
        <f>IF($D$1098="","",IFERROR(INDEX(Accounts!$D:$D,MATCH($D$1098,Accounts!$A:$A,0)),"(not in master)"))</f>
        <v/>
      </c>
      <c r="F1098" s="31" t="n"/>
      <c r="G1098" s="30" t="inlineStr">
        <is>
          <t>Budget</t>
        </is>
      </c>
      <c r="H1098" s="32">
        <f>IF($B$1098="","",SUMIFS(Opex_Budget!$O:$O,Opex_Budget!$A:$A,$C$3,Opex_Budget!$E:$E,$B$1098,Opex_Budget!$F:$F,$D$1098,Opex_Budget!$N:$N,"JPY")*$E$5+SUMIFS(Opex_Budget!$O:$O,Opex_Budget!$A:$A,$C$3,Opex_Budget!$E:$E,$B$1098,Opex_Budget!$F:$F,$D$1098,Opex_Budget!$N:$N,"USD")*$F$5+SUMIFS(Opex_Budget!$O:$O,Opex_Budget!$A:$A,$C$3,Opex_Budget!$E:$E,$B$1098,Opex_Budget!$F:$F,$D$1098,Opex_Budget!$N:$N,"EUR")*$G$5+SUMIFS(Opex_Budget!$O:$O,Opex_Budget!$A:$A,$C$3,Opex_Budget!$E:$E,$B$1098,Opex_Budget!$F:$F,$D$1098,Opex_Budget!$N:$N,"GBP")*$H$5)</f>
        <v/>
      </c>
      <c r="I1098" s="32">
        <f>IF($B$1098="","",SUMIFS(Opex_Budget!$P:$P,Opex_Budget!$A:$A,$C$3,Opex_Budget!$E:$E,$B$1098,Opex_Budget!$F:$F,$D$1098,Opex_Budget!$N:$N,"JPY")*$E$5+SUMIFS(Opex_Budget!$P:$P,Opex_Budget!$A:$A,$C$3,Opex_Budget!$E:$E,$B$1098,Opex_Budget!$F:$F,$D$1098,Opex_Budget!$N:$N,"USD")*$F$5+SUMIFS(Opex_Budget!$P:$P,Opex_Budget!$A:$A,$C$3,Opex_Budget!$E:$E,$B$1098,Opex_Budget!$F:$F,$D$1098,Opex_Budget!$N:$N,"EUR")*$G$5+SUMIFS(Opex_Budget!$P:$P,Opex_Budget!$A:$A,$C$3,Opex_Budget!$E:$E,$B$1098,Opex_Budget!$F:$F,$D$1098,Opex_Budget!$N:$N,"GBP")*$H$5)</f>
        <v/>
      </c>
      <c r="J1098" s="32">
        <f>IF($B$1098="","",SUMIFS(Opex_Budget!$Q:$Q,Opex_Budget!$A:$A,$C$3,Opex_Budget!$E:$E,$B$1098,Opex_Budget!$F:$F,$D$1098,Opex_Budget!$N:$N,"JPY")*$E$5+SUMIFS(Opex_Budget!$Q:$Q,Opex_Budget!$A:$A,$C$3,Opex_Budget!$E:$E,$B$1098,Opex_Budget!$F:$F,$D$1098,Opex_Budget!$N:$N,"USD")*$F$5+SUMIFS(Opex_Budget!$Q:$Q,Opex_Budget!$A:$A,$C$3,Opex_Budget!$E:$E,$B$1098,Opex_Budget!$F:$F,$D$1098,Opex_Budget!$N:$N,"EUR")*$G$5+SUMIFS(Opex_Budget!$Q:$Q,Opex_Budget!$A:$A,$C$3,Opex_Budget!$E:$E,$B$1098,Opex_Budget!$F:$F,$D$1098,Opex_Budget!$N:$N,"GBP")*$H$5)</f>
        <v/>
      </c>
      <c r="K1098" s="32">
        <f>IF($B$1098="","",SUMIFS(Opex_Budget!$R:$R,Opex_Budget!$A:$A,$C$3,Opex_Budget!$E:$E,$B$1098,Opex_Budget!$F:$F,$D$1098,Opex_Budget!$N:$N,"JPY")*$E$5+SUMIFS(Opex_Budget!$R:$R,Opex_Budget!$A:$A,$C$3,Opex_Budget!$E:$E,$B$1098,Opex_Budget!$F:$F,$D$1098,Opex_Budget!$N:$N,"USD")*$F$5+SUMIFS(Opex_Budget!$R:$R,Opex_Budget!$A:$A,$C$3,Opex_Budget!$E:$E,$B$1098,Opex_Budget!$F:$F,$D$1098,Opex_Budget!$N:$N,"EUR")*$G$5+SUMIFS(Opex_Budget!$R:$R,Opex_Budget!$A:$A,$C$3,Opex_Budget!$E:$E,$B$1098,Opex_Budget!$F:$F,$D$1098,Opex_Budget!$N:$N,"GBP")*$H$5)</f>
        <v/>
      </c>
      <c r="L1098" s="32">
        <f>IF($B$1098="","",SUMIFS(Opex_Budget!$S:$S,Opex_Budget!$A:$A,$C$3,Opex_Budget!$E:$E,$B$1098,Opex_Budget!$F:$F,$D$1098,Opex_Budget!$N:$N,"JPY")*$E$5+SUMIFS(Opex_Budget!$S:$S,Opex_Budget!$A:$A,$C$3,Opex_Budget!$E:$E,$B$1098,Opex_Budget!$F:$F,$D$1098,Opex_Budget!$N:$N,"USD")*$F$5+SUMIFS(Opex_Budget!$S:$S,Opex_Budget!$A:$A,$C$3,Opex_Budget!$E:$E,$B$1098,Opex_Budget!$F:$F,$D$1098,Opex_Budget!$N:$N,"EUR")*$G$5+SUMIFS(Opex_Budget!$S:$S,Opex_Budget!$A:$A,$C$3,Opex_Budget!$E:$E,$B$1098,Opex_Budget!$F:$F,$D$1098,Opex_Budget!$N:$N,"GBP")*$H$5)</f>
        <v/>
      </c>
      <c r="M1098" s="32">
        <f>IF($B$1098="","",SUMIFS(Opex_Budget!$T:$T,Opex_Budget!$A:$A,$C$3,Opex_Budget!$E:$E,$B$1098,Opex_Budget!$F:$F,$D$1098,Opex_Budget!$N:$N,"JPY")*$E$5+SUMIFS(Opex_Budget!$T:$T,Opex_Budget!$A:$A,$C$3,Opex_Budget!$E:$E,$B$1098,Opex_Budget!$F:$F,$D$1098,Opex_Budget!$N:$N,"USD")*$F$5+SUMIFS(Opex_Budget!$T:$T,Opex_Budget!$A:$A,$C$3,Opex_Budget!$E:$E,$B$1098,Opex_Budget!$F:$F,$D$1098,Opex_Budget!$N:$N,"EUR")*$G$5+SUMIFS(Opex_Budget!$T:$T,Opex_Budget!$A:$A,$C$3,Opex_Budget!$E:$E,$B$1098,Opex_Budget!$F:$F,$D$1098,Opex_Budget!$N:$N,"GBP")*$H$5)</f>
        <v/>
      </c>
      <c r="N1098" s="32">
        <f>IF($B$1098="","",SUMIFS(Opex_Budget!$U:$U,Opex_Budget!$A:$A,$C$3,Opex_Budget!$E:$E,$B$1098,Opex_Budget!$F:$F,$D$1098,Opex_Budget!$N:$N,"JPY")*$E$5+SUMIFS(Opex_Budget!$U:$U,Opex_Budget!$A:$A,$C$3,Opex_Budget!$E:$E,$B$1098,Opex_Budget!$F:$F,$D$1098,Opex_Budget!$N:$N,"USD")*$F$5+SUMIFS(Opex_Budget!$U:$U,Opex_Budget!$A:$A,$C$3,Opex_Budget!$E:$E,$B$1098,Opex_Budget!$F:$F,$D$1098,Opex_Budget!$N:$N,"EUR")*$G$5+SUMIFS(Opex_Budget!$U:$U,Opex_Budget!$A:$A,$C$3,Opex_Budget!$E:$E,$B$1098,Opex_Budget!$F:$F,$D$1098,Opex_Budget!$N:$N,"GBP")*$H$5)</f>
        <v/>
      </c>
      <c r="O1098" s="32">
        <f>IF($B$1098="","",SUMIFS(Opex_Budget!$V:$V,Opex_Budget!$A:$A,$C$3,Opex_Budget!$E:$E,$B$1098,Opex_Budget!$F:$F,$D$1098,Opex_Budget!$N:$N,"JPY")*$E$5+SUMIFS(Opex_Budget!$V:$V,Opex_Budget!$A:$A,$C$3,Opex_Budget!$E:$E,$B$1098,Opex_Budget!$F:$F,$D$1098,Opex_Budget!$N:$N,"USD")*$F$5+SUMIFS(Opex_Budget!$V:$V,Opex_Budget!$A:$A,$C$3,Opex_Budget!$E:$E,$B$1098,Opex_Budget!$F:$F,$D$1098,Opex_Budget!$N:$N,"EUR")*$G$5+SUMIFS(Opex_Budget!$V:$V,Opex_Budget!$A:$A,$C$3,Opex_Budget!$E:$E,$B$1098,Opex_Budget!$F:$F,$D$1098,Opex_Budget!$N:$N,"GBP")*$H$5)</f>
        <v/>
      </c>
      <c r="P1098" s="32">
        <f>IF($B$1098="","",SUMIFS(Opex_Budget!$W:$W,Opex_Budget!$A:$A,$C$3,Opex_Budget!$E:$E,$B$1098,Opex_Budget!$F:$F,$D$1098,Opex_Budget!$N:$N,"JPY")*$E$5+SUMIFS(Opex_Budget!$W:$W,Opex_Budget!$A:$A,$C$3,Opex_Budget!$E:$E,$B$1098,Opex_Budget!$F:$F,$D$1098,Opex_Budget!$N:$N,"USD")*$F$5+SUMIFS(Opex_Budget!$W:$W,Opex_Budget!$A:$A,$C$3,Opex_Budget!$E:$E,$B$1098,Opex_Budget!$F:$F,$D$1098,Opex_Budget!$N:$N,"EUR")*$G$5+SUMIFS(Opex_Budget!$W:$W,Opex_Budget!$A:$A,$C$3,Opex_Budget!$E:$E,$B$1098,Opex_Budget!$F:$F,$D$1098,Opex_Budget!$N:$N,"GBP")*$H$5)</f>
        <v/>
      </c>
      <c r="Q1098" s="32">
        <f>IF($B$1098="","",SUMIFS(Opex_Budget!$X:$X,Opex_Budget!$A:$A,$C$3,Opex_Budget!$E:$E,$B$1098,Opex_Budget!$F:$F,$D$1098,Opex_Budget!$N:$N,"JPY")*$E$5+SUMIFS(Opex_Budget!$X:$X,Opex_Budget!$A:$A,$C$3,Opex_Budget!$E:$E,$B$1098,Opex_Budget!$F:$F,$D$1098,Opex_Budget!$N:$N,"USD")*$F$5+SUMIFS(Opex_Budget!$X:$X,Opex_Budget!$A:$A,$C$3,Opex_Budget!$E:$E,$B$1098,Opex_Budget!$F:$F,$D$1098,Opex_Budget!$N:$N,"EUR")*$G$5+SUMIFS(Opex_Budget!$X:$X,Opex_Budget!$A:$A,$C$3,Opex_Budget!$E:$E,$B$1098,Opex_Budget!$F:$F,$D$1098,Opex_Budget!$N:$N,"GBP")*$H$5)</f>
        <v/>
      </c>
      <c r="R1098" s="32">
        <f>IF($B$1098="","",SUMIFS(Opex_Budget!$Y:$Y,Opex_Budget!$A:$A,$C$3,Opex_Budget!$E:$E,$B$1098,Opex_Budget!$F:$F,$D$1098,Opex_Budget!$N:$N,"JPY")*$E$5+SUMIFS(Opex_Budget!$Y:$Y,Opex_Budget!$A:$A,$C$3,Opex_Budget!$E:$E,$B$1098,Opex_Budget!$F:$F,$D$1098,Opex_Budget!$N:$N,"USD")*$F$5+SUMIFS(Opex_Budget!$Y:$Y,Opex_Budget!$A:$A,$C$3,Opex_Budget!$E:$E,$B$1098,Opex_Budget!$F:$F,$D$1098,Opex_Budget!$N:$N,"EUR")*$G$5+SUMIFS(Opex_Budget!$Y:$Y,Opex_Budget!$A:$A,$C$3,Opex_Budget!$E:$E,$B$1098,Opex_Budget!$F:$F,$D$1098,Opex_Budget!$N:$N,"GBP")*$H$5)</f>
        <v/>
      </c>
      <c r="S1098" s="32">
        <f>IF($B$1098="","",SUMIFS(Opex_Budget!$Z:$Z,Opex_Budget!$A:$A,$C$3,Opex_Budget!$E:$E,$B$1098,Opex_Budget!$F:$F,$D$1098,Opex_Budget!$N:$N,"JPY")*$E$5+SUMIFS(Opex_Budget!$Z:$Z,Opex_Budget!$A:$A,$C$3,Opex_Budget!$E:$E,$B$1098,Opex_Budget!$F:$F,$D$1098,Opex_Budget!$N:$N,"USD")*$F$5+SUMIFS(Opex_Budget!$Z:$Z,Opex_Budget!$A:$A,$C$3,Opex_Budget!$E:$E,$B$1098,Opex_Budget!$F:$F,$D$1098,Opex_Budget!$N:$N,"EUR")*$G$5+SUMIFS(Opex_Budget!$Z:$Z,Opex_Budget!$A:$A,$C$3,Opex_Budget!$E:$E,$B$1098,Opex_Budget!$F:$F,$D$1098,Opex_Budget!$N:$N,"GBP")*$H$5)</f>
        <v/>
      </c>
      <c r="T1098" s="32">
        <f>IF($B$1098="","",SUMIF($H$7:$S$7,"&lt;="&amp;$C$4,$H1098:$S1098))</f>
        <v/>
      </c>
      <c r="U1098" s="32">
        <f>IF($B$1098="","",SUMIF($H$7:$S$7,"&gt;"&amp;$C$4,$H1098:$S1098))</f>
        <v/>
      </c>
      <c r="V1098" s="32">
        <f>IF($B$1098="","",SUM($H1098:$S1098))</f>
        <v/>
      </c>
      <c r="X1098" s="22">
        <f>IF($B1098="","",IFERROR(INDEX(Cost_Centers!$E:$E,MATCH($B1098,Cost_Centers!$A:$A,0)),"(unknown)"))</f>
        <v/>
      </c>
      <c r="Y1098" s="22">
        <f>IF($B1098="","",IFERROR(INDEX(Cost_Centers!$D:$D,MATCH($B1098,Cost_Centers!$A:$A,0)),"(unknown)"))</f>
        <v/>
      </c>
      <c r="Z1098" s="22">
        <f>IF(OR($B1098="",$G1098&lt;&gt;"Variance vs Budget"),"",ABS(N($V1098))+ROW()/1000000000)</f>
        <v/>
      </c>
    </row>
    <row r="1099">
      <c r="A1099" s="13">
        <f>IF(A$1098="","",A$1098)</f>
        <v/>
      </c>
      <c r="B1099" s="13">
        <f>IF(B$1098="","",B$1098)</f>
        <v/>
      </c>
      <c r="C1099" s="13">
        <f>IF(C$1098="","",C$1098)</f>
        <v/>
      </c>
      <c r="D1099" s="13">
        <f>IF(D$1098="","",D$1098)</f>
        <v/>
      </c>
      <c r="E1099" s="13">
        <f>IF(E$1098="","",E$1098)</f>
        <v/>
      </c>
      <c r="F1099" s="13">
        <f>IF(F$1098="","",F$1098)</f>
        <v/>
      </c>
      <c r="G1099" s="7" t="inlineStr">
        <is>
          <t>Actual</t>
        </is>
      </c>
      <c r="H1099" s="18">
        <f>IF(OR($B$1098="",1&gt;$C$4),"",SUMIFS(Actuals!$G:$G,Actuals!$B:$B,$C$3,Actuals!$C:$C,1,Actuals!$D:$D,$B$1098,Actuals!$A:$A,LEFT($D$1098,FIND("|",$D$1098&amp;"|")-1),Actuals!$E:$E,MID($D$1098,FIND("|",$D$1098&amp;"|")+1,50),Actuals!$F:$F,"JPY")*$E$5+SUMIFS(Actuals!$G:$G,Actuals!$B:$B,$C$3,Actuals!$C:$C,1,Actuals!$D:$D,$B$1098,Actuals!$A:$A,LEFT($D$1098,FIND("|",$D$1098&amp;"|")-1),Actuals!$E:$E,MID($D$1098,FIND("|",$D$1098&amp;"|")+1,50),Actuals!$F:$F,"USD")*$F$5+SUMIFS(Actuals!$G:$G,Actuals!$B:$B,$C$3,Actuals!$C:$C,1,Actuals!$D:$D,$B$1098,Actuals!$A:$A,LEFT($D$1098,FIND("|",$D$1098&amp;"|")-1),Actuals!$E:$E,MID($D$1098,FIND("|",$D$1098&amp;"|")+1,50),Actuals!$F:$F,"EUR")*$G$5+SUMIFS(Actuals!$G:$G,Actuals!$B:$B,$C$3,Actuals!$C:$C,1,Actuals!$D:$D,$B$1098,Actuals!$A:$A,LEFT($D$1098,FIND("|",$D$1098&amp;"|")-1),Actuals!$E:$E,MID($D$1098,FIND("|",$D$1098&amp;"|")+1,50),Actuals!$F:$F,"GBP")*$H$5)</f>
        <v/>
      </c>
      <c r="I1099" s="18">
        <f>IF(OR($B$1098="",2&gt;$C$4),"",SUMIFS(Actuals!$G:$G,Actuals!$B:$B,$C$3,Actuals!$C:$C,2,Actuals!$D:$D,$B$1098,Actuals!$A:$A,LEFT($D$1098,FIND("|",$D$1098&amp;"|")-1),Actuals!$E:$E,MID($D$1098,FIND("|",$D$1098&amp;"|")+1,50),Actuals!$F:$F,"JPY")*$E$5+SUMIFS(Actuals!$G:$G,Actuals!$B:$B,$C$3,Actuals!$C:$C,2,Actuals!$D:$D,$B$1098,Actuals!$A:$A,LEFT($D$1098,FIND("|",$D$1098&amp;"|")-1),Actuals!$E:$E,MID($D$1098,FIND("|",$D$1098&amp;"|")+1,50),Actuals!$F:$F,"USD")*$F$5+SUMIFS(Actuals!$G:$G,Actuals!$B:$B,$C$3,Actuals!$C:$C,2,Actuals!$D:$D,$B$1098,Actuals!$A:$A,LEFT($D$1098,FIND("|",$D$1098&amp;"|")-1),Actuals!$E:$E,MID($D$1098,FIND("|",$D$1098&amp;"|")+1,50),Actuals!$F:$F,"EUR")*$G$5+SUMIFS(Actuals!$G:$G,Actuals!$B:$B,$C$3,Actuals!$C:$C,2,Actuals!$D:$D,$B$1098,Actuals!$A:$A,LEFT($D$1098,FIND("|",$D$1098&amp;"|")-1),Actuals!$E:$E,MID($D$1098,FIND("|",$D$1098&amp;"|")+1,50),Actuals!$F:$F,"GBP")*$H$5)</f>
        <v/>
      </c>
      <c r="J1099" s="18">
        <f>IF(OR($B$1098="",3&gt;$C$4),"",SUMIFS(Actuals!$G:$G,Actuals!$B:$B,$C$3,Actuals!$C:$C,3,Actuals!$D:$D,$B$1098,Actuals!$A:$A,LEFT($D$1098,FIND("|",$D$1098&amp;"|")-1),Actuals!$E:$E,MID($D$1098,FIND("|",$D$1098&amp;"|")+1,50),Actuals!$F:$F,"JPY")*$E$5+SUMIFS(Actuals!$G:$G,Actuals!$B:$B,$C$3,Actuals!$C:$C,3,Actuals!$D:$D,$B$1098,Actuals!$A:$A,LEFT($D$1098,FIND("|",$D$1098&amp;"|")-1),Actuals!$E:$E,MID($D$1098,FIND("|",$D$1098&amp;"|")+1,50),Actuals!$F:$F,"USD")*$F$5+SUMIFS(Actuals!$G:$G,Actuals!$B:$B,$C$3,Actuals!$C:$C,3,Actuals!$D:$D,$B$1098,Actuals!$A:$A,LEFT($D$1098,FIND("|",$D$1098&amp;"|")-1),Actuals!$E:$E,MID($D$1098,FIND("|",$D$1098&amp;"|")+1,50),Actuals!$F:$F,"EUR")*$G$5+SUMIFS(Actuals!$G:$G,Actuals!$B:$B,$C$3,Actuals!$C:$C,3,Actuals!$D:$D,$B$1098,Actuals!$A:$A,LEFT($D$1098,FIND("|",$D$1098&amp;"|")-1),Actuals!$E:$E,MID($D$1098,FIND("|",$D$1098&amp;"|")+1,50),Actuals!$F:$F,"GBP")*$H$5)</f>
        <v/>
      </c>
      <c r="K1099" s="18">
        <f>IF(OR($B$1098="",4&gt;$C$4),"",SUMIFS(Actuals!$G:$G,Actuals!$B:$B,$C$3,Actuals!$C:$C,4,Actuals!$D:$D,$B$1098,Actuals!$A:$A,LEFT($D$1098,FIND("|",$D$1098&amp;"|")-1),Actuals!$E:$E,MID($D$1098,FIND("|",$D$1098&amp;"|")+1,50),Actuals!$F:$F,"JPY")*$E$5+SUMIFS(Actuals!$G:$G,Actuals!$B:$B,$C$3,Actuals!$C:$C,4,Actuals!$D:$D,$B$1098,Actuals!$A:$A,LEFT($D$1098,FIND("|",$D$1098&amp;"|")-1),Actuals!$E:$E,MID($D$1098,FIND("|",$D$1098&amp;"|")+1,50),Actuals!$F:$F,"USD")*$F$5+SUMIFS(Actuals!$G:$G,Actuals!$B:$B,$C$3,Actuals!$C:$C,4,Actuals!$D:$D,$B$1098,Actuals!$A:$A,LEFT($D$1098,FIND("|",$D$1098&amp;"|")-1),Actuals!$E:$E,MID($D$1098,FIND("|",$D$1098&amp;"|")+1,50),Actuals!$F:$F,"EUR")*$G$5+SUMIFS(Actuals!$G:$G,Actuals!$B:$B,$C$3,Actuals!$C:$C,4,Actuals!$D:$D,$B$1098,Actuals!$A:$A,LEFT($D$1098,FIND("|",$D$1098&amp;"|")-1),Actuals!$E:$E,MID($D$1098,FIND("|",$D$1098&amp;"|")+1,50),Actuals!$F:$F,"GBP")*$H$5)</f>
        <v/>
      </c>
      <c r="L1099" s="18">
        <f>IF(OR($B$1098="",5&gt;$C$4),"",SUMIFS(Actuals!$G:$G,Actuals!$B:$B,$C$3,Actuals!$C:$C,5,Actuals!$D:$D,$B$1098,Actuals!$A:$A,LEFT($D$1098,FIND("|",$D$1098&amp;"|")-1),Actuals!$E:$E,MID($D$1098,FIND("|",$D$1098&amp;"|")+1,50),Actuals!$F:$F,"JPY")*$E$5+SUMIFS(Actuals!$G:$G,Actuals!$B:$B,$C$3,Actuals!$C:$C,5,Actuals!$D:$D,$B$1098,Actuals!$A:$A,LEFT($D$1098,FIND("|",$D$1098&amp;"|")-1),Actuals!$E:$E,MID($D$1098,FIND("|",$D$1098&amp;"|")+1,50),Actuals!$F:$F,"USD")*$F$5+SUMIFS(Actuals!$G:$G,Actuals!$B:$B,$C$3,Actuals!$C:$C,5,Actuals!$D:$D,$B$1098,Actuals!$A:$A,LEFT($D$1098,FIND("|",$D$1098&amp;"|")-1),Actuals!$E:$E,MID($D$1098,FIND("|",$D$1098&amp;"|")+1,50),Actuals!$F:$F,"EUR")*$G$5+SUMIFS(Actuals!$G:$G,Actuals!$B:$B,$C$3,Actuals!$C:$C,5,Actuals!$D:$D,$B$1098,Actuals!$A:$A,LEFT($D$1098,FIND("|",$D$1098&amp;"|")-1),Actuals!$E:$E,MID($D$1098,FIND("|",$D$1098&amp;"|")+1,50),Actuals!$F:$F,"GBP")*$H$5)</f>
        <v/>
      </c>
      <c r="M1099" s="18">
        <f>IF(OR($B$1098="",6&gt;$C$4),"",SUMIFS(Actuals!$G:$G,Actuals!$B:$B,$C$3,Actuals!$C:$C,6,Actuals!$D:$D,$B$1098,Actuals!$A:$A,LEFT($D$1098,FIND("|",$D$1098&amp;"|")-1),Actuals!$E:$E,MID($D$1098,FIND("|",$D$1098&amp;"|")+1,50),Actuals!$F:$F,"JPY")*$E$5+SUMIFS(Actuals!$G:$G,Actuals!$B:$B,$C$3,Actuals!$C:$C,6,Actuals!$D:$D,$B$1098,Actuals!$A:$A,LEFT($D$1098,FIND("|",$D$1098&amp;"|")-1),Actuals!$E:$E,MID($D$1098,FIND("|",$D$1098&amp;"|")+1,50),Actuals!$F:$F,"USD")*$F$5+SUMIFS(Actuals!$G:$G,Actuals!$B:$B,$C$3,Actuals!$C:$C,6,Actuals!$D:$D,$B$1098,Actuals!$A:$A,LEFT($D$1098,FIND("|",$D$1098&amp;"|")-1),Actuals!$E:$E,MID($D$1098,FIND("|",$D$1098&amp;"|")+1,50),Actuals!$F:$F,"EUR")*$G$5+SUMIFS(Actuals!$G:$G,Actuals!$B:$B,$C$3,Actuals!$C:$C,6,Actuals!$D:$D,$B$1098,Actuals!$A:$A,LEFT($D$1098,FIND("|",$D$1098&amp;"|")-1),Actuals!$E:$E,MID($D$1098,FIND("|",$D$1098&amp;"|")+1,50),Actuals!$F:$F,"GBP")*$H$5)</f>
        <v/>
      </c>
      <c r="N1099" s="18">
        <f>IF(OR($B$1098="",7&gt;$C$4),"",SUMIFS(Actuals!$G:$G,Actuals!$B:$B,$C$3,Actuals!$C:$C,7,Actuals!$D:$D,$B$1098,Actuals!$A:$A,LEFT($D$1098,FIND("|",$D$1098&amp;"|")-1),Actuals!$E:$E,MID($D$1098,FIND("|",$D$1098&amp;"|")+1,50),Actuals!$F:$F,"JPY")*$E$5+SUMIFS(Actuals!$G:$G,Actuals!$B:$B,$C$3,Actuals!$C:$C,7,Actuals!$D:$D,$B$1098,Actuals!$A:$A,LEFT($D$1098,FIND("|",$D$1098&amp;"|")-1),Actuals!$E:$E,MID($D$1098,FIND("|",$D$1098&amp;"|")+1,50),Actuals!$F:$F,"USD")*$F$5+SUMIFS(Actuals!$G:$G,Actuals!$B:$B,$C$3,Actuals!$C:$C,7,Actuals!$D:$D,$B$1098,Actuals!$A:$A,LEFT($D$1098,FIND("|",$D$1098&amp;"|")-1),Actuals!$E:$E,MID($D$1098,FIND("|",$D$1098&amp;"|")+1,50),Actuals!$F:$F,"EUR")*$G$5+SUMIFS(Actuals!$G:$G,Actuals!$B:$B,$C$3,Actuals!$C:$C,7,Actuals!$D:$D,$B$1098,Actuals!$A:$A,LEFT($D$1098,FIND("|",$D$1098&amp;"|")-1),Actuals!$E:$E,MID($D$1098,FIND("|",$D$1098&amp;"|")+1,50),Actuals!$F:$F,"GBP")*$H$5)</f>
        <v/>
      </c>
      <c r="O1099" s="18">
        <f>IF(OR($B$1098="",8&gt;$C$4),"",SUMIFS(Actuals!$G:$G,Actuals!$B:$B,$C$3,Actuals!$C:$C,8,Actuals!$D:$D,$B$1098,Actuals!$A:$A,LEFT($D$1098,FIND("|",$D$1098&amp;"|")-1),Actuals!$E:$E,MID($D$1098,FIND("|",$D$1098&amp;"|")+1,50),Actuals!$F:$F,"JPY")*$E$5+SUMIFS(Actuals!$G:$G,Actuals!$B:$B,$C$3,Actuals!$C:$C,8,Actuals!$D:$D,$B$1098,Actuals!$A:$A,LEFT($D$1098,FIND("|",$D$1098&amp;"|")-1),Actuals!$E:$E,MID($D$1098,FIND("|",$D$1098&amp;"|")+1,50),Actuals!$F:$F,"USD")*$F$5+SUMIFS(Actuals!$G:$G,Actuals!$B:$B,$C$3,Actuals!$C:$C,8,Actuals!$D:$D,$B$1098,Actuals!$A:$A,LEFT($D$1098,FIND("|",$D$1098&amp;"|")-1),Actuals!$E:$E,MID($D$1098,FIND("|",$D$1098&amp;"|")+1,50),Actuals!$F:$F,"EUR")*$G$5+SUMIFS(Actuals!$G:$G,Actuals!$B:$B,$C$3,Actuals!$C:$C,8,Actuals!$D:$D,$B$1098,Actuals!$A:$A,LEFT($D$1098,FIND("|",$D$1098&amp;"|")-1),Actuals!$E:$E,MID($D$1098,FIND("|",$D$1098&amp;"|")+1,50),Actuals!$F:$F,"GBP")*$H$5)</f>
        <v/>
      </c>
      <c r="P1099" s="18">
        <f>IF(OR($B$1098="",9&gt;$C$4),"",SUMIFS(Actuals!$G:$G,Actuals!$B:$B,$C$3,Actuals!$C:$C,9,Actuals!$D:$D,$B$1098,Actuals!$A:$A,LEFT($D$1098,FIND("|",$D$1098&amp;"|")-1),Actuals!$E:$E,MID($D$1098,FIND("|",$D$1098&amp;"|")+1,50),Actuals!$F:$F,"JPY")*$E$5+SUMIFS(Actuals!$G:$G,Actuals!$B:$B,$C$3,Actuals!$C:$C,9,Actuals!$D:$D,$B$1098,Actuals!$A:$A,LEFT($D$1098,FIND("|",$D$1098&amp;"|")-1),Actuals!$E:$E,MID($D$1098,FIND("|",$D$1098&amp;"|")+1,50),Actuals!$F:$F,"USD")*$F$5+SUMIFS(Actuals!$G:$G,Actuals!$B:$B,$C$3,Actuals!$C:$C,9,Actuals!$D:$D,$B$1098,Actuals!$A:$A,LEFT($D$1098,FIND("|",$D$1098&amp;"|")-1),Actuals!$E:$E,MID($D$1098,FIND("|",$D$1098&amp;"|")+1,50),Actuals!$F:$F,"EUR")*$G$5+SUMIFS(Actuals!$G:$G,Actuals!$B:$B,$C$3,Actuals!$C:$C,9,Actuals!$D:$D,$B$1098,Actuals!$A:$A,LEFT($D$1098,FIND("|",$D$1098&amp;"|")-1),Actuals!$E:$E,MID($D$1098,FIND("|",$D$1098&amp;"|")+1,50),Actuals!$F:$F,"GBP")*$H$5)</f>
        <v/>
      </c>
      <c r="Q1099" s="18">
        <f>IF(OR($B$1098="",10&gt;$C$4),"",SUMIFS(Actuals!$G:$G,Actuals!$B:$B,$C$3,Actuals!$C:$C,10,Actuals!$D:$D,$B$1098,Actuals!$A:$A,LEFT($D$1098,FIND("|",$D$1098&amp;"|")-1),Actuals!$E:$E,MID($D$1098,FIND("|",$D$1098&amp;"|")+1,50),Actuals!$F:$F,"JPY")*$E$5+SUMIFS(Actuals!$G:$G,Actuals!$B:$B,$C$3,Actuals!$C:$C,10,Actuals!$D:$D,$B$1098,Actuals!$A:$A,LEFT($D$1098,FIND("|",$D$1098&amp;"|")-1),Actuals!$E:$E,MID($D$1098,FIND("|",$D$1098&amp;"|")+1,50),Actuals!$F:$F,"USD")*$F$5+SUMIFS(Actuals!$G:$G,Actuals!$B:$B,$C$3,Actuals!$C:$C,10,Actuals!$D:$D,$B$1098,Actuals!$A:$A,LEFT($D$1098,FIND("|",$D$1098&amp;"|")-1),Actuals!$E:$E,MID($D$1098,FIND("|",$D$1098&amp;"|")+1,50),Actuals!$F:$F,"EUR")*$G$5+SUMIFS(Actuals!$G:$G,Actuals!$B:$B,$C$3,Actuals!$C:$C,10,Actuals!$D:$D,$B$1098,Actuals!$A:$A,LEFT($D$1098,FIND("|",$D$1098&amp;"|")-1),Actuals!$E:$E,MID($D$1098,FIND("|",$D$1098&amp;"|")+1,50),Actuals!$F:$F,"GBP")*$H$5)</f>
        <v/>
      </c>
      <c r="R1099" s="18">
        <f>IF(OR($B$1098="",11&gt;$C$4),"",SUMIFS(Actuals!$G:$G,Actuals!$B:$B,$C$3,Actuals!$C:$C,11,Actuals!$D:$D,$B$1098,Actuals!$A:$A,LEFT($D$1098,FIND("|",$D$1098&amp;"|")-1),Actuals!$E:$E,MID($D$1098,FIND("|",$D$1098&amp;"|")+1,50),Actuals!$F:$F,"JPY")*$E$5+SUMIFS(Actuals!$G:$G,Actuals!$B:$B,$C$3,Actuals!$C:$C,11,Actuals!$D:$D,$B$1098,Actuals!$A:$A,LEFT($D$1098,FIND("|",$D$1098&amp;"|")-1),Actuals!$E:$E,MID($D$1098,FIND("|",$D$1098&amp;"|")+1,50),Actuals!$F:$F,"USD")*$F$5+SUMIFS(Actuals!$G:$G,Actuals!$B:$B,$C$3,Actuals!$C:$C,11,Actuals!$D:$D,$B$1098,Actuals!$A:$A,LEFT($D$1098,FIND("|",$D$1098&amp;"|")-1),Actuals!$E:$E,MID($D$1098,FIND("|",$D$1098&amp;"|")+1,50),Actuals!$F:$F,"EUR")*$G$5+SUMIFS(Actuals!$G:$G,Actuals!$B:$B,$C$3,Actuals!$C:$C,11,Actuals!$D:$D,$B$1098,Actuals!$A:$A,LEFT($D$1098,FIND("|",$D$1098&amp;"|")-1),Actuals!$E:$E,MID($D$1098,FIND("|",$D$1098&amp;"|")+1,50),Actuals!$F:$F,"GBP")*$H$5)</f>
        <v/>
      </c>
      <c r="S1099" s="18">
        <f>IF(OR($B$1098="",12&gt;$C$4),"",SUMIFS(Actuals!$G:$G,Actuals!$B:$B,$C$3,Actuals!$C:$C,12,Actuals!$D:$D,$B$1098,Actuals!$A:$A,LEFT($D$1098,FIND("|",$D$1098&amp;"|")-1),Actuals!$E:$E,MID($D$1098,FIND("|",$D$1098&amp;"|")+1,50),Actuals!$F:$F,"JPY")*$E$5+SUMIFS(Actuals!$G:$G,Actuals!$B:$B,$C$3,Actuals!$C:$C,12,Actuals!$D:$D,$B$1098,Actuals!$A:$A,LEFT($D$1098,FIND("|",$D$1098&amp;"|")-1),Actuals!$E:$E,MID($D$1098,FIND("|",$D$1098&amp;"|")+1,50),Actuals!$F:$F,"USD")*$F$5+SUMIFS(Actuals!$G:$G,Actuals!$B:$B,$C$3,Actuals!$C:$C,12,Actuals!$D:$D,$B$1098,Actuals!$A:$A,LEFT($D$1098,FIND("|",$D$1098&amp;"|")-1),Actuals!$E:$E,MID($D$1098,FIND("|",$D$1098&amp;"|")+1,50),Actuals!$F:$F,"EUR")*$G$5+SUMIFS(Actuals!$G:$G,Actuals!$B:$B,$C$3,Actuals!$C:$C,12,Actuals!$D:$D,$B$1098,Actuals!$A:$A,LEFT($D$1098,FIND("|",$D$1098&amp;"|")-1),Actuals!$E:$E,MID($D$1098,FIND("|",$D$1098&amp;"|")+1,50),Actuals!$F:$F,"GBP")*$H$5)</f>
        <v/>
      </c>
      <c r="T1099" s="18">
        <f>IF($B$1098="","",SUMIF($H$7:$S$7,"&lt;="&amp;$C$4,$H1099:$S1099))</f>
        <v/>
      </c>
      <c r="U1099" s="18" t="n"/>
      <c r="V1099" s="18" t="n"/>
      <c r="X1099" s="22">
        <f>IF($B1099="","",IFERROR(INDEX(Cost_Centers!$E:$E,MATCH($B1099,Cost_Centers!$A:$A,0)),"(unknown)"))</f>
        <v/>
      </c>
      <c r="Y1099" s="22">
        <f>IF($B1099="","",IFERROR(INDEX(Cost_Centers!$D:$D,MATCH($B1099,Cost_Centers!$A:$A,0)),"(unknown)"))</f>
        <v/>
      </c>
      <c r="Z1099" s="22">
        <f>IF(OR($B1099="",$G1099&lt;&gt;"Variance vs Budget"),"",ABS(N($V1099))+ROW()/1000000000)</f>
        <v/>
      </c>
    </row>
    <row r="1100">
      <c r="A1100" s="13">
        <f>IF(A$1098="","",A$1098)</f>
        <v/>
      </c>
      <c r="B1100" s="13">
        <f>IF(B$1098="","",B$1098)</f>
        <v/>
      </c>
      <c r="C1100" s="13">
        <f>IF(C$1098="","",C$1098)</f>
        <v/>
      </c>
      <c r="D1100" s="13">
        <f>IF(D$1098="","",D$1098)</f>
        <v/>
      </c>
      <c r="E1100" s="13">
        <f>IF(E$1098="","",E$1098)</f>
        <v/>
      </c>
      <c r="F1100" s="13">
        <f>IF(F$1098="","",F$1098)</f>
        <v/>
      </c>
      <c r="G1100" s="6" t="inlineStr">
        <is>
          <t>Variance vs Budget</t>
        </is>
      </c>
      <c r="H1100" s="33">
        <f>IF(OR($B$1098="",1&gt;$C$4),"",N(H1099)-H1098)</f>
        <v/>
      </c>
      <c r="I1100" s="33">
        <f>IF(OR($B$1098="",2&gt;$C$4),"",N(I1099)-I1098)</f>
        <v/>
      </c>
      <c r="J1100" s="33">
        <f>IF(OR($B$1098="",3&gt;$C$4),"",N(J1099)-J1098)</f>
        <v/>
      </c>
      <c r="K1100" s="33">
        <f>IF(OR($B$1098="",4&gt;$C$4),"",N(K1099)-K1098)</f>
        <v/>
      </c>
      <c r="L1100" s="33">
        <f>IF(OR($B$1098="",5&gt;$C$4),"",N(L1099)-L1098)</f>
        <v/>
      </c>
      <c r="M1100" s="33">
        <f>IF(OR($B$1098="",6&gt;$C$4),"",N(M1099)-M1098)</f>
        <v/>
      </c>
      <c r="N1100" s="33">
        <f>IF(OR($B$1098="",7&gt;$C$4),"",N(N1099)-N1098)</f>
        <v/>
      </c>
      <c r="O1100" s="33">
        <f>IF(OR($B$1098="",8&gt;$C$4),"",N(O1099)-O1098)</f>
        <v/>
      </c>
      <c r="P1100" s="33">
        <f>IF(OR($B$1098="",9&gt;$C$4),"",N(P1099)-P1098)</f>
        <v/>
      </c>
      <c r="Q1100" s="33">
        <f>IF(OR($B$1098="",10&gt;$C$4),"",N(Q1099)-Q1098)</f>
        <v/>
      </c>
      <c r="R1100" s="33">
        <f>IF(OR($B$1098="",11&gt;$C$4),"",N(R1099)-R1098)</f>
        <v/>
      </c>
      <c r="S1100" s="33">
        <f>IF(OR($B$1098="",12&gt;$C$4),"",N(S1099)-S1098)</f>
        <v/>
      </c>
      <c r="T1100" s="33">
        <f>IF($B$1098="","",T1099-T1098)</f>
        <v/>
      </c>
      <c r="U1100" s="33">
        <f>IF($B$1098="","",U1102-U1098)</f>
        <v/>
      </c>
      <c r="V1100" s="33">
        <f>IF($B$1098="","",V1102-V1098)</f>
        <v/>
      </c>
      <c r="X1100" s="22">
        <f>IF($B1100="","",IFERROR(INDEX(Cost_Centers!$E:$E,MATCH($B1100,Cost_Centers!$A:$A,0)),"(unknown)"))</f>
        <v/>
      </c>
      <c r="Y1100" s="22">
        <f>IF($B1100="","",IFERROR(INDEX(Cost_Centers!$D:$D,MATCH($B1100,Cost_Centers!$A:$A,0)),"(unknown)"))</f>
        <v/>
      </c>
      <c r="Z1100" s="22">
        <f>IF(OR($B1100="",$G1100&lt;&gt;"Variance vs Budget"),"",ABS(N($V1100))+ROW()/1000000000)</f>
        <v/>
      </c>
    </row>
    <row r="1101">
      <c r="A1101" s="13">
        <f>IF(A$1098="","",A$1098)</f>
        <v/>
      </c>
      <c r="B1101" s="13">
        <f>IF(B$1098="","",B$1098)</f>
        <v/>
      </c>
      <c r="C1101" s="13">
        <f>IF(C$1098="","",C$1098)</f>
        <v/>
      </c>
      <c r="D1101" s="13">
        <f>IF(D$1098="","",D$1098)</f>
        <v/>
      </c>
      <c r="E1101" s="13">
        <f>IF(E$1098="","",E$1098)</f>
        <v/>
      </c>
      <c r="F1101" s="13">
        <f>IF(F$1098="","",F$1098)</f>
        <v/>
      </c>
      <c r="G1101" s="7" t="inlineStr">
        <is>
          <t>Forecast (input)</t>
        </is>
      </c>
      <c r="H1101" s="34" t="n"/>
      <c r="I1101" s="34" t="n"/>
      <c r="J1101" s="34" t="n"/>
      <c r="K1101" s="34" t="n"/>
      <c r="L1101" s="34" t="n"/>
      <c r="M1101" s="34" t="n"/>
      <c r="N1101" s="34" t="n"/>
      <c r="O1101" s="34" t="n"/>
      <c r="P1101" s="34" t="n"/>
      <c r="Q1101" s="34" t="n"/>
      <c r="R1101" s="34" t="n"/>
      <c r="S1101" s="34" t="n"/>
      <c r="T1101" s="18" t="n"/>
      <c r="U1101" s="18" t="n"/>
      <c r="V1101" s="18" t="n"/>
      <c r="X1101" s="22">
        <f>IF($B1101="","",IFERROR(INDEX(Cost_Centers!$E:$E,MATCH($B1101,Cost_Centers!$A:$A,0)),"(unknown)"))</f>
        <v/>
      </c>
      <c r="Y1101" s="22">
        <f>IF($B1101="","",IFERROR(INDEX(Cost_Centers!$D:$D,MATCH($B1101,Cost_Centers!$A:$A,0)),"(unknown)"))</f>
        <v/>
      </c>
      <c r="Z1101" s="22">
        <f>IF(OR($B1101="",$G1101&lt;&gt;"Variance vs Budget"),"",ABS(N($V1101))+ROW()/1000000000)</f>
        <v/>
      </c>
    </row>
    <row r="1102">
      <c r="A1102" s="13">
        <f>IF(A$1098="","",A$1098)</f>
        <v/>
      </c>
      <c r="B1102" s="13">
        <f>IF(B$1098="","",B$1098)</f>
        <v/>
      </c>
      <c r="C1102" s="13">
        <f>IF(C$1098="","",C$1098)</f>
        <v/>
      </c>
      <c r="D1102" s="13">
        <f>IF(D$1098="","",D$1098)</f>
        <v/>
      </c>
      <c r="E1102" s="13">
        <f>IF(E$1098="","",E$1098)</f>
        <v/>
      </c>
      <c r="F1102" s="13">
        <f>IF(F$1098="","",F$1098)</f>
        <v/>
      </c>
      <c r="G1102" s="35" t="inlineStr">
        <is>
          <t>Actual + Forecast</t>
        </is>
      </c>
      <c r="H1102" s="18">
        <f>IF($B$1098="","",IF(1&lt;=$C$4,N(H1099),IF(H1101="",H1098,H1101)))</f>
        <v/>
      </c>
      <c r="I1102" s="18">
        <f>IF($B$1098="","",IF(2&lt;=$C$4,N(I1099),IF(I1101="",I1098,I1101)))</f>
        <v/>
      </c>
      <c r="J1102" s="18">
        <f>IF($B$1098="","",IF(3&lt;=$C$4,N(J1099),IF(J1101="",J1098,J1101)))</f>
        <v/>
      </c>
      <c r="K1102" s="18">
        <f>IF($B$1098="","",IF(4&lt;=$C$4,N(K1099),IF(K1101="",K1098,K1101)))</f>
        <v/>
      </c>
      <c r="L1102" s="18">
        <f>IF($B$1098="","",IF(5&lt;=$C$4,N(L1099),IF(L1101="",L1098,L1101)))</f>
        <v/>
      </c>
      <c r="M1102" s="18">
        <f>IF($B$1098="","",IF(6&lt;=$C$4,N(M1099),IF(M1101="",M1098,M1101)))</f>
        <v/>
      </c>
      <c r="N1102" s="18">
        <f>IF($B$1098="","",IF(7&lt;=$C$4,N(N1099),IF(N1101="",N1098,N1101)))</f>
        <v/>
      </c>
      <c r="O1102" s="18">
        <f>IF($B$1098="","",IF(8&lt;=$C$4,N(O1099),IF(O1101="",O1098,O1101)))</f>
        <v/>
      </c>
      <c r="P1102" s="18">
        <f>IF($B$1098="","",IF(9&lt;=$C$4,N(P1099),IF(P1101="",P1098,P1101)))</f>
        <v/>
      </c>
      <c r="Q1102" s="18">
        <f>IF($B$1098="","",IF(10&lt;=$C$4,N(Q1099),IF(Q1101="",Q1098,Q1101)))</f>
        <v/>
      </c>
      <c r="R1102" s="18">
        <f>IF($B$1098="","",IF(11&lt;=$C$4,N(R1099),IF(R1101="",R1098,R1101)))</f>
        <v/>
      </c>
      <c r="S1102" s="18">
        <f>IF($B$1098="","",IF(12&lt;=$C$4,N(S1099),IF(S1101="",S1098,S1101)))</f>
        <v/>
      </c>
      <c r="T1102" s="18">
        <f>IF($B$1098="","",SUMIF($H$7:$S$7,"&lt;="&amp;$C$4,$H1102:$S1102))</f>
        <v/>
      </c>
      <c r="U1102" s="18">
        <f>IF($B$1098="","",SUMIF($H$7:$S$7,"&gt;"&amp;$C$4,$H1102:$S1102))</f>
        <v/>
      </c>
      <c r="V1102" s="18">
        <f>IF($B$1098="","",SUM($H1102:$S1102))</f>
        <v/>
      </c>
      <c r="X1102" s="22">
        <f>IF($B1102="","",IFERROR(INDEX(Cost_Centers!$E:$E,MATCH($B1102,Cost_Centers!$A:$A,0)),"(unknown)"))</f>
        <v/>
      </c>
      <c r="Y1102" s="22">
        <f>IF($B1102="","",IFERROR(INDEX(Cost_Centers!$D:$D,MATCH($B1102,Cost_Centers!$A:$A,0)),"(unknown)"))</f>
        <v/>
      </c>
      <c r="Z1102" s="22">
        <f>IF(OR($B1102="",$G1102&lt;&gt;"Variance vs Budget"),"",ABS(N($V1102))+ROW()/1000000000)</f>
        <v/>
      </c>
    </row>
    <row r="1103">
      <c r="A1103" s="13">
        <f>IF(A$1098="","",A$1098)</f>
        <v/>
      </c>
      <c r="B1103" s="13">
        <f>IF(B$1098="","",B$1098)</f>
        <v/>
      </c>
      <c r="C1103" s="13">
        <f>IF(C$1098="","",C$1098)</f>
        <v/>
      </c>
      <c r="D1103" s="13">
        <f>IF(D$1098="","",D$1098)</f>
        <v/>
      </c>
      <c r="E1103" s="13">
        <f>IF(E$1098="","",E$1098)</f>
        <v/>
      </c>
      <c r="F1103" s="13">
        <f>IF(F$1098="","",F$1098)</f>
        <v/>
      </c>
      <c r="G1103" s="36" t="inlineStr">
        <is>
          <t>Prior Month Forecast</t>
        </is>
      </c>
      <c r="H1103" s="37">
        <f>IF($B$1098="","",IF(COUNTIFS(Prior_Forecast!$A:$A,$B$1098,Prior_Forecast!$B:$B,$D$1098)&gt;0,SUMIFS(Prior_Forecast!$C:$C,Prior_Forecast!$A:$A,$B$1098,Prior_Forecast!$B:$B,$D$1098),""))</f>
        <v/>
      </c>
      <c r="I1103" s="37">
        <f>IF($B$1098="","",IF(COUNTIFS(Prior_Forecast!$A:$A,$B$1098,Prior_Forecast!$B:$B,$D$1098)&gt;0,SUMIFS(Prior_Forecast!$D:$D,Prior_Forecast!$A:$A,$B$1098,Prior_Forecast!$B:$B,$D$1098),""))</f>
        <v/>
      </c>
      <c r="J1103" s="37">
        <f>IF($B$1098="","",IF(COUNTIFS(Prior_Forecast!$A:$A,$B$1098,Prior_Forecast!$B:$B,$D$1098)&gt;0,SUMIFS(Prior_Forecast!$E:$E,Prior_Forecast!$A:$A,$B$1098,Prior_Forecast!$B:$B,$D$1098),""))</f>
        <v/>
      </c>
      <c r="K1103" s="37">
        <f>IF($B$1098="","",IF(COUNTIFS(Prior_Forecast!$A:$A,$B$1098,Prior_Forecast!$B:$B,$D$1098)&gt;0,SUMIFS(Prior_Forecast!$F:$F,Prior_Forecast!$A:$A,$B$1098,Prior_Forecast!$B:$B,$D$1098),""))</f>
        <v/>
      </c>
      <c r="L1103" s="37">
        <f>IF($B$1098="","",IF(COUNTIFS(Prior_Forecast!$A:$A,$B$1098,Prior_Forecast!$B:$B,$D$1098)&gt;0,SUMIFS(Prior_Forecast!$G:$G,Prior_Forecast!$A:$A,$B$1098,Prior_Forecast!$B:$B,$D$1098),""))</f>
        <v/>
      </c>
      <c r="M1103" s="37">
        <f>IF($B$1098="","",IF(COUNTIFS(Prior_Forecast!$A:$A,$B$1098,Prior_Forecast!$B:$B,$D$1098)&gt;0,SUMIFS(Prior_Forecast!$H:$H,Prior_Forecast!$A:$A,$B$1098,Prior_Forecast!$B:$B,$D$1098),""))</f>
        <v/>
      </c>
      <c r="N1103" s="37">
        <f>IF($B$1098="","",IF(COUNTIFS(Prior_Forecast!$A:$A,$B$1098,Prior_Forecast!$B:$B,$D$1098)&gt;0,SUMIFS(Prior_Forecast!$I:$I,Prior_Forecast!$A:$A,$B$1098,Prior_Forecast!$B:$B,$D$1098),""))</f>
        <v/>
      </c>
      <c r="O1103" s="37">
        <f>IF($B$1098="","",IF(COUNTIFS(Prior_Forecast!$A:$A,$B$1098,Prior_Forecast!$B:$B,$D$1098)&gt;0,SUMIFS(Prior_Forecast!$J:$J,Prior_Forecast!$A:$A,$B$1098,Prior_Forecast!$B:$B,$D$1098),""))</f>
        <v/>
      </c>
      <c r="P1103" s="37">
        <f>IF($B$1098="","",IF(COUNTIFS(Prior_Forecast!$A:$A,$B$1098,Prior_Forecast!$B:$B,$D$1098)&gt;0,SUMIFS(Prior_Forecast!$K:$K,Prior_Forecast!$A:$A,$B$1098,Prior_Forecast!$B:$B,$D$1098),""))</f>
        <v/>
      </c>
      <c r="Q1103" s="37">
        <f>IF($B$1098="","",IF(COUNTIFS(Prior_Forecast!$A:$A,$B$1098,Prior_Forecast!$B:$B,$D$1098)&gt;0,SUMIFS(Prior_Forecast!$L:$L,Prior_Forecast!$A:$A,$B$1098,Prior_Forecast!$B:$B,$D$1098),""))</f>
        <v/>
      </c>
      <c r="R1103" s="37">
        <f>IF($B$1098="","",IF(COUNTIFS(Prior_Forecast!$A:$A,$B$1098,Prior_Forecast!$B:$B,$D$1098)&gt;0,SUMIFS(Prior_Forecast!$M:$M,Prior_Forecast!$A:$A,$B$1098,Prior_Forecast!$B:$B,$D$1098),""))</f>
        <v/>
      </c>
      <c r="S1103" s="37">
        <f>IF($B$1098="","",IF(COUNTIFS(Prior_Forecast!$A:$A,$B$1098,Prior_Forecast!$B:$B,$D$1098)&gt;0,SUMIFS(Prior_Forecast!$N:$N,Prior_Forecast!$A:$A,$B$1098,Prior_Forecast!$B:$B,$D$1098),""))</f>
        <v/>
      </c>
      <c r="T1103" s="37">
        <f>IF($B$1098="","",IF(COUNTIFS(Prior_Forecast!$A:$A,$B$1098,Prior_Forecast!$B:$B,$D$1098)&gt;0,SUMIFS(Prior_Forecast!$O:$O,Prior_Forecast!$A:$A,$B$1098,Prior_Forecast!$B:$B,$D$1098),""))</f>
        <v/>
      </c>
      <c r="U1103" s="37">
        <f>IF($B$1098="","",IF(COUNTIFS(Prior_Forecast!$A:$A,$B$1098,Prior_Forecast!$B:$B,$D$1098)&gt;0,SUMIFS(Prior_Forecast!$P:$P,Prior_Forecast!$A:$A,$B$1098,Prior_Forecast!$B:$B,$D$1098),""))</f>
        <v/>
      </c>
      <c r="V1103" s="37">
        <f>IF($B$1098="","",IF(COUNTIFS(Prior_Forecast!$A:$A,$B$1098,Prior_Forecast!$B:$B,$D$1098)&gt;0,SUMIFS(Prior_Forecast!$Q:$Q,Prior_Forecast!$A:$A,$B$1098,Prior_Forecast!$B:$B,$D$1098),""))</f>
        <v/>
      </c>
      <c r="X1103" s="22">
        <f>IF($B1103="","",IFERROR(INDEX(Cost_Centers!$E:$E,MATCH($B1103,Cost_Centers!$A:$A,0)),"(unknown)"))</f>
        <v/>
      </c>
      <c r="Y1103" s="22">
        <f>IF($B1103="","",IFERROR(INDEX(Cost_Centers!$D:$D,MATCH($B1103,Cost_Centers!$A:$A,0)),"(unknown)"))</f>
        <v/>
      </c>
      <c r="Z1103" s="22">
        <f>IF(OR($B1103="",$G1103&lt;&gt;"Variance vs Budget"),"",ABS(N($V1103))+ROW()/1000000000)</f>
        <v/>
      </c>
    </row>
    <row r="1104">
      <c r="A1104" s="13">
        <f>IF(A$1098="","",A$1098)</f>
        <v/>
      </c>
      <c r="B1104" s="13">
        <f>IF(B$1098="","",B$1098)</f>
        <v/>
      </c>
      <c r="C1104" s="13">
        <f>IF(C$1098="","",C$1098)</f>
        <v/>
      </c>
      <c r="D1104" s="13">
        <f>IF(D$1098="","",D$1098)</f>
        <v/>
      </c>
      <c r="E1104" s="13">
        <f>IF(E$1098="","",E$1098)</f>
        <v/>
      </c>
      <c r="F1104" s="13">
        <f>IF(F$1098="","",F$1098)</f>
        <v/>
      </c>
      <c r="G1104" s="6" t="inlineStr">
        <is>
          <t>Variance vs Prior Month</t>
        </is>
      </c>
      <c r="H1104" s="33">
        <f>IF(OR($B$1098="",H1103=""),"",H1102-H1103)</f>
        <v/>
      </c>
      <c r="I1104" s="33">
        <f>IF(OR($B$1098="",I1103=""),"",I1102-I1103)</f>
        <v/>
      </c>
      <c r="J1104" s="33">
        <f>IF(OR($B$1098="",J1103=""),"",J1102-J1103)</f>
        <v/>
      </c>
      <c r="K1104" s="33">
        <f>IF(OR($B$1098="",K1103=""),"",K1102-K1103)</f>
        <v/>
      </c>
      <c r="L1104" s="33">
        <f>IF(OR($B$1098="",L1103=""),"",L1102-L1103)</f>
        <v/>
      </c>
      <c r="M1104" s="33">
        <f>IF(OR($B$1098="",M1103=""),"",M1102-M1103)</f>
        <v/>
      </c>
      <c r="N1104" s="33">
        <f>IF(OR($B$1098="",N1103=""),"",N1102-N1103)</f>
        <v/>
      </c>
      <c r="O1104" s="33">
        <f>IF(OR($B$1098="",O1103=""),"",O1102-O1103)</f>
        <v/>
      </c>
      <c r="P1104" s="33">
        <f>IF(OR($B$1098="",P1103=""),"",P1102-P1103)</f>
        <v/>
      </c>
      <c r="Q1104" s="33">
        <f>IF(OR($B$1098="",Q1103=""),"",Q1102-Q1103)</f>
        <v/>
      </c>
      <c r="R1104" s="33">
        <f>IF(OR($B$1098="",R1103=""),"",R1102-R1103)</f>
        <v/>
      </c>
      <c r="S1104" s="33">
        <f>IF(OR($B$1098="",S1103=""),"",S1102-S1103)</f>
        <v/>
      </c>
      <c r="T1104" s="33">
        <f>IF(OR($B$1098="",T1103=""),"",T1102-T1103)</f>
        <v/>
      </c>
      <c r="U1104" s="33">
        <f>IF(OR($B$1098="",U1103=""),"",U1102-U1103)</f>
        <v/>
      </c>
      <c r="V1104" s="33">
        <f>IF(OR($B$1098="",V1103=""),"",V1102-V1103)</f>
        <v/>
      </c>
      <c r="X1104" s="22">
        <f>IF($B1104="","",IFERROR(INDEX(Cost_Centers!$E:$E,MATCH($B1104,Cost_Centers!$A:$A,0)),"(unknown)"))</f>
        <v/>
      </c>
      <c r="Y1104" s="22">
        <f>IF($B1104="","",IFERROR(INDEX(Cost_Centers!$D:$D,MATCH($B1104,Cost_Centers!$A:$A,0)),"(unknown)"))</f>
        <v/>
      </c>
      <c r="Z1104" s="22">
        <f>IF(OR($B1104="",$G1104&lt;&gt;"Variance vs Budget"),"",ABS(N($V1104))+ROW()/1000000000)</f>
        <v/>
      </c>
    </row>
    <row r="1105" ht="45" customHeight="1">
      <c r="A1105" s="13">
        <f>IF(A$1098="","",A$1098)</f>
        <v/>
      </c>
      <c r="B1105" s="13">
        <f>IF(B$1098="","",B$1098)</f>
        <v/>
      </c>
      <c r="C1105" s="13">
        <f>IF(C$1098="","",C$1098)</f>
        <v/>
      </c>
      <c r="D1105" s="13">
        <f>IF(D$1098="","",D$1098)</f>
        <v/>
      </c>
      <c r="E1105" s="13">
        <f>IF(E$1098="","",E$1098)</f>
        <v/>
      </c>
      <c r="F1105" s="13">
        <f>IF(F$1098="","",F$1098)</f>
        <v/>
      </c>
      <c r="G1105" s="7" t="inlineStr">
        <is>
          <t>Rationale</t>
        </is>
      </c>
      <c r="H1105" s="38" t="n"/>
      <c r="I1105" s="38" t="n"/>
      <c r="J1105" s="38" t="n"/>
      <c r="K1105" s="38" t="n"/>
      <c r="L1105" s="38" t="n"/>
      <c r="M1105" s="38" t="n"/>
      <c r="N1105" s="38" t="n"/>
      <c r="O1105" s="38" t="n"/>
      <c r="P1105" s="38" t="n"/>
      <c r="Q1105" s="38" t="n"/>
      <c r="R1105" s="38" t="n"/>
      <c r="S1105" s="38" t="n"/>
      <c r="T1105" s="38" t="n"/>
      <c r="U1105" s="38" t="n"/>
      <c r="V1105" s="7" t="n"/>
      <c r="X1105" s="22">
        <f>IF($B1105="","",IFERROR(INDEX(Cost_Centers!$E:$E,MATCH($B1105,Cost_Centers!$A:$A,0)),"(unknown)"))</f>
        <v/>
      </c>
      <c r="Y1105" s="22">
        <f>IF($B1105="","",IFERROR(INDEX(Cost_Centers!$D:$D,MATCH($B1105,Cost_Centers!$A:$A,0)),"(unknown)"))</f>
        <v/>
      </c>
      <c r="Z1105" s="22">
        <f>IF(OR($B1105="",$G1105&lt;&gt;"Variance vs Budget"),"",ABS(N($V1105))+ROW()/1000000000)</f>
        <v/>
      </c>
    </row>
    <row r="1106">
      <c r="A1106" s="30">
        <f>IF($D$1106="","",LEFT($D$1106,FIND("|",$D$1106&amp;"|")-1))</f>
        <v/>
      </c>
      <c r="B1106" s="31" t="n"/>
      <c r="C1106" s="30">
        <f>IF($B$1106="","",IFERROR(INDEX(Cost_Centers!$B:$B,MATCH($B$1106,Cost_Centers!$A:$A,0)),"(not in master)"))</f>
        <v/>
      </c>
      <c r="D1106" s="31" t="n"/>
      <c r="E1106" s="30">
        <f>IF($D$1106="","",IFERROR(INDEX(Accounts!$D:$D,MATCH($D$1106,Accounts!$A:$A,0)),"(not in master)"))</f>
        <v/>
      </c>
      <c r="F1106" s="31" t="n"/>
      <c r="G1106" s="30" t="inlineStr">
        <is>
          <t>Budget</t>
        </is>
      </c>
      <c r="H1106" s="32">
        <f>IF($B$1106="","",SUMIFS(Opex_Budget!$O:$O,Opex_Budget!$A:$A,$C$3,Opex_Budget!$E:$E,$B$1106,Opex_Budget!$F:$F,$D$1106,Opex_Budget!$N:$N,"JPY")*$E$5+SUMIFS(Opex_Budget!$O:$O,Opex_Budget!$A:$A,$C$3,Opex_Budget!$E:$E,$B$1106,Opex_Budget!$F:$F,$D$1106,Opex_Budget!$N:$N,"USD")*$F$5+SUMIFS(Opex_Budget!$O:$O,Opex_Budget!$A:$A,$C$3,Opex_Budget!$E:$E,$B$1106,Opex_Budget!$F:$F,$D$1106,Opex_Budget!$N:$N,"EUR")*$G$5+SUMIFS(Opex_Budget!$O:$O,Opex_Budget!$A:$A,$C$3,Opex_Budget!$E:$E,$B$1106,Opex_Budget!$F:$F,$D$1106,Opex_Budget!$N:$N,"GBP")*$H$5)</f>
        <v/>
      </c>
      <c r="I1106" s="32">
        <f>IF($B$1106="","",SUMIFS(Opex_Budget!$P:$P,Opex_Budget!$A:$A,$C$3,Opex_Budget!$E:$E,$B$1106,Opex_Budget!$F:$F,$D$1106,Opex_Budget!$N:$N,"JPY")*$E$5+SUMIFS(Opex_Budget!$P:$P,Opex_Budget!$A:$A,$C$3,Opex_Budget!$E:$E,$B$1106,Opex_Budget!$F:$F,$D$1106,Opex_Budget!$N:$N,"USD")*$F$5+SUMIFS(Opex_Budget!$P:$P,Opex_Budget!$A:$A,$C$3,Opex_Budget!$E:$E,$B$1106,Opex_Budget!$F:$F,$D$1106,Opex_Budget!$N:$N,"EUR")*$G$5+SUMIFS(Opex_Budget!$P:$P,Opex_Budget!$A:$A,$C$3,Opex_Budget!$E:$E,$B$1106,Opex_Budget!$F:$F,$D$1106,Opex_Budget!$N:$N,"GBP")*$H$5)</f>
        <v/>
      </c>
      <c r="J1106" s="32">
        <f>IF($B$1106="","",SUMIFS(Opex_Budget!$Q:$Q,Opex_Budget!$A:$A,$C$3,Opex_Budget!$E:$E,$B$1106,Opex_Budget!$F:$F,$D$1106,Opex_Budget!$N:$N,"JPY")*$E$5+SUMIFS(Opex_Budget!$Q:$Q,Opex_Budget!$A:$A,$C$3,Opex_Budget!$E:$E,$B$1106,Opex_Budget!$F:$F,$D$1106,Opex_Budget!$N:$N,"USD")*$F$5+SUMIFS(Opex_Budget!$Q:$Q,Opex_Budget!$A:$A,$C$3,Opex_Budget!$E:$E,$B$1106,Opex_Budget!$F:$F,$D$1106,Opex_Budget!$N:$N,"EUR")*$G$5+SUMIFS(Opex_Budget!$Q:$Q,Opex_Budget!$A:$A,$C$3,Opex_Budget!$E:$E,$B$1106,Opex_Budget!$F:$F,$D$1106,Opex_Budget!$N:$N,"GBP")*$H$5)</f>
        <v/>
      </c>
      <c r="K1106" s="32">
        <f>IF($B$1106="","",SUMIFS(Opex_Budget!$R:$R,Opex_Budget!$A:$A,$C$3,Opex_Budget!$E:$E,$B$1106,Opex_Budget!$F:$F,$D$1106,Opex_Budget!$N:$N,"JPY")*$E$5+SUMIFS(Opex_Budget!$R:$R,Opex_Budget!$A:$A,$C$3,Opex_Budget!$E:$E,$B$1106,Opex_Budget!$F:$F,$D$1106,Opex_Budget!$N:$N,"USD")*$F$5+SUMIFS(Opex_Budget!$R:$R,Opex_Budget!$A:$A,$C$3,Opex_Budget!$E:$E,$B$1106,Opex_Budget!$F:$F,$D$1106,Opex_Budget!$N:$N,"EUR")*$G$5+SUMIFS(Opex_Budget!$R:$R,Opex_Budget!$A:$A,$C$3,Opex_Budget!$E:$E,$B$1106,Opex_Budget!$F:$F,$D$1106,Opex_Budget!$N:$N,"GBP")*$H$5)</f>
        <v/>
      </c>
      <c r="L1106" s="32">
        <f>IF($B$1106="","",SUMIFS(Opex_Budget!$S:$S,Opex_Budget!$A:$A,$C$3,Opex_Budget!$E:$E,$B$1106,Opex_Budget!$F:$F,$D$1106,Opex_Budget!$N:$N,"JPY")*$E$5+SUMIFS(Opex_Budget!$S:$S,Opex_Budget!$A:$A,$C$3,Opex_Budget!$E:$E,$B$1106,Opex_Budget!$F:$F,$D$1106,Opex_Budget!$N:$N,"USD")*$F$5+SUMIFS(Opex_Budget!$S:$S,Opex_Budget!$A:$A,$C$3,Opex_Budget!$E:$E,$B$1106,Opex_Budget!$F:$F,$D$1106,Opex_Budget!$N:$N,"EUR")*$G$5+SUMIFS(Opex_Budget!$S:$S,Opex_Budget!$A:$A,$C$3,Opex_Budget!$E:$E,$B$1106,Opex_Budget!$F:$F,$D$1106,Opex_Budget!$N:$N,"GBP")*$H$5)</f>
        <v/>
      </c>
      <c r="M1106" s="32">
        <f>IF($B$1106="","",SUMIFS(Opex_Budget!$T:$T,Opex_Budget!$A:$A,$C$3,Opex_Budget!$E:$E,$B$1106,Opex_Budget!$F:$F,$D$1106,Opex_Budget!$N:$N,"JPY")*$E$5+SUMIFS(Opex_Budget!$T:$T,Opex_Budget!$A:$A,$C$3,Opex_Budget!$E:$E,$B$1106,Opex_Budget!$F:$F,$D$1106,Opex_Budget!$N:$N,"USD")*$F$5+SUMIFS(Opex_Budget!$T:$T,Opex_Budget!$A:$A,$C$3,Opex_Budget!$E:$E,$B$1106,Opex_Budget!$F:$F,$D$1106,Opex_Budget!$N:$N,"EUR")*$G$5+SUMIFS(Opex_Budget!$T:$T,Opex_Budget!$A:$A,$C$3,Opex_Budget!$E:$E,$B$1106,Opex_Budget!$F:$F,$D$1106,Opex_Budget!$N:$N,"GBP")*$H$5)</f>
        <v/>
      </c>
      <c r="N1106" s="32">
        <f>IF($B$1106="","",SUMIFS(Opex_Budget!$U:$U,Opex_Budget!$A:$A,$C$3,Opex_Budget!$E:$E,$B$1106,Opex_Budget!$F:$F,$D$1106,Opex_Budget!$N:$N,"JPY")*$E$5+SUMIFS(Opex_Budget!$U:$U,Opex_Budget!$A:$A,$C$3,Opex_Budget!$E:$E,$B$1106,Opex_Budget!$F:$F,$D$1106,Opex_Budget!$N:$N,"USD")*$F$5+SUMIFS(Opex_Budget!$U:$U,Opex_Budget!$A:$A,$C$3,Opex_Budget!$E:$E,$B$1106,Opex_Budget!$F:$F,$D$1106,Opex_Budget!$N:$N,"EUR")*$G$5+SUMIFS(Opex_Budget!$U:$U,Opex_Budget!$A:$A,$C$3,Opex_Budget!$E:$E,$B$1106,Opex_Budget!$F:$F,$D$1106,Opex_Budget!$N:$N,"GBP")*$H$5)</f>
        <v/>
      </c>
      <c r="O1106" s="32">
        <f>IF($B$1106="","",SUMIFS(Opex_Budget!$V:$V,Opex_Budget!$A:$A,$C$3,Opex_Budget!$E:$E,$B$1106,Opex_Budget!$F:$F,$D$1106,Opex_Budget!$N:$N,"JPY")*$E$5+SUMIFS(Opex_Budget!$V:$V,Opex_Budget!$A:$A,$C$3,Opex_Budget!$E:$E,$B$1106,Opex_Budget!$F:$F,$D$1106,Opex_Budget!$N:$N,"USD")*$F$5+SUMIFS(Opex_Budget!$V:$V,Opex_Budget!$A:$A,$C$3,Opex_Budget!$E:$E,$B$1106,Opex_Budget!$F:$F,$D$1106,Opex_Budget!$N:$N,"EUR")*$G$5+SUMIFS(Opex_Budget!$V:$V,Opex_Budget!$A:$A,$C$3,Opex_Budget!$E:$E,$B$1106,Opex_Budget!$F:$F,$D$1106,Opex_Budget!$N:$N,"GBP")*$H$5)</f>
        <v/>
      </c>
      <c r="P1106" s="32">
        <f>IF($B$1106="","",SUMIFS(Opex_Budget!$W:$W,Opex_Budget!$A:$A,$C$3,Opex_Budget!$E:$E,$B$1106,Opex_Budget!$F:$F,$D$1106,Opex_Budget!$N:$N,"JPY")*$E$5+SUMIFS(Opex_Budget!$W:$W,Opex_Budget!$A:$A,$C$3,Opex_Budget!$E:$E,$B$1106,Opex_Budget!$F:$F,$D$1106,Opex_Budget!$N:$N,"USD")*$F$5+SUMIFS(Opex_Budget!$W:$W,Opex_Budget!$A:$A,$C$3,Opex_Budget!$E:$E,$B$1106,Opex_Budget!$F:$F,$D$1106,Opex_Budget!$N:$N,"EUR")*$G$5+SUMIFS(Opex_Budget!$W:$W,Opex_Budget!$A:$A,$C$3,Opex_Budget!$E:$E,$B$1106,Opex_Budget!$F:$F,$D$1106,Opex_Budget!$N:$N,"GBP")*$H$5)</f>
        <v/>
      </c>
      <c r="Q1106" s="32">
        <f>IF($B$1106="","",SUMIFS(Opex_Budget!$X:$X,Opex_Budget!$A:$A,$C$3,Opex_Budget!$E:$E,$B$1106,Opex_Budget!$F:$F,$D$1106,Opex_Budget!$N:$N,"JPY")*$E$5+SUMIFS(Opex_Budget!$X:$X,Opex_Budget!$A:$A,$C$3,Opex_Budget!$E:$E,$B$1106,Opex_Budget!$F:$F,$D$1106,Opex_Budget!$N:$N,"USD")*$F$5+SUMIFS(Opex_Budget!$X:$X,Opex_Budget!$A:$A,$C$3,Opex_Budget!$E:$E,$B$1106,Opex_Budget!$F:$F,$D$1106,Opex_Budget!$N:$N,"EUR")*$G$5+SUMIFS(Opex_Budget!$X:$X,Opex_Budget!$A:$A,$C$3,Opex_Budget!$E:$E,$B$1106,Opex_Budget!$F:$F,$D$1106,Opex_Budget!$N:$N,"GBP")*$H$5)</f>
        <v/>
      </c>
      <c r="R1106" s="32">
        <f>IF($B$1106="","",SUMIFS(Opex_Budget!$Y:$Y,Opex_Budget!$A:$A,$C$3,Opex_Budget!$E:$E,$B$1106,Opex_Budget!$F:$F,$D$1106,Opex_Budget!$N:$N,"JPY")*$E$5+SUMIFS(Opex_Budget!$Y:$Y,Opex_Budget!$A:$A,$C$3,Opex_Budget!$E:$E,$B$1106,Opex_Budget!$F:$F,$D$1106,Opex_Budget!$N:$N,"USD")*$F$5+SUMIFS(Opex_Budget!$Y:$Y,Opex_Budget!$A:$A,$C$3,Opex_Budget!$E:$E,$B$1106,Opex_Budget!$F:$F,$D$1106,Opex_Budget!$N:$N,"EUR")*$G$5+SUMIFS(Opex_Budget!$Y:$Y,Opex_Budget!$A:$A,$C$3,Opex_Budget!$E:$E,$B$1106,Opex_Budget!$F:$F,$D$1106,Opex_Budget!$N:$N,"GBP")*$H$5)</f>
        <v/>
      </c>
      <c r="S1106" s="32">
        <f>IF($B$1106="","",SUMIFS(Opex_Budget!$Z:$Z,Opex_Budget!$A:$A,$C$3,Opex_Budget!$E:$E,$B$1106,Opex_Budget!$F:$F,$D$1106,Opex_Budget!$N:$N,"JPY")*$E$5+SUMIFS(Opex_Budget!$Z:$Z,Opex_Budget!$A:$A,$C$3,Opex_Budget!$E:$E,$B$1106,Opex_Budget!$F:$F,$D$1106,Opex_Budget!$N:$N,"USD")*$F$5+SUMIFS(Opex_Budget!$Z:$Z,Opex_Budget!$A:$A,$C$3,Opex_Budget!$E:$E,$B$1106,Opex_Budget!$F:$F,$D$1106,Opex_Budget!$N:$N,"EUR")*$G$5+SUMIFS(Opex_Budget!$Z:$Z,Opex_Budget!$A:$A,$C$3,Opex_Budget!$E:$E,$B$1106,Opex_Budget!$F:$F,$D$1106,Opex_Budget!$N:$N,"GBP")*$H$5)</f>
        <v/>
      </c>
      <c r="T1106" s="32">
        <f>IF($B$1106="","",SUMIF($H$7:$S$7,"&lt;="&amp;$C$4,$H1106:$S1106))</f>
        <v/>
      </c>
      <c r="U1106" s="32">
        <f>IF($B$1106="","",SUMIF($H$7:$S$7,"&gt;"&amp;$C$4,$H1106:$S1106))</f>
        <v/>
      </c>
      <c r="V1106" s="32">
        <f>IF($B$1106="","",SUM($H1106:$S1106))</f>
        <v/>
      </c>
      <c r="X1106" s="22">
        <f>IF($B1106="","",IFERROR(INDEX(Cost_Centers!$E:$E,MATCH($B1106,Cost_Centers!$A:$A,0)),"(unknown)"))</f>
        <v/>
      </c>
      <c r="Y1106" s="22">
        <f>IF($B1106="","",IFERROR(INDEX(Cost_Centers!$D:$D,MATCH($B1106,Cost_Centers!$A:$A,0)),"(unknown)"))</f>
        <v/>
      </c>
      <c r="Z1106" s="22">
        <f>IF(OR($B1106="",$G1106&lt;&gt;"Variance vs Budget"),"",ABS(N($V1106))+ROW()/1000000000)</f>
        <v/>
      </c>
    </row>
    <row r="1107">
      <c r="A1107" s="13">
        <f>IF(A$1106="","",A$1106)</f>
        <v/>
      </c>
      <c r="B1107" s="13">
        <f>IF(B$1106="","",B$1106)</f>
        <v/>
      </c>
      <c r="C1107" s="13">
        <f>IF(C$1106="","",C$1106)</f>
        <v/>
      </c>
      <c r="D1107" s="13">
        <f>IF(D$1106="","",D$1106)</f>
        <v/>
      </c>
      <c r="E1107" s="13">
        <f>IF(E$1106="","",E$1106)</f>
        <v/>
      </c>
      <c r="F1107" s="13">
        <f>IF(F$1106="","",F$1106)</f>
        <v/>
      </c>
      <c r="G1107" s="7" t="inlineStr">
        <is>
          <t>Actual</t>
        </is>
      </c>
      <c r="H1107" s="18">
        <f>IF(OR($B$1106="",1&gt;$C$4),"",SUMIFS(Actuals!$G:$G,Actuals!$B:$B,$C$3,Actuals!$C:$C,1,Actuals!$D:$D,$B$1106,Actuals!$A:$A,LEFT($D$1106,FIND("|",$D$1106&amp;"|")-1),Actuals!$E:$E,MID($D$1106,FIND("|",$D$1106&amp;"|")+1,50),Actuals!$F:$F,"JPY")*$E$5+SUMIFS(Actuals!$G:$G,Actuals!$B:$B,$C$3,Actuals!$C:$C,1,Actuals!$D:$D,$B$1106,Actuals!$A:$A,LEFT($D$1106,FIND("|",$D$1106&amp;"|")-1),Actuals!$E:$E,MID($D$1106,FIND("|",$D$1106&amp;"|")+1,50),Actuals!$F:$F,"USD")*$F$5+SUMIFS(Actuals!$G:$G,Actuals!$B:$B,$C$3,Actuals!$C:$C,1,Actuals!$D:$D,$B$1106,Actuals!$A:$A,LEFT($D$1106,FIND("|",$D$1106&amp;"|")-1),Actuals!$E:$E,MID($D$1106,FIND("|",$D$1106&amp;"|")+1,50),Actuals!$F:$F,"EUR")*$G$5+SUMIFS(Actuals!$G:$G,Actuals!$B:$B,$C$3,Actuals!$C:$C,1,Actuals!$D:$D,$B$1106,Actuals!$A:$A,LEFT($D$1106,FIND("|",$D$1106&amp;"|")-1),Actuals!$E:$E,MID($D$1106,FIND("|",$D$1106&amp;"|")+1,50),Actuals!$F:$F,"GBP")*$H$5)</f>
        <v/>
      </c>
      <c r="I1107" s="18">
        <f>IF(OR($B$1106="",2&gt;$C$4),"",SUMIFS(Actuals!$G:$G,Actuals!$B:$B,$C$3,Actuals!$C:$C,2,Actuals!$D:$D,$B$1106,Actuals!$A:$A,LEFT($D$1106,FIND("|",$D$1106&amp;"|")-1),Actuals!$E:$E,MID($D$1106,FIND("|",$D$1106&amp;"|")+1,50),Actuals!$F:$F,"JPY")*$E$5+SUMIFS(Actuals!$G:$G,Actuals!$B:$B,$C$3,Actuals!$C:$C,2,Actuals!$D:$D,$B$1106,Actuals!$A:$A,LEFT($D$1106,FIND("|",$D$1106&amp;"|")-1),Actuals!$E:$E,MID($D$1106,FIND("|",$D$1106&amp;"|")+1,50),Actuals!$F:$F,"USD")*$F$5+SUMIFS(Actuals!$G:$G,Actuals!$B:$B,$C$3,Actuals!$C:$C,2,Actuals!$D:$D,$B$1106,Actuals!$A:$A,LEFT($D$1106,FIND("|",$D$1106&amp;"|")-1),Actuals!$E:$E,MID($D$1106,FIND("|",$D$1106&amp;"|")+1,50),Actuals!$F:$F,"EUR")*$G$5+SUMIFS(Actuals!$G:$G,Actuals!$B:$B,$C$3,Actuals!$C:$C,2,Actuals!$D:$D,$B$1106,Actuals!$A:$A,LEFT($D$1106,FIND("|",$D$1106&amp;"|")-1),Actuals!$E:$E,MID($D$1106,FIND("|",$D$1106&amp;"|")+1,50),Actuals!$F:$F,"GBP")*$H$5)</f>
        <v/>
      </c>
      <c r="J1107" s="18">
        <f>IF(OR($B$1106="",3&gt;$C$4),"",SUMIFS(Actuals!$G:$G,Actuals!$B:$B,$C$3,Actuals!$C:$C,3,Actuals!$D:$D,$B$1106,Actuals!$A:$A,LEFT($D$1106,FIND("|",$D$1106&amp;"|")-1),Actuals!$E:$E,MID($D$1106,FIND("|",$D$1106&amp;"|")+1,50),Actuals!$F:$F,"JPY")*$E$5+SUMIFS(Actuals!$G:$G,Actuals!$B:$B,$C$3,Actuals!$C:$C,3,Actuals!$D:$D,$B$1106,Actuals!$A:$A,LEFT($D$1106,FIND("|",$D$1106&amp;"|")-1),Actuals!$E:$E,MID($D$1106,FIND("|",$D$1106&amp;"|")+1,50),Actuals!$F:$F,"USD")*$F$5+SUMIFS(Actuals!$G:$G,Actuals!$B:$B,$C$3,Actuals!$C:$C,3,Actuals!$D:$D,$B$1106,Actuals!$A:$A,LEFT($D$1106,FIND("|",$D$1106&amp;"|")-1),Actuals!$E:$E,MID($D$1106,FIND("|",$D$1106&amp;"|")+1,50),Actuals!$F:$F,"EUR")*$G$5+SUMIFS(Actuals!$G:$G,Actuals!$B:$B,$C$3,Actuals!$C:$C,3,Actuals!$D:$D,$B$1106,Actuals!$A:$A,LEFT($D$1106,FIND("|",$D$1106&amp;"|")-1),Actuals!$E:$E,MID($D$1106,FIND("|",$D$1106&amp;"|")+1,50),Actuals!$F:$F,"GBP")*$H$5)</f>
        <v/>
      </c>
      <c r="K1107" s="18">
        <f>IF(OR($B$1106="",4&gt;$C$4),"",SUMIFS(Actuals!$G:$G,Actuals!$B:$B,$C$3,Actuals!$C:$C,4,Actuals!$D:$D,$B$1106,Actuals!$A:$A,LEFT($D$1106,FIND("|",$D$1106&amp;"|")-1),Actuals!$E:$E,MID($D$1106,FIND("|",$D$1106&amp;"|")+1,50),Actuals!$F:$F,"JPY")*$E$5+SUMIFS(Actuals!$G:$G,Actuals!$B:$B,$C$3,Actuals!$C:$C,4,Actuals!$D:$D,$B$1106,Actuals!$A:$A,LEFT($D$1106,FIND("|",$D$1106&amp;"|")-1),Actuals!$E:$E,MID($D$1106,FIND("|",$D$1106&amp;"|")+1,50),Actuals!$F:$F,"USD")*$F$5+SUMIFS(Actuals!$G:$G,Actuals!$B:$B,$C$3,Actuals!$C:$C,4,Actuals!$D:$D,$B$1106,Actuals!$A:$A,LEFT($D$1106,FIND("|",$D$1106&amp;"|")-1),Actuals!$E:$E,MID($D$1106,FIND("|",$D$1106&amp;"|")+1,50),Actuals!$F:$F,"EUR")*$G$5+SUMIFS(Actuals!$G:$G,Actuals!$B:$B,$C$3,Actuals!$C:$C,4,Actuals!$D:$D,$B$1106,Actuals!$A:$A,LEFT($D$1106,FIND("|",$D$1106&amp;"|")-1),Actuals!$E:$E,MID($D$1106,FIND("|",$D$1106&amp;"|")+1,50),Actuals!$F:$F,"GBP")*$H$5)</f>
        <v/>
      </c>
      <c r="L1107" s="18">
        <f>IF(OR($B$1106="",5&gt;$C$4),"",SUMIFS(Actuals!$G:$G,Actuals!$B:$B,$C$3,Actuals!$C:$C,5,Actuals!$D:$D,$B$1106,Actuals!$A:$A,LEFT($D$1106,FIND("|",$D$1106&amp;"|")-1),Actuals!$E:$E,MID($D$1106,FIND("|",$D$1106&amp;"|")+1,50),Actuals!$F:$F,"JPY")*$E$5+SUMIFS(Actuals!$G:$G,Actuals!$B:$B,$C$3,Actuals!$C:$C,5,Actuals!$D:$D,$B$1106,Actuals!$A:$A,LEFT($D$1106,FIND("|",$D$1106&amp;"|")-1),Actuals!$E:$E,MID($D$1106,FIND("|",$D$1106&amp;"|")+1,50),Actuals!$F:$F,"USD")*$F$5+SUMIFS(Actuals!$G:$G,Actuals!$B:$B,$C$3,Actuals!$C:$C,5,Actuals!$D:$D,$B$1106,Actuals!$A:$A,LEFT($D$1106,FIND("|",$D$1106&amp;"|")-1),Actuals!$E:$E,MID($D$1106,FIND("|",$D$1106&amp;"|")+1,50),Actuals!$F:$F,"EUR")*$G$5+SUMIFS(Actuals!$G:$G,Actuals!$B:$B,$C$3,Actuals!$C:$C,5,Actuals!$D:$D,$B$1106,Actuals!$A:$A,LEFT($D$1106,FIND("|",$D$1106&amp;"|")-1),Actuals!$E:$E,MID($D$1106,FIND("|",$D$1106&amp;"|")+1,50),Actuals!$F:$F,"GBP")*$H$5)</f>
        <v/>
      </c>
      <c r="M1107" s="18">
        <f>IF(OR($B$1106="",6&gt;$C$4),"",SUMIFS(Actuals!$G:$G,Actuals!$B:$B,$C$3,Actuals!$C:$C,6,Actuals!$D:$D,$B$1106,Actuals!$A:$A,LEFT($D$1106,FIND("|",$D$1106&amp;"|")-1),Actuals!$E:$E,MID($D$1106,FIND("|",$D$1106&amp;"|")+1,50),Actuals!$F:$F,"JPY")*$E$5+SUMIFS(Actuals!$G:$G,Actuals!$B:$B,$C$3,Actuals!$C:$C,6,Actuals!$D:$D,$B$1106,Actuals!$A:$A,LEFT($D$1106,FIND("|",$D$1106&amp;"|")-1),Actuals!$E:$E,MID($D$1106,FIND("|",$D$1106&amp;"|")+1,50),Actuals!$F:$F,"USD")*$F$5+SUMIFS(Actuals!$G:$G,Actuals!$B:$B,$C$3,Actuals!$C:$C,6,Actuals!$D:$D,$B$1106,Actuals!$A:$A,LEFT($D$1106,FIND("|",$D$1106&amp;"|")-1),Actuals!$E:$E,MID($D$1106,FIND("|",$D$1106&amp;"|")+1,50),Actuals!$F:$F,"EUR")*$G$5+SUMIFS(Actuals!$G:$G,Actuals!$B:$B,$C$3,Actuals!$C:$C,6,Actuals!$D:$D,$B$1106,Actuals!$A:$A,LEFT($D$1106,FIND("|",$D$1106&amp;"|")-1),Actuals!$E:$E,MID($D$1106,FIND("|",$D$1106&amp;"|")+1,50),Actuals!$F:$F,"GBP")*$H$5)</f>
        <v/>
      </c>
      <c r="N1107" s="18">
        <f>IF(OR($B$1106="",7&gt;$C$4),"",SUMIFS(Actuals!$G:$G,Actuals!$B:$B,$C$3,Actuals!$C:$C,7,Actuals!$D:$D,$B$1106,Actuals!$A:$A,LEFT($D$1106,FIND("|",$D$1106&amp;"|")-1),Actuals!$E:$E,MID($D$1106,FIND("|",$D$1106&amp;"|")+1,50),Actuals!$F:$F,"JPY")*$E$5+SUMIFS(Actuals!$G:$G,Actuals!$B:$B,$C$3,Actuals!$C:$C,7,Actuals!$D:$D,$B$1106,Actuals!$A:$A,LEFT($D$1106,FIND("|",$D$1106&amp;"|")-1),Actuals!$E:$E,MID($D$1106,FIND("|",$D$1106&amp;"|")+1,50),Actuals!$F:$F,"USD")*$F$5+SUMIFS(Actuals!$G:$G,Actuals!$B:$B,$C$3,Actuals!$C:$C,7,Actuals!$D:$D,$B$1106,Actuals!$A:$A,LEFT($D$1106,FIND("|",$D$1106&amp;"|")-1),Actuals!$E:$E,MID($D$1106,FIND("|",$D$1106&amp;"|")+1,50),Actuals!$F:$F,"EUR")*$G$5+SUMIFS(Actuals!$G:$G,Actuals!$B:$B,$C$3,Actuals!$C:$C,7,Actuals!$D:$D,$B$1106,Actuals!$A:$A,LEFT($D$1106,FIND("|",$D$1106&amp;"|")-1),Actuals!$E:$E,MID($D$1106,FIND("|",$D$1106&amp;"|")+1,50),Actuals!$F:$F,"GBP")*$H$5)</f>
        <v/>
      </c>
      <c r="O1107" s="18">
        <f>IF(OR($B$1106="",8&gt;$C$4),"",SUMIFS(Actuals!$G:$G,Actuals!$B:$B,$C$3,Actuals!$C:$C,8,Actuals!$D:$D,$B$1106,Actuals!$A:$A,LEFT($D$1106,FIND("|",$D$1106&amp;"|")-1),Actuals!$E:$E,MID($D$1106,FIND("|",$D$1106&amp;"|")+1,50),Actuals!$F:$F,"JPY")*$E$5+SUMIFS(Actuals!$G:$G,Actuals!$B:$B,$C$3,Actuals!$C:$C,8,Actuals!$D:$D,$B$1106,Actuals!$A:$A,LEFT($D$1106,FIND("|",$D$1106&amp;"|")-1),Actuals!$E:$E,MID($D$1106,FIND("|",$D$1106&amp;"|")+1,50),Actuals!$F:$F,"USD")*$F$5+SUMIFS(Actuals!$G:$G,Actuals!$B:$B,$C$3,Actuals!$C:$C,8,Actuals!$D:$D,$B$1106,Actuals!$A:$A,LEFT($D$1106,FIND("|",$D$1106&amp;"|")-1),Actuals!$E:$E,MID($D$1106,FIND("|",$D$1106&amp;"|")+1,50),Actuals!$F:$F,"EUR")*$G$5+SUMIFS(Actuals!$G:$G,Actuals!$B:$B,$C$3,Actuals!$C:$C,8,Actuals!$D:$D,$B$1106,Actuals!$A:$A,LEFT($D$1106,FIND("|",$D$1106&amp;"|")-1),Actuals!$E:$E,MID($D$1106,FIND("|",$D$1106&amp;"|")+1,50),Actuals!$F:$F,"GBP")*$H$5)</f>
        <v/>
      </c>
      <c r="P1107" s="18">
        <f>IF(OR($B$1106="",9&gt;$C$4),"",SUMIFS(Actuals!$G:$G,Actuals!$B:$B,$C$3,Actuals!$C:$C,9,Actuals!$D:$D,$B$1106,Actuals!$A:$A,LEFT($D$1106,FIND("|",$D$1106&amp;"|")-1),Actuals!$E:$E,MID($D$1106,FIND("|",$D$1106&amp;"|")+1,50),Actuals!$F:$F,"JPY")*$E$5+SUMIFS(Actuals!$G:$G,Actuals!$B:$B,$C$3,Actuals!$C:$C,9,Actuals!$D:$D,$B$1106,Actuals!$A:$A,LEFT($D$1106,FIND("|",$D$1106&amp;"|")-1),Actuals!$E:$E,MID($D$1106,FIND("|",$D$1106&amp;"|")+1,50),Actuals!$F:$F,"USD")*$F$5+SUMIFS(Actuals!$G:$G,Actuals!$B:$B,$C$3,Actuals!$C:$C,9,Actuals!$D:$D,$B$1106,Actuals!$A:$A,LEFT($D$1106,FIND("|",$D$1106&amp;"|")-1),Actuals!$E:$E,MID($D$1106,FIND("|",$D$1106&amp;"|")+1,50),Actuals!$F:$F,"EUR")*$G$5+SUMIFS(Actuals!$G:$G,Actuals!$B:$B,$C$3,Actuals!$C:$C,9,Actuals!$D:$D,$B$1106,Actuals!$A:$A,LEFT($D$1106,FIND("|",$D$1106&amp;"|")-1),Actuals!$E:$E,MID($D$1106,FIND("|",$D$1106&amp;"|")+1,50),Actuals!$F:$F,"GBP")*$H$5)</f>
        <v/>
      </c>
      <c r="Q1107" s="18">
        <f>IF(OR($B$1106="",10&gt;$C$4),"",SUMIFS(Actuals!$G:$G,Actuals!$B:$B,$C$3,Actuals!$C:$C,10,Actuals!$D:$D,$B$1106,Actuals!$A:$A,LEFT($D$1106,FIND("|",$D$1106&amp;"|")-1),Actuals!$E:$E,MID($D$1106,FIND("|",$D$1106&amp;"|")+1,50),Actuals!$F:$F,"JPY")*$E$5+SUMIFS(Actuals!$G:$G,Actuals!$B:$B,$C$3,Actuals!$C:$C,10,Actuals!$D:$D,$B$1106,Actuals!$A:$A,LEFT($D$1106,FIND("|",$D$1106&amp;"|")-1),Actuals!$E:$E,MID($D$1106,FIND("|",$D$1106&amp;"|")+1,50),Actuals!$F:$F,"USD")*$F$5+SUMIFS(Actuals!$G:$G,Actuals!$B:$B,$C$3,Actuals!$C:$C,10,Actuals!$D:$D,$B$1106,Actuals!$A:$A,LEFT($D$1106,FIND("|",$D$1106&amp;"|")-1),Actuals!$E:$E,MID($D$1106,FIND("|",$D$1106&amp;"|")+1,50),Actuals!$F:$F,"EUR")*$G$5+SUMIFS(Actuals!$G:$G,Actuals!$B:$B,$C$3,Actuals!$C:$C,10,Actuals!$D:$D,$B$1106,Actuals!$A:$A,LEFT($D$1106,FIND("|",$D$1106&amp;"|")-1),Actuals!$E:$E,MID($D$1106,FIND("|",$D$1106&amp;"|")+1,50),Actuals!$F:$F,"GBP")*$H$5)</f>
        <v/>
      </c>
      <c r="R1107" s="18">
        <f>IF(OR($B$1106="",11&gt;$C$4),"",SUMIFS(Actuals!$G:$G,Actuals!$B:$B,$C$3,Actuals!$C:$C,11,Actuals!$D:$D,$B$1106,Actuals!$A:$A,LEFT($D$1106,FIND("|",$D$1106&amp;"|")-1),Actuals!$E:$E,MID($D$1106,FIND("|",$D$1106&amp;"|")+1,50),Actuals!$F:$F,"JPY")*$E$5+SUMIFS(Actuals!$G:$G,Actuals!$B:$B,$C$3,Actuals!$C:$C,11,Actuals!$D:$D,$B$1106,Actuals!$A:$A,LEFT($D$1106,FIND("|",$D$1106&amp;"|")-1),Actuals!$E:$E,MID($D$1106,FIND("|",$D$1106&amp;"|")+1,50),Actuals!$F:$F,"USD")*$F$5+SUMIFS(Actuals!$G:$G,Actuals!$B:$B,$C$3,Actuals!$C:$C,11,Actuals!$D:$D,$B$1106,Actuals!$A:$A,LEFT($D$1106,FIND("|",$D$1106&amp;"|")-1),Actuals!$E:$E,MID($D$1106,FIND("|",$D$1106&amp;"|")+1,50),Actuals!$F:$F,"EUR")*$G$5+SUMIFS(Actuals!$G:$G,Actuals!$B:$B,$C$3,Actuals!$C:$C,11,Actuals!$D:$D,$B$1106,Actuals!$A:$A,LEFT($D$1106,FIND("|",$D$1106&amp;"|")-1),Actuals!$E:$E,MID($D$1106,FIND("|",$D$1106&amp;"|")+1,50),Actuals!$F:$F,"GBP")*$H$5)</f>
        <v/>
      </c>
      <c r="S1107" s="18">
        <f>IF(OR($B$1106="",12&gt;$C$4),"",SUMIFS(Actuals!$G:$G,Actuals!$B:$B,$C$3,Actuals!$C:$C,12,Actuals!$D:$D,$B$1106,Actuals!$A:$A,LEFT($D$1106,FIND("|",$D$1106&amp;"|")-1),Actuals!$E:$E,MID($D$1106,FIND("|",$D$1106&amp;"|")+1,50),Actuals!$F:$F,"JPY")*$E$5+SUMIFS(Actuals!$G:$G,Actuals!$B:$B,$C$3,Actuals!$C:$C,12,Actuals!$D:$D,$B$1106,Actuals!$A:$A,LEFT($D$1106,FIND("|",$D$1106&amp;"|")-1),Actuals!$E:$E,MID($D$1106,FIND("|",$D$1106&amp;"|")+1,50),Actuals!$F:$F,"USD")*$F$5+SUMIFS(Actuals!$G:$G,Actuals!$B:$B,$C$3,Actuals!$C:$C,12,Actuals!$D:$D,$B$1106,Actuals!$A:$A,LEFT($D$1106,FIND("|",$D$1106&amp;"|")-1),Actuals!$E:$E,MID($D$1106,FIND("|",$D$1106&amp;"|")+1,50),Actuals!$F:$F,"EUR")*$G$5+SUMIFS(Actuals!$G:$G,Actuals!$B:$B,$C$3,Actuals!$C:$C,12,Actuals!$D:$D,$B$1106,Actuals!$A:$A,LEFT($D$1106,FIND("|",$D$1106&amp;"|")-1),Actuals!$E:$E,MID($D$1106,FIND("|",$D$1106&amp;"|")+1,50),Actuals!$F:$F,"GBP")*$H$5)</f>
        <v/>
      </c>
      <c r="T1107" s="18">
        <f>IF($B$1106="","",SUMIF($H$7:$S$7,"&lt;="&amp;$C$4,$H1107:$S1107))</f>
        <v/>
      </c>
      <c r="U1107" s="18" t="n"/>
      <c r="V1107" s="18" t="n"/>
      <c r="X1107" s="22">
        <f>IF($B1107="","",IFERROR(INDEX(Cost_Centers!$E:$E,MATCH($B1107,Cost_Centers!$A:$A,0)),"(unknown)"))</f>
        <v/>
      </c>
      <c r="Y1107" s="22">
        <f>IF($B1107="","",IFERROR(INDEX(Cost_Centers!$D:$D,MATCH($B1107,Cost_Centers!$A:$A,0)),"(unknown)"))</f>
        <v/>
      </c>
      <c r="Z1107" s="22">
        <f>IF(OR($B1107="",$G1107&lt;&gt;"Variance vs Budget"),"",ABS(N($V1107))+ROW()/1000000000)</f>
        <v/>
      </c>
    </row>
    <row r="1108">
      <c r="A1108" s="13">
        <f>IF(A$1106="","",A$1106)</f>
        <v/>
      </c>
      <c r="B1108" s="13">
        <f>IF(B$1106="","",B$1106)</f>
        <v/>
      </c>
      <c r="C1108" s="13">
        <f>IF(C$1106="","",C$1106)</f>
        <v/>
      </c>
      <c r="D1108" s="13">
        <f>IF(D$1106="","",D$1106)</f>
        <v/>
      </c>
      <c r="E1108" s="13">
        <f>IF(E$1106="","",E$1106)</f>
        <v/>
      </c>
      <c r="F1108" s="13">
        <f>IF(F$1106="","",F$1106)</f>
        <v/>
      </c>
      <c r="G1108" s="6" t="inlineStr">
        <is>
          <t>Variance vs Budget</t>
        </is>
      </c>
      <c r="H1108" s="33">
        <f>IF(OR($B$1106="",1&gt;$C$4),"",N(H1107)-H1106)</f>
        <v/>
      </c>
      <c r="I1108" s="33">
        <f>IF(OR($B$1106="",2&gt;$C$4),"",N(I1107)-I1106)</f>
        <v/>
      </c>
      <c r="J1108" s="33">
        <f>IF(OR($B$1106="",3&gt;$C$4),"",N(J1107)-J1106)</f>
        <v/>
      </c>
      <c r="K1108" s="33">
        <f>IF(OR($B$1106="",4&gt;$C$4),"",N(K1107)-K1106)</f>
        <v/>
      </c>
      <c r="L1108" s="33">
        <f>IF(OR($B$1106="",5&gt;$C$4),"",N(L1107)-L1106)</f>
        <v/>
      </c>
      <c r="M1108" s="33">
        <f>IF(OR($B$1106="",6&gt;$C$4),"",N(M1107)-M1106)</f>
        <v/>
      </c>
      <c r="N1108" s="33">
        <f>IF(OR($B$1106="",7&gt;$C$4),"",N(N1107)-N1106)</f>
        <v/>
      </c>
      <c r="O1108" s="33">
        <f>IF(OR($B$1106="",8&gt;$C$4),"",N(O1107)-O1106)</f>
        <v/>
      </c>
      <c r="P1108" s="33">
        <f>IF(OR($B$1106="",9&gt;$C$4),"",N(P1107)-P1106)</f>
        <v/>
      </c>
      <c r="Q1108" s="33">
        <f>IF(OR($B$1106="",10&gt;$C$4),"",N(Q1107)-Q1106)</f>
        <v/>
      </c>
      <c r="R1108" s="33">
        <f>IF(OR($B$1106="",11&gt;$C$4),"",N(R1107)-R1106)</f>
        <v/>
      </c>
      <c r="S1108" s="33">
        <f>IF(OR($B$1106="",12&gt;$C$4),"",N(S1107)-S1106)</f>
        <v/>
      </c>
      <c r="T1108" s="33">
        <f>IF($B$1106="","",T1107-T1106)</f>
        <v/>
      </c>
      <c r="U1108" s="33">
        <f>IF($B$1106="","",U1110-U1106)</f>
        <v/>
      </c>
      <c r="V1108" s="33">
        <f>IF($B$1106="","",V1110-V1106)</f>
        <v/>
      </c>
      <c r="X1108" s="22">
        <f>IF($B1108="","",IFERROR(INDEX(Cost_Centers!$E:$E,MATCH($B1108,Cost_Centers!$A:$A,0)),"(unknown)"))</f>
        <v/>
      </c>
      <c r="Y1108" s="22">
        <f>IF($B1108="","",IFERROR(INDEX(Cost_Centers!$D:$D,MATCH($B1108,Cost_Centers!$A:$A,0)),"(unknown)"))</f>
        <v/>
      </c>
      <c r="Z1108" s="22">
        <f>IF(OR($B1108="",$G1108&lt;&gt;"Variance vs Budget"),"",ABS(N($V1108))+ROW()/1000000000)</f>
        <v/>
      </c>
    </row>
    <row r="1109">
      <c r="A1109" s="13">
        <f>IF(A$1106="","",A$1106)</f>
        <v/>
      </c>
      <c r="B1109" s="13">
        <f>IF(B$1106="","",B$1106)</f>
        <v/>
      </c>
      <c r="C1109" s="13">
        <f>IF(C$1106="","",C$1106)</f>
        <v/>
      </c>
      <c r="D1109" s="13">
        <f>IF(D$1106="","",D$1106)</f>
        <v/>
      </c>
      <c r="E1109" s="13">
        <f>IF(E$1106="","",E$1106)</f>
        <v/>
      </c>
      <c r="F1109" s="13">
        <f>IF(F$1106="","",F$1106)</f>
        <v/>
      </c>
      <c r="G1109" s="7" t="inlineStr">
        <is>
          <t>Forecast (input)</t>
        </is>
      </c>
      <c r="H1109" s="34" t="n"/>
      <c r="I1109" s="34" t="n"/>
      <c r="J1109" s="34" t="n"/>
      <c r="K1109" s="34" t="n"/>
      <c r="L1109" s="34" t="n"/>
      <c r="M1109" s="34" t="n"/>
      <c r="N1109" s="34" t="n"/>
      <c r="O1109" s="34" t="n"/>
      <c r="P1109" s="34" t="n"/>
      <c r="Q1109" s="34" t="n"/>
      <c r="R1109" s="34" t="n"/>
      <c r="S1109" s="34" t="n"/>
      <c r="T1109" s="18" t="n"/>
      <c r="U1109" s="18" t="n"/>
      <c r="V1109" s="18" t="n"/>
      <c r="X1109" s="22">
        <f>IF($B1109="","",IFERROR(INDEX(Cost_Centers!$E:$E,MATCH($B1109,Cost_Centers!$A:$A,0)),"(unknown)"))</f>
        <v/>
      </c>
      <c r="Y1109" s="22">
        <f>IF($B1109="","",IFERROR(INDEX(Cost_Centers!$D:$D,MATCH($B1109,Cost_Centers!$A:$A,0)),"(unknown)"))</f>
        <v/>
      </c>
      <c r="Z1109" s="22">
        <f>IF(OR($B1109="",$G1109&lt;&gt;"Variance vs Budget"),"",ABS(N($V1109))+ROW()/1000000000)</f>
        <v/>
      </c>
    </row>
    <row r="1110">
      <c r="A1110" s="13">
        <f>IF(A$1106="","",A$1106)</f>
        <v/>
      </c>
      <c r="B1110" s="13">
        <f>IF(B$1106="","",B$1106)</f>
        <v/>
      </c>
      <c r="C1110" s="13">
        <f>IF(C$1106="","",C$1106)</f>
        <v/>
      </c>
      <c r="D1110" s="13">
        <f>IF(D$1106="","",D$1106)</f>
        <v/>
      </c>
      <c r="E1110" s="13">
        <f>IF(E$1106="","",E$1106)</f>
        <v/>
      </c>
      <c r="F1110" s="13">
        <f>IF(F$1106="","",F$1106)</f>
        <v/>
      </c>
      <c r="G1110" s="35" t="inlineStr">
        <is>
          <t>Actual + Forecast</t>
        </is>
      </c>
      <c r="H1110" s="18">
        <f>IF($B$1106="","",IF(1&lt;=$C$4,N(H1107),IF(H1109="",H1106,H1109)))</f>
        <v/>
      </c>
      <c r="I1110" s="18">
        <f>IF($B$1106="","",IF(2&lt;=$C$4,N(I1107),IF(I1109="",I1106,I1109)))</f>
        <v/>
      </c>
      <c r="J1110" s="18">
        <f>IF($B$1106="","",IF(3&lt;=$C$4,N(J1107),IF(J1109="",J1106,J1109)))</f>
        <v/>
      </c>
      <c r="K1110" s="18">
        <f>IF($B$1106="","",IF(4&lt;=$C$4,N(K1107),IF(K1109="",K1106,K1109)))</f>
        <v/>
      </c>
      <c r="L1110" s="18">
        <f>IF($B$1106="","",IF(5&lt;=$C$4,N(L1107),IF(L1109="",L1106,L1109)))</f>
        <v/>
      </c>
      <c r="M1110" s="18">
        <f>IF($B$1106="","",IF(6&lt;=$C$4,N(M1107),IF(M1109="",M1106,M1109)))</f>
        <v/>
      </c>
      <c r="N1110" s="18">
        <f>IF($B$1106="","",IF(7&lt;=$C$4,N(N1107),IF(N1109="",N1106,N1109)))</f>
        <v/>
      </c>
      <c r="O1110" s="18">
        <f>IF($B$1106="","",IF(8&lt;=$C$4,N(O1107),IF(O1109="",O1106,O1109)))</f>
        <v/>
      </c>
      <c r="P1110" s="18">
        <f>IF($B$1106="","",IF(9&lt;=$C$4,N(P1107),IF(P1109="",P1106,P1109)))</f>
        <v/>
      </c>
      <c r="Q1110" s="18">
        <f>IF($B$1106="","",IF(10&lt;=$C$4,N(Q1107),IF(Q1109="",Q1106,Q1109)))</f>
        <v/>
      </c>
      <c r="R1110" s="18">
        <f>IF($B$1106="","",IF(11&lt;=$C$4,N(R1107),IF(R1109="",R1106,R1109)))</f>
        <v/>
      </c>
      <c r="S1110" s="18">
        <f>IF($B$1106="","",IF(12&lt;=$C$4,N(S1107),IF(S1109="",S1106,S1109)))</f>
        <v/>
      </c>
      <c r="T1110" s="18">
        <f>IF($B$1106="","",SUMIF($H$7:$S$7,"&lt;="&amp;$C$4,$H1110:$S1110))</f>
        <v/>
      </c>
      <c r="U1110" s="18">
        <f>IF($B$1106="","",SUMIF($H$7:$S$7,"&gt;"&amp;$C$4,$H1110:$S1110))</f>
        <v/>
      </c>
      <c r="V1110" s="18">
        <f>IF($B$1106="","",SUM($H1110:$S1110))</f>
        <v/>
      </c>
      <c r="X1110" s="22">
        <f>IF($B1110="","",IFERROR(INDEX(Cost_Centers!$E:$E,MATCH($B1110,Cost_Centers!$A:$A,0)),"(unknown)"))</f>
        <v/>
      </c>
      <c r="Y1110" s="22">
        <f>IF($B1110="","",IFERROR(INDEX(Cost_Centers!$D:$D,MATCH($B1110,Cost_Centers!$A:$A,0)),"(unknown)"))</f>
        <v/>
      </c>
      <c r="Z1110" s="22">
        <f>IF(OR($B1110="",$G1110&lt;&gt;"Variance vs Budget"),"",ABS(N($V1110))+ROW()/1000000000)</f>
        <v/>
      </c>
    </row>
    <row r="1111">
      <c r="A1111" s="13">
        <f>IF(A$1106="","",A$1106)</f>
        <v/>
      </c>
      <c r="B1111" s="13">
        <f>IF(B$1106="","",B$1106)</f>
        <v/>
      </c>
      <c r="C1111" s="13">
        <f>IF(C$1106="","",C$1106)</f>
        <v/>
      </c>
      <c r="D1111" s="13">
        <f>IF(D$1106="","",D$1106)</f>
        <v/>
      </c>
      <c r="E1111" s="13">
        <f>IF(E$1106="","",E$1106)</f>
        <v/>
      </c>
      <c r="F1111" s="13">
        <f>IF(F$1106="","",F$1106)</f>
        <v/>
      </c>
      <c r="G1111" s="36" t="inlineStr">
        <is>
          <t>Prior Month Forecast</t>
        </is>
      </c>
      <c r="H1111" s="37">
        <f>IF($B$1106="","",IF(COUNTIFS(Prior_Forecast!$A:$A,$B$1106,Prior_Forecast!$B:$B,$D$1106)&gt;0,SUMIFS(Prior_Forecast!$C:$C,Prior_Forecast!$A:$A,$B$1106,Prior_Forecast!$B:$B,$D$1106),""))</f>
        <v/>
      </c>
      <c r="I1111" s="37">
        <f>IF($B$1106="","",IF(COUNTIFS(Prior_Forecast!$A:$A,$B$1106,Prior_Forecast!$B:$B,$D$1106)&gt;0,SUMIFS(Prior_Forecast!$D:$D,Prior_Forecast!$A:$A,$B$1106,Prior_Forecast!$B:$B,$D$1106),""))</f>
        <v/>
      </c>
      <c r="J1111" s="37">
        <f>IF($B$1106="","",IF(COUNTIFS(Prior_Forecast!$A:$A,$B$1106,Prior_Forecast!$B:$B,$D$1106)&gt;0,SUMIFS(Prior_Forecast!$E:$E,Prior_Forecast!$A:$A,$B$1106,Prior_Forecast!$B:$B,$D$1106),""))</f>
        <v/>
      </c>
      <c r="K1111" s="37">
        <f>IF($B$1106="","",IF(COUNTIFS(Prior_Forecast!$A:$A,$B$1106,Prior_Forecast!$B:$B,$D$1106)&gt;0,SUMIFS(Prior_Forecast!$F:$F,Prior_Forecast!$A:$A,$B$1106,Prior_Forecast!$B:$B,$D$1106),""))</f>
        <v/>
      </c>
      <c r="L1111" s="37">
        <f>IF($B$1106="","",IF(COUNTIFS(Prior_Forecast!$A:$A,$B$1106,Prior_Forecast!$B:$B,$D$1106)&gt;0,SUMIFS(Prior_Forecast!$G:$G,Prior_Forecast!$A:$A,$B$1106,Prior_Forecast!$B:$B,$D$1106),""))</f>
        <v/>
      </c>
      <c r="M1111" s="37">
        <f>IF($B$1106="","",IF(COUNTIFS(Prior_Forecast!$A:$A,$B$1106,Prior_Forecast!$B:$B,$D$1106)&gt;0,SUMIFS(Prior_Forecast!$H:$H,Prior_Forecast!$A:$A,$B$1106,Prior_Forecast!$B:$B,$D$1106),""))</f>
        <v/>
      </c>
      <c r="N1111" s="37">
        <f>IF($B$1106="","",IF(COUNTIFS(Prior_Forecast!$A:$A,$B$1106,Prior_Forecast!$B:$B,$D$1106)&gt;0,SUMIFS(Prior_Forecast!$I:$I,Prior_Forecast!$A:$A,$B$1106,Prior_Forecast!$B:$B,$D$1106),""))</f>
        <v/>
      </c>
      <c r="O1111" s="37">
        <f>IF($B$1106="","",IF(COUNTIFS(Prior_Forecast!$A:$A,$B$1106,Prior_Forecast!$B:$B,$D$1106)&gt;0,SUMIFS(Prior_Forecast!$J:$J,Prior_Forecast!$A:$A,$B$1106,Prior_Forecast!$B:$B,$D$1106),""))</f>
        <v/>
      </c>
      <c r="P1111" s="37">
        <f>IF($B$1106="","",IF(COUNTIFS(Prior_Forecast!$A:$A,$B$1106,Prior_Forecast!$B:$B,$D$1106)&gt;0,SUMIFS(Prior_Forecast!$K:$K,Prior_Forecast!$A:$A,$B$1106,Prior_Forecast!$B:$B,$D$1106),""))</f>
        <v/>
      </c>
      <c r="Q1111" s="37">
        <f>IF($B$1106="","",IF(COUNTIFS(Prior_Forecast!$A:$A,$B$1106,Prior_Forecast!$B:$B,$D$1106)&gt;0,SUMIFS(Prior_Forecast!$L:$L,Prior_Forecast!$A:$A,$B$1106,Prior_Forecast!$B:$B,$D$1106),""))</f>
        <v/>
      </c>
      <c r="R1111" s="37">
        <f>IF($B$1106="","",IF(COUNTIFS(Prior_Forecast!$A:$A,$B$1106,Prior_Forecast!$B:$B,$D$1106)&gt;0,SUMIFS(Prior_Forecast!$M:$M,Prior_Forecast!$A:$A,$B$1106,Prior_Forecast!$B:$B,$D$1106),""))</f>
        <v/>
      </c>
      <c r="S1111" s="37">
        <f>IF($B$1106="","",IF(COUNTIFS(Prior_Forecast!$A:$A,$B$1106,Prior_Forecast!$B:$B,$D$1106)&gt;0,SUMIFS(Prior_Forecast!$N:$N,Prior_Forecast!$A:$A,$B$1106,Prior_Forecast!$B:$B,$D$1106),""))</f>
        <v/>
      </c>
      <c r="T1111" s="37">
        <f>IF($B$1106="","",IF(COUNTIFS(Prior_Forecast!$A:$A,$B$1106,Prior_Forecast!$B:$B,$D$1106)&gt;0,SUMIFS(Prior_Forecast!$O:$O,Prior_Forecast!$A:$A,$B$1106,Prior_Forecast!$B:$B,$D$1106),""))</f>
        <v/>
      </c>
      <c r="U1111" s="37">
        <f>IF($B$1106="","",IF(COUNTIFS(Prior_Forecast!$A:$A,$B$1106,Prior_Forecast!$B:$B,$D$1106)&gt;0,SUMIFS(Prior_Forecast!$P:$P,Prior_Forecast!$A:$A,$B$1106,Prior_Forecast!$B:$B,$D$1106),""))</f>
        <v/>
      </c>
      <c r="V1111" s="37">
        <f>IF($B$1106="","",IF(COUNTIFS(Prior_Forecast!$A:$A,$B$1106,Prior_Forecast!$B:$B,$D$1106)&gt;0,SUMIFS(Prior_Forecast!$Q:$Q,Prior_Forecast!$A:$A,$B$1106,Prior_Forecast!$B:$B,$D$1106),""))</f>
        <v/>
      </c>
      <c r="X1111" s="22">
        <f>IF($B1111="","",IFERROR(INDEX(Cost_Centers!$E:$E,MATCH($B1111,Cost_Centers!$A:$A,0)),"(unknown)"))</f>
        <v/>
      </c>
      <c r="Y1111" s="22">
        <f>IF($B1111="","",IFERROR(INDEX(Cost_Centers!$D:$D,MATCH($B1111,Cost_Centers!$A:$A,0)),"(unknown)"))</f>
        <v/>
      </c>
      <c r="Z1111" s="22">
        <f>IF(OR($B1111="",$G1111&lt;&gt;"Variance vs Budget"),"",ABS(N($V1111))+ROW()/1000000000)</f>
        <v/>
      </c>
    </row>
    <row r="1112">
      <c r="A1112" s="13">
        <f>IF(A$1106="","",A$1106)</f>
        <v/>
      </c>
      <c r="B1112" s="13">
        <f>IF(B$1106="","",B$1106)</f>
        <v/>
      </c>
      <c r="C1112" s="13">
        <f>IF(C$1106="","",C$1106)</f>
        <v/>
      </c>
      <c r="D1112" s="13">
        <f>IF(D$1106="","",D$1106)</f>
        <v/>
      </c>
      <c r="E1112" s="13">
        <f>IF(E$1106="","",E$1106)</f>
        <v/>
      </c>
      <c r="F1112" s="13">
        <f>IF(F$1106="","",F$1106)</f>
        <v/>
      </c>
      <c r="G1112" s="6" t="inlineStr">
        <is>
          <t>Variance vs Prior Month</t>
        </is>
      </c>
      <c r="H1112" s="33">
        <f>IF(OR($B$1106="",H1111=""),"",H1110-H1111)</f>
        <v/>
      </c>
      <c r="I1112" s="33">
        <f>IF(OR($B$1106="",I1111=""),"",I1110-I1111)</f>
        <v/>
      </c>
      <c r="J1112" s="33">
        <f>IF(OR($B$1106="",J1111=""),"",J1110-J1111)</f>
        <v/>
      </c>
      <c r="K1112" s="33">
        <f>IF(OR($B$1106="",K1111=""),"",K1110-K1111)</f>
        <v/>
      </c>
      <c r="L1112" s="33">
        <f>IF(OR($B$1106="",L1111=""),"",L1110-L1111)</f>
        <v/>
      </c>
      <c r="M1112" s="33">
        <f>IF(OR($B$1106="",M1111=""),"",M1110-M1111)</f>
        <v/>
      </c>
      <c r="N1112" s="33">
        <f>IF(OR($B$1106="",N1111=""),"",N1110-N1111)</f>
        <v/>
      </c>
      <c r="O1112" s="33">
        <f>IF(OR($B$1106="",O1111=""),"",O1110-O1111)</f>
        <v/>
      </c>
      <c r="P1112" s="33">
        <f>IF(OR($B$1106="",P1111=""),"",P1110-P1111)</f>
        <v/>
      </c>
      <c r="Q1112" s="33">
        <f>IF(OR($B$1106="",Q1111=""),"",Q1110-Q1111)</f>
        <v/>
      </c>
      <c r="R1112" s="33">
        <f>IF(OR($B$1106="",R1111=""),"",R1110-R1111)</f>
        <v/>
      </c>
      <c r="S1112" s="33">
        <f>IF(OR($B$1106="",S1111=""),"",S1110-S1111)</f>
        <v/>
      </c>
      <c r="T1112" s="33">
        <f>IF(OR($B$1106="",T1111=""),"",T1110-T1111)</f>
        <v/>
      </c>
      <c r="U1112" s="33">
        <f>IF(OR($B$1106="",U1111=""),"",U1110-U1111)</f>
        <v/>
      </c>
      <c r="V1112" s="33">
        <f>IF(OR($B$1106="",V1111=""),"",V1110-V1111)</f>
        <v/>
      </c>
      <c r="X1112" s="22">
        <f>IF($B1112="","",IFERROR(INDEX(Cost_Centers!$E:$E,MATCH($B1112,Cost_Centers!$A:$A,0)),"(unknown)"))</f>
        <v/>
      </c>
      <c r="Y1112" s="22">
        <f>IF($B1112="","",IFERROR(INDEX(Cost_Centers!$D:$D,MATCH($B1112,Cost_Centers!$A:$A,0)),"(unknown)"))</f>
        <v/>
      </c>
      <c r="Z1112" s="22">
        <f>IF(OR($B1112="",$G1112&lt;&gt;"Variance vs Budget"),"",ABS(N($V1112))+ROW()/1000000000)</f>
        <v/>
      </c>
    </row>
    <row r="1113" ht="45" customHeight="1">
      <c r="A1113" s="13">
        <f>IF(A$1106="","",A$1106)</f>
        <v/>
      </c>
      <c r="B1113" s="13">
        <f>IF(B$1106="","",B$1106)</f>
        <v/>
      </c>
      <c r="C1113" s="13">
        <f>IF(C$1106="","",C$1106)</f>
        <v/>
      </c>
      <c r="D1113" s="13">
        <f>IF(D$1106="","",D$1106)</f>
        <v/>
      </c>
      <c r="E1113" s="13">
        <f>IF(E$1106="","",E$1106)</f>
        <v/>
      </c>
      <c r="F1113" s="13">
        <f>IF(F$1106="","",F$1106)</f>
        <v/>
      </c>
      <c r="G1113" s="7" t="inlineStr">
        <is>
          <t>Rationale</t>
        </is>
      </c>
      <c r="H1113" s="38" t="n"/>
      <c r="I1113" s="38" t="n"/>
      <c r="J1113" s="38" t="n"/>
      <c r="K1113" s="38" t="n"/>
      <c r="L1113" s="38" t="n"/>
      <c r="M1113" s="38" t="n"/>
      <c r="N1113" s="38" t="n"/>
      <c r="O1113" s="38" t="n"/>
      <c r="P1113" s="38" t="n"/>
      <c r="Q1113" s="38" t="n"/>
      <c r="R1113" s="38" t="n"/>
      <c r="S1113" s="38" t="n"/>
      <c r="T1113" s="38" t="n"/>
      <c r="U1113" s="38" t="n"/>
      <c r="V1113" s="7" t="n"/>
      <c r="X1113" s="22">
        <f>IF($B1113="","",IFERROR(INDEX(Cost_Centers!$E:$E,MATCH($B1113,Cost_Centers!$A:$A,0)),"(unknown)"))</f>
        <v/>
      </c>
      <c r="Y1113" s="22">
        <f>IF($B1113="","",IFERROR(INDEX(Cost_Centers!$D:$D,MATCH($B1113,Cost_Centers!$A:$A,0)),"(unknown)"))</f>
        <v/>
      </c>
      <c r="Z1113" s="22">
        <f>IF(OR($B1113="",$G1113&lt;&gt;"Variance vs Budget"),"",ABS(N($V1113))+ROW()/1000000000)</f>
        <v/>
      </c>
    </row>
    <row r="1114">
      <c r="A1114" s="30">
        <f>IF($D$1114="","",LEFT($D$1114,FIND("|",$D$1114&amp;"|")-1))</f>
        <v/>
      </c>
      <c r="B1114" s="31" t="n"/>
      <c r="C1114" s="30">
        <f>IF($B$1114="","",IFERROR(INDEX(Cost_Centers!$B:$B,MATCH($B$1114,Cost_Centers!$A:$A,0)),"(not in master)"))</f>
        <v/>
      </c>
      <c r="D1114" s="31" t="n"/>
      <c r="E1114" s="30">
        <f>IF($D$1114="","",IFERROR(INDEX(Accounts!$D:$D,MATCH($D$1114,Accounts!$A:$A,0)),"(not in master)"))</f>
        <v/>
      </c>
      <c r="F1114" s="31" t="n"/>
      <c r="G1114" s="30" t="inlineStr">
        <is>
          <t>Budget</t>
        </is>
      </c>
      <c r="H1114" s="32">
        <f>IF($B$1114="","",SUMIFS(Opex_Budget!$O:$O,Opex_Budget!$A:$A,$C$3,Opex_Budget!$E:$E,$B$1114,Opex_Budget!$F:$F,$D$1114,Opex_Budget!$N:$N,"JPY")*$E$5+SUMIFS(Opex_Budget!$O:$O,Opex_Budget!$A:$A,$C$3,Opex_Budget!$E:$E,$B$1114,Opex_Budget!$F:$F,$D$1114,Opex_Budget!$N:$N,"USD")*$F$5+SUMIFS(Opex_Budget!$O:$O,Opex_Budget!$A:$A,$C$3,Opex_Budget!$E:$E,$B$1114,Opex_Budget!$F:$F,$D$1114,Opex_Budget!$N:$N,"EUR")*$G$5+SUMIFS(Opex_Budget!$O:$O,Opex_Budget!$A:$A,$C$3,Opex_Budget!$E:$E,$B$1114,Opex_Budget!$F:$F,$D$1114,Opex_Budget!$N:$N,"GBP")*$H$5)</f>
        <v/>
      </c>
      <c r="I1114" s="32">
        <f>IF($B$1114="","",SUMIFS(Opex_Budget!$P:$P,Opex_Budget!$A:$A,$C$3,Opex_Budget!$E:$E,$B$1114,Opex_Budget!$F:$F,$D$1114,Opex_Budget!$N:$N,"JPY")*$E$5+SUMIFS(Opex_Budget!$P:$P,Opex_Budget!$A:$A,$C$3,Opex_Budget!$E:$E,$B$1114,Opex_Budget!$F:$F,$D$1114,Opex_Budget!$N:$N,"USD")*$F$5+SUMIFS(Opex_Budget!$P:$P,Opex_Budget!$A:$A,$C$3,Opex_Budget!$E:$E,$B$1114,Opex_Budget!$F:$F,$D$1114,Opex_Budget!$N:$N,"EUR")*$G$5+SUMIFS(Opex_Budget!$P:$P,Opex_Budget!$A:$A,$C$3,Opex_Budget!$E:$E,$B$1114,Opex_Budget!$F:$F,$D$1114,Opex_Budget!$N:$N,"GBP")*$H$5)</f>
        <v/>
      </c>
      <c r="J1114" s="32">
        <f>IF($B$1114="","",SUMIFS(Opex_Budget!$Q:$Q,Opex_Budget!$A:$A,$C$3,Opex_Budget!$E:$E,$B$1114,Opex_Budget!$F:$F,$D$1114,Opex_Budget!$N:$N,"JPY")*$E$5+SUMIFS(Opex_Budget!$Q:$Q,Opex_Budget!$A:$A,$C$3,Opex_Budget!$E:$E,$B$1114,Opex_Budget!$F:$F,$D$1114,Opex_Budget!$N:$N,"USD")*$F$5+SUMIFS(Opex_Budget!$Q:$Q,Opex_Budget!$A:$A,$C$3,Opex_Budget!$E:$E,$B$1114,Opex_Budget!$F:$F,$D$1114,Opex_Budget!$N:$N,"EUR")*$G$5+SUMIFS(Opex_Budget!$Q:$Q,Opex_Budget!$A:$A,$C$3,Opex_Budget!$E:$E,$B$1114,Opex_Budget!$F:$F,$D$1114,Opex_Budget!$N:$N,"GBP")*$H$5)</f>
        <v/>
      </c>
      <c r="K1114" s="32">
        <f>IF($B$1114="","",SUMIFS(Opex_Budget!$R:$R,Opex_Budget!$A:$A,$C$3,Opex_Budget!$E:$E,$B$1114,Opex_Budget!$F:$F,$D$1114,Opex_Budget!$N:$N,"JPY")*$E$5+SUMIFS(Opex_Budget!$R:$R,Opex_Budget!$A:$A,$C$3,Opex_Budget!$E:$E,$B$1114,Opex_Budget!$F:$F,$D$1114,Opex_Budget!$N:$N,"USD")*$F$5+SUMIFS(Opex_Budget!$R:$R,Opex_Budget!$A:$A,$C$3,Opex_Budget!$E:$E,$B$1114,Opex_Budget!$F:$F,$D$1114,Opex_Budget!$N:$N,"EUR")*$G$5+SUMIFS(Opex_Budget!$R:$R,Opex_Budget!$A:$A,$C$3,Opex_Budget!$E:$E,$B$1114,Opex_Budget!$F:$F,$D$1114,Opex_Budget!$N:$N,"GBP")*$H$5)</f>
        <v/>
      </c>
      <c r="L1114" s="32">
        <f>IF($B$1114="","",SUMIFS(Opex_Budget!$S:$S,Opex_Budget!$A:$A,$C$3,Opex_Budget!$E:$E,$B$1114,Opex_Budget!$F:$F,$D$1114,Opex_Budget!$N:$N,"JPY")*$E$5+SUMIFS(Opex_Budget!$S:$S,Opex_Budget!$A:$A,$C$3,Opex_Budget!$E:$E,$B$1114,Opex_Budget!$F:$F,$D$1114,Opex_Budget!$N:$N,"USD")*$F$5+SUMIFS(Opex_Budget!$S:$S,Opex_Budget!$A:$A,$C$3,Opex_Budget!$E:$E,$B$1114,Opex_Budget!$F:$F,$D$1114,Opex_Budget!$N:$N,"EUR")*$G$5+SUMIFS(Opex_Budget!$S:$S,Opex_Budget!$A:$A,$C$3,Opex_Budget!$E:$E,$B$1114,Opex_Budget!$F:$F,$D$1114,Opex_Budget!$N:$N,"GBP")*$H$5)</f>
        <v/>
      </c>
      <c r="M1114" s="32">
        <f>IF($B$1114="","",SUMIFS(Opex_Budget!$T:$T,Opex_Budget!$A:$A,$C$3,Opex_Budget!$E:$E,$B$1114,Opex_Budget!$F:$F,$D$1114,Opex_Budget!$N:$N,"JPY")*$E$5+SUMIFS(Opex_Budget!$T:$T,Opex_Budget!$A:$A,$C$3,Opex_Budget!$E:$E,$B$1114,Opex_Budget!$F:$F,$D$1114,Opex_Budget!$N:$N,"USD")*$F$5+SUMIFS(Opex_Budget!$T:$T,Opex_Budget!$A:$A,$C$3,Opex_Budget!$E:$E,$B$1114,Opex_Budget!$F:$F,$D$1114,Opex_Budget!$N:$N,"EUR")*$G$5+SUMIFS(Opex_Budget!$T:$T,Opex_Budget!$A:$A,$C$3,Opex_Budget!$E:$E,$B$1114,Opex_Budget!$F:$F,$D$1114,Opex_Budget!$N:$N,"GBP")*$H$5)</f>
        <v/>
      </c>
      <c r="N1114" s="32">
        <f>IF($B$1114="","",SUMIFS(Opex_Budget!$U:$U,Opex_Budget!$A:$A,$C$3,Opex_Budget!$E:$E,$B$1114,Opex_Budget!$F:$F,$D$1114,Opex_Budget!$N:$N,"JPY")*$E$5+SUMIFS(Opex_Budget!$U:$U,Opex_Budget!$A:$A,$C$3,Opex_Budget!$E:$E,$B$1114,Opex_Budget!$F:$F,$D$1114,Opex_Budget!$N:$N,"USD")*$F$5+SUMIFS(Opex_Budget!$U:$U,Opex_Budget!$A:$A,$C$3,Opex_Budget!$E:$E,$B$1114,Opex_Budget!$F:$F,$D$1114,Opex_Budget!$N:$N,"EUR")*$G$5+SUMIFS(Opex_Budget!$U:$U,Opex_Budget!$A:$A,$C$3,Opex_Budget!$E:$E,$B$1114,Opex_Budget!$F:$F,$D$1114,Opex_Budget!$N:$N,"GBP")*$H$5)</f>
        <v/>
      </c>
      <c r="O1114" s="32">
        <f>IF($B$1114="","",SUMIFS(Opex_Budget!$V:$V,Opex_Budget!$A:$A,$C$3,Opex_Budget!$E:$E,$B$1114,Opex_Budget!$F:$F,$D$1114,Opex_Budget!$N:$N,"JPY")*$E$5+SUMIFS(Opex_Budget!$V:$V,Opex_Budget!$A:$A,$C$3,Opex_Budget!$E:$E,$B$1114,Opex_Budget!$F:$F,$D$1114,Opex_Budget!$N:$N,"USD")*$F$5+SUMIFS(Opex_Budget!$V:$V,Opex_Budget!$A:$A,$C$3,Opex_Budget!$E:$E,$B$1114,Opex_Budget!$F:$F,$D$1114,Opex_Budget!$N:$N,"EUR")*$G$5+SUMIFS(Opex_Budget!$V:$V,Opex_Budget!$A:$A,$C$3,Opex_Budget!$E:$E,$B$1114,Opex_Budget!$F:$F,$D$1114,Opex_Budget!$N:$N,"GBP")*$H$5)</f>
        <v/>
      </c>
      <c r="P1114" s="32">
        <f>IF($B$1114="","",SUMIFS(Opex_Budget!$W:$W,Opex_Budget!$A:$A,$C$3,Opex_Budget!$E:$E,$B$1114,Opex_Budget!$F:$F,$D$1114,Opex_Budget!$N:$N,"JPY")*$E$5+SUMIFS(Opex_Budget!$W:$W,Opex_Budget!$A:$A,$C$3,Opex_Budget!$E:$E,$B$1114,Opex_Budget!$F:$F,$D$1114,Opex_Budget!$N:$N,"USD")*$F$5+SUMIFS(Opex_Budget!$W:$W,Opex_Budget!$A:$A,$C$3,Opex_Budget!$E:$E,$B$1114,Opex_Budget!$F:$F,$D$1114,Opex_Budget!$N:$N,"EUR")*$G$5+SUMIFS(Opex_Budget!$W:$W,Opex_Budget!$A:$A,$C$3,Opex_Budget!$E:$E,$B$1114,Opex_Budget!$F:$F,$D$1114,Opex_Budget!$N:$N,"GBP")*$H$5)</f>
        <v/>
      </c>
      <c r="Q1114" s="32">
        <f>IF($B$1114="","",SUMIFS(Opex_Budget!$X:$X,Opex_Budget!$A:$A,$C$3,Opex_Budget!$E:$E,$B$1114,Opex_Budget!$F:$F,$D$1114,Opex_Budget!$N:$N,"JPY")*$E$5+SUMIFS(Opex_Budget!$X:$X,Opex_Budget!$A:$A,$C$3,Opex_Budget!$E:$E,$B$1114,Opex_Budget!$F:$F,$D$1114,Opex_Budget!$N:$N,"USD")*$F$5+SUMIFS(Opex_Budget!$X:$X,Opex_Budget!$A:$A,$C$3,Opex_Budget!$E:$E,$B$1114,Opex_Budget!$F:$F,$D$1114,Opex_Budget!$N:$N,"EUR")*$G$5+SUMIFS(Opex_Budget!$X:$X,Opex_Budget!$A:$A,$C$3,Opex_Budget!$E:$E,$B$1114,Opex_Budget!$F:$F,$D$1114,Opex_Budget!$N:$N,"GBP")*$H$5)</f>
        <v/>
      </c>
      <c r="R1114" s="32">
        <f>IF($B$1114="","",SUMIFS(Opex_Budget!$Y:$Y,Opex_Budget!$A:$A,$C$3,Opex_Budget!$E:$E,$B$1114,Opex_Budget!$F:$F,$D$1114,Opex_Budget!$N:$N,"JPY")*$E$5+SUMIFS(Opex_Budget!$Y:$Y,Opex_Budget!$A:$A,$C$3,Opex_Budget!$E:$E,$B$1114,Opex_Budget!$F:$F,$D$1114,Opex_Budget!$N:$N,"USD")*$F$5+SUMIFS(Opex_Budget!$Y:$Y,Opex_Budget!$A:$A,$C$3,Opex_Budget!$E:$E,$B$1114,Opex_Budget!$F:$F,$D$1114,Opex_Budget!$N:$N,"EUR")*$G$5+SUMIFS(Opex_Budget!$Y:$Y,Opex_Budget!$A:$A,$C$3,Opex_Budget!$E:$E,$B$1114,Opex_Budget!$F:$F,$D$1114,Opex_Budget!$N:$N,"GBP")*$H$5)</f>
        <v/>
      </c>
      <c r="S1114" s="32">
        <f>IF($B$1114="","",SUMIFS(Opex_Budget!$Z:$Z,Opex_Budget!$A:$A,$C$3,Opex_Budget!$E:$E,$B$1114,Opex_Budget!$F:$F,$D$1114,Opex_Budget!$N:$N,"JPY")*$E$5+SUMIFS(Opex_Budget!$Z:$Z,Opex_Budget!$A:$A,$C$3,Opex_Budget!$E:$E,$B$1114,Opex_Budget!$F:$F,$D$1114,Opex_Budget!$N:$N,"USD")*$F$5+SUMIFS(Opex_Budget!$Z:$Z,Opex_Budget!$A:$A,$C$3,Opex_Budget!$E:$E,$B$1114,Opex_Budget!$F:$F,$D$1114,Opex_Budget!$N:$N,"EUR")*$G$5+SUMIFS(Opex_Budget!$Z:$Z,Opex_Budget!$A:$A,$C$3,Opex_Budget!$E:$E,$B$1114,Opex_Budget!$F:$F,$D$1114,Opex_Budget!$N:$N,"GBP")*$H$5)</f>
        <v/>
      </c>
      <c r="T1114" s="32">
        <f>IF($B$1114="","",SUMIF($H$7:$S$7,"&lt;="&amp;$C$4,$H1114:$S1114))</f>
        <v/>
      </c>
      <c r="U1114" s="32">
        <f>IF($B$1114="","",SUMIF($H$7:$S$7,"&gt;"&amp;$C$4,$H1114:$S1114))</f>
        <v/>
      </c>
      <c r="V1114" s="32">
        <f>IF($B$1114="","",SUM($H1114:$S1114))</f>
        <v/>
      </c>
      <c r="X1114" s="22">
        <f>IF($B1114="","",IFERROR(INDEX(Cost_Centers!$E:$E,MATCH($B1114,Cost_Centers!$A:$A,0)),"(unknown)"))</f>
        <v/>
      </c>
      <c r="Y1114" s="22">
        <f>IF($B1114="","",IFERROR(INDEX(Cost_Centers!$D:$D,MATCH($B1114,Cost_Centers!$A:$A,0)),"(unknown)"))</f>
        <v/>
      </c>
      <c r="Z1114" s="22">
        <f>IF(OR($B1114="",$G1114&lt;&gt;"Variance vs Budget"),"",ABS(N($V1114))+ROW()/1000000000)</f>
        <v/>
      </c>
    </row>
    <row r="1115">
      <c r="A1115" s="13">
        <f>IF(A$1114="","",A$1114)</f>
        <v/>
      </c>
      <c r="B1115" s="13">
        <f>IF(B$1114="","",B$1114)</f>
        <v/>
      </c>
      <c r="C1115" s="13">
        <f>IF(C$1114="","",C$1114)</f>
        <v/>
      </c>
      <c r="D1115" s="13">
        <f>IF(D$1114="","",D$1114)</f>
        <v/>
      </c>
      <c r="E1115" s="13">
        <f>IF(E$1114="","",E$1114)</f>
        <v/>
      </c>
      <c r="F1115" s="13">
        <f>IF(F$1114="","",F$1114)</f>
        <v/>
      </c>
      <c r="G1115" s="7" t="inlineStr">
        <is>
          <t>Actual</t>
        </is>
      </c>
      <c r="H1115" s="18">
        <f>IF(OR($B$1114="",1&gt;$C$4),"",SUMIFS(Actuals!$G:$G,Actuals!$B:$B,$C$3,Actuals!$C:$C,1,Actuals!$D:$D,$B$1114,Actuals!$A:$A,LEFT($D$1114,FIND("|",$D$1114&amp;"|")-1),Actuals!$E:$E,MID($D$1114,FIND("|",$D$1114&amp;"|")+1,50),Actuals!$F:$F,"JPY")*$E$5+SUMIFS(Actuals!$G:$G,Actuals!$B:$B,$C$3,Actuals!$C:$C,1,Actuals!$D:$D,$B$1114,Actuals!$A:$A,LEFT($D$1114,FIND("|",$D$1114&amp;"|")-1),Actuals!$E:$E,MID($D$1114,FIND("|",$D$1114&amp;"|")+1,50),Actuals!$F:$F,"USD")*$F$5+SUMIFS(Actuals!$G:$G,Actuals!$B:$B,$C$3,Actuals!$C:$C,1,Actuals!$D:$D,$B$1114,Actuals!$A:$A,LEFT($D$1114,FIND("|",$D$1114&amp;"|")-1),Actuals!$E:$E,MID($D$1114,FIND("|",$D$1114&amp;"|")+1,50),Actuals!$F:$F,"EUR")*$G$5+SUMIFS(Actuals!$G:$G,Actuals!$B:$B,$C$3,Actuals!$C:$C,1,Actuals!$D:$D,$B$1114,Actuals!$A:$A,LEFT($D$1114,FIND("|",$D$1114&amp;"|")-1),Actuals!$E:$E,MID($D$1114,FIND("|",$D$1114&amp;"|")+1,50),Actuals!$F:$F,"GBP")*$H$5)</f>
        <v/>
      </c>
      <c r="I1115" s="18">
        <f>IF(OR($B$1114="",2&gt;$C$4),"",SUMIFS(Actuals!$G:$G,Actuals!$B:$B,$C$3,Actuals!$C:$C,2,Actuals!$D:$D,$B$1114,Actuals!$A:$A,LEFT($D$1114,FIND("|",$D$1114&amp;"|")-1),Actuals!$E:$E,MID($D$1114,FIND("|",$D$1114&amp;"|")+1,50),Actuals!$F:$F,"JPY")*$E$5+SUMIFS(Actuals!$G:$G,Actuals!$B:$B,$C$3,Actuals!$C:$C,2,Actuals!$D:$D,$B$1114,Actuals!$A:$A,LEFT($D$1114,FIND("|",$D$1114&amp;"|")-1),Actuals!$E:$E,MID($D$1114,FIND("|",$D$1114&amp;"|")+1,50),Actuals!$F:$F,"USD")*$F$5+SUMIFS(Actuals!$G:$G,Actuals!$B:$B,$C$3,Actuals!$C:$C,2,Actuals!$D:$D,$B$1114,Actuals!$A:$A,LEFT($D$1114,FIND("|",$D$1114&amp;"|")-1),Actuals!$E:$E,MID($D$1114,FIND("|",$D$1114&amp;"|")+1,50),Actuals!$F:$F,"EUR")*$G$5+SUMIFS(Actuals!$G:$G,Actuals!$B:$B,$C$3,Actuals!$C:$C,2,Actuals!$D:$D,$B$1114,Actuals!$A:$A,LEFT($D$1114,FIND("|",$D$1114&amp;"|")-1),Actuals!$E:$E,MID($D$1114,FIND("|",$D$1114&amp;"|")+1,50),Actuals!$F:$F,"GBP")*$H$5)</f>
        <v/>
      </c>
      <c r="J1115" s="18">
        <f>IF(OR($B$1114="",3&gt;$C$4),"",SUMIFS(Actuals!$G:$G,Actuals!$B:$B,$C$3,Actuals!$C:$C,3,Actuals!$D:$D,$B$1114,Actuals!$A:$A,LEFT($D$1114,FIND("|",$D$1114&amp;"|")-1),Actuals!$E:$E,MID($D$1114,FIND("|",$D$1114&amp;"|")+1,50),Actuals!$F:$F,"JPY")*$E$5+SUMIFS(Actuals!$G:$G,Actuals!$B:$B,$C$3,Actuals!$C:$C,3,Actuals!$D:$D,$B$1114,Actuals!$A:$A,LEFT($D$1114,FIND("|",$D$1114&amp;"|")-1),Actuals!$E:$E,MID($D$1114,FIND("|",$D$1114&amp;"|")+1,50),Actuals!$F:$F,"USD")*$F$5+SUMIFS(Actuals!$G:$G,Actuals!$B:$B,$C$3,Actuals!$C:$C,3,Actuals!$D:$D,$B$1114,Actuals!$A:$A,LEFT($D$1114,FIND("|",$D$1114&amp;"|")-1),Actuals!$E:$E,MID($D$1114,FIND("|",$D$1114&amp;"|")+1,50),Actuals!$F:$F,"EUR")*$G$5+SUMIFS(Actuals!$G:$G,Actuals!$B:$B,$C$3,Actuals!$C:$C,3,Actuals!$D:$D,$B$1114,Actuals!$A:$A,LEFT($D$1114,FIND("|",$D$1114&amp;"|")-1),Actuals!$E:$E,MID($D$1114,FIND("|",$D$1114&amp;"|")+1,50),Actuals!$F:$F,"GBP")*$H$5)</f>
        <v/>
      </c>
      <c r="K1115" s="18">
        <f>IF(OR($B$1114="",4&gt;$C$4),"",SUMIFS(Actuals!$G:$G,Actuals!$B:$B,$C$3,Actuals!$C:$C,4,Actuals!$D:$D,$B$1114,Actuals!$A:$A,LEFT($D$1114,FIND("|",$D$1114&amp;"|")-1),Actuals!$E:$E,MID($D$1114,FIND("|",$D$1114&amp;"|")+1,50),Actuals!$F:$F,"JPY")*$E$5+SUMIFS(Actuals!$G:$G,Actuals!$B:$B,$C$3,Actuals!$C:$C,4,Actuals!$D:$D,$B$1114,Actuals!$A:$A,LEFT($D$1114,FIND("|",$D$1114&amp;"|")-1),Actuals!$E:$E,MID($D$1114,FIND("|",$D$1114&amp;"|")+1,50),Actuals!$F:$F,"USD")*$F$5+SUMIFS(Actuals!$G:$G,Actuals!$B:$B,$C$3,Actuals!$C:$C,4,Actuals!$D:$D,$B$1114,Actuals!$A:$A,LEFT($D$1114,FIND("|",$D$1114&amp;"|")-1),Actuals!$E:$E,MID($D$1114,FIND("|",$D$1114&amp;"|")+1,50),Actuals!$F:$F,"EUR")*$G$5+SUMIFS(Actuals!$G:$G,Actuals!$B:$B,$C$3,Actuals!$C:$C,4,Actuals!$D:$D,$B$1114,Actuals!$A:$A,LEFT($D$1114,FIND("|",$D$1114&amp;"|")-1),Actuals!$E:$E,MID($D$1114,FIND("|",$D$1114&amp;"|")+1,50),Actuals!$F:$F,"GBP")*$H$5)</f>
        <v/>
      </c>
      <c r="L1115" s="18">
        <f>IF(OR($B$1114="",5&gt;$C$4),"",SUMIFS(Actuals!$G:$G,Actuals!$B:$B,$C$3,Actuals!$C:$C,5,Actuals!$D:$D,$B$1114,Actuals!$A:$A,LEFT($D$1114,FIND("|",$D$1114&amp;"|")-1),Actuals!$E:$E,MID($D$1114,FIND("|",$D$1114&amp;"|")+1,50),Actuals!$F:$F,"JPY")*$E$5+SUMIFS(Actuals!$G:$G,Actuals!$B:$B,$C$3,Actuals!$C:$C,5,Actuals!$D:$D,$B$1114,Actuals!$A:$A,LEFT($D$1114,FIND("|",$D$1114&amp;"|")-1),Actuals!$E:$E,MID($D$1114,FIND("|",$D$1114&amp;"|")+1,50),Actuals!$F:$F,"USD")*$F$5+SUMIFS(Actuals!$G:$G,Actuals!$B:$B,$C$3,Actuals!$C:$C,5,Actuals!$D:$D,$B$1114,Actuals!$A:$A,LEFT($D$1114,FIND("|",$D$1114&amp;"|")-1),Actuals!$E:$E,MID($D$1114,FIND("|",$D$1114&amp;"|")+1,50),Actuals!$F:$F,"EUR")*$G$5+SUMIFS(Actuals!$G:$G,Actuals!$B:$B,$C$3,Actuals!$C:$C,5,Actuals!$D:$D,$B$1114,Actuals!$A:$A,LEFT($D$1114,FIND("|",$D$1114&amp;"|")-1),Actuals!$E:$E,MID($D$1114,FIND("|",$D$1114&amp;"|")+1,50),Actuals!$F:$F,"GBP")*$H$5)</f>
        <v/>
      </c>
      <c r="M1115" s="18">
        <f>IF(OR($B$1114="",6&gt;$C$4),"",SUMIFS(Actuals!$G:$G,Actuals!$B:$B,$C$3,Actuals!$C:$C,6,Actuals!$D:$D,$B$1114,Actuals!$A:$A,LEFT($D$1114,FIND("|",$D$1114&amp;"|")-1),Actuals!$E:$E,MID($D$1114,FIND("|",$D$1114&amp;"|")+1,50),Actuals!$F:$F,"JPY")*$E$5+SUMIFS(Actuals!$G:$G,Actuals!$B:$B,$C$3,Actuals!$C:$C,6,Actuals!$D:$D,$B$1114,Actuals!$A:$A,LEFT($D$1114,FIND("|",$D$1114&amp;"|")-1),Actuals!$E:$E,MID($D$1114,FIND("|",$D$1114&amp;"|")+1,50),Actuals!$F:$F,"USD")*$F$5+SUMIFS(Actuals!$G:$G,Actuals!$B:$B,$C$3,Actuals!$C:$C,6,Actuals!$D:$D,$B$1114,Actuals!$A:$A,LEFT($D$1114,FIND("|",$D$1114&amp;"|")-1),Actuals!$E:$E,MID($D$1114,FIND("|",$D$1114&amp;"|")+1,50),Actuals!$F:$F,"EUR")*$G$5+SUMIFS(Actuals!$G:$G,Actuals!$B:$B,$C$3,Actuals!$C:$C,6,Actuals!$D:$D,$B$1114,Actuals!$A:$A,LEFT($D$1114,FIND("|",$D$1114&amp;"|")-1),Actuals!$E:$E,MID($D$1114,FIND("|",$D$1114&amp;"|")+1,50),Actuals!$F:$F,"GBP")*$H$5)</f>
        <v/>
      </c>
      <c r="N1115" s="18">
        <f>IF(OR($B$1114="",7&gt;$C$4),"",SUMIFS(Actuals!$G:$G,Actuals!$B:$B,$C$3,Actuals!$C:$C,7,Actuals!$D:$D,$B$1114,Actuals!$A:$A,LEFT($D$1114,FIND("|",$D$1114&amp;"|")-1),Actuals!$E:$E,MID($D$1114,FIND("|",$D$1114&amp;"|")+1,50),Actuals!$F:$F,"JPY")*$E$5+SUMIFS(Actuals!$G:$G,Actuals!$B:$B,$C$3,Actuals!$C:$C,7,Actuals!$D:$D,$B$1114,Actuals!$A:$A,LEFT($D$1114,FIND("|",$D$1114&amp;"|")-1),Actuals!$E:$E,MID($D$1114,FIND("|",$D$1114&amp;"|")+1,50),Actuals!$F:$F,"USD")*$F$5+SUMIFS(Actuals!$G:$G,Actuals!$B:$B,$C$3,Actuals!$C:$C,7,Actuals!$D:$D,$B$1114,Actuals!$A:$A,LEFT($D$1114,FIND("|",$D$1114&amp;"|")-1),Actuals!$E:$E,MID($D$1114,FIND("|",$D$1114&amp;"|")+1,50),Actuals!$F:$F,"EUR")*$G$5+SUMIFS(Actuals!$G:$G,Actuals!$B:$B,$C$3,Actuals!$C:$C,7,Actuals!$D:$D,$B$1114,Actuals!$A:$A,LEFT($D$1114,FIND("|",$D$1114&amp;"|")-1),Actuals!$E:$E,MID($D$1114,FIND("|",$D$1114&amp;"|")+1,50),Actuals!$F:$F,"GBP")*$H$5)</f>
        <v/>
      </c>
      <c r="O1115" s="18">
        <f>IF(OR($B$1114="",8&gt;$C$4),"",SUMIFS(Actuals!$G:$G,Actuals!$B:$B,$C$3,Actuals!$C:$C,8,Actuals!$D:$D,$B$1114,Actuals!$A:$A,LEFT($D$1114,FIND("|",$D$1114&amp;"|")-1),Actuals!$E:$E,MID($D$1114,FIND("|",$D$1114&amp;"|")+1,50),Actuals!$F:$F,"JPY")*$E$5+SUMIFS(Actuals!$G:$G,Actuals!$B:$B,$C$3,Actuals!$C:$C,8,Actuals!$D:$D,$B$1114,Actuals!$A:$A,LEFT($D$1114,FIND("|",$D$1114&amp;"|")-1),Actuals!$E:$E,MID($D$1114,FIND("|",$D$1114&amp;"|")+1,50),Actuals!$F:$F,"USD")*$F$5+SUMIFS(Actuals!$G:$G,Actuals!$B:$B,$C$3,Actuals!$C:$C,8,Actuals!$D:$D,$B$1114,Actuals!$A:$A,LEFT($D$1114,FIND("|",$D$1114&amp;"|")-1),Actuals!$E:$E,MID($D$1114,FIND("|",$D$1114&amp;"|")+1,50),Actuals!$F:$F,"EUR")*$G$5+SUMIFS(Actuals!$G:$G,Actuals!$B:$B,$C$3,Actuals!$C:$C,8,Actuals!$D:$D,$B$1114,Actuals!$A:$A,LEFT($D$1114,FIND("|",$D$1114&amp;"|")-1),Actuals!$E:$E,MID($D$1114,FIND("|",$D$1114&amp;"|")+1,50),Actuals!$F:$F,"GBP")*$H$5)</f>
        <v/>
      </c>
      <c r="P1115" s="18">
        <f>IF(OR($B$1114="",9&gt;$C$4),"",SUMIFS(Actuals!$G:$G,Actuals!$B:$B,$C$3,Actuals!$C:$C,9,Actuals!$D:$D,$B$1114,Actuals!$A:$A,LEFT($D$1114,FIND("|",$D$1114&amp;"|")-1),Actuals!$E:$E,MID($D$1114,FIND("|",$D$1114&amp;"|")+1,50),Actuals!$F:$F,"JPY")*$E$5+SUMIFS(Actuals!$G:$G,Actuals!$B:$B,$C$3,Actuals!$C:$C,9,Actuals!$D:$D,$B$1114,Actuals!$A:$A,LEFT($D$1114,FIND("|",$D$1114&amp;"|")-1),Actuals!$E:$E,MID($D$1114,FIND("|",$D$1114&amp;"|")+1,50),Actuals!$F:$F,"USD")*$F$5+SUMIFS(Actuals!$G:$G,Actuals!$B:$B,$C$3,Actuals!$C:$C,9,Actuals!$D:$D,$B$1114,Actuals!$A:$A,LEFT($D$1114,FIND("|",$D$1114&amp;"|")-1),Actuals!$E:$E,MID($D$1114,FIND("|",$D$1114&amp;"|")+1,50),Actuals!$F:$F,"EUR")*$G$5+SUMIFS(Actuals!$G:$G,Actuals!$B:$B,$C$3,Actuals!$C:$C,9,Actuals!$D:$D,$B$1114,Actuals!$A:$A,LEFT($D$1114,FIND("|",$D$1114&amp;"|")-1),Actuals!$E:$E,MID($D$1114,FIND("|",$D$1114&amp;"|")+1,50),Actuals!$F:$F,"GBP")*$H$5)</f>
        <v/>
      </c>
      <c r="Q1115" s="18">
        <f>IF(OR($B$1114="",10&gt;$C$4),"",SUMIFS(Actuals!$G:$G,Actuals!$B:$B,$C$3,Actuals!$C:$C,10,Actuals!$D:$D,$B$1114,Actuals!$A:$A,LEFT($D$1114,FIND("|",$D$1114&amp;"|")-1),Actuals!$E:$E,MID($D$1114,FIND("|",$D$1114&amp;"|")+1,50),Actuals!$F:$F,"JPY")*$E$5+SUMIFS(Actuals!$G:$G,Actuals!$B:$B,$C$3,Actuals!$C:$C,10,Actuals!$D:$D,$B$1114,Actuals!$A:$A,LEFT($D$1114,FIND("|",$D$1114&amp;"|")-1),Actuals!$E:$E,MID($D$1114,FIND("|",$D$1114&amp;"|")+1,50),Actuals!$F:$F,"USD")*$F$5+SUMIFS(Actuals!$G:$G,Actuals!$B:$B,$C$3,Actuals!$C:$C,10,Actuals!$D:$D,$B$1114,Actuals!$A:$A,LEFT($D$1114,FIND("|",$D$1114&amp;"|")-1),Actuals!$E:$E,MID($D$1114,FIND("|",$D$1114&amp;"|")+1,50),Actuals!$F:$F,"EUR")*$G$5+SUMIFS(Actuals!$G:$G,Actuals!$B:$B,$C$3,Actuals!$C:$C,10,Actuals!$D:$D,$B$1114,Actuals!$A:$A,LEFT($D$1114,FIND("|",$D$1114&amp;"|")-1),Actuals!$E:$E,MID($D$1114,FIND("|",$D$1114&amp;"|")+1,50),Actuals!$F:$F,"GBP")*$H$5)</f>
        <v/>
      </c>
      <c r="R1115" s="18">
        <f>IF(OR($B$1114="",11&gt;$C$4),"",SUMIFS(Actuals!$G:$G,Actuals!$B:$B,$C$3,Actuals!$C:$C,11,Actuals!$D:$D,$B$1114,Actuals!$A:$A,LEFT($D$1114,FIND("|",$D$1114&amp;"|")-1),Actuals!$E:$E,MID($D$1114,FIND("|",$D$1114&amp;"|")+1,50),Actuals!$F:$F,"JPY")*$E$5+SUMIFS(Actuals!$G:$G,Actuals!$B:$B,$C$3,Actuals!$C:$C,11,Actuals!$D:$D,$B$1114,Actuals!$A:$A,LEFT($D$1114,FIND("|",$D$1114&amp;"|")-1),Actuals!$E:$E,MID($D$1114,FIND("|",$D$1114&amp;"|")+1,50),Actuals!$F:$F,"USD")*$F$5+SUMIFS(Actuals!$G:$G,Actuals!$B:$B,$C$3,Actuals!$C:$C,11,Actuals!$D:$D,$B$1114,Actuals!$A:$A,LEFT($D$1114,FIND("|",$D$1114&amp;"|")-1),Actuals!$E:$E,MID($D$1114,FIND("|",$D$1114&amp;"|")+1,50),Actuals!$F:$F,"EUR")*$G$5+SUMIFS(Actuals!$G:$G,Actuals!$B:$B,$C$3,Actuals!$C:$C,11,Actuals!$D:$D,$B$1114,Actuals!$A:$A,LEFT($D$1114,FIND("|",$D$1114&amp;"|")-1),Actuals!$E:$E,MID($D$1114,FIND("|",$D$1114&amp;"|")+1,50),Actuals!$F:$F,"GBP")*$H$5)</f>
        <v/>
      </c>
      <c r="S1115" s="18">
        <f>IF(OR($B$1114="",12&gt;$C$4),"",SUMIFS(Actuals!$G:$G,Actuals!$B:$B,$C$3,Actuals!$C:$C,12,Actuals!$D:$D,$B$1114,Actuals!$A:$A,LEFT($D$1114,FIND("|",$D$1114&amp;"|")-1),Actuals!$E:$E,MID($D$1114,FIND("|",$D$1114&amp;"|")+1,50),Actuals!$F:$F,"JPY")*$E$5+SUMIFS(Actuals!$G:$G,Actuals!$B:$B,$C$3,Actuals!$C:$C,12,Actuals!$D:$D,$B$1114,Actuals!$A:$A,LEFT($D$1114,FIND("|",$D$1114&amp;"|")-1),Actuals!$E:$E,MID($D$1114,FIND("|",$D$1114&amp;"|")+1,50),Actuals!$F:$F,"USD")*$F$5+SUMIFS(Actuals!$G:$G,Actuals!$B:$B,$C$3,Actuals!$C:$C,12,Actuals!$D:$D,$B$1114,Actuals!$A:$A,LEFT($D$1114,FIND("|",$D$1114&amp;"|")-1),Actuals!$E:$E,MID($D$1114,FIND("|",$D$1114&amp;"|")+1,50),Actuals!$F:$F,"EUR")*$G$5+SUMIFS(Actuals!$G:$G,Actuals!$B:$B,$C$3,Actuals!$C:$C,12,Actuals!$D:$D,$B$1114,Actuals!$A:$A,LEFT($D$1114,FIND("|",$D$1114&amp;"|")-1),Actuals!$E:$E,MID($D$1114,FIND("|",$D$1114&amp;"|")+1,50),Actuals!$F:$F,"GBP")*$H$5)</f>
        <v/>
      </c>
      <c r="T1115" s="18">
        <f>IF($B$1114="","",SUMIF($H$7:$S$7,"&lt;="&amp;$C$4,$H1115:$S1115))</f>
        <v/>
      </c>
      <c r="U1115" s="18" t="n"/>
      <c r="V1115" s="18" t="n"/>
      <c r="X1115" s="22">
        <f>IF($B1115="","",IFERROR(INDEX(Cost_Centers!$E:$E,MATCH($B1115,Cost_Centers!$A:$A,0)),"(unknown)"))</f>
        <v/>
      </c>
      <c r="Y1115" s="22">
        <f>IF($B1115="","",IFERROR(INDEX(Cost_Centers!$D:$D,MATCH($B1115,Cost_Centers!$A:$A,0)),"(unknown)"))</f>
        <v/>
      </c>
      <c r="Z1115" s="22">
        <f>IF(OR($B1115="",$G1115&lt;&gt;"Variance vs Budget"),"",ABS(N($V1115))+ROW()/1000000000)</f>
        <v/>
      </c>
    </row>
    <row r="1116">
      <c r="A1116" s="13">
        <f>IF(A$1114="","",A$1114)</f>
        <v/>
      </c>
      <c r="B1116" s="13">
        <f>IF(B$1114="","",B$1114)</f>
        <v/>
      </c>
      <c r="C1116" s="13">
        <f>IF(C$1114="","",C$1114)</f>
        <v/>
      </c>
      <c r="D1116" s="13">
        <f>IF(D$1114="","",D$1114)</f>
        <v/>
      </c>
      <c r="E1116" s="13">
        <f>IF(E$1114="","",E$1114)</f>
        <v/>
      </c>
      <c r="F1116" s="13">
        <f>IF(F$1114="","",F$1114)</f>
        <v/>
      </c>
      <c r="G1116" s="6" t="inlineStr">
        <is>
          <t>Variance vs Budget</t>
        </is>
      </c>
      <c r="H1116" s="33">
        <f>IF(OR($B$1114="",1&gt;$C$4),"",N(H1115)-H1114)</f>
        <v/>
      </c>
      <c r="I1116" s="33">
        <f>IF(OR($B$1114="",2&gt;$C$4),"",N(I1115)-I1114)</f>
        <v/>
      </c>
      <c r="J1116" s="33">
        <f>IF(OR($B$1114="",3&gt;$C$4),"",N(J1115)-J1114)</f>
        <v/>
      </c>
      <c r="K1116" s="33">
        <f>IF(OR($B$1114="",4&gt;$C$4),"",N(K1115)-K1114)</f>
        <v/>
      </c>
      <c r="L1116" s="33">
        <f>IF(OR($B$1114="",5&gt;$C$4),"",N(L1115)-L1114)</f>
        <v/>
      </c>
      <c r="M1116" s="33">
        <f>IF(OR($B$1114="",6&gt;$C$4),"",N(M1115)-M1114)</f>
        <v/>
      </c>
      <c r="N1116" s="33">
        <f>IF(OR($B$1114="",7&gt;$C$4),"",N(N1115)-N1114)</f>
        <v/>
      </c>
      <c r="O1116" s="33">
        <f>IF(OR($B$1114="",8&gt;$C$4),"",N(O1115)-O1114)</f>
        <v/>
      </c>
      <c r="P1116" s="33">
        <f>IF(OR($B$1114="",9&gt;$C$4),"",N(P1115)-P1114)</f>
        <v/>
      </c>
      <c r="Q1116" s="33">
        <f>IF(OR($B$1114="",10&gt;$C$4),"",N(Q1115)-Q1114)</f>
        <v/>
      </c>
      <c r="R1116" s="33">
        <f>IF(OR($B$1114="",11&gt;$C$4),"",N(R1115)-R1114)</f>
        <v/>
      </c>
      <c r="S1116" s="33">
        <f>IF(OR($B$1114="",12&gt;$C$4),"",N(S1115)-S1114)</f>
        <v/>
      </c>
      <c r="T1116" s="33">
        <f>IF($B$1114="","",T1115-T1114)</f>
        <v/>
      </c>
      <c r="U1116" s="33">
        <f>IF($B$1114="","",U1118-U1114)</f>
        <v/>
      </c>
      <c r="V1116" s="33">
        <f>IF($B$1114="","",V1118-V1114)</f>
        <v/>
      </c>
      <c r="X1116" s="22">
        <f>IF($B1116="","",IFERROR(INDEX(Cost_Centers!$E:$E,MATCH($B1116,Cost_Centers!$A:$A,0)),"(unknown)"))</f>
        <v/>
      </c>
      <c r="Y1116" s="22">
        <f>IF($B1116="","",IFERROR(INDEX(Cost_Centers!$D:$D,MATCH($B1116,Cost_Centers!$A:$A,0)),"(unknown)"))</f>
        <v/>
      </c>
      <c r="Z1116" s="22">
        <f>IF(OR($B1116="",$G1116&lt;&gt;"Variance vs Budget"),"",ABS(N($V1116))+ROW()/1000000000)</f>
        <v/>
      </c>
    </row>
    <row r="1117">
      <c r="A1117" s="13">
        <f>IF(A$1114="","",A$1114)</f>
        <v/>
      </c>
      <c r="B1117" s="13">
        <f>IF(B$1114="","",B$1114)</f>
        <v/>
      </c>
      <c r="C1117" s="13">
        <f>IF(C$1114="","",C$1114)</f>
        <v/>
      </c>
      <c r="D1117" s="13">
        <f>IF(D$1114="","",D$1114)</f>
        <v/>
      </c>
      <c r="E1117" s="13">
        <f>IF(E$1114="","",E$1114)</f>
        <v/>
      </c>
      <c r="F1117" s="13">
        <f>IF(F$1114="","",F$1114)</f>
        <v/>
      </c>
      <c r="G1117" s="7" t="inlineStr">
        <is>
          <t>Forecast (input)</t>
        </is>
      </c>
      <c r="H1117" s="34" t="n"/>
      <c r="I1117" s="34" t="n"/>
      <c r="J1117" s="34" t="n"/>
      <c r="K1117" s="34" t="n"/>
      <c r="L1117" s="34" t="n"/>
      <c r="M1117" s="34" t="n"/>
      <c r="N1117" s="34" t="n"/>
      <c r="O1117" s="34" t="n"/>
      <c r="P1117" s="34" t="n"/>
      <c r="Q1117" s="34" t="n"/>
      <c r="R1117" s="34" t="n"/>
      <c r="S1117" s="34" t="n"/>
      <c r="T1117" s="18" t="n"/>
      <c r="U1117" s="18" t="n"/>
      <c r="V1117" s="18" t="n"/>
      <c r="X1117" s="22">
        <f>IF($B1117="","",IFERROR(INDEX(Cost_Centers!$E:$E,MATCH($B1117,Cost_Centers!$A:$A,0)),"(unknown)"))</f>
        <v/>
      </c>
      <c r="Y1117" s="22">
        <f>IF($B1117="","",IFERROR(INDEX(Cost_Centers!$D:$D,MATCH($B1117,Cost_Centers!$A:$A,0)),"(unknown)"))</f>
        <v/>
      </c>
      <c r="Z1117" s="22">
        <f>IF(OR($B1117="",$G1117&lt;&gt;"Variance vs Budget"),"",ABS(N($V1117))+ROW()/1000000000)</f>
        <v/>
      </c>
    </row>
    <row r="1118">
      <c r="A1118" s="13">
        <f>IF(A$1114="","",A$1114)</f>
        <v/>
      </c>
      <c r="B1118" s="13">
        <f>IF(B$1114="","",B$1114)</f>
        <v/>
      </c>
      <c r="C1118" s="13">
        <f>IF(C$1114="","",C$1114)</f>
        <v/>
      </c>
      <c r="D1118" s="13">
        <f>IF(D$1114="","",D$1114)</f>
        <v/>
      </c>
      <c r="E1118" s="13">
        <f>IF(E$1114="","",E$1114)</f>
        <v/>
      </c>
      <c r="F1118" s="13">
        <f>IF(F$1114="","",F$1114)</f>
        <v/>
      </c>
      <c r="G1118" s="35" t="inlineStr">
        <is>
          <t>Actual + Forecast</t>
        </is>
      </c>
      <c r="H1118" s="18">
        <f>IF($B$1114="","",IF(1&lt;=$C$4,N(H1115),IF(H1117="",H1114,H1117)))</f>
        <v/>
      </c>
      <c r="I1118" s="18">
        <f>IF($B$1114="","",IF(2&lt;=$C$4,N(I1115),IF(I1117="",I1114,I1117)))</f>
        <v/>
      </c>
      <c r="J1118" s="18">
        <f>IF($B$1114="","",IF(3&lt;=$C$4,N(J1115),IF(J1117="",J1114,J1117)))</f>
        <v/>
      </c>
      <c r="K1118" s="18">
        <f>IF($B$1114="","",IF(4&lt;=$C$4,N(K1115),IF(K1117="",K1114,K1117)))</f>
        <v/>
      </c>
      <c r="L1118" s="18">
        <f>IF($B$1114="","",IF(5&lt;=$C$4,N(L1115),IF(L1117="",L1114,L1117)))</f>
        <v/>
      </c>
      <c r="M1118" s="18">
        <f>IF($B$1114="","",IF(6&lt;=$C$4,N(M1115),IF(M1117="",M1114,M1117)))</f>
        <v/>
      </c>
      <c r="N1118" s="18">
        <f>IF($B$1114="","",IF(7&lt;=$C$4,N(N1115),IF(N1117="",N1114,N1117)))</f>
        <v/>
      </c>
      <c r="O1118" s="18">
        <f>IF($B$1114="","",IF(8&lt;=$C$4,N(O1115),IF(O1117="",O1114,O1117)))</f>
        <v/>
      </c>
      <c r="P1118" s="18">
        <f>IF($B$1114="","",IF(9&lt;=$C$4,N(P1115),IF(P1117="",P1114,P1117)))</f>
        <v/>
      </c>
      <c r="Q1118" s="18">
        <f>IF($B$1114="","",IF(10&lt;=$C$4,N(Q1115),IF(Q1117="",Q1114,Q1117)))</f>
        <v/>
      </c>
      <c r="R1118" s="18">
        <f>IF($B$1114="","",IF(11&lt;=$C$4,N(R1115),IF(R1117="",R1114,R1117)))</f>
        <v/>
      </c>
      <c r="S1118" s="18">
        <f>IF($B$1114="","",IF(12&lt;=$C$4,N(S1115),IF(S1117="",S1114,S1117)))</f>
        <v/>
      </c>
      <c r="T1118" s="18">
        <f>IF($B$1114="","",SUMIF($H$7:$S$7,"&lt;="&amp;$C$4,$H1118:$S1118))</f>
        <v/>
      </c>
      <c r="U1118" s="18">
        <f>IF($B$1114="","",SUMIF($H$7:$S$7,"&gt;"&amp;$C$4,$H1118:$S1118))</f>
        <v/>
      </c>
      <c r="V1118" s="18">
        <f>IF($B$1114="","",SUM($H1118:$S1118))</f>
        <v/>
      </c>
      <c r="X1118" s="22">
        <f>IF($B1118="","",IFERROR(INDEX(Cost_Centers!$E:$E,MATCH($B1118,Cost_Centers!$A:$A,0)),"(unknown)"))</f>
        <v/>
      </c>
      <c r="Y1118" s="22">
        <f>IF($B1118="","",IFERROR(INDEX(Cost_Centers!$D:$D,MATCH($B1118,Cost_Centers!$A:$A,0)),"(unknown)"))</f>
        <v/>
      </c>
      <c r="Z1118" s="22">
        <f>IF(OR($B1118="",$G1118&lt;&gt;"Variance vs Budget"),"",ABS(N($V1118))+ROW()/1000000000)</f>
        <v/>
      </c>
    </row>
    <row r="1119">
      <c r="A1119" s="13">
        <f>IF(A$1114="","",A$1114)</f>
        <v/>
      </c>
      <c r="B1119" s="13">
        <f>IF(B$1114="","",B$1114)</f>
        <v/>
      </c>
      <c r="C1119" s="13">
        <f>IF(C$1114="","",C$1114)</f>
        <v/>
      </c>
      <c r="D1119" s="13">
        <f>IF(D$1114="","",D$1114)</f>
        <v/>
      </c>
      <c r="E1119" s="13">
        <f>IF(E$1114="","",E$1114)</f>
        <v/>
      </c>
      <c r="F1119" s="13">
        <f>IF(F$1114="","",F$1114)</f>
        <v/>
      </c>
      <c r="G1119" s="36" t="inlineStr">
        <is>
          <t>Prior Month Forecast</t>
        </is>
      </c>
      <c r="H1119" s="37">
        <f>IF($B$1114="","",IF(COUNTIFS(Prior_Forecast!$A:$A,$B$1114,Prior_Forecast!$B:$B,$D$1114)&gt;0,SUMIFS(Prior_Forecast!$C:$C,Prior_Forecast!$A:$A,$B$1114,Prior_Forecast!$B:$B,$D$1114),""))</f>
        <v/>
      </c>
      <c r="I1119" s="37">
        <f>IF($B$1114="","",IF(COUNTIFS(Prior_Forecast!$A:$A,$B$1114,Prior_Forecast!$B:$B,$D$1114)&gt;0,SUMIFS(Prior_Forecast!$D:$D,Prior_Forecast!$A:$A,$B$1114,Prior_Forecast!$B:$B,$D$1114),""))</f>
        <v/>
      </c>
      <c r="J1119" s="37">
        <f>IF($B$1114="","",IF(COUNTIFS(Prior_Forecast!$A:$A,$B$1114,Prior_Forecast!$B:$B,$D$1114)&gt;0,SUMIFS(Prior_Forecast!$E:$E,Prior_Forecast!$A:$A,$B$1114,Prior_Forecast!$B:$B,$D$1114),""))</f>
        <v/>
      </c>
      <c r="K1119" s="37">
        <f>IF($B$1114="","",IF(COUNTIFS(Prior_Forecast!$A:$A,$B$1114,Prior_Forecast!$B:$B,$D$1114)&gt;0,SUMIFS(Prior_Forecast!$F:$F,Prior_Forecast!$A:$A,$B$1114,Prior_Forecast!$B:$B,$D$1114),""))</f>
        <v/>
      </c>
      <c r="L1119" s="37">
        <f>IF($B$1114="","",IF(COUNTIFS(Prior_Forecast!$A:$A,$B$1114,Prior_Forecast!$B:$B,$D$1114)&gt;0,SUMIFS(Prior_Forecast!$G:$G,Prior_Forecast!$A:$A,$B$1114,Prior_Forecast!$B:$B,$D$1114),""))</f>
        <v/>
      </c>
      <c r="M1119" s="37">
        <f>IF($B$1114="","",IF(COUNTIFS(Prior_Forecast!$A:$A,$B$1114,Prior_Forecast!$B:$B,$D$1114)&gt;0,SUMIFS(Prior_Forecast!$H:$H,Prior_Forecast!$A:$A,$B$1114,Prior_Forecast!$B:$B,$D$1114),""))</f>
        <v/>
      </c>
      <c r="N1119" s="37">
        <f>IF($B$1114="","",IF(COUNTIFS(Prior_Forecast!$A:$A,$B$1114,Prior_Forecast!$B:$B,$D$1114)&gt;0,SUMIFS(Prior_Forecast!$I:$I,Prior_Forecast!$A:$A,$B$1114,Prior_Forecast!$B:$B,$D$1114),""))</f>
        <v/>
      </c>
      <c r="O1119" s="37">
        <f>IF($B$1114="","",IF(COUNTIFS(Prior_Forecast!$A:$A,$B$1114,Prior_Forecast!$B:$B,$D$1114)&gt;0,SUMIFS(Prior_Forecast!$J:$J,Prior_Forecast!$A:$A,$B$1114,Prior_Forecast!$B:$B,$D$1114),""))</f>
        <v/>
      </c>
      <c r="P1119" s="37">
        <f>IF($B$1114="","",IF(COUNTIFS(Prior_Forecast!$A:$A,$B$1114,Prior_Forecast!$B:$B,$D$1114)&gt;0,SUMIFS(Prior_Forecast!$K:$K,Prior_Forecast!$A:$A,$B$1114,Prior_Forecast!$B:$B,$D$1114),""))</f>
        <v/>
      </c>
      <c r="Q1119" s="37">
        <f>IF($B$1114="","",IF(COUNTIFS(Prior_Forecast!$A:$A,$B$1114,Prior_Forecast!$B:$B,$D$1114)&gt;0,SUMIFS(Prior_Forecast!$L:$L,Prior_Forecast!$A:$A,$B$1114,Prior_Forecast!$B:$B,$D$1114),""))</f>
        <v/>
      </c>
      <c r="R1119" s="37">
        <f>IF($B$1114="","",IF(COUNTIFS(Prior_Forecast!$A:$A,$B$1114,Prior_Forecast!$B:$B,$D$1114)&gt;0,SUMIFS(Prior_Forecast!$M:$M,Prior_Forecast!$A:$A,$B$1114,Prior_Forecast!$B:$B,$D$1114),""))</f>
        <v/>
      </c>
      <c r="S1119" s="37">
        <f>IF($B$1114="","",IF(COUNTIFS(Prior_Forecast!$A:$A,$B$1114,Prior_Forecast!$B:$B,$D$1114)&gt;0,SUMIFS(Prior_Forecast!$N:$N,Prior_Forecast!$A:$A,$B$1114,Prior_Forecast!$B:$B,$D$1114),""))</f>
        <v/>
      </c>
      <c r="T1119" s="37">
        <f>IF($B$1114="","",IF(COUNTIFS(Prior_Forecast!$A:$A,$B$1114,Prior_Forecast!$B:$B,$D$1114)&gt;0,SUMIFS(Prior_Forecast!$O:$O,Prior_Forecast!$A:$A,$B$1114,Prior_Forecast!$B:$B,$D$1114),""))</f>
        <v/>
      </c>
      <c r="U1119" s="37">
        <f>IF($B$1114="","",IF(COUNTIFS(Prior_Forecast!$A:$A,$B$1114,Prior_Forecast!$B:$B,$D$1114)&gt;0,SUMIFS(Prior_Forecast!$P:$P,Prior_Forecast!$A:$A,$B$1114,Prior_Forecast!$B:$B,$D$1114),""))</f>
        <v/>
      </c>
      <c r="V1119" s="37">
        <f>IF($B$1114="","",IF(COUNTIFS(Prior_Forecast!$A:$A,$B$1114,Prior_Forecast!$B:$B,$D$1114)&gt;0,SUMIFS(Prior_Forecast!$Q:$Q,Prior_Forecast!$A:$A,$B$1114,Prior_Forecast!$B:$B,$D$1114),""))</f>
        <v/>
      </c>
      <c r="X1119" s="22">
        <f>IF($B1119="","",IFERROR(INDEX(Cost_Centers!$E:$E,MATCH($B1119,Cost_Centers!$A:$A,0)),"(unknown)"))</f>
        <v/>
      </c>
      <c r="Y1119" s="22">
        <f>IF($B1119="","",IFERROR(INDEX(Cost_Centers!$D:$D,MATCH($B1119,Cost_Centers!$A:$A,0)),"(unknown)"))</f>
        <v/>
      </c>
      <c r="Z1119" s="22">
        <f>IF(OR($B1119="",$G1119&lt;&gt;"Variance vs Budget"),"",ABS(N($V1119))+ROW()/1000000000)</f>
        <v/>
      </c>
    </row>
    <row r="1120">
      <c r="A1120" s="13">
        <f>IF(A$1114="","",A$1114)</f>
        <v/>
      </c>
      <c r="B1120" s="13">
        <f>IF(B$1114="","",B$1114)</f>
        <v/>
      </c>
      <c r="C1120" s="13">
        <f>IF(C$1114="","",C$1114)</f>
        <v/>
      </c>
      <c r="D1120" s="13">
        <f>IF(D$1114="","",D$1114)</f>
        <v/>
      </c>
      <c r="E1120" s="13">
        <f>IF(E$1114="","",E$1114)</f>
        <v/>
      </c>
      <c r="F1120" s="13">
        <f>IF(F$1114="","",F$1114)</f>
        <v/>
      </c>
      <c r="G1120" s="6" t="inlineStr">
        <is>
          <t>Variance vs Prior Month</t>
        </is>
      </c>
      <c r="H1120" s="33">
        <f>IF(OR($B$1114="",H1119=""),"",H1118-H1119)</f>
        <v/>
      </c>
      <c r="I1120" s="33">
        <f>IF(OR($B$1114="",I1119=""),"",I1118-I1119)</f>
        <v/>
      </c>
      <c r="J1120" s="33">
        <f>IF(OR($B$1114="",J1119=""),"",J1118-J1119)</f>
        <v/>
      </c>
      <c r="K1120" s="33">
        <f>IF(OR($B$1114="",K1119=""),"",K1118-K1119)</f>
        <v/>
      </c>
      <c r="L1120" s="33">
        <f>IF(OR($B$1114="",L1119=""),"",L1118-L1119)</f>
        <v/>
      </c>
      <c r="M1120" s="33">
        <f>IF(OR($B$1114="",M1119=""),"",M1118-M1119)</f>
        <v/>
      </c>
      <c r="N1120" s="33">
        <f>IF(OR($B$1114="",N1119=""),"",N1118-N1119)</f>
        <v/>
      </c>
      <c r="O1120" s="33">
        <f>IF(OR($B$1114="",O1119=""),"",O1118-O1119)</f>
        <v/>
      </c>
      <c r="P1120" s="33">
        <f>IF(OR($B$1114="",P1119=""),"",P1118-P1119)</f>
        <v/>
      </c>
      <c r="Q1120" s="33">
        <f>IF(OR($B$1114="",Q1119=""),"",Q1118-Q1119)</f>
        <v/>
      </c>
      <c r="R1120" s="33">
        <f>IF(OR($B$1114="",R1119=""),"",R1118-R1119)</f>
        <v/>
      </c>
      <c r="S1120" s="33">
        <f>IF(OR($B$1114="",S1119=""),"",S1118-S1119)</f>
        <v/>
      </c>
      <c r="T1120" s="33">
        <f>IF(OR($B$1114="",T1119=""),"",T1118-T1119)</f>
        <v/>
      </c>
      <c r="U1120" s="33">
        <f>IF(OR($B$1114="",U1119=""),"",U1118-U1119)</f>
        <v/>
      </c>
      <c r="V1120" s="33">
        <f>IF(OR($B$1114="",V1119=""),"",V1118-V1119)</f>
        <v/>
      </c>
      <c r="X1120" s="22">
        <f>IF($B1120="","",IFERROR(INDEX(Cost_Centers!$E:$E,MATCH($B1120,Cost_Centers!$A:$A,0)),"(unknown)"))</f>
        <v/>
      </c>
      <c r="Y1120" s="22">
        <f>IF($B1120="","",IFERROR(INDEX(Cost_Centers!$D:$D,MATCH($B1120,Cost_Centers!$A:$A,0)),"(unknown)"))</f>
        <v/>
      </c>
      <c r="Z1120" s="22">
        <f>IF(OR($B1120="",$G1120&lt;&gt;"Variance vs Budget"),"",ABS(N($V1120))+ROW()/1000000000)</f>
        <v/>
      </c>
    </row>
    <row r="1121" ht="45" customHeight="1">
      <c r="A1121" s="13">
        <f>IF(A$1114="","",A$1114)</f>
        <v/>
      </c>
      <c r="B1121" s="13">
        <f>IF(B$1114="","",B$1114)</f>
        <v/>
      </c>
      <c r="C1121" s="13">
        <f>IF(C$1114="","",C$1114)</f>
        <v/>
      </c>
      <c r="D1121" s="13">
        <f>IF(D$1114="","",D$1114)</f>
        <v/>
      </c>
      <c r="E1121" s="13">
        <f>IF(E$1114="","",E$1114)</f>
        <v/>
      </c>
      <c r="F1121" s="13">
        <f>IF(F$1114="","",F$1114)</f>
        <v/>
      </c>
      <c r="G1121" s="7" t="inlineStr">
        <is>
          <t>Rationale</t>
        </is>
      </c>
      <c r="H1121" s="38" t="n"/>
      <c r="I1121" s="38" t="n"/>
      <c r="J1121" s="38" t="n"/>
      <c r="K1121" s="38" t="n"/>
      <c r="L1121" s="38" t="n"/>
      <c r="M1121" s="38" t="n"/>
      <c r="N1121" s="38" t="n"/>
      <c r="O1121" s="38" t="n"/>
      <c r="P1121" s="38" t="n"/>
      <c r="Q1121" s="38" t="n"/>
      <c r="R1121" s="38" t="n"/>
      <c r="S1121" s="38" t="n"/>
      <c r="T1121" s="38" t="n"/>
      <c r="U1121" s="38" t="n"/>
      <c r="V1121" s="7" t="n"/>
      <c r="X1121" s="22">
        <f>IF($B1121="","",IFERROR(INDEX(Cost_Centers!$E:$E,MATCH($B1121,Cost_Centers!$A:$A,0)),"(unknown)"))</f>
        <v/>
      </c>
      <c r="Y1121" s="22">
        <f>IF($B1121="","",IFERROR(INDEX(Cost_Centers!$D:$D,MATCH($B1121,Cost_Centers!$A:$A,0)),"(unknown)"))</f>
        <v/>
      </c>
      <c r="Z1121" s="22">
        <f>IF(OR($B1121="",$G1121&lt;&gt;"Variance vs Budget"),"",ABS(N($V1121))+ROW()/1000000000)</f>
        <v/>
      </c>
    </row>
    <row r="1122">
      <c r="A1122" s="30">
        <f>IF($D$1122="","",LEFT($D$1122,FIND("|",$D$1122&amp;"|")-1))</f>
        <v/>
      </c>
      <c r="B1122" s="31" t="n"/>
      <c r="C1122" s="30">
        <f>IF($B$1122="","",IFERROR(INDEX(Cost_Centers!$B:$B,MATCH($B$1122,Cost_Centers!$A:$A,0)),"(not in master)"))</f>
        <v/>
      </c>
      <c r="D1122" s="31" t="n"/>
      <c r="E1122" s="30">
        <f>IF($D$1122="","",IFERROR(INDEX(Accounts!$D:$D,MATCH($D$1122,Accounts!$A:$A,0)),"(not in master)"))</f>
        <v/>
      </c>
      <c r="F1122" s="31" t="n"/>
      <c r="G1122" s="30" t="inlineStr">
        <is>
          <t>Budget</t>
        </is>
      </c>
      <c r="H1122" s="32">
        <f>IF($B$1122="","",SUMIFS(Opex_Budget!$O:$O,Opex_Budget!$A:$A,$C$3,Opex_Budget!$E:$E,$B$1122,Opex_Budget!$F:$F,$D$1122,Opex_Budget!$N:$N,"JPY")*$E$5+SUMIFS(Opex_Budget!$O:$O,Opex_Budget!$A:$A,$C$3,Opex_Budget!$E:$E,$B$1122,Opex_Budget!$F:$F,$D$1122,Opex_Budget!$N:$N,"USD")*$F$5+SUMIFS(Opex_Budget!$O:$O,Opex_Budget!$A:$A,$C$3,Opex_Budget!$E:$E,$B$1122,Opex_Budget!$F:$F,$D$1122,Opex_Budget!$N:$N,"EUR")*$G$5+SUMIFS(Opex_Budget!$O:$O,Opex_Budget!$A:$A,$C$3,Opex_Budget!$E:$E,$B$1122,Opex_Budget!$F:$F,$D$1122,Opex_Budget!$N:$N,"GBP")*$H$5)</f>
        <v/>
      </c>
      <c r="I1122" s="32">
        <f>IF($B$1122="","",SUMIFS(Opex_Budget!$P:$P,Opex_Budget!$A:$A,$C$3,Opex_Budget!$E:$E,$B$1122,Opex_Budget!$F:$F,$D$1122,Opex_Budget!$N:$N,"JPY")*$E$5+SUMIFS(Opex_Budget!$P:$P,Opex_Budget!$A:$A,$C$3,Opex_Budget!$E:$E,$B$1122,Opex_Budget!$F:$F,$D$1122,Opex_Budget!$N:$N,"USD")*$F$5+SUMIFS(Opex_Budget!$P:$P,Opex_Budget!$A:$A,$C$3,Opex_Budget!$E:$E,$B$1122,Opex_Budget!$F:$F,$D$1122,Opex_Budget!$N:$N,"EUR")*$G$5+SUMIFS(Opex_Budget!$P:$P,Opex_Budget!$A:$A,$C$3,Opex_Budget!$E:$E,$B$1122,Opex_Budget!$F:$F,$D$1122,Opex_Budget!$N:$N,"GBP")*$H$5)</f>
        <v/>
      </c>
      <c r="J1122" s="32">
        <f>IF($B$1122="","",SUMIFS(Opex_Budget!$Q:$Q,Opex_Budget!$A:$A,$C$3,Opex_Budget!$E:$E,$B$1122,Opex_Budget!$F:$F,$D$1122,Opex_Budget!$N:$N,"JPY")*$E$5+SUMIFS(Opex_Budget!$Q:$Q,Opex_Budget!$A:$A,$C$3,Opex_Budget!$E:$E,$B$1122,Opex_Budget!$F:$F,$D$1122,Opex_Budget!$N:$N,"USD")*$F$5+SUMIFS(Opex_Budget!$Q:$Q,Opex_Budget!$A:$A,$C$3,Opex_Budget!$E:$E,$B$1122,Opex_Budget!$F:$F,$D$1122,Opex_Budget!$N:$N,"EUR")*$G$5+SUMIFS(Opex_Budget!$Q:$Q,Opex_Budget!$A:$A,$C$3,Opex_Budget!$E:$E,$B$1122,Opex_Budget!$F:$F,$D$1122,Opex_Budget!$N:$N,"GBP")*$H$5)</f>
        <v/>
      </c>
      <c r="K1122" s="32">
        <f>IF($B$1122="","",SUMIFS(Opex_Budget!$R:$R,Opex_Budget!$A:$A,$C$3,Opex_Budget!$E:$E,$B$1122,Opex_Budget!$F:$F,$D$1122,Opex_Budget!$N:$N,"JPY")*$E$5+SUMIFS(Opex_Budget!$R:$R,Opex_Budget!$A:$A,$C$3,Opex_Budget!$E:$E,$B$1122,Opex_Budget!$F:$F,$D$1122,Opex_Budget!$N:$N,"USD")*$F$5+SUMIFS(Opex_Budget!$R:$R,Opex_Budget!$A:$A,$C$3,Opex_Budget!$E:$E,$B$1122,Opex_Budget!$F:$F,$D$1122,Opex_Budget!$N:$N,"EUR")*$G$5+SUMIFS(Opex_Budget!$R:$R,Opex_Budget!$A:$A,$C$3,Opex_Budget!$E:$E,$B$1122,Opex_Budget!$F:$F,$D$1122,Opex_Budget!$N:$N,"GBP")*$H$5)</f>
        <v/>
      </c>
      <c r="L1122" s="32">
        <f>IF($B$1122="","",SUMIFS(Opex_Budget!$S:$S,Opex_Budget!$A:$A,$C$3,Opex_Budget!$E:$E,$B$1122,Opex_Budget!$F:$F,$D$1122,Opex_Budget!$N:$N,"JPY")*$E$5+SUMIFS(Opex_Budget!$S:$S,Opex_Budget!$A:$A,$C$3,Opex_Budget!$E:$E,$B$1122,Opex_Budget!$F:$F,$D$1122,Opex_Budget!$N:$N,"USD")*$F$5+SUMIFS(Opex_Budget!$S:$S,Opex_Budget!$A:$A,$C$3,Opex_Budget!$E:$E,$B$1122,Opex_Budget!$F:$F,$D$1122,Opex_Budget!$N:$N,"EUR")*$G$5+SUMIFS(Opex_Budget!$S:$S,Opex_Budget!$A:$A,$C$3,Opex_Budget!$E:$E,$B$1122,Opex_Budget!$F:$F,$D$1122,Opex_Budget!$N:$N,"GBP")*$H$5)</f>
        <v/>
      </c>
      <c r="M1122" s="32">
        <f>IF($B$1122="","",SUMIFS(Opex_Budget!$T:$T,Opex_Budget!$A:$A,$C$3,Opex_Budget!$E:$E,$B$1122,Opex_Budget!$F:$F,$D$1122,Opex_Budget!$N:$N,"JPY")*$E$5+SUMIFS(Opex_Budget!$T:$T,Opex_Budget!$A:$A,$C$3,Opex_Budget!$E:$E,$B$1122,Opex_Budget!$F:$F,$D$1122,Opex_Budget!$N:$N,"USD")*$F$5+SUMIFS(Opex_Budget!$T:$T,Opex_Budget!$A:$A,$C$3,Opex_Budget!$E:$E,$B$1122,Opex_Budget!$F:$F,$D$1122,Opex_Budget!$N:$N,"EUR")*$G$5+SUMIFS(Opex_Budget!$T:$T,Opex_Budget!$A:$A,$C$3,Opex_Budget!$E:$E,$B$1122,Opex_Budget!$F:$F,$D$1122,Opex_Budget!$N:$N,"GBP")*$H$5)</f>
        <v/>
      </c>
      <c r="N1122" s="32">
        <f>IF($B$1122="","",SUMIFS(Opex_Budget!$U:$U,Opex_Budget!$A:$A,$C$3,Opex_Budget!$E:$E,$B$1122,Opex_Budget!$F:$F,$D$1122,Opex_Budget!$N:$N,"JPY")*$E$5+SUMIFS(Opex_Budget!$U:$U,Opex_Budget!$A:$A,$C$3,Opex_Budget!$E:$E,$B$1122,Opex_Budget!$F:$F,$D$1122,Opex_Budget!$N:$N,"USD")*$F$5+SUMIFS(Opex_Budget!$U:$U,Opex_Budget!$A:$A,$C$3,Opex_Budget!$E:$E,$B$1122,Opex_Budget!$F:$F,$D$1122,Opex_Budget!$N:$N,"EUR")*$G$5+SUMIFS(Opex_Budget!$U:$U,Opex_Budget!$A:$A,$C$3,Opex_Budget!$E:$E,$B$1122,Opex_Budget!$F:$F,$D$1122,Opex_Budget!$N:$N,"GBP")*$H$5)</f>
        <v/>
      </c>
      <c r="O1122" s="32">
        <f>IF($B$1122="","",SUMIFS(Opex_Budget!$V:$V,Opex_Budget!$A:$A,$C$3,Opex_Budget!$E:$E,$B$1122,Opex_Budget!$F:$F,$D$1122,Opex_Budget!$N:$N,"JPY")*$E$5+SUMIFS(Opex_Budget!$V:$V,Opex_Budget!$A:$A,$C$3,Opex_Budget!$E:$E,$B$1122,Opex_Budget!$F:$F,$D$1122,Opex_Budget!$N:$N,"USD")*$F$5+SUMIFS(Opex_Budget!$V:$V,Opex_Budget!$A:$A,$C$3,Opex_Budget!$E:$E,$B$1122,Opex_Budget!$F:$F,$D$1122,Opex_Budget!$N:$N,"EUR")*$G$5+SUMIFS(Opex_Budget!$V:$V,Opex_Budget!$A:$A,$C$3,Opex_Budget!$E:$E,$B$1122,Opex_Budget!$F:$F,$D$1122,Opex_Budget!$N:$N,"GBP")*$H$5)</f>
        <v/>
      </c>
      <c r="P1122" s="32">
        <f>IF($B$1122="","",SUMIFS(Opex_Budget!$W:$W,Opex_Budget!$A:$A,$C$3,Opex_Budget!$E:$E,$B$1122,Opex_Budget!$F:$F,$D$1122,Opex_Budget!$N:$N,"JPY")*$E$5+SUMIFS(Opex_Budget!$W:$W,Opex_Budget!$A:$A,$C$3,Opex_Budget!$E:$E,$B$1122,Opex_Budget!$F:$F,$D$1122,Opex_Budget!$N:$N,"USD")*$F$5+SUMIFS(Opex_Budget!$W:$W,Opex_Budget!$A:$A,$C$3,Opex_Budget!$E:$E,$B$1122,Opex_Budget!$F:$F,$D$1122,Opex_Budget!$N:$N,"EUR")*$G$5+SUMIFS(Opex_Budget!$W:$W,Opex_Budget!$A:$A,$C$3,Opex_Budget!$E:$E,$B$1122,Opex_Budget!$F:$F,$D$1122,Opex_Budget!$N:$N,"GBP")*$H$5)</f>
        <v/>
      </c>
      <c r="Q1122" s="32">
        <f>IF($B$1122="","",SUMIFS(Opex_Budget!$X:$X,Opex_Budget!$A:$A,$C$3,Opex_Budget!$E:$E,$B$1122,Opex_Budget!$F:$F,$D$1122,Opex_Budget!$N:$N,"JPY")*$E$5+SUMIFS(Opex_Budget!$X:$X,Opex_Budget!$A:$A,$C$3,Opex_Budget!$E:$E,$B$1122,Opex_Budget!$F:$F,$D$1122,Opex_Budget!$N:$N,"USD")*$F$5+SUMIFS(Opex_Budget!$X:$X,Opex_Budget!$A:$A,$C$3,Opex_Budget!$E:$E,$B$1122,Opex_Budget!$F:$F,$D$1122,Opex_Budget!$N:$N,"EUR")*$G$5+SUMIFS(Opex_Budget!$X:$X,Opex_Budget!$A:$A,$C$3,Opex_Budget!$E:$E,$B$1122,Opex_Budget!$F:$F,$D$1122,Opex_Budget!$N:$N,"GBP")*$H$5)</f>
        <v/>
      </c>
      <c r="R1122" s="32">
        <f>IF($B$1122="","",SUMIFS(Opex_Budget!$Y:$Y,Opex_Budget!$A:$A,$C$3,Opex_Budget!$E:$E,$B$1122,Opex_Budget!$F:$F,$D$1122,Opex_Budget!$N:$N,"JPY")*$E$5+SUMIFS(Opex_Budget!$Y:$Y,Opex_Budget!$A:$A,$C$3,Opex_Budget!$E:$E,$B$1122,Opex_Budget!$F:$F,$D$1122,Opex_Budget!$N:$N,"USD")*$F$5+SUMIFS(Opex_Budget!$Y:$Y,Opex_Budget!$A:$A,$C$3,Opex_Budget!$E:$E,$B$1122,Opex_Budget!$F:$F,$D$1122,Opex_Budget!$N:$N,"EUR")*$G$5+SUMIFS(Opex_Budget!$Y:$Y,Opex_Budget!$A:$A,$C$3,Opex_Budget!$E:$E,$B$1122,Opex_Budget!$F:$F,$D$1122,Opex_Budget!$N:$N,"GBP")*$H$5)</f>
        <v/>
      </c>
      <c r="S1122" s="32">
        <f>IF($B$1122="","",SUMIFS(Opex_Budget!$Z:$Z,Opex_Budget!$A:$A,$C$3,Opex_Budget!$E:$E,$B$1122,Opex_Budget!$F:$F,$D$1122,Opex_Budget!$N:$N,"JPY")*$E$5+SUMIFS(Opex_Budget!$Z:$Z,Opex_Budget!$A:$A,$C$3,Opex_Budget!$E:$E,$B$1122,Opex_Budget!$F:$F,$D$1122,Opex_Budget!$N:$N,"USD")*$F$5+SUMIFS(Opex_Budget!$Z:$Z,Opex_Budget!$A:$A,$C$3,Opex_Budget!$E:$E,$B$1122,Opex_Budget!$F:$F,$D$1122,Opex_Budget!$N:$N,"EUR")*$G$5+SUMIFS(Opex_Budget!$Z:$Z,Opex_Budget!$A:$A,$C$3,Opex_Budget!$E:$E,$B$1122,Opex_Budget!$F:$F,$D$1122,Opex_Budget!$N:$N,"GBP")*$H$5)</f>
        <v/>
      </c>
      <c r="T1122" s="32">
        <f>IF($B$1122="","",SUMIF($H$7:$S$7,"&lt;="&amp;$C$4,$H1122:$S1122))</f>
        <v/>
      </c>
      <c r="U1122" s="32">
        <f>IF($B$1122="","",SUMIF($H$7:$S$7,"&gt;"&amp;$C$4,$H1122:$S1122))</f>
        <v/>
      </c>
      <c r="V1122" s="32">
        <f>IF($B$1122="","",SUM($H1122:$S1122))</f>
        <v/>
      </c>
      <c r="X1122" s="22">
        <f>IF($B1122="","",IFERROR(INDEX(Cost_Centers!$E:$E,MATCH($B1122,Cost_Centers!$A:$A,0)),"(unknown)"))</f>
        <v/>
      </c>
      <c r="Y1122" s="22">
        <f>IF($B1122="","",IFERROR(INDEX(Cost_Centers!$D:$D,MATCH($B1122,Cost_Centers!$A:$A,0)),"(unknown)"))</f>
        <v/>
      </c>
      <c r="Z1122" s="22">
        <f>IF(OR($B1122="",$G1122&lt;&gt;"Variance vs Budget"),"",ABS(N($V1122))+ROW()/1000000000)</f>
        <v/>
      </c>
    </row>
    <row r="1123">
      <c r="A1123" s="13">
        <f>IF(A$1122="","",A$1122)</f>
        <v/>
      </c>
      <c r="B1123" s="13">
        <f>IF(B$1122="","",B$1122)</f>
        <v/>
      </c>
      <c r="C1123" s="13">
        <f>IF(C$1122="","",C$1122)</f>
        <v/>
      </c>
      <c r="D1123" s="13">
        <f>IF(D$1122="","",D$1122)</f>
        <v/>
      </c>
      <c r="E1123" s="13">
        <f>IF(E$1122="","",E$1122)</f>
        <v/>
      </c>
      <c r="F1123" s="13">
        <f>IF(F$1122="","",F$1122)</f>
        <v/>
      </c>
      <c r="G1123" s="7" t="inlineStr">
        <is>
          <t>Actual</t>
        </is>
      </c>
      <c r="H1123" s="18">
        <f>IF(OR($B$1122="",1&gt;$C$4),"",SUMIFS(Actuals!$G:$G,Actuals!$B:$B,$C$3,Actuals!$C:$C,1,Actuals!$D:$D,$B$1122,Actuals!$A:$A,LEFT($D$1122,FIND("|",$D$1122&amp;"|")-1),Actuals!$E:$E,MID($D$1122,FIND("|",$D$1122&amp;"|")+1,50),Actuals!$F:$F,"JPY")*$E$5+SUMIFS(Actuals!$G:$G,Actuals!$B:$B,$C$3,Actuals!$C:$C,1,Actuals!$D:$D,$B$1122,Actuals!$A:$A,LEFT($D$1122,FIND("|",$D$1122&amp;"|")-1),Actuals!$E:$E,MID($D$1122,FIND("|",$D$1122&amp;"|")+1,50),Actuals!$F:$F,"USD")*$F$5+SUMIFS(Actuals!$G:$G,Actuals!$B:$B,$C$3,Actuals!$C:$C,1,Actuals!$D:$D,$B$1122,Actuals!$A:$A,LEFT($D$1122,FIND("|",$D$1122&amp;"|")-1),Actuals!$E:$E,MID($D$1122,FIND("|",$D$1122&amp;"|")+1,50),Actuals!$F:$F,"EUR")*$G$5+SUMIFS(Actuals!$G:$G,Actuals!$B:$B,$C$3,Actuals!$C:$C,1,Actuals!$D:$D,$B$1122,Actuals!$A:$A,LEFT($D$1122,FIND("|",$D$1122&amp;"|")-1),Actuals!$E:$E,MID($D$1122,FIND("|",$D$1122&amp;"|")+1,50),Actuals!$F:$F,"GBP")*$H$5)</f>
        <v/>
      </c>
      <c r="I1123" s="18">
        <f>IF(OR($B$1122="",2&gt;$C$4),"",SUMIFS(Actuals!$G:$G,Actuals!$B:$B,$C$3,Actuals!$C:$C,2,Actuals!$D:$D,$B$1122,Actuals!$A:$A,LEFT($D$1122,FIND("|",$D$1122&amp;"|")-1),Actuals!$E:$E,MID($D$1122,FIND("|",$D$1122&amp;"|")+1,50),Actuals!$F:$F,"JPY")*$E$5+SUMIFS(Actuals!$G:$G,Actuals!$B:$B,$C$3,Actuals!$C:$C,2,Actuals!$D:$D,$B$1122,Actuals!$A:$A,LEFT($D$1122,FIND("|",$D$1122&amp;"|")-1),Actuals!$E:$E,MID($D$1122,FIND("|",$D$1122&amp;"|")+1,50),Actuals!$F:$F,"USD")*$F$5+SUMIFS(Actuals!$G:$G,Actuals!$B:$B,$C$3,Actuals!$C:$C,2,Actuals!$D:$D,$B$1122,Actuals!$A:$A,LEFT($D$1122,FIND("|",$D$1122&amp;"|")-1),Actuals!$E:$E,MID($D$1122,FIND("|",$D$1122&amp;"|")+1,50),Actuals!$F:$F,"EUR")*$G$5+SUMIFS(Actuals!$G:$G,Actuals!$B:$B,$C$3,Actuals!$C:$C,2,Actuals!$D:$D,$B$1122,Actuals!$A:$A,LEFT($D$1122,FIND("|",$D$1122&amp;"|")-1),Actuals!$E:$E,MID($D$1122,FIND("|",$D$1122&amp;"|")+1,50),Actuals!$F:$F,"GBP")*$H$5)</f>
        <v/>
      </c>
      <c r="J1123" s="18">
        <f>IF(OR($B$1122="",3&gt;$C$4),"",SUMIFS(Actuals!$G:$G,Actuals!$B:$B,$C$3,Actuals!$C:$C,3,Actuals!$D:$D,$B$1122,Actuals!$A:$A,LEFT($D$1122,FIND("|",$D$1122&amp;"|")-1),Actuals!$E:$E,MID($D$1122,FIND("|",$D$1122&amp;"|")+1,50),Actuals!$F:$F,"JPY")*$E$5+SUMIFS(Actuals!$G:$G,Actuals!$B:$B,$C$3,Actuals!$C:$C,3,Actuals!$D:$D,$B$1122,Actuals!$A:$A,LEFT($D$1122,FIND("|",$D$1122&amp;"|")-1),Actuals!$E:$E,MID($D$1122,FIND("|",$D$1122&amp;"|")+1,50),Actuals!$F:$F,"USD")*$F$5+SUMIFS(Actuals!$G:$G,Actuals!$B:$B,$C$3,Actuals!$C:$C,3,Actuals!$D:$D,$B$1122,Actuals!$A:$A,LEFT($D$1122,FIND("|",$D$1122&amp;"|")-1),Actuals!$E:$E,MID($D$1122,FIND("|",$D$1122&amp;"|")+1,50),Actuals!$F:$F,"EUR")*$G$5+SUMIFS(Actuals!$G:$G,Actuals!$B:$B,$C$3,Actuals!$C:$C,3,Actuals!$D:$D,$B$1122,Actuals!$A:$A,LEFT($D$1122,FIND("|",$D$1122&amp;"|")-1),Actuals!$E:$E,MID($D$1122,FIND("|",$D$1122&amp;"|")+1,50),Actuals!$F:$F,"GBP")*$H$5)</f>
        <v/>
      </c>
      <c r="K1123" s="18">
        <f>IF(OR($B$1122="",4&gt;$C$4),"",SUMIFS(Actuals!$G:$G,Actuals!$B:$B,$C$3,Actuals!$C:$C,4,Actuals!$D:$D,$B$1122,Actuals!$A:$A,LEFT($D$1122,FIND("|",$D$1122&amp;"|")-1),Actuals!$E:$E,MID($D$1122,FIND("|",$D$1122&amp;"|")+1,50),Actuals!$F:$F,"JPY")*$E$5+SUMIFS(Actuals!$G:$G,Actuals!$B:$B,$C$3,Actuals!$C:$C,4,Actuals!$D:$D,$B$1122,Actuals!$A:$A,LEFT($D$1122,FIND("|",$D$1122&amp;"|")-1),Actuals!$E:$E,MID($D$1122,FIND("|",$D$1122&amp;"|")+1,50),Actuals!$F:$F,"USD")*$F$5+SUMIFS(Actuals!$G:$G,Actuals!$B:$B,$C$3,Actuals!$C:$C,4,Actuals!$D:$D,$B$1122,Actuals!$A:$A,LEFT($D$1122,FIND("|",$D$1122&amp;"|")-1),Actuals!$E:$E,MID($D$1122,FIND("|",$D$1122&amp;"|")+1,50),Actuals!$F:$F,"EUR")*$G$5+SUMIFS(Actuals!$G:$G,Actuals!$B:$B,$C$3,Actuals!$C:$C,4,Actuals!$D:$D,$B$1122,Actuals!$A:$A,LEFT($D$1122,FIND("|",$D$1122&amp;"|")-1),Actuals!$E:$E,MID($D$1122,FIND("|",$D$1122&amp;"|")+1,50),Actuals!$F:$F,"GBP")*$H$5)</f>
        <v/>
      </c>
      <c r="L1123" s="18">
        <f>IF(OR($B$1122="",5&gt;$C$4),"",SUMIFS(Actuals!$G:$G,Actuals!$B:$B,$C$3,Actuals!$C:$C,5,Actuals!$D:$D,$B$1122,Actuals!$A:$A,LEFT($D$1122,FIND("|",$D$1122&amp;"|")-1),Actuals!$E:$E,MID($D$1122,FIND("|",$D$1122&amp;"|")+1,50),Actuals!$F:$F,"JPY")*$E$5+SUMIFS(Actuals!$G:$G,Actuals!$B:$B,$C$3,Actuals!$C:$C,5,Actuals!$D:$D,$B$1122,Actuals!$A:$A,LEFT($D$1122,FIND("|",$D$1122&amp;"|")-1),Actuals!$E:$E,MID($D$1122,FIND("|",$D$1122&amp;"|")+1,50),Actuals!$F:$F,"USD")*$F$5+SUMIFS(Actuals!$G:$G,Actuals!$B:$B,$C$3,Actuals!$C:$C,5,Actuals!$D:$D,$B$1122,Actuals!$A:$A,LEFT($D$1122,FIND("|",$D$1122&amp;"|")-1),Actuals!$E:$E,MID($D$1122,FIND("|",$D$1122&amp;"|")+1,50),Actuals!$F:$F,"EUR")*$G$5+SUMIFS(Actuals!$G:$G,Actuals!$B:$B,$C$3,Actuals!$C:$C,5,Actuals!$D:$D,$B$1122,Actuals!$A:$A,LEFT($D$1122,FIND("|",$D$1122&amp;"|")-1),Actuals!$E:$E,MID($D$1122,FIND("|",$D$1122&amp;"|")+1,50),Actuals!$F:$F,"GBP")*$H$5)</f>
        <v/>
      </c>
      <c r="M1123" s="18">
        <f>IF(OR($B$1122="",6&gt;$C$4),"",SUMIFS(Actuals!$G:$G,Actuals!$B:$B,$C$3,Actuals!$C:$C,6,Actuals!$D:$D,$B$1122,Actuals!$A:$A,LEFT($D$1122,FIND("|",$D$1122&amp;"|")-1),Actuals!$E:$E,MID($D$1122,FIND("|",$D$1122&amp;"|")+1,50),Actuals!$F:$F,"JPY")*$E$5+SUMIFS(Actuals!$G:$G,Actuals!$B:$B,$C$3,Actuals!$C:$C,6,Actuals!$D:$D,$B$1122,Actuals!$A:$A,LEFT($D$1122,FIND("|",$D$1122&amp;"|")-1),Actuals!$E:$E,MID($D$1122,FIND("|",$D$1122&amp;"|")+1,50),Actuals!$F:$F,"USD")*$F$5+SUMIFS(Actuals!$G:$G,Actuals!$B:$B,$C$3,Actuals!$C:$C,6,Actuals!$D:$D,$B$1122,Actuals!$A:$A,LEFT($D$1122,FIND("|",$D$1122&amp;"|")-1),Actuals!$E:$E,MID($D$1122,FIND("|",$D$1122&amp;"|")+1,50),Actuals!$F:$F,"EUR")*$G$5+SUMIFS(Actuals!$G:$G,Actuals!$B:$B,$C$3,Actuals!$C:$C,6,Actuals!$D:$D,$B$1122,Actuals!$A:$A,LEFT($D$1122,FIND("|",$D$1122&amp;"|")-1),Actuals!$E:$E,MID($D$1122,FIND("|",$D$1122&amp;"|")+1,50),Actuals!$F:$F,"GBP")*$H$5)</f>
        <v/>
      </c>
      <c r="N1123" s="18">
        <f>IF(OR($B$1122="",7&gt;$C$4),"",SUMIFS(Actuals!$G:$G,Actuals!$B:$B,$C$3,Actuals!$C:$C,7,Actuals!$D:$D,$B$1122,Actuals!$A:$A,LEFT($D$1122,FIND("|",$D$1122&amp;"|")-1),Actuals!$E:$E,MID($D$1122,FIND("|",$D$1122&amp;"|")+1,50),Actuals!$F:$F,"JPY")*$E$5+SUMIFS(Actuals!$G:$G,Actuals!$B:$B,$C$3,Actuals!$C:$C,7,Actuals!$D:$D,$B$1122,Actuals!$A:$A,LEFT($D$1122,FIND("|",$D$1122&amp;"|")-1),Actuals!$E:$E,MID($D$1122,FIND("|",$D$1122&amp;"|")+1,50),Actuals!$F:$F,"USD")*$F$5+SUMIFS(Actuals!$G:$G,Actuals!$B:$B,$C$3,Actuals!$C:$C,7,Actuals!$D:$D,$B$1122,Actuals!$A:$A,LEFT($D$1122,FIND("|",$D$1122&amp;"|")-1),Actuals!$E:$E,MID($D$1122,FIND("|",$D$1122&amp;"|")+1,50),Actuals!$F:$F,"EUR")*$G$5+SUMIFS(Actuals!$G:$G,Actuals!$B:$B,$C$3,Actuals!$C:$C,7,Actuals!$D:$D,$B$1122,Actuals!$A:$A,LEFT($D$1122,FIND("|",$D$1122&amp;"|")-1),Actuals!$E:$E,MID($D$1122,FIND("|",$D$1122&amp;"|")+1,50),Actuals!$F:$F,"GBP")*$H$5)</f>
        <v/>
      </c>
      <c r="O1123" s="18">
        <f>IF(OR($B$1122="",8&gt;$C$4),"",SUMIFS(Actuals!$G:$G,Actuals!$B:$B,$C$3,Actuals!$C:$C,8,Actuals!$D:$D,$B$1122,Actuals!$A:$A,LEFT($D$1122,FIND("|",$D$1122&amp;"|")-1),Actuals!$E:$E,MID($D$1122,FIND("|",$D$1122&amp;"|")+1,50),Actuals!$F:$F,"JPY")*$E$5+SUMIFS(Actuals!$G:$G,Actuals!$B:$B,$C$3,Actuals!$C:$C,8,Actuals!$D:$D,$B$1122,Actuals!$A:$A,LEFT($D$1122,FIND("|",$D$1122&amp;"|")-1),Actuals!$E:$E,MID($D$1122,FIND("|",$D$1122&amp;"|")+1,50),Actuals!$F:$F,"USD")*$F$5+SUMIFS(Actuals!$G:$G,Actuals!$B:$B,$C$3,Actuals!$C:$C,8,Actuals!$D:$D,$B$1122,Actuals!$A:$A,LEFT($D$1122,FIND("|",$D$1122&amp;"|")-1),Actuals!$E:$E,MID($D$1122,FIND("|",$D$1122&amp;"|")+1,50),Actuals!$F:$F,"EUR")*$G$5+SUMIFS(Actuals!$G:$G,Actuals!$B:$B,$C$3,Actuals!$C:$C,8,Actuals!$D:$D,$B$1122,Actuals!$A:$A,LEFT($D$1122,FIND("|",$D$1122&amp;"|")-1),Actuals!$E:$E,MID($D$1122,FIND("|",$D$1122&amp;"|")+1,50),Actuals!$F:$F,"GBP")*$H$5)</f>
        <v/>
      </c>
      <c r="P1123" s="18">
        <f>IF(OR($B$1122="",9&gt;$C$4),"",SUMIFS(Actuals!$G:$G,Actuals!$B:$B,$C$3,Actuals!$C:$C,9,Actuals!$D:$D,$B$1122,Actuals!$A:$A,LEFT($D$1122,FIND("|",$D$1122&amp;"|")-1),Actuals!$E:$E,MID($D$1122,FIND("|",$D$1122&amp;"|")+1,50),Actuals!$F:$F,"JPY")*$E$5+SUMIFS(Actuals!$G:$G,Actuals!$B:$B,$C$3,Actuals!$C:$C,9,Actuals!$D:$D,$B$1122,Actuals!$A:$A,LEFT($D$1122,FIND("|",$D$1122&amp;"|")-1),Actuals!$E:$E,MID($D$1122,FIND("|",$D$1122&amp;"|")+1,50),Actuals!$F:$F,"USD")*$F$5+SUMIFS(Actuals!$G:$G,Actuals!$B:$B,$C$3,Actuals!$C:$C,9,Actuals!$D:$D,$B$1122,Actuals!$A:$A,LEFT($D$1122,FIND("|",$D$1122&amp;"|")-1),Actuals!$E:$E,MID($D$1122,FIND("|",$D$1122&amp;"|")+1,50),Actuals!$F:$F,"EUR")*$G$5+SUMIFS(Actuals!$G:$G,Actuals!$B:$B,$C$3,Actuals!$C:$C,9,Actuals!$D:$D,$B$1122,Actuals!$A:$A,LEFT($D$1122,FIND("|",$D$1122&amp;"|")-1),Actuals!$E:$E,MID($D$1122,FIND("|",$D$1122&amp;"|")+1,50),Actuals!$F:$F,"GBP")*$H$5)</f>
        <v/>
      </c>
      <c r="Q1123" s="18">
        <f>IF(OR($B$1122="",10&gt;$C$4),"",SUMIFS(Actuals!$G:$G,Actuals!$B:$B,$C$3,Actuals!$C:$C,10,Actuals!$D:$D,$B$1122,Actuals!$A:$A,LEFT($D$1122,FIND("|",$D$1122&amp;"|")-1),Actuals!$E:$E,MID($D$1122,FIND("|",$D$1122&amp;"|")+1,50),Actuals!$F:$F,"JPY")*$E$5+SUMIFS(Actuals!$G:$G,Actuals!$B:$B,$C$3,Actuals!$C:$C,10,Actuals!$D:$D,$B$1122,Actuals!$A:$A,LEFT($D$1122,FIND("|",$D$1122&amp;"|")-1),Actuals!$E:$E,MID($D$1122,FIND("|",$D$1122&amp;"|")+1,50),Actuals!$F:$F,"USD")*$F$5+SUMIFS(Actuals!$G:$G,Actuals!$B:$B,$C$3,Actuals!$C:$C,10,Actuals!$D:$D,$B$1122,Actuals!$A:$A,LEFT($D$1122,FIND("|",$D$1122&amp;"|")-1),Actuals!$E:$E,MID($D$1122,FIND("|",$D$1122&amp;"|")+1,50),Actuals!$F:$F,"EUR")*$G$5+SUMIFS(Actuals!$G:$G,Actuals!$B:$B,$C$3,Actuals!$C:$C,10,Actuals!$D:$D,$B$1122,Actuals!$A:$A,LEFT($D$1122,FIND("|",$D$1122&amp;"|")-1),Actuals!$E:$E,MID($D$1122,FIND("|",$D$1122&amp;"|")+1,50),Actuals!$F:$F,"GBP")*$H$5)</f>
        <v/>
      </c>
      <c r="R1123" s="18">
        <f>IF(OR($B$1122="",11&gt;$C$4),"",SUMIFS(Actuals!$G:$G,Actuals!$B:$B,$C$3,Actuals!$C:$C,11,Actuals!$D:$D,$B$1122,Actuals!$A:$A,LEFT($D$1122,FIND("|",$D$1122&amp;"|")-1),Actuals!$E:$E,MID($D$1122,FIND("|",$D$1122&amp;"|")+1,50),Actuals!$F:$F,"JPY")*$E$5+SUMIFS(Actuals!$G:$G,Actuals!$B:$B,$C$3,Actuals!$C:$C,11,Actuals!$D:$D,$B$1122,Actuals!$A:$A,LEFT($D$1122,FIND("|",$D$1122&amp;"|")-1),Actuals!$E:$E,MID($D$1122,FIND("|",$D$1122&amp;"|")+1,50),Actuals!$F:$F,"USD")*$F$5+SUMIFS(Actuals!$G:$G,Actuals!$B:$B,$C$3,Actuals!$C:$C,11,Actuals!$D:$D,$B$1122,Actuals!$A:$A,LEFT($D$1122,FIND("|",$D$1122&amp;"|")-1),Actuals!$E:$E,MID($D$1122,FIND("|",$D$1122&amp;"|")+1,50),Actuals!$F:$F,"EUR")*$G$5+SUMIFS(Actuals!$G:$G,Actuals!$B:$B,$C$3,Actuals!$C:$C,11,Actuals!$D:$D,$B$1122,Actuals!$A:$A,LEFT($D$1122,FIND("|",$D$1122&amp;"|")-1),Actuals!$E:$E,MID($D$1122,FIND("|",$D$1122&amp;"|")+1,50),Actuals!$F:$F,"GBP")*$H$5)</f>
        <v/>
      </c>
      <c r="S1123" s="18">
        <f>IF(OR($B$1122="",12&gt;$C$4),"",SUMIFS(Actuals!$G:$G,Actuals!$B:$B,$C$3,Actuals!$C:$C,12,Actuals!$D:$D,$B$1122,Actuals!$A:$A,LEFT($D$1122,FIND("|",$D$1122&amp;"|")-1),Actuals!$E:$E,MID($D$1122,FIND("|",$D$1122&amp;"|")+1,50),Actuals!$F:$F,"JPY")*$E$5+SUMIFS(Actuals!$G:$G,Actuals!$B:$B,$C$3,Actuals!$C:$C,12,Actuals!$D:$D,$B$1122,Actuals!$A:$A,LEFT($D$1122,FIND("|",$D$1122&amp;"|")-1),Actuals!$E:$E,MID($D$1122,FIND("|",$D$1122&amp;"|")+1,50),Actuals!$F:$F,"USD")*$F$5+SUMIFS(Actuals!$G:$G,Actuals!$B:$B,$C$3,Actuals!$C:$C,12,Actuals!$D:$D,$B$1122,Actuals!$A:$A,LEFT($D$1122,FIND("|",$D$1122&amp;"|")-1),Actuals!$E:$E,MID($D$1122,FIND("|",$D$1122&amp;"|")+1,50),Actuals!$F:$F,"EUR")*$G$5+SUMIFS(Actuals!$G:$G,Actuals!$B:$B,$C$3,Actuals!$C:$C,12,Actuals!$D:$D,$B$1122,Actuals!$A:$A,LEFT($D$1122,FIND("|",$D$1122&amp;"|")-1),Actuals!$E:$E,MID($D$1122,FIND("|",$D$1122&amp;"|")+1,50),Actuals!$F:$F,"GBP")*$H$5)</f>
        <v/>
      </c>
      <c r="T1123" s="18">
        <f>IF($B$1122="","",SUMIF($H$7:$S$7,"&lt;="&amp;$C$4,$H1123:$S1123))</f>
        <v/>
      </c>
      <c r="U1123" s="18" t="n"/>
      <c r="V1123" s="18" t="n"/>
      <c r="X1123" s="22">
        <f>IF($B1123="","",IFERROR(INDEX(Cost_Centers!$E:$E,MATCH($B1123,Cost_Centers!$A:$A,0)),"(unknown)"))</f>
        <v/>
      </c>
      <c r="Y1123" s="22">
        <f>IF($B1123="","",IFERROR(INDEX(Cost_Centers!$D:$D,MATCH($B1123,Cost_Centers!$A:$A,0)),"(unknown)"))</f>
        <v/>
      </c>
      <c r="Z1123" s="22">
        <f>IF(OR($B1123="",$G1123&lt;&gt;"Variance vs Budget"),"",ABS(N($V1123))+ROW()/1000000000)</f>
        <v/>
      </c>
    </row>
    <row r="1124">
      <c r="A1124" s="13">
        <f>IF(A$1122="","",A$1122)</f>
        <v/>
      </c>
      <c r="B1124" s="13">
        <f>IF(B$1122="","",B$1122)</f>
        <v/>
      </c>
      <c r="C1124" s="13">
        <f>IF(C$1122="","",C$1122)</f>
        <v/>
      </c>
      <c r="D1124" s="13">
        <f>IF(D$1122="","",D$1122)</f>
        <v/>
      </c>
      <c r="E1124" s="13">
        <f>IF(E$1122="","",E$1122)</f>
        <v/>
      </c>
      <c r="F1124" s="13">
        <f>IF(F$1122="","",F$1122)</f>
        <v/>
      </c>
      <c r="G1124" s="6" t="inlineStr">
        <is>
          <t>Variance vs Budget</t>
        </is>
      </c>
      <c r="H1124" s="33">
        <f>IF(OR($B$1122="",1&gt;$C$4),"",N(H1123)-H1122)</f>
        <v/>
      </c>
      <c r="I1124" s="33">
        <f>IF(OR($B$1122="",2&gt;$C$4),"",N(I1123)-I1122)</f>
        <v/>
      </c>
      <c r="J1124" s="33">
        <f>IF(OR($B$1122="",3&gt;$C$4),"",N(J1123)-J1122)</f>
        <v/>
      </c>
      <c r="K1124" s="33">
        <f>IF(OR($B$1122="",4&gt;$C$4),"",N(K1123)-K1122)</f>
        <v/>
      </c>
      <c r="L1124" s="33">
        <f>IF(OR($B$1122="",5&gt;$C$4),"",N(L1123)-L1122)</f>
        <v/>
      </c>
      <c r="M1124" s="33">
        <f>IF(OR($B$1122="",6&gt;$C$4),"",N(M1123)-M1122)</f>
        <v/>
      </c>
      <c r="N1124" s="33">
        <f>IF(OR($B$1122="",7&gt;$C$4),"",N(N1123)-N1122)</f>
        <v/>
      </c>
      <c r="O1124" s="33">
        <f>IF(OR($B$1122="",8&gt;$C$4),"",N(O1123)-O1122)</f>
        <v/>
      </c>
      <c r="P1124" s="33">
        <f>IF(OR($B$1122="",9&gt;$C$4),"",N(P1123)-P1122)</f>
        <v/>
      </c>
      <c r="Q1124" s="33">
        <f>IF(OR($B$1122="",10&gt;$C$4),"",N(Q1123)-Q1122)</f>
        <v/>
      </c>
      <c r="R1124" s="33">
        <f>IF(OR($B$1122="",11&gt;$C$4),"",N(R1123)-R1122)</f>
        <v/>
      </c>
      <c r="S1124" s="33">
        <f>IF(OR($B$1122="",12&gt;$C$4),"",N(S1123)-S1122)</f>
        <v/>
      </c>
      <c r="T1124" s="33">
        <f>IF($B$1122="","",T1123-T1122)</f>
        <v/>
      </c>
      <c r="U1124" s="33">
        <f>IF($B$1122="","",U1126-U1122)</f>
        <v/>
      </c>
      <c r="V1124" s="33">
        <f>IF($B$1122="","",V1126-V1122)</f>
        <v/>
      </c>
      <c r="X1124" s="22">
        <f>IF($B1124="","",IFERROR(INDEX(Cost_Centers!$E:$E,MATCH($B1124,Cost_Centers!$A:$A,0)),"(unknown)"))</f>
        <v/>
      </c>
      <c r="Y1124" s="22">
        <f>IF($B1124="","",IFERROR(INDEX(Cost_Centers!$D:$D,MATCH($B1124,Cost_Centers!$A:$A,0)),"(unknown)"))</f>
        <v/>
      </c>
      <c r="Z1124" s="22">
        <f>IF(OR($B1124="",$G1124&lt;&gt;"Variance vs Budget"),"",ABS(N($V1124))+ROW()/1000000000)</f>
        <v/>
      </c>
    </row>
    <row r="1125">
      <c r="A1125" s="13">
        <f>IF(A$1122="","",A$1122)</f>
        <v/>
      </c>
      <c r="B1125" s="13">
        <f>IF(B$1122="","",B$1122)</f>
        <v/>
      </c>
      <c r="C1125" s="13">
        <f>IF(C$1122="","",C$1122)</f>
        <v/>
      </c>
      <c r="D1125" s="13">
        <f>IF(D$1122="","",D$1122)</f>
        <v/>
      </c>
      <c r="E1125" s="13">
        <f>IF(E$1122="","",E$1122)</f>
        <v/>
      </c>
      <c r="F1125" s="13">
        <f>IF(F$1122="","",F$1122)</f>
        <v/>
      </c>
      <c r="G1125" s="7" t="inlineStr">
        <is>
          <t>Forecast (input)</t>
        </is>
      </c>
      <c r="H1125" s="34" t="n"/>
      <c r="I1125" s="34" t="n"/>
      <c r="J1125" s="34" t="n"/>
      <c r="K1125" s="34" t="n"/>
      <c r="L1125" s="34" t="n"/>
      <c r="M1125" s="34" t="n"/>
      <c r="N1125" s="34" t="n"/>
      <c r="O1125" s="34" t="n"/>
      <c r="P1125" s="34" t="n"/>
      <c r="Q1125" s="34" t="n"/>
      <c r="R1125" s="34" t="n"/>
      <c r="S1125" s="34" t="n"/>
      <c r="T1125" s="18" t="n"/>
      <c r="U1125" s="18" t="n"/>
      <c r="V1125" s="18" t="n"/>
      <c r="X1125" s="22">
        <f>IF($B1125="","",IFERROR(INDEX(Cost_Centers!$E:$E,MATCH($B1125,Cost_Centers!$A:$A,0)),"(unknown)"))</f>
        <v/>
      </c>
      <c r="Y1125" s="22">
        <f>IF($B1125="","",IFERROR(INDEX(Cost_Centers!$D:$D,MATCH($B1125,Cost_Centers!$A:$A,0)),"(unknown)"))</f>
        <v/>
      </c>
      <c r="Z1125" s="22">
        <f>IF(OR($B1125="",$G1125&lt;&gt;"Variance vs Budget"),"",ABS(N($V1125))+ROW()/1000000000)</f>
        <v/>
      </c>
    </row>
    <row r="1126">
      <c r="A1126" s="13">
        <f>IF(A$1122="","",A$1122)</f>
        <v/>
      </c>
      <c r="B1126" s="13">
        <f>IF(B$1122="","",B$1122)</f>
        <v/>
      </c>
      <c r="C1126" s="13">
        <f>IF(C$1122="","",C$1122)</f>
        <v/>
      </c>
      <c r="D1126" s="13">
        <f>IF(D$1122="","",D$1122)</f>
        <v/>
      </c>
      <c r="E1126" s="13">
        <f>IF(E$1122="","",E$1122)</f>
        <v/>
      </c>
      <c r="F1126" s="13">
        <f>IF(F$1122="","",F$1122)</f>
        <v/>
      </c>
      <c r="G1126" s="35" t="inlineStr">
        <is>
          <t>Actual + Forecast</t>
        </is>
      </c>
      <c r="H1126" s="18">
        <f>IF($B$1122="","",IF(1&lt;=$C$4,N(H1123),IF(H1125="",H1122,H1125)))</f>
        <v/>
      </c>
      <c r="I1126" s="18">
        <f>IF($B$1122="","",IF(2&lt;=$C$4,N(I1123),IF(I1125="",I1122,I1125)))</f>
        <v/>
      </c>
      <c r="J1126" s="18">
        <f>IF($B$1122="","",IF(3&lt;=$C$4,N(J1123),IF(J1125="",J1122,J1125)))</f>
        <v/>
      </c>
      <c r="K1126" s="18">
        <f>IF($B$1122="","",IF(4&lt;=$C$4,N(K1123),IF(K1125="",K1122,K1125)))</f>
        <v/>
      </c>
      <c r="L1126" s="18">
        <f>IF($B$1122="","",IF(5&lt;=$C$4,N(L1123),IF(L1125="",L1122,L1125)))</f>
        <v/>
      </c>
      <c r="M1126" s="18">
        <f>IF($B$1122="","",IF(6&lt;=$C$4,N(M1123),IF(M1125="",M1122,M1125)))</f>
        <v/>
      </c>
      <c r="N1126" s="18">
        <f>IF($B$1122="","",IF(7&lt;=$C$4,N(N1123),IF(N1125="",N1122,N1125)))</f>
        <v/>
      </c>
      <c r="O1126" s="18">
        <f>IF($B$1122="","",IF(8&lt;=$C$4,N(O1123),IF(O1125="",O1122,O1125)))</f>
        <v/>
      </c>
      <c r="P1126" s="18">
        <f>IF($B$1122="","",IF(9&lt;=$C$4,N(P1123),IF(P1125="",P1122,P1125)))</f>
        <v/>
      </c>
      <c r="Q1126" s="18">
        <f>IF($B$1122="","",IF(10&lt;=$C$4,N(Q1123),IF(Q1125="",Q1122,Q1125)))</f>
        <v/>
      </c>
      <c r="R1126" s="18">
        <f>IF($B$1122="","",IF(11&lt;=$C$4,N(R1123),IF(R1125="",R1122,R1125)))</f>
        <v/>
      </c>
      <c r="S1126" s="18">
        <f>IF($B$1122="","",IF(12&lt;=$C$4,N(S1123),IF(S1125="",S1122,S1125)))</f>
        <v/>
      </c>
      <c r="T1126" s="18">
        <f>IF($B$1122="","",SUMIF($H$7:$S$7,"&lt;="&amp;$C$4,$H1126:$S1126))</f>
        <v/>
      </c>
      <c r="U1126" s="18">
        <f>IF($B$1122="","",SUMIF($H$7:$S$7,"&gt;"&amp;$C$4,$H1126:$S1126))</f>
        <v/>
      </c>
      <c r="V1126" s="18">
        <f>IF($B$1122="","",SUM($H1126:$S1126))</f>
        <v/>
      </c>
      <c r="X1126" s="22">
        <f>IF($B1126="","",IFERROR(INDEX(Cost_Centers!$E:$E,MATCH($B1126,Cost_Centers!$A:$A,0)),"(unknown)"))</f>
        <v/>
      </c>
      <c r="Y1126" s="22">
        <f>IF($B1126="","",IFERROR(INDEX(Cost_Centers!$D:$D,MATCH($B1126,Cost_Centers!$A:$A,0)),"(unknown)"))</f>
        <v/>
      </c>
      <c r="Z1126" s="22">
        <f>IF(OR($B1126="",$G1126&lt;&gt;"Variance vs Budget"),"",ABS(N($V1126))+ROW()/1000000000)</f>
        <v/>
      </c>
    </row>
    <row r="1127">
      <c r="A1127" s="13">
        <f>IF(A$1122="","",A$1122)</f>
        <v/>
      </c>
      <c r="B1127" s="13">
        <f>IF(B$1122="","",B$1122)</f>
        <v/>
      </c>
      <c r="C1127" s="13">
        <f>IF(C$1122="","",C$1122)</f>
        <v/>
      </c>
      <c r="D1127" s="13">
        <f>IF(D$1122="","",D$1122)</f>
        <v/>
      </c>
      <c r="E1127" s="13">
        <f>IF(E$1122="","",E$1122)</f>
        <v/>
      </c>
      <c r="F1127" s="13">
        <f>IF(F$1122="","",F$1122)</f>
        <v/>
      </c>
      <c r="G1127" s="36" t="inlineStr">
        <is>
          <t>Prior Month Forecast</t>
        </is>
      </c>
      <c r="H1127" s="37">
        <f>IF($B$1122="","",IF(COUNTIFS(Prior_Forecast!$A:$A,$B$1122,Prior_Forecast!$B:$B,$D$1122)&gt;0,SUMIFS(Prior_Forecast!$C:$C,Prior_Forecast!$A:$A,$B$1122,Prior_Forecast!$B:$B,$D$1122),""))</f>
        <v/>
      </c>
      <c r="I1127" s="37">
        <f>IF($B$1122="","",IF(COUNTIFS(Prior_Forecast!$A:$A,$B$1122,Prior_Forecast!$B:$B,$D$1122)&gt;0,SUMIFS(Prior_Forecast!$D:$D,Prior_Forecast!$A:$A,$B$1122,Prior_Forecast!$B:$B,$D$1122),""))</f>
        <v/>
      </c>
      <c r="J1127" s="37">
        <f>IF($B$1122="","",IF(COUNTIFS(Prior_Forecast!$A:$A,$B$1122,Prior_Forecast!$B:$B,$D$1122)&gt;0,SUMIFS(Prior_Forecast!$E:$E,Prior_Forecast!$A:$A,$B$1122,Prior_Forecast!$B:$B,$D$1122),""))</f>
        <v/>
      </c>
      <c r="K1127" s="37">
        <f>IF($B$1122="","",IF(COUNTIFS(Prior_Forecast!$A:$A,$B$1122,Prior_Forecast!$B:$B,$D$1122)&gt;0,SUMIFS(Prior_Forecast!$F:$F,Prior_Forecast!$A:$A,$B$1122,Prior_Forecast!$B:$B,$D$1122),""))</f>
        <v/>
      </c>
      <c r="L1127" s="37">
        <f>IF($B$1122="","",IF(COUNTIFS(Prior_Forecast!$A:$A,$B$1122,Prior_Forecast!$B:$B,$D$1122)&gt;0,SUMIFS(Prior_Forecast!$G:$G,Prior_Forecast!$A:$A,$B$1122,Prior_Forecast!$B:$B,$D$1122),""))</f>
        <v/>
      </c>
      <c r="M1127" s="37">
        <f>IF($B$1122="","",IF(COUNTIFS(Prior_Forecast!$A:$A,$B$1122,Prior_Forecast!$B:$B,$D$1122)&gt;0,SUMIFS(Prior_Forecast!$H:$H,Prior_Forecast!$A:$A,$B$1122,Prior_Forecast!$B:$B,$D$1122),""))</f>
        <v/>
      </c>
      <c r="N1127" s="37">
        <f>IF($B$1122="","",IF(COUNTIFS(Prior_Forecast!$A:$A,$B$1122,Prior_Forecast!$B:$B,$D$1122)&gt;0,SUMIFS(Prior_Forecast!$I:$I,Prior_Forecast!$A:$A,$B$1122,Prior_Forecast!$B:$B,$D$1122),""))</f>
        <v/>
      </c>
      <c r="O1127" s="37">
        <f>IF($B$1122="","",IF(COUNTIFS(Prior_Forecast!$A:$A,$B$1122,Prior_Forecast!$B:$B,$D$1122)&gt;0,SUMIFS(Prior_Forecast!$J:$J,Prior_Forecast!$A:$A,$B$1122,Prior_Forecast!$B:$B,$D$1122),""))</f>
        <v/>
      </c>
      <c r="P1127" s="37">
        <f>IF($B$1122="","",IF(COUNTIFS(Prior_Forecast!$A:$A,$B$1122,Prior_Forecast!$B:$B,$D$1122)&gt;0,SUMIFS(Prior_Forecast!$K:$K,Prior_Forecast!$A:$A,$B$1122,Prior_Forecast!$B:$B,$D$1122),""))</f>
        <v/>
      </c>
      <c r="Q1127" s="37">
        <f>IF($B$1122="","",IF(COUNTIFS(Prior_Forecast!$A:$A,$B$1122,Prior_Forecast!$B:$B,$D$1122)&gt;0,SUMIFS(Prior_Forecast!$L:$L,Prior_Forecast!$A:$A,$B$1122,Prior_Forecast!$B:$B,$D$1122),""))</f>
        <v/>
      </c>
      <c r="R1127" s="37">
        <f>IF($B$1122="","",IF(COUNTIFS(Prior_Forecast!$A:$A,$B$1122,Prior_Forecast!$B:$B,$D$1122)&gt;0,SUMIFS(Prior_Forecast!$M:$M,Prior_Forecast!$A:$A,$B$1122,Prior_Forecast!$B:$B,$D$1122),""))</f>
        <v/>
      </c>
      <c r="S1127" s="37">
        <f>IF($B$1122="","",IF(COUNTIFS(Prior_Forecast!$A:$A,$B$1122,Prior_Forecast!$B:$B,$D$1122)&gt;0,SUMIFS(Prior_Forecast!$N:$N,Prior_Forecast!$A:$A,$B$1122,Prior_Forecast!$B:$B,$D$1122),""))</f>
        <v/>
      </c>
      <c r="T1127" s="37">
        <f>IF($B$1122="","",IF(COUNTIFS(Prior_Forecast!$A:$A,$B$1122,Prior_Forecast!$B:$B,$D$1122)&gt;0,SUMIFS(Prior_Forecast!$O:$O,Prior_Forecast!$A:$A,$B$1122,Prior_Forecast!$B:$B,$D$1122),""))</f>
        <v/>
      </c>
      <c r="U1127" s="37">
        <f>IF($B$1122="","",IF(COUNTIFS(Prior_Forecast!$A:$A,$B$1122,Prior_Forecast!$B:$B,$D$1122)&gt;0,SUMIFS(Prior_Forecast!$P:$P,Prior_Forecast!$A:$A,$B$1122,Prior_Forecast!$B:$B,$D$1122),""))</f>
        <v/>
      </c>
      <c r="V1127" s="37">
        <f>IF($B$1122="","",IF(COUNTIFS(Prior_Forecast!$A:$A,$B$1122,Prior_Forecast!$B:$B,$D$1122)&gt;0,SUMIFS(Prior_Forecast!$Q:$Q,Prior_Forecast!$A:$A,$B$1122,Prior_Forecast!$B:$B,$D$1122),""))</f>
        <v/>
      </c>
      <c r="X1127" s="22">
        <f>IF($B1127="","",IFERROR(INDEX(Cost_Centers!$E:$E,MATCH($B1127,Cost_Centers!$A:$A,0)),"(unknown)"))</f>
        <v/>
      </c>
      <c r="Y1127" s="22">
        <f>IF($B1127="","",IFERROR(INDEX(Cost_Centers!$D:$D,MATCH($B1127,Cost_Centers!$A:$A,0)),"(unknown)"))</f>
        <v/>
      </c>
      <c r="Z1127" s="22">
        <f>IF(OR($B1127="",$G1127&lt;&gt;"Variance vs Budget"),"",ABS(N($V1127))+ROW()/1000000000)</f>
        <v/>
      </c>
    </row>
    <row r="1128">
      <c r="A1128" s="13">
        <f>IF(A$1122="","",A$1122)</f>
        <v/>
      </c>
      <c r="B1128" s="13">
        <f>IF(B$1122="","",B$1122)</f>
        <v/>
      </c>
      <c r="C1128" s="13">
        <f>IF(C$1122="","",C$1122)</f>
        <v/>
      </c>
      <c r="D1128" s="13">
        <f>IF(D$1122="","",D$1122)</f>
        <v/>
      </c>
      <c r="E1128" s="13">
        <f>IF(E$1122="","",E$1122)</f>
        <v/>
      </c>
      <c r="F1128" s="13">
        <f>IF(F$1122="","",F$1122)</f>
        <v/>
      </c>
      <c r="G1128" s="6" t="inlineStr">
        <is>
          <t>Variance vs Prior Month</t>
        </is>
      </c>
      <c r="H1128" s="33">
        <f>IF(OR($B$1122="",H1127=""),"",H1126-H1127)</f>
        <v/>
      </c>
      <c r="I1128" s="33">
        <f>IF(OR($B$1122="",I1127=""),"",I1126-I1127)</f>
        <v/>
      </c>
      <c r="J1128" s="33">
        <f>IF(OR($B$1122="",J1127=""),"",J1126-J1127)</f>
        <v/>
      </c>
      <c r="K1128" s="33">
        <f>IF(OR($B$1122="",K1127=""),"",K1126-K1127)</f>
        <v/>
      </c>
      <c r="L1128" s="33">
        <f>IF(OR($B$1122="",L1127=""),"",L1126-L1127)</f>
        <v/>
      </c>
      <c r="M1128" s="33">
        <f>IF(OR($B$1122="",M1127=""),"",M1126-M1127)</f>
        <v/>
      </c>
      <c r="N1128" s="33">
        <f>IF(OR($B$1122="",N1127=""),"",N1126-N1127)</f>
        <v/>
      </c>
      <c r="O1128" s="33">
        <f>IF(OR($B$1122="",O1127=""),"",O1126-O1127)</f>
        <v/>
      </c>
      <c r="P1128" s="33">
        <f>IF(OR($B$1122="",P1127=""),"",P1126-P1127)</f>
        <v/>
      </c>
      <c r="Q1128" s="33">
        <f>IF(OR($B$1122="",Q1127=""),"",Q1126-Q1127)</f>
        <v/>
      </c>
      <c r="R1128" s="33">
        <f>IF(OR($B$1122="",R1127=""),"",R1126-R1127)</f>
        <v/>
      </c>
      <c r="S1128" s="33">
        <f>IF(OR($B$1122="",S1127=""),"",S1126-S1127)</f>
        <v/>
      </c>
      <c r="T1128" s="33">
        <f>IF(OR($B$1122="",T1127=""),"",T1126-T1127)</f>
        <v/>
      </c>
      <c r="U1128" s="33">
        <f>IF(OR($B$1122="",U1127=""),"",U1126-U1127)</f>
        <v/>
      </c>
      <c r="V1128" s="33">
        <f>IF(OR($B$1122="",V1127=""),"",V1126-V1127)</f>
        <v/>
      </c>
      <c r="X1128" s="22">
        <f>IF($B1128="","",IFERROR(INDEX(Cost_Centers!$E:$E,MATCH($B1128,Cost_Centers!$A:$A,0)),"(unknown)"))</f>
        <v/>
      </c>
      <c r="Y1128" s="22">
        <f>IF($B1128="","",IFERROR(INDEX(Cost_Centers!$D:$D,MATCH($B1128,Cost_Centers!$A:$A,0)),"(unknown)"))</f>
        <v/>
      </c>
      <c r="Z1128" s="22">
        <f>IF(OR($B1128="",$G1128&lt;&gt;"Variance vs Budget"),"",ABS(N($V1128))+ROW()/1000000000)</f>
        <v/>
      </c>
    </row>
    <row r="1129" ht="45" customHeight="1">
      <c r="A1129" s="13">
        <f>IF(A$1122="","",A$1122)</f>
        <v/>
      </c>
      <c r="B1129" s="13">
        <f>IF(B$1122="","",B$1122)</f>
        <v/>
      </c>
      <c r="C1129" s="13">
        <f>IF(C$1122="","",C$1122)</f>
        <v/>
      </c>
      <c r="D1129" s="13">
        <f>IF(D$1122="","",D$1122)</f>
        <v/>
      </c>
      <c r="E1129" s="13">
        <f>IF(E$1122="","",E$1122)</f>
        <v/>
      </c>
      <c r="F1129" s="13">
        <f>IF(F$1122="","",F$1122)</f>
        <v/>
      </c>
      <c r="G1129" s="7" t="inlineStr">
        <is>
          <t>Rationale</t>
        </is>
      </c>
      <c r="H1129" s="38" t="n"/>
      <c r="I1129" s="38" t="n"/>
      <c r="J1129" s="38" t="n"/>
      <c r="K1129" s="38" t="n"/>
      <c r="L1129" s="38" t="n"/>
      <c r="M1129" s="38" t="n"/>
      <c r="N1129" s="38" t="n"/>
      <c r="O1129" s="38" t="n"/>
      <c r="P1129" s="38" t="n"/>
      <c r="Q1129" s="38" t="n"/>
      <c r="R1129" s="38" t="n"/>
      <c r="S1129" s="38" t="n"/>
      <c r="T1129" s="38" t="n"/>
      <c r="U1129" s="38" t="n"/>
      <c r="V1129" s="7" t="n"/>
      <c r="X1129" s="22">
        <f>IF($B1129="","",IFERROR(INDEX(Cost_Centers!$E:$E,MATCH($B1129,Cost_Centers!$A:$A,0)),"(unknown)"))</f>
        <v/>
      </c>
      <c r="Y1129" s="22">
        <f>IF($B1129="","",IFERROR(INDEX(Cost_Centers!$D:$D,MATCH($B1129,Cost_Centers!$A:$A,0)),"(unknown)"))</f>
        <v/>
      </c>
      <c r="Z1129" s="22">
        <f>IF(OR($B1129="",$G1129&lt;&gt;"Variance vs Budget"),"",ABS(N($V1129))+ROW()/1000000000)</f>
        <v/>
      </c>
    </row>
    <row r="1130">
      <c r="A1130" s="30">
        <f>IF($D$1130="","",LEFT($D$1130,FIND("|",$D$1130&amp;"|")-1))</f>
        <v/>
      </c>
      <c r="B1130" s="31" t="n"/>
      <c r="C1130" s="30">
        <f>IF($B$1130="","",IFERROR(INDEX(Cost_Centers!$B:$B,MATCH($B$1130,Cost_Centers!$A:$A,0)),"(not in master)"))</f>
        <v/>
      </c>
      <c r="D1130" s="31" t="n"/>
      <c r="E1130" s="30">
        <f>IF($D$1130="","",IFERROR(INDEX(Accounts!$D:$D,MATCH($D$1130,Accounts!$A:$A,0)),"(not in master)"))</f>
        <v/>
      </c>
      <c r="F1130" s="31" t="n"/>
      <c r="G1130" s="30" t="inlineStr">
        <is>
          <t>Budget</t>
        </is>
      </c>
      <c r="H1130" s="32">
        <f>IF($B$1130="","",SUMIFS(Opex_Budget!$O:$O,Opex_Budget!$A:$A,$C$3,Opex_Budget!$E:$E,$B$1130,Opex_Budget!$F:$F,$D$1130,Opex_Budget!$N:$N,"JPY")*$E$5+SUMIFS(Opex_Budget!$O:$O,Opex_Budget!$A:$A,$C$3,Opex_Budget!$E:$E,$B$1130,Opex_Budget!$F:$F,$D$1130,Opex_Budget!$N:$N,"USD")*$F$5+SUMIFS(Opex_Budget!$O:$O,Opex_Budget!$A:$A,$C$3,Opex_Budget!$E:$E,$B$1130,Opex_Budget!$F:$F,$D$1130,Opex_Budget!$N:$N,"EUR")*$G$5+SUMIFS(Opex_Budget!$O:$O,Opex_Budget!$A:$A,$C$3,Opex_Budget!$E:$E,$B$1130,Opex_Budget!$F:$F,$D$1130,Opex_Budget!$N:$N,"GBP")*$H$5)</f>
        <v/>
      </c>
      <c r="I1130" s="32">
        <f>IF($B$1130="","",SUMIFS(Opex_Budget!$P:$P,Opex_Budget!$A:$A,$C$3,Opex_Budget!$E:$E,$B$1130,Opex_Budget!$F:$F,$D$1130,Opex_Budget!$N:$N,"JPY")*$E$5+SUMIFS(Opex_Budget!$P:$P,Opex_Budget!$A:$A,$C$3,Opex_Budget!$E:$E,$B$1130,Opex_Budget!$F:$F,$D$1130,Opex_Budget!$N:$N,"USD")*$F$5+SUMIFS(Opex_Budget!$P:$P,Opex_Budget!$A:$A,$C$3,Opex_Budget!$E:$E,$B$1130,Opex_Budget!$F:$F,$D$1130,Opex_Budget!$N:$N,"EUR")*$G$5+SUMIFS(Opex_Budget!$P:$P,Opex_Budget!$A:$A,$C$3,Opex_Budget!$E:$E,$B$1130,Opex_Budget!$F:$F,$D$1130,Opex_Budget!$N:$N,"GBP")*$H$5)</f>
        <v/>
      </c>
      <c r="J1130" s="32">
        <f>IF($B$1130="","",SUMIFS(Opex_Budget!$Q:$Q,Opex_Budget!$A:$A,$C$3,Opex_Budget!$E:$E,$B$1130,Opex_Budget!$F:$F,$D$1130,Opex_Budget!$N:$N,"JPY")*$E$5+SUMIFS(Opex_Budget!$Q:$Q,Opex_Budget!$A:$A,$C$3,Opex_Budget!$E:$E,$B$1130,Opex_Budget!$F:$F,$D$1130,Opex_Budget!$N:$N,"USD")*$F$5+SUMIFS(Opex_Budget!$Q:$Q,Opex_Budget!$A:$A,$C$3,Opex_Budget!$E:$E,$B$1130,Opex_Budget!$F:$F,$D$1130,Opex_Budget!$N:$N,"EUR")*$G$5+SUMIFS(Opex_Budget!$Q:$Q,Opex_Budget!$A:$A,$C$3,Opex_Budget!$E:$E,$B$1130,Opex_Budget!$F:$F,$D$1130,Opex_Budget!$N:$N,"GBP")*$H$5)</f>
        <v/>
      </c>
      <c r="K1130" s="32">
        <f>IF($B$1130="","",SUMIFS(Opex_Budget!$R:$R,Opex_Budget!$A:$A,$C$3,Opex_Budget!$E:$E,$B$1130,Opex_Budget!$F:$F,$D$1130,Opex_Budget!$N:$N,"JPY")*$E$5+SUMIFS(Opex_Budget!$R:$R,Opex_Budget!$A:$A,$C$3,Opex_Budget!$E:$E,$B$1130,Opex_Budget!$F:$F,$D$1130,Opex_Budget!$N:$N,"USD")*$F$5+SUMIFS(Opex_Budget!$R:$R,Opex_Budget!$A:$A,$C$3,Opex_Budget!$E:$E,$B$1130,Opex_Budget!$F:$F,$D$1130,Opex_Budget!$N:$N,"EUR")*$G$5+SUMIFS(Opex_Budget!$R:$R,Opex_Budget!$A:$A,$C$3,Opex_Budget!$E:$E,$B$1130,Opex_Budget!$F:$F,$D$1130,Opex_Budget!$N:$N,"GBP")*$H$5)</f>
        <v/>
      </c>
      <c r="L1130" s="32">
        <f>IF($B$1130="","",SUMIFS(Opex_Budget!$S:$S,Opex_Budget!$A:$A,$C$3,Opex_Budget!$E:$E,$B$1130,Opex_Budget!$F:$F,$D$1130,Opex_Budget!$N:$N,"JPY")*$E$5+SUMIFS(Opex_Budget!$S:$S,Opex_Budget!$A:$A,$C$3,Opex_Budget!$E:$E,$B$1130,Opex_Budget!$F:$F,$D$1130,Opex_Budget!$N:$N,"USD")*$F$5+SUMIFS(Opex_Budget!$S:$S,Opex_Budget!$A:$A,$C$3,Opex_Budget!$E:$E,$B$1130,Opex_Budget!$F:$F,$D$1130,Opex_Budget!$N:$N,"EUR")*$G$5+SUMIFS(Opex_Budget!$S:$S,Opex_Budget!$A:$A,$C$3,Opex_Budget!$E:$E,$B$1130,Opex_Budget!$F:$F,$D$1130,Opex_Budget!$N:$N,"GBP")*$H$5)</f>
        <v/>
      </c>
      <c r="M1130" s="32">
        <f>IF($B$1130="","",SUMIFS(Opex_Budget!$T:$T,Opex_Budget!$A:$A,$C$3,Opex_Budget!$E:$E,$B$1130,Opex_Budget!$F:$F,$D$1130,Opex_Budget!$N:$N,"JPY")*$E$5+SUMIFS(Opex_Budget!$T:$T,Opex_Budget!$A:$A,$C$3,Opex_Budget!$E:$E,$B$1130,Opex_Budget!$F:$F,$D$1130,Opex_Budget!$N:$N,"USD")*$F$5+SUMIFS(Opex_Budget!$T:$T,Opex_Budget!$A:$A,$C$3,Opex_Budget!$E:$E,$B$1130,Opex_Budget!$F:$F,$D$1130,Opex_Budget!$N:$N,"EUR")*$G$5+SUMIFS(Opex_Budget!$T:$T,Opex_Budget!$A:$A,$C$3,Opex_Budget!$E:$E,$B$1130,Opex_Budget!$F:$F,$D$1130,Opex_Budget!$N:$N,"GBP")*$H$5)</f>
        <v/>
      </c>
      <c r="N1130" s="32">
        <f>IF($B$1130="","",SUMIFS(Opex_Budget!$U:$U,Opex_Budget!$A:$A,$C$3,Opex_Budget!$E:$E,$B$1130,Opex_Budget!$F:$F,$D$1130,Opex_Budget!$N:$N,"JPY")*$E$5+SUMIFS(Opex_Budget!$U:$U,Opex_Budget!$A:$A,$C$3,Opex_Budget!$E:$E,$B$1130,Opex_Budget!$F:$F,$D$1130,Opex_Budget!$N:$N,"USD")*$F$5+SUMIFS(Opex_Budget!$U:$U,Opex_Budget!$A:$A,$C$3,Opex_Budget!$E:$E,$B$1130,Opex_Budget!$F:$F,$D$1130,Opex_Budget!$N:$N,"EUR")*$G$5+SUMIFS(Opex_Budget!$U:$U,Opex_Budget!$A:$A,$C$3,Opex_Budget!$E:$E,$B$1130,Opex_Budget!$F:$F,$D$1130,Opex_Budget!$N:$N,"GBP")*$H$5)</f>
        <v/>
      </c>
      <c r="O1130" s="32">
        <f>IF($B$1130="","",SUMIFS(Opex_Budget!$V:$V,Opex_Budget!$A:$A,$C$3,Opex_Budget!$E:$E,$B$1130,Opex_Budget!$F:$F,$D$1130,Opex_Budget!$N:$N,"JPY")*$E$5+SUMIFS(Opex_Budget!$V:$V,Opex_Budget!$A:$A,$C$3,Opex_Budget!$E:$E,$B$1130,Opex_Budget!$F:$F,$D$1130,Opex_Budget!$N:$N,"USD")*$F$5+SUMIFS(Opex_Budget!$V:$V,Opex_Budget!$A:$A,$C$3,Opex_Budget!$E:$E,$B$1130,Opex_Budget!$F:$F,$D$1130,Opex_Budget!$N:$N,"EUR")*$G$5+SUMIFS(Opex_Budget!$V:$V,Opex_Budget!$A:$A,$C$3,Opex_Budget!$E:$E,$B$1130,Opex_Budget!$F:$F,$D$1130,Opex_Budget!$N:$N,"GBP")*$H$5)</f>
        <v/>
      </c>
      <c r="P1130" s="32">
        <f>IF($B$1130="","",SUMIFS(Opex_Budget!$W:$W,Opex_Budget!$A:$A,$C$3,Opex_Budget!$E:$E,$B$1130,Opex_Budget!$F:$F,$D$1130,Opex_Budget!$N:$N,"JPY")*$E$5+SUMIFS(Opex_Budget!$W:$W,Opex_Budget!$A:$A,$C$3,Opex_Budget!$E:$E,$B$1130,Opex_Budget!$F:$F,$D$1130,Opex_Budget!$N:$N,"USD")*$F$5+SUMIFS(Opex_Budget!$W:$W,Opex_Budget!$A:$A,$C$3,Opex_Budget!$E:$E,$B$1130,Opex_Budget!$F:$F,$D$1130,Opex_Budget!$N:$N,"EUR")*$G$5+SUMIFS(Opex_Budget!$W:$W,Opex_Budget!$A:$A,$C$3,Opex_Budget!$E:$E,$B$1130,Opex_Budget!$F:$F,$D$1130,Opex_Budget!$N:$N,"GBP")*$H$5)</f>
        <v/>
      </c>
      <c r="Q1130" s="32">
        <f>IF($B$1130="","",SUMIFS(Opex_Budget!$X:$X,Opex_Budget!$A:$A,$C$3,Opex_Budget!$E:$E,$B$1130,Opex_Budget!$F:$F,$D$1130,Opex_Budget!$N:$N,"JPY")*$E$5+SUMIFS(Opex_Budget!$X:$X,Opex_Budget!$A:$A,$C$3,Opex_Budget!$E:$E,$B$1130,Opex_Budget!$F:$F,$D$1130,Opex_Budget!$N:$N,"USD")*$F$5+SUMIFS(Opex_Budget!$X:$X,Opex_Budget!$A:$A,$C$3,Opex_Budget!$E:$E,$B$1130,Opex_Budget!$F:$F,$D$1130,Opex_Budget!$N:$N,"EUR")*$G$5+SUMIFS(Opex_Budget!$X:$X,Opex_Budget!$A:$A,$C$3,Opex_Budget!$E:$E,$B$1130,Opex_Budget!$F:$F,$D$1130,Opex_Budget!$N:$N,"GBP")*$H$5)</f>
        <v/>
      </c>
      <c r="R1130" s="32">
        <f>IF($B$1130="","",SUMIFS(Opex_Budget!$Y:$Y,Opex_Budget!$A:$A,$C$3,Opex_Budget!$E:$E,$B$1130,Opex_Budget!$F:$F,$D$1130,Opex_Budget!$N:$N,"JPY")*$E$5+SUMIFS(Opex_Budget!$Y:$Y,Opex_Budget!$A:$A,$C$3,Opex_Budget!$E:$E,$B$1130,Opex_Budget!$F:$F,$D$1130,Opex_Budget!$N:$N,"USD")*$F$5+SUMIFS(Opex_Budget!$Y:$Y,Opex_Budget!$A:$A,$C$3,Opex_Budget!$E:$E,$B$1130,Opex_Budget!$F:$F,$D$1130,Opex_Budget!$N:$N,"EUR")*$G$5+SUMIFS(Opex_Budget!$Y:$Y,Opex_Budget!$A:$A,$C$3,Opex_Budget!$E:$E,$B$1130,Opex_Budget!$F:$F,$D$1130,Opex_Budget!$N:$N,"GBP")*$H$5)</f>
        <v/>
      </c>
      <c r="S1130" s="32">
        <f>IF($B$1130="","",SUMIFS(Opex_Budget!$Z:$Z,Opex_Budget!$A:$A,$C$3,Opex_Budget!$E:$E,$B$1130,Opex_Budget!$F:$F,$D$1130,Opex_Budget!$N:$N,"JPY")*$E$5+SUMIFS(Opex_Budget!$Z:$Z,Opex_Budget!$A:$A,$C$3,Opex_Budget!$E:$E,$B$1130,Opex_Budget!$F:$F,$D$1130,Opex_Budget!$N:$N,"USD")*$F$5+SUMIFS(Opex_Budget!$Z:$Z,Opex_Budget!$A:$A,$C$3,Opex_Budget!$E:$E,$B$1130,Opex_Budget!$F:$F,$D$1130,Opex_Budget!$N:$N,"EUR")*$G$5+SUMIFS(Opex_Budget!$Z:$Z,Opex_Budget!$A:$A,$C$3,Opex_Budget!$E:$E,$B$1130,Opex_Budget!$F:$F,$D$1130,Opex_Budget!$N:$N,"GBP")*$H$5)</f>
        <v/>
      </c>
      <c r="T1130" s="32">
        <f>IF($B$1130="","",SUMIF($H$7:$S$7,"&lt;="&amp;$C$4,$H1130:$S1130))</f>
        <v/>
      </c>
      <c r="U1130" s="32">
        <f>IF($B$1130="","",SUMIF($H$7:$S$7,"&gt;"&amp;$C$4,$H1130:$S1130))</f>
        <v/>
      </c>
      <c r="V1130" s="32">
        <f>IF($B$1130="","",SUM($H1130:$S1130))</f>
        <v/>
      </c>
      <c r="X1130" s="22">
        <f>IF($B1130="","",IFERROR(INDEX(Cost_Centers!$E:$E,MATCH($B1130,Cost_Centers!$A:$A,0)),"(unknown)"))</f>
        <v/>
      </c>
      <c r="Y1130" s="22">
        <f>IF($B1130="","",IFERROR(INDEX(Cost_Centers!$D:$D,MATCH($B1130,Cost_Centers!$A:$A,0)),"(unknown)"))</f>
        <v/>
      </c>
      <c r="Z1130" s="22">
        <f>IF(OR($B1130="",$G1130&lt;&gt;"Variance vs Budget"),"",ABS(N($V1130))+ROW()/1000000000)</f>
        <v/>
      </c>
    </row>
    <row r="1131">
      <c r="A1131" s="13">
        <f>IF(A$1130="","",A$1130)</f>
        <v/>
      </c>
      <c r="B1131" s="13">
        <f>IF(B$1130="","",B$1130)</f>
        <v/>
      </c>
      <c r="C1131" s="13">
        <f>IF(C$1130="","",C$1130)</f>
        <v/>
      </c>
      <c r="D1131" s="13">
        <f>IF(D$1130="","",D$1130)</f>
        <v/>
      </c>
      <c r="E1131" s="13">
        <f>IF(E$1130="","",E$1130)</f>
        <v/>
      </c>
      <c r="F1131" s="13">
        <f>IF(F$1130="","",F$1130)</f>
        <v/>
      </c>
      <c r="G1131" s="7" t="inlineStr">
        <is>
          <t>Actual</t>
        </is>
      </c>
      <c r="H1131" s="18">
        <f>IF(OR($B$1130="",1&gt;$C$4),"",SUMIFS(Actuals!$G:$G,Actuals!$B:$B,$C$3,Actuals!$C:$C,1,Actuals!$D:$D,$B$1130,Actuals!$A:$A,LEFT($D$1130,FIND("|",$D$1130&amp;"|")-1),Actuals!$E:$E,MID($D$1130,FIND("|",$D$1130&amp;"|")+1,50),Actuals!$F:$F,"JPY")*$E$5+SUMIFS(Actuals!$G:$G,Actuals!$B:$B,$C$3,Actuals!$C:$C,1,Actuals!$D:$D,$B$1130,Actuals!$A:$A,LEFT($D$1130,FIND("|",$D$1130&amp;"|")-1),Actuals!$E:$E,MID($D$1130,FIND("|",$D$1130&amp;"|")+1,50),Actuals!$F:$F,"USD")*$F$5+SUMIFS(Actuals!$G:$G,Actuals!$B:$B,$C$3,Actuals!$C:$C,1,Actuals!$D:$D,$B$1130,Actuals!$A:$A,LEFT($D$1130,FIND("|",$D$1130&amp;"|")-1),Actuals!$E:$E,MID($D$1130,FIND("|",$D$1130&amp;"|")+1,50),Actuals!$F:$F,"EUR")*$G$5+SUMIFS(Actuals!$G:$G,Actuals!$B:$B,$C$3,Actuals!$C:$C,1,Actuals!$D:$D,$B$1130,Actuals!$A:$A,LEFT($D$1130,FIND("|",$D$1130&amp;"|")-1),Actuals!$E:$E,MID($D$1130,FIND("|",$D$1130&amp;"|")+1,50),Actuals!$F:$F,"GBP")*$H$5)</f>
        <v/>
      </c>
      <c r="I1131" s="18">
        <f>IF(OR($B$1130="",2&gt;$C$4),"",SUMIFS(Actuals!$G:$G,Actuals!$B:$B,$C$3,Actuals!$C:$C,2,Actuals!$D:$D,$B$1130,Actuals!$A:$A,LEFT($D$1130,FIND("|",$D$1130&amp;"|")-1),Actuals!$E:$E,MID($D$1130,FIND("|",$D$1130&amp;"|")+1,50),Actuals!$F:$F,"JPY")*$E$5+SUMIFS(Actuals!$G:$G,Actuals!$B:$B,$C$3,Actuals!$C:$C,2,Actuals!$D:$D,$B$1130,Actuals!$A:$A,LEFT($D$1130,FIND("|",$D$1130&amp;"|")-1),Actuals!$E:$E,MID($D$1130,FIND("|",$D$1130&amp;"|")+1,50),Actuals!$F:$F,"USD")*$F$5+SUMIFS(Actuals!$G:$G,Actuals!$B:$B,$C$3,Actuals!$C:$C,2,Actuals!$D:$D,$B$1130,Actuals!$A:$A,LEFT($D$1130,FIND("|",$D$1130&amp;"|")-1),Actuals!$E:$E,MID($D$1130,FIND("|",$D$1130&amp;"|")+1,50),Actuals!$F:$F,"EUR")*$G$5+SUMIFS(Actuals!$G:$G,Actuals!$B:$B,$C$3,Actuals!$C:$C,2,Actuals!$D:$D,$B$1130,Actuals!$A:$A,LEFT($D$1130,FIND("|",$D$1130&amp;"|")-1),Actuals!$E:$E,MID($D$1130,FIND("|",$D$1130&amp;"|")+1,50),Actuals!$F:$F,"GBP")*$H$5)</f>
        <v/>
      </c>
      <c r="J1131" s="18">
        <f>IF(OR($B$1130="",3&gt;$C$4),"",SUMIFS(Actuals!$G:$G,Actuals!$B:$B,$C$3,Actuals!$C:$C,3,Actuals!$D:$D,$B$1130,Actuals!$A:$A,LEFT($D$1130,FIND("|",$D$1130&amp;"|")-1),Actuals!$E:$E,MID($D$1130,FIND("|",$D$1130&amp;"|")+1,50),Actuals!$F:$F,"JPY")*$E$5+SUMIFS(Actuals!$G:$G,Actuals!$B:$B,$C$3,Actuals!$C:$C,3,Actuals!$D:$D,$B$1130,Actuals!$A:$A,LEFT($D$1130,FIND("|",$D$1130&amp;"|")-1),Actuals!$E:$E,MID($D$1130,FIND("|",$D$1130&amp;"|")+1,50),Actuals!$F:$F,"USD")*$F$5+SUMIFS(Actuals!$G:$G,Actuals!$B:$B,$C$3,Actuals!$C:$C,3,Actuals!$D:$D,$B$1130,Actuals!$A:$A,LEFT($D$1130,FIND("|",$D$1130&amp;"|")-1),Actuals!$E:$E,MID($D$1130,FIND("|",$D$1130&amp;"|")+1,50),Actuals!$F:$F,"EUR")*$G$5+SUMIFS(Actuals!$G:$G,Actuals!$B:$B,$C$3,Actuals!$C:$C,3,Actuals!$D:$D,$B$1130,Actuals!$A:$A,LEFT($D$1130,FIND("|",$D$1130&amp;"|")-1),Actuals!$E:$E,MID($D$1130,FIND("|",$D$1130&amp;"|")+1,50),Actuals!$F:$F,"GBP")*$H$5)</f>
        <v/>
      </c>
      <c r="K1131" s="18">
        <f>IF(OR($B$1130="",4&gt;$C$4),"",SUMIFS(Actuals!$G:$G,Actuals!$B:$B,$C$3,Actuals!$C:$C,4,Actuals!$D:$D,$B$1130,Actuals!$A:$A,LEFT($D$1130,FIND("|",$D$1130&amp;"|")-1),Actuals!$E:$E,MID($D$1130,FIND("|",$D$1130&amp;"|")+1,50),Actuals!$F:$F,"JPY")*$E$5+SUMIFS(Actuals!$G:$G,Actuals!$B:$B,$C$3,Actuals!$C:$C,4,Actuals!$D:$D,$B$1130,Actuals!$A:$A,LEFT($D$1130,FIND("|",$D$1130&amp;"|")-1),Actuals!$E:$E,MID($D$1130,FIND("|",$D$1130&amp;"|")+1,50),Actuals!$F:$F,"USD")*$F$5+SUMIFS(Actuals!$G:$G,Actuals!$B:$B,$C$3,Actuals!$C:$C,4,Actuals!$D:$D,$B$1130,Actuals!$A:$A,LEFT($D$1130,FIND("|",$D$1130&amp;"|")-1),Actuals!$E:$E,MID($D$1130,FIND("|",$D$1130&amp;"|")+1,50),Actuals!$F:$F,"EUR")*$G$5+SUMIFS(Actuals!$G:$G,Actuals!$B:$B,$C$3,Actuals!$C:$C,4,Actuals!$D:$D,$B$1130,Actuals!$A:$A,LEFT($D$1130,FIND("|",$D$1130&amp;"|")-1),Actuals!$E:$E,MID($D$1130,FIND("|",$D$1130&amp;"|")+1,50),Actuals!$F:$F,"GBP")*$H$5)</f>
        <v/>
      </c>
      <c r="L1131" s="18">
        <f>IF(OR($B$1130="",5&gt;$C$4),"",SUMIFS(Actuals!$G:$G,Actuals!$B:$B,$C$3,Actuals!$C:$C,5,Actuals!$D:$D,$B$1130,Actuals!$A:$A,LEFT($D$1130,FIND("|",$D$1130&amp;"|")-1),Actuals!$E:$E,MID($D$1130,FIND("|",$D$1130&amp;"|")+1,50),Actuals!$F:$F,"JPY")*$E$5+SUMIFS(Actuals!$G:$G,Actuals!$B:$B,$C$3,Actuals!$C:$C,5,Actuals!$D:$D,$B$1130,Actuals!$A:$A,LEFT($D$1130,FIND("|",$D$1130&amp;"|")-1),Actuals!$E:$E,MID($D$1130,FIND("|",$D$1130&amp;"|")+1,50),Actuals!$F:$F,"USD")*$F$5+SUMIFS(Actuals!$G:$G,Actuals!$B:$B,$C$3,Actuals!$C:$C,5,Actuals!$D:$D,$B$1130,Actuals!$A:$A,LEFT($D$1130,FIND("|",$D$1130&amp;"|")-1),Actuals!$E:$E,MID($D$1130,FIND("|",$D$1130&amp;"|")+1,50),Actuals!$F:$F,"EUR")*$G$5+SUMIFS(Actuals!$G:$G,Actuals!$B:$B,$C$3,Actuals!$C:$C,5,Actuals!$D:$D,$B$1130,Actuals!$A:$A,LEFT($D$1130,FIND("|",$D$1130&amp;"|")-1),Actuals!$E:$E,MID($D$1130,FIND("|",$D$1130&amp;"|")+1,50),Actuals!$F:$F,"GBP")*$H$5)</f>
        <v/>
      </c>
      <c r="M1131" s="18">
        <f>IF(OR($B$1130="",6&gt;$C$4),"",SUMIFS(Actuals!$G:$G,Actuals!$B:$B,$C$3,Actuals!$C:$C,6,Actuals!$D:$D,$B$1130,Actuals!$A:$A,LEFT($D$1130,FIND("|",$D$1130&amp;"|")-1),Actuals!$E:$E,MID($D$1130,FIND("|",$D$1130&amp;"|")+1,50),Actuals!$F:$F,"JPY")*$E$5+SUMIFS(Actuals!$G:$G,Actuals!$B:$B,$C$3,Actuals!$C:$C,6,Actuals!$D:$D,$B$1130,Actuals!$A:$A,LEFT($D$1130,FIND("|",$D$1130&amp;"|")-1),Actuals!$E:$E,MID($D$1130,FIND("|",$D$1130&amp;"|")+1,50),Actuals!$F:$F,"USD")*$F$5+SUMIFS(Actuals!$G:$G,Actuals!$B:$B,$C$3,Actuals!$C:$C,6,Actuals!$D:$D,$B$1130,Actuals!$A:$A,LEFT($D$1130,FIND("|",$D$1130&amp;"|")-1),Actuals!$E:$E,MID($D$1130,FIND("|",$D$1130&amp;"|")+1,50),Actuals!$F:$F,"EUR")*$G$5+SUMIFS(Actuals!$G:$G,Actuals!$B:$B,$C$3,Actuals!$C:$C,6,Actuals!$D:$D,$B$1130,Actuals!$A:$A,LEFT($D$1130,FIND("|",$D$1130&amp;"|")-1),Actuals!$E:$E,MID($D$1130,FIND("|",$D$1130&amp;"|")+1,50),Actuals!$F:$F,"GBP")*$H$5)</f>
        <v/>
      </c>
      <c r="N1131" s="18">
        <f>IF(OR($B$1130="",7&gt;$C$4),"",SUMIFS(Actuals!$G:$G,Actuals!$B:$B,$C$3,Actuals!$C:$C,7,Actuals!$D:$D,$B$1130,Actuals!$A:$A,LEFT($D$1130,FIND("|",$D$1130&amp;"|")-1),Actuals!$E:$E,MID($D$1130,FIND("|",$D$1130&amp;"|")+1,50),Actuals!$F:$F,"JPY")*$E$5+SUMIFS(Actuals!$G:$G,Actuals!$B:$B,$C$3,Actuals!$C:$C,7,Actuals!$D:$D,$B$1130,Actuals!$A:$A,LEFT($D$1130,FIND("|",$D$1130&amp;"|")-1),Actuals!$E:$E,MID($D$1130,FIND("|",$D$1130&amp;"|")+1,50),Actuals!$F:$F,"USD")*$F$5+SUMIFS(Actuals!$G:$G,Actuals!$B:$B,$C$3,Actuals!$C:$C,7,Actuals!$D:$D,$B$1130,Actuals!$A:$A,LEFT($D$1130,FIND("|",$D$1130&amp;"|")-1),Actuals!$E:$E,MID($D$1130,FIND("|",$D$1130&amp;"|")+1,50),Actuals!$F:$F,"EUR")*$G$5+SUMIFS(Actuals!$G:$G,Actuals!$B:$B,$C$3,Actuals!$C:$C,7,Actuals!$D:$D,$B$1130,Actuals!$A:$A,LEFT($D$1130,FIND("|",$D$1130&amp;"|")-1),Actuals!$E:$E,MID($D$1130,FIND("|",$D$1130&amp;"|")+1,50),Actuals!$F:$F,"GBP")*$H$5)</f>
        <v/>
      </c>
      <c r="O1131" s="18">
        <f>IF(OR($B$1130="",8&gt;$C$4),"",SUMIFS(Actuals!$G:$G,Actuals!$B:$B,$C$3,Actuals!$C:$C,8,Actuals!$D:$D,$B$1130,Actuals!$A:$A,LEFT($D$1130,FIND("|",$D$1130&amp;"|")-1),Actuals!$E:$E,MID($D$1130,FIND("|",$D$1130&amp;"|")+1,50),Actuals!$F:$F,"JPY")*$E$5+SUMIFS(Actuals!$G:$G,Actuals!$B:$B,$C$3,Actuals!$C:$C,8,Actuals!$D:$D,$B$1130,Actuals!$A:$A,LEFT($D$1130,FIND("|",$D$1130&amp;"|")-1),Actuals!$E:$E,MID($D$1130,FIND("|",$D$1130&amp;"|")+1,50),Actuals!$F:$F,"USD")*$F$5+SUMIFS(Actuals!$G:$G,Actuals!$B:$B,$C$3,Actuals!$C:$C,8,Actuals!$D:$D,$B$1130,Actuals!$A:$A,LEFT($D$1130,FIND("|",$D$1130&amp;"|")-1),Actuals!$E:$E,MID($D$1130,FIND("|",$D$1130&amp;"|")+1,50),Actuals!$F:$F,"EUR")*$G$5+SUMIFS(Actuals!$G:$G,Actuals!$B:$B,$C$3,Actuals!$C:$C,8,Actuals!$D:$D,$B$1130,Actuals!$A:$A,LEFT($D$1130,FIND("|",$D$1130&amp;"|")-1),Actuals!$E:$E,MID($D$1130,FIND("|",$D$1130&amp;"|")+1,50),Actuals!$F:$F,"GBP")*$H$5)</f>
        <v/>
      </c>
      <c r="P1131" s="18">
        <f>IF(OR($B$1130="",9&gt;$C$4),"",SUMIFS(Actuals!$G:$G,Actuals!$B:$B,$C$3,Actuals!$C:$C,9,Actuals!$D:$D,$B$1130,Actuals!$A:$A,LEFT($D$1130,FIND("|",$D$1130&amp;"|")-1),Actuals!$E:$E,MID($D$1130,FIND("|",$D$1130&amp;"|")+1,50),Actuals!$F:$F,"JPY")*$E$5+SUMIFS(Actuals!$G:$G,Actuals!$B:$B,$C$3,Actuals!$C:$C,9,Actuals!$D:$D,$B$1130,Actuals!$A:$A,LEFT($D$1130,FIND("|",$D$1130&amp;"|")-1),Actuals!$E:$E,MID($D$1130,FIND("|",$D$1130&amp;"|")+1,50),Actuals!$F:$F,"USD")*$F$5+SUMIFS(Actuals!$G:$G,Actuals!$B:$B,$C$3,Actuals!$C:$C,9,Actuals!$D:$D,$B$1130,Actuals!$A:$A,LEFT($D$1130,FIND("|",$D$1130&amp;"|")-1),Actuals!$E:$E,MID($D$1130,FIND("|",$D$1130&amp;"|")+1,50),Actuals!$F:$F,"EUR")*$G$5+SUMIFS(Actuals!$G:$G,Actuals!$B:$B,$C$3,Actuals!$C:$C,9,Actuals!$D:$D,$B$1130,Actuals!$A:$A,LEFT($D$1130,FIND("|",$D$1130&amp;"|")-1),Actuals!$E:$E,MID($D$1130,FIND("|",$D$1130&amp;"|")+1,50),Actuals!$F:$F,"GBP")*$H$5)</f>
        <v/>
      </c>
      <c r="Q1131" s="18">
        <f>IF(OR($B$1130="",10&gt;$C$4),"",SUMIFS(Actuals!$G:$G,Actuals!$B:$B,$C$3,Actuals!$C:$C,10,Actuals!$D:$D,$B$1130,Actuals!$A:$A,LEFT($D$1130,FIND("|",$D$1130&amp;"|")-1),Actuals!$E:$E,MID($D$1130,FIND("|",$D$1130&amp;"|")+1,50),Actuals!$F:$F,"JPY")*$E$5+SUMIFS(Actuals!$G:$G,Actuals!$B:$B,$C$3,Actuals!$C:$C,10,Actuals!$D:$D,$B$1130,Actuals!$A:$A,LEFT($D$1130,FIND("|",$D$1130&amp;"|")-1),Actuals!$E:$E,MID($D$1130,FIND("|",$D$1130&amp;"|")+1,50),Actuals!$F:$F,"USD")*$F$5+SUMIFS(Actuals!$G:$G,Actuals!$B:$B,$C$3,Actuals!$C:$C,10,Actuals!$D:$D,$B$1130,Actuals!$A:$A,LEFT($D$1130,FIND("|",$D$1130&amp;"|")-1),Actuals!$E:$E,MID($D$1130,FIND("|",$D$1130&amp;"|")+1,50),Actuals!$F:$F,"EUR")*$G$5+SUMIFS(Actuals!$G:$G,Actuals!$B:$B,$C$3,Actuals!$C:$C,10,Actuals!$D:$D,$B$1130,Actuals!$A:$A,LEFT($D$1130,FIND("|",$D$1130&amp;"|")-1),Actuals!$E:$E,MID($D$1130,FIND("|",$D$1130&amp;"|")+1,50),Actuals!$F:$F,"GBP")*$H$5)</f>
        <v/>
      </c>
      <c r="R1131" s="18">
        <f>IF(OR($B$1130="",11&gt;$C$4),"",SUMIFS(Actuals!$G:$G,Actuals!$B:$B,$C$3,Actuals!$C:$C,11,Actuals!$D:$D,$B$1130,Actuals!$A:$A,LEFT($D$1130,FIND("|",$D$1130&amp;"|")-1),Actuals!$E:$E,MID($D$1130,FIND("|",$D$1130&amp;"|")+1,50),Actuals!$F:$F,"JPY")*$E$5+SUMIFS(Actuals!$G:$G,Actuals!$B:$B,$C$3,Actuals!$C:$C,11,Actuals!$D:$D,$B$1130,Actuals!$A:$A,LEFT($D$1130,FIND("|",$D$1130&amp;"|")-1),Actuals!$E:$E,MID($D$1130,FIND("|",$D$1130&amp;"|")+1,50),Actuals!$F:$F,"USD")*$F$5+SUMIFS(Actuals!$G:$G,Actuals!$B:$B,$C$3,Actuals!$C:$C,11,Actuals!$D:$D,$B$1130,Actuals!$A:$A,LEFT($D$1130,FIND("|",$D$1130&amp;"|")-1),Actuals!$E:$E,MID($D$1130,FIND("|",$D$1130&amp;"|")+1,50),Actuals!$F:$F,"EUR")*$G$5+SUMIFS(Actuals!$G:$G,Actuals!$B:$B,$C$3,Actuals!$C:$C,11,Actuals!$D:$D,$B$1130,Actuals!$A:$A,LEFT($D$1130,FIND("|",$D$1130&amp;"|")-1),Actuals!$E:$E,MID($D$1130,FIND("|",$D$1130&amp;"|")+1,50),Actuals!$F:$F,"GBP")*$H$5)</f>
        <v/>
      </c>
      <c r="S1131" s="18">
        <f>IF(OR($B$1130="",12&gt;$C$4),"",SUMIFS(Actuals!$G:$G,Actuals!$B:$B,$C$3,Actuals!$C:$C,12,Actuals!$D:$D,$B$1130,Actuals!$A:$A,LEFT($D$1130,FIND("|",$D$1130&amp;"|")-1),Actuals!$E:$E,MID($D$1130,FIND("|",$D$1130&amp;"|")+1,50),Actuals!$F:$F,"JPY")*$E$5+SUMIFS(Actuals!$G:$G,Actuals!$B:$B,$C$3,Actuals!$C:$C,12,Actuals!$D:$D,$B$1130,Actuals!$A:$A,LEFT($D$1130,FIND("|",$D$1130&amp;"|")-1),Actuals!$E:$E,MID($D$1130,FIND("|",$D$1130&amp;"|")+1,50),Actuals!$F:$F,"USD")*$F$5+SUMIFS(Actuals!$G:$G,Actuals!$B:$B,$C$3,Actuals!$C:$C,12,Actuals!$D:$D,$B$1130,Actuals!$A:$A,LEFT($D$1130,FIND("|",$D$1130&amp;"|")-1),Actuals!$E:$E,MID($D$1130,FIND("|",$D$1130&amp;"|")+1,50),Actuals!$F:$F,"EUR")*$G$5+SUMIFS(Actuals!$G:$G,Actuals!$B:$B,$C$3,Actuals!$C:$C,12,Actuals!$D:$D,$B$1130,Actuals!$A:$A,LEFT($D$1130,FIND("|",$D$1130&amp;"|")-1),Actuals!$E:$E,MID($D$1130,FIND("|",$D$1130&amp;"|")+1,50),Actuals!$F:$F,"GBP")*$H$5)</f>
        <v/>
      </c>
      <c r="T1131" s="18">
        <f>IF($B$1130="","",SUMIF($H$7:$S$7,"&lt;="&amp;$C$4,$H1131:$S1131))</f>
        <v/>
      </c>
      <c r="U1131" s="18" t="n"/>
      <c r="V1131" s="18" t="n"/>
      <c r="X1131" s="22">
        <f>IF($B1131="","",IFERROR(INDEX(Cost_Centers!$E:$E,MATCH($B1131,Cost_Centers!$A:$A,0)),"(unknown)"))</f>
        <v/>
      </c>
      <c r="Y1131" s="22">
        <f>IF($B1131="","",IFERROR(INDEX(Cost_Centers!$D:$D,MATCH($B1131,Cost_Centers!$A:$A,0)),"(unknown)"))</f>
        <v/>
      </c>
      <c r="Z1131" s="22">
        <f>IF(OR($B1131="",$G1131&lt;&gt;"Variance vs Budget"),"",ABS(N($V1131))+ROW()/1000000000)</f>
        <v/>
      </c>
    </row>
    <row r="1132">
      <c r="A1132" s="13">
        <f>IF(A$1130="","",A$1130)</f>
        <v/>
      </c>
      <c r="B1132" s="13">
        <f>IF(B$1130="","",B$1130)</f>
        <v/>
      </c>
      <c r="C1132" s="13">
        <f>IF(C$1130="","",C$1130)</f>
        <v/>
      </c>
      <c r="D1132" s="13">
        <f>IF(D$1130="","",D$1130)</f>
        <v/>
      </c>
      <c r="E1132" s="13">
        <f>IF(E$1130="","",E$1130)</f>
        <v/>
      </c>
      <c r="F1132" s="13">
        <f>IF(F$1130="","",F$1130)</f>
        <v/>
      </c>
      <c r="G1132" s="6" t="inlineStr">
        <is>
          <t>Variance vs Budget</t>
        </is>
      </c>
      <c r="H1132" s="33">
        <f>IF(OR($B$1130="",1&gt;$C$4),"",N(H1131)-H1130)</f>
        <v/>
      </c>
      <c r="I1132" s="33">
        <f>IF(OR($B$1130="",2&gt;$C$4),"",N(I1131)-I1130)</f>
        <v/>
      </c>
      <c r="J1132" s="33">
        <f>IF(OR($B$1130="",3&gt;$C$4),"",N(J1131)-J1130)</f>
        <v/>
      </c>
      <c r="K1132" s="33">
        <f>IF(OR($B$1130="",4&gt;$C$4),"",N(K1131)-K1130)</f>
        <v/>
      </c>
      <c r="L1132" s="33">
        <f>IF(OR($B$1130="",5&gt;$C$4),"",N(L1131)-L1130)</f>
        <v/>
      </c>
      <c r="M1132" s="33">
        <f>IF(OR($B$1130="",6&gt;$C$4),"",N(M1131)-M1130)</f>
        <v/>
      </c>
      <c r="N1132" s="33">
        <f>IF(OR($B$1130="",7&gt;$C$4),"",N(N1131)-N1130)</f>
        <v/>
      </c>
      <c r="O1132" s="33">
        <f>IF(OR($B$1130="",8&gt;$C$4),"",N(O1131)-O1130)</f>
        <v/>
      </c>
      <c r="P1132" s="33">
        <f>IF(OR($B$1130="",9&gt;$C$4),"",N(P1131)-P1130)</f>
        <v/>
      </c>
      <c r="Q1132" s="33">
        <f>IF(OR($B$1130="",10&gt;$C$4),"",N(Q1131)-Q1130)</f>
        <v/>
      </c>
      <c r="R1132" s="33">
        <f>IF(OR($B$1130="",11&gt;$C$4),"",N(R1131)-R1130)</f>
        <v/>
      </c>
      <c r="S1132" s="33">
        <f>IF(OR($B$1130="",12&gt;$C$4),"",N(S1131)-S1130)</f>
        <v/>
      </c>
      <c r="T1132" s="33">
        <f>IF($B$1130="","",T1131-T1130)</f>
        <v/>
      </c>
      <c r="U1132" s="33">
        <f>IF($B$1130="","",U1134-U1130)</f>
        <v/>
      </c>
      <c r="V1132" s="33">
        <f>IF($B$1130="","",V1134-V1130)</f>
        <v/>
      </c>
      <c r="X1132" s="22">
        <f>IF($B1132="","",IFERROR(INDEX(Cost_Centers!$E:$E,MATCH($B1132,Cost_Centers!$A:$A,0)),"(unknown)"))</f>
        <v/>
      </c>
      <c r="Y1132" s="22">
        <f>IF($B1132="","",IFERROR(INDEX(Cost_Centers!$D:$D,MATCH($B1132,Cost_Centers!$A:$A,0)),"(unknown)"))</f>
        <v/>
      </c>
      <c r="Z1132" s="22">
        <f>IF(OR($B1132="",$G1132&lt;&gt;"Variance vs Budget"),"",ABS(N($V1132))+ROW()/1000000000)</f>
        <v/>
      </c>
    </row>
    <row r="1133">
      <c r="A1133" s="13">
        <f>IF(A$1130="","",A$1130)</f>
        <v/>
      </c>
      <c r="B1133" s="13">
        <f>IF(B$1130="","",B$1130)</f>
        <v/>
      </c>
      <c r="C1133" s="13">
        <f>IF(C$1130="","",C$1130)</f>
        <v/>
      </c>
      <c r="D1133" s="13">
        <f>IF(D$1130="","",D$1130)</f>
        <v/>
      </c>
      <c r="E1133" s="13">
        <f>IF(E$1130="","",E$1130)</f>
        <v/>
      </c>
      <c r="F1133" s="13">
        <f>IF(F$1130="","",F$1130)</f>
        <v/>
      </c>
      <c r="G1133" s="7" t="inlineStr">
        <is>
          <t>Forecast (input)</t>
        </is>
      </c>
      <c r="H1133" s="34" t="n"/>
      <c r="I1133" s="34" t="n"/>
      <c r="J1133" s="34" t="n"/>
      <c r="K1133" s="34" t="n"/>
      <c r="L1133" s="34" t="n"/>
      <c r="M1133" s="34" t="n"/>
      <c r="N1133" s="34" t="n"/>
      <c r="O1133" s="34" t="n"/>
      <c r="P1133" s="34" t="n"/>
      <c r="Q1133" s="34" t="n"/>
      <c r="R1133" s="34" t="n"/>
      <c r="S1133" s="34" t="n"/>
      <c r="T1133" s="18" t="n"/>
      <c r="U1133" s="18" t="n"/>
      <c r="V1133" s="18" t="n"/>
      <c r="X1133" s="22">
        <f>IF($B1133="","",IFERROR(INDEX(Cost_Centers!$E:$E,MATCH($B1133,Cost_Centers!$A:$A,0)),"(unknown)"))</f>
        <v/>
      </c>
      <c r="Y1133" s="22">
        <f>IF($B1133="","",IFERROR(INDEX(Cost_Centers!$D:$D,MATCH($B1133,Cost_Centers!$A:$A,0)),"(unknown)"))</f>
        <v/>
      </c>
      <c r="Z1133" s="22">
        <f>IF(OR($B1133="",$G1133&lt;&gt;"Variance vs Budget"),"",ABS(N($V1133))+ROW()/1000000000)</f>
        <v/>
      </c>
    </row>
    <row r="1134">
      <c r="A1134" s="13">
        <f>IF(A$1130="","",A$1130)</f>
        <v/>
      </c>
      <c r="B1134" s="13">
        <f>IF(B$1130="","",B$1130)</f>
        <v/>
      </c>
      <c r="C1134" s="13">
        <f>IF(C$1130="","",C$1130)</f>
        <v/>
      </c>
      <c r="D1134" s="13">
        <f>IF(D$1130="","",D$1130)</f>
        <v/>
      </c>
      <c r="E1134" s="13">
        <f>IF(E$1130="","",E$1130)</f>
        <v/>
      </c>
      <c r="F1134" s="13">
        <f>IF(F$1130="","",F$1130)</f>
        <v/>
      </c>
      <c r="G1134" s="35" t="inlineStr">
        <is>
          <t>Actual + Forecast</t>
        </is>
      </c>
      <c r="H1134" s="18">
        <f>IF($B$1130="","",IF(1&lt;=$C$4,N(H1131),IF(H1133="",H1130,H1133)))</f>
        <v/>
      </c>
      <c r="I1134" s="18">
        <f>IF($B$1130="","",IF(2&lt;=$C$4,N(I1131),IF(I1133="",I1130,I1133)))</f>
        <v/>
      </c>
      <c r="J1134" s="18">
        <f>IF($B$1130="","",IF(3&lt;=$C$4,N(J1131),IF(J1133="",J1130,J1133)))</f>
        <v/>
      </c>
      <c r="K1134" s="18">
        <f>IF($B$1130="","",IF(4&lt;=$C$4,N(K1131),IF(K1133="",K1130,K1133)))</f>
        <v/>
      </c>
      <c r="L1134" s="18">
        <f>IF($B$1130="","",IF(5&lt;=$C$4,N(L1131),IF(L1133="",L1130,L1133)))</f>
        <v/>
      </c>
      <c r="M1134" s="18">
        <f>IF($B$1130="","",IF(6&lt;=$C$4,N(M1131),IF(M1133="",M1130,M1133)))</f>
        <v/>
      </c>
      <c r="N1134" s="18">
        <f>IF($B$1130="","",IF(7&lt;=$C$4,N(N1131),IF(N1133="",N1130,N1133)))</f>
        <v/>
      </c>
      <c r="O1134" s="18">
        <f>IF($B$1130="","",IF(8&lt;=$C$4,N(O1131),IF(O1133="",O1130,O1133)))</f>
        <v/>
      </c>
      <c r="P1134" s="18">
        <f>IF($B$1130="","",IF(9&lt;=$C$4,N(P1131),IF(P1133="",P1130,P1133)))</f>
        <v/>
      </c>
      <c r="Q1134" s="18">
        <f>IF($B$1130="","",IF(10&lt;=$C$4,N(Q1131),IF(Q1133="",Q1130,Q1133)))</f>
        <v/>
      </c>
      <c r="R1134" s="18">
        <f>IF($B$1130="","",IF(11&lt;=$C$4,N(R1131),IF(R1133="",R1130,R1133)))</f>
        <v/>
      </c>
      <c r="S1134" s="18">
        <f>IF($B$1130="","",IF(12&lt;=$C$4,N(S1131),IF(S1133="",S1130,S1133)))</f>
        <v/>
      </c>
      <c r="T1134" s="18">
        <f>IF($B$1130="","",SUMIF($H$7:$S$7,"&lt;="&amp;$C$4,$H1134:$S1134))</f>
        <v/>
      </c>
      <c r="U1134" s="18">
        <f>IF($B$1130="","",SUMIF($H$7:$S$7,"&gt;"&amp;$C$4,$H1134:$S1134))</f>
        <v/>
      </c>
      <c r="V1134" s="18">
        <f>IF($B$1130="","",SUM($H1134:$S1134))</f>
        <v/>
      </c>
      <c r="X1134" s="22">
        <f>IF($B1134="","",IFERROR(INDEX(Cost_Centers!$E:$E,MATCH($B1134,Cost_Centers!$A:$A,0)),"(unknown)"))</f>
        <v/>
      </c>
      <c r="Y1134" s="22">
        <f>IF($B1134="","",IFERROR(INDEX(Cost_Centers!$D:$D,MATCH($B1134,Cost_Centers!$A:$A,0)),"(unknown)"))</f>
        <v/>
      </c>
      <c r="Z1134" s="22">
        <f>IF(OR($B1134="",$G1134&lt;&gt;"Variance vs Budget"),"",ABS(N($V1134))+ROW()/1000000000)</f>
        <v/>
      </c>
    </row>
    <row r="1135">
      <c r="A1135" s="13">
        <f>IF(A$1130="","",A$1130)</f>
        <v/>
      </c>
      <c r="B1135" s="13">
        <f>IF(B$1130="","",B$1130)</f>
        <v/>
      </c>
      <c r="C1135" s="13">
        <f>IF(C$1130="","",C$1130)</f>
        <v/>
      </c>
      <c r="D1135" s="13">
        <f>IF(D$1130="","",D$1130)</f>
        <v/>
      </c>
      <c r="E1135" s="13">
        <f>IF(E$1130="","",E$1130)</f>
        <v/>
      </c>
      <c r="F1135" s="13">
        <f>IF(F$1130="","",F$1130)</f>
        <v/>
      </c>
      <c r="G1135" s="36" t="inlineStr">
        <is>
          <t>Prior Month Forecast</t>
        </is>
      </c>
      <c r="H1135" s="37">
        <f>IF($B$1130="","",IF(COUNTIFS(Prior_Forecast!$A:$A,$B$1130,Prior_Forecast!$B:$B,$D$1130)&gt;0,SUMIFS(Prior_Forecast!$C:$C,Prior_Forecast!$A:$A,$B$1130,Prior_Forecast!$B:$B,$D$1130),""))</f>
        <v/>
      </c>
      <c r="I1135" s="37">
        <f>IF($B$1130="","",IF(COUNTIFS(Prior_Forecast!$A:$A,$B$1130,Prior_Forecast!$B:$B,$D$1130)&gt;0,SUMIFS(Prior_Forecast!$D:$D,Prior_Forecast!$A:$A,$B$1130,Prior_Forecast!$B:$B,$D$1130),""))</f>
        <v/>
      </c>
      <c r="J1135" s="37">
        <f>IF($B$1130="","",IF(COUNTIFS(Prior_Forecast!$A:$A,$B$1130,Prior_Forecast!$B:$B,$D$1130)&gt;0,SUMIFS(Prior_Forecast!$E:$E,Prior_Forecast!$A:$A,$B$1130,Prior_Forecast!$B:$B,$D$1130),""))</f>
        <v/>
      </c>
      <c r="K1135" s="37">
        <f>IF($B$1130="","",IF(COUNTIFS(Prior_Forecast!$A:$A,$B$1130,Prior_Forecast!$B:$B,$D$1130)&gt;0,SUMIFS(Prior_Forecast!$F:$F,Prior_Forecast!$A:$A,$B$1130,Prior_Forecast!$B:$B,$D$1130),""))</f>
        <v/>
      </c>
      <c r="L1135" s="37">
        <f>IF($B$1130="","",IF(COUNTIFS(Prior_Forecast!$A:$A,$B$1130,Prior_Forecast!$B:$B,$D$1130)&gt;0,SUMIFS(Prior_Forecast!$G:$G,Prior_Forecast!$A:$A,$B$1130,Prior_Forecast!$B:$B,$D$1130),""))</f>
        <v/>
      </c>
      <c r="M1135" s="37">
        <f>IF($B$1130="","",IF(COUNTIFS(Prior_Forecast!$A:$A,$B$1130,Prior_Forecast!$B:$B,$D$1130)&gt;0,SUMIFS(Prior_Forecast!$H:$H,Prior_Forecast!$A:$A,$B$1130,Prior_Forecast!$B:$B,$D$1130),""))</f>
        <v/>
      </c>
      <c r="N1135" s="37">
        <f>IF($B$1130="","",IF(COUNTIFS(Prior_Forecast!$A:$A,$B$1130,Prior_Forecast!$B:$B,$D$1130)&gt;0,SUMIFS(Prior_Forecast!$I:$I,Prior_Forecast!$A:$A,$B$1130,Prior_Forecast!$B:$B,$D$1130),""))</f>
        <v/>
      </c>
      <c r="O1135" s="37">
        <f>IF($B$1130="","",IF(COUNTIFS(Prior_Forecast!$A:$A,$B$1130,Prior_Forecast!$B:$B,$D$1130)&gt;0,SUMIFS(Prior_Forecast!$J:$J,Prior_Forecast!$A:$A,$B$1130,Prior_Forecast!$B:$B,$D$1130),""))</f>
        <v/>
      </c>
      <c r="P1135" s="37">
        <f>IF($B$1130="","",IF(COUNTIFS(Prior_Forecast!$A:$A,$B$1130,Prior_Forecast!$B:$B,$D$1130)&gt;0,SUMIFS(Prior_Forecast!$K:$K,Prior_Forecast!$A:$A,$B$1130,Prior_Forecast!$B:$B,$D$1130),""))</f>
        <v/>
      </c>
      <c r="Q1135" s="37">
        <f>IF($B$1130="","",IF(COUNTIFS(Prior_Forecast!$A:$A,$B$1130,Prior_Forecast!$B:$B,$D$1130)&gt;0,SUMIFS(Prior_Forecast!$L:$L,Prior_Forecast!$A:$A,$B$1130,Prior_Forecast!$B:$B,$D$1130),""))</f>
        <v/>
      </c>
      <c r="R1135" s="37">
        <f>IF($B$1130="","",IF(COUNTIFS(Prior_Forecast!$A:$A,$B$1130,Prior_Forecast!$B:$B,$D$1130)&gt;0,SUMIFS(Prior_Forecast!$M:$M,Prior_Forecast!$A:$A,$B$1130,Prior_Forecast!$B:$B,$D$1130),""))</f>
        <v/>
      </c>
      <c r="S1135" s="37">
        <f>IF($B$1130="","",IF(COUNTIFS(Prior_Forecast!$A:$A,$B$1130,Prior_Forecast!$B:$B,$D$1130)&gt;0,SUMIFS(Prior_Forecast!$N:$N,Prior_Forecast!$A:$A,$B$1130,Prior_Forecast!$B:$B,$D$1130),""))</f>
        <v/>
      </c>
      <c r="T1135" s="37">
        <f>IF($B$1130="","",IF(COUNTIFS(Prior_Forecast!$A:$A,$B$1130,Prior_Forecast!$B:$B,$D$1130)&gt;0,SUMIFS(Prior_Forecast!$O:$O,Prior_Forecast!$A:$A,$B$1130,Prior_Forecast!$B:$B,$D$1130),""))</f>
        <v/>
      </c>
      <c r="U1135" s="37">
        <f>IF($B$1130="","",IF(COUNTIFS(Prior_Forecast!$A:$A,$B$1130,Prior_Forecast!$B:$B,$D$1130)&gt;0,SUMIFS(Prior_Forecast!$P:$P,Prior_Forecast!$A:$A,$B$1130,Prior_Forecast!$B:$B,$D$1130),""))</f>
        <v/>
      </c>
      <c r="V1135" s="37">
        <f>IF($B$1130="","",IF(COUNTIFS(Prior_Forecast!$A:$A,$B$1130,Prior_Forecast!$B:$B,$D$1130)&gt;0,SUMIFS(Prior_Forecast!$Q:$Q,Prior_Forecast!$A:$A,$B$1130,Prior_Forecast!$B:$B,$D$1130),""))</f>
        <v/>
      </c>
      <c r="X1135" s="22">
        <f>IF($B1135="","",IFERROR(INDEX(Cost_Centers!$E:$E,MATCH($B1135,Cost_Centers!$A:$A,0)),"(unknown)"))</f>
        <v/>
      </c>
      <c r="Y1135" s="22">
        <f>IF($B1135="","",IFERROR(INDEX(Cost_Centers!$D:$D,MATCH($B1135,Cost_Centers!$A:$A,0)),"(unknown)"))</f>
        <v/>
      </c>
      <c r="Z1135" s="22">
        <f>IF(OR($B1135="",$G1135&lt;&gt;"Variance vs Budget"),"",ABS(N($V1135))+ROW()/1000000000)</f>
        <v/>
      </c>
    </row>
    <row r="1136">
      <c r="A1136" s="13">
        <f>IF(A$1130="","",A$1130)</f>
        <v/>
      </c>
      <c r="B1136" s="13">
        <f>IF(B$1130="","",B$1130)</f>
        <v/>
      </c>
      <c r="C1136" s="13">
        <f>IF(C$1130="","",C$1130)</f>
        <v/>
      </c>
      <c r="D1136" s="13">
        <f>IF(D$1130="","",D$1130)</f>
        <v/>
      </c>
      <c r="E1136" s="13">
        <f>IF(E$1130="","",E$1130)</f>
        <v/>
      </c>
      <c r="F1136" s="13">
        <f>IF(F$1130="","",F$1130)</f>
        <v/>
      </c>
      <c r="G1136" s="6" t="inlineStr">
        <is>
          <t>Variance vs Prior Month</t>
        </is>
      </c>
      <c r="H1136" s="33">
        <f>IF(OR($B$1130="",H1135=""),"",H1134-H1135)</f>
        <v/>
      </c>
      <c r="I1136" s="33">
        <f>IF(OR($B$1130="",I1135=""),"",I1134-I1135)</f>
        <v/>
      </c>
      <c r="J1136" s="33">
        <f>IF(OR($B$1130="",J1135=""),"",J1134-J1135)</f>
        <v/>
      </c>
      <c r="K1136" s="33">
        <f>IF(OR($B$1130="",K1135=""),"",K1134-K1135)</f>
        <v/>
      </c>
      <c r="L1136" s="33">
        <f>IF(OR($B$1130="",L1135=""),"",L1134-L1135)</f>
        <v/>
      </c>
      <c r="M1136" s="33">
        <f>IF(OR($B$1130="",M1135=""),"",M1134-M1135)</f>
        <v/>
      </c>
      <c r="N1136" s="33">
        <f>IF(OR($B$1130="",N1135=""),"",N1134-N1135)</f>
        <v/>
      </c>
      <c r="O1136" s="33">
        <f>IF(OR($B$1130="",O1135=""),"",O1134-O1135)</f>
        <v/>
      </c>
      <c r="P1136" s="33">
        <f>IF(OR($B$1130="",P1135=""),"",P1134-P1135)</f>
        <v/>
      </c>
      <c r="Q1136" s="33">
        <f>IF(OR($B$1130="",Q1135=""),"",Q1134-Q1135)</f>
        <v/>
      </c>
      <c r="R1136" s="33">
        <f>IF(OR($B$1130="",R1135=""),"",R1134-R1135)</f>
        <v/>
      </c>
      <c r="S1136" s="33">
        <f>IF(OR($B$1130="",S1135=""),"",S1134-S1135)</f>
        <v/>
      </c>
      <c r="T1136" s="33">
        <f>IF(OR($B$1130="",T1135=""),"",T1134-T1135)</f>
        <v/>
      </c>
      <c r="U1136" s="33">
        <f>IF(OR($B$1130="",U1135=""),"",U1134-U1135)</f>
        <v/>
      </c>
      <c r="V1136" s="33">
        <f>IF(OR($B$1130="",V1135=""),"",V1134-V1135)</f>
        <v/>
      </c>
      <c r="X1136" s="22">
        <f>IF($B1136="","",IFERROR(INDEX(Cost_Centers!$E:$E,MATCH($B1136,Cost_Centers!$A:$A,0)),"(unknown)"))</f>
        <v/>
      </c>
      <c r="Y1136" s="22">
        <f>IF($B1136="","",IFERROR(INDEX(Cost_Centers!$D:$D,MATCH($B1136,Cost_Centers!$A:$A,0)),"(unknown)"))</f>
        <v/>
      </c>
      <c r="Z1136" s="22">
        <f>IF(OR($B1136="",$G1136&lt;&gt;"Variance vs Budget"),"",ABS(N($V1136))+ROW()/1000000000)</f>
        <v/>
      </c>
    </row>
    <row r="1137" ht="45" customHeight="1">
      <c r="A1137" s="13">
        <f>IF(A$1130="","",A$1130)</f>
        <v/>
      </c>
      <c r="B1137" s="13">
        <f>IF(B$1130="","",B$1130)</f>
        <v/>
      </c>
      <c r="C1137" s="13">
        <f>IF(C$1130="","",C$1130)</f>
        <v/>
      </c>
      <c r="D1137" s="13">
        <f>IF(D$1130="","",D$1130)</f>
        <v/>
      </c>
      <c r="E1137" s="13">
        <f>IF(E$1130="","",E$1130)</f>
        <v/>
      </c>
      <c r="F1137" s="13">
        <f>IF(F$1130="","",F$1130)</f>
        <v/>
      </c>
      <c r="G1137" s="7" t="inlineStr">
        <is>
          <t>Rationale</t>
        </is>
      </c>
      <c r="H1137" s="38" t="n"/>
      <c r="I1137" s="38" t="n"/>
      <c r="J1137" s="38" t="n"/>
      <c r="K1137" s="38" t="n"/>
      <c r="L1137" s="38" t="n"/>
      <c r="M1137" s="38" t="n"/>
      <c r="N1137" s="38" t="n"/>
      <c r="O1137" s="38" t="n"/>
      <c r="P1137" s="38" t="n"/>
      <c r="Q1137" s="38" t="n"/>
      <c r="R1137" s="38" t="n"/>
      <c r="S1137" s="38" t="n"/>
      <c r="T1137" s="38" t="n"/>
      <c r="U1137" s="38" t="n"/>
      <c r="V1137" s="7" t="n"/>
      <c r="X1137" s="22">
        <f>IF($B1137="","",IFERROR(INDEX(Cost_Centers!$E:$E,MATCH($B1137,Cost_Centers!$A:$A,0)),"(unknown)"))</f>
        <v/>
      </c>
      <c r="Y1137" s="22">
        <f>IF($B1137="","",IFERROR(INDEX(Cost_Centers!$D:$D,MATCH($B1137,Cost_Centers!$A:$A,0)),"(unknown)"))</f>
        <v/>
      </c>
      <c r="Z1137" s="22">
        <f>IF(OR($B1137="",$G1137&lt;&gt;"Variance vs Budget"),"",ABS(N($V1137))+ROW()/1000000000)</f>
        <v/>
      </c>
    </row>
    <row r="1138">
      <c r="A1138" s="30">
        <f>IF($D$1138="","",LEFT($D$1138,FIND("|",$D$1138&amp;"|")-1))</f>
        <v/>
      </c>
      <c r="B1138" s="31" t="n"/>
      <c r="C1138" s="30">
        <f>IF($B$1138="","",IFERROR(INDEX(Cost_Centers!$B:$B,MATCH($B$1138,Cost_Centers!$A:$A,0)),"(not in master)"))</f>
        <v/>
      </c>
      <c r="D1138" s="31" t="n"/>
      <c r="E1138" s="30">
        <f>IF($D$1138="","",IFERROR(INDEX(Accounts!$D:$D,MATCH($D$1138,Accounts!$A:$A,0)),"(not in master)"))</f>
        <v/>
      </c>
      <c r="F1138" s="31" t="n"/>
      <c r="G1138" s="30" t="inlineStr">
        <is>
          <t>Budget</t>
        </is>
      </c>
      <c r="H1138" s="32">
        <f>IF($B$1138="","",SUMIFS(Opex_Budget!$O:$O,Opex_Budget!$A:$A,$C$3,Opex_Budget!$E:$E,$B$1138,Opex_Budget!$F:$F,$D$1138,Opex_Budget!$N:$N,"JPY")*$E$5+SUMIFS(Opex_Budget!$O:$O,Opex_Budget!$A:$A,$C$3,Opex_Budget!$E:$E,$B$1138,Opex_Budget!$F:$F,$D$1138,Opex_Budget!$N:$N,"USD")*$F$5+SUMIFS(Opex_Budget!$O:$O,Opex_Budget!$A:$A,$C$3,Opex_Budget!$E:$E,$B$1138,Opex_Budget!$F:$F,$D$1138,Opex_Budget!$N:$N,"EUR")*$G$5+SUMIFS(Opex_Budget!$O:$O,Opex_Budget!$A:$A,$C$3,Opex_Budget!$E:$E,$B$1138,Opex_Budget!$F:$F,$D$1138,Opex_Budget!$N:$N,"GBP")*$H$5)</f>
        <v/>
      </c>
      <c r="I1138" s="32">
        <f>IF($B$1138="","",SUMIFS(Opex_Budget!$P:$P,Opex_Budget!$A:$A,$C$3,Opex_Budget!$E:$E,$B$1138,Opex_Budget!$F:$F,$D$1138,Opex_Budget!$N:$N,"JPY")*$E$5+SUMIFS(Opex_Budget!$P:$P,Opex_Budget!$A:$A,$C$3,Opex_Budget!$E:$E,$B$1138,Opex_Budget!$F:$F,$D$1138,Opex_Budget!$N:$N,"USD")*$F$5+SUMIFS(Opex_Budget!$P:$P,Opex_Budget!$A:$A,$C$3,Opex_Budget!$E:$E,$B$1138,Opex_Budget!$F:$F,$D$1138,Opex_Budget!$N:$N,"EUR")*$G$5+SUMIFS(Opex_Budget!$P:$P,Opex_Budget!$A:$A,$C$3,Opex_Budget!$E:$E,$B$1138,Opex_Budget!$F:$F,$D$1138,Opex_Budget!$N:$N,"GBP")*$H$5)</f>
        <v/>
      </c>
      <c r="J1138" s="32">
        <f>IF($B$1138="","",SUMIFS(Opex_Budget!$Q:$Q,Opex_Budget!$A:$A,$C$3,Opex_Budget!$E:$E,$B$1138,Opex_Budget!$F:$F,$D$1138,Opex_Budget!$N:$N,"JPY")*$E$5+SUMIFS(Opex_Budget!$Q:$Q,Opex_Budget!$A:$A,$C$3,Opex_Budget!$E:$E,$B$1138,Opex_Budget!$F:$F,$D$1138,Opex_Budget!$N:$N,"USD")*$F$5+SUMIFS(Opex_Budget!$Q:$Q,Opex_Budget!$A:$A,$C$3,Opex_Budget!$E:$E,$B$1138,Opex_Budget!$F:$F,$D$1138,Opex_Budget!$N:$N,"EUR")*$G$5+SUMIFS(Opex_Budget!$Q:$Q,Opex_Budget!$A:$A,$C$3,Opex_Budget!$E:$E,$B$1138,Opex_Budget!$F:$F,$D$1138,Opex_Budget!$N:$N,"GBP")*$H$5)</f>
        <v/>
      </c>
      <c r="K1138" s="32">
        <f>IF($B$1138="","",SUMIFS(Opex_Budget!$R:$R,Opex_Budget!$A:$A,$C$3,Opex_Budget!$E:$E,$B$1138,Opex_Budget!$F:$F,$D$1138,Opex_Budget!$N:$N,"JPY")*$E$5+SUMIFS(Opex_Budget!$R:$R,Opex_Budget!$A:$A,$C$3,Opex_Budget!$E:$E,$B$1138,Opex_Budget!$F:$F,$D$1138,Opex_Budget!$N:$N,"USD")*$F$5+SUMIFS(Opex_Budget!$R:$R,Opex_Budget!$A:$A,$C$3,Opex_Budget!$E:$E,$B$1138,Opex_Budget!$F:$F,$D$1138,Opex_Budget!$N:$N,"EUR")*$G$5+SUMIFS(Opex_Budget!$R:$R,Opex_Budget!$A:$A,$C$3,Opex_Budget!$E:$E,$B$1138,Opex_Budget!$F:$F,$D$1138,Opex_Budget!$N:$N,"GBP")*$H$5)</f>
        <v/>
      </c>
      <c r="L1138" s="32">
        <f>IF($B$1138="","",SUMIFS(Opex_Budget!$S:$S,Opex_Budget!$A:$A,$C$3,Opex_Budget!$E:$E,$B$1138,Opex_Budget!$F:$F,$D$1138,Opex_Budget!$N:$N,"JPY")*$E$5+SUMIFS(Opex_Budget!$S:$S,Opex_Budget!$A:$A,$C$3,Opex_Budget!$E:$E,$B$1138,Opex_Budget!$F:$F,$D$1138,Opex_Budget!$N:$N,"USD")*$F$5+SUMIFS(Opex_Budget!$S:$S,Opex_Budget!$A:$A,$C$3,Opex_Budget!$E:$E,$B$1138,Opex_Budget!$F:$F,$D$1138,Opex_Budget!$N:$N,"EUR")*$G$5+SUMIFS(Opex_Budget!$S:$S,Opex_Budget!$A:$A,$C$3,Opex_Budget!$E:$E,$B$1138,Opex_Budget!$F:$F,$D$1138,Opex_Budget!$N:$N,"GBP")*$H$5)</f>
        <v/>
      </c>
      <c r="M1138" s="32">
        <f>IF($B$1138="","",SUMIFS(Opex_Budget!$T:$T,Opex_Budget!$A:$A,$C$3,Opex_Budget!$E:$E,$B$1138,Opex_Budget!$F:$F,$D$1138,Opex_Budget!$N:$N,"JPY")*$E$5+SUMIFS(Opex_Budget!$T:$T,Opex_Budget!$A:$A,$C$3,Opex_Budget!$E:$E,$B$1138,Opex_Budget!$F:$F,$D$1138,Opex_Budget!$N:$N,"USD")*$F$5+SUMIFS(Opex_Budget!$T:$T,Opex_Budget!$A:$A,$C$3,Opex_Budget!$E:$E,$B$1138,Opex_Budget!$F:$F,$D$1138,Opex_Budget!$N:$N,"EUR")*$G$5+SUMIFS(Opex_Budget!$T:$T,Opex_Budget!$A:$A,$C$3,Opex_Budget!$E:$E,$B$1138,Opex_Budget!$F:$F,$D$1138,Opex_Budget!$N:$N,"GBP")*$H$5)</f>
        <v/>
      </c>
      <c r="N1138" s="32">
        <f>IF($B$1138="","",SUMIFS(Opex_Budget!$U:$U,Opex_Budget!$A:$A,$C$3,Opex_Budget!$E:$E,$B$1138,Opex_Budget!$F:$F,$D$1138,Opex_Budget!$N:$N,"JPY")*$E$5+SUMIFS(Opex_Budget!$U:$U,Opex_Budget!$A:$A,$C$3,Opex_Budget!$E:$E,$B$1138,Opex_Budget!$F:$F,$D$1138,Opex_Budget!$N:$N,"USD")*$F$5+SUMIFS(Opex_Budget!$U:$U,Opex_Budget!$A:$A,$C$3,Opex_Budget!$E:$E,$B$1138,Opex_Budget!$F:$F,$D$1138,Opex_Budget!$N:$N,"EUR")*$G$5+SUMIFS(Opex_Budget!$U:$U,Opex_Budget!$A:$A,$C$3,Opex_Budget!$E:$E,$B$1138,Opex_Budget!$F:$F,$D$1138,Opex_Budget!$N:$N,"GBP")*$H$5)</f>
        <v/>
      </c>
      <c r="O1138" s="32">
        <f>IF($B$1138="","",SUMIFS(Opex_Budget!$V:$V,Opex_Budget!$A:$A,$C$3,Opex_Budget!$E:$E,$B$1138,Opex_Budget!$F:$F,$D$1138,Opex_Budget!$N:$N,"JPY")*$E$5+SUMIFS(Opex_Budget!$V:$V,Opex_Budget!$A:$A,$C$3,Opex_Budget!$E:$E,$B$1138,Opex_Budget!$F:$F,$D$1138,Opex_Budget!$N:$N,"USD")*$F$5+SUMIFS(Opex_Budget!$V:$V,Opex_Budget!$A:$A,$C$3,Opex_Budget!$E:$E,$B$1138,Opex_Budget!$F:$F,$D$1138,Opex_Budget!$N:$N,"EUR")*$G$5+SUMIFS(Opex_Budget!$V:$V,Opex_Budget!$A:$A,$C$3,Opex_Budget!$E:$E,$B$1138,Opex_Budget!$F:$F,$D$1138,Opex_Budget!$N:$N,"GBP")*$H$5)</f>
        <v/>
      </c>
      <c r="P1138" s="32">
        <f>IF($B$1138="","",SUMIFS(Opex_Budget!$W:$W,Opex_Budget!$A:$A,$C$3,Opex_Budget!$E:$E,$B$1138,Opex_Budget!$F:$F,$D$1138,Opex_Budget!$N:$N,"JPY")*$E$5+SUMIFS(Opex_Budget!$W:$W,Opex_Budget!$A:$A,$C$3,Opex_Budget!$E:$E,$B$1138,Opex_Budget!$F:$F,$D$1138,Opex_Budget!$N:$N,"USD")*$F$5+SUMIFS(Opex_Budget!$W:$W,Opex_Budget!$A:$A,$C$3,Opex_Budget!$E:$E,$B$1138,Opex_Budget!$F:$F,$D$1138,Opex_Budget!$N:$N,"EUR")*$G$5+SUMIFS(Opex_Budget!$W:$W,Opex_Budget!$A:$A,$C$3,Opex_Budget!$E:$E,$B$1138,Opex_Budget!$F:$F,$D$1138,Opex_Budget!$N:$N,"GBP")*$H$5)</f>
        <v/>
      </c>
      <c r="Q1138" s="32">
        <f>IF($B$1138="","",SUMIFS(Opex_Budget!$X:$X,Opex_Budget!$A:$A,$C$3,Opex_Budget!$E:$E,$B$1138,Opex_Budget!$F:$F,$D$1138,Opex_Budget!$N:$N,"JPY")*$E$5+SUMIFS(Opex_Budget!$X:$X,Opex_Budget!$A:$A,$C$3,Opex_Budget!$E:$E,$B$1138,Opex_Budget!$F:$F,$D$1138,Opex_Budget!$N:$N,"USD")*$F$5+SUMIFS(Opex_Budget!$X:$X,Opex_Budget!$A:$A,$C$3,Opex_Budget!$E:$E,$B$1138,Opex_Budget!$F:$F,$D$1138,Opex_Budget!$N:$N,"EUR")*$G$5+SUMIFS(Opex_Budget!$X:$X,Opex_Budget!$A:$A,$C$3,Opex_Budget!$E:$E,$B$1138,Opex_Budget!$F:$F,$D$1138,Opex_Budget!$N:$N,"GBP")*$H$5)</f>
        <v/>
      </c>
      <c r="R1138" s="32">
        <f>IF($B$1138="","",SUMIFS(Opex_Budget!$Y:$Y,Opex_Budget!$A:$A,$C$3,Opex_Budget!$E:$E,$B$1138,Opex_Budget!$F:$F,$D$1138,Opex_Budget!$N:$N,"JPY")*$E$5+SUMIFS(Opex_Budget!$Y:$Y,Opex_Budget!$A:$A,$C$3,Opex_Budget!$E:$E,$B$1138,Opex_Budget!$F:$F,$D$1138,Opex_Budget!$N:$N,"USD")*$F$5+SUMIFS(Opex_Budget!$Y:$Y,Opex_Budget!$A:$A,$C$3,Opex_Budget!$E:$E,$B$1138,Opex_Budget!$F:$F,$D$1138,Opex_Budget!$N:$N,"EUR")*$G$5+SUMIFS(Opex_Budget!$Y:$Y,Opex_Budget!$A:$A,$C$3,Opex_Budget!$E:$E,$B$1138,Opex_Budget!$F:$F,$D$1138,Opex_Budget!$N:$N,"GBP")*$H$5)</f>
        <v/>
      </c>
      <c r="S1138" s="32">
        <f>IF($B$1138="","",SUMIFS(Opex_Budget!$Z:$Z,Opex_Budget!$A:$A,$C$3,Opex_Budget!$E:$E,$B$1138,Opex_Budget!$F:$F,$D$1138,Opex_Budget!$N:$N,"JPY")*$E$5+SUMIFS(Opex_Budget!$Z:$Z,Opex_Budget!$A:$A,$C$3,Opex_Budget!$E:$E,$B$1138,Opex_Budget!$F:$F,$D$1138,Opex_Budget!$N:$N,"USD")*$F$5+SUMIFS(Opex_Budget!$Z:$Z,Opex_Budget!$A:$A,$C$3,Opex_Budget!$E:$E,$B$1138,Opex_Budget!$F:$F,$D$1138,Opex_Budget!$N:$N,"EUR")*$G$5+SUMIFS(Opex_Budget!$Z:$Z,Opex_Budget!$A:$A,$C$3,Opex_Budget!$E:$E,$B$1138,Opex_Budget!$F:$F,$D$1138,Opex_Budget!$N:$N,"GBP")*$H$5)</f>
        <v/>
      </c>
      <c r="T1138" s="32">
        <f>IF($B$1138="","",SUMIF($H$7:$S$7,"&lt;="&amp;$C$4,$H1138:$S1138))</f>
        <v/>
      </c>
      <c r="U1138" s="32">
        <f>IF($B$1138="","",SUMIF($H$7:$S$7,"&gt;"&amp;$C$4,$H1138:$S1138))</f>
        <v/>
      </c>
      <c r="V1138" s="32">
        <f>IF($B$1138="","",SUM($H1138:$S1138))</f>
        <v/>
      </c>
      <c r="X1138" s="22">
        <f>IF($B1138="","",IFERROR(INDEX(Cost_Centers!$E:$E,MATCH($B1138,Cost_Centers!$A:$A,0)),"(unknown)"))</f>
        <v/>
      </c>
      <c r="Y1138" s="22">
        <f>IF($B1138="","",IFERROR(INDEX(Cost_Centers!$D:$D,MATCH($B1138,Cost_Centers!$A:$A,0)),"(unknown)"))</f>
        <v/>
      </c>
      <c r="Z1138" s="22">
        <f>IF(OR($B1138="",$G1138&lt;&gt;"Variance vs Budget"),"",ABS(N($V1138))+ROW()/1000000000)</f>
        <v/>
      </c>
    </row>
    <row r="1139">
      <c r="A1139" s="13">
        <f>IF(A$1138="","",A$1138)</f>
        <v/>
      </c>
      <c r="B1139" s="13">
        <f>IF(B$1138="","",B$1138)</f>
        <v/>
      </c>
      <c r="C1139" s="13">
        <f>IF(C$1138="","",C$1138)</f>
        <v/>
      </c>
      <c r="D1139" s="13">
        <f>IF(D$1138="","",D$1138)</f>
        <v/>
      </c>
      <c r="E1139" s="13">
        <f>IF(E$1138="","",E$1138)</f>
        <v/>
      </c>
      <c r="F1139" s="13">
        <f>IF(F$1138="","",F$1138)</f>
        <v/>
      </c>
      <c r="G1139" s="7" t="inlineStr">
        <is>
          <t>Actual</t>
        </is>
      </c>
      <c r="H1139" s="18">
        <f>IF(OR($B$1138="",1&gt;$C$4),"",SUMIFS(Actuals!$G:$G,Actuals!$B:$B,$C$3,Actuals!$C:$C,1,Actuals!$D:$D,$B$1138,Actuals!$A:$A,LEFT($D$1138,FIND("|",$D$1138&amp;"|")-1),Actuals!$E:$E,MID($D$1138,FIND("|",$D$1138&amp;"|")+1,50),Actuals!$F:$F,"JPY")*$E$5+SUMIFS(Actuals!$G:$G,Actuals!$B:$B,$C$3,Actuals!$C:$C,1,Actuals!$D:$D,$B$1138,Actuals!$A:$A,LEFT($D$1138,FIND("|",$D$1138&amp;"|")-1),Actuals!$E:$E,MID($D$1138,FIND("|",$D$1138&amp;"|")+1,50),Actuals!$F:$F,"USD")*$F$5+SUMIFS(Actuals!$G:$G,Actuals!$B:$B,$C$3,Actuals!$C:$C,1,Actuals!$D:$D,$B$1138,Actuals!$A:$A,LEFT($D$1138,FIND("|",$D$1138&amp;"|")-1),Actuals!$E:$E,MID($D$1138,FIND("|",$D$1138&amp;"|")+1,50),Actuals!$F:$F,"EUR")*$G$5+SUMIFS(Actuals!$G:$G,Actuals!$B:$B,$C$3,Actuals!$C:$C,1,Actuals!$D:$D,$B$1138,Actuals!$A:$A,LEFT($D$1138,FIND("|",$D$1138&amp;"|")-1),Actuals!$E:$E,MID($D$1138,FIND("|",$D$1138&amp;"|")+1,50),Actuals!$F:$F,"GBP")*$H$5)</f>
        <v/>
      </c>
      <c r="I1139" s="18">
        <f>IF(OR($B$1138="",2&gt;$C$4),"",SUMIFS(Actuals!$G:$G,Actuals!$B:$B,$C$3,Actuals!$C:$C,2,Actuals!$D:$D,$B$1138,Actuals!$A:$A,LEFT($D$1138,FIND("|",$D$1138&amp;"|")-1),Actuals!$E:$E,MID($D$1138,FIND("|",$D$1138&amp;"|")+1,50),Actuals!$F:$F,"JPY")*$E$5+SUMIFS(Actuals!$G:$G,Actuals!$B:$B,$C$3,Actuals!$C:$C,2,Actuals!$D:$D,$B$1138,Actuals!$A:$A,LEFT($D$1138,FIND("|",$D$1138&amp;"|")-1),Actuals!$E:$E,MID($D$1138,FIND("|",$D$1138&amp;"|")+1,50),Actuals!$F:$F,"USD")*$F$5+SUMIFS(Actuals!$G:$G,Actuals!$B:$B,$C$3,Actuals!$C:$C,2,Actuals!$D:$D,$B$1138,Actuals!$A:$A,LEFT($D$1138,FIND("|",$D$1138&amp;"|")-1),Actuals!$E:$E,MID($D$1138,FIND("|",$D$1138&amp;"|")+1,50),Actuals!$F:$F,"EUR")*$G$5+SUMIFS(Actuals!$G:$G,Actuals!$B:$B,$C$3,Actuals!$C:$C,2,Actuals!$D:$D,$B$1138,Actuals!$A:$A,LEFT($D$1138,FIND("|",$D$1138&amp;"|")-1),Actuals!$E:$E,MID($D$1138,FIND("|",$D$1138&amp;"|")+1,50),Actuals!$F:$F,"GBP")*$H$5)</f>
        <v/>
      </c>
      <c r="J1139" s="18">
        <f>IF(OR($B$1138="",3&gt;$C$4),"",SUMIFS(Actuals!$G:$G,Actuals!$B:$B,$C$3,Actuals!$C:$C,3,Actuals!$D:$D,$B$1138,Actuals!$A:$A,LEFT($D$1138,FIND("|",$D$1138&amp;"|")-1),Actuals!$E:$E,MID($D$1138,FIND("|",$D$1138&amp;"|")+1,50),Actuals!$F:$F,"JPY")*$E$5+SUMIFS(Actuals!$G:$G,Actuals!$B:$B,$C$3,Actuals!$C:$C,3,Actuals!$D:$D,$B$1138,Actuals!$A:$A,LEFT($D$1138,FIND("|",$D$1138&amp;"|")-1),Actuals!$E:$E,MID($D$1138,FIND("|",$D$1138&amp;"|")+1,50),Actuals!$F:$F,"USD")*$F$5+SUMIFS(Actuals!$G:$G,Actuals!$B:$B,$C$3,Actuals!$C:$C,3,Actuals!$D:$D,$B$1138,Actuals!$A:$A,LEFT($D$1138,FIND("|",$D$1138&amp;"|")-1),Actuals!$E:$E,MID($D$1138,FIND("|",$D$1138&amp;"|")+1,50),Actuals!$F:$F,"EUR")*$G$5+SUMIFS(Actuals!$G:$G,Actuals!$B:$B,$C$3,Actuals!$C:$C,3,Actuals!$D:$D,$B$1138,Actuals!$A:$A,LEFT($D$1138,FIND("|",$D$1138&amp;"|")-1),Actuals!$E:$E,MID($D$1138,FIND("|",$D$1138&amp;"|")+1,50),Actuals!$F:$F,"GBP")*$H$5)</f>
        <v/>
      </c>
      <c r="K1139" s="18">
        <f>IF(OR($B$1138="",4&gt;$C$4),"",SUMIFS(Actuals!$G:$G,Actuals!$B:$B,$C$3,Actuals!$C:$C,4,Actuals!$D:$D,$B$1138,Actuals!$A:$A,LEFT($D$1138,FIND("|",$D$1138&amp;"|")-1),Actuals!$E:$E,MID($D$1138,FIND("|",$D$1138&amp;"|")+1,50),Actuals!$F:$F,"JPY")*$E$5+SUMIFS(Actuals!$G:$G,Actuals!$B:$B,$C$3,Actuals!$C:$C,4,Actuals!$D:$D,$B$1138,Actuals!$A:$A,LEFT($D$1138,FIND("|",$D$1138&amp;"|")-1),Actuals!$E:$E,MID($D$1138,FIND("|",$D$1138&amp;"|")+1,50),Actuals!$F:$F,"USD")*$F$5+SUMIFS(Actuals!$G:$G,Actuals!$B:$B,$C$3,Actuals!$C:$C,4,Actuals!$D:$D,$B$1138,Actuals!$A:$A,LEFT($D$1138,FIND("|",$D$1138&amp;"|")-1),Actuals!$E:$E,MID($D$1138,FIND("|",$D$1138&amp;"|")+1,50),Actuals!$F:$F,"EUR")*$G$5+SUMIFS(Actuals!$G:$G,Actuals!$B:$B,$C$3,Actuals!$C:$C,4,Actuals!$D:$D,$B$1138,Actuals!$A:$A,LEFT($D$1138,FIND("|",$D$1138&amp;"|")-1),Actuals!$E:$E,MID($D$1138,FIND("|",$D$1138&amp;"|")+1,50),Actuals!$F:$F,"GBP")*$H$5)</f>
        <v/>
      </c>
      <c r="L1139" s="18">
        <f>IF(OR($B$1138="",5&gt;$C$4),"",SUMIFS(Actuals!$G:$G,Actuals!$B:$B,$C$3,Actuals!$C:$C,5,Actuals!$D:$D,$B$1138,Actuals!$A:$A,LEFT($D$1138,FIND("|",$D$1138&amp;"|")-1),Actuals!$E:$E,MID($D$1138,FIND("|",$D$1138&amp;"|")+1,50),Actuals!$F:$F,"JPY")*$E$5+SUMIFS(Actuals!$G:$G,Actuals!$B:$B,$C$3,Actuals!$C:$C,5,Actuals!$D:$D,$B$1138,Actuals!$A:$A,LEFT($D$1138,FIND("|",$D$1138&amp;"|")-1),Actuals!$E:$E,MID($D$1138,FIND("|",$D$1138&amp;"|")+1,50),Actuals!$F:$F,"USD")*$F$5+SUMIFS(Actuals!$G:$G,Actuals!$B:$B,$C$3,Actuals!$C:$C,5,Actuals!$D:$D,$B$1138,Actuals!$A:$A,LEFT($D$1138,FIND("|",$D$1138&amp;"|")-1),Actuals!$E:$E,MID($D$1138,FIND("|",$D$1138&amp;"|")+1,50),Actuals!$F:$F,"EUR")*$G$5+SUMIFS(Actuals!$G:$G,Actuals!$B:$B,$C$3,Actuals!$C:$C,5,Actuals!$D:$D,$B$1138,Actuals!$A:$A,LEFT($D$1138,FIND("|",$D$1138&amp;"|")-1),Actuals!$E:$E,MID($D$1138,FIND("|",$D$1138&amp;"|")+1,50),Actuals!$F:$F,"GBP")*$H$5)</f>
        <v/>
      </c>
      <c r="M1139" s="18">
        <f>IF(OR($B$1138="",6&gt;$C$4),"",SUMIFS(Actuals!$G:$G,Actuals!$B:$B,$C$3,Actuals!$C:$C,6,Actuals!$D:$D,$B$1138,Actuals!$A:$A,LEFT($D$1138,FIND("|",$D$1138&amp;"|")-1),Actuals!$E:$E,MID($D$1138,FIND("|",$D$1138&amp;"|")+1,50),Actuals!$F:$F,"JPY")*$E$5+SUMIFS(Actuals!$G:$G,Actuals!$B:$B,$C$3,Actuals!$C:$C,6,Actuals!$D:$D,$B$1138,Actuals!$A:$A,LEFT($D$1138,FIND("|",$D$1138&amp;"|")-1),Actuals!$E:$E,MID($D$1138,FIND("|",$D$1138&amp;"|")+1,50),Actuals!$F:$F,"USD")*$F$5+SUMIFS(Actuals!$G:$G,Actuals!$B:$B,$C$3,Actuals!$C:$C,6,Actuals!$D:$D,$B$1138,Actuals!$A:$A,LEFT($D$1138,FIND("|",$D$1138&amp;"|")-1),Actuals!$E:$E,MID($D$1138,FIND("|",$D$1138&amp;"|")+1,50),Actuals!$F:$F,"EUR")*$G$5+SUMIFS(Actuals!$G:$G,Actuals!$B:$B,$C$3,Actuals!$C:$C,6,Actuals!$D:$D,$B$1138,Actuals!$A:$A,LEFT($D$1138,FIND("|",$D$1138&amp;"|")-1),Actuals!$E:$E,MID($D$1138,FIND("|",$D$1138&amp;"|")+1,50),Actuals!$F:$F,"GBP")*$H$5)</f>
        <v/>
      </c>
      <c r="N1139" s="18">
        <f>IF(OR($B$1138="",7&gt;$C$4),"",SUMIFS(Actuals!$G:$G,Actuals!$B:$B,$C$3,Actuals!$C:$C,7,Actuals!$D:$D,$B$1138,Actuals!$A:$A,LEFT($D$1138,FIND("|",$D$1138&amp;"|")-1),Actuals!$E:$E,MID($D$1138,FIND("|",$D$1138&amp;"|")+1,50),Actuals!$F:$F,"JPY")*$E$5+SUMIFS(Actuals!$G:$G,Actuals!$B:$B,$C$3,Actuals!$C:$C,7,Actuals!$D:$D,$B$1138,Actuals!$A:$A,LEFT($D$1138,FIND("|",$D$1138&amp;"|")-1),Actuals!$E:$E,MID($D$1138,FIND("|",$D$1138&amp;"|")+1,50),Actuals!$F:$F,"USD")*$F$5+SUMIFS(Actuals!$G:$G,Actuals!$B:$B,$C$3,Actuals!$C:$C,7,Actuals!$D:$D,$B$1138,Actuals!$A:$A,LEFT($D$1138,FIND("|",$D$1138&amp;"|")-1),Actuals!$E:$E,MID($D$1138,FIND("|",$D$1138&amp;"|")+1,50),Actuals!$F:$F,"EUR")*$G$5+SUMIFS(Actuals!$G:$G,Actuals!$B:$B,$C$3,Actuals!$C:$C,7,Actuals!$D:$D,$B$1138,Actuals!$A:$A,LEFT($D$1138,FIND("|",$D$1138&amp;"|")-1),Actuals!$E:$E,MID($D$1138,FIND("|",$D$1138&amp;"|")+1,50),Actuals!$F:$F,"GBP")*$H$5)</f>
        <v/>
      </c>
      <c r="O1139" s="18">
        <f>IF(OR($B$1138="",8&gt;$C$4),"",SUMIFS(Actuals!$G:$G,Actuals!$B:$B,$C$3,Actuals!$C:$C,8,Actuals!$D:$D,$B$1138,Actuals!$A:$A,LEFT($D$1138,FIND("|",$D$1138&amp;"|")-1),Actuals!$E:$E,MID($D$1138,FIND("|",$D$1138&amp;"|")+1,50),Actuals!$F:$F,"JPY")*$E$5+SUMIFS(Actuals!$G:$G,Actuals!$B:$B,$C$3,Actuals!$C:$C,8,Actuals!$D:$D,$B$1138,Actuals!$A:$A,LEFT($D$1138,FIND("|",$D$1138&amp;"|")-1),Actuals!$E:$E,MID($D$1138,FIND("|",$D$1138&amp;"|")+1,50),Actuals!$F:$F,"USD")*$F$5+SUMIFS(Actuals!$G:$G,Actuals!$B:$B,$C$3,Actuals!$C:$C,8,Actuals!$D:$D,$B$1138,Actuals!$A:$A,LEFT($D$1138,FIND("|",$D$1138&amp;"|")-1),Actuals!$E:$E,MID($D$1138,FIND("|",$D$1138&amp;"|")+1,50),Actuals!$F:$F,"EUR")*$G$5+SUMIFS(Actuals!$G:$G,Actuals!$B:$B,$C$3,Actuals!$C:$C,8,Actuals!$D:$D,$B$1138,Actuals!$A:$A,LEFT($D$1138,FIND("|",$D$1138&amp;"|")-1),Actuals!$E:$E,MID($D$1138,FIND("|",$D$1138&amp;"|")+1,50),Actuals!$F:$F,"GBP")*$H$5)</f>
        <v/>
      </c>
      <c r="P1139" s="18">
        <f>IF(OR($B$1138="",9&gt;$C$4),"",SUMIFS(Actuals!$G:$G,Actuals!$B:$B,$C$3,Actuals!$C:$C,9,Actuals!$D:$D,$B$1138,Actuals!$A:$A,LEFT($D$1138,FIND("|",$D$1138&amp;"|")-1),Actuals!$E:$E,MID($D$1138,FIND("|",$D$1138&amp;"|")+1,50),Actuals!$F:$F,"JPY")*$E$5+SUMIFS(Actuals!$G:$G,Actuals!$B:$B,$C$3,Actuals!$C:$C,9,Actuals!$D:$D,$B$1138,Actuals!$A:$A,LEFT($D$1138,FIND("|",$D$1138&amp;"|")-1),Actuals!$E:$E,MID($D$1138,FIND("|",$D$1138&amp;"|")+1,50),Actuals!$F:$F,"USD")*$F$5+SUMIFS(Actuals!$G:$G,Actuals!$B:$B,$C$3,Actuals!$C:$C,9,Actuals!$D:$D,$B$1138,Actuals!$A:$A,LEFT($D$1138,FIND("|",$D$1138&amp;"|")-1),Actuals!$E:$E,MID($D$1138,FIND("|",$D$1138&amp;"|")+1,50),Actuals!$F:$F,"EUR")*$G$5+SUMIFS(Actuals!$G:$G,Actuals!$B:$B,$C$3,Actuals!$C:$C,9,Actuals!$D:$D,$B$1138,Actuals!$A:$A,LEFT($D$1138,FIND("|",$D$1138&amp;"|")-1),Actuals!$E:$E,MID($D$1138,FIND("|",$D$1138&amp;"|")+1,50),Actuals!$F:$F,"GBP")*$H$5)</f>
        <v/>
      </c>
      <c r="Q1139" s="18">
        <f>IF(OR($B$1138="",10&gt;$C$4),"",SUMIFS(Actuals!$G:$G,Actuals!$B:$B,$C$3,Actuals!$C:$C,10,Actuals!$D:$D,$B$1138,Actuals!$A:$A,LEFT($D$1138,FIND("|",$D$1138&amp;"|")-1),Actuals!$E:$E,MID($D$1138,FIND("|",$D$1138&amp;"|")+1,50),Actuals!$F:$F,"JPY")*$E$5+SUMIFS(Actuals!$G:$G,Actuals!$B:$B,$C$3,Actuals!$C:$C,10,Actuals!$D:$D,$B$1138,Actuals!$A:$A,LEFT($D$1138,FIND("|",$D$1138&amp;"|")-1),Actuals!$E:$E,MID($D$1138,FIND("|",$D$1138&amp;"|")+1,50),Actuals!$F:$F,"USD")*$F$5+SUMIFS(Actuals!$G:$G,Actuals!$B:$B,$C$3,Actuals!$C:$C,10,Actuals!$D:$D,$B$1138,Actuals!$A:$A,LEFT($D$1138,FIND("|",$D$1138&amp;"|")-1),Actuals!$E:$E,MID($D$1138,FIND("|",$D$1138&amp;"|")+1,50),Actuals!$F:$F,"EUR")*$G$5+SUMIFS(Actuals!$G:$G,Actuals!$B:$B,$C$3,Actuals!$C:$C,10,Actuals!$D:$D,$B$1138,Actuals!$A:$A,LEFT($D$1138,FIND("|",$D$1138&amp;"|")-1),Actuals!$E:$E,MID($D$1138,FIND("|",$D$1138&amp;"|")+1,50),Actuals!$F:$F,"GBP")*$H$5)</f>
        <v/>
      </c>
      <c r="R1139" s="18">
        <f>IF(OR($B$1138="",11&gt;$C$4),"",SUMIFS(Actuals!$G:$G,Actuals!$B:$B,$C$3,Actuals!$C:$C,11,Actuals!$D:$D,$B$1138,Actuals!$A:$A,LEFT($D$1138,FIND("|",$D$1138&amp;"|")-1),Actuals!$E:$E,MID($D$1138,FIND("|",$D$1138&amp;"|")+1,50),Actuals!$F:$F,"JPY")*$E$5+SUMIFS(Actuals!$G:$G,Actuals!$B:$B,$C$3,Actuals!$C:$C,11,Actuals!$D:$D,$B$1138,Actuals!$A:$A,LEFT($D$1138,FIND("|",$D$1138&amp;"|")-1),Actuals!$E:$E,MID($D$1138,FIND("|",$D$1138&amp;"|")+1,50),Actuals!$F:$F,"USD")*$F$5+SUMIFS(Actuals!$G:$G,Actuals!$B:$B,$C$3,Actuals!$C:$C,11,Actuals!$D:$D,$B$1138,Actuals!$A:$A,LEFT($D$1138,FIND("|",$D$1138&amp;"|")-1),Actuals!$E:$E,MID($D$1138,FIND("|",$D$1138&amp;"|")+1,50),Actuals!$F:$F,"EUR")*$G$5+SUMIFS(Actuals!$G:$G,Actuals!$B:$B,$C$3,Actuals!$C:$C,11,Actuals!$D:$D,$B$1138,Actuals!$A:$A,LEFT($D$1138,FIND("|",$D$1138&amp;"|")-1),Actuals!$E:$E,MID($D$1138,FIND("|",$D$1138&amp;"|")+1,50),Actuals!$F:$F,"GBP")*$H$5)</f>
        <v/>
      </c>
      <c r="S1139" s="18">
        <f>IF(OR($B$1138="",12&gt;$C$4),"",SUMIFS(Actuals!$G:$G,Actuals!$B:$B,$C$3,Actuals!$C:$C,12,Actuals!$D:$D,$B$1138,Actuals!$A:$A,LEFT($D$1138,FIND("|",$D$1138&amp;"|")-1),Actuals!$E:$E,MID($D$1138,FIND("|",$D$1138&amp;"|")+1,50),Actuals!$F:$F,"JPY")*$E$5+SUMIFS(Actuals!$G:$G,Actuals!$B:$B,$C$3,Actuals!$C:$C,12,Actuals!$D:$D,$B$1138,Actuals!$A:$A,LEFT($D$1138,FIND("|",$D$1138&amp;"|")-1),Actuals!$E:$E,MID($D$1138,FIND("|",$D$1138&amp;"|")+1,50),Actuals!$F:$F,"USD")*$F$5+SUMIFS(Actuals!$G:$G,Actuals!$B:$B,$C$3,Actuals!$C:$C,12,Actuals!$D:$D,$B$1138,Actuals!$A:$A,LEFT($D$1138,FIND("|",$D$1138&amp;"|")-1),Actuals!$E:$E,MID($D$1138,FIND("|",$D$1138&amp;"|")+1,50),Actuals!$F:$F,"EUR")*$G$5+SUMIFS(Actuals!$G:$G,Actuals!$B:$B,$C$3,Actuals!$C:$C,12,Actuals!$D:$D,$B$1138,Actuals!$A:$A,LEFT($D$1138,FIND("|",$D$1138&amp;"|")-1),Actuals!$E:$E,MID($D$1138,FIND("|",$D$1138&amp;"|")+1,50),Actuals!$F:$F,"GBP")*$H$5)</f>
        <v/>
      </c>
      <c r="T1139" s="18">
        <f>IF($B$1138="","",SUMIF($H$7:$S$7,"&lt;="&amp;$C$4,$H1139:$S1139))</f>
        <v/>
      </c>
      <c r="U1139" s="18" t="n"/>
      <c r="V1139" s="18" t="n"/>
      <c r="X1139" s="22">
        <f>IF($B1139="","",IFERROR(INDEX(Cost_Centers!$E:$E,MATCH($B1139,Cost_Centers!$A:$A,0)),"(unknown)"))</f>
        <v/>
      </c>
      <c r="Y1139" s="22">
        <f>IF($B1139="","",IFERROR(INDEX(Cost_Centers!$D:$D,MATCH($B1139,Cost_Centers!$A:$A,0)),"(unknown)"))</f>
        <v/>
      </c>
      <c r="Z1139" s="22">
        <f>IF(OR($B1139="",$G1139&lt;&gt;"Variance vs Budget"),"",ABS(N($V1139))+ROW()/1000000000)</f>
        <v/>
      </c>
    </row>
    <row r="1140">
      <c r="A1140" s="13">
        <f>IF(A$1138="","",A$1138)</f>
        <v/>
      </c>
      <c r="B1140" s="13">
        <f>IF(B$1138="","",B$1138)</f>
        <v/>
      </c>
      <c r="C1140" s="13">
        <f>IF(C$1138="","",C$1138)</f>
        <v/>
      </c>
      <c r="D1140" s="13">
        <f>IF(D$1138="","",D$1138)</f>
        <v/>
      </c>
      <c r="E1140" s="13">
        <f>IF(E$1138="","",E$1138)</f>
        <v/>
      </c>
      <c r="F1140" s="13">
        <f>IF(F$1138="","",F$1138)</f>
        <v/>
      </c>
      <c r="G1140" s="6" t="inlineStr">
        <is>
          <t>Variance vs Budget</t>
        </is>
      </c>
      <c r="H1140" s="33">
        <f>IF(OR($B$1138="",1&gt;$C$4),"",N(H1139)-H1138)</f>
        <v/>
      </c>
      <c r="I1140" s="33">
        <f>IF(OR($B$1138="",2&gt;$C$4),"",N(I1139)-I1138)</f>
        <v/>
      </c>
      <c r="J1140" s="33">
        <f>IF(OR($B$1138="",3&gt;$C$4),"",N(J1139)-J1138)</f>
        <v/>
      </c>
      <c r="K1140" s="33">
        <f>IF(OR($B$1138="",4&gt;$C$4),"",N(K1139)-K1138)</f>
        <v/>
      </c>
      <c r="L1140" s="33">
        <f>IF(OR($B$1138="",5&gt;$C$4),"",N(L1139)-L1138)</f>
        <v/>
      </c>
      <c r="M1140" s="33">
        <f>IF(OR($B$1138="",6&gt;$C$4),"",N(M1139)-M1138)</f>
        <v/>
      </c>
      <c r="N1140" s="33">
        <f>IF(OR($B$1138="",7&gt;$C$4),"",N(N1139)-N1138)</f>
        <v/>
      </c>
      <c r="O1140" s="33">
        <f>IF(OR($B$1138="",8&gt;$C$4),"",N(O1139)-O1138)</f>
        <v/>
      </c>
      <c r="P1140" s="33">
        <f>IF(OR($B$1138="",9&gt;$C$4),"",N(P1139)-P1138)</f>
        <v/>
      </c>
      <c r="Q1140" s="33">
        <f>IF(OR($B$1138="",10&gt;$C$4),"",N(Q1139)-Q1138)</f>
        <v/>
      </c>
      <c r="R1140" s="33">
        <f>IF(OR($B$1138="",11&gt;$C$4),"",N(R1139)-R1138)</f>
        <v/>
      </c>
      <c r="S1140" s="33">
        <f>IF(OR($B$1138="",12&gt;$C$4),"",N(S1139)-S1138)</f>
        <v/>
      </c>
      <c r="T1140" s="33">
        <f>IF($B$1138="","",T1139-T1138)</f>
        <v/>
      </c>
      <c r="U1140" s="33">
        <f>IF($B$1138="","",U1142-U1138)</f>
        <v/>
      </c>
      <c r="V1140" s="33">
        <f>IF($B$1138="","",V1142-V1138)</f>
        <v/>
      </c>
      <c r="X1140" s="22">
        <f>IF($B1140="","",IFERROR(INDEX(Cost_Centers!$E:$E,MATCH($B1140,Cost_Centers!$A:$A,0)),"(unknown)"))</f>
        <v/>
      </c>
      <c r="Y1140" s="22">
        <f>IF($B1140="","",IFERROR(INDEX(Cost_Centers!$D:$D,MATCH($B1140,Cost_Centers!$A:$A,0)),"(unknown)"))</f>
        <v/>
      </c>
      <c r="Z1140" s="22">
        <f>IF(OR($B1140="",$G1140&lt;&gt;"Variance vs Budget"),"",ABS(N($V1140))+ROW()/1000000000)</f>
        <v/>
      </c>
    </row>
    <row r="1141">
      <c r="A1141" s="13">
        <f>IF(A$1138="","",A$1138)</f>
        <v/>
      </c>
      <c r="B1141" s="13">
        <f>IF(B$1138="","",B$1138)</f>
        <v/>
      </c>
      <c r="C1141" s="13">
        <f>IF(C$1138="","",C$1138)</f>
        <v/>
      </c>
      <c r="D1141" s="13">
        <f>IF(D$1138="","",D$1138)</f>
        <v/>
      </c>
      <c r="E1141" s="13">
        <f>IF(E$1138="","",E$1138)</f>
        <v/>
      </c>
      <c r="F1141" s="13">
        <f>IF(F$1138="","",F$1138)</f>
        <v/>
      </c>
      <c r="G1141" s="7" t="inlineStr">
        <is>
          <t>Forecast (input)</t>
        </is>
      </c>
      <c r="H1141" s="34" t="n"/>
      <c r="I1141" s="34" t="n"/>
      <c r="J1141" s="34" t="n"/>
      <c r="K1141" s="34" t="n"/>
      <c r="L1141" s="34" t="n"/>
      <c r="M1141" s="34" t="n"/>
      <c r="N1141" s="34" t="n"/>
      <c r="O1141" s="34" t="n"/>
      <c r="P1141" s="34" t="n"/>
      <c r="Q1141" s="34" t="n"/>
      <c r="R1141" s="34" t="n"/>
      <c r="S1141" s="34" t="n"/>
      <c r="T1141" s="18" t="n"/>
      <c r="U1141" s="18" t="n"/>
      <c r="V1141" s="18" t="n"/>
      <c r="X1141" s="22">
        <f>IF($B1141="","",IFERROR(INDEX(Cost_Centers!$E:$E,MATCH($B1141,Cost_Centers!$A:$A,0)),"(unknown)"))</f>
        <v/>
      </c>
      <c r="Y1141" s="22">
        <f>IF($B1141="","",IFERROR(INDEX(Cost_Centers!$D:$D,MATCH($B1141,Cost_Centers!$A:$A,0)),"(unknown)"))</f>
        <v/>
      </c>
      <c r="Z1141" s="22">
        <f>IF(OR($B1141="",$G1141&lt;&gt;"Variance vs Budget"),"",ABS(N($V1141))+ROW()/1000000000)</f>
        <v/>
      </c>
    </row>
    <row r="1142">
      <c r="A1142" s="13">
        <f>IF(A$1138="","",A$1138)</f>
        <v/>
      </c>
      <c r="B1142" s="13">
        <f>IF(B$1138="","",B$1138)</f>
        <v/>
      </c>
      <c r="C1142" s="13">
        <f>IF(C$1138="","",C$1138)</f>
        <v/>
      </c>
      <c r="D1142" s="13">
        <f>IF(D$1138="","",D$1138)</f>
        <v/>
      </c>
      <c r="E1142" s="13">
        <f>IF(E$1138="","",E$1138)</f>
        <v/>
      </c>
      <c r="F1142" s="13">
        <f>IF(F$1138="","",F$1138)</f>
        <v/>
      </c>
      <c r="G1142" s="35" t="inlineStr">
        <is>
          <t>Actual + Forecast</t>
        </is>
      </c>
      <c r="H1142" s="18">
        <f>IF($B$1138="","",IF(1&lt;=$C$4,N(H1139),IF(H1141="",H1138,H1141)))</f>
        <v/>
      </c>
      <c r="I1142" s="18">
        <f>IF($B$1138="","",IF(2&lt;=$C$4,N(I1139),IF(I1141="",I1138,I1141)))</f>
        <v/>
      </c>
      <c r="J1142" s="18">
        <f>IF($B$1138="","",IF(3&lt;=$C$4,N(J1139),IF(J1141="",J1138,J1141)))</f>
        <v/>
      </c>
      <c r="K1142" s="18">
        <f>IF($B$1138="","",IF(4&lt;=$C$4,N(K1139),IF(K1141="",K1138,K1141)))</f>
        <v/>
      </c>
      <c r="L1142" s="18">
        <f>IF($B$1138="","",IF(5&lt;=$C$4,N(L1139),IF(L1141="",L1138,L1141)))</f>
        <v/>
      </c>
      <c r="M1142" s="18">
        <f>IF($B$1138="","",IF(6&lt;=$C$4,N(M1139),IF(M1141="",M1138,M1141)))</f>
        <v/>
      </c>
      <c r="N1142" s="18">
        <f>IF($B$1138="","",IF(7&lt;=$C$4,N(N1139),IF(N1141="",N1138,N1141)))</f>
        <v/>
      </c>
      <c r="O1142" s="18">
        <f>IF($B$1138="","",IF(8&lt;=$C$4,N(O1139),IF(O1141="",O1138,O1141)))</f>
        <v/>
      </c>
      <c r="P1142" s="18">
        <f>IF($B$1138="","",IF(9&lt;=$C$4,N(P1139),IF(P1141="",P1138,P1141)))</f>
        <v/>
      </c>
      <c r="Q1142" s="18">
        <f>IF($B$1138="","",IF(10&lt;=$C$4,N(Q1139),IF(Q1141="",Q1138,Q1141)))</f>
        <v/>
      </c>
      <c r="R1142" s="18">
        <f>IF($B$1138="","",IF(11&lt;=$C$4,N(R1139),IF(R1141="",R1138,R1141)))</f>
        <v/>
      </c>
      <c r="S1142" s="18">
        <f>IF($B$1138="","",IF(12&lt;=$C$4,N(S1139),IF(S1141="",S1138,S1141)))</f>
        <v/>
      </c>
      <c r="T1142" s="18">
        <f>IF($B$1138="","",SUMIF($H$7:$S$7,"&lt;="&amp;$C$4,$H1142:$S1142))</f>
        <v/>
      </c>
      <c r="U1142" s="18">
        <f>IF($B$1138="","",SUMIF($H$7:$S$7,"&gt;"&amp;$C$4,$H1142:$S1142))</f>
        <v/>
      </c>
      <c r="V1142" s="18">
        <f>IF($B$1138="","",SUM($H1142:$S1142))</f>
        <v/>
      </c>
      <c r="X1142" s="22">
        <f>IF($B1142="","",IFERROR(INDEX(Cost_Centers!$E:$E,MATCH($B1142,Cost_Centers!$A:$A,0)),"(unknown)"))</f>
        <v/>
      </c>
      <c r="Y1142" s="22">
        <f>IF($B1142="","",IFERROR(INDEX(Cost_Centers!$D:$D,MATCH($B1142,Cost_Centers!$A:$A,0)),"(unknown)"))</f>
        <v/>
      </c>
      <c r="Z1142" s="22">
        <f>IF(OR($B1142="",$G1142&lt;&gt;"Variance vs Budget"),"",ABS(N($V1142))+ROW()/1000000000)</f>
        <v/>
      </c>
    </row>
    <row r="1143">
      <c r="A1143" s="13">
        <f>IF(A$1138="","",A$1138)</f>
        <v/>
      </c>
      <c r="B1143" s="13">
        <f>IF(B$1138="","",B$1138)</f>
        <v/>
      </c>
      <c r="C1143" s="13">
        <f>IF(C$1138="","",C$1138)</f>
        <v/>
      </c>
      <c r="D1143" s="13">
        <f>IF(D$1138="","",D$1138)</f>
        <v/>
      </c>
      <c r="E1143" s="13">
        <f>IF(E$1138="","",E$1138)</f>
        <v/>
      </c>
      <c r="F1143" s="13">
        <f>IF(F$1138="","",F$1138)</f>
        <v/>
      </c>
      <c r="G1143" s="36" t="inlineStr">
        <is>
          <t>Prior Month Forecast</t>
        </is>
      </c>
      <c r="H1143" s="37">
        <f>IF($B$1138="","",IF(COUNTIFS(Prior_Forecast!$A:$A,$B$1138,Prior_Forecast!$B:$B,$D$1138)&gt;0,SUMIFS(Prior_Forecast!$C:$C,Prior_Forecast!$A:$A,$B$1138,Prior_Forecast!$B:$B,$D$1138),""))</f>
        <v/>
      </c>
      <c r="I1143" s="37">
        <f>IF($B$1138="","",IF(COUNTIFS(Prior_Forecast!$A:$A,$B$1138,Prior_Forecast!$B:$B,$D$1138)&gt;0,SUMIFS(Prior_Forecast!$D:$D,Prior_Forecast!$A:$A,$B$1138,Prior_Forecast!$B:$B,$D$1138),""))</f>
        <v/>
      </c>
      <c r="J1143" s="37">
        <f>IF($B$1138="","",IF(COUNTIFS(Prior_Forecast!$A:$A,$B$1138,Prior_Forecast!$B:$B,$D$1138)&gt;0,SUMIFS(Prior_Forecast!$E:$E,Prior_Forecast!$A:$A,$B$1138,Prior_Forecast!$B:$B,$D$1138),""))</f>
        <v/>
      </c>
      <c r="K1143" s="37">
        <f>IF($B$1138="","",IF(COUNTIFS(Prior_Forecast!$A:$A,$B$1138,Prior_Forecast!$B:$B,$D$1138)&gt;0,SUMIFS(Prior_Forecast!$F:$F,Prior_Forecast!$A:$A,$B$1138,Prior_Forecast!$B:$B,$D$1138),""))</f>
        <v/>
      </c>
      <c r="L1143" s="37">
        <f>IF($B$1138="","",IF(COUNTIFS(Prior_Forecast!$A:$A,$B$1138,Prior_Forecast!$B:$B,$D$1138)&gt;0,SUMIFS(Prior_Forecast!$G:$G,Prior_Forecast!$A:$A,$B$1138,Prior_Forecast!$B:$B,$D$1138),""))</f>
        <v/>
      </c>
      <c r="M1143" s="37">
        <f>IF($B$1138="","",IF(COUNTIFS(Prior_Forecast!$A:$A,$B$1138,Prior_Forecast!$B:$B,$D$1138)&gt;0,SUMIFS(Prior_Forecast!$H:$H,Prior_Forecast!$A:$A,$B$1138,Prior_Forecast!$B:$B,$D$1138),""))</f>
        <v/>
      </c>
      <c r="N1143" s="37">
        <f>IF($B$1138="","",IF(COUNTIFS(Prior_Forecast!$A:$A,$B$1138,Prior_Forecast!$B:$B,$D$1138)&gt;0,SUMIFS(Prior_Forecast!$I:$I,Prior_Forecast!$A:$A,$B$1138,Prior_Forecast!$B:$B,$D$1138),""))</f>
        <v/>
      </c>
      <c r="O1143" s="37">
        <f>IF($B$1138="","",IF(COUNTIFS(Prior_Forecast!$A:$A,$B$1138,Prior_Forecast!$B:$B,$D$1138)&gt;0,SUMIFS(Prior_Forecast!$J:$J,Prior_Forecast!$A:$A,$B$1138,Prior_Forecast!$B:$B,$D$1138),""))</f>
        <v/>
      </c>
      <c r="P1143" s="37">
        <f>IF($B$1138="","",IF(COUNTIFS(Prior_Forecast!$A:$A,$B$1138,Prior_Forecast!$B:$B,$D$1138)&gt;0,SUMIFS(Prior_Forecast!$K:$K,Prior_Forecast!$A:$A,$B$1138,Prior_Forecast!$B:$B,$D$1138),""))</f>
        <v/>
      </c>
      <c r="Q1143" s="37">
        <f>IF($B$1138="","",IF(COUNTIFS(Prior_Forecast!$A:$A,$B$1138,Prior_Forecast!$B:$B,$D$1138)&gt;0,SUMIFS(Prior_Forecast!$L:$L,Prior_Forecast!$A:$A,$B$1138,Prior_Forecast!$B:$B,$D$1138),""))</f>
        <v/>
      </c>
      <c r="R1143" s="37">
        <f>IF($B$1138="","",IF(COUNTIFS(Prior_Forecast!$A:$A,$B$1138,Prior_Forecast!$B:$B,$D$1138)&gt;0,SUMIFS(Prior_Forecast!$M:$M,Prior_Forecast!$A:$A,$B$1138,Prior_Forecast!$B:$B,$D$1138),""))</f>
        <v/>
      </c>
      <c r="S1143" s="37">
        <f>IF($B$1138="","",IF(COUNTIFS(Prior_Forecast!$A:$A,$B$1138,Prior_Forecast!$B:$B,$D$1138)&gt;0,SUMIFS(Prior_Forecast!$N:$N,Prior_Forecast!$A:$A,$B$1138,Prior_Forecast!$B:$B,$D$1138),""))</f>
        <v/>
      </c>
      <c r="T1143" s="37">
        <f>IF($B$1138="","",IF(COUNTIFS(Prior_Forecast!$A:$A,$B$1138,Prior_Forecast!$B:$B,$D$1138)&gt;0,SUMIFS(Prior_Forecast!$O:$O,Prior_Forecast!$A:$A,$B$1138,Prior_Forecast!$B:$B,$D$1138),""))</f>
        <v/>
      </c>
      <c r="U1143" s="37">
        <f>IF($B$1138="","",IF(COUNTIFS(Prior_Forecast!$A:$A,$B$1138,Prior_Forecast!$B:$B,$D$1138)&gt;0,SUMIFS(Prior_Forecast!$P:$P,Prior_Forecast!$A:$A,$B$1138,Prior_Forecast!$B:$B,$D$1138),""))</f>
        <v/>
      </c>
      <c r="V1143" s="37">
        <f>IF($B$1138="","",IF(COUNTIFS(Prior_Forecast!$A:$A,$B$1138,Prior_Forecast!$B:$B,$D$1138)&gt;0,SUMIFS(Prior_Forecast!$Q:$Q,Prior_Forecast!$A:$A,$B$1138,Prior_Forecast!$B:$B,$D$1138),""))</f>
        <v/>
      </c>
      <c r="X1143" s="22">
        <f>IF($B1143="","",IFERROR(INDEX(Cost_Centers!$E:$E,MATCH($B1143,Cost_Centers!$A:$A,0)),"(unknown)"))</f>
        <v/>
      </c>
      <c r="Y1143" s="22">
        <f>IF($B1143="","",IFERROR(INDEX(Cost_Centers!$D:$D,MATCH($B1143,Cost_Centers!$A:$A,0)),"(unknown)"))</f>
        <v/>
      </c>
      <c r="Z1143" s="22">
        <f>IF(OR($B1143="",$G1143&lt;&gt;"Variance vs Budget"),"",ABS(N($V1143))+ROW()/1000000000)</f>
        <v/>
      </c>
    </row>
    <row r="1144">
      <c r="A1144" s="13">
        <f>IF(A$1138="","",A$1138)</f>
        <v/>
      </c>
      <c r="B1144" s="13">
        <f>IF(B$1138="","",B$1138)</f>
        <v/>
      </c>
      <c r="C1144" s="13">
        <f>IF(C$1138="","",C$1138)</f>
        <v/>
      </c>
      <c r="D1144" s="13">
        <f>IF(D$1138="","",D$1138)</f>
        <v/>
      </c>
      <c r="E1144" s="13">
        <f>IF(E$1138="","",E$1138)</f>
        <v/>
      </c>
      <c r="F1144" s="13">
        <f>IF(F$1138="","",F$1138)</f>
        <v/>
      </c>
      <c r="G1144" s="6" t="inlineStr">
        <is>
          <t>Variance vs Prior Month</t>
        </is>
      </c>
      <c r="H1144" s="33">
        <f>IF(OR($B$1138="",H1143=""),"",H1142-H1143)</f>
        <v/>
      </c>
      <c r="I1144" s="33">
        <f>IF(OR($B$1138="",I1143=""),"",I1142-I1143)</f>
        <v/>
      </c>
      <c r="J1144" s="33">
        <f>IF(OR($B$1138="",J1143=""),"",J1142-J1143)</f>
        <v/>
      </c>
      <c r="K1144" s="33">
        <f>IF(OR($B$1138="",K1143=""),"",K1142-K1143)</f>
        <v/>
      </c>
      <c r="L1144" s="33">
        <f>IF(OR($B$1138="",L1143=""),"",L1142-L1143)</f>
        <v/>
      </c>
      <c r="M1144" s="33">
        <f>IF(OR($B$1138="",M1143=""),"",M1142-M1143)</f>
        <v/>
      </c>
      <c r="N1144" s="33">
        <f>IF(OR($B$1138="",N1143=""),"",N1142-N1143)</f>
        <v/>
      </c>
      <c r="O1144" s="33">
        <f>IF(OR($B$1138="",O1143=""),"",O1142-O1143)</f>
        <v/>
      </c>
      <c r="P1144" s="33">
        <f>IF(OR($B$1138="",P1143=""),"",P1142-P1143)</f>
        <v/>
      </c>
      <c r="Q1144" s="33">
        <f>IF(OR($B$1138="",Q1143=""),"",Q1142-Q1143)</f>
        <v/>
      </c>
      <c r="R1144" s="33">
        <f>IF(OR($B$1138="",R1143=""),"",R1142-R1143)</f>
        <v/>
      </c>
      <c r="S1144" s="33">
        <f>IF(OR($B$1138="",S1143=""),"",S1142-S1143)</f>
        <v/>
      </c>
      <c r="T1144" s="33">
        <f>IF(OR($B$1138="",T1143=""),"",T1142-T1143)</f>
        <v/>
      </c>
      <c r="U1144" s="33">
        <f>IF(OR($B$1138="",U1143=""),"",U1142-U1143)</f>
        <v/>
      </c>
      <c r="V1144" s="33">
        <f>IF(OR($B$1138="",V1143=""),"",V1142-V1143)</f>
        <v/>
      </c>
      <c r="X1144" s="22">
        <f>IF($B1144="","",IFERROR(INDEX(Cost_Centers!$E:$E,MATCH($B1144,Cost_Centers!$A:$A,0)),"(unknown)"))</f>
        <v/>
      </c>
      <c r="Y1144" s="22">
        <f>IF($B1144="","",IFERROR(INDEX(Cost_Centers!$D:$D,MATCH($B1144,Cost_Centers!$A:$A,0)),"(unknown)"))</f>
        <v/>
      </c>
      <c r="Z1144" s="22">
        <f>IF(OR($B1144="",$G1144&lt;&gt;"Variance vs Budget"),"",ABS(N($V1144))+ROW()/1000000000)</f>
        <v/>
      </c>
    </row>
    <row r="1145" ht="45" customHeight="1">
      <c r="A1145" s="13">
        <f>IF(A$1138="","",A$1138)</f>
        <v/>
      </c>
      <c r="B1145" s="13">
        <f>IF(B$1138="","",B$1138)</f>
        <v/>
      </c>
      <c r="C1145" s="13">
        <f>IF(C$1138="","",C$1138)</f>
        <v/>
      </c>
      <c r="D1145" s="13">
        <f>IF(D$1138="","",D$1138)</f>
        <v/>
      </c>
      <c r="E1145" s="13">
        <f>IF(E$1138="","",E$1138)</f>
        <v/>
      </c>
      <c r="F1145" s="13">
        <f>IF(F$1138="","",F$1138)</f>
        <v/>
      </c>
      <c r="G1145" s="7" t="inlineStr">
        <is>
          <t>Rationale</t>
        </is>
      </c>
      <c r="H1145" s="38" t="n"/>
      <c r="I1145" s="38" t="n"/>
      <c r="J1145" s="38" t="n"/>
      <c r="K1145" s="38" t="n"/>
      <c r="L1145" s="38" t="n"/>
      <c r="M1145" s="38" t="n"/>
      <c r="N1145" s="38" t="n"/>
      <c r="O1145" s="38" t="n"/>
      <c r="P1145" s="38" t="n"/>
      <c r="Q1145" s="38" t="n"/>
      <c r="R1145" s="38" t="n"/>
      <c r="S1145" s="38" t="n"/>
      <c r="T1145" s="38" t="n"/>
      <c r="U1145" s="38" t="n"/>
      <c r="V1145" s="7" t="n"/>
      <c r="X1145" s="22">
        <f>IF($B1145="","",IFERROR(INDEX(Cost_Centers!$E:$E,MATCH($B1145,Cost_Centers!$A:$A,0)),"(unknown)"))</f>
        <v/>
      </c>
      <c r="Y1145" s="22">
        <f>IF($B1145="","",IFERROR(INDEX(Cost_Centers!$D:$D,MATCH($B1145,Cost_Centers!$A:$A,0)),"(unknown)"))</f>
        <v/>
      </c>
      <c r="Z1145" s="22">
        <f>IF(OR($B1145="",$G1145&lt;&gt;"Variance vs Budget"),"",ABS(N($V1145))+ROW()/1000000000)</f>
        <v/>
      </c>
    </row>
    <row r="1146">
      <c r="A1146" s="30">
        <f>IF($D$1146="","",LEFT($D$1146,FIND("|",$D$1146&amp;"|")-1))</f>
        <v/>
      </c>
      <c r="B1146" s="31" t="n"/>
      <c r="C1146" s="30">
        <f>IF($B$1146="","",IFERROR(INDEX(Cost_Centers!$B:$B,MATCH($B$1146,Cost_Centers!$A:$A,0)),"(not in master)"))</f>
        <v/>
      </c>
      <c r="D1146" s="31" t="n"/>
      <c r="E1146" s="30">
        <f>IF($D$1146="","",IFERROR(INDEX(Accounts!$D:$D,MATCH($D$1146,Accounts!$A:$A,0)),"(not in master)"))</f>
        <v/>
      </c>
      <c r="F1146" s="31" t="n"/>
      <c r="G1146" s="30" t="inlineStr">
        <is>
          <t>Budget</t>
        </is>
      </c>
      <c r="H1146" s="32">
        <f>IF($B$1146="","",SUMIFS(Opex_Budget!$O:$O,Opex_Budget!$A:$A,$C$3,Opex_Budget!$E:$E,$B$1146,Opex_Budget!$F:$F,$D$1146,Opex_Budget!$N:$N,"JPY")*$E$5+SUMIFS(Opex_Budget!$O:$O,Opex_Budget!$A:$A,$C$3,Opex_Budget!$E:$E,$B$1146,Opex_Budget!$F:$F,$D$1146,Opex_Budget!$N:$N,"USD")*$F$5+SUMIFS(Opex_Budget!$O:$O,Opex_Budget!$A:$A,$C$3,Opex_Budget!$E:$E,$B$1146,Opex_Budget!$F:$F,$D$1146,Opex_Budget!$N:$N,"EUR")*$G$5+SUMIFS(Opex_Budget!$O:$O,Opex_Budget!$A:$A,$C$3,Opex_Budget!$E:$E,$B$1146,Opex_Budget!$F:$F,$D$1146,Opex_Budget!$N:$N,"GBP")*$H$5)</f>
        <v/>
      </c>
      <c r="I1146" s="32">
        <f>IF($B$1146="","",SUMIFS(Opex_Budget!$P:$P,Opex_Budget!$A:$A,$C$3,Opex_Budget!$E:$E,$B$1146,Opex_Budget!$F:$F,$D$1146,Opex_Budget!$N:$N,"JPY")*$E$5+SUMIFS(Opex_Budget!$P:$P,Opex_Budget!$A:$A,$C$3,Opex_Budget!$E:$E,$B$1146,Opex_Budget!$F:$F,$D$1146,Opex_Budget!$N:$N,"USD")*$F$5+SUMIFS(Opex_Budget!$P:$P,Opex_Budget!$A:$A,$C$3,Opex_Budget!$E:$E,$B$1146,Opex_Budget!$F:$F,$D$1146,Opex_Budget!$N:$N,"EUR")*$G$5+SUMIFS(Opex_Budget!$P:$P,Opex_Budget!$A:$A,$C$3,Opex_Budget!$E:$E,$B$1146,Opex_Budget!$F:$F,$D$1146,Opex_Budget!$N:$N,"GBP")*$H$5)</f>
        <v/>
      </c>
      <c r="J1146" s="32">
        <f>IF($B$1146="","",SUMIFS(Opex_Budget!$Q:$Q,Opex_Budget!$A:$A,$C$3,Opex_Budget!$E:$E,$B$1146,Opex_Budget!$F:$F,$D$1146,Opex_Budget!$N:$N,"JPY")*$E$5+SUMIFS(Opex_Budget!$Q:$Q,Opex_Budget!$A:$A,$C$3,Opex_Budget!$E:$E,$B$1146,Opex_Budget!$F:$F,$D$1146,Opex_Budget!$N:$N,"USD")*$F$5+SUMIFS(Opex_Budget!$Q:$Q,Opex_Budget!$A:$A,$C$3,Opex_Budget!$E:$E,$B$1146,Opex_Budget!$F:$F,$D$1146,Opex_Budget!$N:$N,"EUR")*$G$5+SUMIFS(Opex_Budget!$Q:$Q,Opex_Budget!$A:$A,$C$3,Opex_Budget!$E:$E,$B$1146,Opex_Budget!$F:$F,$D$1146,Opex_Budget!$N:$N,"GBP")*$H$5)</f>
        <v/>
      </c>
      <c r="K1146" s="32">
        <f>IF($B$1146="","",SUMIFS(Opex_Budget!$R:$R,Opex_Budget!$A:$A,$C$3,Opex_Budget!$E:$E,$B$1146,Opex_Budget!$F:$F,$D$1146,Opex_Budget!$N:$N,"JPY")*$E$5+SUMIFS(Opex_Budget!$R:$R,Opex_Budget!$A:$A,$C$3,Opex_Budget!$E:$E,$B$1146,Opex_Budget!$F:$F,$D$1146,Opex_Budget!$N:$N,"USD")*$F$5+SUMIFS(Opex_Budget!$R:$R,Opex_Budget!$A:$A,$C$3,Opex_Budget!$E:$E,$B$1146,Opex_Budget!$F:$F,$D$1146,Opex_Budget!$N:$N,"EUR")*$G$5+SUMIFS(Opex_Budget!$R:$R,Opex_Budget!$A:$A,$C$3,Opex_Budget!$E:$E,$B$1146,Opex_Budget!$F:$F,$D$1146,Opex_Budget!$N:$N,"GBP")*$H$5)</f>
        <v/>
      </c>
      <c r="L1146" s="32">
        <f>IF($B$1146="","",SUMIFS(Opex_Budget!$S:$S,Opex_Budget!$A:$A,$C$3,Opex_Budget!$E:$E,$B$1146,Opex_Budget!$F:$F,$D$1146,Opex_Budget!$N:$N,"JPY")*$E$5+SUMIFS(Opex_Budget!$S:$S,Opex_Budget!$A:$A,$C$3,Opex_Budget!$E:$E,$B$1146,Opex_Budget!$F:$F,$D$1146,Opex_Budget!$N:$N,"USD")*$F$5+SUMIFS(Opex_Budget!$S:$S,Opex_Budget!$A:$A,$C$3,Opex_Budget!$E:$E,$B$1146,Opex_Budget!$F:$F,$D$1146,Opex_Budget!$N:$N,"EUR")*$G$5+SUMIFS(Opex_Budget!$S:$S,Opex_Budget!$A:$A,$C$3,Opex_Budget!$E:$E,$B$1146,Opex_Budget!$F:$F,$D$1146,Opex_Budget!$N:$N,"GBP")*$H$5)</f>
        <v/>
      </c>
      <c r="M1146" s="32">
        <f>IF($B$1146="","",SUMIFS(Opex_Budget!$T:$T,Opex_Budget!$A:$A,$C$3,Opex_Budget!$E:$E,$B$1146,Opex_Budget!$F:$F,$D$1146,Opex_Budget!$N:$N,"JPY")*$E$5+SUMIFS(Opex_Budget!$T:$T,Opex_Budget!$A:$A,$C$3,Opex_Budget!$E:$E,$B$1146,Opex_Budget!$F:$F,$D$1146,Opex_Budget!$N:$N,"USD")*$F$5+SUMIFS(Opex_Budget!$T:$T,Opex_Budget!$A:$A,$C$3,Opex_Budget!$E:$E,$B$1146,Opex_Budget!$F:$F,$D$1146,Opex_Budget!$N:$N,"EUR")*$G$5+SUMIFS(Opex_Budget!$T:$T,Opex_Budget!$A:$A,$C$3,Opex_Budget!$E:$E,$B$1146,Opex_Budget!$F:$F,$D$1146,Opex_Budget!$N:$N,"GBP")*$H$5)</f>
        <v/>
      </c>
      <c r="N1146" s="32">
        <f>IF($B$1146="","",SUMIFS(Opex_Budget!$U:$U,Opex_Budget!$A:$A,$C$3,Opex_Budget!$E:$E,$B$1146,Opex_Budget!$F:$F,$D$1146,Opex_Budget!$N:$N,"JPY")*$E$5+SUMIFS(Opex_Budget!$U:$U,Opex_Budget!$A:$A,$C$3,Opex_Budget!$E:$E,$B$1146,Opex_Budget!$F:$F,$D$1146,Opex_Budget!$N:$N,"USD")*$F$5+SUMIFS(Opex_Budget!$U:$U,Opex_Budget!$A:$A,$C$3,Opex_Budget!$E:$E,$B$1146,Opex_Budget!$F:$F,$D$1146,Opex_Budget!$N:$N,"EUR")*$G$5+SUMIFS(Opex_Budget!$U:$U,Opex_Budget!$A:$A,$C$3,Opex_Budget!$E:$E,$B$1146,Opex_Budget!$F:$F,$D$1146,Opex_Budget!$N:$N,"GBP")*$H$5)</f>
        <v/>
      </c>
      <c r="O1146" s="32">
        <f>IF($B$1146="","",SUMIFS(Opex_Budget!$V:$V,Opex_Budget!$A:$A,$C$3,Opex_Budget!$E:$E,$B$1146,Opex_Budget!$F:$F,$D$1146,Opex_Budget!$N:$N,"JPY")*$E$5+SUMIFS(Opex_Budget!$V:$V,Opex_Budget!$A:$A,$C$3,Opex_Budget!$E:$E,$B$1146,Opex_Budget!$F:$F,$D$1146,Opex_Budget!$N:$N,"USD")*$F$5+SUMIFS(Opex_Budget!$V:$V,Opex_Budget!$A:$A,$C$3,Opex_Budget!$E:$E,$B$1146,Opex_Budget!$F:$F,$D$1146,Opex_Budget!$N:$N,"EUR")*$G$5+SUMIFS(Opex_Budget!$V:$V,Opex_Budget!$A:$A,$C$3,Opex_Budget!$E:$E,$B$1146,Opex_Budget!$F:$F,$D$1146,Opex_Budget!$N:$N,"GBP")*$H$5)</f>
        <v/>
      </c>
      <c r="P1146" s="32">
        <f>IF($B$1146="","",SUMIFS(Opex_Budget!$W:$W,Opex_Budget!$A:$A,$C$3,Opex_Budget!$E:$E,$B$1146,Opex_Budget!$F:$F,$D$1146,Opex_Budget!$N:$N,"JPY")*$E$5+SUMIFS(Opex_Budget!$W:$W,Opex_Budget!$A:$A,$C$3,Opex_Budget!$E:$E,$B$1146,Opex_Budget!$F:$F,$D$1146,Opex_Budget!$N:$N,"USD")*$F$5+SUMIFS(Opex_Budget!$W:$W,Opex_Budget!$A:$A,$C$3,Opex_Budget!$E:$E,$B$1146,Opex_Budget!$F:$F,$D$1146,Opex_Budget!$N:$N,"EUR")*$G$5+SUMIFS(Opex_Budget!$W:$W,Opex_Budget!$A:$A,$C$3,Opex_Budget!$E:$E,$B$1146,Opex_Budget!$F:$F,$D$1146,Opex_Budget!$N:$N,"GBP")*$H$5)</f>
        <v/>
      </c>
      <c r="Q1146" s="32">
        <f>IF($B$1146="","",SUMIFS(Opex_Budget!$X:$X,Opex_Budget!$A:$A,$C$3,Opex_Budget!$E:$E,$B$1146,Opex_Budget!$F:$F,$D$1146,Opex_Budget!$N:$N,"JPY")*$E$5+SUMIFS(Opex_Budget!$X:$X,Opex_Budget!$A:$A,$C$3,Opex_Budget!$E:$E,$B$1146,Opex_Budget!$F:$F,$D$1146,Opex_Budget!$N:$N,"USD")*$F$5+SUMIFS(Opex_Budget!$X:$X,Opex_Budget!$A:$A,$C$3,Opex_Budget!$E:$E,$B$1146,Opex_Budget!$F:$F,$D$1146,Opex_Budget!$N:$N,"EUR")*$G$5+SUMIFS(Opex_Budget!$X:$X,Opex_Budget!$A:$A,$C$3,Opex_Budget!$E:$E,$B$1146,Opex_Budget!$F:$F,$D$1146,Opex_Budget!$N:$N,"GBP")*$H$5)</f>
        <v/>
      </c>
      <c r="R1146" s="32">
        <f>IF($B$1146="","",SUMIFS(Opex_Budget!$Y:$Y,Opex_Budget!$A:$A,$C$3,Opex_Budget!$E:$E,$B$1146,Opex_Budget!$F:$F,$D$1146,Opex_Budget!$N:$N,"JPY")*$E$5+SUMIFS(Opex_Budget!$Y:$Y,Opex_Budget!$A:$A,$C$3,Opex_Budget!$E:$E,$B$1146,Opex_Budget!$F:$F,$D$1146,Opex_Budget!$N:$N,"USD")*$F$5+SUMIFS(Opex_Budget!$Y:$Y,Opex_Budget!$A:$A,$C$3,Opex_Budget!$E:$E,$B$1146,Opex_Budget!$F:$F,$D$1146,Opex_Budget!$N:$N,"EUR")*$G$5+SUMIFS(Opex_Budget!$Y:$Y,Opex_Budget!$A:$A,$C$3,Opex_Budget!$E:$E,$B$1146,Opex_Budget!$F:$F,$D$1146,Opex_Budget!$N:$N,"GBP")*$H$5)</f>
        <v/>
      </c>
      <c r="S1146" s="32">
        <f>IF($B$1146="","",SUMIFS(Opex_Budget!$Z:$Z,Opex_Budget!$A:$A,$C$3,Opex_Budget!$E:$E,$B$1146,Opex_Budget!$F:$F,$D$1146,Opex_Budget!$N:$N,"JPY")*$E$5+SUMIFS(Opex_Budget!$Z:$Z,Opex_Budget!$A:$A,$C$3,Opex_Budget!$E:$E,$B$1146,Opex_Budget!$F:$F,$D$1146,Opex_Budget!$N:$N,"USD")*$F$5+SUMIFS(Opex_Budget!$Z:$Z,Opex_Budget!$A:$A,$C$3,Opex_Budget!$E:$E,$B$1146,Opex_Budget!$F:$F,$D$1146,Opex_Budget!$N:$N,"EUR")*$G$5+SUMIFS(Opex_Budget!$Z:$Z,Opex_Budget!$A:$A,$C$3,Opex_Budget!$E:$E,$B$1146,Opex_Budget!$F:$F,$D$1146,Opex_Budget!$N:$N,"GBP")*$H$5)</f>
        <v/>
      </c>
      <c r="T1146" s="32">
        <f>IF($B$1146="","",SUMIF($H$7:$S$7,"&lt;="&amp;$C$4,$H1146:$S1146))</f>
        <v/>
      </c>
      <c r="U1146" s="32">
        <f>IF($B$1146="","",SUMIF($H$7:$S$7,"&gt;"&amp;$C$4,$H1146:$S1146))</f>
        <v/>
      </c>
      <c r="V1146" s="32">
        <f>IF($B$1146="","",SUM($H1146:$S1146))</f>
        <v/>
      </c>
      <c r="X1146" s="22">
        <f>IF($B1146="","",IFERROR(INDEX(Cost_Centers!$E:$E,MATCH($B1146,Cost_Centers!$A:$A,0)),"(unknown)"))</f>
        <v/>
      </c>
      <c r="Y1146" s="22">
        <f>IF($B1146="","",IFERROR(INDEX(Cost_Centers!$D:$D,MATCH($B1146,Cost_Centers!$A:$A,0)),"(unknown)"))</f>
        <v/>
      </c>
      <c r="Z1146" s="22">
        <f>IF(OR($B1146="",$G1146&lt;&gt;"Variance vs Budget"),"",ABS(N($V1146))+ROW()/1000000000)</f>
        <v/>
      </c>
    </row>
    <row r="1147">
      <c r="A1147" s="13">
        <f>IF(A$1146="","",A$1146)</f>
        <v/>
      </c>
      <c r="B1147" s="13">
        <f>IF(B$1146="","",B$1146)</f>
        <v/>
      </c>
      <c r="C1147" s="13">
        <f>IF(C$1146="","",C$1146)</f>
        <v/>
      </c>
      <c r="D1147" s="13">
        <f>IF(D$1146="","",D$1146)</f>
        <v/>
      </c>
      <c r="E1147" s="13">
        <f>IF(E$1146="","",E$1146)</f>
        <v/>
      </c>
      <c r="F1147" s="13">
        <f>IF(F$1146="","",F$1146)</f>
        <v/>
      </c>
      <c r="G1147" s="7" t="inlineStr">
        <is>
          <t>Actual</t>
        </is>
      </c>
      <c r="H1147" s="18">
        <f>IF(OR($B$1146="",1&gt;$C$4),"",SUMIFS(Actuals!$G:$G,Actuals!$B:$B,$C$3,Actuals!$C:$C,1,Actuals!$D:$D,$B$1146,Actuals!$A:$A,LEFT($D$1146,FIND("|",$D$1146&amp;"|")-1),Actuals!$E:$E,MID($D$1146,FIND("|",$D$1146&amp;"|")+1,50),Actuals!$F:$F,"JPY")*$E$5+SUMIFS(Actuals!$G:$G,Actuals!$B:$B,$C$3,Actuals!$C:$C,1,Actuals!$D:$D,$B$1146,Actuals!$A:$A,LEFT($D$1146,FIND("|",$D$1146&amp;"|")-1),Actuals!$E:$E,MID($D$1146,FIND("|",$D$1146&amp;"|")+1,50),Actuals!$F:$F,"USD")*$F$5+SUMIFS(Actuals!$G:$G,Actuals!$B:$B,$C$3,Actuals!$C:$C,1,Actuals!$D:$D,$B$1146,Actuals!$A:$A,LEFT($D$1146,FIND("|",$D$1146&amp;"|")-1),Actuals!$E:$E,MID($D$1146,FIND("|",$D$1146&amp;"|")+1,50),Actuals!$F:$F,"EUR")*$G$5+SUMIFS(Actuals!$G:$G,Actuals!$B:$B,$C$3,Actuals!$C:$C,1,Actuals!$D:$D,$B$1146,Actuals!$A:$A,LEFT($D$1146,FIND("|",$D$1146&amp;"|")-1),Actuals!$E:$E,MID($D$1146,FIND("|",$D$1146&amp;"|")+1,50),Actuals!$F:$F,"GBP")*$H$5)</f>
        <v/>
      </c>
      <c r="I1147" s="18">
        <f>IF(OR($B$1146="",2&gt;$C$4),"",SUMIFS(Actuals!$G:$G,Actuals!$B:$B,$C$3,Actuals!$C:$C,2,Actuals!$D:$D,$B$1146,Actuals!$A:$A,LEFT($D$1146,FIND("|",$D$1146&amp;"|")-1),Actuals!$E:$E,MID($D$1146,FIND("|",$D$1146&amp;"|")+1,50),Actuals!$F:$F,"JPY")*$E$5+SUMIFS(Actuals!$G:$G,Actuals!$B:$B,$C$3,Actuals!$C:$C,2,Actuals!$D:$D,$B$1146,Actuals!$A:$A,LEFT($D$1146,FIND("|",$D$1146&amp;"|")-1),Actuals!$E:$E,MID($D$1146,FIND("|",$D$1146&amp;"|")+1,50),Actuals!$F:$F,"USD")*$F$5+SUMIFS(Actuals!$G:$G,Actuals!$B:$B,$C$3,Actuals!$C:$C,2,Actuals!$D:$D,$B$1146,Actuals!$A:$A,LEFT($D$1146,FIND("|",$D$1146&amp;"|")-1),Actuals!$E:$E,MID($D$1146,FIND("|",$D$1146&amp;"|")+1,50),Actuals!$F:$F,"EUR")*$G$5+SUMIFS(Actuals!$G:$G,Actuals!$B:$B,$C$3,Actuals!$C:$C,2,Actuals!$D:$D,$B$1146,Actuals!$A:$A,LEFT($D$1146,FIND("|",$D$1146&amp;"|")-1),Actuals!$E:$E,MID($D$1146,FIND("|",$D$1146&amp;"|")+1,50),Actuals!$F:$F,"GBP")*$H$5)</f>
        <v/>
      </c>
      <c r="J1147" s="18">
        <f>IF(OR($B$1146="",3&gt;$C$4),"",SUMIFS(Actuals!$G:$G,Actuals!$B:$B,$C$3,Actuals!$C:$C,3,Actuals!$D:$D,$B$1146,Actuals!$A:$A,LEFT($D$1146,FIND("|",$D$1146&amp;"|")-1),Actuals!$E:$E,MID($D$1146,FIND("|",$D$1146&amp;"|")+1,50),Actuals!$F:$F,"JPY")*$E$5+SUMIFS(Actuals!$G:$G,Actuals!$B:$B,$C$3,Actuals!$C:$C,3,Actuals!$D:$D,$B$1146,Actuals!$A:$A,LEFT($D$1146,FIND("|",$D$1146&amp;"|")-1),Actuals!$E:$E,MID($D$1146,FIND("|",$D$1146&amp;"|")+1,50),Actuals!$F:$F,"USD")*$F$5+SUMIFS(Actuals!$G:$G,Actuals!$B:$B,$C$3,Actuals!$C:$C,3,Actuals!$D:$D,$B$1146,Actuals!$A:$A,LEFT($D$1146,FIND("|",$D$1146&amp;"|")-1),Actuals!$E:$E,MID($D$1146,FIND("|",$D$1146&amp;"|")+1,50),Actuals!$F:$F,"EUR")*$G$5+SUMIFS(Actuals!$G:$G,Actuals!$B:$B,$C$3,Actuals!$C:$C,3,Actuals!$D:$D,$B$1146,Actuals!$A:$A,LEFT($D$1146,FIND("|",$D$1146&amp;"|")-1),Actuals!$E:$E,MID($D$1146,FIND("|",$D$1146&amp;"|")+1,50),Actuals!$F:$F,"GBP")*$H$5)</f>
        <v/>
      </c>
      <c r="K1147" s="18">
        <f>IF(OR($B$1146="",4&gt;$C$4),"",SUMIFS(Actuals!$G:$G,Actuals!$B:$B,$C$3,Actuals!$C:$C,4,Actuals!$D:$D,$B$1146,Actuals!$A:$A,LEFT($D$1146,FIND("|",$D$1146&amp;"|")-1),Actuals!$E:$E,MID($D$1146,FIND("|",$D$1146&amp;"|")+1,50),Actuals!$F:$F,"JPY")*$E$5+SUMIFS(Actuals!$G:$G,Actuals!$B:$B,$C$3,Actuals!$C:$C,4,Actuals!$D:$D,$B$1146,Actuals!$A:$A,LEFT($D$1146,FIND("|",$D$1146&amp;"|")-1),Actuals!$E:$E,MID($D$1146,FIND("|",$D$1146&amp;"|")+1,50),Actuals!$F:$F,"USD")*$F$5+SUMIFS(Actuals!$G:$G,Actuals!$B:$B,$C$3,Actuals!$C:$C,4,Actuals!$D:$D,$B$1146,Actuals!$A:$A,LEFT($D$1146,FIND("|",$D$1146&amp;"|")-1),Actuals!$E:$E,MID($D$1146,FIND("|",$D$1146&amp;"|")+1,50),Actuals!$F:$F,"EUR")*$G$5+SUMIFS(Actuals!$G:$G,Actuals!$B:$B,$C$3,Actuals!$C:$C,4,Actuals!$D:$D,$B$1146,Actuals!$A:$A,LEFT($D$1146,FIND("|",$D$1146&amp;"|")-1),Actuals!$E:$E,MID($D$1146,FIND("|",$D$1146&amp;"|")+1,50),Actuals!$F:$F,"GBP")*$H$5)</f>
        <v/>
      </c>
      <c r="L1147" s="18">
        <f>IF(OR($B$1146="",5&gt;$C$4),"",SUMIFS(Actuals!$G:$G,Actuals!$B:$B,$C$3,Actuals!$C:$C,5,Actuals!$D:$D,$B$1146,Actuals!$A:$A,LEFT($D$1146,FIND("|",$D$1146&amp;"|")-1),Actuals!$E:$E,MID($D$1146,FIND("|",$D$1146&amp;"|")+1,50),Actuals!$F:$F,"JPY")*$E$5+SUMIFS(Actuals!$G:$G,Actuals!$B:$B,$C$3,Actuals!$C:$C,5,Actuals!$D:$D,$B$1146,Actuals!$A:$A,LEFT($D$1146,FIND("|",$D$1146&amp;"|")-1),Actuals!$E:$E,MID($D$1146,FIND("|",$D$1146&amp;"|")+1,50),Actuals!$F:$F,"USD")*$F$5+SUMIFS(Actuals!$G:$G,Actuals!$B:$B,$C$3,Actuals!$C:$C,5,Actuals!$D:$D,$B$1146,Actuals!$A:$A,LEFT($D$1146,FIND("|",$D$1146&amp;"|")-1),Actuals!$E:$E,MID($D$1146,FIND("|",$D$1146&amp;"|")+1,50),Actuals!$F:$F,"EUR")*$G$5+SUMIFS(Actuals!$G:$G,Actuals!$B:$B,$C$3,Actuals!$C:$C,5,Actuals!$D:$D,$B$1146,Actuals!$A:$A,LEFT($D$1146,FIND("|",$D$1146&amp;"|")-1),Actuals!$E:$E,MID($D$1146,FIND("|",$D$1146&amp;"|")+1,50),Actuals!$F:$F,"GBP")*$H$5)</f>
        <v/>
      </c>
      <c r="M1147" s="18">
        <f>IF(OR($B$1146="",6&gt;$C$4),"",SUMIFS(Actuals!$G:$G,Actuals!$B:$B,$C$3,Actuals!$C:$C,6,Actuals!$D:$D,$B$1146,Actuals!$A:$A,LEFT($D$1146,FIND("|",$D$1146&amp;"|")-1),Actuals!$E:$E,MID($D$1146,FIND("|",$D$1146&amp;"|")+1,50),Actuals!$F:$F,"JPY")*$E$5+SUMIFS(Actuals!$G:$G,Actuals!$B:$B,$C$3,Actuals!$C:$C,6,Actuals!$D:$D,$B$1146,Actuals!$A:$A,LEFT($D$1146,FIND("|",$D$1146&amp;"|")-1),Actuals!$E:$E,MID($D$1146,FIND("|",$D$1146&amp;"|")+1,50),Actuals!$F:$F,"USD")*$F$5+SUMIFS(Actuals!$G:$G,Actuals!$B:$B,$C$3,Actuals!$C:$C,6,Actuals!$D:$D,$B$1146,Actuals!$A:$A,LEFT($D$1146,FIND("|",$D$1146&amp;"|")-1),Actuals!$E:$E,MID($D$1146,FIND("|",$D$1146&amp;"|")+1,50),Actuals!$F:$F,"EUR")*$G$5+SUMIFS(Actuals!$G:$G,Actuals!$B:$B,$C$3,Actuals!$C:$C,6,Actuals!$D:$D,$B$1146,Actuals!$A:$A,LEFT($D$1146,FIND("|",$D$1146&amp;"|")-1),Actuals!$E:$E,MID($D$1146,FIND("|",$D$1146&amp;"|")+1,50),Actuals!$F:$F,"GBP")*$H$5)</f>
        <v/>
      </c>
      <c r="N1147" s="18">
        <f>IF(OR($B$1146="",7&gt;$C$4),"",SUMIFS(Actuals!$G:$G,Actuals!$B:$B,$C$3,Actuals!$C:$C,7,Actuals!$D:$D,$B$1146,Actuals!$A:$A,LEFT($D$1146,FIND("|",$D$1146&amp;"|")-1),Actuals!$E:$E,MID($D$1146,FIND("|",$D$1146&amp;"|")+1,50),Actuals!$F:$F,"JPY")*$E$5+SUMIFS(Actuals!$G:$G,Actuals!$B:$B,$C$3,Actuals!$C:$C,7,Actuals!$D:$D,$B$1146,Actuals!$A:$A,LEFT($D$1146,FIND("|",$D$1146&amp;"|")-1),Actuals!$E:$E,MID($D$1146,FIND("|",$D$1146&amp;"|")+1,50),Actuals!$F:$F,"USD")*$F$5+SUMIFS(Actuals!$G:$G,Actuals!$B:$B,$C$3,Actuals!$C:$C,7,Actuals!$D:$D,$B$1146,Actuals!$A:$A,LEFT($D$1146,FIND("|",$D$1146&amp;"|")-1),Actuals!$E:$E,MID($D$1146,FIND("|",$D$1146&amp;"|")+1,50),Actuals!$F:$F,"EUR")*$G$5+SUMIFS(Actuals!$G:$G,Actuals!$B:$B,$C$3,Actuals!$C:$C,7,Actuals!$D:$D,$B$1146,Actuals!$A:$A,LEFT($D$1146,FIND("|",$D$1146&amp;"|")-1),Actuals!$E:$E,MID($D$1146,FIND("|",$D$1146&amp;"|")+1,50),Actuals!$F:$F,"GBP")*$H$5)</f>
        <v/>
      </c>
      <c r="O1147" s="18">
        <f>IF(OR($B$1146="",8&gt;$C$4),"",SUMIFS(Actuals!$G:$G,Actuals!$B:$B,$C$3,Actuals!$C:$C,8,Actuals!$D:$D,$B$1146,Actuals!$A:$A,LEFT($D$1146,FIND("|",$D$1146&amp;"|")-1),Actuals!$E:$E,MID($D$1146,FIND("|",$D$1146&amp;"|")+1,50),Actuals!$F:$F,"JPY")*$E$5+SUMIFS(Actuals!$G:$G,Actuals!$B:$B,$C$3,Actuals!$C:$C,8,Actuals!$D:$D,$B$1146,Actuals!$A:$A,LEFT($D$1146,FIND("|",$D$1146&amp;"|")-1),Actuals!$E:$E,MID($D$1146,FIND("|",$D$1146&amp;"|")+1,50),Actuals!$F:$F,"USD")*$F$5+SUMIFS(Actuals!$G:$G,Actuals!$B:$B,$C$3,Actuals!$C:$C,8,Actuals!$D:$D,$B$1146,Actuals!$A:$A,LEFT($D$1146,FIND("|",$D$1146&amp;"|")-1),Actuals!$E:$E,MID($D$1146,FIND("|",$D$1146&amp;"|")+1,50),Actuals!$F:$F,"EUR")*$G$5+SUMIFS(Actuals!$G:$G,Actuals!$B:$B,$C$3,Actuals!$C:$C,8,Actuals!$D:$D,$B$1146,Actuals!$A:$A,LEFT($D$1146,FIND("|",$D$1146&amp;"|")-1),Actuals!$E:$E,MID($D$1146,FIND("|",$D$1146&amp;"|")+1,50),Actuals!$F:$F,"GBP")*$H$5)</f>
        <v/>
      </c>
      <c r="P1147" s="18">
        <f>IF(OR($B$1146="",9&gt;$C$4),"",SUMIFS(Actuals!$G:$G,Actuals!$B:$B,$C$3,Actuals!$C:$C,9,Actuals!$D:$D,$B$1146,Actuals!$A:$A,LEFT($D$1146,FIND("|",$D$1146&amp;"|")-1),Actuals!$E:$E,MID($D$1146,FIND("|",$D$1146&amp;"|")+1,50),Actuals!$F:$F,"JPY")*$E$5+SUMIFS(Actuals!$G:$G,Actuals!$B:$B,$C$3,Actuals!$C:$C,9,Actuals!$D:$D,$B$1146,Actuals!$A:$A,LEFT($D$1146,FIND("|",$D$1146&amp;"|")-1),Actuals!$E:$E,MID($D$1146,FIND("|",$D$1146&amp;"|")+1,50),Actuals!$F:$F,"USD")*$F$5+SUMIFS(Actuals!$G:$G,Actuals!$B:$B,$C$3,Actuals!$C:$C,9,Actuals!$D:$D,$B$1146,Actuals!$A:$A,LEFT($D$1146,FIND("|",$D$1146&amp;"|")-1),Actuals!$E:$E,MID($D$1146,FIND("|",$D$1146&amp;"|")+1,50),Actuals!$F:$F,"EUR")*$G$5+SUMIFS(Actuals!$G:$G,Actuals!$B:$B,$C$3,Actuals!$C:$C,9,Actuals!$D:$D,$B$1146,Actuals!$A:$A,LEFT($D$1146,FIND("|",$D$1146&amp;"|")-1),Actuals!$E:$E,MID($D$1146,FIND("|",$D$1146&amp;"|")+1,50),Actuals!$F:$F,"GBP")*$H$5)</f>
        <v/>
      </c>
      <c r="Q1147" s="18">
        <f>IF(OR($B$1146="",10&gt;$C$4),"",SUMIFS(Actuals!$G:$G,Actuals!$B:$B,$C$3,Actuals!$C:$C,10,Actuals!$D:$D,$B$1146,Actuals!$A:$A,LEFT($D$1146,FIND("|",$D$1146&amp;"|")-1),Actuals!$E:$E,MID($D$1146,FIND("|",$D$1146&amp;"|")+1,50),Actuals!$F:$F,"JPY")*$E$5+SUMIFS(Actuals!$G:$G,Actuals!$B:$B,$C$3,Actuals!$C:$C,10,Actuals!$D:$D,$B$1146,Actuals!$A:$A,LEFT($D$1146,FIND("|",$D$1146&amp;"|")-1),Actuals!$E:$E,MID($D$1146,FIND("|",$D$1146&amp;"|")+1,50),Actuals!$F:$F,"USD")*$F$5+SUMIFS(Actuals!$G:$G,Actuals!$B:$B,$C$3,Actuals!$C:$C,10,Actuals!$D:$D,$B$1146,Actuals!$A:$A,LEFT($D$1146,FIND("|",$D$1146&amp;"|")-1),Actuals!$E:$E,MID($D$1146,FIND("|",$D$1146&amp;"|")+1,50),Actuals!$F:$F,"EUR")*$G$5+SUMIFS(Actuals!$G:$G,Actuals!$B:$B,$C$3,Actuals!$C:$C,10,Actuals!$D:$D,$B$1146,Actuals!$A:$A,LEFT($D$1146,FIND("|",$D$1146&amp;"|")-1),Actuals!$E:$E,MID($D$1146,FIND("|",$D$1146&amp;"|")+1,50),Actuals!$F:$F,"GBP")*$H$5)</f>
        <v/>
      </c>
      <c r="R1147" s="18">
        <f>IF(OR($B$1146="",11&gt;$C$4),"",SUMIFS(Actuals!$G:$G,Actuals!$B:$B,$C$3,Actuals!$C:$C,11,Actuals!$D:$D,$B$1146,Actuals!$A:$A,LEFT($D$1146,FIND("|",$D$1146&amp;"|")-1),Actuals!$E:$E,MID($D$1146,FIND("|",$D$1146&amp;"|")+1,50),Actuals!$F:$F,"JPY")*$E$5+SUMIFS(Actuals!$G:$G,Actuals!$B:$B,$C$3,Actuals!$C:$C,11,Actuals!$D:$D,$B$1146,Actuals!$A:$A,LEFT($D$1146,FIND("|",$D$1146&amp;"|")-1),Actuals!$E:$E,MID($D$1146,FIND("|",$D$1146&amp;"|")+1,50),Actuals!$F:$F,"USD")*$F$5+SUMIFS(Actuals!$G:$G,Actuals!$B:$B,$C$3,Actuals!$C:$C,11,Actuals!$D:$D,$B$1146,Actuals!$A:$A,LEFT($D$1146,FIND("|",$D$1146&amp;"|")-1),Actuals!$E:$E,MID($D$1146,FIND("|",$D$1146&amp;"|")+1,50),Actuals!$F:$F,"EUR")*$G$5+SUMIFS(Actuals!$G:$G,Actuals!$B:$B,$C$3,Actuals!$C:$C,11,Actuals!$D:$D,$B$1146,Actuals!$A:$A,LEFT($D$1146,FIND("|",$D$1146&amp;"|")-1),Actuals!$E:$E,MID($D$1146,FIND("|",$D$1146&amp;"|")+1,50),Actuals!$F:$F,"GBP")*$H$5)</f>
        <v/>
      </c>
      <c r="S1147" s="18">
        <f>IF(OR($B$1146="",12&gt;$C$4),"",SUMIFS(Actuals!$G:$G,Actuals!$B:$B,$C$3,Actuals!$C:$C,12,Actuals!$D:$D,$B$1146,Actuals!$A:$A,LEFT($D$1146,FIND("|",$D$1146&amp;"|")-1),Actuals!$E:$E,MID($D$1146,FIND("|",$D$1146&amp;"|")+1,50),Actuals!$F:$F,"JPY")*$E$5+SUMIFS(Actuals!$G:$G,Actuals!$B:$B,$C$3,Actuals!$C:$C,12,Actuals!$D:$D,$B$1146,Actuals!$A:$A,LEFT($D$1146,FIND("|",$D$1146&amp;"|")-1),Actuals!$E:$E,MID($D$1146,FIND("|",$D$1146&amp;"|")+1,50),Actuals!$F:$F,"USD")*$F$5+SUMIFS(Actuals!$G:$G,Actuals!$B:$B,$C$3,Actuals!$C:$C,12,Actuals!$D:$D,$B$1146,Actuals!$A:$A,LEFT($D$1146,FIND("|",$D$1146&amp;"|")-1),Actuals!$E:$E,MID($D$1146,FIND("|",$D$1146&amp;"|")+1,50),Actuals!$F:$F,"EUR")*$G$5+SUMIFS(Actuals!$G:$G,Actuals!$B:$B,$C$3,Actuals!$C:$C,12,Actuals!$D:$D,$B$1146,Actuals!$A:$A,LEFT($D$1146,FIND("|",$D$1146&amp;"|")-1),Actuals!$E:$E,MID($D$1146,FIND("|",$D$1146&amp;"|")+1,50),Actuals!$F:$F,"GBP")*$H$5)</f>
        <v/>
      </c>
      <c r="T1147" s="18">
        <f>IF($B$1146="","",SUMIF($H$7:$S$7,"&lt;="&amp;$C$4,$H1147:$S1147))</f>
        <v/>
      </c>
      <c r="U1147" s="18" t="n"/>
      <c r="V1147" s="18" t="n"/>
      <c r="X1147" s="22">
        <f>IF($B1147="","",IFERROR(INDEX(Cost_Centers!$E:$E,MATCH($B1147,Cost_Centers!$A:$A,0)),"(unknown)"))</f>
        <v/>
      </c>
      <c r="Y1147" s="22">
        <f>IF($B1147="","",IFERROR(INDEX(Cost_Centers!$D:$D,MATCH($B1147,Cost_Centers!$A:$A,0)),"(unknown)"))</f>
        <v/>
      </c>
      <c r="Z1147" s="22">
        <f>IF(OR($B1147="",$G1147&lt;&gt;"Variance vs Budget"),"",ABS(N($V1147))+ROW()/1000000000)</f>
        <v/>
      </c>
    </row>
    <row r="1148">
      <c r="A1148" s="13">
        <f>IF(A$1146="","",A$1146)</f>
        <v/>
      </c>
      <c r="B1148" s="13">
        <f>IF(B$1146="","",B$1146)</f>
        <v/>
      </c>
      <c r="C1148" s="13">
        <f>IF(C$1146="","",C$1146)</f>
        <v/>
      </c>
      <c r="D1148" s="13">
        <f>IF(D$1146="","",D$1146)</f>
        <v/>
      </c>
      <c r="E1148" s="13">
        <f>IF(E$1146="","",E$1146)</f>
        <v/>
      </c>
      <c r="F1148" s="13">
        <f>IF(F$1146="","",F$1146)</f>
        <v/>
      </c>
      <c r="G1148" s="6" t="inlineStr">
        <is>
          <t>Variance vs Budget</t>
        </is>
      </c>
      <c r="H1148" s="33">
        <f>IF(OR($B$1146="",1&gt;$C$4),"",N(H1147)-H1146)</f>
        <v/>
      </c>
      <c r="I1148" s="33">
        <f>IF(OR($B$1146="",2&gt;$C$4),"",N(I1147)-I1146)</f>
        <v/>
      </c>
      <c r="J1148" s="33">
        <f>IF(OR($B$1146="",3&gt;$C$4),"",N(J1147)-J1146)</f>
        <v/>
      </c>
      <c r="K1148" s="33">
        <f>IF(OR($B$1146="",4&gt;$C$4),"",N(K1147)-K1146)</f>
        <v/>
      </c>
      <c r="L1148" s="33">
        <f>IF(OR($B$1146="",5&gt;$C$4),"",N(L1147)-L1146)</f>
        <v/>
      </c>
      <c r="M1148" s="33">
        <f>IF(OR($B$1146="",6&gt;$C$4),"",N(M1147)-M1146)</f>
        <v/>
      </c>
      <c r="N1148" s="33">
        <f>IF(OR($B$1146="",7&gt;$C$4),"",N(N1147)-N1146)</f>
        <v/>
      </c>
      <c r="O1148" s="33">
        <f>IF(OR($B$1146="",8&gt;$C$4),"",N(O1147)-O1146)</f>
        <v/>
      </c>
      <c r="P1148" s="33">
        <f>IF(OR($B$1146="",9&gt;$C$4),"",N(P1147)-P1146)</f>
        <v/>
      </c>
      <c r="Q1148" s="33">
        <f>IF(OR($B$1146="",10&gt;$C$4),"",N(Q1147)-Q1146)</f>
        <v/>
      </c>
      <c r="R1148" s="33">
        <f>IF(OR($B$1146="",11&gt;$C$4),"",N(R1147)-R1146)</f>
        <v/>
      </c>
      <c r="S1148" s="33">
        <f>IF(OR($B$1146="",12&gt;$C$4),"",N(S1147)-S1146)</f>
        <v/>
      </c>
      <c r="T1148" s="33">
        <f>IF($B$1146="","",T1147-T1146)</f>
        <v/>
      </c>
      <c r="U1148" s="33">
        <f>IF($B$1146="","",U1150-U1146)</f>
        <v/>
      </c>
      <c r="V1148" s="33">
        <f>IF($B$1146="","",V1150-V1146)</f>
        <v/>
      </c>
      <c r="X1148" s="22">
        <f>IF($B1148="","",IFERROR(INDEX(Cost_Centers!$E:$E,MATCH($B1148,Cost_Centers!$A:$A,0)),"(unknown)"))</f>
        <v/>
      </c>
      <c r="Y1148" s="22">
        <f>IF($B1148="","",IFERROR(INDEX(Cost_Centers!$D:$D,MATCH($B1148,Cost_Centers!$A:$A,0)),"(unknown)"))</f>
        <v/>
      </c>
      <c r="Z1148" s="22">
        <f>IF(OR($B1148="",$G1148&lt;&gt;"Variance vs Budget"),"",ABS(N($V1148))+ROW()/1000000000)</f>
        <v/>
      </c>
    </row>
    <row r="1149">
      <c r="A1149" s="13">
        <f>IF(A$1146="","",A$1146)</f>
        <v/>
      </c>
      <c r="B1149" s="13">
        <f>IF(B$1146="","",B$1146)</f>
        <v/>
      </c>
      <c r="C1149" s="13">
        <f>IF(C$1146="","",C$1146)</f>
        <v/>
      </c>
      <c r="D1149" s="13">
        <f>IF(D$1146="","",D$1146)</f>
        <v/>
      </c>
      <c r="E1149" s="13">
        <f>IF(E$1146="","",E$1146)</f>
        <v/>
      </c>
      <c r="F1149" s="13">
        <f>IF(F$1146="","",F$1146)</f>
        <v/>
      </c>
      <c r="G1149" s="7" t="inlineStr">
        <is>
          <t>Forecast (input)</t>
        </is>
      </c>
      <c r="H1149" s="34" t="n"/>
      <c r="I1149" s="34" t="n"/>
      <c r="J1149" s="34" t="n"/>
      <c r="K1149" s="34" t="n"/>
      <c r="L1149" s="34" t="n"/>
      <c r="M1149" s="34" t="n"/>
      <c r="N1149" s="34" t="n"/>
      <c r="O1149" s="34" t="n"/>
      <c r="P1149" s="34" t="n"/>
      <c r="Q1149" s="34" t="n"/>
      <c r="R1149" s="34" t="n"/>
      <c r="S1149" s="34" t="n"/>
      <c r="T1149" s="18" t="n"/>
      <c r="U1149" s="18" t="n"/>
      <c r="V1149" s="18" t="n"/>
      <c r="X1149" s="22">
        <f>IF($B1149="","",IFERROR(INDEX(Cost_Centers!$E:$E,MATCH($B1149,Cost_Centers!$A:$A,0)),"(unknown)"))</f>
        <v/>
      </c>
      <c r="Y1149" s="22">
        <f>IF($B1149="","",IFERROR(INDEX(Cost_Centers!$D:$D,MATCH($B1149,Cost_Centers!$A:$A,0)),"(unknown)"))</f>
        <v/>
      </c>
      <c r="Z1149" s="22">
        <f>IF(OR($B1149="",$G1149&lt;&gt;"Variance vs Budget"),"",ABS(N($V1149))+ROW()/1000000000)</f>
        <v/>
      </c>
    </row>
    <row r="1150">
      <c r="A1150" s="13">
        <f>IF(A$1146="","",A$1146)</f>
        <v/>
      </c>
      <c r="B1150" s="13">
        <f>IF(B$1146="","",B$1146)</f>
        <v/>
      </c>
      <c r="C1150" s="13">
        <f>IF(C$1146="","",C$1146)</f>
        <v/>
      </c>
      <c r="D1150" s="13">
        <f>IF(D$1146="","",D$1146)</f>
        <v/>
      </c>
      <c r="E1150" s="13">
        <f>IF(E$1146="","",E$1146)</f>
        <v/>
      </c>
      <c r="F1150" s="13">
        <f>IF(F$1146="","",F$1146)</f>
        <v/>
      </c>
      <c r="G1150" s="35" t="inlineStr">
        <is>
          <t>Actual + Forecast</t>
        </is>
      </c>
      <c r="H1150" s="18">
        <f>IF($B$1146="","",IF(1&lt;=$C$4,N(H1147),IF(H1149="",H1146,H1149)))</f>
        <v/>
      </c>
      <c r="I1150" s="18">
        <f>IF($B$1146="","",IF(2&lt;=$C$4,N(I1147),IF(I1149="",I1146,I1149)))</f>
        <v/>
      </c>
      <c r="J1150" s="18">
        <f>IF($B$1146="","",IF(3&lt;=$C$4,N(J1147),IF(J1149="",J1146,J1149)))</f>
        <v/>
      </c>
      <c r="K1150" s="18">
        <f>IF($B$1146="","",IF(4&lt;=$C$4,N(K1147),IF(K1149="",K1146,K1149)))</f>
        <v/>
      </c>
      <c r="L1150" s="18">
        <f>IF($B$1146="","",IF(5&lt;=$C$4,N(L1147),IF(L1149="",L1146,L1149)))</f>
        <v/>
      </c>
      <c r="M1150" s="18">
        <f>IF($B$1146="","",IF(6&lt;=$C$4,N(M1147),IF(M1149="",M1146,M1149)))</f>
        <v/>
      </c>
      <c r="N1150" s="18">
        <f>IF($B$1146="","",IF(7&lt;=$C$4,N(N1147),IF(N1149="",N1146,N1149)))</f>
        <v/>
      </c>
      <c r="O1150" s="18">
        <f>IF($B$1146="","",IF(8&lt;=$C$4,N(O1147),IF(O1149="",O1146,O1149)))</f>
        <v/>
      </c>
      <c r="P1150" s="18">
        <f>IF($B$1146="","",IF(9&lt;=$C$4,N(P1147),IF(P1149="",P1146,P1149)))</f>
        <v/>
      </c>
      <c r="Q1150" s="18">
        <f>IF($B$1146="","",IF(10&lt;=$C$4,N(Q1147),IF(Q1149="",Q1146,Q1149)))</f>
        <v/>
      </c>
      <c r="R1150" s="18">
        <f>IF($B$1146="","",IF(11&lt;=$C$4,N(R1147),IF(R1149="",R1146,R1149)))</f>
        <v/>
      </c>
      <c r="S1150" s="18">
        <f>IF($B$1146="","",IF(12&lt;=$C$4,N(S1147),IF(S1149="",S1146,S1149)))</f>
        <v/>
      </c>
      <c r="T1150" s="18">
        <f>IF($B$1146="","",SUMIF($H$7:$S$7,"&lt;="&amp;$C$4,$H1150:$S1150))</f>
        <v/>
      </c>
      <c r="U1150" s="18">
        <f>IF($B$1146="","",SUMIF($H$7:$S$7,"&gt;"&amp;$C$4,$H1150:$S1150))</f>
        <v/>
      </c>
      <c r="V1150" s="18">
        <f>IF($B$1146="","",SUM($H1150:$S1150))</f>
        <v/>
      </c>
      <c r="X1150" s="22">
        <f>IF($B1150="","",IFERROR(INDEX(Cost_Centers!$E:$E,MATCH($B1150,Cost_Centers!$A:$A,0)),"(unknown)"))</f>
        <v/>
      </c>
      <c r="Y1150" s="22">
        <f>IF($B1150="","",IFERROR(INDEX(Cost_Centers!$D:$D,MATCH($B1150,Cost_Centers!$A:$A,0)),"(unknown)"))</f>
        <v/>
      </c>
      <c r="Z1150" s="22">
        <f>IF(OR($B1150="",$G1150&lt;&gt;"Variance vs Budget"),"",ABS(N($V1150))+ROW()/1000000000)</f>
        <v/>
      </c>
    </row>
    <row r="1151">
      <c r="A1151" s="13">
        <f>IF(A$1146="","",A$1146)</f>
        <v/>
      </c>
      <c r="B1151" s="13">
        <f>IF(B$1146="","",B$1146)</f>
        <v/>
      </c>
      <c r="C1151" s="13">
        <f>IF(C$1146="","",C$1146)</f>
        <v/>
      </c>
      <c r="D1151" s="13">
        <f>IF(D$1146="","",D$1146)</f>
        <v/>
      </c>
      <c r="E1151" s="13">
        <f>IF(E$1146="","",E$1146)</f>
        <v/>
      </c>
      <c r="F1151" s="13">
        <f>IF(F$1146="","",F$1146)</f>
        <v/>
      </c>
      <c r="G1151" s="36" t="inlineStr">
        <is>
          <t>Prior Month Forecast</t>
        </is>
      </c>
      <c r="H1151" s="37">
        <f>IF($B$1146="","",IF(COUNTIFS(Prior_Forecast!$A:$A,$B$1146,Prior_Forecast!$B:$B,$D$1146)&gt;0,SUMIFS(Prior_Forecast!$C:$C,Prior_Forecast!$A:$A,$B$1146,Prior_Forecast!$B:$B,$D$1146),""))</f>
        <v/>
      </c>
      <c r="I1151" s="37">
        <f>IF($B$1146="","",IF(COUNTIFS(Prior_Forecast!$A:$A,$B$1146,Prior_Forecast!$B:$B,$D$1146)&gt;0,SUMIFS(Prior_Forecast!$D:$D,Prior_Forecast!$A:$A,$B$1146,Prior_Forecast!$B:$B,$D$1146),""))</f>
        <v/>
      </c>
      <c r="J1151" s="37">
        <f>IF($B$1146="","",IF(COUNTIFS(Prior_Forecast!$A:$A,$B$1146,Prior_Forecast!$B:$B,$D$1146)&gt;0,SUMIFS(Prior_Forecast!$E:$E,Prior_Forecast!$A:$A,$B$1146,Prior_Forecast!$B:$B,$D$1146),""))</f>
        <v/>
      </c>
      <c r="K1151" s="37">
        <f>IF($B$1146="","",IF(COUNTIFS(Prior_Forecast!$A:$A,$B$1146,Prior_Forecast!$B:$B,$D$1146)&gt;0,SUMIFS(Prior_Forecast!$F:$F,Prior_Forecast!$A:$A,$B$1146,Prior_Forecast!$B:$B,$D$1146),""))</f>
        <v/>
      </c>
      <c r="L1151" s="37">
        <f>IF($B$1146="","",IF(COUNTIFS(Prior_Forecast!$A:$A,$B$1146,Prior_Forecast!$B:$B,$D$1146)&gt;0,SUMIFS(Prior_Forecast!$G:$G,Prior_Forecast!$A:$A,$B$1146,Prior_Forecast!$B:$B,$D$1146),""))</f>
        <v/>
      </c>
      <c r="M1151" s="37">
        <f>IF($B$1146="","",IF(COUNTIFS(Prior_Forecast!$A:$A,$B$1146,Prior_Forecast!$B:$B,$D$1146)&gt;0,SUMIFS(Prior_Forecast!$H:$H,Prior_Forecast!$A:$A,$B$1146,Prior_Forecast!$B:$B,$D$1146),""))</f>
        <v/>
      </c>
      <c r="N1151" s="37">
        <f>IF($B$1146="","",IF(COUNTIFS(Prior_Forecast!$A:$A,$B$1146,Prior_Forecast!$B:$B,$D$1146)&gt;0,SUMIFS(Prior_Forecast!$I:$I,Prior_Forecast!$A:$A,$B$1146,Prior_Forecast!$B:$B,$D$1146),""))</f>
        <v/>
      </c>
      <c r="O1151" s="37">
        <f>IF($B$1146="","",IF(COUNTIFS(Prior_Forecast!$A:$A,$B$1146,Prior_Forecast!$B:$B,$D$1146)&gt;0,SUMIFS(Prior_Forecast!$J:$J,Prior_Forecast!$A:$A,$B$1146,Prior_Forecast!$B:$B,$D$1146),""))</f>
        <v/>
      </c>
      <c r="P1151" s="37">
        <f>IF($B$1146="","",IF(COUNTIFS(Prior_Forecast!$A:$A,$B$1146,Prior_Forecast!$B:$B,$D$1146)&gt;0,SUMIFS(Prior_Forecast!$K:$K,Prior_Forecast!$A:$A,$B$1146,Prior_Forecast!$B:$B,$D$1146),""))</f>
        <v/>
      </c>
      <c r="Q1151" s="37">
        <f>IF($B$1146="","",IF(COUNTIFS(Prior_Forecast!$A:$A,$B$1146,Prior_Forecast!$B:$B,$D$1146)&gt;0,SUMIFS(Prior_Forecast!$L:$L,Prior_Forecast!$A:$A,$B$1146,Prior_Forecast!$B:$B,$D$1146),""))</f>
        <v/>
      </c>
      <c r="R1151" s="37">
        <f>IF($B$1146="","",IF(COUNTIFS(Prior_Forecast!$A:$A,$B$1146,Prior_Forecast!$B:$B,$D$1146)&gt;0,SUMIFS(Prior_Forecast!$M:$M,Prior_Forecast!$A:$A,$B$1146,Prior_Forecast!$B:$B,$D$1146),""))</f>
        <v/>
      </c>
      <c r="S1151" s="37">
        <f>IF($B$1146="","",IF(COUNTIFS(Prior_Forecast!$A:$A,$B$1146,Prior_Forecast!$B:$B,$D$1146)&gt;0,SUMIFS(Prior_Forecast!$N:$N,Prior_Forecast!$A:$A,$B$1146,Prior_Forecast!$B:$B,$D$1146),""))</f>
        <v/>
      </c>
      <c r="T1151" s="37">
        <f>IF($B$1146="","",IF(COUNTIFS(Prior_Forecast!$A:$A,$B$1146,Prior_Forecast!$B:$B,$D$1146)&gt;0,SUMIFS(Prior_Forecast!$O:$O,Prior_Forecast!$A:$A,$B$1146,Prior_Forecast!$B:$B,$D$1146),""))</f>
        <v/>
      </c>
      <c r="U1151" s="37">
        <f>IF($B$1146="","",IF(COUNTIFS(Prior_Forecast!$A:$A,$B$1146,Prior_Forecast!$B:$B,$D$1146)&gt;0,SUMIFS(Prior_Forecast!$P:$P,Prior_Forecast!$A:$A,$B$1146,Prior_Forecast!$B:$B,$D$1146),""))</f>
        <v/>
      </c>
      <c r="V1151" s="37">
        <f>IF($B$1146="","",IF(COUNTIFS(Prior_Forecast!$A:$A,$B$1146,Prior_Forecast!$B:$B,$D$1146)&gt;0,SUMIFS(Prior_Forecast!$Q:$Q,Prior_Forecast!$A:$A,$B$1146,Prior_Forecast!$B:$B,$D$1146),""))</f>
        <v/>
      </c>
      <c r="X1151" s="22">
        <f>IF($B1151="","",IFERROR(INDEX(Cost_Centers!$E:$E,MATCH($B1151,Cost_Centers!$A:$A,0)),"(unknown)"))</f>
        <v/>
      </c>
      <c r="Y1151" s="22">
        <f>IF($B1151="","",IFERROR(INDEX(Cost_Centers!$D:$D,MATCH($B1151,Cost_Centers!$A:$A,0)),"(unknown)"))</f>
        <v/>
      </c>
      <c r="Z1151" s="22">
        <f>IF(OR($B1151="",$G1151&lt;&gt;"Variance vs Budget"),"",ABS(N($V1151))+ROW()/1000000000)</f>
        <v/>
      </c>
    </row>
    <row r="1152">
      <c r="A1152" s="13">
        <f>IF(A$1146="","",A$1146)</f>
        <v/>
      </c>
      <c r="B1152" s="13">
        <f>IF(B$1146="","",B$1146)</f>
        <v/>
      </c>
      <c r="C1152" s="13">
        <f>IF(C$1146="","",C$1146)</f>
        <v/>
      </c>
      <c r="D1152" s="13">
        <f>IF(D$1146="","",D$1146)</f>
        <v/>
      </c>
      <c r="E1152" s="13">
        <f>IF(E$1146="","",E$1146)</f>
        <v/>
      </c>
      <c r="F1152" s="13">
        <f>IF(F$1146="","",F$1146)</f>
        <v/>
      </c>
      <c r="G1152" s="6" t="inlineStr">
        <is>
          <t>Variance vs Prior Month</t>
        </is>
      </c>
      <c r="H1152" s="33">
        <f>IF(OR($B$1146="",H1151=""),"",H1150-H1151)</f>
        <v/>
      </c>
      <c r="I1152" s="33">
        <f>IF(OR($B$1146="",I1151=""),"",I1150-I1151)</f>
        <v/>
      </c>
      <c r="J1152" s="33">
        <f>IF(OR($B$1146="",J1151=""),"",J1150-J1151)</f>
        <v/>
      </c>
      <c r="K1152" s="33">
        <f>IF(OR($B$1146="",K1151=""),"",K1150-K1151)</f>
        <v/>
      </c>
      <c r="L1152" s="33">
        <f>IF(OR($B$1146="",L1151=""),"",L1150-L1151)</f>
        <v/>
      </c>
      <c r="M1152" s="33">
        <f>IF(OR($B$1146="",M1151=""),"",M1150-M1151)</f>
        <v/>
      </c>
      <c r="N1152" s="33">
        <f>IF(OR($B$1146="",N1151=""),"",N1150-N1151)</f>
        <v/>
      </c>
      <c r="O1152" s="33">
        <f>IF(OR($B$1146="",O1151=""),"",O1150-O1151)</f>
        <v/>
      </c>
      <c r="P1152" s="33">
        <f>IF(OR($B$1146="",P1151=""),"",P1150-P1151)</f>
        <v/>
      </c>
      <c r="Q1152" s="33">
        <f>IF(OR($B$1146="",Q1151=""),"",Q1150-Q1151)</f>
        <v/>
      </c>
      <c r="R1152" s="33">
        <f>IF(OR($B$1146="",R1151=""),"",R1150-R1151)</f>
        <v/>
      </c>
      <c r="S1152" s="33">
        <f>IF(OR($B$1146="",S1151=""),"",S1150-S1151)</f>
        <v/>
      </c>
      <c r="T1152" s="33">
        <f>IF(OR($B$1146="",T1151=""),"",T1150-T1151)</f>
        <v/>
      </c>
      <c r="U1152" s="33">
        <f>IF(OR($B$1146="",U1151=""),"",U1150-U1151)</f>
        <v/>
      </c>
      <c r="V1152" s="33">
        <f>IF(OR($B$1146="",V1151=""),"",V1150-V1151)</f>
        <v/>
      </c>
      <c r="X1152" s="22">
        <f>IF($B1152="","",IFERROR(INDEX(Cost_Centers!$E:$E,MATCH($B1152,Cost_Centers!$A:$A,0)),"(unknown)"))</f>
        <v/>
      </c>
      <c r="Y1152" s="22">
        <f>IF($B1152="","",IFERROR(INDEX(Cost_Centers!$D:$D,MATCH($B1152,Cost_Centers!$A:$A,0)),"(unknown)"))</f>
        <v/>
      </c>
      <c r="Z1152" s="22">
        <f>IF(OR($B1152="",$G1152&lt;&gt;"Variance vs Budget"),"",ABS(N($V1152))+ROW()/1000000000)</f>
        <v/>
      </c>
    </row>
    <row r="1153" ht="45" customHeight="1">
      <c r="A1153" s="13">
        <f>IF(A$1146="","",A$1146)</f>
        <v/>
      </c>
      <c r="B1153" s="13">
        <f>IF(B$1146="","",B$1146)</f>
        <v/>
      </c>
      <c r="C1153" s="13">
        <f>IF(C$1146="","",C$1146)</f>
        <v/>
      </c>
      <c r="D1153" s="13">
        <f>IF(D$1146="","",D$1146)</f>
        <v/>
      </c>
      <c r="E1153" s="13">
        <f>IF(E$1146="","",E$1146)</f>
        <v/>
      </c>
      <c r="F1153" s="13">
        <f>IF(F$1146="","",F$1146)</f>
        <v/>
      </c>
      <c r="G1153" s="7" t="inlineStr">
        <is>
          <t>Rationale</t>
        </is>
      </c>
      <c r="H1153" s="38" t="n"/>
      <c r="I1153" s="38" t="n"/>
      <c r="J1153" s="38" t="n"/>
      <c r="K1153" s="38" t="n"/>
      <c r="L1153" s="38" t="n"/>
      <c r="M1153" s="38" t="n"/>
      <c r="N1153" s="38" t="n"/>
      <c r="O1153" s="38" t="n"/>
      <c r="P1153" s="38" t="n"/>
      <c r="Q1153" s="38" t="n"/>
      <c r="R1153" s="38" t="n"/>
      <c r="S1153" s="38" t="n"/>
      <c r="T1153" s="38" t="n"/>
      <c r="U1153" s="38" t="n"/>
      <c r="V1153" s="7" t="n"/>
      <c r="X1153" s="22">
        <f>IF($B1153="","",IFERROR(INDEX(Cost_Centers!$E:$E,MATCH($B1153,Cost_Centers!$A:$A,0)),"(unknown)"))</f>
        <v/>
      </c>
      <c r="Y1153" s="22">
        <f>IF($B1153="","",IFERROR(INDEX(Cost_Centers!$D:$D,MATCH($B1153,Cost_Centers!$A:$A,0)),"(unknown)"))</f>
        <v/>
      </c>
      <c r="Z1153" s="22">
        <f>IF(OR($B1153="",$G1153&lt;&gt;"Variance vs Budget"),"",ABS(N($V1153))+ROW()/1000000000)</f>
        <v/>
      </c>
    </row>
    <row r="1154">
      <c r="A1154" s="30">
        <f>IF($D$1154="","",LEFT($D$1154,FIND("|",$D$1154&amp;"|")-1))</f>
        <v/>
      </c>
      <c r="B1154" s="31" t="n"/>
      <c r="C1154" s="30">
        <f>IF($B$1154="","",IFERROR(INDEX(Cost_Centers!$B:$B,MATCH($B$1154,Cost_Centers!$A:$A,0)),"(not in master)"))</f>
        <v/>
      </c>
      <c r="D1154" s="31" t="n"/>
      <c r="E1154" s="30">
        <f>IF($D$1154="","",IFERROR(INDEX(Accounts!$D:$D,MATCH($D$1154,Accounts!$A:$A,0)),"(not in master)"))</f>
        <v/>
      </c>
      <c r="F1154" s="31" t="n"/>
      <c r="G1154" s="30" t="inlineStr">
        <is>
          <t>Budget</t>
        </is>
      </c>
      <c r="H1154" s="32">
        <f>IF($B$1154="","",SUMIFS(Opex_Budget!$O:$O,Opex_Budget!$A:$A,$C$3,Opex_Budget!$E:$E,$B$1154,Opex_Budget!$F:$F,$D$1154,Opex_Budget!$N:$N,"JPY")*$E$5+SUMIFS(Opex_Budget!$O:$O,Opex_Budget!$A:$A,$C$3,Opex_Budget!$E:$E,$B$1154,Opex_Budget!$F:$F,$D$1154,Opex_Budget!$N:$N,"USD")*$F$5+SUMIFS(Opex_Budget!$O:$O,Opex_Budget!$A:$A,$C$3,Opex_Budget!$E:$E,$B$1154,Opex_Budget!$F:$F,$D$1154,Opex_Budget!$N:$N,"EUR")*$G$5+SUMIFS(Opex_Budget!$O:$O,Opex_Budget!$A:$A,$C$3,Opex_Budget!$E:$E,$B$1154,Opex_Budget!$F:$F,$D$1154,Opex_Budget!$N:$N,"GBP")*$H$5)</f>
        <v/>
      </c>
      <c r="I1154" s="32">
        <f>IF($B$1154="","",SUMIFS(Opex_Budget!$P:$P,Opex_Budget!$A:$A,$C$3,Opex_Budget!$E:$E,$B$1154,Opex_Budget!$F:$F,$D$1154,Opex_Budget!$N:$N,"JPY")*$E$5+SUMIFS(Opex_Budget!$P:$P,Opex_Budget!$A:$A,$C$3,Opex_Budget!$E:$E,$B$1154,Opex_Budget!$F:$F,$D$1154,Opex_Budget!$N:$N,"USD")*$F$5+SUMIFS(Opex_Budget!$P:$P,Opex_Budget!$A:$A,$C$3,Opex_Budget!$E:$E,$B$1154,Opex_Budget!$F:$F,$D$1154,Opex_Budget!$N:$N,"EUR")*$G$5+SUMIFS(Opex_Budget!$P:$P,Opex_Budget!$A:$A,$C$3,Opex_Budget!$E:$E,$B$1154,Opex_Budget!$F:$F,$D$1154,Opex_Budget!$N:$N,"GBP")*$H$5)</f>
        <v/>
      </c>
      <c r="J1154" s="32">
        <f>IF($B$1154="","",SUMIFS(Opex_Budget!$Q:$Q,Opex_Budget!$A:$A,$C$3,Opex_Budget!$E:$E,$B$1154,Opex_Budget!$F:$F,$D$1154,Opex_Budget!$N:$N,"JPY")*$E$5+SUMIFS(Opex_Budget!$Q:$Q,Opex_Budget!$A:$A,$C$3,Opex_Budget!$E:$E,$B$1154,Opex_Budget!$F:$F,$D$1154,Opex_Budget!$N:$N,"USD")*$F$5+SUMIFS(Opex_Budget!$Q:$Q,Opex_Budget!$A:$A,$C$3,Opex_Budget!$E:$E,$B$1154,Opex_Budget!$F:$F,$D$1154,Opex_Budget!$N:$N,"EUR")*$G$5+SUMIFS(Opex_Budget!$Q:$Q,Opex_Budget!$A:$A,$C$3,Opex_Budget!$E:$E,$B$1154,Opex_Budget!$F:$F,$D$1154,Opex_Budget!$N:$N,"GBP")*$H$5)</f>
        <v/>
      </c>
      <c r="K1154" s="32">
        <f>IF($B$1154="","",SUMIFS(Opex_Budget!$R:$R,Opex_Budget!$A:$A,$C$3,Opex_Budget!$E:$E,$B$1154,Opex_Budget!$F:$F,$D$1154,Opex_Budget!$N:$N,"JPY")*$E$5+SUMIFS(Opex_Budget!$R:$R,Opex_Budget!$A:$A,$C$3,Opex_Budget!$E:$E,$B$1154,Opex_Budget!$F:$F,$D$1154,Opex_Budget!$N:$N,"USD")*$F$5+SUMIFS(Opex_Budget!$R:$R,Opex_Budget!$A:$A,$C$3,Opex_Budget!$E:$E,$B$1154,Opex_Budget!$F:$F,$D$1154,Opex_Budget!$N:$N,"EUR")*$G$5+SUMIFS(Opex_Budget!$R:$R,Opex_Budget!$A:$A,$C$3,Opex_Budget!$E:$E,$B$1154,Opex_Budget!$F:$F,$D$1154,Opex_Budget!$N:$N,"GBP")*$H$5)</f>
        <v/>
      </c>
      <c r="L1154" s="32">
        <f>IF($B$1154="","",SUMIFS(Opex_Budget!$S:$S,Opex_Budget!$A:$A,$C$3,Opex_Budget!$E:$E,$B$1154,Opex_Budget!$F:$F,$D$1154,Opex_Budget!$N:$N,"JPY")*$E$5+SUMIFS(Opex_Budget!$S:$S,Opex_Budget!$A:$A,$C$3,Opex_Budget!$E:$E,$B$1154,Opex_Budget!$F:$F,$D$1154,Opex_Budget!$N:$N,"USD")*$F$5+SUMIFS(Opex_Budget!$S:$S,Opex_Budget!$A:$A,$C$3,Opex_Budget!$E:$E,$B$1154,Opex_Budget!$F:$F,$D$1154,Opex_Budget!$N:$N,"EUR")*$G$5+SUMIFS(Opex_Budget!$S:$S,Opex_Budget!$A:$A,$C$3,Opex_Budget!$E:$E,$B$1154,Opex_Budget!$F:$F,$D$1154,Opex_Budget!$N:$N,"GBP")*$H$5)</f>
        <v/>
      </c>
      <c r="M1154" s="32">
        <f>IF($B$1154="","",SUMIFS(Opex_Budget!$T:$T,Opex_Budget!$A:$A,$C$3,Opex_Budget!$E:$E,$B$1154,Opex_Budget!$F:$F,$D$1154,Opex_Budget!$N:$N,"JPY")*$E$5+SUMIFS(Opex_Budget!$T:$T,Opex_Budget!$A:$A,$C$3,Opex_Budget!$E:$E,$B$1154,Opex_Budget!$F:$F,$D$1154,Opex_Budget!$N:$N,"USD")*$F$5+SUMIFS(Opex_Budget!$T:$T,Opex_Budget!$A:$A,$C$3,Opex_Budget!$E:$E,$B$1154,Opex_Budget!$F:$F,$D$1154,Opex_Budget!$N:$N,"EUR")*$G$5+SUMIFS(Opex_Budget!$T:$T,Opex_Budget!$A:$A,$C$3,Opex_Budget!$E:$E,$B$1154,Opex_Budget!$F:$F,$D$1154,Opex_Budget!$N:$N,"GBP")*$H$5)</f>
        <v/>
      </c>
      <c r="N1154" s="32">
        <f>IF($B$1154="","",SUMIFS(Opex_Budget!$U:$U,Opex_Budget!$A:$A,$C$3,Opex_Budget!$E:$E,$B$1154,Opex_Budget!$F:$F,$D$1154,Opex_Budget!$N:$N,"JPY")*$E$5+SUMIFS(Opex_Budget!$U:$U,Opex_Budget!$A:$A,$C$3,Opex_Budget!$E:$E,$B$1154,Opex_Budget!$F:$F,$D$1154,Opex_Budget!$N:$N,"USD")*$F$5+SUMIFS(Opex_Budget!$U:$U,Opex_Budget!$A:$A,$C$3,Opex_Budget!$E:$E,$B$1154,Opex_Budget!$F:$F,$D$1154,Opex_Budget!$N:$N,"EUR")*$G$5+SUMIFS(Opex_Budget!$U:$U,Opex_Budget!$A:$A,$C$3,Opex_Budget!$E:$E,$B$1154,Opex_Budget!$F:$F,$D$1154,Opex_Budget!$N:$N,"GBP")*$H$5)</f>
        <v/>
      </c>
      <c r="O1154" s="32">
        <f>IF($B$1154="","",SUMIFS(Opex_Budget!$V:$V,Opex_Budget!$A:$A,$C$3,Opex_Budget!$E:$E,$B$1154,Opex_Budget!$F:$F,$D$1154,Opex_Budget!$N:$N,"JPY")*$E$5+SUMIFS(Opex_Budget!$V:$V,Opex_Budget!$A:$A,$C$3,Opex_Budget!$E:$E,$B$1154,Opex_Budget!$F:$F,$D$1154,Opex_Budget!$N:$N,"USD")*$F$5+SUMIFS(Opex_Budget!$V:$V,Opex_Budget!$A:$A,$C$3,Opex_Budget!$E:$E,$B$1154,Opex_Budget!$F:$F,$D$1154,Opex_Budget!$N:$N,"EUR")*$G$5+SUMIFS(Opex_Budget!$V:$V,Opex_Budget!$A:$A,$C$3,Opex_Budget!$E:$E,$B$1154,Opex_Budget!$F:$F,$D$1154,Opex_Budget!$N:$N,"GBP")*$H$5)</f>
        <v/>
      </c>
      <c r="P1154" s="32">
        <f>IF($B$1154="","",SUMIFS(Opex_Budget!$W:$W,Opex_Budget!$A:$A,$C$3,Opex_Budget!$E:$E,$B$1154,Opex_Budget!$F:$F,$D$1154,Opex_Budget!$N:$N,"JPY")*$E$5+SUMIFS(Opex_Budget!$W:$W,Opex_Budget!$A:$A,$C$3,Opex_Budget!$E:$E,$B$1154,Opex_Budget!$F:$F,$D$1154,Opex_Budget!$N:$N,"USD")*$F$5+SUMIFS(Opex_Budget!$W:$W,Opex_Budget!$A:$A,$C$3,Opex_Budget!$E:$E,$B$1154,Opex_Budget!$F:$F,$D$1154,Opex_Budget!$N:$N,"EUR")*$G$5+SUMIFS(Opex_Budget!$W:$W,Opex_Budget!$A:$A,$C$3,Opex_Budget!$E:$E,$B$1154,Opex_Budget!$F:$F,$D$1154,Opex_Budget!$N:$N,"GBP")*$H$5)</f>
        <v/>
      </c>
      <c r="Q1154" s="32">
        <f>IF($B$1154="","",SUMIFS(Opex_Budget!$X:$X,Opex_Budget!$A:$A,$C$3,Opex_Budget!$E:$E,$B$1154,Opex_Budget!$F:$F,$D$1154,Opex_Budget!$N:$N,"JPY")*$E$5+SUMIFS(Opex_Budget!$X:$X,Opex_Budget!$A:$A,$C$3,Opex_Budget!$E:$E,$B$1154,Opex_Budget!$F:$F,$D$1154,Opex_Budget!$N:$N,"USD")*$F$5+SUMIFS(Opex_Budget!$X:$X,Opex_Budget!$A:$A,$C$3,Opex_Budget!$E:$E,$B$1154,Opex_Budget!$F:$F,$D$1154,Opex_Budget!$N:$N,"EUR")*$G$5+SUMIFS(Opex_Budget!$X:$X,Opex_Budget!$A:$A,$C$3,Opex_Budget!$E:$E,$B$1154,Opex_Budget!$F:$F,$D$1154,Opex_Budget!$N:$N,"GBP")*$H$5)</f>
        <v/>
      </c>
      <c r="R1154" s="32">
        <f>IF($B$1154="","",SUMIFS(Opex_Budget!$Y:$Y,Opex_Budget!$A:$A,$C$3,Opex_Budget!$E:$E,$B$1154,Opex_Budget!$F:$F,$D$1154,Opex_Budget!$N:$N,"JPY")*$E$5+SUMIFS(Opex_Budget!$Y:$Y,Opex_Budget!$A:$A,$C$3,Opex_Budget!$E:$E,$B$1154,Opex_Budget!$F:$F,$D$1154,Opex_Budget!$N:$N,"USD")*$F$5+SUMIFS(Opex_Budget!$Y:$Y,Opex_Budget!$A:$A,$C$3,Opex_Budget!$E:$E,$B$1154,Opex_Budget!$F:$F,$D$1154,Opex_Budget!$N:$N,"EUR")*$G$5+SUMIFS(Opex_Budget!$Y:$Y,Opex_Budget!$A:$A,$C$3,Opex_Budget!$E:$E,$B$1154,Opex_Budget!$F:$F,$D$1154,Opex_Budget!$N:$N,"GBP")*$H$5)</f>
        <v/>
      </c>
      <c r="S1154" s="32">
        <f>IF($B$1154="","",SUMIFS(Opex_Budget!$Z:$Z,Opex_Budget!$A:$A,$C$3,Opex_Budget!$E:$E,$B$1154,Opex_Budget!$F:$F,$D$1154,Opex_Budget!$N:$N,"JPY")*$E$5+SUMIFS(Opex_Budget!$Z:$Z,Opex_Budget!$A:$A,$C$3,Opex_Budget!$E:$E,$B$1154,Opex_Budget!$F:$F,$D$1154,Opex_Budget!$N:$N,"USD")*$F$5+SUMIFS(Opex_Budget!$Z:$Z,Opex_Budget!$A:$A,$C$3,Opex_Budget!$E:$E,$B$1154,Opex_Budget!$F:$F,$D$1154,Opex_Budget!$N:$N,"EUR")*$G$5+SUMIFS(Opex_Budget!$Z:$Z,Opex_Budget!$A:$A,$C$3,Opex_Budget!$E:$E,$B$1154,Opex_Budget!$F:$F,$D$1154,Opex_Budget!$N:$N,"GBP")*$H$5)</f>
        <v/>
      </c>
      <c r="T1154" s="32">
        <f>IF($B$1154="","",SUMIF($H$7:$S$7,"&lt;="&amp;$C$4,$H1154:$S1154))</f>
        <v/>
      </c>
      <c r="U1154" s="32">
        <f>IF($B$1154="","",SUMIF($H$7:$S$7,"&gt;"&amp;$C$4,$H1154:$S1154))</f>
        <v/>
      </c>
      <c r="V1154" s="32">
        <f>IF($B$1154="","",SUM($H1154:$S1154))</f>
        <v/>
      </c>
      <c r="X1154" s="22">
        <f>IF($B1154="","",IFERROR(INDEX(Cost_Centers!$E:$E,MATCH($B1154,Cost_Centers!$A:$A,0)),"(unknown)"))</f>
        <v/>
      </c>
      <c r="Y1154" s="22">
        <f>IF($B1154="","",IFERROR(INDEX(Cost_Centers!$D:$D,MATCH($B1154,Cost_Centers!$A:$A,0)),"(unknown)"))</f>
        <v/>
      </c>
      <c r="Z1154" s="22">
        <f>IF(OR($B1154="",$G1154&lt;&gt;"Variance vs Budget"),"",ABS(N($V1154))+ROW()/1000000000)</f>
        <v/>
      </c>
    </row>
    <row r="1155">
      <c r="A1155" s="13">
        <f>IF(A$1154="","",A$1154)</f>
        <v/>
      </c>
      <c r="B1155" s="13">
        <f>IF(B$1154="","",B$1154)</f>
        <v/>
      </c>
      <c r="C1155" s="13">
        <f>IF(C$1154="","",C$1154)</f>
        <v/>
      </c>
      <c r="D1155" s="13">
        <f>IF(D$1154="","",D$1154)</f>
        <v/>
      </c>
      <c r="E1155" s="13">
        <f>IF(E$1154="","",E$1154)</f>
        <v/>
      </c>
      <c r="F1155" s="13">
        <f>IF(F$1154="","",F$1154)</f>
        <v/>
      </c>
      <c r="G1155" s="7" t="inlineStr">
        <is>
          <t>Actual</t>
        </is>
      </c>
      <c r="H1155" s="18">
        <f>IF(OR($B$1154="",1&gt;$C$4),"",SUMIFS(Actuals!$G:$G,Actuals!$B:$B,$C$3,Actuals!$C:$C,1,Actuals!$D:$D,$B$1154,Actuals!$A:$A,LEFT($D$1154,FIND("|",$D$1154&amp;"|")-1),Actuals!$E:$E,MID($D$1154,FIND("|",$D$1154&amp;"|")+1,50),Actuals!$F:$F,"JPY")*$E$5+SUMIFS(Actuals!$G:$G,Actuals!$B:$B,$C$3,Actuals!$C:$C,1,Actuals!$D:$D,$B$1154,Actuals!$A:$A,LEFT($D$1154,FIND("|",$D$1154&amp;"|")-1),Actuals!$E:$E,MID($D$1154,FIND("|",$D$1154&amp;"|")+1,50),Actuals!$F:$F,"USD")*$F$5+SUMIFS(Actuals!$G:$G,Actuals!$B:$B,$C$3,Actuals!$C:$C,1,Actuals!$D:$D,$B$1154,Actuals!$A:$A,LEFT($D$1154,FIND("|",$D$1154&amp;"|")-1),Actuals!$E:$E,MID($D$1154,FIND("|",$D$1154&amp;"|")+1,50),Actuals!$F:$F,"EUR")*$G$5+SUMIFS(Actuals!$G:$G,Actuals!$B:$B,$C$3,Actuals!$C:$C,1,Actuals!$D:$D,$B$1154,Actuals!$A:$A,LEFT($D$1154,FIND("|",$D$1154&amp;"|")-1),Actuals!$E:$E,MID($D$1154,FIND("|",$D$1154&amp;"|")+1,50),Actuals!$F:$F,"GBP")*$H$5)</f>
        <v/>
      </c>
      <c r="I1155" s="18">
        <f>IF(OR($B$1154="",2&gt;$C$4),"",SUMIFS(Actuals!$G:$G,Actuals!$B:$B,$C$3,Actuals!$C:$C,2,Actuals!$D:$D,$B$1154,Actuals!$A:$A,LEFT($D$1154,FIND("|",$D$1154&amp;"|")-1),Actuals!$E:$E,MID($D$1154,FIND("|",$D$1154&amp;"|")+1,50),Actuals!$F:$F,"JPY")*$E$5+SUMIFS(Actuals!$G:$G,Actuals!$B:$B,$C$3,Actuals!$C:$C,2,Actuals!$D:$D,$B$1154,Actuals!$A:$A,LEFT($D$1154,FIND("|",$D$1154&amp;"|")-1),Actuals!$E:$E,MID($D$1154,FIND("|",$D$1154&amp;"|")+1,50),Actuals!$F:$F,"USD")*$F$5+SUMIFS(Actuals!$G:$G,Actuals!$B:$B,$C$3,Actuals!$C:$C,2,Actuals!$D:$D,$B$1154,Actuals!$A:$A,LEFT($D$1154,FIND("|",$D$1154&amp;"|")-1),Actuals!$E:$E,MID($D$1154,FIND("|",$D$1154&amp;"|")+1,50),Actuals!$F:$F,"EUR")*$G$5+SUMIFS(Actuals!$G:$G,Actuals!$B:$B,$C$3,Actuals!$C:$C,2,Actuals!$D:$D,$B$1154,Actuals!$A:$A,LEFT($D$1154,FIND("|",$D$1154&amp;"|")-1),Actuals!$E:$E,MID($D$1154,FIND("|",$D$1154&amp;"|")+1,50),Actuals!$F:$F,"GBP")*$H$5)</f>
        <v/>
      </c>
      <c r="J1155" s="18">
        <f>IF(OR($B$1154="",3&gt;$C$4),"",SUMIFS(Actuals!$G:$G,Actuals!$B:$B,$C$3,Actuals!$C:$C,3,Actuals!$D:$D,$B$1154,Actuals!$A:$A,LEFT($D$1154,FIND("|",$D$1154&amp;"|")-1),Actuals!$E:$E,MID($D$1154,FIND("|",$D$1154&amp;"|")+1,50),Actuals!$F:$F,"JPY")*$E$5+SUMIFS(Actuals!$G:$G,Actuals!$B:$B,$C$3,Actuals!$C:$C,3,Actuals!$D:$D,$B$1154,Actuals!$A:$A,LEFT($D$1154,FIND("|",$D$1154&amp;"|")-1),Actuals!$E:$E,MID($D$1154,FIND("|",$D$1154&amp;"|")+1,50),Actuals!$F:$F,"USD")*$F$5+SUMIFS(Actuals!$G:$G,Actuals!$B:$B,$C$3,Actuals!$C:$C,3,Actuals!$D:$D,$B$1154,Actuals!$A:$A,LEFT($D$1154,FIND("|",$D$1154&amp;"|")-1),Actuals!$E:$E,MID($D$1154,FIND("|",$D$1154&amp;"|")+1,50),Actuals!$F:$F,"EUR")*$G$5+SUMIFS(Actuals!$G:$G,Actuals!$B:$B,$C$3,Actuals!$C:$C,3,Actuals!$D:$D,$B$1154,Actuals!$A:$A,LEFT($D$1154,FIND("|",$D$1154&amp;"|")-1),Actuals!$E:$E,MID($D$1154,FIND("|",$D$1154&amp;"|")+1,50),Actuals!$F:$F,"GBP")*$H$5)</f>
        <v/>
      </c>
      <c r="K1155" s="18">
        <f>IF(OR($B$1154="",4&gt;$C$4),"",SUMIFS(Actuals!$G:$G,Actuals!$B:$B,$C$3,Actuals!$C:$C,4,Actuals!$D:$D,$B$1154,Actuals!$A:$A,LEFT($D$1154,FIND("|",$D$1154&amp;"|")-1),Actuals!$E:$E,MID($D$1154,FIND("|",$D$1154&amp;"|")+1,50),Actuals!$F:$F,"JPY")*$E$5+SUMIFS(Actuals!$G:$G,Actuals!$B:$B,$C$3,Actuals!$C:$C,4,Actuals!$D:$D,$B$1154,Actuals!$A:$A,LEFT($D$1154,FIND("|",$D$1154&amp;"|")-1),Actuals!$E:$E,MID($D$1154,FIND("|",$D$1154&amp;"|")+1,50),Actuals!$F:$F,"USD")*$F$5+SUMIFS(Actuals!$G:$G,Actuals!$B:$B,$C$3,Actuals!$C:$C,4,Actuals!$D:$D,$B$1154,Actuals!$A:$A,LEFT($D$1154,FIND("|",$D$1154&amp;"|")-1),Actuals!$E:$E,MID($D$1154,FIND("|",$D$1154&amp;"|")+1,50),Actuals!$F:$F,"EUR")*$G$5+SUMIFS(Actuals!$G:$G,Actuals!$B:$B,$C$3,Actuals!$C:$C,4,Actuals!$D:$D,$B$1154,Actuals!$A:$A,LEFT($D$1154,FIND("|",$D$1154&amp;"|")-1),Actuals!$E:$E,MID($D$1154,FIND("|",$D$1154&amp;"|")+1,50),Actuals!$F:$F,"GBP")*$H$5)</f>
        <v/>
      </c>
      <c r="L1155" s="18">
        <f>IF(OR($B$1154="",5&gt;$C$4),"",SUMIFS(Actuals!$G:$G,Actuals!$B:$B,$C$3,Actuals!$C:$C,5,Actuals!$D:$D,$B$1154,Actuals!$A:$A,LEFT($D$1154,FIND("|",$D$1154&amp;"|")-1),Actuals!$E:$E,MID($D$1154,FIND("|",$D$1154&amp;"|")+1,50),Actuals!$F:$F,"JPY")*$E$5+SUMIFS(Actuals!$G:$G,Actuals!$B:$B,$C$3,Actuals!$C:$C,5,Actuals!$D:$D,$B$1154,Actuals!$A:$A,LEFT($D$1154,FIND("|",$D$1154&amp;"|")-1),Actuals!$E:$E,MID($D$1154,FIND("|",$D$1154&amp;"|")+1,50),Actuals!$F:$F,"USD")*$F$5+SUMIFS(Actuals!$G:$G,Actuals!$B:$B,$C$3,Actuals!$C:$C,5,Actuals!$D:$D,$B$1154,Actuals!$A:$A,LEFT($D$1154,FIND("|",$D$1154&amp;"|")-1),Actuals!$E:$E,MID($D$1154,FIND("|",$D$1154&amp;"|")+1,50),Actuals!$F:$F,"EUR")*$G$5+SUMIFS(Actuals!$G:$G,Actuals!$B:$B,$C$3,Actuals!$C:$C,5,Actuals!$D:$D,$B$1154,Actuals!$A:$A,LEFT($D$1154,FIND("|",$D$1154&amp;"|")-1),Actuals!$E:$E,MID($D$1154,FIND("|",$D$1154&amp;"|")+1,50),Actuals!$F:$F,"GBP")*$H$5)</f>
        <v/>
      </c>
      <c r="M1155" s="18">
        <f>IF(OR($B$1154="",6&gt;$C$4),"",SUMIFS(Actuals!$G:$G,Actuals!$B:$B,$C$3,Actuals!$C:$C,6,Actuals!$D:$D,$B$1154,Actuals!$A:$A,LEFT($D$1154,FIND("|",$D$1154&amp;"|")-1),Actuals!$E:$E,MID($D$1154,FIND("|",$D$1154&amp;"|")+1,50),Actuals!$F:$F,"JPY")*$E$5+SUMIFS(Actuals!$G:$G,Actuals!$B:$B,$C$3,Actuals!$C:$C,6,Actuals!$D:$D,$B$1154,Actuals!$A:$A,LEFT($D$1154,FIND("|",$D$1154&amp;"|")-1),Actuals!$E:$E,MID($D$1154,FIND("|",$D$1154&amp;"|")+1,50),Actuals!$F:$F,"USD")*$F$5+SUMIFS(Actuals!$G:$G,Actuals!$B:$B,$C$3,Actuals!$C:$C,6,Actuals!$D:$D,$B$1154,Actuals!$A:$A,LEFT($D$1154,FIND("|",$D$1154&amp;"|")-1),Actuals!$E:$E,MID($D$1154,FIND("|",$D$1154&amp;"|")+1,50),Actuals!$F:$F,"EUR")*$G$5+SUMIFS(Actuals!$G:$G,Actuals!$B:$B,$C$3,Actuals!$C:$C,6,Actuals!$D:$D,$B$1154,Actuals!$A:$A,LEFT($D$1154,FIND("|",$D$1154&amp;"|")-1),Actuals!$E:$E,MID($D$1154,FIND("|",$D$1154&amp;"|")+1,50),Actuals!$F:$F,"GBP")*$H$5)</f>
        <v/>
      </c>
      <c r="N1155" s="18">
        <f>IF(OR($B$1154="",7&gt;$C$4),"",SUMIFS(Actuals!$G:$G,Actuals!$B:$B,$C$3,Actuals!$C:$C,7,Actuals!$D:$D,$B$1154,Actuals!$A:$A,LEFT($D$1154,FIND("|",$D$1154&amp;"|")-1),Actuals!$E:$E,MID($D$1154,FIND("|",$D$1154&amp;"|")+1,50),Actuals!$F:$F,"JPY")*$E$5+SUMIFS(Actuals!$G:$G,Actuals!$B:$B,$C$3,Actuals!$C:$C,7,Actuals!$D:$D,$B$1154,Actuals!$A:$A,LEFT($D$1154,FIND("|",$D$1154&amp;"|")-1),Actuals!$E:$E,MID($D$1154,FIND("|",$D$1154&amp;"|")+1,50),Actuals!$F:$F,"USD")*$F$5+SUMIFS(Actuals!$G:$G,Actuals!$B:$B,$C$3,Actuals!$C:$C,7,Actuals!$D:$D,$B$1154,Actuals!$A:$A,LEFT($D$1154,FIND("|",$D$1154&amp;"|")-1),Actuals!$E:$E,MID($D$1154,FIND("|",$D$1154&amp;"|")+1,50),Actuals!$F:$F,"EUR")*$G$5+SUMIFS(Actuals!$G:$G,Actuals!$B:$B,$C$3,Actuals!$C:$C,7,Actuals!$D:$D,$B$1154,Actuals!$A:$A,LEFT($D$1154,FIND("|",$D$1154&amp;"|")-1),Actuals!$E:$E,MID($D$1154,FIND("|",$D$1154&amp;"|")+1,50),Actuals!$F:$F,"GBP")*$H$5)</f>
        <v/>
      </c>
      <c r="O1155" s="18">
        <f>IF(OR($B$1154="",8&gt;$C$4),"",SUMIFS(Actuals!$G:$G,Actuals!$B:$B,$C$3,Actuals!$C:$C,8,Actuals!$D:$D,$B$1154,Actuals!$A:$A,LEFT($D$1154,FIND("|",$D$1154&amp;"|")-1),Actuals!$E:$E,MID($D$1154,FIND("|",$D$1154&amp;"|")+1,50),Actuals!$F:$F,"JPY")*$E$5+SUMIFS(Actuals!$G:$G,Actuals!$B:$B,$C$3,Actuals!$C:$C,8,Actuals!$D:$D,$B$1154,Actuals!$A:$A,LEFT($D$1154,FIND("|",$D$1154&amp;"|")-1),Actuals!$E:$E,MID($D$1154,FIND("|",$D$1154&amp;"|")+1,50),Actuals!$F:$F,"USD")*$F$5+SUMIFS(Actuals!$G:$G,Actuals!$B:$B,$C$3,Actuals!$C:$C,8,Actuals!$D:$D,$B$1154,Actuals!$A:$A,LEFT($D$1154,FIND("|",$D$1154&amp;"|")-1),Actuals!$E:$E,MID($D$1154,FIND("|",$D$1154&amp;"|")+1,50),Actuals!$F:$F,"EUR")*$G$5+SUMIFS(Actuals!$G:$G,Actuals!$B:$B,$C$3,Actuals!$C:$C,8,Actuals!$D:$D,$B$1154,Actuals!$A:$A,LEFT($D$1154,FIND("|",$D$1154&amp;"|")-1),Actuals!$E:$E,MID($D$1154,FIND("|",$D$1154&amp;"|")+1,50),Actuals!$F:$F,"GBP")*$H$5)</f>
        <v/>
      </c>
      <c r="P1155" s="18">
        <f>IF(OR($B$1154="",9&gt;$C$4),"",SUMIFS(Actuals!$G:$G,Actuals!$B:$B,$C$3,Actuals!$C:$C,9,Actuals!$D:$D,$B$1154,Actuals!$A:$A,LEFT($D$1154,FIND("|",$D$1154&amp;"|")-1),Actuals!$E:$E,MID($D$1154,FIND("|",$D$1154&amp;"|")+1,50),Actuals!$F:$F,"JPY")*$E$5+SUMIFS(Actuals!$G:$G,Actuals!$B:$B,$C$3,Actuals!$C:$C,9,Actuals!$D:$D,$B$1154,Actuals!$A:$A,LEFT($D$1154,FIND("|",$D$1154&amp;"|")-1),Actuals!$E:$E,MID($D$1154,FIND("|",$D$1154&amp;"|")+1,50),Actuals!$F:$F,"USD")*$F$5+SUMIFS(Actuals!$G:$G,Actuals!$B:$B,$C$3,Actuals!$C:$C,9,Actuals!$D:$D,$B$1154,Actuals!$A:$A,LEFT($D$1154,FIND("|",$D$1154&amp;"|")-1),Actuals!$E:$E,MID($D$1154,FIND("|",$D$1154&amp;"|")+1,50),Actuals!$F:$F,"EUR")*$G$5+SUMIFS(Actuals!$G:$G,Actuals!$B:$B,$C$3,Actuals!$C:$C,9,Actuals!$D:$D,$B$1154,Actuals!$A:$A,LEFT($D$1154,FIND("|",$D$1154&amp;"|")-1),Actuals!$E:$E,MID($D$1154,FIND("|",$D$1154&amp;"|")+1,50),Actuals!$F:$F,"GBP")*$H$5)</f>
        <v/>
      </c>
      <c r="Q1155" s="18">
        <f>IF(OR($B$1154="",10&gt;$C$4),"",SUMIFS(Actuals!$G:$G,Actuals!$B:$B,$C$3,Actuals!$C:$C,10,Actuals!$D:$D,$B$1154,Actuals!$A:$A,LEFT($D$1154,FIND("|",$D$1154&amp;"|")-1),Actuals!$E:$E,MID($D$1154,FIND("|",$D$1154&amp;"|")+1,50),Actuals!$F:$F,"JPY")*$E$5+SUMIFS(Actuals!$G:$G,Actuals!$B:$B,$C$3,Actuals!$C:$C,10,Actuals!$D:$D,$B$1154,Actuals!$A:$A,LEFT($D$1154,FIND("|",$D$1154&amp;"|")-1),Actuals!$E:$E,MID($D$1154,FIND("|",$D$1154&amp;"|")+1,50),Actuals!$F:$F,"USD")*$F$5+SUMIFS(Actuals!$G:$G,Actuals!$B:$B,$C$3,Actuals!$C:$C,10,Actuals!$D:$D,$B$1154,Actuals!$A:$A,LEFT($D$1154,FIND("|",$D$1154&amp;"|")-1),Actuals!$E:$E,MID($D$1154,FIND("|",$D$1154&amp;"|")+1,50),Actuals!$F:$F,"EUR")*$G$5+SUMIFS(Actuals!$G:$G,Actuals!$B:$B,$C$3,Actuals!$C:$C,10,Actuals!$D:$D,$B$1154,Actuals!$A:$A,LEFT($D$1154,FIND("|",$D$1154&amp;"|")-1),Actuals!$E:$E,MID($D$1154,FIND("|",$D$1154&amp;"|")+1,50),Actuals!$F:$F,"GBP")*$H$5)</f>
        <v/>
      </c>
      <c r="R1155" s="18">
        <f>IF(OR($B$1154="",11&gt;$C$4),"",SUMIFS(Actuals!$G:$G,Actuals!$B:$B,$C$3,Actuals!$C:$C,11,Actuals!$D:$D,$B$1154,Actuals!$A:$A,LEFT($D$1154,FIND("|",$D$1154&amp;"|")-1),Actuals!$E:$E,MID($D$1154,FIND("|",$D$1154&amp;"|")+1,50),Actuals!$F:$F,"JPY")*$E$5+SUMIFS(Actuals!$G:$G,Actuals!$B:$B,$C$3,Actuals!$C:$C,11,Actuals!$D:$D,$B$1154,Actuals!$A:$A,LEFT($D$1154,FIND("|",$D$1154&amp;"|")-1),Actuals!$E:$E,MID($D$1154,FIND("|",$D$1154&amp;"|")+1,50),Actuals!$F:$F,"USD")*$F$5+SUMIFS(Actuals!$G:$G,Actuals!$B:$B,$C$3,Actuals!$C:$C,11,Actuals!$D:$D,$B$1154,Actuals!$A:$A,LEFT($D$1154,FIND("|",$D$1154&amp;"|")-1),Actuals!$E:$E,MID($D$1154,FIND("|",$D$1154&amp;"|")+1,50),Actuals!$F:$F,"EUR")*$G$5+SUMIFS(Actuals!$G:$G,Actuals!$B:$B,$C$3,Actuals!$C:$C,11,Actuals!$D:$D,$B$1154,Actuals!$A:$A,LEFT($D$1154,FIND("|",$D$1154&amp;"|")-1),Actuals!$E:$E,MID($D$1154,FIND("|",$D$1154&amp;"|")+1,50),Actuals!$F:$F,"GBP")*$H$5)</f>
        <v/>
      </c>
      <c r="S1155" s="18">
        <f>IF(OR($B$1154="",12&gt;$C$4),"",SUMIFS(Actuals!$G:$G,Actuals!$B:$B,$C$3,Actuals!$C:$C,12,Actuals!$D:$D,$B$1154,Actuals!$A:$A,LEFT($D$1154,FIND("|",$D$1154&amp;"|")-1),Actuals!$E:$E,MID($D$1154,FIND("|",$D$1154&amp;"|")+1,50),Actuals!$F:$F,"JPY")*$E$5+SUMIFS(Actuals!$G:$G,Actuals!$B:$B,$C$3,Actuals!$C:$C,12,Actuals!$D:$D,$B$1154,Actuals!$A:$A,LEFT($D$1154,FIND("|",$D$1154&amp;"|")-1),Actuals!$E:$E,MID($D$1154,FIND("|",$D$1154&amp;"|")+1,50),Actuals!$F:$F,"USD")*$F$5+SUMIFS(Actuals!$G:$G,Actuals!$B:$B,$C$3,Actuals!$C:$C,12,Actuals!$D:$D,$B$1154,Actuals!$A:$A,LEFT($D$1154,FIND("|",$D$1154&amp;"|")-1),Actuals!$E:$E,MID($D$1154,FIND("|",$D$1154&amp;"|")+1,50),Actuals!$F:$F,"EUR")*$G$5+SUMIFS(Actuals!$G:$G,Actuals!$B:$B,$C$3,Actuals!$C:$C,12,Actuals!$D:$D,$B$1154,Actuals!$A:$A,LEFT($D$1154,FIND("|",$D$1154&amp;"|")-1),Actuals!$E:$E,MID($D$1154,FIND("|",$D$1154&amp;"|")+1,50),Actuals!$F:$F,"GBP")*$H$5)</f>
        <v/>
      </c>
      <c r="T1155" s="18">
        <f>IF($B$1154="","",SUMIF($H$7:$S$7,"&lt;="&amp;$C$4,$H1155:$S1155))</f>
        <v/>
      </c>
      <c r="U1155" s="18" t="n"/>
      <c r="V1155" s="18" t="n"/>
      <c r="X1155" s="22">
        <f>IF($B1155="","",IFERROR(INDEX(Cost_Centers!$E:$E,MATCH($B1155,Cost_Centers!$A:$A,0)),"(unknown)"))</f>
        <v/>
      </c>
      <c r="Y1155" s="22">
        <f>IF($B1155="","",IFERROR(INDEX(Cost_Centers!$D:$D,MATCH($B1155,Cost_Centers!$A:$A,0)),"(unknown)"))</f>
        <v/>
      </c>
      <c r="Z1155" s="22">
        <f>IF(OR($B1155="",$G1155&lt;&gt;"Variance vs Budget"),"",ABS(N($V1155))+ROW()/1000000000)</f>
        <v/>
      </c>
    </row>
    <row r="1156">
      <c r="A1156" s="13">
        <f>IF(A$1154="","",A$1154)</f>
        <v/>
      </c>
      <c r="B1156" s="13">
        <f>IF(B$1154="","",B$1154)</f>
        <v/>
      </c>
      <c r="C1156" s="13">
        <f>IF(C$1154="","",C$1154)</f>
        <v/>
      </c>
      <c r="D1156" s="13">
        <f>IF(D$1154="","",D$1154)</f>
        <v/>
      </c>
      <c r="E1156" s="13">
        <f>IF(E$1154="","",E$1154)</f>
        <v/>
      </c>
      <c r="F1156" s="13">
        <f>IF(F$1154="","",F$1154)</f>
        <v/>
      </c>
      <c r="G1156" s="6" t="inlineStr">
        <is>
          <t>Variance vs Budget</t>
        </is>
      </c>
      <c r="H1156" s="33">
        <f>IF(OR($B$1154="",1&gt;$C$4),"",N(H1155)-H1154)</f>
        <v/>
      </c>
      <c r="I1156" s="33">
        <f>IF(OR($B$1154="",2&gt;$C$4),"",N(I1155)-I1154)</f>
        <v/>
      </c>
      <c r="J1156" s="33">
        <f>IF(OR($B$1154="",3&gt;$C$4),"",N(J1155)-J1154)</f>
        <v/>
      </c>
      <c r="K1156" s="33">
        <f>IF(OR($B$1154="",4&gt;$C$4),"",N(K1155)-K1154)</f>
        <v/>
      </c>
      <c r="L1156" s="33">
        <f>IF(OR($B$1154="",5&gt;$C$4),"",N(L1155)-L1154)</f>
        <v/>
      </c>
      <c r="M1156" s="33">
        <f>IF(OR($B$1154="",6&gt;$C$4),"",N(M1155)-M1154)</f>
        <v/>
      </c>
      <c r="N1156" s="33">
        <f>IF(OR($B$1154="",7&gt;$C$4),"",N(N1155)-N1154)</f>
        <v/>
      </c>
      <c r="O1156" s="33">
        <f>IF(OR($B$1154="",8&gt;$C$4),"",N(O1155)-O1154)</f>
        <v/>
      </c>
      <c r="P1156" s="33">
        <f>IF(OR($B$1154="",9&gt;$C$4),"",N(P1155)-P1154)</f>
        <v/>
      </c>
      <c r="Q1156" s="33">
        <f>IF(OR($B$1154="",10&gt;$C$4),"",N(Q1155)-Q1154)</f>
        <v/>
      </c>
      <c r="R1156" s="33">
        <f>IF(OR($B$1154="",11&gt;$C$4),"",N(R1155)-R1154)</f>
        <v/>
      </c>
      <c r="S1156" s="33">
        <f>IF(OR($B$1154="",12&gt;$C$4),"",N(S1155)-S1154)</f>
        <v/>
      </c>
      <c r="T1156" s="33">
        <f>IF($B$1154="","",T1155-T1154)</f>
        <v/>
      </c>
      <c r="U1156" s="33">
        <f>IF($B$1154="","",U1158-U1154)</f>
        <v/>
      </c>
      <c r="V1156" s="33">
        <f>IF($B$1154="","",V1158-V1154)</f>
        <v/>
      </c>
      <c r="X1156" s="22">
        <f>IF($B1156="","",IFERROR(INDEX(Cost_Centers!$E:$E,MATCH($B1156,Cost_Centers!$A:$A,0)),"(unknown)"))</f>
        <v/>
      </c>
      <c r="Y1156" s="22">
        <f>IF($B1156="","",IFERROR(INDEX(Cost_Centers!$D:$D,MATCH($B1156,Cost_Centers!$A:$A,0)),"(unknown)"))</f>
        <v/>
      </c>
      <c r="Z1156" s="22">
        <f>IF(OR($B1156="",$G1156&lt;&gt;"Variance vs Budget"),"",ABS(N($V1156))+ROW()/1000000000)</f>
        <v/>
      </c>
    </row>
    <row r="1157">
      <c r="A1157" s="13">
        <f>IF(A$1154="","",A$1154)</f>
        <v/>
      </c>
      <c r="B1157" s="13">
        <f>IF(B$1154="","",B$1154)</f>
        <v/>
      </c>
      <c r="C1157" s="13">
        <f>IF(C$1154="","",C$1154)</f>
        <v/>
      </c>
      <c r="D1157" s="13">
        <f>IF(D$1154="","",D$1154)</f>
        <v/>
      </c>
      <c r="E1157" s="13">
        <f>IF(E$1154="","",E$1154)</f>
        <v/>
      </c>
      <c r="F1157" s="13">
        <f>IF(F$1154="","",F$1154)</f>
        <v/>
      </c>
      <c r="G1157" s="7" t="inlineStr">
        <is>
          <t>Forecast (input)</t>
        </is>
      </c>
      <c r="H1157" s="34" t="n"/>
      <c r="I1157" s="34" t="n"/>
      <c r="J1157" s="34" t="n"/>
      <c r="K1157" s="34" t="n"/>
      <c r="L1157" s="34" t="n"/>
      <c r="M1157" s="34" t="n"/>
      <c r="N1157" s="34" t="n"/>
      <c r="O1157" s="34" t="n"/>
      <c r="P1157" s="34" t="n"/>
      <c r="Q1157" s="34" t="n"/>
      <c r="R1157" s="34" t="n"/>
      <c r="S1157" s="34" t="n"/>
      <c r="T1157" s="18" t="n"/>
      <c r="U1157" s="18" t="n"/>
      <c r="V1157" s="18" t="n"/>
      <c r="X1157" s="22">
        <f>IF($B1157="","",IFERROR(INDEX(Cost_Centers!$E:$E,MATCH($B1157,Cost_Centers!$A:$A,0)),"(unknown)"))</f>
        <v/>
      </c>
      <c r="Y1157" s="22">
        <f>IF($B1157="","",IFERROR(INDEX(Cost_Centers!$D:$D,MATCH($B1157,Cost_Centers!$A:$A,0)),"(unknown)"))</f>
        <v/>
      </c>
      <c r="Z1157" s="22">
        <f>IF(OR($B1157="",$G1157&lt;&gt;"Variance vs Budget"),"",ABS(N($V1157))+ROW()/1000000000)</f>
        <v/>
      </c>
    </row>
    <row r="1158">
      <c r="A1158" s="13">
        <f>IF(A$1154="","",A$1154)</f>
        <v/>
      </c>
      <c r="B1158" s="13">
        <f>IF(B$1154="","",B$1154)</f>
        <v/>
      </c>
      <c r="C1158" s="13">
        <f>IF(C$1154="","",C$1154)</f>
        <v/>
      </c>
      <c r="D1158" s="13">
        <f>IF(D$1154="","",D$1154)</f>
        <v/>
      </c>
      <c r="E1158" s="13">
        <f>IF(E$1154="","",E$1154)</f>
        <v/>
      </c>
      <c r="F1158" s="13">
        <f>IF(F$1154="","",F$1154)</f>
        <v/>
      </c>
      <c r="G1158" s="35" t="inlineStr">
        <is>
          <t>Actual + Forecast</t>
        </is>
      </c>
      <c r="H1158" s="18">
        <f>IF($B$1154="","",IF(1&lt;=$C$4,N(H1155),IF(H1157="",H1154,H1157)))</f>
        <v/>
      </c>
      <c r="I1158" s="18">
        <f>IF($B$1154="","",IF(2&lt;=$C$4,N(I1155),IF(I1157="",I1154,I1157)))</f>
        <v/>
      </c>
      <c r="J1158" s="18">
        <f>IF($B$1154="","",IF(3&lt;=$C$4,N(J1155),IF(J1157="",J1154,J1157)))</f>
        <v/>
      </c>
      <c r="K1158" s="18">
        <f>IF($B$1154="","",IF(4&lt;=$C$4,N(K1155),IF(K1157="",K1154,K1157)))</f>
        <v/>
      </c>
      <c r="L1158" s="18">
        <f>IF($B$1154="","",IF(5&lt;=$C$4,N(L1155),IF(L1157="",L1154,L1157)))</f>
        <v/>
      </c>
      <c r="M1158" s="18">
        <f>IF($B$1154="","",IF(6&lt;=$C$4,N(M1155),IF(M1157="",M1154,M1157)))</f>
        <v/>
      </c>
      <c r="N1158" s="18">
        <f>IF($B$1154="","",IF(7&lt;=$C$4,N(N1155),IF(N1157="",N1154,N1157)))</f>
        <v/>
      </c>
      <c r="O1158" s="18">
        <f>IF($B$1154="","",IF(8&lt;=$C$4,N(O1155),IF(O1157="",O1154,O1157)))</f>
        <v/>
      </c>
      <c r="P1158" s="18">
        <f>IF($B$1154="","",IF(9&lt;=$C$4,N(P1155),IF(P1157="",P1154,P1157)))</f>
        <v/>
      </c>
      <c r="Q1158" s="18">
        <f>IF($B$1154="","",IF(10&lt;=$C$4,N(Q1155),IF(Q1157="",Q1154,Q1157)))</f>
        <v/>
      </c>
      <c r="R1158" s="18">
        <f>IF($B$1154="","",IF(11&lt;=$C$4,N(R1155),IF(R1157="",R1154,R1157)))</f>
        <v/>
      </c>
      <c r="S1158" s="18">
        <f>IF($B$1154="","",IF(12&lt;=$C$4,N(S1155),IF(S1157="",S1154,S1157)))</f>
        <v/>
      </c>
      <c r="T1158" s="18">
        <f>IF($B$1154="","",SUMIF($H$7:$S$7,"&lt;="&amp;$C$4,$H1158:$S1158))</f>
        <v/>
      </c>
      <c r="U1158" s="18">
        <f>IF($B$1154="","",SUMIF($H$7:$S$7,"&gt;"&amp;$C$4,$H1158:$S1158))</f>
        <v/>
      </c>
      <c r="V1158" s="18">
        <f>IF($B$1154="","",SUM($H1158:$S1158))</f>
        <v/>
      </c>
      <c r="X1158" s="22">
        <f>IF($B1158="","",IFERROR(INDEX(Cost_Centers!$E:$E,MATCH($B1158,Cost_Centers!$A:$A,0)),"(unknown)"))</f>
        <v/>
      </c>
      <c r="Y1158" s="22">
        <f>IF($B1158="","",IFERROR(INDEX(Cost_Centers!$D:$D,MATCH($B1158,Cost_Centers!$A:$A,0)),"(unknown)"))</f>
        <v/>
      </c>
      <c r="Z1158" s="22">
        <f>IF(OR($B1158="",$G1158&lt;&gt;"Variance vs Budget"),"",ABS(N($V1158))+ROW()/1000000000)</f>
        <v/>
      </c>
    </row>
    <row r="1159">
      <c r="A1159" s="13">
        <f>IF(A$1154="","",A$1154)</f>
        <v/>
      </c>
      <c r="B1159" s="13">
        <f>IF(B$1154="","",B$1154)</f>
        <v/>
      </c>
      <c r="C1159" s="13">
        <f>IF(C$1154="","",C$1154)</f>
        <v/>
      </c>
      <c r="D1159" s="13">
        <f>IF(D$1154="","",D$1154)</f>
        <v/>
      </c>
      <c r="E1159" s="13">
        <f>IF(E$1154="","",E$1154)</f>
        <v/>
      </c>
      <c r="F1159" s="13">
        <f>IF(F$1154="","",F$1154)</f>
        <v/>
      </c>
      <c r="G1159" s="36" t="inlineStr">
        <is>
          <t>Prior Month Forecast</t>
        </is>
      </c>
      <c r="H1159" s="37">
        <f>IF($B$1154="","",IF(COUNTIFS(Prior_Forecast!$A:$A,$B$1154,Prior_Forecast!$B:$B,$D$1154)&gt;0,SUMIFS(Prior_Forecast!$C:$C,Prior_Forecast!$A:$A,$B$1154,Prior_Forecast!$B:$B,$D$1154),""))</f>
        <v/>
      </c>
      <c r="I1159" s="37">
        <f>IF($B$1154="","",IF(COUNTIFS(Prior_Forecast!$A:$A,$B$1154,Prior_Forecast!$B:$B,$D$1154)&gt;0,SUMIFS(Prior_Forecast!$D:$D,Prior_Forecast!$A:$A,$B$1154,Prior_Forecast!$B:$B,$D$1154),""))</f>
        <v/>
      </c>
      <c r="J1159" s="37">
        <f>IF($B$1154="","",IF(COUNTIFS(Prior_Forecast!$A:$A,$B$1154,Prior_Forecast!$B:$B,$D$1154)&gt;0,SUMIFS(Prior_Forecast!$E:$E,Prior_Forecast!$A:$A,$B$1154,Prior_Forecast!$B:$B,$D$1154),""))</f>
        <v/>
      </c>
      <c r="K1159" s="37">
        <f>IF($B$1154="","",IF(COUNTIFS(Prior_Forecast!$A:$A,$B$1154,Prior_Forecast!$B:$B,$D$1154)&gt;0,SUMIFS(Prior_Forecast!$F:$F,Prior_Forecast!$A:$A,$B$1154,Prior_Forecast!$B:$B,$D$1154),""))</f>
        <v/>
      </c>
      <c r="L1159" s="37">
        <f>IF($B$1154="","",IF(COUNTIFS(Prior_Forecast!$A:$A,$B$1154,Prior_Forecast!$B:$B,$D$1154)&gt;0,SUMIFS(Prior_Forecast!$G:$G,Prior_Forecast!$A:$A,$B$1154,Prior_Forecast!$B:$B,$D$1154),""))</f>
        <v/>
      </c>
      <c r="M1159" s="37">
        <f>IF($B$1154="","",IF(COUNTIFS(Prior_Forecast!$A:$A,$B$1154,Prior_Forecast!$B:$B,$D$1154)&gt;0,SUMIFS(Prior_Forecast!$H:$H,Prior_Forecast!$A:$A,$B$1154,Prior_Forecast!$B:$B,$D$1154),""))</f>
        <v/>
      </c>
      <c r="N1159" s="37">
        <f>IF($B$1154="","",IF(COUNTIFS(Prior_Forecast!$A:$A,$B$1154,Prior_Forecast!$B:$B,$D$1154)&gt;0,SUMIFS(Prior_Forecast!$I:$I,Prior_Forecast!$A:$A,$B$1154,Prior_Forecast!$B:$B,$D$1154),""))</f>
        <v/>
      </c>
      <c r="O1159" s="37">
        <f>IF($B$1154="","",IF(COUNTIFS(Prior_Forecast!$A:$A,$B$1154,Prior_Forecast!$B:$B,$D$1154)&gt;0,SUMIFS(Prior_Forecast!$J:$J,Prior_Forecast!$A:$A,$B$1154,Prior_Forecast!$B:$B,$D$1154),""))</f>
        <v/>
      </c>
      <c r="P1159" s="37">
        <f>IF($B$1154="","",IF(COUNTIFS(Prior_Forecast!$A:$A,$B$1154,Prior_Forecast!$B:$B,$D$1154)&gt;0,SUMIFS(Prior_Forecast!$K:$K,Prior_Forecast!$A:$A,$B$1154,Prior_Forecast!$B:$B,$D$1154),""))</f>
        <v/>
      </c>
      <c r="Q1159" s="37">
        <f>IF($B$1154="","",IF(COUNTIFS(Prior_Forecast!$A:$A,$B$1154,Prior_Forecast!$B:$B,$D$1154)&gt;0,SUMIFS(Prior_Forecast!$L:$L,Prior_Forecast!$A:$A,$B$1154,Prior_Forecast!$B:$B,$D$1154),""))</f>
        <v/>
      </c>
      <c r="R1159" s="37">
        <f>IF($B$1154="","",IF(COUNTIFS(Prior_Forecast!$A:$A,$B$1154,Prior_Forecast!$B:$B,$D$1154)&gt;0,SUMIFS(Prior_Forecast!$M:$M,Prior_Forecast!$A:$A,$B$1154,Prior_Forecast!$B:$B,$D$1154),""))</f>
        <v/>
      </c>
      <c r="S1159" s="37">
        <f>IF($B$1154="","",IF(COUNTIFS(Prior_Forecast!$A:$A,$B$1154,Prior_Forecast!$B:$B,$D$1154)&gt;0,SUMIFS(Prior_Forecast!$N:$N,Prior_Forecast!$A:$A,$B$1154,Prior_Forecast!$B:$B,$D$1154),""))</f>
        <v/>
      </c>
      <c r="T1159" s="37">
        <f>IF($B$1154="","",IF(COUNTIFS(Prior_Forecast!$A:$A,$B$1154,Prior_Forecast!$B:$B,$D$1154)&gt;0,SUMIFS(Prior_Forecast!$O:$O,Prior_Forecast!$A:$A,$B$1154,Prior_Forecast!$B:$B,$D$1154),""))</f>
        <v/>
      </c>
      <c r="U1159" s="37">
        <f>IF($B$1154="","",IF(COUNTIFS(Prior_Forecast!$A:$A,$B$1154,Prior_Forecast!$B:$B,$D$1154)&gt;0,SUMIFS(Prior_Forecast!$P:$P,Prior_Forecast!$A:$A,$B$1154,Prior_Forecast!$B:$B,$D$1154),""))</f>
        <v/>
      </c>
      <c r="V1159" s="37">
        <f>IF($B$1154="","",IF(COUNTIFS(Prior_Forecast!$A:$A,$B$1154,Prior_Forecast!$B:$B,$D$1154)&gt;0,SUMIFS(Prior_Forecast!$Q:$Q,Prior_Forecast!$A:$A,$B$1154,Prior_Forecast!$B:$B,$D$1154),""))</f>
        <v/>
      </c>
      <c r="X1159" s="22">
        <f>IF($B1159="","",IFERROR(INDEX(Cost_Centers!$E:$E,MATCH($B1159,Cost_Centers!$A:$A,0)),"(unknown)"))</f>
        <v/>
      </c>
      <c r="Y1159" s="22">
        <f>IF($B1159="","",IFERROR(INDEX(Cost_Centers!$D:$D,MATCH($B1159,Cost_Centers!$A:$A,0)),"(unknown)"))</f>
        <v/>
      </c>
      <c r="Z1159" s="22">
        <f>IF(OR($B1159="",$G1159&lt;&gt;"Variance vs Budget"),"",ABS(N($V1159))+ROW()/1000000000)</f>
        <v/>
      </c>
    </row>
    <row r="1160">
      <c r="A1160" s="13">
        <f>IF(A$1154="","",A$1154)</f>
        <v/>
      </c>
      <c r="B1160" s="13">
        <f>IF(B$1154="","",B$1154)</f>
        <v/>
      </c>
      <c r="C1160" s="13">
        <f>IF(C$1154="","",C$1154)</f>
        <v/>
      </c>
      <c r="D1160" s="13">
        <f>IF(D$1154="","",D$1154)</f>
        <v/>
      </c>
      <c r="E1160" s="13">
        <f>IF(E$1154="","",E$1154)</f>
        <v/>
      </c>
      <c r="F1160" s="13">
        <f>IF(F$1154="","",F$1154)</f>
        <v/>
      </c>
      <c r="G1160" s="6" t="inlineStr">
        <is>
          <t>Variance vs Prior Month</t>
        </is>
      </c>
      <c r="H1160" s="33">
        <f>IF(OR($B$1154="",H1159=""),"",H1158-H1159)</f>
        <v/>
      </c>
      <c r="I1160" s="33">
        <f>IF(OR($B$1154="",I1159=""),"",I1158-I1159)</f>
        <v/>
      </c>
      <c r="J1160" s="33">
        <f>IF(OR($B$1154="",J1159=""),"",J1158-J1159)</f>
        <v/>
      </c>
      <c r="K1160" s="33">
        <f>IF(OR($B$1154="",K1159=""),"",K1158-K1159)</f>
        <v/>
      </c>
      <c r="L1160" s="33">
        <f>IF(OR($B$1154="",L1159=""),"",L1158-L1159)</f>
        <v/>
      </c>
      <c r="M1160" s="33">
        <f>IF(OR($B$1154="",M1159=""),"",M1158-M1159)</f>
        <v/>
      </c>
      <c r="N1160" s="33">
        <f>IF(OR($B$1154="",N1159=""),"",N1158-N1159)</f>
        <v/>
      </c>
      <c r="O1160" s="33">
        <f>IF(OR($B$1154="",O1159=""),"",O1158-O1159)</f>
        <v/>
      </c>
      <c r="P1160" s="33">
        <f>IF(OR($B$1154="",P1159=""),"",P1158-P1159)</f>
        <v/>
      </c>
      <c r="Q1160" s="33">
        <f>IF(OR($B$1154="",Q1159=""),"",Q1158-Q1159)</f>
        <v/>
      </c>
      <c r="R1160" s="33">
        <f>IF(OR($B$1154="",R1159=""),"",R1158-R1159)</f>
        <v/>
      </c>
      <c r="S1160" s="33">
        <f>IF(OR($B$1154="",S1159=""),"",S1158-S1159)</f>
        <v/>
      </c>
      <c r="T1160" s="33">
        <f>IF(OR($B$1154="",T1159=""),"",T1158-T1159)</f>
        <v/>
      </c>
      <c r="U1160" s="33">
        <f>IF(OR($B$1154="",U1159=""),"",U1158-U1159)</f>
        <v/>
      </c>
      <c r="V1160" s="33">
        <f>IF(OR($B$1154="",V1159=""),"",V1158-V1159)</f>
        <v/>
      </c>
      <c r="X1160" s="22">
        <f>IF($B1160="","",IFERROR(INDEX(Cost_Centers!$E:$E,MATCH($B1160,Cost_Centers!$A:$A,0)),"(unknown)"))</f>
        <v/>
      </c>
      <c r="Y1160" s="22">
        <f>IF($B1160="","",IFERROR(INDEX(Cost_Centers!$D:$D,MATCH($B1160,Cost_Centers!$A:$A,0)),"(unknown)"))</f>
        <v/>
      </c>
      <c r="Z1160" s="22">
        <f>IF(OR($B1160="",$G1160&lt;&gt;"Variance vs Budget"),"",ABS(N($V1160))+ROW()/1000000000)</f>
        <v/>
      </c>
    </row>
    <row r="1161" ht="45" customHeight="1">
      <c r="A1161" s="13">
        <f>IF(A$1154="","",A$1154)</f>
        <v/>
      </c>
      <c r="B1161" s="13">
        <f>IF(B$1154="","",B$1154)</f>
        <v/>
      </c>
      <c r="C1161" s="13">
        <f>IF(C$1154="","",C$1154)</f>
        <v/>
      </c>
      <c r="D1161" s="13">
        <f>IF(D$1154="","",D$1154)</f>
        <v/>
      </c>
      <c r="E1161" s="13">
        <f>IF(E$1154="","",E$1154)</f>
        <v/>
      </c>
      <c r="F1161" s="13">
        <f>IF(F$1154="","",F$1154)</f>
        <v/>
      </c>
      <c r="G1161" s="7" t="inlineStr">
        <is>
          <t>Rationale</t>
        </is>
      </c>
      <c r="H1161" s="38" t="n"/>
      <c r="I1161" s="38" t="n"/>
      <c r="J1161" s="38" t="n"/>
      <c r="K1161" s="38" t="n"/>
      <c r="L1161" s="38" t="n"/>
      <c r="M1161" s="38" t="n"/>
      <c r="N1161" s="38" t="n"/>
      <c r="O1161" s="38" t="n"/>
      <c r="P1161" s="38" t="n"/>
      <c r="Q1161" s="38" t="n"/>
      <c r="R1161" s="38" t="n"/>
      <c r="S1161" s="38" t="n"/>
      <c r="T1161" s="38" t="n"/>
      <c r="U1161" s="38" t="n"/>
      <c r="V1161" s="7" t="n"/>
      <c r="X1161" s="22">
        <f>IF($B1161="","",IFERROR(INDEX(Cost_Centers!$E:$E,MATCH($B1161,Cost_Centers!$A:$A,0)),"(unknown)"))</f>
        <v/>
      </c>
      <c r="Y1161" s="22">
        <f>IF($B1161="","",IFERROR(INDEX(Cost_Centers!$D:$D,MATCH($B1161,Cost_Centers!$A:$A,0)),"(unknown)"))</f>
        <v/>
      </c>
      <c r="Z1161" s="22">
        <f>IF(OR($B1161="",$G1161&lt;&gt;"Variance vs Budget"),"",ABS(N($V1161))+ROW()/1000000000)</f>
        <v/>
      </c>
    </row>
    <row r="1162">
      <c r="A1162" s="30">
        <f>IF($D$1162="","",LEFT($D$1162,FIND("|",$D$1162&amp;"|")-1))</f>
        <v/>
      </c>
      <c r="B1162" s="31" t="n"/>
      <c r="C1162" s="30">
        <f>IF($B$1162="","",IFERROR(INDEX(Cost_Centers!$B:$B,MATCH($B$1162,Cost_Centers!$A:$A,0)),"(not in master)"))</f>
        <v/>
      </c>
      <c r="D1162" s="31" t="n"/>
      <c r="E1162" s="30">
        <f>IF($D$1162="","",IFERROR(INDEX(Accounts!$D:$D,MATCH($D$1162,Accounts!$A:$A,0)),"(not in master)"))</f>
        <v/>
      </c>
      <c r="F1162" s="31" t="n"/>
      <c r="G1162" s="30" t="inlineStr">
        <is>
          <t>Budget</t>
        </is>
      </c>
      <c r="H1162" s="32">
        <f>IF($B$1162="","",SUMIFS(Opex_Budget!$O:$O,Opex_Budget!$A:$A,$C$3,Opex_Budget!$E:$E,$B$1162,Opex_Budget!$F:$F,$D$1162,Opex_Budget!$N:$N,"JPY")*$E$5+SUMIFS(Opex_Budget!$O:$O,Opex_Budget!$A:$A,$C$3,Opex_Budget!$E:$E,$B$1162,Opex_Budget!$F:$F,$D$1162,Opex_Budget!$N:$N,"USD")*$F$5+SUMIFS(Opex_Budget!$O:$O,Opex_Budget!$A:$A,$C$3,Opex_Budget!$E:$E,$B$1162,Opex_Budget!$F:$F,$D$1162,Opex_Budget!$N:$N,"EUR")*$G$5+SUMIFS(Opex_Budget!$O:$O,Opex_Budget!$A:$A,$C$3,Opex_Budget!$E:$E,$B$1162,Opex_Budget!$F:$F,$D$1162,Opex_Budget!$N:$N,"GBP")*$H$5)</f>
        <v/>
      </c>
      <c r="I1162" s="32">
        <f>IF($B$1162="","",SUMIFS(Opex_Budget!$P:$P,Opex_Budget!$A:$A,$C$3,Opex_Budget!$E:$E,$B$1162,Opex_Budget!$F:$F,$D$1162,Opex_Budget!$N:$N,"JPY")*$E$5+SUMIFS(Opex_Budget!$P:$P,Opex_Budget!$A:$A,$C$3,Opex_Budget!$E:$E,$B$1162,Opex_Budget!$F:$F,$D$1162,Opex_Budget!$N:$N,"USD")*$F$5+SUMIFS(Opex_Budget!$P:$P,Opex_Budget!$A:$A,$C$3,Opex_Budget!$E:$E,$B$1162,Opex_Budget!$F:$F,$D$1162,Opex_Budget!$N:$N,"EUR")*$G$5+SUMIFS(Opex_Budget!$P:$P,Opex_Budget!$A:$A,$C$3,Opex_Budget!$E:$E,$B$1162,Opex_Budget!$F:$F,$D$1162,Opex_Budget!$N:$N,"GBP")*$H$5)</f>
        <v/>
      </c>
      <c r="J1162" s="32">
        <f>IF($B$1162="","",SUMIFS(Opex_Budget!$Q:$Q,Opex_Budget!$A:$A,$C$3,Opex_Budget!$E:$E,$B$1162,Opex_Budget!$F:$F,$D$1162,Opex_Budget!$N:$N,"JPY")*$E$5+SUMIFS(Opex_Budget!$Q:$Q,Opex_Budget!$A:$A,$C$3,Opex_Budget!$E:$E,$B$1162,Opex_Budget!$F:$F,$D$1162,Opex_Budget!$N:$N,"USD")*$F$5+SUMIFS(Opex_Budget!$Q:$Q,Opex_Budget!$A:$A,$C$3,Opex_Budget!$E:$E,$B$1162,Opex_Budget!$F:$F,$D$1162,Opex_Budget!$N:$N,"EUR")*$G$5+SUMIFS(Opex_Budget!$Q:$Q,Opex_Budget!$A:$A,$C$3,Opex_Budget!$E:$E,$B$1162,Opex_Budget!$F:$F,$D$1162,Opex_Budget!$N:$N,"GBP")*$H$5)</f>
        <v/>
      </c>
      <c r="K1162" s="32">
        <f>IF($B$1162="","",SUMIFS(Opex_Budget!$R:$R,Opex_Budget!$A:$A,$C$3,Opex_Budget!$E:$E,$B$1162,Opex_Budget!$F:$F,$D$1162,Opex_Budget!$N:$N,"JPY")*$E$5+SUMIFS(Opex_Budget!$R:$R,Opex_Budget!$A:$A,$C$3,Opex_Budget!$E:$E,$B$1162,Opex_Budget!$F:$F,$D$1162,Opex_Budget!$N:$N,"USD")*$F$5+SUMIFS(Opex_Budget!$R:$R,Opex_Budget!$A:$A,$C$3,Opex_Budget!$E:$E,$B$1162,Opex_Budget!$F:$F,$D$1162,Opex_Budget!$N:$N,"EUR")*$G$5+SUMIFS(Opex_Budget!$R:$R,Opex_Budget!$A:$A,$C$3,Opex_Budget!$E:$E,$B$1162,Opex_Budget!$F:$F,$D$1162,Opex_Budget!$N:$N,"GBP")*$H$5)</f>
        <v/>
      </c>
      <c r="L1162" s="32">
        <f>IF($B$1162="","",SUMIFS(Opex_Budget!$S:$S,Opex_Budget!$A:$A,$C$3,Opex_Budget!$E:$E,$B$1162,Opex_Budget!$F:$F,$D$1162,Opex_Budget!$N:$N,"JPY")*$E$5+SUMIFS(Opex_Budget!$S:$S,Opex_Budget!$A:$A,$C$3,Opex_Budget!$E:$E,$B$1162,Opex_Budget!$F:$F,$D$1162,Opex_Budget!$N:$N,"USD")*$F$5+SUMIFS(Opex_Budget!$S:$S,Opex_Budget!$A:$A,$C$3,Opex_Budget!$E:$E,$B$1162,Opex_Budget!$F:$F,$D$1162,Opex_Budget!$N:$N,"EUR")*$G$5+SUMIFS(Opex_Budget!$S:$S,Opex_Budget!$A:$A,$C$3,Opex_Budget!$E:$E,$B$1162,Opex_Budget!$F:$F,$D$1162,Opex_Budget!$N:$N,"GBP")*$H$5)</f>
        <v/>
      </c>
      <c r="M1162" s="32">
        <f>IF($B$1162="","",SUMIFS(Opex_Budget!$T:$T,Opex_Budget!$A:$A,$C$3,Opex_Budget!$E:$E,$B$1162,Opex_Budget!$F:$F,$D$1162,Opex_Budget!$N:$N,"JPY")*$E$5+SUMIFS(Opex_Budget!$T:$T,Opex_Budget!$A:$A,$C$3,Opex_Budget!$E:$E,$B$1162,Opex_Budget!$F:$F,$D$1162,Opex_Budget!$N:$N,"USD")*$F$5+SUMIFS(Opex_Budget!$T:$T,Opex_Budget!$A:$A,$C$3,Opex_Budget!$E:$E,$B$1162,Opex_Budget!$F:$F,$D$1162,Opex_Budget!$N:$N,"EUR")*$G$5+SUMIFS(Opex_Budget!$T:$T,Opex_Budget!$A:$A,$C$3,Opex_Budget!$E:$E,$B$1162,Opex_Budget!$F:$F,$D$1162,Opex_Budget!$N:$N,"GBP")*$H$5)</f>
        <v/>
      </c>
      <c r="N1162" s="32">
        <f>IF($B$1162="","",SUMIFS(Opex_Budget!$U:$U,Opex_Budget!$A:$A,$C$3,Opex_Budget!$E:$E,$B$1162,Opex_Budget!$F:$F,$D$1162,Opex_Budget!$N:$N,"JPY")*$E$5+SUMIFS(Opex_Budget!$U:$U,Opex_Budget!$A:$A,$C$3,Opex_Budget!$E:$E,$B$1162,Opex_Budget!$F:$F,$D$1162,Opex_Budget!$N:$N,"USD")*$F$5+SUMIFS(Opex_Budget!$U:$U,Opex_Budget!$A:$A,$C$3,Opex_Budget!$E:$E,$B$1162,Opex_Budget!$F:$F,$D$1162,Opex_Budget!$N:$N,"EUR")*$G$5+SUMIFS(Opex_Budget!$U:$U,Opex_Budget!$A:$A,$C$3,Opex_Budget!$E:$E,$B$1162,Opex_Budget!$F:$F,$D$1162,Opex_Budget!$N:$N,"GBP")*$H$5)</f>
        <v/>
      </c>
      <c r="O1162" s="32">
        <f>IF($B$1162="","",SUMIFS(Opex_Budget!$V:$V,Opex_Budget!$A:$A,$C$3,Opex_Budget!$E:$E,$B$1162,Opex_Budget!$F:$F,$D$1162,Opex_Budget!$N:$N,"JPY")*$E$5+SUMIFS(Opex_Budget!$V:$V,Opex_Budget!$A:$A,$C$3,Opex_Budget!$E:$E,$B$1162,Opex_Budget!$F:$F,$D$1162,Opex_Budget!$N:$N,"USD")*$F$5+SUMIFS(Opex_Budget!$V:$V,Opex_Budget!$A:$A,$C$3,Opex_Budget!$E:$E,$B$1162,Opex_Budget!$F:$F,$D$1162,Opex_Budget!$N:$N,"EUR")*$G$5+SUMIFS(Opex_Budget!$V:$V,Opex_Budget!$A:$A,$C$3,Opex_Budget!$E:$E,$B$1162,Opex_Budget!$F:$F,$D$1162,Opex_Budget!$N:$N,"GBP")*$H$5)</f>
        <v/>
      </c>
      <c r="P1162" s="32">
        <f>IF($B$1162="","",SUMIFS(Opex_Budget!$W:$W,Opex_Budget!$A:$A,$C$3,Opex_Budget!$E:$E,$B$1162,Opex_Budget!$F:$F,$D$1162,Opex_Budget!$N:$N,"JPY")*$E$5+SUMIFS(Opex_Budget!$W:$W,Opex_Budget!$A:$A,$C$3,Opex_Budget!$E:$E,$B$1162,Opex_Budget!$F:$F,$D$1162,Opex_Budget!$N:$N,"USD")*$F$5+SUMIFS(Opex_Budget!$W:$W,Opex_Budget!$A:$A,$C$3,Opex_Budget!$E:$E,$B$1162,Opex_Budget!$F:$F,$D$1162,Opex_Budget!$N:$N,"EUR")*$G$5+SUMIFS(Opex_Budget!$W:$W,Opex_Budget!$A:$A,$C$3,Opex_Budget!$E:$E,$B$1162,Opex_Budget!$F:$F,$D$1162,Opex_Budget!$N:$N,"GBP")*$H$5)</f>
        <v/>
      </c>
      <c r="Q1162" s="32">
        <f>IF($B$1162="","",SUMIFS(Opex_Budget!$X:$X,Opex_Budget!$A:$A,$C$3,Opex_Budget!$E:$E,$B$1162,Opex_Budget!$F:$F,$D$1162,Opex_Budget!$N:$N,"JPY")*$E$5+SUMIFS(Opex_Budget!$X:$X,Opex_Budget!$A:$A,$C$3,Opex_Budget!$E:$E,$B$1162,Opex_Budget!$F:$F,$D$1162,Opex_Budget!$N:$N,"USD")*$F$5+SUMIFS(Opex_Budget!$X:$X,Opex_Budget!$A:$A,$C$3,Opex_Budget!$E:$E,$B$1162,Opex_Budget!$F:$F,$D$1162,Opex_Budget!$N:$N,"EUR")*$G$5+SUMIFS(Opex_Budget!$X:$X,Opex_Budget!$A:$A,$C$3,Opex_Budget!$E:$E,$B$1162,Opex_Budget!$F:$F,$D$1162,Opex_Budget!$N:$N,"GBP")*$H$5)</f>
        <v/>
      </c>
      <c r="R1162" s="32">
        <f>IF($B$1162="","",SUMIFS(Opex_Budget!$Y:$Y,Opex_Budget!$A:$A,$C$3,Opex_Budget!$E:$E,$B$1162,Opex_Budget!$F:$F,$D$1162,Opex_Budget!$N:$N,"JPY")*$E$5+SUMIFS(Opex_Budget!$Y:$Y,Opex_Budget!$A:$A,$C$3,Opex_Budget!$E:$E,$B$1162,Opex_Budget!$F:$F,$D$1162,Opex_Budget!$N:$N,"USD")*$F$5+SUMIFS(Opex_Budget!$Y:$Y,Opex_Budget!$A:$A,$C$3,Opex_Budget!$E:$E,$B$1162,Opex_Budget!$F:$F,$D$1162,Opex_Budget!$N:$N,"EUR")*$G$5+SUMIFS(Opex_Budget!$Y:$Y,Opex_Budget!$A:$A,$C$3,Opex_Budget!$E:$E,$B$1162,Opex_Budget!$F:$F,$D$1162,Opex_Budget!$N:$N,"GBP")*$H$5)</f>
        <v/>
      </c>
      <c r="S1162" s="32">
        <f>IF($B$1162="","",SUMIFS(Opex_Budget!$Z:$Z,Opex_Budget!$A:$A,$C$3,Opex_Budget!$E:$E,$B$1162,Opex_Budget!$F:$F,$D$1162,Opex_Budget!$N:$N,"JPY")*$E$5+SUMIFS(Opex_Budget!$Z:$Z,Opex_Budget!$A:$A,$C$3,Opex_Budget!$E:$E,$B$1162,Opex_Budget!$F:$F,$D$1162,Opex_Budget!$N:$N,"USD")*$F$5+SUMIFS(Opex_Budget!$Z:$Z,Opex_Budget!$A:$A,$C$3,Opex_Budget!$E:$E,$B$1162,Opex_Budget!$F:$F,$D$1162,Opex_Budget!$N:$N,"EUR")*$G$5+SUMIFS(Opex_Budget!$Z:$Z,Opex_Budget!$A:$A,$C$3,Opex_Budget!$E:$E,$B$1162,Opex_Budget!$F:$F,$D$1162,Opex_Budget!$N:$N,"GBP")*$H$5)</f>
        <v/>
      </c>
      <c r="T1162" s="32">
        <f>IF($B$1162="","",SUMIF($H$7:$S$7,"&lt;="&amp;$C$4,$H1162:$S1162))</f>
        <v/>
      </c>
      <c r="U1162" s="32">
        <f>IF($B$1162="","",SUMIF($H$7:$S$7,"&gt;"&amp;$C$4,$H1162:$S1162))</f>
        <v/>
      </c>
      <c r="V1162" s="32">
        <f>IF($B$1162="","",SUM($H1162:$S1162))</f>
        <v/>
      </c>
      <c r="X1162" s="22">
        <f>IF($B1162="","",IFERROR(INDEX(Cost_Centers!$E:$E,MATCH($B1162,Cost_Centers!$A:$A,0)),"(unknown)"))</f>
        <v/>
      </c>
      <c r="Y1162" s="22">
        <f>IF($B1162="","",IFERROR(INDEX(Cost_Centers!$D:$D,MATCH($B1162,Cost_Centers!$A:$A,0)),"(unknown)"))</f>
        <v/>
      </c>
      <c r="Z1162" s="22">
        <f>IF(OR($B1162="",$G1162&lt;&gt;"Variance vs Budget"),"",ABS(N($V1162))+ROW()/1000000000)</f>
        <v/>
      </c>
    </row>
    <row r="1163">
      <c r="A1163" s="13">
        <f>IF(A$1162="","",A$1162)</f>
        <v/>
      </c>
      <c r="B1163" s="13">
        <f>IF(B$1162="","",B$1162)</f>
        <v/>
      </c>
      <c r="C1163" s="13">
        <f>IF(C$1162="","",C$1162)</f>
        <v/>
      </c>
      <c r="D1163" s="13">
        <f>IF(D$1162="","",D$1162)</f>
        <v/>
      </c>
      <c r="E1163" s="13">
        <f>IF(E$1162="","",E$1162)</f>
        <v/>
      </c>
      <c r="F1163" s="13">
        <f>IF(F$1162="","",F$1162)</f>
        <v/>
      </c>
      <c r="G1163" s="7" t="inlineStr">
        <is>
          <t>Actual</t>
        </is>
      </c>
      <c r="H1163" s="18">
        <f>IF(OR($B$1162="",1&gt;$C$4),"",SUMIFS(Actuals!$G:$G,Actuals!$B:$B,$C$3,Actuals!$C:$C,1,Actuals!$D:$D,$B$1162,Actuals!$A:$A,LEFT($D$1162,FIND("|",$D$1162&amp;"|")-1),Actuals!$E:$E,MID($D$1162,FIND("|",$D$1162&amp;"|")+1,50),Actuals!$F:$F,"JPY")*$E$5+SUMIFS(Actuals!$G:$G,Actuals!$B:$B,$C$3,Actuals!$C:$C,1,Actuals!$D:$D,$B$1162,Actuals!$A:$A,LEFT($D$1162,FIND("|",$D$1162&amp;"|")-1),Actuals!$E:$E,MID($D$1162,FIND("|",$D$1162&amp;"|")+1,50),Actuals!$F:$F,"USD")*$F$5+SUMIFS(Actuals!$G:$G,Actuals!$B:$B,$C$3,Actuals!$C:$C,1,Actuals!$D:$D,$B$1162,Actuals!$A:$A,LEFT($D$1162,FIND("|",$D$1162&amp;"|")-1),Actuals!$E:$E,MID($D$1162,FIND("|",$D$1162&amp;"|")+1,50),Actuals!$F:$F,"EUR")*$G$5+SUMIFS(Actuals!$G:$G,Actuals!$B:$B,$C$3,Actuals!$C:$C,1,Actuals!$D:$D,$B$1162,Actuals!$A:$A,LEFT($D$1162,FIND("|",$D$1162&amp;"|")-1),Actuals!$E:$E,MID($D$1162,FIND("|",$D$1162&amp;"|")+1,50),Actuals!$F:$F,"GBP")*$H$5)</f>
        <v/>
      </c>
      <c r="I1163" s="18">
        <f>IF(OR($B$1162="",2&gt;$C$4),"",SUMIFS(Actuals!$G:$G,Actuals!$B:$B,$C$3,Actuals!$C:$C,2,Actuals!$D:$D,$B$1162,Actuals!$A:$A,LEFT($D$1162,FIND("|",$D$1162&amp;"|")-1),Actuals!$E:$E,MID($D$1162,FIND("|",$D$1162&amp;"|")+1,50),Actuals!$F:$F,"JPY")*$E$5+SUMIFS(Actuals!$G:$G,Actuals!$B:$B,$C$3,Actuals!$C:$C,2,Actuals!$D:$D,$B$1162,Actuals!$A:$A,LEFT($D$1162,FIND("|",$D$1162&amp;"|")-1),Actuals!$E:$E,MID($D$1162,FIND("|",$D$1162&amp;"|")+1,50),Actuals!$F:$F,"USD")*$F$5+SUMIFS(Actuals!$G:$G,Actuals!$B:$B,$C$3,Actuals!$C:$C,2,Actuals!$D:$D,$B$1162,Actuals!$A:$A,LEFT($D$1162,FIND("|",$D$1162&amp;"|")-1),Actuals!$E:$E,MID($D$1162,FIND("|",$D$1162&amp;"|")+1,50),Actuals!$F:$F,"EUR")*$G$5+SUMIFS(Actuals!$G:$G,Actuals!$B:$B,$C$3,Actuals!$C:$C,2,Actuals!$D:$D,$B$1162,Actuals!$A:$A,LEFT($D$1162,FIND("|",$D$1162&amp;"|")-1),Actuals!$E:$E,MID($D$1162,FIND("|",$D$1162&amp;"|")+1,50),Actuals!$F:$F,"GBP")*$H$5)</f>
        <v/>
      </c>
      <c r="J1163" s="18">
        <f>IF(OR($B$1162="",3&gt;$C$4),"",SUMIFS(Actuals!$G:$G,Actuals!$B:$B,$C$3,Actuals!$C:$C,3,Actuals!$D:$D,$B$1162,Actuals!$A:$A,LEFT($D$1162,FIND("|",$D$1162&amp;"|")-1),Actuals!$E:$E,MID($D$1162,FIND("|",$D$1162&amp;"|")+1,50),Actuals!$F:$F,"JPY")*$E$5+SUMIFS(Actuals!$G:$G,Actuals!$B:$B,$C$3,Actuals!$C:$C,3,Actuals!$D:$D,$B$1162,Actuals!$A:$A,LEFT($D$1162,FIND("|",$D$1162&amp;"|")-1),Actuals!$E:$E,MID($D$1162,FIND("|",$D$1162&amp;"|")+1,50),Actuals!$F:$F,"USD")*$F$5+SUMIFS(Actuals!$G:$G,Actuals!$B:$B,$C$3,Actuals!$C:$C,3,Actuals!$D:$D,$B$1162,Actuals!$A:$A,LEFT($D$1162,FIND("|",$D$1162&amp;"|")-1),Actuals!$E:$E,MID($D$1162,FIND("|",$D$1162&amp;"|")+1,50),Actuals!$F:$F,"EUR")*$G$5+SUMIFS(Actuals!$G:$G,Actuals!$B:$B,$C$3,Actuals!$C:$C,3,Actuals!$D:$D,$B$1162,Actuals!$A:$A,LEFT($D$1162,FIND("|",$D$1162&amp;"|")-1),Actuals!$E:$E,MID($D$1162,FIND("|",$D$1162&amp;"|")+1,50),Actuals!$F:$F,"GBP")*$H$5)</f>
        <v/>
      </c>
      <c r="K1163" s="18">
        <f>IF(OR($B$1162="",4&gt;$C$4),"",SUMIFS(Actuals!$G:$G,Actuals!$B:$B,$C$3,Actuals!$C:$C,4,Actuals!$D:$D,$B$1162,Actuals!$A:$A,LEFT($D$1162,FIND("|",$D$1162&amp;"|")-1),Actuals!$E:$E,MID($D$1162,FIND("|",$D$1162&amp;"|")+1,50),Actuals!$F:$F,"JPY")*$E$5+SUMIFS(Actuals!$G:$G,Actuals!$B:$B,$C$3,Actuals!$C:$C,4,Actuals!$D:$D,$B$1162,Actuals!$A:$A,LEFT($D$1162,FIND("|",$D$1162&amp;"|")-1),Actuals!$E:$E,MID($D$1162,FIND("|",$D$1162&amp;"|")+1,50),Actuals!$F:$F,"USD")*$F$5+SUMIFS(Actuals!$G:$G,Actuals!$B:$B,$C$3,Actuals!$C:$C,4,Actuals!$D:$D,$B$1162,Actuals!$A:$A,LEFT($D$1162,FIND("|",$D$1162&amp;"|")-1),Actuals!$E:$E,MID($D$1162,FIND("|",$D$1162&amp;"|")+1,50),Actuals!$F:$F,"EUR")*$G$5+SUMIFS(Actuals!$G:$G,Actuals!$B:$B,$C$3,Actuals!$C:$C,4,Actuals!$D:$D,$B$1162,Actuals!$A:$A,LEFT($D$1162,FIND("|",$D$1162&amp;"|")-1),Actuals!$E:$E,MID($D$1162,FIND("|",$D$1162&amp;"|")+1,50),Actuals!$F:$F,"GBP")*$H$5)</f>
        <v/>
      </c>
      <c r="L1163" s="18">
        <f>IF(OR($B$1162="",5&gt;$C$4),"",SUMIFS(Actuals!$G:$G,Actuals!$B:$B,$C$3,Actuals!$C:$C,5,Actuals!$D:$D,$B$1162,Actuals!$A:$A,LEFT($D$1162,FIND("|",$D$1162&amp;"|")-1),Actuals!$E:$E,MID($D$1162,FIND("|",$D$1162&amp;"|")+1,50),Actuals!$F:$F,"JPY")*$E$5+SUMIFS(Actuals!$G:$G,Actuals!$B:$B,$C$3,Actuals!$C:$C,5,Actuals!$D:$D,$B$1162,Actuals!$A:$A,LEFT($D$1162,FIND("|",$D$1162&amp;"|")-1),Actuals!$E:$E,MID($D$1162,FIND("|",$D$1162&amp;"|")+1,50),Actuals!$F:$F,"USD")*$F$5+SUMIFS(Actuals!$G:$G,Actuals!$B:$B,$C$3,Actuals!$C:$C,5,Actuals!$D:$D,$B$1162,Actuals!$A:$A,LEFT($D$1162,FIND("|",$D$1162&amp;"|")-1),Actuals!$E:$E,MID($D$1162,FIND("|",$D$1162&amp;"|")+1,50),Actuals!$F:$F,"EUR")*$G$5+SUMIFS(Actuals!$G:$G,Actuals!$B:$B,$C$3,Actuals!$C:$C,5,Actuals!$D:$D,$B$1162,Actuals!$A:$A,LEFT($D$1162,FIND("|",$D$1162&amp;"|")-1),Actuals!$E:$E,MID($D$1162,FIND("|",$D$1162&amp;"|")+1,50),Actuals!$F:$F,"GBP")*$H$5)</f>
        <v/>
      </c>
      <c r="M1163" s="18">
        <f>IF(OR($B$1162="",6&gt;$C$4),"",SUMIFS(Actuals!$G:$G,Actuals!$B:$B,$C$3,Actuals!$C:$C,6,Actuals!$D:$D,$B$1162,Actuals!$A:$A,LEFT($D$1162,FIND("|",$D$1162&amp;"|")-1),Actuals!$E:$E,MID($D$1162,FIND("|",$D$1162&amp;"|")+1,50),Actuals!$F:$F,"JPY")*$E$5+SUMIFS(Actuals!$G:$G,Actuals!$B:$B,$C$3,Actuals!$C:$C,6,Actuals!$D:$D,$B$1162,Actuals!$A:$A,LEFT($D$1162,FIND("|",$D$1162&amp;"|")-1),Actuals!$E:$E,MID($D$1162,FIND("|",$D$1162&amp;"|")+1,50),Actuals!$F:$F,"USD")*$F$5+SUMIFS(Actuals!$G:$G,Actuals!$B:$B,$C$3,Actuals!$C:$C,6,Actuals!$D:$D,$B$1162,Actuals!$A:$A,LEFT($D$1162,FIND("|",$D$1162&amp;"|")-1),Actuals!$E:$E,MID($D$1162,FIND("|",$D$1162&amp;"|")+1,50),Actuals!$F:$F,"EUR")*$G$5+SUMIFS(Actuals!$G:$G,Actuals!$B:$B,$C$3,Actuals!$C:$C,6,Actuals!$D:$D,$B$1162,Actuals!$A:$A,LEFT($D$1162,FIND("|",$D$1162&amp;"|")-1),Actuals!$E:$E,MID($D$1162,FIND("|",$D$1162&amp;"|")+1,50),Actuals!$F:$F,"GBP")*$H$5)</f>
        <v/>
      </c>
      <c r="N1163" s="18">
        <f>IF(OR($B$1162="",7&gt;$C$4),"",SUMIFS(Actuals!$G:$G,Actuals!$B:$B,$C$3,Actuals!$C:$C,7,Actuals!$D:$D,$B$1162,Actuals!$A:$A,LEFT($D$1162,FIND("|",$D$1162&amp;"|")-1),Actuals!$E:$E,MID($D$1162,FIND("|",$D$1162&amp;"|")+1,50),Actuals!$F:$F,"JPY")*$E$5+SUMIFS(Actuals!$G:$G,Actuals!$B:$B,$C$3,Actuals!$C:$C,7,Actuals!$D:$D,$B$1162,Actuals!$A:$A,LEFT($D$1162,FIND("|",$D$1162&amp;"|")-1),Actuals!$E:$E,MID($D$1162,FIND("|",$D$1162&amp;"|")+1,50),Actuals!$F:$F,"USD")*$F$5+SUMIFS(Actuals!$G:$G,Actuals!$B:$B,$C$3,Actuals!$C:$C,7,Actuals!$D:$D,$B$1162,Actuals!$A:$A,LEFT($D$1162,FIND("|",$D$1162&amp;"|")-1),Actuals!$E:$E,MID($D$1162,FIND("|",$D$1162&amp;"|")+1,50),Actuals!$F:$F,"EUR")*$G$5+SUMIFS(Actuals!$G:$G,Actuals!$B:$B,$C$3,Actuals!$C:$C,7,Actuals!$D:$D,$B$1162,Actuals!$A:$A,LEFT($D$1162,FIND("|",$D$1162&amp;"|")-1),Actuals!$E:$E,MID($D$1162,FIND("|",$D$1162&amp;"|")+1,50),Actuals!$F:$F,"GBP")*$H$5)</f>
        <v/>
      </c>
      <c r="O1163" s="18">
        <f>IF(OR($B$1162="",8&gt;$C$4),"",SUMIFS(Actuals!$G:$G,Actuals!$B:$B,$C$3,Actuals!$C:$C,8,Actuals!$D:$D,$B$1162,Actuals!$A:$A,LEFT($D$1162,FIND("|",$D$1162&amp;"|")-1),Actuals!$E:$E,MID($D$1162,FIND("|",$D$1162&amp;"|")+1,50),Actuals!$F:$F,"JPY")*$E$5+SUMIFS(Actuals!$G:$G,Actuals!$B:$B,$C$3,Actuals!$C:$C,8,Actuals!$D:$D,$B$1162,Actuals!$A:$A,LEFT($D$1162,FIND("|",$D$1162&amp;"|")-1),Actuals!$E:$E,MID($D$1162,FIND("|",$D$1162&amp;"|")+1,50),Actuals!$F:$F,"USD")*$F$5+SUMIFS(Actuals!$G:$G,Actuals!$B:$B,$C$3,Actuals!$C:$C,8,Actuals!$D:$D,$B$1162,Actuals!$A:$A,LEFT($D$1162,FIND("|",$D$1162&amp;"|")-1),Actuals!$E:$E,MID($D$1162,FIND("|",$D$1162&amp;"|")+1,50),Actuals!$F:$F,"EUR")*$G$5+SUMIFS(Actuals!$G:$G,Actuals!$B:$B,$C$3,Actuals!$C:$C,8,Actuals!$D:$D,$B$1162,Actuals!$A:$A,LEFT($D$1162,FIND("|",$D$1162&amp;"|")-1),Actuals!$E:$E,MID($D$1162,FIND("|",$D$1162&amp;"|")+1,50),Actuals!$F:$F,"GBP")*$H$5)</f>
        <v/>
      </c>
      <c r="P1163" s="18">
        <f>IF(OR($B$1162="",9&gt;$C$4),"",SUMIFS(Actuals!$G:$G,Actuals!$B:$B,$C$3,Actuals!$C:$C,9,Actuals!$D:$D,$B$1162,Actuals!$A:$A,LEFT($D$1162,FIND("|",$D$1162&amp;"|")-1),Actuals!$E:$E,MID($D$1162,FIND("|",$D$1162&amp;"|")+1,50),Actuals!$F:$F,"JPY")*$E$5+SUMIFS(Actuals!$G:$G,Actuals!$B:$B,$C$3,Actuals!$C:$C,9,Actuals!$D:$D,$B$1162,Actuals!$A:$A,LEFT($D$1162,FIND("|",$D$1162&amp;"|")-1),Actuals!$E:$E,MID($D$1162,FIND("|",$D$1162&amp;"|")+1,50),Actuals!$F:$F,"USD")*$F$5+SUMIFS(Actuals!$G:$G,Actuals!$B:$B,$C$3,Actuals!$C:$C,9,Actuals!$D:$D,$B$1162,Actuals!$A:$A,LEFT($D$1162,FIND("|",$D$1162&amp;"|")-1),Actuals!$E:$E,MID($D$1162,FIND("|",$D$1162&amp;"|")+1,50),Actuals!$F:$F,"EUR")*$G$5+SUMIFS(Actuals!$G:$G,Actuals!$B:$B,$C$3,Actuals!$C:$C,9,Actuals!$D:$D,$B$1162,Actuals!$A:$A,LEFT($D$1162,FIND("|",$D$1162&amp;"|")-1),Actuals!$E:$E,MID($D$1162,FIND("|",$D$1162&amp;"|")+1,50),Actuals!$F:$F,"GBP")*$H$5)</f>
        <v/>
      </c>
      <c r="Q1163" s="18">
        <f>IF(OR($B$1162="",10&gt;$C$4),"",SUMIFS(Actuals!$G:$G,Actuals!$B:$B,$C$3,Actuals!$C:$C,10,Actuals!$D:$D,$B$1162,Actuals!$A:$A,LEFT($D$1162,FIND("|",$D$1162&amp;"|")-1),Actuals!$E:$E,MID($D$1162,FIND("|",$D$1162&amp;"|")+1,50),Actuals!$F:$F,"JPY")*$E$5+SUMIFS(Actuals!$G:$G,Actuals!$B:$B,$C$3,Actuals!$C:$C,10,Actuals!$D:$D,$B$1162,Actuals!$A:$A,LEFT($D$1162,FIND("|",$D$1162&amp;"|")-1),Actuals!$E:$E,MID($D$1162,FIND("|",$D$1162&amp;"|")+1,50),Actuals!$F:$F,"USD")*$F$5+SUMIFS(Actuals!$G:$G,Actuals!$B:$B,$C$3,Actuals!$C:$C,10,Actuals!$D:$D,$B$1162,Actuals!$A:$A,LEFT($D$1162,FIND("|",$D$1162&amp;"|")-1),Actuals!$E:$E,MID($D$1162,FIND("|",$D$1162&amp;"|")+1,50),Actuals!$F:$F,"EUR")*$G$5+SUMIFS(Actuals!$G:$G,Actuals!$B:$B,$C$3,Actuals!$C:$C,10,Actuals!$D:$D,$B$1162,Actuals!$A:$A,LEFT($D$1162,FIND("|",$D$1162&amp;"|")-1),Actuals!$E:$E,MID($D$1162,FIND("|",$D$1162&amp;"|")+1,50),Actuals!$F:$F,"GBP")*$H$5)</f>
        <v/>
      </c>
      <c r="R1163" s="18">
        <f>IF(OR($B$1162="",11&gt;$C$4),"",SUMIFS(Actuals!$G:$G,Actuals!$B:$B,$C$3,Actuals!$C:$C,11,Actuals!$D:$D,$B$1162,Actuals!$A:$A,LEFT($D$1162,FIND("|",$D$1162&amp;"|")-1),Actuals!$E:$E,MID($D$1162,FIND("|",$D$1162&amp;"|")+1,50),Actuals!$F:$F,"JPY")*$E$5+SUMIFS(Actuals!$G:$G,Actuals!$B:$B,$C$3,Actuals!$C:$C,11,Actuals!$D:$D,$B$1162,Actuals!$A:$A,LEFT($D$1162,FIND("|",$D$1162&amp;"|")-1),Actuals!$E:$E,MID($D$1162,FIND("|",$D$1162&amp;"|")+1,50),Actuals!$F:$F,"USD")*$F$5+SUMIFS(Actuals!$G:$G,Actuals!$B:$B,$C$3,Actuals!$C:$C,11,Actuals!$D:$D,$B$1162,Actuals!$A:$A,LEFT($D$1162,FIND("|",$D$1162&amp;"|")-1),Actuals!$E:$E,MID($D$1162,FIND("|",$D$1162&amp;"|")+1,50),Actuals!$F:$F,"EUR")*$G$5+SUMIFS(Actuals!$G:$G,Actuals!$B:$B,$C$3,Actuals!$C:$C,11,Actuals!$D:$D,$B$1162,Actuals!$A:$A,LEFT($D$1162,FIND("|",$D$1162&amp;"|")-1),Actuals!$E:$E,MID($D$1162,FIND("|",$D$1162&amp;"|")+1,50),Actuals!$F:$F,"GBP")*$H$5)</f>
        <v/>
      </c>
      <c r="S1163" s="18">
        <f>IF(OR($B$1162="",12&gt;$C$4),"",SUMIFS(Actuals!$G:$G,Actuals!$B:$B,$C$3,Actuals!$C:$C,12,Actuals!$D:$D,$B$1162,Actuals!$A:$A,LEFT($D$1162,FIND("|",$D$1162&amp;"|")-1),Actuals!$E:$E,MID($D$1162,FIND("|",$D$1162&amp;"|")+1,50),Actuals!$F:$F,"JPY")*$E$5+SUMIFS(Actuals!$G:$G,Actuals!$B:$B,$C$3,Actuals!$C:$C,12,Actuals!$D:$D,$B$1162,Actuals!$A:$A,LEFT($D$1162,FIND("|",$D$1162&amp;"|")-1),Actuals!$E:$E,MID($D$1162,FIND("|",$D$1162&amp;"|")+1,50),Actuals!$F:$F,"USD")*$F$5+SUMIFS(Actuals!$G:$G,Actuals!$B:$B,$C$3,Actuals!$C:$C,12,Actuals!$D:$D,$B$1162,Actuals!$A:$A,LEFT($D$1162,FIND("|",$D$1162&amp;"|")-1),Actuals!$E:$E,MID($D$1162,FIND("|",$D$1162&amp;"|")+1,50),Actuals!$F:$F,"EUR")*$G$5+SUMIFS(Actuals!$G:$G,Actuals!$B:$B,$C$3,Actuals!$C:$C,12,Actuals!$D:$D,$B$1162,Actuals!$A:$A,LEFT($D$1162,FIND("|",$D$1162&amp;"|")-1),Actuals!$E:$E,MID($D$1162,FIND("|",$D$1162&amp;"|")+1,50),Actuals!$F:$F,"GBP")*$H$5)</f>
        <v/>
      </c>
      <c r="T1163" s="18">
        <f>IF($B$1162="","",SUMIF($H$7:$S$7,"&lt;="&amp;$C$4,$H1163:$S1163))</f>
        <v/>
      </c>
      <c r="U1163" s="18" t="n"/>
      <c r="V1163" s="18" t="n"/>
      <c r="X1163" s="22">
        <f>IF($B1163="","",IFERROR(INDEX(Cost_Centers!$E:$E,MATCH($B1163,Cost_Centers!$A:$A,0)),"(unknown)"))</f>
        <v/>
      </c>
      <c r="Y1163" s="22">
        <f>IF($B1163="","",IFERROR(INDEX(Cost_Centers!$D:$D,MATCH($B1163,Cost_Centers!$A:$A,0)),"(unknown)"))</f>
        <v/>
      </c>
      <c r="Z1163" s="22">
        <f>IF(OR($B1163="",$G1163&lt;&gt;"Variance vs Budget"),"",ABS(N($V1163))+ROW()/1000000000)</f>
        <v/>
      </c>
    </row>
    <row r="1164">
      <c r="A1164" s="13">
        <f>IF(A$1162="","",A$1162)</f>
        <v/>
      </c>
      <c r="B1164" s="13">
        <f>IF(B$1162="","",B$1162)</f>
        <v/>
      </c>
      <c r="C1164" s="13">
        <f>IF(C$1162="","",C$1162)</f>
        <v/>
      </c>
      <c r="D1164" s="13">
        <f>IF(D$1162="","",D$1162)</f>
        <v/>
      </c>
      <c r="E1164" s="13">
        <f>IF(E$1162="","",E$1162)</f>
        <v/>
      </c>
      <c r="F1164" s="13">
        <f>IF(F$1162="","",F$1162)</f>
        <v/>
      </c>
      <c r="G1164" s="6" t="inlineStr">
        <is>
          <t>Variance vs Budget</t>
        </is>
      </c>
      <c r="H1164" s="33">
        <f>IF(OR($B$1162="",1&gt;$C$4),"",N(H1163)-H1162)</f>
        <v/>
      </c>
      <c r="I1164" s="33">
        <f>IF(OR($B$1162="",2&gt;$C$4),"",N(I1163)-I1162)</f>
        <v/>
      </c>
      <c r="J1164" s="33">
        <f>IF(OR($B$1162="",3&gt;$C$4),"",N(J1163)-J1162)</f>
        <v/>
      </c>
      <c r="K1164" s="33">
        <f>IF(OR($B$1162="",4&gt;$C$4),"",N(K1163)-K1162)</f>
        <v/>
      </c>
      <c r="L1164" s="33">
        <f>IF(OR($B$1162="",5&gt;$C$4),"",N(L1163)-L1162)</f>
        <v/>
      </c>
      <c r="M1164" s="33">
        <f>IF(OR($B$1162="",6&gt;$C$4),"",N(M1163)-M1162)</f>
        <v/>
      </c>
      <c r="N1164" s="33">
        <f>IF(OR($B$1162="",7&gt;$C$4),"",N(N1163)-N1162)</f>
        <v/>
      </c>
      <c r="O1164" s="33">
        <f>IF(OR($B$1162="",8&gt;$C$4),"",N(O1163)-O1162)</f>
        <v/>
      </c>
      <c r="P1164" s="33">
        <f>IF(OR($B$1162="",9&gt;$C$4),"",N(P1163)-P1162)</f>
        <v/>
      </c>
      <c r="Q1164" s="33">
        <f>IF(OR($B$1162="",10&gt;$C$4),"",N(Q1163)-Q1162)</f>
        <v/>
      </c>
      <c r="R1164" s="33">
        <f>IF(OR($B$1162="",11&gt;$C$4),"",N(R1163)-R1162)</f>
        <v/>
      </c>
      <c r="S1164" s="33">
        <f>IF(OR($B$1162="",12&gt;$C$4),"",N(S1163)-S1162)</f>
        <v/>
      </c>
      <c r="T1164" s="33">
        <f>IF($B$1162="","",T1163-T1162)</f>
        <v/>
      </c>
      <c r="U1164" s="33">
        <f>IF($B$1162="","",U1166-U1162)</f>
        <v/>
      </c>
      <c r="V1164" s="33">
        <f>IF($B$1162="","",V1166-V1162)</f>
        <v/>
      </c>
      <c r="X1164" s="22">
        <f>IF($B1164="","",IFERROR(INDEX(Cost_Centers!$E:$E,MATCH($B1164,Cost_Centers!$A:$A,0)),"(unknown)"))</f>
        <v/>
      </c>
      <c r="Y1164" s="22">
        <f>IF($B1164="","",IFERROR(INDEX(Cost_Centers!$D:$D,MATCH($B1164,Cost_Centers!$A:$A,0)),"(unknown)"))</f>
        <v/>
      </c>
      <c r="Z1164" s="22">
        <f>IF(OR($B1164="",$G1164&lt;&gt;"Variance vs Budget"),"",ABS(N($V1164))+ROW()/1000000000)</f>
        <v/>
      </c>
    </row>
    <row r="1165">
      <c r="A1165" s="13">
        <f>IF(A$1162="","",A$1162)</f>
        <v/>
      </c>
      <c r="B1165" s="13">
        <f>IF(B$1162="","",B$1162)</f>
        <v/>
      </c>
      <c r="C1165" s="13">
        <f>IF(C$1162="","",C$1162)</f>
        <v/>
      </c>
      <c r="D1165" s="13">
        <f>IF(D$1162="","",D$1162)</f>
        <v/>
      </c>
      <c r="E1165" s="13">
        <f>IF(E$1162="","",E$1162)</f>
        <v/>
      </c>
      <c r="F1165" s="13">
        <f>IF(F$1162="","",F$1162)</f>
        <v/>
      </c>
      <c r="G1165" s="7" t="inlineStr">
        <is>
          <t>Forecast (input)</t>
        </is>
      </c>
      <c r="H1165" s="34" t="n"/>
      <c r="I1165" s="34" t="n"/>
      <c r="J1165" s="34" t="n"/>
      <c r="K1165" s="34" t="n"/>
      <c r="L1165" s="34" t="n"/>
      <c r="M1165" s="34" t="n"/>
      <c r="N1165" s="34" t="n"/>
      <c r="O1165" s="34" t="n"/>
      <c r="P1165" s="34" t="n"/>
      <c r="Q1165" s="34" t="n"/>
      <c r="R1165" s="34" t="n"/>
      <c r="S1165" s="34" t="n"/>
      <c r="T1165" s="18" t="n"/>
      <c r="U1165" s="18" t="n"/>
      <c r="V1165" s="18" t="n"/>
      <c r="X1165" s="22">
        <f>IF($B1165="","",IFERROR(INDEX(Cost_Centers!$E:$E,MATCH($B1165,Cost_Centers!$A:$A,0)),"(unknown)"))</f>
        <v/>
      </c>
      <c r="Y1165" s="22">
        <f>IF($B1165="","",IFERROR(INDEX(Cost_Centers!$D:$D,MATCH($B1165,Cost_Centers!$A:$A,0)),"(unknown)"))</f>
        <v/>
      </c>
      <c r="Z1165" s="22">
        <f>IF(OR($B1165="",$G1165&lt;&gt;"Variance vs Budget"),"",ABS(N($V1165))+ROW()/1000000000)</f>
        <v/>
      </c>
    </row>
    <row r="1166">
      <c r="A1166" s="13">
        <f>IF(A$1162="","",A$1162)</f>
        <v/>
      </c>
      <c r="B1166" s="13">
        <f>IF(B$1162="","",B$1162)</f>
        <v/>
      </c>
      <c r="C1166" s="13">
        <f>IF(C$1162="","",C$1162)</f>
        <v/>
      </c>
      <c r="D1166" s="13">
        <f>IF(D$1162="","",D$1162)</f>
        <v/>
      </c>
      <c r="E1166" s="13">
        <f>IF(E$1162="","",E$1162)</f>
        <v/>
      </c>
      <c r="F1166" s="13">
        <f>IF(F$1162="","",F$1162)</f>
        <v/>
      </c>
      <c r="G1166" s="35" t="inlineStr">
        <is>
          <t>Actual + Forecast</t>
        </is>
      </c>
      <c r="H1166" s="18">
        <f>IF($B$1162="","",IF(1&lt;=$C$4,N(H1163),IF(H1165="",H1162,H1165)))</f>
        <v/>
      </c>
      <c r="I1166" s="18">
        <f>IF($B$1162="","",IF(2&lt;=$C$4,N(I1163),IF(I1165="",I1162,I1165)))</f>
        <v/>
      </c>
      <c r="J1166" s="18">
        <f>IF($B$1162="","",IF(3&lt;=$C$4,N(J1163),IF(J1165="",J1162,J1165)))</f>
        <v/>
      </c>
      <c r="K1166" s="18">
        <f>IF($B$1162="","",IF(4&lt;=$C$4,N(K1163),IF(K1165="",K1162,K1165)))</f>
        <v/>
      </c>
      <c r="L1166" s="18">
        <f>IF($B$1162="","",IF(5&lt;=$C$4,N(L1163),IF(L1165="",L1162,L1165)))</f>
        <v/>
      </c>
      <c r="M1166" s="18">
        <f>IF($B$1162="","",IF(6&lt;=$C$4,N(M1163),IF(M1165="",M1162,M1165)))</f>
        <v/>
      </c>
      <c r="N1166" s="18">
        <f>IF($B$1162="","",IF(7&lt;=$C$4,N(N1163),IF(N1165="",N1162,N1165)))</f>
        <v/>
      </c>
      <c r="O1166" s="18">
        <f>IF($B$1162="","",IF(8&lt;=$C$4,N(O1163),IF(O1165="",O1162,O1165)))</f>
        <v/>
      </c>
      <c r="P1166" s="18">
        <f>IF($B$1162="","",IF(9&lt;=$C$4,N(P1163),IF(P1165="",P1162,P1165)))</f>
        <v/>
      </c>
      <c r="Q1166" s="18">
        <f>IF($B$1162="","",IF(10&lt;=$C$4,N(Q1163),IF(Q1165="",Q1162,Q1165)))</f>
        <v/>
      </c>
      <c r="R1166" s="18">
        <f>IF($B$1162="","",IF(11&lt;=$C$4,N(R1163),IF(R1165="",R1162,R1165)))</f>
        <v/>
      </c>
      <c r="S1166" s="18">
        <f>IF($B$1162="","",IF(12&lt;=$C$4,N(S1163),IF(S1165="",S1162,S1165)))</f>
        <v/>
      </c>
      <c r="T1166" s="18">
        <f>IF($B$1162="","",SUMIF($H$7:$S$7,"&lt;="&amp;$C$4,$H1166:$S1166))</f>
        <v/>
      </c>
      <c r="U1166" s="18">
        <f>IF($B$1162="","",SUMIF($H$7:$S$7,"&gt;"&amp;$C$4,$H1166:$S1166))</f>
        <v/>
      </c>
      <c r="V1166" s="18">
        <f>IF($B$1162="","",SUM($H1166:$S1166))</f>
        <v/>
      </c>
      <c r="X1166" s="22">
        <f>IF($B1166="","",IFERROR(INDEX(Cost_Centers!$E:$E,MATCH($B1166,Cost_Centers!$A:$A,0)),"(unknown)"))</f>
        <v/>
      </c>
      <c r="Y1166" s="22">
        <f>IF($B1166="","",IFERROR(INDEX(Cost_Centers!$D:$D,MATCH($B1166,Cost_Centers!$A:$A,0)),"(unknown)"))</f>
        <v/>
      </c>
      <c r="Z1166" s="22">
        <f>IF(OR($B1166="",$G1166&lt;&gt;"Variance vs Budget"),"",ABS(N($V1166))+ROW()/1000000000)</f>
        <v/>
      </c>
    </row>
    <row r="1167">
      <c r="A1167" s="13">
        <f>IF(A$1162="","",A$1162)</f>
        <v/>
      </c>
      <c r="B1167" s="13">
        <f>IF(B$1162="","",B$1162)</f>
        <v/>
      </c>
      <c r="C1167" s="13">
        <f>IF(C$1162="","",C$1162)</f>
        <v/>
      </c>
      <c r="D1167" s="13">
        <f>IF(D$1162="","",D$1162)</f>
        <v/>
      </c>
      <c r="E1167" s="13">
        <f>IF(E$1162="","",E$1162)</f>
        <v/>
      </c>
      <c r="F1167" s="13">
        <f>IF(F$1162="","",F$1162)</f>
        <v/>
      </c>
      <c r="G1167" s="36" t="inlineStr">
        <is>
          <t>Prior Month Forecast</t>
        </is>
      </c>
      <c r="H1167" s="37">
        <f>IF($B$1162="","",IF(COUNTIFS(Prior_Forecast!$A:$A,$B$1162,Prior_Forecast!$B:$B,$D$1162)&gt;0,SUMIFS(Prior_Forecast!$C:$C,Prior_Forecast!$A:$A,$B$1162,Prior_Forecast!$B:$B,$D$1162),""))</f>
        <v/>
      </c>
      <c r="I1167" s="37">
        <f>IF($B$1162="","",IF(COUNTIFS(Prior_Forecast!$A:$A,$B$1162,Prior_Forecast!$B:$B,$D$1162)&gt;0,SUMIFS(Prior_Forecast!$D:$D,Prior_Forecast!$A:$A,$B$1162,Prior_Forecast!$B:$B,$D$1162),""))</f>
        <v/>
      </c>
      <c r="J1167" s="37">
        <f>IF($B$1162="","",IF(COUNTIFS(Prior_Forecast!$A:$A,$B$1162,Prior_Forecast!$B:$B,$D$1162)&gt;0,SUMIFS(Prior_Forecast!$E:$E,Prior_Forecast!$A:$A,$B$1162,Prior_Forecast!$B:$B,$D$1162),""))</f>
        <v/>
      </c>
      <c r="K1167" s="37">
        <f>IF($B$1162="","",IF(COUNTIFS(Prior_Forecast!$A:$A,$B$1162,Prior_Forecast!$B:$B,$D$1162)&gt;0,SUMIFS(Prior_Forecast!$F:$F,Prior_Forecast!$A:$A,$B$1162,Prior_Forecast!$B:$B,$D$1162),""))</f>
        <v/>
      </c>
      <c r="L1167" s="37">
        <f>IF($B$1162="","",IF(COUNTIFS(Prior_Forecast!$A:$A,$B$1162,Prior_Forecast!$B:$B,$D$1162)&gt;0,SUMIFS(Prior_Forecast!$G:$G,Prior_Forecast!$A:$A,$B$1162,Prior_Forecast!$B:$B,$D$1162),""))</f>
        <v/>
      </c>
      <c r="M1167" s="37">
        <f>IF($B$1162="","",IF(COUNTIFS(Prior_Forecast!$A:$A,$B$1162,Prior_Forecast!$B:$B,$D$1162)&gt;0,SUMIFS(Prior_Forecast!$H:$H,Prior_Forecast!$A:$A,$B$1162,Prior_Forecast!$B:$B,$D$1162),""))</f>
        <v/>
      </c>
      <c r="N1167" s="37">
        <f>IF($B$1162="","",IF(COUNTIFS(Prior_Forecast!$A:$A,$B$1162,Prior_Forecast!$B:$B,$D$1162)&gt;0,SUMIFS(Prior_Forecast!$I:$I,Prior_Forecast!$A:$A,$B$1162,Prior_Forecast!$B:$B,$D$1162),""))</f>
        <v/>
      </c>
      <c r="O1167" s="37">
        <f>IF($B$1162="","",IF(COUNTIFS(Prior_Forecast!$A:$A,$B$1162,Prior_Forecast!$B:$B,$D$1162)&gt;0,SUMIFS(Prior_Forecast!$J:$J,Prior_Forecast!$A:$A,$B$1162,Prior_Forecast!$B:$B,$D$1162),""))</f>
        <v/>
      </c>
      <c r="P1167" s="37">
        <f>IF($B$1162="","",IF(COUNTIFS(Prior_Forecast!$A:$A,$B$1162,Prior_Forecast!$B:$B,$D$1162)&gt;0,SUMIFS(Prior_Forecast!$K:$K,Prior_Forecast!$A:$A,$B$1162,Prior_Forecast!$B:$B,$D$1162),""))</f>
        <v/>
      </c>
      <c r="Q1167" s="37">
        <f>IF($B$1162="","",IF(COUNTIFS(Prior_Forecast!$A:$A,$B$1162,Prior_Forecast!$B:$B,$D$1162)&gt;0,SUMIFS(Prior_Forecast!$L:$L,Prior_Forecast!$A:$A,$B$1162,Prior_Forecast!$B:$B,$D$1162),""))</f>
        <v/>
      </c>
      <c r="R1167" s="37">
        <f>IF($B$1162="","",IF(COUNTIFS(Prior_Forecast!$A:$A,$B$1162,Prior_Forecast!$B:$B,$D$1162)&gt;0,SUMIFS(Prior_Forecast!$M:$M,Prior_Forecast!$A:$A,$B$1162,Prior_Forecast!$B:$B,$D$1162),""))</f>
        <v/>
      </c>
      <c r="S1167" s="37">
        <f>IF($B$1162="","",IF(COUNTIFS(Prior_Forecast!$A:$A,$B$1162,Prior_Forecast!$B:$B,$D$1162)&gt;0,SUMIFS(Prior_Forecast!$N:$N,Prior_Forecast!$A:$A,$B$1162,Prior_Forecast!$B:$B,$D$1162),""))</f>
        <v/>
      </c>
      <c r="T1167" s="37">
        <f>IF($B$1162="","",IF(COUNTIFS(Prior_Forecast!$A:$A,$B$1162,Prior_Forecast!$B:$B,$D$1162)&gt;0,SUMIFS(Prior_Forecast!$O:$O,Prior_Forecast!$A:$A,$B$1162,Prior_Forecast!$B:$B,$D$1162),""))</f>
        <v/>
      </c>
      <c r="U1167" s="37">
        <f>IF($B$1162="","",IF(COUNTIFS(Prior_Forecast!$A:$A,$B$1162,Prior_Forecast!$B:$B,$D$1162)&gt;0,SUMIFS(Prior_Forecast!$P:$P,Prior_Forecast!$A:$A,$B$1162,Prior_Forecast!$B:$B,$D$1162),""))</f>
        <v/>
      </c>
      <c r="V1167" s="37">
        <f>IF($B$1162="","",IF(COUNTIFS(Prior_Forecast!$A:$A,$B$1162,Prior_Forecast!$B:$B,$D$1162)&gt;0,SUMIFS(Prior_Forecast!$Q:$Q,Prior_Forecast!$A:$A,$B$1162,Prior_Forecast!$B:$B,$D$1162),""))</f>
        <v/>
      </c>
      <c r="X1167" s="22">
        <f>IF($B1167="","",IFERROR(INDEX(Cost_Centers!$E:$E,MATCH($B1167,Cost_Centers!$A:$A,0)),"(unknown)"))</f>
        <v/>
      </c>
      <c r="Y1167" s="22">
        <f>IF($B1167="","",IFERROR(INDEX(Cost_Centers!$D:$D,MATCH($B1167,Cost_Centers!$A:$A,0)),"(unknown)"))</f>
        <v/>
      </c>
      <c r="Z1167" s="22">
        <f>IF(OR($B1167="",$G1167&lt;&gt;"Variance vs Budget"),"",ABS(N($V1167))+ROW()/1000000000)</f>
        <v/>
      </c>
    </row>
    <row r="1168">
      <c r="A1168" s="13">
        <f>IF(A$1162="","",A$1162)</f>
        <v/>
      </c>
      <c r="B1168" s="13">
        <f>IF(B$1162="","",B$1162)</f>
        <v/>
      </c>
      <c r="C1168" s="13">
        <f>IF(C$1162="","",C$1162)</f>
        <v/>
      </c>
      <c r="D1168" s="13">
        <f>IF(D$1162="","",D$1162)</f>
        <v/>
      </c>
      <c r="E1168" s="13">
        <f>IF(E$1162="","",E$1162)</f>
        <v/>
      </c>
      <c r="F1168" s="13">
        <f>IF(F$1162="","",F$1162)</f>
        <v/>
      </c>
      <c r="G1168" s="6" t="inlineStr">
        <is>
          <t>Variance vs Prior Month</t>
        </is>
      </c>
      <c r="H1168" s="33">
        <f>IF(OR($B$1162="",H1167=""),"",H1166-H1167)</f>
        <v/>
      </c>
      <c r="I1168" s="33">
        <f>IF(OR($B$1162="",I1167=""),"",I1166-I1167)</f>
        <v/>
      </c>
      <c r="J1168" s="33">
        <f>IF(OR($B$1162="",J1167=""),"",J1166-J1167)</f>
        <v/>
      </c>
      <c r="K1168" s="33">
        <f>IF(OR($B$1162="",K1167=""),"",K1166-K1167)</f>
        <v/>
      </c>
      <c r="L1168" s="33">
        <f>IF(OR($B$1162="",L1167=""),"",L1166-L1167)</f>
        <v/>
      </c>
      <c r="M1168" s="33">
        <f>IF(OR($B$1162="",M1167=""),"",M1166-M1167)</f>
        <v/>
      </c>
      <c r="N1168" s="33">
        <f>IF(OR($B$1162="",N1167=""),"",N1166-N1167)</f>
        <v/>
      </c>
      <c r="O1168" s="33">
        <f>IF(OR($B$1162="",O1167=""),"",O1166-O1167)</f>
        <v/>
      </c>
      <c r="P1168" s="33">
        <f>IF(OR($B$1162="",P1167=""),"",P1166-P1167)</f>
        <v/>
      </c>
      <c r="Q1168" s="33">
        <f>IF(OR($B$1162="",Q1167=""),"",Q1166-Q1167)</f>
        <v/>
      </c>
      <c r="R1168" s="33">
        <f>IF(OR($B$1162="",R1167=""),"",R1166-R1167)</f>
        <v/>
      </c>
      <c r="S1168" s="33">
        <f>IF(OR($B$1162="",S1167=""),"",S1166-S1167)</f>
        <v/>
      </c>
      <c r="T1168" s="33">
        <f>IF(OR($B$1162="",T1167=""),"",T1166-T1167)</f>
        <v/>
      </c>
      <c r="U1168" s="33">
        <f>IF(OR($B$1162="",U1167=""),"",U1166-U1167)</f>
        <v/>
      </c>
      <c r="V1168" s="33">
        <f>IF(OR($B$1162="",V1167=""),"",V1166-V1167)</f>
        <v/>
      </c>
      <c r="X1168" s="22">
        <f>IF($B1168="","",IFERROR(INDEX(Cost_Centers!$E:$E,MATCH($B1168,Cost_Centers!$A:$A,0)),"(unknown)"))</f>
        <v/>
      </c>
      <c r="Y1168" s="22">
        <f>IF($B1168="","",IFERROR(INDEX(Cost_Centers!$D:$D,MATCH($B1168,Cost_Centers!$A:$A,0)),"(unknown)"))</f>
        <v/>
      </c>
      <c r="Z1168" s="22">
        <f>IF(OR($B1168="",$G1168&lt;&gt;"Variance vs Budget"),"",ABS(N($V1168))+ROW()/1000000000)</f>
        <v/>
      </c>
    </row>
    <row r="1169" ht="45" customHeight="1">
      <c r="A1169" s="13">
        <f>IF(A$1162="","",A$1162)</f>
        <v/>
      </c>
      <c r="B1169" s="13">
        <f>IF(B$1162="","",B$1162)</f>
        <v/>
      </c>
      <c r="C1169" s="13">
        <f>IF(C$1162="","",C$1162)</f>
        <v/>
      </c>
      <c r="D1169" s="13">
        <f>IF(D$1162="","",D$1162)</f>
        <v/>
      </c>
      <c r="E1169" s="13">
        <f>IF(E$1162="","",E$1162)</f>
        <v/>
      </c>
      <c r="F1169" s="13">
        <f>IF(F$1162="","",F$1162)</f>
        <v/>
      </c>
      <c r="G1169" s="7" t="inlineStr">
        <is>
          <t>Rationale</t>
        </is>
      </c>
      <c r="H1169" s="38" t="n"/>
      <c r="I1169" s="38" t="n"/>
      <c r="J1169" s="38" t="n"/>
      <c r="K1169" s="38" t="n"/>
      <c r="L1169" s="38" t="n"/>
      <c r="M1169" s="38" t="n"/>
      <c r="N1169" s="38" t="n"/>
      <c r="O1169" s="38" t="n"/>
      <c r="P1169" s="38" t="n"/>
      <c r="Q1169" s="38" t="n"/>
      <c r="R1169" s="38" t="n"/>
      <c r="S1169" s="38" t="n"/>
      <c r="T1169" s="38" t="n"/>
      <c r="U1169" s="38" t="n"/>
      <c r="V1169" s="7" t="n"/>
      <c r="X1169" s="22">
        <f>IF($B1169="","",IFERROR(INDEX(Cost_Centers!$E:$E,MATCH($B1169,Cost_Centers!$A:$A,0)),"(unknown)"))</f>
        <v/>
      </c>
      <c r="Y1169" s="22">
        <f>IF($B1169="","",IFERROR(INDEX(Cost_Centers!$D:$D,MATCH($B1169,Cost_Centers!$A:$A,0)),"(unknown)"))</f>
        <v/>
      </c>
      <c r="Z1169" s="22">
        <f>IF(OR($B1169="",$G1169&lt;&gt;"Variance vs Budget"),"",ABS(N($V1169))+ROW()/1000000000)</f>
        <v/>
      </c>
    </row>
    <row r="1170">
      <c r="A1170" s="30">
        <f>IF($D$1170="","",LEFT($D$1170,FIND("|",$D$1170&amp;"|")-1))</f>
        <v/>
      </c>
      <c r="B1170" s="31" t="n"/>
      <c r="C1170" s="30">
        <f>IF($B$1170="","",IFERROR(INDEX(Cost_Centers!$B:$B,MATCH($B$1170,Cost_Centers!$A:$A,0)),"(not in master)"))</f>
        <v/>
      </c>
      <c r="D1170" s="31" t="n"/>
      <c r="E1170" s="30">
        <f>IF($D$1170="","",IFERROR(INDEX(Accounts!$D:$D,MATCH($D$1170,Accounts!$A:$A,0)),"(not in master)"))</f>
        <v/>
      </c>
      <c r="F1170" s="31" t="n"/>
      <c r="G1170" s="30" t="inlineStr">
        <is>
          <t>Budget</t>
        </is>
      </c>
      <c r="H1170" s="32">
        <f>IF($B$1170="","",SUMIFS(Opex_Budget!$O:$O,Opex_Budget!$A:$A,$C$3,Opex_Budget!$E:$E,$B$1170,Opex_Budget!$F:$F,$D$1170,Opex_Budget!$N:$N,"JPY")*$E$5+SUMIFS(Opex_Budget!$O:$O,Opex_Budget!$A:$A,$C$3,Opex_Budget!$E:$E,$B$1170,Opex_Budget!$F:$F,$D$1170,Opex_Budget!$N:$N,"USD")*$F$5+SUMIFS(Opex_Budget!$O:$O,Opex_Budget!$A:$A,$C$3,Opex_Budget!$E:$E,$B$1170,Opex_Budget!$F:$F,$D$1170,Opex_Budget!$N:$N,"EUR")*$G$5+SUMIFS(Opex_Budget!$O:$O,Opex_Budget!$A:$A,$C$3,Opex_Budget!$E:$E,$B$1170,Opex_Budget!$F:$F,$D$1170,Opex_Budget!$N:$N,"GBP")*$H$5)</f>
        <v/>
      </c>
      <c r="I1170" s="32">
        <f>IF($B$1170="","",SUMIFS(Opex_Budget!$P:$P,Opex_Budget!$A:$A,$C$3,Opex_Budget!$E:$E,$B$1170,Opex_Budget!$F:$F,$D$1170,Opex_Budget!$N:$N,"JPY")*$E$5+SUMIFS(Opex_Budget!$P:$P,Opex_Budget!$A:$A,$C$3,Opex_Budget!$E:$E,$B$1170,Opex_Budget!$F:$F,$D$1170,Opex_Budget!$N:$N,"USD")*$F$5+SUMIFS(Opex_Budget!$P:$P,Opex_Budget!$A:$A,$C$3,Opex_Budget!$E:$E,$B$1170,Opex_Budget!$F:$F,$D$1170,Opex_Budget!$N:$N,"EUR")*$G$5+SUMIFS(Opex_Budget!$P:$P,Opex_Budget!$A:$A,$C$3,Opex_Budget!$E:$E,$B$1170,Opex_Budget!$F:$F,$D$1170,Opex_Budget!$N:$N,"GBP")*$H$5)</f>
        <v/>
      </c>
      <c r="J1170" s="32">
        <f>IF($B$1170="","",SUMIFS(Opex_Budget!$Q:$Q,Opex_Budget!$A:$A,$C$3,Opex_Budget!$E:$E,$B$1170,Opex_Budget!$F:$F,$D$1170,Opex_Budget!$N:$N,"JPY")*$E$5+SUMIFS(Opex_Budget!$Q:$Q,Opex_Budget!$A:$A,$C$3,Opex_Budget!$E:$E,$B$1170,Opex_Budget!$F:$F,$D$1170,Opex_Budget!$N:$N,"USD")*$F$5+SUMIFS(Opex_Budget!$Q:$Q,Opex_Budget!$A:$A,$C$3,Opex_Budget!$E:$E,$B$1170,Opex_Budget!$F:$F,$D$1170,Opex_Budget!$N:$N,"EUR")*$G$5+SUMIFS(Opex_Budget!$Q:$Q,Opex_Budget!$A:$A,$C$3,Opex_Budget!$E:$E,$B$1170,Opex_Budget!$F:$F,$D$1170,Opex_Budget!$N:$N,"GBP")*$H$5)</f>
        <v/>
      </c>
      <c r="K1170" s="32">
        <f>IF($B$1170="","",SUMIFS(Opex_Budget!$R:$R,Opex_Budget!$A:$A,$C$3,Opex_Budget!$E:$E,$B$1170,Opex_Budget!$F:$F,$D$1170,Opex_Budget!$N:$N,"JPY")*$E$5+SUMIFS(Opex_Budget!$R:$R,Opex_Budget!$A:$A,$C$3,Opex_Budget!$E:$E,$B$1170,Opex_Budget!$F:$F,$D$1170,Opex_Budget!$N:$N,"USD")*$F$5+SUMIFS(Opex_Budget!$R:$R,Opex_Budget!$A:$A,$C$3,Opex_Budget!$E:$E,$B$1170,Opex_Budget!$F:$F,$D$1170,Opex_Budget!$N:$N,"EUR")*$G$5+SUMIFS(Opex_Budget!$R:$R,Opex_Budget!$A:$A,$C$3,Opex_Budget!$E:$E,$B$1170,Opex_Budget!$F:$F,$D$1170,Opex_Budget!$N:$N,"GBP")*$H$5)</f>
        <v/>
      </c>
      <c r="L1170" s="32">
        <f>IF($B$1170="","",SUMIFS(Opex_Budget!$S:$S,Opex_Budget!$A:$A,$C$3,Opex_Budget!$E:$E,$B$1170,Opex_Budget!$F:$F,$D$1170,Opex_Budget!$N:$N,"JPY")*$E$5+SUMIFS(Opex_Budget!$S:$S,Opex_Budget!$A:$A,$C$3,Opex_Budget!$E:$E,$B$1170,Opex_Budget!$F:$F,$D$1170,Opex_Budget!$N:$N,"USD")*$F$5+SUMIFS(Opex_Budget!$S:$S,Opex_Budget!$A:$A,$C$3,Opex_Budget!$E:$E,$B$1170,Opex_Budget!$F:$F,$D$1170,Opex_Budget!$N:$N,"EUR")*$G$5+SUMIFS(Opex_Budget!$S:$S,Opex_Budget!$A:$A,$C$3,Opex_Budget!$E:$E,$B$1170,Opex_Budget!$F:$F,$D$1170,Opex_Budget!$N:$N,"GBP")*$H$5)</f>
        <v/>
      </c>
      <c r="M1170" s="32">
        <f>IF($B$1170="","",SUMIFS(Opex_Budget!$T:$T,Opex_Budget!$A:$A,$C$3,Opex_Budget!$E:$E,$B$1170,Opex_Budget!$F:$F,$D$1170,Opex_Budget!$N:$N,"JPY")*$E$5+SUMIFS(Opex_Budget!$T:$T,Opex_Budget!$A:$A,$C$3,Opex_Budget!$E:$E,$B$1170,Opex_Budget!$F:$F,$D$1170,Opex_Budget!$N:$N,"USD")*$F$5+SUMIFS(Opex_Budget!$T:$T,Opex_Budget!$A:$A,$C$3,Opex_Budget!$E:$E,$B$1170,Opex_Budget!$F:$F,$D$1170,Opex_Budget!$N:$N,"EUR")*$G$5+SUMIFS(Opex_Budget!$T:$T,Opex_Budget!$A:$A,$C$3,Opex_Budget!$E:$E,$B$1170,Opex_Budget!$F:$F,$D$1170,Opex_Budget!$N:$N,"GBP")*$H$5)</f>
        <v/>
      </c>
      <c r="N1170" s="32">
        <f>IF($B$1170="","",SUMIFS(Opex_Budget!$U:$U,Opex_Budget!$A:$A,$C$3,Opex_Budget!$E:$E,$B$1170,Opex_Budget!$F:$F,$D$1170,Opex_Budget!$N:$N,"JPY")*$E$5+SUMIFS(Opex_Budget!$U:$U,Opex_Budget!$A:$A,$C$3,Opex_Budget!$E:$E,$B$1170,Opex_Budget!$F:$F,$D$1170,Opex_Budget!$N:$N,"USD")*$F$5+SUMIFS(Opex_Budget!$U:$U,Opex_Budget!$A:$A,$C$3,Opex_Budget!$E:$E,$B$1170,Opex_Budget!$F:$F,$D$1170,Opex_Budget!$N:$N,"EUR")*$G$5+SUMIFS(Opex_Budget!$U:$U,Opex_Budget!$A:$A,$C$3,Opex_Budget!$E:$E,$B$1170,Opex_Budget!$F:$F,$D$1170,Opex_Budget!$N:$N,"GBP")*$H$5)</f>
        <v/>
      </c>
      <c r="O1170" s="32">
        <f>IF($B$1170="","",SUMIFS(Opex_Budget!$V:$V,Opex_Budget!$A:$A,$C$3,Opex_Budget!$E:$E,$B$1170,Opex_Budget!$F:$F,$D$1170,Opex_Budget!$N:$N,"JPY")*$E$5+SUMIFS(Opex_Budget!$V:$V,Opex_Budget!$A:$A,$C$3,Opex_Budget!$E:$E,$B$1170,Opex_Budget!$F:$F,$D$1170,Opex_Budget!$N:$N,"USD")*$F$5+SUMIFS(Opex_Budget!$V:$V,Opex_Budget!$A:$A,$C$3,Opex_Budget!$E:$E,$B$1170,Opex_Budget!$F:$F,$D$1170,Opex_Budget!$N:$N,"EUR")*$G$5+SUMIFS(Opex_Budget!$V:$V,Opex_Budget!$A:$A,$C$3,Opex_Budget!$E:$E,$B$1170,Opex_Budget!$F:$F,$D$1170,Opex_Budget!$N:$N,"GBP")*$H$5)</f>
        <v/>
      </c>
      <c r="P1170" s="32">
        <f>IF($B$1170="","",SUMIFS(Opex_Budget!$W:$W,Opex_Budget!$A:$A,$C$3,Opex_Budget!$E:$E,$B$1170,Opex_Budget!$F:$F,$D$1170,Opex_Budget!$N:$N,"JPY")*$E$5+SUMIFS(Opex_Budget!$W:$W,Opex_Budget!$A:$A,$C$3,Opex_Budget!$E:$E,$B$1170,Opex_Budget!$F:$F,$D$1170,Opex_Budget!$N:$N,"USD")*$F$5+SUMIFS(Opex_Budget!$W:$W,Opex_Budget!$A:$A,$C$3,Opex_Budget!$E:$E,$B$1170,Opex_Budget!$F:$F,$D$1170,Opex_Budget!$N:$N,"EUR")*$G$5+SUMIFS(Opex_Budget!$W:$W,Opex_Budget!$A:$A,$C$3,Opex_Budget!$E:$E,$B$1170,Opex_Budget!$F:$F,$D$1170,Opex_Budget!$N:$N,"GBP")*$H$5)</f>
        <v/>
      </c>
      <c r="Q1170" s="32">
        <f>IF($B$1170="","",SUMIFS(Opex_Budget!$X:$X,Opex_Budget!$A:$A,$C$3,Opex_Budget!$E:$E,$B$1170,Opex_Budget!$F:$F,$D$1170,Opex_Budget!$N:$N,"JPY")*$E$5+SUMIFS(Opex_Budget!$X:$X,Opex_Budget!$A:$A,$C$3,Opex_Budget!$E:$E,$B$1170,Opex_Budget!$F:$F,$D$1170,Opex_Budget!$N:$N,"USD")*$F$5+SUMIFS(Opex_Budget!$X:$X,Opex_Budget!$A:$A,$C$3,Opex_Budget!$E:$E,$B$1170,Opex_Budget!$F:$F,$D$1170,Opex_Budget!$N:$N,"EUR")*$G$5+SUMIFS(Opex_Budget!$X:$X,Opex_Budget!$A:$A,$C$3,Opex_Budget!$E:$E,$B$1170,Opex_Budget!$F:$F,$D$1170,Opex_Budget!$N:$N,"GBP")*$H$5)</f>
        <v/>
      </c>
      <c r="R1170" s="32">
        <f>IF($B$1170="","",SUMIFS(Opex_Budget!$Y:$Y,Opex_Budget!$A:$A,$C$3,Opex_Budget!$E:$E,$B$1170,Opex_Budget!$F:$F,$D$1170,Opex_Budget!$N:$N,"JPY")*$E$5+SUMIFS(Opex_Budget!$Y:$Y,Opex_Budget!$A:$A,$C$3,Opex_Budget!$E:$E,$B$1170,Opex_Budget!$F:$F,$D$1170,Opex_Budget!$N:$N,"USD")*$F$5+SUMIFS(Opex_Budget!$Y:$Y,Opex_Budget!$A:$A,$C$3,Opex_Budget!$E:$E,$B$1170,Opex_Budget!$F:$F,$D$1170,Opex_Budget!$N:$N,"EUR")*$G$5+SUMIFS(Opex_Budget!$Y:$Y,Opex_Budget!$A:$A,$C$3,Opex_Budget!$E:$E,$B$1170,Opex_Budget!$F:$F,$D$1170,Opex_Budget!$N:$N,"GBP")*$H$5)</f>
        <v/>
      </c>
      <c r="S1170" s="32">
        <f>IF($B$1170="","",SUMIFS(Opex_Budget!$Z:$Z,Opex_Budget!$A:$A,$C$3,Opex_Budget!$E:$E,$B$1170,Opex_Budget!$F:$F,$D$1170,Opex_Budget!$N:$N,"JPY")*$E$5+SUMIFS(Opex_Budget!$Z:$Z,Opex_Budget!$A:$A,$C$3,Opex_Budget!$E:$E,$B$1170,Opex_Budget!$F:$F,$D$1170,Opex_Budget!$N:$N,"USD")*$F$5+SUMIFS(Opex_Budget!$Z:$Z,Opex_Budget!$A:$A,$C$3,Opex_Budget!$E:$E,$B$1170,Opex_Budget!$F:$F,$D$1170,Opex_Budget!$N:$N,"EUR")*$G$5+SUMIFS(Opex_Budget!$Z:$Z,Opex_Budget!$A:$A,$C$3,Opex_Budget!$E:$E,$B$1170,Opex_Budget!$F:$F,$D$1170,Opex_Budget!$N:$N,"GBP")*$H$5)</f>
        <v/>
      </c>
      <c r="T1170" s="32">
        <f>IF($B$1170="","",SUMIF($H$7:$S$7,"&lt;="&amp;$C$4,$H1170:$S1170))</f>
        <v/>
      </c>
      <c r="U1170" s="32">
        <f>IF($B$1170="","",SUMIF($H$7:$S$7,"&gt;"&amp;$C$4,$H1170:$S1170))</f>
        <v/>
      </c>
      <c r="V1170" s="32">
        <f>IF($B$1170="","",SUM($H1170:$S1170))</f>
        <v/>
      </c>
      <c r="X1170" s="22">
        <f>IF($B1170="","",IFERROR(INDEX(Cost_Centers!$E:$E,MATCH($B1170,Cost_Centers!$A:$A,0)),"(unknown)"))</f>
        <v/>
      </c>
      <c r="Y1170" s="22">
        <f>IF($B1170="","",IFERROR(INDEX(Cost_Centers!$D:$D,MATCH($B1170,Cost_Centers!$A:$A,0)),"(unknown)"))</f>
        <v/>
      </c>
      <c r="Z1170" s="22">
        <f>IF(OR($B1170="",$G1170&lt;&gt;"Variance vs Budget"),"",ABS(N($V1170))+ROW()/1000000000)</f>
        <v/>
      </c>
    </row>
    <row r="1171">
      <c r="A1171" s="13">
        <f>IF(A$1170="","",A$1170)</f>
        <v/>
      </c>
      <c r="B1171" s="13">
        <f>IF(B$1170="","",B$1170)</f>
        <v/>
      </c>
      <c r="C1171" s="13">
        <f>IF(C$1170="","",C$1170)</f>
        <v/>
      </c>
      <c r="D1171" s="13">
        <f>IF(D$1170="","",D$1170)</f>
        <v/>
      </c>
      <c r="E1171" s="13">
        <f>IF(E$1170="","",E$1170)</f>
        <v/>
      </c>
      <c r="F1171" s="13">
        <f>IF(F$1170="","",F$1170)</f>
        <v/>
      </c>
      <c r="G1171" s="7" t="inlineStr">
        <is>
          <t>Actual</t>
        </is>
      </c>
      <c r="H1171" s="18">
        <f>IF(OR($B$1170="",1&gt;$C$4),"",SUMIFS(Actuals!$G:$G,Actuals!$B:$B,$C$3,Actuals!$C:$C,1,Actuals!$D:$D,$B$1170,Actuals!$A:$A,LEFT($D$1170,FIND("|",$D$1170&amp;"|")-1),Actuals!$E:$E,MID($D$1170,FIND("|",$D$1170&amp;"|")+1,50),Actuals!$F:$F,"JPY")*$E$5+SUMIFS(Actuals!$G:$G,Actuals!$B:$B,$C$3,Actuals!$C:$C,1,Actuals!$D:$D,$B$1170,Actuals!$A:$A,LEFT($D$1170,FIND("|",$D$1170&amp;"|")-1),Actuals!$E:$E,MID($D$1170,FIND("|",$D$1170&amp;"|")+1,50),Actuals!$F:$F,"USD")*$F$5+SUMIFS(Actuals!$G:$G,Actuals!$B:$B,$C$3,Actuals!$C:$C,1,Actuals!$D:$D,$B$1170,Actuals!$A:$A,LEFT($D$1170,FIND("|",$D$1170&amp;"|")-1),Actuals!$E:$E,MID($D$1170,FIND("|",$D$1170&amp;"|")+1,50),Actuals!$F:$F,"EUR")*$G$5+SUMIFS(Actuals!$G:$G,Actuals!$B:$B,$C$3,Actuals!$C:$C,1,Actuals!$D:$D,$B$1170,Actuals!$A:$A,LEFT($D$1170,FIND("|",$D$1170&amp;"|")-1),Actuals!$E:$E,MID($D$1170,FIND("|",$D$1170&amp;"|")+1,50),Actuals!$F:$F,"GBP")*$H$5)</f>
        <v/>
      </c>
      <c r="I1171" s="18">
        <f>IF(OR($B$1170="",2&gt;$C$4),"",SUMIFS(Actuals!$G:$G,Actuals!$B:$B,$C$3,Actuals!$C:$C,2,Actuals!$D:$D,$B$1170,Actuals!$A:$A,LEFT($D$1170,FIND("|",$D$1170&amp;"|")-1),Actuals!$E:$E,MID($D$1170,FIND("|",$D$1170&amp;"|")+1,50),Actuals!$F:$F,"JPY")*$E$5+SUMIFS(Actuals!$G:$G,Actuals!$B:$B,$C$3,Actuals!$C:$C,2,Actuals!$D:$D,$B$1170,Actuals!$A:$A,LEFT($D$1170,FIND("|",$D$1170&amp;"|")-1),Actuals!$E:$E,MID($D$1170,FIND("|",$D$1170&amp;"|")+1,50),Actuals!$F:$F,"USD")*$F$5+SUMIFS(Actuals!$G:$G,Actuals!$B:$B,$C$3,Actuals!$C:$C,2,Actuals!$D:$D,$B$1170,Actuals!$A:$A,LEFT($D$1170,FIND("|",$D$1170&amp;"|")-1),Actuals!$E:$E,MID($D$1170,FIND("|",$D$1170&amp;"|")+1,50),Actuals!$F:$F,"EUR")*$G$5+SUMIFS(Actuals!$G:$G,Actuals!$B:$B,$C$3,Actuals!$C:$C,2,Actuals!$D:$D,$B$1170,Actuals!$A:$A,LEFT($D$1170,FIND("|",$D$1170&amp;"|")-1),Actuals!$E:$E,MID($D$1170,FIND("|",$D$1170&amp;"|")+1,50),Actuals!$F:$F,"GBP")*$H$5)</f>
        <v/>
      </c>
      <c r="J1171" s="18">
        <f>IF(OR($B$1170="",3&gt;$C$4),"",SUMIFS(Actuals!$G:$G,Actuals!$B:$B,$C$3,Actuals!$C:$C,3,Actuals!$D:$D,$B$1170,Actuals!$A:$A,LEFT($D$1170,FIND("|",$D$1170&amp;"|")-1),Actuals!$E:$E,MID($D$1170,FIND("|",$D$1170&amp;"|")+1,50),Actuals!$F:$F,"JPY")*$E$5+SUMIFS(Actuals!$G:$G,Actuals!$B:$B,$C$3,Actuals!$C:$C,3,Actuals!$D:$D,$B$1170,Actuals!$A:$A,LEFT($D$1170,FIND("|",$D$1170&amp;"|")-1),Actuals!$E:$E,MID($D$1170,FIND("|",$D$1170&amp;"|")+1,50),Actuals!$F:$F,"USD")*$F$5+SUMIFS(Actuals!$G:$G,Actuals!$B:$B,$C$3,Actuals!$C:$C,3,Actuals!$D:$D,$B$1170,Actuals!$A:$A,LEFT($D$1170,FIND("|",$D$1170&amp;"|")-1),Actuals!$E:$E,MID($D$1170,FIND("|",$D$1170&amp;"|")+1,50),Actuals!$F:$F,"EUR")*$G$5+SUMIFS(Actuals!$G:$G,Actuals!$B:$B,$C$3,Actuals!$C:$C,3,Actuals!$D:$D,$B$1170,Actuals!$A:$A,LEFT($D$1170,FIND("|",$D$1170&amp;"|")-1),Actuals!$E:$E,MID($D$1170,FIND("|",$D$1170&amp;"|")+1,50),Actuals!$F:$F,"GBP")*$H$5)</f>
        <v/>
      </c>
      <c r="K1171" s="18">
        <f>IF(OR($B$1170="",4&gt;$C$4),"",SUMIFS(Actuals!$G:$G,Actuals!$B:$B,$C$3,Actuals!$C:$C,4,Actuals!$D:$D,$B$1170,Actuals!$A:$A,LEFT($D$1170,FIND("|",$D$1170&amp;"|")-1),Actuals!$E:$E,MID($D$1170,FIND("|",$D$1170&amp;"|")+1,50),Actuals!$F:$F,"JPY")*$E$5+SUMIFS(Actuals!$G:$G,Actuals!$B:$B,$C$3,Actuals!$C:$C,4,Actuals!$D:$D,$B$1170,Actuals!$A:$A,LEFT($D$1170,FIND("|",$D$1170&amp;"|")-1),Actuals!$E:$E,MID($D$1170,FIND("|",$D$1170&amp;"|")+1,50),Actuals!$F:$F,"USD")*$F$5+SUMIFS(Actuals!$G:$G,Actuals!$B:$B,$C$3,Actuals!$C:$C,4,Actuals!$D:$D,$B$1170,Actuals!$A:$A,LEFT($D$1170,FIND("|",$D$1170&amp;"|")-1),Actuals!$E:$E,MID($D$1170,FIND("|",$D$1170&amp;"|")+1,50),Actuals!$F:$F,"EUR")*$G$5+SUMIFS(Actuals!$G:$G,Actuals!$B:$B,$C$3,Actuals!$C:$C,4,Actuals!$D:$D,$B$1170,Actuals!$A:$A,LEFT($D$1170,FIND("|",$D$1170&amp;"|")-1),Actuals!$E:$E,MID($D$1170,FIND("|",$D$1170&amp;"|")+1,50),Actuals!$F:$F,"GBP")*$H$5)</f>
        <v/>
      </c>
      <c r="L1171" s="18">
        <f>IF(OR($B$1170="",5&gt;$C$4),"",SUMIFS(Actuals!$G:$G,Actuals!$B:$B,$C$3,Actuals!$C:$C,5,Actuals!$D:$D,$B$1170,Actuals!$A:$A,LEFT($D$1170,FIND("|",$D$1170&amp;"|")-1),Actuals!$E:$E,MID($D$1170,FIND("|",$D$1170&amp;"|")+1,50),Actuals!$F:$F,"JPY")*$E$5+SUMIFS(Actuals!$G:$G,Actuals!$B:$B,$C$3,Actuals!$C:$C,5,Actuals!$D:$D,$B$1170,Actuals!$A:$A,LEFT($D$1170,FIND("|",$D$1170&amp;"|")-1),Actuals!$E:$E,MID($D$1170,FIND("|",$D$1170&amp;"|")+1,50),Actuals!$F:$F,"USD")*$F$5+SUMIFS(Actuals!$G:$G,Actuals!$B:$B,$C$3,Actuals!$C:$C,5,Actuals!$D:$D,$B$1170,Actuals!$A:$A,LEFT($D$1170,FIND("|",$D$1170&amp;"|")-1),Actuals!$E:$E,MID($D$1170,FIND("|",$D$1170&amp;"|")+1,50),Actuals!$F:$F,"EUR")*$G$5+SUMIFS(Actuals!$G:$G,Actuals!$B:$B,$C$3,Actuals!$C:$C,5,Actuals!$D:$D,$B$1170,Actuals!$A:$A,LEFT($D$1170,FIND("|",$D$1170&amp;"|")-1),Actuals!$E:$E,MID($D$1170,FIND("|",$D$1170&amp;"|")+1,50),Actuals!$F:$F,"GBP")*$H$5)</f>
        <v/>
      </c>
      <c r="M1171" s="18">
        <f>IF(OR($B$1170="",6&gt;$C$4),"",SUMIFS(Actuals!$G:$G,Actuals!$B:$B,$C$3,Actuals!$C:$C,6,Actuals!$D:$D,$B$1170,Actuals!$A:$A,LEFT($D$1170,FIND("|",$D$1170&amp;"|")-1),Actuals!$E:$E,MID($D$1170,FIND("|",$D$1170&amp;"|")+1,50),Actuals!$F:$F,"JPY")*$E$5+SUMIFS(Actuals!$G:$G,Actuals!$B:$B,$C$3,Actuals!$C:$C,6,Actuals!$D:$D,$B$1170,Actuals!$A:$A,LEFT($D$1170,FIND("|",$D$1170&amp;"|")-1),Actuals!$E:$E,MID($D$1170,FIND("|",$D$1170&amp;"|")+1,50),Actuals!$F:$F,"USD")*$F$5+SUMIFS(Actuals!$G:$G,Actuals!$B:$B,$C$3,Actuals!$C:$C,6,Actuals!$D:$D,$B$1170,Actuals!$A:$A,LEFT($D$1170,FIND("|",$D$1170&amp;"|")-1),Actuals!$E:$E,MID($D$1170,FIND("|",$D$1170&amp;"|")+1,50),Actuals!$F:$F,"EUR")*$G$5+SUMIFS(Actuals!$G:$G,Actuals!$B:$B,$C$3,Actuals!$C:$C,6,Actuals!$D:$D,$B$1170,Actuals!$A:$A,LEFT($D$1170,FIND("|",$D$1170&amp;"|")-1),Actuals!$E:$E,MID($D$1170,FIND("|",$D$1170&amp;"|")+1,50),Actuals!$F:$F,"GBP")*$H$5)</f>
        <v/>
      </c>
      <c r="N1171" s="18">
        <f>IF(OR($B$1170="",7&gt;$C$4),"",SUMIFS(Actuals!$G:$G,Actuals!$B:$B,$C$3,Actuals!$C:$C,7,Actuals!$D:$D,$B$1170,Actuals!$A:$A,LEFT($D$1170,FIND("|",$D$1170&amp;"|")-1),Actuals!$E:$E,MID($D$1170,FIND("|",$D$1170&amp;"|")+1,50),Actuals!$F:$F,"JPY")*$E$5+SUMIFS(Actuals!$G:$G,Actuals!$B:$B,$C$3,Actuals!$C:$C,7,Actuals!$D:$D,$B$1170,Actuals!$A:$A,LEFT($D$1170,FIND("|",$D$1170&amp;"|")-1),Actuals!$E:$E,MID($D$1170,FIND("|",$D$1170&amp;"|")+1,50),Actuals!$F:$F,"USD")*$F$5+SUMIFS(Actuals!$G:$G,Actuals!$B:$B,$C$3,Actuals!$C:$C,7,Actuals!$D:$D,$B$1170,Actuals!$A:$A,LEFT($D$1170,FIND("|",$D$1170&amp;"|")-1),Actuals!$E:$E,MID($D$1170,FIND("|",$D$1170&amp;"|")+1,50),Actuals!$F:$F,"EUR")*$G$5+SUMIFS(Actuals!$G:$G,Actuals!$B:$B,$C$3,Actuals!$C:$C,7,Actuals!$D:$D,$B$1170,Actuals!$A:$A,LEFT($D$1170,FIND("|",$D$1170&amp;"|")-1),Actuals!$E:$E,MID($D$1170,FIND("|",$D$1170&amp;"|")+1,50),Actuals!$F:$F,"GBP")*$H$5)</f>
        <v/>
      </c>
      <c r="O1171" s="18">
        <f>IF(OR($B$1170="",8&gt;$C$4),"",SUMIFS(Actuals!$G:$G,Actuals!$B:$B,$C$3,Actuals!$C:$C,8,Actuals!$D:$D,$B$1170,Actuals!$A:$A,LEFT($D$1170,FIND("|",$D$1170&amp;"|")-1),Actuals!$E:$E,MID($D$1170,FIND("|",$D$1170&amp;"|")+1,50),Actuals!$F:$F,"JPY")*$E$5+SUMIFS(Actuals!$G:$G,Actuals!$B:$B,$C$3,Actuals!$C:$C,8,Actuals!$D:$D,$B$1170,Actuals!$A:$A,LEFT($D$1170,FIND("|",$D$1170&amp;"|")-1),Actuals!$E:$E,MID($D$1170,FIND("|",$D$1170&amp;"|")+1,50),Actuals!$F:$F,"USD")*$F$5+SUMIFS(Actuals!$G:$G,Actuals!$B:$B,$C$3,Actuals!$C:$C,8,Actuals!$D:$D,$B$1170,Actuals!$A:$A,LEFT($D$1170,FIND("|",$D$1170&amp;"|")-1),Actuals!$E:$E,MID($D$1170,FIND("|",$D$1170&amp;"|")+1,50),Actuals!$F:$F,"EUR")*$G$5+SUMIFS(Actuals!$G:$G,Actuals!$B:$B,$C$3,Actuals!$C:$C,8,Actuals!$D:$D,$B$1170,Actuals!$A:$A,LEFT($D$1170,FIND("|",$D$1170&amp;"|")-1),Actuals!$E:$E,MID($D$1170,FIND("|",$D$1170&amp;"|")+1,50),Actuals!$F:$F,"GBP")*$H$5)</f>
        <v/>
      </c>
      <c r="P1171" s="18">
        <f>IF(OR($B$1170="",9&gt;$C$4),"",SUMIFS(Actuals!$G:$G,Actuals!$B:$B,$C$3,Actuals!$C:$C,9,Actuals!$D:$D,$B$1170,Actuals!$A:$A,LEFT($D$1170,FIND("|",$D$1170&amp;"|")-1),Actuals!$E:$E,MID($D$1170,FIND("|",$D$1170&amp;"|")+1,50),Actuals!$F:$F,"JPY")*$E$5+SUMIFS(Actuals!$G:$G,Actuals!$B:$B,$C$3,Actuals!$C:$C,9,Actuals!$D:$D,$B$1170,Actuals!$A:$A,LEFT($D$1170,FIND("|",$D$1170&amp;"|")-1),Actuals!$E:$E,MID($D$1170,FIND("|",$D$1170&amp;"|")+1,50),Actuals!$F:$F,"USD")*$F$5+SUMIFS(Actuals!$G:$G,Actuals!$B:$B,$C$3,Actuals!$C:$C,9,Actuals!$D:$D,$B$1170,Actuals!$A:$A,LEFT($D$1170,FIND("|",$D$1170&amp;"|")-1),Actuals!$E:$E,MID($D$1170,FIND("|",$D$1170&amp;"|")+1,50),Actuals!$F:$F,"EUR")*$G$5+SUMIFS(Actuals!$G:$G,Actuals!$B:$B,$C$3,Actuals!$C:$C,9,Actuals!$D:$D,$B$1170,Actuals!$A:$A,LEFT($D$1170,FIND("|",$D$1170&amp;"|")-1),Actuals!$E:$E,MID($D$1170,FIND("|",$D$1170&amp;"|")+1,50),Actuals!$F:$F,"GBP")*$H$5)</f>
        <v/>
      </c>
      <c r="Q1171" s="18">
        <f>IF(OR($B$1170="",10&gt;$C$4),"",SUMIFS(Actuals!$G:$G,Actuals!$B:$B,$C$3,Actuals!$C:$C,10,Actuals!$D:$D,$B$1170,Actuals!$A:$A,LEFT($D$1170,FIND("|",$D$1170&amp;"|")-1),Actuals!$E:$E,MID($D$1170,FIND("|",$D$1170&amp;"|")+1,50),Actuals!$F:$F,"JPY")*$E$5+SUMIFS(Actuals!$G:$G,Actuals!$B:$B,$C$3,Actuals!$C:$C,10,Actuals!$D:$D,$B$1170,Actuals!$A:$A,LEFT($D$1170,FIND("|",$D$1170&amp;"|")-1),Actuals!$E:$E,MID($D$1170,FIND("|",$D$1170&amp;"|")+1,50),Actuals!$F:$F,"USD")*$F$5+SUMIFS(Actuals!$G:$G,Actuals!$B:$B,$C$3,Actuals!$C:$C,10,Actuals!$D:$D,$B$1170,Actuals!$A:$A,LEFT($D$1170,FIND("|",$D$1170&amp;"|")-1),Actuals!$E:$E,MID($D$1170,FIND("|",$D$1170&amp;"|")+1,50),Actuals!$F:$F,"EUR")*$G$5+SUMIFS(Actuals!$G:$G,Actuals!$B:$B,$C$3,Actuals!$C:$C,10,Actuals!$D:$D,$B$1170,Actuals!$A:$A,LEFT($D$1170,FIND("|",$D$1170&amp;"|")-1),Actuals!$E:$E,MID($D$1170,FIND("|",$D$1170&amp;"|")+1,50),Actuals!$F:$F,"GBP")*$H$5)</f>
        <v/>
      </c>
      <c r="R1171" s="18">
        <f>IF(OR($B$1170="",11&gt;$C$4),"",SUMIFS(Actuals!$G:$G,Actuals!$B:$B,$C$3,Actuals!$C:$C,11,Actuals!$D:$D,$B$1170,Actuals!$A:$A,LEFT($D$1170,FIND("|",$D$1170&amp;"|")-1),Actuals!$E:$E,MID($D$1170,FIND("|",$D$1170&amp;"|")+1,50),Actuals!$F:$F,"JPY")*$E$5+SUMIFS(Actuals!$G:$G,Actuals!$B:$B,$C$3,Actuals!$C:$C,11,Actuals!$D:$D,$B$1170,Actuals!$A:$A,LEFT($D$1170,FIND("|",$D$1170&amp;"|")-1),Actuals!$E:$E,MID($D$1170,FIND("|",$D$1170&amp;"|")+1,50),Actuals!$F:$F,"USD")*$F$5+SUMIFS(Actuals!$G:$G,Actuals!$B:$B,$C$3,Actuals!$C:$C,11,Actuals!$D:$D,$B$1170,Actuals!$A:$A,LEFT($D$1170,FIND("|",$D$1170&amp;"|")-1),Actuals!$E:$E,MID($D$1170,FIND("|",$D$1170&amp;"|")+1,50),Actuals!$F:$F,"EUR")*$G$5+SUMIFS(Actuals!$G:$G,Actuals!$B:$B,$C$3,Actuals!$C:$C,11,Actuals!$D:$D,$B$1170,Actuals!$A:$A,LEFT($D$1170,FIND("|",$D$1170&amp;"|")-1),Actuals!$E:$E,MID($D$1170,FIND("|",$D$1170&amp;"|")+1,50),Actuals!$F:$F,"GBP")*$H$5)</f>
        <v/>
      </c>
      <c r="S1171" s="18">
        <f>IF(OR($B$1170="",12&gt;$C$4),"",SUMIFS(Actuals!$G:$G,Actuals!$B:$B,$C$3,Actuals!$C:$C,12,Actuals!$D:$D,$B$1170,Actuals!$A:$A,LEFT($D$1170,FIND("|",$D$1170&amp;"|")-1),Actuals!$E:$E,MID($D$1170,FIND("|",$D$1170&amp;"|")+1,50),Actuals!$F:$F,"JPY")*$E$5+SUMIFS(Actuals!$G:$G,Actuals!$B:$B,$C$3,Actuals!$C:$C,12,Actuals!$D:$D,$B$1170,Actuals!$A:$A,LEFT($D$1170,FIND("|",$D$1170&amp;"|")-1),Actuals!$E:$E,MID($D$1170,FIND("|",$D$1170&amp;"|")+1,50),Actuals!$F:$F,"USD")*$F$5+SUMIFS(Actuals!$G:$G,Actuals!$B:$B,$C$3,Actuals!$C:$C,12,Actuals!$D:$D,$B$1170,Actuals!$A:$A,LEFT($D$1170,FIND("|",$D$1170&amp;"|")-1),Actuals!$E:$E,MID($D$1170,FIND("|",$D$1170&amp;"|")+1,50),Actuals!$F:$F,"EUR")*$G$5+SUMIFS(Actuals!$G:$G,Actuals!$B:$B,$C$3,Actuals!$C:$C,12,Actuals!$D:$D,$B$1170,Actuals!$A:$A,LEFT($D$1170,FIND("|",$D$1170&amp;"|")-1),Actuals!$E:$E,MID($D$1170,FIND("|",$D$1170&amp;"|")+1,50),Actuals!$F:$F,"GBP")*$H$5)</f>
        <v/>
      </c>
      <c r="T1171" s="18">
        <f>IF($B$1170="","",SUMIF($H$7:$S$7,"&lt;="&amp;$C$4,$H1171:$S1171))</f>
        <v/>
      </c>
      <c r="U1171" s="18" t="n"/>
      <c r="V1171" s="18" t="n"/>
      <c r="X1171" s="22">
        <f>IF($B1171="","",IFERROR(INDEX(Cost_Centers!$E:$E,MATCH($B1171,Cost_Centers!$A:$A,0)),"(unknown)"))</f>
        <v/>
      </c>
      <c r="Y1171" s="22">
        <f>IF($B1171="","",IFERROR(INDEX(Cost_Centers!$D:$D,MATCH($B1171,Cost_Centers!$A:$A,0)),"(unknown)"))</f>
        <v/>
      </c>
      <c r="Z1171" s="22">
        <f>IF(OR($B1171="",$G1171&lt;&gt;"Variance vs Budget"),"",ABS(N($V1171))+ROW()/1000000000)</f>
        <v/>
      </c>
    </row>
    <row r="1172">
      <c r="A1172" s="13">
        <f>IF(A$1170="","",A$1170)</f>
        <v/>
      </c>
      <c r="B1172" s="13">
        <f>IF(B$1170="","",B$1170)</f>
        <v/>
      </c>
      <c r="C1172" s="13">
        <f>IF(C$1170="","",C$1170)</f>
        <v/>
      </c>
      <c r="D1172" s="13">
        <f>IF(D$1170="","",D$1170)</f>
        <v/>
      </c>
      <c r="E1172" s="13">
        <f>IF(E$1170="","",E$1170)</f>
        <v/>
      </c>
      <c r="F1172" s="13">
        <f>IF(F$1170="","",F$1170)</f>
        <v/>
      </c>
      <c r="G1172" s="6" t="inlineStr">
        <is>
          <t>Variance vs Budget</t>
        </is>
      </c>
      <c r="H1172" s="33">
        <f>IF(OR($B$1170="",1&gt;$C$4),"",N(H1171)-H1170)</f>
        <v/>
      </c>
      <c r="I1172" s="33">
        <f>IF(OR($B$1170="",2&gt;$C$4),"",N(I1171)-I1170)</f>
        <v/>
      </c>
      <c r="J1172" s="33">
        <f>IF(OR($B$1170="",3&gt;$C$4),"",N(J1171)-J1170)</f>
        <v/>
      </c>
      <c r="K1172" s="33">
        <f>IF(OR($B$1170="",4&gt;$C$4),"",N(K1171)-K1170)</f>
        <v/>
      </c>
      <c r="L1172" s="33">
        <f>IF(OR($B$1170="",5&gt;$C$4),"",N(L1171)-L1170)</f>
        <v/>
      </c>
      <c r="M1172" s="33">
        <f>IF(OR($B$1170="",6&gt;$C$4),"",N(M1171)-M1170)</f>
        <v/>
      </c>
      <c r="N1172" s="33">
        <f>IF(OR($B$1170="",7&gt;$C$4),"",N(N1171)-N1170)</f>
        <v/>
      </c>
      <c r="O1172" s="33">
        <f>IF(OR($B$1170="",8&gt;$C$4),"",N(O1171)-O1170)</f>
        <v/>
      </c>
      <c r="P1172" s="33">
        <f>IF(OR($B$1170="",9&gt;$C$4),"",N(P1171)-P1170)</f>
        <v/>
      </c>
      <c r="Q1172" s="33">
        <f>IF(OR($B$1170="",10&gt;$C$4),"",N(Q1171)-Q1170)</f>
        <v/>
      </c>
      <c r="R1172" s="33">
        <f>IF(OR($B$1170="",11&gt;$C$4),"",N(R1171)-R1170)</f>
        <v/>
      </c>
      <c r="S1172" s="33">
        <f>IF(OR($B$1170="",12&gt;$C$4),"",N(S1171)-S1170)</f>
        <v/>
      </c>
      <c r="T1172" s="33">
        <f>IF($B$1170="","",T1171-T1170)</f>
        <v/>
      </c>
      <c r="U1172" s="33">
        <f>IF($B$1170="","",U1174-U1170)</f>
        <v/>
      </c>
      <c r="V1172" s="33">
        <f>IF($B$1170="","",V1174-V1170)</f>
        <v/>
      </c>
      <c r="X1172" s="22">
        <f>IF($B1172="","",IFERROR(INDEX(Cost_Centers!$E:$E,MATCH($B1172,Cost_Centers!$A:$A,0)),"(unknown)"))</f>
        <v/>
      </c>
      <c r="Y1172" s="22">
        <f>IF($B1172="","",IFERROR(INDEX(Cost_Centers!$D:$D,MATCH($B1172,Cost_Centers!$A:$A,0)),"(unknown)"))</f>
        <v/>
      </c>
      <c r="Z1172" s="22">
        <f>IF(OR($B1172="",$G1172&lt;&gt;"Variance vs Budget"),"",ABS(N($V1172))+ROW()/1000000000)</f>
        <v/>
      </c>
    </row>
    <row r="1173">
      <c r="A1173" s="13">
        <f>IF(A$1170="","",A$1170)</f>
        <v/>
      </c>
      <c r="B1173" s="13">
        <f>IF(B$1170="","",B$1170)</f>
        <v/>
      </c>
      <c r="C1173" s="13">
        <f>IF(C$1170="","",C$1170)</f>
        <v/>
      </c>
      <c r="D1173" s="13">
        <f>IF(D$1170="","",D$1170)</f>
        <v/>
      </c>
      <c r="E1173" s="13">
        <f>IF(E$1170="","",E$1170)</f>
        <v/>
      </c>
      <c r="F1173" s="13">
        <f>IF(F$1170="","",F$1170)</f>
        <v/>
      </c>
      <c r="G1173" s="7" t="inlineStr">
        <is>
          <t>Forecast (input)</t>
        </is>
      </c>
      <c r="H1173" s="34" t="n"/>
      <c r="I1173" s="34" t="n"/>
      <c r="J1173" s="34" t="n"/>
      <c r="K1173" s="34" t="n"/>
      <c r="L1173" s="34" t="n"/>
      <c r="M1173" s="34" t="n"/>
      <c r="N1173" s="34" t="n"/>
      <c r="O1173" s="34" t="n"/>
      <c r="P1173" s="34" t="n"/>
      <c r="Q1173" s="34" t="n"/>
      <c r="R1173" s="34" t="n"/>
      <c r="S1173" s="34" t="n"/>
      <c r="T1173" s="18" t="n"/>
      <c r="U1173" s="18" t="n"/>
      <c r="V1173" s="18" t="n"/>
      <c r="X1173" s="22">
        <f>IF($B1173="","",IFERROR(INDEX(Cost_Centers!$E:$E,MATCH($B1173,Cost_Centers!$A:$A,0)),"(unknown)"))</f>
        <v/>
      </c>
      <c r="Y1173" s="22">
        <f>IF($B1173="","",IFERROR(INDEX(Cost_Centers!$D:$D,MATCH($B1173,Cost_Centers!$A:$A,0)),"(unknown)"))</f>
        <v/>
      </c>
      <c r="Z1173" s="22">
        <f>IF(OR($B1173="",$G1173&lt;&gt;"Variance vs Budget"),"",ABS(N($V1173))+ROW()/1000000000)</f>
        <v/>
      </c>
    </row>
    <row r="1174">
      <c r="A1174" s="13">
        <f>IF(A$1170="","",A$1170)</f>
        <v/>
      </c>
      <c r="B1174" s="13">
        <f>IF(B$1170="","",B$1170)</f>
        <v/>
      </c>
      <c r="C1174" s="13">
        <f>IF(C$1170="","",C$1170)</f>
        <v/>
      </c>
      <c r="D1174" s="13">
        <f>IF(D$1170="","",D$1170)</f>
        <v/>
      </c>
      <c r="E1174" s="13">
        <f>IF(E$1170="","",E$1170)</f>
        <v/>
      </c>
      <c r="F1174" s="13">
        <f>IF(F$1170="","",F$1170)</f>
        <v/>
      </c>
      <c r="G1174" s="35" t="inlineStr">
        <is>
          <t>Actual + Forecast</t>
        </is>
      </c>
      <c r="H1174" s="18">
        <f>IF($B$1170="","",IF(1&lt;=$C$4,N(H1171),IF(H1173="",H1170,H1173)))</f>
        <v/>
      </c>
      <c r="I1174" s="18">
        <f>IF($B$1170="","",IF(2&lt;=$C$4,N(I1171),IF(I1173="",I1170,I1173)))</f>
        <v/>
      </c>
      <c r="J1174" s="18">
        <f>IF($B$1170="","",IF(3&lt;=$C$4,N(J1171),IF(J1173="",J1170,J1173)))</f>
        <v/>
      </c>
      <c r="K1174" s="18">
        <f>IF($B$1170="","",IF(4&lt;=$C$4,N(K1171),IF(K1173="",K1170,K1173)))</f>
        <v/>
      </c>
      <c r="L1174" s="18">
        <f>IF($B$1170="","",IF(5&lt;=$C$4,N(L1171),IF(L1173="",L1170,L1173)))</f>
        <v/>
      </c>
      <c r="M1174" s="18">
        <f>IF($B$1170="","",IF(6&lt;=$C$4,N(M1171),IF(M1173="",M1170,M1173)))</f>
        <v/>
      </c>
      <c r="N1174" s="18">
        <f>IF($B$1170="","",IF(7&lt;=$C$4,N(N1171),IF(N1173="",N1170,N1173)))</f>
        <v/>
      </c>
      <c r="O1174" s="18">
        <f>IF($B$1170="","",IF(8&lt;=$C$4,N(O1171),IF(O1173="",O1170,O1173)))</f>
        <v/>
      </c>
      <c r="P1174" s="18">
        <f>IF($B$1170="","",IF(9&lt;=$C$4,N(P1171),IF(P1173="",P1170,P1173)))</f>
        <v/>
      </c>
      <c r="Q1174" s="18">
        <f>IF($B$1170="","",IF(10&lt;=$C$4,N(Q1171),IF(Q1173="",Q1170,Q1173)))</f>
        <v/>
      </c>
      <c r="R1174" s="18">
        <f>IF($B$1170="","",IF(11&lt;=$C$4,N(R1171),IF(R1173="",R1170,R1173)))</f>
        <v/>
      </c>
      <c r="S1174" s="18">
        <f>IF($B$1170="","",IF(12&lt;=$C$4,N(S1171),IF(S1173="",S1170,S1173)))</f>
        <v/>
      </c>
      <c r="T1174" s="18">
        <f>IF($B$1170="","",SUMIF($H$7:$S$7,"&lt;="&amp;$C$4,$H1174:$S1174))</f>
        <v/>
      </c>
      <c r="U1174" s="18">
        <f>IF($B$1170="","",SUMIF($H$7:$S$7,"&gt;"&amp;$C$4,$H1174:$S1174))</f>
        <v/>
      </c>
      <c r="V1174" s="18">
        <f>IF($B$1170="","",SUM($H1174:$S1174))</f>
        <v/>
      </c>
      <c r="X1174" s="22">
        <f>IF($B1174="","",IFERROR(INDEX(Cost_Centers!$E:$E,MATCH($B1174,Cost_Centers!$A:$A,0)),"(unknown)"))</f>
        <v/>
      </c>
      <c r="Y1174" s="22">
        <f>IF($B1174="","",IFERROR(INDEX(Cost_Centers!$D:$D,MATCH($B1174,Cost_Centers!$A:$A,0)),"(unknown)"))</f>
        <v/>
      </c>
      <c r="Z1174" s="22">
        <f>IF(OR($B1174="",$G1174&lt;&gt;"Variance vs Budget"),"",ABS(N($V1174))+ROW()/1000000000)</f>
        <v/>
      </c>
    </row>
    <row r="1175">
      <c r="A1175" s="13">
        <f>IF(A$1170="","",A$1170)</f>
        <v/>
      </c>
      <c r="B1175" s="13">
        <f>IF(B$1170="","",B$1170)</f>
        <v/>
      </c>
      <c r="C1175" s="13">
        <f>IF(C$1170="","",C$1170)</f>
        <v/>
      </c>
      <c r="D1175" s="13">
        <f>IF(D$1170="","",D$1170)</f>
        <v/>
      </c>
      <c r="E1175" s="13">
        <f>IF(E$1170="","",E$1170)</f>
        <v/>
      </c>
      <c r="F1175" s="13">
        <f>IF(F$1170="","",F$1170)</f>
        <v/>
      </c>
      <c r="G1175" s="36" t="inlineStr">
        <is>
          <t>Prior Month Forecast</t>
        </is>
      </c>
      <c r="H1175" s="37">
        <f>IF($B$1170="","",IF(COUNTIFS(Prior_Forecast!$A:$A,$B$1170,Prior_Forecast!$B:$B,$D$1170)&gt;0,SUMIFS(Prior_Forecast!$C:$C,Prior_Forecast!$A:$A,$B$1170,Prior_Forecast!$B:$B,$D$1170),""))</f>
        <v/>
      </c>
      <c r="I1175" s="37">
        <f>IF($B$1170="","",IF(COUNTIFS(Prior_Forecast!$A:$A,$B$1170,Prior_Forecast!$B:$B,$D$1170)&gt;0,SUMIFS(Prior_Forecast!$D:$D,Prior_Forecast!$A:$A,$B$1170,Prior_Forecast!$B:$B,$D$1170),""))</f>
        <v/>
      </c>
      <c r="J1175" s="37">
        <f>IF($B$1170="","",IF(COUNTIFS(Prior_Forecast!$A:$A,$B$1170,Prior_Forecast!$B:$B,$D$1170)&gt;0,SUMIFS(Prior_Forecast!$E:$E,Prior_Forecast!$A:$A,$B$1170,Prior_Forecast!$B:$B,$D$1170),""))</f>
        <v/>
      </c>
      <c r="K1175" s="37">
        <f>IF($B$1170="","",IF(COUNTIFS(Prior_Forecast!$A:$A,$B$1170,Prior_Forecast!$B:$B,$D$1170)&gt;0,SUMIFS(Prior_Forecast!$F:$F,Prior_Forecast!$A:$A,$B$1170,Prior_Forecast!$B:$B,$D$1170),""))</f>
        <v/>
      </c>
      <c r="L1175" s="37">
        <f>IF($B$1170="","",IF(COUNTIFS(Prior_Forecast!$A:$A,$B$1170,Prior_Forecast!$B:$B,$D$1170)&gt;0,SUMIFS(Prior_Forecast!$G:$G,Prior_Forecast!$A:$A,$B$1170,Prior_Forecast!$B:$B,$D$1170),""))</f>
        <v/>
      </c>
      <c r="M1175" s="37">
        <f>IF($B$1170="","",IF(COUNTIFS(Prior_Forecast!$A:$A,$B$1170,Prior_Forecast!$B:$B,$D$1170)&gt;0,SUMIFS(Prior_Forecast!$H:$H,Prior_Forecast!$A:$A,$B$1170,Prior_Forecast!$B:$B,$D$1170),""))</f>
        <v/>
      </c>
      <c r="N1175" s="37">
        <f>IF($B$1170="","",IF(COUNTIFS(Prior_Forecast!$A:$A,$B$1170,Prior_Forecast!$B:$B,$D$1170)&gt;0,SUMIFS(Prior_Forecast!$I:$I,Prior_Forecast!$A:$A,$B$1170,Prior_Forecast!$B:$B,$D$1170),""))</f>
        <v/>
      </c>
      <c r="O1175" s="37">
        <f>IF($B$1170="","",IF(COUNTIFS(Prior_Forecast!$A:$A,$B$1170,Prior_Forecast!$B:$B,$D$1170)&gt;0,SUMIFS(Prior_Forecast!$J:$J,Prior_Forecast!$A:$A,$B$1170,Prior_Forecast!$B:$B,$D$1170),""))</f>
        <v/>
      </c>
      <c r="P1175" s="37">
        <f>IF($B$1170="","",IF(COUNTIFS(Prior_Forecast!$A:$A,$B$1170,Prior_Forecast!$B:$B,$D$1170)&gt;0,SUMIFS(Prior_Forecast!$K:$K,Prior_Forecast!$A:$A,$B$1170,Prior_Forecast!$B:$B,$D$1170),""))</f>
        <v/>
      </c>
      <c r="Q1175" s="37">
        <f>IF($B$1170="","",IF(COUNTIFS(Prior_Forecast!$A:$A,$B$1170,Prior_Forecast!$B:$B,$D$1170)&gt;0,SUMIFS(Prior_Forecast!$L:$L,Prior_Forecast!$A:$A,$B$1170,Prior_Forecast!$B:$B,$D$1170),""))</f>
        <v/>
      </c>
      <c r="R1175" s="37">
        <f>IF($B$1170="","",IF(COUNTIFS(Prior_Forecast!$A:$A,$B$1170,Prior_Forecast!$B:$B,$D$1170)&gt;0,SUMIFS(Prior_Forecast!$M:$M,Prior_Forecast!$A:$A,$B$1170,Prior_Forecast!$B:$B,$D$1170),""))</f>
        <v/>
      </c>
      <c r="S1175" s="37">
        <f>IF($B$1170="","",IF(COUNTIFS(Prior_Forecast!$A:$A,$B$1170,Prior_Forecast!$B:$B,$D$1170)&gt;0,SUMIFS(Prior_Forecast!$N:$N,Prior_Forecast!$A:$A,$B$1170,Prior_Forecast!$B:$B,$D$1170),""))</f>
        <v/>
      </c>
      <c r="T1175" s="37">
        <f>IF($B$1170="","",IF(COUNTIFS(Prior_Forecast!$A:$A,$B$1170,Prior_Forecast!$B:$B,$D$1170)&gt;0,SUMIFS(Prior_Forecast!$O:$O,Prior_Forecast!$A:$A,$B$1170,Prior_Forecast!$B:$B,$D$1170),""))</f>
        <v/>
      </c>
      <c r="U1175" s="37">
        <f>IF($B$1170="","",IF(COUNTIFS(Prior_Forecast!$A:$A,$B$1170,Prior_Forecast!$B:$B,$D$1170)&gt;0,SUMIFS(Prior_Forecast!$P:$P,Prior_Forecast!$A:$A,$B$1170,Prior_Forecast!$B:$B,$D$1170),""))</f>
        <v/>
      </c>
      <c r="V1175" s="37">
        <f>IF($B$1170="","",IF(COUNTIFS(Prior_Forecast!$A:$A,$B$1170,Prior_Forecast!$B:$B,$D$1170)&gt;0,SUMIFS(Prior_Forecast!$Q:$Q,Prior_Forecast!$A:$A,$B$1170,Prior_Forecast!$B:$B,$D$1170),""))</f>
        <v/>
      </c>
      <c r="X1175" s="22">
        <f>IF($B1175="","",IFERROR(INDEX(Cost_Centers!$E:$E,MATCH($B1175,Cost_Centers!$A:$A,0)),"(unknown)"))</f>
        <v/>
      </c>
      <c r="Y1175" s="22">
        <f>IF($B1175="","",IFERROR(INDEX(Cost_Centers!$D:$D,MATCH($B1175,Cost_Centers!$A:$A,0)),"(unknown)"))</f>
        <v/>
      </c>
      <c r="Z1175" s="22">
        <f>IF(OR($B1175="",$G1175&lt;&gt;"Variance vs Budget"),"",ABS(N($V1175))+ROW()/1000000000)</f>
        <v/>
      </c>
    </row>
    <row r="1176">
      <c r="A1176" s="13">
        <f>IF(A$1170="","",A$1170)</f>
        <v/>
      </c>
      <c r="B1176" s="13">
        <f>IF(B$1170="","",B$1170)</f>
        <v/>
      </c>
      <c r="C1176" s="13">
        <f>IF(C$1170="","",C$1170)</f>
        <v/>
      </c>
      <c r="D1176" s="13">
        <f>IF(D$1170="","",D$1170)</f>
        <v/>
      </c>
      <c r="E1176" s="13">
        <f>IF(E$1170="","",E$1170)</f>
        <v/>
      </c>
      <c r="F1176" s="13">
        <f>IF(F$1170="","",F$1170)</f>
        <v/>
      </c>
      <c r="G1176" s="6" t="inlineStr">
        <is>
          <t>Variance vs Prior Month</t>
        </is>
      </c>
      <c r="H1176" s="33">
        <f>IF(OR($B$1170="",H1175=""),"",H1174-H1175)</f>
        <v/>
      </c>
      <c r="I1176" s="33">
        <f>IF(OR($B$1170="",I1175=""),"",I1174-I1175)</f>
        <v/>
      </c>
      <c r="J1176" s="33">
        <f>IF(OR($B$1170="",J1175=""),"",J1174-J1175)</f>
        <v/>
      </c>
      <c r="K1176" s="33">
        <f>IF(OR($B$1170="",K1175=""),"",K1174-K1175)</f>
        <v/>
      </c>
      <c r="L1176" s="33">
        <f>IF(OR($B$1170="",L1175=""),"",L1174-L1175)</f>
        <v/>
      </c>
      <c r="M1176" s="33">
        <f>IF(OR($B$1170="",M1175=""),"",M1174-M1175)</f>
        <v/>
      </c>
      <c r="N1176" s="33">
        <f>IF(OR($B$1170="",N1175=""),"",N1174-N1175)</f>
        <v/>
      </c>
      <c r="O1176" s="33">
        <f>IF(OR($B$1170="",O1175=""),"",O1174-O1175)</f>
        <v/>
      </c>
      <c r="P1176" s="33">
        <f>IF(OR($B$1170="",P1175=""),"",P1174-P1175)</f>
        <v/>
      </c>
      <c r="Q1176" s="33">
        <f>IF(OR($B$1170="",Q1175=""),"",Q1174-Q1175)</f>
        <v/>
      </c>
      <c r="R1176" s="33">
        <f>IF(OR($B$1170="",R1175=""),"",R1174-R1175)</f>
        <v/>
      </c>
      <c r="S1176" s="33">
        <f>IF(OR($B$1170="",S1175=""),"",S1174-S1175)</f>
        <v/>
      </c>
      <c r="T1176" s="33">
        <f>IF(OR($B$1170="",T1175=""),"",T1174-T1175)</f>
        <v/>
      </c>
      <c r="U1176" s="33">
        <f>IF(OR($B$1170="",U1175=""),"",U1174-U1175)</f>
        <v/>
      </c>
      <c r="V1176" s="33">
        <f>IF(OR($B$1170="",V1175=""),"",V1174-V1175)</f>
        <v/>
      </c>
      <c r="X1176" s="22">
        <f>IF($B1176="","",IFERROR(INDEX(Cost_Centers!$E:$E,MATCH($B1176,Cost_Centers!$A:$A,0)),"(unknown)"))</f>
        <v/>
      </c>
      <c r="Y1176" s="22">
        <f>IF($B1176="","",IFERROR(INDEX(Cost_Centers!$D:$D,MATCH($B1176,Cost_Centers!$A:$A,0)),"(unknown)"))</f>
        <v/>
      </c>
      <c r="Z1176" s="22">
        <f>IF(OR($B1176="",$G1176&lt;&gt;"Variance vs Budget"),"",ABS(N($V1176))+ROW()/1000000000)</f>
        <v/>
      </c>
    </row>
    <row r="1177" ht="45" customHeight="1">
      <c r="A1177" s="13">
        <f>IF(A$1170="","",A$1170)</f>
        <v/>
      </c>
      <c r="B1177" s="13">
        <f>IF(B$1170="","",B$1170)</f>
        <v/>
      </c>
      <c r="C1177" s="13">
        <f>IF(C$1170="","",C$1170)</f>
        <v/>
      </c>
      <c r="D1177" s="13">
        <f>IF(D$1170="","",D$1170)</f>
        <v/>
      </c>
      <c r="E1177" s="13">
        <f>IF(E$1170="","",E$1170)</f>
        <v/>
      </c>
      <c r="F1177" s="13">
        <f>IF(F$1170="","",F$1170)</f>
        <v/>
      </c>
      <c r="G1177" s="7" t="inlineStr">
        <is>
          <t>Rationale</t>
        </is>
      </c>
      <c r="H1177" s="38" t="n"/>
      <c r="I1177" s="38" t="n"/>
      <c r="J1177" s="38" t="n"/>
      <c r="K1177" s="38" t="n"/>
      <c r="L1177" s="38" t="n"/>
      <c r="M1177" s="38" t="n"/>
      <c r="N1177" s="38" t="n"/>
      <c r="O1177" s="38" t="n"/>
      <c r="P1177" s="38" t="n"/>
      <c r="Q1177" s="38" t="n"/>
      <c r="R1177" s="38" t="n"/>
      <c r="S1177" s="38" t="n"/>
      <c r="T1177" s="38" t="n"/>
      <c r="U1177" s="38" t="n"/>
      <c r="V1177" s="7" t="n"/>
      <c r="X1177" s="22">
        <f>IF($B1177="","",IFERROR(INDEX(Cost_Centers!$E:$E,MATCH($B1177,Cost_Centers!$A:$A,0)),"(unknown)"))</f>
        <v/>
      </c>
      <c r="Y1177" s="22">
        <f>IF($B1177="","",IFERROR(INDEX(Cost_Centers!$D:$D,MATCH($B1177,Cost_Centers!$A:$A,0)),"(unknown)"))</f>
        <v/>
      </c>
      <c r="Z1177" s="22">
        <f>IF(OR($B1177="",$G1177&lt;&gt;"Variance vs Budget"),"",ABS(N($V1177))+ROW()/1000000000)</f>
        <v/>
      </c>
    </row>
    <row r="1178">
      <c r="A1178" s="30">
        <f>IF($D$1178="","",LEFT($D$1178,FIND("|",$D$1178&amp;"|")-1))</f>
        <v/>
      </c>
      <c r="B1178" s="31" t="n"/>
      <c r="C1178" s="30">
        <f>IF($B$1178="","",IFERROR(INDEX(Cost_Centers!$B:$B,MATCH($B$1178,Cost_Centers!$A:$A,0)),"(not in master)"))</f>
        <v/>
      </c>
      <c r="D1178" s="31" t="n"/>
      <c r="E1178" s="30">
        <f>IF($D$1178="","",IFERROR(INDEX(Accounts!$D:$D,MATCH($D$1178,Accounts!$A:$A,0)),"(not in master)"))</f>
        <v/>
      </c>
      <c r="F1178" s="31" t="n"/>
      <c r="G1178" s="30" t="inlineStr">
        <is>
          <t>Budget</t>
        </is>
      </c>
      <c r="H1178" s="32">
        <f>IF($B$1178="","",SUMIFS(Opex_Budget!$O:$O,Opex_Budget!$A:$A,$C$3,Opex_Budget!$E:$E,$B$1178,Opex_Budget!$F:$F,$D$1178,Opex_Budget!$N:$N,"JPY")*$E$5+SUMIFS(Opex_Budget!$O:$O,Opex_Budget!$A:$A,$C$3,Opex_Budget!$E:$E,$B$1178,Opex_Budget!$F:$F,$D$1178,Opex_Budget!$N:$N,"USD")*$F$5+SUMIFS(Opex_Budget!$O:$O,Opex_Budget!$A:$A,$C$3,Opex_Budget!$E:$E,$B$1178,Opex_Budget!$F:$F,$D$1178,Opex_Budget!$N:$N,"EUR")*$G$5+SUMIFS(Opex_Budget!$O:$O,Opex_Budget!$A:$A,$C$3,Opex_Budget!$E:$E,$B$1178,Opex_Budget!$F:$F,$D$1178,Opex_Budget!$N:$N,"GBP")*$H$5)</f>
        <v/>
      </c>
      <c r="I1178" s="32">
        <f>IF($B$1178="","",SUMIFS(Opex_Budget!$P:$P,Opex_Budget!$A:$A,$C$3,Opex_Budget!$E:$E,$B$1178,Opex_Budget!$F:$F,$D$1178,Opex_Budget!$N:$N,"JPY")*$E$5+SUMIFS(Opex_Budget!$P:$P,Opex_Budget!$A:$A,$C$3,Opex_Budget!$E:$E,$B$1178,Opex_Budget!$F:$F,$D$1178,Opex_Budget!$N:$N,"USD")*$F$5+SUMIFS(Opex_Budget!$P:$P,Opex_Budget!$A:$A,$C$3,Opex_Budget!$E:$E,$B$1178,Opex_Budget!$F:$F,$D$1178,Opex_Budget!$N:$N,"EUR")*$G$5+SUMIFS(Opex_Budget!$P:$P,Opex_Budget!$A:$A,$C$3,Opex_Budget!$E:$E,$B$1178,Opex_Budget!$F:$F,$D$1178,Opex_Budget!$N:$N,"GBP")*$H$5)</f>
        <v/>
      </c>
      <c r="J1178" s="32">
        <f>IF($B$1178="","",SUMIFS(Opex_Budget!$Q:$Q,Opex_Budget!$A:$A,$C$3,Opex_Budget!$E:$E,$B$1178,Opex_Budget!$F:$F,$D$1178,Opex_Budget!$N:$N,"JPY")*$E$5+SUMIFS(Opex_Budget!$Q:$Q,Opex_Budget!$A:$A,$C$3,Opex_Budget!$E:$E,$B$1178,Opex_Budget!$F:$F,$D$1178,Opex_Budget!$N:$N,"USD")*$F$5+SUMIFS(Opex_Budget!$Q:$Q,Opex_Budget!$A:$A,$C$3,Opex_Budget!$E:$E,$B$1178,Opex_Budget!$F:$F,$D$1178,Opex_Budget!$N:$N,"EUR")*$G$5+SUMIFS(Opex_Budget!$Q:$Q,Opex_Budget!$A:$A,$C$3,Opex_Budget!$E:$E,$B$1178,Opex_Budget!$F:$F,$D$1178,Opex_Budget!$N:$N,"GBP")*$H$5)</f>
        <v/>
      </c>
      <c r="K1178" s="32">
        <f>IF($B$1178="","",SUMIFS(Opex_Budget!$R:$R,Opex_Budget!$A:$A,$C$3,Opex_Budget!$E:$E,$B$1178,Opex_Budget!$F:$F,$D$1178,Opex_Budget!$N:$N,"JPY")*$E$5+SUMIFS(Opex_Budget!$R:$R,Opex_Budget!$A:$A,$C$3,Opex_Budget!$E:$E,$B$1178,Opex_Budget!$F:$F,$D$1178,Opex_Budget!$N:$N,"USD")*$F$5+SUMIFS(Opex_Budget!$R:$R,Opex_Budget!$A:$A,$C$3,Opex_Budget!$E:$E,$B$1178,Opex_Budget!$F:$F,$D$1178,Opex_Budget!$N:$N,"EUR")*$G$5+SUMIFS(Opex_Budget!$R:$R,Opex_Budget!$A:$A,$C$3,Opex_Budget!$E:$E,$B$1178,Opex_Budget!$F:$F,$D$1178,Opex_Budget!$N:$N,"GBP")*$H$5)</f>
        <v/>
      </c>
      <c r="L1178" s="32">
        <f>IF($B$1178="","",SUMIFS(Opex_Budget!$S:$S,Opex_Budget!$A:$A,$C$3,Opex_Budget!$E:$E,$B$1178,Opex_Budget!$F:$F,$D$1178,Opex_Budget!$N:$N,"JPY")*$E$5+SUMIFS(Opex_Budget!$S:$S,Opex_Budget!$A:$A,$C$3,Opex_Budget!$E:$E,$B$1178,Opex_Budget!$F:$F,$D$1178,Opex_Budget!$N:$N,"USD")*$F$5+SUMIFS(Opex_Budget!$S:$S,Opex_Budget!$A:$A,$C$3,Opex_Budget!$E:$E,$B$1178,Opex_Budget!$F:$F,$D$1178,Opex_Budget!$N:$N,"EUR")*$G$5+SUMIFS(Opex_Budget!$S:$S,Opex_Budget!$A:$A,$C$3,Opex_Budget!$E:$E,$B$1178,Opex_Budget!$F:$F,$D$1178,Opex_Budget!$N:$N,"GBP")*$H$5)</f>
        <v/>
      </c>
      <c r="M1178" s="32">
        <f>IF($B$1178="","",SUMIFS(Opex_Budget!$T:$T,Opex_Budget!$A:$A,$C$3,Opex_Budget!$E:$E,$B$1178,Opex_Budget!$F:$F,$D$1178,Opex_Budget!$N:$N,"JPY")*$E$5+SUMIFS(Opex_Budget!$T:$T,Opex_Budget!$A:$A,$C$3,Opex_Budget!$E:$E,$B$1178,Opex_Budget!$F:$F,$D$1178,Opex_Budget!$N:$N,"USD")*$F$5+SUMIFS(Opex_Budget!$T:$T,Opex_Budget!$A:$A,$C$3,Opex_Budget!$E:$E,$B$1178,Opex_Budget!$F:$F,$D$1178,Opex_Budget!$N:$N,"EUR")*$G$5+SUMIFS(Opex_Budget!$T:$T,Opex_Budget!$A:$A,$C$3,Opex_Budget!$E:$E,$B$1178,Opex_Budget!$F:$F,$D$1178,Opex_Budget!$N:$N,"GBP")*$H$5)</f>
        <v/>
      </c>
      <c r="N1178" s="32">
        <f>IF($B$1178="","",SUMIFS(Opex_Budget!$U:$U,Opex_Budget!$A:$A,$C$3,Opex_Budget!$E:$E,$B$1178,Opex_Budget!$F:$F,$D$1178,Opex_Budget!$N:$N,"JPY")*$E$5+SUMIFS(Opex_Budget!$U:$U,Opex_Budget!$A:$A,$C$3,Opex_Budget!$E:$E,$B$1178,Opex_Budget!$F:$F,$D$1178,Opex_Budget!$N:$N,"USD")*$F$5+SUMIFS(Opex_Budget!$U:$U,Opex_Budget!$A:$A,$C$3,Opex_Budget!$E:$E,$B$1178,Opex_Budget!$F:$F,$D$1178,Opex_Budget!$N:$N,"EUR")*$G$5+SUMIFS(Opex_Budget!$U:$U,Opex_Budget!$A:$A,$C$3,Opex_Budget!$E:$E,$B$1178,Opex_Budget!$F:$F,$D$1178,Opex_Budget!$N:$N,"GBP")*$H$5)</f>
        <v/>
      </c>
      <c r="O1178" s="32">
        <f>IF($B$1178="","",SUMIFS(Opex_Budget!$V:$V,Opex_Budget!$A:$A,$C$3,Opex_Budget!$E:$E,$B$1178,Opex_Budget!$F:$F,$D$1178,Opex_Budget!$N:$N,"JPY")*$E$5+SUMIFS(Opex_Budget!$V:$V,Opex_Budget!$A:$A,$C$3,Opex_Budget!$E:$E,$B$1178,Opex_Budget!$F:$F,$D$1178,Opex_Budget!$N:$N,"USD")*$F$5+SUMIFS(Opex_Budget!$V:$V,Opex_Budget!$A:$A,$C$3,Opex_Budget!$E:$E,$B$1178,Opex_Budget!$F:$F,$D$1178,Opex_Budget!$N:$N,"EUR")*$G$5+SUMIFS(Opex_Budget!$V:$V,Opex_Budget!$A:$A,$C$3,Opex_Budget!$E:$E,$B$1178,Opex_Budget!$F:$F,$D$1178,Opex_Budget!$N:$N,"GBP")*$H$5)</f>
        <v/>
      </c>
      <c r="P1178" s="32">
        <f>IF($B$1178="","",SUMIFS(Opex_Budget!$W:$W,Opex_Budget!$A:$A,$C$3,Opex_Budget!$E:$E,$B$1178,Opex_Budget!$F:$F,$D$1178,Opex_Budget!$N:$N,"JPY")*$E$5+SUMIFS(Opex_Budget!$W:$W,Opex_Budget!$A:$A,$C$3,Opex_Budget!$E:$E,$B$1178,Opex_Budget!$F:$F,$D$1178,Opex_Budget!$N:$N,"USD")*$F$5+SUMIFS(Opex_Budget!$W:$W,Opex_Budget!$A:$A,$C$3,Opex_Budget!$E:$E,$B$1178,Opex_Budget!$F:$F,$D$1178,Opex_Budget!$N:$N,"EUR")*$G$5+SUMIFS(Opex_Budget!$W:$W,Opex_Budget!$A:$A,$C$3,Opex_Budget!$E:$E,$B$1178,Opex_Budget!$F:$F,$D$1178,Opex_Budget!$N:$N,"GBP")*$H$5)</f>
        <v/>
      </c>
      <c r="Q1178" s="32">
        <f>IF($B$1178="","",SUMIFS(Opex_Budget!$X:$X,Opex_Budget!$A:$A,$C$3,Opex_Budget!$E:$E,$B$1178,Opex_Budget!$F:$F,$D$1178,Opex_Budget!$N:$N,"JPY")*$E$5+SUMIFS(Opex_Budget!$X:$X,Opex_Budget!$A:$A,$C$3,Opex_Budget!$E:$E,$B$1178,Opex_Budget!$F:$F,$D$1178,Opex_Budget!$N:$N,"USD")*$F$5+SUMIFS(Opex_Budget!$X:$X,Opex_Budget!$A:$A,$C$3,Opex_Budget!$E:$E,$B$1178,Opex_Budget!$F:$F,$D$1178,Opex_Budget!$N:$N,"EUR")*$G$5+SUMIFS(Opex_Budget!$X:$X,Opex_Budget!$A:$A,$C$3,Opex_Budget!$E:$E,$B$1178,Opex_Budget!$F:$F,$D$1178,Opex_Budget!$N:$N,"GBP")*$H$5)</f>
        <v/>
      </c>
      <c r="R1178" s="32">
        <f>IF($B$1178="","",SUMIFS(Opex_Budget!$Y:$Y,Opex_Budget!$A:$A,$C$3,Opex_Budget!$E:$E,$B$1178,Opex_Budget!$F:$F,$D$1178,Opex_Budget!$N:$N,"JPY")*$E$5+SUMIFS(Opex_Budget!$Y:$Y,Opex_Budget!$A:$A,$C$3,Opex_Budget!$E:$E,$B$1178,Opex_Budget!$F:$F,$D$1178,Opex_Budget!$N:$N,"USD")*$F$5+SUMIFS(Opex_Budget!$Y:$Y,Opex_Budget!$A:$A,$C$3,Opex_Budget!$E:$E,$B$1178,Opex_Budget!$F:$F,$D$1178,Opex_Budget!$N:$N,"EUR")*$G$5+SUMIFS(Opex_Budget!$Y:$Y,Opex_Budget!$A:$A,$C$3,Opex_Budget!$E:$E,$B$1178,Opex_Budget!$F:$F,$D$1178,Opex_Budget!$N:$N,"GBP")*$H$5)</f>
        <v/>
      </c>
      <c r="S1178" s="32">
        <f>IF($B$1178="","",SUMIFS(Opex_Budget!$Z:$Z,Opex_Budget!$A:$A,$C$3,Opex_Budget!$E:$E,$B$1178,Opex_Budget!$F:$F,$D$1178,Opex_Budget!$N:$N,"JPY")*$E$5+SUMIFS(Opex_Budget!$Z:$Z,Opex_Budget!$A:$A,$C$3,Opex_Budget!$E:$E,$B$1178,Opex_Budget!$F:$F,$D$1178,Opex_Budget!$N:$N,"USD")*$F$5+SUMIFS(Opex_Budget!$Z:$Z,Opex_Budget!$A:$A,$C$3,Opex_Budget!$E:$E,$B$1178,Opex_Budget!$F:$F,$D$1178,Opex_Budget!$N:$N,"EUR")*$G$5+SUMIFS(Opex_Budget!$Z:$Z,Opex_Budget!$A:$A,$C$3,Opex_Budget!$E:$E,$B$1178,Opex_Budget!$F:$F,$D$1178,Opex_Budget!$N:$N,"GBP")*$H$5)</f>
        <v/>
      </c>
      <c r="T1178" s="32">
        <f>IF($B$1178="","",SUMIF($H$7:$S$7,"&lt;="&amp;$C$4,$H1178:$S1178))</f>
        <v/>
      </c>
      <c r="U1178" s="32">
        <f>IF($B$1178="","",SUMIF($H$7:$S$7,"&gt;"&amp;$C$4,$H1178:$S1178))</f>
        <v/>
      </c>
      <c r="V1178" s="32">
        <f>IF($B$1178="","",SUM($H1178:$S1178))</f>
        <v/>
      </c>
      <c r="X1178" s="22">
        <f>IF($B1178="","",IFERROR(INDEX(Cost_Centers!$E:$E,MATCH($B1178,Cost_Centers!$A:$A,0)),"(unknown)"))</f>
        <v/>
      </c>
      <c r="Y1178" s="22">
        <f>IF($B1178="","",IFERROR(INDEX(Cost_Centers!$D:$D,MATCH($B1178,Cost_Centers!$A:$A,0)),"(unknown)"))</f>
        <v/>
      </c>
      <c r="Z1178" s="22">
        <f>IF(OR($B1178="",$G1178&lt;&gt;"Variance vs Budget"),"",ABS(N($V1178))+ROW()/1000000000)</f>
        <v/>
      </c>
    </row>
    <row r="1179">
      <c r="A1179" s="13">
        <f>IF(A$1178="","",A$1178)</f>
        <v/>
      </c>
      <c r="B1179" s="13">
        <f>IF(B$1178="","",B$1178)</f>
        <v/>
      </c>
      <c r="C1179" s="13">
        <f>IF(C$1178="","",C$1178)</f>
        <v/>
      </c>
      <c r="D1179" s="13">
        <f>IF(D$1178="","",D$1178)</f>
        <v/>
      </c>
      <c r="E1179" s="13">
        <f>IF(E$1178="","",E$1178)</f>
        <v/>
      </c>
      <c r="F1179" s="13">
        <f>IF(F$1178="","",F$1178)</f>
        <v/>
      </c>
      <c r="G1179" s="7" t="inlineStr">
        <is>
          <t>Actual</t>
        </is>
      </c>
      <c r="H1179" s="18">
        <f>IF(OR($B$1178="",1&gt;$C$4),"",SUMIFS(Actuals!$G:$G,Actuals!$B:$B,$C$3,Actuals!$C:$C,1,Actuals!$D:$D,$B$1178,Actuals!$A:$A,LEFT($D$1178,FIND("|",$D$1178&amp;"|")-1),Actuals!$E:$E,MID($D$1178,FIND("|",$D$1178&amp;"|")+1,50),Actuals!$F:$F,"JPY")*$E$5+SUMIFS(Actuals!$G:$G,Actuals!$B:$B,$C$3,Actuals!$C:$C,1,Actuals!$D:$D,$B$1178,Actuals!$A:$A,LEFT($D$1178,FIND("|",$D$1178&amp;"|")-1),Actuals!$E:$E,MID($D$1178,FIND("|",$D$1178&amp;"|")+1,50),Actuals!$F:$F,"USD")*$F$5+SUMIFS(Actuals!$G:$G,Actuals!$B:$B,$C$3,Actuals!$C:$C,1,Actuals!$D:$D,$B$1178,Actuals!$A:$A,LEFT($D$1178,FIND("|",$D$1178&amp;"|")-1),Actuals!$E:$E,MID($D$1178,FIND("|",$D$1178&amp;"|")+1,50),Actuals!$F:$F,"EUR")*$G$5+SUMIFS(Actuals!$G:$G,Actuals!$B:$B,$C$3,Actuals!$C:$C,1,Actuals!$D:$D,$B$1178,Actuals!$A:$A,LEFT($D$1178,FIND("|",$D$1178&amp;"|")-1),Actuals!$E:$E,MID($D$1178,FIND("|",$D$1178&amp;"|")+1,50),Actuals!$F:$F,"GBP")*$H$5)</f>
        <v/>
      </c>
      <c r="I1179" s="18">
        <f>IF(OR($B$1178="",2&gt;$C$4),"",SUMIFS(Actuals!$G:$G,Actuals!$B:$B,$C$3,Actuals!$C:$C,2,Actuals!$D:$D,$B$1178,Actuals!$A:$A,LEFT($D$1178,FIND("|",$D$1178&amp;"|")-1),Actuals!$E:$E,MID($D$1178,FIND("|",$D$1178&amp;"|")+1,50),Actuals!$F:$F,"JPY")*$E$5+SUMIFS(Actuals!$G:$G,Actuals!$B:$B,$C$3,Actuals!$C:$C,2,Actuals!$D:$D,$B$1178,Actuals!$A:$A,LEFT($D$1178,FIND("|",$D$1178&amp;"|")-1),Actuals!$E:$E,MID($D$1178,FIND("|",$D$1178&amp;"|")+1,50),Actuals!$F:$F,"USD")*$F$5+SUMIFS(Actuals!$G:$G,Actuals!$B:$B,$C$3,Actuals!$C:$C,2,Actuals!$D:$D,$B$1178,Actuals!$A:$A,LEFT($D$1178,FIND("|",$D$1178&amp;"|")-1),Actuals!$E:$E,MID($D$1178,FIND("|",$D$1178&amp;"|")+1,50),Actuals!$F:$F,"EUR")*$G$5+SUMIFS(Actuals!$G:$G,Actuals!$B:$B,$C$3,Actuals!$C:$C,2,Actuals!$D:$D,$B$1178,Actuals!$A:$A,LEFT($D$1178,FIND("|",$D$1178&amp;"|")-1),Actuals!$E:$E,MID($D$1178,FIND("|",$D$1178&amp;"|")+1,50),Actuals!$F:$F,"GBP")*$H$5)</f>
        <v/>
      </c>
      <c r="J1179" s="18">
        <f>IF(OR($B$1178="",3&gt;$C$4),"",SUMIFS(Actuals!$G:$G,Actuals!$B:$B,$C$3,Actuals!$C:$C,3,Actuals!$D:$D,$B$1178,Actuals!$A:$A,LEFT($D$1178,FIND("|",$D$1178&amp;"|")-1),Actuals!$E:$E,MID($D$1178,FIND("|",$D$1178&amp;"|")+1,50),Actuals!$F:$F,"JPY")*$E$5+SUMIFS(Actuals!$G:$G,Actuals!$B:$B,$C$3,Actuals!$C:$C,3,Actuals!$D:$D,$B$1178,Actuals!$A:$A,LEFT($D$1178,FIND("|",$D$1178&amp;"|")-1),Actuals!$E:$E,MID($D$1178,FIND("|",$D$1178&amp;"|")+1,50),Actuals!$F:$F,"USD")*$F$5+SUMIFS(Actuals!$G:$G,Actuals!$B:$B,$C$3,Actuals!$C:$C,3,Actuals!$D:$D,$B$1178,Actuals!$A:$A,LEFT($D$1178,FIND("|",$D$1178&amp;"|")-1),Actuals!$E:$E,MID($D$1178,FIND("|",$D$1178&amp;"|")+1,50),Actuals!$F:$F,"EUR")*$G$5+SUMIFS(Actuals!$G:$G,Actuals!$B:$B,$C$3,Actuals!$C:$C,3,Actuals!$D:$D,$B$1178,Actuals!$A:$A,LEFT($D$1178,FIND("|",$D$1178&amp;"|")-1),Actuals!$E:$E,MID($D$1178,FIND("|",$D$1178&amp;"|")+1,50),Actuals!$F:$F,"GBP")*$H$5)</f>
        <v/>
      </c>
      <c r="K1179" s="18">
        <f>IF(OR($B$1178="",4&gt;$C$4),"",SUMIFS(Actuals!$G:$G,Actuals!$B:$B,$C$3,Actuals!$C:$C,4,Actuals!$D:$D,$B$1178,Actuals!$A:$A,LEFT($D$1178,FIND("|",$D$1178&amp;"|")-1),Actuals!$E:$E,MID($D$1178,FIND("|",$D$1178&amp;"|")+1,50),Actuals!$F:$F,"JPY")*$E$5+SUMIFS(Actuals!$G:$G,Actuals!$B:$B,$C$3,Actuals!$C:$C,4,Actuals!$D:$D,$B$1178,Actuals!$A:$A,LEFT($D$1178,FIND("|",$D$1178&amp;"|")-1),Actuals!$E:$E,MID($D$1178,FIND("|",$D$1178&amp;"|")+1,50),Actuals!$F:$F,"USD")*$F$5+SUMIFS(Actuals!$G:$G,Actuals!$B:$B,$C$3,Actuals!$C:$C,4,Actuals!$D:$D,$B$1178,Actuals!$A:$A,LEFT($D$1178,FIND("|",$D$1178&amp;"|")-1),Actuals!$E:$E,MID($D$1178,FIND("|",$D$1178&amp;"|")+1,50),Actuals!$F:$F,"EUR")*$G$5+SUMIFS(Actuals!$G:$G,Actuals!$B:$B,$C$3,Actuals!$C:$C,4,Actuals!$D:$D,$B$1178,Actuals!$A:$A,LEFT($D$1178,FIND("|",$D$1178&amp;"|")-1),Actuals!$E:$E,MID($D$1178,FIND("|",$D$1178&amp;"|")+1,50),Actuals!$F:$F,"GBP")*$H$5)</f>
        <v/>
      </c>
      <c r="L1179" s="18">
        <f>IF(OR($B$1178="",5&gt;$C$4),"",SUMIFS(Actuals!$G:$G,Actuals!$B:$B,$C$3,Actuals!$C:$C,5,Actuals!$D:$D,$B$1178,Actuals!$A:$A,LEFT($D$1178,FIND("|",$D$1178&amp;"|")-1),Actuals!$E:$E,MID($D$1178,FIND("|",$D$1178&amp;"|")+1,50),Actuals!$F:$F,"JPY")*$E$5+SUMIFS(Actuals!$G:$G,Actuals!$B:$B,$C$3,Actuals!$C:$C,5,Actuals!$D:$D,$B$1178,Actuals!$A:$A,LEFT($D$1178,FIND("|",$D$1178&amp;"|")-1),Actuals!$E:$E,MID($D$1178,FIND("|",$D$1178&amp;"|")+1,50),Actuals!$F:$F,"USD")*$F$5+SUMIFS(Actuals!$G:$G,Actuals!$B:$B,$C$3,Actuals!$C:$C,5,Actuals!$D:$D,$B$1178,Actuals!$A:$A,LEFT($D$1178,FIND("|",$D$1178&amp;"|")-1),Actuals!$E:$E,MID($D$1178,FIND("|",$D$1178&amp;"|")+1,50),Actuals!$F:$F,"EUR")*$G$5+SUMIFS(Actuals!$G:$G,Actuals!$B:$B,$C$3,Actuals!$C:$C,5,Actuals!$D:$D,$B$1178,Actuals!$A:$A,LEFT($D$1178,FIND("|",$D$1178&amp;"|")-1),Actuals!$E:$E,MID($D$1178,FIND("|",$D$1178&amp;"|")+1,50),Actuals!$F:$F,"GBP")*$H$5)</f>
        <v/>
      </c>
      <c r="M1179" s="18">
        <f>IF(OR($B$1178="",6&gt;$C$4),"",SUMIFS(Actuals!$G:$G,Actuals!$B:$B,$C$3,Actuals!$C:$C,6,Actuals!$D:$D,$B$1178,Actuals!$A:$A,LEFT($D$1178,FIND("|",$D$1178&amp;"|")-1),Actuals!$E:$E,MID($D$1178,FIND("|",$D$1178&amp;"|")+1,50),Actuals!$F:$F,"JPY")*$E$5+SUMIFS(Actuals!$G:$G,Actuals!$B:$B,$C$3,Actuals!$C:$C,6,Actuals!$D:$D,$B$1178,Actuals!$A:$A,LEFT($D$1178,FIND("|",$D$1178&amp;"|")-1),Actuals!$E:$E,MID($D$1178,FIND("|",$D$1178&amp;"|")+1,50),Actuals!$F:$F,"USD")*$F$5+SUMIFS(Actuals!$G:$G,Actuals!$B:$B,$C$3,Actuals!$C:$C,6,Actuals!$D:$D,$B$1178,Actuals!$A:$A,LEFT($D$1178,FIND("|",$D$1178&amp;"|")-1),Actuals!$E:$E,MID($D$1178,FIND("|",$D$1178&amp;"|")+1,50),Actuals!$F:$F,"EUR")*$G$5+SUMIFS(Actuals!$G:$G,Actuals!$B:$B,$C$3,Actuals!$C:$C,6,Actuals!$D:$D,$B$1178,Actuals!$A:$A,LEFT($D$1178,FIND("|",$D$1178&amp;"|")-1),Actuals!$E:$E,MID($D$1178,FIND("|",$D$1178&amp;"|")+1,50),Actuals!$F:$F,"GBP")*$H$5)</f>
        <v/>
      </c>
      <c r="N1179" s="18">
        <f>IF(OR($B$1178="",7&gt;$C$4),"",SUMIFS(Actuals!$G:$G,Actuals!$B:$B,$C$3,Actuals!$C:$C,7,Actuals!$D:$D,$B$1178,Actuals!$A:$A,LEFT($D$1178,FIND("|",$D$1178&amp;"|")-1),Actuals!$E:$E,MID($D$1178,FIND("|",$D$1178&amp;"|")+1,50),Actuals!$F:$F,"JPY")*$E$5+SUMIFS(Actuals!$G:$G,Actuals!$B:$B,$C$3,Actuals!$C:$C,7,Actuals!$D:$D,$B$1178,Actuals!$A:$A,LEFT($D$1178,FIND("|",$D$1178&amp;"|")-1),Actuals!$E:$E,MID($D$1178,FIND("|",$D$1178&amp;"|")+1,50),Actuals!$F:$F,"USD")*$F$5+SUMIFS(Actuals!$G:$G,Actuals!$B:$B,$C$3,Actuals!$C:$C,7,Actuals!$D:$D,$B$1178,Actuals!$A:$A,LEFT($D$1178,FIND("|",$D$1178&amp;"|")-1),Actuals!$E:$E,MID($D$1178,FIND("|",$D$1178&amp;"|")+1,50),Actuals!$F:$F,"EUR")*$G$5+SUMIFS(Actuals!$G:$G,Actuals!$B:$B,$C$3,Actuals!$C:$C,7,Actuals!$D:$D,$B$1178,Actuals!$A:$A,LEFT($D$1178,FIND("|",$D$1178&amp;"|")-1),Actuals!$E:$E,MID($D$1178,FIND("|",$D$1178&amp;"|")+1,50),Actuals!$F:$F,"GBP")*$H$5)</f>
        <v/>
      </c>
      <c r="O1179" s="18">
        <f>IF(OR($B$1178="",8&gt;$C$4),"",SUMIFS(Actuals!$G:$G,Actuals!$B:$B,$C$3,Actuals!$C:$C,8,Actuals!$D:$D,$B$1178,Actuals!$A:$A,LEFT($D$1178,FIND("|",$D$1178&amp;"|")-1),Actuals!$E:$E,MID($D$1178,FIND("|",$D$1178&amp;"|")+1,50),Actuals!$F:$F,"JPY")*$E$5+SUMIFS(Actuals!$G:$G,Actuals!$B:$B,$C$3,Actuals!$C:$C,8,Actuals!$D:$D,$B$1178,Actuals!$A:$A,LEFT($D$1178,FIND("|",$D$1178&amp;"|")-1),Actuals!$E:$E,MID($D$1178,FIND("|",$D$1178&amp;"|")+1,50),Actuals!$F:$F,"USD")*$F$5+SUMIFS(Actuals!$G:$G,Actuals!$B:$B,$C$3,Actuals!$C:$C,8,Actuals!$D:$D,$B$1178,Actuals!$A:$A,LEFT($D$1178,FIND("|",$D$1178&amp;"|")-1),Actuals!$E:$E,MID($D$1178,FIND("|",$D$1178&amp;"|")+1,50),Actuals!$F:$F,"EUR")*$G$5+SUMIFS(Actuals!$G:$G,Actuals!$B:$B,$C$3,Actuals!$C:$C,8,Actuals!$D:$D,$B$1178,Actuals!$A:$A,LEFT($D$1178,FIND("|",$D$1178&amp;"|")-1),Actuals!$E:$E,MID($D$1178,FIND("|",$D$1178&amp;"|")+1,50),Actuals!$F:$F,"GBP")*$H$5)</f>
        <v/>
      </c>
      <c r="P1179" s="18">
        <f>IF(OR($B$1178="",9&gt;$C$4),"",SUMIFS(Actuals!$G:$G,Actuals!$B:$B,$C$3,Actuals!$C:$C,9,Actuals!$D:$D,$B$1178,Actuals!$A:$A,LEFT($D$1178,FIND("|",$D$1178&amp;"|")-1),Actuals!$E:$E,MID($D$1178,FIND("|",$D$1178&amp;"|")+1,50),Actuals!$F:$F,"JPY")*$E$5+SUMIFS(Actuals!$G:$G,Actuals!$B:$B,$C$3,Actuals!$C:$C,9,Actuals!$D:$D,$B$1178,Actuals!$A:$A,LEFT($D$1178,FIND("|",$D$1178&amp;"|")-1),Actuals!$E:$E,MID($D$1178,FIND("|",$D$1178&amp;"|")+1,50),Actuals!$F:$F,"USD")*$F$5+SUMIFS(Actuals!$G:$G,Actuals!$B:$B,$C$3,Actuals!$C:$C,9,Actuals!$D:$D,$B$1178,Actuals!$A:$A,LEFT($D$1178,FIND("|",$D$1178&amp;"|")-1),Actuals!$E:$E,MID($D$1178,FIND("|",$D$1178&amp;"|")+1,50),Actuals!$F:$F,"EUR")*$G$5+SUMIFS(Actuals!$G:$G,Actuals!$B:$B,$C$3,Actuals!$C:$C,9,Actuals!$D:$D,$B$1178,Actuals!$A:$A,LEFT($D$1178,FIND("|",$D$1178&amp;"|")-1),Actuals!$E:$E,MID($D$1178,FIND("|",$D$1178&amp;"|")+1,50),Actuals!$F:$F,"GBP")*$H$5)</f>
        <v/>
      </c>
      <c r="Q1179" s="18">
        <f>IF(OR($B$1178="",10&gt;$C$4),"",SUMIFS(Actuals!$G:$G,Actuals!$B:$B,$C$3,Actuals!$C:$C,10,Actuals!$D:$D,$B$1178,Actuals!$A:$A,LEFT($D$1178,FIND("|",$D$1178&amp;"|")-1),Actuals!$E:$E,MID($D$1178,FIND("|",$D$1178&amp;"|")+1,50),Actuals!$F:$F,"JPY")*$E$5+SUMIFS(Actuals!$G:$G,Actuals!$B:$B,$C$3,Actuals!$C:$C,10,Actuals!$D:$D,$B$1178,Actuals!$A:$A,LEFT($D$1178,FIND("|",$D$1178&amp;"|")-1),Actuals!$E:$E,MID($D$1178,FIND("|",$D$1178&amp;"|")+1,50),Actuals!$F:$F,"USD")*$F$5+SUMIFS(Actuals!$G:$G,Actuals!$B:$B,$C$3,Actuals!$C:$C,10,Actuals!$D:$D,$B$1178,Actuals!$A:$A,LEFT($D$1178,FIND("|",$D$1178&amp;"|")-1),Actuals!$E:$E,MID($D$1178,FIND("|",$D$1178&amp;"|")+1,50),Actuals!$F:$F,"EUR")*$G$5+SUMIFS(Actuals!$G:$G,Actuals!$B:$B,$C$3,Actuals!$C:$C,10,Actuals!$D:$D,$B$1178,Actuals!$A:$A,LEFT($D$1178,FIND("|",$D$1178&amp;"|")-1),Actuals!$E:$E,MID($D$1178,FIND("|",$D$1178&amp;"|")+1,50),Actuals!$F:$F,"GBP")*$H$5)</f>
        <v/>
      </c>
      <c r="R1179" s="18">
        <f>IF(OR($B$1178="",11&gt;$C$4),"",SUMIFS(Actuals!$G:$G,Actuals!$B:$B,$C$3,Actuals!$C:$C,11,Actuals!$D:$D,$B$1178,Actuals!$A:$A,LEFT($D$1178,FIND("|",$D$1178&amp;"|")-1),Actuals!$E:$E,MID($D$1178,FIND("|",$D$1178&amp;"|")+1,50),Actuals!$F:$F,"JPY")*$E$5+SUMIFS(Actuals!$G:$G,Actuals!$B:$B,$C$3,Actuals!$C:$C,11,Actuals!$D:$D,$B$1178,Actuals!$A:$A,LEFT($D$1178,FIND("|",$D$1178&amp;"|")-1),Actuals!$E:$E,MID($D$1178,FIND("|",$D$1178&amp;"|")+1,50),Actuals!$F:$F,"USD")*$F$5+SUMIFS(Actuals!$G:$G,Actuals!$B:$B,$C$3,Actuals!$C:$C,11,Actuals!$D:$D,$B$1178,Actuals!$A:$A,LEFT($D$1178,FIND("|",$D$1178&amp;"|")-1),Actuals!$E:$E,MID($D$1178,FIND("|",$D$1178&amp;"|")+1,50),Actuals!$F:$F,"EUR")*$G$5+SUMIFS(Actuals!$G:$G,Actuals!$B:$B,$C$3,Actuals!$C:$C,11,Actuals!$D:$D,$B$1178,Actuals!$A:$A,LEFT($D$1178,FIND("|",$D$1178&amp;"|")-1),Actuals!$E:$E,MID($D$1178,FIND("|",$D$1178&amp;"|")+1,50),Actuals!$F:$F,"GBP")*$H$5)</f>
        <v/>
      </c>
      <c r="S1179" s="18">
        <f>IF(OR($B$1178="",12&gt;$C$4),"",SUMIFS(Actuals!$G:$G,Actuals!$B:$B,$C$3,Actuals!$C:$C,12,Actuals!$D:$D,$B$1178,Actuals!$A:$A,LEFT($D$1178,FIND("|",$D$1178&amp;"|")-1),Actuals!$E:$E,MID($D$1178,FIND("|",$D$1178&amp;"|")+1,50),Actuals!$F:$F,"JPY")*$E$5+SUMIFS(Actuals!$G:$G,Actuals!$B:$B,$C$3,Actuals!$C:$C,12,Actuals!$D:$D,$B$1178,Actuals!$A:$A,LEFT($D$1178,FIND("|",$D$1178&amp;"|")-1),Actuals!$E:$E,MID($D$1178,FIND("|",$D$1178&amp;"|")+1,50),Actuals!$F:$F,"USD")*$F$5+SUMIFS(Actuals!$G:$G,Actuals!$B:$B,$C$3,Actuals!$C:$C,12,Actuals!$D:$D,$B$1178,Actuals!$A:$A,LEFT($D$1178,FIND("|",$D$1178&amp;"|")-1),Actuals!$E:$E,MID($D$1178,FIND("|",$D$1178&amp;"|")+1,50),Actuals!$F:$F,"EUR")*$G$5+SUMIFS(Actuals!$G:$G,Actuals!$B:$B,$C$3,Actuals!$C:$C,12,Actuals!$D:$D,$B$1178,Actuals!$A:$A,LEFT($D$1178,FIND("|",$D$1178&amp;"|")-1),Actuals!$E:$E,MID($D$1178,FIND("|",$D$1178&amp;"|")+1,50),Actuals!$F:$F,"GBP")*$H$5)</f>
        <v/>
      </c>
      <c r="T1179" s="18">
        <f>IF($B$1178="","",SUMIF($H$7:$S$7,"&lt;="&amp;$C$4,$H1179:$S1179))</f>
        <v/>
      </c>
      <c r="U1179" s="18" t="n"/>
      <c r="V1179" s="18" t="n"/>
      <c r="X1179" s="22">
        <f>IF($B1179="","",IFERROR(INDEX(Cost_Centers!$E:$E,MATCH($B1179,Cost_Centers!$A:$A,0)),"(unknown)"))</f>
        <v/>
      </c>
      <c r="Y1179" s="22">
        <f>IF($B1179="","",IFERROR(INDEX(Cost_Centers!$D:$D,MATCH($B1179,Cost_Centers!$A:$A,0)),"(unknown)"))</f>
        <v/>
      </c>
      <c r="Z1179" s="22">
        <f>IF(OR($B1179="",$G1179&lt;&gt;"Variance vs Budget"),"",ABS(N($V1179))+ROW()/1000000000)</f>
        <v/>
      </c>
    </row>
    <row r="1180">
      <c r="A1180" s="13">
        <f>IF(A$1178="","",A$1178)</f>
        <v/>
      </c>
      <c r="B1180" s="13">
        <f>IF(B$1178="","",B$1178)</f>
        <v/>
      </c>
      <c r="C1180" s="13">
        <f>IF(C$1178="","",C$1178)</f>
        <v/>
      </c>
      <c r="D1180" s="13">
        <f>IF(D$1178="","",D$1178)</f>
        <v/>
      </c>
      <c r="E1180" s="13">
        <f>IF(E$1178="","",E$1178)</f>
        <v/>
      </c>
      <c r="F1180" s="13">
        <f>IF(F$1178="","",F$1178)</f>
        <v/>
      </c>
      <c r="G1180" s="6" t="inlineStr">
        <is>
          <t>Variance vs Budget</t>
        </is>
      </c>
      <c r="H1180" s="33">
        <f>IF(OR($B$1178="",1&gt;$C$4),"",N(H1179)-H1178)</f>
        <v/>
      </c>
      <c r="I1180" s="33">
        <f>IF(OR($B$1178="",2&gt;$C$4),"",N(I1179)-I1178)</f>
        <v/>
      </c>
      <c r="J1180" s="33">
        <f>IF(OR($B$1178="",3&gt;$C$4),"",N(J1179)-J1178)</f>
        <v/>
      </c>
      <c r="K1180" s="33">
        <f>IF(OR($B$1178="",4&gt;$C$4),"",N(K1179)-K1178)</f>
        <v/>
      </c>
      <c r="L1180" s="33">
        <f>IF(OR($B$1178="",5&gt;$C$4),"",N(L1179)-L1178)</f>
        <v/>
      </c>
      <c r="M1180" s="33">
        <f>IF(OR($B$1178="",6&gt;$C$4),"",N(M1179)-M1178)</f>
        <v/>
      </c>
      <c r="N1180" s="33">
        <f>IF(OR($B$1178="",7&gt;$C$4),"",N(N1179)-N1178)</f>
        <v/>
      </c>
      <c r="O1180" s="33">
        <f>IF(OR($B$1178="",8&gt;$C$4),"",N(O1179)-O1178)</f>
        <v/>
      </c>
      <c r="P1180" s="33">
        <f>IF(OR($B$1178="",9&gt;$C$4),"",N(P1179)-P1178)</f>
        <v/>
      </c>
      <c r="Q1180" s="33">
        <f>IF(OR($B$1178="",10&gt;$C$4),"",N(Q1179)-Q1178)</f>
        <v/>
      </c>
      <c r="R1180" s="33">
        <f>IF(OR($B$1178="",11&gt;$C$4),"",N(R1179)-R1178)</f>
        <v/>
      </c>
      <c r="S1180" s="33">
        <f>IF(OR($B$1178="",12&gt;$C$4),"",N(S1179)-S1178)</f>
        <v/>
      </c>
      <c r="T1180" s="33">
        <f>IF($B$1178="","",T1179-T1178)</f>
        <v/>
      </c>
      <c r="U1180" s="33">
        <f>IF($B$1178="","",U1182-U1178)</f>
        <v/>
      </c>
      <c r="V1180" s="33">
        <f>IF($B$1178="","",V1182-V1178)</f>
        <v/>
      </c>
      <c r="X1180" s="22">
        <f>IF($B1180="","",IFERROR(INDEX(Cost_Centers!$E:$E,MATCH($B1180,Cost_Centers!$A:$A,0)),"(unknown)"))</f>
        <v/>
      </c>
      <c r="Y1180" s="22">
        <f>IF($B1180="","",IFERROR(INDEX(Cost_Centers!$D:$D,MATCH($B1180,Cost_Centers!$A:$A,0)),"(unknown)"))</f>
        <v/>
      </c>
      <c r="Z1180" s="22">
        <f>IF(OR($B1180="",$G1180&lt;&gt;"Variance vs Budget"),"",ABS(N($V1180))+ROW()/1000000000)</f>
        <v/>
      </c>
    </row>
    <row r="1181">
      <c r="A1181" s="13">
        <f>IF(A$1178="","",A$1178)</f>
        <v/>
      </c>
      <c r="B1181" s="13">
        <f>IF(B$1178="","",B$1178)</f>
        <v/>
      </c>
      <c r="C1181" s="13">
        <f>IF(C$1178="","",C$1178)</f>
        <v/>
      </c>
      <c r="D1181" s="13">
        <f>IF(D$1178="","",D$1178)</f>
        <v/>
      </c>
      <c r="E1181" s="13">
        <f>IF(E$1178="","",E$1178)</f>
        <v/>
      </c>
      <c r="F1181" s="13">
        <f>IF(F$1178="","",F$1178)</f>
        <v/>
      </c>
      <c r="G1181" s="7" t="inlineStr">
        <is>
          <t>Forecast (input)</t>
        </is>
      </c>
      <c r="H1181" s="34" t="n"/>
      <c r="I1181" s="34" t="n"/>
      <c r="J1181" s="34" t="n"/>
      <c r="K1181" s="34" t="n"/>
      <c r="L1181" s="34" t="n"/>
      <c r="M1181" s="34" t="n"/>
      <c r="N1181" s="34" t="n"/>
      <c r="O1181" s="34" t="n"/>
      <c r="P1181" s="34" t="n"/>
      <c r="Q1181" s="34" t="n"/>
      <c r="R1181" s="34" t="n"/>
      <c r="S1181" s="34" t="n"/>
      <c r="T1181" s="18" t="n"/>
      <c r="U1181" s="18" t="n"/>
      <c r="V1181" s="18" t="n"/>
      <c r="X1181" s="22">
        <f>IF($B1181="","",IFERROR(INDEX(Cost_Centers!$E:$E,MATCH($B1181,Cost_Centers!$A:$A,0)),"(unknown)"))</f>
        <v/>
      </c>
      <c r="Y1181" s="22">
        <f>IF($B1181="","",IFERROR(INDEX(Cost_Centers!$D:$D,MATCH($B1181,Cost_Centers!$A:$A,0)),"(unknown)"))</f>
        <v/>
      </c>
      <c r="Z1181" s="22">
        <f>IF(OR($B1181="",$G1181&lt;&gt;"Variance vs Budget"),"",ABS(N($V1181))+ROW()/1000000000)</f>
        <v/>
      </c>
    </row>
    <row r="1182">
      <c r="A1182" s="13">
        <f>IF(A$1178="","",A$1178)</f>
        <v/>
      </c>
      <c r="B1182" s="13">
        <f>IF(B$1178="","",B$1178)</f>
        <v/>
      </c>
      <c r="C1182" s="13">
        <f>IF(C$1178="","",C$1178)</f>
        <v/>
      </c>
      <c r="D1182" s="13">
        <f>IF(D$1178="","",D$1178)</f>
        <v/>
      </c>
      <c r="E1182" s="13">
        <f>IF(E$1178="","",E$1178)</f>
        <v/>
      </c>
      <c r="F1182" s="13">
        <f>IF(F$1178="","",F$1178)</f>
        <v/>
      </c>
      <c r="G1182" s="35" t="inlineStr">
        <is>
          <t>Actual + Forecast</t>
        </is>
      </c>
      <c r="H1182" s="18">
        <f>IF($B$1178="","",IF(1&lt;=$C$4,N(H1179),IF(H1181="",H1178,H1181)))</f>
        <v/>
      </c>
      <c r="I1182" s="18">
        <f>IF($B$1178="","",IF(2&lt;=$C$4,N(I1179),IF(I1181="",I1178,I1181)))</f>
        <v/>
      </c>
      <c r="J1182" s="18">
        <f>IF($B$1178="","",IF(3&lt;=$C$4,N(J1179),IF(J1181="",J1178,J1181)))</f>
        <v/>
      </c>
      <c r="K1182" s="18">
        <f>IF($B$1178="","",IF(4&lt;=$C$4,N(K1179),IF(K1181="",K1178,K1181)))</f>
        <v/>
      </c>
      <c r="L1182" s="18">
        <f>IF($B$1178="","",IF(5&lt;=$C$4,N(L1179),IF(L1181="",L1178,L1181)))</f>
        <v/>
      </c>
      <c r="M1182" s="18">
        <f>IF($B$1178="","",IF(6&lt;=$C$4,N(M1179),IF(M1181="",M1178,M1181)))</f>
        <v/>
      </c>
      <c r="N1182" s="18">
        <f>IF($B$1178="","",IF(7&lt;=$C$4,N(N1179),IF(N1181="",N1178,N1181)))</f>
        <v/>
      </c>
      <c r="O1182" s="18">
        <f>IF($B$1178="","",IF(8&lt;=$C$4,N(O1179),IF(O1181="",O1178,O1181)))</f>
        <v/>
      </c>
      <c r="P1182" s="18">
        <f>IF($B$1178="","",IF(9&lt;=$C$4,N(P1179),IF(P1181="",P1178,P1181)))</f>
        <v/>
      </c>
      <c r="Q1182" s="18">
        <f>IF($B$1178="","",IF(10&lt;=$C$4,N(Q1179),IF(Q1181="",Q1178,Q1181)))</f>
        <v/>
      </c>
      <c r="R1182" s="18">
        <f>IF($B$1178="","",IF(11&lt;=$C$4,N(R1179),IF(R1181="",R1178,R1181)))</f>
        <v/>
      </c>
      <c r="S1182" s="18">
        <f>IF($B$1178="","",IF(12&lt;=$C$4,N(S1179),IF(S1181="",S1178,S1181)))</f>
        <v/>
      </c>
      <c r="T1182" s="18">
        <f>IF($B$1178="","",SUMIF($H$7:$S$7,"&lt;="&amp;$C$4,$H1182:$S1182))</f>
        <v/>
      </c>
      <c r="U1182" s="18">
        <f>IF($B$1178="","",SUMIF($H$7:$S$7,"&gt;"&amp;$C$4,$H1182:$S1182))</f>
        <v/>
      </c>
      <c r="V1182" s="18">
        <f>IF($B$1178="","",SUM($H1182:$S1182))</f>
        <v/>
      </c>
      <c r="X1182" s="22">
        <f>IF($B1182="","",IFERROR(INDEX(Cost_Centers!$E:$E,MATCH($B1182,Cost_Centers!$A:$A,0)),"(unknown)"))</f>
        <v/>
      </c>
      <c r="Y1182" s="22">
        <f>IF($B1182="","",IFERROR(INDEX(Cost_Centers!$D:$D,MATCH($B1182,Cost_Centers!$A:$A,0)),"(unknown)"))</f>
        <v/>
      </c>
      <c r="Z1182" s="22">
        <f>IF(OR($B1182="",$G1182&lt;&gt;"Variance vs Budget"),"",ABS(N($V1182))+ROW()/1000000000)</f>
        <v/>
      </c>
    </row>
    <row r="1183">
      <c r="A1183" s="13">
        <f>IF(A$1178="","",A$1178)</f>
        <v/>
      </c>
      <c r="B1183" s="13">
        <f>IF(B$1178="","",B$1178)</f>
        <v/>
      </c>
      <c r="C1183" s="13">
        <f>IF(C$1178="","",C$1178)</f>
        <v/>
      </c>
      <c r="D1183" s="13">
        <f>IF(D$1178="","",D$1178)</f>
        <v/>
      </c>
      <c r="E1183" s="13">
        <f>IF(E$1178="","",E$1178)</f>
        <v/>
      </c>
      <c r="F1183" s="13">
        <f>IF(F$1178="","",F$1178)</f>
        <v/>
      </c>
      <c r="G1183" s="36" t="inlineStr">
        <is>
          <t>Prior Month Forecast</t>
        </is>
      </c>
      <c r="H1183" s="37">
        <f>IF($B$1178="","",IF(COUNTIFS(Prior_Forecast!$A:$A,$B$1178,Prior_Forecast!$B:$B,$D$1178)&gt;0,SUMIFS(Prior_Forecast!$C:$C,Prior_Forecast!$A:$A,$B$1178,Prior_Forecast!$B:$B,$D$1178),""))</f>
        <v/>
      </c>
      <c r="I1183" s="37">
        <f>IF($B$1178="","",IF(COUNTIFS(Prior_Forecast!$A:$A,$B$1178,Prior_Forecast!$B:$B,$D$1178)&gt;0,SUMIFS(Prior_Forecast!$D:$D,Prior_Forecast!$A:$A,$B$1178,Prior_Forecast!$B:$B,$D$1178),""))</f>
        <v/>
      </c>
      <c r="J1183" s="37">
        <f>IF($B$1178="","",IF(COUNTIFS(Prior_Forecast!$A:$A,$B$1178,Prior_Forecast!$B:$B,$D$1178)&gt;0,SUMIFS(Prior_Forecast!$E:$E,Prior_Forecast!$A:$A,$B$1178,Prior_Forecast!$B:$B,$D$1178),""))</f>
        <v/>
      </c>
      <c r="K1183" s="37">
        <f>IF($B$1178="","",IF(COUNTIFS(Prior_Forecast!$A:$A,$B$1178,Prior_Forecast!$B:$B,$D$1178)&gt;0,SUMIFS(Prior_Forecast!$F:$F,Prior_Forecast!$A:$A,$B$1178,Prior_Forecast!$B:$B,$D$1178),""))</f>
        <v/>
      </c>
      <c r="L1183" s="37">
        <f>IF($B$1178="","",IF(COUNTIFS(Prior_Forecast!$A:$A,$B$1178,Prior_Forecast!$B:$B,$D$1178)&gt;0,SUMIFS(Prior_Forecast!$G:$G,Prior_Forecast!$A:$A,$B$1178,Prior_Forecast!$B:$B,$D$1178),""))</f>
        <v/>
      </c>
      <c r="M1183" s="37">
        <f>IF($B$1178="","",IF(COUNTIFS(Prior_Forecast!$A:$A,$B$1178,Prior_Forecast!$B:$B,$D$1178)&gt;0,SUMIFS(Prior_Forecast!$H:$H,Prior_Forecast!$A:$A,$B$1178,Prior_Forecast!$B:$B,$D$1178),""))</f>
        <v/>
      </c>
      <c r="N1183" s="37">
        <f>IF($B$1178="","",IF(COUNTIFS(Prior_Forecast!$A:$A,$B$1178,Prior_Forecast!$B:$B,$D$1178)&gt;0,SUMIFS(Prior_Forecast!$I:$I,Prior_Forecast!$A:$A,$B$1178,Prior_Forecast!$B:$B,$D$1178),""))</f>
        <v/>
      </c>
      <c r="O1183" s="37">
        <f>IF($B$1178="","",IF(COUNTIFS(Prior_Forecast!$A:$A,$B$1178,Prior_Forecast!$B:$B,$D$1178)&gt;0,SUMIFS(Prior_Forecast!$J:$J,Prior_Forecast!$A:$A,$B$1178,Prior_Forecast!$B:$B,$D$1178),""))</f>
        <v/>
      </c>
      <c r="P1183" s="37">
        <f>IF($B$1178="","",IF(COUNTIFS(Prior_Forecast!$A:$A,$B$1178,Prior_Forecast!$B:$B,$D$1178)&gt;0,SUMIFS(Prior_Forecast!$K:$K,Prior_Forecast!$A:$A,$B$1178,Prior_Forecast!$B:$B,$D$1178),""))</f>
        <v/>
      </c>
      <c r="Q1183" s="37">
        <f>IF($B$1178="","",IF(COUNTIFS(Prior_Forecast!$A:$A,$B$1178,Prior_Forecast!$B:$B,$D$1178)&gt;0,SUMIFS(Prior_Forecast!$L:$L,Prior_Forecast!$A:$A,$B$1178,Prior_Forecast!$B:$B,$D$1178),""))</f>
        <v/>
      </c>
      <c r="R1183" s="37">
        <f>IF($B$1178="","",IF(COUNTIFS(Prior_Forecast!$A:$A,$B$1178,Prior_Forecast!$B:$B,$D$1178)&gt;0,SUMIFS(Prior_Forecast!$M:$M,Prior_Forecast!$A:$A,$B$1178,Prior_Forecast!$B:$B,$D$1178),""))</f>
        <v/>
      </c>
      <c r="S1183" s="37">
        <f>IF($B$1178="","",IF(COUNTIFS(Prior_Forecast!$A:$A,$B$1178,Prior_Forecast!$B:$B,$D$1178)&gt;0,SUMIFS(Prior_Forecast!$N:$N,Prior_Forecast!$A:$A,$B$1178,Prior_Forecast!$B:$B,$D$1178),""))</f>
        <v/>
      </c>
      <c r="T1183" s="37">
        <f>IF($B$1178="","",IF(COUNTIFS(Prior_Forecast!$A:$A,$B$1178,Prior_Forecast!$B:$B,$D$1178)&gt;0,SUMIFS(Prior_Forecast!$O:$O,Prior_Forecast!$A:$A,$B$1178,Prior_Forecast!$B:$B,$D$1178),""))</f>
        <v/>
      </c>
      <c r="U1183" s="37">
        <f>IF($B$1178="","",IF(COUNTIFS(Prior_Forecast!$A:$A,$B$1178,Prior_Forecast!$B:$B,$D$1178)&gt;0,SUMIFS(Prior_Forecast!$P:$P,Prior_Forecast!$A:$A,$B$1178,Prior_Forecast!$B:$B,$D$1178),""))</f>
        <v/>
      </c>
      <c r="V1183" s="37">
        <f>IF($B$1178="","",IF(COUNTIFS(Prior_Forecast!$A:$A,$B$1178,Prior_Forecast!$B:$B,$D$1178)&gt;0,SUMIFS(Prior_Forecast!$Q:$Q,Prior_Forecast!$A:$A,$B$1178,Prior_Forecast!$B:$B,$D$1178),""))</f>
        <v/>
      </c>
      <c r="X1183" s="22">
        <f>IF($B1183="","",IFERROR(INDEX(Cost_Centers!$E:$E,MATCH($B1183,Cost_Centers!$A:$A,0)),"(unknown)"))</f>
        <v/>
      </c>
      <c r="Y1183" s="22">
        <f>IF($B1183="","",IFERROR(INDEX(Cost_Centers!$D:$D,MATCH($B1183,Cost_Centers!$A:$A,0)),"(unknown)"))</f>
        <v/>
      </c>
      <c r="Z1183" s="22">
        <f>IF(OR($B1183="",$G1183&lt;&gt;"Variance vs Budget"),"",ABS(N($V1183))+ROW()/1000000000)</f>
        <v/>
      </c>
    </row>
    <row r="1184">
      <c r="A1184" s="13">
        <f>IF(A$1178="","",A$1178)</f>
        <v/>
      </c>
      <c r="B1184" s="13">
        <f>IF(B$1178="","",B$1178)</f>
        <v/>
      </c>
      <c r="C1184" s="13">
        <f>IF(C$1178="","",C$1178)</f>
        <v/>
      </c>
      <c r="D1184" s="13">
        <f>IF(D$1178="","",D$1178)</f>
        <v/>
      </c>
      <c r="E1184" s="13">
        <f>IF(E$1178="","",E$1178)</f>
        <v/>
      </c>
      <c r="F1184" s="13">
        <f>IF(F$1178="","",F$1178)</f>
        <v/>
      </c>
      <c r="G1184" s="6" t="inlineStr">
        <is>
          <t>Variance vs Prior Month</t>
        </is>
      </c>
      <c r="H1184" s="33">
        <f>IF(OR($B$1178="",H1183=""),"",H1182-H1183)</f>
        <v/>
      </c>
      <c r="I1184" s="33">
        <f>IF(OR($B$1178="",I1183=""),"",I1182-I1183)</f>
        <v/>
      </c>
      <c r="J1184" s="33">
        <f>IF(OR($B$1178="",J1183=""),"",J1182-J1183)</f>
        <v/>
      </c>
      <c r="K1184" s="33">
        <f>IF(OR($B$1178="",K1183=""),"",K1182-K1183)</f>
        <v/>
      </c>
      <c r="L1184" s="33">
        <f>IF(OR($B$1178="",L1183=""),"",L1182-L1183)</f>
        <v/>
      </c>
      <c r="M1184" s="33">
        <f>IF(OR($B$1178="",M1183=""),"",M1182-M1183)</f>
        <v/>
      </c>
      <c r="N1184" s="33">
        <f>IF(OR($B$1178="",N1183=""),"",N1182-N1183)</f>
        <v/>
      </c>
      <c r="O1184" s="33">
        <f>IF(OR($B$1178="",O1183=""),"",O1182-O1183)</f>
        <v/>
      </c>
      <c r="P1184" s="33">
        <f>IF(OR($B$1178="",P1183=""),"",P1182-P1183)</f>
        <v/>
      </c>
      <c r="Q1184" s="33">
        <f>IF(OR($B$1178="",Q1183=""),"",Q1182-Q1183)</f>
        <v/>
      </c>
      <c r="R1184" s="33">
        <f>IF(OR($B$1178="",R1183=""),"",R1182-R1183)</f>
        <v/>
      </c>
      <c r="S1184" s="33">
        <f>IF(OR($B$1178="",S1183=""),"",S1182-S1183)</f>
        <v/>
      </c>
      <c r="T1184" s="33">
        <f>IF(OR($B$1178="",T1183=""),"",T1182-T1183)</f>
        <v/>
      </c>
      <c r="U1184" s="33">
        <f>IF(OR($B$1178="",U1183=""),"",U1182-U1183)</f>
        <v/>
      </c>
      <c r="V1184" s="33">
        <f>IF(OR($B$1178="",V1183=""),"",V1182-V1183)</f>
        <v/>
      </c>
      <c r="X1184" s="22">
        <f>IF($B1184="","",IFERROR(INDEX(Cost_Centers!$E:$E,MATCH($B1184,Cost_Centers!$A:$A,0)),"(unknown)"))</f>
        <v/>
      </c>
      <c r="Y1184" s="22">
        <f>IF($B1184="","",IFERROR(INDEX(Cost_Centers!$D:$D,MATCH($B1184,Cost_Centers!$A:$A,0)),"(unknown)"))</f>
        <v/>
      </c>
      <c r="Z1184" s="22">
        <f>IF(OR($B1184="",$G1184&lt;&gt;"Variance vs Budget"),"",ABS(N($V1184))+ROW()/1000000000)</f>
        <v/>
      </c>
    </row>
    <row r="1185" ht="45" customHeight="1">
      <c r="A1185" s="13">
        <f>IF(A$1178="","",A$1178)</f>
        <v/>
      </c>
      <c r="B1185" s="13">
        <f>IF(B$1178="","",B$1178)</f>
        <v/>
      </c>
      <c r="C1185" s="13">
        <f>IF(C$1178="","",C$1178)</f>
        <v/>
      </c>
      <c r="D1185" s="13">
        <f>IF(D$1178="","",D$1178)</f>
        <v/>
      </c>
      <c r="E1185" s="13">
        <f>IF(E$1178="","",E$1178)</f>
        <v/>
      </c>
      <c r="F1185" s="13">
        <f>IF(F$1178="","",F$1178)</f>
        <v/>
      </c>
      <c r="G1185" s="7" t="inlineStr">
        <is>
          <t>Rationale</t>
        </is>
      </c>
      <c r="H1185" s="38" t="n"/>
      <c r="I1185" s="38" t="n"/>
      <c r="J1185" s="38" t="n"/>
      <c r="K1185" s="38" t="n"/>
      <c r="L1185" s="38" t="n"/>
      <c r="M1185" s="38" t="n"/>
      <c r="N1185" s="38" t="n"/>
      <c r="O1185" s="38" t="n"/>
      <c r="P1185" s="38" t="n"/>
      <c r="Q1185" s="38" t="n"/>
      <c r="R1185" s="38" t="n"/>
      <c r="S1185" s="38" t="n"/>
      <c r="T1185" s="38" t="n"/>
      <c r="U1185" s="38" t="n"/>
      <c r="V1185" s="7" t="n"/>
      <c r="X1185" s="22">
        <f>IF($B1185="","",IFERROR(INDEX(Cost_Centers!$E:$E,MATCH($B1185,Cost_Centers!$A:$A,0)),"(unknown)"))</f>
        <v/>
      </c>
      <c r="Y1185" s="22">
        <f>IF($B1185="","",IFERROR(INDEX(Cost_Centers!$D:$D,MATCH($B1185,Cost_Centers!$A:$A,0)),"(unknown)"))</f>
        <v/>
      </c>
      <c r="Z1185" s="22">
        <f>IF(OR($B1185="",$G1185&lt;&gt;"Variance vs Budget"),"",ABS(N($V1185))+ROW()/1000000000)</f>
        <v/>
      </c>
    </row>
    <row r="1186">
      <c r="A1186" s="30">
        <f>IF($D$1186="","",LEFT($D$1186,FIND("|",$D$1186&amp;"|")-1))</f>
        <v/>
      </c>
      <c r="B1186" s="31" t="n"/>
      <c r="C1186" s="30">
        <f>IF($B$1186="","",IFERROR(INDEX(Cost_Centers!$B:$B,MATCH($B$1186,Cost_Centers!$A:$A,0)),"(not in master)"))</f>
        <v/>
      </c>
      <c r="D1186" s="31" t="n"/>
      <c r="E1186" s="30">
        <f>IF($D$1186="","",IFERROR(INDEX(Accounts!$D:$D,MATCH($D$1186,Accounts!$A:$A,0)),"(not in master)"))</f>
        <v/>
      </c>
      <c r="F1186" s="31" t="n"/>
      <c r="G1186" s="30" t="inlineStr">
        <is>
          <t>Budget</t>
        </is>
      </c>
      <c r="H1186" s="32">
        <f>IF($B$1186="","",SUMIFS(Opex_Budget!$O:$O,Opex_Budget!$A:$A,$C$3,Opex_Budget!$E:$E,$B$1186,Opex_Budget!$F:$F,$D$1186,Opex_Budget!$N:$N,"JPY")*$E$5+SUMIFS(Opex_Budget!$O:$O,Opex_Budget!$A:$A,$C$3,Opex_Budget!$E:$E,$B$1186,Opex_Budget!$F:$F,$D$1186,Opex_Budget!$N:$N,"USD")*$F$5+SUMIFS(Opex_Budget!$O:$O,Opex_Budget!$A:$A,$C$3,Opex_Budget!$E:$E,$B$1186,Opex_Budget!$F:$F,$D$1186,Opex_Budget!$N:$N,"EUR")*$G$5+SUMIFS(Opex_Budget!$O:$O,Opex_Budget!$A:$A,$C$3,Opex_Budget!$E:$E,$B$1186,Opex_Budget!$F:$F,$D$1186,Opex_Budget!$N:$N,"GBP")*$H$5)</f>
        <v/>
      </c>
      <c r="I1186" s="32">
        <f>IF($B$1186="","",SUMIFS(Opex_Budget!$P:$P,Opex_Budget!$A:$A,$C$3,Opex_Budget!$E:$E,$B$1186,Opex_Budget!$F:$F,$D$1186,Opex_Budget!$N:$N,"JPY")*$E$5+SUMIFS(Opex_Budget!$P:$P,Opex_Budget!$A:$A,$C$3,Opex_Budget!$E:$E,$B$1186,Opex_Budget!$F:$F,$D$1186,Opex_Budget!$N:$N,"USD")*$F$5+SUMIFS(Opex_Budget!$P:$P,Opex_Budget!$A:$A,$C$3,Opex_Budget!$E:$E,$B$1186,Opex_Budget!$F:$F,$D$1186,Opex_Budget!$N:$N,"EUR")*$G$5+SUMIFS(Opex_Budget!$P:$P,Opex_Budget!$A:$A,$C$3,Opex_Budget!$E:$E,$B$1186,Opex_Budget!$F:$F,$D$1186,Opex_Budget!$N:$N,"GBP")*$H$5)</f>
        <v/>
      </c>
      <c r="J1186" s="32">
        <f>IF($B$1186="","",SUMIFS(Opex_Budget!$Q:$Q,Opex_Budget!$A:$A,$C$3,Opex_Budget!$E:$E,$B$1186,Opex_Budget!$F:$F,$D$1186,Opex_Budget!$N:$N,"JPY")*$E$5+SUMIFS(Opex_Budget!$Q:$Q,Opex_Budget!$A:$A,$C$3,Opex_Budget!$E:$E,$B$1186,Opex_Budget!$F:$F,$D$1186,Opex_Budget!$N:$N,"USD")*$F$5+SUMIFS(Opex_Budget!$Q:$Q,Opex_Budget!$A:$A,$C$3,Opex_Budget!$E:$E,$B$1186,Opex_Budget!$F:$F,$D$1186,Opex_Budget!$N:$N,"EUR")*$G$5+SUMIFS(Opex_Budget!$Q:$Q,Opex_Budget!$A:$A,$C$3,Opex_Budget!$E:$E,$B$1186,Opex_Budget!$F:$F,$D$1186,Opex_Budget!$N:$N,"GBP")*$H$5)</f>
        <v/>
      </c>
      <c r="K1186" s="32">
        <f>IF($B$1186="","",SUMIFS(Opex_Budget!$R:$R,Opex_Budget!$A:$A,$C$3,Opex_Budget!$E:$E,$B$1186,Opex_Budget!$F:$F,$D$1186,Opex_Budget!$N:$N,"JPY")*$E$5+SUMIFS(Opex_Budget!$R:$R,Opex_Budget!$A:$A,$C$3,Opex_Budget!$E:$E,$B$1186,Opex_Budget!$F:$F,$D$1186,Opex_Budget!$N:$N,"USD")*$F$5+SUMIFS(Opex_Budget!$R:$R,Opex_Budget!$A:$A,$C$3,Opex_Budget!$E:$E,$B$1186,Opex_Budget!$F:$F,$D$1186,Opex_Budget!$N:$N,"EUR")*$G$5+SUMIFS(Opex_Budget!$R:$R,Opex_Budget!$A:$A,$C$3,Opex_Budget!$E:$E,$B$1186,Opex_Budget!$F:$F,$D$1186,Opex_Budget!$N:$N,"GBP")*$H$5)</f>
        <v/>
      </c>
      <c r="L1186" s="32">
        <f>IF($B$1186="","",SUMIFS(Opex_Budget!$S:$S,Opex_Budget!$A:$A,$C$3,Opex_Budget!$E:$E,$B$1186,Opex_Budget!$F:$F,$D$1186,Opex_Budget!$N:$N,"JPY")*$E$5+SUMIFS(Opex_Budget!$S:$S,Opex_Budget!$A:$A,$C$3,Opex_Budget!$E:$E,$B$1186,Opex_Budget!$F:$F,$D$1186,Opex_Budget!$N:$N,"USD")*$F$5+SUMIFS(Opex_Budget!$S:$S,Opex_Budget!$A:$A,$C$3,Opex_Budget!$E:$E,$B$1186,Opex_Budget!$F:$F,$D$1186,Opex_Budget!$N:$N,"EUR")*$G$5+SUMIFS(Opex_Budget!$S:$S,Opex_Budget!$A:$A,$C$3,Opex_Budget!$E:$E,$B$1186,Opex_Budget!$F:$F,$D$1186,Opex_Budget!$N:$N,"GBP")*$H$5)</f>
        <v/>
      </c>
      <c r="M1186" s="32">
        <f>IF($B$1186="","",SUMIFS(Opex_Budget!$T:$T,Opex_Budget!$A:$A,$C$3,Opex_Budget!$E:$E,$B$1186,Opex_Budget!$F:$F,$D$1186,Opex_Budget!$N:$N,"JPY")*$E$5+SUMIFS(Opex_Budget!$T:$T,Opex_Budget!$A:$A,$C$3,Opex_Budget!$E:$E,$B$1186,Opex_Budget!$F:$F,$D$1186,Opex_Budget!$N:$N,"USD")*$F$5+SUMIFS(Opex_Budget!$T:$T,Opex_Budget!$A:$A,$C$3,Opex_Budget!$E:$E,$B$1186,Opex_Budget!$F:$F,$D$1186,Opex_Budget!$N:$N,"EUR")*$G$5+SUMIFS(Opex_Budget!$T:$T,Opex_Budget!$A:$A,$C$3,Opex_Budget!$E:$E,$B$1186,Opex_Budget!$F:$F,$D$1186,Opex_Budget!$N:$N,"GBP")*$H$5)</f>
        <v/>
      </c>
      <c r="N1186" s="32">
        <f>IF($B$1186="","",SUMIFS(Opex_Budget!$U:$U,Opex_Budget!$A:$A,$C$3,Opex_Budget!$E:$E,$B$1186,Opex_Budget!$F:$F,$D$1186,Opex_Budget!$N:$N,"JPY")*$E$5+SUMIFS(Opex_Budget!$U:$U,Opex_Budget!$A:$A,$C$3,Opex_Budget!$E:$E,$B$1186,Opex_Budget!$F:$F,$D$1186,Opex_Budget!$N:$N,"USD")*$F$5+SUMIFS(Opex_Budget!$U:$U,Opex_Budget!$A:$A,$C$3,Opex_Budget!$E:$E,$B$1186,Opex_Budget!$F:$F,$D$1186,Opex_Budget!$N:$N,"EUR")*$G$5+SUMIFS(Opex_Budget!$U:$U,Opex_Budget!$A:$A,$C$3,Opex_Budget!$E:$E,$B$1186,Opex_Budget!$F:$F,$D$1186,Opex_Budget!$N:$N,"GBP")*$H$5)</f>
        <v/>
      </c>
      <c r="O1186" s="32">
        <f>IF($B$1186="","",SUMIFS(Opex_Budget!$V:$V,Opex_Budget!$A:$A,$C$3,Opex_Budget!$E:$E,$B$1186,Opex_Budget!$F:$F,$D$1186,Opex_Budget!$N:$N,"JPY")*$E$5+SUMIFS(Opex_Budget!$V:$V,Opex_Budget!$A:$A,$C$3,Opex_Budget!$E:$E,$B$1186,Opex_Budget!$F:$F,$D$1186,Opex_Budget!$N:$N,"USD")*$F$5+SUMIFS(Opex_Budget!$V:$V,Opex_Budget!$A:$A,$C$3,Opex_Budget!$E:$E,$B$1186,Opex_Budget!$F:$F,$D$1186,Opex_Budget!$N:$N,"EUR")*$G$5+SUMIFS(Opex_Budget!$V:$V,Opex_Budget!$A:$A,$C$3,Opex_Budget!$E:$E,$B$1186,Opex_Budget!$F:$F,$D$1186,Opex_Budget!$N:$N,"GBP")*$H$5)</f>
        <v/>
      </c>
      <c r="P1186" s="32">
        <f>IF($B$1186="","",SUMIFS(Opex_Budget!$W:$W,Opex_Budget!$A:$A,$C$3,Opex_Budget!$E:$E,$B$1186,Opex_Budget!$F:$F,$D$1186,Opex_Budget!$N:$N,"JPY")*$E$5+SUMIFS(Opex_Budget!$W:$W,Opex_Budget!$A:$A,$C$3,Opex_Budget!$E:$E,$B$1186,Opex_Budget!$F:$F,$D$1186,Opex_Budget!$N:$N,"USD")*$F$5+SUMIFS(Opex_Budget!$W:$W,Opex_Budget!$A:$A,$C$3,Opex_Budget!$E:$E,$B$1186,Opex_Budget!$F:$F,$D$1186,Opex_Budget!$N:$N,"EUR")*$G$5+SUMIFS(Opex_Budget!$W:$W,Opex_Budget!$A:$A,$C$3,Opex_Budget!$E:$E,$B$1186,Opex_Budget!$F:$F,$D$1186,Opex_Budget!$N:$N,"GBP")*$H$5)</f>
        <v/>
      </c>
      <c r="Q1186" s="32">
        <f>IF($B$1186="","",SUMIFS(Opex_Budget!$X:$X,Opex_Budget!$A:$A,$C$3,Opex_Budget!$E:$E,$B$1186,Opex_Budget!$F:$F,$D$1186,Opex_Budget!$N:$N,"JPY")*$E$5+SUMIFS(Opex_Budget!$X:$X,Opex_Budget!$A:$A,$C$3,Opex_Budget!$E:$E,$B$1186,Opex_Budget!$F:$F,$D$1186,Opex_Budget!$N:$N,"USD")*$F$5+SUMIFS(Opex_Budget!$X:$X,Opex_Budget!$A:$A,$C$3,Opex_Budget!$E:$E,$B$1186,Opex_Budget!$F:$F,$D$1186,Opex_Budget!$N:$N,"EUR")*$G$5+SUMIFS(Opex_Budget!$X:$X,Opex_Budget!$A:$A,$C$3,Opex_Budget!$E:$E,$B$1186,Opex_Budget!$F:$F,$D$1186,Opex_Budget!$N:$N,"GBP")*$H$5)</f>
        <v/>
      </c>
      <c r="R1186" s="32">
        <f>IF($B$1186="","",SUMIFS(Opex_Budget!$Y:$Y,Opex_Budget!$A:$A,$C$3,Opex_Budget!$E:$E,$B$1186,Opex_Budget!$F:$F,$D$1186,Opex_Budget!$N:$N,"JPY")*$E$5+SUMIFS(Opex_Budget!$Y:$Y,Opex_Budget!$A:$A,$C$3,Opex_Budget!$E:$E,$B$1186,Opex_Budget!$F:$F,$D$1186,Opex_Budget!$N:$N,"USD")*$F$5+SUMIFS(Opex_Budget!$Y:$Y,Opex_Budget!$A:$A,$C$3,Opex_Budget!$E:$E,$B$1186,Opex_Budget!$F:$F,$D$1186,Opex_Budget!$N:$N,"EUR")*$G$5+SUMIFS(Opex_Budget!$Y:$Y,Opex_Budget!$A:$A,$C$3,Opex_Budget!$E:$E,$B$1186,Opex_Budget!$F:$F,$D$1186,Opex_Budget!$N:$N,"GBP")*$H$5)</f>
        <v/>
      </c>
      <c r="S1186" s="32">
        <f>IF($B$1186="","",SUMIFS(Opex_Budget!$Z:$Z,Opex_Budget!$A:$A,$C$3,Opex_Budget!$E:$E,$B$1186,Opex_Budget!$F:$F,$D$1186,Opex_Budget!$N:$N,"JPY")*$E$5+SUMIFS(Opex_Budget!$Z:$Z,Opex_Budget!$A:$A,$C$3,Opex_Budget!$E:$E,$B$1186,Opex_Budget!$F:$F,$D$1186,Opex_Budget!$N:$N,"USD")*$F$5+SUMIFS(Opex_Budget!$Z:$Z,Opex_Budget!$A:$A,$C$3,Opex_Budget!$E:$E,$B$1186,Opex_Budget!$F:$F,$D$1186,Opex_Budget!$N:$N,"EUR")*$G$5+SUMIFS(Opex_Budget!$Z:$Z,Opex_Budget!$A:$A,$C$3,Opex_Budget!$E:$E,$B$1186,Opex_Budget!$F:$F,$D$1186,Opex_Budget!$N:$N,"GBP")*$H$5)</f>
        <v/>
      </c>
      <c r="T1186" s="32">
        <f>IF($B$1186="","",SUMIF($H$7:$S$7,"&lt;="&amp;$C$4,$H1186:$S1186))</f>
        <v/>
      </c>
      <c r="U1186" s="32">
        <f>IF($B$1186="","",SUMIF($H$7:$S$7,"&gt;"&amp;$C$4,$H1186:$S1186))</f>
        <v/>
      </c>
      <c r="V1186" s="32">
        <f>IF($B$1186="","",SUM($H1186:$S1186))</f>
        <v/>
      </c>
      <c r="X1186" s="22">
        <f>IF($B1186="","",IFERROR(INDEX(Cost_Centers!$E:$E,MATCH($B1186,Cost_Centers!$A:$A,0)),"(unknown)"))</f>
        <v/>
      </c>
      <c r="Y1186" s="22">
        <f>IF($B1186="","",IFERROR(INDEX(Cost_Centers!$D:$D,MATCH($B1186,Cost_Centers!$A:$A,0)),"(unknown)"))</f>
        <v/>
      </c>
      <c r="Z1186" s="22">
        <f>IF(OR($B1186="",$G1186&lt;&gt;"Variance vs Budget"),"",ABS(N($V1186))+ROW()/1000000000)</f>
        <v/>
      </c>
    </row>
    <row r="1187">
      <c r="A1187" s="13">
        <f>IF(A$1186="","",A$1186)</f>
        <v/>
      </c>
      <c r="B1187" s="13">
        <f>IF(B$1186="","",B$1186)</f>
        <v/>
      </c>
      <c r="C1187" s="13">
        <f>IF(C$1186="","",C$1186)</f>
        <v/>
      </c>
      <c r="D1187" s="13">
        <f>IF(D$1186="","",D$1186)</f>
        <v/>
      </c>
      <c r="E1187" s="13">
        <f>IF(E$1186="","",E$1186)</f>
        <v/>
      </c>
      <c r="F1187" s="13">
        <f>IF(F$1186="","",F$1186)</f>
        <v/>
      </c>
      <c r="G1187" s="7" t="inlineStr">
        <is>
          <t>Actual</t>
        </is>
      </c>
      <c r="H1187" s="18">
        <f>IF(OR($B$1186="",1&gt;$C$4),"",SUMIFS(Actuals!$G:$G,Actuals!$B:$B,$C$3,Actuals!$C:$C,1,Actuals!$D:$D,$B$1186,Actuals!$A:$A,LEFT($D$1186,FIND("|",$D$1186&amp;"|")-1),Actuals!$E:$E,MID($D$1186,FIND("|",$D$1186&amp;"|")+1,50),Actuals!$F:$F,"JPY")*$E$5+SUMIFS(Actuals!$G:$G,Actuals!$B:$B,$C$3,Actuals!$C:$C,1,Actuals!$D:$D,$B$1186,Actuals!$A:$A,LEFT($D$1186,FIND("|",$D$1186&amp;"|")-1),Actuals!$E:$E,MID($D$1186,FIND("|",$D$1186&amp;"|")+1,50),Actuals!$F:$F,"USD")*$F$5+SUMIFS(Actuals!$G:$G,Actuals!$B:$B,$C$3,Actuals!$C:$C,1,Actuals!$D:$D,$B$1186,Actuals!$A:$A,LEFT($D$1186,FIND("|",$D$1186&amp;"|")-1),Actuals!$E:$E,MID($D$1186,FIND("|",$D$1186&amp;"|")+1,50),Actuals!$F:$F,"EUR")*$G$5+SUMIFS(Actuals!$G:$G,Actuals!$B:$B,$C$3,Actuals!$C:$C,1,Actuals!$D:$D,$B$1186,Actuals!$A:$A,LEFT($D$1186,FIND("|",$D$1186&amp;"|")-1),Actuals!$E:$E,MID($D$1186,FIND("|",$D$1186&amp;"|")+1,50),Actuals!$F:$F,"GBP")*$H$5)</f>
        <v/>
      </c>
      <c r="I1187" s="18">
        <f>IF(OR($B$1186="",2&gt;$C$4),"",SUMIFS(Actuals!$G:$G,Actuals!$B:$B,$C$3,Actuals!$C:$C,2,Actuals!$D:$D,$B$1186,Actuals!$A:$A,LEFT($D$1186,FIND("|",$D$1186&amp;"|")-1),Actuals!$E:$E,MID($D$1186,FIND("|",$D$1186&amp;"|")+1,50),Actuals!$F:$F,"JPY")*$E$5+SUMIFS(Actuals!$G:$G,Actuals!$B:$B,$C$3,Actuals!$C:$C,2,Actuals!$D:$D,$B$1186,Actuals!$A:$A,LEFT($D$1186,FIND("|",$D$1186&amp;"|")-1),Actuals!$E:$E,MID($D$1186,FIND("|",$D$1186&amp;"|")+1,50),Actuals!$F:$F,"USD")*$F$5+SUMIFS(Actuals!$G:$G,Actuals!$B:$B,$C$3,Actuals!$C:$C,2,Actuals!$D:$D,$B$1186,Actuals!$A:$A,LEFT($D$1186,FIND("|",$D$1186&amp;"|")-1),Actuals!$E:$E,MID($D$1186,FIND("|",$D$1186&amp;"|")+1,50),Actuals!$F:$F,"EUR")*$G$5+SUMIFS(Actuals!$G:$G,Actuals!$B:$B,$C$3,Actuals!$C:$C,2,Actuals!$D:$D,$B$1186,Actuals!$A:$A,LEFT($D$1186,FIND("|",$D$1186&amp;"|")-1),Actuals!$E:$E,MID($D$1186,FIND("|",$D$1186&amp;"|")+1,50),Actuals!$F:$F,"GBP")*$H$5)</f>
        <v/>
      </c>
      <c r="J1187" s="18">
        <f>IF(OR($B$1186="",3&gt;$C$4),"",SUMIFS(Actuals!$G:$G,Actuals!$B:$B,$C$3,Actuals!$C:$C,3,Actuals!$D:$D,$B$1186,Actuals!$A:$A,LEFT($D$1186,FIND("|",$D$1186&amp;"|")-1),Actuals!$E:$E,MID($D$1186,FIND("|",$D$1186&amp;"|")+1,50),Actuals!$F:$F,"JPY")*$E$5+SUMIFS(Actuals!$G:$G,Actuals!$B:$B,$C$3,Actuals!$C:$C,3,Actuals!$D:$D,$B$1186,Actuals!$A:$A,LEFT($D$1186,FIND("|",$D$1186&amp;"|")-1),Actuals!$E:$E,MID($D$1186,FIND("|",$D$1186&amp;"|")+1,50),Actuals!$F:$F,"USD")*$F$5+SUMIFS(Actuals!$G:$G,Actuals!$B:$B,$C$3,Actuals!$C:$C,3,Actuals!$D:$D,$B$1186,Actuals!$A:$A,LEFT($D$1186,FIND("|",$D$1186&amp;"|")-1),Actuals!$E:$E,MID($D$1186,FIND("|",$D$1186&amp;"|")+1,50),Actuals!$F:$F,"EUR")*$G$5+SUMIFS(Actuals!$G:$G,Actuals!$B:$B,$C$3,Actuals!$C:$C,3,Actuals!$D:$D,$B$1186,Actuals!$A:$A,LEFT($D$1186,FIND("|",$D$1186&amp;"|")-1),Actuals!$E:$E,MID($D$1186,FIND("|",$D$1186&amp;"|")+1,50),Actuals!$F:$F,"GBP")*$H$5)</f>
        <v/>
      </c>
      <c r="K1187" s="18">
        <f>IF(OR($B$1186="",4&gt;$C$4),"",SUMIFS(Actuals!$G:$G,Actuals!$B:$B,$C$3,Actuals!$C:$C,4,Actuals!$D:$D,$B$1186,Actuals!$A:$A,LEFT($D$1186,FIND("|",$D$1186&amp;"|")-1),Actuals!$E:$E,MID($D$1186,FIND("|",$D$1186&amp;"|")+1,50),Actuals!$F:$F,"JPY")*$E$5+SUMIFS(Actuals!$G:$G,Actuals!$B:$B,$C$3,Actuals!$C:$C,4,Actuals!$D:$D,$B$1186,Actuals!$A:$A,LEFT($D$1186,FIND("|",$D$1186&amp;"|")-1),Actuals!$E:$E,MID($D$1186,FIND("|",$D$1186&amp;"|")+1,50),Actuals!$F:$F,"USD")*$F$5+SUMIFS(Actuals!$G:$G,Actuals!$B:$B,$C$3,Actuals!$C:$C,4,Actuals!$D:$D,$B$1186,Actuals!$A:$A,LEFT($D$1186,FIND("|",$D$1186&amp;"|")-1),Actuals!$E:$E,MID($D$1186,FIND("|",$D$1186&amp;"|")+1,50),Actuals!$F:$F,"EUR")*$G$5+SUMIFS(Actuals!$G:$G,Actuals!$B:$B,$C$3,Actuals!$C:$C,4,Actuals!$D:$D,$B$1186,Actuals!$A:$A,LEFT($D$1186,FIND("|",$D$1186&amp;"|")-1),Actuals!$E:$E,MID($D$1186,FIND("|",$D$1186&amp;"|")+1,50),Actuals!$F:$F,"GBP")*$H$5)</f>
        <v/>
      </c>
      <c r="L1187" s="18">
        <f>IF(OR($B$1186="",5&gt;$C$4),"",SUMIFS(Actuals!$G:$G,Actuals!$B:$B,$C$3,Actuals!$C:$C,5,Actuals!$D:$D,$B$1186,Actuals!$A:$A,LEFT($D$1186,FIND("|",$D$1186&amp;"|")-1),Actuals!$E:$E,MID($D$1186,FIND("|",$D$1186&amp;"|")+1,50),Actuals!$F:$F,"JPY")*$E$5+SUMIFS(Actuals!$G:$G,Actuals!$B:$B,$C$3,Actuals!$C:$C,5,Actuals!$D:$D,$B$1186,Actuals!$A:$A,LEFT($D$1186,FIND("|",$D$1186&amp;"|")-1),Actuals!$E:$E,MID($D$1186,FIND("|",$D$1186&amp;"|")+1,50),Actuals!$F:$F,"USD")*$F$5+SUMIFS(Actuals!$G:$G,Actuals!$B:$B,$C$3,Actuals!$C:$C,5,Actuals!$D:$D,$B$1186,Actuals!$A:$A,LEFT($D$1186,FIND("|",$D$1186&amp;"|")-1),Actuals!$E:$E,MID($D$1186,FIND("|",$D$1186&amp;"|")+1,50),Actuals!$F:$F,"EUR")*$G$5+SUMIFS(Actuals!$G:$G,Actuals!$B:$B,$C$3,Actuals!$C:$C,5,Actuals!$D:$D,$B$1186,Actuals!$A:$A,LEFT($D$1186,FIND("|",$D$1186&amp;"|")-1),Actuals!$E:$E,MID($D$1186,FIND("|",$D$1186&amp;"|")+1,50),Actuals!$F:$F,"GBP")*$H$5)</f>
        <v/>
      </c>
      <c r="M1187" s="18">
        <f>IF(OR($B$1186="",6&gt;$C$4),"",SUMIFS(Actuals!$G:$G,Actuals!$B:$B,$C$3,Actuals!$C:$C,6,Actuals!$D:$D,$B$1186,Actuals!$A:$A,LEFT($D$1186,FIND("|",$D$1186&amp;"|")-1),Actuals!$E:$E,MID($D$1186,FIND("|",$D$1186&amp;"|")+1,50),Actuals!$F:$F,"JPY")*$E$5+SUMIFS(Actuals!$G:$G,Actuals!$B:$B,$C$3,Actuals!$C:$C,6,Actuals!$D:$D,$B$1186,Actuals!$A:$A,LEFT($D$1186,FIND("|",$D$1186&amp;"|")-1),Actuals!$E:$E,MID($D$1186,FIND("|",$D$1186&amp;"|")+1,50),Actuals!$F:$F,"USD")*$F$5+SUMIFS(Actuals!$G:$G,Actuals!$B:$B,$C$3,Actuals!$C:$C,6,Actuals!$D:$D,$B$1186,Actuals!$A:$A,LEFT($D$1186,FIND("|",$D$1186&amp;"|")-1),Actuals!$E:$E,MID($D$1186,FIND("|",$D$1186&amp;"|")+1,50),Actuals!$F:$F,"EUR")*$G$5+SUMIFS(Actuals!$G:$G,Actuals!$B:$B,$C$3,Actuals!$C:$C,6,Actuals!$D:$D,$B$1186,Actuals!$A:$A,LEFT($D$1186,FIND("|",$D$1186&amp;"|")-1),Actuals!$E:$E,MID($D$1186,FIND("|",$D$1186&amp;"|")+1,50),Actuals!$F:$F,"GBP")*$H$5)</f>
        <v/>
      </c>
      <c r="N1187" s="18">
        <f>IF(OR($B$1186="",7&gt;$C$4),"",SUMIFS(Actuals!$G:$G,Actuals!$B:$B,$C$3,Actuals!$C:$C,7,Actuals!$D:$D,$B$1186,Actuals!$A:$A,LEFT($D$1186,FIND("|",$D$1186&amp;"|")-1),Actuals!$E:$E,MID($D$1186,FIND("|",$D$1186&amp;"|")+1,50),Actuals!$F:$F,"JPY")*$E$5+SUMIFS(Actuals!$G:$G,Actuals!$B:$B,$C$3,Actuals!$C:$C,7,Actuals!$D:$D,$B$1186,Actuals!$A:$A,LEFT($D$1186,FIND("|",$D$1186&amp;"|")-1),Actuals!$E:$E,MID($D$1186,FIND("|",$D$1186&amp;"|")+1,50),Actuals!$F:$F,"USD")*$F$5+SUMIFS(Actuals!$G:$G,Actuals!$B:$B,$C$3,Actuals!$C:$C,7,Actuals!$D:$D,$B$1186,Actuals!$A:$A,LEFT($D$1186,FIND("|",$D$1186&amp;"|")-1),Actuals!$E:$E,MID($D$1186,FIND("|",$D$1186&amp;"|")+1,50),Actuals!$F:$F,"EUR")*$G$5+SUMIFS(Actuals!$G:$G,Actuals!$B:$B,$C$3,Actuals!$C:$C,7,Actuals!$D:$D,$B$1186,Actuals!$A:$A,LEFT($D$1186,FIND("|",$D$1186&amp;"|")-1),Actuals!$E:$E,MID($D$1186,FIND("|",$D$1186&amp;"|")+1,50),Actuals!$F:$F,"GBP")*$H$5)</f>
        <v/>
      </c>
      <c r="O1187" s="18">
        <f>IF(OR($B$1186="",8&gt;$C$4),"",SUMIFS(Actuals!$G:$G,Actuals!$B:$B,$C$3,Actuals!$C:$C,8,Actuals!$D:$D,$B$1186,Actuals!$A:$A,LEFT($D$1186,FIND("|",$D$1186&amp;"|")-1),Actuals!$E:$E,MID($D$1186,FIND("|",$D$1186&amp;"|")+1,50),Actuals!$F:$F,"JPY")*$E$5+SUMIFS(Actuals!$G:$G,Actuals!$B:$B,$C$3,Actuals!$C:$C,8,Actuals!$D:$D,$B$1186,Actuals!$A:$A,LEFT($D$1186,FIND("|",$D$1186&amp;"|")-1),Actuals!$E:$E,MID($D$1186,FIND("|",$D$1186&amp;"|")+1,50),Actuals!$F:$F,"USD")*$F$5+SUMIFS(Actuals!$G:$G,Actuals!$B:$B,$C$3,Actuals!$C:$C,8,Actuals!$D:$D,$B$1186,Actuals!$A:$A,LEFT($D$1186,FIND("|",$D$1186&amp;"|")-1),Actuals!$E:$E,MID($D$1186,FIND("|",$D$1186&amp;"|")+1,50),Actuals!$F:$F,"EUR")*$G$5+SUMIFS(Actuals!$G:$G,Actuals!$B:$B,$C$3,Actuals!$C:$C,8,Actuals!$D:$D,$B$1186,Actuals!$A:$A,LEFT($D$1186,FIND("|",$D$1186&amp;"|")-1),Actuals!$E:$E,MID($D$1186,FIND("|",$D$1186&amp;"|")+1,50),Actuals!$F:$F,"GBP")*$H$5)</f>
        <v/>
      </c>
      <c r="P1187" s="18">
        <f>IF(OR($B$1186="",9&gt;$C$4),"",SUMIFS(Actuals!$G:$G,Actuals!$B:$B,$C$3,Actuals!$C:$C,9,Actuals!$D:$D,$B$1186,Actuals!$A:$A,LEFT($D$1186,FIND("|",$D$1186&amp;"|")-1),Actuals!$E:$E,MID($D$1186,FIND("|",$D$1186&amp;"|")+1,50),Actuals!$F:$F,"JPY")*$E$5+SUMIFS(Actuals!$G:$G,Actuals!$B:$B,$C$3,Actuals!$C:$C,9,Actuals!$D:$D,$B$1186,Actuals!$A:$A,LEFT($D$1186,FIND("|",$D$1186&amp;"|")-1),Actuals!$E:$E,MID($D$1186,FIND("|",$D$1186&amp;"|")+1,50),Actuals!$F:$F,"USD")*$F$5+SUMIFS(Actuals!$G:$G,Actuals!$B:$B,$C$3,Actuals!$C:$C,9,Actuals!$D:$D,$B$1186,Actuals!$A:$A,LEFT($D$1186,FIND("|",$D$1186&amp;"|")-1),Actuals!$E:$E,MID($D$1186,FIND("|",$D$1186&amp;"|")+1,50),Actuals!$F:$F,"EUR")*$G$5+SUMIFS(Actuals!$G:$G,Actuals!$B:$B,$C$3,Actuals!$C:$C,9,Actuals!$D:$D,$B$1186,Actuals!$A:$A,LEFT($D$1186,FIND("|",$D$1186&amp;"|")-1),Actuals!$E:$E,MID($D$1186,FIND("|",$D$1186&amp;"|")+1,50),Actuals!$F:$F,"GBP")*$H$5)</f>
        <v/>
      </c>
      <c r="Q1187" s="18">
        <f>IF(OR($B$1186="",10&gt;$C$4),"",SUMIFS(Actuals!$G:$G,Actuals!$B:$B,$C$3,Actuals!$C:$C,10,Actuals!$D:$D,$B$1186,Actuals!$A:$A,LEFT($D$1186,FIND("|",$D$1186&amp;"|")-1),Actuals!$E:$E,MID($D$1186,FIND("|",$D$1186&amp;"|")+1,50),Actuals!$F:$F,"JPY")*$E$5+SUMIFS(Actuals!$G:$G,Actuals!$B:$B,$C$3,Actuals!$C:$C,10,Actuals!$D:$D,$B$1186,Actuals!$A:$A,LEFT($D$1186,FIND("|",$D$1186&amp;"|")-1),Actuals!$E:$E,MID($D$1186,FIND("|",$D$1186&amp;"|")+1,50),Actuals!$F:$F,"USD")*$F$5+SUMIFS(Actuals!$G:$G,Actuals!$B:$B,$C$3,Actuals!$C:$C,10,Actuals!$D:$D,$B$1186,Actuals!$A:$A,LEFT($D$1186,FIND("|",$D$1186&amp;"|")-1),Actuals!$E:$E,MID($D$1186,FIND("|",$D$1186&amp;"|")+1,50),Actuals!$F:$F,"EUR")*$G$5+SUMIFS(Actuals!$G:$G,Actuals!$B:$B,$C$3,Actuals!$C:$C,10,Actuals!$D:$D,$B$1186,Actuals!$A:$A,LEFT($D$1186,FIND("|",$D$1186&amp;"|")-1),Actuals!$E:$E,MID($D$1186,FIND("|",$D$1186&amp;"|")+1,50),Actuals!$F:$F,"GBP")*$H$5)</f>
        <v/>
      </c>
      <c r="R1187" s="18">
        <f>IF(OR($B$1186="",11&gt;$C$4),"",SUMIFS(Actuals!$G:$G,Actuals!$B:$B,$C$3,Actuals!$C:$C,11,Actuals!$D:$D,$B$1186,Actuals!$A:$A,LEFT($D$1186,FIND("|",$D$1186&amp;"|")-1),Actuals!$E:$E,MID($D$1186,FIND("|",$D$1186&amp;"|")+1,50),Actuals!$F:$F,"JPY")*$E$5+SUMIFS(Actuals!$G:$G,Actuals!$B:$B,$C$3,Actuals!$C:$C,11,Actuals!$D:$D,$B$1186,Actuals!$A:$A,LEFT($D$1186,FIND("|",$D$1186&amp;"|")-1),Actuals!$E:$E,MID($D$1186,FIND("|",$D$1186&amp;"|")+1,50),Actuals!$F:$F,"USD")*$F$5+SUMIFS(Actuals!$G:$G,Actuals!$B:$B,$C$3,Actuals!$C:$C,11,Actuals!$D:$D,$B$1186,Actuals!$A:$A,LEFT($D$1186,FIND("|",$D$1186&amp;"|")-1),Actuals!$E:$E,MID($D$1186,FIND("|",$D$1186&amp;"|")+1,50),Actuals!$F:$F,"EUR")*$G$5+SUMIFS(Actuals!$G:$G,Actuals!$B:$B,$C$3,Actuals!$C:$C,11,Actuals!$D:$D,$B$1186,Actuals!$A:$A,LEFT($D$1186,FIND("|",$D$1186&amp;"|")-1),Actuals!$E:$E,MID($D$1186,FIND("|",$D$1186&amp;"|")+1,50),Actuals!$F:$F,"GBP")*$H$5)</f>
        <v/>
      </c>
      <c r="S1187" s="18">
        <f>IF(OR($B$1186="",12&gt;$C$4),"",SUMIFS(Actuals!$G:$G,Actuals!$B:$B,$C$3,Actuals!$C:$C,12,Actuals!$D:$D,$B$1186,Actuals!$A:$A,LEFT($D$1186,FIND("|",$D$1186&amp;"|")-1),Actuals!$E:$E,MID($D$1186,FIND("|",$D$1186&amp;"|")+1,50),Actuals!$F:$F,"JPY")*$E$5+SUMIFS(Actuals!$G:$G,Actuals!$B:$B,$C$3,Actuals!$C:$C,12,Actuals!$D:$D,$B$1186,Actuals!$A:$A,LEFT($D$1186,FIND("|",$D$1186&amp;"|")-1),Actuals!$E:$E,MID($D$1186,FIND("|",$D$1186&amp;"|")+1,50),Actuals!$F:$F,"USD")*$F$5+SUMIFS(Actuals!$G:$G,Actuals!$B:$B,$C$3,Actuals!$C:$C,12,Actuals!$D:$D,$B$1186,Actuals!$A:$A,LEFT($D$1186,FIND("|",$D$1186&amp;"|")-1),Actuals!$E:$E,MID($D$1186,FIND("|",$D$1186&amp;"|")+1,50),Actuals!$F:$F,"EUR")*$G$5+SUMIFS(Actuals!$G:$G,Actuals!$B:$B,$C$3,Actuals!$C:$C,12,Actuals!$D:$D,$B$1186,Actuals!$A:$A,LEFT($D$1186,FIND("|",$D$1186&amp;"|")-1),Actuals!$E:$E,MID($D$1186,FIND("|",$D$1186&amp;"|")+1,50),Actuals!$F:$F,"GBP")*$H$5)</f>
        <v/>
      </c>
      <c r="T1187" s="18">
        <f>IF($B$1186="","",SUMIF($H$7:$S$7,"&lt;="&amp;$C$4,$H1187:$S1187))</f>
        <v/>
      </c>
      <c r="U1187" s="18" t="n"/>
      <c r="V1187" s="18" t="n"/>
      <c r="X1187" s="22">
        <f>IF($B1187="","",IFERROR(INDEX(Cost_Centers!$E:$E,MATCH($B1187,Cost_Centers!$A:$A,0)),"(unknown)"))</f>
        <v/>
      </c>
      <c r="Y1187" s="22">
        <f>IF($B1187="","",IFERROR(INDEX(Cost_Centers!$D:$D,MATCH($B1187,Cost_Centers!$A:$A,0)),"(unknown)"))</f>
        <v/>
      </c>
      <c r="Z1187" s="22">
        <f>IF(OR($B1187="",$G1187&lt;&gt;"Variance vs Budget"),"",ABS(N($V1187))+ROW()/1000000000)</f>
        <v/>
      </c>
    </row>
    <row r="1188">
      <c r="A1188" s="13">
        <f>IF(A$1186="","",A$1186)</f>
        <v/>
      </c>
      <c r="B1188" s="13">
        <f>IF(B$1186="","",B$1186)</f>
        <v/>
      </c>
      <c r="C1188" s="13">
        <f>IF(C$1186="","",C$1186)</f>
        <v/>
      </c>
      <c r="D1188" s="13">
        <f>IF(D$1186="","",D$1186)</f>
        <v/>
      </c>
      <c r="E1188" s="13">
        <f>IF(E$1186="","",E$1186)</f>
        <v/>
      </c>
      <c r="F1188" s="13">
        <f>IF(F$1186="","",F$1186)</f>
        <v/>
      </c>
      <c r="G1188" s="6" t="inlineStr">
        <is>
          <t>Variance vs Budget</t>
        </is>
      </c>
      <c r="H1188" s="33">
        <f>IF(OR($B$1186="",1&gt;$C$4),"",N(H1187)-H1186)</f>
        <v/>
      </c>
      <c r="I1188" s="33">
        <f>IF(OR($B$1186="",2&gt;$C$4),"",N(I1187)-I1186)</f>
        <v/>
      </c>
      <c r="J1188" s="33">
        <f>IF(OR($B$1186="",3&gt;$C$4),"",N(J1187)-J1186)</f>
        <v/>
      </c>
      <c r="K1188" s="33">
        <f>IF(OR($B$1186="",4&gt;$C$4),"",N(K1187)-K1186)</f>
        <v/>
      </c>
      <c r="L1188" s="33">
        <f>IF(OR($B$1186="",5&gt;$C$4),"",N(L1187)-L1186)</f>
        <v/>
      </c>
      <c r="M1188" s="33">
        <f>IF(OR($B$1186="",6&gt;$C$4),"",N(M1187)-M1186)</f>
        <v/>
      </c>
      <c r="N1188" s="33">
        <f>IF(OR($B$1186="",7&gt;$C$4),"",N(N1187)-N1186)</f>
        <v/>
      </c>
      <c r="O1188" s="33">
        <f>IF(OR($B$1186="",8&gt;$C$4),"",N(O1187)-O1186)</f>
        <v/>
      </c>
      <c r="P1188" s="33">
        <f>IF(OR($B$1186="",9&gt;$C$4),"",N(P1187)-P1186)</f>
        <v/>
      </c>
      <c r="Q1188" s="33">
        <f>IF(OR($B$1186="",10&gt;$C$4),"",N(Q1187)-Q1186)</f>
        <v/>
      </c>
      <c r="R1188" s="33">
        <f>IF(OR($B$1186="",11&gt;$C$4),"",N(R1187)-R1186)</f>
        <v/>
      </c>
      <c r="S1188" s="33">
        <f>IF(OR($B$1186="",12&gt;$C$4),"",N(S1187)-S1186)</f>
        <v/>
      </c>
      <c r="T1188" s="33">
        <f>IF($B$1186="","",T1187-T1186)</f>
        <v/>
      </c>
      <c r="U1188" s="33">
        <f>IF($B$1186="","",U1190-U1186)</f>
        <v/>
      </c>
      <c r="V1188" s="33">
        <f>IF($B$1186="","",V1190-V1186)</f>
        <v/>
      </c>
      <c r="X1188" s="22">
        <f>IF($B1188="","",IFERROR(INDEX(Cost_Centers!$E:$E,MATCH($B1188,Cost_Centers!$A:$A,0)),"(unknown)"))</f>
        <v/>
      </c>
      <c r="Y1188" s="22">
        <f>IF($B1188="","",IFERROR(INDEX(Cost_Centers!$D:$D,MATCH($B1188,Cost_Centers!$A:$A,0)),"(unknown)"))</f>
        <v/>
      </c>
      <c r="Z1188" s="22">
        <f>IF(OR($B1188="",$G1188&lt;&gt;"Variance vs Budget"),"",ABS(N($V1188))+ROW()/1000000000)</f>
        <v/>
      </c>
    </row>
    <row r="1189">
      <c r="A1189" s="13">
        <f>IF(A$1186="","",A$1186)</f>
        <v/>
      </c>
      <c r="B1189" s="13">
        <f>IF(B$1186="","",B$1186)</f>
        <v/>
      </c>
      <c r="C1189" s="13">
        <f>IF(C$1186="","",C$1186)</f>
        <v/>
      </c>
      <c r="D1189" s="13">
        <f>IF(D$1186="","",D$1186)</f>
        <v/>
      </c>
      <c r="E1189" s="13">
        <f>IF(E$1186="","",E$1186)</f>
        <v/>
      </c>
      <c r="F1189" s="13">
        <f>IF(F$1186="","",F$1186)</f>
        <v/>
      </c>
      <c r="G1189" s="7" t="inlineStr">
        <is>
          <t>Forecast (input)</t>
        </is>
      </c>
      <c r="H1189" s="34" t="n"/>
      <c r="I1189" s="34" t="n"/>
      <c r="J1189" s="34" t="n"/>
      <c r="K1189" s="34" t="n"/>
      <c r="L1189" s="34" t="n"/>
      <c r="M1189" s="34" t="n"/>
      <c r="N1189" s="34" t="n"/>
      <c r="O1189" s="34" t="n"/>
      <c r="P1189" s="34" t="n"/>
      <c r="Q1189" s="34" t="n"/>
      <c r="R1189" s="34" t="n"/>
      <c r="S1189" s="34" t="n"/>
      <c r="T1189" s="18" t="n"/>
      <c r="U1189" s="18" t="n"/>
      <c r="V1189" s="18" t="n"/>
      <c r="X1189" s="22">
        <f>IF($B1189="","",IFERROR(INDEX(Cost_Centers!$E:$E,MATCH($B1189,Cost_Centers!$A:$A,0)),"(unknown)"))</f>
        <v/>
      </c>
      <c r="Y1189" s="22">
        <f>IF($B1189="","",IFERROR(INDEX(Cost_Centers!$D:$D,MATCH($B1189,Cost_Centers!$A:$A,0)),"(unknown)"))</f>
        <v/>
      </c>
      <c r="Z1189" s="22">
        <f>IF(OR($B1189="",$G1189&lt;&gt;"Variance vs Budget"),"",ABS(N($V1189))+ROW()/1000000000)</f>
        <v/>
      </c>
    </row>
    <row r="1190">
      <c r="A1190" s="13">
        <f>IF(A$1186="","",A$1186)</f>
        <v/>
      </c>
      <c r="B1190" s="13">
        <f>IF(B$1186="","",B$1186)</f>
        <v/>
      </c>
      <c r="C1190" s="13">
        <f>IF(C$1186="","",C$1186)</f>
        <v/>
      </c>
      <c r="D1190" s="13">
        <f>IF(D$1186="","",D$1186)</f>
        <v/>
      </c>
      <c r="E1190" s="13">
        <f>IF(E$1186="","",E$1186)</f>
        <v/>
      </c>
      <c r="F1190" s="13">
        <f>IF(F$1186="","",F$1186)</f>
        <v/>
      </c>
      <c r="G1190" s="35" t="inlineStr">
        <is>
          <t>Actual + Forecast</t>
        </is>
      </c>
      <c r="H1190" s="18">
        <f>IF($B$1186="","",IF(1&lt;=$C$4,N(H1187),IF(H1189="",H1186,H1189)))</f>
        <v/>
      </c>
      <c r="I1190" s="18">
        <f>IF($B$1186="","",IF(2&lt;=$C$4,N(I1187),IF(I1189="",I1186,I1189)))</f>
        <v/>
      </c>
      <c r="J1190" s="18">
        <f>IF($B$1186="","",IF(3&lt;=$C$4,N(J1187),IF(J1189="",J1186,J1189)))</f>
        <v/>
      </c>
      <c r="K1190" s="18">
        <f>IF($B$1186="","",IF(4&lt;=$C$4,N(K1187),IF(K1189="",K1186,K1189)))</f>
        <v/>
      </c>
      <c r="L1190" s="18">
        <f>IF($B$1186="","",IF(5&lt;=$C$4,N(L1187),IF(L1189="",L1186,L1189)))</f>
        <v/>
      </c>
      <c r="M1190" s="18">
        <f>IF($B$1186="","",IF(6&lt;=$C$4,N(M1187),IF(M1189="",M1186,M1189)))</f>
        <v/>
      </c>
      <c r="N1190" s="18">
        <f>IF($B$1186="","",IF(7&lt;=$C$4,N(N1187),IF(N1189="",N1186,N1189)))</f>
        <v/>
      </c>
      <c r="O1190" s="18">
        <f>IF($B$1186="","",IF(8&lt;=$C$4,N(O1187),IF(O1189="",O1186,O1189)))</f>
        <v/>
      </c>
      <c r="P1190" s="18">
        <f>IF($B$1186="","",IF(9&lt;=$C$4,N(P1187),IF(P1189="",P1186,P1189)))</f>
        <v/>
      </c>
      <c r="Q1190" s="18">
        <f>IF($B$1186="","",IF(10&lt;=$C$4,N(Q1187),IF(Q1189="",Q1186,Q1189)))</f>
        <v/>
      </c>
      <c r="R1190" s="18">
        <f>IF($B$1186="","",IF(11&lt;=$C$4,N(R1187),IF(R1189="",R1186,R1189)))</f>
        <v/>
      </c>
      <c r="S1190" s="18">
        <f>IF($B$1186="","",IF(12&lt;=$C$4,N(S1187),IF(S1189="",S1186,S1189)))</f>
        <v/>
      </c>
      <c r="T1190" s="18">
        <f>IF($B$1186="","",SUMIF($H$7:$S$7,"&lt;="&amp;$C$4,$H1190:$S1190))</f>
        <v/>
      </c>
      <c r="U1190" s="18">
        <f>IF($B$1186="","",SUMIF($H$7:$S$7,"&gt;"&amp;$C$4,$H1190:$S1190))</f>
        <v/>
      </c>
      <c r="V1190" s="18">
        <f>IF($B$1186="","",SUM($H1190:$S1190))</f>
        <v/>
      </c>
      <c r="X1190" s="22">
        <f>IF($B1190="","",IFERROR(INDEX(Cost_Centers!$E:$E,MATCH($B1190,Cost_Centers!$A:$A,0)),"(unknown)"))</f>
        <v/>
      </c>
      <c r="Y1190" s="22">
        <f>IF($B1190="","",IFERROR(INDEX(Cost_Centers!$D:$D,MATCH($B1190,Cost_Centers!$A:$A,0)),"(unknown)"))</f>
        <v/>
      </c>
      <c r="Z1190" s="22">
        <f>IF(OR($B1190="",$G1190&lt;&gt;"Variance vs Budget"),"",ABS(N($V1190))+ROW()/1000000000)</f>
        <v/>
      </c>
    </row>
    <row r="1191">
      <c r="A1191" s="13">
        <f>IF(A$1186="","",A$1186)</f>
        <v/>
      </c>
      <c r="B1191" s="13">
        <f>IF(B$1186="","",B$1186)</f>
        <v/>
      </c>
      <c r="C1191" s="13">
        <f>IF(C$1186="","",C$1186)</f>
        <v/>
      </c>
      <c r="D1191" s="13">
        <f>IF(D$1186="","",D$1186)</f>
        <v/>
      </c>
      <c r="E1191" s="13">
        <f>IF(E$1186="","",E$1186)</f>
        <v/>
      </c>
      <c r="F1191" s="13">
        <f>IF(F$1186="","",F$1186)</f>
        <v/>
      </c>
      <c r="G1191" s="36" t="inlineStr">
        <is>
          <t>Prior Month Forecast</t>
        </is>
      </c>
      <c r="H1191" s="37">
        <f>IF($B$1186="","",IF(COUNTIFS(Prior_Forecast!$A:$A,$B$1186,Prior_Forecast!$B:$B,$D$1186)&gt;0,SUMIFS(Prior_Forecast!$C:$C,Prior_Forecast!$A:$A,$B$1186,Prior_Forecast!$B:$B,$D$1186),""))</f>
        <v/>
      </c>
      <c r="I1191" s="37">
        <f>IF($B$1186="","",IF(COUNTIFS(Prior_Forecast!$A:$A,$B$1186,Prior_Forecast!$B:$B,$D$1186)&gt;0,SUMIFS(Prior_Forecast!$D:$D,Prior_Forecast!$A:$A,$B$1186,Prior_Forecast!$B:$B,$D$1186),""))</f>
        <v/>
      </c>
      <c r="J1191" s="37">
        <f>IF($B$1186="","",IF(COUNTIFS(Prior_Forecast!$A:$A,$B$1186,Prior_Forecast!$B:$B,$D$1186)&gt;0,SUMIFS(Prior_Forecast!$E:$E,Prior_Forecast!$A:$A,$B$1186,Prior_Forecast!$B:$B,$D$1186),""))</f>
        <v/>
      </c>
      <c r="K1191" s="37">
        <f>IF($B$1186="","",IF(COUNTIFS(Prior_Forecast!$A:$A,$B$1186,Prior_Forecast!$B:$B,$D$1186)&gt;0,SUMIFS(Prior_Forecast!$F:$F,Prior_Forecast!$A:$A,$B$1186,Prior_Forecast!$B:$B,$D$1186),""))</f>
        <v/>
      </c>
      <c r="L1191" s="37">
        <f>IF($B$1186="","",IF(COUNTIFS(Prior_Forecast!$A:$A,$B$1186,Prior_Forecast!$B:$B,$D$1186)&gt;0,SUMIFS(Prior_Forecast!$G:$G,Prior_Forecast!$A:$A,$B$1186,Prior_Forecast!$B:$B,$D$1186),""))</f>
        <v/>
      </c>
      <c r="M1191" s="37">
        <f>IF($B$1186="","",IF(COUNTIFS(Prior_Forecast!$A:$A,$B$1186,Prior_Forecast!$B:$B,$D$1186)&gt;0,SUMIFS(Prior_Forecast!$H:$H,Prior_Forecast!$A:$A,$B$1186,Prior_Forecast!$B:$B,$D$1186),""))</f>
        <v/>
      </c>
      <c r="N1191" s="37">
        <f>IF($B$1186="","",IF(COUNTIFS(Prior_Forecast!$A:$A,$B$1186,Prior_Forecast!$B:$B,$D$1186)&gt;0,SUMIFS(Prior_Forecast!$I:$I,Prior_Forecast!$A:$A,$B$1186,Prior_Forecast!$B:$B,$D$1186),""))</f>
        <v/>
      </c>
      <c r="O1191" s="37">
        <f>IF($B$1186="","",IF(COUNTIFS(Prior_Forecast!$A:$A,$B$1186,Prior_Forecast!$B:$B,$D$1186)&gt;0,SUMIFS(Prior_Forecast!$J:$J,Prior_Forecast!$A:$A,$B$1186,Prior_Forecast!$B:$B,$D$1186),""))</f>
        <v/>
      </c>
      <c r="P1191" s="37">
        <f>IF($B$1186="","",IF(COUNTIFS(Prior_Forecast!$A:$A,$B$1186,Prior_Forecast!$B:$B,$D$1186)&gt;0,SUMIFS(Prior_Forecast!$K:$K,Prior_Forecast!$A:$A,$B$1186,Prior_Forecast!$B:$B,$D$1186),""))</f>
        <v/>
      </c>
      <c r="Q1191" s="37">
        <f>IF($B$1186="","",IF(COUNTIFS(Prior_Forecast!$A:$A,$B$1186,Prior_Forecast!$B:$B,$D$1186)&gt;0,SUMIFS(Prior_Forecast!$L:$L,Prior_Forecast!$A:$A,$B$1186,Prior_Forecast!$B:$B,$D$1186),""))</f>
        <v/>
      </c>
      <c r="R1191" s="37">
        <f>IF($B$1186="","",IF(COUNTIFS(Prior_Forecast!$A:$A,$B$1186,Prior_Forecast!$B:$B,$D$1186)&gt;0,SUMIFS(Prior_Forecast!$M:$M,Prior_Forecast!$A:$A,$B$1186,Prior_Forecast!$B:$B,$D$1186),""))</f>
        <v/>
      </c>
      <c r="S1191" s="37">
        <f>IF($B$1186="","",IF(COUNTIFS(Prior_Forecast!$A:$A,$B$1186,Prior_Forecast!$B:$B,$D$1186)&gt;0,SUMIFS(Prior_Forecast!$N:$N,Prior_Forecast!$A:$A,$B$1186,Prior_Forecast!$B:$B,$D$1186),""))</f>
        <v/>
      </c>
      <c r="T1191" s="37">
        <f>IF($B$1186="","",IF(COUNTIFS(Prior_Forecast!$A:$A,$B$1186,Prior_Forecast!$B:$B,$D$1186)&gt;0,SUMIFS(Prior_Forecast!$O:$O,Prior_Forecast!$A:$A,$B$1186,Prior_Forecast!$B:$B,$D$1186),""))</f>
        <v/>
      </c>
      <c r="U1191" s="37">
        <f>IF($B$1186="","",IF(COUNTIFS(Prior_Forecast!$A:$A,$B$1186,Prior_Forecast!$B:$B,$D$1186)&gt;0,SUMIFS(Prior_Forecast!$P:$P,Prior_Forecast!$A:$A,$B$1186,Prior_Forecast!$B:$B,$D$1186),""))</f>
        <v/>
      </c>
      <c r="V1191" s="37">
        <f>IF($B$1186="","",IF(COUNTIFS(Prior_Forecast!$A:$A,$B$1186,Prior_Forecast!$B:$B,$D$1186)&gt;0,SUMIFS(Prior_Forecast!$Q:$Q,Prior_Forecast!$A:$A,$B$1186,Prior_Forecast!$B:$B,$D$1186),""))</f>
        <v/>
      </c>
      <c r="X1191" s="22">
        <f>IF($B1191="","",IFERROR(INDEX(Cost_Centers!$E:$E,MATCH($B1191,Cost_Centers!$A:$A,0)),"(unknown)"))</f>
        <v/>
      </c>
      <c r="Y1191" s="22">
        <f>IF($B1191="","",IFERROR(INDEX(Cost_Centers!$D:$D,MATCH($B1191,Cost_Centers!$A:$A,0)),"(unknown)"))</f>
        <v/>
      </c>
      <c r="Z1191" s="22">
        <f>IF(OR($B1191="",$G1191&lt;&gt;"Variance vs Budget"),"",ABS(N($V1191))+ROW()/1000000000)</f>
        <v/>
      </c>
    </row>
    <row r="1192">
      <c r="A1192" s="13">
        <f>IF(A$1186="","",A$1186)</f>
        <v/>
      </c>
      <c r="B1192" s="13">
        <f>IF(B$1186="","",B$1186)</f>
        <v/>
      </c>
      <c r="C1192" s="13">
        <f>IF(C$1186="","",C$1186)</f>
        <v/>
      </c>
      <c r="D1192" s="13">
        <f>IF(D$1186="","",D$1186)</f>
        <v/>
      </c>
      <c r="E1192" s="13">
        <f>IF(E$1186="","",E$1186)</f>
        <v/>
      </c>
      <c r="F1192" s="13">
        <f>IF(F$1186="","",F$1186)</f>
        <v/>
      </c>
      <c r="G1192" s="6" t="inlineStr">
        <is>
          <t>Variance vs Prior Month</t>
        </is>
      </c>
      <c r="H1192" s="33">
        <f>IF(OR($B$1186="",H1191=""),"",H1190-H1191)</f>
        <v/>
      </c>
      <c r="I1192" s="33">
        <f>IF(OR($B$1186="",I1191=""),"",I1190-I1191)</f>
        <v/>
      </c>
      <c r="J1192" s="33">
        <f>IF(OR($B$1186="",J1191=""),"",J1190-J1191)</f>
        <v/>
      </c>
      <c r="K1192" s="33">
        <f>IF(OR($B$1186="",K1191=""),"",K1190-K1191)</f>
        <v/>
      </c>
      <c r="L1192" s="33">
        <f>IF(OR($B$1186="",L1191=""),"",L1190-L1191)</f>
        <v/>
      </c>
      <c r="M1192" s="33">
        <f>IF(OR($B$1186="",M1191=""),"",M1190-M1191)</f>
        <v/>
      </c>
      <c r="N1192" s="33">
        <f>IF(OR($B$1186="",N1191=""),"",N1190-N1191)</f>
        <v/>
      </c>
      <c r="O1192" s="33">
        <f>IF(OR($B$1186="",O1191=""),"",O1190-O1191)</f>
        <v/>
      </c>
      <c r="P1192" s="33">
        <f>IF(OR($B$1186="",P1191=""),"",P1190-P1191)</f>
        <v/>
      </c>
      <c r="Q1192" s="33">
        <f>IF(OR($B$1186="",Q1191=""),"",Q1190-Q1191)</f>
        <v/>
      </c>
      <c r="R1192" s="33">
        <f>IF(OR($B$1186="",R1191=""),"",R1190-R1191)</f>
        <v/>
      </c>
      <c r="S1192" s="33">
        <f>IF(OR($B$1186="",S1191=""),"",S1190-S1191)</f>
        <v/>
      </c>
      <c r="T1192" s="33">
        <f>IF(OR($B$1186="",T1191=""),"",T1190-T1191)</f>
        <v/>
      </c>
      <c r="U1192" s="33">
        <f>IF(OR($B$1186="",U1191=""),"",U1190-U1191)</f>
        <v/>
      </c>
      <c r="V1192" s="33">
        <f>IF(OR($B$1186="",V1191=""),"",V1190-V1191)</f>
        <v/>
      </c>
      <c r="X1192" s="22">
        <f>IF($B1192="","",IFERROR(INDEX(Cost_Centers!$E:$E,MATCH($B1192,Cost_Centers!$A:$A,0)),"(unknown)"))</f>
        <v/>
      </c>
      <c r="Y1192" s="22">
        <f>IF($B1192="","",IFERROR(INDEX(Cost_Centers!$D:$D,MATCH($B1192,Cost_Centers!$A:$A,0)),"(unknown)"))</f>
        <v/>
      </c>
      <c r="Z1192" s="22">
        <f>IF(OR($B1192="",$G1192&lt;&gt;"Variance vs Budget"),"",ABS(N($V1192))+ROW()/1000000000)</f>
        <v/>
      </c>
    </row>
    <row r="1193" ht="45" customHeight="1">
      <c r="A1193" s="13">
        <f>IF(A$1186="","",A$1186)</f>
        <v/>
      </c>
      <c r="B1193" s="13">
        <f>IF(B$1186="","",B$1186)</f>
        <v/>
      </c>
      <c r="C1193" s="13">
        <f>IF(C$1186="","",C$1186)</f>
        <v/>
      </c>
      <c r="D1193" s="13">
        <f>IF(D$1186="","",D$1186)</f>
        <v/>
      </c>
      <c r="E1193" s="13">
        <f>IF(E$1186="","",E$1186)</f>
        <v/>
      </c>
      <c r="F1193" s="13">
        <f>IF(F$1186="","",F$1186)</f>
        <v/>
      </c>
      <c r="G1193" s="7" t="inlineStr">
        <is>
          <t>Rationale</t>
        </is>
      </c>
      <c r="H1193" s="38" t="n"/>
      <c r="I1193" s="38" t="n"/>
      <c r="J1193" s="38" t="n"/>
      <c r="K1193" s="38" t="n"/>
      <c r="L1193" s="38" t="n"/>
      <c r="M1193" s="38" t="n"/>
      <c r="N1193" s="38" t="n"/>
      <c r="O1193" s="38" t="n"/>
      <c r="P1193" s="38" t="n"/>
      <c r="Q1193" s="38" t="n"/>
      <c r="R1193" s="38" t="n"/>
      <c r="S1193" s="38" t="n"/>
      <c r="T1193" s="38" t="n"/>
      <c r="U1193" s="38" t="n"/>
      <c r="V1193" s="7" t="n"/>
      <c r="X1193" s="22">
        <f>IF($B1193="","",IFERROR(INDEX(Cost_Centers!$E:$E,MATCH($B1193,Cost_Centers!$A:$A,0)),"(unknown)"))</f>
        <v/>
      </c>
      <c r="Y1193" s="22">
        <f>IF($B1193="","",IFERROR(INDEX(Cost_Centers!$D:$D,MATCH($B1193,Cost_Centers!$A:$A,0)),"(unknown)"))</f>
        <v/>
      </c>
      <c r="Z1193" s="22">
        <f>IF(OR($B1193="",$G1193&lt;&gt;"Variance vs Budget"),"",ABS(N($V1193))+ROW()/1000000000)</f>
        <v/>
      </c>
    </row>
    <row r="1194">
      <c r="A1194" s="30">
        <f>IF($D$1194="","",LEFT($D$1194,FIND("|",$D$1194&amp;"|")-1))</f>
        <v/>
      </c>
      <c r="B1194" s="31" t="n"/>
      <c r="C1194" s="30">
        <f>IF($B$1194="","",IFERROR(INDEX(Cost_Centers!$B:$B,MATCH($B$1194,Cost_Centers!$A:$A,0)),"(not in master)"))</f>
        <v/>
      </c>
      <c r="D1194" s="31" t="n"/>
      <c r="E1194" s="30">
        <f>IF($D$1194="","",IFERROR(INDEX(Accounts!$D:$D,MATCH($D$1194,Accounts!$A:$A,0)),"(not in master)"))</f>
        <v/>
      </c>
      <c r="F1194" s="31" t="n"/>
      <c r="G1194" s="30" t="inlineStr">
        <is>
          <t>Budget</t>
        </is>
      </c>
      <c r="H1194" s="32">
        <f>IF($B$1194="","",SUMIFS(Opex_Budget!$O:$O,Opex_Budget!$A:$A,$C$3,Opex_Budget!$E:$E,$B$1194,Opex_Budget!$F:$F,$D$1194,Opex_Budget!$N:$N,"JPY")*$E$5+SUMIFS(Opex_Budget!$O:$O,Opex_Budget!$A:$A,$C$3,Opex_Budget!$E:$E,$B$1194,Opex_Budget!$F:$F,$D$1194,Opex_Budget!$N:$N,"USD")*$F$5+SUMIFS(Opex_Budget!$O:$O,Opex_Budget!$A:$A,$C$3,Opex_Budget!$E:$E,$B$1194,Opex_Budget!$F:$F,$D$1194,Opex_Budget!$N:$N,"EUR")*$G$5+SUMIFS(Opex_Budget!$O:$O,Opex_Budget!$A:$A,$C$3,Opex_Budget!$E:$E,$B$1194,Opex_Budget!$F:$F,$D$1194,Opex_Budget!$N:$N,"GBP")*$H$5)</f>
        <v/>
      </c>
      <c r="I1194" s="32">
        <f>IF($B$1194="","",SUMIFS(Opex_Budget!$P:$P,Opex_Budget!$A:$A,$C$3,Opex_Budget!$E:$E,$B$1194,Opex_Budget!$F:$F,$D$1194,Opex_Budget!$N:$N,"JPY")*$E$5+SUMIFS(Opex_Budget!$P:$P,Opex_Budget!$A:$A,$C$3,Opex_Budget!$E:$E,$B$1194,Opex_Budget!$F:$F,$D$1194,Opex_Budget!$N:$N,"USD")*$F$5+SUMIFS(Opex_Budget!$P:$P,Opex_Budget!$A:$A,$C$3,Opex_Budget!$E:$E,$B$1194,Opex_Budget!$F:$F,$D$1194,Opex_Budget!$N:$N,"EUR")*$G$5+SUMIFS(Opex_Budget!$P:$P,Opex_Budget!$A:$A,$C$3,Opex_Budget!$E:$E,$B$1194,Opex_Budget!$F:$F,$D$1194,Opex_Budget!$N:$N,"GBP")*$H$5)</f>
        <v/>
      </c>
      <c r="J1194" s="32">
        <f>IF($B$1194="","",SUMIFS(Opex_Budget!$Q:$Q,Opex_Budget!$A:$A,$C$3,Opex_Budget!$E:$E,$B$1194,Opex_Budget!$F:$F,$D$1194,Opex_Budget!$N:$N,"JPY")*$E$5+SUMIFS(Opex_Budget!$Q:$Q,Opex_Budget!$A:$A,$C$3,Opex_Budget!$E:$E,$B$1194,Opex_Budget!$F:$F,$D$1194,Opex_Budget!$N:$N,"USD")*$F$5+SUMIFS(Opex_Budget!$Q:$Q,Opex_Budget!$A:$A,$C$3,Opex_Budget!$E:$E,$B$1194,Opex_Budget!$F:$F,$D$1194,Opex_Budget!$N:$N,"EUR")*$G$5+SUMIFS(Opex_Budget!$Q:$Q,Opex_Budget!$A:$A,$C$3,Opex_Budget!$E:$E,$B$1194,Opex_Budget!$F:$F,$D$1194,Opex_Budget!$N:$N,"GBP")*$H$5)</f>
        <v/>
      </c>
      <c r="K1194" s="32">
        <f>IF($B$1194="","",SUMIFS(Opex_Budget!$R:$R,Opex_Budget!$A:$A,$C$3,Opex_Budget!$E:$E,$B$1194,Opex_Budget!$F:$F,$D$1194,Opex_Budget!$N:$N,"JPY")*$E$5+SUMIFS(Opex_Budget!$R:$R,Opex_Budget!$A:$A,$C$3,Opex_Budget!$E:$E,$B$1194,Opex_Budget!$F:$F,$D$1194,Opex_Budget!$N:$N,"USD")*$F$5+SUMIFS(Opex_Budget!$R:$R,Opex_Budget!$A:$A,$C$3,Opex_Budget!$E:$E,$B$1194,Opex_Budget!$F:$F,$D$1194,Opex_Budget!$N:$N,"EUR")*$G$5+SUMIFS(Opex_Budget!$R:$R,Opex_Budget!$A:$A,$C$3,Opex_Budget!$E:$E,$B$1194,Opex_Budget!$F:$F,$D$1194,Opex_Budget!$N:$N,"GBP")*$H$5)</f>
        <v/>
      </c>
      <c r="L1194" s="32">
        <f>IF($B$1194="","",SUMIFS(Opex_Budget!$S:$S,Opex_Budget!$A:$A,$C$3,Opex_Budget!$E:$E,$B$1194,Opex_Budget!$F:$F,$D$1194,Opex_Budget!$N:$N,"JPY")*$E$5+SUMIFS(Opex_Budget!$S:$S,Opex_Budget!$A:$A,$C$3,Opex_Budget!$E:$E,$B$1194,Opex_Budget!$F:$F,$D$1194,Opex_Budget!$N:$N,"USD")*$F$5+SUMIFS(Opex_Budget!$S:$S,Opex_Budget!$A:$A,$C$3,Opex_Budget!$E:$E,$B$1194,Opex_Budget!$F:$F,$D$1194,Opex_Budget!$N:$N,"EUR")*$G$5+SUMIFS(Opex_Budget!$S:$S,Opex_Budget!$A:$A,$C$3,Opex_Budget!$E:$E,$B$1194,Opex_Budget!$F:$F,$D$1194,Opex_Budget!$N:$N,"GBP")*$H$5)</f>
        <v/>
      </c>
      <c r="M1194" s="32">
        <f>IF($B$1194="","",SUMIFS(Opex_Budget!$T:$T,Opex_Budget!$A:$A,$C$3,Opex_Budget!$E:$E,$B$1194,Opex_Budget!$F:$F,$D$1194,Opex_Budget!$N:$N,"JPY")*$E$5+SUMIFS(Opex_Budget!$T:$T,Opex_Budget!$A:$A,$C$3,Opex_Budget!$E:$E,$B$1194,Opex_Budget!$F:$F,$D$1194,Opex_Budget!$N:$N,"USD")*$F$5+SUMIFS(Opex_Budget!$T:$T,Opex_Budget!$A:$A,$C$3,Opex_Budget!$E:$E,$B$1194,Opex_Budget!$F:$F,$D$1194,Opex_Budget!$N:$N,"EUR")*$G$5+SUMIFS(Opex_Budget!$T:$T,Opex_Budget!$A:$A,$C$3,Opex_Budget!$E:$E,$B$1194,Opex_Budget!$F:$F,$D$1194,Opex_Budget!$N:$N,"GBP")*$H$5)</f>
        <v/>
      </c>
      <c r="N1194" s="32">
        <f>IF($B$1194="","",SUMIFS(Opex_Budget!$U:$U,Opex_Budget!$A:$A,$C$3,Opex_Budget!$E:$E,$B$1194,Opex_Budget!$F:$F,$D$1194,Opex_Budget!$N:$N,"JPY")*$E$5+SUMIFS(Opex_Budget!$U:$U,Opex_Budget!$A:$A,$C$3,Opex_Budget!$E:$E,$B$1194,Opex_Budget!$F:$F,$D$1194,Opex_Budget!$N:$N,"USD")*$F$5+SUMIFS(Opex_Budget!$U:$U,Opex_Budget!$A:$A,$C$3,Opex_Budget!$E:$E,$B$1194,Opex_Budget!$F:$F,$D$1194,Opex_Budget!$N:$N,"EUR")*$G$5+SUMIFS(Opex_Budget!$U:$U,Opex_Budget!$A:$A,$C$3,Opex_Budget!$E:$E,$B$1194,Opex_Budget!$F:$F,$D$1194,Opex_Budget!$N:$N,"GBP")*$H$5)</f>
        <v/>
      </c>
      <c r="O1194" s="32">
        <f>IF($B$1194="","",SUMIFS(Opex_Budget!$V:$V,Opex_Budget!$A:$A,$C$3,Opex_Budget!$E:$E,$B$1194,Opex_Budget!$F:$F,$D$1194,Opex_Budget!$N:$N,"JPY")*$E$5+SUMIFS(Opex_Budget!$V:$V,Opex_Budget!$A:$A,$C$3,Opex_Budget!$E:$E,$B$1194,Opex_Budget!$F:$F,$D$1194,Opex_Budget!$N:$N,"USD")*$F$5+SUMIFS(Opex_Budget!$V:$V,Opex_Budget!$A:$A,$C$3,Opex_Budget!$E:$E,$B$1194,Opex_Budget!$F:$F,$D$1194,Opex_Budget!$N:$N,"EUR")*$G$5+SUMIFS(Opex_Budget!$V:$V,Opex_Budget!$A:$A,$C$3,Opex_Budget!$E:$E,$B$1194,Opex_Budget!$F:$F,$D$1194,Opex_Budget!$N:$N,"GBP")*$H$5)</f>
        <v/>
      </c>
      <c r="P1194" s="32">
        <f>IF($B$1194="","",SUMIFS(Opex_Budget!$W:$W,Opex_Budget!$A:$A,$C$3,Opex_Budget!$E:$E,$B$1194,Opex_Budget!$F:$F,$D$1194,Opex_Budget!$N:$N,"JPY")*$E$5+SUMIFS(Opex_Budget!$W:$W,Opex_Budget!$A:$A,$C$3,Opex_Budget!$E:$E,$B$1194,Opex_Budget!$F:$F,$D$1194,Opex_Budget!$N:$N,"USD")*$F$5+SUMIFS(Opex_Budget!$W:$W,Opex_Budget!$A:$A,$C$3,Opex_Budget!$E:$E,$B$1194,Opex_Budget!$F:$F,$D$1194,Opex_Budget!$N:$N,"EUR")*$G$5+SUMIFS(Opex_Budget!$W:$W,Opex_Budget!$A:$A,$C$3,Opex_Budget!$E:$E,$B$1194,Opex_Budget!$F:$F,$D$1194,Opex_Budget!$N:$N,"GBP")*$H$5)</f>
        <v/>
      </c>
      <c r="Q1194" s="32">
        <f>IF($B$1194="","",SUMIFS(Opex_Budget!$X:$X,Opex_Budget!$A:$A,$C$3,Opex_Budget!$E:$E,$B$1194,Opex_Budget!$F:$F,$D$1194,Opex_Budget!$N:$N,"JPY")*$E$5+SUMIFS(Opex_Budget!$X:$X,Opex_Budget!$A:$A,$C$3,Opex_Budget!$E:$E,$B$1194,Opex_Budget!$F:$F,$D$1194,Opex_Budget!$N:$N,"USD")*$F$5+SUMIFS(Opex_Budget!$X:$X,Opex_Budget!$A:$A,$C$3,Opex_Budget!$E:$E,$B$1194,Opex_Budget!$F:$F,$D$1194,Opex_Budget!$N:$N,"EUR")*$G$5+SUMIFS(Opex_Budget!$X:$X,Opex_Budget!$A:$A,$C$3,Opex_Budget!$E:$E,$B$1194,Opex_Budget!$F:$F,$D$1194,Opex_Budget!$N:$N,"GBP")*$H$5)</f>
        <v/>
      </c>
      <c r="R1194" s="32">
        <f>IF($B$1194="","",SUMIFS(Opex_Budget!$Y:$Y,Opex_Budget!$A:$A,$C$3,Opex_Budget!$E:$E,$B$1194,Opex_Budget!$F:$F,$D$1194,Opex_Budget!$N:$N,"JPY")*$E$5+SUMIFS(Opex_Budget!$Y:$Y,Opex_Budget!$A:$A,$C$3,Opex_Budget!$E:$E,$B$1194,Opex_Budget!$F:$F,$D$1194,Opex_Budget!$N:$N,"USD")*$F$5+SUMIFS(Opex_Budget!$Y:$Y,Opex_Budget!$A:$A,$C$3,Opex_Budget!$E:$E,$B$1194,Opex_Budget!$F:$F,$D$1194,Opex_Budget!$N:$N,"EUR")*$G$5+SUMIFS(Opex_Budget!$Y:$Y,Opex_Budget!$A:$A,$C$3,Opex_Budget!$E:$E,$B$1194,Opex_Budget!$F:$F,$D$1194,Opex_Budget!$N:$N,"GBP")*$H$5)</f>
        <v/>
      </c>
      <c r="S1194" s="32">
        <f>IF($B$1194="","",SUMIFS(Opex_Budget!$Z:$Z,Opex_Budget!$A:$A,$C$3,Opex_Budget!$E:$E,$B$1194,Opex_Budget!$F:$F,$D$1194,Opex_Budget!$N:$N,"JPY")*$E$5+SUMIFS(Opex_Budget!$Z:$Z,Opex_Budget!$A:$A,$C$3,Opex_Budget!$E:$E,$B$1194,Opex_Budget!$F:$F,$D$1194,Opex_Budget!$N:$N,"USD")*$F$5+SUMIFS(Opex_Budget!$Z:$Z,Opex_Budget!$A:$A,$C$3,Opex_Budget!$E:$E,$B$1194,Opex_Budget!$F:$F,$D$1194,Opex_Budget!$N:$N,"EUR")*$G$5+SUMIFS(Opex_Budget!$Z:$Z,Opex_Budget!$A:$A,$C$3,Opex_Budget!$E:$E,$B$1194,Opex_Budget!$F:$F,$D$1194,Opex_Budget!$N:$N,"GBP")*$H$5)</f>
        <v/>
      </c>
      <c r="T1194" s="32">
        <f>IF($B$1194="","",SUMIF($H$7:$S$7,"&lt;="&amp;$C$4,$H1194:$S1194))</f>
        <v/>
      </c>
      <c r="U1194" s="32">
        <f>IF($B$1194="","",SUMIF($H$7:$S$7,"&gt;"&amp;$C$4,$H1194:$S1194))</f>
        <v/>
      </c>
      <c r="V1194" s="32">
        <f>IF($B$1194="","",SUM($H1194:$S1194))</f>
        <v/>
      </c>
      <c r="X1194" s="22">
        <f>IF($B1194="","",IFERROR(INDEX(Cost_Centers!$E:$E,MATCH($B1194,Cost_Centers!$A:$A,0)),"(unknown)"))</f>
        <v/>
      </c>
      <c r="Y1194" s="22">
        <f>IF($B1194="","",IFERROR(INDEX(Cost_Centers!$D:$D,MATCH($B1194,Cost_Centers!$A:$A,0)),"(unknown)"))</f>
        <v/>
      </c>
      <c r="Z1194" s="22">
        <f>IF(OR($B1194="",$G1194&lt;&gt;"Variance vs Budget"),"",ABS(N($V1194))+ROW()/1000000000)</f>
        <v/>
      </c>
    </row>
    <row r="1195">
      <c r="A1195" s="13">
        <f>IF(A$1194="","",A$1194)</f>
        <v/>
      </c>
      <c r="B1195" s="13">
        <f>IF(B$1194="","",B$1194)</f>
        <v/>
      </c>
      <c r="C1195" s="13">
        <f>IF(C$1194="","",C$1194)</f>
        <v/>
      </c>
      <c r="D1195" s="13">
        <f>IF(D$1194="","",D$1194)</f>
        <v/>
      </c>
      <c r="E1195" s="13">
        <f>IF(E$1194="","",E$1194)</f>
        <v/>
      </c>
      <c r="F1195" s="13">
        <f>IF(F$1194="","",F$1194)</f>
        <v/>
      </c>
      <c r="G1195" s="7" t="inlineStr">
        <is>
          <t>Actual</t>
        </is>
      </c>
      <c r="H1195" s="18">
        <f>IF(OR($B$1194="",1&gt;$C$4),"",SUMIFS(Actuals!$G:$G,Actuals!$B:$B,$C$3,Actuals!$C:$C,1,Actuals!$D:$D,$B$1194,Actuals!$A:$A,LEFT($D$1194,FIND("|",$D$1194&amp;"|")-1),Actuals!$E:$E,MID($D$1194,FIND("|",$D$1194&amp;"|")+1,50),Actuals!$F:$F,"JPY")*$E$5+SUMIFS(Actuals!$G:$G,Actuals!$B:$B,$C$3,Actuals!$C:$C,1,Actuals!$D:$D,$B$1194,Actuals!$A:$A,LEFT($D$1194,FIND("|",$D$1194&amp;"|")-1),Actuals!$E:$E,MID($D$1194,FIND("|",$D$1194&amp;"|")+1,50),Actuals!$F:$F,"USD")*$F$5+SUMIFS(Actuals!$G:$G,Actuals!$B:$B,$C$3,Actuals!$C:$C,1,Actuals!$D:$D,$B$1194,Actuals!$A:$A,LEFT($D$1194,FIND("|",$D$1194&amp;"|")-1),Actuals!$E:$E,MID($D$1194,FIND("|",$D$1194&amp;"|")+1,50),Actuals!$F:$F,"EUR")*$G$5+SUMIFS(Actuals!$G:$G,Actuals!$B:$B,$C$3,Actuals!$C:$C,1,Actuals!$D:$D,$B$1194,Actuals!$A:$A,LEFT($D$1194,FIND("|",$D$1194&amp;"|")-1),Actuals!$E:$E,MID($D$1194,FIND("|",$D$1194&amp;"|")+1,50),Actuals!$F:$F,"GBP")*$H$5)</f>
        <v/>
      </c>
      <c r="I1195" s="18">
        <f>IF(OR($B$1194="",2&gt;$C$4),"",SUMIFS(Actuals!$G:$G,Actuals!$B:$B,$C$3,Actuals!$C:$C,2,Actuals!$D:$D,$B$1194,Actuals!$A:$A,LEFT($D$1194,FIND("|",$D$1194&amp;"|")-1),Actuals!$E:$E,MID($D$1194,FIND("|",$D$1194&amp;"|")+1,50),Actuals!$F:$F,"JPY")*$E$5+SUMIFS(Actuals!$G:$G,Actuals!$B:$B,$C$3,Actuals!$C:$C,2,Actuals!$D:$D,$B$1194,Actuals!$A:$A,LEFT($D$1194,FIND("|",$D$1194&amp;"|")-1),Actuals!$E:$E,MID($D$1194,FIND("|",$D$1194&amp;"|")+1,50),Actuals!$F:$F,"USD")*$F$5+SUMIFS(Actuals!$G:$G,Actuals!$B:$B,$C$3,Actuals!$C:$C,2,Actuals!$D:$D,$B$1194,Actuals!$A:$A,LEFT($D$1194,FIND("|",$D$1194&amp;"|")-1),Actuals!$E:$E,MID($D$1194,FIND("|",$D$1194&amp;"|")+1,50),Actuals!$F:$F,"EUR")*$G$5+SUMIFS(Actuals!$G:$G,Actuals!$B:$B,$C$3,Actuals!$C:$C,2,Actuals!$D:$D,$B$1194,Actuals!$A:$A,LEFT($D$1194,FIND("|",$D$1194&amp;"|")-1),Actuals!$E:$E,MID($D$1194,FIND("|",$D$1194&amp;"|")+1,50),Actuals!$F:$F,"GBP")*$H$5)</f>
        <v/>
      </c>
      <c r="J1195" s="18">
        <f>IF(OR($B$1194="",3&gt;$C$4),"",SUMIFS(Actuals!$G:$G,Actuals!$B:$B,$C$3,Actuals!$C:$C,3,Actuals!$D:$D,$B$1194,Actuals!$A:$A,LEFT($D$1194,FIND("|",$D$1194&amp;"|")-1),Actuals!$E:$E,MID($D$1194,FIND("|",$D$1194&amp;"|")+1,50),Actuals!$F:$F,"JPY")*$E$5+SUMIFS(Actuals!$G:$G,Actuals!$B:$B,$C$3,Actuals!$C:$C,3,Actuals!$D:$D,$B$1194,Actuals!$A:$A,LEFT($D$1194,FIND("|",$D$1194&amp;"|")-1),Actuals!$E:$E,MID($D$1194,FIND("|",$D$1194&amp;"|")+1,50),Actuals!$F:$F,"USD")*$F$5+SUMIFS(Actuals!$G:$G,Actuals!$B:$B,$C$3,Actuals!$C:$C,3,Actuals!$D:$D,$B$1194,Actuals!$A:$A,LEFT($D$1194,FIND("|",$D$1194&amp;"|")-1),Actuals!$E:$E,MID($D$1194,FIND("|",$D$1194&amp;"|")+1,50),Actuals!$F:$F,"EUR")*$G$5+SUMIFS(Actuals!$G:$G,Actuals!$B:$B,$C$3,Actuals!$C:$C,3,Actuals!$D:$D,$B$1194,Actuals!$A:$A,LEFT($D$1194,FIND("|",$D$1194&amp;"|")-1),Actuals!$E:$E,MID($D$1194,FIND("|",$D$1194&amp;"|")+1,50),Actuals!$F:$F,"GBP")*$H$5)</f>
        <v/>
      </c>
      <c r="K1195" s="18">
        <f>IF(OR($B$1194="",4&gt;$C$4),"",SUMIFS(Actuals!$G:$G,Actuals!$B:$B,$C$3,Actuals!$C:$C,4,Actuals!$D:$D,$B$1194,Actuals!$A:$A,LEFT($D$1194,FIND("|",$D$1194&amp;"|")-1),Actuals!$E:$E,MID($D$1194,FIND("|",$D$1194&amp;"|")+1,50),Actuals!$F:$F,"JPY")*$E$5+SUMIFS(Actuals!$G:$G,Actuals!$B:$B,$C$3,Actuals!$C:$C,4,Actuals!$D:$D,$B$1194,Actuals!$A:$A,LEFT($D$1194,FIND("|",$D$1194&amp;"|")-1),Actuals!$E:$E,MID($D$1194,FIND("|",$D$1194&amp;"|")+1,50),Actuals!$F:$F,"USD")*$F$5+SUMIFS(Actuals!$G:$G,Actuals!$B:$B,$C$3,Actuals!$C:$C,4,Actuals!$D:$D,$B$1194,Actuals!$A:$A,LEFT($D$1194,FIND("|",$D$1194&amp;"|")-1),Actuals!$E:$E,MID($D$1194,FIND("|",$D$1194&amp;"|")+1,50),Actuals!$F:$F,"EUR")*$G$5+SUMIFS(Actuals!$G:$G,Actuals!$B:$B,$C$3,Actuals!$C:$C,4,Actuals!$D:$D,$B$1194,Actuals!$A:$A,LEFT($D$1194,FIND("|",$D$1194&amp;"|")-1),Actuals!$E:$E,MID($D$1194,FIND("|",$D$1194&amp;"|")+1,50),Actuals!$F:$F,"GBP")*$H$5)</f>
        <v/>
      </c>
      <c r="L1195" s="18">
        <f>IF(OR($B$1194="",5&gt;$C$4),"",SUMIFS(Actuals!$G:$G,Actuals!$B:$B,$C$3,Actuals!$C:$C,5,Actuals!$D:$D,$B$1194,Actuals!$A:$A,LEFT($D$1194,FIND("|",$D$1194&amp;"|")-1),Actuals!$E:$E,MID($D$1194,FIND("|",$D$1194&amp;"|")+1,50),Actuals!$F:$F,"JPY")*$E$5+SUMIFS(Actuals!$G:$G,Actuals!$B:$B,$C$3,Actuals!$C:$C,5,Actuals!$D:$D,$B$1194,Actuals!$A:$A,LEFT($D$1194,FIND("|",$D$1194&amp;"|")-1),Actuals!$E:$E,MID($D$1194,FIND("|",$D$1194&amp;"|")+1,50),Actuals!$F:$F,"USD")*$F$5+SUMIFS(Actuals!$G:$G,Actuals!$B:$B,$C$3,Actuals!$C:$C,5,Actuals!$D:$D,$B$1194,Actuals!$A:$A,LEFT($D$1194,FIND("|",$D$1194&amp;"|")-1),Actuals!$E:$E,MID($D$1194,FIND("|",$D$1194&amp;"|")+1,50),Actuals!$F:$F,"EUR")*$G$5+SUMIFS(Actuals!$G:$G,Actuals!$B:$B,$C$3,Actuals!$C:$C,5,Actuals!$D:$D,$B$1194,Actuals!$A:$A,LEFT($D$1194,FIND("|",$D$1194&amp;"|")-1),Actuals!$E:$E,MID($D$1194,FIND("|",$D$1194&amp;"|")+1,50),Actuals!$F:$F,"GBP")*$H$5)</f>
        <v/>
      </c>
      <c r="M1195" s="18">
        <f>IF(OR($B$1194="",6&gt;$C$4),"",SUMIFS(Actuals!$G:$G,Actuals!$B:$B,$C$3,Actuals!$C:$C,6,Actuals!$D:$D,$B$1194,Actuals!$A:$A,LEFT($D$1194,FIND("|",$D$1194&amp;"|")-1),Actuals!$E:$E,MID($D$1194,FIND("|",$D$1194&amp;"|")+1,50),Actuals!$F:$F,"JPY")*$E$5+SUMIFS(Actuals!$G:$G,Actuals!$B:$B,$C$3,Actuals!$C:$C,6,Actuals!$D:$D,$B$1194,Actuals!$A:$A,LEFT($D$1194,FIND("|",$D$1194&amp;"|")-1),Actuals!$E:$E,MID($D$1194,FIND("|",$D$1194&amp;"|")+1,50),Actuals!$F:$F,"USD")*$F$5+SUMIFS(Actuals!$G:$G,Actuals!$B:$B,$C$3,Actuals!$C:$C,6,Actuals!$D:$D,$B$1194,Actuals!$A:$A,LEFT($D$1194,FIND("|",$D$1194&amp;"|")-1),Actuals!$E:$E,MID($D$1194,FIND("|",$D$1194&amp;"|")+1,50),Actuals!$F:$F,"EUR")*$G$5+SUMIFS(Actuals!$G:$G,Actuals!$B:$B,$C$3,Actuals!$C:$C,6,Actuals!$D:$D,$B$1194,Actuals!$A:$A,LEFT($D$1194,FIND("|",$D$1194&amp;"|")-1),Actuals!$E:$E,MID($D$1194,FIND("|",$D$1194&amp;"|")+1,50),Actuals!$F:$F,"GBP")*$H$5)</f>
        <v/>
      </c>
      <c r="N1195" s="18">
        <f>IF(OR($B$1194="",7&gt;$C$4),"",SUMIFS(Actuals!$G:$G,Actuals!$B:$B,$C$3,Actuals!$C:$C,7,Actuals!$D:$D,$B$1194,Actuals!$A:$A,LEFT($D$1194,FIND("|",$D$1194&amp;"|")-1),Actuals!$E:$E,MID($D$1194,FIND("|",$D$1194&amp;"|")+1,50),Actuals!$F:$F,"JPY")*$E$5+SUMIFS(Actuals!$G:$G,Actuals!$B:$B,$C$3,Actuals!$C:$C,7,Actuals!$D:$D,$B$1194,Actuals!$A:$A,LEFT($D$1194,FIND("|",$D$1194&amp;"|")-1),Actuals!$E:$E,MID($D$1194,FIND("|",$D$1194&amp;"|")+1,50),Actuals!$F:$F,"USD")*$F$5+SUMIFS(Actuals!$G:$G,Actuals!$B:$B,$C$3,Actuals!$C:$C,7,Actuals!$D:$D,$B$1194,Actuals!$A:$A,LEFT($D$1194,FIND("|",$D$1194&amp;"|")-1),Actuals!$E:$E,MID($D$1194,FIND("|",$D$1194&amp;"|")+1,50),Actuals!$F:$F,"EUR")*$G$5+SUMIFS(Actuals!$G:$G,Actuals!$B:$B,$C$3,Actuals!$C:$C,7,Actuals!$D:$D,$B$1194,Actuals!$A:$A,LEFT($D$1194,FIND("|",$D$1194&amp;"|")-1),Actuals!$E:$E,MID($D$1194,FIND("|",$D$1194&amp;"|")+1,50),Actuals!$F:$F,"GBP")*$H$5)</f>
        <v/>
      </c>
      <c r="O1195" s="18">
        <f>IF(OR($B$1194="",8&gt;$C$4),"",SUMIFS(Actuals!$G:$G,Actuals!$B:$B,$C$3,Actuals!$C:$C,8,Actuals!$D:$D,$B$1194,Actuals!$A:$A,LEFT($D$1194,FIND("|",$D$1194&amp;"|")-1),Actuals!$E:$E,MID($D$1194,FIND("|",$D$1194&amp;"|")+1,50),Actuals!$F:$F,"JPY")*$E$5+SUMIFS(Actuals!$G:$G,Actuals!$B:$B,$C$3,Actuals!$C:$C,8,Actuals!$D:$D,$B$1194,Actuals!$A:$A,LEFT($D$1194,FIND("|",$D$1194&amp;"|")-1),Actuals!$E:$E,MID($D$1194,FIND("|",$D$1194&amp;"|")+1,50),Actuals!$F:$F,"USD")*$F$5+SUMIFS(Actuals!$G:$G,Actuals!$B:$B,$C$3,Actuals!$C:$C,8,Actuals!$D:$D,$B$1194,Actuals!$A:$A,LEFT($D$1194,FIND("|",$D$1194&amp;"|")-1),Actuals!$E:$E,MID($D$1194,FIND("|",$D$1194&amp;"|")+1,50),Actuals!$F:$F,"EUR")*$G$5+SUMIFS(Actuals!$G:$G,Actuals!$B:$B,$C$3,Actuals!$C:$C,8,Actuals!$D:$D,$B$1194,Actuals!$A:$A,LEFT($D$1194,FIND("|",$D$1194&amp;"|")-1),Actuals!$E:$E,MID($D$1194,FIND("|",$D$1194&amp;"|")+1,50),Actuals!$F:$F,"GBP")*$H$5)</f>
        <v/>
      </c>
      <c r="P1195" s="18">
        <f>IF(OR($B$1194="",9&gt;$C$4),"",SUMIFS(Actuals!$G:$G,Actuals!$B:$B,$C$3,Actuals!$C:$C,9,Actuals!$D:$D,$B$1194,Actuals!$A:$A,LEFT($D$1194,FIND("|",$D$1194&amp;"|")-1),Actuals!$E:$E,MID($D$1194,FIND("|",$D$1194&amp;"|")+1,50),Actuals!$F:$F,"JPY")*$E$5+SUMIFS(Actuals!$G:$G,Actuals!$B:$B,$C$3,Actuals!$C:$C,9,Actuals!$D:$D,$B$1194,Actuals!$A:$A,LEFT($D$1194,FIND("|",$D$1194&amp;"|")-1),Actuals!$E:$E,MID($D$1194,FIND("|",$D$1194&amp;"|")+1,50),Actuals!$F:$F,"USD")*$F$5+SUMIFS(Actuals!$G:$G,Actuals!$B:$B,$C$3,Actuals!$C:$C,9,Actuals!$D:$D,$B$1194,Actuals!$A:$A,LEFT($D$1194,FIND("|",$D$1194&amp;"|")-1),Actuals!$E:$E,MID($D$1194,FIND("|",$D$1194&amp;"|")+1,50),Actuals!$F:$F,"EUR")*$G$5+SUMIFS(Actuals!$G:$G,Actuals!$B:$B,$C$3,Actuals!$C:$C,9,Actuals!$D:$D,$B$1194,Actuals!$A:$A,LEFT($D$1194,FIND("|",$D$1194&amp;"|")-1),Actuals!$E:$E,MID($D$1194,FIND("|",$D$1194&amp;"|")+1,50),Actuals!$F:$F,"GBP")*$H$5)</f>
        <v/>
      </c>
      <c r="Q1195" s="18">
        <f>IF(OR($B$1194="",10&gt;$C$4),"",SUMIFS(Actuals!$G:$G,Actuals!$B:$B,$C$3,Actuals!$C:$C,10,Actuals!$D:$D,$B$1194,Actuals!$A:$A,LEFT($D$1194,FIND("|",$D$1194&amp;"|")-1),Actuals!$E:$E,MID($D$1194,FIND("|",$D$1194&amp;"|")+1,50),Actuals!$F:$F,"JPY")*$E$5+SUMIFS(Actuals!$G:$G,Actuals!$B:$B,$C$3,Actuals!$C:$C,10,Actuals!$D:$D,$B$1194,Actuals!$A:$A,LEFT($D$1194,FIND("|",$D$1194&amp;"|")-1),Actuals!$E:$E,MID($D$1194,FIND("|",$D$1194&amp;"|")+1,50),Actuals!$F:$F,"USD")*$F$5+SUMIFS(Actuals!$G:$G,Actuals!$B:$B,$C$3,Actuals!$C:$C,10,Actuals!$D:$D,$B$1194,Actuals!$A:$A,LEFT($D$1194,FIND("|",$D$1194&amp;"|")-1),Actuals!$E:$E,MID($D$1194,FIND("|",$D$1194&amp;"|")+1,50),Actuals!$F:$F,"EUR")*$G$5+SUMIFS(Actuals!$G:$G,Actuals!$B:$B,$C$3,Actuals!$C:$C,10,Actuals!$D:$D,$B$1194,Actuals!$A:$A,LEFT($D$1194,FIND("|",$D$1194&amp;"|")-1),Actuals!$E:$E,MID($D$1194,FIND("|",$D$1194&amp;"|")+1,50),Actuals!$F:$F,"GBP")*$H$5)</f>
        <v/>
      </c>
      <c r="R1195" s="18">
        <f>IF(OR($B$1194="",11&gt;$C$4),"",SUMIFS(Actuals!$G:$G,Actuals!$B:$B,$C$3,Actuals!$C:$C,11,Actuals!$D:$D,$B$1194,Actuals!$A:$A,LEFT($D$1194,FIND("|",$D$1194&amp;"|")-1),Actuals!$E:$E,MID($D$1194,FIND("|",$D$1194&amp;"|")+1,50),Actuals!$F:$F,"JPY")*$E$5+SUMIFS(Actuals!$G:$G,Actuals!$B:$B,$C$3,Actuals!$C:$C,11,Actuals!$D:$D,$B$1194,Actuals!$A:$A,LEFT($D$1194,FIND("|",$D$1194&amp;"|")-1),Actuals!$E:$E,MID($D$1194,FIND("|",$D$1194&amp;"|")+1,50),Actuals!$F:$F,"USD")*$F$5+SUMIFS(Actuals!$G:$G,Actuals!$B:$B,$C$3,Actuals!$C:$C,11,Actuals!$D:$D,$B$1194,Actuals!$A:$A,LEFT($D$1194,FIND("|",$D$1194&amp;"|")-1),Actuals!$E:$E,MID($D$1194,FIND("|",$D$1194&amp;"|")+1,50),Actuals!$F:$F,"EUR")*$G$5+SUMIFS(Actuals!$G:$G,Actuals!$B:$B,$C$3,Actuals!$C:$C,11,Actuals!$D:$D,$B$1194,Actuals!$A:$A,LEFT($D$1194,FIND("|",$D$1194&amp;"|")-1),Actuals!$E:$E,MID($D$1194,FIND("|",$D$1194&amp;"|")+1,50),Actuals!$F:$F,"GBP")*$H$5)</f>
        <v/>
      </c>
      <c r="S1195" s="18">
        <f>IF(OR($B$1194="",12&gt;$C$4),"",SUMIFS(Actuals!$G:$G,Actuals!$B:$B,$C$3,Actuals!$C:$C,12,Actuals!$D:$D,$B$1194,Actuals!$A:$A,LEFT($D$1194,FIND("|",$D$1194&amp;"|")-1),Actuals!$E:$E,MID($D$1194,FIND("|",$D$1194&amp;"|")+1,50),Actuals!$F:$F,"JPY")*$E$5+SUMIFS(Actuals!$G:$G,Actuals!$B:$B,$C$3,Actuals!$C:$C,12,Actuals!$D:$D,$B$1194,Actuals!$A:$A,LEFT($D$1194,FIND("|",$D$1194&amp;"|")-1),Actuals!$E:$E,MID($D$1194,FIND("|",$D$1194&amp;"|")+1,50),Actuals!$F:$F,"USD")*$F$5+SUMIFS(Actuals!$G:$G,Actuals!$B:$B,$C$3,Actuals!$C:$C,12,Actuals!$D:$D,$B$1194,Actuals!$A:$A,LEFT($D$1194,FIND("|",$D$1194&amp;"|")-1),Actuals!$E:$E,MID($D$1194,FIND("|",$D$1194&amp;"|")+1,50),Actuals!$F:$F,"EUR")*$G$5+SUMIFS(Actuals!$G:$G,Actuals!$B:$B,$C$3,Actuals!$C:$C,12,Actuals!$D:$D,$B$1194,Actuals!$A:$A,LEFT($D$1194,FIND("|",$D$1194&amp;"|")-1),Actuals!$E:$E,MID($D$1194,FIND("|",$D$1194&amp;"|")+1,50),Actuals!$F:$F,"GBP")*$H$5)</f>
        <v/>
      </c>
      <c r="T1195" s="18">
        <f>IF($B$1194="","",SUMIF($H$7:$S$7,"&lt;="&amp;$C$4,$H1195:$S1195))</f>
        <v/>
      </c>
      <c r="U1195" s="18" t="n"/>
      <c r="V1195" s="18" t="n"/>
      <c r="X1195" s="22">
        <f>IF($B1195="","",IFERROR(INDEX(Cost_Centers!$E:$E,MATCH($B1195,Cost_Centers!$A:$A,0)),"(unknown)"))</f>
        <v/>
      </c>
      <c r="Y1195" s="22">
        <f>IF($B1195="","",IFERROR(INDEX(Cost_Centers!$D:$D,MATCH($B1195,Cost_Centers!$A:$A,0)),"(unknown)"))</f>
        <v/>
      </c>
      <c r="Z1195" s="22">
        <f>IF(OR($B1195="",$G1195&lt;&gt;"Variance vs Budget"),"",ABS(N($V1195))+ROW()/1000000000)</f>
        <v/>
      </c>
    </row>
    <row r="1196">
      <c r="A1196" s="13">
        <f>IF(A$1194="","",A$1194)</f>
        <v/>
      </c>
      <c r="B1196" s="13">
        <f>IF(B$1194="","",B$1194)</f>
        <v/>
      </c>
      <c r="C1196" s="13">
        <f>IF(C$1194="","",C$1194)</f>
        <v/>
      </c>
      <c r="D1196" s="13">
        <f>IF(D$1194="","",D$1194)</f>
        <v/>
      </c>
      <c r="E1196" s="13">
        <f>IF(E$1194="","",E$1194)</f>
        <v/>
      </c>
      <c r="F1196" s="13">
        <f>IF(F$1194="","",F$1194)</f>
        <v/>
      </c>
      <c r="G1196" s="6" t="inlineStr">
        <is>
          <t>Variance vs Budget</t>
        </is>
      </c>
      <c r="H1196" s="33">
        <f>IF(OR($B$1194="",1&gt;$C$4),"",N(H1195)-H1194)</f>
        <v/>
      </c>
      <c r="I1196" s="33">
        <f>IF(OR($B$1194="",2&gt;$C$4),"",N(I1195)-I1194)</f>
        <v/>
      </c>
      <c r="J1196" s="33">
        <f>IF(OR($B$1194="",3&gt;$C$4),"",N(J1195)-J1194)</f>
        <v/>
      </c>
      <c r="K1196" s="33">
        <f>IF(OR($B$1194="",4&gt;$C$4),"",N(K1195)-K1194)</f>
        <v/>
      </c>
      <c r="L1196" s="33">
        <f>IF(OR($B$1194="",5&gt;$C$4),"",N(L1195)-L1194)</f>
        <v/>
      </c>
      <c r="M1196" s="33">
        <f>IF(OR($B$1194="",6&gt;$C$4),"",N(M1195)-M1194)</f>
        <v/>
      </c>
      <c r="N1196" s="33">
        <f>IF(OR($B$1194="",7&gt;$C$4),"",N(N1195)-N1194)</f>
        <v/>
      </c>
      <c r="O1196" s="33">
        <f>IF(OR($B$1194="",8&gt;$C$4),"",N(O1195)-O1194)</f>
        <v/>
      </c>
      <c r="P1196" s="33">
        <f>IF(OR($B$1194="",9&gt;$C$4),"",N(P1195)-P1194)</f>
        <v/>
      </c>
      <c r="Q1196" s="33">
        <f>IF(OR($B$1194="",10&gt;$C$4),"",N(Q1195)-Q1194)</f>
        <v/>
      </c>
      <c r="R1196" s="33">
        <f>IF(OR($B$1194="",11&gt;$C$4),"",N(R1195)-R1194)</f>
        <v/>
      </c>
      <c r="S1196" s="33">
        <f>IF(OR($B$1194="",12&gt;$C$4),"",N(S1195)-S1194)</f>
        <v/>
      </c>
      <c r="T1196" s="33">
        <f>IF($B$1194="","",T1195-T1194)</f>
        <v/>
      </c>
      <c r="U1196" s="33">
        <f>IF($B$1194="","",U1198-U1194)</f>
        <v/>
      </c>
      <c r="V1196" s="33">
        <f>IF($B$1194="","",V1198-V1194)</f>
        <v/>
      </c>
      <c r="X1196" s="22">
        <f>IF($B1196="","",IFERROR(INDEX(Cost_Centers!$E:$E,MATCH($B1196,Cost_Centers!$A:$A,0)),"(unknown)"))</f>
        <v/>
      </c>
      <c r="Y1196" s="22">
        <f>IF($B1196="","",IFERROR(INDEX(Cost_Centers!$D:$D,MATCH($B1196,Cost_Centers!$A:$A,0)),"(unknown)"))</f>
        <v/>
      </c>
      <c r="Z1196" s="22">
        <f>IF(OR($B1196="",$G1196&lt;&gt;"Variance vs Budget"),"",ABS(N($V1196))+ROW()/1000000000)</f>
        <v/>
      </c>
    </row>
    <row r="1197">
      <c r="A1197" s="13">
        <f>IF(A$1194="","",A$1194)</f>
        <v/>
      </c>
      <c r="B1197" s="13">
        <f>IF(B$1194="","",B$1194)</f>
        <v/>
      </c>
      <c r="C1197" s="13">
        <f>IF(C$1194="","",C$1194)</f>
        <v/>
      </c>
      <c r="D1197" s="13">
        <f>IF(D$1194="","",D$1194)</f>
        <v/>
      </c>
      <c r="E1197" s="13">
        <f>IF(E$1194="","",E$1194)</f>
        <v/>
      </c>
      <c r="F1197" s="13">
        <f>IF(F$1194="","",F$1194)</f>
        <v/>
      </c>
      <c r="G1197" s="7" t="inlineStr">
        <is>
          <t>Forecast (input)</t>
        </is>
      </c>
      <c r="H1197" s="34" t="n"/>
      <c r="I1197" s="34" t="n"/>
      <c r="J1197" s="34" t="n"/>
      <c r="K1197" s="34" t="n"/>
      <c r="L1197" s="34" t="n"/>
      <c r="M1197" s="34" t="n"/>
      <c r="N1197" s="34" t="n"/>
      <c r="O1197" s="34" t="n"/>
      <c r="P1197" s="34" t="n"/>
      <c r="Q1197" s="34" t="n"/>
      <c r="R1197" s="34" t="n"/>
      <c r="S1197" s="34" t="n"/>
      <c r="T1197" s="18" t="n"/>
      <c r="U1197" s="18" t="n"/>
      <c r="V1197" s="18" t="n"/>
      <c r="X1197" s="22">
        <f>IF($B1197="","",IFERROR(INDEX(Cost_Centers!$E:$E,MATCH($B1197,Cost_Centers!$A:$A,0)),"(unknown)"))</f>
        <v/>
      </c>
      <c r="Y1197" s="22">
        <f>IF($B1197="","",IFERROR(INDEX(Cost_Centers!$D:$D,MATCH($B1197,Cost_Centers!$A:$A,0)),"(unknown)"))</f>
        <v/>
      </c>
      <c r="Z1197" s="22">
        <f>IF(OR($B1197="",$G1197&lt;&gt;"Variance vs Budget"),"",ABS(N($V1197))+ROW()/1000000000)</f>
        <v/>
      </c>
    </row>
    <row r="1198">
      <c r="A1198" s="13">
        <f>IF(A$1194="","",A$1194)</f>
        <v/>
      </c>
      <c r="B1198" s="13">
        <f>IF(B$1194="","",B$1194)</f>
        <v/>
      </c>
      <c r="C1198" s="13">
        <f>IF(C$1194="","",C$1194)</f>
        <v/>
      </c>
      <c r="D1198" s="13">
        <f>IF(D$1194="","",D$1194)</f>
        <v/>
      </c>
      <c r="E1198" s="13">
        <f>IF(E$1194="","",E$1194)</f>
        <v/>
      </c>
      <c r="F1198" s="13">
        <f>IF(F$1194="","",F$1194)</f>
        <v/>
      </c>
      <c r="G1198" s="35" t="inlineStr">
        <is>
          <t>Actual + Forecast</t>
        </is>
      </c>
      <c r="H1198" s="18">
        <f>IF($B$1194="","",IF(1&lt;=$C$4,N(H1195),IF(H1197="",H1194,H1197)))</f>
        <v/>
      </c>
      <c r="I1198" s="18">
        <f>IF($B$1194="","",IF(2&lt;=$C$4,N(I1195),IF(I1197="",I1194,I1197)))</f>
        <v/>
      </c>
      <c r="J1198" s="18">
        <f>IF($B$1194="","",IF(3&lt;=$C$4,N(J1195),IF(J1197="",J1194,J1197)))</f>
        <v/>
      </c>
      <c r="K1198" s="18">
        <f>IF($B$1194="","",IF(4&lt;=$C$4,N(K1195),IF(K1197="",K1194,K1197)))</f>
        <v/>
      </c>
      <c r="L1198" s="18">
        <f>IF($B$1194="","",IF(5&lt;=$C$4,N(L1195),IF(L1197="",L1194,L1197)))</f>
        <v/>
      </c>
      <c r="M1198" s="18">
        <f>IF($B$1194="","",IF(6&lt;=$C$4,N(M1195),IF(M1197="",M1194,M1197)))</f>
        <v/>
      </c>
      <c r="N1198" s="18">
        <f>IF($B$1194="","",IF(7&lt;=$C$4,N(N1195),IF(N1197="",N1194,N1197)))</f>
        <v/>
      </c>
      <c r="O1198" s="18">
        <f>IF($B$1194="","",IF(8&lt;=$C$4,N(O1195),IF(O1197="",O1194,O1197)))</f>
        <v/>
      </c>
      <c r="P1198" s="18">
        <f>IF($B$1194="","",IF(9&lt;=$C$4,N(P1195),IF(P1197="",P1194,P1197)))</f>
        <v/>
      </c>
      <c r="Q1198" s="18">
        <f>IF($B$1194="","",IF(10&lt;=$C$4,N(Q1195),IF(Q1197="",Q1194,Q1197)))</f>
        <v/>
      </c>
      <c r="R1198" s="18">
        <f>IF($B$1194="","",IF(11&lt;=$C$4,N(R1195),IF(R1197="",R1194,R1197)))</f>
        <v/>
      </c>
      <c r="S1198" s="18">
        <f>IF($B$1194="","",IF(12&lt;=$C$4,N(S1195),IF(S1197="",S1194,S1197)))</f>
        <v/>
      </c>
      <c r="T1198" s="18">
        <f>IF($B$1194="","",SUMIF($H$7:$S$7,"&lt;="&amp;$C$4,$H1198:$S1198))</f>
        <v/>
      </c>
      <c r="U1198" s="18">
        <f>IF($B$1194="","",SUMIF($H$7:$S$7,"&gt;"&amp;$C$4,$H1198:$S1198))</f>
        <v/>
      </c>
      <c r="V1198" s="18">
        <f>IF($B$1194="","",SUM($H1198:$S1198))</f>
        <v/>
      </c>
      <c r="X1198" s="22">
        <f>IF($B1198="","",IFERROR(INDEX(Cost_Centers!$E:$E,MATCH($B1198,Cost_Centers!$A:$A,0)),"(unknown)"))</f>
        <v/>
      </c>
      <c r="Y1198" s="22">
        <f>IF($B1198="","",IFERROR(INDEX(Cost_Centers!$D:$D,MATCH($B1198,Cost_Centers!$A:$A,0)),"(unknown)"))</f>
        <v/>
      </c>
      <c r="Z1198" s="22">
        <f>IF(OR($B1198="",$G1198&lt;&gt;"Variance vs Budget"),"",ABS(N($V1198))+ROW()/1000000000)</f>
        <v/>
      </c>
    </row>
    <row r="1199">
      <c r="A1199" s="13">
        <f>IF(A$1194="","",A$1194)</f>
        <v/>
      </c>
      <c r="B1199" s="13">
        <f>IF(B$1194="","",B$1194)</f>
        <v/>
      </c>
      <c r="C1199" s="13">
        <f>IF(C$1194="","",C$1194)</f>
        <v/>
      </c>
      <c r="D1199" s="13">
        <f>IF(D$1194="","",D$1194)</f>
        <v/>
      </c>
      <c r="E1199" s="13">
        <f>IF(E$1194="","",E$1194)</f>
        <v/>
      </c>
      <c r="F1199" s="13">
        <f>IF(F$1194="","",F$1194)</f>
        <v/>
      </c>
      <c r="G1199" s="36" t="inlineStr">
        <is>
          <t>Prior Month Forecast</t>
        </is>
      </c>
      <c r="H1199" s="37">
        <f>IF($B$1194="","",IF(COUNTIFS(Prior_Forecast!$A:$A,$B$1194,Prior_Forecast!$B:$B,$D$1194)&gt;0,SUMIFS(Prior_Forecast!$C:$C,Prior_Forecast!$A:$A,$B$1194,Prior_Forecast!$B:$B,$D$1194),""))</f>
        <v/>
      </c>
      <c r="I1199" s="37">
        <f>IF($B$1194="","",IF(COUNTIFS(Prior_Forecast!$A:$A,$B$1194,Prior_Forecast!$B:$B,$D$1194)&gt;0,SUMIFS(Prior_Forecast!$D:$D,Prior_Forecast!$A:$A,$B$1194,Prior_Forecast!$B:$B,$D$1194),""))</f>
        <v/>
      </c>
      <c r="J1199" s="37">
        <f>IF($B$1194="","",IF(COUNTIFS(Prior_Forecast!$A:$A,$B$1194,Prior_Forecast!$B:$B,$D$1194)&gt;0,SUMIFS(Prior_Forecast!$E:$E,Prior_Forecast!$A:$A,$B$1194,Prior_Forecast!$B:$B,$D$1194),""))</f>
        <v/>
      </c>
      <c r="K1199" s="37">
        <f>IF($B$1194="","",IF(COUNTIFS(Prior_Forecast!$A:$A,$B$1194,Prior_Forecast!$B:$B,$D$1194)&gt;0,SUMIFS(Prior_Forecast!$F:$F,Prior_Forecast!$A:$A,$B$1194,Prior_Forecast!$B:$B,$D$1194),""))</f>
        <v/>
      </c>
      <c r="L1199" s="37">
        <f>IF($B$1194="","",IF(COUNTIFS(Prior_Forecast!$A:$A,$B$1194,Prior_Forecast!$B:$B,$D$1194)&gt;0,SUMIFS(Prior_Forecast!$G:$G,Prior_Forecast!$A:$A,$B$1194,Prior_Forecast!$B:$B,$D$1194),""))</f>
        <v/>
      </c>
      <c r="M1199" s="37">
        <f>IF($B$1194="","",IF(COUNTIFS(Prior_Forecast!$A:$A,$B$1194,Prior_Forecast!$B:$B,$D$1194)&gt;0,SUMIFS(Prior_Forecast!$H:$H,Prior_Forecast!$A:$A,$B$1194,Prior_Forecast!$B:$B,$D$1194),""))</f>
        <v/>
      </c>
      <c r="N1199" s="37">
        <f>IF($B$1194="","",IF(COUNTIFS(Prior_Forecast!$A:$A,$B$1194,Prior_Forecast!$B:$B,$D$1194)&gt;0,SUMIFS(Prior_Forecast!$I:$I,Prior_Forecast!$A:$A,$B$1194,Prior_Forecast!$B:$B,$D$1194),""))</f>
        <v/>
      </c>
      <c r="O1199" s="37">
        <f>IF($B$1194="","",IF(COUNTIFS(Prior_Forecast!$A:$A,$B$1194,Prior_Forecast!$B:$B,$D$1194)&gt;0,SUMIFS(Prior_Forecast!$J:$J,Prior_Forecast!$A:$A,$B$1194,Prior_Forecast!$B:$B,$D$1194),""))</f>
        <v/>
      </c>
      <c r="P1199" s="37">
        <f>IF($B$1194="","",IF(COUNTIFS(Prior_Forecast!$A:$A,$B$1194,Prior_Forecast!$B:$B,$D$1194)&gt;0,SUMIFS(Prior_Forecast!$K:$K,Prior_Forecast!$A:$A,$B$1194,Prior_Forecast!$B:$B,$D$1194),""))</f>
        <v/>
      </c>
      <c r="Q1199" s="37">
        <f>IF($B$1194="","",IF(COUNTIFS(Prior_Forecast!$A:$A,$B$1194,Prior_Forecast!$B:$B,$D$1194)&gt;0,SUMIFS(Prior_Forecast!$L:$L,Prior_Forecast!$A:$A,$B$1194,Prior_Forecast!$B:$B,$D$1194),""))</f>
        <v/>
      </c>
      <c r="R1199" s="37">
        <f>IF($B$1194="","",IF(COUNTIFS(Prior_Forecast!$A:$A,$B$1194,Prior_Forecast!$B:$B,$D$1194)&gt;0,SUMIFS(Prior_Forecast!$M:$M,Prior_Forecast!$A:$A,$B$1194,Prior_Forecast!$B:$B,$D$1194),""))</f>
        <v/>
      </c>
      <c r="S1199" s="37">
        <f>IF($B$1194="","",IF(COUNTIFS(Prior_Forecast!$A:$A,$B$1194,Prior_Forecast!$B:$B,$D$1194)&gt;0,SUMIFS(Prior_Forecast!$N:$N,Prior_Forecast!$A:$A,$B$1194,Prior_Forecast!$B:$B,$D$1194),""))</f>
        <v/>
      </c>
      <c r="T1199" s="37">
        <f>IF($B$1194="","",IF(COUNTIFS(Prior_Forecast!$A:$A,$B$1194,Prior_Forecast!$B:$B,$D$1194)&gt;0,SUMIFS(Prior_Forecast!$O:$O,Prior_Forecast!$A:$A,$B$1194,Prior_Forecast!$B:$B,$D$1194),""))</f>
        <v/>
      </c>
      <c r="U1199" s="37">
        <f>IF($B$1194="","",IF(COUNTIFS(Prior_Forecast!$A:$A,$B$1194,Prior_Forecast!$B:$B,$D$1194)&gt;0,SUMIFS(Prior_Forecast!$P:$P,Prior_Forecast!$A:$A,$B$1194,Prior_Forecast!$B:$B,$D$1194),""))</f>
        <v/>
      </c>
      <c r="V1199" s="37">
        <f>IF($B$1194="","",IF(COUNTIFS(Prior_Forecast!$A:$A,$B$1194,Prior_Forecast!$B:$B,$D$1194)&gt;0,SUMIFS(Prior_Forecast!$Q:$Q,Prior_Forecast!$A:$A,$B$1194,Prior_Forecast!$B:$B,$D$1194),""))</f>
        <v/>
      </c>
      <c r="X1199" s="22">
        <f>IF($B1199="","",IFERROR(INDEX(Cost_Centers!$E:$E,MATCH($B1199,Cost_Centers!$A:$A,0)),"(unknown)"))</f>
        <v/>
      </c>
      <c r="Y1199" s="22">
        <f>IF($B1199="","",IFERROR(INDEX(Cost_Centers!$D:$D,MATCH($B1199,Cost_Centers!$A:$A,0)),"(unknown)"))</f>
        <v/>
      </c>
      <c r="Z1199" s="22">
        <f>IF(OR($B1199="",$G1199&lt;&gt;"Variance vs Budget"),"",ABS(N($V1199))+ROW()/1000000000)</f>
        <v/>
      </c>
    </row>
    <row r="1200">
      <c r="A1200" s="13">
        <f>IF(A$1194="","",A$1194)</f>
        <v/>
      </c>
      <c r="B1200" s="13">
        <f>IF(B$1194="","",B$1194)</f>
        <v/>
      </c>
      <c r="C1200" s="13">
        <f>IF(C$1194="","",C$1194)</f>
        <v/>
      </c>
      <c r="D1200" s="13">
        <f>IF(D$1194="","",D$1194)</f>
        <v/>
      </c>
      <c r="E1200" s="13">
        <f>IF(E$1194="","",E$1194)</f>
        <v/>
      </c>
      <c r="F1200" s="13">
        <f>IF(F$1194="","",F$1194)</f>
        <v/>
      </c>
      <c r="G1200" s="6" t="inlineStr">
        <is>
          <t>Variance vs Prior Month</t>
        </is>
      </c>
      <c r="H1200" s="33">
        <f>IF(OR($B$1194="",H1199=""),"",H1198-H1199)</f>
        <v/>
      </c>
      <c r="I1200" s="33">
        <f>IF(OR($B$1194="",I1199=""),"",I1198-I1199)</f>
        <v/>
      </c>
      <c r="J1200" s="33">
        <f>IF(OR($B$1194="",J1199=""),"",J1198-J1199)</f>
        <v/>
      </c>
      <c r="K1200" s="33">
        <f>IF(OR($B$1194="",K1199=""),"",K1198-K1199)</f>
        <v/>
      </c>
      <c r="L1200" s="33">
        <f>IF(OR($B$1194="",L1199=""),"",L1198-L1199)</f>
        <v/>
      </c>
      <c r="M1200" s="33">
        <f>IF(OR($B$1194="",M1199=""),"",M1198-M1199)</f>
        <v/>
      </c>
      <c r="N1200" s="33">
        <f>IF(OR($B$1194="",N1199=""),"",N1198-N1199)</f>
        <v/>
      </c>
      <c r="O1200" s="33">
        <f>IF(OR($B$1194="",O1199=""),"",O1198-O1199)</f>
        <v/>
      </c>
      <c r="P1200" s="33">
        <f>IF(OR($B$1194="",P1199=""),"",P1198-P1199)</f>
        <v/>
      </c>
      <c r="Q1200" s="33">
        <f>IF(OR($B$1194="",Q1199=""),"",Q1198-Q1199)</f>
        <v/>
      </c>
      <c r="R1200" s="33">
        <f>IF(OR($B$1194="",R1199=""),"",R1198-R1199)</f>
        <v/>
      </c>
      <c r="S1200" s="33">
        <f>IF(OR($B$1194="",S1199=""),"",S1198-S1199)</f>
        <v/>
      </c>
      <c r="T1200" s="33">
        <f>IF(OR($B$1194="",T1199=""),"",T1198-T1199)</f>
        <v/>
      </c>
      <c r="U1200" s="33">
        <f>IF(OR($B$1194="",U1199=""),"",U1198-U1199)</f>
        <v/>
      </c>
      <c r="V1200" s="33">
        <f>IF(OR($B$1194="",V1199=""),"",V1198-V1199)</f>
        <v/>
      </c>
      <c r="X1200" s="22">
        <f>IF($B1200="","",IFERROR(INDEX(Cost_Centers!$E:$E,MATCH($B1200,Cost_Centers!$A:$A,0)),"(unknown)"))</f>
        <v/>
      </c>
      <c r="Y1200" s="22">
        <f>IF($B1200="","",IFERROR(INDEX(Cost_Centers!$D:$D,MATCH($B1200,Cost_Centers!$A:$A,0)),"(unknown)"))</f>
        <v/>
      </c>
      <c r="Z1200" s="22">
        <f>IF(OR($B1200="",$G1200&lt;&gt;"Variance vs Budget"),"",ABS(N($V1200))+ROW()/1000000000)</f>
        <v/>
      </c>
    </row>
    <row r="1201" ht="45" customHeight="1">
      <c r="A1201" s="13">
        <f>IF(A$1194="","",A$1194)</f>
        <v/>
      </c>
      <c r="B1201" s="13">
        <f>IF(B$1194="","",B$1194)</f>
        <v/>
      </c>
      <c r="C1201" s="13">
        <f>IF(C$1194="","",C$1194)</f>
        <v/>
      </c>
      <c r="D1201" s="13">
        <f>IF(D$1194="","",D$1194)</f>
        <v/>
      </c>
      <c r="E1201" s="13">
        <f>IF(E$1194="","",E$1194)</f>
        <v/>
      </c>
      <c r="F1201" s="13">
        <f>IF(F$1194="","",F$1194)</f>
        <v/>
      </c>
      <c r="G1201" s="7" t="inlineStr">
        <is>
          <t>Rationale</t>
        </is>
      </c>
      <c r="H1201" s="38" t="n"/>
      <c r="I1201" s="38" t="n"/>
      <c r="J1201" s="38" t="n"/>
      <c r="K1201" s="38" t="n"/>
      <c r="L1201" s="38" t="n"/>
      <c r="M1201" s="38" t="n"/>
      <c r="N1201" s="38" t="n"/>
      <c r="O1201" s="38" t="n"/>
      <c r="P1201" s="38" t="n"/>
      <c r="Q1201" s="38" t="n"/>
      <c r="R1201" s="38" t="n"/>
      <c r="S1201" s="38" t="n"/>
      <c r="T1201" s="38" t="n"/>
      <c r="U1201" s="38" t="n"/>
      <c r="V1201" s="7" t="n"/>
      <c r="X1201" s="22">
        <f>IF($B1201="","",IFERROR(INDEX(Cost_Centers!$E:$E,MATCH($B1201,Cost_Centers!$A:$A,0)),"(unknown)"))</f>
        <v/>
      </c>
      <c r="Y1201" s="22">
        <f>IF($B1201="","",IFERROR(INDEX(Cost_Centers!$D:$D,MATCH($B1201,Cost_Centers!$A:$A,0)),"(unknown)"))</f>
        <v/>
      </c>
      <c r="Z1201" s="22">
        <f>IF(OR($B1201="",$G1201&lt;&gt;"Variance vs Budget"),"",ABS(N($V1201))+ROW()/1000000000)</f>
        <v/>
      </c>
    </row>
    <row r="1202">
      <c r="A1202" s="30">
        <f>IF($D$1202="","",LEFT($D$1202,FIND("|",$D$1202&amp;"|")-1))</f>
        <v/>
      </c>
      <c r="B1202" s="31" t="n"/>
      <c r="C1202" s="30">
        <f>IF($B$1202="","",IFERROR(INDEX(Cost_Centers!$B:$B,MATCH($B$1202,Cost_Centers!$A:$A,0)),"(not in master)"))</f>
        <v/>
      </c>
      <c r="D1202" s="31" t="n"/>
      <c r="E1202" s="30">
        <f>IF($D$1202="","",IFERROR(INDEX(Accounts!$D:$D,MATCH($D$1202,Accounts!$A:$A,0)),"(not in master)"))</f>
        <v/>
      </c>
      <c r="F1202" s="31" t="n"/>
      <c r="G1202" s="30" t="inlineStr">
        <is>
          <t>Budget</t>
        </is>
      </c>
      <c r="H1202" s="32">
        <f>IF($B$1202="","",SUMIFS(Opex_Budget!$O:$O,Opex_Budget!$A:$A,$C$3,Opex_Budget!$E:$E,$B$1202,Opex_Budget!$F:$F,$D$1202,Opex_Budget!$N:$N,"JPY")*$E$5+SUMIFS(Opex_Budget!$O:$O,Opex_Budget!$A:$A,$C$3,Opex_Budget!$E:$E,$B$1202,Opex_Budget!$F:$F,$D$1202,Opex_Budget!$N:$N,"USD")*$F$5+SUMIFS(Opex_Budget!$O:$O,Opex_Budget!$A:$A,$C$3,Opex_Budget!$E:$E,$B$1202,Opex_Budget!$F:$F,$D$1202,Opex_Budget!$N:$N,"EUR")*$G$5+SUMIFS(Opex_Budget!$O:$O,Opex_Budget!$A:$A,$C$3,Opex_Budget!$E:$E,$B$1202,Opex_Budget!$F:$F,$D$1202,Opex_Budget!$N:$N,"GBP")*$H$5)</f>
        <v/>
      </c>
      <c r="I1202" s="32">
        <f>IF($B$1202="","",SUMIFS(Opex_Budget!$P:$P,Opex_Budget!$A:$A,$C$3,Opex_Budget!$E:$E,$B$1202,Opex_Budget!$F:$F,$D$1202,Opex_Budget!$N:$N,"JPY")*$E$5+SUMIFS(Opex_Budget!$P:$P,Opex_Budget!$A:$A,$C$3,Opex_Budget!$E:$E,$B$1202,Opex_Budget!$F:$F,$D$1202,Opex_Budget!$N:$N,"USD")*$F$5+SUMIFS(Opex_Budget!$P:$P,Opex_Budget!$A:$A,$C$3,Opex_Budget!$E:$E,$B$1202,Opex_Budget!$F:$F,$D$1202,Opex_Budget!$N:$N,"EUR")*$G$5+SUMIFS(Opex_Budget!$P:$P,Opex_Budget!$A:$A,$C$3,Opex_Budget!$E:$E,$B$1202,Opex_Budget!$F:$F,$D$1202,Opex_Budget!$N:$N,"GBP")*$H$5)</f>
        <v/>
      </c>
      <c r="J1202" s="32">
        <f>IF($B$1202="","",SUMIFS(Opex_Budget!$Q:$Q,Opex_Budget!$A:$A,$C$3,Opex_Budget!$E:$E,$B$1202,Opex_Budget!$F:$F,$D$1202,Opex_Budget!$N:$N,"JPY")*$E$5+SUMIFS(Opex_Budget!$Q:$Q,Opex_Budget!$A:$A,$C$3,Opex_Budget!$E:$E,$B$1202,Opex_Budget!$F:$F,$D$1202,Opex_Budget!$N:$N,"USD")*$F$5+SUMIFS(Opex_Budget!$Q:$Q,Opex_Budget!$A:$A,$C$3,Opex_Budget!$E:$E,$B$1202,Opex_Budget!$F:$F,$D$1202,Opex_Budget!$N:$N,"EUR")*$G$5+SUMIFS(Opex_Budget!$Q:$Q,Opex_Budget!$A:$A,$C$3,Opex_Budget!$E:$E,$B$1202,Opex_Budget!$F:$F,$D$1202,Opex_Budget!$N:$N,"GBP")*$H$5)</f>
        <v/>
      </c>
      <c r="K1202" s="32">
        <f>IF($B$1202="","",SUMIFS(Opex_Budget!$R:$R,Opex_Budget!$A:$A,$C$3,Opex_Budget!$E:$E,$B$1202,Opex_Budget!$F:$F,$D$1202,Opex_Budget!$N:$N,"JPY")*$E$5+SUMIFS(Opex_Budget!$R:$R,Opex_Budget!$A:$A,$C$3,Opex_Budget!$E:$E,$B$1202,Opex_Budget!$F:$F,$D$1202,Opex_Budget!$N:$N,"USD")*$F$5+SUMIFS(Opex_Budget!$R:$R,Opex_Budget!$A:$A,$C$3,Opex_Budget!$E:$E,$B$1202,Opex_Budget!$F:$F,$D$1202,Opex_Budget!$N:$N,"EUR")*$G$5+SUMIFS(Opex_Budget!$R:$R,Opex_Budget!$A:$A,$C$3,Opex_Budget!$E:$E,$B$1202,Opex_Budget!$F:$F,$D$1202,Opex_Budget!$N:$N,"GBP")*$H$5)</f>
        <v/>
      </c>
      <c r="L1202" s="32">
        <f>IF($B$1202="","",SUMIFS(Opex_Budget!$S:$S,Opex_Budget!$A:$A,$C$3,Opex_Budget!$E:$E,$B$1202,Opex_Budget!$F:$F,$D$1202,Opex_Budget!$N:$N,"JPY")*$E$5+SUMIFS(Opex_Budget!$S:$S,Opex_Budget!$A:$A,$C$3,Opex_Budget!$E:$E,$B$1202,Opex_Budget!$F:$F,$D$1202,Opex_Budget!$N:$N,"USD")*$F$5+SUMIFS(Opex_Budget!$S:$S,Opex_Budget!$A:$A,$C$3,Opex_Budget!$E:$E,$B$1202,Opex_Budget!$F:$F,$D$1202,Opex_Budget!$N:$N,"EUR")*$G$5+SUMIFS(Opex_Budget!$S:$S,Opex_Budget!$A:$A,$C$3,Opex_Budget!$E:$E,$B$1202,Opex_Budget!$F:$F,$D$1202,Opex_Budget!$N:$N,"GBP")*$H$5)</f>
        <v/>
      </c>
      <c r="M1202" s="32">
        <f>IF($B$1202="","",SUMIFS(Opex_Budget!$T:$T,Opex_Budget!$A:$A,$C$3,Opex_Budget!$E:$E,$B$1202,Opex_Budget!$F:$F,$D$1202,Opex_Budget!$N:$N,"JPY")*$E$5+SUMIFS(Opex_Budget!$T:$T,Opex_Budget!$A:$A,$C$3,Opex_Budget!$E:$E,$B$1202,Opex_Budget!$F:$F,$D$1202,Opex_Budget!$N:$N,"USD")*$F$5+SUMIFS(Opex_Budget!$T:$T,Opex_Budget!$A:$A,$C$3,Opex_Budget!$E:$E,$B$1202,Opex_Budget!$F:$F,$D$1202,Opex_Budget!$N:$N,"EUR")*$G$5+SUMIFS(Opex_Budget!$T:$T,Opex_Budget!$A:$A,$C$3,Opex_Budget!$E:$E,$B$1202,Opex_Budget!$F:$F,$D$1202,Opex_Budget!$N:$N,"GBP")*$H$5)</f>
        <v/>
      </c>
      <c r="N1202" s="32">
        <f>IF($B$1202="","",SUMIFS(Opex_Budget!$U:$U,Opex_Budget!$A:$A,$C$3,Opex_Budget!$E:$E,$B$1202,Opex_Budget!$F:$F,$D$1202,Opex_Budget!$N:$N,"JPY")*$E$5+SUMIFS(Opex_Budget!$U:$U,Opex_Budget!$A:$A,$C$3,Opex_Budget!$E:$E,$B$1202,Opex_Budget!$F:$F,$D$1202,Opex_Budget!$N:$N,"USD")*$F$5+SUMIFS(Opex_Budget!$U:$U,Opex_Budget!$A:$A,$C$3,Opex_Budget!$E:$E,$B$1202,Opex_Budget!$F:$F,$D$1202,Opex_Budget!$N:$N,"EUR")*$G$5+SUMIFS(Opex_Budget!$U:$U,Opex_Budget!$A:$A,$C$3,Opex_Budget!$E:$E,$B$1202,Opex_Budget!$F:$F,$D$1202,Opex_Budget!$N:$N,"GBP")*$H$5)</f>
        <v/>
      </c>
      <c r="O1202" s="32">
        <f>IF($B$1202="","",SUMIFS(Opex_Budget!$V:$V,Opex_Budget!$A:$A,$C$3,Opex_Budget!$E:$E,$B$1202,Opex_Budget!$F:$F,$D$1202,Opex_Budget!$N:$N,"JPY")*$E$5+SUMIFS(Opex_Budget!$V:$V,Opex_Budget!$A:$A,$C$3,Opex_Budget!$E:$E,$B$1202,Opex_Budget!$F:$F,$D$1202,Opex_Budget!$N:$N,"USD")*$F$5+SUMIFS(Opex_Budget!$V:$V,Opex_Budget!$A:$A,$C$3,Opex_Budget!$E:$E,$B$1202,Opex_Budget!$F:$F,$D$1202,Opex_Budget!$N:$N,"EUR")*$G$5+SUMIFS(Opex_Budget!$V:$V,Opex_Budget!$A:$A,$C$3,Opex_Budget!$E:$E,$B$1202,Opex_Budget!$F:$F,$D$1202,Opex_Budget!$N:$N,"GBP")*$H$5)</f>
        <v/>
      </c>
      <c r="P1202" s="32">
        <f>IF($B$1202="","",SUMIFS(Opex_Budget!$W:$W,Opex_Budget!$A:$A,$C$3,Opex_Budget!$E:$E,$B$1202,Opex_Budget!$F:$F,$D$1202,Opex_Budget!$N:$N,"JPY")*$E$5+SUMIFS(Opex_Budget!$W:$W,Opex_Budget!$A:$A,$C$3,Opex_Budget!$E:$E,$B$1202,Opex_Budget!$F:$F,$D$1202,Opex_Budget!$N:$N,"USD")*$F$5+SUMIFS(Opex_Budget!$W:$W,Opex_Budget!$A:$A,$C$3,Opex_Budget!$E:$E,$B$1202,Opex_Budget!$F:$F,$D$1202,Opex_Budget!$N:$N,"EUR")*$G$5+SUMIFS(Opex_Budget!$W:$W,Opex_Budget!$A:$A,$C$3,Opex_Budget!$E:$E,$B$1202,Opex_Budget!$F:$F,$D$1202,Opex_Budget!$N:$N,"GBP")*$H$5)</f>
        <v/>
      </c>
      <c r="Q1202" s="32">
        <f>IF($B$1202="","",SUMIFS(Opex_Budget!$X:$X,Opex_Budget!$A:$A,$C$3,Opex_Budget!$E:$E,$B$1202,Opex_Budget!$F:$F,$D$1202,Opex_Budget!$N:$N,"JPY")*$E$5+SUMIFS(Opex_Budget!$X:$X,Opex_Budget!$A:$A,$C$3,Opex_Budget!$E:$E,$B$1202,Opex_Budget!$F:$F,$D$1202,Opex_Budget!$N:$N,"USD")*$F$5+SUMIFS(Opex_Budget!$X:$X,Opex_Budget!$A:$A,$C$3,Opex_Budget!$E:$E,$B$1202,Opex_Budget!$F:$F,$D$1202,Opex_Budget!$N:$N,"EUR")*$G$5+SUMIFS(Opex_Budget!$X:$X,Opex_Budget!$A:$A,$C$3,Opex_Budget!$E:$E,$B$1202,Opex_Budget!$F:$F,$D$1202,Opex_Budget!$N:$N,"GBP")*$H$5)</f>
        <v/>
      </c>
      <c r="R1202" s="32">
        <f>IF($B$1202="","",SUMIFS(Opex_Budget!$Y:$Y,Opex_Budget!$A:$A,$C$3,Opex_Budget!$E:$E,$B$1202,Opex_Budget!$F:$F,$D$1202,Opex_Budget!$N:$N,"JPY")*$E$5+SUMIFS(Opex_Budget!$Y:$Y,Opex_Budget!$A:$A,$C$3,Opex_Budget!$E:$E,$B$1202,Opex_Budget!$F:$F,$D$1202,Opex_Budget!$N:$N,"USD")*$F$5+SUMIFS(Opex_Budget!$Y:$Y,Opex_Budget!$A:$A,$C$3,Opex_Budget!$E:$E,$B$1202,Opex_Budget!$F:$F,$D$1202,Opex_Budget!$N:$N,"EUR")*$G$5+SUMIFS(Opex_Budget!$Y:$Y,Opex_Budget!$A:$A,$C$3,Opex_Budget!$E:$E,$B$1202,Opex_Budget!$F:$F,$D$1202,Opex_Budget!$N:$N,"GBP")*$H$5)</f>
        <v/>
      </c>
      <c r="S1202" s="32">
        <f>IF($B$1202="","",SUMIFS(Opex_Budget!$Z:$Z,Opex_Budget!$A:$A,$C$3,Opex_Budget!$E:$E,$B$1202,Opex_Budget!$F:$F,$D$1202,Opex_Budget!$N:$N,"JPY")*$E$5+SUMIFS(Opex_Budget!$Z:$Z,Opex_Budget!$A:$A,$C$3,Opex_Budget!$E:$E,$B$1202,Opex_Budget!$F:$F,$D$1202,Opex_Budget!$N:$N,"USD")*$F$5+SUMIFS(Opex_Budget!$Z:$Z,Opex_Budget!$A:$A,$C$3,Opex_Budget!$E:$E,$B$1202,Opex_Budget!$F:$F,$D$1202,Opex_Budget!$N:$N,"EUR")*$G$5+SUMIFS(Opex_Budget!$Z:$Z,Opex_Budget!$A:$A,$C$3,Opex_Budget!$E:$E,$B$1202,Opex_Budget!$F:$F,$D$1202,Opex_Budget!$N:$N,"GBP")*$H$5)</f>
        <v/>
      </c>
      <c r="T1202" s="32">
        <f>IF($B$1202="","",SUMIF($H$7:$S$7,"&lt;="&amp;$C$4,$H1202:$S1202))</f>
        <v/>
      </c>
      <c r="U1202" s="32">
        <f>IF($B$1202="","",SUMIF($H$7:$S$7,"&gt;"&amp;$C$4,$H1202:$S1202))</f>
        <v/>
      </c>
      <c r="V1202" s="32">
        <f>IF($B$1202="","",SUM($H1202:$S1202))</f>
        <v/>
      </c>
      <c r="X1202" s="22">
        <f>IF($B1202="","",IFERROR(INDEX(Cost_Centers!$E:$E,MATCH($B1202,Cost_Centers!$A:$A,0)),"(unknown)"))</f>
        <v/>
      </c>
      <c r="Y1202" s="22">
        <f>IF($B1202="","",IFERROR(INDEX(Cost_Centers!$D:$D,MATCH($B1202,Cost_Centers!$A:$A,0)),"(unknown)"))</f>
        <v/>
      </c>
      <c r="Z1202" s="22">
        <f>IF(OR($B1202="",$G1202&lt;&gt;"Variance vs Budget"),"",ABS(N($V1202))+ROW()/1000000000)</f>
        <v/>
      </c>
    </row>
    <row r="1203">
      <c r="A1203" s="13">
        <f>IF(A$1202="","",A$1202)</f>
        <v/>
      </c>
      <c r="B1203" s="13">
        <f>IF(B$1202="","",B$1202)</f>
        <v/>
      </c>
      <c r="C1203" s="13">
        <f>IF(C$1202="","",C$1202)</f>
        <v/>
      </c>
      <c r="D1203" s="13">
        <f>IF(D$1202="","",D$1202)</f>
        <v/>
      </c>
      <c r="E1203" s="13">
        <f>IF(E$1202="","",E$1202)</f>
        <v/>
      </c>
      <c r="F1203" s="13">
        <f>IF(F$1202="","",F$1202)</f>
        <v/>
      </c>
      <c r="G1203" s="7" t="inlineStr">
        <is>
          <t>Actual</t>
        </is>
      </c>
      <c r="H1203" s="18">
        <f>IF(OR($B$1202="",1&gt;$C$4),"",SUMIFS(Actuals!$G:$G,Actuals!$B:$B,$C$3,Actuals!$C:$C,1,Actuals!$D:$D,$B$1202,Actuals!$A:$A,LEFT($D$1202,FIND("|",$D$1202&amp;"|")-1),Actuals!$E:$E,MID($D$1202,FIND("|",$D$1202&amp;"|")+1,50),Actuals!$F:$F,"JPY")*$E$5+SUMIFS(Actuals!$G:$G,Actuals!$B:$B,$C$3,Actuals!$C:$C,1,Actuals!$D:$D,$B$1202,Actuals!$A:$A,LEFT($D$1202,FIND("|",$D$1202&amp;"|")-1),Actuals!$E:$E,MID($D$1202,FIND("|",$D$1202&amp;"|")+1,50),Actuals!$F:$F,"USD")*$F$5+SUMIFS(Actuals!$G:$G,Actuals!$B:$B,$C$3,Actuals!$C:$C,1,Actuals!$D:$D,$B$1202,Actuals!$A:$A,LEFT($D$1202,FIND("|",$D$1202&amp;"|")-1),Actuals!$E:$E,MID($D$1202,FIND("|",$D$1202&amp;"|")+1,50),Actuals!$F:$F,"EUR")*$G$5+SUMIFS(Actuals!$G:$G,Actuals!$B:$B,$C$3,Actuals!$C:$C,1,Actuals!$D:$D,$B$1202,Actuals!$A:$A,LEFT($D$1202,FIND("|",$D$1202&amp;"|")-1),Actuals!$E:$E,MID($D$1202,FIND("|",$D$1202&amp;"|")+1,50),Actuals!$F:$F,"GBP")*$H$5)</f>
        <v/>
      </c>
      <c r="I1203" s="18">
        <f>IF(OR($B$1202="",2&gt;$C$4),"",SUMIFS(Actuals!$G:$G,Actuals!$B:$B,$C$3,Actuals!$C:$C,2,Actuals!$D:$D,$B$1202,Actuals!$A:$A,LEFT($D$1202,FIND("|",$D$1202&amp;"|")-1),Actuals!$E:$E,MID($D$1202,FIND("|",$D$1202&amp;"|")+1,50),Actuals!$F:$F,"JPY")*$E$5+SUMIFS(Actuals!$G:$G,Actuals!$B:$B,$C$3,Actuals!$C:$C,2,Actuals!$D:$D,$B$1202,Actuals!$A:$A,LEFT($D$1202,FIND("|",$D$1202&amp;"|")-1),Actuals!$E:$E,MID($D$1202,FIND("|",$D$1202&amp;"|")+1,50),Actuals!$F:$F,"USD")*$F$5+SUMIFS(Actuals!$G:$G,Actuals!$B:$B,$C$3,Actuals!$C:$C,2,Actuals!$D:$D,$B$1202,Actuals!$A:$A,LEFT($D$1202,FIND("|",$D$1202&amp;"|")-1),Actuals!$E:$E,MID($D$1202,FIND("|",$D$1202&amp;"|")+1,50),Actuals!$F:$F,"EUR")*$G$5+SUMIFS(Actuals!$G:$G,Actuals!$B:$B,$C$3,Actuals!$C:$C,2,Actuals!$D:$D,$B$1202,Actuals!$A:$A,LEFT($D$1202,FIND("|",$D$1202&amp;"|")-1),Actuals!$E:$E,MID($D$1202,FIND("|",$D$1202&amp;"|")+1,50),Actuals!$F:$F,"GBP")*$H$5)</f>
        <v/>
      </c>
      <c r="J1203" s="18">
        <f>IF(OR($B$1202="",3&gt;$C$4),"",SUMIFS(Actuals!$G:$G,Actuals!$B:$B,$C$3,Actuals!$C:$C,3,Actuals!$D:$D,$B$1202,Actuals!$A:$A,LEFT($D$1202,FIND("|",$D$1202&amp;"|")-1),Actuals!$E:$E,MID($D$1202,FIND("|",$D$1202&amp;"|")+1,50),Actuals!$F:$F,"JPY")*$E$5+SUMIFS(Actuals!$G:$G,Actuals!$B:$B,$C$3,Actuals!$C:$C,3,Actuals!$D:$D,$B$1202,Actuals!$A:$A,LEFT($D$1202,FIND("|",$D$1202&amp;"|")-1),Actuals!$E:$E,MID($D$1202,FIND("|",$D$1202&amp;"|")+1,50),Actuals!$F:$F,"USD")*$F$5+SUMIFS(Actuals!$G:$G,Actuals!$B:$B,$C$3,Actuals!$C:$C,3,Actuals!$D:$D,$B$1202,Actuals!$A:$A,LEFT($D$1202,FIND("|",$D$1202&amp;"|")-1),Actuals!$E:$E,MID($D$1202,FIND("|",$D$1202&amp;"|")+1,50),Actuals!$F:$F,"EUR")*$G$5+SUMIFS(Actuals!$G:$G,Actuals!$B:$B,$C$3,Actuals!$C:$C,3,Actuals!$D:$D,$B$1202,Actuals!$A:$A,LEFT($D$1202,FIND("|",$D$1202&amp;"|")-1),Actuals!$E:$E,MID($D$1202,FIND("|",$D$1202&amp;"|")+1,50),Actuals!$F:$F,"GBP")*$H$5)</f>
        <v/>
      </c>
      <c r="K1203" s="18">
        <f>IF(OR($B$1202="",4&gt;$C$4),"",SUMIFS(Actuals!$G:$G,Actuals!$B:$B,$C$3,Actuals!$C:$C,4,Actuals!$D:$D,$B$1202,Actuals!$A:$A,LEFT($D$1202,FIND("|",$D$1202&amp;"|")-1),Actuals!$E:$E,MID($D$1202,FIND("|",$D$1202&amp;"|")+1,50),Actuals!$F:$F,"JPY")*$E$5+SUMIFS(Actuals!$G:$G,Actuals!$B:$B,$C$3,Actuals!$C:$C,4,Actuals!$D:$D,$B$1202,Actuals!$A:$A,LEFT($D$1202,FIND("|",$D$1202&amp;"|")-1),Actuals!$E:$E,MID($D$1202,FIND("|",$D$1202&amp;"|")+1,50),Actuals!$F:$F,"USD")*$F$5+SUMIFS(Actuals!$G:$G,Actuals!$B:$B,$C$3,Actuals!$C:$C,4,Actuals!$D:$D,$B$1202,Actuals!$A:$A,LEFT($D$1202,FIND("|",$D$1202&amp;"|")-1),Actuals!$E:$E,MID($D$1202,FIND("|",$D$1202&amp;"|")+1,50),Actuals!$F:$F,"EUR")*$G$5+SUMIFS(Actuals!$G:$G,Actuals!$B:$B,$C$3,Actuals!$C:$C,4,Actuals!$D:$D,$B$1202,Actuals!$A:$A,LEFT($D$1202,FIND("|",$D$1202&amp;"|")-1),Actuals!$E:$E,MID($D$1202,FIND("|",$D$1202&amp;"|")+1,50),Actuals!$F:$F,"GBP")*$H$5)</f>
        <v/>
      </c>
      <c r="L1203" s="18">
        <f>IF(OR($B$1202="",5&gt;$C$4),"",SUMIFS(Actuals!$G:$G,Actuals!$B:$B,$C$3,Actuals!$C:$C,5,Actuals!$D:$D,$B$1202,Actuals!$A:$A,LEFT($D$1202,FIND("|",$D$1202&amp;"|")-1),Actuals!$E:$E,MID($D$1202,FIND("|",$D$1202&amp;"|")+1,50),Actuals!$F:$F,"JPY")*$E$5+SUMIFS(Actuals!$G:$G,Actuals!$B:$B,$C$3,Actuals!$C:$C,5,Actuals!$D:$D,$B$1202,Actuals!$A:$A,LEFT($D$1202,FIND("|",$D$1202&amp;"|")-1),Actuals!$E:$E,MID($D$1202,FIND("|",$D$1202&amp;"|")+1,50),Actuals!$F:$F,"USD")*$F$5+SUMIFS(Actuals!$G:$G,Actuals!$B:$B,$C$3,Actuals!$C:$C,5,Actuals!$D:$D,$B$1202,Actuals!$A:$A,LEFT($D$1202,FIND("|",$D$1202&amp;"|")-1),Actuals!$E:$E,MID($D$1202,FIND("|",$D$1202&amp;"|")+1,50),Actuals!$F:$F,"EUR")*$G$5+SUMIFS(Actuals!$G:$G,Actuals!$B:$B,$C$3,Actuals!$C:$C,5,Actuals!$D:$D,$B$1202,Actuals!$A:$A,LEFT($D$1202,FIND("|",$D$1202&amp;"|")-1),Actuals!$E:$E,MID($D$1202,FIND("|",$D$1202&amp;"|")+1,50),Actuals!$F:$F,"GBP")*$H$5)</f>
        <v/>
      </c>
      <c r="M1203" s="18">
        <f>IF(OR($B$1202="",6&gt;$C$4),"",SUMIFS(Actuals!$G:$G,Actuals!$B:$B,$C$3,Actuals!$C:$C,6,Actuals!$D:$D,$B$1202,Actuals!$A:$A,LEFT($D$1202,FIND("|",$D$1202&amp;"|")-1),Actuals!$E:$E,MID($D$1202,FIND("|",$D$1202&amp;"|")+1,50),Actuals!$F:$F,"JPY")*$E$5+SUMIFS(Actuals!$G:$G,Actuals!$B:$B,$C$3,Actuals!$C:$C,6,Actuals!$D:$D,$B$1202,Actuals!$A:$A,LEFT($D$1202,FIND("|",$D$1202&amp;"|")-1),Actuals!$E:$E,MID($D$1202,FIND("|",$D$1202&amp;"|")+1,50),Actuals!$F:$F,"USD")*$F$5+SUMIFS(Actuals!$G:$G,Actuals!$B:$B,$C$3,Actuals!$C:$C,6,Actuals!$D:$D,$B$1202,Actuals!$A:$A,LEFT($D$1202,FIND("|",$D$1202&amp;"|")-1),Actuals!$E:$E,MID($D$1202,FIND("|",$D$1202&amp;"|")+1,50),Actuals!$F:$F,"EUR")*$G$5+SUMIFS(Actuals!$G:$G,Actuals!$B:$B,$C$3,Actuals!$C:$C,6,Actuals!$D:$D,$B$1202,Actuals!$A:$A,LEFT($D$1202,FIND("|",$D$1202&amp;"|")-1),Actuals!$E:$E,MID($D$1202,FIND("|",$D$1202&amp;"|")+1,50),Actuals!$F:$F,"GBP")*$H$5)</f>
        <v/>
      </c>
      <c r="N1203" s="18">
        <f>IF(OR($B$1202="",7&gt;$C$4),"",SUMIFS(Actuals!$G:$G,Actuals!$B:$B,$C$3,Actuals!$C:$C,7,Actuals!$D:$D,$B$1202,Actuals!$A:$A,LEFT($D$1202,FIND("|",$D$1202&amp;"|")-1),Actuals!$E:$E,MID($D$1202,FIND("|",$D$1202&amp;"|")+1,50),Actuals!$F:$F,"JPY")*$E$5+SUMIFS(Actuals!$G:$G,Actuals!$B:$B,$C$3,Actuals!$C:$C,7,Actuals!$D:$D,$B$1202,Actuals!$A:$A,LEFT($D$1202,FIND("|",$D$1202&amp;"|")-1),Actuals!$E:$E,MID($D$1202,FIND("|",$D$1202&amp;"|")+1,50),Actuals!$F:$F,"USD")*$F$5+SUMIFS(Actuals!$G:$G,Actuals!$B:$B,$C$3,Actuals!$C:$C,7,Actuals!$D:$D,$B$1202,Actuals!$A:$A,LEFT($D$1202,FIND("|",$D$1202&amp;"|")-1),Actuals!$E:$E,MID($D$1202,FIND("|",$D$1202&amp;"|")+1,50),Actuals!$F:$F,"EUR")*$G$5+SUMIFS(Actuals!$G:$G,Actuals!$B:$B,$C$3,Actuals!$C:$C,7,Actuals!$D:$D,$B$1202,Actuals!$A:$A,LEFT($D$1202,FIND("|",$D$1202&amp;"|")-1),Actuals!$E:$E,MID($D$1202,FIND("|",$D$1202&amp;"|")+1,50),Actuals!$F:$F,"GBP")*$H$5)</f>
        <v/>
      </c>
      <c r="O1203" s="18">
        <f>IF(OR($B$1202="",8&gt;$C$4),"",SUMIFS(Actuals!$G:$G,Actuals!$B:$B,$C$3,Actuals!$C:$C,8,Actuals!$D:$D,$B$1202,Actuals!$A:$A,LEFT($D$1202,FIND("|",$D$1202&amp;"|")-1),Actuals!$E:$E,MID($D$1202,FIND("|",$D$1202&amp;"|")+1,50),Actuals!$F:$F,"JPY")*$E$5+SUMIFS(Actuals!$G:$G,Actuals!$B:$B,$C$3,Actuals!$C:$C,8,Actuals!$D:$D,$B$1202,Actuals!$A:$A,LEFT($D$1202,FIND("|",$D$1202&amp;"|")-1),Actuals!$E:$E,MID($D$1202,FIND("|",$D$1202&amp;"|")+1,50),Actuals!$F:$F,"USD")*$F$5+SUMIFS(Actuals!$G:$G,Actuals!$B:$B,$C$3,Actuals!$C:$C,8,Actuals!$D:$D,$B$1202,Actuals!$A:$A,LEFT($D$1202,FIND("|",$D$1202&amp;"|")-1),Actuals!$E:$E,MID($D$1202,FIND("|",$D$1202&amp;"|")+1,50),Actuals!$F:$F,"EUR")*$G$5+SUMIFS(Actuals!$G:$G,Actuals!$B:$B,$C$3,Actuals!$C:$C,8,Actuals!$D:$D,$B$1202,Actuals!$A:$A,LEFT($D$1202,FIND("|",$D$1202&amp;"|")-1),Actuals!$E:$E,MID($D$1202,FIND("|",$D$1202&amp;"|")+1,50),Actuals!$F:$F,"GBP")*$H$5)</f>
        <v/>
      </c>
      <c r="P1203" s="18">
        <f>IF(OR($B$1202="",9&gt;$C$4),"",SUMIFS(Actuals!$G:$G,Actuals!$B:$B,$C$3,Actuals!$C:$C,9,Actuals!$D:$D,$B$1202,Actuals!$A:$A,LEFT($D$1202,FIND("|",$D$1202&amp;"|")-1),Actuals!$E:$E,MID($D$1202,FIND("|",$D$1202&amp;"|")+1,50),Actuals!$F:$F,"JPY")*$E$5+SUMIFS(Actuals!$G:$G,Actuals!$B:$B,$C$3,Actuals!$C:$C,9,Actuals!$D:$D,$B$1202,Actuals!$A:$A,LEFT($D$1202,FIND("|",$D$1202&amp;"|")-1),Actuals!$E:$E,MID($D$1202,FIND("|",$D$1202&amp;"|")+1,50),Actuals!$F:$F,"USD")*$F$5+SUMIFS(Actuals!$G:$G,Actuals!$B:$B,$C$3,Actuals!$C:$C,9,Actuals!$D:$D,$B$1202,Actuals!$A:$A,LEFT($D$1202,FIND("|",$D$1202&amp;"|")-1),Actuals!$E:$E,MID($D$1202,FIND("|",$D$1202&amp;"|")+1,50),Actuals!$F:$F,"EUR")*$G$5+SUMIFS(Actuals!$G:$G,Actuals!$B:$B,$C$3,Actuals!$C:$C,9,Actuals!$D:$D,$B$1202,Actuals!$A:$A,LEFT($D$1202,FIND("|",$D$1202&amp;"|")-1),Actuals!$E:$E,MID($D$1202,FIND("|",$D$1202&amp;"|")+1,50),Actuals!$F:$F,"GBP")*$H$5)</f>
        <v/>
      </c>
      <c r="Q1203" s="18">
        <f>IF(OR($B$1202="",10&gt;$C$4),"",SUMIFS(Actuals!$G:$G,Actuals!$B:$B,$C$3,Actuals!$C:$C,10,Actuals!$D:$D,$B$1202,Actuals!$A:$A,LEFT($D$1202,FIND("|",$D$1202&amp;"|")-1),Actuals!$E:$E,MID($D$1202,FIND("|",$D$1202&amp;"|")+1,50),Actuals!$F:$F,"JPY")*$E$5+SUMIFS(Actuals!$G:$G,Actuals!$B:$B,$C$3,Actuals!$C:$C,10,Actuals!$D:$D,$B$1202,Actuals!$A:$A,LEFT($D$1202,FIND("|",$D$1202&amp;"|")-1),Actuals!$E:$E,MID($D$1202,FIND("|",$D$1202&amp;"|")+1,50),Actuals!$F:$F,"USD")*$F$5+SUMIFS(Actuals!$G:$G,Actuals!$B:$B,$C$3,Actuals!$C:$C,10,Actuals!$D:$D,$B$1202,Actuals!$A:$A,LEFT($D$1202,FIND("|",$D$1202&amp;"|")-1),Actuals!$E:$E,MID($D$1202,FIND("|",$D$1202&amp;"|")+1,50),Actuals!$F:$F,"EUR")*$G$5+SUMIFS(Actuals!$G:$G,Actuals!$B:$B,$C$3,Actuals!$C:$C,10,Actuals!$D:$D,$B$1202,Actuals!$A:$A,LEFT($D$1202,FIND("|",$D$1202&amp;"|")-1),Actuals!$E:$E,MID($D$1202,FIND("|",$D$1202&amp;"|")+1,50),Actuals!$F:$F,"GBP")*$H$5)</f>
        <v/>
      </c>
      <c r="R1203" s="18">
        <f>IF(OR($B$1202="",11&gt;$C$4),"",SUMIFS(Actuals!$G:$G,Actuals!$B:$B,$C$3,Actuals!$C:$C,11,Actuals!$D:$D,$B$1202,Actuals!$A:$A,LEFT($D$1202,FIND("|",$D$1202&amp;"|")-1),Actuals!$E:$E,MID($D$1202,FIND("|",$D$1202&amp;"|")+1,50),Actuals!$F:$F,"JPY")*$E$5+SUMIFS(Actuals!$G:$G,Actuals!$B:$B,$C$3,Actuals!$C:$C,11,Actuals!$D:$D,$B$1202,Actuals!$A:$A,LEFT($D$1202,FIND("|",$D$1202&amp;"|")-1),Actuals!$E:$E,MID($D$1202,FIND("|",$D$1202&amp;"|")+1,50),Actuals!$F:$F,"USD")*$F$5+SUMIFS(Actuals!$G:$G,Actuals!$B:$B,$C$3,Actuals!$C:$C,11,Actuals!$D:$D,$B$1202,Actuals!$A:$A,LEFT($D$1202,FIND("|",$D$1202&amp;"|")-1),Actuals!$E:$E,MID($D$1202,FIND("|",$D$1202&amp;"|")+1,50),Actuals!$F:$F,"EUR")*$G$5+SUMIFS(Actuals!$G:$G,Actuals!$B:$B,$C$3,Actuals!$C:$C,11,Actuals!$D:$D,$B$1202,Actuals!$A:$A,LEFT($D$1202,FIND("|",$D$1202&amp;"|")-1),Actuals!$E:$E,MID($D$1202,FIND("|",$D$1202&amp;"|")+1,50),Actuals!$F:$F,"GBP")*$H$5)</f>
        <v/>
      </c>
      <c r="S1203" s="18">
        <f>IF(OR($B$1202="",12&gt;$C$4),"",SUMIFS(Actuals!$G:$G,Actuals!$B:$B,$C$3,Actuals!$C:$C,12,Actuals!$D:$D,$B$1202,Actuals!$A:$A,LEFT($D$1202,FIND("|",$D$1202&amp;"|")-1),Actuals!$E:$E,MID($D$1202,FIND("|",$D$1202&amp;"|")+1,50),Actuals!$F:$F,"JPY")*$E$5+SUMIFS(Actuals!$G:$G,Actuals!$B:$B,$C$3,Actuals!$C:$C,12,Actuals!$D:$D,$B$1202,Actuals!$A:$A,LEFT($D$1202,FIND("|",$D$1202&amp;"|")-1),Actuals!$E:$E,MID($D$1202,FIND("|",$D$1202&amp;"|")+1,50),Actuals!$F:$F,"USD")*$F$5+SUMIFS(Actuals!$G:$G,Actuals!$B:$B,$C$3,Actuals!$C:$C,12,Actuals!$D:$D,$B$1202,Actuals!$A:$A,LEFT($D$1202,FIND("|",$D$1202&amp;"|")-1),Actuals!$E:$E,MID($D$1202,FIND("|",$D$1202&amp;"|")+1,50),Actuals!$F:$F,"EUR")*$G$5+SUMIFS(Actuals!$G:$G,Actuals!$B:$B,$C$3,Actuals!$C:$C,12,Actuals!$D:$D,$B$1202,Actuals!$A:$A,LEFT($D$1202,FIND("|",$D$1202&amp;"|")-1),Actuals!$E:$E,MID($D$1202,FIND("|",$D$1202&amp;"|")+1,50),Actuals!$F:$F,"GBP")*$H$5)</f>
        <v/>
      </c>
      <c r="T1203" s="18">
        <f>IF($B$1202="","",SUMIF($H$7:$S$7,"&lt;="&amp;$C$4,$H1203:$S1203))</f>
        <v/>
      </c>
      <c r="U1203" s="18" t="n"/>
      <c r="V1203" s="18" t="n"/>
      <c r="X1203" s="22">
        <f>IF($B1203="","",IFERROR(INDEX(Cost_Centers!$E:$E,MATCH($B1203,Cost_Centers!$A:$A,0)),"(unknown)"))</f>
        <v/>
      </c>
      <c r="Y1203" s="22">
        <f>IF($B1203="","",IFERROR(INDEX(Cost_Centers!$D:$D,MATCH($B1203,Cost_Centers!$A:$A,0)),"(unknown)"))</f>
        <v/>
      </c>
      <c r="Z1203" s="22">
        <f>IF(OR($B1203="",$G1203&lt;&gt;"Variance vs Budget"),"",ABS(N($V1203))+ROW()/1000000000)</f>
        <v/>
      </c>
    </row>
    <row r="1204">
      <c r="A1204" s="13">
        <f>IF(A$1202="","",A$1202)</f>
        <v/>
      </c>
      <c r="B1204" s="13">
        <f>IF(B$1202="","",B$1202)</f>
        <v/>
      </c>
      <c r="C1204" s="13">
        <f>IF(C$1202="","",C$1202)</f>
        <v/>
      </c>
      <c r="D1204" s="13">
        <f>IF(D$1202="","",D$1202)</f>
        <v/>
      </c>
      <c r="E1204" s="13">
        <f>IF(E$1202="","",E$1202)</f>
        <v/>
      </c>
      <c r="F1204" s="13">
        <f>IF(F$1202="","",F$1202)</f>
        <v/>
      </c>
      <c r="G1204" s="6" t="inlineStr">
        <is>
          <t>Variance vs Budget</t>
        </is>
      </c>
      <c r="H1204" s="33">
        <f>IF(OR($B$1202="",1&gt;$C$4),"",N(H1203)-H1202)</f>
        <v/>
      </c>
      <c r="I1204" s="33">
        <f>IF(OR($B$1202="",2&gt;$C$4),"",N(I1203)-I1202)</f>
        <v/>
      </c>
      <c r="J1204" s="33">
        <f>IF(OR($B$1202="",3&gt;$C$4),"",N(J1203)-J1202)</f>
        <v/>
      </c>
      <c r="K1204" s="33">
        <f>IF(OR($B$1202="",4&gt;$C$4),"",N(K1203)-K1202)</f>
        <v/>
      </c>
      <c r="L1204" s="33">
        <f>IF(OR($B$1202="",5&gt;$C$4),"",N(L1203)-L1202)</f>
        <v/>
      </c>
      <c r="M1204" s="33">
        <f>IF(OR($B$1202="",6&gt;$C$4),"",N(M1203)-M1202)</f>
        <v/>
      </c>
      <c r="N1204" s="33">
        <f>IF(OR($B$1202="",7&gt;$C$4),"",N(N1203)-N1202)</f>
        <v/>
      </c>
      <c r="O1204" s="33">
        <f>IF(OR($B$1202="",8&gt;$C$4),"",N(O1203)-O1202)</f>
        <v/>
      </c>
      <c r="P1204" s="33">
        <f>IF(OR($B$1202="",9&gt;$C$4),"",N(P1203)-P1202)</f>
        <v/>
      </c>
      <c r="Q1204" s="33">
        <f>IF(OR($B$1202="",10&gt;$C$4),"",N(Q1203)-Q1202)</f>
        <v/>
      </c>
      <c r="R1204" s="33">
        <f>IF(OR($B$1202="",11&gt;$C$4),"",N(R1203)-R1202)</f>
        <v/>
      </c>
      <c r="S1204" s="33">
        <f>IF(OR($B$1202="",12&gt;$C$4),"",N(S1203)-S1202)</f>
        <v/>
      </c>
      <c r="T1204" s="33">
        <f>IF($B$1202="","",T1203-T1202)</f>
        <v/>
      </c>
      <c r="U1204" s="33">
        <f>IF($B$1202="","",U1206-U1202)</f>
        <v/>
      </c>
      <c r="V1204" s="33">
        <f>IF($B$1202="","",V1206-V1202)</f>
        <v/>
      </c>
      <c r="X1204" s="22">
        <f>IF($B1204="","",IFERROR(INDEX(Cost_Centers!$E:$E,MATCH($B1204,Cost_Centers!$A:$A,0)),"(unknown)"))</f>
        <v/>
      </c>
      <c r="Y1204" s="22">
        <f>IF($B1204="","",IFERROR(INDEX(Cost_Centers!$D:$D,MATCH($B1204,Cost_Centers!$A:$A,0)),"(unknown)"))</f>
        <v/>
      </c>
      <c r="Z1204" s="22">
        <f>IF(OR($B1204="",$G1204&lt;&gt;"Variance vs Budget"),"",ABS(N($V1204))+ROW()/1000000000)</f>
        <v/>
      </c>
    </row>
    <row r="1205">
      <c r="A1205" s="13">
        <f>IF(A$1202="","",A$1202)</f>
        <v/>
      </c>
      <c r="B1205" s="13">
        <f>IF(B$1202="","",B$1202)</f>
        <v/>
      </c>
      <c r="C1205" s="13">
        <f>IF(C$1202="","",C$1202)</f>
        <v/>
      </c>
      <c r="D1205" s="13">
        <f>IF(D$1202="","",D$1202)</f>
        <v/>
      </c>
      <c r="E1205" s="13">
        <f>IF(E$1202="","",E$1202)</f>
        <v/>
      </c>
      <c r="F1205" s="13">
        <f>IF(F$1202="","",F$1202)</f>
        <v/>
      </c>
      <c r="G1205" s="7" t="inlineStr">
        <is>
          <t>Forecast (input)</t>
        </is>
      </c>
      <c r="H1205" s="34" t="n"/>
      <c r="I1205" s="34" t="n"/>
      <c r="J1205" s="34" t="n"/>
      <c r="K1205" s="34" t="n"/>
      <c r="L1205" s="34" t="n"/>
      <c r="M1205" s="34" t="n"/>
      <c r="N1205" s="34" t="n"/>
      <c r="O1205" s="34" t="n"/>
      <c r="P1205" s="34" t="n"/>
      <c r="Q1205" s="34" t="n"/>
      <c r="R1205" s="34" t="n"/>
      <c r="S1205" s="34" t="n"/>
      <c r="T1205" s="18" t="n"/>
      <c r="U1205" s="18" t="n"/>
      <c r="V1205" s="18" t="n"/>
      <c r="X1205" s="22">
        <f>IF($B1205="","",IFERROR(INDEX(Cost_Centers!$E:$E,MATCH($B1205,Cost_Centers!$A:$A,0)),"(unknown)"))</f>
        <v/>
      </c>
      <c r="Y1205" s="22">
        <f>IF($B1205="","",IFERROR(INDEX(Cost_Centers!$D:$D,MATCH($B1205,Cost_Centers!$A:$A,0)),"(unknown)"))</f>
        <v/>
      </c>
      <c r="Z1205" s="22">
        <f>IF(OR($B1205="",$G1205&lt;&gt;"Variance vs Budget"),"",ABS(N($V1205))+ROW()/1000000000)</f>
        <v/>
      </c>
    </row>
    <row r="1206">
      <c r="A1206" s="13">
        <f>IF(A$1202="","",A$1202)</f>
        <v/>
      </c>
      <c r="B1206" s="13">
        <f>IF(B$1202="","",B$1202)</f>
        <v/>
      </c>
      <c r="C1206" s="13">
        <f>IF(C$1202="","",C$1202)</f>
        <v/>
      </c>
      <c r="D1206" s="13">
        <f>IF(D$1202="","",D$1202)</f>
        <v/>
      </c>
      <c r="E1206" s="13">
        <f>IF(E$1202="","",E$1202)</f>
        <v/>
      </c>
      <c r="F1206" s="13">
        <f>IF(F$1202="","",F$1202)</f>
        <v/>
      </c>
      <c r="G1206" s="35" t="inlineStr">
        <is>
          <t>Actual + Forecast</t>
        </is>
      </c>
      <c r="H1206" s="18">
        <f>IF($B$1202="","",IF(1&lt;=$C$4,N(H1203),IF(H1205="",H1202,H1205)))</f>
        <v/>
      </c>
      <c r="I1206" s="18">
        <f>IF($B$1202="","",IF(2&lt;=$C$4,N(I1203),IF(I1205="",I1202,I1205)))</f>
        <v/>
      </c>
      <c r="J1206" s="18">
        <f>IF($B$1202="","",IF(3&lt;=$C$4,N(J1203),IF(J1205="",J1202,J1205)))</f>
        <v/>
      </c>
      <c r="K1206" s="18">
        <f>IF($B$1202="","",IF(4&lt;=$C$4,N(K1203),IF(K1205="",K1202,K1205)))</f>
        <v/>
      </c>
      <c r="L1206" s="18">
        <f>IF($B$1202="","",IF(5&lt;=$C$4,N(L1203),IF(L1205="",L1202,L1205)))</f>
        <v/>
      </c>
      <c r="M1206" s="18">
        <f>IF($B$1202="","",IF(6&lt;=$C$4,N(M1203),IF(M1205="",M1202,M1205)))</f>
        <v/>
      </c>
      <c r="N1206" s="18">
        <f>IF($B$1202="","",IF(7&lt;=$C$4,N(N1203),IF(N1205="",N1202,N1205)))</f>
        <v/>
      </c>
      <c r="O1206" s="18">
        <f>IF($B$1202="","",IF(8&lt;=$C$4,N(O1203),IF(O1205="",O1202,O1205)))</f>
        <v/>
      </c>
      <c r="P1206" s="18">
        <f>IF($B$1202="","",IF(9&lt;=$C$4,N(P1203),IF(P1205="",P1202,P1205)))</f>
        <v/>
      </c>
      <c r="Q1206" s="18">
        <f>IF($B$1202="","",IF(10&lt;=$C$4,N(Q1203),IF(Q1205="",Q1202,Q1205)))</f>
        <v/>
      </c>
      <c r="R1206" s="18">
        <f>IF($B$1202="","",IF(11&lt;=$C$4,N(R1203),IF(R1205="",R1202,R1205)))</f>
        <v/>
      </c>
      <c r="S1206" s="18">
        <f>IF($B$1202="","",IF(12&lt;=$C$4,N(S1203),IF(S1205="",S1202,S1205)))</f>
        <v/>
      </c>
      <c r="T1206" s="18">
        <f>IF($B$1202="","",SUMIF($H$7:$S$7,"&lt;="&amp;$C$4,$H1206:$S1206))</f>
        <v/>
      </c>
      <c r="U1206" s="18">
        <f>IF($B$1202="","",SUMIF($H$7:$S$7,"&gt;"&amp;$C$4,$H1206:$S1206))</f>
        <v/>
      </c>
      <c r="V1206" s="18">
        <f>IF($B$1202="","",SUM($H1206:$S1206))</f>
        <v/>
      </c>
      <c r="X1206" s="22">
        <f>IF($B1206="","",IFERROR(INDEX(Cost_Centers!$E:$E,MATCH($B1206,Cost_Centers!$A:$A,0)),"(unknown)"))</f>
        <v/>
      </c>
      <c r="Y1206" s="22">
        <f>IF($B1206="","",IFERROR(INDEX(Cost_Centers!$D:$D,MATCH($B1206,Cost_Centers!$A:$A,0)),"(unknown)"))</f>
        <v/>
      </c>
      <c r="Z1206" s="22">
        <f>IF(OR($B1206="",$G1206&lt;&gt;"Variance vs Budget"),"",ABS(N($V1206))+ROW()/1000000000)</f>
        <v/>
      </c>
    </row>
    <row r="1207">
      <c r="A1207" s="13">
        <f>IF(A$1202="","",A$1202)</f>
        <v/>
      </c>
      <c r="B1207" s="13">
        <f>IF(B$1202="","",B$1202)</f>
        <v/>
      </c>
      <c r="C1207" s="13">
        <f>IF(C$1202="","",C$1202)</f>
        <v/>
      </c>
      <c r="D1207" s="13">
        <f>IF(D$1202="","",D$1202)</f>
        <v/>
      </c>
      <c r="E1207" s="13">
        <f>IF(E$1202="","",E$1202)</f>
        <v/>
      </c>
      <c r="F1207" s="13">
        <f>IF(F$1202="","",F$1202)</f>
        <v/>
      </c>
      <c r="G1207" s="36" t="inlineStr">
        <is>
          <t>Prior Month Forecast</t>
        </is>
      </c>
      <c r="H1207" s="37">
        <f>IF($B$1202="","",IF(COUNTIFS(Prior_Forecast!$A:$A,$B$1202,Prior_Forecast!$B:$B,$D$1202)&gt;0,SUMIFS(Prior_Forecast!$C:$C,Prior_Forecast!$A:$A,$B$1202,Prior_Forecast!$B:$B,$D$1202),""))</f>
        <v/>
      </c>
      <c r="I1207" s="37">
        <f>IF($B$1202="","",IF(COUNTIFS(Prior_Forecast!$A:$A,$B$1202,Prior_Forecast!$B:$B,$D$1202)&gt;0,SUMIFS(Prior_Forecast!$D:$D,Prior_Forecast!$A:$A,$B$1202,Prior_Forecast!$B:$B,$D$1202),""))</f>
        <v/>
      </c>
      <c r="J1207" s="37">
        <f>IF($B$1202="","",IF(COUNTIFS(Prior_Forecast!$A:$A,$B$1202,Prior_Forecast!$B:$B,$D$1202)&gt;0,SUMIFS(Prior_Forecast!$E:$E,Prior_Forecast!$A:$A,$B$1202,Prior_Forecast!$B:$B,$D$1202),""))</f>
        <v/>
      </c>
      <c r="K1207" s="37">
        <f>IF($B$1202="","",IF(COUNTIFS(Prior_Forecast!$A:$A,$B$1202,Prior_Forecast!$B:$B,$D$1202)&gt;0,SUMIFS(Prior_Forecast!$F:$F,Prior_Forecast!$A:$A,$B$1202,Prior_Forecast!$B:$B,$D$1202),""))</f>
        <v/>
      </c>
      <c r="L1207" s="37">
        <f>IF($B$1202="","",IF(COUNTIFS(Prior_Forecast!$A:$A,$B$1202,Prior_Forecast!$B:$B,$D$1202)&gt;0,SUMIFS(Prior_Forecast!$G:$G,Prior_Forecast!$A:$A,$B$1202,Prior_Forecast!$B:$B,$D$1202),""))</f>
        <v/>
      </c>
      <c r="M1207" s="37">
        <f>IF($B$1202="","",IF(COUNTIFS(Prior_Forecast!$A:$A,$B$1202,Prior_Forecast!$B:$B,$D$1202)&gt;0,SUMIFS(Prior_Forecast!$H:$H,Prior_Forecast!$A:$A,$B$1202,Prior_Forecast!$B:$B,$D$1202),""))</f>
        <v/>
      </c>
      <c r="N1207" s="37">
        <f>IF($B$1202="","",IF(COUNTIFS(Prior_Forecast!$A:$A,$B$1202,Prior_Forecast!$B:$B,$D$1202)&gt;0,SUMIFS(Prior_Forecast!$I:$I,Prior_Forecast!$A:$A,$B$1202,Prior_Forecast!$B:$B,$D$1202),""))</f>
        <v/>
      </c>
      <c r="O1207" s="37">
        <f>IF($B$1202="","",IF(COUNTIFS(Prior_Forecast!$A:$A,$B$1202,Prior_Forecast!$B:$B,$D$1202)&gt;0,SUMIFS(Prior_Forecast!$J:$J,Prior_Forecast!$A:$A,$B$1202,Prior_Forecast!$B:$B,$D$1202),""))</f>
        <v/>
      </c>
      <c r="P1207" s="37">
        <f>IF($B$1202="","",IF(COUNTIFS(Prior_Forecast!$A:$A,$B$1202,Prior_Forecast!$B:$B,$D$1202)&gt;0,SUMIFS(Prior_Forecast!$K:$K,Prior_Forecast!$A:$A,$B$1202,Prior_Forecast!$B:$B,$D$1202),""))</f>
        <v/>
      </c>
      <c r="Q1207" s="37">
        <f>IF($B$1202="","",IF(COUNTIFS(Prior_Forecast!$A:$A,$B$1202,Prior_Forecast!$B:$B,$D$1202)&gt;0,SUMIFS(Prior_Forecast!$L:$L,Prior_Forecast!$A:$A,$B$1202,Prior_Forecast!$B:$B,$D$1202),""))</f>
        <v/>
      </c>
      <c r="R1207" s="37">
        <f>IF($B$1202="","",IF(COUNTIFS(Prior_Forecast!$A:$A,$B$1202,Prior_Forecast!$B:$B,$D$1202)&gt;0,SUMIFS(Prior_Forecast!$M:$M,Prior_Forecast!$A:$A,$B$1202,Prior_Forecast!$B:$B,$D$1202),""))</f>
        <v/>
      </c>
      <c r="S1207" s="37">
        <f>IF($B$1202="","",IF(COUNTIFS(Prior_Forecast!$A:$A,$B$1202,Prior_Forecast!$B:$B,$D$1202)&gt;0,SUMIFS(Prior_Forecast!$N:$N,Prior_Forecast!$A:$A,$B$1202,Prior_Forecast!$B:$B,$D$1202),""))</f>
        <v/>
      </c>
      <c r="T1207" s="37">
        <f>IF($B$1202="","",IF(COUNTIFS(Prior_Forecast!$A:$A,$B$1202,Prior_Forecast!$B:$B,$D$1202)&gt;0,SUMIFS(Prior_Forecast!$O:$O,Prior_Forecast!$A:$A,$B$1202,Prior_Forecast!$B:$B,$D$1202),""))</f>
        <v/>
      </c>
      <c r="U1207" s="37">
        <f>IF($B$1202="","",IF(COUNTIFS(Prior_Forecast!$A:$A,$B$1202,Prior_Forecast!$B:$B,$D$1202)&gt;0,SUMIFS(Prior_Forecast!$P:$P,Prior_Forecast!$A:$A,$B$1202,Prior_Forecast!$B:$B,$D$1202),""))</f>
        <v/>
      </c>
      <c r="V1207" s="37">
        <f>IF($B$1202="","",IF(COUNTIFS(Prior_Forecast!$A:$A,$B$1202,Prior_Forecast!$B:$B,$D$1202)&gt;0,SUMIFS(Prior_Forecast!$Q:$Q,Prior_Forecast!$A:$A,$B$1202,Prior_Forecast!$B:$B,$D$1202),""))</f>
        <v/>
      </c>
      <c r="X1207" s="22">
        <f>IF($B1207="","",IFERROR(INDEX(Cost_Centers!$E:$E,MATCH($B1207,Cost_Centers!$A:$A,0)),"(unknown)"))</f>
        <v/>
      </c>
      <c r="Y1207" s="22">
        <f>IF($B1207="","",IFERROR(INDEX(Cost_Centers!$D:$D,MATCH($B1207,Cost_Centers!$A:$A,0)),"(unknown)"))</f>
        <v/>
      </c>
      <c r="Z1207" s="22">
        <f>IF(OR($B1207="",$G1207&lt;&gt;"Variance vs Budget"),"",ABS(N($V1207))+ROW()/1000000000)</f>
        <v/>
      </c>
    </row>
    <row r="1208">
      <c r="A1208" s="13">
        <f>IF(A$1202="","",A$1202)</f>
        <v/>
      </c>
      <c r="B1208" s="13">
        <f>IF(B$1202="","",B$1202)</f>
        <v/>
      </c>
      <c r="C1208" s="13">
        <f>IF(C$1202="","",C$1202)</f>
        <v/>
      </c>
      <c r="D1208" s="13">
        <f>IF(D$1202="","",D$1202)</f>
        <v/>
      </c>
      <c r="E1208" s="13">
        <f>IF(E$1202="","",E$1202)</f>
        <v/>
      </c>
      <c r="F1208" s="13">
        <f>IF(F$1202="","",F$1202)</f>
        <v/>
      </c>
      <c r="G1208" s="6" t="inlineStr">
        <is>
          <t>Variance vs Prior Month</t>
        </is>
      </c>
      <c r="H1208" s="33">
        <f>IF(OR($B$1202="",H1207=""),"",H1206-H1207)</f>
        <v/>
      </c>
      <c r="I1208" s="33">
        <f>IF(OR($B$1202="",I1207=""),"",I1206-I1207)</f>
        <v/>
      </c>
      <c r="J1208" s="33">
        <f>IF(OR($B$1202="",J1207=""),"",J1206-J1207)</f>
        <v/>
      </c>
      <c r="K1208" s="33">
        <f>IF(OR($B$1202="",K1207=""),"",K1206-K1207)</f>
        <v/>
      </c>
      <c r="L1208" s="33">
        <f>IF(OR($B$1202="",L1207=""),"",L1206-L1207)</f>
        <v/>
      </c>
      <c r="M1208" s="33">
        <f>IF(OR($B$1202="",M1207=""),"",M1206-M1207)</f>
        <v/>
      </c>
      <c r="N1208" s="33">
        <f>IF(OR($B$1202="",N1207=""),"",N1206-N1207)</f>
        <v/>
      </c>
      <c r="O1208" s="33">
        <f>IF(OR($B$1202="",O1207=""),"",O1206-O1207)</f>
        <v/>
      </c>
      <c r="P1208" s="33">
        <f>IF(OR($B$1202="",P1207=""),"",P1206-P1207)</f>
        <v/>
      </c>
      <c r="Q1208" s="33">
        <f>IF(OR($B$1202="",Q1207=""),"",Q1206-Q1207)</f>
        <v/>
      </c>
      <c r="R1208" s="33">
        <f>IF(OR($B$1202="",R1207=""),"",R1206-R1207)</f>
        <v/>
      </c>
      <c r="S1208" s="33">
        <f>IF(OR($B$1202="",S1207=""),"",S1206-S1207)</f>
        <v/>
      </c>
      <c r="T1208" s="33">
        <f>IF(OR($B$1202="",T1207=""),"",T1206-T1207)</f>
        <v/>
      </c>
      <c r="U1208" s="33">
        <f>IF(OR($B$1202="",U1207=""),"",U1206-U1207)</f>
        <v/>
      </c>
      <c r="V1208" s="33">
        <f>IF(OR($B$1202="",V1207=""),"",V1206-V1207)</f>
        <v/>
      </c>
      <c r="X1208" s="22">
        <f>IF($B1208="","",IFERROR(INDEX(Cost_Centers!$E:$E,MATCH($B1208,Cost_Centers!$A:$A,0)),"(unknown)"))</f>
        <v/>
      </c>
      <c r="Y1208" s="22">
        <f>IF($B1208="","",IFERROR(INDEX(Cost_Centers!$D:$D,MATCH($B1208,Cost_Centers!$A:$A,0)),"(unknown)"))</f>
        <v/>
      </c>
      <c r="Z1208" s="22">
        <f>IF(OR($B1208="",$G1208&lt;&gt;"Variance vs Budget"),"",ABS(N($V1208))+ROW()/1000000000)</f>
        <v/>
      </c>
    </row>
    <row r="1209" ht="45" customHeight="1">
      <c r="A1209" s="13">
        <f>IF(A$1202="","",A$1202)</f>
        <v/>
      </c>
      <c r="B1209" s="13">
        <f>IF(B$1202="","",B$1202)</f>
        <v/>
      </c>
      <c r="C1209" s="13">
        <f>IF(C$1202="","",C$1202)</f>
        <v/>
      </c>
      <c r="D1209" s="13">
        <f>IF(D$1202="","",D$1202)</f>
        <v/>
      </c>
      <c r="E1209" s="13">
        <f>IF(E$1202="","",E$1202)</f>
        <v/>
      </c>
      <c r="F1209" s="13">
        <f>IF(F$1202="","",F$1202)</f>
        <v/>
      </c>
      <c r="G1209" s="7" t="inlineStr">
        <is>
          <t>Rationale</t>
        </is>
      </c>
      <c r="H1209" s="38" t="n"/>
      <c r="I1209" s="38" t="n"/>
      <c r="J1209" s="38" t="n"/>
      <c r="K1209" s="38" t="n"/>
      <c r="L1209" s="38" t="n"/>
      <c r="M1209" s="38" t="n"/>
      <c r="N1209" s="38" t="n"/>
      <c r="O1209" s="38" t="n"/>
      <c r="P1209" s="38" t="n"/>
      <c r="Q1209" s="38" t="n"/>
      <c r="R1209" s="38" t="n"/>
      <c r="S1209" s="38" t="n"/>
      <c r="T1209" s="38" t="n"/>
      <c r="U1209" s="38" t="n"/>
      <c r="V1209" s="7" t="n"/>
      <c r="X1209" s="22">
        <f>IF($B1209="","",IFERROR(INDEX(Cost_Centers!$E:$E,MATCH($B1209,Cost_Centers!$A:$A,0)),"(unknown)"))</f>
        <v/>
      </c>
      <c r="Y1209" s="22">
        <f>IF($B1209="","",IFERROR(INDEX(Cost_Centers!$D:$D,MATCH($B1209,Cost_Centers!$A:$A,0)),"(unknown)"))</f>
        <v/>
      </c>
      <c r="Z1209" s="22">
        <f>IF(OR($B1209="",$G1209&lt;&gt;"Variance vs Budget"),"",ABS(N($V1209))+ROW()/1000000000)</f>
        <v/>
      </c>
    </row>
  </sheetData>
  <autoFilter ref="A8:V1209"/>
  <conditionalFormatting sqref="P4:P5">
    <cfRule type="expression" priority="1" dxfId="0">
      <formula>P4&lt;&gt;0</formula>
    </cfRule>
  </conditionalFormatting>
  <conditionalFormatting sqref="H10:V1210">
    <cfRule type="expression" priority="2" dxfId="0">
      <formula>AND(LEFT($G10,8)="Variance",ISNUMBER(H10),H10&gt;0)</formula>
    </cfRule>
  </conditionalFormatting>
  <dataValidations count="2">
    <dataValidation sqref="C4" showDropDown="0" showInputMessage="0" showErrorMessage="1" allowBlank="0" error="1-12" type="whole" operator="between">
      <formula1>1</formula1>
      <formula2>12</formula2>
    </dataValidation>
    <dataValidation sqref="C5" showDropDown="0" showInputMessage="0" showErrorMessage="1" allowBlank="0" type="list">
      <formula1>=lst_currency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001"/>
  <sheetViews>
    <sheetView workbookViewId="0">
      <pane xSplit="10" ySplit="1" topLeftCell="K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3" customWidth="1" min="4" max="4"/>
    <col width="20" customWidth="1" min="5" max="5"/>
    <col width="15" customWidth="1" min="6" max="6"/>
    <col width="17" customWidth="1" min="7" max="7"/>
    <col width="15" customWidth="1" min="8" max="8"/>
    <col width="15" customWidth="1" min="9" max="9"/>
    <col width="16" customWidth="1" min="10" max="10"/>
    <col width="14" customWidth="1" min="11" max="11"/>
    <col width="12" customWidth="1" min="12" max="12"/>
    <col width="15" customWidth="1" min="13" max="13"/>
    <col width="12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</cols>
  <sheetData>
    <row r="1">
      <c r="A1" s="4" t="inlineStr">
        <is>
          <t>fiscal_year</t>
        </is>
      </c>
      <c r="B1" s="4" t="inlineStr">
        <is>
          <t>region</t>
        </is>
      </c>
      <c r="C1" s="4" t="inlineStr">
        <is>
          <t>owner</t>
        </is>
      </c>
      <c r="D1" s="4" t="inlineStr">
        <is>
          <t>budget_id</t>
        </is>
      </c>
      <c r="E1" s="4" t="inlineStr">
        <is>
          <t>cost_center_code</t>
        </is>
      </c>
      <c r="F1" s="4" t="inlineStr">
        <is>
          <t>account_key</t>
        </is>
      </c>
      <c r="G1" s="4" t="inlineStr">
        <is>
          <t>cost_category</t>
        </is>
      </c>
      <c r="H1" s="4" t="inlineStr">
        <is>
          <t>system_name</t>
        </is>
      </c>
      <c r="I1" s="4" t="inlineStr">
        <is>
          <t>vendor_name</t>
        </is>
      </c>
      <c r="J1" s="4" t="inlineStr">
        <is>
          <t>expense_item</t>
        </is>
      </c>
      <c r="K1" s="4" t="inlineStr">
        <is>
          <t>project_id</t>
        </is>
      </c>
      <c r="L1" s="4" t="inlineStr">
        <is>
          <t>asset_id</t>
        </is>
      </c>
      <c r="M1" s="4" t="inlineStr">
        <is>
          <t>source_type</t>
        </is>
      </c>
      <c r="N1" s="4" t="inlineStr">
        <is>
          <t>currency</t>
        </is>
      </c>
      <c r="O1" s="4" t="inlineStr">
        <is>
          <t>m01</t>
        </is>
      </c>
      <c r="P1" s="4" t="inlineStr">
        <is>
          <t>m02</t>
        </is>
      </c>
      <c r="Q1" s="4" t="inlineStr">
        <is>
          <t>m03</t>
        </is>
      </c>
      <c r="R1" s="4" t="inlineStr">
        <is>
          <t>m04</t>
        </is>
      </c>
      <c r="S1" s="4" t="inlineStr">
        <is>
          <t>m05</t>
        </is>
      </c>
      <c r="T1" s="4" t="inlineStr">
        <is>
          <t>m06</t>
        </is>
      </c>
      <c r="U1" s="4" t="inlineStr">
        <is>
          <t>m07</t>
        </is>
      </c>
      <c r="V1" s="4" t="inlineStr">
        <is>
          <t>m08</t>
        </is>
      </c>
      <c r="W1" s="4" t="inlineStr">
        <is>
          <t>m09</t>
        </is>
      </c>
      <c r="X1" s="4" t="inlineStr">
        <is>
          <t>m10</t>
        </is>
      </c>
      <c r="Y1" s="4" t="inlineStr">
        <is>
          <t>m11</t>
        </is>
      </c>
      <c r="Z1" s="4" t="inlineStr">
        <is>
          <t>m12</t>
        </is>
      </c>
      <c r="AA1" s="4" t="inlineStr">
        <is>
          <t>note</t>
        </is>
      </c>
    </row>
    <row r="2">
      <c r="A2" s="7" t="n"/>
      <c r="B2" s="7" t="n"/>
      <c r="C2" s="39" t="n"/>
      <c r="D2" s="39" t="n"/>
      <c r="E2" s="7" t="n"/>
      <c r="F2" s="7" t="n"/>
      <c r="G2" s="7" t="n"/>
      <c r="H2" s="39" t="n"/>
      <c r="I2" s="39" t="n"/>
      <c r="J2" s="39" t="n"/>
      <c r="K2" s="39" t="n"/>
      <c r="L2" s="39" t="n"/>
      <c r="M2" s="7" t="n"/>
      <c r="N2" s="7" t="n"/>
      <c r="O2" s="40" t="n"/>
      <c r="P2" s="40" t="n"/>
      <c r="Q2" s="40" t="n"/>
      <c r="R2" s="40" t="n"/>
      <c r="S2" s="40" t="n"/>
      <c r="T2" s="40" t="n"/>
      <c r="U2" s="40" t="n"/>
      <c r="V2" s="40" t="n"/>
      <c r="W2" s="40" t="n"/>
      <c r="X2" s="40" t="n"/>
      <c r="Y2" s="40" t="n"/>
      <c r="Z2" s="40" t="n"/>
      <c r="AA2" s="39" t="n"/>
    </row>
    <row r="3">
      <c r="A3" s="7" t="n"/>
      <c r="B3" s="7" t="n"/>
      <c r="C3" s="39" t="n"/>
      <c r="D3" s="39" t="n"/>
      <c r="E3" s="7" t="n"/>
      <c r="F3" s="7" t="n"/>
      <c r="G3" s="7" t="n"/>
      <c r="H3" s="39" t="n"/>
      <c r="I3" s="39" t="n"/>
      <c r="J3" s="39" t="n"/>
      <c r="K3" s="39" t="n"/>
      <c r="L3" s="39" t="n"/>
      <c r="M3" s="7" t="n"/>
      <c r="N3" s="7" t="n"/>
      <c r="O3" s="40" t="n"/>
      <c r="P3" s="40" t="n"/>
      <c r="Q3" s="40" t="n"/>
      <c r="R3" s="40" t="n"/>
      <c r="S3" s="40" t="n"/>
      <c r="T3" s="40" t="n"/>
      <c r="U3" s="40" t="n"/>
      <c r="V3" s="40" t="n"/>
      <c r="W3" s="40" t="n"/>
      <c r="X3" s="40" t="n"/>
      <c r="Y3" s="40" t="n"/>
      <c r="Z3" s="40" t="n"/>
      <c r="AA3" s="39" t="n"/>
    </row>
    <row r="4">
      <c r="A4" s="7" t="n"/>
      <c r="B4" s="7" t="n"/>
      <c r="C4" s="39" t="n"/>
      <c r="D4" s="39" t="n"/>
      <c r="E4" s="7" t="n"/>
      <c r="F4" s="7" t="n"/>
      <c r="G4" s="7" t="n"/>
      <c r="H4" s="39" t="n"/>
      <c r="I4" s="39" t="n"/>
      <c r="J4" s="39" t="n"/>
      <c r="K4" s="39" t="n"/>
      <c r="L4" s="39" t="n"/>
      <c r="M4" s="7" t="n"/>
      <c r="N4" s="7" t="n"/>
      <c r="O4" s="40" t="n"/>
      <c r="P4" s="40" t="n"/>
      <c r="Q4" s="40" t="n"/>
      <c r="R4" s="40" t="n"/>
      <c r="S4" s="40" t="n"/>
      <c r="T4" s="40" t="n"/>
      <c r="U4" s="40" t="n"/>
      <c r="V4" s="40" t="n"/>
      <c r="W4" s="40" t="n"/>
      <c r="X4" s="40" t="n"/>
      <c r="Y4" s="40" t="n"/>
      <c r="Z4" s="40" t="n"/>
      <c r="AA4" s="39" t="n"/>
    </row>
    <row r="5">
      <c r="A5" s="7" t="n"/>
      <c r="B5" s="7" t="n"/>
      <c r="C5" s="39" t="n"/>
      <c r="D5" s="39" t="n"/>
      <c r="E5" s="7" t="n"/>
      <c r="F5" s="7" t="n"/>
      <c r="G5" s="7" t="n"/>
      <c r="H5" s="39" t="n"/>
      <c r="I5" s="39" t="n"/>
      <c r="J5" s="39" t="n"/>
      <c r="K5" s="39" t="n"/>
      <c r="L5" s="39" t="n"/>
      <c r="M5" s="7" t="n"/>
      <c r="N5" s="7" t="n"/>
      <c r="O5" s="40" t="n"/>
      <c r="P5" s="40" t="n"/>
      <c r="Q5" s="40" t="n"/>
      <c r="R5" s="40" t="n"/>
      <c r="S5" s="40" t="n"/>
      <c r="T5" s="40" t="n"/>
      <c r="U5" s="40" t="n"/>
      <c r="V5" s="40" t="n"/>
      <c r="W5" s="40" t="n"/>
      <c r="X5" s="40" t="n"/>
      <c r="Y5" s="40" t="n"/>
      <c r="Z5" s="40" t="n"/>
      <c r="AA5" s="39" t="n"/>
    </row>
    <row r="6">
      <c r="A6" s="7" t="n"/>
      <c r="B6" s="7" t="n"/>
      <c r="C6" s="39" t="n"/>
      <c r="D6" s="39" t="n"/>
      <c r="E6" s="7" t="n"/>
      <c r="F6" s="7" t="n"/>
      <c r="G6" s="7" t="n"/>
      <c r="H6" s="39" t="n"/>
      <c r="I6" s="39" t="n"/>
      <c r="J6" s="39" t="n"/>
      <c r="K6" s="39" t="n"/>
      <c r="L6" s="39" t="n"/>
      <c r="M6" s="7" t="n"/>
      <c r="N6" s="7" t="n"/>
      <c r="O6" s="40" t="n"/>
      <c r="P6" s="40" t="n"/>
      <c r="Q6" s="40" t="n"/>
      <c r="R6" s="40" t="n"/>
      <c r="S6" s="40" t="n"/>
      <c r="T6" s="40" t="n"/>
      <c r="U6" s="40" t="n"/>
      <c r="V6" s="40" t="n"/>
      <c r="W6" s="40" t="n"/>
      <c r="X6" s="40" t="n"/>
      <c r="Y6" s="40" t="n"/>
      <c r="Z6" s="40" t="n"/>
      <c r="AA6" s="39" t="n"/>
    </row>
    <row r="7">
      <c r="A7" s="7" t="n"/>
      <c r="B7" s="7" t="n"/>
      <c r="C7" s="39" t="n"/>
      <c r="D7" s="39" t="n"/>
      <c r="E7" s="7" t="n"/>
      <c r="F7" s="7" t="n"/>
      <c r="G7" s="7" t="n"/>
      <c r="H7" s="39" t="n"/>
      <c r="I7" s="39" t="n"/>
      <c r="J7" s="39" t="n"/>
      <c r="K7" s="39" t="n"/>
      <c r="L7" s="39" t="n"/>
      <c r="M7" s="7" t="n"/>
      <c r="N7" s="7" t="n"/>
      <c r="O7" s="40" t="n"/>
      <c r="P7" s="40" t="n"/>
      <c r="Q7" s="40" t="n"/>
      <c r="R7" s="40" t="n"/>
      <c r="S7" s="40" t="n"/>
      <c r="T7" s="40" t="n"/>
      <c r="U7" s="40" t="n"/>
      <c r="V7" s="40" t="n"/>
      <c r="W7" s="40" t="n"/>
      <c r="X7" s="40" t="n"/>
      <c r="Y7" s="40" t="n"/>
      <c r="Z7" s="40" t="n"/>
      <c r="AA7" s="39" t="n"/>
    </row>
    <row r="8">
      <c r="A8" s="7" t="n"/>
      <c r="B8" s="7" t="n"/>
      <c r="C8" s="39" t="n"/>
      <c r="D8" s="39" t="n"/>
      <c r="E8" s="7" t="n"/>
      <c r="F8" s="7" t="n"/>
      <c r="G8" s="7" t="n"/>
      <c r="H8" s="39" t="n"/>
      <c r="I8" s="39" t="n"/>
      <c r="J8" s="39" t="n"/>
      <c r="K8" s="39" t="n"/>
      <c r="L8" s="39" t="n"/>
      <c r="M8" s="7" t="n"/>
      <c r="N8" s="7" t="n"/>
      <c r="O8" s="40" t="n"/>
      <c r="P8" s="40" t="n"/>
      <c r="Q8" s="40" t="n"/>
      <c r="R8" s="40" t="n"/>
      <c r="S8" s="40" t="n"/>
      <c r="T8" s="40" t="n"/>
      <c r="U8" s="40" t="n"/>
      <c r="V8" s="40" t="n"/>
      <c r="W8" s="40" t="n"/>
      <c r="X8" s="40" t="n"/>
      <c r="Y8" s="40" t="n"/>
      <c r="Z8" s="40" t="n"/>
      <c r="AA8" s="39" t="n"/>
    </row>
    <row r="9">
      <c r="A9" s="7" t="n"/>
      <c r="B9" s="7" t="n"/>
      <c r="C9" s="39" t="n"/>
      <c r="D9" s="39" t="n"/>
      <c r="E9" s="7" t="n"/>
      <c r="F9" s="7" t="n"/>
      <c r="G9" s="7" t="n"/>
      <c r="H9" s="39" t="n"/>
      <c r="I9" s="39" t="n"/>
      <c r="J9" s="39" t="n"/>
      <c r="K9" s="39" t="n"/>
      <c r="L9" s="39" t="n"/>
      <c r="M9" s="7" t="n"/>
      <c r="N9" s="7" t="n"/>
      <c r="O9" s="40" t="n"/>
      <c r="P9" s="40" t="n"/>
      <c r="Q9" s="40" t="n"/>
      <c r="R9" s="40" t="n"/>
      <c r="S9" s="40" t="n"/>
      <c r="T9" s="40" t="n"/>
      <c r="U9" s="40" t="n"/>
      <c r="V9" s="40" t="n"/>
      <c r="W9" s="40" t="n"/>
      <c r="X9" s="40" t="n"/>
      <c r="Y9" s="40" t="n"/>
      <c r="Z9" s="40" t="n"/>
      <c r="AA9" s="39" t="n"/>
    </row>
    <row r="10">
      <c r="A10" s="7" t="n"/>
      <c r="B10" s="7" t="n"/>
      <c r="C10" s="39" t="n"/>
      <c r="D10" s="39" t="n"/>
      <c r="E10" s="7" t="n"/>
      <c r="F10" s="7" t="n"/>
      <c r="G10" s="7" t="n"/>
      <c r="H10" s="39" t="n"/>
      <c r="I10" s="39" t="n"/>
      <c r="J10" s="39" t="n"/>
      <c r="K10" s="39" t="n"/>
      <c r="L10" s="39" t="n"/>
      <c r="M10" s="7" t="n"/>
      <c r="N10" s="7" t="n"/>
      <c r="O10" s="40" t="n"/>
      <c r="P10" s="40" t="n"/>
      <c r="Q10" s="40" t="n"/>
      <c r="R10" s="40" t="n"/>
      <c r="S10" s="40" t="n"/>
      <c r="T10" s="40" t="n"/>
      <c r="U10" s="40" t="n"/>
      <c r="V10" s="40" t="n"/>
      <c r="W10" s="40" t="n"/>
      <c r="X10" s="40" t="n"/>
      <c r="Y10" s="40" t="n"/>
      <c r="Z10" s="40" t="n"/>
      <c r="AA10" s="39" t="n"/>
    </row>
    <row r="11">
      <c r="A11" s="7" t="n"/>
      <c r="B11" s="7" t="n"/>
      <c r="C11" s="39" t="n"/>
      <c r="D11" s="39" t="n"/>
      <c r="E11" s="7" t="n"/>
      <c r="F11" s="7" t="n"/>
      <c r="G11" s="7" t="n"/>
      <c r="H11" s="39" t="n"/>
      <c r="I11" s="39" t="n"/>
      <c r="J11" s="39" t="n"/>
      <c r="K11" s="39" t="n"/>
      <c r="L11" s="39" t="n"/>
      <c r="M11" s="7" t="n"/>
      <c r="N11" s="7" t="n"/>
      <c r="O11" s="40" t="n"/>
      <c r="P11" s="40" t="n"/>
      <c r="Q11" s="40" t="n"/>
      <c r="R11" s="40" t="n"/>
      <c r="S11" s="40" t="n"/>
      <c r="T11" s="40" t="n"/>
      <c r="U11" s="40" t="n"/>
      <c r="V11" s="40" t="n"/>
      <c r="W11" s="40" t="n"/>
      <c r="X11" s="40" t="n"/>
      <c r="Y11" s="40" t="n"/>
      <c r="Z11" s="40" t="n"/>
      <c r="AA11" s="39" t="n"/>
    </row>
    <row r="12">
      <c r="A12" s="7" t="n"/>
      <c r="B12" s="7" t="n"/>
      <c r="C12" s="39" t="n"/>
      <c r="D12" s="39" t="n"/>
      <c r="E12" s="7" t="n"/>
      <c r="F12" s="7" t="n"/>
      <c r="G12" s="7" t="n"/>
      <c r="H12" s="39" t="n"/>
      <c r="I12" s="39" t="n"/>
      <c r="J12" s="39" t="n"/>
      <c r="K12" s="39" t="n"/>
      <c r="L12" s="39" t="n"/>
      <c r="M12" s="7" t="n"/>
      <c r="N12" s="7" t="n"/>
      <c r="O12" s="40" t="n"/>
      <c r="P12" s="40" t="n"/>
      <c r="Q12" s="40" t="n"/>
      <c r="R12" s="40" t="n"/>
      <c r="S12" s="40" t="n"/>
      <c r="T12" s="40" t="n"/>
      <c r="U12" s="40" t="n"/>
      <c r="V12" s="40" t="n"/>
      <c r="W12" s="40" t="n"/>
      <c r="X12" s="40" t="n"/>
      <c r="Y12" s="40" t="n"/>
      <c r="Z12" s="40" t="n"/>
      <c r="AA12" s="39" t="n"/>
    </row>
    <row r="13">
      <c r="A13" s="7" t="n"/>
      <c r="B13" s="7" t="n"/>
      <c r="C13" s="39" t="n"/>
      <c r="D13" s="39" t="n"/>
      <c r="E13" s="7" t="n"/>
      <c r="F13" s="7" t="n"/>
      <c r="G13" s="7" t="n"/>
      <c r="H13" s="39" t="n"/>
      <c r="I13" s="39" t="n"/>
      <c r="J13" s="39" t="n"/>
      <c r="K13" s="39" t="n"/>
      <c r="L13" s="39" t="n"/>
      <c r="M13" s="7" t="n"/>
      <c r="N13" s="7" t="n"/>
      <c r="O13" s="40" t="n"/>
      <c r="P13" s="40" t="n"/>
      <c r="Q13" s="40" t="n"/>
      <c r="R13" s="40" t="n"/>
      <c r="S13" s="40" t="n"/>
      <c r="T13" s="40" t="n"/>
      <c r="U13" s="40" t="n"/>
      <c r="V13" s="40" t="n"/>
      <c r="W13" s="40" t="n"/>
      <c r="X13" s="40" t="n"/>
      <c r="Y13" s="40" t="n"/>
      <c r="Z13" s="40" t="n"/>
      <c r="AA13" s="39" t="n"/>
    </row>
    <row r="14">
      <c r="A14" s="7" t="n"/>
      <c r="B14" s="7" t="n"/>
      <c r="C14" s="39" t="n"/>
      <c r="D14" s="39" t="n"/>
      <c r="E14" s="7" t="n"/>
      <c r="F14" s="7" t="n"/>
      <c r="G14" s="7" t="n"/>
      <c r="H14" s="39" t="n"/>
      <c r="I14" s="39" t="n"/>
      <c r="J14" s="39" t="n"/>
      <c r="K14" s="39" t="n"/>
      <c r="L14" s="39" t="n"/>
      <c r="M14" s="7" t="n"/>
      <c r="N14" s="7" t="n"/>
      <c r="O14" s="40" t="n"/>
      <c r="P14" s="40" t="n"/>
      <c r="Q14" s="40" t="n"/>
      <c r="R14" s="40" t="n"/>
      <c r="S14" s="40" t="n"/>
      <c r="T14" s="40" t="n"/>
      <c r="U14" s="40" t="n"/>
      <c r="V14" s="40" t="n"/>
      <c r="W14" s="40" t="n"/>
      <c r="X14" s="40" t="n"/>
      <c r="Y14" s="40" t="n"/>
      <c r="Z14" s="40" t="n"/>
      <c r="AA14" s="39" t="n"/>
    </row>
    <row r="15">
      <c r="A15" s="7" t="n"/>
      <c r="B15" s="7" t="n"/>
      <c r="C15" s="39" t="n"/>
      <c r="D15" s="39" t="n"/>
      <c r="E15" s="7" t="n"/>
      <c r="F15" s="7" t="n"/>
      <c r="G15" s="7" t="n"/>
      <c r="H15" s="39" t="n"/>
      <c r="I15" s="39" t="n"/>
      <c r="J15" s="39" t="n"/>
      <c r="K15" s="39" t="n"/>
      <c r="L15" s="39" t="n"/>
      <c r="M15" s="7" t="n"/>
      <c r="N15" s="7" t="n"/>
      <c r="O15" s="40" t="n"/>
      <c r="P15" s="40" t="n"/>
      <c r="Q15" s="40" t="n"/>
      <c r="R15" s="40" t="n"/>
      <c r="S15" s="40" t="n"/>
      <c r="T15" s="40" t="n"/>
      <c r="U15" s="40" t="n"/>
      <c r="V15" s="40" t="n"/>
      <c r="W15" s="40" t="n"/>
      <c r="X15" s="40" t="n"/>
      <c r="Y15" s="40" t="n"/>
      <c r="Z15" s="40" t="n"/>
      <c r="AA15" s="39" t="n"/>
    </row>
    <row r="16">
      <c r="A16" s="7" t="n"/>
      <c r="B16" s="7" t="n"/>
      <c r="C16" s="39" t="n"/>
      <c r="D16" s="39" t="n"/>
      <c r="E16" s="7" t="n"/>
      <c r="F16" s="7" t="n"/>
      <c r="G16" s="7" t="n"/>
      <c r="H16" s="39" t="n"/>
      <c r="I16" s="39" t="n"/>
      <c r="J16" s="39" t="n"/>
      <c r="K16" s="39" t="n"/>
      <c r="L16" s="39" t="n"/>
      <c r="M16" s="7" t="n"/>
      <c r="N16" s="7" t="n"/>
      <c r="O16" s="40" t="n"/>
      <c r="P16" s="40" t="n"/>
      <c r="Q16" s="40" t="n"/>
      <c r="R16" s="40" t="n"/>
      <c r="S16" s="40" t="n"/>
      <c r="T16" s="40" t="n"/>
      <c r="U16" s="40" t="n"/>
      <c r="V16" s="40" t="n"/>
      <c r="W16" s="40" t="n"/>
      <c r="X16" s="40" t="n"/>
      <c r="Y16" s="40" t="n"/>
      <c r="Z16" s="40" t="n"/>
      <c r="AA16" s="39" t="n"/>
    </row>
    <row r="17">
      <c r="A17" s="7" t="n"/>
      <c r="B17" s="7" t="n"/>
      <c r="C17" s="39" t="n"/>
      <c r="D17" s="39" t="n"/>
      <c r="E17" s="7" t="n"/>
      <c r="F17" s="7" t="n"/>
      <c r="G17" s="7" t="n"/>
      <c r="H17" s="39" t="n"/>
      <c r="I17" s="39" t="n"/>
      <c r="J17" s="39" t="n"/>
      <c r="K17" s="39" t="n"/>
      <c r="L17" s="39" t="n"/>
      <c r="M17" s="7" t="n"/>
      <c r="N17" s="7" t="n"/>
      <c r="O17" s="40" t="n"/>
      <c r="P17" s="40" t="n"/>
      <c r="Q17" s="40" t="n"/>
      <c r="R17" s="40" t="n"/>
      <c r="S17" s="40" t="n"/>
      <c r="T17" s="40" t="n"/>
      <c r="U17" s="40" t="n"/>
      <c r="V17" s="40" t="n"/>
      <c r="W17" s="40" t="n"/>
      <c r="X17" s="40" t="n"/>
      <c r="Y17" s="40" t="n"/>
      <c r="Z17" s="40" t="n"/>
      <c r="AA17" s="39" t="n"/>
    </row>
    <row r="18">
      <c r="A18" s="7" t="n"/>
      <c r="B18" s="7" t="n"/>
      <c r="C18" s="39" t="n"/>
      <c r="D18" s="39" t="n"/>
      <c r="E18" s="7" t="n"/>
      <c r="F18" s="7" t="n"/>
      <c r="G18" s="7" t="n"/>
      <c r="H18" s="39" t="n"/>
      <c r="I18" s="39" t="n"/>
      <c r="J18" s="39" t="n"/>
      <c r="K18" s="39" t="n"/>
      <c r="L18" s="39" t="n"/>
      <c r="M18" s="7" t="n"/>
      <c r="N18" s="7" t="n"/>
      <c r="O18" s="40" t="n"/>
      <c r="P18" s="40" t="n"/>
      <c r="Q18" s="40" t="n"/>
      <c r="R18" s="40" t="n"/>
      <c r="S18" s="40" t="n"/>
      <c r="T18" s="40" t="n"/>
      <c r="U18" s="40" t="n"/>
      <c r="V18" s="40" t="n"/>
      <c r="W18" s="40" t="n"/>
      <c r="X18" s="40" t="n"/>
      <c r="Y18" s="40" t="n"/>
      <c r="Z18" s="40" t="n"/>
      <c r="AA18" s="39" t="n"/>
    </row>
    <row r="19">
      <c r="A19" s="7" t="n"/>
      <c r="B19" s="7" t="n"/>
      <c r="C19" s="39" t="n"/>
      <c r="D19" s="39" t="n"/>
      <c r="E19" s="7" t="n"/>
      <c r="F19" s="7" t="n"/>
      <c r="G19" s="7" t="n"/>
      <c r="H19" s="39" t="n"/>
      <c r="I19" s="39" t="n"/>
      <c r="J19" s="39" t="n"/>
      <c r="K19" s="39" t="n"/>
      <c r="L19" s="39" t="n"/>
      <c r="M19" s="7" t="n"/>
      <c r="N19" s="7" t="n"/>
      <c r="O19" s="40" t="n"/>
      <c r="P19" s="40" t="n"/>
      <c r="Q19" s="40" t="n"/>
      <c r="R19" s="40" t="n"/>
      <c r="S19" s="40" t="n"/>
      <c r="T19" s="40" t="n"/>
      <c r="U19" s="40" t="n"/>
      <c r="V19" s="40" t="n"/>
      <c r="W19" s="40" t="n"/>
      <c r="X19" s="40" t="n"/>
      <c r="Y19" s="40" t="n"/>
      <c r="Z19" s="40" t="n"/>
      <c r="AA19" s="39" t="n"/>
    </row>
    <row r="20">
      <c r="A20" s="7" t="n"/>
      <c r="B20" s="7" t="n"/>
      <c r="C20" s="39" t="n"/>
      <c r="D20" s="39" t="n"/>
      <c r="E20" s="7" t="n"/>
      <c r="F20" s="7" t="n"/>
      <c r="G20" s="7" t="n"/>
      <c r="H20" s="39" t="n"/>
      <c r="I20" s="39" t="n"/>
      <c r="J20" s="39" t="n"/>
      <c r="K20" s="39" t="n"/>
      <c r="L20" s="39" t="n"/>
      <c r="M20" s="7" t="n"/>
      <c r="N20" s="7" t="n"/>
      <c r="O20" s="40" t="n"/>
      <c r="P20" s="40" t="n"/>
      <c r="Q20" s="40" t="n"/>
      <c r="R20" s="40" t="n"/>
      <c r="S20" s="40" t="n"/>
      <c r="T20" s="40" t="n"/>
      <c r="U20" s="40" t="n"/>
      <c r="V20" s="40" t="n"/>
      <c r="W20" s="40" t="n"/>
      <c r="X20" s="40" t="n"/>
      <c r="Y20" s="40" t="n"/>
      <c r="Z20" s="40" t="n"/>
      <c r="AA20" s="39" t="n"/>
    </row>
    <row r="21">
      <c r="A21" s="7" t="n"/>
      <c r="B21" s="7" t="n"/>
      <c r="C21" s="39" t="n"/>
      <c r="D21" s="39" t="n"/>
      <c r="E21" s="7" t="n"/>
      <c r="F21" s="7" t="n"/>
      <c r="G21" s="7" t="n"/>
      <c r="H21" s="39" t="n"/>
      <c r="I21" s="39" t="n"/>
      <c r="J21" s="39" t="n"/>
      <c r="K21" s="39" t="n"/>
      <c r="L21" s="39" t="n"/>
      <c r="M21" s="7" t="n"/>
      <c r="N21" s="7" t="n"/>
      <c r="O21" s="40" t="n"/>
      <c r="P21" s="40" t="n"/>
      <c r="Q21" s="40" t="n"/>
      <c r="R21" s="40" t="n"/>
      <c r="S21" s="40" t="n"/>
      <c r="T21" s="40" t="n"/>
      <c r="U21" s="40" t="n"/>
      <c r="V21" s="40" t="n"/>
      <c r="W21" s="40" t="n"/>
      <c r="X21" s="40" t="n"/>
      <c r="Y21" s="40" t="n"/>
      <c r="Z21" s="40" t="n"/>
      <c r="AA21" s="39" t="n"/>
    </row>
    <row r="22">
      <c r="A22" s="7" t="n"/>
      <c r="B22" s="7" t="n"/>
      <c r="C22" s="39" t="n"/>
      <c r="D22" s="39" t="n"/>
      <c r="E22" s="7" t="n"/>
      <c r="F22" s="7" t="n"/>
      <c r="G22" s="7" t="n"/>
      <c r="H22" s="39" t="n"/>
      <c r="I22" s="39" t="n"/>
      <c r="J22" s="39" t="n"/>
      <c r="K22" s="39" t="n"/>
      <c r="L22" s="39" t="n"/>
      <c r="M22" s="7" t="n"/>
      <c r="N22" s="7" t="n"/>
      <c r="O22" s="40" t="n"/>
      <c r="P22" s="40" t="n"/>
      <c r="Q22" s="40" t="n"/>
      <c r="R22" s="40" t="n"/>
      <c r="S22" s="40" t="n"/>
      <c r="T22" s="40" t="n"/>
      <c r="U22" s="40" t="n"/>
      <c r="V22" s="40" t="n"/>
      <c r="W22" s="40" t="n"/>
      <c r="X22" s="40" t="n"/>
      <c r="Y22" s="40" t="n"/>
      <c r="Z22" s="40" t="n"/>
      <c r="AA22" s="39" t="n"/>
    </row>
    <row r="23">
      <c r="A23" s="7" t="n"/>
      <c r="B23" s="7" t="n"/>
      <c r="C23" s="39" t="n"/>
      <c r="D23" s="39" t="n"/>
      <c r="E23" s="7" t="n"/>
      <c r="F23" s="7" t="n"/>
      <c r="G23" s="7" t="n"/>
      <c r="H23" s="39" t="n"/>
      <c r="I23" s="39" t="n"/>
      <c r="J23" s="39" t="n"/>
      <c r="K23" s="39" t="n"/>
      <c r="L23" s="39" t="n"/>
      <c r="M23" s="7" t="n"/>
      <c r="N23" s="7" t="n"/>
      <c r="O23" s="40" t="n"/>
      <c r="P23" s="40" t="n"/>
      <c r="Q23" s="40" t="n"/>
      <c r="R23" s="40" t="n"/>
      <c r="S23" s="40" t="n"/>
      <c r="T23" s="40" t="n"/>
      <c r="U23" s="40" t="n"/>
      <c r="V23" s="40" t="n"/>
      <c r="W23" s="40" t="n"/>
      <c r="X23" s="40" t="n"/>
      <c r="Y23" s="40" t="n"/>
      <c r="Z23" s="40" t="n"/>
      <c r="AA23" s="39" t="n"/>
    </row>
    <row r="24">
      <c r="A24" s="7" t="n"/>
      <c r="B24" s="7" t="n"/>
      <c r="C24" s="39" t="n"/>
      <c r="D24" s="39" t="n"/>
      <c r="E24" s="7" t="n"/>
      <c r="F24" s="7" t="n"/>
      <c r="G24" s="7" t="n"/>
      <c r="H24" s="39" t="n"/>
      <c r="I24" s="39" t="n"/>
      <c r="J24" s="39" t="n"/>
      <c r="K24" s="39" t="n"/>
      <c r="L24" s="39" t="n"/>
      <c r="M24" s="7" t="n"/>
      <c r="N24" s="7" t="n"/>
      <c r="O24" s="40" t="n"/>
      <c r="P24" s="40" t="n"/>
      <c r="Q24" s="40" t="n"/>
      <c r="R24" s="40" t="n"/>
      <c r="S24" s="40" t="n"/>
      <c r="T24" s="40" t="n"/>
      <c r="U24" s="40" t="n"/>
      <c r="V24" s="40" t="n"/>
      <c r="W24" s="40" t="n"/>
      <c r="X24" s="40" t="n"/>
      <c r="Y24" s="40" t="n"/>
      <c r="Z24" s="40" t="n"/>
      <c r="AA24" s="39" t="n"/>
    </row>
    <row r="25">
      <c r="A25" s="7" t="n"/>
      <c r="B25" s="7" t="n"/>
      <c r="C25" s="39" t="n"/>
      <c r="D25" s="39" t="n"/>
      <c r="E25" s="7" t="n"/>
      <c r="F25" s="7" t="n"/>
      <c r="G25" s="7" t="n"/>
      <c r="H25" s="39" t="n"/>
      <c r="I25" s="39" t="n"/>
      <c r="J25" s="39" t="n"/>
      <c r="K25" s="39" t="n"/>
      <c r="L25" s="39" t="n"/>
      <c r="M25" s="7" t="n"/>
      <c r="N25" s="7" t="n"/>
      <c r="O25" s="40" t="n"/>
      <c r="P25" s="40" t="n"/>
      <c r="Q25" s="40" t="n"/>
      <c r="R25" s="40" t="n"/>
      <c r="S25" s="40" t="n"/>
      <c r="T25" s="40" t="n"/>
      <c r="U25" s="40" t="n"/>
      <c r="V25" s="40" t="n"/>
      <c r="W25" s="40" t="n"/>
      <c r="X25" s="40" t="n"/>
      <c r="Y25" s="40" t="n"/>
      <c r="Z25" s="40" t="n"/>
      <c r="AA25" s="39" t="n"/>
    </row>
    <row r="26">
      <c r="A26" s="7" t="n"/>
      <c r="B26" s="7" t="n"/>
      <c r="C26" s="39" t="n"/>
      <c r="D26" s="39" t="n"/>
      <c r="E26" s="7" t="n"/>
      <c r="F26" s="7" t="n"/>
      <c r="G26" s="7" t="n"/>
      <c r="H26" s="39" t="n"/>
      <c r="I26" s="39" t="n"/>
      <c r="J26" s="39" t="n"/>
      <c r="K26" s="39" t="n"/>
      <c r="L26" s="39" t="n"/>
      <c r="M26" s="7" t="n"/>
      <c r="N26" s="7" t="n"/>
      <c r="O26" s="40" t="n"/>
      <c r="P26" s="40" t="n"/>
      <c r="Q26" s="40" t="n"/>
      <c r="R26" s="40" t="n"/>
      <c r="S26" s="40" t="n"/>
      <c r="T26" s="40" t="n"/>
      <c r="U26" s="40" t="n"/>
      <c r="V26" s="40" t="n"/>
      <c r="W26" s="40" t="n"/>
      <c r="X26" s="40" t="n"/>
      <c r="Y26" s="40" t="n"/>
      <c r="Z26" s="40" t="n"/>
      <c r="AA26" s="39" t="n"/>
    </row>
    <row r="27">
      <c r="A27" s="7" t="n"/>
      <c r="B27" s="7" t="n"/>
      <c r="C27" s="39" t="n"/>
      <c r="D27" s="39" t="n"/>
      <c r="E27" s="7" t="n"/>
      <c r="F27" s="7" t="n"/>
      <c r="G27" s="7" t="n"/>
      <c r="H27" s="39" t="n"/>
      <c r="I27" s="39" t="n"/>
      <c r="J27" s="39" t="n"/>
      <c r="K27" s="39" t="n"/>
      <c r="L27" s="39" t="n"/>
      <c r="M27" s="7" t="n"/>
      <c r="N27" s="7" t="n"/>
      <c r="O27" s="40" t="n"/>
      <c r="P27" s="40" t="n"/>
      <c r="Q27" s="40" t="n"/>
      <c r="R27" s="40" t="n"/>
      <c r="S27" s="40" t="n"/>
      <c r="T27" s="40" t="n"/>
      <c r="U27" s="40" t="n"/>
      <c r="V27" s="40" t="n"/>
      <c r="W27" s="40" t="n"/>
      <c r="X27" s="40" t="n"/>
      <c r="Y27" s="40" t="n"/>
      <c r="Z27" s="40" t="n"/>
      <c r="AA27" s="39" t="n"/>
    </row>
    <row r="28">
      <c r="A28" s="7" t="n"/>
      <c r="B28" s="7" t="n"/>
      <c r="C28" s="39" t="n"/>
      <c r="D28" s="39" t="n"/>
      <c r="E28" s="7" t="n"/>
      <c r="F28" s="7" t="n"/>
      <c r="G28" s="7" t="n"/>
      <c r="H28" s="39" t="n"/>
      <c r="I28" s="39" t="n"/>
      <c r="J28" s="39" t="n"/>
      <c r="K28" s="39" t="n"/>
      <c r="L28" s="39" t="n"/>
      <c r="M28" s="7" t="n"/>
      <c r="N28" s="7" t="n"/>
      <c r="O28" s="40" t="n"/>
      <c r="P28" s="40" t="n"/>
      <c r="Q28" s="40" t="n"/>
      <c r="R28" s="40" t="n"/>
      <c r="S28" s="40" t="n"/>
      <c r="T28" s="40" t="n"/>
      <c r="U28" s="40" t="n"/>
      <c r="V28" s="40" t="n"/>
      <c r="W28" s="40" t="n"/>
      <c r="X28" s="40" t="n"/>
      <c r="Y28" s="40" t="n"/>
      <c r="Z28" s="40" t="n"/>
      <c r="AA28" s="39" t="n"/>
    </row>
    <row r="29">
      <c r="A29" s="7" t="n"/>
      <c r="B29" s="7" t="n"/>
      <c r="C29" s="39" t="n"/>
      <c r="D29" s="39" t="n"/>
      <c r="E29" s="7" t="n"/>
      <c r="F29" s="7" t="n"/>
      <c r="G29" s="7" t="n"/>
      <c r="H29" s="39" t="n"/>
      <c r="I29" s="39" t="n"/>
      <c r="J29" s="39" t="n"/>
      <c r="K29" s="39" t="n"/>
      <c r="L29" s="39" t="n"/>
      <c r="M29" s="7" t="n"/>
      <c r="N29" s="7" t="n"/>
      <c r="O29" s="40" t="n"/>
      <c r="P29" s="40" t="n"/>
      <c r="Q29" s="40" t="n"/>
      <c r="R29" s="40" t="n"/>
      <c r="S29" s="40" t="n"/>
      <c r="T29" s="40" t="n"/>
      <c r="U29" s="40" t="n"/>
      <c r="V29" s="40" t="n"/>
      <c r="W29" s="40" t="n"/>
      <c r="X29" s="40" t="n"/>
      <c r="Y29" s="40" t="n"/>
      <c r="Z29" s="40" t="n"/>
      <c r="AA29" s="39" t="n"/>
    </row>
    <row r="30">
      <c r="A30" s="7" t="n"/>
      <c r="B30" s="7" t="n"/>
      <c r="C30" s="39" t="n"/>
      <c r="D30" s="39" t="n"/>
      <c r="E30" s="7" t="n"/>
      <c r="F30" s="7" t="n"/>
      <c r="G30" s="7" t="n"/>
      <c r="H30" s="39" t="n"/>
      <c r="I30" s="39" t="n"/>
      <c r="J30" s="39" t="n"/>
      <c r="K30" s="39" t="n"/>
      <c r="L30" s="39" t="n"/>
      <c r="M30" s="7" t="n"/>
      <c r="N30" s="7" t="n"/>
      <c r="O30" s="40" t="n"/>
      <c r="P30" s="40" t="n"/>
      <c r="Q30" s="40" t="n"/>
      <c r="R30" s="40" t="n"/>
      <c r="S30" s="40" t="n"/>
      <c r="T30" s="40" t="n"/>
      <c r="U30" s="40" t="n"/>
      <c r="V30" s="40" t="n"/>
      <c r="W30" s="40" t="n"/>
      <c r="X30" s="40" t="n"/>
      <c r="Y30" s="40" t="n"/>
      <c r="Z30" s="40" t="n"/>
      <c r="AA30" s="39" t="n"/>
    </row>
    <row r="31">
      <c r="A31" s="7" t="n"/>
      <c r="B31" s="7" t="n"/>
      <c r="C31" s="39" t="n"/>
      <c r="D31" s="39" t="n"/>
      <c r="E31" s="7" t="n"/>
      <c r="F31" s="7" t="n"/>
      <c r="G31" s="7" t="n"/>
      <c r="H31" s="39" t="n"/>
      <c r="I31" s="39" t="n"/>
      <c r="J31" s="39" t="n"/>
      <c r="K31" s="39" t="n"/>
      <c r="L31" s="39" t="n"/>
      <c r="M31" s="7" t="n"/>
      <c r="N31" s="7" t="n"/>
      <c r="O31" s="40" t="n"/>
      <c r="P31" s="40" t="n"/>
      <c r="Q31" s="40" t="n"/>
      <c r="R31" s="40" t="n"/>
      <c r="S31" s="40" t="n"/>
      <c r="T31" s="40" t="n"/>
      <c r="U31" s="40" t="n"/>
      <c r="V31" s="40" t="n"/>
      <c r="W31" s="40" t="n"/>
      <c r="X31" s="40" t="n"/>
      <c r="Y31" s="40" t="n"/>
      <c r="Z31" s="40" t="n"/>
      <c r="AA31" s="39" t="n"/>
    </row>
    <row r="32">
      <c r="A32" s="7" t="n"/>
      <c r="B32" s="7" t="n"/>
      <c r="C32" s="39" t="n"/>
      <c r="D32" s="39" t="n"/>
      <c r="E32" s="7" t="n"/>
      <c r="F32" s="7" t="n"/>
      <c r="G32" s="7" t="n"/>
      <c r="H32" s="39" t="n"/>
      <c r="I32" s="39" t="n"/>
      <c r="J32" s="39" t="n"/>
      <c r="K32" s="39" t="n"/>
      <c r="L32" s="39" t="n"/>
      <c r="M32" s="7" t="n"/>
      <c r="N32" s="7" t="n"/>
      <c r="O32" s="40" t="n"/>
      <c r="P32" s="40" t="n"/>
      <c r="Q32" s="40" t="n"/>
      <c r="R32" s="40" t="n"/>
      <c r="S32" s="40" t="n"/>
      <c r="T32" s="40" t="n"/>
      <c r="U32" s="40" t="n"/>
      <c r="V32" s="40" t="n"/>
      <c r="W32" s="40" t="n"/>
      <c r="X32" s="40" t="n"/>
      <c r="Y32" s="40" t="n"/>
      <c r="Z32" s="40" t="n"/>
      <c r="AA32" s="39" t="n"/>
    </row>
    <row r="33">
      <c r="A33" s="7" t="n"/>
      <c r="B33" s="7" t="n"/>
      <c r="C33" s="39" t="n"/>
      <c r="D33" s="39" t="n"/>
      <c r="E33" s="7" t="n"/>
      <c r="F33" s="7" t="n"/>
      <c r="G33" s="7" t="n"/>
      <c r="H33" s="39" t="n"/>
      <c r="I33" s="39" t="n"/>
      <c r="J33" s="39" t="n"/>
      <c r="K33" s="39" t="n"/>
      <c r="L33" s="39" t="n"/>
      <c r="M33" s="7" t="n"/>
      <c r="N33" s="7" t="n"/>
      <c r="O33" s="40" t="n"/>
      <c r="P33" s="40" t="n"/>
      <c r="Q33" s="40" t="n"/>
      <c r="R33" s="40" t="n"/>
      <c r="S33" s="40" t="n"/>
      <c r="T33" s="40" t="n"/>
      <c r="U33" s="40" t="n"/>
      <c r="V33" s="40" t="n"/>
      <c r="W33" s="40" t="n"/>
      <c r="X33" s="40" t="n"/>
      <c r="Y33" s="40" t="n"/>
      <c r="Z33" s="40" t="n"/>
      <c r="AA33" s="39" t="n"/>
    </row>
    <row r="34">
      <c r="A34" s="7" t="n"/>
      <c r="B34" s="7" t="n"/>
      <c r="C34" s="39" t="n"/>
      <c r="D34" s="39" t="n"/>
      <c r="E34" s="7" t="n"/>
      <c r="F34" s="7" t="n"/>
      <c r="G34" s="7" t="n"/>
      <c r="H34" s="39" t="n"/>
      <c r="I34" s="39" t="n"/>
      <c r="J34" s="39" t="n"/>
      <c r="K34" s="39" t="n"/>
      <c r="L34" s="39" t="n"/>
      <c r="M34" s="7" t="n"/>
      <c r="N34" s="7" t="n"/>
      <c r="O34" s="40" t="n"/>
      <c r="P34" s="40" t="n"/>
      <c r="Q34" s="40" t="n"/>
      <c r="R34" s="40" t="n"/>
      <c r="S34" s="40" t="n"/>
      <c r="T34" s="40" t="n"/>
      <c r="U34" s="40" t="n"/>
      <c r="V34" s="40" t="n"/>
      <c r="W34" s="40" t="n"/>
      <c r="X34" s="40" t="n"/>
      <c r="Y34" s="40" t="n"/>
      <c r="Z34" s="40" t="n"/>
      <c r="AA34" s="39" t="n"/>
    </row>
    <row r="35">
      <c r="A35" s="7" t="n"/>
      <c r="B35" s="7" t="n"/>
      <c r="C35" s="39" t="n"/>
      <c r="D35" s="39" t="n"/>
      <c r="E35" s="7" t="n"/>
      <c r="F35" s="7" t="n"/>
      <c r="G35" s="7" t="n"/>
      <c r="H35" s="39" t="n"/>
      <c r="I35" s="39" t="n"/>
      <c r="J35" s="39" t="n"/>
      <c r="K35" s="39" t="n"/>
      <c r="L35" s="39" t="n"/>
      <c r="M35" s="7" t="n"/>
      <c r="N35" s="7" t="n"/>
      <c r="O35" s="40" t="n"/>
      <c r="P35" s="40" t="n"/>
      <c r="Q35" s="40" t="n"/>
      <c r="R35" s="40" t="n"/>
      <c r="S35" s="40" t="n"/>
      <c r="T35" s="40" t="n"/>
      <c r="U35" s="40" t="n"/>
      <c r="V35" s="40" t="n"/>
      <c r="W35" s="40" t="n"/>
      <c r="X35" s="40" t="n"/>
      <c r="Y35" s="40" t="n"/>
      <c r="Z35" s="40" t="n"/>
      <c r="AA35" s="39" t="n"/>
    </row>
    <row r="36">
      <c r="A36" s="7" t="n"/>
      <c r="B36" s="7" t="n"/>
      <c r="C36" s="39" t="n"/>
      <c r="D36" s="39" t="n"/>
      <c r="E36" s="7" t="n"/>
      <c r="F36" s="7" t="n"/>
      <c r="G36" s="7" t="n"/>
      <c r="H36" s="39" t="n"/>
      <c r="I36" s="39" t="n"/>
      <c r="J36" s="39" t="n"/>
      <c r="K36" s="39" t="n"/>
      <c r="L36" s="39" t="n"/>
      <c r="M36" s="7" t="n"/>
      <c r="N36" s="7" t="n"/>
      <c r="O36" s="40" t="n"/>
      <c r="P36" s="40" t="n"/>
      <c r="Q36" s="40" t="n"/>
      <c r="R36" s="40" t="n"/>
      <c r="S36" s="40" t="n"/>
      <c r="T36" s="40" t="n"/>
      <c r="U36" s="40" t="n"/>
      <c r="V36" s="40" t="n"/>
      <c r="W36" s="40" t="n"/>
      <c r="X36" s="40" t="n"/>
      <c r="Y36" s="40" t="n"/>
      <c r="Z36" s="40" t="n"/>
      <c r="AA36" s="39" t="n"/>
    </row>
    <row r="37">
      <c r="A37" s="7" t="n"/>
      <c r="B37" s="7" t="n"/>
      <c r="C37" s="39" t="n"/>
      <c r="D37" s="39" t="n"/>
      <c r="E37" s="7" t="n"/>
      <c r="F37" s="7" t="n"/>
      <c r="G37" s="7" t="n"/>
      <c r="H37" s="39" t="n"/>
      <c r="I37" s="39" t="n"/>
      <c r="J37" s="39" t="n"/>
      <c r="K37" s="39" t="n"/>
      <c r="L37" s="39" t="n"/>
      <c r="M37" s="7" t="n"/>
      <c r="N37" s="7" t="n"/>
      <c r="O37" s="40" t="n"/>
      <c r="P37" s="40" t="n"/>
      <c r="Q37" s="40" t="n"/>
      <c r="R37" s="40" t="n"/>
      <c r="S37" s="40" t="n"/>
      <c r="T37" s="40" t="n"/>
      <c r="U37" s="40" t="n"/>
      <c r="V37" s="40" t="n"/>
      <c r="W37" s="40" t="n"/>
      <c r="X37" s="40" t="n"/>
      <c r="Y37" s="40" t="n"/>
      <c r="Z37" s="40" t="n"/>
      <c r="AA37" s="39" t="n"/>
    </row>
    <row r="38">
      <c r="A38" s="7" t="n"/>
      <c r="B38" s="7" t="n"/>
      <c r="C38" s="39" t="n"/>
      <c r="D38" s="39" t="n"/>
      <c r="E38" s="7" t="n"/>
      <c r="F38" s="7" t="n"/>
      <c r="G38" s="7" t="n"/>
      <c r="H38" s="39" t="n"/>
      <c r="I38" s="39" t="n"/>
      <c r="J38" s="39" t="n"/>
      <c r="K38" s="39" t="n"/>
      <c r="L38" s="39" t="n"/>
      <c r="M38" s="7" t="n"/>
      <c r="N38" s="7" t="n"/>
      <c r="O38" s="40" t="n"/>
      <c r="P38" s="40" t="n"/>
      <c r="Q38" s="40" t="n"/>
      <c r="R38" s="40" t="n"/>
      <c r="S38" s="40" t="n"/>
      <c r="T38" s="40" t="n"/>
      <c r="U38" s="40" t="n"/>
      <c r="V38" s="40" t="n"/>
      <c r="W38" s="40" t="n"/>
      <c r="X38" s="40" t="n"/>
      <c r="Y38" s="40" t="n"/>
      <c r="Z38" s="40" t="n"/>
      <c r="AA38" s="39" t="n"/>
    </row>
    <row r="39">
      <c r="A39" s="7" t="n"/>
      <c r="B39" s="7" t="n"/>
      <c r="C39" s="39" t="n"/>
      <c r="D39" s="39" t="n"/>
      <c r="E39" s="7" t="n"/>
      <c r="F39" s="7" t="n"/>
      <c r="G39" s="7" t="n"/>
      <c r="H39" s="39" t="n"/>
      <c r="I39" s="39" t="n"/>
      <c r="J39" s="39" t="n"/>
      <c r="K39" s="39" t="n"/>
      <c r="L39" s="39" t="n"/>
      <c r="M39" s="7" t="n"/>
      <c r="N39" s="7" t="n"/>
      <c r="O39" s="40" t="n"/>
      <c r="P39" s="40" t="n"/>
      <c r="Q39" s="40" t="n"/>
      <c r="R39" s="40" t="n"/>
      <c r="S39" s="40" t="n"/>
      <c r="T39" s="40" t="n"/>
      <c r="U39" s="40" t="n"/>
      <c r="V39" s="40" t="n"/>
      <c r="W39" s="40" t="n"/>
      <c r="X39" s="40" t="n"/>
      <c r="Y39" s="40" t="n"/>
      <c r="Z39" s="40" t="n"/>
      <c r="AA39" s="39" t="n"/>
    </row>
    <row r="40">
      <c r="A40" s="7" t="n"/>
      <c r="B40" s="7" t="n"/>
      <c r="C40" s="39" t="n"/>
      <c r="D40" s="39" t="n"/>
      <c r="E40" s="7" t="n"/>
      <c r="F40" s="7" t="n"/>
      <c r="G40" s="7" t="n"/>
      <c r="H40" s="39" t="n"/>
      <c r="I40" s="39" t="n"/>
      <c r="J40" s="39" t="n"/>
      <c r="K40" s="39" t="n"/>
      <c r="L40" s="39" t="n"/>
      <c r="M40" s="7" t="n"/>
      <c r="N40" s="7" t="n"/>
      <c r="O40" s="40" t="n"/>
      <c r="P40" s="40" t="n"/>
      <c r="Q40" s="40" t="n"/>
      <c r="R40" s="40" t="n"/>
      <c r="S40" s="40" t="n"/>
      <c r="T40" s="40" t="n"/>
      <c r="U40" s="40" t="n"/>
      <c r="V40" s="40" t="n"/>
      <c r="W40" s="40" t="n"/>
      <c r="X40" s="40" t="n"/>
      <c r="Y40" s="40" t="n"/>
      <c r="Z40" s="40" t="n"/>
      <c r="AA40" s="39" t="n"/>
    </row>
    <row r="41">
      <c r="A41" s="7" t="n"/>
      <c r="B41" s="7" t="n"/>
      <c r="C41" s="39" t="n"/>
      <c r="D41" s="39" t="n"/>
      <c r="E41" s="7" t="n"/>
      <c r="F41" s="7" t="n"/>
      <c r="G41" s="7" t="n"/>
      <c r="H41" s="39" t="n"/>
      <c r="I41" s="39" t="n"/>
      <c r="J41" s="39" t="n"/>
      <c r="K41" s="39" t="n"/>
      <c r="L41" s="39" t="n"/>
      <c r="M41" s="7" t="n"/>
      <c r="N41" s="7" t="n"/>
      <c r="O41" s="40" t="n"/>
      <c r="P41" s="40" t="n"/>
      <c r="Q41" s="40" t="n"/>
      <c r="R41" s="40" t="n"/>
      <c r="S41" s="40" t="n"/>
      <c r="T41" s="40" t="n"/>
      <c r="U41" s="40" t="n"/>
      <c r="V41" s="40" t="n"/>
      <c r="W41" s="40" t="n"/>
      <c r="X41" s="40" t="n"/>
      <c r="Y41" s="40" t="n"/>
      <c r="Z41" s="40" t="n"/>
      <c r="AA41" s="39" t="n"/>
    </row>
    <row r="42">
      <c r="A42" s="7" t="n"/>
      <c r="B42" s="7" t="n"/>
      <c r="C42" s="39" t="n"/>
      <c r="D42" s="39" t="n"/>
      <c r="E42" s="7" t="n"/>
      <c r="F42" s="7" t="n"/>
      <c r="G42" s="7" t="n"/>
      <c r="H42" s="39" t="n"/>
      <c r="I42" s="39" t="n"/>
      <c r="J42" s="39" t="n"/>
      <c r="K42" s="39" t="n"/>
      <c r="L42" s="39" t="n"/>
      <c r="M42" s="7" t="n"/>
      <c r="N42" s="7" t="n"/>
      <c r="O42" s="40" t="n"/>
      <c r="P42" s="40" t="n"/>
      <c r="Q42" s="40" t="n"/>
      <c r="R42" s="40" t="n"/>
      <c r="S42" s="40" t="n"/>
      <c r="T42" s="40" t="n"/>
      <c r="U42" s="40" t="n"/>
      <c r="V42" s="40" t="n"/>
      <c r="W42" s="40" t="n"/>
      <c r="X42" s="40" t="n"/>
      <c r="Y42" s="40" t="n"/>
      <c r="Z42" s="40" t="n"/>
      <c r="AA42" s="39" t="n"/>
    </row>
    <row r="43">
      <c r="A43" s="7" t="n"/>
      <c r="B43" s="7" t="n"/>
      <c r="C43" s="39" t="n"/>
      <c r="D43" s="39" t="n"/>
      <c r="E43" s="7" t="n"/>
      <c r="F43" s="7" t="n"/>
      <c r="G43" s="7" t="n"/>
      <c r="H43" s="39" t="n"/>
      <c r="I43" s="39" t="n"/>
      <c r="J43" s="39" t="n"/>
      <c r="K43" s="39" t="n"/>
      <c r="L43" s="39" t="n"/>
      <c r="M43" s="7" t="n"/>
      <c r="N43" s="7" t="n"/>
      <c r="O43" s="40" t="n"/>
      <c r="P43" s="40" t="n"/>
      <c r="Q43" s="40" t="n"/>
      <c r="R43" s="40" t="n"/>
      <c r="S43" s="40" t="n"/>
      <c r="T43" s="40" t="n"/>
      <c r="U43" s="40" t="n"/>
      <c r="V43" s="40" t="n"/>
      <c r="W43" s="40" t="n"/>
      <c r="X43" s="40" t="n"/>
      <c r="Y43" s="40" t="n"/>
      <c r="Z43" s="40" t="n"/>
      <c r="AA43" s="39" t="n"/>
    </row>
    <row r="44">
      <c r="A44" s="7" t="n"/>
      <c r="B44" s="7" t="n"/>
      <c r="C44" s="39" t="n"/>
      <c r="D44" s="39" t="n"/>
      <c r="E44" s="7" t="n"/>
      <c r="F44" s="7" t="n"/>
      <c r="G44" s="7" t="n"/>
      <c r="H44" s="39" t="n"/>
      <c r="I44" s="39" t="n"/>
      <c r="J44" s="39" t="n"/>
      <c r="K44" s="39" t="n"/>
      <c r="L44" s="39" t="n"/>
      <c r="M44" s="7" t="n"/>
      <c r="N44" s="7" t="n"/>
      <c r="O44" s="40" t="n"/>
      <c r="P44" s="40" t="n"/>
      <c r="Q44" s="40" t="n"/>
      <c r="R44" s="40" t="n"/>
      <c r="S44" s="40" t="n"/>
      <c r="T44" s="40" t="n"/>
      <c r="U44" s="40" t="n"/>
      <c r="V44" s="40" t="n"/>
      <c r="W44" s="40" t="n"/>
      <c r="X44" s="40" t="n"/>
      <c r="Y44" s="40" t="n"/>
      <c r="Z44" s="40" t="n"/>
      <c r="AA44" s="39" t="n"/>
    </row>
    <row r="45">
      <c r="A45" s="7" t="n"/>
      <c r="B45" s="7" t="n"/>
      <c r="C45" s="39" t="n"/>
      <c r="D45" s="39" t="n"/>
      <c r="E45" s="7" t="n"/>
      <c r="F45" s="7" t="n"/>
      <c r="G45" s="7" t="n"/>
      <c r="H45" s="39" t="n"/>
      <c r="I45" s="39" t="n"/>
      <c r="J45" s="39" t="n"/>
      <c r="K45" s="39" t="n"/>
      <c r="L45" s="39" t="n"/>
      <c r="M45" s="7" t="n"/>
      <c r="N45" s="7" t="n"/>
      <c r="O45" s="40" t="n"/>
      <c r="P45" s="40" t="n"/>
      <c r="Q45" s="40" t="n"/>
      <c r="R45" s="40" t="n"/>
      <c r="S45" s="40" t="n"/>
      <c r="T45" s="40" t="n"/>
      <c r="U45" s="40" t="n"/>
      <c r="V45" s="40" t="n"/>
      <c r="W45" s="40" t="n"/>
      <c r="X45" s="40" t="n"/>
      <c r="Y45" s="40" t="n"/>
      <c r="Z45" s="40" t="n"/>
      <c r="AA45" s="39" t="n"/>
    </row>
    <row r="46">
      <c r="A46" s="7" t="n"/>
      <c r="B46" s="7" t="n"/>
      <c r="C46" s="39" t="n"/>
      <c r="D46" s="39" t="n"/>
      <c r="E46" s="7" t="n"/>
      <c r="F46" s="7" t="n"/>
      <c r="G46" s="7" t="n"/>
      <c r="H46" s="39" t="n"/>
      <c r="I46" s="39" t="n"/>
      <c r="J46" s="39" t="n"/>
      <c r="K46" s="39" t="n"/>
      <c r="L46" s="39" t="n"/>
      <c r="M46" s="7" t="n"/>
      <c r="N46" s="7" t="n"/>
      <c r="O46" s="40" t="n"/>
      <c r="P46" s="40" t="n"/>
      <c r="Q46" s="40" t="n"/>
      <c r="R46" s="40" t="n"/>
      <c r="S46" s="40" t="n"/>
      <c r="T46" s="40" t="n"/>
      <c r="U46" s="40" t="n"/>
      <c r="V46" s="40" t="n"/>
      <c r="W46" s="40" t="n"/>
      <c r="X46" s="40" t="n"/>
      <c r="Y46" s="40" t="n"/>
      <c r="Z46" s="40" t="n"/>
      <c r="AA46" s="39" t="n"/>
    </row>
    <row r="47">
      <c r="A47" s="7" t="n"/>
      <c r="B47" s="7" t="n"/>
      <c r="C47" s="39" t="n"/>
      <c r="D47" s="39" t="n"/>
      <c r="E47" s="7" t="n"/>
      <c r="F47" s="7" t="n"/>
      <c r="G47" s="7" t="n"/>
      <c r="H47" s="39" t="n"/>
      <c r="I47" s="39" t="n"/>
      <c r="J47" s="39" t="n"/>
      <c r="K47" s="39" t="n"/>
      <c r="L47" s="39" t="n"/>
      <c r="M47" s="7" t="n"/>
      <c r="N47" s="7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40" t="n"/>
      <c r="X47" s="40" t="n"/>
      <c r="Y47" s="40" t="n"/>
      <c r="Z47" s="40" t="n"/>
      <c r="AA47" s="39" t="n"/>
    </row>
    <row r="48">
      <c r="A48" s="7" t="n"/>
      <c r="B48" s="7" t="n"/>
      <c r="C48" s="39" t="n"/>
      <c r="D48" s="39" t="n"/>
      <c r="E48" s="7" t="n"/>
      <c r="F48" s="7" t="n"/>
      <c r="G48" s="7" t="n"/>
      <c r="H48" s="39" t="n"/>
      <c r="I48" s="39" t="n"/>
      <c r="J48" s="39" t="n"/>
      <c r="K48" s="39" t="n"/>
      <c r="L48" s="39" t="n"/>
      <c r="M48" s="7" t="n"/>
      <c r="N48" s="7" t="n"/>
      <c r="O48" s="40" t="n"/>
      <c r="P48" s="40" t="n"/>
      <c r="Q48" s="40" t="n"/>
      <c r="R48" s="40" t="n"/>
      <c r="S48" s="40" t="n"/>
      <c r="T48" s="40" t="n"/>
      <c r="U48" s="40" t="n"/>
      <c r="V48" s="40" t="n"/>
      <c r="W48" s="40" t="n"/>
      <c r="X48" s="40" t="n"/>
      <c r="Y48" s="40" t="n"/>
      <c r="Z48" s="40" t="n"/>
      <c r="AA48" s="39" t="n"/>
    </row>
    <row r="49">
      <c r="A49" s="7" t="n"/>
      <c r="B49" s="7" t="n"/>
      <c r="C49" s="39" t="n"/>
      <c r="D49" s="39" t="n"/>
      <c r="E49" s="7" t="n"/>
      <c r="F49" s="7" t="n"/>
      <c r="G49" s="7" t="n"/>
      <c r="H49" s="39" t="n"/>
      <c r="I49" s="39" t="n"/>
      <c r="J49" s="39" t="n"/>
      <c r="K49" s="39" t="n"/>
      <c r="L49" s="39" t="n"/>
      <c r="M49" s="7" t="n"/>
      <c r="N49" s="7" t="n"/>
      <c r="O49" s="40" t="n"/>
      <c r="P49" s="40" t="n"/>
      <c r="Q49" s="40" t="n"/>
      <c r="R49" s="40" t="n"/>
      <c r="S49" s="40" t="n"/>
      <c r="T49" s="40" t="n"/>
      <c r="U49" s="40" t="n"/>
      <c r="V49" s="40" t="n"/>
      <c r="W49" s="40" t="n"/>
      <c r="X49" s="40" t="n"/>
      <c r="Y49" s="40" t="n"/>
      <c r="Z49" s="40" t="n"/>
      <c r="AA49" s="39" t="n"/>
    </row>
    <row r="50">
      <c r="A50" s="7" t="n"/>
      <c r="B50" s="7" t="n"/>
      <c r="C50" s="39" t="n"/>
      <c r="D50" s="39" t="n"/>
      <c r="E50" s="7" t="n"/>
      <c r="F50" s="7" t="n"/>
      <c r="G50" s="7" t="n"/>
      <c r="H50" s="39" t="n"/>
      <c r="I50" s="39" t="n"/>
      <c r="J50" s="39" t="n"/>
      <c r="K50" s="39" t="n"/>
      <c r="L50" s="39" t="n"/>
      <c r="M50" s="7" t="n"/>
      <c r="N50" s="7" t="n"/>
      <c r="O50" s="40" t="n"/>
      <c r="P50" s="40" t="n"/>
      <c r="Q50" s="40" t="n"/>
      <c r="R50" s="40" t="n"/>
      <c r="S50" s="40" t="n"/>
      <c r="T50" s="40" t="n"/>
      <c r="U50" s="40" t="n"/>
      <c r="V50" s="40" t="n"/>
      <c r="W50" s="40" t="n"/>
      <c r="X50" s="40" t="n"/>
      <c r="Y50" s="40" t="n"/>
      <c r="Z50" s="40" t="n"/>
      <c r="AA50" s="39" t="n"/>
    </row>
    <row r="51">
      <c r="A51" s="7" t="n"/>
      <c r="B51" s="7" t="n"/>
      <c r="C51" s="39" t="n"/>
      <c r="D51" s="39" t="n"/>
      <c r="E51" s="7" t="n"/>
      <c r="F51" s="7" t="n"/>
      <c r="G51" s="7" t="n"/>
      <c r="H51" s="39" t="n"/>
      <c r="I51" s="39" t="n"/>
      <c r="J51" s="39" t="n"/>
      <c r="K51" s="39" t="n"/>
      <c r="L51" s="39" t="n"/>
      <c r="M51" s="7" t="n"/>
      <c r="N51" s="7" t="n"/>
      <c r="O51" s="40" t="n"/>
      <c r="P51" s="40" t="n"/>
      <c r="Q51" s="40" t="n"/>
      <c r="R51" s="40" t="n"/>
      <c r="S51" s="40" t="n"/>
      <c r="T51" s="40" t="n"/>
      <c r="U51" s="40" t="n"/>
      <c r="V51" s="40" t="n"/>
      <c r="W51" s="40" t="n"/>
      <c r="X51" s="40" t="n"/>
      <c r="Y51" s="40" t="n"/>
      <c r="Z51" s="40" t="n"/>
      <c r="AA51" s="39" t="n"/>
    </row>
    <row r="52">
      <c r="A52" s="7" t="n"/>
      <c r="B52" s="7" t="n"/>
      <c r="C52" s="39" t="n"/>
      <c r="D52" s="39" t="n"/>
      <c r="E52" s="7" t="n"/>
      <c r="F52" s="7" t="n"/>
      <c r="G52" s="7" t="n"/>
      <c r="H52" s="39" t="n"/>
      <c r="I52" s="39" t="n"/>
      <c r="J52" s="39" t="n"/>
      <c r="K52" s="39" t="n"/>
      <c r="L52" s="39" t="n"/>
      <c r="M52" s="7" t="n"/>
      <c r="N52" s="7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40" t="n"/>
      <c r="X52" s="40" t="n"/>
      <c r="Y52" s="40" t="n"/>
      <c r="Z52" s="40" t="n"/>
      <c r="AA52" s="39" t="n"/>
    </row>
    <row r="53">
      <c r="A53" s="7" t="n"/>
      <c r="B53" s="7" t="n"/>
      <c r="C53" s="39" t="n"/>
      <c r="D53" s="39" t="n"/>
      <c r="E53" s="7" t="n"/>
      <c r="F53" s="7" t="n"/>
      <c r="G53" s="7" t="n"/>
      <c r="H53" s="39" t="n"/>
      <c r="I53" s="39" t="n"/>
      <c r="J53" s="39" t="n"/>
      <c r="K53" s="39" t="n"/>
      <c r="L53" s="39" t="n"/>
      <c r="M53" s="7" t="n"/>
      <c r="N53" s="7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40" t="n"/>
      <c r="X53" s="40" t="n"/>
      <c r="Y53" s="40" t="n"/>
      <c r="Z53" s="40" t="n"/>
      <c r="AA53" s="39" t="n"/>
    </row>
    <row r="54">
      <c r="A54" s="7" t="n"/>
      <c r="B54" s="7" t="n"/>
      <c r="C54" s="39" t="n"/>
      <c r="D54" s="39" t="n"/>
      <c r="E54" s="7" t="n"/>
      <c r="F54" s="7" t="n"/>
      <c r="G54" s="7" t="n"/>
      <c r="H54" s="39" t="n"/>
      <c r="I54" s="39" t="n"/>
      <c r="J54" s="39" t="n"/>
      <c r="K54" s="39" t="n"/>
      <c r="L54" s="39" t="n"/>
      <c r="M54" s="7" t="n"/>
      <c r="N54" s="7" t="n"/>
      <c r="O54" s="40" t="n"/>
      <c r="P54" s="40" t="n"/>
      <c r="Q54" s="40" t="n"/>
      <c r="R54" s="40" t="n"/>
      <c r="S54" s="40" t="n"/>
      <c r="T54" s="40" t="n"/>
      <c r="U54" s="40" t="n"/>
      <c r="V54" s="40" t="n"/>
      <c r="W54" s="40" t="n"/>
      <c r="X54" s="40" t="n"/>
      <c r="Y54" s="40" t="n"/>
      <c r="Z54" s="40" t="n"/>
      <c r="AA54" s="39" t="n"/>
    </row>
    <row r="55">
      <c r="A55" s="7" t="n"/>
      <c r="B55" s="7" t="n"/>
      <c r="C55" s="39" t="n"/>
      <c r="D55" s="39" t="n"/>
      <c r="E55" s="7" t="n"/>
      <c r="F55" s="7" t="n"/>
      <c r="G55" s="7" t="n"/>
      <c r="H55" s="39" t="n"/>
      <c r="I55" s="39" t="n"/>
      <c r="J55" s="39" t="n"/>
      <c r="K55" s="39" t="n"/>
      <c r="L55" s="39" t="n"/>
      <c r="M55" s="7" t="n"/>
      <c r="N55" s="7" t="n"/>
      <c r="O55" s="40" t="n"/>
      <c r="P55" s="40" t="n"/>
      <c r="Q55" s="40" t="n"/>
      <c r="R55" s="40" t="n"/>
      <c r="S55" s="40" t="n"/>
      <c r="T55" s="40" t="n"/>
      <c r="U55" s="40" t="n"/>
      <c r="V55" s="40" t="n"/>
      <c r="W55" s="40" t="n"/>
      <c r="X55" s="40" t="n"/>
      <c r="Y55" s="40" t="n"/>
      <c r="Z55" s="40" t="n"/>
      <c r="AA55" s="39" t="n"/>
    </row>
    <row r="56">
      <c r="A56" s="7" t="n"/>
      <c r="B56" s="7" t="n"/>
      <c r="C56" s="39" t="n"/>
      <c r="D56" s="39" t="n"/>
      <c r="E56" s="7" t="n"/>
      <c r="F56" s="7" t="n"/>
      <c r="G56" s="7" t="n"/>
      <c r="H56" s="39" t="n"/>
      <c r="I56" s="39" t="n"/>
      <c r="J56" s="39" t="n"/>
      <c r="K56" s="39" t="n"/>
      <c r="L56" s="39" t="n"/>
      <c r="M56" s="7" t="n"/>
      <c r="N56" s="7" t="n"/>
      <c r="O56" s="40" t="n"/>
      <c r="P56" s="40" t="n"/>
      <c r="Q56" s="40" t="n"/>
      <c r="R56" s="40" t="n"/>
      <c r="S56" s="40" t="n"/>
      <c r="T56" s="40" t="n"/>
      <c r="U56" s="40" t="n"/>
      <c r="V56" s="40" t="n"/>
      <c r="W56" s="40" t="n"/>
      <c r="X56" s="40" t="n"/>
      <c r="Y56" s="40" t="n"/>
      <c r="Z56" s="40" t="n"/>
      <c r="AA56" s="39" t="n"/>
    </row>
    <row r="57">
      <c r="A57" s="7" t="n"/>
      <c r="B57" s="7" t="n"/>
      <c r="C57" s="39" t="n"/>
      <c r="D57" s="39" t="n"/>
      <c r="E57" s="7" t="n"/>
      <c r="F57" s="7" t="n"/>
      <c r="G57" s="7" t="n"/>
      <c r="H57" s="39" t="n"/>
      <c r="I57" s="39" t="n"/>
      <c r="J57" s="39" t="n"/>
      <c r="K57" s="39" t="n"/>
      <c r="L57" s="39" t="n"/>
      <c r="M57" s="7" t="n"/>
      <c r="N57" s="7" t="n"/>
      <c r="O57" s="40" t="n"/>
      <c r="P57" s="40" t="n"/>
      <c r="Q57" s="40" t="n"/>
      <c r="R57" s="40" t="n"/>
      <c r="S57" s="40" t="n"/>
      <c r="T57" s="40" t="n"/>
      <c r="U57" s="40" t="n"/>
      <c r="V57" s="40" t="n"/>
      <c r="W57" s="40" t="n"/>
      <c r="X57" s="40" t="n"/>
      <c r="Y57" s="40" t="n"/>
      <c r="Z57" s="40" t="n"/>
      <c r="AA57" s="39" t="n"/>
    </row>
    <row r="58">
      <c r="A58" s="7" t="n"/>
      <c r="B58" s="7" t="n"/>
      <c r="C58" s="39" t="n"/>
      <c r="D58" s="39" t="n"/>
      <c r="E58" s="7" t="n"/>
      <c r="F58" s="7" t="n"/>
      <c r="G58" s="7" t="n"/>
      <c r="H58" s="39" t="n"/>
      <c r="I58" s="39" t="n"/>
      <c r="J58" s="39" t="n"/>
      <c r="K58" s="39" t="n"/>
      <c r="L58" s="39" t="n"/>
      <c r="M58" s="7" t="n"/>
      <c r="N58" s="7" t="n"/>
      <c r="O58" s="40" t="n"/>
      <c r="P58" s="40" t="n"/>
      <c r="Q58" s="40" t="n"/>
      <c r="R58" s="40" t="n"/>
      <c r="S58" s="40" t="n"/>
      <c r="T58" s="40" t="n"/>
      <c r="U58" s="40" t="n"/>
      <c r="V58" s="40" t="n"/>
      <c r="W58" s="40" t="n"/>
      <c r="X58" s="40" t="n"/>
      <c r="Y58" s="40" t="n"/>
      <c r="Z58" s="40" t="n"/>
      <c r="AA58" s="39" t="n"/>
    </row>
    <row r="59">
      <c r="A59" s="7" t="n"/>
      <c r="B59" s="7" t="n"/>
      <c r="C59" s="39" t="n"/>
      <c r="D59" s="39" t="n"/>
      <c r="E59" s="7" t="n"/>
      <c r="F59" s="7" t="n"/>
      <c r="G59" s="7" t="n"/>
      <c r="H59" s="39" t="n"/>
      <c r="I59" s="39" t="n"/>
      <c r="J59" s="39" t="n"/>
      <c r="K59" s="39" t="n"/>
      <c r="L59" s="39" t="n"/>
      <c r="M59" s="7" t="n"/>
      <c r="N59" s="7" t="n"/>
      <c r="O59" s="40" t="n"/>
      <c r="P59" s="40" t="n"/>
      <c r="Q59" s="40" t="n"/>
      <c r="R59" s="40" t="n"/>
      <c r="S59" s="40" t="n"/>
      <c r="T59" s="40" t="n"/>
      <c r="U59" s="40" t="n"/>
      <c r="V59" s="40" t="n"/>
      <c r="W59" s="40" t="n"/>
      <c r="X59" s="40" t="n"/>
      <c r="Y59" s="40" t="n"/>
      <c r="Z59" s="40" t="n"/>
      <c r="AA59" s="39" t="n"/>
    </row>
    <row r="60">
      <c r="A60" s="7" t="n"/>
      <c r="B60" s="7" t="n"/>
      <c r="C60" s="39" t="n"/>
      <c r="D60" s="39" t="n"/>
      <c r="E60" s="7" t="n"/>
      <c r="F60" s="7" t="n"/>
      <c r="G60" s="7" t="n"/>
      <c r="H60" s="39" t="n"/>
      <c r="I60" s="39" t="n"/>
      <c r="J60" s="39" t="n"/>
      <c r="K60" s="39" t="n"/>
      <c r="L60" s="39" t="n"/>
      <c r="M60" s="7" t="n"/>
      <c r="N60" s="7" t="n"/>
      <c r="O60" s="40" t="n"/>
      <c r="P60" s="40" t="n"/>
      <c r="Q60" s="40" t="n"/>
      <c r="R60" s="40" t="n"/>
      <c r="S60" s="40" t="n"/>
      <c r="T60" s="40" t="n"/>
      <c r="U60" s="40" t="n"/>
      <c r="V60" s="40" t="n"/>
      <c r="W60" s="40" t="n"/>
      <c r="X60" s="40" t="n"/>
      <c r="Y60" s="40" t="n"/>
      <c r="Z60" s="40" t="n"/>
      <c r="AA60" s="39" t="n"/>
    </row>
    <row r="61">
      <c r="A61" s="7" t="n"/>
      <c r="B61" s="7" t="n"/>
      <c r="C61" s="39" t="n"/>
      <c r="D61" s="39" t="n"/>
      <c r="E61" s="7" t="n"/>
      <c r="F61" s="7" t="n"/>
      <c r="G61" s="7" t="n"/>
      <c r="H61" s="39" t="n"/>
      <c r="I61" s="39" t="n"/>
      <c r="J61" s="39" t="n"/>
      <c r="K61" s="39" t="n"/>
      <c r="L61" s="39" t="n"/>
      <c r="M61" s="7" t="n"/>
      <c r="N61" s="7" t="n"/>
      <c r="O61" s="40" t="n"/>
      <c r="P61" s="40" t="n"/>
      <c r="Q61" s="40" t="n"/>
      <c r="R61" s="40" t="n"/>
      <c r="S61" s="40" t="n"/>
      <c r="T61" s="40" t="n"/>
      <c r="U61" s="40" t="n"/>
      <c r="V61" s="40" t="n"/>
      <c r="W61" s="40" t="n"/>
      <c r="X61" s="40" t="n"/>
      <c r="Y61" s="40" t="n"/>
      <c r="Z61" s="40" t="n"/>
      <c r="AA61" s="39" t="n"/>
    </row>
    <row r="62">
      <c r="A62" s="7" t="n"/>
      <c r="B62" s="7" t="n"/>
      <c r="C62" s="39" t="n"/>
      <c r="D62" s="39" t="n"/>
      <c r="E62" s="7" t="n"/>
      <c r="F62" s="7" t="n"/>
      <c r="G62" s="7" t="n"/>
      <c r="H62" s="39" t="n"/>
      <c r="I62" s="39" t="n"/>
      <c r="J62" s="39" t="n"/>
      <c r="K62" s="39" t="n"/>
      <c r="L62" s="39" t="n"/>
      <c r="M62" s="7" t="n"/>
      <c r="N62" s="7" t="n"/>
      <c r="O62" s="40" t="n"/>
      <c r="P62" s="40" t="n"/>
      <c r="Q62" s="40" t="n"/>
      <c r="R62" s="40" t="n"/>
      <c r="S62" s="40" t="n"/>
      <c r="T62" s="40" t="n"/>
      <c r="U62" s="40" t="n"/>
      <c r="V62" s="40" t="n"/>
      <c r="W62" s="40" t="n"/>
      <c r="X62" s="40" t="n"/>
      <c r="Y62" s="40" t="n"/>
      <c r="Z62" s="40" t="n"/>
      <c r="AA62" s="39" t="n"/>
    </row>
    <row r="63">
      <c r="A63" s="7" t="n"/>
      <c r="B63" s="7" t="n"/>
      <c r="C63" s="39" t="n"/>
      <c r="D63" s="39" t="n"/>
      <c r="E63" s="7" t="n"/>
      <c r="F63" s="7" t="n"/>
      <c r="G63" s="7" t="n"/>
      <c r="H63" s="39" t="n"/>
      <c r="I63" s="39" t="n"/>
      <c r="J63" s="39" t="n"/>
      <c r="K63" s="39" t="n"/>
      <c r="L63" s="39" t="n"/>
      <c r="M63" s="7" t="n"/>
      <c r="N63" s="7" t="n"/>
      <c r="O63" s="40" t="n"/>
      <c r="P63" s="40" t="n"/>
      <c r="Q63" s="40" t="n"/>
      <c r="R63" s="40" t="n"/>
      <c r="S63" s="40" t="n"/>
      <c r="T63" s="40" t="n"/>
      <c r="U63" s="40" t="n"/>
      <c r="V63" s="40" t="n"/>
      <c r="W63" s="40" t="n"/>
      <c r="X63" s="40" t="n"/>
      <c r="Y63" s="40" t="n"/>
      <c r="Z63" s="40" t="n"/>
      <c r="AA63" s="39" t="n"/>
    </row>
    <row r="64">
      <c r="A64" s="7" t="n"/>
      <c r="B64" s="7" t="n"/>
      <c r="C64" s="39" t="n"/>
      <c r="D64" s="39" t="n"/>
      <c r="E64" s="7" t="n"/>
      <c r="F64" s="7" t="n"/>
      <c r="G64" s="7" t="n"/>
      <c r="H64" s="39" t="n"/>
      <c r="I64" s="39" t="n"/>
      <c r="J64" s="39" t="n"/>
      <c r="K64" s="39" t="n"/>
      <c r="L64" s="39" t="n"/>
      <c r="M64" s="7" t="n"/>
      <c r="N64" s="7" t="n"/>
      <c r="O64" s="40" t="n"/>
      <c r="P64" s="40" t="n"/>
      <c r="Q64" s="40" t="n"/>
      <c r="R64" s="40" t="n"/>
      <c r="S64" s="40" t="n"/>
      <c r="T64" s="40" t="n"/>
      <c r="U64" s="40" t="n"/>
      <c r="V64" s="40" t="n"/>
      <c r="W64" s="40" t="n"/>
      <c r="X64" s="40" t="n"/>
      <c r="Y64" s="40" t="n"/>
      <c r="Z64" s="40" t="n"/>
      <c r="AA64" s="39" t="n"/>
    </row>
    <row r="65">
      <c r="A65" s="7" t="n"/>
      <c r="B65" s="7" t="n"/>
      <c r="C65" s="39" t="n"/>
      <c r="D65" s="39" t="n"/>
      <c r="E65" s="7" t="n"/>
      <c r="F65" s="7" t="n"/>
      <c r="G65" s="7" t="n"/>
      <c r="H65" s="39" t="n"/>
      <c r="I65" s="39" t="n"/>
      <c r="J65" s="39" t="n"/>
      <c r="K65" s="39" t="n"/>
      <c r="L65" s="39" t="n"/>
      <c r="M65" s="7" t="n"/>
      <c r="N65" s="7" t="n"/>
      <c r="O65" s="40" t="n"/>
      <c r="P65" s="40" t="n"/>
      <c r="Q65" s="40" t="n"/>
      <c r="R65" s="40" t="n"/>
      <c r="S65" s="40" t="n"/>
      <c r="T65" s="40" t="n"/>
      <c r="U65" s="40" t="n"/>
      <c r="V65" s="40" t="n"/>
      <c r="W65" s="40" t="n"/>
      <c r="X65" s="40" t="n"/>
      <c r="Y65" s="40" t="n"/>
      <c r="Z65" s="40" t="n"/>
      <c r="AA65" s="39" t="n"/>
    </row>
    <row r="66">
      <c r="A66" s="7" t="n"/>
      <c r="B66" s="7" t="n"/>
      <c r="C66" s="39" t="n"/>
      <c r="D66" s="39" t="n"/>
      <c r="E66" s="7" t="n"/>
      <c r="F66" s="7" t="n"/>
      <c r="G66" s="7" t="n"/>
      <c r="H66" s="39" t="n"/>
      <c r="I66" s="39" t="n"/>
      <c r="J66" s="39" t="n"/>
      <c r="K66" s="39" t="n"/>
      <c r="L66" s="39" t="n"/>
      <c r="M66" s="7" t="n"/>
      <c r="N66" s="7" t="n"/>
      <c r="O66" s="40" t="n"/>
      <c r="P66" s="40" t="n"/>
      <c r="Q66" s="40" t="n"/>
      <c r="R66" s="40" t="n"/>
      <c r="S66" s="40" t="n"/>
      <c r="T66" s="40" t="n"/>
      <c r="U66" s="40" t="n"/>
      <c r="V66" s="40" t="n"/>
      <c r="W66" s="40" t="n"/>
      <c r="X66" s="40" t="n"/>
      <c r="Y66" s="40" t="n"/>
      <c r="Z66" s="40" t="n"/>
      <c r="AA66" s="39" t="n"/>
    </row>
    <row r="67">
      <c r="A67" s="7" t="n"/>
      <c r="B67" s="7" t="n"/>
      <c r="C67" s="39" t="n"/>
      <c r="D67" s="39" t="n"/>
      <c r="E67" s="7" t="n"/>
      <c r="F67" s="7" t="n"/>
      <c r="G67" s="7" t="n"/>
      <c r="H67" s="39" t="n"/>
      <c r="I67" s="39" t="n"/>
      <c r="J67" s="39" t="n"/>
      <c r="K67" s="39" t="n"/>
      <c r="L67" s="39" t="n"/>
      <c r="M67" s="7" t="n"/>
      <c r="N67" s="7" t="n"/>
      <c r="O67" s="40" t="n"/>
      <c r="P67" s="40" t="n"/>
      <c r="Q67" s="40" t="n"/>
      <c r="R67" s="40" t="n"/>
      <c r="S67" s="40" t="n"/>
      <c r="T67" s="40" t="n"/>
      <c r="U67" s="40" t="n"/>
      <c r="V67" s="40" t="n"/>
      <c r="W67" s="40" t="n"/>
      <c r="X67" s="40" t="n"/>
      <c r="Y67" s="40" t="n"/>
      <c r="Z67" s="40" t="n"/>
      <c r="AA67" s="39" t="n"/>
    </row>
    <row r="68">
      <c r="A68" s="7" t="n"/>
      <c r="B68" s="7" t="n"/>
      <c r="C68" s="39" t="n"/>
      <c r="D68" s="39" t="n"/>
      <c r="E68" s="7" t="n"/>
      <c r="F68" s="7" t="n"/>
      <c r="G68" s="7" t="n"/>
      <c r="H68" s="39" t="n"/>
      <c r="I68" s="39" t="n"/>
      <c r="J68" s="39" t="n"/>
      <c r="K68" s="39" t="n"/>
      <c r="L68" s="39" t="n"/>
      <c r="M68" s="7" t="n"/>
      <c r="N68" s="7" t="n"/>
      <c r="O68" s="40" t="n"/>
      <c r="P68" s="40" t="n"/>
      <c r="Q68" s="40" t="n"/>
      <c r="R68" s="40" t="n"/>
      <c r="S68" s="40" t="n"/>
      <c r="T68" s="40" t="n"/>
      <c r="U68" s="40" t="n"/>
      <c r="V68" s="40" t="n"/>
      <c r="W68" s="40" t="n"/>
      <c r="X68" s="40" t="n"/>
      <c r="Y68" s="40" t="n"/>
      <c r="Z68" s="40" t="n"/>
      <c r="AA68" s="39" t="n"/>
    </row>
    <row r="69">
      <c r="A69" s="7" t="n"/>
      <c r="B69" s="7" t="n"/>
      <c r="C69" s="39" t="n"/>
      <c r="D69" s="39" t="n"/>
      <c r="E69" s="7" t="n"/>
      <c r="F69" s="7" t="n"/>
      <c r="G69" s="7" t="n"/>
      <c r="H69" s="39" t="n"/>
      <c r="I69" s="39" t="n"/>
      <c r="J69" s="39" t="n"/>
      <c r="K69" s="39" t="n"/>
      <c r="L69" s="39" t="n"/>
      <c r="M69" s="7" t="n"/>
      <c r="N69" s="7" t="n"/>
      <c r="O69" s="40" t="n"/>
      <c r="P69" s="40" t="n"/>
      <c r="Q69" s="40" t="n"/>
      <c r="R69" s="40" t="n"/>
      <c r="S69" s="40" t="n"/>
      <c r="T69" s="40" t="n"/>
      <c r="U69" s="40" t="n"/>
      <c r="V69" s="40" t="n"/>
      <c r="W69" s="40" t="n"/>
      <c r="X69" s="40" t="n"/>
      <c r="Y69" s="40" t="n"/>
      <c r="Z69" s="40" t="n"/>
      <c r="AA69" s="39" t="n"/>
    </row>
    <row r="70">
      <c r="A70" s="7" t="n"/>
      <c r="B70" s="7" t="n"/>
      <c r="C70" s="39" t="n"/>
      <c r="D70" s="39" t="n"/>
      <c r="E70" s="7" t="n"/>
      <c r="F70" s="7" t="n"/>
      <c r="G70" s="7" t="n"/>
      <c r="H70" s="39" t="n"/>
      <c r="I70" s="39" t="n"/>
      <c r="J70" s="39" t="n"/>
      <c r="K70" s="39" t="n"/>
      <c r="L70" s="39" t="n"/>
      <c r="M70" s="7" t="n"/>
      <c r="N70" s="7" t="n"/>
      <c r="O70" s="40" t="n"/>
      <c r="P70" s="40" t="n"/>
      <c r="Q70" s="40" t="n"/>
      <c r="R70" s="40" t="n"/>
      <c r="S70" s="40" t="n"/>
      <c r="T70" s="40" t="n"/>
      <c r="U70" s="40" t="n"/>
      <c r="V70" s="40" t="n"/>
      <c r="W70" s="40" t="n"/>
      <c r="X70" s="40" t="n"/>
      <c r="Y70" s="40" t="n"/>
      <c r="Z70" s="40" t="n"/>
      <c r="AA70" s="39" t="n"/>
    </row>
    <row r="71">
      <c r="A71" s="7" t="n"/>
      <c r="B71" s="7" t="n"/>
      <c r="C71" s="39" t="n"/>
      <c r="D71" s="39" t="n"/>
      <c r="E71" s="7" t="n"/>
      <c r="F71" s="7" t="n"/>
      <c r="G71" s="7" t="n"/>
      <c r="H71" s="39" t="n"/>
      <c r="I71" s="39" t="n"/>
      <c r="J71" s="39" t="n"/>
      <c r="K71" s="39" t="n"/>
      <c r="L71" s="39" t="n"/>
      <c r="M71" s="7" t="n"/>
      <c r="N71" s="7" t="n"/>
      <c r="O71" s="40" t="n"/>
      <c r="P71" s="40" t="n"/>
      <c r="Q71" s="40" t="n"/>
      <c r="R71" s="40" t="n"/>
      <c r="S71" s="40" t="n"/>
      <c r="T71" s="40" t="n"/>
      <c r="U71" s="40" t="n"/>
      <c r="V71" s="40" t="n"/>
      <c r="W71" s="40" t="n"/>
      <c r="X71" s="40" t="n"/>
      <c r="Y71" s="40" t="n"/>
      <c r="Z71" s="40" t="n"/>
      <c r="AA71" s="39" t="n"/>
    </row>
    <row r="72">
      <c r="A72" s="7" t="n"/>
      <c r="B72" s="7" t="n"/>
      <c r="C72" s="39" t="n"/>
      <c r="D72" s="39" t="n"/>
      <c r="E72" s="7" t="n"/>
      <c r="F72" s="7" t="n"/>
      <c r="G72" s="7" t="n"/>
      <c r="H72" s="39" t="n"/>
      <c r="I72" s="39" t="n"/>
      <c r="J72" s="39" t="n"/>
      <c r="K72" s="39" t="n"/>
      <c r="L72" s="39" t="n"/>
      <c r="M72" s="7" t="n"/>
      <c r="N72" s="7" t="n"/>
      <c r="O72" s="40" t="n"/>
      <c r="P72" s="40" t="n"/>
      <c r="Q72" s="40" t="n"/>
      <c r="R72" s="40" t="n"/>
      <c r="S72" s="40" t="n"/>
      <c r="T72" s="40" t="n"/>
      <c r="U72" s="40" t="n"/>
      <c r="V72" s="40" t="n"/>
      <c r="W72" s="40" t="n"/>
      <c r="X72" s="40" t="n"/>
      <c r="Y72" s="40" t="n"/>
      <c r="Z72" s="40" t="n"/>
      <c r="AA72" s="39" t="n"/>
    </row>
    <row r="73">
      <c r="A73" s="7" t="n"/>
      <c r="B73" s="7" t="n"/>
      <c r="C73" s="39" t="n"/>
      <c r="D73" s="39" t="n"/>
      <c r="E73" s="7" t="n"/>
      <c r="F73" s="7" t="n"/>
      <c r="G73" s="7" t="n"/>
      <c r="H73" s="39" t="n"/>
      <c r="I73" s="39" t="n"/>
      <c r="J73" s="39" t="n"/>
      <c r="K73" s="39" t="n"/>
      <c r="L73" s="39" t="n"/>
      <c r="M73" s="7" t="n"/>
      <c r="N73" s="7" t="n"/>
      <c r="O73" s="40" t="n"/>
      <c r="P73" s="40" t="n"/>
      <c r="Q73" s="40" t="n"/>
      <c r="R73" s="40" t="n"/>
      <c r="S73" s="40" t="n"/>
      <c r="T73" s="40" t="n"/>
      <c r="U73" s="40" t="n"/>
      <c r="V73" s="40" t="n"/>
      <c r="W73" s="40" t="n"/>
      <c r="X73" s="40" t="n"/>
      <c r="Y73" s="40" t="n"/>
      <c r="Z73" s="40" t="n"/>
      <c r="AA73" s="39" t="n"/>
    </row>
    <row r="74">
      <c r="A74" s="7" t="n"/>
      <c r="B74" s="7" t="n"/>
      <c r="C74" s="39" t="n"/>
      <c r="D74" s="39" t="n"/>
      <c r="E74" s="7" t="n"/>
      <c r="F74" s="7" t="n"/>
      <c r="G74" s="7" t="n"/>
      <c r="H74" s="39" t="n"/>
      <c r="I74" s="39" t="n"/>
      <c r="J74" s="39" t="n"/>
      <c r="K74" s="39" t="n"/>
      <c r="L74" s="39" t="n"/>
      <c r="M74" s="7" t="n"/>
      <c r="N74" s="7" t="n"/>
      <c r="O74" s="40" t="n"/>
      <c r="P74" s="40" t="n"/>
      <c r="Q74" s="40" t="n"/>
      <c r="R74" s="40" t="n"/>
      <c r="S74" s="40" t="n"/>
      <c r="T74" s="40" t="n"/>
      <c r="U74" s="40" t="n"/>
      <c r="V74" s="40" t="n"/>
      <c r="W74" s="40" t="n"/>
      <c r="X74" s="40" t="n"/>
      <c r="Y74" s="40" t="n"/>
      <c r="Z74" s="40" t="n"/>
      <c r="AA74" s="39" t="n"/>
    </row>
    <row r="75">
      <c r="A75" s="7" t="n"/>
      <c r="B75" s="7" t="n"/>
      <c r="C75" s="39" t="n"/>
      <c r="D75" s="39" t="n"/>
      <c r="E75" s="7" t="n"/>
      <c r="F75" s="7" t="n"/>
      <c r="G75" s="7" t="n"/>
      <c r="H75" s="39" t="n"/>
      <c r="I75" s="39" t="n"/>
      <c r="J75" s="39" t="n"/>
      <c r="K75" s="39" t="n"/>
      <c r="L75" s="39" t="n"/>
      <c r="M75" s="7" t="n"/>
      <c r="N75" s="7" t="n"/>
      <c r="O75" s="40" t="n"/>
      <c r="P75" s="40" t="n"/>
      <c r="Q75" s="40" t="n"/>
      <c r="R75" s="40" t="n"/>
      <c r="S75" s="40" t="n"/>
      <c r="T75" s="40" t="n"/>
      <c r="U75" s="40" t="n"/>
      <c r="V75" s="40" t="n"/>
      <c r="W75" s="40" t="n"/>
      <c r="X75" s="40" t="n"/>
      <c r="Y75" s="40" t="n"/>
      <c r="Z75" s="40" t="n"/>
      <c r="AA75" s="39" t="n"/>
    </row>
    <row r="76">
      <c r="A76" s="7" t="n"/>
      <c r="B76" s="7" t="n"/>
      <c r="C76" s="39" t="n"/>
      <c r="D76" s="39" t="n"/>
      <c r="E76" s="7" t="n"/>
      <c r="F76" s="7" t="n"/>
      <c r="G76" s="7" t="n"/>
      <c r="H76" s="39" t="n"/>
      <c r="I76" s="39" t="n"/>
      <c r="J76" s="39" t="n"/>
      <c r="K76" s="39" t="n"/>
      <c r="L76" s="39" t="n"/>
      <c r="M76" s="7" t="n"/>
      <c r="N76" s="7" t="n"/>
      <c r="O76" s="40" t="n"/>
      <c r="P76" s="40" t="n"/>
      <c r="Q76" s="40" t="n"/>
      <c r="R76" s="40" t="n"/>
      <c r="S76" s="40" t="n"/>
      <c r="T76" s="40" t="n"/>
      <c r="U76" s="40" t="n"/>
      <c r="V76" s="40" t="n"/>
      <c r="W76" s="40" t="n"/>
      <c r="X76" s="40" t="n"/>
      <c r="Y76" s="40" t="n"/>
      <c r="Z76" s="40" t="n"/>
      <c r="AA76" s="39" t="n"/>
    </row>
    <row r="77">
      <c r="A77" s="7" t="n"/>
      <c r="B77" s="7" t="n"/>
      <c r="C77" s="39" t="n"/>
      <c r="D77" s="39" t="n"/>
      <c r="E77" s="7" t="n"/>
      <c r="F77" s="7" t="n"/>
      <c r="G77" s="7" t="n"/>
      <c r="H77" s="39" t="n"/>
      <c r="I77" s="39" t="n"/>
      <c r="J77" s="39" t="n"/>
      <c r="K77" s="39" t="n"/>
      <c r="L77" s="39" t="n"/>
      <c r="M77" s="7" t="n"/>
      <c r="N77" s="7" t="n"/>
      <c r="O77" s="40" t="n"/>
      <c r="P77" s="40" t="n"/>
      <c r="Q77" s="40" t="n"/>
      <c r="R77" s="40" t="n"/>
      <c r="S77" s="40" t="n"/>
      <c r="T77" s="40" t="n"/>
      <c r="U77" s="40" t="n"/>
      <c r="V77" s="40" t="n"/>
      <c r="W77" s="40" t="n"/>
      <c r="X77" s="40" t="n"/>
      <c r="Y77" s="40" t="n"/>
      <c r="Z77" s="40" t="n"/>
      <c r="AA77" s="39" t="n"/>
    </row>
    <row r="78">
      <c r="A78" s="7" t="n"/>
      <c r="B78" s="7" t="n"/>
      <c r="C78" s="39" t="n"/>
      <c r="D78" s="39" t="n"/>
      <c r="E78" s="7" t="n"/>
      <c r="F78" s="7" t="n"/>
      <c r="G78" s="7" t="n"/>
      <c r="H78" s="39" t="n"/>
      <c r="I78" s="39" t="n"/>
      <c r="J78" s="39" t="n"/>
      <c r="K78" s="39" t="n"/>
      <c r="L78" s="39" t="n"/>
      <c r="M78" s="7" t="n"/>
      <c r="N78" s="7" t="n"/>
      <c r="O78" s="40" t="n"/>
      <c r="P78" s="40" t="n"/>
      <c r="Q78" s="40" t="n"/>
      <c r="R78" s="40" t="n"/>
      <c r="S78" s="40" t="n"/>
      <c r="T78" s="40" t="n"/>
      <c r="U78" s="40" t="n"/>
      <c r="V78" s="40" t="n"/>
      <c r="W78" s="40" t="n"/>
      <c r="X78" s="40" t="n"/>
      <c r="Y78" s="40" t="n"/>
      <c r="Z78" s="40" t="n"/>
      <c r="AA78" s="39" t="n"/>
    </row>
    <row r="79">
      <c r="A79" s="7" t="n"/>
      <c r="B79" s="7" t="n"/>
      <c r="C79" s="39" t="n"/>
      <c r="D79" s="39" t="n"/>
      <c r="E79" s="7" t="n"/>
      <c r="F79" s="7" t="n"/>
      <c r="G79" s="7" t="n"/>
      <c r="H79" s="39" t="n"/>
      <c r="I79" s="39" t="n"/>
      <c r="J79" s="39" t="n"/>
      <c r="K79" s="39" t="n"/>
      <c r="L79" s="39" t="n"/>
      <c r="M79" s="7" t="n"/>
      <c r="N79" s="7" t="n"/>
      <c r="O79" s="40" t="n"/>
      <c r="P79" s="40" t="n"/>
      <c r="Q79" s="40" t="n"/>
      <c r="R79" s="40" t="n"/>
      <c r="S79" s="40" t="n"/>
      <c r="T79" s="40" t="n"/>
      <c r="U79" s="40" t="n"/>
      <c r="V79" s="40" t="n"/>
      <c r="W79" s="40" t="n"/>
      <c r="X79" s="40" t="n"/>
      <c r="Y79" s="40" t="n"/>
      <c r="Z79" s="40" t="n"/>
      <c r="AA79" s="39" t="n"/>
    </row>
    <row r="80">
      <c r="A80" s="7" t="n"/>
      <c r="B80" s="7" t="n"/>
      <c r="C80" s="39" t="n"/>
      <c r="D80" s="39" t="n"/>
      <c r="E80" s="7" t="n"/>
      <c r="F80" s="7" t="n"/>
      <c r="G80" s="7" t="n"/>
      <c r="H80" s="39" t="n"/>
      <c r="I80" s="39" t="n"/>
      <c r="J80" s="39" t="n"/>
      <c r="K80" s="39" t="n"/>
      <c r="L80" s="39" t="n"/>
      <c r="M80" s="7" t="n"/>
      <c r="N80" s="7" t="n"/>
      <c r="O80" s="40" t="n"/>
      <c r="P80" s="40" t="n"/>
      <c r="Q80" s="40" t="n"/>
      <c r="R80" s="40" t="n"/>
      <c r="S80" s="40" t="n"/>
      <c r="T80" s="40" t="n"/>
      <c r="U80" s="40" t="n"/>
      <c r="V80" s="40" t="n"/>
      <c r="W80" s="40" t="n"/>
      <c r="X80" s="40" t="n"/>
      <c r="Y80" s="40" t="n"/>
      <c r="Z80" s="40" t="n"/>
      <c r="AA80" s="39" t="n"/>
    </row>
    <row r="81">
      <c r="A81" s="7" t="n"/>
      <c r="B81" s="7" t="n"/>
      <c r="C81" s="39" t="n"/>
      <c r="D81" s="39" t="n"/>
      <c r="E81" s="7" t="n"/>
      <c r="F81" s="7" t="n"/>
      <c r="G81" s="7" t="n"/>
      <c r="H81" s="39" t="n"/>
      <c r="I81" s="39" t="n"/>
      <c r="J81" s="39" t="n"/>
      <c r="K81" s="39" t="n"/>
      <c r="L81" s="39" t="n"/>
      <c r="M81" s="7" t="n"/>
      <c r="N81" s="7" t="n"/>
      <c r="O81" s="40" t="n"/>
      <c r="P81" s="40" t="n"/>
      <c r="Q81" s="40" t="n"/>
      <c r="R81" s="40" t="n"/>
      <c r="S81" s="40" t="n"/>
      <c r="T81" s="40" t="n"/>
      <c r="U81" s="40" t="n"/>
      <c r="V81" s="40" t="n"/>
      <c r="W81" s="40" t="n"/>
      <c r="X81" s="40" t="n"/>
      <c r="Y81" s="40" t="n"/>
      <c r="Z81" s="40" t="n"/>
      <c r="AA81" s="39" t="n"/>
    </row>
    <row r="82">
      <c r="A82" s="7" t="n"/>
      <c r="B82" s="7" t="n"/>
      <c r="C82" s="39" t="n"/>
      <c r="D82" s="39" t="n"/>
      <c r="E82" s="7" t="n"/>
      <c r="F82" s="7" t="n"/>
      <c r="G82" s="7" t="n"/>
      <c r="H82" s="39" t="n"/>
      <c r="I82" s="39" t="n"/>
      <c r="J82" s="39" t="n"/>
      <c r="K82" s="39" t="n"/>
      <c r="L82" s="39" t="n"/>
      <c r="M82" s="7" t="n"/>
      <c r="N82" s="7" t="n"/>
      <c r="O82" s="40" t="n"/>
      <c r="P82" s="40" t="n"/>
      <c r="Q82" s="40" t="n"/>
      <c r="R82" s="40" t="n"/>
      <c r="S82" s="40" t="n"/>
      <c r="T82" s="40" t="n"/>
      <c r="U82" s="40" t="n"/>
      <c r="V82" s="40" t="n"/>
      <c r="W82" s="40" t="n"/>
      <c r="X82" s="40" t="n"/>
      <c r="Y82" s="40" t="n"/>
      <c r="Z82" s="40" t="n"/>
      <c r="AA82" s="39" t="n"/>
    </row>
    <row r="83">
      <c r="A83" s="7" t="n"/>
      <c r="B83" s="7" t="n"/>
      <c r="C83" s="39" t="n"/>
      <c r="D83" s="39" t="n"/>
      <c r="E83" s="7" t="n"/>
      <c r="F83" s="7" t="n"/>
      <c r="G83" s="7" t="n"/>
      <c r="H83" s="39" t="n"/>
      <c r="I83" s="39" t="n"/>
      <c r="J83" s="39" t="n"/>
      <c r="K83" s="39" t="n"/>
      <c r="L83" s="39" t="n"/>
      <c r="M83" s="7" t="n"/>
      <c r="N83" s="7" t="n"/>
      <c r="O83" s="40" t="n"/>
      <c r="P83" s="40" t="n"/>
      <c r="Q83" s="40" t="n"/>
      <c r="R83" s="40" t="n"/>
      <c r="S83" s="40" t="n"/>
      <c r="T83" s="40" t="n"/>
      <c r="U83" s="40" t="n"/>
      <c r="V83" s="40" t="n"/>
      <c r="W83" s="40" t="n"/>
      <c r="X83" s="40" t="n"/>
      <c r="Y83" s="40" t="n"/>
      <c r="Z83" s="40" t="n"/>
      <c r="AA83" s="39" t="n"/>
    </row>
    <row r="84">
      <c r="A84" s="7" t="n"/>
      <c r="B84" s="7" t="n"/>
      <c r="C84" s="39" t="n"/>
      <c r="D84" s="39" t="n"/>
      <c r="E84" s="7" t="n"/>
      <c r="F84" s="7" t="n"/>
      <c r="G84" s="7" t="n"/>
      <c r="H84" s="39" t="n"/>
      <c r="I84" s="39" t="n"/>
      <c r="J84" s="39" t="n"/>
      <c r="K84" s="39" t="n"/>
      <c r="L84" s="39" t="n"/>
      <c r="M84" s="7" t="n"/>
      <c r="N84" s="7" t="n"/>
      <c r="O84" s="40" t="n"/>
      <c r="P84" s="40" t="n"/>
      <c r="Q84" s="40" t="n"/>
      <c r="R84" s="40" t="n"/>
      <c r="S84" s="40" t="n"/>
      <c r="T84" s="40" t="n"/>
      <c r="U84" s="40" t="n"/>
      <c r="V84" s="40" t="n"/>
      <c r="W84" s="40" t="n"/>
      <c r="X84" s="40" t="n"/>
      <c r="Y84" s="40" t="n"/>
      <c r="Z84" s="40" t="n"/>
      <c r="AA84" s="39" t="n"/>
    </row>
    <row r="85">
      <c r="A85" s="7" t="n"/>
      <c r="B85" s="7" t="n"/>
      <c r="C85" s="39" t="n"/>
      <c r="D85" s="39" t="n"/>
      <c r="E85" s="7" t="n"/>
      <c r="F85" s="7" t="n"/>
      <c r="G85" s="7" t="n"/>
      <c r="H85" s="39" t="n"/>
      <c r="I85" s="39" t="n"/>
      <c r="J85" s="39" t="n"/>
      <c r="K85" s="39" t="n"/>
      <c r="L85" s="39" t="n"/>
      <c r="M85" s="7" t="n"/>
      <c r="N85" s="7" t="n"/>
      <c r="O85" s="40" t="n"/>
      <c r="P85" s="40" t="n"/>
      <c r="Q85" s="40" t="n"/>
      <c r="R85" s="40" t="n"/>
      <c r="S85" s="40" t="n"/>
      <c r="T85" s="40" t="n"/>
      <c r="U85" s="40" t="n"/>
      <c r="V85" s="40" t="n"/>
      <c r="W85" s="40" t="n"/>
      <c r="X85" s="40" t="n"/>
      <c r="Y85" s="40" t="n"/>
      <c r="Z85" s="40" t="n"/>
      <c r="AA85" s="39" t="n"/>
    </row>
    <row r="86">
      <c r="A86" s="7" t="n"/>
      <c r="B86" s="7" t="n"/>
      <c r="C86" s="39" t="n"/>
      <c r="D86" s="39" t="n"/>
      <c r="E86" s="7" t="n"/>
      <c r="F86" s="7" t="n"/>
      <c r="G86" s="7" t="n"/>
      <c r="H86" s="39" t="n"/>
      <c r="I86" s="39" t="n"/>
      <c r="J86" s="39" t="n"/>
      <c r="K86" s="39" t="n"/>
      <c r="L86" s="39" t="n"/>
      <c r="M86" s="7" t="n"/>
      <c r="N86" s="7" t="n"/>
      <c r="O86" s="40" t="n"/>
      <c r="P86" s="40" t="n"/>
      <c r="Q86" s="40" t="n"/>
      <c r="R86" s="40" t="n"/>
      <c r="S86" s="40" t="n"/>
      <c r="T86" s="40" t="n"/>
      <c r="U86" s="40" t="n"/>
      <c r="V86" s="40" t="n"/>
      <c r="W86" s="40" t="n"/>
      <c r="X86" s="40" t="n"/>
      <c r="Y86" s="40" t="n"/>
      <c r="Z86" s="40" t="n"/>
      <c r="AA86" s="39" t="n"/>
    </row>
    <row r="87">
      <c r="A87" s="7" t="n"/>
      <c r="B87" s="7" t="n"/>
      <c r="C87" s="39" t="n"/>
      <c r="D87" s="39" t="n"/>
      <c r="E87" s="7" t="n"/>
      <c r="F87" s="7" t="n"/>
      <c r="G87" s="7" t="n"/>
      <c r="H87" s="39" t="n"/>
      <c r="I87" s="39" t="n"/>
      <c r="J87" s="39" t="n"/>
      <c r="K87" s="39" t="n"/>
      <c r="L87" s="39" t="n"/>
      <c r="M87" s="7" t="n"/>
      <c r="N87" s="7" t="n"/>
      <c r="O87" s="40" t="n"/>
      <c r="P87" s="40" t="n"/>
      <c r="Q87" s="40" t="n"/>
      <c r="R87" s="40" t="n"/>
      <c r="S87" s="40" t="n"/>
      <c r="T87" s="40" t="n"/>
      <c r="U87" s="40" t="n"/>
      <c r="V87" s="40" t="n"/>
      <c r="W87" s="40" t="n"/>
      <c r="X87" s="40" t="n"/>
      <c r="Y87" s="40" t="n"/>
      <c r="Z87" s="40" t="n"/>
      <c r="AA87" s="39" t="n"/>
    </row>
    <row r="88">
      <c r="A88" s="7" t="n"/>
      <c r="B88" s="7" t="n"/>
      <c r="C88" s="39" t="n"/>
      <c r="D88" s="39" t="n"/>
      <c r="E88" s="7" t="n"/>
      <c r="F88" s="7" t="n"/>
      <c r="G88" s="7" t="n"/>
      <c r="H88" s="39" t="n"/>
      <c r="I88" s="39" t="n"/>
      <c r="J88" s="39" t="n"/>
      <c r="K88" s="39" t="n"/>
      <c r="L88" s="39" t="n"/>
      <c r="M88" s="7" t="n"/>
      <c r="N88" s="7" t="n"/>
      <c r="O88" s="40" t="n"/>
      <c r="P88" s="40" t="n"/>
      <c r="Q88" s="40" t="n"/>
      <c r="R88" s="40" t="n"/>
      <c r="S88" s="40" t="n"/>
      <c r="T88" s="40" t="n"/>
      <c r="U88" s="40" t="n"/>
      <c r="V88" s="40" t="n"/>
      <c r="W88" s="40" t="n"/>
      <c r="X88" s="40" t="n"/>
      <c r="Y88" s="40" t="n"/>
      <c r="Z88" s="40" t="n"/>
      <c r="AA88" s="39" t="n"/>
    </row>
    <row r="89">
      <c r="A89" s="7" t="n"/>
      <c r="B89" s="7" t="n"/>
      <c r="C89" s="39" t="n"/>
      <c r="D89" s="39" t="n"/>
      <c r="E89" s="7" t="n"/>
      <c r="F89" s="7" t="n"/>
      <c r="G89" s="7" t="n"/>
      <c r="H89" s="39" t="n"/>
      <c r="I89" s="39" t="n"/>
      <c r="J89" s="39" t="n"/>
      <c r="K89" s="39" t="n"/>
      <c r="L89" s="39" t="n"/>
      <c r="M89" s="7" t="n"/>
      <c r="N89" s="7" t="n"/>
      <c r="O89" s="40" t="n"/>
      <c r="P89" s="40" t="n"/>
      <c r="Q89" s="40" t="n"/>
      <c r="R89" s="40" t="n"/>
      <c r="S89" s="40" t="n"/>
      <c r="T89" s="40" t="n"/>
      <c r="U89" s="40" t="n"/>
      <c r="V89" s="40" t="n"/>
      <c r="W89" s="40" t="n"/>
      <c r="X89" s="40" t="n"/>
      <c r="Y89" s="40" t="n"/>
      <c r="Z89" s="40" t="n"/>
      <c r="AA89" s="39" t="n"/>
    </row>
    <row r="90">
      <c r="A90" s="7" t="n"/>
      <c r="B90" s="7" t="n"/>
      <c r="C90" s="39" t="n"/>
      <c r="D90" s="39" t="n"/>
      <c r="E90" s="7" t="n"/>
      <c r="F90" s="7" t="n"/>
      <c r="G90" s="7" t="n"/>
      <c r="H90" s="39" t="n"/>
      <c r="I90" s="39" t="n"/>
      <c r="J90" s="39" t="n"/>
      <c r="K90" s="39" t="n"/>
      <c r="L90" s="39" t="n"/>
      <c r="M90" s="7" t="n"/>
      <c r="N90" s="7" t="n"/>
      <c r="O90" s="40" t="n"/>
      <c r="P90" s="40" t="n"/>
      <c r="Q90" s="40" t="n"/>
      <c r="R90" s="40" t="n"/>
      <c r="S90" s="40" t="n"/>
      <c r="T90" s="40" t="n"/>
      <c r="U90" s="40" t="n"/>
      <c r="V90" s="40" t="n"/>
      <c r="W90" s="40" t="n"/>
      <c r="X90" s="40" t="n"/>
      <c r="Y90" s="40" t="n"/>
      <c r="Z90" s="40" t="n"/>
      <c r="AA90" s="39" t="n"/>
    </row>
    <row r="91">
      <c r="A91" s="7" t="n"/>
      <c r="B91" s="7" t="n"/>
      <c r="C91" s="39" t="n"/>
      <c r="D91" s="39" t="n"/>
      <c r="E91" s="7" t="n"/>
      <c r="F91" s="7" t="n"/>
      <c r="G91" s="7" t="n"/>
      <c r="H91" s="39" t="n"/>
      <c r="I91" s="39" t="n"/>
      <c r="J91" s="39" t="n"/>
      <c r="K91" s="39" t="n"/>
      <c r="L91" s="39" t="n"/>
      <c r="M91" s="7" t="n"/>
      <c r="N91" s="7" t="n"/>
      <c r="O91" s="40" t="n"/>
      <c r="P91" s="40" t="n"/>
      <c r="Q91" s="40" t="n"/>
      <c r="R91" s="40" t="n"/>
      <c r="S91" s="40" t="n"/>
      <c r="T91" s="40" t="n"/>
      <c r="U91" s="40" t="n"/>
      <c r="V91" s="40" t="n"/>
      <c r="W91" s="40" t="n"/>
      <c r="X91" s="40" t="n"/>
      <c r="Y91" s="40" t="n"/>
      <c r="Z91" s="40" t="n"/>
      <c r="AA91" s="39" t="n"/>
    </row>
    <row r="92">
      <c r="A92" s="7" t="n"/>
      <c r="B92" s="7" t="n"/>
      <c r="C92" s="39" t="n"/>
      <c r="D92" s="39" t="n"/>
      <c r="E92" s="7" t="n"/>
      <c r="F92" s="7" t="n"/>
      <c r="G92" s="7" t="n"/>
      <c r="H92" s="39" t="n"/>
      <c r="I92" s="39" t="n"/>
      <c r="J92" s="39" t="n"/>
      <c r="K92" s="39" t="n"/>
      <c r="L92" s="39" t="n"/>
      <c r="M92" s="7" t="n"/>
      <c r="N92" s="7" t="n"/>
      <c r="O92" s="40" t="n"/>
      <c r="P92" s="40" t="n"/>
      <c r="Q92" s="40" t="n"/>
      <c r="R92" s="40" t="n"/>
      <c r="S92" s="40" t="n"/>
      <c r="T92" s="40" t="n"/>
      <c r="U92" s="40" t="n"/>
      <c r="V92" s="40" t="n"/>
      <c r="W92" s="40" t="n"/>
      <c r="X92" s="40" t="n"/>
      <c r="Y92" s="40" t="n"/>
      <c r="Z92" s="40" t="n"/>
      <c r="AA92" s="39" t="n"/>
    </row>
    <row r="93">
      <c r="A93" s="7" t="n"/>
      <c r="B93" s="7" t="n"/>
      <c r="C93" s="39" t="n"/>
      <c r="D93" s="39" t="n"/>
      <c r="E93" s="7" t="n"/>
      <c r="F93" s="7" t="n"/>
      <c r="G93" s="7" t="n"/>
      <c r="H93" s="39" t="n"/>
      <c r="I93" s="39" t="n"/>
      <c r="J93" s="39" t="n"/>
      <c r="K93" s="39" t="n"/>
      <c r="L93" s="39" t="n"/>
      <c r="M93" s="7" t="n"/>
      <c r="N93" s="7" t="n"/>
      <c r="O93" s="40" t="n"/>
      <c r="P93" s="40" t="n"/>
      <c r="Q93" s="40" t="n"/>
      <c r="R93" s="40" t="n"/>
      <c r="S93" s="40" t="n"/>
      <c r="T93" s="40" t="n"/>
      <c r="U93" s="40" t="n"/>
      <c r="V93" s="40" t="n"/>
      <c r="W93" s="40" t="n"/>
      <c r="X93" s="40" t="n"/>
      <c r="Y93" s="40" t="n"/>
      <c r="Z93" s="40" t="n"/>
      <c r="AA93" s="39" t="n"/>
    </row>
    <row r="94">
      <c r="A94" s="7" t="n"/>
      <c r="B94" s="7" t="n"/>
      <c r="C94" s="39" t="n"/>
      <c r="D94" s="39" t="n"/>
      <c r="E94" s="7" t="n"/>
      <c r="F94" s="7" t="n"/>
      <c r="G94" s="7" t="n"/>
      <c r="H94" s="39" t="n"/>
      <c r="I94" s="39" t="n"/>
      <c r="J94" s="39" t="n"/>
      <c r="K94" s="39" t="n"/>
      <c r="L94" s="39" t="n"/>
      <c r="M94" s="7" t="n"/>
      <c r="N94" s="7" t="n"/>
      <c r="O94" s="40" t="n"/>
      <c r="P94" s="40" t="n"/>
      <c r="Q94" s="40" t="n"/>
      <c r="R94" s="40" t="n"/>
      <c r="S94" s="40" t="n"/>
      <c r="T94" s="40" t="n"/>
      <c r="U94" s="40" t="n"/>
      <c r="V94" s="40" t="n"/>
      <c r="W94" s="40" t="n"/>
      <c r="X94" s="40" t="n"/>
      <c r="Y94" s="40" t="n"/>
      <c r="Z94" s="40" t="n"/>
      <c r="AA94" s="39" t="n"/>
    </row>
    <row r="95">
      <c r="A95" s="7" t="n"/>
      <c r="B95" s="7" t="n"/>
      <c r="C95" s="39" t="n"/>
      <c r="D95" s="39" t="n"/>
      <c r="E95" s="7" t="n"/>
      <c r="F95" s="7" t="n"/>
      <c r="G95" s="7" t="n"/>
      <c r="H95" s="39" t="n"/>
      <c r="I95" s="39" t="n"/>
      <c r="J95" s="39" t="n"/>
      <c r="K95" s="39" t="n"/>
      <c r="L95" s="39" t="n"/>
      <c r="M95" s="7" t="n"/>
      <c r="N95" s="7" t="n"/>
      <c r="O95" s="40" t="n"/>
      <c r="P95" s="40" t="n"/>
      <c r="Q95" s="40" t="n"/>
      <c r="R95" s="40" t="n"/>
      <c r="S95" s="40" t="n"/>
      <c r="T95" s="40" t="n"/>
      <c r="U95" s="40" t="n"/>
      <c r="V95" s="40" t="n"/>
      <c r="W95" s="40" t="n"/>
      <c r="X95" s="40" t="n"/>
      <c r="Y95" s="40" t="n"/>
      <c r="Z95" s="40" t="n"/>
      <c r="AA95" s="39" t="n"/>
    </row>
    <row r="96">
      <c r="A96" s="7" t="n"/>
      <c r="B96" s="7" t="n"/>
      <c r="C96" s="39" t="n"/>
      <c r="D96" s="39" t="n"/>
      <c r="E96" s="7" t="n"/>
      <c r="F96" s="7" t="n"/>
      <c r="G96" s="7" t="n"/>
      <c r="H96" s="39" t="n"/>
      <c r="I96" s="39" t="n"/>
      <c r="J96" s="39" t="n"/>
      <c r="K96" s="39" t="n"/>
      <c r="L96" s="39" t="n"/>
      <c r="M96" s="7" t="n"/>
      <c r="N96" s="7" t="n"/>
      <c r="O96" s="40" t="n"/>
      <c r="P96" s="40" t="n"/>
      <c r="Q96" s="40" t="n"/>
      <c r="R96" s="40" t="n"/>
      <c r="S96" s="40" t="n"/>
      <c r="T96" s="40" t="n"/>
      <c r="U96" s="40" t="n"/>
      <c r="V96" s="40" t="n"/>
      <c r="W96" s="40" t="n"/>
      <c r="X96" s="40" t="n"/>
      <c r="Y96" s="40" t="n"/>
      <c r="Z96" s="40" t="n"/>
      <c r="AA96" s="39" t="n"/>
    </row>
    <row r="97">
      <c r="A97" s="7" t="n"/>
      <c r="B97" s="7" t="n"/>
      <c r="C97" s="39" t="n"/>
      <c r="D97" s="39" t="n"/>
      <c r="E97" s="7" t="n"/>
      <c r="F97" s="7" t="n"/>
      <c r="G97" s="7" t="n"/>
      <c r="H97" s="39" t="n"/>
      <c r="I97" s="39" t="n"/>
      <c r="J97" s="39" t="n"/>
      <c r="K97" s="39" t="n"/>
      <c r="L97" s="39" t="n"/>
      <c r="M97" s="7" t="n"/>
      <c r="N97" s="7" t="n"/>
      <c r="O97" s="40" t="n"/>
      <c r="P97" s="40" t="n"/>
      <c r="Q97" s="40" t="n"/>
      <c r="R97" s="40" t="n"/>
      <c r="S97" s="40" t="n"/>
      <c r="T97" s="40" t="n"/>
      <c r="U97" s="40" t="n"/>
      <c r="V97" s="40" t="n"/>
      <c r="W97" s="40" t="n"/>
      <c r="X97" s="40" t="n"/>
      <c r="Y97" s="40" t="n"/>
      <c r="Z97" s="40" t="n"/>
      <c r="AA97" s="39" t="n"/>
    </row>
    <row r="98">
      <c r="A98" s="7" t="n"/>
      <c r="B98" s="7" t="n"/>
      <c r="C98" s="39" t="n"/>
      <c r="D98" s="39" t="n"/>
      <c r="E98" s="7" t="n"/>
      <c r="F98" s="7" t="n"/>
      <c r="G98" s="7" t="n"/>
      <c r="H98" s="39" t="n"/>
      <c r="I98" s="39" t="n"/>
      <c r="J98" s="39" t="n"/>
      <c r="K98" s="39" t="n"/>
      <c r="L98" s="39" t="n"/>
      <c r="M98" s="7" t="n"/>
      <c r="N98" s="7" t="n"/>
      <c r="O98" s="40" t="n"/>
      <c r="P98" s="40" t="n"/>
      <c r="Q98" s="40" t="n"/>
      <c r="R98" s="40" t="n"/>
      <c r="S98" s="40" t="n"/>
      <c r="T98" s="40" t="n"/>
      <c r="U98" s="40" t="n"/>
      <c r="V98" s="40" t="n"/>
      <c r="W98" s="40" t="n"/>
      <c r="X98" s="40" t="n"/>
      <c r="Y98" s="40" t="n"/>
      <c r="Z98" s="40" t="n"/>
      <c r="AA98" s="39" t="n"/>
    </row>
    <row r="99">
      <c r="A99" s="7" t="n"/>
      <c r="B99" s="7" t="n"/>
      <c r="C99" s="39" t="n"/>
      <c r="D99" s="39" t="n"/>
      <c r="E99" s="7" t="n"/>
      <c r="F99" s="7" t="n"/>
      <c r="G99" s="7" t="n"/>
      <c r="H99" s="39" t="n"/>
      <c r="I99" s="39" t="n"/>
      <c r="J99" s="39" t="n"/>
      <c r="K99" s="39" t="n"/>
      <c r="L99" s="39" t="n"/>
      <c r="M99" s="7" t="n"/>
      <c r="N99" s="7" t="n"/>
      <c r="O99" s="40" t="n"/>
      <c r="P99" s="40" t="n"/>
      <c r="Q99" s="40" t="n"/>
      <c r="R99" s="40" t="n"/>
      <c r="S99" s="40" t="n"/>
      <c r="T99" s="40" t="n"/>
      <c r="U99" s="40" t="n"/>
      <c r="V99" s="40" t="n"/>
      <c r="W99" s="40" t="n"/>
      <c r="X99" s="40" t="n"/>
      <c r="Y99" s="40" t="n"/>
      <c r="Z99" s="40" t="n"/>
      <c r="AA99" s="39" t="n"/>
    </row>
    <row r="100">
      <c r="A100" s="7" t="n"/>
      <c r="B100" s="7" t="n"/>
      <c r="C100" s="39" t="n"/>
      <c r="D100" s="39" t="n"/>
      <c r="E100" s="7" t="n"/>
      <c r="F100" s="7" t="n"/>
      <c r="G100" s="7" t="n"/>
      <c r="H100" s="39" t="n"/>
      <c r="I100" s="39" t="n"/>
      <c r="J100" s="39" t="n"/>
      <c r="K100" s="39" t="n"/>
      <c r="L100" s="39" t="n"/>
      <c r="M100" s="7" t="n"/>
      <c r="N100" s="7" t="n"/>
      <c r="O100" s="40" t="n"/>
      <c r="P100" s="40" t="n"/>
      <c r="Q100" s="40" t="n"/>
      <c r="R100" s="40" t="n"/>
      <c r="S100" s="40" t="n"/>
      <c r="T100" s="40" t="n"/>
      <c r="U100" s="40" t="n"/>
      <c r="V100" s="40" t="n"/>
      <c r="W100" s="40" t="n"/>
      <c r="X100" s="40" t="n"/>
      <c r="Y100" s="40" t="n"/>
      <c r="Z100" s="40" t="n"/>
      <c r="AA100" s="39" t="n"/>
    </row>
    <row r="101">
      <c r="A101" s="7" t="n"/>
      <c r="B101" s="7" t="n"/>
      <c r="C101" s="39" t="n"/>
      <c r="D101" s="39" t="n"/>
      <c r="E101" s="7" t="n"/>
      <c r="F101" s="7" t="n"/>
      <c r="G101" s="7" t="n"/>
      <c r="H101" s="39" t="n"/>
      <c r="I101" s="39" t="n"/>
      <c r="J101" s="39" t="n"/>
      <c r="K101" s="39" t="n"/>
      <c r="L101" s="39" t="n"/>
      <c r="M101" s="7" t="n"/>
      <c r="N101" s="7" t="n"/>
      <c r="O101" s="40" t="n"/>
      <c r="P101" s="40" t="n"/>
      <c r="Q101" s="40" t="n"/>
      <c r="R101" s="40" t="n"/>
      <c r="S101" s="40" t="n"/>
      <c r="T101" s="40" t="n"/>
      <c r="U101" s="40" t="n"/>
      <c r="V101" s="40" t="n"/>
      <c r="W101" s="40" t="n"/>
      <c r="X101" s="40" t="n"/>
      <c r="Y101" s="40" t="n"/>
      <c r="Z101" s="40" t="n"/>
      <c r="AA101" s="39" t="n"/>
    </row>
    <row r="102">
      <c r="A102" s="7" t="n"/>
      <c r="B102" s="7" t="n"/>
      <c r="C102" s="39" t="n"/>
      <c r="D102" s="39" t="n"/>
      <c r="E102" s="7" t="n"/>
      <c r="F102" s="7" t="n"/>
      <c r="G102" s="7" t="n"/>
      <c r="H102" s="39" t="n"/>
      <c r="I102" s="39" t="n"/>
      <c r="J102" s="39" t="n"/>
      <c r="K102" s="39" t="n"/>
      <c r="L102" s="39" t="n"/>
      <c r="M102" s="7" t="n"/>
      <c r="N102" s="7" t="n"/>
      <c r="O102" s="40" t="n"/>
      <c r="P102" s="40" t="n"/>
      <c r="Q102" s="40" t="n"/>
      <c r="R102" s="40" t="n"/>
      <c r="S102" s="40" t="n"/>
      <c r="T102" s="40" t="n"/>
      <c r="U102" s="40" t="n"/>
      <c r="V102" s="40" t="n"/>
      <c r="W102" s="40" t="n"/>
      <c r="X102" s="40" t="n"/>
      <c r="Y102" s="40" t="n"/>
      <c r="Z102" s="40" t="n"/>
      <c r="AA102" s="39" t="n"/>
    </row>
    <row r="103">
      <c r="A103" s="7" t="n"/>
      <c r="B103" s="7" t="n"/>
      <c r="C103" s="39" t="n"/>
      <c r="D103" s="39" t="n"/>
      <c r="E103" s="7" t="n"/>
      <c r="F103" s="7" t="n"/>
      <c r="G103" s="7" t="n"/>
      <c r="H103" s="39" t="n"/>
      <c r="I103" s="39" t="n"/>
      <c r="J103" s="39" t="n"/>
      <c r="K103" s="39" t="n"/>
      <c r="L103" s="39" t="n"/>
      <c r="M103" s="7" t="n"/>
      <c r="N103" s="7" t="n"/>
      <c r="O103" s="40" t="n"/>
      <c r="P103" s="40" t="n"/>
      <c r="Q103" s="40" t="n"/>
      <c r="R103" s="40" t="n"/>
      <c r="S103" s="40" t="n"/>
      <c r="T103" s="40" t="n"/>
      <c r="U103" s="40" t="n"/>
      <c r="V103" s="40" t="n"/>
      <c r="W103" s="40" t="n"/>
      <c r="X103" s="40" t="n"/>
      <c r="Y103" s="40" t="n"/>
      <c r="Z103" s="40" t="n"/>
      <c r="AA103" s="39" t="n"/>
    </row>
    <row r="104">
      <c r="A104" s="7" t="n"/>
      <c r="B104" s="7" t="n"/>
      <c r="C104" s="39" t="n"/>
      <c r="D104" s="39" t="n"/>
      <c r="E104" s="7" t="n"/>
      <c r="F104" s="7" t="n"/>
      <c r="G104" s="7" t="n"/>
      <c r="H104" s="39" t="n"/>
      <c r="I104" s="39" t="n"/>
      <c r="J104" s="39" t="n"/>
      <c r="K104" s="39" t="n"/>
      <c r="L104" s="39" t="n"/>
      <c r="M104" s="7" t="n"/>
      <c r="N104" s="7" t="n"/>
      <c r="O104" s="40" t="n"/>
      <c r="P104" s="40" t="n"/>
      <c r="Q104" s="40" t="n"/>
      <c r="R104" s="40" t="n"/>
      <c r="S104" s="40" t="n"/>
      <c r="T104" s="40" t="n"/>
      <c r="U104" s="40" t="n"/>
      <c r="V104" s="40" t="n"/>
      <c r="W104" s="40" t="n"/>
      <c r="X104" s="40" t="n"/>
      <c r="Y104" s="40" t="n"/>
      <c r="Z104" s="40" t="n"/>
      <c r="AA104" s="39" t="n"/>
    </row>
    <row r="105">
      <c r="A105" s="7" t="n"/>
      <c r="B105" s="7" t="n"/>
      <c r="C105" s="39" t="n"/>
      <c r="D105" s="39" t="n"/>
      <c r="E105" s="7" t="n"/>
      <c r="F105" s="7" t="n"/>
      <c r="G105" s="7" t="n"/>
      <c r="H105" s="39" t="n"/>
      <c r="I105" s="39" t="n"/>
      <c r="J105" s="39" t="n"/>
      <c r="K105" s="39" t="n"/>
      <c r="L105" s="39" t="n"/>
      <c r="M105" s="7" t="n"/>
      <c r="N105" s="7" t="n"/>
      <c r="O105" s="40" t="n"/>
      <c r="P105" s="40" t="n"/>
      <c r="Q105" s="40" t="n"/>
      <c r="R105" s="40" t="n"/>
      <c r="S105" s="40" t="n"/>
      <c r="T105" s="40" t="n"/>
      <c r="U105" s="40" t="n"/>
      <c r="V105" s="40" t="n"/>
      <c r="W105" s="40" t="n"/>
      <c r="X105" s="40" t="n"/>
      <c r="Y105" s="40" t="n"/>
      <c r="Z105" s="40" t="n"/>
      <c r="AA105" s="39" t="n"/>
    </row>
    <row r="106">
      <c r="A106" s="7" t="n"/>
      <c r="B106" s="7" t="n"/>
      <c r="C106" s="39" t="n"/>
      <c r="D106" s="39" t="n"/>
      <c r="E106" s="7" t="n"/>
      <c r="F106" s="7" t="n"/>
      <c r="G106" s="7" t="n"/>
      <c r="H106" s="39" t="n"/>
      <c r="I106" s="39" t="n"/>
      <c r="J106" s="39" t="n"/>
      <c r="K106" s="39" t="n"/>
      <c r="L106" s="39" t="n"/>
      <c r="M106" s="7" t="n"/>
      <c r="N106" s="7" t="n"/>
      <c r="O106" s="40" t="n"/>
      <c r="P106" s="40" t="n"/>
      <c r="Q106" s="40" t="n"/>
      <c r="R106" s="40" t="n"/>
      <c r="S106" s="40" t="n"/>
      <c r="T106" s="40" t="n"/>
      <c r="U106" s="40" t="n"/>
      <c r="V106" s="40" t="n"/>
      <c r="W106" s="40" t="n"/>
      <c r="X106" s="40" t="n"/>
      <c r="Y106" s="40" t="n"/>
      <c r="Z106" s="40" t="n"/>
      <c r="AA106" s="39" t="n"/>
    </row>
    <row r="107">
      <c r="A107" s="7" t="n"/>
      <c r="B107" s="7" t="n"/>
      <c r="C107" s="39" t="n"/>
      <c r="D107" s="39" t="n"/>
      <c r="E107" s="7" t="n"/>
      <c r="F107" s="7" t="n"/>
      <c r="G107" s="7" t="n"/>
      <c r="H107" s="39" t="n"/>
      <c r="I107" s="39" t="n"/>
      <c r="J107" s="39" t="n"/>
      <c r="K107" s="39" t="n"/>
      <c r="L107" s="39" t="n"/>
      <c r="M107" s="7" t="n"/>
      <c r="N107" s="7" t="n"/>
      <c r="O107" s="40" t="n"/>
      <c r="P107" s="40" t="n"/>
      <c r="Q107" s="40" t="n"/>
      <c r="R107" s="40" t="n"/>
      <c r="S107" s="40" t="n"/>
      <c r="T107" s="40" t="n"/>
      <c r="U107" s="40" t="n"/>
      <c r="V107" s="40" t="n"/>
      <c r="W107" s="40" t="n"/>
      <c r="X107" s="40" t="n"/>
      <c r="Y107" s="40" t="n"/>
      <c r="Z107" s="40" t="n"/>
      <c r="AA107" s="39" t="n"/>
    </row>
    <row r="108">
      <c r="A108" s="7" t="n"/>
      <c r="B108" s="7" t="n"/>
      <c r="C108" s="39" t="n"/>
      <c r="D108" s="39" t="n"/>
      <c r="E108" s="7" t="n"/>
      <c r="F108" s="7" t="n"/>
      <c r="G108" s="7" t="n"/>
      <c r="H108" s="39" t="n"/>
      <c r="I108" s="39" t="n"/>
      <c r="J108" s="39" t="n"/>
      <c r="K108" s="39" t="n"/>
      <c r="L108" s="39" t="n"/>
      <c r="M108" s="7" t="n"/>
      <c r="N108" s="7" t="n"/>
      <c r="O108" s="40" t="n"/>
      <c r="P108" s="40" t="n"/>
      <c r="Q108" s="40" t="n"/>
      <c r="R108" s="40" t="n"/>
      <c r="S108" s="40" t="n"/>
      <c r="T108" s="40" t="n"/>
      <c r="U108" s="40" t="n"/>
      <c r="V108" s="40" t="n"/>
      <c r="W108" s="40" t="n"/>
      <c r="X108" s="40" t="n"/>
      <c r="Y108" s="40" t="n"/>
      <c r="Z108" s="40" t="n"/>
      <c r="AA108" s="39" t="n"/>
    </row>
    <row r="109">
      <c r="A109" s="7" t="n"/>
      <c r="B109" s="7" t="n"/>
      <c r="C109" s="39" t="n"/>
      <c r="D109" s="39" t="n"/>
      <c r="E109" s="7" t="n"/>
      <c r="F109" s="7" t="n"/>
      <c r="G109" s="7" t="n"/>
      <c r="H109" s="39" t="n"/>
      <c r="I109" s="39" t="n"/>
      <c r="J109" s="39" t="n"/>
      <c r="K109" s="39" t="n"/>
      <c r="L109" s="39" t="n"/>
      <c r="M109" s="7" t="n"/>
      <c r="N109" s="7" t="n"/>
      <c r="O109" s="40" t="n"/>
      <c r="P109" s="40" t="n"/>
      <c r="Q109" s="40" t="n"/>
      <c r="R109" s="40" t="n"/>
      <c r="S109" s="40" t="n"/>
      <c r="T109" s="40" t="n"/>
      <c r="U109" s="40" t="n"/>
      <c r="V109" s="40" t="n"/>
      <c r="W109" s="40" t="n"/>
      <c r="X109" s="40" t="n"/>
      <c r="Y109" s="40" t="n"/>
      <c r="Z109" s="40" t="n"/>
      <c r="AA109" s="39" t="n"/>
    </row>
    <row r="110">
      <c r="A110" s="7" t="n"/>
      <c r="B110" s="7" t="n"/>
      <c r="C110" s="39" t="n"/>
      <c r="D110" s="39" t="n"/>
      <c r="E110" s="7" t="n"/>
      <c r="F110" s="7" t="n"/>
      <c r="G110" s="7" t="n"/>
      <c r="H110" s="39" t="n"/>
      <c r="I110" s="39" t="n"/>
      <c r="J110" s="39" t="n"/>
      <c r="K110" s="39" t="n"/>
      <c r="L110" s="39" t="n"/>
      <c r="M110" s="7" t="n"/>
      <c r="N110" s="7" t="n"/>
      <c r="O110" s="40" t="n"/>
      <c r="P110" s="40" t="n"/>
      <c r="Q110" s="40" t="n"/>
      <c r="R110" s="40" t="n"/>
      <c r="S110" s="40" t="n"/>
      <c r="T110" s="40" t="n"/>
      <c r="U110" s="40" t="n"/>
      <c r="V110" s="40" t="n"/>
      <c r="W110" s="40" t="n"/>
      <c r="X110" s="40" t="n"/>
      <c r="Y110" s="40" t="n"/>
      <c r="Z110" s="40" t="n"/>
      <c r="AA110" s="39" t="n"/>
    </row>
    <row r="111">
      <c r="A111" s="7" t="n"/>
      <c r="B111" s="7" t="n"/>
      <c r="C111" s="39" t="n"/>
      <c r="D111" s="39" t="n"/>
      <c r="E111" s="7" t="n"/>
      <c r="F111" s="7" t="n"/>
      <c r="G111" s="7" t="n"/>
      <c r="H111" s="39" t="n"/>
      <c r="I111" s="39" t="n"/>
      <c r="J111" s="39" t="n"/>
      <c r="K111" s="39" t="n"/>
      <c r="L111" s="39" t="n"/>
      <c r="M111" s="7" t="n"/>
      <c r="N111" s="7" t="n"/>
      <c r="O111" s="40" t="n"/>
      <c r="P111" s="40" t="n"/>
      <c r="Q111" s="40" t="n"/>
      <c r="R111" s="40" t="n"/>
      <c r="S111" s="40" t="n"/>
      <c r="T111" s="40" t="n"/>
      <c r="U111" s="40" t="n"/>
      <c r="V111" s="40" t="n"/>
      <c r="W111" s="40" t="n"/>
      <c r="X111" s="40" t="n"/>
      <c r="Y111" s="40" t="n"/>
      <c r="Z111" s="40" t="n"/>
      <c r="AA111" s="39" t="n"/>
    </row>
    <row r="112">
      <c r="A112" s="7" t="n"/>
      <c r="B112" s="7" t="n"/>
      <c r="C112" s="39" t="n"/>
      <c r="D112" s="39" t="n"/>
      <c r="E112" s="7" t="n"/>
      <c r="F112" s="7" t="n"/>
      <c r="G112" s="7" t="n"/>
      <c r="H112" s="39" t="n"/>
      <c r="I112" s="39" t="n"/>
      <c r="J112" s="39" t="n"/>
      <c r="K112" s="39" t="n"/>
      <c r="L112" s="39" t="n"/>
      <c r="M112" s="7" t="n"/>
      <c r="N112" s="7" t="n"/>
      <c r="O112" s="40" t="n"/>
      <c r="P112" s="40" t="n"/>
      <c r="Q112" s="40" t="n"/>
      <c r="R112" s="40" t="n"/>
      <c r="S112" s="40" t="n"/>
      <c r="T112" s="40" t="n"/>
      <c r="U112" s="40" t="n"/>
      <c r="V112" s="40" t="n"/>
      <c r="W112" s="40" t="n"/>
      <c r="X112" s="40" t="n"/>
      <c r="Y112" s="40" t="n"/>
      <c r="Z112" s="40" t="n"/>
      <c r="AA112" s="39" t="n"/>
    </row>
    <row r="113">
      <c r="A113" s="7" t="n"/>
      <c r="B113" s="7" t="n"/>
      <c r="C113" s="39" t="n"/>
      <c r="D113" s="39" t="n"/>
      <c r="E113" s="7" t="n"/>
      <c r="F113" s="7" t="n"/>
      <c r="G113" s="7" t="n"/>
      <c r="H113" s="39" t="n"/>
      <c r="I113" s="39" t="n"/>
      <c r="J113" s="39" t="n"/>
      <c r="K113" s="39" t="n"/>
      <c r="L113" s="39" t="n"/>
      <c r="M113" s="7" t="n"/>
      <c r="N113" s="7" t="n"/>
      <c r="O113" s="40" t="n"/>
      <c r="P113" s="40" t="n"/>
      <c r="Q113" s="40" t="n"/>
      <c r="R113" s="40" t="n"/>
      <c r="S113" s="40" t="n"/>
      <c r="T113" s="40" t="n"/>
      <c r="U113" s="40" t="n"/>
      <c r="V113" s="40" t="n"/>
      <c r="W113" s="40" t="n"/>
      <c r="X113" s="40" t="n"/>
      <c r="Y113" s="40" t="n"/>
      <c r="Z113" s="40" t="n"/>
      <c r="AA113" s="39" t="n"/>
    </row>
    <row r="114">
      <c r="A114" s="7" t="n"/>
      <c r="B114" s="7" t="n"/>
      <c r="C114" s="39" t="n"/>
      <c r="D114" s="39" t="n"/>
      <c r="E114" s="7" t="n"/>
      <c r="F114" s="7" t="n"/>
      <c r="G114" s="7" t="n"/>
      <c r="H114" s="39" t="n"/>
      <c r="I114" s="39" t="n"/>
      <c r="J114" s="39" t="n"/>
      <c r="K114" s="39" t="n"/>
      <c r="L114" s="39" t="n"/>
      <c r="M114" s="7" t="n"/>
      <c r="N114" s="7" t="n"/>
      <c r="O114" s="40" t="n"/>
      <c r="P114" s="40" t="n"/>
      <c r="Q114" s="40" t="n"/>
      <c r="R114" s="40" t="n"/>
      <c r="S114" s="40" t="n"/>
      <c r="T114" s="40" t="n"/>
      <c r="U114" s="40" t="n"/>
      <c r="V114" s="40" t="n"/>
      <c r="W114" s="40" t="n"/>
      <c r="X114" s="40" t="n"/>
      <c r="Y114" s="40" t="n"/>
      <c r="Z114" s="40" t="n"/>
      <c r="AA114" s="39" t="n"/>
    </row>
    <row r="115">
      <c r="A115" s="7" t="n"/>
      <c r="B115" s="7" t="n"/>
      <c r="C115" s="39" t="n"/>
      <c r="D115" s="39" t="n"/>
      <c r="E115" s="7" t="n"/>
      <c r="F115" s="7" t="n"/>
      <c r="G115" s="7" t="n"/>
      <c r="H115" s="39" t="n"/>
      <c r="I115" s="39" t="n"/>
      <c r="J115" s="39" t="n"/>
      <c r="K115" s="39" t="n"/>
      <c r="L115" s="39" t="n"/>
      <c r="M115" s="7" t="n"/>
      <c r="N115" s="7" t="n"/>
      <c r="O115" s="40" t="n"/>
      <c r="P115" s="40" t="n"/>
      <c r="Q115" s="40" t="n"/>
      <c r="R115" s="40" t="n"/>
      <c r="S115" s="40" t="n"/>
      <c r="T115" s="40" t="n"/>
      <c r="U115" s="40" t="n"/>
      <c r="V115" s="40" t="n"/>
      <c r="W115" s="40" t="n"/>
      <c r="X115" s="40" t="n"/>
      <c r="Y115" s="40" t="n"/>
      <c r="Z115" s="40" t="n"/>
      <c r="AA115" s="39" t="n"/>
    </row>
    <row r="116">
      <c r="A116" s="7" t="n"/>
      <c r="B116" s="7" t="n"/>
      <c r="C116" s="39" t="n"/>
      <c r="D116" s="39" t="n"/>
      <c r="E116" s="7" t="n"/>
      <c r="F116" s="7" t="n"/>
      <c r="G116" s="7" t="n"/>
      <c r="H116" s="39" t="n"/>
      <c r="I116" s="39" t="n"/>
      <c r="J116" s="39" t="n"/>
      <c r="K116" s="39" t="n"/>
      <c r="L116" s="39" t="n"/>
      <c r="M116" s="7" t="n"/>
      <c r="N116" s="7" t="n"/>
      <c r="O116" s="40" t="n"/>
      <c r="P116" s="40" t="n"/>
      <c r="Q116" s="40" t="n"/>
      <c r="R116" s="40" t="n"/>
      <c r="S116" s="40" t="n"/>
      <c r="T116" s="40" t="n"/>
      <c r="U116" s="40" t="n"/>
      <c r="V116" s="40" t="n"/>
      <c r="W116" s="40" t="n"/>
      <c r="X116" s="40" t="n"/>
      <c r="Y116" s="40" t="n"/>
      <c r="Z116" s="40" t="n"/>
      <c r="AA116" s="39" t="n"/>
    </row>
    <row r="117">
      <c r="A117" s="7" t="n"/>
      <c r="B117" s="7" t="n"/>
      <c r="C117" s="39" t="n"/>
      <c r="D117" s="39" t="n"/>
      <c r="E117" s="7" t="n"/>
      <c r="F117" s="7" t="n"/>
      <c r="G117" s="7" t="n"/>
      <c r="H117" s="39" t="n"/>
      <c r="I117" s="39" t="n"/>
      <c r="J117" s="39" t="n"/>
      <c r="K117" s="39" t="n"/>
      <c r="L117" s="39" t="n"/>
      <c r="M117" s="7" t="n"/>
      <c r="N117" s="7" t="n"/>
      <c r="O117" s="40" t="n"/>
      <c r="P117" s="40" t="n"/>
      <c r="Q117" s="40" t="n"/>
      <c r="R117" s="40" t="n"/>
      <c r="S117" s="40" t="n"/>
      <c r="T117" s="40" t="n"/>
      <c r="U117" s="40" t="n"/>
      <c r="V117" s="40" t="n"/>
      <c r="W117" s="40" t="n"/>
      <c r="X117" s="40" t="n"/>
      <c r="Y117" s="40" t="n"/>
      <c r="Z117" s="40" t="n"/>
      <c r="AA117" s="39" t="n"/>
    </row>
    <row r="118">
      <c r="A118" s="7" t="n"/>
      <c r="B118" s="7" t="n"/>
      <c r="C118" s="39" t="n"/>
      <c r="D118" s="39" t="n"/>
      <c r="E118" s="7" t="n"/>
      <c r="F118" s="7" t="n"/>
      <c r="G118" s="7" t="n"/>
      <c r="H118" s="39" t="n"/>
      <c r="I118" s="39" t="n"/>
      <c r="J118" s="39" t="n"/>
      <c r="K118" s="39" t="n"/>
      <c r="L118" s="39" t="n"/>
      <c r="M118" s="7" t="n"/>
      <c r="N118" s="7" t="n"/>
      <c r="O118" s="40" t="n"/>
      <c r="P118" s="40" t="n"/>
      <c r="Q118" s="40" t="n"/>
      <c r="R118" s="40" t="n"/>
      <c r="S118" s="40" t="n"/>
      <c r="T118" s="40" t="n"/>
      <c r="U118" s="40" t="n"/>
      <c r="V118" s="40" t="n"/>
      <c r="W118" s="40" t="n"/>
      <c r="X118" s="40" t="n"/>
      <c r="Y118" s="40" t="n"/>
      <c r="Z118" s="40" t="n"/>
      <c r="AA118" s="39" t="n"/>
    </row>
    <row r="119">
      <c r="A119" s="7" t="n"/>
      <c r="B119" s="7" t="n"/>
      <c r="C119" s="39" t="n"/>
      <c r="D119" s="39" t="n"/>
      <c r="E119" s="7" t="n"/>
      <c r="F119" s="7" t="n"/>
      <c r="G119" s="7" t="n"/>
      <c r="H119" s="39" t="n"/>
      <c r="I119" s="39" t="n"/>
      <c r="J119" s="39" t="n"/>
      <c r="K119" s="39" t="n"/>
      <c r="L119" s="39" t="n"/>
      <c r="M119" s="7" t="n"/>
      <c r="N119" s="7" t="n"/>
      <c r="O119" s="40" t="n"/>
      <c r="P119" s="40" t="n"/>
      <c r="Q119" s="40" t="n"/>
      <c r="R119" s="40" t="n"/>
      <c r="S119" s="40" t="n"/>
      <c r="T119" s="40" t="n"/>
      <c r="U119" s="40" t="n"/>
      <c r="V119" s="40" t="n"/>
      <c r="W119" s="40" t="n"/>
      <c r="X119" s="40" t="n"/>
      <c r="Y119" s="40" t="n"/>
      <c r="Z119" s="40" t="n"/>
      <c r="AA119" s="39" t="n"/>
    </row>
    <row r="120">
      <c r="A120" s="7" t="n"/>
      <c r="B120" s="7" t="n"/>
      <c r="C120" s="39" t="n"/>
      <c r="D120" s="39" t="n"/>
      <c r="E120" s="7" t="n"/>
      <c r="F120" s="7" t="n"/>
      <c r="G120" s="7" t="n"/>
      <c r="H120" s="39" t="n"/>
      <c r="I120" s="39" t="n"/>
      <c r="J120" s="39" t="n"/>
      <c r="K120" s="39" t="n"/>
      <c r="L120" s="39" t="n"/>
      <c r="M120" s="7" t="n"/>
      <c r="N120" s="7" t="n"/>
      <c r="O120" s="40" t="n"/>
      <c r="P120" s="40" t="n"/>
      <c r="Q120" s="40" t="n"/>
      <c r="R120" s="40" t="n"/>
      <c r="S120" s="40" t="n"/>
      <c r="T120" s="40" t="n"/>
      <c r="U120" s="40" t="n"/>
      <c r="V120" s="40" t="n"/>
      <c r="W120" s="40" t="n"/>
      <c r="X120" s="40" t="n"/>
      <c r="Y120" s="40" t="n"/>
      <c r="Z120" s="40" t="n"/>
      <c r="AA120" s="39" t="n"/>
    </row>
    <row r="121">
      <c r="A121" s="7" t="n"/>
      <c r="B121" s="7" t="n"/>
      <c r="C121" s="39" t="n"/>
      <c r="D121" s="39" t="n"/>
      <c r="E121" s="7" t="n"/>
      <c r="F121" s="7" t="n"/>
      <c r="G121" s="7" t="n"/>
      <c r="H121" s="39" t="n"/>
      <c r="I121" s="39" t="n"/>
      <c r="J121" s="39" t="n"/>
      <c r="K121" s="39" t="n"/>
      <c r="L121" s="39" t="n"/>
      <c r="M121" s="7" t="n"/>
      <c r="N121" s="7" t="n"/>
      <c r="O121" s="40" t="n"/>
      <c r="P121" s="40" t="n"/>
      <c r="Q121" s="40" t="n"/>
      <c r="R121" s="40" t="n"/>
      <c r="S121" s="40" t="n"/>
      <c r="T121" s="40" t="n"/>
      <c r="U121" s="40" t="n"/>
      <c r="V121" s="40" t="n"/>
      <c r="W121" s="40" t="n"/>
      <c r="X121" s="40" t="n"/>
      <c r="Y121" s="40" t="n"/>
      <c r="Z121" s="40" t="n"/>
      <c r="AA121" s="39" t="n"/>
    </row>
    <row r="122">
      <c r="A122" s="7" t="n"/>
      <c r="B122" s="7" t="n"/>
      <c r="C122" s="39" t="n"/>
      <c r="D122" s="39" t="n"/>
      <c r="E122" s="7" t="n"/>
      <c r="F122" s="7" t="n"/>
      <c r="G122" s="7" t="n"/>
      <c r="H122" s="39" t="n"/>
      <c r="I122" s="39" t="n"/>
      <c r="J122" s="39" t="n"/>
      <c r="K122" s="39" t="n"/>
      <c r="L122" s="39" t="n"/>
      <c r="M122" s="7" t="n"/>
      <c r="N122" s="7" t="n"/>
      <c r="O122" s="40" t="n"/>
      <c r="P122" s="40" t="n"/>
      <c r="Q122" s="40" t="n"/>
      <c r="R122" s="40" t="n"/>
      <c r="S122" s="40" t="n"/>
      <c r="T122" s="40" t="n"/>
      <c r="U122" s="40" t="n"/>
      <c r="V122" s="40" t="n"/>
      <c r="W122" s="40" t="n"/>
      <c r="X122" s="40" t="n"/>
      <c r="Y122" s="40" t="n"/>
      <c r="Z122" s="40" t="n"/>
      <c r="AA122" s="39" t="n"/>
    </row>
    <row r="123">
      <c r="A123" s="7" t="n"/>
      <c r="B123" s="7" t="n"/>
      <c r="C123" s="39" t="n"/>
      <c r="D123" s="39" t="n"/>
      <c r="E123" s="7" t="n"/>
      <c r="F123" s="7" t="n"/>
      <c r="G123" s="7" t="n"/>
      <c r="H123" s="39" t="n"/>
      <c r="I123" s="39" t="n"/>
      <c r="J123" s="39" t="n"/>
      <c r="K123" s="39" t="n"/>
      <c r="L123" s="39" t="n"/>
      <c r="M123" s="7" t="n"/>
      <c r="N123" s="7" t="n"/>
      <c r="O123" s="40" t="n"/>
      <c r="P123" s="40" t="n"/>
      <c r="Q123" s="40" t="n"/>
      <c r="R123" s="40" t="n"/>
      <c r="S123" s="40" t="n"/>
      <c r="T123" s="40" t="n"/>
      <c r="U123" s="40" t="n"/>
      <c r="V123" s="40" t="n"/>
      <c r="W123" s="40" t="n"/>
      <c r="X123" s="40" t="n"/>
      <c r="Y123" s="40" t="n"/>
      <c r="Z123" s="40" t="n"/>
      <c r="AA123" s="39" t="n"/>
    </row>
    <row r="124">
      <c r="A124" s="7" t="n"/>
      <c r="B124" s="7" t="n"/>
      <c r="C124" s="39" t="n"/>
      <c r="D124" s="39" t="n"/>
      <c r="E124" s="7" t="n"/>
      <c r="F124" s="7" t="n"/>
      <c r="G124" s="7" t="n"/>
      <c r="H124" s="39" t="n"/>
      <c r="I124" s="39" t="n"/>
      <c r="J124" s="39" t="n"/>
      <c r="K124" s="39" t="n"/>
      <c r="L124" s="39" t="n"/>
      <c r="M124" s="7" t="n"/>
      <c r="N124" s="7" t="n"/>
      <c r="O124" s="40" t="n"/>
      <c r="P124" s="40" t="n"/>
      <c r="Q124" s="40" t="n"/>
      <c r="R124" s="40" t="n"/>
      <c r="S124" s="40" t="n"/>
      <c r="T124" s="40" t="n"/>
      <c r="U124" s="40" t="n"/>
      <c r="V124" s="40" t="n"/>
      <c r="W124" s="40" t="n"/>
      <c r="X124" s="40" t="n"/>
      <c r="Y124" s="40" t="n"/>
      <c r="Z124" s="40" t="n"/>
      <c r="AA124" s="39" t="n"/>
    </row>
    <row r="125">
      <c r="A125" s="7" t="n"/>
      <c r="B125" s="7" t="n"/>
      <c r="C125" s="39" t="n"/>
      <c r="D125" s="39" t="n"/>
      <c r="E125" s="7" t="n"/>
      <c r="F125" s="7" t="n"/>
      <c r="G125" s="7" t="n"/>
      <c r="H125" s="39" t="n"/>
      <c r="I125" s="39" t="n"/>
      <c r="J125" s="39" t="n"/>
      <c r="K125" s="39" t="n"/>
      <c r="L125" s="39" t="n"/>
      <c r="M125" s="7" t="n"/>
      <c r="N125" s="7" t="n"/>
      <c r="O125" s="40" t="n"/>
      <c r="P125" s="40" t="n"/>
      <c r="Q125" s="40" t="n"/>
      <c r="R125" s="40" t="n"/>
      <c r="S125" s="40" t="n"/>
      <c r="T125" s="40" t="n"/>
      <c r="U125" s="40" t="n"/>
      <c r="V125" s="40" t="n"/>
      <c r="W125" s="40" t="n"/>
      <c r="X125" s="40" t="n"/>
      <c r="Y125" s="40" t="n"/>
      <c r="Z125" s="40" t="n"/>
      <c r="AA125" s="39" t="n"/>
    </row>
    <row r="126">
      <c r="A126" s="7" t="n"/>
      <c r="B126" s="7" t="n"/>
      <c r="C126" s="39" t="n"/>
      <c r="D126" s="39" t="n"/>
      <c r="E126" s="7" t="n"/>
      <c r="F126" s="7" t="n"/>
      <c r="G126" s="7" t="n"/>
      <c r="H126" s="39" t="n"/>
      <c r="I126" s="39" t="n"/>
      <c r="J126" s="39" t="n"/>
      <c r="K126" s="39" t="n"/>
      <c r="L126" s="39" t="n"/>
      <c r="M126" s="7" t="n"/>
      <c r="N126" s="7" t="n"/>
      <c r="O126" s="40" t="n"/>
      <c r="P126" s="40" t="n"/>
      <c r="Q126" s="40" t="n"/>
      <c r="R126" s="40" t="n"/>
      <c r="S126" s="40" t="n"/>
      <c r="T126" s="40" t="n"/>
      <c r="U126" s="40" t="n"/>
      <c r="V126" s="40" t="n"/>
      <c r="W126" s="40" t="n"/>
      <c r="X126" s="40" t="n"/>
      <c r="Y126" s="40" t="n"/>
      <c r="Z126" s="40" t="n"/>
      <c r="AA126" s="39" t="n"/>
    </row>
    <row r="127">
      <c r="A127" s="7" t="n"/>
      <c r="B127" s="7" t="n"/>
      <c r="C127" s="39" t="n"/>
      <c r="D127" s="39" t="n"/>
      <c r="E127" s="7" t="n"/>
      <c r="F127" s="7" t="n"/>
      <c r="G127" s="7" t="n"/>
      <c r="H127" s="39" t="n"/>
      <c r="I127" s="39" t="n"/>
      <c r="J127" s="39" t="n"/>
      <c r="K127" s="39" t="n"/>
      <c r="L127" s="39" t="n"/>
      <c r="M127" s="7" t="n"/>
      <c r="N127" s="7" t="n"/>
      <c r="O127" s="40" t="n"/>
      <c r="P127" s="40" t="n"/>
      <c r="Q127" s="40" t="n"/>
      <c r="R127" s="40" t="n"/>
      <c r="S127" s="40" t="n"/>
      <c r="T127" s="40" t="n"/>
      <c r="U127" s="40" t="n"/>
      <c r="V127" s="40" t="n"/>
      <c r="W127" s="40" t="n"/>
      <c r="X127" s="40" t="n"/>
      <c r="Y127" s="40" t="n"/>
      <c r="Z127" s="40" t="n"/>
      <c r="AA127" s="39" t="n"/>
    </row>
    <row r="128">
      <c r="A128" s="7" t="n"/>
      <c r="B128" s="7" t="n"/>
      <c r="C128" s="39" t="n"/>
      <c r="D128" s="39" t="n"/>
      <c r="E128" s="7" t="n"/>
      <c r="F128" s="7" t="n"/>
      <c r="G128" s="7" t="n"/>
      <c r="H128" s="39" t="n"/>
      <c r="I128" s="39" t="n"/>
      <c r="J128" s="39" t="n"/>
      <c r="K128" s="39" t="n"/>
      <c r="L128" s="39" t="n"/>
      <c r="M128" s="7" t="n"/>
      <c r="N128" s="7" t="n"/>
      <c r="O128" s="40" t="n"/>
      <c r="P128" s="40" t="n"/>
      <c r="Q128" s="40" t="n"/>
      <c r="R128" s="40" t="n"/>
      <c r="S128" s="40" t="n"/>
      <c r="T128" s="40" t="n"/>
      <c r="U128" s="40" t="n"/>
      <c r="V128" s="40" t="n"/>
      <c r="W128" s="40" t="n"/>
      <c r="X128" s="40" t="n"/>
      <c r="Y128" s="40" t="n"/>
      <c r="Z128" s="40" t="n"/>
      <c r="AA128" s="39" t="n"/>
    </row>
    <row r="129">
      <c r="A129" s="7" t="n"/>
      <c r="B129" s="7" t="n"/>
      <c r="C129" s="39" t="n"/>
      <c r="D129" s="39" t="n"/>
      <c r="E129" s="7" t="n"/>
      <c r="F129" s="7" t="n"/>
      <c r="G129" s="7" t="n"/>
      <c r="H129" s="39" t="n"/>
      <c r="I129" s="39" t="n"/>
      <c r="J129" s="39" t="n"/>
      <c r="K129" s="39" t="n"/>
      <c r="L129" s="39" t="n"/>
      <c r="M129" s="7" t="n"/>
      <c r="N129" s="7" t="n"/>
      <c r="O129" s="40" t="n"/>
      <c r="P129" s="40" t="n"/>
      <c r="Q129" s="40" t="n"/>
      <c r="R129" s="40" t="n"/>
      <c r="S129" s="40" t="n"/>
      <c r="T129" s="40" t="n"/>
      <c r="U129" s="40" t="n"/>
      <c r="V129" s="40" t="n"/>
      <c r="W129" s="40" t="n"/>
      <c r="X129" s="40" t="n"/>
      <c r="Y129" s="40" t="n"/>
      <c r="Z129" s="40" t="n"/>
      <c r="AA129" s="39" t="n"/>
    </row>
    <row r="130">
      <c r="A130" s="7" t="n"/>
      <c r="B130" s="7" t="n"/>
      <c r="C130" s="39" t="n"/>
      <c r="D130" s="39" t="n"/>
      <c r="E130" s="7" t="n"/>
      <c r="F130" s="7" t="n"/>
      <c r="G130" s="7" t="n"/>
      <c r="H130" s="39" t="n"/>
      <c r="I130" s="39" t="n"/>
      <c r="J130" s="39" t="n"/>
      <c r="K130" s="39" t="n"/>
      <c r="L130" s="39" t="n"/>
      <c r="M130" s="7" t="n"/>
      <c r="N130" s="7" t="n"/>
      <c r="O130" s="40" t="n"/>
      <c r="P130" s="40" t="n"/>
      <c r="Q130" s="40" t="n"/>
      <c r="R130" s="40" t="n"/>
      <c r="S130" s="40" t="n"/>
      <c r="T130" s="40" t="n"/>
      <c r="U130" s="40" t="n"/>
      <c r="V130" s="40" t="n"/>
      <c r="W130" s="40" t="n"/>
      <c r="X130" s="40" t="n"/>
      <c r="Y130" s="40" t="n"/>
      <c r="Z130" s="40" t="n"/>
      <c r="AA130" s="39" t="n"/>
    </row>
    <row r="131">
      <c r="A131" s="7" t="n"/>
      <c r="B131" s="7" t="n"/>
      <c r="C131" s="39" t="n"/>
      <c r="D131" s="39" t="n"/>
      <c r="E131" s="7" t="n"/>
      <c r="F131" s="7" t="n"/>
      <c r="G131" s="7" t="n"/>
      <c r="H131" s="39" t="n"/>
      <c r="I131" s="39" t="n"/>
      <c r="J131" s="39" t="n"/>
      <c r="K131" s="39" t="n"/>
      <c r="L131" s="39" t="n"/>
      <c r="M131" s="7" t="n"/>
      <c r="N131" s="7" t="n"/>
      <c r="O131" s="40" t="n"/>
      <c r="P131" s="40" t="n"/>
      <c r="Q131" s="40" t="n"/>
      <c r="R131" s="40" t="n"/>
      <c r="S131" s="40" t="n"/>
      <c r="T131" s="40" t="n"/>
      <c r="U131" s="40" t="n"/>
      <c r="V131" s="40" t="n"/>
      <c r="W131" s="40" t="n"/>
      <c r="X131" s="40" t="n"/>
      <c r="Y131" s="40" t="n"/>
      <c r="Z131" s="40" t="n"/>
      <c r="AA131" s="39" t="n"/>
    </row>
    <row r="132">
      <c r="A132" s="7" t="n"/>
      <c r="B132" s="7" t="n"/>
      <c r="C132" s="39" t="n"/>
      <c r="D132" s="39" t="n"/>
      <c r="E132" s="7" t="n"/>
      <c r="F132" s="7" t="n"/>
      <c r="G132" s="7" t="n"/>
      <c r="H132" s="39" t="n"/>
      <c r="I132" s="39" t="n"/>
      <c r="J132" s="39" t="n"/>
      <c r="K132" s="39" t="n"/>
      <c r="L132" s="39" t="n"/>
      <c r="M132" s="7" t="n"/>
      <c r="N132" s="7" t="n"/>
      <c r="O132" s="40" t="n"/>
      <c r="P132" s="40" t="n"/>
      <c r="Q132" s="40" t="n"/>
      <c r="R132" s="40" t="n"/>
      <c r="S132" s="40" t="n"/>
      <c r="T132" s="40" t="n"/>
      <c r="U132" s="40" t="n"/>
      <c r="V132" s="40" t="n"/>
      <c r="W132" s="40" t="n"/>
      <c r="X132" s="40" t="n"/>
      <c r="Y132" s="40" t="n"/>
      <c r="Z132" s="40" t="n"/>
      <c r="AA132" s="39" t="n"/>
    </row>
    <row r="133">
      <c r="A133" s="7" t="n"/>
      <c r="B133" s="7" t="n"/>
      <c r="C133" s="39" t="n"/>
      <c r="D133" s="39" t="n"/>
      <c r="E133" s="7" t="n"/>
      <c r="F133" s="7" t="n"/>
      <c r="G133" s="7" t="n"/>
      <c r="H133" s="39" t="n"/>
      <c r="I133" s="39" t="n"/>
      <c r="J133" s="39" t="n"/>
      <c r="K133" s="39" t="n"/>
      <c r="L133" s="39" t="n"/>
      <c r="M133" s="7" t="n"/>
      <c r="N133" s="7" t="n"/>
      <c r="O133" s="40" t="n"/>
      <c r="P133" s="40" t="n"/>
      <c r="Q133" s="40" t="n"/>
      <c r="R133" s="40" t="n"/>
      <c r="S133" s="40" t="n"/>
      <c r="T133" s="40" t="n"/>
      <c r="U133" s="40" t="n"/>
      <c r="V133" s="40" t="n"/>
      <c r="W133" s="40" t="n"/>
      <c r="X133" s="40" t="n"/>
      <c r="Y133" s="40" t="n"/>
      <c r="Z133" s="40" t="n"/>
      <c r="AA133" s="39" t="n"/>
    </row>
    <row r="134">
      <c r="A134" s="7" t="n"/>
      <c r="B134" s="7" t="n"/>
      <c r="C134" s="39" t="n"/>
      <c r="D134" s="39" t="n"/>
      <c r="E134" s="7" t="n"/>
      <c r="F134" s="7" t="n"/>
      <c r="G134" s="7" t="n"/>
      <c r="H134" s="39" t="n"/>
      <c r="I134" s="39" t="n"/>
      <c r="J134" s="39" t="n"/>
      <c r="K134" s="39" t="n"/>
      <c r="L134" s="39" t="n"/>
      <c r="M134" s="7" t="n"/>
      <c r="N134" s="7" t="n"/>
      <c r="O134" s="40" t="n"/>
      <c r="P134" s="40" t="n"/>
      <c r="Q134" s="40" t="n"/>
      <c r="R134" s="40" t="n"/>
      <c r="S134" s="40" t="n"/>
      <c r="T134" s="40" t="n"/>
      <c r="U134" s="40" t="n"/>
      <c r="V134" s="40" t="n"/>
      <c r="W134" s="40" t="n"/>
      <c r="X134" s="40" t="n"/>
      <c r="Y134" s="40" t="n"/>
      <c r="Z134" s="40" t="n"/>
      <c r="AA134" s="39" t="n"/>
    </row>
    <row r="135">
      <c r="A135" s="7" t="n"/>
      <c r="B135" s="7" t="n"/>
      <c r="C135" s="39" t="n"/>
      <c r="D135" s="39" t="n"/>
      <c r="E135" s="7" t="n"/>
      <c r="F135" s="7" t="n"/>
      <c r="G135" s="7" t="n"/>
      <c r="H135" s="39" t="n"/>
      <c r="I135" s="39" t="n"/>
      <c r="J135" s="39" t="n"/>
      <c r="K135" s="39" t="n"/>
      <c r="L135" s="39" t="n"/>
      <c r="M135" s="7" t="n"/>
      <c r="N135" s="7" t="n"/>
      <c r="O135" s="40" t="n"/>
      <c r="P135" s="40" t="n"/>
      <c r="Q135" s="40" t="n"/>
      <c r="R135" s="40" t="n"/>
      <c r="S135" s="40" t="n"/>
      <c r="T135" s="40" t="n"/>
      <c r="U135" s="40" t="n"/>
      <c r="V135" s="40" t="n"/>
      <c r="W135" s="40" t="n"/>
      <c r="X135" s="40" t="n"/>
      <c r="Y135" s="40" t="n"/>
      <c r="Z135" s="40" t="n"/>
      <c r="AA135" s="39" t="n"/>
    </row>
    <row r="136">
      <c r="A136" s="7" t="n"/>
      <c r="B136" s="7" t="n"/>
      <c r="C136" s="39" t="n"/>
      <c r="D136" s="39" t="n"/>
      <c r="E136" s="7" t="n"/>
      <c r="F136" s="7" t="n"/>
      <c r="G136" s="7" t="n"/>
      <c r="H136" s="39" t="n"/>
      <c r="I136" s="39" t="n"/>
      <c r="J136" s="39" t="n"/>
      <c r="K136" s="39" t="n"/>
      <c r="L136" s="39" t="n"/>
      <c r="M136" s="7" t="n"/>
      <c r="N136" s="7" t="n"/>
      <c r="O136" s="40" t="n"/>
      <c r="P136" s="40" t="n"/>
      <c r="Q136" s="40" t="n"/>
      <c r="R136" s="40" t="n"/>
      <c r="S136" s="40" t="n"/>
      <c r="T136" s="40" t="n"/>
      <c r="U136" s="40" t="n"/>
      <c r="V136" s="40" t="n"/>
      <c r="W136" s="40" t="n"/>
      <c r="X136" s="40" t="n"/>
      <c r="Y136" s="40" t="n"/>
      <c r="Z136" s="40" t="n"/>
      <c r="AA136" s="39" t="n"/>
    </row>
    <row r="137">
      <c r="A137" s="7" t="n"/>
      <c r="B137" s="7" t="n"/>
      <c r="C137" s="39" t="n"/>
      <c r="D137" s="39" t="n"/>
      <c r="E137" s="7" t="n"/>
      <c r="F137" s="7" t="n"/>
      <c r="G137" s="7" t="n"/>
      <c r="H137" s="39" t="n"/>
      <c r="I137" s="39" t="n"/>
      <c r="J137" s="39" t="n"/>
      <c r="K137" s="39" t="n"/>
      <c r="L137" s="39" t="n"/>
      <c r="M137" s="7" t="n"/>
      <c r="N137" s="7" t="n"/>
      <c r="O137" s="40" t="n"/>
      <c r="P137" s="40" t="n"/>
      <c r="Q137" s="40" t="n"/>
      <c r="R137" s="40" t="n"/>
      <c r="S137" s="40" t="n"/>
      <c r="T137" s="40" t="n"/>
      <c r="U137" s="40" t="n"/>
      <c r="V137" s="40" t="n"/>
      <c r="W137" s="40" t="n"/>
      <c r="X137" s="40" t="n"/>
      <c r="Y137" s="40" t="n"/>
      <c r="Z137" s="40" t="n"/>
      <c r="AA137" s="39" t="n"/>
    </row>
    <row r="138">
      <c r="A138" s="7" t="n"/>
      <c r="B138" s="7" t="n"/>
      <c r="C138" s="39" t="n"/>
      <c r="D138" s="39" t="n"/>
      <c r="E138" s="7" t="n"/>
      <c r="F138" s="7" t="n"/>
      <c r="G138" s="7" t="n"/>
      <c r="H138" s="39" t="n"/>
      <c r="I138" s="39" t="n"/>
      <c r="J138" s="39" t="n"/>
      <c r="K138" s="39" t="n"/>
      <c r="L138" s="39" t="n"/>
      <c r="M138" s="7" t="n"/>
      <c r="N138" s="7" t="n"/>
      <c r="O138" s="40" t="n"/>
      <c r="P138" s="40" t="n"/>
      <c r="Q138" s="40" t="n"/>
      <c r="R138" s="40" t="n"/>
      <c r="S138" s="40" t="n"/>
      <c r="T138" s="40" t="n"/>
      <c r="U138" s="40" t="n"/>
      <c r="V138" s="40" t="n"/>
      <c r="W138" s="40" t="n"/>
      <c r="X138" s="40" t="n"/>
      <c r="Y138" s="40" t="n"/>
      <c r="Z138" s="40" t="n"/>
      <c r="AA138" s="39" t="n"/>
    </row>
    <row r="139">
      <c r="A139" s="7" t="n"/>
      <c r="B139" s="7" t="n"/>
      <c r="C139" s="39" t="n"/>
      <c r="D139" s="39" t="n"/>
      <c r="E139" s="7" t="n"/>
      <c r="F139" s="7" t="n"/>
      <c r="G139" s="7" t="n"/>
      <c r="H139" s="39" t="n"/>
      <c r="I139" s="39" t="n"/>
      <c r="J139" s="39" t="n"/>
      <c r="K139" s="39" t="n"/>
      <c r="L139" s="39" t="n"/>
      <c r="M139" s="7" t="n"/>
      <c r="N139" s="7" t="n"/>
      <c r="O139" s="40" t="n"/>
      <c r="P139" s="40" t="n"/>
      <c r="Q139" s="40" t="n"/>
      <c r="R139" s="40" t="n"/>
      <c r="S139" s="40" t="n"/>
      <c r="T139" s="40" t="n"/>
      <c r="U139" s="40" t="n"/>
      <c r="V139" s="40" t="n"/>
      <c r="W139" s="40" t="n"/>
      <c r="X139" s="40" t="n"/>
      <c r="Y139" s="40" t="n"/>
      <c r="Z139" s="40" t="n"/>
      <c r="AA139" s="39" t="n"/>
    </row>
    <row r="140">
      <c r="A140" s="7" t="n"/>
      <c r="B140" s="7" t="n"/>
      <c r="C140" s="39" t="n"/>
      <c r="D140" s="39" t="n"/>
      <c r="E140" s="7" t="n"/>
      <c r="F140" s="7" t="n"/>
      <c r="G140" s="7" t="n"/>
      <c r="H140" s="39" t="n"/>
      <c r="I140" s="39" t="n"/>
      <c r="J140" s="39" t="n"/>
      <c r="K140" s="39" t="n"/>
      <c r="L140" s="39" t="n"/>
      <c r="M140" s="7" t="n"/>
      <c r="N140" s="7" t="n"/>
      <c r="O140" s="40" t="n"/>
      <c r="P140" s="40" t="n"/>
      <c r="Q140" s="40" t="n"/>
      <c r="R140" s="40" t="n"/>
      <c r="S140" s="40" t="n"/>
      <c r="T140" s="40" t="n"/>
      <c r="U140" s="40" t="n"/>
      <c r="V140" s="40" t="n"/>
      <c r="W140" s="40" t="n"/>
      <c r="X140" s="40" t="n"/>
      <c r="Y140" s="40" t="n"/>
      <c r="Z140" s="40" t="n"/>
      <c r="AA140" s="39" t="n"/>
    </row>
    <row r="141">
      <c r="A141" s="7" t="n"/>
      <c r="B141" s="7" t="n"/>
      <c r="C141" s="39" t="n"/>
      <c r="D141" s="39" t="n"/>
      <c r="E141" s="7" t="n"/>
      <c r="F141" s="7" t="n"/>
      <c r="G141" s="7" t="n"/>
      <c r="H141" s="39" t="n"/>
      <c r="I141" s="39" t="n"/>
      <c r="J141" s="39" t="n"/>
      <c r="K141" s="39" t="n"/>
      <c r="L141" s="39" t="n"/>
      <c r="M141" s="7" t="n"/>
      <c r="N141" s="7" t="n"/>
      <c r="O141" s="40" t="n"/>
      <c r="P141" s="40" t="n"/>
      <c r="Q141" s="40" t="n"/>
      <c r="R141" s="40" t="n"/>
      <c r="S141" s="40" t="n"/>
      <c r="T141" s="40" t="n"/>
      <c r="U141" s="40" t="n"/>
      <c r="V141" s="40" t="n"/>
      <c r="W141" s="40" t="n"/>
      <c r="X141" s="40" t="n"/>
      <c r="Y141" s="40" t="n"/>
      <c r="Z141" s="40" t="n"/>
      <c r="AA141" s="39" t="n"/>
    </row>
    <row r="142">
      <c r="A142" s="7" t="n"/>
      <c r="B142" s="7" t="n"/>
      <c r="C142" s="39" t="n"/>
      <c r="D142" s="39" t="n"/>
      <c r="E142" s="7" t="n"/>
      <c r="F142" s="7" t="n"/>
      <c r="G142" s="7" t="n"/>
      <c r="H142" s="39" t="n"/>
      <c r="I142" s="39" t="n"/>
      <c r="J142" s="39" t="n"/>
      <c r="K142" s="39" t="n"/>
      <c r="L142" s="39" t="n"/>
      <c r="M142" s="7" t="n"/>
      <c r="N142" s="7" t="n"/>
      <c r="O142" s="40" t="n"/>
      <c r="P142" s="40" t="n"/>
      <c r="Q142" s="40" t="n"/>
      <c r="R142" s="40" t="n"/>
      <c r="S142" s="40" t="n"/>
      <c r="T142" s="40" t="n"/>
      <c r="U142" s="40" t="n"/>
      <c r="V142" s="40" t="n"/>
      <c r="W142" s="40" t="n"/>
      <c r="X142" s="40" t="n"/>
      <c r="Y142" s="40" t="n"/>
      <c r="Z142" s="40" t="n"/>
      <c r="AA142" s="39" t="n"/>
    </row>
    <row r="143">
      <c r="A143" s="7" t="n"/>
      <c r="B143" s="7" t="n"/>
      <c r="C143" s="39" t="n"/>
      <c r="D143" s="39" t="n"/>
      <c r="E143" s="7" t="n"/>
      <c r="F143" s="7" t="n"/>
      <c r="G143" s="7" t="n"/>
      <c r="H143" s="39" t="n"/>
      <c r="I143" s="39" t="n"/>
      <c r="J143" s="39" t="n"/>
      <c r="K143" s="39" t="n"/>
      <c r="L143" s="39" t="n"/>
      <c r="M143" s="7" t="n"/>
      <c r="N143" s="7" t="n"/>
      <c r="O143" s="40" t="n"/>
      <c r="P143" s="40" t="n"/>
      <c r="Q143" s="40" t="n"/>
      <c r="R143" s="40" t="n"/>
      <c r="S143" s="40" t="n"/>
      <c r="T143" s="40" t="n"/>
      <c r="U143" s="40" t="n"/>
      <c r="V143" s="40" t="n"/>
      <c r="W143" s="40" t="n"/>
      <c r="X143" s="40" t="n"/>
      <c r="Y143" s="40" t="n"/>
      <c r="Z143" s="40" t="n"/>
      <c r="AA143" s="39" t="n"/>
    </row>
    <row r="144">
      <c r="A144" s="7" t="n"/>
      <c r="B144" s="7" t="n"/>
      <c r="C144" s="39" t="n"/>
      <c r="D144" s="39" t="n"/>
      <c r="E144" s="7" t="n"/>
      <c r="F144" s="7" t="n"/>
      <c r="G144" s="7" t="n"/>
      <c r="H144" s="39" t="n"/>
      <c r="I144" s="39" t="n"/>
      <c r="J144" s="39" t="n"/>
      <c r="K144" s="39" t="n"/>
      <c r="L144" s="39" t="n"/>
      <c r="M144" s="7" t="n"/>
      <c r="N144" s="7" t="n"/>
      <c r="O144" s="40" t="n"/>
      <c r="P144" s="40" t="n"/>
      <c r="Q144" s="40" t="n"/>
      <c r="R144" s="40" t="n"/>
      <c r="S144" s="40" t="n"/>
      <c r="T144" s="40" t="n"/>
      <c r="U144" s="40" t="n"/>
      <c r="V144" s="40" t="n"/>
      <c r="W144" s="40" t="n"/>
      <c r="X144" s="40" t="n"/>
      <c r="Y144" s="40" t="n"/>
      <c r="Z144" s="40" t="n"/>
      <c r="AA144" s="39" t="n"/>
    </row>
    <row r="145">
      <c r="A145" s="7" t="n"/>
      <c r="B145" s="7" t="n"/>
      <c r="C145" s="39" t="n"/>
      <c r="D145" s="39" t="n"/>
      <c r="E145" s="7" t="n"/>
      <c r="F145" s="7" t="n"/>
      <c r="G145" s="7" t="n"/>
      <c r="H145" s="39" t="n"/>
      <c r="I145" s="39" t="n"/>
      <c r="J145" s="39" t="n"/>
      <c r="K145" s="39" t="n"/>
      <c r="L145" s="39" t="n"/>
      <c r="M145" s="7" t="n"/>
      <c r="N145" s="7" t="n"/>
      <c r="O145" s="40" t="n"/>
      <c r="P145" s="40" t="n"/>
      <c r="Q145" s="40" t="n"/>
      <c r="R145" s="40" t="n"/>
      <c r="S145" s="40" t="n"/>
      <c r="T145" s="40" t="n"/>
      <c r="U145" s="40" t="n"/>
      <c r="V145" s="40" t="n"/>
      <c r="W145" s="40" t="n"/>
      <c r="X145" s="40" t="n"/>
      <c r="Y145" s="40" t="n"/>
      <c r="Z145" s="40" t="n"/>
      <c r="AA145" s="39" t="n"/>
    </row>
    <row r="146">
      <c r="A146" s="7" t="n"/>
      <c r="B146" s="7" t="n"/>
      <c r="C146" s="39" t="n"/>
      <c r="D146" s="39" t="n"/>
      <c r="E146" s="7" t="n"/>
      <c r="F146" s="7" t="n"/>
      <c r="G146" s="7" t="n"/>
      <c r="H146" s="39" t="n"/>
      <c r="I146" s="39" t="n"/>
      <c r="J146" s="39" t="n"/>
      <c r="K146" s="39" t="n"/>
      <c r="L146" s="39" t="n"/>
      <c r="M146" s="7" t="n"/>
      <c r="N146" s="7" t="n"/>
      <c r="O146" s="40" t="n"/>
      <c r="P146" s="40" t="n"/>
      <c r="Q146" s="40" t="n"/>
      <c r="R146" s="40" t="n"/>
      <c r="S146" s="40" t="n"/>
      <c r="T146" s="40" t="n"/>
      <c r="U146" s="40" t="n"/>
      <c r="V146" s="40" t="n"/>
      <c r="W146" s="40" t="n"/>
      <c r="X146" s="40" t="n"/>
      <c r="Y146" s="40" t="n"/>
      <c r="Z146" s="40" t="n"/>
      <c r="AA146" s="39" t="n"/>
    </row>
    <row r="147">
      <c r="A147" s="7" t="n"/>
      <c r="B147" s="7" t="n"/>
      <c r="C147" s="39" t="n"/>
      <c r="D147" s="39" t="n"/>
      <c r="E147" s="7" t="n"/>
      <c r="F147" s="7" t="n"/>
      <c r="G147" s="7" t="n"/>
      <c r="H147" s="39" t="n"/>
      <c r="I147" s="39" t="n"/>
      <c r="J147" s="39" t="n"/>
      <c r="K147" s="39" t="n"/>
      <c r="L147" s="39" t="n"/>
      <c r="M147" s="7" t="n"/>
      <c r="N147" s="7" t="n"/>
      <c r="O147" s="40" t="n"/>
      <c r="P147" s="40" t="n"/>
      <c r="Q147" s="40" t="n"/>
      <c r="R147" s="40" t="n"/>
      <c r="S147" s="40" t="n"/>
      <c r="T147" s="40" t="n"/>
      <c r="U147" s="40" t="n"/>
      <c r="V147" s="40" t="n"/>
      <c r="W147" s="40" t="n"/>
      <c r="X147" s="40" t="n"/>
      <c r="Y147" s="40" t="n"/>
      <c r="Z147" s="40" t="n"/>
      <c r="AA147" s="39" t="n"/>
    </row>
    <row r="148">
      <c r="A148" s="7" t="n"/>
      <c r="B148" s="7" t="n"/>
      <c r="C148" s="39" t="n"/>
      <c r="D148" s="39" t="n"/>
      <c r="E148" s="7" t="n"/>
      <c r="F148" s="7" t="n"/>
      <c r="G148" s="7" t="n"/>
      <c r="H148" s="39" t="n"/>
      <c r="I148" s="39" t="n"/>
      <c r="J148" s="39" t="n"/>
      <c r="K148" s="39" t="n"/>
      <c r="L148" s="39" t="n"/>
      <c r="M148" s="7" t="n"/>
      <c r="N148" s="7" t="n"/>
      <c r="O148" s="40" t="n"/>
      <c r="P148" s="40" t="n"/>
      <c r="Q148" s="40" t="n"/>
      <c r="R148" s="40" t="n"/>
      <c r="S148" s="40" t="n"/>
      <c r="T148" s="40" t="n"/>
      <c r="U148" s="40" t="n"/>
      <c r="V148" s="40" t="n"/>
      <c r="W148" s="40" t="n"/>
      <c r="X148" s="40" t="n"/>
      <c r="Y148" s="40" t="n"/>
      <c r="Z148" s="40" t="n"/>
      <c r="AA148" s="39" t="n"/>
    </row>
    <row r="149">
      <c r="A149" s="7" t="n"/>
      <c r="B149" s="7" t="n"/>
      <c r="C149" s="39" t="n"/>
      <c r="D149" s="39" t="n"/>
      <c r="E149" s="7" t="n"/>
      <c r="F149" s="7" t="n"/>
      <c r="G149" s="7" t="n"/>
      <c r="H149" s="39" t="n"/>
      <c r="I149" s="39" t="n"/>
      <c r="J149" s="39" t="n"/>
      <c r="K149" s="39" t="n"/>
      <c r="L149" s="39" t="n"/>
      <c r="M149" s="7" t="n"/>
      <c r="N149" s="7" t="n"/>
      <c r="O149" s="40" t="n"/>
      <c r="P149" s="40" t="n"/>
      <c r="Q149" s="40" t="n"/>
      <c r="R149" s="40" t="n"/>
      <c r="S149" s="40" t="n"/>
      <c r="T149" s="40" t="n"/>
      <c r="U149" s="40" t="n"/>
      <c r="V149" s="40" t="n"/>
      <c r="W149" s="40" t="n"/>
      <c r="X149" s="40" t="n"/>
      <c r="Y149" s="40" t="n"/>
      <c r="Z149" s="40" t="n"/>
      <c r="AA149" s="39" t="n"/>
    </row>
    <row r="150">
      <c r="A150" s="7" t="n"/>
      <c r="B150" s="7" t="n"/>
      <c r="C150" s="39" t="n"/>
      <c r="D150" s="39" t="n"/>
      <c r="E150" s="7" t="n"/>
      <c r="F150" s="7" t="n"/>
      <c r="G150" s="7" t="n"/>
      <c r="H150" s="39" t="n"/>
      <c r="I150" s="39" t="n"/>
      <c r="J150" s="39" t="n"/>
      <c r="K150" s="39" t="n"/>
      <c r="L150" s="39" t="n"/>
      <c r="M150" s="7" t="n"/>
      <c r="N150" s="7" t="n"/>
      <c r="O150" s="40" t="n"/>
      <c r="P150" s="40" t="n"/>
      <c r="Q150" s="40" t="n"/>
      <c r="R150" s="40" t="n"/>
      <c r="S150" s="40" t="n"/>
      <c r="T150" s="40" t="n"/>
      <c r="U150" s="40" t="n"/>
      <c r="V150" s="40" t="n"/>
      <c r="W150" s="40" t="n"/>
      <c r="X150" s="40" t="n"/>
      <c r="Y150" s="40" t="n"/>
      <c r="Z150" s="40" t="n"/>
      <c r="AA150" s="39" t="n"/>
    </row>
    <row r="151">
      <c r="A151" s="7" t="n"/>
      <c r="B151" s="7" t="n"/>
      <c r="C151" s="39" t="n"/>
      <c r="D151" s="39" t="n"/>
      <c r="E151" s="7" t="n"/>
      <c r="F151" s="7" t="n"/>
      <c r="G151" s="7" t="n"/>
      <c r="H151" s="39" t="n"/>
      <c r="I151" s="39" t="n"/>
      <c r="J151" s="39" t="n"/>
      <c r="K151" s="39" t="n"/>
      <c r="L151" s="39" t="n"/>
      <c r="M151" s="7" t="n"/>
      <c r="N151" s="7" t="n"/>
      <c r="O151" s="40" t="n"/>
      <c r="P151" s="40" t="n"/>
      <c r="Q151" s="40" t="n"/>
      <c r="R151" s="40" t="n"/>
      <c r="S151" s="40" t="n"/>
      <c r="T151" s="40" t="n"/>
      <c r="U151" s="40" t="n"/>
      <c r="V151" s="40" t="n"/>
      <c r="W151" s="40" t="n"/>
      <c r="X151" s="40" t="n"/>
      <c r="Y151" s="40" t="n"/>
      <c r="Z151" s="40" t="n"/>
      <c r="AA151" s="39" t="n"/>
    </row>
    <row r="152">
      <c r="A152" s="7" t="n"/>
      <c r="B152" s="7" t="n"/>
      <c r="C152" s="39" t="n"/>
      <c r="D152" s="39" t="n"/>
      <c r="E152" s="7" t="n"/>
      <c r="F152" s="7" t="n"/>
      <c r="G152" s="7" t="n"/>
      <c r="H152" s="39" t="n"/>
      <c r="I152" s="39" t="n"/>
      <c r="J152" s="39" t="n"/>
      <c r="K152" s="39" t="n"/>
      <c r="L152" s="39" t="n"/>
      <c r="M152" s="7" t="n"/>
      <c r="N152" s="7" t="n"/>
      <c r="O152" s="40" t="n"/>
      <c r="P152" s="40" t="n"/>
      <c r="Q152" s="40" t="n"/>
      <c r="R152" s="40" t="n"/>
      <c r="S152" s="40" t="n"/>
      <c r="T152" s="40" t="n"/>
      <c r="U152" s="40" t="n"/>
      <c r="V152" s="40" t="n"/>
      <c r="W152" s="40" t="n"/>
      <c r="X152" s="40" t="n"/>
      <c r="Y152" s="40" t="n"/>
      <c r="Z152" s="40" t="n"/>
      <c r="AA152" s="39" t="n"/>
    </row>
    <row r="153">
      <c r="A153" s="7" t="n"/>
      <c r="B153" s="7" t="n"/>
      <c r="C153" s="39" t="n"/>
      <c r="D153" s="39" t="n"/>
      <c r="E153" s="7" t="n"/>
      <c r="F153" s="7" t="n"/>
      <c r="G153" s="7" t="n"/>
      <c r="H153" s="39" t="n"/>
      <c r="I153" s="39" t="n"/>
      <c r="J153" s="39" t="n"/>
      <c r="K153" s="39" t="n"/>
      <c r="L153" s="39" t="n"/>
      <c r="M153" s="7" t="n"/>
      <c r="N153" s="7" t="n"/>
      <c r="O153" s="40" t="n"/>
      <c r="P153" s="40" t="n"/>
      <c r="Q153" s="40" t="n"/>
      <c r="R153" s="40" t="n"/>
      <c r="S153" s="40" t="n"/>
      <c r="T153" s="40" t="n"/>
      <c r="U153" s="40" t="n"/>
      <c r="V153" s="40" t="n"/>
      <c r="W153" s="40" t="n"/>
      <c r="X153" s="40" t="n"/>
      <c r="Y153" s="40" t="n"/>
      <c r="Z153" s="40" t="n"/>
      <c r="AA153" s="39" t="n"/>
    </row>
    <row r="154">
      <c r="A154" s="7" t="n"/>
      <c r="B154" s="7" t="n"/>
      <c r="C154" s="39" t="n"/>
      <c r="D154" s="39" t="n"/>
      <c r="E154" s="7" t="n"/>
      <c r="F154" s="7" t="n"/>
      <c r="G154" s="7" t="n"/>
      <c r="H154" s="39" t="n"/>
      <c r="I154" s="39" t="n"/>
      <c r="J154" s="39" t="n"/>
      <c r="K154" s="39" t="n"/>
      <c r="L154" s="39" t="n"/>
      <c r="M154" s="7" t="n"/>
      <c r="N154" s="7" t="n"/>
      <c r="O154" s="40" t="n"/>
      <c r="P154" s="40" t="n"/>
      <c r="Q154" s="40" t="n"/>
      <c r="R154" s="40" t="n"/>
      <c r="S154" s="40" t="n"/>
      <c r="T154" s="40" t="n"/>
      <c r="U154" s="40" t="n"/>
      <c r="V154" s="40" t="n"/>
      <c r="W154" s="40" t="n"/>
      <c r="X154" s="40" t="n"/>
      <c r="Y154" s="40" t="n"/>
      <c r="Z154" s="40" t="n"/>
      <c r="AA154" s="39" t="n"/>
    </row>
    <row r="155">
      <c r="A155" s="7" t="n"/>
      <c r="B155" s="7" t="n"/>
      <c r="C155" s="39" t="n"/>
      <c r="D155" s="39" t="n"/>
      <c r="E155" s="7" t="n"/>
      <c r="F155" s="7" t="n"/>
      <c r="G155" s="7" t="n"/>
      <c r="H155" s="39" t="n"/>
      <c r="I155" s="39" t="n"/>
      <c r="J155" s="39" t="n"/>
      <c r="K155" s="39" t="n"/>
      <c r="L155" s="39" t="n"/>
      <c r="M155" s="7" t="n"/>
      <c r="N155" s="7" t="n"/>
      <c r="O155" s="40" t="n"/>
      <c r="P155" s="40" t="n"/>
      <c r="Q155" s="40" t="n"/>
      <c r="R155" s="40" t="n"/>
      <c r="S155" s="40" t="n"/>
      <c r="T155" s="40" t="n"/>
      <c r="U155" s="40" t="n"/>
      <c r="V155" s="40" t="n"/>
      <c r="W155" s="40" t="n"/>
      <c r="X155" s="40" t="n"/>
      <c r="Y155" s="40" t="n"/>
      <c r="Z155" s="40" t="n"/>
      <c r="AA155" s="39" t="n"/>
    </row>
    <row r="156">
      <c r="A156" s="7" t="n"/>
      <c r="B156" s="7" t="n"/>
      <c r="C156" s="39" t="n"/>
      <c r="D156" s="39" t="n"/>
      <c r="E156" s="7" t="n"/>
      <c r="F156" s="7" t="n"/>
      <c r="G156" s="7" t="n"/>
      <c r="H156" s="39" t="n"/>
      <c r="I156" s="39" t="n"/>
      <c r="J156" s="39" t="n"/>
      <c r="K156" s="39" t="n"/>
      <c r="L156" s="39" t="n"/>
      <c r="M156" s="7" t="n"/>
      <c r="N156" s="7" t="n"/>
      <c r="O156" s="40" t="n"/>
      <c r="P156" s="40" t="n"/>
      <c r="Q156" s="40" t="n"/>
      <c r="R156" s="40" t="n"/>
      <c r="S156" s="40" t="n"/>
      <c r="T156" s="40" t="n"/>
      <c r="U156" s="40" t="n"/>
      <c r="V156" s="40" t="n"/>
      <c r="W156" s="40" t="n"/>
      <c r="X156" s="40" t="n"/>
      <c r="Y156" s="40" t="n"/>
      <c r="Z156" s="40" t="n"/>
      <c r="AA156" s="39" t="n"/>
    </row>
    <row r="157">
      <c r="A157" s="7" t="n"/>
      <c r="B157" s="7" t="n"/>
      <c r="C157" s="39" t="n"/>
      <c r="D157" s="39" t="n"/>
      <c r="E157" s="7" t="n"/>
      <c r="F157" s="7" t="n"/>
      <c r="G157" s="7" t="n"/>
      <c r="H157" s="39" t="n"/>
      <c r="I157" s="39" t="n"/>
      <c r="J157" s="39" t="n"/>
      <c r="K157" s="39" t="n"/>
      <c r="L157" s="39" t="n"/>
      <c r="M157" s="7" t="n"/>
      <c r="N157" s="7" t="n"/>
      <c r="O157" s="40" t="n"/>
      <c r="P157" s="40" t="n"/>
      <c r="Q157" s="40" t="n"/>
      <c r="R157" s="40" t="n"/>
      <c r="S157" s="40" t="n"/>
      <c r="T157" s="40" t="n"/>
      <c r="U157" s="40" t="n"/>
      <c r="V157" s="40" t="n"/>
      <c r="W157" s="40" t="n"/>
      <c r="X157" s="40" t="n"/>
      <c r="Y157" s="40" t="n"/>
      <c r="Z157" s="40" t="n"/>
      <c r="AA157" s="39" t="n"/>
    </row>
    <row r="158">
      <c r="A158" s="7" t="n"/>
      <c r="B158" s="7" t="n"/>
      <c r="C158" s="39" t="n"/>
      <c r="D158" s="39" t="n"/>
      <c r="E158" s="7" t="n"/>
      <c r="F158" s="7" t="n"/>
      <c r="G158" s="7" t="n"/>
      <c r="H158" s="39" t="n"/>
      <c r="I158" s="39" t="n"/>
      <c r="J158" s="39" t="n"/>
      <c r="K158" s="39" t="n"/>
      <c r="L158" s="39" t="n"/>
      <c r="M158" s="7" t="n"/>
      <c r="N158" s="7" t="n"/>
      <c r="O158" s="40" t="n"/>
      <c r="P158" s="40" t="n"/>
      <c r="Q158" s="40" t="n"/>
      <c r="R158" s="40" t="n"/>
      <c r="S158" s="40" t="n"/>
      <c r="T158" s="40" t="n"/>
      <c r="U158" s="40" t="n"/>
      <c r="V158" s="40" t="n"/>
      <c r="W158" s="40" t="n"/>
      <c r="X158" s="40" t="n"/>
      <c r="Y158" s="40" t="n"/>
      <c r="Z158" s="40" t="n"/>
      <c r="AA158" s="39" t="n"/>
    </row>
    <row r="159">
      <c r="A159" s="7" t="n"/>
      <c r="B159" s="7" t="n"/>
      <c r="C159" s="39" t="n"/>
      <c r="D159" s="39" t="n"/>
      <c r="E159" s="7" t="n"/>
      <c r="F159" s="7" t="n"/>
      <c r="G159" s="7" t="n"/>
      <c r="H159" s="39" t="n"/>
      <c r="I159" s="39" t="n"/>
      <c r="J159" s="39" t="n"/>
      <c r="K159" s="39" t="n"/>
      <c r="L159" s="39" t="n"/>
      <c r="M159" s="7" t="n"/>
      <c r="N159" s="7" t="n"/>
      <c r="O159" s="40" t="n"/>
      <c r="P159" s="40" t="n"/>
      <c r="Q159" s="40" t="n"/>
      <c r="R159" s="40" t="n"/>
      <c r="S159" s="40" t="n"/>
      <c r="T159" s="40" t="n"/>
      <c r="U159" s="40" t="n"/>
      <c r="V159" s="40" t="n"/>
      <c r="W159" s="40" t="n"/>
      <c r="X159" s="40" t="n"/>
      <c r="Y159" s="40" t="n"/>
      <c r="Z159" s="40" t="n"/>
      <c r="AA159" s="39" t="n"/>
    </row>
    <row r="160">
      <c r="A160" s="7" t="n"/>
      <c r="B160" s="7" t="n"/>
      <c r="C160" s="39" t="n"/>
      <c r="D160" s="39" t="n"/>
      <c r="E160" s="7" t="n"/>
      <c r="F160" s="7" t="n"/>
      <c r="G160" s="7" t="n"/>
      <c r="H160" s="39" t="n"/>
      <c r="I160" s="39" t="n"/>
      <c r="J160" s="39" t="n"/>
      <c r="K160" s="39" t="n"/>
      <c r="L160" s="39" t="n"/>
      <c r="M160" s="7" t="n"/>
      <c r="N160" s="7" t="n"/>
      <c r="O160" s="40" t="n"/>
      <c r="P160" s="40" t="n"/>
      <c r="Q160" s="40" t="n"/>
      <c r="R160" s="40" t="n"/>
      <c r="S160" s="40" t="n"/>
      <c r="T160" s="40" t="n"/>
      <c r="U160" s="40" t="n"/>
      <c r="V160" s="40" t="n"/>
      <c r="W160" s="40" t="n"/>
      <c r="X160" s="40" t="n"/>
      <c r="Y160" s="40" t="n"/>
      <c r="Z160" s="40" t="n"/>
      <c r="AA160" s="39" t="n"/>
    </row>
    <row r="161">
      <c r="A161" s="7" t="n"/>
      <c r="B161" s="7" t="n"/>
      <c r="C161" s="39" t="n"/>
      <c r="D161" s="39" t="n"/>
      <c r="E161" s="7" t="n"/>
      <c r="F161" s="7" t="n"/>
      <c r="G161" s="7" t="n"/>
      <c r="H161" s="39" t="n"/>
      <c r="I161" s="39" t="n"/>
      <c r="J161" s="39" t="n"/>
      <c r="K161" s="39" t="n"/>
      <c r="L161" s="39" t="n"/>
      <c r="M161" s="7" t="n"/>
      <c r="N161" s="7" t="n"/>
      <c r="O161" s="40" t="n"/>
      <c r="P161" s="40" t="n"/>
      <c r="Q161" s="40" t="n"/>
      <c r="R161" s="40" t="n"/>
      <c r="S161" s="40" t="n"/>
      <c r="T161" s="40" t="n"/>
      <c r="U161" s="40" t="n"/>
      <c r="V161" s="40" t="n"/>
      <c r="W161" s="40" t="n"/>
      <c r="X161" s="40" t="n"/>
      <c r="Y161" s="40" t="n"/>
      <c r="Z161" s="40" t="n"/>
      <c r="AA161" s="39" t="n"/>
    </row>
    <row r="162">
      <c r="A162" s="7" t="n"/>
      <c r="B162" s="7" t="n"/>
      <c r="C162" s="39" t="n"/>
      <c r="D162" s="39" t="n"/>
      <c r="E162" s="7" t="n"/>
      <c r="F162" s="7" t="n"/>
      <c r="G162" s="7" t="n"/>
      <c r="H162" s="39" t="n"/>
      <c r="I162" s="39" t="n"/>
      <c r="J162" s="39" t="n"/>
      <c r="K162" s="39" t="n"/>
      <c r="L162" s="39" t="n"/>
      <c r="M162" s="7" t="n"/>
      <c r="N162" s="7" t="n"/>
      <c r="O162" s="40" t="n"/>
      <c r="P162" s="40" t="n"/>
      <c r="Q162" s="40" t="n"/>
      <c r="R162" s="40" t="n"/>
      <c r="S162" s="40" t="n"/>
      <c r="T162" s="40" t="n"/>
      <c r="U162" s="40" t="n"/>
      <c r="V162" s="40" t="n"/>
      <c r="W162" s="40" t="n"/>
      <c r="X162" s="40" t="n"/>
      <c r="Y162" s="40" t="n"/>
      <c r="Z162" s="40" t="n"/>
      <c r="AA162" s="39" t="n"/>
    </row>
    <row r="163">
      <c r="A163" s="7" t="n"/>
      <c r="B163" s="7" t="n"/>
      <c r="C163" s="39" t="n"/>
      <c r="D163" s="39" t="n"/>
      <c r="E163" s="7" t="n"/>
      <c r="F163" s="7" t="n"/>
      <c r="G163" s="7" t="n"/>
      <c r="H163" s="39" t="n"/>
      <c r="I163" s="39" t="n"/>
      <c r="J163" s="39" t="n"/>
      <c r="K163" s="39" t="n"/>
      <c r="L163" s="39" t="n"/>
      <c r="M163" s="7" t="n"/>
      <c r="N163" s="7" t="n"/>
      <c r="O163" s="40" t="n"/>
      <c r="P163" s="40" t="n"/>
      <c r="Q163" s="40" t="n"/>
      <c r="R163" s="40" t="n"/>
      <c r="S163" s="40" t="n"/>
      <c r="T163" s="40" t="n"/>
      <c r="U163" s="40" t="n"/>
      <c r="V163" s="40" t="n"/>
      <c r="W163" s="40" t="n"/>
      <c r="X163" s="40" t="n"/>
      <c r="Y163" s="40" t="n"/>
      <c r="Z163" s="40" t="n"/>
      <c r="AA163" s="39" t="n"/>
    </row>
    <row r="164">
      <c r="A164" s="7" t="n"/>
      <c r="B164" s="7" t="n"/>
      <c r="C164" s="39" t="n"/>
      <c r="D164" s="39" t="n"/>
      <c r="E164" s="7" t="n"/>
      <c r="F164" s="7" t="n"/>
      <c r="G164" s="7" t="n"/>
      <c r="H164" s="39" t="n"/>
      <c r="I164" s="39" t="n"/>
      <c r="J164" s="39" t="n"/>
      <c r="K164" s="39" t="n"/>
      <c r="L164" s="39" t="n"/>
      <c r="M164" s="7" t="n"/>
      <c r="N164" s="7" t="n"/>
      <c r="O164" s="40" t="n"/>
      <c r="P164" s="40" t="n"/>
      <c r="Q164" s="40" t="n"/>
      <c r="R164" s="40" t="n"/>
      <c r="S164" s="40" t="n"/>
      <c r="T164" s="40" t="n"/>
      <c r="U164" s="40" t="n"/>
      <c r="V164" s="40" t="n"/>
      <c r="W164" s="40" t="n"/>
      <c r="X164" s="40" t="n"/>
      <c r="Y164" s="40" t="n"/>
      <c r="Z164" s="40" t="n"/>
      <c r="AA164" s="39" t="n"/>
    </row>
    <row r="165">
      <c r="A165" s="7" t="n"/>
      <c r="B165" s="7" t="n"/>
      <c r="C165" s="39" t="n"/>
      <c r="D165" s="39" t="n"/>
      <c r="E165" s="7" t="n"/>
      <c r="F165" s="7" t="n"/>
      <c r="G165" s="7" t="n"/>
      <c r="H165" s="39" t="n"/>
      <c r="I165" s="39" t="n"/>
      <c r="J165" s="39" t="n"/>
      <c r="K165" s="39" t="n"/>
      <c r="L165" s="39" t="n"/>
      <c r="M165" s="7" t="n"/>
      <c r="N165" s="7" t="n"/>
      <c r="O165" s="40" t="n"/>
      <c r="P165" s="40" t="n"/>
      <c r="Q165" s="40" t="n"/>
      <c r="R165" s="40" t="n"/>
      <c r="S165" s="40" t="n"/>
      <c r="T165" s="40" t="n"/>
      <c r="U165" s="40" t="n"/>
      <c r="V165" s="40" t="n"/>
      <c r="W165" s="40" t="n"/>
      <c r="X165" s="40" t="n"/>
      <c r="Y165" s="40" t="n"/>
      <c r="Z165" s="40" t="n"/>
      <c r="AA165" s="39" t="n"/>
    </row>
    <row r="166">
      <c r="A166" s="7" t="n"/>
      <c r="B166" s="7" t="n"/>
      <c r="C166" s="39" t="n"/>
      <c r="D166" s="39" t="n"/>
      <c r="E166" s="7" t="n"/>
      <c r="F166" s="7" t="n"/>
      <c r="G166" s="7" t="n"/>
      <c r="H166" s="39" t="n"/>
      <c r="I166" s="39" t="n"/>
      <c r="J166" s="39" t="n"/>
      <c r="K166" s="39" t="n"/>
      <c r="L166" s="39" t="n"/>
      <c r="M166" s="7" t="n"/>
      <c r="N166" s="7" t="n"/>
      <c r="O166" s="40" t="n"/>
      <c r="P166" s="40" t="n"/>
      <c r="Q166" s="40" t="n"/>
      <c r="R166" s="40" t="n"/>
      <c r="S166" s="40" t="n"/>
      <c r="T166" s="40" t="n"/>
      <c r="U166" s="40" t="n"/>
      <c r="V166" s="40" t="n"/>
      <c r="W166" s="40" t="n"/>
      <c r="X166" s="40" t="n"/>
      <c r="Y166" s="40" t="n"/>
      <c r="Z166" s="40" t="n"/>
      <c r="AA166" s="39" t="n"/>
    </row>
    <row r="167">
      <c r="A167" s="7" t="n"/>
      <c r="B167" s="7" t="n"/>
      <c r="C167" s="39" t="n"/>
      <c r="D167" s="39" t="n"/>
      <c r="E167" s="7" t="n"/>
      <c r="F167" s="7" t="n"/>
      <c r="G167" s="7" t="n"/>
      <c r="H167" s="39" t="n"/>
      <c r="I167" s="39" t="n"/>
      <c r="J167" s="39" t="n"/>
      <c r="K167" s="39" t="n"/>
      <c r="L167" s="39" t="n"/>
      <c r="M167" s="7" t="n"/>
      <c r="N167" s="7" t="n"/>
      <c r="O167" s="40" t="n"/>
      <c r="P167" s="40" t="n"/>
      <c r="Q167" s="40" t="n"/>
      <c r="R167" s="40" t="n"/>
      <c r="S167" s="40" t="n"/>
      <c r="T167" s="40" t="n"/>
      <c r="U167" s="40" t="n"/>
      <c r="V167" s="40" t="n"/>
      <c r="W167" s="40" t="n"/>
      <c r="X167" s="40" t="n"/>
      <c r="Y167" s="40" t="n"/>
      <c r="Z167" s="40" t="n"/>
      <c r="AA167" s="39" t="n"/>
    </row>
    <row r="168">
      <c r="A168" s="7" t="n"/>
      <c r="B168" s="7" t="n"/>
      <c r="C168" s="39" t="n"/>
      <c r="D168" s="39" t="n"/>
      <c r="E168" s="7" t="n"/>
      <c r="F168" s="7" t="n"/>
      <c r="G168" s="7" t="n"/>
      <c r="H168" s="39" t="n"/>
      <c r="I168" s="39" t="n"/>
      <c r="J168" s="39" t="n"/>
      <c r="K168" s="39" t="n"/>
      <c r="L168" s="39" t="n"/>
      <c r="M168" s="7" t="n"/>
      <c r="N168" s="7" t="n"/>
      <c r="O168" s="40" t="n"/>
      <c r="P168" s="40" t="n"/>
      <c r="Q168" s="40" t="n"/>
      <c r="R168" s="40" t="n"/>
      <c r="S168" s="40" t="n"/>
      <c r="T168" s="40" t="n"/>
      <c r="U168" s="40" t="n"/>
      <c r="V168" s="40" t="n"/>
      <c r="W168" s="40" t="n"/>
      <c r="X168" s="40" t="n"/>
      <c r="Y168" s="40" t="n"/>
      <c r="Z168" s="40" t="n"/>
      <c r="AA168" s="39" t="n"/>
    </row>
    <row r="169">
      <c r="A169" s="7" t="n"/>
      <c r="B169" s="7" t="n"/>
      <c r="C169" s="39" t="n"/>
      <c r="D169" s="39" t="n"/>
      <c r="E169" s="7" t="n"/>
      <c r="F169" s="7" t="n"/>
      <c r="G169" s="7" t="n"/>
      <c r="H169" s="39" t="n"/>
      <c r="I169" s="39" t="n"/>
      <c r="J169" s="39" t="n"/>
      <c r="K169" s="39" t="n"/>
      <c r="L169" s="39" t="n"/>
      <c r="M169" s="7" t="n"/>
      <c r="N169" s="7" t="n"/>
      <c r="O169" s="40" t="n"/>
      <c r="P169" s="40" t="n"/>
      <c r="Q169" s="40" t="n"/>
      <c r="R169" s="40" t="n"/>
      <c r="S169" s="40" t="n"/>
      <c r="T169" s="40" t="n"/>
      <c r="U169" s="40" t="n"/>
      <c r="V169" s="40" t="n"/>
      <c r="W169" s="40" t="n"/>
      <c r="X169" s="40" t="n"/>
      <c r="Y169" s="40" t="n"/>
      <c r="Z169" s="40" t="n"/>
      <c r="AA169" s="39" t="n"/>
    </row>
    <row r="170">
      <c r="A170" s="7" t="n"/>
      <c r="B170" s="7" t="n"/>
      <c r="C170" s="39" t="n"/>
      <c r="D170" s="39" t="n"/>
      <c r="E170" s="7" t="n"/>
      <c r="F170" s="7" t="n"/>
      <c r="G170" s="7" t="n"/>
      <c r="H170" s="39" t="n"/>
      <c r="I170" s="39" t="n"/>
      <c r="J170" s="39" t="n"/>
      <c r="K170" s="39" t="n"/>
      <c r="L170" s="39" t="n"/>
      <c r="M170" s="7" t="n"/>
      <c r="N170" s="7" t="n"/>
      <c r="O170" s="40" t="n"/>
      <c r="P170" s="40" t="n"/>
      <c r="Q170" s="40" t="n"/>
      <c r="R170" s="40" t="n"/>
      <c r="S170" s="40" t="n"/>
      <c r="T170" s="40" t="n"/>
      <c r="U170" s="40" t="n"/>
      <c r="V170" s="40" t="n"/>
      <c r="W170" s="40" t="n"/>
      <c r="X170" s="40" t="n"/>
      <c r="Y170" s="40" t="n"/>
      <c r="Z170" s="40" t="n"/>
      <c r="AA170" s="39" t="n"/>
    </row>
    <row r="171">
      <c r="A171" s="7" t="n"/>
      <c r="B171" s="7" t="n"/>
      <c r="C171" s="39" t="n"/>
      <c r="D171" s="39" t="n"/>
      <c r="E171" s="7" t="n"/>
      <c r="F171" s="7" t="n"/>
      <c r="G171" s="7" t="n"/>
      <c r="H171" s="39" t="n"/>
      <c r="I171" s="39" t="n"/>
      <c r="J171" s="39" t="n"/>
      <c r="K171" s="39" t="n"/>
      <c r="L171" s="39" t="n"/>
      <c r="M171" s="7" t="n"/>
      <c r="N171" s="7" t="n"/>
      <c r="O171" s="40" t="n"/>
      <c r="P171" s="40" t="n"/>
      <c r="Q171" s="40" t="n"/>
      <c r="R171" s="40" t="n"/>
      <c r="S171" s="40" t="n"/>
      <c r="T171" s="40" t="n"/>
      <c r="U171" s="40" t="n"/>
      <c r="V171" s="40" t="n"/>
      <c r="W171" s="40" t="n"/>
      <c r="X171" s="40" t="n"/>
      <c r="Y171" s="40" t="n"/>
      <c r="Z171" s="40" t="n"/>
      <c r="AA171" s="39" t="n"/>
    </row>
    <row r="172">
      <c r="A172" s="7" t="n"/>
      <c r="B172" s="7" t="n"/>
      <c r="C172" s="39" t="n"/>
      <c r="D172" s="39" t="n"/>
      <c r="E172" s="7" t="n"/>
      <c r="F172" s="7" t="n"/>
      <c r="G172" s="7" t="n"/>
      <c r="H172" s="39" t="n"/>
      <c r="I172" s="39" t="n"/>
      <c r="J172" s="39" t="n"/>
      <c r="K172" s="39" t="n"/>
      <c r="L172" s="39" t="n"/>
      <c r="M172" s="7" t="n"/>
      <c r="N172" s="7" t="n"/>
      <c r="O172" s="40" t="n"/>
      <c r="P172" s="40" t="n"/>
      <c r="Q172" s="40" t="n"/>
      <c r="R172" s="40" t="n"/>
      <c r="S172" s="40" t="n"/>
      <c r="T172" s="40" t="n"/>
      <c r="U172" s="40" t="n"/>
      <c r="V172" s="40" t="n"/>
      <c r="W172" s="40" t="n"/>
      <c r="X172" s="40" t="n"/>
      <c r="Y172" s="40" t="n"/>
      <c r="Z172" s="40" t="n"/>
      <c r="AA172" s="39" t="n"/>
    </row>
    <row r="173">
      <c r="A173" s="7" t="n"/>
      <c r="B173" s="7" t="n"/>
      <c r="C173" s="39" t="n"/>
      <c r="D173" s="39" t="n"/>
      <c r="E173" s="7" t="n"/>
      <c r="F173" s="7" t="n"/>
      <c r="G173" s="7" t="n"/>
      <c r="H173" s="39" t="n"/>
      <c r="I173" s="39" t="n"/>
      <c r="J173" s="39" t="n"/>
      <c r="K173" s="39" t="n"/>
      <c r="L173" s="39" t="n"/>
      <c r="M173" s="7" t="n"/>
      <c r="N173" s="7" t="n"/>
      <c r="O173" s="40" t="n"/>
      <c r="P173" s="40" t="n"/>
      <c r="Q173" s="40" t="n"/>
      <c r="R173" s="40" t="n"/>
      <c r="S173" s="40" t="n"/>
      <c r="T173" s="40" t="n"/>
      <c r="U173" s="40" t="n"/>
      <c r="V173" s="40" t="n"/>
      <c r="W173" s="40" t="n"/>
      <c r="X173" s="40" t="n"/>
      <c r="Y173" s="40" t="n"/>
      <c r="Z173" s="40" t="n"/>
      <c r="AA173" s="39" t="n"/>
    </row>
    <row r="174">
      <c r="A174" s="7" t="n"/>
      <c r="B174" s="7" t="n"/>
      <c r="C174" s="39" t="n"/>
      <c r="D174" s="39" t="n"/>
      <c r="E174" s="7" t="n"/>
      <c r="F174" s="7" t="n"/>
      <c r="G174" s="7" t="n"/>
      <c r="H174" s="39" t="n"/>
      <c r="I174" s="39" t="n"/>
      <c r="J174" s="39" t="n"/>
      <c r="K174" s="39" t="n"/>
      <c r="L174" s="39" t="n"/>
      <c r="M174" s="7" t="n"/>
      <c r="N174" s="7" t="n"/>
      <c r="O174" s="40" t="n"/>
      <c r="P174" s="40" t="n"/>
      <c r="Q174" s="40" t="n"/>
      <c r="R174" s="40" t="n"/>
      <c r="S174" s="40" t="n"/>
      <c r="T174" s="40" t="n"/>
      <c r="U174" s="40" t="n"/>
      <c r="V174" s="40" t="n"/>
      <c r="W174" s="40" t="n"/>
      <c r="X174" s="40" t="n"/>
      <c r="Y174" s="40" t="n"/>
      <c r="Z174" s="40" t="n"/>
      <c r="AA174" s="39" t="n"/>
    </row>
    <row r="175">
      <c r="A175" s="7" t="n"/>
      <c r="B175" s="7" t="n"/>
      <c r="C175" s="39" t="n"/>
      <c r="D175" s="39" t="n"/>
      <c r="E175" s="7" t="n"/>
      <c r="F175" s="7" t="n"/>
      <c r="G175" s="7" t="n"/>
      <c r="H175" s="39" t="n"/>
      <c r="I175" s="39" t="n"/>
      <c r="J175" s="39" t="n"/>
      <c r="K175" s="39" t="n"/>
      <c r="L175" s="39" t="n"/>
      <c r="M175" s="7" t="n"/>
      <c r="N175" s="7" t="n"/>
      <c r="O175" s="40" t="n"/>
      <c r="P175" s="40" t="n"/>
      <c r="Q175" s="40" t="n"/>
      <c r="R175" s="40" t="n"/>
      <c r="S175" s="40" t="n"/>
      <c r="T175" s="40" t="n"/>
      <c r="U175" s="40" t="n"/>
      <c r="V175" s="40" t="n"/>
      <c r="W175" s="40" t="n"/>
      <c r="X175" s="40" t="n"/>
      <c r="Y175" s="40" t="n"/>
      <c r="Z175" s="40" t="n"/>
      <c r="AA175" s="39" t="n"/>
    </row>
    <row r="176">
      <c r="A176" s="7" t="n"/>
      <c r="B176" s="7" t="n"/>
      <c r="C176" s="39" t="n"/>
      <c r="D176" s="39" t="n"/>
      <c r="E176" s="7" t="n"/>
      <c r="F176" s="7" t="n"/>
      <c r="G176" s="7" t="n"/>
      <c r="H176" s="39" t="n"/>
      <c r="I176" s="39" t="n"/>
      <c r="J176" s="39" t="n"/>
      <c r="K176" s="39" t="n"/>
      <c r="L176" s="39" t="n"/>
      <c r="M176" s="7" t="n"/>
      <c r="N176" s="7" t="n"/>
      <c r="O176" s="40" t="n"/>
      <c r="P176" s="40" t="n"/>
      <c r="Q176" s="40" t="n"/>
      <c r="R176" s="40" t="n"/>
      <c r="S176" s="40" t="n"/>
      <c r="T176" s="40" t="n"/>
      <c r="U176" s="40" t="n"/>
      <c r="V176" s="40" t="n"/>
      <c r="W176" s="40" t="n"/>
      <c r="X176" s="40" t="n"/>
      <c r="Y176" s="40" t="n"/>
      <c r="Z176" s="40" t="n"/>
      <c r="AA176" s="39" t="n"/>
    </row>
    <row r="177">
      <c r="A177" s="7" t="n"/>
      <c r="B177" s="7" t="n"/>
      <c r="C177" s="39" t="n"/>
      <c r="D177" s="39" t="n"/>
      <c r="E177" s="7" t="n"/>
      <c r="F177" s="7" t="n"/>
      <c r="G177" s="7" t="n"/>
      <c r="H177" s="39" t="n"/>
      <c r="I177" s="39" t="n"/>
      <c r="J177" s="39" t="n"/>
      <c r="K177" s="39" t="n"/>
      <c r="L177" s="39" t="n"/>
      <c r="M177" s="7" t="n"/>
      <c r="N177" s="7" t="n"/>
      <c r="O177" s="40" t="n"/>
      <c r="P177" s="40" t="n"/>
      <c r="Q177" s="40" t="n"/>
      <c r="R177" s="40" t="n"/>
      <c r="S177" s="40" t="n"/>
      <c r="T177" s="40" t="n"/>
      <c r="U177" s="40" t="n"/>
      <c r="V177" s="40" t="n"/>
      <c r="W177" s="40" t="n"/>
      <c r="X177" s="40" t="n"/>
      <c r="Y177" s="40" t="n"/>
      <c r="Z177" s="40" t="n"/>
      <c r="AA177" s="39" t="n"/>
    </row>
    <row r="178">
      <c r="A178" s="7" t="n"/>
      <c r="B178" s="7" t="n"/>
      <c r="C178" s="39" t="n"/>
      <c r="D178" s="39" t="n"/>
      <c r="E178" s="7" t="n"/>
      <c r="F178" s="7" t="n"/>
      <c r="G178" s="7" t="n"/>
      <c r="H178" s="39" t="n"/>
      <c r="I178" s="39" t="n"/>
      <c r="J178" s="39" t="n"/>
      <c r="K178" s="39" t="n"/>
      <c r="L178" s="39" t="n"/>
      <c r="M178" s="7" t="n"/>
      <c r="N178" s="7" t="n"/>
      <c r="O178" s="40" t="n"/>
      <c r="P178" s="40" t="n"/>
      <c r="Q178" s="40" t="n"/>
      <c r="R178" s="40" t="n"/>
      <c r="S178" s="40" t="n"/>
      <c r="T178" s="40" t="n"/>
      <c r="U178" s="40" t="n"/>
      <c r="V178" s="40" t="n"/>
      <c r="W178" s="40" t="n"/>
      <c r="X178" s="40" t="n"/>
      <c r="Y178" s="40" t="n"/>
      <c r="Z178" s="40" t="n"/>
      <c r="AA178" s="39" t="n"/>
    </row>
    <row r="179">
      <c r="A179" s="7" t="n"/>
      <c r="B179" s="7" t="n"/>
      <c r="C179" s="39" t="n"/>
      <c r="D179" s="39" t="n"/>
      <c r="E179" s="7" t="n"/>
      <c r="F179" s="7" t="n"/>
      <c r="G179" s="7" t="n"/>
      <c r="H179" s="39" t="n"/>
      <c r="I179" s="39" t="n"/>
      <c r="J179" s="39" t="n"/>
      <c r="K179" s="39" t="n"/>
      <c r="L179" s="39" t="n"/>
      <c r="M179" s="7" t="n"/>
      <c r="N179" s="7" t="n"/>
      <c r="O179" s="40" t="n"/>
      <c r="P179" s="40" t="n"/>
      <c r="Q179" s="40" t="n"/>
      <c r="R179" s="40" t="n"/>
      <c r="S179" s="40" t="n"/>
      <c r="T179" s="40" t="n"/>
      <c r="U179" s="40" t="n"/>
      <c r="V179" s="40" t="n"/>
      <c r="W179" s="40" t="n"/>
      <c r="X179" s="40" t="n"/>
      <c r="Y179" s="40" t="n"/>
      <c r="Z179" s="40" t="n"/>
      <c r="AA179" s="39" t="n"/>
    </row>
    <row r="180">
      <c r="A180" s="7" t="n"/>
      <c r="B180" s="7" t="n"/>
      <c r="C180" s="39" t="n"/>
      <c r="D180" s="39" t="n"/>
      <c r="E180" s="7" t="n"/>
      <c r="F180" s="7" t="n"/>
      <c r="G180" s="7" t="n"/>
      <c r="H180" s="39" t="n"/>
      <c r="I180" s="39" t="n"/>
      <c r="J180" s="39" t="n"/>
      <c r="K180" s="39" t="n"/>
      <c r="L180" s="39" t="n"/>
      <c r="M180" s="7" t="n"/>
      <c r="N180" s="7" t="n"/>
      <c r="O180" s="40" t="n"/>
      <c r="P180" s="40" t="n"/>
      <c r="Q180" s="40" t="n"/>
      <c r="R180" s="40" t="n"/>
      <c r="S180" s="40" t="n"/>
      <c r="T180" s="40" t="n"/>
      <c r="U180" s="40" t="n"/>
      <c r="V180" s="40" t="n"/>
      <c r="W180" s="40" t="n"/>
      <c r="X180" s="40" t="n"/>
      <c r="Y180" s="40" t="n"/>
      <c r="Z180" s="40" t="n"/>
      <c r="AA180" s="39" t="n"/>
    </row>
    <row r="181">
      <c r="A181" s="7" t="n"/>
      <c r="B181" s="7" t="n"/>
      <c r="C181" s="39" t="n"/>
      <c r="D181" s="39" t="n"/>
      <c r="E181" s="7" t="n"/>
      <c r="F181" s="7" t="n"/>
      <c r="G181" s="7" t="n"/>
      <c r="H181" s="39" t="n"/>
      <c r="I181" s="39" t="n"/>
      <c r="J181" s="39" t="n"/>
      <c r="K181" s="39" t="n"/>
      <c r="L181" s="39" t="n"/>
      <c r="M181" s="7" t="n"/>
      <c r="N181" s="7" t="n"/>
      <c r="O181" s="40" t="n"/>
      <c r="P181" s="40" t="n"/>
      <c r="Q181" s="40" t="n"/>
      <c r="R181" s="40" t="n"/>
      <c r="S181" s="40" t="n"/>
      <c r="T181" s="40" t="n"/>
      <c r="U181" s="40" t="n"/>
      <c r="V181" s="40" t="n"/>
      <c r="W181" s="40" t="n"/>
      <c r="X181" s="40" t="n"/>
      <c r="Y181" s="40" t="n"/>
      <c r="Z181" s="40" t="n"/>
      <c r="AA181" s="39" t="n"/>
    </row>
    <row r="182">
      <c r="A182" s="7" t="n"/>
      <c r="B182" s="7" t="n"/>
      <c r="C182" s="39" t="n"/>
      <c r="D182" s="39" t="n"/>
      <c r="E182" s="7" t="n"/>
      <c r="F182" s="7" t="n"/>
      <c r="G182" s="7" t="n"/>
      <c r="H182" s="39" t="n"/>
      <c r="I182" s="39" t="n"/>
      <c r="J182" s="39" t="n"/>
      <c r="K182" s="39" t="n"/>
      <c r="L182" s="39" t="n"/>
      <c r="M182" s="7" t="n"/>
      <c r="N182" s="7" t="n"/>
      <c r="O182" s="40" t="n"/>
      <c r="P182" s="40" t="n"/>
      <c r="Q182" s="40" t="n"/>
      <c r="R182" s="40" t="n"/>
      <c r="S182" s="40" t="n"/>
      <c r="T182" s="40" t="n"/>
      <c r="U182" s="40" t="n"/>
      <c r="V182" s="40" t="n"/>
      <c r="W182" s="40" t="n"/>
      <c r="X182" s="40" t="n"/>
      <c r="Y182" s="40" t="n"/>
      <c r="Z182" s="40" t="n"/>
      <c r="AA182" s="39" t="n"/>
    </row>
    <row r="183">
      <c r="A183" s="7" t="n"/>
      <c r="B183" s="7" t="n"/>
      <c r="C183" s="39" t="n"/>
      <c r="D183" s="39" t="n"/>
      <c r="E183" s="7" t="n"/>
      <c r="F183" s="7" t="n"/>
      <c r="G183" s="7" t="n"/>
      <c r="H183" s="39" t="n"/>
      <c r="I183" s="39" t="n"/>
      <c r="J183" s="39" t="n"/>
      <c r="K183" s="39" t="n"/>
      <c r="L183" s="39" t="n"/>
      <c r="M183" s="7" t="n"/>
      <c r="N183" s="7" t="n"/>
      <c r="O183" s="40" t="n"/>
      <c r="P183" s="40" t="n"/>
      <c r="Q183" s="40" t="n"/>
      <c r="R183" s="40" t="n"/>
      <c r="S183" s="40" t="n"/>
      <c r="T183" s="40" t="n"/>
      <c r="U183" s="40" t="n"/>
      <c r="V183" s="40" t="n"/>
      <c r="W183" s="40" t="n"/>
      <c r="X183" s="40" t="n"/>
      <c r="Y183" s="40" t="n"/>
      <c r="Z183" s="40" t="n"/>
      <c r="AA183" s="39" t="n"/>
    </row>
    <row r="184">
      <c r="A184" s="7" t="n"/>
      <c r="B184" s="7" t="n"/>
      <c r="C184" s="39" t="n"/>
      <c r="D184" s="39" t="n"/>
      <c r="E184" s="7" t="n"/>
      <c r="F184" s="7" t="n"/>
      <c r="G184" s="7" t="n"/>
      <c r="H184" s="39" t="n"/>
      <c r="I184" s="39" t="n"/>
      <c r="J184" s="39" t="n"/>
      <c r="K184" s="39" t="n"/>
      <c r="L184" s="39" t="n"/>
      <c r="M184" s="7" t="n"/>
      <c r="N184" s="7" t="n"/>
      <c r="O184" s="40" t="n"/>
      <c r="P184" s="40" t="n"/>
      <c r="Q184" s="40" t="n"/>
      <c r="R184" s="40" t="n"/>
      <c r="S184" s="40" t="n"/>
      <c r="T184" s="40" t="n"/>
      <c r="U184" s="40" t="n"/>
      <c r="V184" s="40" t="n"/>
      <c r="W184" s="40" t="n"/>
      <c r="X184" s="40" t="n"/>
      <c r="Y184" s="40" t="n"/>
      <c r="Z184" s="40" t="n"/>
      <c r="AA184" s="39" t="n"/>
    </row>
    <row r="185">
      <c r="A185" s="7" t="n"/>
      <c r="B185" s="7" t="n"/>
      <c r="C185" s="39" t="n"/>
      <c r="D185" s="39" t="n"/>
      <c r="E185" s="7" t="n"/>
      <c r="F185" s="7" t="n"/>
      <c r="G185" s="7" t="n"/>
      <c r="H185" s="39" t="n"/>
      <c r="I185" s="39" t="n"/>
      <c r="J185" s="39" t="n"/>
      <c r="K185" s="39" t="n"/>
      <c r="L185" s="39" t="n"/>
      <c r="M185" s="7" t="n"/>
      <c r="N185" s="7" t="n"/>
      <c r="O185" s="40" t="n"/>
      <c r="P185" s="40" t="n"/>
      <c r="Q185" s="40" t="n"/>
      <c r="R185" s="40" t="n"/>
      <c r="S185" s="40" t="n"/>
      <c r="T185" s="40" t="n"/>
      <c r="U185" s="40" t="n"/>
      <c r="V185" s="40" t="n"/>
      <c r="W185" s="40" t="n"/>
      <c r="X185" s="40" t="n"/>
      <c r="Y185" s="40" t="n"/>
      <c r="Z185" s="40" t="n"/>
      <c r="AA185" s="39" t="n"/>
    </row>
    <row r="186">
      <c r="A186" s="7" t="n"/>
      <c r="B186" s="7" t="n"/>
      <c r="C186" s="39" t="n"/>
      <c r="D186" s="39" t="n"/>
      <c r="E186" s="7" t="n"/>
      <c r="F186" s="7" t="n"/>
      <c r="G186" s="7" t="n"/>
      <c r="H186" s="39" t="n"/>
      <c r="I186" s="39" t="n"/>
      <c r="J186" s="39" t="n"/>
      <c r="K186" s="39" t="n"/>
      <c r="L186" s="39" t="n"/>
      <c r="M186" s="7" t="n"/>
      <c r="N186" s="7" t="n"/>
      <c r="O186" s="40" t="n"/>
      <c r="P186" s="40" t="n"/>
      <c r="Q186" s="40" t="n"/>
      <c r="R186" s="40" t="n"/>
      <c r="S186" s="40" t="n"/>
      <c r="T186" s="40" t="n"/>
      <c r="U186" s="40" t="n"/>
      <c r="V186" s="40" t="n"/>
      <c r="W186" s="40" t="n"/>
      <c r="X186" s="40" t="n"/>
      <c r="Y186" s="40" t="n"/>
      <c r="Z186" s="40" t="n"/>
      <c r="AA186" s="39" t="n"/>
    </row>
    <row r="187">
      <c r="A187" s="7" t="n"/>
      <c r="B187" s="7" t="n"/>
      <c r="C187" s="39" t="n"/>
      <c r="D187" s="39" t="n"/>
      <c r="E187" s="7" t="n"/>
      <c r="F187" s="7" t="n"/>
      <c r="G187" s="7" t="n"/>
      <c r="H187" s="39" t="n"/>
      <c r="I187" s="39" t="n"/>
      <c r="J187" s="39" t="n"/>
      <c r="K187" s="39" t="n"/>
      <c r="L187" s="39" t="n"/>
      <c r="M187" s="7" t="n"/>
      <c r="N187" s="7" t="n"/>
      <c r="O187" s="40" t="n"/>
      <c r="P187" s="40" t="n"/>
      <c r="Q187" s="40" t="n"/>
      <c r="R187" s="40" t="n"/>
      <c r="S187" s="40" t="n"/>
      <c r="T187" s="40" t="n"/>
      <c r="U187" s="40" t="n"/>
      <c r="V187" s="40" t="n"/>
      <c r="W187" s="40" t="n"/>
      <c r="X187" s="40" t="n"/>
      <c r="Y187" s="40" t="n"/>
      <c r="Z187" s="40" t="n"/>
      <c r="AA187" s="39" t="n"/>
    </row>
    <row r="188">
      <c r="A188" s="7" t="n"/>
      <c r="B188" s="7" t="n"/>
      <c r="C188" s="39" t="n"/>
      <c r="D188" s="39" t="n"/>
      <c r="E188" s="7" t="n"/>
      <c r="F188" s="7" t="n"/>
      <c r="G188" s="7" t="n"/>
      <c r="H188" s="39" t="n"/>
      <c r="I188" s="39" t="n"/>
      <c r="J188" s="39" t="n"/>
      <c r="K188" s="39" t="n"/>
      <c r="L188" s="39" t="n"/>
      <c r="M188" s="7" t="n"/>
      <c r="N188" s="7" t="n"/>
      <c r="O188" s="40" t="n"/>
      <c r="P188" s="40" t="n"/>
      <c r="Q188" s="40" t="n"/>
      <c r="R188" s="40" t="n"/>
      <c r="S188" s="40" t="n"/>
      <c r="T188" s="40" t="n"/>
      <c r="U188" s="40" t="n"/>
      <c r="V188" s="40" t="n"/>
      <c r="W188" s="40" t="n"/>
      <c r="X188" s="40" t="n"/>
      <c r="Y188" s="40" t="n"/>
      <c r="Z188" s="40" t="n"/>
      <c r="AA188" s="39" t="n"/>
    </row>
    <row r="189">
      <c r="A189" s="7" t="n"/>
      <c r="B189" s="7" t="n"/>
      <c r="C189" s="39" t="n"/>
      <c r="D189" s="39" t="n"/>
      <c r="E189" s="7" t="n"/>
      <c r="F189" s="7" t="n"/>
      <c r="G189" s="7" t="n"/>
      <c r="H189" s="39" t="n"/>
      <c r="I189" s="39" t="n"/>
      <c r="J189" s="39" t="n"/>
      <c r="K189" s="39" t="n"/>
      <c r="L189" s="39" t="n"/>
      <c r="M189" s="7" t="n"/>
      <c r="N189" s="7" t="n"/>
      <c r="O189" s="40" t="n"/>
      <c r="P189" s="40" t="n"/>
      <c r="Q189" s="40" t="n"/>
      <c r="R189" s="40" t="n"/>
      <c r="S189" s="40" t="n"/>
      <c r="T189" s="40" t="n"/>
      <c r="U189" s="40" t="n"/>
      <c r="V189" s="40" t="n"/>
      <c r="W189" s="40" t="n"/>
      <c r="X189" s="40" t="n"/>
      <c r="Y189" s="40" t="n"/>
      <c r="Z189" s="40" t="n"/>
      <c r="AA189" s="39" t="n"/>
    </row>
    <row r="190">
      <c r="A190" s="7" t="n"/>
      <c r="B190" s="7" t="n"/>
      <c r="C190" s="39" t="n"/>
      <c r="D190" s="39" t="n"/>
      <c r="E190" s="7" t="n"/>
      <c r="F190" s="7" t="n"/>
      <c r="G190" s="7" t="n"/>
      <c r="H190" s="39" t="n"/>
      <c r="I190" s="39" t="n"/>
      <c r="J190" s="39" t="n"/>
      <c r="K190" s="39" t="n"/>
      <c r="L190" s="39" t="n"/>
      <c r="M190" s="7" t="n"/>
      <c r="N190" s="7" t="n"/>
      <c r="O190" s="40" t="n"/>
      <c r="P190" s="40" t="n"/>
      <c r="Q190" s="40" t="n"/>
      <c r="R190" s="40" t="n"/>
      <c r="S190" s="40" t="n"/>
      <c r="T190" s="40" t="n"/>
      <c r="U190" s="40" t="n"/>
      <c r="V190" s="40" t="n"/>
      <c r="W190" s="40" t="n"/>
      <c r="X190" s="40" t="n"/>
      <c r="Y190" s="40" t="n"/>
      <c r="Z190" s="40" t="n"/>
      <c r="AA190" s="39" t="n"/>
    </row>
    <row r="191">
      <c r="A191" s="7" t="n"/>
      <c r="B191" s="7" t="n"/>
      <c r="C191" s="39" t="n"/>
      <c r="D191" s="39" t="n"/>
      <c r="E191" s="7" t="n"/>
      <c r="F191" s="7" t="n"/>
      <c r="G191" s="7" t="n"/>
      <c r="H191" s="39" t="n"/>
      <c r="I191" s="39" t="n"/>
      <c r="J191" s="39" t="n"/>
      <c r="K191" s="39" t="n"/>
      <c r="L191" s="39" t="n"/>
      <c r="M191" s="7" t="n"/>
      <c r="N191" s="7" t="n"/>
      <c r="O191" s="40" t="n"/>
      <c r="P191" s="40" t="n"/>
      <c r="Q191" s="40" t="n"/>
      <c r="R191" s="40" t="n"/>
      <c r="S191" s="40" t="n"/>
      <c r="T191" s="40" t="n"/>
      <c r="U191" s="40" t="n"/>
      <c r="V191" s="40" t="n"/>
      <c r="W191" s="40" t="n"/>
      <c r="X191" s="40" t="n"/>
      <c r="Y191" s="40" t="n"/>
      <c r="Z191" s="40" t="n"/>
      <c r="AA191" s="39" t="n"/>
    </row>
    <row r="192">
      <c r="A192" s="7" t="n"/>
      <c r="B192" s="7" t="n"/>
      <c r="C192" s="39" t="n"/>
      <c r="D192" s="39" t="n"/>
      <c r="E192" s="7" t="n"/>
      <c r="F192" s="7" t="n"/>
      <c r="G192" s="7" t="n"/>
      <c r="H192" s="39" t="n"/>
      <c r="I192" s="39" t="n"/>
      <c r="J192" s="39" t="n"/>
      <c r="K192" s="39" t="n"/>
      <c r="L192" s="39" t="n"/>
      <c r="M192" s="7" t="n"/>
      <c r="N192" s="7" t="n"/>
      <c r="O192" s="40" t="n"/>
      <c r="P192" s="40" t="n"/>
      <c r="Q192" s="40" t="n"/>
      <c r="R192" s="40" t="n"/>
      <c r="S192" s="40" t="n"/>
      <c r="T192" s="40" t="n"/>
      <c r="U192" s="40" t="n"/>
      <c r="V192" s="40" t="n"/>
      <c r="W192" s="40" t="n"/>
      <c r="X192" s="40" t="n"/>
      <c r="Y192" s="40" t="n"/>
      <c r="Z192" s="40" t="n"/>
      <c r="AA192" s="39" t="n"/>
    </row>
    <row r="193">
      <c r="A193" s="7" t="n"/>
      <c r="B193" s="7" t="n"/>
      <c r="C193" s="39" t="n"/>
      <c r="D193" s="39" t="n"/>
      <c r="E193" s="7" t="n"/>
      <c r="F193" s="7" t="n"/>
      <c r="G193" s="7" t="n"/>
      <c r="H193" s="39" t="n"/>
      <c r="I193" s="39" t="n"/>
      <c r="J193" s="39" t="n"/>
      <c r="K193" s="39" t="n"/>
      <c r="L193" s="39" t="n"/>
      <c r="M193" s="7" t="n"/>
      <c r="N193" s="7" t="n"/>
      <c r="O193" s="40" t="n"/>
      <c r="P193" s="40" t="n"/>
      <c r="Q193" s="40" t="n"/>
      <c r="R193" s="40" t="n"/>
      <c r="S193" s="40" t="n"/>
      <c r="T193" s="40" t="n"/>
      <c r="U193" s="40" t="n"/>
      <c r="V193" s="40" t="n"/>
      <c r="W193" s="40" t="n"/>
      <c r="X193" s="40" t="n"/>
      <c r="Y193" s="40" t="n"/>
      <c r="Z193" s="40" t="n"/>
      <c r="AA193" s="39" t="n"/>
    </row>
    <row r="194">
      <c r="A194" s="7" t="n"/>
      <c r="B194" s="7" t="n"/>
      <c r="C194" s="39" t="n"/>
      <c r="D194" s="39" t="n"/>
      <c r="E194" s="7" t="n"/>
      <c r="F194" s="7" t="n"/>
      <c r="G194" s="7" t="n"/>
      <c r="H194" s="39" t="n"/>
      <c r="I194" s="39" t="n"/>
      <c r="J194" s="39" t="n"/>
      <c r="K194" s="39" t="n"/>
      <c r="L194" s="39" t="n"/>
      <c r="M194" s="7" t="n"/>
      <c r="N194" s="7" t="n"/>
      <c r="O194" s="40" t="n"/>
      <c r="P194" s="40" t="n"/>
      <c r="Q194" s="40" t="n"/>
      <c r="R194" s="40" t="n"/>
      <c r="S194" s="40" t="n"/>
      <c r="T194" s="40" t="n"/>
      <c r="U194" s="40" t="n"/>
      <c r="V194" s="40" t="n"/>
      <c r="W194" s="40" t="n"/>
      <c r="X194" s="40" t="n"/>
      <c r="Y194" s="40" t="n"/>
      <c r="Z194" s="40" t="n"/>
      <c r="AA194" s="39" t="n"/>
    </row>
    <row r="195">
      <c r="A195" s="7" t="n"/>
      <c r="B195" s="7" t="n"/>
      <c r="C195" s="39" t="n"/>
      <c r="D195" s="39" t="n"/>
      <c r="E195" s="7" t="n"/>
      <c r="F195" s="7" t="n"/>
      <c r="G195" s="7" t="n"/>
      <c r="H195" s="39" t="n"/>
      <c r="I195" s="39" t="n"/>
      <c r="J195" s="39" t="n"/>
      <c r="K195" s="39" t="n"/>
      <c r="L195" s="39" t="n"/>
      <c r="M195" s="7" t="n"/>
      <c r="N195" s="7" t="n"/>
      <c r="O195" s="40" t="n"/>
      <c r="P195" s="40" t="n"/>
      <c r="Q195" s="40" t="n"/>
      <c r="R195" s="40" t="n"/>
      <c r="S195" s="40" t="n"/>
      <c r="T195" s="40" t="n"/>
      <c r="U195" s="40" t="n"/>
      <c r="V195" s="40" t="n"/>
      <c r="W195" s="40" t="n"/>
      <c r="X195" s="40" t="n"/>
      <c r="Y195" s="40" t="n"/>
      <c r="Z195" s="40" t="n"/>
      <c r="AA195" s="39" t="n"/>
    </row>
    <row r="196">
      <c r="A196" s="7" t="n"/>
      <c r="B196" s="7" t="n"/>
      <c r="C196" s="39" t="n"/>
      <c r="D196" s="39" t="n"/>
      <c r="E196" s="7" t="n"/>
      <c r="F196" s="7" t="n"/>
      <c r="G196" s="7" t="n"/>
      <c r="H196" s="39" t="n"/>
      <c r="I196" s="39" t="n"/>
      <c r="J196" s="39" t="n"/>
      <c r="K196" s="39" t="n"/>
      <c r="L196" s="39" t="n"/>
      <c r="M196" s="7" t="n"/>
      <c r="N196" s="7" t="n"/>
      <c r="O196" s="40" t="n"/>
      <c r="P196" s="40" t="n"/>
      <c r="Q196" s="40" t="n"/>
      <c r="R196" s="40" t="n"/>
      <c r="S196" s="40" t="n"/>
      <c r="T196" s="40" t="n"/>
      <c r="U196" s="40" t="n"/>
      <c r="V196" s="40" t="n"/>
      <c r="W196" s="40" t="n"/>
      <c r="X196" s="40" t="n"/>
      <c r="Y196" s="40" t="n"/>
      <c r="Z196" s="40" t="n"/>
      <c r="AA196" s="39" t="n"/>
    </row>
    <row r="197">
      <c r="A197" s="7" t="n"/>
      <c r="B197" s="7" t="n"/>
      <c r="C197" s="39" t="n"/>
      <c r="D197" s="39" t="n"/>
      <c r="E197" s="7" t="n"/>
      <c r="F197" s="7" t="n"/>
      <c r="G197" s="7" t="n"/>
      <c r="H197" s="39" t="n"/>
      <c r="I197" s="39" t="n"/>
      <c r="J197" s="39" t="n"/>
      <c r="K197" s="39" t="n"/>
      <c r="L197" s="39" t="n"/>
      <c r="M197" s="7" t="n"/>
      <c r="N197" s="7" t="n"/>
      <c r="O197" s="40" t="n"/>
      <c r="P197" s="40" t="n"/>
      <c r="Q197" s="40" t="n"/>
      <c r="R197" s="40" t="n"/>
      <c r="S197" s="40" t="n"/>
      <c r="T197" s="40" t="n"/>
      <c r="U197" s="40" t="n"/>
      <c r="V197" s="40" t="n"/>
      <c r="W197" s="40" t="n"/>
      <c r="X197" s="40" t="n"/>
      <c r="Y197" s="40" t="n"/>
      <c r="Z197" s="40" t="n"/>
      <c r="AA197" s="39" t="n"/>
    </row>
    <row r="198">
      <c r="A198" s="7" t="n"/>
      <c r="B198" s="7" t="n"/>
      <c r="C198" s="39" t="n"/>
      <c r="D198" s="39" t="n"/>
      <c r="E198" s="7" t="n"/>
      <c r="F198" s="7" t="n"/>
      <c r="G198" s="7" t="n"/>
      <c r="H198" s="39" t="n"/>
      <c r="I198" s="39" t="n"/>
      <c r="J198" s="39" t="n"/>
      <c r="K198" s="39" t="n"/>
      <c r="L198" s="39" t="n"/>
      <c r="M198" s="7" t="n"/>
      <c r="N198" s="7" t="n"/>
      <c r="O198" s="40" t="n"/>
      <c r="P198" s="40" t="n"/>
      <c r="Q198" s="40" t="n"/>
      <c r="R198" s="40" t="n"/>
      <c r="S198" s="40" t="n"/>
      <c r="T198" s="40" t="n"/>
      <c r="U198" s="40" t="n"/>
      <c r="V198" s="40" t="n"/>
      <c r="W198" s="40" t="n"/>
      <c r="X198" s="40" t="n"/>
      <c r="Y198" s="40" t="n"/>
      <c r="Z198" s="40" t="n"/>
      <c r="AA198" s="39" t="n"/>
    </row>
    <row r="199">
      <c r="A199" s="7" t="n"/>
      <c r="B199" s="7" t="n"/>
      <c r="C199" s="39" t="n"/>
      <c r="D199" s="39" t="n"/>
      <c r="E199" s="7" t="n"/>
      <c r="F199" s="7" t="n"/>
      <c r="G199" s="7" t="n"/>
      <c r="H199" s="39" t="n"/>
      <c r="I199" s="39" t="n"/>
      <c r="J199" s="39" t="n"/>
      <c r="K199" s="39" t="n"/>
      <c r="L199" s="39" t="n"/>
      <c r="M199" s="7" t="n"/>
      <c r="N199" s="7" t="n"/>
      <c r="O199" s="40" t="n"/>
      <c r="P199" s="40" t="n"/>
      <c r="Q199" s="40" t="n"/>
      <c r="R199" s="40" t="n"/>
      <c r="S199" s="40" t="n"/>
      <c r="T199" s="40" t="n"/>
      <c r="U199" s="40" t="n"/>
      <c r="V199" s="40" t="n"/>
      <c r="W199" s="40" t="n"/>
      <c r="X199" s="40" t="n"/>
      <c r="Y199" s="40" t="n"/>
      <c r="Z199" s="40" t="n"/>
      <c r="AA199" s="39" t="n"/>
    </row>
    <row r="200">
      <c r="A200" s="7" t="n"/>
      <c r="B200" s="7" t="n"/>
      <c r="C200" s="39" t="n"/>
      <c r="D200" s="39" t="n"/>
      <c r="E200" s="7" t="n"/>
      <c r="F200" s="7" t="n"/>
      <c r="G200" s="7" t="n"/>
      <c r="H200" s="39" t="n"/>
      <c r="I200" s="39" t="n"/>
      <c r="J200" s="39" t="n"/>
      <c r="K200" s="39" t="n"/>
      <c r="L200" s="39" t="n"/>
      <c r="M200" s="7" t="n"/>
      <c r="N200" s="7" t="n"/>
      <c r="O200" s="40" t="n"/>
      <c r="P200" s="40" t="n"/>
      <c r="Q200" s="40" t="n"/>
      <c r="R200" s="40" t="n"/>
      <c r="S200" s="40" t="n"/>
      <c r="T200" s="40" t="n"/>
      <c r="U200" s="40" t="n"/>
      <c r="V200" s="40" t="n"/>
      <c r="W200" s="40" t="n"/>
      <c r="X200" s="40" t="n"/>
      <c r="Y200" s="40" t="n"/>
      <c r="Z200" s="40" t="n"/>
      <c r="AA200" s="39" t="n"/>
    </row>
    <row r="201">
      <c r="A201" s="7" t="n"/>
      <c r="B201" s="7" t="n"/>
      <c r="C201" s="39" t="n"/>
      <c r="D201" s="39" t="n"/>
      <c r="E201" s="7" t="n"/>
      <c r="F201" s="7" t="n"/>
      <c r="G201" s="7" t="n"/>
      <c r="H201" s="39" t="n"/>
      <c r="I201" s="39" t="n"/>
      <c r="J201" s="39" t="n"/>
      <c r="K201" s="39" t="n"/>
      <c r="L201" s="39" t="n"/>
      <c r="M201" s="7" t="n"/>
      <c r="N201" s="7" t="n"/>
      <c r="O201" s="40" t="n"/>
      <c r="P201" s="40" t="n"/>
      <c r="Q201" s="40" t="n"/>
      <c r="R201" s="40" t="n"/>
      <c r="S201" s="40" t="n"/>
      <c r="T201" s="40" t="n"/>
      <c r="U201" s="40" t="n"/>
      <c r="V201" s="40" t="n"/>
      <c r="W201" s="40" t="n"/>
      <c r="X201" s="40" t="n"/>
      <c r="Y201" s="40" t="n"/>
      <c r="Z201" s="40" t="n"/>
      <c r="AA201" s="39" t="n"/>
    </row>
    <row r="202">
      <c r="A202" s="7" t="n"/>
      <c r="B202" s="7" t="n"/>
      <c r="C202" s="39" t="n"/>
      <c r="D202" s="39" t="n"/>
      <c r="E202" s="7" t="n"/>
      <c r="F202" s="7" t="n"/>
      <c r="G202" s="7" t="n"/>
      <c r="H202" s="39" t="n"/>
      <c r="I202" s="39" t="n"/>
      <c r="J202" s="39" t="n"/>
      <c r="K202" s="39" t="n"/>
      <c r="L202" s="39" t="n"/>
      <c r="M202" s="7" t="n"/>
      <c r="N202" s="7" t="n"/>
      <c r="O202" s="40" t="n"/>
      <c r="P202" s="40" t="n"/>
      <c r="Q202" s="40" t="n"/>
      <c r="R202" s="40" t="n"/>
      <c r="S202" s="40" t="n"/>
      <c r="T202" s="40" t="n"/>
      <c r="U202" s="40" t="n"/>
      <c r="V202" s="40" t="n"/>
      <c r="W202" s="40" t="n"/>
      <c r="X202" s="40" t="n"/>
      <c r="Y202" s="40" t="n"/>
      <c r="Z202" s="40" t="n"/>
      <c r="AA202" s="39" t="n"/>
    </row>
    <row r="203">
      <c r="A203" s="7" t="n"/>
      <c r="B203" s="7" t="n"/>
      <c r="C203" s="39" t="n"/>
      <c r="D203" s="39" t="n"/>
      <c r="E203" s="7" t="n"/>
      <c r="F203" s="7" t="n"/>
      <c r="G203" s="7" t="n"/>
      <c r="H203" s="39" t="n"/>
      <c r="I203" s="39" t="n"/>
      <c r="J203" s="39" t="n"/>
      <c r="K203" s="39" t="n"/>
      <c r="L203" s="39" t="n"/>
      <c r="M203" s="7" t="n"/>
      <c r="N203" s="7" t="n"/>
      <c r="O203" s="40" t="n"/>
      <c r="P203" s="40" t="n"/>
      <c r="Q203" s="40" t="n"/>
      <c r="R203" s="40" t="n"/>
      <c r="S203" s="40" t="n"/>
      <c r="T203" s="40" t="n"/>
      <c r="U203" s="40" t="n"/>
      <c r="V203" s="40" t="n"/>
      <c r="W203" s="40" t="n"/>
      <c r="X203" s="40" t="n"/>
      <c r="Y203" s="40" t="n"/>
      <c r="Z203" s="40" t="n"/>
      <c r="AA203" s="39" t="n"/>
    </row>
    <row r="204">
      <c r="A204" s="7" t="n"/>
      <c r="B204" s="7" t="n"/>
      <c r="C204" s="39" t="n"/>
      <c r="D204" s="39" t="n"/>
      <c r="E204" s="7" t="n"/>
      <c r="F204" s="7" t="n"/>
      <c r="G204" s="7" t="n"/>
      <c r="H204" s="39" t="n"/>
      <c r="I204" s="39" t="n"/>
      <c r="J204" s="39" t="n"/>
      <c r="K204" s="39" t="n"/>
      <c r="L204" s="39" t="n"/>
      <c r="M204" s="7" t="n"/>
      <c r="N204" s="7" t="n"/>
      <c r="O204" s="40" t="n"/>
      <c r="P204" s="40" t="n"/>
      <c r="Q204" s="40" t="n"/>
      <c r="R204" s="40" t="n"/>
      <c r="S204" s="40" t="n"/>
      <c r="T204" s="40" t="n"/>
      <c r="U204" s="40" t="n"/>
      <c r="V204" s="40" t="n"/>
      <c r="W204" s="40" t="n"/>
      <c r="X204" s="40" t="n"/>
      <c r="Y204" s="40" t="n"/>
      <c r="Z204" s="40" t="n"/>
      <c r="AA204" s="39" t="n"/>
    </row>
    <row r="205">
      <c r="A205" s="7" t="n"/>
      <c r="B205" s="7" t="n"/>
      <c r="C205" s="39" t="n"/>
      <c r="D205" s="39" t="n"/>
      <c r="E205" s="7" t="n"/>
      <c r="F205" s="7" t="n"/>
      <c r="G205" s="7" t="n"/>
      <c r="H205" s="39" t="n"/>
      <c r="I205" s="39" t="n"/>
      <c r="J205" s="39" t="n"/>
      <c r="K205" s="39" t="n"/>
      <c r="L205" s="39" t="n"/>
      <c r="M205" s="7" t="n"/>
      <c r="N205" s="7" t="n"/>
      <c r="O205" s="40" t="n"/>
      <c r="P205" s="40" t="n"/>
      <c r="Q205" s="40" t="n"/>
      <c r="R205" s="40" t="n"/>
      <c r="S205" s="40" t="n"/>
      <c r="T205" s="40" t="n"/>
      <c r="U205" s="40" t="n"/>
      <c r="V205" s="40" t="n"/>
      <c r="W205" s="40" t="n"/>
      <c r="X205" s="40" t="n"/>
      <c r="Y205" s="40" t="n"/>
      <c r="Z205" s="40" t="n"/>
      <c r="AA205" s="39" t="n"/>
    </row>
    <row r="206">
      <c r="A206" s="7" t="n"/>
      <c r="B206" s="7" t="n"/>
      <c r="C206" s="39" t="n"/>
      <c r="D206" s="39" t="n"/>
      <c r="E206" s="7" t="n"/>
      <c r="F206" s="7" t="n"/>
      <c r="G206" s="7" t="n"/>
      <c r="H206" s="39" t="n"/>
      <c r="I206" s="39" t="n"/>
      <c r="J206" s="39" t="n"/>
      <c r="K206" s="39" t="n"/>
      <c r="L206" s="39" t="n"/>
      <c r="M206" s="7" t="n"/>
      <c r="N206" s="7" t="n"/>
      <c r="O206" s="40" t="n"/>
      <c r="P206" s="40" t="n"/>
      <c r="Q206" s="40" t="n"/>
      <c r="R206" s="40" t="n"/>
      <c r="S206" s="40" t="n"/>
      <c r="T206" s="40" t="n"/>
      <c r="U206" s="40" t="n"/>
      <c r="V206" s="40" t="n"/>
      <c r="W206" s="40" t="n"/>
      <c r="X206" s="40" t="n"/>
      <c r="Y206" s="40" t="n"/>
      <c r="Z206" s="40" t="n"/>
      <c r="AA206" s="39" t="n"/>
    </row>
    <row r="207">
      <c r="A207" s="7" t="n"/>
      <c r="B207" s="7" t="n"/>
      <c r="C207" s="39" t="n"/>
      <c r="D207" s="39" t="n"/>
      <c r="E207" s="7" t="n"/>
      <c r="F207" s="7" t="n"/>
      <c r="G207" s="7" t="n"/>
      <c r="H207" s="39" t="n"/>
      <c r="I207" s="39" t="n"/>
      <c r="J207" s="39" t="n"/>
      <c r="K207" s="39" t="n"/>
      <c r="L207" s="39" t="n"/>
      <c r="M207" s="7" t="n"/>
      <c r="N207" s="7" t="n"/>
      <c r="O207" s="40" t="n"/>
      <c r="P207" s="40" t="n"/>
      <c r="Q207" s="40" t="n"/>
      <c r="R207" s="40" t="n"/>
      <c r="S207" s="40" t="n"/>
      <c r="T207" s="40" t="n"/>
      <c r="U207" s="40" t="n"/>
      <c r="V207" s="40" t="n"/>
      <c r="W207" s="40" t="n"/>
      <c r="X207" s="40" t="n"/>
      <c r="Y207" s="40" t="n"/>
      <c r="Z207" s="40" t="n"/>
      <c r="AA207" s="39" t="n"/>
    </row>
    <row r="208">
      <c r="A208" s="7" t="n"/>
      <c r="B208" s="7" t="n"/>
      <c r="C208" s="39" t="n"/>
      <c r="D208" s="39" t="n"/>
      <c r="E208" s="7" t="n"/>
      <c r="F208" s="7" t="n"/>
      <c r="G208" s="7" t="n"/>
      <c r="H208" s="39" t="n"/>
      <c r="I208" s="39" t="n"/>
      <c r="J208" s="39" t="n"/>
      <c r="K208" s="39" t="n"/>
      <c r="L208" s="39" t="n"/>
      <c r="M208" s="7" t="n"/>
      <c r="N208" s="7" t="n"/>
      <c r="O208" s="40" t="n"/>
      <c r="P208" s="40" t="n"/>
      <c r="Q208" s="40" t="n"/>
      <c r="R208" s="40" t="n"/>
      <c r="S208" s="40" t="n"/>
      <c r="T208" s="40" t="n"/>
      <c r="U208" s="40" t="n"/>
      <c r="V208" s="40" t="n"/>
      <c r="W208" s="40" t="n"/>
      <c r="X208" s="40" t="n"/>
      <c r="Y208" s="40" t="n"/>
      <c r="Z208" s="40" t="n"/>
      <c r="AA208" s="39" t="n"/>
    </row>
    <row r="209">
      <c r="A209" s="7" t="n"/>
      <c r="B209" s="7" t="n"/>
      <c r="C209" s="39" t="n"/>
      <c r="D209" s="39" t="n"/>
      <c r="E209" s="7" t="n"/>
      <c r="F209" s="7" t="n"/>
      <c r="G209" s="7" t="n"/>
      <c r="H209" s="39" t="n"/>
      <c r="I209" s="39" t="n"/>
      <c r="J209" s="39" t="n"/>
      <c r="K209" s="39" t="n"/>
      <c r="L209" s="39" t="n"/>
      <c r="M209" s="7" t="n"/>
      <c r="N209" s="7" t="n"/>
      <c r="O209" s="40" t="n"/>
      <c r="P209" s="40" t="n"/>
      <c r="Q209" s="40" t="n"/>
      <c r="R209" s="40" t="n"/>
      <c r="S209" s="40" t="n"/>
      <c r="T209" s="40" t="n"/>
      <c r="U209" s="40" t="n"/>
      <c r="V209" s="40" t="n"/>
      <c r="W209" s="40" t="n"/>
      <c r="X209" s="40" t="n"/>
      <c r="Y209" s="40" t="n"/>
      <c r="Z209" s="40" t="n"/>
      <c r="AA209" s="39" t="n"/>
    </row>
    <row r="210">
      <c r="A210" s="7" t="n"/>
      <c r="B210" s="7" t="n"/>
      <c r="C210" s="39" t="n"/>
      <c r="D210" s="39" t="n"/>
      <c r="E210" s="7" t="n"/>
      <c r="F210" s="7" t="n"/>
      <c r="G210" s="7" t="n"/>
      <c r="H210" s="39" t="n"/>
      <c r="I210" s="39" t="n"/>
      <c r="J210" s="39" t="n"/>
      <c r="K210" s="39" t="n"/>
      <c r="L210" s="39" t="n"/>
      <c r="M210" s="7" t="n"/>
      <c r="N210" s="7" t="n"/>
      <c r="O210" s="40" t="n"/>
      <c r="P210" s="40" t="n"/>
      <c r="Q210" s="40" t="n"/>
      <c r="R210" s="40" t="n"/>
      <c r="S210" s="40" t="n"/>
      <c r="T210" s="40" t="n"/>
      <c r="U210" s="40" t="n"/>
      <c r="V210" s="40" t="n"/>
      <c r="W210" s="40" t="n"/>
      <c r="X210" s="40" t="n"/>
      <c r="Y210" s="40" t="n"/>
      <c r="Z210" s="40" t="n"/>
      <c r="AA210" s="39" t="n"/>
    </row>
    <row r="211">
      <c r="A211" s="7" t="n"/>
      <c r="B211" s="7" t="n"/>
      <c r="C211" s="39" t="n"/>
      <c r="D211" s="39" t="n"/>
      <c r="E211" s="7" t="n"/>
      <c r="F211" s="7" t="n"/>
      <c r="G211" s="7" t="n"/>
      <c r="H211" s="39" t="n"/>
      <c r="I211" s="39" t="n"/>
      <c r="J211" s="39" t="n"/>
      <c r="K211" s="39" t="n"/>
      <c r="L211" s="39" t="n"/>
      <c r="M211" s="7" t="n"/>
      <c r="N211" s="7" t="n"/>
      <c r="O211" s="40" t="n"/>
      <c r="P211" s="40" t="n"/>
      <c r="Q211" s="40" t="n"/>
      <c r="R211" s="40" t="n"/>
      <c r="S211" s="40" t="n"/>
      <c r="T211" s="40" t="n"/>
      <c r="U211" s="40" t="n"/>
      <c r="V211" s="40" t="n"/>
      <c r="W211" s="40" t="n"/>
      <c r="X211" s="40" t="n"/>
      <c r="Y211" s="40" t="n"/>
      <c r="Z211" s="40" t="n"/>
      <c r="AA211" s="39" t="n"/>
    </row>
    <row r="212">
      <c r="A212" s="7" t="n"/>
      <c r="B212" s="7" t="n"/>
      <c r="C212" s="39" t="n"/>
      <c r="D212" s="39" t="n"/>
      <c r="E212" s="7" t="n"/>
      <c r="F212" s="7" t="n"/>
      <c r="G212" s="7" t="n"/>
      <c r="H212" s="39" t="n"/>
      <c r="I212" s="39" t="n"/>
      <c r="J212" s="39" t="n"/>
      <c r="K212" s="39" t="n"/>
      <c r="L212" s="39" t="n"/>
      <c r="M212" s="7" t="n"/>
      <c r="N212" s="7" t="n"/>
      <c r="O212" s="40" t="n"/>
      <c r="P212" s="40" t="n"/>
      <c r="Q212" s="40" t="n"/>
      <c r="R212" s="40" t="n"/>
      <c r="S212" s="40" t="n"/>
      <c r="T212" s="40" t="n"/>
      <c r="U212" s="40" t="n"/>
      <c r="V212" s="40" t="n"/>
      <c r="W212" s="40" t="n"/>
      <c r="X212" s="40" t="n"/>
      <c r="Y212" s="40" t="n"/>
      <c r="Z212" s="40" t="n"/>
      <c r="AA212" s="39" t="n"/>
    </row>
    <row r="213">
      <c r="A213" s="7" t="n"/>
      <c r="B213" s="7" t="n"/>
      <c r="C213" s="39" t="n"/>
      <c r="D213" s="39" t="n"/>
      <c r="E213" s="7" t="n"/>
      <c r="F213" s="7" t="n"/>
      <c r="G213" s="7" t="n"/>
      <c r="H213" s="39" t="n"/>
      <c r="I213" s="39" t="n"/>
      <c r="J213" s="39" t="n"/>
      <c r="K213" s="39" t="n"/>
      <c r="L213" s="39" t="n"/>
      <c r="M213" s="7" t="n"/>
      <c r="N213" s="7" t="n"/>
      <c r="O213" s="40" t="n"/>
      <c r="P213" s="40" t="n"/>
      <c r="Q213" s="40" t="n"/>
      <c r="R213" s="40" t="n"/>
      <c r="S213" s="40" t="n"/>
      <c r="T213" s="40" t="n"/>
      <c r="U213" s="40" t="n"/>
      <c r="V213" s="40" t="n"/>
      <c r="W213" s="40" t="n"/>
      <c r="X213" s="40" t="n"/>
      <c r="Y213" s="40" t="n"/>
      <c r="Z213" s="40" t="n"/>
      <c r="AA213" s="39" t="n"/>
    </row>
    <row r="214">
      <c r="A214" s="7" t="n"/>
      <c r="B214" s="7" t="n"/>
      <c r="C214" s="39" t="n"/>
      <c r="D214" s="39" t="n"/>
      <c r="E214" s="7" t="n"/>
      <c r="F214" s="7" t="n"/>
      <c r="G214" s="7" t="n"/>
      <c r="H214" s="39" t="n"/>
      <c r="I214" s="39" t="n"/>
      <c r="J214" s="39" t="n"/>
      <c r="K214" s="39" t="n"/>
      <c r="L214" s="39" t="n"/>
      <c r="M214" s="7" t="n"/>
      <c r="N214" s="7" t="n"/>
      <c r="O214" s="40" t="n"/>
      <c r="P214" s="40" t="n"/>
      <c r="Q214" s="40" t="n"/>
      <c r="R214" s="40" t="n"/>
      <c r="S214" s="40" t="n"/>
      <c r="T214" s="40" t="n"/>
      <c r="U214" s="40" t="n"/>
      <c r="V214" s="40" t="n"/>
      <c r="W214" s="40" t="n"/>
      <c r="X214" s="40" t="n"/>
      <c r="Y214" s="40" t="n"/>
      <c r="Z214" s="40" t="n"/>
      <c r="AA214" s="39" t="n"/>
    </row>
    <row r="215">
      <c r="A215" s="7" t="n"/>
      <c r="B215" s="7" t="n"/>
      <c r="C215" s="39" t="n"/>
      <c r="D215" s="39" t="n"/>
      <c r="E215" s="7" t="n"/>
      <c r="F215" s="7" t="n"/>
      <c r="G215" s="7" t="n"/>
      <c r="H215" s="39" t="n"/>
      <c r="I215" s="39" t="n"/>
      <c r="J215" s="39" t="n"/>
      <c r="K215" s="39" t="n"/>
      <c r="L215" s="39" t="n"/>
      <c r="M215" s="7" t="n"/>
      <c r="N215" s="7" t="n"/>
      <c r="O215" s="40" t="n"/>
      <c r="P215" s="40" t="n"/>
      <c r="Q215" s="40" t="n"/>
      <c r="R215" s="40" t="n"/>
      <c r="S215" s="40" t="n"/>
      <c r="T215" s="40" t="n"/>
      <c r="U215" s="40" t="n"/>
      <c r="V215" s="40" t="n"/>
      <c r="W215" s="40" t="n"/>
      <c r="X215" s="40" t="n"/>
      <c r="Y215" s="40" t="n"/>
      <c r="Z215" s="40" t="n"/>
      <c r="AA215" s="39" t="n"/>
    </row>
    <row r="216">
      <c r="A216" s="7" t="n"/>
      <c r="B216" s="7" t="n"/>
      <c r="C216" s="39" t="n"/>
      <c r="D216" s="39" t="n"/>
      <c r="E216" s="7" t="n"/>
      <c r="F216" s="7" t="n"/>
      <c r="G216" s="7" t="n"/>
      <c r="H216" s="39" t="n"/>
      <c r="I216" s="39" t="n"/>
      <c r="J216" s="39" t="n"/>
      <c r="K216" s="39" t="n"/>
      <c r="L216" s="39" t="n"/>
      <c r="M216" s="7" t="n"/>
      <c r="N216" s="7" t="n"/>
      <c r="O216" s="40" t="n"/>
      <c r="P216" s="40" t="n"/>
      <c r="Q216" s="40" t="n"/>
      <c r="R216" s="40" t="n"/>
      <c r="S216" s="40" t="n"/>
      <c r="T216" s="40" t="n"/>
      <c r="U216" s="40" t="n"/>
      <c r="V216" s="40" t="n"/>
      <c r="W216" s="40" t="n"/>
      <c r="X216" s="40" t="n"/>
      <c r="Y216" s="40" t="n"/>
      <c r="Z216" s="40" t="n"/>
      <c r="AA216" s="39" t="n"/>
    </row>
    <row r="217">
      <c r="A217" s="7" t="n"/>
      <c r="B217" s="7" t="n"/>
      <c r="C217" s="39" t="n"/>
      <c r="D217" s="39" t="n"/>
      <c r="E217" s="7" t="n"/>
      <c r="F217" s="7" t="n"/>
      <c r="G217" s="7" t="n"/>
      <c r="H217" s="39" t="n"/>
      <c r="I217" s="39" t="n"/>
      <c r="J217" s="39" t="n"/>
      <c r="K217" s="39" t="n"/>
      <c r="L217" s="39" t="n"/>
      <c r="M217" s="7" t="n"/>
      <c r="N217" s="7" t="n"/>
      <c r="O217" s="40" t="n"/>
      <c r="P217" s="40" t="n"/>
      <c r="Q217" s="40" t="n"/>
      <c r="R217" s="40" t="n"/>
      <c r="S217" s="40" t="n"/>
      <c r="T217" s="40" t="n"/>
      <c r="U217" s="40" t="n"/>
      <c r="V217" s="40" t="n"/>
      <c r="W217" s="40" t="n"/>
      <c r="X217" s="40" t="n"/>
      <c r="Y217" s="40" t="n"/>
      <c r="Z217" s="40" t="n"/>
      <c r="AA217" s="39" t="n"/>
    </row>
    <row r="218">
      <c r="A218" s="7" t="n"/>
      <c r="B218" s="7" t="n"/>
      <c r="C218" s="39" t="n"/>
      <c r="D218" s="39" t="n"/>
      <c r="E218" s="7" t="n"/>
      <c r="F218" s="7" t="n"/>
      <c r="G218" s="7" t="n"/>
      <c r="H218" s="39" t="n"/>
      <c r="I218" s="39" t="n"/>
      <c r="J218" s="39" t="n"/>
      <c r="K218" s="39" t="n"/>
      <c r="L218" s="39" t="n"/>
      <c r="M218" s="7" t="n"/>
      <c r="N218" s="7" t="n"/>
      <c r="O218" s="40" t="n"/>
      <c r="P218" s="40" t="n"/>
      <c r="Q218" s="40" t="n"/>
      <c r="R218" s="40" t="n"/>
      <c r="S218" s="40" t="n"/>
      <c r="T218" s="40" t="n"/>
      <c r="U218" s="40" t="n"/>
      <c r="V218" s="40" t="n"/>
      <c r="W218" s="40" t="n"/>
      <c r="X218" s="40" t="n"/>
      <c r="Y218" s="40" t="n"/>
      <c r="Z218" s="40" t="n"/>
      <c r="AA218" s="39" t="n"/>
    </row>
    <row r="219">
      <c r="A219" s="7" t="n"/>
      <c r="B219" s="7" t="n"/>
      <c r="C219" s="39" t="n"/>
      <c r="D219" s="39" t="n"/>
      <c r="E219" s="7" t="n"/>
      <c r="F219" s="7" t="n"/>
      <c r="G219" s="7" t="n"/>
      <c r="H219" s="39" t="n"/>
      <c r="I219" s="39" t="n"/>
      <c r="J219" s="39" t="n"/>
      <c r="K219" s="39" t="n"/>
      <c r="L219" s="39" t="n"/>
      <c r="M219" s="7" t="n"/>
      <c r="N219" s="7" t="n"/>
      <c r="O219" s="40" t="n"/>
      <c r="P219" s="40" t="n"/>
      <c r="Q219" s="40" t="n"/>
      <c r="R219" s="40" t="n"/>
      <c r="S219" s="40" t="n"/>
      <c r="T219" s="40" t="n"/>
      <c r="U219" s="40" t="n"/>
      <c r="V219" s="40" t="n"/>
      <c r="W219" s="40" t="n"/>
      <c r="X219" s="40" t="n"/>
      <c r="Y219" s="40" t="n"/>
      <c r="Z219" s="40" t="n"/>
      <c r="AA219" s="39" t="n"/>
    </row>
    <row r="220">
      <c r="A220" s="7" t="n"/>
      <c r="B220" s="7" t="n"/>
      <c r="C220" s="39" t="n"/>
      <c r="D220" s="39" t="n"/>
      <c r="E220" s="7" t="n"/>
      <c r="F220" s="7" t="n"/>
      <c r="G220" s="7" t="n"/>
      <c r="H220" s="39" t="n"/>
      <c r="I220" s="39" t="n"/>
      <c r="J220" s="39" t="n"/>
      <c r="K220" s="39" t="n"/>
      <c r="L220" s="39" t="n"/>
      <c r="M220" s="7" t="n"/>
      <c r="N220" s="7" t="n"/>
      <c r="O220" s="40" t="n"/>
      <c r="P220" s="40" t="n"/>
      <c r="Q220" s="40" t="n"/>
      <c r="R220" s="40" t="n"/>
      <c r="S220" s="40" t="n"/>
      <c r="T220" s="40" t="n"/>
      <c r="U220" s="40" t="n"/>
      <c r="V220" s="40" t="n"/>
      <c r="W220" s="40" t="n"/>
      <c r="X220" s="40" t="n"/>
      <c r="Y220" s="40" t="n"/>
      <c r="Z220" s="40" t="n"/>
      <c r="AA220" s="39" t="n"/>
    </row>
    <row r="221">
      <c r="A221" s="7" t="n"/>
      <c r="B221" s="7" t="n"/>
      <c r="C221" s="39" t="n"/>
      <c r="D221" s="39" t="n"/>
      <c r="E221" s="7" t="n"/>
      <c r="F221" s="7" t="n"/>
      <c r="G221" s="7" t="n"/>
      <c r="H221" s="39" t="n"/>
      <c r="I221" s="39" t="n"/>
      <c r="J221" s="39" t="n"/>
      <c r="K221" s="39" t="n"/>
      <c r="L221" s="39" t="n"/>
      <c r="M221" s="7" t="n"/>
      <c r="N221" s="7" t="n"/>
      <c r="O221" s="40" t="n"/>
      <c r="P221" s="40" t="n"/>
      <c r="Q221" s="40" t="n"/>
      <c r="R221" s="40" t="n"/>
      <c r="S221" s="40" t="n"/>
      <c r="T221" s="40" t="n"/>
      <c r="U221" s="40" t="n"/>
      <c r="V221" s="40" t="n"/>
      <c r="W221" s="40" t="n"/>
      <c r="X221" s="40" t="n"/>
      <c r="Y221" s="40" t="n"/>
      <c r="Z221" s="40" t="n"/>
      <c r="AA221" s="39" t="n"/>
    </row>
    <row r="222">
      <c r="A222" s="7" t="n"/>
      <c r="B222" s="7" t="n"/>
      <c r="C222" s="39" t="n"/>
      <c r="D222" s="39" t="n"/>
      <c r="E222" s="7" t="n"/>
      <c r="F222" s="7" t="n"/>
      <c r="G222" s="7" t="n"/>
      <c r="H222" s="39" t="n"/>
      <c r="I222" s="39" t="n"/>
      <c r="J222" s="39" t="n"/>
      <c r="K222" s="39" t="n"/>
      <c r="L222" s="39" t="n"/>
      <c r="M222" s="7" t="n"/>
      <c r="N222" s="7" t="n"/>
      <c r="O222" s="40" t="n"/>
      <c r="P222" s="40" t="n"/>
      <c r="Q222" s="40" t="n"/>
      <c r="R222" s="40" t="n"/>
      <c r="S222" s="40" t="n"/>
      <c r="T222" s="40" t="n"/>
      <c r="U222" s="40" t="n"/>
      <c r="V222" s="40" t="n"/>
      <c r="W222" s="40" t="n"/>
      <c r="X222" s="40" t="n"/>
      <c r="Y222" s="40" t="n"/>
      <c r="Z222" s="40" t="n"/>
      <c r="AA222" s="39" t="n"/>
    </row>
    <row r="223">
      <c r="A223" s="7" t="n"/>
      <c r="B223" s="7" t="n"/>
      <c r="C223" s="39" t="n"/>
      <c r="D223" s="39" t="n"/>
      <c r="E223" s="7" t="n"/>
      <c r="F223" s="7" t="n"/>
      <c r="G223" s="7" t="n"/>
      <c r="H223" s="39" t="n"/>
      <c r="I223" s="39" t="n"/>
      <c r="J223" s="39" t="n"/>
      <c r="K223" s="39" t="n"/>
      <c r="L223" s="39" t="n"/>
      <c r="M223" s="7" t="n"/>
      <c r="N223" s="7" t="n"/>
      <c r="O223" s="40" t="n"/>
      <c r="P223" s="40" t="n"/>
      <c r="Q223" s="40" t="n"/>
      <c r="R223" s="40" t="n"/>
      <c r="S223" s="40" t="n"/>
      <c r="T223" s="40" t="n"/>
      <c r="U223" s="40" t="n"/>
      <c r="V223" s="40" t="n"/>
      <c r="W223" s="40" t="n"/>
      <c r="X223" s="40" t="n"/>
      <c r="Y223" s="40" t="n"/>
      <c r="Z223" s="40" t="n"/>
      <c r="AA223" s="39" t="n"/>
    </row>
    <row r="224">
      <c r="A224" s="7" t="n"/>
      <c r="B224" s="7" t="n"/>
      <c r="C224" s="39" t="n"/>
      <c r="D224" s="39" t="n"/>
      <c r="E224" s="7" t="n"/>
      <c r="F224" s="7" t="n"/>
      <c r="G224" s="7" t="n"/>
      <c r="H224" s="39" t="n"/>
      <c r="I224" s="39" t="n"/>
      <c r="J224" s="39" t="n"/>
      <c r="K224" s="39" t="n"/>
      <c r="L224" s="39" t="n"/>
      <c r="M224" s="7" t="n"/>
      <c r="N224" s="7" t="n"/>
      <c r="O224" s="40" t="n"/>
      <c r="P224" s="40" t="n"/>
      <c r="Q224" s="40" t="n"/>
      <c r="R224" s="40" t="n"/>
      <c r="S224" s="40" t="n"/>
      <c r="T224" s="40" t="n"/>
      <c r="U224" s="40" t="n"/>
      <c r="V224" s="40" t="n"/>
      <c r="W224" s="40" t="n"/>
      <c r="X224" s="40" t="n"/>
      <c r="Y224" s="40" t="n"/>
      <c r="Z224" s="40" t="n"/>
      <c r="AA224" s="39" t="n"/>
    </row>
    <row r="225">
      <c r="A225" s="7" t="n"/>
      <c r="B225" s="7" t="n"/>
      <c r="C225" s="39" t="n"/>
      <c r="D225" s="39" t="n"/>
      <c r="E225" s="7" t="n"/>
      <c r="F225" s="7" t="n"/>
      <c r="G225" s="7" t="n"/>
      <c r="H225" s="39" t="n"/>
      <c r="I225" s="39" t="n"/>
      <c r="J225" s="39" t="n"/>
      <c r="K225" s="39" t="n"/>
      <c r="L225" s="39" t="n"/>
      <c r="M225" s="7" t="n"/>
      <c r="N225" s="7" t="n"/>
      <c r="O225" s="40" t="n"/>
      <c r="P225" s="40" t="n"/>
      <c r="Q225" s="40" t="n"/>
      <c r="R225" s="40" t="n"/>
      <c r="S225" s="40" t="n"/>
      <c r="T225" s="40" t="n"/>
      <c r="U225" s="40" t="n"/>
      <c r="V225" s="40" t="n"/>
      <c r="W225" s="40" t="n"/>
      <c r="X225" s="40" t="n"/>
      <c r="Y225" s="40" t="n"/>
      <c r="Z225" s="40" t="n"/>
      <c r="AA225" s="39" t="n"/>
    </row>
    <row r="226">
      <c r="A226" s="7" t="n"/>
      <c r="B226" s="7" t="n"/>
      <c r="C226" s="39" t="n"/>
      <c r="D226" s="39" t="n"/>
      <c r="E226" s="7" t="n"/>
      <c r="F226" s="7" t="n"/>
      <c r="G226" s="7" t="n"/>
      <c r="H226" s="39" t="n"/>
      <c r="I226" s="39" t="n"/>
      <c r="J226" s="39" t="n"/>
      <c r="K226" s="39" t="n"/>
      <c r="L226" s="39" t="n"/>
      <c r="M226" s="7" t="n"/>
      <c r="N226" s="7" t="n"/>
      <c r="O226" s="40" t="n"/>
      <c r="P226" s="40" t="n"/>
      <c r="Q226" s="40" t="n"/>
      <c r="R226" s="40" t="n"/>
      <c r="S226" s="40" t="n"/>
      <c r="T226" s="40" t="n"/>
      <c r="U226" s="40" t="n"/>
      <c r="V226" s="40" t="n"/>
      <c r="W226" s="40" t="n"/>
      <c r="X226" s="40" t="n"/>
      <c r="Y226" s="40" t="n"/>
      <c r="Z226" s="40" t="n"/>
      <c r="AA226" s="39" t="n"/>
    </row>
    <row r="227">
      <c r="A227" s="7" t="n"/>
      <c r="B227" s="7" t="n"/>
      <c r="C227" s="39" t="n"/>
      <c r="D227" s="39" t="n"/>
      <c r="E227" s="7" t="n"/>
      <c r="F227" s="7" t="n"/>
      <c r="G227" s="7" t="n"/>
      <c r="H227" s="39" t="n"/>
      <c r="I227" s="39" t="n"/>
      <c r="J227" s="39" t="n"/>
      <c r="K227" s="39" t="n"/>
      <c r="L227" s="39" t="n"/>
      <c r="M227" s="7" t="n"/>
      <c r="N227" s="7" t="n"/>
      <c r="O227" s="40" t="n"/>
      <c r="P227" s="40" t="n"/>
      <c r="Q227" s="40" t="n"/>
      <c r="R227" s="40" t="n"/>
      <c r="S227" s="40" t="n"/>
      <c r="T227" s="40" t="n"/>
      <c r="U227" s="40" t="n"/>
      <c r="V227" s="40" t="n"/>
      <c r="W227" s="40" t="n"/>
      <c r="X227" s="40" t="n"/>
      <c r="Y227" s="40" t="n"/>
      <c r="Z227" s="40" t="n"/>
      <c r="AA227" s="39" t="n"/>
    </row>
    <row r="228">
      <c r="A228" s="7" t="n"/>
      <c r="B228" s="7" t="n"/>
      <c r="C228" s="39" t="n"/>
      <c r="D228" s="39" t="n"/>
      <c r="E228" s="7" t="n"/>
      <c r="F228" s="7" t="n"/>
      <c r="G228" s="7" t="n"/>
      <c r="H228" s="39" t="n"/>
      <c r="I228" s="39" t="n"/>
      <c r="J228" s="39" t="n"/>
      <c r="K228" s="39" t="n"/>
      <c r="L228" s="39" t="n"/>
      <c r="M228" s="7" t="n"/>
      <c r="N228" s="7" t="n"/>
      <c r="O228" s="40" t="n"/>
      <c r="P228" s="40" t="n"/>
      <c r="Q228" s="40" t="n"/>
      <c r="R228" s="40" t="n"/>
      <c r="S228" s="40" t="n"/>
      <c r="T228" s="40" t="n"/>
      <c r="U228" s="40" t="n"/>
      <c r="V228" s="40" t="n"/>
      <c r="W228" s="40" t="n"/>
      <c r="X228" s="40" t="n"/>
      <c r="Y228" s="40" t="n"/>
      <c r="Z228" s="40" t="n"/>
      <c r="AA228" s="39" t="n"/>
    </row>
    <row r="229">
      <c r="A229" s="7" t="n"/>
      <c r="B229" s="7" t="n"/>
      <c r="C229" s="39" t="n"/>
      <c r="D229" s="39" t="n"/>
      <c r="E229" s="7" t="n"/>
      <c r="F229" s="7" t="n"/>
      <c r="G229" s="7" t="n"/>
      <c r="H229" s="39" t="n"/>
      <c r="I229" s="39" t="n"/>
      <c r="J229" s="39" t="n"/>
      <c r="K229" s="39" t="n"/>
      <c r="L229" s="39" t="n"/>
      <c r="M229" s="7" t="n"/>
      <c r="N229" s="7" t="n"/>
      <c r="O229" s="40" t="n"/>
      <c r="P229" s="40" t="n"/>
      <c r="Q229" s="40" t="n"/>
      <c r="R229" s="40" t="n"/>
      <c r="S229" s="40" t="n"/>
      <c r="T229" s="40" t="n"/>
      <c r="U229" s="40" t="n"/>
      <c r="V229" s="40" t="n"/>
      <c r="W229" s="40" t="n"/>
      <c r="X229" s="40" t="n"/>
      <c r="Y229" s="40" t="n"/>
      <c r="Z229" s="40" t="n"/>
      <c r="AA229" s="39" t="n"/>
    </row>
    <row r="230">
      <c r="A230" s="7" t="n"/>
      <c r="B230" s="7" t="n"/>
      <c r="C230" s="39" t="n"/>
      <c r="D230" s="39" t="n"/>
      <c r="E230" s="7" t="n"/>
      <c r="F230" s="7" t="n"/>
      <c r="G230" s="7" t="n"/>
      <c r="H230" s="39" t="n"/>
      <c r="I230" s="39" t="n"/>
      <c r="J230" s="39" t="n"/>
      <c r="K230" s="39" t="n"/>
      <c r="L230" s="39" t="n"/>
      <c r="M230" s="7" t="n"/>
      <c r="N230" s="7" t="n"/>
      <c r="O230" s="40" t="n"/>
      <c r="P230" s="40" t="n"/>
      <c r="Q230" s="40" t="n"/>
      <c r="R230" s="40" t="n"/>
      <c r="S230" s="40" t="n"/>
      <c r="T230" s="40" t="n"/>
      <c r="U230" s="40" t="n"/>
      <c r="V230" s="40" t="n"/>
      <c r="W230" s="40" t="n"/>
      <c r="X230" s="40" t="n"/>
      <c r="Y230" s="40" t="n"/>
      <c r="Z230" s="40" t="n"/>
      <c r="AA230" s="39" t="n"/>
    </row>
    <row r="231">
      <c r="A231" s="7" t="n"/>
      <c r="B231" s="7" t="n"/>
      <c r="C231" s="39" t="n"/>
      <c r="D231" s="39" t="n"/>
      <c r="E231" s="7" t="n"/>
      <c r="F231" s="7" t="n"/>
      <c r="G231" s="7" t="n"/>
      <c r="H231" s="39" t="n"/>
      <c r="I231" s="39" t="n"/>
      <c r="J231" s="39" t="n"/>
      <c r="K231" s="39" t="n"/>
      <c r="L231" s="39" t="n"/>
      <c r="M231" s="7" t="n"/>
      <c r="N231" s="7" t="n"/>
      <c r="O231" s="40" t="n"/>
      <c r="P231" s="40" t="n"/>
      <c r="Q231" s="40" t="n"/>
      <c r="R231" s="40" t="n"/>
      <c r="S231" s="40" t="n"/>
      <c r="T231" s="40" t="n"/>
      <c r="U231" s="40" t="n"/>
      <c r="V231" s="40" t="n"/>
      <c r="W231" s="40" t="n"/>
      <c r="X231" s="40" t="n"/>
      <c r="Y231" s="40" t="n"/>
      <c r="Z231" s="40" t="n"/>
      <c r="AA231" s="39" t="n"/>
    </row>
    <row r="232">
      <c r="A232" s="7" t="n"/>
      <c r="B232" s="7" t="n"/>
      <c r="C232" s="39" t="n"/>
      <c r="D232" s="39" t="n"/>
      <c r="E232" s="7" t="n"/>
      <c r="F232" s="7" t="n"/>
      <c r="G232" s="7" t="n"/>
      <c r="H232" s="39" t="n"/>
      <c r="I232" s="39" t="n"/>
      <c r="J232" s="39" t="n"/>
      <c r="K232" s="39" t="n"/>
      <c r="L232" s="39" t="n"/>
      <c r="M232" s="7" t="n"/>
      <c r="N232" s="7" t="n"/>
      <c r="O232" s="40" t="n"/>
      <c r="P232" s="40" t="n"/>
      <c r="Q232" s="40" t="n"/>
      <c r="R232" s="40" t="n"/>
      <c r="S232" s="40" t="n"/>
      <c r="T232" s="40" t="n"/>
      <c r="U232" s="40" t="n"/>
      <c r="V232" s="40" t="n"/>
      <c r="W232" s="40" t="n"/>
      <c r="X232" s="40" t="n"/>
      <c r="Y232" s="40" t="n"/>
      <c r="Z232" s="40" t="n"/>
      <c r="AA232" s="39" t="n"/>
    </row>
    <row r="233">
      <c r="A233" s="7" t="n"/>
      <c r="B233" s="7" t="n"/>
      <c r="C233" s="39" t="n"/>
      <c r="D233" s="39" t="n"/>
      <c r="E233" s="7" t="n"/>
      <c r="F233" s="7" t="n"/>
      <c r="G233" s="7" t="n"/>
      <c r="H233" s="39" t="n"/>
      <c r="I233" s="39" t="n"/>
      <c r="J233" s="39" t="n"/>
      <c r="K233" s="39" t="n"/>
      <c r="L233" s="39" t="n"/>
      <c r="M233" s="7" t="n"/>
      <c r="N233" s="7" t="n"/>
      <c r="O233" s="40" t="n"/>
      <c r="P233" s="40" t="n"/>
      <c r="Q233" s="40" t="n"/>
      <c r="R233" s="40" t="n"/>
      <c r="S233" s="40" t="n"/>
      <c r="T233" s="40" t="n"/>
      <c r="U233" s="40" t="n"/>
      <c r="V233" s="40" t="n"/>
      <c r="W233" s="40" t="n"/>
      <c r="X233" s="40" t="n"/>
      <c r="Y233" s="40" t="n"/>
      <c r="Z233" s="40" t="n"/>
      <c r="AA233" s="39" t="n"/>
    </row>
    <row r="234">
      <c r="A234" s="7" t="n"/>
      <c r="B234" s="7" t="n"/>
      <c r="C234" s="39" t="n"/>
      <c r="D234" s="39" t="n"/>
      <c r="E234" s="7" t="n"/>
      <c r="F234" s="7" t="n"/>
      <c r="G234" s="7" t="n"/>
      <c r="H234" s="39" t="n"/>
      <c r="I234" s="39" t="n"/>
      <c r="J234" s="39" t="n"/>
      <c r="K234" s="39" t="n"/>
      <c r="L234" s="39" t="n"/>
      <c r="M234" s="7" t="n"/>
      <c r="N234" s="7" t="n"/>
      <c r="O234" s="40" t="n"/>
      <c r="P234" s="40" t="n"/>
      <c r="Q234" s="40" t="n"/>
      <c r="R234" s="40" t="n"/>
      <c r="S234" s="40" t="n"/>
      <c r="T234" s="40" t="n"/>
      <c r="U234" s="40" t="n"/>
      <c r="V234" s="40" t="n"/>
      <c r="W234" s="40" t="n"/>
      <c r="X234" s="40" t="n"/>
      <c r="Y234" s="40" t="n"/>
      <c r="Z234" s="40" t="n"/>
      <c r="AA234" s="39" t="n"/>
    </row>
    <row r="235">
      <c r="A235" s="7" t="n"/>
      <c r="B235" s="7" t="n"/>
      <c r="C235" s="39" t="n"/>
      <c r="D235" s="39" t="n"/>
      <c r="E235" s="7" t="n"/>
      <c r="F235" s="7" t="n"/>
      <c r="G235" s="7" t="n"/>
      <c r="H235" s="39" t="n"/>
      <c r="I235" s="39" t="n"/>
      <c r="J235" s="39" t="n"/>
      <c r="K235" s="39" t="n"/>
      <c r="L235" s="39" t="n"/>
      <c r="M235" s="7" t="n"/>
      <c r="N235" s="7" t="n"/>
      <c r="O235" s="40" t="n"/>
      <c r="P235" s="40" t="n"/>
      <c r="Q235" s="40" t="n"/>
      <c r="R235" s="40" t="n"/>
      <c r="S235" s="40" t="n"/>
      <c r="T235" s="40" t="n"/>
      <c r="U235" s="40" t="n"/>
      <c r="V235" s="40" t="n"/>
      <c r="W235" s="40" t="n"/>
      <c r="X235" s="40" t="n"/>
      <c r="Y235" s="40" t="n"/>
      <c r="Z235" s="40" t="n"/>
      <c r="AA235" s="39" t="n"/>
    </row>
    <row r="236">
      <c r="A236" s="7" t="n"/>
      <c r="B236" s="7" t="n"/>
      <c r="C236" s="39" t="n"/>
      <c r="D236" s="39" t="n"/>
      <c r="E236" s="7" t="n"/>
      <c r="F236" s="7" t="n"/>
      <c r="G236" s="7" t="n"/>
      <c r="H236" s="39" t="n"/>
      <c r="I236" s="39" t="n"/>
      <c r="J236" s="39" t="n"/>
      <c r="K236" s="39" t="n"/>
      <c r="L236" s="39" t="n"/>
      <c r="M236" s="7" t="n"/>
      <c r="N236" s="7" t="n"/>
      <c r="O236" s="40" t="n"/>
      <c r="P236" s="40" t="n"/>
      <c r="Q236" s="40" t="n"/>
      <c r="R236" s="40" t="n"/>
      <c r="S236" s="40" t="n"/>
      <c r="T236" s="40" t="n"/>
      <c r="U236" s="40" t="n"/>
      <c r="V236" s="40" t="n"/>
      <c r="W236" s="40" t="n"/>
      <c r="X236" s="40" t="n"/>
      <c r="Y236" s="40" t="n"/>
      <c r="Z236" s="40" t="n"/>
      <c r="AA236" s="39" t="n"/>
    </row>
    <row r="237">
      <c r="A237" s="7" t="n"/>
      <c r="B237" s="7" t="n"/>
      <c r="C237" s="39" t="n"/>
      <c r="D237" s="39" t="n"/>
      <c r="E237" s="7" t="n"/>
      <c r="F237" s="7" t="n"/>
      <c r="G237" s="7" t="n"/>
      <c r="H237" s="39" t="n"/>
      <c r="I237" s="39" t="n"/>
      <c r="J237" s="39" t="n"/>
      <c r="K237" s="39" t="n"/>
      <c r="L237" s="39" t="n"/>
      <c r="M237" s="7" t="n"/>
      <c r="N237" s="7" t="n"/>
      <c r="O237" s="40" t="n"/>
      <c r="P237" s="40" t="n"/>
      <c r="Q237" s="40" t="n"/>
      <c r="R237" s="40" t="n"/>
      <c r="S237" s="40" t="n"/>
      <c r="T237" s="40" t="n"/>
      <c r="U237" s="40" t="n"/>
      <c r="V237" s="40" t="n"/>
      <c r="W237" s="40" t="n"/>
      <c r="X237" s="40" t="n"/>
      <c r="Y237" s="40" t="n"/>
      <c r="Z237" s="40" t="n"/>
      <c r="AA237" s="39" t="n"/>
    </row>
    <row r="238">
      <c r="A238" s="7" t="n"/>
      <c r="B238" s="7" t="n"/>
      <c r="C238" s="39" t="n"/>
      <c r="D238" s="39" t="n"/>
      <c r="E238" s="7" t="n"/>
      <c r="F238" s="7" t="n"/>
      <c r="G238" s="7" t="n"/>
      <c r="H238" s="39" t="n"/>
      <c r="I238" s="39" t="n"/>
      <c r="J238" s="39" t="n"/>
      <c r="K238" s="39" t="n"/>
      <c r="L238" s="39" t="n"/>
      <c r="M238" s="7" t="n"/>
      <c r="N238" s="7" t="n"/>
      <c r="O238" s="40" t="n"/>
      <c r="P238" s="40" t="n"/>
      <c r="Q238" s="40" t="n"/>
      <c r="R238" s="40" t="n"/>
      <c r="S238" s="40" t="n"/>
      <c r="T238" s="40" t="n"/>
      <c r="U238" s="40" t="n"/>
      <c r="V238" s="40" t="n"/>
      <c r="W238" s="40" t="n"/>
      <c r="X238" s="40" t="n"/>
      <c r="Y238" s="40" t="n"/>
      <c r="Z238" s="40" t="n"/>
      <c r="AA238" s="39" t="n"/>
    </row>
    <row r="239">
      <c r="A239" s="7" t="n"/>
      <c r="B239" s="7" t="n"/>
      <c r="C239" s="39" t="n"/>
      <c r="D239" s="39" t="n"/>
      <c r="E239" s="7" t="n"/>
      <c r="F239" s="7" t="n"/>
      <c r="G239" s="7" t="n"/>
      <c r="H239" s="39" t="n"/>
      <c r="I239" s="39" t="n"/>
      <c r="J239" s="39" t="n"/>
      <c r="K239" s="39" t="n"/>
      <c r="L239" s="39" t="n"/>
      <c r="M239" s="7" t="n"/>
      <c r="N239" s="7" t="n"/>
      <c r="O239" s="40" t="n"/>
      <c r="P239" s="40" t="n"/>
      <c r="Q239" s="40" t="n"/>
      <c r="R239" s="40" t="n"/>
      <c r="S239" s="40" t="n"/>
      <c r="T239" s="40" t="n"/>
      <c r="U239" s="40" t="n"/>
      <c r="V239" s="40" t="n"/>
      <c r="W239" s="40" t="n"/>
      <c r="X239" s="40" t="n"/>
      <c r="Y239" s="40" t="n"/>
      <c r="Z239" s="40" t="n"/>
      <c r="AA239" s="39" t="n"/>
    </row>
    <row r="240">
      <c r="A240" s="7" t="n"/>
      <c r="B240" s="7" t="n"/>
      <c r="C240" s="39" t="n"/>
      <c r="D240" s="39" t="n"/>
      <c r="E240" s="7" t="n"/>
      <c r="F240" s="7" t="n"/>
      <c r="G240" s="7" t="n"/>
      <c r="H240" s="39" t="n"/>
      <c r="I240" s="39" t="n"/>
      <c r="J240" s="39" t="n"/>
      <c r="K240" s="39" t="n"/>
      <c r="L240" s="39" t="n"/>
      <c r="M240" s="7" t="n"/>
      <c r="N240" s="7" t="n"/>
      <c r="O240" s="40" t="n"/>
      <c r="P240" s="40" t="n"/>
      <c r="Q240" s="40" t="n"/>
      <c r="R240" s="40" t="n"/>
      <c r="S240" s="40" t="n"/>
      <c r="T240" s="40" t="n"/>
      <c r="U240" s="40" t="n"/>
      <c r="V240" s="40" t="n"/>
      <c r="W240" s="40" t="n"/>
      <c r="X240" s="40" t="n"/>
      <c r="Y240" s="40" t="n"/>
      <c r="Z240" s="40" t="n"/>
      <c r="AA240" s="39" t="n"/>
    </row>
    <row r="241">
      <c r="A241" s="7" t="n"/>
      <c r="B241" s="7" t="n"/>
      <c r="C241" s="39" t="n"/>
      <c r="D241" s="39" t="n"/>
      <c r="E241" s="7" t="n"/>
      <c r="F241" s="7" t="n"/>
      <c r="G241" s="7" t="n"/>
      <c r="H241" s="39" t="n"/>
      <c r="I241" s="39" t="n"/>
      <c r="J241" s="39" t="n"/>
      <c r="K241" s="39" t="n"/>
      <c r="L241" s="39" t="n"/>
      <c r="M241" s="7" t="n"/>
      <c r="N241" s="7" t="n"/>
      <c r="O241" s="40" t="n"/>
      <c r="P241" s="40" t="n"/>
      <c r="Q241" s="40" t="n"/>
      <c r="R241" s="40" t="n"/>
      <c r="S241" s="40" t="n"/>
      <c r="T241" s="40" t="n"/>
      <c r="U241" s="40" t="n"/>
      <c r="V241" s="40" t="n"/>
      <c r="W241" s="40" t="n"/>
      <c r="X241" s="40" t="n"/>
      <c r="Y241" s="40" t="n"/>
      <c r="Z241" s="40" t="n"/>
      <c r="AA241" s="39" t="n"/>
    </row>
    <row r="242">
      <c r="A242" s="7" t="n"/>
      <c r="B242" s="7" t="n"/>
      <c r="C242" s="39" t="n"/>
      <c r="D242" s="39" t="n"/>
      <c r="E242" s="7" t="n"/>
      <c r="F242" s="7" t="n"/>
      <c r="G242" s="7" t="n"/>
      <c r="H242" s="39" t="n"/>
      <c r="I242" s="39" t="n"/>
      <c r="J242" s="39" t="n"/>
      <c r="K242" s="39" t="n"/>
      <c r="L242" s="39" t="n"/>
      <c r="M242" s="7" t="n"/>
      <c r="N242" s="7" t="n"/>
      <c r="O242" s="40" t="n"/>
      <c r="P242" s="40" t="n"/>
      <c r="Q242" s="40" t="n"/>
      <c r="R242" s="40" t="n"/>
      <c r="S242" s="40" t="n"/>
      <c r="T242" s="40" t="n"/>
      <c r="U242" s="40" t="n"/>
      <c r="V242" s="40" t="n"/>
      <c r="W242" s="40" t="n"/>
      <c r="X242" s="40" t="n"/>
      <c r="Y242" s="40" t="n"/>
      <c r="Z242" s="40" t="n"/>
      <c r="AA242" s="39" t="n"/>
    </row>
    <row r="243">
      <c r="A243" s="7" t="n"/>
      <c r="B243" s="7" t="n"/>
      <c r="C243" s="39" t="n"/>
      <c r="D243" s="39" t="n"/>
      <c r="E243" s="7" t="n"/>
      <c r="F243" s="7" t="n"/>
      <c r="G243" s="7" t="n"/>
      <c r="H243" s="39" t="n"/>
      <c r="I243" s="39" t="n"/>
      <c r="J243" s="39" t="n"/>
      <c r="K243" s="39" t="n"/>
      <c r="L243" s="39" t="n"/>
      <c r="M243" s="7" t="n"/>
      <c r="N243" s="7" t="n"/>
      <c r="O243" s="40" t="n"/>
      <c r="P243" s="40" t="n"/>
      <c r="Q243" s="40" t="n"/>
      <c r="R243" s="40" t="n"/>
      <c r="S243" s="40" t="n"/>
      <c r="T243" s="40" t="n"/>
      <c r="U243" s="40" t="n"/>
      <c r="V243" s="40" t="n"/>
      <c r="W243" s="40" t="n"/>
      <c r="X243" s="40" t="n"/>
      <c r="Y243" s="40" t="n"/>
      <c r="Z243" s="40" t="n"/>
      <c r="AA243" s="39" t="n"/>
    </row>
    <row r="244">
      <c r="A244" s="7" t="n"/>
      <c r="B244" s="7" t="n"/>
      <c r="C244" s="39" t="n"/>
      <c r="D244" s="39" t="n"/>
      <c r="E244" s="7" t="n"/>
      <c r="F244" s="7" t="n"/>
      <c r="G244" s="7" t="n"/>
      <c r="H244" s="39" t="n"/>
      <c r="I244" s="39" t="n"/>
      <c r="J244" s="39" t="n"/>
      <c r="K244" s="39" t="n"/>
      <c r="L244" s="39" t="n"/>
      <c r="M244" s="7" t="n"/>
      <c r="N244" s="7" t="n"/>
      <c r="O244" s="40" t="n"/>
      <c r="P244" s="40" t="n"/>
      <c r="Q244" s="40" t="n"/>
      <c r="R244" s="40" t="n"/>
      <c r="S244" s="40" t="n"/>
      <c r="T244" s="40" t="n"/>
      <c r="U244" s="40" t="n"/>
      <c r="V244" s="40" t="n"/>
      <c r="W244" s="40" t="n"/>
      <c r="X244" s="40" t="n"/>
      <c r="Y244" s="40" t="n"/>
      <c r="Z244" s="40" t="n"/>
      <c r="AA244" s="39" t="n"/>
    </row>
    <row r="245">
      <c r="A245" s="7" t="n"/>
      <c r="B245" s="7" t="n"/>
      <c r="C245" s="39" t="n"/>
      <c r="D245" s="39" t="n"/>
      <c r="E245" s="7" t="n"/>
      <c r="F245" s="7" t="n"/>
      <c r="G245" s="7" t="n"/>
      <c r="H245" s="39" t="n"/>
      <c r="I245" s="39" t="n"/>
      <c r="J245" s="39" t="n"/>
      <c r="K245" s="39" t="n"/>
      <c r="L245" s="39" t="n"/>
      <c r="M245" s="7" t="n"/>
      <c r="N245" s="7" t="n"/>
      <c r="O245" s="40" t="n"/>
      <c r="P245" s="40" t="n"/>
      <c r="Q245" s="40" t="n"/>
      <c r="R245" s="40" t="n"/>
      <c r="S245" s="40" t="n"/>
      <c r="T245" s="40" t="n"/>
      <c r="U245" s="40" t="n"/>
      <c r="V245" s="40" t="n"/>
      <c r="W245" s="40" t="n"/>
      <c r="X245" s="40" t="n"/>
      <c r="Y245" s="40" t="n"/>
      <c r="Z245" s="40" t="n"/>
      <c r="AA245" s="39" t="n"/>
    </row>
    <row r="246">
      <c r="A246" s="7" t="n"/>
      <c r="B246" s="7" t="n"/>
      <c r="C246" s="39" t="n"/>
      <c r="D246" s="39" t="n"/>
      <c r="E246" s="7" t="n"/>
      <c r="F246" s="7" t="n"/>
      <c r="G246" s="7" t="n"/>
      <c r="H246" s="39" t="n"/>
      <c r="I246" s="39" t="n"/>
      <c r="J246" s="39" t="n"/>
      <c r="K246" s="39" t="n"/>
      <c r="L246" s="39" t="n"/>
      <c r="M246" s="7" t="n"/>
      <c r="N246" s="7" t="n"/>
      <c r="O246" s="40" t="n"/>
      <c r="P246" s="40" t="n"/>
      <c r="Q246" s="40" t="n"/>
      <c r="R246" s="40" t="n"/>
      <c r="S246" s="40" t="n"/>
      <c r="T246" s="40" t="n"/>
      <c r="U246" s="40" t="n"/>
      <c r="V246" s="40" t="n"/>
      <c r="W246" s="40" t="n"/>
      <c r="X246" s="40" t="n"/>
      <c r="Y246" s="40" t="n"/>
      <c r="Z246" s="40" t="n"/>
      <c r="AA246" s="39" t="n"/>
    </row>
    <row r="247">
      <c r="A247" s="7" t="n"/>
      <c r="B247" s="7" t="n"/>
      <c r="C247" s="39" t="n"/>
      <c r="D247" s="39" t="n"/>
      <c r="E247" s="7" t="n"/>
      <c r="F247" s="7" t="n"/>
      <c r="G247" s="7" t="n"/>
      <c r="H247" s="39" t="n"/>
      <c r="I247" s="39" t="n"/>
      <c r="J247" s="39" t="n"/>
      <c r="K247" s="39" t="n"/>
      <c r="L247" s="39" t="n"/>
      <c r="M247" s="7" t="n"/>
      <c r="N247" s="7" t="n"/>
      <c r="O247" s="40" t="n"/>
      <c r="P247" s="40" t="n"/>
      <c r="Q247" s="40" t="n"/>
      <c r="R247" s="40" t="n"/>
      <c r="S247" s="40" t="n"/>
      <c r="T247" s="40" t="n"/>
      <c r="U247" s="40" t="n"/>
      <c r="V247" s="40" t="n"/>
      <c r="W247" s="40" t="n"/>
      <c r="X247" s="40" t="n"/>
      <c r="Y247" s="40" t="n"/>
      <c r="Z247" s="40" t="n"/>
      <c r="AA247" s="39" t="n"/>
    </row>
    <row r="248">
      <c r="A248" s="7" t="n"/>
      <c r="B248" s="7" t="n"/>
      <c r="C248" s="39" t="n"/>
      <c r="D248" s="39" t="n"/>
      <c r="E248" s="7" t="n"/>
      <c r="F248" s="7" t="n"/>
      <c r="G248" s="7" t="n"/>
      <c r="H248" s="39" t="n"/>
      <c r="I248" s="39" t="n"/>
      <c r="J248" s="39" t="n"/>
      <c r="K248" s="39" t="n"/>
      <c r="L248" s="39" t="n"/>
      <c r="M248" s="7" t="n"/>
      <c r="N248" s="7" t="n"/>
      <c r="O248" s="40" t="n"/>
      <c r="P248" s="40" t="n"/>
      <c r="Q248" s="40" t="n"/>
      <c r="R248" s="40" t="n"/>
      <c r="S248" s="40" t="n"/>
      <c r="T248" s="40" t="n"/>
      <c r="U248" s="40" t="n"/>
      <c r="V248" s="40" t="n"/>
      <c r="W248" s="40" t="n"/>
      <c r="X248" s="40" t="n"/>
      <c r="Y248" s="40" t="n"/>
      <c r="Z248" s="40" t="n"/>
      <c r="AA248" s="39" t="n"/>
    </row>
    <row r="249">
      <c r="A249" s="7" t="n"/>
      <c r="B249" s="7" t="n"/>
      <c r="C249" s="39" t="n"/>
      <c r="D249" s="39" t="n"/>
      <c r="E249" s="7" t="n"/>
      <c r="F249" s="7" t="n"/>
      <c r="G249" s="7" t="n"/>
      <c r="H249" s="39" t="n"/>
      <c r="I249" s="39" t="n"/>
      <c r="J249" s="39" t="n"/>
      <c r="K249" s="39" t="n"/>
      <c r="L249" s="39" t="n"/>
      <c r="M249" s="7" t="n"/>
      <c r="N249" s="7" t="n"/>
      <c r="O249" s="40" t="n"/>
      <c r="P249" s="40" t="n"/>
      <c r="Q249" s="40" t="n"/>
      <c r="R249" s="40" t="n"/>
      <c r="S249" s="40" t="n"/>
      <c r="T249" s="40" t="n"/>
      <c r="U249" s="40" t="n"/>
      <c r="V249" s="40" t="n"/>
      <c r="W249" s="40" t="n"/>
      <c r="X249" s="40" t="n"/>
      <c r="Y249" s="40" t="n"/>
      <c r="Z249" s="40" t="n"/>
      <c r="AA249" s="39" t="n"/>
    </row>
    <row r="250">
      <c r="A250" s="7" t="n"/>
      <c r="B250" s="7" t="n"/>
      <c r="C250" s="39" t="n"/>
      <c r="D250" s="39" t="n"/>
      <c r="E250" s="7" t="n"/>
      <c r="F250" s="7" t="n"/>
      <c r="G250" s="7" t="n"/>
      <c r="H250" s="39" t="n"/>
      <c r="I250" s="39" t="n"/>
      <c r="J250" s="39" t="n"/>
      <c r="K250" s="39" t="n"/>
      <c r="L250" s="39" t="n"/>
      <c r="M250" s="7" t="n"/>
      <c r="N250" s="7" t="n"/>
      <c r="O250" s="40" t="n"/>
      <c r="P250" s="40" t="n"/>
      <c r="Q250" s="40" t="n"/>
      <c r="R250" s="40" t="n"/>
      <c r="S250" s="40" t="n"/>
      <c r="T250" s="40" t="n"/>
      <c r="U250" s="40" t="n"/>
      <c r="V250" s="40" t="n"/>
      <c r="W250" s="40" t="n"/>
      <c r="X250" s="40" t="n"/>
      <c r="Y250" s="40" t="n"/>
      <c r="Z250" s="40" t="n"/>
      <c r="AA250" s="39" t="n"/>
    </row>
    <row r="251">
      <c r="A251" s="7" t="n"/>
      <c r="B251" s="7" t="n"/>
      <c r="C251" s="39" t="n"/>
      <c r="D251" s="39" t="n"/>
      <c r="E251" s="7" t="n"/>
      <c r="F251" s="7" t="n"/>
      <c r="G251" s="7" t="n"/>
      <c r="H251" s="39" t="n"/>
      <c r="I251" s="39" t="n"/>
      <c r="J251" s="39" t="n"/>
      <c r="K251" s="39" t="n"/>
      <c r="L251" s="39" t="n"/>
      <c r="M251" s="7" t="n"/>
      <c r="N251" s="7" t="n"/>
      <c r="O251" s="40" t="n"/>
      <c r="P251" s="40" t="n"/>
      <c r="Q251" s="40" t="n"/>
      <c r="R251" s="40" t="n"/>
      <c r="S251" s="40" t="n"/>
      <c r="T251" s="40" t="n"/>
      <c r="U251" s="40" t="n"/>
      <c r="V251" s="40" t="n"/>
      <c r="W251" s="40" t="n"/>
      <c r="X251" s="40" t="n"/>
      <c r="Y251" s="40" t="n"/>
      <c r="Z251" s="40" t="n"/>
      <c r="AA251" s="39" t="n"/>
    </row>
    <row r="252">
      <c r="A252" s="7" t="n"/>
      <c r="B252" s="7" t="n"/>
      <c r="C252" s="39" t="n"/>
      <c r="D252" s="39" t="n"/>
      <c r="E252" s="7" t="n"/>
      <c r="F252" s="7" t="n"/>
      <c r="G252" s="7" t="n"/>
      <c r="H252" s="39" t="n"/>
      <c r="I252" s="39" t="n"/>
      <c r="J252" s="39" t="n"/>
      <c r="K252" s="39" t="n"/>
      <c r="L252" s="39" t="n"/>
      <c r="M252" s="7" t="n"/>
      <c r="N252" s="7" t="n"/>
      <c r="O252" s="40" t="n"/>
      <c r="P252" s="40" t="n"/>
      <c r="Q252" s="40" t="n"/>
      <c r="R252" s="40" t="n"/>
      <c r="S252" s="40" t="n"/>
      <c r="T252" s="40" t="n"/>
      <c r="U252" s="40" t="n"/>
      <c r="V252" s="40" t="n"/>
      <c r="W252" s="40" t="n"/>
      <c r="X252" s="40" t="n"/>
      <c r="Y252" s="40" t="n"/>
      <c r="Z252" s="40" t="n"/>
      <c r="AA252" s="39" t="n"/>
    </row>
    <row r="253">
      <c r="A253" s="7" t="n"/>
      <c r="B253" s="7" t="n"/>
      <c r="C253" s="39" t="n"/>
      <c r="D253" s="39" t="n"/>
      <c r="E253" s="7" t="n"/>
      <c r="F253" s="7" t="n"/>
      <c r="G253" s="7" t="n"/>
      <c r="H253" s="39" t="n"/>
      <c r="I253" s="39" t="n"/>
      <c r="J253" s="39" t="n"/>
      <c r="K253" s="39" t="n"/>
      <c r="L253" s="39" t="n"/>
      <c r="M253" s="7" t="n"/>
      <c r="N253" s="7" t="n"/>
      <c r="O253" s="40" t="n"/>
      <c r="P253" s="40" t="n"/>
      <c r="Q253" s="40" t="n"/>
      <c r="R253" s="40" t="n"/>
      <c r="S253" s="40" t="n"/>
      <c r="T253" s="40" t="n"/>
      <c r="U253" s="40" t="n"/>
      <c r="V253" s="40" t="n"/>
      <c r="W253" s="40" t="n"/>
      <c r="X253" s="40" t="n"/>
      <c r="Y253" s="40" t="n"/>
      <c r="Z253" s="40" t="n"/>
      <c r="AA253" s="39" t="n"/>
    </row>
    <row r="254">
      <c r="A254" s="7" t="n"/>
      <c r="B254" s="7" t="n"/>
      <c r="C254" s="39" t="n"/>
      <c r="D254" s="39" t="n"/>
      <c r="E254" s="7" t="n"/>
      <c r="F254" s="7" t="n"/>
      <c r="G254" s="7" t="n"/>
      <c r="H254" s="39" t="n"/>
      <c r="I254" s="39" t="n"/>
      <c r="J254" s="39" t="n"/>
      <c r="K254" s="39" t="n"/>
      <c r="L254" s="39" t="n"/>
      <c r="M254" s="7" t="n"/>
      <c r="N254" s="7" t="n"/>
      <c r="O254" s="40" t="n"/>
      <c r="P254" s="40" t="n"/>
      <c r="Q254" s="40" t="n"/>
      <c r="R254" s="40" t="n"/>
      <c r="S254" s="40" t="n"/>
      <c r="T254" s="40" t="n"/>
      <c r="U254" s="40" t="n"/>
      <c r="V254" s="40" t="n"/>
      <c r="W254" s="40" t="n"/>
      <c r="X254" s="40" t="n"/>
      <c r="Y254" s="40" t="n"/>
      <c r="Z254" s="40" t="n"/>
      <c r="AA254" s="39" t="n"/>
    </row>
    <row r="255">
      <c r="A255" s="7" t="n"/>
      <c r="B255" s="7" t="n"/>
      <c r="C255" s="39" t="n"/>
      <c r="D255" s="39" t="n"/>
      <c r="E255" s="7" t="n"/>
      <c r="F255" s="7" t="n"/>
      <c r="G255" s="7" t="n"/>
      <c r="H255" s="39" t="n"/>
      <c r="I255" s="39" t="n"/>
      <c r="J255" s="39" t="n"/>
      <c r="K255" s="39" t="n"/>
      <c r="L255" s="39" t="n"/>
      <c r="M255" s="7" t="n"/>
      <c r="N255" s="7" t="n"/>
      <c r="O255" s="40" t="n"/>
      <c r="P255" s="40" t="n"/>
      <c r="Q255" s="40" t="n"/>
      <c r="R255" s="40" t="n"/>
      <c r="S255" s="40" t="n"/>
      <c r="T255" s="40" t="n"/>
      <c r="U255" s="40" t="n"/>
      <c r="V255" s="40" t="n"/>
      <c r="W255" s="40" t="n"/>
      <c r="X255" s="40" t="n"/>
      <c r="Y255" s="40" t="n"/>
      <c r="Z255" s="40" t="n"/>
      <c r="AA255" s="39" t="n"/>
    </row>
    <row r="256">
      <c r="A256" s="7" t="n"/>
      <c r="B256" s="7" t="n"/>
      <c r="C256" s="39" t="n"/>
      <c r="D256" s="39" t="n"/>
      <c r="E256" s="7" t="n"/>
      <c r="F256" s="7" t="n"/>
      <c r="G256" s="7" t="n"/>
      <c r="H256" s="39" t="n"/>
      <c r="I256" s="39" t="n"/>
      <c r="J256" s="39" t="n"/>
      <c r="K256" s="39" t="n"/>
      <c r="L256" s="39" t="n"/>
      <c r="M256" s="7" t="n"/>
      <c r="N256" s="7" t="n"/>
      <c r="O256" s="40" t="n"/>
      <c r="P256" s="40" t="n"/>
      <c r="Q256" s="40" t="n"/>
      <c r="R256" s="40" t="n"/>
      <c r="S256" s="40" t="n"/>
      <c r="T256" s="40" t="n"/>
      <c r="U256" s="40" t="n"/>
      <c r="V256" s="40" t="n"/>
      <c r="W256" s="40" t="n"/>
      <c r="X256" s="40" t="n"/>
      <c r="Y256" s="40" t="n"/>
      <c r="Z256" s="40" t="n"/>
      <c r="AA256" s="39" t="n"/>
    </row>
    <row r="257">
      <c r="A257" s="7" t="n"/>
      <c r="B257" s="7" t="n"/>
      <c r="C257" s="39" t="n"/>
      <c r="D257" s="39" t="n"/>
      <c r="E257" s="7" t="n"/>
      <c r="F257" s="7" t="n"/>
      <c r="G257" s="7" t="n"/>
      <c r="H257" s="39" t="n"/>
      <c r="I257" s="39" t="n"/>
      <c r="J257" s="39" t="n"/>
      <c r="K257" s="39" t="n"/>
      <c r="L257" s="39" t="n"/>
      <c r="M257" s="7" t="n"/>
      <c r="N257" s="7" t="n"/>
      <c r="O257" s="40" t="n"/>
      <c r="P257" s="40" t="n"/>
      <c r="Q257" s="40" t="n"/>
      <c r="R257" s="40" t="n"/>
      <c r="S257" s="40" t="n"/>
      <c r="T257" s="40" t="n"/>
      <c r="U257" s="40" t="n"/>
      <c r="V257" s="40" t="n"/>
      <c r="W257" s="40" t="n"/>
      <c r="X257" s="40" t="n"/>
      <c r="Y257" s="40" t="n"/>
      <c r="Z257" s="40" t="n"/>
      <c r="AA257" s="39" t="n"/>
    </row>
    <row r="258">
      <c r="A258" s="7" t="n"/>
      <c r="B258" s="7" t="n"/>
      <c r="C258" s="39" t="n"/>
      <c r="D258" s="39" t="n"/>
      <c r="E258" s="7" t="n"/>
      <c r="F258" s="7" t="n"/>
      <c r="G258" s="7" t="n"/>
      <c r="H258" s="39" t="n"/>
      <c r="I258" s="39" t="n"/>
      <c r="J258" s="39" t="n"/>
      <c r="K258" s="39" t="n"/>
      <c r="L258" s="39" t="n"/>
      <c r="M258" s="7" t="n"/>
      <c r="N258" s="7" t="n"/>
      <c r="O258" s="40" t="n"/>
      <c r="P258" s="40" t="n"/>
      <c r="Q258" s="40" t="n"/>
      <c r="R258" s="40" t="n"/>
      <c r="S258" s="40" t="n"/>
      <c r="T258" s="40" t="n"/>
      <c r="U258" s="40" t="n"/>
      <c r="V258" s="40" t="n"/>
      <c r="W258" s="40" t="n"/>
      <c r="X258" s="40" t="n"/>
      <c r="Y258" s="40" t="n"/>
      <c r="Z258" s="40" t="n"/>
      <c r="AA258" s="39" t="n"/>
    </row>
    <row r="259">
      <c r="A259" s="7" t="n"/>
      <c r="B259" s="7" t="n"/>
      <c r="C259" s="39" t="n"/>
      <c r="D259" s="39" t="n"/>
      <c r="E259" s="7" t="n"/>
      <c r="F259" s="7" t="n"/>
      <c r="G259" s="7" t="n"/>
      <c r="H259" s="39" t="n"/>
      <c r="I259" s="39" t="n"/>
      <c r="J259" s="39" t="n"/>
      <c r="K259" s="39" t="n"/>
      <c r="L259" s="39" t="n"/>
      <c r="M259" s="7" t="n"/>
      <c r="N259" s="7" t="n"/>
      <c r="O259" s="40" t="n"/>
      <c r="P259" s="40" t="n"/>
      <c r="Q259" s="40" t="n"/>
      <c r="R259" s="40" t="n"/>
      <c r="S259" s="40" t="n"/>
      <c r="T259" s="40" t="n"/>
      <c r="U259" s="40" t="n"/>
      <c r="V259" s="40" t="n"/>
      <c r="W259" s="40" t="n"/>
      <c r="X259" s="40" t="n"/>
      <c r="Y259" s="40" t="n"/>
      <c r="Z259" s="40" t="n"/>
      <c r="AA259" s="39" t="n"/>
    </row>
    <row r="260">
      <c r="A260" s="7" t="n"/>
      <c r="B260" s="7" t="n"/>
      <c r="C260" s="39" t="n"/>
      <c r="D260" s="39" t="n"/>
      <c r="E260" s="7" t="n"/>
      <c r="F260" s="7" t="n"/>
      <c r="G260" s="7" t="n"/>
      <c r="H260" s="39" t="n"/>
      <c r="I260" s="39" t="n"/>
      <c r="J260" s="39" t="n"/>
      <c r="K260" s="39" t="n"/>
      <c r="L260" s="39" t="n"/>
      <c r="M260" s="7" t="n"/>
      <c r="N260" s="7" t="n"/>
      <c r="O260" s="40" t="n"/>
      <c r="P260" s="40" t="n"/>
      <c r="Q260" s="40" t="n"/>
      <c r="R260" s="40" t="n"/>
      <c r="S260" s="40" t="n"/>
      <c r="T260" s="40" t="n"/>
      <c r="U260" s="40" t="n"/>
      <c r="V260" s="40" t="n"/>
      <c r="W260" s="40" t="n"/>
      <c r="X260" s="40" t="n"/>
      <c r="Y260" s="40" t="n"/>
      <c r="Z260" s="40" t="n"/>
      <c r="AA260" s="39" t="n"/>
    </row>
    <row r="261">
      <c r="A261" s="7" t="n"/>
      <c r="B261" s="7" t="n"/>
      <c r="C261" s="39" t="n"/>
      <c r="D261" s="39" t="n"/>
      <c r="E261" s="7" t="n"/>
      <c r="F261" s="7" t="n"/>
      <c r="G261" s="7" t="n"/>
      <c r="H261" s="39" t="n"/>
      <c r="I261" s="39" t="n"/>
      <c r="J261" s="39" t="n"/>
      <c r="K261" s="39" t="n"/>
      <c r="L261" s="39" t="n"/>
      <c r="M261" s="7" t="n"/>
      <c r="N261" s="7" t="n"/>
      <c r="O261" s="40" t="n"/>
      <c r="P261" s="40" t="n"/>
      <c r="Q261" s="40" t="n"/>
      <c r="R261" s="40" t="n"/>
      <c r="S261" s="40" t="n"/>
      <c r="T261" s="40" t="n"/>
      <c r="U261" s="40" t="n"/>
      <c r="V261" s="40" t="n"/>
      <c r="W261" s="40" t="n"/>
      <c r="X261" s="40" t="n"/>
      <c r="Y261" s="40" t="n"/>
      <c r="Z261" s="40" t="n"/>
      <c r="AA261" s="39" t="n"/>
    </row>
    <row r="262">
      <c r="A262" s="7" t="n"/>
      <c r="B262" s="7" t="n"/>
      <c r="C262" s="39" t="n"/>
      <c r="D262" s="39" t="n"/>
      <c r="E262" s="7" t="n"/>
      <c r="F262" s="7" t="n"/>
      <c r="G262" s="7" t="n"/>
      <c r="H262" s="39" t="n"/>
      <c r="I262" s="39" t="n"/>
      <c r="J262" s="39" t="n"/>
      <c r="K262" s="39" t="n"/>
      <c r="L262" s="39" t="n"/>
      <c r="M262" s="7" t="n"/>
      <c r="N262" s="7" t="n"/>
      <c r="O262" s="40" t="n"/>
      <c r="P262" s="40" t="n"/>
      <c r="Q262" s="40" t="n"/>
      <c r="R262" s="40" t="n"/>
      <c r="S262" s="40" t="n"/>
      <c r="T262" s="40" t="n"/>
      <c r="U262" s="40" t="n"/>
      <c r="V262" s="40" t="n"/>
      <c r="W262" s="40" t="n"/>
      <c r="X262" s="40" t="n"/>
      <c r="Y262" s="40" t="n"/>
      <c r="Z262" s="40" t="n"/>
      <c r="AA262" s="39" t="n"/>
    </row>
    <row r="263">
      <c r="A263" s="7" t="n"/>
      <c r="B263" s="7" t="n"/>
      <c r="C263" s="39" t="n"/>
      <c r="D263" s="39" t="n"/>
      <c r="E263" s="7" t="n"/>
      <c r="F263" s="7" t="n"/>
      <c r="G263" s="7" t="n"/>
      <c r="H263" s="39" t="n"/>
      <c r="I263" s="39" t="n"/>
      <c r="J263" s="39" t="n"/>
      <c r="K263" s="39" t="n"/>
      <c r="L263" s="39" t="n"/>
      <c r="M263" s="7" t="n"/>
      <c r="N263" s="7" t="n"/>
      <c r="O263" s="40" t="n"/>
      <c r="P263" s="40" t="n"/>
      <c r="Q263" s="40" t="n"/>
      <c r="R263" s="40" t="n"/>
      <c r="S263" s="40" t="n"/>
      <c r="T263" s="40" t="n"/>
      <c r="U263" s="40" t="n"/>
      <c r="V263" s="40" t="n"/>
      <c r="W263" s="40" t="n"/>
      <c r="X263" s="40" t="n"/>
      <c r="Y263" s="40" t="n"/>
      <c r="Z263" s="40" t="n"/>
      <c r="AA263" s="39" t="n"/>
    </row>
    <row r="264">
      <c r="A264" s="7" t="n"/>
      <c r="B264" s="7" t="n"/>
      <c r="C264" s="39" t="n"/>
      <c r="D264" s="39" t="n"/>
      <c r="E264" s="7" t="n"/>
      <c r="F264" s="7" t="n"/>
      <c r="G264" s="7" t="n"/>
      <c r="H264" s="39" t="n"/>
      <c r="I264" s="39" t="n"/>
      <c r="J264" s="39" t="n"/>
      <c r="K264" s="39" t="n"/>
      <c r="L264" s="39" t="n"/>
      <c r="M264" s="7" t="n"/>
      <c r="N264" s="7" t="n"/>
      <c r="O264" s="40" t="n"/>
      <c r="P264" s="40" t="n"/>
      <c r="Q264" s="40" t="n"/>
      <c r="R264" s="40" t="n"/>
      <c r="S264" s="40" t="n"/>
      <c r="T264" s="40" t="n"/>
      <c r="U264" s="40" t="n"/>
      <c r="V264" s="40" t="n"/>
      <c r="W264" s="40" t="n"/>
      <c r="X264" s="40" t="n"/>
      <c r="Y264" s="40" t="n"/>
      <c r="Z264" s="40" t="n"/>
      <c r="AA264" s="39" t="n"/>
    </row>
    <row r="265">
      <c r="A265" s="7" t="n"/>
      <c r="B265" s="7" t="n"/>
      <c r="C265" s="39" t="n"/>
      <c r="D265" s="39" t="n"/>
      <c r="E265" s="7" t="n"/>
      <c r="F265" s="7" t="n"/>
      <c r="G265" s="7" t="n"/>
      <c r="H265" s="39" t="n"/>
      <c r="I265" s="39" t="n"/>
      <c r="J265" s="39" t="n"/>
      <c r="K265" s="39" t="n"/>
      <c r="L265" s="39" t="n"/>
      <c r="M265" s="7" t="n"/>
      <c r="N265" s="7" t="n"/>
      <c r="O265" s="40" t="n"/>
      <c r="P265" s="40" t="n"/>
      <c r="Q265" s="40" t="n"/>
      <c r="R265" s="40" t="n"/>
      <c r="S265" s="40" t="n"/>
      <c r="T265" s="40" t="n"/>
      <c r="U265" s="40" t="n"/>
      <c r="V265" s="40" t="n"/>
      <c r="W265" s="40" t="n"/>
      <c r="X265" s="40" t="n"/>
      <c r="Y265" s="40" t="n"/>
      <c r="Z265" s="40" t="n"/>
      <c r="AA265" s="39" t="n"/>
    </row>
    <row r="266">
      <c r="A266" s="7" t="n"/>
      <c r="B266" s="7" t="n"/>
      <c r="C266" s="39" t="n"/>
      <c r="D266" s="39" t="n"/>
      <c r="E266" s="7" t="n"/>
      <c r="F266" s="7" t="n"/>
      <c r="G266" s="7" t="n"/>
      <c r="H266" s="39" t="n"/>
      <c r="I266" s="39" t="n"/>
      <c r="J266" s="39" t="n"/>
      <c r="K266" s="39" t="n"/>
      <c r="L266" s="39" t="n"/>
      <c r="M266" s="7" t="n"/>
      <c r="N266" s="7" t="n"/>
      <c r="O266" s="40" t="n"/>
      <c r="P266" s="40" t="n"/>
      <c r="Q266" s="40" t="n"/>
      <c r="R266" s="40" t="n"/>
      <c r="S266" s="40" t="n"/>
      <c r="T266" s="40" t="n"/>
      <c r="U266" s="40" t="n"/>
      <c r="V266" s="40" t="n"/>
      <c r="W266" s="40" t="n"/>
      <c r="X266" s="40" t="n"/>
      <c r="Y266" s="40" t="n"/>
      <c r="Z266" s="40" t="n"/>
      <c r="AA266" s="39" t="n"/>
    </row>
    <row r="267">
      <c r="A267" s="7" t="n"/>
      <c r="B267" s="7" t="n"/>
      <c r="C267" s="39" t="n"/>
      <c r="D267" s="39" t="n"/>
      <c r="E267" s="7" t="n"/>
      <c r="F267" s="7" t="n"/>
      <c r="G267" s="7" t="n"/>
      <c r="H267" s="39" t="n"/>
      <c r="I267" s="39" t="n"/>
      <c r="J267" s="39" t="n"/>
      <c r="K267" s="39" t="n"/>
      <c r="L267" s="39" t="n"/>
      <c r="M267" s="7" t="n"/>
      <c r="N267" s="7" t="n"/>
      <c r="O267" s="40" t="n"/>
      <c r="P267" s="40" t="n"/>
      <c r="Q267" s="40" t="n"/>
      <c r="R267" s="40" t="n"/>
      <c r="S267" s="40" t="n"/>
      <c r="T267" s="40" t="n"/>
      <c r="U267" s="40" t="n"/>
      <c r="V267" s="40" t="n"/>
      <c r="W267" s="40" t="n"/>
      <c r="X267" s="40" t="n"/>
      <c r="Y267" s="40" t="n"/>
      <c r="Z267" s="40" t="n"/>
      <c r="AA267" s="39" t="n"/>
    </row>
    <row r="268">
      <c r="A268" s="7" t="n"/>
      <c r="B268" s="7" t="n"/>
      <c r="C268" s="39" t="n"/>
      <c r="D268" s="39" t="n"/>
      <c r="E268" s="7" t="n"/>
      <c r="F268" s="7" t="n"/>
      <c r="G268" s="7" t="n"/>
      <c r="H268" s="39" t="n"/>
      <c r="I268" s="39" t="n"/>
      <c r="J268" s="39" t="n"/>
      <c r="K268" s="39" t="n"/>
      <c r="L268" s="39" t="n"/>
      <c r="M268" s="7" t="n"/>
      <c r="N268" s="7" t="n"/>
      <c r="O268" s="40" t="n"/>
      <c r="P268" s="40" t="n"/>
      <c r="Q268" s="40" t="n"/>
      <c r="R268" s="40" t="n"/>
      <c r="S268" s="40" t="n"/>
      <c r="T268" s="40" t="n"/>
      <c r="U268" s="40" t="n"/>
      <c r="V268" s="40" t="n"/>
      <c r="W268" s="40" t="n"/>
      <c r="X268" s="40" t="n"/>
      <c r="Y268" s="40" t="n"/>
      <c r="Z268" s="40" t="n"/>
      <c r="AA268" s="39" t="n"/>
    </row>
    <row r="269">
      <c r="A269" s="7" t="n"/>
      <c r="B269" s="7" t="n"/>
      <c r="C269" s="39" t="n"/>
      <c r="D269" s="39" t="n"/>
      <c r="E269" s="7" t="n"/>
      <c r="F269" s="7" t="n"/>
      <c r="G269" s="7" t="n"/>
      <c r="H269" s="39" t="n"/>
      <c r="I269" s="39" t="n"/>
      <c r="J269" s="39" t="n"/>
      <c r="K269" s="39" t="n"/>
      <c r="L269" s="39" t="n"/>
      <c r="M269" s="7" t="n"/>
      <c r="N269" s="7" t="n"/>
      <c r="O269" s="40" t="n"/>
      <c r="P269" s="40" t="n"/>
      <c r="Q269" s="40" t="n"/>
      <c r="R269" s="40" t="n"/>
      <c r="S269" s="40" t="n"/>
      <c r="T269" s="40" t="n"/>
      <c r="U269" s="40" t="n"/>
      <c r="V269" s="40" t="n"/>
      <c r="W269" s="40" t="n"/>
      <c r="X269" s="40" t="n"/>
      <c r="Y269" s="40" t="n"/>
      <c r="Z269" s="40" t="n"/>
      <c r="AA269" s="39" t="n"/>
    </row>
    <row r="270">
      <c r="A270" s="7" t="n"/>
      <c r="B270" s="7" t="n"/>
      <c r="C270" s="39" t="n"/>
      <c r="D270" s="39" t="n"/>
      <c r="E270" s="7" t="n"/>
      <c r="F270" s="7" t="n"/>
      <c r="G270" s="7" t="n"/>
      <c r="H270" s="39" t="n"/>
      <c r="I270" s="39" t="n"/>
      <c r="J270" s="39" t="n"/>
      <c r="K270" s="39" t="n"/>
      <c r="L270" s="39" t="n"/>
      <c r="M270" s="7" t="n"/>
      <c r="N270" s="7" t="n"/>
      <c r="O270" s="40" t="n"/>
      <c r="P270" s="40" t="n"/>
      <c r="Q270" s="40" t="n"/>
      <c r="R270" s="40" t="n"/>
      <c r="S270" s="40" t="n"/>
      <c r="T270" s="40" t="n"/>
      <c r="U270" s="40" t="n"/>
      <c r="V270" s="40" t="n"/>
      <c r="W270" s="40" t="n"/>
      <c r="X270" s="40" t="n"/>
      <c r="Y270" s="40" t="n"/>
      <c r="Z270" s="40" t="n"/>
      <c r="AA270" s="39" t="n"/>
    </row>
    <row r="271">
      <c r="A271" s="7" t="n"/>
      <c r="B271" s="7" t="n"/>
      <c r="C271" s="39" t="n"/>
      <c r="D271" s="39" t="n"/>
      <c r="E271" s="7" t="n"/>
      <c r="F271" s="7" t="n"/>
      <c r="G271" s="7" t="n"/>
      <c r="H271" s="39" t="n"/>
      <c r="I271" s="39" t="n"/>
      <c r="J271" s="39" t="n"/>
      <c r="K271" s="39" t="n"/>
      <c r="L271" s="39" t="n"/>
      <c r="M271" s="7" t="n"/>
      <c r="N271" s="7" t="n"/>
      <c r="O271" s="40" t="n"/>
      <c r="P271" s="40" t="n"/>
      <c r="Q271" s="40" t="n"/>
      <c r="R271" s="40" t="n"/>
      <c r="S271" s="40" t="n"/>
      <c r="T271" s="40" t="n"/>
      <c r="U271" s="40" t="n"/>
      <c r="V271" s="40" t="n"/>
      <c r="W271" s="40" t="n"/>
      <c r="X271" s="40" t="n"/>
      <c r="Y271" s="40" t="n"/>
      <c r="Z271" s="40" t="n"/>
      <c r="AA271" s="39" t="n"/>
    </row>
    <row r="272">
      <c r="A272" s="7" t="n"/>
      <c r="B272" s="7" t="n"/>
      <c r="C272" s="39" t="n"/>
      <c r="D272" s="39" t="n"/>
      <c r="E272" s="7" t="n"/>
      <c r="F272" s="7" t="n"/>
      <c r="G272" s="7" t="n"/>
      <c r="H272" s="39" t="n"/>
      <c r="I272" s="39" t="n"/>
      <c r="J272" s="39" t="n"/>
      <c r="K272" s="39" t="n"/>
      <c r="L272" s="39" t="n"/>
      <c r="M272" s="7" t="n"/>
      <c r="N272" s="7" t="n"/>
      <c r="O272" s="40" t="n"/>
      <c r="P272" s="40" t="n"/>
      <c r="Q272" s="40" t="n"/>
      <c r="R272" s="40" t="n"/>
      <c r="S272" s="40" t="n"/>
      <c r="T272" s="40" t="n"/>
      <c r="U272" s="40" t="n"/>
      <c r="V272" s="40" t="n"/>
      <c r="W272" s="40" t="n"/>
      <c r="X272" s="40" t="n"/>
      <c r="Y272" s="40" t="n"/>
      <c r="Z272" s="40" t="n"/>
      <c r="AA272" s="39" t="n"/>
    </row>
    <row r="273">
      <c r="A273" s="7" t="n"/>
      <c r="B273" s="7" t="n"/>
      <c r="C273" s="39" t="n"/>
      <c r="D273" s="39" t="n"/>
      <c r="E273" s="7" t="n"/>
      <c r="F273" s="7" t="n"/>
      <c r="G273" s="7" t="n"/>
      <c r="H273" s="39" t="n"/>
      <c r="I273" s="39" t="n"/>
      <c r="J273" s="39" t="n"/>
      <c r="K273" s="39" t="n"/>
      <c r="L273" s="39" t="n"/>
      <c r="M273" s="7" t="n"/>
      <c r="N273" s="7" t="n"/>
      <c r="O273" s="40" t="n"/>
      <c r="P273" s="40" t="n"/>
      <c r="Q273" s="40" t="n"/>
      <c r="R273" s="40" t="n"/>
      <c r="S273" s="40" t="n"/>
      <c r="T273" s="40" t="n"/>
      <c r="U273" s="40" t="n"/>
      <c r="V273" s="40" t="n"/>
      <c r="W273" s="40" t="n"/>
      <c r="X273" s="40" t="n"/>
      <c r="Y273" s="40" t="n"/>
      <c r="Z273" s="40" t="n"/>
      <c r="AA273" s="39" t="n"/>
    </row>
    <row r="274">
      <c r="A274" s="7" t="n"/>
      <c r="B274" s="7" t="n"/>
      <c r="C274" s="39" t="n"/>
      <c r="D274" s="39" t="n"/>
      <c r="E274" s="7" t="n"/>
      <c r="F274" s="7" t="n"/>
      <c r="G274" s="7" t="n"/>
      <c r="H274" s="39" t="n"/>
      <c r="I274" s="39" t="n"/>
      <c r="J274" s="39" t="n"/>
      <c r="K274" s="39" t="n"/>
      <c r="L274" s="39" t="n"/>
      <c r="M274" s="7" t="n"/>
      <c r="N274" s="7" t="n"/>
      <c r="O274" s="40" t="n"/>
      <c r="P274" s="40" t="n"/>
      <c r="Q274" s="40" t="n"/>
      <c r="R274" s="40" t="n"/>
      <c r="S274" s="40" t="n"/>
      <c r="T274" s="40" t="n"/>
      <c r="U274" s="40" t="n"/>
      <c r="V274" s="40" t="n"/>
      <c r="W274" s="40" t="n"/>
      <c r="X274" s="40" t="n"/>
      <c r="Y274" s="40" t="n"/>
      <c r="Z274" s="40" t="n"/>
      <c r="AA274" s="39" t="n"/>
    </row>
    <row r="275">
      <c r="A275" s="7" t="n"/>
      <c r="B275" s="7" t="n"/>
      <c r="C275" s="39" t="n"/>
      <c r="D275" s="39" t="n"/>
      <c r="E275" s="7" t="n"/>
      <c r="F275" s="7" t="n"/>
      <c r="G275" s="7" t="n"/>
      <c r="H275" s="39" t="n"/>
      <c r="I275" s="39" t="n"/>
      <c r="J275" s="39" t="n"/>
      <c r="K275" s="39" t="n"/>
      <c r="L275" s="39" t="n"/>
      <c r="M275" s="7" t="n"/>
      <c r="N275" s="7" t="n"/>
      <c r="O275" s="40" t="n"/>
      <c r="P275" s="40" t="n"/>
      <c r="Q275" s="40" t="n"/>
      <c r="R275" s="40" t="n"/>
      <c r="S275" s="40" t="n"/>
      <c r="T275" s="40" t="n"/>
      <c r="U275" s="40" t="n"/>
      <c r="V275" s="40" t="n"/>
      <c r="W275" s="40" t="n"/>
      <c r="X275" s="40" t="n"/>
      <c r="Y275" s="40" t="n"/>
      <c r="Z275" s="40" t="n"/>
      <c r="AA275" s="39" t="n"/>
    </row>
    <row r="276">
      <c r="A276" s="7" t="n"/>
      <c r="B276" s="7" t="n"/>
      <c r="C276" s="39" t="n"/>
      <c r="D276" s="39" t="n"/>
      <c r="E276" s="7" t="n"/>
      <c r="F276" s="7" t="n"/>
      <c r="G276" s="7" t="n"/>
      <c r="H276" s="39" t="n"/>
      <c r="I276" s="39" t="n"/>
      <c r="J276" s="39" t="n"/>
      <c r="K276" s="39" t="n"/>
      <c r="L276" s="39" t="n"/>
      <c r="M276" s="7" t="n"/>
      <c r="N276" s="7" t="n"/>
      <c r="O276" s="40" t="n"/>
      <c r="P276" s="40" t="n"/>
      <c r="Q276" s="40" t="n"/>
      <c r="R276" s="40" t="n"/>
      <c r="S276" s="40" t="n"/>
      <c r="T276" s="40" t="n"/>
      <c r="U276" s="40" t="n"/>
      <c r="V276" s="40" t="n"/>
      <c r="W276" s="40" t="n"/>
      <c r="X276" s="40" t="n"/>
      <c r="Y276" s="40" t="n"/>
      <c r="Z276" s="40" t="n"/>
      <c r="AA276" s="39" t="n"/>
    </row>
    <row r="277">
      <c r="A277" s="7" t="n"/>
      <c r="B277" s="7" t="n"/>
      <c r="C277" s="39" t="n"/>
      <c r="D277" s="39" t="n"/>
      <c r="E277" s="7" t="n"/>
      <c r="F277" s="7" t="n"/>
      <c r="G277" s="7" t="n"/>
      <c r="H277" s="39" t="n"/>
      <c r="I277" s="39" t="n"/>
      <c r="J277" s="39" t="n"/>
      <c r="K277" s="39" t="n"/>
      <c r="L277" s="39" t="n"/>
      <c r="M277" s="7" t="n"/>
      <c r="N277" s="7" t="n"/>
      <c r="O277" s="40" t="n"/>
      <c r="P277" s="40" t="n"/>
      <c r="Q277" s="40" t="n"/>
      <c r="R277" s="40" t="n"/>
      <c r="S277" s="40" t="n"/>
      <c r="T277" s="40" t="n"/>
      <c r="U277" s="40" t="n"/>
      <c r="V277" s="40" t="n"/>
      <c r="W277" s="40" t="n"/>
      <c r="X277" s="40" t="n"/>
      <c r="Y277" s="40" t="n"/>
      <c r="Z277" s="40" t="n"/>
      <c r="AA277" s="39" t="n"/>
    </row>
    <row r="278">
      <c r="A278" s="7" t="n"/>
      <c r="B278" s="7" t="n"/>
      <c r="C278" s="39" t="n"/>
      <c r="D278" s="39" t="n"/>
      <c r="E278" s="7" t="n"/>
      <c r="F278" s="7" t="n"/>
      <c r="G278" s="7" t="n"/>
      <c r="H278" s="39" t="n"/>
      <c r="I278" s="39" t="n"/>
      <c r="J278" s="39" t="n"/>
      <c r="K278" s="39" t="n"/>
      <c r="L278" s="39" t="n"/>
      <c r="M278" s="7" t="n"/>
      <c r="N278" s="7" t="n"/>
      <c r="O278" s="40" t="n"/>
      <c r="P278" s="40" t="n"/>
      <c r="Q278" s="40" t="n"/>
      <c r="R278" s="40" t="n"/>
      <c r="S278" s="40" t="n"/>
      <c r="T278" s="40" t="n"/>
      <c r="U278" s="40" t="n"/>
      <c r="V278" s="40" t="n"/>
      <c r="W278" s="40" t="n"/>
      <c r="X278" s="40" t="n"/>
      <c r="Y278" s="40" t="n"/>
      <c r="Z278" s="40" t="n"/>
      <c r="AA278" s="39" t="n"/>
    </row>
    <row r="279">
      <c r="A279" s="7" t="n"/>
      <c r="B279" s="7" t="n"/>
      <c r="C279" s="39" t="n"/>
      <c r="D279" s="39" t="n"/>
      <c r="E279" s="7" t="n"/>
      <c r="F279" s="7" t="n"/>
      <c r="G279" s="7" t="n"/>
      <c r="H279" s="39" t="n"/>
      <c r="I279" s="39" t="n"/>
      <c r="J279" s="39" t="n"/>
      <c r="K279" s="39" t="n"/>
      <c r="L279" s="39" t="n"/>
      <c r="M279" s="7" t="n"/>
      <c r="N279" s="7" t="n"/>
      <c r="O279" s="40" t="n"/>
      <c r="P279" s="40" t="n"/>
      <c r="Q279" s="40" t="n"/>
      <c r="R279" s="40" t="n"/>
      <c r="S279" s="40" t="n"/>
      <c r="T279" s="40" t="n"/>
      <c r="U279" s="40" t="n"/>
      <c r="V279" s="40" t="n"/>
      <c r="W279" s="40" t="n"/>
      <c r="X279" s="40" t="n"/>
      <c r="Y279" s="40" t="n"/>
      <c r="Z279" s="40" t="n"/>
      <c r="AA279" s="39" t="n"/>
    </row>
    <row r="280">
      <c r="A280" s="7" t="n"/>
      <c r="B280" s="7" t="n"/>
      <c r="C280" s="39" t="n"/>
      <c r="D280" s="39" t="n"/>
      <c r="E280" s="7" t="n"/>
      <c r="F280" s="7" t="n"/>
      <c r="G280" s="7" t="n"/>
      <c r="H280" s="39" t="n"/>
      <c r="I280" s="39" t="n"/>
      <c r="J280" s="39" t="n"/>
      <c r="K280" s="39" t="n"/>
      <c r="L280" s="39" t="n"/>
      <c r="M280" s="7" t="n"/>
      <c r="N280" s="7" t="n"/>
      <c r="O280" s="40" t="n"/>
      <c r="P280" s="40" t="n"/>
      <c r="Q280" s="40" t="n"/>
      <c r="R280" s="40" t="n"/>
      <c r="S280" s="40" t="n"/>
      <c r="T280" s="40" t="n"/>
      <c r="U280" s="40" t="n"/>
      <c r="V280" s="40" t="n"/>
      <c r="W280" s="40" t="n"/>
      <c r="X280" s="40" t="n"/>
      <c r="Y280" s="40" t="n"/>
      <c r="Z280" s="40" t="n"/>
      <c r="AA280" s="39" t="n"/>
    </row>
    <row r="281">
      <c r="A281" s="7" t="n"/>
      <c r="B281" s="7" t="n"/>
      <c r="C281" s="39" t="n"/>
      <c r="D281" s="39" t="n"/>
      <c r="E281" s="7" t="n"/>
      <c r="F281" s="7" t="n"/>
      <c r="G281" s="7" t="n"/>
      <c r="H281" s="39" t="n"/>
      <c r="I281" s="39" t="n"/>
      <c r="J281" s="39" t="n"/>
      <c r="K281" s="39" t="n"/>
      <c r="L281" s="39" t="n"/>
      <c r="M281" s="7" t="n"/>
      <c r="N281" s="7" t="n"/>
      <c r="O281" s="40" t="n"/>
      <c r="P281" s="40" t="n"/>
      <c r="Q281" s="40" t="n"/>
      <c r="R281" s="40" t="n"/>
      <c r="S281" s="40" t="n"/>
      <c r="T281" s="40" t="n"/>
      <c r="U281" s="40" t="n"/>
      <c r="V281" s="40" t="n"/>
      <c r="W281" s="40" t="n"/>
      <c r="X281" s="40" t="n"/>
      <c r="Y281" s="40" t="n"/>
      <c r="Z281" s="40" t="n"/>
      <c r="AA281" s="39" t="n"/>
    </row>
    <row r="282">
      <c r="A282" s="7" t="n"/>
      <c r="B282" s="7" t="n"/>
      <c r="C282" s="39" t="n"/>
      <c r="D282" s="39" t="n"/>
      <c r="E282" s="7" t="n"/>
      <c r="F282" s="7" t="n"/>
      <c r="G282" s="7" t="n"/>
      <c r="H282" s="39" t="n"/>
      <c r="I282" s="39" t="n"/>
      <c r="J282" s="39" t="n"/>
      <c r="K282" s="39" t="n"/>
      <c r="L282" s="39" t="n"/>
      <c r="M282" s="7" t="n"/>
      <c r="N282" s="7" t="n"/>
      <c r="O282" s="40" t="n"/>
      <c r="P282" s="40" t="n"/>
      <c r="Q282" s="40" t="n"/>
      <c r="R282" s="40" t="n"/>
      <c r="S282" s="40" t="n"/>
      <c r="T282" s="40" t="n"/>
      <c r="U282" s="40" t="n"/>
      <c r="V282" s="40" t="n"/>
      <c r="W282" s="40" t="n"/>
      <c r="X282" s="40" t="n"/>
      <c r="Y282" s="40" t="n"/>
      <c r="Z282" s="40" t="n"/>
      <c r="AA282" s="39" t="n"/>
    </row>
    <row r="283">
      <c r="A283" s="7" t="n"/>
      <c r="B283" s="7" t="n"/>
      <c r="C283" s="39" t="n"/>
      <c r="D283" s="39" t="n"/>
      <c r="E283" s="7" t="n"/>
      <c r="F283" s="7" t="n"/>
      <c r="G283" s="7" t="n"/>
      <c r="H283" s="39" t="n"/>
      <c r="I283" s="39" t="n"/>
      <c r="J283" s="39" t="n"/>
      <c r="K283" s="39" t="n"/>
      <c r="L283" s="39" t="n"/>
      <c r="M283" s="7" t="n"/>
      <c r="N283" s="7" t="n"/>
      <c r="O283" s="40" t="n"/>
      <c r="P283" s="40" t="n"/>
      <c r="Q283" s="40" t="n"/>
      <c r="R283" s="40" t="n"/>
      <c r="S283" s="40" t="n"/>
      <c r="T283" s="40" t="n"/>
      <c r="U283" s="40" t="n"/>
      <c r="V283" s="40" t="n"/>
      <c r="W283" s="40" t="n"/>
      <c r="X283" s="40" t="n"/>
      <c r="Y283" s="40" t="n"/>
      <c r="Z283" s="40" t="n"/>
      <c r="AA283" s="39" t="n"/>
    </row>
    <row r="284">
      <c r="A284" s="7" t="n"/>
      <c r="B284" s="7" t="n"/>
      <c r="C284" s="39" t="n"/>
      <c r="D284" s="39" t="n"/>
      <c r="E284" s="7" t="n"/>
      <c r="F284" s="7" t="n"/>
      <c r="G284" s="7" t="n"/>
      <c r="H284" s="39" t="n"/>
      <c r="I284" s="39" t="n"/>
      <c r="J284" s="39" t="n"/>
      <c r="K284" s="39" t="n"/>
      <c r="L284" s="39" t="n"/>
      <c r="M284" s="7" t="n"/>
      <c r="N284" s="7" t="n"/>
      <c r="O284" s="40" t="n"/>
      <c r="P284" s="40" t="n"/>
      <c r="Q284" s="40" t="n"/>
      <c r="R284" s="40" t="n"/>
      <c r="S284" s="40" t="n"/>
      <c r="T284" s="40" t="n"/>
      <c r="U284" s="40" t="n"/>
      <c r="V284" s="40" t="n"/>
      <c r="W284" s="40" t="n"/>
      <c r="X284" s="40" t="n"/>
      <c r="Y284" s="40" t="n"/>
      <c r="Z284" s="40" t="n"/>
      <c r="AA284" s="39" t="n"/>
    </row>
    <row r="285">
      <c r="A285" s="7" t="n"/>
      <c r="B285" s="7" t="n"/>
      <c r="C285" s="39" t="n"/>
      <c r="D285" s="39" t="n"/>
      <c r="E285" s="7" t="n"/>
      <c r="F285" s="7" t="n"/>
      <c r="G285" s="7" t="n"/>
      <c r="H285" s="39" t="n"/>
      <c r="I285" s="39" t="n"/>
      <c r="J285" s="39" t="n"/>
      <c r="K285" s="39" t="n"/>
      <c r="L285" s="39" t="n"/>
      <c r="M285" s="7" t="n"/>
      <c r="N285" s="7" t="n"/>
      <c r="O285" s="40" t="n"/>
      <c r="P285" s="40" t="n"/>
      <c r="Q285" s="40" t="n"/>
      <c r="R285" s="40" t="n"/>
      <c r="S285" s="40" t="n"/>
      <c r="T285" s="40" t="n"/>
      <c r="U285" s="40" t="n"/>
      <c r="V285" s="40" t="n"/>
      <c r="W285" s="40" t="n"/>
      <c r="X285" s="40" t="n"/>
      <c r="Y285" s="40" t="n"/>
      <c r="Z285" s="40" t="n"/>
      <c r="AA285" s="39" t="n"/>
    </row>
    <row r="286">
      <c r="A286" s="7" t="n"/>
      <c r="B286" s="7" t="n"/>
      <c r="C286" s="39" t="n"/>
      <c r="D286" s="39" t="n"/>
      <c r="E286" s="7" t="n"/>
      <c r="F286" s="7" t="n"/>
      <c r="G286" s="7" t="n"/>
      <c r="H286" s="39" t="n"/>
      <c r="I286" s="39" t="n"/>
      <c r="J286" s="39" t="n"/>
      <c r="K286" s="39" t="n"/>
      <c r="L286" s="39" t="n"/>
      <c r="M286" s="7" t="n"/>
      <c r="N286" s="7" t="n"/>
      <c r="O286" s="40" t="n"/>
      <c r="P286" s="40" t="n"/>
      <c r="Q286" s="40" t="n"/>
      <c r="R286" s="40" t="n"/>
      <c r="S286" s="40" t="n"/>
      <c r="T286" s="40" t="n"/>
      <c r="U286" s="40" t="n"/>
      <c r="V286" s="40" t="n"/>
      <c r="W286" s="40" t="n"/>
      <c r="X286" s="40" t="n"/>
      <c r="Y286" s="40" t="n"/>
      <c r="Z286" s="40" t="n"/>
      <c r="AA286" s="39" t="n"/>
    </row>
    <row r="287">
      <c r="A287" s="7" t="n"/>
      <c r="B287" s="7" t="n"/>
      <c r="C287" s="39" t="n"/>
      <c r="D287" s="39" t="n"/>
      <c r="E287" s="7" t="n"/>
      <c r="F287" s="7" t="n"/>
      <c r="G287" s="7" t="n"/>
      <c r="H287" s="39" t="n"/>
      <c r="I287" s="39" t="n"/>
      <c r="J287" s="39" t="n"/>
      <c r="K287" s="39" t="n"/>
      <c r="L287" s="39" t="n"/>
      <c r="M287" s="7" t="n"/>
      <c r="N287" s="7" t="n"/>
      <c r="O287" s="40" t="n"/>
      <c r="P287" s="40" t="n"/>
      <c r="Q287" s="40" t="n"/>
      <c r="R287" s="40" t="n"/>
      <c r="S287" s="40" t="n"/>
      <c r="T287" s="40" t="n"/>
      <c r="U287" s="40" t="n"/>
      <c r="V287" s="40" t="n"/>
      <c r="W287" s="40" t="n"/>
      <c r="X287" s="40" t="n"/>
      <c r="Y287" s="40" t="n"/>
      <c r="Z287" s="40" t="n"/>
      <c r="AA287" s="39" t="n"/>
    </row>
    <row r="288">
      <c r="A288" s="7" t="n"/>
      <c r="B288" s="7" t="n"/>
      <c r="C288" s="39" t="n"/>
      <c r="D288" s="39" t="n"/>
      <c r="E288" s="7" t="n"/>
      <c r="F288" s="7" t="n"/>
      <c r="G288" s="7" t="n"/>
      <c r="H288" s="39" t="n"/>
      <c r="I288" s="39" t="n"/>
      <c r="J288" s="39" t="n"/>
      <c r="K288" s="39" t="n"/>
      <c r="L288" s="39" t="n"/>
      <c r="M288" s="7" t="n"/>
      <c r="N288" s="7" t="n"/>
      <c r="O288" s="40" t="n"/>
      <c r="P288" s="40" t="n"/>
      <c r="Q288" s="40" t="n"/>
      <c r="R288" s="40" t="n"/>
      <c r="S288" s="40" t="n"/>
      <c r="T288" s="40" t="n"/>
      <c r="U288" s="40" t="n"/>
      <c r="V288" s="40" t="n"/>
      <c r="W288" s="40" t="n"/>
      <c r="X288" s="40" t="n"/>
      <c r="Y288" s="40" t="n"/>
      <c r="Z288" s="40" t="n"/>
      <c r="AA288" s="39" t="n"/>
    </row>
    <row r="289">
      <c r="A289" s="7" t="n"/>
      <c r="B289" s="7" t="n"/>
      <c r="C289" s="39" t="n"/>
      <c r="D289" s="39" t="n"/>
      <c r="E289" s="7" t="n"/>
      <c r="F289" s="7" t="n"/>
      <c r="G289" s="7" t="n"/>
      <c r="H289" s="39" t="n"/>
      <c r="I289" s="39" t="n"/>
      <c r="J289" s="39" t="n"/>
      <c r="K289" s="39" t="n"/>
      <c r="L289" s="39" t="n"/>
      <c r="M289" s="7" t="n"/>
      <c r="N289" s="7" t="n"/>
      <c r="O289" s="40" t="n"/>
      <c r="P289" s="40" t="n"/>
      <c r="Q289" s="40" t="n"/>
      <c r="R289" s="40" t="n"/>
      <c r="S289" s="40" t="n"/>
      <c r="T289" s="40" t="n"/>
      <c r="U289" s="40" t="n"/>
      <c r="V289" s="40" t="n"/>
      <c r="W289" s="40" t="n"/>
      <c r="X289" s="40" t="n"/>
      <c r="Y289" s="40" t="n"/>
      <c r="Z289" s="40" t="n"/>
      <c r="AA289" s="39" t="n"/>
    </row>
    <row r="290">
      <c r="A290" s="7" t="n"/>
      <c r="B290" s="7" t="n"/>
      <c r="C290" s="39" t="n"/>
      <c r="D290" s="39" t="n"/>
      <c r="E290" s="7" t="n"/>
      <c r="F290" s="7" t="n"/>
      <c r="G290" s="7" t="n"/>
      <c r="H290" s="39" t="n"/>
      <c r="I290" s="39" t="n"/>
      <c r="J290" s="39" t="n"/>
      <c r="K290" s="39" t="n"/>
      <c r="L290" s="39" t="n"/>
      <c r="M290" s="7" t="n"/>
      <c r="N290" s="7" t="n"/>
      <c r="O290" s="40" t="n"/>
      <c r="P290" s="40" t="n"/>
      <c r="Q290" s="40" t="n"/>
      <c r="R290" s="40" t="n"/>
      <c r="S290" s="40" t="n"/>
      <c r="T290" s="40" t="n"/>
      <c r="U290" s="40" t="n"/>
      <c r="V290" s="40" t="n"/>
      <c r="W290" s="40" t="n"/>
      <c r="X290" s="40" t="n"/>
      <c r="Y290" s="40" t="n"/>
      <c r="Z290" s="40" t="n"/>
      <c r="AA290" s="39" t="n"/>
    </row>
    <row r="291">
      <c r="A291" s="7" t="n"/>
      <c r="B291" s="7" t="n"/>
      <c r="C291" s="39" t="n"/>
      <c r="D291" s="39" t="n"/>
      <c r="E291" s="7" t="n"/>
      <c r="F291" s="7" t="n"/>
      <c r="G291" s="7" t="n"/>
      <c r="H291" s="39" t="n"/>
      <c r="I291" s="39" t="n"/>
      <c r="J291" s="39" t="n"/>
      <c r="K291" s="39" t="n"/>
      <c r="L291" s="39" t="n"/>
      <c r="M291" s="7" t="n"/>
      <c r="N291" s="7" t="n"/>
      <c r="O291" s="40" t="n"/>
      <c r="P291" s="40" t="n"/>
      <c r="Q291" s="40" t="n"/>
      <c r="R291" s="40" t="n"/>
      <c r="S291" s="40" t="n"/>
      <c r="T291" s="40" t="n"/>
      <c r="U291" s="40" t="n"/>
      <c r="V291" s="40" t="n"/>
      <c r="W291" s="40" t="n"/>
      <c r="X291" s="40" t="n"/>
      <c r="Y291" s="40" t="n"/>
      <c r="Z291" s="40" t="n"/>
      <c r="AA291" s="39" t="n"/>
    </row>
    <row r="292">
      <c r="A292" s="7" t="n"/>
      <c r="B292" s="7" t="n"/>
      <c r="C292" s="39" t="n"/>
      <c r="D292" s="39" t="n"/>
      <c r="E292" s="7" t="n"/>
      <c r="F292" s="7" t="n"/>
      <c r="G292" s="7" t="n"/>
      <c r="H292" s="39" t="n"/>
      <c r="I292" s="39" t="n"/>
      <c r="J292" s="39" t="n"/>
      <c r="K292" s="39" t="n"/>
      <c r="L292" s="39" t="n"/>
      <c r="M292" s="7" t="n"/>
      <c r="N292" s="7" t="n"/>
      <c r="O292" s="40" t="n"/>
      <c r="P292" s="40" t="n"/>
      <c r="Q292" s="40" t="n"/>
      <c r="R292" s="40" t="n"/>
      <c r="S292" s="40" t="n"/>
      <c r="T292" s="40" t="n"/>
      <c r="U292" s="40" t="n"/>
      <c r="V292" s="40" t="n"/>
      <c r="W292" s="40" t="n"/>
      <c r="X292" s="40" t="n"/>
      <c r="Y292" s="40" t="n"/>
      <c r="Z292" s="40" t="n"/>
      <c r="AA292" s="39" t="n"/>
    </row>
    <row r="293">
      <c r="A293" s="7" t="n"/>
      <c r="B293" s="7" t="n"/>
      <c r="C293" s="39" t="n"/>
      <c r="D293" s="39" t="n"/>
      <c r="E293" s="7" t="n"/>
      <c r="F293" s="7" t="n"/>
      <c r="G293" s="7" t="n"/>
      <c r="H293" s="39" t="n"/>
      <c r="I293" s="39" t="n"/>
      <c r="J293" s="39" t="n"/>
      <c r="K293" s="39" t="n"/>
      <c r="L293" s="39" t="n"/>
      <c r="M293" s="7" t="n"/>
      <c r="N293" s="7" t="n"/>
      <c r="O293" s="40" t="n"/>
      <c r="P293" s="40" t="n"/>
      <c r="Q293" s="40" t="n"/>
      <c r="R293" s="40" t="n"/>
      <c r="S293" s="40" t="n"/>
      <c r="T293" s="40" t="n"/>
      <c r="U293" s="40" t="n"/>
      <c r="V293" s="40" t="n"/>
      <c r="W293" s="40" t="n"/>
      <c r="X293" s="40" t="n"/>
      <c r="Y293" s="40" t="n"/>
      <c r="Z293" s="40" t="n"/>
      <c r="AA293" s="39" t="n"/>
    </row>
    <row r="294">
      <c r="A294" s="7" t="n"/>
      <c r="B294" s="7" t="n"/>
      <c r="C294" s="39" t="n"/>
      <c r="D294" s="39" t="n"/>
      <c r="E294" s="7" t="n"/>
      <c r="F294" s="7" t="n"/>
      <c r="G294" s="7" t="n"/>
      <c r="H294" s="39" t="n"/>
      <c r="I294" s="39" t="n"/>
      <c r="J294" s="39" t="n"/>
      <c r="K294" s="39" t="n"/>
      <c r="L294" s="39" t="n"/>
      <c r="M294" s="7" t="n"/>
      <c r="N294" s="7" t="n"/>
      <c r="O294" s="40" t="n"/>
      <c r="P294" s="40" t="n"/>
      <c r="Q294" s="40" t="n"/>
      <c r="R294" s="40" t="n"/>
      <c r="S294" s="40" t="n"/>
      <c r="T294" s="40" t="n"/>
      <c r="U294" s="40" t="n"/>
      <c r="V294" s="40" t="n"/>
      <c r="W294" s="40" t="n"/>
      <c r="X294" s="40" t="n"/>
      <c r="Y294" s="40" t="n"/>
      <c r="Z294" s="40" t="n"/>
      <c r="AA294" s="39" t="n"/>
    </row>
    <row r="295">
      <c r="A295" s="7" t="n"/>
      <c r="B295" s="7" t="n"/>
      <c r="C295" s="39" t="n"/>
      <c r="D295" s="39" t="n"/>
      <c r="E295" s="7" t="n"/>
      <c r="F295" s="7" t="n"/>
      <c r="G295" s="7" t="n"/>
      <c r="H295" s="39" t="n"/>
      <c r="I295" s="39" t="n"/>
      <c r="J295" s="39" t="n"/>
      <c r="K295" s="39" t="n"/>
      <c r="L295" s="39" t="n"/>
      <c r="M295" s="7" t="n"/>
      <c r="N295" s="7" t="n"/>
      <c r="O295" s="40" t="n"/>
      <c r="P295" s="40" t="n"/>
      <c r="Q295" s="40" t="n"/>
      <c r="R295" s="40" t="n"/>
      <c r="S295" s="40" t="n"/>
      <c r="T295" s="40" t="n"/>
      <c r="U295" s="40" t="n"/>
      <c r="V295" s="40" t="n"/>
      <c r="W295" s="40" t="n"/>
      <c r="X295" s="40" t="n"/>
      <c r="Y295" s="40" t="n"/>
      <c r="Z295" s="40" t="n"/>
      <c r="AA295" s="39" t="n"/>
    </row>
    <row r="296">
      <c r="A296" s="7" t="n"/>
      <c r="B296" s="7" t="n"/>
      <c r="C296" s="39" t="n"/>
      <c r="D296" s="39" t="n"/>
      <c r="E296" s="7" t="n"/>
      <c r="F296" s="7" t="n"/>
      <c r="G296" s="7" t="n"/>
      <c r="H296" s="39" t="n"/>
      <c r="I296" s="39" t="n"/>
      <c r="J296" s="39" t="n"/>
      <c r="K296" s="39" t="n"/>
      <c r="L296" s="39" t="n"/>
      <c r="M296" s="7" t="n"/>
      <c r="N296" s="7" t="n"/>
      <c r="O296" s="40" t="n"/>
      <c r="P296" s="40" t="n"/>
      <c r="Q296" s="40" t="n"/>
      <c r="R296" s="40" t="n"/>
      <c r="S296" s="40" t="n"/>
      <c r="T296" s="40" t="n"/>
      <c r="U296" s="40" t="n"/>
      <c r="V296" s="40" t="n"/>
      <c r="W296" s="40" t="n"/>
      <c r="X296" s="40" t="n"/>
      <c r="Y296" s="40" t="n"/>
      <c r="Z296" s="40" t="n"/>
      <c r="AA296" s="39" t="n"/>
    </row>
    <row r="297">
      <c r="A297" s="7" t="n"/>
      <c r="B297" s="7" t="n"/>
      <c r="C297" s="39" t="n"/>
      <c r="D297" s="39" t="n"/>
      <c r="E297" s="7" t="n"/>
      <c r="F297" s="7" t="n"/>
      <c r="G297" s="7" t="n"/>
      <c r="H297" s="39" t="n"/>
      <c r="I297" s="39" t="n"/>
      <c r="J297" s="39" t="n"/>
      <c r="K297" s="39" t="n"/>
      <c r="L297" s="39" t="n"/>
      <c r="M297" s="7" t="n"/>
      <c r="N297" s="7" t="n"/>
      <c r="O297" s="40" t="n"/>
      <c r="P297" s="40" t="n"/>
      <c r="Q297" s="40" t="n"/>
      <c r="R297" s="40" t="n"/>
      <c r="S297" s="40" t="n"/>
      <c r="T297" s="40" t="n"/>
      <c r="U297" s="40" t="n"/>
      <c r="V297" s="40" t="n"/>
      <c r="W297" s="40" t="n"/>
      <c r="X297" s="40" t="n"/>
      <c r="Y297" s="40" t="n"/>
      <c r="Z297" s="40" t="n"/>
      <c r="AA297" s="39" t="n"/>
    </row>
    <row r="298">
      <c r="A298" s="7" t="n"/>
      <c r="B298" s="7" t="n"/>
      <c r="C298" s="39" t="n"/>
      <c r="D298" s="39" t="n"/>
      <c r="E298" s="7" t="n"/>
      <c r="F298" s="7" t="n"/>
      <c r="G298" s="7" t="n"/>
      <c r="H298" s="39" t="n"/>
      <c r="I298" s="39" t="n"/>
      <c r="J298" s="39" t="n"/>
      <c r="K298" s="39" t="n"/>
      <c r="L298" s="39" t="n"/>
      <c r="M298" s="7" t="n"/>
      <c r="N298" s="7" t="n"/>
      <c r="O298" s="40" t="n"/>
      <c r="P298" s="40" t="n"/>
      <c r="Q298" s="40" t="n"/>
      <c r="R298" s="40" t="n"/>
      <c r="S298" s="40" t="n"/>
      <c r="T298" s="40" t="n"/>
      <c r="U298" s="40" t="n"/>
      <c r="V298" s="40" t="n"/>
      <c r="W298" s="40" t="n"/>
      <c r="X298" s="40" t="n"/>
      <c r="Y298" s="40" t="n"/>
      <c r="Z298" s="40" t="n"/>
      <c r="AA298" s="39" t="n"/>
    </row>
    <row r="299">
      <c r="A299" s="7" t="n"/>
      <c r="B299" s="7" t="n"/>
      <c r="C299" s="39" t="n"/>
      <c r="D299" s="39" t="n"/>
      <c r="E299" s="7" t="n"/>
      <c r="F299" s="7" t="n"/>
      <c r="G299" s="7" t="n"/>
      <c r="H299" s="39" t="n"/>
      <c r="I299" s="39" t="n"/>
      <c r="J299" s="39" t="n"/>
      <c r="K299" s="39" t="n"/>
      <c r="L299" s="39" t="n"/>
      <c r="M299" s="7" t="n"/>
      <c r="N299" s="7" t="n"/>
      <c r="O299" s="40" t="n"/>
      <c r="P299" s="40" t="n"/>
      <c r="Q299" s="40" t="n"/>
      <c r="R299" s="40" t="n"/>
      <c r="S299" s="40" t="n"/>
      <c r="T299" s="40" t="n"/>
      <c r="U299" s="40" t="n"/>
      <c r="V299" s="40" t="n"/>
      <c r="W299" s="40" t="n"/>
      <c r="X299" s="40" t="n"/>
      <c r="Y299" s="40" t="n"/>
      <c r="Z299" s="40" t="n"/>
      <c r="AA299" s="39" t="n"/>
    </row>
    <row r="300">
      <c r="A300" s="7" t="n"/>
      <c r="B300" s="7" t="n"/>
      <c r="C300" s="39" t="n"/>
      <c r="D300" s="39" t="n"/>
      <c r="E300" s="7" t="n"/>
      <c r="F300" s="7" t="n"/>
      <c r="G300" s="7" t="n"/>
      <c r="H300" s="39" t="n"/>
      <c r="I300" s="39" t="n"/>
      <c r="J300" s="39" t="n"/>
      <c r="K300" s="39" t="n"/>
      <c r="L300" s="39" t="n"/>
      <c r="M300" s="7" t="n"/>
      <c r="N300" s="7" t="n"/>
      <c r="O300" s="40" t="n"/>
      <c r="P300" s="40" t="n"/>
      <c r="Q300" s="40" t="n"/>
      <c r="R300" s="40" t="n"/>
      <c r="S300" s="40" t="n"/>
      <c r="T300" s="40" t="n"/>
      <c r="U300" s="40" t="n"/>
      <c r="V300" s="40" t="n"/>
      <c r="W300" s="40" t="n"/>
      <c r="X300" s="40" t="n"/>
      <c r="Y300" s="40" t="n"/>
      <c r="Z300" s="40" t="n"/>
      <c r="AA300" s="39" t="n"/>
    </row>
    <row r="301">
      <c r="A301" s="7" t="n"/>
      <c r="B301" s="7" t="n"/>
      <c r="C301" s="39" t="n"/>
      <c r="D301" s="39" t="n"/>
      <c r="E301" s="7" t="n"/>
      <c r="F301" s="7" t="n"/>
      <c r="G301" s="7" t="n"/>
      <c r="H301" s="39" t="n"/>
      <c r="I301" s="39" t="n"/>
      <c r="J301" s="39" t="n"/>
      <c r="K301" s="39" t="n"/>
      <c r="L301" s="39" t="n"/>
      <c r="M301" s="7" t="n"/>
      <c r="N301" s="7" t="n"/>
      <c r="O301" s="40" t="n"/>
      <c r="P301" s="40" t="n"/>
      <c r="Q301" s="40" t="n"/>
      <c r="R301" s="40" t="n"/>
      <c r="S301" s="40" t="n"/>
      <c r="T301" s="40" t="n"/>
      <c r="U301" s="40" t="n"/>
      <c r="V301" s="40" t="n"/>
      <c r="W301" s="40" t="n"/>
      <c r="X301" s="40" t="n"/>
      <c r="Y301" s="40" t="n"/>
      <c r="Z301" s="40" t="n"/>
      <c r="AA301" s="39" t="n"/>
    </row>
    <row r="302">
      <c r="A302" s="7" t="n"/>
      <c r="B302" s="7" t="n"/>
      <c r="C302" s="39" t="n"/>
      <c r="D302" s="39" t="n"/>
      <c r="E302" s="7" t="n"/>
      <c r="F302" s="7" t="n"/>
      <c r="G302" s="7" t="n"/>
      <c r="H302" s="39" t="n"/>
      <c r="I302" s="39" t="n"/>
      <c r="J302" s="39" t="n"/>
      <c r="K302" s="39" t="n"/>
      <c r="L302" s="39" t="n"/>
      <c r="M302" s="7" t="n"/>
      <c r="N302" s="7" t="n"/>
      <c r="O302" s="40" t="n"/>
      <c r="P302" s="40" t="n"/>
      <c r="Q302" s="40" t="n"/>
      <c r="R302" s="40" t="n"/>
      <c r="S302" s="40" t="n"/>
      <c r="T302" s="40" t="n"/>
      <c r="U302" s="40" t="n"/>
      <c r="V302" s="40" t="n"/>
      <c r="W302" s="40" t="n"/>
      <c r="X302" s="40" t="n"/>
      <c r="Y302" s="40" t="n"/>
      <c r="Z302" s="40" t="n"/>
      <c r="AA302" s="39" t="n"/>
    </row>
    <row r="303">
      <c r="A303" s="7" t="n"/>
      <c r="B303" s="7" t="n"/>
      <c r="C303" s="39" t="n"/>
      <c r="D303" s="39" t="n"/>
      <c r="E303" s="7" t="n"/>
      <c r="F303" s="7" t="n"/>
      <c r="G303" s="7" t="n"/>
      <c r="H303" s="39" t="n"/>
      <c r="I303" s="39" t="n"/>
      <c r="J303" s="39" t="n"/>
      <c r="K303" s="39" t="n"/>
      <c r="L303" s="39" t="n"/>
      <c r="M303" s="7" t="n"/>
      <c r="N303" s="7" t="n"/>
      <c r="O303" s="40" t="n"/>
      <c r="P303" s="40" t="n"/>
      <c r="Q303" s="40" t="n"/>
      <c r="R303" s="40" t="n"/>
      <c r="S303" s="40" t="n"/>
      <c r="T303" s="40" t="n"/>
      <c r="U303" s="40" t="n"/>
      <c r="V303" s="40" t="n"/>
      <c r="W303" s="40" t="n"/>
      <c r="X303" s="40" t="n"/>
      <c r="Y303" s="40" t="n"/>
      <c r="Z303" s="40" t="n"/>
      <c r="AA303" s="39" t="n"/>
    </row>
    <row r="304">
      <c r="A304" s="7" t="n"/>
      <c r="B304" s="7" t="n"/>
      <c r="C304" s="39" t="n"/>
      <c r="D304" s="39" t="n"/>
      <c r="E304" s="7" t="n"/>
      <c r="F304" s="7" t="n"/>
      <c r="G304" s="7" t="n"/>
      <c r="H304" s="39" t="n"/>
      <c r="I304" s="39" t="n"/>
      <c r="J304" s="39" t="n"/>
      <c r="K304" s="39" t="n"/>
      <c r="L304" s="39" t="n"/>
      <c r="M304" s="7" t="n"/>
      <c r="N304" s="7" t="n"/>
      <c r="O304" s="40" t="n"/>
      <c r="P304" s="40" t="n"/>
      <c r="Q304" s="40" t="n"/>
      <c r="R304" s="40" t="n"/>
      <c r="S304" s="40" t="n"/>
      <c r="T304" s="40" t="n"/>
      <c r="U304" s="40" t="n"/>
      <c r="V304" s="40" t="n"/>
      <c r="W304" s="40" t="n"/>
      <c r="X304" s="40" t="n"/>
      <c r="Y304" s="40" t="n"/>
      <c r="Z304" s="40" t="n"/>
      <c r="AA304" s="39" t="n"/>
    </row>
    <row r="305">
      <c r="A305" s="7" t="n"/>
      <c r="B305" s="7" t="n"/>
      <c r="C305" s="39" t="n"/>
      <c r="D305" s="39" t="n"/>
      <c r="E305" s="7" t="n"/>
      <c r="F305" s="7" t="n"/>
      <c r="G305" s="7" t="n"/>
      <c r="H305" s="39" t="n"/>
      <c r="I305" s="39" t="n"/>
      <c r="J305" s="39" t="n"/>
      <c r="K305" s="39" t="n"/>
      <c r="L305" s="39" t="n"/>
      <c r="M305" s="7" t="n"/>
      <c r="N305" s="7" t="n"/>
      <c r="O305" s="40" t="n"/>
      <c r="P305" s="40" t="n"/>
      <c r="Q305" s="40" t="n"/>
      <c r="R305" s="40" t="n"/>
      <c r="S305" s="40" t="n"/>
      <c r="T305" s="40" t="n"/>
      <c r="U305" s="40" t="n"/>
      <c r="V305" s="40" t="n"/>
      <c r="W305" s="40" t="n"/>
      <c r="X305" s="40" t="n"/>
      <c r="Y305" s="40" t="n"/>
      <c r="Z305" s="40" t="n"/>
      <c r="AA305" s="39" t="n"/>
    </row>
    <row r="306">
      <c r="A306" s="7" t="n"/>
      <c r="B306" s="7" t="n"/>
      <c r="C306" s="39" t="n"/>
      <c r="D306" s="39" t="n"/>
      <c r="E306" s="7" t="n"/>
      <c r="F306" s="7" t="n"/>
      <c r="G306" s="7" t="n"/>
      <c r="H306" s="39" t="n"/>
      <c r="I306" s="39" t="n"/>
      <c r="J306" s="39" t="n"/>
      <c r="K306" s="39" t="n"/>
      <c r="L306" s="39" t="n"/>
      <c r="M306" s="7" t="n"/>
      <c r="N306" s="7" t="n"/>
      <c r="O306" s="40" t="n"/>
      <c r="P306" s="40" t="n"/>
      <c r="Q306" s="40" t="n"/>
      <c r="R306" s="40" t="n"/>
      <c r="S306" s="40" t="n"/>
      <c r="T306" s="40" t="n"/>
      <c r="U306" s="40" t="n"/>
      <c r="V306" s="40" t="n"/>
      <c r="W306" s="40" t="n"/>
      <c r="X306" s="40" t="n"/>
      <c r="Y306" s="40" t="n"/>
      <c r="Z306" s="40" t="n"/>
      <c r="AA306" s="39" t="n"/>
    </row>
    <row r="307">
      <c r="A307" s="7" t="n"/>
      <c r="B307" s="7" t="n"/>
      <c r="C307" s="39" t="n"/>
      <c r="D307" s="39" t="n"/>
      <c r="E307" s="7" t="n"/>
      <c r="F307" s="7" t="n"/>
      <c r="G307" s="7" t="n"/>
      <c r="H307" s="39" t="n"/>
      <c r="I307" s="39" t="n"/>
      <c r="J307" s="39" t="n"/>
      <c r="K307" s="39" t="n"/>
      <c r="L307" s="39" t="n"/>
      <c r="M307" s="7" t="n"/>
      <c r="N307" s="7" t="n"/>
      <c r="O307" s="40" t="n"/>
      <c r="P307" s="40" t="n"/>
      <c r="Q307" s="40" t="n"/>
      <c r="R307" s="40" t="n"/>
      <c r="S307" s="40" t="n"/>
      <c r="T307" s="40" t="n"/>
      <c r="U307" s="40" t="n"/>
      <c r="V307" s="40" t="n"/>
      <c r="W307" s="40" t="n"/>
      <c r="X307" s="40" t="n"/>
      <c r="Y307" s="40" t="n"/>
      <c r="Z307" s="40" t="n"/>
      <c r="AA307" s="39" t="n"/>
    </row>
    <row r="308">
      <c r="A308" s="7" t="n"/>
      <c r="B308" s="7" t="n"/>
      <c r="C308" s="39" t="n"/>
      <c r="D308" s="39" t="n"/>
      <c r="E308" s="7" t="n"/>
      <c r="F308" s="7" t="n"/>
      <c r="G308" s="7" t="n"/>
      <c r="H308" s="39" t="n"/>
      <c r="I308" s="39" t="n"/>
      <c r="J308" s="39" t="n"/>
      <c r="K308" s="39" t="n"/>
      <c r="L308" s="39" t="n"/>
      <c r="M308" s="7" t="n"/>
      <c r="N308" s="7" t="n"/>
      <c r="O308" s="40" t="n"/>
      <c r="P308" s="40" t="n"/>
      <c r="Q308" s="40" t="n"/>
      <c r="R308" s="40" t="n"/>
      <c r="S308" s="40" t="n"/>
      <c r="T308" s="40" t="n"/>
      <c r="U308" s="40" t="n"/>
      <c r="V308" s="40" t="n"/>
      <c r="W308" s="40" t="n"/>
      <c r="X308" s="40" t="n"/>
      <c r="Y308" s="40" t="n"/>
      <c r="Z308" s="40" t="n"/>
      <c r="AA308" s="39" t="n"/>
    </row>
    <row r="309">
      <c r="A309" s="7" t="n"/>
      <c r="B309" s="7" t="n"/>
      <c r="C309" s="39" t="n"/>
      <c r="D309" s="39" t="n"/>
      <c r="E309" s="7" t="n"/>
      <c r="F309" s="7" t="n"/>
      <c r="G309" s="7" t="n"/>
      <c r="H309" s="39" t="n"/>
      <c r="I309" s="39" t="n"/>
      <c r="J309" s="39" t="n"/>
      <c r="K309" s="39" t="n"/>
      <c r="L309" s="39" t="n"/>
      <c r="M309" s="7" t="n"/>
      <c r="N309" s="7" t="n"/>
      <c r="O309" s="40" t="n"/>
      <c r="P309" s="40" t="n"/>
      <c r="Q309" s="40" t="n"/>
      <c r="R309" s="40" t="n"/>
      <c r="S309" s="40" t="n"/>
      <c r="T309" s="40" t="n"/>
      <c r="U309" s="40" t="n"/>
      <c r="V309" s="40" t="n"/>
      <c r="W309" s="40" t="n"/>
      <c r="X309" s="40" t="n"/>
      <c r="Y309" s="40" t="n"/>
      <c r="Z309" s="40" t="n"/>
      <c r="AA309" s="39" t="n"/>
    </row>
    <row r="310">
      <c r="A310" s="7" t="n"/>
      <c r="B310" s="7" t="n"/>
      <c r="C310" s="39" t="n"/>
      <c r="D310" s="39" t="n"/>
      <c r="E310" s="7" t="n"/>
      <c r="F310" s="7" t="n"/>
      <c r="G310" s="7" t="n"/>
      <c r="H310" s="39" t="n"/>
      <c r="I310" s="39" t="n"/>
      <c r="J310" s="39" t="n"/>
      <c r="K310" s="39" t="n"/>
      <c r="L310" s="39" t="n"/>
      <c r="M310" s="7" t="n"/>
      <c r="N310" s="7" t="n"/>
      <c r="O310" s="40" t="n"/>
      <c r="P310" s="40" t="n"/>
      <c r="Q310" s="40" t="n"/>
      <c r="R310" s="40" t="n"/>
      <c r="S310" s="40" t="n"/>
      <c r="T310" s="40" t="n"/>
      <c r="U310" s="40" t="n"/>
      <c r="V310" s="40" t="n"/>
      <c r="W310" s="40" t="n"/>
      <c r="X310" s="40" t="n"/>
      <c r="Y310" s="40" t="n"/>
      <c r="Z310" s="40" t="n"/>
      <c r="AA310" s="39" t="n"/>
    </row>
    <row r="311">
      <c r="A311" s="7" t="n"/>
      <c r="B311" s="7" t="n"/>
      <c r="C311" s="39" t="n"/>
      <c r="D311" s="39" t="n"/>
      <c r="E311" s="7" t="n"/>
      <c r="F311" s="7" t="n"/>
      <c r="G311" s="7" t="n"/>
      <c r="H311" s="39" t="n"/>
      <c r="I311" s="39" t="n"/>
      <c r="J311" s="39" t="n"/>
      <c r="K311" s="39" t="n"/>
      <c r="L311" s="39" t="n"/>
      <c r="M311" s="7" t="n"/>
      <c r="N311" s="7" t="n"/>
      <c r="O311" s="40" t="n"/>
      <c r="P311" s="40" t="n"/>
      <c r="Q311" s="40" t="n"/>
      <c r="R311" s="40" t="n"/>
      <c r="S311" s="40" t="n"/>
      <c r="T311" s="40" t="n"/>
      <c r="U311" s="40" t="n"/>
      <c r="V311" s="40" t="n"/>
      <c r="W311" s="40" t="n"/>
      <c r="X311" s="40" t="n"/>
      <c r="Y311" s="40" t="n"/>
      <c r="Z311" s="40" t="n"/>
      <c r="AA311" s="39" t="n"/>
    </row>
    <row r="312">
      <c r="A312" s="7" t="n"/>
      <c r="B312" s="7" t="n"/>
      <c r="C312" s="39" t="n"/>
      <c r="D312" s="39" t="n"/>
      <c r="E312" s="7" t="n"/>
      <c r="F312" s="7" t="n"/>
      <c r="G312" s="7" t="n"/>
      <c r="H312" s="39" t="n"/>
      <c r="I312" s="39" t="n"/>
      <c r="J312" s="39" t="n"/>
      <c r="K312" s="39" t="n"/>
      <c r="L312" s="39" t="n"/>
      <c r="M312" s="7" t="n"/>
      <c r="N312" s="7" t="n"/>
      <c r="O312" s="40" t="n"/>
      <c r="P312" s="40" t="n"/>
      <c r="Q312" s="40" t="n"/>
      <c r="R312" s="40" t="n"/>
      <c r="S312" s="40" t="n"/>
      <c r="T312" s="40" t="n"/>
      <c r="U312" s="40" t="n"/>
      <c r="V312" s="40" t="n"/>
      <c r="W312" s="40" t="n"/>
      <c r="X312" s="40" t="n"/>
      <c r="Y312" s="40" t="n"/>
      <c r="Z312" s="40" t="n"/>
      <c r="AA312" s="39" t="n"/>
    </row>
    <row r="313">
      <c r="A313" s="7" t="n"/>
      <c r="B313" s="7" t="n"/>
      <c r="C313" s="39" t="n"/>
      <c r="D313" s="39" t="n"/>
      <c r="E313" s="7" t="n"/>
      <c r="F313" s="7" t="n"/>
      <c r="G313" s="7" t="n"/>
      <c r="H313" s="39" t="n"/>
      <c r="I313" s="39" t="n"/>
      <c r="J313" s="39" t="n"/>
      <c r="K313" s="39" t="n"/>
      <c r="L313" s="39" t="n"/>
      <c r="M313" s="7" t="n"/>
      <c r="N313" s="7" t="n"/>
      <c r="O313" s="40" t="n"/>
      <c r="P313" s="40" t="n"/>
      <c r="Q313" s="40" t="n"/>
      <c r="R313" s="40" t="n"/>
      <c r="S313" s="40" t="n"/>
      <c r="T313" s="40" t="n"/>
      <c r="U313" s="40" t="n"/>
      <c r="V313" s="40" t="n"/>
      <c r="W313" s="40" t="n"/>
      <c r="X313" s="40" t="n"/>
      <c r="Y313" s="40" t="n"/>
      <c r="Z313" s="40" t="n"/>
      <c r="AA313" s="39" t="n"/>
    </row>
    <row r="314">
      <c r="A314" s="7" t="n"/>
      <c r="B314" s="7" t="n"/>
      <c r="C314" s="39" t="n"/>
      <c r="D314" s="39" t="n"/>
      <c r="E314" s="7" t="n"/>
      <c r="F314" s="7" t="n"/>
      <c r="G314" s="7" t="n"/>
      <c r="H314" s="39" t="n"/>
      <c r="I314" s="39" t="n"/>
      <c r="J314" s="39" t="n"/>
      <c r="K314" s="39" t="n"/>
      <c r="L314" s="39" t="n"/>
      <c r="M314" s="7" t="n"/>
      <c r="N314" s="7" t="n"/>
      <c r="O314" s="40" t="n"/>
      <c r="P314" s="40" t="n"/>
      <c r="Q314" s="40" t="n"/>
      <c r="R314" s="40" t="n"/>
      <c r="S314" s="40" t="n"/>
      <c r="T314" s="40" t="n"/>
      <c r="U314" s="40" t="n"/>
      <c r="V314" s="40" t="n"/>
      <c r="W314" s="40" t="n"/>
      <c r="X314" s="40" t="n"/>
      <c r="Y314" s="40" t="n"/>
      <c r="Z314" s="40" t="n"/>
      <c r="AA314" s="39" t="n"/>
    </row>
    <row r="315">
      <c r="A315" s="7" t="n"/>
      <c r="B315" s="7" t="n"/>
      <c r="C315" s="39" t="n"/>
      <c r="D315" s="39" t="n"/>
      <c r="E315" s="7" t="n"/>
      <c r="F315" s="7" t="n"/>
      <c r="G315" s="7" t="n"/>
      <c r="H315" s="39" t="n"/>
      <c r="I315" s="39" t="n"/>
      <c r="J315" s="39" t="n"/>
      <c r="K315" s="39" t="n"/>
      <c r="L315" s="39" t="n"/>
      <c r="M315" s="7" t="n"/>
      <c r="N315" s="7" t="n"/>
      <c r="O315" s="40" t="n"/>
      <c r="P315" s="40" t="n"/>
      <c r="Q315" s="40" t="n"/>
      <c r="R315" s="40" t="n"/>
      <c r="S315" s="40" t="n"/>
      <c r="T315" s="40" t="n"/>
      <c r="U315" s="40" t="n"/>
      <c r="V315" s="40" t="n"/>
      <c r="W315" s="40" t="n"/>
      <c r="X315" s="40" t="n"/>
      <c r="Y315" s="40" t="n"/>
      <c r="Z315" s="40" t="n"/>
      <c r="AA315" s="39" t="n"/>
    </row>
    <row r="316">
      <c r="A316" s="7" t="n"/>
      <c r="B316" s="7" t="n"/>
      <c r="C316" s="39" t="n"/>
      <c r="D316" s="39" t="n"/>
      <c r="E316" s="7" t="n"/>
      <c r="F316" s="7" t="n"/>
      <c r="G316" s="7" t="n"/>
      <c r="H316" s="39" t="n"/>
      <c r="I316" s="39" t="n"/>
      <c r="J316" s="39" t="n"/>
      <c r="K316" s="39" t="n"/>
      <c r="L316" s="39" t="n"/>
      <c r="M316" s="7" t="n"/>
      <c r="N316" s="7" t="n"/>
      <c r="O316" s="40" t="n"/>
      <c r="P316" s="40" t="n"/>
      <c r="Q316" s="40" t="n"/>
      <c r="R316" s="40" t="n"/>
      <c r="S316" s="40" t="n"/>
      <c r="T316" s="40" t="n"/>
      <c r="U316" s="40" t="n"/>
      <c r="V316" s="40" t="n"/>
      <c r="W316" s="40" t="n"/>
      <c r="X316" s="40" t="n"/>
      <c r="Y316" s="40" t="n"/>
      <c r="Z316" s="40" t="n"/>
      <c r="AA316" s="39" t="n"/>
    </row>
    <row r="317">
      <c r="A317" s="7" t="n"/>
      <c r="B317" s="7" t="n"/>
      <c r="C317" s="39" t="n"/>
      <c r="D317" s="39" t="n"/>
      <c r="E317" s="7" t="n"/>
      <c r="F317" s="7" t="n"/>
      <c r="G317" s="7" t="n"/>
      <c r="H317" s="39" t="n"/>
      <c r="I317" s="39" t="n"/>
      <c r="J317" s="39" t="n"/>
      <c r="K317" s="39" t="n"/>
      <c r="L317" s="39" t="n"/>
      <c r="M317" s="7" t="n"/>
      <c r="N317" s="7" t="n"/>
      <c r="O317" s="40" t="n"/>
      <c r="P317" s="40" t="n"/>
      <c r="Q317" s="40" t="n"/>
      <c r="R317" s="40" t="n"/>
      <c r="S317" s="40" t="n"/>
      <c r="T317" s="40" t="n"/>
      <c r="U317" s="40" t="n"/>
      <c r="V317" s="40" t="n"/>
      <c r="W317" s="40" t="n"/>
      <c r="X317" s="40" t="n"/>
      <c r="Y317" s="40" t="n"/>
      <c r="Z317" s="40" t="n"/>
      <c r="AA317" s="39" t="n"/>
    </row>
    <row r="318">
      <c r="A318" s="7" t="n"/>
      <c r="B318" s="7" t="n"/>
      <c r="C318" s="39" t="n"/>
      <c r="D318" s="39" t="n"/>
      <c r="E318" s="7" t="n"/>
      <c r="F318" s="7" t="n"/>
      <c r="G318" s="7" t="n"/>
      <c r="H318" s="39" t="n"/>
      <c r="I318" s="39" t="n"/>
      <c r="J318" s="39" t="n"/>
      <c r="K318" s="39" t="n"/>
      <c r="L318" s="39" t="n"/>
      <c r="M318" s="7" t="n"/>
      <c r="N318" s="7" t="n"/>
      <c r="O318" s="40" t="n"/>
      <c r="P318" s="40" t="n"/>
      <c r="Q318" s="40" t="n"/>
      <c r="R318" s="40" t="n"/>
      <c r="S318" s="40" t="n"/>
      <c r="T318" s="40" t="n"/>
      <c r="U318" s="40" t="n"/>
      <c r="V318" s="40" t="n"/>
      <c r="W318" s="40" t="n"/>
      <c r="X318" s="40" t="n"/>
      <c r="Y318" s="40" t="n"/>
      <c r="Z318" s="40" t="n"/>
      <c r="AA318" s="39" t="n"/>
    </row>
    <row r="319">
      <c r="A319" s="7" t="n"/>
      <c r="B319" s="7" t="n"/>
      <c r="C319" s="39" t="n"/>
      <c r="D319" s="39" t="n"/>
      <c r="E319" s="7" t="n"/>
      <c r="F319" s="7" t="n"/>
      <c r="G319" s="7" t="n"/>
      <c r="H319" s="39" t="n"/>
      <c r="I319" s="39" t="n"/>
      <c r="J319" s="39" t="n"/>
      <c r="K319" s="39" t="n"/>
      <c r="L319" s="39" t="n"/>
      <c r="M319" s="7" t="n"/>
      <c r="N319" s="7" t="n"/>
      <c r="O319" s="40" t="n"/>
      <c r="P319" s="40" t="n"/>
      <c r="Q319" s="40" t="n"/>
      <c r="R319" s="40" t="n"/>
      <c r="S319" s="40" t="n"/>
      <c r="T319" s="40" t="n"/>
      <c r="U319" s="40" t="n"/>
      <c r="V319" s="40" t="n"/>
      <c r="W319" s="40" t="n"/>
      <c r="X319" s="40" t="n"/>
      <c r="Y319" s="40" t="n"/>
      <c r="Z319" s="40" t="n"/>
      <c r="AA319" s="39" t="n"/>
    </row>
    <row r="320">
      <c r="A320" s="7" t="n"/>
      <c r="B320" s="7" t="n"/>
      <c r="C320" s="39" t="n"/>
      <c r="D320" s="39" t="n"/>
      <c r="E320" s="7" t="n"/>
      <c r="F320" s="7" t="n"/>
      <c r="G320" s="7" t="n"/>
      <c r="H320" s="39" t="n"/>
      <c r="I320" s="39" t="n"/>
      <c r="J320" s="39" t="n"/>
      <c r="K320" s="39" t="n"/>
      <c r="L320" s="39" t="n"/>
      <c r="M320" s="7" t="n"/>
      <c r="N320" s="7" t="n"/>
      <c r="O320" s="40" t="n"/>
      <c r="P320" s="40" t="n"/>
      <c r="Q320" s="40" t="n"/>
      <c r="R320" s="40" t="n"/>
      <c r="S320" s="40" t="n"/>
      <c r="T320" s="40" t="n"/>
      <c r="U320" s="40" t="n"/>
      <c r="V320" s="40" t="n"/>
      <c r="W320" s="40" t="n"/>
      <c r="X320" s="40" t="n"/>
      <c r="Y320" s="40" t="n"/>
      <c r="Z320" s="40" t="n"/>
      <c r="AA320" s="39" t="n"/>
    </row>
    <row r="321">
      <c r="A321" s="7" t="n"/>
      <c r="B321" s="7" t="n"/>
      <c r="C321" s="39" t="n"/>
      <c r="D321" s="39" t="n"/>
      <c r="E321" s="7" t="n"/>
      <c r="F321" s="7" t="n"/>
      <c r="G321" s="7" t="n"/>
      <c r="H321" s="39" t="n"/>
      <c r="I321" s="39" t="n"/>
      <c r="J321" s="39" t="n"/>
      <c r="K321" s="39" t="n"/>
      <c r="L321" s="39" t="n"/>
      <c r="M321" s="7" t="n"/>
      <c r="N321" s="7" t="n"/>
      <c r="O321" s="40" t="n"/>
      <c r="P321" s="40" t="n"/>
      <c r="Q321" s="40" t="n"/>
      <c r="R321" s="40" t="n"/>
      <c r="S321" s="40" t="n"/>
      <c r="T321" s="40" t="n"/>
      <c r="U321" s="40" t="n"/>
      <c r="V321" s="40" t="n"/>
      <c r="W321" s="40" t="n"/>
      <c r="X321" s="40" t="n"/>
      <c r="Y321" s="40" t="n"/>
      <c r="Z321" s="40" t="n"/>
      <c r="AA321" s="39" t="n"/>
    </row>
    <row r="322">
      <c r="A322" s="7" t="n"/>
      <c r="B322" s="7" t="n"/>
      <c r="C322" s="39" t="n"/>
      <c r="D322" s="39" t="n"/>
      <c r="E322" s="7" t="n"/>
      <c r="F322" s="7" t="n"/>
      <c r="G322" s="7" t="n"/>
      <c r="H322" s="39" t="n"/>
      <c r="I322" s="39" t="n"/>
      <c r="J322" s="39" t="n"/>
      <c r="K322" s="39" t="n"/>
      <c r="L322" s="39" t="n"/>
      <c r="M322" s="7" t="n"/>
      <c r="N322" s="7" t="n"/>
      <c r="O322" s="40" t="n"/>
      <c r="P322" s="40" t="n"/>
      <c r="Q322" s="40" t="n"/>
      <c r="R322" s="40" t="n"/>
      <c r="S322" s="40" t="n"/>
      <c r="T322" s="40" t="n"/>
      <c r="U322" s="40" t="n"/>
      <c r="V322" s="40" t="n"/>
      <c r="W322" s="40" t="n"/>
      <c r="X322" s="40" t="n"/>
      <c r="Y322" s="40" t="n"/>
      <c r="Z322" s="40" t="n"/>
      <c r="AA322" s="39" t="n"/>
    </row>
    <row r="323">
      <c r="A323" s="7" t="n"/>
      <c r="B323" s="7" t="n"/>
      <c r="C323" s="39" t="n"/>
      <c r="D323" s="39" t="n"/>
      <c r="E323" s="7" t="n"/>
      <c r="F323" s="7" t="n"/>
      <c r="G323" s="7" t="n"/>
      <c r="H323" s="39" t="n"/>
      <c r="I323" s="39" t="n"/>
      <c r="J323" s="39" t="n"/>
      <c r="K323" s="39" t="n"/>
      <c r="L323" s="39" t="n"/>
      <c r="M323" s="7" t="n"/>
      <c r="N323" s="7" t="n"/>
      <c r="O323" s="40" t="n"/>
      <c r="P323" s="40" t="n"/>
      <c r="Q323" s="40" t="n"/>
      <c r="R323" s="40" t="n"/>
      <c r="S323" s="40" t="n"/>
      <c r="T323" s="40" t="n"/>
      <c r="U323" s="40" t="n"/>
      <c r="V323" s="40" t="n"/>
      <c r="W323" s="40" t="n"/>
      <c r="X323" s="40" t="n"/>
      <c r="Y323" s="40" t="n"/>
      <c r="Z323" s="40" t="n"/>
      <c r="AA323" s="39" t="n"/>
    </row>
    <row r="324">
      <c r="A324" s="7" t="n"/>
      <c r="B324" s="7" t="n"/>
      <c r="C324" s="39" t="n"/>
      <c r="D324" s="39" t="n"/>
      <c r="E324" s="7" t="n"/>
      <c r="F324" s="7" t="n"/>
      <c r="G324" s="7" t="n"/>
      <c r="H324" s="39" t="n"/>
      <c r="I324" s="39" t="n"/>
      <c r="J324" s="39" t="n"/>
      <c r="K324" s="39" t="n"/>
      <c r="L324" s="39" t="n"/>
      <c r="M324" s="7" t="n"/>
      <c r="N324" s="7" t="n"/>
      <c r="O324" s="40" t="n"/>
      <c r="P324" s="40" t="n"/>
      <c r="Q324" s="40" t="n"/>
      <c r="R324" s="40" t="n"/>
      <c r="S324" s="40" t="n"/>
      <c r="T324" s="40" t="n"/>
      <c r="U324" s="40" t="n"/>
      <c r="V324" s="40" t="n"/>
      <c r="W324" s="40" t="n"/>
      <c r="X324" s="40" t="n"/>
      <c r="Y324" s="40" t="n"/>
      <c r="Z324" s="40" t="n"/>
      <c r="AA324" s="39" t="n"/>
    </row>
    <row r="325">
      <c r="A325" s="7" t="n"/>
      <c r="B325" s="7" t="n"/>
      <c r="C325" s="39" t="n"/>
      <c r="D325" s="39" t="n"/>
      <c r="E325" s="7" t="n"/>
      <c r="F325" s="7" t="n"/>
      <c r="G325" s="7" t="n"/>
      <c r="H325" s="39" t="n"/>
      <c r="I325" s="39" t="n"/>
      <c r="J325" s="39" t="n"/>
      <c r="K325" s="39" t="n"/>
      <c r="L325" s="39" t="n"/>
      <c r="M325" s="7" t="n"/>
      <c r="N325" s="7" t="n"/>
      <c r="O325" s="40" t="n"/>
      <c r="P325" s="40" t="n"/>
      <c r="Q325" s="40" t="n"/>
      <c r="R325" s="40" t="n"/>
      <c r="S325" s="40" t="n"/>
      <c r="T325" s="40" t="n"/>
      <c r="U325" s="40" t="n"/>
      <c r="V325" s="40" t="n"/>
      <c r="W325" s="40" t="n"/>
      <c r="X325" s="40" t="n"/>
      <c r="Y325" s="40" t="n"/>
      <c r="Z325" s="40" t="n"/>
      <c r="AA325" s="39" t="n"/>
    </row>
    <row r="326">
      <c r="A326" s="7" t="n"/>
      <c r="B326" s="7" t="n"/>
      <c r="C326" s="39" t="n"/>
      <c r="D326" s="39" t="n"/>
      <c r="E326" s="7" t="n"/>
      <c r="F326" s="7" t="n"/>
      <c r="G326" s="7" t="n"/>
      <c r="H326" s="39" t="n"/>
      <c r="I326" s="39" t="n"/>
      <c r="J326" s="39" t="n"/>
      <c r="K326" s="39" t="n"/>
      <c r="L326" s="39" t="n"/>
      <c r="M326" s="7" t="n"/>
      <c r="N326" s="7" t="n"/>
      <c r="O326" s="40" t="n"/>
      <c r="P326" s="40" t="n"/>
      <c r="Q326" s="40" t="n"/>
      <c r="R326" s="40" t="n"/>
      <c r="S326" s="40" t="n"/>
      <c r="T326" s="40" t="n"/>
      <c r="U326" s="40" t="n"/>
      <c r="V326" s="40" t="n"/>
      <c r="W326" s="40" t="n"/>
      <c r="X326" s="40" t="n"/>
      <c r="Y326" s="40" t="n"/>
      <c r="Z326" s="40" t="n"/>
      <c r="AA326" s="39" t="n"/>
    </row>
    <row r="327">
      <c r="A327" s="7" t="n"/>
      <c r="B327" s="7" t="n"/>
      <c r="C327" s="39" t="n"/>
      <c r="D327" s="39" t="n"/>
      <c r="E327" s="7" t="n"/>
      <c r="F327" s="7" t="n"/>
      <c r="G327" s="7" t="n"/>
      <c r="H327" s="39" t="n"/>
      <c r="I327" s="39" t="n"/>
      <c r="J327" s="39" t="n"/>
      <c r="K327" s="39" t="n"/>
      <c r="L327" s="39" t="n"/>
      <c r="M327" s="7" t="n"/>
      <c r="N327" s="7" t="n"/>
      <c r="O327" s="40" t="n"/>
      <c r="P327" s="40" t="n"/>
      <c r="Q327" s="40" t="n"/>
      <c r="R327" s="40" t="n"/>
      <c r="S327" s="40" t="n"/>
      <c r="T327" s="40" t="n"/>
      <c r="U327" s="40" t="n"/>
      <c r="V327" s="40" t="n"/>
      <c r="W327" s="40" t="n"/>
      <c r="X327" s="40" t="n"/>
      <c r="Y327" s="40" t="n"/>
      <c r="Z327" s="40" t="n"/>
      <c r="AA327" s="39" t="n"/>
    </row>
    <row r="328">
      <c r="A328" s="7" t="n"/>
      <c r="B328" s="7" t="n"/>
      <c r="C328" s="39" t="n"/>
      <c r="D328" s="39" t="n"/>
      <c r="E328" s="7" t="n"/>
      <c r="F328" s="7" t="n"/>
      <c r="G328" s="7" t="n"/>
      <c r="H328" s="39" t="n"/>
      <c r="I328" s="39" t="n"/>
      <c r="J328" s="39" t="n"/>
      <c r="K328" s="39" t="n"/>
      <c r="L328" s="39" t="n"/>
      <c r="M328" s="7" t="n"/>
      <c r="N328" s="7" t="n"/>
      <c r="O328" s="40" t="n"/>
      <c r="P328" s="40" t="n"/>
      <c r="Q328" s="40" t="n"/>
      <c r="R328" s="40" t="n"/>
      <c r="S328" s="40" t="n"/>
      <c r="T328" s="40" t="n"/>
      <c r="U328" s="40" t="n"/>
      <c r="V328" s="40" t="n"/>
      <c r="W328" s="40" t="n"/>
      <c r="X328" s="40" t="n"/>
      <c r="Y328" s="40" t="n"/>
      <c r="Z328" s="40" t="n"/>
      <c r="AA328" s="39" t="n"/>
    </row>
    <row r="329">
      <c r="A329" s="7" t="n"/>
      <c r="B329" s="7" t="n"/>
      <c r="C329" s="39" t="n"/>
      <c r="D329" s="39" t="n"/>
      <c r="E329" s="7" t="n"/>
      <c r="F329" s="7" t="n"/>
      <c r="G329" s="7" t="n"/>
      <c r="H329" s="39" t="n"/>
      <c r="I329" s="39" t="n"/>
      <c r="J329" s="39" t="n"/>
      <c r="K329" s="39" t="n"/>
      <c r="L329" s="39" t="n"/>
      <c r="M329" s="7" t="n"/>
      <c r="N329" s="7" t="n"/>
      <c r="O329" s="40" t="n"/>
      <c r="P329" s="40" t="n"/>
      <c r="Q329" s="40" t="n"/>
      <c r="R329" s="40" t="n"/>
      <c r="S329" s="40" t="n"/>
      <c r="T329" s="40" t="n"/>
      <c r="U329" s="40" t="n"/>
      <c r="V329" s="40" t="n"/>
      <c r="W329" s="40" t="n"/>
      <c r="X329" s="40" t="n"/>
      <c r="Y329" s="40" t="n"/>
      <c r="Z329" s="40" t="n"/>
      <c r="AA329" s="39" t="n"/>
    </row>
    <row r="330">
      <c r="A330" s="7" t="n"/>
      <c r="B330" s="7" t="n"/>
      <c r="C330" s="39" t="n"/>
      <c r="D330" s="39" t="n"/>
      <c r="E330" s="7" t="n"/>
      <c r="F330" s="7" t="n"/>
      <c r="G330" s="7" t="n"/>
      <c r="H330" s="39" t="n"/>
      <c r="I330" s="39" t="n"/>
      <c r="J330" s="39" t="n"/>
      <c r="K330" s="39" t="n"/>
      <c r="L330" s="39" t="n"/>
      <c r="M330" s="7" t="n"/>
      <c r="N330" s="7" t="n"/>
      <c r="O330" s="40" t="n"/>
      <c r="P330" s="40" t="n"/>
      <c r="Q330" s="40" t="n"/>
      <c r="R330" s="40" t="n"/>
      <c r="S330" s="40" t="n"/>
      <c r="T330" s="40" t="n"/>
      <c r="U330" s="40" t="n"/>
      <c r="V330" s="40" t="n"/>
      <c r="W330" s="40" t="n"/>
      <c r="X330" s="40" t="n"/>
      <c r="Y330" s="40" t="n"/>
      <c r="Z330" s="40" t="n"/>
      <c r="AA330" s="39" t="n"/>
    </row>
    <row r="331">
      <c r="A331" s="7" t="n"/>
      <c r="B331" s="7" t="n"/>
      <c r="C331" s="39" t="n"/>
      <c r="D331" s="39" t="n"/>
      <c r="E331" s="7" t="n"/>
      <c r="F331" s="7" t="n"/>
      <c r="G331" s="7" t="n"/>
      <c r="H331" s="39" t="n"/>
      <c r="I331" s="39" t="n"/>
      <c r="J331" s="39" t="n"/>
      <c r="K331" s="39" t="n"/>
      <c r="L331" s="39" t="n"/>
      <c r="M331" s="7" t="n"/>
      <c r="N331" s="7" t="n"/>
      <c r="O331" s="40" t="n"/>
      <c r="P331" s="40" t="n"/>
      <c r="Q331" s="40" t="n"/>
      <c r="R331" s="40" t="n"/>
      <c r="S331" s="40" t="n"/>
      <c r="T331" s="40" t="n"/>
      <c r="U331" s="40" t="n"/>
      <c r="V331" s="40" t="n"/>
      <c r="W331" s="40" t="n"/>
      <c r="X331" s="40" t="n"/>
      <c r="Y331" s="40" t="n"/>
      <c r="Z331" s="40" t="n"/>
      <c r="AA331" s="39" t="n"/>
    </row>
    <row r="332">
      <c r="A332" s="7" t="n"/>
      <c r="B332" s="7" t="n"/>
      <c r="C332" s="39" t="n"/>
      <c r="D332" s="39" t="n"/>
      <c r="E332" s="7" t="n"/>
      <c r="F332" s="7" t="n"/>
      <c r="G332" s="7" t="n"/>
      <c r="H332" s="39" t="n"/>
      <c r="I332" s="39" t="n"/>
      <c r="J332" s="39" t="n"/>
      <c r="K332" s="39" t="n"/>
      <c r="L332" s="39" t="n"/>
      <c r="M332" s="7" t="n"/>
      <c r="N332" s="7" t="n"/>
      <c r="O332" s="40" t="n"/>
      <c r="P332" s="40" t="n"/>
      <c r="Q332" s="40" t="n"/>
      <c r="R332" s="40" t="n"/>
      <c r="S332" s="40" t="n"/>
      <c r="T332" s="40" t="n"/>
      <c r="U332" s="40" t="n"/>
      <c r="V332" s="40" t="n"/>
      <c r="W332" s="40" t="n"/>
      <c r="X332" s="40" t="n"/>
      <c r="Y332" s="40" t="n"/>
      <c r="Z332" s="40" t="n"/>
      <c r="AA332" s="39" t="n"/>
    </row>
    <row r="333">
      <c r="A333" s="7" t="n"/>
      <c r="B333" s="7" t="n"/>
      <c r="C333" s="39" t="n"/>
      <c r="D333" s="39" t="n"/>
      <c r="E333" s="7" t="n"/>
      <c r="F333" s="7" t="n"/>
      <c r="G333" s="7" t="n"/>
      <c r="H333" s="39" t="n"/>
      <c r="I333" s="39" t="n"/>
      <c r="J333" s="39" t="n"/>
      <c r="K333" s="39" t="n"/>
      <c r="L333" s="39" t="n"/>
      <c r="M333" s="7" t="n"/>
      <c r="N333" s="7" t="n"/>
      <c r="O333" s="40" t="n"/>
      <c r="P333" s="40" t="n"/>
      <c r="Q333" s="40" t="n"/>
      <c r="R333" s="40" t="n"/>
      <c r="S333" s="40" t="n"/>
      <c r="T333" s="40" t="n"/>
      <c r="U333" s="40" t="n"/>
      <c r="V333" s="40" t="n"/>
      <c r="W333" s="40" t="n"/>
      <c r="X333" s="40" t="n"/>
      <c r="Y333" s="40" t="n"/>
      <c r="Z333" s="40" t="n"/>
      <c r="AA333" s="39" t="n"/>
    </row>
    <row r="334">
      <c r="A334" s="7" t="n"/>
      <c r="B334" s="7" t="n"/>
      <c r="C334" s="39" t="n"/>
      <c r="D334" s="39" t="n"/>
      <c r="E334" s="7" t="n"/>
      <c r="F334" s="7" t="n"/>
      <c r="G334" s="7" t="n"/>
      <c r="H334" s="39" t="n"/>
      <c r="I334" s="39" t="n"/>
      <c r="J334" s="39" t="n"/>
      <c r="K334" s="39" t="n"/>
      <c r="L334" s="39" t="n"/>
      <c r="M334" s="7" t="n"/>
      <c r="N334" s="7" t="n"/>
      <c r="O334" s="40" t="n"/>
      <c r="P334" s="40" t="n"/>
      <c r="Q334" s="40" t="n"/>
      <c r="R334" s="40" t="n"/>
      <c r="S334" s="40" t="n"/>
      <c r="T334" s="40" t="n"/>
      <c r="U334" s="40" t="n"/>
      <c r="V334" s="40" t="n"/>
      <c r="W334" s="40" t="n"/>
      <c r="X334" s="40" t="n"/>
      <c r="Y334" s="40" t="n"/>
      <c r="Z334" s="40" t="n"/>
      <c r="AA334" s="39" t="n"/>
    </row>
    <row r="335">
      <c r="A335" s="7" t="n"/>
      <c r="B335" s="7" t="n"/>
      <c r="C335" s="39" t="n"/>
      <c r="D335" s="39" t="n"/>
      <c r="E335" s="7" t="n"/>
      <c r="F335" s="7" t="n"/>
      <c r="G335" s="7" t="n"/>
      <c r="H335" s="39" t="n"/>
      <c r="I335" s="39" t="n"/>
      <c r="J335" s="39" t="n"/>
      <c r="K335" s="39" t="n"/>
      <c r="L335" s="39" t="n"/>
      <c r="M335" s="7" t="n"/>
      <c r="N335" s="7" t="n"/>
      <c r="O335" s="40" t="n"/>
      <c r="P335" s="40" t="n"/>
      <c r="Q335" s="40" t="n"/>
      <c r="R335" s="40" t="n"/>
      <c r="S335" s="40" t="n"/>
      <c r="T335" s="40" t="n"/>
      <c r="U335" s="40" t="n"/>
      <c r="V335" s="40" t="n"/>
      <c r="W335" s="40" t="n"/>
      <c r="X335" s="40" t="n"/>
      <c r="Y335" s="40" t="n"/>
      <c r="Z335" s="40" t="n"/>
      <c r="AA335" s="39" t="n"/>
    </row>
    <row r="336">
      <c r="A336" s="7" t="n"/>
      <c r="B336" s="7" t="n"/>
      <c r="C336" s="39" t="n"/>
      <c r="D336" s="39" t="n"/>
      <c r="E336" s="7" t="n"/>
      <c r="F336" s="7" t="n"/>
      <c r="G336" s="7" t="n"/>
      <c r="H336" s="39" t="n"/>
      <c r="I336" s="39" t="n"/>
      <c r="J336" s="39" t="n"/>
      <c r="K336" s="39" t="n"/>
      <c r="L336" s="39" t="n"/>
      <c r="M336" s="7" t="n"/>
      <c r="N336" s="7" t="n"/>
      <c r="O336" s="40" t="n"/>
      <c r="P336" s="40" t="n"/>
      <c r="Q336" s="40" t="n"/>
      <c r="R336" s="40" t="n"/>
      <c r="S336" s="40" t="n"/>
      <c r="T336" s="40" t="n"/>
      <c r="U336" s="40" t="n"/>
      <c r="V336" s="40" t="n"/>
      <c r="W336" s="40" t="n"/>
      <c r="X336" s="40" t="n"/>
      <c r="Y336" s="40" t="n"/>
      <c r="Z336" s="40" t="n"/>
      <c r="AA336" s="39" t="n"/>
    </row>
    <row r="337">
      <c r="A337" s="7" t="n"/>
      <c r="B337" s="7" t="n"/>
      <c r="C337" s="39" t="n"/>
      <c r="D337" s="39" t="n"/>
      <c r="E337" s="7" t="n"/>
      <c r="F337" s="7" t="n"/>
      <c r="G337" s="7" t="n"/>
      <c r="H337" s="39" t="n"/>
      <c r="I337" s="39" t="n"/>
      <c r="J337" s="39" t="n"/>
      <c r="K337" s="39" t="n"/>
      <c r="L337" s="39" t="n"/>
      <c r="M337" s="7" t="n"/>
      <c r="N337" s="7" t="n"/>
      <c r="O337" s="40" t="n"/>
      <c r="P337" s="40" t="n"/>
      <c r="Q337" s="40" t="n"/>
      <c r="R337" s="40" t="n"/>
      <c r="S337" s="40" t="n"/>
      <c r="T337" s="40" t="n"/>
      <c r="U337" s="40" t="n"/>
      <c r="V337" s="40" t="n"/>
      <c r="W337" s="40" t="n"/>
      <c r="X337" s="40" t="n"/>
      <c r="Y337" s="40" t="n"/>
      <c r="Z337" s="40" t="n"/>
      <c r="AA337" s="39" t="n"/>
    </row>
    <row r="338">
      <c r="A338" s="7" t="n"/>
      <c r="B338" s="7" t="n"/>
      <c r="C338" s="39" t="n"/>
      <c r="D338" s="39" t="n"/>
      <c r="E338" s="7" t="n"/>
      <c r="F338" s="7" t="n"/>
      <c r="G338" s="7" t="n"/>
      <c r="H338" s="39" t="n"/>
      <c r="I338" s="39" t="n"/>
      <c r="J338" s="39" t="n"/>
      <c r="K338" s="39" t="n"/>
      <c r="L338" s="39" t="n"/>
      <c r="M338" s="7" t="n"/>
      <c r="N338" s="7" t="n"/>
      <c r="O338" s="40" t="n"/>
      <c r="P338" s="40" t="n"/>
      <c r="Q338" s="40" t="n"/>
      <c r="R338" s="40" t="n"/>
      <c r="S338" s="40" t="n"/>
      <c r="T338" s="40" t="n"/>
      <c r="U338" s="40" t="n"/>
      <c r="V338" s="40" t="n"/>
      <c r="W338" s="40" t="n"/>
      <c r="X338" s="40" t="n"/>
      <c r="Y338" s="40" t="n"/>
      <c r="Z338" s="40" t="n"/>
      <c r="AA338" s="39" t="n"/>
    </row>
    <row r="339">
      <c r="A339" s="7" t="n"/>
      <c r="B339" s="7" t="n"/>
      <c r="C339" s="39" t="n"/>
      <c r="D339" s="39" t="n"/>
      <c r="E339" s="7" t="n"/>
      <c r="F339" s="7" t="n"/>
      <c r="G339" s="7" t="n"/>
      <c r="H339" s="39" t="n"/>
      <c r="I339" s="39" t="n"/>
      <c r="J339" s="39" t="n"/>
      <c r="K339" s="39" t="n"/>
      <c r="L339" s="39" t="n"/>
      <c r="M339" s="7" t="n"/>
      <c r="N339" s="7" t="n"/>
      <c r="O339" s="40" t="n"/>
      <c r="P339" s="40" t="n"/>
      <c r="Q339" s="40" t="n"/>
      <c r="R339" s="40" t="n"/>
      <c r="S339" s="40" t="n"/>
      <c r="T339" s="40" t="n"/>
      <c r="U339" s="40" t="n"/>
      <c r="V339" s="40" t="n"/>
      <c r="W339" s="40" t="n"/>
      <c r="X339" s="40" t="n"/>
      <c r="Y339" s="40" t="n"/>
      <c r="Z339" s="40" t="n"/>
      <c r="AA339" s="39" t="n"/>
    </row>
    <row r="340">
      <c r="A340" s="7" t="n"/>
      <c r="B340" s="7" t="n"/>
      <c r="C340" s="39" t="n"/>
      <c r="D340" s="39" t="n"/>
      <c r="E340" s="7" t="n"/>
      <c r="F340" s="7" t="n"/>
      <c r="G340" s="7" t="n"/>
      <c r="H340" s="39" t="n"/>
      <c r="I340" s="39" t="n"/>
      <c r="J340" s="39" t="n"/>
      <c r="K340" s="39" t="n"/>
      <c r="L340" s="39" t="n"/>
      <c r="M340" s="7" t="n"/>
      <c r="N340" s="7" t="n"/>
      <c r="O340" s="40" t="n"/>
      <c r="P340" s="40" t="n"/>
      <c r="Q340" s="40" t="n"/>
      <c r="R340" s="40" t="n"/>
      <c r="S340" s="40" t="n"/>
      <c r="T340" s="40" t="n"/>
      <c r="U340" s="40" t="n"/>
      <c r="V340" s="40" t="n"/>
      <c r="W340" s="40" t="n"/>
      <c r="X340" s="40" t="n"/>
      <c r="Y340" s="40" t="n"/>
      <c r="Z340" s="40" t="n"/>
      <c r="AA340" s="39" t="n"/>
    </row>
    <row r="341">
      <c r="A341" s="7" t="n"/>
      <c r="B341" s="7" t="n"/>
      <c r="C341" s="39" t="n"/>
      <c r="D341" s="39" t="n"/>
      <c r="E341" s="7" t="n"/>
      <c r="F341" s="7" t="n"/>
      <c r="G341" s="7" t="n"/>
      <c r="H341" s="39" t="n"/>
      <c r="I341" s="39" t="n"/>
      <c r="J341" s="39" t="n"/>
      <c r="K341" s="39" t="n"/>
      <c r="L341" s="39" t="n"/>
      <c r="M341" s="7" t="n"/>
      <c r="N341" s="7" t="n"/>
      <c r="O341" s="40" t="n"/>
      <c r="P341" s="40" t="n"/>
      <c r="Q341" s="40" t="n"/>
      <c r="R341" s="40" t="n"/>
      <c r="S341" s="40" t="n"/>
      <c r="T341" s="40" t="n"/>
      <c r="U341" s="40" t="n"/>
      <c r="V341" s="40" t="n"/>
      <c r="W341" s="40" t="n"/>
      <c r="X341" s="40" t="n"/>
      <c r="Y341" s="40" t="n"/>
      <c r="Z341" s="40" t="n"/>
      <c r="AA341" s="39" t="n"/>
    </row>
    <row r="342">
      <c r="A342" s="7" t="n"/>
      <c r="B342" s="7" t="n"/>
      <c r="C342" s="39" t="n"/>
      <c r="D342" s="39" t="n"/>
      <c r="E342" s="7" t="n"/>
      <c r="F342" s="7" t="n"/>
      <c r="G342" s="7" t="n"/>
      <c r="H342" s="39" t="n"/>
      <c r="I342" s="39" t="n"/>
      <c r="J342" s="39" t="n"/>
      <c r="K342" s="39" t="n"/>
      <c r="L342" s="39" t="n"/>
      <c r="M342" s="7" t="n"/>
      <c r="N342" s="7" t="n"/>
      <c r="O342" s="40" t="n"/>
      <c r="P342" s="40" t="n"/>
      <c r="Q342" s="40" t="n"/>
      <c r="R342" s="40" t="n"/>
      <c r="S342" s="40" t="n"/>
      <c r="T342" s="40" t="n"/>
      <c r="U342" s="40" t="n"/>
      <c r="V342" s="40" t="n"/>
      <c r="W342" s="40" t="n"/>
      <c r="X342" s="40" t="n"/>
      <c r="Y342" s="40" t="n"/>
      <c r="Z342" s="40" t="n"/>
      <c r="AA342" s="39" t="n"/>
    </row>
    <row r="343">
      <c r="A343" s="7" t="n"/>
      <c r="B343" s="7" t="n"/>
      <c r="C343" s="39" t="n"/>
      <c r="D343" s="39" t="n"/>
      <c r="E343" s="7" t="n"/>
      <c r="F343" s="7" t="n"/>
      <c r="G343" s="7" t="n"/>
      <c r="H343" s="39" t="n"/>
      <c r="I343" s="39" t="n"/>
      <c r="J343" s="39" t="n"/>
      <c r="K343" s="39" t="n"/>
      <c r="L343" s="39" t="n"/>
      <c r="M343" s="7" t="n"/>
      <c r="N343" s="7" t="n"/>
      <c r="O343" s="40" t="n"/>
      <c r="P343" s="40" t="n"/>
      <c r="Q343" s="40" t="n"/>
      <c r="R343" s="40" t="n"/>
      <c r="S343" s="40" t="n"/>
      <c r="T343" s="40" t="n"/>
      <c r="U343" s="40" t="n"/>
      <c r="V343" s="40" t="n"/>
      <c r="W343" s="40" t="n"/>
      <c r="X343" s="40" t="n"/>
      <c r="Y343" s="40" t="n"/>
      <c r="Z343" s="40" t="n"/>
      <c r="AA343" s="39" t="n"/>
    </row>
    <row r="344">
      <c r="A344" s="7" t="n"/>
      <c r="B344" s="7" t="n"/>
      <c r="C344" s="39" t="n"/>
      <c r="D344" s="39" t="n"/>
      <c r="E344" s="7" t="n"/>
      <c r="F344" s="7" t="n"/>
      <c r="G344" s="7" t="n"/>
      <c r="H344" s="39" t="n"/>
      <c r="I344" s="39" t="n"/>
      <c r="J344" s="39" t="n"/>
      <c r="K344" s="39" t="n"/>
      <c r="L344" s="39" t="n"/>
      <c r="M344" s="7" t="n"/>
      <c r="N344" s="7" t="n"/>
      <c r="O344" s="40" t="n"/>
      <c r="P344" s="40" t="n"/>
      <c r="Q344" s="40" t="n"/>
      <c r="R344" s="40" t="n"/>
      <c r="S344" s="40" t="n"/>
      <c r="T344" s="40" t="n"/>
      <c r="U344" s="40" t="n"/>
      <c r="V344" s="40" t="n"/>
      <c r="W344" s="40" t="n"/>
      <c r="X344" s="40" t="n"/>
      <c r="Y344" s="40" t="n"/>
      <c r="Z344" s="40" t="n"/>
      <c r="AA344" s="39" t="n"/>
    </row>
    <row r="345">
      <c r="A345" s="7" t="n"/>
      <c r="B345" s="7" t="n"/>
      <c r="C345" s="39" t="n"/>
      <c r="D345" s="39" t="n"/>
      <c r="E345" s="7" t="n"/>
      <c r="F345" s="7" t="n"/>
      <c r="G345" s="7" t="n"/>
      <c r="H345" s="39" t="n"/>
      <c r="I345" s="39" t="n"/>
      <c r="J345" s="39" t="n"/>
      <c r="K345" s="39" t="n"/>
      <c r="L345" s="39" t="n"/>
      <c r="M345" s="7" t="n"/>
      <c r="N345" s="7" t="n"/>
      <c r="O345" s="40" t="n"/>
      <c r="P345" s="40" t="n"/>
      <c r="Q345" s="40" t="n"/>
      <c r="R345" s="40" t="n"/>
      <c r="S345" s="40" t="n"/>
      <c r="T345" s="40" t="n"/>
      <c r="U345" s="40" t="n"/>
      <c r="V345" s="40" t="n"/>
      <c r="W345" s="40" t="n"/>
      <c r="X345" s="40" t="n"/>
      <c r="Y345" s="40" t="n"/>
      <c r="Z345" s="40" t="n"/>
      <c r="AA345" s="39" t="n"/>
    </row>
    <row r="346">
      <c r="A346" s="7" t="n"/>
      <c r="B346" s="7" t="n"/>
      <c r="C346" s="39" t="n"/>
      <c r="D346" s="39" t="n"/>
      <c r="E346" s="7" t="n"/>
      <c r="F346" s="7" t="n"/>
      <c r="G346" s="7" t="n"/>
      <c r="H346" s="39" t="n"/>
      <c r="I346" s="39" t="n"/>
      <c r="J346" s="39" t="n"/>
      <c r="K346" s="39" t="n"/>
      <c r="L346" s="39" t="n"/>
      <c r="M346" s="7" t="n"/>
      <c r="N346" s="7" t="n"/>
      <c r="O346" s="40" t="n"/>
      <c r="P346" s="40" t="n"/>
      <c r="Q346" s="40" t="n"/>
      <c r="R346" s="40" t="n"/>
      <c r="S346" s="40" t="n"/>
      <c r="T346" s="40" t="n"/>
      <c r="U346" s="40" t="n"/>
      <c r="V346" s="40" t="n"/>
      <c r="W346" s="40" t="n"/>
      <c r="X346" s="40" t="n"/>
      <c r="Y346" s="40" t="n"/>
      <c r="Z346" s="40" t="n"/>
      <c r="AA346" s="39" t="n"/>
    </row>
    <row r="347">
      <c r="A347" s="7" t="n"/>
      <c r="B347" s="7" t="n"/>
      <c r="C347" s="39" t="n"/>
      <c r="D347" s="39" t="n"/>
      <c r="E347" s="7" t="n"/>
      <c r="F347" s="7" t="n"/>
      <c r="G347" s="7" t="n"/>
      <c r="H347" s="39" t="n"/>
      <c r="I347" s="39" t="n"/>
      <c r="J347" s="39" t="n"/>
      <c r="K347" s="39" t="n"/>
      <c r="L347" s="39" t="n"/>
      <c r="M347" s="7" t="n"/>
      <c r="N347" s="7" t="n"/>
      <c r="O347" s="40" t="n"/>
      <c r="P347" s="40" t="n"/>
      <c r="Q347" s="40" t="n"/>
      <c r="R347" s="40" t="n"/>
      <c r="S347" s="40" t="n"/>
      <c r="T347" s="40" t="n"/>
      <c r="U347" s="40" t="n"/>
      <c r="V347" s="40" t="n"/>
      <c r="W347" s="40" t="n"/>
      <c r="X347" s="40" t="n"/>
      <c r="Y347" s="40" t="n"/>
      <c r="Z347" s="40" t="n"/>
      <c r="AA347" s="39" t="n"/>
    </row>
    <row r="348">
      <c r="A348" s="7" t="n"/>
      <c r="B348" s="7" t="n"/>
      <c r="C348" s="39" t="n"/>
      <c r="D348" s="39" t="n"/>
      <c r="E348" s="7" t="n"/>
      <c r="F348" s="7" t="n"/>
      <c r="G348" s="7" t="n"/>
      <c r="H348" s="39" t="n"/>
      <c r="I348" s="39" t="n"/>
      <c r="J348" s="39" t="n"/>
      <c r="K348" s="39" t="n"/>
      <c r="L348" s="39" t="n"/>
      <c r="M348" s="7" t="n"/>
      <c r="N348" s="7" t="n"/>
      <c r="O348" s="40" t="n"/>
      <c r="P348" s="40" t="n"/>
      <c r="Q348" s="40" t="n"/>
      <c r="R348" s="40" t="n"/>
      <c r="S348" s="40" t="n"/>
      <c r="T348" s="40" t="n"/>
      <c r="U348" s="40" t="n"/>
      <c r="V348" s="40" t="n"/>
      <c r="W348" s="40" t="n"/>
      <c r="X348" s="40" t="n"/>
      <c r="Y348" s="40" t="n"/>
      <c r="Z348" s="40" t="n"/>
      <c r="AA348" s="39" t="n"/>
    </row>
    <row r="349">
      <c r="A349" s="7" t="n"/>
      <c r="B349" s="7" t="n"/>
      <c r="C349" s="39" t="n"/>
      <c r="D349" s="39" t="n"/>
      <c r="E349" s="7" t="n"/>
      <c r="F349" s="7" t="n"/>
      <c r="G349" s="7" t="n"/>
      <c r="H349" s="39" t="n"/>
      <c r="I349" s="39" t="n"/>
      <c r="J349" s="39" t="n"/>
      <c r="K349" s="39" t="n"/>
      <c r="L349" s="39" t="n"/>
      <c r="M349" s="7" t="n"/>
      <c r="N349" s="7" t="n"/>
      <c r="O349" s="40" t="n"/>
      <c r="P349" s="40" t="n"/>
      <c r="Q349" s="40" t="n"/>
      <c r="R349" s="40" t="n"/>
      <c r="S349" s="40" t="n"/>
      <c r="T349" s="40" t="n"/>
      <c r="U349" s="40" t="n"/>
      <c r="V349" s="40" t="n"/>
      <c r="W349" s="40" t="n"/>
      <c r="X349" s="40" t="n"/>
      <c r="Y349" s="40" t="n"/>
      <c r="Z349" s="40" t="n"/>
      <c r="AA349" s="39" t="n"/>
    </row>
    <row r="350">
      <c r="A350" s="7" t="n"/>
      <c r="B350" s="7" t="n"/>
      <c r="C350" s="39" t="n"/>
      <c r="D350" s="39" t="n"/>
      <c r="E350" s="7" t="n"/>
      <c r="F350" s="7" t="n"/>
      <c r="G350" s="7" t="n"/>
      <c r="H350" s="39" t="n"/>
      <c r="I350" s="39" t="n"/>
      <c r="J350" s="39" t="n"/>
      <c r="K350" s="39" t="n"/>
      <c r="L350" s="39" t="n"/>
      <c r="M350" s="7" t="n"/>
      <c r="N350" s="7" t="n"/>
      <c r="O350" s="40" t="n"/>
      <c r="P350" s="40" t="n"/>
      <c r="Q350" s="40" t="n"/>
      <c r="R350" s="40" t="n"/>
      <c r="S350" s="40" t="n"/>
      <c r="T350" s="40" t="n"/>
      <c r="U350" s="40" t="n"/>
      <c r="V350" s="40" t="n"/>
      <c r="W350" s="40" t="n"/>
      <c r="X350" s="40" t="n"/>
      <c r="Y350" s="40" t="n"/>
      <c r="Z350" s="40" t="n"/>
      <c r="AA350" s="39" t="n"/>
    </row>
    <row r="351">
      <c r="A351" s="7" t="n"/>
      <c r="B351" s="7" t="n"/>
      <c r="C351" s="39" t="n"/>
      <c r="D351" s="39" t="n"/>
      <c r="E351" s="7" t="n"/>
      <c r="F351" s="7" t="n"/>
      <c r="G351" s="7" t="n"/>
      <c r="H351" s="39" t="n"/>
      <c r="I351" s="39" t="n"/>
      <c r="J351" s="39" t="n"/>
      <c r="K351" s="39" t="n"/>
      <c r="L351" s="39" t="n"/>
      <c r="M351" s="7" t="n"/>
      <c r="N351" s="7" t="n"/>
      <c r="O351" s="40" t="n"/>
      <c r="P351" s="40" t="n"/>
      <c r="Q351" s="40" t="n"/>
      <c r="R351" s="40" t="n"/>
      <c r="S351" s="40" t="n"/>
      <c r="T351" s="40" t="n"/>
      <c r="U351" s="40" t="n"/>
      <c r="V351" s="40" t="n"/>
      <c r="W351" s="40" t="n"/>
      <c r="X351" s="40" t="n"/>
      <c r="Y351" s="40" t="n"/>
      <c r="Z351" s="40" t="n"/>
      <c r="AA351" s="39" t="n"/>
    </row>
    <row r="352">
      <c r="A352" s="7" t="n"/>
      <c r="B352" s="7" t="n"/>
      <c r="C352" s="39" t="n"/>
      <c r="D352" s="39" t="n"/>
      <c r="E352" s="7" t="n"/>
      <c r="F352" s="7" t="n"/>
      <c r="G352" s="7" t="n"/>
      <c r="H352" s="39" t="n"/>
      <c r="I352" s="39" t="n"/>
      <c r="J352" s="39" t="n"/>
      <c r="K352" s="39" t="n"/>
      <c r="L352" s="39" t="n"/>
      <c r="M352" s="7" t="n"/>
      <c r="N352" s="7" t="n"/>
      <c r="O352" s="40" t="n"/>
      <c r="P352" s="40" t="n"/>
      <c r="Q352" s="40" t="n"/>
      <c r="R352" s="40" t="n"/>
      <c r="S352" s="40" t="n"/>
      <c r="T352" s="40" t="n"/>
      <c r="U352" s="40" t="n"/>
      <c r="V352" s="40" t="n"/>
      <c r="W352" s="40" t="n"/>
      <c r="X352" s="40" t="n"/>
      <c r="Y352" s="40" t="n"/>
      <c r="Z352" s="40" t="n"/>
      <c r="AA352" s="39" t="n"/>
    </row>
    <row r="353">
      <c r="A353" s="7" t="n"/>
      <c r="B353" s="7" t="n"/>
      <c r="C353" s="39" t="n"/>
      <c r="D353" s="39" t="n"/>
      <c r="E353" s="7" t="n"/>
      <c r="F353" s="7" t="n"/>
      <c r="G353" s="7" t="n"/>
      <c r="H353" s="39" t="n"/>
      <c r="I353" s="39" t="n"/>
      <c r="J353" s="39" t="n"/>
      <c r="K353" s="39" t="n"/>
      <c r="L353" s="39" t="n"/>
      <c r="M353" s="7" t="n"/>
      <c r="N353" s="7" t="n"/>
      <c r="O353" s="40" t="n"/>
      <c r="P353" s="40" t="n"/>
      <c r="Q353" s="40" t="n"/>
      <c r="R353" s="40" t="n"/>
      <c r="S353" s="40" t="n"/>
      <c r="T353" s="40" t="n"/>
      <c r="U353" s="40" t="n"/>
      <c r="V353" s="40" t="n"/>
      <c r="W353" s="40" t="n"/>
      <c r="X353" s="40" t="n"/>
      <c r="Y353" s="40" t="n"/>
      <c r="Z353" s="40" t="n"/>
      <c r="AA353" s="39" t="n"/>
    </row>
    <row r="354">
      <c r="A354" s="7" t="n"/>
      <c r="B354" s="7" t="n"/>
      <c r="C354" s="39" t="n"/>
      <c r="D354" s="39" t="n"/>
      <c r="E354" s="7" t="n"/>
      <c r="F354" s="7" t="n"/>
      <c r="G354" s="7" t="n"/>
      <c r="H354" s="39" t="n"/>
      <c r="I354" s="39" t="n"/>
      <c r="J354" s="39" t="n"/>
      <c r="K354" s="39" t="n"/>
      <c r="L354" s="39" t="n"/>
      <c r="M354" s="7" t="n"/>
      <c r="N354" s="7" t="n"/>
      <c r="O354" s="40" t="n"/>
      <c r="P354" s="40" t="n"/>
      <c r="Q354" s="40" t="n"/>
      <c r="R354" s="40" t="n"/>
      <c r="S354" s="40" t="n"/>
      <c r="T354" s="40" t="n"/>
      <c r="U354" s="40" t="n"/>
      <c r="V354" s="40" t="n"/>
      <c r="W354" s="40" t="n"/>
      <c r="X354" s="40" t="n"/>
      <c r="Y354" s="40" t="n"/>
      <c r="Z354" s="40" t="n"/>
      <c r="AA354" s="39" t="n"/>
    </row>
    <row r="355">
      <c r="A355" s="7" t="n"/>
      <c r="B355" s="7" t="n"/>
      <c r="C355" s="39" t="n"/>
      <c r="D355" s="39" t="n"/>
      <c r="E355" s="7" t="n"/>
      <c r="F355" s="7" t="n"/>
      <c r="G355" s="7" t="n"/>
      <c r="H355" s="39" t="n"/>
      <c r="I355" s="39" t="n"/>
      <c r="J355" s="39" t="n"/>
      <c r="K355" s="39" t="n"/>
      <c r="L355" s="39" t="n"/>
      <c r="M355" s="7" t="n"/>
      <c r="N355" s="7" t="n"/>
      <c r="O355" s="40" t="n"/>
      <c r="P355" s="40" t="n"/>
      <c r="Q355" s="40" t="n"/>
      <c r="R355" s="40" t="n"/>
      <c r="S355" s="40" t="n"/>
      <c r="T355" s="40" t="n"/>
      <c r="U355" s="40" t="n"/>
      <c r="V355" s="40" t="n"/>
      <c r="W355" s="40" t="n"/>
      <c r="X355" s="40" t="n"/>
      <c r="Y355" s="40" t="n"/>
      <c r="Z355" s="40" t="n"/>
      <c r="AA355" s="39" t="n"/>
    </row>
    <row r="356">
      <c r="A356" s="7" t="n"/>
      <c r="B356" s="7" t="n"/>
      <c r="C356" s="39" t="n"/>
      <c r="D356" s="39" t="n"/>
      <c r="E356" s="7" t="n"/>
      <c r="F356" s="7" t="n"/>
      <c r="G356" s="7" t="n"/>
      <c r="H356" s="39" t="n"/>
      <c r="I356" s="39" t="n"/>
      <c r="J356" s="39" t="n"/>
      <c r="K356" s="39" t="n"/>
      <c r="L356" s="39" t="n"/>
      <c r="M356" s="7" t="n"/>
      <c r="N356" s="7" t="n"/>
      <c r="O356" s="40" t="n"/>
      <c r="P356" s="40" t="n"/>
      <c r="Q356" s="40" t="n"/>
      <c r="R356" s="40" t="n"/>
      <c r="S356" s="40" t="n"/>
      <c r="T356" s="40" t="n"/>
      <c r="U356" s="40" t="n"/>
      <c r="V356" s="40" t="n"/>
      <c r="W356" s="40" t="n"/>
      <c r="X356" s="40" t="n"/>
      <c r="Y356" s="40" t="n"/>
      <c r="Z356" s="40" t="n"/>
      <c r="AA356" s="39" t="n"/>
    </row>
    <row r="357">
      <c r="A357" s="7" t="n"/>
      <c r="B357" s="7" t="n"/>
      <c r="C357" s="39" t="n"/>
      <c r="D357" s="39" t="n"/>
      <c r="E357" s="7" t="n"/>
      <c r="F357" s="7" t="n"/>
      <c r="G357" s="7" t="n"/>
      <c r="H357" s="39" t="n"/>
      <c r="I357" s="39" t="n"/>
      <c r="J357" s="39" t="n"/>
      <c r="K357" s="39" t="n"/>
      <c r="L357" s="39" t="n"/>
      <c r="M357" s="7" t="n"/>
      <c r="N357" s="7" t="n"/>
      <c r="O357" s="40" t="n"/>
      <c r="P357" s="40" t="n"/>
      <c r="Q357" s="40" t="n"/>
      <c r="R357" s="40" t="n"/>
      <c r="S357" s="40" t="n"/>
      <c r="T357" s="40" t="n"/>
      <c r="U357" s="40" t="n"/>
      <c r="V357" s="40" t="n"/>
      <c r="W357" s="40" t="n"/>
      <c r="X357" s="40" t="n"/>
      <c r="Y357" s="40" t="n"/>
      <c r="Z357" s="40" t="n"/>
      <c r="AA357" s="39" t="n"/>
    </row>
    <row r="358">
      <c r="A358" s="7" t="n"/>
      <c r="B358" s="7" t="n"/>
      <c r="C358" s="39" t="n"/>
      <c r="D358" s="39" t="n"/>
      <c r="E358" s="7" t="n"/>
      <c r="F358" s="7" t="n"/>
      <c r="G358" s="7" t="n"/>
      <c r="H358" s="39" t="n"/>
      <c r="I358" s="39" t="n"/>
      <c r="J358" s="39" t="n"/>
      <c r="K358" s="39" t="n"/>
      <c r="L358" s="39" t="n"/>
      <c r="M358" s="7" t="n"/>
      <c r="N358" s="7" t="n"/>
      <c r="O358" s="40" t="n"/>
      <c r="P358" s="40" t="n"/>
      <c r="Q358" s="40" t="n"/>
      <c r="R358" s="40" t="n"/>
      <c r="S358" s="40" t="n"/>
      <c r="T358" s="40" t="n"/>
      <c r="U358" s="40" t="n"/>
      <c r="V358" s="40" t="n"/>
      <c r="W358" s="40" t="n"/>
      <c r="X358" s="40" t="n"/>
      <c r="Y358" s="40" t="n"/>
      <c r="Z358" s="40" t="n"/>
      <c r="AA358" s="39" t="n"/>
    </row>
    <row r="359">
      <c r="A359" s="7" t="n"/>
      <c r="B359" s="7" t="n"/>
      <c r="C359" s="39" t="n"/>
      <c r="D359" s="39" t="n"/>
      <c r="E359" s="7" t="n"/>
      <c r="F359" s="7" t="n"/>
      <c r="G359" s="7" t="n"/>
      <c r="H359" s="39" t="n"/>
      <c r="I359" s="39" t="n"/>
      <c r="J359" s="39" t="n"/>
      <c r="K359" s="39" t="n"/>
      <c r="L359" s="39" t="n"/>
      <c r="M359" s="7" t="n"/>
      <c r="N359" s="7" t="n"/>
      <c r="O359" s="40" t="n"/>
      <c r="P359" s="40" t="n"/>
      <c r="Q359" s="40" t="n"/>
      <c r="R359" s="40" t="n"/>
      <c r="S359" s="40" t="n"/>
      <c r="T359" s="40" t="n"/>
      <c r="U359" s="40" t="n"/>
      <c r="V359" s="40" t="n"/>
      <c r="W359" s="40" t="n"/>
      <c r="X359" s="40" t="n"/>
      <c r="Y359" s="40" t="n"/>
      <c r="Z359" s="40" t="n"/>
      <c r="AA359" s="39" t="n"/>
    </row>
    <row r="360">
      <c r="A360" s="7" t="n"/>
      <c r="B360" s="7" t="n"/>
      <c r="C360" s="39" t="n"/>
      <c r="D360" s="39" t="n"/>
      <c r="E360" s="7" t="n"/>
      <c r="F360" s="7" t="n"/>
      <c r="G360" s="7" t="n"/>
      <c r="H360" s="39" t="n"/>
      <c r="I360" s="39" t="n"/>
      <c r="J360" s="39" t="n"/>
      <c r="K360" s="39" t="n"/>
      <c r="L360" s="39" t="n"/>
      <c r="M360" s="7" t="n"/>
      <c r="N360" s="7" t="n"/>
      <c r="O360" s="40" t="n"/>
      <c r="P360" s="40" t="n"/>
      <c r="Q360" s="40" t="n"/>
      <c r="R360" s="40" t="n"/>
      <c r="S360" s="40" t="n"/>
      <c r="T360" s="40" t="n"/>
      <c r="U360" s="40" t="n"/>
      <c r="V360" s="40" t="n"/>
      <c r="W360" s="40" t="n"/>
      <c r="X360" s="40" t="n"/>
      <c r="Y360" s="40" t="n"/>
      <c r="Z360" s="40" t="n"/>
      <c r="AA360" s="39" t="n"/>
    </row>
    <row r="361">
      <c r="A361" s="7" t="n"/>
      <c r="B361" s="7" t="n"/>
      <c r="C361" s="39" t="n"/>
      <c r="D361" s="39" t="n"/>
      <c r="E361" s="7" t="n"/>
      <c r="F361" s="7" t="n"/>
      <c r="G361" s="7" t="n"/>
      <c r="H361" s="39" t="n"/>
      <c r="I361" s="39" t="n"/>
      <c r="J361" s="39" t="n"/>
      <c r="K361" s="39" t="n"/>
      <c r="L361" s="39" t="n"/>
      <c r="M361" s="7" t="n"/>
      <c r="N361" s="7" t="n"/>
      <c r="O361" s="40" t="n"/>
      <c r="P361" s="40" t="n"/>
      <c r="Q361" s="40" t="n"/>
      <c r="R361" s="40" t="n"/>
      <c r="S361" s="40" t="n"/>
      <c r="T361" s="40" t="n"/>
      <c r="U361" s="40" t="n"/>
      <c r="V361" s="40" t="n"/>
      <c r="W361" s="40" t="n"/>
      <c r="X361" s="40" t="n"/>
      <c r="Y361" s="40" t="n"/>
      <c r="Z361" s="40" t="n"/>
      <c r="AA361" s="39" t="n"/>
    </row>
    <row r="362">
      <c r="A362" s="7" t="n"/>
      <c r="B362" s="7" t="n"/>
      <c r="C362" s="39" t="n"/>
      <c r="D362" s="39" t="n"/>
      <c r="E362" s="7" t="n"/>
      <c r="F362" s="7" t="n"/>
      <c r="G362" s="7" t="n"/>
      <c r="H362" s="39" t="n"/>
      <c r="I362" s="39" t="n"/>
      <c r="J362" s="39" t="n"/>
      <c r="K362" s="39" t="n"/>
      <c r="L362" s="39" t="n"/>
      <c r="M362" s="7" t="n"/>
      <c r="N362" s="7" t="n"/>
      <c r="O362" s="40" t="n"/>
      <c r="P362" s="40" t="n"/>
      <c r="Q362" s="40" t="n"/>
      <c r="R362" s="40" t="n"/>
      <c r="S362" s="40" t="n"/>
      <c r="T362" s="40" t="n"/>
      <c r="U362" s="40" t="n"/>
      <c r="V362" s="40" t="n"/>
      <c r="W362" s="40" t="n"/>
      <c r="X362" s="40" t="n"/>
      <c r="Y362" s="40" t="n"/>
      <c r="Z362" s="40" t="n"/>
      <c r="AA362" s="39" t="n"/>
    </row>
    <row r="363">
      <c r="A363" s="7" t="n"/>
      <c r="B363" s="7" t="n"/>
      <c r="C363" s="39" t="n"/>
      <c r="D363" s="39" t="n"/>
      <c r="E363" s="7" t="n"/>
      <c r="F363" s="7" t="n"/>
      <c r="G363" s="7" t="n"/>
      <c r="H363" s="39" t="n"/>
      <c r="I363" s="39" t="n"/>
      <c r="J363" s="39" t="n"/>
      <c r="K363" s="39" t="n"/>
      <c r="L363" s="39" t="n"/>
      <c r="M363" s="7" t="n"/>
      <c r="N363" s="7" t="n"/>
      <c r="O363" s="40" t="n"/>
      <c r="P363" s="40" t="n"/>
      <c r="Q363" s="40" t="n"/>
      <c r="R363" s="40" t="n"/>
      <c r="S363" s="40" t="n"/>
      <c r="T363" s="40" t="n"/>
      <c r="U363" s="40" t="n"/>
      <c r="V363" s="40" t="n"/>
      <c r="W363" s="40" t="n"/>
      <c r="X363" s="40" t="n"/>
      <c r="Y363" s="40" t="n"/>
      <c r="Z363" s="40" t="n"/>
      <c r="AA363" s="39" t="n"/>
    </row>
    <row r="364">
      <c r="A364" s="7" t="n"/>
      <c r="B364" s="7" t="n"/>
      <c r="C364" s="39" t="n"/>
      <c r="D364" s="39" t="n"/>
      <c r="E364" s="7" t="n"/>
      <c r="F364" s="7" t="n"/>
      <c r="G364" s="7" t="n"/>
      <c r="H364" s="39" t="n"/>
      <c r="I364" s="39" t="n"/>
      <c r="J364" s="39" t="n"/>
      <c r="K364" s="39" t="n"/>
      <c r="L364" s="39" t="n"/>
      <c r="M364" s="7" t="n"/>
      <c r="N364" s="7" t="n"/>
      <c r="O364" s="40" t="n"/>
      <c r="P364" s="40" t="n"/>
      <c r="Q364" s="40" t="n"/>
      <c r="R364" s="40" t="n"/>
      <c r="S364" s="40" t="n"/>
      <c r="T364" s="40" t="n"/>
      <c r="U364" s="40" t="n"/>
      <c r="V364" s="40" t="n"/>
      <c r="W364" s="40" t="n"/>
      <c r="X364" s="40" t="n"/>
      <c r="Y364" s="40" t="n"/>
      <c r="Z364" s="40" t="n"/>
      <c r="AA364" s="39" t="n"/>
    </row>
    <row r="365">
      <c r="A365" s="7" t="n"/>
      <c r="B365" s="7" t="n"/>
      <c r="C365" s="39" t="n"/>
      <c r="D365" s="39" t="n"/>
      <c r="E365" s="7" t="n"/>
      <c r="F365" s="7" t="n"/>
      <c r="G365" s="7" t="n"/>
      <c r="H365" s="39" t="n"/>
      <c r="I365" s="39" t="n"/>
      <c r="J365" s="39" t="n"/>
      <c r="K365" s="39" t="n"/>
      <c r="L365" s="39" t="n"/>
      <c r="M365" s="7" t="n"/>
      <c r="N365" s="7" t="n"/>
      <c r="O365" s="40" t="n"/>
      <c r="P365" s="40" t="n"/>
      <c r="Q365" s="40" t="n"/>
      <c r="R365" s="40" t="n"/>
      <c r="S365" s="40" t="n"/>
      <c r="T365" s="40" t="n"/>
      <c r="U365" s="40" t="n"/>
      <c r="V365" s="40" t="n"/>
      <c r="W365" s="40" t="n"/>
      <c r="X365" s="40" t="n"/>
      <c r="Y365" s="40" t="n"/>
      <c r="Z365" s="40" t="n"/>
      <c r="AA365" s="39" t="n"/>
    </row>
    <row r="366">
      <c r="A366" s="7" t="n"/>
      <c r="B366" s="7" t="n"/>
      <c r="C366" s="39" t="n"/>
      <c r="D366" s="39" t="n"/>
      <c r="E366" s="7" t="n"/>
      <c r="F366" s="7" t="n"/>
      <c r="G366" s="7" t="n"/>
      <c r="H366" s="39" t="n"/>
      <c r="I366" s="39" t="n"/>
      <c r="J366" s="39" t="n"/>
      <c r="K366" s="39" t="n"/>
      <c r="L366" s="39" t="n"/>
      <c r="M366" s="7" t="n"/>
      <c r="N366" s="7" t="n"/>
      <c r="O366" s="40" t="n"/>
      <c r="P366" s="40" t="n"/>
      <c r="Q366" s="40" t="n"/>
      <c r="R366" s="40" t="n"/>
      <c r="S366" s="40" t="n"/>
      <c r="T366" s="40" t="n"/>
      <c r="U366" s="40" t="n"/>
      <c r="V366" s="40" t="n"/>
      <c r="W366" s="40" t="n"/>
      <c r="X366" s="40" t="n"/>
      <c r="Y366" s="40" t="n"/>
      <c r="Z366" s="40" t="n"/>
      <c r="AA366" s="39" t="n"/>
    </row>
    <row r="367">
      <c r="A367" s="7" t="n"/>
      <c r="B367" s="7" t="n"/>
      <c r="C367" s="39" t="n"/>
      <c r="D367" s="39" t="n"/>
      <c r="E367" s="7" t="n"/>
      <c r="F367" s="7" t="n"/>
      <c r="G367" s="7" t="n"/>
      <c r="H367" s="39" t="n"/>
      <c r="I367" s="39" t="n"/>
      <c r="J367" s="39" t="n"/>
      <c r="K367" s="39" t="n"/>
      <c r="L367" s="39" t="n"/>
      <c r="M367" s="7" t="n"/>
      <c r="N367" s="7" t="n"/>
      <c r="O367" s="40" t="n"/>
      <c r="P367" s="40" t="n"/>
      <c r="Q367" s="40" t="n"/>
      <c r="R367" s="40" t="n"/>
      <c r="S367" s="40" t="n"/>
      <c r="T367" s="40" t="n"/>
      <c r="U367" s="40" t="n"/>
      <c r="V367" s="40" t="n"/>
      <c r="W367" s="40" t="n"/>
      <c r="X367" s="40" t="n"/>
      <c r="Y367" s="40" t="n"/>
      <c r="Z367" s="40" t="n"/>
      <c r="AA367" s="39" t="n"/>
    </row>
    <row r="368">
      <c r="A368" s="7" t="n"/>
      <c r="B368" s="7" t="n"/>
      <c r="C368" s="39" t="n"/>
      <c r="D368" s="39" t="n"/>
      <c r="E368" s="7" t="n"/>
      <c r="F368" s="7" t="n"/>
      <c r="G368" s="7" t="n"/>
      <c r="H368" s="39" t="n"/>
      <c r="I368" s="39" t="n"/>
      <c r="J368" s="39" t="n"/>
      <c r="K368" s="39" t="n"/>
      <c r="L368" s="39" t="n"/>
      <c r="M368" s="7" t="n"/>
      <c r="N368" s="7" t="n"/>
      <c r="O368" s="40" t="n"/>
      <c r="P368" s="40" t="n"/>
      <c r="Q368" s="40" t="n"/>
      <c r="R368" s="40" t="n"/>
      <c r="S368" s="40" t="n"/>
      <c r="T368" s="40" t="n"/>
      <c r="U368" s="40" t="n"/>
      <c r="V368" s="40" t="n"/>
      <c r="W368" s="40" t="n"/>
      <c r="X368" s="40" t="n"/>
      <c r="Y368" s="40" t="n"/>
      <c r="Z368" s="40" t="n"/>
      <c r="AA368" s="39" t="n"/>
    </row>
    <row r="369">
      <c r="A369" s="7" t="n"/>
      <c r="B369" s="7" t="n"/>
      <c r="C369" s="39" t="n"/>
      <c r="D369" s="39" t="n"/>
      <c r="E369" s="7" t="n"/>
      <c r="F369" s="7" t="n"/>
      <c r="G369" s="7" t="n"/>
      <c r="H369" s="39" t="n"/>
      <c r="I369" s="39" t="n"/>
      <c r="J369" s="39" t="n"/>
      <c r="K369" s="39" t="n"/>
      <c r="L369" s="39" t="n"/>
      <c r="M369" s="7" t="n"/>
      <c r="N369" s="7" t="n"/>
      <c r="O369" s="40" t="n"/>
      <c r="P369" s="40" t="n"/>
      <c r="Q369" s="40" t="n"/>
      <c r="R369" s="40" t="n"/>
      <c r="S369" s="40" t="n"/>
      <c r="T369" s="40" t="n"/>
      <c r="U369" s="40" t="n"/>
      <c r="V369" s="40" t="n"/>
      <c r="W369" s="40" t="n"/>
      <c r="X369" s="40" t="n"/>
      <c r="Y369" s="40" t="n"/>
      <c r="Z369" s="40" t="n"/>
      <c r="AA369" s="39" t="n"/>
    </row>
    <row r="370">
      <c r="A370" s="7" t="n"/>
      <c r="B370" s="7" t="n"/>
      <c r="C370" s="39" t="n"/>
      <c r="D370" s="39" t="n"/>
      <c r="E370" s="7" t="n"/>
      <c r="F370" s="7" t="n"/>
      <c r="G370" s="7" t="n"/>
      <c r="H370" s="39" t="n"/>
      <c r="I370" s="39" t="n"/>
      <c r="J370" s="39" t="n"/>
      <c r="K370" s="39" t="n"/>
      <c r="L370" s="39" t="n"/>
      <c r="M370" s="7" t="n"/>
      <c r="N370" s="7" t="n"/>
      <c r="O370" s="40" t="n"/>
      <c r="P370" s="40" t="n"/>
      <c r="Q370" s="40" t="n"/>
      <c r="R370" s="40" t="n"/>
      <c r="S370" s="40" t="n"/>
      <c r="T370" s="40" t="n"/>
      <c r="U370" s="40" t="n"/>
      <c r="V370" s="40" t="n"/>
      <c r="W370" s="40" t="n"/>
      <c r="X370" s="40" t="n"/>
      <c r="Y370" s="40" t="n"/>
      <c r="Z370" s="40" t="n"/>
      <c r="AA370" s="39" t="n"/>
    </row>
    <row r="371">
      <c r="A371" s="7" t="n"/>
      <c r="B371" s="7" t="n"/>
      <c r="C371" s="39" t="n"/>
      <c r="D371" s="39" t="n"/>
      <c r="E371" s="7" t="n"/>
      <c r="F371" s="7" t="n"/>
      <c r="G371" s="7" t="n"/>
      <c r="H371" s="39" t="n"/>
      <c r="I371" s="39" t="n"/>
      <c r="J371" s="39" t="n"/>
      <c r="K371" s="39" t="n"/>
      <c r="L371" s="39" t="n"/>
      <c r="M371" s="7" t="n"/>
      <c r="N371" s="7" t="n"/>
      <c r="O371" s="40" t="n"/>
      <c r="P371" s="40" t="n"/>
      <c r="Q371" s="40" t="n"/>
      <c r="R371" s="40" t="n"/>
      <c r="S371" s="40" t="n"/>
      <c r="T371" s="40" t="n"/>
      <c r="U371" s="40" t="n"/>
      <c r="V371" s="40" t="n"/>
      <c r="W371" s="40" t="n"/>
      <c r="X371" s="40" t="n"/>
      <c r="Y371" s="40" t="n"/>
      <c r="Z371" s="40" t="n"/>
      <c r="AA371" s="39" t="n"/>
    </row>
    <row r="372">
      <c r="A372" s="7" t="n"/>
      <c r="B372" s="7" t="n"/>
      <c r="C372" s="39" t="n"/>
      <c r="D372" s="39" t="n"/>
      <c r="E372" s="7" t="n"/>
      <c r="F372" s="7" t="n"/>
      <c r="G372" s="7" t="n"/>
      <c r="H372" s="39" t="n"/>
      <c r="I372" s="39" t="n"/>
      <c r="J372" s="39" t="n"/>
      <c r="K372" s="39" t="n"/>
      <c r="L372" s="39" t="n"/>
      <c r="M372" s="7" t="n"/>
      <c r="N372" s="7" t="n"/>
      <c r="O372" s="40" t="n"/>
      <c r="P372" s="40" t="n"/>
      <c r="Q372" s="40" t="n"/>
      <c r="R372" s="40" t="n"/>
      <c r="S372" s="40" t="n"/>
      <c r="T372" s="40" t="n"/>
      <c r="U372" s="40" t="n"/>
      <c r="V372" s="40" t="n"/>
      <c r="W372" s="40" t="n"/>
      <c r="X372" s="40" t="n"/>
      <c r="Y372" s="40" t="n"/>
      <c r="Z372" s="40" t="n"/>
      <c r="AA372" s="39" t="n"/>
    </row>
    <row r="373">
      <c r="A373" s="7" t="n"/>
      <c r="B373" s="7" t="n"/>
      <c r="C373" s="39" t="n"/>
      <c r="D373" s="39" t="n"/>
      <c r="E373" s="7" t="n"/>
      <c r="F373" s="7" t="n"/>
      <c r="G373" s="7" t="n"/>
      <c r="H373" s="39" t="n"/>
      <c r="I373" s="39" t="n"/>
      <c r="J373" s="39" t="n"/>
      <c r="K373" s="39" t="n"/>
      <c r="L373" s="39" t="n"/>
      <c r="M373" s="7" t="n"/>
      <c r="N373" s="7" t="n"/>
      <c r="O373" s="40" t="n"/>
      <c r="P373" s="40" t="n"/>
      <c r="Q373" s="40" t="n"/>
      <c r="R373" s="40" t="n"/>
      <c r="S373" s="40" t="n"/>
      <c r="T373" s="40" t="n"/>
      <c r="U373" s="40" t="n"/>
      <c r="V373" s="40" t="n"/>
      <c r="W373" s="40" t="n"/>
      <c r="X373" s="40" t="n"/>
      <c r="Y373" s="40" t="n"/>
      <c r="Z373" s="40" t="n"/>
      <c r="AA373" s="39" t="n"/>
    </row>
    <row r="374">
      <c r="A374" s="7" t="n"/>
      <c r="B374" s="7" t="n"/>
      <c r="C374" s="39" t="n"/>
      <c r="D374" s="39" t="n"/>
      <c r="E374" s="7" t="n"/>
      <c r="F374" s="7" t="n"/>
      <c r="G374" s="7" t="n"/>
      <c r="H374" s="39" t="n"/>
      <c r="I374" s="39" t="n"/>
      <c r="J374" s="39" t="n"/>
      <c r="K374" s="39" t="n"/>
      <c r="L374" s="39" t="n"/>
      <c r="M374" s="7" t="n"/>
      <c r="N374" s="7" t="n"/>
      <c r="O374" s="40" t="n"/>
      <c r="P374" s="40" t="n"/>
      <c r="Q374" s="40" t="n"/>
      <c r="R374" s="40" t="n"/>
      <c r="S374" s="40" t="n"/>
      <c r="T374" s="40" t="n"/>
      <c r="U374" s="40" t="n"/>
      <c r="V374" s="40" t="n"/>
      <c r="W374" s="40" t="n"/>
      <c r="X374" s="40" t="n"/>
      <c r="Y374" s="40" t="n"/>
      <c r="Z374" s="40" t="n"/>
      <c r="AA374" s="39" t="n"/>
    </row>
    <row r="375">
      <c r="A375" s="7" t="n"/>
      <c r="B375" s="7" t="n"/>
      <c r="C375" s="39" t="n"/>
      <c r="D375" s="39" t="n"/>
      <c r="E375" s="7" t="n"/>
      <c r="F375" s="7" t="n"/>
      <c r="G375" s="7" t="n"/>
      <c r="H375" s="39" t="n"/>
      <c r="I375" s="39" t="n"/>
      <c r="J375" s="39" t="n"/>
      <c r="K375" s="39" t="n"/>
      <c r="L375" s="39" t="n"/>
      <c r="M375" s="7" t="n"/>
      <c r="N375" s="7" t="n"/>
      <c r="O375" s="40" t="n"/>
      <c r="P375" s="40" t="n"/>
      <c r="Q375" s="40" t="n"/>
      <c r="R375" s="40" t="n"/>
      <c r="S375" s="40" t="n"/>
      <c r="T375" s="40" t="n"/>
      <c r="U375" s="40" t="n"/>
      <c r="V375" s="40" t="n"/>
      <c r="W375" s="40" t="n"/>
      <c r="X375" s="40" t="n"/>
      <c r="Y375" s="40" t="n"/>
      <c r="Z375" s="40" t="n"/>
      <c r="AA375" s="39" t="n"/>
    </row>
    <row r="376">
      <c r="A376" s="7" t="n"/>
      <c r="B376" s="7" t="n"/>
      <c r="C376" s="39" t="n"/>
      <c r="D376" s="39" t="n"/>
      <c r="E376" s="7" t="n"/>
      <c r="F376" s="7" t="n"/>
      <c r="G376" s="7" t="n"/>
      <c r="H376" s="39" t="n"/>
      <c r="I376" s="39" t="n"/>
      <c r="J376" s="39" t="n"/>
      <c r="K376" s="39" t="n"/>
      <c r="L376" s="39" t="n"/>
      <c r="M376" s="7" t="n"/>
      <c r="N376" s="7" t="n"/>
      <c r="O376" s="40" t="n"/>
      <c r="P376" s="40" t="n"/>
      <c r="Q376" s="40" t="n"/>
      <c r="R376" s="40" t="n"/>
      <c r="S376" s="40" t="n"/>
      <c r="T376" s="40" t="n"/>
      <c r="U376" s="40" t="n"/>
      <c r="V376" s="40" t="n"/>
      <c r="W376" s="40" t="n"/>
      <c r="X376" s="40" t="n"/>
      <c r="Y376" s="40" t="n"/>
      <c r="Z376" s="40" t="n"/>
      <c r="AA376" s="39" t="n"/>
    </row>
    <row r="377">
      <c r="A377" s="7" t="n"/>
      <c r="B377" s="7" t="n"/>
      <c r="C377" s="39" t="n"/>
      <c r="D377" s="39" t="n"/>
      <c r="E377" s="7" t="n"/>
      <c r="F377" s="7" t="n"/>
      <c r="G377" s="7" t="n"/>
      <c r="H377" s="39" t="n"/>
      <c r="I377" s="39" t="n"/>
      <c r="J377" s="39" t="n"/>
      <c r="K377" s="39" t="n"/>
      <c r="L377" s="39" t="n"/>
      <c r="M377" s="7" t="n"/>
      <c r="N377" s="7" t="n"/>
      <c r="O377" s="40" t="n"/>
      <c r="P377" s="40" t="n"/>
      <c r="Q377" s="40" t="n"/>
      <c r="R377" s="40" t="n"/>
      <c r="S377" s="40" t="n"/>
      <c r="T377" s="40" t="n"/>
      <c r="U377" s="40" t="n"/>
      <c r="V377" s="40" t="n"/>
      <c r="W377" s="40" t="n"/>
      <c r="X377" s="40" t="n"/>
      <c r="Y377" s="40" t="n"/>
      <c r="Z377" s="40" t="n"/>
      <c r="AA377" s="39" t="n"/>
    </row>
    <row r="378">
      <c r="A378" s="7" t="n"/>
      <c r="B378" s="7" t="n"/>
      <c r="C378" s="39" t="n"/>
      <c r="D378" s="39" t="n"/>
      <c r="E378" s="7" t="n"/>
      <c r="F378" s="7" t="n"/>
      <c r="G378" s="7" t="n"/>
      <c r="H378" s="39" t="n"/>
      <c r="I378" s="39" t="n"/>
      <c r="J378" s="39" t="n"/>
      <c r="K378" s="39" t="n"/>
      <c r="L378" s="39" t="n"/>
      <c r="M378" s="7" t="n"/>
      <c r="N378" s="7" t="n"/>
      <c r="O378" s="40" t="n"/>
      <c r="P378" s="40" t="n"/>
      <c r="Q378" s="40" t="n"/>
      <c r="R378" s="40" t="n"/>
      <c r="S378" s="40" t="n"/>
      <c r="T378" s="40" t="n"/>
      <c r="U378" s="40" t="n"/>
      <c r="V378" s="40" t="n"/>
      <c r="W378" s="40" t="n"/>
      <c r="X378" s="40" t="n"/>
      <c r="Y378" s="40" t="n"/>
      <c r="Z378" s="40" t="n"/>
      <c r="AA378" s="39" t="n"/>
    </row>
    <row r="379">
      <c r="A379" s="7" t="n"/>
      <c r="B379" s="7" t="n"/>
      <c r="C379" s="39" t="n"/>
      <c r="D379" s="39" t="n"/>
      <c r="E379" s="7" t="n"/>
      <c r="F379" s="7" t="n"/>
      <c r="G379" s="7" t="n"/>
      <c r="H379" s="39" t="n"/>
      <c r="I379" s="39" t="n"/>
      <c r="J379" s="39" t="n"/>
      <c r="K379" s="39" t="n"/>
      <c r="L379" s="39" t="n"/>
      <c r="M379" s="7" t="n"/>
      <c r="N379" s="7" t="n"/>
      <c r="O379" s="40" t="n"/>
      <c r="P379" s="40" t="n"/>
      <c r="Q379" s="40" t="n"/>
      <c r="R379" s="40" t="n"/>
      <c r="S379" s="40" t="n"/>
      <c r="T379" s="40" t="n"/>
      <c r="U379" s="40" t="n"/>
      <c r="V379" s="40" t="n"/>
      <c r="W379" s="40" t="n"/>
      <c r="X379" s="40" t="n"/>
      <c r="Y379" s="40" t="n"/>
      <c r="Z379" s="40" t="n"/>
      <c r="AA379" s="39" t="n"/>
    </row>
    <row r="380">
      <c r="A380" s="7" t="n"/>
      <c r="B380" s="7" t="n"/>
      <c r="C380" s="39" t="n"/>
      <c r="D380" s="39" t="n"/>
      <c r="E380" s="7" t="n"/>
      <c r="F380" s="7" t="n"/>
      <c r="G380" s="7" t="n"/>
      <c r="H380" s="39" t="n"/>
      <c r="I380" s="39" t="n"/>
      <c r="J380" s="39" t="n"/>
      <c r="K380" s="39" t="n"/>
      <c r="L380" s="39" t="n"/>
      <c r="M380" s="7" t="n"/>
      <c r="N380" s="7" t="n"/>
      <c r="O380" s="40" t="n"/>
      <c r="P380" s="40" t="n"/>
      <c r="Q380" s="40" t="n"/>
      <c r="R380" s="40" t="n"/>
      <c r="S380" s="40" t="n"/>
      <c r="T380" s="40" t="n"/>
      <c r="U380" s="40" t="n"/>
      <c r="V380" s="40" t="n"/>
      <c r="W380" s="40" t="n"/>
      <c r="X380" s="40" t="n"/>
      <c r="Y380" s="40" t="n"/>
      <c r="Z380" s="40" t="n"/>
      <c r="AA380" s="39" t="n"/>
    </row>
    <row r="381">
      <c r="A381" s="7" t="n"/>
      <c r="B381" s="7" t="n"/>
      <c r="C381" s="39" t="n"/>
      <c r="D381" s="39" t="n"/>
      <c r="E381" s="7" t="n"/>
      <c r="F381" s="7" t="n"/>
      <c r="G381" s="7" t="n"/>
      <c r="H381" s="39" t="n"/>
      <c r="I381" s="39" t="n"/>
      <c r="J381" s="39" t="n"/>
      <c r="K381" s="39" t="n"/>
      <c r="L381" s="39" t="n"/>
      <c r="M381" s="7" t="n"/>
      <c r="N381" s="7" t="n"/>
      <c r="O381" s="40" t="n"/>
      <c r="P381" s="40" t="n"/>
      <c r="Q381" s="40" t="n"/>
      <c r="R381" s="40" t="n"/>
      <c r="S381" s="40" t="n"/>
      <c r="T381" s="40" t="n"/>
      <c r="U381" s="40" t="n"/>
      <c r="V381" s="40" t="n"/>
      <c r="W381" s="40" t="n"/>
      <c r="X381" s="40" t="n"/>
      <c r="Y381" s="40" t="n"/>
      <c r="Z381" s="40" t="n"/>
      <c r="AA381" s="39" t="n"/>
    </row>
    <row r="382">
      <c r="A382" s="7" t="n"/>
      <c r="B382" s="7" t="n"/>
      <c r="C382" s="39" t="n"/>
      <c r="D382" s="39" t="n"/>
      <c r="E382" s="7" t="n"/>
      <c r="F382" s="7" t="n"/>
      <c r="G382" s="7" t="n"/>
      <c r="H382" s="39" t="n"/>
      <c r="I382" s="39" t="n"/>
      <c r="J382" s="39" t="n"/>
      <c r="K382" s="39" t="n"/>
      <c r="L382" s="39" t="n"/>
      <c r="M382" s="7" t="n"/>
      <c r="N382" s="7" t="n"/>
      <c r="O382" s="40" t="n"/>
      <c r="P382" s="40" t="n"/>
      <c r="Q382" s="40" t="n"/>
      <c r="R382" s="40" t="n"/>
      <c r="S382" s="40" t="n"/>
      <c r="T382" s="40" t="n"/>
      <c r="U382" s="40" t="n"/>
      <c r="V382" s="40" t="n"/>
      <c r="W382" s="40" t="n"/>
      <c r="X382" s="40" t="n"/>
      <c r="Y382" s="40" t="n"/>
      <c r="Z382" s="40" t="n"/>
      <c r="AA382" s="39" t="n"/>
    </row>
    <row r="383">
      <c r="A383" s="7" t="n"/>
      <c r="B383" s="7" t="n"/>
      <c r="C383" s="39" t="n"/>
      <c r="D383" s="39" t="n"/>
      <c r="E383" s="7" t="n"/>
      <c r="F383" s="7" t="n"/>
      <c r="G383" s="7" t="n"/>
      <c r="H383" s="39" t="n"/>
      <c r="I383" s="39" t="n"/>
      <c r="J383" s="39" t="n"/>
      <c r="K383" s="39" t="n"/>
      <c r="L383" s="39" t="n"/>
      <c r="M383" s="7" t="n"/>
      <c r="N383" s="7" t="n"/>
      <c r="O383" s="40" t="n"/>
      <c r="P383" s="40" t="n"/>
      <c r="Q383" s="40" t="n"/>
      <c r="R383" s="40" t="n"/>
      <c r="S383" s="40" t="n"/>
      <c r="T383" s="40" t="n"/>
      <c r="U383" s="40" t="n"/>
      <c r="V383" s="40" t="n"/>
      <c r="W383" s="40" t="n"/>
      <c r="X383" s="40" t="n"/>
      <c r="Y383" s="40" t="n"/>
      <c r="Z383" s="40" t="n"/>
      <c r="AA383" s="39" t="n"/>
    </row>
    <row r="384">
      <c r="A384" s="7" t="n"/>
      <c r="B384" s="7" t="n"/>
      <c r="C384" s="39" t="n"/>
      <c r="D384" s="39" t="n"/>
      <c r="E384" s="7" t="n"/>
      <c r="F384" s="7" t="n"/>
      <c r="G384" s="7" t="n"/>
      <c r="H384" s="39" t="n"/>
      <c r="I384" s="39" t="n"/>
      <c r="J384" s="39" t="n"/>
      <c r="K384" s="39" t="n"/>
      <c r="L384" s="39" t="n"/>
      <c r="M384" s="7" t="n"/>
      <c r="N384" s="7" t="n"/>
      <c r="O384" s="40" t="n"/>
      <c r="P384" s="40" t="n"/>
      <c r="Q384" s="40" t="n"/>
      <c r="R384" s="40" t="n"/>
      <c r="S384" s="40" t="n"/>
      <c r="T384" s="40" t="n"/>
      <c r="U384" s="40" t="n"/>
      <c r="V384" s="40" t="n"/>
      <c r="W384" s="40" t="n"/>
      <c r="X384" s="40" t="n"/>
      <c r="Y384" s="40" t="n"/>
      <c r="Z384" s="40" t="n"/>
      <c r="AA384" s="39" t="n"/>
    </row>
    <row r="385">
      <c r="A385" s="7" t="n"/>
      <c r="B385" s="7" t="n"/>
      <c r="C385" s="39" t="n"/>
      <c r="D385" s="39" t="n"/>
      <c r="E385" s="7" t="n"/>
      <c r="F385" s="7" t="n"/>
      <c r="G385" s="7" t="n"/>
      <c r="H385" s="39" t="n"/>
      <c r="I385" s="39" t="n"/>
      <c r="J385" s="39" t="n"/>
      <c r="K385" s="39" t="n"/>
      <c r="L385" s="39" t="n"/>
      <c r="M385" s="7" t="n"/>
      <c r="N385" s="7" t="n"/>
      <c r="O385" s="40" t="n"/>
      <c r="P385" s="40" t="n"/>
      <c r="Q385" s="40" t="n"/>
      <c r="R385" s="40" t="n"/>
      <c r="S385" s="40" t="n"/>
      <c r="T385" s="40" t="n"/>
      <c r="U385" s="40" t="n"/>
      <c r="V385" s="40" t="n"/>
      <c r="W385" s="40" t="n"/>
      <c r="X385" s="40" t="n"/>
      <c r="Y385" s="40" t="n"/>
      <c r="Z385" s="40" t="n"/>
      <c r="AA385" s="39" t="n"/>
    </row>
    <row r="386">
      <c r="A386" s="7" t="n"/>
      <c r="B386" s="7" t="n"/>
      <c r="C386" s="39" t="n"/>
      <c r="D386" s="39" t="n"/>
      <c r="E386" s="7" t="n"/>
      <c r="F386" s="7" t="n"/>
      <c r="G386" s="7" t="n"/>
      <c r="H386" s="39" t="n"/>
      <c r="I386" s="39" t="n"/>
      <c r="J386" s="39" t="n"/>
      <c r="K386" s="39" t="n"/>
      <c r="L386" s="39" t="n"/>
      <c r="M386" s="7" t="n"/>
      <c r="N386" s="7" t="n"/>
      <c r="O386" s="40" t="n"/>
      <c r="P386" s="40" t="n"/>
      <c r="Q386" s="40" t="n"/>
      <c r="R386" s="40" t="n"/>
      <c r="S386" s="40" t="n"/>
      <c r="T386" s="40" t="n"/>
      <c r="U386" s="40" t="n"/>
      <c r="V386" s="40" t="n"/>
      <c r="W386" s="40" t="n"/>
      <c r="X386" s="40" t="n"/>
      <c r="Y386" s="40" t="n"/>
      <c r="Z386" s="40" t="n"/>
      <c r="AA386" s="39" t="n"/>
    </row>
    <row r="387">
      <c r="A387" s="7" t="n"/>
      <c r="B387" s="7" t="n"/>
      <c r="C387" s="39" t="n"/>
      <c r="D387" s="39" t="n"/>
      <c r="E387" s="7" t="n"/>
      <c r="F387" s="7" t="n"/>
      <c r="G387" s="7" t="n"/>
      <c r="H387" s="39" t="n"/>
      <c r="I387" s="39" t="n"/>
      <c r="J387" s="39" t="n"/>
      <c r="K387" s="39" t="n"/>
      <c r="L387" s="39" t="n"/>
      <c r="M387" s="7" t="n"/>
      <c r="N387" s="7" t="n"/>
      <c r="O387" s="40" t="n"/>
      <c r="P387" s="40" t="n"/>
      <c r="Q387" s="40" t="n"/>
      <c r="R387" s="40" t="n"/>
      <c r="S387" s="40" t="n"/>
      <c r="T387" s="40" t="n"/>
      <c r="U387" s="40" t="n"/>
      <c r="V387" s="40" t="n"/>
      <c r="W387" s="40" t="n"/>
      <c r="X387" s="40" t="n"/>
      <c r="Y387" s="40" t="n"/>
      <c r="Z387" s="40" t="n"/>
      <c r="AA387" s="39" t="n"/>
    </row>
    <row r="388">
      <c r="A388" s="7" t="n"/>
      <c r="B388" s="7" t="n"/>
      <c r="C388" s="39" t="n"/>
      <c r="D388" s="39" t="n"/>
      <c r="E388" s="7" t="n"/>
      <c r="F388" s="7" t="n"/>
      <c r="G388" s="7" t="n"/>
      <c r="H388" s="39" t="n"/>
      <c r="I388" s="39" t="n"/>
      <c r="J388" s="39" t="n"/>
      <c r="K388" s="39" t="n"/>
      <c r="L388" s="39" t="n"/>
      <c r="M388" s="7" t="n"/>
      <c r="N388" s="7" t="n"/>
      <c r="O388" s="40" t="n"/>
      <c r="P388" s="40" t="n"/>
      <c r="Q388" s="40" t="n"/>
      <c r="R388" s="40" t="n"/>
      <c r="S388" s="40" t="n"/>
      <c r="T388" s="40" t="n"/>
      <c r="U388" s="40" t="n"/>
      <c r="V388" s="40" t="n"/>
      <c r="W388" s="40" t="n"/>
      <c r="X388" s="40" t="n"/>
      <c r="Y388" s="40" t="n"/>
      <c r="Z388" s="40" t="n"/>
      <c r="AA388" s="39" t="n"/>
    </row>
    <row r="389">
      <c r="A389" s="7" t="n"/>
      <c r="B389" s="7" t="n"/>
      <c r="C389" s="39" t="n"/>
      <c r="D389" s="39" t="n"/>
      <c r="E389" s="7" t="n"/>
      <c r="F389" s="7" t="n"/>
      <c r="G389" s="7" t="n"/>
      <c r="H389" s="39" t="n"/>
      <c r="I389" s="39" t="n"/>
      <c r="J389" s="39" t="n"/>
      <c r="K389" s="39" t="n"/>
      <c r="L389" s="39" t="n"/>
      <c r="M389" s="7" t="n"/>
      <c r="N389" s="7" t="n"/>
      <c r="O389" s="40" t="n"/>
      <c r="P389" s="40" t="n"/>
      <c r="Q389" s="40" t="n"/>
      <c r="R389" s="40" t="n"/>
      <c r="S389" s="40" t="n"/>
      <c r="T389" s="40" t="n"/>
      <c r="U389" s="40" t="n"/>
      <c r="V389" s="40" t="n"/>
      <c r="W389" s="40" t="n"/>
      <c r="X389" s="40" t="n"/>
      <c r="Y389" s="40" t="n"/>
      <c r="Z389" s="40" t="n"/>
      <c r="AA389" s="39" t="n"/>
    </row>
    <row r="390">
      <c r="A390" s="7" t="n"/>
      <c r="B390" s="7" t="n"/>
      <c r="C390" s="39" t="n"/>
      <c r="D390" s="39" t="n"/>
      <c r="E390" s="7" t="n"/>
      <c r="F390" s="7" t="n"/>
      <c r="G390" s="7" t="n"/>
      <c r="H390" s="39" t="n"/>
      <c r="I390" s="39" t="n"/>
      <c r="J390" s="39" t="n"/>
      <c r="K390" s="39" t="n"/>
      <c r="L390" s="39" t="n"/>
      <c r="M390" s="7" t="n"/>
      <c r="N390" s="7" t="n"/>
      <c r="O390" s="40" t="n"/>
      <c r="P390" s="40" t="n"/>
      <c r="Q390" s="40" t="n"/>
      <c r="R390" s="40" t="n"/>
      <c r="S390" s="40" t="n"/>
      <c r="T390" s="40" t="n"/>
      <c r="U390" s="40" t="n"/>
      <c r="V390" s="40" t="n"/>
      <c r="W390" s="40" t="n"/>
      <c r="X390" s="40" t="n"/>
      <c r="Y390" s="40" t="n"/>
      <c r="Z390" s="40" t="n"/>
      <c r="AA390" s="39" t="n"/>
    </row>
    <row r="391">
      <c r="A391" s="7" t="n"/>
      <c r="B391" s="7" t="n"/>
      <c r="C391" s="39" t="n"/>
      <c r="D391" s="39" t="n"/>
      <c r="E391" s="7" t="n"/>
      <c r="F391" s="7" t="n"/>
      <c r="G391" s="7" t="n"/>
      <c r="H391" s="39" t="n"/>
      <c r="I391" s="39" t="n"/>
      <c r="J391" s="39" t="n"/>
      <c r="K391" s="39" t="n"/>
      <c r="L391" s="39" t="n"/>
      <c r="M391" s="7" t="n"/>
      <c r="N391" s="7" t="n"/>
      <c r="O391" s="40" t="n"/>
      <c r="P391" s="40" t="n"/>
      <c r="Q391" s="40" t="n"/>
      <c r="R391" s="40" t="n"/>
      <c r="S391" s="40" t="n"/>
      <c r="T391" s="40" t="n"/>
      <c r="U391" s="40" t="n"/>
      <c r="V391" s="40" t="n"/>
      <c r="W391" s="40" t="n"/>
      <c r="X391" s="40" t="n"/>
      <c r="Y391" s="40" t="n"/>
      <c r="Z391" s="40" t="n"/>
      <c r="AA391" s="39" t="n"/>
    </row>
    <row r="392">
      <c r="A392" s="7" t="n"/>
      <c r="B392" s="7" t="n"/>
      <c r="C392" s="39" t="n"/>
      <c r="D392" s="39" t="n"/>
      <c r="E392" s="7" t="n"/>
      <c r="F392" s="7" t="n"/>
      <c r="G392" s="7" t="n"/>
      <c r="H392" s="39" t="n"/>
      <c r="I392" s="39" t="n"/>
      <c r="J392" s="39" t="n"/>
      <c r="K392" s="39" t="n"/>
      <c r="L392" s="39" t="n"/>
      <c r="M392" s="7" t="n"/>
      <c r="N392" s="7" t="n"/>
      <c r="O392" s="40" t="n"/>
      <c r="P392" s="40" t="n"/>
      <c r="Q392" s="40" t="n"/>
      <c r="R392" s="40" t="n"/>
      <c r="S392" s="40" t="n"/>
      <c r="T392" s="40" t="n"/>
      <c r="U392" s="40" t="n"/>
      <c r="V392" s="40" t="n"/>
      <c r="W392" s="40" t="n"/>
      <c r="X392" s="40" t="n"/>
      <c r="Y392" s="40" t="n"/>
      <c r="Z392" s="40" t="n"/>
      <c r="AA392" s="39" t="n"/>
    </row>
    <row r="393">
      <c r="A393" s="7" t="n"/>
      <c r="B393" s="7" t="n"/>
      <c r="C393" s="39" t="n"/>
      <c r="D393" s="39" t="n"/>
      <c r="E393" s="7" t="n"/>
      <c r="F393" s="7" t="n"/>
      <c r="G393" s="7" t="n"/>
      <c r="H393" s="39" t="n"/>
      <c r="I393" s="39" t="n"/>
      <c r="J393" s="39" t="n"/>
      <c r="K393" s="39" t="n"/>
      <c r="L393" s="39" t="n"/>
      <c r="M393" s="7" t="n"/>
      <c r="N393" s="7" t="n"/>
      <c r="O393" s="40" t="n"/>
      <c r="P393" s="40" t="n"/>
      <c r="Q393" s="40" t="n"/>
      <c r="R393" s="40" t="n"/>
      <c r="S393" s="40" t="n"/>
      <c r="T393" s="40" t="n"/>
      <c r="U393" s="40" t="n"/>
      <c r="V393" s="40" t="n"/>
      <c r="W393" s="40" t="n"/>
      <c r="X393" s="40" t="n"/>
      <c r="Y393" s="40" t="n"/>
      <c r="Z393" s="40" t="n"/>
      <c r="AA393" s="39" t="n"/>
    </row>
    <row r="394">
      <c r="A394" s="7" t="n"/>
      <c r="B394" s="7" t="n"/>
      <c r="C394" s="39" t="n"/>
      <c r="D394" s="39" t="n"/>
      <c r="E394" s="7" t="n"/>
      <c r="F394" s="7" t="n"/>
      <c r="G394" s="7" t="n"/>
      <c r="H394" s="39" t="n"/>
      <c r="I394" s="39" t="n"/>
      <c r="J394" s="39" t="n"/>
      <c r="K394" s="39" t="n"/>
      <c r="L394" s="39" t="n"/>
      <c r="M394" s="7" t="n"/>
      <c r="N394" s="7" t="n"/>
      <c r="O394" s="40" t="n"/>
      <c r="P394" s="40" t="n"/>
      <c r="Q394" s="40" t="n"/>
      <c r="R394" s="40" t="n"/>
      <c r="S394" s="40" t="n"/>
      <c r="T394" s="40" t="n"/>
      <c r="U394" s="40" t="n"/>
      <c r="V394" s="40" t="n"/>
      <c r="W394" s="40" t="n"/>
      <c r="X394" s="40" t="n"/>
      <c r="Y394" s="40" t="n"/>
      <c r="Z394" s="40" t="n"/>
      <c r="AA394" s="39" t="n"/>
    </row>
    <row r="395">
      <c r="A395" s="7" t="n"/>
      <c r="B395" s="7" t="n"/>
      <c r="C395" s="39" t="n"/>
      <c r="D395" s="39" t="n"/>
      <c r="E395" s="7" t="n"/>
      <c r="F395" s="7" t="n"/>
      <c r="G395" s="7" t="n"/>
      <c r="H395" s="39" t="n"/>
      <c r="I395" s="39" t="n"/>
      <c r="J395" s="39" t="n"/>
      <c r="K395" s="39" t="n"/>
      <c r="L395" s="39" t="n"/>
      <c r="M395" s="7" t="n"/>
      <c r="N395" s="7" t="n"/>
      <c r="O395" s="40" t="n"/>
      <c r="P395" s="40" t="n"/>
      <c r="Q395" s="40" t="n"/>
      <c r="R395" s="40" t="n"/>
      <c r="S395" s="40" t="n"/>
      <c r="T395" s="40" t="n"/>
      <c r="U395" s="40" t="n"/>
      <c r="V395" s="40" t="n"/>
      <c r="W395" s="40" t="n"/>
      <c r="X395" s="40" t="n"/>
      <c r="Y395" s="40" t="n"/>
      <c r="Z395" s="40" t="n"/>
      <c r="AA395" s="39" t="n"/>
    </row>
    <row r="396">
      <c r="A396" s="7" t="n"/>
      <c r="B396" s="7" t="n"/>
      <c r="C396" s="39" t="n"/>
      <c r="D396" s="39" t="n"/>
      <c r="E396" s="7" t="n"/>
      <c r="F396" s="7" t="n"/>
      <c r="G396" s="7" t="n"/>
      <c r="H396" s="39" t="n"/>
      <c r="I396" s="39" t="n"/>
      <c r="J396" s="39" t="n"/>
      <c r="K396" s="39" t="n"/>
      <c r="L396" s="39" t="n"/>
      <c r="M396" s="7" t="n"/>
      <c r="N396" s="7" t="n"/>
      <c r="O396" s="40" t="n"/>
      <c r="P396" s="40" t="n"/>
      <c r="Q396" s="40" t="n"/>
      <c r="R396" s="40" t="n"/>
      <c r="S396" s="40" t="n"/>
      <c r="T396" s="40" t="n"/>
      <c r="U396" s="40" t="n"/>
      <c r="V396" s="40" t="n"/>
      <c r="W396" s="40" t="n"/>
      <c r="X396" s="40" t="n"/>
      <c r="Y396" s="40" t="n"/>
      <c r="Z396" s="40" t="n"/>
      <c r="AA396" s="39" t="n"/>
    </row>
    <row r="397">
      <c r="A397" s="7" t="n"/>
      <c r="B397" s="7" t="n"/>
      <c r="C397" s="39" t="n"/>
      <c r="D397" s="39" t="n"/>
      <c r="E397" s="7" t="n"/>
      <c r="F397" s="7" t="n"/>
      <c r="G397" s="7" t="n"/>
      <c r="H397" s="39" t="n"/>
      <c r="I397" s="39" t="n"/>
      <c r="J397" s="39" t="n"/>
      <c r="K397" s="39" t="n"/>
      <c r="L397" s="39" t="n"/>
      <c r="M397" s="7" t="n"/>
      <c r="N397" s="7" t="n"/>
      <c r="O397" s="40" t="n"/>
      <c r="P397" s="40" t="n"/>
      <c r="Q397" s="40" t="n"/>
      <c r="R397" s="40" t="n"/>
      <c r="S397" s="40" t="n"/>
      <c r="T397" s="40" t="n"/>
      <c r="U397" s="40" t="n"/>
      <c r="V397" s="40" t="n"/>
      <c r="W397" s="40" t="n"/>
      <c r="X397" s="40" t="n"/>
      <c r="Y397" s="40" t="n"/>
      <c r="Z397" s="40" t="n"/>
      <c r="AA397" s="39" t="n"/>
    </row>
    <row r="398">
      <c r="A398" s="7" t="n"/>
      <c r="B398" s="7" t="n"/>
      <c r="C398" s="39" t="n"/>
      <c r="D398" s="39" t="n"/>
      <c r="E398" s="7" t="n"/>
      <c r="F398" s="7" t="n"/>
      <c r="G398" s="7" t="n"/>
      <c r="H398" s="39" t="n"/>
      <c r="I398" s="39" t="n"/>
      <c r="J398" s="39" t="n"/>
      <c r="K398" s="39" t="n"/>
      <c r="L398" s="39" t="n"/>
      <c r="M398" s="7" t="n"/>
      <c r="N398" s="7" t="n"/>
      <c r="O398" s="40" t="n"/>
      <c r="P398" s="40" t="n"/>
      <c r="Q398" s="40" t="n"/>
      <c r="R398" s="40" t="n"/>
      <c r="S398" s="40" t="n"/>
      <c r="T398" s="40" t="n"/>
      <c r="U398" s="40" t="n"/>
      <c r="V398" s="40" t="n"/>
      <c r="W398" s="40" t="n"/>
      <c r="X398" s="40" t="n"/>
      <c r="Y398" s="40" t="n"/>
      <c r="Z398" s="40" t="n"/>
      <c r="AA398" s="39" t="n"/>
    </row>
    <row r="399">
      <c r="A399" s="7" t="n"/>
      <c r="B399" s="7" t="n"/>
      <c r="C399" s="39" t="n"/>
      <c r="D399" s="39" t="n"/>
      <c r="E399" s="7" t="n"/>
      <c r="F399" s="7" t="n"/>
      <c r="G399" s="7" t="n"/>
      <c r="H399" s="39" t="n"/>
      <c r="I399" s="39" t="n"/>
      <c r="J399" s="39" t="n"/>
      <c r="K399" s="39" t="n"/>
      <c r="L399" s="39" t="n"/>
      <c r="M399" s="7" t="n"/>
      <c r="N399" s="7" t="n"/>
      <c r="O399" s="40" t="n"/>
      <c r="P399" s="40" t="n"/>
      <c r="Q399" s="40" t="n"/>
      <c r="R399" s="40" t="n"/>
      <c r="S399" s="40" t="n"/>
      <c r="T399" s="40" t="n"/>
      <c r="U399" s="40" t="n"/>
      <c r="V399" s="40" t="n"/>
      <c r="W399" s="40" t="n"/>
      <c r="X399" s="40" t="n"/>
      <c r="Y399" s="40" t="n"/>
      <c r="Z399" s="40" t="n"/>
      <c r="AA399" s="39" t="n"/>
    </row>
    <row r="400">
      <c r="A400" s="7" t="n"/>
      <c r="B400" s="7" t="n"/>
      <c r="C400" s="39" t="n"/>
      <c r="D400" s="39" t="n"/>
      <c r="E400" s="7" t="n"/>
      <c r="F400" s="7" t="n"/>
      <c r="G400" s="7" t="n"/>
      <c r="H400" s="39" t="n"/>
      <c r="I400" s="39" t="n"/>
      <c r="J400" s="39" t="n"/>
      <c r="K400" s="39" t="n"/>
      <c r="L400" s="39" t="n"/>
      <c r="M400" s="7" t="n"/>
      <c r="N400" s="7" t="n"/>
      <c r="O400" s="40" t="n"/>
      <c r="P400" s="40" t="n"/>
      <c r="Q400" s="40" t="n"/>
      <c r="R400" s="40" t="n"/>
      <c r="S400" s="40" t="n"/>
      <c r="T400" s="40" t="n"/>
      <c r="U400" s="40" t="n"/>
      <c r="V400" s="40" t="n"/>
      <c r="W400" s="40" t="n"/>
      <c r="X400" s="40" t="n"/>
      <c r="Y400" s="40" t="n"/>
      <c r="Z400" s="40" t="n"/>
      <c r="AA400" s="39" t="n"/>
    </row>
    <row r="401">
      <c r="A401" s="7" t="n"/>
      <c r="B401" s="7" t="n"/>
      <c r="C401" s="39" t="n"/>
      <c r="D401" s="39" t="n"/>
      <c r="E401" s="7" t="n"/>
      <c r="F401" s="7" t="n"/>
      <c r="G401" s="7" t="n"/>
      <c r="H401" s="39" t="n"/>
      <c r="I401" s="39" t="n"/>
      <c r="J401" s="39" t="n"/>
      <c r="K401" s="39" t="n"/>
      <c r="L401" s="39" t="n"/>
      <c r="M401" s="7" t="n"/>
      <c r="N401" s="7" t="n"/>
      <c r="O401" s="40" t="n"/>
      <c r="P401" s="40" t="n"/>
      <c r="Q401" s="40" t="n"/>
      <c r="R401" s="40" t="n"/>
      <c r="S401" s="40" t="n"/>
      <c r="T401" s="40" t="n"/>
      <c r="U401" s="40" t="n"/>
      <c r="V401" s="40" t="n"/>
      <c r="W401" s="40" t="n"/>
      <c r="X401" s="40" t="n"/>
      <c r="Y401" s="40" t="n"/>
      <c r="Z401" s="40" t="n"/>
      <c r="AA401" s="39" t="n"/>
    </row>
    <row r="402">
      <c r="A402" s="7" t="n"/>
      <c r="B402" s="7" t="n"/>
      <c r="C402" s="39" t="n"/>
      <c r="D402" s="39" t="n"/>
      <c r="E402" s="7" t="n"/>
      <c r="F402" s="7" t="n"/>
      <c r="G402" s="7" t="n"/>
      <c r="H402" s="39" t="n"/>
      <c r="I402" s="39" t="n"/>
      <c r="J402" s="39" t="n"/>
      <c r="K402" s="39" t="n"/>
      <c r="L402" s="39" t="n"/>
      <c r="M402" s="7" t="n"/>
      <c r="N402" s="7" t="n"/>
      <c r="O402" s="40" t="n"/>
      <c r="P402" s="40" t="n"/>
      <c r="Q402" s="40" t="n"/>
      <c r="R402" s="40" t="n"/>
      <c r="S402" s="40" t="n"/>
      <c r="T402" s="40" t="n"/>
      <c r="U402" s="40" t="n"/>
      <c r="V402" s="40" t="n"/>
      <c r="W402" s="40" t="n"/>
      <c r="X402" s="40" t="n"/>
      <c r="Y402" s="40" t="n"/>
      <c r="Z402" s="40" t="n"/>
      <c r="AA402" s="39" t="n"/>
    </row>
    <row r="403">
      <c r="A403" s="7" t="n"/>
      <c r="B403" s="7" t="n"/>
      <c r="C403" s="39" t="n"/>
      <c r="D403" s="39" t="n"/>
      <c r="E403" s="7" t="n"/>
      <c r="F403" s="7" t="n"/>
      <c r="G403" s="7" t="n"/>
      <c r="H403" s="39" t="n"/>
      <c r="I403" s="39" t="n"/>
      <c r="J403" s="39" t="n"/>
      <c r="K403" s="39" t="n"/>
      <c r="L403" s="39" t="n"/>
      <c r="M403" s="7" t="n"/>
      <c r="N403" s="7" t="n"/>
      <c r="O403" s="40" t="n"/>
      <c r="P403" s="40" t="n"/>
      <c r="Q403" s="40" t="n"/>
      <c r="R403" s="40" t="n"/>
      <c r="S403" s="40" t="n"/>
      <c r="T403" s="40" t="n"/>
      <c r="U403" s="40" t="n"/>
      <c r="V403" s="40" t="n"/>
      <c r="W403" s="40" t="n"/>
      <c r="X403" s="40" t="n"/>
      <c r="Y403" s="40" t="n"/>
      <c r="Z403" s="40" t="n"/>
      <c r="AA403" s="39" t="n"/>
    </row>
    <row r="404">
      <c r="A404" s="7" t="n"/>
      <c r="B404" s="7" t="n"/>
      <c r="C404" s="39" t="n"/>
      <c r="D404" s="39" t="n"/>
      <c r="E404" s="7" t="n"/>
      <c r="F404" s="7" t="n"/>
      <c r="G404" s="7" t="n"/>
      <c r="H404" s="39" t="n"/>
      <c r="I404" s="39" t="n"/>
      <c r="J404" s="39" t="n"/>
      <c r="K404" s="39" t="n"/>
      <c r="L404" s="39" t="n"/>
      <c r="M404" s="7" t="n"/>
      <c r="N404" s="7" t="n"/>
      <c r="O404" s="40" t="n"/>
      <c r="P404" s="40" t="n"/>
      <c r="Q404" s="40" t="n"/>
      <c r="R404" s="40" t="n"/>
      <c r="S404" s="40" t="n"/>
      <c r="T404" s="40" t="n"/>
      <c r="U404" s="40" t="n"/>
      <c r="V404" s="40" t="n"/>
      <c r="W404" s="40" t="n"/>
      <c r="X404" s="40" t="n"/>
      <c r="Y404" s="40" t="n"/>
      <c r="Z404" s="40" t="n"/>
      <c r="AA404" s="39" t="n"/>
    </row>
    <row r="405">
      <c r="A405" s="7" t="n"/>
      <c r="B405" s="7" t="n"/>
      <c r="C405" s="39" t="n"/>
      <c r="D405" s="39" t="n"/>
      <c r="E405" s="7" t="n"/>
      <c r="F405" s="7" t="n"/>
      <c r="G405" s="7" t="n"/>
      <c r="H405" s="39" t="n"/>
      <c r="I405" s="39" t="n"/>
      <c r="J405" s="39" t="n"/>
      <c r="K405" s="39" t="n"/>
      <c r="L405" s="39" t="n"/>
      <c r="M405" s="7" t="n"/>
      <c r="N405" s="7" t="n"/>
      <c r="O405" s="40" t="n"/>
      <c r="P405" s="40" t="n"/>
      <c r="Q405" s="40" t="n"/>
      <c r="R405" s="40" t="n"/>
      <c r="S405" s="40" t="n"/>
      <c r="T405" s="40" t="n"/>
      <c r="U405" s="40" t="n"/>
      <c r="V405" s="40" t="n"/>
      <c r="W405" s="40" t="n"/>
      <c r="X405" s="40" t="n"/>
      <c r="Y405" s="40" t="n"/>
      <c r="Z405" s="40" t="n"/>
      <c r="AA405" s="39" t="n"/>
    </row>
    <row r="406">
      <c r="A406" s="7" t="n"/>
      <c r="B406" s="7" t="n"/>
      <c r="C406" s="39" t="n"/>
      <c r="D406" s="39" t="n"/>
      <c r="E406" s="7" t="n"/>
      <c r="F406" s="7" t="n"/>
      <c r="G406" s="7" t="n"/>
      <c r="H406" s="39" t="n"/>
      <c r="I406" s="39" t="n"/>
      <c r="J406" s="39" t="n"/>
      <c r="K406" s="39" t="n"/>
      <c r="L406" s="39" t="n"/>
      <c r="M406" s="7" t="n"/>
      <c r="N406" s="7" t="n"/>
      <c r="O406" s="40" t="n"/>
      <c r="P406" s="40" t="n"/>
      <c r="Q406" s="40" t="n"/>
      <c r="R406" s="40" t="n"/>
      <c r="S406" s="40" t="n"/>
      <c r="T406" s="40" t="n"/>
      <c r="U406" s="40" t="n"/>
      <c r="V406" s="40" t="n"/>
      <c r="W406" s="40" t="n"/>
      <c r="X406" s="40" t="n"/>
      <c r="Y406" s="40" t="n"/>
      <c r="Z406" s="40" t="n"/>
      <c r="AA406" s="39" t="n"/>
    </row>
    <row r="407">
      <c r="A407" s="7" t="n"/>
      <c r="B407" s="7" t="n"/>
      <c r="C407" s="39" t="n"/>
      <c r="D407" s="39" t="n"/>
      <c r="E407" s="7" t="n"/>
      <c r="F407" s="7" t="n"/>
      <c r="G407" s="7" t="n"/>
      <c r="H407" s="39" t="n"/>
      <c r="I407" s="39" t="n"/>
      <c r="J407" s="39" t="n"/>
      <c r="K407" s="39" t="n"/>
      <c r="L407" s="39" t="n"/>
      <c r="M407" s="7" t="n"/>
      <c r="N407" s="7" t="n"/>
      <c r="O407" s="40" t="n"/>
      <c r="P407" s="40" t="n"/>
      <c r="Q407" s="40" t="n"/>
      <c r="R407" s="40" t="n"/>
      <c r="S407" s="40" t="n"/>
      <c r="T407" s="40" t="n"/>
      <c r="U407" s="40" t="n"/>
      <c r="V407" s="40" t="n"/>
      <c r="W407" s="40" t="n"/>
      <c r="X407" s="40" t="n"/>
      <c r="Y407" s="40" t="n"/>
      <c r="Z407" s="40" t="n"/>
      <c r="AA407" s="39" t="n"/>
    </row>
    <row r="408">
      <c r="A408" s="7" t="n"/>
      <c r="B408" s="7" t="n"/>
      <c r="C408" s="39" t="n"/>
      <c r="D408" s="39" t="n"/>
      <c r="E408" s="7" t="n"/>
      <c r="F408" s="7" t="n"/>
      <c r="G408" s="7" t="n"/>
      <c r="H408" s="39" t="n"/>
      <c r="I408" s="39" t="n"/>
      <c r="J408" s="39" t="n"/>
      <c r="K408" s="39" t="n"/>
      <c r="L408" s="39" t="n"/>
      <c r="M408" s="7" t="n"/>
      <c r="N408" s="7" t="n"/>
      <c r="O408" s="40" t="n"/>
      <c r="P408" s="40" t="n"/>
      <c r="Q408" s="40" t="n"/>
      <c r="R408" s="40" t="n"/>
      <c r="S408" s="40" t="n"/>
      <c r="T408" s="40" t="n"/>
      <c r="U408" s="40" t="n"/>
      <c r="V408" s="40" t="n"/>
      <c r="W408" s="40" t="n"/>
      <c r="X408" s="40" t="n"/>
      <c r="Y408" s="40" t="n"/>
      <c r="Z408" s="40" t="n"/>
      <c r="AA408" s="39" t="n"/>
    </row>
    <row r="409">
      <c r="A409" s="7" t="n"/>
      <c r="B409" s="7" t="n"/>
      <c r="C409" s="39" t="n"/>
      <c r="D409" s="39" t="n"/>
      <c r="E409" s="7" t="n"/>
      <c r="F409" s="7" t="n"/>
      <c r="G409" s="7" t="n"/>
      <c r="H409" s="39" t="n"/>
      <c r="I409" s="39" t="n"/>
      <c r="J409" s="39" t="n"/>
      <c r="K409" s="39" t="n"/>
      <c r="L409" s="39" t="n"/>
      <c r="M409" s="7" t="n"/>
      <c r="N409" s="7" t="n"/>
      <c r="O409" s="40" t="n"/>
      <c r="P409" s="40" t="n"/>
      <c r="Q409" s="40" t="n"/>
      <c r="R409" s="40" t="n"/>
      <c r="S409" s="40" t="n"/>
      <c r="T409" s="40" t="n"/>
      <c r="U409" s="40" t="n"/>
      <c r="V409" s="40" t="n"/>
      <c r="W409" s="40" t="n"/>
      <c r="X409" s="40" t="n"/>
      <c r="Y409" s="40" t="n"/>
      <c r="Z409" s="40" t="n"/>
      <c r="AA409" s="39" t="n"/>
    </row>
    <row r="410">
      <c r="A410" s="7" t="n"/>
      <c r="B410" s="7" t="n"/>
      <c r="C410" s="39" t="n"/>
      <c r="D410" s="39" t="n"/>
      <c r="E410" s="7" t="n"/>
      <c r="F410" s="7" t="n"/>
      <c r="G410" s="7" t="n"/>
      <c r="H410" s="39" t="n"/>
      <c r="I410" s="39" t="n"/>
      <c r="J410" s="39" t="n"/>
      <c r="K410" s="39" t="n"/>
      <c r="L410" s="39" t="n"/>
      <c r="M410" s="7" t="n"/>
      <c r="N410" s="7" t="n"/>
      <c r="O410" s="40" t="n"/>
      <c r="P410" s="40" t="n"/>
      <c r="Q410" s="40" t="n"/>
      <c r="R410" s="40" t="n"/>
      <c r="S410" s="40" t="n"/>
      <c r="T410" s="40" t="n"/>
      <c r="U410" s="40" t="n"/>
      <c r="V410" s="40" t="n"/>
      <c r="W410" s="40" t="n"/>
      <c r="X410" s="40" t="n"/>
      <c r="Y410" s="40" t="n"/>
      <c r="Z410" s="40" t="n"/>
      <c r="AA410" s="39" t="n"/>
    </row>
    <row r="411">
      <c r="A411" s="7" t="n"/>
      <c r="B411" s="7" t="n"/>
      <c r="C411" s="39" t="n"/>
      <c r="D411" s="39" t="n"/>
      <c r="E411" s="7" t="n"/>
      <c r="F411" s="7" t="n"/>
      <c r="G411" s="7" t="n"/>
      <c r="H411" s="39" t="n"/>
      <c r="I411" s="39" t="n"/>
      <c r="J411" s="39" t="n"/>
      <c r="K411" s="39" t="n"/>
      <c r="L411" s="39" t="n"/>
      <c r="M411" s="7" t="n"/>
      <c r="N411" s="7" t="n"/>
      <c r="O411" s="40" t="n"/>
      <c r="P411" s="40" t="n"/>
      <c r="Q411" s="40" t="n"/>
      <c r="R411" s="40" t="n"/>
      <c r="S411" s="40" t="n"/>
      <c r="T411" s="40" t="n"/>
      <c r="U411" s="40" t="n"/>
      <c r="V411" s="40" t="n"/>
      <c r="W411" s="40" t="n"/>
      <c r="X411" s="40" t="n"/>
      <c r="Y411" s="40" t="n"/>
      <c r="Z411" s="40" t="n"/>
      <c r="AA411" s="39" t="n"/>
    </row>
    <row r="412">
      <c r="A412" s="7" t="n"/>
      <c r="B412" s="7" t="n"/>
      <c r="C412" s="39" t="n"/>
      <c r="D412" s="39" t="n"/>
      <c r="E412" s="7" t="n"/>
      <c r="F412" s="7" t="n"/>
      <c r="G412" s="7" t="n"/>
      <c r="H412" s="39" t="n"/>
      <c r="I412" s="39" t="n"/>
      <c r="J412" s="39" t="n"/>
      <c r="K412" s="39" t="n"/>
      <c r="L412" s="39" t="n"/>
      <c r="M412" s="7" t="n"/>
      <c r="N412" s="7" t="n"/>
      <c r="O412" s="40" t="n"/>
      <c r="P412" s="40" t="n"/>
      <c r="Q412" s="40" t="n"/>
      <c r="R412" s="40" t="n"/>
      <c r="S412" s="40" t="n"/>
      <c r="T412" s="40" t="n"/>
      <c r="U412" s="40" t="n"/>
      <c r="V412" s="40" t="n"/>
      <c r="W412" s="40" t="n"/>
      <c r="X412" s="40" t="n"/>
      <c r="Y412" s="40" t="n"/>
      <c r="Z412" s="40" t="n"/>
      <c r="AA412" s="39" t="n"/>
    </row>
    <row r="413">
      <c r="A413" s="7" t="n"/>
      <c r="B413" s="7" t="n"/>
      <c r="C413" s="39" t="n"/>
      <c r="D413" s="39" t="n"/>
      <c r="E413" s="7" t="n"/>
      <c r="F413" s="7" t="n"/>
      <c r="G413" s="7" t="n"/>
      <c r="H413" s="39" t="n"/>
      <c r="I413" s="39" t="n"/>
      <c r="J413" s="39" t="n"/>
      <c r="K413" s="39" t="n"/>
      <c r="L413" s="39" t="n"/>
      <c r="M413" s="7" t="n"/>
      <c r="N413" s="7" t="n"/>
      <c r="O413" s="40" t="n"/>
      <c r="P413" s="40" t="n"/>
      <c r="Q413" s="40" t="n"/>
      <c r="R413" s="40" t="n"/>
      <c r="S413" s="40" t="n"/>
      <c r="T413" s="40" t="n"/>
      <c r="U413" s="40" t="n"/>
      <c r="V413" s="40" t="n"/>
      <c r="W413" s="40" t="n"/>
      <c r="X413" s="40" t="n"/>
      <c r="Y413" s="40" t="n"/>
      <c r="Z413" s="40" t="n"/>
      <c r="AA413" s="39" t="n"/>
    </row>
    <row r="414">
      <c r="A414" s="7" t="n"/>
      <c r="B414" s="7" t="n"/>
      <c r="C414" s="39" t="n"/>
      <c r="D414" s="39" t="n"/>
      <c r="E414" s="7" t="n"/>
      <c r="F414" s="7" t="n"/>
      <c r="G414" s="7" t="n"/>
      <c r="H414" s="39" t="n"/>
      <c r="I414" s="39" t="n"/>
      <c r="J414" s="39" t="n"/>
      <c r="K414" s="39" t="n"/>
      <c r="L414" s="39" t="n"/>
      <c r="M414" s="7" t="n"/>
      <c r="N414" s="7" t="n"/>
      <c r="O414" s="40" t="n"/>
      <c r="P414" s="40" t="n"/>
      <c r="Q414" s="40" t="n"/>
      <c r="R414" s="40" t="n"/>
      <c r="S414" s="40" t="n"/>
      <c r="T414" s="40" t="n"/>
      <c r="U414" s="40" t="n"/>
      <c r="V414" s="40" t="n"/>
      <c r="W414" s="40" t="n"/>
      <c r="X414" s="40" t="n"/>
      <c r="Y414" s="40" t="n"/>
      <c r="Z414" s="40" t="n"/>
      <c r="AA414" s="39" t="n"/>
    </row>
    <row r="415">
      <c r="A415" s="7" t="n"/>
      <c r="B415" s="7" t="n"/>
      <c r="C415" s="39" t="n"/>
      <c r="D415" s="39" t="n"/>
      <c r="E415" s="7" t="n"/>
      <c r="F415" s="7" t="n"/>
      <c r="G415" s="7" t="n"/>
      <c r="H415" s="39" t="n"/>
      <c r="I415" s="39" t="n"/>
      <c r="J415" s="39" t="n"/>
      <c r="K415" s="39" t="n"/>
      <c r="L415" s="39" t="n"/>
      <c r="M415" s="7" t="n"/>
      <c r="N415" s="7" t="n"/>
      <c r="O415" s="40" t="n"/>
      <c r="P415" s="40" t="n"/>
      <c r="Q415" s="40" t="n"/>
      <c r="R415" s="40" t="n"/>
      <c r="S415" s="40" t="n"/>
      <c r="T415" s="40" t="n"/>
      <c r="U415" s="40" t="n"/>
      <c r="V415" s="40" t="n"/>
      <c r="W415" s="40" t="n"/>
      <c r="X415" s="40" t="n"/>
      <c r="Y415" s="40" t="n"/>
      <c r="Z415" s="40" t="n"/>
      <c r="AA415" s="39" t="n"/>
    </row>
    <row r="416">
      <c r="A416" s="7" t="n"/>
      <c r="B416" s="7" t="n"/>
      <c r="C416" s="39" t="n"/>
      <c r="D416" s="39" t="n"/>
      <c r="E416" s="7" t="n"/>
      <c r="F416" s="7" t="n"/>
      <c r="G416" s="7" t="n"/>
      <c r="H416" s="39" t="n"/>
      <c r="I416" s="39" t="n"/>
      <c r="J416" s="39" t="n"/>
      <c r="K416" s="39" t="n"/>
      <c r="L416" s="39" t="n"/>
      <c r="M416" s="7" t="n"/>
      <c r="N416" s="7" t="n"/>
      <c r="O416" s="40" t="n"/>
      <c r="P416" s="40" t="n"/>
      <c r="Q416" s="40" t="n"/>
      <c r="R416" s="40" t="n"/>
      <c r="S416" s="40" t="n"/>
      <c r="T416" s="40" t="n"/>
      <c r="U416" s="40" t="n"/>
      <c r="V416" s="40" t="n"/>
      <c r="W416" s="40" t="n"/>
      <c r="X416" s="40" t="n"/>
      <c r="Y416" s="40" t="n"/>
      <c r="Z416" s="40" t="n"/>
      <c r="AA416" s="39" t="n"/>
    </row>
    <row r="417">
      <c r="A417" s="7" t="n"/>
      <c r="B417" s="7" t="n"/>
      <c r="C417" s="39" t="n"/>
      <c r="D417" s="39" t="n"/>
      <c r="E417" s="7" t="n"/>
      <c r="F417" s="7" t="n"/>
      <c r="G417" s="7" t="n"/>
      <c r="H417" s="39" t="n"/>
      <c r="I417" s="39" t="n"/>
      <c r="J417" s="39" t="n"/>
      <c r="K417" s="39" t="n"/>
      <c r="L417" s="39" t="n"/>
      <c r="M417" s="7" t="n"/>
      <c r="N417" s="7" t="n"/>
      <c r="O417" s="40" t="n"/>
      <c r="P417" s="40" t="n"/>
      <c r="Q417" s="40" t="n"/>
      <c r="R417" s="40" t="n"/>
      <c r="S417" s="40" t="n"/>
      <c r="T417" s="40" t="n"/>
      <c r="U417" s="40" t="n"/>
      <c r="V417" s="40" t="n"/>
      <c r="W417" s="40" t="n"/>
      <c r="X417" s="40" t="n"/>
      <c r="Y417" s="40" t="n"/>
      <c r="Z417" s="40" t="n"/>
      <c r="AA417" s="39" t="n"/>
    </row>
    <row r="418">
      <c r="A418" s="7" t="n"/>
      <c r="B418" s="7" t="n"/>
      <c r="C418" s="39" t="n"/>
      <c r="D418" s="39" t="n"/>
      <c r="E418" s="7" t="n"/>
      <c r="F418" s="7" t="n"/>
      <c r="G418" s="7" t="n"/>
      <c r="H418" s="39" t="n"/>
      <c r="I418" s="39" t="n"/>
      <c r="J418" s="39" t="n"/>
      <c r="K418" s="39" t="n"/>
      <c r="L418" s="39" t="n"/>
      <c r="M418" s="7" t="n"/>
      <c r="N418" s="7" t="n"/>
      <c r="O418" s="40" t="n"/>
      <c r="P418" s="40" t="n"/>
      <c r="Q418" s="40" t="n"/>
      <c r="R418" s="40" t="n"/>
      <c r="S418" s="40" t="n"/>
      <c r="T418" s="40" t="n"/>
      <c r="U418" s="40" t="n"/>
      <c r="V418" s="40" t="n"/>
      <c r="W418" s="40" t="n"/>
      <c r="X418" s="40" t="n"/>
      <c r="Y418" s="40" t="n"/>
      <c r="Z418" s="40" t="n"/>
      <c r="AA418" s="39" t="n"/>
    </row>
    <row r="419">
      <c r="A419" s="7" t="n"/>
      <c r="B419" s="7" t="n"/>
      <c r="C419" s="39" t="n"/>
      <c r="D419" s="39" t="n"/>
      <c r="E419" s="7" t="n"/>
      <c r="F419" s="7" t="n"/>
      <c r="G419" s="7" t="n"/>
      <c r="H419" s="39" t="n"/>
      <c r="I419" s="39" t="n"/>
      <c r="J419" s="39" t="n"/>
      <c r="K419" s="39" t="n"/>
      <c r="L419" s="39" t="n"/>
      <c r="M419" s="7" t="n"/>
      <c r="N419" s="7" t="n"/>
      <c r="O419" s="40" t="n"/>
      <c r="P419" s="40" t="n"/>
      <c r="Q419" s="40" t="n"/>
      <c r="R419" s="40" t="n"/>
      <c r="S419" s="40" t="n"/>
      <c r="T419" s="40" t="n"/>
      <c r="U419" s="40" t="n"/>
      <c r="V419" s="40" t="n"/>
      <c r="W419" s="40" t="n"/>
      <c r="X419" s="40" t="n"/>
      <c r="Y419" s="40" t="n"/>
      <c r="Z419" s="40" t="n"/>
      <c r="AA419" s="39" t="n"/>
    </row>
    <row r="420">
      <c r="A420" s="7" t="n"/>
      <c r="B420" s="7" t="n"/>
      <c r="C420" s="39" t="n"/>
      <c r="D420" s="39" t="n"/>
      <c r="E420" s="7" t="n"/>
      <c r="F420" s="7" t="n"/>
      <c r="G420" s="7" t="n"/>
      <c r="H420" s="39" t="n"/>
      <c r="I420" s="39" t="n"/>
      <c r="J420" s="39" t="n"/>
      <c r="K420" s="39" t="n"/>
      <c r="L420" s="39" t="n"/>
      <c r="M420" s="7" t="n"/>
      <c r="N420" s="7" t="n"/>
      <c r="O420" s="40" t="n"/>
      <c r="P420" s="40" t="n"/>
      <c r="Q420" s="40" t="n"/>
      <c r="R420" s="40" t="n"/>
      <c r="S420" s="40" t="n"/>
      <c r="T420" s="40" t="n"/>
      <c r="U420" s="40" t="n"/>
      <c r="V420" s="40" t="n"/>
      <c r="W420" s="40" t="n"/>
      <c r="X420" s="40" t="n"/>
      <c r="Y420" s="40" t="n"/>
      <c r="Z420" s="40" t="n"/>
      <c r="AA420" s="39" t="n"/>
    </row>
    <row r="421">
      <c r="A421" s="7" t="n"/>
      <c r="B421" s="7" t="n"/>
      <c r="C421" s="39" t="n"/>
      <c r="D421" s="39" t="n"/>
      <c r="E421" s="7" t="n"/>
      <c r="F421" s="7" t="n"/>
      <c r="G421" s="7" t="n"/>
      <c r="H421" s="39" t="n"/>
      <c r="I421" s="39" t="n"/>
      <c r="J421" s="39" t="n"/>
      <c r="K421" s="39" t="n"/>
      <c r="L421" s="39" t="n"/>
      <c r="M421" s="7" t="n"/>
      <c r="N421" s="7" t="n"/>
      <c r="O421" s="40" t="n"/>
      <c r="P421" s="40" t="n"/>
      <c r="Q421" s="40" t="n"/>
      <c r="R421" s="40" t="n"/>
      <c r="S421" s="40" t="n"/>
      <c r="T421" s="40" t="n"/>
      <c r="U421" s="40" t="n"/>
      <c r="V421" s="40" t="n"/>
      <c r="W421" s="40" t="n"/>
      <c r="X421" s="40" t="n"/>
      <c r="Y421" s="40" t="n"/>
      <c r="Z421" s="40" t="n"/>
      <c r="AA421" s="39" t="n"/>
    </row>
    <row r="422">
      <c r="A422" s="7" t="n"/>
      <c r="B422" s="7" t="n"/>
      <c r="C422" s="39" t="n"/>
      <c r="D422" s="39" t="n"/>
      <c r="E422" s="7" t="n"/>
      <c r="F422" s="7" t="n"/>
      <c r="G422" s="7" t="n"/>
      <c r="H422" s="39" t="n"/>
      <c r="I422" s="39" t="n"/>
      <c r="J422" s="39" t="n"/>
      <c r="K422" s="39" t="n"/>
      <c r="L422" s="39" t="n"/>
      <c r="M422" s="7" t="n"/>
      <c r="N422" s="7" t="n"/>
      <c r="O422" s="40" t="n"/>
      <c r="P422" s="40" t="n"/>
      <c r="Q422" s="40" t="n"/>
      <c r="R422" s="40" t="n"/>
      <c r="S422" s="40" t="n"/>
      <c r="T422" s="40" t="n"/>
      <c r="U422" s="40" t="n"/>
      <c r="V422" s="40" t="n"/>
      <c r="W422" s="40" t="n"/>
      <c r="X422" s="40" t="n"/>
      <c r="Y422" s="40" t="n"/>
      <c r="Z422" s="40" t="n"/>
      <c r="AA422" s="39" t="n"/>
    </row>
    <row r="423">
      <c r="A423" s="7" t="n"/>
      <c r="B423" s="7" t="n"/>
      <c r="C423" s="39" t="n"/>
      <c r="D423" s="39" t="n"/>
      <c r="E423" s="7" t="n"/>
      <c r="F423" s="7" t="n"/>
      <c r="G423" s="7" t="n"/>
      <c r="H423" s="39" t="n"/>
      <c r="I423" s="39" t="n"/>
      <c r="J423" s="39" t="n"/>
      <c r="K423" s="39" t="n"/>
      <c r="L423" s="39" t="n"/>
      <c r="M423" s="7" t="n"/>
      <c r="N423" s="7" t="n"/>
      <c r="O423" s="40" t="n"/>
      <c r="P423" s="40" t="n"/>
      <c r="Q423" s="40" t="n"/>
      <c r="R423" s="40" t="n"/>
      <c r="S423" s="40" t="n"/>
      <c r="T423" s="40" t="n"/>
      <c r="U423" s="40" t="n"/>
      <c r="V423" s="40" t="n"/>
      <c r="W423" s="40" t="n"/>
      <c r="X423" s="40" t="n"/>
      <c r="Y423" s="40" t="n"/>
      <c r="Z423" s="40" t="n"/>
      <c r="AA423" s="39" t="n"/>
    </row>
    <row r="424">
      <c r="A424" s="7" t="n"/>
      <c r="B424" s="7" t="n"/>
      <c r="C424" s="39" t="n"/>
      <c r="D424" s="39" t="n"/>
      <c r="E424" s="7" t="n"/>
      <c r="F424" s="7" t="n"/>
      <c r="G424" s="7" t="n"/>
      <c r="H424" s="39" t="n"/>
      <c r="I424" s="39" t="n"/>
      <c r="J424" s="39" t="n"/>
      <c r="K424" s="39" t="n"/>
      <c r="L424" s="39" t="n"/>
      <c r="M424" s="7" t="n"/>
      <c r="N424" s="7" t="n"/>
      <c r="O424" s="40" t="n"/>
      <c r="P424" s="40" t="n"/>
      <c r="Q424" s="40" t="n"/>
      <c r="R424" s="40" t="n"/>
      <c r="S424" s="40" t="n"/>
      <c r="T424" s="40" t="n"/>
      <c r="U424" s="40" t="n"/>
      <c r="V424" s="40" t="n"/>
      <c r="W424" s="40" t="n"/>
      <c r="X424" s="40" t="n"/>
      <c r="Y424" s="40" t="n"/>
      <c r="Z424" s="40" t="n"/>
      <c r="AA424" s="39" t="n"/>
    </row>
    <row r="425">
      <c r="A425" s="7" t="n"/>
      <c r="B425" s="7" t="n"/>
      <c r="C425" s="39" t="n"/>
      <c r="D425" s="39" t="n"/>
      <c r="E425" s="7" t="n"/>
      <c r="F425" s="7" t="n"/>
      <c r="G425" s="7" t="n"/>
      <c r="H425" s="39" t="n"/>
      <c r="I425" s="39" t="n"/>
      <c r="J425" s="39" t="n"/>
      <c r="K425" s="39" t="n"/>
      <c r="L425" s="39" t="n"/>
      <c r="M425" s="7" t="n"/>
      <c r="N425" s="7" t="n"/>
      <c r="O425" s="40" t="n"/>
      <c r="P425" s="40" t="n"/>
      <c r="Q425" s="40" t="n"/>
      <c r="R425" s="40" t="n"/>
      <c r="S425" s="40" t="n"/>
      <c r="T425" s="40" t="n"/>
      <c r="U425" s="40" t="n"/>
      <c r="V425" s="40" t="n"/>
      <c r="W425" s="40" t="n"/>
      <c r="X425" s="40" t="n"/>
      <c r="Y425" s="40" t="n"/>
      <c r="Z425" s="40" t="n"/>
      <c r="AA425" s="39" t="n"/>
    </row>
    <row r="426">
      <c r="A426" s="7" t="n"/>
      <c r="B426" s="7" t="n"/>
      <c r="C426" s="39" t="n"/>
      <c r="D426" s="39" t="n"/>
      <c r="E426" s="7" t="n"/>
      <c r="F426" s="7" t="n"/>
      <c r="G426" s="7" t="n"/>
      <c r="H426" s="39" t="n"/>
      <c r="I426" s="39" t="n"/>
      <c r="J426" s="39" t="n"/>
      <c r="K426" s="39" t="n"/>
      <c r="L426" s="39" t="n"/>
      <c r="M426" s="7" t="n"/>
      <c r="N426" s="7" t="n"/>
      <c r="O426" s="40" t="n"/>
      <c r="P426" s="40" t="n"/>
      <c r="Q426" s="40" t="n"/>
      <c r="R426" s="40" t="n"/>
      <c r="S426" s="40" t="n"/>
      <c r="T426" s="40" t="n"/>
      <c r="U426" s="40" t="n"/>
      <c r="V426" s="40" t="n"/>
      <c r="W426" s="40" t="n"/>
      <c r="X426" s="40" t="n"/>
      <c r="Y426" s="40" t="n"/>
      <c r="Z426" s="40" t="n"/>
      <c r="AA426" s="39" t="n"/>
    </row>
    <row r="427">
      <c r="A427" s="7" t="n"/>
      <c r="B427" s="7" t="n"/>
      <c r="C427" s="39" t="n"/>
      <c r="D427" s="39" t="n"/>
      <c r="E427" s="7" t="n"/>
      <c r="F427" s="7" t="n"/>
      <c r="G427" s="7" t="n"/>
      <c r="H427" s="39" t="n"/>
      <c r="I427" s="39" t="n"/>
      <c r="J427" s="39" t="n"/>
      <c r="K427" s="39" t="n"/>
      <c r="L427" s="39" t="n"/>
      <c r="M427" s="7" t="n"/>
      <c r="N427" s="7" t="n"/>
      <c r="O427" s="40" t="n"/>
      <c r="P427" s="40" t="n"/>
      <c r="Q427" s="40" t="n"/>
      <c r="R427" s="40" t="n"/>
      <c r="S427" s="40" t="n"/>
      <c r="T427" s="40" t="n"/>
      <c r="U427" s="40" t="n"/>
      <c r="V427" s="40" t="n"/>
      <c r="W427" s="40" t="n"/>
      <c r="X427" s="40" t="n"/>
      <c r="Y427" s="40" t="n"/>
      <c r="Z427" s="40" t="n"/>
      <c r="AA427" s="39" t="n"/>
    </row>
    <row r="428">
      <c r="A428" s="7" t="n"/>
      <c r="B428" s="7" t="n"/>
      <c r="C428" s="39" t="n"/>
      <c r="D428" s="39" t="n"/>
      <c r="E428" s="7" t="n"/>
      <c r="F428" s="7" t="n"/>
      <c r="G428" s="7" t="n"/>
      <c r="H428" s="39" t="n"/>
      <c r="I428" s="39" t="n"/>
      <c r="J428" s="39" t="n"/>
      <c r="K428" s="39" t="n"/>
      <c r="L428" s="39" t="n"/>
      <c r="M428" s="7" t="n"/>
      <c r="N428" s="7" t="n"/>
      <c r="O428" s="40" t="n"/>
      <c r="P428" s="40" t="n"/>
      <c r="Q428" s="40" t="n"/>
      <c r="R428" s="40" t="n"/>
      <c r="S428" s="40" t="n"/>
      <c r="T428" s="40" t="n"/>
      <c r="U428" s="40" t="n"/>
      <c r="V428" s="40" t="n"/>
      <c r="W428" s="40" t="n"/>
      <c r="X428" s="40" t="n"/>
      <c r="Y428" s="40" t="n"/>
      <c r="Z428" s="40" t="n"/>
      <c r="AA428" s="39" t="n"/>
    </row>
    <row r="429">
      <c r="A429" s="7" t="n"/>
      <c r="B429" s="7" t="n"/>
      <c r="C429" s="39" t="n"/>
      <c r="D429" s="39" t="n"/>
      <c r="E429" s="7" t="n"/>
      <c r="F429" s="7" t="n"/>
      <c r="G429" s="7" t="n"/>
      <c r="H429" s="39" t="n"/>
      <c r="I429" s="39" t="n"/>
      <c r="J429" s="39" t="n"/>
      <c r="K429" s="39" t="n"/>
      <c r="L429" s="39" t="n"/>
      <c r="M429" s="7" t="n"/>
      <c r="N429" s="7" t="n"/>
      <c r="O429" s="40" t="n"/>
      <c r="P429" s="40" t="n"/>
      <c r="Q429" s="40" t="n"/>
      <c r="R429" s="40" t="n"/>
      <c r="S429" s="40" t="n"/>
      <c r="T429" s="40" t="n"/>
      <c r="U429" s="40" t="n"/>
      <c r="V429" s="40" t="n"/>
      <c r="W429" s="40" t="n"/>
      <c r="X429" s="40" t="n"/>
      <c r="Y429" s="40" t="n"/>
      <c r="Z429" s="40" t="n"/>
      <c r="AA429" s="39" t="n"/>
    </row>
    <row r="430">
      <c r="A430" s="7" t="n"/>
      <c r="B430" s="7" t="n"/>
      <c r="C430" s="39" t="n"/>
      <c r="D430" s="39" t="n"/>
      <c r="E430" s="7" t="n"/>
      <c r="F430" s="7" t="n"/>
      <c r="G430" s="7" t="n"/>
      <c r="H430" s="39" t="n"/>
      <c r="I430" s="39" t="n"/>
      <c r="J430" s="39" t="n"/>
      <c r="K430" s="39" t="n"/>
      <c r="L430" s="39" t="n"/>
      <c r="M430" s="7" t="n"/>
      <c r="N430" s="7" t="n"/>
      <c r="O430" s="40" t="n"/>
      <c r="P430" s="40" t="n"/>
      <c r="Q430" s="40" t="n"/>
      <c r="R430" s="40" t="n"/>
      <c r="S430" s="40" t="n"/>
      <c r="T430" s="40" t="n"/>
      <c r="U430" s="40" t="n"/>
      <c r="V430" s="40" t="n"/>
      <c r="W430" s="40" t="n"/>
      <c r="X430" s="40" t="n"/>
      <c r="Y430" s="40" t="n"/>
      <c r="Z430" s="40" t="n"/>
      <c r="AA430" s="39" t="n"/>
    </row>
    <row r="431">
      <c r="A431" s="7" t="n"/>
      <c r="B431" s="7" t="n"/>
      <c r="C431" s="39" t="n"/>
      <c r="D431" s="39" t="n"/>
      <c r="E431" s="7" t="n"/>
      <c r="F431" s="7" t="n"/>
      <c r="G431" s="7" t="n"/>
      <c r="H431" s="39" t="n"/>
      <c r="I431" s="39" t="n"/>
      <c r="J431" s="39" t="n"/>
      <c r="K431" s="39" t="n"/>
      <c r="L431" s="39" t="n"/>
      <c r="M431" s="7" t="n"/>
      <c r="N431" s="7" t="n"/>
      <c r="O431" s="40" t="n"/>
      <c r="P431" s="40" t="n"/>
      <c r="Q431" s="40" t="n"/>
      <c r="R431" s="40" t="n"/>
      <c r="S431" s="40" t="n"/>
      <c r="T431" s="40" t="n"/>
      <c r="U431" s="40" t="n"/>
      <c r="V431" s="40" t="n"/>
      <c r="W431" s="40" t="n"/>
      <c r="X431" s="40" t="n"/>
      <c r="Y431" s="40" t="n"/>
      <c r="Z431" s="40" t="n"/>
      <c r="AA431" s="39" t="n"/>
    </row>
    <row r="432">
      <c r="A432" s="7" t="n"/>
      <c r="B432" s="7" t="n"/>
      <c r="C432" s="39" t="n"/>
      <c r="D432" s="39" t="n"/>
      <c r="E432" s="7" t="n"/>
      <c r="F432" s="7" t="n"/>
      <c r="G432" s="7" t="n"/>
      <c r="H432" s="39" t="n"/>
      <c r="I432" s="39" t="n"/>
      <c r="J432" s="39" t="n"/>
      <c r="K432" s="39" t="n"/>
      <c r="L432" s="39" t="n"/>
      <c r="M432" s="7" t="n"/>
      <c r="N432" s="7" t="n"/>
      <c r="O432" s="40" t="n"/>
      <c r="P432" s="40" t="n"/>
      <c r="Q432" s="40" t="n"/>
      <c r="R432" s="40" t="n"/>
      <c r="S432" s="40" t="n"/>
      <c r="T432" s="40" t="n"/>
      <c r="U432" s="40" t="n"/>
      <c r="V432" s="40" t="n"/>
      <c r="W432" s="40" t="n"/>
      <c r="X432" s="40" t="n"/>
      <c r="Y432" s="40" t="n"/>
      <c r="Z432" s="40" t="n"/>
      <c r="AA432" s="39" t="n"/>
    </row>
    <row r="433">
      <c r="A433" s="7" t="n"/>
      <c r="B433" s="7" t="n"/>
      <c r="C433" s="39" t="n"/>
      <c r="D433" s="39" t="n"/>
      <c r="E433" s="7" t="n"/>
      <c r="F433" s="7" t="n"/>
      <c r="G433" s="7" t="n"/>
      <c r="H433" s="39" t="n"/>
      <c r="I433" s="39" t="n"/>
      <c r="J433" s="39" t="n"/>
      <c r="K433" s="39" t="n"/>
      <c r="L433" s="39" t="n"/>
      <c r="M433" s="7" t="n"/>
      <c r="N433" s="7" t="n"/>
      <c r="O433" s="40" t="n"/>
      <c r="P433" s="40" t="n"/>
      <c r="Q433" s="40" t="n"/>
      <c r="R433" s="40" t="n"/>
      <c r="S433" s="40" t="n"/>
      <c r="T433" s="40" t="n"/>
      <c r="U433" s="40" t="n"/>
      <c r="V433" s="40" t="n"/>
      <c r="W433" s="40" t="n"/>
      <c r="X433" s="40" t="n"/>
      <c r="Y433" s="40" t="n"/>
      <c r="Z433" s="40" t="n"/>
      <c r="AA433" s="39" t="n"/>
    </row>
    <row r="434">
      <c r="A434" s="7" t="n"/>
      <c r="B434" s="7" t="n"/>
      <c r="C434" s="39" t="n"/>
      <c r="D434" s="39" t="n"/>
      <c r="E434" s="7" t="n"/>
      <c r="F434" s="7" t="n"/>
      <c r="G434" s="7" t="n"/>
      <c r="H434" s="39" t="n"/>
      <c r="I434" s="39" t="n"/>
      <c r="J434" s="39" t="n"/>
      <c r="K434" s="39" t="n"/>
      <c r="L434" s="39" t="n"/>
      <c r="M434" s="7" t="n"/>
      <c r="N434" s="7" t="n"/>
      <c r="O434" s="40" t="n"/>
      <c r="P434" s="40" t="n"/>
      <c r="Q434" s="40" t="n"/>
      <c r="R434" s="40" t="n"/>
      <c r="S434" s="40" t="n"/>
      <c r="T434" s="40" t="n"/>
      <c r="U434" s="40" t="n"/>
      <c r="V434" s="40" t="n"/>
      <c r="W434" s="40" t="n"/>
      <c r="X434" s="40" t="n"/>
      <c r="Y434" s="40" t="n"/>
      <c r="Z434" s="40" t="n"/>
      <c r="AA434" s="39" t="n"/>
    </row>
    <row r="435">
      <c r="A435" s="7" t="n"/>
      <c r="B435" s="7" t="n"/>
      <c r="C435" s="39" t="n"/>
      <c r="D435" s="39" t="n"/>
      <c r="E435" s="7" t="n"/>
      <c r="F435" s="7" t="n"/>
      <c r="G435" s="7" t="n"/>
      <c r="H435" s="39" t="n"/>
      <c r="I435" s="39" t="n"/>
      <c r="J435" s="39" t="n"/>
      <c r="K435" s="39" t="n"/>
      <c r="L435" s="39" t="n"/>
      <c r="M435" s="7" t="n"/>
      <c r="N435" s="7" t="n"/>
      <c r="O435" s="40" t="n"/>
      <c r="P435" s="40" t="n"/>
      <c r="Q435" s="40" t="n"/>
      <c r="R435" s="40" t="n"/>
      <c r="S435" s="40" t="n"/>
      <c r="T435" s="40" t="n"/>
      <c r="U435" s="40" t="n"/>
      <c r="V435" s="40" t="n"/>
      <c r="W435" s="40" t="n"/>
      <c r="X435" s="40" t="n"/>
      <c r="Y435" s="40" t="n"/>
      <c r="Z435" s="40" t="n"/>
      <c r="AA435" s="39" t="n"/>
    </row>
    <row r="436">
      <c r="A436" s="7" t="n"/>
      <c r="B436" s="7" t="n"/>
      <c r="C436" s="39" t="n"/>
      <c r="D436" s="39" t="n"/>
      <c r="E436" s="7" t="n"/>
      <c r="F436" s="7" t="n"/>
      <c r="G436" s="7" t="n"/>
      <c r="H436" s="39" t="n"/>
      <c r="I436" s="39" t="n"/>
      <c r="J436" s="39" t="n"/>
      <c r="K436" s="39" t="n"/>
      <c r="L436" s="39" t="n"/>
      <c r="M436" s="7" t="n"/>
      <c r="N436" s="7" t="n"/>
      <c r="O436" s="40" t="n"/>
      <c r="P436" s="40" t="n"/>
      <c r="Q436" s="40" t="n"/>
      <c r="R436" s="40" t="n"/>
      <c r="S436" s="40" t="n"/>
      <c r="T436" s="40" t="n"/>
      <c r="U436" s="40" t="n"/>
      <c r="V436" s="40" t="n"/>
      <c r="W436" s="40" t="n"/>
      <c r="X436" s="40" t="n"/>
      <c r="Y436" s="40" t="n"/>
      <c r="Z436" s="40" t="n"/>
      <c r="AA436" s="39" t="n"/>
    </row>
    <row r="437">
      <c r="A437" s="7" t="n"/>
      <c r="B437" s="7" t="n"/>
      <c r="C437" s="39" t="n"/>
      <c r="D437" s="39" t="n"/>
      <c r="E437" s="7" t="n"/>
      <c r="F437" s="7" t="n"/>
      <c r="G437" s="7" t="n"/>
      <c r="H437" s="39" t="n"/>
      <c r="I437" s="39" t="n"/>
      <c r="J437" s="39" t="n"/>
      <c r="K437" s="39" t="n"/>
      <c r="L437" s="39" t="n"/>
      <c r="M437" s="7" t="n"/>
      <c r="N437" s="7" t="n"/>
      <c r="O437" s="40" t="n"/>
      <c r="P437" s="40" t="n"/>
      <c r="Q437" s="40" t="n"/>
      <c r="R437" s="40" t="n"/>
      <c r="S437" s="40" t="n"/>
      <c r="T437" s="40" t="n"/>
      <c r="U437" s="40" t="n"/>
      <c r="V437" s="40" t="n"/>
      <c r="W437" s="40" t="n"/>
      <c r="X437" s="40" t="n"/>
      <c r="Y437" s="40" t="n"/>
      <c r="Z437" s="40" t="n"/>
      <c r="AA437" s="39" t="n"/>
    </row>
    <row r="438">
      <c r="A438" s="7" t="n"/>
      <c r="B438" s="7" t="n"/>
      <c r="C438" s="39" t="n"/>
      <c r="D438" s="39" t="n"/>
      <c r="E438" s="7" t="n"/>
      <c r="F438" s="7" t="n"/>
      <c r="G438" s="7" t="n"/>
      <c r="H438" s="39" t="n"/>
      <c r="I438" s="39" t="n"/>
      <c r="J438" s="39" t="n"/>
      <c r="K438" s="39" t="n"/>
      <c r="L438" s="39" t="n"/>
      <c r="M438" s="7" t="n"/>
      <c r="N438" s="7" t="n"/>
      <c r="O438" s="40" t="n"/>
      <c r="P438" s="40" t="n"/>
      <c r="Q438" s="40" t="n"/>
      <c r="R438" s="40" t="n"/>
      <c r="S438" s="40" t="n"/>
      <c r="T438" s="40" t="n"/>
      <c r="U438" s="40" t="n"/>
      <c r="V438" s="40" t="n"/>
      <c r="W438" s="40" t="n"/>
      <c r="X438" s="40" t="n"/>
      <c r="Y438" s="40" t="n"/>
      <c r="Z438" s="40" t="n"/>
      <c r="AA438" s="39" t="n"/>
    </row>
    <row r="439">
      <c r="A439" s="7" t="n"/>
      <c r="B439" s="7" t="n"/>
      <c r="C439" s="39" t="n"/>
      <c r="D439" s="39" t="n"/>
      <c r="E439" s="7" t="n"/>
      <c r="F439" s="7" t="n"/>
      <c r="G439" s="7" t="n"/>
      <c r="H439" s="39" t="n"/>
      <c r="I439" s="39" t="n"/>
      <c r="J439" s="39" t="n"/>
      <c r="K439" s="39" t="n"/>
      <c r="L439" s="39" t="n"/>
      <c r="M439" s="7" t="n"/>
      <c r="N439" s="7" t="n"/>
      <c r="O439" s="40" t="n"/>
      <c r="P439" s="40" t="n"/>
      <c r="Q439" s="40" t="n"/>
      <c r="R439" s="40" t="n"/>
      <c r="S439" s="40" t="n"/>
      <c r="T439" s="40" t="n"/>
      <c r="U439" s="40" t="n"/>
      <c r="V439" s="40" t="n"/>
      <c r="W439" s="40" t="n"/>
      <c r="X439" s="40" t="n"/>
      <c r="Y439" s="40" t="n"/>
      <c r="Z439" s="40" t="n"/>
      <c r="AA439" s="39" t="n"/>
    </row>
    <row r="440">
      <c r="A440" s="7" t="n"/>
      <c r="B440" s="7" t="n"/>
      <c r="C440" s="39" t="n"/>
      <c r="D440" s="39" t="n"/>
      <c r="E440" s="7" t="n"/>
      <c r="F440" s="7" t="n"/>
      <c r="G440" s="7" t="n"/>
      <c r="H440" s="39" t="n"/>
      <c r="I440" s="39" t="n"/>
      <c r="J440" s="39" t="n"/>
      <c r="K440" s="39" t="n"/>
      <c r="L440" s="39" t="n"/>
      <c r="M440" s="7" t="n"/>
      <c r="N440" s="7" t="n"/>
      <c r="O440" s="40" t="n"/>
      <c r="P440" s="40" t="n"/>
      <c r="Q440" s="40" t="n"/>
      <c r="R440" s="40" t="n"/>
      <c r="S440" s="40" t="n"/>
      <c r="T440" s="40" t="n"/>
      <c r="U440" s="40" t="n"/>
      <c r="V440" s="40" t="n"/>
      <c r="W440" s="40" t="n"/>
      <c r="X440" s="40" t="n"/>
      <c r="Y440" s="40" t="n"/>
      <c r="Z440" s="40" t="n"/>
      <c r="AA440" s="39" t="n"/>
    </row>
    <row r="441">
      <c r="A441" s="7" t="n"/>
      <c r="B441" s="7" t="n"/>
      <c r="C441" s="39" t="n"/>
      <c r="D441" s="39" t="n"/>
      <c r="E441" s="7" t="n"/>
      <c r="F441" s="7" t="n"/>
      <c r="G441" s="7" t="n"/>
      <c r="H441" s="39" t="n"/>
      <c r="I441" s="39" t="n"/>
      <c r="J441" s="39" t="n"/>
      <c r="K441" s="39" t="n"/>
      <c r="L441" s="39" t="n"/>
      <c r="M441" s="7" t="n"/>
      <c r="N441" s="7" t="n"/>
      <c r="O441" s="40" t="n"/>
      <c r="P441" s="40" t="n"/>
      <c r="Q441" s="40" t="n"/>
      <c r="R441" s="40" t="n"/>
      <c r="S441" s="40" t="n"/>
      <c r="T441" s="40" t="n"/>
      <c r="U441" s="40" t="n"/>
      <c r="V441" s="40" t="n"/>
      <c r="W441" s="40" t="n"/>
      <c r="X441" s="40" t="n"/>
      <c r="Y441" s="40" t="n"/>
      <c r="Z441" s="40" t="n"/>
      <c r="AA441" s="39" t="n"/>
    </row>
    <row r="442">
      <c r="A442" s="7" t="n"/>
      <c r="B442" s="7" t="n"/>
      <c r="C442" s="39" t="n"/>
      <c r="D442" s="39" t="n"/>
      <c r="E442" s="7" t="n"/>
      <c r="F442" s="7" t="n"/>
      <c r="G442" s="7" t="n"/>
      <c r="H442" s="39" t="n"/>
      <c r="I442" s="39" t="n"/>
      <c r="J442" s="39" t="n"/>
      <c r="K442" s="39" t="n"/>
      <c r="L442" s="39" t="n"/>
      <c r="M442" s="7" t="n"/>
      <c r="N442" s="7" t="n"/>
      <c r="O442" s="40" t="n"/>
      <c r="P442" s="40" t="n"/>
      <c r="Q442" s="40" t="n"/>
      <c r="R442" s="40" t="n"/>
      <c r="S442" s="40" t="n"/>
      <c r="T442" s="40" t="n"/>
      <c r="U442" s="40" t="n"/>
      <c r="V442" s="40" t="n"/>
      <c r="W442" s="40" t="n"/>
      <c r="X442" s="40" t="n"/>
      <c r="Y442" s="40" t="n"/>
      <c r="Z442" s="40" t="n"/>
      <c r="AA442" s="39" t="n"/>
    </row>
    <row r="443">
      <c r="A443" s="7" t="n"/>
      <c r="B443" s="7" t="n"/>
      <c r="C443" s="39" t="n"/>
      <c r="D443" s="39" t="n"/>
      <c r="E443" s="7" t="n"/>
      <c r="F443" s="7" t="n"/>
      <c r="G443" s="7" t="n"/>
      <c r="H443" s="39" t="n"/>
      <c r="I443" s="39" t="n"/>
      <c r="J443" s="39" t="n"/>
      <c r="K443" s="39" t="n"/>
      <c r="L443" s="39" t="n"/>
      <c r="M443" s="7" t="n"/>
      <c r="N443" s="7" t="n"/>
      <c r="O443" s="40" t="n"/>
      <c r="P443" s="40" t="n"/>
      <c r="Q443" s="40" t="n"/>
      <c r="R443" s="40" t="n"/>
      <c r="S443" s="40" t="n"/>
      <c r="T443" s="40" t="n"/>
      <c r="U443" s="40" t="n"/>
      <c r="V443" s="40" t="n"/>
      <c r="W443" s="40" t="n"/>
      <c r="X443" s="40" t="n"/>
      <c r="Y443" s="40" t="n"/>
      <c r="Z443" s="40" t="n"/>
      <c r="AA443" s="39" t="n"/>
    </row>
    <row r="444">
      <c r="A444" s="7" t="n"/>
      <c r="B444" s="7" t="n"/>
      <c r="C444" s="39" t="n"/>
      <c r="D444" s="39" t="n"/>
      <c r="E444" s="7" t="n"/>
      <c r="F444" s="7" t="n"/>
      <c r="G444" s="7" t="n"/>
      <c r="H444" s="39" t="n"/>
      <c r="I444" s="39" t="n"/>
      <c r="J444" s="39" t="n"/>
      <c r="K444" s="39" t="n"/>
      <c r="L444" s="39" t="n"/>
      <c r="M444" s="7" t="n"/>
      <c r="N444" s="7" t="n"/>
      <c r="O444" s="40" t="n"/>
      <c r="P444" s="40" t="n"/>
      <c r="Q444" s="40" t="n"/>
      <c r="R444" s="40" t="n"/>
      <c r="S444" s="40" t="n"/>
      <c r="T444" s="40" t="n"/>
      <c r="U444" s="40" t="n"/>
      <c r="V444" s="40" t="n"/>
      <c r="W444" s="40" t="n"/>
      <c r="X444" s="40" t="n"/>
      <c r="Y444" s="40" t="n"/>
      <c r="Z444" s="40" t="n"/>
      <c r="AA444" s="39" t="n"/>
    </row>
    <row r="445">
      <c r="A445" s="7" t="n"/>
      <c r="B445" s="7" t="n"/>
      <c r="C445" s="39" t="n"/>
      <c r="D445" s="39" t="n"/>
      <c r="E445" s="7" t="n"/>
      <c r="F445" s="7" t="n"/>
      <c r="G445" s="7" t="n"/>
      <c r="H445" s="39" t="n"/>
      <c r="I445" s="39" t="n"/>
      <c r="J445" s="39" t="n"/>
      <c r="K445" s="39" t="n"/>
      <c r="L445" s="39" t="n"/>
      <c r="M445" s="7" t="n"/>
      <c r="N445" s="7" t="n"/>
      <c r="O445" s="40" t="n"/>
      <c r="P445" s="40" t="n"/>
      <c r="Q445" s="40" t="n"/>
      <c r="R445" s="40" t="n"/>
      <c r="S445" s="40" t="n"/>
      <c r="T445" s="40" t="n"/>
      <c r="U445" s="40" t="n"/>
      <c r="V445" s="40" t="n"/>
      <c r="W445" s="40" t="n"/>
      <c r="X445" s="40" t="n"/>
      <c r="Y445" s="40" t="n"/>
      <c r="Z445" s="40" t="n"/>
      <c r="AA445" s="39" t="n"/>
    </row>
    <row r="446">
      <c r="A446" s="7" t="n"/>
      <c r="B446" s="7" t="n"/>
      <c r="C446" s="39" t="n"/>
      <c r="D446" s="39" t="n"/>
      <c r="E446" s="7" t="n"/>
      <c r="F446" s="7" t="n"/>
      <c r="G446" s="7" t="n"/>
      <c r="H446" s="39" t="n"/>
      <c r="I446" s="39" t="n"/>
      <c r="J446" s="39" t="n"/>
      <c r="K446" s="39" t="n"/>
      <c r="L446" s="39" t="n"/>
      <c r="M446" s="7" t="n"/>
      <c r="N446" s="7" t="n"/>
      <c r="O446" s="40" t="n"/>
      <c r="P446" s="40" t="n"/>
      <c r="Q446" s="40" t="n"/>
      <c r="R446" s="40" t="n"/>
      <c r="S446" s="40" t="n"/>
      <c r="T446" s="40" t="n"/>
      <c r="U446" s="40" t="n"/>
      <c r="V446" s="40" t="n"/>
      <c r="W446" s="40" t="n"/>
      <c r="X446" s="40" t="n"/>
      <c r="Y446" s="40" t="n"/>
      <c r="Z446" s="40" t="n"/>
      <c r="AA446" s="39" t="n"/>
    </row>
    <row r="447">
      <c r="A447" s="7" t="n"/>
      <c r="B447" s="7" t="n"/>
      <c r="C447" s="39" t="n"/>
      <c r="D447" s="39" t="n"/>
      <c r="E447" s="7" t="n"/>
      <c r="F447" s="7" t="n"/>
      <c r="G447" s="7" t="n"/>
      <c r="H447" s="39" t="n"/>
      <c r="I447" s="39" t="n"/>
      <c r="J447" s="39" t="n"/>
      <c r="K447" s="39" t="n"/>
      <c r="L447" s="39" t="n"/>
      <c r="M447" s="7" t="n"/>
      <c r="N447" s="7" t="n"/>
      <c r="O447" s="40" t="n"/>
      <c r="P447" s="40" t="n"/>
      <c r="Q447" s="40" t="n"/>
      <c r="R447" s="40" t="n"/>
      <c r="S447" s="40" t="n"/>
      <c r="T447" s="40" t="n"/>
      <c r="U447" s="40" t="n"/>
      <c r="V447" s="40" t="n"/>
      <c r="W447" s="40" t="n"/>
      <c r="X447" s="40" t="n"/>
      <c r="Y447" s="40" t="n"/>
      <c r="Z447" s="40" t="n"/>
      <c r="AA447" s="39" t="n"/>
    </row>
    <row r="448">
      <c r="A448" s="7" t="n"/>
      <c r="B448" s="7" t="n"/>
      <c r="C448" s="39" t="n"/>
      <c r="D448" s="39" t="n"/>
      <c r="E448" s="7" t="n"/>
      <c r="F448" s="7" t="n"/>
      <c r="G448" s="7" t="n"/>
      <c r="H448" s="39" t="n"/>
      <c r="I448" s="39" t="n"/>
      <c r="J448" s="39" t="n"/>
      <c r="K448" s="39" t="n"/>
      <c r="L448" s="39" t="n"/>
      <c r="M448" s="7" t="n"/>
      <c r="N448" s="7" t="n"/>
      <c r="O448" s="40" t="n"/>
      <c r="P448" s="40" t="n"/>
      <c r="Q448" s="40" t="n"/>
      <c r="R448" s="40" t="n"/>
      <c r="S448" s="40" t="n"/>
      <c r="T448" s="40" t="n"/>
      <c r="U448" s="40" t="n"/>
      <c r="V448" s="40" t="n"/>
      <c r="W448" s="40" t="n"/>
      <c r="X448" s="40" t="n"/>
      <c r="Y448" s="40" t="n"/>
      <c r="Z448" s="40" t="n"/>
      <c r="AA448" s="39" t="n"/>
    </row>
    <row r="449">
      <c r="A449" s="7" t="n"/>
      <c r="B449" s="7" t="n"/>
      <c r="C449" s="39" t="n"/>
      <c r="D449" s="39" t="n"/>
      <c r="E449" s="7" t="n"/>
      <c r="F449" s="7" t="n"/>
      <c r="G449" s="7" t="n"/>
      <c r="H449" s="39" t="n"/>
      <c r="I449" s="39" t="n"/>
      <c r="J449" s="39" t="n"/>
      <c r="K449" s="39" t="n"/>
      <c r="L449" s="39" t="n"/>
      <c r="M449" s="7" t="n"/>
      <c r="N449" s="7" t="n"/>
      <c r="O449" s="40" t="n"/>
      <c r="P449" s="40" t="n"/>
      <c r="Q449" s="40" t="n"/>
      <c r="R449" s="40" t="n"/>
      <c r="S449" s="40" t="n"/>
      <c r="T449" s="40" t="n"/>
      <c r="U449" s="40" t="n"/>
      <c r="V449" s="40" t="n"/>
      <c r="W449" s="40" t="n"/>
      <c r="X449" s="40" t="n"/>
      <c r="Y449" s="40" t="n"/>
      <c r="Z449" s="40" t="n"/>
      <c r="AA449" s="39" t="n"/>
    </row>
    <row r="450">
      <c r="A450" s="7" t="n"/>
      <c r="B450" s="7" t="n"/>
      <c r="C450" s="39" t="n"/>
      <c r="D450" s="39" t="n"/>
      <c r="E450" s="7" t="n"/>
      <c r="F450" s="7" t="n"/>
      <c r="G450" s="7" t="n"/>
      <c r="H450" s="39" t="n"/>
      <c r="I450" s="39" t="n"/>
      <c r="J450" s="39" t="n"/>
      <c r="K450" s="39" t="n"/>
      <c r="L450" s="39" t="n"/>
      <c r="M450" s="7" t="n"/>
      <c r="N450" s="7" t="n"/>
      <c r="O450" s="40" t="n"/>
      <c r="P450" s="40" t="n"/>
      <c r="Q450" s="40" t="n"/>
      <c r="R450" s="40" t="n"/>
      <c r="S450" s="40" t="n"/>
      <c r="T450" s="40" t="n"/>
      <c r="U450" s="40" t="n"/>
      <c r="V450" s="40" t="n"/>
      <c r="W450" s="40" t="n"/>
      <c r="X450" s="40" t="n"/>
      <c r="Y450" s="40" t="n"/>
      <c r="Z450" s="40" t="n"/>
      <c r="AA450" s="39" t="n"/>
    </row>
    <row r="451">
      <c r="A451" s="7" t="n"/>
      <c r="B451" s="7" t="n"/>
      <c r="C451" s="39" t="n"/>
      <c r="D451" s="39" t="n"/>
      <c r="E451" s="7" t="n"/>
      <c r="F451" s="7" t="n"/>
      <c r="G451" s="7" t="n"/>
      <c r="H451" s="39" t="n"/>
      <c r="I451" s="39" t="n"/>
      <c r="J451" s="39" t="n"/>
      <c r="K451" s="39" t="n"/>
      <c r="L451" s="39" t="n"/>
      <c r="M451" s="7" t="n"/>
      <c r="N451" s="7" t="n"/>
      <c r="O451" s="40" t="n"/>
      <c r="P451" s="40" t="n"/>
      <c r="Q451" s="40" t="n"/>
      <c r="R451" s="40" t="n"/>
      <c r="S451" s="40" t="n"/>
      <c r="T451" s="40" t="n"/>
      <c r="U451" s="40" t="n"/>
      <c r="V451" s="40" t="n"/>
      <c r="W451" s="40" t="n"/>
      <c r="X451" s="40" t="n"/>
      <c r="Y451" s="40" t="n"/>
      <c r="Z451" s="40" t="n"/>
      <c r="AA451" s="39" t="n"/>
    </row>
    <row r="452">
      <c r="A452" s="7" t="n"/>
      <c r="B452" s="7" t="n"/>
      <c r="C452" s="39" t="n"/>
      <c r="D452" s="39" t="n"/>
      <c r="E452" s="7" t="n"/>
      <c r="F452" s="7" t="n"/>
      <c r="G452" s="7" t="n"/>
      <c r="H452" s="39" t="n"/>
      <c r="I452" s="39" t="n"/>
      <c r="J452" s="39" t="n"/>
      <c r="K452" s="39" t="n"/>
      <c r="L452" s="39" t="n"/>
      <c r="M452" s="7" t="n"/>
      <c r="N452" s="7" t="n"/>
      <c r="O452" s="40" t="n"/>
      <c r="P452" s="40" t="n"/>
      <c r="Q452" s="40" t="n"/>
      <c r="R452" s="40" t="n"/>
      <c r="S452" s="40" t="n"/>
      <c r="T452" s="40" t="n"/>
      <c r="U452" s="40" t="n"/>
      <c r="V452" s="40" t="n"/>
      <c r="W452" s="40" t="n"/>
      <c r="X452" s="40" t="n"/>
      <c r="Y452" s="40" t="n"/>
      <c r="Z452" s="40" t="n"/>
      <c r="AA452" s="39" t="n"/>
    </row>
    <row r="453">
      <c r="A453" s="7" t="n"/>
      <c r="B453" s="7" t="n"/>
      <c r="C453" s="39" t="n"/>
      <c r="D453" s="39" t="n"/>
      <c r="E453" s="7" t="n"/>
      <c r="F453" s="7" t="n"/>
      <c r="G453" s="7" t="n"/>
      <c r="H453" s="39" t="n"/>
      <c r="I453" s="39" t="n"/>
      <c r="J453" s="39" t="n"/>
      <c r="K453" s="39" t="n"/>
      <c r="L453" s="39" t="n"/>
      <c r="M453" s="7" t="n"/>
      <c r="N453" s="7" t="n"/>
      <c r="O453" s="40" t="n"/>
      <c r="P453" s="40" t="n"/>
      <c r="Q453" s="40" t="n"/>
      <c r="R453" s="40" t="n"/>
      <c r="S453" s="40" t="n"/>
      <c r="T453" s="40" t="n"/>
      <c r="U453" s="40" t="n"/>
      <c r="V453" s="40" t="n"/>
      <c r="W453" s="40" t="n"/>
      <c r="X453" s="40" t="n"/>
      <c r="Y453" s="40" t="n"/>
      <c r="Z453" s="40" t="n"/>
      <c r="AA453" s="39" t="n"/>
    </row>
    <row r="454">
      <c r="A454" s="7" t="n"/>
      <c r="B454" s="7" t="n"/>
      <c r="C454" s="39" t="n"/>
      <c r="D454" s="39" t="n"/>
      <c r="E454" s="7" t="n"/>
      <c r="F454" s="7" t="n"/>
      <c r="G454" s="7" t="n"/>
      <c r="H454" s="39" t="n"/>
      <c r="I454" s="39" t="n"/>
      <c r="J454" s="39" t="n"/>
      <c r="K454" s="39" t="n"/>
      <c r="L454" s="39" t="n"/>
      <c r="M454" s="7" t="n"/>
      <c r="N454" s="7" t="n"/>
      <c r="O454" s="40" t="n"/>
      <c r="P454" s="40" t="n"/>
      <c r="Q454" s="40" t="n"/>
      <c r="R454" s="40" t="n"/>
      <c r="S454" s="40" t="n"/>
      <c r="T454" s="40" t="n"/>
      <c r="U454" s="40" t="n"/>
      <c r="V454" s="40" t="n"/>
      <c r="W454" s="40" t="n"/>
      <c r="X454" s="40" t="n"/>
      <c r="Y454" s="40" t="n"/>
      <c r="Z454" s="40" t="n"/>
      <c r="AA454" s="39" t="n"/>
    </row>
    <row r="455">
      <c r="A455" s="7" t="n"/>
      <c r="B455" s="7" t="n"/>
      <c r="C455" s="39" t="n"/>
      <c r="D455" s="39" t="n"/>
      <c r="E455" s="7" t="n"/>
      <c r="F455" s="7" t="n"/>
      <c r="G455" s="7" t="n"/>
      <c r="H455" s="39" t="n"/>
      <c r="I455" s="39" t="n"/>
      <c r="J455" s="39" t="n"/>
      <c r="K455" s="39" t="n"/>
      <c r="L455" s="39" t="n"/>
      <c r="M455" s="7" t="n"/>
      <c r="N455" s="7" t="n"/>
      <c r="O455" s="40" t="n"/>
      <c r="P455" s="40" t="n"/>
      <c r="Q455" s="40" t="n"/>
      <c r="R455" s="40" t="n"/>
      <c r="S455" s="40" t="n"/>
      <c r="T455" s="40" t="n"/>
      <c r="U455" s="40" t="n"/>
      <c r="V455" s="40" t="n"/>
      <c r="W455" s="40" t="n"/>
      <c r="X455" s="40" t="n"/>
      <c r="Y455" s="40" t="n"/>
      <c r="Z455" s="40" t="n"/>
      <c r="AA455" s="39" t="n"/>
    </row>
    <row r="456">
      <c r="A456" s="7" t="n"/>
      <c r="B456" s="7" t="n"/>
      <c r="C456" s="39" t="n"/>
      <c r="D456" s="39" t="n"/>
      <c r="E456" s="7" t="n"/>
      <c r="F456" s="7" t="n"/>
      <c r="G456" s="7" t="n"/>
      <c r="H456" s="39" t="n"/>
      <c r="I456" s="39" t="n"/>
      <c r="J456" s="39" t="n"/>
      <c r="K456" s="39" t="n"/>
      <c r="L456" s="39" t="n"/>
      <c r="M456" s="7" t="n"/>
      <c r="N456" s="7" t="n"/>
      <c r="O456" s="40" t="n"/>
      <c r="P456" s="40" t="n"/>
      <c r="Q456" s="40" t="n"/>
      <c r="R456" s="40" t="n"/>
      <c r="S456" s="40" t="n"/>
      <c r="T456" s="40" t="n"/>
      <c r="U456" s="40" t="n"/>
      <c r="V456" s="40" t="n"/>
      <c r="W456" s="40" t="n"/>
      <c r="X456" s="40" t="n"/>
      <c r="Y456" s="40" t="n"/>
      <c r="Z456" s="40" t="n"/>
      <c r="AA456" s="39" t="n"/>
    </row>
    <row r="457">
      <c r="A457" s="7" t="n"/>
      <c r="B457" s="7" t="n"/>
      <c r="C457" s="39" t="n"/>
      <c r="D457" s="39" t="n"/>
      <c r="E457" s="7" t="n"/>
      <c r="F457" s="7" t="n"/>
      <c r="G457" s="7" t="n"/>
      <c r="H457" s="39" t="n"/>
      <c r="I457" s="39" t="n"/>
      <c r="J457" s="39" t="n"/>
      <c r="K457" s="39" t="n"/>
      <c r="L457" s="39" t="n"/>
      <c r="M457" s="7" t="n"/>
      <c r="N457" s="7" t="n"/>
      <c r="O457" s="40" t="n"/>
      <c r="P457" s="40" t="n"/>
      <c r="Q457" s="40" t="n"/>
      <c r="R457" s="40" t="n"/>
      <c r="S457" s="40" t="n"/>
      <c r="T457" s="40" t="n"/>
      <c r="U457" s="40" t="n"/>
      <c r="V457" s="40" t="n"/>
      <c r="W457" s="40" t="n"/>
      <c r="X457" s="40" t="n"/>
      <c r="Y457" s="40" t="n"/>
      <c r="Z457" s="40" t="n"/>
      <c r="AA457" s="39" t="n"/>
    </row>
    <row r="458">
      <c r="A458" s="7" t="n"/>
      <c r="B458" s="7" t="n"/>
      <c r="C458" s="39" t="n"/>
      <c r="D458" s="39" t="n"/>
      <c r="E458" s="7" t="n"/>
      <c r="F458" s="7" t="n"/>
      <c r="G458" s="7" t="n"/>
      <c r="H458" s="39" t="n"/>
      <c r="I458" s="39" t="n"/>
      <c r="J458" s="39" t="n"/>
      <c r="K458" s="39" t="n"/>
      <c r="L458" s="39" t="n"/>
      <c r="M458" s="7" t="n"/>
      <c r="N458" s="7" t="n"/>
      <c r="O458" s="40" t="n"/>
      <c r="P458" s="40" t="n"/>
      <c r="Q458" s="40" t="n"/>
      <c r="R458" s="40" t="n"/>
      <c r="S458" s="40" t="n"/>
      <c r="T458" s="40" t="n"/>
      <c r="U458" s="40" t="n"/>
      <c r="V458" s="40" t="n"/>
      <c r="W458" s="40" t="n"/>
      <c r="X458" s="40" t="n"/>
      <c r="Y458" s="40" t="n"/>
      <c r="Z458" s="40" t="n"/>
      <c r="AA458" s="39" t="n"/>
    </row>
    <row r="459">
      <c r="A459" s="7" t="n"/>
      <c r="B459" s="7" t="n"/>
      <c r="C459" s="39" t="n"/>
      <c r="D459" s="39" t="n"/>
      <c r="E459" s="7" t="n"/>
      <c r="F459" s="7" t="n"/>
      <c r="G459" s="7" t="n"/>
      <c r="H459" s="39" t="n"/>
      <c r="I459" s="39" t="n"/>
      <c r="J459" s="39" t="n"/>
      <c r="K459" s="39" t="n"/>
      <c r="L459" s="39" t="n"/>
      <c r="M459" s="7" t="n"/>
      <c r="N459" s="7" t="n"/>
      <c r="O459" s="40" t="n"/>
      <c r="P459" s="40" t="n"/>
      <c r="Q459" s="40" t="n"/>
      <c r="R459" s="40" t="n"/>
      <c r="S459" s="40" t="n"/>
      <c r="T459" s="40" t="n"/>
      <c r="U459" s="40" t="n"/>
      <c r="V459" s="40" t="n"/>
      <c r="W459" s="40" t="n"/>
      <c r="X459" s="40" t="n"/>
      <c r="Y459" s="40" t="n"/>
      <c r="Z459" s="40" t="n"/>
      <c r="AA459" s="39" t="n"/>
    </row>
    <row r="460">
      <c r="A460" s="7" t="n"/>
      <c r="B460" s="7" t="n"/>
      <c r="C460" s="39" t="n"/>
      <c r="D460" s="39" t="n"/>
      <c r="E460" s="7" t="n"/>
      <c r="F460" s="7" t="n"/>
      <c r="G460" s="7" t="n"/>
      <c r="H460" s="39" t="n"/>
      <c r="I460" s="39" t="n"/>
      <c r="J460" s="39" t="n"/>
      <c r="K460" s="39" t="n"/>
      <c r="L460" s="39" t="n"/>
      <c r="M460" s="7" t="n"/>
      <c r="N460" s="7" t="n"/>
      <c r="O460" s="40" t="n"/>
      <c r="P460" s="40" t="n"/>
      <c r="Q460" s="40" t="n"/>
      <c r="R460" s="40" t="n"/>
      <c r="S460" s="40" t="n"/>
      <c r="T460" s="40" t="n"/>
      <c r="U460" s="40" t="n"/>
      <c r="V460" s="40" t="n"/>
      <c r="W460" s="40" t="n"/>
      <c r="X460" s="40" t="n"/>
      <c r="Y460" s="40" t="n"/>
      <c r="Z460" s="40" t="n"/>
      <c r="AA460" s="39" t="n"/>
    </row>
    <row r="461">
      <c r="A461" s="7" t="n"/>
      <c r="B461" s="7" t="n"/>
      <c r="C461" s="39" t="n"/>
      <c r="D461" s="39" t="n"/>
      <c r="E461" s="7" t="n"/>
      <c r="F461" s="7" t="n"/>
      <c r="G461" s="7" t="n"/>
      <c r="H461" s="39" t="n"/>
      <c r="I461" s="39" t="n"/>
      <c r="J461" s="39" t="n"/>
      <c r="K461" s="39" t="n"/>
      <c r="L461" s="39" t="n"/>
      <c r="M461" s="7" t="n"/>
      <c r="N461" s="7" t="n"/>
      <c r="O461" s="40" t="n"/>
      <c r="P461" s="40" t="n"/>
      <c r="Q461" s="40" t="n"/>
      <c r="R461" s="40" t="n"/>
      <c r="S461" s="40" t="n"/>
      <c r="T461" s="40" t="n"/>
      <c r="U461" s="40" t="n"/>
      <c r="V461" s="40" t="n"/>
      <c r="W461" s="40" t="n"/>
      <c r="X461" s="40" t="n"/>
      <c r="Y461" s="40" t="n"/>
      <c r="Z461" s="40" t="n"/>
      <c r="AA461" s="39" t="n"/>
    </row>
    <row r="462">
      <c r="A462" s="7" t="n"/>
      <c r="B462" s="7" t="n"/>
      <c r="C462" s="39" t="n"/>
      <c r="D462" s="39" t="n"/>
      <c r="E462" s="7" t="n"/>
      <c r="F462" s="7" t="n"/>
      <c r="G462" s="7" t="n"/>
      <c r="H462" s="39" t="n"/>
      <c r="I462" s="39" t="n"/>
      <c r="J462" s="39" t="n"/>
      <c r="K462" s="39" t="n"/>
      <c r="L462" s="39" t="n"/>
      <c r="M462" s="7" t="n"/>
      <c r="N462" s="7" t="n"/>
      <c r="O462" s="40" t="n"/>
      <c r="P462" s="40" t="n"/>
      <c r="Q462" s="40" t="n"/>
      <c r="R462" s="40" t="n"/>
      <c r="S462" s="40" t="n"/>
      <c r="T462" s="40" t="n"/>
      <c r="U462" s="40" t="n"/>
      <c r="V462" s="40" t="n"/>
      <c r="W462" s="40" t="n"/>
      <c r="X462" s="40" t="n"/>
      <c r="Y462" s="40" t="n"/>
      <c r="Z462" s="40" t="n"/>
      <c r="AA462" s="39" t="n"/>
    </row>
    <row r="463">
      <c r="A463" s="7" t="n"/>
      <c r="B463" s="7" t="n"/>
      <c r="C463" s="39" t="n"/>
      <c r="D463" s="39" t="n"/>
      <c r="E463" s="7" t="n"/>
      <c r="F463" s="7" t="n"/>
      <c r="G463" s="7" t="n"/>
      <c r="H463" s="39" t="n"/>
      <c r="I463" s="39" t="n"/>
      <c r="J463" s="39" t="n"/>
      <c r="K463" s="39" t="n"/>
      <c r="L463" s="39" t="n"/>
      <c r="M463" s="7" t="n"/>
      <c r="N463" s="7" t="n"/>
      <c r="O463" s="40" t="n"/>
      <c r="P463" s="40" t="n"/>
      <c r="Q463" s="40" t="n"/>
      <c r="R463" s="40" t="n"/>
      <c r="S463" s="40" t="n"/>
      <c r="T463" s="40" t="n"/>
      <c r="U463" s="40" t="n"/>
      <c r="V463" s="40" t="n"/>
      <c r="W463" s="40" t="n"/>
      <c r="X463" s="40" t="n"/>
      <c r="Y463" s="40" t="n"/>
      <c r="Z463" s="40" t="n"/>
      <c r="AA463" s="39" t="n"/>
    </row>
    <row r="464">
      <c r="A464" s="7" t="n"/>
      <c r="B464" s="7" t="n"/>
      <c r="C464" s="39" t="n"/>
      <c r="D464" s="39" t="n"/>
      <c r="E464" s="7" t="n"/>
      <c r="F464" s="7" t="n"/>
      <c r="G464" s="7" t="n"/>
      <c r="H464" s="39" t="n"/>
      <c r="I464" s="39" t="n"/>
      <c r="J464" s="39" t="n"/>
      <c r="K464" s="39" t="n"/>
      <c r="L464" s="39" t="n"/>
      <c r="M464" s="7" t="n"/>
      <c r="N464" s="7" t="n"/>
      <c r="O464" s="40" t="n"/>
      <c r="P464" s="40" t="n"/>
      <c r="Q464" s="40" t="n"/>
      <c r="R464" s="40" t="n"/>
      <c r="S464" s="40" t="n"/>
      <c r="T464" s="40" t="n"/>
      <c r="U464" s="40" t="n"/>
      <c r="V464" s="40" t="n"/>
      <c r="W464" s="40" t="n"/>
      <c r="X464" s="40" t="n"/>
      <c r="Y464" s="40" t="n"/>
      <c r="Z464" s="40" t="n"/>
      <c r="AA464" s="39" t="n"/>
    </row>
    <row r="465">
      <c r="A465" s="7" t="n"/>
      <c r="B465" s="7" t="n"/>
      <c r="C465" s="39" t="n"/>
      <c r="D465" s="39" t="n"/>
      <c r="E465" s="7" t="n"/>
      <c r="F465" s="7" t="n"/>
      <c r="G465" s="7" t="n"/>
      <c r="H465" s="39" t="n"/>
      <c r="I465" s="39" t="n"/>
      <c r="J465" s="39" t="n"/>
      <c r="K465" s="39" t="n"/>
      <c r="L465" s="39" t="n"/>
      <c r="M465" s="7" t="n"/>
      <c r="N465" s="7" t="n"/>
      <c r="O465" s="40" t="n"/>
      <c r="P465" s="40" t="n"/>
      <c r="Q465" s="40" t="n"/>
      <c r="R465" s="40" t="n"/>
      <c r="S465" s="40" t="n"/>
      <c r="T465" s="40" t="n"/>
      <c r="U465" s="40" t="n"/>
      <c r="V465" s="40" t="n"/>
      <c r="W465" s="40" t="n"/>
      <c r="X465" s="40" t="n"/>
      <c r="Y465" s="40" t="n"/>
      <c r="Z465" s="40" t="n"/>
      <c r="AA465" s="39" t="n"/>
    </row>
    <row r="466">
      <c r="A466" s="7" t="n"/>
      <c r="B466" s="7" t="n"/>
      <c r="C466" s="39" t="n"/>
      <c r="D466" s="39" t="n"/>
      <c r="E466" s="7" t="n"/>
      <c r="F466" s="7" t="n"/>
      <c r="G466" s="7" t="n"/>
      <c r="H466" s="39" t="n"/>
      <c r="I466" s="39" t="n"/>
      <c r="J466" s="39" t="n"/>
      <c r="K466" s="39" t="n"/>
      <c r="L466" s="39" t="n"/>
      <c r="M466" s="7" t="n"/>
      <c r="N466" s="7" t="n"/>
      <c r="O466" s="40" t="n"/>
      <c r="P466" s="40" t="n"/>
      <c r="Q466" s="40" t="n"/>
      <c r="R466" s="40" t="n"/>
      <c r="S466" s="40" t="n"/>
      <c r="T466" s="40" t="n"/>
      <c r="U466" s="40" t="n"/>
      <c r="V466" s="40" t="n"/>
      <c r="W466" s="40" t="n"/>
      <c r="X466" s="40" t="n"/>
      <c r="Y466" s="40" t="n"/>
      <c r="Z466" s="40" t="n"/>
      <c r="AA466" s="39" t="n"/>
    </row>
    <row r="467">
      <c r="A467" s="7" t="n"/>
      <c r="B467" s="7" t="n"/>
      <c r="C467" s="39" t="n"/>
      <c r="D467" s="39" t="n"/>
      <c r="E467" s="7" t="n"/>
      <c r="F467" s="7" t="n"/>
      <c r="G467" s="7" t="n"/>
      <c r="H467" s="39" t="n"/>
      <c r="I467" s="39" t="n"/>
      <c r="J467" s="39" t="n"/>
      <c r="K467" s="39" t="n"/>
      <c r="L467" s="39" t="n"/>
      <c r="M467" s="7" t="n"/>
      <c r="N467" s="7" t="n"/>
      <c r="O467" s="40" t="n"/>
      <c r="P467" s="40" t="n"/>
      <c r="Q467" s="40" t="n"/>
      <c r="R467" s="40" t="n"/>
      <c r="S467" s="40" t="n"/>
      <c r="T467" s="40" t="n"/>
      <c r="U467" s="40" t="n"/>
      <c r="V467" s="40" t="n"/>
      <c r="W467" s="40" t="n"/>
      <c r="X467" s="40" t="n"/>
      <c r="Y467" s="40" t="n"/>
      <c r="Z467" s="40" t="n"/>
      <c r="AA467" s="39" t="n"/>
    </row>
    <row r="468">
      <c r="A468" s="7" t="n"/>
      <c r="B468" s="7" t="n"/>
      <c r="C468" s="39" t="n"/>
      <c r="D468" s="39" t="n"/>
      <c r="E468" s="7" t="n"/>
      <c r="F468" s="7" t="n"/>
      <c r="G468" s="7" t="n"/>
      <c r="H468" s="39" t="n"/>
      <c r="I468" s="39" t="n"/>
      <c r="J468" s="39" t="n"/>
      <c r="K468" s="39" t="n"/>
      <c r="L468" s="39" t="n"/>
      <c r="M468" s="7" t="n"/>
      <c r="N468" s="7" t="n"/>
      <c r="O468" s="40" t="n"/>
      <c r="P468" s="40" t="n"/>
      <c r="Q468" s="40" t="n"/>
      <c r="R468" s="40" t="n"/>
      <c r="S468" s="40" t="n"/>
      <c r="T468" s="40" t="n"/>
      <c r="U468" s="40" t="n"/>
      <c r="V468" s="40" t="n"/>
      <c r="W468" s="40" t="n"/>
      <c r="X468" s="40" t="n"/>
      <c r="Y468" s="40" t="n"/>
      <c r="Z468" s="40" t="n"/>
      <c r="AA468" s="39" t="n"/>
    </row>
    <row r="469">
      <c r="A469" s="7" t="n"/>
      <c r="B469" s="7" t="n"/>
      <c r="C469" s="39" t="n"/>
      <c r="D469" s="39" t="n"/>
      <c r="E469" s="7" t="n"/>
      <c r="F469" s="7" t="n"/>
      <c r="G469" s="7" t="n"/>
      <c r="H469" s="39" t="n"/>
      <c r="I469" s="39" t="n"/>
      <c r="J469" s="39" t="n"/>
      <c r="K469" s="39" t="n"/>
      <c r="L469" s="39" t="n"/>
      <c r="M469" s="7" t="n"/>
      <c r="N469" s="7" t="n"/>
      <c r="O469" s="40" t="n"/>
      <c r="P469" s="40" t="n"/>
      <c r="Q469" s="40" t="n"/>
      <c r="R469" s="40" t="n"/>
      <c r="S469" s="40" t="n"/>
      <c r="T469" s="40" t="n"/>
      <c r="U469" s="40" t="n"/>
      <c r="V469" s="40" t="n"/>
      <c r="W469" s="40" t="n"/>
      <c r="X469" s="40" t="n"/>
      <c r="Y469" s="40" t="n"/>
      <c r="Z469" s="40" t="n"/>
      <c r="AA469" s="39" t="n"/>
    </row>
    <row r="470">
      <c r="A470" s="7" t="n"/>
      <c r="B470" s="7" t="n"/>
      <c r="C470" s="39" t="n"/>
      <c r="D470" s="39" t="n"/>
      <c r="E470" s="7" t="n"/>
      <c r="F470" s="7" t="n"/>
      <c r="G470" s="7" t="n"/>
      <c r="H470" s="39" t="n"/>
      <c r="I470" s="39" t="n"/>
      <c r="J470" s="39" t="n"/>
      <c r="K470" s="39" t="n"/>
      <c r="L470" s="39" t="n"/>
      <c r="M470" s="7" t="n"/>
      <c r="N470" s="7" t="n"/>
      <c r="O470" s="40" t="n"/>
      <c r="P470" s="40" t="n"/>
      <c r="Q470" s="40" t="n"/>
      <c r="R470" s="40" t="n"/>
      <c r="S470" s="40" t="n"/>
      <c r="T470" s="40" t="n"/>
      <c r="U470" s="40" t="n"/>
      <c r="V470" s="40" t="n"/>
      <c r="W470" s="40" t="n"/>
      <c r="X470" s="40" t="n"/>
      <c r="Y470" s="40" t="n"/>
      <c r="Z470" s="40" t="n"/>
      <c r="AA470" s="39" t="n"/>
    </row>
    <row r="471">
      <c r="A471" s="7" t="n"/>
      <c r="B471" s="7" t="n"/>
      <c r="C471" s="39" t="n"/>
      <c r="D471" s="39" t="n"/>
      <c r="E471" s="7" t="n"/>
      <c r="F471" s="7" t="n"/>
      <c r="G471" s="7" t="n"/>
      <c r="H471" s="39" t="n"/>
      <c r="I471" s="39" t="n"/>
      <c r="J471" s="39" t="n"/>
      <c r="K471" s="39" t="n"/>
      <c r="L471" s="39" t="n"/>
      <c r="M471" s="7" t="n"/>
      <c r="N471" s="7" t="n"/>
      <c r="O471" s="40" t="n"/>
      <c r="P471" s="40" t="n"/>
      <c r="Q471" s="40" t="n"/>
      <c r="R471" s="40" t="n"/>
      <c r="S471" s="40" t="n"/>
      <c r="T471" s="40" t="n"/>
      <c r="U471" s="40" t="n"/>
      <c r="V471" s="40" t="n"/>
      <c r="W471" s="40" t="n"/>
      <c r="X471" s="40" t="n"/>
      <c r="Y471" s="40" t="n"/>
      <c r="Z471" s="40" t="n"/>
      <c r="AA471" s="39" t="n"/>
    </row>
    <row r="472">
      <c r="A472" s="7" t="n"/>
      <c r="B472" s="7" t="n"/>
      <c r="C472" s="39" t="n"/>
      <c r="D472" s="39" t="n"/>
      <c r="E472" s="7" t="n"/>
      <c r="F472" s="7" t="n"/>
      <c r="G472" s="7" t="n"/>
      <c r="H472" s="39" t="n"/>
      <c r="I472" s="39" t="n"/>
      <c r="J472" s="39" t="n"/>
      <c r="K472" s="39" t="n"/>
      <c r="L472" s="39" t="n"/>
      <c r="M472" s="7" t="n"/>
      <c r="N472" s="7" t="n"/>
      <c r="O472" s="40" t="n"/>
      <c r="P472" s="40" t="n"/>
      <c r="Q472" s="40" t="n"/>
      <c r="R472" s="40" t="n"/>
      <c r="S472" s="40" t="n"/>
      <c r="T472" s="40" t="n"/>
      <c r="U472" s="40" t="n"/>
      <c r="V472" s="40" t="n"/>
      <c r="W472" s="40" t="n"/>
      <c r="X472" s="40" t="n"/>
      <c r="Y472" s="40" t="n"/>
      <c r="Z472" s="40" t="n"/>
      <c r="AA472" s="39" t="n"/>
    </row>
    <row r="473">
      <c r="A473" s="7" t="n"/>
      <c r="B473" s="7" t="n"/>
      <c r="C473" s="39" t="n"/>
      <c r="D473" s="39" t="n"/>
      <c r="E473" s="7" t="n"/>
      <c r="F473" s="7" t="n"/>
      <c r="G473" s="7" t="n"/>
      <c r="H473" s="39" t="n"/>
      <c r="I473" s="39" t="n"/>
      <c r="J473" s="39" t="n"/>
      <c r="K473" s="39" t="n"/>
      <c r="L473" s="39" t="n"/>
      <c r="M473" s="7" t="n"/>
      <c r="N473" s="7" t="n"/>
      <c r="O473" s="40" t="n"/>
      <c r="P473" s="40" t="n"/>
      <c r="Q473" s="40" t="n"/>
      <c r="R473" s="40" t="n"/>
      <c r="S473" s="40" t="n"/>
      <c r="T473" s="40" t="n"/>
      <c r="U473" s="40" t="n"/>
      <c r="V473" s="40" t="n"/>
      <c r="W473" s="40" t="n"/>
      <c r="X473" s="40" t="n"/>
      <c r="Y473" s="40" t="n"/>
      <c r="Z473" s="40" t="n"/>
      <c r="AA473" s="39" t="n"/>
    </row>
    <row r="474">
      <c r="A474" s="7" t="n"/>
      <c r="B474" s="7" t="n"/>
      <c r="C474" s="39" t="n"/>
      <c r="D474" s="39" t="n"/>
      <c r="E474" s="7" t="n"/>
      <c r="F474" s="7" t="n"/>
      <c r="G474" s="7" t="n"/>
      <c r="H474" s="39" t="n"/>
      <c r="I474" s="39" t="n"/>
      <c r="J474" s="39" t="n"/>
      <c r="K474" s="39" t="n"/>
      <c r="L474" s="39" t="n"/>
      <c r="M474" s="7" t="n"/>
      <c r="N474" s="7" t="n"/>
      <c r="O474" s="40" t="n"/>
      <c r="P474" s="40" t="n"/>
      <c r="Q474" s="40" t="n"/>
      <c r="R474" s="40" t="n"/>
      <c r="S474" s="40" t="n"/>
      <c r="T474" s="40" t="n"/>
      <c r="U474" s="40" t="n"/>
      <c r="V474" s="40" t="n"/>
      <c r="W474" s="40" t="n"/>
      <c r="X474" s="40" t="n"/>
      <c r="Y474" s="40" t="n"/>
      <c r="Z474" s="40" t="n"/>
      <c r="AA474" s="39" t="n"/>
    </row>
    <row r="475">
      <c r="A475" s="7" t="n"/>
      <c r="B475" s="7" t="n"/>
      <c r="C475" s="39" t="n"/>
      <c r="D475" s="39" t="n"/>
      <c r="E475" s="7" t="n"/>
      <c r="F475" s="7" t="n"/>
      <c r="G475" s="7" t="n"/>
      <c r="H475" s="39" t="n"/>
      <c r="I475" s="39" t="n"/>
      <c r="J475" s="39" t="n"/>
      <c r="K475" s="39" t="n"/>
      <c r="L475" s="39" t="n"/>
      <c r="M475" s="7" t="n"/>
      <c r="N475" s="7" t="n"/>
      <c r="O475" s="40" t="n"/>
      <c r="P475" s="40" t="n"/>
      <c r="Q475" s="40" t="n"/>
      <c r="R475" s="40" t="n"/>
      <c r="S475" s="40" t="n"/>
      <c r="T475" s="40" t="n"/>
      <c r="U475" s="40" t="n"/>
      <c r="V475" s="40" t="n"/>
      <c r="W475" s="40" t="n"/>
      <c r="X475" s="40" t="n"/>
      <c r="Y475" s="40" t="n"/>
      <c r="Z475" s="40" t="n"/>
      <c r="AA475" s="39" t="n"/>
    </row>
    <row r="476">
      <c r="A476" s="7" t="n"/>
      <c r="B476" s="7" t="n"/>
      <c r="C476" s="39" t="n"/>
      <c r="D476" s="39" t="n"/>
      <c r="E476" s="7" t="n"/>
      <c r="F476" s="7" t="n"/>
      <c r="G476" s="7" t="n"/>
      <c r="H476" s="39" t="n"/>
      <c r="I476" s="39" t="n"/>
      <c r="J476" s="39" t="n"/>
      <c r="K476" s="39" t="n"/>
      <c r="L476" s="39" t="n"/>
      <c r="M476" s="7" t="n"/>
      <c r="N476" s="7" t="n"/>
      <c r="O476" s="40" t="n"/>
      <c r="P476" s="40" t="n"/>
      <c r="Q476" s="40" t="n"/>
      <c r="R476" s="40" t="n"/>
      <c r="S476" s="40" t="n"/>
      <c r="T476" s="40" t="n"/>
      <c r="U476" s="40" t="n"/>
      <c r="V476" s="40" t="n"/>
      <c r="W476" s="40" t="n"/>
      <c r="X476" s="40" t="n"/>
      <c r="Y476" s="40" t="n"/>
      <c r="Z476" s="40" t="n"/>
      <c r="AA476" s="39" t="n"/>
    </row>
    <row r="477">
      <c r="A477" s="7" t="n"/>
      <c r="B477" s="7" t="n"/>
      <c r="C477" s="39" t="n"/>
      <c r="D477" s="39" t="n"/>
      <c r="E477" s="7" t="n"/>
      <c r="F477" s="7" t="n"/>
      <c r="G477" s="7" t="n"/>
      <c r="H477" s="39" t="n"/>
      <c r="I477" s="39" t="n"/>
      <c r="J477" s="39" t="n"/>
      <c r="K477" s="39" t="n"/>
      <c r="L477" s="39" t="n"/>
      <c r="M477" s="7" t="n"/>
      <c r="N477" s="7" t="n"/>
      <c r="O477" s="40" t="n"/>
      <c r="P477" s="40" t="n"/>
      <c r="Q477" s="40" t="n"/>
      <c r="R477" s="40" t="n"/>
      <c r="S477" s="40" t="n"/>
      <c r="T477" s="40" t="n"/>
      <c r="U477" s="40" t="n"/>
      <c r="V477" s="40" t="n"/>
      <c r="W477" s="40" t="n"/>
      <c r="X477" s="40" t="n"/>
      <c r="Y477" s="40" t="n"/>
      <c r="Z477" s="40" t="n"/>
      <c r="AA477" s="39" t="n"/>
    </row>
    <row r="478">
      <c r="A478" s="7" t="n"/>
      <c r="B478" s="7" t="n"/>
      <c r="C478" s="39" t="n"/>
      <c r="D478" s="39" t="n"/>
      <c r="E478" s="7" t="n"/>
      <c r="F478" s="7" t="n"/>
      <c r="G478" s="7" t="n"/>
      <c r="H478" s="39" t="n"/>
      <c r="I478" s="39" t="n"/>
      <c r="J478" s="39" t="n"/>
      <c r="K478" s="39" t="n"/>
      <c r="L478" s="39" t="n"/>
      <c r="M478" s="7" t="n"/>
      <c r="N478" s="7" t="n"/>
      <c r="O478" s="40" t="n"/>
      <c r="P478" s="40" t="n"/>
      <c r="Q478" s="40" t="n"/>
      <c r="R478" s="40" t="n"/>
      <c r="S478" s="40" t="n"/>
      <c r="T478" s="40" t="n"/>
      <c r="U478" s="40" t="n"/>
      <c r="V478" s="40" t="n"/>
      <c r="W478" s="40" t="n"/>
      <c r="X478" s="40" t="n"/>
      <c r="Y478" s="40" t="n"/>
      <c r="Z478" s="40" t="n"/>
      <c r="AA478" s="39" t="n"/>
    </row>
    <row r="479">
      <c r="A479" s="7" t="n"/>
      <c r="B479" s="7" t="n"/>
      <c r="C479" s="39" t="n"/>
      <c r="D479" s="39" t="n"/>
      <c r="E479" s="7" t="n"/>
      <c r="F479" s="7" t="n"/>
      <c r="G479" s="7" t="n"/>
      <c r="H479" s="39" t="n"/>
      <c r="I479" s="39" t="n"/>
      <c r="J479" s="39" t="n"/>
      <c r="K479" s="39" t="n"/>
      <c r="L479" s="39" t="n"/>
      <c r="M479" s="7" t="n"/>
      <c r="N479" s="7" t="n"/>
      <c r="O479" s="40" t="n"/>
      <c r="P479" s="40" t="n"/>
      <c r="Q479" s="40" t="n"/>
      <c r="R479" s="40" t="n"/>
      <c r="S479" s="40" t="n"/>
      <c r="T479" s="40" t="n"/>
      <c r="U479" s="40" t="n"/>
      <c r="V479" s="40" t="n"/>
      <c r="W479" s="40" t="n"/>
      <c r="X479" s="40" t="n"/>
      <c r="Y479" s="40" t="n"/>
      <c r="Z479" s="40" t="n"/>
      <c r="AA479" s="39" t="n"/>
    </row>
    <row r="480">
      <c r="A480" s="7" t="n"/>
      <c r="B480" s="7" t="n"/>
      <c r="C480" s="39" t="n"/>
      <c r="D480" s="39" t="n"/>
      <c r="E480" s="7" t="n"/>
      <c r="F480" s="7" t="n"/>
      <c r="G480" s="7" t="n"/>
      <c r="H480" s="39" t="n"/>
      <c r="I480" s="39" t="n"/>
      <c r="J480" s="39" t="n"/>
      <c r="K480" s="39" t="n"/>
      <c r="L480" s="39" t="n"/>
      <c r="M480" s="7" t="n"/>
      <c r="N480" s="7" t="n"/>
      <c r="O480" s="40" t="n"/>
      <c r="P480" s="40" t="n"/>
      <c r="Q480" s="40" t="n"/>
      <c r="R480" s="40" t="n"/>
      <c r="S480" s="40" t="n"/>
      <c r="T480" s="40" t="n"/>
      <c r="U480" s="40" t="n"/>
      <c r="V480" s="40" t="n"/>
      <c r="W480" s="40" t="n"/>
      <c r="X480" s="40" t="n"/>
      <c r="Y480" s="40" t="n"/>
      <c r="Z480" s="40" t="n"/>
      <c r="AA480" s="39" t="n"/>
    </row>
    <row r="481">
      <c r="A481" s="7" t="n"/>
      <c r="B481" s="7" t="n"/>
      <c r="C481" s="39" t="n"/>
      <c r="D481" s="39" t="n"/>
      <c r="E481" s="7" t="n"/>
      <c r="F481" s="7" t="n"/>
      <c r="G481" s="7" t="n"/>
      <c r="H481" s="39" t="n"/>
      <c r="I481" s="39" t="n"/>
      <c r="J481" s="39" t="n"/>
      <c r="K481" s="39" t="n"/>
      <c r="L481" s="39" t="n"/>
      <c r="M481" s="7" t="n"/>
      <c r="N481" s="7" t="n"/>
      <c r="O481" s="40" t="n"/>
      <c r="P481" s="40" t="n"/>
      <c r="Q481" s="40" t="n"/>
      <c r="R481" s="40" t="n"/>
      <c r="S481" s="40" t="n"/>
      <c r="T481" s="40" t="n"/>
      <c r="U481" s="40" t="n"/>
      <c r="V481" s="40" t="n"/>
      <c r="W481" s="40" t="n"/>
      <c r="X481" s="40" t="n"/>
      <c r="Y481" s="40" t="n"/>
      <c r="Z481" s="40" t="n"/>
      <c r="AA481" s="39" t="n"/>
    </row>
    <row r="482">
      <c r="A482" s="7" t="n"/>
      <c r="B482" s="7" t="n"/>
      <c r="C482" s="39" t="n"/>
      <c r="D482" s="39" t="n"/>
      <c r="E482" s="7" t="n"/>
      <c r="F482" s="7" t="n"/>
      <c r="G482" s="7" t="n"/>
      <c r="H482" s="39" t="n"/>
      <c r="I482" s="39" t="n"/>
      <c r="J482" s="39" t="n"/>
      <c r="K482" s="39" t="n"/>
      <c r="L482" s="39" t="n"/>
      <c r="M482" s="7" t="n"/>
      <c r="N482" s="7" t="n"/>
      <c r="O482" s="40" t="n"/>
      <c r="P482" s="40" t="n"/>
      <c r="Q482" s="40" t="n"/>
      <c r="R482" s="40" t="n"/>
      <c r="S482" s="40" t="n"/>
      <c r="T482" s="40" t="n"/>
      <c r="U482" s="40" t="n"/>
      <c r="V482" s="40" t="n"/>
      <c r="W482" s="40" t="n"/>
      <c r="X482" s="40" t="n"/>
      <c r="Y482" s="40" t="n"/>
      <c r="Z482" s="40" t="n"/>
      <c r="AA482" s="39" t="n"/>
    </row>
    <row r="483">
      <c r="A483" s="7" t="n"/>
      <c r="B483" s="7" t="n"/>
      <c r="C483" s="39" t="n"/>
      <c r="D483" s="39" t="n"/>
      <c r="E483" s="7" t="n"/>
      <c r="F483" s="7" t="n"/>
      <c r="G483" s="7" t="n"/>
      <c r="H483" s="39" t="n"/>
      <c r="I483" s="39" t="n"/>
      <c r="J483" s="39" t="n"/>
      <c r="K483" s="39" t="n"/>
      <c r="L483" s="39" t="n"/>
      <c r="M483" s="7" t="n"/>
      <c r="N483" s="7" t="n"/>
      <c r="O483" s="40" t="n"/>
      <c r="P483" s="40" t="n"/>
      <c r="Q483" s="40" t="n"/>
      <c r="R483" s="40" t="n"/>
      <c r="S483" s="40" t="n"/>
      <c r="T483" s="40" t="n"/>
      <c r="U483" s="40" t="n"/>
      <c r="V483" s="40" t="n"/>
      <c r="W483" s="40" t="n"/>
      <c r="X483" s="40" t="n"/>
      <c r="Y483" s="40" t="n"/>
      <c r="Z483" s="40" t="n"/>
      <c r="AA483" s="39" t="n"/>
    </row>
    <row r="484">
      <c r="A484" s="7" t="n"/>
      <c r="B484" s="7" t="n"/>
      <c r="C484" s="39" t="n"/>
      <c r="D484" s="39" t="n"/>
      <c r="E484" s="7" t="n"/>
      <c r="F484" s="7" t="n"/>
      <c r="G484" s="7" t="n"/>
      <c r="H484" s="39" t="n"/>
      <c r="I484" s="39" t="n"/>
      <c r="J484" s="39" t="n"/>
      <c r="K484" s="39" t="n"/>
      <c r="L484" s="39" t="n"/>
      <c r="M484" s="7" t="n"/>
      <c r="N484" s="7" t="n"/>
      <c r="O484" s="40" t="n"/>
      <c r="P484" s="40" t="n"/>
      <c r="Q484" s="40" t="n"/>
      <c r="R484" s="40" t="n"/>
      <c r="S484" s="40" t="n"/>
      <c r="T484" s="40" t="n"/>
      <c r="U484" s="40" t="n"/>
      <c r="V484" s="40" t="n"/>
      <c r="W484" s="40" t="n"/>
      <c r="X484" s="40" t="n"/>
      <c r="Y484" s="40" t="n"/>
      <c r="Z484" s="40" t="n"/>
      <c r="AA484" s="39" t="n"/>
    </row>
    <row r="485">
      <c r="A485" s="7" t="n"/>
      <c r="B485" s="7" t="n"/>
      <c r="C485" s="39" t="n"/>
      <c r="D485" s="39" t="n"/>
      <c r="E485" s="7" t="n"/>
      <c r="F485" s="7" t="n"/>
      <c r="G485" s="7" t="n"/>
      <c r="H485" s="39" t="n"/>
      <c r="I485" s="39" t="n"/>
      <c r="J485" s="39" t="n"/>
      <c r="K485" s="39" t="n"/>
      <c r="L485" s="39" t="n"/>
      <c r="M485" s="7" t="n"/>
      <c r="N485" s="7" t="n"/>
      <c r="O485" s="40" t="n"/>
      <c r="P485" s="40" t="n"/>
      <c r="Q485" s="40" t="n"/>
      <c r="R485" s="40" t="n"/>
      <c r="S485" s="40" t="n"/>
      <c r="T485" s="40" t="n"/>
      <c r="U485" s="40" t="n"/>
      <c r="V485" s="40" t="n"/>
      <c r="W485" s="40" t="n"/>
      <c r="X485" s="40" t="n"/>
      <c r="Y485" s="40" t="n"/>
      <c r="Z485" s="40" t="n"/>
      <c r="AA485" s="39" t="n"/>
    </row>
    <row r="486">
      <c r="A486" s="7" t="n"/>
      <c r="B486" s="7" t="n"/>
      <c r="C486" s="39" t="n"/>
      <c r="D486" s="39" t="n"/>
      <c r="E486" s="7" t="n"/>
      <c r="F486" s="7" t="n"/>
      <c r="G486" s="7" t="n"/>
      <c r="H486" s="39" t="n"/>
      <c r="I486" s="39" t="n"/>
      <c r="J486" s="39" t="n"/>
      <c r="K486" s="39" t="n"/>
      <c r="L486" s="39" t="n"/>
      <c r="M486" s="7" t="n"/>
      <c r="N486" s="7" t="n"/>
      <c r="O486" s="40" t="n"/>
      <c r="P486" s="40" t="n"/>
      <c r="Q486" s="40" t="n"/>
      <c r="R486" s="40" t="n"/>
      <c r="S486" s="40" t="n"/>
      <c r="T486" s="40" t="n"/>
      <c r="U486" s="40" t="n"/>
      <c r="V486" s="40" t="n"/>
      <c r="W486" s="40" t="n"/>
      <c r="X486" s="40" t="n"/>
      <c r="Y486" s="40" t="n"/>
      <c r="Z486" s="40" t="n"/>
      <c r="AA486" s="39" t="n"/>
    </row>
    <row r="487">
      <c r="A487" s="7" t="n"/>
      <c r="B487" s="7" t="n"/>
      <c r="C487" s="39" t="n"/>
      <c r="D487" s="39" t="n"/>
      <c r="E487" s="7" t="n"/>
      <c r="F487" s="7" t="n"/>
      <c r="G487" s="7" t="n"/>
      <c r="H487" s="39" t="n"/>
      <c r="I487" s="39" t="n"/>
      <c r="J487" s="39" t="n"/>
      <c r="K487" s="39" t="n"/>
      <c r="L487" s="39" t="n"/>
      <c r="M487" s="7" t="n"/>
      <c r="N487" s="7" t="n"/>
      <c r="O487" s="40" t="n"/>
      <c r="P487" s="40" t="n"/>
      <c r="Q487" s="40" t="n"/>
      <c r="R487" s="40" t="n"/>
      <c r="S487" s="40" t="n"/>
      <c r="T487" s="40" t="n"/>
      <c r="U487" s="40" t="n"/>
      <c r="V487" s="40" t="n"/>
      <c r="W487" s="40" t="n"/>
      <c r="X487" s="40" t="n"/>
      <c r="Y487" s="40" t="n"/>
      <c r="Z487" s="40" t="n"/>
      <c r="AA487" s="39" t="n"/>
    </row>
    <row r="488">
      <c r="A488" s="7" t="n"/>
      <c r="B488" s="7" t="n"/>
      <c r="C488" s="39" t="n"/>
      <c r="D488" s="39" t="n"/>
      <c r="E488" s="7" t="n"/>
      <c r="F488" s="7" t="n"/>
      <c r="G488" s="7" t="n"/>
      <c r="H488" s="39" t="n"/>
      <c r="I488" s="39" t="n"/>
      <c r="J488" s="39" t="n"/>
      <c r="K488" s="39" t="n"/>
      <c r="L488" s="39" t="n"/>
      <c r="M488" s="7" t="n"/>
      <c r="N488" s="7" t="n"/>
      <c r="O488" s="40" t="n"/>
      <c r="P488" s="40" t="n"/>
      <c r="Q488" s="40" t="n"/>
      <c r="R488" s="40" t="n"/>
      <c r="S488" s="40" t="n"/>
      <c r="T488" s="40" t="n"/>
      <c r="U488" s="40" t="n"/>
      <c r="V488" s="40" t="n"/>
      <c r="W488" s="40" t="n"/>
      <c r="X488" s="40" t="n"/>
      <c r="Y488" s="40" t="n"/>
      <c r="Z488" s="40" t="n"/>
      <c r="AA488" s="39" t="n"/>
    </row>
    <row r="489">
      <c r="A489" s="7" t="n"/>
      <c r="B489" s="7" t="n"/>
      <c r="C489" s="39" t="n"/>
      <c r="D489" s="39" t="n"/>
      <c r="E489" s="7" t="n"/>
      <c r="F489" s="7" t="n"/>
      <c r="G489" s="7" t="n"/>
      <c r="H489" s="39" t="n"/>
      <c r="I489" s="39" t="n"/>
      <c r="J489" s="39" t="n"/>
      <c r="K489" s="39" t="n"/>
      <c r="L489" s="39" t="n"/>
      <c r="M489" s="7" t="n"/>
      <c r="N489" s="7" t="n"/>
      <c r="O489" s="40" t="n"/>
      <c r="P489" s="40" t="n"/>
      <c r="Q489" s="40" t="n"/>
      <c r="R489" s="40" t="n"/>
      <c r="S489" s="40" t="n"/>
      <c r="T489" s="40" t="n"/>
      <c r="U489" s="40" t="n"/>
      <c r="V489" s="40" t="n"/>
      <c r="W489" s="40" t="n"/>
      <c r="X489" s="40" t="n"/>
      <c r="Y489" s="40" t="n"/>
      <c r="Z489" s="40" t="n"/>
      <c r="AA489" s="39" t="n"/>
    </row>
    <row r="490">
      <c r="A490" s="7" t="n"/>
      <c r="B490" s="7" t="n"/>
      <c r="C490" s="39" t="n"/>
      <c r="D490" s="39" t="n"/>
      <c r="E490" s="7" t="n"/>
      <c r="F490" s="7" t="n"/>
      <c r="G490" s="7" t="n"/>
      <c r="H490" s="39" t="n"/>
      <c r="I490" s="39" t="n"/>
      <c r="J490" s="39" t="n"/>
      <c r="K490" s="39" t="n"/>
      <c r="L490" s="39" t="n"/>
      <c r="M490" s="7" t="n"/>
      <c r="N490" s="7" t="n"/>
      <c r="O490" s="40" t="n"/>
      <c r="P490" s="40" t="n"/>
      <c r="Q490" s="40" t="n"/>
      <c r="R490" s="40" t="n"/>
      <c r="S490" s="40" t="n"/>
      <c r="T490" s="40" t="n"/>
      <c r="U490" s="40" t="n"/>
      <c r="V490" s="40" t="n"/>
      <c r="W490" s="40" t="n"/>
      <c r="X490" s="40" t="n"/>
      <c r="Y490" s="40" t="n"/>
      <c r="Z490" s="40" t="n"/>
      <c r="AA490" s="39" t="n"/>
    </row>
    <row r="491">
      <c r="A491" s="7" t="n"/>
      <c r="B491" s="7" t="n"/>
      <c r="C491" s="39" t="n"/>
      <c r="D491" s="39" t="n"/>
      <c r="E491" s="7" t="n"/>
      <c r="F491" s="7" t="n"/>
      <c r="G491" s="7" t="n"/>
      <c r="H491" s="39" t="n"/>
      <c r="I491" s="39" t="n"/>
      <c r="J491" s="39" t="n"/>
      <c r="K491" s="39" t="n"/>
      <c r="L491" s="39" t="n"/>
      <c r="M491" s="7" t="n"/>
      <c r="N491" s="7" t="n"/>
      <c r="O491" s="40" t="n"/>
      <c r="P491" s="40" t="n"/>
      <c r="Q491" s="40" t="n"/>
      <c r="R491" s="40" t="n"/>
      <c r="S491" s="40" t="n"/>
      <c r="T491" s="40" t="n"/>
      <c r="U491" s="40" t="n"/>
      <c r="V491" s="40" t="n"/>
      <c r="W491" s="40" t="n"/>
      <c r="X491" s="40" t="n"/>
      <c r="Y491" s="40" t="n"/>
      <c r="Z491" s="40" t="n"/>
      <c r="AA491" s="39" t="n"/>
    </row>
    <row r="492">
      <c r="A492" s="7" t="n"/>
      <c r="B492" s="7" t="n"/>
      <c r="C492" s="39" t="n"/>
      <c r="D492" s="39" t="n"/>
      <c r="E492" s="7" t="n"/>
      <c r="F492" s="7" t="n"/>
      <c r="G492" s="7" t="n"/>
      <c r="H492" s="39" t="n"/>
      <c r="I492" s="39" t="n"/>
      <c r="J492" s="39" t="n"/>
      <c r="K492" s="39" t="n"/>
      <c r="L492" s="39" t="n"/>
      <c r="M492" s="7" t="n"/>
      <c r="N492" s="7" t="n"/>
      <c r="O492" s="40" t="n"/>
      <c r="P492" s="40" t="n"/>
      <c r="Q492" s="40" t="n"/>
      <c r="R492" s="40" t="n"/>
      <c r="S492" s="40" t="n"/>
      <c r="T492" s="40" t="n"/>
      <c r="U492" s="40" t="n"/>
      <c r="V492" s="40" t="n"/>
      <c r="W492" s="40" t="n"/>
      <c r="X492" s="40" t="n"/>
      <c r="Y492" s="40" t="n"/>
      <c r="Z492" s="40" t="n"/>
      <c r="AA492" s="39" t="n"/>
    </row>
    <row r="493">
      <c r="A493" s="7" t="n"/>
      <c r="B493" s="7" t="n"/>
      <c r="C493" s="39" t="n"/>
      <c r="D493" s="39" t="n"/>
      <c r="E493" s="7" t="n"/>
      <c r="F493" s="7" t="n"/>
      <c r="G493" s="7" t="n"/>
      <c r="H493" s="39" t="n"/>
      <c r="I493" s="39" t="n"/>
      <c r="J493" s="39" t="n"/>
      <c r="K493" s="39" t="n"/>
      <c r="L493" s="39" t="n"/>
      <c r="M493" s="7" t="n"/>
      <c r="N493" s="7" t="n"/>
      <c r="O493" s="40" t="n"/>
      <c r="P493" s="40" t="n"/>
      <c r="Q493" s="40" t="n"/>
      <c r="R493" s="40" t="n"/>
      <c r="S493" s="40" t="n"/>
      <c r="T493" s="40" t="n"/>
      <c r="U493" s="40" t="n"/>
      <c r="V493" s="40" t="n"/>
      <c r="W493" s="40" t="n"/>
      <c r="X493" s="40" t="n"/>
      <c r="Y493" s="40" t="n"/>
      <c r="Z493" s="40" t="n"/>
      <c r="AA493" s="39" t="n"/>
    </row>
    <row r="494">
      <c r="A494" s="7" t="n"/>
      <c r="B494" s="7" t="n"/>
      <c r="C494" s="39" t="n"/>
      <c r="D494" s="39" t="n"/>
      <c r="E494" s="7" t="n"/>
      <c r="F494" s="7" t="n"/>
      <c r="G494" s="7" t="n"/>
      <c r="H494" s="39" t="n"/>
      <c r="I494" s="39" t="n"/>
      <c r="J494" s="39" t="n"/>
      <c r="K494" s="39" t="n"/>
      <c r="L494" s="39" t="n"/>
      <c r="M494" s="7" t="n"/>
      <c r="N494" s="7" t="n"/>
      <c r="O494" s="40" t="n"/>
      <c r="P494" s="40" t="n"/>
      <c r="Q494" s="40" t="n"/>
      <c r="R494" s="40" t="n"/>
      <c r="S494" s="40" t="n"/>
      <c r="T494" s="40" t="n"/>
      <c r="U494" s="40" t="n"/>
      <c r="V494" s="40" t="n"/>
      <c r="W494" s="40" t="n"/>
      <c r="X494" s="40" t="n"/>
      <c r="Y494" s="40" t="n"/>
      <c r="Z494" s="40" t="n"/>
      <c r="AA494" s="39" t="n"/>
    </row>
    <row r="495">
      <c r="A495" s="7" t="n"/>
      <c r="B495" s="7" t="n"/>
      <c r="C495" s="39" t="n"/>
      <c r="D495" s="39" t="n"/>
      <c r="E495" s="7" t="n"/>
      <c r="F495" s="7" t="n"/>
      <c r="G495" s="7" t="n"/>
      <c r="H495" s="39" t="n"/>
      <c r="I495" s="39" t="n"/>
      <c r="J495" s="39" t="n"/>
      <c r="K495" s="39" t="n"/>
      <c r="L495" s="39" t="n"/>
      <c r="M495" s="7" t="n"/>
      <c r="N495" s="7" t="n"/>
      <c r="O495" s="40" t="n"/>
      <c r="P495" s="40" t="n"/>
      <c r="Q495" s="40" t="n"/>
      <c r="R495" s="40" t="n"/>
      <c r="S495" s="40" t="n"/>
      <c r="T495" s="40" t="n"/>
      <c r="U495" s="40" t="n"/>
      <c r="V495" s="40" t="n"/>
      <c r="W495" s="40" t="n"/>
      <c r="X495" s="40" t="n"/>
      <c r="Y495" s="40" t="n"/>
      <c r="Z495" s="40" t="n"/>
      <c r="AA495" s="39" t="n"/>
    </row>
    <row r="496">
      <c r="A496" s="7" t="n"/>
      <c r="B496" s="7" t="n"/>
      <c r="C496" s="39" t="n"/>
      <c r="D496" s="39" t="n"/>
      <c r="E496" s="7" t="n"/>
      <c r="F496" s="7" t="n"/>
      <c r="G496" s="7" t="n"/>
      <c r="H496" s="39" t="n"/>
      <c r="I496" s="39" t="n"/>
      <c r="J496" s="39" t="n"/>
      <c r="K496" s="39" t="n"/>
      <c r="L496" s="39" t="n"/>
      <c r="M496" s="7" t="n"/>
      <c r="N496" s="7" t="n"/>
      <c r="O496" s="40" t="n"/>
      <c r="P496" s="40" t="n"/>
      <c r="Q496" s="40" t="n"/>
      <c r="R496" s="40" t="n"/>
      <c r="S496" s="40" t="n"/>
      <c r="T496" s="40" t="n"/>
      <c r="U496" s="40" t="n"/>
      <c r="V496" s="40" t="n"/>
      <c r="W496" s="40" t="n"/>
      <c r="X496" s="40" t="n"/>
      <c r="Y496" s="40" t="n"/>
      <c r="Z496" s="40" t="n"/>
      <c r="AA496" s="39" t="n"/>
    </row>
    <row r="497">
      <c r="A497" s="7" t="n"/>
      <c r="B497" s="7" t="n"/>
      <c r="C497" s="39" t="n"/>
      <c r="D497" s="39" t="n"/>
      <c r="E497" s="7" t="n"/>
      <c r="F497" s="7" t="n"/>
      <c r="G497" s="7" t="n"/>
      <c r="H497" s="39" t="n"/>
      <c r="I497" s="39" t="n"/>
      <c r="J497" s="39" t="n"/>
      <c r="K497" s="39" t="n"/>
      <c r="L497" s="39" t="n"/>
      <c r="M497" s="7" t="n"/>
      <c r="N497" s="7" t="n"/>
      <c r="O497" s="40" t="n"/>
      <c r="P497" s="40" t="n"/>
      <c r="Q497" s="40" t="n"/>
      <c r="R497" s="40" t="n"/>
      <c r="S497" s="40" t="n"/>
      <c r="T497" s="40" t="n"/>
      <c r="U497" s="40" t="n"/>
      <c r="V497" s="40" t="n"/>
      <c r="W497" s="40" t="n"/>
      <c r="X497" s="40" t="n"/>
      <c r="Y497" s="40" t="n"/>
      <c r="Z497" s="40" t="n"/>
      <c r="AA497" s="39" t="n"/>
    </row>
    <row r="498">
      <c r="A498" s="7" t="n"/>
      <c r="B498" s="7" t="n"/>
      <c r="C498" s="39" t="n"/>
      <c r="D498" s="39" t="n"/>
      <c r="E498" s="7" t="n"/>
      <c r="F498" s="7" t="n"/>
      <c r="G498" s="7" t="n"/>
      <c r="H498" s="39" t="n"/>
      <c r="I498" s="39" t="n"/>
      <c r="J498" s="39" t="n"/>
      <c r="K498" s="39" t="n"/>
      <c r="L498" s="39" t="n"/>
      <c r="M498" s="7" t="n"/>
      <c r="N498" s="7" t="n"/>
      <c r="O498" s="40" t="n"/>
      <c r="P498" s="40" t="n"/>
      <c r="Q498" s="40" t="n"/>
      <c r="R498" s="40" t="n"/>
      <c r="S498" s="40" t="n"/>
      <c r="T498" s="40" t="n"/>
      <c r="U498" s="40" t="n"/>
      <c r="V498" s="40" t="n"/>
      <c r="W498" s="40" t="n"/>
      <c r="X498" s="40" t="n"/>
      <c r="Y498" s="40" t="n"/>
      <c r="Z498" s="40" t="n"/>
      <c r="AA498" s="39" t="n"/>
    </row>
    <row r="499">
      <c r="A499" s="7" t="n"/>
      <c r="B499" s="7" t="n"/>
      <c r="C499" s="39" t="n"/>
      <c r="D499" s="39" t="n"/>
      <c r="E499" s="7" t="n"/>
      <c r="F499" s="7" t="n"/>
      <c r="G499" s="7" t="n"/>
      <c r="H499" s="39" t="n"/>
      <c r="I499" s="39" t="n"/>
      <c r="J499" s="39" t="n"/>
      <c r="K499" s="39" t="n"/>
      <c r="L499" s="39" t="n"/>
      <c r="M499" s="7" t="n"/>
      <c r="N499" s="7" t="n"/>
      <c r="O499" s="40" t="n"/>
      <c r="P499" s="40" t="n"/>
      <c r="Q499" s="40" t="n"/>
      <c r="R499" s="40" t="n"/>
      <c r="S499" s="40" t="n"/>
      <c r="T499" s="40" t="n"/>
      <c r="U499" s="40" t="n"/>
      <c r="V499" s="40" t="n"/>
      <c r="W499" s="40" t="n"/>
      <c r="X499" s="40" t="n"/>
      <c r="Y499" s="40" t="n"/>
      <c r="Z499" s="40" t="n"/>
      <c r="AA499" s="39" t="n"/>
    </row>
    <row r="500">
      <c r="A500" s="7" t="n"/>
      <c r="B500" s="7" t="n"/>
      <c r="C500" s="39" t="n"/>
      <c r="D500" s="39" t="n"/>
      <c r="E500" s="7" t="n"/>
      <c r="F500" s="7" t="n"/>
      <c r="G500" s="7" t="n"/>
      <c r="H500" s="39" t="n"/>
      <c r="I500" s="39" t="n"/>
      <c r="J500" s="39" t="n"/>
      <c r="K500" s="39" t="n"/>
      <c r="L500" s="39" t="n"/>
      <c r="M500" s="7" t="n"/>
      <c r="N500" s="7" t="n"/>
      <c r="O500" s="40" t="n"/>
      <c r="P500" s="40" t="n"/>
      <c r="Q500" s="40" t="n"/>
      <c r="R500" s="40" t="n"/>
      <c r="S500" s="40" t="n"/>
      <c r="T500" s="40" t="n"/>
      <c r="U500" s="40" t="n"/>
      <c r="V500" s="40" t="n"/>
      <c r="W500" s="40" t="n"/>
      <c r="X500" s="40" t="n"/>
      <c r="Y500" s="40" t="n"/>
      <c r="Z500" s="40" t="n"/>
      <c r="AA500" s="39" t="n"/>
    </row>
    <row r="501">
      <c r="A501" s="7" t="n"/>
      <c r="B501" s="7" t="n"/>
      <c r="C501" s="39" t="n"/>
      <c r="D501" s="39" t="n"/>
      <c r="E501" s="7" t="n"/>
      <c r="F501" s="7" t="n"/>
      <c r="G501" s="7" t="n"/>
      <c r="H501" s="39" t="n"/>
      <c r="I501" s="39" t="n"/>
      <c r="J501" s="39" t="n"/>
      <c r="K501" s="39" t="n"/>
      <c r="L501" s="39" t="n"/>
      <c r="M501" s="7" t="n"/>
      <c r="N501" s="7" t="n"/>
      <c r="O501" s="40" t="n"/>
      <c r="P501" s="40" t="n"/>
      <c r="Q501" s="40" t="n"/>
      <c r="R501" s="40" t="n"/>
      <c r="S501" s="40" t="n"/>
      <c r="T501" s="40" t="n"/>
      <c r="U501" s="40" t="n"/>
      <c r="V501" s="40" t="n"/>
      <c r="W501" s="40" t="n"/>
      <c r="X501" s="40" t="n"/>
      <c r="Y501" s="40" t="n"/>
      <c r="Z501" s="40" t="n"/>
      <c r="AA501" s="39" t="n"/>
    </row>
    <row r="502">
      <c r="A502" s="7" t="n"/>
      <c r="B502" s="7" t="n"/>
      <c r="C502" s="39" t="n"/>
      <c r="D502" s="39" t="n"/>
      <c r="E502" s="7" t="n"/>
      <c r="F502" s="7" t="n"/>
      <c r="G502" s="7" t="n"/>
      <c r="H502" s="39" t="n"/>
      <c r="I502" s="39" t="n"/>
      <c r="J502" s="39" t="n"/>
      <c r="K502" s="39" t="n"/>
      <c r="L502" s="39" t="n"/>
      <c r="M502" s="7" t="n"/>
      <c r="N502" s="7" t="n"/>
      <c r="O502" s="40" t="n"/>
      <c r="P502" s="40" t="n"/>
      <c r="Q502" s="40" t="n"/>
      <c r="R502" s="40" t="n"/>
      <c r="S502" s="40" t="n"/>
      <c r="T502" s="40" t="n"/>
      <c r="U502" s="40" t="n"/>
      <c r="V502" s="40" t="n"/>
      <c r="W502" s="40" t="n"/>
      <c r="X502" s="40" t="n"/>
      <c r="Y502" s="40" t="n"/>
      <c r="Z502" s="40" t="n"/>
      <c r="AA502" s="39" t="n"/>
    </row>
    <row r="503">
      <c r="A503" s="7" t="n"/>
      <c r="B503" s="7" t="n"/>
      <c r="C503" s="39" t="n"/>
      <c r="D503" s="39" t="n"/>
      <c r="E503" s="7" t="n"/>
      <c r="F503" s="7" t="n"/>
      <c r="G503" s="7" t="n"/>
      <c r="H503" s="39" t="n"/>
      <c r="I503" s="39" t="n"/>
      <c r="J503" s="39" t="n"/>
      <c r="K503" s="39" t="n"/>
      <c r="L503" s="39" t="n"/>
      <c r="M503" s="7" t="n"/>
      <c r="N503" s="7" t="n"/>
      <c r="O503" s="40" t="n"/>
      <c r="P503" s="40" t="n"/>
      <c r="Q503" s="40" t="n"/>
      <c r="R503" s="40" t="n"/>
      <c r="S503" s="40" t="n"/>
      <c r="T503" s="40" t="n"/>
      <c r="U503" s="40" t="n"/>
      <c r="V503" s="40" t="n"/>
      <c r="W503" s="40" t="n"/>
      <c r="X503" s="40" t="n"/>
      <c r="Y503" s="40" t="n"/>
      <c r="Z503" s="40" t="n"/>
      <c r="AA503" s="39" t="n"/>
    </row>
    <row r="504">
      <c r="A504" s="7" t="n"/>
      <c r="B504" s="7" t="n"/>
      <c r="C504" s="39" t="n"/>
      <c r="D504" s="39" t="n"/>
      <c r="E504" s="7" t="n"/>
      <c r="F504" s="7" t="n"/>
      <c r="G504" s="7" t="n"/>
      <c r="H504" s="39" t="n"/>
      <c r="I504" s="39" t="n"/>
      <c r="J504" s="39" t="n"/>
      <c r="K504" s="39" t="n"/>
      <c r="L504" s="39" t="n"/>
      <c r="M504" s="7" t="n"/>
      <c r="N504" s="7" t="n"/>
      <c r="O504" s="40" t="n"/>
      <c r="P504" s="40" t="n"/>
      <c r="Q504" s="40" t="n"/>
      <c r="R504" s="40" t="n"/>
      <c r="S504" s="40" t="n"/>
      <c r="T504" s="40" t="n"/>
      <c r="U504" s="40" t="n"/>
      <c r="V504" s="40" t="n"/>
      <c r="W504" s="40" t="n"/>
      <c r="X504" s="40" t="n"/>
      <c r="Y504" s="40" t="n"/>
      <c r="Z504" s="40" t="n"/>
      <c r="AA504" s="39" t="n"/>
    </row>
    <row r="505">
      <c r="A505" s="7" t="n"/>
      <c r="B505" s="7" t="n"/>
      <c r="C505" s="39" t="n"/>
      <c r="D505" s="39" t="n"/>
      <c r="E505" s="7" t="n"/>
      <c r="F505" s="7" t="n"/>
      <c r="G505" s="7" t="n"/>
      <c r="H505" s="39" t="n"/>
      <c r="I505" s="39" t="n"/>
      <c r="J505" s="39" t="n"/>
      <c r="K505" s="39" t="n"/>
      <c r="L505" s="39" t="n"/>
      <c r="M505" s="7" t="n"/>
      <c r="N505" s="7" t="n"/>
      <c r="O505" s="40" t="n"/>
      <c r="P505" s="40" t="n"/>
      <c r="Q505" s="40" t="n"/>
      <c r="R505" s="40" t="n"/>
      <c r="S505" s="40" t="n"/>
      <c r="T505" s="40" t="n"/>
      <c r="U505" s="40" t="n"/>
      <c r="V505" s="40" t="n"/>
      <c r="W505" s="40" t="n"/>
      <c r="X505" s="40" t="n"/>
      <c r="Y505" s="40" t="n"/>
      <c r="Z505" s="40" t="n"/>
      <c r="AA505" s="39" t="n"/>
    </row>
    <row r="506">
      <c r="A506" s="7" t="n"/>
      <c r="B506" s="7" t="n"/>
      <c r="C506" s="39" t="n"/>
      <c r="D506" s="39" t="n"/>
      <c r="E506" s="7" t="n"/>
      <c r="F506" s="7" t="n"/>
      <c r="G506" s="7" t="n"/>
      <c r="H506" s="39" t="n"/>
      <c r="I506" s="39" t="n"/>
      <c r="J506" s="39" t="n"/>
      <c r="K506" s="39" t="n"/>
      <c r="L506" s="39" t="n"/>
      <c r="M506" s="7" t="n"/>
      <c r="N506" s="7" t="n"/>
      <c r="O506" s="40" t="n"/>
      <c r="P506" s="40" t="n"/>
      <c r="Q506" s="40" t="n"/>
      <c r="R506" s="40" t="n"/>
      <c r="S506" s="40" t="n"/>
      <c r="T506" s="40" t="n"/>
      <c r="U506" s="40" t="n"/>
      <c r="V506" s="40" t="n"/>
      <c r="W506" s="40" t="n"/>
      <c r="X506" s="40" t="n"/>
      <c r="Y506" s="40" t="n"/>
      <c r="Z506" s="40" t="n"/>
      <c r="AA506" s="39" t="n"/>
    </row>
    <row r="507">
      <c r="A507" s="7" t="n"/>
      <c r="B507" s="7" t="n"/>
      <c r="C507" s="39" t="n"/>
      <c r="D507" s="39" t="n"/>
      <c r="E507" s="7" t="n"/>
      <c r="F507" s="7" t="n"/>
      <c r="G507" s="7" t="n"/>
      <c r="H507" s="39" t="n"/>
      <c r="I507" s="39" t="n"/>
      <c r="J507" s="39" t="n"/>
      <c r="K507" s="39" t="n"/>
      <c r="L507" s="39" t="n"/>
      <c r="M507" s="7" t="n"/>
      <c r="N507" s="7" t="n"/>
      <c r="O507" s="40" t="n"/>
      <c r="P507" s="40" t="n"/>
      <c r="Q507" s="40" t="n"/>
      <c r="R507" s="40" t="n"/>
      <c r="S507" s="40" t="n"/>
      <c r="T507" s="40" t="n"/>
      <c r="U507" s="40" t="n"/>
      <c r="V507" s="40" t="n"/>
      <c r="W507" s="40" t="n"/>
      <c r="X507" s="40" t="n"/>
      <c r="Y507" s="40" t="n"/>
      <c r="Z507" s="40" t="n"/>
      <c r="AA507" s="39" t="n"/>
    </row>
    <row r="508">
      <c r="A508" s="7" t="n"/>
      <c r="B508" s="7" t="n"/>
      <c r="C508" s="39" t="n"/>
      <c r="D508" s="39" t="n"/>
      <c r="E508" s="7" t="n"/>
      <c r="F508" s="7" t="n"/>
      <c r="G508" s="7" t="n"/>
      <c r="H508" s="39" t="n"/>
      <c r="I508" s="39" t="n"/>
      <c r="J508" s="39" t="n"/>
      <c r="K508" s="39" t="n"/>
      <c r="L508" s="39" t="n"/>
      <c r="M508" s="7" t="n"/>
      <c r="N508" s="7" t="n"/>
      <c r="O508" s="40" t="n"/>
      <c r="P508" s="40" t="n"/>
      <c r="Q508" s="40" t="n"/>
      <c r="R508" s="40" t="n"/>
      <c r="S508" s="40" t="n"/>
      <c r="T508" s="40" t="n"/>
      <c r="U508" s="40" t="n"/>
      <c r="V508" s="40" t="n"/>
      <c r="W508" s="40" t="n"/>
      <c r="X508" s="40" t="n"/>
      <c r="Y508" s="40" t="n"/>
      <c r="Z508" s="40" t="n"/>
      <c r="AA508" s="39" t="n"/>
    </row>
    <row r="509">
      <c r="A509" s="7" t="n"/>
      <c r="B509" s="7" t="n"/>
      <c r="C509" s="39" t="n"/>
      <c r="D509" s="39" t="n"/>
      <c r="E509" s="7" t="n"/>
      <c r="F509" s="7" t="n"/>
      <c r="G509" s="7" t="n"/>
      <c r="H509" s="39" t="n"/>
      <c r="I509" s="39" t="n"/>
      <c r="J509" s="39" t="n"/>
      <c r="K509" s="39" t="n"/>
      <c r="L509" s="39" t="n"/>
      <c r="M509" s="7" t="n"/>
      <c r="N509" s="7" t="n"/>
      <c r="O509" s="40" t="n"/>
      <c r="P509" s="40" t="n"/>
      <c r="Q509" s="40" t="n"/>
      <c r="R509" s="40" t="n"/>
      <c r="S509" s="40" t="n"/>
      <c r="T509" s="40" t="n"/>
      <c r="U509" s="40" t="n"/>
      <c r="V509" s="40" t="n"/>
      <c r="W509" s="40" t="n"/>
      <c r="X509" s="40" t="n"/>
      <c r="Y509" s="40" t="n"/>
      <c r="Z509" s="40" t="n"/>
      <c r="AA509" s="39" t="n"/>
    </row>
    <row r="510">
      <c r="A510" s="7" t="n"/>
      <c r="B510" s="7" t="n"/>
      <c r="C510" s="39" t="n"/>
      <c r="D510" s="39" t="n"/>
      <c r="E510" s="7" t="n"/>
      <c r="F510" s="7" t="n"/>
      <c r="G510" s="7" t="n"/>
      <c r="H510" s="39" t="n"/>
      <c r="I510" s="39" t="n"/>
      <c r="J510" s="39" t="n"/>
      <c r="K510" s="39" t="n"/>
      <c r="L510" s="39" t="n"/>
      <c r="M510" s="7" t="n"/>
      <c r="N510" s="7" t="n"/>
      <c r="O510" s="40" t="n"/>
      <c r="P510" s="40" t="n"/>
      <c r="Q510" s="40" t="n"/>
      <c r="R510" s="40" t="n"/>
      <c r="S510" s="40" t="n"/>
      <c r="T510" s="40" t="n"/>
      <c r="U510" s="40" t="n"/>
      <c r="V510" s="40" t="n"/>
      <c r="W510" s="40" t="n"/>
      <c r="X510" s="40" t="n"/>
      <c r="Y510" s="40" t="n"/>
      <c r="Z510" s="40" t="n"/>
      <c r="AA510" s="39" t="n"/>
    </row>
    <row r="511">
      <c r="A511" s="7" t="n"/>
      <c r="B511" s="7" t="n"/>
      <c r="C511" s="39" t="n"/>
      <c r="D511" s="39" t="n"/>
      <c r="E511" s="7" t="n"/>
      <c r="F511" s="7" t="n"/>
      <c r="G511" s="7" t="n"/>
      <c r="H511" s="39" t="n"/>
      <c r="I511" s="39" t="n"/>
      <c r="J511" s="39" t="n"/>
      <c r="K511" s="39" t="n"/>
      <c r="L511" s="39" t="n"/>
      <c r="M511" s="7" t="n"/>
      <c r="N511" s="7" t="n"/>
      <c r="O511" s="40" t="n"/>
      <c r="P511" s="40" t="n"/>
      <c r="Q511" s="40" t="n"/>
      <c r="R511" s="40" t="n"/>
      <c r="S511" s="40" t="n"/>
      <c r="T511" s="40" t="n"/>
      <c r="U511" s="40" t="n"/>
      <c r="V511" s="40" t="n"/>
      <c r="W511" s="40" t="n"/>
      <c r="X511" s="40" t="n"/>
      <c r="Y511" s="40" t="n"/>
      <c r="Z511" s="40" t="n"/>
      <c r="AA511" s="39" t="n"/>
    </row>
    <row r="512">
      <c r="A512" s="7" t="n"/>
      <c r="B512" s="7" t="n"/>
      <c r="C512" s="39" t="n"/>
      <c r="D512" s="39" t="n"/>
      <c r="E512" s="7" t="n"/>
      <c r="F512" s="7" t="n"/>
      <c r="G512" s="7" t="n"/>
      <c r="H512" s="39" t="n"/>
      <c r="I512" s="39" t="n"/>
      <c r="J512" s="39" t="n"/>
      <c r="K512" s="39" t="n"/>
      <c r="L512" s="39" t="n"/>
      <c r="M512" s="7" t="n"/>
      <c r="N512" s="7" t="n"/>
      <c r="O512" s="40" t="n"/>
      <c r="P512" s="40" t="n"/>
      <c r="Q512" s="40" t="n"/>
      <c r="R512" s="40" t="n"/>
      <c r="S512" s="40" t="n"/>
      <c r="T512" s="40" t="n"/>
      <c r="U512" s="40" t="n"/>
      <c r="V512" s="40" t="n"/>
      <c r="W512" s="40" t="n"/>
      <c r="X512" s="40" t="n"/>
      <c r="Y512" s="40" t="n"/>
      <c r="Z512" s="40" t="n"/>
      <c r="AA512" s="39" t="n"/>
    </row>
    <row r="513">
      <c r="A513" s="7" t="n"/>
      <c r="B513" s="7" t="n"/>
      <c r="C513" s="39" t="n"/>
      <c r="D513" s="39" t="n"/>
      <c r="E513" s="7" t="n"/>
      <c r="F513" s="7" t="n"/>
      <c r="G513" s="7" t="n"/>
      <c r="H513" s="39" t="n"/>
      <c r="I513" s="39" t="n"/>
      <c r="J513" s="39" t="n"/>
      <c r="K513" s="39" t="n"/>
      <c r="L513" s="39" t="n"/>
      <c r="M513" s="7" t="n"/>
      <c r="N513" s="7" t="n"/>
      <c r="O513" s="40" t="n"/>
      <c r="P513" s="40" t="n"/>
      <c r="Q513" s="40" t="n"/>
      <c r="R513" s="40" t="n"/>
      <c r="S513" s="40" t="n"/>
      <c r="T513" s="40" t="n"/>
      <c r="U513" s="40" t="n"/>
      <c r="V513" s="40" t="n"/>
      <c r="W513" s="40" t="n"/>
      <c r="X513" s="40" t="n"/>
      <c r="Y513" s="40" t="n"/>
      <c r="Z513" s="40" t="n"/>
      <c r="AA513" s="39" t="n"/>
    </row>
    <row r="514">
      <c r="A514" s="7" t="n"/>
      <c r="B514" s="7" t="n"/>
      <c r="C514" s="39" t="n"/>
      <c r="D514" s="39" t="n"/>
      <c r="E514" s="7" t="n"/>
      <c r="F514" s="7" t="n"/>
      <c r="G514" s="7" t="n"/>
      <c r="H514" s="39" t="n"/>
      <c r="I514" s="39" t="n"/>
      <c r="J514" s="39" t="n"/>
      <c r="K514" s="39" t="n"/>
      <c r="L514" s="39" t="n"/>
      <c r="M514" s="7" t="n"/>
      <c r="N514" s="7" t="n"/>
      <c r="O514" s="40" t="n"/>
      <c r="P514" s="40" t="n"/>
      <c r="Q514" s="40" t="n"/>
      <c r="R514" s="40" t="n"/>
      <c r="S514" s="40" t="n"/>
      <c r="T514" s="40" t="n"/>
      <c r="U514" s="40" t="n"/>
      <c r="V514" s="40" t="n"/>
      <c r="W514" s="40" t="n"/>
      <c r="X514" s="40" t="n"/>
      <c r="Y514" s="40" t="n"/>
      <c r="Z514" s="40" t="n"/>
      <c r="AA514" s="39" t="n"/>
    </row>
    <row r="515">
      <c r="A515" s="7" t="n"/>
      <c r="B515" s="7" t="n"/>
      <c r="C515" s="39" t="n"/>
      <c r="D515" s="39" t="n"/>
      <c r="E515" s="7" t="n"/>
      <c r="F515" s="7" t="n"/>
      <c r="G515" s="7" t="n"/>
      <c r="H515" s="39" t="n"/>
      <c r="I515" s="39" t="n"/>
      <c r="J515" s="39" t="n"/>
      <c r="K515" s="39" t="n"/>
      <c r="L515" s="39" t="n"/>
      <c r="M515" s="7" t="n"/>
      <c r="N515" s="7" t="n"/>
      <c r="O515" s="40" t="n"/>
      <c r="P515" s="40" t="n"/>
      <c r="Q515" s="40" t="n"/>
      <c r="R515" s="40" t="n"/>
      <c r="S515" s="40" t="n"/>
      <c r="T515" s="40" t="n"/>
      <c r="U515" s="40" t="n"/>
      <c r="V515" s="40" t="n"/>
      <c r="W515" s="40" t="n"/>
      <c r="X515" s="40" t="n"/>
      <c r="Y515" s="40" t="n"/>
      <c r="Z515" s="40" t="n"/>
      <c r="AA515" s="39" t="n"/>
    </row>
    <row r="516">
      <c r="A516" s="7" t="n"/>
      <c r="B516" s="7" t="n"/>
      <c r="C516" s="39" t="n"/>
      <c r="D516" s="39" t="n"/>
      <c r="E516" s="7" t="n"/>
      <c r="F516" s="7" t="n"/>
      <c r="G516" s="7" t="n"/>
      <c r="H516" s="39" t="n"/>
      <c r="I516" s="39" t="n"/>
      <c r="J516" s="39" t="n"/>
      <c r="K516" s="39" t="n"/>
      <c r="L516" s="39" t="n"/>
      <c r="M516" s="7" t="n"/>
      <c r="N516" s="7" t="n"/>
      <c r="O516" s="40" t="n"/>
      <c r="P516" s="40" t="n"/>
      <c r="Q516" s="40" t="n"/>
      <c r="R516" s="40" t="n"/>
      <c r="S516" s="40" t="n"/>
      <c r="T516" s="40" t="n"/>
      <c r="U516" s="40" t="n"/>
      <c r="V516" s="40" t="n"/>
      <c r="W516" s="40" t="n"/>
      <c r="X516" s="40" t="n"/>
      <c r="Y516" s="40" t="n"/>
      <c r="Z516" s="40" t="n"/>
      <c r="AA516" s="39" t="n"/>
    </row>
    <row r="517">
      <c r="A517" s="7" t="n"/>
      <c r="B517" s="7" t="n"/>
      <c r="C517" s="39" t="n"/>
      <c r="D517" s="39" t="n"/>
      <c r="E517" s="7" t="n"/>
      <c r="F517" s="7" t="n"/>
      <c r="G517" s="7" t="n"/>
      <c r="H517" s="39" t="n"/>
      <c r="I517" s="39" t="n"/>
      <c r="J517" s="39" t="n"/>
      <c r="K517" s="39" t="n"/>
      <c r="L517" s="39" t="n"/>
      <c r="M517" s="7" t="n"/>
      <c r="N517" s="7" t="n"/>
      <c r="O517" s="40" t="n"/>
      <c r="P517" s="40" t="n"/>
      <c r="Q517" s="40" t="n"/>
      <c r="R517" s="40" t="n"/>
      <c r="S517" s="40" t="n"/>
      <c r="T517" s="40" t="n"/>
      <c r="U517" s="40" t="n"/>
      <c r="V517" s="40" t="n"/>
      <c r="W517" s="40" t="n"/>
      <c r="X517" s="40" t="n"/>
      <c r="Y517" s="40" t="n"/>
      <c r="Z517" s="40" t="n"/>
      <c r="AA517" s="39" t="n"/>
    </row>
    <row r="518">
      <c r="A518" s="7" t="n"/>
      <c r="B518" s="7" t="n"/>
      <c r="C518" s="39" t="n"/>
      <c r="D518" s="39" t="n"/>
      <c r="E518" s="7" t="n"/>
      <c r="F518" s="7" t="n"/>
      <c r="G518" s="7" t="n"/>
      <c r="H518" s="39" t="n"/>
      <c r="I518" s="39" t="n"/>
      <c r="J518" s="39" t="n"/>
      <c r="K518" s="39" t="n"/>
      <c r="L518" s="39" t="n"/>
      <c r="M518" s="7" t="n"/>
      <c r="N518" s="7" t="n"/>
      <c r="O518" s="40" t="n"/>
      <c r="P518" s="40" t="n"/>
      <c r="Q518" s="40" t="n"/>
      <c r="R518" s="40" t="n"/>
      <c r="S518" s="40" t="n"/>
      <c r="T518" s="40" t="n"/>
      <c r="U518" s="40" t="n"/>
      <c r="V518" s="40" t="n"/>
      <c r="W518" s="40" t="n"/>
      <c r="X518" s="40" t="n"/>
      <c r="Y518" s="40" t="n"/>
      <c r="Z518" s="40" t="n"/>
      <c r="AA518" s="39" t="n"/>
    </row>
    <row r="519">
      <c r="A519" s="7" t="n"/>
      <c r="B519" s="7" t="n"/>
      <c r="C519" s="39" t="n"/>
      <c r="D519" s="39" t="n"/>
      <c r="E519" s="7" t="n"/>
      <c r="F519" s="7" t="n"/>
      <c r="G519" s="7" t="n"/>
      <c r="H519" s="39" t="n"/>
      <c r="I519" s="39" t="n"/>
      <c r="J519" s="39" t="n"/>
      <c r="K519" s="39" t="n"/>
      <c r="L519" s="39" t="n"/>
      <c r="M519" s="7" t="n"/>
      <c r="N519" s="7" t="n"/>
      <c r="O519" s="40" t="n"/>
      <c r="P519" s="40" t="n"/>
      <c r="Q519" s="40" t="n"/>
      <c r="R519" s="40" t="n"/>
      <c r="S519" s="40" t="n"/>
      <c r="T519" s="40" t="n"/>
      <c r="U519" s="40" t="n"/>
      <c r="V519" s="40" t="n"/>
      <c r="W519" s="40" t="n"/>
      <c r="X519" s="40" t="n"/>
      <c r="Y519" s="40" t="n"/>
      <c r="Z519" s="40" t="n"/>
      <c r="AA519" s="39" t="n"/>
    </row>
    <row r="520">
      <c r="A520" s="7" t="n"/>
      <c r="B520" s="7" t="n"/>
      <c r="C520" s="39" t="n"/>
      <c r="D520" s="39" t="n"/>
      <c r="E520" s="7" t="n"/>
      <c r="F520" s="7" t="n"/>
      <c r="G520" s="7" t="n"/>
      <c r="H520" s="39" t="n"/>
      <c r="I520" s="39" t="n"/>
      <c r="J520" s="39" t="n"/>
      <c r="K520" s="39" t="n"/>
      <c r="L520" s="39" t="n"/>
      <c r="M520" s="7" t="n"/>
      <c r="N520" s="7" t="n"/>
      <c r="O520" s="40" t="n"/>
      <c r="P520" s="40" t="n"/>
      <c r="Q520" s="40" t="n"/>
      <c r="R520" s="40" t="n"/>
      <c r="S520" s="40" t="n"/>
      <c r="T520" s="40" t="n"/>
      <c r="U520" s="40" t="n"/>
      <c r="V520" s="40" t="n"/>
      <c r="W520" s="40" t="n"/>
      <c r="X520" s="40" t="n"/>
      <c r="Y520" s="40" t="n"/>
      <c r="Z520" s="40" t="n"/>
      <c r="AA520" s="39" t="n"/>
    </row>
    <row r="521">
      <c r="A521" s="7" t="n"/>
      <c r="B521" s="7" t="n"/>
      <c r="C521" s="39" t="n"/>
      <c r="D521" s="39" t="n"/>
      <c r="E521" s="7" t="n"/>
      <c r="F521" s="7" t="n"/>
      <c r="G521" s="7" t="n"/>
      <c r="H521" s="39" t="n"/>
      <c r="I521" s="39" t="n"/>
      <c r="J521" s="39" t="n"/>
      <c r="K521" s="39" t="n"/>
      <c r="L521" s="39" t="n"/>
      <c r="M521" s="7" t="n"/>
      <c r="N521" s="7" t="n"/>
      <c r="O521" s="40" t="n"/>
      <c r="P521" s="40" t="n"/>
      <c r="Q521" s="40" t="n"/>
      <c r="R521" s="40" t="n"/>
      <c r="S521" s="40" t="n"/>
      <c r="T521" s="40" t="n"/>
      <c r="U521" s="40" t="n"/>
      <c r="V521" s="40" t="n"/>
      <c r="W521" s="40" t="n"/>
      <c r="X521" s="40" t="n"/>
      <c r="Y521" s="40" t="n"/>
      <c r="Z521" s="40" t="n"/>
      <c r="AA521" s="39" t="n"/>
    </row>
    <row r="522">
      <c r="A522" s="7" t="n"/>
      <c r="B522" s="7" t="n"/>
      <c r="C522" s="39" t="n"/>
      <c r="D522" s="39" t="n"/>
      <c r="E522" s="7" t="n"/>
      <c r="F522" s="7" t="n"/>
      <c r="G522" s="7" t="n"/>
      <c r="H522" s="39" t="n"/>
      <c r="I522" s="39" t="n"/>
      <c r="J522" s="39" t="n"/>
      <c r="K522" s="39" t="n"/>
      <c r="L522" s="39" t="n"/>
      <c r="M522" s="7" t="n"/>
      <c r="N522" s="7" t="n"/>
      <c r="O522" s="40" t="n"/>
      <c r="P522" s="40" t="n"/>
      <c r="Q522" s="40" t="n"/>
      <c r="R522" s="40" t="n"/>
      <c r="S522" s="40" t="n"/>
      <c r="T522" s="40" t="n"/>
      <c r="U522" s="40" t="n"/>
      <c r="V522" s="40" t="n"/>
      <c r="W522" s="40" t="n"/>
      <c r="X522" s="40" t="n"/>
      <c r="Y522" s="40" t="n"/>
      <c r="Z522" s="40" t="n"/>
      <c r="AA522" s="39" t="n"/>
    </row>
    <row r="523">
      <c r="A523" s="7" t="n"/>
      <c r="B523" s="7" t="n"/>
      <c r="C523" s="39" t="n"/>
      <c r="D523" s="39" t="n"/>
      <c r="E523" s="7" t="n"/>
      <c r="F523" s="7" t="n"/>
      <c r="G523" s="7" t="n"/>
      <c r="H523" s="39" t="n"/>
      <c r="I523" s="39" t="n"/>
      <c r="J523" s="39" t="n"/>
      <c r="K523" s="39" t="n"/>
      <c r="L523" s="39" t="n"/>
      <c r="M523" s="7" t="n"/>
      <c r="N523" s="7" t="n"/>
      <c r="O523" s="40" t="n"/>
      <c r="P523" s="40" t="n"/>
      <c r="Q523" s="40" t="n"/>
      <c r="R523" s="40" t="n"/>
      <c r="S523" s="40" t="n"/>
      <c r="T523" s="40" t="n"/>
      <c r="U523" s="40" t="n"/>
      <c r="V523" s="40" t="n"/>
      <c r="W523" s="40" t="n"/>
      <c r="X523" s="40" t="n"/>
      <c r="Y523" s="40" t="n"/>
      <c r="Z523" s="40" t="n"/>
      <c r="AA523" s="39" t="n"/>
    </row>
    <row r="524">
      <c r="A524" s="7" t="n"/>
      <c r="B524" s="7" t="n"/>
      <c r="C524" s="39" t="n"/>
      <c r="D524" s="39" t="n"/>
      <c r="E524" s="7" t="n"/>
      <c r="F524" s="7" t="n"/>
      <c r="G524" s="7" t="n"/>
      <c r="H524" s="39" t="n"/>
      <c r="I524" s="39" t="n"/>
      <c r="J524" s="39" t="n"/>
      <c r="K524" s="39" t="n"/>
      <c r="L524" s="39" t="n"/>
      <c r="M524" s="7" t="n"/>
      <c r="N524" s="7" t="n"/>
      <c r="O524" s="40" t="n"/>
      <c r="P524" s="40" t="n"/>
      <c r="Q524" s="40" t="n"/>
      <c r="R524" s="40" t="n"/>
      <c r="S524" s="40" t="n"/>
      <c r="T524" s="40" t="n"/>
      <c r="U524" s="40" t="n"/>
      <c r="V524" s="40" t="n"/>
      <c r="W524" s="40" t="n"/>
      <c r="X524" s="40" t="n"/>
      <c r="Y524" s="40" t="n"/>
      <c r="Z524" s="40" t="n"/>
      <c r="AA524" s="39" t="n"/>
    </row>
    <row r="525">
      <c r="A525" s="7" t="n"/>
      <c r="B525" s="7" t="n"/>
      <c r="C525" s="39" t="n"/>
      <c r="D525" s="39" t="n"/>
      <c r="E525" s="7" t="n"/>
      <c r="F525" s="7" t="n"/>
      <c r="G525" s="7" t="n"/>
      <c r="H525" s="39" t="n"/>
      <c r="I525" s="39" t="n"/>
      <c r="J525" s="39" t="n"/>
      <c r="K525" s="39" t="n"/>
      <c r="L525" s="39" t="n"/>
      <c r="M525" s="7" t="n"/>
      <c r="N525" s="7" t="n"/>
      <c r="O525" s="40" t="n"/>
      <c r="P525" s="40" t="n"/>
      <c r="Q525" s="40" t="n"/>
      <c r="R525" s="40" t="n"/>
      <c r="S525" s="40" t="n"/>
      <c r="T525" s="40" t="n"/>
      <c r="U525" s="40" t="n"/>
      <c r="V525" s="40" t="n"/>
      <c r="W525" s="40" t="n"/>
      <c r="X525" s="40" t="n"/>
      <c r="Y525" s="40" t="n"/>
      <c r="Z525" s="40" t="n"/>
      <c r="AA525" s="39" t="n"/>
    </row>
    <row r="526">
      <c r="A526" s="7" t="n"/>
      <c r="B526" s="7" t="n"/>
      <c r="C526" s="39" t="n"/>
      <c r="D526" s="39" t="n"/>
      <c r="E526" s="7" t="n"/>
      <c r="F526" s="7" t="n"/>
      <c r="G526" s="7" t="n"/>
      <c r="H526" s="39" t="n"/>
      <c r="I526" s="39" t="n"/>
      <c r="J526" s="39" t="n"/>
      <c r="K526" s="39" t="n"/>
      <c r="L526" s="39" t="n"/>
      <c r="M526" s="7" t="n"/>
      <c r="N526" s="7" t="n"/>
      <c r="O526" s="40" t="n"/>
      <c r="P526" s="40" t="n"/>
      <c r="Q526" s="40" t="n"/>
      <c r="R526" s="40" t="n"/>
      <c r="S526" s="40" t="n"/>
      <c r="T526" s="40" t="n"/>
      <c r="U526" s="40" t="n"/>
      <c r="V526" s="40" t="n"/>
      <c r="W526" s="40" t="n"/>
      <c r="X526" s="40" t="n"/>
      <c r="Y526" s="40" t="n"/>
      <c r="Z526" s="40" t="n"/>
      <c r="AA526" s="39" t="n"/>
    </row>
    <row r="527">
      <c r="A527" s="7" t="n"/>
      <c r="B527" s="7" t="n"/>
      <c r="C527" s="39" t="n"/>
      <c r="D527" s="39" t="n"/>
      <c r="E527" s="7" t="n"/>
      <c r="F527" s="7" t="n"/>
      <c r="G527" s="7" t="n"/>
      <c r="H527" s="39" t="n"/>
      <c r="I527" s="39" t="n"/>
      <c r="J527" s="39" t="n"/>
      <c r="K527" s="39" t="n"/>
      <c r="L527" s="39" t="n"/>
      <c r="M527" s="7" t="n"/>
      <c r="N527" s="7" t="n"/>
      <c r="O527" s="40" t="n"/>
      <c r="P527" s="40" t="n"/>
      <c r="Q527" s="40" t="n"/>
      <c r="R527" s="40" t="n"/>
      <c r="S527" s="40" t="n"/>
      <c r="T527" s="40" t="n"/>
      <c r="U527" s="40" t="n"/>
      <c r="V527" s="40" t="n"/>
      <c r="W527" s="40" t="n"/>
      <c r="X527" s="40" t="n"/>
      <c r="Y527" s="40" t="n"/>
      <c r="Z527" s="40" t="n"/>
      <c r="AA527" s="39" t="n"/>
    </row>
    <row r="528">
      <c r="A528" s="7" t="n"/>
      <c r="B528" s="7" t="n"/>
      <c r="C528" s="39" t="n"/>
      <c r="D528" s="39" t="n"/>
      <c r="E528" s="7" t="n"/>
      <c r="F528" s="7" t="n"/>
      <c r="G528" s="7" t="n"/>
      <c r="H528" s="39" t="n"/>
      <c r="I528" s="39" t="n"/>
      <c r="J528" s="39" t="n"/>
      <c r="K528" s="39" t="n"/>
      <c r="L528" s="39" t="n"/>
      <c r="M528" s="7" t="n"/>
      <c r="N528" s="7" t="n"/>
      <c r="O528" s="40" t="n"/>
      <c r="P528" s="40" t="n"/>
      <c r="Q528" s="40" t="n"/>
      <c r="R528" s="40" t="n"/>
      <c r="S528" s="40" t="n"/>
      <c r="T528" s="40" t="n"/>
      <c r="U528" s="40" t="n"/>
      <c r="V528" s="40" t="n"/>
      <c r="W528" s="40" t="n"/>
      <c r="X528" s="40" t="n"/>
      <c r="Y528" s="40" t="n"/>
      <c r="Z528" s="40" t="n"/>
      <c r="AA528" s="39" t="n"/>
    </row>
    <row r="529">
      <c r="A529" s="7" t="n"/>
      <c r="B529" s="7" t="n"/>
      <c r="C529" s="39" t="n"/>
      <c r="D529" s="39" t="n"/>
      <c r="E529" s="7" t="n"/>
      <c r="F529" s="7" t="n"/>
      <c r="G529" s="7" t="n"/>
      <c r="H529" s="39" t="n"/>
      <c r="I529" s="39" t="n"/>
      <c r="J529" s="39" t="n"/>
      <c r="K529" s="39" t="n"/>
      <c r="L529" s="39" t="n"/>
      <c r="M529" s="7" t="n"/>
      <c r="N529" s="7" t="n"/>
      <c r="O529" s="40" t="n"/>
      <c r="P529" s="40" t="n"/>
      <c r="Q529" s="40" t="n"/>
      <c r="R529" s="40" t="n"/>
      <c r="S529" s="40" t="n"/>
      <c r="T529" s="40" t="n"/>
      <c r="U529" s="40" t="n"/>
      <c r="V529" s="40" t="n"/>
      <c r="W529" s="40" t="n"/>
      <c r="X529" s="40" t="n"/>
      <c r="Y529" s="40" t="n"/>
      <c r="Z529" s="40" t="n"/>
      <c r="AA529" s="39" t="n"/>
    </row>
    <row r="530">
      <c r="A530" s="7" t="n"/>
      <c r="B530" s="7" t="n"/>
      <c r="C530" s="39" t="n"/>
      <c r="D530" s="39" t="n"/>
      <c r="E530" s="7" t="n"/>
      <c r="F530" s="7" t="n"/>
      <c r="G530" s="7" t="n"/>
      <c r="H530" s="39" t="n"/>
      <c r="I530" s="39" t="n"/>
      <c r="J530" s="39" t="n"/>
      <c r="K530" s="39" t="n"/>
      <c r="L530" s="39" t="n"/>
      <c r="M530" s="7" t="n"/>
      <c r="N530" s="7" t="n"/>
      <c r="O530" s="40" t="n"/>
      <c r="P530" s="40" t="n"/>
      <c r="Q530" s="40" t="n"/>
      <c r="R530" s="40" t="n"/>
      <c r="S530" s="40" t="n"/>
      <c r="T530" s="40" t="n"/>
      <c r="U530" s="40" t="n"/>
      <c r="V530" s="40" t="n"/>
      <c r="W530" s="40" t="n"/>
      <c r="X530" s="40" t="n"/>
      <c r="Y530" s="40" t="n"/>
      <c r="Z530" s="40" t="n"/>
      <c r="AA530" s="39" t="n"/>
    </row>
    <row r="531">
      <c r="A531" s="7" t="n"/>
      <c r="B531" s="7" t="n"/>
      <c r="C531" s="39" t="n"/>
      <c r="D531" s="39" t="n"/>
      <c r="E531" s="7" t="n"/>
      <c r="F531" s="7" t="n"/>
      <c r="G531" s="7" t="n"/>
      <c r="H531" s="39" t="n"/>
      <c r="I531" s="39" t="n"/>
      <c r="J531" s="39" t="n"/>
      <c r="K531" s="39" t="n"/>
      <c r="L531" s="39" t="n"/>
      <c r="M531" s="7" t="n"/>
      <c r="N531" s="7" t="n"/>
      <c r="O531" s="40" t="n"/>
      <c r="P531" s="40" t="n"/>
      <c r="Q531" s="40" t="n"/>
      <c r="R531" s="40" t="n"/>
      <c r="S531" s="40" t="n"/>
      <c r="T531" s="40" t="n"/>
      <c r="U531" s="40" t="n"/>
      <c r="V531" s="40" t="n"/>
      <c r="W531" s="40" t="n"/>
      <c r="X531" s="40" t="n"/>
      <c r="Y531" s="40" t="n"/>
      <c r="Z531" s="40" t="n"/>
      <c r="AA531" s="39" t="n"/>
    </row>
    <row r="532">
      <c r="A532" s="7" t="n"/>
      <c r="B532" s="7" t="n"/>
      <c r="C532" s="39" t="n"/>
      <c r="D532" s="39" t="n"/>
      <c r="E532" s="7" t="n"/>
      <c r="F532" s="7" t="n"/>
      <c r="G532" s="7" t="n"/>
      <c r="H532" s="39" t="n"/>
      <c r="I532" s="39" t="n"/>
      <c r="J532" s="39" t="n"/>
      <c r="K532" s="39" t="n"/>
      <c r="L532" s="39" t="n"/>
      <c r="M532" s="7" t="n"/>
      <c r="N532" s="7" t="n"/>
      <c r="O532" s="40" t="n"/>
      <c r="P532" s="40" t="n"/>
      <c r="Q532" s="40" t="n"/>
      <c r="R532" s="40" t="n"/>
      <c r="S532" s="40" t="n"/>
      <c r="T532" s="40" t="n"/>
      <c r="U532" s="40" t="n"/>
      <c r="V532" s="40" t="n"/>
      <c r="W532" s="40" t="n"/>
      <c r="X532" s="40" t="n"/>
      <c r="Y532" s="40" t="n"/>
      <c r="Z532" s="40" t="n"/>
      <c r="AA532" s="39" t="n"/>
    </row>
    <row r="533">
      <c r="A533" s="7" t="n"/>
      <c r="B533" s="7" t="n"/>
      <c r="C533" s="39" t="n"/>
      <c r="D533" s="39" t="n"/>
      <c r="E533" s="7" t="n"/>
      <c r="F533" s="7" t="n"/>
      <c r="G533" s="7" t="n"/>
      <c r="H533" s="39" t="n"/>
      <c r="I533" s="39" t="n"/>
      <c r="J533" s="39" t="n"/>
      <c r="K533" s="39" t="n"/>
      <c r="L533" s="39" t="n"/>
      <c r="M533" s="7" t="n"/>
      <c r="N533" s="7" t="n"/>
      <c r="O533" s="40" t="n"/>
      <c r="P533" s="40" t="n"/>
      <c r="Q533" s="40" t="n"/>
      <c r="R533" s="40" t="n"/>
      <c r="S533" s="40" t="n"/>
      <c r="T533" s="40" t="n"/>
      <c r="U533" s="40" t="n"/>
      <c r="V533" s="40" t="n"/>
      <c r="W533" s="40" t="n"/>
      <c r="X533" s="40" t="n"/>
      <c r="Y533" s="40" t="n"/>
      <c r="Z533" s="40" t="n"/>
      <c r="AA533" s="39" t="n"/>
    </row>
    <row r="534">
      <c r="A534" s="7" t="n"/>
      <c r="B534" s="7" t="n"/>
      <c r="C534" s="39" t="n"/>
      <c r="D534" s="39" t="n"/>
      <c r="E534" s="7" t="n"/>
      <c r="F534" s="7" t="n"/>
      <c r="G534" s="7" t="n"/>
      <c r="H534" s="39" t="n"/>
      <c r="I534" s="39" t="n"/>
      <c r="J534" s="39" t="n"/>
      <c r="K534" s="39" t="n"/>
      <c r="L534" s="39" t="n"/>
      <c r="M534" s="7" t="n"/>
      <c r="N534" s="7" t="n"/>
      <c r="O534" s="40" t="n"/>
      <c r="P534" s="40" t="n"/>
      <c r="Q534" s="40" t="n"/>
      <c r="R534" s="40" t="n"/>
      <c r="S534" s="40" t="n"/>
      <c r="T534" s="40" t="n"/>
      <c r="U534" s="40" t="n"/>
      <c r="V534" s="40" t="n"/>
      <c r="W534" s="40" t="n"/>
      <c r="X534" s="40" t="n"/>
      <c r="Y534" s="40" t="n"/>
      <c r="Z534" s="40" t="n"/>
      <c r="AA534" s="39" t="n"/>
    </row>
    <row r="535">
      <c r="A535" s="7" t="n"/>
      <c r="B535" s="7" t="n"/>
      <c r="C535" s="39" t="n"/>
      <c r="D535" s="39" t="n"/>
      <c r="E535" s="7" t="n"/>
      <c r="F535" s="7" t="n"/>
      <c r="G535" s="7" t="n"/>
      <c r="H535" s="39" t="n"/>
      <c r="I535" s="39" t="n"/>
      <c r="J535" s="39" t="n"/>
      <c r="K535" s="39" t="n"/>
      <c r="L535" s="39" t="n"/>
      <c r="M535" s="7" t="n"/>
      <c r="N535" s="7" t="n"/>
      <c r="O535" s="40" t="n"/>
      <c r="P535" s="40" t="n"/>
      <c r="Q535" s="40" t="n"/>
      <c r="R535" s="40" t="n"/>
      <c r="S535" s="40" t="n"/>
      <c r="T535" s="40" t="n"/>
      <c r="U535" s="40" t="n"/>
      <c r="V535" s="40" t="n"/>
      <c r="W535" s="40" t="n"/>
      <c r="X535" s="40" t="n"/>
      <c r="Y535" s="40" t="n"/>
      <c r="Z535" s="40" t="n"/>
      <c r="AA535" s="39" t="n"/>
    </row>
    <row r="536">
      <c r="A536" s="7" t="n"/>
      <c r="B536" s="7" t="n"/>
      <c r="C536" s="39" t="n"/>
      <c r="D536" s="39" t="n"/>
      <c r="E536" s="7" t="n"/>
      <c r="F536" s="7" t="n"/>
      <c r="G536" s="7" t="n"/>
      <c r="H536" s="39" t="n"/>
      <c r="I536" s="39" t="n"/>
      <c r="J536" s="39" t="n"/>
      <c r="K536" s="39" t="n"/>
      <c r="L536" s="39" t="n"/>
      <c r="M536" s="7" t="n"/>
      <c r="N536" s="7" t="n"/>
      <c r="O536" s="40" t="n"/>
      <c r="P536" s="40" t="n"/>
      <c r="Q536" s="40" t="n"/>
      <c r="R536" s="40" t="n"/>
      <c r="S536" s="40" t="n"/>
      <c r="T536" s="40" t="n"/>
      <c r="U536" s="40" t="n"/>
      <c r="V536" s="40" t="n"/>
      <c r="W536" s="40" t="n"/>
      <c r="X536" s="40" t="n"/>
      <c r="Y536" s="40" t="n"/>
      <c r="Z536" s="40" t="n"/>
      <c r="AA536" s="39" t="n"/>
    </row>
    <row r="537">
      <c r="A537" s="7" t="n"/>
      <c r="B537" s="7" t="n"/>
      <c r="C537" s="39" t="n"/>
      <c r="D537" s="39" t="n"/>
      <c r="E537" s="7" t="n"/>
      <c r="F537" s="7" t="n"/>
      <c r="G537" s="7" t="n"/>
      <c r="H537" s="39" t="n"/>
      <c r="I537" s="39" t="n"/>
      <c r="J537" s="39" t="n"/>
      <c r="K537" s="39" t="n"/>
      <c r="L537" s="39" t="n"/>
      <c r="M537" s="7" t="n"/>
      <c r="N537" s="7" t="n"/>
      <c r="O537" s="40" t="n"/>
      <c r="P537" s="40" t="n"/>
      <c r="Q537" s="40" t="n"/>
      <c r="R537" s="40" t="n"/>
      <c r="S537" s="40" t="n"/>
      <c r="T537" s="40" t="n"/>
      <c r="U537" s="40" t="n"/>
      <c r="V537" s="40" t="n"/>
      <c r="W537" s="40" t="n"/>
      <c r="X537" s="40" t="n"/>
      <c r="Y537" s="40" t="n"/>
      <c r="Z537" s="40" t="n"/>
      <c r="AA537" s="39" t="n"/>
    </row>
    <row r="538">
      <c r="A538" s="7" t="n"/>
      <c r="B538" s="7" t="n"/>
      <c r="C538" s="39" t="n"/>
      <c r="D538" s="39" t="n"/>
      <c r="E538" s="7" t="n"/>
      <c r="F538" s="7" t="n"/>
      <c r="G538" s="7" t="n"/>
      <c r="H538" s="39" t="n"/>
      <c r="I538" s="39" t="n"/>
      <c r="J538" s="39" t="n"/>
      <c r="K538" s="39" t="n"/>
      <c r="L538" s="39" t="n"/>
      <c r="M538" s="7" t="n"/>
      <c r="N538" s="7" t="n"/>
      <c r="O538" s="40" t="n"/>
      <c r="P538" s="40" t="n"/>
      <c r="Q538" s="40" t="n"/>
      <c r="R538" s="40" t="n"/>
      <c r="S538" s="40" t="n"/>
      <c r="T538" s="40" t="n"/>
      <c r="U538" s="40" t="n"/>
      <c r="V538" s="40" t="n"/>
      <c r="W538" s="40" t="n"/>
      <c r="X538" s="40" t="n"/>
      <c r="Y538" s="40" t="n"/>
      <c r="Z538" s="40" t="n"/>
      <c r="AA538" s="39" t="n"/>
    </row>
    <row r="539">
      <c r="A539" s="7" t="n"/>
      <c r="B539" s="7" t="n"/>
      <c r="C539" s="39" t="n"/>
      <c r="D539" s="39" t="n"/>
      <c r="E539" s="7" t="n"/>
      <c r="F539" s="7" t="n"/>
      <c r="G539" s="7" t="n"/>
      <c r="H539" s="39" t="n"/>
      <c r="I539" s="39" t="n"/>
      <c r="J539" s="39" t="n"/>
      <c r="K539" s="39" t="n"/>
      <c r="L539" s="39" t="n"/>
      <c r="M539" s="7" t="n"/>
      <c r="N539" s="7" t="n"/>
      <c r="O539" s="40" t="n"/>
      <c r="P539" s="40" t="n"/>
      <c r="Q539" s="40" t="n"/>
      <c r="R539" s="40" t="n"/>
      <c r="S539" s="40" t="n"/>
      <c r="T539" s="40" t="n"/>
      <c r="U539" s="40" t="n"/>
      <c r="V539" s="40" t="n"/>
      <c r="W539" s="40" t="n"/>
      <c r="X539" s="40" t="n"/>
      <c r="Y539" s="40" t="n"/>
      <c r="Z539" s="40" t="n"/>
      <c r="AA539" s="39" t="n"/>
    </row>
    <row r="540">
      <c r="A540" s="7" t="n"/>
      <c r="B540" s="7" t="n"/>
      <c r="C540" s="39" t="n"/>
      <c r="D540" s="39" t="n"/>
      <c r="E540" s="7" t="n"/>
      <c r="F540" s="7" t="n"/>
      <c r="G540" s="7" t="n"/>
      <c r="H540" s="39" t="n"/>
      <c r="I540" s="39" t="n"/>
      <c r="J540" s="39" t="n"/>
      <c r="K540" s="39" t="n"/>
      <c r="L540" s="39" t="n"/>
      <c r="M540" s="7" t="n"/>
      <c r="N540" s="7" t="n"/>
      <c r="O540" s="40" t="n"/>
      <c r="P540" s="40" t="n"/>
      <c r="Q540" s="40" t="n"/>
      <c r="R540" s="40" t="n"/>
      <c r="S540" s="40" t="n"/>
      <c r="T540" s="40" t="n"/>
      <c r="U540" s="40" t="n"/>
      <c r="V540" s="40" t="n"/>
      <c r="W540" s="40" t="n"/>
      <c r="X540" s="40" t="n"/>
      <c r="Y540" s="40" t="n"/>
      <c r="Z540" s="40" t="n"/>
      <c r="AA540" s="39" t="n"/>
    </row>
    <row r="541">
      <c r="A541" s="7" t="n"/>
      <c r="B541" s="7" t="n"/>
      <c r="C541" s="39" t="n"/>
      <c r="D541" s="39" t="n"/>
      <c r="E541" s="7" t="n"/>
      <c r="F541" s="7" t="n"/>
      <c r="G541" s="7" t="n"/>
      <c r="H541" s="39" t="n"/>
      <c r="I541" s="39" t="n"/>
      <c r="J541" s="39" t="n"/>
      <c r="K541" s="39" t="n"/>
      <c r="L541" s="39" t="n"/>
      <c r="M541" s="7" t="n"/>
      <c r="N541" s="7" t="n"/>
      <c r="O541" s="40" t="n"/>
      <c r="P541" s="40" t="n"/>
      <c r="Q541" s="40" t="n"/>
      <c r="R541" s="40" t="n"/>
      <c r="S541" s="40" t="n"/>
      <c r="T541" s="40" t="n"/>
      <c r="U541" s="40" t="n"/>
      <c r="V541" s="40" t="n"/>
      <c r="W541" s="40" t="n"/>
      <c r="X541" s="40" t="n"/>
      <c r="Y541" s="40" t="n"/>
      <c r="Z541" s="40" t="n"/>
      <c r="AA541" s="39" t="n"/>
    </row>
    <row r="542">
      <c r="A542" s="7" t="n"/>
      <c r="B542" s="7" t="n"/>
      <c r="C542" s="39" t="n"/>
      <c r="D542" s="39" t="n"/>
      <c r="E542" s="7" t="n"/>
      <c r="F542" s="7" t="n"/>
      <c r="G542" s="7" t="n"/>
      <c r="H542" s="39" t="n"/>
      <c r="I542" s="39" t="n"/>
      <c r="J542" s="39" t="n"/>
      <c r="K542" s="39" t="n"/>
      <c r="L542" s="39" t="n"/>
      <c r="M542" s="7" t="n"/>
      <c r="N542" s="7" t="n"/>
      <c r="O542" s="40" t="n"/>
      <c r="P542" s="40" t="n"/>
      <c r="Q542" s="40" t="n"/>
      <c r="R542" s="40" t="n"/>
      <c r="S542" s="40" t="n"/>
      <c r="T542" s="40" t="n"/>
      <c r="U542" s="40" t="n"/>
      <c r="V542" s="40" t="n"/>
      <c r="W542" s="40" t="n"/>
      <c r="X542" s="40" t="n"/>
      <c r="Y542" s="40" t="n"/>
      <c r="Z542" s="40" t="n"/>
      <c r="AA542" s="39" t="n"/>
    </row>
    <row r="543">
      <c r="A543" s="7" t="n"/>
      <c r="B543" s="7" t="n"/>
      <c r="C543" s="39" t="n"/>
      <c r="D543" s="39" t="n"/>
      <c r="E543" s="7" t="n"/>
      <c r="F543" s="7" t="n"/>
      <c r="G543" s="7" t="n"/>
      <c r="H543" s="39" t="n"/>
      <c r="I543" s="39" t="n"/>
      <c r="J543" s="39" t="n"/>
      <c r="K543" s="39" t="n"/>
      <c r="L543" s="39" t="n"/>
      <c r="M543" s="7" t="n"/>
      <c r="N543" s="7" t="n"/>
      <c r="O543" s="40" t="n"/>
      <c r="P543" s="40" t="n"/>
      <c r="Q543" s="40" t="n"/>
      <c r="R543" s="40" t="n"/>
      <c r="S543" s="40" t="n"/>
      <c r="T543" s="40" t="n"/>
      <c r="U543" s="40" t="n"/>
      <c r="V543" s="40" t="n"/>
      <c r="W543" s="40" t="n"/>
      <c r="X543" s="40" t="n"/>
      <c r="Y543" s="40" t="n"/>
      <c r="Z543" s="40" t="n"/>
      <c r="AA543" s="39" t="n"/>
    </row>
    <row r="544">
      <c r="A544" s="7" t="n"/>
      <c r="B544" s="7" t="n"/>
      <c r="C544" s="39" t="n"/>
      <c r="D544" s="39" t="n"/>
      <c r="E544" s="7" t="n"/>
      <c r="F544" s="7" t="n"/>
      <c r="G544" s="7" t="n"/>
      <c r="H544" s="39" t="n"/>
      <c r="I544" s="39" t="n"/>
      <c r="J544" s="39" t="n"/>
      <c r="K544" s="39" t="n"/>
      <c r="L544" s="39" t="n"/>
      <c r="M544" s="7" t="n"/>
      <c r="N544" s="7" t="n"/>
      <c r="O544" s="40" t="n"/>
      <c r="P544" s="40" t="n"/>
      <c r="Q544" s="40" t="n"/>
      <c r="R544" s="40" t="n"/>
      <c r="S544" s="40" t="n"/>
      <c r="T544" s="40" t="n"/>
      <c r="U544" s="40" t="n"/>
      <c r="V544" s="40" t="n"/>
      <c r="W544" s="40" t="n"/>
      <c r="X544" s="40" t="n"/>
      <c r="Y544" s="40" t="n"/>
      <c r="Z544" s="40" t="n"/>
      <c r="AA544" s="39" t="n"/>
    </row>
    <row r="545">
      <c r="A545" s="7" t="n"/>
      <c r="B545" s="7" t="n"/>
      <c r="C545" s="39" t="n"/>
      <c r="D545" s="39" t="n"/>
      <c r="E545" s="7" t="n"/>
      <c r="F545" s="7" t="n"/>
      <c r="G545" s="7" t="n"/>
      <c r="H545" s="39" t="n"/>
      <c r="I545" s="39" t="n"/>
      <c r="J545" s="39" t="n"/>
      <c r="K545" s="39" t="n"/>
      <c r="L545" s="39" t="n"/>
      <c r="M545" s="7" t="n"/>
      <c r="N545" s="7" t="n"/>
      <c r="O545" s="40" t="n"/>
      <c r="P545" s="40" t="n"/>
      <c r="Q545" s="40" t="n"/>
      <c r="R545" s="40" t="n"/>
      <c r="S545" s="40" t="n"/>
      <c r="T545" s="40" t="n"/>
      <c r="U545" s="40" t="n"/>
      <c r="V545" s="40" t="n"/>
      <c r="W545" s="40" t="n"/>
      <c r="X545" s="40" t="n"/>
      <c r="Y545" s="40" t="n"/>
      <c r="Z545" s="40" t="n"/>
      <c r="AA545" s="39" t="n"/>
    </row>
    <row r="546">
      <c r="A546" s="7" t="n"/>
      <c r="B546" s="7" t="n"/>
      <c r="C546" s="39" t="n"/>
      <c r="D546" s="39" t="n"/>
      <c r="E546" s="7" t="n"/>
      <c r="F546" s="7" t="n"/>
      <c r="G546" s="7" t="n"/>
      <c r="H546" s="39" t="n"/>
      <c r="I546" s="39" t="n"/>
      <c r="J546" s="39" t="n"/>
      <c r="K546" s="39" t="n"/>
      <c r="L546" s="39" t="n"/>
      <c r="M546" s="7" t="n"/>
      <c r="N546" s="7" t="n"/>
      <c r="O546" s="40" t="n"/>
      <c r="P546" s="40" t="n"/>
      <c r="Q546" s="40" t="n"/>
      <c r="R546" s="40" t="n"/>
      <c r="S546" s="40" t="n"/>
      <c r="T546" s="40" t="n"/>
      <c r="U546" s="40" t="n"/>
      <c r="V546" s="40" t="n"/>
      <c r="W546" s="40" t="n"/>
      <c r="X546" s="40" t="n"/>
      <c r="Y546" s="40" t="n"/>
      <c r="Z546" s="40" t="n"/>
      <c r="AA546" s="39" t="n"/>
    </row>
    <row r="547">
      <c r="A547" s="7" t="n"/>
      <c r="B547" s="7" t="n"/>
      <c r="C547" s="39" t="n"/>
      <c r="D547" s="39" t="n"/>
      <c r="E547" s="7" t="n"/>
      <c r="F547" s="7" t="n"/>
      <c r="G547" s="7" t="n"/>
      <c r="H547" s="39" t="n"/>
      <c r="I547" s="39" t="n"/>
      <c r="J547" s="39" t="n"/>
      <c r="K547" s="39" t="n"/>
      <c r="L547" s="39" t="n"/>
      <c r="M547" s="7" t="n"/>
      <c r="N547" s="7" t="n"/>
      <c r="O547" s="40" t="n"/>
      <c r="P547" s="40" t="n"/>
      <c r="Q547" s="40" t="n"/>
      <c r="R547" s="40" t="n"/>
      <c r="S547" s="40" t="n"/>
      <c r="T547" s="40" t="n"/>
      <c r="U547" s="40" t="n"/>
      <c r="V547" s="40" t="n"/>
      <c r="W547" s="40" t="n"/>
      <c r="X547" s="40" t="n"/>
      <c r="Y547" s="40" t="n"/>
      <c r="Z547" s="40" t="n"/>
      <c r="AA547" s="39" t="n"/>
    </row>
    <row r="548">
      <c r="A548" s="7" t="n"/>
      <c r="B548" s="7" t="n"/>
      <c r="C548" s="39" t="n"/>
      <c r="D548" s="39" t="n"/>
      <c r="E548" s="7" t="n"/>
      <c r="F548" s="7" t="n"/>
      <c r="G548" s="7" t="n"/>
      <c r="H548" s="39" t="n"/>
      <c r="I548" s="39" t="n"/>
      <c r="J548" s="39" t="n"/>
      <c r="K548" s="39" t="n"/>
      <c r="L548" s="39" t="n"/>
      <c r="M548" s="7" t="n"/>
      <c r="N548" s="7" t="n"/>
      <c r="O548" s="40" t="n"/>
      <c r="P548" s="40" t="n"/>
      <c r="Q548" s="40" t="n"/>
      <c r="R548" s="40" t="n"/>
      <c r="S548" s="40" t="n"/>
      <c r="T548" s="40" t="n"/>
      <c r="U548" s="40" t="n"/>
      <c r="V548" s="40" t="n"/>
      <c r="W548" s="40" t="n"/>
      <c r="X548" s="40" t="n"/>
      <c r="Y548" s="40" t="n"/>
      <c r="Z548" s="40" t="n"/>
      <c r="AA548" s="39" t="n"/>
    </row>
    <row r="549">
      <c r="A549" s="7" t="n"/>
      <c r="B549" s="7" t="n"/>
      <c r="C549" s="39" t="n"/>
      <c r="D549" s="39" t="n"/>
      <c r="E549" s="7" t="n"/>
      <c r="F549" s="7" t="n"/>
      <c r="G549" s="7" t="n"/>
      <c r="H549" s="39" t="n"/>
      <c r="I549" s="39" t="n"/>
      <c r="J549" s="39" t="n"/>
      <c r="K549" s="39" t="n"/>
      <c r="L549" s="39" t="n"/>
      <c r="M549" s="7" t="n"/>
      <c r="N549" s="7" t="n"/>
      <c r="O549" s="40" t="n"/>
      <c r="P549" s="40" t="n"/>
      <c r="Q549" s="40" t="n"/>
      <c r="R549" s="40" t="n"/>
      <c r="S549" s="40" t="n"/>
      <c r="T549" s="40" t="n"/>
      <c r="U549" s="40" t="n"/>
      <c r="V549" s="40" t="n"/>
      <c r="W549" s="40" t="n"/>
      <c r="X549" s="40" t="n"/>
      <c r="Y549" s="40" t="n"/>
      <c r="Z549" s="40" t="n"/>
      <c r="AA549" s="39" t="n"/>
    </row>
    <row r="550">
      <c r="A550" s="7" t="n"/>
      <c r="B550" s="7" t="n"/>
      <c r="C550" s="39" t="n"/>
      <c r="D550" s="39" t="n"/>
      <c r="E550" s="7" t="n"/>
      <c r="F550" s="7" t="n"/>
      <c r="G550" s="7" t="n"/>
      <c r="H550" s="39" t="n"/>
      <c r="I550" s="39" t="n"/>
      <c r="J550" s="39" t="n"/>
      <c r="K550" s="39" t="n"/>
      <c r="L550" s="39" t="n"/>
      <c r="M550" s="7" t="n"/>
      <c r="N550" s="7" t="n"/>
      <c r="O550" s="40" t="n"/>
      <c r="P550" s="40" t="n"/>
      <c r="Q550" s="40" t="n"/>
      <c r="R550" s="40" t="n"/>
      <c r="S550" s="40" t="n"/>
      <c r="T550" s="40" t="n"/>
      <c r="U550" s="40" t="n"/>
      <c r="V550" s="40" t="n"/>
      <c r="W550" s="40" t="n"/>
      <c r="X550" s="40" t="n"/>
      <c r="Y550" s="40" t="n"/>
      <c r="Z550" s="40" t="n"/>
      <c r="AA550" s="39" t="n"/>
    </row>
    <row r="551">
      <c r="A551" s="7" t="n"/>
      <c r="B551" s="7" t="n"/>
      <c r="C551" s="39" t="n"/>
      <c r="D551" s="39" t="n"/>
      <c r="E551" s="7" t="n"/>
      <c r="F551" s="7" t="n"/>
      <c r="G551" s="7" t="n"/>
      <c r="H551" s="39" t="n"/>
      <c r="I551" s="39" t="n"/>
      <c r="J551" s="39" t="n"/>
      <c r="K551" s="39" t="n"/>
      <c r="L551" s="39" t="n"/>
      <c r="M551" s="7" t="n"/>
      <c r="N551" s="7" t="n"/>
      <c r="O551" s="40" t="n"/>
      <c r="P551" s="40" t="n"/>
      <c r="Q551" s="40" t="n"/>
      <c r="R551" s="40" t="n"/>
      <c r="S551" s="40" t="n"/>
      <c r="T551" s="40" t="n"/>
      <c r="U551" s="40" t="n"/>
      <c r="V551" s="40" t="n"/>
      <c r="W551" s="40" t="n"/>
      <c r="X551" s="40" t="n"/>
      <c r="Y551" s="40" t="n"/>
      <c r="Z551" s="40" t="n"/>
      <c r="AA551" s="39" t="n"/>
    </row>
    <row r="552">
      <c r="A552" s="7" t="n"/>
      <c r="B552" s="7" t="n"/>
      <c r="C552" s="39" t="n"/>
      <c r="D552" s="39" t="n"/>
      <c r="E552" s="7" t="n"/>
      <c r="F552" s="7" t="n"/>
      <c r="G552" s="7" t="n"/>
      <c r="H552" s="39" t="n"/>
      <c r="I552" s="39" t="n"/>
      <c r="J552" s="39" t="n"/>
      <c r="K552" s="39" t="n"/>
      <c r="L552" s="39" t="n"/>
      <c r="M552" s="7" t="n"/>
      <c r="N552" s="7" t="n"/>
      <c r="O552" s="40" t="n"/>
      <c r="P552" s="40" t="n"/>
      <c r="Q552" s="40" t="n"/>
      <c r="R552" s="40" t="n"/>
      <c r="S552" s="40" t="n"/>
      <c r="T552" s="40" t="n"/>
      <c r="U552" s="40" t="n"/>
      <c r="V552" s="40" t="n"/>
      <c r="W552" s="40" t="n"/>
      <c r="X552" s="40" t="n"/>
      <c r="Y552" s="40" t="n"/>
      <c r="Z552" s="40" t="n"/>
      <c r="AA552" s="39" t="n"/>
    </row>
    <row r="553">
      <c r="A553" s="7" t="n"/>
      <c r="B553" s="7" t="n"/>
      <c r="C553" s="39" t="n"/>
      <c r="D553" s="39" t="n"/>
      <c r="E553" s="7" t="n"/>
      <c r="F553" s="7" t="n"/>
      <c r="G553" s="7" t="n"/>
      <c r="H553" s="39" t="n"/>
      <c r="I553" s="39" t="n"/>
      <c r="J553" s="39" t="n"/>
      <c r="K553" s="39" t="n"/>
      <c r="L553" s="39" t="n"/>
      <c r="M553" s="7" t="n"/>
      <c r="N553" s="7" t="n"/>
      <c r="O553" s="40" t="n"/>
      <c r="P553" s="40" t="n"/>
      <c r="Q553" s="40" t="n"/>
      <c r="R553" s="40" t="n"/>
      <c r="S553" s="40" t="n"/>
      <c r="T553" s="40" t="n"/>
      <c r="U553" s="40" t="n"/>
      <c r="V553" s="40" t="n"/>
      <c r="W553" s="40" t="n"/>
      <c r="X553" s="40" t="n"/>
      <c r="Y553" s="40" t="n"/>
      <c r="Z553" s="40" t="n"/>
      <c r="AA553" s="39" t="n"/>
    </row>
    <row r="554">
      <c r="A554" s="7" t="n"/>
      <c r="B554" s="7" t="n"/>
      <c r="C554" s="39" t="n"/>
      <c r="D554" s="39" t="n"/>
      <c r="E554" s="7" t="n"/>
      <c r="F554" s="7" t="n"/>
      <c r="G554" s="7" t="n"/>
      <c r="H554" s="39" t="n"/>
      <c r="I554" s="39" t="n"/>
      <c r="J554" s="39" t="n"/>
      <c r="K554" s="39" t="n"/>
      <c r="L554" s="39" t="n"/>
      <c r="M554" s="7" t="n"/>
      <c r="N554" s="7" t="n"/>
      <c r="O554" s="40" t="n"/>
      <c r="P554" s="40" t="n"/>
      <c r="Q554" s="40" t="n"/>
      <c r="R554" s="40" t="n"/>
      <c r="S554" s="40" t="n"/>
      <c r="T554" s="40" t="n"/>
      <c r="U554" s="40" t="n"/>
      <c r="V554" s="40" t="n"/>
      <c r="W554" s="40" t="n"/>
      <c r="X554" s="40" t="n"/>
      <c r="Y554" s="40" t="n"/>
      <c r="Z554" s="40" t="n"/>
      <c r="AA554" s="39" t="n"/>
    </row>
    <row r="555">
      <c r="A555" s="7" t="n"/>
      <c r="B555" s="7" t="n"/>
      <c r="C555" s="39" t="n"/>
      <c r="D555" s="39" t="n"/>
      <c r="E555" s="7" t="n"/>
      <c r="F555" s="7" t="n"/>
      <c r="G555" s="7" t="n"/>
      <c r="H555" s="39" t="n"/>
      <c r="I555" s="39" t="n"/>
      <c r="J555" s="39" t="n"/>
      <c r="K555" s="39" t="n"/>
      <c r="L555" s="39" t="n"/>
      <c r="M555" s="7" t="n"/>
      <c r="N555" s="7" t="n"/>
      <c r="O555" s="40" t="n"/>
      <c r="P555" s="40" t="n"/>
      <c r="Q555" s="40" t="n"/>
      <c r="R555" s="40" t="n"/>
      <c r="S555" s="40" t="n"/>
      <c r="T555" s="40" t="n"/>
      <c r="U555" s="40" t="n"/>
      <c r="V555" s="40" t="n"/>
      <c r="W555" s="40" t="n"/>
      <c r="X555" s="40" t="n"/>
      <c r="Y555" s="40" t="n"/>
      <c r="Z555" s="40" t="n"/>
      <c r="AA555" s="39" t="n"/>
    </row>
    <row r="556">
      <c r="A556" s="7" t="n"/>
      <c r="B556" s="7" t="n"/>
      <c r="C556" s="39" t="n"/>
      <c r="D556" s="39" t="n"/>
      <c r="E556" s="7" t="n"/>
      <c r="F556" s="7" t="n"/>
      <c r="G556" s="7" t="n"/>
      <c r="H556" s="39" t="n"/>
      <c r="I556" s="39" t="n"/>
      <c r="J556" s="39" t="n"/>
      <c r="K556" s="39" t="n"/>
      <c r="L556" s="39" t="n"/>
      <c r="M556" s="7" t="n"/>
      <c r="N556" s="7" t="n"/>
      <c r="O556" s="40" t="n"/>
      <c r="P556" s="40" t="n"/>
      <c r="Q556" s="40" t="n"/>
      <c r="R556" s="40" t="n"/>
      <c r="S556" s="40" t="n"/>
      <c r="T556" s="40" t="n"/>
      <c r="U556" s="40" t="n"/>
      <c r="V556" s="40" t="n"/>
      <c r="W556" s="40" t="n"/>
      <c r="X556" s="40" t="n"/>
      <c r="Y556" s="40" t="n"/>
      <c r="Z556" s="40" t="n"/>
      <c r="AA556" s="39" t="n"/>
    </row>
    <row r="557">
      <c r="A557" s="7" t="n"/>
      <c r="B557" s="7" t="n"/>
      <c r="C557" s="39" t="n"/>
      <c r="D557" s="39" t="n"/>
      <c r="E557" s="7" t="n"/>
      <c r="F557" s="7" t="n"/>
      <c r="G557" s="7" t="n"/>
      <c r="H557" s="39" t="n"/>
      <c r="I557" s="39" t="n"/>
      <c r="J557" s="39" t="n"/>
      <c r="K557" s="39" t="n"/>
      <c r="L557" s="39" t="n"/>
      <c r="M557" s="7" t="n"/>
      <c r="N557" s="7" t="n"/>
      <c r="O557" s="40" t="n"/>
      <c r="P557" s="40" t="n"/>
      <c r="Q557" s="40" t="n"/>
      <c r="R557" s="40" t="n"/>
      <c r="S557" s="40" t="n"/>
      <c r="T557" s="40" t="n"/>
      <c r="U557" s="40" t="n"/>
      <c r="V557" s="40" t="n"/>
      <c r="W557" s="40" t="n"/>
      <c r="X557" s="40" t="n"/>
      <c r="Y557" s="40" t="n"/>
      <c r="Z557" s="40" t="n"/>
      <c r="AA557" s="39" t="n"/>
    </row>
    <row r="558">
      <c r="A558" s="7" t="n"/>
      <c r="B558" s="7" t="n"/>
      <c r="C558" s="39" t="n"/>
      <c r="D558" s="39" t="n"/>
      <c r="E558" s="7" t="n"/>
      <c r="F558" s="7" t="n"/>
      <c r="G558" s="7" t="n"/>
      <c r="H558" s="39" t="n"/>
      <c r="I558" s="39" t="n"/>
      <c r="J558" s="39" t="n"/>
      <c r="K558" s="39" t="n"/>
      <c r="L558" s="39" t="n"/>
      <c r="M558" s="7" t="n"/>
      <c r="N558" s="7" t="n"/>
      <c r="O558" s="40" t="n"/>
      <c r="P558" s="40" t="n"/>
      <c r="Q558" s="40" t="n"/>
      <c r="R558" s="40" t="n"/>
      <c r="S558" s="40" t="n"/>
      <c r="T558" s="40" t="n"/>
      <c r="U558" s="40" t="n"/>
      <c r="V558" s="40" t="n"/>
      <c r="W558" s="40" t="n"/>
      <c r="X558" s="40" t="n"/>
      <c r="Y558" s="40" t="n"/>
      <c r="Z558" s="40" t="n"/>
      <c r="AA558" s="39" t="n"/>
    </row>
    <row r="559">
      <c r="A559" s="7" t="n"/>
      <c r="B559" s="7" t="n"/>
      <c r="C559" s="39" t="n"/>
      <c r="D559" s="39" t="n"/>
      <c r="E559" s="7" t="n"/>
      <c r="F559" s="7" t="n"/>
      <c r="G559" s="7" t="n"/>
      <c r="H559" s="39" t="n"/>
      <c r="I559" s="39" t="n"/>
      <c r="J559" s="39" t="n"/>
      <c r="K559" s="39" t="n"/>
      <c r="L559" s="39" t="n"/>
      <c r="M559" s="7" t="n"/>
      <c r="N559" s="7" t="n"/>
      <c r="O559" s="40" t="n"/>
      <c r="P559" s="40" t="n"/>
      <c r="Q559" s="40" t="n"/>
      <c r="R559" s="40" t="n"/>
      <c r="S559" s="40" t="n"/>
      <c r="T559" s="40" t="n"/>
      <c r="U559" s="40" t="n"/>
      <c r="V559" s="40" t="n"/>
      <c r="W559" s="40" t="n"/>
      <c r="X559" s="40" t="n"/>
      <c r="Y559" s="40" t="n"/>
      <c r="Z559" s="40" t="n"/>
      <c r="AA559" s="39" t="n"/>
    </row>
    <row r="560">
      <c r="A560" s="7" t="n"/>
      <c r="B560" s="7" t="n"/>
      <c r="C560" s="39" t="n"/>
      <c r="D560" s="39" t="n"/>
      <c r="E560" s="7" t="n"/>
      <c r="F560" s="7" t="n"/>
      <c r="G560" s="7" t="n"/>
      <c r="H560" s="39" t="n"/>
      <c r="I560" s="39" t="n"/>
      <c r="J560" s="39" t="n"/>
      <c r="K560" s="39" t="n"/>
      <c r="L560" s="39" t="n"/>
      <c r="M560" s="7" t="n"/>
      <c r="N560" s="7" t="n"/>
      <c r="O560" s="40" t="n"/>
      <c r="P560" s="40" t="n"/>
      <c r="Q560" s="40" t="n"/>
      <c r="R560" s="40" t="n"/>
      <c r="S560" s="40" t="n"/>
      <c r="T560" s="40" t="n"/>
      <c r="U560" s="40" t="n"/>
      <c r="V560" s="40" t="n"/>
      <c r="W560" s="40" t="n"/>
      <c r="X560" s="40" t="n"/>
      <c r="Y560" s="40" t="n"/>
      <c r="Z560" s="40" t="n"/>
      <c r="AA560" s="39" t="n"/>
    </row>
    <row r="561">
      <c r="A561" s="7" t="n"/>
      <c r="B561" s="7" t="n"/>
      <c r="C561" s="39" t="n"/>
      <c r="D561" s="39" t="n"/>
      <c r="E561" s="7" t="n"/>
      <c r="F561" s="7" t="n"/>
      <c r="G561" s="7" t="n"/>
      <c r="H561" s="39" t="n"/>
      <c r="I561" s="39" t="n"/>
      <c r="J561" s="39" t="n"/>
      <c r="K561" s="39" t="n"/>
      <c r="L561" s="39" t="n"/>
      <c r="M561" s="7" t="n"/>
      <c r="N561" s="7" t="n"/>
      <c r="O561" s="40" t="n"/>
      <c r="P561" s="40" t="n"/>
      <c r="Q561" s="40" t="n"/>
      <c r="R561" s="40" t="n"/>
      <c r="S561" s="40" t="n"/>
      <c r="T561" s="40" t="n"/>
      <c r="U561" s="40" t="n"/>
      <c r="V561" s="40" t="n"/>
      <c r="W561" s="40" t="n"/>
      <c r="X561" s="40" t="n"/>
      <c r="Y561" s="40" t="n"/>
      <c r="Z561" s="40" t="n"/>
      <c r="AA561" s="39" t="n"/>
    </row>
    <row r="562">
      <c r="A562" s="7" t="n"/>
      <c r="B562" s="7" t="n"/>
      <c r="C562" s="39" t="n"/>
      <c r="D562" s="39" t="n"/>
      <c r="E562" s="7" t="n"/>
      <c r="F562" s="7" t="n"/>
      <c r="G562" s="7" t="n"/>
      <c r="H562" s="39" t="n"/>
      <c r="I562" s="39" t="n"/>
      <c r="J562" s="39" t="n"/>
      <c r="K562" s="39" t="n"/>
      <c r="L562" s="39" t="n"/>
      <c r="M562" s="7" t="n"/>
      <c r="N562" s="7" t="n"/>
      <c r="O562" s="40" t="n"/>
      <c r="P562" s="40" t="n"/>
      <c r="Q562" s="40" t="n"/>
      <c r="R562" s="40" t="n"/>
      <c r="S562" s="40" t="n"/>
      <c r="T562" s="40" t="n"/>
      <c r="U562" s="40" t="n"/>
      <c r="V562" s="40" t="n"/>
      <c r="W562" s="40" t="n"/>
      <c r="X562" s="40" t="n"/>
      <c r="Y562" s="40" t="n"/>
      <c r="Z562" s="40" t="n"/>
      <c r="AA562" s="39" t="n"/>
    </row>
    <row r="563">
      <c r="A563" s="7" t="n"/>
      <c r="B563" s="7" t="n"/>
      <c r="C563" s="39" t="n"/>
      <c r="D563" s="39" t="n"/>
      <c r="E563" s="7" t="n"/>
      <c r="F563" s="7" t="n"/>
      <c r="G563" s="7" t="n"/>
      <c r="H563" s="39" t="n"/>
      <c r="I563" s="39" t="n"/>
      <c r="J563" s="39" t="n"/>
      <c r="K563" s="39" t="n"/>
      <c r="L563" s="39" t="n"/>
      <c r="M563" s="7" t="n"/>
      <c r="N563" s="7" t="n"/>
      <c r="O563" s="40" t="n"/>
      <c r="P563" s="40" t="n"/>
      <c r="Q563" s="40" t="n"/>
      <c r="R563" s="40" t="n"/>
      <c r="S563" s="40" t="n"/>
      <c r="T563" s="40" t="n"/>
      <c r="U563" s="40" t="n"/>
      <c r="V563" s="40" t="n"/>
      <c r="W563" s="40" t="n"/>
      <c r="X563" s="40" t="n"/>
      <c r="Y563" s="40" t="n"/>
      <c r="Z563" s="40" t="n"/>
      <c r="AA563" s="39" t="n"/>
    </row>
    <row r="564">
      <c r="A564" s="7" t="n"/>
      <c r="B564" s="7" t="n"/>
      <c r="C564" s="39" t="n"/>
      <c r="D564" s="39" t="n"/>
      <c r="E564" s="7" t="n"/>
      <c r="F564" s="7" t="n"/>
      <c r="G564" s="7" t="n"/>
      <c r="H564" s="39" t="n"/>
      <c r="I564" s="39" t="n"/>
      <c r="J564" s="39" t="n"/>
      <c r="K564" s="39" t="n"/>
      <c r="L564" s="39" t="n"/>
      <c r="M564" s="7" t="n"/>
      <c r="N564" s="7" t="n"/>
      <c r="O564" s="40" t="n"/>
      <c r="P564" s="40" t="n"/>
      <c r="Q564" s="40" t="n"/>
      <c r="R564" s="40" t="n"/>
      <c r="S564" s="40" t="n"/>
      <c r="T564" s="40" t="n"/>
      <c r="U564" s="40" t="n"/>
      <c r="V564" s="40" t="n"/>
      <c r="W564" s="40" t="n"/>
      <c r="X564" s="40" t="n"/>
      <c r="Y564" s="40" t="n"/>
      <c r="Z564" s="40" t="n"/>
      <c r="AA564" s="39" t="n"/>
    </row>
    <row r="565">
      <c r="A565" s="7" t="n"/>
      <c r="B565" s="7" t="n"/>
      <c r="C565" s="39" t="n"/>
      <c r="D565" s="39" t="n"/>
      <c r="E565" s="7" t="n"/>
      <c r="F565" s="7" t="n"/>
      <c r="G565" s="7" t="n"/>
      <c r="H565" s="39" t="n"/>
      <c r="I565" s="39" t="n"/>
      <c r="J565" s="39" t="n"/>
      <c r="K565" s="39" t="n"/>
      <c r="L565" s="39" t="n"/>
      <c r="M565" s="7" t="n"/>
      <c r="N565" s="7" t="n"/>
      <c r="O565" s="40" t="n"/>
      <c r="P565" s="40" t="n"/>
      <c r="Q565" s="40" t="n"/>
      <c r="R565" s="40" t="n"/>
      <c r="S565" s="40" t="n"/>
      <c r="T565" s="40" t="n"/>
      <c r="U565" s="40" t="n"/>
      <c r="V565" s="40" t="n"/>
      <c r="W565" s="40" t="n"/>
      <c r="X565" s="40" t="n"/>
      <c r="Y565" s="40" t="n"/>
      <c r="Z565" s="40" t="n"/>
      <c r="AA565" s="39" t="n"/>
    </row>
    <row r="566">
      <c r="A566" s="7" t="n"/>
      <c r="B566" s="7" t="n"/>
      <c r="C566" s="39" t="n"/>
      <c r="D566" s="39" t="n"/>
      <c r="E566" s="7" t="n"/>
      <c r="F566" s="7" t="n"/>
      <c r="G566" s="7" t="n"/>
      <c r="H566" s="39" t="n"/>
      <c r="I566" s="39" t="n"/>
      <c r="J566" s="39" t="n"/>
      <c r="K566" s="39" t="n"/>
      <c r="L566" s="39" t="n"/>
      <c r="M566" s="7" t="n"/>
      <c r="N566" s="7" t="n"/>
      <c r="O566" s="40" t="n"/>
      <c r="P566" s="40" t="n"/>
      <c r="Q566" s="40" t="n"/>
      <c r="R566" s="40" t="n"/>
      <c r="S566" s="40" t="n"/>
      <c r="T566" s="40" t="n"/>
      <c r="U566" s="40" t="n"/>
      <c r="V566" s="40" t="n"/>
      <c r="W566" s="40" t="n"/>
      <c r="X566" s="40" t="n"/>
      <c r="Y566" s="40" t="n"/>
      <c r="Z566" s="40" t="n"/>
      <c r="AA566" s="39" t="n"/>
    </row>
    <row r="567">
      <c r="A567" s="7" t="n"/>
      <c r="B567" s="7" t="n"/>
      <c r="C567" s="39" t="n"/>
      <c r="D567" s="39" t="n"/>
      <c r="E567" s="7" t="n"/>
      <c r="F567" s="7" t="n"/>
      <c r="G567" s="7" t="n"/>
      <c r="H567" s="39" t="n"/>
      <c r="I567" s="39" t="n"/>
      <c r="J567" s="39" t="n"/>
      <c r="K567" s="39" t="n"/>
      <c r="L567" s="39" t="n"/>
      <c r="M567" s="7" t="n"/>
      <c r="N567" s="7" t="n"/>
      <c r="O567" s="40" t="n"/>
      <c r="P567" s="40" t="n"/>
      <c r="Q567" s="40" t="n"/>
      <c r="R567" s="40" t="n"/>
      <c r="S567" s="40" t="n"/>
      <c r="T567" s="40" t="n"/>
      <c r="U567" s="40" t="n"/>
      <c r="V567" s="40" t="n"/>
      <c r="W567" s="40" t="n"/>
      <c r="X567" s="40" t="n"/>
      <c r="Y567" s="40" t="n"/>
      <c r="Z567" s="40" t="n"/>
      <c r="AA567" s="39" t="n"/>
    </row>
    <row r="568">
      <c r="A568" s="7" t="n"/>
      <c r="B568" s="7" t="n"/>
      <c r="C568" s="39" t="n"/>
      <c r="D568" s="39" t="n"/>
      <c r="E568" s="7" t="n"/>
      <c r="F568" s="7" t="n"/>
      <c r="G568" s="7" t="n"/>
      <c r="H568" s="39" t="n"/>
      <c r="I568" s="39" t="n"/>
      <c r="J568" s="39" t="n"/>
      <c r="K568" s="39" t="n"/>
      <c r="L568" s="39" t="n"/>
      <c r="M568" s="7" t="n"/>
      <c r="N568" s="7" t="n"/>
      <c r="O568" s="40" t="n"/>
      <c r="P568" s="40" t="n"/>
      <c r="Q568" s="40" t="n"/>
      <c r="R568" s="40" t="n"/>
      <c r="S568" s="40" t="n"/>
      <c r="T568" s="40" t="n"/>
      <c r="U568" s="40" t="n"/>
      <c r="V568" s="40" t="n"/>
      <c r="W568" s="40" t="n"/>
      <c r="X568" s="40" t="n"/>
      <c r="Y568" s="40" t="n"/>
      <c r="Z568" s="40" t="n"/>
      <c r="AA568" s="39" t="n"/>
    </row>
    <row r="569">
      <c r="A569" s="7" t="n"/>
      <c r="B569" s="7" t="n"/>
      <c r="C569" s="39" t="n"/>
      <c r="D569" s="39" t="n"/>
      <c r="E569" s="7" t="n"/>
      <c r="F569" s="7" t="n"/>
      <c r="G569" s="7" t="n"/>
      <c r="H569" s="39" t="n"/>
      <c r="I569" s="39" t="n"/>
      <c r="J569" s="39" t="n"/>
      <c r="K569" s="39" t="n"/>
      <c r="L569" s="39" t="n"/>
      <c r="M569" s="7" t="n"/>
      <c r="N569" s="7" t="n"/>
      <c r="O569" s="40" t="n"/>
      <c r="P569" s="40" t="n"/>
      <c r="Q569" s="40" t="n"/>
      <c r="R569" s="40" t="n"/>
      <c r="S569" s="40" t="n"/>
      <c r="T569" s="40" t="n"/>
      <c r="U569" s="40" t="n"/>
      <c r="V569" s="40" t="n"/>
      <c r="W569" s="40" t="n"/>
      <c r="X569" s="40" t="n"/>
      <c r="Y569" s="40" t="n"/>
      <c r="Z569" s="40" t="n"/>
      <c r="AA569" s="39" t="n"/>
    </row>
    <row r="570">
      <c r="A570" s="7" t="n"/>
      <c r="B570" s="7" t="n"/>
      <c r="C570" s="39" t="n"/>
      <c r="D570" s="39" t="n"/>
      <c r="E570" s="7" t="n"/>
      <c r="F570" s="7" t="n"/>
      <c r="G570" s="7" t="n"/>
      <c r="H570" s="39" t="n"/>
      <c r="I570" s="39" t="n"/>
      <c r="J570" s="39" t="n"/>
      <c r="K570" s="39" t="n"/>
      <c r="L570" s="39" t="n"/>
      <c r="M570" s="7" t="n"/>
      <c r="N570" s="7" t="n"/>
      <c r="O570" s="40" t="n"/>
      <c r="P570" s="40" t="n"/>
      <c r="Q570" s="40" t="n"/>
      <c r="R570" s="40" t="n"/>
      <c r="S570" s="40" t="n"/>
      <c r="T570" s="40" t="n"/>
      <c r="U570" s="40" t="n"/>
      <c r="V570" s="40" t="n"/>
      <c r="W570" s="40" t="n"/>
      <c r="X570" s="40" t="n"/>
      <c r="Y570" s="40" t="n"/>
      <c r="Z570" s="40" t="n"/>
      <c r="AA570" s="39" t="n"/>
    </row>
    <row r="571">
      <c r="A571" s="7" t="n"/>
      <c r="B571" s="7" t="n"/>
      <c r="C571" s="39" t="n"/>
      <c r="D571" s="39" t="n"/>
      <c r="E571" s="7" t="n"/>
      <c r="F571" s="7" t="n"/>
      <c r="G571" s="7" t="n"/>
      <c r="H571" s="39" t="n"/>
      <c r="I571" s="39" t="n"/>
      <c r="J571" s="39" t="n"/>
      <c r="K571" s="39" t="n"/>
      <c r="L571" s="39" t="n"/>
      <c r="M571" s="7" t="n"/>
      <c r="N571" s="7" t="n"/>
      <c r="O571" s="40" t="n"/>
      <c r="P571" s="40" t="n"/>
      <c r="Q571" s="40" t="n"/>
      <c r="R571" s="40" t="n"/>
      <c r="S571" s="40" t="n"/>
      <c r="T571" s="40" t="n"/>
      <c r="U571" s="40" t="n"/>
      <c r="V571" s="40" t="n"/>
      <c r="W571" s="40" t="n"/>
      <c r="X571" s="40" t="n"/>
      <c r="Y571" s="40" t="n"/>
      <c r="Z571" s="40" t="n"/>
      <c r="AA571" s="39" t="n"/>
    </row>
    <row r="572">
      <c r="A572" s="7" t="n"/>
      <c r="B572" s="7" t="n"/>
      <c r="C572" s="39" t="n"/>
      <c r="D572" s="39" t="n"/>
      <c r="E572" s="7" t="n"/>
      <c r="F572" s="7" t="n"/>
      <c r="G572" s="7" t="n"/>
      <c r="H572" s="39" t="n"/>
      <c r="I572" s="39" t="n"/>
      <c r="J572" s="39" t="n"/>
      <c r="K572" s="39" t="n"/>
      <c r="L572" s="39" t="n"/>
      <c r="M572" s="7" t="n"/>
      <c r="N572" s="7" t="n"/>
      <c r="O572" s="40" t="n"/>
      <c r="P572" s="40" t="n"/>
      <c r="Q572" s="40" t="n"/>
      <c r="R572" s="40" t="n"/>
      <c r="S572" s="40" t="n"/>
      <c r="T572" s="40" t="n"/>
      <c r="U572" s="40" t="n"/>
      <c r="V572" s="40" t="n"/>
      <c r="W572" s="40" t="n"/>
      <c r="X572" s="40" t="n"/>
      <c r="Y572" s="40" t="n"/>
      <c r="Z572" s="40" t="n"/>
      <c r="AA572" s="39" t="n"/>
    </row>
    <row r="573">
      <c r="A573" s="7" t="n"/>
      <c r="B573" s="7" t="n"/>
      <c r="C573" s="39" t="n"/>
      <c r="D573" s="39" t="n"/>
      <c r="E573" s="7" t="n"/>
      <c r="F573" s="7" t="n"/>
      <c r="G573" s="7" t="n"/>
      <c r="H573" s="39" t="n"/>
      <c r="I573" s="39" t="n"/>
      <c r="J573" s="39" t="n"/>
      <c r="K573" s="39" t="n"/>
      <c r="L573" s="39" t="n"/>
      <c r="M573" s="7" t="n"/>
      <c r="N573" s="7" t="n"/>
      <c r="O573" s="40" t="n"/>
      <c r="P573" s="40" t="n"/>
      <c r="Q573" s="40" t="n"/>
      <c r="R573" s="40" t="n"/>
      <c r="S573" s="40" t="n"/>
      <c r="T573" s="40" t="n"/>
      <c r="U573" s="40" t="n"/>
      <c r="V573" s="40" t="n"/>
      <c r="W573" s="40" t="n"/>
      <c r="X573" s="40" t="n"/>
      <c r="Y573" s="40" t="n"/>
      <c r="Z573" s="40" t="n"/>
      <c r="AA573" s="39" t="n"/>
    </row>
    <row r="574">
      <c r="A574" s="7" t="n"/>
      <c r="B574" s="7" t="n"/>
      <c r="C574" s="39" t="n"/>
      <c r="D574" s="39" t="n"/>
      <c r="E574" s="7" t="n"/>
      <c r="F574" s="7" t="n"/>
      <c r="G574" s="7" t="n"/>
      <c r="H574" s="39" t="n"/>
      <c r="I574" s="39" t="n"/>
      <c r="J574" s="39" t="n"/>
      <c r="K574" s="39" t="n"/>
      <c r="L574" s="39" t="n"/>
      <c r="M574" s="7" t="n"/>
      <c r="N574" s="7" t="n"/>
      <c r="O574" s="40" t="n"/>
      <c r="P574" s="40" t="n"/>
      <c r="Q574" s="40" t="n"/>
      <c r="R574" s="40" t="n"/>
      <c r="S574" s="40" t="n"/>
      <c r="T574" s="40" t="n"/>
      <c r="U574" s="40" t="n"/>
      <c r="V574" s="40" t="n"/>
      <c r="W574" s="40" t="n"/>
      <c r="X574" s="40" t="n"/>
      <c r="Y574" s="40" t="n"/>
      <c r="Z574" s="40" t="n"/>
      <c r="AA574" s="39" t="n"/>
    </row>
    <row r="575">
      <c r="A575" s="7" t="n"/>
      <c r="B575" s="7" t="n"/>
      <c r="C575" s="39" t="n"/>
      <c r="D575" s="39" t="n"/>
      <c r="E575" s="7" t="n"/>
      <c r="F575" s="7" t="n"/>
      <c r="G575" s="7" t="n"/>
      <c r="H575" s="39" t="n"/>
      <c r="I575" s="39" t="n"/>
      <c r="J575" s="39" t="n"/>
      <c r="K575" s="39" t="n"/>
      <c r="L575" s="39" t="n"/>
      <c r="M575" s="7" t="n"/>
      <c r="N575" s="7" t="n"/>
      <c r="O575" s="40" t="n"/>
      <c r="P575" s="40" t="n"/>
      <c r="Q575" s="40" t="n"/>
      <c r="R575" s="40" t="n"/>
      <c r="S575" s="40" t="n"/>
      <c r="T575" s="40" t="n"/>
      <c r="U575" s="40" t="n"/>
      <c r="V575" s="40" t="n"/>
      <c r="W575" s="40" t="n"/>
      <c r="X575" s="40" t="n"/>
      <c r="Y575" s="40" t="n"/>
      <c r="Z575" s="40" t="n"/>
      <c r="AA575" s="39" t="n"/>
    </row>
    <row r="576">
      <c r="A576" s="7" t="n"/>
      <c r="B576" s="7" t="n"/>
      <c r="C576" s="39" t="n"/>
      <c r="D576" s="39" t="n"/>
      <c r="E576" s="7" t="n"/>
      <c r="F576" s="7" t="n"/>
      <c r="G576" s="7" t="n"/>
      <c r="H576" s="39" t="n"/>
      <c r="I576" s="39" t="n"/>
      <c r="J576" s="39" t="n"/>
      <c r="K576" s="39" t="n"/>
      <c r="L576" s="39" t="n"/>
      <c r="M576" s="7" t="n"/>
      <c r="N576" s="7" t="n"/>
      <c r="O576" s="40" t="n"/>
      <c r="P576" s="40" t="n"/>
      <c r="Q576" s="40" t="n"/>
      <c r="R576" s="40" t="n"/>
      <c r="S576" s="40" t="n"/>
      <c r="T576" s="40" t="n"/>
      <c r="U576" s="40" t="n"/>
      <c r="V576" s="40" t="n"/>
      <c r="W576" s="40" t="n"/>
      <c r="X576" s="40" t="n"/>
      <c r="Y576" s="40" t="n"/>
      <c r="Z576" s="40" t="n"/>
      <c r="AA576" s="39" t="n"/>
    </row>
    <row r="577">
      <c r="A577" s="7" t="n"/>
      <c r="B577" s="7" t="n"/>
      <c r="C577" s="39" t="n"/>
      <c r="D577" s="39" t="n"/>
      <c r="E577" s="7" t="n"/>
      <c r="F577" s="7" t="n"/>
      <c r="G577" s="7" t="n"/>
      <c r="H577" s="39" t="n"/>
      <c r="I577" s="39" t="n"/>
      <c r="J577" s="39" t="n"/>
      <c r="K577" s="39" t="n"/>
      <c r="L577" s="39" t="n"/>
      <c r="M577" s="7" t="n"/>
      <c r="N577" s="7" t="n"/>
      <c r="O577" s="40" t="n"/>
      <c r="P577" s="40" t="n"/>
      <c r="Q577" s="40" t="n"/>
      <c r="R577" s="40" t="n"/>
      <c r="S577" s="40" t="n"/>
      <c r="T577" s="40" t="n"/>
      <c r="U577" s="40" t="n"/>
      <c r="V577" s="40" t="n"/>
      <c r="W577" s="40" t="n"/>
      <c r="X577" s="40" t="n"/>
      <c r="Y577" s="40" t="n"/>
      <c r="Z577" s="40" t="n"/>
      <c r="AA577" s="39" t="n"/>
    </row>
    <row r="578">
      <c r="A578" s="7" t="n"/>
      <c r="B578" s="7" t="n"/>
      <c r="C578" s="39" t="n"/>
      <c r="D578" s="39" t="n"/>
      <c r="E578" s="7" t="n"/>
      <c r="F578" s="7" t="n"/>
      <c r="G578" s="7" t="n"/>
      <c r="H578" s="39" t="n"/>
      <c r="I578" s="39" t="n"/>
      <c r="J578" s="39" t="n"/>
      <c r="K578" s="39" t="n"/>
      <c r="L578" s="39" t="n"/>
      <c r="M578" s="7" t="n"/>
      <c r="N578" s="7" t="n"/>
      <c r="O578" s="40" t="n"/>
      <c r="P578" s="40" t="n"/>
      <c r="Q578" s="40" t="n"/>
      <c r="R578" s="40" t="n"/>
      <c r="S578" s="40" t="n"/>
      <c r="T578" s="40" t="n"/>
      <c r="U578" s="40" t="n"/>
      <c r="V578" s="40" t="n"/>
      <c r="W578" s="40" t="n"/>
      <c r="X578" s="40" t="n"/>
      <c r="Y578" s="40" t="n"/>
      <c r="Z578" s="40" t="n"/>
      <c r="AA578" s="39" t="n"/>
    </row>
    <row r="579">
      <c r="A579" s="7" t="n"/>
      <c r="B579" s="7" t="n"/>
      <c r="C579" s="39" t="n"/>
      <c r="D579" s="39" t="n"/>
      <c r="E579" s="7" t="n"/>
      <c r="F579" s="7" t="n"/>
      <c r="G579" s="7" t="n"/>
      <c r="H579" s="39" t="n"/>
      <c r="I579" s="39" t="n"/>
      <c r="J579" s="39" t="n"/>
      <c r="K579" s="39" t="n"/>
      <c r="L579" s="39" t="n"/>
      <c r="M579" s="7" t="n"/>
      <c r="N579" s="7" t="n"/>
      <c r="O579" s="40" t="n"/>
      <c r="P579" s="40" t="n"/>
      <c r="Q579" s="40" t="n"/>
      <c r="R579" s="40" t="n"/>
      <c r="S579" s="40" t="n"/>
      <c r="T579" s="40" t="n"/>
      <c r="U579" s="40" t="n"/>
      <c r="V579" s="40" t="n"/>
      <c r="W579" s="40" t="n"/>
      <c r="X579" s="40" t="n"/>
      <c r="Y579" s="40" t="n"/>
      <c r="Z579" s="40" t="n"/>
      <c r="AA579" s="39" t="n"/>
    </row>
    <row r="580">
      <c r="A580" s="7" t="n"/>
      <c r="B580" s="7" t="n"/>
      <c r="C580" s="39" t="n"/>
      <c r="D580" s="39" t="n"/>
      <c r="E580" s="7" t="n"/>
      <c r="F580" s="7" t="n"/>
      <c r="G580" s="7" t="n"/>
      <c r="H580" s="39" t="n"/>
      <c r="I580" s="39" t="n"/>
      <c r="J580" s="39" t="n"/>
      <c r="K580" s="39" t="n"/>
      <c r="L580" s="39" t="n"/>
      <c r="M580" s="7" t="n"/>
      <c r="N580" s="7" t="n"/>
      <c r="O580" s="40" t="n"/>
      <c r="P580" s="40" t="n"/>
      <c r="Q580" s="40" t="n"/>
      <c r="R580" s="40" t="n"/>
      <c r="S580" s="40" t="n"/>
      <c r="T580" s="40" t="n"/>
      <c r="U580" s="40" t="n"/>
      <c r="V580" s="40" t="n"/>
      <c r="W580" s="40" t="n"/>
      <c r="X580" s="40" t="n"/>
      <c r="Y580" s="40" t="n"/>
      <c r="Z580" s="40" t="n"/>
      <c r="AA580" s="39" t="n"/>
    </row>
    <row r="581">
      <c r="A581" s="7" t="n"/>
      <c r="B581" s="7" t="n"/>
      <c r="C581" s="39" t="n"/>
      <c r="D581" s="39" t="n"/>
      <c r="E581" s="7" t="n"/>
      <c r="F581" s="7" t="n"/>
      <c r="G581" s="7" t="n"/>
      <c r="H581" s="39" t="n"/>
      <c r="I581" s="39" t="n"/>
      <c r="J581" s="39" t="n"/>
      <c r="K581" s="39" t="n"/>
      <c r="L581" s="39" t="n"/>
      <c r="M581" s="7" t="n"/>
      <c r="N581" s="7" t="n"/>
      <c r="O581" s="40" t="n"/>
      <c r="P581" s="40" t="n"/>
      <c r="Q581" s="40" t="n"/>
      <c r="R581" s="40" t="n"/>
      <c r="S581" s="40" t="n"/>
      <c r="T581" s="40" t="n"/>
      <c r="U581" s="40" t="n"/>
      <c r="V581" s="40" t="n"/>
      <c r="W581" s="40" t="n"/>
      <c r="X581" s="40" t="n"/>
      <c r="Y581" s="40" t="n"/>
      <c r="Z581" s="40" t="n"/>
      <c r="AA581" s="39" t="n"/>
    </row>
    <row r="582">
      <c r="A582" s="7" t="n"/>
      <c r="B582" s="7" t="n"/>
      <c r="C582" s="39" t="n"/>
      <c r="D582" s="39" t="n"/>
      <c r="E582" s="7" t="n"/>
      <c r="F582" s="7" t="n"/>
      <c r="G582" s="7" t="n"/>
      <c r="H582" s="39" t="n"/>
      <c r="I582" s="39" t="n"/>
      <c r="J582" s="39" t="n"/>
      <c r="K582" s="39" t="n"/>
      <c r="L582" s="39" t="n"/>
      <c r="M582" s="7" t="n"/>
      <c r="N582" s="7" t="n"/>
      <c r="O582" s="40" t="n"/>
      <c r="P582" s="40" t="n"/>
      <c r="Q582" s="40" t="n"/>
      <c r="R582" s="40" t="n"/>
      <c r="S582" s="40" t="n"/>
      <c r="T582" s="40" t="n"/>
      <c r="U582" s="40" t="n"/>
      <c r="V582" s="40" t="n"/>
      <c r="W582" s="40" t="n"/>
      <c r="X582" s="40" t="n"/>
      <c r="Y582" s="40" t="n"/>
      <c r="Z582" s="40" t="n"/>
      <c r="AA582" s="39" t="n"/>
    </row>
    <row r="583">
      <c r="A583" s="7" t="n"/>
      <c r="B583" s="7" t="n"/>
      <c r="C583" s="39" t="n"/>
      <c r="D583" s="39" t="n"/>
      <c r="E583" s="7" t="n"/>
      <c r="F583" s="7" t="n"/>
      <c r="G583" s="7" t="n"/>
      <c r="H583" s="39" t="n"/>
      <c r="I583" s="39" t="n"/>
      <c r="J583" s="39" t="n"/>
      <c r="K583" s="39" t="n"/>
      <c r="L583" s="39" t="n"/>
      <c r="M583" s="7" t="n"/>
      <c r="N583" s="7" t="n"/>
      <c r="O583" s="40" t="n"/>
      <c r="P583" s="40" t="n"/>
      <c r="Q583" s="40" t="n"/>
      <c r="R583" s="40" t="n"/>
      <c r="S583" s="40" t="n"/>
      <c r="T583" s="40" t="n"/>
      <c r="U583" s="40" t="n"/>
      <c r="V583" s="40" t="n"/>
      <c r="W583" s="40" t="n"/>
      <c r="X583" s="40" t="n"/>
      <c r="Y583" s="40" t="n"/>
      <c r="Z583" s="40" t="n"/>
      <c r="AA583" s="39" t="n"/>
    </row>
    <row r="584">
      <c r="A584" s="7" t="n"/>
      <c r="B584" s="7" t="n"/>
      <c r="C584" s="39" t="n"/>
      <c r="D584" s="39" t="n"/>
      <c r="E584" s="7" t="n"/>
      <c r="F584" s="7" t="n"/>
      <c r="G584" s="7" t="n"/>
      <c r="H584" s="39" t="n"/>
      <c r="I584" s="39" t="n"/>
      <c r="J584" s="39" t="n"/>
      <c r="K584" s="39" t="n"/>
      <c r="L584" s="39" t="n"/>
      <c r="M584" s="7" t="n"/>
      <c r="N584" s="7" t="n"/>
      <c r="O584" s="40" t="n"/>
      <c r="P584" s="40" t="n"/>
      <c r="Q584" s="40" t="n"/>
      <c r="R584" s="40" t="n"/>
      <c r="S584" s="40" t="n"/>
      <c r="T584" s="40" t="n"/>
      <c r="U584" s="40" t="n"/>
      <c r="V584" s="40" t="n"/>
      <c r="W584" s="40" t="n"/>
      <c r="X584" s="40" t="n"/>
      <c r="Y584" s="40" t="n"/>
      <c r="Z584" s="40" t="n"/>
      <c r="AA584" s="39" t="n"/>
    </row>
    <row r="585">
      <c r="A585" s="7" t="n"/>
      <c r="B585" s="7" t="n"/>
      <c r="C585" s="39" t="n"/>
      <c r="D585" s="39" t="n"/>
      <c r="E585" s="7" t="n"/>
      <c r="F585" s="7" t="n"/>
      <c r="G585" s="7" t="n"/>
      <c r="H585" s="39" t="n"/>
      <c r="I585" s="39" t="n"/>
      <c r="J585" s="39" t="n"/>
      <c r="K585" s="39" t="n"/>
      <c r="L585" s="39" t="n"/>
      <c r="M585" s="7" t="n"/>
      <c r="N585" s="7" t="n"/>
      <c r="O585" s="40" t="n"/>
      <c r="P585" s="40" t="n"/>
      <c r="Q585" s="40" t="n"/>
      <c r="R585" s="40" t="n"/>
      <c r="S585" s="40" t="n"/>
      <c r="T585" s="40" t="n"/>
      <c r="U585" s="40" t="n"/>
      <c r="V585" s="40" t="n"/>
      <c r="W585" s="40" t="n"/>
      <c r="X585" s="40" t="n"/>
      <c r="Y585" s="40" t="n"/>
      <c r="Z585" s="40" t="n"/>
      <c r="AA585" s="39" t="n"/>
    </row>
    <row r="586">
      <c r="A586" s="7" t="n"/>
      <c r="B586" s="7" t="n"/>
      <c r="C586" s="39" t="n"/>
      <c r="D586" s="39" t="n"/>
      <c r="E586" s="7" t="n"/>
      <c r="F586" s="7" t="n"/>
      <c r="G586" s="7" t="n"/>
      <c r="H586" s="39" t="n"/>
      <c r="I586" s="39" t="n"/>
      <c r="J586" s="39" t="n"/>
      <c r="K586" s="39" t="n"/>
      <c r="L586" s="39" t="n"/>
      <c r="M586" s="7" t="n"/>
      <c r="N586" s="7" t="n"/>
      <c r="O586" s="40" t="n"/>
      <c r="P586" s="40" t="n"/>
      <c r="Q586" s="40" t="n"/>
      <c r="R586" s="40" t="n"/>
      <c r="S586" s="40" t="n"/>
      <c r="T586" s="40" t="n"/>
      <c r="U586" s="40" t="n"/>
      <c r="V586" s="40" t="n"/>
      <c r="W586" s="40" t="n"/>
      <c r="X586" s="40" t="n"/>
      <c r="Y586" s="40" t="n"/>
      <c r="Z586" s="40" t="n"/>
      <c r="AA586" s="39" t="n"/>
    </row>
    <row r="587">
      <c r="A587" s="7" t="n"/>
      <c r="B587" s="7" t="n"/>
      <c r="C587" s="39" t="n"/>
      <c r="D587" s="39" t="n"/>
      <c r="E587" s="7" t="n"/>
      <c r="F587" s="7" t="n"/>
      <c r="G587" s="7" t="n"/>
      <c r="H587" s="39" t="n"/>
      <c r="I587" s="39" t="n"/>
      <c r="J587" s="39" t="n"/>
      <c r="K587" s="39" t="n"/>
      <c r="L587" s="39" t="n"/>
      <c r="M587" s="7" t="n"/>
      <c r="N587" s="7" t="n"/>
      <c r="O587" s="40" t="n"/>
      <c r="P587" s="40" t="n"/>
      <c r="Q587" s="40" t="n"/>
      <c r="R587" s="40" t="n"/>
      <c r="S587" s="40" t="n"/>
      <c r="T587" s="40" t="n"/>
      <c r="U587" s="40" t="n"/>
      <c r="V587" s="40" t="n"/>
      <c r="W587" s="40" t="n"/>
      <c r="X587" s="40" t="n"/>
      <c r="Y587" s="40" t="n"/>
      <c r="Z587" s="40" t="n"/>
      <c r="AA587" s="39" t="n"/>
    </row>
    <row r="588">
      <c r="A588" s="7" t="n"/>
      <c r="B588" s="7" t="n"/>
      <c r="C588" s="39" t="n"/>
      <c r="D588" s="39" t="n"/>
      <c r="E588" s="7" t="n"/>
      <c r="F588" s="7" t="n"/>
      <c r="G588" s="7" t="n"/>
      <c r="H588" s="39" t="n"/>
      <c r="I588" s="39" t="n"/>
      <c r="J588" s="39" t="n"/>
      <c r="K588" s="39" t="n"/>
      <c r="L588" s="39" t="n"/>
      <c r="M588" s="7" t="n"/>
      <c r="N588" s="7" t="n"/>
      <c r="O588" s="40" t="n"/>
      <c r="P588" s="40" t="n"/>
      <c r="Q588" s="40" t="n"/>
      <c r="R588" s="40" t="n"/>
      <c r="S588" s="40" t="n"/>
      <c r="T588" s="40" t="n"/>
      <c r="U588" s="40" t="n"/>
      <c r="V588" s="40" t="n"/>
      <c r="W588" s="40" t="n"/>
      <c r="X588" s="40" t="n"/>
      <c r="Y588" s="40" t="n"/>
      <c r="Z588" s="40" t="n"/>
      <c r="AA588" s="39" t="n"/>
    </row>
    <row r="589">
      <c r="A589" s="7" t="n"/>
      <c r="B589" s="7" t="n"/>
      <c r="C589" s="39" t="n"/>
      <c r="D589" s="39" t="n"/>
      <c r="E589" s="7" t="n"/>
      <c r="F589" s="7" t="n"/>
      <c r="G589" s="7" t="n"/>
      <c r="H589" s="39" t="n"/>
      <c r="I589" s="39" t="n"/>
      <c r="J589" s="39" t="n"/>
      <c r="K589" s="39" t="n"/>
      <c r="L589" s="39" t="n"/>
      <c r="M589" s="7" t="n"/>
      <c r="N589" s="7" t="n"/>
      <c r="O589" s="40" t="n"/>
      <c r="P589" s="40" t="n"/>
      <c r="Q589" s="40" t="n"/>
      <c r="R589" s="40" t="n"/>
      <c r="S589" s="40" t="n"/>
      <c r="T589" s="40" t="n"/>
      <c r="U589" s="40" t="n"/>
      <c r="V589" s="40" t="n"/>
      <c r="W589" s="40" t="n"/>
      <c r="X589" s="40" t="n"/>
      <c r="Y589" s="40" t="n"/>
      <c r="Z589" s="40" t="n"/>
      <c r="AA589" s="39" t="n"/>
    </row>
    <row r="590">
      <c r="A590" s="7" t="n"/>
      <c r="B590" s="7" t="n"/>
      <c r="C590" s="39" t="n"/>
      <c r="D590" s="39" t="n"/>
      <c r="E590" s="7" t="n"/>
      <c r="F590" s="7" t="n"/>
      <c r="G590" s="7" t="n"/>
      <c r="H590" s="39" t="n"/>
      <c r="I590" s="39" t="n"/>
      <c r="J590" s="39" t="n"/>
      <c r="K590" s="39" t="n"/>
      <c r="L590" s="39" t="n"/>
      <c r="M590" s="7" t="n"/>
      <c r="N590" s="7" t="n"/>
      <c r="O590" s="40" t="n"/>
      <c r="P590" s="40" t="n"/>
      <c r="Q590" s="40" t="n"/>
      <c r="R590" s="40" t="n"/>
      <c r="S590" s="40" t="n"/>
      <c r="T590" s="40" t="n"/>
      <c r="U590" s="40" t="n"/>
      <c r="V590" s="40" t="n"/>
      <c r="W590" s="40" t="n"/>
      <c r="X590" s="40" t="n"/>
      <c r="Y590" s="40" t="n"/>
      <c r="Z590" s="40" t="n"/>
      <c r="AA590" s="39" t="n"/>
    </row>
    <row r="591">
      <c r="A591" s="7" t="n"/>
      <c r="B591" s="7" t="n"/>
      <c r="C591" s="39" t="n"/>
      <c r="D591" s="39" t="n"/>
      <c r="E591" s="7" t="n"/>
      <c r="F591" s="7" t="n"/>
      <c r="G591" s="7" t="n"/>
      <c r="H591" s="39" t="n"/>
      <c r="I591" s="39" t="n"/>
      <c r="J591" s="39" t="n"/>
      <c r="K591" s="39" t="n"/>
      <c r="L591" s="39" t="n"/>
      <c r="M591" s="7" t="n"/>
      <c r="N591" s="7" t="n"/>
      <c r="O591" s="40" t="n"/>
      <c r="P591" s="40" t="n"/>
      <c r="Q591" s="40" t="n"/>
      <c r="R591" s="40" t="n"/>
      <c r="S591" s="40" t="n"/>
      <c r="T591" s="40" t="n"/>
      <c r="U591" s="40" t="n"/>
      <c r="V591" s="40" t="n"/>
      <c r="W591" s="40" t="n"/>
      <c r="X591" s="40" t="n"/>
      <c r="Y591" s="40" t="n"/>
      <c r="Z591" s="40" t="n"/>
      <c r="AA591" s="39" t="n"/>
    </row>
    <row r="592">
      <c r="A592" s="7" t="n"/>
      <c r="B592" s="7" t="n"/>
      <c r="C592" s="39" t="n"/>
      <c r="D592" s="39" t="n"/>
      <c r="E592" s="7" t="n"/>
      <c r="F592" s="7" t="n"/>
      <c r="G592" s="7" t="n"/>
      <c r="H592" s="39" t="n"/>
      <c r="I592" s="39" t="n"/>
      <c r="J592" s="39" t="n"/>
      <c r="K592" s="39" t="n"/>
      <c r="L592" s="39" t="n"/>
      <c r="M592" s="7" t="n"/>
      <c r="N592" s="7" t="n"/>
      <c r="O592" s="40" t="n"/>
      <c r="P592" s="40" t="n"/>
      <c r="Q592" s="40" t="n"/>
      <c r="R592" s="40" t="n"/>
      <c r="S592" s="40" t="n"/>
      <c r="T592" s="40" t="n"/>
      <c r="U592" s="40" t="n"/>
      <c r="V592" s="40" t="n"/>
      <c r="W592" s="40" t="n"/>
      <c r="X592" s="40" t="n"/>
      <c r="Y592" s="40" t="n"/>
      <c r="Z592" s="40" t="n"/>
      <c r="AA592" s="39" t="n"/>
    </row>
    <row r="593">
      <c r="A593" s="7" t="n"/>
      <c r="B593" s="7" t="n"/>
      <c r="C593" s="39" t="n"/>
      <c r="D593" s="39" t="n"/>
      <c r="E593" s="7" t="n"/>
      <c r="F593" s="7" t="n"/>
      <c r="G593" s="7" t="n"/>
      <c r="H593" s="39" t="n"/>
      <c r="I593" s="39" t="n"/>
      <c r="J593" s="39" t="n"/>
      <c r="K593" s="39" t="n"/>
      <c r="L593" s="39" t="n"/>
      <c r="M593" s="7" t="n"/>
      <c r="N593" s="7" t="n"/>
      <c r="O593" s="40" t="n"/>
      <c r="P593" s="40" t="n"/>
      <c r="Q593" s="40" t="n"/>
      <c r="R593" s="40" t="n"/>
      <c r="S593" s="40" t="n"/>
      <c r="T593" s="40" t="n"/>
      <c r="U593" s="40" t="n"/>
      <c r="V593" s="40" t="n"/>
      <c r="W593" s="40" t="n"/>
      <c r="X593" s="40" t="n"/>
      <c r="Y593" s="40" t="n"/>
      <c r="Z593" s="40" t="n"/>
      <c r="AA593" s="39" t="n"/>
    </row>
    <row r="594">
      <c r="A594" s="7" t="n"/>
      <c r="B594" s="7" t="n"/>
      <c r="C594" s="39" t="n"/>
      <c r="D594" s="39" t="n"/>
      <c r="E594" s="7" t="n"/>
      <c r="F594" s="7" t="n"/>
      <c r="G594" s="7" t="n"/>
      <c r="H594" s="39" t="n"/>
      <c r="I594" s="39" t="n"/>
      <c r="J594" s="39" t="n"/>
      <c r="K594" s="39" t="n"/>
      <c r="L594" s="39" t="n"/>
      <c r="M594" s="7" t="n"/>
      <c r="N594" s="7" t="n"/>
      <c r="O594" s="40" t="n"/>
      <c r="P594" s="40" t="n"/>
      <c r="Q594" s="40" t="n"/>
      <c r="R594" s="40" t="n"/>
      <c r="S594" s="40" t="n"/>
      <c r="T594" s="40" t="n"/>
      <c r="U594" s="40" t="n"/>
      <c r="V594" s="40" t="n"/>
      <c r="W594" s="40" t="n"/>
      <c r="X594" s="40" t="n"/>
      <c r="Y594" s="40" t="n"/>
      <c r="Z594" s="40" t="n"/>
      <c r="AA594" s="39" t="n"/>
    </row>
    <row r="595">
      <c r="A595" s="7" t="n"/>
      <c r="B595" s="7" t="n"/>
      <c r="C595" s="39" t="n"/>
      <c r="D595" s="39" t="n"/>
      <c r="E595" s="7" t="n"/>
      <c r="F595" s="7" t="n"/>
      <c r="G595" s="7" t="n"/>
      <c r="H595" s="39" t="n"/>
      <c r="I595" s="39" t="n"/>
      <c r="J595" s="39" t="n"/>
      <c r="K595" s="39" t="n"/>
      <c r="L595" s="39" t="n"/>
      <c r="M595" s="7" t="n"/>
      <c r="N595" s="7" t="n"/>
      <c r="O595" s="40" t="n"/>
      <c r="P595" s="40" t="n"/>
      <c r="Q595" s="40" t="n"/>
      <c r="R595" s="40" t="n"/>
      <c r="S595" s="40" t="n"/>
      <c r="T595" s="40" t="n"/>
      <c r="U595" s="40" t="n"/>
      <c r="V595" s="40" t="n"/>
      <c r="W595" s="40" t="n"/>
      <c r="X595" s="40" t="n"/>
      <c r="Y595" s="40" t="n"/>
      <c r="Z595" s="40" t="n"/>
      <c r="AA595" s="39" t="n"/>
    </row>
    <row r="596">
      <c r="A596" s="7" t="n"/>
      <c r="B596" s="7" t="n"/>
      <c r="C596" s="39" t="n"/>
      <c r="D596" s="39" t="n"/>
      <c r="E596" s="7" t="n"/>
      <c r="F596" s="7" t="n"/>
      <c r="G596" s="7" t="n"/>
      <c r="H596" s="39" t="n"/>
      <c r="I596" s="39" t="n"/>
      <c r="J596" s="39" t="n"/>
      <c r="K596" s="39" t="n"/>
      <c r="L596" s="39" t="n"/>
      <c r="M596" s="7" t="n"/>
      <c r="N596" s="7" t="n"/>
      <c r="O596" s="40" t="n"/>
      <c r="P596" s="40" t="n"/>
      <c r="Q596" s="40" t="n"/>
      <c r="R596" s="40" t="n"/>
      <c r="S596" s="40" t="n"/>
      <c r="T596" s="40" t="n"/>
      <c r="U596" s="40" t="n"/>
      <c r="V596" s="40" t="n"/>
      <c r="W596" s="40" t="n"/>
      <c r="X596" s="40" t="n"/>
      <c r="Y596" s="40" t="n"/>
      <c r="Z596" s="40" t="n"/>
      <c r="AA596" s="39" t="n"/>
    </row>
    <row r="597">
      <c r="A597" s="7" t="n"/>
      <c r="B597" s="7" t="n"/>
      <c r="C597" s="39" t="n"/>
      <c r="D597" s="39" t="n"/>
      <c r="E597" s="7" t="n"/>
      <c r="F597" s="7" t="n"/>
      <c r="G597" s="7" t="n"/>
      <c r="H597" s="39" t="n"/>
      <c r="I597" s="39" t="n"/>
      <c r="J597" s="39" t="n"/>
      <c r="K597" s="39" t="n"/>
      <c r="L597" s="39" t="n"/>
      <c r="M597" s="7" t="n"/>
      <c r="N597" s="7" t="n"/>
      <c r="O597" s="40" t="n"/>
      <c r="P597" s="40" t="n"/>
      <c r="Q597" s="40" t="n"/>
      <c r="R597" s="40" t="n"/>
      <c r="S597" s="40" t="n"/>
      <c r="T597" s="40" t="n"/>
      <c r="U597" s="40" t="n"/>
      <c r="V597" s="40" t="n"/>
      <c r="W597" s="40" t="n"/>
      <c r="X597" s="40" t="n"/>
      <c r="Y597" s="40" t="n"/>
      <c r="Z597" s="40" t="n"/>
      <c r="AA597" s="39" t="n"/>
    </row>
    <row r="598">
      <c r="A598" s="7" t="n"/>
      <c r="B598" s="7" t="n"/>
      <c r="C598" s="39" t="n"/>
      <c r="D598" s="39" t="n"/>
      <c r="E598" s="7" t="n"/>
      <c r="F598" s="7" t="n"/>
      <c r="G598" s="7" t="n"/>
      <c r="H598" s="39" t="n"/>
      <c r="I598" s="39" t="n"/>
      <c r="J598" s="39" t="n"/>
      <c r="K598" s="39" t="n"/>
      <c r="L598" s="39" t="n"/>
      <c r="M598" s="7" t="n"/>
      <c r="N598" s="7" t="n"/>
      <c r="O598" s="40" t="n"/>
      <c r="P598" s="40" t="n"/>
      <c r="Q598" s="40" t="n"/>
      <c r="R598" s="40" t="n"/>
      <c r="S598" s="40" t="n"/>
      <c r="T598" s="40" t="n"/>
      <c r="U598" s="40" t="n"/>
      <c r="V598" s="40" t="n"/>
      <c r="W598" s="40" t="n"/>
      <c r="X598" s="40" t="n"/>
      <c r="Y598" s="40" t="n"/>
      <c r="Z598" s="40" t="n"/>
      <c r="AA598" s="39" t="n"/>
    </row>
    <row r="599">
      <c r="A599" s="7" t="n"/>
      <c r="B599" s="7" t="n"/>
      <c r="C599" s="39" t="n"/>
      <c r="D599" s="39" t="n"/>
      <c r="E599" s="7" t="n"/>
      <c r="F599" s="7" t="n"/>
      <c r="G599" s="7" t="n"/>
      <c r="H599" s="39" t="n"/>
      <c r="I599" s="39" t="n"/>
      <c r="J599" s="39" t="n"/>
      <c r="K599" s="39" t="n"/>
      <c r="L599" s="39" t="n"/>
      <c r="M599" s="7" t="n"/>
      <c r="N599" s="7" t="n"/>
      <c r="O599" s="40" t="n"/>
      <c r="P599" s="40" t="n"/>
      <c r="Q599" s="40" t="n"/>
      <c r="R599" s="40" t="n"/>
      <c r="S599" s="40" t="n"/>
      <c r="T599" s="40" t="n"/>
      <c r="U599" s="40" t="n"/>
      <c r="V599" s="40" t="n"/>
      <c r="W599" s="40" t="n"/>
      <c r="X599" s="40" t="n"/>
      <c r="Y599" s="40" t="n"/>
      <c r="Z599" s="40" t="n"/>
      <c r="AA599" s="39" t="n"/>
    </row>
    <row r="600">
      <c r="A600" s="7" t="n"/>
      <c r="B600" s="7" t="n"/>
      <c r="C600" s="39" t="n"/>
      <c r="D600" s="39" t="n"/>
      <c r="E600" s="7" t="n"/>
      <c r="F600" s="7" t="n"/>
      <c r="G600" s="7" t="n"/>
      <c r="H600" s="39" t="n"/>
      <c r="I600" s="39" t="n"/>
      <c r="J600" s="39" t="n"/>
      <c r="K600" s="39" t="n"/>
      <c r="L600" s="39" t="n"/>
      <c r="M600" s="7" t="n"/>
      <c r="N600" s="7" t="n"/>
      <c r="O600" s="40" t="n"/>
      <c r="P600" s="40" t="n"/>
      <c r="Q600" s="40" t="n"/>
      <c r="R600" s="40" t="n"/>
      <c r="S600" s="40" t="n"/>
      <c r="T600" s="40" t="n"/>
      <c r="U600" s="40" t="n"/>
      <c r="V600" s="40" t="n"/>
      <c r="W600" s="40" t="n"/>
      <c r="X600" s="40" t="n"/>
      <c r="Y600" s="40" t="n"/>
      <c r="Z600" s="40" t="n"/>
      <c r="AA600" s="39" t="n"/>
    </row>
    <row r="601">
      <c r="A601" s="7" t="n"/>
      <c r="B601" s="7" t="n"/>
      <c r="C601" s="39" t="n"/>
      <c r="D601" s="39" t="n"/>
      <c r="E601" s="7" t="n"/>
      <c r="F601" s="7" t="n"/>
      <c r="G601" s="7" t="n"/>
      <c r="H601" s="39" t="n"/>
      <c r="I601" s="39" t="n"/>
      <c r="J601" s="39" t="n"/>
      <c r="K601" s="39" t="n"/>
      <c r="L601" s="39" t="n"/>
      <c r="M601" s="7" t="n"/>
      <c r="N601" s="7" t="n"/>
      <c r="O601" s="40" t="n"/>
      <c r="P601" s="40" t="n"/>
      <c r="Q601" s="40" t="n"/>
      <c r="R601" s="40" t="n"/>
      <c r="S601" s="40" t="n"/>
      <c r="T601" s="40" t="n"/>
      <c r="U601" s="40" t="n"/>
      <c r="V601" s="40" t="n"/>
      <c r="W601" s="40" t="n"/>
      <c r="X601" s="40" t="n"/>
      <c r="Y601" s="40" t="n"/>
      <c r="Z601" s="40" t="n"/>
      <c r="AA601" s="39" t="n"/>
    </row>
    <row r="602">
      <c r="A602" s="7" t="n"/>
      <c r="B602" s="7" t="n"/>
      <c r="C602" s="39" t="n"/>
      <c r="D602" s="39" t="n"/>
      <c r="E602" s="7" t="n"/>
      <c r="F602" s="7" t="n"/>
      <c r="G602" s="7" t="n"/>
      <c r="H602" s="39" t="n"/>
      <c r="I602" s="39" t="n"/>
      <c r="J602" s="39" t="n"/>
      <c r="K602" s="39" t="n"/>
      <c r="L602" s="39" t="n"/>
      <c r="M602" s="7" t="n"/>
      <c r="N602" s="7" t="n"/>
      <c r="O602" s="40" t="n"/>
      <c r="P602" s="40" t="n"/>
      <c r="Q602" s="40" t="n"/>
      <c r="R602" s="40" t="n"/>
      <c r="S602" s="40" t="n"/>
      <c r="T602" s="40" t="n"/>
      <c r="U602" s="40" t="n"/>
      <c r="V602" s="40" t="n"/>
      <c r="W602" s="40" t="n"/>
      <c r="X602" s="40" t="n"/>
      <c r="Y602" s="40" t="n"/>
      <c r="Z602" s="40" t="n"/>
      <c r="AA602" s="39" t="n"/>
    </row>
    <row r="603">
      <c r="A603" s="7" t="n"/>
      <c r="B603" s="7" t="n"/>
      <c r="C603" s="39" t="n"/>
      <c r="D603" s="39" t="n"/>
      <c r="E603" s="7" t="n"/>
      <c r="F603" s="7" t="n"/>
      <c r="G603" s="7" t="n"/>
      <c r="H603" s="39" t="n"/>
      <c r="I603" s="39" t="n"/>
      <c r="J603" s="39" t="n"/>
      <c r="K603" s="39" t="n"/>
      <c r="L603" s="39" t="n"/>
      <c r="M603" s="7" t="n"/>
      <c r="N603" s="7" t="n"/>
      <c r="O603" s="40" t="n"/>
      <c r="P603" s="40" t="n"/>
      <c r="Q603" s="40" t="n"/>
      <c r="R603" s="40" t="n"/>
      <c r="S603" s="40" t="n"/>
      <c r="T603" s="40" t="n"/>
      <c r="U603" s="40" t="n"/>
      <c r="V603" s="40" t="n"/>
      <c r="W603" s="40" t="n"/>
      <c r="X603" s="40" t="n"/>
      <c r="Y603" s="40" t="n"/>
      <c r="Z603" s="40" t="n"/>
      <c r="AA603" s="39" t="n"/>
    </row>
    <row r="604">
      <c r="A604" s="7" t="n"/>
      <c r="B604" s="7" t="n"/>
      <c r="C604" s="39" t="n"/>
      <c r="D604" s="39" t="n"/>
      <c r="E604" s="7" t="n"/>
      <c r="F604" s="7" t="n"/>
      <c r="G604" s="7" t="n"/>
      <c r="H604" s="39" t="n"/>
      <c r="I604" s="39" t="n"/>
      <c r="J604" s="39" t="n"/>
      <c r="K604" s="39" t="n"/>
      <c r="L604" s="39" t="n"/>
      <c r="M604" s="7" t="n"/>
      <c r="N604" s="7" t="n"/>
      <c r="O604" s="40" t="n"/>
      <c r="P604" s="40" t="n"/>
      <c r="Q604" s="40" t="n"/>
      <c r="R604" s="40" t="n"/>
      <c r="S604" s="40" t="n"/>
      <c r="T604" s="40" t="n"/>
      <c r="U604" s="40" t="n"/>
      <c r="V604" s="40" t="n"/>
      <c r="W604" s="40" t="n"/>
      <c r="X604" s="40" t="n"/>
      <c r="Y604" s="40" t="n"/>
      <c r="Z604" s="40" t="n"/>
      <c r="AA604" s="39" t="n"/>
    </row>
    <row r="605">
      <c r="A605" s="7" t="n"/>
      <c r="B605" s="7" t="n"/>
      <c r="C605" s="39" t="n"/>
      <c r="D605" s="39" t="n"/>
      <c r="E605" s="7" t="n"/>
      <c r="F605" s="7" t="n"/>
      <c r="G605" s="7" t="n"/>
      <c r="H605" s="39" t="n"/>
      <c r="I605" s="39" t="n"/>
      <c r="J605" s="39" t="n"/>
      <c r="K605" s="39" t="n"/>
      <c r="L605" s="39" t="n"/>
      <c r="M605" s="7" t="n"/>
      <c r="N605" s="7" t="n"/>
      <c r="O605" s="40" t="n"/>
      <c r="P605" s="40" t="n"/>
      <c r="Q605" s="40" t="n"/>
      <c r="R605" s="40" t="n"/>
      <c r="S605" s="40" t="n"/>
      <c r="T605" s="40" t="n"/>
      <c r="U605" s="40" t="n"/>
      <c r="V605" s="40" t="n"/>
      <c r="W605" s="40" t="n"/>
      <c r="X605" s="40" t="n"/>
      <c r="Y605" s="40" t="n"/>
      <c r="Z605" s="40" t="n"/>
      <c r="AA605" s="39" t="n"/>
    </row>
    <row r="606">
      <c r="A606" s="7" t="n"/>
      <c r="B606" s="7" t="n"/>
      <c r="C606" s="39" t="n"/>
      <c r="D606" s="39" t="n"/>
      <c r="E606" s="7" t="n"/>
      <c r="F606" s="7" t="n"/>
      <c r="G606" s="7" t="n"/>
      <c r="H606" s="39" t="n"/>
      <c r="I606" s="39" t="n"/>
      <c r="J606" s="39" t="n"/>
      <c r="K606" s="39" t="n"/>
      <c r="L606" s="39" t="n"/>
      <c r="M606" s="7" t="n"/>
      <c r="N606" s="7" t="n"/>
      <c r="O606" s="40" t="n"/>
      <c r="P606" s="40" t="n"/>
      <c r="Q606" s="40" t="n"/>
      <c r="R606" s="40" t="n"/>
      <c r="S606" s="40" t="n"/>
      <c r="T606" s="40" t="n"/>
      <c r="U606" s="40" t="n"/>
      <c r="V606" s="40" t="n"/>
      <c r="W606" s="40" t="n"/>
      <c r="X606" s="40" t="n"/>
      <c r="Y606" s="40" t="n"/>
      <c r="Z606" s="40" t="n"/>
      <c r="AA606" s="39" t="n"/>
    </row>
    <row r="607">
      <c r="A607" s="7" t="n"/>
      <c r="B607" s="7" t="n"/>
      <c r="C607" s="39" t="n"/>
      <c r="D607" s="39" t="n"/>
      <c r="E607" s="7" t="n"/>
      <c r="F607" s="7" t="n"/>
      <c r="G607" s="7" t="n"/>
      <c r="H607" s="39" t="n"/>
      <c r="I607" s="39" t="n"/>
      <c r="J607" s="39" t="n"/>
      <c r="K607" s="39" t="n"/>
      <c r="L607" s="39" t="n"/>
      <c r="M607" s="7" t="n"/>
      <c r="N607" s="7" t="n"/>
      <c r="O607" s="40" t="n"/>
      <c r="P607" s="40" t="n"/>
      <c r="Q607" s="40" t="n"/>
      <c r="R607" s="40" t="n"/>
      <c r="S607" s="40" t="n"/>
      <c r="T607" s="40" t="n"/>
      <c r="U607" s="40" t="n"/>
      <c r="V607" s="40" t="n"/>
      <c r="W607" s="40" t="n"/>
      <c r="X607" s="40" t="n"/>
      <c r="Y607" s="40" t="n"/>
      <c r="Z607" s="40" t="n"/>
      <c r="AA607" s="39" t="n"/>
    </row>
    <row r="608">
      <c r="A608" s="7" t="n"/>
      <c r="B608" s="7" t="n"/>
      <c r="C608" s="39" t="n"/>
      <c r="D608" s="39" t="n"/>
      <c r="E608" s="7" t="n"/>
      <c r="F608" s="7" t="n"/>
      <c r="G608" s="7" t="n"/>
      <c r="H608" s="39" t="n"/>
      <c r="I608" s="39" t="n"/>
      <c r="J608" s="39" t="n"/>
      <c r="K608" s="39" t="n"/>
      <c r="L608" s="39" t="n"/>
      <c r="M608" s="7" t="n"/>
      <c r="N608" s="7" t="n"/>
      <c r="O608" s="40" t="n"/>
      <c r="P608" s="40" t="n"/>
      <c r="Q608" s="40" t="n"/>
      <c r="R608" s="40" t="n"/>
      <c r="S608" s="40" t="n"/>
      <c r="T608" s="40" t="n"/>
      <c r="U608" s="40" t="n"/>
      <c r="V608" s="40" t="n"/>
      <c r="W608" s="40" t="n"/>
      <c r="X608" s="40" t="n"/>
      <c r="Y608" s="40" t="n"/>
      <c r="Z608" s="40" t="n"/>
      <c r="AA608" s="39" t="n"/>
    </row>
    <row r="609">
      <c r="A609" s="7" t="n"/>
      <c r="B609" s="7" t="n"/>
      <c r="C609" s="39" t="n"/>
      <c r="D609" s="39" t="n"/>
      <c r="E609" s="7" t="n"/>
      <c r="F609" s="7" t="n"/>
      <c r="G609" s="7" t="n"/>
      <c r="H609" s="39" t="n"/>
      <c r="I609" s="39" t="n"/>
      <c r="J609" s="39" t="n"/>
      <c r="K609" s="39" t="n"/>
      <c r="L609" s="39" t="n"/>
      <c r="M609" s="7" t="n"/>
      <c r="N609" s="7" t="n"/>
      <c r="O609" s="40" t="n"/>
      <c r="P609" s="40" t="n"/>
      <c r="Q609" s="40" t="n"/>
      <c r="R609" s="40" t="n"/>
      <c r="S609" s="40" t="n"/>
      <c r="T609" s="40" t="n"/>
      <c r="U609" s="40" t="n"/>
      <c r="V609" s="40" t="n"/>
      <c r="W609" s="40" t="n"/>
      <c r="X609" s="40" t="n"/>
      <c r="Y609" s="40" t="n"/>
      <c r="Z609" s="40" t="n"/>
      <c r="AA609" s="39" t="n"/>
    </row>
    <row r="610">
      <c r="A610" s="7" t="n"/>
      <c r="B610" s="7" t="n"/>
      <c r="C610" s="39" t="n"/>
      <c r="D610" s="39" t="n"/>
      <c r="E610" s="7" t="n"/>
      <c r="F610" s="7" t="n"/>
      <c r="G610" s="7" t="n"/>
      <c r="H610" s="39" t="n"/>
      <c r="I610" s="39" t="n"/>
      <c r="J610" s="39" t="n"/>
      <c r="K610" s="39" t="n"/>
      <c r="L610" s="39" t="n"/>
      <c r="M610" s="7" t="n"/>
      <c r="N610" s="7" t="n"/>
      <c r="O610" s="40" t="n"/>
      <c r="P610" s="40" t="n"/>
      <c r="Q610" s="40" t="n"/>
      <c r="R610" s="40" t="n"/>
      <c r="S610" s="40" t="n"/>
      <c r="T610" s="40" t="n"/>
      <c r="U610" s="40" t="n"/>
      <c r="V610" s="40" t="n"/>
      <c r="W610" s="40" t="n"/>
      <c r="X610" s="40" t="n"/>
      <c r="Y610" s="40" t="n"/>
      <c r="Z610" s="40" t="n"/>
      <c r="AA610" s="39" t="n"/>
    </row>
    <row r="611">
      <c r="A611" s="7" t="n"/>
      <c r="B611" s="7" t="n"/>
      <c r="C611" s="39" t="n"/>
      <c r="D611" s="39" t="n"/>
      <c r="E611" s="7" t="n"/>
      <c r="F611" s="7" t="n"/>
      <c r="G611" s="7" t="n"/>
      <c r="H611" s="39" t="n"/>
      <c r="I611" s="39" t="n"/>
      <c r="J611" s="39" t="n"/>
      <c r="K611" s="39" t="n"/>
      <c r="L611" s="39" t="n"/>
      <c r="M611" s="7" t="n"/>
      <c r="N611" s="7" t="n"/>
      <c r="O611" s="40" t="n"/>
      <c r="P611" s="40" t="n"/>
      <c r="Q611" s="40" t="n"/>
      <c r="R611" s="40" t="n"/>
      <c r="S611" s="40" t="n"/>
      <c r="T611" s="40" t="n"/>
      <c r="U611" s="40" t="n"/>
      <c r="V611" s="40" t="n"/>
      <c r="W611" s="40" t="n"/>
      <c r="X611" s="40" t="n"/>
      <c r="Y611" s="40" t="n"/>
      <c r="Z611" s="40" t="n"/>
      <c r="AA611" s="39" t="n"/>
    </row>
    <row r="612">
      <c r="A612" s="7" t="n"/>
      <c r="B612" s="7" t="n"/>
      <c r="C612" s="39" t="n"/>
      <c r="D612" s="39" t="n"/>
      <c r="E612" s="7" t="n"/>
      <c r="F612" s="7" t="n"/>
      <c r="G612" s="7" t="n"/>
      <c r="H612" s="39" t="n"/>
      <c r="I612" s="39" t="n"/>
      <c r="J612" s="39" t="n"/>
      <c r="K612" s="39" t="n"/>
      <c r="L612" s="39" t="n"/>
      <c r="M612" s="7" t="n"/>
      <c r="N612" s="7" t="n"/>
      <c r="O612" s="40" t="n"/>
      <c r="P612" s="40" t="n"/>
      <c r="Q612" s="40" t="n"/>
      <c r="R612" s="40" t="n"/>
      <c r="S612" s="40" t="n"/>
      <c r="T612" s="40" t="n"/>
      <c r="U612" s="40" t="n"/>
      <c r="V612" s="40" t="n"/>
      <c r="W612" s="40" t="n"/>
      <c r="X612" s="40" t="n"/>
      <c r="Y612" s="40" t="n"/>
      <c r="Z612" s="40" t="n"/>
      <c r="AA612" s="39" t="n"/>
    </row>
    <row r="613">
      <c r="A613" s="7" t="n"/>
      <c r="B613" s="7" t="n"/>
      <c r="C613" s="39" t="n"/>
      <c r="D613" s="39" t="n"/>
      <c r="E613" s="7" t="n"/>
      <c r="F613" s="7" t="n"/>
      <c r="G613" s="7" t="n"/>
      <c r="H613" s="39" t="n"/>
      <c r="I613" s="39" t="n"/>
      <c r="J613" s="39" t="n"/>
      <c r="K613" s="39" t="n"/>
      <c r="L613" s="39" t="n"/>
      <c r="M613" s="7" t="n"/>
      <c r="N613" s="7" t="n"/>
      <c r="O613" s="40" t="n"/>
      <c r="P613" s="40" t="n"/>
      <c r="Q613" s="40" t="n"/>
      <c r="R613" s="40" t="n"/>
      <c r="S613" s="40" t="n"/>
      <c r="T613" s="40" t="n"/>
      <c r="U613" s="40" t="n"/>
      <c r="V613" s="40" t="n"/>
      <c r="W613" s="40" t="n"/>
      <c r="X613" s="40" t="n"/>
      <c r="Y613" s="40" t="n"/>
      <c r="Z613" s="40" t="n"/>
      <c r="AA613" s="39" t="n"/>
    </row>
    <row r="614">
      <c r="A614" s="7" t="n"/>
      <c r="B614" s="7" t="n"/>
      <c r="C614" s="39" t="n"/>
      <c r="D614" s="39" t="n"/>
      <c r="E614" s="7" t="n"/>
      <c r="F614" s="7" t="n"/>
      <c r="G614" s="7" t="n"/>
      <c r="H614" s="39" t="n"/>
      <c r="I614" s="39" t="n"/>
      <c r="J614" s="39" t="n"/>
      <c r="K614" s="39" t="n"/>
      <c r="L614" s="39" t="n"/>
      <c r="M614" s="7" t="n"/>
      <c r="N614" s="7" t="n"/>
      <c r="O614" s="40" t="n"/>
      <c r="P614" s="40" t="n"/>
      <c r="Q614" s="40" t="n"/>
      <c r="R614" s="40" t="n"/>
      <c r="S614" s="40" t="n"/>
      <c r="T614" s="40" t="n"/>
      <c r="U614" s="40" t="n"/>
      <c r="V614" s="40" t="n"/>
      <c r="W614" s="40" t="n"/>
      <c r="X614" s="40" t="n"/>
      <c r="Y614" s="40" t="n"/>
      <c r="Z614" s="40" t="n"/>
      <c r="AA614" s="39" t="n"/>
    </row>
    <row r="615">
      <c r="A615" s="7" t="n"/>
      <c r="B615" s="7" t="n"/>
      <c r="C615" s="39" t="n"/>
      <c r="D615" s="39" t="n"/>
      <c r="E615" s="7" t="n"/>
      <c r="F615" s="7" t="n"/>
      <c r="G615" s="7" t="n"/>
      <c r="H615" s="39" t="n"/>
      <c r="I615" s="39" t="n"/>
      <c r="J615" s="39" t="n"/>
      <c r="K615" s="39" t="n"/>
      <c r="L615" s="39" t="n"/>
      <c r="M615" s="7" t="n"/>
      <c r="N615" s="7" t="n"/>
      <c r="O615" s="40" t="n"/>
      <c r="P615" s="40" t="n"/>
      <c r="Q615" s="40" t="n"/>
      <c r="R615" s="40" t="n"/>
      <c r="S615" s="40" t="n"/>
      <c r="T615" s="40" t="n"/>
      <c r="U615" s="40" t="n"/>
      <c r="V615" s="40" t="n"/>
      <c r="W615" s="40" t="n"/>
      <c r="X615" s="40" t="n"/>
      <c r="Y615" s="40" t="n"/>
      <c r="Z615" s="40" t="n"/>
      <c r="AA615" s="39" t="n"/>
    </row>
    <row r="616">
      <c r="A616" s="7" t="n"/>
      <c r="B616" s="7" t="n"/>
      <c r="C616" s="39" t="n"/>
      <c r="D616" s="39" t="n"/>
      <c r="E616" s="7" t="n"/>
      <c r="F616" s="7" t="n"/>
      <c r="G616" s="7" t="n"/>
      <c r="H616" s="39" t="n"/>
      <c r="I616" s="39" t="n"/>
      <c r="J616" s="39" t="n"/>
      <c r="K616" s="39" t="n"/>
      <c r="L616" s="39" t="n"/>
      <c r="M616" s="7" t="n"/>
      <c r="N616" s="7" t="n"/>
      <c r="O616" s="40" t="n"/>
      <c r="P616" s="40" t="n"/>
      <c r="Q616" s="40" t="n"/>
      <c r="R616" s="40" t="n"/>
      <c r="S616" s="40" t="n"/>
      <c r="T616" s="40" t="n"/>
      <c r="U616" s="40" t="n"/>
      <c r="V616" s="40" t="n"/>
      <c r="W616" s="40" t="n"/>
      <c r="X616" s="40" t="n"/>
      <c r="Y616" s="40" t="n"/>
      <c r="Z616" s="40" t="n"/>
      <c r="AA616" s="39" t="n"/>
    </row>
    <row r="617">
      <c r="A617" s="7" t="n"/>
      <c r="B617" s="7" t="n"/>
      <c r="C617" s="39" t="n"/>
      <c r="D617" s="39" t="n"/>
      <c r="E617" s="7" t="n"/>
      <c r="F617" s="7" t="n"/>
      <c r="G617" s="7" t="n"/>
      <c r="H617" s="39" t="n"/>
      <c r="I617" s="39" t="n"/>
      <c r="J617" s="39" t="n"/>
      <c r="K617" s="39" t="n"/>
      <c r="L617" s="39" t="n"/>
      <c r="M617" s="7" t="n"/>
      <c r="N617" s="7" t="n"/>
      <c r="O617" s="40" t="n"/>
      <c r="P617" s="40" t="n"/>
      <c r="Q617" s="40" t="n"/>
      <c r="R617" s="40" t="n"/>
      <c r="S617" s="40" t="n"/>
      <c r="T617" s="40" t="n"/>
      <c r="U617" s="40" t="n"/>
      <c r="V617" s="40" t="n"/>
      <c r="W617" s="40" t="n"/>
      <c r="X617" s="40" t="n"/>
      <c r="Y617" s="40" t="n"/>
      <c r="Z617" s="40" t="n"/>
      <c r="AA617" s="39" t="n"/>
    </row>
    <row r="618">
      <c r="A618" s="7" t="n"/>
      <c r="B618" s="7" t="n"/>
      <c r="C618" s="39" t="n"/>
      <c r="D618" s="39" t="n"/>
      <c r="E618" s="7" t="n"/>
      <c r="F618" s="7" t="n"/>
      <c r="G618" s="7" t="n"/>
      <c r="H618" s="39" t="n"/>
      <c r="I618" s="39" t="n"/>
      <c r="J618" s="39" t="n"/>
      <c r="K618" s="39" t="n"/>
      <c r="L618" s="39" t="n"/>
      <c r="M618" s="7" t="n"/>
      <c r="N618" s="7" t="n"/>
      <c r="O618" s="40" t="n"/>
      <c r="P618" s="40" t="n"/>
      <c r="Q618" s="40" t="n"/>
      <c r="R618" s="40" t="n"/>
      <c r="S618" s="40" t="n"/>
      <c r="T618" s="40" t="n"/>
      <c r="U618" s="40" t="n"/>
      <c r="V618" s="40" t="n"/>
      <c r="W618" s="40" t="n"/>
      <c r="X618" s="40" t="n"/>
      <c r="Y618" s="40" t="n"/>
      <c r="Z618" s="40" t="n"/>
      <c r="AA618" s="39" t="n"/>
    </row>
    <row r="619">
      <c r="A619" s="7" t="n"/>
      <c r="B619" s="7" t="n"/>
      <c r="C619" s="39" t="n"/>
      <c r="D619" s="39" t="n"/>
      <c r="E619" s="7" t="n"/>
      <c r="F619" s="7" t="n"/>
      <c r="G619" s="7" t="n"/>
      <c r="H619" s="39" t="n"/>
      <c r="I619" s="39" t="n"/>
      <c r="J619" s="39" t="n"/>
      <c r="K619" s="39" t="n"/>
      <c r="L619" s="39" t="n"/>
      <c r="M619" s="7" t="n"/>
      <c r="N619" s="7" t="n"/>
      <c r="O619" s="40" t="n"/>
      <c r="P619" s="40" t="n"/>
      <c r="Q619" s="40" t="n"/>
      <c r="R619" s="40" t="n"/>
      <c r="S619" s="40" t="n"/>
      <c r="T619" s="40" t="n"/>
      <c r="U619" s="40" t="n"/>
      <c r="V619" s="40" t="n"/>
      <c r="W619" s="40" t="n"/>
      <c r="X619" s="40" t="n"/>
      <c r="Y619" s="40" t="n"/>
      <c r="Z619" s="40" t="n"/>
      <c r="AA619" s="39" t="n"/>
    </row>
    <row r="620">
      <c r="A620" s="7" t="n"/>
      <c r="B620" s="7" t="n"/>
      <c r="C620" s="39" t="n"/>
      <c r="D620" s="39" t="n"/>
      <c r="E620" s="7" t="n"/>
      <c r="F620" s="7" t="n"/>
      <c r="G620" s="7" t="n"/>
      <c r="H620" s="39" t="n"/>
      <c r="I620" s="39" t="n"/>
      <c r="J620" s="39" t="n"/>
      <c r="K620" s="39" t="n"/>
      <c r="L620" s="39" t="n"/>
      <c r="M620" s="7" t="n"/>
      <c r="N620" s="7" t="n"/>
      <c r="O620" s="40" t="n"/>
      <c r="P620" s="40" t="n"/>
      <c r="Q620" s="40" t="n"/>
      <c r="R620" s="40" t="n"/>
      <c r="S620" s="40" t="n"/>
      <c r="T620" s="40" t="n"/>
      <c r="U620" s="40" t="n"/>
      <c r="V620" s="40" t="n"/>
      <c r="W620" s="40" t="n"/>
      <c r="X620" s="40" t="n"/>
      <c r="Y620" s="40" t="n"/>
      <c r="Z620" s="40" t="n"/>
      <c r="AA620" s="39" t="n"/>
    </row>
    <row r="621">
      <c r="A621" s="7" t="n"/>
      <c r="B621" s="7" t="n"/>
      <c r="C621" s="39" t="n"/>
      <c r="D621" s="39" t="n"/>
      <c r="E621" s="7" t="n"/>
      <c r="F621" s="7" t="n"/>
      <c r="G621" s="7" t="n"/>
      <c r="H621" s="39" t="n"/>
      <c r="I621" s="39" t="n"/>
      <c r="J621" s="39" t="n"/>
      <c r="K621" s="39" t="n"/>
      <c r="L621" s="39" t="n"/>
      <c r="M621" s="7" t="n"/>
      <c r="N621" s="7" t="n"/>
      <c r="O621" s="40" t="n"/>
      <c r="P621" s="40" t="n"/>
      <c r="Q621" s="40" t="n"/>
      <c r="R621" s="40" t="n"/>
      <c r="S621" s="40" t="n"/>
      <c r="T621" s="40" t="n"/>
      <c r="U621" s="40" t="n"/>
      <c r="V621" s="40" t="n"/>
      <c r="W621" s="40" t="n"/>
      <c r="X621" s="40" t="n"/>
      <c r="Y621" s="40" t="n"/>
      <c r="Z621" s="40" t="n"/>
      <c r="AA621" s="39" t="n"/>
    </row>
    <row r="622">
      <c r="A622" s="7" t="n"/>
      <c r="B622" s="7" t="n"/>
      <c r="C622" s="39" t="n"/>
      <c r="D622" s="39" t="n"/>
      <c r="E622" s="7" t="n"/>
      <c r="F622" s="7" t="n"/>
      <c r="G622" s="7" t="n"/>
      <c r="H622" s="39" t="n"/>
      <c r="I622" s="39" t="n"/>
      <c r="J622" s="39" t="n"/>
      <c r="K622" s="39" t="n"/>
      <c r="L622" s="39" t="n"/>
      <c r="M622" s="7" t="n"/>
      <c r="N622" s="7" t="n"/>
      <c r="O622" s="40" t="n"/>
      <c r="P622" s="40" t="n"/>
      <c r="Q622" s="40" t="n"/>
      <c r="R622" s="40" t="n"/>
      <c r="S622" s="40" t="n"/>
      <c r="T622" s="40" t="n"/>
      <c r="U622" s="40" t="n"/>
      <c r="V622" s="40" t="n"/>
      <c r="W622" s="40" t="n"/>
      <c r="X622" s="40" t="n"/>
      <c r="Y622" s="40" t="n"/>
      <c r="Z622" s="40" t="n"/>
      <c r="AA622" s="39" t="n"/>
    </row>
    <row r="623">
      <c r="A623" s="7" t="n"/>
      <c r="B623" s="7" t="n"/>
      <c r="C623" s="39" t="n"/>
      <c r="D623" s="39" t="n"/>
      <c r="E623" s="7" t="n"/>
      <c r="F623" s="7" t="n"/>
      <c r="G623" s="7" t="n"/>
      <c r="H623" s="39" t="n"/>
      <c r="I623" s="39" t="n"/>
      <c r="J623" s="39" t="n"/>
      <c r="K623" s="39" t="n"/>
      <c r="L623" s="39" t="n"/>
      <c r="M623" s="7" t="n"/>
      <c r="N623" s="7" t="n"/>
      <c r="O623" s="40" t="n"/>
      <c r="P623" s="40" t="n"/>
      <c r="Q623" s="40" t="n"/>
      <c r="R623" s="40" t="n"/>
      <c r="S623" s="40" t="n"/>
      <c r="T623" s="40" t="n"/>
      <c r="U623" s="40" t="n"/>
      <c r="V623" s="40" t="n"/>
      <c r="W623" s="40" t="n"/>
      <c r="X623" s="40" t="n"/>
      <c r="Y623" s="40" t="n"/>
      <c r="Z623" s="40" t="n"/>
      <c r="AA623" s="39" t="n"/>
    </row>
    <row r="624">
      <c r="A624" s="7" t="n"/>
      <c r="B624" s="7" t="n"/>
      <c r="C624" s="39" t="n"/>
      <c r="D624" s="39" t="n"/>
      <c r="E624" s="7" t="n"/>
      <c r="F624" s="7" t="n"/>
      <c r="G624" s="7" t="n"/>
      <c r="H624" s="39" t="n"/>
      <c r="I624" s="39" t="n"/>
      <c r="J624" s="39" t="n"/>
      <c r="K624" s="39" t="n"/>
      <c r="L624" s="39" t="n"/>
      <c r="M624" s="7" t="n"/>
      <c r="N624" s="7" t="n"/>
      <c r="O624" s="40" t="n"/>
      <c r="P624" s="40" t="n"/>
      <c r="Q624" s="40" t="n"/>
      <c r="R624" s="40" t="n"/>
      <c r="S624" s="40" t="n"/>
      <c r="T624" s="40" t="n"/>
      <c r="U624" s="40" t="n"/>
      <c r="V624" s="40" t="n"/>
      <c r="W624" s="40" t="n"/>
      <c r="X624" s="40" t="n"/>
      <c r="Y624" s="40" t="n"/>
      <c r="Z624" s="40" t="n"/>
      <c r="AA624" s="39" t="n"/>
    </row>
    <row r="625">
      <c r="A625" s="7" t="n"/>
      <c r="B625" s="7" t="n"/>
      <c r="C625" s="39" t="n"/>
      <c r="D625" s="39" t="n"/>
      <c r="E625" s="7" t="n"/>
      <c r="F625" s="7" t="n"/>
      <c r="G625" s="7" t="n"/>
      <c r="H625" s="39" t="n"/>
      <c r="I625" s="39" t="n"/>
      <c r="J625" s="39" t="n"/>
      <c r="K625" s="39" t="n"/>
      <c r="L625" s="39" t="n"/>
      <c r="M625" s="7" t="n"/>
      <c r="N625" s="7" t="n"/>
      <c r="O625" s="40" t="n"/>
      <c r="P625" s="40" t="n"/>
      <c r="Q625" s="40" t="n"/>
      <c r="R625" s="40" t="n"/>
      <c r="S625" s="40" t="n"/>
      <c r="T625" s="40" t="n"/>
      <c r="U625" s="40" t="n"/>
      <c r="V625" s="40" t="n"/>
      <c r="W625" s="40" t="n"/>
      <c r="X625" s="40" t="n"/>
      <c r="Y625" s="40" t="n"/>
      <c r="Z625" s="40" t="n"/>
      <c r="AA625" s="39" t="n"/>
    </row>
    <row r="626">
      <c r="A626" s="7" t="n"/>
      <c r="B626" s="7" t="n"/>
      <c r="C626" s="39" t="n"/>
      <c r="D626" s="39" t="n"/>
      <c r="E626" s="7" t="n"/>
      <c r="F626" s="7" t="n"/>
      <c r="G626" s="7" t="n"/>
      <c r="H626" s="39" t="n"/>
      <c r="I626" s="39" t="n"/>
      <c r="J626" s="39" t="n"/>
      <c r="K626" s="39" t="n"/>
      <c r="L626" s="39" t="n"/>
      <c r="M626" s="7" t="n"/>
      <c r="N626" s="7" t="n"/>
      <c r="O626" s="40" t="n"/>
      <c r="P626" s="40" t="n"/>
      <c r="Q626" s="40" t="n"/>
      <c r="R626" s="40" t="n"/>
      <c r="S626" s="40" t="n"/>
      <c r="T626" s="40" t="n"/>
      <c r="U626" s="40" t="n"/>
      <c r="V626" s="40" t="n"/>
      <c r="W626" s="40" t="n"/>
      <c r="X626" s="40" t="n"/>
      <c r="Y626" s="40" t="n"/>
      <c r="Z626" s="40" t="n"/>
      <c r="AA626" s="39" t="n"/>
    </row>
    <row r="627">
      <c r="A627" s="7" t="n"/>
      <c r="B627" s="7" t="n"/>
      <c r="C627" s="39" t="n"/>
      <c r="D627" s="39" t="n"/>
      <c r="E627" s="7" t="n"/>
      <c r="F627" s="7" t="n"/>
      <c r="G627" s="7" t="n"/>
      <c r="H627" s="39" t="n"/>
      <c r="I627" s="39" t="n"/>
      <c r="J627" s="39" t="n"/>
      <c r="K627" s="39" t="n"/>
      <c r="L627" s="39" t="n"/>
      <c r="M627" s="7" t="n"/>
      <c r="N627" s="7" t="n"/>
      <c r="O627" s="40" t="n"/>
      <c r="P627" s="40" t="n"/>
      <c r="Q627" s="40" t="n"/>
      <c r="R627" s="40" t="n"/>
      <c r="S627" s="40" t="n"/>
      <c r="T627" s="40" t="n"/>
      <c r="U627" s="40" t="n"/>
      <c r="V627" s="40" t="n"/>
      <c r="W627" s="40" t="n"/>
      <c r="X627" s="40" t="n"/>
      <c r="Y627" s="40" t="n"/>
      <c r="Z627" s="40" t="n"/>
      <c r="AA627" s="39" t="n"/>
    </row>
    <row r="628">
      <c r="A628" s="7" t="n"/>
      <c r="B628" s="7" t="n"/>
      <c r="C628" s="39" t="n"/>
      <c r="D628" s="39" t="n"/>
      <c r="E628" s="7" t="n"/>
      <c r="F628" s="7" t="n"/>
      <c r="G628" s="7" t="n"/>
      <c r="H628" s="39" t="n"/>
      <c r="I628" s="39" t="n"/>
      <c r="J628" s="39" t="n"/>
      <c r="K628" s="39" t="n"/>
      <c r="L628" s="39" t="n"/>
      <c r="M628" s="7" t="n"/>
      <c r="N628" s="7" t="n"/>
      <c r="O628" s="40" t="n"/>
      <c r="P628" s="40" t="n"/>
      <c r="Q628" s="40" t="n"/>
      <c r="R628" s="40" t="n"/>
      <c r="S628" s="40" t="n"/>
      <c r="T628" s="40" t="n"/>
      <c r="U628" s="40" t="n"/>
      <c r="V628" s="40" t="n"/>
      <c r="W628" s="40" t="n"/>
      <c r="X628" s="40" t="n"/>
      <c r="Y628" s="40" t="n"/>
      <c r="Z628" s="40" t="n"/>
      <c r="AA628" s="39" t="n"/>
    </row>
    <row r="629">
      <c r="A629" s="7" t="n"/>
      <c r="B629" s="7" t="n"/>
      <c r="C629" s="39" t="n"/>
      <c r="D629" s="39" t="n"/>
      <c r="E629" s="7" t="n"/>
      <c r="F629" s="7" t="n"/>
      <c r="G629" s="7" t="n"/>
      <c r="H629" s="39" t="n"/>
      <c r="I629" s="39" t="n"/>
      <c r="J629" s="39" t="n"/>
      <c r="K629" s="39" t="n"/>
      <c r="L629" s="39" t="n"/>
      <c r="M629" s="7" t="n"/>
      <c r="N629" s="7" t="n"/>
      <c r="O629" s="40" t="n"/>
      <c r="P629" s="40" t="n"/>
      <c r="Q629" s="40" t="n"/>
      <c r="R629" s="40" t="n"/>
      <c r="S629" s="40" t="n"/>
      <c r="T629" s="40" t="n"/>
      <c r="U629" s="40" t="n"/>
      <c r="V629" s="40" t="n"/>
      <c r="W629" s="40" t="n"/>
      <c r="X629" s="40" t="n"/>
      <c r="Y629" s="40" t="n"/>
      <c r="Z629" s="40" t="n"/>
      <c r="AA629" s="39" t="n"/>
    </row>
    <row r="630">
      <c r="A630" s="7" t="n"/>
      <c r="B630" s="7" t="n"/>
      <c r="C630" s="39" t="n"/>
      <c r="D630" s="39" t="n"/>
      <c r="E630" s="7" t="n"/>
      <c r="F630" s="7" t="n"/>
      <c r="G630" s="7" t="n"/>
      <c r="H630" s="39" t="n"/>
      <c r="I630" s="39" t="n"/>
      <c r="J630" s="39" t="n"/>
      <c r="K630" s="39" t="n"/>
      <c r="L630" s="39" t="n"/>
      <c r="M630" s="7" t="n"/>
      <c r="N630" s="7" t="n"/>
      <c r="O630" s="40" t="n"/>
      <c r="P630" s="40" t="n"/>
      <c r="Q630" s="40" t="n"/>
      <c r="R630" s="40" t="n"/>
      <c r="S630" s="40" t="n"/>
      <c r="T630" s="40" t="n"/>
      <c r="U630" s="40" t="n"/>
      <c r="V630" s="40" t="n"/>
      <c r="W630" s="40" t="n"/>
      <c r="X630" s="40" t="n"/>
      <c r="Y630" s="40" t="n"/>
      <c r="Z630" s="40" t="n"/>
      <c r="AA630" s="39" t="n"/>
    </row>
    <row r="631">
      <c r="A631" s="7" t="n"/>
      <c r="B631" s="7" t="n"/>
      <c r="C631" s="39" t="n"/>
      <c r="D631" s="39" t="n"/>
      <c r="E631" s="7" t="n"/>
      <c r="F631" s="7" t="n"/>
      <c r="G631" s="7" t="n"/>
      <c r="H631" s="39" t="n"/>
      <c r="I631" s="39" t="n"/>
      <c r="J631" s="39" t="n"/>
      <c r="K631" s="39" t="n"/>
      <c r="L631" s="39" t="n"/>
      <c r="M631" s="7" t="n"/>
      <c r="N631" s="7" t="n"/>
      <c r="O631" s="40" t="n"/>
      <c r="P631" s="40" t="n"/>
      <c r="Q631" s="40" t="n"/>
      <c r="R631" s="40" t="n"/>
      <c r="S631" s="40" t="n"/>
      <c r="T631" s="40" t="n"/>
      <c r="U631" s="40" t="n"/>
      <c r="V631" s="40" t="n"/>
      <c r="W631" s="40" t="n"/>
      <c r="X631" s="40" t="n"/>
      <c r="Y631" s="40" t="n"/>
      <c r="Z631" s="40" t="n"/>
      <c r="AA631" s="39" t="n"/>
    </row>
    <row r="632">
      <c r="A632" s="7" t="n"/>
      <c r="B632" s="7" t="n"/>
      <c r="C632" s="39" t="n"/>
      <c r="D632" s="39" t="n"/>
      <c r="E632" s="7" t="n"/>
      <c r="F632" s="7" t="n"/>
      <c r="G632" s="7" t="n"/>
      <c r="H632" s="39" t="n"/>
      <c r="I632" s="39" t="n"/>
      <c r="J632" s="39" t="n"/>
      <c r="K632" s="39" t="n"/>
      <c r="L632" s="39" t="n"/>
      <c r="M632" s="7" t="n"/>
      <c r="N632" s="7" t="n"/>
      <c r="O632" s="40" t="n"/>
      <c r="P632" s="40" t="n"/>
      <c r="Q632" s="40" t="n"/>
      <c r="R632" s="40" t="n"/>
      <c r="S632" s="40" t="n"/>
      <c r="T632" s="40" t="n"/>
      <c r="U632" s="40" t="n"/>
      <c r="V632" s="40" t="n"/>
      <c r="W632" s="40" t="n"/>
      <c r="X632" s="40" t="n"/>
      <c r="Y632" s="40" t="n"/>
      <c r="Z632" s="40" t="n"/>
      <c r="AA632" s="39" t="n"/>
    </row>
    <row r="633">
      <c r="A633" s="7" t="n"/>
      <c r="B633" s="7" t="n"/>
      <c r="C633" s="39" t="n"/>
      <c r="D633" s="39" t="n"/>
      <c r="E633" s="7" t="n"/>
      <c r="F633" s="7" t="n"/>
      <c r="G633" s="7" t="n"/>
      <c r="H633" s="39" t="n"/>
      <c r="I633" s="39" t="n"/>
      <c r="J633" s="39" t="n"/>
      <c r="K633" s="39" t="n"/>
      <c r="L633" s="39" t="n"/>
      <c r="M633" s="7" t="n"/>
      <c r="N633" s="7" t="n"/>
      <c r="O633" s="40" t="n"/>
      <c r="P633" s="40" t="n"/>
      <c r="Q633" s="40" t="n"/>
      <c r="R633" s="40" t="n"/>
      <c r="S633" s="40" t="n"/>
      <c r="T633" s="40" t="n"/>
      <c r="U633" s="40" t="n"/>
      <c r="V633" s="40" t="n"/>
      <c r="W633" s="40" t="n"/>
      <c r="X633" s="40" t="n"/>
      <c r="Y633" s="40" t="n"/>
      <c r="Z633" s="40" t="n"/>
      <c r="AA633" s="39" t="n"/>
    </row>
    <row r="634">
      <c r="A634" s="7" t="n"/>
      <c r="B634" s="7" t="n"/>
      <c r="C634" s="39" t="n"/>
      <c r="D634" s="39" t="n"/>
      <c r="E634" s="7" t="n"/>
      <c r="F634" s="7" t="n"/>
      <c r="G634" s="7" t="n"/>
      <c r="H634" s="39" t="n"/>
      <c r="I634" s="39" t="n"/>
      <c r="J634" s="39" t="n"/>
      <c r="K634" s="39" t="n"/>
      <c r="L634" s="39" t="n"/>
      <c r="M634" s="7" t="n"/>
      <c r="N634" s="7" t="n"/>
      <c r="O634" s="40" t="n"/>
      <c r="P634" s="40" t="n"/>
      <c r="Q634" s="40" t="n"/>
      <c r="R634" s="40" t="n"/>
      <c r="S634" s="40" t="n"/>
      <c r="T634" s="40" t="n"/>
      <c r="U634" s="40" t="n"/>
      <c r="V634" s="40" t="n"/>
      <c r="W634" s="40" t="n"/>
      <c r="X634" s="40" t="n"/>
      <c r="Y634" s="40" t="n"/>
      <c r="Z634" s="40" t="n"/>
      <c r="AA634" s="39" t="n"/>
    </row>
    <row r="635">
      <c r="A635" s="7" t="n"/>
      <c r="B635" s="7" t="n"/>
      <c r="C635" s="39" t="n"/>
      <c r="D635" s="39" t="n"/>
      <c r="E635" s="7" t="n"/>
      <c r="F635" s="7" t="n"/>
      <c r="G635" s="7" t="n"/>
      <c r="H635" s="39" t="n"/>
      <c r="I635" s="39" t="n"/>
      <c r="J635" s="39" t="n"/>
      <c r="K635" s="39" t="n"/>
      <c r="L635" s="39" t="n"/>
      <c r="M635" s="7" t="n"/>
      <c r="N635" s="7" t="n"/>
      <c r="O635" s="40" t="n"/>
      <c r="P635" s="40" t="n"/>
      <c r="Q635" s="40" t="n"/>
      <c r="R635" s="40" t="n"/>
      <c r="S635" s="40" t="n"/>
      <c r="T635" s="40" t="n"/>
      <c r="U635" s="40" t="n"/>
      <c r="V635" s="40" t="n"/>
      <c r="W635" s="40" t="n"/>
      <c r="X635" s="40" t="n"/>
      <c r="Y635" s="40" t="n"/>
      <c r="Z635" s="40" t="n"/>
      <c r="AA635" s="39" t="n"/>
    </row>
    <row r="636">
      <c r="A636" s="7" t="n"/>
      <c r="B636" s="7" t="n"/>
      <c r="C636" s="39" t="n"/>
      <c r="D636" s="39" t="n"/>
      <c r="E636" s="7" t="n"/>
      <c r="F636" s="7" t="n"/>
      <c r="G636" s="7" t="n"/>
      <c r="H636" s="39" t="n"/>
      <c r="I636" s="39" t="n"/>
      <c r="J636" s="39" t="n"/>
      <c r="K636" s="39" t="n"/>
      <c r="L636" s="39" t="n"/>
      <c r="M636" s="7" t="n"/>
      <c r="N636" s="7" t="n"/>
      <c r="O636" s="40" t="n"/>
      <c r="P636" s="40" t="n"/>
      <c r="Q636" s="40" t="n"/>
      <c r="R636" s="40" t="n"/>
      <c r="S636" s="40" t="n"/>
      <c r="T636" s="40" t="n"/>
      <c r="U636" s="40" t="n"/>
      <c r="V636" s="40" t="n"/>
      <c r="W636" s="40" t="n"/>
      <c r="X636" s="40" t="n"/>
      <c r="Y636" s="40" t="n"/>
      <c r="Z636" s="40" t="n"/>
      <c r="AA636" s="39" t="n"/>
    </row>
    <row r="637">
      <c r="A637" s="7" t="n"/>
      <c r="B637" s="7" t="n"/>
      <c r="C637" s="39" t="n"/>
      <c r="D637" s="39" t="n"/>
      <c r="E637" s="7" t="n"/>
      <c r="F637" s="7" t="n"/>
      <c r="G637" s="7" t="n"/>
      <c r="H637" s="39" t="n"/>
      <c r="I637" s="39" t="n"/>
      <c r="J637" s="39" t="n"/>
      <c r="K637" s="39" t="n"/>
      <c r="L637" s="39" t="n"/>
      <c r="M637" s="7" t="n"/>
      <c r="N637" s="7" t="n"/>
      <c r="O637" s="40" t="n"/>
      <c r="P637" s="40" t="n"/>
      <c r="Q637" s="40" t="n"/>
      <c r="R637" s="40" t="n"/>
      <c r="S637" s="40" t="n"/>
      <c r="T637" s="40" t="n"/>
      <c r="U637" s="40" t="n"/>
      <c r="V637" s="40" t="n"/>
      <c r="W637" s="40" t="n"/>
      <c r="X637" s="40" t="n"/>
      <c r="Y637" s="40" t="n"/>
      <c r="Z637" s="40" t="n"/>
      <c r="AA637" s="39" t="n"/>
    </row>
    <row r="638">
      <c r="A638" s="7" t="n"/>
      <c r="B638" s="7" t="n"/>
      <c r="C638" s="39" t="n"/>
      <c r="D638" s="39" t="n"/>
      <c r="E638" s="7" t="n"/>
      <c r="F638" s="7" t="n"/>
      <c r="G638" s="7" t="n"/>
      <c r="H638" s="39" t="n"/>
      <c r="I638" s="39" t="n"/>
      <c r="J638" s="39" t="n"/>
      <c r="K638" s="39" t="n"/>
      <c r="L638" s="39" t="n"/>
      <c r="M638" s="7" t="n"/>
      <c r="N638" s="7" t="n"/>
      <c r="O638" s="40" t="n"/>
      <c r="P638" s="40" t="n"/>
      <c r="Q638" s="40" t="n"/>
      <c r="R638" s="40" t="n"/>
      <c r="S638" s="40" t="n"/>
      <c r="T638" s="40" t="n"/>
      <c r="U638" s="40" t="n"/>
      <c r="V638" s="40" t="n"/>
      <c r="W638" s="40" t="n"/>
      <c r="X638" s="40" t="n"/>
      <c r="Y638" s="40" t="n"/>
      <c r="Z638" s="40" t="n"/>
      <c r="AA638" s="39" t="n"/>
    </row>
    <row r="639">
      <c r="A639" s="7" t="n"/>
      <c r="B639" s="7" t="n"/>
      <c r="C639" s="39" t="n"/>
      <c r="D639" s="39" t="n"/>
      <c r="E639" s="7" t="n"/>
      <c r="F639" s="7" t="n"/>
      <c r="G639" s="7" t="n"/>
      <c r="H639" s="39" t="n"/>
      <c r="I639" s="39" t="n"/>
      <c r="J639" s="39" t="n"/>
      <c r="K639" s="39" t="n"/>
      <c r="L639" s="39" t="n"/>
      <c r="M639" s="7" t="n"/>
      <c r="N639" s="7" t="n"/>
      <c r="O639" s="40" t="n"/>
      <c r="P639" s="40" t="n"/>
      <c r="Q639" s="40" t="n"/>
      <c r="R639" s="40" t="n"/>
      <c r="S639" s="40" t="n"/>
      <c r="T639" s="40" t="n"/>
      <c r="U639" s="40" t="n"/>
      <c r="V639" s="40" t="n"/>
      <c r="W639" s="40" t="n"/>
      <c r="X639" s="40" t="n"/>
      <c r="Y639" s="40" t="n"/>
      <c r="Z639" s="40" t="n"/>
      <c r="AA639" s="39" t="n"/>
    </row>
    <row r="640">
      <c r="A640" s="7" t="n"/>
      <c r="B640" s="7" t="n"/>
      <c r="C640" s="39" t="n"/>
      <c r="D640" s="39" t="n"/>
      <c r="E640" s="7" t="n"/>
      <c r="F640" s="7" t="n"/>
      <c r="G640" s="7" t="n"/>
      <c r="H640" s="39" t="n"/>
      <c r="I640" s="39" t="n"/>
      <c r="J640" s="39" t="n"/>
      <c r="K640" s="39" t="n"/>
      <c r="L640" s="39" t="n"/>
      <c r="M640" s="7" t="n"/>
      <c r="N640" s="7" t="n"/>
      <c r="O640" s="40" t="n"/>
      <c r="P640" s="40" t="n"/>
      <c r="Q640" s="40" t="n"/>
      <c r="R640" s="40" t="n"/>
      <c r="S640" s="40" t="n"/>
      <c r="T640" s="40" t="n"/>
      <c r="U640" s="40" t="n"/>
      <c r="V640" s="40" t="n"/>
      <c r="W640" s="40" t="n"/>
      <c r="X640" s="40" t="n"/>
      <c r="Y640" s="40" t="n"/>
      <c r="Z640" s="40" t="n"/>
      <c r="AA640" s="39" t="n"/>
    </row>
    <row r="641">
      <c r="A641" s="7" t="n"/>
      <c r="B641" s="7" t="n"/>
      <c r="C641" s="39" t="n"/>
      <c r="D641" s="39" t="n"/>
      <c r="E641" s="7" t="n"/>
      <c r="F641" s="7" t="n"/>
      <c r="G641" s="7" t="n"/>
      <c r="H641" s="39" t="n"/>
      <c r="I641" s="39" t="n"/>
      <c r="J641" s="39" t="n"/>
      <c r="K641" s="39" t="n"/>
      <c r="L641" s="39" t="n"/>
      <c r="M641" s="7" t="n"/>
      <c r="N641" s="7" t="n"/>
      <c r="O641" s="40" t="n"/>
      <c r="P641" s="40" t="n"/>
      <c r="Q641" s="40" t="n"/>
      <c r="R641" s="40" t="n"/>
      <c r="S641" s="40" t="n"/>
      <c r="T641" s="40" t="n"/>
      <c r="U641" s="40" t="n"/>
      <c r="V641" s="40" t="n"/>
      <c r="W641" s="40" t="n"/>
      <c r="X641" s="40" t="n"/>
      <c r="Y641" s="40" t="n"/>
      <c r="Z641" s="40" t="n"/>
      <c r="AA641" s="39" t="n"/>
    </row>
    <row r="642">
      <c r="A642" s="7" t="n"/>
      <c r="B642" s="7" t="n"/>
      <c r="C642" s="39" t="n"/>
      <c r="D642" s="39" t="n"/>
      <c r="E642" s="7" t="n"/>
      <c r="F642" s="7" t="n"/>
      <c r="G642" s="7" t="n"/>
      <c r="H642" s="39" t="n"/>
      <c r="I642" s="39" t="n"/>
      <c r="J642" s="39" t="n"/>
      <c r="K642" s="39" t="n"/>
      <c r="L642" s="39" t="n"/>
      <c r="M642" s="7" t="n"/>
      <c r="N642" s="7" t="n"/>
      <c r="O642" s="40" t="n"/>
      <c r="P642" s="40" t="n"/>
      <c r="Q642" s="40" t="n"/>
      <c r="R642" s="40" t="n"/>
      <c r="S642" s="40" t="n"/>
      <c r="T642" s="40" t="n"/>
      <c r="U642" s="40" t="n"/>
      <c r="V642" s="40" t="n"/>
      <c r="W642" s="40" t="n"/>
      <c r="X642" s="40" t="n"/>
      <c r="Y642" s="40" t="n"/>
      <c r="Z642" s="40" t="n"/>
      <c r="AA642" s="39" t="n"/>
    </row>
    <row r="643">
      <c r="A643" s="7" t="n"/>
      <c r="B643" s="7" t="n"/>
      <c r="C643" s="39" t="n"/>
      <c r="D643" s="39" t="n"/>
      <c r="E643" s="7" t="n"/>
      <c r="F643" s="7" t="n"/>
      <c r="G643" s="7" t="n"/>
      <c r="H643" s="39" t="n"/>
      <c r="I643" s="39" t="n"/>
      <c r="J643" s="39" t="n"/>
      <c r="K643" s="39" t="n"/>
      <c r="L643" s="39" t="n"/>
      <c r="M643" s="7" t="n"/>
      <c r="N643" s="7" t="n"/>
      <c r="O643" s="40" t="n"/>
      <c r="P643" s="40" t="n"/>
      <c r="Q643" s="40" t="n"/>
      <c r="R643" s="40" t="n"/>
      <c r="S643" s="40" t="n"/>
      <c r="T643" s="40" t="n"/>
      <c r="U643" s="40" t="n"/>
      <c r="V643" s="40" t="n"/>
      <c r="W643" s="40" t="n"/>
      <c r="X643" s="40" t="n"/>
      <c r="Y643" s="40" t="n"/>
      <c r="Z643" s="40" t="n"/>
      <c r="AA643" s="39" t="n"/>
    </row>
    <row r="644">
      <c r="A644" s="7" t="n"/>
      <c r="B644" s="7" t="n"/>
      <c r="C644" s="39" t="n"/>
      <c r="D644" s="39" t="n"/>
      <c r="E644" s="7" t="n"/>
      <c r="F644" s="7" t="n"/>
      <c r="G644" s="7" t="n"/>
      <c r="H644" s="39" t="n"/>
      <c r="I644" s="39" t="n"/>
      <c r="J644" s="39" t="n"/>
      <c r="K644" s="39" t="n"/>
      <c r="L644" s="39" t="n"/>
      <c r="M644" s="7" t="n"/>
      <c r="N644" s="7" t="n"/>
      <c r="O644" s="40" t="n"/>
      <c r="P644" s="40" t="n"/>
      <c r="Q644" s="40" t="n"/>
      <c r="R644" s="40" t="n"/>
      <c r="S644" s="40" t="n"/>
      <c r="T644" s="40" t="n"/>
      <c r="U644" s="40" t="n"/>
      <c r="V644" s="40" t="n"/>
      <c r="W644" s="40" t="n"/>
      <c r="X644" s="40" t="n"/>
      <c r="Y644" s="40" t="n"/>
      <c r="Z644" s="40" t="n"/>
      <c r="AA644" s="39" t="n"/>
    </row>
    <row r="645">
      <c r="A645" s="7" t="n"/>
      <c r="B645" s="7" t="n"/>
      <c r="C645" s="39" t="n"/>
      <c r="D645" s="39" t="n"/>
      <c r="E645" s="7" t="n"/>
      <c r="F645" s="7" t="n"/>
      <c r="G645" s="7" t="n"/>
      <c r="H645" s="39" t="n"/>
      <c r="I645" s="39" t="n"/>
      <c r="J645" s="39" t="n"/>
      <c r="K645" s="39" t="n"/>
      <c r="L645" s="39" t="n"/>
      <c r="M645" s="7" t="n"/>
      <c r="N645" s="7" t="n"/>
      <c r="O645" s="40" t="n"/>
      <c r="P645" s="40" t="n"/>
      <c r="Q645" s="40" t="n"/>
      <c r="R645" s="40" t="n"/>
      <c r="S645" s="40" t="n"/>
      <c r="T645" s="40" t="n"/>
      <c r="U645" s="40" t="n"/>
      <c r="V645" s="40" t="n"/>
      <c r="W645" s="40" t="n"/>
      <c r="X645" s="40" t="n"/>
      <c r="Y645" s="40" t="n"/>
      <c r="Z645" s="40" t="n"/>
      <c r="AA645" s="39" t="n"/>
    </row>
    <row r="646">
      <c r="A646" s="7" t="n"/>
      <c r="B646" s="7" t="n"/>
      <c r="C646" s="39" t="n"/>
      <c r="D646" s="39" t="n"/>
      <c r="E646" s="7" t="n"/>
      <c r="F646" s="7" t="n"/>
      <c r="G646" s="7" t="n"/>
      <c r="H646" s="39" t="n"/>
      <c r="I646" s="39" t="n"/>
      <c r="J646" s="39" t="n"/>
      <c r="K646" s="39" t="n"/>
      <c r="L646" s="39" t="n"/>
      <c r="M646" s="7" t="n"/>
      <c r="N646" s="7" t="n"/>
      <c r="O646" s="40" t="n"/>
      <c r="P646" s="40" t="n"/>
      <c r="Q646" s="40" t="n"/>
      <c r="R646" s="40" t="n"/>
      <c r="S646" s="40" t="n"/>
      <c r="T646" s="40" t="n"/>
      <c r="U646" s="40" t="n"/>
      <c r="V646" s="40" t="n"/>
      <c r="W646" s="40" t="n"/>
      <c r="X646" s="40" t="n"/>
      <c r="Y646" s="40" t="n"/>
      <c r="Z646" s="40" t="n"/>
      <c r="AA646" s="39" t="n"/>
    </row>
    <row r="647">
      <c r="A647" s="7" t="n"/>
      <c r="B647" s="7" t="n"/>
      <c r="C647" s="39" t="n"/>
      <c r="D647" s="39" t="n"/>
      <c r="E647" s="7" t="n"/>
      <c r="F647" s="7" t="n"/>
      <c r="G647" s="7" t="n"/>
      <c r="H647" s="39" t="n"/>
      <c r="I647" s="39" t="n"/>
      <c r="J647" s="39" t="n"/>
      <c r="K647" s="39" t="n"/>
      <c r="L647" s="39" t="n"/>
      <c r="M647" s="7" t="n"/>
      <c r="N647" s="7" t="n"/>
      <c r="O647" s="40" t="n"/>
      <c r="P647" s="40" t="n"/>
      <c r="Q647" s="40" t="n"/>
      <c r="R647" s="40" t="n"/>
      <c r="S647" s="40" t="n"/>
      <c r="T647" s="40" t="n"/>
      <c r="U647" s="40" t="n"/>
      <c r="V647" s="40" t="n"/>
      <c r="W647" s="40" t="n"/>
      <c r="X647" s="40" t="n"/>
      <c r="Y647" s="40" t="n"/>
      <c r="Z647" s="40" t="n"/>
      <c r="AA647" s="39" t="n"/>
    </row>
    <row r="648">
      <c r="A648" s="7" t="n"/>
      <c r="B648" s="7" t="n"/>
      <c r="C648" s="39" t="n"/>
      <c r="D648" s="39" t="n"/>
      <c r="E648" s="7" t="n"/>
      <c r="F648" s="7" t="n"/>
      <c r="G648" s="7" t="n"/>
      <c r="H648" s="39" t="n"/>
      <c r="I648" s="39" t="n"/>
      <c r="J648" s="39" t="n"/>
      <c r="K648" s="39" t="n"/>
      <c r="L648" s="39" t="n"/>
      <c r="M648" s="7" t="n"/>
      <c r="N648" s="7" t="n"/>
      <c r="O648" s="40" t="n"/>
      <c r="P648" s="40" t="n"/>
      <c r="Q648" s="40" t="n"/>
      <c r="R648" s="40" t="n"/>
      <c r="S648" s="40" t="n"/>
      <c r="T648" s="40" t="n"/>
      <c r="U648" s="40" t="n"/>
      <c r="V648" s="40" t="n"/>
      <c r="W648" s="40" t="n"/>
      <c r="X648" s="40" t="n"/>
      <c r="Y648" s="40" t="n"/>
      <c r="Z648" s="40" t="n"/>
      <c r="AA648" s="39" t="n"/>
    </row>
    <row r="649">
      <c r="A649" s="7" t="n"/>
      <c r="B649" s="7" t="n"/>
      <c r="C649" s="39" t="n"/>
      <c r="D649" s="39" t="n"/>
      <c r="E649" s="7" t="n"/>
      <c r="F649" s="7" t="n"/>
      <c r="G649" s="7" t="n"/>
      <c r="H649" s="39" t="n"/>
      <c r="I649" s="39" t="n"/>
      <c r="J649" s="39" t="n"/>
      <c r="K649" s="39" t="n"/>
      <c r="L649" s="39" t="n"/>
      <c r="M649" s="7" t="n"/>
      <c r="N649" s="7" t="n"/>
      <c r="O649" s="40" t="n"/>
      <c r="P649" s="40" t="n"/>
      <c r="Q649" s="40" t="n"/>
      <c r="R649" s="40" t="n"/>
      <c r="S649" s="40" t="n"/>
      <c r="T649" s="40" t="n"/>
      <c r="U649" s="40" t="n"/>
      <c r="V649" s="40" t="n"/>
      <c r="W649" s="40" t="n"/>
      <c r="X649" s="40" t="n"/>
      <c r="Y649" s="40" t="n"/>
      <c r="Z649" s="40" t="n"/>
      <c r="AA649" s="39" t="n"/>
    </row>
    <row r="650">
      <c r="A650" s="7" t="n"/>
      <c r="B650" s="7" t="n"/>
      <c r="C650" s="39" t="n"/>
      <c r="D650" s="39" t="n"/>
      <c r="E650" s="7" t="n"/>
      <c r="F650" s="7" t="n"/>
      <c r="G650" s="7" t="n"/>
      <c r="H650" s="39" t="n"/>
      <c r="I650" s="39" t="n"/>
      <c r="J650" s="39" t="n"/>
      <c r="K650" s="39" t="n"/>
      <c r="L650" s="39" t="n"/>
      <c r="M650" s="7" t="n"/>
      <c r="N650" s="7" t="n"/>
      <c r="O650" s="40" t="n"/>
      <c r="P650" s="40" t="n"/>
      <c r="Q650" s="40" t="n"/>
      <c r="R650" s="40" t="n"/>
      <c r="S650" s="40" t="n"/>
      <c r="T650" s="40" t="n"/>
      <c r="U650" s="40" t="n"/>
      <c r="V650" s="40" t="n"/>
      <c r="W650" s="40" t="n"/>
      <c r="X650" s="40" t="n"/>
      <c r="Y650" s="40" t="n"/>
      <c r="Z650" s="40" t="n"/>
      <c r="AA650" s="39" t="n"/>
    </row>
    <row r="651">
      <c r="A651" s="7" t="n"/>
      <c r="B651" s="7" t="n"/>
      <c r="C651" s="39" t="n"/>
      <c r="D651" s="39" t="n"/>
      <c r="E651" s="7" t="n"/>
      <c r="F651" s="7" t="n"/>
      <c r="G651" s="7" t="n"/>
      <c r="H651" s="39" t="n"/>
      <c r="I651" s="39" t="n"/>
      <c r="J651" s="39" t="n"/>
      <c r="K651" s="39" t="n"/>
      <c r="L651" s="39" t="n"/>
      <c r="M651" s="7" t="n"/>
      <c r="N651" s="7" t="n"/>
      <c r="O651" s="40" t="n"/>
      <c r="P651" s="40" t="n"/>
      <c r="Q651" s="40" t="n"/>
      <c r="R651" s="40" t="n"/>
      <c r="S651" s="40" t="n"/>
      <c r="T651" s="40" t="n"/>
      <c r="U651" s="40" t="n"/>
      <c r="V651" s="40" t="n"/>
      <c r="W651" s="40" t="n"/>
      <c r="X651" s="40" t="n"/>
      <c r="Y651" s="40" t="n"/>
      <c r="Z651" s="40" t="n"/>
      <c r="AA651" s="39" t="n"/>
    </row>
    <row r="652">
      <c r="A652" s="7" t="n"/>
      <c r="B652" s="7" t="n"/>
      <c r="C652" s="39" t="n"/>
      <c r="D652" s="39" t="n"/>
      <c r="E652" s="7" t="n"/>
      <c r="F652" s="7" t="n"/>
      <c r="G652" s="7" t="n"/>
      <c r="H652" s="39" t="n"/>
      <c r="I652" s="39" t="n"/>
      <c r="J652" s="39" t="n"/>
      <c r="K652" s="39" t="n"/>
      <c r="L652" s="39" t="n"/>
      <c r="M652" s="7" t="n"/>
      <c r="N652" s="7" t="n"/>
      <c r="O652" s="40" t="n"/>
      <c r="P652" s="40" t="n"/>
      <c r="Q652" s="40" t="n"/>
      <c r="R652" s="40" t="n"/>
      <c r="S652" s="40" t="n"/>
      <c r="T652" s="40" t="n"/>
      <c r="U652" s="40" t="n"/>
      <c r="V652" s="40" t="n"/>
      <c r="W652" s="40" t="n"/>
      <c r="X652" s="40" t="n"/>
      <c r="Y652" s="40" t="n"/>
      <c r="Z652" s="40" t="n"/>
      <c r="AA652" s="39" t="n"/>
    </row>
    <row r="653">
      <c r="A653" s="7" t="n"/>
      <c r="B653" s="7" t="n"/>
      <c r="C653" s="39" t="n"/>
      <c r="D653" s="39" t="n"/>
      <c r="E653" s="7" t="n"/>
      <c r="F653" s="7" t="n"/>
      <c r="G653" s="7" t="n"/>
      <c r="H653" s="39" t="n"/>
      <c r="I653" s="39" t="n"/>
      <c r="J653" s="39" t="n"/>
      <c r="K653" s="39" t="n"/>
      <c r="L653" s="39" t="n"/>
      <c r="M653" s="7" t="n"/>
      <c r="N653" s="7" t="n"/>
      <c r="O653" s="40" t="n"/>
      <c r="P653" s="40" t="n"/>
      <c r="Q653" s="40" t="n"/>
      <c r="R653" s="40" t="n"/>
      <c r="S653" s="40" t="n"/>
      <c r="T653" s="40" t="n"/>
      <c r="U653" s="40" t="n"/>
      <c r="V653" s="40" t="n"/>
      <c r="W653" s="40" t="n"/>
      <c r="X653" s="40" t="n"/>
      <c r="Y653" s="40" t="n"/>
      <c r="Z653" s="40" t="n"/>
      <c r="AA653" s="39" t="n"/>
    </row>
    <row r="654">
      <c r="A654" s="7" t="n"/>
      <c r="B654" s="7" t="n"/>
      <c r="C654" s="39" t="n"/>
      <c r="D654" s="39" t="n"/>
      <c r="E654" s="7" t="n"/>
      <c r="F654" s="7" t="n"/>
      <c r="G654" s="7" t="n"/>
      <c r="H654" s="39" t="n"/>
      <c r="I654" s="39" t="n"/>
      <c r="J654" s="39" t="n"/>
      <c r="K654" s="39" t="n"/>
      <c r="L654" s="39" t="n"/>
      <c r="M654" s="7" t="n"/>
      <c r="N654" s="7" t="n"/>
      <c r="O654" s="40" t="n"/>
      <c r="P654" s="40" t="n"/>
      <c r="Q654" s="40" t="n"/>
      <c r="R654" s="40" t="n"/>
      <c r="S654" s="40" t="n"/>
      <c r="T654" s="40" t="n"/>
      <c r="U654" s="40" t="n"/>
      <c r="V654" s="40" t="n"/>
      <c r="W654" s="40" t="n"/>
      <c r="X654" s="40" t="n"/>
      <c r="Y654" s="40" t="n"/>
      <c r="Z654" s="40" t="n"/>
      <c r="AA654" s="39" t="n"/>
    </row>
    <row r="655">
      <c r="A655" s="7" t="n"/>
      <c r="B655" s="7" t="n"/>
      <c r="C655" s="39" t="n"/>
      <c r="D655" s="39" t="n"/>
      <c r="E655" s="7" t="n"/>
      <c r="F655" s="7" t="n"/>
      <c r="G655" s="7" t="n"/>
      <c r="H655" s="39" t="n"/>
      <c r="I655" s="39" t="n"/>
      <c r="J655" s="39" t="n"/>
      <c r="K655" s="39" t="n"/>
      <c r="L655" s="39" t="n"/>
      <c r="M655" s="7" t="n"/>
      <c r="N655" s="7" t="n"/>
      <c r="O655" s="40" t="n"/>
      <c r="P655" s="40" t="n"/>
      <c r="Q655" s="40" t="n"/>
      <c r="R655" s="40" t="n"/>
      <c r="S655" s="40" t="n"/>
      <c r="T655" s="40" t="n"/>
      <c r="U655" s="40" t="n"/>
      <c r="V655" s="40" t="n"/>
      <c r="W655" s="40" t="n"/>
      <c r="X655" s="40" t="n"/>
      <c r="Y655" s="40" t="n"/>
      <c r="Z655" s="40" t="n"/>
      <c r="AA655" s="39" t="n"/>
    </row>
    <row r="656">
      <c r="A656" s="7" t="n"/>
      <c r="B656" s="7" t="n"/>
      <c r="C656" s="39" t="n"/>
      <c r="D656" s="39" t="n"/>
      <c r="E656" s="7" t="n"/>
      <c r="F656" s="7" t="n"/>
      <c r="G656" s="7" t="n"/>
      <c r="H656" s="39" t="n"/>
      <c r="I656" s="39" t="n"/>
      <c r="J656" s="39" t="n"/>
      <c r="K656" s="39" t="n"/>
      <c r="L656" s="39" t="n"/>
      <c r="M656" s="7" t="n"/>
      <c r="N656" s="7" t="n"/>
      <c r="O656" s="40" t="n"/>
      <c r="P656" s="40" t="n"/>
      <c r="Q656" s="40" t="n"/>
      <c r="R656" s="40" t="n"/>
      <c r="S656" s="40" t="n"/>
      <c r="T656" s="40" t="n"/>
      <c r="U656" s="40" t="n"/>
      <c r="V656" s="40" t="n"/>
      <c r="W656" s="40" t="n"/>
      <c r="X656" s="40" t="n"/>
      <c r="Y656" s="40" t="n"/>
      <c r="Z656" s="40" t="n"/>
      <c r="AA656" s="39" t="n"/>
    </row>
    <row r="657">
      <c r="A657" s="7" t="n"/>
      <c r="B657" s="7" t="n"/>
      <c r="C657" s="39" t="n"/>
      <c r="D657" s="39" t="n"/>
      <c r="E657" s="7" t="n"/>
      <c r="F657" s="7" t="n"/>
      <c r="G657" s="7" t="n"/>
      <c r="H657" s="39" t="n"/>
      <c r="I657" s="39" t="n"/>
      <c r="J657" s="39" t="n"/>
      <c r="K657" s="39" t="n"/>
      <c r="L657" s="39" t="n"/>
      <c r="M657" s="7" t="n"/>
      <c r="N657" s="7" t="n"/>
      <c r="O657" s="40" t="n"/>
      <c r="P657" s="40" t="n"/>
      <c r="Q657" s="40" t="n"/>
      <c r="R657" s="40" t="n"/>
      <c r="S657" s="40" t="n"/>
      <c r="T657" s="40" t="n"/>
      <c r="U657" s="40" t="n"/>
      <c r="V657" s="40" t="n"/>
      <c r="W657" s="40" t="n"/>
      <c r="X657" s="40" t="n"/>
      <c r="Y657" s="40" t="n"/>
      <c r="Z657" s="40" t="n"/>
      <c r="AA657" s="39" t="n"/>
    </row>
    <row r="658">
      <c r="A658" s="7" t="n"/>
      <c r="B658" s="7" t="n"/>
      <c r="C658" s="39" t="n"/>
      <c r="D658" s="39" t="n"/>
      <c r="E658" s="7" t="n"/>
      <c r="F658" s="7" t="n"/>
      <c r="G658" s="7" t="n"/>
      <c r="H658" s="39" t="n"/>
      <c r="I658" s="39" t="n"/>
      <c r="J658" s="39" t="n"/>
      <c r="K658" s="39" t="n"/>
      <c r="L658" s="39" t="n"/>
      <c r="M658" s="7" t="n"/>
      <c r="N658" s="7" t="n"/>
      <c r="O658" s="40" t="n"/>
      <c r="P658" s="40" t="n"/>
      <c r="Q658" s="40" t="n"/>
      <c r="R658" s="40" t="n"/>
      <c r="S658" s="40" t="n"/>
      <c r="T658" s="40" t="n"/>
      <c r="U658" s="40" t="n"/>
      <c r="V658" s="40" t="n"/>
      <c r="W658" s="40" t="n"/>
      <c r="X658" s="40" t="n"/>
      <c r="Y658" s="40" t="n"/>
      <c r="Z658" s="40" t="n"/>
      <c r="AA658" s="39" t="n"/>
    </row>
    <row r="659">
      <c r="A659" s="7" t="n"/>
      <c r="B659" s="7" t="n"/>
      <c r="C659" s="39" t="n"/>
      <c r="D659" s="39" t="n"/>
      <c r="E659" s="7" t="n"/>
      <c r="F659" s="7" t="n"/>
      <c r="G659" s="7" t="n"/>
      <c r="H659" s="39" t="n"/>
      <c r="I659" s="39" t="n"/>
      <c r="J659" s="39" t="n"/>
      <c r="K659" s="39" t="n"/>
      <c r="L659" s="39" t="n"/>
      <c r="M659" s="7" t="n"/>
      <c r="N659" s="7" t="n"/>
      <c r="O659" s="40" t="n"/>
      <c r="P659" s="40" t="n"/>
      <c r="Q659" s="40" t="n"/>
      <c r="R659" s="40" t="n"/>
      <c r="S659" s="40" t="n"/>
      <c r="T659" s="40" t="n"/>
      <c r="U659" s="40" t="n"/>
      <c r="V659" s="40" t="n"/>
      <c r="W659" s="40" t="n"/>
      <c r="X659" s="40" t="n"/>
      <c r="Y659" s="40" t="n"/>
      <c r="Z659" s="40" t="n"/>
      <c r="AA659" s="39" t="n"/>
    </row>
    <row r="660">
      <c r="A660" s="7" t="n"/>
      <c r="B660" s="7" t="n"/>
      <c r="C660" s="39" t="n"/>
      <c r="D660" s="39" t="n"/>
      <c r="E660" s="7" t="n"/>
      <c r="F660" s="7" t="n"/>
      <c r="G660" s="7" t="n"/>
      <c r="H660" s="39" t="n"/>
      <c r="I660" s="39" t="n"/>
      <c r="J660" s="39" t="n"/>
      <c r="K660" s="39" t="n"/>
      <c r="L660" s="39" t="n"/>
      <c r="M660" s="7" t="n"/>
      <c r="N660" s="7" t="n"/>
      <c r="O660" s="40" t="n"/>
      <c r="P660" s="40" t="n"/>
      <c r="Q660" s="40" t="n"/>
      <c r="R660" s="40" t="n"/>
      <c r="S660" s="40" t="n"/>
      <c r="T660" s="40" t="n"/>
      <c r="U660" s="40" t="n"/>
      <c r="V660" s="40" t="n"/>
      <c r="W660" s="40" t="n"/>
      <c r="X660" s="40" t="n"/>
      <c r="Y660" s="40" t="n"/>
      <c r="Z660" s="40" t="n"/>
      <c r="AA660" s="39" t="n"/>
    </row>
    <row r="661">
      <c r="A661" s="7" t="n"/>
      <c r="B661" s="7" t="n"/>
      <c r="C661" s="39" t="n"/>
      <c r="D661" s="39" t="n"/>
      <c r="E661" s="7" t="n"/>
      <c r="F661" s="7" t="n"/>
      <c r="G661" s="7" t="n"/>
      <c r="H661" s="39" t="n"/>
      <c r="I661" s="39" t="n"/>
      <c r="J661" s="39" t="n"/>
      <c r="K661" s="39" t="n"/>
      <c r="L661" s="39" t="n"/>
      <c r="M661" s="7" t="n"/>
      <c r="N661" s="7" t="n"/>
      <c r="O661" s="40" t="n"/>
      <c r="P661" s="40" t="n"/>
      <c r="Q661" s="40" t="n"/>
      <c r="R661" s="40" t="n"/>
      <c r="S661" s="40" t="n"/>
      <c r="T661" s="40" t="n"/>
      <c r="U661" s="40" t="n"/>
      <c r="V661" s="40" t="n"/>
      <c r="W661" s="40" t="n"/>
      <c r="X661" s="40" t="n"/>
      <c r="Y661" s="40" t="n"/>
      <c r="Z661" s="40" t="n"/>
      <c r="AA661" s="39" t="n"/>
    </row>
    <row r="662">
      <c r="A662" s="7" t="n"/>
      <c r="B662" s="7" t="n"/>
      <c r="C662" s="39" t="n"/>
      <c r="D662" s="39" t="n"/>
      <c r="E662" s="7" t="n"/>
      <c r="F662" s="7" t="n"/>
      <c r="G662" s="7" t="n"/>
      <c r="H662" s="39" t="n"/>
      <c r="I662" s="39" t="n"/>
      <c r="J662" s="39" t="n"/>
      <c r="K662" s="39" t="n"/>
      <c r="L662" s="39" t="n"/>
      <c r="M662" s="7" t="n"/>
      <c r="N662" s="7" t="n"/>
      <c r="O662" s="40" t="n"/>
      <c r="P662" s="40" t="n"/>
      <c r="Q662" s="40" t="n"/>
      <c r="R662" s="40" t="n"/>
      <c r="S662" s="40" t="n"/>
      <c r="T662" s="40" t="n"/>
      <c r="U662" s="40" t="n"/>
      <c r="V662" s="40" t="n"/>
      <c r="W662" s="40" t="n"/>
      <c r="X662" s="40" t="n"/>
      <c r="Y662" s="40" t="n"/>
      <c r="Z662" s="40" t="n"/>
      <c r="AA662" s="39" t="n"/>
    </row>
    <row r="663">
      <c r="A663" s="7" t="n"/>
      <c r="B663" s="7" t="n"/>
      <c r="C663" s="39" t="n"/>
      <c r="D663" s="39" t="n"/>
      <c r="E663" s="7" t="n"/>
      <c r="F663" s="7" t="n"/>
      <c r="G663" s="7" t="n"/>
      <c r="H663" s="39" t="n"/>
      <c r="I663" s="39" t="n"/>
      <c r="J663" s="39" t="n"/>
      <c r="K663" s="39" t="n"/>
      <c r="L663" s="39" t="n"/>
      <c r="M663" s="7" t="n"/>
      <c r="N663" s="7" t="n"/>
      <c r="O663" s="40" t="n"/>
      <c r="P663" s="40" t="n"/>
      <c r="Q663" s="40" t="n"/>
      <c r="R663" s="40" t="n"/>
      <c r="S663" s="40" t="n"/>
      <c r="T663" s="40" t="n"/>
      <c r="U663" s="40" t="n"/>
      <c r="V663" s="40" t="n"/>
      <c r="W663" s="40" t="n"/>
      <c r="X663" s="40" t="n"/>
      <c r="Y663" s="40" t="n"/>
      <c r="Z663" s="40" t="n"/>
      <c r="AA663" s="39" t="n"/>
    </row>
    <row r="664">
      <c r="A664" s="7" t="n"/>
      <c r="B664" s="7" t="n"/>
      <c r="C664" s="39" t="n"/>
      <c r="D664" s="39" t="n"/>
      <c r="E664" s="7" t="n"/>
      <c r="F664" s="7" t="n"/>
      <c r="G664" s="7" t="n"/>
      <c r="H664" s="39" t="n"/>
      <c r="I664" s="39" t="n"/>
      <c r="J664" s="39" t="n"/>
      <c r="K664" s="39" t="n"/>
      <c r="L664" s="39" t="n"/>
      <c r="M664" s="7" t="n"/>
      <c r="N664" s="7" t="n"/>
      <c r="O664" s="40" t="n"/>
      <c r="P664" s="40" t="n"/>
      <c r="Q664" s="40" t="n"/>
      <c r="R664" s="40" t="n"/>
      <c r="S664" s="40" t="n"/>
      <c r="T664" s="40" t="n"/>
      <c r="U664" s="40" t="n"/>
      <c r="V664" s="40" t="n"/>
      <c r="W664" s="40" t="n"/>
      <c r="X664" s="40" t="n"/>
      <c r="Y664" s="40" t="n"/>
      <c r="Z664" s="40" t="n"/>
      <c r="AA664" s="39" t="n"/>
    </row>
    <row r="665">
      <c r="A665" s="7" t="n"/>
      <c r="B665" s="7" t="n"/>
      <c r="C665" s="39" t="n"/>
      <c r="D665" s="39" t="n"/>
      <c r="E665" s="7" t="n"/>
      <c r="F665" s="7" t="n"/>
      <c r="G665" s="7" t="n"/>
      <c r="H665" s="39" t="n"/>
      <c r="I665" s="39" t="n"/>
      <c r="J665" s="39" t="n"/>
      <c r="K665" s="39" t="n"/>
      <c r="L665" s="39" t="n"/>
      <c r="M665" s="7" t="n"/>
      <c r="N665" s="7" t="n"/>
      <c r="O665" s="40" t="n"/>
      <c r="P665" s="40" t="n"/>
      <c r="Q665" s="40" t="n"/>
      <c r="R665" s="40" t="n"/>
      <c r="S665" s="40" t="n"/>
      <c r="T665" s="40" t="n"/>
      <c r="U665" s="40" t="n"/>
      <c r="V665" s="40" t="n"/>
      <c r="W665" s="40" t="n"/>
      <c r="X665" s="40" t="n"/>
      <c r="Y665" s="40" t="n"/>
      <c r="Z665" s="40" t="n"/>
      <c r="AA665" s="39" t="n"/>
    </row>
    <row r="666">
      <c r="A666" s="7" t="n"/>
      <c r="B666" s="7" t="n"/>
      <c r="C666" s="39" t="n"/>
      <c r="D666" s="39" t="n"/>
      <c r="E666" s="7" t="n"/>
      <c r="F666" s="7" t="n"/>
      <c r="G666" s="7" t="n"/>
      <c r="H666" s="39" t="n"/>
      <c r="I666" s="39" t="n"/>
      <c r="J666" s="39" t="n"/>
      <c r="K666" s="39" t="n"/>
      <c r="L666" s="39" t="n"/>
      <c r="M666" s="7" t="n"/>
      <c r="N666" s="7" t="n"/>
      <c r="O666" s="40" t="n"/>
      <c r="P666" s="40" t="n"/>
      <c r="Q666" s="40" t="n"/>
      <c r="R666" s="40" t="n"/>
      <c r="S666" s="40" t="n"/>
      <c r="T666" s="40" t="n"/>
      <c r="U666" s="40" t="n"/>
      <c r="V666" s="40" t="n"/>
      <c r="W666" s="40" t="n"/>
      <c r="X666" s="40" t="n"/>
      <c r="Y666" s="40" t="n"/>
      <c r="Z666" s="40" t="n"/>
      <c r="AA666" s="39" t="n"/>
    </row>
    <row r="667">
      <c r="A667" s="7" t="n"/>
      <c r="B667" s="7" t="n"/>
      <c r="C667" s="39" t="n"/>
      <c r="D667" s="39" t="n"/>
      <c r="E667" s="7" t="n"/>
      <c r="F667" s="7" t="n"/>
      <c r="G667" s="7" t="n"/>
      <c r="H667" s="39" t="n"/>
      <c r="I667" s="39" t="n"/>
      <c r="J667" s="39" t="n"/>
      <c r="K667" s="39" t="n"/>
      <c r="L667" s="39" t="n"/>
      <c r="M667" s="7" t="n"/>
      <c r="N667" s="7" t="n"/>
      <c r="O667" s="40" t="n"/>
      <c r="P667" s="40" t="n"/>
      <c r="Q667" s="40" t="n"/>
      <c r="R667" s="40" t="n"/>
      <c r="S667" s="40" t="n"/>
      <c r="T667" s="40" t="n"/>
      <c r="U667" s="40" t="n"/>
      <c r="V667" s="40" t="n"/>
      <c r="W667" s="40" t="n"/>
      <c r="X667" s="40" t="n"/>
      <c r="Y667" s="40" t="n"/>
      <c r="Z667" s="40" t="n"/>
      <c r="AA667" s="39" t="n"/>
    </row>
    <row r="668">
      <c r="A668" s="7" t="n"/>
      <c r="B668" s="7" t="n"/>
      <c r="C668" s="39" t="n"/>
      <c r="D668" s="39" t="n"/>
      <c r="E668" s="7" t="n"/>
      <c r="F668" s="7" t="n"/>
      <c r="G668" s="7" t="n"/>
      <c r="H668" s="39" t="n"/>
      <c r="I668" s="39" t="n"/>
      <c r="J668" s="39" t="n"/>
      <c r="K668" s="39" t="n"/>
      <c r="L668" s="39" t="n"/>
      <c r="M668" s="7" t="n"/>
      <c r="N668" s="7" t="n"/>
      <c r="O668" s="40" t="n"/>
      <c r="P668" s="40" t="n"/>
      <c r="Q668" s="40" t="n"/>
      <c r="R668" s="40" t="n"/>
      <c r="S668" s="40" t="n"/>
      <c r="T668" s="40" t="n"/>
      <c r="U668" s="40" t="n"/>
      <c r="V668" s="40" t="n"/>
      <c r="W668" s="40" t="n"/>
      <c r="X668" s="40" t="n"/>
      <c r="Y668" s="40" t="n"/>
      <c r="Z668" s="40" t="n"/>
      <c r="AA668" s="39" t="n"/>
    </row>
    <row r="669">
      <c r="A669" s="7" t="n"/>
      <c r="B669" s="7" t="n"/>
      <c r="C669" s="39" t="n"/>
      <c r="D669" s="39" t="n"/>
      <c r="E669" s="7" t="n"/>
      <c r="F669" s="7" t="n"/>
      <c r="G669" s="7" t="n"/>
      <c r="H669" s="39" t="n"/>
      <c r="I669" s="39" t="n"/>
      <c r="J669" s="39" t="n"/>
      <c r="K669" s="39" t="n"/>
      <c r="L669" s="39" t="n"/>
      <c r="M669" s="7" t="n"/>
      <c r="N669" s="7" t="n"/>
      <c r="O669" s="40" t="n"/>
      <c r="P669" s="40" t="n"/>
      <c r="Q669" s="40" t="n"/>
      <c r="R669" s="40" t="n"/>
      <c r="S669" s="40" t="n"/>
      <c r="T669" s="40" t="n"/>
      <c r="U669" s="40" t="n"/>
      <c r="V669" s="40" t="n"/>
      <c r="W669" s="40" t="n"/>
      <c r="X669" s="40" t="n"/>
      <c r="Y669" s="40" t="n"/>
      <c r="Z669" s="40" t="n"/>
      <c r="AA669" s="39" t="n"/>
    </row>
    <row r="670">
      <c r="A670" s="7" t="n"/>
      <c r="B670" s="7" t="n"/>
      <c r="C670" s="39" t="n"/>
      <c r="D670" s="39" t="n"/>
      <c r="E670" s="7" t="n"/>
      <c r="F670" s="7" t="n"/>
      <c r="G670" s="7" t="n"/>
      <c r="H670" s="39" t="n"/>
      <c r="I670" s="39" t="n"/>
      <c r="J670" s="39" t="n"/>
      <c r="K670" s="39" t="n"/>
      <c r="L670" s="39" t="n"/>
      <c r="M670" s="7" t="n"/>
      <c r="N670" s="7" t="n"/>
      <c r="O670" s="40" t="n"/>
      <c r="P670" s="40" t="n"/>
      <c r="Q670" s="40" t="n"/>
      <c r="R670" s="40" t="n"/>
      <c r="S670" s="40" t="n"/>
      <c r="T670" s="40" t="n"/>
      <c r="U670" s="40" t="n"/>
      <c r="V670" s="40" t="n"/>
      <c r="W670" s="40" t="n"/>
      <c r="X670" s="40" t="n"/>
      <c r="Y670" s="40" t="n"/>
      <c r="Z670" s="40" t="n"/>
      <c r="AA670" s="39" t="n"/>
    </row>
    <row r="671">
      <c r="A671" s="7" t="n"/>
      <c r="B671" s="7" t="n"/>
      <c r="C671" s="39" t="n"/>
      <c r="D671" s="39" t="n"/>
      <c r="E671" s="7" t="n"/>
      <c r="F671" s="7" t="n"/>
      <c r="G671" s="7" t="n"/>
      <c r="H671" s="39" t="n"/>
      <c r="I671" s="39" t="n"/>
      <c r="J671" s="39" t="n"/>
      <c r="K671" s="39" t="n"/>
      <c r="L671" s="39" t="n"/>
      <c r="M671" s="7" t="n"/>
      <c r="N671" s="7" t="n"/>
      <c r="O671" s="40" t="n"/>
      <c r="P671" s="40" t="n"/>
      <c r="Q671" s="40" t="n"/>
      <c r="R671" s="40" t="n"/>
      <c r="S671" s="40" t="n"/>
      <c r="T671" s="40" t="n"/>
      <c r="U671" s="40" t="n"/>
      <c r="V671" s="40" t="n"/>
      <c r="W671" s="40" t="n"/>
      <c r="X671" s="40" t="n"/>
      <c r="Y671" s="40" t="n"/>
      <c r="Z671" s="40" t="n"/>
      <c r="AA671" s="39" t="n"/>
    </row>
    <row r="672">
      <c r="A672" s="7" t="n"/>
      <c r="B672" s="7" t="n"/>
      <c r="C672" s="39" t="n"/>
      <c r="D672" s="39" t="n"/>
      <c r="E672" s="7" t="n"/>
      <c r="F672" s="7" t="n"/>
      <c r="G672" s="7" t="n"/>
      <c r="H672" s="39" t="n"/>
      <c r="I672" s="39" t="n"/>
      <c r="J672" s="39" t="n"/>
      <c r="K672" s="39" t="n"/>
      <c r="L672" s="39" t="n"/>
      <c r="M672" s="7" t="n"/>
      <c r="N672" s="7" t="n"/>
      <c r="O672" s="40" t="n"/>
      <c r="P672" s="40" t="n"/>
      <c r="Q672" s="40" t="n"/>
      <c r="R672" s="40" t="n"/>
      <c r="S672" s="40" t="n"/>
      <c r="T672" s="40" t="n"/>
      <c r="U672" s="40" t="n"/>
      <c r="V672" s="40" t="n"/>
      <c r="W672" s="40" t="n"/>
      <c r="X672" s="40" t="n"/>
      <c r="Y672" s="40" t="n"/>
      <c r="Z672" s="40" t="n"/>
      <c r="AA672" s="39" t="n"/>
    </row>
    <row r="673">
      <c r="A673" s="7" t="n"/>
      <c r="B673" s="7" t="n"/>
      <c r="C673" s="39" t="n"/>
      <c r="D673" s="39" t="n"/>
      <c r="E673" s="7" t="n"/>
      <c r="F673" s="7" t="n"/>
      <c r="G673" s="7" t="n"/>
      <c r="H673" s="39" t="n"/>
      <c r="I673" s="39" t="n"/>
      <c r="J673" s="39" t="n"/>
      <c r="K673" s="39" t="n"/>
      <c r="L673" s="39" t="n"/>
      <c r="M673" s="7" t="n"/>
      <c r="N673" s="7" t="n"/>
      <c r="O673" s="40" t="n"/>
      <c r="P673" s="40" t="n"/>
      <c r="Q673" s="40" t="n"/>
      <c r="R673" s="40" t="n"/>
      <c r="S673" s="40" t="n"/>
      <c r="T673" s="40" t="n"/>
      <c r="U673" s="40" t="n"/>
      <c r="V673" s="40" t="n"/>
      <c r="W673" s="40" t="n"/>
      <c r="X673" s="40" t="n"/>
      <c r="Y673" s="40" t="n"/>
      <c r="Z673" s="40" t="n"/>
      <c r="AA673" s="39" t="n"/>
    </row>
    <row r="674">
      <c r="A674" s="7" t="n"/>
      <c r="B674" s="7" t="n"/>
      <c r="C674" s="39" t="n"/>
      <c r="D674" s="39" t="n"/>
      <c r="E674" s="7" t="n"/>
      <c r="F674" s="7" t="n"/>
      <c r="G674" s="7" t="n"/>
      <c r="H674" s="39" t="n"/>
      <c r="I674" s="39" t="n"/>
      <c r="J674" s="39" t="n"/>
      <c r="K674" s="39" t="n"/>
      <c r="L674" s="39" t="n"/>
      <c r="M674" s="7" t="n"/>
      <c r="N674" s="7" t="n"/>
      <c r="O674" s="40" t="n"/>
      <c r="P674" s="40" t="n"/>
      <c r="Q674" s="40" t="n"/>
      <c r="R674" s="40" t="n"/>
      <c r="S674" s="40" t="n"/>
      <c r="T674" s="40" t="n"/>
      <c r="U674" s="40" t="n"/>
      <c r="V674" s="40" t="n"/>
      <c r="W674" s="40" t="n"/>
      <c r="X674" s="40" t="n"/>
      <c r="Y674" s="40" t="n"/>
      <c r="Z674" s="40" t="n"/>
      <c r="AA674" s="39" t="n"/>
    </row>
    <row r="675">
      <c r="A675" s="7" t="n"/>
      <c r="B675" s="7" t="n"/>
      <c r="C675" s="39" t="n"/>
      <c r="D675" s="39" t="n"/>
      <c r="E675" s="7" t="n"/>
      <c r="F675" s="7" t="n"/>
      <c r="G675" s="7" t="n"/>
      <c r="H675" s="39" t="n"/>
      <c r="I675" s="39" t="n"/>
      <c r="J675" s="39" t="n"/>
      <c r="K675" s="39" t="n"/>
      <c r="L675" s="39" t="n"/>
      <c r="M675" s="7" t="n"/>
      <c r="N675" s="7" t="n"/>
      <c r="O675" s="40" t="n"/>
      <c r="P675" s="40" t="n"/>
      <c r="Q675" s="40" t="n"/>
      <c r="R675" s="40" t="n"/>
      <c r="S675" s="40" t="n"/>
      <c r="T675" s="40" t="n"/>
      <c r="U675" s="40" t="n"/>
      <c r="V675" s="40" t="n"/>
      <c r="W675" s="40" t="n"/>
      <c r="X675" s="40" t="n"/>
      <c r="Y675" s="40" t="n"/>
      <c r="Z675" s="40" t="n"/>
      <c r="AA675" s="39" t="n"/>
    </row>
    <row r="676">
      <c r="A676" s="7" t="n"/>
      <c r="B676" s="7" t="n"/>
      <c r="C676" s="39" t="n"/>
      <c r="D676" s="39" t="n"/>
      <c r="E676" s="7" t="n"/>
      <c r="F676" s="7" t="n"/>
      <c r="G676" s="7" t="n"/>
      <c r="H676" s="39" t="n"/>
      <c r="I676" s="39" t="n"/>
      <c r="J676" s="39" t="n"/>
      <c r="K676" s="39" t="n"/>
      <c r="L676" s="39" t="n"/>
      <c r="M676" s="7" t="n"/>
      <c r="N676" s="7" t="n"/>
      <c r="O676" s="40" t="n"/>
      <c r="P676" s="40" t="n"/>
      <c r="Q676" s="40" t="n"/>
      <c r="R676" s="40" t="n"/>
      <c r="S676" s="40" t="n"/>
      <c r="T676" s="40" t="n"/>
      <c r="U676" s="40" t="n"/>
      <c r="V676" s="40" t="n"/>
      <c r="W676" s="40" t="n"/>
      <c r="X676" s="40" t="n"/>
      <c r="Y676" s="40" t="n"/>
      <c r="Z676" s="40" t="n"/>
      <c r="AA676" s="39" t="n"/>
    </row>
    <row r="677">
      <c r="A677" s="7" t="n"/>
      <c r="B677" s="7" t="n"/>
      <c r="C677" s="39" t="n"/>
      <c r="D677" s="39" t="n"/>
      <c r="E677" s="7" t="n"/>
      <c r="F677" s="7" t="n"/>
      <c r="G677" s="7" t="n"/>
      <c r="H677" s="39" t="n"/>
      <c r="I677" s="39" t="n"/>
      <c r="J677" s="39" t="n"/>
      <c r="K677" s="39" t="n"/>
      <c r="L677" s="39" t="n"/>
      <c r="M677" s="7" t="n"/>
      <c r="N677" s="7" t="n"/>
      <c r="O677" s="40" t="n"/>
      <c r="P677" s="40" t="n"/>
      <c r="Q677" s="40" t="n"/>
      <c r="R677" s="40" t="n"/>
      <c r="S677" s="40" t="n"/>
      <c r="T677" s="40" t="n"/>
      <c r="U677" s="40" t="n"/>
      <c r="V677" s="40" t="n"/>
      <c r="W677" s="40" t="n"/>
      <c r="X677" s="40" t="n"/>
      <c r="Y677" s="40" t="n"/>
      <c r="Z677" s="40" t="n"/>
      <c r="AA677" s="39" t="n"/>
    </row>
    <row r="678">
      <c r="A678" s="7" t="n"/>
      <c r="B678" s="7" t="n"/>
      <c r="C678" s="39" t="n"/>
      <c r="D678" s="39" t="n"/>
      <c r="E678" s="7" t="n"/>
      <c r="F678" s="7" t="n"/>
      <c r="G678" s="7" t="n"/>
      <c r="H678" s="39" t="n"/>
      <c r="I678" s="39" t="n"/>
      <c r="J678" s="39" t="n"/>
      <c r="K678" s="39" t="n"/>
      <c r="L678" s="39" t="n"/>
      <c r="M678" s="7" t="n"/>
      <c r="N678" s="7" t="n"/>
      <c r="O678" s="40" t="n"/>
      <c r="P678" s="40" t="n"/>
      <c r="Q678" s="40" t="n"/>
      <c r="R678" s="40" t="n"/>
      <c r="S678" s="40" t="n"/>
      <c r="T678" s="40" t="n"/>
      <c r="U678" s="40" t="n"/>
      <c r="V678" s="40" t="n"/>
      <c r="W678" s="40" t="n"/>
      <c r="X678" s="40" t="n"/>
      <c r="Y678" s="40" t="n"/>
      <c r="Z678" s="40" t="n"/>
      <c r="AA678" s="39" t="n"/>
    </row>
    <row r="679">
      <c r="A679" s="7" t="n"/>
      <c r="B679" s="7" t="n"/>
      <c r="C679" s="39" t="n"/>
      <c r="D679" s="39" t="n"/>
      <c r="E679" s="7" t="n"/>
      <c r="F679" s="7" t="n"/>
      <c r="G679" s="7" t="n"/>
      <c r="H679" s="39" t="n"/>
      <c r="I679" s="39" t="n"/>
      <c r="J679" s="39" t="n"/>
      <c r="K679" s="39" t="n"/>
      <c r="L679" s="39" t="n"/>
      <c r="M679" s="7" t="n"/>
      <c r="N679" s="7" t="n"/>
      <c r="O679" s="40" t="n"/>
      <c r="P679" s="40" t="n"/>
      <c r="Q679" s="40" t="n"/>
      <c r="R679" s="40" t="n"/>
      <c r="S679" s="40" t="n"/>
      <c r="T679" s="40" t="n"/>
      <c r="U679" s="40" t="n"/>
      <c r="V679" s="40" t="n"/>
      <c r="W679" s="40" t="n"/>
      <c r="X679" s="40" t="n"/>
      <c r="Y679" s="40" t="n"/>
      <c r="Z679" s="40" t="n"/>
      <c r="AA679" s="39" t="n"/>
    </row>
    <row r="680">
      <c r="A680" s="7" t="n"/>
      <c r="B680" s="7" t="n"/>
      <c r="C680" s="39" t="n"/>
      <c r="D680" s="39" t="n"/>
      <c r="E680" s="7" t="n"/>
      <c r="F680" s="7" t="n"/>
      <c r="G680" s="7" t="n"/>
      <c r="H680" s="39" t="n"/>
      <c r="I680" s="39" t="n"/>
      <c r="J680" s="39" t="n"/>
      <c r="K680" s="39" t="n"/>
      <c r="L680" s="39" t="n"/>
      <c r="M680" s="7" t="n"/>
      <c r="N680" s="7" t="n"/>
      <c r="O680" s="40" t="n"/>
      <c r="P680" s="40" t="n"/>
      <c r="Q680" s="40" t="n"/>
      <c r="R680" s="40" t="n"/>
      <c r="S680" s="40" t="n"/>
      <c r="T680" s="40" t="n"/>
      <c r="U680" s="40" t="n"/>
      <c r="V680" s="40" t="n"/>
      <c r="W680" s="40" t="n"/>
      <c r="X680" s="40" t="n"/>
      <c r="Y680" s="40" t="n"/>
      <c r="Z680" s="40" t="n"/>
      <c r="AA680" s="39" t="n"/>
    </row>
    <row r="681">
      <c r="A681" s="7" t="n"/>
      <c r="B681" s="7" t="n"/>
      <c r="C681" s="39" t="n"/>
      <c r="D681" s="39" t="n"/>
      <c r="E681" s="7" t="n"/>
      <c r="F681" s="7" t="n"/>
      <c r="G681" s="7" t="n"/>
      <c r="H681" s="39" t="n"/>
      <c r="I681" s="39" t="n"/>
      <c r="J681" s="39" t="n"/>
      <c r="K681" s="39" t="n"/>
      <c r="L681" s="39" t="n"/>
      <c r="M681" s="7" t="n"/>
      <c r="N681" s="7" t="n"/>
      <c r="O681" s="40" t="n"/>
      <c r="P681" s="40" t="n"/>
      <c r="Q681" s="40" t="n"/>
      <c r="R681" s="40" t="n"/>
      <c r="S681" s="40" t="n"/>
      <c r="T681" s="40" t="n"/>
      <c r="U681" s="40" t="n"/>
      <c r="V681" s="40" t="n"/>
      <c r="W681" s="40" t="n"/>
      <c r="X681" s="40" t="n"/>
      <c r="Y681" s="40" t="n"/>
      <c r="Z681" s="40" t="n"/>
      <c r="AA681" s="39" t="n"/>
    </row>
    <row r="682">
      <c r="A682" s="7" t="n"/>
      <c r="B682" s="7" t="n"/>
      <c r="C682" s="39" t="n"/>
      <c r="D682" s="39" t="n"/>
      <c r="E682" s="7" t="n"/>
      <c r="F682" s="7" t="n"/>
      <c r="G682" s="7" t="n"/>
      <c r="H682" s="39" t="n"/>
      <c r="I682" s="39" t="n"/>
      <c r="J682" s="39" t="n"/>
      <c r="K682" s="39" t="n"/>
      <c r="L682" s="39" t="n"/>
      <c r="M682" s="7" t="n"/>
      <c r="N682" s="7" t="n"/>
      <c r="O682" s="40" t="n"/>
      <c r="P682" s="40" t="n"/>
      <c r="Q682" s="40" t="n"/>
      <c r="R682" s="40" t="n"/>
      <c r="S682" s="40" t="n"/>
      <c r="T682" s="40" t="n"/>
      <c r="U682" s="40" t="n"/>
      <c r="V682" s="40" t="n"/>
      <c r="W682" s="40" t="n"/>
      <c r="X682" s="40" t="n"/>
      <c r="Y682" s="40" t="n"/>
      <c r="Z682" s="40" t="n"/>
      <c r="AA682" s="39" t="n"/>
    </row>
    <row r="683">
      <c r="A683" s="7" t="n"/>
      <c r="B683" s="7" t="n"/>
      <c r="C683" s="39" t="n"/>
      <c r="D683" s="39" t="n"/>
      <c r="E683" s="7" t="n"/>
      <c r="F683" s="7" t="n"/>
      <c r="G683" s="7" t="n"/>
      <c r="H683" s="39" t="n"/>
      <c r="I683" s="39" t="n"/>
      <c r="J683" s="39" t="n"/>
      <c r="K683" s="39" t="n"/>
      <c r="L683" s="39" t="n"/>
      <c r="M683" s="7" t="n"/>
      <c r="N683" s="7" t="n"/>
      <c r="O683" s="40" t="n"/>
      <c r="P683" s="40" t="n"/>
      <c r="Q683" s="40" t="n"/>
      <c r="R683" s="40" t="n"/>
      <c r="S683" s="40" t="n"/>
      <c r="T683" s="40" t="n"/>
      <c r="U683" s="40" t="n"/>
      <c r="V683" s="40" t="n"/>
      <c r="W683" s="40" t="n"/>
      <c r="X683" s="40" t="n"/>
      <c r="Y683" s="40" t="n"/>
      <c r="Z683" s="40" t="n"/>
      <c r="AA683" s="39" t="n"/>
    </row>
    <row r="684">
      <c r="A684" s="7" t="n"/>
      <c r="B684" s="7" t="n"/>
      <c r="C684" s="39" t="n"/>
      <c r="D684" s="39" t="n"/>
      <c r="E684" s="7" t="n"/>
      <c r="F684" s="7" t="n"/>
      <c r="G684" s="7" t="n"/>
      <c r="H684" s="39" t="n"/>
      <c r="I684" s="39" t="n"/>
      <c r="J684" s="39" t="n"/>
      <c r="K684" s="39" t="n"/>
      <c r="L684" s="39" t="n"/>
      <c r="M684" s="7" t="n"/>
      <c r="N684" s="7" t="n"/>
      <c r="O684" s="40" t="n"/>
      <c r="P684" s="40" t="n"/>
      <c r="Q684" s="40" t="n"/>
      <c r="R684" s="40" t="n"/>
      <c r="S684" s="40" t="n"/>
      <c r="T684" s="40" t="n"/>
      <c r="U684" s="40" t="n"/>
      <c r="V684" s="40" t="n"/>
      <c r="W684" s="40" t="n"/>
      <c r="X684" s="40" t="n"/>
      <c r="Y684" s="40" t="n"/>
      <c r="Z684" s="40" t="n"/>
      <c r="AA684" s="39" t="n"/>
    </row>
    <row r="685">
      <c r="A685" s="7" t="n"/>
      <c r="B685" s="7" t="n"/>
      <c r="C685" s="39" t="n"/>
      <c r="D685" s="39" t="n"/>
      <c r="E685" s="7" t="n"/>
      <c r="F685" s="7" t="n"/>
      <c r="G685" s="7" t="n"/>
      <c r="H685" s="39" t="n"/>
      <c r="I685" s="39" t="n"/>
      <c r="J685" s="39" t="n"/>
      <c r="K685" s="39" t="n"/>
      <c r="L685" s="39" t="n"/>
      <c r="M685" s="7" t="n"/>
      <c r="N685" s="7" t="n"/>
      <c r="O685" s="40" t="n"/>
      <c r="P685" s="40" t="n"/>
      <c r="Q685" s="40" t="n"/>
      <c r="R685" s="40" t="n"/>
      <c r="S685" s="40" t="n"/>
      <c r="T685" s="40" t="n"/>
      <c r="U685" s="40" t="n"/>
      <c r="V685" s="40" t="n"/>
      <c r="W685" s="40" t="n"/>
      <c r="X685" s="40" t="n"/>
      <c r="Y685" s="40" t="n"/>
      <c r="Z685" s="40" t="n"/>
      <c r="AA685" s="39" t="n"/>
    </row>
    <row r="686">
      <c r="A686" s="7" t="n"/>
      <c r="B686" s="7" t="n"/>
      <c r="C686" s="39" t="n"/>
      <c r="D686" s="39" t="n"/>
      <c r="E686" s="7" t="n"/>
      <c r="F686" s="7" t="n"/>
      <c r="G686" s="7" t="n"/>
      <c r="H686" s="39" t="n"/>
      <c r="I686" s="39" t="n"/>
      <c r="J686" s="39" t="n"/>
      <c r="K686" s="39" t="n"/>
      <c r="L686" s="39" t="n"/>
      <c r="M686" s="7" t="n"/>
      <c r="N686" s="7" t="n"/>
      <c r="O686" s="40" t="n"/>
      <c r="P686" s="40" t="n"/>
      <c r="Q686" s="40" t="n"/>
      <c r="R686" s="40" t="n"/>
      <c r="S686" s="40" t="n"/>
      <c r="T686" s="40" t="n"/>
      <c r="U686" s="40" t="n"/>
      <c r="V686" s="40" t="n"/>
      <c r="W686" s="40" t="n"/>
      <c r="X686" s="40" t="n"/>
      <c r="Y686" s="40" t="n"/>
      <c r="Z686" s="40" t="n"/>
      <c r="AA686" s="39" t="n"/>
    </row>
    <row r="687">
      <c r="A687" s="7" t="n"/>
      <c r="B687" s="7" t="n"/>
      <c r="C687" s="39" t="n"/>
      <c r="D687" s="39" t="n"/>
      <c r="E687" s="7" t="n"/>
      <c r="F687" s="7" t="n"/>
      <c r="G687" s="7" t="n"/>
      <c r="H687" s="39" t="n"/>
      <c r="I687" s="39" t="n"/>
      <c r="J687" s="39" t="n"/>
      <c r="K687" s="39" t="n"/>
      <c r="L687" s="39" t="n"/>
      <c r="M687" s="7" t="n"/>
      <c r="N687" s="7" t="n"/>
      <c r="O687" s="40" t="n"/>
      <c r="P687" s="40" t="n"/>
      <c r="Q687" s="40" t="n"/>
      <c r="R687" s="40" t="n"/>
      <c r="S687" s="40" t="n"/>
      <c r="T687" s="40" t="n"/>
      <c r="U687" s="40" t="n"/>
      <c r="V687" s="40" t="n"/>
      <c r="W687" s="40" t="n"/>
      <c r="X687" s="40" t="n"/>
      <c r="Y687" s="40" t="n"/>
      <c r="Z687" s="40" t="n"/>
      <c r="AA687" s="39" t="n"/>
    </row>
    <row r="688">
      <c r="A688" s="7" t="n"/>
      <c r="B688" s="7" t="n"/>
      <c r="C688" s="39" t="n"/>
      <c r="D688" s="39" t="n"/>
      <c r="E688" s="7" t="n"/>
      <c r="F688" s="7" t="n"/>
      <c r="G688" s="7" t="n"/>
      <c r="H688" s="39" t="n"/>
      <c r="I688" s="39" t="n"/>
      <c r="J688" s="39" t="n"/>
      <c r="K688" s="39" t="n"/>
      <c r="L688" s="39" t="n"/>
      <c r="M688" s="7" t="n"/>
      <c r="N688" s="7" t="n"/>
      <c r="O688" s="40" t="n"/>
      <c r="P688" s="40" t="n"/>
      <c r="Q688" s="40" t="n"/>
      <c r="R688" s="40" t="n"/>
      <c r="S688" s="40" t="n"/>
      <c r="T688" s="40" t="n"/>
      <c r="U688" s="40" t="n"/>
      <c r="V688" s="40" t="n"/>
      <c r="W688" s="40" t="n"/>
      <c r="X688" s="40" t="n"/>
      <c r="Y688" s="40" t="n"/>
      <c r="Z688" s="40" t="n"/>
      <c r="AA688" s="39" t="n"/>
    </row>
    <row r="689">
      <c r="A689" s="7" t="n"/>
      <c r="B689" s="7" t="n"/>
      <c r="C689" s="39" t="n"/>
      <c r="D689" s="39" t="n"/>
      <c r="E689" s="7" t="n"/>
      <c r="F689" s="7" t="n"/>
      <c r="G689" s="7" t="n"/>
      <c r="H689" s="39" t="n"/>
      <c r="I689" s="39" t="n"/>
      <c r="J689" s="39" t="n"/>
      <c r="K689" s="39" t="n"/>
      <c r="L689" s="39" t="n"/>
      <c r="M689" s="7" t="n"/>
      <c r="N689" s="7" t="n"/>
      <c r="O689" s="40" t="n"/>
      <c r="P689" s="40" t="n"/>
      <c r="Q689" s="40" t="n"/>
      <c r="R689" s="40" t="n"/>
      <c r="S689" s="40" t="n"/>
      <c r="T689" s="40" t="n"/>
      <c r="U689" s="40" t="n"/>
      <c r="V689" s="40" t="n"/>
      <c r="W689" s="40" t="n"/>
      <c r="X689" s="40" t="n"/>
      <c r="Y689" s="40" t="n"/>
      <c r="Z689" s="40" t="n"/>
      <c r="AA689" s="39" t="n"/>
    </row>
    <row r="690">
      <c r="A690" s="7" t="n"/>
      <c r="B690" s="7" t="n"/>
      <c r="C690" s="39" t="n"/>
      <c r="D690" s="39" t="n"/>
      <c r="E690" s="7" t="n"/>
      <c r="F690" s="7" t="n"/>
      <c r="G690" s="7" t="n"/>
      <c r="H690" s="39" t="n"/>
      <c r="I690" s="39" t="n"/>
      <c r="J690" s="39" t="n"/>
      <c r="K690" s="39" t="n"/>
      <c r="L690" s="39" t="n"/>
      <c r="M690" s="7" t="n"/>
      <c r="N690" s="7" t="n"/>
      <c r="O690" s="40" t="n"/>
      <c r="P690" s="40" t="n"/>
      <c r="Q690" s="40" t="n"/>
      <c r="R690" s="40" t="n"/>
      <c r="S690" s="40" t="n"/>
      <c r="T690" s="40" t="n"/>
      <c r="U690" s="40" t="n"/>
      <c r="V690" s="40" t="n"/>
      <c r="W690" s="40" t="n"/>
      <c r="X690" s="40" t="n"/>
      <c r="Y690" s="40" t="n"/>
      <c r="Z690" s="40" t="n"/>
      <c r="AA690" s="39" t="n"/>
    </row>
    <row r="691">
      <c r="A691" s="7" t="n"/>
      <c r="B691" s="7" t="n"/>
      <c r="C691" s="39" t="n"/>
      <c r="D691" s="39" t="n"/>
      <c r="E691" s="7" t="n"/>
      <c r="F691" s="7" t="n"/>
      <c r="G691" s="7" t="n"/>
      <c r="H691" s="39" t="n"/>
      <c r="I691" s="39" t="n"/>
      <c r="J691" s="39" t="n"/>
      <c r="K691" s="39" t="n"/>
      <c r="L691" s="39" t="n"/>
      <c r="M691" s="7" t="n"/>
      <c r="N691" s="7" t="n"/>
      <c r="O691" s="40" t="n"/>
      <c r="P691" s="40" t="n"/>
      <c r="Q691" s="40" t="n"/>
      <c r="R691" s="40" t="n"/>
      <c r="S691" s="40" t="n"/>
      <c r="T691" s="40" t="n"/>
      <c r="U691" s="40" t="n"/>
      <c r="V691" s="40" t="n"/>
      <c r="W691" s="40" t="n"/>
      <c r="X691" s="40" t="n"/>
      <c r="Y691" s="40" t="n"/>
      <c r="Z691" s="40" t="n"/>
      <c r="AA691" s="39" t="n"/>
    </row>
    <row r="692">
      <c r="A692" s="7" t="n"/>
      <c r="B692" s="7" t="n"/>
      <c r="C692" s="39" t="n"/>
      <c r="D692" s="39" t="n"/>
      <c r="E692" s="7" t="n"/>
      <c r="F692" s="7" t="n"/>
      <c r="G692" s="7" t="n"/>
      <c r="H692" s="39" t="n"/>
      <c r="I692" s="39" t="n"/>
      <c r="J692" s="39" t="n"/>
      <c r="K692" s="39" t="n"/>
      <c r="L692" s="39" t="n"/>
      <c r="M692" s="7" t="n"/>
      <c r="N692" s="7" t="n"/>
      <c r="O692" s="40" t="n"/>
      <c r="P692" s="40" t="n"/>
      <c r="Q692" s="40" t="n"/>
      <c r="R692" s="40" t="n"/>
      <c r="S692" s="40" t="n"/>
      <c r="T692" s="40" t="n"/>
      <c r="U692" s="40" t="n"/>
      <c r="V692" s="40" t="n"/>
      <c r="W692" s="40" t="n"/>
      <c r="X692" s="40" t="n"/>
      <c r="Y692" s="40" t="n"/>
      <c r="Z692" s="40" t="n"/>
      <c r="AA692" s="39" t="n"/>
    </row>
    <row r="693">
      <c r="A693" s="7" t="n"/>
      <c r="B693" s="7" t="n"/>
      <c r="C693" s="39" t="n"/>
      <c r="D693" s="39" t="n"/>
      <c r="E693" s="7" t="n"/>
      <c r="F693" s="7" t="n"/>
      <c r="G693" s="7" t="n"/>
      <c r="H693" s="39" t="n"/>
      <c r="I693" s="39" t="n"/>
      <c r="J693" s="39" t="n"/>
      <c r="K693" s="39" t="n"/>
      <c r="L693" s="39" t="n"/>
      <c r="M693" s="7" t="n"/>
      <c r="N693" s="7" t="n"/>
      <c r="O693" s="40" t="n"/>
      <c r="P693" s="40" t="n"/>
      <c r="Q693" s="40" t="n"/>
      <c r="R693" s="40" t="n"/>
      <c r="S693" s="40" t="n"/>
      <c r="T693" s="40" t="n"/>
      <c r="U693" s="40" t="n"/>
      <c r="V693" s="40" t="n"/>
      <c r="W693" s="40" t="n"/>
      <c r="X693" s="40" t="n"/>
      <c r="Y693" s="40" t="n"/>
      <c r="Z693" s="40" t="n"/>
      <c r="AA693" s="39" t="n"/>
    </row>
    <row r="694">
      <c r="A694" s="7" t="n"/>
      <c r="B694" s="7" t="n"/>
      <c r="C694" s="39" t="n"/>
      <c r="D694" s="39" t="n"/>
      <c r="E694" s="7" t="n"/>
      <c r="F694" s="7" t="n"/>
      <c r="G694" s="7" t="n"/>
      <c r="H694" s="39" t="n"/>
      <c r="I694" s="39" t="n"/>
      <c r="J694" s="39" t="n"/>
      <c r="K694" s="39" t="n"/>
      <c r="L694" s="39" t="n"/>
      <c r="M694" s="7" t="n"/>
      <c r="N694" s="7" t="n"/>
      <c r="O694" s="40" t="n"/>
      <c r="P694" s="40" t="n"/>
      <c r="Q694" s="40" t="n"/>
      <c r="R694" s="40" t="n"/>
      <c r="S694" s="40" t="n"/>
      <c r="T694" s="40" t="n"/>
      <c r="U694" s="40" t="n"/>
      <c r="V694" s="40" t="n"/>
      <c r="W694" s="40" t="n"/>
      <c r="X694" s="40" t="n"/>
      <c r="Y694" s="40" t="n"/>
      <c r="Z694" s="40" t="n"/>
      <c r="AA694" s="39" t="n"/>
    </row>
    <row r="695">
      <c r="A695" s="7" t="n"/>
      <c r="B695" s="7" t="n"/>
      <c r="C695" s="39" t="n"/>
      <c r="D695" s="39" t="n"/>
      <c r="E695" s="7" t="n"/>
      <c r="F695" s="7" t="n"/>
      <c r="G695" s="7" t="n"/>
      <c r="H695" s="39" t="n"/>
      <c r="I695" s="39" t="n"/>
      <c r="J695" s="39" t="n"/>
      <c r="K695" s="39" t="n"/>
      <c r="L695" s="39" t="n"/>
      <c r="M695" s="7" t="n"/>
      <c r="N695" s="7" t="n"/>
      <c r="O695" s="40" t="n"/>
      <c r="P695" s="40" t="n"/>
      <c r="Q695" s="40" t="n"/>
      <c r="R695" s="40" t="n"/>
      <c r="S695" s="40" t="n"/>
      <c r="T695" s="40" t="n"/>
      <c r="U695" s="40" t="n"/>
      <c r="V695" s="40" t="n"/>
      <c r="W695" s="40" t="n"/>
      <c r="X695" s="40" t="n"/>
      <c r="Y695" s="40" t="n"/>
      <c r="Z695" s="40" t="n"/>
      <c r="AA695" s="39" t="n"/>
    </row>
    <row r="696">
      <c r="A696" s="7" t="n"/>
      <c r="B696" s="7" t="n"/>
      <c r="C696" s="39" t="n"/>
      <c r="D696" s="39" t="n"/>
      <c r="E696" s="7" t="n"/>
      <c r="F696" s="7" t="n"/>
      <c r="G696" s="7" t="n"/>
      <c r="H696" s="39" t="n"/>
      <c r="I696" s="39" t="n"/>
      <c r="J696" s="39" t="n"/>
      <c r="K696" s="39" t="n"/>
      <c r="L696" s="39" t="n"/>
      <c r="M696" s="7" t="n"/>
      <c r="N696" s="7" t="n"/>
      <c r="O696" s="40" t="n"/>
      <c r="P696" s="40" t="n"/>
      <c r="Q696" s="40" t="n"/>
      <c r="R696" s="40" t="n"/>
      <c r="S696" s="40" t="n"/>
      <c r="T696" s="40" t="n"/>
      <c r="U696" s="40" t="n"/>
      <c r="V696" s="40" t="n"/>
      <c r="W696" s="40" t="n"/>
      <c r="X696" s="40" t="n"/>
      <c r="Y696" s="40" t="n"/>
      <c r="Z696" s="40" t="n"/>
      <c r="AA696" s="39" t="n"/>
    </row>
    <row r="697">
      <c r="A697" s="7" t="n"/>
      <c r="B697" s="7" t="n"/>
      <c r="C697" s="39" t="n"/>
      <c r="D697" s="39" t="n"/>
      <c r="E697" s="7" t="n"/>
      <c r="F697" s="7" t="n"/>
      <c r="G697" s="7" t="n"/>
      <c r="H697" s="39" t="n"/>
      <c r="I697" s="39" t="n"/>
      <c r="J697" s="39" t="n"/>
      <c r="K697" s="39" t="n"/>
      <c r="L697" s="39" t="n"/>
      <c r="M697" s="7" t="n"/>
      <c r="N697" s="7" t="n"/>
      <c r="O697" s="40" t="n"/>
      <c r="P697" s="40" t="n"/>
      <c r="Q697" s="40" t="n"/>
      <c r="R697" s="40" t="n"/>
      <c r="S697" s="40" t="n"/>
      <c r="T697" s="40" t="n"/>
      <c r="U697" s="40" t="n"/>
      <c r="V697" s="40" t="n"/>
      <c r="W697" s="40" t="n"/>
      <c r="X697" s="40" t="n"/>
      <c r="Y697" s="40" t="n"/>
      <c r="Z697" s="40" t="n"/>
      <c r="AA697" s="39" t="n"/>
    </row>
    <row r="698">
      <c r="A698" s="7" t="n"/>
      <c r="B698" s="7" t="n"/>
      <c r="C698" s="39" t="n"/>
      <c r="D698" s="39" t="n"/>
      <c r="E698" s="7" t="n"/>
      <c r="F698" s="7" t="n"/>
      <c r="G698" s="7" t="n"/>
      <c r="H698" s="39" t="n"/>
      <c r="I698" s="39" t="n"/>
      <c r="J698" s="39" t="n"/>
      <c r="K698" s="39" t="n"/>
      <c r="L698" s="39" t="n"/>
      <c r="M698" s="7" t="n"/>
      <c r="N698" s="7" t="n"/>
      <c r="O698" s="40" t="n"/>
      <c r="P698" s="40" t="n"/>
      <c r="Q698" s="40" t="n"/>
      <c r="R698" s="40" t="n"/>
      <c r="S698" s="40" t="n"/>
      <c r="T698" s="40" t="n"/>
      <c r="U698" s="40" t="n"/>
      <c r="V698" s="40" t="n"/>
      <c r="W698" s="40" t="n"/>
      <c r="X698" s="40" t="n"/>
      <c r="Y698" s="40" t="n"/>
      <c r="Z698" s="40" t="n"/>
      <c r="AA698" s="39" t="n"/>
    </row>
    <row r="699">
      <c r="A699" s="7" t="n"/>
      <c r="B699" s="7" t="n"/>
      <c r="C699" s="39" t="n"/>
      <c r="D699" s="39" t="n"/>
      <c r="E699" s="7" t="n"/>
      <c r="F699" s="7" t="n"/>
      <c r="G699" s="7" t="n"/>
      <c r="H699" s="39" t="n"/>
      <c r="I699" s="39" t="n"/>
      <c r="J699" s="39" t="n"/>
      <c r="K699" s="39" t="n"/>
      <c r="L699" s="39" t="n"/>
      <c r="M699" s="7" t="n"/>
      <c r="N699" s="7" t="n"/>
      <c r="O699" s="40" t="n"/>
      <c r="P699" s="40" t="n"/>
      <c r="Q699" s="40" t="n"/>
      <c r="R699" s="40" t="n"/>
      <c r="S699" s="40" t="n"/>
      <c r="T699" s="40" t="n"/>
      <c r="U699" s="40" t="n"/>
      <c r="V699" s="40" t="n"/>
      <c r="W699" s="40" t="n"/>
      <c r="X699" s="40" t="n"/>
      <c r="Y699" s="40" t="n"/>
      <c r="Z699" s="40" t="n"/>
      <c r="AA699" s="39" t="n"/>
    </row>
    <row r="700">
      <c r="A700" s="7" t="n"/>
      <c r="B700" s="7" t="n"/>
      <c r="C700" s="39" t="n"/>
      <c r="D700" s="39" t="n"/>
      <c r="E700" s="7" t="n"/>
      <c r="F700" s="7" t="n"/>
      <c r="G700" s="7" t="n"/>
      <c r="H700" s="39" t="n"/>
      <c r="I700" s="39" t="n"/>
      <c r="J700" s="39" t="n"/>
      <c r="K700" s="39" t="n"/>
      <c r="L700" s="39" t="n"/>
      <c r="M700" s="7" t="n"/>
      <c r="N700" s="7" t="n"/>
      <c r="O700" s="40" t="n"/>
      <c r="P700" s="40" t="n"/>
      <c r="Q700" s="40" t="n"/>
      <c r="R700" s="40" t="n"/>
      <c r="S700" s="40" t="n"/>
      <c r="T700" s="40" t="n"/>
      <c r="U700" s="40" t="n"/>
      <c r="V700" s="40" t="n"/>
      <c r="W700" s="40" t="n"/>
      <c r="X700" s="40" t="n"/>
      <c r="Y700" s="40" t="n"/>
      <c r="Z700" s="40" t="n"/>
      <c r="AA700" s="39" t="n"/>
    </row>
    <row r="701">
      <c r="A701" s="7" t="n"/>
      <c r="B701" s="7" t="n"/>
      <c r="C701" s="39" t="n"/>
      <c r="D701" s="39" t="n"/>
      <c r="E701" s="7" t="n"/>
      <c r="F701" s="7" t="n"/>
      <c r="G701" s="7" t="n"/>
      <c r="H701" s="39" t="n"/>
      <c r="I701" s="39" t="n"/>
      <c r="J701" s="39" t="n"/>
      <c r="K701" s="39" t="n"/>
      <c r="L701" s="39" t="n"/>
      <c r="M701" s="7" t="n"/>
      <c r="N701" s="7" t="n"/>
      <c r="O701" s="40" t="n"/>
      <c r="P701" s="40" t="n"/>
      <c r="Q701" s="40" t="n"/>
      <c r="R701" s="40" t="n"/>
      <c r="S701" s="40" t="n"/>
      <c r="T701" s="40" t="n"/>
      <c r="U701" s="40" t="n"/>
      <c r="V701" s="40" t="n"/>
      <c r="W701" s="40" t="n"/>
      <c r="X701" s="40" t="n"/>
      <c r="Y701" s="40" t="n"/>
      <c r="Z701" s="40" t="n"/>
      <c r="AA701" s="39" t="n"/>
    </row>
    <row r="702">
      <c r="A702" s="7" t="n"/>
      <c r="B702" s="7" t="n"/>
      <c r="C702" s="39" t="n"/>
      <c r="D702" s="39" t="n"/>
      <c r="E702" s="7" t="n"/>
      <c r="F702" s="7" t="n"/>
      <c r="G702" s="7" t="n"/>
      <c r="H702" s="39" t="n"/>
      <c r="I702" s="39" t="n"/>
      <c r="J702" s="39" t="n"/>
      <c r="K702" s="39" t="n"/>
      <c r="L702" s="39" t="n"/>
      <c r="M702" s="7" t="n"/>
      <c r="N702" s="7" t="n"/>
      <c r="O702" s="40" t="n"/>
      <c r="P702" s="40" t="n"/>
      <c r="Q702" s="40" t="n"/>
      <c r="R702" s="40" t="n"/>
      <c r="S702" s="40" t="n"/>
      <c r="T702" s="40" t="n"/>
      <c r="U702" s="40" t="n"/>
      <c r="V702" s="40" t="n"/>
      <c r="W702" s="40" t="n"/>
      <c r="X702" s="40" t="n"/>
      <c r="Y702" s="40" t="n"/>
      <c r="Z702" s="40" t="n"/>
      <c r="AA702" s="39" t="n"/>
    </row>
    <row r="703">
      <c r="A703" s="7" t="n"/>
      <c r="B703" s="7" t="n"/>
      <c r="C703" s="39" t="n"/>
      <c r="D703" s="39" t="n"/>
      <c r="E703" s="7" t="n"/>
      <c r="F703" s="7" t="n"/>
      <c r="G703" s="7" t="n"/>
      <c r="H703" s="39" t="n"/>
      <c r="I703" s="39" t="n"/>
      <c r="J703" s="39" t="n"/>
      <c r="K703" s="39" t="n"/>
      <c r="L703" s="39" t="n"/>
      <c r="M703" s="7" t="n"/>
      <c r="N703" s="7" t="n"/>
      <c r="O703" s="40" t="n"/>
      <c r="P703" s="40" t="n"/>
      <c r="Q703" s="40" t="n"/>
      <c r="R703" s="40" t="n"/>
      <c r="S703" s="40" t="n"/>
      <c r="T703" s="40" t="n"/>
      <c r="U703" s="40" t="n"/>
      <c r="V703" s="40" t="n"/>
      <c r="W703" s="40" t="n"/>
      <c r="X703" s="40" t="n"/>
      <c r="Y703" s="40" t="n"/>
      <c r="Z703" s="40" t="n"/>
      <c r="AA703" s="39" t="n"/>
    </row>
    <row r="704">
      <c r="A704" s="7" t="n"/>
      <c r="B704" s="7" t="n"/>
      <c r="C704" s="39" t="n"/>
      <c r="D704" s="39" t="n"/>
      <c r="E704" s="7" t="n"/>
      <c r="F704" s="7" t="n"/>
      <c r="G704" s="7" t="n"/>
      <c r="H704" s="39" t="n"/>
      <c r="I704" s="39" t="n"/>
      <c r="J704" s="39" t="n"/>
      <c r="K704" s="39" t="n"/>
      <c r="L704" s="39" t="n"/>
      <c r="M704" s="7" t="n"/>
      <c r="N704" s="7" t="n"/>
      <c r="O704" s="40" t="n"/>
      <c r="P704" s="40" t="n"/>
      <c r="Q704" s="40" t="n"/>
      <c r="R704" s="40" t="n"/>
      <c r="S704" s="40" t="n"/>
      <c r="T704" s="40" t="n"/>
      <c r="U704" s="40" t="n"/>
      <c r="V704" s="40" t="n"/>
      <c r="W704" s="40" t="n"/>
      <c r="X704" s="40" t="n"/>
      <c r="Y704" s="40" t="n"/>
      <c r="Z704" s="40" t="n"/>
      <c r="AA704" s="39" t="n"/>
    </row>
    <row r="705">
      <c r="A705" s="7" t="n"/>
      <c r="B705" s="7" t="n"/>
      <c r="C705" s="39" t="n"/>
      <c r="D705" s="39" t="n"/>
      <c r="E705" s="7" t="n"/>
      <c r="F705" s="7" t="n"/>
      <c r="G705" s="7" t="n"/>
      <c r="H705" s="39" t="n"/>
      <c r="I705" s="39" t="n"/>
      <c r="J705" s="39" t="n"/>
      <c r="K705" s="39" t="n"/>
      <c r="L705" s="39" t="n"/>
      <c r="M705" s="7" t="n"/>
      <c r="N705" s="7" t="n"/>
      <c r="O705" s="40" t="n"/>
      <c r="P705" s="40" t="n"/>
      <c r="Q705" s="40" t="n"/>
      <c r="R705" s="40" t="n"/>
      <c r="S705" s="40" t="n"/>
      <c r="T705" s="40" t="n"/>
      <c r="U705" s="40" t="n"/>
      <c r="V705" s="40" t="n"/>
      <c r="W705" s="40" t="n"/>
      <c r="X705" s="40" t="n"/>
      <c r="Y705" s="40" t="n"/>
      <c r="Z705" s="40" t="n"/>
      <c r="AA705" s="39" t="n"/>
    </row>
    <row r="706">
      <c r="A706" s="7" t="n"/>
      <c r="B706" s="7" t="n"/>
      <c r="C706" s="39" t="n"/>
      <c r="D706" s="39" t="n"/>
      <c r="E706" s="7" t="n"/>
      <c r="F706" s="7" t="n"/>
      <c r="G706" s="7" t="n"/>
      <c r="H706" s="39" t="n"/>
      <c r="I706" s="39" t="n"/>
      <c r="J706" s="39" t="n"/>
      <c r="K706" s="39" t="n"/>
      <c r="L706" s="39" t="n"/>
      <c r="M706" s="7" t="n"/>
      <c r="N706" s="7" t="n"/>
      <c r="O706" s="40" t="n"/>
      <c r="P706" s="40" t="n"/>
      <c r="Q706" s="40" t="n"/>
      <c r="R706" s="40" t="n"/>
      <c r="S706" s="40" t="n"/>
      <c r="T706" s="40" t="n"/>
      <c r="U706" s="40" t="n"/>
      <c r="V706" s="40" t="n"/>
      <c r="W706" s="40" t="n"/>
      <c r="X706" s="40" t="n"/>
      <c r="Y706" s="40" t="n"/>
      <c r="Z706" s="40" t="n"/>
      <c r="AA706" s="39" t="n"/>
    </row>
    <row r="707">
      <c r="A707" s="7" t="n"/>
      <c r="B707" s="7" t="n"/>
      <c r="C707" s="39" t="n"/>
      <c r="D707" s="39" t="n"/>
      <c r="E707" s="7" t="n"/>
      <c r="F707" s="7" t="n"/>
      <c r="G707" s="7" t="n"/>
      <c r="H707" s="39" t="n"/>
      <c r="I707" s="39" t="n"/>
      <c r="J707" s="39" t="n"/>
      <c r="K707" s="39" t="n"/>
      <c r="L707" s="39" t="n"/>
      <c r="M707" s="7" t="n"/>
      <c r="N707" s="7" t="n"/>
      <c r="O707" s="40" t="n"/>
      <c r="P707" s="40" t="n"/>
      <c r="Q707" s="40" t="n"/>
      <c r="R707" s="40" t="n"/>
      <c r="S707" s="40" t="n"/>
      <c r="T707" s="40" t="n"/>
      <c r="U707" s="40" t="n"/>
      <c r="V707" s="40" t="n"/>
      <c r="W707" s="40" t="n"/>
      <c r="X707" s="40" t="n"/>
      <c r="Y707" s="40" t="n"/>
      <c r="Z707" s="40" t="n"/>
      <c r="AA707" s="39" t="n"/>
    </row>
    <row r="708">
      <c r="A708" s="7" t="n"/>
      <c r="B708" s="7" t="n"/>
      <c r="C708" s="39" t="n"/>
      <c r="D708" s="39" t="n"/>
      <c r="E708" s="7" t="n"/>
      <c r="F708" s="7" t="n"/>
      <c r="G708" s="7" t="n"/>
      <c r="H708" s="39" t="n"/>
      <c r="I708" s="39" t="n"/>
      <c r="J708" s="39" t="n"/>
      <c r="K708" s="39" t="n"/>
      <c r="L708" s="39" t="n"/>
      <c r="M708" s="7" t="n"/>
      <c r="N708" s="7" t="n"/>
      <c r="O708" s="40" t="n"/>
      <c r="P708" s="40" t="n"/>
      <c r="Q708" s="40" t="n"/>
      <c r="R708" s="40" t="n"/>
      <c r="S708" s="40" t="n"/>
      <c r="T708" s="40" t="n"/>
      <c r="U708" s="40" t="n"/>
      <c r="V708" s="40" t="n"/>
      <c r="W708" s="40" t="n"/>
      <c r="X708" s="40" t="n"/>
      <c r="Y708" s="40" t="n"/>
      <c r="Z708" s="40" t="n"/>
      <c r="AA708" s="39" t="n"/>
    </row>
    <row r="709">
      <c r="A709" s="7" t="n"/>
      <c r="B709" s="7" t="n"/>
      <c r="C709" s="39" t="n"/>
      <c r="D709" s="39" t="n"/>
      <c r="E709" s="7" t="n"/>
      <c r="F709" s="7" t="n"/>
      <c r="G709" s="7" t="n"/>
      <c r="H709" s="39" t="n"/>
      <c r="I709" s="39" t="n"/>
      <c r="J709" s="39" t="n"/>
      <c r="K709" s="39" t="n"/>
      <c r="L709" s="39" t="n"/>
      <c r="M709" s="7" t="n"/>
      <c r="N709" s="7" t="n"/>
      <c r="O709" s="40" t="n"/>
      <c r="P709" s="40" t="n"/>
      <c r="Q709" s="40" t="n"/>
      <c r="R709" s="40" t="n"/>
      <c r="S709" s="40" t="n"/>
      <c r="T709" s="40" t="n"/>
      <c r="U709" s="40" t="n"/>
      <c r="V709" s="40" t="n"/>
      <c r="W709" s="40" t="n"/>
      <c r="X709" s="40" t="n"/>
      <c r="Y709" s="40" t="n"/>
      <c r="Z709" s="40" t="n"/>
      <c r="AA709" s="39" t="n"/>
    </row>
    <row r="710">
      <c r="A710" s="7" t="n"/>
      <c r="B710" s="7" t="n"/>
      <c r="C710" s="39" t="n"/>
      <c r="D710" s="39" t="n"/>
      <c r="E710" s="7" t="n"/>
      <c r="F710" s="7" t="n"/>
      <c r="G710" s="7" t="n"/>
      <c r="H710" s="39" t="n"/>
      <c r="I710" s="39" t="n"/>
      <c r="J710" s="39" t="n"/>
      <c r="K710" s="39" t="n"/>
      <c r="L710" s="39" t="n"/>
      <c r="M710" s="7" t="n"/>
      <c r="N710" s="7" t="n"/>
      <c r="O710" s="40" t="n"/>
      <c r="P710" s="40" t="n"/>
      <c r="Q710" s="40" t="n"/>
      <c r="R710" s="40" t="n"/>
      <c r="S710" s="40" t="n"/>
      <c r="T710" s="40" t="n"/>
      <c r="U710" s="40" t="n"/>
      <c r="V710" s="40" t="n"/>
      <c r="W710" s="40" t="n"/>
      <c r="X710" s="40" t="n"/>
      <c r="Y710" s="40" t="n"/>
      <c r="Z710" s="40" t="n"/>
      <c r="AA710" s="39" t="n"/>
    </row>
    <row r="711">
      <c r="A711" s="7" t="n"/>
      <c r="B711" s="7" t="n"/>
      <c r="C711" s="39" t="n"/>
      <c r="D711" s="39" t="n"/>
      <c r="E711" s="7" t="n"/>
      <c r="F711" s="7" t="n"/>
      <c r="G711" s="7" t="n"/>
      <c r="H711" s="39" t="n"/>
      <c r="I711" s="39" t="n"/>
      <c r="J711" s="39" t="n"/>
      <c r="K711" s="39" t="n"/>
      <c r="L711" s="39" t="n"/>
      <c r="M711" s="7" t="n"/>
      <c r="N711" s="7" t="n"/>
      <c r="O711" s="40" t="n"/>
      <c r="P711" s="40" t="n"/>
      <c r="Q711" s="40" t="n"/>
      <c r="R711" s="40" t="n"/>
      <c r="S711" s="40" t="n"/>
      <c r="T711" s="40" t="n"/>
      <c r="U711" s="40" t="n"/>
      <c r="V711" s="40" t="n"/>
      <c r="W711" s="40" t="n"/>
      <c r="X711" s="40" t="n"/>
      <c r="Y711" s="40" t="n"/>
      <c r="Z711" s="40" t="n"/>
      <c r="AA711" s="39" t="n"/>
    </row>
    <row r="712">
      <c r="A712" s="7" t="n"/>
      <c r="B712" s="7" t="n"/>
      <c r="C712" s="39" t="n"/>
      <c r="D712" s="39" t="n"/>
      <c r="E712" s="7" t="n"/>
      <c r="F712" s="7" t="n"/>
      <c r="G712" s="7" t="n"/>
      <c r="H712" s="39" t="n"/>
      <c r="I712" s="39" t="n"/>
      <c r="J712" s="39" t="n"/>
      <c r="K712" s="39" t="n"/>
      <c r="L712" s="39" t="n"/>
      <c r="M712" s="7" t="n"/>
      <c r="N712" s="7" t="n"/>
      <c r="O712" s="40" t="n"/>
      <c r="P712" s="40" t="n"/>
      <c r="Q712" s="40" t="n"/>
      <c r="R712" s="40" t="n"/>
      <c r="S712" s="40" t="n"/>
      <c r="T712" s="40" t="n"/>
      <c r="U712" s="40" t="n"/>
      <c r="V712" s="40" t="n"/>
      <c r="W712" s="40" t="n"/>
      <c r="X712" s="40" t="n"/>
      <c r="Y712" s="40" t="n"/>
      <c r="Z712" s="40" t="n"/>
      <c r="AA712" s="39" t="n"/>
    </row>
    <row r="713">
      <c r="A713" s="7" t="n"/>
      <c r="B713" s="7" t="n"/>
      <c r="C713" s="39" t="n"/>
      <c r="D713" s="39" t="n"/>
      <c r="E713" s="7" t="n"/>
      <c r="F713" s="7" t="n"/>
      <c r="G713" s="7" t="n"/>
      <c r="H713" s="39" t="n"/>
      <c r="I713" s="39" t="n"/>
      <c r="J713" s="39" t="n"/>
      <c r="K713" s="39" t="n"/>
      <c r="L713" s="39" t="n"/>
      <c r="M713" s="7" t="n"/>
      <c r="N713" s="7" t="n"/>
      <c r="O713" s="40" t="n"/>
      <c r="P713" s="40" t="n"/>
      <c r="Q713" s="40" t="n"/>
      <c r="R713" s="40" t="n"/>
      <c r="S713" s="40" t="n"/>
      <c r="T713" s="40" t="n"/>
      <c r="U713" s="40" t="n"/>
      <c r="V713" s="40" t="n"/>
      <c r="W713" s="40" t="n"/>
      <c r="X713" s="40" t="n"/>
      <c r="Y713" s="40" t="n"/>
      <c r="Z713" s="40" t="n"/>
      <c r="AA713" s="39" t="n"/>
    </row>
    <row r="714">
      <c r="A714" s="7" t="n"/>
      <c r="B714" s="7" t="n"/>
      <c r="C714" s="39" t="n"/>
      <c r="D714" s="39" t="n"/>
      <c r="E714" s="7" t="n"/>
      <c r="F714" s="7" t="n"/>
      <c r="G714" s="7" t="n"/>
      <c r="H714" s="39" t="n"/>
      <c r="I714" s="39" t="n"/>
      <c r="J714" s="39" t="n"/>
      <c r="K714" s="39" t="n"/>
      <c r="L714" s="39" t="n"/>
      <c r="M714" s="7" t="n"/>
      <c r="N714" s="7" t="n"/>
      <c r="O714" s="40" t="n"/>
      <c r="P714" s="40" t="n"/>
      <c r="Q714" s="40" t="n"/>
      <c r="R714" s="40" t="n"/>
      <c r="S714" s="40" t="n"/>
      <c r="T714" s="40" t="n"/>
      <c r="U714" s="40" t="n"/>
      <c r="V714" s="40" t="n"/>
      <c r="W714" s="40" t="n"/>
      <c r="X714" s="40" t="n"/>
      <c r="Y714" s="40" t="n"/>
      <c r="Z714" s="40" t="n"/>
      <c r="AA714" s="39" t="n"/>
    </row>
    <row r="715">
      <c r="A715" s="7" t="n"/>
      <c r="B715" s="7" t="n"/>
      <c r="C715" s="39" t="n"/>
      <c r="D715" s="39" t="n"/>
      <c r="E715" s="7" t="n"/>
      <c r="F715" s="7" t="n"/>
      <c r="G715" s="7" t="n"/>
      <c r="H715" s="39" t="n"/>
      <c r="I715" s="39" t="n"/>
      <c r="J715" s="39" t="n"/>
      <c r="K715" s="39" t="n"/>
      <c r="L715" s="39" t="n"/>
      <c r="M715" s="7" t="n"/>
      <c r="N715" s="7" t="n"/>
      <c r="O715" s="40" t="n"/>
      <c r="P715" s="40" t="n"/>
      <c r="Q715" s="40" t="n"/>
      <c r="R715" s="40" t="n"/>
      <c r="S715" s="40" t="n"/>
      <c r="T715" s="40" t="n"/>
      <c r="U715" s="40" t="n"/>
      <c r="V715" s="40" t="n"/>
      <c r="W715" s="40" t="n"/>
      <c r="X715" s="40" t="n"/>
      <c r="Y715" s="40" t="n"/>
      <c r="Z715" s="40" t="n"/>
      <c r="AA715" s="39" t="n"/>
    </row>
    <row r="716">
      <c r="A716" s="7" t="n"/>
      <c r="B716" s="7" t="n"/>
      <c r="C716" s="39" t="n"/>
      <c r="D716" s="39" t="n"/>
      <c r="E716" s="7" t="n"/>
      <c r="F716" s="7" t="n"/>
      <c r="G716" s="7" t="n"/>
      <c r="H716" s="39" t="n"/>
      <c r="I716" s="39" t="n"/>
      <c r="J716" s="39" t="n"/>
      <c r="K716" s="39" t="n"/>
      <c r="L716" s="39" t="n"/>
      <c r="M716" s="7" t="n"/>
      <c r="N716" s="7" t="n"/>
      <c r="O716" s="40" t="n"/>
      <c r="P716" s="40" t="n"/>
      <c r="Q716" s="40" t="n"/>
      <c r="R716" s="40" t="n"/>
      <c r="S716" s="40" t="n"/>
      <c r="T716" s="40" t="n"/>
      <c r="U716" s="40" t="n"/>
      <c r="V716" s="40" t="n"/>
      <c r="W716" s="40" t="n"/>
      <c r="X716" s="40" t="n"/>
      <c r="Y716" s="40" t="n"/>
      <c r="Z716" s="40" t="n"/>
      <c r="AA716" s="39" t="n"/>
    </row>
    <row r="717">
      <c r="A717" s="7" t="n"/>
      <c r="B717" s="7" t="n"/>
      <c r="C717" s="39" t="n"/>
      <c r="D717" s="39" t="n"/>
      <c r="E717" s="7" t="n"/>
      <c r="F717" s="7" t="n"/>
      <c r="G717" s="7" t="n"/>
      <c r="H717" s="39" t="n"/>
      <c r="I717" s="39" t="n"/>
      <c r="J717" s="39" t="n"/>
      <c r="K717" s="39" t="n"/>
      <c r="L717" s="39" t="n"/>
      <c r="M717" s="7" t="n"/>
      <c r="N717" s="7" t="n"/>
      <c r="O717" s="40" t="n"/>
      <c r="P717" s="40" t="n"/>
      <c r="Q717" s="40" t="n"/>
      <c r="R717" s="40" t="n"/>
      <c r="S717" s="40" t="n"/>
      <c r="T717" s="40" t="n"/>
      <c r="U717" s="40" t="n"/>
      <c r="V717" s="40" t="n"/>
      <c r="W717" s="40" t="n"/>
      <c r="X717" s="40" t="n"/>
      <c r="Y717" s="40" t="n"/>
      <c r="Z717" s="40" t="n"/>
      <c r="AA717" s="39" t="n"/>
    </row>
    <row r="718">
      <c r="A718" s="7" t="n"/>
      <c r="B718" s="7" t="n"/>
      <c r="C718" s="39" t="n"/>
      <c r="D718" s="39" t="n"/>
      <c r="E718" s="7" t="n"/>
      <c r="F718" s="7" t="n"/>
      <c r="G718" s="7" t="n"/>
      <c r="H718" s="39" t="n"/>
      <c r="I718" s="39" t="n"/>
      <c r="J718" s="39" t="n"/>
      <c r="K718" s="39" t="n"/>
      <c r="L718" s="39" t="n"/>
      <c r="M718" s="7" t="n"/>
      <c r="N718" s="7" t="n"/>
      <c r="O718" s="40" t="n"/>
      <c r="P718" s="40" t="n"/>
      <c r="Q718" s="40" t="n"/>
      <c r="R718" s="40" t="n"/>
      <c r="S718" s="40" t="n"/>
      <c r="T718" s="40" t="n"/>
      <c r="U718" s="40" t="n"/>
      <c r="V718" s="40" t="n"/>
      <c r="W718" s="40" t="n"/>
      <c r="X718" s="40" t="n"/>
      <c r="Y718" s="40" t="n"/>
      <c r="Z718" s="40" t="n"/>
      <c r="AA718" s="39" t="n"/>
    </row>
    <row r="719">
      <c r="A719" s="7" t="n"/>
      <c r="B719" s="7" t="n"/>
      <c r="C719" s="39" t="n"/>
      <c r="D719" s="39" t="n"/>
      <c r="E719" s="7" t="n"/>
      <c r="F719" s="7" t="n"/>
      <c r="G719" s="7" t="n"/>
      <c r="H719" s="39" t="n"/>
      <c r="I719" s="39" t="n"/>
      <c r="J719" s="39" t="n"/>
      <c r="K719" s="39" t="n"/>
      <c r="L719" s="39" t="n"/>
      <c r="M719" s="7" t="n"/>
      <c r="N719" s="7" t="n"/>
      <c r="O719" s="40" t="n"/>
      <c r="P719" s="40" t="n"/>
      <c r="Q719" s="40" t="n"/>
      <c r="R719" s="40" t="n"/>
      <c r="S719" s="40" t="n"/>
      <c r="T719" s="40" t="n"/>
      <c r="U719" s="40" t="n"/>
      <c r="V719" s="40" t="n"/>
      <c r="W719" s="40" t="n"/>
      <c r="X719" s="40" t="n"/>
      <c r="Y719" s="40" t="n"/>
      <c r="Z719" s="40" t="n"/>
      <c r="AA719" s="39" t="n"/>
    </row>
    <row r="720">
      <c r="A720" s="7" t="n"/>
      <c r="B720" s="7" t="n"/>
      <c r="C720" s="39" t="n"/>
      <c r="D720" s="39" t="n"/>
      <c r="E720" s="7" t="n"/>
      <c r="F720" s="7" t="n"/>
      <c r="G720" s="7" t="n"/>
      <c r="H720" s="39" t="n"/>
      <c r="I720" s="39" t="n"/>
      <c r="J720" s="39" t="n"/>
      <c r="K720" s="39" t="n"/>
      <c r="L720" s="39" t="n"/>
      <c r="M720" s="7" t="n"/>
      <c r="N720" s="7" t="n"/>
      <c r="O720" s="40" t="n"/>
      <c r="P720" s="40" t="n"/>
      <c r="Q720" s="40" t="n"/>
      <c r="R720" s="40" t="n"/>
      <c r="S720" s="40" t="n"/>
      <c r="T720" s="40" t="n"/>
      <c r="U720" s="40" t="n"/>
      <c r="V720" s="40" t="n"/>
      <c r="W720" s="40" t="n"/>
      <c r="X720" s="40" t="n"/>
      <c r="Y720" s="40" t="n"/>
      <c r="Z720" s="40" t="n"/>
      <c r="AA720" s="39" t="n"/>
    </row>
    <row r="721">
      <c r="A721" s="7" t="n"/>
      <c r="B721" s="7" t="n"/>
      <c r="C721" s="39" t="n"/>
      <c r="D721" s="39" t="n"/>
      <c r="E721" s="7" t="n"/>
      <c r="F721" s="7" t="n"/>
      <c r="G721" s="7" t="n"/>
      <c r="H721" s="39" t="n"/>
      <c r="I721" s="39" t="n"/>
      <c r="J721" s="39" t="n"/>
      <c r="K721" s="39" t="n"/>
      <c r="L721" s="39" t="n"/>
      <c r="M721" s="7" t="n"/>
      <c r="N721" s="7" t="n"/>
      <c r="O721" s="40" t="n"/>
      <c r="P721" s="40" t="n"/>
      <c r="Q721" s="40" t="n"/>
      <c r="R721" s="40" t="n"/>
      <c r="S721" s="40" t="n"/>
      <c r="T721" s="40" t="n"/>
      <c r="U721" s="40" t="n"/>
      <c r="V721" s="40" t="n"/>
      <c r="W721" s="40" t="n"/>
      <c r="X721" s="40" t="n"/>
      <c r="Y721" s="40" t="n"/>
      <c r="Z721" s="40" t="n"/>
      <c r="AA721" s="39" t="n"/>
    </row>
    <row r="722">
      <c r="A722" s="7" t="n"/>
      <c r="B722" s="7" t="n"/>
      <c r="C722" s="39" t="n"/>
      <c r="D722" s="39" t="n"/>
      <c r="E722" s="7" t="n"/>
      <c r="F722" s="7" t="n"/>
      <c r="G722" s="7" t="n"/>
      <c r="H722" s="39" t="n"/>
      <c r="I722" s="39" t="n"/>
      <c r="J722" s="39" t="n"/>
      <c r="K722" s="39" t="n"/>
      <c r="L722" s="39" t="n"/>
      <c r="M722" s="7" t="n"/>
      <c r="N722" s="7" t="n"/>
      <c r="O722" s="40" t="n"/>
      <c r="P722" s="40" t="n"/>
      <c r="Q722" s="40" t="n"/>
      <c r="R722" s="40" t="n"/>
      <c r="S722" s="40" t="n"/>
      <c r="T722" s="40" t="n"/>
      <c r="U722" s="40" t="n"/>
      <c r="V722" s="40" t="n"/>
      <c r="W722" s="40" t="n"/>
      <c r="X722" s="40" t="n"/>
      <c r="Y722" s="40" t="n"/>
      <c r="Z722" s="40" t="n"/>
      <c r="AA722" s="39" t="n"/>
    </row>
    <row r="723">
      <c r="A723" s="7" t="n"/>
      <c r="B723" s="7" t="n"/>
      <c r="C723" s="39" t="n"/>
      <c r="D723" s="39" t="n"/>
      <c r="E723" s="7" t="n"/>
      <c r="F723" s="7" t="n"/>
      <c r="G723" s="7" t="n"/>
      <c r="H723" s="39" t="n"/>
      <c r="I723" s="39" t="n"/>
      <c r="J723" s="39" t="n"/>
      <c r="K723" s="39" t="n"/>
      <c r="L723" s="39" t="n"/>
      <c r="M723" s="7" t="n"/>
      <c r="N723" s="7" t="n"/>
      <c r="O723" s="40" t="n"/>
      <c r="P723" s="40" t="n"/>
      <c r="Q723" s="40" t="n"/>
      <c r="R723" s="40" t="n"/>
      <c r="S723" s="40" t="n"/>
      <c r="T723" s="40" t="n"/>
      <c r="U723" s="40" t="n"/>
      <c r="V723" s="40" t="n"/>
      <c r="W723" s="40" t="n"/>
      <c r="X723" s="40" t="n"/>
      <c r="Y723" s="40" t="n"/>
      <c r="Z723" s="40" t="n"/>
      <c r="AA723" s="39" t="n"/>
    </row>
    <row r="724">
      <c r="A724" s="7" t="n"/>
      <c r="B724" s="7" t="n"/>
      <c r="C724" s="39" t="n"/>
      <c r="D724" s="39" t="n"/>
      <c r="E724" s="7" t="n"/>
      <c r="F724" s="7" t="n"/>
      <c r="G724" s="7" t="n"/>
      <c r="H724" s="39" t="n"/>
      <c r="I724" s="39" t="n"/>
      <c r="J724" s="39" t="n"/>
      <c r="K724" s="39" t="n"/>
      <c r="L724" s="39" t="n"/>
      <c r="M724" s="7" t="n"/>
      <c r="N724" s="7" t="n"/>
      <c r="O724" s="40" t="n"/>
      <c r="P724" s="40" t="n"/>
      <c r="Q724" s="40" t="n"/>
      <c r="R724" s="40" t="n"/>
      <c r="S724" s="40" t="n"/>
      <c r="T724" s="40" t="n"/>
      <c r="U724" s="40" t="n"/>
      <c r="V724" s="40" t="n"/>
      <c r="W724" s="40" t="n"/>
      <c r="X724" s="40" t="n"/>
      <c r="Y724" s="40" t="n"/>
      <c r="Z724" s="40" t="n"/>
      <c r="AA724" s="39" t="n"/>
    </row>
    <row r="725">
      <c r="A725" s="7" t="n"/>
      <c r="B725" s="7" t="n"/>
      <c r="C725" s="39" t="n"/>
      <c r="D725" s="39" t="n"/>
      <c r="E725" s="7" t="n"/>
      <c r="F725" s="7" t="n"/>
      <c r="G725" s="7" t="n"/>
      <c r="H725" s="39" t="n"/>
      <c r="I725" s="39" t="n"/>
      <c r="J725" s="39" t="n"/>
      <c r="K725" s="39" t="n"/>
      <c r="L725" s="39" t="n"/>
      <c r="M725" s="7" t="n"/>
      <c r="N725" s="7" t="n"/>
      <c r="O725" s="40" t="n"/>
      <c r="P725" s="40" t="n"/>
      <c r="Q725" s="40" t="n"/>
      <c r="R725" s="40" t="n"/>
      <c r="S725" s="40" t="n"/>
      <c r="T725" s="40" t="n"/>
      <c r="U725" s="40" t="n"/>
      <c r="V725" s="40" t="n"/>
      <c r="W725" s="40" t="n"/>
      <c r="X725" s="40" t="n"/>
      <c r="Y725" s="40" t="n"/>
      <c r="Z725" s="40" t="n"/>
      <c r="AA725" s="39" t="n"/>
    </row>
    <row r="726">
      <c r="A726" s="7" t="n"/>
      <c r="B726" s="7" t="n"/>
      <c r="C726" s="39" t="n"/>
      <c r="D726" s="39" t="n"/>
      <c r="E726" s="7" t="n"/>
      <c r="F726" s="7" t="n"/>
      <c r="G726" s="7" t="n"/>
      <c r="H726" s="39" t="n"/>
      <c r="I726" s="39" t="n"/>
      <c r="J726" s="39" t="n"/>
      <c r="K726" s="39" t="n"/>
      <c r="L726" s="39" t="n"/>
      <c r="M726" s="7" t="n"/>
      <c r="N726" s="7" t="n"/>
      <c r="O726" s="40" t="n"/>
      <c r="P726" s="40" t="n"/>
      <c r="Q726" s="40" t="n"/>
      <c r="R726" s="40" t="n"/>
      <c r="S726" s="40" t="n"/>
      <c r="T726" s="40" t="n"/>
      <c r="U726" s="40" t="n"/>
      <c r="V726" s="40" t="n"/>
      <c r="W726" s="40" t="n"/>
      <c r="X726" s="40" t="n"/>
      <c r="Y726" s="40" t="n"/>
      <c r="Z726" s="40" t="n"/>
      <c r="AA726" s="39" t="n"/>
    </row>
    <row r="727">
      <c r="A727" s="7" t="n"/>
      <c r="B727" s="7" t="n"/>
      <c r="C727" s="39" t="n"/>
      <c r="D727" s="39" t="n"/>
      <c r="E727" s="7" t="n"/>
      <c r="F727" s="7" t="n"/>
      <c r="G727" s="7" t="n"/>
      <c r="H727" s="39" t="n"/>
      <c r="I727" s="39" t="n"/>
      <c r="J727" s="39" t="n"/>
      <c r="K727" s="39" t="n"/>
      <c r="L727" s="39" t="n"/>
      <c r="M727" s="7" t="n"/>
      <c r="N727" s="7" t="n"/>
      <c r="O727" s="40" t="n"/>
      <c r="P727" s="40" t="n"/>
      <c r="Q727" s="40" t="n"/>
      <c r="R727" s="40" t="n"/>
      <c r="S727" s="40" t="n"/>
      <c r="T727" s="40" t="n"/>
      <c r="U727" s="40" t="n"/>
      <c r="V727" s="40" t="n"/>
      <c r="W727" s="40" t="n"/>
      <c r="X727" s="40" t="n"/>
      <c r="Y727" s="40" t="n"/>
      <c r="Z727" s="40" t="n"/>
      <c r="AA727" s="39" t="n"/>
    </row>
    <row r="728">
      <c r="A728" s="7" t="n"/>
      <c r="B728" s="7" t="n"/>
      <c r="C728" s="39" t="n"/>
      <c r="D728" s="39" t="n"/>
      <c r="E728" s="7" t="n"/>
      <c r="F728" s="7" t="n"/>
      <c r="G728" s="7" t="n"/>
      <c r="H728" s="39" t="n"/>
      <c r="I728" s="39" t="n"/>
      <c r="J728" s="39" t="n"/>
      <c r="K728" s="39" t="n"/>
      <c r="L728" s="39" t="n"/>
      <c r="M728" s="7" t="n"/>
      <c r="N728" s="7" t="n"/>
      <c r="O728" s="40" t="n"/>
      <c r="P728" s="40" t="n"/>
      <c r="Q728" s="40" t="n"/>
      <c r="R728" s="40" t="n"/>
      <c r="S728" s="40" t="n"/>
      <c r="T728" s="40" t="n"/>
      <c r="U728" s="40" t="n"/>
      <c r="V728" s="40" t="n"/>
      <c r="W728" s="40" t="n"/>
      <c r="X728" s="40" t="n"/>
      <c r="Y728" s="40" t="n"/>
      <c r="Z728" s="40" t="n"/>
      <c r="AA728" s="39" t="n"/>
    </row>
    <row r="729">
      <c r="A729" s="7" t="n"/>
      <c r="B729" s="7" t="n"/>
      <c r="C729" s="39" t="n"/>
      <c r="D729" s="39" t="n"/>
      <c r="E729" s="7" t="n"/>
      <c r="F729" s="7" t="n"/>
      <c r="G729" s="7" t="n"/>
      <c r="H729" s="39" t="n"/>
      <c r="I729" s="39" t="n"/>
      <c r="J729" s="39" t="n"/>
      <c r="K729" s="39" t="n"/>
      <c r="L729" s="39" t="n"/>
      <c r="M729" s="7" t="n"/>
      <c r="N729" s="7" t="n"/>
      <c r="O729" s="40" t="n"/>
      <c r="P729" s="40" t="n"/>
      <c r="Q729" s="40" t="n"/>
      <c r="R729" s="40" t="n"/>
      <c r="S729" s="40" t="n"/>
      <c r="T729" s="40" t="n"/>
      <c r="U729" s="40" t="n"/>
      <c r="V729" s="40" t="n"/>
      <c r="W729" s="40" t="n"/>
      <c r="X729" s="40" t="n"/>
      <c r="Y729" s="40" t="n"/>
      <c r="Z729" s="40" t="n"/>
      <c r="AA729" s="39" t="n"/>
    </row>
    <row r="730">
      <c r="A730" s="7" t="n"/>
      <c r="B730" s="7" t="n"/>
      <c r="C730" s="39" t="n"/>
      <c r="D730" s="39" t="n"/>
      <c r="E730" s="7" t="n"/>
      <c r="F730" s="7" t="n"/>
      <c r="G730" s="7" t="n"/>
      <c r="H730" s="39" t="n"/>
      <c r="I730" s="39" t="n"/>
      <c r="J730" s="39" t="n"/>
      <c r="K730" s="39" t="n"/>
      <c r="L730" s="39" t="n"/>
      <c r="M730" s="7" t="n"/>
      <c r="N730" s="7" t="n"/>
      <c r="O730" s="40" t="n"/>
      <c r="P730" s="40" t="n"/>
      <c r="Q730" s="40" t="n"/>
      <c r="R730" s="40" t="n"/>
      <c r="S730" s="40" t="n"/>
      <c r="T730" s="40" t="n"/>
      <c r="U730" s="40" t="n"/>
      <c r="V730" s="40" t="n"/>
      <c r="W730" s="40" t="n"/>
      <c r="X730" s="40" t="n"/>
      <c r="Y730" s="40" t="n"/>
      <c r="Z730" s="40" t="n"/>
      <c r="AA730" s="39" t="n"/>
    </row>
    <row r="731">
      <c r="A731" s="7" t="n"/>
      <c r="B731" s="7" t="n"/>
      <c r="C731" s="39" t="n"/>
      <c r="D731" s="39" t="n"/>
      <c r="E731" s="7" t="n"/>
      <c r="F731" s="7" t="n"/>
      <c r="G731" s="7" t="n"/>
      <c r="H731" s="39" t="n"/>
      <c r="I731" s="39" t="n"/>
      <c r="J731" s="39" t="n"/>
      <c r="K731" s="39" t="n"/>
      <c r="L731" s="39" t="n"/>
      <c r="M731" s="7" t="n"/>
      <c r="N731" s="7" t="n"/>
      <c r="O731" s="40" t="n"/>
      <c r="P731" s="40" t="n"/>
      <c r="Q731" s="40" t="n"/>
      <c r="R731" s="40" t="n"/>
      <c r="S731" s="40" t="n"/>
      <c r="T731" s="40" t="n"/>
      <c r="U731" s="40" t="n"/>
      <c r="V731" s="40" t="n"/>
      <c r="W731" s="40" t="n"/>
      <c r="X731" s="40" t="n"/>
      <c r="Y731" s="40" t="n"/>
      <c r="Z731" s="40" t="n"/>
      <c r="AA731" s="39" t="n"/>
    </row>
    <row r="732">
      <c r="A732" s="7" t="n"/>
      <c r="B732" s="7" t="n"/>
      <c r="C732" s="39" t="n"/>
      <c r="D732" s="39" t="n"/>
      <c r="E732" s="7" t="n"/>
      <c r="F732" s="7" t="n"/>
      <c r="G732" s="7" t="n"/>
      <c r="H732" s="39" t="n"/>
      <c r="I732" s="39" t="n"/>
      <c r="J732" s="39" t="n"/>
      <c r="K732" s="39" t="n"/>
      <c r="L732" s="39" t="n"/>
      <c r="M732" s="7" t="n"/>
      <c r="N732" s="7" t="n"/>
      <c r="O732" s="40" t="n"/>
      <c r="P732" s="40" t="n"/>
      <c r="Q732" s="40" t="n"/>
      <c r="R732" s="40" t="n"/>
      <c r="S732" s="40" t="n"/>
      <c r="T732" s="40" t="n"/>
      <c r="U732" s="40" t="n"/>
      <c r="V732" s="40" t="n"/>
      <c r="W732" s="40" t="n"/>
      <c r="X732" s="40" t="n"/>
      <c r="Y732" s="40" t="n"/>
      <c r="Z732" s="40" t="n"/>
      <c r="AA732" s="39" t="n"/>
    </row>
    <row r="733">
      <c r="A733" s="7" t="n"/>
      <c r="B733" s="7" t="n"/>
      <c r="C733" s="39" t="n"/>
      <c r="D733" s="39" t="n"/>
      <c r="E733" s="7" t="n"/>
      <c r="F733" s="7" t="n"/>
      <c r="G733" s="7" t="n"/>
      <c r="H733" s="39" t="n"/>
      <c r="I733" s="39" t="n"/>
      <c r="J733" s="39" t="n"/>
      <c r="K733" s="39" t="n"/>
      <c r="L733" s="39" t="n"/>
      <c r="M733" s="7" t="n"/>
      <c r="N733" s="7" t="n"/>
      <c r="O733" s="40" t="n"/>
      <c r="P733" s="40" t="n"/>
      <c r="Q733" s="40" t="n"/>
      <c r="R733" s="40" t="n"/>
      <c r="S733" s="40" t="n"/>
      <c r="T733" s="40" t="n"/>
      <c r="U733" s="40" t="n"/>
      <c r="V733" s="40" t="n"/>
      <c r="W733" s="40" t="n"/>
      <c r="X733" s="40" t="n"/>
      <c r="Y733" s="40" t="n"/>
      <c r="Z733" s="40" t="n"/>
      <c r="AA733" s="39" t="n"/>
    </row>
    <row r="734">
      <c r="A734" s="7" t="n"/>
      <c r="B734" s="7" t="n"/>
      <c r="C734" s="39" t="n"/>
      <c r="D734" s="39" t="n"/>
      <c r="E734" s="7" t="n"/>
      <c r="F734" s="7" t="n"/>
      <c r="G734" s="7" t="n"/>
      <c r="H734" s="39" t="n"/>
      <c r="I734" s="39" t="n"/>
      <c r="J734" s="39" t="n"/>
      <c r="K734" s="39" t="n"/>
      <c r="L734" s="39" t="n"/>
      <c r="M734" s="7" t="n"/>
      <c r="N734" s="7" t="n"/>
      <c r="O734" s="40" t="n"/>
      <c r="P734" s="40" t="n"/>
      <c r="Q734" s="40" t="n"/>
      <c r="R734" s="40" t="n"/>
      <c r="S734" s="40" t="n"/>
      <c r="T734" s="40" t="n"/>
      <c r="U734" s="40" t="n"/>
      <c r="V734" s="40" t="n"/>
      <c r="W734" s="40" t="n"/>
      <c r="X734" s="40" t="n"/>
      <c r="Y734" s="40" t="n"/>
      <c r="Z734" s="40" t="n"/>
      <c r="AA734" s="39" t="n"/>
    </row>
    <row r="735">
      <c r="A735" s="7" t="n"/>
      <c r="B735" s="7" t="n"/>
      <c r="C735" s="39" t="n"/>
      <c r="D735" s="39" t="n"/>
      <c r="E735" s="7" t="n"/>
      <c r="F735" s="7" t="n"/>
      <c r="G735" s="7" t="n"/>
      <c r="H735" s="39" t="n"/>
      <c r="I735" s="39" t="n"/>
      <c r="J735" s="39" t="n"/>
      <c r="K735" s="39" t="n"/>
      <c r="L735" s="39" t="n"/>
      <c r="M735" s="7" t="n"/>
      <c r="N735" s="7" t="n"/>
      <c r="O735" s="40" t="n"/>
      <c r="P735" s="40" t="n"/>
      <c r="Q735" s="40" t="n"/>
      <c r="R735" s="40" t="n"/>
      <c r="S735" s="40" t="n"/>
      <c r="T735" s="40" t="n"/>
      <c r="U735" s="40" t="n"/>
      <c r="V735" s="40" t="n"/>
      <c r="W735" s="40" t="n"/>
      <c r="X735" s="40" t="n"/>
      <c r="Y735" s="40" t="n"/>
      <c r="Z735" s="40" t="n"/>
      <c r="AA735" s="39" t="n"/>
    </row>
    <row r="736">
      <c r="A736" s="7" t="n"/>
      <c r="B736" s="7" t="n"/>
      <c r="C736" s="39" t="n"/>
      <c r="D736" s="39" t="n"/>
      <c r="E736" s="7" t="n"/>
      <c r="F736" s="7" t="n"/>
      <c r="G736" s="7" t="n"/>
      <c r="H736" s="39" t="n"/>
      <c r="I736" s="39" t="n"/>
      <c r="J736" s="39" t="n"/>
      <c r="K736" s="39" t="n"/>
      <c r="L736" s="39" t="n"/>
      <c r="M736" s="7" t="n"/>
      <c r="N736" s="7" t="n"/>
      <c r="O736" s="40" t="n"/>
      <c r="P736" s="40" t="n"/>
      <c r="Q736" s="40" t="n"/>
      <c r="R736" s="40" t="n"/>
      <c r="S736" s="40" t="n"/>
      <c r="T736" s="40" t="n"/>
      <c r="U736" s="40" t="n"/>
      <c r="V736" s="40" t="n"/>
      <c r="W736" s="40" t="n"/>
      <c r="X736" s="40" t="n"/>
      <c r="Y736" s="40" t="n"/>
      <c r="Z736" s="40" t="n"/>
      <c r="AA736" s="39" t="n"/>
    </row>
    <row r="737">
      <c r="A737" s="7" t="n"/>
      <c r="B737" s="7" t="n"/>
      <c r="C737" s="39" t="n"/>
      <c r="D737" s="39" t="n"/>
      <c r="E737" s="7" t="n"/>
      <c r="F737" s="7" t="n"/>
      <c r="G737" s="7" t="n"/>
      <c r="H737" s="39" t="n"/>
      <c r="I737" s="39" t="n"/>
      <c r="J737" s="39" t="n"/>
      <c r="K737" s="39" t="n"/>
      <c r="L737" s="39" t="n"/>
      <c r="M737" s="7" t="n"/>
      <c r="N737" s="7" t="n"/>
      <c r="O737" s="40" t="n"/>
      <c r="P737" s="40" t="n"/>
      <c r="Q737" s="40" t="n"/>
      <c r="R737" s="40" t="n"/>
      <c r="S737" s="40" t="n"/>
      <c r="T737" s="40" t="n"/>
      <c r="U737" s="40" t="n"/>
      <c r="V737" s="40" t="n"/>
      <c r="W737" s="40" t="n"/>
      <c r="X737" s="40" t="n"/>
      <c r="Y737" s="40" t="n"/>
      <c r="Z737" s="40" t="n"/>
      <c r="AA737" s="39" t="n"/>
    </row>
    <row r="738">
      <c r="A738" s="7" t="n"/>
      <c r="B738" s="7" t="n"/>
      <c r="C738" s="39" t="n"/>
      <c r="D738" s="39" t="n"/>
      <c r="E738" s="7" t="n"/>
      <c r="F738" s="7" t="n"/>
      <c r="G738" s="7" t="n"/>
      <c r="H738" s="39" t="n"/>
      <c r="I738" s="39" t="n"/>
      <c r="J738" s="39" t="n"/>
      <c r="K738" s="39" t="n"/>
      <c r="L738" s="39" t="n"/>
      <c r="M738" s="7" t="n"/>
      <c r="N738" s="7" t="n"/>
      <c r="O738" s="40" t="n"/>
      <c r="P738" s="40" t="n"/>
      <c r="Q738" s="40" t="n"/>
      <c r="R738" s="40" t="n"/>
      <c r="S738" s="40" t="n"/>
      <c r="T738" s="40" t="n"/>
      <c r="U738" s="40" t="n"/>
      <c r="V738" s="40" t="n"/>
      <c r="W738" s="40" t="n"/>
      <c r="X738" s="40" t="n"/>
      <c r="Y738" s="40" t="n"/>
      <c r="Z738" s="40" t="n"/>
      <c r="AA738" s="39" t="n"/>
    </row>
    <row r="739">
      <c r="A739" s="7" t="n"/>
      <c r="B739" s="7" t="n"/>
      <c r="C739" s="39" t="n"/>
      <c r="D739" s="39" t="n"/>
      <c r="E739" s="7" t="n"/>
      <c r="F739" s="7" t="n"/>
      <c r="G739" s="7" t="n"/>
      <c r="H739" s="39" t="n"/>
      <c r="I739" s="39" t="n"/>
      <c r="J739" s="39" t="n"/>
      <c r="K739" s="39" t="n"/>
      <c r="L739" s="39" t="n"/>
      <c r="M739" s="7" t="n"/>
      <c r="N739" s="7" t="n"/>
      <c r="O739" s="40" t="n"/>
      <c r="P739" s="40" t="n"/>
      <c r="Q739" s="40" t="n"/>
      <c r="R739" s="40" t="n"/>
      <c r="S739" s="40" t="n"/>
      <c r="T739" s="40" t="n"/>
      <c r="U739" s="40" t="n"/>
      <c r="V739" s="40" t="n"/>
      <c r="W739" s="40" t="n"/>
      <c r="X739" s="40" t="n"/>
      <c r="Y739" s="40" t="n"/>
      <c r="Z739" s="40" t="n"/>
      <c r="AA739" s="39" t="n"/>
    </row>
    <row r="740">
      <c r="A740" s="7" t="n"/>
      <c r="B740" s="7" t="n"/>
      <c r="C740" s="39" t="n"/>
      <c r="D740" s="39" t="n"/>
      <c r="E740" s="7" t="n"/>
      <c r="F740" s="7" t="n"/>
      <c r="G740" s="7" t="n"/>
      <c r="H740" s="39" t="n"/>
      <c r="I740" s="39" t="n"/>
      <c r="J740" s="39" t="n"/>
      <c r="K740" s="39" t="n"/>
      <c r="L740" s="39" t="n"/>
      <c r="M740" s="7" t="n"/>
      <c r="N740" s="7" t="n"/>
      <c r="O740" s="40" t="n"/>
      <c r="P740" s="40" t="n"/>
      <c r="Q740" s="40" t="n"/>
      <c r="R740" s="40" t="n"/>
      <c r="S740" s="40" t="n"/>
      <c r="T740" s="40" t="n"/>
      <c r="U740" s="40" t="n"/>
      <c r="V740" s="40" t="n"/>
      <c r="W740" s="40" t="n"/>
      <c r="X740" s="40" t="n"/>
      <c r="Y740" s="40" t="n"/>
      <c r="Z740" s="40" t="n"/>
      <c r="AA740" s="39" t="n"/>
    </row>
    <row r="741">
      <c r="A741" s="7" t="n"/>
      <c r="B741" s="7" t="n"/>
      <c r="C741" s="39" t="n"/>
      <c r="D741" s="39" t="n"/>
      <c r="E741" s="7" t="n"/>
      <c r="F741" s="7" t="n"/>
      <c r="G741" s="7" t="n"/>
      <c r="H741" s="39" t="n"/>
      <c r="I741" s="39" t="n"/>
      <c r="J741" s="39" t="n"/>
      <c r="K741" s="39" t="n"/>
      <c r="L741" s="39" t="n"/>
      <c r="M741" s="7" t="n"/>
      <c r="N741" s="7" t="n"/>
      <c r="O741" s="40" t="n"/>
      <c r="P741" s="40" t="n"/>
      <c r="Q741" s="40" t="n"/>
      <c r="R741" s="40" t="n"/>
      <c r="S741" s="40" t="n"/>
      <c r="T741" s="40" t="n"/>
      <c r="U741" s="40" t="n"/>
      <c r="V741" s="40" t="n"/>
      <c r="W741" s="40" t="n"/>
      <c r="X741" s="40" t="n"/>
      <c r="Y741" s="40" t="n"/>
      <c r="Z741" s="40" t="n"/>
      <c r="AA741" s="39" t="n"/>
    </row>
    <row r="742">
      <c r="A742" s="7" t="n"/>
      <c r="B742" s="7" t="n"/>
      <c r="C742" s="39" t="n"/>
      <c r="D742" s="39" t="n"/>
      <c r="E742" s="7" t="n"/>
      <c r="F742" s="7" t="n"/>
      <c r="G742" s="7" t="n"/>
      <c r="H742" s="39" t="n"/>
      <c r="I742" s="39" t="n"/>
      <c r="J742" s="39" t="n"/>
      <c r="K742" s="39" t="n"/>
      <c r="L742" s="39" t="n"/>
      <c r="M742" s="7" t="n"/>
      <c r="N742" s="7" t="n"/>
      <c r="O742" s="40" t="n"/>
      <c r="P742" s="40" t="n"/>
      <c r="Q742" s="40" t="n"/>
      <c r="R742" s="40" t="n"/>
      <c r="S742" s="40" t="n"/>
      <c r="T742" s="40" t="n"/>
      <c r="U742" s="40" t="n"/>
      <c r="V742" s="40" t="n"/>
      <c r="W742" s="40" t="n"/>
      <c r="X742" s="40" t="n"/>
      <c r="Y742" s="40" t="n"/>
      <c r="Z742" s="40" t="n"/>
      <c r="AA742" s="39" t="n"/>
    </row>
    <row r="743">
      <c r="A743" s="7" t="n"/>
      <c r="B743" s="7" t="n"/>
      <c r="C743" s="39" t="n"/>
      <c r="D743" s="39" t="n"/>
      <c r="E743" s="7" t="n"/>
      <c r="F743" s="7" t="n"/>
      <c r="G743" s="7" t="n"/>
      <c r="H743" s="39" t="n"/>
      <c r="I743" s="39" t="n"/>
      <c r="J743" s="39" t="n"/>
      <c r="K743" s="39" t="n"/>
      <c r="L743" s="39" t="n"/>
      <c r="M743" s="7" t="n"/>
      <c r="N743" s="7" t="n"/>
      <c r="O743" s="40" t="n"/>
      <c r="P743" s="40" t="n"/>
      <c r="Q743" s="40" t="n"/>
      <c r="R743" s="40" t="n"/>
      <c r="S743" s="40" t="n"/>
      <c r="T743" s="40" t="n"/>
      <c r="U743" s="40" t="n"/>
      <c r="V743" s="40" t="n"/>
      <c r="W743" s="40" t="n"/>
      <c r="X743" s="40" t="n"/>
      <c r="Y743" s="40" t="n"/>
      <c r="Z743" s="40" t="n"/>
      <c r="AA743" s="39" t="n"/>
    </row>
    <row r="744">
      <c r="A744" s="7" t="n"/>
      <c r="B744" s="7" t="n"/>
      <c r="C744" s="39" t="n"/>
      <c r="D744" s="39" t="n"/>
      <c r="E744" s="7" t="n"/>
      <c r="F744" s="7" t="n"/>
      <c r="G744" s="7" t="n"/>
      <c r="H744" s="39" t="n"/>
      <c r="I744" s="39" t="n"/>
      <c r="J744" s="39" t="n"/>
      <c r="K744" s="39" t="n"/>
      <c r="L744" s="39" t="n"/>
      <c r="M744" s="7" t="n"/>
      <c r="N744" s="7" t="n"/>
      <c r="O744" s="40" t="n"/>
      <c r="P744" s="40" t="n"/>
      <c r="Q744" s="40" t="n"/>
      <c r="R744" s="40" t="n"/>
      <c r="S744" s="40" t="n"/>
      <c r="T744" s="40" t="n"/>
      <c r="U744" s="40" t="n"/>
      <c r="V744" s="40" t="n"/>
      <c r="W744" s="40" t="n"/>
      <c r="X744" s="40" t="n"/>
      <c r="Y744" s="40" t="n"/>
      <c r="Z744" s="40" t="n"/>
      <c r="AA744" s="39" t="n"/>
    </row>
    <row r="745">
      <c r="A745" s="7" t="n"/>
      <c r="B745" s="7" t="n"/>
      <c r="C745" s="39" t="n"/>
      <c r="D745" s="39" t="n"/>
      <c r="E745" s="7" t="n"/>
      <c r="F745" s="7" t="n"/>
      <c r="G745" s="7" t="n"/>
      <c r="H745" s="39" t="n"/>
      <c r="I745" s="39" t="n"/>
      <c r="J745" s="39" t="n"/>
      <c r="K745" s="39" t="n"/>
      <c r="L745" s="39" t="n"/>
      <c r="M745" s="7" t="n"/>
      <c r="N745" s="7" t="n"/>
      <c r="O745" s="40" t="n"/>
      <c r="P745" s="40" t="n"/>
      <c r="Q745" s="40" t="n"/>
      <c r="R745" s="40" t="n"/>
      <c r="S745" s="40" t="n"/>
      <c r="T745" s="40" t="n"/>
      <c r="U745" s="40" t="n"/>
      <c r="V745" s="40" t="n"/>
      <c r="W745" s="40" t="n"/>
      <c r="X745" s="40" t="n"/>
      <c r="Y745" s="40" t="n"/>
      <c r="Z745" s="40" t="n"/>
      <c r="AA745" s="39" t="n"/>
    </row>
    <row r="746">
      <c r="A746" s="7" t="n"/>
      <c r="B746" s="7" t="n"/>
      <c r="C746" s="39" t="n"/>
      <c r="D746" s="39" t="n"/>
      <c r="E746" s="7" t="n"/>
      <c r="F746" s="7" t="n"/>
      <c r="G746" s="7" t="n"/>
      <c r="H746" s="39" t="n"/>
      <c r="I746" s="39" t="n"/>
      <c r="J746" s="39" t="n"/>
      <c r="K746" s="39" t="n"/>
      <c r="L746" s="39" t="n"/>
      <c r="M746" s="7" t="n"/>
      <c r="N746" s="7" t="n"/>
      <c r="O746" s="40" t="n"/>
      <c r="P746" s="40" t="n"/>
      <c r="Q746" s="40" t="n"/>
      <c r="R746" s="40" t="n"/>
      <c r="S746" s="40" t="n"/>
      <c r="T746" s="40" t="n"/>
      <c r="U746" s="40" t="n"/>
      <c r="V746" s="40" t="n"/>
      <c r="W746" s="40" t="n"/>
      <c r="X746" s="40" t="n"/>
      <c r="Y746" s="40" t="n"/>
      <c r="Z746" s="40" t="n"/>
      <c r="AA746" s="39" t="n"/>
    </row>
    <row r="747">
      <c r="A747" s="7" t="n"/>
      <c r="B747" s="7" t="n"/>
      <c r="C747" s="39" t="n"/>
      <c r="D747" s="39" t="n"/>
      <c r="E747" s="7" t="n"/>
      <c r="F747" s="7" t="n"/>
      <c r="G747" s="7" t="n"/>
      <c r="H747" s="39" t="n"/>
      <c r="I747" s="39" t="n"/>
      <c r="J747" s="39" t="n"/>
      <c r="K747" s="39" t="n"/>
      <c r="L747" s="39" t="n"/>
      <c r="M747" s="7" t="n"/>
      <c r="N747" s="7" t="n"/>
      <c r="O747" s="40" t="n"/>
      <c r="P747" s="40" t="n"/>
      <c r="Q747" s="40" t="n"/>
      <c r="R747" s="40" t="n"/>
      <c r="S747" s="40" t="n"/>
      <c r="T747" s="40" t="n"/>
      <c r="U747" s="40" t="n"/>
      <c r="V747" s="40" t="n"/>
      <c r="W747" s="40" t="n"/>
      <c r="X747" s="40" t="n"/>
      <c r="Y747" s="40" t="n"/>
      <c r="Z747" s="40" t="n"/>
      <c r="AA747" s="39" t="n"/>
    </row>
    <row r="748">
      <c r="A748" s="7" t="n"/>
      <c r="B748" s="7" t="n"/>
      <c r="C748" s="39" t="n"/>
      <c r="D748" s="39" t="n"/>
      <c r="E748" s="7" t="n"/>
      <c r="F748" s="7" t="n"/>
      <c r="G748" s="7" t="n"/>
      <c r="H748" s="39" t="n"/>
      <c r="I748" s="39" t="n"/>
      <c r="J748" s="39" t="n"/>
      <c r="K748" s="39" t="n"/>
      <c r="L748" s="39" t="n"/>
      <c r="M748" s="7" t="n"/>
      <c r="N748" s="7" t="n"/>
      <c r="O748" s="40" t="n"/>
      <c r="P748" s="40" t="n"/>
      <c r="Q748" s="40" t="n"/>
      <c r="R748" s="40" t="n"/>
      <c r="S748" s="40" t="n"/>
      <c r="T748" s="40" t="n"/>
      <c r="U748" s="40" t="n"/>
      <c r="V748" s="40" t="n"/>
      <c r="W748" s="40" t="n"/>
      <c r="X748" s="40" t="n"/>
      <c r="Y748" s="40" t="n"/>
      <c r="Z748" s="40" t="n"/>
      <c r="AA748" s="39" t="n"/>
    </row>
    <row r="749">
      <c r="A749" s="7" t="n"/>
      <c r="B749" s="7" t="n"/>
      <c r="C749" s="39" t="n"/>
      <c r="D749" s="39" t="n"/>
      <c r="E749" s="7" t="n"/>
      <c r="F749" s="7" t="n"/>
      <c r="G749" s="7" t="n"/>
      <c r="H749" s="39" t="n"/>
      <c r="I749" s="39" t="n"/>
      <c r="J749" s="39" t="n"/>
      <c r="K749" s="39" t="n"/>
      <c r="L749" s="39" t="n"/>
      <c r="M749" s="7" t="n"/>
      <c r="N749" s="7" t="n"/>
      <c r="O749" s="40" t="n"/>
      <c r="P749" s="40" t="n"/>
      <c r="Q749" s="40" t="n"/>
      <c r="R749" s="40" t="n"/>
      <c r="S749" s="40" t="n"/>
      <c r="T749" s="40" t="n"/>
      <c r="U749" s="40" t="n"/>
      <c r="V749" s="40" t="n"/>
      <c r="W749" s="40" t="n"/>
      <c r="X749" s="40" t="n"/>
      <c r="Y749" s="40" t="n"/>
      <c r="Z749" s="40" t="n"/>
      <c r="AA749" s="39" t="n"/>
    </row>
    <row r="750">
      <c r="A750" s="7" t="n"/>
      <c r="B750" s="7" t="n"/>
      <c r="C750" s="39" t="n"/>
      <c r="D750" s="39" t="n"/>
      <c r="E750" s="7" t="n"/>
      <c r="F750" s="7" t="n"/>
      <c r="G750" s="7" t="n"/>
      <c r="H750" s="39" t="n"/>
      <c r="I750" s="39" t="n"/>
      <c r="J750" s="39" t="n"/>
      <c r="K750" s="39" t="n"/>
      <c r="L750" s="39" t="n"/>
      <c r="M750" s="7" t="n"/>
      <c r="N750" s="7" t="n"/>
      <c r="O750" s="40" t="n"/>
      <c r="P750" s="40" t="n"/>
      <c r="Q750" s="40" t="n"/>
      <c r="R750" s="40" t="n"/>
      <c r="S750" s="40" t="n"/>
      <c r="T750" s="40" t="n"/>
      <c r="U750" s="40" t="n"/>
      <c r="V750" s="40" t="n"/>
      <c r="W750" s="40" t="n"/>
      <c r="X750" s="40" t="n"/>
      <c r="Y750" s="40" t="n"/>
      <c r="Z750" s="40" t="n"/>
      <c r="AA750" s="39" t="n"/>
    </row>
    <row r="751">
      <c r="A751" s="7" t="n"/>
      <c r="B751" s="7" t="n"/>
      <c r="C751" s="39" t="n"/>
      <c r="D751" s="39" t="n"/>
      <c r="E751" s="7" t="n"/>
      <c r="F751" s="7" t="n"/>
      <c r="G751" s="7" t="n"/>
      <c r="H751" s="39" t="n"/>
      <c r="I751" s="39" t="n"/>
      <c r="J751" s="39" t="n"/>
      <c r="K751" s="39" t="n"/>
      <c r="L751" s="39" t="n"/>
      <c r="M751" s="7" t="n"/>
      <c r="N751" s="7" t="n"/>
      <c r="O751" s="40" t="n"/>
      <c r="P751" s="40" t="n"/>
      <c r="Q751" s="40" t="n"/>
      <c r="R751" s="40" t="n"/>
      <c r="S751" s="40" t="n"/>
      <c r="T751" s="40" t="n"/>
      <c r="U751" s="40" t="n"/>
      <c r="V751" s="40" t="n"/>
      <c r="W751" s="40" t="n"/>
      <c r="X751" s="40" t="n"/>
      <c r="Y751" s="40" t="n"/>
      <c r="Z751" s="40" t="n"/>
      <c r="AA751" s="39" t="n"/>
    </row>
    <row r="752">
      <c r="A752" s="7" t="n"/>
      <c r="B752" s="7" t="n"/>
      <c r="C752" s="39" t="n"/>
      <c r="D752" s="39" t="n"/>
      <c r="E752" s="7" t="n"/>
      <c r="F752" s="7" t="n"/>
      <c r="G752" s="7" t="n"/>
      <c r="H752" s="39" t="n"/>
      <c r="I752" s="39" t="n"/>
      <c r="J752" s="39" t="n"/>
      <c r="K752" s="39" t="n"/>
      <c r="L752" s="39" t="n"/>
      <c r="M752" s="7" t="n"/>
      <c r="N752" s="7" t="n"/>
      <c r="O752" s="40" t="n"/>
      <c r="P752" s="40" t="n"/>
      <c r="Q752" s="40" t="n"/>
      <c r="R752" s="40" t="n"/>
      <c r="S752" s="40" t="n"/>
      <c r="T752" s="40" t="n"/>
      <c r="U752" s="40" t="n"/>
      <c r="V752" s="40" t="n"/>
      <c r="W752" s="40" t="n"/>
      <c r="X752" s="40" t="n"/>
      <c r="Y752" s="40" t="n"/>
      <c r="Z752" s="40" t="n"/>
      <c r="AA752" s="39" t="n"/>
    </row>
    <row r="753">
      <c r="A753" s="7" t="n"/>
      <c r="B753" s="7" t="n"/>
      <c r="C753" s="39" t="n"/>
      <c r="D753" s="39" t="n"/>
      <c r="E753" s="7" t="n"/>
      <c r="F753" s="7" t="n"/>
      <c r="G753" s="7" t="n"/>
      <c r="H753" s="39" t="n"/>
      <c r="I753" s="39" t="n"/>
      <c r="J753" s="39" t="n"/>
      <c r="K753" s="39" t="n"/>
      <c r="L753" s="39" t="n"/>
      <c r="M753" s="7" t="n"/>
      <c r="N753" s="7" t="n"/>
      <c r="O753" s="40" t="n"/>
      <c r="P753" s="40" t="n"/>
      <c r="Q753" s="40" t="n"/>
      <c r="R753" s="40" t="n"/>
      <c r="S753" s="40" t="n"/>
      <c r="T753" s="40" t="n"/>
      <c r="U753" s="40" t="n"/>
      <c r="V753" s="40" t="n"/>
      <c r="W753" s="40" t="n"/>
      <c r="X753" s="40" t="n"/>
      <c r="Y753" s="40" t="n"/>
      <c r="Z753" s="40" t="n"/>
      <c r="AA753" s="39" t="n"/>
    </row>
    <row r="754">
      <c r="A754" s="7" t="n"/>
      <c r="B754" s="7" t="n"/>
      <c r="C754" s="39" t="n"/>
      <c r="D754" s="39" t="n"/>
      <c r="E754" s="7" t="n"/>
      <c r="F754" s="7" t="n"/>
      <c r="G754" s="7" t="n"/>
      <c r="H754" s="39" t="n"/>
      <c r="I754" s="39" t="n"/>
      <c r="J754" s="39" t="n"/>
      <c r="K754" s="39" t="n"/>
      <c r="L754" s="39" t="n"/>
      <c r="M754" s="7" t="n"/>
      <c r="N754" s="7" t="n"/>
      <c r="O754" s="40" t="n"/>
      <c r="P754" s="40" t="n"/>
      <c r="Q754" s="40" t="n"/>
      <c r="R754" s="40" t="n"/>
      <c r="S754" s="40" t="n"/>
      <c r="T754" s="40" t="n"/>
      <c r="U754" s="40" t="n"/>
      <c r="V754" s="40" t="n"/>
      <c r="W754" s="40" t="n"/>
      <c r="X754" s="40" t="n"/>
      <c r="Y754" s="40" t="n"/>
      <c r="Z754" s="40" t="n"/>
      <c r="AA754" s="39" t="n"/>
    </row>
    <row r="755">
      <c r="A755" s="7" t="n"/>
      <c r="B755" s="7" t="n"/>
      <c r="C755" s="39" t="n"/>
      <c r="D755" s="39" t="n"/>
      <c r="E755" s="7" t="n"/>
      <c r="F755" s="7" t="n"/>
      <c r="G755" s="7" t="n"/>
      <c r="H755" s="39" t="n"/>
      <c r="I755" s="39" t="n"/>
      <c r="J755" s="39" t="n"/>
      <c r="K755" s="39" t="n"/>
      <c r="L755" s="39" t="n"/>
      <c r="M755" s="7" t="n"/>
      <c r="N755" s="7" t="n"/>
      <c r="O755" s="40" t="n"/>
      <c r="P755" s="40" t="n"/>
      <c r="Q755" s="40" t="n"/>
      <c r="R755" s="40" t="n"/>
      <c r="S755" s="40" t="n"/>
      <c r="T755" s="40" t="n"/>
      <c r="U755" s="40" t="n"/>
      <c r="V755" s="40" t="n"/>
      <c r="W755" s="40" t="n"/>
      <c r="X755" s="40" t="n"/>
      <c r="Y755" s="40" t="n"/>
      <c r="Z755" s="40" t="n"/>
      <c r="AA755" s="39" t="n"/>
    </row>
    <row r="756">
      <c r="A756" s="7" t="n"/>
      <c r="B756" s="7" t="n"/>
      <c r="C756" s="39" t="n"/>
      <c r="D756" s="39" t="n"/>
      <c r="E756" s="7" t="n"/>
      <c r="F756" s="7" t="n"/>
      <c r="G756" s="7" t="n"/>
      <c r="H756" s="39" t="n"/>
      <c r="I756" s="39" t="n"/>
      <c r="J756" s="39" t="n"/>
      <c r="K756" s="39" t="n"/>
      <c r="L756" s="39" t="n"/>
      <c r="M756" s="7" t="n"/>
      <c r="N756" s="7" t="n"/>
      <c r="O756" s="40" t="n"/>
      <c r="P756" s="40" t="n"/>
      <c r="Q756" s="40" t="n"/>
      <c r="R756" s="40" t="n"/>
      <c r="S756" s="40" t="n"/>
      <c r="T756" s="40" t="n"/>
      <c r="U756" s="40" t="n"/>
      <c r="V756" s="40" t="n"/>
      <c r="W756" s="40" t="n"/>
      <c r="X756" s="40" t="n"/>
      <c r="Y756" s="40" t="n"/>
      <c r="Z756" s="40" t="n"/>
      <c r="AA756" s="39" t="n"/>
    </row>
    <row r="757">
      <c r="A757" s="7" t="n"/>
      <c r="B757" s="7" t="n"/>
      <c r="C757" s="39" t="n"/>
      <c r="D757" s="39" t="n"/>
      <c r="E757" s="7" t="n"/>
      <c r="F757" s="7" t="n"/>
      <c r="G757" s="7" t="n"/>
      <c r="H757" s="39" t="n"/>
      <c r="I757" s="39" t="n"/>
      <c r="J757" s="39" t="n"/>
      <c r="K757" s="39" t="n"/>
      <c r="L757" s="39" t="n"/>
      <c r="M757" s="7" t="n"/>
      <c r="N757" s="7" t="n"/>
      <c r="O757" s="40" t="n"/>
      <c r="P757" s="40" t="n"/>
      <c r="Q757" s="40" t="n"/>
      <c r="R757" s="40" t="n"/>
      <c r="S757" s="40" t="n"/>
      <c r="T757" s="40" t="n"/>
      <c r="U757" s="40" t="n"/>
      <c r="V757" s="40" t="n"/>
      <c r="W757" s="40" t="n"/>
      <c r="X757" s="40" t="n"/>
      <c r="Y757" s="40" t="n"/>
      <c r="Z757" s="40" t="n"/>
      <c r="AA757" s="39" t="n"/>
    </row>
    <row r="758">
      <c r="A758" s="7" t="n"/>
      <c r="B758" s="7" t="n"/>
      <c r="C758" s="39" t="n"/>
      <c r="D758" s="39" t="n"/>
      <c r="E758" s="7" t="n"/>
      <c r="F758" s="7" t="n"/>
      <c r="G758" s="7" t="n"/>
      <c r="H758" s="39" t="n"/>
      <c r="I758" s="39" t="n"/>
      <c r="J758" s="39" t="n"/>
      <c r="K758" s="39" t="n"/>
      <c r="L758" s="39" t="n"/>
      <c r="M758" s="7" t="n"/>
      <c r="N758" s="7" t="n"/>
      <c r="O758" s="40" t="n"/>
      <c r="P758" s="40" t="n"/>
      <c r="Q758" s="40" t="n"/>
      <c r="R758" s="40" t="n"/>
      <c r="S758" s="40" t="n"/>
      <c r="T758" s="40" t="n"/>
      <c r="U758" s="40" t="n"/>
      <c r="V758" s="40" t="n"/>
      <c r="W758" s="40" t="n"/>
      <c r="X758" s="40" t="n"/>
      <c r="Y758" s="40" t="n"/>
      <c r="Z758" s="40" t="n"/>
      <c r="AA758" s="39" t="n"/>
    </row>
    <row r="759">
      <c r="A759" s="7" t="n"/>
      <c r="B759" s="7" t="n"/>
      <c r="C759" s="39" t="n"/>
      <c r="D759" s="39" t="n"/>
      <c r="E759" s="7" t="n"/>
      <c r="F759" s="7" t="n"/>
      <c r="G759" s="7" t="n"/>
      <c r="H759" s="39" t="n"/>
      <c r="I759" s="39" t="n"/>
      <c r="J759" s="39" t="n"/>
      <c r="K759" s="39" t="n"/>
      <c r="L759" s="39" t="n"/>
      <c r="M759" s="7" t="n"/>
      <c r="N759" s="7" t="n"/>
      <c r="O759" s="40" t="n"/>
      <c r="P759" s="40" t="n"/>
      <c r="Q759" s="40" t="n"/>
      <c r="R759" s="40" t="n"/>
      <c r="S759" s="40" t="n"/>
      <c r="T759" s="40" t="n"/>
      <c r="U759" s="40" t="n"/>
      <c r="V759" s="40" t="n"/>
      <c r="W759" s="40" t="n"/>
      <c r="X759" s="40" t="n"/>
      <c r="Y759" s="40" t="n"/>
      <c r="Z759" s="40" t="n"/>
      <c r="AA759" s="39" t="n"/>
    </row>
    <row r="760">
      <c r="A760" s="7" t="n"/>
      <c r="B760" s="7" t="n"/>
      <c r="C760" s="39" t="n"/>
      <c r="D760" s="39" t="n"/>
      <c r="E760" s="7" t="n"/>
      <c r="F760" s="7" t="n"/>
      <c r="G760" s="7" t="n"/>
      <c r="H760" s="39" t="n"/>
      <c r="I760" s="39" t="n"/>
      <c r="J760" s="39" t="n"/>
      <c r="K760" s="39" t="n"/>
      <c r="L760" s="39" t="n"/>
      <c r="M760" s="7" t="n"/>
      <c r="N760" s="7" t="n"/>
      <c r="O760" s="40" t="n"/>
      <c r="P760" s="40" t="n"/>
      <c r="Q760" s="40" t="n"/>
      <c r="R760" s="40" t="n"/>
      <c r="S760" s="40" t="n"/>
      <c r="T760" s="40" t="n"/>
      <c r="U760" s="40" t="n"/>
      <c r="V760" s="40" t="n"/>
      <c r="W760" s="40" t="n"/>
      <c r="X760" s="40" t="n"/>
      <c r="Y760" s="40" t="n"/>
      <c r="Z760" s="40" t="n"/>
      <c r="AA760" s="39" t="n"/>
    </row>
    <row r="761">
      <c r="A761" s="7" t="n"/>
      <c r="B761" s="7" t="n"/>
      <c r="C761" s="39" t="n"/>
      <c r="D761" s="39" t="n"/>
      <c r="E761" s="7" t="n"/>
      <c r="F761" s="7" t="n"/>
      <c r="G761" s="7" t="n"/>
      <c r="H761" s="39" t="n"/>
      <c r="I761" s="39" t="n"/>
      <c r="J761" s="39" t="n"/>
      <c r="K761" s="39" t="n"/>
      <c r="L761" s="39" t="n"/>
      <c r="M761" s="7" t="n"/>
      <c r="N761" s="7" t="n"/>
      <c r="O761" s="40" t="n"/>
      <c r="P761" s="40" t="n"/>
      <c r="Q761" s="40" t="n"/>
      <c r="R761" s="40" t="n"/>
      <c r="S761" s="40" t="n"/>
      <c r="T761" s="40" t="n"/>
      <c r="U761" s="40" t="n"/>
      <c r="V761" s="40" t="n"/>
      <c r="W761" s="40" t="n"/>
      <c r="X761" s="40" t="n"/>
      <c r="Y761" s="40" t="n"/>
      <c r="Z761" s="40" t="n"/>
      <c r="AA761" s="39" t="n"/>
    </row>
    <row r="762">
      <c r="A762" s="7" t="n"/>
      <c r="B762" s="7" t="n"/>
      <c r="C762" s="39" t="n"/>
      <c r="D762" s="39" t="n"/>
      <c r="E762" s="7" t="n"/>
      <c r="F762" s="7" t="n"/>
      <c r="G762" s="7" t="n"/>
      <c r="H762" s="39" t="n"/>
      <c r="I762" s="39" t="n"/>
      <c r="J762" s="39" t="n"/>
      <c r="K762" s="39" t="n"/>
      <c r="L762" s="39" t="n"/>
      <c r="M762" s="7" t="n"/>
      <c r="N762" s="7" t="n"/>
      <c r="O762" s="40" t="n"/>
      <c r="P762" s="40" t="n"/>
      <c r="Q762" s="40" t="n"/>
      <c r="R762" s="40" t="n"/>
      <c r="S762" s="40" t="n"/>
      <c r="T762" s="40" t="n"/>
      <c r="U762" s="40" t="n"/>
      <c r="V762" s="40" t="n"/>
      <c r="W762" s="40" t="n"/>
      <c r="X762" s="40" t="n"/>
      <c r="Y762" s="40" t="n"/>
      <c r="Z762" s="40" t="n"/>
      <c r="AA762" s="39" t="n"/>
    </row>
    <row r="763">
      <c r="A763" s="7" t="n"/>
      <c r="B763" s="7" t="n"/>
      <c r="C763" s="39" t="n"/>
      <c r="D763" s="39" t="n"/>
      <c r="E763" s="7" t="n"/>
      <c r="F763" s="7" t="n"/>
      <c r="G763" s="7" t="n"/>
      <c r="H763" s="39" t="n"/>
      <c r="I763" s="39" t="n"/>
      <c r="J763" s="39" t="n"/>
      <c r="K763" s="39" t="n"/>
      <c r="L763" s="39" t="n"/>
      <c r="M763" s="7" t="n"/>
      <c r="N763" s="7" t="n"/>
      <c r="O763" s="40" t="n"/>
      <c r="P763" s="40" t="n"/>
      <c r="Q763" s="40" t="n"/>
      <c r="R763" s="40" t="n"/>
      <c r="S763" s="40" t="n"/>
      <c r="T763" s="40" t="n"/>
      <c r="U763" s="40" t="n"/>
      <c r="V763" s="40" t="n"/>
      <c r="W763" s="40" t="n"/>
      <c r="X763" s="40" t="n"/>
      <c r="Y763" s="40" t="n"/>
      <c r="Z763" s="40" t="n"/>
      <c r="AA763" s="39" t="n"/>
    </row>
    <row r="764">
      <c r="A764" s="7" t="n"/>
      <c r="B764" s="7" t="n"/>
      <c r="C764" s="39" t="n"/>
      <c r="D764" s="39" t="n"/>
      <c r="E764" s="7" t="n"/>
      <c r="F764" s="7" t="n"/>
      <c r="G764" s="7" t="n"/>
      <c r="H764" s="39" t="n"/>
      <c r="I764" s="39" t="n"/>
      <c r="J764" s="39" t="n"/>
      <c r="K764" s="39" t="n"/>
      <c r="L764" s="39" t="n"/>
      <c r="M764" s="7" t="n"/>
      <c r="N764" s="7" t="n"/>
      <c r="O764" s="40" t="n"/>
      <c r="P764" s="40" t="n"/>
      <c r="Q764" s="40" t="n"/>
      <c r="R764" s="40" t="n"/>
      <c r="S764" s="40" t="n"/>
      <c r="T764" s="40" t="n"/>
      <c r="U764" s="40" t="n"/>
      <c r="V764" s="40" t="n"/>
      <c r="W764" s="40" t="n"/>
      <c r="X764" s="40" t="n"/>
      <c r="Y764" s="40" t="n"/>
      <c r="Z764" s="40" t="n"/>
      <c r="AA764" s="39" t="n"/>
    </row>
    <row r="765">
      <c r="A765" s="7" t="n"/>
      <c r="B765" s="7" t="n"/>
      <c r="C765" s="39" t="n"/>
      <c r="D765" s="39" t="n"/>
      <c r="E765" s="7" t="n"/>
      <c r="F765" s="7" t="n"/>
      <c r="G765" s="7" t="n"/>
      <c r="H765" s="39" t="n"/>
      <c r="I765" s="39" t="n"/>
      <c r="J765" s="39" t="n"/>
      <c r="K765" s="39" t="n"/>
      <c r="L765" s="39" t="n"/>
      <c r="M765" s="7" t="n"/>
      <c r="N765" s="7" t="n"/>
      <c r="O765" s="40" t="n"/>
      <c r="P765" s="40" t="n"/>
      <c r="Q765" s="40" t="n"/>
      <c r="R765" s="40" t="n"/>
      <c r="S765" s="40" t="n"/>
      <c r="T765" s="40" t="n"/>
      <c r="U765" s="40" t="n"/>
      <c r="V765" s="40" t="n"/>
      <c r="W765" s="40" t="n"/>
      <c r="X765" s="40" t="n"/>
      <c r="Y765" s="40" t="n"/>
      <c r="Z765" s="40" t="n"/>
      <c r="AA765" s="39" t="n"/>
    </row>
    <row r="766">
      <c r="A766" s="7" t="n"/>
      <c r="B766" s="7" t="n"/>
      <c r="C766" s="39" t="n"/>
      <c r="D766" s="39" t="n"/>
      <c r="E766" s="7" t="n"/>
      <c r="F766" s="7" t="n"/>
      <c r="G766" s="7" t="n"/>
      <c r="H766" s="39" t="n"/>
      <c r="I766" s="39" t="n"/>
      <c r="J766" s="39" t="n"/>
      <c r="K766" s="39" t="n"/>
      <c r="L766" s="39" t="n"/>
      <c r="M766" s="7" t="n"/>
      <c r="N766" s="7" t="n"/>
      <c r="O766" s="40" t="n"/>
      <c r="P766" s="40" t="n"/>
      <c r="Q766" s="40" t="n"/>
      <c r="R766" s="40" t="n"/>
      <c r="S766" s="40" t="n"/>
      <c r="T766" s="40" t="n"/>
      <c r="U766" s="40" t="n"/>
      <c r="V766" s="40" t="n"/>
      <c r="W766" s="40" t="n"/>
      <c r="X766" s="40" t="n"/>
      <c r="Y766" s="40" t="n"/>
      <c r="Z766" s="40" t="n"/>
      <c r="AA766" s="39" t="n"/>
    </row>
    <row r="767">
      <c r="A767" s="7" t="n"/>
      <c r="B767" s="7" t="n"/>
      <c r="C767" s="39" t="n"/>
      <c r="D767" s="39" t="n"/>
      <c r="E767" s="7" t="n"/>
      <c r="F767" s="7" t="n"/>
      <c r="G767" s="7" t="n"/>
      <c r="H767" s="39" t="n"/>
      <c r="I767" s="39" t="n"/>
      <c r="J767" s="39" t="n"/>
      <c r="K767" s="39" t="n"/>
      <c r="L767" s="39" t="n"/>
      <c r="M767" s="7" t="n"/>
      <c r="N767" s="7" t="n"/>
      <c r="O767" s="40" t="n"/>
      <c r="P767" s="40" t="n"/>
      <c r="Q767" s="40" t="n"/>
      <c r="R767" s="40" t="n"/>
      <c r="S767" s="40" t="n"/>
      <c r="T767" s="40" t="n"/>
      <c r="U767" s="40" t="n"/>
      <c r="V767" s="40" t="n"/>
      <c r="W767" s="40" t="n"/>
      <c r="X767" s="40" t="n"/>
      <c r="Y767" s="40" t="n"/>
      <c r="Z767" s="40" t="n"/>
      <c r="AA767" s="39" t="n"/>
    </row>
    <row r="768">
      <c r="A768" s="7" t="n"/>
      <c r="B768" s="7" t="n"/>
      <c r="C768" s="39" t="n"/>
      <c r="D768" s="39" t="n"/>
      <c r="E768" s="7" t="n"/>
      <c r="F768" s="7" t="n"/>
      <c r="G768" s="7" t="n"/>
      <c r="H768" s="39" t="n"/>
      <c r="I768" s="39" t="n"/>
      <c r="J768" s="39" t="n"/>
      <c r="K768" s="39" t="n"/>
      <c r="L768" s="39" t="n"/>
      <c r="M768" s="7" t="n"/>
      <c r="N768" s="7" t="n"/>
      <c r="O768" s="40" t="n"/>
      <c r="P768" s="40" t="n"/>
      <c r="Q768" s="40" t="n"/>
      <c r="R768" s="40" t="n"/>
      <c r="S768" s="40" t="n"/>
      <c r="T768" s="40" t="n"/>
      <c r="U768" s="40" t="n"/>
      <c r="V768" s="40" t="n"/>
      <c r="W768" s="40" t="n"/>
      <c r="X768" s="40" t="n"/>
      <c r="Y768" s="40" t="n"/>
      <c r="Z768" s="40" t="n"/>
      <c r="AA768" s="39" t="n"/>
    </row>
    <row r="769">
      <c r="A769" s="7" t="n"/>
      <c r="B769" s="7" t="n"/>
      <c r="C769" s="39" t="n"/>
      <c r="D769" s="39" t="n"/>
      <c r="E769" s="7" t="n"/>
      <c r="F769" s="7" t="n"/>
      <c r="G769" s="7" t="n"/>
      <c r="H769" s="39" t="n"/>
      <c r="I769" s="39" t="n"/>
      <c r="J769" s="39" t="n"/>
      <c r="K769" s="39" t="n"/>
      <c r="L769" s="39" t="n"/>
      <c r="M769" s="7" t="n"/>
      <c r="N769" s="7" t="n"/>
      <c r="O769" s="40" t="n"/>
      <c r="P769" s="40" t="n"/>
      <c r="Q769" s="40" t="n"/>
      <c r="R769" s="40" t="n"/>
      <c r="S769" s="40" t="n"/>
      <c r="T769" s="40" t="n"/>
      <c r="U769" s="40" t="n"/>
      <c r="V769" s="40" t="n"/>
      <c r="W769" s="40" t="n"/>
      <c r="X769" s="40" t="n"/>
      <c r="Y769" s="40" t="n"/>
      <c r="Z769" s="40" t="n"/>
      <c r="AA769" s="39" t="n"/>
    </row>
    <row r="770">
      <c r="A770" s="7" t="n"/>
      <c r="B770" s="7" t="n"/>
      <c r="C770" s="39" t="n"/>
      <c r="D770" s="39" t="n"/>
      <c r="E770" s="7" t="n"/>
      <c r="F770" s="7" t="n"/>
      <c r="G770" s="7" t="n"/>
      <c r="H770" s="39" t="n"/>
      <c r="I770" s="39" t="n"/>
      <c r="J770" s="39" t="n"/>
      <c r="K770" s="39" t="n"/>
      <c r="L770" s="39" t="n"/>
      <c r="M770" s="7" t="n"/>
      <c r="N770" s="7" t="n"/>
      <c r="O770" s="40" t="n"/>
      <c r="P770" s="40" t="n"/>
      <c r="Q770" s="40" t="n"/>
      <c r="R770" s="40" t="n"/>
      <c r="S770" s="40" t="n"/>
      <c r="T770" s="40" t="n"/>
      <c r="U770" s="40" t="n"/>
      <c r="V770" s="40" t="n"/>
      <c r="W770" s="40" t="n"/>
      <c r="X770" s="40" t="n"/>
      <c r="Y770" s="40" t="n"/>
      <c r="Z770" s="40" t="n"/>
      <c r="AA770" s="39" t="n"/>
    </row>
    <row r="771">
      <c r="A771" s="7" t="n"/>
      <c r="B771" s="7" t="n"/>
      <c r="C771" s="39" t="n"/>
      <c r="D771" s="39" t="n"/>
      <c r="E771" s="7" t="n"/>
      <c r="F771" s="7" t="n"/>
      <c r="G771" s="7" t="n"/>
      <c r="H771" s="39" t="n"/>
      <c r="I771" s="39" t="n"/>
      <c r="J771" s="39" t="n"/>
      <c r="K771" s="39" t="n"/>
      <c r="L771" s="39" t="n"/>
      <c r="M771" s="7" t="n"/>
      <c r="N771" s="7" t="n"/>
      <c r="O771" s="40" t="n"/>
      <c r="P771" s="40" t="n"/>
      <c r="Q771" s="40" t="n"/>
      <c r="R771" s="40" t="n"/>
      <c r="S771" s="40" t="n"/>
      <c r="T771" s="40" t="n"/>
      <c r="U771" s="40" t="n"/>
      <c r="V771" s="40" t="n"/>
      <c r="W771" s="40" t="n"/>
      <c r="X771" s="40" t="n"/>
      <c r="Y771" s="40" t="n"/>
      <c r="Z771" s="40" t="n"/>
      <c r="AA771" s="39" t="n"/>
    </row>
    <row r="772">
      <c r="A772" s="7" t="n"/>
      <c r="B772" s="7" t="n"/>
      <c r="C772" s="39" t="n"/>
      <c r="D772" s="39" t="n"/>
      <c r="E772" s="7" t="n"/>
      <c r="F772" s="7" t="n"/>
      <c r="G772" s="7" t="n"/>
      <c r="H772" s="39" t="n"/>
      <c r="I772" s="39" t="n"/>
      <c r="J772" s="39" t="n"/>
      <c r="K772" s="39" t="n"/>
      <c r="L772" s="39" t="n"/>
      <c r="M772" s="7" t="n"/>
      <c r="N772" s="7" t="n"/>
      <c r="O772" s="40" t="n"/>
      <c r="P772" s="40" t="n"/>
      <c r="Q772" s="40" t="n"/>
      <c r="R772" s="40" t="n"/>
      <c r="S772" s="40" t="n"/>
      <c r="T772" s="40" t="n"/>
      <c r="U772" s="40" t="n"/>
      <c r="V772" s="40" t="n"/>
      <c r="W772" s="40" t="n"/>
      <c r="X772" s="40" t="n"/>
      <c r="Y772" s="40" t="n"/>
      <c r="Z772" s="40" t="n"/>
      <c r="AA772" s="39" t="n"/>
    </row>
    <row r="773">
      <c r="A773" s="7" t="n"/>
      <c r="B773" s="7" t="n"/>
      <c r="C773" s="39" t="n"/>
      <c r="D773" s="39" t="n"/>
      <c r="E773" s="7" t="n"/>
      <c r="F773" s="7" t="n"/>
      <c r="G773" s="7" t="n"/>
      <c r="H773" s="39" t="n"/>
      <c r="I773" s="39" t="n"/>
      <c r="J773" s="39" t="n"/>
      <c r="K773" s="39" t="n"/>
      <c r="L773" s="39" t="n"/>
      <c r="M773" s="7" t="n"/>
      <c r="N773" s="7" t="n"/>
      <c r="O773" s="40" t="n"/>
      <c r="P773" s="40" t="n"/>
      <c r="Q773" s="40" t="n"/>
      <c r="R773" s="40" t="n"/>
      <c r="S773" s="40" t="n"/>
      <c r="T773" s="40" t="n"/>
      <c r="U773" s="40" t="n"/>
      <c r="V773" s="40" t="n"/>
      <c r="W773" s="40" t="n"/>
      <c r="X773" s="40" t="n"/>
      <c r="Y773" s="40" t="n"/>
      <c r="Z773" s="40" t="n"/>
      <c r="AA773" s="39" t="n"/>
    </row>
    <row r="774">
      <c r="A774" s="7" t="n"/>
      <c r="B774" s="7" t="n"/>
      <c r="C774" s="39" t="n"/>
      <c r="D774" s="39" t="n"/>
      <c r="E774" s="7" t="n"/>
      <c r="F774" s="7" t="n"/>
      <c r="G774" s="7" t="n"/>
      <c r="H774" s="39" t="n"/>
      <c r="I774" s="39" t="n"/>
      <c r="J774" s="39" t="n"/>
      <c r="K774" s="39" t="n"/>
      <c r="L774" s="39" t="n"/>
      <c r="M774" s="7" t="n"/>
      <c r="N774" s="7" t="n"/>
      <c r="O774" s="40" t="n"/>
      <c r="P774" s="40" t="n"/>
      <c r="Q774" s="40" t="n"/>
      <c r="R774" s="40" t="n"/>
      <c r="S774" s="40" t="n"/>
      <c r="T774" s="40" t="n"/>
      <c r="U774" s="40" t="n"/>
      <c r="V774" s="40" t="n"/>
      <c r="W774" s="40" t="n"/>
      <c r="X774" s="40" t="n"/>
      <c r="Y774" s="40" t="n"/>
      <c r="Z774" s="40" t="n"/>
      <c r="AA774" s="39" t="n"/>
    </row>
    <row r="775">
      <c r="A775" s="7" t="n"/>
      <c r="B775" s="7" t="n"/>
      <c r="C775" s="39" t="n"/>
      <c r="D775" s="39" t="n"/>
      <c r="E775" s="7" t="n"/>
      <c r="F775" s="7" t="n"/>
      <c r="G775" s="7" t="n"/>
      <c r="H775" s="39" t="n"/>
      <c r="I775" s="39" t="n"/>
      <c r="J775" s="39" t="n"/>
      <c r="K775" s="39" t="n"/>
      <c r="L775" s="39" t="n"/>
      <c r="M775" s="7" t="n"/>
      <c r="N775" s="7" t="n"/>
      <c r="O775" s="40" t="n"/>
      <c r="P775" s="40" t="n"/>
      <c r="Q775" s="40" t="n"/>
      <c r="R775" s="40" t="n"/>
      <c r="S775" s="40" t="n"/>
      <c r="T775" s="40" t="n"/>
      <c r="U775" s="40" t="n"/>
      <c r="V775" s="40" t="n"/>
      <c r="W775" s="40" t="n"/>
      <c r="X775" s="40" t="n"/>
      <c r="Y775" s="40" t="n"/>
      <c r="Z775" s="40" t="n"/>
      <c r="AA775" s="39" t="n"/>
    </row>
    <row r="776">
      <c r="A776" s="7" t="n"/>
      <c r="B776" s="7" t="n"/>
      <c r="C776" s="39" t="n"/>
      <c r="D776" s="39" t="n"/>
      <c r="E776" s="7" t="n"/>
      <c r="F776" s="7" t="n"/>
      <c r="G776" s="7" t="n"/>
      <c r="H776" s="39" t="n"/>
      <c r="I776" s="39" t="n"/>
      <c r="J776" s="39" t="n"/>
      <c r="K776" s="39" t="n"/>
      <c r="L776" s="39" t="n"/>
      <c r="M776" s="7" t="n"/>
      <c r="N776" s="7" t="n"/>
      <c r="O776" s="40" t="n"/>
      <c r="P776" s="40" t="n"/>
      <c r="Q776" s="40" t="n"/>
      <c r="R776" s="40" t="n"/>
      <c r="S776" s="40" t="n"/>
      <c r="T776" s="40" t="n"/>
      <c r="U776" s="40" t="n"/>
      <c r="V776" s="40" t="n"/>
      <c r="W776" s="40" t="n"/>
      <c r="X776" s="40" t="n"/>
      <c r="Y776" s="40" t="n"/>
      <c r="Z776" s="40" t="n"/>
      <c r="AA776" s="39" t="n"/>
    </row>
    <row r="777">
      <c r="A777" s="7" t="n"/>
      <c r="B777" s="7" t="n"/>
      <c r="C777" s="39" t="n"/>
      <c r="D777" s="39" t="n"/>
      <c r="E777" s="7" t="n"/>
      <c r="F777" s="7" t="n"/>
      <c r="G777" s="7" t="n"/>
      <c r="H777" s="39" t="n"/>
      <c r="I777" s="39" t="n"/>
      <c r="J777" s="39" t="n"/>
      <c r="K777" s="39" t="n"/>
      <c r="L777" s="39" t="n"/>
      <c r="M777" s="7" t="n"/>
      <c r="N777" s="7" t="n"/>
      <c r="O777" s="40" t="n"/>
      <c r="P777" s="40" t="n"/>
      <c r="Q777" s="40" t="n"/>
      <c r="R777" s="40" t="n"/>
      <c r="S777" s="40" t="n"/>
      <c r="T777" s="40" t="n"/>
      <c r="U777" s="40" t="n"/>
      <c r="V777" s="40" t="n"/>
      <c r="W777" s="40" t="n"/>
      <c r="X777" s="40" t="n"/>
      <c r="Y777" s="40" t="n"/>
      <c r="Z777" s="40" t="n"/>
      <c r="AA777" s="39" t="n"/>
    </row>
    <row r="778">
      <c r="A778" s="7" t="n"/>
      <c r="B778" s="7" t="n"/>
      <c r="C778" s="39" t="n"/>
      <c r="D778" s="39" t="n"/>
      <c r="E778" s="7" t="n"/>
      <c r="F778" s="7" t="n"/>
      <c r="G778" s="7" t="n"/>
      <c r="H778" s="39" t="n"/>
      <c r="I778" s="39" t="n"/>
      <c r="J778" s="39" t="n"/>
      <c r="K778" s="39" t="n"/>
      <c r="L778" s="39" t="n"/>
      <c r="M778" s="7" t="n"/>
      <c r="N778" s="7" t="n"/>
      <c r="O778" s="40" t="n"/>
      <c r="P778" s="40" t="n"/>
      <c r="Q778" s="40" t="n"/>
      <c r="R778" s="40" t="n"/>
      <c r="S778" s="40" t="n"/>
      <c r="T778" s="40" t="n"/>
      <c r="U778" s="40" t="n"/>
      <c r="V778" s="40" t="n"/>
      <c r="W778" s="40" t="n"/>
      <c r="X778" s="40" t="n"/>
      <c r="Y778" s="40" t="n"/>
      <c r="Z778" s="40" t="n"/>
      <c r="AA778" s="39" t="n"/>
    </row>
    <row r="779">
      <c r="A779" s="7" t="n"/>
      <c r="B779" s="7" t="n"/>
      <c r="C779" s="39" t="n"/>
      <c r="D779" s="39" t="n"/>
      <c r="E779" s="7" t="n"/>
      <c r="F779" s="7" t="n"/>
      <c r="G779" s="7" t="n"/>
      <c r="H779" s="39" t="n"/>
      <c r="I779" s="39" t="n"/>
      <c r="J779" s="39" t="n"/>
      <c r="K779" s="39" t="n"/>
      <c r="L779" s="39" t="n"/>
      <c r="M779" s="7" t="n"/>
      <c r="N779" s="7" t="n"/>
      <c r="O779" s="40" t="n"/>
      <c r="P779" s="40" t="n"/>
      <c r="Q779" s="40" t="n"/>
      <c r="R779" s="40" t="n"/>
      <c r="S779" s="40" t="n"/>
      <c r="T779" s="40" t="n"/>
      <c r="U779" s="40" t="n"/>
      <c r="V779" s="40" t="n"/>
      <c r="W779" s="40" t="n"/>
      <c r="X779" s="40" t="n"/>
      <c r="Y779" s="40" t="n"/>
      <c r="Z779" s="40" t="n"/>
      <c r="AA779" s="39" t="n"/>
    </row>
    <row r="780">
      <c r="A780" s="7" t="n"/>
      <c r="B780" s="7" t="n"/>
      <c r="C780" s="39" t="n"/>
      <c r="D780" s="39" t="n"/>
      <c r="E780" s="7" t="n"/>
      <c r="F780" s="7" t="n"/>
      <c r="G780" s="7" t="n"/>
      <c r="H780" s="39" t="n"/>
      <c r="I780" s="39" t="n"/>
      <c r="J780" s="39" t="n"/>
      <c r="K780" s="39" t="n"/>
      <c r="L780" s="39" t="n"/>
      <c r="M780" s="7" t="n"/>
      <c r="N780" s="7" t="n"/>
      <c r="O780" s="40" t="n"/>
      <c r="P780" s="40" t="n"/>
      <c r="Q780" s="40" t="n"/>
      <c r="R780" s="40" t="n"/>
      <c r="S780" s="40" t="n"/>
      <c r="T780" s="40" t="n"/>
      <c r="U780" s="40" t="n"/>
      <c r="V780" s="40" t="n"/>
      <c r="W780" s="40" t="n"/>
      <c r="X780" s="40" t="n"/>
      <c r="Y780" s="40" t="n"/>
      <c r="Z780" s="40" t="n"/>
      <c r="AA780" s="39" t="n"/>
    </row>
    <row r="781">
      <c r="A781" s="7" t="n"/>
      <c r="B781" s="7" t="n"/>
      <c r="C781" s="39" t="n"/>
      <c r="D781" s="39" t="n"/>
      <c r="E781" s="7" t="n"/>
      <c r="F781" s="7" t="n"/>
      <c r="G781" s="7" t="n"/>
      <c r="H781" s="39" t="n"/>
      <c r="I781" s="39" t="n"/>
      <c r="J781" s="39" t="n"/>
      <c r="K781" s="39" t="n"/>
      <c r="L781" s="39" t="n"/>
      <c r="M781" s="7" t="n"/>
      <c r="N781" s="7" t="n"/>
      <c r="O781" s="40" t="n"/>
      <c r="P781" s="40" t="n"/>
      <c r="Q781" s="40" t="n"/>
      <c r="R781" s="40" t="n"/>
      <c r="S781" s="40" t="n"/>
      <c r="T781" s="40" t="n"/>
      <c r="U781" s="40" t="n"/>
      <c r="V781" s="40" t="n"/>
      <c r="W781" s="40" t="n"/>
      <c r="X781" s="40" t="n"/>
      <c r="Y781" s="40" t="n"/>
      <c r="Z781" s="40" t="n"/>
      <c r="AA781" s="39" t="n"/>
    </row>
    <row r="782">
      <c r="A782" s="7" t="n"/>
      <c r="B782" s="7" t="n"/>
      <c r="C782" s="39" t="n"/>
      <c r="D782" s="39" t="n"/>
      <c r="E782" s="7" t="n"/>
      <c r="F782" s="7" t="n"/>
      <c r="G782" s="7" t="n"/>
      <c r="H782" s="39" t="n"/>
      <c r="I782" s="39" t="n"/>
      <c r="J782" s="39" t="n"/>
      <c r="K782" s="39" t="n"/>
      <c r="L782" s="39" t="n"/>
      <c r="M782" s="7" t="n"/>
      <c r="N782" s="7" t="n"/>
      <c r="O782" s="40" t="n"/>
      <c r="P782" s="40" t="n"/>
      <c r="Q782" s="40" t="n"/>
      <c r="R782" s="40" t="n"/>
      <c r="S782" s="40" t="n"/>
      <c r="T782" s="40" t="n"/>
      <c r="U782" s="40" t="n"/>
      <c r="V782" s="40" t="n"/>
      <c r="W782" s="40" t="n"/>
      <c r="X782" s="40" t="n"/>
      <c r="Y782" s="40" t="n"/>
      <c r="Z782" s="40" t="n"/>
      <c r="AA782" s="39" t="n"/>
    </row>
    <row r="783">
      <c r="A783" s="7" t="n"/>
      <c r="B783" s="7" t="n"/>
      <c r="C783" s="39" t="n"/>
      <c r="D783" s="39" t="n"/>
      <c r="E783" s="7" t="n"/>
      <c r="F783" s="7" t="n"/>
      <c r="G783" s="7" t="n"/>
      <c r="H783" s="39" t="n"/>
      <c r="I783" s="39" t="n"/>
      <c r="J783" s="39" t="n"/>
      <c r="K783" s="39" t="n"/>
      <c r="L783" s="39" t="n"/>
      <c r="M783" s="7" t="n"/>
      <c r="N783" s="7" t="n"/>
      <c r="O783" s="40" t="n"/>
      <c r="P783" s="40" t="n"/>
      <c r="Q783" s="40" t="n"/>
      <c r="R783" s="40" t="n"/>
      <c r="S783" s="40" t="n"/>
      <c r="T783" s="40" t="n"/>
      <c r="U783" s="40" t="n"/>
      <c r="V783" s="40" t="n"/>
      <c r="W783" s="40" t="n"/>
      <c r="X783" s="40" t="n"/>
      <c r="Y783" s="40" t="n"/>
      <c r="Z783" s="40" t="n"/>
      <c r="AA783" s="39" t="n"/>
    </row>
    <row r="784">
      <c r="A784" s="7" t="n"/>
      <c r="B784" s="7" t="n"/>
      <c r="C784" s="39" t="n"/>
      <c r="D784" s="39" t="n"/>
      <c r="E784" s="7" t="n"/>
      <c r="F784" s="7" t="n"/>
      <c r="G784" s="7" t="n"/>
      <c r="H784" s="39" t="n"/>
      <c r="I784" s="39" t="n"/>
      <c r="J784" s="39" t="n"/>
      <c r="K784" s="39" t="n"/>
      <c r="L784" s="39" t="n"/>
      <c r="M784" s="7" t="n"/>
      <c r="N784" s="7" t="n"/>
      <c r="O784" s="40" t="n"/>
      <c r="P784" s="40" t="n"/>
      <c r="Q784" s="40" t="n"/>
      <c r="R784" s="40" t="n"/>
      <c r="S784" s="40" t="n"/>
      <c r="T784" s="40" t="n"/>
      <c r="U784" s="40" t="n"/>
      <c r="V784" s="40" t="n"/>
      <c r="W784" s="40" t="n"/>
      <c r="X784" s="40" t="n"/>
      <c r="Y784" s="40" t="n"/>
      <c r="Z784" s="40" t="n"/>
      <c r="AA784" s="39" t="n"/>
    </row>
    <row r="785">
      <c r="A785" s="7" t="n"/>
      <c r="B785" s="7" t="n"/>
      <c r="C785" s="39" t="n"/>
      <c r="D785" s="39" t="n"/>
      <c r="E785" s="7" t="n"/>
      <c r="F785" s="7" t="n"/>
      <c r="G785" s="7" t="n"/>
      <c r="H785" s="39" t="n"/>
      <c r="I785" s="39" t="n"/>
      <c r="J785" s="39" t="n"/>
      <c r="K785" s="39" t="n"/>
      <c r="L785" s="39" t="n"/>
      <c r="M785" s="7" t="n"/>
      <c r="N785" s="7" t="n"/>
      <c r="O785" s="40" t="n"/>
      <c r="P785" s="40" t="n"/>
      <c r="Q785" s="40" t="n"/>
      <c r="R785" s="40" t="n"/>
      <c r="S785" s="40" t="n"/>
      <c r="T785" s="40" t="n"/>
      <c r="U785" s="40" t="n"/>
      <c r="V785" s="40" t="n"/>
      <c r="W785" s="40" t="n"/>
      <c r="X785" s="40" t="n"/>
      <c r="Y785" s="40" t="n"/>
      <c r="Z785" s="40" t="n"/>
      <c r="AA785" s="39" t="n"/>
    </row>
    <row r="786">
      <c r="A786" s="7" t="n"/>
      <c r="B786" s="7" t="n"/>
      <c r="C786" s="39" t="n"/>
      <c r="D786" s="39" t="n"/>
      <c r="E786" s="7" t="n"/>
      <c r="F786" s="7" t="n"/>
      <c r="G786" s="7" t="n"/>
      <c r="H786" s="39" t="n"/>
      <c r="I786" s="39" t="n"/>
      <c r="J786" s="39" t="n"/>
      <c r="K786" s="39" t="n"/>
      <c r="L786" s="39" t="n"/>
      <c r="M786" s="7" t="n"/>
      <c r="N786" s="7" t="n"/>
      <c r="O786" s="40" t="n"/>
      <c r="P786" s="40" t="n"/>
      <c r="Q786" s="40" t="n"/>
      <c r="R786" s="40" t="n"/>
      <c r="S786" s="40" t="n"/>
      <c r="T786" s="40" t="n"/>
      <c r="U786" s="40" t="n"/>
      <c r="V786" s="40" t="n"/>
      <c r="W786" s="40" t="n"/>
      <c r="X786" s="40" t="n"/>
      <c r="Y786" s="40" t="n"/>
      <c r="Z786" s="40" t="n"/>
      <c r="AA786" s="39" t="n"/>
    </row>
    <row r="787">
      <c r="A787" s="7" t="n"/>
      <c r="B787" s="7" t="n"/>
      <c r="C787" s="39" t="n"/>
      <c r="D787" s="39" t="n"/>
      <c r="E787" s="7" t="n"/>
      <c r="F787" s="7" t="n"/>
      <c r="G787" s="7" t="n"/>
      <c r="H787" s="39" t="n"/>
      <c r="I787" s="39" t="n"/>
      <c r="J787" s="39" t="n"/>
      <c r="K787" s="39" t="n"/>
      <c r="L787" s="39" t="n"/>
      <c r="M787" s="7" t="n"/>
      <c r="N787" s="7" t="n"/>
      <c r="O787" s="40" t="n"/>
      <c r="P787" s="40" t="n"/>
      <c r="Q787" s="40" t="n"/>
      <c r="R787" s="40" t="n"/>
      <c r="S787" s="40" t="n"/>
      <c r="T787" s="40" t="n"/>
      <c r="U787" s="40" t="n"/>
      <c r="V787" s="40" t="n"/>
      <c r="W787" s="40" t="n"/>
      <c r="X787" s="40" t="n"/>
      <c r="Y787" s="40" t="n"/>
      <c r="Z787" s="40" t="n"/>
      <c r="AA787" s="39" t="n"/>
    </row>
    <row r="788">
      <c r="A788" s="7" t="n"/>
      <c r="B788" s="7" t="n"/>
      <c r="C788" s="39" t="n"/>
      <c r="D788" s="39" t="n"/>
      <c r="E788" s="7" t="n"/>
      <c r="F788" s="7" t="n"/>
      <c r="G788" s="7" t="n"/>
      <c r="H788" s="39" t="n"/>
      <c r="I788" s="39" t="n"/>
      <c r="J788" s="39" t="n"/>
      <c r="K788" s="39" t="n"/>
      <c r="L788" s="39" t="n"/>
      <c r="M788" s="7" t="n"/>
      <c r="N788" s="7" t="n"/>
      <c r="O788" s="40" t="n"/>
      <c r="P788" s="40" t="n"/>
      <c r="Q788" s="40" t="n"/>
      <c r="R788" s="40" t="n"/>
      <c r="S788" s="40" t="n"/>
      <c r="T788" s="40" t="n"/>
      <c r="U788" s="40" t="n"/>
      <c r="V788" s="40" t="n"/>
      <c r="W788" s="40" t="n"/>
      <c r="X788" s="40" t="n"/>
      <c r="Y788" s="40" t="n"/>
      <c r="Z788" s="40" t="n"/>
      <c r="AA788" s="39" t="n"/>
    </row>
    <row r="789">
      <c r="A789" s="7" t="n"/>
      <c r="B789" s="7" t="n"/>
      <c r="C789" s="39" t="n"/>
      <c r="D789" s="39" t="n"/>
      <c r="E789" s="7" t="n"/>
      <c r="F789" s="7" t="n"/>
      <c r="G789" s="7" t="n"/>
      <c r="H789" s="39" t="n"/>
      <c r="I789" s="39" t="n"/>
      <c r="J789" s="39" t="n"/>
      <c r="K789" s="39" t="n"/>
      <c r="L789" s="39" t="n"/>
      <c r="M789" s="7" t="n"/>
      <c r="N789" s="7" t="n"/>
      <c r="O789" s="40" t="n"/>
      <c r="P789" s="40" t="n"/>
      <c r="Q789" s="40" t="n"/>
      <c r="R789" s="40" t="n"/>
      <c r="S789" s="40" t="n"/>
      <c r="T789" s="40" t="n"/>
      <c r="U789" s="40" t="n"/>
      <c r="V789" s="40" t="n"/>
      <c r="W789" s="40" t="n"/>
      <c r="X789" s="40" t="n"/>
      <c r="Y789" s="40" t="n"/>
      <c r="Z789" s="40" t="n"/>
      <c r="AA789" s="39" t="n"/>
    </row>
    <row r="790">
      <c r="A790" s="7" t="n"/>
      <c r="B790" s="7" t="n"/>
      <c r="C790" s="39" t="n"/>
      <c r="D790" s="39" t="n"/>
      <c r="E790" s="7" t="n"/>
      <c r="F790" s="7" t="n"/>
      <c r="G790" s="7" t="n"/>
      <c r="H790" s="39" t="n"/>
      <c r="I790" s="39" t="n"/>
      <c r="J790" s="39" t="n"/>
      <c r="K790" s="39" t="n"/>
      <c r="L790" s="39" t="n"/>
      <c r="M790" s="7" t="n"/>
      <c r="N790" s="7" t="n"/>
      <c r="O790" s="40" t="n"/>
      <c r="P790" s="40" t="n"/>
      <c r="Q790" s="40" t="n"/>
      <c r="R790" s="40" t="n"/>
      <c r="S790" s="40" t="n"/>
      <c r="T790" s="40" t="n"/>
      <c r="U790" s="40" t="n"/>
      <c r="V790" s="40" t="n"/>
      <c r="W790" s="40" t="n"/>
      <c r="X790" s="40" t="n"/>
      <c r="Y790" s="40" t="n"/>
      <c r="Z790" s="40" t="n"/>
      <c r="AA790" s="39" t="n"/>
    </row>
    <row r="791">
      <c r="A791" s="7" t="n"/>
      <c r="B791" s="7" t="n"/>
      <c r="C791" s="39" t="n"/>
      <c r="D791" s="39" t="n"/>
      <c r="E791" s="7" t="n"/>
      <c r="F791" s="7" t="n"/>
      <c r="G791" s="7" t="n"/>
      <c r="H791" s="39" t="n"/>
      <c r="I791" s="39" t="n"/>
      <c r="J791" s="39" t="n"/>
      <c r="K791" s="39" t="n"/>
      <c r="L791" s="39" t="n"/>
      <c r="M791" s="7" t="n"/>
      <c r="N791" s="7" t="n"/>
      <c r="O791" s="40" t="n"/>
      <c r="P791" s="40" t="n"/>
      <c r="Q791" s="40" t="n"/>
      <c r="R791" s="40" t="n"/>
      <c r="S791" s="40" t="n"/>
      <c r="T791" s="40" t="n"/>
      <c r="U791" s="40" t="n"/>
      <c r="V791" s="40" t="n"/>
      <c r="W791" s="40" t="n"/>
      <c r="X791" s="40" t="n"/>
      <c r="Y791" s="40" t="n"/>
      <c r="Z791" s="40" t="n"/>
      <c r="AA791" s="39" t="n"/>
    </row>
    <row r="792">
      <c r="A792" s="7" t="n"/>
      <c r="B792" s="7" t="n"/>
      <c r="C792" s="39" t="n"/>
      <c r="D792" s="39" t="n"/>
      <c r="E792" s="7" t="n"/>
      <c r="F792" s="7" t="n"/>
      <c r="G792" s="7" t="n"/>
      <c r="H792" s="39" t="n"/>
      <c r="I792" s="39" t="n"/>
      <c r="J792" s="39" t="n"/>
      <c r="K792" s="39" t="n"/>
      <c r="L792" s="39" t="n"/>
      <c r="M792" s="7" t="n"/>
      <c r="N792" s="7" t="n"/>
      <c r="O792" s="40" t="n"/>
      <c r="P792" s="40" t="n"/>
      <c r="Q792" s="40" t="n"/>
      <c r="R792" s="40" t="n"/>
      <c r="S792" s="40" t="n"/>
      <c r="T792" s="40" t="n"/>
      <c r="U792" s="40" t="n"/>
      <c r="V792" s="40" t="n"/>
      <c r="W792" s="40" t="n"/>
      <c r="X792" s="40" t="n"/>
      <c r="Y792" s="40" t="n"/>
      <c r="Z792" s="40" t="n"/>
      <c r="AA792" s="39" t="n"/>
    </row>
    <row r="793">
      <c r="A793" s="7" t="n"/>
      <c r="B793" s="7" t="n"/>
      <c r="C793" s="39" t="n"/>
      <c r="D793" s="39" t="n"/>
      <c r="E793" s="7" t="n"/>
      <c r="F793" s="7" t="n"/>
      <c r="G793" s="7" t="n"/>
      <c r="H793" s="39" t="n"/>
      <c r="I793" s="39" t="n"/>
      <c r="J793" s="39" t="n"/>
      <c r="K793" s="39" t="n"/>
      <c r="L793" s="39" t="n"/>
      <c r="M793" s="7" t="n"/>
      <c r="N793" s="7" t="n"/>
      <c r="O793" s="40" t="n"/>
      <c r="P793" s="40" t="n"/>
      <c r="Q793" s="40" t="n"/>
      <c r="R793" s="40" t="n"/>
      <c r="S793" s="40" t="n"/>
      <c r="T793" s="40" t="n"/>
      <c r="U793" s="40" t="n"/>
      <c r="V793" s="40" t="n"/>
      <c r="W793" s="40" t="n"/>
      <c r="X793" s="40" t="n"/>
      <c r="Y793" s="40" t="n"/>
      <c r="Z793" s="40" t="n"/>
      <c r="AA793" s="39" t="n"/>
    </row>
    <row r="794">
      <c r="A794" s="7" t="n"/>
      <c r="B794" s="7" t="n"/>
      <c r="C794" s="39" t="n"/>
      <c r="D794" s="39" t="n"/>
      <c r="E794" s="7" t="n"/>
      <c r="F794" s="7" t="n"/>
      <c r="G794" s="7" t="n"/>
      <c r="H794" s="39" t="n"/>
      <c r="I794" s="39" t="n"/>
      <c r="J794" s="39" t="n"/>
      <c r="K794" s="39" t="n"/>
      <c r="L794" s="39" t="n"/>
      <c r="M794" s="7" t="n"/>
      <c r="N794" s="7" t="n"/>
      <c r="O794" s="40" t="n"/>
      <c r="P794" s="40" t="n"/>
      <c r="Q794" s="40" t="n"/>
      <c r="R794" s="40" t="n"/>
      <c r="S794" s="40" t="n"/>
      <c r="T794" s="40" t="n"/>
      <c r="U794" s="40" t="n"/>
      <c r="V794" s="40" t="n"/>
      <c r="W794" s="40" t="n"/>
      <c r="X794" s="40" t="n"/>
      <c r="Y794" s="40" t="n"/>
      <c r="Z794" s="40" t="n"/>
      <c r="AA794" s="39" t="n"/>
    </row>
    <row r="795">
      <c r="A795" s="7" t="n"/>
      <c r="B795" s="7" t="n"/>
      <c r="C795" s="39" t="n"/>
      <c r="D795" s="39" t="n"/>
      <c r="E795" s="7" t="n"/>
      <c r="F795" s="7" t="n"/>
      <c r="G795" s="7" t="n"/>
      <c r="H795" s="39" t="n"/>
      <c r="I795" s="39" t="n"/>
      <c r="J795" s="39" t="n"/>
      <c r="K795" s="39" t="n"/>
      <c r="L795" s="39" t="n"/>
      <c r="M795" s="7" t="n"/>
      <c r="N795" s="7" t="n"/>
      <c r="O795" s="40" t="n"/>
      <c r="P795" s="40" t="n"/>
      <c r="Q795" s="40" t="n"/>
      <c r="R795" s="40" t="n"/>
      <c r="S795" s="40" t="n"/>
      <c r="T795" s="40" t="n"/>
      <c r="U795" s="40" t="n"/>
      <c r="V795" s="40" t="n"/>
      <c r="W795" s="40" t="n"/>
      <c r="X795" s="40" t="n"/>
      <c r="Y795" s="40" t="n"/>
      <c r="Z795" s="40" t="n"/>
      <c r="AA795" s="39" t="n"/>
    </row>
    <row r="796">
      <c r="A796" s="7" t="n"/>
      <c r="B796" s="7" t="n"/>
      <c r="C796" s="39" t="n"/>
      <c r="D796" s="39" t="n"/>
      <c r="E796" s="7" t="n"/>
      <c r="F796" s="7" t="n"/>
      <c r="G796" s="7" t="n"/>
      <c r="H796" s="39" t="n"/>
      <c r="I796" s="39" t="n"/>
      <c r="J796" s="39" t="n"/>
      <c r="K796" s="39" t="n"/>
      <c r="L796" s="39" t="n"/>
      <c r="M796" s="7" t="n"/>
      <c r="N796" s="7" t="n"/>
      <c r="O796" s="40" t="n"/>
      <c r="P796" s="40" t="n"/>
      <c r="Q796" s="40" t="n"/>
      <c r="R796" s="40" t="n"/>
      <c r="S796" s="40" t="n"/>
      <c r="T796" s="40" t="n"/>
      <c r="U796" s="40" t="n"/>
      <c r="V796" s="40" t="n"/>
      <c r="W796" s="40" t="n"/>
      <c r="X796" s="40" t="n"/>
      <c r="Y796" s="40" t="n"/>
      <c r="Z796" s="40" t="n"/>
      <c r="AA796" s="39" t="n"/>
    </row>
    <row r="797">
      <c r="A797" s="7" t="n"/>
      <c r="B797" s="7" t="n"/>
      <c r="C797" s="39" t="n"/>
      <c r="D797" s="39" t="n"/>
      <c r="E797" s="7" t="n"/>
      <c r="F797" s="7" t="n"/>
      <c r="G797" s="7" t="n"/>
      <c r="H797" s="39" t="n"/>
      <c r="I797" s="39" t="n"/>
      <c r="J797" s="39" t="n"/>
      <c r="K797" s="39" t="n"/>
      <c r="L797" s="39" t="n"/>
      <c r="M797" s="7" t="n"/>
      <c r="N797" s="7" t="n"/>
      <c r="O797" s="40" t="n"/>
      <c r="P797" s="40" t="n"/>
      <c r="Q797" s="40" t="n"/>
      <c r="R797" s="40" t="n"/>
      <c r="S797" s="40" t="n"/>
      <c r="T797" s="40" t="n"/>
      <c r="U797" s="40" t="n"/>
      <c r="V797" s="40" t="n"/>
      <c r="W797" s="40" t="n"/>
      <c r="X797" s="40" t="n"/>
      <c r="Y797" s="40" t="n"/>
      <c r="Z797" s="40" t="n"/>
      <c r="AA797" s="39" t="n"/>
    </row>
    <row r="798">
      <c r="A798" s="7" t="n"/>
      <c r="B798" s="7" t="n"/>
      <c r="C798" s="39" t="n"/>
      <c r="D798" s="39" t="n"/>
      <c r="E798" s="7" t="n"/>
      <c r="F798" s="7" t="n"/>
      <c r="G798" s="7" t="n"/>
      <c r="H798" s="39" t="n"/>
      <c r="I798" s="39" t="n"/>
      <c r="J798" s="39" t="n"/>
      <c r="K798" s="39" t="n"/>
      <c r="L798" s="39" t="n"/>
      <c r="M798" s="7" t="n"/>
      <c r="N798" s="7" t="n"/>
      <c r="O798" s="40" t="n"/>
      <c r="P798" s="40" t="n"/>
      <c r="Q798" s="40" t="n"/>
      <c r="R798" s="40" t="n"/>
      <c r="S798" s="40" t="n"/>
      <c r="T798" s="40" t="n"/>
      <c r="U798" s="40" t="n"/>
      <c r="V798" s="40" t="n"/>
      <c r="W798" s="40" t="n"/>
      <c r="X798" s="40" t="n"/>
      <c r="Y798" s="40" t="n"/>
      <c r="Z798" s="40" t="n"/>
      <c r="AA798" s="39" t="n"/>
    </row>
    <row r="799">
      <c r="A799" s="7" t="n"/>
      <c r="B799" s="7" t="n"/>
      <c r="C799" s="39" t="n"/>
      <c r="D799" s="39" t="n"/>
      <c r="E799" s="7" t="n"/>
      <c r="F799" s="7" t="n"/>
      <c r="G799" s="7" t="n"/>
      <c r="H799" s="39" t="n"/>
      <c r="I799" s="39" t="n"/>
      <c r="J799" s="39" t="n"/>
      <c r="K799" s="39" t="n"/>
      <c r="L799" s="39" t="n"/>
      <c r="M799" s="7" t="n"/>
      <c r="N799" s="7" t="n"/>
      <c r="O799" s="40" t="n"/>
      <c r="P799" s="40" t="n"/>
      <c r="Q799" s="40" t="n"/>
      <c r="R799" s="40" t="n"/>
      <c r="S799" s="40" t="n"/>
      <c r="T799" s="40" t="n"/>
      <c r="U799" s="40" t="n"/>
      <c r="V799" s="40" t="n"/>
      <c r="W799" s="40" t="n"/>
      <c r="X799" s="40" t="n"/>
      <c r="Y799" s="40" t="n"/>
      <c r="Z799" s="40" t="n"/>
      <c r="AA799" s="39" t="n"/>
    </row>
    <row r="800">
      <c r="A800" s="7" t="n"/>
      <c r="B800" s="7" t="n"/>
      <c r="C800" s="39" t="n"/>
      <c r="D800" s="39" t="n"/>
      <c r="E800" s="7" t="n"/>
      <c r="F800" s="7" t="n"/>
      <c r="G800" s="7" t="n"/>
      <c r="H800" s="39" t="n"/>
      <c r="I800" s="39" t="n"/>
      <c r="J800" s="39" t="n"/>
      <c r="K800" s="39" t="n"/>
      <c r="L800" s="39" t="n"/>
      <c r="M800" s="7" t="n"/>
      <c r="N800" s="7" t="n"/>
      <c r="O800" s="40" t="n"/>
      <c r="P800" s="40" t="n"/>
      <c r="Q800" s="40" t="n"/>
      <c r="R800" s="40" t="n"/>
      <c r="S800" s="40" t="n"/>
      <c r="T800" s="40" t="n"/>
      <c r="U800" s="40" t="n"/>
      <c r="V800" s="40" t="n"/>
      <c r="W800" s="40" t="n"/>
      <c r="X800" s="40" t="n"/>
      <c r="Y800" s="40" t="n"/>
      <c r="Z800" s="40" t="n"/>
      <c r="AA800" s="39" t="n"/>
    </row>
    <row r="801">
      <c r="A801" s="7" t="n"/>
      <c r="B801" s="7" t="n"/>
      <c r="C801" s="39" t="n"/>
      <c r="D801" s="39" t="n"/>
      <c r="E801" s="7" t="n"/>
      <c r="F801" s="7" t="n"/>
      <c r="G801" s="7" t="n"/>
      <c r="H801" s="39" t="n"/>
      <c r="I801" s="39" t="n"/>
      <c r="J801" s="39" t="n"/>
      <c r="K801" s="39" t="n"/>
      <c r="L801" s="39" t="n"/>
      <c r="M801" s="7" t="n"/>
      <c r="N801" s="7" t="n"/>
      <c r="O801" s="40" t="n"/>
      <c r="P801" s="40" t="n"/>
      <c r="Q801" s="40" t="n"/>
      <c r="R801" s="40" t="n"/>
      <c r="S801" s="40" t="n"/>
      <c r="T801" s="40" t="n"/>
      <c r="U801" s="40" t="n"/>
      <c r="V801" s="40" t="n"/>
      <c r="W801" s="40" t="n"/>
      <c r="X801" s="40" t="n"/>
      <c r="Y801" s="40" t="n"/>
      <c r="Z801" s="40" t="n"/>
      <c r="AA801" s="39" t="n"/>
    </row>
    <row r="802">
      <c r="A802" s="7" t="n"/>
      <c r="B802" s="7" t="n"/>
      <c r="C802" s="39" t="n"/>
      <c r="D802" s="39" t="n"/>
      <c r="E802" s="7" t="n"/>
      <c r="F802" s="7" t="n"/>
      <c r="G802" s="7" t="n"/>
      <c r="H802" s="39" t="n"/>
      <c r="I802" s="39" t="n"/>
      <c r="J802" s="39" t="n"/>
      <c r="K802" s="39" t="n"/>
      <c r="L802" s="39" t="n"/>
      <c r="M802" s="7" t="n"/>
      <c r="N802" s="7" t="n"/>
      <c r="O802" s="40" t="n"/>
      <c r="P802" s="40" t="n"/>
      <c r="Q802" s="40" t="n"/>
      <c r="R802" s="40" t="n"/>
      <c r="S802" s="40" t="n"/>
      <c r="T802" s="40" t="n"/>
      <c r="U802" s="40" t="n"/>
      <c r="V802" s="40" t="n"/>
      <c r="W802" s="40" t="n"/>
      <c r="X802" s="40" t="n"/>
      <c r="Y802" s="40" t="n"/>
      <c r="Z802" s="40" t="n"/>
      <c r="AA802" s="39" t="n"/>
    </row>
    <row r="803">
      <c r="A803" s="7" t="n"/>
      <c r="B803" s="7" t="n"/>
      <c r="C803" s="39" t="n"/>
      <c r="D803" s="39" t="n"/>
      <c r="E803" s="7" t="n"/>
      <c r="F803" s="7" t="n"/>
      <c r="G803" s="7" t="n"/>
      <c r="H803" s="39" t="n"/>
      <c r="I803" s="39" t="n"/>
      <c r="J803" s="39" t="n"/>
      <c r="K803" s="39" t="n"/>
      <c r="L803" s="39" t="n"/>
      <c r="M803" s="7" t="n"/>
      <c r="N803" s="7" t="n"/>
      <c r="O803" s="40" t="n"/>
      <c r="P803" s="40" t="n"/>
      <c r="Q803" s="40" t="n"/>
      <c r="R803" s="40" t="n"/>
      <c r="S803" s="40" t="n"/>
      <c r="T803" s="40" t="n"/>
      <c r="U803" s="40" t="n"/>
      <c r="V803" s="40" t="n"/>
      <c r="W803" s="40" t="n"/>
      <c r="X803" s="40" t="n"/>
      <c r="Y803" s="40" t="n"/>
      <c r="Z803" s="40" t="n"/>
      <c r="AA803" s="39" t="n"/>
    </row>
    <row r="804">
      <c r="A804" s="7" t="n"/>
      <c r="B804" s="7" t="n"/>
      <c r="C804" s="39" t="n"/>
      <c r="D804" s="39" t="n"/>
      <c r="E804" s="7" t="n"/>
      <c r="F804" s="7" t="n"/>
      <c r="G804" s="7" t="n"/>
      <c r="H804" s="39" t="n"/>
      <c r="I804" s="39" t="n"/>
      <c r="J804" s="39" t="n"/>
      <c r="K804" s="39" t="n"/>
      <c r="L804" s="39" t="n"/>
      <c r="M804" s="7" t="n"/>
      <c r="N804" s="7" t="n"/>
      <c r="O804" s="40" t="n"/>
      <c r="P804" s="40" t="n"/>
      <c r="Q804" s="40" t="n"/>
      <c r="R804" s="40" t="n"/>
      <c r="S804" s="40" t="n"/>
      <c r="T804" s="40" t="n"/>
      <c r="U804" s="40" t="n"/>
      <c r="V804" s="40" t="n"/>
      <c r="W804" s="40" t="n"/>
      <c r="X804" s="40" t="n"/>
      <c r="Y804" s="40" t="n"/>
      <c r="Z804" s="40" t="n"/>
      <c r="AA804" s="39" t="n"/>
    </row>
    <row r="805">
      <c r="A805" s="7" t="n"/>
      <c r="B805" s="7" t="n"/>
      <c r="C805" s="39" t="n"/>
      <c r="D805" s="39" t="n"/>
      <c r="E805" s="7" t="n"/>
      <c r="F805" s="7" t="n"/>
      <c r="G805" s="7" t="n"/>
      <c r="H805" s="39" t="n"/>
      <c r="I805" s="39" t="n"/>
      <c r="J805" s="39" t="n"/>
      <c r="K805" s="39" t="n"/>
      <c r="L805" s="39" t="n"/>
      <c r="M805" s="7" t="n"/>
      <c r="N805" s="7" t="n"/>
      <c r="O805" s="40" t="n"/>
      <c r="P805" s="40" t="n"/>
      <c r="Q805" s="40" t="n"/>
      <c r="R805" s="40" t="n"/>
      <c r="S805" s="40" t="n"/>
      <c r="T805" s="40" t="n"/>
      <c r="U805" s="40" t="n"/>
      <c r="V805" s="40" t="n"/>
      <c r="W805" s="40" t="n"/>
      <c r="X805" s="40" t="n"/>
      <c r="Y805" s="40" t="n"/>
      <c r="Z805" s="40" t="n"/>
      <c r="AA805" s="39" t="n"/>
    </row>
    <row r="806">
      <c r="A806" s="7" t="n"/>
      <c r="B806" s="7" t="n"/>
      <c r="C806" s="39" t="n"/>
      <c r="D806" s="39" t="n"/>
      <c r="E806" s="7" t="n"/>
      <c r="F806" s="7" t="n"/>
      <c r="G806" s="7" t="n"/>
      <c r="H806" s="39" t="n"/>
      <c r="I806" s="39" t="n"/>
      <c r="J806" s="39" t="n"/>
      <c r="K806" s="39" t="n"/>
      <c r="L806" s="39" t="n"/>
      <c r="M806" s="7" t="n"/>
      <c r="N806" s="7" t="n"/>
      <c r="O806" s="40" t="n"/>
      <c r="P806" s="40" t="n"/>
      <c r="Q806" s="40" t="n"/>
      <c r="R806" s="40" t="n"/>
      <c r="S806" s="40" t="n"/>
      <c r="T806" s="40" t="n"/>
      <c r="U806" s="40" t="n"/>
      <c r="V806" s="40" t="n"/>
      <c r="W806" s="40" t="n"/>
      <c r="X806" s="40" t="n"/>
      <c r="Y806" s="40" t="n"/>
      <c r="Z806" s="40" t="n"/>
      <c r="AA806" s="39" t="n"/>
    </row>
    <row r="807">
      <c r="A807" s="7" t="n"/>
      <c r="B807" s="7" t="n"/>
      <c r="C807" s="39" t="n"/>
      <c r="D807" s="39" t="n"/>
      <c r="E807" s="7" t="n"/>
      <c r="F807" s="7" t="n"/>
      <c r="G807" s="7" t="n"/>
      <c r="H807" s="39" t="n"/>
      <c r="I807" s="39" t="n"/>
      <c r="J807" s="39" t="n"/>
      <c r="K807" s="39" t="n"/>
      <c r="L807" s="39" t="n"/>
      <c r="M807" s="7" t="n"/>
      <c r="N807" s="7" t="n"/>
      <c r="O807" s="40" t="n"/>
      <c r="P807" s="40" t="n"/>
      <c r="Q807" s="40" t="n"/>
      <c r="R807" s="40" t="n"/>
      <c r="S807" s="40" t="n"/>
      <c r="T807" s="40" t="n"/>
      <c r="U807" s="40" t="n"/>
      <c r="V807" s="40" t="n"/>
      <c r="W807" s="40" t="n"/>
      <c r="X807" s="40" t="n"/>
      <c r="Y807" s="40" t="n"/>
      <c r="Z807" s="40" t="n"/>
      <c r="AA807" s="39" t="n"/>
    </row>
    <row r="808">
      <c r="A808" s="7" t="n"/>
      <c r="B808" s="7" t="n"/>
      <c r="C808" s="39" t="n"/>
      <c r="D808" s="39" t="n"/>
      <c r="E808" s="7" t="n"/>
      <c r="F808" s="7" t="n"/>
      <c r="G808" s="7" t="n"/>
      <c r="H808" s="39" t="n"/>
      <c r="I808" s="39" t="n"/>
      <c r="J808" s="39" t="n"/>
      <c r="K808" s="39" t="n"/>
      <c r="L808" s="39" t="n"/>
      <c r="M808" s="7" t="n"/>
      <c r="N808" s="7" t="n"/>
      <c r="O808" s="40" t="n"/>
      <c r="P808" s="40" t="n"/>
      <c r="Q808" s="40" t="n"/>
      <c r="R808" s="40" t="n"/>
      <c r="S808" s="40" t="n"/>
      <c r="T808" s="40" t="n"/>
      <c r="U808" s="40" t="n"/>
      <c r="V808" s="40" t="n"/>
      <c r="W808" s="40" t="n"/>
      <c r="X808" s="40" t="n"/>
      <c r="Y808" s="40" t="n"/>
      <c r="Z808" s="40" t="n"/>
      <c r="AA808" s="39" t="n"/>
    </row>
    <row r="809">
      <c r="A809" s="7" t="n"/>
      <c r="B809" s="7" t="n"/>
      <c r="C809" s="39" t="n"/>
      <c r="D809" s="39" t="n"/>
      <c r="E809" s="7" t="n"/>
      <c r="F809" s="7" t="n"/>
      <c r="G809" s="7" t="n"/>
      <c r="H809" s="39" t="n"/>
      <c r="I809" s="39" t="n"/>
      <c r="J809" s="39" t="n"/>
      <c r="K809" s="39" t="n"/>
      <c r="L809" s="39" t="n"/>
      <c r="M809" s="7" t="n"/>
      <c r="N809" s="7" t="n"/>
      <c r="O809" s="40" t="n"/>
      <c r="P809" s="40" t="n"/>
      <c r="Q809" s="40" t="n"/>
      <c r="R809" s="40" t="n"/>
      <c r="S809" s="40" t="n"/>
      <c r="T809" s="40" t="n"/>
      <c r="U809" s="40" t="n"/>
      <c r="V809" s="40" t="n"/>
      <c r="W809" s="40" t="n"/>
      <c r="X809" s="40" t="n"/>
      <c r="Y809" s="40" t="n"/>
      <c r="Z809" s="40" t="n"/>
      <c r="AA809" s="39" t="n"/>
    </row>
    <row r="810">
      <c r="A810" s="7" t="n"/>
      <c r="B810" s="7" t="n"/>
      <c r="C810" s="39" t="n"/>
      <c r="D810" s="39" t="n"/>
      <c r="E810" s="7" t="n"/>
      <c r="F810" s="7" t="n"/>
      <c r="G810" s="7" t="n"/>
      <c r="H810" s="39" t="n"/>
      <c r="I810" s="39" t="n"/>
      <c r="J810" s="39" t="n"/>
      <c r="K810" s="39" t="n"/>
      <c r="L810" s="39" t="n"/>
      <c r="M810" s="7" t="n"/>
      <c r="N810" s="7" t="n"/>
      <c r="O810" s="40" t="n"/>
      <c r="P810" s="40" t="n"/>
      <c r="Q810" s="40" t="n"/>
      <c r="R810" s="40" t="n"/>
      <c r="S810" s="40" t="n"/>
      <c r="T810" s="40" t="n"/>
      <c r="U810" s="40" t="n"/>
      <c r="V810" s="40" t="n"/>
      <c r="W810" s="40" t="n"/>
      <c r="X810" s="40" t="n"/>
      <c r="Y810" s="40" t="n"/>
      <c r="Z810" s="40" t="n"/>
      <c r="AA810" s="39" t="n"/>
    </row>
    <row r="811">
      <c r="A811" s="7" t="n"/>
      <c r="B811" s="7" t="n"/>
      <c r="C811" s="39" t="n"/>
      <c r="D811" s="39" t="n"/>
      <c r="E811" s="7" t="n"/>
      <c r="F811" s="7" t="n"/>
      <c r="G811" s="7" t="n"/>
      <c r="H811" s="39" t="n"/>
      <c r="I811" s="39" t="n"/>
      <c r="J811" s="39" t="n"/>
      <c r="K811" s="39" t="n"/>
      <c r="L811" s="39" t="n"/>
      <c r="M811" s="7" t="n"/>
      <c r="N811" s="7" t="n"/>
      <c r="O811" s="40" t="n"/>
      <c r="P811" s="40" t="n"/>
      <c r="Q811" s="40" t="n"/>
      <c r="R811" s="40" t="n"/>
      <c r="S811" s="40" t="n"/>
      <c r="T811" s="40" t="n"/>
      <c r="U811" s="40" t="n"/>
      <c r="V811" s="40" t="n"/>
      <c r="W811" s="40" t="n"/>
      <c r="X811" s="40" t="n"/>
      <c r="Y811" s="40" t="n"/>
      <c r="Z811" s="40" t="n"/>
      <c r="AA811" s="39" t="n"/>
    </row>
    <row r="812">
      <c r="A812" s="7" t="n"/>
      <c r="B812" s="7" t="n"/>
      <c r="C812" s="39" t="n"/>
      <c r="D812" s="39" t="n"/>
      <c r="E812" s="7" t="n"/>
      <c r="F812" s="7" t="n"/>
      <c r="G812" s="7" t="n"/>
      <c r="H812" s="39" t="n"/>
      <c r="I812" s="39" t="n"/>
      <c r="J812" s="39" t="n"/>
      <c r="K812" s="39" t="n"/>
      <c r="L812" s="39" t="n"/>
      <c r="M812" s="7" t="n"/>
      <c r="N812" s="7" t="n"/>
      <c r="O812" s="40" t="n"/>
      <c r="P812" s="40" t="n"/>
      <c r="Q812" s="40" t="n"/>
      <c r="R812" s="40" t="n"/>
      <c r="S812" s="40" t="n"/>
      <c r="T812" s="40" t="n"/>
      <c r="U812" s="40" t="n"/>
      <c r="V812" s="40" t="n"/>
      <c r="W812" s="40" t="n"/>
      <c r="X812" s="40" t="n"/>
      <c r="Y812" s="40" t="n"/>
      <c r="Z812" s="40" t="n"/>
      <c r="AA812" s="39" t="n"/>
    </row>
    <row r="813">
      <c r="A813" s="7" t="n"/>
      <c r="B813" s="7" t="n"/>
      <c r="C813" s="39" t="n"/>
      <c r="D813" s="39" t="n"/>
      <c r="E813" s="7" t="n"/>
      <c r="F813" s="7" t="n"/>
      <c r="G813" s="7" t="n"/>
      <c r="H813" s="39" t="n"/>
      <c r="I813" s="39" t="n"/>
      <c r="J813" s="39" t="n"/>
      <c r="K813" s="39" t="n"/>
      <c r="L813" s="39" t="n"/>
      <c r="M813" s="7" t="n"/>
      <c r="N813" s="7" t="n"/>
      <c r="O813" s="40" t="n"/>
      <c r="P813" s="40" t="n"/>
      <c r="Q813" s="40" t="n"/>
      <c r="R813" s="40" t="n"/>
      <c r="S813" s="40" t="n"/>
      <c r="T813" s="40" t="n"/>
      <c r="U813" s="40" t="n"/>
      <c r="V813" s="40" t="n"/>
      <c r="W813" s="40" t="n"/>
      <c r="X813" s="40" t="n"/>
      <c r="Y813" s="40" t="n"/>
      <c r="Z813" s="40" t="n"/>
      <c r="AA813" s="39" t="n"/>
    </row>
    <row r="814">
      <c r="A814" s="7" t="n"/>
      <c r="B814" s="7" t="n"/>
      <c r="C814" s="39" t="n"/>
      <c r="D814" s="39" t="n"/>
      <c r="E814" s="7" t="n"/>
      <c r="F814" s="7" t="n"/>
      <c r="G814" s="7" t="n"/>
      <c r="H814" s="39" t="n"/>
      <c r="I814" s="39" t="n"/>
      <c r="J814" s="39" t="n"/>
      <c r="K814" s="39" t="n"/>
      <c r="L814" s="39" t="n"/>
      <c r="M814" s="7" t="n"/>
      <c r="N814" s="7" t="n"/>
      <c r="O814" s="40" t="n"/>
      <c r="P814" s="40" t="n"/>
      <c r="Q814" s="40" t="n"/>
      <c r="R814" s="40" t="n"/>
      <c r="S814" s="40" t="n"/>
      <c r="T814" s="40" t="n"/>
      <c r="U814" s="40" t="n"/>
      <c r="V814" s="40" t="n"/>
      <c r="W814" s="40" t="n"/>
      <c r="X814" s="40" t="n"/>
      <c r="Y814" s="40" t="n"/>
      <c r="Z814" s="40" t="n"/>
      <c r="AA814" s="39" t="n"/>
    </row>
    <row r="815">
      <c r="A815" s="7" t="n"/>
      <c r="B815" s="7" t="n"/>
      <c r="C815" s="39" t="n"/>
      <c r="D815" s="39" t="n"/>
      <c r="E815" s="7" t="n"/>
      <c r="F815" s="7" t="n"/>
      <c r="G815" s="7" t="n"/>
      <c r="H815" s="39" t="n"/>
      <c r="I815" s="39" t="n"/>
      <c r="J815" s="39" t="n"/>
      <c r="K815" s="39" t="n"/>
      <c r="L815" s="39" t="n"/>
      <c r="M815" s="7" t="n"/>
      <c r="N815" s="7" t="n"/>
      <c r="O815" s="40" t="n"/>
      <c r="P815" s="40" t="n"/>
      <c r="Q815" s="40" t="n"/>
      <c r="R815" s="40" t="n"/>
      <c r="S815" s="40" t="n"/>
      <c r="T815" s="40" t="n"/>
      <c r="U815" s="40" t="n"/>
      <c r="V815" s="40" t="n"/>
      <c r="W815" s="40" t="n"/>
      <c r="X815" s="40" t="n"/>
      <c r="Y815" s="40" t="n"/>
      <c r="Z815" s="40" t="n"/>
      <c r="AA815" s="39" t="n"/>
    </row>
    <row r="816">
      <c r="A816" s="7" t="n"/>
      <c r="B816" s="7" t="n"/>
      <c r="C816" s="39" t="n"/>
      <c r="D816" s="39" t="n"/>
      <c r="E816" s="7" t="n"/>
      <c r="F816" s="7" t="n"/>
      <c r="G816" s="7" t="n"/>
      <c r="H816" s="39" t="n"/>
      <c r="I816" s="39" t="n"/>
      <c r="J816" s="39" t="n"/>
      <c r="K816" s="39" t="n"/>
      <c r="L816" s="39" t="n"/>
      <c r="M816" s="7" t="n"/>
      <c r="N816" s="7" t="n"/>
      <c r="O816" s="40" t="n"/>
      <c r="P816" s="40" t="n"/>
      <c r="Q816" s="40" t="n"/>
      <c r="R816" s="40" t="n"/>
      <c r="S816" s="40" t="n"/>
      <c r="T816" s="40" t="n"/>
      <c r="U816" s="40" t="n"/>
      <c r="V816" s="40" t="n"/>
      <c r="W816" s="40" t="n"/>
      <c r="X816" s="40" t="n"/>
      <c r="Y816" s="40" t="n"/>
      <c r="Z816" s="40" t="n"/>
      <c r="AA816" s="39" t="n"/>
    </row>
    <row r="817">
      <c r="A817" s="7" t="n"/>
      <c r="B817" s="7" t="n"/>
      <c r="C817" s="39" t="n"/>
      <c r="D817" s="39" t="n"/>
      <c r="E817" s="7" t="n"/>
      <c r="F817" s="7" t="n"/>
      <c r="G817" s="7" t="n"/>
      <c r="H817" s="39" t="n"/>
      <c r="I817" s="39" t="n"/>
      <c r="J817" s="39" t="n"/>
      <c r="K817" s="39" t="n"/>
      <c r="L817" s="39" t="n"/>
      <c r="M817" s="7" t="n"/>
      <c r="N817" s="7" t="n"/>
      <c r="O817" s="40" t="n"/>
      <c r="P817" s="40" t="n"/>
      <c r="Q817" s="40" t="n"/>
      <c r="R817" s="40" t="n"/>
      <c r="S817" s="40" t="n"/>
      <c r="T817" s="40" t="n"/>
      <c r="U817" s="40" t="n"/>
      <c r="V817" s="40" t="n"/>
      <c r="W817" s="40" t="n"/>
      <c r="X817" s="40" t="n"/>
      <c r="Y817" s="40" t="n"/>
      <c r="Z817" s="40" t="n"/>
      <c r="AA817" s="39" t="n"/>
    </row>
    <row r="818">
      <c r="A818" s="7" t="n"/>
      <c r="B818" s="7" t="n"/>
      <c r="C818" s="39" t="n"/>
      <c r="D818" s="39" t="n"/>
      <c r="E818" s="7" t="n"/>
      <c r="F818" s="7" t="n"/>
      <c r="G818" s="7" t="n"/>
      <c r="H818" s="39" t="n"/>
      <c r="I818" s="39" t="n"/>
      <c r="J818" s="39" t="n"/>
      <c r="K818" s="39" t="n"/>
      <c r="L818" s="39" t="n"/>
      <c r="M818" s="7" t="n"/>
      <c r="N818" s="7" t="n"/>
      <c r="O818" s="40" t="n"/>
      <c r="P818" s="40" t="n"/>
      <c r="Q818" s="40" t="n"/>
      <c r="R818" s="40" t="n"/>
      <c r="S818" s="40" t="n"/>
      <c r="T818" s="40" t="n"/>
      <c r="U818" s="40" t="n"/>
      <c r="V818" s="40" t="n"/>
      <c r="W818" s="40" t="n"/>
      <c r="X818" s="40" t="n"/>
      <c r="Y818" s="40" t="n"/>
      <c r="Z818" s="40" t="n"/>
      <c r="AA818" s="39" t="n"/>
    </row>
    <row r="819">
      <c r="A819" s="7" t="n"/>
      <c r="B819" s="7" t="n"/>
      <c r="C819" s="39" t="n"/>
      <c r="D819" s="39" t="n"/>
      <c r="E819" s="7" t="n"/>
      <c r="F819" s="7" t="n"/>
      <c r="G819" s="7" t="n"/>
      <c r="H819" s="39" t="n"/>
      <c r="I819" s="39" t="n"/>
      <c r="J819" s="39" t="n"/>
      <c r="K819" s="39" t="n"/>
      <c r="L819" s="39" t="n"/>
      <c r="M819" s="7" t="n"/>
      <c r="N819" s="7" t="n"/>
      <c r="O819" s="40" t="n"/>
      <c r="P819" s="40" t="n"/>
      <c r="Q819" s="40" t="n"/>
      <c r="R819" s="40" t="n"/>
      <c r="S819" s="40" t="n"/>
      <c r="T819" s="40" t="n"/>
      <c r="U819" s="40" t="n"/>
      <c r="V819" s="40" t="n"/>
      <c r="W819" s="40" t="n"/>
      <c r="X819" s="40" t="n"/>
      <c r="Y819" s="40" t="n"/>
      <c r="Z819" s="40" t="n"/>
      <c r="AA819" s="39" t="n"/>
    </row>
    <row r="820">
      <c r="A820" s="7" t="n"/>
      <c r="B820" s="7" t="n"/>
      <c r="C820" s="39" t="n"/>
      <c r="D820" s="39" t="n"/>
      <c r="E820" s="7" t="n"/>
      <c r="F820" s="7" t="n"/>
      <c r="G820" s="7" t="n"/>
      <c r="H820" s="39" t="n"/>
      <c r="I820" s="39" t="n"/>
      <c r="J820" s="39" t="n"/>
      <c r="K820" s="39" t="n"/>
      <c r="L820" s="39" t="n"/>
      <c r="M820" s="7" t="n"/>
      <c r="N820" s="7" t="n"/>
      <c r="O820" s="40" t="n"/>
      <c r="P820" s="40" t="n"/>
      <c r="Q820" s="40" t="n"/>
      <c r="R820" s="40" t="n"/>
      <c r="S820" s="40" t="n"/>
      <c r="T820" s="40" t="n"/>
      <c r="U820" s="40" t="n"/>
      <c r="V820" s="40" t="n"/>
      <c r="W820" s="40" t="n"/>
      <c r="X820" s="40" t="n"/>
      <c r="Y820" s="40" t="n"/>
      <c r="Z820" s="40" t="n"/>
      <c r="AA820" s="39" t="n"/>
    </row>
    <row r="821">
      <c r="A821" s="7" t="n"/>
      <c r="B821" s="7" t="n"/>
      <c r="C821" s="39" t="n"/>
      <c r="D821" s="39" t="n"/>
      <c r="E821" s="7" t="n"/>
      <c r="F821" s="7" t="n"/>
      <c r="G821" s="7" t="n"/>
      <c r="H821" s="39" t="n"/>
      <c r="I821" s="39" t="n"/>
      <c r="J821" s="39" t="n"/>
      <c r="K821" s="39" t="n"/>
      <c r="L821" s="39" t="n"/>
      <c r="M821" s="7" t="n"/>
      <c r="N821" s="7" t="n"/>
      <c r="O821" s="40" t="n"/>
      <c r="P821" s="40" t="n"/>
      <c r="Q821" s="40" t="n"/>
      <c r="R821" s="40" t="n"/>
      <c r="S821" s="40" t="n"/>
      <c r="T821" s="40" t="n"/>
      <c r="U821" s="40" t="n"/>
      <c r="V821" s="40" t="n"/>
      <c r="W821" s="40" t="n"/>
      <c r="X821" s="40" t="n"/>
      <c r="Y821" s="40" t="n"/>
      <c r="Z821" s="40" t="n"/>
      <c r="AA821" s="39" t="n"/>
    </row>
    <row r="822">
      <c r="A822" s="7" t="n"/>
      <c r="B822" s="7" t="n"/>
      <c r="C822" s="39" t="n"/>
      <c r="D822" s="39" t="n"/>
      <c r="E822" s="7" t="n"/>
      <c r="F822" s="7" t="n"/>
      <c r="G822" s="7" t="n"/>
      <c r="H822" s="39" t="n"/>
      <c r="I822" s="39" t="n"/>
      <c r="J822" s="39" t="n"/>
      <c r="K822" s="39" t="n"/>
      <c r="L822" s="39" t="n"/>
      <c r="M822" s="7" t="n"/>
      <c r="N822" s="7" t="n"/>
      <c r="O822" s="40" t="n"/>
      <c r="P822" s="40" t="n"/>
      <c r="Q822" s="40" t="n"/>
      <c r="R822" s="40" t="n"/>
      <c r="S822" s="40" t="n"/>
      <c r="T822" s="40" t="n"/>
      <c r="U822" s="40" t="n"/>
      <c r="V822" s="40" t="n"/>
      <c r="W822" s="40" t="n"/>
      <c r="X822" s="40" t="n"/>
      <c r="Y822" s="40" t="n"/>
      <c r="Z822" s="40" t="n"/>
      <c r="AA822" s="39" t="n"/>
    </row>
    <row r="823">
      <c r="A823" s="7" t="n"/>
      <c r="B823" s="7" t="n"/>
      <c r="C823" s="39" t="n"/>
      <c r="D823" s="39" t="n"/>
      <c r="E823" s="7" t="n"/>
      <c r="F823" s="7" t="n"/>
      <c r="G823" s="7" t="n"/>
      <c r="H823" s="39" t="n"/>
      <c r="I823" s="39" t="n"/>
      <c r="J823" s="39" t="n"/>
      <c r="K823" s="39" t="n"/>
      <c r="L823" s="39" t="n"/>
      <c r="M823" s="7" t="n"/>
      <c r="N823" s="7" t="n"/>
      <c r="O823" s="40" t="n"/>
      <c r="P823" s="40" t="n"/>
      <c r="Q823" s="40" t="n"/>
      <c r="R823" s="40" t="n"/>
      <c r="S823" s="40" t="n"/>
      <c r="T823" s="40" t="n"/>
      <c r="U823" s="40" t="n"/>
      <c r="V823" s="40" t="n"/>
      <c r="W823" s="40" t="n"/>
      <c r="X823" s="40" t="n"/>
      <c r="Y823" s="40" t="n"/>
      <c r="Z823" s="40" t="n"/>
      <c r="AA823" s="39" t="n"/>
    </row>
    <row r="824">
      <c r="A824" s="7" t="n"/>
      <c r="B824" s="7" t="n"/>
      <c r="C824" s="39" t="n"/>
      <c r="D824" s="39" t="n"/>
      <c r="E824" s="7" t="n"/>
      <c r="F824" s="7" t="n"/>
      <c r="G824" s="7" t="n"/>
      <c r="H824" s="39" t="n"/>
      <c r="I824" s="39" t="n"/>
      <c r="J824" s="39" t="n"/>
      <c r="K824" s="39" t="n"/>
      <c r="L824" s="39" t="n"/>
      <c r="M824" s="7" t="n"/>
      <c r="N824" s="7" t="n"/>
      <c r="O824" s="40" t="n"/>
      <c r="P824" s="40" t="n"/>
      <c r="Q824" s="40" t="n"/>
      <c r="R824" s="40" t="n"/>
      <c r="S824" s="40" t="n"/>
      <c r="T824" s="40" t="n"/>
      <c r="U824" s="40" t="n"/>
      <c r="V824" s="40" t="n"/>
      <c r="W824" s="40" t="n"/>
      <c r="X824" s="40" t="n"/>
      <c r="Y824" s="40" t="n"/>
      <c r="Z824" s="40" t="n"/>
      <c r="AA824" s="39" t="n"/>
    </row>
    <row r="825">
      <c r="A825" s="7" t="n"/>
      <c r="B825" s="7" t="n"/>
      <c r="C825" s="39" t="n"/>
      <c r="D825" s="39" t="n"/>
      <c r="E825" s="7" t="n"/>
      <c r="F825" s="7" t="n"/>
      <c r="G825" s="7" t="n"/>
      <c r="H825" s="39" t="n"/>
      <c r="I825" s="39" t="n"/>
      <c r="J825" s="39" t="n"/>
      <c r="K825" s="39" t="n"/>
      <c r="L825" s="39" t="n"/>
      <c r="M825" s="7" t="n"/>
      <c r="N825" s="7" t="n"/>
      <c r="O825" s="40" t="n"/>
      <c r="P825" s="40" t="n"/>
      <c r="Q825" s="40" t="n"/>
      <c r="R825" s="40" t="n"/>
      <c r="S825" s="40" t="n"/>
      <c r="T825" s="40" t="n"/>
      <c r="U825" s="40" t="n"/>
      <c r="V825" s="40" t="n"/>
      <c r="W825" s="40" t="n"/>
      <c r="X825" s="40" t="n"/>
      <c r="Y825" s="40" t="n"/>
      <c r="Z825" s="40" t="n"/>
      <c r="AA825" s="39" t="n"/>
    </row>
    <row r="826">
      <c r="A826" s="7" t="n"/>
      <c r="B826" s="7" t="n"/>
      <c r="C826" s="39" t="n"/>
      <c r="D826" s="39" t="n"/>
      <c r="E826" s="7" t="n"/>
      <c r="F826" s="7" t="n"/>
      <c r="G826" s="7" t="n"/>
      <c r="H826" s="39" t="n"/>
      <c r="I826" s="39" t="n"/>
      <c r="J826" s="39" t="n"/>
      <c r="K826" s="39" t="n"/>
      <c r="L826" s="39" t="n"/>
      <c r="M826" s="7" t="n"/>
      <c r="N826" s="7" t="n"/>
      <c r="O826" s="40" t="n"/>
      <c r="P826" s="40" t="n"/>
      <c r="Q826" s="40" t="n"/>
      <c r="R826" s="40" t="n"/>
      <c r="S826" s="40" t="n"/>
      <c r="T826" s="40" t="n"/>
      <c r="U826" s="40" t="n"/>
      <c r="V826" s="40" t="n"/>
      <c r="W826" s="40" t="n"/>
      <c r="X826" s="40" t="n"/>
      <c r="Y826" s="40" t="n"/>
      <c r="Z826" s="40" t="n"/>
      <c r="AA826" s="39" t="n"/>
    </row>
    <row r="827">
      <c r="A827" s="7" t="n"/>
      <c r="B827" s="7" t="n"/>
      <c r="C827" s="39" t="n"/>
      <c r="D827" s="39" t="n"/>
      <c r="E827" s="7" t="n"/>
      <c r="F827" s="7" t="n"/>
      <c r="G827" s="7" t="n"/>
      <c r="H827" s="39" t="n"/>
      <c r="I827" s="39" t="n"/>
      <c r="J827" s="39" t="n"/>
      <c r="K827" s="39" t="n"/>
      <c r="L827" s="39" t="n"/>
      <c r="M827" s="7" t="n"/>
      <c r="N827" s="7" t="n"/>
      <c r="O827" s="40" t="n"/>
      <c r="P827" s="40" t="n"/>
      <c r="Q827" s="40" t="n"/>
      <c r="R827" s="40" t="n"/>
      <c r="S827" s="40" t="n"/>
      <c r="T827" s="40" t="n"/>
      <c r="U827" s="40" t="n"/>
      <c r="V827" s="40" t="n"/>
      <c r="W827" s="40" t="n"/>
      <c r="X827" s="40" t="n"/>
      <c r="Y827" s="40" t="n"/>
      <c r="Z827" s="40" t="n"/>
      <c r="AA827" s="39" t="n"/>
    </row>
    <row r="828">
      <c r="A828" s="7" t="n"/>
      <c r="B828" s="7" t="n"/>
      <c r="C828" s="39" t="n"/>
      <c r="D828" s="39" t="n"/>
      <c r="E828" s="7" t="n"/>
      <c r="F828" s="7" t="n"/>
      <c r="G828" s="7" t="n"/>
      <c r="H828" s="39" t="n"/>
      <c r="I828" s="39" t="n"/>
      <c r="J828" s="39" t="n"/>
      <c r="K828" s="39" t="n"/>
      <c r="L828" s="39" t="n"/>
      <c r="M828" s="7" t="n"/>
      <c r="N828" s="7" t="n"/>
      <c r="O828" s="40" t="n"/>
      <c r="P828" s="40" t="n"/>
      <c r="Q828" s="40" t="n"/>
      <c r="R828" s="40" t="n"/>
      <c r="S828" s="40" t="n"/>
      <c r="T828" s="40" t="n"/>
      <c r="U828" s="40" t="n"/>
      <c r="V828" s="40" t="n"/>
      <c r="W828" s="40" t="n"/>
      <c r="X828" s="40" t="n"/>
      <c r="Y828" s="40" t="n"/>
      <c r="Z828" s="40" t="n"/>
      <c r="AA828" s="39" t="n"/>
    </row>
    <row r="829">
      <c r="A829" s="7" t="n"/>
      <c r="B829" s="7" t="n"/>
      <c r="C829" s="39" t="n"/>
      <c r="D829" s="39" t="n"/>
      <c r="E829" s="7" t="n"/>
      <c r="F829" s="7" t="n"/>
      <c r="G829" s="7" t="n"/>
      <c r="H829" s="39" t="n"/>
      <c r="I829" s="39" t="n"/>
      <c r="J829" s="39" t="n"/>
      <c r="K829" s="39" t="n"/>
      <c r="L829" s="39" t="n"/>
      <c r="M829" s="7" t="n"/>
      <c r="N829" s="7" t="n"/>
      <c r="O829" s="40" t="n"/>
      <c r="P829" s="40" t="n"/>
      <c r="Q829" s="40" t="n"/>
      <c r="R829" s="40" t="n"/>
      <c r="S829" s="40" t="n"/>
      <c r="T829" s="40" t="n"/>
      <c r="U829" s="40" t="n"/>
      <c r="V829" s="40" t="n"/>
      <c r="W829" s="40" t="n"/>
      <c r="X829" s="40" t="n"/>
      <c r="Y829" s="40" t="n"/>
      <c r="Z829" s="40" t="n"/>
      <c r="AA829" s="39" t="n"/>
    </row>
    <row r="830">
      <c r="A830" s="7" t="n"/>
      <c r="B830" s="7" t="n"/>
      <c r="C830" s="39" t="n"/>
      <c r="D830" s="39" t="n"/>
      <c r="E830" s="7" t="n"/>
      <c r="F830" s="7" t="n"/>
      <c r="G830" s="7" t="n"/>
      <c r="H830" s="39" t="n"/>
      <c r="I830" s="39" t="n"/>
      <c r="J830" s="39" t="n"/>
      <c r="K830" s="39" t="n"/>
      <c r="L830" s="39" t="n"/>
      <c r="M830" s="7" t="n"/>
      <c r="N830" s="7" t="n"/>
      <c r="O830" s="40" t="n"/>
      <c r="P830" s="40" t="n"/>
      <c r="Q830" s="40" t="n"/>
      <c r="R830" s="40" t="n"/>
      <c r="S830" s="40" t="n"/>
      <c r="T830" s="40" t="n"/>
      <c r="U830" s="40" t="n"/>
      <c r="V830" s="40" t="n"/>
      <c r="W830" s="40" t="n"/>
      <c r="X830" s="40" t="n"/>
      <c r="Y830" s="40" t="n"/>
      <c r="Z830" s="40" t="n"/>
      <c r="AA830" s="39" t="n"/>
    </row>
    <row r="831">
      <c r="A831" s="7" t="n"/>
      <c r="B831" s="7" t="n"/>
      <c r="C831" s="39" t="n"/>
      <c r="D831" s="39" t="n"/>
      <c r="E831" s="7" t="n"/>
      <c r="F831" s="7" t="n"/>
      <c r="G831" s="7" t="n"/>
      <c r="H831" s="39" t="n"/>
      <c r="I831" s="39" t="n"/>
      <c r="J831" s="39" t="n"/>
      <c r="K831" s="39" t="n"/>
      <c r="L831" s="39" t="n"/>
      <c r="M831" s="7" t="n"/>
      <c r="N831" s="7" t="n"/>
      <c r="O831" s="40" t="n"/>
      <c r="P831" s="40" t="n"/>
      <c r="Q831" s="40" t="n"/>
      <c r="R831" s="40" t="n"/>
      <c r="S831" s="40" t="n"/>
      <c r="T831" s="40" t="n"/>
      <c r="U831" s="40" t="n"/>
      <c r="V831" s="40" t="n"/>
      <c r="W831" s="40" t="n"/>
      <c r="X831" s="40" t="n"/>
      <c r="Y831" s="40" t="n"/>
      <c r="Z831" s="40" t="n"/>
      <c r="AA831" s="39" t="n"/>
    </row>
    <row r="832">
      <c r="A832" s="7" t="n"/>
      <c r="B832" s="7" t="n"/>
      <c r="C832" s="39" t="n"/>
      <c r="D832" s="39" t="n"/>
      <c r="E832" s="7" t="n"/>
      <c r="F832" s="7" t="n"/>
      <c r="G832" s="7" t="n"/>
      <c r="H832" s="39" t="n"/>
      <c r="I832" s="39" t="n"/>
      <c r="J832" s="39" t="n"/>
      <c r="K832" s="39" t="n"/>
      <c r="L832" s="39" t="n"/>
      <c r="M832" s="7" t="n"/>
      <c r="N832" s="7" t="n"/>
      <c r="O832" s="40" t="n"/>
      <c r="P832" s="40" t="n"/>
      <c r="Q832" s="40" t="n"/>
      <c r="R832" s="40" t="n"/>
      <c r="S832" s="40" t="n"/>
      <c r="T832" s="40" t="n"/>
      <c r="U832" s="40" t="n"/>
      <c r="V832" s="40" t="n"/>
      <c r="W832" s="40" t="n"/>
      <c r="X832" s="40" t="n"/>
      <c r="Y832" s="40" t="n"/>
      <c r="Z832" s="40" t="n"/>
      <c r="AA832" s="39" t="n"/>
    </row>
    <row r="833">
      <c r="A833" s="7" t="n"/>
      <c r="B833" s="7" t="n"/>
      <c r="C833" s="39" t="n"/>
      <c r="D833" s="39" t="n"/>
      <c r="E833" s="7" t="n"/>
      <c r="F833" s="7" t="n"/>
      <c r="G833" s="7" t="n"/>
      <c r="H833" s="39" t="n"/>
      <c r="I833" s="39" t="n"/>
      <c r="J833" s="39" t="n"/>
      <c r="K833" s="39" t="n"/>
      <c r="L833" s="39" t="n"/>
      <c r="M833" s="7" t="n"/>
      <c r="N833" s="7" t="n"/>
      <c r="O833" s="40" t="n"/>
      <c r="P833" s="40" t="n"/>
      <c r="Q833" s="40" t="n"/>
      <c r="R833" s="40" t="n"/>
      <c r="S833" s="40" t="n"/>
      <c r="T833" s="40" t="n"/>
      <c r="U833" s="40" t="n"/>
      <c r="V833" s="40" t="n"/>
      <c r="W833" s="40" t="n"/>
      <c r="X833" s="40" t="n"/>
      <c r="Y833" s="40" t="n"/>
      <c r="Z833" s="40" t="n"/>
      <c r="AA833" s="39" t="n"/>
    </row>
    <row r="834">
      <c r="A834" s="7" t="n"/>
      <c r="B834" s="7" t="n"/>
      <c r="C834" s="39" t="n"/>
      <c r="D834" s="39" t="n"/>
      <c r="E834" s="7" t="n"/>
      <c r="F834" s="7" t="n"/>
      <c r="G834" s="7" t="n"/>
      <c r="H834" s="39" t="n"/>
      <c r="I834" s="39" t="n"/>
      <c r="J834" s="39" t="n"/>
      <c r="K834" s="39" t="n"/>
      <c r="L834" s="39" t="n"/>
      <c r="M834" s="7" t="n"/>
      <c r="N834" s="7" t="n"/>
      <c r="O834" s="40" t="n"/>
      <c r="P834" s="40" t="n"/>
      <c r="Q834" s="40" t="n"/>
      <c r="R834" s="40" t="n"/>
      <c r="S834" s="40" t="n"/>
      <c r="T834" s="40" t="n"/>
      <c r="U834" s="40" t="n"/>
      <c r="V834" s="40" t="n"/>
      <c r="W834" s="40" t="n"/>
      <c r="X834" s="40" t="n"/>
      <c r="Y834" s="40" t="n"/>
      <c r="Z834" s="40" t="n"/>
      <c r="AA834" s="39" t="n"/>
    </row>
    <row r="835">
      <c r="A835" s="7" t="n"/>
      <c r="B835" s="7" t="n"/>
      <c r="C835" s="39" t="n"/>
      <c r="D835" s="39" t="n"/>
      <c r="E835" s="7" t="n"/>
      <c r="F835" s="7" t="n"/>
      <c r="G835" s="7" t="n"/>
      <c r="H835" s="39" t="n"/>
      <c r="I835" s="39" t="n"/>
      <c r="J835" s="39" t="n"/>
      <c r="K835" s="39" t="n"/>
      <c r="L835" s="39" t="n"/>
      <c r="M835" s="7" t="n"/>
      <c r="N835" s="7" t="n"/>
      <c r="O835" s="40" t="n"/>
      <c r="P835" s="40" t="n"/>
      <c r="Q835" s="40" t="n"/>
      <c r="R835" s="40" t="n"/>
      <c r="S835" s="40" t="n"/>
      <c r="T835" s="40" t="n"/>
      <c r="U835" s="40" t="n"/>
      <c r="V835" s="40" t="n"/>
      <c r="W835" s="40" t="n"/>
      <c r="X835" s="40" t="n"/>
      <c r="Y835" s="40" t="n"/>
      <c r="Z835" s="40" t="n"/>
      <c r="AA835" s="39" t="n"/>
    </row>
    <row r="836">
      <c r="A836" s="7" t="n"/>
      <c r="B836" s="7" t="n"/>
      <c r="C836" s="39" t="n"/>
      <c r="D836" s="39" t="n"/>
      <c r="E836" s="7" t="n"/>
      <c r="F836" s="7" t="n"/>
      <c r="G836" s="7" t="n"/>
      <c r="H836" s="39" t="n"/>
      <c r="I836" s="39" t="n"/>
      <c r="J836" s="39" t="n"/>
      <c r="K836" s="39" t="n"/>
      <c r="L836" s="39" t="n"/>
      <c r="M836" s="7" t="n"/>
      <c r="N836" s="7" t="n"/>
      <c r="O836" s="40" t="n"/>
      <c r="P836" s="40" t="n"/>
      <c r="Q836" s="40" t="n"/>
      <c r="R836" s="40" t="n"/>
      <c r="S836" s="40" t="n"/>
      <c r="T836" s="40" t="n"/>
      <c r="U836" s="40" t="n"/>
      <c r="V836" s="40" t="n"/>
      <c r="W836" s="40" t="n"/>
      <c r="X836" s="40" t="n"/>
      <c r="Y836" s="40" t="n"/>
      <c r="Z836" s="40" t="n"/>
      <c r="AA836" s="39" t="n"/>
    </row>
    <row r="837">
      <c r="A837" s="7" t="n"/>
      <c r="B837" s="7" t="n"/>
      <c r="C837" s="39" t="n"/>
      <c r="D837" s="39" t="n"/>
      <c r="E837" s="7" t="n"/>
      <c r="F837" s="7" t="n"/>
      <c r="G837" s="7" t="n"/>
      <c r="H837" s="39" t="n"/>
      <c r="I837" s="39" t="n"/>
      <c r="J837" s="39" t="n"/>
      <c r="K837" s="39" t="n"/>
      <c r="L837" s="39" t="n"/>
      <c r="M837" s="7" t="n"/>
      <c r="N837" s="7" t="n"/>
      <c r="O837" s="40" t="n"/>
      <c r="P837" s="40" t="n"/>
      <c r="Q837" s="40" t="n"/>
      <c r="R837" s="40" t="n"/>
      <c r="S837" s="40" t="n"/>
      <c r="T837" s="40" t="n"/>
      <c r="U837" s="40" t="n"/>
      <c r="V837" s="40" t="n"/>
      <c r="W837" s="40" t="n"/>
      <c r="X837" s="40" t="n"/>
      <c r="Y837" s="40" t="n"/>
      <c r="Z837" s="40" t="n"/>
      <c r="AA837" s="39" t="n"/>
    </row>
    <row r="838">
      <c r="A838" s="7" t="n"/>
      <c r="B838" s="7" t="n"/>
      <c r="C838" s="39" t="n"/>
      <c r="D838" s="39" t="n"/>
      <c r="E838" s="7" t="n"/>
      <c r="F838" s="7" t="n"/>
      <c r="G838" s="7" t="n"/>
      <c r="H838" s="39" t="n"/>
      <c r="I838" s="39" t="n"/>
      <c r="J838" s="39" t="n"/>
      <c r="K838" s="39" t="n"/>
      <c r="L838" s="39" t="n"/>
      <c r="M838" s="7" t="n"/>
      <c r="N838" s="7" t="n"/>
      <c r="O838" s="40" t="n"/>
      <c r="P838" s="40" t="n"/>
      <c r="Q838" s="40" t="n"/>
      <c r="R838" s="40" t="n"/>
      <c r="S838" s="40" t="n"/>
      <c r="T838" s="40" t="n"/>
      <c r="U838" s="40" t="n"/>
      <c r="V838" s="40" t="n"/>
      <c r="W838" s="40" t="n"/>
      <c r="X838" s="40" t="n"/>
      <c r="Y838" s="40" t="n"/>
      <c r="Z838" s="40" t="n"/>
      <c r="AA838" s="39" t="n"/>
    </row>
    <row r="839">
      <c r="A839" s="7" t="n"/>
      <c r="B839" s="7" t="n"/>
      <c r="C839" s="39" t="n"/>
      <c r="D839" s="39" t="n"/>
      <c r="E839" s="7" t="n"/>
      <c r="F839" s="7" t="n"/>
      <c r="G839" s="7" t="n"/>
      <c r="H839" s="39" t="n"/>
      <c r="I839" s="39" t="n"/>
      <c r="J839" s="39" t="n"/>
      <c r="K839" s="39" t="n"/>
      <c r="L839" s="39" t="n"/>
      <c r="M839" s="7" t="n"/>
      <c r="N839" s="7" t="n"/>
      <c r="O839" s="40" t="n"/>
      <c r="P839" s="40" t="n"/>
      <c r="Q839" s="40" t="n"/>
      <c r="R839" s="40" t="n"/>
      <c r="S839" s="40" t="n"/>
      <c r="T839" s="40" t="n"/>
      <c r="U839" s="40" t="n"/>
      <c r="V839" s="40" t="n"/>
      <c r="W839" s="40" t="n"/>
      <c r="X839" s="40" t="n"/>
      <c r="Y839" s="40" t="n"/>
      <c r="Z839" s="40" t="n"/>
      <c r="AA839" s="39" t="n"/>
    </row>
    <row r="840">
      <c r="A840" s="7" t="n"/>
      <c r="B840" s="7" t="n"/>
      <c r="C840" s="39" t="n"/>
      <c r="D840" s="39" t="n"/>
      <c r="E840" s="7" t="n"/>
      <c r="F840" s="7" t="n"/>
      <c r="G840" s="7" t="n"/>
      <c r="H840" s="39" t="n"/>
      <c r="I840" s="39" t="n"/>
      <c r="J840" s="39" t="n"/>
      <c r="K840" s="39" t="n"/>
      <c r="L840" s="39" t="n"/>
      <c r="M840" s="7" t="n"/>
      <c r="N840" s="7" t="n"/>
      <c r="O840" s="40" t="n"/>
      <c r="P840" s="40" t="n"/>
      <c r="Q840" s="40" t="n"/>
      <c r="R840" s="40" t="n"/>
      <c r="S840" s="40" t="n"/>
      <c r="T840" s="40" t="n"/>
      <c r="U840" s="40" t="n"/>
      <c r="V840" s="40" t="n"/>
      <c r="W840" s="40" t="n"/>
      <c r="X840" s="40" t="n"/>
      <c r="Y840" s="40" t="n"/>
      <c r="Z840" s="40" t="n"/>
      <c r="AA840" s="39" t="n"/>
    </row>
    <row r="841">
      <c r="A841" s="7" t="n"/>
      <c r="B841" s="7" t="n"/>
      <c r="C841" s="39" t="n"/>
      <c r="D841" s="39" t="n"/>
      <c r="E841" s="7" t="n"/>
      <c r="F841" s="7" t="n"/>
      <c r="G841" s="7" t="n"/>
      <c r="H841" s="39" t="n"/>
      <c r="I841" s="39" t="n"/>
      <c r="J841" s="39" t="n"/>
      <c r="K841" s="39" t="n"/>
      <c r="L841" s="39" t="n"/>
      <c r="M841" s="7" t="n"/>
      <c r="N841" s="7" t="n"/>
      <c r="O841" s="40" t="n"/>
      <c r="P841" s="40" t="n"/>
      <c r="Q841" s="40" t="n"/>
      <c r="R841" s="40" t="n"/>
      <c r="S841" s="40" t="n"/>
      <c r="T841" s="40" t="n"/>
      <c r="U841" s="40" t="n"/>
      <c r="V841" s="40" t="n"/>
      <c r="W841" s="40" t="n"/>
      <c r="X841" s="40" t="n"/>
      <c r="Y841" s="40" t="n"/>
      <c r="Z841" s="40" t="n"/>
      <c r="AA841" s="39" t="n"/>
    </row>
    <row r="842">
      <c r="A842" s="7" t="n"/>
      <c r="B842" s="7" t="n"/>
      <c r="C842" s="39" t="n"/>
      <c r="D842" s="39" t="n"/>
      <c r="E842" s="7" t="n"/>
      <c r="F842" s="7" t="n"/>
      <c r="G842" s="7" t="n"/>
      <c r="H842" s="39" t="n"/>
      <c r="I842" s="39" t="n"/>
      <c r="J842" s="39" t="n"/>
      <c r="K842" s="39" t="n"/>
      <c r="L842" s="39" t="n"/>
      <c r="M842" s="7" t="n"/>
      <c r="N842" s="7" t="n"/>
      <c r="O842" s="40" t="n"/>
      <c r="P842" s="40" t="n"/>
      <c r="Q842" s="40" t="n"/>
      <c r="R842" s="40" t="n"/>
      <c r="S842" s="40" t="n"/>
      <c r="T842" s="40" t="n"/>
      <c r="U842" s="40" t="n"/>
      <c r="V842" s="40" t="n"/>
      <c r="W842" s="40" t="n"/>
      <c r="X842" s="40" t="n"/>
      <c r="Y842" s="40" t="n"/>
      <c r="Z842" s="40" t="n"/>
      <c r="AA842" s="39" t="n"/>
    </row>
    <row r="843">
      <c r="A843" s="7" t="n"/>
      <c r="B843" s="7" t="n"/>
      <c r="C843" s="39" t="n"/>
      <c r="D843" s="39" t="n"/>
      <c r="E843" s="7" t="n"/>
      <c r="F843" s="7" t="n"/>
      <c r="G843" s="7" t="n"/>
      <c r="H843" s="39" t="n"/>
      <c r="I843" s="39" t="n"/>
      <c r="J843" s="39" t="n"/>
      <c r="K843" s="39" t="n"/>
      <c r="L843" s="39" t="n"/>
      <c r="M843" s="7" t="n"/>
      <c r="N843" s="7" t="n"/>
      <c r="O843" s="40" t="n"/>
      <c r="P843" s="40" t="n"/>
      <c r="Q843" s="40" t="n"/>
      <c r="R843" s="40" t="n"/>
      <c r="S843" s="40" t="n"/>
      <c r="T843" s="40" t="n"/>
      <c r="U843" s="40" t="n"/>
      <c r="V843" s="40" t="n"/>
      <c r="W843" s="40" t="n"/>
      <c r="X843" s="40" t="n"/>
      <c r="Y843" s="40" t="n"/>
      <c r="Z843" s="40" t="n"/>
      <c r="AA843" s="39" t="n"/>
    </row>
    <row r="844">
      <c r="A844" s="7" t="n"/>
      <c r="B844" s="7" t="n"/>
      <c r="C844" s="39" t="n"/>
      <c r="D844" s="39" t="n"/>
      <c r="E844" s="7" t="n"/>
      <c r="F844" s="7" t="n"/>
      <c r="G844" s="7" t="n"/>
      <c r="H844" s="39" t="n"/>
      <c r="I844" s="39" t="n"/>
      <c r="J844" s="39" t="n"/>
      <c r="K844" s="39" t="n"/>
      <c r="L844" s="39" t="n"/>
      <c r="M844" s="7" t="n"/>
      <c r="N844" s="7" t="n"/>
      <c r="O844" s="40" t="n"/>
      <c r="P844" s="40" t="n"/>
      <c r="Q844" s="40" t="n"/>
      <c r="R844" s="40" t="n"/>
      <c r="S844" s="40" t="n"/>
      <c r="T844" s="40" t="n"/>
      <c r="U844" s="40" t="n"/>
      <c r="V844" s="40" t="n"/>
      <c r="W844" s="40" t="n"/>
      <c r="X844" s="40" t="n"/>
      <c r="Y844" s="40" t="n"/>
      <c r="Z844" s="40" t="n"/>
      <c r="AA844" s="39" t="n"/>
    </row>
    <row r="845">
      <c r="A845" s="7" t="n"/>
      <c r="B845" s="7" t="n"/>
      <c r="C845" s="39" t="n"/>
      <c r="D845" s="39" t="n"/>
      <c r="E845" s="7" t="n"/>
      <c r="F845" s="7" t="n"/>
      <c r="G845" s="7" t="n"/>
      <c r="H845" s="39" t="n"/>
      <c r="I845" s="39" t="n"/>
      <c r="J845" s="39" t="n"/>
      <c r="K845" s="39" t="n"/>
      <c r="L845" s="39" t="n"/>
      <c r="M845" s="7" t="n"/>
      <c r="N845" s="7" t="n"/>
      <c r="O845" s="40" t="n"/>
      <c r="P845" s="40" t="n"/>
      <c r="Q845" s="40" t="n"/>
      <c r="R845" s="40" t="n"/>
      <c r="S845" s="40" t="n"/>
      <c r="T845" s="40" t="n"/>
      <c r="U845" s="40" t="n"/>
      <c r="V845" s="40" t="n"/>
      <c r="W845" s="40" t="n"/>
      <c r="X845" s="40" t="n"/>
      <c r="Y845" s="40" t="n"/>
      <c r="Z845" s="40" t="n"/>
      <c r="AA845" s="39" t="n"/>
    </row>
    <row r="846">
      <c r="A846" s="7" t="n"/>
      <c r="B846" s="7" t="n"/>
      <c r="C846" s="39" t="n"/>
      <c r="D846" s="39" t="n"/>
      <c r="E846" s="7" t="n"/>
      <c r="F846" s="7" t="n"/>
      <c r="G846" s="7" t="n"/>
      <c r="H846" s="39" t="n"/>
      <c r="I846" s="39" t="n"/>
      <c r="J846" s="39" t="n"/>
      <c r="K846" s="39" t="n"/>
      <c r="L846" s="39" t="n"/>
      <c r="M846" s="7" t="n"/>
      <c r="N846" s="7" t="n"/>
      <c r="O846" s="40" t="n"/>
      <c r="P846" s="40" t="n"/>
      <c r="Q846" s="40" t="n"/>
      <c r="R846" s="40" t="n"/>
      <c r="S846" s="40" t="n"/>
      <c r="T846" s="40" t="n"/>
      <c r="U846" s="40" t="n"/>
      <c r="V846" s="40" t="n"/>
      <c r="W846" s="40" t="n"/>
      <c r="X846" s="40" t="n"/>
      <c r="Y846" s="40" t="n"/>
      <c r="Z846" s="40" t="n"/>
      <c r="AA846" s="39" t="n"/>
    </row>
    <row r="847">
      <c r="A847" s="7" t="n"/>
      <c r="B847" s="7" t="n"/>
      <c r="C847" s="39" t="n"/>
      <c r="D847" s="39" t="n"/>
      <c r="E847" s="7" t="n"/>
      <c r="F847" s="7" t="n"/>
      <c r="G847" s="7" t="n"/>
      <c r="H847" s="39" t="n"/>
      <c r="I847" s="39" t="n"/>
      <c r="J847" s="39" t="n"/>
      <c r="K847" s="39" t="n"/>
      <c r="L847" s="39" t="n"/>
      <c r="M847" s="7" t="n"/>
      <c r="N847" s="7" t="n"/>
      <c r="O847" s="40" t="n"/>
      <c r="P847" s="40" t="n"/>
      <c r="Q847" s="40" t="n"/>
      <c r="R847" s="40" t="n"/>
      <c r="S847" s="40" t="n"/>
      <c r="T847" s="40" t="n"/>
      <c r="U847" s="40" t="n"/>
      <c r="V847" s="40" t="n"/>
      <c r="W847" s="40" t="n"/>
      <c r="X847" s="40" t="n"/>
      <c r="Y847" s="40" t="n"/>
      <c r="Z847" s="40" t="n"/>
      <c r="AA847" s="39" t="n"/>
    </row>
    <row r="848">
      <c r="A848" s="7" t="n"/>
      <c r="B848" s="7" t="n"/>
      <c r="C848" s="39" t="n"/>
      <c r="D848" s="39" t="n"/>
      <c r="E848" s="7" t="n"/>
      <c r="F848" s="7" t="n"/>
      <c r="G848" s="7" t="n"/>
      <c r="H848" s="39" t="n"/>
      <c r="I848" s="39" t="n"/>
      <c r="J848" s="39" t="n"/>
      <c r="K848" s="39" t="n"/>
      <c r="L848" s="39" t="n"/>
      <c r="M848" s="7" t="n"/>
      <c r="N848" s="7" t="n"/>
      <c r="O848" s="40" t="n"/>
      <c r="P848" s="40" t="n"/>
      <c r="Q848" s="40" t="n"/>
      <c r="R848" s="40" t="n"/>
      <c r="S848" s="40" t="n"/>
      <c r="T848" s="40" t="n"/>
      <c r="U848" s="40" t="n"/>
      <c r="V848" s="40" t="n"/>
      <c r="W848" s="40" t="n"/>
      <c r="X848" s="40" t="n"/>
      <c r="Y848" s="40" t="n"/>
      <c r="Z848" s="40" t="n"/>
      <c r="AA848" s="39" t="n"/>
    </row>
    <row r="849">
      <c r="A849" s="7" t="n"/>
      <c r="B849" s="7" t="n"/>
      <c r="C849" s="39" t="n"/>
      <c r="D849" s="39" t="n"/>
      <c r="E849" s="7" t="n"/>
      <c r="F849" s="7" t="n"/>
      <c r="G849" s="7" t="n"/>
      <c r="H849" s="39" t="n"/>
      <c r="I849" s="39" t="n"/>
      <c r="J849" s="39" t="n"/>
      <c r="K849" s="39" t="n"/>
      <c r="L849" s="39" t="n"/>
      <c r="M849" s="7" t="n"/>
      <c r="N849" s="7" t="n"/>
      <c r="O849" s="40" t="n"/>
      <c r="P849" s="40" t="n"/>
      <c r="Q849" s="40" t="n"/>
      <c r="R849" s="40" t="n"/>
      <c r="S849" s="40" t="n"/>
      <c r="T849" s="40" t="n"/>
      <c r="U849" s="40" t="n"/>
      <c r="V849" s="40" t="n"/>
      <c r="W849" s="40" t="n"/>
      <c r="X849" s="40" t="n"/>
      <c r="Y849" s="40" t="n"/>
      <c r="Z849" s="40" t="n"/>
      <c r="AA849" s="39" t="n"/>
    </row>
    <row r="850">
      <c r="A850" s="7" t="n"/>
      <c r="B850" s="7" t="n"/>
      <c r="C850" s="39" t="n"/>
      <c r="D850" s="39" t="n"/>
      <c r="E850" s="7" t="n"/>
      <c r="F850" s="7" t="n"/>
      <c r="G850" s="7" t="n"/>
      <c r="H850" s="39" t="n"/>
      <c r="I850" s="39" t="n"/>
      <c r="J850" s="39" t="n"/>
      <c r="K850" s="39" t="n"/>
      <c r="L850" s="39" t="n"/>
      <c r="M850" s="7" t="n"/>
      <c r="N850" s="7" t="n"/>
      <c r="O850" s="40" t="n"/>
      <c r="P850" s="40" t="n"/>
      <c r="Q850" s="40" t="n"/>
      <c r="R850" s="40" t="n"/>
      <c r="S850" s="40" t="n"/>
      <c r="T850" s="40" t="n"/>
      <c r="U850" s="40" t="n"/>
      <c r="V850" s="40" t="n"/>
      <c r="W850" s="40" t="n"/>
      <c r="X850" s="40" t="n"/>
      <c r="Y850" s="40" t="n"/>
      <c r="Z850" s="40" t="n"/>
      <c r="AA850" s="39" t="n"/>
    </row>
    <row r="851">
      <c r="A851" s="7" t="n"/>
      <c r="B851" s="7" t="n"/>
      <c r="C851" s="39" t="n"/>
      <c r="D851" s="39" t="n"/>
      <c r="E851" s="7" t="n"/>
      <c r="F851" s="7" t="n"/>
      <c r="G851" s="7" t="n"/>
      <c r="H851" s="39" t="n"/>
      <c r="I851" s="39" t="n"/>
      <c r="J851" s="39" t="n"/>
      <c r="K851" s="39" t="n"/>
      <c r="L851" s="39" t="n"/>
      <c r="M851" s="7" t="n"/>
      <c r="N851" s="7" t="n"/>
      <c r="O851" s="40" t="n"/>
      <c r="P851" s="40" t="n"/>
      <c r="Q851" s="40" t="n"/>
      <c r="R851" s="40" t="n"/>
      <c r="S851" s="40" t="n"/>
      <c r="T851" s="40" t="n"/>
      <c r="U851" s="40" t="n"/>
      <c r="V851" s="40" t="n"/>
      <c r="W851" s="40" t="n"/>
      <c r="X851" s="40" t="n"/>
      <c r="Y851" s="40" t="n"/>
      <c r="Z851" s="40" t="n"/>
      <c r="AA851" s="39" t="n"/>
    </row>
    <row r="852">
      <c r="A852" s="7" t="n"/>
      <c r="B852" s="7" t="n"/>
      <c r="C852" s="39" t="n"/>
      <c r="D852" s="39" t="n"/>
      <c r="E852" s="7" t="n"/>
      <c r="F852" s="7" t="n"/>
      <c r="G852" s="7" t="n"/>
      <c r="H852" s="39" t="n"/>
      <c r="I852" s="39" t="n"/>
      <c r="J852" s="39" t="n"/>
      <c r="K852" s="39" t="n"/>
      <c r="L852" s="39" t="n"/>
      <c r="M852" s="7" t="n"/>
      <c r="N852" s="7" t="n"/>
      <c r="O852" s="40" t="n"/>
      <c r="P852" s="40" t="n"/>
      <c r="Q852" s="40" t="n"/>
      <c r="R852" s="40" t="n"/>
      <c r="S852" s="40" t="n"/>
      <c r="T852" s="40" t="n"/>
      <c r="U852" s="40" t="n"/>
      <c r="V852" s="40" t="n"/>
      <c r="W852" s="40" t="n"/>
      <c r="X852" s="40" t="n"/>
      <c r="Y852" s="40" t="n"/>
      <c r="Z852" s="40" t="n"/>
      <c r="AA852" s="39" t="n"/>
    </row>
    <row r="853">
      <c r="A853" s="7" t="n"/>
      <c r="B853" s="7" t="n"/>
      <c r="C853" s="39" t="n"/>
      <c r="D853" s="39" t="n"/>
      <c r="E853" s="7" t="n"/>
      <c r="F853" s="7" t="n"/>
      <c r="G853" s="7" t="n"/>
      <c r="H853" s="39" t="n"/>
      <c r="I853" s="39" t="n"/>
      <c r="J853" s="39" t="n"/>
      <c r="K853" s="39" t="n"/>
      <c r="L853" s="39" t="n"/>
      <c r="M853" s="7" t="n"/>
      <c r="N853" s="7" t="n"/>
      <c r="O853" s="40" t="n"/>
      <c r="P853" s="40" t="n"/>
      <c r="Q853" s="40" t="n"/>
      <c r="R853" s="40" t="n"/>
      <c r="S853" s="40" t="n"/>
      <c r="T853" s="40" t="n"/>
      <c r="U853" s="40" t="n"/>
      <c r="V853" s="40" t="n"/>
      <c r="W853" s="40" t="n"/>
      <c r="X853" s="40" t="n"/>
      <c r="Y853" s="40" t="n"/>
      <c r="Z853" s="40" t="n"/>
      <c r="AA853" s="39" t="n"/>
    </row>
    <row r="854">
      <c r="A854" s="7" t="n"/>
      <c r="B854" s="7" t="n"/>
      <c r="C854" s="39" t="n"/>
      <c r="D854" s="39" t="n"/>
      <c r="E854" s="7" t="n"/>
      <c r="F854" s="7" t="n"/>
      <c r="G854" s="7" t="n"/>
      <c r="H854" s="39" t="n"/>
      <c r="I854" s="39" t="n"/>
      <c r="J854" s="39" t="n"/>
      <c r="K854" s="39" t="n"/>
      <c r="L854" s="39" t="n"/>
      <c r="M854" s="7" t="n"/>
      <c r="N854" s="7" t="n"/>
      <c r="O854" s="40" t="n"/>
      <c r="P854" s="40" t="n"/>
      <c r="Q854" s="40" t="n"/>
      <c r="R854" s="40" t="n"/>
      <c r="S854" s="40" t="n"/>
      <c r="T854" s="40" t="n"/>
      <c r="U854" s="40" t="n"/>
      <c r="V854" s="40" t="n"/>
      <c r="W854" s="40" t="n"/>
      <c r="X854" s="40" t="n"/>
      <c r="Y854" s="40" t="n"/>
      <c r="Z854" s="40" t="n"/>
      <c r="AA854" s="39" t="n"/>
    </row>
    <row r="855">
      <c r="A855" s="7" t="n"/>
      <c r="B855" s="7" t="n"/>
      <c r="C855" s="39" t="n"/>
      <c r="D855" s="39" t="n"/>
      <c r="E855" s="7" t="n"/>
      <c r="F855" s="7" t="n"/>
      <c r="G855" s="7" t="n"/>
      <c r="H855" s="39" t="n"/>
      <c r="I855" s="39" t="n"/>
      <c r="J855" s="39" t="n"/>
      <c r="K855" s="39" t="n"/>
      <c r="L855" s="39" t="n"/>
      <c r="M855" s="7" t="n"/>
      <c r="N855" s="7" t="n"/>
      <c r="O855" s="40" t="n"/>
      <c r="P855" s="40" t="n"/>
      <c r="Q855" s="40" t="n"/>
      <c r="R855" s="40" t="n"/>
      <c r="S855" s="40" t="n"/>
      <c r="T855" s="40" t="n"/>
      <c r="U855" s="40" t="n"/>
      <c r="V855" s="40" t="n"/>
      <c r="W855" s="40" t="n"/>
      <c r="X855" s="40" t="n"/>
      <c r="Y855" s="40" t="n"/>
      <c r="Z855" s="40" t="n"/>
      <c r="AA855" s="39" t="n"/>
    </row>
    <row r="856">
      <c r="A856" s="7" t="n"/>
      <c r="B856" s="7" t="n"/>
      <c r="C856" s="39" t="n"/>
      <c r="D856" s="39" t="n"/>
      <c r="E856" s="7" t="n"/>
      <c r="F856" s="7" t="n"/>
      <c r="G856" s="7" t="n"/>
      <c r="H856" s="39" t="n"/>
      <c r="I856" s="39" t="n"/>
      <c r="J856" s="39" t="n"/>
      <c r="K856" s="39" t="n"/>
      <c r="L856" s="39" t="n"/>
      <c r="M856" s="7" t="n"/>
      <c r="N856" s="7" t="n"/>
      <c r="O856" s="40" t="n"/>
      <c r="P856" s="40" t="n"/>
      <c r="Q856" s="40" t="n"/>
      <c r="R856" s="40" t="n"/>
      <c r="S856" s="40" t="n"/>
      <c r="T856" s="40" t="n"/>
      <c r="U856" s="40" t="n"/>
      <c r="V856" s="40" t="n"/>
      <c r="W856" s="40" t="n"/>
      <c r="X856" s="40" t="n"/>
      <c r="Y856" s="40" t="n"/>
      <c r="Z856" s="40" t="n"/>
      <c r="AA856" s="39" t="n"/>
    </row>
    <row r="857">
      <c r="A857" s="7" t="n"/>
      <c r="B857" s="7" t="n"/>
      <c r="C857" s="39" t="n"/>
      <c r="D857" s="39" t="n"/>
      <c r="E857" s="7" t="n"/>
      <c r="F857" s="7" t="n"/>
      <c r="G857" s="7" t="n"/>
      <c r="H857" s="39" t="n"/>
      <c r="I857" s="39" t="n"/>
      <c r="J857" s="39" t="n"/>
      <c r="K857" s="39" t="n"/>
      <c r="L857" s="39" t="n"/>
      <c r="M857" s="7" t="n"/>
      <c r="N857" s="7" t="n"/>
      <c r="O857" s="40" t="n"/>
      <c r="P857" s="40" t="n"/>
      <c r="Q857" s="40" t="n"/>
      <c r="R857" s="40" t="n"/>
      <c r="S857" s="40" t="n"/>
      <c r="T857" s="40" t="n"/>
      <c r="U857" s="40" t="n"/>
      <c r="V857" s="40" t="n"/>
      <c r="W857" s="40" t="n"/>
      <c r="X857" s="40" t="n"/>
      <c r="Y857" s="40" t="n"/>
      <c r="Z857" s="40" t="n"/>
      <c r="AA857" s="39" t="n"/>
    </row>
    <row r="858">
      <c r="A858" s="7" t="n"/>
      <c r="B858" s="7" t="n"/>
      <c r="C858" s="39" t="n"/>
      <c r="D858" s="39" t="n"/>
      <c r="E858" s="7" t="n"/>
      <c r="F858" s="7" t="n"/>
      <c r="G858" s="7" t="n"/>
      <c r="H858" s="39" t="n"/>
      <c r="I858" s="39" t="n"/>
      <c r="J858" s="39" t="n"/>
      <c r="K858" s="39" t="n"/>
      <c r="L858" s="39" t="n"/>
      <c r="M858" s="7" t="n"/>
      <c r="N858" s="7" t="n"/>
      <c r="O858" s="40" t="n"/>
      <c r="P858" s="40" t="n"/>
      <c r="Q858" s="40" t="n"/>
      <c r="R858" s="40" t="n"/>
      <c r="S858" s="40" t="n"/>
      <c r="T858" s="40" t="n"/>
      <c r="U858" s="40" t="n"/>
      <c r="V858" s="40" t="n"/>
      <c r="W858" s="40" t="n"/>
      <c r="X858" s="40" t="n"/>
      <c r="Y858" s="40" t="n"/>
      <c r="Z858" s="40" t="n"/>
      <c r="AA858" s="39" t="n"/>
    </row>
    <row r="859">
      <c r="A859" s="7" t="n"/>
      <c r="B859" s="7" t="n"/>
      <c r="C859" s="39" t="n"/>
      <c r="D859" s="39" t="n"/>
      <c r="E859" s="7" t="n"/>
      <c r="F859" s="7" t="n"/>
      <c r="G859" s="7" t="n"/>
      <c r="H859" s="39" t="n"/>
      <c r="I859" s="39" t="n"/>
      <c r="J859" s="39" t="n"/>
      <c r="K859" s="39" t="n"/>
      <c r="L859" s="39" t="n"/>
      <c r="M859" s="7" t="n"/>
      <c r="N859" s="7" t="n"/>
      <c r="O859" s="40" t="n"/>
      <c r="P859" s="40" t="n"/>
      <c r="Q859" s="40" t="n"/>
      <c r="R859" s="40" t="n"/>
      <c r="S859" s="40" t="n"/>
      <c r="T859" s="40" t="n"/>
      <c r="U859" s="40" t="n"/>
      <c r="V859" s="40" t="n"/>
      <c r="W859" s="40" t="n"/>
      <c r="X859" s="40" t="n"/>
      <c r="Y859" s="40" t="n"/>
      <c r="Z859" s="40" t="n"/>
      <c r="AA859" s="39" t="n"/>
    </row>
    <row r="860">
      <c r="A860" s="7" t="n"/>
      <c r="B860" s="7" t="n"/>
      <c r="C860" s="39" t="n"/>
      <c r="D860" s="39" t="n"/>
      <c r="E860" s="7" t="n"/>
      <c r="F860" s="7" t="n"/>
      <c r="G860" s="7" t="n"/>
      <c r="H860" s="39" t="n"/>
      <c r="I860" s="39" t="n"/>
      <c r="J860" s="39" t="n"/>
      <c r="K860" s="39" t="n"/>
      <c r="L860" s="39" t="n"/>
      <c r="M860" s="7" t="n"/>
      <c r="N860" s="7" t="n"/>
      <c r="O860" s="40" t="n"/>
      <c r="P860" s="40" t="n"/>
      <c r="Q860" s="40" t="n"/>
      <c r="R860" s="40" t="n"/>
      <c r="S860" s="40" t="n"/>
      <c r="T860" s="40" t="n"/>
      <c r="U860" s="40" t="n"/>
      <c r="V860" s="40" t="n"/>
      <c r="W860" s="40" t="n"/>
      <c r="X860" s="40" t="n"/>
      <c r="Y860" s="40" t="n"/>
      <c r="Z860" s="40" t="n"/>
      <c r="AA860" s="39" t="n"/>
    </row>
    <row r="861">
      <c r="A861" s="7" t="n"/>
      <c r="B861" s="7" t="n"/>
      <c r="C861" s="39" t="n"/>
      <c r="D861" s="39" t="n"/>
      <c r="E861" s="7" t="n"/>
      <c r="F861" s="7" t="n"/>
      <c r="G861" s="7" t="n"/>
      <c r="H861" s="39" t="n"/>
      <c r="I861" s="39" t="n"/>
      <c r="J861" s="39" t="n"/>
      <c r="K861" s="39" t="n"/>
      <c r="L861" s="39" t="n"/>
      <c r="M861" s="7" t="n"/>
      <c r="N861" s="7" t="n"/>
      <c r="O861" s="40" t="n"/>
      <c r="P861" s="40" t="n"/>
      <c r="Q861" s="40" t="n"/>
      <c r="R861" s="40" t="n"/>
      <c r="S861" s="40" t="n"/>
      <c r="T861" s="40" t="n"/>
      <c r="U861" s="40" t="n"/>
      <c r="V861" s="40" t="n"/>
      <c r="W861" s="40" t="n"/>
      <c r="X861" s="40" t="n"/>
      <c r="Y861" s="40" t="n"/>
      <c r="Z861" s="40" t="n"/>
      <c r="AA861" s="39" t="n"/>
    </row>
    <row r="862">
      <c r="A862" s="7" t="n"/>
      <c r="B862" s="7" t="n"/>
      <c r="C862" s="39" t="n"/>
      <c r="D862" s="39" t="n"/>
      <c r="E862" s="7" t="n"/>
      <c r="F862" s="7" t="n"/>
      <c r="G862" s="7" t="n"/>
      <c r="H862" s="39" t="n"/>
      <c r="I862" s="39" t="n"/>
      <c r="J862" s="39" t="n"/>
      <c r="K862" s="39" t="n"/>
      <c r="L862" s="39" t="n"/>
      <c r="M862" s="7" t="n"/>
      <c r="N862" s="7" t="n"/>
      <c r="O862" s="40" t="n"/>
      <c r="P862" s="40" t="n"/>
      <c r="Q862" s="40" t="n"/>
      <c r="R862" s="40" t="n"/>
      <c r="S862" s="40" t="n"/>
      <c r="T862" s="40" t="n"/>
      <c r="U862" s="40" t="n"/>
      <c r="V862" s="40" t="n"/>
      <c r="W862" s="40" t="n"/>
      <c r="X862" s="40" t="n"/>
      <c r="Y862" s="40" t="n"/>
      <c r="Z862" s="40" t="n"/>
      <c r="AA862" s="39" t="n"/>
    </row>
    <row r="863">
      <c r="A863" s="7" t="n"/>
      <c r="B863" s="7" t="n"/>
      <c r="C863" s="39" t="n"/>
      <c r="D863" s="39" t="n"/>
      <c r="E863" s="7" t="n"/>
      <c r="F863" s="7" t="n"/>
      <c r="G863" s="7" t="n"/>
      <c r="H863" s="39" t="n"/>
      <c r="I863" s="39" t="n"/>
      <c r="J863" s="39" t="n"/>
      <c r="K863" s="39" t="n"/>
      <c r="L863" s="39" t="n"/>
      <c r="M863" s="7" t="n"/>
      <c r="N863" s="7" t="n"/>
      <c r="O863" s="40" t="n"/>
      <c r="P863" s="40" t="n"/>
      <c r="Q863" s="40" t="n"/>
      <c r="R863" s="40" t="n"/>
      <c r="S863" s="40" t="n"/>
      <c r="T863" s="40" t="n"/>
      <c r="U863" s="40" t="n"/>
      <c r="V863" s="40" t="n"/>
      <c r="W863" s="40" t="n"/>
      <c r="X863" s="40" t="n"/>
      <c r="Y863" s="40" t="n"/>
      <c r="Z863" s="40" t="n"/>
      <c r="AA863" s="39" t="n"/>
    </row>
    <row r="864">
      <c r="A864" s="7" t="n"/>
      <c r="B864" s="7" t="n"/>
      <c r="C864" s="39" t="n"/>
      <c r="D864" s="39" t="n"/>
      <c r="E864" s="7" t="n"/>
      <c r="F864" s="7" t="n"/>
      <c r="G864" s="7" t="n"/>
      <c r="H864" s="39" t="n"/>
      <c r="I864" s="39" t="n"/>
      <c r="J864" s="39" t="n"/>
      <c r="K864" s="39" t="n"/>
      <c r="L864" s="39" t="n"/>
      <c r="M864" s="7" t="n"/>
      <c r="N864" s="7" t="n"/>
      <c r="O864" s="40" t="n"/>
      <c r="P864" s="40" t="n"/>
      <c r="Q864" s="40" t="n"/>
      <c r="R864" s="40" t="n"/>
      <c r="S864" s="40" t="n"/>
      <c r="T864" s="40" t="n"/>
      <c r="U864" s="40" t="n"/>
      <c r="V864" s="40" t="n"/>
      <c r="W864" s="40" t="n"/>
      <c r="X864" s="40" t="n"/>
      <c r="Y864" s="40" t="n"/>
      <c r="Z864" s="40" t="n"/>
      <c r="AA864" s="39" t="n"/>
    </row>
    <row r="865">
      <c r="A865" s="7" t="n"/>
      <c r="B865" s="7" t="n"/>
      <c r="C865" s="39" t="n"/>
      <c r="D865" s="39" t="n"/>
      <c r="E865" s="7" t="n"/>
      <c r="F865" s="7" t="n"/>
      <c r="G865" s="7" t="n"/>
      <c r="H865" s="39" t="n"/>
      <c r="I865" s="39" t="n"/>
      <c r="J865" s="39" t="n"/>
      <c r="K865" s="39" t="n"/>
      <c r="L865" s="39" t="n"/>
      <c r="M865" s="7" t="n"/>
      <c r="N865" s="7" t="n"/>
      <c r="O865" s="40" t="n"/>
      <c r="P865" s="40" t="n"/>
      <c r="Q865" s="40" t="n"/>
      <c r="R865" s="40" t="n"/>
      <c r="S865" s="40" t="n"/>
      <c r="T865" s="40" t="n"/>
      <c r="U865" s="40" t="n"/>
      <c r="V865" s="40" t="n"/>
      <c r="W865" s="40" t="n"/>
      <c r="X865" s="40" t="n"/>
      <c r="Y865" s="40" t="n"/>
      <c r="Z865" s="40" t="n"/>
      <c r="AA865" s="39" t="n"/>
    </row>
    <row r="866">
      <c r="A866" s="7" t="n"/>
      <c r="B866" s="7" t="n"/>
      <c r="C866" s="39" t="n"/>
      <c r="D866" s="39" t="n"/>
      <c r="E866" s="7" t="n"/>
      <c r="F866" s="7" t="n"/>
      <c r="G866" s="7" t="n"/>
      <c r="H866" s="39" t="n"/>
      <c r="I866" s="39" t="n"/>
      <c r="J866" s="39" t="n"/>
      <c r="K866" s="39" t="n"/>
      <c r="L866" s="39" t="n"/>
      <c r="M866" s="7" t="n"/>
      <c r="N866" s="7" t="n"/>
      <c r="O866" s="40" t="n"/>
      <c r="P866" s="40" t="n"/>
      <c r="Q866" s="40" t="n"/>
      <c r="R866" s="40" t="n"/>
      <c r="S866" s="40" t="n"/>
      <c r="T866" s="40" t="n"/>
      <c r="U866" s="40" t="n"/>
      <c r="V866" s="40" t="n"/>
      <c r="W866" s="40" t="n"/>
      <c r="X866" s="40" t="n"/>
      <c r="Y866" s="40" t="n"/>
      <c r="Z866" s="40" t="n"/>
      <c r="AA866" s="39" t="n"/>
    </row>
    <row r="867">
      <c r="A867" s="7" t="n"/>
      <c r="B867" s="7" t="n"/>
      <c r="C867" s="39" t="n"/>
      <c r="D867" s="39" t="n"/>
      <c r="E867" s="7" t="n"/>
      <c r="F867" s="7" t="n"/>
      <c r="G867" s="7" t="n"/>
      <c r="H867" s="39" t="n"/>
      <c r="I867" s="39" t="n"/>
      <c r="J867" s="39" t="n"/>
      <c r="K867" s="39" t="n"/>
      <c r="L867" s="39" t="n"/>
      <c r="M867" s="7" t="n"/>
      <c r="N867" s="7" t="n"/>
      <c r="O867" s="40" t="n"/>
      <c r="P867" s="40" t="n"/>
      <c r="Q867" s="40" t="n"/>
      <c r="R867" s="40" t="n"/>
      <c r="S867" s="40" t="n"/>
      <c r="T867" s="40" t="n"/>
      <c r="U867" s="40" t="n"/>
      <c r="V867" s="40" t="n"/>
      <c r="W867" s="40" t="n"/>
      <c r="X867" s="40" t="n"/>
      <c r="Y867" s="40" t="n"/>
      <c r="Z867" s="40" t="n"/>
      <c r="AA867" s="39" t="n"/>
    </row>
    <row r="868">
      <c r="A868" s="7" t="n"/>
      <c r="B868" s="7" t="n"/>
      <c r="C868" s="39" t="n"/>
      <c r="D868" s="39" t="n"/>
      <c r="E868" s="7" t="n"/>
      <c r="F868" s="7" t="n"/>
      <c r="G868" s="7" t="n"/>
      <c r="H868" s="39" t="n"/>
      <c r="I868" s="39" t="n"/>
      <c r="J868" s="39" t="n"/>
      <c r="K868" s="39" t="n"/>
      <c r="L868" s="39" t="n"/>
      <c r="M868" s="7" t="n"/>
      <c r="N868" s="7" t="n"/>
      <c r="O868" s="40" t="n"/>
      <c r="P868" s="40" t="n"/>
      <c r="Q868" s="40" t="n"/>
      <c r="R868" s="40" t="n"/>
      <c r="S868" s="40" t="n"/>
      <c r="T868" s="40" t="n"/>
      <c r="U868" s="40" t="n"/>
      <c r="V868" s="40" t="n"/>
      <c r="W868" s="40" t="n"/>
      <c r="X868" s="40" t="n"/>
      <c r="Y868" s="40" t="n"/>
      <c r="Z868" s="40" t="n"/>
      <c r="AA868" s="39" t="n"/>
    </row>
    <row r="869">
      <c r="A869" s="7" t="n"/>
      <c r="B869" s="7" t="n"/>
      <c r="C869" s="39" t="n"/>
      <c r="D869" s="39" t="n"/>
      <c r="E869" s="7" t="n"/>
      <c r="F869" s="7" t="n"/>
      <c r="G869" s="7" t="n"/>
      <c r="H869" s="39" t="n"/>
      <c r="I869" s="39" t="n"/>
      <c r="J869" s="39" t="n"/>
      <c r="K869" s="39" t="n"/>
      <c r="L869" s="39" t="n"/>
      <c r="M869" s="7" t="n"/>
      <c r="N869" s="7" t="n"/>
      <c r="O869" s="40" t="n"/>
      <c r="P869" s="40" t="n"/>
      <c r="Q869" s="40" t="n"/>
      <c r="R869" s="40" t="n"/>
      <c r="S869" s="40" t="n"/>
      <c r="T869" s="40" t="n"/>
      <c r="U869" s="40" t="n"/>
      <c r="V869" s="40" t="n"/>
      <c r="W869" s="40" t="n"/>
      <c r="X869" s="40" t="n"/>
      <c r="Y869" s="40" t="n"/>
      <c r="Z869" s="40" t="n"/>
      <c r="AA869" s="39" t="n"/>
    </row>
    <row r="870">
      <c r="A870" s="7" t="n"/>
      <c r="B870" s="7" t="n"/>
      <c r="C870" s="39" t="n"/>
      <c r="D870" s="39" t="n"/>
      <c r="E870" s="7" t="n"/>
      <c r="F870" s="7" t="n"/>
      <c r="G870" s="7" t="n"/>
      <c r="H870" s="39" t="n"/>
      <c r="I870" s="39" t="n"/>
      <c r="J870" s="39" t="n"/>
      <c r="K870" s="39" t="n"/>
      <c r="L870" s="39" t="n"/>
      <c r="M870" s="7" t="n"/>
      <c r="N870" s="7" t="n"/>
      <c r="O870" s="40" t="n"/>
      <c r="P870" s="40" t="n"/>
      <c r="Q870" s="40" t="n"/>
      <c r="R870" s="40" t="n"/>
      <c r="S870" s="40" t="n"/>
      <c r="T870" s="40" t="n"/>
      <c r="U870" s="40" t="n"/>
      <c r="V870" s="40" t="n"/>
      <c r="W870" s="40" t="n"/>
      <c r="X870" s="40" t="n"/>
      <c r="Y870" s="40" t="n"/>
      <c r="Z870" s="40" t="n"/>
      <c r="AA870" s="39" t="n"/>
    </row>
    <row r="871">
      <c r="A871" s="7" t="n"/>
      <c r="B871" s="7" t="n"/>
      <c r="C871" s="39" t="n"/>
      <c r="D871" s="39" t="n"/>
      <c r="E871" s="7" t="n"/>
      <c r="F871" s="7" t="n"/>
      <c r="G871" s="7" t="n"/>
      <c r="H871" s="39" t="n"/>
      <c r="I871" s="39" t="n"/>
      <c r="J871" s="39" t="n"/>
      <c r="K871" s="39" t="n"/>
      <c r="L871" s="39" t="n"/>
      <c r="M871" s="7" t="n"/>
      <c r="N871" s="7" t="n"/>
      <c r="O871" s="40" t="n"/>
      <c r="P871" s="40" t="n"/>
      <c r="Q871" s="40" t="n"/>
      <c r="R871" s="40" t="n"/>
      <c r="S871" s="40" t="n"/>
      <c r="T871" s="40" t="n"/>
      <c r="U871" s="40" t="n"/>
      <c r="V871" s="40" t="n"/>
      <c r="W871" s="40" t="n"/>
      <c r="X871" s="40" t="n"/>
      <c r="Y871" s="40" t="n"/>
      <c r="Z871" s="40" t="n"/>
      <c r="AA871" s="39" t="n"/>
    </row>
    <row r="872">
      <c r="A872" s="7" t="n"/>
      <c r="B872" s="7" t="n"/>
      <c r="C872" s="39" t="n"/>
      <c r="D872" s="39" t="n"/>
      <c r="E872" s="7" t="n"/>
      <c r="F872" s="7" t="n"/>
      <c r="G872" s="7" t="n"/>
      <c r="H872" s="39" t="n"/>
      <c r="I872" s="39" t="n"/>
      <c r="J872" s="39" t="n"/>
      <c r="K872" s="39" t="n"/>
      <c r="L872" s="39" t="n"/>
      <c r="M872" s="7" t="n"/>
      <c r="N872" s="7" t="n"/>
      <c r="O872" s="40" t="n"/>
      <c r="P872" s="40" t="n"/>
      <c r="Q872" s="40" t="n"/>
      <c r="R872" s="40" t="n"/>
      <c r="S872" s="40" t="n"/>
      <c r="T872" s="40" t="n"/>
      <c r="U872" s="40" t="n"/>
      <c r="V872" s="40" t="n"/>
      <c r="W872" s="40" t="n"/>
      <c r="X872" s="40" t="n"/>
      <c r="Y872" s="40" t="n"/>
      <c r="Z872" s="40" t="n"/>
      <c r="AA872" s="39" t="n"/>
    </row>
    <row r="873">
      <c r="A873" s="7" t="n"/>
      <c r="B873" s="7" t="n"/>
      <c r="C873" s="39" t="n"/>
      <c r="D873" s="39" t="n"/>
      <c r="E873" s="7" t="n"/>
      <c r="F873" s="7" t="n"/>
      <c r="G873" s="7" t="n"/>
      <c r="H873" s="39" t="n"/>
      <c r="I873" s="39" t="n"/>
      <c r="J873" s="39" t="n"/>
      <c r="K873" s="39" t="n"/>
      <c r="L873" s="39" t="n"/>
      <c r="M873" s="7" t="n"/>
      <c r="N873" s="7" t="n"/>
      <c r="O873" s="40" t="n"/>
      <c r="P873" s="40" t="n"/>
      <c r="Q873" s="40" t="n"/>
      <c r="R873" s="40" t="n"/>
      <c r="S873" s="40" t="n"/>
      <c r="T873" s="40" t="n"/>
      <c r="U873" s="40" t="n"/>
      <c r="V873" s="40" t="n"/>
      <c r="W873" s="40" t="n"/>
      <c r="X873" s="40" t="n"/>
      <c r="Y873" s="40" t="n"/>
      <c r="Z873" s="40" t="n"/>
      <c r="AA873" s="39" t="n"/>
    </row>
    <row r="874">
      <c r="A874" s="7" t="n"/>
      <c r="B874" s="7" t="n"/>
      <c r="C874" s="39" t="n"/>
      <c r="D874" s="39" t="n"/>
      <c r="E874" s="7" t="n"/>
      <c r="F874" s="7" t="n"/>
      <c r="G874" s="7" t="n"/>
      <c r="H874" s="39" t="n"/>
      <c r="I874" s="39" t="n"/>
      <c r="J874" s="39" t="n"/>
      <c r="K874" s="39" t="n"/>
      <c r="L874" s="39" t="n"/>
      <c r="M874" s="7" t="n"/>
      <c r="N874" s="7" t="n"/>
      <c r="O874" s="40" t="n"/>
      <c r="P874" s="40" t="n"/>
      <c r="Q874" s="40" t="n"/>
      <c r="R874" s="40" t="n"/>
      <c r="S874" s="40" t="n"/>
      <c r="T874" s="40" t="n"/>
      <c r="U874" s="40" t="n"/>
      <c r="V874" s="40" t="n"/>
      <c r="W874" s="40" t="n"/>
      <c r="X874" s="40" t="n"/>
      <c r="Y874" s="40" t="n"/>
      <c r="Z874" s="40" t="n"/>
      <c r="AA874" s="39" t="n"/>
    </row>
    <row r="875">
      <c r="A875" s="7" t="n"/>
      <c r="B875" s="7" t="n"/>
      <c r="C875" s="39" t="n"/>
      <c r="D875" s="39" t="n"/>
      <c r="E875" s="7" t="n"/>
      <c r="F875" s="7" t="n"/>
      <c r="G875" s="7" t="n"/>
      <c r="H875" s="39" t="n"/>
      <c r="I875" s="39" t="n"/>
      <c r="J875" s="39" t="n"/>
      <c r="K875" s="39" t="n"/>
      <c r="L875" s="39" t="n"/>
      <c r="M875" s="7" t="n"/>
      <c r="N875" s="7" t="n"/>
      <c r="O875" s="40" t="n"/>
      <c r="P875" s="40" t="n"/>
      <c r="Q875" s="40" t="n"/>
      <c r="R875" s="40" t="n"/>
      <c r="S875" s="40" t="n"/>
      <c r="T875" s="40" t="n"/>
      <c r="U875" s="40" t="n"/>
      <c r="V875" s="40" t="n"/>
      <c r="W875" s="40" t="n"/>
      <c r="X875" s="40" t="n"/>
      <c r="Y875" s="40" t="n"/>
      <c r="Z875" s="40" t="n"/>
      <c r="AA875" s="39" t="n"/>
    </row>
    <row r="876">
      <c r="A876" s="7" t="n"/>
      <c r="B876" s="7" t="n"/>
      <c r="C876" s="39" t="n"/>
      <c r="D876" s="39" t="n"/>
      <c r="E876" s="7" t="n"/>
      <c r="F876" s="7" t="n"/>
      <c r="G876" s="7" t="n"/>
      <c r="H876" s="39" t="n"/>
      <c r="I876" s="39" t="n"/>
      <c r="J876" s="39" t="n"/>
      <c r="K876" s="39" t="n"/>
      <c r="L876" s="39" t="n"/>
      <c r="M876" s="7" t="n"/>
      <c r="N876" s="7" t="n"/>
      <c r="O876" s="40" t="n"/>
      <c r="P876" s="40" t="n"/>
      <c r="Q876" s="40" t="n"/>
      <c r="R876" s="40" t="n"/>
      <c r="S876" s="40" t="n"/>
      <c r="T876" s="40" t="n"/>
      <c r="U876" s="40" t="n"/>
      <c r="V876" s="40" t="n"/>
      <c r="W876" s="40" t="n"/>
      <c r="X876" s="40" t="n"/>
      <c r="Y876" s="40" t="n"/>
      <c r="Z876" s="40" t="n"/>
      <c r="AA876" s="39" t="n"/>
    </row>
    <row r="877">
      <c r="A877" s="7" t="n"/>
      <c r="B877" s="7" t="n"/>
      <c r="C877" s="39" t="n"/>
      <c r="D877" s="39" t="n"/>
      <c r="E877" s="7" t="n"/>
      <c r="F877" s="7" t="n"/>
      <c r="G877" s="7" t="n"/>
      <c r="H877" s="39" t="n"/>
      <c r="I877" s="39" t="n"/>
      <c r="J877" s="39" t="n"/>
      <c r="K877" s="39" t="n"/>
      <c r="L877" s="39" t="n"/>
      <c r="M877" s="7" t="n"/>
      <c r="N877" s="7" t="n"/>
      <c r="O877" s="40" t="n"/>
      <c r="P877" s="40" t="n"/>
      <c r="Q877" s="40" t="n"/>
      <c r="R877" s="40" t="n"/>
      <c r="S877" s="40" t="n"/>
      <c r="T877" s="40" t="n"/>
      <c r="U877" s="40" t="n"/>
      <c r="V877" s="40" t="n"/>
      <c r="W877" s="40" t="n"/>
      <c r="X877" s="40" t="n"/>
      <c r="Y877" s="40" t="n"/>
      <c r="Z877" s="40" t="n"/>
      <c r="AA877" s="39" t="n"/>
    </row>
    <row r="878">
      <c r="A878" s="7" t="n"/>
      <c r="B878" s="7" t="n"/>
      <c r="C878" s="39" t="n"/>
      <c r="D878" s="39" t="n"/>
      <c r="E878" s="7" t="n"/>
      <c r="F878" s="7" t="n"/>
      <c r="G878" s="7" t="n"/>
      <c r="H878" s="39" t="n"/>
      <c r="I878" s="39" t="n"/>
      <c r="J878" s="39" t="n"/>
      <c r="K878" s="39" t="n"/>
      <c r="L878" s="39" t="n"/>
      <c r="M878" s="7" t="n"/>
      <c r="N878" s="7" t="n"/>
      <c r="O878" s="40" t="n"/>
      <c r="P878" s="40" t="n"/>
      <c r="Q878" s="40" t="n"/>
      <c r="R878" s="40" t="n"/>
      <c r="S878" s="40" t="n"/>
      <c r="T878" s="40" t="n"/>
      <c r="U878" s="40" t="n"/>
      <c r="V878" s="40" t="n"/>
      <c r="W878" s="40" t="n"/>
      <c r="X878" s="40" t="n"/>
      <c r="Y878" s="40" t="n"/>
      <c r="Z878" s="40" t="n"/>
      <c r="AA878" s="39" t="n"/>
    </row>
    <row r="879">
      <c r="A879" s="7" t="n"/>
      <c r="B879" s="7" t="n"/>
      <c r="C879" s="39" t="n"/>
      <c r="D879" s="39" t="n"/>
      <c r="E879" s="7" t="n"/>
      <c r="F879" s="7" t="n"/>
      <c r="G879" s="7" t="n"/>
      <c r="H879" s="39" t="n"/>
      <c r="I879" s="39" t="n"/>
      <c r="J879" s="39" t="n"/>
      <c r="K879" s="39" t="n"/>
      <c r="L879" s="39" t="n"/>
      <c r="M879" s="7" t="n"/>
      <c r="N879" s="7" t="n"/>
      <c r="O879" s="40" t="n"/>
      <c r="P879" s="40" t="n"/>
      <c r="Q879" s="40" t="n"/>
      <c r="R879" s="40" t="n"/>
      <c r="S879" s="40" t="n"/>
      <c r="T879" s="40" t="n"/>
      <c r="U879" s="40" t="n"/>
      <c r="V879" s="40" t="n"/>
      <c r="W879" s="40" t="n"/>
      <c r="X879" s="40" t="n"/>
      <c r="Y879" s="40" t="n"/>
      <c r="Z879" s="40" t="n"/>
      <c r="AA879" s="39" t="n"/>
    </row>
    <row r="880">
      <c r="A880" s="7" t="n"/>
      <c r="B880" s="7" t="n"/>
      <c r="C880" s="39" t="n"/>
      <c r="D880" s="39" t="n"/>
      <c r="E880" s="7" t="n"/>
      <c r="F880" s="7" t="n"/>
      <c r="G880" s="7" t="n"/>
      <c r="H880" s="39" t="n"/>
      <c r="I880" s="39" t="n"/>
      <c r="J880" s="39" t="n"/>
      <c r="K880" s="39" t="n"/>
      <c r="L880" s="39" t="n"/>
      <c r="M880" s="7" t="n"/>
      <c r="N880" s="7" t="n"/>
      <c r="O880" s="40" t="n"/>
      <c r="P880" s="40" t="n"/>
      <c r="Q880" s="40" t="n"/>
      <c r="R880" s="40" t="n"/>
      <c r="S880" s="40" t="n"/>
      <c r="T880" s="40" t="n"/>
      <c r="U880" s="40" t="n"/>
      <c r="V880" s="40" t="n"/>
      <c r="W880" s="40" t="n"/>
      <c r="X880" s="40" t="n"/>
      <c r="Y880" s="40" t="n"/>
      <c r="Z880" s="40" t="n"/>
      <c r="AA880" s="39" t="n"/>
    </row>
    <row r="881">
      <c r="A881" s="7" t="n"/>
      <c r="B881" s="7" t="n"/>
      <c r="C881" s="39" t="n"/>
      <c r="D881" s="39" t="n"/>
      <c r="E881" s="7" t="n"/>
      <c r="F881" s="7" t="n"/>
      <c r="G881" s="7" t="n"/>
      <c r="H881" s="39" t="n"/>
      <c r="I881" s="39" t="n"/>
      <c r="J881" s="39" t="n"/>
      <c r="K881" s="39" t="n"/>
      <c r="L881" s="39" t="n"/>
      <c r="M881" s="7" t="n"/>
      <c r="N881" s="7" t="n"/>
      <c r="O881" s="40" t="n"/>
      <c r="P881" s="40" t="n"/>
      <c r="Q881" s="40" t="n"/>
      <c r="R881" s="40" t="n"/>
      <c r="S881" s="40" t="n"/>
      <c r="T881" s="40" t="n"/>
      <c r="U881" s="40" t="n"/>
      <c r="V881" s="40" t="n"/>
      <c r="W881" s="40" t="n"/>
      <c r="X881" s="40" t="n"/>
      <c r="Y881" s="40" t="n"/>
      <c r="Z881" s="40" t="n"/>
      <c r="AA881" s="39" t="n"/>
    </row>
    <row r="882">
      <c r="A882" s="7" t="n"/>
      <c r="B882" s="7" t="n"/>
      <c r="C882" s="39" t="n"/>
      <c r="D882" s="39" t="n"/>
      <c r="E882" s="7" t="n"/>
      <c r="F882" s="7" t="n"/>
      <c r="G882" s="7" t="n"/>
      <c r="H882" s="39" t="n"/>
      <c r="I882" s="39" t="n"/>
      <c r="J882" s="39" t="n"/>
      <c r="K882" s="39" t="n"/>
      <c r="L882" s="39" t="n"/>
      <c r="M882" s="7" t="n"/>
      <c r="N882" s="7" t="n"/>
      <c r="O882" s="40" t="n"/>
      <c r="P882" s="40" t="n"/>
      <c r="Q882" s="40" t="n"/>
      <c r="R882" s="40" t="n"/>
      <c r="S882" s="40" t="n"/>
      <c r="T882" s="40" t="n"/>
      <c r="U882" s="40" t="n"/>
      <c r="V882" s="40" t="n"/>
      <c r="W882" s="40" t="n"/>
      <c r="X882" s="40" t="n"/>
      <c r="Y882" s="40" t="n"/>
      <c r="Z882" s="40" t="n"/>
      <c r="AA882" s="39" t="n"/>
    </row>
    <row r="883">
      <c r="A883" s="7" t="n"/>
      <c r="B883" s="7" t="n"/>
      <c r="C883" s="39" t="n"/>
      <c r="D883" s="39" t="n"/>
      <c r="E883" s="7" t="n"/>
      <c r="F883" s="7" t="n"/>
      <c r="G883" s="7" t="n"/>
      <c r="H883" s="39" t="n"/>
      <c r="I883" s="39" t="n"/>
      <c r="J883" s="39" t="n"/>
      <c r="K883" s="39" t="n"/>
      <c r="L883" s="39" t="n"/>
      <c r="M883" s="7" t="n"/>
      <c r="N883" s="7" t="n"/>
      <c r="O883" s="40" t="n"/>
      <c r="P883" s="40" t="n"/>
      <c r="Q883" s="40" t="n"/>
      <c r="R883" s="40" t="n"/>
      <c r="S883" s="40" t="n"/>
      <c r="T883" s="40" t="n"/>
      <c r="U883" s="40" t="n"/>
      <c r="V883" s="40" t="n"/>
      <c r="W883" s="40" t="n"/>
      <c r="X883" s="40" t="n"/>
      <c r="Y883" s="40" t="n"/>
      <c r="Z883" s="40" t="n"/>
      <c r="AA883" s="39" t="n"/>
    </row>
    <row r="884">
      <c r="A884" s="7" t="n"/>
      <c r="B884" s="7" t="n"/>
      <c r="C884" s="39" t="n"/>
      <c r="D884" s="39" t="n"/>
      <c r="E884" s="7" t="n"/>
      <c r="F884" s="7" t="n"/>
      <c r="G884" s="7" t="n"/>
      <c r="H884" s="39" t="n"/>
      <c r="I884" s="39" t="n"/>
      <c r="J884" s="39" t="n"/>
      <c r="K884" s="39" t="n"/>
      <c r="L884" s="39" t="n"/>
      <c r="M884" s="7" t="n"/>
      <c r="N884" s="7" t="n"/>
      <c r="O884" s="40" t="n"/>
      <c r="P884" s="40" t="n"/>
      <c r="Q884" s="40" t="n"/>
      <c r="R884" s="40" t="n"/>
      <c r="S884" s="40" t="n"/>
      <c r="T884" s="40" t="n"/>
      <c r="U884" s="40" t="n"/>
      <c r="V884" s="40" t="n"/>
      <c r="W884" s="40" t="n"/>
      <c r="X884" s="40" t="n"/>
      <c r="Y884" s="40" t="n"/>
      <c r="Z884" s="40" t="n"/>
      <c r="AA884" s="39" t="n"/>
    </row>
    <row r="885">
      <c r="A885" s="7" t="n"/>
      <c r="B885" s="7" t="n"/>
      <c r="C885" s="39" t="n"/>
      <c r="D885" s="39" t="n"/>
      <c r="E885" s="7" t="n"/>
      <c r="F885" s="7" t="n"/>
      <c r="G885" s="7" t="n"/>
      <c r="H885" s="39" t="n"/>
      <c r="I885" s="39" t="n"/>
      <c r="J885" s="39" t="n"/>
      <c r="K885" s="39" t="n"/>
      <c r="L885" s="39" t="n"/>
      <c r="M885" s="7" t="n"/>
      <c r="N885" s="7" t="n"/>
      <c r="O885" s="40" t="n"/>
      <c r="P885" s="40" t="n"/>
      <c r="Q885" s="40" t="n"/>
      <c r="R885" s="40" t="n"/>
      <c r="S885" s="40" t="n"/>
      <c r="T885" s="40" t="n"/>
      <c r="U885" s="40" t="n"/>
      <c r="V885" s="40" t="n"/>
      <c r="W885" s="40" t="n"/>
      <c r="X885" s="40" t="n"/>
      <c r="Y885" s="40" t="n"/>
      <c r="Z885" s="40" t="n"/>
      <c r="AA885" s="39" t="n"/>
    </row>
    <row r="886">
      <c r="A886" s="7" t="n"/>
      <c r="B886" s="7" t="n"/>
      <c r="C886" s="39" t="n"/>
      <c r="D886" s="39" t="n"/>
      <c r="E886" s="7" t="n"/>
      <c r="F886" s="7" t="n"/>
      <c r="G886" s="7" t="n"/>
      <c r="H886" s="39" t="n"/>
      <c r="I886" s="39" t="n"/>
      <c r="J886" s="39" t="n"/>
      <c r="K886" s="39" t="n"/>
      <c r="L886" s="39" t="n"/>
      <c r="M886" s="7" t="n"/>
      <c r="N886" s="7" t="n"/>
      <c r="O886" s="40" t="n"/>
      <c r="P886" s="40" t="n"/>
      <c r="Q886" s="40" t="n"/>
      <c r="R886" s="40" t="n"/>
      <c r="S886" s="40" t="n"/>
      <c r="T886" s="40" t="n"/>
      <c r="U886" s="40" t="n"/>
      <c r="V886" s="40" t="n"/>
      <c r="W886" s="40" t="n"/>
      <c r="X886" s="40" t="n"/>
      <c r="Y886" s="40" t="n"/>
      <c r="Z886" s="40" t="n"/>
      <c r="AA886" s="39" t="n"/>
    </row>
    <row r="887">
      <c r="A887" s="7" t="n"/>
      <c r="B887" s="7" t="n"/>
      <c r="C887" s="39" t="n"/>
      <c r="D887" s="39" t="n"/>
      <c r="E887" s="7" t="n"/>
      <c r="F887" s="7" t="n"/>
      <c r="G887" s="7" t="n"/>
      <c r="H887" s="39" t="n"/>
      <c r="I887" s="39" t="n"/>
      <c r="J887" s="39" t="n"/>
      <c r="K887" s="39" t="n"/>
      <c r="L887" s="39" t="n"/>
      <c r="M887" s="7" t="n"/>
      <c r="N887" s="7" t="n"/>
      <c r="O887" s="40" t="n"/>
      <c r="P887" s="40" t="n"/>
      <c r="Q887" s="40" t="n"/>
      <c r="R887" s="40" t="n"/>
      <c r="S887" s="40" t="n"/>
      <c r="T887" s="40" t="n"/>
      <c r="U887" s="40" t="n"/>
      <c r="V887" s="40" t="n"/>
      <c r="W887" s="40" t="n"/>
      <c r="X887" s="40" t="n"/>
      <c r="Y887" s="40" t="n"/>
      <c r="Z887" s="40" t="n"/>
      <c r="AA887" s="39" t="n"/>
    </row>
    <row r="888">
      <c r="A888" s="7" t="n"/>
      <c r="B888" s="7" t="n"/>
      <c r="C888" s="39" t="n"/>
      <c r="D888" s="39" t="n"/>
      <c r="E888" s="7" t="n"/>
      <c r="F888" s="7" t="n"/>
      <c r="G888" s="7" t="n"/>
      <c r="H888" s="39" t="n"/>
      <c r="I888" s="39" t="n"/>
      <c r="J888" s="39" t="n"/>
      <c r="K888" s="39" t="n"/>
      <c r="L888" s="39" t="n"/>
      <c r="M888" s="7" t="n"/>
      <c r="N888" s="7" t="n"/>
      <c r="O888" s="40" t="n"/>
      <c r="P888" s="40" t="n"/>
      <c r="Q888" s="40" t="n"/>
      <c r="R888" s="40" t="n"/>
      <c r="S888" s="40" t="n"/>
      <c r="T888" s="40" t="n"/>
      <c r="U888" s="40" t="n"/>
      <c r="V888" s="40" t="n"/>
      <c r="W888" s="40" t="n"/>
      <c r="X888" s="40" t="n"/>
      <c r="Y888" s="40" t="n"/>
      <c r="Z888" s="40" t="n"/>
      <c r="AA888" s="39" t="n"/>
    </row>
    <row r="889">
      <c r="A889" s="7" t="n"/>
      <c r="B889" s="7" t="n"/>
      <c r="C889" s="39" t="n"/>
      <c r="D889" s="39" t="n"/>
      <c r="E889" s="7" t="n"/>
      <c r="F889" s="7" t="n"/>
      <c r="G889" s="7" t="n"/>
      <c r="H889" s="39" t="n"/>
      <c r="I889" s="39" t="n"/>
      <c r="J889" s="39" t="n"/>
      <c r="K889" s="39" t="n"/>
      <c r="L889" s="39" t="n"/>
      <c r="M889" s="7" t="n"/>
      <c r="N889" s="7" t="n"/>
      <c r="O889" s="40" t="n"/>
      <c r="P889" s="40" t="n"/>
      <c r="Q889" s="40" t="n"/>
      <c r="R889" s="40" t="n"/>
      <c r="S889" s="40" t="n"/>
      <c r="T889" s="40" t="n"/>
      <c r="U889" s="40" t="n"/>
      <c r="V889" s="40" t="n"/>
      <c r="W889" s="40" t="n"/>
      <c r="X889" s="40" t="n"/>
      <c r="Y889" s="40" t="n"/>
      <c r="Z889" s="40" t="n"/>
      <c r="AA889" s="39" t="n"/>
    </row>
    <row r="890">
      <c r="A890" s="7" t="n"/>
      <c r="B890" s="7" t="n"/>
      <c r="C890" s="39" t="n"/>
      <c r="D890" s="39" t="n"/>
      <c r="E890" s="7" t="n"/>
      <c r="F890" s="7" t="n"/>
      <c r="G890" s="7" t="n"/>
      <c r="H890" s="39" t="n"/>
      <c r="I890" s="39" t="n"/>
      <c r="J890" s="39" t="n"/>
      <c r="K890" s="39" t="n"/>
      <c r="L890" s="39" t="n"/>
      <c r="M890" s="7" t="n"/>
      <c r="N890" s="7" t="n"/>
      <c r="O890" s="40" t="n"/>
      <c r="P890" s="40" t="n"/>
      <c r="Q890" s="40" t="n"/>
      <c r="R890" s="40" t="n"/>
      <c r="S890" s="40" t="n"/>
      <c r="T890" s="40" t="n"/>
      <c r="U890" s="40" t="n"/>
      <c r="V890" s="40" t="n"/>
      <c r="W890" s="40" t="n"/>
      <c r="X890" s="40" t="n"/>
      <c r="Y890" s="40" t="n"/>
      <c r="Z890" s="40" t="n"/>
      <c r="AA890" s="39" t="n"/>
    </row>
    <row r="891">
      <c r="A891" s="7" t="n"/>
      <c r="B891" s="7" t="n"/>
      <c r="C891" s="39" t="n"/>
      <c r="D891" s="39" t="n"/>
      <c r="E891" s="7" t="n"/>
      <c r="F891" s="7" t="n"/>
      <c r="G891" s="7" t="n"/>
      <c r="H891" s="39" t="n"/>
      <c r="I891" s="39" t="n"/>
      <c r="J891" s="39" t="n"/>
      <c r="K891" s="39" t="n"/>
      <c r="L891" s="39" t="n"/>
      <c r="M891" s="7" t="n"/>
      <c r="N891" s="7" t="n"/>
      <c r="O891" s="40" t="n"/>
      <c r="P891" s="40" t="n"/>
      <c r="Q891" s="40" t="n"/>
      <c r="R891" s="40" t="n"/>
      <c r="S891" s="40" t="n"/>
      <c r="T891" s="40" t="n"/>
      <c r="U891" s="40" t="n"/>
      <c r="V891" s="40" t="n"/>
      <c r="W891" s="40" t="n"/>
      <c r="X891" s="40" t="n"/>
      <c r="Y891" s="40" t="n"/>
      <c r="Z891" s="40" t="n"/>
      <c r="AA891" s="39" t="n"/>
    </row>
    <row r="892">
      <c r="A892" s="7" t="n"/>
      <c r="B892" s="7" t="n"/>
      <c r="C892" s="39" t="n"/>
      <c r="D892" s="39" t="n"/>
      <c r="E892" s="7" t="n"/>
      <c r="F892" s="7" t="n"/>
      <c r="G892" s="7" t="n"/>
      <c r="H892" s="39" t="n"/>
      <c r="I892" s="39" t="n"/>
      <c r="J892" s="39" t="n"/>
      <c r="K892" s="39" t="n"/>
      <c r="L892" s="39" t="n"/>
      <c r="M892" s="7" t="n"/>
      <c r="N892" s="7" t="n"/>
      <c r="O892" s="40" t="n"/>
      <c r="P892" s="40" t="n"/>
      <c r="Q892" s="40" t="n"/>
      <c r="R892" s="40" t="n"/>
      <c r="S892" s="40" t="n"/>
      <c r="T892" s="40" t="n"/>
      <c r="U892" s="40" t="n"/>
      <c r="V892" s="40" t="n"/>
      <c r="W892" s="40" t="n"/>
      <c r="X892" s="40" t="n"/>
      <c r="Y892" s="40" t="n"/>
      <c r="Z892" s="40" t="n"/>
      <c r="AA892" s="39" t="n"/>
    </row>
    <row r="893">
      <c r="A893" s="7" t="n"/>
      <c r="B893" s="7" t="n"/>
      <c r="C893" s="39" t="n"/>
      <c r="D893" s="39" t="n"/>
      <c r="E893" s="7" t="n"/>
      <c r="F893" s="7" t="n"/>
      <c r="G893" s="7" t="n"/>
      <c r="H893" s="39" t="n"/>
      <c r="I893" s="39" t="n"/>
      <c r="J893" s="39" t="n"/>
      <c r="K893" s="39" t="n"/>
      <c r="L893" s="39" t="n"/>
      <c r="M893" s="7" t="n"/>
      <c r="N893" s="7" t="n"/>
      <c r="O893" s="40" t="n"/>
      <c r="P893" s="40" t="n"/>
      <c r="Q893" s="40" t="n"/>
      <c r="R893" s="40" t="n"/>
      <c r="S893" s="40" t="n"/>
      <c r="T893" s="40" t="n"/>
      <c r="U893" s="40" t="n"/>
      <c r="V893" s="40" t="n"/>
      <c r="W893" s="40" t="n"/>
      <c r="X893" s="40" t="n"/>
      <c r="Y893" s="40" t="n"/>
      <c r="Z893" s="40" t="n"/>
      <c r="AA893" s="39" t="n"/>
    </row>
    <row r="894">
      <c r="A894" s="7" t="n"/>
      <c r="B894" s="7" t="n"/>
      <c r="C894" s="39" t="n"/>
      <c r="D894" s="39" t="n"/>
      <c r="E894" s="7" t="n"/>
      <c r="F894" s="7" t="n"/>
      <c r="G894" s="7" t="n"/>
      <c r="H894" s="39" t="n"/>
      <c r="I894" s="39" t="n"/>
      <c r="J894" s="39" t="n"/>
      <c r="K894" s="39" t="n"/>
      <c r="L894" s="39" t="n"/>
      <c r="M894" s="7" t="n"/>
      <c r="N894" s="7" t="n"/>
      <c r="O894" s="40" t="n"/>
      <c r="P894" s="40" t="n"/>
      <c r="Q894" s="40" t="n"/>
      <c r="R894" s="40" t="n"/>
      <c r="S894" s="40" t="n"/>
      <c r="T894" s="40" t="n"/>
      <c r="U894" s="40" t="n"/>
      <c r="V894" s="40" t="n"/>
      <c r="W894" s="40" t="n"/>
      <c r="X894" s="40" t="n"/>
      <c r="Y894" s="40" t="n"/>
      <c r="Z894" s="40" t="n"/>
      <c r="AA894" s="39" t="n"/>
    </row>
    <row r="895">
      <c r="A895" s="7" t="n"/>
      <c r="B895" s="7" t="n"/>
      <c r="C895" s="39" t="n"/>
      <c r="D895" s="39" t="n"/>
      <c r="E895" s="7" t="n"/>
      <c r="F895" s="7" t="n"/>
      <c r="G895" s="7" t="n"/>
      <c r="H895" s="39" t="n"/>
      <c r="I895" s="39" t="n"/>
      <c r="J895" s="39" t="n"/>
      <c r="K895" s="39" t="n"/>
      <c r="L895" s="39" t="n"/>
      <c r="M895" s="7" t="n"/>
      <c r="N895" s="7" t="n"/>
      <c r="O895" s="40" t="n"/>
      <c r="P895" s="40" t="n"/>
      <c r="Q895" s="40" t="n"/>
      <c r="R895" s="40" t="n"/>
      <c r="S895" s="40" t="n"/>
      <c r="T895" s="40" t="n"/>
      <c r="U895" s="40" t="n"/>
      <c r="V895" s="40" t="n"/>
      <c r="W895" s="40" t="n"/>
      <c r="X895" s="40" t="n"/>
      <c r="Y895" s="40" t="n"/>
      <c r="Z895" s="40" t="n"/>
      <c r="AA895" s="39" t="n"/>
    </row>
    <row r="896">
      <c r="A896" s="7" t="n"/>
      <c r="B896" s="7" t="n"/>
      <c r="C896" s="39" t="n"/>
      <c r="D896" s="39" t="n"/>
      <c r="E896" s="7" t="n"/>
      <c r="F896" s="7" t="n"/>
      <c r="G896" s="7" t="n"/>
      <c r="H896" s="39" t="n"/>
      <c r="I896" s="39" t="n"/>
      <c r="J896" s="39" t="n"/>
      <c r="K896" s="39" t="n"/>
      <c r="L896" s="39" t="n"/>
      <c r="M896" s="7" t="n"/>
      <c r="N896" s="7" t="n"/>
      <c r="O896" s="40" t="n"/>
      <c r="P896" s="40" t="n"/>
      <c r="Q896" s="40" t="n"/>
      <c r="R896" s="40" t="n"/>
      <c r="S896" s="40" t="n"/>
      <c r="T896" s="40" t="n"/>
      <c r="U896" s="40" t="n"/>
      <c r="V896" s="40" t="n"/>
      <c r="W896" s="40" t="n"/>
      <c r="X896" s="40" t="n"/>
      <c r="Y896" s="40" t="n"/>
      <c r="Z896" s="40" t="n"/>
      <c r="AA896" s="39" t="n"/>
    </row>
    <row r="897">
      <c r="A897" s="7" t="n"/>
      <c r="B897" s="7" t="n"/>
      <c r="C897" s="39" t="n"/>
      <c r="D897" s="39" t="n"/>
      <c r="E897" s="7" t="n"/>
      <c r="F897" s="7" t="n"/>
      <c r="G897" s="7" t="n"/>
      <c r="H897" s="39" t="n"/>
      <c r="I897" s="39" t="n"/>
      <c r="J897" s="39" t="n"/>
      <c r="K897" s="39" t="n"/>
      <c r="L897" s="39" t="n"/>
      <c r="M897" s="7" t="n"/>
      <c r="N897" s="7" t="n"/>
      <c r="O897" s="40" t="n"/>
      <c r="P897" s="40" t="n"/>
      <c r="Q897" s="40" t="n"/>
      <c r="R897" s="40" t="n"/>
      <c r="S897" s="40" t="n"/>
      <c r="T897" s="40" t="n"/>
      <c r="U897" s="40" t="n"/>
      <c r="V897" s="40" t="n"/>
      <c r="W897" s="40" t="n"/>
      <c r="X897" s="40" t="n"/>
      <c r="Y897" s="40" t="n"/>
      <c r="Z897" s="40" t="n"/>
      <c r="AA897" s="39" t="n"/>
    </row>
    <row r="898">
      <c r="A898" s="7" t="n"/>
      <c r="B898" s="7" t="n"/>
      <c r="C898" s="39" t="n"/>
      <c r="D898" s="39" t="n"/>
      <c r="E898" s="7" t="n"/>
      <c r="F898" s="7" t="n"/>
      <c r="G898" s="7" t="n"/>
      <c r="H898" s="39" t="n"/>
      <c r="I898" s="39" t="n"/>
      <c r="J898" s="39" t="n"/>
      <c r="K898" s="39" t="n"/>
      <c r="L898" s="39" t="n"/>
      <c r="M898" s="7" t="n"/>
      <c r="N898" s="7" t="n"/>
      <c r="O898" s="40" t="n"/>
      <c r="P898" s="40" t="n"/>
      <c r="Q898" s="40" t="n"/>
      <c r="R898" s="40" t="n"/>
      <c r="S898" s="40" t="n"/>
      <c r="T898" s="40" t="n"/>
      <c r="U898" s="40" t="n"/>
      <c r="V898" s="40" t="n"/>
      <c r="W898" s="40" t="n"/>
      <c r="X898" s="40" t="n"/>
      <c r="Y898" s="40" t="n"/>
      <c r="Z898" s="40" t="n"/>
      <c r="AA898" s="39" t="n"/>
    </row>
    <row r="899">
      <c r="A899" s="7" t="n"/>
      <c r="B899" s="7" t="n"/>
      <c r="C899" s="39" t="n"/>
      <c r="D899" s="39" t="n"/>
      <c r="E899" s="7" t="n"/>
      <c r="F899" s="7" t="n"/>
      <c r="G899" s="7" t="n"/>
      <c r="H899" s="39" t="n"/>
      <c r="I899" s="39" t="n"/>
      <c r="J899" s="39" t="n"/>
      <c r="K899" s="39" t="n"/>
      <c r="L899" s="39" t="n"/>
      <c r="M899" s="7" t="n"/>
      <c r="N899" s="7" t="n"/>
      <c r="O899" s="40" t="n"/>
      <c r="P899" s="40" t="n"/>
      <c r="Q899" s="40" t="n"/>
      <c r="R899" s="40" t="n"/>
      <c r="S899" s="40" t="n"/>
      <c r="T899" s="40" t="n"/>
      <c r="U899" s="40" t="n"/>
      <c r="V899" s="40" t="n"/>
      <c r="W899" s="40" t="n"/>
      <c r="X899" s="40" t="n"/>
      <c r="Y899" s="40" t="n"/>
      <c r="Z899" s="40" t="n"/>
      <c r="AA899" s="39" t="n"/>
    </row>
    <row r="900">
      <c r="A900" s="7" t="n"/>
      <c r="B900" s="7" t="n"/>
      <c r="C900" s="39" t="n"/>
      <c r="D900" s="39" t="n"/>
      <c r="E900" s="7" t="n"/>
      <c r="F900" s="7" t="n"/>
      <c r="G900" s="7" t="n"/>
      <c r="H900" s="39" t="n"/>
      <c r="I900" s="39" t="n"/>
      <c r="J900" s="39" t="n"/>
      <c r="K900" s="39" t="n"/>
      <c r="L900" s="39" t="n"/>
      <c r="M900" s="7" t="n"/>
      <c r="N900" s="7" t="n"/>
      <c r="O900" s="40" t="n"/>
      <c r="P900" s="40" t="n"/>
      <c r="Q900" s="40" t="n"/>
      <c r="R900" s="40" t="n"/>
      <c r="S900" s="40" t="n"/>
      <c r="T900" s="40" t="n"/>
      <c r="U900" s="40" t="n"/>
      <c r="V900" s="40" t="n"/>
      <c r="W900" s="40" t="n"/>
      <c r="X900" s="40" t="n"/>
      <c r="Y900" s="40" t="n"/>
      <c r="Z900" s="40" t="n"/>
      <c r="AA900" s="39" t="n"/>
    </row>
    <row r="901">
      <c r="A901" s="7" t="n"/>
      <c r="B901" s="7" t="n"/>
      <c r="C901" s="39" t="n"/>
      <c r="D901" s="39" t="n"/>
      <c r="E901" s="7" t="n"/>
      <c r="F901" s="7" t="n"/>
      <c r="G901" s="7" t="n"/>
      <c r="H901" s="39" t="n"/>
      <c r="I901" s="39" t="n"/>
      <c r="J901" s="39" t="n"/>
      <c r="K901" s="39" t="n"/>
      <c r="L901" s="39" t="n"/>
      <c r="M901" s="7" t="n"/>
      <c r="N901" s="7" t="n"/>
      <c r="O901" s="40" t="n"/>
      <c r="P901" s="40" t="n"/>
      <c r="Q901" s="40" t="n"/>
      <c r="R901" s="40" t="n"/>
      <c r="S901" s="40" t="n"/>
      <c r="T901" s="40" t="n"/>
      <c r="U901" s="40" t="n"/>
      <c r="V901" s="40" t="n"/>
      <c r="W901" s="40" t="n"/>
      <c r="X901" s="40" t="n"/>
      <c r="Y901" s="40" t="n"/>
      <c r="Z901" s="40" t="n"/>
      <c r="AA901" s="39" t="n"/>
    </row>
    <row r="902">
      <c r="A902" s="7" t="n"/>
      <c r="B902" s="7" t="n"/>
      <c r="C902" s="39" t="n"/>
      <c r="D902" s="39" t="n"/>
      <c r="E902" s="7" t="n"/>
      <c r="F902" s="7" t="n"/>
      <c r="G902" s="7" t="n"/>
      <c r="H902" s="39" t="n"/>
      <c r="I902" s="39" t="n"/>
      <c r="J902" s="39" t="n"/>
      <c r="K902" s="39" t="n"/>
      <c r="L902" s="39" t="n"/>
      <c r="M902" s="7" t="n"/>
      <c r="N902" s="7" t="n"/>
      <c r="O902" s="40" t="n"/>
      <c r="P902" s="40" t="n"/>
      <c r="Q902" s="40" t="n"/>
      <c r="R902" s="40" t="n"/>
      <c r="S902" s="40" t="n"/>
      <c r="T902" s="40" t="n"/>
      <c r="U902" s="40" t="n"/>
      <c r="V902" s="40" t="n"/>
      <c r="W902" s="40" t="n"/>
      <c r="X902" s="40" t="n"/>
      <c r="Y902" s="40" t="n"/>
      <c r="Z902" s="40" t="n"/>
      <c r="AA902" s="39" t="n"/>
    </row>
    <row r="903">
      <c r="A903" s="7" t="n"/>
      <c r="B903" s="7" t="n"/>
      <c r="C903" s="39" t="n"/>
      <c r="D903" s="39" t="n"/>
      <c r="E903" s="7" t="n"/>
      <c r="F903" s="7" t="n"/>
      <c r="G903" s="7" t="n"/>
      <c r="H903" s="39" t="n"/>
      <c r="I903" s="39" t="n"/>
      <c r="J903" s="39" t="n"/>
      <c r="K903" s="39" t="n"/>
      <c r="L903" s="39" t="n"/>
      <c r="M903" s="7" t="n"/>
      <c r="N903" s="7" t="n"/>
      <c r="O903" s="40" t="n"/>
      <c r="P903" s="40" t="n"/>
      <c r="Q903" s="40" t="n"/>
      <c r="R903" s="40" t="n"/>
      <c r="S903" s="40" t="n"/>
      <c r="T903" s="40" t="n"/>
      <c r="U903" s="40" t="n"/>
      <c r="V903" s="40" t="n"/>
      <c r="W903" s="40" t="n"/>
      <c r="X903" s="40" t="n"/>
      <c r="Y903" s="40" t="n"/>
      <c r="Z903" s="40" t="n"/>
      <c r="AA903" s="39" t="n"/>
    </row>
    <row r="904">
      <c r="A904" s="7" t="n"/>
      <c r="B904" s="7" t="n"/>
      <c r="C904" s="39" t="n"/>
      <c r="D904" s="39" t="n"/>
      <c r="E904" s="7" t="n"/>
      <c r="F904" s="7" t="n"/>
      <c r="G904" s="7" t="n"/>
      <c r="H904" s="39" t="n"/>
      <c r="I904" s="39" t="n"/>
      <c r="J904" s="39" t="n"/>
      <c r="K904" s="39" t="n"/>
      <c r="L904" s="39" t="n"/>
      <c r="M904" s="7" t="n"/>
      <c r="N904" s="7" t="n"/>
      <c r="O904" s="40" t="n"/>
      <c r="P904" s="40" t="n"/>
      <c r="Q904" s="40" t="n"/>
      <c r="R904" s="40" t="n"/>
      <c r="S904" s="40" t="n"/>
      <c r="T904" s="40" t="n"/>
      <c r="U904" s="40" t="n"/>
      <c r="V904" s="40" t="n"/>
      <c r="W904" s="40" t="n"/>
      <c r="X904" s="40" t="n"/>
      <c r="Y904" s="40" t="n"/>
      <c r="Z904" s="40" t="n"/>
      <c r="AA904" s="39" t="n"/>
    </row>
    <row r="905">
      <c r="A905" s="7" t="n"/>
      <c r="B905" s="7" t="n"/>
      <c r="C905" s="39" t="n"/>
      <c r="D905" s="39" t="n"/>
      <c r="E905" s="7" t="n"/>
      <c r="F905" s="7" t="n"/>
      <c r="G905" s="7" t="n"/>
      <c r="H905" s="39" t="n"/>
      <c r="I905" s="39" t="n"/>
      <c r="J905" s="39" t="n"/>
      <c r="K905" s="39" t="n"/>
      <c r="L905" s="39" t="n"/>
      <c r="M905" s="7" t="n"/>
      <c r="N905" s="7" t="n"/>
      <c r="O905" s="40" t="n"/>
      <c r="P905" s="40" t="n"/>
      <c r="Q905" s="40" t="n"/>
      <c r="R905" s="40" t="n"/>
      <c r="S905" s="40" t="n"/>
      <c r="T905" s="40" t="n"/>
      <c r="U905" s="40" t="n"/>
      <c r="V905" s="40" t="n"/>
      <c r="W905" s="40" t="n"/>
      <c r="X905" s="40" t="n"/>
      <c r="Y905" s="40" t="n"/>
      <c r="Z905" s="40" t="n"/>
      <c r="AA905" s="39" t="n"/>
    </row>
    <row r="906">
      <c r="A906" s="7" t="n"/>
      <c r="B906" s="7" t="n"/>
      <c r="C906" s="39" t="n"/>
      <c r="D906" s="39" t="n"/>
      <c r="E906" s="7" t="n"/>
      <c r="F906" s="7" t="n"/>
      <c r="G906" s="7" t="n"/>
      <c r="H906" s="39" t="n"/>
      <c r="I906" s="39" t="n"/>
      <c r="J906" s="39" t="n"/>
      <c r="K906" s="39" t="n"/>
      <c r="L906" s="39" t="n"/>
      <c r="M906" s="7" t="n"/>
      <c r="N906" s="7" t="n"/>
      <c r="O906" s="40" t="n"/>
      <c r="P906" s="40" t="n"/>
      <c r="Q906" s="40" t="n"/>
      <c r="R906" s="40" t="n"/>
      <c r="S906" s="40" t="n"/>
      <c r="T906" s="40" t="n"/>
      <c r="U906" s="40" t="n"/>
      <c r="V906" s="40" t="n"/>
      <c r="W906" s="40" t="n"/>
      <c r="X906" s="40" t="n"/>
      <c r="Y906" s="40" t="n"/>
      <c r="Z906" s="40" t="n"/>
      <c r="AA906" s="39" t="n"/>
    </row>
    <row r="907">
      <c r="A907" s="7" t="n"/>
      <c r="B907" s="7" t="n"/>
      <c r="C907" s="39" t="n"/>
      <c r="D907" s="39" t="n"/>
      <c r="E907" s="7" t="n"/>
      <c r="F907" s="7" t="n"/>
      <c r="G907" s="7" t="n"/>
      <c r="H907" s="39" t="n"/>
      <c r="I907" s="39" t="n"/>
      <c r="J907" s="39" t="n"/>
      <c r="K907" s="39" t="n"/>
      <c r="L907" s="39" t="n"/>
      <c r="M907" s="7" t="n"/>
      <c r="N907" s="7" t="n"/>
      <c r="O907" s="40" t="n"/>
      <c r="P907" s="40" t="n"/>
      <c r="Q907" s="40" t="n"/>
      <c r="R907" s="40" t="n"/>
      <c r="S907" s="40" t="n"/>
      <c r="T907" s="40" t="n"/>
      <c r="U907" s="40" t="n"/>
      <c r="V907" s="40" t="n"/>
      <c r="W907" s="40" t="n"/>
      <c r="X907" s="40" t="n"/>
      <c r="Y907" s="40" t="n"/>
      <c r="Z907" s="40" t="n"/>
      <c r="AA907" s="39" t="n"/>
    </row>
    <row r="908">
      <c r="A908" s="7" t="n"/>
      <c r="B908" s="7" t="n"/>
      <c r="C908" s="39" t="n"/>
      <c r="D908" s="39" t="n"/>
      <c r="E908" s="7" t="n"/>
      <c r="F908" s="7" t="n"/>
      <c r="G908" s="7" t="n"/>
      <c r="H908" s="39" t="n"/>
      <c r="I908" s="39" t="n"/>
      <c r="J908" s="39" t="n"/>
      <c r="K908" s="39" t="n"/>
      <c r="L908" s="39" t="n"/>
      <c r="M908" s="7" t="n"/>
      <c r="N908" s="7" t="n"/>
      <c r="O908" s="40" t="n"/>
      <c r="P908" s="40" t="n"/>
      <c r="Q908" s="40" t="n"/>
      <c r="R908" s="40" t="n"/>
      <c r="S908" s="40" t="n"/>
      <c r="T908" s="40" t="n"/>
      <c r="U908" s="40" t="n"/>
      <c r="V908" s="40" t="n"/>
      <c r="W908" s="40" t="n"/>
      <c r="X908" s="40" t="n"/>
      <c r="Y908" s="40" t="n"/>
      <c r="Z908" s="40" t="n"/>
      <c r="AA908" s="39" t="n"/>
    </row>
    <row r="909">
      <c r="A909" s="7" t="n"/>
      <c r="B909" s="7" t="n"/>
      <c r="C909" s="39" t="n"/>
      <c r="D909" s="39" t="n"/>
      <c r="E909" s="7" t="n"/>
      <c r="F909" s="7" t="n"/>
      <c r="G909" s="7" t="n"/>
      <c r="H909" s="39" t="n"/>
      <c r="I909" s="39" t="n"/>
      <c r="J909" s="39" t="n"/>
      <c r="K909" s="39" t="n"/>
      <c r="L909" s="39" t="n"/>
      <c r="M909" s="7" t="n"/>
      <c r="N909" s="7" t="n"/>
      <c r="O909" s="40" t="n"/>
      <c r="P909" s="40" t="n"/>
      <c r="Q909" s="40" t="n"/>
      <c r="R909" s="40" t="n"/>
      <c r="S909" s="40" t="n"/>
      <c r="T909" s="40" t="n"/>
      <c r="U909" s="40" t="n"/>
      <c r="V909" s="40" t="n"/>
      <c r="W909" s="40" t="n"/>
      <c r="X909" s="40" t="n"/>
      <c r="Y909" s="40" t="n"/>
      <c r="Z909" s="40" t="n"/>
      <c r="AA909" s="39" t="n"/>
    </row>
    <row r="910">
      <c r="A910" s="7" t="n"/>
      <c r="B910" s="7" t="n"/>
      <c r="C910" s="39" t="n"/>
      <c r="D910" s="39" t="n"/>
      <c r="E910" s="7" t="n"/>
      <c r="F910" s="7" t="n"/>
      <c r="G910" s="7" t="n"/>
      <c r="H910" s="39" t="n"/>
      <c r="I910" s="39" t="n"/>
      <c r="J910" s="39" t="n"/>
      <c r="K910" s="39" t="n"/>
      <c r="L910" s="39" t="n"/>
      <c r="M910" s="7" t="n"/>
      <c r="N910" s="7" t="n"/>
      <c r="O910" s="40" t="n"/>
      <c r="P910" s="40" t="n"/>
      <c r="Q910" s="40" t="n"/>
      <c r="R910" s="40" t="n"/>
      <c r="S910" s="40" t="n"/>
      <c r="T910" s="40" t="n"/>
      <c r="U910" s="40" t="n"/>
      <c r="V910" s="40" t="n"/>
      <c r="W910" s="40" t="n"/>
      <c r="X910" s="40" t="n"/>
      <c r="Y910" s="40" t="n"/>
      <c r="Z910" s="40" t="n"/>
      <c r="AA910" s="39" t="n"/>
    </row>
    <row r="911">
      <c r="A911" s="7" t="n"/>
      <c r="B911" s="7" t="n"/>
      <c r="C911" s="39" t="n"/>
      <c r="D911" s="39" t="n"/>
      <c r="E911" s="7" t="n"/>
      <c r="F911" s="7" t="n"/>
      <c r="G911" s="7" t="n"/>
      <c r="H911" s="39" t="n"/>
      <c r="I911" s="39" t="n"/>
      <c r="J911" s="39" t="n"/>
      <c r="K911" s="39" t="n"/>
      <c r="L911" s="39" t="n"/>
      <c r="M911" s="7" t="n"/>
      <c r="N911" s="7" t="n"/>
      <c r="O911" s="40" t="n"/>
      <c r="P911" s="40" t="n"/>
      <c r="Q911" s="40" t="n"/>
      <c r="R911" s="40" t="n"/>
      <c r="S911" s="40" t="n"/>
      <c r="T911" s="40" t="n"/>
      <c r="U911" s="40" t="n"/>
      <c r="V911" s="40" t="n"/>
      <c r="W911" s="40" t="n"/>
      <c r="X911" s="40" t="n"/>
      <c r="Y911" s="40" t="n"/>
      <c r="Z911" s="40" t="n"/>
      <c r="AA911" s="39" t="n"/>
    </row>
    <row r="912">
      <c r="A912" s="7" t="n"/>
      <c r="B912" s="7" t="n"/>
      <c r="C912" s="39" t="n"/>
      <c r="D912" s="39" t="n"/>
      <c r="E912" s="7" t="n"/>
      <c r="F912" s="7" t="n"/>
      <c r="G912" s="7" t="n"/>
      <c r="H912" s="39" t="n"/>
      <c r="I912" s="39" t="n"/>
      <c r="J912" s="39" t="n"/>
      <c r="K912" s="39" t="n"/>
      <c r="L912" s="39" t="n"/>
      <c r="M912" s="7" t="n"/>
      <c r="N912" s="7" t="n"/>
      <c r="O912" s="40" t="n"/>
      <c r="P912" s="40" t="n"/>
      <c r="Q912" s="40" t="n"/>
      <c r="R912" s="40" t="n"/>
      <c r="S912" s="40" t="n"/>
      <c r="T912" s="40" t="n"/>
      <c r="U912" s="40" t="n"/>
      <c r="V912" s="40" t="n"/>
      <c r="W912" s="40" t="n"/>
      <c r="X912" s="40" t="n"/>
      <c r="Y912" s="40" t="n"/>
      <c r="Z912" s="40" t="n"/>
      <c r="AA912" s="39" t="n"/>
    </row>
    <row r="913">
      <c r="A913" s="7" t="n"/>
      <c r="B913" s="7" t="n"/>
      <c r="C913" s="39" t="n"/>
      <c r="D913" s="39" t="n"/>
      <c r="E913" s="7" t="n"/>
      <c r="F913" s="7" t="n"/>
      <c r="G913" s="7" t="n"/>
      <c r="H913" s="39" t="n"/>
      <c r="I913" s="39" t="n"/>
      <c r="J913" s="39" t="n"/>
      <c r="K913" s="39" t="n"/>
      <c r="L913" s="39" t="n"/>
      <c r="M913" s="7" t="n"/>
      <c r="N913" s="7" t="n"/>
      <c r="O913" s="40" t="n"/>
      <c r="P913" s="40" t="n"/>
      <c r="Q913" s="40" t="n"/>
      <c r="R913" s="40" t="n"/>
      <c r="S913" s="40" t="n"/>
      <c r="T913" s="40" t="n"/>
      <c r="U913" s="40" t="n"/>
      <c r="V913" s="40" t="n"/>
      <c r="W913" s="40" t="n"/>
      <c r="X913" s="40" t="n"/>
      <c r="Y913" s="40" t="n"/>
      <c r="Z913" s="40" t="n"/>
      <c r="AA913" s="39" t="n"/>
    </row>
    <row r="914">
      <c r="A914" s="7" t="n"/>
      <c r="B914" s="7" t="n"/>
      <c r="C914" s="39" t="n"/>
      <c r="D914" s="39" t="n"/>
      <c r="E914" s="7" t="n"/>
      <c r="F914" s="7" t="n"/>
      <c r="G914" s="7" t="n"/>
      <c r="H914" s="39" t="n"/>
      <c r="I914" s="39" t="n"/>
      <c r="J914" s="39" t="n"/>
      <c r="K914" s="39" t="n"/>
      <c r="L914" s="39" t="n"/>
      <c r="M914" s="7" t="n"/>
      <c r="N914" s="7" t="n"/>
      <c r="O914" s="40" t="n"/>
      <c r="P914" s="40" t="n"/>
      <c r="Q914" s="40" t="n"/>
      <c r="R914" s="40" t="n"/>
      <c r="S914" s="40" t="n"/>
      <c r="T914" s="40" t="n"/>
      <c r="U914" s="40" t="n"/>
      <c r="V914" s="40" t="n"/>
      <c r="W914" s="40" t="n"/>
      <c r="X914" s="40" t="n"/>
      <c r="Y914" s="40" t="n"/>
      <c r="Z914" s="40" t="n"/>
      <c r="AA914" s="39" t="n"/>
    </row>
    <row r="915">
      <c r="A915" s="7" t="n"/>
      <c r="B915" s="7" t="n"/>
      <c r="C915" s="39" t="n"/>
      <c r="D915" s="39" t="n"/>
      <c r="E915" s="7" t="n"/>
      <c r="F915" s="7" t="n"/>
      <c r="G915" s="7" t="n"/>
      <c r="H915" s="39" t="n"/>
      <c r="I915" s="39" t="n"/>
      <c r="J915" s="39" t="n"/>
      <c r="K915" s="39" t="n"/>
      <c r="L915" s="39" t="n"/>
      <c r="M915" s="7" t="n"/>
      <c r="N915" s="7" t="n"/>
      <c r="O915" s="40" t="n"/>
      <c r="P915" s="40" t="n"/>
      <c r="Q915" s="40" t="n"/>
      <c r="R915" s="40" t="n"/>
      <c r="S915" s="40" t="n"/>
      <c r="T915" s="40" t="n"/>
      <c r="U915" s="40" t="n"/>
      <c r="V915" s="40" t="n"/>
      <c r="W915" s="40" t="n"/>
      <c r="X915" s="40" t="n"/>
      <c r="Y915" s="40" t="n"/>
      <c r="Z915" s="40" t="n"/>
      <c r="AA915" s="39" t="n"/>
    </row>
    <row r="916">
      <c r="A916" s="7" t="n"/>
      <c r="B916" s="7" t="n"/>
      <c r="C916" s="39" t="n"/>
      <c r="D916" s="39" t="n"/>
      <c r="E916" s="7" t="n"/>
      <c r="F916" s="7" t="n"/>
      <c r="G916" s="7" t="n"/>
      <c r="H916" s="39" t="n"/>
      <c r="I916" s="39" t="n"/>
      <c r="J916" s="39" t="n"/>
      <c r="K916" s="39" t="n"/>
      <c r="L916" s="39" t="n"/>
      <c r="M916" s="7" t="n"/>
      <c r="N916" s="7" t="n"/>
      <c r="O916" s="40" t="n"/>
      <c r="P916" s="40" t="n"/>
      <c r="Q916" s="40" t="n"/>
      <c r="R916" s="40" t="n"/>
      <c r="S916" s="40" t="n"/>
      <c r="T916" s="40" t="n"/>
      <c r="U916" s="40" t="n"/>
      <c r="V916" s="40" t="n"/>
      <c r="W916" s="40" t="n"/>
      <c r="X916" s="40" t="n"/>
      <c r="Y916" s="40" t="n"/>
      <c r="Z916" s="40" t="n"/>
      <c r="AA916" s="39" t="n"/>
    </row>
    <row r="917">
      <c r="A917" s="7" t="n"/>
      <c r="B917" s="7" t="n"/>
      <c r="C917" s="39" t="n"/>
      <c r="D917" s="39" t="n"/>
      <c r="E917" s="7" t="n"/>
      <c r="F917" s="7" t="n"/>
      <c r="G917" s="7" t="n"/>
      <c r="H917" s="39" t="n"/>
      <c r="I917" s="39" t="n"/>
      <c r="J917" s="39" t="n"/>
      <c r="K917" s="39" t="n"/>
      <c r="L917" s="39" t="n"/>
      <c r="M917" s="7" t="n"/>
      <c r="N917" s="7" t="n"/>
      <c r="O917" s="40" t="n"/>
      <c r="P917" s="40" t="n"/>
      <c r="Q917" s="40" t="n"/>
      <c r="R917" s="40" t="n"/>
      <c r="S917" s="40" t="n"/>
      <c r="T917" s="40" t="n"/>
      <c r="U917" s="40" t="n"/>
      <c r="V917" s="40" t="n"/>
      <c r="W917" s="40" t="n"/>
      <c r="X917" s="40" t="n"/>
      <c r="Y917" s="40" t="n"/>
      <c r="Z917" s="40" t="n"/>
      <c r="AA917" s="39" t="n"/>
    </row>
    <row r="918">
      <c r="A918" s="7" t="n"/>
      <c r="B918" s="7" t="n"/>
      <c r="C918" s="39" t="n"/>
      <c r="D918" s="39" t="n"/>
      <c r="E918" s="7" t="n"/>
      <c r="F918" s="7" t="n"/>
      <c r="G918" s="7" t="n"/>
      <c r="H918" s="39" t="n"/>
      <c r="I918" s="39" t="n"/>
      <c r="J918" s="39" t="n"/>
      <c r="K918" s="39" t="n"/>
      <c r="L918" s="39" t="n"/>
      <c r="M918" s="7" t="n"/>
      <c r="N918" s="7" t="n"/>
      <c r="O918" s="40" t="n"/>
      <c r="P918" s="40" t="n"/>
      <c r="Q918" s="40" t="n"/>
      <c r="R918" s="40" t="n"/>
      <c r="S918" s="40" t="n"/>
      <c r="T918" s="40" t="n"/>
      <c r="U918" s="40" t="n"/>
      <c r="V918" s="40" t="n"/>
      <c r="W918" s="40" t="n"/>
      <c r="X918" s="40" t="n"/>
      <c r="Y918" s="40" t="n"/>
      <c r="Z918" s="40" t="n"/>
      <c r="AA918" s="39" t="n"/>
    </row>
    <row r="919">
      <c r="A919" s="7" t="n"/>
      <c r="B919" s="7" t="n"/>
      <c r="C919" s="39" t="n"/>
      <c r="D919" s="39" t="n"/>
      <c r="E919" s="7" t="n"/>
      <c r="F919" s="7" t="n"/>
      <c r="G919" s="7" t="n"/>
      <c r="H919" s="39" t="n"/>
      <c r="I919" s="39" t="n"/>
      <c r="J919" s="39" t="n"/>
      <c r="K919" s="39" t="n"/>
      <c r="L919" s="39" t="n"/>
      <c r="M919" s="7" t="n"/>
      <c r="N919" s="7" t="n"/>
      <c r="O919" s="40" t="n"/>
      <c r="P919" s="40" t="n"/>
      <c r="Q919" s="40" t="n"/>
      <c r="R919" s="40" t="n"/>
      <c r="S919" s="40" t="n"/>
      <c r="T919" s="40" t="n"/>
      <c r="U919" s="40" t="n"/>
      <c r="V919" s="40" t="n"/>
      <c r="W919" s="40" t="n"/>
      <c r="X919" s="40" t="n"/>
      <c r="Y919" s="40" t="n"/>
      <c r="Z919" s="40" t="n"/>
      <c r="AA919" s="39" t="n"/>
    </row>
    <row r="920">
      <c r="A920" s="7" t="n"/>
      <c r="B920" s="7" t="n"/>
      <c r="C920" s="39" t="n"/>
      <c r="D920" s="39" t="n"/>
      <c r="E920" s="7" t="n"/>
      <c r="F920" s="7" t="n"/>
      <c r="G920" s="7" t="n"/>
      <c r="H920" s="39" t="n"/>
      <c r="I920" s="39" t="n"/>
      <c r="J920" s="39" t="n"/>
      <c r="K920" s="39" t="n"/>
      <c r="L920" s="39" t="n"/>
      <c r="M920" s="7" t="n"/>
      <c r="N920" s="7" t="n"/>
      <c r="O920" s="40" t="n"/>
      <c r="P920" s="40" t="n"/>
      <c r="Q920" s="40" t="n"/>
      <c r="R920" s="40" t="n"/>
      <c r="S920" s="40" t="n"/>
      <c r="T920" s="40" t="n"/>
      <c r="U920" s="40" t="n"/>
      <c r="V920" s="40" t="n"/>
      <c r="W920" s="40" t="n"/>
      <c r="X920" s="40" t="n"/>
      <c r="Y920" s="40" t="n"/>
      <c r="Z920" s="40" t="n"/>
      <c r="AA920" s="39" t="n"/>
    </row>
    <row r="921">
      <c r="A921" s="7" t="n"/>
      <c r="B921" s="7" t="n"/>
      <c r="C921" s="39" t="n"/>
      <c r="D921" s="39" t="n"/>
      <c r="E921" s="7" t="n"/>
      <c r="F921" s="7" t="n"/>
      <c r="G921" s="7" t="n"/>
      <c r="H921" s="39" t="n"/>
      <c r="I921" s="39" t="n"/>
      <c r="J921" s="39" t="n"/>
      <c r="K921" s="39" t="n"/>
      <c r="L921" s="39" t="n"/>
      <c r="M921" s="7" t="n"/>
      <c r="N921" s="7" t="n"/>
      <c r="O921" s="40" t="n"/>
      <c r="P921" s="40" t="n"/>
      <c r="Q921" s="40" t="n"/>
      <c r="R921" s="40" t="n"/>
      <c r="S921" s="40" t="n"/>
      <c r="T921" s="40" t="n"/>
      <c r="U921" s="40" t="n"/>
      <c r="V921" s="40" t="n"/>
      <c r="W921" s="40" t="n"/>
      <c r="X921" s="40" t="n"/>
      <c r="Y921" s="40" t="n"/>
      <c r="Z921" s="40" t="n"/>
      <c r="AA921" s="39" t="n"/>
    </row>
    <row r="922">
      <c r="A922" s="7" t="n"/>
      <c r="B922" s="7" t="n"/>
      <c r="C922" s="39" t="n"/>
      <c r="D922" s="39" t="n"/>
      <c r="E922" s="7" t="n"/>
      <c r="F922" s="7" t="n"/>
      <c r="G922" s="7" t="n"/>
      <c r="H922" s="39" t="n"/>
      <c r="I922" s="39" t="n"/>
      <c r="J922" s="39" t="n"/>
      <c r="K922" s="39" t="n"/>
      <c r="L922" s="39" t="n"/>
      <c r="M922" s="7" t="n"/>
      <c r="N922" s="7" t="n"/>
      <c r="O922" s="40" t="n"/>
      <c r="P922" s="40" t="n"/>
      <c r="Q922" s="40" t="n"/>
      <c r="R922" s="40" t="n"/>
      <c r="S922" s="40" t="n"/>
      <c r="T922" s="40" t="n"/>
      <c r="U922" s="40" t="n"/>
      <c r="V922" s="40" t="n"/>
      <c r="W922" s="40" t="n"/>
      <c r="X922" s="40" t="n"/>
      <c r="Y922" s="40" t="n"/>
      <c r="Z922" s="40" t="n"/>
      <c r="AA922" s="39" t="n"/>
    </row>
    <row r="923">
      <c r="A923" s="7" t="n"/>
      <c r="B923" s="7" t="n"/>
      <c r="C923" s="39" t="n"/>
      <c r="D923" s="39" t="n"/>
      <c r="E923" s="7" t="n"/>
      <c r="F923" s="7" t="n"/>
      <c r="G923" s="7" t="n"/>
      <c r="H923" s="39" t="n"/>
      <c r="I923" s="39" t="n"/>
      <c r="J923" s="39" t="n"/>
      <c r="K923" s="39" t="n"/>
      <c r="L923" s="39" t="n"/>
      <c r="M923" s="7" t="n"/>
      <c r="N923" s="7" t="n"/>
      <c r="O923" s="40" t="n"/>
      <c r="P923" s="40" t="n"/>
      <c r="Q923" s="40" t="n"/>
      <c r="R923" s="40" t="n"/>
      <c r="S923" s="40" t="n"/>
      <c r="T923" s="40" t="n"/>
      <c r="U923" s="40" t="n"/>
      <c r="V923" s="40" t="n"/>
      <c r="W923" s="40" t="n"/>
      <c r="X923" s="40" t="n"/>
      <c r="Y923" s="40" t="n"/>
      <c r="Z923" s="40" t="n"/>
      <c r="AA923" s="39" t="n"/>
    </row>
    <row r="924">
      <c r="A924" s="7" t="n"/>
      <c r="B924" s="7" t="n"/>
      <c r="C924" s="39" t="n"/>
      <c r="D924" s="39" t="n"/>
      <c r="E924" s="7" t="n"/>
      <c r="F924" s="7" t="n"/>
      <c r="G924" s="7" t="n"/>
      <c r="H924" s="39" t="n"/>
      <c r="I924" s="39" t="n"/>
      <c r="J924" s="39" t="n"/>
      <c r="K924" s="39" t="n"/>
      <c r="L924" s="39" t="n"/>
      <c r="M924" s="7" t="n"/>
      <c r="N924" s="7" t="n"/>
      <c r="O924" s="40" t="n"/>
      <c r="P924" s="40" t="n"/>
      <c r="Q924" s="40" t="n"/>
      <c r="R924" s="40" t="n"/>
      <c r="S924" s="40" t="n"/>
      <c r="T924" s="40" t="n"/>
      <c r="U924" s="40" t="n"/>
      <c r="V924" s="40" t="n"/>
      <c r="W924" s="40" t="n"/>
      <c r="X924" s="40" t="n"/>
      <c r="Y924" s="40" t="n"/>
      <c r="Z924" s="40" t="n"/>
      <c r="AA924" s="39" t="n"/>
    </row>
    <row r="925">
      <c r="A925" s="7" t="n"/>
      <c r="B925" s="7" t="n"/>
      <c r="C925" s="39" t="n"/>
      <c r="D925" s="39" t="n"/>
      <c r="E925" s="7" t="n"/>
      <c r="F925" s="7" t="n"/>
      <c r="G925" s="7" t="n"/>
      <c r="H925" s="39" t="n"/>
      <c r="I925" s="39" t="n"/>
      <c r="J925" s="39" t="n"/>
      <c r="K925" s="39" t="n"/>
      <c r="L925" s="39" t="n"/>
      <c r="M925" s="7" t="n"/>
      <c r="N925" s="7" t="n"/>
      <c r="O925" s="40" t="n"/>
      <c r="P925" s="40" t="n"/>
      <c r="Q925" s="40" t="n"/>
      <c r="R925" s="40" t="n"/>
      <c r="S925" s="40" t="n"/>
      <c r="T925" s="40" t="n"/>
      <c r="U925" s="40" t="n"/>
      <c r="V925" s="40" t="n"/>
      <c r="W925" s="40" t="n"/>
      <c r="X925" s="40" t="n"/>
      <c r="Y925" s="40" t="n"/>
      <c r="Z925" s="40" t="n"/>
      <c r="AA925" s="39" t="n"/>
    </row>
    <row r="926">
      <c r="A926" s="7" t="n"/>
      <c r="B926" s="7" t="n"/>
      <c r="C926" s="39" t="n"/>
      <c r="D926" s="39" t="n"/>
      <c r="E926" s="7" t="n"/>
      <c r="F926" s="7" t="n"/>
      <c r="G926" s="7" t="n"/>
      <c r="H926" s="39" t="n"/>
      <c r="I926" s="39" t="n"/>
      <c r="J926" s="39" t="n"/>
      <c r="K926" s="39" t="n"/>
      <c r="L926" s="39" t="n"/>
      <c r="M926" s="7" t="n"/>
      <c r="N926" s="7" t="n"/>
      <c r="O926" s="40" t="n"/>
      <c r="P926" s="40" t="n"/>
      <c r="Q926" s="40" t="n"/>
      <c r="R926" s="40" t="n"/>
      <c r="S926" s="40" t="n"/>
      <c r="T926" s="40" t="n"/>
      <c r="U926" s="40" t="n"/>
      <c r="V926" s="40" t="n"/>
      <c r="W926" s="40" t="n"/>
      <c r="X926" s="40" t="n"/>
      <c r="Y926" s="40" t="n"/>
      <c r="Z926" s="40" t="n"/>
      <c r="AA926" s="39" t="n"/>
    </row>
    <row r="927">
      <c r="A927" s="7" t="n"/>
      <c r="B927" s="7" t="n"/>
      <c r="C927" s="39" t="n"/>
      <c r="D927" s="39" t="n"/>
      <c r="E927" s="7" t="n"/>
      <c r="F927" s="7" t="n"/>
      <c r="G927" s="7" t="n"/>
      <c r="H927" s="39" t="n"/>
      <c r="I927" s="39" t="n"/>
      <c r="J927" s="39" t="n"/>
      <c r="K927" s="39" t="n"/>
      <c r="L927" s="39" t="n"/>
      <c r="M927" s="7" t="n"/>
      <c r="N927" s="7" t="n"/>
      <c r="O927" s="40" t="n"/>
      <c r="P927" s="40" t="n"/>
      <c r="Q927" s="40" t="n"/>
      <c r="R927" s="40" t="n"/>
      <c r="S927" s="40" t="n"/>
      <c r="T927" s="40" t="n"/>
      <c r="U927" s="40" t="n"/>
      <c r="V927" s="40" t="n"/>
      <c r="W927" s="40" t="n"/>
      <c r="X927" s="40" t="n"/>
      <c r="Y927" s="40" t="n"/>
      <c r="Z927" s="40" t="n"/>
      <c r="AA927" s="39" t="n"/>
    </row>
    <row r="928">
      <c r="A928" s="7" t="n"/>
      <c r="B928" s="7" t="n"/>
      <c r="C928" s="39" t="n"/>
      <c r="D928" s="39" t="n"/>
      <c r="E928" s="7" t="n"/>
      <c r="F928" s="7" t="n"/>
      <c r="G928" s="7" t="n"/>
      <c r="H928" s="39" t="n"/>
      <c r="I928" s="39" t="n"/>
      <c r="J928" s="39" t="n"/>
      <c r="K928" s="39" t="n"/>
      <c r="L928" s="39" t="n"/>
      <c r="M928" s="7" t="n"/>
      <c r="N928" s="7" t="n"/>
      <c r="O928" s="40" t="n"/>
      <c r="P928" s="40" t="n"/>
      <c r="Q928" s="40" t="n"/>
      <c r="R928" s="40" t="n"/>
      <c r="S928" s="40" t="n"/>
      <c r="T928" s="40" t="n"/>
      <c r="U928" s="40" t="n"/>
      <c r="V928" s="40" t="n"/>
      <c r="W928" s="40" t="n"/>
      <c r="X928" s="40" t="n"/>
      <c r="Y928" s="40" t="n"/>
      <c r="Z928" s="40" t="n"/>
      <c r="AA928" s="39" t="n"/>
    </row>
    <row r="929">
      <c r="A929" s="7" t="n"/>
      <c r="B929" s="7" t="n"/>
      <c r="C929" s="39" t="n"/>
      <c r="D929" s="39" t="n"/>
      <c r="E929" s="7" t="n"/>
      <c r="F929" s="7" t="n"/>
      <c r="G929" s="7" t="n"/>
      <c r="H929" s="39" t="n"/>
      <c r="I929" s="39" t="n"/>
      <c r="J929" s="39" t="n"/>
      <c r="K929" s="39" t="n"/>
      <c r="L929" s="39" t="n"/>
      <c r="M929" s="7" t="n"/>
      <c r="N929" s="7" t="n"/>
      <c r="O929" s="40" t="n"/>
      <c r="P929" s="40" t="n"/>
      <c r="Q929" s="40" t="n"/>
      <c r="R929" s="40" t="n"/>
      <c r="S929" s="40" t="n"/>
      <c r="T929" s="40" t="n"/>
      <c r="U929" s="40" t="n"/>
      <c r="V929" s="40" t="n"/>
      <c r="W929" s="40" t="n"/>
      <c r="X929" s="40" t="n"/>
      <c r="Y929" s="40" t="n"/>
      <c r="Z929" s="40" t="n"/>
      <c r="AA929" s="39" t="n"/>
    </row>
    <row r="930">
      <c r="A930" s="7" t="n"/>
      <c r="B930" s="7" t="n"/>
      <c r="C930" s="39" t="n"/>
      <c r="D930" s="39" t="n"/>
      <c r="E930" s="7" t="n"/>
      <c r="F930" s="7" t="n"/>
      <c r="G930" s="7" t="n"/>
      <c r="H930" s="39" t="n"/>
      <c r="I930" s="39" t="n"/>
      <c r="J930" s="39" t="n"/>
      <c r="K930" s="39" t="n"/>
      <c r="L930" s="39" t="n"/>
      <c r="M930" s="7" t="n"/>
      <c r="N930" s="7" t="n"/>
      <c r="O930" s="40" t="n"/>
      <c r="P930" s="40" t="n"/>
      <c r="Q930" s="40" t="n"/>
      <c r="R930" s="40" t="n"/>
      <c r="S930" s="40" t="n"/>
      <c r="T930" s="40" t="n"/>
      <c r="U930" s="40" t="n"/>
      <c r="V930" s="40" t="n"/>
      <c r="W930" s="40" t="n"/>
      <c r="X930" s="40" t="n"/>
      <c r="Y930" s="40" t="n"/>
      <c r="Z930" s="40" t="n"/>
      <c r="AA930" s="39" t="n"/>
    </row>
    <row r="931">
      <c r="A931" s="7" t="n"/>
      <c r="B931" s="7" t="n"/>
      <c r="C931" s="39" t="n"/>
      <c r="D931" s="39" t="n"/>
      <c r="E931" s="7" t="n"/>
      <c r="F931" s="7" t="n"/>
      <c r="G931" s="7" t="n"/>
      <c r="H931" s="39" t="n"/>
      <c r="I931" s="39" t="n"/>
      <c r="J931" s="39" t="n"/>
      <c r="K931" s="39" t="n"/>
      <c r="L931" s="39" t="n"/>
      <c r="M931" s="7" t="n"/>
      <c r="N931" s="7" t="n"/>
      <c r="O931" s="40" t="n"/>
      <c r="P931" s="40" t="n"/>
      <c r="Q931" s="40" t="n"/>
      <c r="R931" s="40" t="n"/>
      <c r="S931" s="40" t="n"/>
      <c r="T931" s="40" t="n"/>
      <c r="U931" s="40" t="n"/>
      <c r="V931" s="40" t="n"/>
      <c r="W931" s="40" t="n"/>
      <c r="X931" s="40" t="n"/>
      <c r="Y931" s="40" t="n"/>
      <c r="Z931" s="40" t="n"/>
      <c r="AA931" s="39" t="n"/>
    </row>
    <row r="932">
      <c r="A932" s="7" t="n"/>
      <c r="B932" s="7" t="n"/>
      <c r="C932" s="39" t="n"/>
      <c r="D932" s="39" t="n"/>
      <c r="E932" s="7" t="n"/>
      <c r="F932" s="7" t="n"/>
      <c r="G932" s="7" t="n"/>
      <c r="H932" s="39" t="n"/>
      <c r="I932" s="39" t="n"/>
      <c r="J932" s="39" t="n"/>
      <c r="K932" s="39" t="n"/>
      <c r="L932" s="39" t="n"/>
      <c r="M932" s="7" t="n"/>
      <c r="N932" s="7" t="n"/>
      <c r="O932" s="40" t="n"/>
      <c r="P932" s="40" t="n"/>
      <c r="Q932" s="40" t="n"/>
      <c r="R932" s="40" t="n"/>
      <c r="S932" s="40" t="n"/>
      <c r="T932" s="40" t="n"/>
      <c r="U932" s="40" t="n"/>
      <c r="V932" s="40" t="n"/>
      <c r="W932" s="40" t="n"/>
      <c r="X932" s="40" t="n"/>
      <c r="Y932" s="40" t="n"/>
      <c r="Z932" s="40" t="n"/>
      <c r="AA932" s="39" t="n"/>
    </row>
    <row r="933">
      <c r="A933" s="7" t="n"/>
      <c r="B933" s="7" t="n"/>
      <c r="C933" s="39" t="n"/>
      <c r="D933" s="39" t="n"/>
      <c r="E933" s="7" t="n"/>
      <c r="F933" s="7" t="n"/>
      <c r="G933" s="7" t="n"/>
      <c r="H933" s="39" t="n"/>
      <c r="I933" s="39" t="n"/>
      <c r="J933" s="39" t="n"/>
      <c r="K933" s="39" t="n"/>
      <c r="L933" s="39" t="n"/>
      <c r="M933" s="7" t="n"/>
      <c r="N933" s="7" t="n"/>
      <c r="O933" s="40" t="n"/>
      <c r="P933" s="40" t="n"/>
      <c r="Q933" s="40" t="n"/>
      <c r="R933" s="40" t="n"/>
      <c r="S933" s="40" t="n"/>
      <c r="T933" s="40" t="n"/>
      <c r="U933" s="40" t="n"/>
      <c r="V933" s="40" t="n"/>
      <c r="W933" s="40" t="n"/>
      <c r="X933" s="40" t="n"/>
      <c r="Y933" s="40" t="n"/>
      <c r="Z933" s="40" t="n"/>
      <c r="AA933" s="39" t="n"/>
    </row>
    <row r="934">
      <c r="A934" s="7" t="n"/>
      <c r="B934" s="7" t="n"/>
      <c r="C934" s="39" t="n"/>
      <c r="D934" s="39" t="n"/>
      <c r="E934" s="7" t="n"/>
      <c r="F934" s="7" t="n"/>
      <c r="G934" s="7" t="n"/>
      <c r="H934" s="39" t="n"/>
      <c r="I934" s="39" t="n"/>
      <c r="J934" s="39" t="n"/>
      <c r="K934" s="39" t="n"/>
      <c r="L934" s="39" t="n"/>
      <c r="M934" s="7" t="n"/>
      <c r="N934" s="7" t="n"/>
      <c r="O934" s="40" t="n"/>
      <c r="P934" s="40" t="n"/>
      <c r="Q934" s="40" t="n"/>
      <c r="R934" s="40" t="n"/>
      <c r="S934" s="40" t="n"/>
      <c r="T934" s="40" t="n"/>
      <c r="U934" s="40" t="n"/>
      <c r="V934" s="40" t="n"/>
      <c r="W934" s="40" t="n"/>
      <c r="X934" s="40" t="n"/>
      <c r="Y934" s="40" t="n"/>
      <c r="Z934" s="40" t="n"/>
      <c r="AA934" s="39" t="n"/>
    </row>
    <row r="935">
      <c r="A935" s="7" t="n"/>
      <c r="B935" s="7" t="n"/>
      <c r="C935" s="39" t="n"/>
      <c r="D935" s="39" t="n"/>
      <c r="E935" s="7" t="n"/>
      <c r="F935" s="7" t="n"/>
      <c r="G935" s="7" t="n"/>
      <c r="H935" s="39" t="n"/>
      <c r="I935" s="39" t="n"/>
      <c r="J935" s="39" t="n"/>
      <c r="K935" s="39" t="n"/>
      <c r="L935" s="39" t="n"/>
      <c r="M935" s="7" t="n"/>
      <c r="N935" s="7" t="n"/>
      <c r="O935" s="40" t="n"/>
      <c r="P935" s="40" t="n"/>
      <c r="Q935" s="40" t="n"/>
      <c r="R935" s="40" t="n"/>
      <c r="S935" s="40" t="n"/>
      <c r="T935" s="40" t="n"/>
      <c r="U935" s="40" t="n"/>
      <c r="V935" s="40" t="n"/>
      <c r="W935" s="40" t="n"/>
      <c r="X935" s="40" t="n"/>
      <c r="Y935" s="40" t="n"/>
      <c r="Z935" s="40" t="n"/>
      <c r="AA935" s="39" t="n"/>
    </row>
    <row r="936">
      <c r="A936" s="7" t="n"/>
      <c r="B936" s="7" t="n"/>
      <c r="C936" s="39" t="n"/>
      <c r="D936" s="39" t="n"/>
      <c r="E936" s="7" t="n"/>
      <c r="F936" s="7" t="n"/>
      <c r="G936" s="7" t="n"/>
      <c r="H936" s="39" t="n"/>
      <c r="I936" s="39" t="n"/>
      <c r="J936" s="39" t="n"/>
      <c r="K936" s="39" t="n"/>
      <c r="L936" s="39" t="n"/>
      <c r="M936" s="7" t="n"/>
      <c r="N936" s="7" t="n"/>
      <c r="O936" s="40" t="n"/>
      <c r="P936" s="40" t="n"/>
      <c r="Q936" s="40" t="n"/>
      <c r="R936" s="40" t="n"/>
      <c r="S936" s="40" t="n"/>
      <c r="T936" s="40" t="n"/>
      <c r="U936" s="40" t="n"/>
      <c r="V936" s="40" t="n"/>
      <c r="W936" s="40" t="n"/>
      <c r="X936" s="40" t="n"/>
      <c r="Y936" s="40" t="n"/>
      <c r="Z936" s="40" t="n"/>
      <c r="AA936" s="39" t="n"/>
    </row>
    <row r="937">
      <c r="A937" s="7" t="n"/>
      <c r="B937" s="7" t="n"/>
      <c r="C937" s="39" t="n"/>
      <c r="D937" s="39" t="n"/>
      <c r="E937" s="7" t="n"/>
      <c r="F937" s="7" t="n"/>
      <c r="G937" s="7" t="n"/>
      <c r="H937" s="39" t="n"/>
      <c r="I937" s="39" t="n"/>
      <c r="J937" s="39" t="n"/>
      <c r="K937" s="39" t="n"/>
      <c r="L937" s="39" t="n"/>
      <c r="M937" s="7" t="n"/>
      <c r="N937" s="7" t="n"/>
      <c r="O937" s="40" t="n"/>
      <c r="P937" s="40" t="n"/>
      <c r="Q937" s="40" t="n"/>
      <c r="R937" s="40" t="n"/>
      <c r="S937" s="40" t="n"/>
      <c r="T937" s="40" t="n"/>
      <c r="U937" s="40" t="n"/>
      <c r="V937" s="40" t="n"/>
      <c r="W937" s="40" t="n"/>
      <c r="X937" s="40" t="n"/>
      <c r="Y937" s="40" t="n"/>
      <c r="Z937" s="40" t="n"/>
      <c r="AA937" s="39" t="n"/>
    </row>
    <row r="938">
      <c r="A938" s="7" t="n"/>
      <c r="B938" s="7" t="n"/>
      <c r="C938" s="39" t="n"/>
      <c r="D938" s="39" t="n"/>
      <c r="E938" s="7" t="n"/>
      <c r="F938" s="7" t="n"/>
      <c r="G938" s="7" t="n"/>
      <c r="H938" s="39" t="n"/>
      <c r="I938" s="39" t="n"/>
      <c r="J938" s="39" t="n"/>
      <c r="K938" s="39" t="n"/>
      <c r="L938" s="39" t="n"/>
      <c r="M938" s="7" t="n"/>
      <c r="N938" s="7" t="n"/>
      <c r="O938" s="40" t="n"/>
      <c r="P938" s="40" t="n"/>
      <c r="Q938" s="40" t="n"/>
      <c r="R938" s="40" t="n"/>
      <c r="S938" s="40" t="n"/>
      <c r="T938" s="40" t="n"/>
      <c r="U938" s="40" t="n"/>
      <c r="V938" s="40" t="n"/>
      <c r="W938" s="40" t="n"/>
      <c r="X938" s="40" t="n"/>
      <c r="Y938" s="40" t="n"/>
      <c r="Z938" s="40" t="n"/>
      <c r="AA938" s="39" t="n"/>
    </row>
    <row r="939">
      <c r="A939" s="7" t="n"/>
      <c r="B939" s="7" t="n"/>
      <c r="C939" s="39" t="n"/>
      <c r="D939" s="39" t="n"/>
      <c r="E939" s="7" t="n"/>
      <c r="F939" s="7" t="n"/>
      <c r="G939" s="7" t="n"/>
      <c r="H939" s="39" t="n"/>
      <c r="I939" s="39" t="n"/>
      <c r="J939" s="39" t="n"/>
      <c r="K939" s="39" t="n"/>
      <c r="L939" s="39" t="n"/>
      <c r="M939" s="7" t="n"/>
      <c r="N939" s="7" t="n"/>
      <c r="O939" s="40" t="n"/>
      <c r="P939" s="40" t="n"/>
      <c r="Q939" s="40" t="n"/>
      <c r="R939" s="40" t="n"/>
      <c r="S939" s="40" t="n"/>
      <c r="T939" s="40" t="n"/>
      <c r="U939" s="40" t="n"/>
      <c r="V939" s="40" t="n"/>
      <c r="W939" s="40" t="n"/>
      <c r="X939" s="40" t="n"/>
      <c r="Y939" s="40" t="n"/>
      <c r="Z939" s="40" t="n"/>
      <c r="AA939" s="39" t="n"/>
    </row>
    <row r="940">
      <c r="A940" s="7" t="n"/>
      <c r="B940" s="7" t="n"/>
      <c r="C940" s="39" t="n"/>
      <c r="D940" s="39" t="n"/>
      <c r="E940" s="7" t="n"/>
      <c r="F940" s="7" t="n"/>
      <c r="G940" s="7" t="n"/>
      <c r="H940" s="39" t="n"/>
      <c r="I940" s="39" t="n"/>
      <c r="J940" s="39" t="n"/>
      <c r="K940" s="39" t="n"/>
      <c r="L940" s="39" t="n"/>
      <c r="M940" s="7" t="n"/>
      <c r="N940" s="7" t="n"/>
      <c r="O940" s="40" t="n"/>
      <c r="P940" s="40" t="n"/>
      <c r="Q940" s="40" t="n"/>
      <c r="R940" s="40" t="n"/>
      <c r="S940" s="40" t="n"/>
      <c r="T940" s="40" t="n"/>
      <c r="U940" s="40" t="n"/>
      <c r="V940" s="40" t="n"/>
      <c r="W940" s="40" t="n"/>
      <c r="X940" s="40" t="n"/>
      <c r="Y940" s="40" t="n"/>
      <c r="Z940" s="40" t="n"/>
      <c r="AA940" s="39" t="n"/>
    </row>
    <row r="941">
      <c r="A941" s="7" t="n"/>
      <c r="B941" s="7" t="n"/>
      <c r="C941" s="39" t="n"/>
      <c r="D941" s="39" t="n"/>
      <c r="E941" s="7" t="n"/>
      <c r="F941" s="7" t="n"/>
      <c r="G941" s="7" t="n"/>
      <c r="H941" s="39" t="n"/>
      <c r="I941" s="39" t="n"/>
      <c r="J941" s="39" t="n"/>
      <c r="K941" s="39" t="n"/>
      <c r="L941" s="39" t="n"/>
      <c r="M941" s="7" t="n"/>
      <c r="N941" s="7" t="n"/>
      <c r="O941" s="40" t="n"/>
      <c r="P941" s="40" t="n"/>
      <c r="Q941" s="40" t="n"/>
      <c r="R941" s="40" t="n"/>
      <c r="S941" s="40" t="n"/>
      <c r="T941" s="40" t="n"/>
      <c r="U941" s="40" t="n"/>
      <c r="V941" s="40" t="n"/>
      <c r="W941" s="40" t="n"/>
      <c r="X941" s="40" t="n"/>
      <c r="Y941" s="40" t="n"/>
      <c r="Z941" s="40" t="n"/>
      <c r="AA941" s="39" t="n"/>
    </row>
    <row r="942">
      <c r="A942" s="7" t="n"/>
      <c r="B942" s="7" t="n"/>
      <c r="C942" s="39" t="n"/>
      <c r="D942" s="39" t="n"/>
      <c r="E942" s="7" t="n"/>
      <c r="F942" s="7" t="n"/>
      <c r="G942" s="7" t="n"/>
      <c r="H942" s="39" t="n"/>
      <c r="I942" s="39" t="n"/>
      <c r="J942" s="39" t="n"/>
      <c r="K942" s="39" t="n"/>
      <c r="L942" s="39" t="n"/>
      <c r="M942" s="7" t="n"/>
      <c r="N942" s="7" t="n"/>
      <c r="O942" s="40" t="n"/>
      <c r="P942" s="40" t="n"/>
      <c r="Q942" s="40" t="n"/>
      <c r="R942" s="40" t="n"/>
      <c r="S942" s="40" t="n"/>
      <c r="T942" s="40" t="n"/>
      <c r="U942" s="40" t="n"/>
      <c r="V942" s="40" t="n"/>
      <c r="W942" s="40" t="n"/>
      <c r="X942" s="40" t="n"/>
      <c r="Y942" s="40" t="n"/>
      <c r="Z942" s="40" t="n"/>
      <c r="AA942" s="39" t="n"/>
    </row>
    <row r="943">
      <c r="A943" s="7" t="n"/>
      <c r="B943" s="7" t="n"/>
      <c r="C943" s="39" t="n"/>
      <c r="D943" s="39" t="n"/>
      <c r="E943" s="7" t="n"/>
      <c r="F943" s="7" t="n"/>
      <c r="G943" s="7" t="n"/>
      <c r="H943" s="39" t="n"/>
      <c r="I943" s="39" t="n"/>
      <c r="J943" s="39" t="n"/>
      <c r="K943" s="39" t="n"/>
      <c r="L943" s="39" t="n"/>
      <c r="M943" s="7" t="n"/>
      <c r="N943" s="7" t="n"/>
      <c r="O943" s="40" t="n"/>
      <c r="P943" s="40" t="n"/>
      <c r="Q943" s="40" t="n"/>
      <c r="R943" s="40" t="n"/>
      <c r="S943" s="40" t="n"/>
      <c r="T943" s="40" t="n"/>
      <c r="U943" s="40" t="n"/>
      <c r="V943" s="40" t="n"/>
      <c r="W943" s="40" t="n"/>
      <c r="X943" s="40" t="n"/>
      <c r="Y943" s="40" t="n"/>
      <c r="Z943" s="40" t="n"/>
      <c r="AA943" s="39" t="n"/>
    </row>
    <row r="944">
      <c r="A944" s="7" t="n"/>
      <c r="B944" s="7" t="n"/>
      <c r="C944" s="39" t="n"/>
      <c r="D944" s="39" t="n"/>
      <c r="E944" s="7" t="n"/>
      <c r="F944" s="7" t="n"/>
      <c r="G944" s="7" t="n"/>
      <c r="H944" s="39" t="n"/>
      <c r="I944" s="39" t="n"/>
      <c r="J944" s="39" t="n"/>
      <c r="K944" s="39" t="n"/>
      <c r="L944" s="39" t="n"/>
      <c r="M944" s="7" t="n"/>
      <c r="N944" s="7" t="n"/>
      <c r="O944" s="40" t="n"/>
      <c r="P944" s="40" t="n"/>
      <c r="Q944" s="40" t="n"/>
      <c r="R944" s="40" t="n"/>
      <c r="S944" s="40" t="n"/>
      <c r="T944" s="40" t="n"/>
      <c r="U944" s="40" t="n"/>
      <c r="V944" s="40" t="n"/>
      <c r="W944" s="40" t="n"/>
      <c r="X944" s="40" t="n"/>
      <c r="Y944" s="40" t="n"/>
      <c r="Z944" s="40" t="n"/>
      <c r="AA944" s="39" t="n"/>
    </row>
    <row r="945">
      <c r="A945" s="7" t="n"/>
      <c r="B945" s="7" t="n"/>
      <c r="C945" s="39" t="n"/>
      <c r="D945" s="39" t="n"/>
      <c r="E945" s="7" t="n"/>
      <c r="F945" s="7" t="n"/>
      <c r="G945" s="7" t="n"/>
      <c r="H945" s="39" t="n"/>
      <c r="I945" s="39" t="n"/>
      <c r="J945" s="39" t="n"/>
      <c r="K945" s="39" t="n"/>
      <c r="L945" s="39" t="n"/>
      <c r="M945" s="7" t="n"/>
      <c r="N945" s="7" t="n"/>
      <c r="O945" s="40" t="n"/>
      <c r="P945" s="40" t="n"/>
      <c r="Q945" s="40" t="n"/>
      <c r="R945" s="40" t="n"/>
      <c r="S945" s="40" t="n"/>
      <c r="T945" s="40" t="n"/>
      <c r="U945" s="40" t="n"/>
      <c r="V945" s="40" t="n"/>
      <c r="W945" s="40" t="n"/>
      <c r="X945" s="40" t="n"/>
      <c r="Y945" s="40" t="n"/>
      <c r="Z945" s="40" t="n"/>
      <c r="AA945" s="39" t="n"/>
    </row>
    <row r="946">
      <c r="A946" s="7" t="n"/>
      <c r="B946" s="7" t="n"/>
      <c r="C946" s="39" t="n"/>
      <c r="D946" s="39" t="n"/>
      <c r="E946" s="7" t="n"/>
      <c r="F946" s="7" t="n"/>
      <c r="G946" s="7" t="n"/>
      <c r="H946" s="39" t="n"/>
      <c r="I946" s="39" t="n"/>
      <c r="J946" s="39" t="n"/>
      <c r="K946" s="39" t="n"/>
      <c r="L946" s="39" t="n"/>
      <c r="M946" s="7" t="n"/>
      <c r="N946" s="7" t="n"/>
      <c r="O946" s="40" t="n"/>
      <c r="P946" s="40" t="n"/>
      <c r="Q946" s="40" t="n"/>
      <c r="R946" s="40" t="n"/>
      <c r="S946" s="40" t="n"/>
      <c r="T946" s="40" t="n"/>
      <c r="U946" s="40" t="n"/>
      <c r="V946" s="40" t="n"/>
      <c r="W946" s="40" t="n"/>
      <c r="X946" s="40" t="n"/>
      <c r="Y946" s="40" t="n"/>
      <c r="Z946" s="40" t="n"/>
      <c r="AA946" s="39" t="n"/>
    </row>
    <row r="947">
      <c r="A947" s="7" t="n"/>
      <c r="B947" s="7" t="n"/>
      <c r="C947" s="39" t="n"/>
      <c r="D947" s="39" t="n"/>
      <c r="E947" s="7" t="n"/>
      <c r="F947" s="7" t="n"/>
      <c r="G947" s="7" t="n"/>
      <c r="H947" s="39" t="n"/>
      <c r="I947" s="39" t="n"/>
      <c r="J947" s="39" t="n"/>
      <c r="K947" s="39" t="n"/>
      <c r="L947" s="39" t="n"/>
      <c r="M947" s="7" t="n"/>
      <c r="N947" s="7" t="n"/>
      <c r="O947" s="40" t="n"/>
      <c r="P947" s="40" t="n"/>
      <c r="Q947" s="40" t="n"/>
      <c r="R947" s="40" t="n"/>
      <c r="S947" s="40" t="n"/>
      <c r="T947" s="40" t="n"/>
      <c r="U947" s="40" t="n"/>
      <c r="V947" s="40" t="n"/>
      <c r="W947" s="40" t="n"/>
      <c r="X947" s="40" t="n"/>
      <c r="Y947" s="40" t="n"/>
      <c r="Z947" s="40" t="n"/>
      <c r="AA947" s="39" t="n"/>
    </row>
    <row r="948">
      <c r="A948" s="7" t="n"/>
      <c r="B948" s="7" t="n"/>
      <c r="C948" s="39" t="n"/>
      <c r="D948" s="39" t="n"/>
      <c r="E948" s="7" t="n"/>
      <c r="F948" s="7" t="n"/>
      <c r="G948" s="7" t="n"/>
      <c r="H948" s="39" t="n"/>
      <c r="I948" s="39" t="n"/>
      <c r="J948" s="39" t="n"/>
      <c r="K948" s="39" t="n"/>
      <c r="L948" s="39" t="n"/>
      <c r="M948" s="7" t="n"/>
      <c r="N948" s="7" t="n"/>
      <c r="O948" s="40" t="n"/>
      <c r="P948" s="40" t="n"/>
      <c r="Q948" s="40" t="n"/>
      <c r="R948" s="40" t="n"/>
      <c r="S948" s="40" t="n"/>
      <c r="T948" s="40" t="n"/>
      <c r="U948" s="40" t="n"/>
      <c r="V948" s="40" t="n"/>
      <c r="W948" s="40" t="n"/>
      <c r="X948" s="40" t="n"/>
      <c r="Y948" s="40" t="n"/>
      <c r="Z948" s="40" t="n"/>
      <c r="AA948" s="39" t="n"/>
    </row>
    <row r="949">
      <c r="A949" s="7" t="n"/>
      <c r="B949" s="7" t="n"/>
      <c r="C949" s="39" t="n"/>
      <c r="D949" s="39" t="n"/>
      <c r="E949" s="7" t="n"/>
      <c r="F949" s="7" t="n"/>
      <c r="G949" s="7" t="n"/>
      <c r="H949" s="39" t="n"/>
      <c r="I949" s="39" t="n"/>
      <c r="J949" s="39" t="n"/>
      <c r="K949" s="39" t="n"/>
      <c r="L949" s="39" t="n"/>
      <c r="M949" s="7" t="n"/>
      <c r="N949" s="7" t="n"/>
      <c r="O949" s="40" t="n"/>
      <c r="P949" s="40" t="n"/>
      <c r="Q949" s="40" t="n"/>
      <c r="R949" s="40" t="n"/>
      <c r="S949" s="40" t="n"/>
      <c r="T949" s="40" t="n"/>
      <c r="U949" s="40" t="n"/>
      <c r="V949" s="40" t="n"/>
      <c r="W949" s="40" t="n"/>
      <c r="X949" s="40" t="n"/>
      <c r="Y949" s="40" t="n"/>
      <c r="Z949" s="40" t="n"/>
      <c r="AA949" s="39" t="n"/>
    </row>
    <row r="950">
      <c r="A950" s="7" t="n"/>
      <c r="B950" s="7" t="n"/>
      <c r="C950" s="39" t="n"/>
      <c r="D950" s="39" t="n"/>
      <c r="E950" s="7" t="n"/>
      <c r="F950" s="7" t="n"/>
      <c r="G950" s="7" t="n"/>
      <c r="H950" s="39" t="n"/>
      <c r="I950" s="39" t="n"/>
      <c r="J950" s="39" t="n"/>
      <c r="K950" s="39" t="n"/>
      <c r="L950" s="39" t="n"/>
      <c r="M950" s="7" t="n"/>
      <c r="N950" s="7" t="n"/>
      <c r="O950" s="40" t="n"/>
      <c r="P950" s="40" t="n"/>
      <c r="Q950" s="40" t="n"/>
      <c r="R950" s="40" t="n"/>
      <c r="S950" s="40" t="n"/>
      <c r="T950" s="40" t="n"/>
      <c r="U950" s="40" t="n"/>
      <c r="V950" s="40" t="n"/>
      <c r="W950" s="40" t="n"/>
      <c r="X950" s="40" t="n"/>
      <c r="Y950" s="40" t="n"/>
      <c r="Z950" s="40" t="n"/>
      <c r="AA950" s="39" t="n"/>
    </row>
    <row r="951">
      <c r="A951" s="7" t="n"/>
      <c r="B951" s="7" t="n"/>
      <c r="C951" s="39" t="n"/>
      <c r="D951" s="39" t="n"/>
      <c r="E951" s="7" t="n"/>
      <c r="F951" s="7" t="n"/>
      <c r="G951" s="7" t="n"/>
      <c r="H951" s="39" t="n"/>
      <c r="I951" s="39" t="n"/>
      <c r="J951" s="39" t="n"/>
      <c r="K951" s="39" t="n"/>
      <c r="L951" s="39" t="n"/>
      <c r="M951" s="7" t="n"/>
      <c r="N951" s="7" t="n"/>
      <c r="O951" s="40" t="n"/>
      <c r="P951" s="40" t="n"/>
      <c r="Q951" s="40" t="n"/>
      <c r="R951" s="40" t="n"/>
      <c r="S951" s="40" t="n"/>
      <c r="T951" s="40" t="n"/>
      <c r="U951" s="40" t="n"/>
      <c r="V951" s="40" t="n"/>
      <c r="W951" s="40" t="n"/>
      <c r="X951" s="40" t="n"/>
      <c r="Y951" s="40" t="n"/>
      <c r="Z951" s="40" t="n"/>
      <c r="AA951" s="39" t="n"/>
    </row>
    <row r="952">
      <c r="A952" s="7" t="n"/>
      <c r="B952" s="7" t="n"/>
      <c r="C952" s="39" t="n"/>
      <c r="D952" s="39" t="n"/>
      <c r="E952" s="7" t="n"/>
      <c r="F952" s="7" t="n"/>
      <c r="G952" s="7" t="n"/>
      <c r="H952" s="39" t="n"/>
      <c r="I952" s="39" t="n"/>
      <c r="J952" s="39" t="n"/>
      <c r="K952" s="39" t="n"/>
      <c r="L952" s="39" t="n"/>
      <c r="M952" s="7" t="n"/>
      <c r="N952" s="7" t="n"/>
      <c r="O952" s="40" t="n"/>
      <c r="P952" s="40" t="n"/>
      <c r="Q952" s="40" t="n"/>
      <c r="R952" s="40" t="n"/>
      <c r="S952" s="40" t="n"/>
      <c r="T952" s="40" t="n"/>
      <c r="U952" s="40" t="n"/>
      <c r="V952" s="40" t="n"/>
      <c r="W952" s="40" t="n"/>
      <c r="X952" s="40" t="n"/>
      <c r="Y952" s="40" t="n"/>
      <c r="Z952" s="40" t="n"/>
      <c r="AA952" s="39" t="n"/>
    </row>
    <row r="953">
      <c r="A953" s="7" t="n"/>
      <c r="B953" s="7" t="n"/>
      <c r="C953" s="39" t="n"/>
      <c r="D953" s="39" t="n"/>
      <c r="E953" s="7" t="n"/>
      <c r="F953" s="7" t="n"/>
      <c r="G953" s="7" t="n"/>
      <c r="H953" s="39" t="n"/>
      <c r="I953" s="39" t="n"/>
      <c r="J953" s="39" t="n"/>
      <c r="K953" s="39" t="n"/>
      <c r="L953" s="39" t="n"/>
      <c r="M953" s="7" t="n"/>
      <c r="N953" s="7" t="n"/>
      <c r="O953" s="40" t="n"/>
      <c r="P953" s="40" t="n"/>
      <c r="Q953" s="40" t="n"/>
      <c r="R953" s="40" t="n"/>
      <c r="S953" s="40" t="n"/>
      <c r="T953" s="40" t="n"/>
      <c r="U953" s="40" t="n"/>
      <c r="V953" s="40" t="n"/>
      <c r="W953" s="40" t="n"/>
      <c r="X953" s="40" t="n"/>
      <c r="Y953" s="40" t="n"/>
      <c r="Z953" s="40" t="n"/>
      <c r="AA953" s="39" t="n"/>
    </row>
    <row r="954">
      <c r="A954" s="7" t="n"/>
      <c r="B954" s="7" t="n"/>
      <c r="C954" s="39" t="n"/>
      <c r="D954" s="39" t="n"/>
      <c r="E954" s="7" t="n"/>
      <c r="F954" s="7" t="n"/>
      <c r="G954" s="7" t="n"/>
      <c r="H954" s="39" t="n"/>
      <c r="I954" s="39" t="n"/>
      <c r="J954" s="39" t="n"/>
      <c r="K954" s="39" t="n"/>
      <c r="L954" s="39" t="n"/>
      <c r="M954" s="7" t="n"/>
      <c r="N954" s="7" t="n"/>
      <c r="O954" s="40" t="n"/>
      <c r="P954" s="40" t="n"/>
      <c r="Q954" s="40" t="n"/>
      <c r="R954" s="40" t="n"/>
      <c r="S954" s="40" t="n"/>
      <c r="T954" s="40" t="n"/>
      <c r="U954" s="40" t="n"/>
      <c r="V954" s="40" t="n"/>
      <c r="W954" s="40" t="n"/>
      <c r="X954" s="40" t="n"/>
      <c r="Y954" s="40" t="n"/>
      <c r="Z954" s="40" t="n"/>
      <c r="AA954" s="39" t="n"/>
    </row>
    <row r="955">
      <c r="A955" s="7" t="n"/>
      <c r="B955" s="7" t="n"/>
      <c r="C955" s="39" t="n"/>
      <c r="D955" s="39" t="n"/>
      <c r="E955" s="7" t="n"/>
      <c r="F955" s="7" t="n"/>
      <c r="G955" s="7" t="n"/>
      <c r="H955" s="39" t="n"/>
      <c r="I955" s="39" t="n"/>
      <c r="J955" s="39" t="n"/>
      <c r="K955" s="39" t="n"/>
      <c r="L955" s="39" t="n"/>
      <c r="M955" s="7" t="n"/>
      <c r="N955" s="7" t="n"/>
      <c r="O955" s="40" t="n"/>
      <c r="P955" s="40" t="n"/>
      <c r="Q955" s="40" t="n"/>
      <c r="R955" s="40" t="n"/>
      <c r="S955" s="40" t="n"/>
      <c r="T955" s="40" t="n"/>
      <c r="U955" s="40" t="n"/>
      <c r="V955" s="40" t="n"/>
      <c r="W955" s="40" t="n"/>
      <c r="X955" s="40" t="n"/>
      <c r="Y955" s="40" t="n"/>
      <c r="Z955" s="40" t="n"/>
      <c r="AA955" s="39" t="n"/>
    </row>
    <row r="956">
      <c r="A956" s="7" t="n"/>
      <c r="B956" s="7" t="n"/>
      <c r="C956" s="39" t="n"/>
      <c r="D956" s="39" t="n"/>
      <c r="E956" s="7" t="n"/>
      <c r="F956" s="7" t="n"/>
      <c r="G956" s="7" t="n"/>
      <c r="H956" s="39" t="n"/>
      <c r="I956" s="39" t="n"/>
      <c r="J956" s="39" t="n"/>
      <c r="K956" s="39" t="n"/>
      <c r="L956" s="39" t="n"/>
      <c r="M956" s="7" t="n"/>
      <c r="N956" s="7" t="n"/>
      <c r="O956" s="40" t="n"/>
      <c r="P956" s="40" t="n"/>
      <c r="Q956" s="40" t="n"/>
      <c r="R956" s="40" t="n"/>
      <c r="S956" s="40" t="n"/>
      <c r="T956" s="40" t="n"/>
      <c r="U956" s="40" t="n"/>
      <c r="V956" s="40" t="n"/>
      <c r="W956" s="40" t="n"/>
      <c r="X956" s="40" t="n"/>
      <c r="Y956" s="40" t="n"/>
      <c r="Z956" s="40" t="n"/>
      <c r="AA956" s="39" t="n"/>
    </row>
    <row r="957">
      <c r="A957" s="7" t="n"/>
      <c r="B957" s="7" t="n"/>
      <c r="C957" s="39" t="n"/>
      <c r="D957" s="39" t="n"/>
      <c r="E957" s="7" t="n"/>
      <c r="F957" s="7" t="n"/>
      <c r="G957" s="7" t="n"/>
      <c r="H957" s="39" t="n"/>
      <c r="I957" s="39" t="n"/>
      <c r="J957" s="39" t="n"/>
      <c r="K957" s="39" t="n"/>
      <c r="L957" s="39" t="n"/>
      <c r="M957" s="7" t="n"/>
      <c r="N957" s="7" t="n"/>
      <c r="O957" s="40" t="n"/>
      <c r="P957" s="40" t="n"/>
      <c r="Q957" s="40" t="n"/>
      <c r="R957" s="40" t="n"/>
      <c r="S957" s="40" t="n"/>
      <c r="T957" s="40" t="n"/>
      <c r="U957" s="40" t="n"/>
      <c r="V957" s="40" t="n"/>
      <c r="W957" s="40" t="n"/>
      <c r="X957" s="40" t="n"/>
      <c r="Y957" s="40" t="n"/>
      <c r="Z957" s="40" t="n"/>
      <c r="AA957" s="39" t="n"/>
    </row>
    <row r="958">
      <c r="A958" s="7" t="n"/>
      <c r="B958" s="7" t="n"/>
      <c r="C958" s="39" t="n"/>
      <c r="D958" s="39" t="n"/>
      <c r="E958" s="7" t="n"/>
      <c r="F958" s="7" t="n"/>
      <c r="G958" s="7" t="n"/>
      <c r="H958" s="39" t="n"/>
      <c r="I958" s="39" t="n"/>
      <c r="J958" s="39" t="n"/>
      <c r="K958" s="39" t="n"/>
      <c r="L958" s="39" t="n"/>
      <c r="M958" s="7" t="n"/>
      <c r="N958" s="7" t="n"/>
      <c r="O958" s="40" t="n"/>
      <c r="P958" s="40" t="n"/>
      <c r="Q958" s="40" t="n"/>
      <c r="R958" s="40" t="n"/>
      <c r="S958" s="40" t="n"/>
      <c r="T958" s="40" t="n"/>
      <c r="U958" s="40" t="n"/>
      <c r="V958" s="40" t="n"/>
      <c r="W958" s="40" t="n"/>
      <c r="X958" s="40" t="n"/>
      <c r="Y958" s="40" t="n"/>
      <c r="Z958" s="40" t="n"/>
      <c r="AA958" s="39" t="n"/>
    </row>
    <row r="959">
      <c r="A959" s="7" t="n"/>
      <c r="B959" s="7" t="n"/>
      <c r="C959" s="39" t="n"/>
      <c r="D959" s="39" t="n"/>
      <c r="E959" s="7" t="n"/>
      <c r="F959" s="7" t="n"/>
      <c r="G959" s="7" t="n"/>
      <c r="H959" s="39" t="n"/>
      <c r="I959" s="39" t="n"/>
      <c r="J959" s="39" t="n"/>
      <c r="K959" s="39" t="n"/>
      <c r="L959" s="39" t="n"/>
      <c r="M959" s="7" t="n"/>
      <c r="N959" s="7" t="n"/>
      <c r="O959" s="40" t="n"/>
      <c r="P959" s="40" t="n"/>
      <c r="Q959" s="40" t="n"/>
      <c r="R959" s="40" t="n"/>
      <c r="S959" s="40" t="n"/>
      <c r="T959" s="40" t="n"/>
      <c r="U959" s="40" t="n"/>
      <c r="V959" s="40" t="n"/>
      <c r="W959" s="40" t="n"/>
      <c r="X959" s="40" t="n"/>
      <c r="Y959" s="40" t="n"/>
      <c r="Z959" s="40" t="n"/>
      <c r="AA959" s="39" t="n"/>
    </row>
    <row r="960">
      <c r="A960" s="7" t="n"/>
      <c r="B960" s="7" t="n"/>
      <c r="C960" s="39" t="n"/>
      <c r="D960" s="39" t="n"/>
      <c r="E960" s="7" t="n"/>
      <c r="F960" s="7" t="n"/>
      <c r="G960" s="7" t="n"/>
      <c r="H960" s="39" t="n"/>
      <c r="I960" s="39" t="n"/>
      <c r="J960" s="39" t="n"/>
      <c r="K960" s="39" t="n"/>
      <c r="L960" s="39" t="n"/>
      <c r="M960" s="7" t="n"/>
      <c r="N960" s="7" t="n"/>
      <c r="O960" s="40" t="n"/>
      <c r="P960" s="40" t="n"/>
      <c r="Q960" s="40" t="n"/>
      <c r="R960" s="40" t="n"/>
      <c r="S960" s="40" t="n"/>
      <c r="T960" s="40" t="n"/>
      <c r="U960" s="40" t="n"/>
      <c r="V960" s="40" t="n"/>
      <c r="W960" s="40" t="n"/>
      <c r="X960" s="40" t="n"/>
      <c r="Y960" s="40" t="n"/>
      <c r="Z960" s="40" t="n"/>
      <c r="AA960" s="39" t="n"/>
    </row>
    <row r="961">
      <c r="A961" s="7" t="n"/>
      <c r="B961" s="7" t="n"/>
      <c r="C961" s="39" t="n"/>
      <c r="D961" s="39" t="n"/>
      <c r="E961" s="7" t="n"/>
      <c r="F961" s="7" t="n"/>
      <c r="G961" s="7" t="n"/>
      <c r="H961" s="39" t="n"/>
      <c r="I961" s="39" t="n"/>
      <c r="J961" s="39" t="n"/>
      <c r="K961" s="39" t="n"/>
      <c r="L961" s="39" t="n"/>
      <c r="M961" s="7" t="n"/>
      <c r="N961" s="7" t="n"/>
      <c r="O961" s="40" t="n"/>
      <c r="P961" s="40" t="n"/>
      <c r="Q961" s="40" t="n"/>
      <c r="R961" s="40" t="n"/>
      <c r="S961" s="40" t="n"/>
      <c r="T961" s="40" t="n"/>
      <c r="U961" s="40" t="n"/>
      <c r="V961" s="40" t="n"/>
      <c r="W961" s="40" t="n"/>
      <c r="X961" s="40" t="n"/>
      <c r="Y961" s="40" t="n"/>
      <c r="Z961" s="40" t="n"/>
      <c r="AA961" s="39" t="n"/>
    </row>
    <row r="962">
      <c r="A962" s="7" t="n"/>
      <c r="B962" s="7" t="n"/>
      <c r="C962" s="39" t="n"/>
      <c r="D962" s="39" t="n"/>
      <c r="E962" s="7" t="n"/>
      <c r="F962" s="7" t="n"/>
      <c r="G962" s="7" t="n"/>
      <c r="H962" s="39" t="n"/>
      <c r="I962" s="39" t="n"/>
      <c r="J962" s="39" t="n"/>
      <c r="K962" s="39" t="n"/>
      <c r="L962" s="39" t="n"/>
      <c r="M962" s="7" t="n"/>
      <c r="N962" s="7" t="n"/>
      <c r="O962" s="40" t="n"/>
      <c r="P962" s="40" t="n"/>
      <c r="Q962" s="40" t="n"/>
      <c r="R962" s="40" t="n"/>
      <c r="S962" s="40" t="n"/>
      <c r="T962" s="40" t="n"/>
      <c r="U962" s="40" t="n"/>
      <c r="V962" s="40" t="n"/>
      <c r="W962" s="40" t="n"/>
      <c r="X962" s="40" t="n"/>
      <c r="Y962" s="40" t="n"/>
      <c r="Z962" s="40" t="n"/>
      <c r="AA962" s="39" t="n"/>
    </row>
    <row r="963">
      <c r="A963" s="7" t="n"/>
      <c r="B963" s="7" t="n"/>
      <c r="C963" s="39" t="n"/>
      <c r="D963" s="39" t="n"/>
      <c r="E963" s="7" t="n"/>
      <c r="F963" s="7" t="n"/>
      <c r="G963" s="7" t="n"/>
      <c r="H963" s="39" t="n"/>
      <c r="I963" s="39" t="n"/>
      <c r="J963" s="39" t="n"/>
      <c r="K963" s="39" t="n"/>
      <c r="L963" s="39" t="n"/>
      <c r="M963" s="7" t="n"/>
      <c r="N963" s="7" t="n"/>
      <c r="O963" s="40" t="n"/>
      <c r="P963" s="40" t="n"/>
      <c r="Q963" s="40" t="n"/>
      <c r="R963" s="40" t="n"/>
      <c r="S963" s="40" t="n"/>
      <c r="T963" s="40" t="n"/>
      <c r="U963" s="40" t="n"/>
      <c r="V963" s="40" t="n"/>
      <c r="W963" s="40" t="n"/>
      <c r="X963" s="40" t="n"/>
      <c r="Y963" s="40" t="n"/>
      <c r="Z963" s="40" t="n"/>
      <c r="AA963" s="39" t="n"/>
    </row>
    <row r="964">
      <c r="A964" s="7" t="n"/>
      <c r="B964" s="7" t="n"/>
      <c r="C964" s="39" t="n"/>
      <c r="D964" s="39" t="n"/>
      <c r="E964" s="7" t="n"/>
      <c r="F964" s="7" t="n"/>
      <c r="G964" s="7" t="n"/>
      <c r="H964" s="39" t="n"/>
      <c r="I964" s="39" t="n"/>
      <c r="J964" s="39" t="n"/>
      <c r="K964" s="39" t="n"/>
      <c r="L964" s="39" t="n"/>
      <c r="M964" s="7" t="n"/>
      <c r="N964" s="7" t="n"/>
      <c r="O964" s="40" t="n"/>
      <c r="P964" s="40" t="n"/>
      <c r="Q964" s="40" t="n"/>
      <c r="R964" s="40" t="n"/>
      <c r="S964" s="40" t="n"/>
      <c r="T964" s="40" t="n"/>
      <c r="U964" s="40" t="n"/>
      <c r="V964" s="40" t="n"/>
      <c r="W964" s="40" t="n"/>
      <c r="X964" s="40" t="n"/>
      <c r="Y964" s="40" t="n"/>
      <c r="Z964" s="40" t="n"/>
      <c r="AA964" s="39" t="n"/>
    </row>
    <row r="965">
      <c r="A965" s="7" t="n"/>
      <c r="B965" s="7" t="n"/>
      <c r="C965" s="39" t="n"/>
      <c r="D965" s="39" t="n"/>
      <c r="E965" s="7" t="n"/>
      <c r="F965" s="7" t="n"/>
      <c r="G965" s="7" t="n"/>
      <c r="H965" s="39" t="n"/>
      <c r="I965" s="39" t="n"/>
      <c r="J965" s="39" t="n"/>
      <c r="K965" s="39" t="n"/>
      <c r="L965" s="39" t="n"/>
      <c r="M965" s="7" t="n"/>
      <c r="N965" s="7" t="n"/>
      <c r="O965" s="40" t="n"/>
      <c r="P965" s="40" t="n"/>
      <c r="Q965" s="40" t="n"/>
      <c r="R965" s="40" t="n"/>
      <c r="S965" s="40" t="n"/>
      <c r="T965" s="40" t="n"/>
      <c r="U965" s="40" t="n"/>
      <c r="V965" s="40" t="n"/>
      <c r="W965" s="40" t="n"/>
      <c r="X965" s="40" t="n"/>
      <c r="Y965" s="40" t="n"/>
      <c r="Z965" s="40" t="n"/>
      <c r="AA965" s="39" t="n"/>
    </row>
    <row r="966">
      <c r="A966" s="7" t="n"/>
      <c r="B966" s="7" t="n"/>
      <c r="C966" s="39" t="n"/>
      <c r="D966" s="39" t="n"/>
      <c r="E966" s="7" t="n"/>
      <c r="F966" s="7" t="n"/>
      <c r="G966" s="7" t="n"/>
      <c r="H966" s="39" t="n"/>
      <c r="I966" s="39" t="n"/>
      <c r="J966" s="39" t="n"/>
      <c r="K966" s="39" t="n"/>
      <c r="L966" s="39" t="n"/>
      <c r="M966" s="7" t="n"/>
      <c r="N966" s="7" t="n"/>
      <c r="O966" s="40" t="n"/>
      <c r="P966" s="40" t="n"/>
      <c r="Q966" s="40" t="n"/>
      <c r="R966" s="40" t="n"/>
      <c r="S966" s="40" t="n"/>
      <c r="T966" s="40" t="n"/>
      <c r="U966" s="40" t="n"/>
      <c r="V966" s="40" t="n"/>
      <c r="W966" s="40" t="n"/>
      <c r="X966" s="40" t="n"/>
      <c r="Y966" s="40" t="n"/>
      <c r="Z966" s="40" t="n"/>
      <c r="AA966" s="39" t="n"/>
    </row>
    <row r="967">
      <c r="A967" s="7" t="n"/>
      <c r="B967" s="7" t="n"/>
      <c r="C967" s="39" t="n"/>
      <c r="D967" s="39" t="n"/>
      <c r="E967" s="7" t="n"/>
      <c r="F967" s="7" t="n"/>
      <c r="G967" s="7" t="n"/>
      <c r="H967" s="39" t="n"/>
      <c r="I967" s="39" t="n"/>
      <c r="J967" s="39" t="n"/>
      <c r="K967" s="39" t="n"/>
      <c r="L967" s="39" t="n"/>
      <c r="M967" s="7" t="n"/>
      <c r="N967" s="7" t="n"/>
      <c r="O967" s="40" t="n"/>
      <c r="P967" s="40" t="n"/>
      <c r="Q967" s="40" t="n"/>
      <c r="R967" s="40" t="n"/>
      <c r="S967" s="40" t="n"/>
      <c r="T967" s="40" t="n"/>
      <c r="U967" s="40" t="n"/>
      <c r="V967" s="40" t="n"/>
      <c r="W967" s="40" t="n"/>
      <c r="X967" s="40" t="n"/>
      <c r="Y967" s="40" t="n"/>
      <c r="Z967" s="40" t="n"/>
      <c r="AA967" s="39" t="n"/>
    </row>
    <row r="968">
      <c r="A968" s="7" t="n"/>
      <c r="B968" s="7" t="n"/>
      <c r="C968" s="39" t="n"/>
      <c r="D968" s="39" t="n"/>
      <c r="E968" s="7" t="n"/>
      <c r="F968" s="7" t="n"/>
      <c r="G968" s="7" t="n"/>
      <c r="H968" s="39" t="n"/>
      <c r="I968" s="39" t="n"/>
      <c r="J968" s="39" t="n"/>
      <c r="K968" s="39" t="n"/>
      <c r="L968" s="39" t="n"/>
      <c r="M968" s="7" t="n"/>
      <c r="N968" s="7" t="n"/>
      <c r="O968" s="40" t="n"/>
      <c r="P968" s="40" t="n"/>
      <c r="Q968" s="40" t="n"/>
      <c r="R968" s="40" t="n"/>
      <c r="S968" s="40" t="n"/>
      <c r="T968" s="40" t="n"/>
      <c r="U968" s="40" t="n"/>
      <c r="V968" s="40" t="n"/>
      <c r="W968" s="40" t="n"/>
      <c r="X968" s="40" t="n"/>
      <c r="Y968" s="40" t="n"/>
      <c r="Z968" s="40" t="n"/>
      <c r="AA968" s="39" t="n"/>
    </row>
    <row r="969">
      <c r="A969" s="7" t="n"/>
      <c r="B969" s="7" t="n"/>
      <c r="C969" s="39" t="n"/>
      <c r="D969" s="39" t="n"/>
      <c r="E969" s="7" t="n"/>
      <c r="F969" s="7" t="n"/>
      <c r="G969" s="7" t="n"/>
      <c r="H969" s="39" t="n"/>
      <c r="I969" s="39" t="n"/>
      <c r="J969" s="39" t="n"/>
      <c r="K969" s="39" t="n"/>
      <c r="L969" s="39" t="n"/>
      <c r="M969" s="7" t="n"/>
      <c r="N969" s="7" t="n"/>
      <c r="O969" s="40" t="n"/>
      <c r="P969" s="40" t="n"/>
      <c r="Q969" s="40" t="n"/>
      <c r="R969" s="40" t="n"/>
      <c r="S969" s="40" t="n"/>
      <c r="T969" s="40" t="n"/>
      <c r="U969" s="40" t="n"/>
      <c r="V969" s="40" t="n"/>
      <c r="W969" s="40" t="n"/>
      <c r="X969" s="40" t="n"/>
      <c r="Y969" s="40" t="n"/>
      <c r="Z969" s="40" t="n"/>
      <c r="AA969" s="39" t="n"/>
    </row>
    <row r="970">
      <c r="A970" s="7" t="n"/>
      <c r="B970" s="7" t="n"/>
      <c r="C970" s="39" t="n"/>
      <c r="D970" s="39" t="n"/>
      <c r="E970" s="7" t="n"/>
      <c r="F970" s="7" t="n"/>
      <c r="G970" s="7" t="n"/>
      <c r="H970" s="39" t="n"/>
      <c r="I970" s="39" t="n"/>
      <c r="J970" s="39" t="n"/>
      <c r="K970" s="39" t="n"/>
      <c r="L970" s="39" t="n"/>
      <c r="M970" s="7" t="n"/>
      <c r="N970" s="7" t="n"/>
      <c r="O970" s="40" t="n"/>
      <c r="P970" s="40" t="n"/>
      <c r="Q970" s="40" t="n"/>
      <c r="R970" s="40" t="n"/>
      <c r="S970" s="40" t="n"/>
      <c r="T970" s="40" t="n"/>
      <c r="U970" s="40" t="n"/>
      <c r="V970" s="40" t="n"/>
      <c r="W970" s="40" t="n"/>
      <c r="X970" s="40" t="n"/>
      <c r="Y970" s="40" t="n"/>
      <c r="Z970" s="40" t="n"/>
      <c r="AA970" s="39" t="n"/>
    </row>
    <row r="971">
      <c r="A971" s="7" t="n"/>
      <c r="B971" s="7" t="n"/>
      <c r="C971" s="39" t="n"/>
      <c r="D971" s="39" t="n"/>
      <c r="E971" s="7" t="n"/>
      <c r="F971" s="7" t="n"/>
      <c r="G971" s="7" t="n"/>
      <c r="H971" s="39" t="n"/>
      <c r="I971" s="39" t="n"/>
      <c r="J971" s="39" t="n"/>
      <c r="K971" s="39" t="n"/>
      <c r="L971" s="39" t="n"/>
      <c r="M971" s="7" t="n"/>
      <c r="N971" s="7" t="n"/>
      <c r="O971" s="40" t="n"/>
      <c r="P971" s="40" t="n"/>
      <c r="Q971" s="40" t="n"/>
      <c r="R971" s="40" t="n"/>
      <c r="S971" s="40" t="n"/>
      <c r="T971" s="40" t="n"/>
      <c r="U971" s="40" t="n"/>
      <c r="V971" s="40" t="n"/>
      <c r="W971" s="40" t="n"/>
      <c r="X971" s="40" t="n"/>
      <c r="Y971" s="40" t="n"/>
      <c r="Z971" s="40" t="n"/>
      <c r="AA971" s="39" t="n"/>
    </row>
    <row r="972">
      <c r="A972" s="7" t="n"/>
      <c r="B972" s="7" t="n"/>
      <c r="C972" s="39" t="n"/>
      <c r="D972" s="39" t="n"/>
      <c r="E972" s="7" t="n"/>
      <c r="F972" s="7" t="n"/>
      <c r="G972" s="7" t="n"/>
      <c r="H972" s="39" t="n"/>
      <c r="I972" s="39" t="n"/>
      <c r="J972" s="39" t="n"/>
      <c r="K972" s="39" t="n"/>
      <c r="L972" s="39" t="n"/>
      <c r="M972" s="7" t="n"/>
      <c r="N972" s="7" t="n"/>
      <c r="O972" s="40" t="n"/>
      <c r="P972" s="40" t="n"/>
      <c r="Q972" s="40" t="n"/>
      <c r="R972" s="40" t="n"/>
      <c r="S972" s="40" t="n"/>
      <c r="T972" s="40" t="n"/>
      <c r="U972" s="40" t="n"/>
      <c r="V972" s="40" t="n"/>
      <c r="W972" s="40" t="n"/>
      <c r="X972" s="40" t="n"/>
      <c r="Y972" s="40" t="n"/>
      <c r="Z972" s="40" t="n"/>
      <c r="AA972" s="39" t="n"/>
    </row>
    <row r="973">
      <c r="A973" s="7" t="n"/>
      <c r="B973" s="7" t="n"/>
      <c r="C973" s="39" t="n"/>
      <c r="D973" s="39" t="n"/>
      <c r="E973" s="7" t="n"/>
      <c r="F973" s="7" t="n"/>
      <c r="G973" s="7" t="n"/>
      <c r="H973" s="39" t="n"/>
      <c r="I973" s="39" t="n"/>
      <c r="J973" s="39" t="n"/>
      <c r="K973" s="39" t="n"/>
      <c r="L973" s="39" t="n"/>
      <c r="M973" s="7" t="n"/>
      <c r="N973" s="7" t="n"/>
      <c r="O973" s="40" t="n"/>
      <c r="P973" s="40" t="n"/>
      <c r="Q973" s="40" t="n"/>
      <c r="R973" s="40" t="n"/>
      <c r="S973" s="40" t="n"/>
      <c r="T973" s="40" t="n"/>
      <c r="U973" s="40" t="n"/>
      <c r="V973" s="40" t="n"/>
      <c r="W973" s="40" t="n"/>
      <c r="X973" s="40" t="n"/>
      <c r="Y973" s="40" t="n"/>
      <c r="Z973" s="40" t="n"/>
      <c r="AA973" s="39" t="n"/>
    </row>
    <row r="974">
      <c r="A974" s="7" t="n"/>
      <c r="B974" s="7" t="n"/>
      <c r="C974" s="39" t="n"/>
      <c r="D974" s="39" t="n"/>
      <c r="E974" s="7" t="n"/>
      <c r="F974" s="7" t="n"/>
      <c r="G974" s="7" t="n"/>
      <c r="H974" s="39" t="n"/>
      <c r="I974" s="39" t="n"/>
      <c r="J974" s="39" t="n"/>
      <c r="K974" s="39" t="n"/>
      <c r="L974" s="39" t="n"/>
      <c r="M974" s="7" t="n"/>
      <c r="N974" s="7" t="n"/>
      <c r="O974" s="40" t="n"/>
      <c r="P974" s="40" t="n"/>
      <c r="Q974" s="40" t="n"/>
      <c r="R974" s="40" t="n"/>
      <c r="S974" s="40" t="n"/>
      <c r="T974" s="40" t="n"/>
      <c r="U974" s="40" t="n"/>
      <c r="V974" s="40" t="n"/>
      <c r="W974" s="40" t="n"/>
      <c r="X974" s="40" t="n"/>
      <c r="Y974" s="40" t="n"/>
      <c r="Z974" s="40" t="n"/>
      <c r="AA974" s="39" t="n"/>
    </row>
    <row r="975">
      <c r="A975" s="7" t="n"/>
      <c r="B975" s="7" t="n"/>
      <c r="C975" s="39" t="n"/>
      <c r="D975" s="39" t="n"/>
      <c r="E975" s="7" t="n"/>
      <c r="F975" s="7" t="n"/>
      <c r="G975" s="7" t="n"/>
      <c r="H975" s="39" t="n"/>
      <c r="I975" s="39" t="n"/>
      <c r="J975" s="39" t="n"/>
      <c r="K975" s="39" t="n"/>
      <c r="L975" s="39" t="n"/>
      <c r="M975" s="7" t="n"/>
      <c r="N975" s="7" t="n"/>
      <c r="O975" s="40" t="n"/>
      <c r="P975" s="40" t="n"/>
      <c r="Q975" s="40" t="n"/>
      <c r="R975" s="40" t="n"/>
      <c r="S975" s="40" t="n"/>
      <c r="T975" s="40" t="n"/>
      <c r="U975" s="40" t="n"/>
      <c r="V975" s="40" t="n"/>
      <c r="W975" s="40" t="n"/>
      <c r="X975" s="40" t="n"/>
      <c r="Y975" s="40" t="n"/>
      <c r="Z975" s="40" t="n"/>
      <c r="AA975" s="39" t="n"/>
    </row>
    <row r="976">
      <c r="A976" s="7" t="n"/>
      <c r="B976" s="7" t="n"/>
      <c r="C976" s="39" t="n"/>
      <c r="D976" s="39" t="n"/>
      <c r="E976" s="7" t="n"/>
      <c r="F976" s="7" t="n"/>
      <c r="G976" s="7" t="n"/>
      <c r="H976" s="39" t="n"/>
      <c r="I976" s="39" t="n"/>
      <c r="J976" s="39" t="n"/>
      <c r="K976" s="39" t="n"/>
      <c r="L976" s="39" t="n"/>
      <c r="M976" s="7" t="n"/>
      <c r="N976" s="7" t="n"/>
      <c r="O976" s="40" t="n"/>
      <c r="P976" s="40" t="n"/>
      <c r="Q976" s="40" t="n"/>
      <c r="R976" s="40" t="n"/>
      <c r="S976" s="40" t="n"/>
      <c r="T976" s="40" t="n"/>
      <c r="U976" s="40" t="n"/>
      <c r="V976" s="40" t="n"/>
      <c r="W976" s="40" t="n"/>
      <c r="X976" s="40" t="n"/>
      <c r="Y976" s="40" t="n"/>
      <c r="Z976" s="40" t="n"/>
      <c r="AA976" s="39" t="n"/>
    </row>
    <row r="977">
      <c r="A977" s="7" t="n"/>
      <c r="B977" s="7" t="n"/>
      <c r="C977" s="39" t="n"/>
      <c r="D977" s="39" t="n"/>
      <c r="E977" s="7" t="n"/>
      <c r="F977" s="7" t="n"/>
      <c r="G977" s="7" t="n"/>
      <c r="H977" s="39" t="n"/>
      <c r="I977" s="39" t="n"/>
      <c r="J977" s="39" t="n"/>
      <c r="K977" s="39" t="n"/>
      <c r="L977" s="39" t="n"/>
      <c r="M977" s="7" t="n"/>
      <c r="N977" s="7" t="n"/>
      <c r="O977" s="40" t="n"/>
      <c r="P977" s="40" t="n"/>
      <c r="Q977" s="40" t="n"/>
      <c r="R977" s="40" t="n"/>
      <c r="S977" s="40" t="n"/>
      <c r="T977" s="40" t="n"/>
      <c r="U977" s="40" t="n"/>
      <c r="V977" s="40" t="n"/>
      <c r="W977" s="40" t="n"/>
      <c r="X977" s="40" t="n"/>
      <c r="Y977" s="40" t="n"/>
      <c r="Z977" s="40" t="n"/>
      <c r="AA977" s="39" t="n"/>
    </row>
    <row r="978">
      <c r="A978" s="7" t="n"/>
      <c r="B978" s="7" t="n"/>
      <c r="C978" s="39" t="n"/>
      <c r="D978" s="39" t="n"/>
      <c r="E978" s="7" t="n"/>
      <c r="F978" s="7" t="n"/>
      <c r="G978" s="7" t="n"/>
      <c r="H978" s="39" t="n"/>
      <c r="I978" s="39" t="n"/>
      <c r="J978" s="39" t="n"/>
      <c r="K978" s="39" t="n"/>
      <c r="L978" s="39" t="n"/>
      <c r="M978" s="7" t="n"/>
      <c r="N978" s="7" t="n"/>
      <c r="O978" s="40" t="n"/>
      <c r="P978" s="40" t="n"/>
      <c r="Q978" s="40" t="n"/>
      <c r="R978" s="40" t="n"/>
      <c r="S978" s="40" t="n"/>
      <c r="T978" s="40" t="n"/>
      <c r="U978" s="40" t="n"/>
      <c r="V978" s="40" t="n"/>
      <c r="W978" s="40" t="n"/>
      <c r="X978" s="40" t="n"/>
      <c r="Y978" s="40" t="n"/>
      <c r="Z978" s="40" t="n"/>
      <c r="AA978" s="39" t="n"/>
    </row>
    <row r="979">
      <c r="A979" s="7" t="n"/>
      <c r="B979" s="7" t="n"/>
      <c r="C979" s="39" t="n"/>
      <c r="D979" s="39" t="n"/>
      <c r="E979" s="7" t="n"/>
      <c r="F979" s="7" t="n"/>
      <c r="G979" s="7" t="n"/>
      <c r="H979" s="39" t="n"/>
      <c r="I979" s="39" t="n"/>
      <c r="J979" s="39" t="n"/>
      <c r="K979" s="39" t="n"/>
      <c r="L979" s="39" t="n"/>
      <c r="M979" s="7" t="n"/>
      <c r="N979" s="7" t="n"/>
      <c r="O979" s="40" t="n"/>
      <c r="P979" s="40" t="n"/>
      <c r="Q979" s="40" t="n"/>
      <c r="R979" s="40" t="n"/>
      <c r="S979" s="40" t="n"/>
      <c r="T979" s="40" t="n"/>
      <c r="U979" s="40" t="n"/>
      <c r="V979" s="40" t="n"/>
      <c r="W979" s="40" t="n"/>
      <c r="X979" s="40" t="n"/>
      <c r="Y979" s="40" t="n"/>
      <c r="Z979" s="40" t="n"/>
      <c r="AA979" s="39" t="n"/>
    </row>
    <row r="980">
      <c r="A980" s="7" t="n"/>
      <c r="B980" s="7" t="n"/>
      <c r="C980" s="39" t="n"/>
      <c r="D980" s="39" t="n"/>
      <c r="E980" s="7" t="n"/>
      <c r="F980" s="7" t="n"/>
      <c r="G980" s="7" t="n"/>
      <c r="H980" s="39" t="n"/>
      <c r="I980" s="39" t="n"/>
      <c r="J980" s="39" t="n"/>
      <c r="K980" s="39" t="n"/>
      <c r="L980" s="39" t="n"/>
      <c r="M980" s="7" t="n"/>
      <c r="N980" s="7" t="n"/>
      <c r="O980" s="40" t="n"/>
      <c r="P980" s="40" t="n"/>
      <c r="Q980" s="40" t="n"/>
      <c r="R980" s="40" t="n"/>
      <c r="S980" s="40" t="n"/>
      <c r="T980" s="40" t="n"/>
      <c r="U980" s="40" t="n"/>
      <c r="V980" s="40" t="n"/>
      <c r="W980" s="40" t="n"/>
      <c r="X980" s="40" t="n"/>
      <c r="Y980" s="40" t="n"/>
      <c r="Z980" s="40" t="n"/>
      <c r="AA980" s="39" t="n"/>
    </row>
    <row r="981">
      <c r="A981" s="7" t="n"/>
      <c r="B981" s="7" t="n"/>
      <c r="C981" s="39" t="n"/>
      <c r="D981" s="39" t="n"/>
      <c r="E981" s="7" t="n"/>
      <c r="F981" s="7" t="n"/>
      <c r="G981" s="7" t="n"/>
      <c r="H981" s="39" t="n"/>
      <c r="I981" s="39" t="n"/>
      <c r="J981" s="39" t="n"/>
      <c r="K981" s="39" t="n"/>
      <c r="L981" s="39" t="n"/>
      <c r="M981" s="7" t="n"/>
      <c r="N981" s="7" t="n"/>
      <c r="O981" s="40" t="n"/>
      <c r="P981" s="40" t="n"/>
      <c r="Q981" s="40" t="n"/>
      <c r="R981" s="40" t="n"/>
      <c r="S981" s="40" t="n"/>
      <c r="T981" s="40" t="n"/>
      <c r="U981" s="40" t="n"/>
      <c r="V981" s="40" t="n"/>
      <c r="W981" s="40" t="n"/>
      <c r="X981" s="40" t="n"/>
      <c r="Y981" s="40" t="n"/>
      <c r="Z981" s="40" t="n"/>
      <c r="AA981" s="39" t="n"/>
    </row>
    <row r="982">
      <c r="A982" s="7" t="n"/>
      <c r="B982" s="7" t="n"/>
      <c r="C982" s="39" t="n"/>
      <c r="D982" s="39" t="n"/>
      <c r="E982" s="7" t="n"/>
      <c r="F982" s="7" t="n"/>
      <c r="G982" s="7" t="n"/>
      <c r="H982" s="39" t="n"/>
      <c r="I982" s="39" t="n"/>
      <c r="J982" s="39" t="n"/>
      <c r="K982" s="39" t="n"/>
      <c r="L982" s="39" t="n"/>
      <c r="M982" s="7" t="n"/>
      <c r="N982" s="7" t="n"/>
      <c r="O982" s="40" t="n"/>
      <c r="P982" s="40" t="n"/>
      <c r="Q982" s="40" t="n"/>
      <c r="R982" s="40" t="n"/>
      <c r="S982" s="40" t="n"/>
      <c r="T982" s="40" t="n"/>
      <c r="U982" s="40" t="n"/>
      <c r="V982" s="40" t="n"/>
      <c r="W982" s="40" t="n"/>
      <c r="X982" s="40" t="n"/>
      <c r="Y982" s="40" t="n"/>
      <c r="Z982" s="40" t="n"/>
      <c r="AA982" s="39" t="n"/>
    </row>
    <row r="983">
      <c r="A983" s="7" t="n"/>
      <c r="B983" s="7" t="n"/>
      <c r="C983" s="39" t="n"/>
      <c r="D983" s="39" t="n"/>
      <c r="E983" s="7" t="n"/>
      <c r="F983" s="7" t="n"/>
      <c r="G983" s="7" t="n"/>
      <c r="H983" s="39" t="n"/>
      <c r="I983" s="39" t="n"/>
      <c r="J983" s="39" t="n"/>
      <c r="K983" s="39" t="n"/>
      <c r="L983" s="39" t="n"/>
      <c r="M983" s="7" t="n"/>
      <c r="N983" s="7" t="n"/>
      <c r="O983" s="40" t="n"/>
      <c r="P983" s="40" t="n"/>
      <c r="Q983" s="40" t="n"/>
      <c r="R983" s="40" t="n"/>
      <c r="S983" s="40" t="n"/>
      <c r="T983" s="40" t="n"/>
      <c r="U983" s="40" t="n"/>
      <c r="V983" s="40" t="n"/>
      <c r="W983" s="40" t="n"/>
      <c r="X983" s="40" t="n"/>
      <c r="Y983" s="40" t="n"/>
      <c r="Z983" s="40" t="n"/>
      <c r="AA983" s="39" t="n"/>
    </row>
    <row r="984">
      <c r="A984" s="7" t="n"/>
      <c r="B984" s="7" t="n"/>
      <c r="C984" s="39" t="n"/>
      <c r="D984" s="39" t="n"/>
      <c r="E984" s="7" t="n"/>
      <c r="F984" s="7" t="n"/>
      <c r="G984" s="7" t="n"/>
      <c r="H984" s="39" t="n"/>
      <c r="I984" s="39" t="n"/>
      <c r="J984" s="39" t="n"/>
      <c r="K984" s="39" t="n"/>
      <c r="L984" s="39" t="n"/>
      <c r="M984" s="7" t="n"/>
      <c r="N984" s="7" t="n"/>
      <c r="O984" s="40" t="n"/>
      <c r="P984" s="40" t="n"/>
      <c r="Q984" s="40" t="n"/>
      <c r="R984" s="40" t="n"/>
      <c r="S984" s="40" t="n"/>
      <c r="T984" s="40" t="n"/>
      <c r="U984" s="40" t="n"/>
      <c r="V984" s="40" t="n"/>
      <c r="W984" s="40" t="n"/>
      <c r="X984" s="40" t="n"/>
      <c r="Y984" s="40" t="n"/>
      <c r="Z984" s="40" t="n"/>
      <c r="AA984" s="39" t="n"/>
    </row>
    <row r="985">
      <c r="A985" s="7" t="n"/>
      <c r="B985" s="7" t="n"/>
      <c r="C985" s="39" t="n"/>
      <c r="D985" s="39" t="n"/>
      <c r="E985" s="7" t="n"/>
      <c r="F985" s="7" t="n"/>
      <c r="G985" s="7" t="n"/>
      <c r="H985" s="39" t="n"/>
      <c r="I985" s="39" t="n"/>
      <c r="J985" s="39" t="n"/>
      <c r="K985" s="39" t="n"/>
      <c r="L985" s="39" t="n"/>
      <c r="M985" s="7" t="n"/>
      <c r="N985" s="7" t="n"/>
      <c r="O985" s="40" t="n"/>
      <c r="P985" s="40" t="n"/>
      <c r="Q985" s="40" t="n"/>
      <c r="R985" s="40" t="n"/>
      <c r="S985" s="40" t="n"/>
      <c r="T985" s="40" t="n"/>
      <c r="U985" s="40" t="n"/>
      <c r="V985" s="40" t="n"/>
      <c r="W985" s="40" t="n"/>
      <c r="X985" s="40" t="n"/>
      <c r="Y985" s="40" t="n"/>
      <c r="Z985" s="40" t="n"/>
      <c r="AA985" s="39" t="n"/>
    </row>
    <row r="986">
      <c r="A986" s="7" t="n"/>
      <c r="B986" s="7" t="n"/>
      <c r="C986" s="39" t="n"/>
      <c r="D986" s="39" t="n"/>
      <c r="E986" s="7" t="n"/>
      <c r="F986" s="7" t="n"/>
      <c r="G986" s="7" t="n"/>
      <c r="H986" s="39" t="n"/>
      <c r="I986" s="39" t="n"/>
      <c r="J986" s="39" t="n"/>
      <c r="K986" s="39" t="n"/>
      <c r="L986" s="39" t="n"/>
      <c r="M986" s="7" t="n"/>
      <c r="N986" s="7" t="n"/>
      <c r="O986" s="40" t="n"/>
      <c r="P986" s="40" t="n"/>
      <c r="Q986" s="40" t="n"/>
      <c r="R986" s="40" t="n"/>
      <c r="S986" s="40" t="n"/>
      <c r="T986" s="40" t="n"/>
      <c r="U986" s="40" t="n"/>
      <c r="V986" s="40" t="n"/>
      <c r="W986" s="40" t="n"/>
      <c r="X986" s="40" t="n"/>
      <c r="Y986" s="40" t="n"/>
      <c r="Z986" s="40" t="n"/>
      <c r="AA986" s="39" t="n"/>
    </row>
    <row r="987">
      <c r="A987" s="7" t="n"/>
      <c r="B987" s="7" t="n"/>
      <c r="C987" s="39" t="n"/>
      <c r="D987" s="39" t="n"/>
      <c r="E987" s="7" t="n"/>
      <c r="F987" s="7" t="n"/>
      <c r="G987" s="7" t="n"/>
      <c r="H987" s="39" t="n"/>
      <c r="I987" s="39" t="n"/>
      <c r="J987" s="39" t="n"/>
      <c r="K987" s="39" t="n"/>
      <c r="L987" s="39" t="n"/>
      <c r="M987" s="7" t="n"/>
      <c r="N987" s="7" t="n"/>
      <c r="O987" s="40" t="n"/>
      <c r="P987" s="40" t="n"/>
      <c r="Q987" s="40" t="n"/>
      <c r="R987" s="40" t="n"/>
      <c r="S987" s="40" t="n"/>
      <c r="T987" s="40" t="n"/>
      <c r="U987" s="40" t="n"/>
      <c r="V987" s="40" t="n"/>
      <c r="W987" s="40" t="n"/>
      <c r="X987" s="40" t="n"/>
      <c r="Y987" s="40" t="n"/>
      <c r="Z987" s="40" t="n"/>
      <c r="AA987" s="39" t="n"/>
    </row>
    <row r="988">
      <c r="A988" s="7" t="n"/>
      <c r="B988" s="7" t="n"/>
      <c r="C988" s="39" t="n"/>
      <c r="D988" s="39" t="n"/>
      <c r="E988" s="7" t="n"/>
      <c r="F988" s="7" t="n"/>
      <c r="G988" s="7" t="n"/>
      <c r="H988" s="39" t="n"/>
      <c r="I988" s="39" t="n"/>
      <c r="J988" s="39" t="n"/>
      <c r="K988" s="39" t="n"/>
      <c r="L988" s="39" t="n"/>
      <c r="M988" s="7" t="n"/>
      <c r="N988" s="7" t="n"/>
      <c r="O988" s="40" t="n"/>
      <c r="P988" s="40" t="n"/>
      <c r="Q988" s="40" t="n"/>
      <c r="R988" s="40" t="n"/>
      <c r="S988" s="40" t="n"/>
      <c r="T988" s="40" t="n"/>
      <c r="U988" s="40" t="n"/>
      <c r="V988" s="40" t="n"/>
      <c r="W988" s="40" t="n"/>
      <c r="X988" s="40" t="n"/>
      <c r="Y988" s="40" t="n"/>
      <c r="Z988" s="40" t="n"/>
      <c r="AA988" s="39" t="n"/>
    </row>
    <row r="989">
      <c r="A989" s="7" t="n"/>
      <c r="B989" s="7" t="n"/>
      <c r="C989" s="39" t="n"/>
      <c r="D989" s="39" t="n"/>
      <c r="E989" s="7" t="n"/>
      <c r="F989" s="7" t="n"/>
      <c r="G989" s="7" t="n"/>
      <c r="H989" s="39" t="n"/>
      <c r="I989" s="39" t="n"/>
      <c r="J989" s="39" t="n"/>
      <c r="K989" s="39" t="n"/>
      <c r="L989" s="39" t="n"/>
      <c r="M989" s="7" t="n"/>
      <c r="N989" s="7" t="n"/>
      <c r="O989" s="40" t="n"/>
      <c r="P989" s="40" t="n"/>
      <c r="Q989" s="40" t="n"/>
      <c r="R989" s="40" t="n"/>
      <c r="S989" s="40" t="n"/>
      <c r="T989" s="40" t="n"/>
      <c r="U989" s="40" t="n"/>
      <c r="V989" s="40" t="n"/>
      <c r="W989" s="40" t="n"/>
      <c r="X989" s="40" t="n"/>
      <c r="Y989" s="40" t="n"/>
      <c r="Z989" s="40" t="n"/>
      <c r="AA989" s="39" t="n"/>
    </row>
    <row r="990">
      <c r="A990" s="7" t="n"/>
      <c r="B990" s="7" t="n"/>
      <c r="C990" s="39" t="n"/>
      <c r="D990" s="39" t="n"/>
      <c r="E990" s="7" t="n"/>
      <c r="F990" s="7" t="n"/>
      <c r="G990" s="7" t="n"/>
      <c r="H990" s="39" t="n"/>
      <c r="I990" s="39" t="n"/>
      <c r="J990" s="39" t="n"/>
      <c r="K990" s="39" t="n"/>
      <c r="L990" s="39" t="n"/>
      <c r="M990" s="7" t="n"/>
      <c r="N990" s="7" t="n"/>
      <c r="O990" s="40" t="n"/>
      <c r="P990" s="40" t="n"/>
      <c r="Q990" s="40" t="n"/>
      <c r="R990" s="40" t="n"/>
      <c r="S990" s="40" t="n"/>
      <c r="T990" s="40" t="n"/>
      <c r="U990" s="40" t="n"/>
      <c r="V990" s="40" t="n"/>
      <c r="W990" s="40" t="n"/>
      <c r="X990" s="40" t="n"/>
      <c r="Y990" s="40" t="n"/>
      <c r="Z990" s="40" t="n"/>
      <c r="AA990" s="39" t="n"/>
    </row>
    <row r="991">
      <c r="A991" s="7" t="n"/>
      <c r="B991" s="7" t="n"/>
      <c r="C991" s="39" t="n"/>
      <c r="D991" s="39" t="n"/>
      <c r="E991" s="7" t="n"/>
      <c r="F991" s="7" t="n"/>
      <c r="G991" s="7" t="n"/>
      <c r="H991" s="39" t="n"/>
      <c r="I991" s="39" t="n"/>
      <c r="J991" s="39" t="n"/>
      <c r="K991" s="39" t="n"/>
      <c r="L991" s="39" t="n"/>
      <c r="M991" s="7" t="n"/>
      <c r="N991" s="7" t="n"/>
      <c r="O991" s="40" t="n"/>
      <c r="P991" s="40" t="n"/>
      <c r="Q991" s="40" t="n"/>
      <c r="R991" s="40" t="n"/>
      <c r="S991" s="40" t="n"/>
      <c r="T991" s="40" t="n"/>
      <c r="U991" s="40" t="n"/>
      <c r="V991" s="40" t="n"/>
      <c r="W991" s="40" t="n"/>
      <c r="X991" s="40" t="n"/>
      <c r="Y991" s="40" t="n"/>
      <c r="Z991" s="40" t="n"/>
      <c r="AA991" s="39" t="n"/>
    </row>
    <row r="992">
      <c r="A992" s="7" t="n"/>
      <c r="B992" s="7" t="n"/>
      <c r="C992" s="39" t="n"/>
      <c r="D992" s="39" t="n"/>
      <c r="E992" s="7" t="n"/>
      <c r="F992" s="7" t="n"/>
      <c r="G992" s="7" t="n"/>
      <c r="H992" s="39" t="n"/>
      <c r="I992" s="39" t="n"/>
      <c r="J992" s="39" t="n"/>
      <c r="K992" s="39" t="n"/>
      <c r="L992" s="39" t="n"/>
      <c r="M992" s="7" t="n"/>
      <c r="N992" s="7" t="n"/>
      <c r="O992" s="40" t="n"/>
      <c r="P992" s="40" t="n"/>
      <c r="Q992" s="40" t="n"/>
      <c r="R992" s="40" t="n"/>
      <c r="S992" s="40" t="n"/>
      <c r="T992" s="40" t="n"/>
      <c r="U992" s="40" t="n"/>
      <c r="V992" s="40" t="n"/>
      <c r="W992" s="40" t="n"/>
      <c r="X992" s="40" t="n"/>
      <c r="Y992" s="40" t="n"/>
      <c r="Z992" s="40" t="n"/>
      <c r="AA992" s="39" t="n"/>
    </row>
    <row r="993">
      <c r="A993" s="7" t="n"/>
      <c r="B993" s="7" t="n"/>
      <c r="C993" s="39" t="n"/>
      <c r="D993" s="39" t="n"/>
      <c r="E993" s="7" t="n"/>
      <c r="F993" s="7" t="n"/>
      <c r="G993" s="7" t="n"/>
      <c r="H993" s="39" t="n"/>
      <c r="I993" s="39" t="n"/>
      <c r="J993" s="39" t="n"/>
      <c r="K993" s="39" t="n"/>
      <c r="L993" s="39" t="n"/>
      <c r="M993" s="7" t="n"/>
      <c r="N993" s="7" t="n"/>
      <c r="O993" s="40" t="n"/>
      <c r="P993" s="40" t="n"/>
      <c r="Q993" s="40" t="n"/>
      <c r="R993" s="40" t="n"/>
      <c r="S993" s="40" t="n"/>
      <c r="T993" s="40" t="n"/>
      <c r="U993" s="40" t="n"/>
      <c r="V993" s="40" t="n"/>
      <c r="W993" s="40" t="n"/>
      <c r="X993" s="40" t="n"/>
      <c r="Y993" s="40" t="n"/>
      <c r="Z993" s="40" t="n"/>
      <c r="AA993" s="39" t="n"/>
    </row>
    <row r="994">
      <c r="A994" s="7" t="n"/>
      <c r="B994" s="7" t="n"/>
      <c r="C994" s="39" t="n"/>
      <c r="D994" s="39" t="n"/>
      <c r="E994" s="7" t="n"/>
      <c r="F994" s="7" t="n"/>
      <c r="G994" s="7" t="n"/>
      <c r="H994" s="39" t="n"/>
      <c r="I994" s="39" t="n"/>
      <c r="J994" s="39" t="n"/>
      <c r="K994" s="39" t="n"/>
      <c r="L994" s="39" t="n"/>
      <c r="M994" s="7" t="n"/>
      <c r="N994" s="7" t="n"/>
      <c r="O994" s="40" t="n"/>
      <c r="P994" s="40" t="n"/>
      <c r="Q994" s="40" t="n"/>
      <c r="R994" s="40" t="n"/>
      <c r="S994" s="40" t="n"/>
      <c r="T994" s="40" t="n"/>
      <c r="U994" s="40" t="n"/>
      <c r="V994" s="40" t="n"/>
      <c r="W994" s="40" t="n"/>
      <c r="X994" s="40" t="n"/>
      <c r="Y994" s="40" t="n"/>
      <c r="Z994" s="40" t="n"/>
      <c r="AA994" s="39" t="n"/>
    </row>
    <row r="995">
      <c r="A995" s="7" t="n"/>
      <c r="B995" s="7" t="n"/>
      <c r="C995" s="39" t="n"/>
      <c r="D995" s="39" t="n"/>
      <c r="E995" s="7" t="n"/>
      <c r="F995" s="7" t="n"/>
      <c r="G995" s="7" t="n"/>
      <c r="H995" s="39" t="n"/>
      <c r="I995" s="39" t="n"/>
      <c r="J995" s="39" t="n"/>
      <c r="K995" s="39" t="n"/>
      <c r="L995" s="39" t="n"/>
      <c r="M995" s="7" t="n"/>
      <c r="N995" s="7" t="n"/>
      <c r="O995" s="40" t="n"/>
      <c r="P995" s="40" t="n"/>
      <c r="Q995" s="40" t="n"/>
      <c r="R995" s="40" t="n"/>
      <c r="S995" s="40" t="n"/>
      <c r="T995" s="40" t="n"/>
      <c r="U995" s="40" t="n"/>
      <c r="V995" s="40" t="n"/>
      <c r="W995" s="40" t="n"/>
      <c r="X995" s="40" t="n"/>
      <c r="Y995" s="40" t="n"/>
      <c r="Z995" s="40" t="n"/>
      <c r="AA995" s="39" t="n"/>
    </row>
    <row r="996">
      <c r="A996" s="7" t="n"/>
      <c r="B996" s="7" t="n"/>
      <c r="C996" s="39" t="n"/>
      <c r="D996" s="39" t="n"/>
      <c r="E996" s="7" t="n"/>
      <c r="F996" s="7" t="n"/>
      <c r="G996" s="7" t="n"/>
      <c r="H996" s="39" t="n"/>
      <c r="I996" s="39" t="n"/>
      <c r="J996" s="39" t="n"/>
      <c r="K996" s="39" t="n"/>
      <c r="L996" s="39" t="n"/>
      <c r="M996" s="7" t="n"/>
      <c r="N996" s="7" t="n"/>
      <c r="O996" s="40" t="n"/>
      <c r="P996" s="40" t="n"/>
      <c r="Q996" s="40" t="n"/>
      <c r="R996" s="40" t="n"/>
      <c r="S996" s="40" t="n"/>
      <c r="T996" s="40" t="n"/>
      <c r="U996" s="40" t="n"/>
      <c r="V996" s="40" t="n"/>
      <c r="W996" s="40" t="n"/>
      <c r="X996" s="40" t="n"/>
      <c r="Y996" s="40" t="n"/>
      <c r="Z996" s="40" t="n"/>
      <c r="AA996" s="39" t="n"/>
    </row>
    <row r="997">
      <c r="A997" s="7" t="n"/>
      <c r="B997" s="7" t="n"/>
      <c r="C997" s="39" t="n"/>
      <c r="D997" s="39" t="n"/>
      <c r="E997" s="7" t="n"/>
      <c r="F997" s="7" t="n"/>
      <c r="G997" s="7" t="n"/>
      <c r="H997" s="39" t="n"/>
      <c r="I997" s="39" t="n"/>
      <c r="J997" s="39" t="n"/>
      <c r="K997" s="39" t="n"/>
      <c r="L997" s="39" t="n"/>
      <c r="M997" s="7" t="n"/>
      <c r="N997" s="7" t="n"/>
      <c r="O997" s="40" t="n"/>
      <c r="P997" s="40" t="n"/>
      <c r="Q997" s="40" t="n"/>
      <c r="R997" s="40" t="n"/>
      <c r="S997" s="40" t="n"/>
      <c r="T997" s="40" t="n"/>
      <c r="U997" s="40" t="n"/>
      <c r="V997" s="40" t="n"/>
      <c r="W997" s="40" t="n"/>
      <c r="X997" s="40" t="n"/>
      <c r="Y997" s="40" t="n"/>
      <c r="Z997" s="40" t="n"/>
      <c r="AA997" s="39" t="n"/>
    </row>
    <row r="998">
      <c r="A998" s="7" t="n"/>
      <c r="B998" s="7" t="n"/>
      <c r="C998" s="39" t="n"/>
      <c r="D998" s="39" t="n"/>
      <c r="E998" s="7" t="n"/>
      <c r="F998" s="7" t="n"/>
      <c r="G998" s="7" t="n"/>
      <c r="H998" s="39" t="n"/>
      <c r="I998" s="39" t="n"/>
      <c r="J998" s="39" t="n"/>
      <c r="K998" s="39" t="n"/>
      <c r="L998" s="39" t="n"/>
      <c r="M998" s="7" t="n"/>
      <c r="N998" s="7" t="n"/>
      <c r="O998" s="40" t="n"/>
      <c r="P998" s="40" t="n"/>
      <c r="Q998" s="40" t="n"/>
      <c r="R998" s="40" t="n"/>
      <c r="S998" s="40" t="n"/>
      <c r="T998" s="40" t="n"/>
      <c r="U998" s="40" t="n"/>
      <c r="V998" s="40" t="n"/>
      <c r="W998" s="40" t="n"/>
      <c r="X998" s="40" t="n"/>
      <c r="Y998" s="40" t="n"/>
      <c r="Z998" s="40" t="n"/>
      <c r="AA998" s="39" t="n"/>
    </row>
    <row r="999">
      <c r="A999" s="7" t="n"/>
      <c r="B999" s="7" t="n"/>
      <c r="C999" s="39" t="n"/>
      <c r="D999" s="39" t="n"/>
      <c r="E999" s="7" t="n"/>
      <c r="F999" s="7" t="n"/>
      <c r="G999" s="7" t="n"/>
      <c r="H999" s="39" t="n"/>
      <c r="I999" s="39" t="n"/>
      <c r="J999" s="39" t="n"/>
      <c r="K999" s="39" t="n"/>
      <c r="L999" s="39" t="n"/>
      <c r="M999" s="7" t="n"/>
      <c r="N999" s="7" t="n"/>
      <c r="O999" s="40" t="n"/>
      <c r="P999" s="40" t="n"/>
      <c r="Q999" s="40" t="n"/>
      <c r="R999" s="40" t="n"/>
      <c r="S999" s="40" t="n"/>
      <c r="T999" s="40" t="n"/>
      <c r="U999" s="40" t="n"/>
      <c r="V999" s="40" t="n"/>
      <c r="W999" s="40" t="n"/>
      <c r="X999" s="40" t="n"/>
      <c r="Y999" s="40" t="n"/>
      <c r="Z999" s="40" t="n"/>
      <c r="AA999" s="39" t="n"/>
    </row>
    <row r="1000">
      <c r="A1000" s="7" t="n"/>
      <c r="B1000" s="7" t="n"/>
      <c r="C1000" s="39" t="n"/>
      <c r="D1000" s="39" t="n"/>
      <c r="E1000" s="7" t="n"/>
      <c r="F1000" s="7" t="n"/>
      <c r="G1000" s="7" t="n"/>
      <c r="H1000" s="39" t="n"/>
      <c r="I1000" s="39" t="n"/>
      <c r="J1000" s="39" t="n"/>
      <c r="K1000" s="39" t="n"/>
      <c r="L1000" s="39" t="n"/>
      <c r="M1000" s="7" t="n"/>
      <c r="N1000" s="7" t="n"/>
      <c r="O1000" s="40" t="n"/>
      <c r="P1000" s="40" t="n"/>
      <c r="Q1000" s="40" t="n"/>
      <c r="R1000" s="40" t="n"/>
      <c r="S1000" s="40" t="n"/>
      <c r="T1000" s="40" t="n"/>
      <c r="U1000" s="40" t="n"/>
      <c r="V1000" s="40" t="n"/>
      <c r="W1000" s="40" t="n"/>
      <c r="X1000" s="40" t="n"/>
      <c r="Y1000" s="40" t="n"/>
      <c r="Z1000" s="40" t="n"/>
      <c r="AA1000" s="39" t="n"/>
    </row>
    <row r="1001">
      <c r="A1001" s="7" t="n"/>
      <c r="B1001" s="7" t="n"/>
      <c r="C1001" s="39" t="n"/>
      <c r="D1001" s="39" t="n"/>
      <c r="E1001" s="7" t="n"/>
      <c r="F1001" s="7" t="n"/>
      <c r="G1001" s="7" t="n"/>
      <c r="H1001" s="39" t="n"/>
      <c r="I1001" s="39" t="n"/>
      <c r="J1001" s="39" t="n"/>
      <c r="K1001" s="39" t="n"/>
      <c r="L1001" s="39" t="n"/>
      <c r="M1001" s="7" t="n"/>
      <c r="N1001" s="7" t="n"/>
      <c r="O1001" s="40" t="n"/>
      <c r="P1001" s="40" t="n"/>
      <c r="Q1001" s="40" t="n"/>
      <c r="R1001" s="40" t="n"/>
      <c r="S1001" s="40" t="n"/>
      <c r="T1001" s="40" t="n"/>
      <c r="U1001" s="40" t="n"/>
      <c r="V1001" s="40" t="n"/>
      <c r="W1001" s="40" t="n"/>
      <c r="X1001" s="40" t="n"/>
      <c r="Y1001" s="40" t="n"/>
      <c r="Z1001" s="40" t="n"/>
      <c r="AA1001" s="39" t="n"/>
    </row>
    <row r="1002">
      <c r="A1002" s="7" t="n"/>
      <c r="B1002" s="7" t="n"/>
      <c r="C1002" s="39" t="n"/>
      <c r="D1002" s="39" t="n"/>
      <c r="E1002" s="7" t="n"/>
      <c r="F1002" s="7" t="n"/>
      <c r="G1002" s="7" t="n"/>
      <c r="H1002" s="39" t="n"/>
      <c r="I1002" s="39" t="n"/>
      <c r="J1002" s="39" t="n"/>
      <c r="K1002" s="39" t="n"/>
      <c r="L1002" s="39" t="n"/>
      <c r="M1002" s="7" t="n"/>
      <c r="N1002" s="7" t="n"/>
      <c r="O1002" s="40" t="n"/>
      <c r="P1002" s="40" t="n"/>
      <c r="Q1002" s="40" t="n"/>
      <c r="R1002" s="40" t="n"/>
      <c r="S1002" s="40" t="n"/>
      <c r="T1002" s="40" t="n"/>
      <c r="U1002" s="40" t="n"/>
      <c r="V1002" s="40" t="n"/>
      <c r="W1002" s="40" t="n"/>
      <c r="X1002" s="40" t="n"/>
      <c r="Y1002" s="40" t="n"/>
      <c r="Z1002" s="40" t="n"/>
      <c r="AA1002" s="39" t="n"/>
    </row>
    <row r="1003">
      <c r="A1003" s="7" t="n"/>
      <c r="B1003" s="7" t="n"/>
      <c r="C1003" s="39" t="n"/>
      <c r="D1003" s="39" t="n"/>
      <c r="E1003" s="7" t="n"/>
      <c r="F1003" s="7" t="n"/>
      <c r="G1003" s="7" t="n"/>
      <c r="H1003" s="39" t="n"/>
      <c r="I1003" s="39" t="n"/>
      <c r="J1003" s="39" t="n"/>
      <c r="K1003" s="39" t="n"/>
      <c r="L1003" s="39" t="n"/>
      <c r="M1003" s="7" t="n"/>
      <c r="N1003" s="7" t="n"/>
      <c r="O1003" s="40" t="n"/>
      <c r="P1003" s="40" t="n"/>
      <c r="Q1003" s="40" t="n"/>
      <c r="R1003" s="40" t="n"/>
      <c r="S1003" s="40" t="n"/>
      <c r="T1003" s="40" t="n"/>
      <c r="U1003" s="40" t="n"/>
      <c r="V1003" s="40" t="n"/>
      <c r="W1003" s="40" t="n"/>
      <c r="X1003" s="40" t="n"/>
      <c r="Y1003" s="40" t="n"/>
      <c r="Z1003" s="40" t="n"/>
      <c r="AA1003" s="39" t="n"/>
    </row>
    <row r="1004">
      <c r="A1004" s="7" t="n"/>
      <c r="B1004" s="7" t="n"/>
      <c r="C1004" s="39" t="n"/>
      <c r="D1004" s="39" t="n"/>
      <c r="E1004" s="7" t="n"/>
      <c r="F1004" s="7" t="n"/>
      <c r="G1004" s="7" t="n"/>
      <c r="H1004" s="39" t="n"/>
      <c r="I1004" s="39" t="n"/>
      <c r="J1004" s="39" t="n"/>
      <c r="K1004" s="39" t="n"/>
      <c r="L1004" s="39" t="n"/>
      <c r="M1004" s="7" t="n"/>
      <c r="N1004" s="7" t="n"/>
      <c r="O1004" s="40" t="n"/>
      <c r="P1004" s="40" t="n"/>
      <c r="Q1004" s="40" t="n"/>
      <c r="R1004" s="40" t="n"/>
      <c r="S1004" s="40" t="n"/>
      <c r="T1004" s="40" t="n"/>
      <c r="U1004" s="40" t="n"/>
      <c r="V1004" s="40" t="n"/>
      <c r="W1004" s="40" t="n"/>
      <c r="X1004" s="40" t="n"/>
      <c r="Y1004" s="40" t="n"/>
      <c r="Z1004" s="40" t="n"/>
      <c r="AA1004" s="39" t="n"/>
    </row>
    <row r="1005">
      <c r="A1005" s="7" t="n"/>
      <c r="B1005" s="7" t="n"/>
      <c r="C1005" s="39" t="n"/>
      <c r="D1005" s="39" t="n"/>
      <c r="E1005" s="7" t="n"/>
      <c r="F1005" s="7" t="n"/>
      <c r="G1005" s="7" t="n"/>
      <c r="H1005" s="39" t="n"/>
      <c r="I1005" s="39" t="n"/>
      <c r="J1005" s="39" t="n"/>
      <c r="K1005" s="39" t="n"/>
      <c r="L1005" s="39" t="n"/>
      <c r="M1005" s="7" t="n"/>
      <c r="N1005" s="7" t="n"/>
      <c r="O1005" s="40" t="n"/>
      <c r="P1005" s="40" t="n"/>
      <c r="Q1005" s="40" t="n"/>
      <c r="R1005" s="40" t="n"/>
      <c r="S1005" s="40" t="n"/>
      <c r="T1005" s="40" t="n"/>
      <c r="U1005" s="40" t="n"/>
      <c r="V1005" s="40" t="n"/>
      <c r="W1005" s="40" t="n"/>
      <c r="X1005" s="40" t="n"/>
      <c r="Y1005" s="40" t="n"/>
      <c r="Z1005" s="40" t="n"/>
      <c r="AA1005" s="39" t="n"/>
    </row>
    <row r="1006">
      <c r="A1006" s="7" t="n"/>
      <c r="B1006" s="7" t="n"/>
      <c r="C1006" s="39" t="n"/>
      <c r="D1006" s="39" t="n"/>
      <c r="E1006" s="7" t="n"/>
      <c r="F1006" s="7" t="n"/>
      <c r="G1006" s="7" t="n"/>
      <c r="H1006" s="39" t="n"/>
      <c r="I1006" s="39" t="n"/>
      <c r="J1006" s="39" t="n"/>
      <c r="K1006" s="39" t="n"/>
      <c r="L1006" s="39" t="n"/>
      <c r="M1006" s="7" t="n"/>
      <c r="N1006" s="7" t="n"/>
      <c r="O1006" s="40" t="n"/>
      <c r="P1006" s="40" t="n"/>
      <c r="Q1006" s="40" t="n"/>
      <c r="R1006" s="40" t="n"/>
      <c r="S1006" s="40" t="n"/>
      <c r="T1006" s="40" t="n"/>
      <c r="U1006" s="40" t="n"/>
      <c r="V1006" s="40" t="n"/>
      <c r="W1006" s="40" t="n"/>
      <c r="X1006" s="40" t="n"/>
      <c r="Y1006" s="40" t="n"/>
      <c r="Z1006" s="40" t="n"/>
      <c r="AA1006" s="39" t="n"/>
    </row>
    <row r="1007">
      <c r="A1007" s="7" t="n"/>
      <c r="B1007" s="7" t="n"/>
      <c r="C1007" s="39" t="n"/>
      <c r="D1007" s="39" t="n"/>
      <c r="E1007" s="7" t="n"/>
      <c r="F1007" s="7" t="n"/>
      <c r="G1007" s="7" t="n"/>
      <c r="H1007" s="39" t="n"/>
      <c r="I1007" s="39" t="n"/>
      <c r="J1007" s="39" t="n"/>
      <c r="K1007" s="39" t="n"/>
      <c r="L1007" s="39" t="n"/>
      <c r="M1007" s="7" t="n"/>
      <c r="N1007" s="7" t="n"/>
      <c r="O1007" s="40" t="n"/>
      <c r="P1007" s="40" t="n"/>
      <c r="Q1007" s="40" t="n"/>
      <c r="R1007" s="40" t="n"/>
      <c r="S1007" s="40" t="n"/>
      <c r="T1007" s="40" t="n"/>
      <c r="U1007" s="40" t="n"/>
      <c r="V1007" s="40" t="n"/>
      <c r="W1007" s="40" t="n"/>
      <c r="X1007" s="40" t="n"/>
      <c r="Y1007" s="40" t="n"/>
      <c r="Z1007" s="40" t="n"/>
      <c r="AA1007" s="39" t="n"/>
    </row>
    <row r="1008">
      <c r="A1008" s="7" t="n"/>
      <c r="B1008" s="7" t="n"/>
      <c r="C1008" s="39" t="n"/>
      <c r="D1008" s="39" t="n"/>
      <c r="E1008" s="7" t="n"/>
      <c r="F1008" s="7" t="n"/>
      <c r="G1008" s="7" t="n"/>
      <c r="H1008" s="39" t="n"/>
      <c r="I1008" s="39" t="n"/>
      <c r="J1008" s="39" t="n"/>
      <c r="K1008" s="39" t="n"/>
      <c r="L1008" s="39" t="n"/>
      <c r="M1008" s="7" t="n"/>
      <c r="N1008" s="7" t="n"/>
      <c r="O1008" s="40" t="n"/>
      <c r="P1008" s="40" t="n"/>
      <c r="Q1008" s="40" t="n"/>
      <c r="R1008" s="40" t="n"/>
      <c r="S1008" s="40" t="n"/>
      <c r="T1008" s="40" t="n"/>
      <c r="U1008" s="40" t="n"/>
      <c r="V1008" s="40" t="n"/>
      <c r="W1008" s="40" t="n"/>
      <c r="X1008" s="40" t="n"/>
      <c r="Y1008" s="40" t="n"/>
      <c r="Z1008" s="40" t="n"/>
      <c r="AA1008" s="39" t="n"/>
    </row>
    <row r="1009">
      <c r="A1009" s="7" t="n"/>
      <c r="B1009" s="7" t="n"/>
      <c r="C1009" s="39" t="n"/>
      <c r="D1009" s="39" t="n"/>
      <c r="E1009" s="7" t="n"/>
      <c r="F1009" s="7" t="n"/>
      <c r="G1009" s="7" t="n"/>
      <c r="H1009" s="39" t="n"/>
      <c r="I1009" s="39" t="n"/>
      <c r="J1009" s="39" t="n"/>
      <c r="K1009" s="39" t="n"/>
      <c r="L1009" s="39" t="n"/>
      <c r="M1009" s="7" t="n"/>
      <c r="N1009" s="7" t="n"/>
      <c r="O1009" s="40" t="n"/>
      <c r="P1009" s="40" t="n"/>
      <c r="Q1009" s="40" t="n"/>
      <c r="R1009" s="40" t="n"/>
      <c r="S1009" s="40" t="n"/>
      <c r="T1009" s="40" t="n"/>
      <c r="U1009" s="40" t="n"/>
      <c r="V1009" s="40" t="n"/>
      <c r="W1009" s="40" t="n"/>
      <c r="X1009" s="40" t="n"/>
      <c r="Y1009" s="40" t="n"/>
      <c r="Z1009" s="40" t="n"/>
      <c r="AA1009" s="39" t="n"/>
    </row>
    <row r="1010">
      <c r="A1010" s="7" t="n"/>
      <c r="B1010" s="7" t="n"/>
      <c r="C1010" s="39" t="n"/>
      <c r="D1010" s="39" t="n"/>
      <c r="E1010" s="7" t="n"/>
      <c r="F1010" s="7" t="n"/>
      <c r="G1010" s="7" t="n"/>
      <c r="H1010" s="39" t="n"/>
      <c r="I1010" s="39" t="n"/>
      <c r="J1010" s="39" t="n"/>
      <c r="K1010" s="39" t="n"/>
      <c r="L1010" s="39" t="n"/>
      <c r="M1010" s="7" t="n"/>
      <c r="N1010" s="7" t="n"/>
      <c r="O1010" s="40" t="n"/>
      <c r="P1010" s="40" t="n"/>
      <c r="Q1010" s="40" t="n"/>
      <c r="R1010" s="40" t="n"/>
      <c r="S1010" s="40" t="n"/>
      <c r="T1010" s="40" t="n"/>
      <c r="U1010" s="40" t="n"/>
      <c r="V1010" s="40" t="n"/>
      <c r="W1010" s="40" t="n"/>
      <c r="X1010" s="40" t="n"/>
      <c r="Y1010" s="40" t="n"/>
      <c r="Z1010" s="40" t="n"/>
      <c r="AA1010" s="39" t="n"/>
    </row>
    <row r="1011">
      <c r="A1011" s="7" t="n"/>
      <c r="B1011" s="7" t="n"/>
      <c r="C1011" s="39" t="n"/>
      <c r="D1011" s="39" t="n"/>
      <c r="E1011" s="7" t="n"/>
      <c r="F1011" s="7" t="n"/>
      <c r="G1011" s="7" t="n"/>
      <c r="H1011" s="39" t="n"/>
      <c r="I1011" s="39" t="n"/>
      <c r="J1011" s="39" t="n"/>
      <c r="K1011" s="39" t="n"/>
      <c r="L1011" s="39" t="n"/>
      <c r="M1011" s="7" t="n"/>
      <c r="N1011" s="7" t="n"/>
      <c r="O1011" s="40" t="n"/>
      <c r="P1011" s="40" t="n"/>
      <c r="Q1011" s="40" t="n"/>
      <c r="R1011" s="40" t="n"/>
      <c r="S1011" s="40" t="n"/>
      <c r="T1011" s="40" t="n"/>
      <c r="U1011" s="40" t="n"/>
      <c r="V1011" s="40" t="n"/>
      <c r="W1011" s="40" t="n"/>
      <c r="X1011" s="40" t="n"/>
      <c r="Y1011" s="40" t="n"/>
      <c r="Z1011" s="40" t="n"/>
      <c r="AA1011" s="39" t="n"/>
    </row>
    <row r="1012">
      <c r="A1012" s="7" t="n"/>
      <c r="B1012" s="7" t="n"/>
      <c r="C1012" s="39" t="n"/>
      <c r="D1012" s="39" t="n"/>
      <c r="E1012" s="7" t="n"/>
      <c r="F1012" s="7" t="n"/>
      <c r="G1012" s="7" t="n"/>
      <c r="H1012" s="39" t="n"/>
      <c r="I1012" s="39" t="n"/>
      <c r="J1012" s="39" t="n"/>
      <c r="K1012" s="39" t="n"/>
      <c r="L1012" s="39" t="n"/>
      <c r="M1012" s="7" t="n"/>
      <c r="N1012" s="7" t="n"/>
      <c r="O1012" s="40" t="n"/>
      <c r="P1012" s="40" t="n"/>
      <c r="Q1012" s="40" t="n"/>
      <c r="R1012" s="40" t="n"/>
      <c r="S1012" s="40" t="n"/>
      <c r="T1012" s="40" t="n"/>
      <c r="U1012" s="40" t="n"/>
      <c r="V1012" s="40" t="n"/>
      <c r="W1012" s="40" t="n"/>
      <c r="X1012" s="40" t="n"/>
      <c r="Y1012" s="40" t="n"/>
      <c r="Z1012" s="40" t="n"/>
      <c r="AA1012" s="39" t="n"/>
    </row>
    <row r="1013">
      <c r="A1013" s="7" t="n"/>
      <c r="B1013" s="7" t="n"/>
      <c r="C1013" s="39" t="n"/>
      <c r="D1013" s="39" t="n"/>
      <c r="E1013" s="7" t="n"/>
      <c r="F1013" s="7" t="n"/>
      <c r="G1013" s="7" t="n"/>
      <c r="H1013" s="39" t="n"/>
      <c r="I1013" s="39" t="n"/>
      <c r="J1013" s="39" t="n"/>
      <c r="K1013" s="39" t="n"/>
      <c r="L1013" s="39" t="n"/>
      <c r="M1013" s="7" t="n"/>
      <c r="N1013" s="7" t="n"/>
      <c r="O1013" s="40" t="n"/>
      <c r="P1013" s="40" t="n"/>
      <c r="Q1013" s="40" t="n"/>
      <c r="R1013" s="40" t="n"/>
      <c r="S1013" s="40" t="n"/>
      <c r="T1013" s="40" t="n"/>
      <c r="U1013" s="40" t="n"/>
      <c r="V1013" s="40" t="n"/>
      <c r="W1013" s="40" t="n"/>
      <c r="X1013" s="40" t="n"/>
      <c r="Y1013" s="40" t="n"/>
      <c r="Z1013" s="40" t="n"/>
      <c r="AA1013" s="39" t="n"/>
    </row>
    <row r="1014">
      <c r="A1014" s="7" t="n"/>
      <c r="B1014" s="7" t="n"/>
      <c r="C1014" s="39" t="n"/>
      <c r="D1014" s="39" t="n"/>
      <c r="E1014" s="7" t="n"/>
      <c r="F1014" s="7" t="n"/>
      <c r="G1014" s="7" t="n"/>
      <c r="H1014" s="39" t="n"/>
      <c r="I1014" s="39" t="n"/>
      <c r="J1014" s="39" t="n"/>
      <c r="K1014" s="39" t="n"/>
      <c r="L1014" s="39" t="n"/>
      <c r="M1014" s="7" t="n"/>
      <c r="N1014" s="7" t="n"/>
      <c r="O1014" s="40" t="n"/>
      <c r="P1014" s="40" t="n"/>
      <c r="Q1014" s="40" t="n"/>
      <c r="R1014" s="40" t="n"/>
      <c r="S1014" s="40" t="n"/>
      <c r="T1014" s="40" t="n"/>
      <c r="U1014" s="40" t="n"/>
      <c r="V1014" s="40" t="n"/>
      <c r="W1014" s="40" t="n"/>
      <c r="X1014" s="40" t="n"/>
      <c r="Y1014" s="40" t="n"/>
      <c r="Z1014" s="40" t="n"/>
      <c r="AA1014" s="39" t="n"/>
    </row>
    <row r="1015">
      <c r="A1015" s="7" t="n"/>
      <c r="B1015" s="7" t="n"/>
      <c r="C1015" s="39" t="n"/>
      <c r="D1015" s="39" t="n"/>
      <c r="E1015" s="7" t="n"/>
      <c r="F1015" s="7" t="n"/>
      <c r="G1015" s="7" t="n"/>
      <c r="H1015" s="39" t="n"/>
      <c r="I1015" s="39" t="n"/>
      <c r="J1015" s="39" t="n"/>
      <c r="K1015" s="39" t="n"/>
      <c r="L1015" s="39" t="n"/>
      <c r="M1015" s="7" t="n"/>
      <c r="N1015" s="7" t="n"/>
      <c r="O1015" s="40" t="n"/>
      <c r="P1015" s="40" t="n"/>
      <c r="Q1015" s="40" t="n"/>
      <c r="R1015" s="40" t="n"/>
      <c r="S1015" s="40" t="n"/>
      <c r="T1015" s="40" t="n"/>
      <c r="U1015" s="40" t="n"/>
      <c r="V1015" s="40" t="n"/>
      <c r="W1015" s="40" t="n"/>
      <c r="X1015" s="40" t="n"/>
      <c r="Y1015" s="40" t="n"/>
      <c r="Z1015" s="40" t="n"/>
      <c r="AA1015" s="39" t="n"/>
    </row>
    <row r="1016">
      <c r="A1016" s="7" t="n"/>
      <c r="B1016" s="7" t="n"/>
      <c r="C1016" s="39" t="n"/>
      <c r="D1016" s="39" t="n"/>
      <c r="E1016" s="7" t="n"/>
      <c r="F1016" s="7" t="n"/>
      <c r="G1016" s="7" t="n"/>
      <c r="H1016" s="39" t="n"/>
      <c r="I1016" s="39" t="n"/>
      <c r="J1016" s="39" t="n"/>
      <c r="K1016" s="39" t="n"/>
      <c r="L1016" s="39" t="n"/>
      <c r="M1016" s="7" t="n"/>
      <c r="N1016" s="7" t="n"/>
      <c r="O1016" s="40" t="n"/>
      <c r="P1016" s="40" t="n"/>
      <c r="Q1016" s="40" t="n"/>
      <c r="R1016" s="40" t="n"/>
      <c r="S1016" s="40" t="n"/>
      <c r="T1016" s="40" t="n"/>
      <c r="U1016" s="40" t="n"/>
      <c r="V1016" s="40" t="n"/>
      <c r="W1016" s="40" t="n"/>
      <c r="X1016" s="40" t="n"/>
      <c r="Y1016" s="40" t="n"/>
      <c r="Z1016" s="40" t="n"/>
      <c r="AA1016" s="39" t="n"/>
    </row>
    <row r="1017">
      <c r="A1017" s="7" t="n"/>
      <c r="B1017" s="7" t="n"/>
      <c r="C1017" s="39" t="n"/>
      <c r="D1017" s="39" t="n"/>
      <c r="E1017" s="7" t="n"/>
      <c r="F1017" s="7" t="n"/>
      <c r="G1017" s="7" t="n"/>
      <c r="H1017" s="39" t="n"/>
      <c r="I1017" s="39" t="n"/>
      <c r="J1017" s="39" t="n"/>
      <c r="K1017" s="39" t="n"/>
      <c r="L1017" s="39" t="n"/>
      <c r="M1017" s="7" t="n"/>
      <c r="N1017" s="7" t="n"/>
      <c r="O1017" s="40" t="n"/>
      <c r="P1017" s="40" t="n"/>
      <c r="Q1017" s="40" t="n"/>
      <c r="R1017" s="40" t="n"/>
      <c r="S1017" s="40" t="n"/>
      <c r="T1017" s="40" t="n"/>
      <c r="U1017" s="40" t="n"/>
      <c r="V1017" s="40" t="n"/>
      <c r="W1017" s="40" t="n"/>
      <c r="X1017" s="40" t="n"/>
      <c r="Y1017" s="40" t="n"/>
      <c r="Z1017" s="40" t="n"/>
      <c r="AA1017" s="39" t="n"/>
    </row>
    <row r="1018">
      <c r="A1018" s="7" t="n"/>
      <c r="B1018" s="7" t="n"/>
      <c r="C1018" s="39" t="n"/>
      <c r="D1018" s="39" t="n"/>
      <c r="E1018" s="7" t="n"/>
      <c r="F1018" s="7" t="n"/>
      <c r="G1018" s="7" t="n"/>
      <c r="H1018" s="39" t="n"/>
      <c r="I1018" s="39" t="n"/>
      <c r="J1018" s="39" t="n"/>
      <c r="K1018" s="39" t="n"/>
      <c r="L1018" s="39" t="n"/>
      <c r="M1018" s="7" t="n"/>
      <c r="N1018" s="7" t="n"/>
      <c r="O1018" s="40" t="n"/>
      <c r="P1018" s="40" t="n"/>
      <c r="Q1018" s="40" t="n"/>
      <c r="R1018" s="40" t="n"/>
      <c r="S1018" s="40" t="n"/>
      <c r="T1018" s="40" t="n"/>
      <c r="U1018" s="40" t="n"/>
      <c r="V1018" s="40" t="n"/>
      <c r="W1018" s="40" t="n"/>
      <c r="X1018" s="40" t="n"/>
      <c r="Y1018" s="40" t="n"/>
      <c r="Z1018" s="40" t="n"/>
      <c r="AA1018" s="39" t="n"/>
    </row>
    <row r="1019">
      <c r="A1019" s="7" t="n"/>
      <c r="B1019" s="7" t="n"/>
      <c r="C1019" s="39" t="n"/>
      <c r="D1019" s="39" t="n"/>
      <c r="E1019" s="7" t="n"/>
      <c r="F1019" s="7" t="n"/>
      <c r="G1019" s="7" t="n"/>
      <c r="H1019" s="39" t="n"/>
      <c r="I1019" s="39" t="n"/>
      <c r="J1019" s="39" t="n"/>
      <c r="K1019" s="39" t="n"/>
      <c r="L1019" s="39" t="n"/>
      <c r="M1019" s="7" t="n"/>
      <c r="N1019" s="7" t="n"/>
      <c r="O1019" s="40" t="n"/>
      <c r="P1019" s="40" t="n"/>
      <c r="Q1019" s="40" t="n"/>
      <c r="R1019" s="40" t="n"/>
      <c r="S1019" s="40" t="n"/>
      <c r="T1019" s="40" t="n"/>
      <c r="U1019" s="40" t="n"/>
      <c r="V1019" s="40" t="n"/>
      <c r="W1019" s="40" t="n"/>
      <c r="X1019" s="40" t="n"/>
      <c r="Y1019" s="40" t="n"/>
      <c r="Z1019" s="40" t="n"/>
      <c r="AA1019" s="39" t="n"/>
    </row>
    <row r="1020">
      <c r="A1020" s="7" t="n"/>
      <c r="B1020" s="7" t="n"/>
      <c r="C1020" s="39" t="n"/>
      <c r="D1020" s="39" t="n"/>
      <c r="E1020" s="7" t="n"/>
      <c r="F1020" s="7" t="n"/>
      <c r="G1020" s="7" t="n"/>
      <c r="H1020" s="39" t="n"/>
      <c r="I1020" s="39" t="n"/>
      <c r="J1020" s="39" t="n"/>
      <c r="K1020" s="39" t="n"/>
      <c r="L1020" s="39" t="n"/>
      <c r="M1020" s="7" t="n"/>
      <c r="N1020" s="7" t="n"/>
      <c r="O1020" s="40" t="n"/>
      <c r="P1020" s="40" t="n"/>
      <c r="Q1020" s="40" t="n"/>
      <c r="R1020" s="40" t="n"/>
      <c r="S1020" s="40" t="n"/>
      <c r="T1020" s="40" t="n"/>
      <c r="U1020" s="40" t="n"/>
      <c r="V1020" s="40" t="n"/>
      <c r="W1020" s="40" t="n"/>
      <c r="X1020" s="40" t="n"/>
      <c r="Y1020" s="40" t="n"/>
      <c r="Z1020" s="40" t="n"/>
      <c r="AA1020" s="39" t="n"/>
    </row>
    <row r="1021">
      <c r="A1021" s="7" t="n"/>
      <c r="B1021" s="7" t="n"/>
      <c r="C1021" s="39" t="n"/>
      <c r="D1021" s="39" t="n"/>
      <c r="E1021" s="7" t="n"/>
      <c r="F1021" s="7" t="n"/>
      <c r="G1021" s="7" t="n"/>
      <c r="H1021" s="39" t="n"/>
      <c r="I1021" s="39" t="n"/>
      <c r="J1021" s="39" t="n"/>
      <c r="K1021" s="39" t="n"/>
      <c r="L1021" s="39" t="n"/>
      <c r="M1021" s="7" t="n"/>
      <c r="N1021" s="7" t="n"/>
      <c r="O1021" s="40" t="n"/>
      <c r="P1021" s="40" t="n"/>
      <c r="Q1021" s="40" t="n"/>
      <c r="R1021" s="40" t="n"/>
      <c r="S1021" s="40" t="n"/>
      <c r="T1021" s="40" t="n"/>
      <c r="U1021" s="40" t="n"/>
      <c r="V1021" s="40" t="n"/>
      <c r="W1021" s="40" t="n"/>
      <c r="X1021" s="40" t="n"/>
      <c r="Y1021" s="40" t="n"/>
      <c r="Z1021" s="40" t="n"/>
      <c r="AA1021" s="39" t="n"/>
    </row>
    <row r="1022">
      <c r="A1022" s="7" t="n"/>
      <c r="B1022" s="7" t="n"/>
      <c r="C1022" s="39" t="n"/>
      <c r="D1022" s="39" t="n"/>
      <c r="E1022" s="7" t="n"/>
      <c r="F1022" s="7" t="n"/>
      <c r="G1022" s="7" t="n"/>
      <c r="H1022" s="39" t="n"/>
      <c r="I1022" s="39" t="n"/>
      <c r="J1022" s="39" t="n"/>
      <c r="K1022" s="39" t="n"/>
      <c r="L1022" s="39" t="n"/>
      <c r="M1022" s="7" t="n"/>
      <c r="N1022" s="7" t="n"/>
      <c r="O1022" s="40" t="n"/>
      <c r="P1022" s="40" t="n"/>
      <c r="Q1022" s="40" t="n"/>
      <c r="R1022" s="40" t="n"/>
      <c r="S1022" s="40" t="n"/>
      <c r="T1022" s="40" t="n"/>
      <c r="U1022" s="40" t="n"/>
      <c r="V1022" s="40" t="n"/>
      <c r="W1022" s="40" t="n"/>
      <c r="X1022" s="40" t="n"/>
      <c r="Y1022" s="40" t="n"/>
      <c r="Z1022" s="40" t="n"/>
      <c r="AA1022" s="39" t="n"/>
    </row>
    <row r="1023">
      <c r="A1023" s="7" t="n"/>
      <c r="B1023" s="7" t="n"/>
      <c r="C1023" s="39" t="n"/>
      <c r="D1023" s="39" t="n"/>
      <c r="E1023" s="7" t="n"/>
      <c r="F1023" s="7" t="n"/>
      <c r="G1023" s="7" t="n"/>
      <c r="H1023" s="39" t="n"/>
      <c r="I1023" s="39" t="n"/>
      <c r="J1023" s="39" t="n"/>
      <c r="K1023" s="39" t="n"/>
      <c r="L1023" s="39" t="n"/>
      <c r="M1023" s="7" t="n"/>
      <c r="N1023" s="7" t="n"/>
      <c r="O1023" s="40" t="n"/>
      <c r="P1023" s="40" t="n"/>
      <c r="Q1023" s="40" t="n"/>
      <c r="R1023" s="40" t="n"/>
      <c r="S1023" s="40" t="n"/>
      <c r="T1023" s="40" t="n"/>
      <c r="U1023" s="40" t="n"/>
      <c r="V1023" s="40" t="n"/>
      <c r="W1023" s="40" t="n"/>
      <c r="X1023" s="40" t="n"/>
      <c r="Y1023" s="40" t="n"/>
      <c r="Z1023" s="40" t="n"/>
      <c r="AA1023" s="39" t="n"/>
    </row>
    <row r="1024">
      <c r="A1024" s="7" t="n"/>
      <c r="B1024" s="7" t="n"/>
      <c r="C1024" s="39" t="n"/>
      <c r="D1024" s="39" t="n"/>
      <c r="E1024" s="7" t="n"/>
      <c r="F1024" s="7" t="n"/>
      <c r="G1024" s="7" t="n"/>
      <c r="H1024" s="39" t="n"/>
      <c r="I1024" s="39" t="n"/>
      <c r="J1024" s="39" t="n"/>
      <c r="K1024" s="39" t="n"/>
      <c r="L1024" s="39" t="n"/>
      <c r="M1024" s="7" t="n"/>
      <c r="N1024" s="7" t="n"/>
      <c r="O1024" s="40" t="n"/>
      <c r="P1024" s="40" t="n"/>
      <c r="Q1024" s="40" t="n"/>
      <c r="R1024" s="40" t="n"/>
      <c r="S1024" s="40" t="n"/>
      <c r="T1024" s="40" t="n"/>
      <c r="U1024" s="40" t="n"/>
      <c r="V1024" s="40" t="n"/>
      <c r="W1024" s="40" t="n"/>
      <c r="X1024" s="40" t="n"/>
      <c r="Y1024" s="40" t="n"/>
      <c r="Z1024" s="40" t="n"/>
      <c r="AA1024" s="39" t="n"/>
    </row>
    <row r="1025">
      <c r="A1025" s="7" t="n"/>
      <c r="B1025" s="7" t="n"/>
      <c r="C1025" s="39" t="n"/>
      <c r="D1025" s="39" t="n"/>
      <c r="E1025" s="7" t="n"/>
      <c r="F1025" s="7" t="n"/>
      <c r="G1025" s="7" t="n"/>
      <c r="H1025" s="39" t="n"/>
      <c r="I1025" s="39" t="n"/>
      <c r="J1025" s="39" t="n"/>
      <c r="K1025" s="39" t="n"/>
      <c r="L1025" s="39" t="n"/>
      <c r="M1025" s="7" t="n"/>
      <c r="N1025" s="7" t="n"/>
      <c r="O1025" s="40" t="n"/>
      <c r="P1025" s="40" t="n"/>
      <c r="Q1025" s="40" t="n"/>
      <c r="R1025" s="40" t="n"/>
      <c r="S1025" s="40" t="n"/>
      <c r="T1025" s="40" t="n"/>
      <c r="U1025" s="40" t="n"/>
      <c r="V1025" s="40" t="n"/>
      <c r="W1025" s="40" t="n"/>
      <c r="X1025" s="40" t="n"/>
      <c r="Y1025" s="40" t="n"/>
      <c r="Z1025" s="40" t="n"/>
      <c r="AA1025" s="39" t="n"/>
    </row>
    <row r="1026">
      <c r="A1026" s="7" t="n"/>
      <c r="B1026" s="7" t="n"/>
      <c r="C1026" s="39" t="n"/>
      <c r="D1026" s="39" t="n"/>
      <c r="E1026" s="7" t="n"/>
      <c r="F1026" s="7" t="n"/>
      <c r="G1026" s="7" t="n"/>
      <c r="H1026" s="39" t="n"/>
      <c r="I1026" s="39" t="n"/>
      <c r="J1026" s="39" t="n"/>
      <c r="K1026" s="39" t="n"/>
      <c r="L1026" s="39" t="n"/>
      <c r="M1026" s="7" t="n"/>
      <c r="N1026" s="7" t="n"/>
      <c r="O1026" s="40" t="n"/>
      <c r="P1026" s="40" t="n"/>
      <c r="Q1026" s="40" t="n"/>
      <c r="R1026" s="40" t="n"/>
      <c r="S1026" s="40" t="n"/>
      <c r="T1026" s="40" t="n"/>
      <c r="U1026" s="40" t="n"/>
      <c r="V1026" s="40" t="n"/>
      <c r="W1026" s="40" t="n"/>
      <c r="X1026" s="40" t="n"/>
      <c r="Y1026" s="40" t="n"/>
      <c r="Z1026" s="40" t="n"/>
      <c r="AA1026" s="39" t="n"/>
    </row>
    <row r="1027">
      <c r="A1027" s="7" t="n"/>
      <c r="B1027" s="7" t="n"/>
      <c r="C1027" s="39" t="n"/>
      <c r="D1027" s="39" t="n"/>
      <c r="E1027" s="7" t="n"/>
      <c r="F1027" s="7" t="n"/>
      <c r="G1027" s="7" t="n"/>
      <c r="H1027" s="39" t="n"/>
      <c r="I1027" s="39" t="n"/>
      <c r="J1027" s="39" t="n"/>
      <c r="K1027" s="39" t="n"/>
      <c r="L1027" s="39" t="n"/>
      <c r="M1027" s="7" t="n"/>
      <c r="N1027" s="7" t="n"/>
      <c r="O1027" s="40" t="n"/>
      <c r="P1027" s="40" t="n"/>
      <c r="Q1027" s="40" t="n"/>
      <c r="R1027" s="40" t="n"/>
      <c r="S1027" s="40" t="n"/>
      <c r="T1027" s="40" t="n"/>
      <c r="U1027" s="40" t="n"/>
      <c r="V1027" s="40" t="n"/>
      <c r="W1027" s="40" t="n"/>
      <c r="X1027" s="40" t="n"/>
      <c r="Y1027" s="40" t="n"/>
      <c r="Z1027" s="40" t="n"/>
      <c r="AA1027" s="39" t="n"/>
    </row>
    <row r="1028">
      <c r="A1028" s="7" t="n"/>
      <c r="B1028" s="7" t="n"/>
      <c r="C1028" s="39" t="n"/>
      <c r="D1028" s="39" t="n"/>
      <c r="E1028" s="7" t="n"/>
      <c r="F1028" s="7" t="n"/>
      <c r="G1028" s="7" t="n"/>
      <c r="H1028" s="39" t="n"/>
      <c r="I1028" s="39" t="n"/>
      <c r="J1028" s="39" t="n"/>
      <c r="K1028" s="39" t="n"/>
      <c r="L1028" s="39" t="n"/>
      <c r="M1028" s="7" t="n"/>
      <c r="N1028" s="7" t="n"/>
      <c r="O1028" s="40" t="n"/>
      <c r="P1028" s="40" t="n"/>
      <c r="Q1028" s="40" t="n"/>
      <c r="R1028" s="40" t="n"/>
      <c r="S1028" s="40" t="n"/>
      <c r="T1028" s="40" t="n"/>
      <c r="U1028" s="40" t="n"/>
      <c r="V1028" s="40" t="n"/>
      <c r="W1028" s="40" t="n"/>
      <c r="X1028" s="40" t="n"/>
      <c r="Y1028" s="40" t="n"/>
      <c r="Z1028" s="40" t="n"/>
      <c r="AA1028" s="39" t="n"/>
    </row>
    <row r="1029">
      <c r="A1029" s="7" t="n"/>
      <c r="B1029" s="7" t="n"/>
      <c r="C1029" s="39" t="n"/>
      <c r="D1029" s="39" t="n"/>
      <c r="E1029" s="7" t="n"/>
      <c r="F1029" s="7" t="n"/>
      <c r="G1029" s="7" t="n"/>
      <c r="H1029" s="39" t="n"/>
      <c r="I1029" s="39" t="n"/>
      <c r="J1029" s="39" t="n"/>
      <c r="K1029" s="39" t="n"/>
      <c r="L1029" s="39" t="n"/>
      <c r="M1029" s="7" t="n"/>
      <c r="N1029" s="7" t="n"/>
      <c r="O1029" s="40" t="n"/>
      <c r="P1029" s="40" t="n"/>
      <c r="Q1029" s="40" t="n"/>
      <c r="R1029" s="40" t="n"/>
      <c r="S1029" s="40" t="n"/>
      <c r="T1029" s="40" t="n"/>
      <c r="U1029" s="40" t="n"/>
      <c r="V1029" s="40" t="n"/>
      <c r="W1029" s="40" t="n"/>
      <c r="X1029" s="40" t="n"/>
      <c r="Y1029" s="40" t="n"/>
      <c r="Z1029" s="40" t="n"/>
      <c r="AA1029" s="39" t="n"/>
    </row>
    <row r="1030">
      <c r="A1030" s="7" t="n"/>
      <c r="B1030" s="7" t="n"/>
      <c r="C1030" s="39" t="n"/>
      <c r="D1030" s="39" t="n"/>
      <c r="E1030" s="7" t="n"/>
      <c r="F1030" s="7" t="n"/>
      <c r="G1030" s="7" t="n"/>
      <c r="H1030" s="39" t="n"/>
      <c r="I1030" s="39" t="n"/>
      <c r="J1030" s="39" t="n"/>
      <c r="K1030" s="39" t="n"/>
      <c r="L1030" s="39" t="n"/>
      <c r="M1030" s="7" t="n"/>
      <c r="N1030" s="7" t="n"/>
      <c r="O1030" s="40" t="n"/>
      <c r="P1030" s="40" t="n"/>
      <c r="Q1030" s="40" t="n"/>
      <c r="R1030" s="40" t="n"/>
      <c r="S1030" s="40" t="n"/>
      <c r="T1030" s="40" t="n"/>
      <c r="U1030" s="40" t="n"/>
      <c r="V1030" s="40" t="n"/>
      <c r="W1030" s="40" t="n"/>
      <c r="X1030" s="40" t="n"/>
      <c r="Y1030" s="40" t="n"/>
      <c r="Z1030" s="40" t="n"/>
      <c r="AA1030" s="39" t="n"/>
    </row>
    <row r="1031">
      <c r="A1031" s="7" t="n"/>
      <c r="B1031" s="7" t="n"/>
      <c r="C1031" s="39" t="n"/>
      <c r="D1031" s="39" t="n"/>
      <c r="E1031" s="7" t="n"/>
      <c r="F1031" s="7" t="n"/>
      <c r="G1031" s="7" t="n"/>
      <c r="H1031" s="39" t="n"/>
      <c r="I1031" s="39" t="n"/>
      <c r="J1031" s="39" t="n"/>
      <c r="K1031" s="39" t="n"/>
      <c r="L1031" s="39" t="n"/>
      <c r="M1031" s="7" t="n"/>
      <c r="N1031" s="7" t="n"/>
      <c r="O1031" s="40" t="n"/>
      <c r="P1031" s="40" t="n"/>
      <c r="Q1031" s="40" t="n"/>
      <c r="R1031" s="40" t="n"/>
      <c r="S1031" s="40" t="n"/>
      <c r="T1031" s="40" t="n"/>
      <c r="U1031" s="40" t="n"/>
      <c r="V1031" s="40" t="n"/>
      <c r="W1031" s="40" t="n"/>
      <c r="X1031" s="40" t="n"/>
      <c r="Y1031" s="40" t="n"/>
      <c r="Z1031" s="40" t="n"/>
      <c r="AA1031" s="39" t="n"/>
    </row>
    <row r="1032">
      <c r="A1032" s="7" t="n"/>
      <c r="B1032" s="7" t="n"/>
      <c r="C1032" s="39" t="n"/>
      <c r="D1032" s="39" t="n"/>
      <c r="E1032" s="7" t="n"/>
      <c r="F1032" s="7" t="n"/>
      <c r="G1032" s="7" t="n"/>
      <c r="H1032" s="39" t="n"/>
      <c r="I1032" s="39" t="n"/>
      <c r="J1032" s="39" t="n"/>
      <c r="K1032" s="39" t="n"/>
      <c r="L1032" s="39" t="n"/>
      <c r="M1032" s="7" t="n"/>
      <c r="N1032" s="7" t="n"/>
      <c r="O1032" s="40" t="n"/>
      <c r="P1032" s="40" t="n"/>
      <c r="Q1032" s="40" t="n"/>
      <c r="R1032" s="40" t="n"/>
      <c r="S1032" s="40" t="n"/>
      <c r="T1032" s="40" t="n"/>
      <c r="U1032" s="40" t="n"/>
      <c r="V1032" s="40" t="n"/>
      <c r="W1032" s="40" t="n"/>
      <c r="X1032" s="40" t="n"/>
      <c r="Y1032" s="40" t="n"/>
      <c r="Z1032" s="40" t="n"/>
      <c r="AA1032" s="39" t="n"/>
    </row>
    <row r="1033">
      <c r="A1033" s="7" t="n"/>
      <c r="B1033" s="7" t="n"/>
      <c r="C1033" s="39" t="n"/>
      <c r="D1033" s="39" t="n"/>
      <c r="E1033" s="7" t="n"/>
      <c r="F1033" s="7" t="n"/>
      <c r="G1033" s="7" t="n"/>
      <c r="H1033" s="39" t="n"/>
      <c r="I1033" s="39" t="n"/>
      <c r="J1033" s="39" t="n"/>
      <c r="K1033" s="39" t="n"/>
      <c r="L1033" s="39" t="n"/>
      <c r="M1033" s="7" t="n"/>
      <c r="N1033" s="7" t="n"/>
      <c r="O1033" s="40" t="n"/>
      <c r="P1033" s="40" t="n"/>
      <c r="Q1033" s="40" t="n"/>
      <c r="R1033" s="40" t="n"/>
      <c r="S1033" s="40" t="n"/>
      <c r="T1033" s="40" t="n"/>
      <c r="U1033" s="40" t="n"/>
      <c r="V1033" s="40" t="n"/>
      <c r="W1033" s="40" t="n"/>
      <c r="X1033" s="40" t="n"/>
      <c r="Y1033" s="40" t="n"/>
      <c r="Z1033" s="40" t="n"/>
      <c r="AA1033" s="39" t="n"/>
    </row>
    <row r="1034">
      <c r="A1034" s="7" t="n"/>
      <c r="B1034" s="7" t="n"/>
      <c r="C1034" s="39" t="n"/>
      <c r="D1034" s="39" t="n"/>
      <c r="E1034" s="7" t="n"/>
      <c r="F1034" s="7" t="n"/>
      <c r="G1034" s="7" t="n"/>
      <c r="H1034" s="39" t="n"/>
      <c r="I1034" s="39" t="n"/>
      <c r="J1034" s="39" t="n"/>
      <c r="K1034" s="39" t="n"/>
      <c r="L1034" s="39" t="n"/>
      <c r="M1034" s="7" t="n"/>
      <c r="N1034" s="7" t="n"/>
      <c r="O1034" s="40" t="n"/>
      <c r="P1034" s="40" t="n"/>
      <c r="Q1034" s="40" t="n"/>
      <c r="R1034" s="40" t="n"/>
      <c r="S1034" s="40" t="n"/>
      <c r="T1034" s="40" t="n"/>
      <c r="U1034" s="40" t="n"/>
      <c r="V1034" s="40" t="n"/>
      <c r="W1034" s="40" t="n"/>
      <c r="X1034" s="40" t="n"/>
      <c r="Y1034" s="40" t="n"/>
      <c r="Z1034" s="40" t="n"/>
      <c r="AA1034" s="39" t="n"/>
    </row>
    <row r="1035">
      <c r="A1035" s="7" t="n"/>
      <c r="B1035" s="7" t="n"/>
      <c r="C1035" s="39" t="n"/>
      <c r="D1035" s="39" t="n"/>
      <c r="E1035" s="7" t="n"/>
      <c r="F1035" s="7" t="n"/>
      <c r="G1035" s="7" t="n"/>
      <c r="H1035" s="39" t="n"/>
      <c r="I1035" s="39" t="n"/>
      <c r="J1035" s="39" t="n"/>
      <c r="K1035" s="39" t="n"/>
      <c r="L1035" s="39" t="n"/>
      <c r="M1035" s="7" t="n"/>
      <c r="N1035" s="7" t="n"/>
      <c r="O1035" s="40" t="n"/>
      <c r="P1035" s="40" t="n"/>
      <c r="Q1035" s="40" t="n"/>
      <c r="R1035" s="40" t="n"/>
      <c r="S1035" s="40" t="n"/>
      <c r="T1035" s="40" t="n"/>
      <c r="U1035" s="40" t="n"/>
      <c r="V1035" s="40" t="n"/>
      <c r="W1035" s="40" t="n"/>
      <c r="X1035" s="40" t="n"/>
      <c r="Y1035" s="40" t="n"/>
      <c r="Z1035" s="40" t="n"/>
      <c r="AA1035" s="39" t="n"/>
    </row>
    <row r="1036">
      <c r="A1036" s="7" t="n"/>
      <c r="B1036" s="7" t="n"/>
      <c r="C1036" s="39" t="n"/>
      <c r="D1036" s="39" t="n"/>
      <c r="E1036" s="7" t="n"/>
      <c r="F1036" s="7" t="n"/>
      <c r="G1036" s="7" t="n"/>
      <c r="H1036" s="39" t="n"/>
      <c r="I1036" s="39" t="n"/>
      <c r="J1036" s="39" t="n"/>
      <c r="K1036" s="39" t="n"/>
      <c r="L1036" s="39" t="n"/>
      <c r="M1036" s="7" t="n"/>
      <c r="N1036" s="7" t="n"/>
      <c r="O1036" s="40" t="n"/>
      <c r="P1036" s="40" t="n"/>
      <c r="Q1036" s="40" t="n"/>
      <c r="R1036" s="40" t="n"/>
      <c r="S1036" s="40" t="n"/>
      <c r="T1036" s="40" t="n"/>
      <c r="U1036" s="40" t="n"/>
      <c r="V1036" s="40" t="n"/>
      <c r="W1036" s="40" t="n"/>
      <c r="X1036" s="40" t="n"/>
      <c r="Y1036" s="40" t="n"/>
      <c r="Z1036" s="40" t="n"/>
      <c r="AA1036" s="39" t="n"/>
    </row>
    <row r="1037">
      <c r="A1037" s="7" t="n"/>
      <c r="B1037" s="7" t="n"/>
      <c r="C1037" s="39" t="n"/>
      <c r="D1037" s="39" t="n"/>
      <c r="E1037" s="7" t="n"/>
      <c r="F1037" s="7" t="n"/>
      <c r="G1037" s="7" t="n"/>
      <c r="H1037" s="39" t="n"/>
      <c r="I1037" s="39" t="n"/>
      <c r="J1037" s="39" t="n"/>
      <c r="K1037" s="39" t="n"/>
      <c r="L1037" s="39" t="n"/>
      <c r="M1037" s="7" t="n"/>
      <c r="N1037" s="7" t="n"/>
      <c r="O1037" s="40" t="n"/>
      <c r="P1037" s="40" t="n"/>
      <c r="Q1037" s="40" t="n"/>
      <c r="R1037" s="40" t="n"/>
      <c r="S1037" s="40" t="n"/>
      <c r="T1037" s="40" t="n"/>
      <c r="U1037" s="40" t="n"/>
      <c r="V1037" s="40" t="n"/>
      <c r="W1037" s="40" t="n"/>
      <c r="X1037" s="40" t="n"/>
      <c r="Y1037" s="40" t="n"/>
      <c r="Z1037" s="40" t="n"/>
      <c r="AA1037" s="39" t="n"/>
    </row>
    <row r="1038">
      <c r="A1038" s="7" t="n"/>
      <c r="B1038" s="7" t="n"/>
      <c r="C1038" s="39" t="n"/>
      <c r="D1038" s="39" t="n"/>
      <c r="E1038" s="7" t="n"/>
      <c r="F1038" s="7" t="n"/>
      <c r="G1038" s="7" t="n"/>
      <c r="H1038" s="39" t="n"/>
      <c r="I1038" s="39" t="n"/>
      <c r="J1038" s="39" t="n"/>
      <c r="K1038" s="39" t="n"/>
      <c r="L1038" s="39" t="n"/>
      <c r="M1038" s="7" t="n"/>
      <c r="N1038" s="7" t="n"/>
      <c r="O1038" s="40" t="n"/>
      <c r="P1038" s="40" t="n"/>
      <c r="Q1038" s="40" t="n"/>
      <c r="R1038" s="40" t="n"/>
      <c r="S1038" s="40" t="n"/>
      <c r="T1038" s="40" t="n"/>
      <c r="U1038" s="40" t="n"/>
      <c r="V1038" s="40" t="n"/>
      <c r="W1038" s="40" t="n"/>
      <c r="X1038" s="40" t="n"/>
      <c r="Y1038" s="40" t="n"/>
      <c r="Z1038" s="40" t="n"/>
      <c r="AA1038" s="39" t="n"/>
    </row>
    <row r="1039">
      <c r="A1039" s="7" t="n"/>
      <c r="B1039" s="7" t="n"/>
      <c r="C1039" s="39" t="n"/>
      <c r="D1039" s="39" t="n"/>
      <c r="E1039" s="7" t="n"/>
      <c r="F1039" s="7" t="n"/>
      <c r="G1039" s="7" t="n"/>
      <c r="H1039" s="39" t="n"/>
      <c r="I1039" s="39" t="n"/>
      <c r="J1039" s="39" t="n"/>
      <c r="K1039" s="39" t="n"/>
      <c r="L1039" s="39" t="n"/>
      <c r="M1039" s="7" t="n"/>
      <c r="N1039" s="7" t="n"/>
      <c r="O1039" s="40" t="n"/>
      <c r="P1039" s="40" t="n"/>
      <c r="Q1039" s="40" t="n"/>
      <c r="R1039" s="40" t="n"/>
      <c r="S1039" s="40" t="n"/>
      <c r="T1039" s="40" t="n"/>
      <c r="U1039" s="40" t="n"/>
      <c r="V1039" s="40" t="n"/>
      <c r="W1039" s="40" t="n"/>
      <c r="X1039" s="40" t="n"/>
      <c r="Y1039" s="40" t="n"/>
      <c r="Z1039" s="40" t="n"/>
      <c r="AA1039" s="39" t="n"/>
    </row>
    <row r="1040">
      <c r="A1040" s="7" t="n"/>
      <c r="B1040" s="7" t="n"/>
      <c r="C1040" s="39" t="n"/>
      <c r="D1040" s="39" t="n"/>
      <c r="E1040" s="7" t="n"/>
      <c r="F1040" s="7" t="n"/>
      <c r="G1040" s="7" t="n"/>
      <c r="H1040" s="39" t="n"/>
      <c r="I1040" s="39" t="n"/>
      <c r="J1040" s="39" t="n"/>
      <c r="K1040" s="39" t="n"/>
      <c r="L1040" s="39" t="n"/>
      <c r="M1040" s="7" t="n"/>
      <c r="N1040" s="7" t="n"/>
      <c r="O1040" s="40" t="n"/>
      <c r="P1040" s="40" t="n"/>
      <c r="Q1040" s="40" t="n"/>
      <c r="R1040" s="40" t="n"/>
      <c r="S1040" s="40" t="n"/>
      <c r="T1040" s="40" t="n"/>
      <c r="U1040" s="40" t="n"/>
      <c r="V1040" s="40" t="n"/>
      <c r="W1040" s="40" t="n"/>
      <c r="X1040" s="40" t="n"/>
      <c r="Y1040" s="40" t="n"/>
      <c r="Z1040" s="40" t="n"/>
      <c r="AA1040" s="39" t="n"/>
    </row>
    <row r="1041">
      <c r="A1041" s="7" t="n"/>
      <c r="B1041" s="7" t="n"/>
      <c r="C1041" s="39" t="n"/>
      <c r="D1041" s="39" t="n"/>
      <c r="E1041" s="7" t="n"/>
      <c r="F1041" s="7" t="n"/>
      <c r="G1041" s="7" t="n"/>
      <c r="H1041" s="39" t="n"/>
      <c r="I1041" s="39" t="n"/>
      <c r="J1041" s="39" t="n"/>
      <c r="K1041" s="39" t="n"/>
      <c r="L1041" s="39" t="n"/>
      <c r="M1041" s="7" t="n"/>
      <c r="N1041" s="7" t="n"/>
      <c r="O1041" s="40" t="n"/>
      <c r="P1041" s="40" t="n"/>
      <c r="Q1041" s="40" t="n"/>
      <c r="R1041" s="40" t="n"/>
      <c r="S1041" s="40" t="n"/>
      <c r="T1041" s="40" t="n"/>
      <c r="U1041" s="40" t="n"/>
      <c r="V1041" s="40" t="n"/>
      <c r="W1041" s="40" t="n"/>
      <c r="X1041" s="40" t="n"/>
      <c r="Y1041" s="40" t="n"/>
      <c r="Z1041" s="40" t="n"/>
      <c r="AA1041" s="39" t="n"/>
    </row>
    <row r="1042">
      <c r="A1042" s="7" t="n"/>
      <c r="B1042" s="7" t="n"/>
      <c r="C1042" s="39" t="n"/>
      <c r="D1042" s="39" t="n"/>
      <c r="E1042" s="7" t="n"/>
      <c r="F1042" s="7" t="n"/>
      <c r="G1042" s="7" t="n"/>
      <c r="H1042" s="39" t="n"/>
      <c r="I1042" s="39" t="n"/>
      <c r="J1042" s="39" t="n"/>
      <c r="K1042" s="39" t="n"/>
      <c r="L1042" s="39" t="n"/>
      <c r="M1042" s="7" t="n"/>
      <c r="N1042" s="7" t="n"/>
      <c r="O1042" s="40" t="n"/>
      <c r="P1042" s="40" t="n"/>
      <c r="Q1042" s="40" t="n"/>
      <c r="R1042" s="40" t="n"/>
      <c r="S1042" s="40" t="n"/>
      <c r="T1042" s="40" t="n"/>
      <c r="U1042" s="40" t="n"/>
      <c r="V1042" s="40" t="n"/>
      <c r="W1042" s="40" t="n"/>
      <c r="X1042" s="40" t="n"/>
      <c r="Y1042" s="40" t="n"/>
      <c r="Z1042" s="40" t="n"/>
      <c r="AA1042" s="39" t="n"/>
    </row>
    <row r="1043">
      <c r="A1043" s="7" t="n"/>
      <c r="B1043" s="7" t="n"/>
      <c r="C1043" s="39" t="n"/>
      <c r="D1043" s="39" t="n"/>
      <c r="E1043" s="7" t="n"/>
      <c r="F1043" s="7" t="n"/>
      <c r="G1043" s="7" t="n"/>
      <c r="H1043" s="39" t="n"/>
      <c r="I1043" s="39" t="n"/>
      <c r="J1043" s="39" t="n"/>
      <c r="K1043" s="39" t="n"/>
      <c r="L1043" s="39" t="n"/>
      <c r="M1043" s="7" t="n"/>
      <c r="N1043" s="7" t="n"/>
      <c r="O1043" s="40" t="n"/>
      <c r="P1043" s="40" t="n"/>
      <c r="Q1043" s="40" t="n"/>
      <c r="R1043" s="40" t="n"/>
      <c r="S1043" s="40" t="n"/>
      <c r="T1043" s="40" t="n"/>
      <c r="U1043" s="40" t="n"/>
      <c r="V1043" s="40" t="n"/>
      <c r="W1043" s="40" t="n"/>
      <c r="X1043" s="40" t="n"/>
      <c r="Y1043" s="40" t="n"/>
      <c r="Z1043" s="40" t="n"/>
      <c r="AA1043" s="39" t="n"/>
    </row>
    <row r="1044">
      <c r="A1044" s="7" t="n"/>
      <c r="B1044" s="7" t="n"/>
      <c r="C1044" s="39" t="n"/>
      <c r="D1044" s="39" t="n"/>
      <c r="E1044" s="7" t="n"/>
      <c r="F1044" s="7" t="n"/>
      <c r="G1044" s="7" t="n"/>
      <c r="H1044" s="39" t="n"/>
      <c r="I1044" s="39" t="n"/>
      <c r="J1044" s="39" t="n"/>
      <c r="K1044" s="39" t="n"/>
      <c r="L1044" s="39" t="n"/>
      <c r="M1044" s="7" t="n"/>
      <c r="N1044" s="7" t="n"/>
      <c r="O1044" s="40" t="n"/>
      <c r="P1044" s="40" t="n"/>
      <c r="Q1044" s="40" t="n"/>
      <c r="R1044" s="40" t="n"/>
      <c r="S1044" s="40" t="n"/>
      <c r="T1044" s="40" t="n"/>
      <c r="U1044" s="40" t="n"/>
      <c r="V1044" s="40" t="n"/>
      <c r="W1044" s="40" t="n"/>
      <c r="X1044" s="40" t="n"/>
      <c r="Y1044" s="40" t="n"/>
      <c r="Z1044" s="40" t="n"/>
      <c r="AA1044" s="39" t="n"/>
    </row>
    <row r="1045">
      <c r="A1045" s="7" t="n"/>
      <c r="B1045" s="7" t="n"/>
      <c r="C1045" s="39" t="n"/>
      <c r="D1045" s="39" t="n"/>
      <c r="E1045" s="7" t="n"/>
      <c r="F1045" s="7" t="n"/>
      <c r="G1045" s="7" t="n"/>
      <c r="H1045" s="39" t="n"/>
      <c r="I1045" s="39" t="n"/>
      <c r="J1045" s="39" t="n"/>
      <c r="K1045" s="39" t="n"/>
      <c r="L1045" s="39" t="n"/>
      <c r="M1045" s="7" t="n"/>
      <c r="N1045" s="7" t="n"/>
      <c r="O1045" s="40" t="n"/>
      <c r="P1045" s="40" t="n"/>
      <c r="Q1045" s="40" t="n"/>
      <c r="R1045" s="40" t="n"/>
      <c r="S1045" s="40" t="n"/>
      <c r="T1045" s="40" t="n"/>
      <c r="U1045" s="40" t="n"/>
      <c r="V1045" s="40" t="n"/>
      <c r="W1045" s="40" t="n"/>
      <c r="X1045" s="40" t="n"/>
      <c r="Y1045" s="40" t="n"/>
      <c r="Z1045" s="40" t="n"/>
      <c r="AA1045" s="39" t="n"/>
    </row>
    <row r="1046">
      <c r="A1046" s="7" t="n"/>
      <c r="B1046" s="7" t="n"/>
      <c r="C1046" s="39" t="n"/>
      <c r="D1046" s="39" t="n"/>
      <c r="E1046" s="7" t="n"/>
      <c r="F1046" s="7" t="n"/>
      <c r="G1046" s="7" t="n"/>
      <c r="H1046" s="39" t="n"/>
      <c r="I1046" s="39" t="n"/>
      <c r="J1046" s="39" t="n"/>
      <c r="K1046" s="39" t="n"/>
      <c r="L1046" s="39" t="n"/>
      <c r="M1046" s="7" t="n"/>
      <c r="N1046" s="7" t="n"/>
      <c r="O1046" s="40" t="n"/>
      <c r="P1046" s="40" t="n"/>
      <c r="Q1046" s="40" t="n"/>
      <c r="R1046" s="40" t="n"/>
      <c r="S1046" s="40" t="n"/>
      <c r="T1046" s="40" t="n"/>
      <c r="U1046" s="40" t="n"/>
      <c r="V1046" s="40" t="n"/>
      <c r="W1046" s="40" t="n"/>
      <c r="X1046" s="40" t="n"/>
      <c r="Y1046" s="40" t="n"/>
      <c r="Z1046" s="40" t="n"/>
      <c r="AA1046" s="39" t="n"/>
    </row>
    <row r="1047">
      <c r="A1047" s="7" t="n"/>
      <c r="B1047" s="7" t="n"/>
      <c r="C1047" s="39" t="n"/>
      <c r="D1047" s="39" t="n"/>
      <c r="E1047" s="7" t="n"/>
      <c r="F1047" s="7" t="n"/>
      <c r="G1047" s="7" t="n"/>
      <c r="H1047" s="39" t="n"/>
      <c r="I1047" s="39" t="n"/>
      <c r="J1047" s="39" t="n"/>
      <c r="K1047" s="39" t="n"/>
      <c r="L1047" s="39" t="n"/>
      <c r="M1047" s="7" t="n"/>
      <c r="N1047" s="7" t="n"/>
      <c r="O1047" s="40" t="n"/>
      <c r="P1047" s="40" t="n"/>
      <c r="Q1047" s="40" t="n"/>
      <c r="R1047" s="40" t="n"/>
      <c r="S1047" s="40" t="n"/>
      <c r="T1047" s="40" t="n"/>
      <c r="U1047" s="40" t="n"/>
      <c r="V1047" s="40" t="n"/>
      <c r="W1047" s="40" t="n"/>
      <c r="X1047" s="40" t="n"/>
      <c r="Y1047" s="40" t="n"/>
      <c r="Z1047" s="40" t="n"/>
      <c r="AA1047" s="39" t="n"/>
    </row>
    <row r="1048">
      <c r="A1048" s="7" t="n"/>
      <c r="B1048" s="7" t="n"/>
      <c r="C1048" s="39" t="n"/>
      <c r="D1048" s="39" t="n"/>
      <c r="E1048" s="7" t="n"/>
      <c r="F1048" s="7" t="n"/>
      <c r="G1048" s="7" t="n"/>
      <c r="H1048" s="39" t="n"/>
      <c r="I1048" s="39" t="n"/>
      <c r="J1048" s="39" t="n"/>
      <c r="K1048" s="39" t="n"/>
      <c r="L1048" s="39" t="n"/>
      <c r="M1048" s="7" t="n"/>
      <c r="N1048" s="7" t="n"/>
      <c r="O1048" s="40" t="n"/>
      <c r="P1048" s="40" t="n"/>
      <c r="Q1048" s="40" t="n"/>
      <c r="R1048" s="40" t="n"/>
      <c r="S1048" s="40" t="n"/>
      <c r="T1048" s="40" t="n"/>
      <c r="U1048" s="40" t="n"/>
      <c r="V1048" s="40" t="n"/>
      <c r="W1048" s="40" t="n"/>
      <c r="X1048" s="40" t="n"/>
      <c r="Y1048" s="40" t="n"/>
      <c r="Z1048" s="40" t="n"/>
      <c r="AA1048" s="39" t="n"/>
    </row>
    <row r="1049">
      <c r="A1049" s="7" t="n"/>
      <c r="B1049" s="7" t="n"/>
      <c r="C1049" s="39" t="n"/>
      <c r="D1049" s="39" t="n"/>
      <c r="E1049" s="7" t="n"/>
      <c r="F1049" s="7" t="n"/>
      <c r="G1049" s="7" t="n"/>
      <c r="H1049" s="39" t="n"/>
      <c r="I1049" s="39" t="n"/>
      <c r="J1049" s="39" t="n"/>
      <c r="K1049" s="39" t="n"/>
      <c r="L1049" s="39" t="n"/>
      <c r="M1049" s="7" t="n"/>
      <c r="N1049" s="7" t="n"/>
      <c r="O1049" s="40" t="n"/>
      <c r="P1049" s="40" t="n"/>
      <c r="Q1049" s="40" t="n"/>
      <c r="R1049" s="40" t="n"/>
      <c r="S1049" s="40" t="n"/>
      <c r="T1049" s="40" t="n"/>
      <c r="U1049" s="40" t="n"/>
      <c r="V1049" s="40" t="n"/>
      <c r="W1049" s="40" t="n"/>
      <c r="X1049" s="40" t="n"/>
      <c r="Y1049" s="40" t="n"/>
      <c r="Z1049" s="40" t="n"/>
      <c r="AA1049" s="39" t="n"/>
    </row>
    <row r="1050">
      <c r="A1050" s="7" t="n"/>
      <c r="B1050" s="7" t="n"/>
      <c r="C1050" s="39" t="n"/>
      <c r="D1050" s="39" t="n"/>
      <c r="E1050" s="7" t="n"/>
      <c r="F1050" s="7" t="n"/>
      <c r="G1050" s="7" t="n"/>
      <c r="H1050" s="39" t="n"/>
      <c r="I1050" s="39" t="n"/>
      <c r="J1050" s="39" t="n"/>
      <c r="K1050" s="39" t="n"/>
      <c r="L1050" s="39" t="n"/>
      <c r="M1050" s="7" t="n"/>
      <c r="N1050" s="7" t="n"/>
      <c r="O1050" s="40" t="n"/>
      <c r="P1050" s="40" t="n"/>
      <c r="Q1050" s="40" t="n"/>
      <c r="R1050" s="40" t="n"/>
      <c r="S1050" s="40" t="n"/>
      <c r="T1050" s="40" t="n"/>
      <c r="U1050" s="40" t="n"/>
      <c r="V1050" s="40" t="n"/>
      <c r="W1050" s="40" t="n"/>
      <c r="X1050" s="40" t="n"/>
      <c r="Y1050" s="40" t="n"/>
      <c r="Z1050" s="40" t="n"/>
      <c r="AA1050" s="39" t="n"/>
    </row>
    <row r="1051">
      <c r="A1051" s="7" t="n"/>
      <c r="B1051" s="7" t="n"/>
      <c r="C1051" s="39" t="n"/>
      <c r="D1051" s="39" t="n"/>
      <c r="E1051" s="7" t="n"/>
      <c r="F1051" s="7" t="n"/>
      <c r="G1051" s="7" t="n"/>
      <c r="H1051" s="39" t="n"/>
      <c r="I1051" s="39" t="n"/>
      <c r="J1051" s="39" t="n"/>
      <c r="K1051" s="39" t="n"/>
      <c r="L1051" s="39" t="n"/>
      <c r="M1051" s="7" t="n"/>
      <c r="N1051" s="7" t="n"/>
      <c r="O1051" s="40" t="n"/>
      <c r="P1051" s="40" t="n"/>
      <c r="Q1051" s="40" t="n"/>
      <c r="R1051" s="40" t="n"/>
      <c r="S1051" s="40" t="n"/>
      <c r="T1051" s="40" t="n"/>
      <c r="U1051" s="40" t="n"/>
      <c r="V1051" s="40" t="n"/>
      <c r="W1051" s="40" t="n"/>
      <c r="X1051" s="40" t="n"/>
      <c r="Y1051" s="40" t="n"/>
      <c r="Z1051" s="40" t="n"/>
      <c r="AA1051" s="39" t="n"/>
    </row>
    <row r="1052">
      <c r="A1052" s="7" t="n"/>
      <c r="B1052" s="7" t="n"/>
      <c r="C1052" s="39" t="n"/>
      <c r="D1052" s="39" t="n"/>
      <c r="E1052" s="7" t="n"/>
      <c r="F1052" s="7" t="n"/>
      <c r="G1052" s="7" t="n"/>
      <c r="H1052" s="39" t="n"/>
      <c r="I1052" s="39" t="n"/>
      <c r="J1052" s="39" t="n"/>
      <c r="K1052" s="39" t="n"/>
      <c r="L1052" s="39" t="n"/>
      <c r="M1052" s="7" t="n"/>
      <c r="N1052" s="7" t="n"/>
      <c r="O1052" s="40" t="n"/>
      <c r="P1052" s="40" t="n"/>
      <c r="Q1052" s="40" t="n"/>
      <c r="R1052" s="40" t="n"/>
      <c r="S1052" s="40" t="n"/>
      <c r="T1052" s="40" t="n"/>
      <c r="U1052" s="40" t="n"/>
      <c r="V1052" s="40" t="n"/>
      <c r="W1052" s="40" t="n"/>
      <c r="X1052" s="40" t="n"/>
      <c r="Y1052" s="40" t="n"/>
      <c r="Z1052" s="40" t="n"/>
      <c r="AA1052" s="39" t="n"/>
    </row>
    <row r="1053">
      <c r="A1053" s="7" t="n"/>
      <c r="B1053" s="7" t="n"/>
      <c r="C1053" s="39" t="n"/>
      <c r="D1053" s="39" t="n"/>
      <c r="E1053" s="7" t="n"/>
      <c r="F1053" s="7" t="n"/>
      <c r="G1053" s="7" t="n"/>
      <c r="H1053" s="39" t="n"/>
      <c r="I1053" s="39" t="n"/>
      <c r="J1053" s="39" t="n"/>
      <c r="K1053" s="39" t="n"/>
      <c r="L1053" s="39" t="n"/>
      <c r="M1053" s="7" t="n"/>
      <c r="N1053" s="7" t="n"/>
      <c r="O1053" s="40" t="n"/>
      <c r="P1053" s="40" t="n"/>
      <c r="Q1053" s="40" t="n"/>
      <c r="R1053" s="40" t="n"/>
      <c r="S1053" s="40" t="n"/>
      <c r="T1053" s="40" t="n"/>
      <c r="U1053" s="40" t="n"/>
      <c r="V1053" s="40" t="n"/>
      <c r="W1053" s="40" t="n"/>
      <c r="X1053" s="40" t="n"/>
      <c r="Y1053" s="40" t="n"/>
      <c r="Z1053" s="40" t="n"/>
      <c r="AA1053" s="39" t="n"/>
    </row>
    <row r="1054">
      <c r="A1054" s="7" t="n"/>
      <c r="B1054" s="7" t="n"/>
      <c r="C1054" s="39" t="n"/>
      <c r="D1054" s="39" t="n"/>
      <c r="E1054" s="7" t="n"/>
      <c r="F1054" s="7" t="n"/>
      <c r="G1054" s="7" t="n"/>
      <c r="H1054" s="39" t="n"/>
      <c r="I1054" s="39" t="n"/>
      <c r="J1054" s="39" t="n"/>
      <c r="K1054" s="39" t="n"/>
      <c r="L1054" s="39" t="n"/>
      <c r="M1054" s="7" t="n"/>
      <c r="N1054" s="7" t="n"/>
      <c r="O1054" s="40" t="n"/>
      <c r="P1054" s="40" t="n"/>
      <c r="Q1054" s="40" t="n"/>
      <c r="R1054" s="40" t="n"/>
      <c r="S1054" s="40" t="n"/>
      <c r="T1054" s="40" t="n"/>
      <c r="U1054" s="40" t="n"/>
      <c r="V1054" s="40" t="n"/>
      <c r="W1054" s="40" t="n"/>
      <c r="X1054" s="40" t="n"/>
      <c r="Y1054" s="40" t="n"/>
      <c r="Z1054" s="40" t="n"/>
      <c r="AA1054" s="39" t="n"/>
    </row>
    <row r="1055">
      <c r="A1055" s="7" t="n"/>
      <c r="B1055" s="7" t="n"/>
      <c r="C1055" s="39" t="n"/>
      <c r="D1055" s="39" t="n"/>
      <c r="E1055" s="7" t="n"/>
      <c r="F1055" s="7" t="n"/>
      <c r="G1055" s="7" t="n"/>
      <c r="H1055" s="39" t="n"/>
      <c r="I1055" s="39" t="n"/>
      <c r="J1055" s="39" t="n"/>
      <c r="K1055" s="39" t="n"/>
      <c r="L1055" s="39" t="n"/>
      <c r="M1055" s="7" t="n"/>
      <c r="N1055" s="7" t="n"/>
      <c r="O1055" s="40" t="n"/>
      <c r="P1055" s="40" t="n"/>
      <c r="Q1055" s="40" t="n"/>
      <c r="R1055" s="40" t="n"/>
      <c r="S1055" s="40" t="n"/>
      <c r="T1055" s="40" t="n"/>
      <c r="U1055" s="40" t="n"/>
      <c r="V1055" s="40" t="n"/>
      <c r="W1055" s="40" t="n"/>
      <c r="X1055" s="40" t="n"/>
      <c r="Y1055" s="40" t="n"/>
      <c r="Z1055" s="40" t="n"/>
      <c r="AA1055" s="39" t="n"/>
    </row>
    <row r="1056">
      <c r="A1056" s="7" t="n"/>
      <c r="B1056" s="7" t="n"/>
      <c r="C1056" s="39" t="n"/>
      <c r="D1056" s="39" t="n"/>
      <c r="E1056" s="7" t="n"/>
      <c r="F1056" s="7" t="n"/>
      <c r="G1056" s="7" t="n"/>
      <c r="H1056" s="39" t="n"/>
      <c r="I1056" s="39" t="n"/>
      <c r="J1056" s="39" t="n"/>
      <c r="K1056" s="39" t="n"/>
      <c r="L1056" s="39" t="n"/>
      <c r="M1056" s="7" t="n"/>
      <c r="N1056" s="7" t="n"/>
      <c r="O1056" s="40" t="n"/>
      <c r="P1056" s="40" t="n"/>
      <c r="Q1056" s="40" t="n"/>
      <c r="R1056" s="40" t="n"/>
      <c r="S1056" s="40" t="n"/>
      <c r="T1056" s="40" t="n"/>
      <c r="U1056" s="40" t="n"/>
      <c r="V1056" s="40" t="n"/>
      <c r="W1056" s="40" t="n"/>
      <c r="X1056" s="40" t="n"/>
      <c r="Y1056" s="40" t="n"/>
      <c r="Z1056" s="40" t="n"/>
      <c r="AA1056" s="39" t="n"/>
    </row>
    <row r="1057">
      <c r="A1057" s="7" t="n"/>
      <c r="B1057" s="7" t="n"/>
      <c r="C1057" s="39" t="n"/>
      <c r="D1057" s="39" t="n"/>
      <c r="E1057" s="7" t="n"/>
      <c r="F1057" s="7" t="n"/>
      <c r="G1057" s="7" t="n"/>
      <c r="H1057" s="39" t="n"/>
      <c r="I1057" s="39" t="n"/>
      <c r="J1057" s="39" t="n"/>
      <c r="K1057" s="39" t="n"/>
      <c r="L1057" s="39" t="n"/>
      <c r="M1057" s="7" t="n"/>
      <c r="N1057" s="7" t="n"/>
      <c r="O1057" s="40" t="n"/>
      <c r="P1057" s="40" t="n"/>
      <c r="Q1057" s="40" t="n"/>
      <c r="R1057" s="40" t="n"/>
      <c r="S1057" s="40" t="n"/>
      <c r="T1057" s="40" t="n"/>
      <c r="U1057" s="40" t="n"/>
      <c r="V1057" s="40" t="n"/>
      <c r="W1057" s="40" t="n"/>
      <c r="X1057" s="40" t="n"/>
      <c r="Y1057" s="40" t="n"/>
      <c r="Z1057" s="40" t="n"/>
      <c r="AA1057" s="39" t="n"/>
    </row>
    <row r="1058">
      <c r="A1058" s="7" t="n"/>
      <c r="B1058" s="7" t="n"/>
      <c r="C1058" s="39" t="n"/>
      <c r="D1058" s="39" t="n"/>
      <c r="E1058" s="7" t="n"/>
      <c r="F1058" s="7" t="n"/>
      <c r="G1058" s="7" t="n"/>
      <c r="H1058" s="39" t="n"/>
      <c r="I1058" s="39" t="n"/>
      <c r="J1058" s="39" t="n"/>
      <c r="K1058" s="39" t="n"/>
      <c r="L1058" s="39" t="n"/>
      <c r="M1058" s="7" t="n"/>
      <c r="N1058" s="7" t="n"/>
      <c r="O1058" s="40" t="n"/>
      <c r="P1058" s="40" t="n"/>
      <c r="Q1058" s="40" t="n"/>
      <c r="R1058" s="40" t="n"/>
      <c r="S1058" s="40" t="n"/>
      <c r="T1058" s="40" t="n"/>
      <c r="U1058" s="40" t="n"/>
      <c r="V1058" s="40" t="n"/>
      <c r="W1058" s="40" t="n"/>
      <c r="X1058" s="40" t="n"/>
      <c r="Y1058" s="40" t="n"/>
      <c r="Z1058" s="40" t="n"/>
      <c r="AA1058" s="39" t="n"/>
    </row>
    <row r="1059">
      <c r="A1059" s="7" t="n"/>
      <c r="B1059" s="7" t="n"/>
      <c r="C1059" s="39" t="n"/>
      <c r="D1059" s="39" t="n"/>
      <c r="E1059" s="7" t="n"/>
      <c r="F1059" s="7" t="n"/>
      <c r="G1059" s="7" t="n"/>
      <c r="H1059" s="39" t="n"/>
      <c r="I1059" s="39" t="n"/>
      <c r="J1059" s="39" t="n"/>
      <c r="K1059" s="39" t="n"/>
      <c r="L1059" s="39" t="n"/>
      <c r="M1059" s="7" t="n"/>
      <c r="N1059" s="7" t="n"/>
      <c r="O1059" s="40" t="n"/>
      <c r="P1059" s="40" t="n"/>
      <c r="Q1059" s="40" t="n"/>
      <c r="R1059" s="40" t="n"/>
      <c r="S1059" s="40" t="n"/>
      <c r="T1059" s="40" t="n"/>
      <c r="U1059" s="40" t="n"/>
      <c r="V1059" s="40" t="n"/>
      <c r="W1059" s="40" t="n"/>
      <c r="X1059" s="40" t="n"/>
      <c r="Y1059" s="40" t="n"/>
      <c r="Z1059" s="40" t="n"/>
      <c r="AA1059" s="39" t="n"/>
    </row>
    <row r="1060">
      <c r="A1060" s="7" t="n"/>
      <c r="B1060" s="7" t="n"/>
      <c r="C1060" s="39" t="n"/>
      <c r="D1060" s="39" t="n"/>
      <c r="E1060" s="7" t="n"/>
      <c r="F1060" s="7" t="n"/>
      <c r="G1060" s="7" t="n"/>
      <c r="H1060" s="39" t="n"/>
      <c r="I1060" s="39" t="n"/>
      <c r="J1060" s="39" t="n"/>
      <c r="K1060" s="39" t="n"/>
      <c r="L1060" s="39" t="n"/>
      <c r="M1060" s="7" t="n"/>
      <c r="N1060" s="7" t="n"/>
      <c r="O1060" s="40" t="n"/>
      <c r="P1060" s="40" t="n"/>
      <c r="Q1060" s="40" t="n"/>
      <c r="R1060" s="40" t="n"/>
      <c r="S1060" s="40" t="n"/>
      <c r="T1060" s="40" t="n"/>
      <c r="U1060" s="40" t="n"/>
      <c r="V1060" s="40" t="n"/>
      <c r="W1060" s="40" t="n"/>
      <c r="X1060" s="40" t="n"/>
      <c r="Y1060" s="40" t="n"/>
      <c r="Z1060" s="40" t="n"/>
      <c r="AA1060" s="39" t="n"/>
    </row>
    <row r="1061">
      <c r="A1061" s="7" t="n"/>
      <c r="B1061" s="7" t="n"/>
      <c r="C1061" s="39" t="n"/>
      <c r="D1061" s="39" t="n"/>
      <c r="E1061" s="7" t="n"/>
      <c r="F1061" s="7" t="n"/>
      <c r="G1061" s="7" t="n"/>
      <c r="H1061" s="39" t="n"/>
      <c r="I1061" s="39" t="n"/>
      <c r="J1061" s="39" t="n"/>
      <c r="K1061" s="39" t="n"/>
      <c r="L1061" s="39" t="n"/>
      <c r="M1061" s="7" t="n"/>
      <c r="N1061" s="7" t="n"/>
      <c r="O1061" s="40" t="n"/>
      <c r="P1061" s="40" t="n"/>
      <c r="Q1061" s="40" t="n"/>
      <c r="R1061" s="40" t="n"/>
      <c r="S1061" s="40" t="n"/>
      <c r="T1061" s="40" t="n"/>
      <c r="U1061" s="40" t="n"/>
      <c r="V1061" s="40" t="n"/>
      <c r="W1061" s="40" t="n"/>
      <c r="X1061" s="40" t="n"/>
      <c r="Y1061" s="40" t="n"/>
      <c r="Z1061" s="40" t="n"/>
      <c r="AA1061" s="39" t="n"/>
    </row>
    <row r="1062">
      <c r="A1062" s="7" t="n"/>
      <c r="B1062" s="7" t="n"/>
      <c r="C1062" s="39" t="n"/>
      <c r="D1062" s="39" t="n"/>
      <c r="E1062" s="7" t="n"/>
      <c r="F1062" s="7" t="n"/>
      <c r="G1062" s="7" t="n"/>
      <c r="H1062" s="39" t="n"/>
      <c r="I1062" s="39" t="n"/>
      <c r="J1062" s="39" t="n"/>
      <c r="K1062" s="39" t="n"/>
      <c r="L1062" s="39" t="n"/>
      <c r="M1062" s="7" t="n"/>
      <c r="N1062" s="7" t="n"/>
      <c r="O1062" s="40" t="n"/>
      <c r="P1062" s="40" t="n"/>
      <c r="Q1062" s="40" t="n"/>
      <c r="R1062" s="40" t="n"/>
      <c r="S1062" s="40" t="n"/>
      <c r="T1062" s="40" t="n"/>
      <c r="U1062" s="40" t="n"/>
      <c r="V1062" s="40" t="n"/>
      <c r="W1062" s="40" t="n"/>
      <c r="X1062" s="40" t="n"/>
      <c r="Y1062" s="40" t="n"/>
      <c r="Z1062" s="40" t="n"/>
      <c r="AA1062" s="39" t="n"/>
    </row>
    <row r="1063">
      <c r="A1063" s="7" t="n"/>
      <c r="B1063" s="7" t="n"/>
      <c r="C1063" s="39" t="n"/>
      <c r="D1063" s="39" t="n"/>
      <c r="E1063" s="7" t="n"/>
      <c r="F1063" s="7" t="n"/>
      <c r="G1063" s="7" t="n"/>
      <c r="H1063" s="39" t="n"/>
      <c r="I1063" s="39" t="n"/>
      <c r="J1063" s="39" t="n"/>
      <c r="K1063" s="39" t="n"/>
      <c r="L1063" s="39" t="n"/>
      <c r="M1063" s="7" t="n"/>
      <c r="N1063" s="7" t="n"/>
      <c r="O1063" s="40" t="n"/>
      <c r="P1063" s="40" t="n"/>
      <c r="Q1063" s="40" t="n"/>
      <c r="R1063" s="40" t="n"/>
      <c r="S1063" s="40" t="n"/>
      <c r="T1063" s="40" t="n"/>
      <c r="U1063" s="40" t="n"/>
      <c r="V1063" s="40" t="n"/>
      <c r="W1063" s="40" t="n"/>
      <c r="X1063" s="40" t="n"/>
      <c r="Y1063" s="40" t="n"/>
      <c r="Z1063" s="40" t="n"/>
      <c r="AA1063" s="39" t="n"/>
    </row>
    <row r="1064">
      <c r="A1064" s="7" t="n"/>
      <c r="B1064" s="7" t="n"/>
      <c r="C1064" s="39" t="n"/>
      <c r="D1064" s="39" t="n"/>
      <c r="E1064" s="7" t="n"/>
      <c r="F1064" s="7" t="n"/>
      <c r="G1064" s="7" t="n"/>
      <c r="H1064" s="39" t="n"/>
      <c r="I1064" s="39" t="n"/>
      <c r="J1064" s="39" t="n"/>
      <c r="K1064" s="39" t="n"/>
      <c r="L1064" s="39" t="n"/>
      <c r="M1064" s="7" t="n"/>
      <c r="N1064" s="7" t="n"/>
      <c r="O1064" s="40" t="n"/>
      <c r="P1064" s="40" t="n"/>
      <c r="Q1064" s="40" t="n"/>
      <c r="R1064" s="40" t="n"/>
      <c r="S1064" s="40" t="n"/>
      <c r="T1064" s="40" t="n"/>
      <c r="U1064" s="40" t="n"/>
      <c r="V1064" s="40" t="n"/>
      <c r="W1064" s="40" t="n"/>
      <c r="X1064" s="40" t="n"/>
      <c r="Y1064" s="40" t="n"/>
      <c r="Z1064" s="40" t="n"/>
      <c r="AA1064" s="39" t="n"/>
    </row>
    <row r="1065">
      <c r="A1065" s="7" t="n"/>
      <c r="B1065" s="7" t="n"/>
      <c r="C1065" s="39" t="n"/>
      <c r="D1065" s="39" t="n"/>
      <c r="E1065" s="7" t="n"/>
      <c r="F1065" s="7" t="n"/>
      <c r="G1065" s="7" t="n"/>
      <c r="H1065" s="39" t="n"/>
      <c r="I1065" s="39" t="n"/>
      <c r="J1065" s="39" t="n"/>
      <c r="K1065" s="39" t="n"/>
      <c r="L1065" s="39" t="n"/>
      <c r="M1065" s="7" t="n"/>
      <c r="N1065" s="7" t="n"/>
      <c r="O1065" s="40" t="n"/>
      <c r="P1065" s="40" t="n"/>
      <c r="Q1065" s="40" t="n"/>
      <c r="R1065" s="40" t="n"/>
      <c r="S1065" s="40" t="n"/>
      <c r="T1065" s="40" t="n"/>
      <c r="U1065" s="40" t="n"/>
      <c r="V1065" s="40" t="n"/>
      <c r="W1065" s="40" t="n"/>
      <c r="X1065" s="40" t="n"/>
      <c r="Y1065" s="40" t="n"/>
      <c r="Z1065" s="40" t="n"/>
      <c r="AA1065" s="39" t="n"/>
    </row>
    <row r="1066">
      <c r="A1066" s="7" t="n"/>
      <c r="B1066" s="7" t="n"/>
      <c r="C1066" s="39" t="n"/>
      <c r="D1066" s="39" t="n"/>
      <c r="E1066" s="7" t="n"/>
      <c r="F1066" s="7" t="n"/>
      <c r="G1066" s="7" t="n"/>
      <c r="H1066" s="39" t="n"/>
      <c r="I1066" s="39" t="n"/>
      <c r="J1066" s="39" t="n"/>
      <c r="K1066" s="39" t="n"/>
      <c r="L1066" s="39" t="n"/>
      <c r="M1066" s="7" t="n"/>
      <c r="N1066" s="7" t="n"/>
      <c r="O1066" s="40" t="n"/>
      <c r="P1066" s="40" t="n"/>
      <c r="Q1066" s="40" t="n"/>
      <c r="R1066" s="40" t="n"/>
      <c r="S1066" s="40" t="n"/>
      <c r="T1066" s="40" t="n"/>
      <c r="U1066" s="40" t="n"/>
      <c r="V1066" s="40" t="n"/>
      <c r="W1066" s="40" t="n"/>
      <c r="X1066" s="40" t="n"/>
      <c r="Y1066" s="40" t="n"/>
      <c r="Z1066" s="40" t="n"/>
      <c r="AA1066" s="39" t="n"/>
    </row>
    <row r="1067">
      <c r="A1067" s="7" t="n"/>
      <c r="B1067" s="7" t="n"/>
      <c r="C1067" s="39" t="n"/>
      <c r="D1067" s="39" t="n"/>
      <c r="E1067" s="7" t="n"/>
      <c r="F1067" s="7" t="n"/>
      <c r="G1067" s="7" t="n"/>
      <c r="H1067" s="39" t="n"/>
      <c r="I1067" s="39" t="n"/>
      <c r="J1067" s="39" t="n"/>
      <c r="K1067" s="39" t="n"/>
      <c r="L1067" s="39" t="n"/>
      <c r="M1067" s="7" t="n"/>
      <c r="N1067" s="7" t="n"/>
      <c r="O1067" s="40" t="n"/>
      <c r="P1067" s="40" t="n"/>
      <c r="Q1067" s="40" t="n"/>
      <c r="R1067" s="40" t="n"/>
      <c r="S1067" s="40" t="n"/>
      <c r="T1067" s="40" t="n"/>
      <c r="U1067" s="40" t="n"/>
      <c r="V1067" s="40" t="n"/>
      <c r="W1067" s="40" t="n"/>
      <c r="X1067" s="40" t="n"/>
      <c r="Y1067" s="40" t="n"/>
      <c r="Z1067" s="40" t="n"/>
      <c r="AA1067" s="39" t="n"/>
    </row>
    <row r="1068">
      <c r="A1068" s="7" t="n"/>
      <c r="B1068" s="7" t="n"/>
      <c r="C1068" s="39" t="n"/>
      <c r="D1068" s="39" t="n"/>
      <c r="E1068" s="7" t="n"/>
      <c r="F1068" s="7" t="n"/>
      <c r="G1068" s="7" t="n"/>
      <c r="H1068" s="39" t="n"/>
      <c r="I1068" s="39" t="n"/>
      <c r="J1068" s="39" t="n"/>
      <c r="K1068" s="39" t="n"/>
      <c r="L1068" s="39" t="n"/>
      <c r="M1068" s="7" t="n"/>
      <c r="N1068" s="7" t="n"/>
      <c r="O1068" s="40" t="n"/>
      <c r="P1068" s="40" t="n"/>
      <c r="Q1068" s="40" t="n"/>
      <c r="R1068" s="40" t="n"/>
      <c r="S1068" s="40" t="n"/>
      <c r="T1068" s="40" t="n"/>
      <c r="U1068" s="40" t="n"/>
      <c r="V1068" s="40" t="n"/>
      <c r="W1068" s="40" t="n"/>
      <c r="X1068" s="40" t="n"/>
      <c r="Y1068" s="40" t="n"/>
      <c r="Z1068" s="40" t="n"/>
      <c r="AA1068" s="39" t="n"/>
    </row>
    <row r="1069">
      <c r="A1069" s="7" t="n"/>
      <c r="B1069" s="7" t="n"/>
      <c r="C1069" s="39" t="n"/>
      <c r="D1069" s="39" t="n"/>
      <c r="E1069" s="7" t="n"/>
      <c r="F1069" s="7" t="n"/>
      <c r="G1069" s="7" t="n"/>
      <c r="H1069" s="39" t="n"/>
      <c r="I1069" s="39" t="n"/>
      <c r="J1069" s="39" t="n"/>
      <c r="K1069" s="39" t="n"/>
      <c r="L1069" s="39" t="n"/>
      <c r="M1069" s="7" t="n"/>
      <c r="N1069" s="7" t="n"/>
      <c r="O1069" s="40" t="n"/>
      <c r="P1069" s="40" t="n"/>
      <c r="Q1069" s="40" t="n"/>
      <c r="R1069" s="40" t="n"/>
      <c r="S1069" s="40" t="n"/>
      <c r="T1069" s="40" t="n"/>
      <c r="U1069" s="40" t="n"/>
      <c r="V1069" s="40" t="n"/>
      <c r="W1069" s="40" t="n"/>
      <c r="X1069" s="40" t="n"/>
      <c r="Y1069" s="40" t="n"/>
      <c r="Z1069" s="40" t="n"/>
      <c r="AA1069" s="39" t="n"/>
    </row>
    <row r="1070">
      <c r="A1070" s="7" t="n"/>
      <c r="B1070" s="7" t="n"/>
      <c r="C1070" s="39" t="n"/>
      <c r="D1070" s="39" t="n"/>
      <c r="E1070" s="7" t="n"/>
      <c r="F1070" s="7" t="n"/>
      <c r="G1070" s="7" t="n"/>
      <c r="H1070" s="39" t="n"/>
      <c r="I1070" s="39" t="n"/>
      <c r="J1070" s="39" t="n"/>
      <c r="K1070" s="39" t="n"/>
      <c r="L1070" s="39" t="n"/>
      <c r="M1070" s="7" t="n"/>
      <c r="N1070" s="7" t="n"/>
      <c r="O1070" s="40" t="n"/>
      <c r="P1070" s="40" t="n"/>
      <c r="Q1070" s="40" t="n"/>
      <c r="R1070" s="40" t="n"/>
      <c r="S1070" s="40" t="n"/>
      <c r="T1070" s="40" t="n"/>
      <c r="U1070" s="40" t="n"/>
      <c r="V1070" s="40" t="n"/>
      <c r="W1070" s="40" t="n"/>
      <c r="X1070" s="40" t="n"/>
      <c r="Y1070" s="40" t="n"/>
      <c r="Z1070" s="40" t="n"/>
      <c r="AA1070" s="39" t="n"/>
    </row>
    <row r="1071">
      <c r="A1071" s="7" t="n"/>
      <c r="B1071" s="7" t="n"/>
      <c r="C1071" s="39" t="n"/>
      <c r="D1071" s="39" t="n"/>
      <c r="E1071" s="7" t="n"/>
      <c r="F1071" s="7" t="n"/>
      <c r="G1071" s="7" t="n"/>
      <c r="H1071" s="39" t="n"/>
      <c r="I1071" s="39" t="n"/>
      <c r="J1071" s="39" t="n"/>
      <c r="K1071" s="39" t="n"/>
      <c r="L1071" s="39" t="n"/>
      <c r="M1071" s="7" t="n"/>
      <c r="N1071" s="7" t="n"/>
      <c r="O1071" s="40" t="n"/>
      <c r="P1071" s="40" t="n"/>
      <c r="Q1071" s="40" t="n"/>
      <c r="R1071" s="40" t="n"/>
      <c r="S1071" s="40" t="n"/>
      <c r="T1071" s="40" t="n"/>
      <c r="U1071" s="40" t="n"/>
      <c r="V1071" s="40" t="n"/>
      <c r="W1071" s="40" t="n"/>
      <c r="X1071" s="40" t="n"/>
      <c r="Y1071" s="40" t="n"/>
      <c r="Z1071" s="40" t="n"/>
      <c r="AA1071" s="39" t="n"/>
    </row>
    <row r="1072">
      <c r="A1072" s="7" t="n"/>
      <c r="B1072" s="7" t="n"/>
      <c r="C1072" s="39" t="n"/>
      <c r="D1072" s="39" t="n"/>
      <c r="E1072" s="7" t="n"/>
      <c r="F1072" s="7" t="n"/>
      <c r="G1072" s="7" t="n"/>
      <c r="H1072" s="39" t="n"/>
      <c r="I1072" s="39" t="n"/>
      <c r="J1072" s="39" t="n"/>
      <c r="K1072" s="39" t="n"/>
      <c r="L1072" s="39" t="n"/>
      <c r="M1072" s="7" t="n"/>
      <c r="N1072" s="7" t="n"/>
      <c r="O1072" s="40" t="n"/>
      <c r="P1072" s="40" t="n"/>
      <c r="Q1072" s="40" t="n"/>
      <c r="R1072" s="40" t="n"/>
      <c r="S1072" s="40" t="n"/>
      <c r="T1072" s="40" t="n"/>
      <c r="U1072" s="40" t="n"/>
      <c r="V1072" s="40" t="n"/>
      <c r="W1072" s="40" t="n"/>
      <c r="X1072" s="40" t="n"/>
      <c r="Y1072" s="40" t="n"/>
      <c r="Z1072" s="40" t="n"/>
      <c r="AA1072" s="39" t="n"/>
    </row>
    <row r="1073">
      <c r="A1073" s="7" t="n"/>
      <c r="B1073" s="7" t="n"/>
      <c r="C1073" s="39" t="n"/>
      <c r="D1073" s="39" t="n"/>
      <c r="E1073" s="7" t="n"/>
      <c r="F1073" s="7" t="n"/>
      <c r="G1073" s="7" t="n"/>
      <c r="H1073" s="39" t="n"/>
      <c r="I1073" s="39" t="n"/>
      <c r="J1073" s="39" t="n"/>
      <c r="K1073" s="39" t="n"/>
      <c r="L1073" s="39" t="n"/>
      <c r="M1073" s="7" t="n"/>
      <c r="N1073" s="7" t="n"/>
      <c r="O1073" s="40" t="n"/>
      <c r="P1073" s="40" t="n"/>
      <c r="Q1073" s="40" t="n"/>
      <c r="R1073" s="40" t="n"/>
      <c r="S1073" s="40" t="n"/>
      <c r="T1073" s="40" t="n"/>
      <c r="U1073" s="40" t="n"/>
      <c r="V1073" s="40" t="n"/>
      <c r="W1073" s="40" t="n"/>
      <c r="X1073" s="40" t="n"/>
      <c r="Y1073" s="40" t="n"/>
      <c r="Z1073" s="40" t="n"/>
      <c r="AA1073" s="39" t="n"/>
    </row>
    <row r="1074">
      <c r="A1074" s="7" t="n"/>
      <c r="B1074" s="7" t="n"/>
      <c r="C1074" s="39" t="n"/>
      <c r="D1074" s="39" t="n"/>
      <c r="E1074" s="7" t="n"/>
      <c r="F1074" s="7" t="n"/>
      <c r="G1074" s="7" t="n"/>
      <c r="H1074" s="39" t="n"/>
      <c r="I1074" s="39" t="n"/>
      <c r="J1074" s="39" t="n"/>
      <c r="K1074" s="39" t="n"/>
      <c r="L1074" s="39" t="n"/>
      <c r="M1074" s="7" t="n"/>
      <c r="N1074" s="7" t="n"/>
      <c r="O1074" s="40" t="n"/>
      <c r="P1074" s="40" t="n"/>
      <c r="Q1074" s="40" t="n"/>
      <c r="R1074" s="40" t="n"/>
      <c r="S1074" s="40" t="n"/>
      <c r="T1074" s="40" t="n"/>
      <c r="U1074" s="40" t="n"/>
      <c r="V1074" s="40" t="n"/>
      <c r="W1074" s="40" t="n"/>
      <c r="X1074" s="40" t="n"/>
      <c r="Y1074" s="40" t="n"/>
      <c r="Z1074" s="40" t="n"/>
      <c r="AA1074" s="39" t="n"/>
    </row>
    <row r="1075">
      <c r="A1075" s="7" t="n"/>
      <c r="B1075" s="7" t="n"/>
      <c r="C1075" s="39" t="n"/>
      <c r="D1075" s="39" t="n"/>
      <c r="E1075" s="7" t="n"/>
      <c r="F1075" s="7" t="n"/>
      <c r="G1075" s="7" t="n"/>
      <c r="H1075" s="39" t="n"/>
      <c r="I1075" s="39" t="n"/>
      <c r="J1075" s="39" t="n"/>
      <c r="K1075" s="39" t="n"/>
      <c r="L1075" s="39" t="n"/>
      <c r="M1075" s="7" t="n"/>
      <c r="N1075" s="7" t="n"/>
      <c r="O1075" s="40" t="n"/>
      <c r="P1075" s="40" t="n"/>
      <c r="Q1075" s="40" t="n"/>
      <c r="R1075" s="40" t="n"/>
      <c r="S1075" s="40" t="n"/>
      <c r="T1075" s="40" t="n"/>
      <c r="U1075" s="40" t="n"/>
      <c r="V1075" s="40" t="n"/>
      <c r="W1075" s="40" t="n"/>
      <c r="X1075" s="40" t="n"/>
      <c r="Y1075" s="40" t="n"/>
      <c r="Z1075" s="40" t="n"/>
      <c r="AA1075" s="39" t="n"/>
    </row>
    <row r="1076">
      <c r="A1076" s="7" t="n"/>
      <c r="B1076" s="7" t="n"/>
      <c r="C1076" s="39" t="n"/>
      <c r="D1076" s="39" t="n"/>
      <c r="E1076" s="7" t="n"/>
      <c r="F1076" s="7" t="n"/>
      <c r="G1076" s="7" t="n"/>
      <c r="H1076" s="39" t="n"/>
      <c r="I1076" s="39" t="n"/>
      <c r="J1076" s="39" t="n"/>
      <c r="K1076" s="39" t="n"/>
      <c r="L1076" s="39" t="n"/>
      <c r="M1076" s="7" t="n"/>
      <c r="N1076" s="7" t="n"/>
      <c r="O1076" s="40" t="n"/>
      <c r="P1076" s="40" t="n"/>
      <c r="Q1076" s="40" t="n"/>
      <c r="R1076" s="40" t="n"/>
      <c r="S1076" s="40" t="n"/>
      <c r="T1076" s="40" t="n"/>
      <c r="U1076" s="40" t="n"/>
      <c r="V1076" s="40" t="n"/>
      <c r="W1076" s="40" t="n"/>
      <c r="X1076" s="40" t="n"/>
      <c r="Y1076" s="40" t="n"/>
      <c r="Z1076" s="40" t="n"/>
      <c r="AA1076" s="39" t="n"/>
    </row>
    <row r="1077">
      <c r="A1077" s="7" t="n"/>
      <c r="B1077" s="7" t="n"/>
      <c r="C1077" s="39" t="n"/>
      <c r="D1077" s="39" t="n"/>
      <c r="E1077" s="7" t="n"/>
      <c r="F1077" s="7" t="n"/>
      <c r="G1077" s="7" t="n"/>
      <c r="H1077" s="39" t="n"/>
      <c r="I1077" s="39" t="n"/>
      <c r="J1077" s="39" t="n"/>
      <c r="K1077" s="39" t="n"/>
      <c r="L1077" s="39" t="n"/>
      <c r="M1077" s="7" t="n"/>
      <c r="N1077" s="7" t="n"/>
      <c r="O1077" s="40" t="n"/>
      <c r="P1077" s="40" t="n"/>
      <c r="Q1077" s="40" t="n"/>
      <c r="R1077" s="40" t="n"/>
      <c r="S1077" s="40" t="n"/>
      <c r="T1077" s="40" t="n"/>
      <c r="U1077" s="40" t="n"/>
      <c r="V1077" s="40" t="n"/>
      <c r="W1077" s="40" t="n"/>
      <c r="X1077" s="40" t="n"/>
      <c r="Y1077" s="40" t="n"/>
      <c r="Z1077" s="40" t="n"/>
      <c r="AA1077" s="39" t="n"/>
    </row>
    <row r="1078">
      <c r="A1078" s="7" t="n"/>
      <c r="B1078" s="7" t="n"/>
      <c r="C1078" s="39" t="n"/>
      <c r="D1078" s="39" t="n"/>
      <c r="E1078" s="7" t="n"/>
      <c r="F1078" s="7" t="n"/>
      <c r="G1078" s="7" t="n"/>
      <c r="H1078" s="39" t="n"/>
      <c r="I1078" s="39" t="n"/>
      <c r="J1078" s="39" t="n"/>
      <c r="K1078" s="39" t="n"/>
      <c r="L1078" s="39" t="n"/>
      <c r="M1078" s="7" t="n"/>
      <c r="N1078" s="7" t="n"/>
      <c r="O1078" s="40" t="n"/>
      <c r="P1078" s="40" t="n"/>
      <c r="Q1078" s="40" t="n"/>
      <c r="R1078" s="40" t="n"/>
      <c r="S1078" s="40" t="n"/>
      <c r="T1078" s="40" t="n"/>
      <c r="U1078" s="40" t="n"/>
      <c r="V1078" s="40" t="n"/>
      <c r="W1078" s="40" t="n"/>
      <c r="X1078" s="40" t="n"/>
      <c r="Y1078" s="40" t="n"/>
      <c r="Z1078" s="40" t="n"/>
      <c r="AA1078" s="39" t="n"/>
    </row>
    <row r="1079">
      <c r="A1079" s="7" t="n"/>
      <c r="B1079" s="7" t="n"/>
      <c r="C1079" s="39" t="n"/>
      <c r="D1079" s="39" t="n"/>
      <c r="E1079" s="7" t="n"/>
      <c r="F1079" s="7" t="n"/>
      <c r="G1079" s="7" t="n"/>
      <c r="H1079" s="39" t="n"/>
      <c r="I1079" s="39" t="n"/>
      <c r="J1079" s="39" t="n"/>
      <c r="K1079" s="39" t="n"/>
      <c r="L1079" s="39" t="n"/>
      <c r="M1079" s="7" t="n"/>
      <c r="N1079" s="7" t="n"/>
      <c r="O1079" s="40" t="n"/>
      <c r="P1079" s="40" t="n"/>
      <c r="Q1079" s="40" t="n"/>
      <c r="R1079" s="40" t="n"/>
      <c r="S1079" s="40" t="n"/>
      <c r="T1079" s="40" t="n"/>
      <c r="U1079" s="40" t="n"/>
      <c r="V1079" s="40" t="n"/>
      <c r="W1079" s="40" t="n"/>
      <c r="X1079" s="40" t="n"/>
      <c r="Y1079" s="40" t="n"/>
      <c r="Z1079" s="40" t="n"/>
      <c r="AA1079" s="39" t="n"/>
    </row>
    <row r="1080">
      <c r="A1080" s="7" t="n"/>
      <c r="B1080" s="7" t="n"/>
      <c r="C1080" s="39" t="n"/>
      <c r="D1080" s="39" t="n"/>
      <c r="E1080" s="7" t="n"/>
      <c r="F1080" s="7" t="n"/>
      <c r="G1080" s="7" t="n"/>
      <c r="H1080" s="39" t="n"/>
      <c r="I1080" s="39" t="n"/>
      <c r="J1080" s="39" t="n"/>
      <c r="K1080" s="39" t="n"/>
      <c r="L1080" s="39" t="n"/>
      <c r="M1080" s="7" t="n"/>
      <c r="N1080" s="7" t="n"/>
      <c r="O1080" s="40" t="n"/>
      <c r="P1080" s="40" t="n"/>
      <c r="Q1080" s="40" t="n"/>
      <c r="R1080" s="40" t="n"/>
      <c r="S1080" s="40" t="n"/>
      <c r="T1080" s="40" t="n"/>
      <c r="U1080" s="40" t="n"/>
      <c r="V1080" s="40" t="n"/>
      <c r="W1080" s="40" t="n"/>
      <c r="X1080" s="40" t="n"/>
      <c r="Y1080" s="40" t="n"/>
      <c r="Z1080" s="40" t="n"/>
      <c r="AA1080" s="39" t="n"/>
    </row>
    <row r="1081">
      <c r="A1081" s="7" t="n"/>
      <c r="B1081" s="7" t="n"/>
      <c r="C1081" s="39" t="n"/>
      <c r="D1081" s="39" t="n"/>
      <c r="E1081" s="7" t="n"/>
      <c r="F1081" s="7" t="n"/>
      <c r="G1081" s="7" t="n"/>
      <c r="H1081" s="39" t="n"/>
      <c r="I1081" s="39" t="n"/>
      <c r="J1081" s="39" t="n"/>
      <c r="K1081" s="39" t="n"/>
      <c r="L1081" s="39" t="n"/>
      <c r="M1081" s="7" t="n"/>
      <c r="N1081" s="7" t="n"/>
      <c r="O1081" s="40" t="n"/>
      <c r="P1081" s="40" t="n"/>
      <c r="Q1081" s="40" t="n"/>
      <c r="R1081" s="40" t="n"/>
      <c r="S1081" s="40" t="n"/>
      <c r="T1081" s="40" t="n"/>
      <c r="U1081" s="40" t="n"/>
      <c r="V1081" s="40" t="n"/>
      <c r="W1081" s="40" t="n"/>
      <c r="X1081" s="40" t="n"/>
      <c r="Y1081" s="40" t="n"/>
      <c r="Z1081" s="40" t="n"/>
      <c r="AA1081" s="39" t="n"/>
    </row>
    <row r="1082">
      <c r="A1082" s="7" t="n"/>
      <c r="B1082" s="7" t="n"/>
      <c r="C1082" s="39" t="n"/>
      <c r="D1082" s="39" t="n"/>
      <c r="E1082" s="7" t="n"/>
      <c r="F1082" s="7" t="n"/>
      <c r="G1082" s="7" t="n"/>
      <c r="H1082" s="39" t="n"/>
      <c r="I1082" s="39" t="n"/>
      <c r="J1082" s="39" t="n"/>
      <c r="K1082" s="39" t="n"/>
      <c r="L1082" s="39" t="n"/>
      <c r="M1082" s="7" t="n"/>
      <c r="N1082" s="7" t="n"/>
      <c r="O1082" s="40" t="n"/>
      <c r="P1082" s="40" t="n"/>
      <c r="Q1082" s="40" t="n"/>
      <c r="R1082" s="40" t="n"/>
      <c r="S1082" s="40" t="n"/>
      <c r="T1082" s="40" t="n"/>
      <c r="U1082" s="40" t="n"/>
      <c r="V1082" s="40" t="n"/>
      <c r="W1082" s="40" t="n"/>
      <c r="X1082" s="40" t="n"/>
      <c r="Y1082" s="40" t="n"/>
      <c r="Z1082" s="40" t="n"/>
      <c r="AA1082" s="39" t="n"/>
    </row>
    <row r="1083">
      <c r="A1083" s="7" t="n"/>
      <c r="B1083" s="7" t="n"/>
      <c r="C1083" s="39" t="n"/>
      <c r="D1083" s="39" t="n"/>
      <c r="E1083" s="7" t="n"/>
      <c r="F1083" s="7" t="n"/>
      <c r="G1083" s="7" t="n"/>
      <c r="H1083" s="39" t="n"/>
      <c r="I1083" s="39" t="n"/>
      <c r="J1083" s="39" t="n"/>
      <c r="K1083" s="39" t="n"/>
      <c r="L1083" s="39" t="n"/>
      <c r="M1083" s="7" t="n"/>
      <c r="N1083" s="7" t="n"/>
      <c r="O1083" s="40" t="n"/>
      <c r="P1083" s="40" t="n"/>
      <c r="Q1083" s="40" t="n"/>
      <c r="R1083" s="40" t="n"/>
      <c r="S1083" s="40" t="n"/>
      <c r="T1083" s="40" t="n"/>
      <c r="U1083" s="40" t="n"/>
      <c r="V1083" s="40" t="n"/>
      <c r="W1083" s="40" t="n"/>
      <c r="X1083" s="40" t="n"/>
      <c r="Y1083" s="40" t="n"/>
      <c r="Z1083" s="40" t="n"/>
      <c r="AA1083" s="39" t="n"/>
    </row>
    <row r="1084">
      <c r="A1084" s="7" t="n"/>
      <c r="B1084" s="7" t="n"/>
      <c r="C1084" s="39" t="n"/>
      <c r="D1084" s="39" t="n"/>
      <c r="E1084" s="7" t="n"/>
      <c r="F1084" s="7" t="n"/>
      <c r="G1084" s="7" t="n"/>
      <c r="H1084" s="39" t="n"/>
      <c r="I1084" s="39" t="n"/>
      <c r="J1084" s="39" t="n"/>
      <c r="K1084" s="39" t="n"/>
      <c r="L1084" s="39" t="n"/>
      <c r="M1084" s="7" t="n"/>
      <c r="N1084" s="7" t="n"/>
      <c r="O1084" s="40" t="n"/>
      <c r="P1084" s="40" t="n"/>
      <c r="Q1084" s="40" t="n"/>
      <c r="R1084" s="40" t="n"/>
      <c r="S1084" s="40" t="n"/>
      <c r="T1084" s="40" t="n"/>
      <c r="U1084" s="40" t="n"/>
      <c r="V1084" s="40" t="n"/>
      <c r="W1084" s="40" t="n"/>
      <c r="X1084" s="40" t="n"/>
      <c r="Y1084" s="40" t="n"/>
      <c r="Z1084" s="40" t="n"/>
      <c r="AA1084" s="39" t="n"/>
    </row>
    <row r="1085">
      <c r="A1085" s="7" t="n"/>
      <c r="B1085" s="7" t="n"/>
      <c r="C1085" s="39" t="n"/>
      <c r="D1085" s="39" t="n"/>
      <c r="E1085" s="7" t="n"/>
      <c r="F1085" s="7" t="n"/>
      <c r="G1085" s="7" t="n"/>
      <c r="H1085" s="39" t="n"/>
      <c r="I1085" s="39" t="n"/>
      <c r="J1085" s="39" t="n"/>
      <c r="K1085" s="39" t="n"/>
      <c r="L1085" s="39" t="n"/>
      <c r="M1085" s="7" t="n"/>
      <c r="N1085" s="7" t="n"/>
      <c r="O1085" s="40" t="n"/>
      <c r="P1085" s="40" t="n"/>
      <c r="Q1085" s="40" t="n"/>
      <c r="R1085" s="40" t="n"/>
      <c r="S1085" s="40" t="n"/>
      <c r="T1085" s="40" t="n"/>
      <c r="U1085" s="40" t="n"/>
      <c r="V1085" s="40" t="n"/>
      <c r="W1085" s="40" t="n"/>
      <c r="X1085" s="40" t="n"/>
      <c r="Y1085" s="40" t="n"/>
      <c r="Z1085" s="40" t="n"/>
      <c r="AA1085" s="39" t="n"/>
    </row>
    <row r="1086">
      <c r="A1086" s="7" t="n"/>
      <c r="B1086" s="7" t="n"/>
      <c r="C1086" s="39" t="n"/>
      <c r="D1086" s="39" t="n"/>
      <c r="E1086" s="7" t="n"/>
      <c r="F1086" s="7" t="n"/>
      <c r="G1086" s="7" t="n"/>
      <c r="H1086" s="39" t="n"/>
      <c r="I1086" s="39" t="n"/>
      <c r="J1086" s="39" t="n"/>
      <c r="K1086" s="39" t="n"/>
      <c r="L1086" s="39" t="n"/>
      <c r="M1086" s="7" t="n"/>
      <c r="N1086" s="7" t="n"/>
      <c r="O1086" s="40" t="n"/>
      <c r="P1086" s="40" t="n"/>
      <c r="Q1086" s="40" t="n"/>
      <c r="R1086" s="40" t="n"/>
      <c r="S1086" s="40" t="n"/>
      <c r="T1086" s="40" t="n"/>
      <c r="U1086" s="40" t="n"/>
      <c r="V1086" s="40" t="n"/>
      <c r="W1086" s="40" t="n"/>
      <c r="X1086" s="40" t="n"/>
      <c r="Y1086" s="40" t="n"/>
      <c r="Z1086" s="40" t="n"/>
      <c r="AA1086" s="39" t="n"/>
    </row>
    <row r="1087">
      <c r="A1087" s="7" t="n"/>
      <c r="B1087" s="7" t="n"/>
      <c r="C1087" s="39" t="n"/>
      <c r="D1087" s="39" t="n"/>
      <c r="E1087" s="7" t="n"/>
      <c r="F1087" s="7" t="n"/>
      <c r="G1087" s="7" t="n"/>
      <c r="H1087" s="39" t="n"/>
      <c r="I1087" s="39" t="n"/>
      <c r="J1087" s="39" t="n"/>
      <c r="K1087" s="39" t="n"/>
      <c r="L1087" s="39" t="n"/>
      <c r="M1087" s="7" t="n"/>
      <c r="N1087" s="7" t="n"/>
      <c r="O1087" s="40" t="n"/>
      <c r="P1087" s="40" t="n"/>
      <c r="Q1087" s="40" t="n"/>
      <c r="R1087" s="40" t="n"/>
      <c r="S1087" s="40" t="n"/>
      <c r="T1087" s="40" t="n"/>
      <c r="U1087" s="40" t="n"/>
      <c r="V1087" s="40" t="n"/>
      <c r="W1087" s="40" t="n"/>
      <c r="X1087" s="40" t="n"/>
      <c r="Y1087" s="40" t="n"/>
      <c r="Z1087" s="40" t="n"/>
      <c r="AA1087" s="39" t="n"/>
    </row>
    <row r="1088">
      <c r="A1088" s="7" t="n"/>
      <c r="B1088" s="7" t="n"/>
      <c r="C1088" s="39" t="n"/>
      <c r="D1088" s="39" t="n"/>
      <c r="E1088" s="7" t="n"/>
      <c r="F1088" s="7" t="n"/>
      <c r="G1088" s="7" t="n"/>
      <c r="H1088" s="39" t="n"/>
      <c r="I1088" s="39" t="n"/>
      <c r="J1088" s="39" t="n"/>
      <c r="K1088" s="39" t="n"/>
      <c r="L1088" s="39" t="n"/>
      <c r="M1088" s="7" t="n"/>
      <c r="N1088" s="7" t="n"/>
      <c r="O1088" s="40" t="n"/>
      <c r="P1088" s="40" t="n"/>
      <c r="Q1088" s="40" t="n"/>
      <c r="R1088" s="40" t="n"/>
      <c r="S1088" s="40" t="n"/>
      <c r="T1088" s="40" t="n"/>
      <c r="U1088" s="40" t="n"/>
      <c r="V1088" s="40" t="n"/>
      <c r="W1088" s="40" t="n"/>
      <c r="X1088" s="40" t="n"/>
      <c r="Y1088" s="40" t="n"/>
      <c r="Z1088" s="40" t="n"/>
      <c r="AA1088" s="39" t="n"/>
    </row>
    <row r="1089">
      <c r="A1089" s="7" t="n"/>
      <c r="B1089" s="7" t="n"/>
      <c r="C1089" s="39" t="n"/>
      <c r="D1089" s="39" t="n"/>
      <c r="E1089" s="7" t="n"/>
      <c r="F1089" s="7" t="n"/>
      <c r="G1089" s="7" t="n"/>
      <c r="H1089" s="39" t="n"/>
      <c r="I1089" s="39" t="n"/>
      <c r="J1089" s="39" t="n"/>
      <c r="K1089" s="39" t="n"/>
      <c r="L1089" s="39" t="n"/>
      <c r="M1089" s="7" t="n"/>
      <c r="N1089" s="7" t="n"/>
      <c r="O1089" s="40" t="n"/>
      <c r="P1089" s="40" t="n"/>
      <c r="Q1089" s="40" t="n"/>
      <c r="R1089" s="40" t="n"/>
      <c r="S1089" s="40" t="n"/>
      <c r="T1089" s="40" t="n"/>
      <c r="U1089" s="40" t="n"/>
      <c r="V1089" s="40" t="n"/>
      <c r="W1089" s="40" t="n"/>
      <c r="X1089" s="40" t="n"/>
      <c r="Y1089" s="40" t="n"/>
      <c r="Z1089" s="40" t="n"/>
      <c r="AA1089" s="39" t="n"/>
    </row>
    <row r="1090">
      <c r="A1090" s="7" t="n"/>
      <c r="B1090" s="7" t="n"/>
      <c r="C1090" s="39" t="n"/>
      <c r="D1090" s="39" t="n"/>
      <c r="E1090" s="7" t="n"/>
      <c r="F1090" s="7" t="n"/>
      <c r="G1090" s="7" t="n"/>
      <c r="H1090" s="39" t="n"/>
      <c r="I1090" s="39" t="n"/>
      <c r="J1090" s="39" t="n"/>
      <c r="K1090" s="39" t="n"/>
      <c r="L1090" s="39" t="n"/>
      <c r="M1090" s="7" t="n"/>
      <c r="N1090" s="7" t="n"/>
      <c r="O1090" s="40" t="n"/>
      <c r="P1090" s="40" t="n"/>
      <c r="Q1090" s="40" t="n"/>
      <c r="R1090" s="40" t="n"/>
      <c r="S1090" s="40" t="n"/>
      <c r="T1090" s="40" t="n"/>
      <c r="U1090" s="40" t="n"/>
      <c r="V1090" s="40" t="n"/>
      <c r="W1090" s="40" t="n"/>
      <c r="X1090" s="40" t="n"/>
      <c r="Y1090" s="40" t="n"/>
      <c r="Z1090" s="40" t="n"/>
      <c r="AA1090" s="39" t="n"/>
    </row>
    <row r="1091">
      <c r="A1091" s="7" t="n"/>
      <c r="B1091" s="7" t="n"/>
      <c r="C1091" s="39" t="n"/>
      <c r="D1091" s="39" t="n"/>
      <c r="E1091" s="7" t="n"/>
      <c r="F1091" s="7" t="n"/>
      <c r="G1091" s="7" t="n"/>
      <c r="H1091" s="39" t="n"/>
      <c r="I1091" s="39" t="n"/>
      <c r="J1091" s="39" t="n"/>
      <c r="K1091" s="39" t="n"/>
      <c r="L1091" s="39" t="n"/>
      <c r="M1091" s="7" t="n"/>
      <c r="N1091" s="7" t="n"/>
      <c r="O1091" s="40" t="n"/>
      <c r="P1091" s="40" t="n"/>
      <c r="Q1091" s="40" t="n"/>
      <c r="R1091" s="40" t="n"/>
      <c r="S1091" s="40" t="n"/>
      <c r="T1091" s="40" t="n"/>
      <c r="U1091" s="40" t="n"/>
      <c r="V1091" s="40" t="n"/>
      <c r="W1091" s="40" t="n"/>
      <c r="X1091" s="40" t="n"/>
      <c r="Y1091" s="40" t="n"/>
      <c r="Z1091" s="40" t="n"/>
      <c r="AA1091" s="39" t="n"/>
    </row>
    <row r="1092">
      <c r="A1092" s="7" t="n"/>
      <c r="B1092" s="7" t="n"/>
      <c r="C1092" s="39" t="n"/>
      <c r="D1092" s="39" t="n"/>
      <c r="E1092" s="7" t="n"/>
      <c r="F1092" s="7" t="n"/>
      <c r="G1092" s="7" t="n"/>
      <c r="H1092" s="39" t="n"/>
      <c r="I1092" s="39" t="n"/>
      <c r="J1092" s="39" t="n"/>
      <c r="K1092" s="39" t="n"/>
      <c r="L1092" s="39" t="n"/>
      <c r="M1092" s="7" t="n"/>
      <c r="N1092" s="7" t="n"/>
      <c r="O1092" s="40" t="n"/>
      <c r="P1092" s="40" t="n"/>
      <c r="Q1092" s="40" t="n"/>
      <c r="R1092" s="40" t="n"/>
      <c r="S1092" s="40" t="n"/>
      <c r="T1092" s="40" t="n"/>
      <c r="U1092" s="40" t="n"/>
      <c r="V1092" s="40" t="n"/>
      <c r="W1092" s="40" t="n"/>
      <c r="X1092" s="40" t="n"/>
      <c r="Y1092" s="40" t="n"/>
      <c r="Z1092" s="40" t="n"/>
      <c r="AA1092" s="39" t="n"/>
    </row>
    <row r="1093">
      <c r="A1093" s="7" t="n"/>
      <c r="B1093" s="7" t="n"/>
      <c r="C1093" s="39" t="n"/>
      <c r="D1093" s="39" t="n"/>
      <c r="E1093" s="7" t="n"/>
      <c r="F1093" s="7" t="n"/>
      <c r="G1093" s="7" t="n"/>
      <c r="H1093" s="39" t="n"/>
      <c r="I1093" s="39" t="n"/>
      <c r="J1093" s="39" t="n"/>
      <c r="K1093" s="39" t="n"/>
      <c r="L1093" s="39" t="n"/>
      <c r="M1093" s="7" t="n"/>
      <c r="N1093" s="7" t="n"/>
      <c r="O1093" s="40" t="n"/>
      <c r="P1093" s="40" t="n"/>
      <c r="Q1093" s="40" t="n"/>
      <c r="R1093" s="40" t="n"/>
      <c r="S1093" s="40" t="n"/>
      <c r="T1093" s="40" t="n"/>
      <c r="U1093" s="40" t="n"/>
      <c r="V1093" s="40" t="n"/>
      <c r="W1093" s="40" t="n"/>
      <c r="X1093" s="40" t="n"/>
      <c r="Y1093" s="40" t="n"/>
      <c r="Z1093" s="40" t="n"/>
      <c r="AA1093" s="39" t="n"/>
    </row>
    <row r="1094">
      <c r="A1094" s="7" t="n"/>
      <c r="B1094" s="7" t="n"/>
      <c r="C1094" s="39" t="n"/>
      <c r="D1094" s="39" t="n"/>
      <c r="E1094" s="7" t="n"/>
      <c r="F1094" s="7" t="n"/>
      <c r="G1094" s="7" t="n"/>
      <c r="H1094" s="39" t="n"/>
      <c r="I1094" s="39" t="n"/>
      <c r="J1094" s="39" t="n"/>
      <c r="K1094" s="39" t="n"/>
      <c r="L1094" s="39" t="n"/>
      <c r="M1094" s="7" t="n"/>
      <c r="N1094" s="7" t="n"/>
      <c r="O1094" s="40" t="n"/>
      <c r="P1094" s="40" t="n"/>
      <c r="Q1094" s="40" t="n"/>
      <c r="R1094" s="40" t="n"/>
      <c r="S1094" s="40" t="n"/>
      <c r="T1094" s="40" t="n"/>
      <c r="U1094" s="40" t="n"/>
      <c r="V1094" s="40" t="n"/>
      <c r="W1094" s="40" t="n"/>
      <c r="X1094" s="40" t="n"/>
      <c r="Y1094" s="40" t="n"/>
      <c r="Z1094" s="40" t="n"/>
      <c r="AA1094" s="39" t="n"/>
    </row>
    <row r="1095">
      <c r="A1095" s="7" t="n"/>
      <c r="B1095" s="7" t="n"/>
      <c r="C1095" s="39" t="n"/>
      <c r="D1095" s="39" t="n"/>
      <c r="E1095" s="7" t="n"/>
      <c r="F1095" s="7" t="n"/>
      <c r="G1095" s="7" t="n"/>
      <c r="H1095" s="39" t="n"/>
      <c r="I1095" s="39" t="n"/>
      <c r="J1095" s="39" t="n"/>
      <c r="K1095" s="39" t="n"/>
      <c r="L1095" s="39" t="n"/>
      <c r="M1095" s="7" t="n"/>
      <c r="N1095" s="7" t="n"/>
      <c r="O1095" s="40" t="n"/>
      <c r="P1095" s="40" t="n"/>
      <c r="Q1095" s="40" t="n"/>
      <c r="R1095" s="40" t="n"/>
      <c r="S1095" s="40" t="n"/>
      <c r="T1095" s="40" t="n"/>
      <c r="U1095" s="40" t="n"/>
      <c r="V1095" s="40" t="n"/>
      <c r="W1095" s="40" t="n"/>
      <c r="X1095" s="40" t="n"/>
      <c r="Y1095" s="40" t="n"/>
      <c r="Z1095" s="40" t="n"/>
      <c r="AA1095" s="39" t="n"/>
    </row>
    <row r="1096">
      <c r="A1096" s="7" t="n"/>
      <c r="B1096" s="7" t="n"/>
      <c r="C1096" s="39" t="n"/>
      <c r="D1096" s="39" t="n"/>
      <c r="E1096" s="7" t="n"/>
      <c r="F1096" s="7" t="n"/>
      <c r="G1096" s="7" t="n"/>
      <c r="H1096" s="39" t="n"/>
      <c r="I1096" s="39" t="n"/>
      <c r="J1096" s="39" t="n"/>
      <c r="K1096" s="39" t="n"/>
      <c r="L1096" s="39" t="n"/>
      <c r="M1096" s="7" t="n"/>
      <c r="N1096" s="7" t="n"/>
      <c r="O1096" s="40" t="n"/>
      <c r="P1096" s="40" t="n"/>
      <c r="Q1096" s="40" t="n"/>
      <c r="R1096" s="40" t="n"/>
      <c r="S1096" s="40" t="n"/>
      <c r="T1096" s="40" t="n"/>
      <c r="U1096" s="40" t="n"/>
      <c r="V1096" s="40" t="n"/>
      <c r="W1096" s="40" t="n"/>
      <c r="X1096" s="40" t="n"/>
      <c r="Y1096" s="40" t="n"/>
      <c r="Z1096" s="40" t="n"/>
      <c r="AA1096" s="39" t="n"/>
    </row>
    <row r="1097">
      <c r="A1097" s="7" t="n"/>
      <c r="B1097" s="7" t="n"/>
      <c r="C1097" s="39" t="n"/>
      <c r="D1097" s="39" t="n"/>
      <c r="E1097" s="7" t="n"/>
      <c r="F1097" s="7" t="n"/>
      <c r="G1097" s="7" t="n"/>
      <c r="H1097" s="39" t="n"/>
      <c r="I1097" s="39" t="n"/>
      <c r="J1097" s="39" t="n"/>
      <c r="K1097" s="39" t="n"/>
      <c r="L1097" s="39" t="n"/>
      <c r="M1097" s="7" t="n"/>
      <c r="N1097" s="7" t="n"/>
      <c r="O1097" s="40" t="n"/>
      <c r="P1097" s="40" t="n"/>
      <c r="Q1097" s="40" t="n"/>
      <c r="R1097" s="40" t="n"/>
      <c r="S1097" s="40" t="n"/>
      <c r="T1097" s="40" t="n"/>
      <c r="U1097" s="40" t="n"/>
      <c r="V1097" s="40" t="n"/>
      <c r="W1097" s="40" t="n"/>
      <c r="X1097" s="40" t="n"/>
      <c r="Y1097" s="40" t="n"/>
      <c r="Z1097" s="40" t="n"/>
      <c r="AA1097" s="39" t="n"/>
    </row>
    <row r="1098">
      <c r="A1098" s="7" t="n"/>
      <c r="B1098" s="7" t="n"/>
      <c r="C1098" s="39" t="n"/>
      <c r="D1098" s="39" t="n"/>
      <c r="E1098" s="7" t="n"/>
      <c r="F1098" s="7" t="n"/>
      <c r="G1098" s="7" t="n"/>
      <c r="H1098" s="39" t="n"/>
      <c r="I1098" s="39" t="n"/>
      <c r="J1098" s="39" t="n"/>
      <c r="K1098" s="39" t="n"/>
      <c r="L1098" s="39" t="n"/>
      <c r="M1098" s="7" t="n"/>
      <c r="N1098" s="7" t="n"/>
      <c r="O1098" s="40" t="n"/>
      <c r="P1098" s="40" t="n"/>
      <c r="Q1098" s="40" t="n"/>
      <c r="R1098" s="40" t="n"/>
      <c r="S1098" s="40" t="n"/>
      <c r="T1098" s="40" t="n"/>
      <c r="U1098" s="40" t="n"/>
      <c r="V1098" s="40" t="n"/>
      <c r="W1098" s="40" t="n"/>
      <c r="X1098" s="40" t="n"/>
      <c r="Y1098" s="40" t="n"/>
      <c r="Z1098" s="40" t="n"/>
      <c r="AA1098" s="39" t="n"/>
    </row>
    <row r="1099">
      <c r="A1099" s="7" t="n"/>
      <c r="B1099" s="7" t="n"/>
      <c r="C1099" s="39" t="n"/>
      <c r="D1099" s="39" t="n"/>
      <c r="E1099" s="7" t="n"/>
      <c r="F1099" s="7" t="n"/>
      <c r="G1099" s="7" t="n"/>
      <c r="H1099" s="39" t="n"/>
      <c r="I1099" s="39" t="n"/>
      <c r="J1099" s="39" t="n"/>
      <c r="K1099" s="39" t="n"/>
      <c r="L1099" s="39" t="n"/>
      <c r="M1099" s="7" t="n"/>
      <c r="N1099" s="7" t="n"/>
      <c r="O1099" s="40" t="n"/>
      <c r="P1099" s="40" t="n"/>
      <c r="Q1099" s="40" t="n"/>
      <c r="R1099" s="40" t="n"/>
      <c r="S1099" s="40" t="n"/>
      <c r="T1099" s="40" t="n"/>
      <c r="U1099" s="40" t="n"/>
      <c r="V1099" s="40" t="n"/>
      <c r="W1099" s="40" t="n"/>
      <c r="X1099" s="40" t="n"/>
      <c r="Y1099" s="40" t="n"/>
      <c r="Z1099" s="40" t="n"/>
      <c r="AA1099" s="39" t="n"/>
    </row>
    <row r="1100">
      <c r="A1100" s="7" t="n"/>
      <c r="B1100" s="7" t="n"/>
      <c r="C1100" s="39" t="n"/>
      <c r="D1100" s="39" t="n"/>
      <c r="E1100" s="7" t="n"/>
      <c r="F1100" s="7" t="n"/>
      <c r="G1100" s="7" t="n"/>
      <c r="H1100" s="39" t="n"/>
      <c r="I1100" s="39" t="n"/>
      <c r="J1100" s="39" t="n"/>
      <c r="K1100" s="39" t="n"/>
      <c r="L1100" s="39" t="n"/>
      <c r="M1100" s="7" t="n"/>
      <c r="N1100" s="7" t="n"/>
      <c r="O1100" s="40" t="n"/>
      <c r="P1100" s="40" t="n"/>
      <c r="Q1100" s="40" t="n"/>
      <c r="R1100" s="40" t="n"/>
      <c r="S1100" s="40" t="n"/>
      <c r="T1100" s="40" t="n"/>
      <c r="U1100" s="40" t="n"/>
      <c r="V1100" s="40" t="n"/>
      <c r="W1100" s="40" t="n"/>
      <c r="X1100" s="40" t="n"/>
      <c r="Y1100" s="40" t="n"/>
      <c r="Z1100" s="40" t="n"/>
      <c r="AA1100" s="39" t="n"/>
    </row>
    <row r="1101">
      <c r="A1101" s="7" t="n"/>
      <c r="B1101" s="7" t="n"/>
      <c r="C1101" s="39" t="n"/>
      <c r="D1101" s="39" t="n"/>
      <c r="E1101" s="7" t="n"/>
      <c r="F1101" s="7" t="n"/>
      <c r="G1101" s="7" t="n"/>
      <c r="H1101" s="39" t="n"/>
      <c r="I1101" s="39" t="n"/>
      <c r="J1101" s="39" t="n"/>
      <c r="K1101" s="39" t="n"/>
      <c r="L1101" s="39" t="n"/>
      <c r="M1101" s="7" t="n"/>
      <c r="N1101" s="7" t="n"/>
      <c r="O1101" s="40" t="n"/>
      <c r="P1101" s="40" t="n"/>
      <c r="Q1101" s="40" t="n"/>
      <c r="R1101" s="40" t="n"/>
      <c r="S1101" s="40" t="n"/>
      <c r="T1101" s="40" t="n"/>
      <c r="U1101" s="40" t="n"/>
      <c r="V1101" s="40" t="n"/>
      <c r="W1101" s="40" t="n"/>
      <c r="X1101" s="40" t="n"/>
      <c r="Y1101" s="40" t="n"/>
      <c r="Z1101" s="40" t="n"/>
      <c r="AA1101" s="39" t="n"/>
    </row>
    <row r="1102">
      <c r="A1102" s="7" t="n"/>
      <c r="B1102" s="7" t="n"/>
      <c r="C1102" s="39" t="n"/>
      <c r="D1102" s="39" t="n"/>
      <c r="E1102" s="7" t="n"/>
      <c r="F1102" s="7" t="n"/>
      <c r="G1102" s="7" t="n"/>
      <c r="H1102" s="39" t="n"/>
      <c r="I1102" s="39" t="n"/>
      <c r="J1102" s="39" t="n"/>
      <c r="K1102" s="39" t="n"/>
      <c r="L1102" s="39" t="n"/>
      <c r="M1102" s="7" t="n"/>
      <c r="N1102" s="7" t="n"/>
      <c r="O1102" s="40" t="n"/>
      <c r="P1102" s="40" t="n"/>
      <c r="Q1102" s="40" t="n"/>
      <c r="R1102" s="40" t="n"/>
      <c r="S1102" s="40" t="n"/>
      <c r="T1102" s="40" t="n"/>
      <c r="U1102" s="40" t="n"/>
      <c r="V1102" s="40" t="n"/>
      <c r="W1102" s="40" t="n"/>
      <c r="X1102" s="40" t="n"/>
      <c r="Y1102" s="40" t="n"/>
      <c r="Z1102" s="40" t="n"/>
      <c r="AA1102" s="39" t="n"/>
    </row>
    <row r="1103">
      <c r="A1103" s="7" t="n"/>
      <c r="B1103" s="7" t="n"/>
      <c r="C1103" s="39" t="n"/>
      <c r="D1103" s="39" t="n"/>
      <c r="E1103" s="7" t="n"/>
      <c r="F1103" s="7" t="n"/>
      <c r="G1103" s="7" t="n"/>
      <c r="H1103" s="39" t="n"/>
      <c r="I1103" s="39" t="n"/>
      <c r="J1103" s="39" t="n"/>
      <c r="K1103" s="39" t="n"/>
      <c r="L1103" s="39" t="n"/>
      <c r="M1103" s="7" t="n"/>
      <c r="N1103" s="7" t="n"/>
      <c r="O1103" s="40" t="n"/>
      <c r="P1103" s="40" t="n"/>
      <c r="Q1103" s="40" t="n"/>
      <c r="R1103" s="40" t="n"/>
      <c r="S1103" s="40" t="n"/>
      <c r="T1103" s="40" t="n"/>
      <c r="U1103" s="40" t="n"/>
      <c r="V1103" s="40" t="n"/>
      <c r="W1103" s="40" t="n"/>
      <c r="X1103" s="40" t="n"/>
      <c r="Y1103" s="40" t="n"/>
      <c r="Z1103" s="40" t="n"/>
      <c r="AA1103" s="39" t="n"/>
    </row>
    <row r="1104">
      <c r="A1104" s="7" t="n"/>
      <c r="B1104" s="7" t="n"/>
      <c r="C1104" s="39" t="n"/>
      <c r="D1104" s="39" t="n"/>
      <c r="E1104" s="7" t="n"/>
      <c r="F1104" s="7" t="n"/>
      <c r="G1104" s="7" t="n"/>
      <c r="H1104" s="39" t="n"/>
      <c r="I1104" s="39" t="n"/>
      <c r="J1104" s="39" t="n"/>
      <c r="K1104" s="39" t="n"/>
      <c r="L1104" s="39" t="n"/>
      <c r="M1104" s="7" t="n"/>
      <c r="N1104" s="7" t="n"/>
      <c r="O1104" s="40" t="n"/>
      <c r="P1104" s="40" t="n"/>
      <c r="Q1104" s="40" t="n"/>
      <c r="R1104" s="40" t="n"/>
      <c r="S1104" s="40" t="n"/>
      <c r="T1104" s="40" t="n"/>
      <c r="U1104" s="40" t="n"/>
      <c r="V1104" s="40" t="n"/>
      <c r="W1104" s="40" t="n"/>
      <c r="X1104" s="40" t="n"/>
      <c r="Y1104" s="40" t="n"/>
      <c r="Z1104" s="40" t="n"/>
      <c r="AA1104" s="39" t="n"/>
    </row>
    <row r="1105">
      <c r="A1105" s="7" t="n"/>
      <c r="B1105" s="7" t="n"/>
      <c r="C1105" s="39" t="n"/>
      <c r="D1105" s="39" t="n"/>
      <c r="E1105" s="7" t="n"/>
      <c r="F1105" s="7" t="n"/>
      <c r="G1105" s="7" t="n"/>
      <c r="H1105" s="39" t="n"/>
      <c r="I1105" s="39" t="n"/>
      <c r="J1105" s="39" t="n"/>
      <c r="K1105" s="39" t="n"/>
      <c r="L1105" s="39" t="n"/>
      <c r="M1105" s="7" t="n"/>
      <c r="N1105" s="7" t="n"/>
      <c r="O1105" s="40" t="n"/>
      <c r="P1105" s="40" t="n"/>
      <c r="Q1105" s="40" t="n"/>
      <c r="R1105" s="40" t="n"/>
      <c r="S1105" s="40" t="n"/>
      <c r="T1105" s="40" t="n"/>
      <c r="U1105" s="40" t="n"/>
      <c r="V1105" s="40" t="n"/>
      <c r="W1105" s="40" t="n"/>
      <c r="X1105" s="40" t="n"/>
      <c r="Y1105" s="40" t="n"/>
      <c r="Z1105" s="40" t="n"/>
      <c r="AA1105" s="39" t="n"/>
    </row>
    <row r="1106">
      <c r="A1106" s="7" t="n"/>
      <c r="B1106" s="7" t="n"/>
      <c r="C1106" s="39" t="n"/>
      <c r="D1106" s="39" t="n"/>
      <c r="E1106" s="7" t="n"/>
      <c r="F1106" s="7" t="n"/>
      <c r="G1106" s="7" t="n"/>
      <c r="H1106" s="39" t="n"/>
      <c r="I1106" s="39" t="n"/>
      <c r="J1106" s="39" t="n"/>
      <c r="K1106" s="39" t="n"/>
      <c r="L1106" s="39" t="n"/>
      <c r="M1106" s="7" t="n"/>
      <c r="N1106" s="7" t="n"/>
      <c r="O1106" s="40" t="n"/>
      <c r="P1106" s="40" t="n"/>
      <c r="Q1106" s="40" t="n"/>
      <c r="R1106" s="40" t="n"/>
      <c r="S1106" s="40" t="n"/>
      <c r="T1106" s="40" t="n"/>
      <c r="U1106" s="40" t="n"/>
      <c r="V1106" s="40" t="n"/>
      <c r="W1106" s="40" t="n"/>
      <c r="X1106" s="40" t="n"/>
      <c r="Y1106" s="40" t="n"/>
      <c r="Z1106" s="40" t="n"/>
      <c r="AA1106" s="39" t="n"/>
    </row>
    <row r="1107">
      <c r="A1107" s="7" t="n"/>
      <c r="B1107" s="7" t="n"/>
      <c r="C1107" s="39" t="n"/>
      <c r="D1107" s="39" t="n"/>
      <c r="E1107" s="7" t="n"/>
      <c r="F1107" s="7" t="n"/>
      <c r="G1107" s="7" t="n"/>
      <c r="H1107" s="39" t="n"/>
      <c r="I1107" s="39" t="n"/>
      <c r="J1107" s="39" t="n"/>
      <c r="K1107" s="39" t="n"/>
      <c r="L1107" s="39" t="n"/>
      <c r="M1107" s="7" t="n"/>
      <c r="N1107" s="7" t="n"/>
      <c r="O1107" s="40" t="n"/>
      <c r="P1107" s="40" t="n"/>
      <c r="Q1107" s="40" t="n"/>
      <c r="R1107" s="40" t="n"/>
      <c r="S1107" s="40" t="n"/>
      <c r="T1107" s="40" t="n"/>
      <c r="U1107" s="40" t="n"/>
      <c r="V1107" s="40" t="n"/>
      <c r="W1107" s="40" t="n"/>
      <c r="X1107" s="40" t="n"/>
      <c r="Y1107" s="40" t="n"/>
      <c r="Z1107" s="40" t="n"/>
      <c r="AA1107" s="39" t="n"/>
    </row>
    <row r="1108">
      <c r="A1108" s="7" t="n"/>
      <c r="B1108" s="7" t="n"/>
      <c r="C1108" s="39" t="n"/>
      <c r="D1108" s="39" t="n"/>
      <c r="E1108" s="7" t="n"/>
      <c r="F1108" s="7" t="n"/>
      <c r="G1108" s="7" t="n"/>
      <c r="H1108" s="39" t="n"/>
      <c r="I1108" s="39" t="n"/>
      <c r="J1108" s="39" t="n"/>
      <c r="K1108" s="39" t="n"/>
      <c r="L1108" s="39" t="n"/>
      <c r="M1108" s="7" t="n"/>
      <c r="N1108" s="7" t="n"/>
      <c r="O1108" s="40" t="n"/>
      <c r="P1108" s="40" t="n"/>
      <c r="Q1108" s="40" t="n"/>
      <c r="R1108" s="40" t="n"/>
      <c r="S1108" s="40" t="n"/>
      <c r="T1108" s="40" t="n"/>
      <c r="U1108" s="40" t="n"/>
      <c r="V1108" s="40" t="n"/>
      <c r="W1108" s="40" t="n"/>
      <c r="X1108" s="40" t="n"/>
      <c r="Y1108" s="40" t="n"/>
      <c r="Z1108" s="40" t="n"/>
      <c r="AA1108" s="39" t="n"/>
    </row>
    <row r="1109">
      <c r="A1109" s="7" t="n"/>
      <c r="B1109" s="7" t="n"/>
      <c r="C1109" s="39" t="n"/>
      <c r="D1109" s="39" t="n"/>
      <c r="E1109" s="7" t="n"/>
      <c r="F1109" s="7" t="n"/>
      <c r="G1109" s="7" t="n"/>
      <c r="H1109" s="39" t="n"/>
      <c r="I1109" s="39" t="n"/>
      <c r="J1109" s="39" t="n"/>
      <c r="K1109" s="39" t="n"/>
      <c r="L1109" s="39" t="n"/>
      <c r="M1109" s="7" t="n"/>
      <c r="N1109" s="7" t="n"/>
      <c r="O1109" s="40" t="n"/>
      <c r="P1109" s="40" t="n"/>
      <c r="Q1109" s="40" t="n"/>
      <c r="R1109" s="40" t="n"/>
      <c r="S1109" s="40" t="n"/>
      <c r="T1109" s="40" t="n"/>
      <c r="U1109" s="40" t="n"/>
      <c r="V1109" s="40" t="n"/>
      <c r="W1109" s="40" t="n"/>
      <c r="X1109" s="40" t="n"/>
      <c r="Y1109" s="40" t="n"/>
      <c r="Z1109" s="40" t="n"/>
      <c r="AA1109" s="39" t="n"/>
    </row>
    <row r="1110">
      <c r="A1110" s="7" t="n"/>
      <c r="B1110" s="7" t="n"/>
      <c r="C1110" s="39" t="n"/>
      <c r="D1110" s="39" t="n"/>
      <c r="E1110" s="7" t="n"/>
      <c r="F1110" s="7" t="n"/>
      <c r="G1110" s="7" t="n"/>
      <c r="H1110" s="39" t="n"/>
      <c r="I1110" s="39" t="n"/>
      <c r="J1110" s="39" t="n"/>
      <c r="K1110" s="39" t="n"/>
      <c r="L1110" s="39" t="n"/>
      <c r="M1110" s="7" t="n"/>
      <c r="N1110" s="7" t="n"/>
      <c r="O1110" s="40" t="n"/>
      <c r="P1110" s="40" t="n"/>
      <c r="Q1110" s="40" t="n"/>
      <c r="R1110" s="40" t="n"/>
      <c r="S1110" s="40" t="n"/>
      <c r="T1110" s="40" t="n"/>
      <c r="U1110" s="40" t="n"/>
      <c r="V1110" s="40" t="n"/>
      <c r="W1110" s="40" t="n"/>
      <c r="X1110" s="40" t="n"/>
      <c r="Y1110" s="40" t="n"/>
      <c r="Z1110" s="40" t="n"/>
      <c r="AA1110" s="39" t="n"/>
    </row>
    <row r="1111">
      <c r="A1111" s="7" t="n"/>
      <c r="B1111" s="7" t="n"/>
      <c r="C1111" s="39" t="n"/>
      <c r="D1111" s="39" t="n"/>
      <c r="E1111" s="7" t="n"/>
      <c r="F1111" s="7" t="n"/>
      <c r="G1111" s="7" t="n"/>
      <c r="H1111" s="39" t="n"/>
      <c r="I1111" s="39" t="n"/>
      <c r="J1111" s="39" t="n"/>
      <c r="K1111" s="39" t="n"/>
      <c r="L1111" s="39" t="n"/>
      <c r="M1111" s="7" t="n"/>
      <c r="N1111" s="7" t="n"/>
      <c r="O1111" s="40" t="n"/>
      <c r="P1111" s="40" t="n"/>
      <c r="Q1111" s="40" t="n"/>
      <c r="R1111" s="40" t="n"/>
      <c r="S1111" s="40" t="n"/>
      <c r="T1111" s="40" t="n"/>
      <c r="U1111" s="40" t="n"/>
      <c r="V1111" s="40" t="n"/>
      <c r="W1111" s="40" t="n"/>
      <c r="X1111" s="40" t="n"/>
      <c r="Y1111" s="40" t="n"/>
      <c r="Z1111" s="40" t="n"/>
      <c r="AA1111" s="39" t="n"/>
    </row>
    <row r="1112">
      <c r="A1112" s="7" t="n"/>
      <c r="B1112" s="7" t="n"/>
      <c r="C1112" s="39" t="n"/>
      <c r="D1112" s="39" t="n"/>
      <c r="E1112" s="7" t="n"/>
      <c r="F1112" s="7" t="n"/>
      <c r="G1112" s="7" t="n"/>
      <c r="H1112" s="39" t="n"/>
      <c r="I1112" s="39" t="n"/>
      <c r="J1112" s="39" t="n"/>
      <c r="K1112" s="39" t="n"/>
      <c r="L1112" s="39" t="n"/>
      <c r="M1112" s="7" t="n"/>
      <c r="N1112" s="7" t="n"/>
      <c r="O1112" s="40" t="n"/>
      <c r="P1112" s="40" t="n"/>
      <c r="Q1112" s="40" t="n"/>
      <c r="R1112" s="40" t="n"/>
      <c r="S1112" s="40" t="n"/>
      <c r="T1112" s="40" t="n"/>
      <c r="U1112" s="40" t="n"/>
      <c r="V1112" s="40" t="n"/>
      <c r="W1112" s="40" t="n"/>
      <c r="X1112" s="40" t="n"/>
      <c r="Y1112" s="40" t="n"/>
      <c r="Z1112" s="40" t="n"/>
      <c r="AA1112" s="39" t="n"/>
    </row>
    <row r="1113">
      <c r="A1113" s="7" t="n"/>
      <c r="B1113" s="7" t="n"/>
      <c r="C1113" s="39" t="n"/>
      <c r="D1113" s="39" t="n"/>
      <c r="E1113" s="7" t="n"/>
      <c r="F1113" s="7" t="n"/>
      <c r="G1113" s="7" t="n"/>
      <c r="H1113" s="39" t="n"/>
      <c r="I1113" s="39" t="n"/>
      <c r="J1113" s="39" t="n"/>
      <c r="K1113" s="39" t="n"/>
      <c r="L1113" s="39" t="n"/>
      <c r="M1113" s="7" t="n"/>
      <c r="N1113" s="7" t="n"/>
      <c r="O1113" s="40" t="n"/>
      <c r="P1113" s="40" t="n"/>
      <c r="Q1113" s="40" t="n"/>
      <c r="R1113" s="40" t="n"/>
      <c r="S1113" s="40" t="n"/>
      <c r="T1113" s="40" t="n"/>
      <c r="U1113" s="40" t="n"/>
      <c r="V1113" s="40" t="n"/>
      <c r="W1113" s="40" t="n"/>
      <c r="X1113" s="40" t="n"/>
      <c r="Y1113" s="40" t="n"/>
      <c r="Z1113" s="40" t="n"/>
      <c r="AA1113" s="39" t="n"/>
    </row>
    <row r="1114">
      <c r="A1114" s="7" t="n"/>
      <c r="B1114" s="7" t="n"/>
      <c r="C1114" s="39" t="n"/>
      <c r="D1114" s="39" t="n"/>
      <c r="E1114" s="7" t="n"/>
      <c r="F1114" s="7" t="n"/>
      <c r="G1114" s="7" t="n"/>
      <c r="H1114" s="39" t="n"/>
      <c r="I1114" s="39" t="n"/>
      <c r="J1114" s="39" t="n"/>
      <c r="K1114" s="39" t="n"/>
      <c r="L1114" s="39" t="n"/>
      <c r="M1114" s="7" t="n"/>
      <c r="N1114" s="7" t="n"/>
      <c r="O1114" s="40" t="n"/>
      <c r="P1114" s="40" t="n"/>
      <c r="Q1114" s="40" t="n"/>
      <c r="R1114" s="40" t="n"/>
      <c r="S1114" s="40" t="n"/>
      <c r="T1114" s="40" t="n"/>
      <c r="U1114" s="40" t="n"/>
      <c r="V1114" s="40" t="n"/>
      <c r="W1114" s="40" t="n"/>
      <c r="X1114" s="40" t="n"/>
      <c r="Y1114" s="40" t="n"/>
      <c r="Z1114" s="40" t="n"/>
      <c r="AA1114" s="39" t="n"/>
    </row>
    <row r="1115">
      <c r="A1115" s="7" t="n"/>
      <c r="B1115" s="7" t="n"/>
      <c r="C1115" s="39" t="n"/>
      <c r="D1115" s="39" t="n"/>
      <c r="E1115" s="7" t="n"/>
      <c r="F1115" s="7" t="n"/>
      <c r="G1115" s="7" t="n"/>
      <c r="H1115" s="39" t="n"/>
      <c r="I1115" s="39" t="n"/>
      <c r="J1115" s="39" t="n"/>
      <c r="K1115" s="39" t="n"/>
      <c r="L1115" s="39" t="n"/>
      <c r="M1115" s="7" t="n"/>
      <c r="N1115" s="7" t="n"/>
      <c r="O1115" s="40" t="n"/>
      <c r="P1115" s="40" t="n"/>
      <c r="Q1115" s="40" t="n"/>
      <c r="R1115" s="40" t="n"/>
      <c r="S1115" s="40" t="n"/>
      <c r="T1115" s="40" t="n"/>
      <c r="U1115" s="40" t="n"/>
      <c r="V1115" s="40" t="n"/>
      <c r="W1115" s="40" t="n"/>
      <c r="X1115" s="40" t="n"/>
      <c r="Y1115" s="40" t="n"/>
      <c r="Z1115" s="40" t="n"/>
      <c r="AA1115" s="39" t="n"/>
    </row>
    <row r="1116">
      <c r="A1116" s="7" t="n"/>
      <c r="B1116" s="7" t="n"/>
      <c r="C1116" s="39" t="n"/>
      <c r="D1116" s="39" t="n"/>
      <c r="E1116" s="7" t="n"/>
      <c r="F1116" s="7" t="n"/>
      <c r="G1116" s="7" t="n"/>
      <c r="H1116" s="39" t="n"/>
      <c r="I1116" s="39" t="n"/>
      <c r="J1116" s="39" t="n"/>
      <c r="K1116" s="39" t="n"/>
      <c r="L1116" s="39" t="n"/>
      <c r="M1116" s="7" t="n"/>
      <c r="N1116" s="7" t="n"/>
      <c r="O1116" s="40" t="n"/>
      <c r="P1116" s="40" t="n"/>
      <c r="Q1116" s="40" t="n"/>
      <c r="R1116" s="40" t="n"/>
      <c r="S1116" s="40" t="n"/>
      <c r="T1116" s="40" t="n"/>
      <c r="U1116" s="40" t="n"/>
      <c r="V1116" s="40" t="n"/>
      <c r="W1116" s="40" t="n"/>
      <c r="X1116" s="40" t="n"/>
      <c r="Y1116" s="40" t="n"/>
      <c r="Z1116" s="40" t="n"/>
      <c r="AA1116" s="39" t="n"/>
    </row>
    <row r="1117">
      <c r="A1117" s="7" t="n"/>
      <c r="B1117" s="7" t="n"/>
      <c r="C1117" s="39" t="n"/>
      <c r="D1117" s="39" t="n"/>
      <c r="E1117" s="7" t="n"/>
      <c r="F1117" s="7" t="n"/>
      <c r="G1117" s="7" t="n"/>
      <c r="H1117" s="39" t="n"/>
      <c r="I1117" s="39" t="n"/>
      <c r="J1117" s="39" t="n"/>
      <c r="K1117" s="39" t="n"/>
      <c r="L1117" s="39" t="n"/>
      <c r="M1117" s="7" t="n"/>
      <c r="N1117" s="7" t="n"/>
      <c r="O1117" s="40" t="n"/>
      <c r="P1117" s="40" t="n"/>
      <c r="Q1117" s="40" t="n"/>
      <c r="R1117" s="40" t="n"/>
      <c r="S1117" s="40" t="n"/>
      <c r="T1117" s="40" t="n"/>
      <c r="U1117" s="40" t="n"/>
      <c r="V1117" s="40" t="n"/>
      <c r="W1117" s="40" t="n"/>
      <c r="X1117" s="40" t="n"/>
      <c r="Y1117" s="40" t="n"/>
      <c r="Z1117" s="40" t="n"/>
      <c r="AA1117" s="39" t="n"/>
    </row>
    <row r="1118">
      <c r="A1118" s="7" t="n"/>
      <c r="B1118" s="7" t="n"/>
      <c r="C1118" s="39" t="n"/>
      <c r="D1118" s="39" t="n"/>
      <c r="E1118" s="7" t="n"/>
      <c r="F1118" s="7" t="n"/>
      <c r="G1118" s="7" t="n"/>
      <c r="H1118" s="39" t="n"/>
      <c r="I1118" s="39" t="n"/>
      <c r="J1118" s="39" t="n"/>
      <c r="K1118" s="39" t="n"/>
      <c r="L1118" s="39" t="n"/>
      <c r="M1118" s="7" t="n"/>
      <c r="N1118" s="7" t="n"/>
      <c r="O1118" s="40" t="n"/>
      <c r="P1118" s="40" t="n"/>
      <c r="Q1118" s="40" t="n"/>
      <c r="R1118" s="40" t="n"/>
      <c r="S1118" s="40" t="n"/>
      <c r="T1118" s="40" t="n"/>
      <c r="U1118" s="40" t="n"/>
      <c r="V1118" s="40" t="n"/>
      <c r="W1118" s="40" t="n"/>
      <c r="X1118" s="40" t="n"/>
      <c r="Y1118" s="40" t="n"/>
      <c r="Z1118" s="40" t="n"/>
      <c r="AA1118" s="39" t="n"/>
    </row>
    <row r="1119">
      <c r="A1119" s="7" t="n"/>
      <c r="B1119" s="7" t="n"/>
      <c r="C1119" s="39" t="n"/>
      <c r="D1119" s="39" t="n"/>
      <c r="E1119" s="7" t="n"/>
      <c r="F1119" s="7" t="n"/>
      <c r="G1119" s="7" t="n"/>
      <c r="H1119" s="39" t="n"/>
      <c r="I1119" s="39" t="n"/>
      <c r="J1119" s="39" t="n"/>
      <c r="K1119" s="39" t="n"/>
      <c r="L1119" s="39" t="n"/>
      <c r="M1119" s="7" t="n"/>
      <c r="N1119" s="7" t="n"/>
      <c r="O1119" s="40" t="n"/>
      <c r="P1119" s="40" t="n"/>
      <c r="Q1119" s="40" t="n"/>
      <c r="R1119" s="40" t="n"/>
      <c r="S1119" s="40" t="n"/>
      <c r="T1119" s="40" t="n"/>
      <c r="U1119" s="40" t="n"/>
      <c r="V1119" s="40" t="n"/>
      <c r="W1119" s="40" t="n"/>
      <c r="X1119" s="40" t="n"/>
      <c r="Y1119" s="40" t="n"/>
      <c r="Z1119" s="40" t="n"/>
      <c r="AA1119" s="39" t="n"/>
    </row>
    <row r="1120">
      <c r="A1120" s="7" t="n"/>
      <c r="B1120" s="7" t="n"/>
      <c r="C1120" s="39" t="n"/>
      <c r="D1120" s="39" t="n"/>
      <c r="E1120" s="7" t="n"/>
      <c r="F1120" s="7" t="n"/>
      <c r="G1120" s="7" t="n"/>
      <c r="H1120" s="39" t="n"/>
      <c r="I1120" s="39" t="n"/>
      <c r="J1120" s="39" t="n"/>
      <c r="K1120" s="39" t="n"/>
      <c r="L1120" s="39" t="n"/>
      <c r="M1120" s="7" t="n"/>
      <c r="N1120" s="7" t="n"/>
      <c r="O1120" s="40" t="n"/>
      <c r="P1120" s="40" t="n"/>
      <c r="Q1120" s="40" t="n"/>
      <c r="R1120" s="40" t="n"/>
      <c r="S1120" s="40" t="n"/>
      <c r="T1120" s="40" t="n"/>
      <c r="U1120" s="40" t="n"/>
      <c r="V1120" s="40" t="n"/>
      <c r="W1120" s="40" t="n"/>
      <c r="X1120" s="40" t="n"/>
      <c r="Y1120" s="40" t="n"/>
      <c r="Z1120" s="40" t="n"/>
      <c r="AA1120" s="39" t="n"/>
    </row>
    <row r="1121">
      <c r="A1121" s="7" t="n"/>
      <c r="B1121" s="7" t="n"/>
      <c r="C1121" s="39" t="n"/>
      <c r="D1121" s="39" t="n"/>
      <c r="E1121" s="7" t="n"/>
      <c r="F1121" s="7" t="n"/>
      <c r="G1121" s="7" t="n"/>
      <c r="H1121" s="39" t="n"/>
      <c r="I1121" s="39" t="n"/>
      <c r="J1121" s="39" t="n"/>
      <c r="K1121" s="39" t="n"/>
      <c r="L1121" s="39" t="n"/>
      <c r="M1121" s="7" t="n"/>
      <c r="N1121" s="7" t="n"/>
      <c r="O1121" s="40" t="n"/>
      <c r="P1121" s="40" t="n"/>
      <c r="Q1121" s="40" t="n"/>
      <c r="R1121" s="40" t="n"/>
      <c r="S1121" s="40" t="n"/>
      <c r="T1121" s="40" t="n"/>
      <c r="U1121" s="40" t="n"/>
      <c r="V1121" s="40" t="n"/>
      <c r="W1121" s="40" t="n"/>
      <c r="X1121" s="40" t="n"/>
      <c r="Y1121" s="40" t="n"/>
      <c r="Z1121" s="40" t="n"/>
      <c r="AA1121" s="39" t="n"/>
    </row>
    <row r="1122">
      <c r="A1122" s="7" t="n"/>
      <c r="B1122" s="7" t="n"/>
      <c r="C1122" s="39" t="n"/>
      <c r="D1122" s="39" t="n"/>
      <c r="E1122" s="7" t="n"/>
      <c r="F1122" s="7" t="n"/>
      <c r="G1122" s="7" t="n"/>
      <c r="H1122" s="39" t="n"/>
      <c r="I1122" s="39" t="n"/>
      <c r="J1122" s="39" t="n"/>
      <c r="K1122" s="39" t="n"/>
      <c r="L1122" s="39" t="n"/>
      <c r="M1122" s="7" t="n"/>
      <c r="N1122" s="7" t="n"/>
      <c r="O1122" s="40" t="n"/>
      <c r="P1122" s="40" t="n"/>
      <c r="Q1122" s="40" t="n"/>
      <c r="R1122" s="40" t="n"/>
      <c r="S1122" s="40" t="n"/>
      <c r="T1122" s="40" t="n"/>
      <c r="U1122" s="40" t="n"/>
      <c r="V1122" s="40" t="n"/>
      <c r="W1122" s="40" t="n"/>
      <c r="X1122" s="40" t="n"/>
      <c r="Y1122" s="40" t="n"/>
      <c r="Z1122" s="40" t="n"/>
      <c r="AA1122" s="39" t="n"/>
    </row>
    <row r="1123">
      <c r="A1123" s="7" t="n"/>
      <c r="B1123" s="7" t="n"/>
      <c r="C1123" s="39" t="n"/>
      <c r="D1123" s="39" t="n"/>
      <c r="E1123" s="7" t="n"/>
      <c r="F1123" s="7" t="n"/>
      <c r="G1123" s="7" t="n"/>
      <c r="H1123" s="39" t="n"/>
      <c r="I1123" s="39" t="n"/>
      <c r="J1123" s="39" t="n"/>
      <c r="K1123" s="39" t="n"/>
      <c r="L1123" s="39" t="n"/>
      <c r="M1123" s="7" t="n"/>
      <c r="N1123" s="7" t="n"/>
      <c r="O1123" s="40" t="n"/>
      <c r="P1123" s="40" t="n"/>
      <c r="Q1123" s="40" t="n"/>
      <c r="R1123" s="40" t="n"/>
      <c r="S1123" s="40" t="n"/>
      <c r="T1123" s="40" t="n"/>
      <c r="U1123" s="40" t="n"/>
      <c r="V1123" s="40" t="n"/>
      <c r="W1123" s="40" t="n"/>
      <c r="X1123" s="40" t="n"/>
      <c r="Y1123" s="40" t="n"/>
      <c r="Z1123" s="40" t="n"/>
      <c r="AA1123" s="39" t="n"/>
    </row>
    <row r="1124">
      <c r="A1124" s="7" t="n"/>
      <c r="B1124" s="7" t="n"/>
      <c r="C1124" s="39" t="n"/>
      <c r="D1124" s="39" t="n"/>
      <c r="E1124" s="7" t="n"/>
      <c r="F1124" s="7" t="n"/>
      <c r="G1124" s="7" t="n"/>
      <c r="H1124" s="39" t="n"/>
      <c r="I1124" s="39" t="n"/>
      <c r="J1124" s="39" t="n"/>
      <c r="K1124" s="39" t="n"/>
      <c r="L1124" s="39" t="n"/>
      <c r="M1124" s="7" t="n"/>
      <c r="N1124" s="7" t="n"/>
      <c r="O1124" s="40" t="n"/>
      <c r="P1124" s="40" t="n"/>
      <c r="Q1124" s="40" t="n"/>
      <c r="R1124" s="40" t="n"/>
      <c r="S1124" s="40" t="n"/>
      <c r="T1124" s="40" t="n"/>
      <c r="U1124" s="40" t="n"/>
      <c r="V1124" s="40" t="n"/>
      <c r="W1124" s="40" t="n"/>
      <c r="X1124" s="40" t="n"/>
      <c r="Y1124" s="40" t="n"/>
      <c r="Z1124" s="40" t="n"/>
      <c r="AA1124" s="39" t="n"/>
    </row>
    <row r="1125">
      <c r="A1125" s="7" t="n"/>
      <c r="B1125" s="7" t="n"/>
      <c r="C1125" s="39" t="n"/>
      <c r="D1125" s="39" t="n"/>
      <c r="E1125" s="7" t="n"/>
      <c r="F1125" s="7" t="n"/>
      <c r="G1125" s="7" t="n"/>
      <c r="H1125" s="39" t="n"/>
      <c r="I1125" s="39" t="n"/>
      <c r="J1125" s="39" t="n"/>
      <c r="K1125" s="39" t="n"/>
      <c r="L1125" s="39" t="n"/>
      <c r="M1125" s="7" t="n"/>
      <c r="N1125" s="7" t="n"/>
      <c r="O1125" s="40" t="n"/>
      <c r="P1125" s="40" t="n"/>
      <c r="Q1125" s="40" t="n"/>
      <c r="R1125" s="40" t="n"/>
      <c r="S1125" s="40" t="n"/>
      <c r="T1125" s="40" t="n"/>
      <c r="U1125" s="40" t="n"/>
      <c r="V1125" s="40" t="n"/>
      <c r="W1125" s="40" t="n"/>
      <c r="X1125" s="40" t="n"/>
      <c r="Y1125" s="40" t="n"/>
      <c r="Z1125" s="40" t="n"/>
      <c r="AA1125" s="39" t="n"/>
    </row>
    <row r="1126">
      <c r="A1126" s="7" t="n"/>
      <c r="B1126" s="7" t="n"/>
      <c r="C1126" s="39" t="n"/>
      <c r="D1126" s="39" t="n"/>
      <c r="E1126" s="7" t="n"/>
      <c r="F1126" s="7" t="n"/>
      <c r="G1126" s="7" t="n"/>
      <c r="H1126" s="39" t="n"/>
      <c r="I1126" s="39" t="n"/>
      <c r="J1126" s="39" t="n"/>
      <c r="K1126" s="39" t="n"/>
      <c r="L1126" s="39" t="n"/>
      <c r="M1126" s="7" t="n"/>
      <c r="N1126" s="7" t="n"/>
      <c r="O1126" s="40" t="n"/>
      <c r="P1126" s="40" t="n"/>
      <c r="Q1126" s="40" t="n"/>
      <c r="R1126" s="40" t="n"/>
      <c r="S1126" s="40" t="n"/>
      <c r="T1126" s="40" t="n"/>
      <c r="U1126" s="40" t="n"/>
      <c r="V1126" s="40" t="n"/>
      <c r="W1126" s="40" t="n"/>
      <c r="X1126" s="40" t="n"/>
      <c r="Y1126" s="40" t="n"/>
      <c r="Z1126" s="40" t="n"/>
      <c r="AA1126" s="39" t="n"/>
    </row>
    <row r="1127">
      <c r="A1127" s="7" t="n"/>
      <c r="B1127" s="7" t="n"/>
      <c r="C1127" s="39" t="n"/>
      <c r="D1127" s="39" t="n"/>
      <c r="E1127" s="7" t="n"/>
      <c r="F1127" s="7" t="n"/>
      <c r="G1127" s="7" t="n"/>
      <c r="H1127" s="39" t="n"/>
      <c r="I1127" s="39" t="n"/>
      <c r="J1127" s="39" t="n"/>
      <c r="K1127" s="39" t="n"/>
      <c r="L1127" s="39" t="n"/>
      <c r="M1127" s="7" t="n"/>
      <c r="N1127" s="7" t="n"/>
      <c r="O1127" s="40" t="n"/>
      <c r="P1127" s="40" t="n"/>
      <c r="Q1127" s="40" t="n"/>
      <c r="R1127" s="40" t="n"/>
      <c r="S1127" s="40" t="n"/>
      <c r="T1127" s="40" t="n"/>
      <c r="U1127" s="40" t="n"/>
      <c r="V1127" s="40" t="n"/>
      <c r="W1127" s="40" t="n"/>
      <c r="X1127" s="40" t="n"/>
      <c r="Y1127" s="40" t="n"/>
      <c r="Z1127" s="40" t="n"/>
      <c r="AA1127" s="39" t="n"/>
    </row>
    <row r="1128">
      <c r="A1128" s="7" t="n"/>
      <c r="B1128" s="7" t="n"/>
      <c r="C1128" s="39" t="n"/>
      <c r="D1128" s="39" t="n"/>
      <c r="E1128" s="7" t="n"/>
      <c r="F1128" s="7" t="n"/>
      <c r="G1128" s="7" t="n"/>
      <c r="H1128" s="39" t="n"/>
      <c r="I1128" s="39" t="n"/>
      <c r="J1128" s="39" t="n"/>
      <c r="K1128" s="39" t="n"/>
      <c r="L1128" s="39" t="n"/>
      <c r="M1128" s="7" t="n"/>
      <c r="N1128" s="7" t="n"/>
      <c r="O1128" s="40" t="n"/>
      <c r="P1128" s="40" t="n"/>
      <c r="Q1128" s="40" t="n"/>
      <c r="R1128" s="40" t="n"/>
      <c r="S1128" s="40" t="n"/>
      <c r="T1128" s="40" t="n"/>
      <c r="U1128" s="40" t="n"/>
      <c r="V1128" s="40" t="n"/>
      <c r="W1128" s="40" t="n"/>
      <c r="X1128" s="40" t="n"/>
      <c r="Y1128" s="40" t="n"/>
      <c r="Z1128" s="40" t="n"/>
      <c r="AA1128" s="39" t="n"/>
    </row>
    <row r="1129">
      <c r="A1129" s="7" t="n"/>
      <c r="B1129" s="7" t="n"/>
      <c r="C1129" s="39" t="n"/>
      <c r="D1129" s="39" t="n"/>
      <c r="E1129" s="7" t="n"/>
      <c r="F1129" s="7" t="n"/>
      <c r="G1129" s="7" t="n"/>
      <c r="H1129" s="39" t="n"/>
      <c r="I1129" s="39" t="n"/>
      <c r="J1129" s="39" t="n"/>
      <c r="K1129" s="39" t="n"/>
      <c r="L1129" s="39" t="n"/>
      <c r="M1129" s="7" t="n"/>
      <c r="N1129" s="7" t="n"/>
      <c r="O1129" s="40" t="n"/>
      <c r="P1129" s="40" t="n"/>
      <c r="Q1129" s="40" t="n"/>
      <c r="R1129" s="40" t="n"/>
      <c r="S1129" s="40" t="n"/>
      <c r="T1129" s="40" t="n"/>
      <c r="U1129" s="40" t="n"/>
      <c r="V1129" s="40" t="n"/>
      <c r="W1129" s="40" t="n"/>
      <c r="X1129" s="40" t="n"/>
      <c r="Y1129" s="40" t="n"/>
      <c r="Z1129" s="40" t="n"/>
      <c r="AA1129" s="39" t="n"/>
    </row>
    <row r="1130">
      <c r="A1130" s="7" t="n"/>
      <c r="B1130" s="7" t="n"/>
      <c r="C1130" s="39" t="n"/>
      <c r="D1130" s="39" t="n"/>
      <c r="E1130" s="7" t="n"/>
      <c r="F1130" s="7" t="n"/>
      <c r="G1130" s="7" t="n"/>
      <c r="H1130" s="39" t="n"/>
      <c r="I1130" s="39" t="n"/>
      <c r="J1130" s="39" t="n"/>
      <c r="K1130" s="39" t="n"/>
      <c r="L1130" s="39" t="n"/>
      <c r="M1130" s="7" t="n"/>
      <c r="N1130" s="7" t="n"/>
      <c r="O1130" s="40" t="n"/>
      <c r="P1130" s="40" t="n"/>
      <c r="Q1130" s="40" t="n"/>
      <c r="R1130" s="40" t="n"/>
      <c r="S1130" s="40" t="n"/>
      <c r="T1130" s="40" t="n"/>
      <c r="U1130" s="40" t="n"/>
      <c r="V1130" s="40" t="n"/>
      <c r="W1130" s="40" t="n"/>
      <c r="X1130" s="40" t="n"/>
      <c r="Y1130" s="40" t="n"/>
      <c r="Z1130" s="40" t="n"/>
      <c r="AA1130" s="39" t="n"/>
    </row>
    <row r="1131">
      <c r="A1131" s="7" t="n"/>
      <c r="B1131" s="7" t="n"/>
      <c r="C1131" s="39" t="n"/>
      <c r="D1131" s="39" t="n"/>
      <c r="E1131" s="7" t="n"/>
      <c r="F1131" s="7" t="n"/>
      <c r="G1131" s="7" t="n"/>
      <c r="H1131" s="39" t="n"/>
      <c r="I1131" s="39" t="n"/>
      <c r="J1131" s="39" t="n"/>
      <c r="K1131" s="39" t="n"/>
      <c r="L1131" s="39" t="n"/>
      <c r="M1131" s="7" t="n"/>
      <c r="N1131" s="7" t="n"/>
      <c r="O1131" s="40" t="n"/>
      <c r="P1131" s="40" t="n"/>
      <c r="Q1131" s="40" t="n"/>
      <c r="R1131" s="40" t="n"/>
      <c r="S1131" s="40" t="n"/>
      <c r="T1131" s="40" t="n"/>
      <c r="U1131" s="40" t="n"/>
      <c r="V1131" s="40" t="n"/>
      <c r="W1131" s="40" t="n"/>
      <c r="X1131" s="40" t="n"/>
      <c r="Y1131" s="40" t="n"/>
      <c r="Z1131" s="40" t="n"/>
      <c r="AA1131" s="39" t="n"/>
    </row>
    <row r="1132">
      <c r="A1132" s="7" t="n"/>
      <c r="B1132" s="7" t="n"/>
      <c r="C1132" s="39" t="n"/>
      <c r="D1132" s="39" t="n"/>
      <c r="E1132" s="7" t="n"/>
      <c r="F1132" s="7" t="n"/>
      <c r="G1132" s="7" t="n"/>
      <c r="H1132" s="39" t="n"/>
      <c r="I1132" s="39" t="n"/>
      <c r="J1132" s="39" t="n"/>
      <c r="K1132" s="39" t="n"/>
      <c r="L1132" s="39" t="n"/>
      <c r="M1132" s="7" t="n"/>
      <c r="N1132" s="7" t="n"/>
      <c r="O1132" s="40" t="n"/>
      <c r="P1132" s="40" t="n"/>
      <c r="Q1132" s="40" t="n"/>
      <c r="R1132" s="40" t="n"/>
      <c r="S1132" s="40" t="n"/>
      <c r="T1132" s="40" t="n"/>
      <c r="U1132" s="40" t="n"/>
      <c r="V1132" s="40" t="n"/>
      <c r="W1132" s="40" t="n"/>
      <c r="X1132" s="40" t="n"/>
      <c r="Y1132" s="40" t="n"/>
      <c r="Z1132" s="40" t="n"/>
      <c r="AA1132" s="39" t="n"/>
    </row>
    <row r="1133">
      <c r="A1133" s="7" t="n"/>
      <c r="B1133" s="7" t="n"/>
      <c r="C1133" s="39" t="n"/>
      <c r="D1133" s="39" t="n"/>
      <c r="E1133" s="7" t="n"/>
      <c r="F1133" s="7" t="n"/>
      <c r="G1133" s="7" t="n"/>
      <c r="H1133" s="39" t="n"/>
      <c r="I1133" s="39" t="n"/>
      <c r="J1133" s="39" t="n"/>
      <c r="K1133" s="39" t="n"/>
      <c r="L1133" s="39" t="n"/>
      <c r="M1133" s="7" t="n"/>
      <c r="N1133" s="7" t="n"/>
      <c r="O1133" s="40" t="n"/>
      <c r="P1133" s="40" t="n"/>
      <c r="Q1133" s="40" t="n"/>
      <c r="R1133" s="40" t="n"/>
      <c r="S1133" s="40" t="n"/>
      <c r="T1133" s="40" t="n"/>
      <c r="U1133" s="40" t="n"/>
      <c r="V1133" s="40" t="n"/>
      <c r="W1133" s="40" t="n"/>
      <c r="X1133" s="40" t="n"/>
      <c r="Y1133" s="40" t="n"/>
      <c r="Z1133" s="40" t="n"/>
      <c r="AA1133" s="39" t="n"/>
    </row>
    <row r="1134">
      <c r="A1134" s="7" t="n"/>
      <c r="B1134" s="7" t="n"/>
      <c r="C1134" s="39" t="n"/>
      <c r="D1134" s="39" t="n"/>
      <c r="E1134" s="7" t="n"/>
      <c r="F1134" s="7" t="n"/>
      <c r="G1134" s="7" t="n"/>
      <c r="H1134" s="39" t="n"/>
      <c r="I1134" s="39" t="n"/>
      <c r="J1134" s="39" t="n"/>
      <c r="K1134" s="39" t="n"/>
      <c r="L1134" s="39" t="n"/>
      <c r="M1134" s="7" t="n"/>
      <c r="N1134" s="7" t="n"/>
      <c r="O1134" s="40" t="n"/>
      <c r="P1134" s="40" t="n"/>
      <c r="Q1134" s="40" t="n"/>
      <c r="R1134" s="40" t="n"/>
      <c r="S1134" s="40" t="n"/>
      <c r="T1134" s="40" t="n"/>
      <c r="U1134" s="40" t="n"/>
      <c r="V1134" s="40" t="n"/>
      <c r="W1134" s="40" t="n"/>
      <c r="X1134" s="40" t="n"/>
      <c r="Y1134" s="40" t="n"/>
      <c r="Z1134" s="40" t="n"/>
      <c r="AA1134" s="39" t="n"/>
    </row>
    <row r="1135">
      <c r="A1135" s="7" t="n"/>
      <c r="B1135" s="7" t="n"/>
      <c r="C1135" s="39" t="n"/>
      <c r="D1135" s="39" t="n"/>
      <c r="E1135" s="7" t="n"/>
      <c r="F1135" s="7" t="n"/>
      <c r="G1135" s="7" t="n"/>
      <c r="H1135" s="39" t="n"/>
      <c r="I1135" s="39" t="n"/>
      <c r="J1135" s="39" t="n"/>
      <c r="K1135" s="39" t="n"/>
      <c r="L1135" s="39" t="n"/>
      <c r="M1135" s="7" t="n"/>
      <c r="N1135" s="7" t="n"/>
      <c r="O1135" s="40" t="n"/>
      <c r="P1135" s="40" t="n"/>
      <c r="Q1135" s="40" t="n"/>
      <c r="R1135" s="40" t="n"/>
      <c r="S1135" s="40" t="n"/>
      <c r="T1135" s="40" t="n"/>
      <c r="U1135" s="40" t="n"/>
      <c r="V1135" s="40" t="n"/>
      <c r="W1135" s="40" t="n"/>
      <c r="X1135" s="40" t="n"/>
      <c r="Y1135" s="40" t="n"/>
      <c r="Z1135" s="40" t="n"/>
      <c r="AA1135" s="39" t="n"/>
    </row>
    <row r="1136">
      <c r="A1136" s="7" t="n"/>
      <c r="B1136" s="7" t="n"/>
      <c r="C1136" s="39" t="n"/>
      <c r="D1136" s="39" t="n"/>
      <c r="E1136" s="7" t="n"/>
      <c r="F1136" s="7" t="n"/>
      <c r="G1136" s="7" t="n"/>
      <c r="H1136" s="39" t="n"/>
      <c r="I1136" s="39" t="n"/>
      <c r="J1136" s="39" t="n"/>
      <c r="K1136" s="39" t="n"/>
      <c r="L1136" s="39" t="n"/>
      <c r="M1136" s="7" t="n"/>
      <c r="N1136" s="7" t="n"/>
      <c r="O1136" s="40" t="n"/>
      <c r="P1136" s="40" t="n"/>
      <c r="Q1136" s="40" t="n"/>
      <c r="R1136" s="40" t="n"/>
      <c r="S1136" s="40" t="n"/>
      <c r="T1136" s="40" t="n"/>
      <c r="U1136" s="40" t="n"/>
      <c r="V1136" s="40" t="n"/>
      <c r="W1136" s="40" t="n"/>
      <c r="X1136" s="40" t="n"/>
      <c r="Y1136" s="40" t="n"/>
      <c r="Z1136" s="40" t="n"/>
      <c r="AA1136" s="39" t="n"/>
    </row>
    <row r="1137">
      <c r="A1137" s="7" t="n"/>
      <c r="B1137" s="7" t="n"/>
      <c r="C1137" s="39" t="n"/>
      <c r="D1137" s="39" t="n"/>
      <c r="E1137" s="7" t="n"/>
      <c r="F1137" s="7" t="n"/>
      <c r="G1137" s="7" t="n"/>
      <c r="H1137" s="39" t="n"/>
      <c r="I1137" s="39" t="n"/>
      <c r="J1137" s="39" t="n"/>
      <c r="K1137" s="39" t="n"/>
      <c r="L1137" s="39" t="n"/>
      <c r="M1137" s="7" t="n"/>
      <c r="N1137" s="7" t="n"/>
      <c r="O1137" s="40" t="n"/>
      <c r="P1137" s="40" t="n"/>
      <c r="Q1137" s="40" t="n"/>
      <c r="R1137" s="40" t="n"/>
      <c r="S1137" s="40" t="n"/>
      <c r="T1137" s="40" t="n"/>
      <c r="U1137" s="40" t="n"/>
      <c r="V1137" s="40" t="n"/>
      <c r="W1137" s="40" t="n"/>
      <c r="X1137" s="40" t="n"/>
      <c r="Y1137" s="40" t="n"/>
      <c r="Z1137" s="40" t="n"/>
      <c r="AA1137" s="39" t="n"/>
    </row>
    <row r="1138">
      <c r="A1138" s="7" t="n"/>
      <c r="B1138" s="7" t="n"/>
      <c r="C1138" s="39" t="n"/>
      <c r="D1138" s="39" t="n"/>
      <c r="E1138" s="7" t="n"/>
      <c r="F1138" s="7" t="n"/>
      <c r="G1138" s="7" t="n"/>
      <c r="H1138" s="39" t="n"/>
      <c r="I1138" s="39" t="n"/>
      <c r="J1138" s="39" t="n"/>
      <c r="K1138" s="39" t="n"/>
      <c r="L1138" s="39" t="n"/>
      <c r="M1138" s="7" t="n"/>
      <c r="N1138" s="7" t="n"/>
      <c r="O1138" s="40" t="n"/>
      <c r="P1138" s="40" t="n"/>
      <c r="Q1138" s="40" t="n"/>
      <c r="R1138" s="40" t="n"/>
      <c r="S1138" s="40" t="n"/>
      <c r="T1138" s="40" t="n"/>
      <c r="U1138" s="40" t="n"/>
      <c r="V1138" s="40" t="n"/>
      <c r="W1138" s="40" t="n"/>
      <c r="X1138" s="40" t="n"/>
      <c r="Y1138" s="40" t="n"/>
      <c r="Z1138" s="40" t="n"/>
      <c r="AA1138" s="39" t="n"/>
    </row>
    <row r="1139">
      <c r="A1139" s="7" t="n"/>
      <c r="B1139" s="7" t="n"/>
      <c r="C1139" s="39" t="n"/>
      <c r="D1139" s="39" t="n"/>
      <c r="E1139" s="7" t="n"/>
      <c r="F1139" s="7" t="n"/>
      <c r="G1139" s="7" t="n"/>
      <c r="H1139" s="39" t="n"/>
      <c r="I1139" s="39" t="n"/>
      <c r="J1139" s="39" t="n"/>
      <c r="K1139" s="39" t="n"/>
      <c r="L1139" s="39" t="n"/>
      <c r="M1139" s="7" t="n"/>
      <c r="N1139" s="7" t="n"/>
      <c r="O1139" s="40" t="n"/>
      <c r="P1139" s="40" t="n"/>
      <c r="Q1139" s="40" t="n"/>
      <c r="R1139" s="40" t="n"/>
      <c r="S1139" s="40" t="n"/>
      <c r="T1139" s="40" t="n"/>
      <c r="U1139" s="40" t="n"/>
      <c r="V1139" s="40" t="n"/>
      <c r="W1139" s="40" t="n"/>
      <c r="X1139" s="40" t="n"/>
      <c r="Y1139" s="40" t="n"/>
      <c r="Z1139" s="40" t="n"/>
      <c r="AA1139" s="39" t="n"/>
    </row>
    <row r="1140">
      <c r="A1140" s="7" t="n"/>
      <c r="B1140" s="7" t="n"/>
      <c r="C1140" s="39" t="n"/>
      <c r="D1140" s="39" t="n"/>
      <c r="E1140" s="7" t="n"/>
      <c r="F1140" s="7" t="n"/>
      <c r="G1140" s="7" t="n"/>
      <c r="H1140" s="39" t="n"/>
      <c r="I1140" s="39" t="n"/>
      <c r="J1140" s="39" t="n"/>
      <c r="K1140" s="39" t="n"/>
      <c r="L1140" s="39" t="n"/>
      <c r="M1140" s="7" t="n"/>
      <c r="N1140" s="7" t="n"/>
      <c r="O1140" s="40" t="n"/>
      <c r="P1140" s="40" t="n"/>
      <c r="Q1140" s="40" t="n"/>
      <c r="R1140" s="40" t="n"/>
      <c r="S1140" s="40" t="n"/>
      <c r="T1140" s="40" t="n"/>
      <c r="U1140" s="40" t="n"/>
      <c r="V1140" s="40" t="n"/>
      <c r="W1140" s="40" t="n"/>
      <c r="X1140" s="40" t="n"/>
      <c r="Y1140" s="40" t="n"/>
      <c r="Z1140" s="40" t="n"/>
      <c r="AA1140" s="39" t="n"/>
    </row>
    <row r="1141">
      <c r="A1141" s="7" t="n"/>
      <c r="B1141" s="7" t="n"/>
      <c r="C1141" s="39" t="n"/>
      <c r="D1141" s="39" t="n"/>
      <c r="E1141" s="7" t="n"/>
      <c r="F1141" s="7" t="n"/>
      <c r="G1141" s="7" t="n"/>
      <c r="H1141" s="39" t="n"/>
      <c r="I1141" s="39" t="n"/>
      <c r="J1141" s="39" t="n"/>
      <c r="K1141" s="39" t="n"/>
      <c r="L1141" s="39" t="n"/>
      <c r="M1141" s="7" t="n"/>
      <c r="N1141" s="7" t="n"/>
      <c r="O1141" s="40" t="n"/>
      <c r="P1141" s="40" t="n"/>
      <c r="Q1141" s="40" t="n"/>
      <c r="R1141" s="40" t="n"/>
      <c r="S1141" s="40" t="n"/>
      <c r="T1141" s="40" t="n"/>
      <c r="U1141" s="40" t="n"/>
      <c r="V1141" s="40" t="n"/>
      <c r="W1141" s="40" t="n"/>
      <c r="X1141" s="40" t="n"/>
      <c r="Y1141" s="40" t="n"/>
      <c r="Z1141" s="40" t="n"/>
      <c r="AA1141" s="39" t="n"/>
    </row>
    <row r="1142">
      <c r="A1142" s="7" t="n"/>
      <c r="B1142" s="7" t="n"/>
      <c r="C1142" s="39" t="n"/>
      <c r="D1142" s="39" t="n"/>
      <c r="E1142" s="7" t="n"/>
      <c r="F1142" s="7" t="n"/>
      <c r="G1142" s="7" t="n"/>
      <c r="H1142" s="39" t="n"/>
      <c r="I1142" s="39" t="n"/>
      <c r="J1142" s="39" t="n"/>
      <c r="K1142" s="39" t="n"/>
      <c r="L1142" s="39" t="n"/>
      <c r="M1142" s="7" t="n"/>
      <c r="N1142" s="7" t="n"/>
      <c r="O1142" s="40" t="n"/>
      <c r="P1142" s="40" t="n"/>
      <c r="Q1142" s="40" t="n"/>
      <c r="R1142" s="40" t="n"/>
      <c r="S1142" s="40" t="n"/>
      <c r="T1142" s="40" t="n"/>
      <c r="U1142" s="40" t="n"/>
      <c r="V1142" s="40" t="n"/>
      <c r="W1142" s="40" t="n"/>
      <c r="X1142" s="40" t="n"/>
      <c r="Y1142" s="40" t="n"/>
      <c r="Z1142" s="40" t="n"/>
      <c r="AA1142" s="39" t="n"/>
    </row>
    <row r="1143">
      <c r="A1143" s="7" t="n"/>
      <c r="B1143" s="7" t="n"/>
      <c r="C1143" s="39" t="n"/>
      <c r="D1143" s="39" t="n"/>
      <c r="E1143" s="7" t="n"/>
      <c r="F1143" s="7" t="n"/>
      <c r="G1143" s="7" t="n"/>
      <c r="H1143" s="39" t="n"/>
      <c r="I1143" s="39" t="n"/>
      <c r="J1143" s="39" t="n"/>
      <c r="K1143" s="39" t="n"/>
      <c r="L1143" s="39" t="n"/>
      <c r="M1143" s="7" t="n"/>
      <c r="N1143" s="7" t="n"/>
      <c r="O1143" s="40" t="n"/>
      <c r="P1143" s="40" t="n"/>
      <c r="Q1143" s="40" t="n"/>
      <c r="R1143" s="40" t="n"/>
      <c r="S1143" s="40" t="n"/>
      <c r="T1143" s="40" t="n"/>
      <c r="U1143" s="40" t="n"/>
      <c r="V1143" s="40" t="n"/>
      <c r="W1143" s="40" t="n"/>
      <c r="X1143" s="40" t="n"/>
      <c r="Y1143" s="40" t="n"/>
      <c r="Z1143" s="40" t="n"/>
      <c r="AA1143" s="39" t="n"/>
    </row>
    <row r="1144">
      <c r="A1144" s="7" t="n"/>
      <c r="B1144" s="7" t="n"/>
      <c r="C1144" s="39" t="n"/>
      <c r="D1144" s="39" t="n"/>
      <c r="E1144" s="7" t="n"/>
      <c r="F1144" s="7" t="n"/>
      <c r="G1144" s="7" t="n"/>
      <c r="H1144" s="39" t="n"/>
      <c r="I1144" s="39" t="n"/>
      <c r="J1144" s="39" t="n"/>
      <c r="K1144" s="39" t="n"/>
      <c r="L1144" s="39" t="n"/>
      <c r="M1144" s="7" t="n"/>
      <c r="N1144" s="7" t="n"/>
      <c r="O1144" s="40" t="n"/>
      <c r="P1144" s="40" t="n"/>
      <c r="Q1144" s="40" t="n"/>
      <c r="R1144" s="40" t="n"/>
      <c r="S1144" s="40" t="n"/>
      <c r="T1144" s="40" t="n"/>
      <c r="U1144" s="40" t="n"/>
      <c r="V1144" s="40" t="n"/>
      <c r="W1144" s="40" t="n"/>
      <c r="X1144" s="40" t="n"/>
      <c r="Y1144" s="40" t="n"/>
      <c r="Z1144" s="40" t="n"/>
      <c r="AA1144" s="39" t="n"/>
    </row>
    <row r="1145">
      <c r="A1145" s="7" t="n"/>
      <c r="B1145" s="7" t="n"/>
      <c r="C1145" s="39" t="n"/>
      <c r="D1145" s="39" t="n"/>
      <c r="E1145" s="7" t="n"/>
      <c r="F1145" s="7" t="n"/>
      <c r="G1145" s="7" t="n"/>
      <c r="H1145" s="39" t="n"/>
      <c r="I1145" s="39" t="n"/>
      <c r="J1145" s="39" t="n"/>
      <c r="K1145" s="39" t="n"/>
      <c r="L1145" s="39" t="n"/>
      <c r="M1145" s="7" t="n"/>
      <c r="N1145" s="7" t="n"/>
      <c r="O1145" s="40" t="n"/>
      <c r="P1145" s="40" t="n"/>
      <c r="Q1145" s="40" t="n"/>
      <c r="R1145" s="40" t="n"/>
      <c r="S1145" s="40" t="n"/>
      <c r="T1145" s="40" t="n"/>
      <c r="U1145" s="40" t="n"/>
      <c r="V1145" s="40" t="n"/>
      <c r="W1145" s="40" t="n"/>
      <c r="X1145" s="40" t="n"/>
      <c r="Y1145" s="40" t="n"/>
      <c r="Z1145" s="40" t="n"/>
      <c r="AA1145" s="39" t="n"/>
    </row>
    <row r="1146">
      <c r="A1146" s="7" t="n"/>
      <c r="B1146" s="7" t="n"/>
      <c r="C1146" s="39" t="n"/>
      <c r="D1146" s="39" t="n"/>
      <c r="E1146" s="7" t="n"/>
      <c r="F1146" s="7" t="n"/>
      <c r="G1146" s="7" t="n"/>
      <c r="H1146" s="39" t="n"/>
      <c r="I1146" s="39" t="n"/>
      <c r="J1146" s="39" t="n"/>
      <c r="K1146" s="39" t="n"/>
      <c r="L1146" s="39" t="n"/>
      <c r="M1146" s="7" t="n"/>
      <c r="N1146" s="7" t="n"/>
      <c r="O1146" s="40" t="n"/>
      <c r="P1146" s="40" t="n"/>
      <c r="Q1146" s="40" t="n"/>
      <c r="R1146" s="40" t="n"/>
      <c r="S1146" s="40" t="n"/>
      <c r="T1146" s="40" t="n"/>
      <c r="U1146" s="40" t="n"/>
      <c r="V1146" s="40" t="n"/>
      <c r="W1146" s="40" t="n"/>
      <c r="X1146" s="40" t="n"/>
      <c r="Y1146" s="40" t="n"/>
      <c r="Z1146" s="40" t="n"/>
      <c r="AA1146" s="39" t="n"/>
    </row>
    <row r="1147">
      <c r="A1147" s="7" t="n"/>
      <c r="B1147" s="7" t="n"/>
      <c r="C1147" s="39" t="n"/>
      <c r="D1147" s="39" t="n"/>
      <c r="E1147" s="7" t="n"/>
      <c r="F1147" s="7" t="n"/>
      <c r="G1147" s="7" t="n"/>
      <c r="H1147" s="39" t="n"/>
      <c r="I1147" s="39" t="n"/>
      <c r="J1147" s="39" t="n"/>
      <c r="K1147" s="39" t="n"/>
      <c r="L1147" s="39" t="n"/>
      <c r="M1147" s="7" t="n"/>
      <c r="N1147" s="7" t="n"/>
      <c r="O1147" s="40" t="n"/>
      <c r="P1147" s="40" t="n"/>
      <c r="Q1147" s="40" t="n"/>
      <c r="R1147" s="40" t="n"/>
      <c r="S1147" s="40" t="n"/>
      <c r="T1147" s="40" t="n"/>
      <c r="U1147" s="40" t="n"/>
      <c r="V1147" s="40" t="n"/>
      <c r="W1147" s="40" t="n"/>
      <c r="X1147" s="40" t="n"/>
      <c r="Y1147" s="40" t="n"/>
      <c r="Z1147" s="40" t="n"/>
      <c r="AA1147" s="39" t="n"/>
    </row>
    <row r="1148">
      <c r="A1148" s="7" t="n"/>
      <c r="B1148" s="7" t="n"/>
      <c r="C1148" s="39" t="n"/>
      <c r="D1148" s="39" t="n"/>
      <c r="E1148" s="7" t="n"/>
      <c r="F1148" s="7" t="n"/>
      <c r="G1148" s="7" t="n"/>
      <c r="H1148" s="39" t="n"/>
      <c r="I1148" s="39" t="n"/>
      <c r="J1148" s="39" t="n"/>
      <c r="K1148" s="39" t="n"/>
      <c r="L1148" s="39" t="n"/>
      <c r="M1148" s="7" t="n"/>
      <c r="N1148" s="7" t="n"/>
      <c r="O1148" s="40" t="n"/>
      <c r="P1148" s="40" t="n"/>
      <c r="Q1148" s="40" t="n"/>
      <c r="R1148" s="40" t="n"/>
      <c r="S1148" s="40" t="n"/>
      <c r="T1148" s="40" t="n"/>
      <c r="U1148" s="40" t="n"/>
      <c r="V1148" s="40" t="n"/>
      <c r="W1148" s="40" t="n"/>
      <c r="X1148" s="40" t="n"/>
      <c r="Y1148" s="40" t="n"/>
      <c r="Z1148" s="40" t="n"/>
      <c r="AA1148" s="39" t="n"/>
    </row>
    <row r="1149">
      <c r="A1149" s="7" t="n"/>
      <c r="B1149" s="7" t="n"/>
      <c r="C1149" s="39" t="n"/>
      <c r="D1149" s="39" t="n"/>
      <c r="E1149" s="7" t="n"/>
      <c r="F1149" s="7" t="n"/>
      <c r="G1149" s="7" t="n"/>
      <c r="H1149" s="39" t="n"/>
      <c r="I1149" s="39" t="n"/>
      <c r="J1149" s="39" t="n"/>
      <c r="K1149" s="39" t="n"/>
      <c r="L1149" s="39" t="n"/>
      <c r="M1149" s="7" t="n"/>
      <c r="N1149" s="7" t="n"/>
      <c r="O1149" s="40" t="n"/>
      <c r="P1149" s="40" t="n"/>
      <c r="Q1149" s="40" t="n"/>
      <c r="R1149" s="40" t="n"/>
      <c r="S1149" s="40" t="n"/>
      <c r="T1149" s="40" t="n"/>
      <c r="U1149" s="40" t="n"/>
      <c r="V1149" s="40" t="n"/>
      <c r="W1149" s="40" t="n"/>
      <c r="X1149" s="40" t="n"/>
      <c r="Y1149" s="40" t="n"/>
      <c r="Z1149" s="40" t="n"/>
      <c r="AA1149" s="39" t="n"/>
    </row>
    <row r="1150">
      <c r="A1150" s="7" t="n"/>
      <c r="B1150" s="7" t="n"/>
      <c r="C1150" s="39" t="n"/>
      <c r="D1150" s="39" t="n"/>
      <c r="E1150" s="7" t="n"/>
      <c r="F1150" s="7" t="n"/>
      <c r="G1150" s="7" t="n"/>
      <c r="H1150" s="39" t="n"/>
      <c r="I1150" s="39" t="n"/>
      <c r="J1150" s="39" t="n"/>
      <c r="K1150" s="39" t="n"/>
      <c r="L1150" s="39" t="n"/>
      <c r="M1150" s="7" t="n"/>
      <c r="N1150" s="7" t="n"/>
      <c r="O1150" s="40" t="n"/>
      <c r="P1150" s="40" t="n"/>
      <c r="Q1150" s="40" t="n"/>
      <c r="R1150" s="40" t="n"/>
      <c r="S1150" s="40" t="n"/>
      <c r="T1150" s="40" t="n"/>
      <c r="U1150" s="40" t="n"/>
      <c r="V1150" s="40" t="n"/>
      <c r="W1150" s="40" t="n"/>
      <c r="X1150" s="40" t="n"/>
      <c r="Y1150" s="40" t="n"/>
      <c r="Z1150" s="40" t="n"/>
      <c r="AA1150" s="39" t="n"/>
    </row>
    <row r="1151">
      <c r="A1151" s="7" t="n"/>
      <c r="B1151" s="7" t="n"/>
      <c r="C1151" s="39" t="n"/>
      <c r="D1151" s="39" t="n"/>
      <c r="E1151" s="7" t="n"/>
      <c r="F1151" s="7" t="n"/>
      <c r="G1151" s="7" t="n"/>
      <c r="H1151" s="39" t="n"/>
      <c r="I1151" s="39" t="n"/>
      <c r="J1151" s="39" t="n"/>
      <c r="K1151" s="39" t="n"/>
      <c r="L1151" s="39" t="n"/>
      <c r="M1151" s="7" t="n"/>
      <c r="N1151" s="7" t="n"/>
      <c r="O1151" s="40" t="n"/>
      <c r="P1151" s="40" t="n"/>
      <c r="Q1151" s="40" t="n"/>
      <c r="R1151" s="40" t="n"/>
      <c r="S1151" s="40" t="n"/>
      <c r="T1151" s="40" t="n"/>
      <c r="U1151" s="40" t="n"/>
      <c r="V1151" s="40" t="n"/>
      <c r="W1151" s="40" t="n"/>
      <c r="X1151" s="40" t="n"/>
      <c r="Y1151" s="40" t="n"/>
      <c r="Z1151" s="40" t="n"/>
      <c r="AA1151" s="39" t="n"/>
    </row>
    <row r="1152">
      <c r="A1152" s="7" t="n"/>
      <c r="B1152" s="7" t="n"/>
      <c r="C1152" s="39" t="n"/>
      <c r="D1152" s="39" t="n"/>
      <c r="E1152" s="7" t="n"/>
      <c r="F1152" s="7" t="n"/>
      <c r="G1152" s="7" t="n"/>
      <c r="H1152" s="39" t="n"/>
      <c r="I1152" s="39" t="n"/>
      <c r="J1152" s="39" t="n"/>
      <c r="K1152" s="39" t="n"/>
      <c r="L1152" s="39" t="n"/>
      <c r="M1152" s="7" t="n"/>
      <c r="N1152" s="7" t="n"/>
      <c r="O1152" s="40" t="n"/>
      <c r="P1152" s="40" t="n"/>
      <c r="Q1152" s="40" t="n"/>
      <c r="R1152" s="40" t="n"/>
      <c r="S1152" s="40" t="n"/>
      <c r="T1152" s="40" t="n"/>
      <c r="U1152" s="40" t="n"/>
      <c r="V1152" s="40" t="n"/>
      <c r="W1152" s="40" t="n"/>
      <c r="X1152" s="40" t="n"/>
      <c r="Y1152" s="40" t="n"/>
      <c r="Z1152" s="40" t="n"/>
      <c r="AA1152" s="39" t="n"/>
    </row>
    <row r="1153">
      <c r="A1153" s="7" t="n"/>
      <c r="B1153" s="7" t="n"/>
      <c r="C1153" s="39" t="n"/>
      <c r="D1153" s="39" t="n"/>
      <c r="E1153" s="7" t="n"/>
      <c r="F1153" s="7" t="n"/>
      <c r="G1153" s="7" t="n"/>
      <c r="H1153" s="39" t="n"/>
      <c r="I1153" s="39" t="n"/>
      <c r="J1153" s="39" t="n"/>
      <c r="K1153" s="39" t="n"/>
      <c r="L1153" s="39" t="n"/>
      <c r="M1153" s="7" t="n"/>
      <c r="N1153" s="7" t="n"/>
      <c r="O1153" s="40" t="n"/>
      <c r="P1153" s="40" t="n"/>
      <c r="Q1153" s="40" t="n"/>
      <c r="R1153" s="40" t="n"/>
      <c r="S1153" s="40" t="n"/>
      <c r="T1153" s="40" t="n"/>
      <c r="U1153" s="40" t="n"/>
      <c r="V1153" s="40" t="n"/>
      <c r="W1153" s="40" t="n"/>
      <c r="X1153" s="40" t="n"/>
      <c r="Y1153" s="40" t="n"/>
      <c r="Z1153" s="40" t="n"/>
      <c r="AA1153" s="39" t="n"/>
    </row>
    <row r="1154">
      <c r="A1154" s="7" t="n"/>
      <c r="B1154" s="7" t="n"/>
      <c r="C1154" s="39" t="n"/>
      <c r="D1154" s="39" t="n"/>
      <c r="E1154" s="7" t="n"/>
      <c r="F1154" s="7" t="n"/>
      <c r="G1154" s="7" t="n"/>
      <c r="H1154" s="39" t="n"/>
      <c r="I1154" s="39" t="n"/>
      <c r="J1154" s="39" t="n"/>
      <c r="K1154" s="39" t="n"/>
      <c r="L1154" s="39" t="n"/>
      <c r="M1154" s="7" t="n"/>
      <c r="N1154" s="7" t="n"/>
      <c r="O1154" s="40" t="n"/>
      <c r="P1154" s="40" t="n"/>
      <c r="Q1154" s="40" t="n"/>
      <c r="R1154" s="40" t="n"/>
      <c r="S1154" s="40" t="n"/>
      <c r="T1154" s="40" t="n"/>
      <c r="U1154" s="40" t="n"/>
      <c r="V1154" s="40" t="n"/>
      <c r="W1154" s="40" t="n"/>
      <c r="X1154" s="40" t="n"/>
      <c r="Y1154" s="40" t="n"/>
      <c r="Z1154" s="40" t="n"/>
      <c r="AA1154" s="39" t="n"/>
    </row>
    <row r="1155">
      <c r="A1155" s="7" t="n"/>
      <c r="B1155" s="7" t="n"/>
      <c r="C1155" s="39" t="n"/>
      <c r="D1155" s="39" t="n"/>
      <c r="E1155" s="7" t="n"/>
      <c r="F1155" s="7" t="n"/>
      <c r="G1155" s="7" t="n"/>
      <c r="H1155" s="39" t="n"/>
      <c r="I1155" s="39" t="n"/>
      <c r="J1155" s="39" t="n"/>
      <c r="K1155" s="39" t="n"/>
      <c r="L1155" s="39" t="n"/>
      <c r="M1155" s="7" t="n"/>
      <c r="N1155" s="7" t="n"/>
      <c r="O1155" s="40" t="n"/>
      <c r="P1155" s="40" t="n"/>
      <c r="Q1155" s="40" t="n"/>
      <c r="R1155" s="40" t="n"/>
      <c r="S1155" s="40" t="n"/>
      <c r="T1155" s="40" t="n"/>
      <c r="U1155" s="40" t="n"/>
      <c r="V1155" s="40" t="n"/>
      <c r="W1155" s="40" t="n"/>
      <c r="X1155" s="40" t="n"/>
      <c r="Y1155" s="40" t="n"/>
      <c r="Z1155" s="40" t="n"/>
      <c r="AA1155" s="39" t="n"/>
    </row>
    <row r="1156">
      <c r="A1156" s="7" t="n"/>
      <c r="B1156" s="7" t="n"/>
      <c r="C1156" s="39" t="n"/>
      <c r="D1156" s="39" t="n"/>
      <c r="E1156" s="7" t="n"/>
      <c r="F1156" s="7" t="n"/>
      <c r="G1156" s="7" t="n"/>
      <c r="H1156" s="39" t="n"/>
      <c r="I1156" s="39" t="n"/>
      <c r="J1156" s="39" t="n"/>
      <c r="K1156" s="39" t="n"/>
      <c r="L1156" s="39" t="n"/>
      <c r="M1156" s="7" t="n"/>
      <c r="N1156" s="7" t="n"/>
      <c r="O1156" s="40" t="n"/>
      <c r="P1156" s="40" t="n"/>
      <c r="Q1156" s="40" t="n"/>
      <c r="R1156" s="40" t="n"/>
      <c r="S1156" s="40" t="n"/>
      <c r="T1156" s="40" t="n"/>
      <c r="U1156" s="40" t="n"/>
      <c r="V1156" s="40" t="n"/>
      <c r="W1156" s="40" t="n"/>
      <c r="X1156" s="40" t="n"/>
      <c r="Y1156" s="40" t="n"/>
      <c r="Z1156" s="40" t="n"/>
      <c r="AA1156" s="39" t="n"/>
    </row>
    <row r="1157">
      <c r="A1157" s="7" t="n"/>
      <c r="B1157" s="7" t="n"/>
      <c r="C1157" s="39" t="n"/>
      <c r="D1157" s="39" t="n"/>
      <c r="E1157" s="7" t="n"/>
      <c r="F1157" s="7" t="n"/>
      <c r="G1157" s="7" t="n"/>
      <c r="H1157" s="39" t="n"/>
      <c r="I1157" s="39" t="n"/>
      <c r="J1157" s="39" t="n"/>
      <c r="K1157" s="39" t="n"/>
      <c r="L1157" s="39" t="n"/>
      <c r="M1157" s="7" t="n"/>
      <c r="N1157" s="7" t="n"/>
      <c r="O1157" s="40" t="n"/>
      <c r="P1157" s="40" t="n"/>
      <c r="Q1157" s="40" t="n"/>
      <c r="R1157" s="40" t="n"/>
      <c r="S1157" s="40" t="n"/>
      <c r="T1157" s="40" t="n"/>
      <c r="U1157" s="40" t="n"/>
      <c r="V1157" s="40" t="n"/>
      <c r="W1157" s="40" t="n"/>
      <c r="X1157" s="40" t="n"/>
      <c r="Y1157" s="40" t="n"/>
      <c r="Z1157" s="40" t="n"/>
      <c r="AA1157" s="39" t="n"/>
    </row>
    <row r="1158">
      <c r="A1158" s="7" t="n"/>
      <c r="B1158" s="7" t="n"/>
      <c r="C1158" s="39" t="n"/>
      <c r="D1158" s="39" t="n"/>
      <c r="E1158" s="7" t="n"/>
      <c r="F1158" s="7" t="n"/>
      <c r="G1158" s="7" t="n"/>
      <c r="H1158" s="39" t="n"/>
      <c r="I1158" s="39" t="n"/>
      <c r="J1158" s="39" t="n"/>
      <c r="K1158" s="39" t="n"/>
      <c r="L1158" s="39" t="n"/>
      <c r="M1158" s="7" t="n"/>
      <c r="N1158" s="7" t="n"/>
      <c r="O1158" s="40" t="n"/>
      <c r="P1158" s="40" t="n"/>
      <c r="Q1158" s="40" t="n"/>
      <c r="R1158" s="40" t="n"/>
      <c r="S1158" s="40" t="n"/>
      <c r="T1158" s="40" t="n"/>
      <c r="U1158" s="40" t="n"/>
      <c r="V1158" s="40" t="n"/>
      <c r="W1158" s="40" t="n"/>
      <c r="X1158" s="40" t="n"/>
      <c r="Y1158" s="40" t="n"/>
      <c r="Z1158" s="40" t="n"/>
      <c r="AA1158" s="39" t="n"/>
    </row>
    <row r="1159">
      <c r="A1159" s="7" t="n"/>
      <c r="B1159" s="7" t="n"/>
      <c r="C1159" s="39" t="n"/>
      <c r="D1159" s="39" t="n"/>
      <c r="E1159" s="7" t="n"/>
      <c r="F1159" s="7" t="n"/>
      <c r="G1159" s="7" t="n"/>
      <c r="H1159" s="39" t="n"/>
      <c r="I1159" s="39" t="n"/>
      <c r="J1159" s="39" t="n"/>
      <c r="K1159" s="39" t="n"/>
      <c r="L1159" s="39" t="n"/>
      <c r="M1159" s="7" t="n"/>
      <c r="N1159" s="7" t="n"/>
      <c r="O1159" s="40" t="n"/>
      <c r="P1159" s="40" t="n"/>
      <c r="Q1159" s="40" t="n"/>
      <c r="R1159" s="40" t="n"/>
      <c r="S1159" s="40" t="n"/>
      <c r="T1159" s="40" t="n"/>
      <c r="U1159" s="40" t="n"/>
      <c r="V1159" s="40" t="n"/>
      <c r="W1159" s="40" t="n"/>
      <c r="X1159" s="40" t="n"/>
      <c r="Y1159" s="40" t="n"/>
      <c r="Z1159" s="40" t="n"/>
      <c r="AA1159" s="39" t="n"/>
    </row>
    <row r="1160">
      <c r="A1160" s="7" t="n"/>
      <c r="B1160" s="7" t="n"/>
      <c r="C1160" s="39" t="n"/>
      <c r="D1160" s="39" t="n"/>
      <c r="E1160" s="7" t="n"/>
      <c r="F1160" s="7" t="n"/>
      <c r="G1160" s="7" t="n"/>
      <c r="H1160" s="39" t="n"/>
      <c r="I1160" s="39" t="n"/>
      <c r="J1160" s="39" t="n"/>
      <c r="K1160" s="39" t="n"/>
      <c r="L1160" s="39" t="n"/>
      <c r="M1160" s="7" t="n"/>
      <c r="N1160" s="7" t="n"/>
      <c r="O1160" s="40" t="n"/>
      <c r="P1160" s="40" t="n"/>
      <c r="Q1160" s="40" t="n"/>
      <c r="R1160" s="40" t="n"/>
      <c r="S1160" s="40" t="n"/>
      <c r="T1160" s="40" t="n"/>
      <c r="U1160" s="40" t="n"/>
      <c r="V1160" s="40" t="n"/>
      <c r="W1160" s="40" t="n"/>
      <c r="X1160" s="40" t="n"/>
      <c r="Y1160" s="40" t="n"/>
      <c r="Z1160" s="40" t="n"/>
      <c r="AA1160" s="39" t="n"/>
    </row>
    <row r="1161">
      <c r="A1161" s="7" t="n"/>
      <c r="B1161" s="7" t="n"/>
      <c r="C1161" s="39" t="n"/>
      <c r="D1161" s="39" t="n"/>
      <c r="E1161" s="7" t="n"/>
      <c r="F1161" s="7" t="n"/>
      <c r="G1161" s="7" t="n"/>
      <c r="H1161" s="39" t="n"/>
      <c r="I1161" s="39" t="n"/>
      <c r="J1161" s="39" t="n"/>
      <c r="K1161" s="39" t="n"/>
      <c r="L1161" s="39" t="n"/>
      <c r="M1161" s="7" t="n"/>
      <c r="N1161" s="7" t="n"/>
      <c r="O1161" s="40" t="n"/>
      <c r="P1161" s="40" t="n"/>
      <c r="Q1161" s="40" t="n"/>
      <c r="R1161" s="40" t="n"/>
      <c r="S1161" s="40" t="n"/>
      <c r="T1161" s="40" t="n"/>
      <c r="U1161" s="40" t="n"/>
      <c r="V1161" s="40" t="n"/>
      <c r="W1161" s="40" t="n"/>
      <c r="X1161" s="40" t="n"/>
      <c r="Y1161" s="40" t="n"/>
      <c r="Z1161" s="40" t="n"/>
      <c r="AA1161" s="39" t="n"/>
    </row>
    <row r="1162">
      <c r="A1162" s="7" t="n"/>
      <c r="B1162" s="7" t="n"/>
      <c r="C1162" s="39" t="n"/>
      <c r="D1162" s="39" t="n"/>
      <c r="E1162" s="7" t="n"/>
      <c r="F1162" s="7" t="n"/>
      <c r="G1162" s="7" t="n"/>
      <c r="H1162" s="39" t="n"/>
      <c r="I1162" s="39" t="n"/>
      <c r="J1162" s="39" t="n"/>
      <c r="K1162" s="39" t="n"/>
      <c r="L1162" s="39" t="n"/>
      <c r="M1162" s="7" t="n"/>
      <c r="N1162" s="7" t="n"/>
      <c r="O1162" s="40" t="n"/>
      <c r="P1162" s="40" t="n"/>
      <c r="Q1162" s="40" t="n"/>
      <c r="R1162" s="40" t="n"/>
      <c r="S1162" s="40" t="n"/>
      <c r="T1162" s="40" t="n"/>
      <c r="U1162" s="40" t="n"/>
      <c r="V1162" s="40" t="n"/>
      <c r="W1162" s="40" t="n"/>
      <c r="X1162" s="40" t="n"/>
      <c r="Y1162" s="40" t="n"/>
      <c r="Z1162" s="40" t="n"/>
      <c r="AA1162" s="39" t="n"/>
    </row>
    <row r="1163">
      <c r="A1163" s="7" t="n"/>
      <c r="B1163" s="7" t="n"/>
      <c r="C1163" s="39" t="n"/>
      <c r="D1163" s="39" t="n"/>
      <c r="E1163" s="7" t="n"/>
      <c r="F1163" s="7" t="n"/>
      <c r="G1163" s="7" t="n"/>
      <c r="H1163" s="39" t="n"/>
      <c r="I1163" s="39" t="n"/>
      <c r="J1163" s="39" t="n"/>
      <c r="K1163" s="39" t="n"/>
      <c r="L1163" s="39" t="n"/>
      <c r="M1163" s="7" t="n"/>
      <c r="N1163" s="7" t="n"/>
      <c r="O1163" s="40" t="n"/>
      <c r="P1163" s="40" t="n"/>
      <c r="Q1163" s="40" t="n"/>
      <c r="R1163" s="40" t="n"/>
      <c r="S1163" s="40" t="n"/>
      <c r="T1163" s="40" t="n"/>
      <c r="U1163" s="40" t="n"/>
      <c r="V1163" s="40" t="n"/>
      <c r="W1163" s="40" t="n"/>
      <c r="X1163" s="40" t="n"/>
      <c r="Y1163" s="40" t="n"/>
      <c r="Z1163" s="40" t="n"/>
      <c r="AA1163" s="39" t="n"/>
    </row>
    <row r="1164">
      <c r="A1164" s="7" t="n"/>
      <c r="B1164" s="7" t="n"/>
      <c r="C1164" s="39" t="n"/>
      <c r="D1164" s="39" t="n"/>
      <c r="E1164" s="7" t="n"/>
      <c r="F1164" s="7" t="n"/>
      <c r="G1164" s="7" t="n"/>
      <c r="H1164" s="39" t="n"/>
      <c r="I1164" s="39" t="n"/>
      <c r="J1164" s="39" t="n"/>
      <c r="K1164" s="39" t="n"/>
      <c r="L1164" s="39" t="n"/>
      <c r="M1164" s="7" t="n"/>
      <c r="N1164" s="7" t="n"/>
      <c r="O1164" s="40" t="n"/>
      <c r="P1164" s="40" t="n"/>
      <c r="Q1164" s="40" t="n"/>
      <c r="R1164" s="40" t="n"/>
      <c r="S1164" s="40" t="n"/>
      <c r="T1164" s="40" t="n"/>
      <c r="U1164" s="40" t="n"/>
      <c r="V1164" s="40" t="n"/>
      <c r="W1164" s="40" t="n"/>
      <c r="X1164" s="40" t="n"/>
      <c r="Y1164" s="40" t="n"/>
      <c r="Z1164" s="40" t="n"/>
      <c r="AA1164" s="39" t="n"/>
    </row>
    <row r="1165">
      <c r="A1165" s="7" t="n"/>
      <c r="B1165" s="7" t="n"/>
      <c r="C1165" s="39" t="n"/>
      <c r="D1165" s="39" t="n"/>
      <c r="E1165" s="7" t="n"/>
      <c r="F1165" s="7" t="n"/>
      <c r="G1165" s="7" t="n"/>
      <c r="H1165" s="39" t="n"/>
      <c r="I1165" s="39" t="n"/>
      <c r="J1165" s="39" t="n"/>
      <c r="K1165" s="39" t="n"/>
      <c r="L1165" s="39" t="n"/>
      <c r="M1165" s="7" t="n"/>
      <c r="N1165" s="7" t="n"/>
      <c r="O1165" s="40" t="n"/>
      <c r="P1165" s="40" t="n"/>
      <c r="Q1165" s="40" t="n"/>
      <c r="R1165" s="40" t="n"/>
      <c r="S1165" s="40" t="n"/>
      <c r="T1165" s="40" t="n"/>
      <c r="U1165" s="40" t="n"/>
      <c r="V1165" s="40" t="n"/>
      <c r="W1165" s="40" t="n"/>
      <c r="X1165" s="40" t="n"/>
      <c r="Y1165" s="40" t="n"/>
      <c r="Z1165" s="40" t="n"/>
      <c r="AA1165" s="39" t="n"/>
    </row>
    <row r="1166">
      <c r="A1166" s="7" t="n"/>
      <c r="B1166" s="7" t="n"/>
      <c r="C1166" s="39" t="n"/>
      <c r="D1166" s="39" t="n"/>
      <c r="E1166" s="7" t="n"/>
      <c r="F1166" s="7" t="n"/>
      <c r="G1166" s="7" t="n"/>
      <c r="H1166" s="39" t="n"/>
      <c r="I1166" s="39" t="n"/>
      <c r="J1166" s="39" t="n"/>
      <c r="K1166" s="39" t="n"/>
      <c r="L1166" s="39" t="n"/>
      <c r="M1166" s="7" t="n"/>
      <c r="N1166" s="7" t="n"/>
      <c r="O1166" s="40" t="n"/>
      <c r="P1166" s="40" t="n"/>
      <c r="Q1166" s="40" t="n"/>
      <c r="R1166" s="40" t="n"/>
      <c r="S1166" s="40" t="n"/>
      <c r="T1166" s="40" t="n"/>
      <c r="U1166" s="40" t="n"/>
      <c r="V1166" s="40" t="n"/>
      <c r="W1166" s="40" t="n"/>
      <c r="X1166" s="40" t="n"/>
      <c r="Y1166" s="40" t="n"/>
      <c r="Z1166" s="40" t="n"/>
      <c r="AA1166" s="39" t="n"/>
    </row>
    <row r="1167">
      <c r="A1167" s="7" t="n"/>
      <c r="B1167" s="7" t="n"/>
      <c r="C1167" s="39" t="n"/>
      <c r="D1167" s="39" t="n"/>
      <c r="E1167" s="7" t="n"/>
      <c r="F1167" s="7" t="n"/>
      <c r="G1167" s="7" t="n"/>
      <c r="H1167" s="39" t="n"/>
      <c r="I1167" s="39" t="n"/>
      <c r="J1167" s="39" t="n"/>
      <c r="K1167" s="39" t="n"/>
      <c r="L1167" s="39" t="n"/>
      <c r="M1167" s="7" t="n"/>
      <c r="N1167" s="7" t="n"/>
      <c r="O1167" s="40" t="n"/>
      <c r="P1167" s="40" t="n"/>
      <c r="Q1167" s="40" t="n"/>
      <c r="R1167" s="40" t="n"/>
      <c r="S1167" s="40" t="n"/>
      <c r="T1167" s="40" t="n"/>
      <c r="U1167" s="40" t="n"/>
      <c r="V1167" s="40" t="n"/>
      <c r="W1167" s="40" t="n"/>
      <c r="X1167" s="40" t="n"/>
      <c r="Y1167" s="40" t="n"/>
      <c r="Z1167" s="40" t="n"/>
      <c r="AA1167" s="39" t="n"/>
    </row>
    <row r="1168">
      <c r="A1168" s="7" t="n"/>
      <c r="B1168" s="7" t="n"/>
      <c r="C1168" s="39" t="n"/>
      <c r="D1168" s="39" t="n"/>
      <c r="E1168" s="7" t="n"/>
      <c r="F1168" s="7" t="n"/>
      <c r="G1168" s="7" t="n"/>
      <c r="H1168" s="39" t="n"/>
      <c r="I1168" s="39" t="n"/>
      <c r="J1168" s="39" t="n"/>
      <c r="K1168" s="39" t="n"/>
      <c r="L1168" s="39" t="n"/>
      <c r="M1168" s="7" t="n"/>
      <c r="N1168" s="7" t="n"/>
      <c r="O1168" s="40" t="n"/>
      <c r="P1168" s="40" t="n"/>
      <c r="Q1168" s="40" t="n"/>
      <c r="R1168" s="40" t="n"/>
      <c r="S1168" s="40" t="n"/>
      <c r="T1168" s="40" t="n"/>
      <c r="U1168" s="40" t="n"/>
      <c r="V1168" s="40" t="n"/>
      <c r="W1168" s="40" t="n"/>
      <c r="X1168" s="40" t="n"/>
      <c r="Y1168" s="40" t="n"/>
      <c r="Z1168" s="40" t="n"/>
      <c r="AA1168" s="39" t="n"/>
    </row>
    <row r="1169">
      <c r="A1169" s="7" t="n"/>
      <c r="B1169" s="7" t="n"/>
      <c r="C1169" s="39" t="n"/>
      <c r="D1169" s="39" t="n"/>
      <c r="E1169" s="7" t="n"/>
      <c r="F1169" s="7" t="n"/>
      <c r="G1169" s="7" t="n"/>
      <c r="H1169" s="39" t="n"/>
      <c r="I1169" s="39" t="n"/>
      <c r="J1169" s="39" t="n"/>
      <c r="K1169" s="39" t="n"/>
      <c r="L1169" s="39" t="n"/>
      <c r="M1169" s="7" t="n"/>
      <c r="N1169" s="7" t="n"/>
      <c r="O1169" s="40" t="n"/>
      <c r="P1169" s="40" t="n"/>
      <c r="Q1169" s="40" t="n"/>
      <c r="R1169" s="40" t="n"/>
      <c r="S1169" s="40" t="n"/>
      <c r="T1169" s="40" t="n"/>
      <c r="U1169" s="40" t="n"/>
      <c r="V1169" s="40" t="n"/>
      <c r="W1169" s="40" t="n"/>
      <c r="X1169" s="40" t="n"/>
      <c r="Y1169" s="40" t="n"/>
      <c r="Z1169" s="40" t="n"/>
      <c r="AA1169" s="39" t="n"/>
    </row>
    <row r="1170">
      <c r="A1170" s="7" t="n"/>
      <c r="B1170" s="7" t="n"/>
      <c r="C1170" s="39" t="n"/>
      <c r="D1170" s="39" t="n"/>
      <c r="E1170" s="7" t="n"/>
      <c r="F1170" s="7" t="n"/>
      <c r="G1170" s="7" t="n"/>
      <c r="H1170" s="39" t="n"/>
      <c r="I1170" s="39" t="n"/>
      <c r="J1170" s="39" t="n"/>
      <c r="K1170" s="39" t="n"/>
      <c r="L1170" s="39" t="n"/>
      <c r="M1170" s="7" t="n"/>
      <c r="N1170" s="7" t="n"/>
      <c r="O1170" s="40" t="n"/>
      <c r="P1170" s="40" t="n"/>
      <c r="Q1170" s="40" t="n"/>
      <c r="R1170" s="40" t="n"/>
      <c r="S1170" s="40" t="n"/>
      <c r="T1170" s="40" t="n"/>
      <c r="U1170" s="40" t="n"/>
      <c r="V1170" s="40" t="n"/>
      <c r="W1170" s="40" t="n"/>
      <c r="X1170" s="40" t="n"/>
      <c r="Y1170" s="40" t="n"/>
      <c r="Z1170" s="40" t="n"/>
      <c r="AA1170" s="39" t="n"/>
    </row>
    <row r="1171">
      <c r="A1171" s="7" t="n"/>
      <c r="B1171" s="7" t="n"/>
      <c r="C1171" s="39" t="n"/>
      <c r="D1171" s="39" t="n"/>
      <c r="E1171" s="7" t="n"/>
      <c r="F1171" s="7" t="n"/>
      <c r="G1171" s="7" t="n"/>
      <c r="H1171" s="39" t="n"/>
      <c r="I1171" s="39" t="n"/>
      <c r="J1171" s="39" t="n"/>
      <c r="K1171" s="39" t="n"/>
      <c r="L1171" s="39" t="n"/>
      <c r="M1171" s="7" t="n"/>
      <c r="N1171" s="7" t="n"/>
      <c r="O1171" s="40" t="n"/>
      <c r="P1171" s="40" t="n"/>
      <c r="Q1171" s="40" t="n"/>
      <c r="R1171" s="40" t="n"/>
      <c r="S1171" s="40" t="n"/>
      <c r="T1171" s="40" t="n"/>
      <c r="U1171" s="40" t="n"/>
      <c r="V1171" s="40" t="n"/>
      <c r="W1171" s="40" t="n"/>
      <c r="X1171" s="40" t="n"/>
      <c r="Y1171" s="40" t="n"/>
      <c r="Z1171" s="40" t="n"/>
      <c r="AA1171" s="39" t="n"/>
    </row>
    <row r="1172">
      <c r="A1172" s="7" t="n"/>
      <c r="B1172" s="7" t="n"/>
      <c r="C1172" s="39" t="n"/>
      <c r="D1172" s="39" t="n"/>
      <c r="E1172" s="7" t="n"/>
      <c r="F1172" s="7" t="n"/>
      <c r="G1172" s="7" t="n"/>
      <c r="H1172" s="39" t="n"/>
      <c r="I1172" s="39" t="n"/>
      <c r="J1172" s="39" t="n"/>
      <c r="K1172" s="39" t="n"/>
      <c r="L1172" s="39" t="n"/>
      <c r="M1172" s="7" t="n"/>
      <c r="N1172" s="7" t="n"/>
      <c r="O1172" s="40" t="n"/>
      <c r="P1172" s="40" t="n"/>
      <c r="Q1172" s="40" t="n"/>
      <c r="R1172" s="40" t="n"/>
      <c r="S1172" s="40" t="n"/>
      <c r="T1172" s="40" t="n"/>
      <c r="U1172" s="40" t="n"/>
      <c r="V1172" s="40" t="n"/>
      <c r="W1172" s="40" t="n"/>
      <c r="X1172" s="40" t="n"/>
      <c r="Y1172" s="40" t="n"/>
      <c r="Z1172" s="40" t="n"/>
      <c r="AA1172" s="39" t="n"/>
    </row>
    <row r="1173">
      <c r="A1173" s="7" t="n"/>
      <c r="B1173" s="7" t="n"/>
      <c r="C1173" s="39" t="n"/>
      <c r="D1173" s="39" t="n"/>
      <c r="E1173" s="7" t="n"/>
      <c r="F1173" s="7" t="n"/>
      <c r="G1173" s="7" t="n"/>
      <c r="H1173" s="39" t="n"/>
      <c r="I1173" s="39" t="n"/>
      <c r="J1173" s="39" t="n"/>
      <c r="K1173" s="39" t="n"/>
      <c r="L1173" s="39" t="n"/>
      <c r="M1173" s="7" t="n"/>
      <c r="N1173" s="7" t="n"/>
      <c r="O1173" s="40" t="n"/>
      <c r="P1173" s="40" t="n"/>
      <c r="Q1173" s="40" t="n"/>
      <c r="R1173" s="40" t="n"/>
      <c r="S1173" s="40" t="n"/>
      <c r="T1173" s="40" t="n"/>
      <c r="U1173" s="40" t="n"/>
      <c r="V1173" s="40" t="n"/>
      <c r="W1173" s="40" t="n"/>
      <c r="X1173" s="40" t="n"/>
      <c r="Y1173" s="40" t="n"/>
      <c r="Z1173" s="40" t="n"/>
      <c r="AA1173" s="39" t="n"/>
    </row>
    <row r="1174">
      <c r="A1174" s="7" t="n"/>
      <c r="B1174" s="7" t="n"/>
      <c r="C1174" s="39" t="n"/>
      <c r="D1174" s="39" t="n"/>
      <c r="E1174" s="7" t="n"/>
      <c r="F1174" s="7" t="n"/>
      <c r="G1174" s="7" t="n"/>
      <c r="H1174" s="39" t="n"/>
      <c r="I1174" s="39" t="n"/>
      <c r="J1174" s="39" t="n"/>
      <c r="K1174" s="39" t="n"/>
      <c r="L1174" s="39" t="n"/>
      <c r="M1174" s="7" t="n"/>
      <c r="N1174" s="7" t="n"/>
      <c r="O1174" s="40" t="n"/>
      <c r="P1174" s="40" t="n"/>
      <c r="Q1174" s="40" t="n"/>
      <c r="R1174" s="40" t="n"/>
      <c r="S1174" s="40" t="n"/>
      <c r="T1174" s="40" t="n"/>
      <c r="U1174" s="40" t="n"/>
      <c r="V1174" s="40" t="n"/>
      <c r="W1174" s="40" t="n"/>
      <c r="X1174" s="40" t="n"/>
      <c r="Y1174" s="40" t="n"/>
      <c r="Z1174" s="40" t="n"/>
      <c r="AA1174" s="39" t="n"/>
    </row>
    <row r="1175">
      <c r="A1175" s="7" t="n"/>
      <c r="B1175" s="7" t="n"/>
      <c r="C1175" s="39" t="n"/>
      <c r="D1175" s="39" t="n"/>
      <c r="E1175" s="7" t="n"/>
      <c r="F1175" s="7" t="n"/>
      <c r="G1175" s="7" t="n"/>
      <c r="H1175" s="39" t="n"/>
      <c r="I1175" s="39" t="n"/>
      <c r="J1175" s="39" t="n"/>
      <c r="K1175" s="39" t="n"/>
      <c r="L1175" s="39" t="n"/>
      <c r="M1175" s="7" t="n"/>
      <c r="N1175" s="7" t="n"/>
      <c r="O1175" s="40" t="n"/>
      <c r="P1175" s="40" t="n"/>
      <c r="Q1175" s="40" t="n"/>
      <c r="R1175" s="40" t="n"/>
      <c r="S1175" s="40" t="n"/>
      <c r="T1175" s="40" t="n"/>
      <c r="U1175" s="40" t="n"/>
      <c r="V1175" s="40" t="n"/>
      <c r="W1175" s="40" t="n"/>
      <c r="X1175" s="40" t="n"/>
      <c r="Y1175" s="40" t="n"/>
      <c r="Z1175" s="40" t="n"/>
      <c r="AA1175" s="39" t="n"/>
    </row>
    <row r="1176">
      <c r="A1176" s="7" t="n"/>
      <c r="B1176" s="7" t="n"/>
      <c r="C1176" s="39" t="n"/>
      <c r="D1176" s="39" t="n"/>
      <c r="E1176" s="7" t="n"/>
      <c r="F1176" s="7" t="n"/>
      <c r="G1176" s="7" t="n"/>
      <c r="H1176" s="39" t="n"/>
      <c r="I1176" s="39" t="n"/>
      <c r="J1176" s="39" t="n"/>
      <c r="K1176" s="39" t="n"/>
      <c r="L1176" s="39" t="n"/>
      <c r="M1176" s="7" t="n"/>
      <c r="N1176" s="7" t="n"/>
      <c r="O1176" s="40" t="n"/>
      <c r="P1176" s="40" t="n"/>
      <c r="Q1176" s="40" t="n"/>
      <c r="R1176" s="40" t="n"/>
      <c r="S1176" s="40" t="n"/>
      <c r="T1176" s="40" t="n"/>
      <c r="U1176" s="40" t="n"/>
      <c r="V1176" s="40" t="n"/>
      <c r="W1176" s="40" t="n"/>
      <c r="X1176" s="40" t="n"/>
      <c r="Y1176" s="40" t="n"/>
      <c r="Z1176" s="40" t="n"/>
      <c r="AA1176" s="39" t="n"/>
    </row>
    <row r="1177">
      <c r="A1177" s="7" t="n"/>
      <c r="B1177" s="7" t="n"/>
      <c r="C1177" s="39" t="n"/>
      <c r="D1177" s="39" t="n"/>
      <c r="E1177" s="7" t="n"/>
      <c r="F1177" s="7" t="n"/>
      <c r="G1177" s="7" t="n"/>
      <c r="H1177" s="39" t="n"/>
      <c r="I1177" s="39" t="n"/>
      <c r="J1177" s="39" t="n"/>
      <c r="K1177" s="39" t="n"/>
      <c r="L1177" s="39" t="n"/>
      <c r="M1177" s="7" t="n"/>
      <c r="N1177" s="7" t="n"/>
      <c r="O1177" s="40" t="n"/>
      <c r="P1177" s="40" t="n"/>
      <c r="Q1177" s="40" t="n"/>
      <c r="R1177" s="40" t="n"/>
      <c r="S1177" s="40" t="n"/>
      <c r="T1177" s="40" t="n"/>
      <c r="U1177" s="40" t="n"/>
      <c r="V1177" s="40" t="n"/>
      <c r="W1177" s="40" t="n"/>
      <c r="X1177" s="40" t="n"/>
      <c r="Y1177" s="40" t="n"/>
      <c r="Z1177" s="40" t="n"/>
      <c r="AA1177" s="39" t="n"/>
    </row>
    <row r="1178">
      <c r="A1178" s="7" t="n"/>
      <c r="B1178" s="7" t="n"/>
      <c r="C1178" s="39" t="n"/>
      <c r="D1178" s="39" t="n"/>
      <c r="E1178" s="7" t="n"/>
      <c r="F1178" s="7" t="n"/>
      <c r="G1178" s="7" t="n"/>
      <c r="H1178" s="39" t="n"/>
      <c r="I1178" s="39" t="n"/>
      <c r="J1178" s="39" t="n"/>
      <c r="K1178" s="39" t="n"/>
      <c r="L1178" s="39" t="n"/>
      <c r="M1178" s="7" t="n"/>
      <c r="N1178" s="7" t="n"/>
      <c r="O1178" s="40" t="n"/>
      <c r="P1178" s="40" t="n"/>
      <c r="Q1178" s="40" t="n"/>
      <c r="R1178" s="40" t="n"/>
      <c r="S1178" s="40" t="n"/>
      <c r="T1178" s="40" t="n"/>
      <c r="U1178" s="40" t="n"/>
      <c r="V1178" s="40" t="n"/>
      <c r="W1178" s="40" t="n"/>
      <c r="X1178" s="40" t="n"/>
      <c r="Y1178" s="40" t="n"/>
      <c r="Z1178" s="40" t="n"/>
      <c r="AA1178" s="39" t="n"/>
    </row>
    <row r="1179">
      <c r="A1179" s="7" t="n"/>
      <c r="B1179" s="7" t="n"/>
      <c r="C1179" s="39" t="n"/>
      <c r="D1179" s="39" t="n"/>
      <c r="E1179" s="7" t="n"/>
      <c r="F1179" s="7" t="n"/>
      <c r="G1179" s="7" t="n"/>
      <c r="H1179" s="39" t="n"/>
      <c r="I1179" s="39" t="n"/>
      <c r="J1179" s="39" t="n"/>
      <c r="K1179" s="39" t="n"/>
      <c r="L1179" s="39" t="n"/>
      <c r="M1179" s="7" t="n"/>
      <c r="N1179" s="7" t="n"/>
      <c r="O1179" s="40" t="n"/>
      <c r="P1179" s="40" t="n"/>
      <c r="Q1179" s="40" t="n"/>
      <c r="R1179" s="40" t="n"/>
      <c r="S1179" s="40" t="n"/>
      <c r="T1179" s="40" t="n"/>
      <c r="U1179" s="40" t="n"/>
      <c r="V1179" s="40" t="n"/>
      <c r="W1179" s="40" t="n"/>
      <c r="X1179" s="40" t="n"/>
      <c r="Y1179" s="40" t="n"/>
      <c r="Z1179" s="40" t="n"/>
      <c r="AA1179" s="39" t="n"/>
    </row>
    <row r="1180">
      <c r="A1180" s="7" t="n"/>
      <c r="B1180" s="7" t="n"/>
      <c r="C1180" s="39" t="n"/>
      <c r="D1180" s="39" t="n"/>
      <c r="E1180" s="7" t="n"/>
      <c r="F1180" s="7" t="n"/>
      <c r="G1180" s="7" t="n"/>
      <c r="H1180" s="39" t="n"/>
      <c r="I1180" s="39" t="n"/>
      <c r="J1180" s="39" t="n"/>
      <c r="K1180" s="39" t="n"/>
      <c r="L1180" s="39" t="n"/>
      <c r="M1180" s="7" t="n"/>
      <c r="N1180" s="7" t="n"/>
      <c r="O1180" s="40" t="n"/>
      <c r="P1180" s="40" t="n"/>
      <c r="Q1180" s="40" t="n"/>
      <c r="R1180" s="40" t="n"/>
      <c r="S1180" s="40" t="n"/>
      <c r="T1180" s="40" t="n"/>
      <c r="U1180" s="40" t="n"/>
      <c r="V1180" s="40" t="n"/>
      <c r="W1180" s="40" t="n"/>
      <c r="X1180" s="40" t="n"/>
      <c r="Y1180" s="40" t="n"/>
      <c r="Z1180" s="40" t="n"/>
      <c r="AA1180" s="39" t="n"/>
    </row>
    <row r="1181">
      <c r="A1181" s="7" t="n"/>
      <c r="B1181" s="7" t="n"/>
      <c r="C1181" s="39" t="n"/>
      <c r="D1181" s="39" t="n"/>
      <c r="E1181" s="7" t="n"/>
      <c r="F1181" s="7" t="n"/>
      <c r="G1181" s="7" t="n"/>
      <c r="H1181" s="39" t="n"/>
      <c r="I1181" s="39" t="n"/>
      <c r="J1181" s="39" t="n"/>
      <c r="K1181" s="39" t="n"/>
      <c r="L1181" s="39" t="n"/>
      <c r="M1181" s="7" t="n"/>
      <c r="N1181" s="7" t="n"/>
      <c r="O1181" s="40" t="n"/>
      <c r="P1181" s="40" t="n"/>
      <c r="Q1181" s="40" t="n"/>
      <c r="R1181" s="40" t="n"/>
      <c r="S1181" s="40" t="n"/>
      <c r="T1181" s="40" t="n"/>
      <c r="U1181" s="40" t="n"/>
      <c r="V1181" s="40" t="n"/>
      <c r="W1181" s="40" t="n"/>
      <c r="X1181" s="40" t="n"/>
      <c r="Y1181" s="40" t="n"/>
      <c r="Z1181" s="40" t="n"/>
      <c r="AA1181" s="39" t="n"/>
    </row>
    <row r="1182">
      <c r="A1182" s="7" t="n"/>
      <c r="B1182" s="7" t="n"/>
      <c r="C1182" s="39" t="n"/>
      <c r="D1182" s="39" t="n"/>
      <c r="E1182" s="7" t="n"/>
      <c r="F1182" s="7" t="n"/>
      <c r="G1182" s="7" t="n"/>
      <c r="H1182" s="39" t="n"/>
      <c r="I1182" s="39" t="n"/>
      <c r="J1182" s="39" t="n"/>
      <c r="K1182" s="39" t="n"/>
      <c r="L1182" s="39" t="n"/>
      <c r="M1182" s="7" t="n"/>
      <c r="N1182" s="7" t="n"/>
      <c r="O1182" s="40" t="n"/>
      <c r="P1182" s="40" t="n"/>
      <c r="Q1182" s="40" t="n"/>
      <c r="R1182" s="40" t="n"/>
      <c r="S1182" s="40" t="n"/>
      <c r="T1182" s="40" t="n"/>
      <c r="U1182" s="40" t="n"/>
      <c r="V1182" s="40" t="n"/>
      <c r="W1182" s="40" t="n"/>
      <c r="X1182" s="40" t="n"/>
      <c r="Y1182" s="40" t="n"/>
      <c r="Z1182" s="40" t="n"/>
      <c r="AA1182" s="39" t="n"/>
    </row>
    <row r="1183">
      <c r="A1183" s="7" t="n"/>
      <c r="B1183" s="7" t="n"/>
      <c r="C1183" s="39" t="n"/>
      <c r="D1183" s="39" t="n"/>
      <c r="E1183" s="7" t="n"/>
      <c r="F1183" s="7" t="n"/>
      <c r="G1183" s="7" t="n"/>
      <c r="H1183" s="39" t="n"/>
      <c r="I1183" s="39" t="n"/>
      <c r="J1183" s="39" t="n"/>
      <c r="K1183" s="39" t="n"/>
      <c r="L1183" s="39" t="n"/>
      <c r="M1183" s="7" t="n"/>
      <c r="N1183" s="7" t="n"/>
      <c r="O1183" s="40" t="n"/>
      <c r="P1183" s="40" t="n"/>
      <c r="Q1183" s="40" t="n"/>
      <c r="R1183" s="40" t="n"/>
      <c r="S1183" s="40" t="n"/>
      <c r="T1183" s="40" t="n"/>
      <c r="U1183" s="40" t="n"/>
      <c r="V1183" s="40" t="n"/>
      <c r="W1183" s="40" t="n"/>
      <c r="X1183" s="40" t="n"/>
      <c r="Y1183" s="40" t="n"/>
      <c r="Z1183" s="40" t="n"/>
      <c r="AA1183" s="39" t="n"/>
    </row>
    <row r="1184">
      <c r="A1184" s="7" t="n"/>
      <c r="B1184" s="7" t="n"/>
      <c r="C1184" s="39" t="n"/>
      <c r="D1184" s="39" t="n"/>
      <c r="E1184" s="7" t="n"/>
      <c r="F1184" s="7" t="n"/>
      <c r="G1184" s="7" t="n"/>
      <c r="H1184" s="39" t="n"/>
      <c r="I1184" s="39" t="n"/>
      <c r="J1184" s="39" t="n"/>
      <c r="K1184" s="39" t="n"/>
      <c r="L1184" s="39" t="n"/>
      <c r="M1184" s="7" t="n"/>
      <c r="N1184" s="7" t="n"/>
      <c r="O1184" s="40" t="n"/>
      <c r="P1184" s="40" t="n"/>
      <c r="Q1184" s="40" t="n"/>
      <c r="R1184" s="40" t="n"/>
      <c r="S1184" s="40" t="n"/>
      <c r="T1184" s="40" t="n"/>
      <c r="U1184" s="40" t="n"/>
      <c r="V1184" s="40" t="n"/>
      <c r="W1184" s="40" t="n"/>
      <c r="X1184" s="40" t="n"/>
      <c r="Y1184" s="40" t="n"/>
      <c r="Z1184" s="40" t="n"/>
      <c r="AA1184" s="39" t="n"/>
    </row>
    <row r="1185">
      <c r="A1185" s="7" t="n"/>
      <c r="B1185" s="7" t="n"/>
      <c r="C1185" s="39" t="n"/>
      <c r="D1185" s="39" t="n"/>
      <c r="E1185" s="7" t="n"/>
      <c r="F1185" s="7" t="n"/>
      <c r="G1185" s="7" t="n"/>
      <c r="H1185" s="39" t="n"/>
      <c r="I1185" s="39" t="n"/>
      <c r="J1185" s="39" t="n"/>
      <c r="K1185" s="39" t="n"/>
      <c r="L1185" s="39" t="n"/>
      <c r="M1185" s="7" t="n"/>
      <c r="N1185" s="7" t="n"/>
      <c r="O1185" s="40" t="n"/>
      <c r="P1185" s="40" t="n"/>
      <c r="Q1185" s="40" t="n"/>
      <c r="R1185" s="40" t="n"/>
      <c r="S1185" s="40" t="n"/>
      <c r="T1185" s="40" t="n"/>
      <c r="U1185" s="40" t="n"/>
      <c r="V1185" s="40" t="n"/>
      <c r="W1185" s="40" t="n"/>
      <c r="X1185" s="40" t="n"/>
      <c r="Y1185" s="40" t="n"/>
      <c r="Z1185" s="40" t="n"/>
      <c r="AA1185" s="39" t="n"/>
    </row>
    <row r="1186">
      <c r="A1186" s="7" t="n"/>
      <c r="B1186" s="7" t="n"/>
      <c r="C1186" s="39" t="n"/>
      <c r="D1186" s="39" t="n"/>
      <c r="E1186" s="7" t="n"/>
      <c r="F1186" s="7" t="n"/>
      <c r="G1186" s="7" t="n"/>
      <c r="H1186" s="39" t="n"/>
      <c r="I1186" s="39" t="n"/>
      <c r="J1186" s="39" t="n"/>
      <c r="K1186" s="39" t="n"/>
      <c r="L1186" s="39" t="n"/>
      <c r="M1186" s="7" t="n"/>
      <c r="N1186" s="7" t="n"/>
      <c r="O1186" s="40" t="n"/>
      <c r="P1186" s="40" t="n"/>
      <c r="Q1186" s="40" t="n"/>
      <c r="R1186" s="40" t="n"/>
      <c r="S1186" s="40" t="n"/>
      <c r="T1186" s="40" t="n"/>
      <c r="U1186" s="40" t="n"/>
      <c r="V1186" s="40" t="n"/>
      <c r="W1186" s="40" t="n"/>
      <c r="X1186" s="40" t="n"/>
      <c r="Y1186" s="40" t="n"/>
      <c r="Z1186" s="40" t="n"/>
      <c r="AA1186" s="39" t="n"/>
    </row>
    <row r="1187">
      <c r="A1187" s="7" t="n"/>
      <c r="B1187" s="7" t="n"/>
      <c r="C1187" s="39" t="n"/>
      <c r="D1187" s="39" t="n"/>
      <c r="E1187" s="7" t="n"/>
      <c r="F1187" s="7" t="n"/>
      <c r="G1187" s="7" t="n"/>
      <c r="H1187" s="39" t="n"/>
      <c r="I1187" s="39" t="n"/>
      <c r="J1187" s="39" t="n"/>
      <c r="K1187" s="39" t="n"/>
      <c r="L1187" s="39" t="n"/>
      <c r="M1187" s="7" t="n"/>
      <c r="N1187" s="7" t="n"/>
      <c r="O1187" s="40" t="n"/>
      <c r="P1187" s="40" t="n"/>
      <c r="Q1187" s="40" t="n"/>
      <c r="R1187" s="40" t="n"/>
      <c r="S1187" s="40" t="n"/>
      <c r="T1187" s="40" t="n"/>
      <c r="U1187" s="40" t="n"/>
      <c r="V1187" s="40" t="n"/>
      <c r="W1187" s="40" t="n"/>
      <c r="X1187" s="40" t="n"/>
      <c r="Y1187" s="40" t="n"/>
      <c r="Z1187" s="40" t="n"/>
      <c r="AA1187" s="39" t="n"/>
    </row>
    <row r="1188">
      <c r="A1188" s="7" t="n"/>
      <c r="B1188" s="7" t="n"/>
      <c r="C1188" s="39" t="n"/>
      <c r="D1188" s="39" t="n"/>
      <c r="E1188" s="7" t="n"/>
      <c r="F1188" s="7" t="n"/>
      <c r="G1188" s="7" t="n"/>
      <c r="H1188" s="39" t="n"/>
      <c r="I1188" s="39" t="n"/>
      <c r="J1188" s="39" t="n"/>
      <c r="K1188" s="39" t="n"/>
      <c r="L1188" s="39" t="n"/>
      <c r="M1188" s="7" t="n"/>
      <c r="N1188" s="7" t="n"/>
      <c r="O1188" s="40" t="n"/>
      <c r="P1188" s="40" t="n"/>
      <c r="Q1188" s="40" t="n"/>
      <c r="R1188" s="40" t="n"/>
      <c r="S1188" s="40" t="n"/>
      <c r="T1188" s="40" t="n"/>
      <c r="U1188" s="40" t="n"/>
      <c r="V1188" s="40" t="n"/>
      <c r="W1188" s="40" t="n"/>
      <c r="X1188" s="40" t="n"/>
      <c r="Y1188" s="40" t="n"/>
      <c r="Z1188" s="40" t="n"/>
      <c r="AA1188" s="39" t="n"/>
    </row>
    <row r="1189">
      <c r="A1189" s="7" t="n"/>
      <c r="B1189" s="7" t="n"/>
      <c r="C1189" s="39" t="n"/>
      <c r="D1189" s="39" t="n"/>
      <c r="E1189" s="7" t="n"/>
      <c r="F1189" s="7" t="n"/>
      <c r="G1189" s="7" t="n"/>
      <c r="H1189" s="39" t="n"/>
      <c r="I1189" s="39" t="n"/>
      <c r="J1189" s="39" t="n"/>
      <c r="K1189" s="39" t="n"/>
      <c r="L1189" s="39" t="n"/>
      <c r="M1189" s="7" t="n"/>
      <c r="N1189" s="7" t="n"/>
      <c r="O1189" s="40" t="n"/>
      <c r="P1189" s="40" t="n"/>
      <c r="Q1189" s="40" t="n"/>
      <c r="R1189" s="40" t="n"/>
      <c r="S1189" s="40" t="n"/>
      <c r="T1189" s="40" t="n"/>
      <c r="U1189" s="40" t="n"/>
      <c r="V1189" s="40" t="n"/>
      <c r="W1189" s="40" t="n"/>
      <c r="X1189" s="40" t="n"/>
      <c r="Y1189" s="40" t="n"/>
      <c r="Z1189" s="40" t="n"/>
      <c r="AA1189" s="39" t="n"/>
    </row>
    <row r="1190">
      <c r="A1190" s="7" t="n"/>
      <c r="B1190" s="7" t="n"/>
      <c r="C1190" s="39" t="n"/>
      <c r="D1190" s="39" t="n"/>
      <c r="E1190" s="7" t="n"/>
      <c r="F1190" s="7" t="n"/>
      <c r="G1190" s="7" t="n"/>
      <c r="H1190" s="39" t="n"/>
      <c r="I1190" s="39" t="n"/>
      <c r="J1190" s="39" t="n"/>
      <c r="K1190" s="39" t="n"/>
      <c r="L1190" s="39" t="n"/>
      <c r="M1190" s="7" t="n"/>
      <c r="N1190" s="7" t="n"/>
      <c r="O1190" s="40" t="n"/>
      <c r="P1190" s="40" t="n"/>
      <c r="Q1190" s="40" t="n"/>
      <c r="R1190" s="40" t="n"/>
      <c r="S1190" s="40" t="n"/>
      <c r="T1190" s="40" t="n"/>
      <c r="U1190" s="40" t="n"/>
      <c r="V1190" s="40" t="n"/>
      <c r="W1190" s="40" t="n"/>
      <c r="X1190" s="40" t="n"/>
      <c r="Y1190" s="40" t="n"/>
      <c r="Z1190" s="40" t="n"/>
      <c r="AA1190" s="39" t="n"/>
    </row>
    <row r="1191">
      <c r="A1191" s="7" t="n"/>
      <c r="B1191" s="7" t="n"/>
      <c r="C1191" s="39" t="n"/>
      <c r="D1191" s="39" t="n"/>
      <c r="E1191" s="7" t="n"/>
      <c r="F1191" s="7" t="n"/>
      <c r="G1191" s="7" t="n"/>
      <c r="H1191" s="39" t="n"/>
      <c r="I1191" s="39" t="n"/>
      <c r="J1191" s="39" t="n"/>
      <c r="K1191" s="39" t="n"/>
      <c r="L1191" s="39" t="n"/>
      <c r="M1191" s="7" t="n"/>
      <c r="N1191" s="7" t="n"/>
      <c r="O1191" s="40" t="n"/>
      <c r="P1191" s="40" t="n"/>
      <c r="Q1191" s="40" t="n"/>
      <c r="R1191" s="40" t="n"/>
      <c r="S1191" s="40" t="n"/>
      <c r="T1191" s="40" t="n"/>
      <c r="U1191" s="40" t="n"/>
      <c r="V1191" s="40" t="n"/>
      <c r="W1191" s="40" t="n"/>
      <c r="X1191" s="40" t="n"/>
      <c r="Y1191" s="40" t="n"/>
      <c r="Z1191" s="40" t="n"/>
      <c r="AA1191" s="39" t="n"/>
    </row>
    <row r="1192">
      <c r="A1192" s="7" t="n"/>
      <c r="B1192" s="7" t="n"/>
      <c r="C1192" s="39" t="n"/>
      <c r="D1192" s="39" t="n"/>
      <c r="E1192" s="7" t="n"/>
      <c r="F1192" s="7" t="n"/>
      <c r="G1192" s="7" t="n"/>
      <c r="H1192" s="39" t="n"/>
      <c r="I1192" s="39" t="n"/>
      <c r="J1192" s="39" t="n"/>
      <c r="K1192" s="39" t="n"/>
      <c r="L1192" s="39" t="n"/>
      <c r="M1192" s="7" t="n"/>
      <c r="N1192" s="7" t="n"/>
      <c r="O1192" s="40" t="n"/>
      <c r="P1192" s="40" t="n"/>
      <c r="Q1192" s="40" t="n"/>
      <c r="R1192" s="40" t="n"/>
      <c r="S1192" s="40" t="n"/>
      <c r="T1192" s="40" t="n"/>
      <c r="U1192" s="40" t="n"/>
      <c r="V1192" s="40" t="n"/>
      <c r="W1192" s="40" t="n"/>
      <c r="X1192" s="40" t="n"/>
      <c r="Y1192" s="40" t="n"/>
      <c r="Z1192" s="40" t="n"/>
      <c r="AA1192" s="39" t="n"/>
    </row>
    <row r="1193">
      <c r="A1193" s="7" t="n"/>
      <c r="B1193" s="7" t="n"/>
      <c r="C1193" s="39" t="n"/>
      <c r="D1193" s="39" t="n"/>
      <c r="E1193" s="7" t="n"/>
      <c r="F1193" s="7" t="n"/>
      <c r="G1193" s="7" t="n"/>
      <c r="H1193" s="39" t="n"/>
      <c r="I1193" s="39" t="n"/>
      <c r="J1193" s="39" t="n"/>
      <c r="K1193" s="39" t="n"/>
      <c r="L1193" s="39" t="n"/>
      <c r="M1193" s="7" t="n"/>
      <c r="N1193" s="7" t="n"/>
      <c r="O1193" s="40" t="n"/>
      <c r="P1193" s="40" t="n"/>
      <c r="Q1193" s="40" t="n"/>
      <c r="R1193" s="40" t="n"/>
      <c r="S1193" s="40" t="n"/>
      <c r="T1193" s="40" t="n"/>
      <c r="U1193" s="40" t="n"/>
      <c r="V1193" s="40" t="n"/>
      <c r="W1193" s="40" t="n"/>
      <c r="X1193" s="40" t="n"/>
      <c r="Y1193" s="40" t="n"/>
      <c r="Z1193" s="40" t="n"/>
      <c r="AA1193" s="39" t="n"/>
    </row>
    <row r="1194">
      <c r="A1194" s="7" t="n"/>
      <c r="B1194" s="7" t="n"/>
      <c r="C1194" s="39" t="n"/>
      <c r="D1194" s="39" t="n"/>
      <c r="E1194" s="7" t="n"/>
      <c r="F1194" s="7" t="n"/>
      <c r="G1194" s="7" t="n"/>
      <c r="H1194" s="39" t="n"/>
      <c r="I1194" s="39" t="n"/>
      <c r="J1194" s="39" t="n"/>
      <c r="K1194" s="39" t="n"/>
      <c r="L1194" s="39" t="n"/>
      <c r="M1194" s="7" t="n"/>
      <c r="N1194" s="7" t="n"/>
      <c r="O1194" s="40" t="n"/>
      <c r="P1194" s="40" t="n"/>
      <c r="Q1194" s="40" t="n"/>
      <c r="R1194" s="40" t="n"/>
      <c r="S1194" s="40" t="n"/>
      <c r="T1194" s="40" t="n"/>
      <c r="U1194" s="40" t="n"/>
      <c r="V1194" s="40" t="n"/>
      <c r="W1194" s="40" t="n"/>
      <c r="X1194" s="40" t="n"/>
      <c r="Y1194" s="40" t="n"/>
      <c r="Z1194" s="40" t="n"/>
      <c r="AA1194" s="39" t="n"/>
    </row>
    <row r="1195">
      <c r="A1195" s="7" t="n"/>
      <c r="B1195" s="7" t="n"/>
      <c r="C1195" s="39" t="n"/>
      <c r="D1195" s="39" t="n"/>
      <c r="E1195" s="7" t="n"/>
      <c r="F1195" s="7" t="n"/>
      <c r="G1195" s="7" t="n"/>
      <c r="H1195" s="39" t="n"/>
      <c r="I1195" s="39" t="n"/>
      <c r="J1195" s="39" t="n"/>
      <c r="K1195" s="39" t="n"/>
      <c r="L1195" s="39" t="n"/>
      <c r="M1195" s="7" t="n"/>
      <c r="N1195" s="7" t="n"/>
      <c r="O1195" s="40" t="n"/>
      <c r="P1195" s="40" t="n"/>
      <c r="Q1195" s="40" t="n"/>
      <c r="R1195" s="40" t="n"/>
      <c r="S1195" s="40" t="n"/>
      <c r="T1195" s="40" t="n"/>
      <c r="U1195" s="40" t="n"/>
      <c r="V1195" s="40" t="n"/>
      <c r="W1195" s="40" t="n"/>
      <c r="X1195" s="40" t="n"/>
      <c r="Y1195" s="40" t="n"/>
      <c r="Z1195" s="40" t="n"/>
      <c r="AA1195" s="39" t="n"/>
    </row>
    <row r="1196">
      <c r="A1196" s="7" t="n"/>
      <c r="B1196" s="7" t="n"/>
      <c r="C1196" s="39" t="n"/>
      <c r="D1196" s="39" t="n"/>
      <c r="E1196" s="7" t="n"/>
      <c r="F1196" s="7" t="n"/>
      <c r="G1196" s="7" t="n"/>
      <c r="H1196" s="39" t="n"/>
      <c r="I1196" s="39" t="n"/>
      <c r="J1196" s="39" t="n"/>
      <c r="K1196" s="39" t="n"/>
      <c r="L1196" s="39" t="n"/>
      <c r="M1196" s="7" t="n"/>
      <c r="N1196" s="7" t="n"/>
      <c r="O1196" s="40" t="n"/>
      <c r="P1196" s="40" t="n"/>
      <c r="Q1196" s="40" t="n"/>
      <c r="R1196" s="40" t="n"/>
      <c r="S1196" s="40" t="n"/>
      <c r="T1196" s="40" t="n"/>
      <c r="U1196" s="40" t="n"/>
      <c r="V1196" s="40" t="n"/>
      <c r="W1196" s="40" t="n"/>
      <c r="X1196" s="40" t="n"/>
      <c r="Y1196" s="40" t="n"/>
      <c r="Z1196" s="40" t="n"/>
      <c r="AA1196" s="39" t="n"/>
    </row>
    <row r="1197">
      <c r="A1197" s="7" t="n"/>
      <c r="B1197" s="7" t="n"/>
      <c r="C1197" s="39" t="n"/>
      <c r="D1197" s="39" t="n"/>
      <c r="E1197" s="7" t="n"/>
      <c r="F1197" s="7" t="n"/>
      <c r="G1197" s="7" t="n"/>
      <c r="H1197" s="39" t="n"/>
      <c r="I1197" s="39" t="n"/>
      <c r="J1197" s="39" t="n"/>
      <c r="K1197" s="39" t="n"/>
      <c r="L1197" s="39" t="n"/>
      <c r="M1197" s="7" t="n"/>
      <c r="N1197" s="7" t="n"/>
      <c r="O1197" s="40" t="n"/>
      <c r="P1197" s="40" t="n"/>
      <c r="Q1197" s="40" t="n"/>
      <c r="R1197" s="40" t="n"/>
      <c r="S1197" s="40" t="n"/>
      <c r="T1197" s="40" t="n"/>
      <c r="U1197" s="40" t="n"/>
      <c r="V1197" s="40" t="n"/>
      <c r="W1197" s="40" t="n"/>
      <c r="X1197" s="40" t="n"/>
      <c r="Y1197" s="40" t="n"/>
      <c r="Z1197" s="40" t="n"/>
      <c r="AA1197" s="39" t="n"/>
    </row>
    <row r="1198">
      <c r="A1198" s="7" t="n"/>
      <c r="B1198" s="7" t="n"/>
      <c r="C1198" s="39" t="n"/>
      <c r="D1198" s="39" t="n"/>
      <c r="E1198" s="7" t="n"/>
      <c r="F1198" s="7" t="n"/>
      <c r="G1198" s="7" t="n"/>
      <c r="H1198" s="39" t="n"/>
      <c r="I1198" s="39" t="n"/>
      <c r="J1198" s="39" t="n"/>
      <c r="K1198" s="39" t="n"/>
      <c r="L1198" s="39" t="n"/>
      <c r="M1198" s="7" t="n"/>
      <c r="N1198" s="7" t="n"/>
      <c r="O1198" s="40" t="n"/>
      <c r="P1198" s="40" t="n"/>
      <c r="Q1198" s="40" t="n"/>
      <c r="R1198" s="40" t="n"/>
      <c r="S1198" s="40" t="n"/>
      <c r="T1198" s="40" t="n"/>
      <c r="U1198" s="40" t="n"/>
      <c r="V1198" s="40" t="n"/>
      <c r="W1198" s="40" t="n"/>
      <c r="X1198" s="40" t="n"/>
      <c r="Y1198" s="40" t="n"/>
      <c r="Z1198" s="40" t="n"/>
      <c r="AA1198" s="39" t="n"/>
    </row>
    <row r="1199">
      <c r="A1199" s="7" t="n"/>
      <c r="B1199" s="7" t="n"/>
      <c r="C1199" s="39" t="n"/>
      <c r="D1199" s="39" t="n"/>
      <c r="E1199" s="7" t="n"/>
      <c r="F1199" s="7" t="n"/>
      <c r="G1199" s="7" t="n"/>
      <c r="H1199" s="39" t="n"/>
      <c r="I1199" s="39" t="n"/>
      <c r="J1199" s="39" t="n"/>
      <c r="K1199" s="39" t="n"/>
      <c r="L1199" s="39" t="n"/>
      <c r="M1199" s="7" t="n"/>
      <c r="N1199" s="7" t="n"/>
      <c r="O1199" s="40" t="n"/>
      <c r="P1199" s="40" t="n"/>
      <c r="Q1199" s="40" t="n"/>
      <c r="R1199" s="40" t="n"/>
      <c r="S1199" s="40" t="n"/>
      <c r="T1199" s="40" t="n"/>
      <c r="U1199" s="40" t="n"/>
      <c r="V1199" s="40" t="n"/>
      <c r="W1199" s="40" t="n"/>
      <c r="X1199" s="40" t="n"/>
      <c r="Y1199" s="40" t="n"/>
      <c r="Z1199" s="40" t="n"/>
      <c r="AA1199" s="39" t="n"/>
    </row>
    <row r="1200">
      <c r="A1200" s="7" t="n"/>
      <c r="B1200" s="7" t="n"/>
      <c r="C1200" s="39" t="n"/>
      <c r="D1200" s="39" t="n"/>
      <c r="E1200" s="7" t="n"/>
      <c r="F1200" s="7" t="n"/>
      <c r="G1200" s="7" t="n"/>
      <c r="H1200" s="39" t="n"/>
      <c r="I1200" s="39" t="n"/>
      <c r="J1200" s="39" t="n"/>
      <c r="K1200" s="39" t="n"/>
      <c r="L1200" s="39" t="n"/>
      <c r="M1200" s="7" t="n"/>
      <c r="N1200" s="7" t="n"/>
      <c r="O1200" s="40" t="n"/>
      <c r="P1200" s="40" t="n"/>
      <c r="Q1200" s="40" t="n"/>
      <c r="R1200" s="40" t="n"/>
      <c r="S1200" s="40" t="n"/>
      <c r="T1200" s="40" t="n"/>
      <c r="U1200" s="40" t="n"/>
      <c r="V1200" s="40" t="n"/>
      <c r="W1200" s="40" t="n"/>
      <c r="X1200" s="40" t="n"/>
      <c r="Y1200" s="40" t="n"/>
      <c r="Z1200" s="40" t="n"/>
      <c r="AA1200" s="39" t="n"/>
    </row>
    <row r="1201">
      <c r="A1201" s="7" t="n"/>
      <c r="B1201" s="7" t="n"/>
      <c r="C1201" s="39" t="n"/>
      <c r="D1201" s="39" t="n"/>
      <c r="E1201" s="7" t="n"/>
      <c r="F1201" s="7" t="n"/>
      <c r="G1201" s="7" t="n"/>
      <c r="H1201" s="39" t="n"/>
      <c r="I1201" s="39" t="n"/>
      <c r="J1201" s="39" t="n"/>
      <c r="K1201" s="39" t="n"/>
      <c r="L1201" s="39" t="n"/>
      <c r="M1201" s="7" t="n"/>
      <c r="N1201" s="7" t="n"/>
      <c r="O1201" s="40" t="n"/>
      <c r="P1201" s="40" t="n"/>
      <c r="Q1201" s="40" t="n"/>
      <c r="R1201" s="40" t="n"/>
      <c r="S1201" s="40" t="n"/>
      <c r="T1201" s="40" t="n"/>
      <c r="U1201" s="40" t="n"/>
      <c r="V1201" s="40" t="n"/>
      <c r="W1201" s="40" t="n"/>
      <c r="X1201" s="40" t="n"/>
      <c r="Y1201" s="40" t="n"/>
      <c r="Z1201" s="40" t="n"/>
      <c r="AA1201" s="39" t="n"/>
    </row>
    <row r="1202">
      <c r="A1202" s="7" t="n"/>
      <c r="B1202" s="7" t="n"/>
      <c r="C1202" s="39" t="n"/>
      <c r="D1202" s="39" t="n"/>
      <c r="E1202" s="7" t="n"/>
      <c r="F1202" s="7" t="n"/>
      <c r="G1202" s="7" t="n"/>
      <c r="H1202" s="39" t="n"/>
      <c r="I1202" s="39" t="n"/>
      <c r="J1202" s="39" t="n"/>
      <c r="K1202" s="39" t="n"/>
      <c r="L1202" s="39" t="n"/>
      <c r="M1202" s="7" t="n"/>
      <c r="N1202" s="7" t="n"/>
      <c r="O1202" s="40" t="n"/>
      <c r="P1202" s="40" t="n"/>
      <c r="Q1202" s="40" t="n"/>
      <c r="R1202" s="40" t="n"/>
      <c r="S1202" s="40" t="n"/>
      <c r="T1202" s="40" t="n"/>
      <c r="U1202" s="40" t="n"/>
      <c r="V1202" s="40" t="n"/>
      <c r="W1202" s="40" t="n"/>
      <c r="X1202" s="40" t="n"/>
      <c r="Y1202" s="40" t="n"/>
      <c r="Z1202" s="40" t="n"/>
      <c r="AA1202" s="39" t="n"/>
    </row>
    <row r="1203">
      <c r="A1203" s="7" t="n"/>
      <c r="B1203" s="7" t="n"/>
      <c r="C1203" s="39" t="n"/>
      <c r="D1203" s="39" t="n"/>
      <c r="E1203" s="7" t="n"/>
      <c r="F1203" s="7" t="n"/>
      <c r="G1203" s="7" t="n"/>
      <c r="H1203" s="39" t="n"/>
      <c r="I1203" s="39" t="n"/>
      <c r="J1203" s="39" t="n"/>
      <c r="K1203" s="39" t="n"/>
      <c r="L1203" s="39" t="n"/>
      <c r="M1203" s="7" t="n"/>
      <c r="N1203" s="7" t="n"/>
      <c r="O1203" s="40" t="n"/>
      <c r="P1203" s="40" t="n"/>
      <c r="Q1203" s="40" t="n"/>
      <c r="R1203" s="40" t="n"/>
      <c r="S1203" s="40" t="n"/>
      <c r="T1203" s="40" t="n"/>
      <c r="U1203" s="40" t="n"/>
      <c r="V1203" s="40" t="n"/>
      <c r="W1203" s="40" t="n"/>
      <c r="X1203" s="40" t="n"/>
      <c r="Y1203" s="40" t="n"/>
      <c r="Z1203" s="40" t="n"/>
      <c r="AA1203" s="39" t="n"/>
    </row>
    <row r="1204">
      <c r="A1204" s="7" t="n"/>
      <c r="B1204" s="7" t="n"/>
      <c r="C1204" s="39" t="n"/>
      <c r="D1204" s="39" t="n"/>
      <c r="E1204" s="7" t="n"/>
      <c r="F1204" s="7" t="n"/>
      <c r="G1204" s="7" t="n"/>
      <c r="H1204" s="39" t="n"/>
      <c r="I1204" s="39" t="n"/>
      <c r="J1204" s="39" t="n"/>
      <c r="K1204" s="39" t="n"/>
      <c r="L1204" s="39" t="n"/>
      <c r="M1204" s="7" t="n"/>
      <c r="N1204" s="7" t="n"/>
      <c r="O1204" s="40" t="n"/>
      <c r="P1204" s="40" t="n"/>
      <c r="Q1204" s="40" t="n"/>
      <c r="R1204" s="40" t="n"/>
      <c r="S1204" s="40" t="n"/>
      <c r="T1204" s="40" t="n"/>
      <c r="U1204" s="40" t="n"/>
      <c r="V1204" s="40" t="n"/>
      <c r="W1204" s="40" t="n"/>
      <c r="X1204" s="40" t="n"/>
      <c r="Y1204" s="40" t="n"/>
      <c r="Z1204" s="40" t="n"/>
      <c r="AA1204" s="39" t="n"/>
    </row>
    <row r="1205">
      <c r="A1205" s="7" t="n"/>
      <c r="B1205" s="7" t="n"/>
      <c r="C1205" s="39" t="n"/>
      <c r="D1205" s="39" t="n"/>
      <c r="E1205" s="7" t="n"/>
      <c r="F1205" s="7" t="n"/>
      <c r="G1205" s="7" t="n"/>
      <c r="H1205" s="39" t="n"/>
      <c r="I1205" s="39" t="n"/>
      <c r="J1205" s="39" t="n"/>
      <c r="K1205" s="39" t="n"/>
      <c r="L1205" s="39" t="n"/>
      <c r="M1205" s="7" t="n"/>
      <c r="N1205" s="7" t="n"/>
      <c r="O1205" s="40" t="n"/>
      <c r="P1205" s="40" t="n"/>
      <c r="Q1205" s="40" t="n"/>
      <c r="R1205" s="40" t="n"/>
      <c r="S1205" s="40" t="n"/>
      <c r="T1205" s="40" t="n"/>
      <c r="U1205" s="40" t="n"/>
      <c r="V1205" s="40" t="n"/>
      <c r="W1205" s="40" t="n"/>
      <c r="X1205" s="40" t="n"/>
      <c r="Y1205" s="40" t="n"/>
      <c r="Z1205" s="40" t="n"/>
      <c r="AA1205" s="39" t="n"/>
    </row>
    <row r="1206">
      <c r="A1206" s="7" t="n"/>
      <c r="B1206" s="7" t="n"/>
      <c r="C1206" s="39" t="n"/>
      <c r="D1206" s="39" t="n"/>
      <c r="E1206" s="7" t="n"/>
      <c r="F1206" s="7" t="n"/>
      <c r="G1206" s="7" t="n"/>
      <c r="H1206" s="39" t="n"/>
      <c r="I1206" s="39" t="n"/>
      <c r="J1206" s="39" t="n"/>
      <c r="K1206" s="39" t="n"/>
      <c r="L1206" s="39" t="n"/>
      <c r="M1206" s="7" t="n"/>
      <c r="N1206" s="7" t="n"/>
      <c r="O1206" s="40" t="n"/>
      <c r="P1206" s="40" t="n"/>
      <c r="Q1206" s="40" t="n"/>
      <c r="R1206" s="40" t="n"/>
      <c r="S1206" s="40" t="n"/>
      <c r="T1206" s="40" t="n"/>
      <c r="U1206" s="40" t="n"/>
      <c r="V1206" s="40" t="n"/>
      <c r="W1206" s="40" t="n"/>
      <c r="X1206" s="40" t="n"/>
      <c r="Y1206" s="40" t="n"/>
      <c r="Z1206" s="40" t="n"/>
      <c r="AA1206" s="39" t="n"/>
    </row>
    <row r="1207">
      <c r="A1207" s="7" t="n"/>
      <c r="B1207" s="7" t="n"/>
      <c r="C1207" s="39" t="n"/>
      <c r="D1207" s="39" t="n"/>
      <c r="E1207" s="7" t="n"/>
      <c r="F1207" s="7" t="n"/>
      <c r="G1207" s="7" t="n"/>
      <c r="H1207" s="39" t="n"/>
      <c r="I1207" s="39" t="n"/>
      <c r="J1207" s="39" t="n"/>
      <c r="K1207" s="39" t="n"/>
      <c r="L1207" s="39" t="n"/>
      <c r="M1207" s="7" t="n"/>
      <c r="N1207" s="7" t="n"/>
      <c r="O1207" s="40" t="n"/>
      <c r="P1207" s="40" t="n"/>
      <c r="Q1207" s="40" t="n"/>
      <c r="R1207" s="40" t="n"/>
      <c r="S1207" s="40" t="n"/>
      <c r="T1207" s="40" t="n"/>
      <c r="U1207" s="40" t="n"/>
      <c r="V1207" s="40" t="n"/>
      <c r="W1207" s="40" t="n"/>
      <c r="X1207" s="40" t="n"/>
      <c r="Y1207" s="40" t="n"/>
      <c r="Z1207" s="40" t="n"/>
      <c r="AA1207" s="39" t="n"/>
    </row>
    <row r="1208">
      <c r="A1208" s="7" t="n"/>
      <c r="B1208" s="7" t="n"/>
      <c r="C1208" s="39" t="n"/>
      <c r="D1208" s="39" t="n"/>
      <c r="E1208" s="7" t="n"/>
      <c r="F1208" s="7" t="n"/>
      <c r="G1208" s="7" t="n"/>
      <c r="H1208" s="39" t="n"/>
      <c r="I1208" s="39" t="n"/>
      <c r="J1208" s="39" t="n"/>
      <c r="K1208" s="39" t="n"/>
      <c r="L1208" s="39" t="n"/>
      <c r="M1208" s="7" t="n"/>
      <c r="N1208" s="7" t="n"/>
      <c r="O1208" s="40" t="n"/>
      <c r="P1208" s="40" t="n"/>
      <c r="Q1208" s="40" t="n"/>
      <c r="R1208" s="40" t="n"/>
      <c r="S1208" s="40" t="n"/>
      <c r="T1208" s="40" t="n"/>
      <c r="U1208" s="40" t="n"/>
      <c r="V1208" s="40" t="n"/>
      <c r="W1208" s="40" t="n"/>
      <c r="X1208" s="40" t="n"/>
      <c r="Y1208" s="40" t="n"/>
      <c r="Z1208" s="40" t="n"/>
      <c r="AA1208" s="39" t="n"/>
    </row>
    <row r="1209">
      <c r="A1209" s="7" t="n"/>
      <c r="B1209" s="7" t="n"/>
      <c r="C1209" s="39" t="n"/>
      <c r="D1209" s="39" t="n"/>
      <c r="E1209" s="7" t="n"/>
      <c r="F1209" s="7" t="n"/>
      <c r="G1209" s="7" t="n"/>
      <c r="H1209" s="39" t="n"/>
      <c r="I1209" s="39" t="n"/>
      <c r="J1209" s="39" t="n"/>
      <c r="K1209" s="39" t="n"/>
      <c r="L1209" s="39" t="n"/>
      <c r="M1209" s="7" t="n"/>
      <c r="N1209" s="7" t="n"/>
      <c r="O1209" s="40" t="n"/>
      <c r="P1209" s="40" t="n"/>
      <c r="Q1209" s="40" t="n"/>
      <c r="R1209" s="40" t="n"/>
      <c r="S1209" s="40" t="n"/>
      <c r="T1209" s="40" t="n"/>
      <c r="U1209" s="40" t="n"/>
      <c r="V1209" s="40" t="n"/>
      <c r="W1209" s="40" t="n"/>
      <c r="X1209" s="40" t="n"/>
      <c r="Y1209" s="40" t="n"/>
      <c r="Z1209" s="40" t="n"/>
      <c r="AA1209" s="39" t="n"/>
    </row>
    <row r="1210">
      <c r="A1210" s="7" t="n"/>
      <c r="B1210" s="7" t="n"/>
      <c r="C1210" s="39" t="n"/>
      <c r="D1210" s="39" t="n"/>
      <c r="E1210" s="7" t="n"/>
      <c r="F1210" s="7" t="n"/>
      <c r="G1210" s="7" t="n"/>
      <c r="H1210" s="39" t="n"/>
      <c r="I1210" s="39" t="n"/>
      <c r="J1210" s="39" t="n"/>
      <c r="K1210" s="39" t="n"/>
      <c r="L1210" s="39" t="n"/>
      <c r="M1210" s="7" t="n"/>
      <c r="N1210" s="7" t="n"/>
      <c r="O1210" s="40" t="n"/>
      <c r="P1210" s="40" t="n"/>
      <c r="Q1210" s="40" t="n"/>
      <c r="R1210" s="40" t="n"/>
      <c r="S1210" s="40" t="n"/>
      <c r="T1210" s="40" t="n"/>
      <c r="U1210" s="40" t="n"/>
      <c r="V1210" s="40" t="n"/>
      <c r="W1210" s="40" t="n"/>
      <c r="X1210" s="40" t="n"/>
      <c r="Y1210" s="40" t="n"/>
      <c r="Z1210" s="40" t="n"/>
      <c r="AA1210" s="39" t="n"/>
    </row>
    <row r="1211">
      <c r="A1211" s="7" t="n"/>
      <c r="B1211" s="7" t="n"/>
      <c r="C1211" s="39" t="n"/>
      <c r="D1211" s="39" t="n"/>
      <c r="E1211" s="7" t="n"/>
      <c r="F1211" s="7" t="n"/>
      <c r="G1211" s="7" t="n"/>
      <c r="H1211" s="39" t="n"/>
      <c r="I1211" s="39" t="n"/>
      <c r="J1211" s="39" t="n"/>
      <c r="K1211" s="39" t="n"/>
      <c r="L1211" s="39" t="n"/>
      <c r="M1211" s="7" t="n"/>
      <c r="N1211" s="7" t="n"/>
      <c r="O1211" s="40" t="n"/>
      <c r="P1211" s="40" t="n"/>
      <c r="Q1211" s="40" t="n"/>
      <c r="R1211" s="40" t="n"/>
      <c r="S1211" s="40" t="n"/>
      <c r="T1211" s="40" t="n"/>
      <c r="U1211" s="40" t="n"/>
      <c r="V1211" s="40" t="n"/>
      <c r="W1211" s="40" t="n"/>
      <c r="X1211" s="40" t="n"/>
      <c r="Y1211" s="40" t="n"/>
      <c r="Z1211" s="40" t="n"/>
      <c r="AA1211" s="39" t="n"/>
    </row>
    <row r="1212">
      <c r="A1212" s="7" t="n"/>
      <c r="B1212" s="7" t="n"/>
      <c r="C1212" s="39" t="n"/>
      <c r="D1212" s="39" t="n"/>
      <c r="E1212" s="7" t="n"/>
      <c r="F1212" s="7" t="n"/>
      <c r="G1212" s="7" t="n"/>
      <c r="H1212" s="39" t="n"/>
      <c r="I1212" s="39" t="n"/>
      <c r="J1212" s="39" t="n"/>
      <c r="K1212" s="39" t="n"/>
      <c r="L1212" s="39" t="n"/>
      <c r="M1212" s="7" t="n"/>
      <c r="N1212" s="7" t="n"/>
      <c r="O1212" s="40" t="n"/>
      <c r="P1212" s="40" t="n"/>
      <c r="Q1212" s="40" t="n"/>
      <c r="R1212" s="40" t="n"/>
      <c r="S1212" s="40" t="n"/>
      <c r="T1212" s="40" t="n"/>
      <c r="U1212" s="40" t="n"/>
      <c r="V1212" s="40" t="n"/>
      <c r="W1212" s="40" t="n"/>
      <c r="X1212" s="40" t="n"/>
      <c r="Y1212" s="40" t="n"/>
      <c r="Z1212" s="40" t="n"/>
      <c r="AA1212" s="39" t="n"/>
    </row>
    <row r="1213">
      <c r="A1213" s="7" t="n"/>
      <c r="B1213" s="7" t="n"/>
      <c r="C1213" s="39" t="n"/>
      <c r="D1213" s="39" t="n"/>
      <c r="E1213" s="7" t="n"/>
      <c r="F1213" s="7" t="n"/>
      <c r="G1213" s="7" t="n"/>
      <c r="H1213" s="39" t="n"/>
      <c r="I1213" s="39" t="n"/>
      <c r="J1213" s="39" t="n"/>
      <c r="K1213" s="39" t="n"/>
      <c r="L1213" s="39" t="n"/>
      <c r="M1213" s="7" t="n"/>
      <c r="N1213" s="7" t="n"/>
      <c r="O1213" s="40" t="n"/>
      <c r="P1213" s="40" t="n"/>
      <c r="Q1213" s="40" t="n"/>
      <c r="R1213" s="40" t="n"/>
      <c r="S1213" s="40" t="n"/>
      <c r="T1213" s="40" t="n"/>
      <c r="U1213" s="40" t="n"/>
      <c r="V1213" s="40" t="n"/>
      <c r="W1213" s="40" t="n"/>
      <c r="X1213" s="40" t="n"/>
      <c r="Y1213" s="40" t="n"/>
      <c r="Z1213" s="40" t="n"/>
      <c r="AA1213" s="39" t="n"/>
    </row>
    <row r="1214">
      <c r="A1214" s="7" t="n"/>
      <c r="B1214" s="7" t="n"/>
      <c r="C1214" s="39" t="n"/>
      <c r="D1214" s="39" t="n"/>
      <c r="E1214" s="7" t="n"/>
      <c r="F1214" s="7" t="n"/>
      <c r="G1214" s="7" t="n"/>
      <c r="H1214" s="39" t="n"/>
      <c r="I1214" s="39" t="n"/>
      <c r="J1214" s="39" t="n"/>
      <c r="K1214" s="39" t="n"/>
      <c r="L1214" s="39" t="n"/>
      <c r="M1214" s="7" t="n"/>
      <c r="N1214" s="7" t="n"/>
      <c r="O1214" s="40" t="n"/>
      <c r="P1214" s="40" t="n"/>
      <c r="Q1214" s="40" t="n"/>
      <c r="R1214" s="40" t="n"/>
      <c r="S1214" s="40" t="n"/>
      <c r="T1214" s="40" t="n"/>
      <c r="U1214" s="40" t="n"/>
      <c r="V1214" s="40" t="n"/>
      <c r="W1214" s="40" t="n"/>
      <c r="X1214" s="40" t="n"/>
      <c r="Y1214" s="40" t="n"/>
      <c r="Z1214" s="40" t="n"/>
      <c r="AA1214" s="39" t="n"/>
    </row>
    <row r="1215">
      <c r="A1215" s="7" t="n"/>
      <c r="B1215" s="7" t="n"/>
      <c r="C1215" s="39" t="n"/>
      <c r="D1215" s="39" t="n"/>
      <c r="E1215" s="7" t="n"/>
      <c r="F1215" s="7" t="n"/>
      <c r="G1215" s="7" t="n"/>
      <c r="H1215" s="39" t="n"/>
      <c r="I1215" s="39" t="n"/>
      <c r="J1215" s="39" t="n"/>
      <c r="K1215" s="39" t="n"/>
      <c r="L1215" s="39" t="n"/>
      <c r="M1215" s="7" t="n"/>
      <c r="N1215" s="7" t="n"/>
      <c r="O1215" s="40" t="n"/>
      <c r="P1215" s="40" t="n"/>
      <c r="Q1215" s="40" t="n"/>
      <c r="R1215" s="40" t="n"/>
      <c r="S1215" s="40" t="n"/>
      <c r="T1215" s="40" t="n"/>
      <c r="U1215" s="40" t="n"/>
      <c r="V1215" s="40" t="n"/>
      <c r="W1215" s="40" t="n"/>
      <c r="X1215" s="40" t="n"/>
      <c r="Y1215" s="40" t="n"/>
      <c r="Z1215" s="40" t="n"/>
      <c r="AA1215" s="39" t="n"/>
    </row>
    <row r="1216">
      <c r="A1216" s="7" t="n"/>
      <c r="B1216" s="7" t="n"/>
      <c r="C1216" s="39" t="n"/>
      <c r="D1216" s="39" t="n"/>
      <c r="E1216" s="7" t="n"/>
      <c r="F1216" s="7" t="n"/>
      <c r="G1216" s="7" t="n"/>
      <c r="H1216" s="39" t="n"/>
      <c r="I1216" s="39" t="n"/>
      <c r="J1216" s="39" t="n"/>
      <c r="K1216" s="39" t="n"/>
      <c r="L1216" s="39" t="n"/>
      <c r="M1216" s="7" t="n"/>
      <c r="N1216" s="7" t="n"/>
      <c r="O1216" s="40" t="n"/>
      <c r="P1216" s="40" t="n"/>
      <c r="Q1216" s="40" t="n"/>
      <c r="R1216" s="40" t="n"/>
      <c r="S1216" s="40" t="n"/>
      <c r="T1216" s="40" t="n"/>
      <c r="U1216" s="40" t="n"/>
      <c r="V1216" s="40" t="n"/>
      <c r="W1216" s="40" t="n"/>
      <c r="X1216" s="40" t="n"/>
      <c r="Y1216" s="40" t="n"/>
      <c r="Z1216" s="40" t="n"/>
      <c r="AA1216" s="39" t="n"/>
    </row>
    <row r="1217">
      <c r="A1217" s="7" t="n"/>
      <c r="B1217" s="7" t="n"/>
      <c r="C1217" s="39" t="n"/>
      <c r="D1217" s="39" t="n"/>
      <c r="E1217" s="7" t="n"/>
      <c r="F1217" s="7" t="n"/>
      <c r="G1217" s="7" t="n"/>
      <c r="H1217" s="39" t="n"/>
      <c r="I1217" s="39" t="n"/>
      <c r="J1217" s="39" t="n"/>
      <c r="K1217" s="39" t="n"/>
      <c r="L1217" s="39" t="n"/>
      <c r="M1217" s="7" t="n"/>
      <c r="N1217" s="7" t="n"/>
      <c r="O1217" s="40" t="n"/>
      <c r="P1217" s="40" t="n"/>
      <c r="Q1217" s="40" t="n"/>
      <c r="R1217" s="40" t="n"/>
      <c r="S1217" s="40" t="n"/>
      <c r="T1217" s="40" t="n"/>
      <c r="U1217" s="40" t="n"/>
      <c r="V1217" s="40" t="n"/>
      <c r="W1217" s="40" t="n"/>
      <c r="X1217" s="40" t="n"/>
      <c r="Y1217" s="40" t="n"/>
      <c r="Z1217" s="40" t="n"/>
      <c r="AA1217" s="39" t="n"/>
    </row>
    <row r="1218">
      <c r="A1218" s="7" t="n"/>
      <c r="B1218" s="7" t="n"/>
      <c r="C1218" s="39" t="n"/>
      <c r="D1218" s="39" t="n"/>
      <c r="E1218" s="7" t="n"/>
      <c r="F1218" s="7" t="n"/>
      <c r="G1218" s="7" t="n"/>
      <c r="H1218" s="39" t="n"/>
      <c r="I1218" s="39" t="n"/>
      <c r="J1218" s="39" t="n"/>
      <c r="K1218" s="39" t="n"/>
      <c r="L1218" s="39" t="n"/>
      <c r="M1218" s="7" t="n"/>
      <c r="N1218" s="7" t="n"/>
      <c r="O1218" s="40" t="n"/>
      <c r="P1218" s="40" t="n"/>
      <c r="Q1218" s="40" t="n"/>
      <c r="R1218" s="40" t="n"/>
      <c r="S1218" s="40" t="n"/>
      <c r="T1218" s="40" t="n"/>
      <c r="U1218" s="40" t="n"/>
      <c r="V1218" s="40" t="n"/>
      <c r="W1218" s="40" t="n"/>
      <c r="X1218" s="40" t="n"/>
      <c r="Y1218" s="40" t="n"/>
      <c r="Z1218" s="40" t="n"/>
      <c r="AA1218" s="39" t="n"/>
    </row>
    <row r="1219">
      <c r="A1219" s="7" t="n"/>
      <c r="B1219" s="7" t="n"/>
      <c r="C1219" s="39" t="n"/>
      <c r="D1219" s="39" t="n"/>
      <c r="E1219" s="7" t="n"/>
      <c r="F1219" s="7" t="n"/>
      <c r="G1219" s="7" t="n"/>
      <c r="H1219" s="39" t="n"/>
      <c r="I1219" s="39" t="n"/>
      <c r="J1219" s="39" t="n"/>
      <c r="K1219" s="39" t="n"/>
      <c r="L1219" s="39" t="n"/>
      <c r="M1219" s="7" t="n"/>
      <c r="N1219" s="7" t="n"/>
      <c r="O1219" s="40" t="n"/>
      <c r="P1219" s="40" t="n"/>
      <c r="Q1219" s="40" t="n"/>
      <c r="R1219" s="40" t="n"/>
      <c r="S1219" s="40" t="n"/>
      <c r="T1219" s="40" t="n"/>
      <c r="U1219" s="40" t="n"/>
      <c r="V1219" s="40" t="n"/>
      <c r="W1219" s="40" t="n"/>
      <c r="X1219" s="40" t="n"/>
      <c r="Y1219" s="40" t="n"/>
      <c r="Z1219" s="40" t="n"/>
      <c r="AA1219" s="39" t="n"/>
    </row>
    <row r="1220">
      <c r="A1220" s="7" t="n"/>
      <c r="B1220" s="7" t="n"/>
      <c r="C1220" s="39" t="n"/>
      <c r="D1220" s="39" t="n"/>
      <c r="E1220" s="7" t="n"/>
      <c r="F1220" s="7" t="n"/>
      <c r="G1220" s="7" t="n"/>
      <c r="H1220" s="39" t="n"/>
      <c r="I1220" s="39" t="n"/>
      <c r="J1220" s="39" t="n"/>
      <c r="K1220" s="39" t="n"/>
      <c r="L1220" s="39" t="n"/>
      <c r="M1220" s="7" t="n"/>
      <c r="N1220" s="7" t="n"/>
      <c r="O1220" s="40" t="n"/>
      <c r="P1220" s="40" t="n"/>
      <c r="Q1220" s="40" t="n"/>
      <c r="R1220" s="40" t="n"/>
      <c r="S1220" s="40" t="n"/>
      <c r="T1220" s="40" t="n"/>
      <c r="U1220" s="40" t="n"/>
      <c r="V1220" s="40" t="n"/>
      <c r="W1220" s="40" t="n"/>
      <c r="X1220" s="40" t="n"/>
      <c r="Y1220" s="40" t="n"/>
      <c r="Z1220" s="40" t="n"/>
      <c r="AA1220" s="39" t="n"/>
    </row>
    <row r="1221">
      <c r="A1221" s="7" t="n"/>
      <c r="B1221" s="7" t="n"/>
      <c r="C1221" s="39" t="n"/>
      <c r="D1221" s="39" t="n"/>
      <c r="E1221" s="7" t="n"/>
      <c r="F1221" s="7" t="n"/>
      <c r="G1221" s="7" t="n"/>
      <c r="H1221" s="39" t="n"/>
      <c r="I1221" s="39" t="n"/>
      <c r="J1221" s="39" t="n"/>
      <c r="K1221" s="39" t="n"/>
      <c r="L1221" s="39" t="n"/>
      <c r="M1221" s="7" t="n"/>
      <c r="N1221" s="7" t="n"/>
      <c r="O1221" s="40" t="n"/>
      <c r="P1221" s="40" t="n"/>
      <c r="Q1221" s="40" t="n"/>
      <c r="R1221" s="40" t="n"/>
      <c r="S1221" s="40" t="n"/>
      <c r="T1221" s="40" t="n"/>
      <c r="U1221" s="40" t="n"/>
      <c r="V1221" s="40" t="n"/>
      <c r="W1221" s="40" t="n"/>
      <c r="X1221" s="40" t="n"/>
      <c r="Y1221" s="40" t="n"/>
      <c r="Z1221" s="40" t="n"/>
      <c r="AA1221" s="39" t="n"/>
    </row>
    <row r="1222">
      <c r="A1222" s="7" t="n"/>
      <c r="B1222" s="7" t="n"/>
      <c r="C1222" s="39" t="n"/>
      <c r="D1222" s="39" t="n"/>
      <c r="E1222" s="7" t="n"/>
      <c r="F1222" s="7" t="n"/>
      <c r="G1222" s="7" t="n"/>
      <c r="H1222" s="39" t="n"/>
      <c r="I1222" s="39" t="n"/>
      <c r="J1222" s="39" t="n"/>
      <c r="K1222" s="39" t="n"/>
      <c r="L1222" s="39" t="n"/>
      <c r="M1222" s="7" t="n"/>
      <c r="N1222" s="7" t="n"/>
      <c r="O1222" s="40" t="n"/>
      <c r="P1222" s="40" t="n"/>
      <c r="Q1222" s="40" t="n"/>
      <c r="R1222" s="40" t="n"/>
      <c r="S1222" s="40" t="n"/>
      <c r="T1222" s="40" t="n"/>
      <c r="U1222" s="40" t="n"/>
      <c r="V1222" s="40" t="n"/>
      <c r="W1222" s="40" t="n"/>
      <c r="X1222" s="40" t="n"/>
      <c r="Y1222" s="40" t="n"/>
      <c r="Z1222" s="40" t="n"/>
      <c r="AA1222" s="39" t="n"/>
    </row>
    <row r="1223">
      <c r="A1223" s="7" t="n"/>
      <c r="B1223" s="7" t="n"/>
      <c r="C1223" s="39" t="n"/>
      <c r="D1223" s="39" t="n"/>
      <c r="E1223" s="7" t="n"/>
      <c r="F1223" s="7" t="n"/>
      <c r="G1223" s="7" t="n"/>
      <c r="H1223" s="39" t="n"/>
      <c r="I1223" s="39" t="n"/>
      <c r="J1223" s="39" t="n"/>
      <c r="K1223" s="39" t="n"/>
      <c r="L1223" s="39" t="n"/>
      <c r="M1223" s="7" t="n"/>
      <c r="N1223" s="7" t="n"/>
      <c r="O1223" s="40" t="n"/>
      <c r="P1223" s="40" t="n"/>
      <c r="Q1223" s="40" t="n"/>
      <c r="R1223" s="40" t="n"/>
      <c r="S1223" s="40" t="n"/>
      <c r="T1223" s="40" t="n"/>
      <c r="U1223" s="40" t="n"/>
      <c r="V1223" s="40" t="n"/>
      <c r="W1223" s="40" t="n"/>
      <c r="X1223" s="40" t="n"/>
      <c r="Y1223" s="40" t="n"/>
      <c r="Z1223" s="40" t="n"/>
      <c r="AA1223" s="39" t="n"/>
    </row>
    <row r="1224">
      <c r="A1224" s="7" t="n"/>
      <c r="B1224" s="7" t="n"/>
      <c r="C1224" s="39" t="n"/>
      <c r="D1224" s="39" t="n"/>
      <c r="E1224" s="7" t="n"/>
      <c r="F1224" s="7" t="n"/>
      <c r="G1224" s="7" t="n"/>
      <c r="H1224" s="39" t="n"/>
      <c r="I1224" s="39" t="n"/>
      <c r="J1224" s="39" t="n"/>
      <c r="K1224" s="39" t="n"/>
      <c r="L1224" s="39" t="n"/>
      <c r="M1224" s="7" t="n"/>
      <c r="N1224" s="7" t="n"/>
      <c r="O1224" s="40" t="n"/>
      <c r="P1224" s="40" t="n"/>
      <c r="Q1224" s="40" t="n"/>
      <c r="R1224" s="40" t="n"/>
      <c r="S1224" s="40" t="n"/>
      <c r="T1224" s="40" t="n"/>
      <c r="U1224" s="40" t="n"/>
      <c r="V1224" s="40" t="n"/>
      <c r="W1224" s="40" t="n"/>
      <c r="X1224" s="40" t="n"/>
      <c r="Y1224" s="40" t="n"/>
      <c r="Z1224" s="40" t="n"/>
      <c r="AA1224" s="39" t="n"/>
    </row>
    <row r="1225">
      <c r="A1225" s="7" t="n"/>
      <c r="B1225" s="7" t="n"/>
      <c r="C1225" s="39" t="n"/>
      <c r="D1225" s="39" t="n"/>
      <c r="E1225" s="7" t="n"/>
      <c r="F1225" s="7" t="n"/>
      <c r="G1225" s="7" t="n"/>
      <c r="H1225" s="39" t="n"/>
      <c r="I1225" s="39" t="n"/>
      <c r="J1225" s="39" t="n"/>
      <c r="K1225" s="39" t="n"/>
      <c r="L1225" s="39" t="n"/>
      <c r="M1225" s="7" t="n"/>
      <c r="N1225" s="7" t="n"/>
      <c r="O1225" s="40" t="n"/>
      <c r="P1225" s="40" t="n"/>
      <c r="Q1225" s="40" t="n"/>
      <c r="R1225" s="40" t="n"/>
      <c r="S1225" s="40" t="n"/>
      <c r="T1225" s="40" t="n"/>
      <c r="U1225" s="40" t="n"/>
      <c r="V1225" s="40" t="n"/>
      <c r="W1225" s="40" t="n"/>
      <c r="X1225" s="40" t="n"/>
      <c r="Y1225" s="40" t="n"/>
      <c r="Z1225" s="40" t="n"/>
      <c r="AA1225" s="39" t="n"/>
    </row>
    <row r="1226">
      <c r="A1226" s="7" t="n"/>
      <c r="B1226" s="7" t="n"/>
      <c r="C1226" s="39" t="n"/>
      <c r="D1226" s="39" t="n"/>
      <c r="E1226" s="7" t="n"/>
      <c r="F1226" s="7" t="n"/>
      <c r="G1226" s="7" t="n"/>
      <c r="H1226" s="39" t="n"/>
      <c r="I1226" s="39" t="n"/>
      <c r="J1226" s="39" t="n"/>
      <c r="K1226" s="39" t="n"/>
      <c r="L1226" s="39" t="n"/>
      <c r="M1226" s="7" t="n"/>
      <c r="N1226" s="7" t="n"/>
      <c r="O1226" s="40" t="n"/>
      <c r="P1226" s="40" t="n"/>
      <c r="Q1226" s="40" t="n"/>
      <c r="R1226" s="40" t="n"/>
      <c r="S1226" s="40" t="n"/>
      <c r="T1226" s="40" t="n"/>
      <c r="U1226" s="40" t="n"/>
      <c r="V1226" s="40" t="n"/>
      <c r="W1226" s="40" t="n"/>
      <c r="X1226" s="40" t="n"/>
      <c r="Y1226" s="40" t="n"/>
      <c r="Z1226" s="40" t="n"/>
      <c r="AA1226" s="39" t="n"/>
    </row>
    <row r="1227">
      <c r="A1227" s="7" t="n"/>
      <c r="B1227" s="7" t="n"/>
      <c r="C1227" s="39" t="n"/>
      <c r="D1227" s="39" t="n"/>
      <c r="E1227" s="7" t="n"/>
      <c r="F1227" s="7" t="n"/>
      <c r="G1227" s="7" t="n"/>
      <c r="H1227" s="39" t="n"/>
      <c r="I1227" s="39" t="n"/>
      <c r="J1227" s="39" t="n"/>
      <c r="K1227" s="39" t="n"/>
      <c r="L1227" s="39" t="n"/>
      <c r="M1227" s="7" t="n"/>
      <c r="N1227" s="7" t="n"/>
      <c r="O1227" s="40" t="n"/>
      <c r="P1227" s="40" t="n"/>
      <c r="Q1227" s="40" t="n"/>
      <c r="R1227" s="40" t="n"/>
      <c r="S1227" s="40" t="n"/>
      <c r="T1227" s="40" t="n"/>
      <c r="U1227" s="40" t="n"/>
      <c r="V1227" s="40" t="n"/>
      <c r="W1227" s="40" t="n"/>
      <c r="X1227" s="40" t="n"/>
      <c r="Y1227" s="40" t="n"/>
      <c r="Z1227" s="40" t="n"/>
      <c r="AA1227" s="39" t="n"/>
    </row>
    <row r="1228">
      <c r="A1228" s="7" t="n"/>
      <c r="B1228" s="7" t="n"/>
      <c r="C1228" s="39" t="n"/>
      <c r="D1228" s="39" t="n"/>
      <c r="E1228" s="7" t="n"/>
      <c r="F1228" s="7" t="n"/>
      <c r="G1228" s="7" t="n"/>
      <c r="H1228" s="39" t="n"/>
      <c r="I1228" s="39" t="n"/>
      <c r="J1228" s="39" t="n"/>
      <c r="K1228" s="39" t="n"/>
      <c r="L1228" s="39" t="n"/>
      <c r="M1228" s="7" t="n"/>
      <c r="N1228" s="7" t="n"/>
      <c r="O1228" s="40" t="n"/>
      <c r="P1228" s="40" t="n"/>
      <c r="Q1228" s="40" t="n"/>
      <c r="R1228" s="40" t="n"/>
      <c r="S1228" s="40" t="n"/>
      <c r="T1228" s="40" t="n"/>
      <c r="U1228" s="40" t="n"/>
      <c r="V1228" s="40" t="n"/>
      <c r="W1228" s="40" t="n"/>
      <c r="X1228" s="40" t="n"/>
      <c r="Y1228" s="40" t="n"/>
      <c r="Z1228" s="40" t="n"/>
      <c r="AA1228" s="39" t="n"/>
    </row>
    <row r="1229">
      <c r="A1229" s="7" t="n"/>
      <c r="B1229" s="7" t="n"/>
      <c r="C1229" s="39" t="n"/>
      <c r="D1229" s="39" t="n"/>
      <c r="E1229" s="7" t="n"/>
      <c r="F1229" s="7" t="n"/>
      <c r="G1229" s="7" t="n"/>
      <c r="H1229" s="39" t="n"/>
      <c r="I1229" s="39" t="n"/>
      <c r="J1229" s="39" t="n"/>
      <c r="K1229" s="39" t="n"/>
      <c r="L1229" s="39" t="n"/>
      <c r="M1229" s="7" t="n"/>
      <c r="N1229" s="7" t="n"/>
      <c r="O1229" s="40" t="n"/>
      <c r="P1229" s="40" t="n"/>
      <c r="Q1229" s="40" t="n"/>
      <c r="R1229" s="40" t="n"/>
      <c r="S1229" s="40" t="n"/>
      <c r="T1229" s="40" t="n"/>
      <c r="U1229" s="40" t="n"/>
      <c r="V1229" s="40" t="n"/>
      <c r="W1229" s="40" t="n"/>
      <c r="X1229" s="40" t="n"/>
      <c r="Y1229" s="40" t="n"/>
      <c r="Z1229" s="40" t="n"/>
      <c r="AA1229" s="39" t="n"/>
    </row>
    <row r="1230">
      <c r="A1230" s="7" t="n"/>
      <c r="B1230" s="7" t="n"/>
      <c r="C1230" s="39" t="n"/>
      <c r="D1230" s="39" t="n"/>
      <c r="E1230" s="7" t="n"/>
      <c r="F1230" s="7" t="n"/>
      <c r="G1230" s="7" t="n"/>
      <c r="H1230" s="39" t="n"/>
      <c r="I1230" s="39" t="n"/>
      <c r="J1230" s="39" t="n"/>
      <c r="K1230" s="39" t="n"/>
      <c r="L1230" s="39" t="n"/>
      <c r="M1230" s="7" t="n"/>
      <c r="N1230" s="7" t="n"/>
      <c r="O1230" s="40" t="n"/>
      <c r="P1230" s="40" t="n"/>
      <c r="Q1230" s="40" t="n"/>
      <c r="R1230" s="40" t="n"/>
      <c r="S1230" s="40" t="n"/>
      <c r="T1230" s="40" t="n"/>
      <c r="U1230" s="40" t="n"/>
      <c r="V1230" s="40" t="n"/>
      <c r="W1230" s="40" t="n"/>
      <c r="X1230" s="40" t="n"/>
      <c r="Y1230" s="40" t="n"/>
      <c r="Z1230" s="40" t="n"/>
      <c r="AA1230" s="39" t="n"/>
    </row>
    <row r="1231">
      <c r="A1231" s="7" t="n"/>
      <c r="B1231" s="7" t="n"/>
      <c r="C1231" s="39" t="n"/>
      <c r="D1231" s="39" t="n"/>
      <c r="E1231" s="7" t="n"/>
      <c r="F1231" s="7" t="n"/>
      <c r="G1231" s="7" t="n"/>
      <c r="H1231" s="39" t="n"/>
      <c r="I1231" s="39" t="n"/>
      <c r="J1231" s="39" t="n"/>
      <c r="K1231" s="39" t="n"/>
      <c r="L1231" s="39" t="n"/>
      <c r="M1231" s="7" t="n"/>
      <c r="N1231" s="7" t="n"/>
      <c r="O1231" s="40" t="n"/>
      <c r="P1231" s="40" t="n"/>
      <c r="Q1231" s="40" t="n"/>
      <c r="R1231" s="40" t="n"/>
      <c r="S1231" s="40" t="n"/>
      <c r="T1231" s="40" t="n"/>
      <c r="U1231" s="40" t="n"/>
      <c r="V1231" s="40" t="n"/>
      <c r="W1231" s="40" t="n"/>
      <c r="X1231" s="40" t="n"/>
      <c r="Y1231" s="40" t="n"/>
      <c r="Z1231" s="40" t="n"/>
      <c r="AA1231" s="39" t="n"/>
    </row>
    <row r="1232">
      <c r="A1232" s="7" t="n"/>
      <c r="B1232" s="7" t="n"/>
      <c r="C1232" s="39" t="n"/>
      <c r="D1232" s="39" t="n"/>
      <c r="E1232" s="7" t="n"/>
      <c r="F1232" s="7" t="n"/>
      <c r="G1232" s="7" t="n"/>
      <c r="H1232" s="39" t="n"/>
      <c r="I1232" s="39" t="n"/>
      <c r="J1232" s="39" t="n"/>
      <c r="K1232" s="39" t="n"/>
      <c r="L1232" s="39" t="n"/>
      <c r="M1232" s="7" t="n"/>
      <c r="N1232" s="7" t="n"/>
      <c r="O1232" s="40" t="n"/>
      <c r="P1232" s="40" t="n"/>
      <c r="Q1232" s="40" t="n"/>
      <c r="R1232" s="40" t="n"/>
      <c r="S1232" s="40" t="n"/>
      <c r="T1232" s="40" t="n"/>
      <c r="U1232" s="40" t="n"/>
      <c r="V1232" s="40" t="n"/>
      <c r="W1232" s="40" t="n"/>
      <c r="X1232" s="40" t="n"/>
      <c r="Y1232" s="40" t="n"/>
      <c r="Z1232" s="40" t="n"/>
      <c r="AA1232" s="39" t="n"/>
    </row>
    <row r="1233">
      <c r="A1233" s="7" t="n"/>
      <c r="B1233" s="7" t="n"/>
      <c r="C1233" s="39" t="n"/>
      <c r="D1233" s="39" t="n"/>
      <c r="E1233" s="7" t="n"/>
      <c r="F1233" s="7" t="n"/>
      <c r="G1233" s="7" t="n"/>
      <c r="H1233" s="39" t="n"/>
      <c r="I1233" s="39" t="n"/>
      <c r="J1233" s="39" t="n"/>
      <c r="K1233" s="39" t="n"/>
      <c r="L1233" s="39" t="n"/>
      <c r="M1233" s="7" t="n"/>
      <c r="N1233" s="7" t="n"/>
      <c r="O1233" s="40" t="n"/>
      <c r="P1233" s="40" t="n"/>
      <c r="Q1233" s="40" t="n"/>
      <c r="R1233" s="40" t="n"/>
      <c r="S1233" s="40" t="n"/>
      <c r="T1233" s="40" t="n"/>
      <c r="U1233" s="40" t="n"/>
      <c r="V1233" s="40" t="n"/>
      <c r="W1233" s="40" t="n"/>
      <c r="X1233" s="40" t="n"/>
      <c r="Y1233" s="40" t="n"/>
      <c r="Z1233" s="40" t="n"/>
      <c r="AA1233" s="39" t="n"/>
    </row>
    <row r="1234">
      <c r="A1234" s="7" t="n"/>
      <c r="B1234" s="7" t="n"/>
      <c r="C1234" s="39" t="n"/>
      <c r="D1234" s="39" t="n"/>
      <c r="E1234" s="7" t="n"/>
      <c r="F1234" s="7" t="n"/>
      <c r="G1234" s="7" t="n"/>
      <c r="H1234" s="39" t="n"/>
      <c r="I1234" s="39" t="n"/>
      <c r="J1234" s="39" t="n"/>
      <c r="K1234" s="39" t="n"/>
      <c r="L1234" s="39" t="n"/>
      <c r="M1234" s="7" t="n"/>
      <c r="N1234" s="7" t="n"/>
      <c r="O1234" s="40" t="n"/>
      <c r="P1234" s="40" t="n"/>
      <c r="Q1234" s="40" t="n"/>
      <c r="R1234" s="40" t="n"/>
      <c r="S1234" s="40" t="n"/>
      <c r="T1234" s="40" t="n"/>
      <c r="U1234" s="40" t="n"/>
      <c r="V1234" s="40" t="n"/>
      <c r="W1234" s="40" t="n"/>
      <c r="X1234" s="40" t="n"/>
      <c r="Y1234" s="40" t="n"/>
      <c r="Z1234" s="40" t="n"/>
      <c r="AA1234" s="39" t="n"/>
    </row>
    <row r="1235">
      <c r="A1235" s="7" t="n"/>
      <c r="B1235" s="7" t="n"/>
      <c r="C1235" s="39" t="n"/>
      <c r="D1235" s="39" t="n"/>
      <c r="E1235" s="7" t="n"/>
      <c r="F1235" s="7" t="n"/>
      <c r="G1235" s="7" t="n"/>
      <c r="H1235" s="39" t="n"/>
      <c r="I1235" s="39" t="n"/>
      <c r="J1235" s="39" t="n"/>
      <c r="K1235" s="39" t="n"/>
      <c r="L1235" s="39" t="n"/>
      <c r="M1235" s="7" t="n"/>
      <c r="N1235" s="7" t="n"/>
      <c r="O1235" s="40" t="n"/>
      <c r="P1235" s="40" t="n"/>
      <c r="Q1235" s="40" t="n"/>
      <c r="R1235" s="40" t="n"/>
      <c r="S1235" s="40" t="n"/>
      <c r="T1235" s="40" t="n"/>
      <c r="U1235" s="40" t="n"/>
      <c r="V1235" s="40" t="n"/>
      <c r="W1235" s="40" t="n"/>
      <c r="X1235" s="40" t="n"/>
      <c r="Y1235" s="40" t="n"/>
      <c r="Z1235" s="40" t="n"/>
      <c r="AA1235" s="39" t="n"/>
    </row>
    <row r="1236">
      <c r="A1236" s="7" t="n"/>
      <c r="B1236" s="7" t="n"/>
      <c r="C1236" s="39" t="n"/>
      <c r="D1236" s="39" t="n"/>
      <c r="E1236" s="7" t="n"/>
      <c r="F1236" s="7" t="n"/>
      <c r="G1236" s="7" t="n"/>
      <c r="H1236" s="39" t="n"/>
      <c r="I1236" s="39" t="n"/>
      <c r="J1236" s="39" t="n"/>
      <c r="K1236" s="39" t="n"/>
      <c r="L1236" s="39" t="n"/>
      <c r="M1236" s="7" t="n"/>
      <c r="N1236" s="7" t="n"/>
      <c r="O1236" s="40" t="n"/>
      <c r="P1236" s="40" t="n"/>
      <c r="Q1236" s="40" t="n"/>
      <c r="R1236" s="40" t="n"/>
      <c r="S1236" s="40" t="n"/>
      <c r="T1236" s="40" t="n"/>
      <c r="U1236" s="40" t="n"/>
      <c r="V1236" s="40" t="n"/>
      <c r="W1236" s="40" t="n"/>
      <c r="X1236" s="40" t="n"/>
      <c r="Y1236" s="40" t="n"/>
      <c r="Z1236" s="40" t="n"/>
      <c r="AA1236" s="39" t="n"/>
    </row>
    <row r="1237">
      <c r="A1237" s="7" t="n"/>
      <c r="B1237" s="7" t="n"/>
      <c r="C1237" s="39" t="n"/>
      <c r="D1237" s="39" t="n"/>
      <c r="E1237" s="7" t="n"/>
      <c r="F1237" s="7" t="n"/>
      <c r="G1237" s="7" t="n"/>
      <c r="H1237" s="39" t="n"/>
      <c r="I1237" s="39" t="n"/>
      <c r="J1237" s="39" t="n"/>
      <c r="K1237" s="39" t="n"/>
      <c r="L1237" s="39" t="n"/>
      <c r="M1237" s="7" t="n"/>
      <c r="N1237" s="7" t="n"/>
      <c r="O1237" s="40" t="n"/>
      <c r="P1237" s="40" t="n"/>
      <c r="Q1237" s="40" t="n"/>
      <c r="R1237" s="40" t="n"/>
      <c r="S1237" s="40" t="n"/>
      <c r="T1237" s="40" t="n"/>
      <c r="U1237" s="40" t="n"/>
      <c r="V1237" s="40" t="n"/>
      <c r="W1237" s="40" t="n"/>
      <c r="X1237" s="40" t="n"/>
      <c r="Y1237" s="40" t="n"/>
      <c r="Z1237" s="40" t="n"/>
      <c r="AA1237" s="39" t="n"/>
    </row>
    <row r="1238">
      <c r="A1238" s="7" t="n"/>
      <c r="B1238" s="7" t="n"/>
      <c r="C1238" s="39" t="n"/>
      <c r="D1238" s="39" t="n"/>
      <c r="E1238" s="7" t="n"/>
      <c r="F1238" s="7" t="n"/>
      <c r="G1238" s="7" t="n"/>
      <c r="H1238" s="39" t="n"/>
      <c r="I1238" s="39" t="n"/>
      <c r="J1238" s="39" t="n"/>
      <c r="K1238" s="39" t="n"/>
      <c r="L1238" s="39" t="n"/>
      <c r="M1238" s="7" t="n"/>
      <c r="N1238" s="7" t="n"/>
      <c r="O1238" s="40" t="n"/>
      <c r="P1238" s="40" t="n"/>
      <c r="Q1238" s="40" t="n"/>
      <c r="R1238" s="40" t="n"/>
      <c r="S1238" s="40" t="n"/>
      <c r="T1238" s="40" t="n"/>
      <c r="U1238" s="40" t="n"/>
      <c r="V1238" s="40" t="n"/>
      <c r="W1238" s="40" t="n"/>
      <c r="X1238" s="40" t="n"/>
      <c r="Y1238" s="40" t="n"/>
      <c r="Z1238" s="40" t="n"/>
      <c r="AA1238" s="39" t="n"/>
    </row>
    <row r="1239">
      <c r="A1239" s="7" t="n"/>
      <c r="B1239" s="7" t="n"/>
      <c r="C1239" s="39" t="n"/>
      <c r="D1239" s="39" t="n"/>
      <c r="E1239" s="7" t="n"/>
      <c r="F1239" s="7" t="n"/>
      <c r="G1239" s="7" t="n"/>
      <c r="H1239" s="39" t="n"/>
      <c r="I1239" s="39" t="n"/>
      <c r="J1239" s="39" t="n"/>
      <c r="K1239" s="39" t="n"/>
      <c r="L1239" s="39" t="n"/>
      <c r="M1239" s="7" t="n"/>
      <c r="N1239" s="7" t="n"/>
      <c r="O1239" s="40" t="n"/>
      <c r="P1239" s="40" t="n"/>
      <c r="Q1239" s="40" t="n"/>
      <c r="R1239" s="40" t="n"/>
      <c r="S1239" s="40" t="n"/>
      <c r="T1239" s="40" t="n"/>
      <c r="U1239" s="40" t="n"/>
      <c r="V1239" s="40" t="n"/>
      <c r="W1239" s="40" t="n"/>
      <c r="X1239" s="40" t="n"/>
      <c r="Y1239" s="40" t="n"/>
      <c r="Z1239" s="40" t="n"/>
      <c r="AA1239" s="39" t="n"/>
    </row>
    <row r="1240">
      <c r="A1240" s="7" t="n"/>
      <c r="B1240" s="7" t="n"/>
      <c r="C1240" s="39" t="n"/>
      <c r="D1240" s="39" t="n"/>
      <c r="E1240" s="7" t="n"/>
      <c r="F1240" s="7" t="n"/>
      <c r="G1240" s="7" t="n"/>
      <c r="H1240" s="39" t="n"/>
      <c r="I1240" s="39" t="n"/>
      <c r="J1240" s="39" t="n"/>
      <c r="K1240" s="39" t="n"/>
      <c r="L1240" s="39" t="n"/>
      <c r="M1240" s="7" t="n"/>
      <c r="N1240" s="7" t="n"/>
      <c r="O1240" s="40" t="n"/>
      <c r="P1240" s="40" t="n"/>
      <c r="Q1240" s="40" t="n"/>
      <c r="R1240" s="40" t="n"/>
      <c r="S1240" s="40" t="n"/>
      <c r="T1240" s="40" t="n"/>
      <c r="U1240" s="40" t="n"/>
      <c r="V1240" s="40" t="n"/>
      <c r="W1240" s="40" t="n"/>
      <c r="X1240" s="40" t="n"/>
      <c r="Y1240" s="40" t="n"/>
      <c r="Z1240" s="40" t="n"/>
      <c r="AA1240" s="39" t="n"/>
    </row>
    <row r="1241">
      <c r="A1241" s="7" t="n"/>
      <c r="B1241" s="7" t="n"/>
      <c r="C1241" s="39" t="n"/>
      <c r="D1241" s="39" t="n"/>
      <c r="E1241" s="7" t="n"/>
      <c r="F1241" s="7" t="n"/>
      <c r="G1241" s="7" t="n"/>
      <c r="H1241" s="39" t="n"/>
      <c r="I1241" s="39" t="n"/>
      <c r="J1241" s="39" t="n"/>
      <c r="K1241" s="39" t="n"/>
      <c r="L1241" s="39" t="n"/>
      <c r="M1241" s="7" t="n"/>
      <c r="N1241" s="7" t="n"/>
      <c r="O1241" s="40" t="n"/>
      <c r="P1241" s="40" t="n"/>
      <c r="Q1241" s="40" t="n"/>
      <c r="R1241" s="40" t="n"/>
      <c r="S1241" s="40" t="n"/>
      <c r="T1241" s="40" t="n"/>
      <c r="U1241" s="40" t="n"/>
      <c r="V1241" s="40" t="n"/>
      <c r="W1241" s="40" t="n"/>
      <c r="X1241" s="40" t="n"/>
      <c r="Y1241" s="40" t="n"/>
      <c r="Z1241" s="40" t="n"/>
      <c r="AA1241" s="39" t="n"/>
    </row>
    <row r="1242">
      <c r="A1242" s="7" t="n"/>
      <c r="B1242" s="7" t="n"/>
      <c r="C1242" s="39" t="n"/>
      <c r="D1242" s="39" t="n"/>
      <c r="E1242" s="7" t="n"/>
      <c r="F1242" s="7" t="n"/>
      <c r="G1242" s="7" t="n"/>
      <c r="H1242" s="39" t="n"/>
      <c r="I1242" s="39" t="n"/>
      <c r="J1242" s="39" t="n"/>
      <c r="K1242" s="39" t="n"/>
      <c r="L1242" s="39" t="n"/>
      <c r="M1242" s="7" t="n"/>
      <c r="N1242" s="7" t="n"/>
      <c r="O1242" s="40" t="n"/>
      <c r="P1242" s="40" t="n"/>
      <c r="Q1242" s="40" t="n"/>
      <c r="R1242" s="40" t="n"/>
      <c r="S1242" s="40" t="n"/>
      <c r="T1242" s="40" t="n"/>
      <c r="U1242" s="40" t="n"/>
      <c r="V1242" s="40" t="n"/>
      <c r="W1242" s="40" t="n"/>
      <c r="X1242" s="40" t="n"/>
      <c r="Y1242" s="40" t="n"/>
      <c r="Z1242" s="40" t="n"/>
      <c r="AA1242" s="39" t="n"/>
    </row>
    <row r="1243">
      <c r="A1243" s="7" t="n"/>
      <c r="B1243" s="7" t="n"/>
      <c r="C1243" s="39" t="n"/>
      <c r="D1243" s="39" t="n"/>
      <c r="E1243" s="7" t="n"/>
      <c r="F1243" s="7" t="n"/>
      <c r="G1243" s="7" t="n"/>
      <c r="H1243" s="39" t="n"/>
      <c r="I1243" s="39" t="n"/>
      <c r="J1243" s="39" t="n"/>
      <c r="K1243" s="39" t="n"/>
      <c r="L1243" s="39" t="n"/>
      <c r="M1243" s="7" t="n"/>
      <c r="N1243" s="7" t="n"/>
      <c r="O1243" s="40" t="n"/>
      <c r="P1243" s="40" t="n"/>
      <c r="Q1243" s="40" t="n"/>
      <c r="R1243" s="40" t="n"/>
      <c r="S1243" s="40" t="n"/>
      <c r="T1243" s="40" t="n"/>
      <c r="U1243" s="40" t="n"/>
      <c r="V1243" s="40" t="n"/>
      <c r="W1243" s="40" t="n"/>
      <c r="X1243" s="40" t="n"/>
      <c r="Y1243" s="40" t="n"/>
      <c r="Z1243" s="40" t="n"/>
      <c r="AA1243" s="39" t="n"/>
    </row>
    <row r="1244">
      <c r="A1244" s="7" t="n"/>
      <c r="B1244" s="7" t="n"/>
      <c r="C1244" s="39" t="n"/>
      <c r="D1244" s="39" t="n"/>
      <c r="E1244" s="7" t="n"/>
      <c r="F1244" s="7" t="n"/>
      <c r="G1244" s="7" t="n"/>
      <c r="H1244" s="39" t="n"/>
      <c r="I1244" s="39" t="n"/>
      <c r="J1244" s="39" t="n"/>
      <c r="K1244" s="39" t="n"/>
      <c r="L1244" s="39" t="n"/>
      <c r="M1244" s="7" t="n"/>
      <c r="N1244" s="7" t="n"/>
      <c r="O1244" s="40" t="n"/>
      <c r="P1244" s="40" t="n"/>
      <c r="Q1244" s="40" t="n"/>
      <c r="R1244" s="40" t="n"/>
      <c r="S1244" s="40" t="n"/>
      <c r="T1244" s="40" t="n"/>
      <c r="U1244" s="40" t="n"/>
      <c r="V1244" s="40" t="n"/>
      <c r="W1244" s="40" t="n"/>
      <c r="X1244" s="40" t="n"/>
      <c r="Y1244" s="40" t="n"/>
      <c r="Z1244" s="40" t="n"/>
      <c r="AA1244" s="39" t="n"/>
    </row>
    <row r="1245">
      <c r="A1245" s="7" t="n"/>
      <c r="B1245" s="7" t="n"/>
      <c r="C1245" s="39" t="n"/>
      <c r="D1245" s="39" t="n"/>
      <c r="E1245" s="7" t="n"/>
      <c r="F1245" s="7" t="n"/>
      <c r="G1245" s="7" t="n"/>
      <c r="H1245" s="39" t="n"/>
      <c r="I1245" s="39" t="n"/>
      <c r="J1245" s="39" t="n"/>
      <c r="K1245" s="39" t="n"/>
      <c r="L1245" s="39" t="n"/>
      <c r="M1245" s="7" t="n"/>
      <c r="N1245" s="7" t="n"/>
      <c r="O1245" s="40" t="n"/>
      <c r="P1245" s="40" t="n"/>
      <c r="Q1245" s="40" t="n"/>
      <c r="R1245" s="40" t="n"/>
      <c r="S1245" s="40" t="n"/>
      <c r="T1245" s="40" t="n"/>
      <c r="U1245" s="40" t="n"/>
      <c r="V1245" s="40" t="n"/>
      <c r="W1245" s="40" t="n"/>
      <c r="X1245" s="40" t="n"/>
      <c r="Y1245" s="40" t="n"/>
      <c r="Z1245" s="40" t="n"/>
      <c r="AA1245" s="39" t="n"/>
    </row>
    <row r="1246">
      <c r="A1246" s="7" t="n"/>
      <c r="B1246" s="7" t="n"/>
      <c r="C1246" s="39" t="n"/>
      <c r="D1246" s="39" t="n"/>
      <c r="E1246" s="7" t="n"/>
      <c r="F1246" s="7" t="n"/>
      <c r="G1246" s="7" t="n"/>
      <c r="H1246" s="39" t="n"/>
      <c r="I1246" s="39" t="n"/>
      <c r="J1246" s="39" t="n"/>
      <c r="K1246" s="39" t="n"/>
      <c r="L1246" s="39" t="n"/>
      <c r="M1246" s="7" t="n"/>
      <c r="N1246" s="7" t="n"/>
      <c r="O1246" s="40" t="n"/>
      <c r="P1246" s="40" t="n"/>
      <c r="Q1246" s="40" t="n"/>
      <c r="R1246" s="40" t="n"/>
      <c r="S1246" s="40" t="n"/>
      <c r="T1246" s="40" t="n"/>
      <c r="U1246" s="40" t="n"/>
      <c r="V1246" s="40" t="n"/>
      <c r="W1246" s="40" t="n"/>
      <c r="X1246" s="40" t="n"/>
      <c r="Y1246" s="40" t="n"/>
      <c r="Z1246" s="40" t="n"/>
      <c r="AA1246" s="39" t="n"/>
    </row>
    <row r="1247">
      <c r="A1247" s="7" t="n"/>
      <c r="B1247" s="7" t="n"/>
      <c r="C1247" s="39" t="n"/>
      <c r="D1247" s="39" t="n"/>
      <c r="E1247" s="7" t="n"/>
      <c r="F1247" s="7" t="n"/>
      <c r="G1247" s="7" t="n"/>
      <c r="H1247" s="39" t="n"/>
      <c r="I1247" s="39" t="n"/>
      <c r="J1247" s="39" t="n"/>
      <c r="K1247" s="39" t="n"/>
      <c r="L1247" s="39" t="n"/>
      <c r="M1247" s="7" t="n"/>
      <c r="N1247" s="7" t="n"/>
      <c r="O1247" s="40" t="n"/>
      <c r="P1247" s="40" t="n"/>
      <c r="Q1247" s="40" t="n"/>
      <c r="R1247" s="40" t="n"/>
      <c r="S1247" s="40" t="n"/>
      <c r="T1247" s="40" t="n"/>
      <c r="U1247" s="40" t="n"/>
      <c r="V1247" s="40" t="n"/>
      <c r="W1247" s="40" t="n"/>
      <c r="X1247" s="40" t="n"/>
      <c r="Y1247" s="40" t="n"/>
      <c r="Z1247" s="40" t="n"/>
      <c r="AA1247" s="39" t="n"/>
    </row>
    <row r="1248">
      <c r="A1248" s="7" t="n"/>
      <c r="B1248" s="7" t="n"/>
      <c r="C1248" s="39" t="n"/>
      <c r="D1248" s="39" t="n"/>
      <c r="E1248" s="7" t="n"/>
      <c r="F1248" s="7" t="n"/>
      <c r="G1248" s="7" t="n"/>
      <c r="H1248" s="39" t="n"/>
      <c r="I1248" s="39" t="n"/>
      <c r="J1248" s="39" t="n"/>
      <c r="K1248" s="39" t="n"/>
      <c r="L1248" s="39" t="n"/>
      <c r="M1248" s="7" t="n"/>
      <c r="N1248" s="7" t="n"/>
      <c r="O1248" s="40" t="n"/>
      <c r="P1248" s="40" t="n"/>
      <c r="Q1248" s="40" t="n"/>
      <c r="R1248" s="40" t="n"/>
      <c r="S1248" s="40" t="n"/>
      <c r="T1248" s="40" t="n"/>
      <c r="U1248" s="40" t="n"/>
      <c r="V1248" s="40" t="n"/>
      <c r="W1248" s="40" t="n"/>
      <c r="X1248" s="40" t="n"/>
      <c r="Y1248" s="40" t="n"/>
      <c r="Z1248" s="40" t="n"/>
      <c r="AA1248" s="39" t="n"/>
    </row>
    <row r="1249">
      <c r="A1249" s="7" t="n"/>
      <c r="B1249" s="7" t="n"/>
      <c r="C1249" s="39" t="n"/>
      <c r="D1249" s="39" t="n"/>
      <c r="E1249" s="7" t="n"/>
      <c r="F1249" s="7" t="n"/>
      <c r="G1249" s="7" t="n"/>
      <c r="H1249" s="39" t="n"/>
      <c r="I1249" s="39" t="n"/>
      <c r="J1249" s="39" t="n"/>
      <c r="K1249" s="39" t="n"/>
      <c r="L1249" s="39" t="n"/>
      <c r="M1249" s="7" t="n"/>
      <c r="N1249" s="7" t="n"/>
      <c r="O1249" s="40" t="n"/>
      <c r="P1249" s="40" t="n"/>
      <c r="Q1249" s="40" t="n"/>
      <c r="R1249" s="40" t="n"/>
      <c r="S1249" s="40" t="n"/>
      <c r="T1249" s="40" t="n"/>
      <c r="U1249" s="40" t="n"/>
      <c r="V1249" s="40" t="n"/>
      <c r="W1249" s="40" t="n"/>
      <c r="X1249" s="40" t="n"/>
      <c r="Y1249" s="40" t="n"/>
      <c r="Z1249" s="40" t="n"/>
      <c r="AA1249" s="39" t="n"/>
    </row>
    <row r="1250">
      <c r="A1250" s="7" t="n"/>
      <c r="B1250" s="7" t="n"/>
      <c r="C1250" s="39" t="n"/>
      <c r="D1250" s="39" t="n"/>
      <c r="E1250" s="7" t="n"/>
      <c r="F1250" s="7" t="n"/>
      <c r="G1250" s="7" t="n"/>
      <c r="H1250" s="39" t="n"/>
      <c r="I1250" s="39" t="n"/>
      <c r="J1250" s="39" t="n"/>
      <c r="K1250" s="39" t="n"/>
      <c r="L1250" s="39" t="n"/>
      <c r="M1250" s="7" t="n"/>
      <c r="N1250" s="7" t="n"/>
      <c r="O1250" s="40" t="n"/>
      <c r="P1250" s="40" t="n"/>
      <c r="Q1250" s="40" t="n"/>
      <c r="R1250" s="40" t="n"/>
      <c r="S1250" s="40" t="n"/>
      <c r="T1250" s="40" t="n"/>
      <c r="U1250" s="40" t="n"/>
      <c r="V1250" s="40" t="n"/>
      <c r="W1250" s="40" t="n"/>
      <c r="X1250" s="40" t="n"/>
      <c r="Y1250" s="40" t="n"/>
      <c r="Z1250" s="40" t="n"/>
      <c r="AA1250" s="39" t="n"/>
    </row>
    <row r="1251">
      <c r="A1251" s="7" t="n"/>
      <c r="B1251" s="7" t="n"/>
      <c r="C1251" s="39" t="n"/>
      <c r="D1251" s="39" t="n"/>
      <c r="E1251" s="7" t="n"/>
      <c r="F1251" s="7" t="n"/>
      <c r="G1251" s="7" t="n"/>
      <c r="H1251" s="39" t="n"/>
      <c r="I1251" s="39" t="n"/>
      <c r="J1251" s="39" t="n"/>
      <c r="K1251" s="39" t="n"/>
      <c r="L1251" s="39" t="n"/>
      <c r="M1251" s="7" t="n"/>
      <c r="N1251" s="7" t="n"/>
      <c r="O1251" s="40" t="n"/>
      <c r="P1251" s="40" t="n"/>
      <c r="Q1251" s="40" t="n"/>
      <c r="R1251" s="40" t="n"/>
      <c r="S1251" s="40" t="n"/>
      <c r="T1251" s="40" t="n"/>
      <c r="U1251" s="40" t="n"/>
      <c r="V1251" s="40" t="n"/>
      <c r="W1251" s="40" t="n"/>
      <c r="X1251" s="40" t="n"/>
      <c r="Y1251" s="40" t="n"/>
      <c r="Z1251" s="40" t="n"/>
      <c r="AA1251" s="39" t="n"/>
    </row>
    <row r="1252">
      <c r="A1252" s="7" t="n"/>
      <c r="B1252" s="7" t="n"/>
      <c r="C1252" s="39" t="n"/>
      <c r="D1252" s="39" t="n"/>
      <c r="E1252" s="7" t="n"/>
      <c r="F1252" s="7" t="n"/>
      <c r="G1252" s="7" t="n"/>
      <c r="H1252" s="39" t="n"/>
      <c r="I1252" s="39" t="n"/>
      <c r="J1252" s="39" t="n"/>
      <c r="K1252" s="39" t="n"/>
      <c r="L1252" s="39" t="n"/>
      <c r="M1252" s="7" t="n"/>
      <c r="N1252" s="7" t="n"/>
      <c r="O1252" s="40" t="n"/>
      <c r="P1252" s="40" t="n"/>
      <c r="Q1252" s="40" t="n"/>
      <c r="R1252" s="40" t="n"/>
      <c r="S1252" s="40" t="n"/>
      <c r="T1252" s="40" t="n"/>
      <c r="U1252" s="40" t="n"/>
      <c r="V1252" s="40" t="n"/>
      <c r="W1252" s="40" t="n"/>
      <c r="X1252" s="40" t="n"/>
      <c r="Y1252" s="40" t="n"/>
      <c r="Z1252" s="40" t="n"/>
      <c r="AA1252" s="39" t="n"/>
    </row>
    <row r="1253">
      <c r="A1253" s="7" t="n"/>
      <c r="B1253" s="7" t="n"/>
      <c r="C1253" s="39" t="n"/>
      <c r="D1253" s="39" t="n"/>
      <c r="E1253" s="7" t="n"/>
      <c r="F1253" s="7" t="n"/>
      <c r="G1253" s="7" t="n"/>
      <c r="H1253" s="39" t="n"/>
      <c r="I1253" s="39" t="n"/>
      <c r="J1253" s="39" t="n"/>
      <c r="K1253" s="39" t="n"/>
      <c r="L1253" s="39" t="n"/>
      <c r="M1253" s="7" t="n"/>
      <c r="N1253" s="7" t="n"/>
      <c r="O1253" s="40" t="n"/>
      <c r="P1253" s="40" t="n"/>
      <c r="Q1253" s="40" t="n"/>
      <c r="R1253" s="40" t="n"/>
      <c r="S1253" s="40" t="n"/>
      <c r="T1253" s="40" t="n"/>
      <c r="U1253" s="40" t="n"/>
      <c r="V1253" s="40" t="n"/>
      <c r="W1253" s="40" t="n"/>
      <c r="X1253" s="40" t="n"/>
      <c r="Y1253" s="40" t="n"/>
      <c r="Z1253" s="40" t="n"/>
      <c r="AA1253" s="39" t="n"/>
    </row>
    <row r="1254">
      <c r="A1254" s="7" t="n"/>
      <c r="B1254" s="7" t="n"/>
      <c r="C1254" s="39" t="n"/>
      <c r="D1254" s="39" t="n"/>
      <c r="E1254" s="7" t="n"/>
      <c r="F1254" s="7" t="n"/>
      <c r="G1254" s="7" t="n"/>
      <c r="H1254" s="39" t="n"/>
      <c r="I1254" s="39" t="n"/>
      <c r="J1254" s="39" t="n"/>
      <c r="K1254" s="39" t="n"/>
      <c r="L1254" s="39" t="n"/>
      <c r="M1254" s="7" t="n"/>
      <c r="N1254" s="7" t="n"/>
      <c r="O1254" s="40" t="n"/>
      <c r="P1254" s="40" t="n"/>
      <c r="Q1254" s="40" t="n"/>
      <c r="R1254" s="40" t="n"/>
      <c r="S1254" s="40" t="n"/>
      <c r="T1254" s="40" t="n"/>
      <c r="U1254" s="40" t="n"/>
      <c r="V1254" s="40" t="n"/>
      <c r="W1254" s="40" t="n"/>
      <c r="X1254" s="40" t="n"/>
      <c r="Y1254" s="40" t="n"/>
      <c r="Z1254" s="40" t="n"/>
      <c r="AA1254" s="39" t="n"/>
    </row>
    <row r="1255">
      <c r="A1255" s="7" t="n"/>
      <c r="B1255" s="7" t="n"/>
      <c r="C1255" s="39" t="n"/>
      <c r="D1255" s="39" t="n"/>
      <c r="E1255" s="7" t="n"/>
      <c r="F1255" s="7" t="n"/>
      <c r="G1255" s="7" t="n"/>
      <c r="H1255" s="39" t="n"/>
      <c r="I1255" s="39" t="n"/>
      <c r="J1255" s="39" t="n"/>
      <c r="K1255" s="39" t="n"/>
      <c r="L1255" s="39" t="n"/>
      <c r="M1255" s="7" t="n"/>
      <c r="N1255" s="7" t="n"/>
      <c r="O1255" s="40" t="n"/>
      <c r="P1255" s="40" t="n"/>
      <c r="Q1255" s="40" t="n"/>
      <c r="R1255" s="40" t="n"/>
      <c r="S1255" s="40" t="n"/>
      <c r="T1255" s="40" t="n"/>
      <c r="U1255" s="40" t="n"/>
      <c r="V1255" s="40" t="n"/>
      <c r="W1255" s="40" t="n"/>
      <c r="X1255" s="40" t="n"/>
      <c r="Y1255" s="40" t="n"/>
      <c r="Z1255" s="40" t="n"/>
      <c r="AA1255" s="39" t="n"/>
    </row>
    <row r="1256">
      <c r="A1256" s="7" t="n"/>
      <c r="B1256" s="7" t="n"/>
      <c r="C1256" s="39" t="n"/>
      <c r="D1256" s="39" t="n"/>
      <c r="E1256" s="7" t="n"/>
      <c r="F1256" s="7" t="n"/>
      <c r="G1256" s="7" t="n"/>
      <c r="H1256" s="39" t="n"/>
      <c r="I1256" s="39" t="n"/>
      <c r="J1256" s="39" t="n"/>
      <c r="K1256" s="39" t="n"/>
      <c r="L1256" s="39" t="n"/>
      <c r="M1256" s="7" t="n"/>
      <c r="N1256" s="7" t="n"/>
      <c r="O1256" s="40" t="n"/>
      <c r="P1256" s="40" t="n"/>
      <c r="Q1256" s="40" t="n"/>
      <c r="R1256" s="40" t="n"/>
      <c r="S1256" s="40" t="n"/>
      <c r="T1256" s="40" t="n"/>
      <c r="U1256" s="40" t="n"/>
      <c r="V1256" s="40" t="n"/>
      <c r="W1256" s="40" t="n"/>
      <c r="X1256" s="40" t="n"/>
      <c r="Y1256" s="40" t="n"/>
      <c r="Z1256" s="40" t="n"/>
      <c r="AA1256" s="39" t="n"/>
    </row>
    <row r="1257">
      <c r="A1257" s="7" t="n"/>
      <c r="B1257" s="7" t="n"/>
      <c r="C1257" s="39" t="n"/>
      <c r="D1257" s="39" t="n"/>
      <c r="E1257" s="7" t="n"/>
      <c r="F1257" s="7" t="n"/>
      <c r="G1257" s="7" t="n"/>
      <c r="H1257" s="39" t="n"/>
      <c r="I1257" s="39" t="n"/>
      <c r="J1257" s="39" t="n"/>
      <c r="K1257" s="39" t="n"/>
      <c r="L1257" s="39" t="n"/>
      <c r="M1257" s="7" t="n"/>
      <c r="N1257" s="7" t="n"/>
      <c r="O1257" s="40" t="n"/>
      <c r="P1257" s="40" t="n"/>
      <c r="Q1257" s="40" t="n"/>
      <c r="R1257" s="40" t="n"/>
      <c r="S1257" s="40" t="n"/>
      <c r="T1257" s="40" t="n"/>
      <c r="U1257" s="40" t="n"/>
      <c r="V1257" s="40" t="n"/>
      <c r="W1257" s="40" t="n"/>
      <c r="X1257" s="40" t="n"/>
      <c r="Y1257" s="40" t="n"/>
      <c r="Z1257" s="40" t="n"/>
      <c r="AA1257" s="39" t="n"/>
    </row>
    <row r="1258">
      <c r="A1258" s="7" t="n"/>
      <c r="B1258" s="7" t="n"/>
      <c r="C1258" s="39" t="n"/>
      <c r="D1258" s="39" t="n"/>
      <c r="E1258" s="7" t="n"/>
      <c r="F1258" s="7" t="n"/>
      <c r="G1258" s="7" t="n"/>
      <c r="H1258" s="39" t="n"/>
      <c r="I1258" s="39" t="n"/>
      <c r="J1258" s="39" t="n"/>
      <c r="K1258" s="39" t="n"/>
      <c r="L1258" s="39" t="n"/>
      <c r="M1258" s="7" t="n"/>
      <c r="N1258" s="7" t="n"/>
      <c r="O1258" s="40" t="n"/>
      <c r="P1258" s="40" t="n"/>
      <c r="Q1258" s="40" t="n"/>
      <c r="R1258" s="40" t="n"/>
      <c r="S1258" s="40" t="n"/>
      <c r="T1258" s="40" t="n"/>
      <c r="U1258" s="40" t="n"/>
      <c r="V1258" s="40" t="n"/>
      <c r="W1258" s="40" t="n"/>
      <c r="X1258" s="40" t="n"/>
      <c r="Y1258" s="40" t="n"/>
      <c r="Z1258" s="40" t="n"/>
      <c r="AA1258" s="39" t="n"/>
    </row>
    <row r="1259">
      <c r="A1259" s="7" t="n"/>
      <c r="B1259" s="7" t="n"/>
      <c r="C1259" s="39" t="n"/>
      <c r="D1259" s="39" t="n"/>
      <c r="E1259" s="7" t="n"/>
      <c r="F1259" s="7" t="n"/>
      <c r="G1259" s="7" t="n"/>
      <c r="H1259" s="39" t="n"/>
      <c r="I1259" s="39" t="n"/>
      <c r="J1259" s="39" t="n"/>
      <c r="K1259" s="39" t="n"/>
      <c r="L1259" s="39" t="n"/>
      <c r="M1259" s="7" t="n"/>
      <c r="N1259" s="7" t="n"/>
      <c r="O1259" s="40" t="n"/>
      <c r="P1259" s="40" t="n"/>
      <c r="Q1259" s="40" t="n"/>
      <c r="R1259" s="40" t="n"/>
      <c r="S1259" s="40" t="n"/>
      <c r="T1259" s="40" t="n"/>
      <c r="U1259" s="40" t="n"/>
      <c r="V1259" s="40" t="n"/>
      <c r="W1259" s="40" t="n"/>
      <c r="X1259" s="40" t="n"/>
      <c r="Y1259" s="40" t="n"/>
      <c r="Z1259" s="40" t="n"/>
      <c r="AA1259" s="39" t="n"/>
    </row>
    <row r="1260">
      <c r="A1260" s="7" t="n"/>
      <c r="B1260" s="7" t="n"/>
      <c r="C1260" s="39" t="n"/>
      <c r="D1260" s="39" t="n"/>
      <c r="E1260" s="7" t="n"/>
      <c r="F1260" s="7" t="n"/>
      <c r="G1260" s="7" t="n"/>
      <c r="H1260" s="39" t="n"/>
      <c r="I1260" s="39" t="n"/>
      <c r="J1260" s="39" t="n"/>
      <c r="K1260" s="39" t="n"/>
      <c r="L1260" s="39" t="n"/>
      <c r="M1260" s="7" t="n"/>
      <c r="N1260" s="7" t="n"/>
      <c r="O1260" s="40" t="n"/>
      <c r="P1260" s="40" t="n"/>
      <c r="Q1260" s="40" t="n"/>
      <c r="R1260" s="40" t="n"/>
      <c r="S1260" s="40" t="n"/>
      <c r="T1260" s="40" t="n"/>
      <c r="U1260" s="40" t="n"/>
      <c r="V1260" s="40" t="n"/>
      <c r="W1260" s="40" t="n"/>
      <c r="X1260" s="40" t="n"/>
      <c r="Y1260" s="40" t="n"/>
      <c r="Z1260" s="40" t="n"/>
      <c r="AA1260" s="39" t="n"/>
    </row>
    <row r="1261">
      <c r="A1261" s="7" t="n"/>
      <c r="B1261" s="7" t="n"/>
      <c r="C1261" s="39" t="n"/>
      <c r="D1261" s="39" t="n"/>
      <c r="E1261" s="7" t="n"/>
      <c r="F1261" s="7" t="n"/>
      <c r="G1261" s="7" t="n"/>
      <c r="H1261" s="39" t="n"/>
      <c r="I1261" s="39" t="n"/>
      <c r="J1261" s="39" t="n"/>
      <c r="K1261" s="39" t="n"/>
      <c r="L1261" s="39" t="n"/>
      <c r="M1261" s="7" t="n"/>
      <c r="N1261" s="7" t="n"/>
      <c r="O1261" s="40" t="n"/>
      <c r="P1261" s="40" t="n"/>
      <c r="Q1261" s="40" t="n"/>
      <c r="R1261" s="40" t="n"/>
      <c r="S1261" s="40" t="n"/>
      <c r="T1261" s="40" t="n"/>
      <c r="U1261" s="40" t="n"/>
      <c r="V1261" s="40" t="n"/>
      <c r="W1261" s="40" t="n"/>
      <c r="X1261" s="40" t="n"/>
      <c r="Y1261" s="40" t="n"/>
      <c r="Z1261" s="40" t="n"/>
      <c r="AA1261" s="39" t="n"/>
    </row>
    <row r="1262">
      <c r="A1262" s="7" t="n"/>
      <c r="B1262" s="7" t="n"/>
      <c r="C1262" s="39" t="n"/>
      <c r="D1262" s="39" t="n"/>
      <c r="E1262" s="7" t="n"/>
      <c r="F1262" s="7" t="n"/>
      <c r="G1262" s="7" t="n"/>
      <c r="H1262" s="39" t="n"/>
      <c r="I1262" s="39" t="n"/>
      <c r="J1262" s="39" t="n"/>
      <c r="K1262" s="39" t="n"/>
      <c r="L1262" s="39" t="n"/>
      <c r="M1262" s="7" t="n"/>
      <c r="N1262" s="7" t="n"/>
      <c r="O1262" s="40" t="n"/>
      <c r="P1262" s="40" t="n"/>
      <c r="Q1262" s="40" t="n"/>
      <c r="R1262" s="40" t="n"/>
      <c r="S1262" s="40" t="n"/>
      <c r="T1262" s="40" t="n"/>
      <c r="U1262" s="40" t="n"/>
      <c r="V1262" s="40" t="n"/>
      <c r="W1262" s="40" t="n"/>
      <c r="X1262" s="40" t="n"/>
      <c r="Y1262" s="40" t="n"/>
      <c r="Z1262" s="40" t="n"/>
      <c r="AA1262" s="39" t="n"/>
    </row>
    <row r="1263">
      <c r="A1263" s="7" t="n"/>
      <c r="B1263" s="7" t="n"/>
      <c r="C1263" s="39" t="n"/>
      <c r="D1263" s="39" t="n"/>
      <c r="E1263" s="7" t="n"/>
      <c r="F1263" s="7" t="n"/>
      <c r="G1263" s="7" t="n"/>
      <c r="H1263" s="39" t="n"/>
      <c r="I1263" s="39" t="n"/>
      <c r="J1263" s="39" t="n"/>
      <c r="K1263" s="39" t="n"/>
      <c r="L1263" s="39" t="n"/>
      <c r="M1263" s="7" t="n"/>
      <c r="N1263" s="7" t="n"/>
      <c r="O1263" s="40" t="n"/>
      <c r="P1263" s="40" t="n"/>
      <c r="Q1263" s="40" t="n"/>
      <c r="R1263" s="40" t="n"/>
      <c r="S1263" s="40" t="n"/>
      <c r="T1263" s="40" t="n"/>
      <c r="U1263" s="40" t="n"/>
      <c r="V1263" s="40" t="n"/>
      <c r="W1263" s="40" t="n"/>
      <c r="X1263" s="40" t="n"/>
      <c r="Y1263" s="40" t="n"/>
      <c r="Z1263" s="40" t="n"/>
      <c r="AA1263" s="39" t="n"/>
    </row>
    <row r="1264">
      <c r="A1264" s="7" t="n"/>
      <c r="B1264" s="7" t="n"/>
      <c r="C1264" s="39" t="n"/>
      <c r="D1264" s="39" t="n"/>
      <c r="E1264" s="7" t="n"/>
      <c r="F1264" s="7" t="n"/>
      <c r="G1264" s="7" t="n"/>
      <c r="H1264" s="39" t="n"/>
      <c r="I1264" s="39" t="n"/>
      <c r="J1264" s="39" t="n"/>
      <c r="K1264" s="39" t="n"/>
      <c r="L1264" s="39" t="n"/>
      <c r="M1264" s="7" t="n"/>
      <c r="N1264" s="7" t="n"/>
      <c r="O1264" s="40" t="n"/>
      <c r="P1264" s="40" t="n"/>
      <c r="Q1264" s="40" t="n"/>
      <c r="R1264" s="40" t="n"/>
      <c r="S1264" s="40" t="n"/>
      <c r="T1264" s="40" t="n"/>
      <c r="U1264" s="40" t="n"/>
      <c r="V1264" s="40" t="n"/>
      <c r="W1264" s="40" t="n"/>
      <c r="X1264" s="40" t="n"/>
      <c r="Y1264" s="40" t="n"/>
      <c r="Z1264" s="40" t="n"/>
      <c r="AA1264" s="39" t="n"/>
    </row>
    <row r="1265">
      <c r="A1265" s="7" t="n"/>
      <c r="B1265" s="7" t="n"/>
      <c r="C1265" s="39" t="n"/>
      <c r="D1265" s="39" t="n"/>
      <c r="E1265" s="7" t="n"/>
      <c r="F1265" s="7" t="n"/>
      <c r="G1265" s="7" t="n"/>
      <c r="H1265" s="39" t="n"/>
      <c r="I1265" s="39" t="n"/>
      <c r="J1265" s="39" t="n"/>
      <c r="K1265" s="39" t="n"/>
      <c r="L1265" s="39" t="n"/>
      <c r="M1265" s="7" t="n"/>
      <c r="N1265" s="7" t="n"/>
      <c r="O1265" s="40" t="n"/>
      <c r="P1265" s="40" t="n"/>
      <c r="Q1265" s="40" t="n"/>
      <c r="R1265" s="40" t="n"/>
      <c r="S1265" s="40" t="n"/>
      <c r="T1265" s="40" t="n"/>
      <c r="U1265" s="40" t="n"/>
      <c r="V1265" s="40" t="n"/>
      <c r="W1265" s="40" t="n"/>
      <c r="X1265" s="40" t="n"/>
      <c r="Y1265" s="40" t="n"/>
      <c r="Z1265" s="40" t="n"/>
      <c r="AA1265" s="39" t="n"/>
    </row>
    <row r="1266">
      <c r="A1266" s="7" t="n"/>
      <c r="B1266" s="7" t="n"/>
      <c r="C1266" s="39" t="n"/>
      <c r="D1266" s="39" t="n"/>
      <c r="E1266" s="7" t="n"/>
      <c r="F1266" s="7" t="n"/>
      <c r="G1266" s="7" t="n"/>
      <c r="H1266" s="39" t="n"/>
      <c r="I1266" s="39" t="n"/>
      <c r="J1266" s="39" t="n"/>
      <c r="K1266" s="39" t="n"/>
      <c r="L1266" s="39" t="n"/>
      <c r="M1266" s="7" t="n"/>
      <c r="N1266" s="7" t="n"/>
      <c r="O1266" s="40" t="n"/>
      <c r="P1266" s="40" t="n"/>
      <c r="Q1266" s="40" t="n"/>
      <c r="R1266" s="40" t="n"/>
      <c r="S1266" s="40" t="n"/>
      <c r="T1266" s="40" t="n"/>
      <c r="U1266" s="40" t="n"/>
      <c r="V1266" s="40" t="n"/>
      <c r="W1266" s="40" t="n"/>
      <c r="X1266" s="40" t="n"/>
      <c r="Y1266" s="40" t="n"/>
      <c r="Z1266" s="40" t="n"/>
      <c r="AA1266" s="39" t="n"/>
    </row>
    <row r="1267">
      <c r="A1267" s="7" t="n"/>
      <c r="B1267" s="7" t="n"/>
      <c r="C1267" s="39" t="n"/>
      <c r="D1267" s="39" t="n"/>
      <c r="E1267" s="7" t="n"/>
      <c r="F1267" s="7" t="n"/>
      <c r="G1267" s="7" t="n"/>
      <c r="H1267" s="39" t="n"/>
      <c r="I1267" s="39" t="n"/>
      <c r="J1267" s="39" t="n"/>
      <c r="K1267" s="39" t="n"/>
      <c r="L1267" s="39" t="n"/>
      <c r="M1267" s="7" t="n"/>
      <c r="N1267" s="7" t="n"/>
      <c r="O1267" s="40" t="n"/>
      <c r="P1267" s="40" t="n"/>
      <c r="Q1267" s="40" t="n"/>
      <c r="R1267" s="40" t="n"/>
      <c r="S1267" s="40" t="n"/>
      <c r="T1267" s="40" t="n"/>
      <c r="U1267" s="40" t="n"/>
      <c r="V1267" s="40" t="n"/>
      <c r="W1267" s="40" t="n"/>
      <c r="X1267" s="40" t="n"/>
      <c r="Y1267" s="40" t="n"/>
      <c r="Z1267" s="40" t="n"/>
      <c r="AA1267" s="39" t="n"/>
    </row>
    <row r="1268">
      <c r="A1268" s="7" t="n"/>
      <c r="B1268" s="7" t="n"/>
      <c r="C1268" s="39" t="n"/>
      <c r="D1268" s="39" t="n"/>
      <c r="E1268" s="7" t="n"/>
      <c r="F1268" s="7" t="n"/>
      <c r="G1268" s="7" t="n"/>
      <c r="H1268" s="39" t="n"/>
      <c r="I1268" s="39" t="n"/>
      <c r="J1268" s="39" t="n"/>
      <c r="K1268" s="39" t="n"/>
      <c r="L1268" s="39" t="n"/>
      <c r="M1268" s="7" t="n"/>
      <c r="N1268" s="7" t="n"/>
      <c r="O1268" s="40" t="n"/>
      <c r="P1268" s="40" t="n"/>
      <c r="Q1268" s="40" t="n"/>
      <c r="R1268" s="40" t="n"/>
      <c r="S1268" s="40" t="n"/>
      <c r="T1268" s="40" t="n"/>
      <c r="U1268" s="40" t="n"/>
      <c r="V1268" s="40" t="n"/>
      <c r="W1268" s="40" t="n"/>
      <c r="X1268" s="40" t="n"/>
      <c r="Y1268" s="40" t="n"/>
      <c r="Z1268" s="40" t="n"/>
      <c r="AA1268" s="39" t="n"/>
    </row>
    <row r="1269">
      <c r="A1269" s="7" t="n"/>
      <c r="B1269" s="7" t="n"/>
      <c r="C1269" s="39" t="n"/>
      <c r="D1269" s="39" t="n"/>
      <c r="E1269" s="7" t="n"/>
      <c r="F1269" s="7" t="n"/>
      <c r="G1269" s="7" t="n"/>
      <c r="H1269" s="39" t="n"/>
      <c r="I1269" s="39" t="n"/>
      <c r="J1269" s="39" t="n"/>
      <c r="K1269" s="39" t="n"/>
      <c r="L1269" s="39" t="n"/>
      <c r="M1269" s="7" t="n"/>
      <c r="N1269" s="7" t="n"/>
      <c r="O1269" s="40" t="n"/>
      <c r="P1269" s="40" t="n"/>
      <c r="Q1269" s="40" t="n"/>
      <c r="R1269" s="40" t="n"/>
      <c r="S1269" s="40" t="n"/>
      <c r="T1269" s="40" t="n"/>
      <c r="U1269" s="40" t="n"/>
      <c r="V1269" s="40" t="n"/>
      <c r="W1269" s="40" t="n"/>
      <c r="X1269" s="40" t="n"/>
      <c r="Y1269" s="40" t="n"/>
      <c r="Z1269" s="40" t="n"/>
      <c r="AA1269" s="39" t="n"/>
    </row>
    <row r="1270">
      <c r="A1270" s="7" t="n"/>
      <c r="B1270" s="7" t="n"/>
      <c r="C1270" s="39" t="n"/>
      <c r="D1270" s="39" t="n"/>
      <c r="E1270" s="7" t="n"/>
      <c r="F1270" s="7" t="n"/>
      <c r="G1270" s="7" t="n"/>
      <c r="H1270" s="39" t="n"/>
      <c r="I1270" s="39" t="n"/>
      <c r="J1270" s="39" t="n"/>
      <c r="K1270" s="39" t="n"/>
      <c r="L1270" s="39" t="n"/>
      <c r="M1270" s="7" t="n"/>
      <c r="N1270" s="7" t="n"/>
      <c r="O1270" s="40" t="n"/>
      <c r="P1270" s="40" t="n"/>
      <c r="Q1270" s="40" t="n"/>
      <c r="R1270" s="40" t="n"/>
      <c r="S1270" s="40" t="n"/>
      <c r="T1270" s="40" t="n"/>
      <c r="U1270" s="40" t="n"/>
      <c r="V1270" s="40" t="n"/>
      <c r="W1270" s="40" t="n"/>
      <c r="X1270" s="40" t="n"/>
      <c r="Y1270" s="40" t="n"/>
      <c r="Z1270" s="40" t="n"/>
      <c r="AA1270" s="39" t="n"/>
    </row>
    <row r="1271">
      <c r="A1271" s="7" t="n"/>
      <c r="B1271" s="7" t="n"/>
      <c r="C1271" s="39" t="n"/>
      <c r="D1271" s="39" t="n"/>
      <c r="E1271" s="7" t="n"/>
      <c r="F1271" s="7" t="n"/>
      <c r="G1271" s="7" t="n"/>
      <c r="H1271" s="39" t="n"/>
      <c r="I1271" s="39" t="n"/>
      <c r="J1271" s="39" t="n"/>
      <c r="K1271" s="39" t="n"/>
      <c r="L1271" s="39" t="n"/>
      <c r="M1271" s="7" t="n"/>
      <c r="N1271" s="7" t="n"/>
      <c r="O1271" s="40" t="n"/>
      <c r="P1271" s="40" t="n"/>
      <c r="Q1271" s="40" t="n"/>
      <c r="R1271" s="40" t="n"/>
      <c r="S1271" s="40" t="n"/>
      <c r="T1271" s="40" t="n"/>
      <c r="U1271" s="40" t="n"/>
      <c r="V1271" s="40" t="n"/>
      <c r="W1271" s="40" t="n"/>
      <c r="X1271" s="40" t="n"/>
      <c r="Y1271" s="40" t="n"/>
      <c r="Z1271" s="40" t="n"/>
      <c r="AA1271" s="39" t="n"/>
    </row>
    <row r="1272">
      <c r="A1272" s="7" t="n"/>
      <c r="B1272" s="7" t="n"/>
      <c r="C1272" s="39" t="n"/>
      <c r="D1272" s="39" t="n"/>
      <c r="E1272" s="7" t="n"/>
      <c r="F1272" s="7" t="n"/>
      <c r="G1272" s="7" t="n"/>
      <c r="H1272" s="39" t="n"/>
      <c r="I1272" s="39" t="n"/>
      <c r="J1272" s="39" t="n"/>
      <c r="K1272" s="39" t="n"/>
      <c r="L1272" s="39" t="n"/>
      <c r="M1272" s="7" t="n"/>
      <c r="N1272" s="7" t="n"/>
      <c r="O1272" s="40" t="n"/>
      <c r="P1272" s="40" t="n"/>
      <c r="Q1272" s="40" t="n"/>
      <c r="R1272" s="40" t="n"/>
      <c r="S1272" s="40" t="n"/>
      <c r="T1272" s="40" t="n"/>
      <c r="U1272" s="40" t="n"/>
      <c r="V1272" s="40" t="n"/>
      <c r="W1272" s="40" t="n"/>
      <c r="X1272" s="40" t="n"/>
      <c r="Y1272" s="40" t="n"/>
      <c r="Z1272" s="40" t="n"/>
      <c r="AA1272" s="39" t="n"/>
    </row>
    <row r="1273">
      <c r="A1273" s="7" t="n"/>
      <c r="B1273" s="7" t="n"/>
      <c r="C1273" s="39" t="n"/>
      <c r="D1273" s="39" t="n"/>
      <c r="E1273" s="7" t="n"/>
      <c r="F1273" s="7" t="n"/>
      <c r="G1273" s="7" t="n"/>
      <c r="H1273" s="39" t="n"/>
      <c r="I1273" s="39" t="n"/>
      <c r="J1273" s="39" t="n"/>
      <c r="K1273" s="39" t="n"/>
      <c r="L1273" s="39" t="n"/>
      <c r="M1273" s="7" t="n"/>
      <c r="N1273" s="7" t="n"/>
      <c r="O1273" s="40" t="n"/>
      <c r="P1273" s="40" t="n"/>
      <c r="Q1273" s="40" t="n"/>
      <c r="R1273" s="40" t="n"/>
      <c r="S1273" s="40" t="n"/>
      <c r="T1273" s="40" t="n"/>
      <c r="U1273" s="40" t="n"/>
      <c r="V1273" s="40" t="n"/>
      <c r="W1273" s="40" t="n"/>
      <c r="X1273" s="40" t="n"/>
      <c r="Y1273" s="40" t="n"/>
      <c r="Z1273" s="40" t="n"/>
      <c r="AA1273" s="39" t="n"/>
    </row>
    <row r="1274">
      <c r="A1274" s="7" t="n"/>
      <c r="B1274" s="7" t="n"/>
      <c r="C1274" s="39" t="n"/>
      <c r="D1274" s="39" t="n"/>
      <c r="E1274" s="7" t="n"/>
      <c r="F1274" s="7" t="n"/>
      <c r="G1274" s="7" t="n"/>
      <c r="H1274" s="39" t="n"/>
      <c r="I1274" s="39" t="n"/>
      <c r="J1274" s="39" t="n"/>
      <c r="K1274" s="39" t="n"/>
      <c r="L1274" s="39" t="n"/>
      <c r="M1274" s="7" t="n"/>
      <c r="N1274" s="7" t="n"/>
      <c r="O1274" s="40" t="n"/>
      <c r="P1274" s="40" t="n"/>
      <c r="Q1274" s="40" t="n"/>
      <c r="R1274" s="40" t="n"/>
      <c r="S1274" s="40" t="n"/>
      <c r="T1274" s="40" t="n"/>
      <c r="U1274" s="40" t="n"/>
      <c r="V1274" s="40" t="n"/>
      <c r="W1274" s="40" t="n"/>
      <c r="X1274" s="40" t="n"/>
      <c r="Y1274" s="40" t="n"/>
      <c r="Z1274" s="40" t="n"/>
      <c r="AA1274" s="39" t="n"/>
    </row>
    <row r="1275">
      <c r="A1275" s="7" t="n"/>
      <c r="B1275" s="7" t="n"/>
      <c r="C1275" s="39" t="n"/>
      <c r="D1275" s="39" t="n"/>
      <c r="E1275" s="7" t="n"/>
      <c r="F1275" s="7" t="n"/>
      <c r="G1275" s="7" t="n"/>
      <c r="H1275" s="39" t="n"/>
      <c r="I1275" s="39" t="n"/>
      <c r="J1275" s="39" t="n"/>
      <c r="K1275" s="39" t="n"/>
      <c r="L1275" s="39" t="n"/>
      <c r="M1275" s="7" t="n"/>
      <c r="N1275" s="7" t="n"/>
      <c r="O1275" s="40" t="n"/>
      <c r="P1275" s="40" t="n"/>
      <c r="Q1275" s="40" t="n"/>
      <c r="R1275" s="40" t="n"/>
      <c r="S1275" s="40" t="n"/>
      <c r="T1275" s="40" t="n"/>
      <c r="U1275" s="40" t="n"/>
      <c r="V1275" s="40" t="n"/>
      <c r="W1275" s="40" t="n"/>
      <c r="X1275" s="40" t="n"/>
      <c r="Y1275" s="40" t="n"/>
      <c r="Z1275" s="40" t="n"/>
      <c r="AA1275" s="39" t="n"/>
    </row>
    <row r="1276">
      <c r="A1276" s="7" t="n"/>
      <c r="B1276" s="7" t="n"/>
      <c r="C1276" s="39" t="n"/>
      <c r="D1276" s="39" t="n"/>
      <c r="E1276" s="7" t="n"/>
      <c r="F1276" s="7" t="n"/>
      <c r="G1276" s="7" t="n"/>
      <c r="H1276" s="39" t="n"/>
      <c r="I1276" s="39" t="n"/>
      <c r="J1276" s="39" t="n"/>
      <c r="K1276" s="39" t="n"/>
      <c r="L1276" s="39" t="n"/>
      <c r="M1276" s="7" t="n"/>
      <c r="N1276" s="7" t="n"/>
      <c r="O1276" s="40" t="n"/>
      <c r="P1276" s="40" t="n"/>
      <c r="Q1276" s="40" t="n"/>
      <c r="R1276" s="40" t="n"/>
      <c r="S1276" s="40" t="n"/>
      <c r="T1276" s="40" t="n"/>
      <c r="U1276" s="40" t="n"/>
      <c r="V1276" s="40" t="n"/>
      <c r="W1276" s="40" t="n"/>
      <c r="X1276" s="40" t="n"/>
      <c r="Y1276" s="40" t="n"/>
      <c r="Z1276" s="40" t="n"/>
      <c r="AA1276" s="39" t="n"/>
    </row>
    <row r="1277">
      <c r="A1277" s="7" t="n"/>
      <c r="B1277" s="7" t="n"/>
      <c r="C1277" s="39" t="n"/>
      <c r="D1277" s="39" t="n"/>
      <c r="E1277" s="7" t="n"/>
      <c r="F1277" s="7" t="n"/>
      <c r="G1277" s="7" t="n"/>
      <c r="H1277" s="39" t="n"/>
      <c r="I1277" s="39" t="n"/>
      <c r="J1277" s="39" t="n"/>
      <c r="K1277" s="39" t="n"/>
      <c r="L1277" s="39" t="n"/>
      <c r="M1277" s="7" t="n"/>
      <c r="N1277" s="7" t="n"/>
      <c r="O1277" s="40" t="n"/>
      <c r="P1277" s="40" t="n"/>
      <c r="Q1277" s="40" t="n"/>
      <c r="R1277" s="40" t="n"/>
      <c r="S1277" s="40" t="n"/>
      <c r="T1277" s="40" t="n"/>
      <c r="U1277" s="40" t="n"/>
      <c r="V1277" s="40" t="n"/>
      <c r="W1277" s="40" t="n"/>
      <c r="X1277" s="40" t="n"/>
      <c r="Y1277" s="40" t="n"/>
      <c r="Z1277" s="40" t="n"/>
      <c r="AA1277" s="39" t="n"/>
    </row>
    <row r="1278">
      <c r="A1278" s="7" t="n"/>
      <c r="B1278" s="7" t="n"/>
      <c r="C1278" s="39" t="n"/>
      <c r="D1278" s="39" t="n"/>
      <c r="E1278" s="7" t="n"/>
      <c r="F1278" s="7" t="n"/>
      <c r="G1278" s="7" t="n"/>
      <c r="H1278" s="39" t="n"/>
      <c r="I1278" s="39" t="n"/>
      <c r="J1278" s="39" t="n"/>
      <c r="K1278" s="39" t="n"/>
      <c r="L1278" s="39" t="n"/>
      <c r="M1278" s="7" t="n"/>
      <c r="N1278" s="7" t="n"/>
      <c r="O1278" s="40" t="n"/>
      <c r="P1278" s="40" t="n"/>
      <c r="Q1278" s="40" t="n"/>
      <c r="R1278" s="40" t="n"/>
      <c r="S1278" s="40" t="n"/>
      <c r="T1278" s="40" t="n"/>
      <c r="U1278" s="40" t="n"/>
      <c r="V1278" s="40" t="n"/>
      <c r="W1278" s="40" t="n"/>
      <c r="X1278" s="40" t="n"/>
      <c r="Y1278" s="40" t="n"/>
      <c r="Z1278" s="40" t="n"/>
      <c r="AA1278" s="39" t="n"/>
    </row>
    <row r="1279">
      <c r="A1279" s="7" t="n"/>
      <c r="B1279" s="7" t="n"/>
      <c r="C1279" s="39" t="n"/>
      <c r="D1279" s="39" t="n"/>
      <c r="E1279" s="7" t="n"/>
      <c r="F1279" s="7" t="n"/>
      <c r="G1279" s="7" t="n"/>
      <c r="H1279" s="39" t="n"/>
      <c r="I1279" s="39" t="n"/>
      <c r="J1279" s="39" t="n"/>
      <c r="K1279" s="39" t="n"/>
      <c r="L1279" s="39" t="n"/>
      <c r="M1279" s="7" t="n"/>
      <c r="N1279" s="7" t="n"/>
      <c r="O1279" s="40" t="n"/>
      <c r="P1279" s="40" t="n"/>
      <c r="Q1279" s="40" t="n"/>
      <c r="R1279" s="40" t="n"/>
      <c r="S1279" s="40" t="n"/>
      <c r="T1279" s="40" t="n"/>
      <c r="U1279" s="40" t="n"/>
      <c r="V1279" s="40" t="n"/>
      <c r="W1279" s="40" t="n"/>
      <c r="X1279" s="40" t="n"/>
      <c r="Y1279" s="40" t="n"/>
      <c r="Z1279" s="40" t="n"/>
      <c r="AA1279" s="39" t="n"/>
    </row>
    <row r="1280">
      <c r="A1280" s="7" t="n"/>
      <c r="B1280" s="7" t="n"/>
      <c r="C1280" s="39" t="n"/>
      <c r="D1280" s="39" t="n"/>
      <c r="E1280" s="7" t="n"/>
      <c r="F1280" s="7" t="n"/>
      <c r="G1280" s="7" t="n"/>
      <c r="H1280" s="39" t="n"/>
      <c r="I1280" s="39" t="n"/>
      <c r="J1280" s="39" t="n"/>
      <c r="K1280" s="39" t="n"/>
      <c r="L1280" s="39" t="n"/>
      <c r="M1280" s="7" t="n"/>
      <c r="N1280" s="7" t="n"/>
      <c r="O1280" s="40" t="n"/>
      <c r="P1280" s="40" t="n"/>
      <c r="Q1280" s="40" t="n"/>
      <c r="R1280" s="40" t="n"/>
      <c r="S1280" s="40" t="n"/>
      <c r="T1280" s="40" t="n"/>
      <c r="U1280" s="40" t="n"/>
      <c r="V1280" s="40" t="n"/>
      <c r="W1280" s="40" t="n"/>
      <c r="X1280" s="40" t="n"/>
      <c r="Y1280" s="40" t="n"/>
      <c r="Z1280" s="40" t="n"/>
      <c r="AA1280" s="39" t="n"/>
    </row>
    <row r="1281">
      <c r="A1281" s="7" t="n"/>
      <c r="B1281" s="7" t="n"/>
      <c r="C1281" s="39" t="n"/>
      <c r="D1281" s="39" t="n"/>
      <c r="E1281" s="7" t="n"/>
      <c r="F1281" s="7" t="n"/>
      <c r="G1281" s="7" t="n"/>
      <c r="H1281" s="39" t="n"/>
      <c r="I1281" s="39" t="n"/>
      <c r="J1281" s="39" t="n"/>
      <c r="K1281" s="39" t="n"/>
      <c r="L1281" s="39" t="n"/>
      <c r="M1281" s="7" t="n"/>
      <c r="N1281" s="7" t="n"/>
      <c r="O1281" s="40" t="n"/>
      <c r="P1281" s="40" t="n"/>
      <c r="Q1281" s="40" t="n"/>
      <c r="R1281" s="40" t="n"/>
      <c r="S1281" s="40" t="n"/>
      <c r="T1281" s="40" t="n"/>
      <c r="U1281" s="40" t="n"/>
      <c r="V1281" s="40" t="n"/>
      <c r="W1281" s="40" t="n"/>
      <c r="X1281" s="40" t="n"/>
      <c r="Y1281" s="40" t="n"/>
      <c r="Z1281" s="40" t="n"/>
      <c r="AA1281" s="39" t="n"/>
    </row>
    <row r="1282">
      <c r="A1282" s="7" t="n"/>
      <c r="B1282" s="7" t="n"/>
      <c r="C1282" s="39" t="n"/>
      <c r="D1282" s="39" t="n"/>
      <c r="E1282" s="7" t="n"/>
      <c r="F1282" s="7" t="n"/>
      <c r="G1282" s="7" t="n"/>
      <c r="H1282" s="39" t="n"/>
      <c r="I1282" s="39" t="n"/>
      <c r="J1282" s="39" t="n"/>
      <c r="K1282" s="39" t="n"/>
      <c r="L1282" s="39" t="n"/>
      <c r="M1282" s="7" t="n"/>
      <c r="N1282" s="7" t="n"/>
      <c r="O1282" s="40" t="n"/>
      <c r="P1282" s="40" t="n"/>
      <c r="Q1282" s="40" t="n"/>
      <c r="R1282" s="40" t="n"/>
      <c r="S1282" s="40" t="n"/>
      <c r="T1282" s="40" t="n"/>
      <c r="U1282" s="40" t="n"/>
      <c r="V1282" s="40" t="n"/>
      <c r="W1282" s="40" t="n"/>
      <c r="X1282" s="40" t="n"/>
      <c r="Y1282" s="40" t="n"/>
      <c r="Z1282" s="40" t="n"/>
      <c r="AA1282" s="39" t="n"/>
    </row>
    <row r="1283">
      <c r="A1283" s="7" t="n"/>
      <c r="B1283" s="7" t="n"/>
      <c r="C1283" s="39" t="n"/>
      <c r="D1283" s="39" t="n"/>
      <c r="E1283" s="7" t="n"/>
      <c r="F1283" s="7" t="n"/>
      <c r="G1283" s="7" t="n"/>
      <c r="H1283" s="39" t="n"/>
      <c r="I1283" s="39" t="n"/>
      <c r="J1283" s="39" t="n"/>
      <c r="K1283" s="39" t="n"/>
      <c r="L1283" s="39" t="n"/>
      <c r="M1283" s="7" t="n"/>
      <c r="N1283" s="7" t="n"/>
      <c r="O1283" s="40" t="n"/>
      <c r="P1283" s="40" t="n"/>
      <c r="Q1283" s="40" t="n"/>
      <c r="R1283" s="40" t="n"/>
      <c r="S1283" s="40" t="n"/>
      <c r="T1283" s="40" t="n"/>
      <c r="U1283" s="40" t="n"/>
      <c r="V1283" s="40" t="n"/>
      <c r="W1283" s="40" t="n"/>
      <c r="X1283" s="40" t="n"/>
      <c r="Y1283" s="40" t="n"/>
      <c r="Z1283" s="40" t="n"/>
      <c r="AA1283" s="39" t="n"/>
    </row>
    <row r="1284">
      <c r="A1284" s="7" t="n"/>
      <c r="B1284" s="7" t="n"/>
      <c r="C1284" s="39" t="n"/>
      <c r="D1284" s="39" t="n"/>
      <c r="E1284" s="7" t="n"/>
      <c r="F1284" s="7" t="n"/>
      <c r="G1284" s="7" t="n"/>
      <c r="H1284" s="39" t="n"/>
      <c r="I1284" s="39" t="n"/>
      <c r="J1284" s="39" t="n"/>
      <c r="K1284" s="39" t="n"/>
      <c r="L1284" s="39" t="n"/>
      <c r="M1284" s="7" t="n"/>
      <c r="N1284" s="7" t="n"/>
      <c r="O1284" s="40" t="n"/>
      <c r="P1284" s="40" t="n"/>
      <c r="Q1284" s="40" t="n"/>
      <c r="R1284" s="40" t="n"/>
      <c r="S1284" s="40" t="n"/>
      <c r="T1284" s="40" t="n"/>
      <c r="U1284" s="40" t="n"/>
      <c r="V1284" s="40" t="n"/>
      <c r="W1284" s="40" t="n"/>
      <c r="X1284" s="40" t="n"/>
      <c r="Y1284" s="40" t="n"/>
      <c r="Z1284" s="40" t="n"/>
      <c r="AA1284" s="39" t="n"/>
    </row>
    <row r="1285">
      <c r="A1285" s="7" t="n"/>
      <c r="B1285" s="7" t="n"/>
      <c r="C1285" s="39" t="n"/>
      <c r="D1285" s="39" t="n"/>
      <c r="E1285" s="7" t="n"/>
      <c r="F1285" s="7" t="n"/>
      <c r="G1285" s="7" t="n"/>
      <c r="H1285" s="39" t="n"/>
      <c r="I1285" s="39" t="n"/>
      <c r="J1285" s="39" t="n"/>
      <c r="K1285" s="39" t="n"/>
      <c r="L1285" s="39" t="n"/>
      <c r="M1285" s="7" t="n"/>
      <c r="N1285" s="7" t="n"/>
      <c r="O1285" s="40" t="n"/>
      <c r="P1285" s="40" t="n"/>
      <c r="Q1285" s="40" t="n"/>
      <c r="R1285" s="40" t="n"/>
      <c r="S1285" s="40" t="n"/>
      <c r="T1285" s="40" t="n"/>
      <c r="U1285" s="40" t="n"/>
      <c r="V1285" s="40" t="n"/>
      <c r="W1285" s="40" t="n"/>
      <c r="X1285" s="40" t="n"/>
      <c r="Y1285" s="40" t="n"/>
      <c r="Z1285" s="40" t="n"/>
      <c r="AA1285" s="39" t="n"/>
    </row>
    <row r="1286">
      <c r="A1286" s="7" t="n"/>
      <c r="B1286" s="7" t="n"/>
      <c r="C1286" s="39" t="n"/>
      <c r="D1286" s="39" t="n"/>
      <c r="E1286" s="7" t="n"/>
      <c r="F1286" s="7" t="n"/>
      <c r="G1286" s="7" t="n"/>
      <c r="H1286" s="39" t="n"/>
      <c r="I1286" s="39" t="n"/>
      <c r="J1286" s="39" t="n"/>
      <c r="K1286" s="39" t="n"/>
      <c r="L1286" s="39" t="n"/>
      <c r="M1286" s="7" t="n"/>
      <c r="N1286" s="7" t="n"/>
      <c r="O1286" s="40" t="n"/>
      <c r="P1286" s="40" t="n"/>
      <c r="Q1286" s="40" t="n"/>
      <c r="R1286" s="40" t="n"/>
      <c r="S1286" s="40" t="n"/>
      <c r="T1286" s="40" t="n"/>
      <c r="U1286" s="40" t="n"/>
      <c r="V1286" s="40" t="n"/>
      <c r="W1286" s="40" t="n"/>
      <c r="X1286" s="40" t="n"/>
      <c r="Y1286" s="40" t="n"/>
      <c r="Z1286" s="40" t="n"/>
      <c r="AA1286" s="39" t="n"/>
    </row>
    <row r="1287">
      <c r="A1287" s="7" t="n"/>
      <c r="B1287" s="7" t="n"/>
      <c r="C1287" s="39" t="n"/>
      <c r="D1287" s="39" t="n"/>
      <c r="E1287" s="7" t="n"/>
      <c r="F1287" s="7" t="n"/>
      <c r="G1287" s="7" t="n"/>
      <c r="H1287" s="39" t="n"/>
      <c r="I1287" s="39" t="n"/>
      <c r="J1287" s="39" t="n"/>
      <c r="K1287" s="39" t="n"/>
      <c r="L1287" s="39" t="n"/>
      <c r="M1287" s="7" t="n"/>
      <c r="N1287" s="7" t="n"/>
      <c r="O1287" s="40" t="n"/>
      <c r="P1287" s="40" t="n"/>
      <c r="Q1287" s="40" t="n"/>
      <c r="R1287" s="40" t="n"/>
      <c r="S1287" s="40" t="n"/>
      <c r="T1287" s="40" t="n"/>
      <c r="U1287" s="40" t="n"/>
      <c r="V1287" s="40" t="n"/>
      <c r="W1287" s="40" t="n"/>
      <c r="X1287" s="40" t="n"/>
      <c r="Y1287" s="40" t="n"/>
      <c r="Z1287" s="40" t="n"/>
      <c r="AA1287" s="39" t="n"/>
    </row>
    <row r="1288">
      <c r="A1288" s="7" t="n"/>
      <c r="B1288" s="7" t="n"/>
      <c r="C1288" s="39" t="n"/>
      <c r="D1288" s="39" t="n"/>
      <c r="E1288" s="7" t="n"/>
      <c r="F1288" s="7" t="n"/>
      <c r="G1288" s="7" t="n"/>
      <c r="H1288" s="39" t="n"/>
      <c r="I1288" s="39" t="n"/>
      <c r="J1288" s="39" t="n"/>
      <c r="K1288" s="39" t="n"/>
      <c r="L1288" s="39" t="n"/>
      <c r="M1288" s="7" t="n"/>
      <c r="N1288" s="7" t="n"/>
      <c r="O1288" s="40" t="n"/>
      <c r="P1288" s="40" t="n"/>
      <c r="Q1288" s="40" t="n"/>
      <c r="R1288" s="40" t="n"/>
      <c r="S1288" s="40" t="n"/>
      <c r="T1288" s="40" t="n"/>
      <c r="U1288" s="40" t="n"/>
      <c r="V1288" s="40" t="n"/>
      <c r="W1288" s="40" t="n"/>
      <c r="X1288" s="40" t="n"/>
      <c r="Y1288" s="40" t="n"/>
      <c r="Z1288" s="40" t="n"/>
      <c r="AA1288" s="39" t="n"/>
    </row>
    <row r="1289">
      <c r="A1289" s="7" t="n"/>
      <c r="B1289" s="7" t="n"/>
      <c r="C1289" s="39" t="n"/>
      <c r="D1289" s="39" t="n"/>
      <c r="E1289" s="7" t="n"/>
      <c r="F1289" s="7" t="n"/>
      <c r="G1289" s="7" t="n"/>
      <c r="H1289" s="39" t="n"/>
      <c r="I1289" s="39" t="n"/>
      <c r="J1289" s="39" t="n"/>
      <c r="K1289" s="39" t="n"/>
      <c r="L1289" s="39" t="n"/>
      <c r="M1289" s="7" t="n"/>
      <c r="N1289" s="7" t="n"/>
      <c r="O1289" s="40" t="n"/>
      <c r="P1289" s="40" t="n"/>
      <c r="Q1289" s="40" t="n"/>
      <c r="R1289" s="40" t="n"/>
      <c r="S1289" s="40" t="n"/>
      <c r="T1289" s="40" t="n"/>
      <c r="U1289" s="40" t="n"/>
      <c r="V1289" s="40" t="n"/>
      <c r="W1289" s="40" t="n"/>
      <c r="X1289" s="40" t="n"/>
      <c r="Y1289" s="40" t="n"/>
      <c r="Z1289" s="40" t="n"/>
      <c r="AA1289" s="39" t="n"/>
    </row>
    <row r="1290">
      <c r="A1290" s="7" t="n"/>
      <c r="B1290" s="7" t="n"/>
      <c r="C1290" s="39" t="n"/>
      <c r="D1290" s="39" t="n"/>
      <c r="E1290" s="7" t="n"/>
      <c r="F1290" s="7" t="n"/>
      <c r="G1290" s="7" t="n"/>
      <c r="H1290" s="39" t="n"/>
      <c r="I1290" s="39" t="n"/>
      <c r="J1290" s="39" t="n"/>
      <c r="K1290" s="39" t="n"/>
      <c r="L1290" s="39" t="n"/>
      <c r="M1290" s="7" t="n"/>
      <c r="N1290" s="7" t="n"/>
      <c r="O1290" s="40" t="n"/>
      <c r="P1290" s="40" t="n"/>
      <c r="Q1290" s="40" t="n"/>
      <c r="R1290" s="40" t="n"/>
      <c r="S1290" s="40" t="n"/>
      <c r="T1290" s="40" t="n"/>
      <c r="U1290" s="40" t="n"/>
      <c r="V1290" s="40" t="n"/>
      <c r="W1290" s="40" t="n"/>
      <c r="X1290" s="40" t="n"/>
      <c r="Y1290" s="40" t="n"/>
      <c r="Z1290" s="40" t="n"/>
      <c r="AA1290" s="39" t="n"/>
    </row>
    <row r="1291">
      <c r="A1291" s="7" t="n"/>
      <c r="B1291" s="7" t="n"/>
      <c r="C1291" s="39" t="n"/>
      <c r="D1291" s="39" t="n"/>
      <c r="E1291" s="7" t="n"/>
      <c r="F1291" s="7" t="n"/>
      <c r="G1291" s="7" t="n"/>
      <c r="H1291" s="39" t="n"/>
      <c r="I1291" s="39" t="n"/>
      <c r="J1291" s="39" t="n"/>
      <c r="K1291" s="39" t="n"/>
      <c r="L1291" s="39" t="n"/>
      <c r="M1291" s="7" t="n"/>
      <c r="N1291" s="7" t="n"/>
      <c r="O1291" s="40" t="n"/>
      <c r="P1291" s="40" t="n"/>
      <c r="Q1291" s="40" t="n"/>
      <c r="R1291" s="40" t="n"/>
      <c r="S1291" s="40" t="n"/>
      <c r="T1291" s="40" t="n"/>
      <c r="U1291" s="40" t="n"/>
      <c r="V1291" s="40" t="n"/>
      <c r="W1291" s="40" t="n"/>
      <c r="X1291" s="40" t="n"/>
      <c r="Y1291" s="40" t="n"/>
      <c r="Z1291" s="40" t="n"/>
      <c r="AA1291" s="39" t="n"/>
    </row>
    <row r="1292">
      <c r="A1292" s="7" t="n"/>
      <c r="B1292" s="7" t="n"/>
      <c r="C1292" s="39" t="n"/>
      <c r="D1292" s="39" t="n"/>
      <c r="E1292" s="7" t="n"/>
      <c r="F1292" s="7" t="n"/>
      <c r="G1292" s="7" t="n"/>
      <c r="H1292" s="39" t="n"/>
      <c r="I1292" s="39" t="n"/>
      <c r="J1292" s="39" t="n"/>
      <c r="K1292" s="39" t="n"/>
      <c r="L1292" s="39" t="n"/>
      <c r="M1292" s="7" t="n"/>
      <c r="N1292" s="7" t="n"/>
      <c r="O1292" s="40" t="n"/>
      <c r="P1292" s="40" t="n"/>
      <c r="Q1292" s="40" t="n"/>
      <c r="R1292" s="40" t="n"/>
      <c r="S1292" s="40" t="n"/>
      <c r="T1292" s="40" t="n"/>
      <c r="U1292" s="40" t="n"/>
      <c r="V1292" s="40" t="n"/>
      <c r="W1292" s="40" t="n"/>
      <c r="X1292" s="40" t="n"/>
      <c r="Y1292" s="40" t="n"/>
      <c r="Z1292" s="40" t="n"/>
      <c r="AA1292" s="39" t="n"/>
    </row>
    <row r="1293">
      <c r="A1293" s="7" t="n"/>
      <c r="B1293" s="7" t="n"/>
      <c r="C1293" s="39" t="n"/>
      <c r="D1293" s="39" t="n"/>
      <c r="E1293" s="7" t="n"/>
      <c r="F1293" s="7" t="n"/>
      <c r="G1293" s="7" t="n"/>
      <c r="H1293" s="39" t="n"/>
      <c r="I1293" s="39" t="n"/>
      <c r="J1293" s="39" t="n"/>
      <c r="K1293" s="39" t="n"/>
      <c r="L1293" s="39" t="n"/>
      <c r="M1293" s="7" t="n"/>
      <c r="N1293" s="7" t="n"/>
      <c r="O1293" s="40" t="n"/>
      <c r="P1293" s="40" t="n"/>
      <c r="Q1293" s="40" t="n"/>
      <c r="R1293" s="40" t="n"/>
      <c r="S1293" s="40" t="n"/>
      <c r="T1293" s="40" t="n"/>
      <c r="U1293" s="40" t="n"/>
      <c r="V1293" s="40" t="n"/>
      <c r="W1293" s="40" t="n"/>
      <c r="X1293" s="40" t="n"/>
      <c r="Y1293" s="40" t="n"/>
      <c r="Z1293" s="40" t="n"/>
      <c r="AA1293" s="39" t="n"/>
    </row>
    <row r="1294">
      <c r="A1294" s="7" t="n"/>
      <c r="B1294" s="7" t="n"/>
      <c r="C1294" s="39" t="n"/>
      <c r="D1294" s="39" t="n"/>
      <c r="E1294" s="7" t="n"/>
      <c r="F1294" s="7" t="n"/>
      <c r="G1294" s="7" t="n"/>
      <c r="H1294" s="39" t="n"/>
      <c r="I1294" s="39" t="n"/>
      <c r="J1294" s="39" t="n"/>
      <c r="K1294" s="39" t="n"/>
      <c r="L1294" s="39" t="n"/>
      <c r="M1294" s="7" t="n"/>
      <c r="N1294" s="7" t="n"/>
      <c r="O1294" s="40" t="n"/>
      <c r="P1294" s="40" t="n"/>
      <c r="Q1294" s="40" t="n"/>
      <c r="R1294" s="40" t="n"/>
      <c r="S1294" s="40" t="n"/>
      <c r="T1294" s="40" t="n"/>
      <c r="U1294" s="40" t="n"/>
      <c r="V1294" s="40" t="n"/>
      <c r="W1294" s="40" t="n"/>
      <c r="X1294" s="40" t="n"/>
      <c r="Y1294" s="40" t="n"/>
      <c r="Z1294" s="40" t="n"/>
      <c r="AA1294" s="39" t="n"/>
    </row>
    <row r="1295">
      <c r="A1295" s="7" t="n"/>
      <c r="B1295" s="7" t="n"/>
      <c r="C1295" s="39" t="n"/>
      <c r="D1295" s="39" t="n"/>
      <c r="E1295" s="7" t="n"/>
      <c r="F1295" s="7" t="n"/>
      <c r="G1295" s="7" t="n"/>
      <c r="H1295" s="39" t="n"/>
      <c r="I1295" s="39" t="n"/>
      <c r="J1295" s="39" t="n"/>
      <c r="K1295" s="39" t="n"/>
      <c r="L1295" s="39" t="n"/>
      <c r="M1295" s="7" t="n"/>
      <c r="N1295" s="7" t="n"/>
      <c r="O1295" s="40" t="n"/>
      <c r="P1295" s="40" t="n"/>
      <c r="Q1295" s="40" t="n"/>
      <c r="R1295" s="40" t="n"/>
      <c r="S1295" s="40" t="n"/>
      <c r="T1295" s="40" t="n"/>
      <c r="U1295" s="40" t="n"/>
      <c r="V1295" s="40" t="n"/>
      <c r="W1295" s="40" t="n"/>
      <c r="X1295" s="40" t="n"/>
      <c r="Y1295" s="40" t="n"/>
      <c r="Z1295" s="40" t="n"/>
      <c r="AA1295" s="39" t="n"/>
    </row>
    <row r="1296">
      <c r="A1296" s="7" t="n"/>
      <c r="B1296" s="7" t="n"/>
      <c r="C1296" s="39" t="n"/>
      <c r="D1296" s="39" t="n"/>
      <c r="E1296" s="7" t="n"/>
      <c r="F1296" s="7" t="n"/>
      <c r="G1296" s="7" t="n"/>
      <c r="H1296" s="39" t="n"/>
      <c r="I1296" s="39" t="n"/>
      <c r="J1296" s="39" t="n"/>
      <c r="K1296" s="39" t="n"/>
      <c r="L1296" s="39" t="n"/>
      <c r="M1296" s="7" t="n"/>
      <c r="N1296" s="7" t="n"/>
      <c r="O1296" s="40" t="n"/>
      <c r="P1296" s="40" t="n"/>
      <c r="Q1296" s="40" t="n"/>
      <c r="R1296" s="40" t="n"/>
      <c r="S1296" s="40" t="n"/>
      <c r="T1296" s="40" t="n"/>
      <c r="U1296" s="40" t="n"/>
      <c r="V1296" s="40" t="n"/>
      <c r="W1296" s="40" t="n"/>
      <c r="X1296" s="40" t="n"/>
      <c r="Y1296" s="40" t="n"/>
      <c r="Z1296" s="40" t="n"/>
      <c r="AA1296" s="39" t="n"/>
    </row>
    <row r="1297">
      <c r="A1297" s="7" t="n"/>
      <c r="B1297" s="7" t="n"/>
      <c r="C1297" s="39" t="n"/>
      <c r="D1297" s="39" t="n"/>
      <c r="E1297" s="7" t="n"/>
      <c r="F1297" s="7" t="n"/>
      <c r="G1297" s="7" t="n"/>
      <c r="H1297" s="39" t="n"/>
      <c r="I1297" s="39" t="n"/>
      <c r="J1297" s="39" t="n"/>
      <c r="K1297" s="39" t="n"/>
      <c r="L1297" s="39" t="n"/>
      <c r="M1297" s="7" t="n"/>
      <c r="N1297" s="7" t="n"/>
      <c r="O1297" s="40" t="n"/>
      <c r="P1297" s="40" t="n"/>
      <c r="Q1297" s="40" t="n"/>
      <c r="R1297" s="40" t="n"/>
      <c r="S1297" s="40" t="n"/>
      <c r="T1297" s="40" t="n"/>
      <c r="U1297" s="40" t="n"/>
      <c r="V1297" s="40" t="n"/>
      <c r="W1297" s="40" t="n"/>
      <c r="X1297" s="40" t="n"/>
      <c r="Y1297" s="40" t="n"/>
      <c r="Z1297" s="40" t="n"/>
      <c r="AA1297" s="39" t="n"/>
    </row>
    <row r="1298">
      <c r="A1298" s="7" t="n"/>
      <c r="B1298" s="7" t="n"/>
      <c r="C1298" s="39" t="n"/>
      <c r="D1298" s="39" t="n"/>
      <c r="E1298" s="7" t="n"/>
      <c r="F1298" s="7" t="n"/>
      <c r="G1298" s="7" t="n"/>
      <c r="H1298" s="39" t="n"/>
      <c r="I1298" s="39" t="n"/>
      <c r="J1298" s="39" t="n"/>
      <c r="K1298" s="39" t="n"/>
      <c r="L1298" s="39" t="n"/>
      <c r="M1298" s="7" t="n"/>
      <c r="N1298" s="7" t="n"/>
      <c r="O1298" s="40" t="n"/>
      <c r="P1298" s="40" t="n"/>
      <c r="Q1298" s="40" t="n"/>
      <c r="R1298" s="40" t="n"/>
      <c r="S1298" s="40" t="n"/>
      <c r="T1298" s="40" t="n"/>
      <c r="U1298" s="40" t="n"/>
      <c r="V1298" s="40" t="n"/>
      <c r="W1298" s="40" t="n"/>
      <c r="X1298" s="40" t="n"/>
      <c r="Y1298" s="40" t="n"/>
      <c r="Z1298" s="40" t="n"/>
      <c r="AA1298" s="39" t="n"/>
    </row>
    <row r="1299">
      <c r="A1299" s="7" t="n"/>
      <c r="B1299" s="7" t="n"/>
      <c r="C1299" s="39" t="n"/>
      <c r="D1299" s="39" t="n"/>
      <c r="E1299" s="7" t="n"/>
      <c r="F1299" s="7" t="n"/>
      <c r="G1299" s="7" t="n"/>
      <c r="H1299" s="39" t="n"/>
      <c r="I1299" s="39" t="n"/>
      <c r="J1299" s="39" t="n"/>
      <c r="K1299" s="39" t="n"/>
      <c r="L1299" s="39" t="n"/>
      <c r="M1299" s="7" t="n"/>
      <c r="N1299" s="7" t="n"/>
      <c r="O1299" s="40" t="n"/>
      <c r="P1299" s="40" t="n"/>
      <c r="Q1299" s="40" t="n"/>
      <c r="R1299" s="40" t="n"/>
      <c r="S1299" s="40" t="n"/>
      <c r="T1299" s="40" t="n"/>
      <c r="U1299" s="40" t="n"/>
      <c r="V1299" s="40" t="n"/>
      <c r="W1299" s="40" t="n"/>
      <c r="X1299" s="40" t="n"/>
      <c r="Y1299" s="40" t="n"/>
      <c r="Z1299" s="40" t="n"/>
      <c r="AA1299" s="39" t="n"/>
    </row>
    <row r="1300">
      <c r="A1300" s="7" t="n"/>
      <c r="B1300" s="7" t="n"/>
      <c r="C1300" s="39" t="n"/>
      <c r="D1300" s="39" t="n"/>
      <c r="E1300" s="7" t="n"/>
      <c r="F1300" s="7" t="n"/>
      <c r="G1300" s="7" t="n"/>
      <c r="H1300" s="39" t="n"/>
      <c r="I1300" s="39" t="n"/>
      <c r="J1300" s="39" t="n"/>
      <c r="K1300" s="39" t="n"/>
      <c r="L1300" s="39" t="n"/>
      <c r="M1300" s="7" t="n"/>
      <c r="N1300" s="7" t="n"/>
      <c r="O1300" s="40" t="n"/>
      <c r="P1300" s="40" t="n"/>
      <c r="Q1300" s="40" t="n"/>
      <c r="R1300" s="40" t="n"/>
      <c r="S1300" s="40" t="n"/>
      <c r="T1300" s="40" t="n"/>
      <c r="U1300" s="40" t="n"/>
      <c r="V1300" s="40" t="n"/>
      <c r="W1300" s="40" t="n"/>
      <c r="X1300" s="40" t="n"/>
      <c r="Y1300" s="40" t="n"/>
      <c r="Z1300" s="40" t="n"/>
      <c r="AA1300" s="39" t="n"/>
    </row>
    <row r="1301">
      <c r="A1301" s="7" t="n"/>
      <c r="B1301" s="7" t="n"/>
      <c r="C1301" s="39" t="n"/>
      <c r="D1301" s="39" t="n"/>
      <c r="E1301" s="7" t="n"/>
      <c r="F1301" s="7" t="n"/>
      <c r="G1301" s="7" t="n"/>
      <c r="H1301" s="39" t="n"/>
      <c r="I1301" s="39" t="n"/>
      <c r="J1301" s="39" t="n"/>
      <c r="K1301" s="39" t="n"/>
      <c r="L1301" s="39" t="n"/>
      <c r="M1301" s="7" t="n"/>
      <c r="N1301" s="7" t="n"/>
      <c r="O1301" s="40" t="n"/>
      <c r="P1301" s="40" t="n"/>
      <c r="Q1301" s="40" t="n"/>
      <c r="R1301" s="40" t="n"/>
      <c r="S1301" s="40" t="n"/>
      <c r="T1301" s="40" t="n"/>
      <c r="U1301" s="40" t="n"/>
      <c r="V1301" s="40" t="n"/>
      <c r="W1301" s="40" t="n"/>
      <c r="X1301" s="40" t="n"/>
      <c r="Y1301" s="40" t="n"/>
      <c r="Z1301" s="40" t="n"/>
      <c r="AA1301" s="39" t="n"/>
    </row>
    <row r="1302">
      <c r="A1302" s="7" t="n"/>
      <c r="B1302" s="7" t="n"/>
      <c r="C1302" s="39" t="n"/>
      <c r="D1302" s="39" t="n"/>
      <c r="E1302" s="7" t="n"/>
      <c r="F1302" s="7" t="n"/>
      <c r="G1302" s="7" t="n"/>
      <c r="H1302" s="39" t="n"/>
      <c r="I1302" s="39" t="n"/>
      <c r="J1302" s="39" t="n"/>
      <c r="K1302" s="39" t="n"/>
      <c r="L1302" s="39" t="n"/>
      <c r="M1302" s="7" t="n"/>
      <c r="N1302" s="7" t="n"/>
      <c r="O1302" s="40" t="n"/>
      <c r="P1302" s="40" t="n"/>
      <c r="Q1302" s="40" t="n"/>
      <c r="R1302" s="40" t="n"/>
      <c r="S1302" s="40" t="n"/>
      <c r="T1302" s="40" t="n"/>
      <c r="U1302" s="40" t="n"/>
      <c r="V1302" s="40" t="n"/>
      <c r="W1302" s="40" t="n"/>
      <c r="X1302" s="40" t="n"/>
      <c r="Y1302" s="40" t="n"/>
      <c r="Z1302" s="40" t="n"/>
      <c r="AA1302" s="39" t="n"/>
    </row>
    <row r="1303">
      <c r="A1303" s="7" t="n"/>
      <c r="B1303" s="7" t="n"/>
      <c r="C1303" s="39" t="n"/>
      <c r="D1303" s="39" t="n"/>
      <c r="E1303" s="7" t="n"/>
      <c r="F1303" s="7" t="n"/>
      <c r="G1303" s="7" t="n"/>
      <c r="H1303" s="39" t="n"/>
      <c r="I1303" s="39" t="n"/>
      <c r="J1303" s="39" t="n"/>
      <c r="K1303" s="39" t="n"/>
      <c r="L1303" s="39" t="n"/>
      <c r="M1303" s="7" t="n"/>
      <c r="N1303" s="7" t="n"/>
      <c r="O1303" s="40" t="n"/>
      <c r="P1303" s="40" t="n"/>
      <c r="Q1303" s="40" t="n"/>
      <c r="R1303" s="40" t="n"/>
      <c r="S1303" s="40" t="n"/>
      <c r="T1303" s="40" t="n"/>
      <c r="U1303" s="40" t="n"/>
      <c r="V1303" s="40" t="n"/>
      <c r="W1303" s="40" t="n"/>
      <c r="X1303" s="40" t="n"/>
      <c r="Y1303" s="40" t="n"/>
      <c r="Z1303" s="40" t="n"/>
      <c r="AA1303" s="39" t="n"/>
    </row>
    <row r="1304">
      <c r="A1304" s="7" t="n"/>
      <c r="B1304" s="7" t="n"/>
      <c r="C1304" s="39" t="n"/>
      <c r="D1304" s="39" t="n"/>
      <c r="E1304" s="7" t="n"/>
      <c r="F1304" s="7" t="n"/>
      <c r="G1304" s="7" t="n"/>
      <c r="H1304" s="39" t="n"/>
      <c r="I1304" s="39" t="n"/>
      <c r="J1304" s="39" t="n"/>
      <c r="K1304" s="39" t="n"/>
      <c r="L1304" s="39" t="n"/>
      <c r="M1304" s="7" t="n"/>
      <c r="N1304" s="7" t="n"/>
      <c r="O1304" s="40" t="n"/>
      <c r="P1304" s="40" t="n"/>
      <c r="Q1304" s="40" t="n"/>
      <c r="R1304" s="40" t="n"/>
      <c r="S1304" s="40" t="n"/>
      <c r="T1304" s="40" t="n"/>
      <c r="U1304" s="40" t="n"/>
      <c r="V1304" s="40" t="n"/>
      <c r="W1304" s="40" t="n"/>
      <c r="X1304" s="40" t="n"/>
      <c r="Y1304" s="40" t="n"/>
      <c r="Z1304" s="40" t="n"/>
      <c r="AA1304" s="39" t="n"/>
    </row>
    <row r="1305">
      <c r="A1305" s="7" t="n"/>
      <c r="B1305" s="7" t="n"/>
      <c r="C1305" s="39" t="n"/>
      <c r="D1305" s="39" t="n"/>
      <c r="E1305" s="7" t="n"/>
      <c r="F1305" s="7" t="n"/>
      <c r="G1305" s="7" t="n"/>
      <c r="H1305" s="39" t="n"/>
      <c r="I1305" s="39" t="n"/>
      <c r="J1305" s="39" t="n"/>
      <c r="K1305" s="39" t="n"/>
      <c r="L1305" s="39" t="n"/>
      <c r="M1305" s="7" t="n"/>
      <c r="N1305" s="7" t="n"/>
      <c r="O1305" s="40" t="n"/>
      <c r="P1305" s="40" t="n"/>
      <c r="Q1305" s="40" t="n"/>
      <c r="R1305" s="40" t="n"/>
      <c r="S1305" s="40" t="n"/>
      <c r="T1305" s="40" t="n"/>
      <c r="U1305" s="40" t="n"/>
      <c r="V1305" s="40" t="n"/>
      <c r="W1305" s="40" t="n"/>
      <c r="X1305" s="40" t="n"/>
      <c r="Y1305" s="40" t="n"/>
      <c r="Z1305" s="40" t="n"/>
      <c r="AA1305" s="39" t="n"/>
    </row>
    <row r="1306">
      <c r="A1306" s="7" t="n"/>
      <c r="B1306" s="7" t="n"/>
      <c r="C1306" s="39" t="n"/>
      <c r="D1306" s="39" t="n"/>
      <c r="E1306" s="7" t="n"/>
      <c r="F1306" s="7" t="n"/>
      <c r="G1306" s="7" t="n"/>
      <c r="H1306" s="39" t="n"/>
      <c r="I1306" s="39" t="n"/>
      <c r="J1306" s="39" t="n"/>
      <c r="K1306" s="39" t="n"/>
      <c r="L1306" s="39" t="n"/>
      <c r="M1306" s="7" t="n"/>
      <c r="N1306" s="7" t="n"/>
      <c r="O1306" s="40" t="n"/>
      <c r="P1306" s="40" t="n"/>
      <c r="Q1306" s="40" t="n"/>
      <c r="R1306" s="40" t="n"/>
      <c r="S1306" s="40" t="n"/>
      <c r="T1306" s="40" t="n"/>
      <c r="U1306" s="40" t="n"/>
      <c r="V1306" s="40" t="n"/>
      <c r="W1306" s="40" t="n"/>
      <c r="X1306" s="40" t="n"/>
      <c r="Y1306" s="40" t="n"/>
      <c r="Z1306" s="40" t="n"/>
      <c r="AA1306" s="39" t="n"/>
    </row>
    <row r="1307">
      <c r="A1307" s="7" t="n"/>
      <c r="B1307" s="7" t="n"/>
      <c r="C1307" s="39" t="n"/>
      <c r="D1307" s="39" t="n"/>
      <c r="E1307" s="7" t="n"/>
      <c r="F1307" s="7" t="n"/>
      <c r="G1307" s="7" t="n"/>
      <c r="H1307" s="39" t="n"/>
      <c r="I1307" s="39" t="n"/>
      <c r="J1307" s="39" t="n"/>
      <c r="K1307" s="39" t="n"/>
      <c r="L1307" s="39" t="n"/>
      <c r="M1307" s="7" t="n"/>
      <c r="N1307" s="7" t="n"/>
      <c r="O1307" s="40" t="n"/>
      <c r="P1307" s="40" t="n"/>
      <c r="Q1307" s="40" t="n"/>
      <c r="R1307" s="40" t="n"/>
      <c r="S1307" s="40" t="n"/>
      <c r="T1307" s="40" t="n"/>
      <c r="U1307" s="40" t="n"/>
      <c r="V1307" s="40" t="n"/>
      <c r="W1307" s="40" t="n"/>
      <c r="X1307" s="40" t="n"/>
      <c r="Y1307" s="40" t="n"/>
      <c r="Z1307" s="40" t="n"/>
      <c r="AA1307" s="39" t="n"/>
    </row>
    <row r="1308">
      <c r="A1308" s="7" t="n"/>
      <c r="B1308" s="7" t="n"/>
      <c r="C1308" s="39" t="n"/>
      <c r="D1308" s="39" t="n"/>
      <c r="E1308" s="7" t="n"/>
      <c r="F1308" s="7" t="n"/>
      <c r="G1308" s="7" t="n"/>
      <c r="H1308" s="39" t="n"/>
      <c r="I1308" s="39" t="n"/>
      <c r="J1308" s="39" t="n"/>
      <c r="K1308" s="39" t="n"/>
      <c r="L1308" s="39" t="n"/>
      <c r="M1308" s="7" t="n"/>
      <c r="N1308" s="7" t="n"/>
      <c r="O1308" s="40" t="n"/>
      <c r="P1308" s="40" t="n"/>
      <c r="Q1308" s="40" t="n"/>
      <c r="R1308" s="40" t="n"/>
      <c r="S1308" s="40" t="n"/>
      <c r="T1308" s="40" t="n"/>
      <c r="U1308" s="40" t="n"/>
      <c r="V1308" s="40" t="n"/>
      <c r="W1308" s="40" t="n"/>
      <c r="X1308" s="40" t="n"/>
      <c r="Y1308" s="40" t="n"/>
      <c r="Z1308" s="40" t="n"/>
      <c r="AA1308" s="39" t="n"/>
    </row>
    <row r="1309">
      <c r="A1309" s="7" t="n"/>
      <c r="B1309" s="7" t="n"/>
      <c r="C1309" s="39" t="n"/>
      <c r="D1309" s="39" t="n"/>
      <c r="E1309" s="7" t="n"/>
      <c r="F1309" s="7" t="n"/>
      <c r="G1309" s="7" t="n"/>
      <c r="H1309" s="39" t="n"/>
      <c r="I1309" s="39" t="n"/>
      <c r="J1309" s="39" t="n"/>
      <c r="K1309" s="39" t="n"/>
      <c r="L1309" s="39" t="n"/>
      <c r="M1309" s="7" t="n"/>
      <c r="N1309" s="7" t="n"/>
      <c r="O1309" s="40" t="n"/>
      <c r="P1309" s="40" t="n"/>
      <c r="Q1309" s="40" t="n"/>
      <c r="R1309" s="40" t="n"/>
      <c r="S1309" s="40" t="n"/>
      <c r="T1309" s="40" t="n"/>
      <c r="U1309" s="40" t="n"/>
      <c r="V1309" s="40" t="n"/>
      <c r="W1309" s="40" t="n"/>
      <c r="X1309" s="40" t="n"/>
      <c r="Y1309" s="40" t="n"/>
      <c r="Z1309" s="40" t="n"/>
      <c r="AA1309" s="39" t="n"/>
    </row>
    <row r="1310">
      <c r="A1310" s="7" t="n"/>
      <c r="B1310" s="7" t="n"/>
      <c r="C1310" s="39" t="n"/>
      <c r="D1310" s="39" t="n"/>
      <c r="E1310" s="7" t="n"/>
      <c r="F1310" s="7" t="n"/>
      <c r="G1310" s="7" t="n"/>
      <c r="H1310" s="39" t="n"/>
      <c r="I1310" s="39" t="n"/>
      <c r="J1310" s="39" t="n"/>
      <c r="K1310" s="39" t="n"/>
      <c r="L1310" s="39" t="n"/>
      <c r="M1310" s="7" t="n"/>
      <c r="N1310" s="7" t="n"/>
      <c r="O1310" s="40" t="n"/>
      <c r="P1310" s="40" t="n"/>
      <c r="Q1310" s="40" t="n"/>
      <c r="R1310" s="40" t="n"/>
      <c r="S1310" s="40" t="n"/>
      <c r="T1310" s="40" t="n"/>
      <c r="U1310" s="40" t="n"/>
      <c r="V1310" s="40" t="n"/>
      <c r="W1310" s="40" t="n"/>
      <c r="X1310" s="40" t="n"/>
      <c r="Y1310" s="40" t="n"/>
      <c r="Z1310" s="40" t="n"/>
      <c r="AA1310" s="39" t="n"/>
    </row>
    <row r="1311">
      <c r="A1311" s="7" t="n"/>
      <c r="B1311" s="7" t="n"/>
      <c r="C1311" s="39" t="n"/>
      <c r="D1311" s="39" t="n"/>
      <c r="E1311" s="7" t="n"/>
      <c r="F1311" s="7" t="n"/>
      <c r="G1311" s="7" t="n"/>
      <c r="H1311" s="39" t="n"/>
      <c r="I1311" s="39" t="n"/>
      <c r="J1311" s="39" t="n"/>
      <c r="K1311" s="39" t="n"/>
      <c r="L1311" s="39" t="n"/>
      <c r="M1311" s="7" t="n"/>
      <c r="N1311" s="7" t="n"/>
      <c r="O1311" s="40" t="n"/>
      <c r="P1311" s="40" t="n"/>
      <c r="Q1311" s="40" t="n"/>
      <c r="R1311" s="40" t="n"/>
      <c r="S1311" s="40" t="n"/>
      <c r="T1311" s="40" t="n"/>
      <c r="U1311" s="40" t="n"/>
      <c r="V1311" s="40" t="n"/>
      <c r="W1311" s="40" t="n"/>
      <c r="X1311" s="40" t="n"/>
      <c r="Y1311" s="40" t="n"/>
      <c r="Z1311" s="40" t="n"/>
      <c r="AA1311" s="39" t="n"/>
    </row>
    <row r="1312">
      <c r="A1312" s="7" t="n"/>
      <c r="B1312" s="7" t="n"/>
      <c r="C1312" s="39" t="n"/>
      <c r="D1312" s="39" t="n"/>
      <c r="E1312" s="7" t="n"/>
      <c r="F1312" s="7" t="n"/>
      <c r="G1312" s="7" t="n"/>
      <c r="H1312" s="39" t="n"/>
      <c r="I1312" s="39" t="n"/>
      <c r="J1312" s="39" t="n"/>
      <c r="K1312" s="39" t="n"/>
      <c r="L1312" s="39" t="n"/>
      <c r="M1312" s="7" t="n"/>
      <c r="N1312" s="7" t="n"/>
      <c r="O1312" s="40" t="n"/>
      <c r="P1312" s="40" t="n"/>
      <c r="Q1312" s="40" t="n"/>
      <c r="R1312" s="40" t="n"/>
      <c r="S1312" s="40" t="n"/>
      <c r="T1312" s="40" t="n"/>
      <c r="U1312" s="40" t="n"/>
      <c r="V1312" s="40" t="n"/>
      <c r="W1312" s="40" t="n"/>
      <c r="X1312" s="40" t="n"/>
      <c r="Y1312" s="40" t="n"/>
      <c r="Z1312" s="40" t="n"/>
      <c r="AA1312" s="39" t="n"/>
    </row>
    <row r="1313">
      <c r="A1313" s="7" t="n"/>
      <c r="B1313" s="7" t="n"/>
      <c r="C1313" s="39" t="n"/>
      <c r="D1313" s="39" t="n"/>
      <c r="E1313" s="7" t="n"/>
      <c r="F1313" s="7" t="n"/>
      <c r="G1313" s="7" t="n"/>
      <c r="H1313" s="39" t="n"/>
      <c r="I1313" s="39" t="n"/>
      <c r="J1313" s="39" t="n"/>
      <c r="K1313" s="39" t="n"/>
      <c r="L1313" s="39" t="n"/>
      <c r="M1313" s="7" t="n"/>
      <c r="N1313" s="7" t="n"/>
      <c r="O1313" s="40" t="n"/>
      <c r="P1313" s="40" t="n"/>
      <c r="Q1313" s="40" t="n"/>
      <c r="R1313" s="40" t="n"/>
      <c r="S1313" s="40" t="n"/>
      <c r="T1313" s="40" t="n"/>
      <c r="U1313" s="40" t="n"/>
      <c r="V1313" s="40" t="n"/>
      <c r="W1313" s="40" t="n"/>
      <c r="X1313" s="40" t="n"/>
      <c r="Y1313" s="40" t="n"/>
      <c r="Z1313" s="40" t="n"/>
      <c r="AA1313" s="39" t="n"/>
    </row>
    <row r="1314">
      <c r="A1314" s="7" t="n"/>
      <c r="B1314" s="7" t="n"/>
      <c r="C1314" s="39" t="n"/>
      <c r="D1314" s="39" t="n"/>
      <c r="E1314" s="7" t="n"/>
      <c r="F1314" s="7" t="n"/>
      <c r="G1314" s="7" t="n"/>
      <c r="H1314" s="39" t="n"/>
      <c r="I1314" s="39" t="n"/>
      <c r="J1314" s="39" t="n"/>
      <c r="K1314" s="39" t="n"/>
      <c r="L1314" s="39" t="n"/>
      <c r="M1314" s="7" t="n"/>
      <c r="N1314" s="7" t="n"/>
      <c r="O1314" s="40" t="n"/>
      <c r="P1314" s="40" t="n"/>
      <c r="Q1314" s="40" t="n"/>
      <c r="R1314" s="40" t="n"/>
      <c r="S1314" s="40" t="n"/>
      <c r="T1314" s="40" t="n"/>
      <c r="U1314" s="40" t="n"/>
      <c r="V1314" s="40" t="n"/>
      <c r="W1314" s="40" t="n"/>
      <c r="X1314" s="40" t="n"/>
      <c r="Y1314" s="40" t="n"/>
      <c r="Z1314" s="40" t="n"/>
      <c r="AA1314" s="39" t="n"/>
    </row>
    <row r="1315">
      <c r="A1315" s="7" t="n"/>
      <c r="B1315" s="7" t="n"/>
      <c r="C1315" s="39" t="n"/>
      <c r="D1315" s="39" t="n"/>
      <c r="E1315" s="7" t="n"/>
      <c r="F1315" s="7" t="n"/>
      <c r="G1315" s="7" t="n"/>
      <c r="H1315" s="39" t="n"/>
      <c r="I1315" s="39" t="n"/>
      <c r="J1315" s="39" t="n"/>
      <c r="K1315" s="39" t="n"/>
      <c r="L1315" s="39" t="n"/>
      <c r="M1315" s="7" t="n"/>
      <c r="N1315" s="7" t="n"/>
      <c r="O1315" s="40" t="n"/>
      <c r="P1315" s="40" t="n"/>
      <c r="Q1315" s="40" t="n"/>
      <c r="R1315" s="40" t="n"/>
      <c r="S1315" s="40" t="n"/>
      <c r="T1315" s="40" t="n"/>
      <c r="U1315" s="40" t="n"/>
      <c r="V1315" s="40" t="n"/>
      <c r="W1315" s="40" t="n"/>
      <c r="X1315" s="40" t="n"/>
      <c r="Y1315" s="40" t="n"/>
      <c r="Z1315" s="40" t="n"/>
      <c r="AA1315" s="39" t="n"/>
    </row>
    <row r="1316">
      <c r="A1316" s="7" t="n"/>
      <c r="B1316" s="7" t="n"/>
      <c r="C1316" s="39" t="n"/>
      <c r="D1316" s="39" t="n"/>
      <c r="E1316" s="7" t="n"/>
      <c r="F1316" s="7" t="n"/>
      <c r="G1316" s="7" t="n"/>
      <c r="H1316" s="39" t="n"/>
      <c r="I1316" s="39" t="n"/>
      <c r="J1316" s="39" t="n"/>
      <c r="K1316" s="39" t="n"/>
      <c r="L1316" s="39" t="n"/>
      <c r="M1316" s="7" t="n"/>
      <c r="N1316" s="7" t="n"/>
      <c r="O1316" s="40" t="n"/>
      <c r="P1316" s="40" t="n"/>
      <c r="Q1316" s="40" t="n"/>
      <c r="R1316" s="40" t="n"/>
      <c r="S1316" s="40" t="n"/>
      <c r="T1316" s="40" t="n"/>
      <c r="U1316" s="40" t="n"/>
      <c r="V1316" s="40" t="n"/>
      <c r="W1316" s="40" t="n"/>
      <c r="X1316" s="40" t="n"/>
      <c r="Y1316" s="40" t="n"/>
      <c r="Z1316" s="40" t="n"/>
      <c r="AA1316" s="39" t="n"/>
    </row>
    <row r="1317">
      <c r="A1317" s="7" t="n"/>
      <c r="B1317" s="7" t="n"/>
      <c r="C1317" s="39" t="n"/>
      <c r="D1317" s="39" t="n"/>
      <c r="E1317" s="7" t="n"/>
      <c r="F1317" s="7" t="n"/>
      <c r="G1317" s="7" t="n"/>
      <c r="H1317" s="39" t="n"/>
      <c r="I1317" s="39" t="n"/>
      <c r="J1317" s="39" t="n"/>
      <c r="K1317" s="39" t="n"/>
      <c r="L1317" s="39" t="n"/>
      <c r="M1317" s="7" t="n"/>
      <c r="N1317" s="7" t="n"/>
      <c r="O1317" s="40" t="n"/>
      <c r="P1317" s="40" t="n"/>
      <c r="Q1317" s="40" t="n"/>
      <c r="R1317" s="40" t="n"/>
      <c r="S1317" s="40" t="n"/>
      <c r="T1317" s="40" t="n"/>
      <c r="U1317" s="40" t="n"/>
      <c r="V1317" s="40" t="n"/>
      <c r="W1317" s="40" t="n"/>
      <c r="X1317" s="40" t="n"/>
      <c r="Y1317" s="40" t="n"/>
      <c r="Z1317" s="40" t="n"/>
      <c r="AA1317" s="39" t="n"/>
    </row>
    <row r="1318">
      <c r="A1318" s="7" t="n"/>
      <c r="B1318" s="7" t="n"/>
      <c r="C1318" s="39" t="n"/>
      <c r="D1318" s="39" t="n"/>
      <c r="E1318" s="7" t="n"/>
      <c r="F1318" s="7" t="n"/>
      <c r="G1318" s="7" t="n"/>
      <c r="H1318" s="39" t="n"/>
      <c r="I1318" s="39" t="n"/>
      <c r="J1318" s="39" t="n"/>
      <c r="K1318" s="39" t="n"/>
      <c r="L1318" s="39" t="n"/>
      <c r="M1318" s="7" t="n"/>
      <c r="N1318" s="7" t="n"/>
      <c r="O1318" s="40" t="n"/>
      <c r="P1318" s="40" t="n"/>
      <c r="Q1318" s="40" t="n"/>
      <c r="R1318" s="40" t="n"/>
      <c r="S1318" s="40" t="n"/>
      <c r="T1318" s="40" t="n"/>
      <c r="U1318" s="40" t="n"/>
      <c r="V1318" s="40" t="n"/>
      <c r="W1318" s="40" t="n"/>
      <c r="X1318" s="40" t="n"/>
      <c r="Y1318" s="40" t="n"/>
      <c r="Z1318" s="40" t="n"/>
      <c r="AA1318" s="39" t="n"/>
    </row>
    <row r="1319">
      <c r="A1319" s="7" t="n"/>
      <c r="B1319" s="7" t="n"/>
      <c r="C1319" s="39" t="n"/>
      <c r="D1319" s="39" t="n"/>
      <c r="E1319" s="7" t="n"/>
      <c r="F1319" s="7" t="n"/>
      <c r="G1319" s="7" t="n"/>
      <c r="H1319" s="39" t="n"/>
      <c r="I1319" s="39" t="n"/>
      <c r="J1319" s="39" t="n"/>
      <c r="K1319" s="39" t="n"/>
      <c r="L1319" s="39" t="n"/>
      <c r="M1319" s="7" t="n"/>
      <c r="N1319" s="7" t="n"/>
      <c r="O1319" s="40" t="n"/>
      <c r="P1319" s="40" t="n"/>
      <c r="Q1319" s="40" t="n"/>
      <c r="R1319" s="40" t="n"/>
      <c r="S1319" s="40" t="n"/>
      <c r="T1319" s="40" t="n"/>
      <c r="U1319" s="40" t="n"/>
      <c r="V1319" s="40" t="n"/>
      <c r="W1319" s="40" t="n"/>
      <c r="X1319" s="40" t="n"/>
      <c r="Y1319" s="40" t="n"/>
      <c r="Z1319" s="40" t="n"/>
      <c r="AA1319" s="39" t="n"/>
    </row>
    <row r="1320">
      <c r="A1320" s="7" t="n"/>
      <c r="B1320" s="7" t="n"/>
      <c r="C1320" s="39" t="n"/>
      <c r="D1320" s="39" t="n"/>
      <c r="E1320" s="7" t="n"/>
      <c r="F1320" s="7" t="n"/>
      <c r="G1320" s="7" t="n"/>
      <c r="H1320" s="39" t="n"/>
      <c r="I1320" s="39" t="n"/>
      <c r="J1320" s="39" t="n"/>
      <c r="K1320" s="39" t="n"/>
      <c r="L1320" s="39" t="n"/>
      <c r="M1320" s="7" t="n"/>
      <c r="N1320" s="7" t="n"/>
      <c r="O1320" s="40" t="n"/>
      <c r="P1320" s="40" t="n"/>
      <c r="Q1320" s="40" t="n"/>
      <c r="R1320" s="40" t="n"/>
      <c r="S1320" s="40" t="n"/>
      <c r="T1320" s="40" t="n"/>
      <c r="U1320" s="40" t="n"/>
      <c r="V1320" s="40" t="n"/>
      <c r="W1320" s="40" t="n"/>
      <c r="X1320" s="40" t="n"/>
      <c r="Y1320" s="40" t="n"/>
      <c r="Z1320" s="40" t="n"/>
      <c r="AA1320" s="39" t="n"/>
    </row>
    <row r="1321">
      <c r="A1321" s="7" t="n"/>
      <c r="B1321" s="7" t="n"/>
      <c r="C1321" s="39" t="n"/>
      <c r="D1321" s="39" t="n"/>
      <c r="E1321" s="7" t="n"/>
      <c r="F1321" s="7" t="n"/>
      <c r="G1321" s="7" t="n"/>
      <c r="H1321" s="39" t="n"/>
      <c r="I1321" s="39" t="n"/>
      <c r="J1321" s="39" t="n"/>
      <c r="K1321" s="39" t="n"/>
      <c r="L1321" s="39" t="n"/>
      <c r="M1321" s="7" t="n"/>
      <c r="N1321" s="7" t="n"/>
      <c r="O1321" s="40" t="n"/>
      <c r="P1321" s="40" t="n"/>
      <c r="Q1321" s="40" t="n"/>
      <c r="R1321" s="40" t="n"/>
      <c r="S1321" s="40" t="n"/>
      <c r="T1321" s="40" t="n"/>
      <c r="U1321" s="40" t="n"/>
      <c r="V1321" s="40" t="n"/>
      <c r="W1321" s="40" t="n"/>
      <c r="X1321" s="40" t="n"/>
      <c r="Y1321" s="40" t="n"/>
      <c r="Z1321" s="40" t="n"/>
      <c r="AA1321" s="39" t="n"/>
    </row>
    <row r="1322">
      <c r="A1322" s="7" t="n"/>
      <c r="B1322" s="7" t="n"/>
      <c r="C1322" s="39" t="n"/>
      <c r="D1322" s="39" t="n"/>
      <c r="E1322" s="7" t="n"/>
      <c r="F1322" s="7" t="n"/>
      <c r="G1322" s="7" t="n"/>
      <c r="H1322" s="39" t="n"/>
      <c r="I1322" s="39" t="n"/>
      <c r="J1322" s="39" t="n"/>
      <c r="K1322" s="39" t="n"/>
      <c r="L1322" s="39" t="n"/>
      <c r="M1322" s="7" t="n"/>
      <c r="N1322" s="7" t="n"/>
      <c r="O1322" s="40" t="n"/>
      <c r="P1322" s="40" t="n"/>
      <c r="Q1322" s="40" t="n"/>
      <c r="R1322" s="40" t="n"/>
      <c r="S1322" s="40" t="n"/>
      <c r="T1322" s="40" t="n"/>
      <c r="U1322" s="40" t="n"/>
      <c r="V1322" s="40" t="n"/>
      <c r="W1322" s="40" t="n"/>
      <c r="X1322" s="40" t="n"/>
      <c r="Y1322" s="40" t="n"/>
      <c r="Z1322" s="40" t="n"/>
      <c r="AA1322" s="39" t="n"/>
    </row>
    <row r="1323">
      <c r="A1323" s="7" t="n"/>
      <c r="B1323" s="7" t="n"/>
      <c r="C1323" s="39" t="n"/>
      <c r="D1323" s="39" t="n"/>
      <c r="E1323" s="7" t="n"/>
      <c r="F1323" s="7" t="n"/>
      <c r="G1323" s="7" t="n"/>
      <c r="H1323" s="39" t="n"/>
      <c r="I1323" s="39" t="n"/>
      <c r="J1323" s="39" t="n"/>
      <c r="K1323" s="39" t="n"/>
      <c r="L1323" s="39" t="n"/>
      <c r="M1323" s="7" t="n"/>
      <c r="N1323" s="7" t="n"/>
      <c r="O1323" s="40" t="n"/>
      <c r="P1323" s="40" t="n"/>
      <c r="Q1323" s="40" t="n"/>
      <c r="R1323" s="40" t="n"/>
      <c r="S1323" s="40" t="n"/>
      <c r="T1323" s="40" t="n"/>
      <c r="U1323" s="40" t="n"/>
      <c r="V1323" s="40" t="n"/>
      <c r="W1323" s="40" t="n"/>
      <c r="X1323" s="40" t="n"/>
      <c r="Y1323" s="40" t="n"/>
      <c r="Z1323" s="40" t="n"/>
      <c r="AA1323" s="39" t="n"/>
    </row>
    <row r="1324">
      <c r="A1324" s="7" t="n"/>
      <c r="B1324" s="7" t="n"/>
      <c r="C1324" s="39" t="n"/>
      <c r="D1324" s="39" t="n"/>
      <c r="E1324" s="7" t="n"/>
      <c r="F1324" s="7" t="n"/>
      <c r="G1324" s="7" t="n"/>
      <c r="H1324" s="39" t="n"/>
      <c r="I1324" s="39" t="n"/>
      <c r="J1324" s="39" t="n"/>
      <c r="K1324" s="39" t="n"/>
      <c r="L1324" s="39" t="n"/>
      <c r="M1324" s="7" t="n"/>
      <c r="N1324" s="7" t="n"/>
      <c r="O1324" s="40" t="n"/>
      <c r="P1324" s="40" t="n"/>
      <c r="Q1324" s="40" t="n"/>
      <c r="R1324" s="40" t="n"/>
      <c r="S1324" s="40" t="n"/>
      <c r="T1324" s="40" t="n"/>
      <c r="U1324" s="40" t="n"/>
      <c r="V1324" s="40" t="n"/>
      <c r="W1324" s="40" t="n"/>
      <c r="X1324" s="40" t="n"/>
      <c r="Y1324" s="40" t="n"/>
      <c r="Z1324" s="40" t="n"/>
      <c r="AA1324" s="39" t="n"/>
    </row>
    <row r="1325">
      <c r="A1325" s="7" t="n"/>
      <c r="B1325" s="7" t="n"/>
      <c r="C1325" s="39" t="n"/>
      <c r="D1325" s="39" t="n"/>
      <c r="E1325" s="7" t="n"/>
      <c r="F1325" s="7" t="n"/>
      <c r="G1325" s="7" t="n"/>
      <c r="H1325" s="39" t="n"/>
      <c r="I1325" s="39" t="n"/>
      <c r="J1325" s="39" t="n"/>
      <c r="K1325" s="39" t="n"/>
      <c r="L1325" s="39" t="n"/>
      <c r="M1325" s="7" t="n"/>
      <c r="N1325" s="7" t="n"/>
      <c r="O1325" s="40" t="n"/>
      <c r="P1325" s="40" t="n"/>
      <c r="Q1325" s="40" t="n"/>
      <c r="R1325" s="40" t="n"/>
      <c r="S1325" s="40" t="n"/>
      <c r="T1325" s="40" t="n"/>
      <c r="U1325" s="40" t="n"/>
      <c r="V1325" s="40" t="n"/>
      <c r="W1325" s="40" t="n"/>
      <c r="X1325" s="40" t="n"/>
      <c r="Y1325" s="40" t="n"/>
      <c r="Z1325" s="40" t="n"/>
      <c r="AA1325" s="39" t="n"/>
    </row>
    <row r="1326">
      <c r="A1326" s="7" t="n"/>
      <c r="B1326" s="7" t="n"/>
      <c r="C1326" s="39" t="n"/>
      <c r="D1326" s="39" t="n"/>
      <c r="E1326" s="7" t="n"/>
      <c r="F1326" s="7" t="n"/>
      <c r="G1326" s="7" t="n"/>
      <c r="H1326" s="39" t="n"/>
      <c r="I1326" s="39" t="n"/>
      <c r="J1326" s="39" t="n"/>
      <c r="K1326" s="39" t="n"/>
      <c r="L1326" s="39" t="n"/>
      <c r="M1326" s="7" t="n"/>
      <c r="N1326" s="7" t="n"/>
      <c r="O1326" s="40" t="n"/>
      <c r="P1326" s="40" t="n"/>
      <c r="Q1326" s="40" t="n"/>
      <c r="R1326" s="40" t="n"/>
      <c r="S1326" s="40" t="n"/>
      <c r="T1326" s="40" t="n"/>
      <c r="U1326" s="40" t="n"/>
      <c r="V1326" s="40" t="n"/>
      <c r="W1326" s="40" t="n"/>
      <c r="X1326" s="40" t="n"/>
      <c r="Y1326" s="40" t="n"/>
      <c r="Z1326" s="40" t="n"/>
      <c r="AA1326" s="39" t="n"/>
    </row>
    <row r="1327">
      <c r="A1327" s="7" t="n"/>
      <c r="B1327" s="7" t="n"/>
      <c r="C1327" s="39" t="n"/>
      <c r="D1327" s="39" t="n"/>
      <c r="E1327" s="7" t="n"/>
      <c r="F1327" s="7" t="n"/>
      <c r="G1327" s="7" t="n"/>
      <c r="H1327" s="39" t="n"/>
      <c r="I1327" s="39" t="n"/>
      <c r="J1327" s="39" t="n"/>
      <c r="K1327" s="39" t="n"/>
      <c r="L1327" s="39" t="n"/>
      <c r="M1327" s="7" t="n"/>
      <c r="N1327" s="7" t="n"/>
      <c r="O1327" s="40" t="n"/>
      <c r="P1327" s="40" t="n"/>
      <c r="Q1327" s="40" t="n"/>
      <c r="R1327" s="40" t="n"/>
      <c r="S1327" s="40" t="n"/>
      <c r="T1327" s="40" t="n"/>
      <c r="U1327" s="40" t="n"/>
      <c r="V1327" s="40" t="n"/>
      <c r="W1327" s="40" t="n"/>
      <c r="X1327" s="40" t="n"/>
      <c r="Y1327" s="40" t="n"/>
      <c r="Z1327" s="40" t="n"/>
      <c r="AA1327" s="39" t="n"/>
    </row>
    <row r="1328">
      <c r="A1328" s="7" t="n"/>
      <c r="B1328" s="7" t="n"/>
      <c r="C1328" s="39" t="n"/>
      <c r="D1328" s="39" t="n"/>
      <c r="E1328" s="7" t="n"/>
      <c r="F1328" s="7" t="n"/>
      <c r="G1328" s="7" t="n"/>
      <c r="H1328" s="39" t="n"/>
      <c r="I1328" s="39" t="n"/>
      <c r="J1328" s="39" t="n"/>
      <c r="K1328" s="39" t="n"/>
      <c r="L1328" s="39" t="n"/>
      <c r="M1328" s="7" t="n"/>
      <c r="N1328" s="7" t="n"/>
      <c r="O1328" s="40" t="n"/>
      <c r="P1328" s="40" t="n"/>
      <c r="Q1328" s="40" t="n"/>
      <c r="R1328" s="40" t="n"/>
      <c r="S1328" s="40" t="n"/>
      <c r="T1328" s="40" t="n"/>
      <c r="U1328" s="40" t="n"/>
      <c r="V1328" s="40" t="n"/>
      <c r="W1328" s="40" t="n"/>
      <c r="X1328" s="40" t="n"/>
      <c r="Y1328" s="40" t="n"/>
      <c r="Z1328" s="40" t="n"/>
      <c r="AA1328" s="39" t="n"/>
    </row>
    <row r="1329">
      <c r="A1329" s="7" t="n"/>
      <c r="B1329" s="7" t="n"/>
      <c r="C1329" s="39" t="n"/>
      <c r="D1329" s="39" t="n"/>
      <c r="E1329" s="7" t="n"/>
      <c r="F1329" s="7" t="n"/>
      <c r="G1329" s="7" t="n"/>
      <c r="H1329" s="39" t="n"/>
      <c r="I1329" s="39" t="n"/>
      <c r="J1329" s="39" t="n"/>
      <c r="K1329" s="39" t="n"/>
      <c r="L1329" s="39" t="n"/>
      <c r="M1329" s="7" t="n"/>
      <c r="N1329" s="7" t="n"/>
      <c r="O1329" s="40" t="n"/>
      <c r="P1329" s="40" t="n"/>
      <c r="Q1329" s="40" t="n"/>
      <c r="R1329" s="40" t="n"/>
      <c r="S1329" s="40" t="n"/>
      <c r="T1329" s="40" t="n"/>
      <c r="U1329" s="40" t="n"/>
      <c r="V1329" s="40" t="n"/>
      <c r="W1329" s="40" t="n"/>
      <c r="X1329" s="40" t="n"/>
      <c r="Y1329" s="40" t="n"/>
      <c r="Z1329" s="40" t="n"/>
      <c r="AA1329" s="39" t="n"/>
    </row>
    <row r="1330">
      <c r="A1330" s="7" t="n"/>
      <c r="B1330" s="7" t="n"/>
      <c r="C1330" s="39" t="n"/>
      <c r="D1330" s="39" t="n"/>
      <c r="E1330" s="7" t="n"/>
      <c r="F1330" s="7" t="n"/>
      <c r="G1330" s="7" t="n"/>
      <c r="H1330" s="39" t="n"/>
      <c r="I1330" s="39" t="n"/>
      <c r="J1330" s="39" t="n"/>
      <c r="K1330" s="39" t="n"/>
      <c r="L1330" s="39" t="n"/>
      <c r="M1330" s="7" t="n"/>
      <c r="N1330" s="7" t="n"/>
      <c r="O1330" s="40" t="n"/>
      <c r="P1330" s="40" t="n"/>
      <c r="Q1330" s="40" t="n"/>
      <c r="R1330" s="40" t="n"/>
      <c r="S1330" s="40" t="n"/>
      <c r="T1330" s="40" t="n"/>
      <c r="U1330" s="40" t="n"/>
      <c r="V1330" s="40" t="n"/>
      <c r="W1330" s="40" t="n"/>
      <c r="X1330" s="40" t="n"/>
      <c r="Y1330" s="40" t="n"/>
      <c r="Z1330" s="40" t="n"/>
      <c r="AA1330" s="39" t="n"/>
    </row>
    <row r="1331">
      <c r="A1331" s="7" t="n"/>
      <c r="B1331" s="7" t="n"/>
      <c r="C1331" s="39" t="n"/>
      <c r="D1331" s="39" t="n"/>
      <c r="E1331" s="7" t="n"/>
      <c r="F1331" s="7" t="n"/>
      <c r="G1331" s="7" t="n"/>
      <c r="H1331" s="39" t="n"/>
      <c r="I1331" s="39" t="n"/>
      <c r="J1331" s="39" t="n"/>
      <c r="K1331" s="39" t="n"/>
      <c r="L1331" s="39" t="n"/>
      <c r="M1331" s="7" t="n"/>
      <c r="N1331" s="7" t="n"/>
      <c r="O1331" s="40" t="n"/>
      <c r="P1331" s="40" t="n"/>
      <c r="Q1331" s="40" t="n"/>
      <c r="R1331" s="40" t="n"/>
      <c r="S1331" s="40" t="n"/>
      <c r="T1331" s="40" t="n"/>
      <c r="U1331" s="40" t="n"/>
      <c r="V1331" s="40" t="n"/>
      <c r="W1331" s="40" t="n"/>
      <c r="X1331" s="40" t="n"/>
      <c r="Y1331" s="40" t="n"/>
      <c r="Z1331" s="40" t="n"/>
      <c r="AA1331" s="39" t="n"/>
    </row>
    <row r="1332">
      <c r="A1332" s="7" t="n"/>
      <c r="B1332" s="7" t="n"/>
      <c r="C1332" s="39" t="n"/>
      <c r="D1332" s="39" t="n"/>
      <c r="E1332" s="7" t="n"/>
      <c r="F1332" s="7" t="n"/>
      <c r="G1332" s="7" t="n"/>
      <c r="H1332" s="39" t="n"/>
      <c r="I1332" s="39" t="n"/>
      <c r="J1332" s="39" t="n"/>
      <c r="K1332" s="39" t="n"/>
      <c r="L1332" s="39" t="n"/>
      <c r="M1332" s="7" t="n"/>
      <c r="N1332" s="7" t="n"/>
      <c r="O1332" s="40" t="n"/>
      <c r="P1332" s="40" t="n"/>
      <c r="Q1332" s="40" t="n"/>
      <c r="R1332" s="40" t="n"/>
      <c r="S1332" s="40" t="n"/>
      <c r="T1332" s="40" t="n"/>
      <c r="U1332" s="40" t="n"/>
      <c r="V1332" s="40" t="n"/>
      <c r="W1332" s="40" t="n"/>
      <c r="X1332" s="40" t="n"/>
      <c r="Y1332" s="40" t="n"/>
      <c r="Z1332" s="40" t="n"/>
      <c r="AA1332" s="39" t="n"/>
    </row>
    <row r="1333">
      <c r="A1333" s="7" t="n"/>
      <c r="B1333" s="7" t="n"/>
      <c r="C1333" s="39" t="n"/>
      <c r="D1333" s="39" t="n"/>
      <c r="E1333" s="7" t="n"/>
      <c r="F1333" s="7" t="n"/>
      <c r="G1333" s="7" t="n"/>
      <c r="H1333" s="39" t="n"/>
      <c r="I1333" s="39" t="n"/>
      <c r="J1333" s="39" t="n"/>
      <c r="K1333" s="39" t="n"/>
      <c r="L1333" s="39" t="n"/>
      <c r="M1333" s="7" t="n"/>
      <c r="N1333" s="7" t="n"/>
      <c r="O1333" s="40" t="n"/>
      <c r="P1333" s="40" t="n"/>
      <c r="Q1333" s="40" t="n"/>
      <c r="R1333" s="40" t="n"/>
      <c r="S1333" s="40" t="n"/>
      <c r="T1333" s="40" t="n"/>
      <c r="U1333" s="40" t="n"/>
      <c r="V1333" s="40" t="n"/>
      <c r="W1333" s="40" t="n"/>
      <c r="X1333" s="40" t="n"/>
      <c r="Y1333" s="40" t="n"/>
      <c r="Z1333" s="40" t="n"/>
      <c r="AA1333" s="39" t="n"/>
    </row>
    <row r="1334">
      <c r="A1334" s="7" t="n"/>
      <c r="B1334" s="7" t="n"/>
      <c r="C1334" s="39" t="n"/>
      <c r="D1334" s="39" t="n"/>
      <c r="E1334" s="7" t="n"/>
      <c r="F1334" s="7" t="n"/>
      <c r="G1334" s="7" t="n"/>
      <c r="H1334" s="39" t="n"/>
      <c r="I1334" s="39" t="n"/>
      <c r="J1334" s="39" t="n"/>
      <c r="K1334" s="39" t="n"/>
      <c r="L1334" s="39" t="n"/>
      <c r="M1334" s="7" t="n"/>
      <c r="N1334" s="7" t="n"/>
      <c r="O1334" s="40" t="n"/>
      <c r="P1334" s="40" t="n"/>
      <c r="Q1334" s="40" t="n"/>
      <c r="R1334" s="40" t="n"/>
      <c r="S1334" s="40" t="n"/>
      <c r="T1334" s="40" t="n"/>
      <c r="U1334" s="40" t="n"/>
      <c r="V1334" s="40" t="n"/>
      <c r="W1334" s="40" t="n"/>
      <c r="X1334" s="40" t="n"/>
      <c r="Y1334" s="40" t="n"/>
      <c r="Z1334" s="40" t="n"/>
      <c r="AA1334" s="39" t="n"/>
    </row>
    <row r="1335">
      <c r="A1335" s="7" t="n"/>
      <c r="B1335" s="7" t="n"/>
      <c r="C1335" s="39" t="n"/>
      <c r="D1335" s="39" t="n"/>
      <c r="E1335" s="7" t="n"/>
      <c r="F1335" s="7" t="n"/>
      <c r="G1335" s="7" t="n"/>
      <c r="H1335" s="39" t="n"/>
      <c r="I1335" s="39" t="n"/>
      <c r="J1335" s="39" t="n"/>
      <c r="K1335" s="39" t="n"/>
      <c r="L1335" s="39" t="n"/>
      <c r="M1335" s="7" t="n"/>
      <c r="N1335" s="7" t="n"/>
      <c r="O1335" s="40" t="n"/>
      <c r="P1335" s="40" t="n"/>
      <c r="Q1335" s="40" t="n"/>
      <c r="R1335" s="40" t="n"/>
      <c r="S1335" s="40" t="n"/>
      <c r="T1335" s="40" t="n"/>
      <c r="U1335" s="40" t="n"/>
      <c r="V1335" s="40" t="n"/>
      <c r="W1335" s="40" t="n"/>
      <c r="X1335" s="40" t="n"/>
      <c r="Y1335" s="40" t="n"/>
      <c r="Z1335" s="40" t="n"/>
      <c r="AA1335" s="39" t="n"/>
    </row>
    <row r="1336">
      <c r="A1336" s="7" t="n"/>
      <c r="B1336" s="7" t="n"/>
      <c r="C1336" s="39" t="n"/>
      <c r="D1336" s="39" t="n"/>
      <c r="E1336" s="7" t="n"/>
      <c r="F1336" s="7" t="n"/>
      <c r="G1336" s="7" t="n"/>
      <c r="H1336" s="39" t="n"/>
      <c r="I1336" s="39" t="n"/>
      <c r="J1336" s="39" t="n"/>
      <c r="K1336" s="39" t="n"/>
      <c r="L1336" s="39" t="n"/>
      <c r="M1336" s="7" t="n"/>
      <c r="N1336" s="7" t="n"/>
      <c r="O1336" s="40" t="n"/>
      <c r="P1336" s="40" t="n"/>
      <c r="Q1336" s="40" t="n"/>
      <c r="R1336" s="40" t="n"/>
      <c r="S1336" s="40" t="n"/>
      <c r="T1336" s="40" t="n"/>
      <c r="U1336" s="40" t="n"/>
      <c r="V1336" s="40" t="n"/>
      <c r="W1336" s="40" t="n"/>
      <c r="X1336" s="40" t="n"/>
      <c r="Y1336" s="40" t="n"/>
      <c r="Z1336" s="40" t="n"/>
      <c r="AA1336" s="39" t="n"/>
    </row>
    <row r="1337">
      <c r="A1337" s="7" t="n"/>
      <c r="B1337" s="7" t="n"/>
      <c r="C1337" s="39" t="n"/>
      <c r="D1337" s="39" t="n"/>
      <c r="E1337" s="7" t="n"/>
      <c r="F1337" s="7" t="n"/>
      <c r="G1337" s="7" t="n"/>
      <c r="H1337" s="39" t="n"/>
      <c r="I1337" s="39" t="n"/>
      <c r="J1337" s="39" t="n"/>
      <c r="K1337" s="39" t="n"/>
      <c r="L1337" s="39" t="n"/>
      <c r="M1337" s="7" t="n"/>
      <c r="N1337" s="7" t="n"/>
      <c r="O1337" s="40" t="n"/>
      <c r="P1337" s="40" t="n"/>
      <c r="Q1337" s="40" t="n"/>
      <c r="R1337" s="40" t="n"/>
      <c r="S1337" s="40" t="n"/>
      <c r="T1337" s="40" t="n"/>
      <c r="U1337" s="40" t="n"/>
      <c r="V1337" s="40" t="n"/>
      <c r="W1337" s="40" t="n"/>
      <c r="X1337" s="40" t="n"/>
      <c r="Y1337" s="40" t="n"/>
      <c r="Z1337" s="40" t="n"/>
      <c r="AA1337" s="39" t="n"/>
    </row>
    <row r="1338">
      <c r="A1338" s="7" t="n"/>
      <c r="B1338" s="7" t="n"/>
      <c r="C1338" s="39" t="n"/>
      <c r="D1338" s="39" t="n"/>
      <c r="E1338" s="7" t="n"/>
      <c r="F1338" s="7" t="n"/>
      <c r="G1338" s="7" t="n"/>
      <c r="H1338" s="39" t="n"/>
      <c r="I1338" s="39" t="n"/>
      <c r="J1338" s="39" t="n"/>
      <c r="K1338" s="39" t="n"/>
      <c r="L1338" s="39" t="n"/>
      <c r="M1338" s="7" t="n"/>
      <c r="N1338" s="7" t="n"/>
      <c r="O1338" s="40" t="n"/>
      <c r="P1338" s="40" t="n"/>
      <c r="Q1338" s="40" t="n"/>
      <c r="R1338" s="40" t="n"/>
      <c r="S1338" s="40" t="n"/>
      <c r="T1338" s="40" t="n"/>
      <c r="U1338" s="40" t="n"/>
      <c r="V1338" s="40" t="n"/>
      <c r="W1338" s="40" t="n"/>
      <c r="X1338" s="40" t="n"/>
      <c r="Y1338" s="40" t="n"/>
      <c r="Z1338" s="40" t="n"/>
      <c r="AA1338" s="39" t="n"/>
    </row>
    <row r="1339">
      <c r="A1339" s="7" t="n"/>
      <c r="B1339" s="7" t="n"/>
      <c r="C1339" s="39" t="n"/>
      <c r="D1339" s="39" t="n"/>
      <c r="E1339" s="7" t="n"/>
      <c r="F1339" s="7" t="n"/>
      <c r="G1339" s="7" t="n"/>
      <c r="H1339" s="39" t="n"/>
      <c r="I1339" s="39" t="n"/>
      <c r="J1339" s="39" t="n"/>
      <c r="K1339" s="39" t="n"/>
      <c r="L1339" s="39" t="n"/>
      <c r="M1339" s="7" t="n"/>
      <c r="N1339" s="7" t="n"/>
      <c r="O1339" s="40" t="n"/>
      <c r="P1339" s="40" t="n"/>
      <c r="Q1339" s="40" t="n"/>
      <c r="R1339" s="40" t="n"/>
      <c r="S1339" s="40" t="n"/>
      <c r="T1339" s="40" t="n"/>
      <c r="U1339" s="40" t="n"/>
      <c r="V1339" s="40" t="n"/>
      <c r="W1339" s="40" t="n"/>
      <c r="X1339" s="40" t="n"/>
      <c r="Y1339" s="40" t="n"/>
      <c r="Z1339" s="40" t="n"/>
      <c r="AA1339" s="39" t="n"/>
    </row>
    <row r="1340">
      <c r="A1340" s="7" t="n"/>
      <c r="B1340" s="7" t="n"/>
      <c r="C1340" s="39" t="n"/>
      <c r="D1340" s="39" t="n"/>
      <c r="E1340" s="7" t="n"/>
      <c r="F1340" s="7" t="n"/>
      <c r="G1340" s="7" t="n"/>
      <c r="H1340" s="39" t="n"/>
      <c r="I1340" s="39" t="n"/>
      <c r="J1340" s="39" t="n"/>
      <c r="K1340" s="39" t="n"/>
      <c r="L1340" s="39" t="n"/>
      <c r="M1340" s="7" t="n"/>
      <c r="N1340" s="7" t="n"/>
      <c r="O1340" s="40" t="n"/>
      <c r="P1340" s="40" t="n"/>
      <c r="Q1340" s="40" t="n"/>
      <c r="R1340" s="40" t="n"/>
      <c r="S1340" s="40" t="n"/>
      <c r="T1340" s="40" t="n"/>
      <c r="U1340" s="40" t="n"/>
      <c r="V1340" s="40" t="n"/>
      <c r="W1340" s="40" t="n"/>
      <c r="X1340" s="40" t="n"/>
      <c r="Y1340" s="40" t="n"/>
      <c r="Z1340" s="40" t="n"/>
      <c r="AA1340" s="39" t="n"/>
    </row>
    <row r="1341">
      <c r="A1341" s="7" t="n"/>
      <c r="B1341" s="7" t="n"/>
      <c r="C1341" s="39" t="n"/>
      <c r="D1341" s="39" t="n"/>
      <c r="E1341" s="7" t="n"/>
      <c r="F1341" s="7" t="n"/>
      <c r="G1341" s="7" t="n"/>
      <c r="H1341" s="39" t="n"/>
      <c r="I1341" s="39" t="n"/>
      <c r="J1341" s="39" t="n"/>
      <c r="K1341" s="39" t="n"/>
      <c r="L1341" s="39" t="n"/>
      <c r="M1341" s="7" t="n"/>
      <c r="N1341" s="7" t="n"/>
      <c r="O1341" s="40" t="n"/>
      <c r="P1341" s="40" t="n"/>
      <c r="Q1341" s="40" t="n"/>
      <c r="R1341" s="40" t="n"/>
      <c r="S1341" s="40" t="n"/>
      <c r="T1341" s="40" t="n"/>
      <c r="U1341" s="40" t="n"/>
      <c r="V1341" s="40" t="n"/>
      <c r="W1341" s="40" t="n"/>
      <c r="X1341" s="40" t="n"/>
      <c r="Y1341" s="40" t="n"/>
      <c r="Z1341" s="40" t="n"/>
      <c r="AA1341" s="39" t="n"/>
    </row>
    <row r="1342">
      <c r="A1342" s="7" t="n"/>
      <c r="B1342" s="7" t="n"/>
      <c r="C1342" s="39" t="n"/>
      <c r="D1342" s="39" t="n"/>
      <c r="E1342" s="7" t="n"/>
      <c r="F1342" s="7" t="n"/>
      <c r="G1342" s="7" t="n"/>
      <c r="H1342" s="39" t="n"/>
      <c r="I1342" s="39" t="n"/>
      <c r="J1342" s="39" t="n"/>
      <c r="K1342" s="39" t="n"/>
      <c r="L1342" s="39" t="n"/>
      <c r="M1342" s="7" t="n"/>
      <c r="N1342" s="7" t="n"/>
      <c r="O1342" s="40" t="n"/>
      <c r="P1342" s="40" t="n"/>
      <c r="Q1342" s="40" t="n"/>
      <c r="R1342" s="40" t="n"/>
      <c r="S1342" s="40" t="n"/>
      <c r="T1342" s="40" t="n"/>
      <c r="U1342" s="40" t="n"/>
      <c r="V1342" s="40" t="n"/>
      <c r="W1342" s="40" t="n"/>
      <c r="X1342" s="40" t="n"/>
      <c r="Y1342" s="40" t="n"/>
      <c r="Z1342" s="40" t="n"/>
      <c r="AA1342" s="39" t="n"/>
    </row>
    <row r="1343">
      <c r="A1343" s="7" t="n"/>
      <c r="B1343" s="7" t="n"/>
      <c r="C1343" s="39" t="n"/>
      <c r="D1343" s="39" t="n"/>
      <c r="E1343" s="7" t="n"/>
      <c r="F1343" s="7" t="n"/>
      <c r="G1343" s="7" t="n"/>
      <c r="H1343" s="39" t="n"/>
      <c r="I1343" s="39" t="n"/>
      <c r="J1343" s="39" t="n"/>
      <c r="K1343" s="39" t="n"/>
      <c r="L1343" s="39" t="n"/>
      <c r="M1343" s="7" t="n"/>
      <c r="N1343" s="7" t="n"/>
      <c r="O1343" s="40" t="n"/>
      <c r="P1343" s="40" t="n"/>
      <c r="Q1343" s="40" t="n"/>
      <c r="R1343" s="40" t="n"/>
      <c r="S1343" s="40" t="n"/>
      <c r="T1343" s="40" t="n"/>
      <c r="U1343" s="40" t="n"/>
      <c r="V1343" s="40" t="n"/>
      <c r="W1343" s="40" t="n"/>
      <c r="X1343" s="40" t="n"/>
      <c r="Y1343" s="40" t="n"/>
      <c r="Z1343" s="40" t="n"/>
      <c r="AA1343" s="39" t="n"/>
    </row>
    <row r="1344">
      <c r="A1344" s="7" t="n"/>
      <c r="B1344" s="7" t="n"/>
      <c r="C1344" s="39" t="n"/>
      <c r="D1344" s="39" t="n"/>
      <c r="E1344" s="7" t="n"/>
      <c r="F1344" s="7" t="n"/>
      <c r="G1344" s="7" t="n"/>
      <c r="H1344" s="39" t="n"/>
      <c r="I1344" s="39" t="n"/>
      <c r="J1344" s="39" t="n"/>
      <c r="K1344" s="39" t="n"/>
      <c r="L1344" s="39" t="n"/>
      <c r="M1344" s="7" t="n"/>
      <c r="N1344" s="7" t="n"/>
      <c r="O1344" s="40" t="n"/>
      <c r="P1344" s="40" t="n"/>
      <c r="Q1344" s="40" t="n"/>
      <c r="R1344" s="40" t="n"/>
      <c r="S1344" s="40" t="n"/>
      <c r="T1344" s="40" t="n"/>
      <c r="U1344" s="40" t="n"/>
      <c r="V1344" s="40" t="n"/>
      <c r="W1344" s="40" t="n"/>
      <c r="X1344" s="40" t="n"/>
      <c r="Y1344" s="40" t="n"/>
      <c r="Z1344" s="40" t="n"/>
      <c r="AA1344" s="39" t="n"/>
    </row>
    <row r="1345">
      <c r="A1345" s="7" t="n"/>
      <c r="B1345" s="7" t="n"/>
      <c r="C1345" s="39" t="n"/>
      <c r="D1345" s="39" t="n"/>
      <c r="E1345" s="7" t="n"/>
      <c r="F1345" s="7" t="n"/>
      <c r="G1345" s="7" t="n"/>
      <c r="H1345" s="39" t="n"/>
      <c r="I1345" s="39" t="n"/>
      <c r="J1345" s="39" t="n"/>
      <c r="K1345" s="39" t="n"/>
      <c r="L1345" s="39" t="n"/>
      <c r="M1345" s="7" t="n"/>
      <c r="N1345" s="7" t="n"/>
      <c r="O1345" s="40" t="n"/>
      <c r="P1345" s="40" t="n"/>
      <c r="Q1345" s="40" t="n"/>
      <c r="R1345" s="40" t="n"/>
      <c r="S1345" s="40" t="n"/>
      <c r="T1345" s="40" t="n"/>
      <c r="U1345" s="40" t="n"/>
      <c r="V1345" s="40" t="n"/>
      <c r="W1345" s="40" t="n"/>
      <c r="X1345" s="40" t="n"/>
      <c r="Y1345" s="40" t="n"/>
      <c r="Z1345" s="40" t="n"/>
      <c r="AA1345" s="39" t="n"/>
    </row>
    <row r="1346">
      <c r="A1346" s="7" t="n"/>
      <c r="B1346" s="7" t="n"/>
      <c r="C1346" s="39" t="n"/>
      <c r="D1346" s="39" t="n"/>
      <c r="E1346" s="7" t="n"/>
      <c r="F1346" s="7" t="n"/>
      <c r="G1346" s="7" t="n"/>
      <c r="H1346" s="39" t="n"/>
      <c r="I1346" s="39" t="n"/>
      <c r="J1346" s="39" t="n"/>
      <c r="K1346" s="39" t="n"/>
      <c r="L1346" s="39" t="n"/>
      <c r="M1346" s="7" t="n"/>
      <c r="N1346" s="7" t="n"/>
      <c r="O1346" s="40" t="n"/>
      <c r="P1346" s="40" t="n"/>
      <c r="Q1346" s="40" t="n"/>
      <c r="R1346" s="40" t="n"/>
      <c r="S1346" s="40" t="n"/>
      <c r="T1346" s="40" t="n"/>
      <c r="U1346" s="40" t="n"/>
      <c r="V1346" s="40" t="n"/>
      <c r="W1346" s="40" t="n"/>
      <c r="X1346" s="40" t="n"/>
      <c r="Y1346" s="40" t="n"/>
      <c r="Z1346" s="40" t="n"/>
      <c r="AA1346" s="39" t="n"/>
    </row>
    <row r="1347">
      <c r="A1347" s="7" t="n"/>
      <c r="B1347" s="7" t="n"/>
      <c r="C1347" s="39" t="n"/>
      <c r="D1347" s="39" t="n"/>
      <c r="E1347" s="7" t="n"/>
      <c r="F1347" s="7" t="n"/>
      <c r="G1347" s="7" t="n"/>
      <c r="H1347" s="39" t="n"/>
      <c r="I1347" s="39" t="n"/>
      <c r="J1347" s="39" t="n"/>
      <c r="K1347" s="39" t="n"/>
      <c r="L1347" s="39" t="n"/>
      <c r="M1347" s="7" t="n"/>
      <c r="N1347" s="7" t="n"/>
      <c r="O1347" s="40" t="n"/>
      <c r="P1347" s="40" t="n"/>
      <c r="Q1347" s="40" t="n"/>
      <c r="R1347" s="40" t="n"/>
      <c r="S1347" s="40" t="n"/>
      <c r="T1347" s="40" t="n"/>
      <c r="U1347" s="40" t="n"/>
      <c r="V1347" s="40" t="n"/>
      <c r="W1347" s="40" t="n"/>
      <c r="X1347" s="40" t="n"/>
      <c r="Y1347" s="40" t="n"/>
      <c r="Z1347" s="40" t="n"/>
      <c r="AA1347" s="39" t="n"/>
    </row>
    <row r="1348">
      <c r="A1348" s="7" t="n"/>
      <c r="B1348" s="7" t="n"/>
      <c r="C1348" s="39" t="n"/>
      <c r="D1348" s="39" t="n"/>
      <c r="E1348" s="7" t="n"/>
      <c r="F1348" s="7" t="n"/>
      <c r="G1348" s="7" t="n"/>
      <c r="H1348" s="39" t="n"/>
      <c r="I1348" s="39" t="n"/>
      <c r="J1348" s="39" t="n"/>
      <c r="K1348" s="39" t="n"/>
      <c r="L1348" s="39" t="n"/>
      <c r="M1348" s="7" t="n"/>
      <c r="N1348" s="7" t="n"/>
      <c r="O1348" s="40" t="n"/>
      <c r="P1348" s="40" t="n"/>
      <c r="Q1348" s="40" t="n"/>
      <c r="R1348" s="40" t="n"/>
      <c r="S1348" s="40" t="n"/>
      <c r="T1348" s="40" t="n"/>
      <c r="U1348" s="40" t="n"/>
      <c r="V1348" s="40" t="n"/>
      <c r="W1348" s="40" t="n"/>
      <c r="X1348" s="40" t="n"/>
      <c r="Y1348" s="40" t="n"/>
      <c r="Z1348" s="40" t="n"/>
      <c r="AA1348" s="39" t="n"/>
    </row>
    <row r="1349">
      <c r="A1349" s="7" t="n"/>
      <c r="B1349" s="7" t="n"/>
      <c r="C1349" s="39" t="n"/>
      <c r="D1349" s="39" t="n"/>
      <c r="E1349" s="7" t="n"/>
      <c r="F1349" s="7" t="n"/>
      <c r="G1349" s="7" t="n"/>
      <c r="H1349" s="39" t="n"/>
      <c r="I1349" s="39" t="n"/>
      <c r="J1349" s="39" t="n"/>
      <c r="K1349" s="39" t="n"/>
      <c r="L1349" s="39" t="n"/>
      <c r="M1349" s="7" t="n"/>
      <c r="N1349" s="7" t="n"/>
      <c r="O1349" s="40" t="n"/>
      <c r="P1349" s="40" t="n"/>
      <c r="Q1349" s="40" t="n"/>
      <c r="R1349" s="40" t="n"/>
      <c r="S1349" s="40" t="n"/>
      <c r="T1349" s="40" t="n"/>
      <c r="U1349" s="40" t="n"/>
      <c r="V1349" s="40" t="n"/>
      <c r="W1349" s="40" t="n"/>
      <c r="X1349" s="40" t="n"/>
      <c r="Y1349" s="40" t="n"/>
      <c r="Z1349" s="40" t="n"/>
      <c r="AA1349" s="39" t="n"/>
    </row>
    <row r="1350">
      <c r="A1350" s="7" t="n"/>
      <c r="B1350" s="7" t="n"/>
      <c r="C1350" s="39" t="n"/>
      <c r="D1350" s="39" t="n"/>
      <c r="E1350" s="7" t="n"/>
      <c r="F1350" s="7" t="n"/>
      <c r="G1350" s="7" t="n"/>
      <c r="H1350" s="39" t="n"/>
      <c r="I1350" s="39" t="n"/>
      <c r="J1350" s="39" t="n"/>
      <c r="K1350" s="39" t="n"/>
      <c r="L1350" s="39" t="n"/>
      <c r="M1350" s="7" t="n"/>
      <c r="N1350" s="7" t="n"/>
      <c r="O1350" s="40" t="n"/>
      <c r="P1350" s="40" t="n"/>
      <c r="Q1350" s="40" t="n"/>
      <c r="R1350" s="40" t="n"/>
      <c r="S1350" s="40" t="n"/>
      <c r="T1350" s="40" t="n"/>
      <c r="U1350" s="40" t="n"/>
      <c r="V1350" s="40" t="n"/>
      <c r="W1350" s="40" t="n"/>
      <c r="X1350" s="40" t="n"/>
      <c r="Y1350" s="40" t="n"/>
      <c r="Z1350" s="40" t="n"/>
      <c r="AA1350" s="39" t="n"/>
    </row>
    <row r="1351">
      <c r="A1351" s="7" t="n"/>
      <c r="B1351" s="7" t="n"/>
      <c r="C1351" s="39" t="n"/>
      <c r="D1351" s="39" t="n"/>
      <c r="E1351" s="7" t="n"/>
      <c r="F1351" s="7" t="n"/>
      <c r="G1351" s="7" t="n"/>
      <c r="H1351" s="39" t="n"/>
      <c r="I1351" s="39" t="n"/>
      <c r="J1351" s="39" t="n"/>
      <c r="K1351" s="39" t="n"/>
      <c r="L1351" s="39" t="n"/>
      <c r="M1351" s="7" t="n"/>
      <c r="N1351" s="7" t="n"/>
      <c r="O1351" s="40" t="n"/>
      <c r="P1351" s="40" t="n"/>
      <c r="Q1351" s="40" t="n"/>
      <c r="R1351" s="40" t="n"/>
      <c r="S1351" s="40" t="n"/>
      <c r="T1351" s="40" t="n"/>
      <c r="U1351" s="40" t="n"/>
      <c r="V1351" s="40" t="n"/>
      <c r="W1351" s="40" t="n"/>
      <c r="X1351" s="40" t="n"/>
      <c r="Y1351" s="40" t="n"/>
      <c r="Z1351" s="40" t="n"/>
      <c r="AA1351" s="39" t="n"/>
    </row>
    <row r="1352">
      <c r="A1352" s="7" t="n"/>
      <c r="B1352" s="7" t="n"/>
      <c r="C1352" s="39" t="n"/>
      <c r="D1352" s="39" t="n"/>
      <c r="E1352" s="7" t="n"/>
      <c r="F1352" s="7" t="n"/>
      <c r="G1352" s="7" t="n"/>
      <c r="H1352" s="39" t="n"/>
      <c r="I1352" s="39" t="n"/>
      <c r="J1352" s="39" t="n"/>
      <c r="K1352" s="39" t="n"/>
      <c r="L1352" s="39" t="n"/>
      <c r="M1352" s="7" t="n"/>
      <c r="N1352" s="7" t="n"/>
      <c r="O1352" s="40" t="n"/>
      <c r="P1352" s="40" t="n"/>
      <c r="Q1352" s="40" t="n"/>
      <c r="R1352" s="40" t="n"/>
      <c r="S1352" s="40" t="n"/>
      <c r="T1352" s="40" t="n"/>
      <c r="U1352" s="40" t="n"/>
      <c r="V1352" s="40" t="n"/>
      <c r="W1352" s="40" t="n"/>
      <c r="X1352" s="40" t="n"/>
      <c r="Y1352" s="40" t="n"/>
      <c r="Z1352" s="40" t="n"/>
      <c r="AA1352" s="39" t="n"/>
    </row>
    <row r="1353">
      <c r="A1353" s="7" t="n"/>
      <c r="B1353" s="7" t="n"/>
      <c r="C1353" s="39" t="n"/>
      <c r="D1353" s="39" t="n"/>
      <c r="E1353" s="7" t="n"/>
      <c r="F1353" s="7" t="n"/>
      <c r="G1353" s="7" t="n"/>
      <c r="H1353" s="39" t="n"/>
      <c r="I1353" s="39" t="n"/>
      <c r="J1353" s="39" t="n"/>
      <c r="K1353" s="39" t="n"/>
      <c r="L1353" s="39" t="n"/>
      <c r="M1353" s="7" t="n"/>
      <c r="N1353" s="7" t="n"/>
      <c r="O1353" s="40" t="n"/>
      <c r="P1353" s="40" t="n"/>
      <c r="Q1353" s="40" t="n"/>
      <c r="R1353" s="40" t="n"/>
      <c r="S1353" s="40" t="n"/>
      <c r="T1353" s="40" t="n"/>
      <c r="U1353" s="40" t="n"/>
      <c r="V1353" s="40" t="n"/>
      <c r="W1353" s="40" t="n"/>
      <c r="X1353" s="40" t="n"/>
      <c r="Y1353" s="40" t="n"/>
      <c r="Z1353" s="40" t="n"/>
      <c r="AA1353" s="39" t="n"/>
    </row>
    <row r="1354">
      <c r="A1354" s="7" t="n"/>
      <c r="B1354" s="7" t="n"/>
      <c r="C1354" s="39" t="n"/>
      <c r="D1354" s="39" t="n"/>
      <c r="E1354" s="7" t="n"/>
      <c r="F1354" s="7" t="n"/>
      <c r="G1354" s="7" t="n"/>
      <c r="H1354" s="39" t="n"/>
      <c r="I1354" s="39" t="n"/>
      <c r="J1354" s="39" t="n"/>
      <c r="K1354" s="39" t="n"/>
      <c r="L1354" s="39" t="n"/>
      <c r="M1354" s="7" t="n"/>
      <c r="N1354" s="7" t="n"/>
      <c r="O1354" s="40" t="n"/>
      <c r="P1354" s="40" t="n"/>
      <c r="Q1354" s="40" t="n"/>
      <c r="R1354" s="40" t="n"/>
      <c r="S1354" s="40" t="n"/>
      <c r="T1354" s="40" t="n"/>
      <c r="U1354" s="40" t="n"/>
      <c r="V1354" s="40" t="n"/>
      <c r="W1354" s="40" t="n"/>
      <c r="X1354" s="40" t="n"/>
      <c r="Y1354" s="40" t="n"/>
      <c r="Z1354" s="40" t="n"/>
      <c r="AA1354" s="39" t="n"/>
    </row>
    <row r="1355">
      <c r="A1355" s="7" t="n"/>
      <c r="B1355" s="7" t="n"/>
      <c r="C1355" s="39" t="n"/>
      <c r="D1355" s="39" t="n"/>
      <c r="E1355" s="7" t="n"/>
      <c r="F1355" s="7" t="n"/>
      <c r="G1355" s="7" t="n"/>
      <c r="H1355" s="39" t="n"/>
      <c r="I1355" s="39" t="n"/>
      <c r="J1355" s="39" t="n"/>
      <c r="K1355" s="39" t="n"/>
      <c r="L1355" s="39" t="n"/>
      <c r="M1355" s="7" t="n"/>
      <c r="N1355" s="7" t="n"/>
      <c r="O1355" s="40" t="n"/>
      <c r="P1355" s="40" t="n"/>
      <c r="Q1355" s="40" t="n"/>
      <c r="R1355" s="40" t="n"/>
      <c r="S1355" s="40" t="n"/>
      <c r="T1355" s="40" t="n"/>
      <c r="U1355" s="40" t="n"/>
      <c r="V1355" s="40" t="n"/>
      <c r="W1355" s="40" t="n"/>
      <c r="X1355" s="40" t="n"/>
      <c r="Y1355" s="40" t="n"/>
      <c r="Z1355" s="40" t="n"/>
      <c r="AA1355" s="39" t="n"/>
    </row>
    <row r="1356">
      <c r="A1356" s="7" t="n"/>
      <c r="B1356" s="7" t="n"/>
      <c r="C1356" s="39" t="n"/>
      <c r="D1356" s="39" t="n"/>
      <c r="E1356" s="7" t="n"/>
      <c r="F1356" s="7" t="n"/>
      <c r="G1356" s="7" t="n"/>
      <c r="H1356" s="39" t="n"/>
      <c r="I1356" s="39" t="n"/>
      <c r="J1356" s="39" t="n"/>
      <c r="K1356" s="39" t="n"/>
      <c r="L1356" s="39" t="n"/>
      <c r="M1356" s="7" t="n"/>
      <c r="N1356" s="7" t="n"/>
      <c r="O1356" s="40" t="n"/>
      <c r="P1356" s="40" t="n"/>
      <c r="Q1356" s="40" t="n"/>
      <c r="R1356" s="40" t="n"/>
      <c r="S1356" s="40" t="n"/>
      <c r="T1356" s="40" t="n"/>
      <c r="U1356" s="40" t="n"/>
      <c r="V1356" s="40" t="n"/>
      <c r="W1356" s="40" t="n"/>
      <c r="X1356" s="40" t="n"/>
      <c r="Y1356" s="40" t="n"/>
      <c r="Z1356" s="40" t="n"/>
      <c r="AA1356" s="39" t="n"/>
    </row>
    <row r="1357">
      <c r="A1357" s="7" t="n"/>
      <c r="B1357" s="7" t="n"/>
      <c r="C1357" s="39" t="n"/>
      <c r="D1357" s="39" t="n"/>
      <c r="E1357" s="7" t="n"/>
      <c r="F1357" s="7" t="n"/>
      <c r="G1357" s="7" t="n"/>
      <c r="H1357" s="39" t="n"/>
      <c r="I1357" s="39" t="n"/>
      <c r="J1357" s="39" t="n"/>
      <c r="K1357" s="39" t="n"/>
      <c r="L1357" s="39" t="n"/>
      <c r="M1357" s="7" t="n"/>
      <c r="N1357" s="7" t="n"/>
      <c r="O1357" s="40" t="n"/>
      <c r="P1357" s="40" t="n"/>
      <c r="Q1357" s="40" t="n"/>
      <c r="R1357" s="40" t="n"/>
      <c r="S1357" s="40" t="n"/>
      <c r="T1357" s="40" t="n"/>
      <c r="U1357" s="40" t="n"/>
      <c r="V1357" s="40" t="n"/>
      <c r="W1357" s="40" t="n"/>
      <c r="X1357" s="40" t="n"/>
      <c r="Y1357" s="40" t="n"/>
      <c r="Z1357" s="40" t="n"/>
      <c r="AA1357" s="39" t="n"/>
    </row>
    <row r="1358">
      <c r="A1358" s="7" t="n"/>
      <c r="B1358" s="7" t="n"/>
      <c r="C1358" s="39" t="n"/>
      <c r="D1358" s="39" t="n"/>
      <c r="E1358" s="7" t="n"/>
      <c r="F1358" s="7" t="n"/>
      <c r="G1358" s="7" t="n"/>
      <c r="H1358" s="39" t="n"/>
      <c r="I1358" s="39" t="n"/>
      <c r="J1358" s="39" t="n"/>
      <c r="K1358" s="39" t="n"/>
      <c r="L1358" s="39" t="n"/>
      <c r="M1358" s="7" t="n"/>
      <c r="N1358" s="7" t="n"/>
      <c r="O1358" s="40" t="n"/>
      <c r="P1358" s="40" t="n"/>
      <c r="Q1358" s="40" t="n"/>
      <c r="R1358" s="40" t="n"/>
      <c r="S1358" s="40" t="n"/>
      <c r="T1358" s="40" t="n"/>
      <c r="U1358" s="40" t="n"/>
      <c r="V1358" s="40" t="n"/>
      <c r="W1358" s="40" t="n"/>
      <c r="X1358" s="40" t="n"/>
      <c r="Y1358" s="40" t="n"/>
      <c r="Z1358" s="40" t="n"/>
      <c r="AA1358" s="39" t="n"/>
    </row>
    <row r="1359">
      <c r="A1359" s="7" t="n"/>
      <c r="B1359" s="7" t="n"/>
      <c r="C1359" s="39" t="n"/>
      <c r="D1359" s="39" t="n"/>
      <c r="E1359" s="7" t="n"/>
      <c r="F1359" s="7" t="n"/>
      <c r="G1359" s="7" t="n"/>
      <c r="H1359" s="39" t="n"/>
      <c r="I1359" s="39" t="n"/>
      <c r="J1359" s="39" t="n"/>
      <c r="K1359" s="39" t="n"/>
      <c r="L1359" s="39" t="n"/>
      <c r="M1359" s="7" t="n"/>
      <c r="N1359" s="7" t="n"/>
      <c r="O1359" s="40" t="n"/>
      <c r="P1359" s="40" t="n"/>
      <c r="Q1359" s="40" t="n"/>
      <c r="R1359" s="40" t="n"/>
      <c r="S1359" s="40" t="n"/>
      <c r="T1359" s="40" t="n"/>
      <c r="U1359" s="40" t="n"/>
      <c r="V1359" s="40" t="n"/>
      <c r="W1359" s="40" t="n"/>
      <c r="X1359" s="40" t="n"/>
      <c r="Y1359" s="40" t="n"/>
      <c r="Z1359" s="40" t="n"/>
      <c r="AA1359" s="39" t="n"/>
    </row>
    <row r="1360">
      <c r="A1360" s="7" t="n"/>
      <c r="B1360" s="7" t="n"/>
      <c r="C1360" s="39" t="n"/>
      <c r="D1360" s="39" t="n"/>
      <c r="E1360" s="7" t="n"/>
      <c r="F1360" s="7" t="n"/>
      <c r="G1360" s="7" t="n"/>
      <c r="H1360" s="39" t="n"/>
      <c r="I1360" s="39" t="n"/>
      <c r="J1360" s="39" t="n"/>
      <c r="K1360" s="39" t="n"/>
      <c r="L1360" s="39" t="n"/>
      <c r="M1360" s="7" t="n"/>
      <c r="N1360" s="7" t="n"/>
      <c r="O1360" s="40" t="n"/>
      <c r="P1360" s="40" t="n"/>
      <c r="Q1360" s="40" t="n"/>
      <c r="R1360" s="40" t="n"/>
      <c r="S1360" s="40" t="n"/>
      <c r="T1360" s="40" t="n"/>
      <c r="U1360" s="40" t="n"/>
      <c r="V1360" s="40" t="n"/>
      <c r="W1360" s="40" t="n"/>
      <c r="X1360" s="40" t="n"/>
      <c r="Y1360" s="40" t="n"/>
      <c r="Z1360" s="40" t="n"/>
      <c r="AA1360" s="39" t="n"/>
    </row>
    <row r="1361">
      <c r="A1361" s="7" t="n"/>
      <c r="B1361" s="7" t="n"/>
      <c r="C1361" s="39" t="n"/>
      <c r="D1361" s="39" t="n"/>
      <c r="E1361" s="7" t="n"/>
      <c r="F1361" s="7" t="n"/>
      <c r="G1361" s="7" t="n"/>
      <c r="H1361" s="39" t="n"/>
      <c r="I1361" s="39" t="n"/>
      <c r="J1361" s="39" t="n"/>
      <c r="K1361" s="39" t="n"/>
      <c r="L1361" s="39" t="n"/>
      <c r="M1361" s="7" t="n"/>
      <c r="N1361" s="7" t="n"/>
      <c r="O1361" s="40" t="n"/>
      <c r="P1361" s="40" t="n"/>
      <c r="Q1361" s="40" t="n"/>
      <c r="R1361" s="40" t="n"/>
      <c r="S1361" s="40" t="n"/>
      <c r="T1361" s="40" t="n"/>
      <c r="U1361" s="40" t="n"/>
      <c r="V1361" s="40" t="n"/>
      <c r="W1361" s="40" t="n"/>
      <c r="X1361" s="40" t="n"/>
      <c r="Y1361" s="40" t="n"/>
      <c r="Z1361" s="40" t="n"/>
      <c r="AA1361" s="39" t="n"/>
    </row>
    <row r="1362">
      <c r="A1362" s="7" t="n"/>
      <c r="B1362" s="7" t="n"/>
      <c r="C1362" s="39" t="n"/>
      <c r="D1362" s="39" t="n"/>
      <c r="E1362" s="7" t="n"/>
      <c r="F1362" s="7" t="n"/>
      <c r="G1362" s="7" t="n"/>
      <c r="H1362" s="39" t="n"/>
      <c r="I1362" s="39" t="n"/>
      <c r="J1362" s="39" t="n"/>
      <c r="K1362" s="39" t="n"/>
      <c r="L1362" s="39" t="n"/>
      <c r="M1362" s="7" t="n"/>
      <c r="N1362" s="7" t="n"/>
      <c r="O1362" s="40" t="n"/>
      <c r="P1362" s="40" t="n"/>
      <c r="Q1362" s="40" t="n"/>
      <c r="R1362" s="40" t="n"/>
      <c r="S1362" s="40" t="n"/>
      <c r="T1362" s="40" t="n"/>
      <c r="U1362" s="40" t="n"/>
      <c r="V1362" s="40" t="n"/>
      <c r="W1362" s="40" t="n"/>
      <c r="X1362" s="40" t="n"/>
      <c r="Y1362" s="40" t="n"/>
      <c r="Z1362" s="40" t="n"/>
      <c r="AA1362" s="39" t="n"/>
    </row>
    <row r="1363">
      <c r="A1363" s="7" t="n"/>
      <c r="B1363" s="7" t="n"/>
      <c r="C1363" s="39" t="n"/>
      <c r="D1363" s="39" t="n"/>
      <c r="E1363" s="7" t="n"/>
      <c r="F1363" s="7" t="n"/>
      <c r="G1363" s="7" t="n"/>
      <c r="H1363" s="39" t="n"/>
      <c r="I1363" s="39" t="n"/>
      <c r="J1363" s="39" t="n"/>
      <c r="K1363" s="39" t="n"/>
      <c r="L1363" s="39" t="n"/>
      <c r="M1363" s="7" t="n"/>
      <c r="N1363" s="7" t="n"/>
      <c r="O1363" s="40" t="n"/>
      <c r="P1363" s="40" t="n"/>
      <c r="Q1363" s="40" t="n"/>
      <c r="R1363" s="40" t="n"/>
      <c r="S1363" s="40" t="n"/>
      <c r="T1363" s="40" t="n"/>
      <c r="U1363" s="40" t="n"/>
      <c r="V1363" s="40" t="n"/>
      <c r="W1363" s="40" t="n"/>
      <c r="X1363" s="40" t="n"/>
      <c r="Y1363" s="40" t="n"/>
      <c r="Z1363" s="40" t="n"/>
      <c r="AA1363" s="39" t="n"/>
    </row>
    <row r="1364">
      <c r="A1364" s="7" t="n"/>
      <c r="B1364" s="7" t="n"/>
      <c r="C1364" s="39" t="n"/>
      <c r="D1364" s="39" t="n"/>
      <c r="E1364" s="7" t="n"/>
      <c r="F1364" s="7" t="n"/>
      <c r="G1364" s="7" t="n"/>
      <c r="H1364" s="39" t="n"/>
      <c r="I1364" s="39" t="n"/>
      <c r="J1364" s="39" t="n"/>
      <c r="K1364" s="39" t="n"/>
      <c r="L1364" s="39" t="n"/>
      <c r="M1364" s="7" t="n"/>
      <c r="N1364" s="7" t="n"/>
      <c r="O1364" s="40" t="n"/>
      <c r="P1364" s="40" t="n"/>
      <c r="Q1364" s="40" t="n"/>
      <c r="R1364" s="40" t="n"/>
      <c r="S1364" s="40" t="n"/>
      <c r="T1364" s="40" t="n"/>
      <c r="U1364" s="40" t="n"/>
      <c r="V1364" s="40" t="n"/>
      <c r="W1364" s="40" t="n"/>
      <c r="X1364" s="40" t="n"/>
      <c r="Y1364" s="40" t="n"/>
      <c r="Z1364" s="40" t="n"/>
      <c r="AA1364" s="39" t="n"/>
    </row>
    <row r="1365">
      <c r="A1365" s="7" t="n"/>
      <c r="B1365" s="7" t="n"/>
      <c r="C1365" s="39" t="n"/>
      <c r="D1365" s="39" t="n"/>
      <c r="E1365" s="7" t="n"/>
      <c r="F1365" s="7" t="n"/>
      <c r="G1365" s="7" t="n"/>
      <c r="H1365" s="39" t="n"/>
      <c r="I1365" s="39" t="n"/>
      <c r="J1365" s="39" t="n"/>
      <c r="K1365" s="39" t="n"/>
      <c r="L1365" s="39" t="n"/>
      <c r="M1365" s="7" t="n"/>
      <c r="N1365" s="7" t="n"/>
      <c r="O1365" s="40" t="n"/>
      <c r="P1365" s="40" t="n"/>
      <c r="Q1365" s="40" t="n"/>
      <c r="R1365" s="40" t="n"/>
      <c r="S1365" s="40" t="n"/>
      <c r="T1365" s="40" t="n"/>
      <c r="U1365" s="40" t="n"/>
      <c r="V1365" s="40" t="n"/>
      <c r="W1365" s="40" t="n"/>
      <c r="X1365" s="40" t="n"/>
      <c r="Y1365" s="40" t="n"/>
      <c r="Z1365" s="40" t="n"/>
      <c r="AA1365" s="39" t="n"/>
    </row>
    <row r="1366">
      <c r="A1366" s="7" t="n"/>
      <c r="B1366" s="7" t="n"/>
      <c r="C1366" s="39" t="n"/>
      <c r="D1366" s="39" t="n"/>
      <c r="E1366" s="7" t="n"/>
      <c r="F1366" s="7" t="n"/>
      <c r="G1366" s="7" t="n"/>
      <c r="H1366" s="39" t="n"/>
      <c r="I1366" s="39" t="n"/>
      <c r="J1366" s="39" t="n"/>
      <c r="K1366" s="39" t="n"/>
      <c r="L1366" s="39" t="n"/>
      <c r="M1366" s="7" t="n"/>
      <c r="N1366" s="7" t="n"/>
      <c r="O1366" s="40" t="n"/>
      <c r="P1366" s="40" t="n"/>
      <c r="Q1366" s="40" t="n"/>
      <c r="R1366" s="40" t="n"/>
      <c r="S1366" s="40" t="n"/>
      <c r="T1366" s="40" t="n"/>
      <c r="U1366" s="40" t="n"/>
      <c r="V1366" s="40" t="n"/>
      <c r="W1366" s="40" t="n"/>
      <c r="X1366" s="40" t="n"/>
      <c r="Y1366" s="40" t="n"/>
      <c r="Z1366" s="40" t="n"/>
      <c r="AA1366" s="39" t="n"/>
    </row>
    <row r="1367">
      <c r="A1367" s="7" t="n"/>
      <c r="B1367" s="7" t="n"/>
      <c r="C1367" s="39" t="n"/>
      <c r="D1367" s="39" t="n"/>
      <c r="E1367" s="7" t="n"/>
      <c r="F1367" s="7" t="n"/>
      <c r="G1367" s="7" t="n"/>
      <c r="H1367" s="39" t="n"/>
      <c r="I1367" s="39" t="n"/>
      <c r="J1367" s="39" t="n"/>
      <c r="K1367" s="39" t="n"/>
      <c r="L1367" s="39" t="n"/>
      <c r="M1367" s="7" t="n"/>
      <c r="N1367" s="7" t="n"/>
      <c r="O1367" s="40" t="n"/>
      <c r="P1367" s="40" t="n"/>
      <c r="Q1367" s="40" t="n"/>
      <c r="R1367" s="40" t="n"/>
      <c r="S1367" s="40" t="n"/>
      <c r="T1367" s="40" t="n"/>
      <c r="U1367" s="40" t="n"/>
      <c r="V1367" s="40" t="n"/>
      <c r="W1367" s="40" t="n"/>
      <c r="X1367" s="40" t="n"/>
      <c r="Y1367" s="40" t="n"/>
      <c r="Z1367" s="40" t="n"/>
      <c r="AA1367" s="39" t="n"/>
    </row>
    <row r="1368">
      <c r="A1368" s="7" t="n"/>
      <c r="B1368" s="7" t="n"/>
      <c r="C1368" s="39" t="n"/>
      <c r="D1368" s="39" t="n"/>
      <c r="E1368" s="7" t="n"/>
      <c r="F1368" s="7" t="n"/>
      <c r="G1368" s="7" t="n"/>
      <c r="H1368" s="39" t="n"/>
      <c r="I1368" s="39" t="n"/>
      <c r="J1368" s="39" t="n"/>
      <c r="K1368" s="39" t="n"/>
      <c r="L1368" s="39" t="n"/>
      <c r="M1368" s="7" t="n"/>
      <c r="N1368" s="7" t="n"/>
      <c r="O1368" s="40" t="n"/>
      <c r="P1368" s="40" t="n"/>
      <c r="Q1368" s="40" t="n"/>
      <c r="R1368" s="40" t="n"/>
      <c r="S1368" s="40" t="n"/>
      <c r="T1368" s="40" t="n"/>
      <c r="U1368" s="40" t="n"/>
      <c r="V1368" s="40" t="n"/>
      <c r="W1368" s="40" t="n"/>
      <c r="X1368" s="40" t="n"/>
      <c r="Y1368" s="40" t="n"/>
      <c r="Z1368" s="40" t="n"/>
      <c r="AA1368" s="39" t="n"/>
    </row>
    <row r="1369">
      <c r="A1369" s="7" t="n"/>
      <c r="B1369" s="7" t="n"/>
      <c r="C1369" s="39" t="n"/>
      <c r="D1369" s="39" t="n"/>
      <c r="E1369" s="7" t="n"/>
      <c r="F1369" s="7" t="n"/>
      <c r="G1369" s="7" t="n"/>
      <c r="H1369" s="39" t="n"/>
      <c r="I1369" s="39" t="n"/>
      <c r="J1369" s="39" t="n"/>
      <c r="K1369" s="39" t="n"/>
      <c r="L1369" s="39" t="n"/>
      <c r="M1369" s="7" t="n"/>
      <c r="N1369" s="7" t="n"/>
      <c r="O1369" s="40" t="n"/>
      <c r="P1369" s="40" t="n"/>
      <c r="Q1369" s="40" t="n"/>
      <c r="R1369" s="40" t="n"/>
      <c r="S1369" s="40" t="n"/>
      <c r="T1369" s="40" t="n"/>
      <c r="U1369" s="40" t="n"/>
      <c r="V1369" s="40" t="n"/>
      <c r="W1369" s="40" t="n"/>
      <c r="X1369" s="40" t="n"/>
      <c r="Y1369" s="40" t="n"/>
      <c r="Z1369" s="40" t="n"/>
      <c r="AA1369" s="39" t="n"/>
    </row>
    <row r="1370">
      <c r="A1370" s="7" t="n"/>
      <c r="B1370" s="7" t="n"/>
      <c r="C1370" s="39" t="n"/>
      <c r="D1370" s="39" t="n"/>
      <c r="E1370" s="7" t="n"/>
      <c r="F1370" s="7" t="n"/>
      <c r="G1370" s="7" t="n"/>
      <c r="H1370" s="39" t="n"/>
      <c r="I1370" s="39" t="n"/>
      <c r="J1370" s="39" t="n"/>
      <c r="K1370" s="39" t="n"/>
      <c r="L1370" s="39" t="n"/>
      <c r="M1370" s="7" t="n"/>
      <c r="N1370" s="7" t="n"/>
      <c r="O1370" s="40" t="n"/>
      <c r="P1370" s="40" t="n"/>
      <c r="Q1370" s="40" t="n"/>
      <c r="R1370" s="40" t="n"/>
      <c r="S1370" s="40" t="n"/>
      <c r="T1370" s="40" t="n"/>
      <c r="U1370" s="40" t="n"/>
      <c r="V1370" s="40" t="n"/>
      <c r="W1370" s="40" t="n"/>
      <c r="X1370" s="40" t="n"/>
      <c r="Y1370" s="40" t="n"/>
      <c r="Z1370" s="40" t="n"/>
      <c r="AA1370" s="39" t="n"/>
    </row>
    <row r="1371">
      <c r="A1371" s="7" t="n"/>
      <c r="B1371" s="7" t="n"/>
      <c r="C1371" s="39" t="n"/>
      <c r="D1371" s="39" t="n"/>
      <c r="E1371" s="7" t="n"/>
      <c r="F1371" s="7" t="n"/>
      <c r="G1371" s="7" t="n"/>
      <c r="H1371" s="39" t="n"/>
      <c r="I1371" s="39" t="n"/>
      <c r="J1371" s="39" t="n"/>
      <c r="K1371" s="39" t="n"/>
      <c r="L1371" s="39" t="n"/>
      <c r="M1371" s="7" t="n"/>
      <c r="N1371" s="7" t="n"/>
      <c r="O1371" s="40" t="n"/>
      <c r="P1371" s="40" t="n"/>
      <c r="Q1371" s="40" t="n"/>
      <c r="R1371" s="40" t="n"/>
      <c r="S1371" s="40" t="n"/>
      <c r="T1371" s="40" t="n"/>
      <c r="U1371" s="40" t="n"/>
      <c r="V1371" s="40" t="n"/>
      <c r="W1371" s="40" t="n"/>
      <c r="X1371" s="40" t="n"/>
      <c r="Y1371" s="40" t="n"/>
      <c r="Z1371" s="40" t="n"/>
      <c r="AA1371" s="39" t="n"/>
    </row>
    <row r="1372">
      <c r="A1372" s="7" t="n"/>
      <c r="B1372" s="7" t="n"/>
      <c r="C1372" s="39" t="n"/>
      <c r="D1372" s="39" t="n"/>
      <c r="E1372" s="7" t="n"/>
      <c r="F1372" s="7" t="n"/>
      <c r="G1372" s="7" t="n"/>
      <c r="H1372" s="39" t="n"/>
      <c r="I1372" s="39" t="n"/>
      <c r="J1372" s="39" t="n"/>
      <c r="K1372" s="39" t="n"/>
      <c r="L1372" s="39" t="n"/>
      <c r="M1372" s="7" t="n"/>
      <c r="N1372" s="7" t="n"/>
      <c r="O1372" s="40" t="n"/>
      <c r="P1372" s="40" t="n"/>
      <c r="Q1372" s="40" t="n"/>
      <c r="R1372" s="40" t="n"/>
      <c r="S1372" s="40" t="n"/>
      <c r="T1372" s="40" t="n"/>
      <c r="U1372" s="40" t="n"/>
      <c r="V1372" s="40" t="n"/>
      <c r="W1372" s="40" t="n"/>
      <c r="X1372" s="40" t="n"/>
      <c r="Y1372" s="40" t="n"/>
      <c r="Z1372" s="40" t="n"/>
      <c r="AA1372" s="39" t="n"/>
    </row>
    <row r="1373">
      <c r="A1373" s="7" t="n"/>
      <c r="B1373" s="7" t="n"/>
      <c r="C1373" s="39" t="n"/>
      <c r="D1373" s="39" t="n"/>
      <c r="E1373" s="7" t="n"/>
      <c r="F1373" s="7" t="n"/>
      <c r="G1373" s="7" t="n"/>
      <c r="H1373" s="39" t="n"/>
      <c r="I1373" s="39" t="n"/>
      <c r="J1373" s="39" t="n"/>
      <c r="K1373" s="39" t="n"/>
      <c r="L1373" s="39" t="n"/>
      <c r="M1373" s="7" t="n"/>
      <c r="N1373" s="7" t="n"/>
      <c r="O1373" s="40" t="n"/>
      <c r="P1373" s="40" t="n"/>
      <c r="Q1373" s="40" t="n"/>
      <c r="R1373" s="40" t="n"/>
      <c r="S1373" s="40" t="n"/>
      <c r="T1373" s="40" t="n"/>
      <c r="U1373" s="40" t="n"/>
      <c r="V1373" s="40" t="n"/>
      <c r="W1373" s="40" t="n"/>
      <c r="X1373" s="40" t="n"/>
      <c r="Y1373" s="40" t="n"/>
      <c r="Z1373" s="40" t="n"/>
      <c r="AA1373" s="39" t="n"/>
    </row>
    <row r="1374">
      <c r="A1374" s="7" t="n"/>
      <c r="B1374" s="7" t="n"/>
      <c r="C1374" s="39" t="n"/>
      <c r="D1374" s="39" t="n"/>
      <c r="E1374" s="7" t="n"/>
      <c r="F1374" s="7" t="n"/>
      <c r="G1374" s="7" t="n"/>
      <c r="H1374" s="39" t="n"/>
      <c r="I1374" s="39" t="n"/>
      <c r="J1374" s="39" t="n"/>
      <c r="K1374" s="39" t="n"/>
      <c r="L1374" s="39" t="n"/>
      <c r="M1374" s="7" t="n"/>
      <c r="N1374" s="7" t="n"/>
      <c r="O1374" s="40" t="n"/>
      <c r="P1374" s="40" t="n"/>
      <c r="Q1374" s="40" t="n"/>
      <c r="R1374" s="40" t="n"/>
      <c r="S1374" s="40" t="n"/>
      <c r="T1374" s="40" t="n"/>
      <c r="U1374" s="40" t="n"/>
      <c r="V1374" s="40" t="n"/>
      <c r="W1374" s="40" t="n"/>
      <c r="X1374" s="40" t="n"/>
      <c r="Y1374" s="40" t="n"/>
      <c r="Z1374" s="40" t="n"/>
      <c r="AA1374" s="39" t="n"/>
    </row>
    <row r="1375">
      <c r="A1375" s="7" t="n"/>
      <c r="B1375" s="7" t="n"/>
      <c r="C1375" s="39" t="n"/>
      <c r="D1375" s="39" t="n"/>
      <c r="E1375" s="7" t="n"/>
      <c r="F1375" s="7" t="n"/>
      <c r="G1375" s="7" t="n"/>
      <c r="H1375" s="39" t="n"/>
      <c r="I1375" s="39" t="n"/>
      <c r="J1375" s="39" t="n"/>
      <c r="K1375" s="39" t="n"/>
      <c r="L1375" s="39" t="n"/>
      <c r="M1375" s="7" t="n"/>
      <c r="N1375" s="7" t="n"/>
      <c r="O1375" s="40" t="n"/>
      <c r="P1375" s="40" t="n"/>
      <c r="Q1375" s="40" t="n"/>
      <c r="R1375" s="40" t="n"/>
      <c r="S1375" s="40" t="n"/>
      <c r="T1375" s="40" t="n"/>
      <c r="U1375" s="40" t="n"/>
      <c r="V1375" s="40" t="n"/>
      <c r="W1375" s="40" t="n"/>
      <c r="X1375" s="40" t="n"/>
      <c r="Y1375" s="40" t="n"/>
      <c r="Z1375" s="40" t="n"/>
      <c r="AA1375" s="39" t="n"/>
    </row>
    <row r="1376">
      <c r="A1376" s="7" t="n"/>
      <c r="B1376" s="7" t="n"/>
      <c r="C1376" s="39" t="n"/>
      <c r="D1376" s="39" t="n"/>
      <c r="E1376" s="7" t="n"/>
      <c r="F1376" s="7" t="n"/>
      <c r="G1376" s="7" t="n"/>
      <c r="H1376" s="39" t="n"/>
      <c r="I1376" s="39" t="n"/>
      <c r="J1376" s="39" t="n"/>
      <c r="K1376" s="39" t="n"/>
      <c r="L1376" s="39" t="n"/>
      <c r="M1376" s="7" t="n"/>
      <c r="N1376" s="7" t="n"/>
      <c r="O1376" s="40" t="n"/>
      <c r="P1376" s="40" t="n"/>
      <c r="Q1376" s="40" t="n"/>
      <c r="R1376" s="40" t="n"/>
      <c r="S1376" s="40" t="n"/>
      <c r="T1376" s="40" t="n"/>
      <c r="U1376" s="40" t="n"/>
      <c r="V1376" s="40" t="n"/>
      <c r="W1376" s="40" t="n"/>
      <c r="X1376" s="40" t="n"/>
      <c r="Y1376" s="40" t="n"/>
      <c r="Z1376" s="40" t="n"/>
      <c r="AA1376" s="39" t="n"/>
    </row>
    <row r="1377">
      <c r="A1377" s="7" t="n"/>
      <c r="B1377" s="7" t="n"/>
      <c r="C1377" s="39" t="n"/>
      <c r="D1377" s="39" t="n"/>
      <c r="E1377" s="7" t="n"/>
      <c r="F1377" s="7" t="n"/>
      <c r="G1377" s="7" t="n"/>
      <c r="H1377" s="39" t="n"/>
      <c r="I1377" s="39" t="n"/>
      <c r="J1377" s="39" t="n"/>
      <c r="K1377" s="39" t="n"/>
      <c r="L1377" s="39" t="n"/>
      <c r="M1377" s="7" t="n"/>
      <c r="N1377" s="7" t="n"/>
      <c r="O1377" s="40" t="n"/>
      <c r="P1377" s="40" t="n"/>
      <c r="Q1377" s="40" t="n"/>
      <c r="R1377" s="40" t="n"/>
      <c r="S1377" s="40" t="n"/>
      <c r="T1377" s="40" t="n"/>
      <c r="U1377" s="40" t="n"/>
      <c r="V1377" s="40" t="n"/>
      <c r="W1377" s="40" t="n"/>
      <c r="X1377" s="40" t="n"/>
      <c r="Y1377" s="40" t="n"/>
      <c r="Z1377" s="40" t="n"/>
      <c r="AA1377" s="39" t="n"/>
    </row>
    <row r="1378">
      <c r="A1378" s="7" t="n"/>
      <c r="B1378" s="7" t="n"/>
      <c r="C1378" s="39" t="n"/>
      <c r="D1378" s="39" t="n"/>
      <c r="E1378" s="7" t="n"/>
      <c r="F1378" s="7" t="n"/>
      <c r="G1378" s="7" t="n"/>
      <c r="H1378" s="39" t="n"/>
      <c r="I1378" s="39" t="n"/>
      <c r="J1378" s="39" t="n"/>
      <c r="K1378" s="39" t="n"/>
      <c r="L1378" s="39" t="n"/>
      <c r="M1378" s="7" t="n"/>
      <c r="N1378" s="7" t="n"/>
      <c r="O1378" s="40" t="n"/>
      <c r="P1378" s="40" t="n"/>
      <c r="Q1378" s="40" t="n"/>
      <c r="R1378" s="40" t="n"/>
      <c r="S1378" s="40" t="n"/>
      <c r="T1378" s="40" t="n"/>
      <c r="U1378" s="40" t="n"/>
      <c r="V1378" s="40" t="n"/>
      <c r="W1378" s="40" t="n"/>
      <c r="X1378" s="40" t="n"/>
      <c r="Y1378" s="40" t="n"/>
      <c r="Z1378" s="40" t="n"/>
      <c r="AA1378" s="39" t="n"/>
    </row>
    <row r="1379">
      <c r="A1379" s="7" t="n"/>
      <c r="B1379" s="7" t="n"/>
      <c r="C1379" s="39" t="n"/>
      <c r="D1379" s="39" t="n"/>
      <c r="E1379" s="7" t="n"/>
      <c r="F1379" s="7" t="n"/>
      <c r="G1379" s="7" t="n"/>
      <c r="H1379" s="39" t="n"/>
      <c r="I1379" s="39" t="n"/>
      <c r="J1379" s="39" t="n"/>
      <c r="K1379" s="39" t="n"/>
      <c r="L1379" s="39" t="n"/>
      <c r="M1379" s="7" t="n"/>
      <c r="N1379" s="7" t="n"/>
      <c r="O1379" s="40" t="n"/>
      <c r="P1379" s="40" t="n"/>
      <c r="Q1379" s="40" t="n"/>
      <c r="R1379" s="40" t="n"/>
      <c r="S1379" s="40" t="n"/>
      <c r="T1379" s="40" t="n"/>
      <c r="U1379" s="40" t="n"/>
      <c r="V1379" s="40" t="n"/>
      <c r="W1379" s="40" t="n"/>
      <c r="X1379" s="40" t="n"/>
      <c r="Y1379" s="40" t="n"/>
      <c r="Z1379" s="40" t="n"/>
      <c r="AA1379" s="39" t="n"/>
    </row>
    <row r="1380">
      <c r="A1380" s="7" t="n"/>
      <c r="B1380" s="7" t="n"/>
      <c r="C1380" s="39" t="n"/>
      <c r="D1380" s="39" t="n"/>
      <c r="E1380" s="7" t="n"/>
      <c r="F1380" s="7" t="n"/>
      <c r="G1380" s="7" t="n"/>
      <c r="H1380" s="39" t="n"/>
      <c r="I1380" s="39" t="n"/>
      <c r="J1380" s="39" t="n"/>
      <c r="K1380" s="39" t="n"/>
      <c r="L1380" s="39" t="n"/>
      <c r="M1380" s="7" t="n"/>
      <c r="N1380" s="7" t="n"/>
      <c r="O1380" s="40" t="n"/>
      <c r="P1380" s="40" t="n"/>
      <c r="Q1380" s="40" t="n"/>
      <c r="R1380" s="40" t="n"/>
      <c r="S1380" s="40" t="n"/>
      <c r="T1380" s="40" t="n"/>
      <c r="U1380" s="40" t="n"/>
      <c r="V1380" s="40" t="n"/>
      <c r="W1380" s="40" t="n"/>
      <c r="X1380" s="40" t="n"/>
      <c r="Y1380" s="40" t="n"/>
      <c r="Z1380" s="40" t="n"/>
      <c r="AA1380" s="39" t="n"/>
    </row>
    <row r="1381">
      <c r="A1381" s="7" t="n"/>
      <c r="B1381" s="7" t="n"/>
      <c r="C1381" s="39" t="n"/>
      <c r="D1381" s="39" t="n"/>
      <c r="E1381" s="7" t="n"/>
      <c r="F1381" s="7" t="n"/>
      <c r="G1381" s="7" t="n"/>
      <c r="H1381" s="39" t="n"/>
      <c r="I1381" s="39" t="n"/>
      <c r="J1381" s="39" t="n"/>
      <c r="K1381" s="39" t="n"/>
      <c r="L1381" s="39" t="n"/>
      <c r="M1381" s="7" t="n"/>
      <c r="N1381" s="7" t="n"/>
      <c r="O1381" s="40" t="n"/>
      <c r="P1381" s="40" t="n"/>
      <c r="Q1381" s="40" t="n"/>
      <c r="R1381" s="40" t="n"/>
      <c r="S1381" s="40" t="n"/>
      <c r="T1381" s="40" t="n"/>
      <c r="U1381" s="40" t="n"/>
      <c r="V1381" s="40" t="n"/>
      <c r="W1381" s="40" t="n"/>
      <c r="X1381" s="40" t="n"/>
      <c r="Y1381" s="40" t="n"/>
      <c r="Z1381" s="40" t="n"/>
      <c r="AA1381" s="39" t="n"/>
    </row>
    <row r="1382">
      <c r="A1382" s="7" t="n"/>
      <c r="B1382" s="7" t="n"/>
      <c r="C1382" s="39" t="n"/>
      <c r="D1382" s="39" t="n"/>
      <c r="E1382" s="7" t="n"/>
      <c r="F1382" s="7" t="n"/>
      <c r="G1382" s="7" t="n"/>
      <c r="H1382" s="39" t="n"/>
      <c r="I1382" s="39" t="n"/>
      <c r="J1382" s="39" t="n"/>
      <c r="K1382" s="39" t="n"/>
      <c r="L1382" s="39" t="n"/>
      <c r="M1382" s="7" t="n"/>
      <c r="N1382" s="7" t="n"/>
      <c r="O1382" s="40" t="n"/>
      <c r="P1382" s="40" t="n"/>
      <c r="Q1382" s="40" t="n"/>
      <c r="R1382" s="40" t="n"/>
      <c r="S1382" s="40" t="n"/>
      <c r="T1382" s="40" t="n"/>
      <c r="U1382" s="40" t="n"/>
      <c r="V1382" s="40" t="n"/>
      <c r="W1382" s="40" t="n"/>
      <c r="X1382" s="40" t="n"/>
      <c r="Y1382" s="40" t="n"/>
      <c r="Z1382" s="40" t="n"/>
      <c r="AA1382" s="39" t="n"/>
    </row>
    <row r="1383">
      <c r="A1383" s="7" t="n"/>
      <c r="B1383" s="7" t="n"/>
      <c r="C1383" s="39" t="n"/>
      <c r="D1383" s="39" t="n"/>
      <c r="E1383" s="7" t="n"/>
      <c r="F1383" s="7" t="n"/>
      <c r="G1383" s="7" t="n"/>
      <c r="H1383" s="39" t="n"/>
      <c r="I1383" s="39" t="n"/>
      <c r="J1383" s="39" t="n"/>
      <c r="K1383" s="39" t="n"/>
      <c r="L1383" s="39" t="n"/>
      <c r="M1383" s="7" t="n"/>
      <c r="N1383" s="7" t="n"/>
      <c r="O1383" s="40" t="n"/>
      <c r="P1383" s="40" t="n"/>
      <c r="Q1383" s="40" t="n"/>
      <c r="R1383" s="40" t="n"/>
      <c r="S1383" s="40" t="n"/>
      <c r="T1383" s="40" t="n"/>
      <c r="U1383" s="40" t="n"/>
      <c r="V1383" s="40" t="n"/>
      <c r="W1383" s="40" t="n"/>
      <c r="X1383" s="40" t="n"/>
      <c r="Y1383" s="40" t="n"/>
      <c r="Z1383" s="40" t="n"/>
      <c r="AA1383" s="39" t="n"/>
    </row>
    <row r="1384">
      <c r="A1384" s="7" t="n"/>
      <c r="B1384" s="7" t="n"/>
      <c r="C1384" s="39" t="n"/>
      <c r="D1384" s="39" t="n"/>
      <c r="E1384" s="7" t="n"/>
      <c r="F1384" s="7" t="n"/>
      <c r="G1384" s="7" t="n"/>
      <c r="H1384" s="39" t="n"/>
      <c r="I1384" s="39" t="n"/>
      <c r="J1384" s="39" t="n"/>
      <c r="K1384" s="39" t="n"/>
      <c r="L1384" s="39" t="n"/>
      <c r="M1384" s="7" t="n"/>
      <c r="N1384" s="7" t="n"/>
      <c r="O1384" s="40" t="n"/>
      <c r="P1384" s="40" t="n"/>
      <c r="Q1384" s="40" t="n"/>
      <c r="R1384" s="40" t="n"/>
      <c r="S1384" s="40" t="n"/>
      <c r="T1384" s="40" t="n"/>
      <c r="U1384" s="40" t="n"/>
      <c r="V1384" s="40" t="n"/>
      <c r="W1384" s="40" t="n"/>
      <c r="X1384" s="40" t="n"/>
      <c r="Y1384" s="40" t="n"/>
      <c r="Z1384" s="40" t="n"/>
      <c r="AA1384" s="39" t="n"/>
    </row>
    <row r="1385">
      <c r="A1385" s="7" t="n"/>
      <c r="B1385" s="7" t="n"/>
      <c r="C1385" s="39" t="n"/>
      <c r="D1385" s="39" t="n"/>
      <c r="E1385" s="7" t="n"/>
      <c r="F1385" s="7" t="n"/>
      <c r="G1385" s="7" t="n"/>
      <c r="H1385" s="39" t="n"/>
      <c r="I1385" s="39" t="n"/>
      <c r="J1385" s="39" t="n"/>
      <c r="K1385" s="39" t="n"/>
      <c r="L1385" s="39" t="n"/>
      <c r="M1385" s="7" t="n"/>
      <c r="N1385" s="7" t="n"/>
      <c r="O1385" s="40" t="n"/>
      <c r="P1385" s="40" t="n"/>
      <c r="Q1385" s="40" t="n"/>
      <c r="R1385" s="40" t="n"/>
      <c r="S1385" s="40" t="n"/>
      <c r="T1385" s="40" t="n"/>
      <c r="U1385" s="40" t="n"/>
      <c r="V1385" s="40" t="n"/>
      <c r="W1385" s="40" t="n"/>
      <c r="X1385" s="40" t="n"/>
      <c r="Y1385" s="40" t="n"/>
      <c r="Z1385" s="40" t="n"/>
      <c r="AA1385" s="39" t="n"/>
    </row>
    <row r="1386">
      <c r="A1386" s="7" t="n"/>
      <c r="B1386" s="7" t="n"/>
      <c r="C1386" s="39" t="n"/>
      <c r="D1386" s="39" t="n"/>
      <c r="E1386" s="7" t="n"/>
      <c r="F1386" s="7" t="n"/>
      <c r="G1386" s="7" t="n"/>
      <c r="H1386" s="39" t="n"/>
      <c r="I1386" s="39" t="n"/>
      <c r="J1386" s="39" t="n"/>
      <c r="K1386" s="39" t="n"/>
      <c r="L1386" s="39" t="n"/>
      <c r="M1386" s="7" t="n"/>
      <c r="N1386" s="7" t="n"/>
      <c r="O1386" s="40" t="n"/>
      <c r="P1386" s="40" t="n"/>
      <c r="Q1386" s="40" t="n"/>
      <c r="R1386" s="40" t="n"/>
      <c r="S1386" s="40" t="n"/>
      <c r="T1386" s="40" t="n"/>
      <c r="U1386" s="40" t="n"/>
      <c r="V1386" s="40" t="n"/>
      <c r="W1386" s="40" t="n"/>
      <c r="X1386" s="40" t="n"/>
      <c r="Y1386" s="40" t="n"/>
      <c r="Z1386" s="40" t="n"/>
      <c r="AA1386" s="39" t="n"/>
    </row>
    <row r="1387">
      <c r="A1387" s="7" t="n"/>
      <c r="B1387" s="7" t="n"/>
      <c r="C1387" s="39" t="n"/>
      <c r="D1387" s="39" t="n"/>
      <c r="E1387" s="7" t="n"/>
      <c r="F1387" s="7" t="n"/>
      <c r="G1387" s="7" t="n"/>
      <c r="H1387" s="39" t="n"/>
      <c r="I1387" s="39" t="n"/>
      <c r="J1387" s="39" t="n"/>
      <c r="K1387" s="39" t="n"/>
      <c r="L1387" s="39" t="n"/>
      <c r="M1387" s="7" t="n"/>
      <c r="N1387" s="7" t="n"/>
      <c r="O1387" s="40" t="n"/>
      <c r="P1387" s="40" t="n"/>
      <c r="Q1387" s="40" t="n"/>
      <c r="R1387" s="40" t="n"/>
      <c r="S1387" s="40" t="n"/>
      <c r="T1387" s="40" t="n"/>
      <c r="U1387" s="40" t="n"/>
      <c r="V1387" s="40" t="n"/>
      <c r="W1387" s="40" t="n"/>
      <c r="X1387" s="40" t="n"/>
      <c r="Y1387" s="40" t="n"/>
      <c r="Z1387" s="40" t="n"/>
      <c r="AA1387" s="39" t="n"/>
    </row>
    <row r="1388">
      <c r="A1388" s="7" t="n"/>
      <c r="B1388" s="7" t="n"/>
      <c r="C1388" s="39" t="n"/>
      <c r="D1388" s="39" t="n"/>
      <c r="E1388" s="7" t="n"/>
      <c r="F1388" s="7" t="n"/>
      <c r="G1388" s="7" t="n"/>
      <c r="H1388" s="39" t="n"/>
      <c r="I1388" s="39" t="n"/>
      <c r="J1388" s="39" t="n"/>
      <c r="K1388" s="39" t="n"/>
      <c r="L1388" s="39" t="n"/>
      <c r="M1388" s="7" t="n"/>
      <c r="N1388" s="7" t="n"/>
      <c r="O1388" s="40" t="n"/>
      <c r="P1388" s="40" t="n"/>
      <c r="Q1388" s="40" t="n"/>
      <c r="R1388" s="40" t="n"/>
      <c r="S1388" s="40" t="n"/>
      <c r="T1388" s="40" t="n"/>
      <c r="U1388" s="40" t="n"/>
      <c r="V1388" s="40" t="n"/>
      <c r="W1388" s="40" t="n"/>
      <c r="X1388" s="40" t="n"/>
      <c r="Y1388" s="40" t="n"/>
      <c r="Z1388" s="40" t="n"/>
      <c r="AA1388" s="39" t="n"/>
    </row>
    <row r="1389">
      <c r="A1389" s="7" t="n"/>
      <c r="B1389" s="7" t="n"/>
      <c r="C1389" s="39" t="n"/>
      <c r="D1389" s="39" t="n"/>
      <c r="E1389" s="7" t="n"/>
      <c r="F1389" s="7" t="n"/>
      <c r="G1389" s="7" t="n"/>
      <c r="H1389" s="39" t="n"/>
      <c r="I1389" s="39" t="n"/>
      <c r="J1389" s="39" t="n"/>
      <c r="K1389" s="39" t="n"/>
      <c r="L1389" s="39" t="n"/>
      <c r="M1389" s="7" t="n"/>
      <c r="N1389" s="7" t="n"/>
      <c r="O1389" s="40" t="n"/>
      <c r="P1389" s="40" t="n"/>
      <c r="Q1389" s="40" t="n"/>
      <c r="R1389" s="40" t="n"/>
      <c r="S1389" s="40" t="n"/>
      <c r="T1389" s="40" t="n"/>
      <c r="U1389" s="40" t="n"/>
      <c r="V1389" s="40" t="n"/>
      <c r="W1389" s="40" t="n"/>
      <c r="X1389" s="40" t="n"/>
      <c r="Y1389" s="40" t="n"/>
      <c r="Z1389" s="40" t="n"/>
      <c r="AA1389" s="39" t="n"/>
    </row>
    <row r="1390">
      <c r="A1390" s="7" t="n"/>
      <c r="B1390" s="7" t="n"/>
      <c r="C1390" s="39" t="n"/>
      <c r="D1390" s="39" t="n"/>
      <c r="E1390" s="7" t="n"/>
      <c r="F1390" s="7" t="n"/>
      <c r="G1390" s="7" t="n"/>
      <c r="H1390" s="39" t="n"/>
      <c r="I1390" s="39" t="n"/>
      <c r="J1390" s="39" t="n"/>
      <c r="K1390" s="39" t="n"/>
      <c r="L1390" s="39" t="n"/>
      <c r="M1390" s="7" t="n"/>
      <c r="N1390" s="7" t="n"/>
      <c r="O1390" s="40" t="n"/>
      <c r="P1390" s="40" t="n"/>
      <c r="Q1390" s="40" t="n"/>
      <c r="R1390" s="40" t="n"/>
      <c r="S1390" s="40" t="n"/>
      <c r="T1390" s="40" t="n"/>
      <c r="U1390" s="40" t="n"/>
      <c r="V1390" s="40" t="n"/>
      <c r="W1390" s="40" t="n"/>
      <c r="X1390" s="40" t="n"/>
      <c r="Y1390" s="40" t="n"/>
      <c r="Z1390" s="40" t="n"/>
      <c r="AA1390" s="39" t="n"/>
    </row>
    <row r="1391">
      <c r="A1391" s="7" t="n"/>
      <c r="B1391" s="7" t="n"/>
      <c r="C1391" s="39" t="n"/>
      <c r="D1391" s="39" t="n"/>
      <c r="E1391" s="7" t="n"/>
      <c r="F1391" s="7" t="n"/>
      <c r="G1391" s="7" t="n"/>
      <c r="H1391" s="39" t="n"/>
      <c r="I1391" s="39" t="n"/>
      <c r="J1391" s="39" t="n"/>
      <c r="K1391" s="39" t="n"/>
      <c r="L1391" s="39" t="n"/>
      <c r="M1391" s="7" t="n"/>
      <c r="N1391" s="7" t="n"/>
      <c r="O1391" s="40" t="n"/>
      <c r="P1391" s="40" t="n"/>
      <c r="Q1391" s="40" t="n"/>
      <c r="R1391" s="40" t="n"/>
      <c r="S1391" s="40" t="n"/>
      <c r="T1391" s="40" t="n"/>
      <c r="U1391" s="40" t="n"/>
      <c r="V1391" s="40" t="n"/>
      <c r="W1391" s="40" t="n"/>
      <c r="X1391" s="40" t="n"/>
      <c r="Y1391" s="40" t="n"/>
      <c r="Z1391" s="40" t="n"/>
      <c r="AA1391" s="39" t="n"/>
    </row>
    <row r="1392">
      <c r="A1392" s="7" t="n"/>
      <c r="B1392" s="7" t="n"/>
      <c r="C1392" s="39" t="n"/>
      <c r="D1392" s="39" t="n"/>
      <c r="E1392" s="7" t="n"/>
      <c r="F1392" s="7" t="n"/>
      <c r="G1392" s="7" t="n"/>
      <c r="H1392" s="39" t="n"/>
      <c r="I1392" s="39" t="n"/>
      <c r="J1392" s="39" t="n"/>
      <c r="K1392" s="39" t="n"/>
      <c r="L1392" s="39" t="n"/>
      <c r="M1392" s="7" t="n"/>
      <c r="N1392" s="7" t="n"/>
      <c r="O1392" s="40" t="n"/>
      <c r="P1392" s="40" t="n"/>
      <c r="Q1392" s="40" t="n"/>
      <c r="R1392" s="40" t="n"/>
      <c r="S1392" s="40" t="n"/>
      <c r="T1392" s="40" t="n"/>
      <c r="U1392" s="40" t="n"/>
      <c r="V1392" s="40" t="n"/>
      <c r="W1392" s="40" t="n"/>
      <c r="X1392" s="40" t="n"/>
      <c r="Y1392" s="40" t="n"/>
      <c r="Z1392" s="40" t="n"/>
      <c r="AA1392" s="39" t="n"/>
    </row>
    <row r="1393">
      <c r="A1393" s="7" t="n"/>
      <c r="B1393" s="7" t="n"/>
      <c r="C1393" s="39" t="n"/>
      <c r="D1393" s="39" t="n"/>
      <c r="E1393" s="7" t="n"/>
      <c r="F1393" s="7" t="n"/>
      <c r="G1393" s="7" t="n"/>
      <c r="H1393" s="39" t="n"/>
      <c r="I1393" s="39" t="n"/>
      <c r="J1393" s="39" t="n"/>
      <c r="K1393" s="39" t="n"/>
      <c r="L1393" s="39" t="n"/>
      <c r="M1393" s="7" t="n"/>
      <c r="N1393" s="7" t="n"/>
      <c r="O1393" s="40" t="n"/>
      <c r="P1393" s="40" t="n"/>
      <c r="Q1393" s="40" t="n"/>
      <c r="R1393" s="40" t="n"/>
      <c r="S1393" s="40" t="n"/>
      <c r="T1393" s="40" t="n"/>
      <c r="U1393" s="40" t="n"/>
      <c r="V1393" s="40" t="n"/>
      <c r="W1393" s="40" t="n"/>
      <c r="X1393" s="40" t="n"/>
      <c r="Y1393" s="40" t="n"/>
      <c r="Z1393" s="40" t="n"/>
      <c r="AA1393" s="39" t="n"/>
    </row>
    <row r="1394">
      <c r="A1394" s="7" t="n"/>
      <c r="B1394" s="7" t="n"/>
      <c r="C1394" s="39" t="n"/>
      <c r="D1394" s="39" t="n"/>
      <c r="E1394" s="7" t="n"/>
      <c r="F1394" s="7" t="n"/>
      <c r="G1394" s="7" t="n"/>
      <c r="H1394" s="39" t="n"/>
      <c r="I1394" s="39" t="n"/>
      <c r="J1394" s="39" t="n"/>
      <c r="K1394" s="39" t="n"/>
      <c r="L1394" s="39" t="n"/>
      <c r="M1394" s="7" t="n"/>
      <c r="N1394" s="7" t="n"/>
      <c r="O1394" s="40" t="n"/>
      <c r="P1394" s="40" t="n"/>
      <c r="Q1394" s="40" t="n"/>
      <c r="R1394" s="40" t="n"/>
      <c r="S1394" s="40" t="n"/>
      <c r="T1394" s="40" t="n"/>
      <c r="U1394" s="40" t="n"/>
      <c r="V1394" s="40" t="n"/>
      <c r="W1394" s="40" t="n"/>
      <c r="X1394" s="40" t="n"/>
      <c r="Y1394" s="40" t="n"/>
      <c r="Z1394" s="40" t="n"/>
      <c r="AA1394" s="39" t="n"/>
    </row>
    <row r="1395">
      <c r="A1395" s="7" t="n"/>
      <c r="B1395" s="7" t="n"/>
      <c r="C1395" s="39" t="n"/>
      <c r="D1395" s="39" t="n"/>
      <c r="E1395" s="7" t="n"/>
      <c r="F1395" s="7" t="n"/>
      <c r="G1395" s="7" t="n"/>
      <c r="H1395" s="39" t="n"/>
      <c r="I1395" s="39" t="n"/>
      <c r="J1395" s="39" t="n"/>
      <c r="K1395" s="39" t="n"/>
      <c r="L1395" s="39" t="n"/>
      <c r="M1395" s="7" t="n"/>
      <c r="N1395" s="7" t="n"/>
      <c r="O1395" s="40" t="n"/>
      <c r="P1395" s="40" t="n"/>
      <c r="Q1395" s="40" t="n"/>
      <c r="R1395" s="40" t="n"/>
      <c r="S1395" s="40" t="n"/>
      <c r="T1395" s="40" t="n"/>
      <c r="U1395" s="40" t="n"/>
      <c r="V1395" s="40" t="n"/>
      <c r="W1395" s="40" t="n"/>
      <c r="X1395" s="40" t="n"/>
      <c r="Y1395" s="40" t="n"/>
      <c r="Z1395" s="40" t="n"/>
      <c r="AA1395" s="39" t="n"/>
    </row>
    <row r="1396">
      <c r="A1396" s="7" t="n"/>
      <c r="B1396" s="7" t="n"/>
      <c r="C1396" s="39" t="n"/>
      <c r="D1396" s="39" t="n"/>
      <c r="E1396" s="7" t="n"/>
      <c r="F1396" s="7" t="n"/>
      <c r="G1396" s="7" t="n"/>
      <c r="H1396" s="39" t="n"/>
      <c r="I1396" s="39" t="n"/>
      <c r="J1396" s="39" t="n"/>
      <c r="K1396" s="39" t="n"/>
      <c r="L1396" s="39" t="n"/>
      <c r="M1396" s="7" t="n"/>
      <c r="N1396" s="7" t="n"/>
      <c r="O1396" s="40" t="n"/>
      <c r="P1396" s="40" t="n"/>
      <c r="Q1396" s="40" t="n"/>
      <c r="R1396" s="40" t="n"/>
      <c r="S1396" s="40" t="n"/>
      <c r="T1396" s="40" t="n"/>
      <c r="U1396" s="40" t="n"/>
      <c r="V1396" s="40" t="n"/>
      <c r="W1396" s="40" t="n"/>
      <c r="X1396" s="40" t="n"/>
      <c r="Y1396" s="40" t="n"/>
      <c r="Z1396" s="40" t="n"/>
      <c r="AA1396" s="39" t="n"/>
    </row>
    <row r="1397">
      <c r="A1397" s="7" t="n"/>
      <c r="B1397" s="7" t="n"/>
      <c r="C1397" s="39" t="n"/>
      <c r="D1397" s="39" t="n"/>
      <c r="E1397" s="7" t="n"/>
      <c r="F1397" s="7" t="n"/>
      <c r="G1397" s="7" t="n"/>
      <c r="H1397" s="39" t="n"/>
      <c r="I1397" s="39" t="n"/>
      <c r="J1397" s="39" t="n"/>
      <c r="K1397" s="39" t="n"/>
      <c r="L1397" s="39" t="n"/>
      <c r="M1397" s="7" t="n"/>
      <c r="N1397" s="7" t="n"/>
      <c r="O1397" s="40" t="n"/>
      <c r="P1397" s="40" t="n"/>
      <c r="Q1397" s="40" t="n"/>
      <c r="R1397" s="40" t="n"/>
      <c r="S1397" s="40" t="n"/>
      <c r="T1397" s="40" t="n"/>
      <c r="U1397" s="40" t="n"/>
      <c r="V1397" s="40" t="n"/>
      <c r="W1397" s="40" t="n"/>
      <c r="X1397" s="40" t="n"/>
      <c r="Y1397" s="40" t="n"/>
      <c r="Z1397" s="40" t="n"/>
      <c r="AA1397" s="39" t="n"/>
    </row>
    <row r="1398">
      <c r="A1398" s="7" t="n"/>
      <c r="B1398" s="7" t="n"/>
      <c r="C1398" s="39" t="n"/>
      <c r="D1398" s="39" t="n"/>
      <c r="E1398" s="7" t="n"/>
      <c r="F1398" s="7" t="n"/>
      <c r="G1398" s="7" t="n"/>
      <c r="H1398" s="39" t="n"/>
      <c r="I1398" s="39" t="n"/>
      <c r="J1398" s="39" t="n"/>
      <c r="K1398" s="39" t="n"/>
      <c r="L1398" s="39" t="n"/>
      <c r="M1398" s="7" t="n"/>
      <c r="N1398" s="7" t="n"/>
      <c r="O1398" s="40" t="n"/>
      <c r="P1398" s="40" t="n"/>
      <c r="Q1398" s="40" t="n"/>
      <c r="R1398" s="40" t="n"/>
      <c r="S1398" s="40" t="n"/>
      <c r="T1398" s="40" t="n"/>
      <c r="U1398" s="40" t="n"/>
      <c r="V1398" s="40" t="n"/>
      <c r="W1398" s="40" t="n"/>
      <c r="X1398" s="40" t="n"/>
      <c r="Y1398" s="40" t="n"/>
      <c r="Z1398" s="40" t="n"/>
      <c r="AA1398" s="39" t="n"/>
    </row>
    <row r="1399">
      <c r="A1399" s="7" t="n"/>
      <c r="B1399" s="7" t="n"/>
      <c r="C1399" s="39" t="n"/>
      <c r="D1399" s="39" t="n"/>
      <c r="E1399" s="7" t="n"/>
      <c r="F1399" s="7" t="n"/>
      <c r="G1399" s="7" t="n"/>
      <c r="H1399" s="39" t="n"/>
      <c r="I1399" s="39" t="n"/>
      <c r="J1399" s="39" t="n"/>
      <c r="K1399" s="39" t="n"/>
      <c r="L1399" s="39" t="n"/>
      <c r="M1399" s="7" t="n"/>
      <c r="N1399" s="7" t="n"/>
      <c r="O1399" s="40" t="n"/>
      <c r="P1399" s="40" t="n"/>
      <c r="Q1399" s="40" t="n"/>
      <c r="R1399" s="40" t="n"/>
      <c r="S1399" s="40" t="n"/>
      <c r="T1399" s="40" t="n"/>
      <c r="U1399" s="40" t="n"/>
      <c r="V1399" s="40" t="n"/>
      <c r="W1399" s="40" t="n"/>
      <c r="X1399" s="40" t="n"/>
      <c r="Y1399" s="40" t="n"/>
      <c r="Z1399" s="40" t="n"/>
      <c r="AA1399" s="39" t="n"/>
    </row>
    <row r="1400">
      <c r="A1400" s="7" t="n"/>
      <c r="B1400" s="7" t="n"/>
      <c r="C1400" s="39" t="n"/>
      <c r="D1400" s="39" t="n"/>
      <c r="E1400" s="7" t="n"/>
      <c r="F1400" s="7" t="n"/>
      <c r="G1400" s="7" t="n"/>
      <c r="H1400" s="39" t="n"/>
      <c r="I1400" s="39" t="n"/>
      <c r="J1400" s="39" t="n"/>
      <c r="K1400" s="39" t="n"/>
      <c r="L1400" s="39" t="n"/>
      <c r="M1400" s="7" t="n"/>
      <c r="N1400" s="7" t="n"/>
      <c r="O1400" s="40" t="n"/>
      <c r="P1400" s="40" t="n"/>
      <c r="Q1400" s="40" t="n"/>
      <c r="R1400" s="40" t="n"/>
      <c r="S1400" s="40" t="n"/>
      <c r="T1400" s="40" t="n"/>
      <c r="U1400" s="40" t="n"/>
      <c r="V1400" s="40" t="n"/>
      <c r="W1400" s="40" t="n"/>
      <c r="X1400" s="40" t="n"/>
      <c r="Y1400" s="40" t="n"/>
      <c r="Z1400" s="40" t="n"/>
      <c r="AA1400" s="39" t="n"/>
    </row>
    <row r="1401">
      <c r="A1401" s="7" t="n"/>
      <c r="B1401" s="7" t="n"/>
      <c r="C1401" s="39" t="n"/>
      <c r="D1401" s="39" t="n"/>
      <c r="E1401" s="7" t="n"/>
      <c r="F1401" s="7" t="n"/>
      <c r="G1401" s="7" t="n"/>
      <c r="H1401" s="39" t="n"/>
      <c r="I1401" s="39" t="n"/>
      <c r="J1401" s="39" t="n"/>
      <c r="K1401" s="39" t="n"/>
      <c r="L1401" s="39" t="n"/>
      <c r="M1401" s="7" t="n"/>
      <c r="N1401" s="7" t="n"/>
      <c r="O1401" s="40" t="n"/>
      <c r="P1401" s="40" t="n"/>
      <c r="Q1401" s="40" t="n"/>
      <c r="R1401" s="40" t="n"/>
      <c r="S1401" s="40" t="n"/>
      <c r="T1401" s="40" t="n"/>
      <c r="U1401" s="40" t="n"/>
      <c r="V1401" s="40" t="n"/>
      <c r="W1401" s="40" t="n"/>
      <c r="X1401" s="40" t="n"/>
      <c r="Y1401" s="40" t="n"/>
      <c r="Z1401" s="40" t="n"/>
      <c r="AA1401" s="39" t="n"/>
    </row>
    <row r="1402">
      <c r="A1402" s="7" t="n"/>
      <c r="B1402" s="7" t="n"/>
      <c r="C1402" s="39" t="n"/>
      <c r="D1402" s="39" t="n"/>
      <c r="E1402" s="7" t="n"/>
      <c r="F1402" s="7" t="n"/>
      <c r="G1402" s="7" t="n"/>
      <c r="H1402" s="39" t="n"/>
      <c r="I1402" s="39" t="n"/>
      <c r="J1402" s="39" t="n"/>
      <c r="K1402" s="39" t="n"/>
      <c r="L1402" s="39" t="n"/>
      <c r="M1402" s="7" t="n"/>
      <c r="N1402" s="7" t="n"/>
      <c r="O1402" s="40" t="n"/>
      <c r="P1402" s="40" t="n"/>
      <c r="Q1402" s="40" t="n"/>
      <c r="R1402" s="40" t="n"/>
      <c r="S1402" s="40" t="n"/>
      <c r="T1402" s="40" t="n"/>
      <c r="U1402" s="40" t="n"/>
      <c r="V1402" s="40" t="n"/>
      <c r="W1402" s="40" t="n"/>
      <c r="X1402" s="40" t="n"/>
      <c r="Y1402" s="40" t="n"/>
      <c r="Z1402" s="40" t="n"/>
      <c r="AA1402" s="39" t="n"/>
    </row>
    <row r="1403">
      <c r="A1403" s="7" t="n"/>
      <c r="B1403" s="7" t="n"/>
      <c r="C1403" s="39" t="n"/>
      <c r="D1403" s="39" t="n"/>
      <c r="E1403" s="7" t="n"/>
      <c r="F1403" s="7" t="n"/>
      <c r="G1403" s="7" t="n"/>
      <c r="H1403" s="39" t="n"/>
      <c r="I1403" s="39" t="n"/>
      <c r="J1403" s="39" t="n"/>
      <c r="K1403" s="39" t="n"/>
      <c r="L1403" s="39" t="n"/>
      <c r="M1403" s="7" t="n"/>
      <c r="N1403" s="7" t="n"/>
      <c r="O1403" s="40" t="n"/>
      <c r="P1403" s="40" t="n"/>
      <c r="Q1403" s="40" t="n"/>
      <c r="R1403" s="40" t="n"/>
      <c r="S1403" s="40" t="n"/>
      <c r="T1403" s="40" t="n"/>
      <c r="U1403" s="40" t="n"/>
      <c r="V1403" s="40" t="n"/>
      <c r="W1403" s="40" t="n"/>
      <c r="X1403" s="40" t="n"/>
      <c r="Y1403" s="40" t="n"/>
      <c r="Z1403" s="40" t="n"/>
      <c r="AA1403" s="39" t="n"/>
    </row>
    <row r="1404">
      <c r="A1404" s="7" t="n"/>
      <c r="B1404" s="7" t="n"/>
      <c r="C1404" s="39" t="n"/>
      <c r="D1404" s="39" t="n"/>
      <c r="E1404" s="7" t="n"/>
      <c r="F1404" s="7" t="n"/>
      <c r="G1404" s="7" t="n"/>
      <c r="H1404" s="39" t="n"/>
      <c r="I1404" s="39" t="n"/>
      <c r="J1404" s="39" t="n"/>
      <c r="K1404" s="39" t="n"/>
      <c r="L1404" s="39" t="n"/>
      <c r="M1404" s="7" t="n"/>
      <c r="N1404" s="7" t="n"/>
      <c r="O1404" s="40" t="n"/>
      <c r="P1404" s="40" t="n"/>
      <c r="Q1404" s="40" t="n"/>
      <c r="R1404" s="40" t="n"/>
      <c r="S1404" s="40" t="n"/>
      <c r="T1404" s="40" t="n"/>
      <c r="U1404" s="40" t="n"/>
      <c r="V1404" s="40" t="n"/>
      <c r="W1404" s="40" t="n"/>
      <c r="X1404" s="40" t="n"/>
      <c r="Y1404" s="40" t="n"/>
      <c r="Z1404" s="40" t="n"/>
      <c r="AA1404" s="39" t="n"/>
    </row>
    <row r="1405">
      <c r="A1405" s="7" t="n"/>
      <c r="B1405" s="7" t="n"/>
      <c r="C1405" s="39" t="n"/>
      <c r="D1405" s="39" t="n"/>
      <c r="E1405" s="7" t="n"/>
      <c r="F1405" s="7" t="n"/>
      <c r="G1405" s="7" t="n"/>
      <c r="H1405" s="39" t="n"/>
      <c r="I1405" s="39" t="n"/>
      <c r="J1405" s="39" t="n"/>
      <c r="K1405" s="39" t="n"/>
      <c r="L1405" s="39" t="n"/>
      <c r="M1405" s="7" t="n"/>
      <c r="N1405" s="7" t="n"/>
      <c r="O1405" s="40" t="n"/>
      <c r="P1405" s="40" t="n"/>
      <c r="Q1405" s="40" t="n"/>
      <c r="R1405" s="40" t="n"/>
      <c r="S1405" s="40" t="n"/>
      <c r="T1405" s="40" t="n"/>
      <c r="U1405" s="40" t="n"/>
      <c r="V1405" s="40" t="n"/>
      <c r="W1405" s="40" t="n"/>
      <c r="X1405" s="40" t="n"/>
      <c r="Y1405" s="40" t="n"/>
      <c r="Z1405" s="40" t="n"/>
      <c r="AA1405" s="39" t="n"/>
    </row>
    <row r="1406">
      <c r="A1406" s="7" t="n"/>
      <c r="B1406" s="7" t="n"/>
      <c r="C1406" s="39" t="n"/>
      <c r="D1406" s="39" t="n"/>
      <c r="E1406" s="7" t="n"/>
      <c r="F1406" s="7" t="n"/>
      <c r="G1406" s="7" t="n"/>
      <c r="H1406" s="39" t="n"/>
      <c r="I1406" s="39" t="n"/>
      <c r="J1406" s="39" t="n"/>
      <c r="K1406" s="39" t="n"/>
      <c r="L1406" s="39" t="n"/>
      <c r="M1406" s="7" t="n"/>
      <c r="N1406" s="7" t="n"/>
      <c r="O1406" s="40" t="n"/>
      <c r="P1406" s="40" t="n"/>
      <c r="Q1406" s="40" t="n"/>
      <c r="R1406" s="40" t="n"/>
      <c r="S1406" s="40" t="n"/>
      <c r="T1406" s="40" t="n"/>
      <c r="U1406" s="40" t="n"/>
      <c r="V1406" s="40" t="n"/>
      <c r="W1406" s="40" t="n"/>
      <c r="X1406" s="40" t="n"/>
      <c r="Y1406" s="40" t="n"/>
      <c r="Z1406" s="40" t="n"/>
      <c r="AA1406" s="39" t="n"/>
    </row>
    <row r="1407">
      <c r="A1407" s="7" t="n"/>
      <c r="B1407" s="7" t="n"/>
      <c r="C1407" s="39" t="n"/>
      <c r="D1407" s="39" t="n"/>
      <c r="E1407" s="7" t="n"/>
      <c r="F1407" s="7" t="n"/>
      <c r="G1407" s="7" t="n"/>
      <c r="H1407" s="39" t="n"/>
      <c r="I1407" s="39" t="n"/>
      <c r="J1407" s="39" t="n"/>
      <c r="K1407" s="39" t="n"/>
      <c r="L1407" s="39" t="n"/>
      <c r="M1407" s="7" t="n"/>
      <c r="N1407" s="7" t="n"/>
      <c r="O1407" s="40" t="n"/>
      <c r="P1407" s="40" t="n"/>
      <c r="Q1407" s="40" t="n"/>
      <c r="R1407" s="40" t="n"/>
      <c r="S1407" s="40" t="n"/>
      <c r="T1407" s="40" t="n"/>
      <c r="U1407" s="40" t="n"/>
      <c r="V1407" s="40" t="n"/>
      <c r="W1407" s="40" t="n"/>
      <c r="X1407" s="40" t="n"/>
      <c r="Y1407" s="40" t="n"/>
      <c r="Z1407" s="40" t="n"/>
      <c r="AA1407" s="39" t="n"/>
    </row>
    <row r="1408">
      <c r="A1408" s="7" t="n"/>
      <c r="B1408" s="7" t="n"/>
      <c r="C1408" s="39" t="n"/>
      <c r="D1408" s="39" t="n"/>
      <c r="E1408" s="7" t="n"/>
      <c r="F1408" s="7" t="n"/>
      <c r="G1408" s="7" t="n"/>
      <c r="H1408" s="39" t="n"/>
      <c r="I1408" s="39" t="n"/>
      <c r="J1408" s="39" t="n"/>
      <c r="K1408" s="39" t="n"/>
      <c r="L1408" s="39" t="n"/>
      <c r="M1408" s="7" t="n"/>
      <c r="N1408" s="7" t="n"/>
      <c r="O1408" s="40" t="n"/>
      <c r="P1408" s="40" t="n"/>
      <c r="Q1408" s="40" t="n"/>
      <c r="R1408" s="40" t="n"/>
      <c r="S1408" s="40" t="n"/>
      <c r="T1408" s="40" t="n"/>
      <c r="U1408" s="40" t="n"/>
      <c r="V1408" s="40" t="n"/>
      <c r="W1408" s="40" t="n"/>
      <c r="X1408" s="40" t="n"/>
      <c r="Y1408" s="40" t="n"/>
      <c r="Z1408" s="40" t="n"/>
      <c r="AA1408" s="39" t="n"/>
    </row>
    <row r="1409">
      <c r="A1409" s="7" t="n"/>
      <c r="B1409" s="7" t="n"/>
      <c r="C1409" s="39" t="n"/>
      <c r="D1409" s="39" t="n"/>
      <c r="E1409" s="7" t="n"/>
      <c r="F1409" s="7" t="n"/>
      <c r="G1409" s="7" t="n"/>
      <c r="H1409" s="39" t="n"/>
      <c r="I1409" s="39" t="n"/>
      <c r="J1409" s="39" t="n"/>
      <c r="K1409" s="39" t="n"/>
      <c r="L1409" s="39" t="n"/>
      <c r="M1409" s="7" t="n"/>
      <c r="N1409" s="7" t="n"/>
      <c r="O1409" s="40" t="n"/>
      <c r="P1409" s="40" t="n"/>
      <c r="Q1409" s="40" t="n"/>
      <c r="R1409" s="40" t="n"/>
      <c r="S1409" s="40" t="n"/>
      <c r="T1409" s="40" t="n"/>
      <c r="U1409" s="40" t="n"/>
      <c r="V1409" s="40" t="n"/>
      <c r="W1409" s="40" t="n"/>
      <c r="X1409" s="40" t="n"/>
      <c r="Y1409" s="40" t="n"/>
      <c r="Z1409" s="40" t="n"/>
      <c r="AA1409" s="39" t="n"/>
    </row>
    <row r="1410">
      <c r="A1410" s="7" t="n"/>
      <c r="B1410" s="7" t="n"/>
      <c r="C1410" s="39" t="n"/>
      <c r="D1410" s="39" t="n"/>
      <c r="E1410" s="7" t="n"/>
      <c r="F1410" s="7" t="n"/>
      <c r="G1410" s="7" t="n"/>
      <c r="H1410" s="39" t="n"/>
      <c r="I1410" s="39" t="n"/>
      <c r="J1410" s="39" t="n"/>
      <c r="K1410" s="39" t="n"/>
      <c r="L1410" s="39" t="n"/>
      <c r="M1410" s="7" t="n"/>
      <c r="N1410" s="7" t="n"/>
      <c r="O1410" s="40" t="n"/>
      <c r="P1410" s="40" t="n"/>
      <c r="Q1410" s="40" t="n"/>
      <c r="R1410" s="40" t="n"/>
      <c r="S1410" s="40" t="n"/>
      <c r="T1410" s="40" t="n"/>
      <c r="U1410" s="40" t="n"/>
      <c r="V1410" s="40" t="n"/>
      <c r="W1410" s="40" t="n"/>
      <c r="X1410" s="40" t="n"/>
      <c r="Y1410" s="40" t="n"/>
      <c r="Z1410" s="40" t="n"/>
      <c r="AA1410" s="39" t="n"/>
    </row>
    <row r="1411">
      <c r="A1411" s="7" t="n"/>
      <c r="B1411" s="7" t="n"/>
      <c r="C1411" s="39" t="n"/>
      <c r="D1411" s="39" t="n"/>
      <c r="E1411" s="7" t="n"/>
      <c r="F1411" s="7" t="n"/>
      <c r="G1411" s="7" t="n"/>
      <c r="H1411" s="39" t="n"/>
      <c r="I1411" s="39" t="n"/>
      <c r="J1411" s="39" t="n"/>
      <c r="K1411" s="39" t="n"/>
      <c r="L1411" s="39" t="n"/>
      <c r="M1411" s="7" t="n"/>
      <c r="N1411" s="7" t="n"/>
      <c r="O1411" s="40" t="n"/>
      <c r="P1411" s="40" t="n"/>
      <c r="Q1411" s="40" t="n"/>
      <c r="R1411" s="40" t="n"/>
      <c r="S1411" s="40" t="n"/>
      <c r="T1411" s="40" t="n"/>
      <c r="U1411" s="40" t="n"/>
      <c r="V1411" s="40" t="n"/>
      <c r="W1411" s="40" t="n"/>
      <c r="X1411" s="40" t="n"/>
      <c r="Y1411" s="40" t="n"/>
      <c r="Z1411" s="40" t="n"/>
      <c r="AA1411" s="39" t="n"/>
    </row>
    <row r="1412">
      <c r="A1412" s="7" t="n"/>
      <c r="B1412" s="7" t="n"/>
      <c r="C1412" s="39" t="n"/>
      <c r="D1412" s="39" t="n"/>
      <c r="E1412" s="7" t="n"/>
      <c r="F1412" s="7" t="n"/>
      <c r="G1412" s="7" t="n"/>
      <c r="H1412" s="39" t="n"/>
      <c r="I1412" s="39" t="n"/>
      <c r="J1412" s="39" t="n"/>
      <c r="K1412" s="39" t="n"/>
      <c r="L1412" s="39" t="n"/>
      <c r="M1412" s="7" t="n"/>
      <c r="N1412" s="7" t="n"/>
      <c r="O1412" s="40" t="n"/>
      <c r="P1412" s="40" t="n"/>
      <c r="Q1412" s="40" t="n"/>
      <c r="R1412" s="40" t="n"/>
      <c r="S1412" s="40" t="n"/>
      <c r="T1412" s="40" t="n"/>
      <c r="U1412" s="40" t="n"/>
      <c r="V1412" s="40" t="n"/>
      <c r="W1412" s="40" t="n"/>
      <c r="X1412" s="40" t="n"/>
      <c r="Y1412" s="40" t="n"/>
      <c r="Z1412" s="40" t="n"/>
      <c r="AA1412" s="39" t="n"/>
    </row>
    <row r="1413">
      <c r="A1413" s="7" t="n"/>
      <c r="B1413" s="7" t="n"/>
      <c r="C1413" s="39" t="n"/>
      <c r="D1413" s="39" t="n"/>
      <c r="E1413" s="7" t="n"/>
      <c r="F1413" s="7" t="n"/>
      <c r="G1413" s="7" t="n"/>
      <c r="H1413" s="39" t="n"/>
      <c r="I1413" s="39" t="n"/>
      <c r="J1413" s="39" t="n"/>
      <c r="K1413" s="39" t="n"/>
      <c r="L1413" s="39" t="n"/>
      <c r="M1413" s="7" t="n"/>
      <c r="N1413" s="7" t="n"/>
      <c r="O1413" s="40" t="n"/>
      <c r="P1413" s="40" t="n"/>
      <c r="Q1413" s="40" t="n"/>
      <c r="R1413" s="40" t="n"/>
      <c r="S1413" s="40" t="n"/>
      <c r="T1413" s="40" t="n"/>
      <c r="U1413" s="40" t="n"/>
      <c r="V1413" s="40" t="n"/>
      <c r="W1413" s="40" t="n"/>
      <c r="X1413" s="40" t="n"/>
      <c r="Y1413" s="40" t="n"/>
      <c r="Z1413" s="40" t="n"/>
      <c r="AA1413" s="39" t="n"/>
    </row>
    <row r="1414">
      <c r="A1414" s="7" t="n"/>
      <c r="B1414" s="7" t="n"/>
      <c r="C1414" s="39" t="n"/>
      <c r="D1414" s="39" t="n"/>
      <c r="E1414" s="7" t="n"/>
      <c r="F1414" s="7" t="n"/>
      <c r="G1414" s="7" t="n"/>
      <c r="H1414" s="39" t="n"/>
      <c r="I1414" s="39" t="n"/>
      <c r="J1414" s="39" t="n"/>
      <c r="K1414" s="39" t="n"/>
      <c r="L1414" s="39" t="n"/>
      <c r="M1414" s="7" t="n"/>
      <c r="N1414" s="7" t="n"/>
      <c r="O1414" s="40" t="n"/>
      <c r="P1414" s="40" t="n"/>
      <c r="Q1414" s="40" t="n"/>
      <c r="R1414" s="40" t="n"/>
      <c r="S1414" s="40" t="n"/>
      <c r="T1414" s="40" t="n"/>
      <c r="U1414" s="40" t="n"/>
      <c r="V1414" s="40" t="n"/>
      <c r="W1414" s="40" t="n"/>
      <c r="X1414" s="40" t="n"/>
      <c r="Y1414" s="40" t="n"/>
      <c r="Z1414" s="40" t="n"/>
      <c r="AA1414" s="39" t="n"/>
    </row>
    <row r="1415">
      <c r="A1415" s="7" t="n"/>
      <c r="B1415" s="7" t="n"/>
      <c r="C1415" s="39" t="n"/>
      <c r="D1415" s="39" t="n"/>
      <c r="E1415" s="7" t="n"/>
      <c r="F1415" s="7" t="n"/>
      <c r="G1415" s="7" t="n"/>
      <c r="H1415" s="39" t="n"/>
      <c r="I1415" s="39" t="n"/>
      <c r="J1415" s="39" t="n"/>
      <c r="K1415" s="39" t="n"/>
      <c r="L1415" s="39" t="n"/>
      <c r="M1415" s="7" t="n"/>
      <c r="N1415" s="7" t="n"/>
      <c r="O1415" s="40" t="n"/>
      <c r="P1415" s="40" t="n"/>
      <c r="Q1415" s="40" t="n"/>
      <c r="R1415" s="40" t="n"/>
      <c r="S1415" s="40" t="n"/>
      <c r="T1415" s="40" t="n"/>
      <c r="U1415" s="40" t="n"/>
      <c r="V1415" s="40" t="n"/>
      <c r="W1415" s="40" t="n"/>
      <c r="X1415" s="40" t="n"/>
      <c r="Y1415" s="40" t="n"/>
      <c r="Z1415" s="40" t="n"/>
      <c r="AA1415" s="39" t="n"/>
    </row>
    <row r="1416">
      <c r="A1416" s="7" t="n"/>
      <c r="B1416" s="7" t="n"/>
      <c r="C1416" s="39" t="n"/>
      <c r="D1416" s="39" t="n"/>
      <c r="E1416" s="7" t="n"/>
      <c r="F1416" s="7" t="n"/>
      <c r="G1416" s="7" t="n"/>
      <c r="H1416" s="39" t="n"/>
      <c r="I1416" s="39" t="n"/>
      <c r="J1416" s="39" t="n"/>
      <c r="K1416" s="39" t="n"/>
      <c r="L1416" s="39" t="n"/>
      <c r="M1416" s="7" t="n"/>
      <c r="N1416" s="7" t="n"/>
      <c r="O1416" s="40" t="n"/>
      <c r="P1416" s="40" t="n"/>
      <c r="Q1416" s="40" t="n"/>
      <c r="R1416" s="40" t="n"/>
      <c r="S1416" s="40" t="n"/>
      <c r="T1416" s="40" t="n"/>
      <c r="U1416" s="40" t="n"/>
      <c r="V1416" s="40" t="n"/>
      <c r="W1416" s="40" t="n"/>
      <c r="X1416" s="40" t="n"/>
      <c r="Y1416" s="40" t="n"/>
      <c r="Z1416" s="40" t="n"/>
      <c r="AA1416" s="39" t="n"/>
    </row>
    <row r="1417">
      <c r="A1417" s="7" t="n"/>
      <c r="B1417" s="7" t="n"/>
      <c r="C1417" s="39" t="n"/>
      <c r="D1417" s="39" t="n"/>
      <c r="E1417" s="7" t="n"/>
      <c r="F1417" s="7" t="n"/>
      <c r="G1417" s="7" t="n"/>
      <c r="H1417" s="39" t="n"/>
      <c r="I1417" s="39" t="n"/>
      <c r="J1417" s="39" t="n"/>
      <c r="K1417" s="39" t="n"/>
      <c r="L1417" s="39" t="n"/>
      <c r="M1417" s="7" t="n"/>
      <c r="N1417" s="7" t="n"/>
      <c r="O1417" s="40" t="n"/>
      <c r="P1417" s="40" t="n"/>
      <c r="Q1417" s="40" t="n"/>
      <c r="R1417" s="40" t="n"/>
      <c r="S1417" s="40" t="n"/>
      <c r="T1417" s="40" t="n"/>
      <c r="U1417" s="40" t="n"/>
      <c r="V1417" s="40" t="n"/>
      <c r="W1417" s="40" t="n"/>
      <c r="X1417" s="40" t="n"/>
      <c r="Y1417" s="40" t="n"/>
      <c r="Z1417" s="40" t="n"/>
      <c r="AA1417" s="39" t="n"/>
    </row>
    <row r="1418">
      <c r="A1418" s="7" t="n"/>
      <c r="B1418" s="7" t="n"/>
      <c r="C1418" s="39" t="n"/>
      <c r="D1418" s="39" t="n"/>
      <c r="E1418" s="7" t="n"/>
      <c r="F1418" s="7" t="n"/>
      <c r="G1418" s="7" t="n"/>
      <c r="H1418" s="39" t="n"/>
      <c r="I1418" s="39" t="n"/>
      <c r="J1418" s="39" t="n"/>
      <c r="K1418" s="39" t="n"/>
      <c r="L1418" s="39" t="n"/>
      <c r="M1418" s="7" t="n"/>
      <c r="N1418" s="7" t="n"/>
      <c r="O1418" s="40" t="n"/>
      <c r="P1418" s="40" t="n"/>
      <c r="Q1418" s="40" t="n"/>
      <c r="R1418" s="40" t="n"/>
      <c r="S1418" s="40" t="n"/>
      <c r="T1418" s="40" t="n"/>
      <c r="U1418" s="40" t="n"/>
      <c r="V1418" s="40" t="n"/>
      <c r="W1418" s="40" t="n"/>
      <c r="X1418" s="40" t="n"/>
      <c r="Y1418" s="40" t="n"/>
      <c r="Z1418" s="40" t="n"/>
      <c r="AA1418" s="39" t="n"/>
    </row>
    <row r="1419">
      <c r="A1419" s="7" t="n"/>
      <c r="B1419" s="7" t="n"/>
      <c r="C1419" s="39" t="n"/>
      <c r="D1419" s="39" t="n"/>
      <c r="E1419" s="7" t="n"/>
      <c r="F1419" s="7" t="n"/>
      <c r="G1419" s="7" t="n"/>
      <c r="H1419" s="39" t="n"/>
      <c r="I1419" s="39" t="n"/>
      <c r="J1419" s="39" t="n"/>
      <c r="K1419" s="39" t="n"/>
      <c r="L1419" s="39" t="n"/>
      <c r="M1419" s="7" t="n"/>
      <c r="N1419" s="7" t="n"/>
      <c r="O1419" s="40" t="n"/>
      <c r="P1419" s="40" t="n"/>
      <c r="Q1419" s="40" t="n"/>
      <c r="R1419" s="40" t="n"/>
      <c r="S1419" s="40" t="n"/>
      <c r="T1419" s="40" t="n"/>
      <c r="U1419" s="40" t="n"/>
      <c r="V1419" s="40" t="n"/>
      <c r="W1419" s="40" t="n"/>
      <c r="X1419" s="40" t="n"/>
      <c r="Y1419" s="40" t="n"/>
      <c r="Z1419" s="40" t="n"/>
      <c r="AA1419" s="39" t="n"/>
    </row>
    <row r="1420">
      <c r="A1420" s="7" t="n"/>
      <c r="B1420" s="7" t="n"/>
      <c r="C1420" s="39" t="n"/>
      <c r="D1420" s="39" t="n"/>
      <c r="E1420" s="7" t="n"/>
      <c r="F1420" s="7" t="n"/>
      <c r="G1420" s="7" t="n"/>
      <c r="H1420" s="39" t="n"/>
      <c r="I1420" s="39" t="n"/>
      <c r="J1420" s="39" t="n"/>
      <c r="K1420" s="39" t="n"/>
      <c r="L1420" s="39" t="n"/>
      <c r="M1420" s="7" t="n"/>
      <c r="N1420" s="7" t="n"/>
      <c r="O1420" s="40" t="n"/>
      <c r="P1420" s="40" t="n"/>
      <c r="Q1420" s="40" t="n"/>
      <c r="R1420" s="40" t="n"/>
      <c r="S1420" s="40" t="n"/>
      <c r="T1420" s="40" t="n"/>
      <c r="U1420" s="40" t="n"/>
      <c r="V1420" s="40" t="n"/>
      <c r="W1420" s="40" t="n"/>
      <c r="X1420" s="40" t="n"/>
      <c r="Y1420" s="40" t="n"/>
      <c r="Z1420" s="40" t="n"/>
      <c r="AA1420" s="39" t="n"/>
    </row>
    <row r="1421">
      <c r="A1421" s="7" t="n"/>
      <c r="B1421" s="7" t="n"/>
      <c r="C1421" s="39" t="n"/>
      <c r="D1421" s="39" t="n"/>
      <c r="E1421" s="7" t="n"/>
      <c r="F1421" s="7" t="n"/>
      <c r="G1421" s="7" t="n"/>
      <c r="H1421" s="39" t="n"/>
      <c r="I1421" s="39" t="n"/>
      <c r="J1421" s="39" t="n"/>
      <c r="K1421" s="39" t="n"/>
      <c r="L1421" s="39" t="n"/>
      <c r="M1421" s="7" t="n"/>
      <c r="N1421" s="7" t="n"/>
      <c r="O1421" s="40" t="n"/>
      <c r="P1421" s="40" t="n"/>
      <c r="Q1421" s="40" t="n"/>
      <c r="R1421" s="40" t="n"/>
      <c r="S1421" s="40" t="n"/>
      <c r="T1421" s="40" t="n"/>
      <c r="U1421" s="40" t="n"/>
      <c r="V1421" s="40" t="n"/>
      <c r="W1421" s="40" t="n"/>
      <c r="X1421" s="40" t="n"/>
      <c r="Y1421" s="40" t="n"/>
      <c r="Z1421" s="40" t="n"/>
      <c r="AA1421" s="39" t="n"/>
    </row>
    <row r="1422">
      <c r="A1422" s="7" t="n"/>
      <c r="B1422" s="7" t="n"/>
      <c r="C1422" s="39" t="n"/>
      <c r="D1422" s="39" t="n"/>
      <c r="E1422" s="7" t="n"/>
      <c r="F1422" s="7" t="n"/>
      <c r="G1422" s="7" t="n"/>
      <c r="H1422" s="39" t="n"/>
      <c r="I1422" s="39" t="n"/>
      <c r="J1422" s="39" t="n"/>
      <c r="K1422" s="39" t="n"/>
      <c r="L1422" s="39" t="n"/>
      <c r="M1422" s="7" t="n"/>
      <c r="N1422" s="7" t="n"/>
      <c r="O1422" s="40" t="n"/>
      <c r="P1422" s="40" t="n"/>
      <c r="Q1422" s="40" t="n"/>
      <c r="R1422" s="40" t="n"/>
      <c r="S1422" s="40" t="n"/>
      <c r="T1422" s="40" t="n"/>
      <c r="U1422" s="40" t="n"/>
      <c r="V1422" s="40" t="n"/>
      <c r="W1422" s="40" t="n"/>
      <c r="X1422" s="40" t="n"/>
      <c r="Y1422" s="40" t="n"/>
      <c r="Z1422" s="40" t="n"/>
      <c r="AA1422" s="39" t="n"/>
    </row>
    <row r="1423">
      <c r="A1423" s="7" t="n"/>
      <c r="B1423" s="7" t="n"/>
      <c r="C1423" s="39" t="n"/>
      <c r="D1423" s="39" t="n"/>
      <c r="E1423" s="7" t="n"/>
      <c r="F1423" s="7" t="n"/>
      <c r="G1423" s="7" t="n"/>
      <c r="H1423" s="39" t="n"/>
      <c r="I1423" s="39" t="n"/>
      <c r="J1423" s="39" t="n"/>
      <c r="K1423" s="39" t="n"/>
      <c r="L1423" s="39" t="n"/>
      <c r="M1423" s="7" t="n"/>
      <c r="N1423" s="7" t="n"/>
      <c r="O1423" s="40" t="n"/>
      <c r="P1423" s="40" t="n"/>
      <c r="Q1423" s="40" t="n"/>
      <c r="R1423" s="40" t="n"/>
      <c r="S1423" s="40" t="n"/>
      <c r="T1423" s="40" t="n"/>
      <c r="U1423" s="40" t="n"/>
      <c r="V1423" s="40" t="n"/>
      <c r="W1423" s="40" t="n"/>
      <c r="X1423" s="40" t="n"/>
      <c r="Y1423" s="40" t="n"/>
      <c r="Z1423" s="40" t="n"/>
      <c r="AA1423" s="39" t="n"/>
    </row>
    <row r="1424">
      <c r="A1424" s="7" t="n"/>
      <c r="B1424" s="7" t="n"/>
      <c r="C1424" s="39" t="n"/>
      <c r="D1424" s="39" t="n"/>
      <c r="E1424" s="7" t="n"/>
      <c r="F1424" s="7" t="n"/>
      <c r="G1424" s="7" t="n"/>
      <c r="H1424" s="39" t="n"/>
      <c r="I1424" s="39" t="n"/>
      <c r="J1424" s="39" t="n"/>
      <c r="K1424" s="39" t="n"/>
      <c r="L1424" s="39" t="n"/>
      <c r="M1424" s="7" t="n"/>
      <c r="N1424" s="7" t="n"/>
      <c r="O1424" s="40" t="n"/>
      <c r="P1424" s="40" t="n"/>
      <c r="Q1424" s="40" t="n"/>
      <c r="R1424" s="40" t="n"/>
      <c r="S1424" s="40" t="n"/>
      <c r="T1424" s="40" t="n"/>
      <c r="U1424" s="40" t="n"/>
      <c r="V1424" s="40" t="n"/>
      <c r="W1424" s="40" t="n"/>
      <c r="X1424" s="40" t="n"/>
      <c r="Y1424" s="40" t="n"/>
      <c r="Z1424" s="40" t="n"/>
      <c r="AA1424" s="39" t="n"/>
    </row>
    <row r="1425">
      <c r="A1425" s="7" t="n"/>
      <c r="B1425" s="7" t="n"/>
      <c r="C1425" s="39" t="n"/>
      <c r="D1425" s="39" t="n"/>
      <c r="E1425" s="7" t="n"/>
      <c r="F1425" s="7" t="n"/>
      <c r="G1425" s="7" t="n"/>
      <c r="H1425" s="39" t="n"/>
      <c r="I1425" s="39" t="n"/>
      <c r="J1425" s="39" t="n"/>
      <c r="K1425" s="39" t="n"/>
      <c r="L1425" s="39" t="n"/>
      <c r="M1425" s="7" t="n"/>
      <c r="N1425" s="7" t="n"/>
      <c r="O1425" s="40" t="n"/>
      <c r="P1425" s="40" t="n"/>
      <c r="Q1425" s="40" t="n"/>
      <c r="R1425" s="40" t="n"/>
      <c r="S1425" s="40" t="n"/>
      <c r="T1425" s="40" t="n"/>
      <c r="U1425" s="40" t="n"/>
      <c r="V1425" s="40" t="n"/>
      <c r="W1425" s="40" t="n"/>
      <c r="X1425" s="40" t="n"/>
      <c r="Y1425" s="40" t="n"/>
      <c r="Z1425" s="40" t="n"/>
      <c r="AA1425" s="39" t="n"/>
    </row>
    <row r="1426">
      <c r="A1426" s="7" t="n"/>
      <c r="B1426" s="7" t="n"/>
      <c r="C1426" s="39" t="n"/>
      <c r="D1426" s="39" t="n"/>
      <c r="E1426" s="7" t="n"/>
      <c r="F1426" s="7" t="n"/>
      <c r="G1426" s="7" t="n"/>
      <c r="H1426" s="39" t="n"/>
      <c r="I1426" s="39" t="n"/>
      <c r="J1426" s="39" t="n"/>
      <c r="K1426" s="39" t="n"/>
      <c r="L1426" s="39" t="n"/>
      <c r="M1426" s="7" t="n"/>
      <c r="N1426" s="7" t="n"/>
      <c r="O1426" s="40" t="n"/>
      <c r="P1426" s="40" t="n"/>
      <c r="Q1426" s="40" t="n"/>
      <c r="R1426" s="40" t="n"/>
      <c r="S1426" s="40" t="n"/>
      <c r="T1426" s="40" t="n"/>
      <c r="U1426" s="40" t="n"/>
      <c r="V1426" s="40" t="n"/>
      <c r="W1426" s="40" t="n"/>
      <c r="X1426" s="40" t="n"/>
      <c r="Y1426" s="40" t="n"/>
      <c r="Z1426" s="40" t="n"/>
      <c r="AA1426" s="39" t="n"/>
    </row>
    <row r="1427">
      <c r="A1427" s="7" t="n"/>
      <c r="B1427" s="7" t="n"/>
      <c r="C1427" s="39" t="n"/>
      <c r="D1427" s="39" t="n"/>
      <c r="E1427" s="7" t="n"/>
      <c r="F1427" s="7" t="n"/>
      <c r="G1427" s="7" t="n"/>
      <c r="H1427" s="39" t="n"/>
      <c r="I1427" s="39" t="n"/>
      <c r="J1427" s="39" t="n"/>
      <c r="K1427" s="39" t="n"/>
      <c r="L1427" s="39" t="n"/>
      <c r="M1427" s="7" t="n"/>
      <c r="N1427" s="7" t="n"/>
      <c r="O1427" s="40" t="n"/>
      <c r="P1427" s="40" t="n"/>
      <c r="Q1427" s="40" t="n"/>
      <c r="R1427" s="40" t="n"/>
      <c r="S1427" s="40" t="n"/>
      <c r="T1427" s="40" t="n"/>
      <c r="U1427" s="40" t="n"/>
      <c r="V1427" s="40" t="n"/>
      <c r="W1427" s="40" t="n"/>
      <c r="X1427" s="40" t="n"/>
      <c r="Y1427" s="40" t="n"/>
      <c r="Z1427" s="40" t="n"/>
      <c r="AA1427" s="39" t="n"/>
    </row>
    <row r="1428">
      <c r="A1428" s="7" t="n"/>
      <c r="B1428" s="7" t="n"/>
      <c r="C1428" s="39" t="n"/>
      <c r="D1428" s="39" t="n"/>
      <c r="E1428" s="7" t="n"/>
      <c r="F1428" s="7" t="n"/>
      <c r="G1428" s="7" t="n"/>
      <c r="H1428" s="39" t="n"/>
      <c r="I1428" s="39" t="n"/>
      <c r="J1428" s="39" t="n"/>
      <c r="K1428" s="39" t="n"/>
      <c r="L1428" s="39" t="n"/>
      <c r="M1428" s="7" t="n"/>
      <c r="N1428" s="7" t="n"/>
      <c r="O1428" s="40" t="n"/>
      <c r="P1428" s="40" t="n"/>
      <c r="Q1428" s="40" t="n"/>
      <c r="R1428" s="40" t="n"/>
      <c r="S1428" s="40" t="n"/>
      <c r="T1428" s="40" t="n"/>
      <c r="U1428" s="40" t="n"/>
      <c r="V1428" s="40" t="n"/>
      <c r="W1428" s="40" t="n"/>
      <c r="X1428" s="40" t="n"/>
      <c r="Y1428" s="40" t="n"/>
      <c r="Z1428" s="40" t="n"/>
      <c r="AA1428" s="39" t="n"/>
    </row>
    <row r="1429">
      <c r="A1429" s="7" t="n"/>
      <c r="B1429" s="7" t="n"/>
      <c r="C1429" s="39" t="n"/>
      <c r="D1429" s="39" t="n"/>
      <c r="E1429" s="7" t="n"/>
      <c r="F1429" s="7" t="n"/>
      <c r="G1429" s="7" t="n"/>
      <c r="H1429" s="39" t="n"/>
      <c r="I1429" s="39" t="n"/>
      <c r="J1429" s="39" t="n"/>
      <c r="K1429" s="39" t="n"/>
      <c r="L1429" s="39" t="n"/>
      <c r="M1429" s="7" t="n"/>
      <c r="N1429" s="7" t="n"/>
      <c r="O1429" s="40" t="n"/>
      <c r="P1429" s="40" t="n"/>
      <c r="Q1429" s="40" t="n"/>
      <c r="R1429" s="40" t="n"/>
      <c r="S1429" s="40" t="n"/>
      <c r="T1429" s="40" t="n"/>
      <c r="U1429" s="40" t="n"/>
      <c r="V1429" s="40" t="n"/>
      <c r="W1429" s="40" t="n"/>
      <c r="X1429" s="40" t="n"/>
      <c r="Y1429" s="40" t="n"/>
      <c r="Z1429" s="40" t="n"/>
      <c r="AA1429" s="39" t="n"/>
    </row>
    <row r="1430">
      <c r="A1430" s="7" t="n"/>
      <c r="B1430" s="7" t="n"/>
      <c r="C1430" s="39" t="n"/>
      <c r="D1430" s="39" t="n"/>
      <c r="E1430" s="7" t="n"/>
      <c r="F1430" s="7" t="n"/>
      <c r="G1430" s="7" t="n"/>
      <c r="H1430" s="39" t="n"/>
      <c r="I1430" s="39" t="n"/>
      <c r="J1430" s="39" t="n"/>
      <c r="K1430" s="39" t="n"/>
      <c r="L1430" s="39" t="n"/>
      <c r="M1430" s="7" t="n"/>
      <c r="N1430" s="7" t="n"/>
      <c r="O1430" s="40" t="n"/>
      <c r="P1430" s="40" t="n"/>
      <c r="Q1430" s="40" t="n"/>
      <c r="R1430" s="40" t="n"/>
      <c r="S1430" s="40" t="n"/>
      <c r="T1430" s="40" t="n"/>
      <c r="U1430" s="40" t="n"/>
      <c r="V1430" s="40" t="n"/>
      <c r="W1430" s="40" t="n"/>
      <c r="X1430" s="40" t="n"/>
      <c r="Y1430" s="40" t="n"/>
      <c r="Z1430" s="40" t="n"/>
      <c r="AA1430" s="39" t="n"/>
    </row>
    <row r="1431">
      <c r="A1431" s="7" t="n"/>
      <c r="B1431" s="7" t="n"/>
      <c r="C1431" s="39" t="n"/>
      <c r="D1431" s="39" t="n"/>
      <c r="E1431" s="7" t="n"/>
      <c r="F1431" s="7" t="n"/>
      <c r="G1431" s="7" t="n"/>
      <c r="H1431" s="39" t="n"/>
      <c r="I1431" s="39" t="n"/>
      <c r="J1431" s="39" t="n"/>
      <c r="K1431" s="39" t="n"/>
      <c r="L1431" s="39" t="n"/>
      <c r="M1431" s="7" t="n"/>
      <c r="N1431" s="7" t="n"/>
      <c r="O1431" s="40" t="n"/>
      <c r="P1431" s="40" t="n"/>
      <c r="Q1431" s="40" t="n"/>
      <c r="R1431" s="40" t="n"/>
      <c r="S1431" s="40" t="n"/>
      <c r="T1431" s="40" t="n"/>
      <c r="U1431" s="40" t="n"/>
      <c r="V1431" s="40" t="n"/>
      <c r="W1431" s="40" t="n"/>
      <c r="X1431" s="40" t="n"/>
      <c r="Y1431" s="40" t="n"/>
      <c r="Z1431" s="40" t="n"/>
      <c r="AA1431" s="39" t="n"/>
    </row>
    <row r="1432">
      <c r="A1432" s="7" t="n"/>
      <c r="B1432" s="7" t="n"/>
      <c r="C1432" s="39" t="n"/>
      <c r="D1432" s="39" t="n"/>
      <c r="E1432" s="7" t="n"/>
      <c r="F1432" s="7" t="n"/>
      <c r="G1432" s="7" t="n"/>
      <c r="H1432" s="39" t="n"/>
      <c r="I1432" s="39" t="n"/>
      <c r="J1432" s="39" t="n"/>
      <c r="K1432" s="39" t="n"/>
      <c r="L1432" s="39" t="n"/>
      <c r="M1432" s="7" t="n"/>
      <c r="N1432" s="7" t="n"/>
      <c r="O1432" s="40" t="n"/>
      <c r="P1432" s="40" t="n"/>
      <c r="Q1432" s="40" t="n"/>
      <c r="R1432" s="40" t="n"/>
      <c r="S1432" s="40" t="n"/>
      <c r="T1432" s="40" t="n"/>
      <c r="U1432" s="40" t="n"/>
      <c r="V1432" s="40" t="n"/>
      <c r="W1432" s="40" t="n"/>
      <c r="X1432" s="40" t="n"/>
      <c r="Y1432" s="40" t="n"/>
      <c r="Z1432" s="40" t="n"/>
      <c r="AA1432" s="39" t="n"/>
    </row>
    <row r="1433">
      <c r="A1433" s="7" t="n"/>
      <c r="B1433" s="7" t="n"/>
      <c r="C1433" s="39" t="n"/>
      <c r="D1433" s="39" t="n"/>
      <c r="E1433" s="7" t="n"/>
      <c r="F1433" s="7" t="n"/>
      <c r="G1433" s="7" t="n"/>
      <c r="H1433" s="39" t="n"/>
      <c r="I1433" s="39" t="n"/>
      <c r="J1433" s="39" t="n"/>
      <c r="K1433" s="39" t="n"/>
      <c r="L1433" s="39" t="n"/>
      <c r="M1433" s="7" t="n"/>
      <c r="N1433" s="7" t="n"/>
      <c r="O1433" s="40" t="n"/>
      <c r="P1433" s="40" t="n"/>
      <c r="Q1433" s="40" t="n"/>
      <c r="R1433" s="40" t="n"/>
      <c r="S1433" s="40" t="n"/>
      <c r="T1433" s="40" t="n"/>
      <c r="U1433" s="40" t="n"/>
      <c r="V1433" s="40" t="n"/>
      <c r="W1433" s="40" t="n"/>
      <c r="X1433" s="40" t="n"/>
      <c r="Y1433" s="40" t="n"/>
      <c r="Z1433" s="40" t="n"/>
      <c r="AA1433" s="39" t="n"/>
    </row>
    <row r="1434">
      <c r="A1434" s="7" t="n"/>
      <c r="B1434" s="7" t="n"/>
      <c r="C1434" s="39" t="n"/>
      <c r="D1434" s="39" t="n"/>
      <c r="E1434" s="7" t="n"/>
      <c r="F1434" s="7" t="n"/>
      <c r="G1434" s="7" t="n"/>
      <c r="H1434" s="39" t="n"/>
      <c r="I1434" s="39" t="n"/>
      <c r="J1434" s="39" t="n"/>
      <c r="K1434" s="39" t="n"/>
      <c r="L1434" s="39" t="n"/>
      <c r="M1434" s="7" t="n"/>
      <c r="N1434" s="7" t="n"/>
      <c r="O1434" s="40" t="n"/>
      <c r="P1434" s="40" t="n"/>
      <c r="Q1434" s="40" t="n"/>
      <c r="R1434" s="40" t="n"/>
      <c r="S1434" s="40" t="n"/>
      <c r="T1434" s="40" t="n"/>
      <c r="U1434" s="40" t="n"/>
      <c r="V1434" s="40" t="n"/>
      <c r="W1434" s="40" t="n"/>
      <c r="X1434" s="40" t="n"/>
      <c r="Y1434" s="40" t="n"/>
      <c r="Z1434" s="40" t="n"/>
      <c r="AA1434" s="39" t="n"/>
    </row>
    <row r="1435">
      <c r="A1435" s="7" t="n"/>
      <c r="B1435" s="7" t="n"/>
      <c r="C1435" s="39" t="n"/>
      <c r="D1435" s="39" t="n"/>
      <c r="E1435" s="7" t="n"/>
      <c r="F1435" s="7" t="n"/>
      <c r="G1435" s="7" t="n"/>
      <c r="H1435" s="39" t="n"/>
      <c r="I1435" s="39" t="n"/>
      <c r="J1435" s="39" t="n"/>
      <c r="K1435" s="39" t="n"/>
      <c r="L1435" s="39" t="n"/>
      <c r="M1435" s="7" t="n"/>
      <c r="N1435" s="7" t="n"/>
      <c r="O1435" s="40" t="n"/>
      <c r="P1435" s="40" t="n"/>
      <c r="Q1435" s="40" t="n"/>
      <c r="R1435" s="40" t="n"/>
      <c r="S1435" s="40" t="n"/>
      <c r="T1435" s="40" t="n"/>
      <c r="U1435" s="40" t="n"/>
      <c r="V1435" s="40" t="n"/>
      <c r="W1435" s="40" t="n"/>
      <c r="X1435" s="40" t="n"/>
      <c r="Y1435" s="40" t="n"/>
      <c r="Z1435" s="40" t="n"/>
      <c r="AA1435" s="39" t="n"/>
    </row>
    <row r="1436">
      <c r="A1436" s="7" t="n"/>
      <c r="B1436" s="7" t="n"/>
      <c r="C1436" s="39" t="n"/>
      <c r="D1436" s="39" t="n"/>
      <c r="E1436" s="7" t="n"/>
      <c r="F1436" s="7" t="n"/>
      <c r="G1436" s="7" t="n"/>
      <c r="H1436" s="39" t="n"/>
      <c r="I1436" s="39" t="n"/>
      <c r="J1436" s="39" t="n"/>
      <c r="K1436" s="39" t="n"/>
      <c r="L1436" s="39" t="n"/>
      <c r="M1436" s="7" t="n"/>
      <c r="N1436" s="7" t="n"/>
      <c r="O1436" s="40" t="n"/>
      <c r="P1436" s="40" t="n"/>
      <c r="Q1436" s="40" t="n"/>
      <c r="R1436" s="40" t="n"/>
      <c r="S1436" s="40" t="n"/>
      <c r="T1436" s="40" t="n"/>
      <c r="U1436" s="40" t="n"/>
      <c r="V1436" s="40" t="n"/>
      <c r="W1436" s="40" t="n"/>
      <c r="X1436" s="40" t="n"/>
      <c r="Y1436" s="40" t="n"/>
      <c r="Z1436" s="40" t="n"/>
      <c r="AA1436" s="39" t="n"/>
    </row>
    <row r="1437">
      <c r="A1437" s="7" t="n"/>
      <c r="B1437" s="7" t="n"/>
      <c r="C1437" s="39" t="n"/>
      <c r="D1437" s="39" t="n"/>
      <c r="E1437" s="7" t="n"/>
      <c r="F1437" s="7" t="n"/>
      <c r="G1437" s="7" t="n"/>
      <c r="H1437" s="39" t="n"/>
      <c r="I1437" s="39" t="n"/>
      <c r="J1437" s="39" t="n"/>
      <c r="K1437" s="39" t="n"/>
      <c r="L1437" s="39" t="n"/>
      <c r="M1437" s="7" t="n"/>
      <c r="N1437" s="7" t="n"/>
      <c r="O1437" s="40" t="n"/>
      <c r="P1437" s="40" t="n"/>
      <c r="Q1437" s="40" t="n"/>
      <c r="R1437" s="40" t="n"/>
      <c r="S1437" s="40" t="n"/>
      <c r="T1437" s="40" t="n"/>
      <c r="U1437" s="40" t="n"/>
      <c r="V1437" s="40" t="n"/>
      <c r="W1437" s="40" t="n"/>
      <c r="X1437" s="40" t="n"/>
      <c r="Y1437" s="40" t="n"/>
      <c r="Z1437" s="40" t="n"/>
      <c r="AA1437" s="39" t="n"/>
    </row>
    <row r="1438">
      <c r="A1438" s="7" t="n"/>
      <c r="B1438" s="7" t="n"/>
      <c r="C1438" s="39" t="n"/>
      <c r="D1438" s="39" t="n"/>
      <c r="E1438" s="7" t="n"/>
      <c r="F1438" s="7" t="n"/>
      <c r="G1438" s="7" t="n"/>
      <c r="H1438" s="39" t="n"/>
      <c r="I1438" s="39" t="n"/>
      <c r="J1438" s="39" t="n"/>
      <c r="K1438" s="39" t="n"/>
      <c r="L1438" s="39" t="n"/>
      <c r="M1438" s="7" t="n"/>
      <c r="N1438" s="7" t="n"/>
      <c r="O1438" s="40" t="n"/>
      <c r="P1438" s="40" t="n"/>
      <c r="Q1438" s="40" t="n"/>
      <c r="R1438" s="40" t="n"/>
      <c r="S1438" s="40" t="n"/>
      <c r="T1438" s="40" t="n"/>
      <c r="U1438" s="40" t="n"/>
      <c r="V1438" s="40" t="n"/>
      <c r="W1438" s="40" t="n"/>
      <c r="X1438" s="40" t="n"/>
      <c r="Y1438" s="40" t="n"/>
      <c r="Z1438" s="40" t="n"/>
      <c r="AA1438" s="39" t="n"/>
    </row>
    <row r="1439">
      <c r="A1439" s="7" t="n"/>
      <c r="B1439" s="7" t="n"/>
      <c r="C1439" s="39" t="n"/>
      <c r="D1439" s="39" t="n"/>
      <c r="E1439" s="7" t="n"/>
      <c r="F1439" s="7" t="n"/>
      <c r="G1439" s="7" t="n"/>
      <c r="H1439" s="39" t="n"/>
      <c r="I1439" s="39" t="n"/>
      <c r="J1439" s="39" t="n"/>
      <c r="K1439" s="39" t="n"/>
      <c r="L1439" s="39" t="n"/>
      <c r="M1439" s="7" t="n"/>
      <c r="N1439" s="7" t="n"/>
      <c r="O1439" s="40" t="n"/>
      <c r="P1439" s="40" t="n"/>
      <c r="Q1439" s="40" t="n"/>
      <c r="R1439" s="40" t="n"/>
      <c r="S1439" s="40" t="n"/>
      <c r="T1439" s="40" t="n"/>
      <c r="U1439" s="40" t="n"/>
      <c r="V1439" s="40" t="n"/>
      <c r="W1439" s="40" t="n"/>
      <c r="X1439" s="40" t="n"/>
      <c r="Y1439" s="40" t="n"/>
      <c r="Z1439" s="40" t="n"/>
      <c r="AA1439" s="39" t="n"/>
    </row>
    <row r="1440">
      <c r="A1440" s="7" t="n"/>
      <c r="B1440" s="7" t="n"/>
      <c r="C1440" s="39" t="n"/>
      <c r="D1440" s="39" t="n"/>
      <c r="E1440" s="7" t="n"/>
      <c r="F1440" s="7" t="n"/>
      <c r="G1440" s="7" t="n"/>
      <c r="H1440" s="39" t="n"/>
      <c r="I1440" s="39" t="n"/>
      <c r="J1440" s="39" t="n"/>
      <c r="K1440" s="39" t="n"/>
      <c r="L1440" s="39" t="n"/>
      <c r="M1440" s="7" t="n"/>
      <c r="N1440" s="7" t="n"/>
      <c r="O1440" s="40" t="n"/>
      <c r="P1440" s="40" t="n"/>
      <c r="Q1440" s="40" t="n"/>
      <c r="R1440" s="40" t="n"/>
      <c r="S1440" s="40" t="n"/>
      <c r="T1440" s="40" t="n"/>
      <c r="U1440" s="40" t="n"/>
      <c r="V1440" s="40" t="n"/>
      <c r="W1440" s="40" t="n"/>
      <c r="X1440" s="40" t="n"/>
      <c r="Y1440" s="40" t="n"/>
      <c r="Z1440" s="40" t="n"/>
      <c r="AA1440" s="39" t="n"/>
    </row>
    <row r="1441">
      <c r="A1441" s="7" t="n"/>
      <c r="B1441" s="7" t="n"/>
      <c r="C1441" s="39" t="n"/>
      <c r="D1441" s="39" t="n"/>
      <c r="E1441" s="7" t="n"/>
      <c r="F1441" s="7" t="n"/>
      <c r="G1441" s="7" t="n"/>
      <c r="H1441" s="39" t="n"/>
      <c r="I1441" s="39" t="n"/>
      <c r="J1441" s="39" t="n"/>
      <c r="K1441" s="39" t="n"/>
      <c r="L1441" s="39" t="n"/>
      <c r="M1441" s="7" t="n"/>
      <c r="N1441" s="7" t="n"/>
      <c r="O1441" s="40" t="n"/>
      <c r="P1441" s="40" t="n"/>
      <c r="Q1441" s="40" t="n"/>
      <c r="R1441" s="40" t="n"/>
      <c r="S1441" s="40" t="n"/>
      <c r="T1441" s="40" t="n"/>
      <c r="U1441" s="40" t="n"/>
      <c r="V1441" s="40" t="n"/>
      <c r="W1441" s="40" t="n"/>
      <c r="X1441" s="40" t="n"/>
      <c r="Y1441" s="40" t="n"/>
      <c r="Z1441" s="40" t="n"/>
      <c r="AA1441" s="39" t="n"/>
    </row>
    <row r="1442">
      <c r="A1442" s="7" t="n"/>
      <c r="B1442" s="7" t="n"/>
      <c r="C1442" s="39" t="n"/>
      <c r="D1442" s="39" t="n"/>
      <c r="E1442" s="7" t="n"/>
      <c r="F1442" s="7" t="n"/>
      <c r="G1442" s="7" t="n"/>
      <c r="H1442" s="39" t="n"/>
      <c r="I1442" s="39" t="n"/>
      <c r="J1442" s="39" t="n"/>
      <c r="K1442" s="39" t="n"/>
      <c r="L1442" s="39" t="n"/>
      <c r="M1442" s="7" t="n"/>
      <c r="N1442" s="7" t="n"/>
      <c r="O1442" s="40" t="n"/>
      <c r="P1442" s="40" t="n"/>
      <c r="Q1442" s="40" t="n"/>
      <c r="R1442" s="40" t="n"/>
      <c r="S1442" s="40" t="n"/>
      <c r="T1442" s="40" t="n"/>
      <c r="U1442" s="40" t="n"/>
      <c r="V1442" s="40" t="n"/>
      <c r="W1442" s="40" t="n"/>
      <c r="X1442" s="40" t="n"/>
      <c r="Y1442" s="40" t="n"/>
      <c r="Z1442" s="40" t="n"/>
      <c r="AA1442" s="39" t="n"/>
    </row>
    <row r="1443">
      <c r="A1443" s="7" t="n"/>
      <c r="B1443" s="7" t="n"/>
      <c r="C1443" s="39" t="n"/>
      <c r="D1443" s="39" t="n"/>
      <c r="E1443" s="7" t="n"/>
      <c r="F1443" s="7" t="n"/>
      <c r="G1443" s="7" t="n"/>
      <c r="H1443" s="39" t="n"/>
      <c r="I1443" s="39" t="n"/>
      <c r="J1443" s="39" t="n"/>
      <c r="K1443" s="39" t="n"/>
      <c r="L1443" s="39" t="n"/>
      <c r="M1443" s="7" t="n"/>
      <c r="N1443" s="7" t="n"/>
      <c r="O1443" s="40" t="n"/>
      <c r="P1443" s="40" t="n"/>
      <c r="Q1443" s="40" t="n"/>
      <c r="R1443" s="40" t="n"/>
      <c r="S1443" s="40" t="n"/>
      <c r="T1443" s="40" t="n"/>
      <c r="U1443" s="40" t="n"/>
      <c r="V1443" s="40" t="n"/>
      <c r="W1443" s="40" t="n"/>
      <c r="X1443" s="40" t="n"/>
      <c r="Y1443" s="40" t="n"/>
      <c r="Z1443" s="40" t="n"/>
      <c r="AA1443" s="39" t="n"/>
    </row>
    <row r="1444">
      <c r="A1444" s="7" t="n"/>
      <c r="B1444" s="7" t="n"/>
      <c r="C1444" s="39" t="n"/>
      <c r="D1444" s="39" t="n"/>
      <c r="E1444" s="7" t="n"/>
      <c r="F1444" s="7" t="n"/>
      <c r="G1444" s="7" t="n"/>
      <c r="H1444" s="39" t="n"/>
      <c r="I1444" s="39" t="n"/>
      <c r="J1444" s="39" t="n"/>
      <c r="K1444" s="39" t="n"/>
      <c r="L1444" s="39" t="n"/>
      <c r="M1444" s="7" t="n"/>
      <c r="N1444" s="7" t="n"/>
      <c r="O1444" s="40" t="n"/>
      <c r="P1444" s="40" t="n"/>
      <c r="Q1444" s="40" t="n"/>
      <c r="R1444" s="40" t="n"/>
      <c r="S1444" s="40" t="n"/>
      <c r="T1444" s="40" t="n"/>
      <c r="U1444" s="40" t="n"/>
      <c r="V1444" s="40" t="n"/>
      <c r="W1444" s="40" t="n"/>
      <c r="X1444" s="40" t="n"/>
      <c r="Y1444" s="40" t="n"/>
      <c r="Z1444" s="40" t="n"/>
      <c r="AA1444" s="39" t="n"/>
    </row>
    <row r="1445">
      <c r="A1445" s="7" t="n"/>
      <c r="B1445" s="7" t="n"/>
      <c r="C1445" s="39" t="n"/>
      <c r="D1445" s="39" t="n"/>
      <c r="E1445" s="7" t="n"/>
      <c r="F1445" s="7" t="n"/>
      <c r="G1445" s="7" t="n"/>
      <c r="H1445" s="39" t="n"/>
      <c r="I1445" s="39" t="n"/>
      <c r="J1445" s="39" t="n"/>
      <c r="K1445" s="39" t="n"/>
      <c r="L1445" s="39" t="n"/>
      <c r="M1445" s="7" t="n"/>
      <c r="N1445" s="7" t="n"/>
      <c r="O1445" s="40" t="n"/>
      <c r="P1445" s="40" t="n"/>
      <c r="Q1445" s="40" t="n"/>
      <c r="R1445" s="40" t="n"/>
      <c r="S1445" s="40" t="n"/>
      <c r="T1445" s="40" t="n"/>
      <c r="U1445" s="40" t="n"/>
      <c r="V1445" s="40" t="n"/>
      <c r="W1445" s="40" t="n"/>
      <c r="X1445" s="40" t="n"/>
      <c r="Y1445" s="40" t="n"/>
      <c r="Z1445" s="40" t="n"/>
      <c r="AA1445" s="39" t="n"/>
    </row>
    <row r="1446">
      <c r="A1446" s="7" t="n"/>
      <c r="B1446" s="7" t="n"/>
      <c r="C1446" s="39" t="n"/>
      <c r="D1446" s="39" t="n"/>
      <c r="E1446" s="7" t="n"/>
      <c r="F1446" s="7" t="n"/>
      <c r="G1446" s="7" t="n"/>
      <c r="H1446" s="39" t="n"/>
      <c r="I1446" s="39" t="n"/>
      <c r="J1446" s="39" t="n"/>
      <c r="K1446" s="39" t="n"/>
      <c r="L1446" s="39" t="n"/>
      <c r="M1446" s="7" t="n"/>
      <c r="N1446" s="7" t="n"/>
      <c r="O1446" s="40" t="n"/>
      <c r="P1446" s="40" t="n"/>
      <c r="Q1446" s="40" t="n"/>
      <c r="R1446" s="40" t="n"/>
      <c r="S1446" s="40" t="n"/>
      <c r="T1446" s="40" t="n"/>
      <c r="U1446" s="40" t="n"/>
      <c r="V1446" s="40" t="n"/>
      <c r="W1446" s="40" t="n"/>
      <c r="X1446" s="40" t="n"/>
      <c r="Y1446" s="40" t="n"/>
      <c r="Z1446" s="40" t="n"/>
      <c r="AA1446" s="39" t="n"/>
    </row>
    <row r="1447">
      <c r="A1447" s="7" t="n"/>
      <c r="B1447" s="7" t="n"/>
      <c r="C1447" s="39" t="n"/>
      <c r="D1447" s="39" t="n"/>
      <c r="E1447" s="7" t="n"/>
      <c r="F1447" s="7" t="n"/>
      <c r="G1447" s="7" t="n"/>
      <c r="H1447" s="39" t="n"/>
      <c r="I1447" s="39" t="n"/>
      <c r="J1447" s="39" t="n"/>
      <c r="K1447" s="39" t="n"/>
      <c r="L1447" s="39" t="n"/>
      <c r="M1447" s="7" t="n"/>
      <c r="N1447" s="7" t="n"/>
      <c r="O1447" s="40" t="n"/>
      <c r="P1447" s="40" t="n"/>
      <c r="Q1447" s="40" t="n"/>
      <c r="R1447" s="40" t="n"/>
      <c r="S1447" s="40" t="n"/>
      <c r="T1447" s="40" t="n"/>
      <c r="U1447" s="40" t="n"/>
      <c r="V1447" s="40" t="n"/>
      <c r="W1447" s="40" t="n"/>
      <c r="X1447" s="40" t="n"/>
      <c r="Y1447" s="40" t="n"/>
      <c r="Z1447" s="40" t="n"/>
      <c r="AA1447" s="39" t="n"/>
    </row>
    <row r="1448">
      <c r="A1448" s="7" t="n"/>
      <c r="B1448" s="7" t="n"/>
      <c r="C1448" s="39" t="n"/>
      <c r="D1448" s="39" t="n"/>
      <c r="E1448" s="7" t="n"/>
      <c r="F1448" s="7" t="n"/>
      <c r="G1448" s="7" t="n"/>
      <c r="H1448" s="39" t="n"/>
      <c r="I1448" s="39" t="n"/>
      <c r="J1448" s="39" t="n"/>
      <c r="K1448" s="39" t="n"/>
      <c r="L1448" s="39" t="n"/>
      <c r="M1448" s="7" t="n"/>
      <c r="N1448" s="7" t="n"/>
      <c r="O1448" s="40" t="n"/>
      <c r="P1448" s="40" t="n"/>
      <c r="Q1448" s="40" t="n"/>
      <c r="R1448" s="40" t="n"/>
      <c r="S1448" s="40" t="n"/>
      <c r="T1448" s="40" t="n"/>
      <c r="U1448" s="40" t="n"/>
      <c r="V1448" s="40" t="n"/>
      <c r="W1448" s="40" t="n"/>
      <c r="X1448" s="40" t="n"/>
      <c r="Y1448" s="40" t="n"/>
      <c r="Z1448" s="40" t="n"/>
      <c r="AA1448" s="39" t="n"/>
    </row>
    <row r="1449">
      <c r="A1449" s="7" t="n"/>
      <c r="B1449" s="7" t="n"/>
      <c r="C1449" s="39" t="n"/>
      <c r="D1449" s="39" t="n"/>
      <c r="E1449" s="7" t="n"/>
      <c r="F1449" s="7" t="n"/>
      <c r="G1449" s="7" t="n"/>
      <c r="H1449" s="39" t="n"/>
      <c r="I1449" s="39" t="n"/>
      <c r="J1449" s="39" t="n"/>
      <c r="K1449" s="39" t="n"/>
      <c r="L1449" s="39" t="n"/>
      <c r="M1449" s="7" t="n"/>
      <c r="N1449" s="7" t="n"/>
      <c r="O1449" s="40" t="n"/>
      <c r="P1449" s="40" t="n"/>
      <c r="Q1449" s="40" t="n"/>
      <c r="R1449" s="40" t="n"/>
      <c r="S1449" s="40" t="n"/>
      <c r="T1449" s="40" t="n"/>
      <c r="U1449" s="40" t="n"/>
      <c r="V1449" s="40" t="n"/>
      <c r="W1449" s="40" t="n"/>
      <c r="X1449" s="40" t="n"/>
      <c r="Y1449" s="40" t="n"/>
      <c r="Z1449" s="40" t="n"/>
      <c r="AA1449" s="39" t="n"/>
    </row>
    <row r="1450">
      <c r="A1450" s="7" t="n"/>
      <c r="B1450" s="7" t="n"/>
      <c r="C1450" s="39" t="n"/>
      <c r="D1450" s="39" t="n"/>
      <c r="E1450" s="7" t="n"/>
      <c r="F1450" s="7" t="n"/>
      <c r="G1450" s="7" t="n"/>
      <c r="H1450" s="39" t="n"/>
      <c r="I1450" s="39" t="n"/>
      <c r="J1450" s="39" t="n"/>
      <c r="K1450" s="39" t="n"/>
      <c r="L1450" s="39" t="n"/>
      <c r="M1450" s="7" t="n"/>
      <c r="N1450" s="7" t="n"/>
      <c r="O1450" s="40" t="n"/>
      <c r="P1450" s="40" t="n"/>
      <c r="Q1450" s="40" t="n"/>
      <c r="R1450" s="40" t="n"/>
      <c r="S1450" s="40" t="n"/>
      <c r="T1450" s="40" t="n"/>
      <c r="U1450" s="40" t="n"/>
      <c r="V1450" s="40" t="n"/>
      <c r="W1450" s="40" t="n"/>
      <c r="X1450" s="40" t="n"/>
      <c r="Y1450" s="40" t="n"/>
      <c r="Z1450" s="40" t="n"/>
      <c r="AA1450" s="39" t="n"/>
    </row>
    <row r="1451">
      <c r="A1451" s="7" t="n"/>
      <c r="B1451" s="7" t="n"/>
      <c r="C1451" s="39" t="n"/>
      <c r="D1451" s="39" t="n"/>
      <c r="E1451" s="7" t="n"/>
      <c r="F1451" s="7" t="n"/>
      <c r="G1451" s="7" t="n"/>
      <c r="H1451" s="39" t="n"/>
      <c r="I1451" s="39" t="n"/>
      <c r="J1451" s="39" t="n"/>
      <c r="K1451" s="39" t="n"/>
      <c r="L1451" s="39" t="n"/>
      <c r="M1451" s="7" t="n"/>
      <c r="N1451" s="7" t="n"/>
      <c r="O1451" s="40" t="n"/>
      <c r="P1451" s="40" t="n"/>
      <c r="Q1451" s="40" t="n"/>
      <c r="R1451" s="40" t="n"/>
      <c r="S1451" s="40" t="n"/>
      <c r="T1451" s="40" t="n"/>
      <c r="U1451" s="40" t="n"/>
      <c r="V1451" s="40" t="n"/>
      <c r="W1451" s="40" t="n"/>
      <c r="X1451" s="40" t="n"/>
      <c r="Y1451" s="40" t="n"/>
      <c r="Z1451" s="40" t="n"/>
      <c r="AA1451" s="39" t="n"/>
    </row>
    <row r="1452">
      <c r="A1452" s="7" t="n"/>
      <c r="B1452" s="7" t="n"/>
      <c r="C1452" s="39" t="n"/>
      <c r="D1452" s="39" t="n"/>
      <c r="E1452" s="7" t="n"/>
      <c r="F1452" s="7" t="n"/>
      <c r="G1452" s="7" t="n"/>
      <c r="H1452" s="39" t="n"/>
      <c r="I1452" s="39" t="n"/>
      <c r="J1452" s="39" t="n"/>
      <c r="K1452" s="39" t="n"/>
      <c r="L1452" s="39" t="n"/>
      <c r="M1452" s="7" t="n"/>
      <c r="N1452" s="7" t="n"/>
      <c r="O1452" s="40" t="n"/>
      <c r="P1452" s="40" t="n"/>
      <c r="Q1452" s="40" t="n"/>
      <c r="R1452" s="40" t="n"/>
      <c r="S1452" s="40" t="n"/>
      <c r="T1452" s="40" t="n"/>
      <c r="U1452" s="40" t="n"/>
      <c r="V1452" s="40" t="n"/>
      <c r="W1452" s="40" t="n"/>
      <c r="X1452" s="40" t="n"/>
      <c r="Y1452" s="40" t="n"/>
      <c r="Z1452" s="40" t="n"/>
      <c r="AA1452" s="39" t="n"/>
    </row>
    <row r="1453">
      <c r="A1453" s="7" t="n"/>
      <c r="B1453" s="7" t="n"/>
      <c r="C1453" s="39" t="n"/>
      <c r="D1453" s="39" t="n"/>
      <c r="E1453" s="7" t="n"/>
      <c r="F1453" s="7" t="n"/>
      <c r="G1453" s="7" t="n"/>
      <c r="H1453" s="39" t="n"/>
      <c r="I1453" s="39" t="n"/>
      <c r="J1453" s="39" t="n"/>
      <c r="K1453" s="39" t="n"/>
      <c r="L1453" s="39" t="n"/>
      <c r="M1453" s="7" t="n"/>
      <c r="N1453" s="7" t="n"/>
      <c r="O1453" s="40" t="n"/>
      <c r="P1453" s="40" t="n"/>
      <c r="Q1453" s="40" t="n"/>
      <c r="R1453" s="40" t="n"/>
      <c r="S1453" s="40" t="n"/>
      <c r="T1453" s="40" t="n"/>
      <c r="U1453" s="40" t="n"/>
      <c r="V1453" s="40" t="n"/>
      <c r="W1453" s="40" t="n"/>
      <c r="X1453" s="40" t="n"/>
      <c r="Y1453" s="40" t="n"/>
      <c r="Z1453" s="40" t="n"/>
      <c r="AA1453" s="39" t="n"/>
    </row>
    <row r="1454">
      <c r="A1454" s="7" t="n"/>
      <c r="B1454" s="7" t="n"/>
      <c r="C1454" s="39" t="n"/>
      <c r="D1454" s="39" t="n"/>
      <c r="E1454" s="7" t="n"/>
      <c r="F1454" s="7" t="n"/>
      <c r="G1454" s="7" t="n"/>
      <c r="H1454" s="39" t="n"/>
      <c r="I1454" s="39" t="n"/>
      <c r="J1454" s="39" t="n"/>
      <c r="K1454" s="39" t="n"/>
      <c r="L1454" s="39" t="n"/>
      <c r="M1454" s="7" t="n"/>
      <c r="N1454" s="7" t="n"/>
      <c r="O1454" s="40" t="n"/>
      <c r="P1454" s="40" t="n"/>
      <c r="Q1454" s="40" t="n"/>
      <c r="R1454" s="40" t="n"/>
      <c r="S1454" s="40" t="n"/>
      <c r="T1454" s="40" t="n"/>
      <c r="U1454" s="40" t="n"/>
      <c r="V1454" s="40" t="n"/>
      <c r="W1454" s="40" t="n"/>
      <c r="X1454" s="40" t="n"/>
      <c r="Y1454" s="40" t="n"/>
      <c r="Z1454" s="40" t="n"/>
      <c r="AA1454" s="39" t="n"/>
    </row>
    <row r="1455">
      <c r="A1455" s="7" t="n"/>
      <c r="B1455" s="7" t="n"/>
      <c r="C1455" s="39" t="n"/>
      <c r="D1455" s="39" t="n"/>
      <c r="E1455" s="7" t="n"/>
      <c r="F1455" s="7" t="n"/>
      <c r="G1455" s="7" t="n"/>
      <c r="H1455" s="39" t="n"/>
      <c r="I1455" s="39" t="n"/>
      <c r="J1455" s="39" t="n"/>
      <c r="K1455" s="39" t="n"/>
      <c r="L1455" s="39" t="n"/>
      <c r="M1455" s="7" t="n"/>
      <c r="N1455" s="7" t="n"/>
      <c r="O1455" s="40" t="n"/>
      <c r="P1455" s="40" t="n"/>
      <c r="Q1455" s="40" t="n"/>
      <c r="R1455" s="40" t="n"/>
      <c r="S1455" s="40" t="n"/>
      <c r="T1455" s="40" t="n"/>
      <c r="U1455" s="40" t="n"/>
      <c r="V1455" s="40" t="n"/>
      <c r="W1455" s="40" t="n"/>
      <c r="X1455" s="40" t="n"/>
      <c r="Y1455" s="40" t="n"/>
      <c r="Z1455" s="40" t="n"/>
      <c r="AA1455" s="39" t="n"/>
    </row>
    <row r="1456">
      <c r="A1456" s="7" t="n"/>
      <c r="B1456" s="7" t="n"/>
      <c r="C1456" s="39" t="n"/>
      <c r="D1456" s="39" t="n"/>
      <c r="E1456" s="7" t="n"/>
      <c r="F1456" s="7" t="n"/>
      <c r="G1456" s="7" t="n"/>
      <c r="H1456" s="39" t="n"/>
      <c r="I1456" s="39" t="n"/>
      <c r="J1456" s="39" t="n"/>
      <c r="K1456" s="39" t="n"/>
      <c r="L1456" s="39" t="n"/>
      <c r="M1456" s="7" t="n"/>
      <c r="N1456" s="7" t="n"/>
      <c r="O1456" s="40" t="n"/>
      <c r="P1456" s="40" t="n"/>
      <c r="Q1456" s="40" t="n"/>
      <c r="R1456" s="40" t="n"/>
      <c r="S1456" s="40" t="n"/>
      <c r="T1456" s="40" t="n"/>
      <c r="U1456" s="40" t="n"/>
      <c r="V1456" s="40" t="n"/>
      <c r="W1456" s="40" t="n"/>
      <c r="X1456" s="40" t="n"/>
      <c r="Y1456" s="40" t="n"/>
      <c r="Z1456" s="40" t="n"/>
      <c r="AA1456" s="39" t="n"/>
    </row>
    <row r="1457">
      <c r="A1457" s="7" t="n"/>
      <c r="B1457" s="7" t="n"/>
      <c r="C1457" s="39" t="n"/>
      <c r="D1457" s="39" t="n"/>
      <c r="E1457" s="7" t="n"/>
      <c r="F1457" s="7" t="n"/>
      <c r="G1457" s="7" t="n"/>
      <c r="H1457" s="39" t="n"/>
      <c r="I1457" s="39" t="n"/>
      <c r="J1457" s="39" t="n"/>
      <c r="K1457" s="39" t="n"/>
      <c r="L1457" s="39" t="n"/>
      <c r="M1457" s="7" t="n"/>
      <c r="N1457" s="7" t="n"/>
      <c r="O1457" s="40" t="n"/>
      <c r="P1457" s="40" t="n"/>
      <c r="Q1457" s="40" t="n"/>
      <c r="R1457" s="40" t="n"/>
      <c r="S1457" s="40" t="n"/>
      <c r="T1457" s="40" t="n"/>
      <c r="U1457" s="40" t="n"/>
      <c r="V1457" s="40" t="n"/>
      <c r="W1457" s="40" t="n"/>
      <c r="X1457" s="40" t="n"/>
      <c r="Y1457" s="40" t="n"/>
      <c r="Z1457" s="40" t="n"/>
      <c r="AA1457" s="39" t="n"/>
    </row>
    <row r="1458">
      <c r="A1458" s="7" t="n"/>
      <c r="B1458" s="7" t="n"/>
      <c r="C1458" s="39" t="n"/>
      <c r="D1458" s="39" t="n"/>
      <c r="E1458" s="7" t="n"/>
      <c r="F1458" s="7" t="n"/>
      <c r="G1458" s="7" t="n"/>
      <c r="H1458" s="39" t="n"/>
      <c r="I1458" s="39" t="n"/>
      <c r="J1458" s="39" t="n"/>
      <c r="K1458" s="39" t="n"/>
      <c r="L1458" s="39" t="n"/>
      <c r="M1458" s="7" t="n"/>
      <c r="N1458" s="7" t="n"/>
      <c r="O1458" s="40" t="n"/>
      <c r="P1458" s="40" t="n"/>
      <c r="Q1458" s="40" t="n"/>
      <c r="R1458" s="40" t="n"/>
      <c r="S1458" s="40" t="n"/>
      <c r="T1458" s="40" t="n"/>
      <c r="U1458" s="40" t="n"/>
      <c r="V1458" s="40" t="n"/>
      <c r="W1458" s="40" t="n"/>
      <c r="X1458" s="40" t="n"/>
      <c r="Y1458" s="40" t="n"/>
      <c r="Z1458" s="40" t="n"/>
      <c r="AA1458" s="39" t="n"/>
    </row>
    <row r="1459">
      <c r="A1459" s="7" t="n"/>
      <c r="B1459" s="7" t="n"/>
      <c r="C1459" s="39" t="n"/>
      <c r="D1459" s="39" t="n"/>
      <c r="E1459" s="7" t="n"/>
      <c r="F1459" s="7" t="n"/>
      <c r="G1459" s="7" t="n"/>
      <c r="H1459" s="39" t="n"/>
      <c r="I1459" s="39" t="n"/>
      <c r="J1459" s="39" t="n"/>
      <c r="K1459" s="39" t="n"/>
      <c r="L1459" s="39" t="n"/>
      <c r="M1459" s="7" t="n"/>
      <c r="N1459" s="7" t="n"/>
      <c r="O1459" s="40" t="n"/>
      <c r="P1459" s="40" t="n"/>
      <c r="Q1459" s="40" t="n"/>
      <c r="R1459" s="40" t="n"/>
      <c r="S1459" s="40" t="n"/>
      <c r="T1459" s="40" t="n"/>
      <c r="U1459" s="40" t="n"/>
      <c r="V1459" s="40" t="n"/>
      <c r="W1459" s="40" t="n"/>
      <c r="X1459" s="40" t="n"/>
      <c r="Y1459" s="40" t="n"/>
      <c r="Z1459" s="40" t="n"/>
      <c r="AA1459" s="39" t="n"/>
    </row>
    <row r="1460">
      <c r="A1460" s="7" t="n"/>
      <c r="B1460" s="7" t="n"/>
      <c r="C1460" s="39" t="n"/>
      <c r="D1460" s="39" t="n"/>
      <c r="E1460" s="7" t="n"/>
      <c r="F1460" s="7" t="n"/>
      <c r="G1460" s="7" t="n"/>
      <c r="H1460" s="39" t="n"/>
      <c r="I1460" s="39" t="n"/>
      <c r="J1460" s="39" t="n"/>
      <c r="K1460" s="39" t="n"/>
      <c r="L1460" s="39" t="n"/>
      <c r="M1460" s="7" t="n"/>
      <c r="N1460" s="7" t="n"/>
      <c r="O1460" s="40" t="n"/>
      <c r="P1460" s="40" t="n"/>
      <c r="Q1460" s="40" t="n"/>
      <c r="R1460" s="40" t="n"/>
      <c r="S1460" s="40" t="n"/>
      <c r="T1460" s="40" t="n"/>
      <c r="U1460" s="40" t="n"/>
      <c r="V1460" s="40" t="n"/>
      <c r="W1460" s="40" t="n"/>
      <c r="X1460" s="40" t="n"/>
      <c r="Y1460" s="40" t="n"/>
      <c r="Z1460" s="40" t="n"/>
      <c r="AA1460" s="39" t="n"/>
    </row>
    <row r="1461">
      <c r="A1461" s="7" t="n"/>
      <c r="B1461" s="7" t="n"/>
      <c r="C1461" s="39" t="n"/>
      <c r="D1461" s="39" t="n"/>
      <c r="E1461" s="7" t="n"/>
      <c r="F1461" s="7" t="n"/>
      <c r="G1461" s="7" t="n"/>
      <c r="H1461" s="39" t="n"/>
      <c r="I1461" s="39" t="n"/>
      <c r="J1461" s="39" t="n"/>
      <c r="K1461" s="39" t="n"/>
      <c r="L1461" s="39" t="n"/>
      <c r="M1461" s="7" t="n"/>
      <c r="N1461" s="7" t="n"/>
      <c r="O1461" s="40" t="n"/>
      <c r="P1461" s="40" t="n"/>
      <c r="Q1461" s="40" t="n"/>
      <c r="R1461" s="40" t="n"/>
      <c r="S1461" s="40" t="n"/>
      <c r="T1461" s="40" t="n"/>
      <c r="U1461" s="40" t="n"/>
      <c r="V1461" s="40" t="n"/>
      <c r="W1461" s="40" t="n"/>
      <c r="X1461" s="40" t="n"/>
      <c r="Y1461" s="40" t="n"/>
      <c r="Z1461" s="40" t="n"/>
      <c r="AA1461" s="39" t="n"/>
    </row>
    <row r="1462">
      <c r="A1462" s="7" t="n"/>
      <c r="B1462" s="7" t="n"/>
      <c r="C1462" s="39" t="n"/>
      <c r="D1462" s="39" t="n"/>
      <c r="E1462" s="7" t="n"/>
      <c r="F1462" s="7" t="n"/>
      <c r="G1462" s="7" t="n"/>
      <c r="H1462" s="39" t="n"/>
      <c r="I1462" s="39" t="n"/>
      <c r="J1462" s="39" t="n"/>
      <c r="K1462" s="39" t="n"/>
      <c r="L1462" s="39" t="n"/>
      <c r="M1462" s="7" t="n"/>
      <c r="N1462" s="7" t="n"/>
      <c r="O1462" s="40" t="n"/>
      <c r="P1462" s="40" t="n"/>
      <c r="Q1462" s="40" t="n"/>
      <c r="R1462" s="40" t="n"/>
      <c r="S1462" s="40" t="n"/>
      <c r="T1462" s="40" t="n"/>
      <c r="U1462" s="40" t="n"/>
      <c r="V1462" s="40" t="n"/>
      <c r="W1462" s="40" t="n"/>
      <c r="X1462" s="40" t="n"/>
      <c r="Y1462" s="40" t="n"/>
      <c r="Z1462" s="40" t="n"/>
      <c r="AA1462" s="39" t="n"/>
    </row>
    <row r="1463">
      <c r="A1463" s="7" t="n"/>
      <c r="B1463" s="7" t="n"/>
      <c r="C1463" s="39" t="n"/>
      <c r="D1463" s="39" t="n"/>
      <c r="E1463" s="7" t="n"/>
      <c r="F1463" s="7" t="n"/>
      <c r="G1463" s="7" t="n"/>
      <c r="H1463" s="39" t="n"/>
      <c r="I1463" s="39" t="n"/>
      <c r="J1463" s="39" t="n"/>
      <c r="K1463" s="39" t="n"/>
      <c r="L1463" s="39" t="n"/>
      <c r="M1463" s="7" t="n"/>
      <c r="N1463" s="7" t="n"/>
      <c r="O1463" s="40" t="n"/>
      <c r="P1463" s="40" t="n"/>
      <c r="Q1463" s="40" t="n"/>
      <c r="R1463" s="40" t="n"/>
      <c r="S1463" s="40" t="n"/>
      <c r="T1463" s="40" t="n"/>
      <c r="U1463" s="40" t="n"/>
      <c r="V1463" s="40" t="n"/>
      <c r="W1463" s="40" t="n"/>
      <c r="X1463" s="40" t="n"/>
      <c r="Y1463" s="40" t="n"/>
      <c r="Z1463" s="40" t="n"/>
      <c r="AA1463" s="39" t="n"/>
    </row>
    <row r="1464">
      <c r="A1464" s="7" t="n"/>
      <c r="B1464" s="7" t="n"/>
      <c r="C1464" s="39" t="n"/>
      <c r="D1464" s="39" t="n"/>
      <c r="E1464" s="7" t="n"/>
      <c r="F1464" s="7" t="n"/>
      <c r="G1464" s="7" t="n"/>
      <c r="H1464" s="39" t="n"/>
      <c r="I1464" s="39" t="n"/>
      <c r="J1464" s="39" t="n"/>
      <c r="K1464" s="39" t="n"/>
      <c r="L1464" s="39" t="n"/>
      <c r="M1464" s="7" t="n"/>
      <c r="N1464" s="7" t="n"/>
      <c r="O1464" s="40" t="n"/>
      <c r="P1464" s="40" t="n"/>
      <c r="Q1464" s="40" t="n"/>
      <c r="R1464" s="40" t="n"/>
      <c r="S1464" s="40" t="n"/>
      <c r="T1464" s="40" t="n"/>
      <c r="U1464" s="40" t="n"/>
      <c r="V1464" s="40" t="n"/>
      <c r="W1464" s="40" t="n"/>
      <c r="X1464" s="40" t="n"/>
      <c r="Y1464" s="40" t="n"/>
      <c r="Z1464" s="40" t="n"/>
      <c r="AA1464" s="39" t="n"/>
    </row>
    <row r="1465">
      <c r="A1465" s="7" t="n"/>
      <c r="B1465" s="7" t="n"/>
      <c r="C1465" s="39" t="n"/>
      <c r="D1465" s="39" t="n"/>
      <c r="E1465" s="7" t="n"/>
      <c r="F1465" s="7" t="n"/>
      <c r="G1465" s="7" t="n"/>
      <c r="H1465" s="39" t="n"/>
      <c r="I1465" s="39" t="n"/>
      <c r="J1465" s="39" t="n"/>
      <c r="K1465" s="39" t="n"/>
      <c r="L1465" s="39" t="n"/>
      <c r="M1465" s="7" t="n"/>
      <c r="N1465" s="7" t="n"/>
      <c r="O1465" s="40" t="n"/>
      <c r="P1465" s="40" t="n"/>
      <c r="Q1465" s="40" t="n"/>
      <c r="R1465" s="40" t="n"/>
      <c r="S1465" s="40" t="n"/>
      <c r="T1465" s="40" t="n"/>
      <c r="U1465" s="40" t="n"/>
      <c r="V1465" s="40" t="n"/>
      <c r="W1465" s="40" t="n"/>
      <c r="X1465" s="40" t="n"/>
      <c r="Y1465" s="40" t="n"/>
      <c r="Z1465" s="40" t="n"/>
      <c r="AA1465" s="39" t="n"/>
    </row>
    <row r="1466">
      <c r="A1466" s="7" t="n"/>
      <c r="B1466" s="7" t="n"/>
      <c r="C1466" s="39" t="n"/>
      <c r="D1466" s="39" t="n"/>
      <c r="E1466" s="7" t="n"/>
      <c r="F1466" s="7" t="n"/>
      <c r="G1466" s="7" t="n"/>
      <c r="H1466" s="39" t="n"/>
      <c r="I1466" s="39" t="n"/>
      <c r="J1466" s="39" t="n"/>
      <c r="K1466" s="39" t="n"/>
      <c r="L1466" s="39" t="n"/>
      <c r="M1466" s="7" t="n"/>
      <c r="N1466" s="7" t="n"/>
      <c r="O1466" s="40" t="n"/>
      <c r="P1466" s="40" t="n"/>
      <c r="Q1466" s="40" t="n"/>
      <c r="R1466" s="40" t="n"/>
      <c r="S1466" s="40" t="n"/>
      <c r="T1466" s="40" t="n"/>
      <c r="U1466" s="40" t="n"/>
      <c r="V1466" s="40" t="n"/>
      <c r="W1466" s="40" t="n"/>
      <c r="X1466" s="40" t="n"/>
      <c r="Y1466" s="40" t="n"/>
      <c r="Z1466" s="40" t="n"/>
      <c r="AA1466" s="39" t="n"/>
    </row>
    <row r="1467">
      <c r="A1467" s="7" t="n"/>
      <c r="B1467" s="7" t="n"/>
      <c r="C1467" s="39" t="n"/>
      <c r="D1467" s="39" t="n"/>
      <c r="E1467" s="7" t="n"/>
      <c r="F1467" s="7" t="n"/>
      <c r="G1467" s="7" t="n"/>
      <c r="H1467" s="39" t="n"/>
      <c r="I1467" s="39" t="n"/>
      <c r="J1467" s="39" t="n"/>
      <c r="K1467" s="39" t="n"/>
      <c r="L1467" s="39" t="n"/>
      <c r="M1467" s="7" t="n"/>
      <c r="N1467" s="7" t="n"/>
      <c r="O1467" s="40" t="n"/>
      <c r="P1467" s="40" t="n"/>
      <c r="Q1467" s="40" t="n"/>
      <c r="R1467" s="40" t="n"/>
      <c r="S1467" s="40" t="n"/>
      <c r="T1467" s="40" t="n"/>
      <c r="U1467" s="40" t="n"/>
      <c r="V1467" s="40" t="n"/>
      <c r="W1467" s="40" t="n"/>
      <c r="X1467" s="40" t="n"/>
      <c r="Y1467" s="40" t="n"/>
      <c r="Z1467" s="40" t="n"/>
      <c r="AA1467" s="39" t="n"/>
    </row>
    <row r="1468">
      <c r="A1468" s="7" t="n"/>
      <c r="B1468" s="7" t="n"/>
      <c r="C1468" s="39" t="n"/>
      <c r="D1468" s="39" t="n"/>
      <c r="E1468" s="7" t="n"/>
      <c r="F1468" s="7" t="n"/>
      <c r="G1468" s="7" t="n"/>
      <c r="H1468" s="39" t="n"/>
      <c r="I1468" s="39" t="n"/>
      <c r="J1468" s="39" t="n"/>
      <c r="K1468" s="39" t="n"/>
      <c r="L1468" s="39" t="n"/>
      <c r="M1468" s="7" t="n"/>
      <c r="N1468" s="7" t="n"/>
      <c r="O1468" s="40" t="n"/>
      <c r="P1468" s="40" t="n"/>
      <c r="Q1468" s="40" t="n"/>
      <c r="R1468" s="40" t="n"/>
      <c r="S1468" s="40" t="n"/>
      <c r="T1468" s="40" t="n"/>
      <c r="U1468" s="40" t="n"/>
      <c r="V1468" s="40" t="n"/>
      <c r="W1468" s="40" t="n"/>
      <c r="X1468" s="40" t="n"/>
      <c r="Y1468" s="40" t="n"/>
      <c r="Z1468" s="40" t="n"/>
      <c r="AA1468" s="39" t="n"/>
    </row>
    <row r="1469">
      <c r="A1469" s="7" t="n"/>
      <c r="B1469" s="7" t="n"/>
      <c r="C1469" s="39" t="n"/>
      <c r="D1469" s="39" t="n"/>
      <c r="E1469" s="7" t="n"/>
      <c r="F1469" s="7" t="n"/>
      <c r="G1469" s="7" t="n"/>
      <c r="H1469" s="39" t="n"/>
      <c r="I1469" s="39" t="n"/>
      <c r="J1469" s="39" t="n"/>
      <c r="K1469" s="39" t="n"/>
      <c r="L1469" s="39" t="n"/>
      <c r="M1469" s="7" t="n"/>
      <c r="N1469" s="7" t="n"/>
      <c r="O1469" s="40" t="n"/>
      <c r="P1469" s="40" t="n"/>
      <c r="Q1469" s="40" t="n"/>
      <c r="R1469" s="40" t="n"/>
      <c r="S1469" s="40" t="n"/>
      <c r="T1469" s="40" t="n"/>
      <c r="U1469" s="40" t="n"/>
      <c r="V1469" s="40" t="n"/>
      <c r="W1469" s="40" t="n"/>
      <c r="X1469" s="40" t="n"/>
      <c r="Y1469" s="40" t="n"/>
      <c r="Z1469" s="40" t="n"/>
      <c r="AA1469" s="39" t="n"/>
    </row>
    <row r="1470">
      <c r="A1470" s="7" t="n"/>
      <c r="B1470" s="7" t="n"/>
      <c r="C1470" s="39" t="n"/>
      <c r="D1470" s="39" t="n"/>
      <c r="E1470" s="7" t="n"/>
      <c r="F1470" s="7" t="n"/>
      <c r="G1470" s="7" t="n"/>
      <c r="H1470" s="39" t="n"/>
      <c r="I1470" s="39" t="n"/>
      <c r="J1470" s="39" t="n"/>
      <c r="K1470" s="39" t="n"/>
      <c r="L1470" s="39" t="n"/>
      <c r="M1470" s="7" t="n"/>
      <c r="N1470" s="7" t="n"/>
      <c r="O1470" s="40" t="n"/>
      <c r="P1470" s="40" t="n"/>
      <c r="Q1470" s="40" t="n"/>
      <c r="R1470" s="40" t="n"/>
      <c r="S1470" s="40" t="n"/>
      <c r="T1470" s="40" t="n"/>
      <c r="U1470" s="40" t="n"/>
      <c r="V1470" s="40" t="n"/>
      <c r="W1470" s="40" t="n"/>
      <c r="X1470" s="40" t="n"/>
      <c r="Y1470" s="40" t="n"/>
      <c r="Z1470" s="40" t="n"/>
      <c r="AA1470" s="39" t="n"/>
    </row>
    <row r="1471">
      <c r="A1471" s="7" t="n"/>
      <c r="B1471" s="7" t="n"/>
      <c r="C1471" s="39" t="n"/>
      <c r="D1471" s="39" t="n"/>
      <c r="E1471" s="7" t="n"/>
      <c r="F1471" s="7" t="n"/>
      <c r="G1471" s="7" t="n"/>
      <c r="H1471" s="39" t="n"/>
      <c r="I1471" s="39" t="n"/>
      <c r="J1471" s="39" t="n"/>
      <c r="K1471" s="39" t="n"/>
      <c r="L1471" s="39" t="n"/>
      <c r="M1471" s="7" t="n"/>
      <c r="N1471" s="7" t="n"/>
      <c r="O1471" s="40" t="n"/>
      <c r="P1471" s="40" t="n"/>
      <c r="Q1471" s="40" t="n"/>
      <c r="R1471" s="40" t="n"/>
      <c r="S1471" s="40" t="n"/>
      <c r="T1471" s="40" t="n"/>
      <c r="U1471" s="40" t="n"/>
      <c r="V1471" s="40" t="n"/>
      <c r="W1471" s="40" t="n"/>
      <c r="X1471" s="40" t="n"/>
      <c r="Y1471" s="40" t="n"/>
      <c r="Z1471" s="40" t="n"/>
      <c r="AA1471" s="39" t="n"/>
    </row>
    <row r="1472">
      <c r="A1472" s="7" t="n"/>
      <c r="B1472" s="7" t="n"/>
      <c r="C1472" s="39" t="n"/>
      <c r="D1472" s="39" t="n"/>
      <c r="E1472" s="7" t="n"/>
      <c r="F1472" s="7" t="n"/>
      <c r="G1472" s="7" t="n"/>
      <c r="H1472" s="39" t="n"/>
      <c r="I1472" s="39" t="n"/>
      <c r="J1472" s="39" t="n"/>
      <c r="K1472" s="39" t="n"/>
      <c r="L1472" s="39" t="n"/>
      <c r="M1472" s="7" t="n"/>
      <c r="N1472" s="7" t="n"/>
      <c r="O1472" s="40" t="n"/>
      <c r="P1472" s="40" t="n"/>
      <c r="Q1472" s="40" t="n"/>
      <c r="R1472" s="40" t="n"/>
      <c r="S1472" s="40" t="n"/>
      <c r="T1472" s="40" t="n"/>
      <c r="U1472" s="40" t="n"/>
      <c r="V1472" s="40" t="n"/>
      <c r="W1472" s="40" t="n"/>
      <c r="X1472" s="40" t="n"/>
      <c r="Y1472" s="40" t="n"/>
      <c r="Z1472" s="40" t="n"/>
      <c r="AA1472" s="39" t="n"/>
    </row>
    <row r="1473">
      <c r="A1473" s="7" t="n"/>
      <c r="B1473" s="7" t="n"/>
      <c r="C1473" s="39" t="n"/>
      <c r="D1473" s="39" t="n"/>
      <c r="E1473" s="7" t="n"/>
      <c r="F1473" s="7" t="n"/>
      <c r="G1473" s="7" t="n"/>
      <c r="H1473" s="39" t="n"/>
      <c r="I1473" s="39" t="n"/>
      <c r="J1473" s="39" t="n"/>
      <c r="K1473" s="39" t="n"/>
      <c r="L1473" s="39" t="n"/>
      <c r="M1473" s="7" t="n"/>
      <c r="N1473" s="7" t="n"/>
      <c r="O1473" s="40" t="n"/>
      <c r="P1473" s="40" t="n"/>
      <c r="Q1473" s="40" t="n"/>
      <c r="R1473" s="40" t="n"/>
      <c r="S1473" s="40" t="n"/>
      <c r="T1473" s="40" t="n"/>
      <c r="U1473" s="40" t="n"/>
      <c r="V1473" s="40" t="n"/>
      <c r="W1473" s="40" t="n"/>
      <c r="X1473" s="40" t="n"/>
      <c r="Y1473" s="40" t="n"/>
      <c r="Z1473" s="40" t="n"/>
      <c r="AA1473" s="39" t="n"/>
    </row>
    <row r="1474">
      <c r="A1474" s="7" t="n"/>
      <c r="B1474" s="7" t="n"/>
      <c r="C1474" s="39" t="n"/>
      <c r="D1474" s="39" t="n"/>
      <c r="E1474" s="7" t="n"/>
      <c r="F1474" s="7" t="n"/>
      <c r="G1474" s="7" t="n"/>
      <c r="H1474" s="39" t="n"/>
      <c r="I1474" s="39" t="n"/>
      <c r="J1474" s="39" t="n"/>
      <c r="K1474" s="39" t="n"/>
      <c r="L1474" s="39" t="n"/>
      <c r="M1474" s="7" t="n"/>
      <c r="N1474" s="7" t="n"/>
      <c r="O1474" s="40" t="n"/>
      <c r="P1474" s="40" t="n"/>
      <c r="Q1474" s="40" t="n"/>
      <c r="R1474" s="40" t="n"/>
      <c r="S1474" s="40" t="n"/>
      <c r="T1474" s="40" t="n"/>
      <c r="U1474" s="40" t="n"/>
      <c r="V1474" s="40" t="n"/>
      <c r="W1474" s="40" t="n"/>
      <c r="X1474" s="40" t="n"/>
      <c r="Y1474" s="40" t="n"/>
      <c r="Z1474" s="40" t="n"/>
      <c r="AA1474" s="39" t="n"/>
    </row>
    <row r="1475">
      <c r="A1475" s="7" t="n"/>
      <c r="B1475" s="7" t="n"/>
      <c r="C1475" s="39" t="n"/>
      <c r="D1475" s="39" t="n"/>
      <c r="E1475" s="7" t="n"/>
      <c r="F1475" s="7" t="n"/>
      <c r="G1475" s="7" t="n"/>
      <c r="H1475" s="39" t="n"/>
      <c r="I1475" s="39" t="n"/>
      <c r="J1475" s="39" t="n"/>
      <c r="K1475" s="39" t="n"/>
      <c r="L1475" s="39" t="n"/>
      <c r="M1475" s="7" t="n"/>
      <c r="N1475" s="7" t="n"/>
      <c r="O1475" s="40" t="n"/>
      <c r="P1475" s="40" t="n"/>
      <c r="Q1475" s="40" t="n"/>
      <c r="R1475" s="40" t="n"/>
      <c r="S1475" s="40" t="n"/>
      <c r="T1475" s="40" t="n"/>
      <c r="U1475" s="40" t="n"/>
      <c r="V1475" s="40" t="n"/>
      <c r="W1475" s="40" t="n"/>
      <c r="X1475" s="40" t="n"/>
      <c r="Y1475" s="40" t="n"/>
      <c r="Z1475" s="40" t="n"/>
      <c r="AA1475" s="39" t="n"/>
    </row>
    <row r="1476">
      <c r="A1476" s="7" t="n"/>
      <c r="B1476" s="7" t="n"/>
      <c r="C1476" s="39" t="n"/>
      <c r="D1476" s="39" t="n"/>
      <c r="E1476" s="7" t="n"/>
      <c r="F1476" s="7" t="n"/>
      <c r="G1476" s="7" t="n"/>
      <c r="H1476" s="39" t="n"/>
      <c r="I1476" s="39" t="n"/>
      <c r="J1476" s="39" t="n"/>
      <c r="K1476" s="39" t="n"/>
      <c r="L1476" s="39" t="n"/>
      <c r="M1476" s="7" t="n"/>
      <c r="N1476" s="7" t="n"/>
      <c r="O1476" s="40" t="n"/>
      <c r="P1476" s="40" t="n"/>
      <c r="Q1476" s="40" t="n"/>
      <c r="R1476" s="40" t="n"/>
      <c r="S1476" s="40" t="n"/>
      <c r="T1476" s="40" t="n"/>
      <c r="U1476" s="40" t="n"/>
      <c r="V1476" s="40" t="n"/>
      <c r="W1476" s="40" t="n"/>
      <c r="X1476" s="40" t="n"/>
      <c r="Y1476" s="40" t="n"/>
      <c r="Z1476" s="40" t="n"/>
      <c r="AA1476" s="39" t="n"/>
    </row>
    <row r="1477">
      <c r="A1477" s="7" t="n"/>
      <c r="B1477" s="7" t="n"/>
      <c r="C1477" s="39" t="n"/>
      <c r="D1477" s="39" t="n"/>
      <c r="E1477" s="7" t="n"/>
      <c r="F1477" s="7" t="n"/>
      <c r="G1477" s="7" t="n"/>
      <c r="H1477" s="39" t="n"/>
      <c r="I1477" s="39" t="n"/>
      <c r="J1477" s="39" t="n"/>
      <c r="K1477" s="39" t="n"/>
      <c r="L1477" s="39" t="n"/>
      <c r="M1477" s="7" t="n"/>
      <c r="N1477" s="7" t="n"/>
      <c r="O1477" s="40" t="n"/>
      <c r="P1477" s="40" t="n"/>
      <c r="Q1477" s="40" t="n"/>
      <c r="R1477" s="40" t="n"/>
      <c r="S1477" s="40" t="n"/>
      <c r="T1477" s="40" t="n"/>
      <c r="U1477" s="40" t="n"/>
      <c r="V1477" s="40" t="n"/>
      <c r="W1477" s="40" t="n"/>
      <c r="X1477" s="40" t="n"/>
      <c r="Y1477" s="40" t="n"/>
      <c r="Z1477" s="40" t="n"/>
      <c r="AA1477" s="39" t="n"/>
    </row>
    <row r="1478">
      <c r="A1478" s="7" t="n"/>
      <c r="B1478" s="7" t="n"/>
      <c r="C1478" s="39" t="n"/>
      <c r="D1478" s="39" t="n"/>
      <c r="E1478" s="7" t="n"/>
      <c r="F1478" s="7" t="n"/>
      <c r="G1478" s="7" t="n"/>
      <c r="H1478" s="39" t="n"/>
      <c r="I1478" s="39" t="n"/>
      <c r="J1478" s="39" t="n"/>
      <c r="K1478" s="39" t="n"/>
      <c r="L1478" s="39" t="n"/>
      <c r="M1478" s="7" t="n"/>
      <c r="N1478" s="7" t="n"/>
      <c r="O1478" s="40" t="n"/>
      <c r="P1478" s="40" t="n"/>
      <c r="Q1478" s="40" t="n"/>
      <c r="R1478" s="40" t="n"/>
      <c r="S1478" s="40" t="n"/>
      <c r="T1478" s="40" t="n"/>
      <c r="U1478" s="40" t="n"/>
      <c r="V1478" s="40" t="n"/>
      <c r="W1478" s="40" t="n"/>
      <c r="X1478" s="40" t="n"/>
      <c r="Y1478" s="40" t="n"/>
      <c r="Z1478" s="40" t="n"/>
      <c r="AA1478" s="39" t="n"/>
    </row>
    <row r="1479">
      <c r="A1479" s="7" t="n"/>
      <c r="B1479" s="7" t="n"/>
      <c r="C1479" s="39" t="n"/>
      <c r="D1479" s="39" t="n"/>
      <c r="E1479" s="7" t="n"/>
      <c r="F1479" s="7" t="n"/>
      <c r="G1479" s="7" t="n"/>
      <c r="H1479" s="39" t="n"/>
      <c r="I1479" s="39" t="n"/>
      <c r="J1479" s="39" t="n"/>
      <c r="K1479" s="39" t="n"/>
      <c r="L1479" s="39" t="n"/>
      <c r="M1479" s="7" t="n"/>
      <c r="N1479" s="7" t="n"/>
      <c r="O1479" s="40" t="n"/>
      <c r="P1479" s="40" t="n"/>
      <c r="Q1479" s="40" t="n"/>
      <c r="R1479" s="40" t="n"/>
      <c r="S1479" s="40" t="n"/>
      <c r="T1479" s="40" t="n"/>
      <c r="U1479" s="40" t="n"/>
      <c r="V1479" s="40" t="n"/>
      <c r="W1479" s="40" t="n"/>
      <c r="X1479" s="40" t="n"/>
      <c r="Y1479" s="40" t="n"/>
      <c r="Z1479" s="40" t="n"/>
      <c r="AA1479" s="39" t="n"/>
    </row>
    <row r="1480">
      <c r="A1480" s="7" t="n"/>
      <c r="B1480" s="7" t="n"/>
      <c r="C1480" s="39" t="n"/>
      <c r="D1480" s="39" t="n"/>
      <c r="E1480" s="7" t="n"/>
      <c r="F1480" s="7" t="n"/>
      <c r="G1480" s="7" t="n"/>
      <c r="H1480" s="39" t="n"/>
      <c r="I1480" s="39" t="n"/>
      <c r="J1480" s="39" t="n"/>
      <c r="K1480" s="39" t="n"/>
      <c r="L1480" s="39" t="n"/>
      <c r="M1480" s="7" t="n"/>
      <c r="N1480" s="7" t="n"/>
      <c r="O1480" s="40" t="n"/>
      <c r="P1480" s="40" t="n"/>
      <c r="Q1480" s="40" t="n"/>
      <c r="R1480" s="40" t="n"/>
      <c r="S1480" s="40" t="n"/>
      <c r="T1480" s="40" t="n"/>
      <c r="U1480" s="40" t="n"/>
      <c r="V1480" s="40" t="n"/>
      <c r="W1480" s="40" t="n"/>
      <c r="X1480" s="40" t="n"/>
      <c r="Y1480" s="40" t="n"/>
      <c r="Z1480" s="40" t="n"/>
      <c r="AA1480" s="39" t="n"/>
    </row>
    <row r="1481">
      <c r="A1481" s="7" t="n"/>
      <c r="B1481" s="7" t="n"/>
      <c r="C1481" s="39" t="n"/>
      <c r="D1481" s="39" t="n"/>
      <c r="E1481" s="7" t="n"/>
      <c r="F1481" s="7" t="n"/>
      <c r="G1481" s="7" t="n"/>
      <c r="H1481" s="39" t="n"/>
      <c r="I1481" s="39" t="n"/>
      <c r="J1481" s="39" t="n"/>
      <c r="K1481" s="39" t="n"/>
      <c r="L1481" s="39" t="n"/>
      <c r="M1481" s="7" t="n"/>
      <c r="N1481" s="7" t="n"/>
      <c r="O1481" s="40" t="n"/>
      <c r="P1481" s="40" t="n"/>
      <c r="Q1481" s="40" t="n"/>
      <c r="R1481" s="40" t="n"/>
      <c r="S1481" s="40" t="n"/>
      <c r="T1481" s="40" t="n"/>
      <c r="U1481" s="40" t="n"/>
      <c r="V1481" s="40" t="n"/>
      <c r="W1481" s="40" t="n"/>
      <c r="X1481" s="40" t="n"/>
      <c r="Y1481" s="40" t="n"/>
      <c r="Z1481" s="40" t="n"/>
      <c r="AA1481" s="39" t="n"/>
    </row>
    <row r="1482">
      <c r="A1482" s="7" t="n"/>
      <c r="B1482" s="7" t="n"/>
      <c r="C1482" s="39" t="n"/>
      <c r="D1482" s="39" t="n"/>
      <c r="E1482" s="7" t="n"/>
      <c r="F1482" s="7" t="n"/>
      <c r="G1482" s="7" t="n"/>
      <c r="H1482" s="39" t="n"/>
      <c r="I1482" s="39" t="n"/>
      <c r="J1482" s="39" t="n"/>
      <c r="K1482" s="39" t="n"/>
      <c r="L1482" s="39" t="n"/>
      <c r="M1482" s="7" t="n"/>
      <c r="N1482" s="7" t="n"/>
      <c r="O1482" s="40" t="n"/>
      <c r="P1482" s="40" t="n"/>
      <c r="Q1482" s="40" t="n"/>
      <c r="R1482" s="40" t="n"/>
      <c r="S1482" s="40" t="n"/>
      <c r="T1482" s="40" t="n"/>
      <c r="U1482" s="40" t="n"/>
      <c r="V1482" s="40" t="n"/>
      <c r="W1482" s="40" t="n"/>
      <c r="X1482" s="40" t="n"/>
      <c r="Y1482" s="40" t="n"/>
      <c r="Z1482" s="40" t="n"/>
      <c r="AA1482" s="39" t="n"/>
    </row>
    <row r="1483">
      <c r="A1483" s="7" t="n"/>
      <c r="B1483" s="7" t="n"/>
      <c r="C1483" s="39" t="n"/>
      <c r="D1483" s="39" t="n"/>
      <c r="E1483" s="7" t="n"/>
      <c r="F1483" s="7" t="n"/>
      <c r="G1483" s="7" t="n"/>
      <c r="H1483" s="39" t="n"/>
      <c r="I1483" s="39" t="n"/>
      <c r="J1483" s="39" t="n"/>
      <c r="K1483" s="39" t="n"/>
      <c r="L1483" s="39" t="n"/>
      <c r="M1483" s="7" t="n"/>
      <c r="N1483" s="7" t="n"/>
      <c r="O1483" s="40" t="n"/>
      <c r="P1483" s="40" t="n"/>
      <c r="Q1483" s="40" t="n"/>
      <c r="R1483" s="40" t="n"/>
      <c r="S1483" s="40" t="n"/>
      <c r="T1483" s="40" t="n"/>
      <c r="U1483" s="40" t="n"/>
      <c r="V1483" s="40" t="n"/>
      <c r="W1483" s="40" t="n"/>
      <c r="X1483" s="40" t="n"/>
      <c r="Y1483" s="40" t="n"/>
      <c r="Z1483" s="40" t="n"/>
      <c r="AA1483" s="39" t="n"/>
    </row>
    <row r="1484">
      <c r="A1484" s="7" t="n"/>
      <c r="B1484" s="7" t="n"/>
      <c r="C1484" s="39" t="n"/>
      <c r="D1484" s="39" t="n"/>
      <c r="E1484" s="7" t="n"/>
      <c r="F1484" s="7" t="n"/>
      <c r="G1484" s="7" t="n"/>
      <c r="H1484" s="39" t="n"/>
      <c r="I1484" s="39" t="n"/>
      <c r="J1484" s="39" t="n"/>
      <c r="K1484" s="39" t="n"/>
      <c r="L1484" s="39" t="n"/>
      <c r="M1484" s="7" t="n"/>
      <c r="N1484" s="7" t="n"/>
      <c r="O1484" s="40" t="n"/>
      <c r="P1484" s="40" t="n"/>
      <c r="Q1484" s="40" t="n"/>
      <c r="R1484" s="40" t="n"/>
      <c r="S1484" s="40" t="n"/>
      <c r="T1484" s="40" t="n"/>
      <c r="U1484" s="40" t="n"/>
      <c r="V1484" s="40" t="n"/>
      <c r="W1484" s="40" t="n"/>
      <c r="X1484" s="40" t="n"/>
      <c r="Y1484" s="40" t="n"/>
      <c r="Z1484" s="40" t="n"/>
      <c r="AA1484" s="39" t="n"/>
    </row>
    <row r="1485">
      <c r="A1485" s="7" t="n"/>
      <c r="B1485" s="7" t="n"/>
      <c r="C1485" s="39" t="n"/>
      <c r="D1485" s="39" t="n"/>
      <c r="E1485" s="7" t="n"/>
      <c r="F1485" s="7" t="n"/>
      <c r="G1485" s="7" t="n"/>
      <c r="H1485" s="39" t="n"/>
      <c r="I1485" s="39" t="n"/>
      <c r="J1485" s="39" t="n"/>
      <c r="K1485" s="39" t="n"/>
      <c r="L1485" s="39" t="n"/>
      <c r="M1485" s="7" t="n"/>
      <c r="N1485" s="7" t="n"/>
      <c r="O1485" s="40" t="n"/>
      <c r="P1485" s="40" t="n"/>
      <c r="Q1485" s="40" t="n"/>
      <c r="R1485" s="40" t="n"/>
      <c r="S1485" s="40" t="n"/>
      <c r="T1485" s="40" t="n"/>
      <c r="U1485" s="40" t="n"/>
      <c r="V1485" s="40" t="n"/>
      <c r="W1485" s="40" t="n"/>
      <c r="X1485" s="40" t="n"/>
      <c r="Y1485" s="40" t="n"/>
      <c r="Z1485" s="40" t="n"/>
      <c r="AA1485" s="39" t="n"/>
    </row>
    <row r="1486">
      <c r="A1486" s="7" t="n"/>
      <c r="B1486" s="7" t="n"/>
      <c r="C1486" s="39" t="n"/>
      <c r="D1486" s="39" t="n"/>
      <c r="E1486" s="7" t="n"/>
      <c r="F1486" s="7" t="n"/>
      <c r="G1486" s="7" t="n"/>
      <c r="H1486" s="39" t="n"/>
      <c r="I1486" s="39" t="n"/>
      <c r="J1486" s="39" t="n"/>
      <c r="K1486" s="39" t="n"/>
      <c r="L1486" s="39" t="n"/>
      <c r="M1486" s="7" t="n"/>
      <c r="N1486" s="7" t="n"/>
      <c r="O1486" s="40" t="n"/>
      <c r="P1486" s="40" t="n"/>
      <c r="Q1486" s="40" t="n"/>
      <c r="R1486" s="40" t="n"/>
      <c r="S1486" s="40" t="n"/>
      <c r="T1486" s="40" t="n"/>
      <c r="U1486" s="40" t="n"/>
      <c r="V1486" s="40" t="n"/>
      <c r="W1486" s="40" t="n"/>
      <c r="X1486" s="40" t="n"/>
      <c r="Y1486" s="40" t="n"/>
      <c r="Z1486" s="40" t="n"/>
      <c r="AA1486" s="39" t="n"/>
    </row>
    <row r="1487">
      <c r="A1487" s="7" t="n"/>
      <c r="B1487" s="7" t="n"/>
      <c r="C1487" s="39" t="n"/>
      <c r="D1487" s="39" t="n"/>
      <c r="E1487" s="7" t="n"/>
      <c r="F1487" s="7" t="n"/>
      <c r="G1487" s="7" t="n"/>
      <c r="H1487" s="39" t="n"/>
      <c r="I1487" s="39" t="n"/>
      <c r="J1487" s="39" t="n"/>
      <c r="K1487" s="39" t="n"/>
      <c r="L1487" s="39" t="n"/>
      <c r="M1487" s="7" t="n"/>
      <c r="N1487" s="7" t="n"/>
      <c r="O1487" s="40" t="n"/>
      <c r="P1487" s="40" t="n"/>
      <c r="Q1487" s="40" t="n"/>
      <c r="R1487" s="40" t="n"/>
      <c r="S1487" s="40" t="n"/>
      <c r="T1487" s="40" t="n"/>
      <c r="U1487" s="40" t="n"/>
      <c r="V1487" s="40" t="n"/>
      <c r="W1487" s="40" t="n"/>
      <c r="X1487" s="40" t="n"/>
      <c r="Y1487" s="40" t="n"/>
      <c r="Z1487" s="40" t="n"/>
      <c r="AA1487" s="39" t="n"/>
    </row>
    <row r="1488">
      <c r="A1488" s="7" t="n"/>
      <c r="B1488" s="7" t="n"/>
      <c r="C1488" s="39" t="n"/>
      <c r="D1488" s="39" t="n"/>
      <c r="E1488" s="7" t="n"/>
      <c r="F1488" s="7" t="n"/>
      <c r="G1488" s="7" t="n"/>
      <c r="H1488" s="39" t="n"/>
      <c r="I1488" s="39" t="n"/>
      <c r="J1488" s="39" t="n"/>
      <c r="K1488" s="39" t="n"/>
      <c r="L1488" s="39" t="n"/>
      <c r="M1488" s="7" t="n"/>
      <c r="N1488" s="7" t="n"/>
      <c r="O1488" s="40" t="n"/>
      <c r="P1488" s="40" t="n"/>
      <c r="Q1488" s="40" t="n"/>
      <c r="R1488" s="40" t="n"/>
      <c r="S1488" s="40" t="n"/>
      <c r="T1488" s="40" t="n"/>
      <c r="U1488" s="40" t="n"/>
      <c r="V1488" s="40" t="n"/>
      <c r="W1488" s="40" t="n"/>
      <c r="X1488" s="40" t="n"/>
      <c r="Y1488" s="40" t="n"/>
      <c r="Z1488" s="40" t="n"/>
      <c r="AA1488" s="39" t="n"/>
    </row>
    <row r="1489">
      <c r="A1489" s="7" t="n"/>
      <c r="B1489" s="7" t="n"/>
      <c r="C1489" s="39" t="n"/>
      <c r="D1489" s="39" t="n"/>
      <c r="E1489" s="7" t="n"/>
      <c r="F1489" s="7" t="n"/>
      <c r="G1489" s="7" t="n"/>
      <c r="H1489" s="39" t="n"/>
      <c r="I1489" s="39" t="n"/>
      <c r="J1489" s="39" t="n"/>
      <c r="K1489" s="39" t="n"/>
      <c r="L1489" s="39" t="n"/>
      <c r="M1489" s="7" t="n"/>
      <c r="N1489" s="7" t="n"/>
      <c r="O1489" s="40" t="n"/>
      <c r="P1489" s="40" t="n"/>
      <c r="Q1489" s="40" t="n"/>
      <c r="R1489" s="40" t="n"/>
      <c r="S1489" s="40" t="n"/>
      <c r="T1489" s="40" t="n"/>
      <c r="U1489" s="40" t="n"/>
      <c r="V1489" s="40" t="n"/>
      <c r="W1489" s="40" t="n"/>
      <c r="X1489" s="40" t="n"/>
      <c r="Y1489" s="40" t="n"/>
      <c r="Z1489" s="40" t="n"/>
      <c r="AA1489" s="39" t="n"/>
    </row>
    <row r="1490">
      <c r="A1490" s="7" t="n"/>
      <c r="B1490" s="7" t="n"/>
      <c r="C1490" s="39" t="n"/>
      <c r="D1490" s="39" t="n"/>
      <c r="E1490" s="7" t="n"/>
      <c r="F1490" s="7" t="n"/>
      <c r="G1490" s="7" t="n"/>
      <c r="H1490" s="39" t="n"/>
      <c r="I1490" s="39" t="n"/>
      <c r="J1490" s="39" t="n"/>
      <c r="K1490" s="39" t="n"/>
      <c r="L1490" s="39" t="n"/>
      <c r="M1490" s="7" t="n"/>
      <c r="N1490" s="7" t="n"/>
      <c r="O1490" s="40" t="n"/>
      <c r="P1490" s="40" t="n"/>
      <c r="Q1490" s="40" t="n"/>
      <c r="R1490" s="40" t="n"/>
      <c r="S1490" s="40" t="n"/>
      <c r="T1490" s="40" t="n"/>
      <c r="U1490" s="40" t="n"/>
      <c r="V1490" s="40" t="n"/>
      <c r="W1490" s="40" t="n"/>
      <c r="X1490" s="40" t="n"/>
      <c r="Y1490" s="40" t="n"/>
      <c r="Z1490" s="40" t="n"/>
      <c r="AA1490" s="39" t="n"/>
    </row>
    <row r="1491">
      <c r="A1491" s="7" t="n"/>
      <c r="B1491" s="7" t="n"/>
      <c r="C1491" s="39" t="n"/>
      <c r="D1491" s="39" t="n"/>
      <c r="E1491" s="7" t="n"/>
      <c r="F1491" s="7" t="n"/>
      <c r="G1491" s="7" t="n"/>
      <c r="H1491" s="39" t="n"/>
      <c r="I1491" s="39" t="n"/>
      <c r="J1491" s="39" t="n"/>
      <c r="K1491" s="39" t="n"/>
      <c r="L1491" s="39" t="n"/>
      <c r="M1491" s="7" t="n"/>
      <c r="N1491" s="7" t="n"/>
      <c r="O1491" s="40" t="n"/>
      <c r="P1491" s="40" t="n"/>
      <c r="Q1491" s="40" t="n"/>
      <c r="R1491" s="40" t="n"/>
      <c r="S1491" s="40" t="n"/>
      <c r="T1491" s="40" t="n"/>
      <c r="U1491" s="40" t="n"/>
      <c r="V1491" s="40" t="n"/>
      <c r="W1491" s="40" t="n"/>
      <c r="X1491" s="40" t="n"/>
      <c r="Y1491" s="40" t="n"/>
      <c r="Z1491" s="40" t="n"/>
      <c r="AA1491" s="39" t="n"/>
    </row>
    <row r="1492">
      <c r="A1492" s="7" t="n"/>
      <c r="B1492" s="7" t="n"/>
      <c r="C1492" s="39" t="n"/>
      <c r="D1492" s="39" t="n"/>
      <c r="E1492" s="7" t="n"/>
      <c r="F1492" s="7" t="n"/>
      <c r="G1492" s="7" t="n"/>
      <c r="H1492" s="39" t="n"/>
      <c r="I1492" s="39" t="n"/>
      <c r="J1492" s="39" t="n"/>
      <c r="K1492" s="39" t="n"/>
      <c r="L1492" s="39" t="n"/>
      <c r="M1492" s="7" t="n"/>
      <c r="N1492" s="7" t="n"/>
      <c r="O1492" s="40" t="n"/>
      <c r="P1492" s="40" t="n"/>
      <c r="Q1492" s="40" t="n"/>
      <c r="R1492" s="40" t="n"/>
      <c r="S1492" s="40" t="n"/>
      <c r="T1492" s="40" t="n"/>
      <c r="U1492" s="40" t="n"/>
      <c r="V1492" s="40" t="n"/>
      <c r="W1492" s="40" t="n"/>
      <c r="X1492" s="40" t="n"/>
      <c r="Y1492" s="40" t="n"/>
      <c r="Z1492" s="40" t="n"/>
      <c r="AA1492" s="39" t="n"/>
    </row>
    <row r="1493">
      <c r="A1493" s="7" t="n"/>
      <c r="B1493" s="7" t="n"/>
      <c r="C1493" s="39" t="n"/>
      <c r="D1493" s="39" t="n"/>
      <c r="E1493" s="7" t="n"/>
      <c r="F1493" s="7" t="n"/>
      <c r="G1493" s="7" t="n"/>
      <c r="H1493" s="39" t="n"/>
      <c r="I1493" s="39" t="n"/>
      <c r="J1493" s="39" t="n"/>
      <c r="K1493" s="39" t="n"/>
      <c r="L1493" s="39" t="n"/>
      <c r="M1493" s="7" t="n"/>
      <c r="N1493" s="7" t="n"/>
      <c r="O1493" s="40" t="n"/>
      <c r="P1493" s="40" t="n"/>
      <c r="Q1493" s="40" t="n"/>
      <c r="R1493" s="40" t="n"/>
      <c r="S1493" s="40" t="n"/>
      <c r="T1493" s="40" t="n"/>
      <c r="U1493" s="40" t="n"/>
      <c r="V1493" s="40" t="n"/>
      <c r="W1493" s="40" t="n"/>
      <c r="X1493" s="40" t="n"/>
      <c r="Y1493" s="40" t="n"/>
      <c r="Z1493" s="40" t="n"/>
      <c r="AA1493" s="39" t="n"/>
    </row>
    <row r="1494">
      <c r="A1494" s="7" t="n"/>
      <c r="B1494" s="7" t="n"/>
      <c r="C1494" s="39" t="n"/>
      <c r="D1494" s="39" t="n"/>
      <c r="E1494" s="7" t="n"/>
      <c r="F1494" s="7" t="n"/>
      <c r="G1494" s="7" t="n"/>
      <c r="H1494" s="39" t="n"/>
      <c r="I1494" s="39" t="n"/>
      <c r="J1494" s="39" t="n"/>
      <c r="K1494" s="39" t="n"/>
      <c r="L1494" s="39" t="n"/>
      <c r="M1494" s="7" t="n"/>
      <c r="N1494" s="7" t="n"/>
      <c r="O1494" s="40" t="n"/>
      <c r="P1494" s="40" t="n"/>
      <c r="Q1494" s="40" t="n"/>
      <c r="R1494" s="40" t="n"/>
      <c r="S1494" s="40" t="n"/>
      <c r="T1494" s="40" t="n"/>
      <c r="U1494" s="40" t="n"/>
      <c r="V1494" s="40" t="n"/>
      <c r="W1494" s="40" t="n"/>
      <c r="X1494" s="40" t="n"/>
      <c r="Y1494" s="40" t="n"/>
      <c r="Z1494" s="40" t="n"/>
      <c r="AA1494" s="39" t="n"/>
    </row>
    <row r="1495">
      <c r="A1495" s="7" t="n"/>
      <c r="B1495" s="7" t="n"/>
      <c r="C1495" s="39" t="n"/>
      <c r="D1495" s="39" t="n"/>
      <c r="E1495" s="7" t="n"/>
      <c r="F1495" s="7" t="n"/>
      <c r="G1495" s="7" t="n"/>
      <c r="H1495" s="39" t="n"/>
      <c r="I1495" s="39" t="n"/>
      <c r="J1495" s="39" t="n"/>
      <c r="K1495" s="39" t="n"/>
      <c r="L1495" s="39" t="n"/>
      <c r="M1495" s="7" t="n"/>
      <c r="N1495" s="7" t="n"/>
      <c r="O1495" s="40" t="n"/>
      <c r="P1495" s="40" t="n"/>
      <c r="Q1495" s="40" t="n"/>
      <c r="R1495" s="40" t="n"/>
      <c r="S1495" s="40" t="n"/>
      <c r="T1495" s="40" t="n"/>
      <c r="U1495" s="40" t="n"/>
      <c r="V1495" s="40" t="n"/>
      <c r="W1495" s="40" t="n"/>
      <c r="X1495" s="40" t="n"/>
      <c r="Y1495" s="40" t="n"/>
      <c r="Z1495" s="40" t="n"/>
      <c r="AA1495" s="39" t="n"/>
    </row>
    <row r="1496">
      <c r="A1496" s="7" t="n"/>
      <c r="B1496" s="7" t="n"/>
      <c r="C1496" s="39" t="n"/>
      <c r="D1496" s="39" t="n"/>
      <c r="E1496" s="7" t="n"/>
      <c r="F1496" s="7" t="n"/>
      <c r="G1496" s="7" t="n"/>
      <c r="H1496" s="39" t="n"/>
      <c r="I1496" s="39" t="n"/>
      <c r="J1496" s="39" t="n"/>
      <c r="K1496" s="39" t="n"/>
      <c r="L1496" s="39" t="n"/>
      <c r="M1496" s="7" t="n"/>
      <c r="N1496" s="7" t="n"/>
      <c r="O1496" s="40" t="n"/>
      <c r="P1496" s="40" t="n"/>
      <c r="Q1496" s="40" t="n"/>
      <c r="R1496" s="40" t="n"/>
      <c r="S1496" s="40" t="n"/>
      <c r="T1496" s="40" t="n"/>
      <c r="U1496" s="40" t="n"/>
      <c r="V1496" s="40" t="n"/>
      <c r="W1496" s="40" t="n"/>
      <c r="X1496" s="40" t="n"/>
      <c r="Y1496" s="40" t="n"/>
      <c r="Z1496" s="40" t="n"/>
      <c r="AA1496" s="39" t="n"/>
    </row>
    <row r="1497">
      <c r="A1497" s="7" t="n"/>
      <c r="B1497" s="7" t="n"/>
      <c r="C1497" s="39" t="n"/>
      <c r="D1497" s="39" t="n"/>
      <c r="E1497" s="7" t="n"/>
      <c r="F1497" s="7" t="n"/>
      <c r="G1497" s="7" t="n"/>
      <c r="H1497" s="39" t="n"/>
      <c r="I1497" s="39" t="n"/>
      <c r="J1497" s="39" t="n"/>
      <c r="K1497" s="39" t="n"/>
      <c r="L1497" s="39" t="n"/>
      <c r="M1497" s="7" t="n"/>
      <c r="N1497" s="7" t="n"/>
      <c r="O1497" s="40" t="n"/>
      <c r="P1497" s="40" t="n"/>
      <c r="Q1497" s="40" t="n"/>
      <c r="R1497" s="40" t="n"/>
      <c r="S1497" s="40" t="n"/>
      <c r="T1497" s="40" t="n"/>
      <c r="U1497" s="40" t="n"/>
      <c r="V1497" s="40" t="n"/>
      <c r="W1497" s="40" t="n"/>
      <c r="X1497" s="40" t="n"/>
      <c r="Y1497" s="40" t="n"/>
      <c r="Z1497" s="40" t="n"/>
      <c r="AA1497" s="39" t="n"/>
    </row>
    <row r="1498">
      <c r="A1498" s="7" t="n"/>
      <c r="B1498" s="7" t="n"/>
      <c r="C1498" s="39" t="n"/>
      <c r="D1498" s="39" t="n"/>
      <c r="E1498" s="7" t="n"/>
      <c r="F1498" s="7" t="n"/>
      <c r="G1498" s="7" t="n"/>
      <c r="H1498" s="39" t="n"/>
      <c r="I1498" s="39" t="n"/>
      <c r="J1498" s="39" t="n"/>
      <c r="K1498" s="39" t="n"/>
      <c r="L1498" s="39" t="n"/>
      <c r="M1498" s="7" t="n"/>
      <c r="N1498" s="7" t="n"/>
      <c r="O1498" s="40" t="n"/>
      <c r="P1498" s="40" t="n"/>
      <c r="Q1498" s="40" t="n"/>
      <c r="R1498" s="40" t="n"/>
      <c r="S1498" s="40" t="n"/>
      <c r="T1498" s="40" t="n"/>
      <c r="U1498" s="40" t="n"/>
      <c r="V1498" s="40" t="n"/>
      <c r="W1498" s="40" t="n"/>
      <c r="X1498" s="40" t="n"/>
      <c r="Y1498" s="40" t="n"/>
      <c r="Z1498" s="40" t="n"/>
      <c r="AA1498" s="39" t="n"/>
    </row>
    <row r="1499">
      <c r="A1499" s="7" t="n"/>
      <c r="B1499" s="7" t="n"/>
      <c r="C1499" s="39" t="n"/>
      <c r="D1499" s="39" t="n"/>
      <c r="E1499" s="7" t="n"/>
      <c r="F1499" s="7" t="n"/>
      <c r="G1499" s="7" t="n"/>
      <c r="H1499" s="39" t="n"/>
      <c r="I1499" s="39" t="n"/>
      <c r="J1499" s="39" t="n"/>
      <c r="K1499" s="39" t="n"/>
      <c r="L1499" s="39" t="n"/>
      <c r="M1499" s="7" t="n"/>
      <c r="N1499" s="7" t="n"/>
      <c r="O1499" s="40" t="n"/>
      <c r="P1499" s="40" t="n"/>
      <c r="Q1499" s="40" t="n"/>
      <c r="R1499" s="40" t="n"/>
      <c r="S1499" s="40" t="n"/>
      <c r="T1499" s="40" t="n"/>
      <c r="U1499" s="40" t="n"/>
      <c r="V1499" s="40" t="n"/>
      <c r="W1499" s="40" t="n"/>
      <c r="X1499" s="40" t="n"/>
      <c r="Y1499" s="40" t="n"/>
      <c r="Z1499" s="40" t="n"/>
      <c r="AA1499" s="39" t="n"/>
    </row>
    <row r="1500">
      <c r="A1500" s="7" t="n"/>
      <c r="B1500" s="7" t="n"/>
      <c r="C1500" s="39" t="n"/>
      <c r="D1500" s="39" t="n"/>
      <c r="E1500" s="7" t="n"/>
      <c r="F1500" s="7" t="n"/>
      <c r="G1500" s="7" t="n"/>
      <c r="H1500" s="39" t="n"/>
      <c r="I1500" s="39" t="n"/>
      <c r="J1500" s="39" t="n"/>
      <c r="K1500" s="39" t="n"/>
      <c r="L1500" s="39" t="n"/>
      <c r="M1500" s="7" t="n"/>
      <c r="N1500" s="7" t="n"/>
      <c r="O1500" s="40" t="n"/>
      <c r="P1500" s="40" t="n"/>
      <c r="Q1500" s="40" t="n"/>
      <c r="R1500" s="40" t="n"/>
      <c r="S1500" s="40" t="n"/>
      <c r="T1500" s="40" t="n"/>
      <c r="U1500" s="40" t="n"/>
      <c r="V1500" s="40" t="n"/>
      <c r="W1500" s="40" t="n"/>
      <c r="X1500" s="40" t="n"/>
      <c r="Y1500" s="40" t="n"/>
      <c r="Z1500" s="40" t="n"/>
      <c r="AA1500" s="39" t="n"/>
    </row>
    <row r="1501">
      <c r="A1501" s="7" t="n"/>
      <c r="B1501" s="7" t="n"/>
      <c r="C1501" s="39" t="n"/>
      <c r="D1501" s="39" t="n"/>
      <c r="E1501" s="7" t="n"/>
      <c r="F1501" s="7" t="n"/>
      <c r="G1501" s="7" t="n"/>
      <c r="H1501" s="39" t="n"/>
      <c r="I1501" s="39" t="n"/>
      <c r="J1501" s="39" t="n"/>
      <c r="K1501" s="39" t="n"/>
      <c r="L1501" s="39" t="n"/>
      <c r="M1501" s="7" t="n"/>
      <c r="N1501" s="7" t="n"/>
      <c r="O1501" s="40" t="n"/>
      <c r="P1501" s="40" t="n"/>
      <c r="Q1501" s="40" t="n"/>
      <c r="R1501" s="40" t="n"/>
      <c r="S1501" s="40" t="n"/>
      <c r="T1501" s="40" t="n"/>
      <c r="U1501" s="40" t="n"/>
      <c r="V1501" s="40" t="n"/>
      <c r="W1501" s="40" t="n"/>
      <c r="X1501" s="40" t="n"/>
      <c r="Y1501" s="40" t="n"/>
      <c r="Z1501" s="40" t="n"/>
      <c r="AA1501" s="39" t="n"/>
    </row>
    <row r="1502">
      <c r="A1502" s="7" t="n"/>
      <c r="B1502" s="7" t="n"/>
      <c r="C1502" s="39" t="n"/>
      <c r="D1502" s="39" t="n"/>
      <c r="E1502" s="7" t="n"/>
      <c r="F1502" s="7" t="n"/>
      <c r="G1502" s="7" t="n"/>
      <c r="H1502" s="39" t="n"/>
      <c r="I1502" s="39" t="n"/>
      <c r="J1502" s="39" t="n"/>
      <c r="K1502" s="39" t="n"/>
      <c r="L1502" s="39" t="n"/>
      <c r="M1502" s="7" t="n"/>
      <c r="N1502" s="7" t="n"/>
      <c r="O1502" s="40" t="n"/>
      <c r="P1502" s="40" t="n"/>
      <c r="Q1502" s="40" t="n"/>
      <c r="R1502" s="40" t="n"/>
      <c r="S1502" s="40" t="n"/>
      <c r="T1502" s="40" t="n"/>
      <c r="U1502" s="40" t="n"/>
      <c r="V1502" s="40" t="n"/>
      <c r="W1502" s="40" t="n"/>
      <c r="X1502" s="40" t="n"/>
      <c r="Y1502" s="40" t="n"/>
      <c r="Z1502" s="40" t="n"/>
      <c r="AA1502" s="39" t="n"/>
    </row>
    <row r="1503">
      <c r="A1503" s="7" t="n"/>
      <c r="B1503" s="7" t="n"/>
      <c r="C1503" s="39" t="n"/>
      <c r="D1503" s="39" t="n"/>
      <c r="E1503" s="7" t="n"/>
      <c r="F1503" s="7" t="n"/>
      <c r="G1503" s="7" t="n"/>
      <c r="H1503" s="39" t="n"/>
      <c r="I1503" s="39" t="n"/>
      <c r="J1503" s="39" t="n"/>
      <c r="K1503" s="39" t="n"/>
      <c r="L1503" s="39" t="n"/>
      <c r="M1503" s="7" t="n"/>
      <c r="N1503" s="7" t="n"/>
      <c r="O1503" s="40" t="n"/>
      <c r="P1503" s="40" t="n"/>
      <c r="Q1503" s="40" t="n"/>
      <c r="R1503" s="40" t="n"/>
      <c r="S1503" s="40" t="n"/>
      <c r="T1503" s="40" t="n"/>
      <c r="U1503" s="40" t="n"/>
      <c r="V1503" s="40" t="n"/>
      <c r="W1503" s="40" t="n"/>
      <c r="X1503" s="40" t="n"/>
      <c r="Y1503" s="40" t="n"/>
      <c r="Z1503" s="40" t="n"/>
      <c r="AA1503" s="39" t="n"/>
    </row>
    <row r="1504">
      <c r="A1504" s="7" t="n"/>
      <c r="B1504" s="7" t="n"/>
      <c r="C1504" s="39" t="n"/>
      <c r="D1504" s="39" t="n"/>
      <c r="E1504" s="7" t="n"/>
      <c r="F1504" s="7" t="n"/>
      <c r="G1504" s="7" t="n"/>
      <c r="H1504" s="39" t="n"/>
      <c r="I1504" s="39" t="n"/>
      <c r="J1504" s="39" t="n"/>
      <c r="K1504" s="39" t="n"/>
      <c r="L1504" s="39" t="n"/>
      <c r="M1504" s="7" t="n"/>
      <c r="N1504" s="7" t="n"/>
      <c r="O1504" s="40" t="n"/>
      <c r="P1504" s="40" t="n"/>
      <c r="Q1504" s="40" t="n"/>
      <c r="R1504" s="40" t="n"/>
      <c r="S1504" s="40" t="n"/>
      <c r="T1504" s="40" t="n"/>
      <c r="U1504" s="40" t="n"/>
      <c r="V1504" s="40" t="n"/>
      <c r="W1504" s="40" t="n"/>
      <c r="X1504" s="40" t="n"/>
      <c r="Y1504" s="40" t="n"/>
      <c r="Z1504" s="40" t="n"/>
      <c r="AA1504" s="39" t="n"/>
    </row>
    <row r="1505">
      <c r="A1505" s="7" t="n"/>
      <c r="B1505" s="7" t="n"/>
      <c r="C1505" s="39" t="n"/>
      <c r="D1505" s="39" t="n"/>
      <c r="E1505" s="7" t="n"/>
      <c r="F1505" s="7" t="n"/>
      <c r="G1505" s="7" t="n"/>
      <c r="H1505" s="39" t="n"/>
      <c r="I1505" s="39" t="n"/>
      <c r="J1505" s="39" t="n"/>
      <c r="K1505" s="39" t="n"/>
      <c r="L1505" s="39" t="n"/>
      <c r="M1505" s="7" t="n"/>
      <c r="N1505" s="7" t="n"/>
      <c r="O1505" s="40" t="n"/>
      <c r="P1505" s="40" t="n"/>
      <c r="Q1505" s="40" t="n"/>
      <c r="R1505" s="40" t="n"/>
      <c r="S1505" s="40" t="n"/>
      <c r="T1505" s="40" t="n"/>
      <c r="U1505" s="40" t="n"/>
      <c r="V1505" s="40" t="n"/>
      <c r="W1505" s="40" t="n"/>
      <c r="X1505" s="40" t="n"/>
      <c r="Y1505" s="40" t="n"/>
      <c r="Z1505" s="40" t="n"/>
      <c r="AA1505" s="39" t="n"/>
    </row>
    <row r="1506">
      <c r="A1506" s="7" t="n"/>
      <c r="B1506" s="7" t="n"/>
      <c r="C1506" s="39" t="n"/>
      <c r="D1506" s="39" t="n"/>
      <c r="E1506" s="7" t="n"/>
      <c r="F1506" s="7" t="n"/>
      <c r="G1506" s="7" t="n"/>
      <c r="H1506" s="39" t="n"/>
      <c r="I1506" s="39" t="n"/>
      <c r="J1506" s="39" t="n"/>
      <c r="K1506" s="39" t="n"/>
      <c r="L1506" s="39" t="n"/>
      <c r="M1506" s="7" t="n"/>
      <c r="N1506" s="7" t="n"/>
      <c r="O1506" s="40" t="n"/>
      <c r="P1506" s="40" t="n"/>
      <c r="Q1506" s="40" t="n"/>
      <c r="R1506" s="40" t="n"/>
      <c r="S1506" s="40" t="n"/>
      <c r="T1506" s="40" t="n"/>
      <c r="U1506" s="40" t="n"/>
      <c r="V1506" s="40" t="n"/>
      <c r="W1506" s="40" t="n"/>
      <c r="X1506" s="40" t="n"/>
      <c r="Y1506" s="40" t="n"/>
      <c r="Z1506" s="40" t="n"/>
      <c r="AA1506" s="39" t="n"/>
    </row>
    <row r="1507">
      <c r="A1507" s="7" t="n"/>
      <c r="B1507" s="7" t="n"/>
      <c r="C1507" s="39" t="n"/>
      <c r="D1507" s="39" t="n"/>
      <c r="E1507" s="7" t="n"/>
      <c r="F1507" s="7" t="n"/>
      <c r="G1507" s="7" t="n"/>
      <c r="H1507" s="39" t="n"/>
      <c r="I1507" s="39" t="n"/>
      <c r="J1507" s="39" t="n"/>
      <c r="K1507" s="39" t="n"/>
      <c r="L1507" s="39" t="n"/>
      <c r="M1507" s="7" t="n"/>
      <c r="N1507" s="7" t="n"/>
      <c r="O1507" s="40" t="n"/>
      <c r="P1507" s="40" t="n"/>
      <c r="Q1507" s="40" t="n"/>
      <c r="R1507" s="40" t="n"/>
      <c r="S1507" s="40" t="n"/>
      <c r="T1507" s="40" t="n"/>
      <c r="U1507" s="40" t="n"/>
      <c r="V1507" s="40" t="n"/>
      <c r="W1507" s="40" t="n"/>
      <c r="X1507" s="40" t="n"/>
      <c r="Y1507" s="40" t="n"/>
      <c r="Z1507" s="40" t="n"/>
      <c r="AA1507" s="39" t="n"/>
    </row>
    <row r="1508">
      <c r="A1508" s="7" t="n"/>
      <c r="B1508" s="7" t="n"/>
      <c r="C1508" s="39" t="n"/>
      <c r="D1508" s="39" t="n"/>
      <c r="E1508" s="7" t="n"/>
      <c r="F1508" s="7" t="n"/>
      <c r="G1508" s="7" t="n"/>
      <c r="H1508" s="39" t="n"/>
      <c r="I1508" s="39" t="n"/>
      <c r="J1508" s="39" t="n"/>
      <c r="K1508" s="39" t="n"/>
      <c r="L1508" s="39" t="n"/>
      <c r="M1508" s="7" t="n"/>
      <c r="N1508" s="7" t="n"/>
      <c r="O1508" s="40" t="n"/>
      <c r="P1508" s="40" t="n"/>
      <c r="Q1508" s="40" t="n"/>
      <c r="R1508" s="40" t="n"/>
      <c r="S1508" s="40" t="n"/>
      <c r="T1508" s="40" t="n"/>
      <c r="U1508" s="40" t="n"/>
      <c r="V1508" s="40" t="n"/>
      <c r="W1508" s="40" t="n"/>
      <c r="X1508" s="40" t="n"/>
      <c r="Y1508" s="40" t="n"/>
      <c r="Z1508" s="40" t="n"/>
      <c r="AA1508" s="39" t="n"/>
    </row>
    <row r="1509">
      <c r="A1509" s="7" t="n"/>
      <c r="B1509" s="7" t="n"/>
      <c r="C1509" s="39" t="n"/>
      <c r="D1509" s="39" t="n"/>
      <c r="E1509" s="7" t="n"/>
      <c r="F1509" s="7" t="n"/>
      <c r="G1509" s="7" t="n"/>
      <c r="H1509" s="39" t="n"/>
      <c r="I1509" s="39" t="n"/>
      <c r="J1509" s="39" t="n"/>
      <c r="K1509" s="39" t="n"/>
      <c r="L1509" s="39" t="n"/>
      <c r="M1509" s="7" t="n"/>
      <c r="N1509" s="7" t="n"/>
      <c r="O1509" s="40" t="n"/>
      <c r="P1509" s="40" t="n"/>
      <c r="Q1509" s="40" t="n"/>
      <c r="R1509" s="40" t="n"/>
      <c r="S1509" s="40" t="n"/>
      <c r="T1509" s="40" t="n"/>
      <c r="U1509" s="40" t="n"/>
      <c r="V1509" s="40" t="n"/>
      <c r="W1509" s="40" t="n"/>
      <c r="X1509" s="40" t="n"/>
      <c r="Y1509" s="40" t="n"/>
      <c r="Z1509" s="40" t="n"/>
      <c r="AA1509" s="39" t="n"/>
    </row>
    <row r="1510">
      <c r="A1510" s="7" t="n"/>
      <c r="B1510" s="7" t="n"/>
      <c r="C1510" s="39" t="n"/>
      <c r="D1510" s="39" t="n"/>
      <c r="E1510" s="7" t="n"/>
      <c r="F1510" s="7" t="n"/>
      <c r="G1510" s="7" t="n"/>
      <c r="H1510" s="39" t="n"/>
      <c r="I1510" s="39" t="n"/>
      <c r="J1510" s="39" t="n"/>
      <c r="K1510" s="39" t="n"/>
      <c r="L1510" s="39" t="n"/>
      <c r="M1510" s="7" t="n"/>
      <c r="N1510" s="7" t="n"/>
      <c r="O1510" s="40" t="n"/>
      <c r="P1510" s="40" t="n"/>
      <c r="Q1510" s="40" t="n"/>
      <c r="R1510" s="40" t="n"/>
      <c r="S1510" s="40" t="n"/>
      <c r="T1510" s="40" t="n"/>
      <c r="U1510" s="40" t="n"/>
      <c r="V1510" s="40" t="n"/>
      <c r="W1510" s="40" t="n"/>
      <c r="X1510" s="40" t="n"/>
      <c r="Y1510" s="40" t="n"/>
      <c r="Z1510" s="40" t="n"/>
      <c r="AA1510" s="39" t="n"/>
    </row>
    <row r="1511">
      <c r="A1511" s="7" t="n"/>
      <c r="B1511" s="7" t="n"/>
      <c r="C1511" s="39" t="n"/>
      <c r="D1511" s="39" t="n"/>
      <c r="E1511" s="7" t="n"/>
      <c r="F1511" s="7" t="n"/>
      <c r="G1511" s="7" t="n"/>
      <c r="H1511" s="39" t="n"/>
      <c r="I1511" s="39" t="n"/>
      <c r="J1511" s="39" t="n"/>
      <c r="K1511" s="39" t="n"/>
      <c r="L1511" s="39" t="n"/>
      <c r="M1511" s="7" t="n"/>
      <c r="N1511" s="7" t="n"/>
      <c r="O1511" s="40" t="n"/>
      <c r="P1511" s="40" t="n"/>
      <c r="Q1511" s="40" t="n"/>
      <c r="R1511" s="40" t="n"/>
      <c r="S1511" s="40" t="n"/>
      <c r="T1511" s="40" t="n"/>
      <c r="U1511" s="40" t="n"/>
      <c r="V1511" s="40" t="n"/>
      <c r="W1511" s="40" t="n"/>
      <c r="X1511" s="40" t="n"/>
      <c r="Y1511" s="40" t="n"/>
      <c r="Z1511" s="40" t="n"/>
      <c r="AA1511" s="39" t="n"/>
    </row>
    <row r="1512">
      <c r="A1512" s="7" t="n"/>
      <c r="B1512" s="7" t="n"/>
      <c r="C1512" s="39" t="n"/>
      <c r="D1512" s="39" t="n"/>
      <c r="E1512" s="7" t="n"/>
      <c r="F1512" s="7" t="n"/>
      <c r="G1512" s="7" t="n"/>
      <c r="H1512" s="39" t="n"/>
      <c r="I1512" s="39" t="n"/>
      <c r="J1512" s="39" t="n"/>
      <c r="K1512" s="39" t="n"/>
      <c r="L1512" s="39" t="n"/>
      <c r="M1512" s="7" t="n"/>
      <c r="N1512" s="7" t="n"/>
      <c r="O1512" s="40" t="n"/>
      <c r="P1512" s="40" t="n"/>
      <c r="Q1512" s="40" t="n"/>
      <c r="R1512" s="40" t="n"/>
      <c r="S1512" s="40" t="n"/>
      <c r="T1512" s="40" t="n"/>
      <c r="U1512" s="40" t="n"/>
      <c r="V1512" s="40" t="n"/>
      <c r="W1512" s="40" t="n"/>
      <c r="X1512" s="40" t="n"/>
      <c r="Y1512" s="40" t="n"/>
      <c r="Z1512" s="40" t="n"/>
      <c r="AA1512" s="39" t="n"/>
    </row>
    <row r="1513">
      <c r="A1513" s="7" t="n"/>
      <c r="B1513" s="7" t="n"/>
      <c r="C1513" s="39" t="n"/>
      <c r="D1513" s="39" t="n"/>
      <c r="E1513" s="7" t="n"/>
      <c r="F1513" s="7" t="n"/>
      <c r="G1513" s="7" t="n"/>
      <c r="H1513" s="39" t="n"/>
      <c r="I1513" s="39" t="n"/>
      <c r="J1513" s="39" t="n"/>
      <c r="K1513" s="39" t="n"/>
      <c r="L1513" s="39" t="n"/>
      <c r="M1513" s="7" t="n"/>
      <c r="N1513" s="7" t="n"/>
      <c r="O1513" s="40" t="n"/>
      <c r="P1513" s="40" t="n"/>
      <c r="Q1513" s="40" t="n"/>
      <c r="R1513" s="40" t="n"/>
      <c r="S1513" s="40" t="n"/>
      <c r="T1513" s="40" t="n"/>
      <c r="U1513" s="40" t="n"/>
      <c r="V1513" s="40" t="n"/>
      <c r="W1513" s="40" t="n"/>
      <c r="X1513" s="40" t="n"/>
      <c r="Y1513" s="40" t="n"/>
      <c r="Z1513" s="40" t="n"/>
      <c r="AA1513" s="39" t="n"/>
    </row>
    <row r="1514">
      <c r="A1514" s="7" t="n"/>
      <c r="B1514" s="7" t="n"/>
      <c r="C1514" s="39" t="n"/>
      <c r="D1514" s="39" t="n"/>
      <c r="E1514" s="7" t="n"/>
      <c r="F1514" s="7" t="n"/>
      <c r="G1514" s="7" t="n"/>
      <c r="H1514" s="39" t="n"/>
      <c r="I1514" s="39" t="n"/>
      <c r="J1514" s="39" t="n"/>
      <c r="K1514" s="39" t="n"/>
      <c r="L1514" s="39" t="n"/>
      <c r="M1514" s="7" t="n"/>
      <c r="N1514" s="7" t="n"/>
      <c r="O1514" s="40" t="n"/>
      <c r="P1514" s="40" t="n"/>
      <c r="Q1514" s="40" t="n"/>
      <c r="R1514" s="40" t="n"/>
      <c r="S1514" s="40" t="n"/>
      <c r="T1514" s="40" t="n"/>
      <c r="U1514" s="40" t="n"/>
      <c r="V1514" s="40" t="n"/>
      <c r="W1514" s="40" t="n"/>
      <c r="X1514" s="40" t="n"/>
      <c r="Y1514" s="40" t="n"/>
      <c r="Z1514" s="40" t="n"/>
      <c r="AA1514" s="39" t="n"/>
    </row>
    <row r="1515">
      <c r="A1515" s="7" t="n"/>
      <c r="B1515" s="7" t="n"/>
      <c r="C1515" s="39" t="n"/>
      <c r="D1515" s="39" t="n"/>
      <c r="E1515" s="7" t="n"/>
      <c r="F1515" s="7" t="n"/>
      <c r="G1515" s="7" t="n"/>
      <c r="H1515" s="39" t="n"/>
      <c r="I1515" s="39" t="n"/>
      <c r="J1515" s="39" t="n"/>
      <c r="K1515" s="39" t="n"/>
      <c r="L1515" s="39" t="n"/>
      <c r="M1515" s="7" t="n"/>
      <c r="N1515" s="7" t="n"/>
      <c r="O1515" s="40" t="n"/>
      <c r="P1515" s="40" t="n"/>
      <c r="Q1515" s="40" t="n"/>
      <c r="R1515" s="40" t="n"/>
      <c r="S1515" s="40" t="n"/>
      <c r="T1515" s="40" t="n"/>
      <c r="U1515" s="40" t="n"/>
      <c r="V1515" s="40" t="n"/>
      <c r="W1515" s="40" t="n"/>
      <c r="X1515" s="40" t="n"/>
      <c r="Y1515" s="40" t="n"/>
      <c r="Z1515" s="40" t="n"/>
      <c r="AA1515" s="39" t="n"/>
    </row>
    <row r="1516">
      <c r="A1516" s="7" t="n"/>
      <c r="B1516" s="7" t="n"/>
      <c r="C1516" s="39" t="n"/>
      <c r="D1516" s="39" t="n"/>
      <c r="E1516" s="7" t="n"/>
      <c r="F1516" s="7" t="n"/>
      <c r="G1516" s="7" t="n"/>
      <c r="H1516" s="39" t="n"/>
      <c r="I1516" s="39" t="n"/>
      <c r="J1516" s="39" t="n"/>
      <c r="K1516" s="39" t="n"/>
      <c r="L1516" s="39" t="n"/>
      <c r="M1516" s="7" t="n"/>
      <c r="N1516" s="7" t="n"/>
      <c r="O1516" s="40" t="n"/>
      <c r="P1516" s="40" t="n"/>
      <c r="Q1516" s="40" t="n"/>
      <c r="R1516" s="40" t="n"/>
      <c r="S1516" s="40" t="n"/>
      <c r="T1516" s="40" t="n"/>
      <c r="U1516" s="40" t="n"/>
      <c r="V1516" s="40" t="n"/>
      <c r="W1516" s="40" t="n"/>
      <c r="X1516" s="40" t="n"/>
      <c r="Y1516" s="40" t="n"/>
      <c r="Z1516" s="40" t="n"/>
      <c r="AA1516" s="39" t="n"/>
    </row>
    <row r="1517">
      <c r="A1517" s="7" t="n"/>
      <c r="B1517" s="7" t="n"/>
      <c r="C1517" s="39" t="n"/>
      <c r="D1517" s="39" t="n"/>
      <c r="E1517" s="7" t="n"/>
      <c r="F1517" s="7" t="n"/>
      <c r="G1517" s="7" t="n"/>
      <c r="H1517" s="39" t="n"/>
      <c r="I1517" s="39" t="n"/>
      <c r="J1517" s="39" t="n"/>
      <c r="K1517" s="39" t="n"/>
      <c r="L1517" s="39" t="n"/>
      <c r="M1517" s="7" t="n"/>
      <c r="N1517" s="7" t="n"/>
      <c r="O1517" s="40" t="n"/>
      <c r="P1517" s="40" t="n"/>
      <c r="Q1517" s="40" t="n"/>
      <c r="R1517" s="40" t="n"/>
      <c r="S1517" s="40" t="n"/>
      <c r="T1517" s="40" t="n"/>
      <c r="U1517" s="40" t="n"/>
      <c r="V1517" s="40" t="n"/>
      <c r="W1517" s="40" t="n"/>
      <c r="X1517" s="40" t="n"/>
      <c r="Y1517" s="40" t="n"/>
      <c r="Z1517" s="40" t="n"/>
      <c r="AA1517" s="39" t="n"/>
    </row>
    <row r="1518">
      <c r="A1518" s="7" t="n"/>
      <c r="B1518" s="7" t="n"/>
      <c r="C1518" s="39" t="n"/>
      <c r="D1518" s="39" t="n"/>
      <c r="E1518" s="7" t="n"/>
      <c r="F1518" s="7" t="n"/>
      <c r="G1518" s="7" t="n"/>
      <c r="H1518" s="39" t="n"/>
      <c r="I1518" s="39" t="n"/>
      <c r="J1518" s="39" t="n"/>
      <c r="K1518" s="39" t="n"/>
      <c r="L1518" s="39" t="n"/>
      <c r="M1518" s="7" t="n"/>
      <c r="N1518" s="7" t="n"/>
      <c r="O1518" s="40" t="n"/>
      <c r="P1518" s="40" t="n"/>
      <c r="Q1518" s="40" t="n"/>
      <c r="R1518" s="40" t="n"/>
      <c r="S1518" s="40" t="n"/>
      <c r="T1518" s="40" t="n"/>
      <c r="U1518" s="40" t="n"/>
      <c r="V1518" s="40" t="n"/>
      <c r="W1518" s="40" t="n"/>
      <c r="X1518" s="40" t="n"/>
      <c r="Y1518" s="40" t="n"/>
      <c r="Z1518" s="40" t="n"/>
      <c r="AA1518" s="39" t="n"/>
    </row>
    <row r="1519">
      <c r="A1519" s="7" t="n"/>
      <c r="B1519" s="7" t="n"/>
      <c r="C1519" s="39" t="n"/>
      <c r="D1519" s="39" t="n"/>
      <c r="E1519" s="7" t="n"/>
      <c r="F1519" s="7" t="n"/>
      <c r="G1519" s="7" t="n"/>
      <c r="H1519" s="39" t="n"/>
      <c r="I1519" s="39" t="n"/>
      <c r="J1519" s="39" t="n"/>
      <c r="K1519" s="39" t="n"/>
      <c r="L1519" s="39" t="n"/>
      <c r="M1519" s="7" t="n"/>
      <c r="N1519" s="7" t="n"/>
      <c r="O1519" s="40" t="n"/>
      <c r="P1519" s="40" t="n"/>
      <c r="Q1519" s="40" t="n"/>
      <c r="R1519" s="40" t="n"/>
      <c r="S1519" s="40" t="n"/>
      <c r="T1519" s="40" t="n"/>
      <c r="U1519" s="40" t="n"/>
      <c r="V1519" s="40" t="n"/>
      <c r="W1519" s="40" t="n"/>
      <c r="X1519" s="40" t="n"/>
      <c r="Y1519" s="40" t="n"/>
      <c r="Z1519" s="40" t="n"/>
      <c r="AA1519" s="39" t="n"/>
    </row>
    <row r="1520">
      <c r="A1520" s="7" t="n"/>
      <c r="B1520" s="7" t="n"/>
      <c r="C1520" s="39" t="n"/>
      <c r="D1520" s="39" t="n"/>
      <c r="E1520" s="7" t="n"/>
      <c r="F1520" s="7" t="n"/>
      <c r="G1520" s="7" t="n"/>
      <c r="H1520" s="39" t="n"/>
      <c r="I1520" s="39" t="n"/>
      <c r="J1520" s="39" t="n"/>
      <c r="K1520" s="39" t="n"/>
      <c r="L1520" s="39" t="n"/>
      <c r="M1520" s="7" t="n"/>
      <c r="N1520" s="7" t="n"/>
      <c r="O1520" s="40" t="n"/>
      <c r="P1520" s="40" t="n"/>
      <c r="Q1520" s="40" t="n"/>
      <c r="R1520" s="40" t="n"/>
      <c r="S1520" s="40" t="n"/>
      <c r="T1520" s="40" t="n"/>
      <c r="U1520" s="40" t="n"/>
      <c r="V1520" s="40" t="n"/>
      <c r="W1520" s="40" t="n"/>
      <c r="X1520" s="40" t="n"/>
      <c r="Y1520" s="40" t="n"/>
      <c r="Z1520" s="40" t="n"/>
      <c r="AA1520" s="39" t="n"/>
    </row>
    <row r="1521">
      <c r="A1521" s="7" t="n"/>
      <c r="B1521" s="7" t="n"/>
      <c r="C1521" s="39" t="n"/>
      <c r="D1521" s="39" t="n"/>
      <c r="E1521" s="7" t="n"/>
      <c r="F1521" s="7" t="n"/>
      <c r="G1521" s="7" t="n"/>
      <c r="H1521" s="39" t="n"/>
      <c r="I1521" s="39" t="n"/>
      <c r="J1521" s="39" t="n"/>
      <c r="K1521" s="39" t="n"/>
      <c r="L1521" s="39" t="n"/>
      <c r="M1521" s="7" t="n"/>
      <c r="N1521" s="7" t="n"/>
      <c r="O1521" s="40" t="n"/>
      <c r="P1521" s="40" t="n"/>
      <c r="Q1521" s="40" t="n"/>
      <c r="R1521" s="40" t="n"/>
      <c r="S1521" s="40" t="n"/>
      <c r="T1521" s="40" t="n"/>
      <c r="U1521" s="40" t="n"/>
      <c r="V1521" s="40" t="n"/>
      <c r="W1521" s="40" t="n"/>
      <c r="X1521" s="40" t="n"/>
      <c r="Y1521" s="40" t="n"/>
      <c r="Z1521" s="40" t="n"/>
      <c r="AA1521" s="39" t="n"/>
    </row>
    <row r="1522">
      <c r="A1522" s="7" t="n"/>
      <c r="B1522" s="7" t="n"/>
      <c r="C1522" s="39" t="n"/>
      <c r="D1522" s="39" t="n"/>
      <c r="E1522" s="7" t="n"/>
      <c r="F1522" s="7" t="n"/>
      <c r="G1522" s="7" t="n"/>
      <c r="H1522" s="39" t="n"/>
      <c r="I1522" s="39" t="n"/>
      <c r="J1522" s="39" t="n"/>
      <c r="K1522" s="39" t="n"/>
      <c r="L1522" s="39" t="n"/>
      <c r="M1522" s="7" t="n"/>
      <c r="N1522" s="7" t="n"/>
      <c r="O1522" s="40" t="n"/>
      <c r="P1522" s="40" t="n"/>
      <c r="Q1522" s="40" t="n"/>
      <c r="R1522" s="40" t="n"/>
      <c r="S1522" s="40" t="n"/>
      <c r="T1522" s="40" t="n"/>
      <c r="U1522" s="40" t="n"/>
      <c r="V1522" s="40" t="n"/>
      <c r="W1522" s="40" t="n"/>
      <c r="X1522" s="40" t="n"/>
      <c r="Y1522" s="40" t="n"/>
      <c r="Z1522" s="40" t="n"/>
      <c r="AA1522" s="39" t="n"/>
    </row>
    <row r="1523">
      <c r="A1523" s="7" t="n"/>
      <c r="B1523" s="7" t="n"/>
      <c r="C1523" s="39" t="n"/>
      <c r="D1523" s="39" t="n"/>
      <c r="E1523" s="7" t="n"/>
      <c r="F1523" s="7" t="n"/>
      <c r="G1523" s="7" t="n"/>
      <c r="H1523" s="39" t="n"/>
      <c r="I1523" s="39" t="n"/>
      <c r="J1523" s="39" t="n"/>
      <c r="K1523" s="39" t="n"/>
      <c r="L1523" s="39" t="n"/>
      <c r="M1523" s="7" t="n"/>
      <c r="N1523" s="7" t="n"/>
      <c r="O1523" s="40" t="n"/>
      <c r="P1523" s="40" t="n"/>
      <c r="Q1523" s="40" t="n"/>
      <c r="R1523" s="40" t="n"/>
      <c r="S1523" s="40" t="n"/>
      <c r="T1523" s="40" t="n"/>
      <c r="U1523" s="40" t="n"/>
      <c r="V1523" s="40" t="n"/>
      <c r="W1523" s="40" t="n"/>
      <c r="X1523" s="40" t="n"/>
      <c r="Y1523" s="40" t="n"/>
      <c r="Z1523" s="40" t="n"/>
      <c r="AA1523" s="39" t="n"/>
    </row>
    <row r="1524">
      <c r="A1524" s="7" t="n"/>
      <c r="B1524" s="7" t="n"/>
      <c r="C1524" s="39" t="n"/>
      <c r="D1524" s="39" t="n"/>
      <c r="E1524" s="7" t="n"/>
      <c r="F1524" s="7" t="n"/>
      <c r="G1524" s="7" t="n"/>
      <c r="H1524" s="39" t="n"/>
      <c r="I1524" s="39" t="n"/>
      <c r="J1524" s="39" t="n"/>
      <c r="K1524" s="39" t="n"/>
      <c r="L1524" s="39" t="n"/>
      <c r="M1524" s="7" t="n"/>
      <c r="N1524" s="7" t="n"/>
      <c r="O1524" s="40" t="n"/>
      <c r="P1524" s="40" t="n"/>
      <c r="Q1524" s="40" t="n"/>
      <c r="R1524" s="40" t="n"/>
      <c r="S1524" s="40" t="n"/>
      <c r="T1524" s="40" t="n"/>
      <c r="U1524" s="40" t="n"/>
      <c r="V1524" s="40" t="n"/>
      <c r="W1524" s="40" t="n"/>
      <c r="X1524" s="40" t="n"/>
      <c r="Y1524" s="40" t="n"/>
      <c r="Z1524" s="40" t="n"/>
      <c r="AA1524" s="39" t="n"/>
    </row>
    <row r="1525">
      <c r="A1525" s="7" t="n"/>
      <c r="B1525" s="7" t="n"/>
      <c r="C1525" s="39" t="n"/>
      <c r="D1525" s="39" t="n"/>
      <c r="E1525" s="7" t="n"/>
      <c r="F1525" s="7" t="n"/>
      <c r="G1525" s="7" t="n"/>
      <c r="H1525" s="39" t="n"/>
      <c r="I1525" s="39" t="n"/>
      <c r="J1525" s="39" t="n"/>
      <c r="K1525" s="39" t="n"/>
      <c r="L1525" s="39" t="n"/>
      <c r="M1525" s="7" t="n"/>
      <c r="N1525" s="7" t="n"/>
      <c r="O1525" s="40" t="n"/>
      <c r="P1525" s="40" t="n"/>
      <c r="Q1525" s="40" t="n"/>
      <c r="R1525" s="40" t="n"/>
      <c r="S1525" s="40" t="n"/>
      <c r="T1525" s="40" t="n"/>
      <c r="U1525" s="40" t="n"/>
      <c r="V1525" s="40" t="n"/>
      <c r="W1525" s="40" t="n"/>
      <c r="X1525" s="40" t="n"/>
      <c r="Y1525" s="40" t="n"/>
      <c r="Z1525" s="40" t="n"/>
      <c r="AA1525" s="39" t="n"/>
    </row>
    <row r="1526">
      <c r="A1526" s="7" t="n"/>
      <c r="B1526" s="7" t="n"/>
      <c r="C1526" s="39" t="n"/>
      <c r="D1526" s="39" t="n"/>
      <c r="E1526" s="7" t="n"/>
      <c r="F1526" s="7" t="n"/>
      <c r="G1526" s="7" t="n"/>
      <c r="H1526" s="39" t="n"/>
      <c r="I1526" s="39" t="n"/>
      <c r="J1526" s="39" t="n"/>
      <c r="K1526" s="39" t="n"/>
      <c r="L1526" s="39" t="n"/>
      <c r="M1526" s="7" t="n"/>
      <c r="N1526" s="7" t="n"/>
      <c r="O1526" s="40" t="n"/>
      <c r="P1526" s="40" t="n"/>
      <c r="Q1526" s="40" t="n"/>
      <c r="R1526" s="40" t="n"/>
      <c r="S1526" s="40" t="n"/>
      <c r="T1526" s="40" t="n"/>
      <c r="U1526" s="40" t="n"/>
      <c r="V1526" s="40" t="n"/>
      <c r="W1526" s="40" t="n"/>
      <c r="X1526" s="40" t="n"/>
      <c r="Y1526" s="40" t="n"/>
      <c r="Z1526" s="40" t="n"/>
      <c r="AA1526" s="39" t="n"/>
    </row>
    <row r="1527">
      <c r="A1527" s="7" t="n"/>
      <c r="B1527" s="7" t="n"/>
      <c r="C1527" s="39" t="n"/>
      <c r="D1527" s="39" t="n"/>
      <c r="E1527" s="7" t="n"/>
      <c r="F1527" s="7" t="n"/>
      <c r="G1527" s="7" t="n"/>
      <c r="H1527" s="39" t="n"/>
      <c r="I1527" s="39" t="n"/>
      <c r="J1527" s="39" t="n"/>
      <c r="K1527" s="39" t="n"/>
      <c r="L1527" s="39" t="n"/>
      <c r="M1527" s="7" t="n"/>
      <c r="N1527" s="7" t="n"/>
      <c r="O1527" s="40" t="n"/>
      <c r="P1527" s="40" t="n"/>
      <c r="Q1527" s="40" t="n"/>
      <c r="R1527" s="40" t="n"/>
      <c r="S1527" s="40" t="n"/>
      <c r="T1527" s="40" t="n"/>
      <c r="U1527" s="40" t="n"/>
      <c r="V1527" s="40" t="n"/>
      <c r="W1527" s="40" t="n"/>
      <c r="X1527" s="40" t="n"/>
      <c r="Y1527" s="40" t="n"/>
      <c r="Z1527" s="40" t="n"/>
      <c r="AA1527" s="39" t="n"/>
    </row>
    <row r="1528">
      <c r="A1528" s="7" t="n"/>
      <c r="B1528" s="7" t="n"/>
      <c r="C1528" s="39" t="n"/>
      <c r="D1528" s="39" t="n"/>
      <c r="E1528" s="7" t="n"/>
      <c r="F1528" s="7" t="n"/>
      <c r="G1528" s="7" t="n"/>
      <c r="H1528" s="39" t="n"/>
      <c r="I1528" s="39" t="n"/>
      <c r="J1528" s="39" t="n"/>
      <c r="K1528" s="39" t="n"/>
      <c r="L1528" s="39" t="n"/>
      <c r="M1528" s="7" t="n"/>
      <c r="N1528" s="7" t="n"/>
      <c r="O1528" s="40" t="n"/>
      <c r="P1528" s="40" t="n"/>
      <c r="Q1528" s="40" t="n"/>
      <c r="R1528" s="40" t="n"/>
      <c r="S1528" s="40" t="n"/>
      <c r="T1528" s="40" t="n"/>
      <c r="U1528" s="40" t="n"/>
      <c r="V1528" s="40" t="n"/>
      <c r="W1528" s="40" t="n"/>
      <c r="X1528" s="40" t="n"/>
      <c r="Y1528" s="40" t="n"/>
      <c r="Z1528" s="40" t="n"/>
      <c r="AA1528" s="39" t="n"/>
    </row>
    <row r="1529">
      <c r="A1529" s="7" t="n"/>
      <c r="B1529" s="7" t="n"/>
      <c r="C1529" s="39" t="n"/>
      <c r="D1529" s="39" t="n"/>
      <c r="E1529" s="7" t="n"/>
      <c r="F1529" s="7" t="n"/>
      <c r="G1529" s="7" t="n"/>
      <c r="H1529" s="39" t="n"/>
      <c r="I1529" s="39" t="n"/>
      <c r="J1529" s="39" t="n"/>
      <c r="K1529" s="39" t="n"/>
      <c r="L1529" s="39" t="n"/>
      <c r="M1529" s="7" t="n"/>
      <c r="N1529" s="7" t="n"/>
      <c r="O1529" s="40" t="n"/>
      <c r="P1529" s="40" t="n"/>
      <c r="Q1529" s="40" t="n"/>
      <c r="R1529" s="40" t="n"/>
      <c r="S1529" s="40" t="n"/>
      <c r="T1529" s="40" t="n"/>
      <c r="U1529" s="40" t="n"/>
      <c r="V1529" s="40" t="n"/>
      <c r="W1529" s="40" t="n"/>
      <c r="X1529" s="40" t="n"/>
      <c r="Y1529" s="40" t="n"/>
      <c r="Z1529" s="40" t="n"/>
      <c r="AA1529" s="39" t="n"/>
    </row>
    <row r="1530">
      <c r="A1530" s="7" t="n"/>
      <c r="B1530" s="7" t="n"/>
      <c r="C1530" s="39" t="n"/>
      <c r="D1530" s="39" t="n"/>
      <c r="E1530" s="7" t="n"/>
      <c r="F1530" s="7" t="n"/>
      <c r="G1530" s="7" t="n"/>
      <c r="H1530" s="39" t="n"/>
      <c r="I1530" s="39" t="n"/>
      <c r="J1530" s="39" t="n"/>
      <c r="K1530" s="39" t="n"/>
      <c r="L1530" s="39" t="n"/>
      <c r="M1530" s="7" t="n"/>
      <c r="N1530" s="7" t="n"/>
      <c r="O1530" s="40" t="n"/>
      <c r="P1530" s="40" t="n"/>
      <c r="Q1530" s="40" t="n"/>
      <c r="R1530" s="40" t="n"/>
      <c r="S1530" s="40" t="n"/>
      <c r="T1530" s="40" t="n"/>
      <c r="U1530" s="40" t="n"/>
      <c r="V1530" s="40" t="n"/>
      <c r="W1530" s="40" t="n"/>
      <c r="X1530" s="40" t="n"/>
      <c r="Y1530" s="40" t="n"/>
      <c r="Z1530" s="40" t="n"/>
      <c r="AA1530" s="39" t="n"/>
    </row>
    <row r="1531">
      <c r="A1531" s="7" t="n"/>
      <c r="B1531" s="7" t="n"/>
      <c r="C1531" s="39" t="n"/>
      <c r="D1531" s="39" t="n"/>
      <c r="E1531" s="7" t="n"/>
      <c r="F1531" s="7" t="n"/>
      <c r="G1531" s="7" t="n"/>
      <c r="H1531" s="39" t="n"/>
      <c r="I1531" s="39" t="n"/>
      <c r="J1531" s="39" t="n"/>
      <c r="K1531" s="39" t="n"/>
      <c r="L1531" s="39" t="n"/>
      <c r="M1531" s="7" t="n"/>
      <c r="N1531" s="7" t="n"/>
      <c r="O1531" s="40" t="n"/>
      <c r="P1531" s="40" t="n"/>
      <c r="Q1531" s="40" t="n"/>
      <c r="R1531" s="40" t="n"/>
      <c r="S1531" s="40" t="n"/>
      <c r="T1531" s="40" t="n"/>
      <c r="U1531" s="40" t="n"/>
      <c r="V1531" s="40" t="n"/>
      <c r="W1531" s="40" t="n"/>
      <c r="X1531" s="40" t="n"/>
      <c r="Y1531" s="40" t="n"/>
      <c r="Z1531" s="40" t="n"/>
      <c r="AA1531" s="39" t="n"/>
    </row>
    <row r="1532">
      <c r="A1532" s="7" t="n"/>
      <c r="B1532" s="7" t="n"/>
      <c r="C1532" s="39" t="n"/>
      <c r="D1532" s="39" t="n"/>
      <c r="E1532" s="7" t="n"/>
      <c r="F1532" s="7" t="n"/>
      <c r="G1532" s="7" t="n"/>
      <c r="H1532" s="39" t="n"/>
      <c r="I1532" s="39" t="n"/>
      <c r="J1532" s="39" t="n"/>
      <c r="K1532" s="39" t="n"/>
      <c r="L1532" s="39" t="n"/>
      <c r="M1532" s="7" t="n"/>
      <c r="N1532" s="7" t="n"/>
      <c r="O1532" s="40" t="n"/>
      <c r="P1532" s="40" t="n"/>
      <c r="Q1532" s="40" t="n"/>
      <c r="R1532" s="40" t="n"/>
      <c r="S1532" s="40" t="n"/>
      <c r="T1532" s="40" t="n"/>
      <c r="U1532" s="40" t="n"/>
      <c r="V1532" s="40" t="n"/>
      <c r="W1532" s="40" t="n"/>
      <c r="X1532" s="40" t="n"/>
      <c r="Y1532" s="40" t="n"/>
      <c r="Z1532" s="40" t="n"/>
      <c r="AA1532" s="39" t="n"/>
    </row>
    <row r="1533">
      <c r="A1533" s="7" t="n"/>
      <c r="B1533" s="7" t="n"/>
      <c r="C1533" s="39" t="n"/>
      <c r="D1533" s="39" t="n"/>
      <c r="E1533" s="7" t="n"/>
      <c r="F1533" s="7" t="n"/>
      <c r="G1533" s="7" t="n"/>
      <c r="H1533" s="39" t="n"/>
      <c r="I1533" s="39" t="n"/>
      <c r="J1533" s="39" t="n"/>
      <c r="K1533" s="39" t="n"/>
      <c r="L1533" s="39" t="n"/>
      <c r="M1533" s="7" t="n"/>
      <c r="N1533" s="7" t="n"/>
      <c r="O1533" s="40" t="n"/>
      <c r="P1533" s="40" t="n"/>
      <c r="Q1533" s="40" t="n"/>
      <c r="R1533" s="40" t="n"/>
      <c r="S1533" s="40" t="n"/>
      <c r="T1533" s="40" t="n"/>
      <c r="U1533" s="40" t="n"/>
      <c r="V1533" s="40" t="n"/>
      <c r="W1533" s="40" t="n"/>
      <c r="X1533" s="40" t="n"/>
      <c r="Y1533" s="40" t="n"/>
      <c r="Z1533" s="40" t="n"/>
      <c r="AA1533" s="39" t="n"/>
    </row>
    <row r="1534">
      <c r="A1534" s="7" t="n"/>
      <c r="B1534" s="7" t="n"/>
      <c r="C1534" s="39" t="n"/>
      <c r="D1534" s="39" t="n"/>
      <c r="E1534" s="7" t="n"/>
      <c r="F1534" s="7" t="n"/>
      <c r="G1534" s="7" t="n"/>
      <c r="H1534" s="39" t="n"/>
      <c r="I1534" s="39" t="n"/>
      <c r="J1534" s="39" t="n"/>
      <c r="K1534" s="39" t="n"/>
      <c r="L1534" s="39" t="n"/>
      <c r="M1534" s="7" t="n"/>
      <c r="N1534" s="7" t="n"/>
      <c r="O1534" s="40" t="n"/>
      <c r="P1534" s="40" t="n"/>
      <c r="Q1534" s="40" t="n"/>
      <c r="R1534" s="40" t="n"/>
      <c r="S1534" s="40" t="n"/>
      <c r="T1534" s="40" t="n"/>
      <c r="U1534" s="40" t="n"/>
      <c r="V1534" s="40" t="n"/>
      <c r="W1534" s="40" t="n"/>
      <c r="X1534" s="40" t="n"/>
      <c r="Y1534" s="40" t="n"/>
      <c r="Z1534" s="40" t="n"/>
      <c r="AA1534" s="39" t="n"/>
    </row>
    <row r="1535">
      <c r="A1535" s="7" t="n"/>
      <c r="B1535" s="7" t="n"/>
      <c r="C1535" s="39" t="n"/>
      <c r="D1535" s="39" t="n"/>
      <c r="E1535" s="7" t="n"/>
      <c r="F1535" s="7" t="n"/>
      <c r="G1535" s="7" t="n"/>
      <c r="H1535" s="39" t="n"/>
      <c r="I1535" s="39" t="n"/>
      <c r="J1535" s="39" t="n"/>
      <c r="K1535" s="39" t="n"/>
      <c r="L1535" s="39" t="n"/>
      <c r="M1535" s="7" t="n"/>
      <c r="N1535" s="7" t="n"/>
      <c r="O1535" s="40" t="n"/>
      <c r="P1535" s="40" t="n"/>
      <c r="Q1535" s="40" t="n"/>
      <c r="R1535" s="40" t="n"/>
      <c r="S1535" s="40" t="n"/>
      <c r="T1535" s="40" t="n"/>
      <c r="U1535" s="40" t="n"/>
      <c r="V1535" s="40" t="n"/>
      <c r="W1535" s="40" t="n"/>
      <c r="X1535" s="40" t="n"/>
      <c r="Y1535" s="40" t="n"/>
      <c r="Z1535" s="40" t="n"/>
      <c r="AA1535" s="39" t="n"/>
    </row>
    <row r="1536">
      <c r="A1536" s="7" t="n"/>
      <c r="B1536" s="7" t="n"/>
      <c r="C1536" s="39" t="n"/>
      <c r="D1536" s="39" t="n"/>
      <c r="E1536" s="7" t="n"/>
      <c r="F1536" s="7" t="n"/>
      <c r="G1536" s="7" t="n"/>
      <c r="H1536" s="39" t="n"/>
      <c r="I1536" s="39" t="n"/>
      <c r="J1536" s="39" t="n"/>
      <c r="K1536" s="39" t="n"/>
      <c r="L1536" s="39" t="n"/>
      <c r="M1536" s="7" t="n"/>
      <c r="N1536" s="7" t="n"/>
      <c r="O1536" s="40" t="n"/>
      <c r="P1536" s="40" t="n"/>
      <c r="Q1536" s="40" t="n"/>
      <c r="R1536" s="40" t="n"/>
      <c r="S1536" s="40" t="n"/>
      <c r="T1536" s="40" t="n"/>
      <c r="U1536" s="40" t="n"/>
      <c r="V1536" s="40" t="n"/>
      <c r="W1536" s="40" t="n"/>
      <c r="X1536" s="40" t="n"/>
      <c r="Y1536" s="40" t="n"/>
      <c r="Z1536" s="40" t="n"/>
      <c r="AA1536" s="39" t="n"/>
    </row>
    <row r="1537">
      <c r="A1537" s="7" t="n"/>
      <c r="B1537" s="7" t="n"/>
      <c r="C1537" s="39" t="n"/>
      <c r="D1537" s="39" t="n"/>
      <c r="E1537" s="7" t="n"/>
      <c r="F1537" s="7" t="n"/>
      <c r="G1537" s="7" t="n"/>
      <c r="H1537" s="39" t="n"/>
      <c r="I1537" s="39" t="n"/>
      <c r="J1537" s="39" t="n"/>
      <c r="K1537" s="39" t="n"/>
      <c r="L1537" s="39" t="n"/>
      <c r="M1537" s="7" t="n"/>
      <c r="N1537" s="7" t="n"/>
      <c r="O1537" s="40" t="n"/>
      <c r="P1537" s="40" t="n"/>
      <c r="Q1537" s="40" t="n"/>
      <c r="R1537" s="40" t="n"/>
      <c r="S1537" s="40" t="n"/>
      <c r="T1537" s="40" t="n"/>
      <c r="U1537" s="40" t="n"/>
      <c r="V1537" s="40" t="n"/>
      <c r="W1537" s="40" t="n"/>
      <c r="X1537" s="40" t="n"/>
      <c r="Y1537" s="40" t="n"/>
      <c r="Z1537" s="40" t="n"/>
      <c r="AA1537" s="39" t="n"/>
    </row>
    <row r="1538">
      <c r="A1538" s="7" t="n"/>
      <c r="B1538" s="7" t="n"/>
      <c r="C1538" s="39" t="n"/>
      <c r="D1538" s="39" t="n"/>
      <c r="E1538" s="7" t="n"/>
      <c r="F1538" s="7" t="n"/>
      <c r="G1538" s="7" t="n"/>
      <c r="H1538" s="39" t="n"/>
      <c r="I1538" s="39" t="n"/>
      <c r="J1538" s="39" t="n"/>
      <c r="K1538" s="39" t="n"/>
      <c r="L1538" s="39" t="n"/>
      <c r="M1538" s="7" t="n"/>
      <c r="N1538" s="7" t="n"/>
      <c r="O1538" s="40" t="n"/>
      <c r="P1538" s="40" t="n"/>
      <c r="Q1538" s="40" t="n"/>
      <c r="R1538" s="40" t="n"/>
      <c r="S1538" s="40" t="n"/>
      <c r="T1538" s="40" t="n"/>
      <c r="U1538" s="40" t="n"/>
      <c r="V1538" s="40" t="n"/>
      <c r="W1538" s="40" t="n"/>
      <c r="X1538" s="40" t="n"/>
      <c r="Y1538" s="40" t="n"/>
      <c r="Z1538" s="40" t="n"/>
      <c r="AA1538" s="39" t="n"/>
    </row>
    <row r="1539">
      <c r="A1539" s="7" t="n"/>
      <c r="B1539" s="7" t="n"/>
      <c r="C1539" s="39" t="n"/>
      <c r="D1539" s="39" t="n"/>
      <c r="E1539" s="7" t="n"/>
      <c r="F1539" s="7" t="n"/>
      <c r="G1539" s="7" t="n"/>
      <c r="H1539" s="39" t="n"/>
      <c r="I1539" s="39" t="n"/>
      <c r="J1539" s="39" t="n"/>
      <c r="K1539" s="39" t="n"/>
      <c r="L1539" s="39" t="n"/>
      <c r="M1539" s="7" t="n"/>
      <c r="N1539" s="7" t="n"/>
      <c r="O1539" s="40" t="n"/>
      <c r="P1539" s="40" t="n"/>
      <c r="Q1539" s="40" t="n"/>
      <c r="R1539" s="40" t="n"/>
      <c r="S1539" s="40" t="n"/>
      <c r="T1539" s="40" t="n"/>
      <c r="U1539" s="40" t="n"/>
      <c r="V1539" s="40" t="n"/>
      <c r="W1539" s="40" t="n"/>
      <c r="X1539" s="40" t="n"/>
      <c r="Y1539" s="40" t="n"/>
      <c r="Z1539" s="40" t="n"/>
      <c r="AA1539" s="39" t="n"/>
    </row>
    <row r="1540">
      <c r="A1540" s="7" t="n"/>
      <c r="B1540" s="7" t="n"/>
      <c r="C1540" s="39" t="n"/>
      <c r="D1540" s="39" t="n"/>
      <c r="E1540" s="7" t="n"/>
      <c r="F1540" s="7" t="n"/>
      <c r="G1540" s="7" t="n"/>
      <c r="H1540" s="39" t="n"/>
      <c r="I1540" s="39" t="n"/>
      <c r="J1540" s="39" t="n"/>
      <c r="K1540" s="39" t="n"/>
      <c r="L1540" s="39" t="n"/>
      <c r="M1540" s="7" t="n"/>
      <c r="N1540" s="7" t="n"/>
      <c r="O1540" s="40" t="n"/>
      <c r="P1540" s="40" t="n"/>
      <c r="Q1540" s="40" t="n"/>
      <c r="R1540" s="40" t="n"/>
      <c r="S1540" s="40" t="n"/>
      <c r="T1540" s="40" t="n"/>
      <c r="U1540" s="40" t="n"/>
      <c r="V1540" s="40" t="n"/>
      <c r="W1540" s="40" t="n"/>
      <c r="X1540" s="40" t="n"/>
      <c r="Y1540" s="40" t="n"/>
      <c r="Z1540" s="40" t="n"/>
      <c r="AA1540" s="39" t="n"/>
    </row>
    <row r="1541">
      <c r="A1541" s="7" t="n"/>
      <c r="B1541" s="7" t="n"/>
      <c r="C1541" s="39" t="n"/>
      <c r="D1541" s="39" t="n"/>
      <c r="E1541" s="7" t="n"/>
      <c r="F1541" s="7" t="n"/>
      <c r="G1541" s="7" t="n"/>
      <c r="H1541" s="39" t="n"/>
      <c r="I1541" s="39" t="n"/>
      <c r="J1541" s="39" t="n"/>
      <c r="K1541" s="39" t="n"/>
      <c r="L1541" s="39" t="n"/>
      <c r="M1541" s="7" t="n"/>
      <c r="N1541" s="7" t="n"/>
      <c r="O1541" s="40" t="n"/>
      <c r="P1541" s="40" t="n"/>
      <c r="Q1541" s="40" t="n"/>
      <c r="R1541" s="40" t="n"/>
      <c r="S1541" s="40" t="n"/>
      <c r="T1541" s="40" t="n"/>
      <c r="U1541" s="40" t="n"/>
      <c r="V1541" s="40" t="n"/>
      <c r="W1541" s="40" t="n"/>
      <c r="X1541" s="40" t="n"/>
      <c r="Y1541" s="40" t="n"/>
      <c r="Z1541" s="40" t="n"/>
      <c r="AA1541" s="39" t="n"/>
    </row>
    <row r="1542">
      <c r="A1542" s="7" t="n"/>
      <c r="B1542" s="7" t="n"/>
      <c r="C1542" s="39" t="n"/>
      <c r="D1542" s="39" t="n"/>
      <c r="E1542" s="7" t="n"/>
      <c r="F1542" s="7" t="n"/>
      <c r="G1542" s="7" t="n"/>
      <c r="H1542" s="39" t="n"/>
      <c r="I1542" s="39" t="n"/>
      <c r="J1542" s="39" t="n"/>
      <c r="K1542" s="39" t="n"/>
      <c r="L1542" s="39" t="n"/>
      <c r="M1542" s="7" t="n"/>
      <c r="N1542" s="7" t="n"/>
      <c r="O1542" s="40" t="n"/>
      <c r="P1542" s="40" t="n"/>
      <c r="Q1542" s="40" t="n"/>
      <c r="R1542" s="40" t="n"/>
      <c r="S1542" s="40" t="n"/>
      <c r="T1542" s="40" t="n"/>
      <c r="U1542" s="40" t="n"/>
      <c r="V1542" s="40" t="n"/>
      <c r="W1542" s="40" t="n"/>
      <c r="X1542" s="40" t="n"/>
      <c r="Y1542" s="40" t="n"/>
      <c r="Z1542" s="40" t="n"/>
      <c r="AA1542" s="39" t="n"/>
    </row>
    <row r="1543">
      <c r="A1543" s="7" t="n"/>
      <c r="B1543" s="7" t="n"/>
      <c r="C1543" s="39" t="n"/>
      <c r="D1543" s="39" t="n"/>
      <c r="E1543" s="7" t="n"/>
      <c r="F1543" s="7" t="n"/>
      <c r="G1543" s="7" t="n"/>
      <c r="H1543" s="39" t="n"/>
      <c r="I1543" s="39" t="n"/>
      <c r="J1543" s="39" t="n"/>
      <c r="K1543" s="39" t="n"/>
      <c r="L1543" s="39" t="n"/>
      <c r="M1543" s="7" t="n"/>
      <c r="N1543" s="7" t="n"/>
      <c r="O1543" s="40" t="n"/>
      <c r="P1543" s="40" t="n"/>
      <c r="Q1543" s="40" t="n"/>
      <c r="R1543" s="40" t="n"/>
      <c r="S1543" s="40" t="n"/>
      <c r="T1543" s="40" t="n"/>
      <c r="U1543" s="40" t="n"/>
      <c r="V1543" s="40" t="n"/>
      <c r="W1543" s="40" t="n"/>
      <c r="X1543" s="40" t="n"/>
      <c r="Y1543" s="40" t="n"/>
      <c r="Z1543" s="40" t="n"/>
      <c r="AA1543" s="39" t="n"/>
    </row>
    <row r="1544">
      <c r="A1544" s="7" t="n"/>
      <c r="B1544" s="7" t="n"/>
      <c r="C1544" s="39" t="n"/>
      <c r="D1544" s="39" t="n"/>
      <c r="E1544" s="7" t="n"/>
      <c r="F1544" s="7" t="n"/>
      <c r="G1544" s="7" t="n"/>
      <c r="H1544" s="39" t="n"/>
      <c r="I1544" s="39" t="n"/>
      <c r="J1544" s="39" t="n"/>
      <c r="K1544" s="39" t="n"/>
      <c r="L1544" s="39" t="n"/>
      <c r="M1544" s="7" t="n"/>
      <c r="N1544" s="7" t="n"/>
      <c r="O1544" s="40" t="n"/>
      <c r="P1544" s="40" t="n"/>
      <c r="Q1544" s="40" t="n"/>
      <c r="R1544" s="40" t="n"/>
      <c r="S1544" s="40" t="n"/>
      <c r="T1544" s="40" t="n"/>
      <c r="U1544" s="40" t="n"/>
      <c r="V1544" s="40" t="n"/>
      <c r="W1544" s="40" t="n"/>
      <c r="X1544" s="40" t="n"/>
      <c r="Y1544" s="40" t="n"/>
      <c r="Z1544" s="40" t="n"/>
      <c r="AA1544" s="39" t="n"/>
    </row>
    <row r="1545">
      <c r="A1545" s="7" t="n"/>
      <c r="B1545" s="7" t="n"/>
      <c r="C1545" s="39" t="n"/>
      <c r="D1545" s="39" t="n"/>
      <c r="E1545" s="7" t="n"/>
      <c r="F1545" s="7" t="n"/>
      <c r="G1545" s="7" t="n"/>
      <c r="H1545" s="39" t="n"/>
      <c r="I1545" s="39" t="n"/>
      <c r="J1545" s="39" t="n"/>
      <c r="K1545" s="39" t="n"/>
      <c r="L1545" s="39" t="n"/>
      <c r="M1545" s="7" t="n"/>
      <c r="N1545" s="7" t="n"/>
      <c r="O1545" s="40" t="n"/>
      <c r="P1545" s="40" t="n"/>
      <c r="Q1545" s="40" t="n"/>
      <c r="R1545" s="40" t="n"/>
      <c r="S1545" s="40" t="n"/>
      <c r="T1545" s="40" t="n"/>
      <c r="U1545" s="40" t="n"/>
      <c r="V1545" s="40" t="n"/>
      <c r="W1545" s="40" t="n"/>
      <c r="X1545" s="40" t="n"/>
      <c r="Y1545" s="40" t="n"/>
      <c r="Z1545" s="40" t="n"/>
      <c r="AA1545" s="39" t="n"/>
    </row>
    <row r="1546">
      <c r="A1546" s="7" t="n"/>
      <c r="B1546" s="7" t="n"/>
      <c r="C1546" s="39" t="n"/>
      <c r="D1546" s="39" t="n"/>
      <c r="E1546" s="7" t="n"/>
      <c r="F1546" s="7" t="n"/>
      <c r="G1546" s="7" t="n"/>
      <c r="H1546" s="39" t="n"/>
      <c r="I1546" s="39" t="n"/>
      <c r="J1546" s="39" t="n"/>
      <c r="K1546" s="39" t="n"/>
      <c r="L1546" s="39" t="n"/>
      <c r="M1546" s="7" t="n"/>
      <c r="N1546" s="7" t="n"/>
      <c r="O1546" s="40" t="n"/>
      <c r="P1546" s="40" t="n"/>
      <c r="Q1546" s="40" t="n"/>
      <c r="R1546" s="40" t="n"/>
      <c r="S1546" s="40" t="n"/>
      <c r="T1546" s="40" t="n"/>
      <c r="U1546" s="40" t="n"/>
      <c r="V1546" s="40" t="n"/>
      <c r="W1546" s="40" t="n"/>
      <c r="X1546" s="40" t="n"/>
      <c r="Y1546" s="40" t="n"/>
      <c r="Z1546" s="40" t="n"/>
      <c r="AA1546" s="39" t="n"/>
    </row>
    <row r="1547">
      <c r="A1547" s="7" t="n"/>
      <c r="B1547" s="7" t="n"/>
      <c r="C1547" s="39" t="n"/>
      <c r="D1547" s="39" t="n"/>
      <c r="E1547" s="7" t="n"/>
      <c r="F1547" s="7" t="n"/>
      <c r="G1547" s="7" t="n"/>
      <c r="H1547" s="39" t="n"/>
      <c r="I1547" s="39" t="n"/>
      <c r="J1547" s="39" t="n"/>
      <c r="K1547" s="39" t="n"/>
      <c r="L1547" s="39" t="n"/>
      <c r="M1547" s="7" t="n"/>
      <c r="N1547" s="7" t="n"/>
      <c r="O1547" s="40" t="n"/>
      <c r="P1547" s="40" t="n"/>
      <c r="Q1547" s="40" t="n"/>
      <c r="R1547" s="40" t="n"/>
      <c r="S1547" s="40" t="n"/>
      <c r="T1547" s="40" t="n"/>
      <c r="U1547" s="40" t="n"/>
      <c r="V1547" s="40" t="n"/>
      <c r="W1547" s="40" t="n"/>
      <c r="X1547" s="40" t="n"/>
      <c r="Y1547" s="40" t="n"/>
      <c r="Z1547" s="40" t="n"/>
      <c r="AA1547" s="39" t="n"/>
    </row>
    <row r="1548">
      <c r="A1548" s="7" t="n"/>
      <c r="B1548" s="7" t="n"/>
      <c r="C1548" s="39" t="n"/>
      <c r="D1548" s="39" t="n"/>
      <c r="E1548" s="7" t="n"/>
      <c r="F1548" s="7" t="n"/>
      <c r="G1548" s="7" t="n"/>
      <c r="H1548" s="39" t="n"/>
      <c r="I1548" s="39" t="n"/>
      <c r="J1548" s="39" t="n"/>
      <c r="K1548" s="39" t="n"/>
      <c r="L1548" s="39" t="n"/>
      <c r="M1548" s="7" t="n"/>
      <c r="N1548" s="7" t="n"/>
      <c r="O1548" s="40" t="n"/>
      <c r="P1548" s="40" t="n"/>
      <c r="Q1548" s="40" t="n"/>
      <c r="R1548" s="40" t="n"/>
      <c r="S1548" s="40" t="n"/>
      <c r="T1548" s="40" t="n"/>
      <c r="U1548" s="40" t="n"/>
      <c r="V1548" s="40" t="n"/>
      <c r="W1548" s="40" t="n"/>
      <c r="X1548" s="40" t="n"/>
      <c r="Y1548" s="40" t="n"/>
      <c r="Z1548" s="40" t="n"/>
      <c r="AA1548" s="39" t="n"/>
    </row>
    <row r="1549">
      <c r="A1549" s="7" t="n"/>
      <c r="B1549" s="7" t="n"/>
      <c r="C1549" s="39" t="n"/>
      <c r="D1549" s="39" t="n"/>
      <c r="E1549" s="7" t="n"/>
      <c r="F1549" s="7" t="n"/>
      <c r="G1549" s="7" t="n"/>
      <c r="H1549" s="39" t="n"/>
      <c r="I1549" s="39" t="n"/>
      <c r="J1549" s="39" t="n"/>
      <c r="K1549" s="39" t="n"/>
      <c r="L1549" s="39" t="n"/>
      <c r="M1549" s="7" t="n"/>
      <c r="N1549" s="7" t="n"/>
      <c r="O1549" s="40" t="n"/>
      <c r="P1549" s="40" t="n"/>
      <c r="Q1549" s="40" t="n"/>
      <c r="R1549" s="40" t="n"/>
      <c r="S1549" s="40" t="n"/>
      <c r="T1549" s="40" t="n"/>
      <c r="U1549" s="40" t="n"/>
      <c r="V1549" s="40" t="n"/>
      <c r="W1549" s="40" t="n"/>
      <c r="X1549" s="40" t="n"/>
      <c r="Y1549" s="40" t="n"/>
      <c r="Z1549" s="40" t="n"/>
      <c r="AA1549" s="39" t="n"/>
    </row>
    <row r="1550">
      <c r="A1550" s="7" t="n"/>
      <c r="B1550" s="7" t="n"/>
      <c r="C1550" s="39" t="n"/>
      <c r="D1550" s="39" t="n"/>
      <c r="E1550" s="7" t="n"/>
      <c r="F1550" s="7" t="n"/>
      <c r="G1550" s="7" t="n"/>
      <c r="H1550" s="39" t="n"/>
      <c r="I1550" s="39" t="n"/>
      <c r="J1550" s="39" t="n"/>
      <c r="K1550" s="39" t="n"/>
      <c r="L1550" s="39" t="n"/>
      <c r="M1550" s="7" t="n"/>
      <c r="N1550" s="7" t="n"/>
      <c r="O1550" s="40" t="n"/>
      <c r="P1550" s="40" t="n"/>
      <c r="Q1550" s="40" t="n"/>
      <c r="R1550" s="40" t="n"/>
      <c r="S1550" s="40" t="n"/>
      <c r="T1550" s="40" t="n"/>
      <c r="U1550" s="40" t="n"/>
      <c r="V1550" s="40" t="n"/>
      <c r="W1550" s="40" t="n"/>
      <c r="X1550" s="40" t="n"/>
      <c r="Y1550" s="40" t="n"/>
      <c r="Z1550" s="40" t="n"/>
      <c r="AA1550" s="39" t="n"/>
    </row>
    <row r="1551">
      <c r="A1551" s="7" t="n"/>
      <c r="B1551" s="7" t="n"/>
      <c r="C1551" s="39" t="n"/>
      <c r="D1551" s="39" t="n"/>
      <c r="E1551" s="7" t="n"/>
      <c r="F1551" s="7" t="n"/>
      <c r="G1551" s="7" t="n"/>
      <c r="H1551" s="39" t="n"/>
      <c r="I1551" s="39" t="n"/>
      <c r="J1551" s="39" t="n"/>
      <c r="K1551" s="39" t="n"/>
      <c r="L1551" s="39" t="n"/>
      <c r="M1551" s="7" t="n"/>
      <c r="N1551" s="7" t="n"/>
      <c r="O1551" s="40" t="n"/>
      <c r="P1551" s="40" t="n"/>
      <c r="Q1551" s="40" t="n"/>
      <c r="R1551" s="40" t="n"/>
      <c r="S1551" s="40" t="n"/>
      <c r="T1551" s="40" t="n"/>
      <c r="U1551" s="40" t="n"/>
      <c r="V1551" s="40" t="n"/>
      <c r="W1551" s="40" t="n"/>
      <c r="X1551" s="40" t="n"/>
      <c r="Y1551" s="40" t="n"/>
      <c r="Z1551" s="40" t="n"/>
      <c r="AA1551" s="39" t="n"/>
    </row>
    <row r="1552">
      <c r="A1552" s="7" t="n"/>
      <c r="B1552" s="7" t="n"/>
      <c r="C1552" s="39" t="n"/>
      <c r="D1552" s="39" t="n"/>
      <c r="E1552" s="7" t="n"/>
      <c r="F1552" s="7" t="n"/>
      <c r="G1552" s="7" t="n"/>
      <c r="H1552" s="39" t="n"/>
      <c r="I1552" s="39" t="n"/>
      <c r="J1552" s="39" t="n"/>
      <c r="K1552" s="39" t="n"/>
      <c r="L1552" s="39" t="n"/>
      <c r="M1552" s="7" t="n"/>
      <c r="N1552" s="7" t="n"/>
      <c r="O1552" s="40" t="n"/>
      <c r="P1552" s="40" t="n"/>
      <c r="Q1552" s="40" t="n"/>
      <c r="R1552" s="40" t="n"/>
      <c r="S1552" s="40" t="n"/>
      <c r="T1552" s="40" t="n"/>
      <c r="U1552" s="40" t="n"/>
      <c r="V1552" s="40" t="n"/>
      <c r="W1552" s="40" t="n"/>
      <c r="X1552" s="40" t="n"/>
      <c r="Y1552" s="40" t="n"/>
      <c r="Z1552" s="40" t="n"/>
      <c r="AA1552" s="39" t="n"/>
    </row>
    <row r="1553">
      <c r="A1553" s="7" t="n"/>
      <c r="B1553" s="7" t="n"/>
      <c r="C1553" s="39" t="n"/>
      <c r="D1553" s="39" t="n"/>
      <c r="E1553" s="7" t="n"/>
      <c r="F1553" s="7" t="n"/>
      <c r="G1553" s="7" t="n"/>
      <c r="H1553" s="39" t="n"/>
      <c r="I1553" s="39" t="n"/>
      <c r="J1553" s="39" t="n"/>
      <c r="K1553" s="39" t="n"/>
      <c r="L1553" s="39" t="n"/>
      <c r="M1553" s="7" t="n"/>
      <c r="N1553" s="7" t="n"/>
      <c r="O1553" s="40" t="n"/>
      <c r="P1553" s="40" t="n"/>
      <c r="Q1553" s="40" t="n"/>
      <c r="R1553" s="40" t="n"/>
      <c r="S1553" s="40" t="n"/>
      <c r="T1553" s="40" t="n"/>
      <c r="U1553" s="40" t="n"/>
      <c r="V1553" s="40" t="n"/>
      <c r="W1553" s="40" t="n"/>
      <c r="X1553" s="40" t="n"/>
      <c r="Y1553" s="40" t="n"/>
      <c r="Z1553" s="40" t="n"/>
      <c r="AA1553" s="39" t="n"/>
    </row>
    <row r="1554">
      <c r="A1554" s="7" t="n"/>
      <c r="B1554" s="7" t="n"/>
      <c r="C1554" s="39" t="n"/>
      <c r="D1554" s="39" t="n"/>
      <c r="E1554" s="7" t="n"/>
      <c r="F1554" s="7" t="n"/>
      <c r="G1554" s="7" t="n"/>
      <c r="H1554" s="39" t="n"/>
      <c r="I1554" s="39" t="n"/>
      <c r="J1554" s="39" t="n"/>
      <c r="K1554" s="39" t="n"/>
      <c r="L1554" s="39" t="n"/>
      <c r="M1554" s="7" t="n"/>
      <c r="N1554" s="7" t="n"/>
      <c r="O1554" s="40" t="n"/>
      <c r="P1554" s="40" t="n"/>
      <c r="Q1554" s="40" t="n"/>
      <c r="R1554" s="40" t="n"/>
      <c r="S1554" s="40" t="n"/>
      <c r="T1554" s="40" t="n"/>
      <c r="U1554" s="40" t="n"/>
      <c r="V1554" s="40" t="n"/>
      <c r="W1554" s="40" t="n"/>
      <c r="X1554" s="40" t="n"/>
      <c r="Y1554" s="40" t="n"/>
      <c r="Z1554" s="40" t="n"/>
      <c r="AA1554" s="39" t="n"/>
    </row>
    <row r="1555">
      <c r="A1555" s="7" t="n"/>
      <c r="B1555" s="7" t="n"/>
      <c r="C1555" s="39" t="n"/>
      <c r="D1555" s="39" t="n"/>
      <c r="E1555" s="7" t="n"/>
      <c r="F1555" s="7" t="n"/>
      <c r="G1555" s="7" t="n"/>
      <c r="H1555" s="39" t="n"/>
      <c r="I1555" s="39" t="n"/>
      <c r="J1555" s="39" t="n"/>
      <c r="K1555" s="39" t="n"/>
      <c r="L1555" s="39" t="n"/>
      <c r="M1555" s="7" t="n"/>
      <c r="N1555" s="7" t="n"/>
      <c r="O1555" s="40" t="n"/>
      <c r="P1555" s="40" t="n"/>
      <c r="Q1555" s="40" t="n"/>
      <c r="R1555" s="40" t="n"/>
      <c r="S1555" s="40" t="n"/>
      <c r="T1555" s="40" t="n"/>
      <c r="U1555" s="40" t="n"/>
      <c r="V1555" s="40" t="n"/>
      <c r="W1555" s="40" t="n"/>
      <c r="X1555" s="40" t="n"/>
      <c r="Y1555" s="40" t="n"/>
      <c r="Z1555" s="40" t="n"/>
      <c r="AA1555" s="39" t="n"/>
    </row>
    <row r="1556">
      <c r="A1556" s="7" t="n"/>
      <c r="B1556" s="7" t="n"/>
      <c r="C1556" s="39" t="n"/>
      <c r="D1556" s="39" t="n"/>
      <c r="E1556" s="7" t="n"/>
      <c r="F1556" s="7" t="n"/>
      <c r="G1556" s="7" t="n"/>
      <c r="H1556" s="39" t="n"/>
      <c r="I1556" s="39" t="n"/>
      <c r="J1556" s="39" t="n"/>
      <c r="K1556" s="39" t="n"/>
      <c r="L1556" s="39" t="n"/>
      <c r="M1556" s="7" t="n"/>
      <c r="N1556" s="7" t="n"/>
      <c r="O1556" s="40" t="n"/>
      <c r="P1556" s="40" t="n"/>
      <c r="Q1556" s="40" t="n"/>
      <c r="R1556" s="40" t="n"/>
      <c r="S1556" s="40" t="n"/>
      <c r="T1556" s="40" t="n"/>
      <c r="U1556" s="40" t="n"/>
      <c r="V1556" s="40" t="n"/>
      <c r="W1556" s="40" t="n"/>
      <c r="X1556" s="40" t="n"/>
      <c r="Y1556" s="40" t="n"/>
      <c r="Z1556" s="40" t="n"/>
      <c r="AA1556" s="39" t="n"/>
    </row>
    <row r="1557">
      <c r="A1557" s="7" t="n"/>
      <c r="B1557" s="7" t="n"/>
      <c r="C1557" s="39" t="n"/>
      <c r="D1557" s="39" t="n"/>
      <c r="E1557" s="7" t="n"/>
      <c r="F1557" s="7" t="n"/>
      <c r="G1557" s="7" t="n"/>
      <c r="H1557" s="39" t="n"/>
      <c r="I1557" s="39" t="n"/>
      <c r="J1557" s="39" t="n"/>
      <c r="K1557" s="39" t="n"/>
      <c r="L1557" s="39" t="n"/>
      <c r="M1557" s="7" t="n"/>
      <c r="N1557" s="7" t="n"/>
      <c r="O1557" s="40" t="n"/>
      <c r="P1557" s="40" t="n"/>
      <c r="Q1557" s="40" t="n"/>
      <c r="R1557" s="40" t="n"/>
      <c r="S1557" s="40" t="n"/>
      <c r="T1557" s="40" t="n"/>
      <c r="U1557" s="40" t="n"/>
      <c r="V1557" s="40" t="n"/>
      <c r="W1557" s="40" t="n"/>
      <c r="X1557" s="40" t="n"/>
      <c r="Y1557" s="40" t="n"/>
      <c r="Z1557" s="40" t="n"/>
      <c r="AA1557" s="39" t="n"/>
    </row>
    <row r="1558">
      <c r="A1558" s="7" t="n"/>
      <c r="B1558" s="7" t="n"/>
      <c r="C1558" s="39" t="n"/>
      <c r="D1558" s="39" t="n"/>
      <c r="E1558" s="7" t="n"/>
      <c r="F1558" s="7" t="n"/>
      <c r="G1558" s="7" t="n"/>
      <c r="H1558" s="39" t="n"/>
      <c r="I1558" s="39" t="n"/>
      <c r="J1558" s="39" t="n"/>
      <c r="K1558" s="39" t="n"/>
      <c r="L1558" s="39" t="n"/>
      <c r="M1558" s="7" t="n"/>
      <c r="N1558" s="7" t="n"/>
      <c r="O1558" s="40" t="n"/>
      <c r="P1558" s="40" t="n"/>
      <c r="Q1558" s="40" t="n"/>
      <c r="R1558" s="40" t="n"/>
      <c r="S1558" s="40" t="n"/>
      <c r="T1558" s="40" t="n"/>
      <c r="U1558" s="40" t="n"/>
      <c r="V1558" s="40" t="n"/>
      <c r="W1558" s="40" t="n"/>
      <c r="X1558" s="40" t="n"/>
      <c r="Y1558" s="40" t="n"/>
      <c r="Z1558" s="40" t="n"/>
      <c r="AA1558" s="39" t="n"/>
    </row>
    <row r="1559">
      <c r="A1559" s="7" t="n"/>
      <c r="B1559" s="7" t="n"/>
      <c r="C1559" s="39" t="n"/>
      <c r="D1559" s="39" t="n"/>
      <c r="E1559" s="7" t="n"/>
      <c r="F1559" s="7" t="n"/>
      <c r="G1559" s="7" t="n"/>
      <c r="H1559" s="39" t="n"/>
      <c r="I1559" s="39" t="n"/>
      <c r="J1559" s="39" t="n"/>
      <c r="K1559" s="39" t="n"/>
      <c r="L1559" s="39" t="n"/>
      <c r="M1559" s="7" t="n"/>
      <c r="N1559" s="7" t="n"/>
      <c r="O1559" s="40" t="n"/>
      <c r="P1559" s="40" t="n"/>
      <c r="Q1559" s="40" t="n"/>
      <c r="R1559" s="40" t="n"/>
      <c r="S1559" s="40" t="n"/>
      <c r="T1559" s="40" t="n"/>
      <c r="U1559" s="40" t="n"/>
      <c r="V1559" s="40" t="n"/>
      <c r="W1559" s="40" t="n"/>
      <c r="X1559" s="40" t="n"/>
      <c r="Y1559" s="40" t="n"/>
      <c r="Z1559" s="40" t="n"/>
      <c r="AA1559" s="39" t="n"/>
    </row>
    <row r="1560">
      <c r="A1560" s="7" t="n"/>
      <c r="B1560" s="7" t="n"/>
      <c r="C1560" s="39" t="n"/>
      <c r="D1560" s="39" t="n"/>
      <c r="E1560" s="7" t="n"/>
      <c r="F1560" s="7" t="n"/>
      <c r="G1560" s="7" t="n"/>
      <c r="H1560" s="39" t="n"/>
      <c r="I1560" s="39" t="n"/>
      <c r="J1560" s="39" t="n"/>
      <c r="K1560" s="39" t="n"/>
      <c r="L1560" s="39" t="n"/>
      <c r="M1560" s="7" t="n"/>
      <c r="N1560" s="7" t="n"/>
      <c r="O1560" s="40" t="n"/>
      <c r="P1560" s="40" t="n"/>
      <c r="Q1560" s="40" t="n"/>
      <c r="R1560" s="40" t="n"/>
      <c r="S1560" s="40" t="n"/>
      <c r="T1560" s="40" t="n"/>
      <c r="U1560" s="40" t="n"/>
      <c r="V1560" s="40" t="n"/>
      <c r="W1560" s="40" t="n"/>
      <c r="X1560" s="40" t="n"/>
      <c r="Y1560" s="40" t="n"/>
      <c r="Z1560" s="40" t="n"/>
      <c r="AA1560" s="39" t="n"/>
    </row>
    <row r="1561">
      <c r="A1561" s="7" t="n"/>
      <c r="B1561" s="7" t="n"/>
      <c r="C1561" s="39" t="n"/>
      <c r="D1561" s="39" t="n"/>
      <c r="E1561" s="7" t="n"/>
      <c r="F1561" s="7" t="n"/>
      <c r="G1561" s="7" t="n"/>
      <c r="H1561" s="39" t="n"/>
      <c r="I1561" s="39" t="n"/>
      <c r="J1561" s="39" t="n"/>
      <c r="K1561" s="39" t="n"/>
      <c r="L1561" s="39" t="n"/>
      <c r="M1561" s="7" t="n"/>
      <c r="N1561" s="7" t="n"/>
      <c r="O1561" s="40" t="n"/>
      <c r="P1561" s="40" t="n"/>
      <c r="Q1561" s="40" t="n"/>
      <c r="R1561" s="40" t="n"/>
      <c r="S1561" s="40" t="n"/>
      <c r="T1561" s="40" t="n"/>
      <c r="U1561" s="40" t="n"/>
      <c r="V1561" s="40" t="n"/>
      <c r="W1561" s="40" t="n"/>
      <c r="X1561" s="40" t="n"/>
      <c r="Y1561" s="40" t="n"/>
      <c r="Z1561" s="40" t="n"/>
      <c r="AA1561" s="39" t="n"/>
    </row>
    <row r="1562">
      <c r="A1562" s="7" t="n"/>
      <c r="B1562" s="7" t="n"/>
      <c r="C1562" s="39" t="n"/>
      <c r="D1562" s="39" t="n"/>
      <c r="E1562" s="7" t="n"/>
      <c r="F1562" s="7" t="n"/>
      <c r="G1562" s="7" t="n"/>
      <c r="H1562" s="39" t="n"/>
      <c r="I1562" s="39" t="n"/>
      <c r="J1562" s="39" t="n"/>
      <c r="K1562" s="39" t="n"/>
      <c r="L1562" s="39" t="n"/>
      <c r="M1562" s="7" t="n"/>
      <c r="N1562" s="7" t="n"/>
      <c r="O1562" s="40" t="n"/>
      <c r="P1562" s="40" t="n"/>
      <c r="Q1562" s="40" t="n"/>
      <c r="R1562" s="40" t="n"/>
      <c r="S1562" s="40" t="n"/>
      <c r="T1562" s="40" t="n"/>
      <c r="U1562" s="40" t="n"/>
      <c r="V1562" s="40" t="n"/>
      <c r="W1562" s="40" t="n"/>
      <c r="X1562" s="40" t="n"/>
      <c r="Y1562" s="40" t="n"/>
      <c r="Z1562" s="40" t="n"/>
      <c r="AA1562" s="39" t="n"/>
    </row>
    <row r="1563">
      <c r="A1563" s="7" t="n"/>
      <c r="B1563" s="7" t="n"/>
      <c r="C1563" s="39" t="n"/>
      <c r="D1563" s="39" t="n"/>
      <c r="E1563" s="7" t="n"/>
      <c r="F1563" s="7" t="n"/>
      <c r="G1563" s="7" t="n"/>
      <c r="H1563" s="39" t="n"/>
      <c r="I1563" s="39" t="n"/>
      <c r="J1563" s="39" t="n"/>
      <c r="K1563" s="39" t="n"/>
      <c r="L1563" s="39" t="n"/>
      <c r="M1563" s="7" t="n"/>
      <c r="N1563" s="7" t="n"/>
      <c r="O1563" s="40" t="n"/>
      <c r="P1563" s="40" t="n"/>
      <c r="Q1563" s="40" t="n"/>
      <c r="R1563" s="40" t="n"/>
      <c r="S1563" s="40" t="n"/>
      <c r="T1563" s="40" t="n"/>
      <c r="U1563" s="40" t="n"/>
      <c r="V1563" s="40" t="n"/>
      <c r="W1563" s="40" t="n"/>
      <c r="X1563" s="40" t="n"/>
      <c r="Y1563" s="40" t="n"/>
      <c r="Z1563" s="40" t="n"/>
      <c r="AA1563" s="39" t="n"/>
    </row>
    <row r="1564">
      <c r="A1564" s="7" t="n"/>
      <c r="B1564" s="7" t="n"/>
      <c r="C1564" s="39" t="n"/>
      <c r="D1564" s="39" t="n"/>
      <c r="E1564" s="7" t="n"/>
      <c r="F1564" s="7" t="n"/>
      <c r="G1564" s="7" t="n"/>
      <c r="H1564" s="39" t="n"/>
      <c r="I1564" s="39" t="n"/>
      <c r="J1564" s="39" t="n"/>
      <c r="K1564" s="39" t="n"/>
      <c r="L1564" s="39" t="n"/>
      <c r="M1564" s="7" t="n"/>
      <c r="N1564" s="7" t="n"/>
      <c r="O1564" s="40" t="n"/>
      <c r="P1564" s="40" t="n"/>
      <c r="Q1564" s="40" t="n"/>
      <c r="R1564" s="40" t="n"/>
      <c r="S1564" s="40" t="n"/>
      <c r="T1564" s="40" t="n"/>
      <c r="U1564" s="40" t="n"/>
      <c r="V1564" s="40" t="n"/>
      <c r="W1564" s="40" t="n"/>
      <c r="X1564" s="40" t="n"/>
      <c r="Y1564" s="40" t="n"/>
      <c r="Z1564" s="40" t="n"/>
      <c r="AA1564" s="39" t="n"/>
    </row>
    <row r="1565">
      <c r="A1565" s="7" t="n"/>
      <c r="B1565" s="7" t="n"/>
      <c r="C1565" s="39" t="n"/>
      <c r="D1565" s="39" t="n"/>
      <c r="E1565" s="7" t="n"/>
      <c r="F1565" s="7" t="n"/>
      <c r="G1565" s="7" t="n"/>
      <c r="H1565" s="39" t="n"/>
      <c r="I1565" s="39" t="n"/>
      <c r="J1565" s="39" t="n"/>
      <c r="K1565" s="39" t="n"/>
      <c r="L1565" s="39" t="n"/>
      <c r="M1565" s="7" t="n"/>
      <c r="N1565" s="7" t="n"/>
      <c r="O1565" s="40" t="n"/>
      <c r="P1565" s="40" t="n"/>
      <c r="Q1565" s="40" t="n"/>
      <c r="R1565" s="40" t="n"/>
      <c r="S1565" s="40" t="n"/>
      <c r="T1565" s="40" t="n"/>
      <c r="U1565" s="40" t="n"/>
      <c r="V1565" s="40" t="n"/>
      <c r="W1565" s="40" t="n"/>
      <c r="X1565" s="40" t="n"/>
      <c r="Y1565" s="40" t="n"/>
      <c r="Z1565" s="40" t="n"/>
      <c r="AA1565" s="39" t="n"/>
    </row>
    <row r="1566">
      <c r="A1566" s="7" t="n"/>
      <c r="B1566" s="7" t="n"/>
      <c r="C1566" s="39" t="n"/>
      <c r="D1566" s="39" t="n"/>
      <c r="E1566" s="7" t="n"/>
      <c r="F1566" s="7" t="n"/>
      <c r="G1566" s="7" t="n"/>
      <c r="H1566" s="39" t="n"/>
      <c r="I1566" s="39" t="n"/>
      <c r="J1566" s="39" t="n"/>
      <c r="K1566" s="39" t="n"/>
      <c r="L1566" s="39" t="n"/>
      <c r="M1566" s="7" t="n"/>
      <c r="N1566" s="7" t="n"/>
      <c r="O1566" s="40" t="n"/>
      <c r="P1566" s="40" t="n"/>
      <c r="Q1566" s="40" t="n"/>
      <c r="R1566" s="40" t="n"/>
      <c r="S1566" s="40" t="n"/>
      <c r="T1566" s="40" t="n"/>
      <c r="U1566" s="40" t="n"/>
      <c r="V1566" s="40" t="n"/>
      <c r="W1566" s="40" t="n"/>
      <c r="X1566" s="40" t="n"/>
      <c r="Y1566" s="40" t="n"/>
      <c r="Z1566" s="40" t="n"/>
      <c r="AA1566" s="39" t="n"/>
    </row>
    <row r="1567">
      <c r="A1567" s="7" t="n"/>
      <c r="B1567" s="7" t="n"/>
      <c r="C1567" s="39" t="n"/>
      <c r="D1567" s="39" t="n"/>
      <c r="E1567" s="7" t="n"/>
      <c r="F1567" s="7" t="n"/>
      <c r="G1567" s="7" t="n"/>
      <c r="H1567" s="39" t="n"/>
      <c r="I1567" s="39" t="n"/>
      <c r="J1567" s="39" t="n"/>
      <c r="K1567" s="39" t="n"/>
      <c r="L1567" s="39" t="n"/>
      <c r="M1567" s="7" t="n"/>
      <c r="N1567" s="7" t="n"/>
      <c r="O1567" s="40" t="n"/>
      <c r="P1567" s="40" t="n"/>
      <c r="Q1567" s="40" t="n"/>
      <c r="R1567" s="40" t="n"/>
      <c r="S1567" s="40" t="n"/>
      <c r="T1567" s="40" t="n"/>
      <c r="U1567" s="40" t="n"/>
      <c r="V1567" s="40" t="n"/>
      <c r="W1567" s="40" t="n"/>
      <c r="X1567" s="40" t="n"/>
      <c r="Y1567" s="40" t="n"/>
      <c r="Z1567" s="40" t="n"/>
      <c r="AA1567" s="39" t="n"/>
    </row>
    <row r="1568">
      <c r="A1568" s="7" t="n"/>
      <c r="B1568" s="7" t="n"/>
      <c r="C1568" s="39" t="n"/>
      <c r="D1568" s="39" t="n"/>
      <c r="E1568" s="7" t="n"/>
      <c r="F1568" s="7" t="n"/>
      <c r="G1568" s="7" t="n"/>
      <c r="H1568" s="39" t="n"/>
      <c r="I1568" s="39" t="n"/>
      <c r="J1568" s="39" t="n"/>
      <c r="K1568" s="39" t="n"/>
      <c r="L1568" s="39" t="n"/>
      <c r="M1568" s="7" t="n"/>
      <c r="N1568" s="7" t="n"/>
      <c r="O1568" s="40" t="n"/>
      <c r="P1568" s="40" t="n"/>
      <c r="Q1568" s="40" t="n"/>
      <c r="R1568" s="40" t="n"/>
      <c r="S1568" s="40" t="n"/>
      <c r="T1568" s="40" t="n"/>
      <c r="U1568" s="40" t="n"/>
      <c r="V1568" s="40" t="n"/>
      <c r="W1568" s="40" t="n"/>
      <c r="X1568" s="40" t="n"/>
      <c r="Y1568" s="40" t="n"/>
      <c r="Z1568" s="40" t="n"/>
      <c r="AA1568" s="39" t="n"/>
    </row>
    <row r="1569">
      <c r="A1569" s="7" t="n"/>
      <c r="B1569" s="7" t="n"/>
      <c r="C1569" s="39" t="n"/>
      <c r="D1569" s="39" t="n"/>
      <c r="E1569" s="7" t="n"/>
      <c r="F1569" s="7" t="n"/>
      <c r="G1569" s="7" t="n"/>
      <c r="H1569" s="39" t="n"/>
      <c r="I1569" s="39" t="n"/>
      <c r="J1569" s="39" t="n"/>
      <c r="K1569" s="39" t="n"/>
      <c r="L1569" s="39" t="n"/>
      <c r="M1569" s="7" t="n"/>
      <c r="N1569" s="7" t="n"/>
      <c r="O1569" s="40" t="n"/>
      <c r="P1569" s="40" t="n"/>
      <c r="Q1569" s="40" t="n"/>
      <c r="R1569" s="40" t="n"/>
      <c r="S1569" s="40" t="n"/>
      <c r="T1569" s="40" t="n"/>
      <c r="U1569" s="40" t="n"/>
      <c r="V1569" s="40" t="n"/>
      <c r="W1569" s="40" t="n"/>
      <c r="X1569" s="40" t="n"/>
      <c r="Y1569" s="40" t="n"/>
      <c r="Z1569" s="40" t="n"/>
      <c r="AA1569" s="39" t="n"/>
    </row>
    <row r="1570">
      <c r="A1570" s="7" t="n"/>
      <c r="B1570" s="7" t="n"/>
      <c r="C1570" s="39" t="n"/>
      <c r="D1570" s="39" t="n"/>
      <c r="E1570" s="7" t="n"/>
      <c r="F1570" s="7" t="n"/>
      <c r="G1570" s="7" t="n"/>
      <c r="H1570" s="39" t="n"/>
      <c r="I1570" s="39" t="n"/>
      <c r="J1570" s="39" t="n"/>
      <c r="K1570" s="39" t="n"/>
      <c r="L1570" s="39" t="n"/>
      <c r="M1570" s="7" t="n"/>
      <c r="N1570" s="7" t="n"/>
      <c r="O1570" s="40" t="n"/>
      <c r="P1570" s="40" t="n"/>
      <c r="Q1570" s="40" t="n"/>
      <c r="R1570" s="40" t="n"/>
      <c r="S1570" s="40" t="n"/>
      <c r="T1570" s="40" t="n"/>
      <c r="U1570" s="40" t="n"/>
      <c r="V1570" s="40" t="n"/>
      <c r="W1570" s="40" t="n"/>
      <c r="X1570" s="40" t="n"/>
      <c r="Y1570" s="40" t="n"/>
      <c r="Z1570" s="40" t="n"/>
      <c r="AA1570" s="39" t="n"/>
    </row>
    <row r="1571">
      <c r="A1571" s="7" t="n"/>
      <c r="B1571" s="7" t="n"/>
      <c r="C1571" s="39" t="n"/>
      <c r="D1571" s="39" t="n"/>
      <c r="E1571" s="7" t="n"/>
      <c r="F1571" s="7" t="n"/>
      <c r="G1571" s="7" t="n"/>
      <c r="H1571" s="39" t="n"/>
      <c r="I1571" s="39" t="n"/>
      <c r="J1571" s="39" t="n"/>
      <c r="K1571" s="39" t="n"/>
      <c r="L1571" s="39" t="n"/>
      <c r="M1571" s="7" t="n"/>
      <c r="N1571" s="7" t="n"/>
      <c r="O1571" s="40" t="n"/>
      <c r="P1571" s="40" t="n"/>
      <c r="Q1571" s="40" t="n"/>
      <c r="R1571" s="40" t="n"/>
      <c r="S1571" s="40" t="n"/>
      <c r="T1571" s="40" t="n"/>
      <c r="U1571" s="40" t="n"/>
      <c r="V1571" s="40" t="n"/>
      <c r="W1571" s="40" t="n"/>
      <c r="X1571" s="40" t="n"/>
      <c r="Y1571" s="40" t="n"/>
      <c r="Z1571" s="40" t="n"/>
      <c r="AA1571" s="39" t="n"/>
    </row>
    <row r="1572">
      <c r="A1572" s="7" t="n"/>
      <c r="B1572" s="7" t="n"/>
      <c r="C1572" s="39" t="n"/>
      <c r="D1572" s="39" t="n"/>
      <c r="E1572" s="7" t="n"/>
      <c r="F1572" s="7" t="n"/>
      <c r="G1572" s="7" t="n"/>
      <c r="H1572" s="39" t="n"/>
      <c r="I1572" s="39" t="n"/>
      <c r="J1572" s="39" t="n"/>
      <c r="K1572" s="39" t="n"/>
      <c r="L1572" s="39" t="n"/>
      <c r="M1572" s="7" t="n"/>
      <c r="N1572" s="7" t="n"/>
      <c r="O1572" s="40" t="n"/>
      <c r="P1572" s="40" t="n"/>
      <c r="Q1572" s="40" t="n"/>
      <c r="R1572" s="40" t="n"/>
      <c r="S1572" s="40" t="n"/>
      <c r="T1572" s="40" t="n"/>
      <c r="U1572" s="40" t="n"/>
      <c r="V1572" s="40" t="n"/>
      <c r="W1572" s="40" t="n"/>
      <c r="X1572" s="40" t="n"/>
      <c r="Y1572" s="40" t="n"/>
      <c r="Z1572" s="40" t="n"/>
      <c r="AA1572" s="39" t="n"/>
    </row>
    <row r="1573">
      <c r="A1573" s="7" t="n"/>
      <c r="B1573" s="7" t="n"/>
      <c r="C1573" s="39" t="n"/>
      <c r="D1573" s="39" t="n"/>
      <c r="E1573" s="7" t="n"/>
      <c r="F1573" s="7" t="n"/>
      <c r="G1573" s="7" t="n"/>
      <c r="H1573" s="39" t="n"/>
      <c r="I1573" s="39" t="n"/>
      <c r="J1573" s="39" t="n"/>
      <c r="K1573" s="39" t="n"/>
      <c r="L1573" s="39" t="n"/>
      <c r="M1573" s="7" t="n"/>
      <c r="N1573" s="7" t="n"/>
      <c r="O1573" s="40" t="n"/>
      <c r="P1573" s="40" t="n"/>
      <c r="Q1573" s="40" t="n"/>
      <c r="R1573" s="40" t="n"/>
      <c r="S1573" s="40" t="n"/>
      <c r="T1573" s="40" t="n"/>
      <c r="U1573" s="40" t="n"/>
      <c r="V1573" s="40" t="n"/>
      <c r="W1573" s="40" t="n"/>
      <c r="X1573" s="40" t="n"/>
      <c r="Y1573" s="40" t="n"/>
      <c r="Z1573" s="40" t="n"/>
      <c r="AA1573" s="39" t="n"/>
    </row>
    <row r="1574">
      <c r="A1574" s="7" t="n"/>
      <c r="B1574" s="7" t="n"/>
      <c r="C1574" s="39" t="n"/>
      <c r="D1574" s="39" t="n"/>
      <c r="E1574" s="7" t="n"/>
      <c r="F1574" s="7" t="n"/>
      <c r="G1574" s="7" t="n"/>
      <c r="H1574" s="39" t="n"/>
      <c r="I1574" s="39" t="n"/>
      <c r="J1574" s="39" t="n"/>
      <c r="K1574" s="39" t="n"/>
      <c r="L1574" s="39" t="n"/>
      <c r="M1574" s="7" t="n"/>
      <c r="N1574" s="7" t="n"/>
      <c r="O1574" s="40" t="n"/>
      <c r="P1574" s="40" t="n"/>
      <c r="Q1574" s="40" t="n"/>
      <c r="R1574" s="40" t="n"/>
      <c r="S1574" s="40" t="n"/>
      <c r="T1574" s="40" t="n"/>
      <c r="U1574" s="40" t="n"/>
      <c r="V1574" s="40" t="n"/>
      <c r="W1574" s="40" t="n"/>
      <c r="X1574" s="40" t="n"/>
      <c r="Y1574" s="40" t="n"/>
      <c r="Z1574" s="40" t="n"/>
      <c r="AA1574" s="39" t="n"/>
    </row>
    <row r="1575">
      <c r="A1575" s="7" t="n"/>
      <c r="B1575" s="7" t="n"/>
      <c r="C1575" s="39" t="n"/>
      <c r="D1575" s="39" t="n"/>
      <c r="E1575" s="7" t="n"/>
      <c r="F1575" s="7" t="n"/>
      <c r="G1575" s="7" t="n"/>
      <c r="H1575" s="39" t="n"/>
      <c r="I1575" s="39" t="n"/>
      <c r="J1575" s="39" t="n"/>
      <c r="K1575" s="39" t="n"/>
      <c r="L1575" s="39" t="n"/>
      <c r="M1575" s="7" t="n"/>
      <c r="N1575" s="7" t="n"/>
      <c r="O1575" s="40" t="n"/>
      <c r="P1575" s="40" t="n"/>
      <c r="Q1575" s="40" t="n"/>
      <c r="R1575" s="40" t="n"/>
      <c r="S1575" s="40" t="n"/>
      <c r="T1575" s="40" t="n"/>
      <c r="U1575" s="40" t="n"/>
      <c r="V1575" s="40" t="n"/>
      <c r="W1575" s="40" t="n"/>
      <c r="X1575" s="40" t="n"/>
      <c r="Y1575" s="40" t="n"/>
      <c r="Z1575" s="40" t="n"/>
      <c r="AA1575" s="39" t="n"/>
    </row>
    <row r="1576">
      <c r="A1576" s="7" t="n"/>
      <c r="B1576" s="7" t="n"/>
      <c r="C1576" s="39" t="n"/>
      <c r="D1576" s="39" t="n"/>
      <c r="E1576" s="7" t="n"/>
      <c r="F1576" s="7" t="n"/>
      <c r="G1576" s="7" t="n"/>
      <c r="H1576" s="39" t="n"/>
      <c r="I1576" s="39" t="n"/>
      <c r="J1576" s="39" t="n"/>
      <c r="K1576" s="39" t="n"/>
      <c r="L1576" s="39" t="n"/>
      <c r="M1576" s="7" t="n"/>
      <c r="N1576" s="7" t="n"/>
      <c r="O1576" s="40" t="n"/>
      <c r="P1576" s="40" t="n"/>
      <c r="Q1576" s="40" t="n"/>
      <c r="R1576" s="40" t="n"/>
      <c r="S1576" s="40" t="n"/>
      <c r="T1576" s="40" t="n"/>
      <c r="U1576" s="40" t="n"/>
      <c r="V1576" s="40" t="n"/>
      <c r="W1576" s="40" t="n"/>
      <c r="X1576" s="40" t="n"/>
      <c r="Y1576" s="40" t="n"/>
      <c r="Z1576" s="40" t="n"/>
      <c r="AA1576" s="39" t="n"/>
    </row>
    <row r="1577">
      <c r="A1577" s="7" t="n"/>
      <c r="B1577" s="7" t="n"/>
      <c r="C1577" s="39" t="n"/>
      <c r="D1577" s="39" t="n"/>
      <c r="E1577" s="7" t="n"/>
      <c r="F1577" s="7" t="n"/>
      <c r="G1577" s="7" t="n"/>
      <c r="H1577" s="39" t="n"/>
      <c r="I1577" s="39" t="n"/>
      <c r="J1577" s="39" t="n"/>
      <c r="K1577" s="39" t="n"/>
      <c r="L1577" s="39" t="n"/>
      <c r="M1577" s="7" t="n"/>
      <c r="N1577" s="7" t="n"/>
      <c r="O1577" s="40" t="n"/>
      <c r="P1577" s="40" t="n"/>
      <c r="Q1577" s="40" t="n"/>
      <c r="R1577" s="40" t="n"/>
      <c r="S1577" s="40" t="n"/>
      <c r="T1577" s="40" t="n"/>
      <c r="U1577" s="40" t="n"/>
      <c r="V1577" s="40" t="n"/>
      <c r="W1577" s="40" t="n"/>
      <c r="X1577" s="40" t="n"/>
      <c r="Y1577" s="40" t="n"/>
      <c r="Z1577" s="40" t="n"/>
      <c r="AA1577" s="39" t="n"/>
    </row>
    <row r="1578">
      <c r="A1578" s="7" t="n"/>
      <c r="B1578" s="7" t="n"/>
      <c r="C1578" s="39" t="n"/>
      <c r="D1578" s="39" t="n"/>
      <c r="E1578" s="7" t="n"/>
      <c r="F1578" s="7" t="n"/>
      <c r="G1578" s="7" t="n"/>
      <c r="H1578" s="39" t="n"/>
      <c r="I1578" s="39" t="n"/>
      <c r="J1578" s="39" t="n"/>
      <c r="K1578" s="39" t="n"/>
      <c r="L1578" s="39" t="n"/>
      <c r="M1578" s="7" t="n"/>
      <c r="N1578" s="7" t="n"/>
      <c r="O1578" s="40" t="n"/>
      <c r="P1578" s="40" t="n"/>
      <c r="Q1578" s="40" t="n"/>
      <c r="R1578" s="40" t="n"/>
      <c r="S1578" s="40" t="n"/>
      <c r="T1578" s="40" t="n"/>
      <c r="U1578" s="40" t="n"/>
      <c r="V1578" s="40" t="n"/>
      <c r="W1578" s="40" t="n"/>
      <c r="X1578" s="40" t="n"/>
      <c r="Y1578" s="40" t="n"/>
      <c r="Z1578" s="40" t="n"/>
      <c r="AA1578" s="39" t="n"/>
    </row>
    <row r="1579">
      <c r="A1579" s="7" t="n"/>
      <c r="B1579" s="7" t="n"/>
      <c r="C1579" s="39" t="n"/>
      <c r="D1579" s="39" t="n"/>
      <c r="E1579" s="7" t="n"/>
      <c r="F1579" s="7" t="n"/>
      <c r="G1579" s="7" t="n"/>
      <c r="H1579" s="39" t="n"/>
      <c r="I1579" s="39" t="n"/>
      <c r="J1579" s="39" t="n"/>
      <c r="K1579" s="39" t="n"/>
      <c r="L1579" s="39" t="n"/>
      <c r="M1579" s="7" t="n"/>
      <c r="N1579" s="7" t="n"/>
      <c r="O1579" s="40" t="n"/>
      <c r="P1579" s="40" t="n"/>
      <c r="Q1579" s="40" t="n"/>
      <c r="R1579" s="40" t="n"/>
      <c r="S1579" s="40" t="n"/>
      <c r="T1579" s="40" t="n"/>
      <c r="U1579" s="40" t="n"/>
      <c r="V1579" s="40" t="n"/>
      <c r="W1579" s="40" t="n"/>
      <c r="X1579" s="40" t="n"/>
      <c r="Y1579" s="40" t="n"/>
      <c r="Z1579" s="40" t="n"/>
      <c r="AA1579" s="39" t="n"/>
    </row>
    <row r="1580">
      <c r="A1580" s="7" t="n"/>
      <c r="B1580" s="7" t="n"/>
      <c r="C1580" s="39" t="n"/>
      <c r="D1580" s="39" t="n"/>
      <c r="E1580" s="7" t="n"/>
      <c r="F1580" s="7" t="n"/>
      <c r="G1580" s="7" t="n"/>
      <c r="H1580" s="39" t="n"/>
      <c r="I1580" s="39" t="n"/>
      <c r="J1580" s="39" t="n"/>
      <c r="K1580" s="39" t="n"/>
      <c r="L1580" s="39" t="n"/>
      <c r="M1580" s="7" t="n"/>
      <c r="N1580" s="7" t="n"/>
      <c r="O1580" s="40" t="n"/>
      <c r="P1580" s="40" t="n"/>
      <c r="Q1580" s="40" t="n"/>
      <c r="R1580" s="40" t="n"/>
      <c r="S1580" s="40" t="n"/>
      <c r="T1580" s="40" t="n"/>
      <c r="U1580" s="40" t="n"/>
      <c r="V1580" s="40" t="n"/>
      <c r="W1580" s="40" t="n"/>
      <c r="X1580" s="40" t="n"/>
      <c r="Y1580" s="40" t="n"/>
      <c r="Z1580" s="40" t="n"/>
      <c r="AA1580" s="39" t="n"/>
    </row>
    <row r="1581">
      <c r="A1581" s="7" t="n"/>
      <c r="B1581" s="7" t="n"/>
      <c r="C1581" s="39" t="n"/>
      <c r="D1581" s="39" t="n"/>
      <c r="E1581" s="7" t="n"/>
      <c r="F1581" s="7" t="n"/>
      <c r="G1581" s="7" t="n"/>
      <c r="H1581" s="39" t="n"/>
      <c r="I1581" s="39" t="n"/>
      <c r="J1581" s="39" t="n"/>
      <c r="K1581" s="39" t="n"/>
      <c r="L1581" s="39" t="n"/>
      <c r="M1581" s="7" t="n"/>
      <c r="N1581" s="7" t="n"/>
      <c r="O1581" s="40" t="n"/>
      <c r="P1581" s="40" t="n"/>
      <c r="Q1581" s="40" t="n"/>
      <c r="R1581" s="40" t="n"/>
      <c r="S1581" s="40" t="n"/>
      <c r="T1581" s="40" t="n"/>
      <c r="U1581" s="40" t="n"/>
      <c r="V1581" s="40" t="n"/>
      <c r="W1581" s="40" t="n"/>
      <c r="X1581" s="40" t="n"/>
      <c r="Y1581" s="40" t="n"/>
      <c r="Z1581" s="40" t="n"/>
      <c r="AA1581" s="39" t="n"/>
    </row>
    <row r="1582">
      <c r="A1582" s="7" t="n"/>
      <c r="B1582" s="7" t="n"/>
      <c r="C1582" s="39" t="n"/>
      <c r="D1582" s="39" t="n"/>
      <c r="E1582" s="7" t="n"/>
      <c r="F1582" s="7" t="n"/>
      <c r="G1582" s="7" t="n"/>
      <c r="H1582" s="39" t="n"/>
      <c r="I1582" s="39" t="n"/>
      <c r="J1582" s="39" t="n"/>
      <c r="K1582" s="39" t="n"/>
      <c r="L1582" s="39" t="n"/>
      <c r="M1582" s="7" t="n"/>
      <c r="N1582" s="7" t="n"/>
      <c r="O1582" s="40" t="n"/>
      <c r="P1582" s="40" t="n"/>
      <c r="Q1582" s="40" t="n"/>
      <c r="R1582" s="40" t="n"/>
      <c r="S1582" s="40" t="n"/>
      <c r="T1582" s="40" t="n"/>
      <c r="U1582" s="40" t="n"/>
      <c r="V1582" s="40" t="n"/>
      <c r="W1582" s="40" t="n"/>
      <c r="X1582" s="40" t="n"/>
      <c r="Y1582" s="40" t="n"/>
      <c r="Z1582" s="40" t="n"/>
      <c r="AA1582" s="39" t="n"/>
    </row>
    <row r="1583">
      <c r="A1583" s="7" t="n"/>
      <c r="B1583" s="7" t="n"/>
      <c r="C1583" s="39" t="n"/>
      <c r="D1583" s="39" t="n"/>
      <c r="E1583" s="7" t="n"/>
      <c r="F1583" s="7" t="n"/>
      <c r="G1583" s="7" t="n"/>
      <c r="H1583" s="39" t="n"/>
      <c r="I1583" s="39" t="n"/>
      <c r="J1583" s="39" t="n"/>
      <c r="K1583" s="39" t="n"/>
      <c r="L1583" s="39" t="n"/>
      <c r="M1583" s="7" t="n"/>
      <c r="N1583" s="7" t="n"/>
      <c r="O1583" s="40" t="n"/>
      <c r="P1583" s="40" t="n"/>
      <c r="Q1583" s="40" t="n"/>
      <c r="R1583" s="40" t="n"/>
      <c r="S1583" s="40" t="n"/>
      <c r="T1583" s="40" t="n"/>
      <c r="U1583" s="40" t="n"/>
      <c r="V1583" s="40" t="n"/>
      <c r="W1583" s="40" t="n"/>
      <c r="X1583" s="40" t="n"/>
      <c r="Y1583" s="40" t="n"/>
      <c r="Z1583" s="40" t="n"/>
      <c r="AA1583" s="39" t="n"/>
    </row>
    <row r="1584">
      <c r="A1584" s="7" t="n"/>
      <c r="B1584" s="7" t="n"/>
      <c r="C1584" s="39" t="n"/>
      <c r="D1584" s="39" t="n"/>
      <c r="E1584" s="7" t="n"/>
      <c r="F1584" s="7" t="n"/>
      <c r="G1584" s="7" t="n"/>
      <c r="H1584" s="39" t="n"/>
      <c r="I1584" s="39" t="n"/>
      <c r="J1584" s="39" t="n"/>
      <c r="K1584" s="39" t="n"/>
      <c r="L1584" s="39" t="n"/>
      <c r="M1584" s="7" t="n"/>
      <c r="N1584" s="7" t="n"/>
      <c r="O1584" s="40" t="n"/>
      <c r="P1584" s="40" t="n"/>
      <c r="Q1584" s="40" t="n"/>
      <c r="R1584" s="40" t="n"/>
      <c r="S1584" s="40" t="n"/>
      <c r="T1584" s="40" t="n"/>
      <c r="U1584" s="40" t="n"/>
      <c r="V1584" s="40" t="n"/>
      <c r="W1584" s="40" t="n"/>
      <c r="X1584" s="40" t="n"/>
      <c r="Y1584" s="40" t="n"/>
      <c r="Z1584" s="40" t="n"/>
      <c r="AA1584" s="39" t="n"/>
    </row>
    <row r="1585">
      <c r="A1585" s="7" t="n"/>
      <c r="B1585" s="7" t="n"/>
      <c r="C1585" s="39" t="n"/>
      <c r="D1585" s="39" t="n"/>
      <c r="E1585" s="7" t="n"/>
      <c r="F1585" s="7" t="n"/>
      <c r="G1585" s="7" t="n"/>
      <c r="H1585" s="39" t="n"/>
      <c r="I1585" s="39" t="n"/>
      <c r="J1585" s="39" t="n"/>
      <c r="K1585" s="39" t="n"/>
      <c r="L1585" s="39" t="n"/>
      <c r="M1585" s="7" t="n"/>
      <c r="N1585" s="7" t="n"/>
      <c r="O1585" s="40" t="n"/>
      <c r="P1585" s="40" t="n"/>
      <c r="Q1585" s="40" t="n"/>
      <c r="R1585" s="40" t="n"/>
      <c r="S1585" s="40" t="n"/>
      <c r="T1585" s="40" t="n"/>
      <c r="U1585" s="40" t="n"/>
      <c r="V1585" s="40" t="n"/>
      <c r="W1585" s="40" t="n"/>
      <c r="X1585" s="40" t="n"/>
      <c r="Y1585" s="40" t="n"/>
      <c r="Z1585" s="40" t="n"/>
      <c r="AA1585" s="39" t="n"/>
    </row>
    <row r="1586">
      <c r="A1586" s="7" t="n"/>
      <c r="B1586" s="7" t="n"/>
      <c r="C1586" s="39" t="n"/>
      <c r="D1586" s="39" t="n"/>
      <c r="E1586" s="7" t="n"/>
      <c r="F1586" s="7" t="n"/>
      <c r="G1586" s="7" t="n"/>
      <c r="H1586" s="39" t="n"/>
      <c r="I1586" s="39" t="n"/>
      <c r="J1586" s="39" t="n"/>
      <c r="K1586" s="39" t="n"/>
      <c r="L1586" s="39" t="n"/>
      <c r="M1586" s="7" t="n"/>
      <c r="N1586" s="7" t="n"/>
      <c r="O1586" s="40" t="n"/>
      <c r="P1586" s="40" t="n"/>
      <c r="Q1586" s="40" t="n"/>
      <c r="R1586" s="40" t="n"/>
      <c r="S1586" s="40" t="n"/>
      <c r="T1586" s="40" t="n"/>
      <c r="U1586" s="40" t="n"/>
      <c r="V1586" s="40" t="n"/>
      <c r="W1586" s="40" t="n"/>
      <c r="X1586" s="40" t="n"/>
      <c r="Y1586" s="40" t="n"/>
      <c r="Z1586" s="40" t="n"/>
      <c r="AA1586" s="39" t="n"/>
    </row>
    <row r="1587">
      <c r="A1587" s="7" t="n"/>
      <c r="B1587" s="7" t="n"/>
      <c r="C1587" s="39" t="n"/>
      <c r="D1587" s="39" t="n"/>
      <c r="E1587" s="7" t="n"/>
      <c r="F1587" s="7" t="n"/>
      <c r="G1587" s="7" t="n"/>
      <c r="H1587" s="39" t="n"/>
      <c r="I1587" s="39" t="n"/>
      <c r="J1587" s="39" t="n"/>
      <c r="K1587" s="39" t="n"/>
      <c r="L1587" s="39" t="n"/>
      <c r="M1587" s="7" t="n"/>
      <c r="N1587" s="7" t="n"/>
      <c r="O1587" s="40" t="n"/>
      <c r="P1587" s="40" t="n"/>
      <c r="Q1587" s="40" t="n"/>
      <c r="R1587" s="40" t="n"/>
      <c r="S1587" s="40" t="n"/>
      <c r="T1587" s="40" t="n"/>
      <c r="U1587" s="40" t="n"/>
      <c r="V1587" s="40" t="n"/>
      <c r="W1587" s="40" t="n"/>
      <c r="X1587" s="40" t="n"/>
      <c r="Y1587" s="40" t="n"/>
      <c r="Z1587" s="40" t="n"/>
      <c r="AA1587" s="39" t="n"/>
    </row>
    <row r="1588">
      <c r="A1588" s="7" t="n"/>
      <c r="B1588" s="7" t="n"/>
      <c r="C1588" s="39" t="n"/>
      <c r="D1588" s="39" t="n"/>
      <c r="E1588" s="7" t="n"/>
      <c r="F1588" s="7" t="n"/>
      <c r="G1588" s="7" t="n"/>
      <c r="H1588" s="39" t="n"/>
      <c r="I1588" s="39" t="n"/>
      <c r="J1588" s="39" t="n"/>
      <c r="K1588" s="39" t="n"/>
      <c r="L1588" s="39" t="n"/>
      <c r="M1588" s="7" t="n"/>
      <c r="N1588" s="7" t="n"/>
      <c r="O1588" s="40" t="n"/>
      <c r="P1588" s="40" t="n"/>
      <c r="Q1588" s="40" t="n"/>
      <c r="R1588" s="40" t="n"/>
      <c r="S1588" s="40" t="n"/>
      <c r="T1588" s="40" t="n"/>
      <c r="U1588" s="40" t="n"/>
      <c r="V1588" s="40" t="n"/>
      <c r="W1588" s="40" t="n"/>
      <c r="X1588" s="40" t="n"/>
      <c r="Y1588" s="40" t="n"/>
      <c r="Z1588" s="40" t="n"/>
      <c r="AA1588" s="39" t="n"/>
    </row>
    <row r="1589">
      <c r="A1589" s="7" t="n"/>
      <c r="B1589" s="7" t="n"/>
      <c r="C1589" s="39" t="n"/>
      <c r="D1589" s="39" t="n"/>
      <c r="E1589" s="7" t="n"/>
      <c r="F1589" s="7" t="n"/>
      <c r="G1589" s="7" t="n"/>
      <c r="H1589" s="39" t="n"/>
      <c r="I1589" s="39" t="n"/>
      <c r="J1589" s="39" t="n"/>
      <c r="K1589" s="39" t="n"/>
      <c r="L1589" s="39" t="n"/>
      <c r="M1589" s="7" t="n"/>
      <c r="N1589" s="7" t="n"/>
      <c r="O1589" s="40" t="n"/>
      <c r="P1589" s="40" t="n"/>
      <c r="Q1589" s="40" t="n"/>
      <c r="R1589" s="40" t="n"/>
      <c r="S1589" s="40" t="n"/>
      <c r="T1589" s="40" t="n"/>
      <c r="U1589" s="40" t="n"/>
      <c r="V1589" s="40" t="n"/>
      <c r="W1589" s="40" t="n"/>
      <c r="X1589" s="40" t="n"/>
      <c r="Y1589" s="40" t="n"/>
      <c r="Z1589" s="40" t="n"/>
      <c r="AA1589" s="39" t="n"/>
    </row>
    <row r="1590">
      <c r="A1590" s="7" t="n"/>
      <c r="B1590" s="7" t="n"/>
      <c r="C1590" s="39" t="n"/>
      <c r="D1590" s="39" t="n"/>
      <c r="E1590" s="7" t="n"/>
      <c r="F1590" s="7" t="n"/>
      <c r="G1590" s="7" t="n"/>
      <c r="H1590" s="39" t="n"/>
      <c r="I1590" s="39" t="n"/>
      <c r="J1590" s="39" t="n"/>
      <c r="K1590" s="39" t="n"/>
      <c r="L1590" s="39" t="n"/>
      <c r="M1590" s="7" t="n"/>
      <c r="N1590" s="7" t="n"/>
      <c r="O1590" s="40" t="n"/>
      <c r="P1590" s="40" t="n"/>
      <c r="Q1590" s="40" t="n"/>
      <c r="R1590" s="40" t="n"/>
      <c r="S1590" s="40" t="n"/>
      <c r="T1590" s="40" t="n"/>
      <c r="U1590" s="40" t="n"/>
      <c r="V1590" s="40" t="n"/>
      <c r="W1590" s="40" t="n"/>
      <c r="X1590" s="40" t="n"/>
      <c r="Y1590" s="40" t="n"/>
      <c r="Z1590" s="40" t="n"/>
      <c r="AA1590" s="39" t="n"/>
    </row>
    <row r="1591">
      <c r="A1591" s="7" t="n"/>
      <c r="B1591" s="7" t="n"/>
      <c r="C1591" s="39" t="n"/>
      <c r="D1591" s="39" t="n"/>
      <c r="E1591" s="7" t="n"/>
      <c r="F1591" s="7" t="n"/>
      <c r="G1591" s="7" t="n"/>
      <c r="H1591" s="39" t="n"/>
      <c r="I1591" s="39" t="n"/>
      <c r="J1591" s="39" t="n"/>
      <c r="K1591" s="39" t="n"/>
      <c r="L1591" s="39" t="n"/>
      <c r="M1591" s="7" t="n"/>
      <c r="N1591" s="7" t="n"/>
      <c r="O1591" s="40" t="n"/>
      <c r="P1591" s="40" t="n"/>
      <c r="Q1591" s="40" t="n"/>
      <c r="R1591" s="40" t="n"/>
      <c r="S1591" s="40" t="n"/>
      <c r="T1591" s="40" t="n"/>
      <c r="U1591" s="40" t="n"/>
      <c r="V1591" s="40" t="n"/>
      <c r="W1591" s="40" t="n"/>
      <c r="X1591" s="40" t="n"/>
      <c r="Y1591" s="40" t="n"/>
      <c r="Z1591" s="40" t="n"/>
      <c r="AA1591" s="39" t="n"/>
    </row>
    <row r="1592">
      <c r="A1592" s="7" t="n"/>
      <c r="B1592" s="7" t="n"/>
      <c r="C1592" s="39" t="n"/>
      <c r="D1592" s="39" t="n"/>
      <c r="E1592" s="7" t="n"/>
      <c r="F1592" s="7" t="n"/>
      <c r="G1592" s="7" t="n"/>
      <c r="H1592" s="39" t="n"/>
      <c r="I1592" s="39" t="n"/>
      <c r="J1592" s="39" t="n"/>
      <c r="K1592" s="39" t="n"/>
      <c r="L1592" s="39" t="n"/>
      <c r="M1592" s="7" t="n"/>
      <c r="N1592" s="7" t="n"/>
      <c r="O1592" s="40" t="n"/>
      <c r="P1592" s="40" t="n"/>
      <c r="Q1592" s="40" t="n"/>
      <c r="R1592" s="40" t="n"/>
      <c r="S1592" s="40" t="n"/>
      <c r="T1592" s="40" t="n"/>
      <c r="U1592" s="40" t="n"/>
      <c r="V1592" s="40" t="n"/>
      <c r="W1592" s="40" t="n"/>
      <c r="X1592" s="40" t="n"/>
      <c r="Y1592" s="40" t="n"/>
      <c r="Z1592" s="40" t="n"/>
      <c r="AA1592" s="39" t="n"/>
    </row>
    <row r="1593">
      <c r="A1593" s="7" t="n"/>
      <c r="B1593" s="7" t="n"/>
      <c r="C1593" s="39" t="n"/>
      <c r="D1593" s="39" t="n"/>
      <c r="E1593" s="7" t="n"/>
      <c r="F1593" s="7" t="n"/>
      <c r="G1593" s="7" t="n"/>
      <c r="H1593" s="39" t="n"/>
      <c r="I1593" s="39" t="n"/>
      <c r="J1593" s="39" t="n"/>
      <c r="K1593" s="39" t="n"/>
      <c r="L1593" s="39" t="n"/>
      <c r="M1593" s="7" t="n"/>
      <c r="N1593" s="7" t="n"/>
      <c r="O1593" s="40" t="n"/>
      <c r="P1593" s="40" t="n"/>
      <c r="Q1593" s="40" t="n"/>
      <c r="R1593" s="40" t="n"/>
      <c r="S1593" s="40" t="n"/>
      <c r="T1593" s="40" t="n"/>
      <c r="U1593" s="40" t="n"/>
      <c r="V1593" s="40" t="n"/>
      <c r="W1593" s="40" t="n"/>
      <c r="X1593" s="40" t="n"/>
      <c r="Y1593" s="40" t="n"/>
      <c r="Z1593" s="40" t="n"/>
      <c r="AA1593" s="39" t="n"/>
    </row>
    <row r="1594">
      <c r="A1594" s="7" t="n"/>
      <c r="B1594" s="7" t="n"/>
      <c r="C1594" s="39" t="n"/>
      <c r="D1594" s="39" t="n"/>
      <c r="E1594" s="7" t="n"/>
      <c r="F1594" s="7" t="n"/>
      <c r="G1594" s="7" t="n"/>
      <c r="H1594" s="39" t="n"/>
      <c r="I1594" s="39" t="n"/>
      <c r="J1594" s="39" t="n"/>
      <c r="K1594" s="39" t="n"/>
      <c r="L1594" s="39" t="n"/>
      <c r="M1594" s="7" t="n"/>
      <c r="N1594" s="7" t="n"/>
      <c r="O1594" s="40" t="n"/>
      <c r="P1594" s="40" t="n"/>
      <c r="Q1594" s="40" t="n"/>
      <c r="R1594" s="40" t="n"/>
      <c r="S1594" s="40" t="n"/>
      <c r="T1594" s="40" t="n"/>
      <c r="U1594" s="40" t="n"/>
      <c r="V1594" s="40" t="n"/>
      <c r="W1594" s="40" t="n"/>
      <c r="X1594" s="40" t="n"/>
      <c r="Y1594" s="40" t="n"/>
      <c r="Z1594" s="40" t="n"/>
      <c r="AA1594" s="39" t="n"/>
    </row>
    <row r="1595">
      <c r="A1595" s="7" t="n"/>
      <c r="B1595" s="7" t="n"/>
      <c r="C1595" s="39" t="n"/>
      <c r="D1595" s="39" t="n"/>
      <c r="E1595" s="7" t="n"/>
      <c r="F1595" s="7" t="n"/>
      <c r="G1595" s="7" t="n"/>
      <c r="H1595" s="39" t="n"/>
      <c r="I1595" s="39" t="n"/>
      <c r="J1595" s="39" t="n"/>
      <c r="K1595" s="39" t="n"/>
      <c r="L1595" s="39" t="n"/>
      <c r="M1595" s="7" t="n"/>
      <c r="N1595" s="7" t="n"/>
      <c r="O1595" s="40" t="n"/>
      <c r="P1595" s="40" t="n"/>
      <c r="Q1595" s="40" t="n"/>
      <c r="R1595" s="40" t="n"/>
      <c r="S1595" s="40" t="n"/>
      <c r="T1595" s="40" t="n"/>
      <c r="U1595" s="40" t="n"/>
      <c r="V1595" s="40" t="n"/>
      <c r="W1595" s="40" t="n"/>
      <c r="X1595" s="40" t="n"/>
      <c r="Y1595" s="40" t="n"/>
      <c r="Z1595" s="40" t="n"/>
      <c r="AA1595" s="39" t="n"/>
    </row>
    <row r="1596">
      <c r="A1596" s="7" t="n"/>
      <c r="B1596" s="7" t="n"/>
      <c r="C1596" s="39" t="n"/>
      <c r="D1596" s="39" t="n"/>
      <c r="E1596" s="7" t="n"/>
      <c r="F1596" s="7" t="n"/>
      <c r="G1596" s="7" t="n"/>
      <c r="H1596" s="39" t="n"/>
      <c r="I1596" s="39" t="n"/>
      <c r="J1596" s="39" t="n"/>
      <c r="K1596" s="39" t="n"/>
      <c r="L1596" s="39" t="n"/>
      <c r="M1596" s="7" t="n"/>
      <c r="N1596" s="7" t="n"/>
      <c r="O1596" s="40" t="n"/>
      <c r="P1596" s="40" t="n"/>
      <c r="Q1596" s="40" t="n"/>
      <c r="R1596" s="40" t="n"/>
      <c r="S1596" s="40" t="n"/>
      <c r="T1596" s="40" t="n"/>
      <c r="U1596" s="40" t="n"/>
      <c r="V1596" s="40" t="n"/>
      <c r="W1596" s="40" t="n"/>
      <c r="X1596" s="40" t="n"/>
      <c r="Y1596" s="40" t="n"/>
      <c r="Z1596" s="40" t="n"/>
      <c r="AA1596" s="39" t="n"/>
    </row>
    <row r="1597">
      <c r="A1597" s="7" t="n"/>
      <c r="B1597" s="7" t="n"/>
      <c r="C1597" s="39" t="n"/>
      <c r="D1597" s="39" t="n"/>
      <c r="E1597" s="7" t="n"/>
      <c r="F1597" s="7" t="n"/>
      <c r="G1597" s="7" t="n"/>
      <c r="H1597" s="39" t="n"/>
      <c r="I1597" s="39" t="n"/>
      <c r="J1597" s="39" t="n"/>
      <c r="K1597" s="39" t="n"/>
      <c r="L1597" s="39" t="n"/>
      <c r="M1597" s="7" t="n"/>
      <c r="N1597" s="7" t="n"/>
      <c r="O1597" s="40" t="n"/>
      <c r="P1597" s="40" t="n"/>
      <c r="Q1597" s="40" t="n"/>
      <c r="R1597" s="40" t="n"/>
      <c r="S1597" s="40" t="n"/>
      <c r="T1597" s="40" t="n"/>
      <c r="U1597" s="40" t="n"/>
      <c r="V1597" s="40" t="n"/>
      <c r="W1597" s="40" t="n"/>
      <c r="X1597" s="40" t="n"/>
      <c r="Y1597" s="40" t="n"/>
      <c r="Z1597" s="40" t="n"/>
      <c r="AA1597" s="39" t="n"/>
    </row>
    <row r="1598">
      <c r="A1598" s="7" t="n"/>
      <c r="B1598" s="7" t="n"/>
      <c r="C1598" s="39" t="n"/>
      <c r="D1598" s="39" t="n"/>
      <c r="E1598" s="7" t="n"/>
      <c r="F1598" s="7" t="n"/>
      <c r="G1598" s="7" t="n"/>
      <c r="H1598" s="39" t="n"/>
      <c r="I1598" s="39" t="n"/>
      <c r="J1598" s="39" t="n"/>
      <c r="K1598" s="39" t="n"/>
      <c r="L1598" s="39" t="n"/>
      <c r="M1598" s="7" t="n"/>
      <c r="N1598" s="7" t="n"/>
      <c r="O1598" s="40" t="n"/>
      <c r="P1598" s="40" t="n"/>
      <c r="Q1598" s="40" t="n"/>
      <c r="R1598" s="40" t="n"/>
      <c r="S1598" s="40" t="n"/>
      <c r="T1598" s="40" t="n"/>
      <c r="U1598" s="40" t="n"/>
      <c r="V1598" s="40" t="n"/>
      <c r="W1598" s="40" t="n"/>
      <c r="X1598" s="40" t="n"/>
      <c r="Y1598" s="40" t="n"/>
      <c r="Z1598" s="40" t="n"/>
      <c r="AA1598" s="39" t="n"/>
    </row>
    <row r="1599">
      <c r="A1599" s="7" t="n"/>
      <c r="B1599" s="7" t="n"/>
      <c r="C1599" s="39" t="n"/>
      <c r="D1599" s="39" t="n"/>
      <c r="E1599" s="7" t="n"/>
      <c r="F1599" s="7" t="n"/>
      <c r="G1599" s="7" t="n"/>
      <c r="H1599" s="39" t="n"/>
      <c r="I1599" s="39" t="n"/>
      <c r="J1599" s="39" t="n"/>
      <c r="K1599" s="39" t="n"/>
      <c r="L1599" s="39" t="n"/>
      <c r="M1599" s="7" t="n"/>
      <c r="N1599" s="7" t="n"/>
      <c r="O1599" s="40" t="n"/>
      <c r="P1599" s="40" t="n"/>
      <c r="Q1599" s="40" t="n"/>
      <c r="R1599" s="40" t="n"/>
      <c r="S1599" s="40" t="n"/>
      <c r="T1599" s="40" t="n"/>
      <c r="U1599" s="40" t="n"/>
      <c r="V1599" s="40" t="n"/>
      <c r="W1599" s="40" t="n"/>
      <c r="X1599" s="40" t="n"/>
      <c r="Y1599" s="40" t="n"/>
      <c r="Z1599" s="40" t="n"/>
      <c r="AA1599" s="39" t="n"/>
    </row>
    <row r="1600">
      <c r="A1600" s="7" t="n"/>
      <c r="B1600" s="7" t="n"/>
      <c r="C1600" s="39" t="n"/>
      <c r="D1600" s="39" t="n"/>
      <c r="E1600" s="7" t="n"/>
      <c r="F1600" s="7" t="n"/>
      <c r="G1600" s="7" t="n"/>
      <c r="H1600" s="39" t="n"/>
      <c r="I1600" s="39" t="n"/>
      <c r="J1600" s="39" t="n"/>
      <c r="K1600" s="39" t="n"/>
      <c r="L1600" s="39" t="n"/>
      <c r="M1600" s="7" t="n"/>
      <c r="N1600" s="7" t="n"/>
      <c r="O1600" s="40" t="n"/>
      <c r="P1600" s="40" t="n"/>
      <c r="Q1600" s="40" t="n"/>
      <c r="R1600" s="40" t="n"/>
      <c r="S1600" s="40" t="n"/>
      <c r="T1600" s="40" t="n"/>
      <c r="U1600" s="40" t="n"/>
      <c r="V1600" s="40" t="n"/>
      <c r="W1600" s="40" t="n"/>
      <c r="X1600" s="40" t="n"/>
      <c r="Y1600" s="40" t="n"/>
      <c r="Z1600" s="40" t="n"/>
      <c r="AA1600" s="39" t="n"/>
    </row>
    <row r="1601">
      <c r="A1601" s="7" t="n"/>
      <c r="B1601" s="7" t="n"/>
      <c r="C1601" s="39" t="n"/>
      <c r="D1601" s="39" t="n"/>
      <c r="E1601" s="7" t="n"/>
      <c r="F1601" s="7" t="n"/>
      <c r="G1601" s="7" t="n"/>
      <c r="H1601" s="39" t="n"/>
      <c r="I1601" s="39" t="n"/>
      <c r="J1601" s="39" t="n"/>
      <c r="K1601" s="39" t="n"/>
      <c r="L1601" s="39" t="n"/>
      <c r="M1601" s="7" t="n"/>
      <c r="N1601" s="7" t="n"/>
      <c r="O1601" s="40" t="n"/>
      <c r="P1601" s="40" t="n"/>
      <c r="Q1601" s="40" t="n"/>
      <c r="R1601" s="40" t="n"/>
      <c r="S1601" s="40" t="n"/>
      <c r="T1601" s="40" t="n"/>
      <c r="U1601" s="40" t="n"/>
      <c r="V1601" s="40" t="n"/>
      <c r="W1601" s="40" t="n"/>
      <c r="X1601" s="40" t="n"/>
      <c r="Y1601" s="40" t="n"/>
      <c r="Z1601" s="40" t="n"/>
      <c r="AA1601" s="39" t="n"/>
    </row>
    <row r="1602">
      <c r="A1602" s="7" t="n"/>
      <c r="B1602" s="7" t="n"/>
      <c r="C1602" s="39" t="n"/>
      <c r="D1602" s="39" t="n"/>
      <c r="E1602" s="7" t="n"/>
      <c r="F1602" s="7" t="n"/>
      <c r="G1602" s="7" t="n"/>
      <c r="H1602" s="39" t="n"/>
      <c r="I1602" s="39" t="n"/>
      <c r="J1602" s="39" t="n"/>
      <c r="K1602" s="39" t="n"/>
      <c r="L1602" s="39" t="n"/>
      <c r="M1602" s="7" t="n"/>
      <c r="N1602" s="7" t="n"/>
      <c r="O1602" s="40" t="n"/>
      <c r="P1602" s="40" t="n"/>
      <c r="Q1602" s="40" t="n"/>
      <c r="R1602" s="40" t="n"/>
      <c r="S1602" s="40" t="n"/>
      <c r="T1602" s="40" t="n"/>
      <c r="U1602" s="40" t="n"/>
      <c r="V1602" s="40" t="n"/>
      <c r="W1602" s="40" t="n"/>
      <c r="X1602" s="40" t="n"/>
      <c r="Y1602" s="40" t="n"/>
      <c r="Z1602" s="40" t="n"/>
      <c r="AA1602" s="39" t="n"/>
    </row>
    <row r="1603">
      <c r="A1603" s="7" t="n"/>
      <c r="B1603" s="7" t="n"/>
      <c r="C1603" s="39" t="n"/>
      <c r="D1603" s="39" t="n"/>
      <c r="E1603" s="7" t="n"/>
      <c r="F1603" s="7" t="n"/>
      <c r="G1603" s="7" t="n"/>
      <c r="H1603" s="39" t="n"/>
      <c r="I1603" s="39" t="n"/>
      <c r="J1603" s="39" t="n"/>
      <c r="K1603" s="39" t="n"/>
      <c r="L1603" s="39" t="n"/>
      <c r="M1603" s="7" t="n"/>
      <c r="N1603" s="7" t="n"/>
      <c r="O1603" s="40" t="n"/>
      <c r="P1603" s="40" t="n"/>
      <c r="Q1603" s="40" t="n"/>
      <c r="R1603" s="40" t="n"/>
      <c r="S1603" s="40" t="n"/>
      <c r="T1603" s="40" t="n"/>
      <c r="U1603" s="40" t="n"/>
      <c r="V1603" s="40" t="n"/>
      <c r="W1603" s="40" t="n"/>
      <c r="X1603" s="40" t="n"/>
      <c r="Y1603" s="40" t="n"/>
      <c r="Z1603" s="40" t="n"/>
      <c r="AA1603" s="39" t="n"/>
    </row>
    <row r="1604">
      <c r="A1604" s="7" t="n"/>
      <c r="B1604" s="7" t="n"/>
      <c r="C1604" s="39" t="n"/>
      <c r="D1604" s="39" t="n"/>
      <c r="E1604" s="7" t="n"/>
      <c r="F1604" s="7" t="n"/>
      <c r="G1604" s="7" t="n"/>
      <c r="H1604" s="39" t="n"/>
      <c r="I1604" s="39" t="n"/>
      <c r="J1604" s="39" t="n"/>
      <c r="K1604" s="39" t="n"/>
      <c r="L1604" s="39" t="n"/>
      <c r="M1604" s="7" t="n"/>
      <c r="N1604" s="7" t="n"/>
      <c r="O1604" s="40" t="n"/>
      <c r="P1604" s="40" t="n"/>
      <c r="Q1604" s="40" t="n"/>
      <c r="R1604" s="40" t="n"/>
      <c r="S1604" s="40" t="n"/>
      <c r="T1604" s="40" t="n"/>
      <c r="U1604" s="40" t="n"/>
      <c r="V1604" s="40" t="n"/>
      <c r="W1604" s="40" t="n"/>
      <c r="X1604" s="40" t="n"/>
      <c r="Y1604" s="40" t="n"/>
      <c r="Z1604" s="40" t="n"/>
      <c r="AA1604" s="39" t="n"/>
    </row>
    <row r="1605">
      <c r="A1605" s="7" t="n"/>
      <c r="B1605" s="7" t="n"/>
      <c r="C1605" s="39" t="n"/>
      <c r="D1605" s="39" t="n"/>
      <c r="E1605" s="7" t="n"/>
      <c r="F1605" s="7" t="n"/>
      <c r="G1605" s="7" t="n"/>
      <c r="H1605" s="39" t="n"/>
      <c r="I1605" s="39" t="n"/>
      <c r="J1605" s="39" t="n"/>
      <c r="K1605" s="39" t="n"/>
      <c r="L1605" s="39" t="n"/>
      <c r="M1605" s="7" t="n"/>
      <c r="N1605" s="7" t="n"/>
      <c r="O1605" s="40" t="n"/>
      <c r="P1605" s="40" t="n"/>
      <c r="Q1605" s="40" t="n"/>
      <c r="R1605" s="40" t="n"/>
      <c r="S1605" s="40" t="n"/>
      <c r="T1605" s="40" t="n"/>
      <c r="U1605" s="40" t="n"/>
      <c r="V1605" s="40" t="n"/>
      <c r="W1605" s="40" t="n"/>
      <c r="X1605" s="40" t="n"/>
      <c r="Y1605" s="40" t="n"/>
      <c r="Z1605" s="40" t="n"/>
      <c r="AA1605" s="39" t="n"/>
    </row>
    <row r="1606">
      <c r="A1606" s="7" t="n"/>
      <c r="B1606" s="7" t="n"/>
      <c r="C1606" s="39" t="n"/>
      <c r="D1606" s="39" t="n"/>
      <c r="E1606" s="7" t="n"/>
      <c r="F1606" s="7" t="n"/>
      <c r="G1606" s="7" t="n"/>
      <c r="H1606" s="39" t="n"/>
      <c r="I1606" s="39" t="n"/>
      <c r="J1606" s="39" t="n"/>
      <c r="K1606" s="39" t="n"/>
      <c r="L1606" s="39" t="n"/>
      <c r="M1606" s="7" t="n"/>
      <c r="N1606" s="7" t="n"/>
      <c r="O1606" s="40" t="n"/>
      <c r="P1606" s="40" t="n"/>
      <c r="Q1606" s="40" t="n"/>
      <c r="R1606" s="40" t="n"/>
      <c r="S1606" s="40" t="n"/>
      <c r="T1606" s="40" t="n"/>
      <c r="U1606" s="40" t="n"/>
      <c r="V1606" s="40" t="n"/>
      <c r="W1606" s="40" t="n"/>
      <c r="X1606" s="40" t="n"/>
      <c r="Y1606" s="40" t="n"/>
      <c r="Z1606" s="40" t="n"/>
      <c r="AA1606" s="39" t="n"/>
    </row>
    <row r="1607">
      <c r="A1607" s="7" t="n"/>
      <c r="B1607" s="7" t="n"/>
      <c r="C1607" s="39" t="n"/>
      <c r="D1607" s="39" t="n"/>
      <c r="E1607" s="7" t="n"/>
      <c r="F1607" s="7" t="n"/>
      <c r="G1607" s="7" t="n"/>
      <c r="H1607" s="39" t="n"/>
      <c r="I1607" s="39" t="n"/>
      <c r="J1607" s="39" t="n"/>
      <c r="K1607" s="39" t="n"/>
      <c r="L1607" s="39" t="n"/>
      <c r="M1607" s="7" t="n"/>
      <c r="N1607" s="7" t="n"/>
      <c r="O1607" s="40" t="n"/>
      <c r="P1607" s="40" t="n"/>
      <c r="Q1607" s="40" t="n"/>
      <c r="R1607" s="40" t="n"/>
      <c r="S1607" s="40" t="n"/>
      <c r="T1607" s="40" t="n"/>
      <c r="U1607" s="40" t="n"/>
      <c r="V1607" s="40" t="n"/>
      <c r="W1607" s="40" t="n"/>
      <c r="X1607" s="40" t="n"/>
      <c r="Y1607" s="40" t="n"/>
      <c r="Z1607" s="40" t="n"/>
      <c r="AA1607" s="39" t="n"/>
    </row>
    <row r="1608">
      <c r="A1608" s="7" t="n"/>
      <c r="B1608" s="7" t="n"/>
      <c r="C1608" s="39" t="n"/>
      <c r="D1608" s="39" t="n"/>
      <c r="E1608" s="7" t="n"/>
      <c r="F1608" s="7" t="n"/>
      <c r="G1608" s="7" t="n"/>
      <c r="H1608" s="39" t="n"/>
      <c r="I1608" s="39" t="n"/>
      <c r="J1608" s="39" t="n"/>
      <c r="K1608" s="39" t="n"/>
      <c r="L1608" s="39" t="n"/>
      <c r="M1608" s="7" t="n"/>
      <c r="N1608" s="7" t="n"/>
      <c r="O1608" s="40" t="n"/>
      <c r="P1608" s="40" t="n"/>
      <c r="Q1608" s="40" t="n"/>
      <c r="R1608" s="40" t="n"/>
      <c r="S1608" s="40" t="n"/>
      <c r="T1608" s="40" t="n"/>
      <c r="U1608" s="40" t="n"/>
      <c r="V1608" s="40" t="n"/>
      <c r="W1608" s="40" t="n"/>
      <c r="X1608" s="40" t="n"/>
      <c r="Y1608" s="40" t="n"/>
      <c r="Z1608" s="40" t="n"/>
      <c r="AA1608" s="39" t="n"/>
    </row>
    <row r="1609">
      <c r="A1609" s="7" t="n"/>
      <c r="B1609" s="7" t="n"/>
      <c r="C1609" s="39" t="n"/>
      <c r="D1609" s="39" t="n"/>
      <c r="E1609" s="7" t="n"/>
      <c r="F1609" s="7" t="n"/>
      <c r="G1609" s="7" t="n"/>
      <c r="H1609" s="39" t="n"/>
      <c r="I1609" s="39" t="n"/>
      <c r="J1609" s="39" t="n"/>
      <c r="K1609" s="39" t="n"/>
      <c r="L1609" s="39" t="n"/>
      <c r="M1609" s="7" t="n"/>
      <c r="N1609" s="7" t="n"/>
      <c r="O1609" s="40" t="n"/>
      <c r="P1609" s="40" t="n"/>
      <c r="Q1609" s="40" t="n"/>
      <c r="R1609" s="40" t="n"/>
      <c r="S1609" s="40" t="n"/>
      <c r="T1609" s="40" t="n"/>
      <c r="U1609" s="40" t="n"/>
      <c r="V1609" s="40" t="n"/>
      <c r="W1609" s="40" t="n"/>
      <c r="X1609" s="40" t="n"/>
      <c r="Y1609" s="40" t="n"/>
      <c r="Z1609" s="40" t="n"/>
      <c r="AA1609" s="39" t="n"/>
    </row>
    <row r="1610">
      <c r="A1610" s="7" t="n"/>
      <c r="B1610" s="7" t="n"/>
      <c r="C1610" s="39" t="n"/>
      <c r="D1610" s="39" t="n"/>
      <c r="E1610" s="7" t="n"/>
      <c r="F1610" s="7" t="n"/>
      <c r="G1610" s="7" t="n"/>
      <c r="H1610" s="39" t="n"/>
      <c r="I1610" s="39" t="n"/>
      <c r="J1610" s="39" t="n"/>
      <c r="K1610" s="39" t="n"/>
      <c r="L1610" s="39" t="n"/>
      <c r="M1610" s="7" t="n"/>
      <c r="N1610" s="7" t="n"/>
      <c r="O1610" s="40" t="n"/>
      <c r="P1610" s="40" t="n"/>
      <c r="Q1610" s="40" t="n"/>
      <c r="R1610" s="40" t="n"/>
      <c r="S1610" s="40" t="n"/>
      <c r="T1610" s="40" t="n"/>
      <c r="U1610" s="40" t="n"/>
      <c r="V1610" s="40" t="n"/>
      <c r="W1610" s="40" t="n"/>
      <c r="X1610" s="40" t="n"/>
      <c r="Y1610" s="40" t="n"/>
      <c r="Z1610" s="40" t="n"/>
      <c r="AA1610" s="39" t="n"/>
    </row>
    <row r="1611">
      <c r="A1611" s="7" t="n"/>
      <c r="B1611" s="7" t="n"/>
      <c r="C1611" s="39" t="n"/>
      <c r="D1611" s="39" t="n"/>
      <c r="E1611" s="7" t="n"/>
      <c r="F1611" s="7" t="n"/>
      <c r="G1611" s="7" t="n"/>
      <c r="H1611" s="39" t="n"/>
      <c r="I1611" s="39" t="n"/>
      <c r="J1611" s="39" t="n"/>
      <c r="K1611" s="39" t="n"/>
      <c r="L1611" s="39" t="n"/>
      <c r="M1611" s="7" t="n"/>
      <c r="N1611" s="7" t="n"/>
      <c r="O1611" s="40" t="n"/>
      <c r="P1611" s="40" t="n"/>
      <c r="Q1611" s="40" t="n"/>
      <c r="R1611" s="40" t="n"/>
      <c r="S1611" s="40" t="n"/>
      <c r="T1611" s="40" t="n"/>
      <c r="U1611" s="40" t="n"/>
      <c r="V1611" s="40" t="n"/>
      <c r="W1611" s="40" t="n"/>
      <c r="X1611" s="40" t="n"/>
      <c r="Y1611" s="40" t="n"/>
      <c r="Z1611" s="40" t="n"/>
      <c r="AA1611" s="39" t="n"/>
    </row>
    <row r="1612">
      <c r="A1612" s="7" t="n"/>
      <c r="B1612" s="7" t="n"/>
      <c r="C1612" s="39" t="n"/>
      <c r="D1612" s="39" t="n"/>
      <c r="E1612" s="7" t="n"/>
      <c r="F1612" s="7" t="n"/>
      <c r="G1612" s="7" t="n"/>
      <c r="H1612" s="39" t="n"/>
      <c r="I1612" s="39" t="n"/>
      <c r="J1612" s="39" t="n"/>
      <c r="K1612" s="39" t="n"/>
      <c r="L1612" s="39" t="n"/>
      <c r="M1612" s="7" t="n"/>
      <c r="N1612" s="7" t="n"/>
      <c r="O1612" s="40" t="n"/>
      <c r="P1612" s="40" t="n"/>
      <c r="Q1612" s="40" t="n"/>
      <c r="R1612" s="40" t="n"/>
      <c r="S1612" s="40" t="n"/>
      <c r="T1612" s="40" t="n"/>
      <c r="U1612" s="40" t="n"/>
      <c r="V1612" s="40" t="n"/>
      <c r="W1612" s="40" t="n"/>
      <c r="X1612" s="40" t="n"/>
      <c r="Y1612" s="40" t="n"/>
      <c r="Z1612" s="40" t="n"/>
      <c r="AA1612" s="39" t="n"/>
    </row>
    <row r="1613">
      <c r="A1613" s="7" t="n"/>
      <c r="B1613" s="7" t="n"/>
      <c r="C1613" s="39" t="n"/>
      <c r="D1613" s="39" t="n"/>
      <c r="E1613" s="7" t="n"/>
      <c r="F1613" s="7" t="n"/>
      <c r="G1613" s="7" t="n"/>
      <c r="H1613" s="39" t="n"/>
      <c r="I1613" s="39" t="n"/>
      <c r="J1613" s="39" t="n"/>
      <c r="K1613" s="39" t="n"/>
      <c r="L1613" s="39" t="n"/>
      <c r="M1613" s="7" t="n"/>
      <c r="N1613" s="7" t="n"/>
      <c r="O1613" s="40" t="n"/>
      <c r="P1613" s="40" t="n"/>
      <c r="Q1613" s="40" t="n"/>
      <c r="R1613" s="40" t="n"/>
      <c r="S1613" s="40" t="n"/>
      <c r="T1613" s="40" t="n"/>
      <c r="U1613" s="40" t="n"/>
      <c r="V1613" s="40" t="n"/>
      <c r="W1613" s="40" t="n"/>
      <c r="X1613" s="40" t="n"/>
      <c r="Y1613" s="40" t="n"/>
      <c r="Z1613" s="40" t="n"/>
      <c r="AA1613" s="39" t="n"/>
    </row>
    <row r="1614">
      <c r="A1614" s="7" t="n"/>
      <c r="B1614" s="7" t="n"/>
      <c r="C1614" s="39" t="n"/>
      <c r="D1614" s="39" t="n"/>
      <c r="E1614" s="7" t="n"/>
      <c r="F1614" s="7" t="n"/>
      <c r="G1614" s="7" t="n"/>
      <c r="H1614" s="39" t="n"/>
      <c r="I1614" s="39" t="n"/>
      <c r="J1614" s="39" t="n"/>
      <c r="K1614" s="39" t="n"/>
      <c r="L1614" s="39" t="n"/>
      <c r="M1614" s="7" t="n"/>
      <c r="N1614" s="7" t="n"/>
      <c r="O1614" s="40" t="n"/>
      <c r="P1614" s="40" t="n"/>
      <c r="Q1614" s="40" t="n"/>
      <c r="R1614" s="40" t="n"/>
      <c r="S1614" s="40" t="n"/>
      <c r="T1614" s="40" t="n"/>
      <c r="U1614" s="40" t="n"/>
      <c r="V1614" s="40" t="n"/>
      <c r="W1614" s="40" t="n"/>
      <c r="X1614" s="40" t="n"/>
      <c r="Y1614" s="40" t="n"/>
      <c r="Z1614" s="40" t="n"/>
      <c r="AA1614" s="39" t="n"/>
    </row>
    <row r="1615">
      <c r="A1615" s="7" t="n"/>
      <c r="B1615" s="7" t="n"/>
      <c r="C1615" s="39" t="n"/>
      <c r="D1615" s="39" t="n"/>
      <c r="E1615" s="7" t="n"/>
      <c r="F1615" s="7" t="n"/>
      <c r="G1615" s="7" t="n"/>
      <c r="H1615" s="39" t="n"/>
      <c r="I1615" s="39" t="n"/>
      <c r="J1615" s="39" t="n"/>
      <c r="K1615" s="39" t="n"/>
      <c r="L1615" s="39" t="n"/>
      <c r="M1615" s="7" t="n"/>
      <c r="N1615" s="7" t="n"/>
      <c r="O1615" s="40" t="n"/>
      <c r="P1615" s="40" t="n"/>
      <c r="Q1615" s="40" t="n"/>
      <c r="R1615" s="40" t="n"/>
      <c r="S1615" s="40" t="n"/>
      <c r="T1615" s="40" t="n"/>
      <c r="U1615" s="40" t="n"/>
      <c r="V1615" s="40" t="n"/>
      <c r="W1615" s="40" t="n"/>
      <c r="X1615" s="40" t="n"/>
      <c r="Y1615" s="40" t="n"/>
      <c r="Z1615" s="40" t="n"/>
      <c r="AA1615" s="39" t="n"/>
    </row>
    <row r="1616">
      <c r="A1616" s="7" t="n"/>
      <c r="B1616" s="7" t="n"/>
      <c r="C1616" s="39" t="n"/>
      <c r="D1616" s="39" t="n"/>
      <c r="E1616" s="7" t="n"/>
      <c r="F1616" s="7" t="n"/>
      <c r="G1616" s="7" t="n"/>
      <c r="H1616" s="39" t="n"/>
      <c r="I1616" s="39" t="n"/>
      <c r="J1616" s="39" t="n"/>
      <c r="K1616" s="39" t="n"/>
      <c r="L1616" s="39" t="n"/>
      <c r="M1616" s="7" t="n"/>
      <c r="N1616" s="7" t="n"/>
      <c r="O1616" s="40" t="n"/>
      <c r="P1616" s="40" t="n"/>
      <c r="Q1616" s="40" t="n"/>
      <c r="R1616" s="40" t="n"/>
      <c r="S1616" s="40" t="n"/>
      <c r="T1616" s="40" t="n"/>
      <c r="U1616" s="40" t="n"/>
      <c r="V1616" s="40" t="n"/>
      <c r="W1616" s="40" t="n"/>
      <c r="X1616" s="40" t="n"/>
      <c r="Y1616" s="40" t="n"/>
      <c r="Z1616" s="40" t="n"/>
      <c r="AA1616" s="39" t="n"/>
    </row>
    <row r="1617">
      <c r="A1617" s="7" t="n"/>
      <c r="B1617" s="7" t="n"/>
      <c r="C1617" s="39" t="n"/>
      <c r="D1617" s="39" t="n"/>
      <c r="E1617" s="7" t="n"/>
      <c r="F1617" s="7" t="n"/>
      <c r="G1617" s="7" t="n"/>
      <c r="H1617" s="39" t="n"/>
      <c r="I1617" s="39" t="n"/>
      <c r="J1617" s="39" t="n"/>
      <c r="K1617" s="39" t="n"/>
      <c r="L1617" s="39" t="n"/>
      <c r="M1617" s="7" t="n"/>
      <c r="N1617" s="7" t="n"/>
      <c r="O1617" s="40" t="n"/>
      <c r="P1617" s="40" t="n"/>
      <c r="Q1617" s="40" t="n"/>
      <c r="R1617" s="40" t="n"/>
      <c r="S1617" s="40" t="n"/>
      <c r="T1617" s="40" t="n"/>
      <c r="U1617" s="40" t="n"/>
      <c r="V1617" s="40" t="n"/>
      <c r="W1617" s="40" t="n"/>
      <c r="X1617" s="40" t="n"/>
      <c r="Y1617" s="40" t="n"/>
      <c r="Z1617" s="40" t="n"/>
      <c r="AA1617" s="39" t="n"/>
    </row>
    <row r="1618">
      <c r="A1618" s="7" t="n"/>
      <c r="B1618" s="7" t="n"/>
      <c r="C1618" s="39" t="n"/>
      <c r="D1618" s="39" t="n"/>
      <c r="E1618" s="7" t="n"/>
      <c r="F1618" s="7" t="n"/>
      <c r="G1618" s="7" t="n"/>
      <c r="H1618" s="39" t="n"/>
      <c r="I1618" s="39" t="n"/>
      <c r="J1618" s="39" t="n"/>
      <c r="K1618" s="39" t="n"/>
      <c r="L1618" s="39" t="n"/>
      <c r="M1618" s="7" t="n"/>
      <c r="N1618" s="7" t="n"/>
      <c r="O1618" s="40" t="n"/>
      <c r="P1618" s="40" t="n"/>
      <c r="Q1618" s="40" t="n"/>
      <c r="R1618" s="40" t="n"/>
      <c r="S1618" s="40" t="n"/>
      <c r="T1618" s="40" t="n"/>
      <c r="U1618" s="40" t="n"/>
      <c r="V1618" s="40" t="n"/>
      <c r="W1618" s="40" t="n"/>
      <c r="X1618" s="40" t="n"/>
      <c r="Y1618" s="40" t="n"/>
      <c r="Z1618" s="40" t="n"/>
      <c r="AA1618" s="39" t="n"/>
    </row>
    <row r="1619">
      <c r="A1619" s="7" t="n"/>
      <c r="B1619" s="7" t="n"/>
      <c r="C1619" s="39" t="n"/>
      <c r="D1619" s="39" t="n"/>
      <c r="E1619" s="7" t="n"/>
      <c r="F1619" s="7" t="n"/>
      <c r="G1619" s="7" t="n"/>
      <c r="H1619" s="39" t="n"/>
      <c r="I1619" s="39" t="n"/>
      <c r="J1619" s="39" t="n"/>
      <c r="K1619" s="39" t="n"/>
      <c r="L1619" s="39" t="n"/>
      <c r="M1619" s="7" t="n"/>
      <c r="N1619" s="7" t="n"/>
      <c r="O1619" s="40" t="n"/>
      <c r="P1619" s="40" t="n"/>
      <c r="Q1619" s="40" t="n"/>
      <c r="R1619" s="40" t="n"/>
      <c r="S1619" s="40" t="n"/>
      <c r="T1619" s="40" t="n"/>
      <c r="U1619" s="40" t="n"/>
      <c r="V1619" s="40" t="n"/>
      <c r="W1619" s="40" t="n"/>
      <c r="X1619" s="40" t="n"/>
      <c r="Y1619" s="40" t="n"/>
      <c r="Z1619" s="40" t="n"/>
      <c r="AA1619" s="39" t="n"/>
    </row>
    <row r="1620">
      <c r="A1620" s="7" t="n"/>
      <c r="B1620" s="7" t="n"/>
      <c r="C1620" s="39" t="n"/>
      <c r="D1620" s="39" t="n"/>
      <c r="E1620" s="7" t="n"/>
      <c r="F1620" s="7" t="n"/>
      <c r="G1620" s="7" t="n"/>
      <c r="H1620" s="39" t="n"/>
      <c r="I1620" s="39" t="n"/>
      <c r="J1620" s="39" t="n"/>
      <c r="K1620" s="39" t="n"/>
      <c r="L1620" s="39" t="n"/>
      <c r="M1620" s="7" t="n"/>
      <c r="N1620" s="7" t="n"/>
      <c r="O1620" s="40" t="n"/>
      <c r="P1620" s="40" t="n"/>
      <c r="Q1620" s="40" t="n"/>
      <c r="R1620" s="40" t="n"/>
      <c r="S1620" s="40" t="n"/>
      <c r="T1620" s="40" t="n"/>
      <c r="U1620" s="40" t="n"/>
      <c r="V1620" s="40" t="n"/>
      <c r="W1620" s="40" t="n"/>
      <c r="X1620" s="40" t="n"/>
      <c r="Y1620" s="40" t="n"/>
      <c r="Z1620" s="40" t="n"/>
      <c r="AA1620" s="39" t="n"/>
    </row>
    <row r="1621">
      <c r="A1621" s="7" t="n"/>
      <c r="B1621" s="7" t="n"/>
      <c r="C1621" s="39" t="n"/>
      <c r="D1621" s="39" t="n"/>
      <c r="E1621" s="7" t="n"/>
      <c r="F1621" s="7" t="n"/>
      <c r="G1621" s="7" t="n"/>
      <c r="H1621" s="39" t="n"/>
      <c r="I1621" s="39" t="n"/>
      <c r="J1621" s="39" t="n"/>
      <c r="K1621" s="39" t="n"/>
      <c r="L1621" s="39" t="n"/>
      <c r="M1621" s="7" t="n"/>
      <c r="N1621" s="7" t="n"/>
      <c r="O1621" s="40" t="n"/>
      <c r="P1621" s="40" t="n"/>
      <c r="Q1621" s="40" t="n"/>
      <c r="R1621" s="40" t="n"/>
      <c r="S1621" s="40" t="n"/>
      <c r="T1621" s="40" t="n"/>
      <c r="U1621" s="40" t="n"/>
      <c r="V1621" s="40" t="n"/>
      <c r="W1621" s="40" t="n"/>
      <c r="X1621" s="40" t="n"/>
      <c r="Y1621" s="40" t="n"/>
      <c r="Z1621" s="40" t="n"/>
      <c r="AA1621" s="39" t="n"/>
    </row>
    <row r="1622">
      <c r="A1622" s="7" t="n"/>
      <c r="B1622" s="7" t="n"/>
      <c r="C1622" s="39" t="n"/>
      <c r="D1622" s="39" t="n"/>
      <c r="E1622" s="7" t="n"/>
      <c r="F1622" s="7" t="n"/>
      <c r="G1622" s="7" t="n"/>
      <c r="H1622" s="39" t="n"/>
      <c r="I1622" s="39" t="n"/>
      <c r="J1622" s="39" t="n"/>
      <c r="K1622" s="39" t="n"/>
      <c r="L1622" s="39" t="n"/>
      <c r="M1622" s="7" t="n"/>
      <c r="N1622" s="7" t="n"/>
      <c r="O1622" s="40" t="n"/>
      <c r="P1622" s="40" t="n"/>
      <c r="Q1622" s="40" t="n"/>
      <c r="R1622" s="40" t="n"/>
      <c r="S1622" s="40" t="n"/>
      <c r="T1622" s="40" t="n"/>
      <c r="U1622" s="40" t="n"/>
      <c r="V1622" s="40" t="n"/>
      <c r="W1622" s="40" t="n"/>
      <c r="X1622" s="40" t="n"/>
      <c r="Y1622" s="40" t="n"/>
      <c r="Z1622" s="40" t="n"/>
      <c r="AA1622" s="39" t="n"/>
    </row>
    <row r="1623">
      <c r="A1623" s="7" t="n"/>
      <c r="B1623" s="7" t="n"/>
      <c r="C1623" s="39" t="n"/>
      <c r="D1623" s="39" t="n"/>
      <c r="E1623" s="7" t="n"/>
      <c r="F1623" s="7" t="n"/>
      <c r="G1623" s="7" t="n"/>
      <c r="H1623" s="39" t="n"/>
      <c r="I1623" s="39" t="n"/>
      <c r="J1623" s="39" t="n"/>
      <c r="K1623" s="39" t="n"/>
      <c r="L1623" s="39" t="n"/>
      <c r="M1623" s="7" t="n"/>
      <c r="N1623" s="7" t="n"/>
      <c r="O1623" s="40" t="n"/>
      <c r="P1623" s="40" t="n"/>
      <c r="Q1623" s="40" t="n"/>
      <c r="R1623" s="40" t="n"/>
      <c r="S1623" s="40" t="n"/>
      <c r="T1623" s="40" t="n"/>
      <c r="U1623" s="40" t="n"/>
      <c r="V1623" s="40" t="n"/>
      <c r="W1623" s="40" t="n"/>
      <c r="X1623" s="40" t="n"/>
      <c r="Y1623" s="40" t="n"/>
      <c r="Z1623" s="40" t="n"/>
      <c r="AA1623" s="39" t="n"/>
    </row>
    <row r="1624">
      <c r="A1624" s="7" t="n"/>
      <c r="B1624" s="7" t="n"/>
      <c r="C1624" s="39" t="n"/>
      <c r="D1624" s="39" t="n"/>
      <c r="E1624" s="7" t="n"/>
      <c r="F1624" s="7" t="n"/>
      <c r="G1624" s="7" t="n"/>
      <c r="H1624" s="39" t="n"/>
      <c r="I1624" s="39" t="n"/>
      <c r="J1624" s="39" t="n"/>
      <c r="K1624" s="39" t="n"/>
      <c r="L1624" s="39" t="n"/>
      <c r="M1624" s="7" t="n"/>
      <c r="N1624" s="7" t="n"/>
      <c r="O1624" s="40" t="n"/>
      <c r="P1624" s="40" t="n"/>
      <c r="Q1624" s="40" t="n"/>
      <c r="R1624" s="40" t="n"/>
      <c r="S1624" s="40" t="n"/>
      <c r="T1624" s="40" t="n"/>
      <c r="U1624" s="40" t="n"/>
      <c r="V1624" s="40" t="n"/>
      <c r="W1624" s="40" t="n"/>
      <c r="X1624" s="40" t="n"/>
      <c r="Y1624" s="40" t="n"/>
      <c r="Z1624" s="40" t="n"/>
      <c r="AA1624" s="39" t="n"/>
    </row>
    <row r="1625">
      <c r="A1625" s="7" t="n"/>
      <c r="B1625" s="7" t="n"/>
      <c r="C1625" s="39" t="n"/>
      <c r="D1625" s="39" t="n"/>
      <c r="E1625" s="7" t="n"/>
      <c r="F1625" s="7" t="n"/>
      <c r="G1625" s="7" t="n"/>
      <c r="H1625" s="39" t="n"/>
      <c r="I1625" s="39" t="n"/>
      <c r="J1625" s="39" t="n"/>
      <c r="K1625" s="39" t="n"/>
      <c r="L1625" s="39" t="n"/>
      <c r="M1625" s="7" t="n"/>
      <c r="N1625" s="7" t="n"/>
      <c r="O1625" s="40" t="n"/>
      <c r="P1625" s="40" t="n"/>
      <c r="Q1625" s="40" t="n"/>
      <c r="R1625" s="40" t="n"/>
      <c r="S1625" s="40" t="n"/>
      <c r="T1625" s="40" t="n"/>
      <c r="U1625" s="40" t="n"/>
      <c r="V1625" s="40" t="n"/>
      <c r="W1625" s="40" t="n"/>
      <c r="X1625" s="40" t="n"/>
      <c r="Y1625" s="40" t="n"/>
      <c r="Z1625" s="40" t="n"/>
      <c r="AA1625" s="39" t="n"/>
    </row>
    <row r="1626">
      <c r="A1626" s="7" t="n"/>
      <c r="B1626" s="7" t="n"/>
      <c r="C1626" s="39" t="n"/>
      <c r="D1626" s="39" t="n"/>
      <c r="E1626" s="7" t="n"/>
      <c r="F1626" s="7" t="n"/>
      <c r="G1626" s="7" t="n"/>
      <c r="H1626" s="39" t="n"/>
      <c r="I1626" s="39" t="n"/>
      <c r="J1626" s="39" t="n"/>
      <c r="K1626" s="39" t="n"/>
      <c r="L1626" s="39" t="n"/>
      <c r="M1626" s="7" t="n"/>
      <c r="N1626" s="7" t="n"/>
      <c r="O1626" s="40" t="n"/>
      <c r="P1626" s="40" t="n"/>
      <c r="Q1626" s="40" t="n"/>
      <c r="R1626" s="40" t="n"/>
      <c r="S1626" s="40" t="n"/>
      <c r="T1626" s="40" t="n"/>
      <c r="U1626" s="40" t="n"/>
      <c r="V1626" s="40" t="n"/>
      <c r="W1626" s="40" t="n"/>
      <c r="X1626" s="40" t="n"/>
      <c r="Y1626" s="40" t="n"/>
      <c r="Z1626" s="40" t="n"/>
      <c r="AA1626" s="39" t="n"/>
    </row>
    <row r="1627">
      <c r="A1627" s="7" t="n"/>
      <c r="B1627" s="7" t="n"/>
      <c r="C1627" s="39" t="n"/>
      <c r="D1627" s="39" t="n"/>
      <c r="E1627" s="7" t="n"/>
      <c r="F1627" s="7" t="n"/>
      <c r="G1627" s="7" t="n"/>
      <c r="H1627" s="39" t="n"/>
      <c r="I1627" s="39" t="n"/>
      <c r="J1627" s="39" t="n"/>
      <c r="K1627" s="39" t="n"/>
      <c r="L1627" s="39" t="n"/>
      <c r="M1627" s="7" t="n"/>
      <c r="N1627" s="7" t="n"/>
      <c r="O1627" s="40" t="n"/>
      <c r="P1627" s="40" t="n"/>
      <c r="Q1627" s="40" t="n"/>
      <c r="R1627" s="40" t="n"/>
      <c r="S1627" s="40" t="n"/>
      <c r="T1627" s="40" t="n"/>
      <c r="U1627" s="40" t="n"/>
      <c r="V1627" s="40" t="n"/>
      <c r="W1627" s="40" t="n"/>
      <c r="X1627" s="40" t="n"/>
      <c r="Y1627" s="40" t="n"/>
      <c r="Z1627" s="40" t="n"/>
      <c r="AA1627" s="39" t="n"/>
    </row>
    <row r="1628">
      <c r="A1628" s="7" t="n"/>
      <c r="B1628" s="7" t="n"/>
      <c r="C1628" s="39" t="n"/>
      <c r="D1628" s="39" t="n"/>
      <c r="E1628" s="7" t="n"/>
      <c r="F1628" s="7" t="n"/>
      <c r="G1628" s="7" t="n"/>
      <c r="H1628" s="39" t="n"/>
      <c r="I1628" s="39" t="n"/>
      <c r="J1628" s="39" t="n"/>
      <c r="K1628" s="39" t="n"/>
      <c r="L1628" s="39" t="n"/>
      <c r="M1628" s="7" t="n"/>
      <c r="N1628" s="7" t="n"/>
      <c r="O1628" s="40" t="n"/>
      <c r="P1628" s="40" t="n"/>
      <c r="Q1628" s="40" t="n"/>
      <c r="R1628" s="40" t="n"/>
      <c r="S1628" s="40" t="n"/>
      <c r="T1628" s="40" t="n"/>
      <c r="U1628" s="40" t="n"/>
      <c r="V1628" s="40" t="n"/>
      <c r="W1628" s="40" t="n"/>
      <c r="X1628" s="40" t="n"/>
      <c r="Y1628" s="40" t="n"/>
      <c r="Z1628" s="40" t="n"/>
      <c r="AA1628" s="39" t="n"/>
    </row>
    <row r="1629">
      <c r="A1629" s="7" t="n"/>
      <c r="B1629" s="7" t="n"/>
      <c r="C1629" s="39" t="n"/>
      <c r="D1629" s="39" t="n"/>
      <c r="E1629" s="7" t="n"/>
      <c r="F1629" s="7" t="n"/>
      <c r="G1629" s="7" t="n"/>
      <c r="H1629" s="39" t="n"/>
      <c r="I1629" s="39" t="n"/>
      <c r="J1629" s="39" t="n"/>
      <c r="K1629" s="39" t="n"/>
      <c r="L1629" s="39" t="n"/>
      <c r="M1629" s="7" t="n"/>
      <c r="N1629" s="7" t="n"/>
      <c r="O1629" s="40" t="n"/>
      <c r="P1629" s="40" t="n"/>
      <c r="Q1629" s="40" t="n"/>
      <c r="R1629" s="40" t="n"/>
      <c r="S1629" s="40" t="n"/>
      <c r="T1629" s="40" t="n"/>
      <c r="U1629" s="40" t="n"/>
      <c r="V1629" s="40" t="n"/>
      <c r="W1629" s="40" t="n"/>
      <c r="X1629" s="40" t="n"/>
      <c r="Y1629" s="40" t="n"/>
      <c r="Z1629" s="40" t="n"/>
      <c r="AA1629" s="39" t="n"/>
    </row>
    <row r="1630">
      <c r="A1630" s="7" t="n"/>
      <c r="B1630" s="7" t="n"/>
      <c r="C1630" s="39" t="n"/>
      <c r="D1630" s="39" t="n"/>
      <c r="E1630" s="7" t="n"/>
      <c r="F1630" s="7" t="n"/>
      <c r="G1630" s="7" t="n"/>
      <c r="H1630" s="39" t="n"/>
      <c r="I1630" s="39" t="n"/>
      <c r="J1630" s="39" t="n"/>
      <c r="K1630" s="39" t="n"/>
      <c r="L1630" s="39" t="n"/>
      <c r="M1630" s="7" t="n"/>
      <c r="N1630" s="7" t="n"/>
      <c r="O1630" s="40" t="n"/>
      <c r="P1630" s="40" t="n"/>
      <c r="Q1630" s="40" t="n"/>
      <c r="R1630" s="40" t="n"/>
      <c r="S1630" s="40" t="n"/>
      <c r="T1630" s="40" t="n"/>
      <c r="U1630" s="40" t="n"/>
      <c r="V1630" s="40" t="n"/>
      <c r="W1630" s="40" t="n"/>
      <c r="X1630" s="40" t="n"/>
      <c r="Y1630" s="40" t="n"/>
      <c r="Z1630" s="40" t="n"/>
      <c r="AA1630" s="39" t="n"/>
    </row>
    <row r="1631">
      <c r="A1631" s="7" t="n"/>
      <c r="B1631" s="7" t="n"/>
      <c r="C1631" s="39" t="n"/>
      <c r="D1631" s="39" t="n"/>
      <c r="E1631" s="7" t="n"/>
      <c r="F1631" s="7" t="n"/>
      <c r="G1631" s="7" t="n"/>
      <c r="H1631" s="39" t="n"/>
      <c r="I1631" s="39" t="n"/>
      <c r="J1631" s="39" t="n"/>
      <c r="K1631" s="39" t="n"/>
      <c r="L1631" s="39" t="n"/>
      <c r="M1631" s="7" t="n"/>
      <c r="N1631" s="7" t="n"/>
      <c r="O1631" s="40" t="n"/>
      <c r="P1631" s="40" t="n"/>
      <c r="Q1631" s="40" t="n"/>
      <c r="R1631" s="40" t="n"/>
      <c r="S1631" s="40" t="n"/>
      <c r="T1631" s="40" t="n"/>
      <c r="U1631" s="40" t="n"/>
      <c r="V1631" s="40" t="n"/>
      <c r="W1631" s="40" t="n"/>
      <c r="X1631" s="40" t="n"/>
      <c r="Y1631" s="40" t="n"/>
      <c r="Z1631" s="40" t="n"/>
      <c r="AA1631" s="39" t="n"/>
    </row>
    <row r="1632">
      <c r="A1632" s="7" t="n"/>
      <c r="B1632" s="7" t="n"/>
      <c r="C1632" s="39" t="n"/>
      <c r="D1632" s="39" t="n"/>
      <c r="E1632" s="7" t="n"/>
      <c r="F1632" s="7" t="n"/>
      <c r="G1632" s="7" t="n"/>
      <c r="H1632" s="39" t="n"/>
      <c r="I1632" s="39" t="n"/>
      <c r="J1632" s="39" t="n"/>
      <c r="K1632" s="39" t="n"/>
      <c r="L1632" s="39" t="n"/>
      <c r="M1632" s="7" t="n"/>
      <c r="N1632" s="7" t="n"/>
      <c r="O1632" s="40" t="n"/>
      <c r="P1632" s="40" t="n"/>
      <c r="Q1632" s="40" t="n"/>
      <c r="R1632" s="40" t="n"/>
      <c r="S1632" s="40" t="n"/>
      <c r="T1632" s="40" t="n"/>
      <c r="U1632" s="40" t="n"/>
      <c r="V1632" s="40" t="n"/>
      <c r="W1632" s="40" t="n"/>
      <c r="X1632" s="40" t="n"/>
      <c r="Y1632" s="40" t="n"/>
      <c r="Z1632" s="40" t="n"/>
      <c r="AA1632" s="39" t="n"/>
    </row>
    <row r="1633">
      <c r="A1633" s="7" t="n"/>
      <c r="B1633" s="7" t="n"/>
      <c r="C1633" s="39" t="n"/>
      <c r="D1633" s="39" t="n"/>
      <c r="E1633" s="7" t="n"/>
      <c r="F1633" s="7" t="n"/>
      <c r="G1633" s="7" t="n"/>
      <c r="H1633" s="39" t="n"/>
      <c r="I1633" s="39" t="n"/>
      <c r="J1633" s="39" t="n"/>
      <c r="K1633" s="39" t="n"/>
      <c r="L1633" s="39" t="n"/>
      <c r="M1633" s="7" t="n"/>
      <c r="N1633" s="7" t="n"/>
      <c r="O1633" s="40" t="n"/>
      <c r="P1633" s="40" t="n"/>
      <c r="Q1633" s="40" t="n"/>
      <c r="R1633" s="40" t="n"/>
      <c r="S1633" s="40" t="n"/>
      <c r="T1633" s="40" t="n"/>
      <c r="U1633" s="40" t="n"/>
      <c r="V1633" s="40" t="n"/>
      <c r="W1633" s="40" t="n"/>
      <c r="X1633" s="40" t="n"/>
      <c r="Y1633" s="40" t="n"/>
      <c r="Z1633" s="40" t="n"/>
      <c r="AA1633" s="39" t="n"/>
    </row>
    <row r="1634">
      <c r="A1634" s="7" t="n"/>
      <c r="B1634" s="7" t="n"/>
      <c r="C1634" s="39" t="n"/>
      <c r="D1634" s="39" t="n"/>
      <c r="E1634" s="7" t="n"/>
      <c r="F1634" s="7" t="n"/>
      <c r="G1634" s="7" t="n"/>
      <c r="H1634" s="39" t="n"/>
      <c r="I1634" s="39" t="n"/>
      <c r="J1634" s="39" t="n"/>
      <c r="K1634" s="39" t="n"/>
      <c r="L1634" s="39" t="n"/>
      <c r="M1634" s="7" t="n"/>
      <c r="N1634" s="7" t="n"/>
      <c r="O1634" s="40" t="n"/>
      <c r="P1634" s="40" t="n"/>
      <c r="Q1634" s="40" t="n"/>
      <c r="R1634" s="40" t="n"/>
      <c r="S1634" s="40" t="n"/>
      <c r="T1634" s="40" t="n"/>
      <c r="U1634" s="40" t="n"/>
      <c r="V1634" s="40" t="n"/>
      <c r="W1634" s="40" t="n"/>
      <c r="X1634" s="40" t="n"/>
      <c r="Y1634" s="40" t="n"/>
      <c r="Z1634" s="40" t="n"/>
      <c r="AA1634" s="39" t="n"/>
    </row>
    <row r="1635">
      <c r="A1635" s="7" t="n"/>
      <c r="B1635" s="7" t="n"/>
      <c r="C1635" s="39" t="n"/>
      <c r="D1635" s="39" t="n"/>
      <c r="E1635" s="7" t="n"/>
      <c r="F1635" s="7" t="n"/>
      <c r="G1635" s="7" t="n"/>
      <c r="H1635" s="39" t="n"/>
      <c r="I1635" s="39" t="n"/>
      <c r="J1635" s="39" t="n"/>
      <c r="K1635" s="39" t="n"/>
      <c r="L1635" s="39" t="n"/>
      <c r="M1635" s="7" t="n"/>
      <c r="N1635" s="7" t="n"/>
      <c r="O1635" s="40" t="n"/>
      <c r="P1635" s="40" t="n"/>
      <c r="Q1635" s="40" t="n"/>
      <c r="R1635" s="40" t="n"/>
      <c r="S1635" s="40" t="n"/>
      <c r="T1635" s="40" t="n"/>
      <c r="U1635" s="40" t="n"/>
      <c r="V1635" s="40" t="n"/>
      <c r="W1635" s="40" t="n"/>
      <c r="X1635" s="40" t="n"/>
      <c r="Y1635" s="40" t="n"/>
      <c r="Z1635" s="40" t="n"/>
      <c r="AA1635" s="39" t="n"/>
    </row>
    <row r="1636">
      <c r="A1636" s="7" t="n"/>
      <c r="B1636" s="7" t="n"/>
      <c r="C1636" s="39" t="n"/>
      <c r="D1636" s="39" t="n"/>
      <c r="E1636" s="7" t="n"/>
      <c r="F1636" s="7" t="n"/>
      <c r="G1636" s="7" t="n"/>
      <c r="H1636" s="39" t="n"/>
      <c r="I1636" s="39" t="n"/>
      <c r="J1636" s="39" t="n"/>
      <c r="K1636" s="39" t="n"/>
      <c r="L1636" s="39" t="n"/>
      <c r="M1636" s="7" t="n"/>
      <c r="N1636" s="7" t="n"/>
      <c r="O1636" s="40" t="n"/>
      <c r="P1636" s="40" t="n"/>
      <c r="Q1636" s="40" t="n"/>
      <c r="R1636" s="40" t="n"/>
      <c r="S1636" s="40" t="n"/>
      <c r="T1636" s="40" t="n"/>
      <c r="U1636" s="40" t="n"/>
      <c r="V1636" s="40" t="n"/>
      <c r="W1636" s="40" t="n"/>
      <c r="X1636" s="40" t="n"/>
      <c r="Y1636" s="40" t="n"/>
      <c r="Z1636" s="40" t="n"/>
      <c r="AA1636" s="39" t="n"/>
    </row>
    <row r="1637">
      <c r="A1637" s="7" t="n"/>
      <c r="B1637" s="7" t="n"/>
      <c r="C1637" s="39" t="n"/>
      <c r="D1637" s="39" t="n"/>
      <c r="E1637" s="7" t="n"/>
      <c r="F1637" s="7" t="n"/>
      <c r="G1637" s="7" t="n"/>
      <c r="H1637" s="39" t="n"/>
      <c r="I1637" s="39" t="n"/>
      <c r="J1637" s="39" t="n"/>
      <c r="K1637" s="39" t="n"/>
      <c r="L1637" s="39" t="n"/>
      <c r="M1637" s="7" t="n"/>
      <c r="N1637" s="7" t="n"/>
      <c r="O1637" s="40" t="n"/>
      <c r="P1637" s="40" t="n"/>
      <c r="Q1637" s="40" t="n"/>
      <c r="R1637" s="40" t="n"/>
      <c r="S1637" s="40" t="n"/>
      <c r="T1637" s="40" t="n"/>
      <c r="U1637" s="40" t="n"/>
      <c r="V1637" s="40" t="n"/>
      <c r="W1637" s="40" t="n"/>
      <c r="X1637" s="40" t="n"/>
      <c r="Y1637" s="40" t="n"/>
      <c r="Z1637" s="40" t="n"/>
      <c r="AA1637" s="39" t="n"/>
    </row>
    <row r="1638">
      <c r="A1638" s="7" t="n"/>
      <c r="B1638" s="7" t="n"/>
      <c r="C1638" s="39" t="n"/>
      <c r="D1638" s="39" t="n"/>
      <c r="E1638" s="7" t="n"/>
      <c r="F1638" s="7" t="n"/>
      <c r="G1638" s="7" t="n"/>
      <c r="H1638" s="39" t="n"/>
      <c r="I1638" s="39" t="n"/>
      <c r="J1638" s="39" t="n"/>
      <c r="K1638" s="39" t="n"/>
      <c r="L1638" s="39" t="n"/>
      <c r="M1638" s="7" t="n"/>
      <c r="N1638" s="7" t="n"/>
      <c r="O1638" s="40" t="n"/>
      <c r="P1638" s="40" t="n"/>
      <c r="Q1638" s="40" t="n"/>
      <c r="R1638" s="40" t="n"/>
      <c r="S1638" s="40" t="n"/>
      <c r="T1638" s="40" t="n"/>
      <c r="U1638" s="40" t="n"/>
      <c r="V1638" s="40" t="n"/>
      <c r="W1638" s="40" t="n"/>
      <c r="X1638" s="40" t="n"/>
      <c r="Y1638" s="40" t="n"/>
      <c r="Z1638" s="40" t="n"/>
      <c r="AA1638" s="39" t="n"/>
    </row>
    <row r="1639">
      <c r="A1639" s="7" t="n"/>
      <c r="B1639" s="7" t="n"/>
      <c r="C1639" s="39" t="n"/>
      <c r="D1639" s="39" t="n"/>
      <c r="E1639" s="7" t="n"/>
      <c r="F1639" s="7" t="n"/>
      <c r="G1639" s="7" t="n"/>
      <c r="H1639" s="39" t="n"/>
      <c r="I1639" s="39" t="n"/>
      <c r="J1639" s="39" t="n"/>
      <c r="K1639" s="39" t="n"/>
      <c r="L1639" s="39" t="n"/>
      <c r="M1639" s="7" t="n"/>
      <c r="N1639" s="7" t="n"/>
      <c r="O1639" s="40" t="n"/>
      <c r="P1639" s="40" t="n"/>
      <c r="Q1639" s="40" t="n"/>
      <c r="R1639" s="40" t="n"/>
      <c r="S1639" s="40" t="n"/>
      <c r="T1639" s="40" t="n"/>
      <c r="U1639" s="40" t="n"/>
      <c r="V1639" s="40" t="n"/>
      <c r="W1639" s="40" t="n"/>
      <c r="X1639" s="40" t="n"/>
      <c r="Y1639" s="40" t="n"/>
      <c r="Z1639" s="40" t="n"/>
      <c r="AA1639" s="39" t="n"/>
    </row>
    <row r="1640">
      <c r="A1640" s="7" t="n"/>
      <c r="B1640" s="7" t="n"/>
      <c r="C1640" s="39" t="n"/>
      <c r="D1640" s="39" t="n"/>
      <c r="E1640" s="7" t="n"/>
      <c r="F1640" s="7" t="n"/>
      <c r="G1640" s="7" t="n"/>
      <c r="H1640" s="39" t="n"/>
      <c r="I1640" s="39" t="n"/>
      <c r="J1640" s="39" t="n"/>
      <c r="K1640" s="39" t="n"/>
      <c r="L1640" s="39" t="n"/>
      <c r="M1640" s="7" t="n"/>
      <c r="N1640" s="7" t="n"/>
      <c r="O1640" s="40" t="n"/>
      <c r="P1640" s="40" t="n"/>
      <c r="Q1640" s="40" t="n"/>
      <c r="R1640" s="40" t="n"/>
      <c r="S1640" s="40" t="n"/>
      <c r="T1640" s="40" t="n"/>
      <c r="U1640" s="40" t="n"/>
      <c r="V1640" s="40" t="n"/>
      <c r="W1640" s="40" t="n"/>
      <c r="X1640" s="40" t="n"/>
      <c r="Y1640" s="40" t="n"/>
      <c r="Z1640" s="40" t="n"/>
      <c r="AA1640" s="39" t="n"/>
    </row>
    <row r="1641">
      <c r="A1641" s="7" t="n"/>
      <c r="B1641" s="7" t="n"/>
      <c r="C1641" s="39" t="n"/>
      <c r="D1641" s="39" t="n"/>
      <c r="E1641" s="7" t="n"/>
      <c r="F1641" s="7" t="n"/>
      <c r="G1641" s="7" t="n"/>
      <c r="H1641" s="39" t="n"/>
      <c r="I1641" s="39" t="n"/>
      <c r="J1641" s="39" t="n"/>
      <c r="K1641" s="39" t="n"/>
      <c r="L1641" s="39" t="n"/>
      <c r="M1641" s="7" t="n"/>
      <c r="N1641" s="7" t="n"/>
      <c r="O1641" s="40" t="n"/>
      <c r="P1641" s="40" t="n"/>
      <c r="Q1641" s="40" t="n"/>
      <c r="R1641" s="40" t="n"/>
      <c r="S1641" s="40" t="n"/>
      <c r="T1641" s="40" t="n"/>
      <c r="U1641" s="40" t="n"/>
      <c r="V1641" s="40" t="n"/>
      <c r="W1641" s="40" t="n"/>
      <c r="X1641" s="40" t="n"/>
      <c r="Y1641" s="40" t="n"/>
      <c r="Z1641" s="40" t="n"/>
      <c r="AA1641" s="39" t="n"/>
    </row>
    <row r="1642">
      <c r="A1642" s="7" t="n"/>
      <c r="B1642" s="7" t="n"/>
      <c r="C1642" s="39" t="n"/>
      <c r="D1642" s="39" t="n"/>
      <c r="E1642" s="7" t="n"/>
      <c r="F1642" s="7" t="n"/>
      <c r="G1642" s="7" t="n"/>
      <c r="H1642" s="39" t="n"/>
      <c r="I1642" s="39" t="n"/>
      <c r="J1642" s="39" t="n"/>
      <c r="K1642" s="39" t="n"/>
      <c r="L1642" s="39" t="n"/>
      <c r="M1642" s="7" t="n"/>
      <c r="N1642" s="7" t="n"/>
      <c r="O1642" s="40" t="n"/>
      <c r="P1642" s="40" t="n"/>
      <c r="Q1642" s="40" t="n"/>
      <c r="R1642" s="40" t="n"/>
      <c r="S1642" s="40" t="n"/>
      <c r="T1642" s="40" t="n"/>
      <c r="U1642" s="40" t="n"/>
      <c r="V1642" s="40" t="n"/>
      <c r="W1642" s="40" t="n"/>
      <c r="X1642" s="40" t="n"/>
      <c r="Y1642" s="40" t="n"/>
      <c r="Z1642" s="40" t="n"/>
      <c r="AA1642" s="39" t="n"/>
    </row>
    <row r="1643">
      <c r="A1643" s="7" t="n"/>
      <c r="B1643" s="7" t="n"/>
      <c r="C1643" s="39" t="n"/>
      <c r="D1643" s="39" t="n"/>
      <c r="E1643" s="7" t="n"/>
      <c r="F1643" s="7" t="n"/>
      <c r="G1643" s="7" t="n"/>
      <c r="H1643" s="39" t="n"/>
      <c r="I1643" s="39" t="n"/>
      <c r="J1643" s="39" t="n"/>
      <c r="K1643" s="39" t="n"/>
      <c r="L1643" s="39" t="n"/>
      <c r="M1643" s="7" t="n"/>
      <c r="N1643" s="7" t="n"/>
      <c r="O1643" s="40" t="n"/>
      <c r="P1643" s="40" t="n"/>
      <c r="Q1643" s="40" t="n"/>
      <c r="R1643" s="40" t="n"/>
      <c r="S1643" s="40" t="n"/>
      <c r="T1643" s="40" t="n"/>
      <c r="U1643" s="40" t="n"/>
      <c r="V1643" s="40" t="n"/>
      <c r="W1643" s="40" t="n"/>
      <c r="X1643" s="40" t="n"/>
      <c r="Y1643" s="40" t="n"/>
      <c r="Z1643" s="40" t="n"/>
      <c r="AA1643" s="39" t="n"/>
    </row>
    <row r="1644">
      <c r="A1644" s="7" t="n"/>
      <c r="B1644" s="7" t="n"/>
      <c r="C1644" s="39" t="n"/>
      <c r="D1644" s="39" t="n"/>
      <c r="E1644" s="7" t="n"/>
      <c r="F1644" s="7" t="n"/>
      <c r="G1644" s="7" t="n"/>
      <c r="H1644" s="39" t="n"/>
      <c r="I1644" s="39" t="n"/>
      <c r="J1644" s="39" t="n"/>
      <c r="K1644" s="39" t="n"/>
      <c r="L1644" s="39" t="n"/>
      <c r="M1644" s="7" t="n"/>
      <c r="N1644" s="7" t="n"/>
      <c r="O1644" s="40" t="n"/>
      <c r="P1644" s="40" t="n"/>
      <c r="Q1644" s="40" t="n"/>
      <c r="R1644" s="40" t="n"/>
      <c r="S1644" s="40" t="n"/>
      <c r="T1644" s="40" t="n"/>
      <c r="U1644" s="40" t="n"/>
      <c r="V1644" s="40" t="n"/>
      <c r="W1644" s="40" t="n"/>
      <c r="X1644" s="40" t="n"/>
      <c r="Y1644" s="40" t="n"/>
      <c r="Z1644" s="40" t="n"/>
      <c r="AA1644" s="39" t="n"/>
    </row>
    <row r="1645">
      <c r="A1645" s="7" t="n"/>
      <c r="B1645" s="7" t="n"/>
      <c r="C1645" s="39" t="n"/>
      <c r="D1645" s="39" t="n"/>
      <c r="E1645" s="7" t="n"/>
      <c r="F1645" s="7" t="n"/>
      <c r="G1645" s="7" t="n"/>
      <c r="H1645" s="39" t="n"/>
      <c r="I1645" s="39" t="n"/>
      <c r="J1645" s="39" t="n"/>
      <c r="K1645" s="39" t="n"/>
      <c r="L1645" s="39" t="n"/>
      <c r="M1645" s="7" t="n"/>
      <c r="N1645" s="7" t="n"/>
      <c r="O1645" s="40" t="n"/>
      <c r="P1645" s="40" t="n"/>
      <c r="Q1645" s="40" t="n"/>
      <c r="R1645" s="40" t="n"/>
      <c r="S1645" s="40" t="n"/>
      <c r="T1645" s="40" t="n"/>
      <c r="U1645" s="40" t="n"/>
      <c r="V1645" s="40" t="n"/>
      <c r="W1645" s="40" t="n"/>
      <c r="X1645" s="40" t="n"/>
      <c r="Y1645" s="40" t="n"/>
      <c r="Z1645" s="40" t="n"/>
      <c r="AA1645" s="39" t="n"/>
    </row>
    <row r="1646">
      <c r="A1646" s="7" t="n"/>
      <c r="B1646" s="7" t="n"/>
      <c r="C1646" s="39" t="n"/>
      <c r="D1646" s="39" t="n"/>
      <c r="E1646" s="7" t="n"/>
      <c r="F1646" s="7" t="n"/>
      <c r="G1646" s="7" t="n"/>
      <c r="H1646" s="39" t="n"/>
      <c r="I1646" s="39" t="n"/>
      <c r="J1646" s="39" t="n"/>
      <c r="K1646" s="39" t="n"/>
      <c r="L1646" s="39" t="n"/>
      <c r="M1646" s="7" t="n"/>
      <c r="N1646" s="7" t="n"/>
      <c r="O1646" s="40" t="n"/>
      <c r="P1646" s="40" t="n"/>
      <c r="Q1646" s="40" t="n"/>
      <c r="R1646" s="40" t="n"/>
      <c r="S1646" s="40" t="n"/>
      <c r="T1646" s="40" t="n"/>
      <c r="U1646" s="40" t="n"/>
      <c r="V1646" s="40" t="n"/>
      <c r="W1646" s="40" t="n"/>
      <c r="X1646" s="40" t="n"/>
      <c r="Y1646" s="40" t="n"/>
      <c r="Z1646" s="40" t="n"/>
      <c r="AA1646" s="39" t="n"/>
    </row>
    <row r="1647">
      <c r="A1647" s="7" t="n"/>
      <c r="B1647" s="7" t="n"/>
      <c r="C1647" s="39" t="n"/>
      <c r="D1647" s="39" t="n"/>
      <c r="E1647" s="7" t="n"/>
      <c r="F1647" s="7" t="n"/>
      <c r="G1647" s="7" t="n"/>
      <c r="H1647" s="39" t="n"/>
      <c r="I1647" s="39" t="n"/>
      <c r="J1647" s="39" t="n"/>
      <c r="K1647" s="39" t="n"/>
      <c r="L1647" s="39" t="n"/>
      <c r="M1647" s="7" t="n"/>
      <c r="N1647" s="7" t="n"/>
      <c r="O1647" s="40" t="n"/>
      <c r="P1647" s="40" t="n"/>
      <c r="Q1647" s="40" t="n"/>
      <c r="R1647" s="40" t="n"/>
      <c r="S1647" s="40" t="n"/>
      <c r="T1647" s="40" t="n"/>
      <c r="U1647" s="40" t="n"/>
      <c r="V1647" s="40" t="n"/>
      <c r="W1647" s="40" t="n"/>
      <c r="X1647" s="40" t="n"/>
      <c r="Y1647" s="40" t="n"/>
      <c r="Z1647" s="40" t="n"/>
      <c r="AA1647" s="39" t="n"/>
    </row>
    <row r="1648">
      <c r="A1648" s="7" t="n"/>
      <c r="B1648" s="7" t="n"/>
      <c r="C1648" s="39" t="n"/>
      <c r="D1648" s="39" t="n"/>
      <c r="E1648" s="7" t="n"/>
      <c r="F1648" s="7" t="n"/>
      <c r="G1648" s="7" t="n"/>
      <c r="H1648" s="39" t="n"/>
      <c r="I1648" s="39" t="n"/>
      <c r="J1648" s="39" t="n"/>
      <c r="K1648" s="39" t="n"/>
      <c r="L1648" s="39" t="n"/>
      <c r="M1648" s="7" t="n"/>
      <c r="N1648" s="7" t="n"/>
      <c r="O1648" s="40" t="n"/>
      <c r="P1648" s="40" t="n"/>
      <c r="Q1648" s="40" t="n"/>
      <c r="R1648" s="40" t="n"/>
      <c r="S1648" s="40" t="n"/>
      <c r="T1648" s="40" t="n"/>
      <c r="U1648" s="40" t="n"/>
      <c r="V1648" s="40" t="n"/>
      <c r="W1648" s="40" t="n"/>
      <c r="X1648" s="40" t="n"/>
      <c r="Y1648" s="40" t="n"/>
      <c r="Z1648" s="40" t="n"/>
      <c r="AA1648" s="39" t="n"/>
    </row>
    <row r="1649">
      <c r="A1649" s="7" t="n"/>
      <c r="B1649" s="7" t="n"/>
      <c r="C1649" s="39" t="n"/>
      <c r="D1649" s="39" t="n"/>
      <c r="E1649" s="7" t="n"/>
      <c r="F1649" s="7" t="n"/>
      <c r="G1649" s="7" t="n"/>
      <c r="H1649" s="39" t="n"/>
      <c r="I1649" s="39" t="n"/>
      <c r="J1649" s="39" t="n"/>
      <c r="K1649" s="39" t="n"/>
      <c r="L1649" s="39" t="n"/>
      <c r="M1649" s="7" t="n"/>
      <c r="N1649" s="7" t="n"/>
      <c r="O1649" s="40" t="n"/>
      <c r="P1649" s="40" t="n"/>
      <c r="Q1649" s="40" t="n"/>
      <c r="R1649" s="40" t="n"/>
      <c r="S1649" s="40" t="n"/>
      <c r="T1649" s="40" t="n"/>
      <c r="U1649" s="40" t="n"/>
      <c r="V1649" s="40" t="n"/>
      <c r="W1649" s="40" t="n"/>
      <c r="X1649" s="40" t="n"/>
      <c r="Y1649" s="40" t="n"/>
      <c r="Z1649" s="40" t="n"/>
      <c r="AA1649" s="39" t="n"/>
    </row>
    <row r="1650">
      <c r="A1650" s="7" t="n"/>
      <c r="B1650" s="7" t="n"/>
      <c r="C1650" s="39" t="n"/>
      <c r="D1650" s="39" t="n"/>
      <c r="E1650" s="7" t="n"/>
      <c r="F1650" s="7" t="n"/>
      <c r="G1650" s="7" t="n"/>
      <c r="H1650" s="39" t="n"/>
      <c r="I1650" s="39" t="n"/>
      <c r="J1650" s="39" t="n"/>
      <c r="K1650" s="39" t="n"/>
      <c r="L1650" s="39" t="n"/>
      <c r="M1650" s="7" t="n"/>
      <c r="N1650" s="7" t="n"/>
      <c r="O1650" s="40" t="n"/>
      <c r="P1650" s="40" t="n"/>
      <c r="Q1650" s="40" t="n"/>
      <c r="R1650" s="40" t="n"/>
      <c r="S1650" s="40" t="n"/>
      <c r="T1650" s="40" t="n"/>
      <c r="U1650" s="40" t="n"/>
      <c r="V1650" s="40" t="n"/>
      <c r="W1650" s="40" t="n"/>
      <c r="X1650" s="40" t="n"/>
      <c r="Y1650" s="40" t="n"/>
      <c r="Z1650" s="40" t="n"/>
      <c r="AA1650" s="39" t="n"/>
    </row>
    <row r="1651">
      <c r="A1651" s="7" t="n"/>
      <c r="B1651" s="7" t="n"/>
      <c r="C1651" s="39" t="n"/>
      <c r="D1651" s="39" t="n"/>
      <c r="E1651" s="7" t="n"/>
      <c r="F1651" s="7" t="n"/>
      <c r="G1651" s="7" t="n"/>
      <c r="H1651" s="39" t="n"/>
      <c r="I1651" s="39" t="n"/>
      <c r="J1651" s="39" t="n"/>
      <c r="K1651" s="39" t="n"/>
      <c r="L1651" s="39" t="n"/>
      <c r="M1651" s="7" t="n"/>
      <c r="N1651" s="7" t="n"/>
      <c r="O1651" s="40" t="n"/>
      <c r="P1651" s="40" t="n"/>
      <c r="Q1651" s="40" t="n"/>
      <c r="R1651" s="40" t="n"/>
      <c r="S1651" s="40" t="n"/>
      <c r="T1651" s="40" t="n"/>
      <c r="U1651" s="40" t="n"/>
      <c r="V1651" s="40" t="n"/>
      <c r="W1651" s="40" t="n"/>
      <c r="X1651" s="40" t="n"/>
      <c r="Y1651" s="40" t="n"/>
      <c r="Z1651" s="40" t="n"/>
      <c r="AA1651" s="39" t="n"/>
    </row>
    <row r="1652">
      <c r="A1652" s="7" t="n"/>
      <c r="B1652" s="7" t="n"/>
      <c r="C1652" s="39" t="n"/>
      <c r="D1652" s="39" t="n"/>
      <c r="E1652" s="7" t="n"/>
      <c r="F1652" s="7" t="n"/>
      <c r="G1652" s="7" t="n"/>
      <c r="H1652" s="39" t="n"/>
      <c r="I1652" s="39" t="n"/>
      <c r="J1652" s="39" t="n"/>
      <c r="K1652" s="39" t="n"/>
      <c r="L1652" s="39" t="n"/>
      <c r="M1652" s="7" t="n"/>
      <c r="N1652" s="7" t="n"/>
      <c r="O1652" s="40" t="n"/>
      <c r="P1652" s="40" t="n"/>
      <c r="Q1652" s="40" t="n"/>
      <c r="R1652" s="40" t="n"/>
      <c r="S1652" s="40" t="n"/>
      <c r="T1652" s="40" t="n"/>
      <c r="U1652" s="40" t="n"/>
      <c r="V1652" s="40" t="n"/>
      <c r="W1652" s="40" t="n"/>
      <c r="X1652" s="40" t="n"/>
      <c r="Y1652" s="40" t="n"/>
      <c r="Z1652" s="40" t="n"/>
      <c r="AA1652" s="39" t="n"/>
    </row>
    <row r="1653">
      <c r="A1653" s="7" t="n"/>
      <c r="B1653" s="7" t="n"/>
      <c r="C1653" s="39" t="n"/>
      <c r="D1653" s="39" t="n"/>
      <c r="E1653" s="7" t="n"/>
      <c r="F1653" s="7" t="n"/>
      <c r="G1653" s="7" t="n"/>
      <c r="H1653" s="39" t="n"/>
      <c r="I1653" s="39" t="n"/>
      <c r="J1653" s="39" t="n"/>
      <c r="K1653" s="39" t="n"/>
      <c r="L1653" s="39" t="n"/>
      <c r="M1653" s="7" t="n"/>
      <c r="N1653" s="7" t="n"/>
      <c r="O1653" s="40" t="n"/>
      <c r="P1653" s="40" t="n"/>
      <c r="Q1653" s="40" t="n"/>
      <c r="R1653" s="40" t="n"/>
      <c r="S1653" s="40" t="n"/>
      <c r="T1653" s="40" t="n"/>
      <c r="U1653" s="40" t="n"/>
      <c r="V1653" s="40" t="n"/>
      <c r="W1653" s="40" t="n"/>
      <c r="X1653" s="40" t="n"/>
      <c r="Y1653" s="40" t="n"/>
      <c r="Z1653" s="40" t="n"/>
      <c r="AA1653" s="39" t="n"/>
    </row>
    <row r="1654">
      <c r="A1654" s="7" t="n"/>
      <c r="B1654" s="7" t="n"/>
      <c r="C1654" s="39" t="n"/>
      <c r="D1654" s="39" t="n"/>
      <c r="E1654" s="7" t="n"/>
      <c r="F1654" s="7" t="n"/>
      <c r="G1654" s="7" t="n"/>
      <c r="H1654" s="39" t="n"/>
      <c r="I1654" s="39" t="n"/>
      <c r="J1654" s="39" t="n"/>
      <c r="K1654" s="39" t="n"/>
      <c r="L1654" s="39" t="n"/>
      <c r="M1654" s="7" t="n"/>
      <c r="N1654" s="7" t="n"/>
      <c r="O1654" s="40" t="n"/>
      <c r="P1654" s="40" t="n"/>
      <c r="Q1654" s="40" t="n"/>
      <c r="R1654" s="40" t="n"/>
      <c r="S1654" s="40" t="n"/>
      <c r="T1654" s="40" t="n"/>
      <c r="U1654" s="40" t="n"/>
      <c r="V1654" s="40" t="n"/>
      <c r="W1654" s="40" t="n"/>
      <c r="X1654" s="40" t="n"/>
      <c r="Y1654" s="40" t="n"/>
      <c r="Z1654" s="40" t="n"/>
      <c r="AA1654" s="39" t="n"/>
    </row>
    <row r="1655">
      <c r="A1655" s="7" t="n"/>
      <c r="B1655" s="7" t="n"/>
      <c r="C1655" s="39" t="n"/>
      <c r="D1655" s="39" t="n"/>
      <c r="E1655" s="7" t="n"/>
      <c r="F1655" s="7" t="n"/>
      <c r="G1655" s="7" t="n"/>
      <c r="H1655" s="39" t="n"/>
      <c r="I1655" s="39" t="n"/>
      <c r="J1655" s="39" t="n"/>
      <c r="K1655" s="39" t="n"/>
      <c r="L1655" s="39" t="n"/>
      <c r="M1655" s="7" t="n"/>
      <c r="N1655" s="7" t="n"/>
      <c r="O1655" s="40" t="n"/>
      <c r="P1655" s="40" t="n"/>
      <c r="Q1655" s="40" t="n"/>
      <c r="R1655" s="40" t="n"/>
      <c r="S1655" s="40" t="n"/>
      <c r="T1655" s="40" t="n"/>
      <c r="U1655" s="40" t="n"/>
      <c r="V1655" s="40" t="n"/>
      <c r="W1655" s="40" t="n"/>
      <c r="X1655" s="40" t="n"/>
      <c r="Y1655" s="40" t="n"/>
      <c r="Z1655" s="40" t="n"/>
      <c r="AA1655" s="39" t="n"/>
    </row>
    <row r="1656">
      <c r="A1656" s="7" t="n"/>
      <c r="B1656" s="7" t="n"/>
      <c r="C1656" s="39" t="n"/>
      <c r="D1656" s="39" t="n"/>
      <c r="E1656" s="7" t="n"/>
      <c r="F1656" s="7" t="n"/>
      <c r="G1656" s="7" t="n"/>
      <c r="H1656" s="39" t="n"/>
      <c r="I1656" s="39" t="n"/>
      <c r="J1656" s="39" t="n"/>
      <c r="K1656" s="39" t="n"/>
      <c r="L1656" s="39" t="n"/>
      <c r="M1656" s="7" t="n"/>
      <c r="N1656" s="7" t="n"/>
      <c r="O1656" s="40" t="n"/>
      <c r="P1656" s="40" t="n"/>
      <c r="Q1656" s="40" t="n"/>
      <c r="R1656" s="40" t="n"/>
      <c r="S1656" s="40" t="n"/>
      <c r="T1656" s="40" t="n"/>
      <c r="U1656" s="40" t="n"/>
      <c r="V1656" s="40" t="n"/>
      <c r="W1656" s="40" t="n"/>
      <c r="X1656" s="40" t="n"/>
      <c r="Y1656" s="40" t="n"/>
      <c r="Z1656" s="40" t="n"/>
      <c r="AA1656" s="39" t="n"/>
    </row>
    <row r="1657">
      <c r="A1657" s="7" t="n"/>
      <c r="B1657" s="7" t="n"/>
      <c r="C1657" s="39" t="n"/>
      <c r="D1657" s="39" t="n"/>
      <c r="E1657" s="7" t="n"/>
      <c r="F1657" s="7" t="n"/>
      <c r="G1657" s="7" t="n"/>
      <c r="H1657" s="39" t="n"/>
      <c r="I1657" s="39" t="n"/>
      <c r="J1657" s="39" t="n"/>
      <c r="K1657" s="39" t="n"/>
      <c r="L1657" s="39" t="n"/>
      <c r="M1657" s="7" t="n"/>
      <c r="N1657" s="7" t="n"/>
      <c r="O1657" s="40" t="n"/>
      <c r="P1657" s="40" t="n"/>
      <c r="Q1657" s="40" t="n"/>
      <c r="R1657" s="40" t="n"/>
      <c r="S1657" s="40" t="n"/>
      <c r="T1657" s="40" t="n"/>
      <c r="U1657" s="40" t="n"/>
      <c r="V1657" s="40" t="n"/>
      <c r="W1657" s="40" t="n"/>
      <c r="X1657" s="40" t="n"/>
      <c r="Y1657" s="40" t="n"/>
      <c r="Z1657" s="40" t="n"/>
      <c r="AA1657" s="39" t="n"/>
    </row>
    <row r="1658">
      <c r="A1658" s="7" t="n"/>
      <c r="B1658" s="7" t="n"/>
      <c r="C1658" s="39" t="n"/>
      <c r="D1658" s="39" t="n"/>
      <c r="E1658" s="7" t="n"/>
      <c r="F1658" s="7" t="n"/>
      <c r="G1658" s="7" t="n"/>
      <c r="H1658" s="39" t="n"/>
      <c r="I1658" s="39" t="n"/>
      <c r="J1658" s="39" t="n"/>
      <c r="K1658" s="39" t="n"/>
      <c r="L1658" s="39" t="n"/>
      <c r="M1658" s="7" t="n"/>
      <c r="N1658" s="7" t="n"/>
      <c r="O1658" s="40" t="n"/>
      <c r="P1658" s="40" t="n"/>
      <c r="Q1658" s="40" t="n"/>
      <c r="R1658" s="40" t="n"/>
      <c r="S1658" s="40" t="n"/>
      <c r="T1658" s="40" t="n"/>
      <c r="U1658" s="40" t="n"/>
      <c r="V1658" s="40" t="n"/>
      <c r="W1658" s="40" t="n"/>
      <c r="X1658" s="40" t="n"/>
      <c r="Y1658" s="40" t="n"/>
      <c r="Z1658" s="40" t="n"/>
      <c r="AA1658" s="39" t="n"/>
    </row>
    <row r="1659">
      <c r="A1659" s="7" t="n"/>
      <c r="B1659" s="7" t="n"/>
      <c r="C1659" s="39" t="n"/>
      <c r="D1659" s="39" t="n"/>
      <c r="E1659" s="7" t="n"/>
      <c r="F1659" s="7" t="n"/>
      <c r="G1659" s="7" t="n"/>
      <c r="H1659" s="39" t="n"/>
      <c r="I1659" s="39" t="n"/>
      <c r="J1659" s="39" t="n"/>
      <c r="K1659" s="39" t="n"/>
      <c r="L1659" s="39" t="n"/>
      <c r="M1659" s="7" t="n"/>
      <c r="N1659" s="7" t="n"/>
      <c r="O1659" s="40" t="n"/>
      <c r="P1659" s="40" t="n"/>
      <c r="Q1659" s="40" t="n"/>
      <c r="R1659" s="40" t="n"/>
      <c r="S1659" s="40" t="n"/>
      <c r="T1659" s="40" t="n"/>
      <c r="U1659" s="40" t="n"/>
      <c r="V1659" s="40" t="n"/>
      <c r="W1659" s="40" t="n"/>
      <c r="X1659" s="40" t="n"/>
      <c r="Y1659" s="40" t="n"/>
      <c r="Z1659" s="40" t="n"/>
      <c r="AA1659" s="39" t="n"/>
    </row>
    <row r="1660">
      <c r="A1660" s="7" t="n"/>
      <c r="B1660" s="7" t="n"/>
      <c r="C1660" s="39" t="n"/>
      <c r="D1660" s="39" t="n"/>
      <c r="E1660" s="7" t="n"/>
      <c r="F1660" s="7" t="n"/>
      <c r="G1660" s="7" t="n"/>
      <c r="H1660" s="39" t="n"/>
      <c r="I1660" s="39" t="n"/>
      <c r="J1660" s="39" t="n"/>
      <c r="K1660" s="39" t="n"/>
      <c r="L1660" s="39" t="n"/>
      <c r="M1660" s="7" t="n"/>
      <c r="N1660" s="7" t="n"/>
      <c r="O1660" s="40" t="n"/>
      <c r="P1660" s="40" t="n"/>
      <c r="Q1660" s="40" t="n"/>
      <c r="R1660" s="40" t="n"/>
      <c r="S1660" s="40" t="n"/>
      <c r="T1660" s="40" t="n"/>
      <c r="U1660" s="40" t="n"/>
      <c r="V1660" s="40" t="n"/>
      <c r="W1660" s="40" t="n"/>
      <c r="X1660" s="40" t="n"/>
      <c r="Y1660" s="40" t="n"/>
      <c r="Z1660" s="40" t="n"/>
      <c r="AA1660" s="39" t="n"/>
    </row>
    <row r="1661">
      <c r="A1661" s="7" t="n"/>
      <c r="B1661" s="7" t="n"/>
      <c r="C1661" s="39" t="n"/>
      <c r="D1661" s="39" t="n"/>
      <c r="E1661" s="7" t="n"/>
      <c r="F1661" s="7" t="n"/>
      <c r="G1661" s="7" t="n"/>
      <c r="H1661" s="39" t="n"/>
      <c r="I1661" s="39" t="n"/>
      <c r="J1661" s="39" t="n"/>
      <c r="K1661" s="39" t="n"/>
      <c r="L1661" s="39" t="n"/>
      <c r="M1661" s="7" t="n"/>
      <c r="N1661" s="7" t="n"/>
      <c r="O1661" s="40" t="n"/>
      <c r="P1661" s="40" t="n"/>
      <c r="Q1661" s="40" t="n"/>
      <c r="R1661" s="40" t="n"/>
      <c r="S1661" s="40" t="n"/>
      <c r="T1661" s="40" t="n"/>
      <c r="U1661" s="40" t="n"/>
      <c r="V1661" s="40" t="n"/>
      <c r="W1661" s="40" t="n"/>
      <c r="X1661" s="40" t="n"/>
      <c r="Y1661" s="40" t="n"/>
      <c r="Z1661" s="40" t="n"/>
      <c r="AA1661" s="39" t="n"/>
    </row>
    <row r="1662">
      <c r="A1662" s="7" t="n"/>
      <c r="B1662" s="7" t="n"/>
      <c r="C1662" s="39" t="n"/>
      <c r="D1662" s="39" t="n"/>
      <c r="E1662" s="7" t="n"/>
      <c r="F1662" s="7" t="n"/>
      <c r="G1662" s="7" t="n"/>
      <c r="H1662" s="39" t="n"/>
      <c r="I1662" s="39" t="n"/>
      <c r="J1662" s="39" t="n"/>
      <c r="K1662" s="39" t="n"/>
      <c r="L1662" s="39" t="n"/>
      <c r="M1662" s="7" t="n"/>
      <c r="N1662" s="7" t="n"/>
      <c r="O1662" s="40" t="n"/>
      <c r="P1662" s="40" t="n"/>
      <c r="Q1662" s="40" t="n"/>
      <c r="R1662" s="40" t="n"/>
      <c r="S1662" s="40" t="n"/>
      <c r="T1662" s="40" t="n"/>
      <c r="U1662" s="40" t="n"/>
      <c r="V1662" s="40" t="n"/>
      <c r="W1662" s="40" t="n"/>
      <c r="X1662" s="40" t="n"/>
      <c r="Y1662" s="40" t="n"/>
      <c r="Z1662" s="40" t="n"/>
      <c r="AA1662" s="39" t="n"/>
    </row>
    <row r="1663">
      <c r="A1663" s="7" t="n"/>
      <c r="B1663" s="7" t="n"/>
      <c r="C1663" s="39" t="n"/>
      <c r="D1663" s="39" t="n"/>
      <c r="E1663" s="7" t="n"/>
      <c r="F1663" s="7" t="n"/>
      <c r="G1663" s="7" t="n"/>
      <c r="H1663" s="39" t="n"/>
      <c r="I1663" s="39" t="n"/>
      <c r="J1663" s="39" t="n"/>
      <c r="K1663" s="39" t="n"/>
      <c r="L1663" s="39" t="n"/>
      <c r="M1663" s="7" t="n"/>
      <c r="N1663" s="7" t="n"/>
      <c r="O1663" s="40" t="n"/>
      <c r="P1663" s="40" t="n"/>
      <c r="Q1663" s="40" t="n"/>
      <c r="R1663" s="40" t="n"/>
      <c r="S1663" s="40" t="n"/>
      <c r="T1663" s="40" t="n"/>
      <c r="U1663" s="40" t="n"/>
      <c r="V1663" s="40" t="n"/>
      <c r="W1663" s="40" t="n"/>
      <c r="X1663" s="40" t="n"/>
      <c r="Y1663" s="40" t="n"/>
      <c r="Z1663" s="40" t="n"/>
      <c r="AA1663" s="39" t="n"/>
    </row>
    <row r="1664">
      <c r="A1664" s="7" t="n"/>
      <c r="B1664" s="7" t="n"/>
      <c r="C1664" s="39" t="n"/>
      <c r="D1664" s="39" t="n"/>
      <c r="E1664" s="7" t="n"/>
      <c r="F1664" s="7" t="n"/>
      <c r="G1664" s="7" t="n"/>
      <c r="H1664" s="39" t="n"/>
      <c r="I1664" s="39" t="n"/>
      <c r="J1664" s="39" t="n"/>
      <c r="K1664" s="39" t="n"/>
      <c r="L1664" s="39" t="n"/>
      <c r="M1664" s="7" t="n"/>
      <c r="N1664" s="7" t="n"/>
      <c r="O1664" s="40" t="n"/>
      <c r="P1664" s="40" t="n"/>
      <c r="Q1664" s="40" t="n"/>
      <c r="R1664" s="40" t="n"/>
      <c r="S1664" s="40" t="n"/>
      <c r="T1664" s="40" t="n"/>
      <c r="U1664" s="40" t="n"/>
      <c r="V1664" s="40" t="n"/>
      <c r="W1664" s="40" t="n"/>
      <c r="X1664" s="40" t="n"/>
      <c r="Y1664" s="40" t="n"/>
      <c r="Z1664" s="40" t="n"/>
      <c r="AA1664" s="39" t="n"/>
    </row>
    <row r="1665">
      <c r="A1665" s="7" t="n"/>
      <c r="B1665" s="7" t="n"/>
      <c r="C1665" s="39" t="n"/>
      <c r="D1665" s="39" t="n"/>
      <c r="E1665" s="7" t="n"/>
      <c r="F1665" s="7" t="n"/>
      <c r="G1665" s="7" t="n"/>
      <c r="H1665" s="39" t="n"/>
      <c r="I1665" s="39" t="n"/>
      <c r="J1665" s="39" t="n"/>
      <c r="K1665" s="39" t="n"/>
      <c r="L1665" s="39" t="n"/>
      <c r="M1665" s="7" t="n"/>
      <c r="N1665" s="7" t="n"/>
      <c r="O1665" s="40" t="n"/>
      <c r="P1665" s="40" t="n"/>
      <c r="Q1665" s="40" t="n"/>
      <c r="R1665" s="40" t="n"/>
      <c r="S1665" s="40" t="n"/>
      <c r="T1665" s="40" t="n"/>
      <c r="U1665" s="40" t="n"/>
      <c r="V1665" s="40" t="n"/>
      <c r="W1665" s="40" t="n"/>
      <c r="X1665" s="40" t="n"/>
      <c r="Y1665" s="40" t="n"/>
      <c r="Z1665" s="40" t="n"/>
      <c r="AA1665" s="39" t="n"/>
    </row>
    <row r="1666">
      <c r="A1666" s="7" t="n"/>
      <c r="B1666" s="7" t="n"/>
      <c r="C1666" s="39" t="n"/>
      <c r="D1666" s="39" t="n"/>
      <c r="E1666" s="7" t="n"/>
      <c r="F1666" s="7" t="n"/>
      <c r="G1666" s="7" t="n"/>
      <c r="H1666" s="39" t="n"/>
      <c r="I1666" s="39" t="n"/>
      <c r="J1666" s="39" t="n"/>
      <c r="K1666" s="39" t="n"/>
      <c r="L1666" s="39" t="n"/>
      <c r="M1666" s="7" t="n"/>
      <c r="N1666" s="7" t="n"/>
      <c r="O1666" s="40" t="n"/>
      <c r="P1666" s="40" t="n"/>
      <c r="Q1666" s="40" t="n"/>
      <c r="R1666" s="40" t="n"/>
      <c r="S1666" s="40" t="n"/>
      <c r="T1666" s="40" t="n"/>
      <c r="U1666" s="40" t="n"/>
      <c r="V1666" s="40" t="n"/>
      <c r="W1666" s="40" t="n"/>
      <c r="X1666" s="40" t="n"/>
      <c r="Y1666" s="40" t="n"/>
      <c r="Z1666" s="40" t="n"/>
      <c r="AA1666" s="39" t="n"/>
    </row>
    <row r="1667">
      <c r="A1667" s="7" t="n"/>
      <c r="B1667" s="7" t="n"/>
      <c r="C1667" s="39" t="n"/>
      <c r="D1667" s="39" t="n"/>
      <c r="E1667" s="7" t="n"/>
      <c r="F1667" s="7" t="n"/>
      <c r="G1667" s="7" t="n"/>
      <c r="H1667" s="39" t="n"/>
      <c r="I1667" s="39" t="n"/>
      <c r="J1667" s="39" t="n"/>
      <c r="K1667" s="39" t="n"/>
      <c r="L1667" s="39" t="n"/>
      <c r="M1667" s="7" t="n"/>
      <c r="N1667" s="7" t="n"/>
      <c r="O1667" s="40" t="n"/>
      <c r="P1667" s="40" t="n"/>
      <c r="Q1667" s="40" t="n"/>
      <c r="R1667" s="40" t="n"/>
      <c r="S1667" s="40" t="n"/>
      <c r="T1667" s="40" t="n"/>
      <c r="U1667" s="40" t="n"/>
      <c r="V1667" s="40" t="n"/>
      <c r="W1667" s="40" t="n"/>
      <c r="X1667" s="40" t="n"/>
      <c r="Y1667" s="40" t="n"/>
      <c r="Z1667" s="40" t="n"/>
      <c r="AA1667" s="39" t="n"/>
    </row>
    <row r="1668">
      <c r="A1668" s="7" t="n"/>
      <c r="B1668" s="7" t="n"/>
      <c r="C1668" s="39" t="n"/>
      <c r="D1668" s="39" t="n"/>
      <c r="E1668" s="7" t="n"/>
      <c r="F1668" s="7" t="n"/>
      <c r="G1668" s="7" t="n"/>
      <c r="H1668" s="39" t="n"/>
      <c r="I1668" s="39" t="n"/>
      <c r="J1668" s="39" t="n"/>
      <c r="K1668" s="39" t="n"/>
      <c r="L1668" s="39" t="n"/>
      <c r="M1668" s="7" t="n"/>
      <c r="N1668" s="7" t="n"/>
      <c r="O1668" s="40" t="n"/>
      <c r="P1668" s="40" t="n"/>
      <c r="Q1668" s="40" t="n"/>
      <c r="R1668" s="40" t="n"/>
      <c r="S1668" s="40" t="n"/>
      <c r="T1668" s="40" t="n"/>
      <c r="U1668" s="40" t="n"/>
      <c r="V1668" s="40" t="n"/>
      <c r="W1668" s="40" t="n"/>
      <c r="X1668" s="40" t="n"/>
      <c r="Y1668" s="40" t="n"/>
      <c r="Z1668" s="40" t="n"/>
      <c r="AA1668" s="39" t="n"/>
    </row>
    <row r="1669">
      <c r="A1669" s="7" t="n"/>
      <c r="B1669" s="7" t="n"/>
      <c r="C1669" s="39" t="n"/>
      <c r="D1669" s="39" t="n"/>
      <c r="E1669" s="7" t="n"/>
      <c r="F1669" s="7" t="n"/>
      <c r="G1669" s="7" t="n"/>
      <c r="H1669" s="39" t="n"/>
      <c r="I1669" s="39" t="n"/>
      <c r="J1669" s="39" t="n"/>
      <c r="K1669" s="39" t="n"/>
      <c r="L1669" s="39" t="n"/>
      <c r="M1669" s="7" t="n"/>
      <c r="N1669" s="7" t="n"/>
      <c r="O1669" s="40" t="n"/>
      <c r="P1669" s="40" t="n"/>
      <c r="Q1669" s="40" t="n"/>
      <c r="R1669" s="40" t="n"/>
      <c r="S1669" s="40" t="n"/>
      <c r="T1669" s="40" t="n"/>
      <c r="U1669" s="40" t="n"/>
      <c r="V1669" s="40" t="n"/>
      <c r="W1669" s="40" t="n"/>
      <c r="X1669" s="40" t="n"/>
      <c r="Y1669" s="40" t="n"/>
      <c r="Z1669" s="40" t="n"/>
      <c r="AA1669" s="39" t="n"/>
    </row>
    <row r="1670">
      <c r="A1670" s="7" t="n"/>
      <c r="B1670" s="7" t="n"/>
      <c r="C1670" s="39" t="n"/>
      <c r="D1670" s="39" t="n"/>
      <c r="E1670" s="7" t="n"/>
      <c r="F1670" s="7" t="n"/>
      <c r="G1670" s="7" t="n"/>
      <c r="H1670" s="39" t="n"/>
      <c r="I1670" s="39" t="n"/>
      <c r="J1670" s="39" t="n"/>
      <c r="K1670" s="39" t="n"/>
      <c r="L1670" s="39" t="n"/>
      <c r="M1670" s="7" t="n"/>
      <c r="N1670" s="7" t="n"/>
      <c r="O1670" s="40" t="n"/>
      <c r="P1670" s="40" t="n"/>
      <c r="Q1670" s="40" t="n"/>
      <c r="R1670" s="40" t="n"/>
      <c r="S1670" s="40" t="n"/>
      <c r="T1670" s="40" t="n"/>
      <c r="U1670" s="40" t="n"/>
      <c r="V1670" s="40" t="n"/>
      <c r="W1670" s="40" t="n"/>
      <c r="X1670" s="40" t="n"/>
      <c r="Y1670" s="40" t="n"/>
      <c r="Z1670" s="40" t="n"/>
      <c r="AA1670" s="39" t="n"/>
    </row>
    <row r="1671">
      <c r="A1671" s="7" t="n"/>
      <c r="B1671" s="7" t="n"/>
      <c r="C1671" s="39" t="n"/>
      <c r="D1671" s="39" t="n"/>
      <c r="E1671" s="7" t="n"/>
      <c r="F1671" s="7" t="n"/>
      <c r="G1671" s="7" t="n"/>
      <c r="H1671" s="39" t="n"/>
      <c r="I1671" s="39" t="n"/>
      <c r="J1671" s="39" t="n"/>
      <c r="K1671" s="39" t="n"/>
      <c r="L1671" s="39" t="n"/>
      <c r="M1671" s="7" t="n"/>
      <c r="N1671" s="7" t="n"/>
      <c r="O1671" s="40" t="n"/>
      <c r="P1671" s="40" t="n"/>
      <c r="Q1671" s="40" t="n"/>
      <c r="R1671" s="40" t="n"/>
      <c r="S1671" s="40" t="n"/>
      <c r="T1671" s="40" t="n"/>
      <c r="U1671" s="40" t="n"/>
      <c r="V1671" s="40" t="n"/>
      <c r="W1671" s="40" t="n"/>
      <c r="X1671" s="40" t="n"/>
      <c r="Y1671" s="40" t="n"/>
      <c r="Z1671" s="40" t="n"/>
      <c r="AA1671" s="39" t="n"/>
    </row>
    <row r="1672">
      <c r="A1672" s="7" t="n"/>
      <c r="B1672" s="7" t="n"/>
      <c r="C1672" s="39" t="n"/>
      <c r="D1672" s="39" t="n"/>
      <c r="E1672" s="7" t="n"/>
      <c r="F1672" s="7" t="n"/>
      <c r="G1672" s="7" t="n"/>
      <c r="H1672" s="39" t="n"/>
      <c r="I1672" s="39" t="n"/>
      <c r="J1672" s="39" t="n"/>
      <c r="K1672" s="39" t="n"/>
      <c r="L1672" s="39" t="n"/>
      <c r="M1672" s="7" t="n"/>
      <c r="N1672" s="7" t="n"/>
      <c r="O1672" s="40" t="n"/>
      <c r="P1672" s="40" t="n"/>
      <c r="Q1672" s="40" t="n"/>
      <c r="R1672" s="40" t="n"/>
      <c r="S1672" s="40" t="n"/>
      <c r="T1672" s="40" t="n"/>
      <c r="U1672" s="40" t="n"/>
      <c r="V1672" s="40" t="n"/>
      <c r="W1672" s="40" t="n"/>
      <c r="X1672" s="40" t="n"/>
      <c r="Y1672" s="40" t="n"/>
      <c r="Z1672" s="40" t="n"/>
      <c r="AA1672" s="39" t="n"/>
    </row>
    <row r="1673">
      <c r="A1673" s="7" t="n"/>
      <c r="B1673" s="7" t="n"/>
      <c r="C1673" s="39" t="n"/>
      <c r="D1673" s="39" t="n"/>
      <c r="E1673" s="7" t="n"/>
      <c r="F1673" s="7" t="n"/>
      <c r="G1673" s="7" t="n"/>
      <c r="H1673" s="39" t="n"/>
      <c r="I1673" s="39" t="n"/>
      <c r="J1673" s="39" t="n"/>
      <c r="K1673" s="39" t="n"/>
      <c r="L1673" s="39" t="n"/>
      <c r="M1673" s="7" t="n"/>
      <c r="N1673" s="7" t="n"/>
      <c r="O1673" s="40" t="n"/>
      <c r="P1673" s="40" t="n"/>
      <c r="Q1673" s="40" t="n"/>
      <c r="R1673" s="40" t="n"/>
      <c r="S1673" s="40" t="n"/>
      <c r="T1673" s="40" t="n"/>
      <c r="U1673" s="40" t="n"/>
      <c r="V1673" s="40" t="n"/>
      <c r="W1673" s="40" t="n"/>
      <c r="X1673" s="40" t="n"/>
      <c r="Y1673" s="40" t="n"/>
      <c r="Z1673" s="40" t="n"/>
      <c r="AA1673" s="39" t="n"/>
    </row>
    <row r="1674">
      <c r="A1674" s="7" t="n"/>
      <c r="B1674" s="7" t="n"/>
      <c r="C1674" s="39" t="n"/>
      <c r="D1674" s="39" t="n"/>
      <c r="E1674" s="7" t="n"/>
      <c r="F1674" s="7" t="n"/>
      <c r="G1674" s="7" t="n"/>
      <c r="H1674" s="39" t="n"/>
      <c r="I1674" s="39" t="n"/>
      <c r="J1674" s="39" t="n"/>
      <c r="K1674" s="39" t="n"/>
      <c r="L1674" s="39" t="n"/>
      <c r="M1674" s="7" t="n"/>
      <c r="N1674" s="7" t="n"/>
      <c r="O1674" s="40" t="n"/>
      <c r="P1674" s="40" t="n"/>
      <c r="Q1674" s="40" t="n"/>
      <c r="R1674" s="40" t="n"/>
      <c r="S1674" s="40" t="n"/>
      <c r="T1674" s="40" t="n"/>
      <c r="U1674" s="40" t="n"/>
      <c r="V1674" s="40" t="n"/>
      <c r="W1674" s="40" t="n"/>
      <c r="X1674" s="40" t="n"/>
      <c r="Y1674" s="40" t="n"/>
      <c r="Z1674" s="40" t="n"/>
      <c r="AA1674" s="39" t="n"/>
    </row>
    <row r="1675">
      <c r="A1675" s="7" t="n"/>
      <c r="B1675" s="7" t="n"/>
      <c r="C1675" s="39" t="n"/>
      <c r="D1675" s="39" t="n"/>
      <c r="E1675" s="7" t="n"/>
      <c r="F1675" s="7" t="n"/>
      <c r="G1675" s="7" t="n"/>
      <c r="H1675" s="39" t="n"/>
      <c r="I1675" s="39" t="n"/>
      <c r="J1675" s="39" t="n"/>
      <c r="K1675" s="39" t="n"/>
      <c r="L1675" s="39" t="n"/>
      <c r="M1675" s="7" t="n"/>
      <c r="N1675" s="7" t="n"/>
      <c r="O1675" s="40" t="n"/>
      <c r="P1675" s="40" t="n"/>
      <c r="Q1675" s="40" t="n"/>
      <c r="R1675" s="40" t="n"/>
      <c r="S1675" s="40" t="n"/>
      <c r="T1675" s="40" t="n"/>
      <c r="U1675" s="40" t="n"/>
      <c r="V1675" s="40" t="n"/>
      <c r="W1675" s="40" t="n"/>
      <c r="X1675" s="40" t="n"/>
      <c r="Y1675" s="40" t="n"/>
      <c r="Z1675" s="40" t="n"/>
      <c r="AA1675" s="39" t="n"/>
    </row>
    <row r="1676">
      <c r="A1676" s="7" t="n"/>
      <c r="B1676" s="7" t="n"/>
      <c r="C1676" s="39" t="n"/>
      <c r="D1676" s="39" t="n"/>
      <c r="E1676" s="7" t="n"/>
      <c r="F1676" s="7" t="n"/>
      <c r="G1676" s="7" t="n"/>
      <c r="H1676" s="39" t="n"/>
      <c r="I1676" s="39" t="n"/>
      <c r="J1676" s="39" t="n"/>
      <c r="K1676" s="39" t="n"/>
      <c r="L1676" s="39" t="n"/>
      <c r="M1676" s="7" t="n"/>
      <c r="N1676" s="7" t="n"/>
      <c r="O1676" s="40" t="n"/>
      <c r="P1676" s="40" t="n"/>
      <c r="Q1676" s="40" t="n"/>
      <c r="R1676" s="40" t="n"/>
      <c r="S1676" s="40" t="n"/>
      <c r="T1676" s="40" t="n"/>
      <c r="U1676" s="40" t="n"/>
      <c r="V1676" s="40" t="n"/>
      <c r="W1676" s="40" t="n"/>
      <c r="X1676" s="40" t="n"/>
      <c r="Y1676" s="40" t="n"/>
      <c r="Z1676" s="40" t="n"/>
      <c r="AA1676" s="39" t="n"/>
    </row>
    <row r="1677">
      <c r="A1677" s="7" t="n"/>
      <c r="B1677" s="7" t="n"/>
      <c r="C1677" s="39" t="n"/>
      <c r="D1677" s="39" t="n"/>
      <c r="E1677" s="7" t="n"/>
      <c r="F1677" s="7" t="n"/>
      <c r="G1677" s="7" t="n"/>
      <c r="H1677" s="39" t="n"/>
      <c r="I1677" s="39" t="n"/>
      <c r="J1677" s="39" t="n"/>
      <c r="K1677" s="39" t="n"/>
      <c r="L1677" s="39" t="n"/>
      <c r="M1677" s="7" t="n"/>
      <c r="N1677" s="7" t="n"/>
      <c r="O1677" s="40" t="n"/>
      <c r="P1677" s="40" t="n"/>
      <c r="Q1677" s="40" t="n"/>
      <c r="R1677" s="40" t="n"/>
      <c r="S1677" s="40" t="n"/>
      <c r="T1677" s="40" t="n"/>
      <c r="U1677" s="40" t="n"/>
      <c r="V1677" s="40" t="n"/>
      <c r="W1677" s="40" t="n"/>
      <c r="X1677" s="40" t="n"/>
      <c r="Y1677" s="40" t="n"/>
      <c r="Z1677" s="40" t="n"/>
      <c r="AA1677" s="39" t="n"/>
    </row>
    <row r="1678">
      <c r="A1678" s="7" t="n"/>
      <c r="B1678" s="7" t="n"/>
      <c r="C1678" s="39" t="n"/>
      <c r="D1678" s="39" t="n"/>
      <c r="E1678" s="7" t="n"/>
      <c r="F1678" s="7" t="n"/>
      <c r="G1678" s="7" t="n"/>
      <c r="H1678" s="39" t="n"/>
      <c r="I1678" s="39" t="n"/>
      <c r="J1678" s="39" t="n"/>
      <c r="K1678" s="39" t="n"/>
      <c r="L1678" s="39" t="n"/>
      <c r="M1678" s="7" t="n"/>
      <c r="N1678" s="7" t="n"/>
      <c r="O1678" s="40" t="n"/>
      <c r="P1678" s="40" t="n"/>
      <c r="Q1678" s="40" t="n"/>
      <c r="R1678" s="40" t="n"/>
      <c r="S1678" s="40" t="n"/>
      <c r="T1678" s="40" t="n"/>
      <c r="U1678" s="40" t="n"/>
      <c r="V1678" s="40" t="n"/>
      <c r="W1678" s="40" t="n"/>
      <c r="X1678" s="40" t="n"/>
      <c r="Y1678" s="40" t="n"/>
      <c r="Z1678" s="40" t="n"/>
      <c r="AA1678" s="39" t="n"/>
    </row>
    <row r="1679">
      <c r="A1679" s="7" t="n"/>
      <c r="B1679" s="7" t="n"/>
      <c r="C1679" s="39" t="n"/>
      <c r="D1679" s="39" t="n"/>
      <c r="E1679" s="7" t="n"/>
      <c r="F1679" s="7" t="n"/>
      <c r="G1679" s="7" t="n"/>
      <c r="H1679" s="39" t="n"/>
      <c r="I1679" s="39" t="n"/>
      <c r="J1679" s="39" t="n"/>
      <c r="K1679" s="39" t="n"/>
      <c r="L1679" s="39" t="n"/>
      <c r="M1679" s="7" t="n"/>
      <c r="N1679" s="7" t="n"/>
      <c r="O1679" s="40" t="n"/>
      <c r="P1679" s="40" t="n"/>
      <c r="Q1679" s="40" t="n"/>
      <c r="R1679" s="40" t="n"/>
      <c r="S1679" s="40" t="n"/>
      <c r="T1679" s="40" t="n"/>
      <c r="U1679" s="40" t="n"/>
      <c r="V1679" s="40" t="n"/>
      <c r="W1679" s="40" t="n"/>
      <c r="X1679" s="40" t="n"/>
      <c r="Y1679" s="40" t="n"/>
      <c r="Z1679" s="40" t="n"/>
      <c r="AA1679" s="39" t="n"/>
    </row>
    <row r="1680">
      <c r="A1680" s="7" t="n"/>
      <c r="B1680" s="7" t="n"/>
      <c r="C1680" s="39" t="n"/>
      <c r="D1680" s="39" t="n"/>
      <c r="E1680" s="7" t="n"/>
      <c r="F1680" s="7" t="n"/>
      <c r="G1680" s="7" t="n"/>
      <c r="H1680" s="39" t="n"/>
      <c r="I1680" s="39" t="n"/>
      <c r="J1680" s="39" t="n"/>
      <c r="K1680" s="39" t="n"/>
      <c r="L1680" s="39" t="n"/>
      <c r="M1680" s="7" t="n"/>
      <c r="N1680" s="7" t="n"/>
      <c r="O1680" s="40" t="n"/>
      <c r="P1680" s="40" t="n"/>
      <c r="Q1680" s="40" t="n"/>
      <c r="R1680" s="40" t="n"/>
      <c r="S1680" s="40" t="n"/>
      <c r="T1680" s="40" t="n"/>
      <c r="U1680" s="40" t="n"/>
      <c r="V1680" s="40" t="n"/>
      <c r="W1680" s="40" t="n"/>
      <c r="X1680" s="40" t="n"/>
      <c r="Y1680" s="40" t="n"/>
      <c r="Z1680" s="40" t="n"/>
      <c r="AA1680" s="39" t="n"/>
    </row>
    <row r="1681">
      <c r="A1681" s="7" t="n"/>
      <c r="B1681" s="7" t="n"/>
      <c r="C1681" s="39" t="n"/>
      <c r="D1681" s="39" t="n"/>
      <c r="E1681" s="7" t="n"/>
      <c r="F1681" s="7" t="n"/>
      <c r="G1681" s="7" t="n"/>
      <c r="H1681" s="39" t="n"/>
      <c r="I1681" s="39" t="n"/>
      <c r="J1681" s="39" t="n"/>
      <c r="K1681" s="39" t="n"/>
      <c r="L1681" s="39" t="n"/>
      <c r="M1681" s="7" t="n"/>
      <c r="N1681" s="7" t="n"/>
      <c r="O1681" s="40" t="n"/>
      <c r="P1681" s="40" t="n"/>
      <c r="Q1681" s="40" t="n"/>
      <c r="R1681" s="40" t="n"/>
      <c r="S1681" s="40" t="n"/>
      <c r="T1681" s="40" t="n"/>
      <c r="U1681" s="40" t="n"/>
      <c r="V1681" s="40" t="n"/>
      <c r="W1681" s="40" t="n"/>
      <c r="X1681" s="40" t="n"/>
      <c r="Y1681" s="40" t="n"/>
      <c r="Z1681" s="40" t="n"/>
      <c r="AA1681" s="39" t="n"/>
    </row>
    <row r="1682">
      <c r="A1682" s="7" t="n"/>
      <c r="B1682" s="7" t="n"/>
      <c r="C1682" s="39" t="n"/>
      <c r="D1682" s="39" t="n"/>
      <c r="E1682" s="7" t="n"/>
      <c r="F1682" s="7" t="n"/>
      <c r="G1682" s="7" t="n"/>
      <c r="H1682" s="39" t="n"/>
      <c r="I1682" s="39" t="n"/>
      <c r="J1682" s="39" t="n"/>
      <c r="K1682" s="39" t="n"/>
      <c r="L1682" s="39" t="n"/>
      <c r="M1682" s="7" t="n"/>
      <c r="N1682" s="7" t="n"/>
      <c r="O1682" s="40" t="n"/>
      <c r="P1682" s="40" t="n"/>
      <c r="Q1682" s="40" t="n"/>
      <c r="R1682" s="40" t="n"/>
      <c r="S1682" s="40" t="n"/>
      <c r="T1682" s="40" t="n"/>
      <c r="U1682" s="40" t="n"/>
      <c r="V1682" s="40" t="n"/>
      <c r="W1682" s="40" t="n"/>
      <c r="X1682" s="40" t="n"/>
      <c r="Y1682" s="40" t="n"/>
      <c r="Z1682" s="40" t="n"/>
      <c r="AA1682" s="39" t="n"/>
    </row>
    <row r="1683">
      <c r="A1683" s="7" t="n"/>
      <c r="B1683" s="7" t="n"/>
      <c r="C1683" s="39" t="n"/>
      <c r="D1683" s="39" t="n"/>
      <c r="E1683" s="7" t="n"/>
      <c r="F1683" s="7" t="n"/>
      <c r="G1683" s="7" t="n"/>
      <c r="H1683" s="39" t="n"/>
      <c r="I1683" s="39" t="n"/>
      <c r="J1683" s="39" t="n"/>
      <c r="K1683" s="39" t="n"/>
      <c r="L1683" s="39" t="n"/>
      <c r="M1683" s="7" t="n"/>
      <c r="N1683" s="7" t="n"/>
      <c r="O1683" s="40" t="n"/>
      <c r="P1683" s="40" t="n"/>
      <c r="Q1683" s="40" t="n"/>
      <c r="R1683" s="40" t="n"/>
      <c r="S1683" s="40" t="n"/>
      <c r="T1683" s="40" t="n"/>
      <c r="U1683" s="40" t="n"/>
      <c r="V1683" s="40" t="n"/>
      <c r="W1683" s="40" t="n"/>
      <c r="X1683" s="40" t="n"/>
      <c r="Y1683" s="40" t="n"/>
      <c r="Z1683" s="40" t="n"/>
      <c r="AA1683" s="39" t="n"/>
    </row>
    <row r="1684">
      <c r="A1684" s="7" t="n"/>
      <c r="B1684" s="7" t="n"/>
      <c r="C1684" s="39" t="n"/>
      <c r="D1684" s="39" t="n"/>
      <c r="E1684" s="7" t="n"/>
      <c r="F1684" s="7" t="n"/>
      <c r="G1684" s="7" t="n"/>
      <c r="H1684" s="39" t="n"/>
      <c r="I1684" s="39" t="n"/>
      <c r="J1684" s="39" t="n"/>
      <c r="K1684" s="39" t="n"/>
      <c r="L1684" s="39" t="n"/>
      <c r="M1684" s="7" t="n"/>
      <c r="N1684" s="7" t="n"/>
      <c r="O1684" s="40" t="n"/>
      <c r="P1684" s="40" t="n"/>
      <c r="Q1684" s="40" t="n"/>
      <c r="R1684" s="40" t="n"/>
      <c r="S1684" s="40" t="n"/>
      <c r="T1684" s="40" t="n"/>
      <c r="U1684" s="40" t="n"/>
      <c r="V1684" s="40" t="n"/>
      <c r="W1684" s="40" t="n"/>
      <c r="X1684" s="40" t="n"/>
      <c r="Y1684" s="40" t="n"/>
      <c r="Z1684" s="40" t="n"/>
      <c r="AA1684" s="39" t="n"/>
    </row>
    <row r="1685">
      <c r="A1685" s="7" t="n"/>
      <c r="B1685" s="7" t="n"/>
      <c r="C1685" s="39" t="n"/>
      <c r="D1685" s="39" t="n"/>
      <c r="E1685" s="7" t="n"/>
      <c r="F1685" s="7" t="n"/>
      <c r="G1685" s="7" t="n"/>
      <c r="H1685" s="39" t="n"/>
      <c r="I1685" s="39" t="n"/>
      <c r="J1685" s="39" t="n"/>
      <c r="K1685" s="39" t="n"/>
      <c r="L1685" s="39" t="n"/>
      <c r="M1685" s="7" t="n"/>
      <c r="N1685" s="7" t="n"/>
      <c r="O1685" s="40" t="n"/>
      <c r="P1685" s="40" t="n"/>
      <c r="Q1685" s="40" t="n"/>
      <c r="R1685" s="40" t="n"/>
      <c r="S1685" s="40" t="n"/>
      <c r="T1685" s="40" t="n"/>
      <c r="U1685" s="40" t="n"/>
      <c r="V1685" s="40" t="n"/>
      <c r="W1685" s="40" t="n"/>
      <c r="X1685" s="40" t="n"/>
      <c r="Y1685" s="40" t="n"/>
      <c r="Z1685" s="40" t="n"/>
      <c r="AA1685" s="39" t="n"/>
    </row>
    <row r="1686">
      <c r="A1686" s="7" t="n"/>
      <c r="B1686" s="7" t="n"/>
      <c r="C1686" s="39" t="n"/>
      <c r="D1686" s="39" t="n"/>
      <c r="E1686" s="7" t="n"/>
      <c r="F1686" s="7" t="n"/>
      <c r="G1686" s="7" t="n"/>
      <c r="H1686" s="39" t="n"/>
      <c r="I1686" s="39" t="n"/>
      <c r="J1686" s="39" t="n"/>
      <c r="K1686" s="39" t="n"/>
      <c r="L1686" s="39" t="n"/>
      <c r="M1686" s="7" t="n"/>
      <c r="N1686" s="7" t="n"/>
      <c r="O1686" s="40" t="n"/>
      <c r="P1686" s="40" t="n"/>
      <c r="Q1686" s="40" t="n"/>
      <c r="R1686" s="40" t="n"/>
      <c r="S1686" s="40" t="n"/>
      <c r="T1686" s="40" t="n"/>
      <c r="U1686" s="40" t="n"/>
      <c r="V1686" s="40" t="n"/>
      <c r="W1686" s="40" t="n"/>
      <c r="X1686" s="40" t="n"/>
      <c r="Y1686" s="40" t="n"/>
      <c r="Z1686" s="40" t="n"/>
      <c r="AA1686" s="39" t="n"/>
    </row>
    <row r="1687">
      <c r="A1687" s="7" t="n"/>
      <c r="B1687" s="7" t="n"/>
      <c r="C1687" s="39" t="n"/>
      <c r="D1687" s="39" t="n"/>
      <c r="E1687" s="7" t="n"/>
      <c r="F1687" s="7" t="n"/>
      <c r="G1687" s="7" t="n"/>
      <c r="H1687" s="39" t="n"/>
      <c r="I1687" s="39" t="n"/>
      <c r="J1687" s="39" t="n"/>
      <c r="K1687" s="39" t="n"/>
      <c r="L1687" s="39" t="n"/>
      <c r="M1687" s="7" t="n"/>
      <c r="N1687" s="7" t="n"/>
      <c r="O1687" s="40" t="n"/>
      <c r="P1687" s="40" t="n"/>
      <c r="Q1687" s="40" t="n"/>
      <c r="R1687" s="40" t="n"/>
      <c r="S1687" s="40" t="n"/>
      <c r="T1687" s="40" t="n"/>
      <c r="U1687" s="40" t="n"/>
      <c r="V1687" s="40" t="n"/>
      <c r="W1687" s="40" t="n"/>
      <c r="X1687" s="40" t="n"/>
      <c r="Y1687" s="40" t="n"/>
      <c r="Z1687" s="40" t="n"/>
      <c r="AA1687" s="39" t="n"/>
    </row>
    <row r="1688">
      <c r="A1688" s="7" t="n"/>
      <c r="B1688" s="7" t="n"/>
      <c r="C1688" s="39" t="n"/>
      <c r="D1688" s="39" t="n"/>
      <c r="E1688" s="7" t="n"/>
      <c r="F1688" s="7" t="n"/>
      <c r="G1688" s="7" t="n"/>
      <c r="H1688" s="39" t="n"/>
      <c r="I1688" s="39" t="n"/>
      <c r="J1688" s="39" t="n"/>
      <c r="K1688" s="39" t="n"/>
      <c r="L1688" s="39" t="n"/>
      <c r="M1688" s="7" t="n"/>
      <c r="N1688" s="7" t="n"/>
      <c r="O1688" s="40" t="n"/>
      <c r="P1688" s="40" t="n"/>
      <c r="Q1688" s="40" t="n"/>
      <c r="R1688" s="40" t="n"/>
      <c r="S1688" s="40" t="n"/>
      <c r="T1688" s="40" t="n"/>
      <c r="U1688" s="40" t="n"/>
      <c r="V1688" s="40" t="n"/>
      <c r="W1688" s="40" t="n"/>
      <c r="X1688" s="40" t="n"/>
      <c r="Y1688" s="40" t="n"/>
      <c r="Z1688" s="40" t="n"/>
      <c r="AA1688" s="39" t="n"/>
    </row>
    <row r="1689">
      <c r="A1689" s="7" t="n"/>
      <c r="B1689" s="7" t="n"/>
      <c r="C1689" s="39" t="n"/>
      <c r="D1689" s="39" t="n"/>
      <c r="E1689" s="7" t="n"/>
      <c r="F1689" s="7" t="n"/>
      <c r="G1689" s="7" t="n"/>
      <c r="H1689" s="39" t="n"/>
      <c r="I1689" s="39" t="n"/>
      <c r="J1689" s="39" t="n"/>
      <c r="K1689" s="39" t="n"/>
      <c r="L1689" s="39" t="n"/>
      <c r="M1689" s="7" t="n"/>
      <c r="N1689" s="7" t="n"/>
      <c r="O1689" s="40" t="n"/>
      <c r="P1689" s="40" t="n"/>
      <c r="Q1689" s="40" t="n"/>
      <c r="R1689" s="40" t="n"/>
      <c r="S1689" s="40" t="n"/>
      <c r="T1689" s="40" t="n"/>
      <c r="U1689" s="40" t="n"/>
      <c r="V1689" s="40" t="n"/>
      <c r="W1689" s="40" t="n"/>
      <c r="X1689" s="40" t="n"/>
      <c r="Y1689" s="40" t="n"/>
      <c r="Z1689" s="40" t="n"/>
      <c r="AA1689" s="39" t="n"/>
    </row>
    <row r="1690">
      <c r="A1690" s="7" t="n"/>
      <c r="B1690" s="7" t="n"/>
      <c r="C1690" s="39" t="n"/>
      <c r="D1690" s="39" t="n"/>
      <c r="E1690" s="7" t="n"/>
      <c r="F1690" s="7" t="n"/>
      <c r="G1690" s="7" t="n"/>
      <c r="H1690" s="39" t="n"/>
      <c r="I1690" s="39" t="n"/>
      <c r="J1690" s="39" t="n"/>
      <c r="K1690" s="39" t="n"/>
      <c r="L1690" s="39" t="n"/>
      <c r="M1690" s="7" t="n"/>
      <c r="N1690" s="7" t="n"/>
      <c r="O1690" s="40" t="n"/>
      <c r="P1690" s="40" t="n"/>
      <c r="Q1690" s="40" t="n"/>
      <c r="R1690" s="40" t="n"/>
      <c r="S1690" s="40" t="n"/>
      <c r="T1690" s="40" t="n"/>
      <c r="U1690" s="40" t="n"/>
      <c r="V1690" s="40" t="n"/>
      <c r="W1690" s="40" t="n"/>
      <c r="X1690" s="40" t="n"/>
      <c r="Y1690" s="40" t="n"/>
      <c r="Z1690" s="40" t="n"/>
      <c r="AA1690" s="39" t="n"/>
    </row>
    <row r="1691">
      <c r="A1691" s="7" t="n"/>
      <c r="B1691" s="7" t="n"/>
      <c r="C1691" s="39" t="n"/>
      <c r="D1691" s="39" t="n"/>
      <c r="E1691" s="7" t="n"/>
      <c r="F1691" s="7" t="n"/>
      <c r="G1691" s="7" t="n"/>
      <c r="H1691" s="39" t="n"/>
      <c r="I1691" s="39" t="n"/>
      <c r="J1691" s="39" t="n"/>
      <c r="K1691" s="39" t="n"/>
      <c r="L1691" s="39" t="n"/>
      <c r="M1691" s="7" t="n"/>
      <c r="N1691" s="7" t="n"/>
      <c r="O1691" s="40" t="n"/>
      <c r="P1691" s="40" t="n"/>
      <c r="Q1691" s="40" t="n"/>
      <c r="R1691" s="40" t="n"/>
      <c r="S1691" s="40" t="n"/>
      <c r="T1691" s="40" t="n"/>
      <c r="U1691" s="40" t="n"/>
      <c r="V1691" s="40" t="n"/>
      <c r="W1691" s="40" t="n"/>
      <c r="X1691" s="40" t="n"/>
      <c r="Y1691" s="40" t="n"/>
      <c r="Z1691" s="40" t="n"/>
      <c r="AA1691" s="39" t="n"/>
    </row>
    <row r="1692">
      <c r="A1692" s="7" t="n"/>
      <c r="B1692" s="7" t="n"/>
      <c r="C1692" s="39" t="n"/>
      <c r="D1692" s="39" t="n"/>
      <c r="E1692" s="7" t="n"/>
      <c r="F1692" s="7" t="n"/>
      <c r="G1692" s="7" t="n"/>
      <c r="H1692" s="39" t="n"/>
      <c r="I1692" s="39" t="n"/>
      <c r="J1692" s="39" t="n"/>
      <c r="K1692" s="39" t="n"/>
      <c r="L1692" s="39" t="n"/>
      <c r="M1692" s="7" t="n"/>
      <c r="N1692" s="7" t="n"/>
      <c r="O1692" s="40" t="n"/>
      <c r="P1692" s="40" t="n"/>
      <c r="Q1692" s="40" t="n"/>
      <c r="R1692" s="40" t="n"/>
      <c r="S1692" s="40" t="n"/>
      <c r="T1692" s="40" t="n"/>
      <c r="U1692" s="40" t="n"/>
      <c r="V1692" s="40" t="n"/>
      <c r="W1692" s="40" t="n"/>
      <c r="X1692" s="40" t="n"/>
      <c r="Y1692" s="40" t="n"/>
      <c r="Z1692" s="40" t="n"/>
      <c r="AA1692" s="39" t="n"/>
    </row>
    <row r="1693">
      <c r="A1693" s="7" t="n"/>
      <c r="B1693" s="7" t="n"/>
      <c r="C1693" s="39" t="n"/>
      <c r="D1693" s="39" t="n"/>
      <c r="E1693" s="7" t="n"/>
      <c r="F1693" s="7" t="n"/>
      <c r="G1693" s="7" t="n"/>
      <c r="H1693" s="39" t="n"/>
      <c r="I1693" s="39" t="n"/>
      <c r="J1693" s="39" t="n"/>
      <c r="K1693" s="39" t="n"/>
      <c r="L1693" s="39" t="n"/>
      <c r="M1693" s="7" t="n"/>
      <c r="N1693" s="7" t="n"/>
      <c r="O1693" s="40" t="n"/>
      <c r="P1693" s="40" t="n"/>
      <c r="Q1693" s="40" t="n"/>
      <c r="R1693" s="40" t="n"/>
      <c r="S1693" s="40" t="n"/>
      <c r="T1693" s="40" t="n"/>
      <c r="U1693" s="40" t="n"/>
      <c r="V1693" s="40" t="n"/>
      <c r="W1693" s="40" t="n"/>
      <c r="X1693" s="40" t="n"/>
      <c r="Y1693" s="40" t="n"/>
      <c r="Z1693" s="40" t="n"/>
      <c r="AA1693" s="39" t="n"/>
    </row>
    <row r="1694">
      <c r="A1694" s="7" t="n"/>
      <c r="B1694" s="7" t="n"/>
      <c r="C1694" s="39" t="n"/>
      <c r="D1694" s="39" t="n"/>
      <c r="E1694" s="7" t="n"/>
      <c r="F1694" s="7" t="n"/>
      <c r="G1694" s="7" t="n"/>
      <c r="H1694" s="39" t="n"/>
      <c r="I1694" s="39" t="n"/>
      <c r="J1694" s="39" t="n"/>
      <c r="K1694" s="39" t="n"/>
      <c r="L1694" s="39" t="n"/>
      <c r="M1694" s="7" t="n"/>
      <c r="N1694" s="7" t="n"/>
      <c r="O1694" s="40" t="n"/>
      <c r="P1694" s="40" t="n"/>
      <c r="Q1694" s="40" t="n"/>
      <c r="R1694" s="40" t="n"/>
      <c r="S1694" s="40" t="n"/>
      <c r="T1694" s="40" t="n"/>
      <c r="U1694" s="40" t="n"/>
      <c r="V1694" s="40" t="n"/>
      <c r="W1694" s="40" t="n"/>
      <c r="X1694" s="40" t="n"/>
      <c r="Y1694" s="40" t="n"/>
      <c r="Z1694" s="40" t="n"/>
      <c r="AA1694" s="39" t="n"/>
    </row>
    <row r="1695">
      <c r="A1695" s="7" t="n"/>
      <c r="B1695" s="7" t="n"/>
      <c r="C1695" s="39" t="n"/>
      <c r="D1695" s="39" t="n"/>
      <c r="E1695" s="7" t="n"/>
      <c r="F1695" s="7" t="n"/>
      <c r="G1695" s="7" t="n"/>
      <c r="H1695" s="39" t="n"/>
      <c r="I1695" s="39" t="n"/>
      <c r="J1695" s="39" t="n"/>
      <c r="K1695" s="39" t="n"/>
      <c r="L1695" s="39" t="n"/>
      <c r="M1695" s="7" t="n"/>
      <c r="N1695" s="7" t="n"/>
      <c r="O1695" s="40" t="n"/>
      <c r="P1695" s="40" t="n"/>
      <c r="Q1695" s="40" t="n"/>
      <c r="R1695" s="40" t="n"/>
      <c r="S1695" s="40" t="n"/>
      <c r="T1695" s="40" t="n"/>
      <c r="U1695" s="40" t="n"/>
      <c r="V1695" s="40" t="n"/>
      <c r="W1695" s="40" t="n"/>
      <c r="X1695" s="40" t="n"/>
      <c r="Y1695" s="40" t="n"/>
      <c r="Z1695" s="40" t="n"/>
      <c r="AA1695" s="39" t="n"/>
    </row>
    <row r="1696">
      <c r="A1696" s="7" t="n"/>
      <c r="B1696" s="7" t="n"/>
      <c r="C1696" s="39" t="n"/>
      <c r="D1696" s="39" t="n"/>
      <c r="E1696" s="7" t="n"/>
      <c r="F1696" s="7" t="n"/>
      <c r="G1696" s="7" t="n"/>
      <c r="H1696" s="39" t="n"/>
      <c r="I1696" s="39" t="n"/>
      <c r="J1696" s="39" t="n"/>
      <c r="K1696" s="39" t="n"/>
      <c r="L1696" s="39" t="n"/>
      <c r="M1696" s="7" t="n"/>
      <c r="N1696" s="7" t="n"/>
      <c r="O1696" s="40" t="n"/>
      <c r="P1696" s="40" t="n"/>
      <c r="Q1696" s="40" t="n"/>
      <c r="R1696" s="40" t="n"/>
      <c r="S1696" s="40" t="n"/>
      <c r="T1696" s="40" t="n"/>
      <c r="U1696" s="40" t="n"/>
      <c r="V1696" s="40" t="n"/>
      <c r="W1696" s="40" t="n"/>
      <c r="X1696" s="40" t="n"/>
      <c r="Y1696" s="40" t="n"/>
      <c r="Z1696" s="40" t="n"/>
      <c r="AA1696" s="39" t="n"/>
    </row>
    <row r="1697">
      <c r="A1697" s="7" t="n"/>
      <c r="B1697" s="7" t="n"/>
      <c r="C1697" s="39" t="n"/>
      <c r="D1697" s="39" t="n"/>
      <c r="E1697" s="7" t="n"/>
      <c r="F1697" s="7" t="n"/>
      <c r="G1697" s="7" t="n"/>
      <c r="H1697" s="39" t="n"/>
      <c r="I1697" s="39" t="n"/>
      <c r="J1697" s="39" t="n"/>
      <c r="K1697" s="39" t="n"/>
      <c r="L1697" s="39" t="n"/>
      <c r="M1697" s="7" t="n"/>
      <c r="N1697" s="7" t="n"/>
      <c r="O1697" s="40" t="n"/>
      <c r="P1697" s="40" t="n"/>
      <c r="Q1697" s="40" t="n"/>
      <c r="R1697" s="40" t="n"/>
      <c r="S1697" s="40" t="n"/>
      <c r="T1697" s="40" t="n"/>
      <c r="U1697" s="40" t="n"/>
      <c r="V1697" s="40" t="n"/>
      <c r="W1697" s="40" t="n"/>
      <c r="X1697" s="40" t="n"/>
      <c r="Y1697" s="40" t="n"/>
      <c r="Z1697" s="40" t="n"/>
      <c r="AA1697" s="39" t="n"/>
    </row>
    <row r="1698">
      <c r="A1698" s="7" t="n"/>
      <c r="B1698" s="7" t="n"/>
      <c r="C1698" s="39" t="n"/>
      <c r="D1698" s="39" t="n"/>
      <c r="E1698" s="7" t="n"/>
      <c r="F1698" s="7" t="n"/>
      <c r="G1698" s="7" t="n"/>
      <c r="H1698" s="39" t="n"/>
      <c r="I1698" s="39" t="n"/>
      <c r="J1698" s="39" t="n"/>
      <c r="K1698" s="39" t="n"/>
      <c r="L1698" s="39" t="n"/>
      <c r="M1698" s="7" t="n"/>
      <c r="N1698" s="7" t="n"/>
      <c r="O1698" s="40" t="n"/>
      <c r="P1698" s="40" t="n"/>
      <c r="Q1698" s="40" t="n"/>
      <c r="R1698" s="40" t="n"/>
      <c r="S1698" s="40" t="n"/>
      <c r="T1698" s="40" t="n"/>
      <c r="U1698" s="40" t="n"/>
      <c r="V1698" s="40" t="n"/>
      <c r="W1698" s="40" t="n"/>
      <c r="X1698" s="40" t="n"/>
      <c r="Y1698" s="40" t="n"/>
      <c r="Z1698" s="40" t="n"/>
      <c r="AA1698" s="39" t="n"/>
    </row>
    <row r="1699">
      <c r="A1699" s="7" t="n"/>
      <c r="B1699" s="7" t="n"/>
      <c r="C1699" s="39" t="n"/>
      <c r="D1699" s="39" t="n"/>
      <c r="E1699" s="7" t="n"/>
      <c r="F1699" s="7" t="n"/>
      <c r="G1699" s="7" t="n"/>
      <c r="H1699" s="39" t="n"/>
      <c r="I1699" s="39" t="n"/>
      <c r="J1699" s="39" t="n"/>
      <c r="K1699" s="39" t="n"/>
      <c r="L1699" s="39" t="n"/>
      <c r="M1699" s="7" t="n"/>
      <c r="N1699" s="7" t="n"/>
      <c r="O1699" s="40" t="n"/>
      <c r="P1699" s="40" t="n"/>
      <c r="Q1699" s="40" t="n"/>
      <c r="R1699" s="40" t="n"/>
      <c r="S1699" s="40" t="n"/>
      <c r="T1699" s="40" t="n"/>
      <c r="U1699" s="40" t="n"/>
      <c r="V1699" s="40" t="n"/>
      <c r="W1699" s="40" t="n"/>
      <c r="X1699" s="40" t="n"/>
      <c r="Y1699" s="40" t="n"/>
      <c r="Z1699" s="40" t="n"/>
      <c r="AA1699" s="39" t="n"/>
    </row>
    <row r="1700">
      <c r="A1700" s="7" t="n"/>
      <c r="B1700" s="7" t="n"/>
      <c r="C1700" s="39" t="n"/>
      <c r="D1700" s="39" t="n"/>
      <c r="E1700" s="7" t="n"/>
      <c r="F1700" s="7" t="n"/>
      <c r="G1700" s="7" t="n"/>
      <c r="H1700" s="39" t="n"/>
      <c r="I1700" s="39" t="n"/>
      <c r="J1700" s="39" t="n"/>
      <c r="K1700" s="39" t="n"/>
      <c r="L1700" s="39" t="n"/>
      <c r="M1700" s="7" t="n"/>
      <c r="N1700" s="7" t="n"/>
      <c r="O1700" s="40" t="n"/>
      <c r="P1700" s="40" t="n"/>
      <c r="Q1700" s="40" t="n"/>
      <c r="R1700" s="40" t="n"/>
      <c r="S1700" s="40" t="n"/>
      <c r="T1700" s="40" t="n"/>
      <c r="U1700" s="40" t="n"/>
      <c r="V1700" s="40" t="n"/>
      <c r="W1700" s="40" t="n"/>
      <c r="X1700" s="40" t="n"/>
      <c r="Y1700" s="40" t="n"/>
      <c r="Z1700" s="40" t="n"/>
      <c r="AA1700" s="39" t="n"/>
    </row>
    <row r="1701">
      <c r="A1701" s="7" t="n"/>
      <c r="B1701" s="7" t="n"/>
      <c r="C1701" s="39" t="n"/>
      <c r="D1701" s="39" t="n"/>
      <c r="E1701" s="7" t="n"/>
      <c r="F1701" s="7" t="n"/>
      <c r="G1701" s="7" t="n"/>
      <c r="H1701" s="39" t="n"/>
      <c r="I1701" s="39" t="n"/>
      <c r="J1701" s="39" t="n"/>
      <c r="K1701" s="39" t="n"/>
      <c r="L1701" s="39" t="n"/>
      <c r="M1701" s="7" t="n"/>
      <c r="N1701" s="7" t="n"/>
      <c r="O1701" s="40" t="n"/>
      <c r="P1701" s="40" t="n"/>
      <c r="Q1701" s="40" t="n"/>
      <c r="R1701" s="40" t="n"/>
      <c r="S1701" s="40" t="n"/>
      <c r="T1701" s="40" t="n"/>
      <c r="U1701" s="40" t="n"/>
      <c r="V1701" s="40" t="n"/>
      <c r="W1701" s="40" t="n"/>
      <c r="X1701" s="40" t="n"/>
      <c r="Y1701" s="40" t="n"/>
      <c r="Z1701" s="40" t="n"/>
      <c r="AA1701" s="39" t="n"/>
    </row>
    <row r="1702">
      <c r="A1702" s="7" t="n"/>
      <c r="B1702" s="7" t="n"/>
      <c r="C1702" s="39" t="n"/>
      <c r="D1702" s="39" t="n"/>
      <c r="E1702" s="7" t="n"/>
      <c r="F1702" s="7" t="n"/>
      <c r="G1702" s="7" t="n"/>
      <c r="H1702" s="39" t="n"/>
      <c r="I1702" s="39" t="n"/>
      <c r="J1702" s="39" t="n"/>
      <c r="K1702" s="39" t="n"/>
      <c r="L1702" s="39" t="n"/>
      <c r="M1702" s="7" t="n"/>
      <c r="N1702" s="7" t="n"/>
      <c r="O1702" s="40" t="n"/>
      <c r="P1702" s="40" t="n"/>
      <c r="Q1702" s="40" t="n"/>
      <c r="R1702" s="40" t="n"/>
      <c r="S1702" s="40" t="n"/>
      <c r="T1702" s="40" t="n"/>
      <c r="U1702" s="40" t="n"/>
      <c r="V1702" s="40" t="n"/>
      <c r="W1702" s="40" t="n"/>
      <c r="X1702" s="40" t="n"/>
      <c r="Y1702" s="40" t="n"/>
      <c r="Z1702" s="40" t="n"/>
      <c r="AA1702" s="39" t="n"/>
    </row>
    <row r="1703">
      <c r="A1703" s="7" t="n"/>
      <c r="B1703" s="7" t="n"/>
      <c r="C1703" s="39" t="n"/>
      <c r="D1703" s="39" t="n"/>
      <c r="E1703" s="7" t="n"/>
      <c r="F1703" s="7" t="n"/>
      <c r="G1703" s="7" t="n"/>
      <c r="H1703" s="39" t="n"/>
      <c r="I1703" s="39" t="n"/>
      <c r="J1703" s="39" t="n"/>
      <c r="K1703" s="39" t="n"/>
      <c r="L1703" s="39" t="n"/>
      <c r="M1703" s="7" t="n"/>
      <c r="N1703" s="7" t="n"/>
      <c r="O1703" s="40" t="n"/>
      <c r="P1703" s="40" t="n"/>
      <c r="Q1703" s="40" t="n"/>
      <c r="R1703" s="40" t="n"/>
      <c r="S1703" s="40" t="n"/>
      <c r="T1703" s="40" t="n"/>
      <c r="U1703" s="40" t="n"/>
      <c r="V1703" s="40" t="n"/>
      <c r="W1703" s="40" t="n"/>
      <c r="X1703" s="40" t="n"/>
      <c r="Y1703" s="40" t="n"/>
      <c r="Z1703" s="40" t="n"/>
      <c r="AA1703" s="39" t="n"/>
    </row>
    <row r="1704">
      <c r="A1704" s="7" t="n"/>
      <c r="B1704" s="7" t="n"/>
      <c r="C1704" s="39" t="n"/>
      <c r="D1704" s="39" t="n"/>
      <c r="E1704" s="7" t="n"/>
      <c r="F1704" s="7" t="n"/>
      <c r="G1704" s="7" t="n"/>
      <c r="H1704" s="39" t="n"/>
      <c r="I1704" s="39" t="n"/>
      <c r="J1704" s="39" t="n"/>
      <c r="K1704" s="39" t="n"/>
      <c r="L1704" s="39" t="n"/>
      <c r="M1704" s="7" t="n"/>
      <c r="N1704" s="7" t="n"/>
      <c r="O1704" s="40" t="n"/>
      <c r="P1704" s="40" t="n"/>
      <c r="Q1704" s="40" t="n"/>
      <c r="R1704" s="40" t="n"/>
      <c r="S1704" s="40" t="n"/>
      <c r="T1704" s="40" t="n"/>
      <c r="U1704" s="40" t="n"/>
      <c r="V1704" s="40" t="n"/>
      <c r="W1704" s="40" t="n"/>
      <c r="X1704" s="40" t="n"/>
      <c r="Y1704" s="40" t="n"/>
      <c r="Z1704" s="40" t="n"/>
      <c r="AA1704" s="39" t="n"/>
    </row>
    <row r="1705">
      <c r="A1705" s="7" t="n"/>
      <c r="B1705" s="7" t="n"/>
      <c r="C1705" s="39" t="n"/>
      <c r="D1705" s="39" t="n"/>
      <c r="E1705" s="7" t="n"/>
      <c r="F1705" s="7" t="n"/>
      <c r="G1705" s="7" t="n"/>
      <c r="H1705" s="39" t="n"/>
      <c r="I1705" s="39" t="n"/>
      <c r="J1705" s="39" t="n"/>
      <c r="K1705" s="39" t="n"/>
      <c r="L1705" s="39" t="n"/>
      <c r="M1705" s="7" t="n"/>
      <c r="N1705" s="7" t="n"/>
      <c r="O1705" s="40" t="n"/>
      <c r="P1705" s="40" t="n"/>
      <c r="Q1705" s="40" t="n"/>
      <c r="R1705" s="40" t="n"/>
      <c r="S1705" s="40" t="n"/>
      <c r="T1705" s="40" t="n"/>
      <c r="U1705" s="40" t="n"/>
      <c r="V1705" s="40" t="n"/>
      <c r="W1705" s="40" t="n"/>
      <c r="X1705" s="40" t="n"/>
      <c r="Y1705" s="40" t="n"/>
      <c r="Z1705" s="40" t="n"/>
      <c r="AA1705" s="39" t="n"/>
    </row>
    <row r="1706">
      <c r="A1706" s="7" t="n"/>
      <c r="B1706" s="7" t="n"/>
      <c r="C1706" s="39" t="n"/>
      <c r="D1706" s="39" t="n"/>
      <c r="E1706" s="7" t="n"/>
      <c r="F1706" s="7" t="n"/>
      <c r="G1706" s="7" t="n"/>
      <c r="H1706" s="39" t="n"/>
      <c r="I1706" s="39" t="n"/>
      <c r="J1706" s="39" t="n"/>
      <c r="K1706" s="39" t="n"/>
      <c r="L1706" s="39" t="n"/>
      <c r="M1706" s="7" t="n"/>
      <c r="N1706" s="7" t="n"/>
      <c r="O1706" s="40" t="n"/>
      <c r="P1706" s="40" t="n"/>
      <c r="Q1706" s="40" t="n"/>
      <c r="R1706" s="40" t="n"/>
      <c r="S1706" s="40" t="n"/>
      <c r="T1706" s="40" t="n"/>
      <c r="U1706" s="40" t="n"/>
      <c r="V1706" s="40" t="n"/>
      <c r="W1706" s="40" t="n"/>
      <c r="X1706" s="40" t="n"/>
      <c r="Y1706" s="40" t="n"/>
      <c r="Z1706" s="40" t="n"/>
      <c r="AA1706" s="39" t="n"/>
    </row>
    <row r="1707">
      <c r="A1707" s="7" t="n"/>
      <c r="B1707" s="7" t="n"/>
      <c r="C1707" s="39" t="n"/>
      <c r="D1707" s="39" t="n"/>
      <c r="E1707" s="7" t="n"/>
      <c r="F1707" s="7" t="n"/>
      <c r="G1707" s="7" t="n"/>
      <c r="H1707" s="39" t="n"/>
      <c r="I1707" s="39" t="n"/>
      <c r="J1707" s="39" t="n"/>
      <c r="K1707" s="39" t="n"/>
      <c r="L1707" s="39" t="n"/>
      <c r="M1707" s="7" t="n"/>
      <c r="N1707" s="7" t="n"/>
      <c r="O1707" s="40" t="n"/>
      <c r="P1707" s="40" t="n"/>
      <c r="Q1707" s="40" t="n"/>
      <c r="R1707" s="40" t="n"/>
      <c r="S1707" s="40" t="n"/>
      <c r="T1707" s="40" t="n"/>
      <c r="U1707" s="40" t="n"/>
      <c r="V1707" s="40" t="n"/>
      <c r="W1707" s="40" t="n"/>
      <c r="X1707" s="40" t="n"/>
      <c r="Y1707" s="40" t="n"/>
      <c r="Z1707" s="40" t="n"/>
      <c r="AA1707" s="39" t="n"/>
    </row>
    <row r="1708">
      <c r="A1708" s="7" t="n"/>
      <c r="B1708" s="7" t="n"/>
      <c r="C1708" s="39" t="n"/>
      <c r="D1708" s="39" t="n"/>
      <c r="E1708" s="7" t="n"/>
      <c r="F1708" s="7" t="n"/>
      <c r="G1708" s="7" t="n"/>
      <c r="H1708" s="39" t="n"/>
      <c r="I1708" s="39" t="n"/>
      <c r="J1708" s="39" t="n"/>
      <c r="K1708" s="39" t="n"/>
      <c r="L1708" s="39" t="n"/>
      <c r="M1708" s="7" t="n"/>
      <c r="N1708" s="7" t="n"/>
      <c r="O1708" s="40" t="n"/>
      <c r="P1708" s="40" t="n"/>
      <c r="Q1708" s="40" t="n"/>
      <c r="R1708" s="40" t="n"/>
      <c r="S1708" s="40" t="n"/>
      <c r="T1708" s="40" t="n"/>
      <c r="U1708" s="40" t="n"/>
      <c r="V1708" s="40" t="n"/>
      <c r="W1708" s="40" t="n"/>
      <c r="X1708" s="40" t="n"/>
      <c r="Y1708" s="40" t="n"/>
      <c r="Z1708" s="40" t="n"/>
      <c r="AA1708" s="39" t="n"/>
    </row>
    <row r="1709">
      <c r="A1709" s="7" t="n"/>
      <c r="B1709" s="7" t="n"/>
      <c r="C1709" s="39" t="n"/>
      <c r="D1709" s="39" t="n"/>
      <c r="E1709" s="7" t="n"/>
      <c r="F1709" s="7" t="n"/>
      <c r="G1709" s="7" t="n"/>
      <c r="H1709" s="39" t="n"/>
      <c r="I1709" s="39" t="n"/>
      <c r="J1709" s="39" t="n"/>
      <c r="K1709" s="39" t="n"/>
      <c r="L1709" s="39" t="n"/>
      <c r="M1709" s="7" t="n"/>
      <c r="N1709" s="7" t="n"/>
      <c r="O1709" s="40" t="n"/>
      <c r="P1709" s="40" t="n"/>
      <c r="Q1709" s="40" t="n"/>
      <c r="R1709" s="40" t="n"/>
      <c r="S1709" s="40" t="n"/>
      <c r="T1709" s="40" t="n"/>
      <c r="U1709" s="40" t="n"/>
      <c r="V1709" s="40" t="n"/>
      <c r="W1709" s="40" t="n"/>
      <c r="X1709" s="40" t="n"/>
      <c r="Y1709" s="40" t="n"/>
      <c r="Z1709" s="40" t="n"/>
      <c r="AA1709" s="39" t="n"/>
    </row>
    <row r="1710">
      <c r="A1710" s="7" t="n"/>
      <c r="B1710" s="7" t="n"/>
      <c r="C1710" s="39" t="n"/>
      <c r="D1710" s="39" t="n"/>
      <c r="E1710" s="7" t="n"/>
      <c r="F1710" s="7" t="n"/>
      <c r="G1710" s="7" t="n"/>
      <c r="H1710" s="39" t="n"/>
      <c r="I1710" s="39" t="n"/>
      <c r="J1710" s="39" t="n"/>
      <c r="K1710" s="39" t="n"/>
      <c r="L1710" s="39" t="n"/>
      <c r="M1710" s="7" t="n"/>
      <c r="N1710" s="7" t="n"/>
      <c r="O1710" s="40" t="n"/>
      <c r="P1710" s="40" t="n"/>
      <c r="Q1710" s="40" t="n"/>
      <c r="R1710" s="40" t="n"/>
      <c r="S1710" s="40" t="n"/>
      <c r="T1710" s="40" t="n"/>
      <c r="U1710" s="40" t="n"/>
      <c r="V1710" s="40" t="n"/>
      <c r="W1710" s="40" t="n"/>
      <c r="X1710" s="40" t="n"/>
      <c r="Y1710" s="40" t="n"/>
      <c r="Z1710" s="40" t="n"/>
      <c r="AA1710" s="39" t="n"/>
    </row>
    <row r="1711">
      <c r="A1711" s="7" t="n"/>
      <c r="B1711" s="7" t="n"/>
      <c r="C1711" s="39" t="n"/>
      <c r="D1711" s="39" t="n"/>
      <c r="E1711" s="7" t="n"/>
      <c r="F1711" s="7" t="n"/>
      <c r="G1711" s="7" t="n"/>
      <c r="H1711" s="39" t="n"/>
      <c r="I1711" s="39" t="n"/>
      <c r="J1711" s="39" t="n"/>
      <c r="K1711" s="39" t="n"/>
      <c r="L1711" s="39" t="n"/>
      <c r="M1711" s="7" t="n"/>
      <c r="N1711" s="7" t="n"/>
      <c r="O1711" s="40" t="n"/>
      <c r="P1711" s="40" t="n"/>
      <c r="Q1711" s="40" t="n"/>
      <c r="R1711" s="40" t="n"/>
      <c r="S1711" s="40" t="n"/>
      <c r="T1711" s="40" t="n"/>
      <c r="U1711" s="40" t="n"/>
      <c r="V1711" s="40" t="n"/>
      <c r="W1711" s="40" t="n"/>
      <c r="X1711" s="40" t="n"/>
      <c r="Y1711" s="40" t="n"/>
      <c r="Z1711" s="40" t="n"/>
      <c r="AA1711" s="39" t="n"/>
    </row>
    <row r="1712">
      <c r="A1712" s="7" t="n"/>
      <c r="B1712" s="7" t="n"/>
      <c r="C1712" s="39" t="n"/>
      <c r="D1712" s="39" t="n"/>
      <c r="E1712" s="7" t="n"/>
      <c r="F1712" s="7" t="n"/>
      <c r="G1712" s="7" t="n"/>
      <c r="H1712" s="39" t="n"/>
      <c r="I1712" s="39" t="n"/>
      <c r="J1712" s="39" t="n"/>
      <c r="K1712" s="39" t="n"/>
      <c r="L1712" s="39" t="n"/>
      <c r="M1712" s="7" t="n"/>
      <c r="N1712" s="7" t="n"/>
      <c r="O1712" s="40" t="n"/>
      <c r="P1712" s="40" t="n"/>
      <c r="Q1712" s="40" t="n"/>
      <c r="R1712" s="40" t="n"/>
      <c r="S1712" s="40" t="n"/>
      <c r="T1712" s="40" t="n"/>
      <c r="U1712" s="40" t="n"/>
      <c r="V1712" s="40" t="n"/>
      <c r="W1712" s="40" t="n"/>
      <c r="X1712" s="40" t="n"/>
      <c r="Y1712" s="40" t="n"/>
      <c r="Z1712" s="40" t="n"/>
      <c r="AA1712" s="39" t="n"/>
    </row>
    <row r="1713">
      <c r="A1713" s="7" t="n"/>
      <c r="B1713" s="7" t="n"/>
      <c r="C1713" s="39" t="n"/>
      <c r="D1713" s="39" t="n"/>
      <c r="E1713" s="7" t="n"/>
      <c r="F1713" s="7" t="n"/>
      <c r="G1713" s="7" t="n"/>
      <c r="H1713" s="39" t="n"/>
      <c r="I1713" s="39" t="n"/>
      <c r="J1713" s="39" t="n"/>
      <c r="K1713" s="39" t="n"/>
      <c r="L1713" s="39" t="n"/>
      <c r="M1713" s="7" t="n"/>
      <c r="N1713" s="7" t="n"/>
      <c r="O1713" s="40" t="n"/>
      <c r="P1713" s="40" t="n"/>
      <c r="Q1713" s="40" t="n"/>
      <c r="R1713" s="40" t="n"/>
      <c r="S1713" s="40" t="n"/>
      <c r="T1713" s="40" t="n"/>
      <c r="U1713" s="40" t="n"/>
      <c r="V1713" s="40" t="n"/>
      <c r="W1713" s="40" t="n"/>
      <c r="X1713" s="40" t="n"/>
      <c r="Y1713" s="40" t="n"/>
      <c r="Z1713" s="40" t="n"/>
      <c r="AA1713" s="39" t="n"/>
    </row>
    <row r="1714">
      <c r="A1714" s="7" t="n"/>
      <c r="B1714" s="7" t="n"/>
      <c r="C1714" s="39" t="n"/>
      <c r="D1714" s="39" t="n"/>
      <c r="E1714" s="7" t="n"/>
      <c r="F1714" s="7" t="n"/>
      <c r="G1714" s="7" t="n"/>
      <c r="H1714" s="39" t="n"/>
      <c r="I1714" s="39" t="n"/>
      <c r="J1714" s="39" t="n"/>
      <c r="K1714" s="39" t="n"/>
      <c r="L1714" s="39" t="n"/>
      <c r="M1714" s="7" t="n"/>
      <c r="N1714" s="7" t="n"/>
      <c r="O1714" s="40" t="n"/>
      <c r="P1714" s="40" t="n"/>
      <c r="Q1714" s="40" t="n"/>
      <c r="R1714" s="40" t="n"/>
      <c r="S1714" s="40" t="n"/>
      <c r="T1714" s="40" t="n"/>
      <c r="U1714" s="40" t="n"/>
      <c r="V1714" s="40" t="n"/>
      <c r="W1714" s="40" t="n"/>
      <c r="X1714" s="40" t="n"/>
      <c r="Y1714" s="40" t="n"/>
      <c r="Z1714" s="40" t="n"/>
      <c r="AA1714" s="39" t="n"/>
    </row>
    <row r="1715">
      <c r="A1715" s="7" t="n"/>
      <c r="B1715" s="7" t="n"/>
      <c r="C1715" s="39" t="n"/>
      <c r="D1715" s="39" t="n"/>
      <c r="E1715" s="7" t="n"/>
      <c r="F1715" s="7" t="n"/>
      <c r="G1715" s="7" t="n"/>
      <c r="H1715" s="39" t="n"/>
      <c r="I1715" s="39" t="n"/>
      <c r="J1715" s="39" t="n"/>
      <c r="K1715" s="39" t="n"/>
      <c r="L1715" s="39" t="n"/>
      <c r="M1715" s="7" t="n"/>
      <c r="N1715" s="7" t="n"/>
      <c r="O1715" s="40" t="n"/>
      <c r="P1715" s="40" t="n"/>
      <c r="Q1715" s="40" t="n"/>
      <c r="R1715" s="40" t="n"/>
      <c r="S1715" s="40" t="n"/>
      <c r="T1715" s="40" t="n"/>
      <c r="U1715" s="40" t="n"/>
      <c r="V1715" s="40" t="n"/>
      <c r="W1715" s="40" t="n"/>
      <c r="X1715" s="40" t="n"/>
      <c r="Y1715" s="40" t="n"/>
      <c r="Z1715" s="40" t="n"/>
      <c r="AA1715" s="39" t="n"/>
    </row>
    <row r="1716">
      <c r="A1716" s="7" t="n"/>
      <c r="B1716" s="7" t="n"/>
      <c r="C1716" s="39" t="n"/>
      <c r="D1716" s="39" t="n"/>
      <c r="E1716" s="7" t="n"/>
      <c r="F1716" s="7" t="n"/>
      <c r="G1716" s="7" t="n"/>
      <c r="H1716" s="39" t="n"/>
      <c r="I1716" s="39" t="n"/>
      <c r="J1716" s="39" t="n"/>
      <c r="K1716" s="39" t="n"/>
      <c r="L1716" s="39" t="n"/>
      <c r="M1716" s="7" t="n"/>
      <c r="N1716" s="7" t="n"/>
      <c r="O1716" s="40" t="n"/>
      <c r="P1716" s="40" t="n"/>
      <c r="Q1716" s="40" t="n"/>
      <c r="R1716" s="40" t="n"/>
      <c r="S1716" s="40" t="n"/>
      <c r="T1716" s="40" t="n"/>
      <c r="U1716" s="40" t="n"/>
      <c r="V1716" s="40" t="n"/>
      <c r="W1716" s="40" t="n"/>
      <c r="X1716" s="40" t="n"/>
      <c r="Y1716" s="40" t="n"/>
      <c r="Z1716" s="40" t="n"/>
      <c r="AA1716" s="39" t="n"/>
    </row>
    <row r="1717">
      <c r="A1717" s="7" t="n"/>
      <c r="B1717" s="7" t="n"/>
      <c r="C1717" s="39" t="n"/>
      <c r="D1717" s="39" t="n"/>
      <c r="E1717" s="7" t="n"/>
      <c r="F1717" s="7" t="n"/>
      <c r="G1717" s="7" t="n"/>
      <c r="H1717" s="39" t="n"/>
      <c r="I1717" s="39" t="n"/>
      <c r="J1717" s="39" t="n"/>
      <c r="K1717" s="39" t="n"/>
      <c r="L1717" s="39" t="n"/>
      <c r="M1717" s="7" t="n"/>
      <c r="N1717" s="7" t="n"/>
      <c r="O1717" s="40" t="n"/>
      <c r="P1717" s="40" t="n"/>
      <c r="Q1717" s="40" t="n"/>
      <c r="R1717" s="40" t="n"/>
      <c r="S1717" s="40" t="n"/>
      <c r="T1717" s="40" t="n"/>
      <c r="U1717" s="40" t="n"/>
      <c r="V1717" s="40" t="n"/>
      <c r="W1717" s="40" t="n"/>
      <c r="X1717" s="40" t="n"/>
      <c r="Y1717" s="40" t="n"/>
      <c r="Z1717" s="40" t="n"/>
      <c r="AA1717" s="39" t="n"/>
    </row>
    <row r="1718">
      <c r="A1718" s="7" t="n"/>
      <c r="B1718" s="7" t="n"/>
      <c r="C1718" s="39" t="n"/>
      <c r="D1718" s="39" t="n"/>
      <c r="E1718" s="7" t="n"/>
      <c r="F1718" s="7" t="n"/>
      <c r="G1718" s="7" t="n"/>
      <c r="H1718" s="39" t="n"/>
      <c r="I1718" s="39" t="n"/>
      <c r="J1718" s="39" t="n"/>
      <c r="K1718" s="39" t="n"/>
      <c r="L1718" s="39" t="n"/>
      <c r="M1718" s="7" t="n"/>
      <c r="N1718" s="7" t="n"/>
      <c r="O1718" s="40" t="n"/>
      <c r="P1718" s="40" t="n"/>
      <c r="Q1718" s="40" t="n"/>
      <c r="R1718" s="40" t="n"/>
      <c r="S1718" s="40" t="n"/>
      <c r="T1718" s="40" t="n"/>
      <c r="U1718" s="40" t="n"/>
      <c r="V1718" s="40" t="n"/>
      <c r="W1718" s="40" t="n"/>
      <c r="X1718" s="40" t="n"/>
      <c r="Y1718" s="40" t="n"/>
      <c r="Z1718" s="40" t="n"/>
      <c r="AA1718" s="39" t="n"/>
    </row>
    <row r="1719">
      <c r="A1719" s="7" t="n"/>
      <c r="B1719" s="7" t="n"/>
      <c r="C1719" s="39" t="n"/>
      <c r="D1719" s="39" t="n"/>
      <c r="E1719" s="7" t="n"/>
      <c r="F1719" s="7" t="n"/>
      <c r="G1719" s="7" t="n"/>
      <c r="H1719" s="39" t="n"/>
      <c r="I1719" s="39" t="n"/>
      <c r="J1719" s="39" t="n"/>
      <c r="K1719" s="39" t="n"/>
      <c r="L1719" s="39" t="n"/>
      <c r="M1719" s="7" t="n"/>
      <c r="N1719" s="7" t="n"/>
      <c r="O1719" s="40" t="n"/>
      <c r="P1719" s="40" t="n"/>
      <c r="Q1719" s="40" t="n"/>
      <c r="R1719" s="40" t="n"/>
      <c r="S1719" s="40" t="n"/>
      <c r="T1719" s="40" t="n"/>
      <c r="U1719" s="40" t="n"/>
      <c r="V1719" s="40" t="n"/>
      <c r="W1719" s="40" t="n"/>
      <c r="X1719" s="40" t="n"/>
      <c r="Y1719" s="40" t="n"/>
      <c r="Z1719" s="40" t="n"/>
      <c r="AA1719" s="39" t="n"/>
    </row>
    <row r="1720">
      <c r="A1720" s="7" t="n"/>
      <c r="B1720" s="7" t="n"/>
      <c r="C1720" s="39" t="n"/>
      <c r="D1720" s="39" t="n"/>
      <c r="E1720" s="7" t="n"/>
      <c r="F1720" s="7" t="n"/>
      <c r="G1720" s="7" t="n"/>
      <c r="H1720" s="39" t="n"/>
      <c r="I1720" s="39" t="n"/>
      <c r="J1720" s="39" t="n"/>
      <c r="K1720" s="39" t="n"/>
      <c r="L1720" s="39" t="n"/>
      <c r="M1720" s="7" t="n"/>
      <c r="N1720" s="7" t="n"/>
      <c r="O1720" s="40" t="n"/>
      <c r="P1720" s="40" t="n"/>
      <c r="Q1720" s="40" t="n"/>
      <c r="R1720" s="40" t="n"/>
      <c r="S1720" s="40" t="n"/>
      <c r="T1720" s="40" t="n"/>
      <c r="U1720" s="40" t="n"/>
      <c r="V1720" s="40" t="n"/>
      <c r="W1720" s="40" t="n"/>
      <c r="X1720" s="40" t="n"/>
      <c r="Y1720" s="40" t="n"/>
      <c r="Z1720" s="40" t="n"/>
      <c r="AA1720" s="39" t="n"/>
    </row>
    <row r="1721">
      <c r="A1721" s="7" t="n"/>
      <c r="B1721" s="7" t="n"/>
      <c r="C1721" s="39" t="n"/>
      <c r="D1721" s="39" t="n"/>
      <c r="E1721" s="7" t="n"/>
      <c r="F1721" s="7" t="n"/>
      <c r="G1721" s="7" t="n"/>
      <c r="H1721" s="39" t="n"/>
      <c r="I1721" s="39" t="n"/>
      <c r="J1721" s="39" t="n"/>
      <c r="K1721" s="39" t="n"/>
      <c r="L1721" s="39" t="n"/>
      <c r="M1721" s="7" t="n"/>
      <c r="N1721" s="7" t="n"/>
      <c r="O1721" s="40" t="n"/>
      <c r="P1721" s="40" t="n"/>
      <c r="Q1721" s="40" t="n"/>
      <c r="R1721" s="40" t="n"/>
      <c r="S1721" s="40" t="n"/>
      <c r="T1721" s="40" t="n"/>
      <c r="U1721" s="40" t="n"/>
      <c r="V1721" s="40" t="n"/>
      <c r="W1721" s="40" t="n"/>
      <c r="X1721" s="40" t="n"/>
      <c r="Y1721" s="40" t="n"/>
      <c r="Z1721" s="40" t="n"/>
      <c r="AA1721" s="39" t="n"/>
    </row>
    <row r="1722">
      <c r="A1722" s="7" t="n"/>
      <c r="B1722" s="7" t="n"/>
      <c r="C1722" s="39" t="n"/>
      <c r="D1722" s="39" t="n"/>
      <c r="E1722" s="7" t="n"/>
      <c r="F1722" s="7" t="n"/>
      <c r="G1722" s="7" t="n"/>
      <c r="H1722" s="39" t="n"/>
      <c r="I1722" s="39" t="n"/>
      <c r="J1722" s="39" t="n"/>
      <c r="K1722" s="39" t="n"/>
      <c r="L1722" s="39" t="n"/>
      <c r="M1722" s="7" t="n"/>
      <c r="N1722" s="7" t="n"/>
      <c r="O1722" s="40" t="n"/>
      <c r="P1722" s="40" t="n"/>
      <c r="Q1722" s="40" t="n"/>
      <c r="R1722" s="40" t="n"/>
      <c r="S1722" s="40" t="n"/>
      <c r="T1722" s="40" t="n"/>
      <c r="U1722" s="40" t="n"/>
      <c r="V1722" s="40" t="n"/>
      <c r="W1722" s="40" t="n"/>
      <c r="X1722" s="40" t="n"/>
      <c r="Y1722" s="40" t="n"/>
      <c r="Z1722" s="40" t="n"/>
      <c r="AA1722" s="39" t="n"/>
    </row>
    <row r="1723">
      <c r="A1723" s="7" t="n"/>
      <c r="B1723" s="7" t="n"/>
      <c r="C1723" s="39" t="n"/>
      <c r="D1723" s="39" t="n"/>
      <c r="E1723" s="7" t="n"/>
      <c r="F1723" s="7" t="n"/>
      <c r="G1723" s="7" t="n"/>
      <c r="H1723" s="39" t="n"/>
      <c r="I1723" s="39" t="n"/>
      <c r="J1723" s="39" t="n"/>
      <c r="K1723" s="39" t="n"/>
      <c r="L1723" s="39" t="n"/>
      <c r="M1723" s="7" t="n"/>
      <c r="N1723" s="7" t="n"/>
      <c r="O1723" s="40" t="n"/>
      <c r="P1723" s="40" t="n"/>
      <c r="Q1723" s="40" t="n"/>
      <c r="R1723" s="40" t="n"/>
      <c r="S1723" s="40" t="n"/>
      <c r="T1723" s="40" t="n"/>
      <c r="U1723" s="40" t="n"/>
      <c r="V1723" s="40" t="n"/>
      <c r="W1723" s="40" t="n"/>
      <c r="X1723" s="40" t="n"/>
      <c r="Y1723" s="40" t="n"/>
      <c r="Z1723" s="40" t="n"/>
      <c r="AA1723" s="39" t="n"/>
    </row>
    <row r="1724">
      <c r="A1724" s="7" t="n"/>
      <c r="B1724" s="7" t="n"/>
      <c r="C1724" s="39" t="n"/>
      <c r="D1724" s="39" t="n"/>
      <c r="E1724" s="7" t="n"/>
      <c r="F1724" s="7" t="n"/>
      <c r="G1724" s="7" t="n"/>
      <c r="H1724" s="39" t="n"/>
      <c r="I1724" s="39" t="n"/>
      <c r="J1724" s="39" t="n"/>
      <c r="K1724" s="39" t="n"/>
      <c r="L1724" s="39" t="n"/>
      <c r="M1724" s="7" t="n"/>
      <c r="N1724" s="7" t="n"/>
      <c r="O1724" s="40" t="n"/>
      <c r="P1724" s="40" t="n"/>
      <c r="Q1724" s="40" t="n"/>
      <c r="R1724" s="40" t="n"/>
      <c r="S1724" s="40" t="n"/>
      <c r="T1724" s="40" t="n"/>
      <c r="U1724" s="40" t="n"/>
      <c r="V1724" s="40" t="n"/>
      <c r="W1724" s="40" t="n"/>
      <c r="X1724" s="40" t="n"/>
      <c r="Y1724" s="40" t="n"/>
      <c r="Z1724" s="40" t="n"/>
      <c r="AA1724" s="39" t="n"/>
    </row>
    <row r="1725">
      <c r="A1725" s="7" t="n"/>
      <c r="B1725" s="7" t="n"/>
      <c r="C1725" s="39" t="n"/>
      <c r="D1725" s="39" t="n"/>
      <c r="E1725" s="7" t="n"/>
      <c r="F1725" s="7" t="n"/>
      <c r="G1725" s="7" t="n"/>
      <c r="H1725" s="39" t="n"/>
      <c r="I1725" s="39" t="n"/>
      <c r="J1725" s="39" t="n"/>
      <c r="K1725" s="39" t="n"/>
      <c r="L1725" s="39" t="n"/>
      <c r="M1725" s="7" t="n"/>
      <c r="N1725" s="7" t="n"/>
      <c r="O1725" s="40" t="n"/>
      <c r="P1725" s="40" t="n"/>
      <c r="Q1725" s="40" t="n"/>
      <c r="R1725" s="40" t="n"/>
      <c r="S1725" s="40" t="n"/>
      <c r="T1725" s="40" t="n"/>
      <c r="U1725" s="40" t="n"/>
      <c r="V1725" s="40" t="n"/>
      <c r="W1725" s="40" t="n"/>
      <c r="X1725" s="40" t="n"/>
      <c r="Y1725" s="40" t="n"/>
      <c r="Z1725" s="40" t="n"/>
      <c r="AA1725" s="39" t="n"/>
    </row>
    <row r="1726">
      <c r="A1726" s="7" t="n"/>
      <c r="B1726" s="7" t="n"/>
      <c r="C1726" s="39" t="n"/>
      <c r="D1726" s="39" t="n"/>
      <c r="E1726" s="7" t="n"/>
      <c r="F1726" s="7" t="n"/>
      <c r="G1726" s="7" t="n"/>
      <c r="H1726" s="39" t="n"/>
      <c r="I1726" s="39" t="n"/>
      <c r="J1726" s="39" t="n"/>
      <c r="K1726" s="39" t="n"/>
      <c r="L1726" s="39" t="n"/>
      <c r="M1726" s="7" t="n"/>
      <c r="N1726" s="7" t="n"/>
      <c r="O1726" s="40" t="n"/>
      <c r="P1726" s="40" t="n"/>
      <c r="Q1726" s="40" t="n"/>
      <c r="R1726" s="40" t="n"/>
      <c r="S1726" s="40" t="n"/>
      <c r="T1726" s="40" t="n"/>
      <c r="U1726" s="40" t="n"/>
      <c r="V1726" s="40" t="n"/>
      <c r="W1726" s="40" t="n"/>
      <c r="X1726" s="40" t="n"/>
      <c r="Y1726" s="40" t="n"/>
      <c r="Z1726" s="40" t="n"/>
      <c r="AA1726" s="39" t="n"/>
    </row>
    <row r="1727">
      <c r="A1727" s="7" t="n"/>
      <c r="B1727" s="7" t="n"/>
      <c r="C1727" s="39" t="n"/>
      <c r="D1727" s="39" t="n"/>
      <c r="E1727" s="7" t="n"/>
      <c r="F1727" s="7" t="n"/>
      <c r="G1727" s="7" t="n"/>
      <c r="H1727" s="39" t="n"/>
      <c r="I1727" s="39" t="n"/>
      <c r="J1727" s="39" t="n"/>
      <c r="K1727" s="39" t="n"/>
      <c r="L1727" s="39" t="n"/>
      <c r="M1727" s="7" t="n"/>
      <c r="N1727" s="7" t="n"/>
      <c r="O1727" s="40" t="n"/>
      <c r="P1727" s="40" t="n"/>
      <c r="Q1727" s="40" t="n"/>
      <c r="R1727" s="40" t="n"/>
      <c r="S1727" s="40" t="n"/>
      <c r="T1727" s="40" t="n"/>
      <c r="U1727" s="40" t="n"/>
      <c r="V1727" s="40" t="n"/>
      <c r="W1727" s="40" t="n"/>
      <c r="X1727" s="40" t="n"/>
      <c r="Y1727" s="40" t="n"/>
      <c r="Z1727" s="40" t="n"/>
      <c r="AA1727" s="39" t="n"/>
    </row>
    <row r="1728">
      <c r="A1728" s="7" t="n"/>
      <c r="B1728" s="7" t="n"/>
      <c r="C1728" s="39" t="n"/>
      <c r="D1728" s="39" t="n"/>
      <c r="E1728" s="7" t="n"/>
      <c r="F1728" s="7" t="n"/>
      <c r="G1728" s="7" t="n"/>
      <c r="H1728" s="39" t="n"/>
      <c r="I1728" s="39" t="n"/>
      <c r="J1728" s="39" t="n"/>
      <c r="K1728" s="39" t="n"/>
      <c r="L1728" s="39" t="n"/>
      <c r="M1728" s="7" t="n"/>
      <c r="N1728" s="7" t="n"/>
      <c r="O1728" s="40" t="n"/>
      <c r="P1728" s="40" t="n"/>
      <c r="Q1728" s="40" t="n"/>
      <c r="R1728" s="40" t="n"/>
      <c r="S1728" s="40" t="n"/>
      <c r="T1728" s="40" t="n"/>
      <c r="U1728" s="40" t="n"/>
      <c r="V1728" s="40" t="n"/>
      <c r="W1728" s="40" t="n"/>
      <c r="X1728" s="40" t="n"/>
      <c r="Y1728" s="40" t="n"/>
      <c r="Z1728" s="40" t="n"/>
      <c r="AA1728" s="39" t="n"/>
    </row>
    <row r="1729">
      <c r="A1729" s="7" t="n"/>
      <c r="B1729" s="7" t="n"/>
      <c r="C1729" s="39" t="n"/>
      <c r="D1729" s="39" t="n"/>
      <c r="E1729" s="7" t="n"/>
      <c r="F1729" s="7" t="n"/>
      <c r="G1729" s="7" t="n"/>
      <c r="H1729" s="39" t="n"/>
      <c r="I1729" s="39" t="n"/>
      <c r="J1729" s="39" t="n"/>
      <c r="K1729" s="39" t="n"/>
      <c r="L1729" s="39" t="n"/>
      <c r="M1729" s="7" t="n"/>
      <c r="N1729" s="7" t="n"/>
      <c r="O1729" s="40" t="n"/>
      <c r="P1729" s="40" t="n"/>
      <c r="Q1729" s="40" t="n"/>
      <c r="R1729" s="40" t="n"/>
      <c r="S1729" s="40" t="n"/>
      <c r="T1729" s="40" t="n"/>
      <c r="U1729" s="40" t="n"/>
      <c r="V1729" s="40" t="n"/>
      <c r="W1729" s="40" t="n"/>
      <c r="X1729" s="40" t="n"/>
      <c r="Y1729" s="40" t="n"/>
      <c r="Z1729" s="40" t="n"/>
      <c r="AA1729" s="39" t="n"/>
    </row>
    <row r="1730">
      <c r="A1730" s="7" t="n"/>
      <c r="B1730" s="7" t="n"/>
      <c r="C1730" s="39" t="n"/>
      <c r="D1730" s="39" t="n"/>
      <c r="E1730" s="7" t="n"/>
      <c r="F1730" s="7" t="n"/>
      <c r="G1730" s="7" t="n"/>
      <c r="H1730" s="39" t="n"/>
      <c r="I1730" s="39" t="n"/>
      <c r="J1730" s="39" t="n"/>
      <c r="K1730" s="39" t="n"/>
      <c r="L1730" s="39" t="n"/>
      <c r="M1730" s="7" t="n"/>
      <c r="N1730" s="7" t="n"/>
      <c r="O1730" s="40" t="n"/>
      <c r="P1730" s="40" t="n"/>
      <c r="Q1730" s="40" t="n"/>
      <c r="R1730" s="40" t="n"/>
      <c r="S1730" s="40" t="n"/>
      <c r="T1730" s="40" t="n"/>
      <c r="U1730" s="40" t="n"/>
      <c r="V1730" s="40" t="n"/>
      <c r="W1730" s="40" t="n"/>
      <c r="X1730" s="40" t="n"/>
      <c r="Y1730" s="40" t="n"/>
      <c r="Z1730" s="40" t="n"/>
      <c r="AA1730" s="39" t="n"/>
    </row>
    <row r="1731">
      <c r="A1731" s="7" t="n"/>
      <c r="B1731" s="7" t="n"/>
      <c r="C1731" s="39" t="n"/>
      <c r="D1731" s="39" t="n"/>
      <c r="E1731" s="7" t="n"/>
      <c r="F1731" s="7" t="n"/>
      <c r="G1731" s="7" t="n"/>
      <c r="H1731" s="39" t="n"/>
      <c r="I1731" s="39" t="n"/>
      <c r="J1731" s="39" t="n"/>
      <c r="K1731" s="39" t="n"/>
      <c r="L1731" s="39" t="n"/>
      <c r="M1731" s="7" t="n"/>
      <c r="N1731" s="7" t="n"/>
      <c r="O1731" s="40" t="n"/>
      <c r="P1731" s="40" t="n"/>
      <c r="Q1731" s="40" t="n"/>
      <c r="R1731" s="40" t="n"/>
      <c r="S1731" s="40" t="n"/>
      <c r="T1731" s="40" t="n"/>
      <c r="U1731" s="40" t="n"/>
      <c r="V1731" s="40" t="n"/>
      <c r="W1731" s="40" t="n"/>
      <c r="X1731" s="40" t="n"/>
      <c r="Y1731" s="40" t="n"/>
      <c r="Z1731" s="40" t="n"/>
      <c r="AA1731" s="39" t="n"/>
    </row>
    <row r="1732">
      <c r="A1732" s="7" t="n"/>
      <c r="B1732" s="7" t="n"/>
      <c r="C1732" s="39" t="n"/>
      <c r="D1732" s="39" t="n"/>
      <c r="E1732" s="7" t="n"/>
      <c r="F1732" s="7" t="n"/>
      <c r="G1732" s="7" t="n"/>
      <c r="H1732" s="39" t="n"/>
      <c r="I1732" s="39" t="n"/>
      <c r="J1732" s="39" t="n"/>
      <c r="K1732" s="39" t="n"/>
      <c r="L1732" s="39" t="n"/>
      <c r="M1732" s="7" t="n"/>
      <c r="N1732" s="7" t="n"/>
      <c r="O1732" s="40" t="n"/>
      <c r="P1732" s="40" t="n"/>
      <c r="Q1732" s="40" t="n"/>
      <c r="R1732" s="40" t="n"/>
      <c r="S1732" s="40" t="n"/>
      <c r="T1732" s="40" t="n"/>
      <c r="U1732" s="40" t="n"/>
      <c r="V1732" s="40" t="n"/>
      <c r="W1732" s="40" t="n"/>
      <c r="X1732" s="40" t="n"/>
      <c r="Y1732" s="40" t="n"/>
      <c r="Z1732" s="40" t="n"/>
      <c r="AA1732" s="39" t="n"/>
    </row>
    <row r="1733">
      <c r="A1733" s="7" t="n"/>
      <c r="B1733" s="7" t="n"/>
      <c r="C1733" s="39" t="n"/>
      <c r="D1733" s="39" t="n"/>
      <c r="E1733" s="7" t="n"/>
      <c r="F1733" s="7" t="n"/>
      <c r="G1733" s="7" t="n"/>
      <c r="H1733" s="39" t="n"/>
      <c r="I1733" s="39" t="n"/>
      <c r="J1733" s="39" t="n"/>
      <c r="K1733" s="39" t="n"/>
      <c r="L1733" s="39" t="n"/>
      <c r="M1733" s="7" t="n"/>
      <c r="N1733" s="7" t="n"/>
      <c r="O1733" s="40" t="n"/>
      <c r="P1733" s="40" t="n"/>
      <c r="Q1733" s="40" t="n"/>
      <c r="R1733" s="40" t="n"/>
      <c r="S1733" s="40" t="n"/>
      <c r="T1733" s="40" t="n"/>
      <c r="U1733" s="40" t="n"/>
      <c r="V1733" s="40" t="n"/>
      <c r="W1733" s="40" t="n"/>
      <c r="X1733" s="40" t="n"/>
      <c r="Y1733" s="40" t="n"/>
      <c r="Z1733" s="40" t="n"/>
      <c r="AA1733" s="39" t="n"/>
    </row>
    <row r="1734">
      <c r="A1734" s="7" t="n"/>
      <c r="B1734" s="7" t="n"/>
      <c r="C1734" s="39" t="n"/>
      <c r="D1734" s="39" t="n"/>
      <c r="E1734" s="7" t="n"/>
      <c r="F1734" s="7" t="n"/>
      <c r="G1734" s="7" t="n"/>
      <c r="H1734" s="39" t="n"/>
      <c r="I1734" s="39" t="n"/>
      <c r="J1734" s="39" t="n"/>
      <c r="K1734" s="39" t="n"/>
      <c r="L1734" s="39" t="n"/>
      <c r="M1734" s="7" t="n"/>
      <c r="N1734" s="7" t="n"/>
      <c r="O1734" s="40" t="n"/>
      <c r="P1734" s="40" t="n"/>
      <c r="Q1734" s="40" t="n"/>
      <c r="R1734" s="40" t="n"/>
      <c r="S1734" s="40" t="n"/>
      <c r="T1734" s="40" t="n"/>
      <c r="U1734" s="40" t="n"/>
      <c r="V1734" s="40" t="n"/>
      <c r="W1734" s="40" t="n"/>
      <c r="X1734" s="40" t="n"/>
      <c r="Y1734" s="40" t="n"/>
      <c r="Z1734" s="40" t="n"/>
      <c r="AA1734" s="39" t="n"/>
    </row>
    <row r="1735">
      <c r="A1735" s="7" t="n"/>
      <c r="B1735" s="7" t="n"/>
      <c r="C1735" s="39" t="n"/>
      <c r="D1735" s="39" t="n"/>
      <c r="E1735" s="7" t="n"/>
      <c r="F1735" s="7" t="n"/>
      <c r="G1735" s="7" t="n"/>
      <c r="H1735" s="39" t="n"/>
      <c r="I1735" s="39" t="n"/>
      <c r="J1735" s="39" t="n"/>
      <c r="K1735" s="39" t="n"/>
      <c r="L1735" s="39" t="n"/>
      <c r="M1735" s="7" t="n"/>
      <c r="N1735" s="7" t="n"/>
      <c r="O1735" s="40" t="n"/>
      <c r="P1735" s="40" t="n"/>
      <c r="Q1735" s="40" t="n"/>
      <c r="R1735" s="40" t="n"/>
      <c r="S1735" s="40" t="n"/>
      <c r="T1735" s="40" t="n"/>
      <c r="U1735" s="40" t="n"/>
      <c r="V1735" s="40" t="n"/>
      <c r="W1735" s="40" t="n"/>
      <c r="X1735" s="40" t="n"/>
      <c r="Y1735" s="40" t="n"/>
      <c r="Z1735" s="40" t="n"/>
      <c r="AA1735" s="39" t="n"/>
    </row>
    <row r="1736">
      <c r="A1736" s="7" t="n"/>
      <c r="B1736" s="7" t="n"/>
      <c r="C1736" s="39" t="n"/>
      <c r="D1736" s="39" t="n"/>
      <c r="E1736" s="7" t="n"/>
      <c r="F1736" s="7" t="n"/>
      <c r="G1736" s="7" t="n"/>
      <c r="H1736" s="39" t="n"/>
      <c r="I1736" s="39" t="n"/>
      <c r="J1736" s="39" t="n"/>
      <c r="K1736" s="39" t="n"/>
      <c r="L1736" s="39" t="n"/>
      <c r="M1736" s="7" t="n"/>
      <c r="N1736" s="7" t="n"/>
      <c r="O1736" s="40" t="n"/>
      <c r="P1736" s="40" t="n"/>
      <c r="Q1736" s="40" t="n"/>
      <c r="R1736" s="40" t="n"/>
      <c r="S1736" s="40" t="n"/>
      <c r="T1736" s="40" t="n"/>
      <c r="U1736" s="40" t="n"/>
      <c r="V1736" s="40" t="n"/>
      <c r="W1736" s="40" t="n"/>
      <c r="X1736" s="40" t="n"/>
      <c r="Y1736" s="40" t="n"/>
      <c r="Z1736" s="40" t="n"/>
      <c r="AA1736" s="39" t="n"/>
    </row>
    <row r="1737">
      <c r="A1737" s="7" t="n"/>
      <c r="B1737" s="7" t="n"/>
      <c r="C1737" s="39" t="n"/>
      <c r="D1737" s="39" t="n"/>
      <c r="E1737" s="7" t="n"/>
      <c r="F1737" s="7" t="n"/>
      <c r="G1737" s="7" t="n"/>
      <c r="H1737" s="39" t="n"/>
      <c r="I1737" s="39" t="n"/>
      <c r="J1737" s="39" t="n"/>
      <c r="K1737" s="39" t="n"/>
      <c r="L1737" s="39" t="n"/>
      <c r="M1737" s="7" t="n"/>
      <c r="N1737" s="7" t="n"/>
      <c r="O1737" s="40" t="n"/>
      <c r="P1737" s="40" t="n"/>
      <c r="Q1737" s="40" t="n"/>
      <c r="R1737" s="40" t="n"/>
      <c r="S1737" s="40" t="n"/>
      <c r="T1737" s="40" t="n"/>
      <c r="U1737" s="40" t="n"/>
      <c r="V1737" s="40" t="n"/>
      <c r="W1737" s="40" t="n"/>
      <c r="X1737" s="40" t="n"/>
      <c r="Y1737" s="40" t="n"/>
      <c r="Z1737" s="40" t="n"/>
      <c r="AA1737" s="39" t="n"/>
    </row>
    <row r="1738">
      <c r="A1738" s="7" t="n"/>
      <c r="B1738" s="7" t="n"/>
      <c r="C1738" s="39" t="n"/>
      <c r="D1738" s="39" t="n"/>
      <c r="E1738" s="7" t="n"/>
      <c r="F1738" s="7" t="n"/>
      <c r="G1738" s="7" t="n"/>
      <c r="H1738" s="39" t="n"/>
      <c r="I1738" s="39" t="n"/>
      <c r="J1738" s="39" t="n"/>
      <c r="K1738" s="39" t="n"/>
      <c r="L1738" s="39" t="n"/>
      <c r="M1738" s="7" t="n"/>
      <c r="N1738" s="7" t="n"/>
      <c r="O1738" s="40" t="n"/>
      <c r="P1738" s="40" t="n"/>
      <c r="Q1738" s="40" t="n"/>
      <c r="R1738" s="40" t="n"/>
      <c r="S1738" s="40" t="n"/>
      <c r="T1738" s="40" t="n"/>
      <c r="U1738" s="40" t="n"/>
      <c r="V1738" s="40" t="n"/>
      <c r="W1738" s="40" t="n"/>
      <c r="X1738" s="40" t="n"/>
      <c r="Y1738" s="40" t="n"/>
      <c r="Z1738" s="40" t="n"/>
      <c r="AA1738" s="39" t="n"/>
    </row>
    <row r="1739">
      <c r="A1739" s="7" t="n"/>
      <c r="B1739" s="7" t="n"/>
      <c r="C1739" s="39" t="n"/>
      <c r="D1739" s="39" t="n"/>
      <c r="E1739" s="7" t="n"/>
      <c r="F1739" s="7" t="n"/>
      <c r="G1739" s="7" t="n"/>
      <c r="H1739" s="39" t="n"/>
      <c r="I1739" s="39" t="n"/>
      <c r="J1739" s="39" t="n"/>
      <c r="K1739" s="39" t="n"/>
      <c r="L1739" s="39" t="n"/>
      <c r="M1739" s="7" t="n"/>
      <c r="N1739" s="7" t="n"/>
      <c r="O1739" s="40" t="n"/>
      <c r="P1739" s="40" t="n"/>
      <c r="Q1739" s="40" t="n"/>
      <c r="R1739" s="40" t="n"/>
      <c r="S1739" s="40" t="n"/>
      <c r="T1739" s="40" t="n"/>
      <c r="U1739" s="40" t="n"/>
      <c r="V1739" s="40" t="n"/>
      <c r="W1739" s="40" t="n"/>
      <c r="X1739" s="40" t="n"/>
      <c r="Y1739" s="40" t="n"/>
      <c r="Z1739" s="40" t="n"/>
      <c r="AA1739" s="39" t="n"/>
    </row>
    <row r="1740">
      <c r="A1740" s="7" t="n"/>
      <c r="B1740" s="7" t="n"/>
      <c r="C1740" s="39" t="n"/>
      <c r="D1740" s="39" t="n"/>
      <c r="E1740" s="7" t="n"/>
      <c r="F1740" s="7" t="n"/>
      <c r="G1740" s="7" t="n"/>
      <c r="H1740" s="39" t="n"/>
      <c r="I1740" s="39" t="n"/>
      <c r="J1740" s="39" t="n"/>
      <c r="K1740" s="39" t="n"/>
      <c r="L1740" s="39" t="n"/>
      <c r="M1740" s="7" t="n"/>
      <c r="N1740" s="7" t="n"/>
      <c r="O1740" s="40" t="n"/>
      <c r="P1740" s="40" t="n"/>
      <c r="Q1740" s="40" t="n"/>
      <c r="R1740" s="40" t="n"/>
      <c r="S1740" s="40" t="n"/>
      <c r="T1740" s="40" t="n"/>
      <c r="U1740" s="40" t="n"/>
      <c r="V1740" s="40" t="n"/>
      <c r="W1740" s="40" t="n"/>
      <c r="X1740" s="40" t="n"/>
      <c r="Y1740" s="40" t="n"/>
      <c r="Z1740" s="40" t="n"/>
      <c r="AA1740" s="39" t="n"/>
    </row>
    <row r="1741">
      <c r="A1741" s="7" t="n"/>
      <c r="B1741" s="7" t="n"/>
      <c r="C1741" s="39" t="n"/>
      <c r="D1741" s="39" t="n"/>
      <c r="E1741" s="7" t="n"/>
      <c r="F1741" s="7" t="n"/>
      <c r="G1741" s="7" t="n"/>
      <c r="H1741" s="39" t="n"/>
      <c r="I1741" s="39" t="n"/>
      <c r="J1741" s="39" t="n"/>
      <c r="K1741" s="39" t="n"/>
      <c r="L1741" s="39" t="n"/>
      <c r="M1741" s="7" t="n"/>
      <c r="N1741" s="7" t="n"/>
      <c r="O1741" s="40" t="n"/>
      <c r="P1741" s="40" t="n"/>
      <c r="Q1741" s="40" t="n"/>
      <c r="R1741" s="40" t="n"/>
      <c r="S1741" s="40" t="n"/>
      <c r="T1741" s="40" t="n"/>
      <c r="U1741" s="40" t="n"/>
      <c r="V1741" s="40" t="n"/>
      <c r="W1741" s="40" t="n"/>
      <c r="X1741" s="40" t="n"/>
      <c r="Y1741" s="40" t="n"/>
      <c r="Z1741" s="40" t="n"/>
      <c r="AA1741" s="39" t="n"/>
    </row>
    <row r="1742">
      <c r="A1742" s="7" t="n"/>
      <c r="B1742" s="7" t="n"/>
      <c r="C1742" s="39" t="n"/>
      <c r="D1742" s="39" t="n"/>
      <c r="E1742" s="7" t="n"/>
      <c r="F1742" s="7" t="n"/>
      <c r="G1742" s="7" t="n"/>
      <c r="H1742" s="39" t="n"/>
      <c r="I1742" s="39" t="n"/>
      <c r="J1742" s="39" t="n"/>
      <c r="K1742" s="39" t="n"/>
      <c r="L1742" s="39" t="n"/>
      <c r="M1742" s="7" t="n"/>
      <c r="N1742" s="7" t="n"/>
      <c r="O1742" s="40" t="n"/>
      <c r="P1742" s="40" t="n"/>
      <c r="Q1742" s="40" t="n"/>
      <c r="R1742" s="40" t="n"/>
      <c r="S1742" s="40" t="n"/>
      <c r="T1742" s="40" t="n"/>
      <c r="U1742" s="40" t="n"/>
      <c r="V1742" s="40" t="n"/>
      <c r="W1742" s="40" t="n"/>
      <c r="X1742" s="40" t="n"/>
      <c r="Y1742" s="40" t="n"/>
      <c r="Z1742" s="40" t="n"/>
      <c r="AA1742" s="39" t="n"/>
    </row>
    <row r="1743">
      <c r="A1743" s="7" t="n"/>
      <c r="B1743" s="7" t="n"/>
      <c r="C1743" s="39" t="n"/>
      <c r="D1743" s="39" t="n"/>
      <c r="E1743" s="7" t="n"/>
      <c r="F1743" s="7" t="n"/>
      <c r="G1743" s="7" t="n"/>
      <c r="H1743" s="39" t="n"/>
      <c r="I1743" s="39" t="n"/>
      <c r="J1743" s="39" t="n"/>
      <c r="K1743" s="39" t="n"/>
      <c r="L1743" s="39" t="n"/>
      <c r="M1743" s="7" t="n"/>
      <c r="N1743" s="7" t="n"/>
      <c r="O1743" s="40" t="n"/>
      <c r="P1743" s="40" t="n"/>
      <c r="Q1743" s="40" t="n"/>
      <c r="R1743" s="40" t="n"/>
      <c r="S1743" s="40" t="n"/>
      <c r="T1743" s="40" t="n"/>
      <c r="U1743" s="40" t="n"/>
      <c r="V1743" s="40" t="n"/>
      <c r="W1743" s="40" t="n"/>
      <c r="X1743" s="40" t="n"/>
      <c r="Y1743" s="40" t="n"/>
      <c r="Z1743" s="40" t="n"/>
      <c r="AA1743" s="39" t="n"/>
    </row>
    <row r="1744">
      <c r="A1744" s="7" t="n"/>
      <c r="B1744" s="7" t="n"/>
      <c r="C1744" s="39" t="n"/>
      <c r="D1744" s="39" t="n"/>
      <c r="E1744" s="7" t="n"/>
      <c r="F1744" s="7" t="n"/>
      <c r="G1744" s="7" t="n"/>
      <c r="H1744" s="39" t="n"/>
      <c r="I1744" s="39" t="n"/>
      <c r="J1744" s="39" t="n"/>
      <c r="K1744" s="39" t="n"/>
      <c r="L1744" s="39" t="n"/>
      <c r="M1744" s="7" t="n"/>
      <c r="N1744" s="7" t="n"/>
      <c r="O1744" s="40" t="n"/>
      <c r="P1744" s="40" t="n"/>
      <c r="Q1744" s="40" t="n"/>
      <c r="R1744" s="40" t="n"/>
      <c r="S1744" s="40" t="n"/>
      <c r="T1744" s="40" t="n"/>
      <c r="U1744" s="40" t="n"/>
      <c r="V1744" s="40" t="n"/>
      <c r="W1744" s="40" t="n"/>
      <c r="X1744" s="40" t="n"/>
      <c r="Y1744" s="40" t="n"/>
      <c r="Z1744" s="40" t="n"/>
      <c r="AA1744" s="39" t="n"/>
    </row>
    <row r="1745">
      <c r="A1745" s="7" t="n"/>
      <c r="B1745" s="7" t="n"/>
      <c r="C1745" s="39" t="n"/>
      <c r="D1745" s="39" t="n"/>
      <c r="E1745" s="7" t="n"/>
      <c r="F1745" s="7" t="n"/>
      <c r="G1745" s="7" t="n"/>
      <c r="H1745" s="39" t="n"/>
      <c r="I1745" s="39" t="n"/>
      <c r="J1745" s="39" t="n"/>
      <c r="K1745" s="39" t="n"/>
      <c r="L1745" s="39" t="n"/>
      <c r="M1745" s="7" t="n"/>
      <c r="N1745" s="7" t="n"/>
      <c r="O1745" s="40" t="n"/>
      <c r="P1745" s="40" t="n"/>
      <c r="Q1745" s="40" t="n"/>
      <c r="R1745" s="40" t="n"/>
      <c r="S1745" s="40" t="n"/>
      <c r="T1745" s="40" t="n"/>
      <c r="U1745" s="40" t="n"/>
      <c r="V1745" s="40" t="n"/>
      <c r="W1745" s="40" t="n"/>
      <c r="X1745" s="40" t="n"/>
      <c r="Y1745" s="40" t="n"/>
      <c r="Z1745" s="40" t="n"/>
      <c r="AA1745" s="39" t="n"/>
    </row>
    <row r="1746">
      <c r="A1746" s="7" t="n"/>
      <c r="B1746" s="7" t="n"/>
      <c r="C1746" s="39" t="n"/>
      <c r="D1746" s="39" t="n"/>
      <c r="E1746" s="7" t="n"/>
      <c r="F1746" s="7" t="n"/>
      <c r="G1746" s="7" t="n"/>
      <c r="H1746" s="39" t="n"/>
      <c r="I1746" s="39" t="n"/>
      <c r="J1746" s="39" t="n"/>
      <c r="K1746" s="39" t="n"/>
      <c r="L1746" s="39" t="n"/>
      <c r="M1746" s="7" t="n"/>
      <c r="N1746" s="7" t="n"/>
      <c r="O1746" s="40" t="n"/>
      <c r="P1746" s="40" t="n"/>
      <c r="Q1746" s="40" t="n"/>
      <c r="R1746" s="40" t="n"/>
      <c r="S1746" s="40" t="n"/>
      <c r="T1746" s="40" t="n"/>
      <c r="U1746" s="40" t="n"/>
      <c r="V1746" s="40" t="n"/>
      <c r="W1746" s="40" t="n"/>
      <c r="X1746" s="40" t="n"/>
      <c r="Y1746" s="40" t="n"/>
      <c r="Z1746" s="40" t="n"/>
      <c r="AA1746" s="39" t="n"/>
    </row>
    <row r="1747">
      <c r="A1747" s="7" t="n"/>
      <c r="B1747" s="7" t="n"/>
      <c r="C1747" s="39" t="n"/>
      <c r="D1747" s="39" t="n"/>
      <c r="E1747" s="7" t="n"/>
      <c r="F1747" s="7" t="n"/>
      <c r="G1747" s="7" t="n"/>
      <c r="H1747" s="39" t="n"/>
      <c r="I1747" s="39" t="n"/>
      <c r="J1747" s="39" t="n"/>
      <c r="K1747" s="39" t="n"/>
      <c r="L1747" s="39" t="n"/>
      <c r="M1747" s="7" t="n"/>
      <c r="N1747" s="7" t="n"/>
      <c r="O1747" s="40" t="n"/>
      <c r="P1747" s="40" t="n"/>
      <c r="Q1747" s="40" t="n"/>
      <c r="R1747" s="40" t="n"/>
      <c r="S1747" s="40" t="n"/>
      <c r="T1747" s="40" t="n"/>
      <c r="U1747" s="40" t="n"/>
      <c r="V1747" s="40" t="n"/>
      <c r="W1747" s="40" t="n"/>
      <c r="X1747" s="40" t="n"/>
      <c r="Y1747" s="40" t="n"/>
      <c r="Z1747" s="40" t="n"/>
      <c r="AA1747" s="39" t="n"/>
    </row>
    <row r="1748">
      <c r="A1748" s="7" t="n"/>
      <c r="B1748" s="7" t="n"/>
      <c r="C1748" s="39" t="n"/>
      <c r="D1748" s="39" t="n"/>
      <c r="E1748" s="7" t="n"/>
      <c r="F1748" s="7" t="n"/>
      <c r="G1748" s="7" t="n"/>
      <c r="H1748" s="39" t="n"/>
      <c r="I1748" s="39" t="n"/>
      <c r="J1748" s="39" t="n"/>
      <c r="K1748" s="39" t="n"/>
      <c r="L1748" s="39" t="n"/>
      <c r="M1748" s="7" t="n"/>
      <c r="N1748" s="7" t="n"/>
      <c r="O1748" s="40" t="n"/>
      <c r="P1748" s="40" t="n"/>
      <c r="Q1748" s="40" t="n"/>
      <c r="R1748" s="40" t="n"/>
      <c r="S1748" s="40" t="n"/>
      <c r="T1748" s="40" t="n"/>
      <c r="U1748" s="40" t="n"/>
      <c r="V1748" s="40" t="n"/>
      <c r="W1748" s="40" t="n"/>
      <c r="X1748" s="40" t="n"/>
      <c r="Y1748" s="40" t="n"/>
      <c r="Z1748" s="40" t="n"/>
      <c r="AA1748" s="39" t="n"/>
    </row>
    <row r="1749">
      <c r="A1749" s="7" t="n"/>
      <c r="B1749" s="7" t="n"/>
      <c r="C1749" s="39" t="n"/>
      <c r="D1749" s="39" t="n"/>
      <c r="E1749" s="7" t="n"/>
      <c r="F1749" s="7" t="n"/>
      <c r="G1749" s="7" t="n"/>
      <c r="H1749" s="39" t="n"/>
      <c r="I1749" s="39" t="n"/>
      <c r="J1749" s="39" t="n"/>
      <c r="K1749" s="39" t="n"/>
      <c r="L1749" s="39" t="n"/>
      <c r="M1749" s="7" t="n"/>
      <c r="N1749" s="7" t="n"/>
      <c r="O1749" s="40" t="n"/>
      <c r="P1749" s="40" t="n"/>
      <c r="Q1749" s="40" t="n"/>
      <c r="R1749" s="40" t="n"/>
      <c r="S1749" s="40" t="n"/>
      <c r="T1749" s="40" t="n"/>
      <c r="U1749" s="40" t="n"/>
      <c r="V1749" s="40" t="n"/>
      <c r="W1749" s="40" t="n"/>
      <c r="X1749" s="40" t="n"/>
      <c r="Y1749" s="40" t="n"/>
      <c r="Z1749" s="40" t="n"/>
      <c r="AA1749" s="39" t="n"/>
    </row>
    <row r="1750">
      <c r="A1750" s="7" t="n"/>
      <c r="B1750" s="7" t="n"/>
      <c r="C1750" s="39" t="n"/>
      <c r="D1750" s="39" t="n"/>
      <c r="E1750" s="7" t="n"/>
      <c r="F1750" s="7" t="n"/>
      <c r="G1750" s="7" t="n"/>
      <c r="H1750" s="39" t="n"/>
      <c r="I1750" s="39" t="n"/>
      <c r="J1750" s="39" t="n"/>
      <c r="K1750" s="39" t="n"/>
      <c r="L1750" s="39" t="n"/>
      <c r="M1750" s="7" t="n"/>
      <c r="N1750" s="7" t="n"/>
      <c r="O1750" s="40" t="n"/>
      <c r="P1750" s="40" t="n"/>
      <c r="Q1750" s="40" t="n"/>
      <c r="R1750" s="40" t="n"/>
      <c r="S1750" s="40" t="n"/>
      <c r="T1750" s="40" t="n"/>
      <c r="U1750" s="40" t="n"/>
      <c r="V1750" s="40" t="n"/>
      <c r="W1750" s="40" t="n"/>
      <c r="X1750" s="40" t="n"/>
      <c r="Y1750" s="40" t="n"/>
      <c r="Z1750" s="40" t="n"/>
      <c r="AA1750" s="39" t="n"/>
    </row>
    <row r="1751">
      <c r="A1751" s="7" t="n"/>
      <c r="B1751" s="7" t="n"/>
      <c r="C1751" s="39" t="n"/>
      <c r="D1751" s="39" t="n"/>
      <c r="E1751" s="7" t="n"/>
      <c r="F1751" s="7" t="n"/>
      <c r="G1751" s="7" t="n"/>
      <c r="H1751" s="39" t="n"/>
      <c r="I1751" s="39" t="n"/>
      <c r="J1751" s="39" t="n"/>
      <c r="K1751" s="39" t="n"/>
      <c r="L1751" s="39" t="n"/>
      <c r="M1751" s="7" t="n"/>
      <c r="N1751" s="7" t="n"/>
      <c r="O1751" s="40" t="n"/>
      <c r="P1751" s="40" t="n"/>
      <c r="Q1751" s="40" t="n"/>
      <c r="R1751" s="40" t="n"/>
      <c r="S1751" s="40" t="n"/>
      <c r="T1751" s="40" t="n"/>
      <c r="U1751" s="40" t="n"/>
      <c r="V1751" s="40" t="n"/>
      <c r="W1751" s="40" t="n"/>
      <c r="X1751" s="40" t="n"/>
      <c r="Y1751" s="40" t="n"/>
      <c r="Z1751" s="40" t="n"/>
      <c r="AA1751" s="39" t="n"/>
    </row>
    <row r="1752">
      <c r="A1752" s="7" t="n"/>
      <c r="B1752" s="7" t="n"/>
      <c r="C1752" s="39" t="n"/>
      <c r="D1752" s="39" t="n"/>
      <c r="E1752" s="7" t="n"/>
      <c r="F1752" s="7" t="n"/>
      <c r="G1752" s="7" t="n"/>
      <c r="H1752" s="39" t="n"/>
      <c r="I1752" s="39" t="n"/>
      <c r="J1752" s="39" t="n"/>
      <c r="K1752" s="39" t="n"/>
      <c r="L1752" s="39" t="n"/>
      <c r="M1752" s="7" t="n"/>
      <c r="N1752" s="7" t="n"/>
      <c r="O1752" s="40" t="n"/>
      <c r="P1752" s="40" t="n"/>
      <c r="Q1752" s="40" t="n"/>
      <c r="R1752" s="40" t="n"/>
      <c r="S1752" s="40" t="n"/>
      <c r="T1752" s="40" t="n"/>
      <c r="U1752" s="40" t="n"/>
      <c r="V1752" s="40" t="n"/>
      <c r="W1752" s="40" t="n"/>
      <c r="X1752" s="40" t="n"/>
      <c r="Y1752" s="40" t="n"/>
      <c r="Z1752" s="40" t="n"/>
      <c r="AA1752" s="39" t="n"/>
    </row>
    <row r="1753">
      <c r="A1753" s="7" t="n"/>
      <c r="B1753" s="7" t="n"/>
      <c r="C1753" s="39" t="n"/>
      <c r="D1753" s="39" t="n"/>
      <c r="E1753" s="7" t="n"/>
      <c r="F1753" s="7" t="n"/>
      <c r="G1753" s="7" t="n"/>
      <c r="H1753" s="39" t="n"/>
      <c r="I1753" s="39" t="n"/>
      <c r="J1753" s="39" t="n"/>
      <c r="K1753" s="39" t="n"/>
      <c r="L1753" s="39" t="n"/>
      <c r="M1753" s="7" t="n"/>
      <c r="N1753" s="7" t="n"/>
      <c r="O1753" s="40" t="n"/>
      <c r="P1753" s="40" t="n"/>
      <c r="Q1753" s="40" t="n"/>
      <c r="R1753" s="40" t="n"/>
      <c r="S1753" s="40" t="n"/>
      <c r="T1753" s="40" t="n"/>
      <c r="U1753" s="40" t="n"/>
      <c r="V1753" s="40" t="n"/>
      <c r="W1753" s="40" t="n"/>
      <c r="X1753" s="40" t="n"/>
      <c r="Y1753" s="40" t="n"/>
      <c r="Z1753" s="40" t="n"/>
      <c r="AA1753" s="39" t="n"/>
    </row>
    <row r="1754">
      <c r="A1754" s="7" t="n"/>
      <c r="B1754" s="7" t="n"/>
      <c r="C1754" s="39" t="n"/>
      <c r="D1754" s="39" t="n"/>
      <c r="E1754" s="7" t="n"/>
      <c r="F1754" s="7" t="n"/>
      <c r="G1754" s="7" t="n"/>
      <c r="H1754" s="39" t="n"/>
      <c r="I1754" s="39" t="n"/>
      <c r="J1754" s="39" t="n"/>
      <c r="K1754" s="39" t="n"/>
      <c r="L1754" s="39" t="n"/>
      <c r="M1754" s="7" t="n"/>
      <c r="N1754" s="7" t="n"/>
      <c r="O1754" s="40" t="n"/>
      <c r="P1754" s="40" t="n"/>
      <c r="Q1754" s="40" t="n"/>
      <c r="R1754" s="40" t="n"/>
      <c r="S1754" s="40" t="n"/>
      <c r="T1754" s="40" t="n"/>
      <c r="U1754" s="40" t="n"/>
      <c r="V1754" s="40" t="n"/>
      <c r="W1754" s="40" t="n"/>
      <c r="X1754" s="40" t="n"/>
      <c r="Y1754" s="40" t="n"/>
      <c r="Z1754" s="40" t="n"/>
      <c r="AA1754" s="39" t="n"/>
    </row>
    <row r="1755">
      <c r="A1755" s="7" t="n"/>
      <c r="B1755" s="7" t="n"/>
      <c r="C1755" s="39" t="n"/>
      <c r="D1755" s="39" t="n"/>
      <c r="E1755" s="7" t="n"/>
      <c r="F1755" s="7" t="n"/>
      <c r="G1755" s="7" t="n"/>
      <c r="H1755" s="39" t="n"/>
      <c r="I1755" s="39" t="n"/>
      <c r="J1755" s="39" t="n"/>
      <c r="K1755" s="39" t="n"/>
      <c r="L1755" s="39" t="n"/>
      <c r="M1755" s="7" t="n"/>
      <c r="N1755" s="7" t="n"/>
      <c r="O1755" s="40" t="n"/>
      <c r="P1755" s="40" t="n"/>
      <c r="Q1755" s="40" t="n"/>
      <c r="R1755" s="40" t="n"/>
      <c r="S1755" s="40" t="n"/>
      <c r="T1755" s="40" t="n"/>
      <c r="U1755" s="40" t="n"/>
      <c r="V1755" s="40" t="n"/>
      <c r="W1755" s="40" t="n"/>
      <c r="X1755" s="40" t="n"/>
      <c r="Y1755" s="40" t="n"/>
      <c r="Z1755" s="40" t="n"/>
      <c r="AA1755" s="39" t="n"/>
    </row>
    <row r="1756">
      <c r="A1756" s="7" t="n"/>
      <c r="B1756" s="7" t="n"/>
      <c r="C1756" s="39" t="n"/>
      <c r="D1756" s="39" t="n"/>
      <c r="E1756" s="7" t="n"/>
      <c r="F1756" s="7" t="n"/>
      <c r="G1756" s="7" t="n"/>
      <c r="H1756" s="39" t="n"/>
      <c r="I1756" s="39" t="n"/>
      <c r="J1756" s="39" t="n"/>
      <c r="K1756" s="39" t="n"/>
      <c r="L1756" s="39" t="n"/>
      <c r="M1756" s="7" t="n"/>
      <c r="N1756" s="7" t="n"/>
      <c r="O1756" s="40" t="n"/>
      <c r="P1756" s="40" t="n"/>
      <c r="Q1756" s="40" t="n"/>
      <c r="R1756" s="40" t="n"/>
      <c r="S1756" s="40" t="n"/>
      <c r="T1756" s="40" t="n"/>
      <c r="U1756" s="40" t="n"/>
      <c r="V1756" s="40" t="n"/>
      <c r="W1756" s="40" t="n"/>
      <c r="X1756" s="40" t="n"/>
      <c r="Y1756" s="40" t="n"/>
      <c r="Z1756" s="40" t="n"/>
      <c r="AA1756" s="39" t="n"/>
    </row>
    <row r="1757">
      <c r="A1757" s="7" t="n"/>
      <c r="B1757" s="7" t="n"/>
      <c r="C1757" s="39" t="n"/>
      <c r="D1757" s="39" t="n"/>
      <c r="E1757" s="7" t="n"/>
      <c r="F1757" s="7" t="n"/>
      <c r="G1757" s="7" t="n"/>
      <c r="H1757" s="39" t="n"/>
      <c r="I1757" s="39" t="n"/>
      <c r="J1757" s="39" t="n"/>
      <c r="K1757" s="39" t="n"/>
      <c r="L1757" s="39" t="n"/>
      <c r="M1757" s="7" t="n"/>
      <c r="N1757" s="7" t="n"/>
      <c r="O1757" s="40" t="n"/>
      <c r="P1757" s="40" t="n"/>
      <c r="Q1757" s="40" t="n"/>
      <c r="R1757" s="40" t="n"/>
      <c r="S1757" s="40" t="n"/>
      <c r="T1757" s="40" t="n"/>
      <c r="U1757" s="40" t="n"/>
      <c r="V1757" s="40" t="n"/>
      <c r="W1757" s="40" t="n"/>
      <c r="X1757" s="40" t="n"/>
      <c r="Y1757" s="40" t="n"/>
      <c r="Z1757" s="40" t="n"/>
      <c r="AA1757" s="39" t="n"/>
    </row>
    <row r="1758">
      <c r="A1758" s="7" t="n"/>
      <c r="B1758" s="7" t="n"/>
      <c r="C1758" s="39" t="n"/>
      <c r="D1758" s="39" t="n"/>
      <c r="E1758" s="7" t="n"/>
      <c r="F1758" s="7" t="n"/>
      <c r="G1758" s="7" t="n"/>
      <c r="H1758" s="39" t="n"/>
      <c r="I1758" s="39" t="n"/>
      <c r="J1758" s="39" t="n"/>
      <c r="K1758" s="39" t="n"/>
      <c r="L1758" s="39" t="n"/>
      <c r="M1758" s="7" t="n"/>
      <c r="N1758" s="7" t="n"/>
      <c r="O1758" s="40" t="n"/>
      <c r="P1758" s="40" t="n"/>
      <c r="Q1758" s="40" t="n"/>
      <c r="R1758" s="40" t="n"/>
      <c r="S1758" s="40" t="n"/>
      <c r="T1758" s="40" t="n"/>
      <c r="U1758" s="40" t="n"/>
      <c r="V1758" s="40" t="n"/>
      <c r="W1758" s="40" t="n"/>
      <c r="X1758" s="40" t="n"/>
      <c r="Y1758" s="40" t="n"/>
      <c r="Z1758" s="40" t="n"/>
      <c r="AA1758" s="39" t="n"/>
    </row>
    <row r="1759">
      <c r="A1759" s="7" t="n"/>
      <c r="B1759" s="7" t="n"/>
      <c r="C1759" s="39" t="n"/>
      <c r="D1759" s="39" t="n"/>
      <c r="E1759" s="7" t="n"/>
      <c r="F1759" s="7" t="n"/>
      <c r="G1759" s="7" t="n"/>
      <c r="H1759" s="39" t="n"/>
      <c r="I1759" s="39" t="n"/>
      <c r="J1759" s="39" t="n"/>
      <c r="K1759" s="39" t="n"/>
      <c r="L1759" s="39" t="n"/>
      <c r="M1759" s="7" t="n"/>
      <c r="N1759" s="7" t="n"/>
      <c r="O1759" s="40" t="n"/>
      <c r="P1759" s="40" t="n"/>
      <c r="Q1759" s="40" t="n"/>
      <c r="R1759" s="40" t="n"/>
      <c r="S1759" s="40" t="n"/>
      <c r="T1759" s="40" t="n"/>
      <c r="U1759" s="40" t="n"/>
      <c r="V1759" s="40" t="n"/>
      <c r="W1759" s="40" t="n"/>
      <c r="X1759" s="40" t="n"/>
      <c r="Y1759" s="40" t="n"/>
      <c r="Z1759" s="40" t="n"/>
      <c r="AA1759" s="39" t="n"/>
    </row>
    <row r="1760">
      <c r="A1760" s="7" t="n"/>
      <c r="B1760" s="7" t="n"/>
      <c r="C1760" s="39" t="n"/>
      <c r="D1760" s="39" t="n"/>
      <c r="E1760" s="7" t="n"/>
      <c r="F1760" s="7" t="n"/>
      <c r="G1760" s="7" t="n"/>
      <c r="H1760" s="39" t="n"/>
      <c r="I1760" s="39" t="n"/>
      <c r="J1760" s="39" t="n"/>
      <c r="K1760" s="39" t="n"/>
      <c r="L1760" s="39" t="n"/>
      <c r="M1760" s="7" t="n"/>
      <c r="N1760" s="7" t="n"/>
      <c r="O1760" s="40" t="n"/>
      <c r="P1760" s="40" t="n"/>
      <c r="Q1760" s="40" t="n"/>
      <c r="R1760" s="40" t="n"/>
      <c r="S1760" s="40" t="n"/>
      <c r="T1760" s="40" t="n"/>
      <c r="U1760" s="40" t="n"/>
      <c r="V1760" s="40" t="n"/>
      <c r="W1760" s="40" t="n"/>
      <c r="X1760" s="40" t="n"/>
      <c r="Y1760" s="40" t="n"/>
      <c r="Z1760" s="40" t="n"/>
      <c r="AA1760" s="39" t="n"/>
    </row>
    <row r="1761">
      <c r="A1761" s="7" t="n"/>
      <c r="B1761" s="7" t="n"/>
      <c r="C1761" s="39" t="n"/>
      <c r="D1761" s="39" t="n"/>
      <c r="E1761" s="7" t="n"/>
      <c r="F1761" s="7" t="n"/>
      <c r="G1761" s="7" t="n"/>
      <c r="H1761" s="39" t="n"/>
      <c r="I1761" s="39" t="n"/>
      <c r="J1761" s="39" t="n"/>
      <c r="K1761" s="39" t="n"/>
      <c r="L1761" s="39" t="n"/>
      <c r="M1761" s="7" t="n"/>
      <c r="N1761" s="7" t="n"/>
      <c r="O1761" s="40" t="n"/>
      <c r="P1761" s="40" t="n"/>
      <c r="Q1761" s="40" t="n"/>
      <c r="R1761" s="40" t="n"/>
      <c r="S1761" s="40" t="n"/>
      <c r="T1761" s="40" t="n"/>
      <c r="U1761" s="40" t="n"/>
      <c r="V1761" s="40" t="n"/>
      <c r="W1761" s="40" t="n"/>
      <c r="X1761" s="40" t="n"/>
      <c r="Y1761" s="40" t="n"/>
      <c r="Z1761" s="40" t="n"/>
      <c r="AA1761" s="39" t="n"/>
    </row>
    <row r="1762">
      <c r="A1762" s="7" t="n"/>
      <c r="B1762" s="7" t="n"/>
      <c r="C1762" s="39" t="n"/>
      <c r="D1762" s="39" t="n"/>
      <c r="E1762" s="7" t="n"/>
      <c r="F1762" s="7" t="n"/>
      <c r="G1762" s="7" t="n"/>
      <c r="H1762" s="39" t="n"/>
      <c r="I1762" s="39" t="n"/>
      <c r="J1762" s="39" t="n"/>
      <c r="K1762" s="39" t="n"/>
      <c r="L1762" s="39" t="n"/>
      <c r="M1762" s="7" t="n"/>
      <c r="N1762" s="7" t="n"/>
      <c r="O1762" s="40" t="n"/>
      <c r="P1762" s="40" t="n"/>
      <c r="Q1762" s="40" t="n"/>
      <c r="R1762" s="40" t="n"/>
      <c r="S1762" s="40" t="n"/>
      <c r="T1762" s="40" t="n"/>
      <c r="U1762" s="40" t="n"/>
      <c r="V1762" s="40" t="n"/>
      <c r="W1762" s="40" t="n"/>
      <c r="X1762" s="40" t="n"/>
      <c r="Y1762" s="40" t="n"/>
      <c r="Z1762" s="40" t="n"/>
      <c r="AA1762" s="39" t="n"/>
    </row>
    <row r="1763">
      <c r="A1763" s="7" t="n"/>
      <c r="B1763" s="7" t="n"/>
      <c r="C1763" s="39" t="n"/>
      <c r="D1763" s="39" t="n"/>
      <c r="E1763" s="7" t="n"/>
      <c r="F1763" s="7" t="n"/>
      <c r="G1763" s="7" t="n"/>
      <c r="H1763" s="39" t="n"/>
      <c r="I1763" s="39" t="n"/>
      <c r="J1763" s="39" t="n"/>
      <c r="K1763" s="39" t="n"/>
      <c r="L1763" s="39" t="n"/>
      <c r="M1763" s="7" t="n"/>
      <c r="N1763" s="7" t="n"/>
      <c r="O1763" s="40" t="n"/>
      <c r="P1763" s="40" t="n"/>
      <c r="Q1763" s="40" t="n"/>
      <c r="R1763" s="40" t="n"/>
      <c r="S1763" s="40" t="n"/>
      <c r="T1763" s="40" t="n"/>
      <c r="U1763" s="40" t="n"/>
      <c r="V1763" s="40" t="n"/>
      <c r="W1763" s="40" t="n"/>
      <c r="X1763" s="40" t="n"/>
      <c r="Y1763" s="40" t="n"/>
      <c r="Z1763" s="40" t="n"/>
      <c r="AA1763" s="39" t="n"/>
    </row>
    <row r="1764">
      <c r="A1764" s="7" t="n"/>
      <c r="B1764" s="7" t="n"/>
      <c r="C1764" s="39" t="n"/>
      <c r="D1764" s="39" t="n"/>
      <c r="E1764" s="7" t="n"/>
      <c r="F1764" s="7" t="n"/>
      <c r="G1764" s="7" t="n"/>
      <c r="H1764" s="39" t="n"/>
      <c r="I1764" s="39" t="n"/>
      <c r="J1764" s="39" t="n"/>
      <c r="K1764" s="39" t="n"/>
      <c r="L1764" s="39" t="n"/>
      <c r="M1764" s="7" t="n"/>
      <c r="N1764" s="7" t="n"/>
      <c r="O1764" s="40" t="n"/>
      <c r="P1764" s="40" t="n"/>
      <c r="Q1764" s="40" t="n"/>
      <c r="R1764" s="40" t="n"/>
      <c r="S1764" s="40" t="n"/>
      <c r="T1764" s="40" t="n"/>
      <c r="U1764" s="40" t="n"/>
      <c r="V1764" s="40" t="n"/>
      <c r="W1764" s="40" t="n"/>
      <c r="X1764" s="40" t="n"/>
      <c r="Y1764" s="40" t="n"/>
      <c r="Z1764" s="40" t="n"/>
      <c r="AA1764" s="39" t="n"/>
    </row>
    <row r="1765">
      <c r="A1765" s="7" t="n"/>
      <c r="B1765" s="7" t="n"/>
      <c r="C1765" s="39" t="n"/>
      <c r="D1765" s="39" t="n"/>
      <c r="E1765" s="7" t="n"/>
      <c r="F1765" s="7" t="n"/>
      <c r="G1765" s="7" t="n"/>
      <c r="H1765" s="39" t="n"/>
      <c r="I1765" s="39" t="n"/>
      <c r="J1765" s="39" t="n"/>
      <c r="K1765" s="39" t="n"/>
      <c r="L1765" s="39" t="n"/>
      <c r="M1765" s="7" t="n"/>
      <c r="N1765" s="7" t="n"/>
      <c r="O1765" s="40" t="n"/>
      <c r="P1765" s="40" t="n"/>
      <c r="Q1765" s="40" t="n"/>
      <c r="R1765" s="40" t="n"/>
      <c r="S1765" s="40" t="n"/>
      <c r="T1765" s="40" t="n"/>
      <c r="U1765" s="40" t="n"/>
      <c r="V1765" s="40" t="n"/>
      <c r="W1765" s="40" t="n"/>
      <c r="X1765" s="40" t="n"/>
      <c r="Y1765" s="40" t="n"/>
      <c r="Z1765" s="40" t="n"/>
      <c r="AA1765" s="39" t="n"/>
    </row>
    <row r="1766">
      <c r="A1766" s="7" t="n"/>
      <c r="B1766" s="7" t="n"/>
      <c r="C1766" s="39" t="n"/>
      <c r="D1766" s="39" t="n"/>
      <c r="E1766" s="7" t="n"/>
      <c r="F1766" s="7" t="n"/>
      <c r="G1766" s="7" t="n"/>
      <c r="H1766" s="39" t="n"/>
      <c r="I1766" s="39" t="n"/>
      <c r="J1766" s="39" t="n"/>
      <c r="K1766" s="39" t="n"/>
      <c r="L1766" s="39" t="n"/>
      <c r="M1766" s="7" t="n"/>
      <c r="N1766" s="7" t="n"/>
      <c r="O1766" s="40" t="n"/>
      <c r="P1766" s="40" t="n"/>
      <c r="Q1766" s="40" t="n"/>
      <c r="R1766" s="40" t="n"/>
      <c r="S1766" s="40" t="n"/>
      <c r="T1766" s="40" t="n"/>
      <c r="U1766" s="40" t="n"/>
      <c r="V1766" s="40" t="n"/>
      <c r="W1766" s="40" t="n"/>
      <c r="X1766" s="40" t="n"/>
      <c r="Y1766" s="40" t="n"/>
      <c r="Z1766" s="40" t="n"/>
      <c r="AA1766" s="39" t="n"/>
    </row>
    <row r="1767">
      <c r="A1767" s="7" t="n"/>
      <c r="B1767" s="7" t="n"/>
      <c r="C1767" s="39" t="n"/>
      <c r="D1767" s="39" t="n"/>
      <c r="E1767" s="7" t="n"/>
      <c r="F1767" s="7" t="n"/>
      <c r="G1767" s="7" t="n"/>
      <c r="H1767" s="39" t="n"/>
      <c r="I1767" s="39" t="n"/>
      <c r="J1767" s="39" t="n"/>
      <c r="K1767" s="39" t="n"/>
      <c r="L1767" s="39" t="n"/>
      <c r="M1767" s="7" t="n"/>
      <c r="N1767" s="7" t="n"/>
      <c r="O1767" s="40" t="n"/>
      <c r="P1767" s="40" t="n"/>
      <c r="Q1767" s="40" t="n"/>
      <c r="R1767" s="40" t="n"/>
      <c r="S1767" s="40" t="n"/>
      <c r="T1767" s="40" t="n"/>
      <c r="U1767" s="40" t="n"/>
      <c r="V1767" s="40" t="n"/>
      <c r="W1767" s="40" t="n"/>
      <c r="X1767" s="40" t="n"/>
      <c r="Y1767" s="40" t="n"/>
      <c r="Z1767" s="40" t="n"/>
      <c r="AA1767" s="39" t="n"/>
    </row>
    <row r="1768">
      <c r="A1768" s="7" t="n"/>
      <c r="B1768" s="7" t="n"/>
      <c r="C1768" s="39" t="n"/>
      <c r="D1768" s="39" t="n"/>
      <c r="E1768" s="7" t="n"/>
      <c r="F1768" s="7" t="n"/>
      <c r="G1768" s="7" t="n"/>
      <c r="H1768" s="39" t="n"/>
      <c r="I1768" s="39" t="n"/>
      <c r="J1768" s="39" t="n"/>
      <c r="K1768" s="39" t="n"/>
      <c r="L1768" s="39" t="n"/>
      <c r="M1768" s="7" t="n"/>
      <c r="N1768" s="7" t="n"/>
      <c r="O1768" s="40" t="n"/>
      <c r="P1768" s="40" t="n"/>
      <c r="Q1768" s="40" t="n"/>
      <c r="R1768" s="40" t="n"/>
      <c r="S1768" s="40" t="n"/>
      <c r="T1768" s="40" t="n"/>
      <c r="U1768" s="40" t="n"/>
      <c r="V1768" s="40" t="n"/>
      <c r="W1768" s="40" t="n"/>
      <c r="X1768" s="40" t="n"/>
      <c r="Y1768" s="40" t="n"/>
      <c r="Z1768" s="40" t="n"/>
      <c r="AA1768" s="39" t="n"/>
    </row>
    <row r="1769">
      <c r="A1769" s="7" t="n"/>
      <c r="B1769" s="7" t="n"/>
      <c r="C1769" s="39" t="n"/>
      <c r="D1769" s="39" t="n"/>
      <c r="E1769" s="7" t="n"/>
      <c r="F1769" s="7" t="n"/>
      <c r="G1769" s="7" t="n"/>
      <c r="H1769" s="39" t="n"/>
      <c r="I1769" s="39" t="n"/>
      <c r="J1769" s="39" t="n"/>
      <c r="K1769" s="39" t="n"/>
      <c r="L1769" s="39" t="n"/>
      <c r="M1769" s="7" t="n"/>
      <c r="N1769" s="7" t="n"/>
      <c r="O1769" s="40" t="n"/>
      <c r="P1769" s="40" t="n"/>
      <c r="Q1769" s="40" t="n"/>
      <c r="R1769" s="40" t="n"/>
      <c r="S1769" s="40" t="n"/>
      <c r="T1769" s="40" t="n"/>
      <c r="U1769" s="40" t="n"/>
      <c r="V1769" s="40" t="n"/>
      <c r="W1769" s="40" t="n"/>
      <c r="X1769" s="40" t="n"/>
      <c r="Y1769" s="40" t="n"/>
      <c r="Z1769" s="40" t="n"/>
      <c r="AA1769" s="39" t="n"/>
    </row>
    <row r="1770">
      <c r="A1770" s="7" t="n"/>
      <c r="B1770" s="7" t="n"/>
      <c r="C1770" s="39" t="n"/>
      <c r="D1770" s="39" t="n"/>
      <c r="E1770" s="7" t="n"/>
      <c r="F1770" s="7" t="n"/>
      <c r="G1770" s="7" t="n"/>
      <c r="H1770" s="39" t="n"/>
      <c r="I1770" s="39" t="n"/>
      <c r="J1770" s="39" t="n"/>
      <c r="K1770" s="39" t="n"/>
      <c r="L1770" s="39" t="n"/>
      <c r="M1770" s="7" t="n"/>
      <c r="N1770" s="7" t="n"/>
      <c r="O1770" s="40" t="n"/>
      <c r="P1770" s="40" t="n"/>
      <c r="Q1770" s="40" t="n"/>
      <c r="R1770" s="40" t="n"/>
      <c r="S1770" s="40" t="n"/>
      <c r="T1770" s="40" t="n"/>
      <c r="U1770" s="40" t="n"/>
      <c r="V1770" s="40" t="n"/>
      <c r="W1770" s="40" t="n"/>
      <c r="X1770" s="40" t="n"/>
      <c r="Y1770" s="40" t="n"/>
      <c r="Z1770" s="40" t="n"/>
      <c r="AA1770" s="39" t="n"/>
    </row>
    <row r="1771">
      <c r="A1771" s="7" t="n"/>
      <c r="B1771" s="7" t="n"/>
      <c r="C1771" s="39" t="n"/>
      <c r="D1771" s="39" t="n"/>
      <c r="E1771" s="7" t="n"/>
      <c r="F1771" s="7" t="n"/>
      <c r="G1771" s="7" t="n"/>
      <c r="H1771" s="39" t="n"/>
      <c r="I1771" s="39" t="n"/>
      <c r="J1771" s="39" t="n"/>
      <c r="K1771" s="39" t="n"/>
      <c r="L1771" s="39" t="n"/>
      <c r="M1771" s="7" t="n"/>
      <c r="N1771" s="7" t="n"/>
      <c r="O1771" s="40" t="n"/>
      <c r="P1771" s="40" t="n"/>
      <c r="Q1771" s="40" t="n"/>
      <c r="R1771" s="40" t="n"/>
      <c r="S1771" s="40" t="n"/>
      <c r="T1771" s="40" t="n"/>
      <c r="U1771" s="40" t="n"/>
      <c r="V1771" s="40" t="n"/>
      <c r="W1771" s="40" t="n"/>
      <c r="X1771" s="40" t="n"/>
      <c r="Y1771" s="40" t="n"/>
      <c r="Z1771" s="40" t="n"/>
      <c r="AA1771" s="39" t="n"/>
    </row>
    <row r="1772">
      <c r="A1772" s="7" t="n"/>
      <c r="B1772" s="7" t="n"/>
      <c r="C1772" s="39" t="n"/>
      <c r="D1772" s="39" t="n"/>
      <c r="E1772" s="7" t="n"/>
      <c r="F1772" s="7" t="n"/>
      <c r="G1772" s="7" t="n"/>
      <c r="H1772" s="39" t="n"/>
      <c r="I1772" s="39" t="n"/>
      <c r="J1772" s="39" t="n"/>
      <c r="K1772" s="39" t="n"/>
      <c r="L1772" s="39" t="n"/>
      <c r="M1772" s="7" t="n"/>
      <c r="N1772" s="7" t="n"/>
      <c r="O1772" s="40" t="n"/>
      <c r="P1772" s="40" t="n"/>
      <c r="Q1772" s="40" t="n"/>
      <c r="R1772" s="40" t="n"/>
      <c r="S1772" s="40" t="n"/>
      <c r="T1772" s="40" t="n"/>
      <c r="U1772" s="40" t="n"/>
      <c r="V1772" s="40" t="n"/>
      <c r="W1772" s="40" t="n"/>
      <c r="X1772" s="40" t="n"/>
      <c r="Y1772" s="40" t="n"/>
      <c r="Z1772" s="40" t="n"/>
      <c r="AA1772" s="39" t="n"/>
    </row>
    <row r="1773">
      <c r="A1773" s="7" t="n"/>
      <c r="B1773" s="7" t="n"/>
      <c r="C1773" s="39" t="n"/>
      <c r="D1773" s="39" t="n"/>
      <c r="E1773" s="7" t="n"/>
      <c r="F1773" s="7" t="n"/>
      <c r="G1773" s="7" t="n"/>
      <c r="H1773" s="39" t="n"/>
      <c r="I1773" s="39" t="n"/>
      <c r="J1773" s="39" t="n"/>
      <c r="K1773" s="39" t="n"/>
      <c r="L1773" s="39" t="n"/>
      <c r="M1773" s="7" t="n"/>
      <c r="N1773" s="7" t="n"/>
      <c r="O1773" s="40" t="n"/>
      <c r="P1773" s="40" t="n"/>
      <c r="Q1773" s="40" t="n"/>
      <c r="R1773" s="40" t="n"/>
      <c r="S1773" s="40" t="n"/>
      <c r="T1773" s="40" t="n"/>
      <c r="U1773" s="40" t="n"/>
      <c r="V1773" s="40" t="n"/>
      <c r="W1773" s="40" t="n"/>
      <c r="X1773" s="40" t="n"/>
      <c r="Y1773" s="40" t="n"/>
      <c r="Z1773" s="40" t="n"/>
      <c r="AA1773" s="39" t="n"/>
    </row>
    <row r="1774">
      <c r="A1774" s="7" t="n"/>
      <c r="B1774" s="7" t="n"/>
      <c r="C1774" s="39" t="n"/>
      <c r="D1774" s="39" t="n"/>
      <c r="E1774" s="7" t="n"/>
      <c r="F1774" s="7" t="n"/>
      <c r="G1774" s="7" t="n"/>
      <c r="H1774" s="39" t="n"/>
      <c r="I1774" s="39" t="n"/>
      <c r="J1774" s="39" t="n"/>
      <c r="K1774" s="39" t="n"/>
      <c r="L1774" s="39" t="n"/>
      <c r="M1774" s="7" t="n"/>
      <c r="N1774" s="7" t="n"/>
      <c r="O1774" s="40" t="n"/>
      <c r="P1774" s="40" t="n"/>
      <c r="Q1774" s="40" t="n"/>
      <c r="R1774" s="40" t="n"/>
      <c r="S1774" s="40" t="n"/>
      <c r="T1774" s="40" t="n"/>
      <c r="U1774" s="40" t="n"/>
      <c r="V1774" s="40" t="n"/>
      <c r="W1774" s="40" t="n"/>
      <c r="X1774" s="40" t="n"/>
      <c r="Y1774" s="40" t="n"/>
      <c r="Z1774" s="40" t="n"/>
      <c r="AA1774" s="39" t="n"/>
    </row>
    <row r="1775">
      <c r="A1775" s="7" t="n"/>
      <c r="B1775" s="7" t="n"/>
      <c r="C1775" s="39" t="n"/>
      <c r="D1775" s="39" t="n"/>
      <c r="E1775" s="7" t="n"/>
      <c r="F1775" s="7" t="n"/>
      <c r="G1775" s="7" t="n"/>
      <c r="H1775" s="39" t="n"/>
      <c r="I1775" s="39" t="n"/>
      <c r="J1775" s="39" t="n"/>
      <c r="K1775" s="39" t="n"/>
      <c r="L1775" s="39" t="n"/>
      <c r="M1775" s="7" t="n"/>
      <c r="N1775" s="7" t="n"/>
      <c r="O1775" s="40" t="n"/>
      <c r="P1775" s="40" t="n"/>
      <c r="Q1775" s="40" t="n"/>
      <c r="R1775" s="40" t="n"/>
      <c r="S1775" s="40" t="n"/>
      <c r="T1775" s="40" t="n"/>
      <c r="U1775" s="40" t="n"/>
      <c r="V1775" s="40" t="n"/>
      <c r="W1775" s="40" t="n"/>
      <c r="X1775" s="40" t="n"/>
      <c r="Y1775" s="40" t="n"/>
      <c r="Z1775" s="40" t="n"/>
      <c r="AA1775" s="39" t="n"/>
    </row>
    <row r="1776">
      <c r="A1776" s="7" t="n"/>
      <c r="B1776" s="7" t="n"/>
      <c r="C1776" s="39" t="n"/>
      <c r="D1776" s="39" t="n"/>
      <c r="E1776" s="7" t="n"/>
      <c r="F1776" s="7" t="n"/>
      <c r="G1776" s="7" t="n"/>
      <c r="H1776" s="39" t="n"/>
      <c r="I1776" s="39" t="n"/>
      <c r="J1776" s="39" t="n"/>
      <c r="K1776" s="39" t="n"/>
      <c r="L1776" s="39" t="n"/>
      <c r="M1776" s="7" t="n"/>
      <c r="N1776" s="7" t="n"/>
      <c r="O1776" s="40" t="n"/>
      <c r="P1776" s="40" t="n"/>
      <c r="Q1776" s="40" t="n"/>
      <c r="R1776" s="40" t="n"/>
      <c r="S1776" s="40" t="n"/>
      <c r="T1776" s="40" t="n"/>
      <c r="U1776" s="40" t="n"/>
      <c r="V1776" s="40" t="n"/>
      <c r="W1776" s="40" t="n"/>
      <c r="X1776" s="40" t="n"/>
      <c r="Y1776" s="40" t="n"/>
      <c r="Z1776" s="40" t="n"/>
      <c r="AA1776" s="39" t="n"/>
    </row>
    <row r="1777">
      <c r="A1777" s="7" t="n"/>
      <c r="B1777" s="7" t="n"/>
      <c r="C1777" s="39" t="n"/>
      <c r="D1777" s="39" t="n"/>
      <c r="E1777" s="7" t="n"/>
      <c r="F1777" s="7" t="n"/>
      <c r="G1777" s="7" t="n"/>
      <c r="H1777" s="39" t="n"/>
      <c r="I1777" s="39" t="n"/>
      <c r="J1777" s="39" t="n"/>
      <c r="K1777" s="39" t="n"/>
      <c r="L1777" s="39" t="n"/>
      <c r="M1777" s="7" t="n"/>
      <c r="N1777" s="7" t="n"/>
      <c r="O1777" s="40" t="n"/>
      <c r="P1777" s="40" t="n"/>
      <c r="Q1777" s="40" t="n"/>
      <c r="R1777" s="40" t="n"/>
      <c r="S1777" s="40" t="n"/>
      <c r="T1777" s="40" t="n"/>
      <c r="U1777" s="40" t="n"/>
      <c r="V1777" s="40" t="n"/>
      <c r="W1777" s="40" t="n"/>
      <c r="X1777" s="40" t="n"/>
      <c r="Y1777" s="40" t="n"/>
      <c r="Z1777" s="40" t="n"/>
      <c r="AA1777" s="39" t="n"/>
    </row>
    <row r="1778">
      <c r="A1778" s="7" t="n"/>
      <c r="B1778" s="7" t="n"/>
      <c r="C1778" s="39" t="n"/>
      <c r="D1778" s="39" t="n"/>
      <c r="E1778" s="7" t="n"/>
      <c r="F1778" s="7" t="n"/>
      <c r="G1778" s="7" t="n"/>
      <c r="H1778" s="39" t="n"/>
      <c r="I1778" s="39" t="n"/>
      <c r="J1778" s="39" t="n"/>
      <c r="K1778" s="39" t="n"/>
      <c r="L1778" s="39" t="n"/>
      <c r="M1778" s="7" t="n"/>
      <c r="N1778" s="7" t="n"/>
      <c r="O1778" s="40" t="n"/>
      <c r="P1778" s="40" t="n"/>
      <c r="Q1778" s="40" t="n"/>
      <c r="R1778" s="40" t="n"/>
      <c r="S1778" s="40" t="n"/>
      <c r="T1778" s="40" t="n"/>
      <c r="U1778" s="40" t="n"/>
      <c r="V1778" s="40" t="n"/>
      <c r="W1778" s="40" t="n"/>
      <c r="X1778" s="40" t="n"/>
      <c r="Y1778" s="40" t="n"/>
      <c r="Z1778" s="40" t="n"/>
      <c r="AA1778" s="39" t="n"/>
    </row>
    <row r="1779">
      <c r="A1779" s="7" t="n"/>
      <c r="B1779" s="7" t="n"/>
      <c r="C1779" s="39" t="n"/>
      <c r="D1779" s="39" t="n"/>
      <c r="E1779" s="7" t="n"/>
      <c r="F1779" s="7" t="n"/>
      <c r="G1779" s="7" t="n"/>
      <c r="H1779" s="39" t="n"/>
      <c r="I1779" s="39" t="n"/>
      <c r="J1779" s="39" t="n"/>
      <c r="K1779" s="39" t="n"/>
      <c r="L1779" s="39" t="n"/>
      <c r="M1779" s="7" t="n"/>
      <c r="N1779" s="7" t="n"/>
      <c r="O1779" s="40" t="n"/>
      <c r="P1779" s="40" t="n"/>
      <c r="Q1779" s="40" t="n"/>
      <c r="R1779" s="40" t="n"/>
      <c r="S1779" s="40" t="n"/>
      <c r="T1779" s="40" t="n"/>
      <c r="U1779" s="40" t="n"/>
      <c r="V1779" s="40" t="n"/>
      <c r="W1779" s="40" t="n"/>
      <c r="X1779" s="40" t="n"/>
      <c r="Y1779" s="40" t="n"/>
      <c r="Z1779" s="40" t="n"/>
      <c r="AA1779" s="39" t="n"/>
    </row>
    <row r="1780">
      <c r="A1780" s="7" t="n"/>
      <c r="B1780" s="7" t="n"/>
      <c r="C1780" s="39" t="n"/>
      <c r="D1780" s="39" t="n"/>
      <c r="E1780" s="7" t="n"/>
      <c r="F1780" s="7" t="n"/>
      <c r="G1780" s="7" t="n"/>
      <c r="H1780" s="39" t="n"/>
      <c r="I1780" s="39" t="n"/>
      <c r="J1780" s="39" t="n"/>
      <c r="K1780" s="39" t="n"/>
      <c r="L1780" s="39" t="n"/>
      <c r="M1780" s="7" t="n"/>
      <c r="N1780" s="7" t="n"/>
      <c r="O1780" s="40" t="n"/>
      <c r="P1780" s="40" t="n"/>
      <c r="Q1780" s="40" t="n"/>
      <c r="R1780" s="40" t="n"/>
      <c r="S1780" s="40" t="n"/>
      <c r="T1780" s="40" t="n"/>
      <c r="U1780" s="40" t="n"/>
      <c r="V1780" s="40" t="n"/>
      <c r="W1780" s="40" t="n"/>
      <c r="X1780" s="40" t="n"/>
      <c r="Y1780" s="40" t="n"/>
      <c r="Z1780" s="40" t="n"/>
      <c r="AA1780" s="39" t="n"/>
    </row>
    <row r="1781">
      <c r="A1781" s="7" t="n"/>
      <c r="B1781" s="7" t="n"/>
      <c r="C1781" s="39" t="n"/>
      <c r="D1781" s="39" t="n"/>
      <c r="E1781" s="7" t="n"/>
      <c r="F1781" s="7" t="n"/>
      <c r="G1781" s="7" t="n"/>
      <c r="H1781" s="39" t="n"/>
      <c r="I1781" s="39" t="n"/>
      <c r="J1781" s="39" t="n"/>
      <c r="K1781" s="39" t="n"/>
      <c r="L1781" s="39" t="n"/>
      <c r="M1781" s="7" t="n"/>
      <c r="N1781" s="7" t="n"/>
      <c r="O1781" s="40" t="n"/>
      <c r="P1781" s="40" t="n"/>
      <c r="Q1781" s="40" t="n"/>
      <c r="R1781" s="40" t="n"/>
      <c r="S1781" s="40" t="n"/>
      <c r="T1781" s="40" t="n"/>
      <c r="U1781" s="40" t="n"/>
      <c r="V1781" s="40" t="n"/>
      <c r="W1781" s="40" t="n"/>
      <c r="X1781" s="40" t="n"/>
      <c r="Y1781" s="40" t="n"/>
      <c r="Z1781" s="40" t="n"/>
      <c r="AA1781" s="39" t="n"/>
    </row>
    <row r="1782">
      <c r="A1782" s="7" t="n"/>
      <c r="B1782" s="7" t="n"/>
      <c r="C1782" s="39" t="n"/>
      <c r="D1782" s="39" t="n"/>
      <c r="E1782" s="7" t="n"/>
      <c r="F1782" s="7" t="n"/>
      <c r="G1782" s="7" t="n"/>
      <c r="H1782" s="39" t="n"/>
      <c r="I1782" s="39" t="n"/>
      <c r="J1782" s="39" t="n"/>
      <c r="K1782" s="39" t="n"/>
      <c r="L1782" s="39" t="n"/>
      <c r="M1782" s="7" t="n"/>
      <c r="N1782" s="7" t="n"/>
      <c r="O1782" s="40" t="n"/>
      <c r="P1782" s="40" t="n"/>
      <c r="Q1782" s="40" t="n"/>
      <c r="R1782" s="40" t="n"/>
      <c r="S1782" s="40" t="n"/>
      <c r="T1782" s="40" t="n"/>
      <c r="U1782" s="40" t="n"/>
      <c r="V1782" s="40" t="n"/>
      <c r="W1782" s="40" t="n"/>
      <c r="X1782" s="40" t="n"/>
      <c r="Y1782" s="40" t="n"/>
      <c r="Z1782" s="40" t="n"/>
      <c r="AA1782" s="39" t="n"/>
    </row>
    <row r="1783">
      <c r="A1783" s="7" t="n"/>
      <c r="B1783" s="7" t="n"/>
      <c r="C1783" s="39" t="n"/>
      <c r="D1783" s="39" t="n"/>
      <c r="E1783" s="7" t="n"/>
      <c r="F1783" s="7" t="n"/>
      <c r="G1783" s="7" t="n"/>
      <c r="H1783" s="39" t="n"/>
      <c r="I1783" s="39" t="n"/>
      <c r="J1783" s="39" t="n"/>
      <c r="K1783" s="39" t="n"/>
      <c r="L1783" s="39" t="n"/>
      <c r="M1783" s="7" t="n"/>
      <c r="N1783" s="7" t="n"/>
      <c r="O1783" s="40" t="n"/>
      <c r="P1783" s="40" t="n"/>
      <c r="Q1783" s="40" t="n"/>
      <c r="R1783" s="40" t="n"/>
      <c r="S1783" s="40" t="n"/>
      <c r="T1783" s="40" t="n"/>
      <c r="U1783" s="40" t="n"/>
      <c r="V1783" s="40" t="n"/>
      <c r="W1783" s="40" t="n"/>
      <c r="X1783" s="40" t="n"/>
      <c r="Y1783" s="40" t="n"/>
      <c r="Z1783" s="40" t="n"/>
      <c r="AA1783" s="39" t="n"/>
    </row>
    <row r="1784">
      <c r="A1784" s="7" t="n"/>
      <c r="B1784" s="7" t="n"/>
      <c r="C1784" s="39" t="n"/>
      <c r="D1784" s="39" t="n"/>
      <c r="E1784" s="7" t="n"/>
      <c r="F1784" s="7" t="n"/>
      <c r="G1784" s="7" t="n"/>
      <c r="H1784" s="39" t="n"/>
      <c r="I1784" s="39" t="n"/>
      <c r="J1784" s="39" t="n"/>
      <c r="K1784" s="39" t="n"/>
      <c r="L1784" s="39" t="n"/>
      <c r="M1784" s="7" t="n"/>
      <c r="N1784" s="7" t="n"/>
      <c r="O1784" s="40" t="n"/>
      <c r="P1784" s="40" t="n"/>
      <c r="Q1784" s="40" t="n"/>
      <c r="R1784" s="40" t="n"/>
      <c r="S1784" s="40" t="n"/>
      <c r="T1784" s="40" t="n"/>
      <c r="U1784" s="40" t="n"/>
      <c r="V1784" s="40" t="n"/>
      <c r="W1784" s="40" t="n"/>
      <c r="X1784" s="40" t="n"/>
      <c r="Y1784" s="40" t="n"/>
      <c r="Z1784" s="40" t="n"/>
      <c r="AA1784" s="39" t="n"/>
    </row>
    <row r="1785">
      <c r="A1785" s="7" t="n"/>
      <c r="B1785" s="7" t="n"/>
      <c r="C1785" s="39" t="n"/>
      <c r="D1785" s="39" t="n"/>
      <c r="E1785" s="7" t="n"/>
      <c r="F1785" s="7" t="n"/>
      <c r="G1785" s="7" t="n"/>
      <c r="H1785" s="39" t="n"/>
      <c r="I1785" s="39" t="n"/>
      <c r="J1785" s="39" t="n"/>
      <c r="K1785" s="39" t="n"/>
      <c r="L1785" s="39" t="n"/>
      <c r="M1785" s="7" t="n"/>
      <c r="N1785" s="7" t="n"/>
      <c r="O1785" s="40" t="n"/>
      <c r="P1785" s="40" t="n"/>
      <c r="Q1785" s="40" t="n"/>
      <c r="R1785" s="40" t="n"/>
      <c r="S1785" s="40" t="n"/>
      <c r="T1785" s="40" t="n"/>
      <c r="U1785" s="40" t="n"/>
      <c r="V1785" s="40" t="n"/>
      <c r="W1785" s="40" t="n"/>
      <c r="X1785" s="40" t="n"/>
      <c r="Y1785" s="40" t="n"/>
      <c r="Z1785" s="40" t="n"/>
      <c r="AA1785" s="39" t="n"/>
    </row>
    <row r="1786">
      <c r="A1786" s="7" t="n"/>
      <c r="B1786" s="7" t="n"/>
      <c r="C1786" s="39" t="n"/>
      <c r="D1786" s="39" t="n"/>
      <c r="E1786" s="7" t="n"/>
      <c r="F1786" s="7" t="n"/>
      <c r="G1786" s="7" t="n"/>
      <c r="H1786" s="39" t="n"/>
      <c r="I1786" s="39" t="n"/>
      <c r="J1786" s="39" t="n"/>
      <c r="K1786" s="39" t="n"/>
      <c r="L1786" s="39" t="n"/>
      <c r="M1786" s="7" t="n"/>
      <c r="N1786" s="7" t="n"/>
      <c r="O1786" s="40" t="n"/>
      <c r="P1786" s="40" t="n"/>
      <c r="Q1786" s="40" t="n"/>
      <c r="R1786" s="40" t="n"/>
      <c r="S1786" s="40" t="n"/>
      <c r="T1786" s="40" t="n"/>
      <c r="U1786" s="40" t="n"/>
      <c r="V1786" s="40" t="n"/>
      <c r="W1786" s="40" t="n"/>
      <c r="X1786" s="40" t="n"/>
      <c r="Y1786" s="40" t="n"/>
      <c r="Z1786" s="40" t="n"/>
      <c r="AA1786" s="39" t="n"/>
    </row>
    <row r="1787">
      <c r="A1787" s="7" t="n"/>
      <c r="B1787" s="7" t="n"/>
      <c r="C1787" s="39" t="n"/>
      <c r="D1787" s="39" t="n"/>
      <c r="E1787" s="7" t="n"/>
      <c r="F1787" s="7" t="n"/>
      <c r="G1787" s="7" t="n"/>
      <c r="H1787" s="39" t="n"/>
      <c r="I1787" s="39" t="n"/>
      <c r="J1787" s="39" t="n"/>
      <c r="K1787" s="39" t="n"/>
      <c r="L1787" s="39" t="n"/>
      <c r="M1787" s="7" t="n"/>
      <c r="N1787" s="7" t="n"/>
      <c r="O1787" s="40" t="n"/>
      <c r="P1787" s="40" t="n"/>
      <c r="Q1787" s="40" t="n"/>
      <c r="R1787" s="40" t="n"/>
      <c r="S1787" s="40" t="n"/>
      <c r="T1787" s="40" t="n"/>
      <c r="U1787" s="40" t="n"/>
      <c r="V1787" s="40" t="n"/>
      <c r="W1787" s="40" t="n"/>
      <c r="X1787" s="40" t="n"/>
      <c r="Y1787" s="40" t="n"/>
      <c r="Z1787" s="40" t="n"/>
      <c r="AA1787" s="39" t="n"/>
    </row>
    <row r="1788">
      <c r="A1788" s="7" t="n"/>
      <c r="B1788" s="7" t="n"/>
      <c r="C1788" s="39" t="n"/>
      <c r="D1788" s="39" t="n"/>
      <c r="E1788" s="7" t="n"/>
      <c r="F1788" s="7" t="n"/>
      <c r="G1788" s="7" t="n"/>
      <c r="H1788" s="39" t="n"/>
      <c r="I1788" s="39" t="n"/>
      <c r="J1788" s="39" t="n"/>
      <c r="K1788" s="39" t="n"/>
      <c r="L1788" s="39" t="n"/>
      <c r="M1788" s="7" t="n"/>
      <c r="N1788" s="7" t="n"/>
      <c r="O1788" s="40" t="n"/>
      <c r="P1788" s="40" t="n"/>
      <c r="Q1788" s="40" t="n"/>
      <c r="R1788" s="40" t="n"/>
      <c r="S1788" s="40" t="n"/>
      <c r="T1788" s="40" t="n"/>
      <c r="U1788" s="40" t="n"/>
      <c r="V1788" s="40" t="n"/>
      <c r="W1788" s="40" t="n"/>
      <c r="X1788" s="40" t="n"/>
      <c r="Y1788" s="40" t="n"/>
      <c r="Z1788" s="40" t="n"/>
      <c r="AA1788" s="39" t="n"/>
    </row>
    <row r="1789">
      <c r="A1789" s="7" t="n"/>
      <c r="B1789" s="7" t="n"/>
      <c r="C1789" s="39" t="n"/>
      <c r="D1789" s="39" t="n"/>
      <c r="E1789" s="7" t="n"/>
      <c r="F1789" s="7" t="n"/>
      <c r="G1789" s="7" t="n"/>
      <c r="H1789" s="39" t="n"/>
      <c r="I1789" s="39" t="n"/>
      <c r="J1789" s="39" t="n"/>
      <c r="K1789" s="39" t="n"/>
      <c r="L1789" s="39" t="n"/>
      <c r="M1789" s="7" t="n"/>
      <c r="N1789" s="7" t="n"/>
      <c r="O1789" s="40" t="n"/>
      <c r="P1789" s="40" t="n"/>
      <c r="Q1789" s="40" t="n"/>
      <c r="R1789" s="40" t="n"/>
      <c r="S1789" s="40" t="n"/>
      <c r="T1789" s="40" t="n"/>
      <c r="U1789" s="40" t="n"/>
      <c r="V1789" s="40" t="n"/>
      <c r="W1789" s="40" t="n"/>
      <c r="X1789" s="40" t="n"/>
      <c r="Y1789" s="40" t="n"/>
      <c r="Z1789" s="40" t="n"/>
      <c r="AA1789" s="39" t="n"/>
    </row>
    <row r="1790">
      <c r="A1790" s="7" t="n"/>
      <c r="B1790" s="7" t="n"/>
      <c r="C1790" s="39" t="n"/>
      <c r="D1790" s="39" t="n"/>
      <c r="E1790" s="7" t="n"/>
      <c r="F1790" s="7" t="n"/>
      <c r="G1790" s="7" t="n"/>
      <c r="H1790" s="39" t="n"/>
      <c r="I1790" s="39" t="n"/>
      <c r="J1790" s="39" t="n"/>
      <c r="K1790" s="39" t="n"/>
      <c r="L1790" s="39" t="n"/>
      <c r="M1790" s="7" t="n"/>
      <c r="N1790" s="7" t="n"/>
      <c r="O1790" s="40" t="n"/>
      <c r="P1790" s="40" t="n"/>
      <c r="Q1790" s="40" t="n"/>
      <c r="R1790" s="40" t="n"/>
      <c r="S1790" s="40" t="n"/>
      <c r="T1790" s="40" t="n"/>
      <c r="U1790" s="40" t="n"/>
      <c r="V1790" s="40" t="n"/>
      <c r="W1790" s="40" t="n"/>
      <c r="X1790" s="40" t="n"/>
      <c r="Y1790" s="40" t="n"/>
      <c r="Z1790" s="40" t="n"/>
      <c r="AA1790" s="39" t="n"/>
    </row>
    <row r="1791">
      <c r="A1791" s="7" t="n"/>
      <c r="B1791" s="7" t="n"/>
      <c r="C1791" s="39" t="n"/>
      <c r="D1791" s="39" t="n"/>
      <c r="E1791" s="7" t="n"/>
      <c r="F1791" s="7" t="n"/>
      <c r="G1791" s="7" t="n"/>
      <c r="H1791" s="39" t="n"/>
      <c r="I1791" s="39" t="n"/>
      <c r="J1791" s="39" t="n"/>
      <c r="K1791" s="39" t="n"/>
      <c r="L1791" s="39" t="n"/>
      <c r="M1791" s="7" t="n"/>
      <c r="N1791" s="7" t="n"/>
      <c r="O1791" s="40" t="n"/>
      <c r="P1791" s="40" t="n"/>
      <c r="Q1791" s="40" t="n"/>
      <c r="R1791" s="40" t="n"/>
      <c r="S1791" s="40" t="n"/>
      <c r="T1791" s="40" t="n"/>
      <c r="U1791" s="40" t="n"/>
      <c r="V1791" s="40" t="n"/>
      <c r="W1791" s="40" t="n"/>
      <c r="X1791" s="40" t="n"/>
      <c r="Y1791" s="40" t="n"/>
      <c r="Z1791" s="40" t="n"/>
      <c r="AA1791" s="39" t="n"/>
    </row>
    <row r="1792">
      <c r="A1792" s="7" t="n"/>
      <c r="B1792" s="7" t="n"/>
      <c r="C1792" s="39" t="n"/>
      <c r="D1792" s="39" t="n"/>
      <c r="E1792" s="7" t="n"/>
      <c r="F1792" s="7" t="n"/>
      <c r="G1792" s="7" t="n"/>
      <c r="H1792" s="39" t="n"/>
      <c r="I1792" s="39" t="n"/>
      <c r="J1792" s="39" t="n"/>
      <c r="K1792" s="39" t="n"/>
      <c r="L1792" s="39" t="n"/>
      <c r="M1792" s="7" t="n"/>
      <c r="N1792" s="7" t="n"/>
      <c r="O1792" s="40" t="n"/>
      <c r="P1792" s="40" t="n"/>
      <c r="Q1792" s="40" t="n"/>
      <c r="R1792" s="40" t="n"/>
      <c r="S1792" s="40" t="n"/>
      <c r="T1792" s="40" t="n"/>
      <c r="U1792" s="40" t="n"/>
      <c r="V1792" s="40" t="n"/>
      <c r="W1792" s="40" t="n"/>
      <c r="X1792" s="40" t="n"/>
      <c r="Y1792" s="40" t="n"/>
      <c r="Z1792" s="40" t="n"/>
      <c r="AA1792" s="39" t="n"/>
    </row>
    <row r="1793">
      <c r="A1793" s="7" t="n"/>
      <c r="B1793" s="7" t="n"/>
      <c r="C1793" s="39" t="n"/>
      <c r="D1793" s="39" t="n"/>
      <c r="E1793" s="7" t="n"/>
      <c r="F1793" s="7" t="n"/>
      <c r="G1793" s="7" t="n"/>
      <c r="H1793" s="39" t="n"/>
      <c r="I1793" s="39" t="n"/>
      <c r="J1793" s="39" t="n"/>
      <c r="K1793" s="39" t="n"/>
      <c r="L1793" s="39" t="n"/>
      <c r="M1793" s="7" t="n"/>
      <c r="N1793" s="7" t="n"/>
      <c r="O1793" s="40" t="n"/>
      <c r="P1793" s="40" t="n"/>
      <c r="Q1793" s="40" t="n"/>
      <c r="R1793" s="40" t="n"/>
      <c r="S1793" s="40" t="n"/>
      <c r="T1793" s="40" t="n"/>
      <c r="U1793" s="40" t="n"/>
      <c r="V1793" s="40" t="n"/>
      <c r="W1793" s="40" t="n"/>
      <c r="X1793" s="40" t="n"/>
      <c r="Y1793" s="40" t="n"/>
      <c r="Z1793" s="40" t="n"/>
      <c r="AA1793" s="39" t="n"/>
    </row>
    <row r="1794">
      <c r="A1794" s="7" t="n"/>
      <c r="B1794" s="7" t="n"/>
      <c r="C1794" s="39" t="n"/>
      <c r="D1794" s="39" t="n"/>
      <c r="E1794" s="7" t="n"/>
      <c r="F1794" s="7" t="n"/>
      <c r="G1794" s="7" t="n"/>
      <c r="H1794" s="39" t="n"/>
      <c r="I1794" s="39" t="n"/>
      <c r="J1794" s="39" t="n"/>
      <c r="K1794" s="39" t="n"/>
      <c r="L1794" s="39" t="n"/>
      <c r="M1794" s="7" t="n"/>
      <c r="N1794" s="7" t="n"/>
      <c r="O1794" s="40" t="n"/>
      <c r="P1794" s="40" t="n"/>
      <c r="Q1794" s="40" t="n"/>
      <c r="R1794" s="40" t="n"/>
      <c r="S1794" s="40" t="n"/>
      <c r="T1794" s="40" t="n"/>
      <c r="U1794" s="40" t="n"/>
      <c r="V1794" s="40" t="n"/>
      <c r="W1794" s="40" t="n"/>
      <c r="X1794" s="40" t="n"/>
      <c r="Y1794" s="40" t="n"/>
      <c r="Z1794" s="40" t="n"/>
      <c r="AA1794" s="39" t="n"/>
    </row>
    <row r="1795">
      <c r="A1795" s="7" t="n"/>
      <c r="B1795" s="7" t="n"/>
      <c r="C1795" s="39" t="n"/>
      <c r="D1795" s="39" t="n"/>
      <c r="E1795" s="7" t="n"/>
      <c r="F1795" s="7" t="n"/>
      <c r="G1795" s="7" t="n"/>
      <c r="H1795" s="39" t="n"/>
      <c r="I1795" s="39" t="n"/>
      <c r="J1795" s="39" t="n"/>
      <c r="K1795" s="39" t="n"/>
      <c r="L1795" s="39" t="n"/>
      <c r="M1795" s="7" t="n"/>
      <c r="N1795" s="7" t="n"/>
      <c r="O1795" s="40" t="n"/>
      <c r="P1795" s="40" t="n"/>
      <c r="Q1795" s="40" t="n"/>
      <c r="R1795" s="40" t="n"/>
      <c r="S1795" s="40" t="n"/>
      <c r="T1795" s="40" t="n"/>
      <c r="U1795" s="40" t="n"/>
      <c r="V1795" s="40" t="n"/>
      <c r="W1795" s="40" t="n"/>
      <c r="X1795" s="40" t="n"/>
      <c r="Y1795" s="40" t="n"/>
      <c r="Z1795" s="40" t="n"/>
      <c r="AA1795" s="39" t="n"/>
    </row>
    <row r="1796">
      <c r="A1796" s="7" t="n"/>
      <c r="B1796" s="7" t="n"/>
      <c r="C1796" s="39" t="n"/>
      <c r="D1796" s="39" t="n"/>
      <c r="E1796" s="7" t="n"/>
      <c r="F1796" s="7" t="n"/>
      <c r="G1796" s="7" t="n"/>
      <c r="H1796" s="39" t="n"/>
      <c r="I1796" s="39" t="n"/>
      <c r="J1796" s="39" t="n"/>
      <c r="K1796" s="39" t="n"/>
      <c r="L1796" s="39" t="n"/>
      <c r="M1796" s="7" t="n"/>
      <c r="N1796" s="7" t="n"/>
      <c r="O1796" s="40" t="n"/>
      <c r="P1796" s="40" t="n"/>
      <c r="Q1796" s="40" t="n"/>
      <c r="R1796" s="40" t="n"/>
      <c r="S1796" s="40" t="n"/>
      <c r="T1796" s="40" t="n"/>
      <c r="U1796" s="40" t="n"/>
      <c r="V1796" s="40" t="n"/>
      <c r="W1796" s="40" t="n"/>
      <c r="X1796" s="40" t="n"/>
      <c r="Y1796" s="40" t="n"/>
      <c r="Z1796" s="40" t="n"/>
      <c r="AA1796" s="39" t="n"/>
    </row>
    <row r="1797">
      <c r="A1797" s="7" t="n"/>
      <c r="B1797" s="7" t="n"/>
      <c r="C1797" s="39" t="n"/>
      <c r="D1797" s="39" t="n"/>
      <c r="E1797" s="7" t="n"/>
      <c r="F1797" s="7" t="n"/>
      <c r="G1797" s="7" t="n"/>
      <c r="H1797" s="39" t="n"/>
      <c r="I1797" s="39" t="n"/>
      <c r="J1797" s="39" t="n"/>
      <c r="K1797" s="39" t="n"/>
      <c r="L1797" s="39" t="n"/>
      <c r="M1797" s="7" t="n"/>
      <c r="N1797" s="7" t="n"/>
      <c r="O1797" s="40" t="n"/>
      <c r="P1797" s="40" t="n"/>
      <c r="Q1797" s="40" t="n"/>
      <c r="R1797" s="40" t="n"/>
      <c r="S1797" s="40" t="n"/>
      <c r="T1797" s="40" t="n"/>
      <c r="U1797" s="40" t="n"/>
      <c r="V1797" s="40" t="n"/>
      <c r="W1797" s="40" t="n"/>
      <c r="X1797" s="40" t="n"/>
      <c r="Y1797" s="40" t="n"/>
      <c r="Z1797" s="40" t="n"/>
      <c r="AA1797" s="39" t="n"/>
    </row>
    <row r="1798">
      <c r="A1798" s="7" t="n"/>
      <c r="B1798" s="7" t="n"/>
      <c r="C1798" s="39" t="n"/>
      <c r="D1798" s="39" t="n"/>
      <c r="E1798" s="7" t="n"/>
      <c r="F1798" s="7" t="n"/>
      <c r="G1798" s="7" t="n"/>
      <c r="H1798" s="39" t="n"/>
      <c r="I1798" s="39" t="n"/>
      <c r="J1798" s="39" t="n"/>
      <c r="K1798" s="39" t="n"/>
      <c r="L1798" s="39" t="n"/>
      <c r="M1798" s="7" t="n"/>
      <c r="N1798" s="7" t="n"/>
      <c r="O1798" s="40" t="n"/>
      <c r="P1798" s="40" t="n"/>
      <c r="Q1798" s="40" t="n"/>
      <c r="R1798" s="40" t="n"/>
      <c r="S1798" s="40" t="n"/>
      <c r="T1798" s="40" t="n"/>
      <c r="U1798" s="40" t="n"/>
      <c r="V1798" s="40" t="n"/>
      <c r="W1798" s="40" t="n"/>
      <c r="X1798" s="40" t="n"/>
      <c r="Y1798" s="40" t="n"/>
      <c r="Z1798" s="40" t="n"/>
      <c r="AA1798" s="39" t="n"/>
    </row>
    <row r="1799">
      <c r="A1799" s="7" t="n"/>
      <c r="B1799" s="7" t="n"/>
      <c r="C1799" s="39" t="n"/>
      <c r="D1799" s="39" t="n"/>
      <c r="E1799" s="7" t="n"/>
      <c r="F1799" s="7" t="n"/>
      <c r="G1799" s="7" t="n"/>
      <c r="H1799" s="39" t="n"/>
      <c r="I1799" s="39" t="n"/>
      <c r="J1799" s="39" t="n"/>
      <c r="K1799" s="39" t="n"/>
      <c r="L1799" s="39" t="n"/>
      <c r="M1799" s="7" t="n"/>
      <c r="N1799" s="7" t="n"/>
      <c r="O1799" s="40" t="n"/>
      <c r="P1799" s="40" t="n"/>
      <c r="Q1799" s="40" t="n"/>
      <c r="R1799" s="40" t="n"/>
      <c r="S1799" s="40" t="n"/>
      <c r="T1799" s="40" t="n"/>
      <c r="U1799" s="40" t="n"/>
      <c r="V1799" s="40" t="n"/>
      <c r="W1799" s="40" t="n"/>
      <c r="X1799" s="40" t="n"/>
      <c r="Y1799" s="40" t="n"/>
      <c r="Z1799" s="40" t="n"/>
      <c r="AA1799" s="39" t="n"/>
    </row>
    <row r="1800">
      <c r="A1800" s="7" t="n"/>
      <c r="B1800" s="7" t="n"/>
      <c r="C1800" s="39" t="n"/>
      <c r="D1800" s="39" t="n"/>
      <c r="E1800" s="7" t="n"/>
      <c r="F1800" s="7" t="n"/>
      <c r="G1800" s="7" t="n"/>
      <c r="H1800" s="39" t="n"/>
      <c r="I1800" s="39" t="n"/>
      <c r="J1800" s="39" t="n"/>
      <c r="K1800" s="39" t="n"/>
      <c r="L1800" s="39" t="n"/>
      <c r="M1800" s="7" t="n"/>
      <c r="N1800" s="7" t="n"/>
      <c r="O1800" s="40" t="n"/>
      <c r="P1800" s="40" t="n"/>
      <c r="Q1800" s="40" t="n"/>
      <c r="R1800" s="40" t="n"/>
      <c r="S1800" s="40" t="n"/>
      <c r="T1800" s="40" t="n"/>
      <c r="U1800" s="40" t="n"/>
      <c r="V1800" s="40" t="n"/>
      <c r="W1800" s="40" t="n"/>
      <c r="X1800" s="40" t="n"/>
      <c r="Y1800" s="40" t="n"/>
      <c r="Z1800" s="40" t="n"/>
      <c r="AA1800" s="39" t="n"/>
    </row>
    <row r="1801">
      <c r="A1801" s="7" t="n"/>
      <c r="B1801" s="7" t="n"/>
      <c r="C1801" s="39" t="n"/>
      <c r="D1801" s="39" t="n"/>
      <c r="E1801" s="7" t="n"/>
      <c r="F1801" s="7" t="n"/>
      <c r="G1801" s="7" t="n"/>
      <c r="H1801" s="39" t="n"/>
      <c r="I1801" s="39" t="n"/>
      <c r="J1801" s="39" t="n"/>
      <c r="K1801" s="39" t="n"/>
      <c r="L1801" s="39" t="n"/>
      <c r="M1801" s="7" t="n"/>
      <c r="N1801" s="7" t="n"/>
      <c r="O1801" s="40" t="n"/>
      <c r="P1801" s="40" t="n"/>
      <c r="Q1801" s="40" t="n"/>
      <c r="R1801" s="40" t="n"/>
      <c r="S1801" s="40" t="n"/>
      <c r="T1801" s="40" t="n"/>
      <c r="U1801" s="40" t="n"/>
      <c r="V1801" s="40" t="n"/>
      <c r="W1801" s="40" t="n"/>
      <c r="X1801" s="40" t="n"/>
      <c r="Y1801" s="40" t="n"/>
      <c r="Z1801" s="40" t="n"/>
      <c r="AA1801" s="39" t="n"/>
    </row>
    <row r="1802">
      <c r="A1802" s="7" t="n"/>
      <c r="B1802" s="7" t="n"/>
      <c r="C1802" s="39" t="n"/>
      <c r="D1802" s="39" t="n"/>
      <c r="E1802" s="7" t="n"/>
      <c r="F1802" s="7" t="n"/>
      <c r="G1802" s="7" t="n"/>
      <c r="H1802" s="39" t="n"/>
      <c r="I1802" s="39" t="n"/>
      <c r="J1802" s="39" t="n"/>
      <c r="K1802" s="39" t="n"/>
      <c r="L1802" s="39" t="n"/>
      <c r="M1802" s="7" t="n"/>
      <c r="N1802" s="7" t="n"/>
      <c r="O1802" s="40" t="n"/>
      <c r="P1802" s="40" t="n"/>
      <c r="Q1802" s="40" t="n"/>
      <c r="R1802" s="40" t="n"/>
      <c r="S1802" s="40" t="n"/>
      <c r="T1802" s="40" t="n"/>
      <c r="U1802" s="40" t="n"/>
      <c r="V1802" s="40" t="n"/>
      <c r="W1802" s="40" t="n"/>
      <c r="X1802" s="40" t="n"/>
      <c r="Y1802" s="40" t="n"/>
      <c r="Z1802" s="40" t="n"/>
      <c r="AA1802" s="39" t="n"/>
    </row>
    <row r="1803">
      <c r="A1803" s="7" t="n"/>
      <c r="B1803" s="7" t="n"/>
      <c r="C1803" s="39" t="n"/>
      <c r="D1803" s="39" t="n"/>
      <c r="E1803" s="7" t="n"/>
      <c r="F1803" s="7" t="n"/>
      <c r="G1803" s="7" t="n"/>
      <c r="H1803" s="39" t="n"/>
      <c r="I1803" s="39" t="n"/>
      <c r="J1803" s="39" t="n"/>
      <c r="K1803" s="39" t="n"/>
      <c r="L1803" s="39" t="n"/>
      <c r="M1803" s="7" t="n"/>
      <c r="N1803" s="7" t="n"/>
      <c r="O1803" s="40" t="n"/>
      <c r="P1803" s="40" t="n"/>
      <c r="Q1803" s="40" t="n"/>
      <c r="R1803" s="40" t="n"/>
      <c r="S1803" s="40" t="n"/>
      <c r="T1803" s="40" t="n"/>
      <c r="U1803" s="40" t="n"/>
      <c r="V1803" s="40" t="n"/>
      <c r="W1803" s="40" t="n"/>
      <c r="X1803" s="40" t="n"/>
      <c r="Y1803" s="40" t="n"/>
      <c r="Z1803" s="40" t="n"/>
      <c r="AA1803" s="39" t="n"/>
    </row>
    <row r="1804">
      <c r="A1804" s="7" t="n"/>
      <c r="B1804" s="7" t="n"/>
      <c r="C1804" s="39" t="n"/>
      <c r="D1804" s="39" t="n"/>
      <c r="E1804" s="7" t="n"/>
      <c r="F1804" s="7" t="n"/>
      <c r="G1804" s="7" t="n"/>
      <c r="H1804" s="39" t="n"/>
      <c r="I1804" s="39" t="n"/>
      <c r="J1804" s="39" t="n"/>
      <c r="K1804" s="39" t="n"/>
      <c r="L1804" s="39" t="n"/>
      <c r="M1804" s="7" t="n"/>
      <c r="N1804" s="7" t="n"/>
      <c r="O1804" s="40" t="n"/>
      <c r="P1804" s="40" t="n"/>
      <c r="Q1804" s="40" t="n"/>
      <c r="R1804" s="40" t="n"/>
      <c r="S1804" s="40" t="n"/>
      <c r="T1804" s="40" t="n"/>
      <c r="U1804" s="40" t="n"/>
      <c r="V1804" s="40" t="n"/>
      <c r="W1804" s="40" t="n"/>
      <c r="X1804" s="40" t="n"/>
      <c r="Y1804" s="40" t="n"/>
      <c r="Z1804" s="40" t="n"/>
      <c r="AA1804" s="39" t="n"/>
    </row>
    <row r="1805">
      <c r="A1805" s="7" t="n"/>
      <c r="B1805" s="7" t="n"/>
      <c r="C1805" s="39" t="n"/>
      <c r="D1805" s="39" t="n"/>
      <c r="E1805" s="7" t="n"/>
      <c r="F1805" s="7" t="n"/>
      <c r="G1805" s="7" t="n"/>
      <c r="H1805" s="39" t="n"/>
      <c r="I1805" s="39" t="n"/>
      <c r="J1805" s="39" t="n"/>
      <c r="K1805" s="39" t="n"/>
      <c r="L1805" s="39" t="n"/>
      <c r="M1805" s="7" t="n"/>
      <c r="N1805" s="7" t="n"/>
      <c r="O1805" s="40" t="n"/>
      <c r="P1805" s="40" t="n"/>
      <c r="Q1805" s="40" t="n"/>
      <c r="R1805" s="40" t="n"/>
      <c r="S1805" s="40" t="n"/>
      <c r="T1805" s="40" t="n"/>
      <c r="U1805" s="40" t="n"/>
      <c r="V1805" s="40" t="n"/>
      <c r="W1805" s="40" t="n"/>
      <c r="X1805" s="40" t="n"/>
      <c r="Y1805" s="40" t="n"/>
      <c r="Z1805" s="40" t="n"/>
      <c r="AA1805" s="39" t="n"/>
    </row>
    <row r="1806">
      <c r="A1806" s="7" t="n"/>
      <c r="B1806" s="7" t="n"/>
      <c r="C1806" s="39" t="n"/>
      <c r="D1806" s="39" t="n"/>
      <c r="E1806" s="7" t="n"/>
      <c r="F1806" s="7" t="n"/>
      <c r="G1806" s="7" t="n"/>
      <c r="H1806" s="39" t="n"/>
      <c r="I1806" s="39" t="n"/>
      <c r="J1806" s="39" t="n"/>
      <c r="K1806" s="39" t="n"/>
      <c r="L1806" s="39" t="n"/>
      <c r="M1806" s="7" t="n"/>
      <c r="N1806" s="7" t="n"/>
      <c r="O1806" s="40" t="n"/>
      <c r="P1806" s="40" t="n"/>
      <c r="Q1806" s="40" t="n"/>
      <c r="R1806" s="40" t="n"/>
      <c r="S1806" s="40" t="n"/>
      <c r="T1806" s="40" t="n"/>
      <c r="U1806" s="40" t="n"/>
      <c r="V1806" s="40" t="n"/>
      <c r="W1806" s="40" t="n"/>
      <c r="X1806" s="40" t="n"/>
      <c r="Y1806" s="40" t="n"/>
      <c r="Z1806" s="40" t="n"/>
      <c r="AA1806" s="39" t="n"/>
    </row>
    <row r="1807">
      <c r="A1807" s="7" t="n"/>
      <c r="B1807" s="7" t="n"/>
      <c r="C1807" s="39" t="n"/>
      <c r="D1807" s="39" t="n"/>
      <c r="E1807" s="7" t="n"/>
      <c r="F1807" s="7" t="n"/>
      <c r="G1807" s="7" t="n"/>
      <c r="H1807" s="39" t="n"/>
      <c r="I1807" s="39" t="n"/>
      <c r="J1807" s="39" t="n"/>
      <c r="K1807" s="39" t="n"/>
      <c r="L1807" s="39" t="n"/>
      <c r="M1807" s="7" t="n"/>
      <c r="N1807" s="7" t="n"/>
      <c r="O1807" s="40" t="n"/>
      <c r="P1807" s="40" t="n"/>
      <c r="Q1807" s="40" t="n"/>
      <c r="R1807" s="40" t="n"/>
      <c r="S1807" s="40" t="n"/>
      <c r="T1807" s="40" t="n"/>
      <c r="U1807" s="40" t="n"/>
      <c r="V1807" s="40" t="n"/>
      <c r="W1807" s="40" t="n"/>
      <c r="X1807" s="40" t="n"/>
      <c r="Y1807" s="40" t="n"/>
      <c r="Z1807" s="40" t="n"/>
      <c r="AA1807" s="39" t="n"/>
    </row>
    <row r="1808">
      <c r="A1808" s="7" t="n"/>
      <c r="B1808" s="7" t="n"/>
      <c r="C1808" s="39" t="n"/>
      <c r="D1808" s="39" t="n"/>
      <c r="E1808" s="7" t="n"/>
      <c r="F1808" s="7" t="n"/>
      <c r="G1808" s="7" t="n"/>
      <c r="H1808" s="39" t="n"/>
      <c r="I1808" s="39" t="n"/>
      <c r="J1808" s="39" t="n"/>
      <c r="K1808" s="39" t="n"/>
      <c r="L1808" s="39" t="n"/>
      <c r="M1808" s="7" t="n"/>
      <c r="N1808" s="7" t="n"/>
      <c r="O1808" s="40" t="n"/>
      <c r="P1808" s="40" t="n"/>
      <c r="Q1808" s="40" t="n"/>
      <c r="R1808" s="40" t="n"/>
      <c r="S1808" s="40" t="n"/>
      <c r="T1808" s="40" t="n"/>
      <c r="U1808" s="40" t="n"/>
      <c r="V1808" s="40" t="n"/>
      <c r="W1808" s="40" t="n"/>
      <c r="X1808" s="40" t="n"/>
      <c r="Y1808" s="40" t="n"/>
      <c r="Z1808" s="40" t="n"/>
      <c r="AA1808" s="39" t="n"/>
    </row>
    <row r="1809">
      <c r="A1809" s="7" t="n"/>
      <c r="B1809" s="7" t="n"/>
      <c r="C1809" s="39" t="n"/>
      <c r="D1809" s="39" t="n"/>
      <c r="E1809" s="7" t="n"/>
      <c r="F1809" s="7" t="n"/>
      <c r="G1809" s="7" t="n"/>
      <c r="H1809" s="39" t="n"/>
      <c r="I1809" s="39" t="n"/>
      <c r="J1809" s="39" t="n"/>
      <c r="K1809" s="39" t="n"/>
      <c r="L1809" s="39" t="n"/>
      <c r="M1809" s="7" t="n"/>
      <c r="N1809" s="7" t="n"/>
      <c r="O1809" s="40" t="n"/>
      <c r="P1809" s="40" t="n"/>
      <c r="Q1809" s="40" t="n"/>
      <c r="R1809" s="40" t="n"/>
      <c r="S1809" s="40" t="n"/>
      <c r="T1809" s="40" t="n"/>
      <c r="U1809" s="40" t="n"/>
      <c r="V1809" s="40" t="n"/>
      <c r="W1809" s="40" t="n"/>
      <c r="X1809" s="40" t="n"/>
      <c r="Y1809" s="40" t="n"/>
      <c r="Z1809" s="40" t="n"/>
      <c r="AA1809" s="39" t="n"/>
    </row>
    <row r="1810">
      <c r="A1810" s="7" t="n"/>
      <c r="B1810" s="7" t="n"/>
      <c r="C1810" s="39" t="n"/>
      <c r="D1810" s="39" t="n"/>
      <c r="E1810" s="7" t="n"/>
      <c r="F1810" s="7" t="n"/>
      <c r="G1810" s="7" t="n"/>
      <c r="H1810" s="39" t="n"/>
      <c r="I1810" s="39" t="n"/>
      <c r="J1810" s="39" t="n"/>
      <c r="K1810" s="39" t="n"/>
      <c r="L1810" s="39" t="n"/>
      <c r="M1810" s="7" t="n"/>
      <c r="N1810" s="7" t="n"/>
      <c r="O1810" s="40" t="n"/>
      <c r="P1810" s="40" t="n"/>
      <c r="Q1810" s="40" t="n"/>
      <c r="R1810" s="40" t="n"/>
      <c r="S1810" s="40" t="n"/>
      <c r="T1810" s="40" t="n"/>
      <c r="U1810" s="40" t="n"/>
      <c r="V1810" s="40" t="n"/>
      <c r="W1810" s="40" t="n"/>
      <c r="X1810" s="40" t="n"/>
      <c r="Y1810" s="40" t="n"/>
      <c r="Z1810" s="40" t="n"/>
      <c r="AA1810" s="39" t="n"/>
    </row>
    <row r="1811">
      <c r="A1811" s="7" t="n"/>
      <c r="B1811" s="7" t="n"/>
      <c r="C1811" s="39" t="n"/>
      <c r="D1811" s="39" t="n"/>
      <c r="E1811" s="7" t="n"/>
      <c r="F1811" s="7" t="n"/>
      <c r="G1811" s="7" t="n"/>
      <c r="H1811" s="39" t="n"/>
      <c r="I1811" s="39" t="n"/>
      <c r="J1811" s="39" t="n"/>
      <c r="K1811" s="39" t="n"/>
      <c r="L1811" s="39" t="n"/>
      <c r="M1811" s="7" t="n"/>
      <c r="N1811" s="7" t="n"/>
      <c r="O1811" s="40" t="n"/>
      <c r="P1811" s="40" t="n"/>
      <c r="Q1811" s="40" t="n"/>
      <c r="R1811" s="40" t="n"/>
      <c r="S1811" s="40" t="n"/>
      <c r="T1811" s="40" t="n"/>
      <c r="U1811" s="40" t="n"/>
      <c r="V1811" s="40" t="n"/>
      <c r="W1811" s="40" t="n"/>
      <c r="X1811" s="40" t="n"/>
      <c r="Y1811" s="40" t="n"/>
      <c r="Z1811" s="40" t="n"/>
      <c r="AA1811" s="39" t="n"/>
    </row>
    <row r="1812">
      <c r="A1812" s="7" t="n"/>
      <c r="B1812" s="7" t="n"/>
      <c r="C1812" s="39" t="n"/>
      <c r="D1812" s="39" t="n"/>
      <c r="E1812" s="7" t="n"/>
      <c r="F1812" s="7" t="n"/>
      <c r="G1812" s="7" t="n"/>
      <c r="H1812" s="39" t="n"/>
      <c r="I1812" s="39" t="n"/>
      <c r="J1812" s="39" t="n"/>
      <c r="K1812" s="39" t="n"/>
      <c r="L1812" s="39" t="n"/>
      <c r="M1812" s="7" t="n"/>
      <c r="N1812" s="7" t="n"/>
      <c r="O1812" s="40" t="n"/>
      <c r="P1812" s="40" t="n"/>
      <c r="Q1812" s="40" t="n"/>
      <c r="R1812" s="40" t="n"/>
      <c r="S1812" s="40" t="n"/>
      <c r="T1812" s="40" t="n"/>
      <c r="U1812" s="40" t="n"/>
      <c r="V1812" s="40" t="n"/>
      <c r="W1812" s="40" t="n"/>
      <c r="X1812" s="40" t="n"/>
      <c r="Y1812" s="40" t="n"/>
      <c r="Z1812" s="40" t="n"/>
      <c r="AA1812" s="39" t="n"/>
    </row>
    <row r="1813">
      <c r="A1813" s="7" t="n"/>
      <c r="B1813" s="7" t="n"/>
      <c r="C1813" s="39" t="n"/>
      <c r="D1813" s="39" t="n"/>
      <c r="E1813" s="7" t="n"/>
      <c r="F1813" s="7" t="n"/>
      <c r="G1813" s="7" t="n"/>
      <c r="H1813" s="39" t="n"/>
      <c r="I1813" s="39" t="n"/>
      <c r="J1813" s="39" t="n"/>
      <c r="K1813" s="39" t="n"/>
      <c r="L1813" s="39" t="n"/>
      <c r="M1813" s="7" t="n"/>
      <c r="N1813" s="7" t="n"/>
      <c r="O1813" s="40" t="n"/>
      <c r="P1813" s="40" t="n"/>
      <c r="Q1813" s="40" t="n"/>
      <c r="R1813" s="40" t="n"/>
      <c r="S1813" s="40" t="n"/>
      <c r="T1813" s="40" t="n"/>
      <c r="U1813" s="40" t="n"/>
      <c r="V1813" s="40" t="n"/>
      <c r="W1813" s="40" t="n"/>
      <c r="X1813" s="40" t="n"/>
      <c r="Y1813" s="40" t="n"/>
      <c r="Z1813" s="40" t="n"/>
      <c r="AA1813" s="39" t="n"/>
    </row>
    <row r="1814">
      <c r="A1814" s="7" t="n"/>
      <c r="B1814" s="7" t="n"/>
      <c r="C1814" s="39" t="n"/>
      <c r="D1814" s="39" t="n"/>
      <c r="E1814" s="7" t="n"/>
      <c r="F1814" s="7" t="n"/>
      <c r="G1814" s="7" t="n"/>
      <c r="H1814" s="39" t="n"/>
      <c r="I1814" s="39" t="n"/>
      <c r="J1814" s="39" t="n"/>
      <c r="K1814" s="39" t="n"/>
      <c r="L1814" s="39" t="n"/>
      <c r="M1814" s="7" t="n"/>
      <c r="N1814" s="7" t="n"/>
      <c r="O1814" s="40" t="n"/>
      <c r="P1814" s="40" t="n"/>
      <c r="Q1814" s="40" t="n"/>
      <c r="R1814" s="40" t="n"/>
      <c r="S1814" s="40" t="n"/>
      <c r="T1814" s="40" t="n"/>
      <c r="U1814" s="40" t="n"/>
      <c r="V1814" s="40" t="n"/>
      <c r="W1814" s="40" t="n"/>
      <c r="X1814" s="40" t="n"/>
      <c r="Y1814" s="40" t="n"/>
      <c r="Z1814" s="40" t="n"/>
      <c r="AA1814" s="39" t="n"/>
    </row>
    <row r="1815">
      <c r="A1815" s="7" t="n"/>
      <c r="B1815" s="7" t="n"/>
      <c r="C1815" s="39" t="n"/>
      <c r="D1815" s="39" t="n"/>
      <c r="E1815" s="7" t="n"/>
      <c r="F1815" s="7" t="n"/>
      <c r="G1815" s="7" t="n"/>
      <c r="H1815" s="39" t="n"/>
      <c r="I1815" s="39" t="n"/>
      <c r="J1815" s="39" t="n"/>
      <c r="K1815" s="39" t="n"/>
      <c r="L1815" s="39" t="n"/>
      <c r="M1815" s="7" t="n"/>
      <c r="N1815" s="7" t="n"/>
      <c r="O1815" s="40" t="n"/>
      <c r="P1815" s="40" t="n"/>
      <c r="Q1815" s="40" t="n"/>
      <c r="R1815" s="40" t="n"/>
      <c r="S1815" s="40" t="n"/>
      <c r="T1815" s="40" t="n"/>
      <c r="U1815" s="40" t="n"/>
      <c r="V1815" s="40" t="n"/>
      <c r="W1815" s="40" t="n"/>
      <c r="X1815" s="40" t="n"/>
      <c r="Y1815" s="40" t="n"/>
      <c r="Z1815" s="40" t="n"/>
      <c r="AA1815" s="39" t="n"/>
    </row>
    <row r="1816">
      <c r="A1816" s="7" t="n"/>
      <c r="B1816" s="7" t="n"/>
      <c r="C1816" s="39" t="n"/>
      <c r="D1816" s="39" t="n"/>
      <c r="E1816" s="7" t="n"/>
      <c r="F1816" s="7" t="n"/>
      <c r="G1816" s="7" t="n"/>
      <c r="H1816" s="39" t="n"/>
      <c r="I1816" s="39" t="n"/>
      <c r="J1816" s="39" t="n"/>
      <c r="K1816" s="39" t="n"/>
      <c r="L1816" s="39" t="n"/>
      <c r="M1816" s="7" t="n"/>
      <c r="N1816" s="7" t="n"/>
      <c r="O1816" s="40" t="n"/>
      <c r="P1816" s="40" t="n"/>
      <c r="Q1816" s="40" t="n"/>
      <c r="R1816" s="40" t="n"/>
      <c r="S1816" s="40" t="n"/>
      <c r="T1816" s="40" t="n"/>
      <c r="U1816" s="40" t="n"/>
      <c r="V1816" s="40" t="n"/>
      <c r="W1816" s="40" t="n"/>
      <c r="X1816" s="40" t="n"/>
      <c r="Y1816" s="40" t="n"/>
      <c r="Z1816" s="40" t="n"/>
      <c r="AA1816" s="39" t="n"/>
    </row>
    <row r="1817">
      <c r="A1817" s="7" t="n"/>
      <c r="B1817" s="7" t="n"/>
      <c r="C1817" s="39" t="n"/>
      <c r="D1817" s="39" t="n"/>
      <c r="E1817" s="7" t="n"/>
      <c r="F1817" s="7" t="n"/>
      <c r="G1817" s="7" t="n"/>
      <c r="H1817" s="39" t="n"/>
      <c r="I1817" s="39" t="n"/>
      <c r="J1817" s="39" t="n"/>
      <c r="K1817" s="39" t="n"/>
      <c r="L1817" s="39" t="n"/>
      <c r="M1817" s="7" t="n"/>
      <c r="N1817" s="7" t="n"/>
      <c r="O1817" s="40" t="n"/>
      <c r="P1817" s="40" t="n"/>
      <c r="Q1817" s="40" t="n"/>
      <c r="R1817" s="40" t="n"/>
      <c r="S1817" s="40" t="n"/>
      <c r="T1817" s="40" t="n"/>
      <c r="U1817" s="40" t="n"/>
      <c r="V1817" s="40" t="n"/>
      <c r="W1817" s="40" t="n"/>
      <c r="X1817" s="40" t="n"/>
      <c r="Y1817" s="40" t="n"/>
      <c r="Z1817" s="40" t="n"/>
      <c r="AA1817" s="39" t="n"/>
    </row>
    <row r="1818">
      <c r="A1818" s="7" t="n"/>
      <c r="B1818" s="7" t="n"/>
      <c r="C1818" s="39" t="n"/>
      <c r="D1818" s="39" t="n"/>
      <c r="E1818" s="7" t="n"/>
      <c r="F1818" s="7" t="n"/>
      <c r="G1818" s="7" t="n"/>
      <c r="H1818" s="39" t="n"/>
      <c r="I1818" s="39" t="n"/>
      <c r="J1818" s="39" t="n"/>
      <c r="K1818" s="39" t="n"/>
      <c r="L1818" s="39" t="n"/>
      <c r="M1818" s="7" t="n"/>
      <c r="N1818" s="7" t="n"/>
      <c r="O1818" s="40" t="n"/>
      <c r="P1818" s="40" t="n"/>
      <c r="Q1818" s="40" t="n"/>
      <c r="R1818" s="40" t="n"/>
      <c r="S1818" s="40" t="n"/>
      <c r="T1818" s="40" t="n"/>
      <c r="U1818" s="40" t="n"/>
      <c r="V1818" s="40" t="n"/>
      <c r="W1818" s="40" t="n"/>
      <c r="X1818" s="40" t="n"/>
      <c r="Y1818" s="40" t="n"/>
      <c r="Z1818" s="40" t="n"/>
      <c r="AA1818" s="39" t="n"/>
    </row>
    <row r="1819">
      <c r="A1819" s="7" t="n"/>
      <c r="B1819" s="7" t="n"/>
      <c r="C1819" s="39" t="n"/>
      <c r="D1819" s="39" t="n"/>
      <c r="E1819" s="7" t="n"/>
      <c r="F1819" s="7" t="n"/>
      <c r="G1819" s="7" t="n"/>
      <c r="H1819" s="39" t="n"/>
      <c r="I1819" s="39" t="n"/>
      <c r="J1819" s="39" t="n"/>
      <c r="K1819" s="39" t="n"/>
      <c r="L1819" s="39" t="n"/>
      <c r="M1819" s="7" t="n"/>
      <c r="N1819" s="7" t="n"/>
      <c r="O1819" s="40" t="n"/>
      <c r="P1819" s="40" t="n"/>
      <c r="Q1819" s="40" t="n"/>
      <c r="R1819" s="40" t="n"/>
      <c r="S1819" s="40" t="n"/>
      <c r="T1819" s="40" t="n"/>
      <c r="U1819" s="40" t="n"/>
      <c r="V1819" s="40" t="n"/>
      <c r="W1819" s="40" t="n"/>
      <c r="X1819" s="40" t="n"/>
      <c r="Y1819" s="40" t="n"/>
      <c r="Z1819" s="40" t="n"/>
      <c r="AA1819" s="39" t="n"/>
    </row>
    <row r="1820">
      <c r="A1820" s="7" t="n"/>
      <c r="B1820" s="7" t="n"/>
      <c r="C1820" s="39" t="n"/>
      <c r="D1820" s="39" t="n"/>
      <c r="E1820" s="7" t="n"/>
      <c r="F1820" s="7" t="n"/>
      <c r="G1820" s="7" t="n"/>
      <c r="H1820" s="39" t="n"/>
      <c r="I1820" s="39" t="n"/>
      <c r="J1820" s="39" t="n"/>
      <c r="K1820" s="39" t="n"/>
      <c r="L1820" s="39" t="n"/>
      <c r="M1820" s="7" t="n"/>
      <c r="N1820" s="7" t="n"/>
      <c r="O1820" s="40" t="n"/>
      <c r="P1820" s="40" t="n"/>
      <c r="Q1820" s="40" t="n"/>
      <c r="R1820" s="40" t="n"/>
      <c r="S1820" s="40" t="n"/>
      <c r="T1820" s="40" t="n"/>
      <c r="U1820" s="40" t="n"/>
      <c r="V1820" s="40" t="n"/>
      <c r="W1820" s="40" t="n"/>
      <c r="X1820" s="40" t="n"/>
      <c r="Y1820" s="40" t="n"/>
      <c r="Z1820" s="40" t="n"/>
      <c r="AA1820" s="39" t="n"/>
    </row>
    <row r="1821">
      <c r="A1821" s="7" t="n"/>
      <c r="B1821" s="7" t="n"/>
      <c r="C1821" s="39" t="n"/>
      <c r="D1821" s="39" t="n"/>
      <c r="E1821" s="7" t="n"/>
      <c r="F1821" s="7" t="n"/>
      <c r="G1821" s="7" t="n"/>
      <c r="H1821" s="39" t="n"/>
      <c r="I1821" s="39" t="n"/>
      <c r="J1821" s="39" t="n"/>
      <c r="K1821" s="39" t="n"/>
      <c r="L1821" s="39" t="n"/>
      <c r="M1821" s="7" t="n"/>
      <c r="N1821" s="7" t="n"/>
      <c r="O1821" s="40" t="n"/>
      <c r="P1821" s="40" t="n"/>
      <c r="Q1821" s="40" t="n"/>
      <c r="R1821" s="40" t="n"/>
      <c r="S1821" s="40" t="n"/>
      <c r="T1821" s="40" t="n"/>
      <c r="U1821" s="40" t="n"/>
      <c r="V1821" s="40" t="n"/>
      <c r="W1821" s="40" t="n"/>
      <c r="X1821" s="40" t="n"/>
      <c r="Y1821" s="40" t="n"/>
      <c r="Z1821" s="40" t="n"/>
      <c r="AA1821" s="39" t="n"/>
    </row>
    <row r="1822">
      <c r="A1822" s="7" t="n"/>
      <c r="B1822" s="7" t="n"/>
      <c r="C1822" s="39" t="n"/>
      <c r="D1822" s="39" t="n"/>
      <c r="E1822" s="7" t="n"/>
      <c r="F1822" s="7" t="n"/>
      <c r="G1822" s="7" t="n"/>
      <c r="H1822" s="39" t="n"/>
      <c r="I1822" s="39" t="n"/>
      <c r="J1822" s="39" t="n"/>
      <c r="K1822" s="39" t="n"/>
      <c r="L1822" s="39" t="n"/>
      <c r="M1822" s="7" t="n"/>
      <c r="N1822" s="7" t="n"/>
      <c r="O1822" s="40" t="n"/>
      <c r="P1822" s="40" t="n"/>
      <c r="Q1822" s="40" t="n"/>
      <c r="R1822" s="40" t="n"/>
      <c r="S1822" s="40" t="n"/>
      <c r="T1822" s="40" t="n"/>
      <c r="U1822" s="40" t="n"/>
      <c r="V1822" s="40" t="n"/>
      <c r="W1822" s="40" t="n"/>
      <c r="X1822" s="40" t="n"/>
      <c r="Y1822" s="40" t="n"/>
      <c r="Z1822" s="40" t="n"/>
      <c r="AA1822" s="39" t="n"/>
    </row>
    <row r="1823">
      <c r="A1823" s="7" t="n"/>
      <c r="B1823" s="7" t="n"/>
      <c r="C1823" s="39" t="n"/>
      <c r="D1823" s="39" t="n"/>
      <c r="E1823" s="7" t="n"/>
      <c r="F1823" s="7" t="n"/>
      <c r="G1823" s="7" t="n"/>
      <c r="H1823" s="39" t="n"/>
      <c r="I1823" s="39" t="n"/>
      <c r="J1823" s="39" t="n"/>
      <c r="K1823" s="39" t="n"/>
      <c r="L1823" s="39" t="n"/>
      <c r="M1823" s="7" t="n"/>
      <c r="N1823" s="7" t="n"/>
      <c r="O1823" s="40" t="n"/>
      <c r="P1823" s="40" t="n"/>
      <c r="Q1823" s="40" t="n"/>
      <c r="R1823" s="40" t="n"/>
      <c r="S1823" s="40" t="n"/>
      <c r="T1823" s="40" t="n"/>
      <c r="U1823" s="40" t="n"/>
      <c r="V1823" s="40" t="n"/>
      <c r="W1823" s="40" t="n"/>
      <c r="X1823" s="40" t="n"/>
      <c r="Y1823" s="40" t="n"/>
      <c r="Z1823" s="40" t="n"/>
      <c r="AA1823" s="39" t="n"/>
    </row>
    <row r="1824">
      <c r="A1824" s="7" t="n"/>
      <c r="B1824" s="7" t="n"/>
      <c r="C1824" s="39" t="n"/>
      <c r="D1824" s="39" t="n"/>
      <c r="E1824" s="7" t="n"/>
      <c r="F1824" s="7" t="n"/>
      <c r="G1824" s="7" t="n"/>
      <c r="H1824" s="39" t="n"/>
      <c r="I1824" s="39" t="n"/>
      <c r="J1824" s="39" t="n"/>
      <c r="K1824" s="39" t="n"/>
      <c r="L1824" s="39" t="n"/>
      <c r="M1824" s="7" t="n"/>
      <c r="N1824" s="7" t="n"/>
      <c r="O1824" s="40" t="n"/>
      <c r="P1824" s="40" t="n"/>
      <c r="Q1824" s="40" t="n"/>
      <c r="R1824" s="40" t="n"/>
      <c r="S1824" s="40" t="n"/>
      <c r="T1824" s="40" t="n"/>
      <c r="U1824" s="40" t="n"/>
      <c r="V1824" s="40" t="n"/>
      <c r="W1824" s="40" t="n"/>
      <c r="X1824" s="40" t="n"/>
      <c r="Y1824" s="40" t="n"/>
      <c r="Z1824" s="40" t="n"/>
      <c r="AA1824" s="39" t="n"/>
    </row>
    <row r="1825">
      <c r="A1825" s="7" t="n"/>
      <c r="B1825" s="7" t="n"/>
      <c r="C1825" s="39" t="n"/>
      <c r="D1825" s="39" t="n"/>
      <c r="E1825" s="7" t="n"/>
      <c r="F1825" s="7" t="n"/>
      <c r="G1825" s="7" t="n"/>
      <c r="H1825" s="39" t="n"/>
      <c r="I1825" s="39" t="n"/>
      <c r="J1825" s="39" t="n"/>
      <c r="K1825" s="39" t="n"/>
      <c r="L1825" s="39" t="n"/>
      <c r="M1825" s="7" t="n"/>
      <c r="N1825" s="7" t="n"/>
      <c r="O1825" s="40" t="n"/>
      <c r="P1825" s="40" t="n"/>
      <c r="Q1825" s="40" t="n"/>
      <c r="R1825" s="40" t="n"/>
      <c r="S1825" s="40" t="n"/>
      <c r="T1825" s="40" t="n"/>
      <c r="U1825" s="40" t="n"/>
      <c r="V1825" s="40" t="n"/>
      <c r="W1825" s="40" t="n"/>
      <c r="X1825" s="40" t="n"/>
      <c r="Y1825" s="40" t="n"/>
      <c r="Z1825" s="40" t="n"/>
      <c r="AA1825" s="39" t="n"/>
    </row>
    <row r="1826">
      <c r="A1826" s="7" t="n"/>
      <c r="B1826" s="7" t="n"/>
      <c r="C1826" s="39" t="n"/>
      <c r="D1826" s="39" t="n"/>
      <c r="E1826" s="7" t="n"/>
      <c r="F1826" s="7" t="n"/>
      <c r="G1826" s="7" t="n"/>
      <c r="H1826" s="39" t="n"/>
      <c r="I1826" s="39" t="n"/>
      <c r="J1826" s="39" t="n"/>
      <c r="K1826" s="39" t="n"/>
      <c r="L1826" s="39" t="n"/>
      <c r="M1826" s="7" t="n"/>
      <c r="N1826" s="7" t="n"/>
      <c r="O1826" s="40" t="n"/>
      <c r="P1826" s="40" t="n"/>
      <c r="Q1826" s="40" t="n"/>
      <c r="R1826" s="40" t="n"/>
      <c r="S1826" s="40" t="n"/>
      <c r="T1826" s="40" t="n"/>
      <c r="U1826" s="40" t="n"/>
      <c r="V1826" s="40" t="n"/>
      <c r="W1826" s="40" t="n"/>
      <c r="X1826" s="40" t="n"/>
      <c r="Y1826" s="40" t="n"/>
      <c r="Z1826" s="40" t="n"/>
      <c r="AA1826" s="39" t="n"/>
    </row>
    <row r="1827">
      <c r="A1827" s="7" t="n"/>
      <c r="B1827" s="7" t="n"/>
      <c r="C1827" s="39" t="n"/>
      <c r="D1827" s="39" t="n"/>
      <c r="E1827" s="7" t="n"/>
      <c r="F1827" s="7" t="n"/>
      <c r="G1827" s="7" t="n"/>
      <c r="H1827" s="39" t="n"/>
      <c r="I1827" s="39" t="n"/>
      <c r="J1827" s="39" t="n"/>
      <c r="K1827" s="39" t="n"/>
      <c r="L1827" s="39" t="n"/>
      <c r="M1827" s="7" t="n"/>
      <c r="N1827" s="7" t="n"/>
      <c r="O1827" s="40" t="n"/>
      <c r="P1827" s="40" t="n"/>
      <c r="Q1827" s="40" t="n"/>
      <c r="R1827" s="40" t="n"/>
      <c r="S1827" s="40" t="n"/>
      <c r="T1827" s="40" t="n"/>
      <c r="U1827" s="40" t="n"/>
      <c r="V1827" s="40" t="n"/>
      <c r="W1827" s="40" t="n"/>
      <c r="X1827" s="40" t="n"/>
      <c r="Y1827" s="40" t="n"/>
      <c r="Z1827" s="40" t="n"/>
      <c r="AA1827" s="39" t="n"/>
    </row>
    <row r="1828">
      <c r="A1828" s="7" t="n"/>
      <c r="B1828" s="7" t="n"/>
      <c r="C1828" s="39" t="n"/>
      <c r="D1828" s="39" t="n"/>
      <c r="E1828" s="7" t="n"/>
      <c r="F1828" s="7" t="n"/>
      <c r="G1828" s="7" t="n"/>
      <c r="H1828" s="39" t="n"/>
      <c r="I1828" s="39" t="n"/>
      <c r="J1828" s="39" t="n"/>
      <c r="K1828" s="39" t="n"/>
      <c r="L1828" s="39" t="n"/>
      <c r="M1828" s="7" t="n"/>
      <c r="N1828" s="7" t="n"/>
      <c r="O1828" s="40" t="n"/>
      <c r="P1828" s="40" t="n"/>
      <c r="Q1828" s="40" t="n"/>
      <c r="R1828" s="40" t="n"/>
      <c r="S1828" s="40" t="n"/>
      <c r="T1828" s="40" t="n"/>
      <c r="U1828" s="40" t="n"/>
      <c r="V1828" s="40" t="n"/>
      <c r="W1828" s="40" t="n"/>
      <c r="X1828" s="40" t="n"/>
      <c r="Y1828" s="40" t="n"/>
      <c r="Z1828" s="40" t="n"/>
      <c r="AA1828" s="39" t="n"/>
    </row>
    <row r="1829">
      <c r="A1829" s="7" t="n"/>
      <c r="B1829" s="7" t="n"/>
      <c r="C1829" s="39" t="n"/>
      <c r="D1829" s="39" t="n"/>
      <c r="E1829" s="7" t="n"/>
      <c r="F1829" s="7" t="n"/>
      <c r="G1829" s="7" t="n"/>
      <c r="H1829" s="39" t="n"/>
      <c r="I1829" s="39" t="n"/>
      <c r="J1829" s="39" t="n"/>
      <c r="K1829" s="39" t="n"/>
      <c r="L1829" s="39" t="n"/>
      <c r="M1829" s="7" t="n"/>
      <c r="N1829" s="7" t="n"/>
      <c r="O1829" s="40" t="n"/>
      <c r="P1829" s="40" t="n"/>
      <c r="Q1829" s="40" t="n"/>
      <c r="R1829" s="40" t="n"/>
      <c r="S1829" s="40" t="n"/>
      <c r="T1829" s="40" t="n"/>
      <c r="U1829" s="40" t="n"/>
      <c r="V1829" s="40" t="n"/>
      <c r="W1829" s="40" t="n"/>
      <c r="X1829" s="40" t="n"/>
      <c r="Y1829" s="40" t="n"/>
      <c r="Z1829" s="40" t="n"/>
      <c r="AA1829" s="39" t="n"/>
    </row>
    <row r="1830">
      <c r="A1830" s="7" t="n"/>
      <c r="B1830" s="7" t="n"/>
      <c r="C1830" s="39" t="n"/>
      <c r="D1830" s="39" t="n"/>
      <c r="E1830" s="7" t="n"/>
      <c r="F1830" s="7" t="n"/>
      <c r="G1830" s="7" t="n"/>
      <c r="H1830" s="39" t="n"/>
      <c r="I1830" s="39" t="n"/>
      <c r="J1830" s="39" t="n"/>
      <c r="K1830" s="39" t="n"/>
      <c r="L1830" s="39" t="n"/>
      <c r="M1830" s="7" t="n"/>
      <c r="N1830" s="7" t="n"/>
      <c r="O1830" s="40" t="n"/>
      <c r="P1830" s="40" t="n"/>
      <c r="Q1830" s="40" t="n"/>
      <c r="R1830" s="40" t="n"/>
      <c r="S1830" s="40" t="n"/>
      <c r="T1830" s="40" t="n"/>
      <c r="U1830" s="40" t="n"/>
      <c r="V1830" s="40" t="n"/>
      <c r="W1830" s="40" t="n"/>
      <c r="X1830" s="40" t="n"/>
      <c r="Y1830" s="40" t="n"/>
      <c r="Z1830" s="40" t="n"/>
      <c r="AA1830" s="39" t="n"/>
    </row>
    <row r="1831">
      <c r="A1831" s="7" t="n"/>
      <c r="B1831" s="7" t="n"/>
      <c r="C1831" s="39" t="n"/>
      <c r="D1831" s="39" t="n"/>
      <c r="E1831" s="7" t="n"/>
      <c r="F1831" s="7" t="n"/>
      <c r="G1831" s="7" t="n"/>
      <c r="H1831" s="39" t="n"/>
      <c r="I1831" s="39" t="n"/>
      <c r="J1831" s="39" t="n"/>
      <c r="K1831" s="39" t="n"/>
      <c r="L1831" s="39" t="n"/>
      <c r="M1831" s="7" t="n"/>
      <c r="N1831" s="7" t="n"/>
      <c r="O1831" s="40" t="n"/>
      <c r="P1831" s="40" t="n"/>
      <c r="Q1831" s="40" t="n"/>
      <c r="R1831" s="40" t="n"/>
      <c r="S1831" s="40" t="n"/>
      <c r="T1831" s="40" t="n"/>
      <c r="U1831" s="40" t="n"/>
      <c r="V1831" s="40" t="n"/>
      <c r="W1831" s="40" t="n"/>
      <c r="X1831" s="40" t="n"/>
      <c r="Y1831" s="40" t="n"/>
      <c r="Z1831" s="40" t="n"/>
      <c r="AA1831" s="39" t="n"/>
    </row>
    <row r="1832">
      <c r="A1832" s="7" t="n"/>
      <c r="B1832" s="7" t="n"/>
      <c r="C1832" s="39" t="n"/>
      <c r="D1832" s="39" t="n"/>
      <c r="E1832" s="7" t="n"/>
      <c r="F1832" s="7" t="n"/>
      <c r="G1832" s="7" t="n"/>
      <c r="H1832" s="39" t="n"/>
      <c r="I1832" s="39" t="n"/>
      <c r="J1832" s="39" t="n"/>
      <c r="K1832" s="39" t="n"/>
      <c r="L1832" s="39" t="n"/>
      <c r="M1832" s="7" t="n"/>
      <c r="N1832" s="7" t="n"/>
      <c r="O1832" s="40" t="n"/>
      <c r="P1832" s="40" t="n"/>
      <c r="Q1832" s="40" t="n"/>
      <c r="R1832" s="40" t="n"/>
      <c r="S1832" s="40" t="n"/>
      <c r="T1832" s="40" t="n"/>
      <c r="U1832" s="40" t="n"/>
      <c r="V1832" s="40" t="n"/>
      <c r="W1832" s="40" t="n"/>
      <c r="X1832" s="40" t="n"/>
      <c r="Y1832" s="40" t="n"/>
      <c r="Z1832" s="40" t="n"/>
      <c r="AA1832" s="39" t="n"/>
    </row>
    <row r="1833">
      <c r="A1833" s="7" t="n"/>
      <c r="B1833" s="7" t="n"/>
      <c r="C1833" s="39" t="n"/>
      <c r="D1833" s="39" t="n"/>
      <c r="E1833" s="7" t="n"/>
      <c r="F1833" s="7" t="n"/>
      <c r="G1833" s="7" t="n"/>
      <c r="H1833" s="39" t="n"/>
      <c r="I1833" s="39" t="n"/>
      <c r="J1833" s="39" t="n"/>
      <c r="K1833" s="39" t="n"/>
      <c r="L1833" s="39" t="n"/>
      <c r="M1833" s="7" t="n"/>
      <c r="N1833" s="7" t="n"/>
      <c r="O1833" s="40" t="n"/>
      <c r="P1833" s="40" t="n"/>
      <c r="Q1833" s="40" t="n"/>
      <c r="R1833" s="40" t="n"/>
      <c r="S1833" s="40" t="n"/>
      <c r="T1833" s="40" t="n"/>
      <c r="U1833" s="40" t="n"/>
      <c r="V1833" s="40" t="n"/>
      <c r="W1833" s="40" t="n"/>
      <c r="X1833" s="40" t="n"/>
      <c r="Y1833" s="40" t="n"/>
      <c r="Z1833" s="40" t="n"/>
      <c r="AA1833" s="39" t="n"/>
    </row>
    <row r="1834">
      <c r="A1834" s="7" t="n"/>
      <c r="B1834" s="7" t="n"/>
      <c r="C1834" s="39" t="n"/>
      <c r="D1834" s="39" t="n"/>
      <c r="E1834" s="7" t="n"/>
      <c r="F1834" s="7" t="n"/>
      <c r="G1834" s="7" t="n"/>
      <c r="H1834" s="39" t="n"/>
      <c r="I1834" s="39" t="n"/>
      <c r="J1834" s="39" t="n"/>
      <c r="K1834" s="39" t="n"/>
      <c r="L1834" s="39" t="n"/>
      <c r="M1834" s="7" t="n"/>
      <c r="N1834" s="7" t="n"/>
      <c r="O1834" s="40" t="n"/>
      <c r="P1834" s="40" t="n"/>
      <c r="Q1834" s="40" t="n"/>
      <c r="R1834" s="40" t="n"/>
      <c r="S1834" s="40" t="n"/>
      <c r="T1834" s="40" t="n"/>
      <c r="U1834" s="40" t="n"/>
      <c r="V1834" s="40" t="n"/>
      <c r="W1834" s="40" t="n"/>
      <c r="X1834" s="40" t="n"/>
      <c r="Y1834" s="40" t="n"/>
      <c r="Z1834" s="40" t="n"/>
      <c r="AA1834" s="39" t="n"/>
    </row>
    <row r="1835">
      <c r="A1835" s="7" t="n"/>
      <c r="B1835" s="7" t="n"/>
      <c r="C1835" s="39" t="n"/>
      <c r="D1835" s="39" t="n"/>
      <c r="E1835" s="7" t="n"/>
      <c r="F1835" s="7" t="n"/>
      <c r="G1835" s="7" t="n"/>
      <c r="H1835" s="39" t="n"/>
      <c r="I1835" s="39" t="n"/>
      <c r="J1835" s="39" t="n"/>
      <c r="K1835" s="39" t="n"/>
      <c r="L1835" s="39" t="n"/>
      <c r="M1835" s="7" t="n"/>
      <c r="N1835" s="7" t="n"/>
      <c r="O1835" s="40" t="n"/>
      <c r="P1835" s="40" t="n"/>
      <c r="Q1835" s="40" t="n"/>
      <c r="R1835" s="40" t="n"/>
      <c r="S1835" s="40" t="n"/>
      <c r="T1835" s="40" t="n"/>
      <c r="U1835" s="40" t="n"/>
      <c r="V1835" s="40" t="n"/>
      <c r="W1835" s="40" t="n"/>
      <c r="X1835" s="40" t="n"/>
      <c r="Y1835" s="40" t="n"/>
      <c r="Z1835" s="40" t="n"/>
      <c r="AA1835" s="39" t="n"/>
    </row>
    <row r="1836">
      <c r="A1836" s="7" t="n"/>
      <c r="B1836" s="7" t="n"/>
      <c r="C1836" s="39" t="n"/>
      <c r="D1836" s="39" t="n"/>
      <c r="E1836" s="7" t="n"/>
      <c r="F1836" s="7" t="n"/>
      <c r="G1836" s="7" t="n"/>
      <c r="H1836" s="39" t="n"/>
      <c r="I1836" s="39" t="n"/>
      <c r="J1836" s="39" t="n"/>
      <c r="K1836" s="39" t="n"/>
      <c r="L1836" s="39" t="n"/>
      <c r="M1836" s="7" t="n"/>
      <c r="N1836" s="7" t="n"/>
      <c r="O1836" s="40" t="n"/>
      <c r="P1836" s="40" t="n"/>
      <c r="Q1836" s="40" t="n"/>
      <c r="R1836" s="40" t="n"/>
      <c r="S1836" s="40" t="n"/>
      <c r="T1836" s="40" t="n"/>
      <c r="U1836" s="40" t="n"/>
      <c r="V1836" s="40" t="n"/>
      <c r="W1836" s="40" t="n"/>
      <c r="X1836" s="40" t="n"/>
      <c r="Y1836" s="40" t="n"/>
      <c r="Z1836" s="40" t="n"/>
      <c r="AA1836" s="39" t="n"/>
    </row>
    <row r="1837">
      <c r="A1837" s="7" t="n"/>
      <c r="B1837" s="7" t="n"/>
      <c r="C1837" s="39" t="n"/>
      <c r="D1837" s="39" t="n"/>
      <c r="E1837" s="7" t="n"/>
      <c r="F1837" s="7" t="n"/>
      <c r="G1837" s="7" t="n"/>
      <c r="H1837" s="39" t="n"/>
      <c r="I1837" s="39" t="n"/>
      <c r="J1837" s="39" t="n"/>
      <c r="K1837" s="39" t="n"/>
      <c r="L1837" s="39" t="n"/>
      <c r="M1837" s="7" t="n"/>
      <c r="N1837" s="7" t="n"/>
      <c r="O1837" s="40" t="n"/>
      <c r="P1837" s="40" t="n"/>
      <c r="Q1837" s="40" t="n"/>
      <c r="R1837" s="40" t="n"/>
      <c r="S1837" s="40" t="n"/>
      <c r="T1837" s="40" t="n"/>
      <c r="U1837" s="40" t="n"/>
      <c r="V1837" s="40" t="n"/>
      <c r="W1837" s="40" t="n"/>
      <c r="X1837" s="40" t="n"/>
      <c r="Y1837" s="40" t="n"/>
      <c r="Z1837" s="40" t="n"/>
      <c r="AA1837" s="39" t="n"/>
    </row>
    <row r="1838">
      <c r="A1838" s="7" t="n"/>
      <c r="B1838" s="7" t="n"/>
      <c r="C1838" s="39" t="n"/>
      <c r="D1838" s="39" t="n"/>
      <c r="E1838" s="7" t="n"/>
      <c r="F1838" s="7" t="n"/>
      <c r="G1838" s="7" t="n"/>
      <c r="H1838" s="39" t="n"/>
      <c r="I1838" s="39" t="n"/>
      <c r="J1838" s="39" t="n"/>
      <c r="K1838" s="39" t="n"/>
      <c r="L1838" s="39" t="n"/>
      <c r="M1838" s="7" t="n"/>
      <c r="N1838" s="7" t="n"/>
      <c r="O1838" s="40" t="n"/>
      <c r="P1838" s="40" t="n"/>
      <c r="Q1838" s="40" t="n"/>
      <c r="R1838" s="40" t="n"/>
      <c r="S1838" s="40" t="n"/>
      <c r="T1838" s="40" t="n"/>
      <c r="U1838" s="40" t="n"/>
      <c r="V1838" s="40" t="n"/>
      <c r="W1838" s="40" t="n"/>
      <c r="X1838" s="40" t="n"/>
      <c r="Y1838" s="40" t="n"/>
      <c r="Z1838" s="40" t="n"/>
      <c r="AA1838" s="39" t="n"/>
    </row>
    <row r="1839">
      <c r="A1839" s="7" t="n"/>
      <c r="B1839" s="7" t="n"/>
      <c r="C1839" s="39" t="n"/>
      <c r="D1839" s="39" t="n"/>
      <c r="E1839" s="7" t="n"/>
      <c r="F1839" s="7" t="n"/>
      <c r="G1839" s="7" t="n"/>
      <c r="H1839" s="39" t="n"/>
      <c r="I1839" s="39" t="n"/>
      <c r="J1839" s="39" t="n"/>
      <c r="K1839" s="39" t="n"/>
      <c r="L1839" s="39" t="n"/>
      <c r="M1839" s="7" t="n"/>
      <c r="N1839" s="7" t="n"/>
      <c r="O1839" s="40" t="n"/>
      <c r="P1839" s="40" t="n"/>
      <c r="Q1839" s="40" t="n"/>
      <c r="R1839" s="40" t="n"/>
      <c r="S1839" s="40" t="n"/>
      <c r="T1839" s="40" t="n"/>
      <c r="U1839" s="40" t="n"/>
      <c r="V1839" s="40" t="n"/>
      <c r="W1839" s="40" t="n"/>
      <c r="X1839" s="40" t="n"/>
      <c r="Y1839" s="40" t="n"/>
      <c r="Z1839" s="40" t="n"/>
      <c r="AA1839" s="39" t="n"/>
    </row>
    <row r="1840">
      <c r="A1840" s="7" t="n"/>
      <c r="B1840" s="7" t="n"/>
      <c r="C1840" s="39" t="n"/>
      <c r="D1840" s="39" t="n"/>
      <c r="E1840" s="7" t="n"/>
      <c r="F1840" s="7" t="n"/>
      <c r="G1840" s="7" t="n"/>
      <c r="H1840" s="39" t="n"/>
      <c r="I1840" s="39" t="n"/>
      <c r="J1840" s="39" t="n"/>
      <c r="K1840" s="39" t="n"/>
      <c r="L1840" s="39" t="n"/>
      <c r="M1840" s="7" t="n"/>
      <c r="N1840" s="7" t="n"/>
      <c r="O1840" s="40" t="n"/>
      <c r="P1840" s="40" t="n"/>
      <c r="Q1840" s="40" t="n"/>
      <c r="R1840" s="40" t="n"/>
      <c r="S1840" s="40" t="n"/>
      <c r="T1840" s="40" t="n"/>
      <c r="U1840" s="40" t="n"/>
      <c r="V1840" s="40" t="n"/>
      <c r="W1840" s="40" t="n"/>
      <c r="X1840" s="40" t="n"/>
      <c r="Y1840" s="40" t="n"/>
      <c r="Z1840" s="40" t="n"/>
      <c r="AA1840" s="39" t="n"/>
    </row>
    <row r="1841">
      <c r="A1841" s="7" t="n"/>
      <c r="B1841" s="7" t="n"/>
      <c r="C1841" s="39" t="n"/>
      <c r="D1841" s="39" t="n"/>
      <c r="E1841" s="7" t="n"/>
      <c r="F1841" s="7" t="n"/>
      <c r="G1841" s="7" t="n"/>
      <c r="H1841" s="39" t="n"/>
      <c r="I1841" s="39" t="n"/>
      <c r="J1841" s="39" t="n"/>
      <c r="K1841" s="39" t="n"/>
      <c r="L1841" s="39" t="n"/>
      <c r="M1841" s="7" t="n"/>
      <c r="N1841" s="7" t="n"/>
      <c r="O1841" s="40" t="n"/>
      <c r="P1841" s="40" t="n"/>
      <c r="Q1841" s="40" t="n"/>
      <c r="R1841" s="40" t="n"/>
      <c r="S1841" s="40" t="n"/>
      <c r="T1841" s="40" t="n"/>
      <c r="U1841" s="40" t="n"/>
      <c r="V1841" s="40" t="n"/>
      <c r="W1841" s="40" t="n"/>
      <c r="X1841" s="40" t="n"/>
      <c r="Y1841" s="40" t="n"/>
      <c r="Z1841" s="40" t="n"/>
      <c r="AA1841" s="39" t="n"/>
    </row>
    <row r="1842">
      <c r="A1842" s="7" t="n"/>
      <c r="B1842" s="7" t="n"/>
      <c r="C1842" s="39" t="n"/>
      <c r="D1842" s="39" t="n"/>
      <c r="E1842" s="7" t="n"/>
      <c r="F1842" s="7" t="n"/>
      <c r="G1842" s="7" t="n"/>
      <c r="H1842" s="39" t="n"/>
      <c r="I1842" s="39" t="n"/>
      <c r="J1842" s="39" t="n"/>
      <c r="K1842" s="39" t="n"/>
      <c r="L1842" s="39" t="n"/>
      <c r="M1842" s="7" t="n"/>
      <c r="N1842" s="7" t="n"/>
      <c r="O1842" s="40" t="n"/>
      <c r="P1842" s="40" t="n"/>
      <c r="Q1842" s="40" t="n"/>
      <c r="R1842" s="40" t="n"/>
      <c r="S1842" s="40" t="n"/>
      <c r="T1842" s="40" t="n"/>
      <c r="U1842" s="40" t="n"/>
      <c r="V1842" s="40" t="n"/>
      <c r="W1842" s="40" t="n"/>
      <c r="X1842" s="40" t="n"/>
      <c r="Y1842" s="40" t="n"/>
      <c r="Z1842" s="40" t="n"/>
      <c r="AA1842" s="39" t="n"/>
    </row>
    <row r="1843">
      <c r="A1843" s="7" t="n"/>
      <c r="B1843" s="7" t="n"/>
      <c r="C1843" s="39" t="n"/>
      <c r="D1843" s="39" t="n"/>
      <c r="E1843" s="7" t="n"/>
      <c r="F1843" s="7" t="n"/>
      <c r="G1843" s="7" t="n"/>
      <c r="H1843" s="39" t="n"/>
      <c r="I1843" s="39" t="n"/>
      <c r="J1843" s="39" t="n"/>
      <c r="K1843" s="39" t="n"/>
      <c r="L1843" s="39" t="n"/>
      <c r="M1843" s="7" t="n"/>
      <c r="N1843" s="7" t="n"/>
      <c r="O1843" s="40" t="n"/>
      <c r="P1843" s="40" t="n"/>
      <c r="Q1843" s="40" t="n"/>
      <c r="R1843" s="40" t="n"/>
      <c r="S1843" s="40" t="n"/>
      <c r="T1843" s="40" t="n"/>
      <c r="U1843" s="40" t="n"/>
      <c r="V1843" s="40" t="n"/>
      <c r="W1843" s="40" t="n"/>
      <c r="X1843" s="40" t="n"/>
      <c r="Y1843" s="40" t="n"/>
      <c r="Z1843" s="40" t="n"/>
      <c r="AA1843" s="39" t="n"/>
    </row>
    <row r="1844">
      <c r="A1844" s="7" t="n"/>
      <c r="B1844" s="7" t="n"/>
      <c r="C1844" s="39" t="n"/>
      <c r="D1844" s="39" t="n"/>
      <c r="E1844" s="7" t="n"/>
      <c r="F1844" s="7" t="n"/>
      <c r="G1844" s="7" t="n"/>
      <c r="H1844" s="39" t="n"/>
      <c r="I1844" s="39" t="n"/>
      <c r="J1844" s="39" t="n"/>
      <c r="K1844" s="39" t="n"/>
      <c r="L1844" s="39" t="n"/>
      <c r="M1844" s="7" t="n"/>
      <c r="N1844" s="7" t="n"/>
      <c r="O1844" s="40" t="n"/>
      <c r="P1844" s="40" t="n"/>
      <c r="Q1844" s="40" t="n"/>
      <c r="R1844" s="40" t="n"/>
      <c r="S1844" s="40" t="n"/>
      <c r="T1844" s="40" t="n"/>
      <c r="U1844" s="40" t="n"/>
      <c r="V1844" s="40" t="n"/>
      <c r="W1844" s="40" t="n"/>
      <c r="X1844" s="40" t="n"/>
      <c r="Y1844" s="40" t="n"/>
      <c r="Z1844" s="40" t="n"/>
      <c r="AA1844" s="39" t="n"/>
    </row>
    <row r="1845">
      <c r="A1845" s="7" t="n"/>
      <c r="B1845" s="7" t="n"/>
      <c r="C1845" s="39" t="n"/>
      <c r="D1845" s="39" t="n"/>
      <c r="E1845" s="7" t="n"/>
      <c r="F1845" s="7" t="n"/>
      <c r="G1845" s="7" t="n"/>
      <c r="H1845" s="39" t="n"/>
      <c r="I1845" s="39" t="n"/>
      <c r="J1845" s="39" t="n"/>
      <c r="K1845" s="39" t="n"/>
      <c r="L1845" s="39" t="n"/>
      <c r="M1845" s="7" t="n"/>
      <c r="N1845" s="7" t="n"/>
      <c r="O1845" s="40" t="n"/>
      <c r="P1845" s="40" t="n"/>
      <c r="Q1845" s="40" t="n"/>
      <c r="R1845" s="40" t="n"/>
      <c r="S1845" s="40" t="n"/>
      <c r="T1845" s="40" t="n"/>
      <c r="U1845" s="40" t="n"/>
      <c r="V1845" s="40" t="n"/>
      <c r="W1845" s="40" t="n"/>
      <c r="X1845" s="40" t="n"/>
      <c r="Y1845" s="40" t="n"/>
      <c r="Z1845" s="40" t="n"/>
      <c r="AA1845" s="39" t="n"/>
    </row>
    <row r="1846">
      <c r="A1846" s="7" t="n"/>
      <c r="B1846" s="7" t="n"/>
      <c r="C1846" s="39" t="n"/>
      <c r="D1846" s="39" t="n"/>
      <c r="E1846" s="7" t="n"/>
      <c r="F1846" s="7" t="n"/>
      <c r="G1846" s="7" t="n"/>
      <c r="H1846" s="39" t="n"/>
      <c r="I1846" s="39" t="n"/>
      <c r="J1846" s="39" t="n"/>
      <c r="K1846" s="39" t="n"/>
      <c r="L1846" s="39" t="n"/>
      <c r="M1846" s="7" t="n"/>
      <c r="N1846" s="7" t="n"/>
      <c r="O1846" s="40" t="n"/>
      <c r="P1846" s="40" t="n"/>
      <c r="Q1846" s="40" t="n"/>
      <c r="R1846" s="40" t="n"/>
      <c r="S1846" s="40" t="n"/>
      <c r="T1846" s="40" t="n"/>
      <c r="U1846" s="40" t="n"/>
      <c r="V1846" s="40" t="n"/>
      <c r="W1846" s="40" t="n"/>
      <c r="X1846" s="40" t="n"/>
      <c r="Y1846" s="40" t="n"/>
      <c r="Z1846" s="40" t="n"/>
      <c r="AA1846" s="39" t="n"/>
    </row>
    <row r="1847">
      <c r="A1847" s="7" t="n"/>
      <c r="B1847" s="7" t="n"/>
      <c r="C1847" s="39" t="n"/>
      <c r="D1847" s="39" t="n"/>
      <c r="E1847" s="7" t="n"/>
      <c r="F1847" s="7" t="n"/>
      <c r="G1847" s="7" t="n"/>
      <c r="H1847" s="39" t="n"/>
      <c r="I1847" s="39" t="n"/>
      <c r="J1847" s="39" t="n"/>
      <c r="K1847" s="39" t="n"/>
      <c r="L1847" s="39" t="n"/>
      <c r="M1847" s="7" t="n"/>
      <c r="N1847" s="7" t="n"/>
      <c r="O1847" s="40" t="n"/>
      <c r="P1847" s="40" t="n"/>
      <c r="Q1847" s="40" t="n"/>
      <c r="R1847" s="40" t="n"/>
      <c r="S1847" s="40" t="n"/>
      <c r="T1847" s="40" t="n"/>
      <c r="U1847" s="40" t="n"/>
      <c r="V1847" s="40" t="n"/>
      <c r="W1847" s="40" t="n"/>
      <c r="X1847" s="40" t="n"/>
      <c r="Y1847" s="40" t="n"/>
      <c r="Z1847" s="40" t="n"/>
      <c r="AA1847" s="39" t="n"/>
    </row>
    <row r="1848">
      <c r="A1848" s="7" t="n"/>
      <c r="B1848" s="7" t="n"/>
      <c r="C1848" s="39" t="n"/>
      <c r="D1848" s="39" t="n"/>
      <c r="E1848" s="7" t="n"/>
      <c r="F1848" s="7" t="n"/>
      <c r="G1848" s="7" t="n"/>
      <c r="H1848" s="39" t="n"/>
      <c r="I1848" s="39" t="n"/>
      <c r="J1848" s="39" t="n"/>
      <c r="K1848" s="39" t="n"/>
      <c r="L1848" s="39" t="n"/>
      <c r="M1848" s="7" t="n"/>
      <c r="N1848" s="7" t="n"/>
      <c r="O1848" s="40" t="n"/>
      <c r="P1848" s="40" t="n"/>
      <c r="Q1848" s="40" t="n"/>
      <c r="R1848" s="40" t="n"/>
      <c r="S1848" s="40" t="n"/>
      <c r="T1848" s="40" t="n"/>
      <c r="U1848" s="40" t="n"/>
      <c r="V1848" s="40" t="n"/>
      <c r="W1848" s="40" t="n"/>
      <c r="X1848" s="40" t="n"/>
      <c r="Y1848" s="40" t="n"/>
      <c r="Z1848" s="40" t="n"/>
      <c r="AA1848" s="39" t="n"/>
    </row>
    <row r="1849">
      <c r="A1849" s="7" t="n"/>
      <c r="B1849" s="7" t="n"/>
      <c r="C1849" s="39" t="n"/>
      <c r="D1849" s="39" t="n"/>
      <c r="E1849" s="7" t="n"/>
      <c r="F1849" s="7" t="n"/>
      <c r="G1849" s="7" t="n"/>
      <c r="H1849" s="39" t="n"/>
      <c r="I1849" s="39" t="n"/>
      <c r="J1849" s="39" t="n"/>
      <c r="K1849" s="39" t="n"/>
      <c r="L1849" s="39" t="n"/>
      <c r="M1849" s="7" t="n"/>
      <c r="N1849" s="7" t="n"/>
      <c r="O1849" s="40" t="n"/>
      <c r="P1849" s="40" t="n"/>
      <c r="Q1849" s="40" t="n"/>
      <c r="R1849" s="40" t="n"/>
      <c r="S1849" s="40" t="n"/>
      <c r="T1849" s="40" t="n"/>
      <c r="U1849" s="40" t="n"/>
      <c r="V1849" s="40" t="n"/>
      <c r="W1849" s="40" t="n"/>
      <c r="X1849" s="40" t="n"/>
      <c r="Y1849" s="40" t="n"/>
      <c r="Z1849" s="40" t="n"/>
      <c r="AA1849" s="39" t="n"/>
    </row>
    <row r="1850">
      <c r="A1850" s="7" t="n"/>
      <c r="B1850" s="7" t="n"/>
      <c r="C1850" s="39" t="n"/>
      <c r="D1850" s="39" t="n"/>
      <c r="E1850" s="7" t="n"/>
      <c r="F1850" s="7" t="n"/>
      <c r="G1850" s="7" t="n"/>
      <c r="H1850" s="39" t="n"/>
      <c r="I1850" s="39" t="n"/>
      <c r="J1850" s="39" t="n"/>
      <c r="K1850" s="39" t="n"/>
      <c r="L1850" s="39" t="n"/>
      <c r="M1850" s="7" t="n"/>
      <c r="N1850" s="7" t="n"/>
      <c r="O1850" s="40" t="n"/>
      <c r="P1850" s="40" t="n"/>
      <c r="Q1850" s="40" t="n"/>
      <c r="R1850" s="40" t="n"/>
      <c r="S1850" s="40" t="n"/>
      <c r="T1850" s="40" t="n"/>
      <c r="U1850" s="40" t="n"/>
      <c r="V1850" s="40" t="n"/>
      <c r="W1850" s="40" t="n"/>
      <c r="X1850" s="40" t="n"/>
      <c r="Y1850" s="40" t="n"/>
      <c r="Z1850" s="40" t="n"/>
      <c r="AA1850" s="39" t="n"/>
    </row>
    <row r="1851">
      <c r="A1851" s="7" t="n"/>
      <c r="B1851" s="7" t="n"/>
      <c r="C1851" s="39" t="n"/>
      <c r="D1851" s="39" t="n"/>
      <c r="E1851" s="7" t="n"/>
      <c r="F1851" s="7" t="n"/>
      <c r="G1851" s="7" t="n"/>
      <c r="H1851" s="39" t="n"/>
      <c r="I1851" s="39" t="n"/>
      <c r="J1851" s="39" t="n"/>
      <c r="K1851" s="39" t="n"/>
      <c r="L1851" s="39" t="n"/>
      <c r="M1851" s="7" t="n"/>
      <c r="N1851" s="7" t="n"/>
      <c r="O1851" s="40" t="n"/>
      <c r="P1851" s="40" t="n"/>
      <c r="Q1851" s="40" t="n"/>
      <c r="R1851" s="40" t="n"/>
      <c r="S1851" s="40" t="n"/>
      <c r="T1851" s="40" t="n"/>
      <c r="U1851" s="40" t="n"/>
      <c r="V1851" s="40" t="n"/>
      <c r="W1851" s="40" t="n"/>
      <c r="X1851" s="40" t="n"/>
      <c r="Y1851" s="40" t="n"/>
      <c r="Z1851" s="40" t="n"/>
      <c r="AA1851" s="39" t="n"/>
    </row>
    <row r="1852">
      <c r="A1852" s="7" t="n"/>
      <c r="B1852" s="7" t="n"/>
      <c r="C1852" s="39" t="n"/>
      <c r="D1852" s="39" t="n"/>
      <c r="E1852" s="7" t="n"/>
      <c r="F1852" s="7" t="n"/>
      <c r="G1852" s="7" t="n"/>
      <c r="H1852" s="39" t="n"/>
      <c r="I1852" s="39" t="n"/>
      <c r="J1852" s="39" t="n"/>
      <c r="K1852" s="39" t="n"/>
      <c r="L1852" s="39" t="n"/>
      <c r="M1852" s="7" t="n"/>
      <c r="N1852" s="7" t="n"/>
      <c r="O1852" s="40" t="n"/>
      <c r="P1852" s="40" t="n"/>
      <c r="Q1852" s="40" t="n"/>
      <c r="R1852" s="40" t="n"/>
      <c r="S1852" s="40" t="n"/>
      <c r="T1852" s="40" t="n"/>
      <c r="U1852" s="40" t="n"/>
      <c r="V1852" s="40" t="n"/>
      <c r="W1852" s="40" t="n"/>
      <c r="X1852" s="40" t="n"/>
      <c r="Y1852" s="40" t="n"/>
      <c r="Z1852" s="40" t="n"/>
      <c r="AA1852" s="39" t="n"/>
    </row>
    <row r="1853">
      <c r="A1853" s="7" t="n"/>
      <c r="B1853" s="7" t="n"/>
      <c r="C1853" s="39" t="n"/>
      <c r="D1853" s="39" t="n"/>
      <c r="E1853" s="7" t="n"/>
      <c r="F1853" s="7" t="n"/>
      <c r="G1853" s="7" t="n"/>
      <c r="H1853" s="39" t="n"/>
      <c r="I1853" s="39" t="n"/>
      <c r="J1853" s="39" t="n"/>
      <c r="K1853" s="39" t="n"/>
      <c r="L1853" s="39" t="n"/>
      <c r="M1853" s="7" t="n"/>
      <c r="N1853" s="7" t="n"/>
      <c r="O1853" s="40" t="n"/>
      <c r="P1853" s="40" t="n"/>
      <c r="Q1853" s="40" t="n"/>
      <c r="R1853" s="40" t="n"/>
      <c r="S1853" s="40" t="n"/>
      <c r="T1853" s="40" t="n"/>
      <c r="U1853" s="40" t="n"/>
      <c r="V1853" s="40" t="n"/>
      <c r="W1853" s="40" t="n"/>
      <c r="X1853" s="40" t="n"/>
      <c r="Y1853" s="40" t="n"/>
      <c r="Z1853" s="40" t="n"/>
      <c r="AA1853" s="39" t="n"/>
    </row>
    <row r="1854">
      <c r="A1854" s="7" t="n"/>
      <c r="B1854" s="7" t="n"/>
      <c r="C1854" s="39" t="n"/>
      <c r="D1854" s="39" t="n"/>
      <c r="E1854" s="7" t="n"/>
      <c r="F1854" s="7" t="n"/>
      <c r="G1854" s="7" t="n"/>
      <c r="H1854" s="39" t="n"/>
      <c r="I1854" s="39" t="n"/>
      <c r="J1854" s="39" t="n"/>
      <c r="K1854" s="39" t="n"/>
      <c r="L1854" s="39" t="n"/>
      <c r="M1854" s="7" t="n"/>
      <c r="N1854" s="7" t="n"/>
      <c r="O1854" s="40" t="n"/>
      <c r="P1854" s="40" t="n"/>
      <c r="Q1854" s="40" t="n"/>
      <c r="R1854" s="40" t="n"/>
      <c r="S1854" s="40" t="n"/>
      <c r="T1854" s="40" t="n"/>
      <c r="U1854" s="40" t="n"/>
      <c r="V1854" s="40" t="n"/>
      <c r="W1854" s="40" t="n"/>
      <c r="X1854" s="40" t="n"/>
      <c r="Y1854" s="40" t="n"/>
      <c r="Z1854" s="40" t="n"/>
      <c r="AA1854" s="39" t="n"/>
    </row>
    <row r="1855">
      <c r="A1855" s="7" t="n"/>
      <c r="B1855" s="7" t="n"/>
      <c r="C1855" s="39" t="n"/>
      <c r="D1855" s="39" t="n"/>
      <c r="E1855" s="7" t="n"/>
      <c r="F1855" s="7" t="n"/>
      <c r="G1855" s="7" t="n"/>
      <c r="H1855" s="39" t="n"/>
      <c r="I1855" s="39" t="n"/>
      <c r="J1855" s="39" t="n"/>
      <c r="K1855" s="39" t="n"/>
      <c r="L1855" s="39" t="n"/>
      <c r="M1855" s="7" t="n"/>
      <c r="N1855" s="7" t="n"/>
      <c r="O1855" s="40" t="n"/>
      <c r="P1855" s="40" t="n"/>
      <c r="Q1855" s="40" t="n"/>
      <c r="R1855" s="40" t="n"/>
      <c r="S1855" s="40" t="n"/>
      <c r="T1855" s="40" t="n"/>
      <c r="U1855" s="40" t="n"/>
      <c r="V1855" s="40" t="n"/>
      <c r="W1855" s="40" t="n"/>
      <c r="X1855" s="40" t="n"/>
      <c r="Y1855" s="40" t="n"/>
      <c r="Z1855" s="40" t="n"/>
      <c r="AA1855" s="39" t="n"/>
    </row>
    <row r="1856">
      <c r="A1856" s="7" t="n"/>
      <c r="B1856" s="7" t="n"/>
      <c r="C1856" s="39" t="n"/>
      <c r="D1856" s="39" t="n"/>
      <c r="E1856" s="7" t="n"/>
      <c r="F1856" s="7" t="n"/>
      <c r="G1856" s="7" t="n"/>
      <c r="H1856" s="39" t="n"/>
      <c r="I1856" s="39" t="n"/>
      <c r="J1856" s="39" t="n"/>
      <c r="K1856" s="39" t="n"/>
      <c r="L1856" s="39" t="n"/>
      <c r="M1856" s="7" t="n"/>
      <c r="N1856" s="7" t="n"/>
      <c r="O1856" s="40" t="n"/>
      <c r="P1856" s="40" t="n"/>
      <c r="Q1856" s="40" t="n"/>
      <c r="R1856" s="40" t="n"/>
      <c r="S1856" s="40" t="n"/>
      <c r="T1856" s="40" t="n"/>
      <c r="U1856" s="40" t="n"/>
      <c r="V1856" s="40" t="n"/>
      <c r="W1856" s="40" t="n"/>
      <c r="X1856" s="40" t="n"/>
      <c r="Y1856" s="40" t="n"/>
      <c r="Z1856" s="40" t="n"/>
      <c r="AA1856" s="39" t="n"/>
    </row>
    <row r="1857">
      <c r="A1857" s="7" t="n"/>
      <c r="B1857" s="7" t="n"/>
      <c r="C1857" s="39" t="n"/>
      <c r="D1857" s="39" t="n"/>
      <c r="E1857" s="7" t="n"/>
      <c r="F1857" s="7" t="n"/>
      <c r="G1857" s="7" t="n"/>
      <c r="H1857" s="39" t="n"/>
      <c r="I1857" s="39" t="n"/>
      <c r="J1857" s="39" t="n"/>
      <c r="K1857" s="39" t="n"/>
      <c r="L1857" s="39" t="n"/>
      <c r="M1857" s="7" t="n"/>
      <c r="N1857" s="7" t="n"/>
      <c r="O1857" s="40" t="n"/>
      <c r="P1857" s="40" t="n"/>
      <c r="Q1857" s="40" t="n"/>
      <c r="R1857" s="40" t="n"/>
      <c r="S1857" s="40" t="n"/>
      <c r="T1857" s="40" t="n"/>
      <c r="U1857" s="40" t="n"/>
      <c r="V1857" s="40" t="n"/>
      <c r="W1857" s="40" t="n"/>
      <c r="X1857" s="40" t="n"/>
      <c r="Y1857" s="40" t="n"/>
      <c r="Z1857" s="40" t="n"/>
      <c r="AA1857" s="39" t="n"/>
    </row>
    <row r="1858">
      <c r="A1858" s="7" t="n"/>
      <c r="B1858" s="7" t="n"/>
      <c r="C1858" s="39" t="n"/>
      <c r="D1858" s="39" t="n"/>
      <c r="E1858" s="7" t="n"/>
      <c r="F1858" s="7" t="n"/>
      <c r="G1858" s="7" t="n"/>
      <c r="H1858" s="39" t="n"/>
      <c r="I1858" s="39" t="n"/>
      <c r="J1858" s="39" t="n"/>
      <c r="K1858" s="39" t="n"/>
      <c r="L1858" s="39" t="n"/>
      <c r="M1858" s="7" t="n"/>
      <c r="N1858" s="7" t="n"/>
      <c r="O1858" s="40" t="n"/>
      <c r="P1858" s="40" t="n"/>
      <c r="Q1858" s="40" t="n"/>
      <c r="R1858" s="40" t="n"/>
      <c r="S1858" s="40" t="n"/>
      <c r="T1858" s="40" t="n"/>
      <c r="U1858" s="40" t="n"/>
      <c r="V1858" s="40" t="n"/>
      <c r="W1858" s="40" t="n"/>
      <c r="X1858" s="40" t="n"/>
      <c r="Y1858" s="40" t="n"/>
      <c r="Z1858" s="40" t="n"/>
      <c r="AA1858" s="39" t="n"/>
    </row>
    <row r="1859">
      <c r="A1859" s="7" t="n"/>
      <c r="B1859" s="7" t="n"/>
      <c r="C1859" s="39" t="n"/>
      <c r="D1859" s="39" t="n"/>
      <c r="E1859" s="7" t="n"/>
      <c r="F1859" s="7" t="n"/>
      <c r="G1859" s="7" t="n"/>
      <c r="H1859" s="39" t="n"/>
      <c r="I1859" s="39" t="n"/>
      <c r="J1859" s="39" t="n"/>
      <c r="K1859" s="39" t="n"/>
      <c r="L1859" s="39" t="n"/>
      <c r="M1859" s="7" t="n"/>
      <c r="N1859" s="7" t="n"/>
      <c r="O1859" s="40" t="n"/>
      <c r="P1859" s="40" t="n"/>
      <c r="Q1859" s="40" t="n"/>
      <c r="R1859" s="40" t="n"/>
      <c r="S1859" s="40" t="n"/>
      <c r="T1859" s="40" t="n"/>
      <c r="U1859" s="40" t="n"/>
      <c r="V1859" s="40" t="n"/>
      <c r="W1859" s="40" t="n"/>
      <c r="X1859" s="40" t="n"/>
      <c r="Y1859" s="40" t="n"/>
      <c r="Z1859" s="40" t="n"/>
      <c r="AA1859" s="39" t="n"/>
    </row>
    <row r="1860">
      <c r="A1860" s="7" t="n"/>
      <c r="B1860" s="7" t="n"/>
      <c r="C1860" s="39" t="n"/>
      <c r="D1860" s="39" t="n"/>
      <c r="E1860" s="7" t="n"/>
      <c r="F1860" s="7" t="n"/>
      <c r="G1860" s="7" t="n"/>
      <c r="H1860" s="39" t="n"/>
      <c r="I1860" s="39" t="n"/>
      <c r="J1860" s="39" t="n"/>
      <c r="K1860" s="39" t="n"/>
      <c r="L1860" s="39" t="n"/>
      <c r="M1860" s="7" t="n"/>
      <c r="N1860" s="7" t="n"/>
      <c r="O1860" s="40" t="n"/>
      <c r="P1860" s="40" t="n"/>
      <c r="Q1860" s="40" t="n"/>
      <c r="R1860" s="40" t="n"/>
      <c r="S1860" s="40" t="n"/>
      <c r="T1860" s="40" t="n"/>
      <c r="U1860" s="40" t="n"/>
      <c r="V1860" s="40" t="n"/>
      <c r="W1860" s="40" t="n"/>
      <c r="X1860" s="40" t="n"/>
      <c r="Y1860" s="40" t="n"/>
      <c r="Z1860" s="40" t="n"/>
      <c r="AA1860" s="39" t="n"/>
    </row>
    <row r="1861">
      <c r="A1861" s="7" t="n"/>
      <c r="B1861" s="7" t="n"/>
      <c r="C1861" s="39" t="n"/>
      <c r="D1861" s="39" t="n"/>
      <c r="E1861" s="7" t="n"/>
      <c r="F1861" s="7" t="n"/>
      <c r="G1861" s="7" t="n"/>
      <c r="H1861" s="39" t="n"/>
      <c r="I1861" s="39" t="n"/>
      <c r="J1861" s="39" t="n"/>
      <c r="K1861" s="39" t="n"/>
      <c r="L1861" s="39" t="n"/>
      <c r="M1861" s="7" t="n"/>
      <c r="N1861" s="7" t="n"/>
      <c r="O1861" s="40" t="n"/>
      <c r="P1861" s="40" t="n"/>
      <c r="Q1861" s="40" t="n"/>
      <c r="R1861" s="40" t="n"/>
      <c r="S1861" s="40" t="n"/>
      <c r="T1861" s="40" t="n"/>
      <c r="U1861" s="40" t="n"/>
      <c r="V1861" s="40" t="n"/>
      <c r="W1861" s="40" t="n"/>
      <c r="X1861" s="40" t="n"/>
      <c r="Y1861" s="40" t="n"/>
      <c r="Z1861" s="40" t="n"/>
      <c r="AA1861" s="39" t="n"/>
    </row>
    <row r="1862">
      <c r="A1862" s="7" t="n"/>
      <c r="B1862" s="7" t="n"/>
      <c r="C1862" s="39" t="n"/>
      <c r="D1862" s="39" t="n"/>
      <c r="E1862" s="7" t="n"/>
      <c r="F1862" s="7" t="n"/>
      <c r="G1862" s="7" t="n"/>
      <c r="H1862" s="39" t="n"/>
      <c r="I1862" s="39" t="n"/>
      <c r="J1862" s="39" t="n"/>
      <c r="K1862" s="39" t="n"/>
      <c r="L1862" s="39" t="n"/>
      <c r="M1862" s="7" t="n"/>
      <c r="N1862" s="7" t="n"/>
      <c r="O1862" s="40" t="n"/>
      <c r="P1862" s="40" t="n"/>
      <c r="Q1862" s="40" t="n"/>
      <c r="R1862" s="40" t="n"/>
      <c r="S1862" s="40" t="n"/>
      <c r="T1862" s="40" t="n"/>
      <c r="U1862" s="40" t="n"/>
      <c r="V1862" s="40" t="n"/>
      <c r="W1862" s="40" t="n"/>
      <c r="X1862" s="40" t="n"/>
      <c r="Y1862" s="40" t="n"/>
      <c r="Z1862" s="40" t="n"/>
      <c r="AA1862" s="39" t="n"/>
    </row>
    <row r="1863">
      <c r="A1863" s="7" t="n"/>
      <c r="B1863" s="7" t="n"/>
      <c r="C1863" s="39" t="n"/>
      <c r="D1863" s="39" t="n"/>
      <c r="E1863" s="7" t="n"/>
      <c r="F1863" s="7" t="n"/>
      <c r="G1863" s="7" t="n"/>
      <c r="H1863" s="39" t="n"/>
      <c r="I1863" s="39" t="n"/>
      <c r="J1863" s="39" t="n"/>
      <c r="K1863" s="39" t="n"/>
      <c r="L1863" s="39" t="n"/>
      <c r="M1863" s="7" t="n"/>
      <c r="N1863" s="7" t="n"/>
      <c r="O1863" s="40" t="n"/>
      <c r="P1863" s="40" t="n"/>
      <c r="Q1863" s="40" t="n"/>
      <c r="R1863" s="40" t="n"/>
      <c r="S1863" s="40" t="n"/>
      <c r="T1863" s="40" t="n"/>
      <c r="U1863" s="40" t="n"/>
      <c r="V1863" s="40" t="n"/>
      <c r="W1863" s="40" t="n"/>
      <c r="X1863" s="40" t="n"/>
      <c r="Y1863" s="40" t="n"/>
      <c r="Z1863" s="40" t="n"/>
      <c r="AA1863" s="39" t="n"/>
    </row>
    <row r="1864">
      <c r="A1864" s="7" t="n"/>
      <c r="B1864" s="7" t="n"/>
      <c r="C1864" s="39" t="n"/>
      <c r="D1864" s="39" t="n"/>
      <c r="E1864" s="7" t="n"/>
      <c r="F1864" s="7" t="n"/>
      <c r="G1864" s="7" t="n"/>
      <c r="H1864" s="39" t="n"/>
      <c r="I1864" s="39" t="n"/>
      <c r="J1864" s="39" t="n"/>
      <c r="K1864" s="39" t="n"/>
      <c r="L1864" s="39" t="n"/>
      <c r="M1864" s="7" t="n"/>
      <c r="N1864" s="7" t="n"/>
      <c r="O1864" s="40" t="n"/>
      <c r="P1864" s="40" t="n"/>
      <c r="Q1864" s="40" t="n"/>
      <c r="R1864" s="40" t="n"/>
      <c r="S1864" s="40" t="n"/>
      <c r="T1864" s="40" t="n"/>
      <c r="U1864" s="40" t="n"/>
      <c r="V1864" s="40" t="n"/>
      <c r="W1864" s="40" t="n"/>
      <c r="X1864" s="40" t="n"/>
      <c r="Y1864" s="40" t="n"/>
      <c r="Z1864" s="40" t="n"/>
      <c r="AA1864" s="39" t="n"/>
    </row>
    <row r="1865">
      <c r="A1865" s="7" t="n"/>
      <c r="B1865" s="7" t="n"/>
      <c r="C1865" s="39" t="n"/>
      <c r="D1865" s="39" t="n"/>
      <c r="E1865" s="7" t="n"/>
      <c r="F1865" s="7" t="n"/>
      <c r="G1865" s="7" t="n"/>
      <c r="H1865" s="39" t="n"/>
      <c r="I1865" s="39" t="n"/>
      <c r="J1865" s="39" t="n"/>
      <c r="K1865" s="39" t="n"/>
      <c r="L1865" s="39" t="n"/>
      <c r="M1865" s="7" t="n"/>
      <c r="N1865" s="7" t="n"/>
      <c r="O1865" s="40" t="n"/>
      <c r="P1865" s="40" t="n"/>
      <c r="Q1865" s="40" t="n"/>
      <c r="R1865" s="40" t="n"/>
      <c r="S1865" s="40" t="n"/>
      <c r="T1865" s="40" t="n"/>
      <c r="U1865" s="40" t="n"/>
      <c r="V1865" s="40" t="n"/>
      <c r="W1865" s="40" t="n"/>
      <c r="X1865" s="40" t="n"/>
      <c r="Y1865" s="40" t="n"/>
      <c r="Z1865" s="40" t="n"/>
      <c r="AA1865" s="39" t="n"/>
    </row>
    <row r="1866">
      <c r="A1866" s="7" t="n"/>
      <c r="B1866" s="7" t="n"/>
      <c r="C1866" s="39" t="n"/>
      <c r="D1866" s="39" t="n"/>
      <c r="E1866" s="7" t="n"/>
      <c r="F1866" s="7" t="n"/>
      <c r="G1866" s="7" t="n"/>
      <c r="H1866" s="39" t="n"/>
      <c r="I1866" s="39" t="n"/>
      <c r="J1866" s="39" t="n"/>
      <c r="K1866" s="39" t="n"/>
      <c r="L1866" s="39" t="n"/>
      <c r="M1866" s="7" t="n"/>
      <c r="N1866" s="7" t="n"/>
      <c r="O1866" s="40" t="n"/>
      <c r="P1866" s="40" t="n"/>
      <c r="Q1866" s="40" t="n"/>
      <c r="R1866" s="40" t="n"/>
      <c r="S1866" s="40" t="n"/>
      <c r="T1866" s="40" t="n"/>
      <c r="U1866" s="40" t="n"/>
      <c r="V1866" s="40" t="n"/>
      <c r="W1866" s="40" t="n"/>
      <c r="X1866" s="40" t="n"/>
      <c r="Y1866" s="40" t="n"/>
      <c r="Z1866" s="40" t="n"/>
      <c r="AA1866" s="39" t="n"/>
    </row>
    <row r="1867">
      <c r="A1867" s="7" t="n"/>
      <c r="B1867" s="7" t="n"/>
      <c r="C1867" s="39" t="n"/>
      <c r="D1867" s="39" t="n"/>
      <c r="E1867" s="7" t="n"/>
      <c r="F1867" s="7" t="n"/>
      <c r="G1867" s="7" t="n"/>
      <c r="H1867" s="39" t="n"/>
      <c r="I1867" s="39" t="n"/>
      <c r="J1867" s="39" t="n"/>
      <c r="K1867" s="39" t="n"/>
      <c r="L1867" s="39" t="n"/>
      <c r="M1867" s="7" t="n"/>
      <c r="N1867" s="7" t="n"/>
      <c r="O1867" s="40" t="n"/>
      <c r="P1867" s="40" t="n"/>
      <c r="Q1867" s="40" t="n"/>
      <c r="R1867" s="40" t="n"/>
      <c r="S1867" s="40" t="n"/>
      <c r="T1867" s="40" t="n"/>
      <c r="U1867" s="40" t="n"/>
      <c r="V1867" s="40" t="n"/>
      <c r="W1867" s="40" t="n"/>
      <c r="X1867" s="40" t="n"/>
      <c r="Y1867" s="40" t="n"/>
      <c r="Z1867" s="40" t="n"/>
      <c r="AA1867" s="39" t="n"/>
    </row>
    <row r="1868">
      <c r="A1868" s="7" t="n"/>
      <c r="B1868" s="7" t="n"/>
      <c r="C1868" s="39" t="n"/>
      <c r="D1868" s="39" t="n"/>
      <c r="E1868" s="7" t="n"/>
      <c r="F1868" s="7" t="n"/>
      <c r="G1868" s="7" t="n"/>
      <c r="H1868" s="39" t="n"/>
      <c r="I1868" s="39" t="n"/>
      <c r="J1868" s="39" t="n"/>
      <c r="K1868" s="39" t="n"/>
      <c r="L1868" s="39" t="n"/>
      <c r="M1868" s="7" t="n"/>
      <c r="N1868" s="7" t="n"/>
      <c r="O1868" s="40" t="n"/>
      <c r="P1868" s="40" t="n"/>
      <c r="Q1868" s="40" t="n"/>
      <c r="R1868" s="40" t="n"/>
      <c r="S1868" s="40" t="n"/>
      <c r="T1868" s="40" t="n"/>
      <c r="U1868" s="40" t="n"/>
      <c r="V1868" s="40" t="n"/>
      <c r="W1868" s="40" t="n"/>
      <c r="X1868" s="40" t="n"/>
      <c r="Y1868" s="40" t="n"/>
      <c r="Z1868" s="40" t="n"/>
      <c r="AA1868" s="39" t="n"/>
    </row>
    <row r="1869">
      <c r="A1869" s="7" t="n"/>
      <c r="B1869" s="7" t="n"/>
      <c r="C1869" s="39" t="n"/>
      <c r="D1869" s="39" t="n"/>
      <c r="E1869" s="7" t="n"/>
      <c r="F1869" s="7" t="n"/>
      <c r="G1869" s="7" t="n"/>
      <c r="H1869" s="39" t="n"/>
      <c r="I1869" s="39" t="n"/>
      <c r="J1869" s="39" t="n"/>
      <c r="K1869" s="39" t="n"/>
      <c r="L1869" s="39" t="n"/>
      <c r="M1869" s="7" t="n"/>
      <c r="N1869" s="7" t="n"/>
      <c r="O1869" s="40" t="n"/>
      <c r="P1869" s="40" t="n"/>
      <c r="Q1869" s="40" t="n"/>
      <c r="R1869" s="40" t="n"/>
      <c r="S1869" s="40" t="n"/>
      <c r="T1869" s="40" t="n"/>
      <c r="U1869" s="40" t="n"/>
      <c r="V1869" s="40" t="n"/>
      <c r="W1869" s="40" t="n"/>
      <c r="X1869" s="40" t="n"/>
      <c r="Y1869" s="40" t="n"/>
      <c r="Z1869" s="40" t="n"/>
      <c r="AA1869" s="39" t="n"/>
    </row>
    <row r="1870">
      <c r="A1870" s="7" t="n"/>
      <c r="B1870" s="7" t="n"/>
      <c r="C1870" s="39" t="n"/>
      <c r="D1870" s="39" t="n"/>
      <c r="E1870" s="7" t="n"/>
      <c r="F1870" s="7" t="n"/>
      <c r="G1870" s="7" t="n"/>
      <c r="H1870" s="39" t="n"/>
      <c r="I1870" s="39" t="n"/>
      <c r="J1870" s="39" t="n"/>
      <c r="K1870" s="39" t="n"/>
      <c r="L1870" s="39" t="n"/>
      <c r="M1870" s="7" t="n"/>
      <c r="N1870" s="7" t="n"/>
      <c r="O1870" s="40" t="n"/>
      <c r="P1870" s="40" t="n"/>
      <c r="Q1870" s="40" t="n"/>
      <c r="R1870" s="40" t="n"/>
      <c r="S1870" s="40" t="n"/>
      <c r="T1870" s="40" t="n"/>
      <c r="U1870" s="40" t="n"/>
      <c r="V1870" s="40" t="n"/>
      <c r="W1870" s="40" t="n"/>
      <c r="X1870" s="40" t="n"/>
      <c r="Y1870" s="40" t="n"/>
      <c r="Z1870" s="40" t="n"/>
      <c r="AA1870" s="39" t="n"/>
    </row>
    <row r="1871">
      <c r="A1871" s="7" t="n"/>
      <c r="B1871" s="7" t="n"/>
      <c r="C1871" s="39" t="n"/>
      <c r="D1871" s="39" t="n"/>
      <c r="E1871" s="7" t="n"/>
      <c r="F1871" s="7" t="n"/>
      <c r="G1871" s="7" t="n"/>
      <c r="H1871" s="39" t="n"/>
      <c r="I1871" s="39" t="n"/>
      <c r="J1871" s="39" t="n"/>
      <c r="K1871" s="39" t="n"/>
      <c r="L1871" s="39" t="n"/>
      <c r="M1871" s="7" t="n"/>
      <c r="N1871" s="7" t="n"/>
      <c r="O1871" s="40" t="n"/>
      <c r="P1871" s="40" t="n"/>
      <c r="Q1871" s="40" t="n"/>
      <c r="R1871" s="40" t="n"/>
      <c r="S1871" s="40" t="n"/>
      <c r="T1871" s="40" t="n"/>
      <c r="U1871" s="40" t="n"/>
      <c r="V1871" s="40" t="n"/>
      <c r="W1871" s="40" t="n"/>
      <c r="X1871" s="40" t="n"/>
      <c r="Y1871" s="40" t="n"/>
      <c r="Z1871" s="40" t="n"/>
      <c r="AA1871" s="39" t="n"/>
    </row>
    <row r="1872">
      <c r="A1872" s="7" t="n"/>
      <c r="B1872" s="7" t="n"/>
      <c r="C1872" s="39" t="n"/>
      <c r="D1872" s="39" t="n"/>
      <c r="E1872" s="7" t="n"/>
      <c r="F1872" s="7" t="n"/>
      <c r="G1872" s="7" t="n"/>
      <c r="H1872" s="39" t="n"/>
      <c r="I1872" s="39" t="n"/>
      <c r="J1872" s="39" t="n"/>
      <c r="K1872" s="39" t="n"/>
      <c r="L1872" s="39" t="n"/>
      <c r="M1872" s="7" t="n"/>
      <c r="N1872" s="7" t="n"/>
      <c r="O1872" s="40" t="n"/>
      <c r="P1872" s="40" t="n"/>
      <c r="Q1872" s="40" t="n"/>
      <c r="R1872" s="40" t="n"/>
      <c r="S1872" s="40" t="n"/>
      <c r="T1872" s="40" t="n"/>
      <c r="U1872" s="40" t="n"/>
      <c r="V1872" s="40" t="n"/>
      <c r="W1872" s="40" t="n"/>
      <c r="X1872" s="40" t="n"/>
      <c r="Y1872" s="40" t="n"/>
      <c r="Z1872" s="40" t="n"/>
      <c r="AA1872" s="39" t="n"/>
    </row>
    <row r="1873">
      <c r="A1873" s="7" t="n"/>
      <c r="B1873" s="7" t="n"/>
      <c r="C1873" s="39" t="n"/>
      <c r="D1873" s="39" t="n"/>
      <c r="E1873" s="7" t="n"/>
      <c r="F1873" s="7" t="n"/>
      <c r="G1873" s="7" t="n"/>
      <c r="H1873" s="39" t="n"/>
      <c r="I1873" s="39" t="n"/>
      <c r="J1873" s="39" t="n"/>
      <c r="K1873" s="39" t="n"/>
      <c r="L1873" s="39" t="n"/>
      <c r="M1873" s="7" t="n"/>
      <c r="N1873" s="7" t="n"/>
      <c r="O1873" s="40" t="n"/>
      <c r="P1873" s="40" t="n"/>
      <c r="Q1873" s="40" t="n"/>
      <c r="R1873" s="40" t="n"/>
      <c r="S1873" s="40" t="n"/>
      <c r="T1873" s="40" t="n"/>
      <c r="U1873" s="40" t="n"/>
      <c r="V1873" s="40" t="n"/>
      <c r="W1873" s="40" t="n"/>
      <c r="X1873" s="40" t="n"/>
      <c r="Y1873" s="40" t="n"/>
      <c r="Z1873" s="40" t="n"/>
      <c r="AA1873" s="39" t="n"/>
    </row>
    <row r="1874">
      <c r="A1874" s="7" t="n"/>
      <c r="B1874" s="7" t="n"/>
      <c r="C1874" s="39" t="n"/>
      <c r="D1874" s="39" t="n"/>
      <c r="E1874" s="7" t="n"/>
      <c r="F1874" s="7" t="n"/>
      <c r="G1874" s="7" t="n"/>
      <c r="H1874" s="39" t="n"/>
      <c r="I1874" s="39" t="n"/>
      <c r="J1874" s="39" t="n"/>
      <c r="K1874" s="39" t="n"/>
      <c r="L1874" s="39" t="n"/>
      <c r="M1874" s="7" t="n"/>
      <c r="N1874" s="7" t="n"/>
      <c r="O1874" s="40" t="n"/>
      <c r="P1874" s="40" t="n"/>
      <c r="Q1874" s="40" t="n"/>
      <c r="R1874" s="40" t="n"/>
      <c r="S1874" s="40" t="n"/>
      <c r="T1874" s="40" t="n"/>
      <c r="U1874" s="40" t="n"/>
      <c r="V1874" s="40" t="n"/>
      <c r="W1874" s="40" t="n"/>
      <c r="X1874" s="40" t="n"/>
      <c r="Y1874" s="40" t="n"/>
      <c r="Z1874" s="40" t="n"/>
      <c r="AA1874" s="39" t="n"/>
    </row>
    <row r="1875">
      <c r="A1875" s="7" t="n"/>
      <c r="B1875" s="7" t="n"/>
      <c r="C1875" s="39" t="n"/>
      <c r="D1875" s="39" t="n"/>
      <c r="E1875" s="7" t="n"/>
      <c r="F1875" s="7" t="n"/>
      <c r="G1875" s="7" t="n"/>
      <c r="H1875" s="39" t="n"/>
      <c r="I1875" s="39" t="n"/>
      <c r="J1875" s="39" t="n"/>
      <c r="K1875" s="39" t="n"/>
      <c r="L1875" s="39" t="n"/>
      <c r="M1875" s="7" t="n"/>
      <c r="N1875" s="7" t="n"/>
      <c r="O1875" s="40" t="n"/>
      <c r="P1875" s="40" t="n"/>
      <c r="Q1875" s="40" t="n"/>
      <c r="R1875" s="40" t="n"/>
      <c r="S1875" s="40" t="n"/>
      <c r="T1875" s="40" t="n"/>
      <c r="U1875" s="40" t="n"/>
      <c r="V1875" s="40" t="n"/>
      <c r="W1875" s="40" t="n"/>
      <c r="X1875" s="40" t="n"/>
      <c r="Y1875" s="40" t="n"/>
      <c r="Z1875" s="40" t="n"/>
      <c r="AA1875" s="39" t="n"/>
    </row>
    <row r="1876">
      <c r="A1876" s="7" t="n"/>
      <c r="B1876" s="7" t="n"/>
      <c r="C1876" s="39" t="n"/>
      <c r="D1876" s="39" t="n"/>
      <c r="E1876" s="7" t="n"/>
      <c r="F1876" s="7" t="n"/>
      <c r="G1876" s="7" t="n"/>
      <c r="H1876" s="39" t="n"/>
      <c r="I1876" s="39" t="n"/>
      <c r="J1876" s="39" t="n"/>
      <c r="K1876" s="39" t="n"/>
      <c r="L1876" s="39" t="n"/>
      <c r="M1876" s="7" t="n"/>
      <c r="N1876" s="7" t="n"/>
      <c r="O1876" s="40" t="n"/>
      <c r="P1876" s="40" t="n"/>
      <c r="Q1876" s="40" t="n"/>
      <c r="R1876" s="40" t="n"/>
      <c r="S1876" s="40" t="n"/>
      <c r="T1876" s="40" t="n"/>
      <c r="U1876" s="40" t="n"/>
      <c r="V1876" s="40" t="n"/>
      <c r="W1876" s="40" t="n"/>
      <c r="X1876" s="40" t="n"/>
      <c r="Y1876" s="40" t="n"/>
      <c r="Z1876" s="40" t="n"/>
      <c r="AA1876" s="39" t="n"/>
    </row>
    <row r="1877">
      <c r="A1877" s="7" t="n"/>
      <c r="B1877" s="7" t="n"/>
      <c r="C1877" s="39" t="n"/>
      <c r="D1877" s="39" t="n"/>
      <c r="E1877" s="7" t="n"/>
      <c r="F1877" s="7" t="n"/>
      <c r="G1877" s="7" t="n"/>
      <c r="H1877" s="39" t="n"/>
      <c r="I1877" s="39" t="n"/>
      <c r="J1877" s="39" t="n"/>
      <c r="K1877" s="39" t="n"/>
      <c r="L1877" s="39" t="n"/>
      <c r="M1877" s="7" t="n"/>
      <c r="N1877" s="7" t="n"/>
      <c r="O1877" s="40" t="n"/>
      <c r="P1877" s="40" t="n"/>
      <c r="Q1877" s="40" t="n"/>
      <c r="R1877" s="40" t="n"/>
      <c r="S1877" s="40" t="n"/>
      <c r="T1877" s="40" t="n"/>
      <c r="U1877" s="40" t="n"/>
      <c r="V1877" s="40" t="n"/>
      <c r="W1877" s="40" t="n"/>
      <c r="X1877" s="40" t="n"/>
      <c r="Y1877" s="40" t="n"/>
      <c r="Z1877" s="40" t="n"/>
      <c r="AA1877" s="39" t="n"/>
    </row>
    <row r="1878">
      <c r="A1878" s="7" t="n"/>
      <c r="B1878" s="7" t="n"/>
      <c r="C1878" s="39" t="n"/>
      <c r="D1878" s="39" t="n"/>
      <c r="E1878" s="7" t="n"/>
      <c r="F1878" s="7" t="n"/>
      <c r="G1878" s="7" t="n"/>
      <c r="H1878" s="39" t="n"/>
      <c r="I1878" s="39" t="n"/>
      <c r="J1878" s="39" t="n"/>
      <c r="K1878" s="39" t="n"/>
      <c r="L1878" s="39" t="n"/>
      <c r="M1878" s="7" t="n"/>
      <c r="N1878" s="7" t="n"/>
      <c r="O1878" s="40" t="n"/>
      <c r="P1878" s="40" t="n"/>
      <c r="Q1878" s="40" t="n"/>
      <c r="R1878" s="40" t="n"/>
      <c r="S1878" s="40" t="n"/>
      <c r="T1878" s="40" t="n"/>
      <c r="U1878" s="40" t="n"/>
      <c r="V1878" s="40" t="n"/>
      <c r="W1878" s="40" t="n"/>
      <c r="X1878" s="40" t="n"/>
      <c r="Y1878" s="40" t="n"/>
      <c r="Z1878" s="40" t="n"/>
      <c r="AA1878" s="39" t="n"/>
    </row>
    <row r="1879">
      <c r="A1879" s="7" t="n"/>
      <c r="B1879" s="7" t="n"/>
      <c r="C1879" s="39" t="n"/>
      <c r="D1879" s="39" t="n"/>
      <c r="E1879" s="7" t="n"/>
      <c r="F1879" s="7" t="n"/>
      <c r="G1879" s="7" t="n"/>
      <c r="H1879" s="39" t="n"/>
      <c r="I1879" s="39" t="n"/>
      <c r="J1879" s="39" t="n"/>
      <c r="K1879" s="39" t="n"/>
      <c r="L1879" s="39" t="n"/>
      <c r="M1879" s="7" t="n"/>
      <c r="N1879" s="7" t="n"/>
      <c r="O1879" s="40" t="n"/>
      <c r="P1879" s="40" t="n"/>
      <c r="Q1879" s="40" t="n"/>
      <c r="R1879" s="40" t="n"/>
      <c r="S1879" s="40" t="n"/>
      <c r="T1879" s="40" t="n"/>
      <c r="U1879" s="40" t="n"/>
      <c r="V1879" s="40" t="n"/>
      <c r="W1879" s="40" t="n"/>
      <c r="X1879" s="40" t="n"/>
      <c r="Y1879" s="40" t="n"/>
      <c r="Z1879" s="40" t="n"/>
      <c r="AA1879" s="39" t="n"/>
    </row>
    <row r="1880">
      <c r="A1880" s="7" t="n"/>
      <c r="B1880" s="7" t="n"/>
      <c r="C1880" s="39" t="n"/>
      <c r="D1880" s="39" t="n"/>
      <c r="E1880" s="7" t="n"/>
      <c r="F1880" s="7" t="n"/>
      <c r="G1880" s="7" t="n"/>
      <c r="H1880" s="39" t="n"/>
      <c r="I1880" s="39" t="n"/>
      <c r="J1880" s="39" t="n"/>
      <c r="K1880" s="39" t="n"/>
      <c r="L1880" s="39" t="n"/>
      <c r="M1880" s="7" t="n"/>
      <c r="N1880" s="7" t="n"/>
      <c r="O1880" s="40" t="n"/>
      <c r="P1880" s="40" t="n"/>
      <c r="Q1880" s="40" t="n"/>
      <c r="R1880" s="40" t="n"/>
      <c r="S1880" s="40" t="n"/>
      <c r="T1880" s="40" t="n"/>
      <c r="U1880" s="40" t="n"/>
      <c r="V1880" s="40" t="n"/>
      <c r="W1880" s="40" t="n"/>
      <c r="X1880" s="40" t="n"/>
      <c r="Y1880" s="40" t="n"/>
      <c r="Z1880" s="40" t="n"/>
      <c r="AA1880" s="39" t="n"/>
    </row>
    <row r="1881">
      <c r="A1881" s="7" t="n"/>
      <c r="B1881" s="7" t="n"/>
      <c r="C1881" s="39" t="n"/>
      <c r="D1881" s="39" t="n"/>
      <c r="E1881" s="7" t="n"/>
      <c r="F1881" s="7" t="n"/>
      <c r="G1881" s="7" t="n"/>
      <c r="H1881" s="39" t="n"/>
      <c r="I1881" s="39" t="n"/>
      <c r="J1881" s="39" t="n"/>
      <c r="K1881" s="39" t="n"/>
      <c r="L1881" s="39" t="n"/>
      <c r="M1881" s="7" t="n"/>
      <c r="N1881" s="7" t="n"/>
      <c r="O1881" s="40" t="n"/>
      <c r="P1881" s="40" t="n"/>
      <c r="Q1881" s="40" t="n"/>
      <c r="R1881" s="40" t="n"/>
      <c r="S1881" s="40" t="n"/>
      <c r="T1881" s="40" t="n"/>
      <c r="U1881" s="40" t="n"/>
      <c r="V1881" s="40" t="n"/>
      <c r="W1881" s="40" t="n"/>
      <c r="X1881" s="40" t="n"/>
      <c r="Y1881" s="40" t="n"/>
      <c r="Z1881" s="40" t="n"/>
      <c r="AA1881" s="39" t="n"/>
    </row>
    <row r="1882">
      <c r="A1882" s="7" t="n"/>
      <c r="B1882" s="7" t="n"/>
      <c r="C1882" s="39" t="n"/>
      <c r="D1882" s="39" t="n"/>
      <c r="E1882" s="7" t="n"/>
      <c r="F1882" s="7" t="n"/>
      <c r="G1882" s="7" t="n"/>
      <c r="H1882" s="39" t="n"/>
      <c r="I1882" s="39" t="n"/>
      <c r="J1882" s="39" t="n"/>
      <c r="K1882" s="39" t="n"/>
      <c r="L1882" s="39" t="n"/>
      <c r="M1882" s="7" t="n"/>
      <c r="N1882" s="7" t="n"/>
      <c r="O1882" s="40" t="n"/>
      <c r="P1882" s="40" t="n"/>
      <c r="Q1882" s="40" t="n"/>
      <c r="R1882" s="40" t="n"/>
      <c r="S1882" s="40" t="n"/>
      <c r="T1882" s="40" t="n"/>
      <c r="U1882" s="40" t="n"/>
      <c r="V1882" s="40" t="n"/>
      <c r="W1882" s="40" t="n"/>
      <c r="X1882" s="40" t="n"/>
      <c r="Y1882" s="40" t="n"/>
      <c r="Z1882" s="40" t="n"/>
      <c r="AA1882" s="39" t="n"/>
    </row>
    <row r="1883">
      <c r="A1883" s="7" t="n"/>
      <c r="B1883" s="7" t="n"/>
      <c r="C1883" s="39" t="n"/>
      <c r="D1883" s="39" t="n"/>
      <c r="E1883" s="7" t="n"/>
      <c r="F1883" s="7" t="n"/>
      <c r="G1883" s="7" t="n"/>
      <c r="H1883" s="39" t="n"/>
      <c r="I1883" s="39" t="n"/>
      <c r="J1883" s="39" t="n"/>
      <c r="K1883" s="39" t="n"/>
      <c r="L1883" s="39" t="n"/>
      <c r="M1883" s="7" t="n"/>
      <c r="N1883" s="7" t="n"/>
      <c r="O1883" s="40" t="n"/>
      <c r="P1883" s="40" t="n"/>
      <c r="Q1883" s="40" t="n"/>
      <c r="R1883" s="40" t="n"/>
      <c r="S1883" s="40" t="n"/>
      <c r="T1883" s="40" t="n"/>
      <c r="U1883" s="40" t="n"/>
      <c r="V1883" s="40" t="n"/>
      <c r="W1883" s="40" t="n"/>
      <c r="X1883" s="40" t="n"/>
      <c r="Y1883" s="40" t="n"/>
      <c r="Z1883" s="40" t="n"/>
      <c r="AA1883" s="39" t="n"/>
    </row>
    <row r="1884">
      <c r="A1884" s="7" t="n"/>
      <c r="B1884" s="7" t="n"/>
      <c r="C1884" s="39" t="n"/>
      <c r="D1884" s="39" t="n"/>
      <c r="E1884" s="7" t="n"/>
      <c r="F1884" s="7" t="n"/>
      <c r="G1884" s="7" t="n"/>
      <c r="H1884" s="39" t="n"/>
      <c r="I1884" s="39" t="n"/>
      <c r="J1884" s="39" t="n"/>
      <c r="K1884" s="39" t="n"/>
      <c r="L1884" s="39" t="n"/>
      <c r="M1884" s="7" t="n"/>
      <c r="N1884" s="7" t="n"/>
      <c r="O1884" s="40" t="n"/>
      <c r="P1884" s="40" t="n"/>
      <c r="Q1884" s="40" t="n"/>
      <c r="R1884" s="40" t="n"/>
      <c r="S1884" s="40" t="n"/>
      <c r="T1884" s="40" t="n"/>
      <c r="U1884" s="40" t="n"/>
      <c r="V1884" s="40" t="n"/>
      <c r="W1884" s="40" t="n"/>
      <c r="X1884" s="40" t="n"/>
      <c r="Y1884" s="40" t="n"/>
      <c r="Z1884" s="40" t="n"/>
      <c r="AA1884" s="39" t="n"/>
    </row>
    <row r="1885">
      <c r="A1885" s="7" t="n"/>
      <c r="B1885" s="7" t="n"/>
      <c r="C1885" s="39" t="n"/>
      <c r="D1885" s="39" t="n"/>
      <c r="E1885" s="7" t="n"/>
      <c r="F1885" s="7" t="n"/>
      <c r="G1885" s="7" t="n"/>
      <c r="H1885" s="39" t="n"/>
      <c r="I1885" s="39" t="n"/>
      <c r="J1885" s="39" t="n"/>
      <c r="K1885" s="39" t="n"/>
      <c r="L1885" s="39" t="n"/>
      <c r="M1885" s="7" t="n"/>
      <c r="N1885" s="7" t="n"/>
      <c r="O1885" s="40" t="n"/>
      <c r="P1885" s="40" t="n"/>
      <c r="Q1885" s="40" t="n"/>
      <c r="R1885" s="40" t="n"/>
      <c r="S1885" s="40" t="n"/>
      <c r="T1885" s="40" t="n"/>
      <c r="U1885" s="40" t="n"/>
      <c r="V1885" s="40" t="n"/>
      <c r="W1885" s="40" t="n"/>
      <c r="X1885" s="40" t="n"/>
      <c r="Y1885" s="40" t="n"/>
      <c r="Z1885" s="40" t="n"/>
      <c r="AA1885" s="39" t="n"/>
    </row>
    <row r="1886">
      <c r="A1886" s="7" t="n"/>
      <c r="B1886" s="7" t="n"/>
      <c r="C1886" s="39" t="n"/>
      <c r="D1886" s="39" t="n"/>
      <c r="E1886" s="7" t="n"/>
      <c r="F1886" s="7" t="n"/>
      <c r="G1886" s="7" t="n"/>
      <c r="H1886" s="39" t="n"/>
      <c r="I1886" s="39" t="n"/>
      <c r="J1886" s="39" t="n"/>
      <c r="K1886" s="39" t="n"/>
      <c r="L1886" s="39" t="n"/>
      <c r="M1886" s="7" t="n"/>
      <c r="N1886" s="7" t="n"/>
      <c r="O1886" s="40" t="n"/>
      <c r="P1886" s="40" t="n"/>
      <c r="Q1886" s="40" t="n"/>
      <c r="R1886" s="40" t="n"/>
      <c r="S1886" s="40" t="n"/>
      <c r="T1886" s="40" t="n"/>
      <c r="U1886" s="40" t="n"/>
      <c r="V1886" s="40" t="n"/>
      <c r="W1886" s="40" t="n"/>
      <c r="X1886" s="40" t="n"/>
      <c r="Y1886" s="40" t="n"/>
      <c r="Z1886" s="40" t="n"/>
      <c r="AA1886" s="39" t="n"/>
    </row>
    <row r="1887">
      <c r="A1887" s="7" t="n"/>
      <c r="B1887" s="7" t="n"/>
      <c r="C1887" s="39" t="n"/>
      <c r="D1887" s="39" t="n"/>
      <c r="E1887" s="7" t="n"/>
      <c r="F1887" s="7" t="n"/>
      <c r="G1887" s="7" t="n"/>
      <c r="H1887" s="39" t="n"/>
      <c r="I1887" s="39" t="n"/>
      <c r="J1887" s="39" t="n"/>
      <c r="K1887" s="39" t="n"/>
      <c r="L1887" s="39" t="n"/>
      <c r="M1887" s="7" t="n"/>
      <c r="N1887" s="7" t="n"/>
      <c r="O1887" s="40" t="n"/>
      <c r="P1887" s="40" t="n"/>
      <c r="Q1887" s="40" t="n"/>
      <c r="R1887" s="40" t="n"/>
      <c r="S1887" s="40" t="n"/>
      <c r="T1887" s="40" t="n"/>
      <c r="U1887" s="40" t="n"/>
      <c r="V1887" s="40" t="n"/>
      <c r="W1887" s="40" t="n"/>
      <c r="X1887" s="40" t="n"/>
      <c r="Y1887" s="40" t="n"/>
      <c r="Z1887" s="40" t="n"/>
      <c r="AA1887" s="39" t="n"/>
    </row>
    <row r="1888">
      <c r="A1888" s="7" t="n"/>
      <c r="B1888" s="7" t="n"/>
      <c r="C1888" s="39" t="n"/>
      <c r="D1888" s="39" t="n"/>
      <c r="E1888" s="7" t="n"/>
      <c r="F1888" s="7" t="n"/>
      <c r="G1888" s="7" t="n"/>
      <c r="H1888" s="39" t="n"/>
      <c r="I1888" s="39" t="n"/>
      <c r="J1888" s="39" t="n"/>
      <c r="K1888" s="39" t="n"/>
      <c r="L1888" s="39" t="n"/>
      <c r="M1888" s="7" t="n"/>
      <c r="N1888" s="7" t="n"/>
      <c r="O1888" s="40" t="n"/>
      <c r="P1888" s="40" t="n"/>
      <c r="Q1888" s="40" t="n"/>
      <c r="R1888" s="40" t="n"/>
      <c r="S1888" s="40" t="n"/>
      <c r="T1888" s="40" t="n"/>
      <c r="U1888" s="40" t="n"/>
      <c r="V1888" s="40" t="n"/>
      <c r="W1888" s="40" t="n"/>
      <c r="X1888" s="40" t="n"/>
      <c r="Y1888" s="40" t="n"/>
      <c r="Z1888" s="40" t="n"/>
      <c r="AA1888" s="39" t="n"/>
    </row>
    <row r="1889">
      <c r="A1889" s="7" t="n"/>
      <c r="B1889" s="7" t="n"/>
      <c r="C1889" s="39" t="n"/>
      <c r="D1889" s="39" t="n"/>
      <c r="E1889" s="7" t="n"/>
      <c r="F1889" s="7" t="n"/>
      <c r="G1889" s="7" t="n"/>
      <c r="H1889" s="39" t="n"/>
      <c r="I1889" s="39" t="n"/>
      <c r="J1889" s="39" t="n"/>
      <c r="K1889" s="39" t="n"/>
      <c r="L1889" s="39" t="n"/>
      <c r="M1889" s="7" t="n"/>
      <c r="N1889" s="7" t="n"/>
      <c r="O1889" s="40" t="n"/>
      <c r="P1889" s="40" t="n"/>
      <c r="Q1889" s="40" t="n"/>
      <c r="R1889" s="40" t="n"/>
      <c r="S1889" s="40" t="n"/>
      <c r="T1889" s="40" t="n"/>
      <c r="U1889" s="40" t="n"/>
      <c r="V1889" s="40" t="n"/>
      <c r="W1889" s="40" t="n"/>
      <c r="X1889" s="40" t="n"/>
      <c r="Y1889" s="40" t="n"/>
      <c r="Z1889" s="40" t="n"/>
      <c r="AA1889" s="39" t="n"/>
    </row>
    <row r="1890">
      <c r="A1890" s="7" t="n"/>
      <c r="B1890" s="7" t="n"/>
      <c r="C1890" s="39" t="n"/>
      <c r="D1890" s="39" t="n"/>
      <c r="E1890" s="7" t="n"/>
      <c r="F1890" s="7" t="n"/>
      <c r="G1890" s="7" t="n"/>
      <c r="H1890" s="39" t="n"/>
      <c r="I1890" s="39" t="n"/>
      <c r="J1890" s="39" t="n"/>
      <c r="K1890" s="39" t="n"/>
      <c r="L1890" s="39" t="n"/>
      <c r="M1890" s="7" t="n"/>
      <c r="N1890" s="7" t="n"/>
      <c r="O1890" s="40" t="n"/>
      <c r="P1890" s="40" t="n"/>
      <c r="Q1890" s="40" t="n"/>
      <c r="R1890" s="40" t="n"/>
      <c r="S1890" s="40" t="n"/>
      <c r="T1890" s="40" t="n"/>
      <c r="U1890" s="40" t="n"/>
      <c r="V1890" s="40" t="n"/>
      <c r="W1890" s="40" t="n"/>
      <c r="X1890" s="40" t="n"/>
      <c r="Y1890" s="40" t="n"/>
      <c r="Z1890" s="40" t="n"/>
      <c r="AA1890" s="39" t="n"/>
    </row>
    <row r="1891">
      <c r="A1891" s="7" t="n"/>
      <c r="B1891" s="7" t="n"/>
      <c r="C1891" s="39" t="n"/>
      <c r="D1891" s="39" t="n"/>
      <c r="E1891" s="7" t="n"/>
      <c r="F1891" s="7" t="n"/>
      <c r="G1891" s="7" t="n"/>
      <c r="H1891" s="39" t="n"/>
      <c r="I1891" s="39" t="n"/>
      <c r="J1891" s="39" t="n"/>
      <c r="K1891" s="39" t="n"/>
      <c r="L1891" s="39" t="n"/>
      <c r="M1891" s="7" t="n"/>
      <c r="N1891" s="7" t="n"/>
      <c r="O1891" s="40" t="n"/>
      <c r="P1891" s="40" t="n"/>
      <c r="Q1891" s="40" t="n"/>
      <c r="R1891" s="40" t="n"/>
      <c r="S1891" s="40" t="n"/>
      <c r="T1891" s="40" t="n"/>
      <c r="U1891" s="40" t="n"/>
      <c r="V1891" s="40" t="n"/>
      <c r="W1891" s="40" t="n"/>
      <c r="X1891" s="40" t="n"/>
      <c r="Y1891" s="40" t="n"/>
      <c r="Z1891" s="40" t="n"/>
      <c r="AA1891" s="39" t="n"/>
    </row>
    <row r="1892">
      <c r="A1892" s="7" t="n"/>
      <c r="B1892" s="7" t="n"/>
      <c r="C1892" s="39" t="n"/>
      <c r="D1892" s="39" t="n"/>
      <c r="E1892" s="7" t="n"/>
      <c r="F1892" s="7" t="n"/>
      <c r="G1892" s="7" t="n"/>
      <c r="H1892" s="39" t="n"/>
      <c r="I1892" s="39" t="n"/>
      <c r="J1892" s="39" t="n"/>
      <c r="K1892" s="39" t="n"/>
      <c r="L1892" s="39" t="n"/>
      <c r="M1892" s="7" t="n"/>
      <c r="N1892" s="7" t="n"/>
      <c r="O1892" s="40" t="n"/>
      <c r="P1892" s="40" t="n"/>
      <c r="Q1892" s="40" t="n"/>
      <c r="R1892" s="40" t="n"/>
      <c r="S1892" s="40" t="n"/>
      <c r="T1892" s="40" t="n"/>
      <c r="U1892" s="40" t="n"/>
      <c r="V1892" s="40" t="n"/>
      <c r="W1892" s="40" t="n"/>
      <c r="X1892" s="40" t="n"/>
      <c r="Y1892" s="40" t="n"/>
      <c r="Z1892" s="40" t="n"/>
      <c r="AA1892" s="39" t="n"/>
    </row>
    <row r="1893">
      <c r="A1893" s="7" t="n"/>
      <c r="B1893" s="7" t="n"/>
      <c r="C1893" s="39" t="n"/>
      <c r="D1893" s="39" t="n"/>
      <c r="E1893" s="7" t="n"/>
      <c r="F1893" s="7" t="n"/>
      <c r="G1893" s="7" t="n"/>
      <c r="H1893" s="39" t="n"/>
      <c r="I1893" s="39" t="n"/>
      <c r="J1893" s="39" t="n"/>
      <c r="K1893" s="39" t="n"/>
      <c r="L1893" s="39" t="n"/>
      <c r="M1893" s="7" t="n"/>
      <c r="N1893" s="7" t="n"/>
      <c r="O1893" s="40" t="n"/>
      <c r="P1893" s="40" t="n"/>
      <c r="Q1893" s="40" t="n"/>
      <c r="R1893" s="40" t="n"/>
      <c r="S1893" s="40" t="n"/>
      <c r="T1893" s="40" t="n"/>
      <c r="U1893" s="40" t="n"/>
      <c r="V1893" s="40" t="n"/>
      <c r="W1893" s="40" t="n"/>
      <c r="X1893" s="40" t="n"/>
      <c r="Y1893" s="40" t="n"/>
      <c r="Z1893" s="40" t="n"/>
      <c r="AA1893" s="39" t="n"/>
    </row>
    <row r="1894">
      <c r="A1894" s="7" t="n"/>
      <c r="B1894" s="7" t="n"/>
      <c r="C1894" s="39" t="n"/>
      <c r="D1894" s="39" t="n"/>
      <c r="E1894" s="7" t="n"/>
      <c r="F1894" s="7" t="n"/>
      <c r="G1894" s="7" t="n"/>
      <c r="H1894" s="39" t="n"/>
      <c r="I1894" s="39" t="n"/>
      <c r="J1894" s="39" t="n"/>
      <c r="K1894" s="39" t="n"/>
      <c r="L1894" s="39" t="n"/>
      <c r="M1894" s="7" t="n"/>
      <c r="N1894" s="7" t="n"/>
      <c r="O1894" s="40" t="n"/>
      <c r="P1894" s="40" t="n"/>
      <c r="Q1894" s="40" t="n"/>
      <c r="R1894" s="40" t="n"/>
      <c r="S1894" s="40" t="n"/>
      <c r="T1894" s="40" t="n"/>
      <c r="U1894" s="40" t="n"/>
      <c r="V1894" s="40" t="n"/>
      <c r="W1894" s="40" t="n"/>
      <c r="X1894" s="40" t="n"/>
      <c r="Y1894" s="40" t="n"/>
      <c r="Z1894" s="40" t="n"/>
      <c r="AA1894" s="39" t="n"/>
    </row>
    <row r="1895">
      <c r="A1895" s="7" t="n"/>
      <c r="B1895" s="7" t="n"/>
      <c r="C1895" s="39" t="n"/>
      <c r="D1895" s="39" t="n"/>
      <c r="E1895" s="7" t="n"/>
      <c r="F1895" s="7" t="n"/>
      <c r="G1895" s="7" t="n"/>
      <c r="H1895" s="39" t="n"/>
      <c r="I1895" s="39" t="n"/>
      <c r="J1895" s="39" t="n"/>
      <c r="K1895" s="39" t="n"/>
      <c r="L1895" s="39" t="n"/>
      <c r="M1895" s="7" t="n"/>
      <c r="N1895" s="7" t="n"/>
      <c r="O1895" s="40" t="n"/>
      <c r="P1895" s="40" t="n"/>
      <c r="Q1895" s="40" t="n"/>
      <c r="R1895" s="40" t="n"/>
      <c r="S1895" s="40" t="n"/>
      <c r="T1895" s="40" t="n"/>
      <c r="U1895" s="40" t="n"/>
      <c r="V1895" s="40" t="n"/>
      <c r="W1895" s="40" t="n"/>
      <c r="X1895" s="40" t="n"/>
      <c r="Y1895" s="40" t="n"/>
      <c r="Z1895" s="40" t="n"/>
      <c r="AA1895" s="39" t="n"/>
    </row>
    <row r="1896">
      <c r="A1896" s="7" t="n"/>
      <c r="B1896" s="7" t="n"/>
      <c r="C1896" s="39" t="n"/>
      <c r="D1896" s="39" t="n"/>
      <c r="E1896" s="7" t="n"/>
      <c r="F1896" s="7" t="n"/>
      <c r="G1896" s="7" t="n"/>
      <c r="H1896" s="39" t="n"/>
      <c r="I1896" s="39" t="n"/>
      <c r="J1896" s="39" t="n"/>
      <c r="K1896" s="39" t="n"/>
      <c r="L1896" s="39" t="n"/>
      <c r="M1896" s="7" t="n"/>
      <c r="N1896" s="7" t="n"/>
      <c r="O1896" s="40" t="n"/>
      <c r="P1896" s="40" t="n"/>
      <c r="Q1896" s="40" t="n"/>
      <c r="R1896" s="40" t="n"/>
      <c r="S1896" s="40" t="n"/>
      <c r="T1896" s="40" t="n"/>
      <c r="U1896" s="40" t="n"/>
      <c r="V1896" s="40" t="n"/>
      <c r="W1896" s="40" t="n"/>
      <c r="X1896" s="40" t="n"/>
      <c r="Y1896" s="40" t="n"/>
      <c r="Z1896" s="40" t="n"/>
      <c r="AA1896" s="39" t="n"/>
    </row>
    <row r="1897">
      <c r="A1897" s="7" t="n"/>
      <c r="B1897" s="7" t="n"/>
      <c r="C1897" s="39" t="n"/>
      <c r="D1897" s="39" t="n"/>
      <c r="E1897" s="7" t="n"/>
      <c r="F1897" s="7" t="n"/>
      <c r="G1897" s="7" t="n"/>
      <c r="H1897" s="39" t="n"/>
      <c r="I1897" s="39" t="n"/>
      <c r="J1897" s="39" t="n"/>
      <c r="K1897" s="39" t="n"/>
      <c r="L1897" s="39" t="n"/>
      <c r="M1897" s="7" t="n"/>
      <c r="N1897" s="7" t="n"/>
      <c r="O1897" s="40" t="n"/>
      <c r="P1897" s="40" t="n"/>
      <c r="Q1897" s="40" t="n"/>
      <c r="R1897" s="40" t="n"/>
      <c r="S1897" s="40" t="n"/>
      <c r="T1897" s="40" t="n"/>
      <c r="U1897" s="40" t="n"/>
      <c r="V1897" s="40" t="n"/>
      <c r="W1897" s="40" t="n"/>
      <c r="X1897" s="40" t="n"/>
      <c r="Y1897" s="40" t="n"/>
      <c r="Z1897" s="40" t="n"/>
      <c r="AA1897" s="39" t="n"/>
    </row>
    <row r="1898">
      <c r="A1898" s="7" t="n"/>
      <c r="B1898" s="7" t="n"/>
      <c r="C1898" s="39" t="n"/>
      <c r="D1898" s="39" t="n"/>
      <c r="E1898" s="7" t="n"/>
      <c r="F1898" s="7" t="n"/>
      <c r="G1898" s="7" t="n"/>
      <c r="H1898" s="39" t="n"/>
      <c r="I1898" s="39" t="n"/>
      <c r="J1898" s="39" t="n"/>
      <c r="K1898" s="39" t="n"/>
      <c r="L1898" s="39" t="n"/>
      <c r="M1898" s="7" t="n"/>
      <c r="N1898" s="7" t="n"/>
      <c r="O1898" s="40" t="n"/>
      <c r="P1898" s="40" t="n"/>
      <c r="Q1898" s="40" t="n"/>
      <c r="R1898" s="40" t="n"/>
      <c r="S1898" s="40" t="n"/>
      <c r="T1898" s="40" t="n"/>
      <c r="U1898" s="40" t="n"/>
      <c r="V1898" s="40" t="n"/>
      <c r="W1898" s="40" t="n"/>
      <c r="X1898" s="40" t="n"/>
      <c r="Y1898" s="40" t="n"/>
      <c r="Z1898" s="40" t="n"/>
      <c r="AA1898" s="39" t="n"/>
    </row>
    <row r="1899">
      <c r="A1899" s="7" t="n"/>
      <c r="B1899" s="7" t="n"/>
      <c r="C1899" s="39" t="n"/>
      <c r="D1899" s="39" t="n"/>
      <c r="E1899" s="7" t="n"/>
      <c r="F1899" s="7" t="n"/>
      <c r="G1899" s="7" t="n"/>
      <c r="H1899" s="39" t="n"/>
      <c r="I1899" s="39" t="n"/>
      <c r="J1899" s="39" t="n"/>
      <c r="K1899" s="39" t="n"/>
      <c r="L1899" s="39" t="n"/>
      <c r="M1899" s="7" t="n"/>
      <c r="N1899" s="7" t="n"/>
      <c r="O1899" s="40" t="n"/>
      <c r="P1899" s="40" t="n"/>
      <c r="Q1899" s="40" t="n"/>
      <c r="R1899" s="40" t="n"/>
      <c r="S1899" s="40" t="n"/>
      <c r="T1899" s="40" t="n"/>
      <c r="U1899" s="40" t="n"/>
      <c r="V1899" s="40" t="n"/>
      <c r="W1899" s="40" t="n"/>
      <c r="X1899" s="40" t="n"/>
      <c r="Y1899" s="40" t="n"/>
      <c r="Z1899" s="40" t="n"/>
      <c r="AA1899" s="39" t="n"/>
    </row>
    <row r="1900">
      <c r="A1900" s="7" t="n"/>
      <c r="B1900" s="7" t="n"/>
      <c r="C1900" s="39" t="n"/>
      <c r="D1900" s="39" t="n"/>
      <c r="E1900" s="7" t="n"/>
      <c r="F1900" s="7" t="n"/>
      <c r="G1900" s="7" t="n"/>
      <c r="H1900" s="39" t="n"/>
      <c r="I1900" s="39" t="n"/>
      <c r="J1900" s="39" t="n"/>
      <c r="K1900" s="39" t="n"/>
      <c r="L1900" s="39" t="n"/>
      <c r="M1900" s="7" t="n"/>
      <c r="N1900" s="7" t="n"/>
      <c r="O1900" s="40" t="n"/>
      <c r="P1900" s="40" t="n"/>
      <c r="Q1900" s="40" t="n"/>
      <c r="R1900" s="40" t="n"/>
      <c r="S1900" s="40" t="n"/>
      <c r="T1900" s="40" t="n"/>
      <c r="U1900" s="40" t="n"/>
      <c r="V1900" s="40" t="n"/>
      <c r="W1900" s="40" t="n"/>
      <c r="X1900" s="40" t="n"/>
      <c r="Y1900" s="40" t="n"/>
      <c r="Z1900" s="40" t="n"/>
      <c r="AA1900" s="39" t="n"/>
    </row>
    <row r="1901">
      <c r="A1901" s="7" t="n"/>
      <c r="B1901" s="7" t="n"/>
      <c r="C1901" s="39" t="n"/>
      <c r="D1901" s="39" t="n"/>
      <c r="E1901" s="7" t="n"/>
      <c r="F1901" s="7" t="n"/>
      <c r="G1901" s="7" t="n"/>
      <c r="H1901" s="39" t="n"/>
      <c r="I1901" s="39" t="n"/>
      <c r="J1901" s="39" t="n"/>
      <c r="K1901" s="39" t="n"/>
      <c r="L1901" s="39" t="n"/>
      <c r="M1901" s="7" t="n"/>
      <c r="N1901" s="7" t="n"/>
      <c r="O1901" s="40" t="n"/>
      <c r="P1901" s="40" t="n"/>
      <c r="Q1901" s="40" t="n"/>
      <c r="R1901" s="40" t="n"/>
      <c r="S1901" s="40" t="n"/>
      <c r="T1901" s="40" t="n"/>
      <c r="U1901" s="40" t="n"/>
      <c r="V1901" s="40" t="n"/>
      <c r="W1901" s="40" t="n"/>
      <c r="X1901" s="40" t="n"/>
      <c r="Y1901" s="40" t="n"/>
      <c r="Z1901" s="40" t="n"/>
      <c r="AA1901" s="39" t="n"/>
    </row>
    <row r="1902">
      <c r="A1902" s="7" t="n"/>
      <c r="B1902" s="7" t="n"/>
      <c r="C1902" s="39" t="n"/>
      <c r="D1902" s="39" t="n"/>
      <c r="E1902" s="7" t="n"/>
      <c r="F1902" s="7" t="n"/>
      <c r="G1902" s="7" t="n"/>
      <c r="H1902" s="39" t="n"/>
      <c r="I1902" s="39" t="n"/>
      <c r="J1902" s="39" t="n"/>
      <c r="K1902" s="39" t="n"/>
      <c r="L1902" s="39" t="n"/>
      <c r="M1902" s="7" t="n"/>
      <c r="N1902" s="7" t="n"/>
      <c r="O1902" s="40" t="n"/>
      <c r="P1902" s="40" t="n"/>
      <c r="Q1902" s="40" t="n"/>
      <c r="R1902" s="40" t="n"/>
      <c r="S1902" s="40" t="n"/>
      <c r="T1902" s="40" t="n"/>
      <c r="U1902" s="40" t="n"/>
      <c r="V1902" s="40" t="n"/>
      <c r="W1902" s="40" t="n"/>
      <c r="X1902" s="40" t="n"/>
      <c r="Y1902" s="40" t="n"/>
      <c r="Z1902" s="40" t="n"/>
      <c r="AA1902" s="39" t="n"/>
    </row>
    <row r="1903">
      <c r="A1903" s="7" t="n"/>
      <c r="B1903" s="7" t="n"/>
      <c r="C1903" s="39" t="n"/>
      <c r="D1903" s="39" t="n"/>
      <c r="E1903" s="7" t="n"/>
      <c r="F1903" s="7" t="n"/>
      <c r="G1903" s="7" t="n"/>
      <c r="H1903" s="39" t="n"/>
      <c r="I1903" s="39" t="n"/>
      <c r="J1903" s="39" t="n"/>
      <c r="K1903" s="39" t="n"/>
      <c r="L1903" s="39" t="n"/>
      <c r="M1903" s="7" t="n"/>
      <c r="N1903" s="7" t="n"/>
      <c r="O1903" s="40" t="n"/>
      <c r="P1903" s="40" t="n"/>
      <c r="Q1903" s="40" t="n"/>
      <c r="R1903" s="40" t="n"/>
      <c r="S1903" s="40" t="n"/>
      <c r="T1903" s="40" t="n"/>
      <c r="U1903" s="40" t="n"/>
      <c r="V1903" s="40" t="n"/>
      <c r="W1903" s="40" t="n"/>
      <c r="X1903" s="40" t="n"/>
      <c r="Y1903" s="40" t="n"/>
      <c r="Z1903" s="40" t="n"/>
      <c r="AA1903" s="39" t="n"/>
    </row>
    <row r="1904">
      <c r="A1904" s="7" t="n"/>
      <c r="B1904" s="7" t="n"/>
      <c r="C1904" s="39" t="n"/>
      <c r="D1904" s="39" t="n"/>
      <c r="E1904" s="7" t="n"/>
      <c r="F1904" s="7" t="n"/>
      <c r="G1904" s="7" t="n"/>
      <c r="H1904" s="39" t="n"/>
      <c r="I1904" s="39" t="n"/>
      <c r="J1904" s="39" t="n"/>
      <c r="K1904" s="39" t="n"/>
      <c r="L1904" s="39" t="n"/>
      <c r="M1904" s="7" t="n"/>
      <c r="N1904" s="7" t="n"/>
      <c r="O1904" s="40" t="n"/>
      <c r="P1904" s="40" t="n"/>
      <c r="Q1904" s="40" t="n"/>
      <c r="R1904" s="40" t="n"/>
      <c r="S1904" s="40" t="n"/>
      <c r="T1904" s="40" t="n"/>
      <c r="U1904" s="40" t="n"/>
      <c r="V1904" s="40" t="n"/>
      <c r="W1904" s="40" t="n"/>
      <c r="X1904" s="40" t="n"/>
      <c r="Y1904" s="40" t="n"/>
      <c r="Z1904" s="40" t="n"/>
      <c r="AA1904" s="39" t="n"/>
    </row>
    <row r="1905">
      <c r="A1905" s="7" t="n"/>
      <c r="B1905" s="7" t="n"/>
      <c r="C1905" s="39" t="n"/>
      <c r="D1905" s="39" t="n"/>
      <c r="E1905" s="7" t="n"/>
      <c r="F1905" s="7" t="n"/>
      <c r="G1905" s="7" t="n"/>
      <c r="H1905" s="39" t="n"/>
      <c r="I1905" s="39" t="n"/>
      <c r="J1905" s="39" t="n"/>
      <c r="K1905" s="39" t="n"/>
      <c r="L1905" s="39" t="n"/>
      <c r="M1905" s="7" t="n"/>
      <c r="N1905" s="7" t="n"/>
      <c r="O1905" s="40" t="n"/>
      <c r="P1905" s="40" t="n"/>
      <c r="Q1905" s="40" t="n"/>
      <c r="R1905" s="40" t="n"/>
      <c r="S1905" s="40" t="n"/>
      <c r="T1905" s="40" t="n"/>
      <c r="U1905" s="40" t="n"/>
      <c r="V1905" s="40" t="n"/>
      <c r="W1905" s="40" t="n"/>
      <c r="X1905" s="40" t="n"/>
      <c r="Y1905" s="40" t="n"/>
      <c r="Z1905" s="40" t="n"/>
      <c r="AA1905" s="39" t="n"/>
    </row>
    <row r="1906">
      <c r="A1906" s="7" t="n"/>
      <c r="B1906" s="7" t="n"/>
      <c r="C1906" s="39" t="n"/>
      <c r="D1906" s="39" t="n"/>
      <c r="E1906" s="7" t="n"/>
      <c r="F1906" s="7" t="n"/>
      <c r="G1906" s="7" t="n"/>
      <c r="H1906" s="39" t="n"/>
      <c r="I1906" s="39" t="n"/>
      <c r="J1906" s="39" t="n"/>
      <c r="K1906" s="39" t="n"/>
      <c r="L1906" s="39" t="n"/>
      <c r="M1906" s="7" t="n"/>
      <c r="N1906" s="7" t="n"/>
      <c r="O1906" s="40" t="n"/>
      <c r="P1906" s="40" t="n"/>
      <c r="Q1906" s="40" t="n"/>
      <c r="R1906" s="40" t="n"/>
      <c r="S1906" s="40" t="n"/>
      <c r="T1906" s="40" t="n"/>
      <c r="U1906" s="40" t="n"/>
      <c r="V1906" s="40" t="n"/>
      <c r="W1906" s="40" t="n"/>
      <c r="X1906" s="40" t="n"/>
      <c r="Y1906" s="40" t="n"/>
      <c r="Z1906" s="40" t="n"/>
      <c r="AA1906" s="39" t="n"/>
    </row>
    <row r="1907">
      <c r="A1907" s="7" t="n"/>
      <c r="B1907" s="7" t="n"/>
      <c r="C1907" s="39" t="n"/>
      <c r="D1907" s="39" t="n"/>
      <c r="E1907" s="7" t="n"/>
      <c r="F1907" s="7" t="n"/>
      <c r="G1907" s="7" t="n"/>
      <c r="H1907" s="39" t="n"/>
      <c r="I1907" s="39" t="n"/>
      <c r="J1907" s="39" t="n"/>
      <c r="K1907" s="39" t="n"/>
      <c r="L1907" s="39" t="n"/>
      <c r="M1907" s="7" t="n"/>
      <c r="N1907" s="7" t="n"/>
      <c r="O1907" s="40" t="n"/>
      <c r="P1907" s="40" t="n"/>
      <c r="Q1907" s="40" t="n"/>
      <c r="R1907" s="40" t="n"/>
      <c r="S1907" s="40" t="n"/>
      <c r="T1907" s="40" t="n"/>
      <c r="U1907" s="40" t="n"/>
      <c r="V1907" s="40" t="n"/>
      <c r="W1907" s="40" t="n"/>
      <c r="X1907" s="40" t="n"/>
      <c r="Y1907" s="40" t="n"/>
      <c r="Z1907" s="40" t="n"/>
      <c r="AA1907" s="39" t="n"/>
    </row>
    <row r="1908">
      <c r="A1908" s="7" t="n"/>
      <c r="B1908" s="7" t="n"/>
      <c r="C1908" s="39" t="n"/>
      <c r="D1908" s="39" t="n"/>
      <c r="E1908" s="7" t="n"/>
      <c r="F1908" s="7" t="n"/>
      <c r="G1908" s="7" t="n"/>
      <c r="H1908" s="39" t="n"/>
      <c r="I1908" s="39" t="n"/>
      <c r="J1908" s="39" t="n"/>
      <c r="K1908" s="39" t="n"/>
      <c r="L1908" s="39" t="n"/>
      <c r="M1908" s="7" t="n"/>
      <c r="N1908" s="7" t="n"/>
      <c r="O1908" s="40" t="n"/>
      <c r="P1908" s="40" t="n"/>
      <c r="Q1908" s="40" t="n"/>
      <c r="R1908" s="40" t="n"/>
      <c r="S1908" s="40" t="n"/>
      <c r="T1908" s="40" t="n"/>
      <c r="U1908" s="40" t="n"/>
      <c r="V1908" s="40" t="n"/>
      <c r="W1908" s="40" t="n"/>
      <c r="X1908" s="40" t="n"/>
      <c r="Y1908" s="40" t="n"/>
      <c r="Z1908" s="40" t="n"/>
      <c r="AA1908" s="39" t="n"/>
    </row>
    <row r="1909">
      <c r="A1909" s="7" t="n"/>
      <c r="B1909" s="7" t="n"/>
      <c r="C1909" s="39" t="n"/>
      <c r="D1909" s="39" t="n"/>
      <c r="E1909" s="7" t="n"/>
      <c r="F1909" s="7" t="n"/>
      <c r="G1909" s="7" t="n"/>
      <c r="H1909" s="39" t="n"/>
      <c r="I1909" s="39" t="n"/>
      <c r="J1909" s="39" t="n"/>
      <c r="K1909" s="39" t="n"/>
      <c r="L1909" s="39" t="n"/>
      <c r="M1909" s="7" t="n"/>
      <c r="N1909" s="7" t="n"/>
      <c r="O1909" s="40" t="n"/>
      <c r="P1909" s="40" t="n"/>
      <c r="Q1909" s="40" t="n"/>
      <c r="R1909" s="40" t="n"/>
      <c r="S1909" s="40" t="n"/>
      <c r="T1909" s="40" t="n"/>
      <c r="U1909" s="40" t="n"/>
      <c r="V1909" s="40" t="n"/>
      <c r="W1909" s="40" t="n"/>
      <c r="X1909" s="40" t="n"/>
      <c r="Y1909" s="40" t="n"/>
      <c r="Z1909" s="40" t="n"/>
      <c r="AA1909" s="39" t="n"/>
    </row>
    <row r="1910">
      <c r="A1910" s="7" t="n"/>
      <c r="B1910" s="7" t="n"/>
      <c r="C1910" s="39" t="n"/>
      <c r="D1910" s="39" t="n"/>
      <c r="E1910" s="7" t="n"/>
      <c r="F1910" s="7" t="n"/>
      <c r="G1910" s="7" t="n"/>
      <c r="H1910" s="39" t="n"/>
      <c r="I1910" s="39" t="n"/>
      <c r="J1910" s="39" t="n"/>
      <c r="K1910" s="39" t="n"/>
      <c r="L1910" s="39" t="n"/>
      <c r="M1910" s="7" t="n"/>
      <c r="N1910" s="7" t="n"/>
      <c r="O1910" s="40" t="n"/>
      <c r="P1910" s="40" t="n"/>
      <c r="Q1910" s="40" t="n"/>
      <c r="R1910" s="40" t="n"/>
      <c r="S1910" s="40" t="n"/>
      <c r="T1910" s="40" t="n"/>
      <c r="U1910" s="40" t="n"/>
      <c r="V1910" s="40" t="n"/>
      <c r="W1910" s="40" t="n"/>
      <c r="X1910" s="40" t="n"/>
      <c r="Y1910" s="40" t="n"/>
      <c r="Z1910" s="40" t="n"/>
      <c r="AA1910" s="39" t="n"/>
    </row>
    <row r="1911">
      <c r="A1911" s="7" t="n"/>
      <c r="B1911" s="7" t="n"/>
      <c r="C1911" s="39" t="n"/>
      <c r="D1911" s="39" t="n"/>
      <c r="E1911" s="7" t="n"/>
      <c r="F1911" s="7" t="n"/>
      <c r="G1911" s="7" t="n"/>
      <c r="H1911" s="39" t="n"/>
      <c r="I1911" s="39" t="n"/>
      <c r="J1911" s="39" t="n"/>
      <c r="K1911" s="39" t="n"/>
      <c r="L1911" s="39" t="n"/>
      <c r="M1911" s="7" t="n"/>
      <c r="N1911" s="7" t="n"/>
      <c r="O1911" s="40" t="n"/>
      <c r="P1911" s="40" t="n"/>
      <c r="Q1911" s="40" t="n"/>
      <c r="R1911" s="40" t="n"/>
      <c r="S1911" s="40" t="n"/>
      <c r="T1911" s="40" t="n"/>
      <c r="U1911" s="40" t="n"/>
      <c r="V1911" s="40" t="n"/>
      <c r="W1911" s="40" t="n"/>
      <c r="X1911" s="40" t="n"/>
      <c r="Y1911" s="40" t="n"/>
      <c r="Z1911" s="40" t="n"/>
      <c r="AA1911" s="39" t="n"/>
    </row>
    <row r="1912">
      <c r="A1912" s="7" t="n"/>
      <c r="B1912" s="7" t="n"/>
      <c r="C1912" s="39" t="n"/>
      <c r="D1912" s="39" t="n"/>
      <c r="E1912" s="7" t="n"/>
      <c r="F1912" s="7" t="n"/>
      <c r="G1912" s="7" t="n"/>
      <c r="H1912" s="39" t="n"/>
      <c r="I1912" s="39" t="n"/>
      <c r="J1912" s="39" t="n"/>
      <c r="K1912" s="39" t="n"/>
      <c r="L1912" s="39" t="n"/>
      <c r="M1912" s="7" t="n"/>
      <c r="N1912" s="7" t="n"/>
      <c r="O1912" s="40" t="n"/>
      <c r="P1912" s="40" t="n"/>
      <c r="Q1912" s="40" t="n"/>
      <c r="R1912" s="40" t="n"/>
      <c r="S1912" s="40" t="n"/>
      <c r="T1912" s="40" t="n"/>
      <c r="U1912" s="40" t="n"/>
      <c r="V1912" s="40" t="n"/>
      <c r="W1912" s="40" t="n"/>
      <c r="X1912" s="40" t="n"/>
      <c r="Y1912" s="40" t="n"/>
      <c r="Z1912" s="40" t="n"/>
      <c r="AA1912" s="39" t="n"/>
    </row>
    <row r="1913">
      <c r="A1913" s="7" t="n"/>
      <c r="B1913" s="7" t="n"/>
      <c r="C1913" s="39" t="n"/>
      <c r="D1913" s="39" t="n"/>
      <c r="E1913" s="7" t="n"/>
      <c r="F1913" s="7" t="n"/>
      <c r="G1913" s="7" t="n"/>
      <c r="H1913" s="39" t="n"/>
      <c r="I1913" s="39" t="n"/>
      <c r="J1913" s="39" t="n"/>
      <c r="K1913" s="39" t="n"/>
      <c r="L1913" s="39" t="n"/>
      <c r="M1913" s="7" t="n"/>
      <c r="N1913" s="7" t="n"/>
      <c r="O1913" s="40" t="n"/>
      <c r="P1913" s="40" t="n"/>
      <c r="Q1913" s="40" t="n"/>
      <c r="R1913" s="40" t="n"/>
      <c r="S1913" s="40" t="n"/>
      <c r="T1913" s="40" t="n"/>
      <c r="U1913" s="40" t="n"/>
      <c r="V1913" s="40" t="n"/>
      <c r="W1913" s="40" t="n"/>
      <c r="X1913" s="40" t="n"/>
      <c r="Y1913" s="40" t="n"/>
      <c r="Z1913" s="40" t="n"/>
      <c r="AA1913" s="39" t="n"/>
    </row>
    <row r="1914">
      <c r="A1914" s="7" t="n"/>
      <c r="B1914" s="7" t="n"/>
      <c r="C1914" s="39" t="n"/>
      <c r="D1914" s="39" t="n"/>
      <c r="E1914" s="7" t="n"/>
      <c r="F1914" s="7" t="n"/>
      <c r="G1914" s="7" t="n"/>
      <c r="H1914" s="39" t="n"/>
      <c r="I1914" s="39" t="n"/>
      <c r="J1914" s="39" t="n"/>
      <c r="K1914" s="39" t="n"/>
      <c r="L1914" s="39" t="n"/>
      <c r="M1914" s="7" t="n"/>
      <c r="N1914" s="7" t="n"/>
      <c r="O1914" s="40" t="n"/>
      <c r="P1914" s="40" t="n"/>
      <c r="Q1914" s="40" t="n"/>
      <c r="R1914" s="40" t="n"/>
      <c r="S1914" s="40" t="n"/>
      <c r="T1914" s="40" t="n"/>
      <c r="U1914" s="40" t="n"/>
      <c r="V1914" s="40" t="n"/>
      <c r="W1914" s="40" t="n"/>
      <c r="X1914" s="40" t="n"/>
      <c r="Y1914" s="40" t="n"/>
      <c r="Z1914" s="40" t="n"/>
      <c r="AA1914" s="39" t="n"/>
    </row>
    <row r="1915">
      <c r="A1915" s="7" t="n"/>
      <c r="B1915" s="7" t="n"/>
      <c r="C1915" s="39" t="n"/>
      <c r="D1915" s="39" t="n"/>
      <c r="E1915" s="7" t="n"/>
      <c r="F1915" s="7" t="n"/>
      <c r="G1915" s="7" t="n"/>
      <c r="H1915" s="39" t="n"/>
      <c r="I1915" s="39" t="n"/>
      <c r="J1915" s="39" t="n"/>
      <c r="K1915" s="39" t="n"/>
      <c r="L1915" s="39" t="n"/>
      <c r="M1915" s="7" t="n"/>
      <c r="N1915" s="7" t="n"/>
      <c r="O1915" s="40" t="n"/>
      <c r="P1915" s="40" t="n"/>
      <c r="Q1915" s="40" t="n"/>
      <c r="R1915" s="40" t="n"/>
      <c r="S1915" s="40" t="n"/>
      <c r="T1915" s="40" t="n"/>
      <c r="U1915" s="40" t="n"/>
      <c r="V1915" s="40" t="n"/>
      <c r="W1915" s="40" t="n"/>
      <c r="X1915" s="40" t="n"/>
      <c r="Y1915" s="40" t="n"/>
      <c r="Z1915" s="40" t="n"/>
      <c r="AA1915" s="39" t="n"/>
    </row>
    <row r="1916">
      <c r="A1916" s="7" t="n"/>
      <c r="B1916" s="7" t="n"/>
      <c r="C1916" s="39" t="n"/>
      <c r="D1916" s="39" t="n"/>
      <c r="E1916" s="7" t="n"/>
      <c r="F1916" s="7" t="n"/>
      <c r="G1916" s="7" t="n"/>
      <c r="H1916" s="39" t="n"/>
      <c r="I1916" s="39" t="n"/>
      <c r="J1916" s="39" t="n"/>
      <c r="K1916" s="39" t="n"/>
      <c r="L1916" s="39" t="n"/>
      <c r="M1916" s="7" t="n"/>
      <c r="N1916" s="7" t="n"/>
      <c r="O1916" s="40" t="n"/>
      <c r="P1916" s="40" t="n"/>
      <c r="Q1916" s="40" t="n"/>
      <c r="R1916" s="40" t="n"/>
      <c r="S1916" s="40" t="n"/>
      <c r="T1916" s="40" t="n"/>
      <c r="U1916" s="40" t="n"/>
      <c r="V1916" s="40" t="n"/>
      <c r="W1916" s="40" t="n"/>
      <c r="X1916" s="40" t="n"/>
      <c r="Y1916" s="40" t="n"/>
      <c r="Z1916" s="40" t="n"/>
      <c r="AA1916" s="39" t="n"/>
    </row>
    <row r="1917">
      <c r="A1917" s="7" t="n"/>
      <c r="B1917" s="7" t="n"/>
      <c r="C1917" s="39" t="n"/>
      <c r="D1917" s="39" t="n"/>
      <c r="E1917" s="7" t="n"/>
      <c r="F1917" s="7" t="n"/>
      <c r="G1917" s="7" t="n"/>
      <c r="H1917" s="39" t="n"/>
      <c r="I1917" s="39" t="n"/>
      <c r="J1917" s="39" t="n"/>
      <c r="K1917" s="39" t="n"/>
      <c r="L1917" s="39" t="n"/>
      <c r="M1917" s="7" t="n"/>
      <c r="N1917" s="7" t="n"/>
      <c r="O1917" s="40" t="n"/>
      <c r="P1917" s="40" t="n"/>
      <c r="Q1917" s="40" t="n"/>
      <c r="R1917" s="40" t="n"/>
      <c r="S1917" s="40" t="n"/>
      <c r="T1917" s="40" t="n"/>
      <c r="U1917" s="40" t="n"/>
      <c r="V1917" s="40" t="n"/>
      <c r="W1917" s="40" t="n"/>
      <c r="X1917" s="40" t="n"/>
      <c r="Y1917" s="40" t="n"/>
      <c r="Z1917" s="40" t="n"/>
      <c r="AA1917" s="39" t="n"/>
    </row>
    <row r="1918">
      <c r="A1918" s="7" t="n"/>
      <c r="B1918" s="7" t="n"/>
      <c r="C1918" s="39" t="n"/>
      <c r="D1918" s="39" t="n"/>
      <c r="E1918" s="7" t="n"/>
      <c r="F1918" s="7" t="n"/>
      <c r="G1918" s="7" t="n"/>
      <c r="H1918" s="39" t="n"/>
      <c r="I1918" s="39" t="n"/>
      <c r="J1918" s="39" t="n"/>
      <c r="K1918" s="39" t="n"/>
      <c r="L1918" s="39" t="n"/>
      <c r="M1918" s="7" t="n"/>
      <c r="N1918" s="7" t="n"/>
      <c r="O1918" s="40" t="n"/>
      <c r="P1918" s="40" t="n"/>
      <c r="Q1918" s="40" t="n"/>
      <c r="R1918" s="40" t="n"/>
      <c r="S1918" s="40" t="n"/>
      <c r="T1918" s="40" t="n"/>
      <c r="U1918" s="40" t="n"/>
      <c r="V1918" s="40" t="n"/>
      <c r="W1918" s="40" t="n"/>
      <c r="X1918" s="40" t="n"/>
      <c r="Y1918" s="40" t="n"/>
      <c r="Z1918" s="40" t="n"/>
      <c r="AA1918" s="39" t="n"/>
    </row>
    <row r="1919">
      <c r="A1919" s="7" t="n"/>
      <c r="B1919" s="7" t="n"/>
      <c r="C1919" s="39" t="n"/>
      <c r="D1919" s="39" t="n"/>
      <c r="E1919" s="7" t="n"/>
      <c r="F1919" s="7" t="n"/>
      <c r="G1919" s="7" t="n"/>
      <c r="H1919" s="39" t="n"/>
      <c r="I1919" s="39" t="n"/>
      <c r="J1919" s="39" t="n"/>
      <c r="K1919" s="39" t="n"/>
      <c r="L1919" s="39" t="n"/>
      <c r="M1919" s="7" t="n"/>
      <c r="N1919" s="7" t="n"/>
      <c r="O1919" s="40" t="n"/>
      <c r="P1919" s="40" t="n"/>
      <c r="Q1919" s="40" t="n"/>
      <c r="R1919" s="40" t="n"/>
      <c r="S1919" s="40" t="n"/>
      <c r="T1919" s="40" t="n"/>
      <c r="U1919" s="40" t="n"/>
      <c r="V1919" s="40" t="n"/>
      <c r="W1919" s="40" t="n"/>
      <c r="X1919" s="40" t="n"/>
      <c r="Y1919" s="40" t="n"/>
      <c r="Z1919" s="40" t="n"/>
      <c r="AA1919" s="39" t="n"/>
    </row>
    <row r="1920">
      <c r="A1920" s="7" t="n"/>
      <c r="B1920" s="7" t="n"/>
      <c r="C1920" s="39" t="n"/>
      <c r="D1920" s="39" t="n"/>
      <c r="E1920" s="7" t="n"/>
      <c r="F1920" s="7" t="n"/>
      <c r="G1920" s="7" t="n"/>
      <c r="H1920" s="39" t="n"/>
      <c r="I1920" s="39" t="n"/>
      <c r="J1920" s="39" t="n"/>
      <c r="K1920" s="39" t="n"/>
      <c r="L1920" s="39" t="n"/>
      <c r="M1920" s="7" t="n"/>
      <c r="N1920" s="7" t="n"/>
      <c r="O1920" s="40" t="n"/>
      <c r="P1920" s="40" t="n"/>
      <c r="Q1920" s="40" t="n"/>
      <c r="R1920" s="40" t="n"/>
      <c r="S1920" s="40" t="n"/>
      <c r="T1920" s="40" t="n"/>
      <c r="U1920" s="40" t="n"/>
      <c r="V1920" s="40" t="n"/>
      <c r="W1920" s="40" t="n"/>
      <c r="X1920" s="40" t="n"/>
      <c r="Y1920" s="40" t="n"/>
      <c r="Z1920" s="40" t="n"/>
      <c r="AA1920" s="39" t="n"/>
    </row>
    <row r="1921">
      <c r="A1921" s="7" t="n"/>
      <c r="B1921" s="7" t="n"/>
      <c r="C1921" s="39" t="n"/>
      <c r="D1921" s="39" t="n"/>
      <c r="E1921" s="7" t="n"/>
      <c r="F1921" s="7" t="n"/>
      <c r="G1921" s="7" t="n"/>
      <c r="H1921" s="39" t="n"/>
      <c r="I1921" s="39" t="n"/>
      <c r="J1921" s="39" t="n"/>
      <c r="K1921" s="39" t="n"/>
      <c r="L1921" s="39" t="n"/>
      <c r="M1921" s="7" t="n"/>
      <c r="N1921" s="7" t="n"/>
      <c r="O1921" s="40" t="n"/>
      <c r="P1921" s="40" t="n"/>
      <c r="Q1921" s="40" t="n"/>
      <c r="R1921" s="40" t="n"/>
      <c r="S1921" s="40" t="n"/>
      <c r="T1921" s="40" t="n"/>
      <c r="U1921" s="40" t="n"/>
      <c r="V1921" s="40" t="n"/>
      <c r="W1921" s="40" t="n"/>
      <c r="X1921" s="40" t="n"/>
      <c r="Y1921" s="40" t="n"/>
      <c r="Z1921" s="40" t="n"/>
      <c r="AA1921" s="39" t="n"/>
    </row>
    <row r="1922">
      <c r="A1922" s="7" t="n"/>
      <c r="B1922" s="7" t="n"/>
      <c r="C1922" s="39" t="n"/>
      <c r="D1922" s="39" t="n"/>
      <c r="E1922" s="7" t="n"/>
      <c r="F1922" s="7" t="n"/>
      <c r="G1922" s="7" t="n"/>
      <c r="H1922" s="39" t="n"/>
      <c r="I1922" s="39" t="n"/>
      <c r="J1922" s="39" t="n"/>
      <c r="K1922" s="39" t="n"/>
      <c r="L1922" s="39" t="n"/>
      <c r="M1922" s="7" t="n"/>
      <c r="N1922" s="7" t="n"/>
      <c r="O1922" s="40" t="n"/>
      <c r="P1922" s="40" t="n"/>
      <c r="Q1922" s="40" t="n"/>
      <c r="R1922" s="40" t="n"/>
      <c r="S1922" s="40" t="n"/>
      <c r="T1922" s="40" t="n"/>
      <c r="U1922" s="40" t="n"/>
      <c r="V1922" s="40" t="n"/>
      <c r="W1922" s="40" t="n"/>
      <c r="X1922" s="40" t="n"/>
      <c r="Y1922" s="40" t="n"/>
      <c r="Z1922" s="40" t="n"/>
      <c r="AA1922" s="39" t="n"/>
    </row>
    <row r="1923">
      <c r="A1923" s="7" t="n"/>
      <c r="B1923" s="7" t="n"/>
      <c r="C1923" s="39" t="n"/>
      <c r="D1923" s="39" t="n"/>
      <c r="E1923" s="7" t="n"/>
      <c r="F1923" s="7" t="n"/>
      <c r="G1923" s="7" t="n"/>
      <c r="H1923" s="39" t="n"/>
      <c r="I1923" s="39" t="n"/>
      <c r="J1923" s="39" t="n"/>
      <c r="K1923" s="39" t="n"/>
      <c r="L1923" s="39" t="n"/>
      <c r="M1923" s="7" t="n"/>
      <c r="N1923" s="7" t="n"/>
      <c r="O1923" s="40" t="n"/>
      <c r="P1923" s="40" t="n"/>
      <c r="Q1923" s="40" t="n"/>
      <c r="R1923" s="40" t="n"/>
      <c r="S1923" s="40" t="n"/>
      <c r="T1923" s="40" t="n"/>
      <c r="U1923" s="40" t="n"/>
      <c r="V1923" s="40" t="n"/>
      <c r="W1923" s="40" t="n"/>
      <c r="X1923" s="40" t="n"/>
      <c r="Y1923" s="40" t="n"/>
      <c r="Z1923" s="40" t="n"/>
      <c r="AA1923" s="39" t="n"/>
    </row>
    <row r="1924">
      <c r="A1924" s="7" t="n"/>
      <c r="B1924" s="7" t="n"/>
      <c r="C1924" s="39" t="n"/>
      <c r="D1924" s="39" t="n"/>
      <c r="E1924" s="7" t="n"/>
      <c r="F1924" s="7" t="n"/>
      <c r="G1924" s="7" t="n"/>
      <c r="H1924" s="39" t="n"/>
      <c r="I1924" s="39" t="n"/>
      <c r="J1924" s="39" t="n"/>
      <c r="K1924" s="39" t="n"/>
      <c r="L1924" s="39" t="n"/>
      <c r="M1924" s="7" t="n"/>
      <c r="N1924" s="7" t="n"/>
      <c r="O1924" s="40" t="n"/>
      <c r="P1924" s="40" t="n"/>
      <c r="Q1924" s="40" t="n"/>
      <c r="R1924" s="40" t="n"/>
      <c r="S1924" s="40" t="n"/>
      <c r="T1924" s="40" t="n"/>
      <c r="U1924" s="40" t="n"/>
      <c r="V1924" s="40" t="n"/>
      <c r="W1924" s="40" t="n"/>
      <c r="X1924" s="40" t="n"/>
      <c r="Y1924" s="40" t="n"/>
      <c r="Z1924" s="40" t="n"/>
      <c r="AA1924" s="39" t="n"/>
    </row>
    <row r="1925">
      <c r="A1925" s="7" t="n"/>
      <c r="B1925" s="7" t="n"/>
      <c r="C1925" s="39" t="n"/>
      <c r="D1925" s="39" t="n"/>
      <c r="E1925" s="7" t="n"/>
      <c r="F1925" s="7" t="n"/>
      <c r="G1925" s="7" t="n"/>
      <c r="H1925" s="39" t="n"/>
      <c r="I1925" s="39" t="n"/>
      <c r="J1925" s="39" t="n"/>
      <c r="K1925" s="39" t="n"/>
      <c r="L1925" s="39" t="n"/>
      <c r="M1925" s="7" t="n"/>
      <c r="N1925" s="7" t="n"/>
      <c r="O1925" s="40" t="n"/>
      <c r="P1925" s="40" t="n"/>
      <c r="Q1925" s="40" t="n"/>
      <c r="R1925" s="40" t="n"/>
      <c r="S1925" s="40" t="n"/>
      <c r="T1925" s="40" t="n"/>
      <c r="U1925" s="40" t="n"/>
      <c r="V1925" s="40" t="n"/>
      <c r="W1925" s="40" t="n"/>
      <c r="X1925" s="40" t="n"/>
      <c r="Y1925" s="40" t="n"/>
      <c r="Z1925" s="40" t="n"/>
      <c r="AA1925" s="39" t="n"/>
    </row>
    <row r="1926">
      <c r="A1926" s="7" t="n"/>
      <c r="B1926" s="7" t="n"/>
      <c r="C1926" s="39" t="n"/>
      <c r="D1926" s="39" t="n"/>
      <c r="E1926" s="7" t="n"/>
      <c r="F1926" s="7" t="n"/>
      <c r="G1926" s="7" t="n"/>
      <c r="H1926" s="39" t="n"/>
      <c r="I1926" s="39" t="n"/>
      <c r="J1926" s="39" t="n"/>
      <c r="K1926" s="39" t="n"/>
      <c r="L1926" s="39" t="n"/>
      <c r="M1926" s="7" t="n"/>
      <c r="N1926" s="7" t="n"/>
      <c r="O1926" s="40" t="n"/>
      <c r="P1926" s="40" t="n"/>
      <c r="Q1926" s="40" t="n"/>
      <c r="R1926" s="40" t="n"/>
      <c r="S1926" s="40" t="n"/>
      <c r="T1926" s="40" t="n"/>
      <c r="U1926" s="40" t="n"/>
      <c r="V1926" s="40" t="n"/>
      <c r="W1926" s="40" t="n"/>
      <c r="X1926" s="40" t="n"/>
      <c r="Y1926" s="40" t="n"/>
      <c r="Z1926" s="40" t="n"/>
      <c r="AA1926" s="39" t="n"/>
    </row>
    <row r="1927">
      <c r="A1927" s="7" t="n"/>
      <c r="B1927" s="7" t="n"/>
      <c r="C1927" s="39" t="n"/>
      <c r="D1927" s="39" t="n"/>
      <c r="E1927" s="7" t="n"/>
      <c r="F1927" s="7" t="n"/>
      <c r="G1927" s="7" t="n"/>
      <c r="H1927" s="39" t="n"/>
      <c r="I1927" s="39" t="n"/>
      <c r="J1927" s="39" t="n"/>
      <c r="K1927" s="39" t="n"/>
      <c r="L1927" s="39" t="n"/>
      <c r="M1927" s="7" t="n"/>
      <c r="N1927" s="7" t="n"/>
      <c r="O1927" s="40" t="n"/>
      <c r="P1927" s="40" t="n"/>
      <c r="Q1927" s="40" t="n"/>
      <c r="R1927" s="40" t="n"/>
      <c r="S1927" s="40" t="n"/>
      <c r="T1927" s="40" t="n"/>
      <c r="U1927" s="40" t="n"/>
      <c r="V1927" s="40" t="n"/>
      <c r="W1927" s="40" t="n"/>
      <c r="X1927" s="40" t="n"/>
      <c r="Y1927" s="40" t="n"/>
      <c r="Z1927" s="40" t="n"/>
      <c r="AA1927" s="39" t="n"/>
    </row>
    <row r="1928">
      <c r="A1928" s="7" t="n"/>
      <c r="B1928" s="7" t="n"/>
      <c r="C1928" s="39" t="n"/>
      <c r="D1928" s="39" t="n"/>
      <c r="E1928" s="7" t="n"/>
      <c r="F1928" s="7" t="n"/>
      <c r="G1928" s="7" t="n"/>
      <c r="H1928" s="39" t="n"/>
      <c r="I1928" s="39" t="n"/>
      <c r="J1928" s="39" t="n"/>
      <c r="K1928" s="39" t="n"/>
      <c r="L1928" s="39" t="n"/>
      <c r="M1928" s="7" t="n"/>
      <c r="N1928" s="7" t="n"/>
      <c r="O1928" s="40" t="n"/>
      <c r="P1928" s="40" t="n"/>
      <c r="Q1928" s="40" t="n"/>
      <c r="R1928" s="40" t="n"/>
      <c r="S1928" s="40" t="n"/>
      <c r="T1928" s="40" t="n"/>
      <c r="U1928" s="40" t="n"/>
      <c r="V1928" s="40" t="n"/>
      <c r="W1928" s="40" t="n"/>
      <c r="X1928" s="40" t="n"/>
      <c r="Y1928" s="40" t="n"/>
      <c r="Z1928" s="40" t="n"/>
      <c r="AA1928" s="39" t="n"/>
    </row>
    <row r="1929">
      <c r="A1929" s="7" t="n"/>
      <c r="B1929" s="7" t="n"/>
      <c r="C1929" s="39" t="n"/>
      <c r="D1929" s="39" t="n"/>
      <c r="E1929" s="7" t="n"/>
      <c r="F1929" s="7" t="n"/>
      <c r="G1929" s="7" t="n"/>
      <c r="H1929" s="39" t="n"/>
      <c r="I1929" s="39" t="n"/>
      <c r="J1929" s="39" t="n"/>
      <c r="K1929" s="39" t="n"/>
      <c r="L1929" s="39" t="n"/>
      <c r="M1929" s="7" t="n"/>
      <c r="N1929" s="7" t="n"/>
      <c r="O1929" s="40" t="n"/>
      <c r="P1929" s="40" t="n"/>
      <c r="Q1929" s="40" t="n"/>
      <c r="R1929" s="40" t="n"/>
      <c r="S1929" s="40" t="n"/>
      <c r="T1929" s="40" t="n"/>
      <c r="U1929" s="40" t="n"/>
      <c r="V1929" s="40" t="n"/>
      <c r="W1929" s="40" t="n"/>
      <c r="X1929" s="40" t="n"/>
      <c r="Y1929" s="40" t="n"/>
      <c r="Z1929" s="40" t="n"/>
      <c r="AA1929" s="39" t="n"/>
    </row>
    <row r="1930">
      <c r="A1930" s="7" t="n"/>
      <c r="B1930" s="7" t="n"/>
      <c r="C1930" s="39" t="n"/>
      <c r="D1930" s="39" t="n"/>
      <c r="E1930" s="7" t="n"/>
      <c r="F1930" s="7" t="n"/>
      <c r="G1930" s="7" t="n"/>
      <c r="H1930" s="39" t="n"/>
      <c r="I1930" s="39" t="n"/>
      <c r="J1930" s="39" t="n"/>
      <c r="K1930" s="39" t="n"/>
      <c r="L1930" s="39" t="n"/>
      <c r="M1930" s="7" t="n"/>
      <c r="N1930" s="7" t="n"/>
      <c r="O1930" s="40" t="n"/>
      <c r="P1930" s="40" t="n"/>
      <c r="Q1930" s="40" t="n"/>
      <c r="R1930" s="40" t="n"/>
      <c r="S1930" s="40" t="n"/>
      <c r="T1930" s="40" t="n"/>
      <c r="U1930" s="40" t="n"/>
      <c r="V1930" s="40" t="n"/>
      <c r="W1930" s="40" t="n"/>
      <c r="X1930" s="40" t="n"/>
      <c r="Y1930" s="40" t="n"/>
      <c r="Z1930" s="40" t="n"/>
      <c r="AA1930" s="39" t="n"/>
    </row>
    <row r="1931">
      <c r="A1931" s="7" t="n"/>
      <c r="B1931" s="7" t="n"/>
      <c r="C1931" s="39" t="n"/>
      <c r="D1931" s="39" t="n"/>
      <c r="E1931" s="7" t="n"/>
      <c r="F1931" s="7" t="n"/>
      <c r="G1931" s="7" t="n"/>
      <c r="H1931" s="39" t="n"/>
      <c r="I1931" s="39" t="n"/>
      <c r="J1931" s="39" t="n"/>
      <c r="K1931" s="39" t="n"/>
      <c r="L1931" s="39" t="n"/>
      <c r="M1931" s="7" t="n"/>
      <c r="N1931" s="7" t="n"/>
      <c r="O1931" s="40" t="n"/>
      <c r="P1931" s="40" t="n"/>
      <c r="Q1931" s="40" t="n"/>
      <c r="R1931" s="40" t="n"/>
      <c r="S1931" s="40" t="n"/>
      <c r="T1931" s="40" t="n"/>
      <c r="U1931" s="40" t="n"/>
      <c r="V1931" s="40" t="n"/>
      <c r="W1931" s="40" t="n"/>
      <c r="X1931" s="40" t="n"/>
      <c r="Y1931" s="40" t="n"/>
      <c r="Z1931" s="40" t="n"/>
      <c r="AA1931" s="39" t="n"/>
    </row>
    <row r="1932">
      <c r="A1932" s="7" t="n"/>
      <c r="B1932" s="7" t="n"/>
      <c r="C1932" s="39" t="n"/>
      <c r="D1932" s="39" t="n"/>
      <c r="E1932" s="7" t="n"/>
      <c r="F1932" s="7" t="n"/>
      <c r="G1932" s="7" t="n"/>
      <c r="H1932" s="39" t="n"/>
      <c r="I1932" s="39" t="n"/>
      <c r="J1932" s="39" t="n"/>
      <c r="K1932" s="39" t="n"/>
      <c r="L1932" s="39" t="n"/>
      <c r="M1932" s="7" t="n"/>
      <c r="N1932" s="7" t="n"/>
      <c r="O1932" s="40" t="n"/>
      <c r="P1932" s="40" t="n"/>
      <c r="Q1932" s="40" t="n"/>
      <c r="R1932" s="40" t="n"/>
      <c r="S1932" s="40" t="n"/>
      <c r="T1932" s="40" t="n"/>
      <c r="U1932" s="40" t="n"/>
      <c r="V1932" s="40" t="n"/>
      <c r="W1932" s="40" t="n"/>
      <c r="X1932" s="40" t="n"/>
      <c r="Y1932" s="40" t="n"/>
      <c r="Z1932" s="40" t="n"/>
      <c r="AA1932" s="39" t="n"/>
    </row>
    <row r="1933">
      <c r="A1933" s="7" t="n"/>
      <c r="B1933" s="7" t="n"/>
      <c r="C1933" s="39" t="n"/>
      <c r="D1933" s="39" t="n"/>
      <c r="E1933" s="7" t="n"/>
      <c r="F1933" s="7" t="n"/>
      <c r="G1933" s="7" t="n"/>
      <c r="H1933" s="39" t="n"/>
      <c r="I1933" s="39" t="n"/>
      <c r="J1933" s="39" t="n"/>
      <c r="K1933" s="39" t="n"/>
      <c r="L1933" s="39" t="n"/>
      <c r="M1933" s="7" t="n"/>
      <c r="N1933" s="7" t="n"/>
      <c r="O1933" s="40" t="n"/>
      <c r="P1933" s="40" t="n"/>
      <c r="Q1933" s="40" t="n"/>
      <c r="R1933" s="40" t="n"/>
      <c r="S1933" s="40" t="n"/>
      <c r="T1933" s="40" t="n"/>
      <c r="U1933" s="40" t="n"/>
      <c r="V1933" s="40" t="n"/>
      <c r="W1933" s="40" t="n"/>
      <c r="X1933" s="40" t="n"/>
      <c r="Y1933" s="40" t="n"/>
      <c r="Z1933" s="40" t="n"/>
      <c r="AA1933" s="39" t="n"/>
    </row>
    <row r="1934">
      <c r="A1934" s="7" t="n"/>
      <c r="B1934" s="7" t="n"/>
      <c r="C1934" s="39" t="n"/>
      <c r="D1934" s="39" t="n"/>
      <c r="E1934" s="7" t="n"/>
      <c r="F1934" s="7" t="n"/>
      <c r="G1934" s="7" t="n"/>
      <c r="H1934" s="39" t="n"/>
      <c r="I1934" s="39" t="n"/>
      <c r="J1934" s="39" t="n"/>
      <c r="K1934" s="39" t="n"/>
      <c r="L1934" s="39" t="n"/>
      <c r="M1934" s="7" t="n"/>
      <c r="N1934" s="7" t="n"/>
      <c r="O1934" s="40" t="n"/>
      <c r="P1934" s="40" t="n"/>
      <c r="Q1934" s="40" t="n"/>
      <c r="R1934" s="40" t="n"/>
      <c r="S1934" s="40" t="n"/>
      <c r="T1934" s="40" t="n"/>
      <c r="U1934" s="40" t="n"/>
      <c r="V1934" s="40" t="n"/>
      <c r="W1934" s="40" t="n"/>
      <c r="X1934" s="40" t="n"/>
      <c r="Y1934" s="40" t="n"/>
      <c r="Z1934" s="40" t="n"/>
      <c r="AA1934" s="39" t="n"/>
    </row>
    <row r="1935">
      <c r="A1935" s="7" t="n"/>
      <c r="B1935" s="7" t="n"/>
      <c r="C1935" s="39" t="n"/>
      <c r="D1935" s="39" t="n"/>
      <c r="E1935" s="7" t="n"/>
      <c r="F1935" s="7" t="n"/>
      <c r="G1935" s="7" t="n"/>
      <c r="H1935" s="39" t="n"/>
      <c r="I1935" s="39" t="n"/>
      <c r="J1935" s="39" t="n"/>
      <c r="K1935" s="39" t="n"/>
      <c r="L1935" s="39" t="n"/>
      <c r="M1935" s="7" t="n"/>
      <c r="N1935" s="7" t="n"/>
      <c r="O1935" s="40" t="n"/>
      <c r="P1935" s="40" t="n"/>
      <c r="Q1935" s="40" t="n"/>
      <c r="R1935" s="40" t="n"/>
      <c r="S1935" s="40" t="n"/>
      <c r="T1935" s="40" t="n"/>
      <c r="U1935" s="40" t="n"/>
      <c r="V1935" s="40" t="n"/>
      <c r="W1935" s="40" t="n"/>
      <c r="X1935" s="40" t="n"/>
      <c r="Y1935" s="40" t="n"/>
      <c r="Z1935" s="40" t="n"/>
      <c r="AA1935" s="39" t="n"/>
    </row>
    <row r="1936">
      <c r="A1936" s="7" t="n"/>
      <c r="B1936" s="7" t="n"/>
      <c r="C1936" s="39" t="n"/>
      <c r="D1936" s="39" t="n"/>
      <c r="E1936" s="7" t="n"/>
      <c r="F1936" s="7" t="n"/>
      <c r="G1936" s="7" t="n"/>
      <c r="H1936" s="39" t="n"/>
      <c r="I1936" s="39" t="n"/>
      <c r="J1936" s="39" t="n"/>
      <c r="K1936" s="39" t="n"/>
      <c r="L1936" s="39" t="n"/>
      <c r="M1936" s="7" t="n"/>
      <c r="N1936" s="7" t="n"/>
      <c r="O1936" s="40" t="n"/>
      <c r="P1936" s="40" t="n"/>
      <c r="Q1936" s="40" t="n"/>
      <c r="R1936" s="40" t="n"/>
      <c r="S1936" s="40" t="n"/>
      <c r="T1936" s="40" t="n"/>
      <c r="U1936" s="40" t="n"/>
      <c r="V1936" s="40" t="n"/>
      <c r="W1936" s="40" t="n"/>
      <c r="X1936" s="40" t="n"/>
      <c r="Y1936" s="40" t="n"/>
      <c r="Z1936" s="40" t="n"/>
      <c r="AA1936" s="39" t="n"/>
    </row>
    <row r="1937">
      <c r="A1937" s="7" t="n"/>
      <c r="B1937" s="7" t="n"/>
      <c r="C1937" s="39" t="n"/>
      <c r="D1937" s="39" t="n"/>
      <c r="E1937" s="7" t="n"/>
      <c r="F1937" s="7" t="n"/>
      <c r="G1937" s="7" t="n"/>
      <c r="H1937" s="39" t="n"/>
      <c r="I1937" s="39" t="n"/>
      <c r="J1937" s="39" t="n"/>
      <c r="K1937" s="39" t="n"/>
      <c r="L1937" s="39" t="n"/>
      <c r="M1937" s="7" t="n"/>
      <c r="N1937" s="7" t="n"/>
      <c r="O1937" s="40" t="n"/>
      <c r="P1937" s="40" t="n"/>
      <c r="Q1937" s="40" t="n"/>
      <c r="R1937" s="40" t="n"/>
      <c r="S1937" s="40" t="n"/>
      <c r="T1937" s="40" t="n"/>
      <c r="U1937" s="40" t="n"/>
      <c r="V1937" s="40" t="n"/>
      <c r="W1937" s="40" t="n"/>
      <c r="X1937" s="40" t="n"/>
      <c r="Y1937" s="40" t="n"/>
      <c r="Z1937" s="40" t="n"/>
      <c r="AA1937" s="39" t="n"/>
    </row>
    <row r="1938">
      <c r="A1938" s="7" t="n"/>
      <c r="B1938" s="7" t="n"/>
      <c r="C1938" s="39" t="n"/>
      <c r="D1938" s="39" t="n"/>
      <c r="E1938" s="7" t="n"/>
      <c r="F1938" s="7" t="n"/>
      <c r="G1938" s="7" t="n"/>
      <c r="H1938" s="39" t="n"/>
      <c r="I1938" s="39" t="n"/>
      <c r="J1938" s="39" t="n"/>
      <c r="K1938" s="39" t="n"/>
      <c r="L1938" s="39" t="n"/>
      <c r="M1938" s="7" t="n"/>
      <c r="N1938" s="7" t="n"/>
      <c r="O1938" s="40" t="n"/>
      <c r="P1938" s="40" t="n"/>
      <c r="Q1938" s="40" t="n"/>
      <c r="R1938" s="40" t="n"/>
      <c r="S1938" s="40" t="n"/>
      <c r="T1938" s="40" t="n"/>
      <c r="U1938" s="40" t="n"/>
      <c r="V1938" s="40" t="n"/>
      <c r="W1938" s="40" t="n"/>
      <c r="X1938" s="40" t="n"/>
      <c r="Y1938" s="40" t="n"/>
      <c r="Z1938" s="40" t="n"/>
      <c r="AA1938" s="39" t="n"/>
    </row>
    <row r="1939">
      <c r="A1939" s="7" t="n"/>
      <c r="B1939" s="7" t="n"/>
      <c r="C1939" s="39" t="n"/>
      <c r="D1939" s="39" t="n"/>
      <c r="E1939" s="7" t="n"/>
      <c r="F1939" s="7" t="n"/>
      <c r="G1939" s="7" t="n"/>
      <c r="H1939" s="39" t="n"/>
      <c r="I1939" s="39" t="n"/>
      <c r="J1939" s="39" t="n"/>
      <c r="K1939" s="39" t="n"/>
      <c r="L1939" s="39" t="n"/>
      <c r="M1939" s="7" t="n"/>
      <c r="N1939" s="7" t="n"/>
      <c r="O1939" s="40" t="n"/>
      <c r="P1939" s="40" t="n"/>
      <c r="Q1939" s="40" t="n"/>
      <c r="R1939" s="40" t="n"/>
      <c r="S1939" s="40" t="n"/>
      <c r="T1939" s="40" t="n"/>
      <c r="U1939" s="40" t="n"/>
      <c r="V1939" s="40" t="n"/>
      <c r="W1939" s="40" t="n"/>
      <c r="X1939" s="40" t="n"/>
      <c r="Y1939" s="40" t="n"/>
      <c r="Z1939" s="40" t="n"/>
      <c r="AA1939" s="39" t="n"/>
    </row>
    <row r="1940">
      <c r="A1940" s="7" t="n"/>
      <c r="B1940" s="7" t="n"/>
      <c r="C1940" s="39" t="n"/>
      <c r="D1940" s="39" t="n"/>
      <c r="E1940" s="7" t="n"/>
      <c r="F1940" s="7" t="n"/>
      <c r="G1940" s="7" t="n"/>
      <c r="H1940" s="39" t="n"/>
      <c r="I1940" s="39" t="n"/>
      <c r="J1940" s="39" t="n"/>
      <c r="K1940" s="39" t="n"/>
      <c r="L1940" s="39" t="n"/>
      <c r="M1940" s="7" t="n"/>
      <c r="N1940" s="7" t="n"/>
      <c r="O1940" s="40" t="n"/>
      <c r="P1940" s="40" t="n"/>
      <c r="Q1940" s="40" t="n"/>
      <c r="R1940" s="40" t="n"/>
      <c r="S1940" s="40" t="n"/>
      <c r="T1940" s="40" t="n"/>
      <c r="U1940" s="40" t="n"/>
      <c r="V1940" s="40" t="n"/>
      <c r="W1940" s="40" t="n"/>
      <c r="X1940" s="40" t="n"/>
      <c r="Y1940" s="40" t="n"/>
      <c r="Z1940" s="40" t="n"/>
      <c r="AA1940" s="39" t="n"/>
    </row>
    <row r="1941">
      <c r="A1941" s="7" t="n"/>
      <c r="B1941" s="7" t="n"/>
      <c r="C1941" s="39" t="n"/>
      <c r="D1941" s="39" t="n"/>
      <c r="E1941" s="7" t="n"/>
      <c r="F1941" s="7" t="n"/>
      <c r="G1941" s="7" t="n"/>
      <c r="H1941" s="39" t="n"/>
      <c r="I1941" s="39" t="n"/>
      <c r="J1941" s="39" t="n"/>
      <c r="K1941" s="39" t="n"/>
      <c r="L1941" s="39" t="n"/>
      <c r="M1941" s="7" t="n"/>
      <c r="N1941" s="7" t="n"/>
      <c r="O1941" s="40" t="n"/>
      <c r="P1941" s="40" t="n"/>
      <c r="Q1941" s="40" t="n"/>
      <c r="R1941" s="40" t="n"/>
      <c r="S1941" s="40" t="n"/>
      <c r="T1941" s="40" t="n"/>
      <c r="U1941" s="40" t="n"/>
      <c r="V1941" s="40" t="n"/>
      <c r="W1941" s="40" t="n"/>
      <c r="X1941" s="40" t="n"/>
      <c r="Y1941" s="40" t="n"/>
      <c r="Z1941" s="40" t="n"/>
      <c r="AA1941" s="39" t="n"/>
    </row>
    <row r="1942">
      <c r="A1942" s="7" t="n"/>
      <c r="B1942" s="7" t="n"/>
      <c r="C1942" s="39" t="n"/>
      <c r="D1942" s="39" t="n"/>
      <c r="E1942" s="7" t="n"/>
      <c r="F1942" s="7" t="n"/>
      <c r="G1942" s="7" t="n"/>
      <c r="H1942" s="39" t="n"/>
      <c r="I1942" s="39" t="n"/>
      <c r="J1942" s="39" t="n"/>
      <c r="K1942" s="39" t="n"/>
      <c r="L1942" s="39" t="n"/>
      <c r="M1942" s="7" t="n"/>
      <c r="N1942" s="7" t="n"/>
      <c r="O1942" s="40" t="n"/>
      <c r="P1942" s="40" t="n"/>
      <c r="Q1942" s="40" t="n"/>
      <c r="R1942" s="40" t="n"/>
      <c r="S1942" s="40" t="n"/>
      <c r="T1942" s="40" t="n"/>
      <c r="U1942" s="40" t="n"/>
      <c r="V1942" s="40" t="n"/>
      <c r="W1942" s="40" t="n"/>
      <c r="X1942" s="40" t="n"/>
      <c r="Y1942" s="40" t="n"/>
      <c r="Z1942" s="40" t="n"/>
      <c r="AA1942" s="39" t="n"/>
    </row>
    <row r="1943">
      <c r="A1943" s="7" t="n"/>
      <c r="B1943" s="7" t="n"/>
      <c r="C1943" s="39" t="n"/>
      <c r="D1943" s="39" t="n"/>
      <c r="E1943" s="7" t="n"/>
      <c r="F1943" s="7" t="n"/>
      <c r="G1943" s="7" t="n"/>
      <c r="H1943" s="39" t="n"/>
      <c r="I1943" s="39" t="n"/>
      <c r="J1943" s="39" t="n"/>
      <c r="K1943" s="39" t="n"/>
      <c r="L1943" s="39" t="n"/>
      <c r="M1943" s="7" t="n"/>
      <c r="N1943" s="7" t="n"/>
      <c r="O1943" s="40" t="n"/>
      <c r="P1943" s="40" t="n"/>
      <c r="Q1943" s="40" t="n"/>
      <c r="R1943" s="40" t="n"/>
      <c r="S1943" s="40" t="n"/>
      <c r="T1943" s="40" t="n"/>
      <c r="U1943" s="40" t="n"/>
      <c r="V1943" s="40" t="n"/>
      <c r="W1943" s="40" t="n"/>
      <c r="X1943" s="40" t="n"/>
      <c r="Y1943" s="40" t="n"/>
      <c r="Z1943" s="40" t="n"/>
      <c r="AA1943" s="39" t="n"/>
    </row>
    <row r="1944">
      <c r="A1944" s="7" t="n"/>
      <c r="B1944" s="7" t="n"/>
      <c r="C1944" s="39" t="n"/>
      <c r="D1944" s="39" t="n"/>
      <c r="E1944" s="7" t="n"/>
      <c r="F1944" s="7" t="n"/>
      <c r="G1944" s="7" t="n"/>
      <c r="H1944" s="39" t="n"/>
      <c r="I1944" s="39" t="n"/>
      <c r="J1944" s="39" t="n"/>
      <c r="K1944" s="39" t="n"/>
      <c r="L1944" s="39" t="n"/>
      <c r="M1944" s="7" t="n"/>
      <c r="N1944" s="7" t="n"/>
      <c r="O1944" s="40" t="n"/>
      <c r="P1944" s="40" t="n"/>
      <c r="Q1944" s="40" t="n"/>
      <c r="R1944" s="40" t="n"/>
      <c r="S1944" s="40" t="n"/>
      <c r="T1944" s="40" t="n"/>
      <c r="U1944" s="40" t="n"/>
      <c r="V1944" s="40" t="n"/>
      <c r="W1944" s="40" t="n"/>
      <c r="X1944" s="40" t="n"/>
      <c r="Y1944" s="40" t="n"/>
      <c r="Z1944" s="40" t="n"/>
      <c r="AA1944" s="39" t="n"/>
    </row>
    <row r="1945">
      <c r="A1945" s="7" t="n"/>
      <c r="B1945" s="7" t="n"/>
      <c r="C1945" s="39" t="n"/>
      <c r="D1945" s="39" t="n"/>
      <c r="E1945" s="7" t="n"/>
      <c r="F1945" s="7" t="n"/>
      <c r="G1945" s="7" t="n"/>
      <c r="H1945" s="39" t="n"/>
      <c r="I1945" s="39" t="n"/>
      <c r="J1945" s="39" t="n"/>
      <c r="K1945" s="39" t="n"/>
      <c r="L1945" s="39" t="n"/>
      <c r="M1945" s="7" t="n"/>
      <c r="N1945" s="7" t="n"/>
      <c r="O1945" s="40" t="n"/>
      <c r="P1945" s="40" t="n"/>
      <c r="Q1945" s="40" t="n"/>
      <c r="R1945" s="40" t="n"/>
      <c r="S1945" s="40" t="n"/>
      <c r="T1945" s="40" t="n"/>
      <c r="U1945" s="40" t="n"/>
      <c r="V1945" s="40" t="n"/>
      <c r="W1945" s="40" t="n"/>
      <c r="X1945" s="40" t="n"/>
      <c r="Y1945" s="40" t="n"/>
      <c r="Z1945" s="40" t="n"/>
      <c r="AA1945" s="39" t="n"/>
    </row>
    <row r="1946">
      <c r="A1946" s="7" t="n"/>
      <c r="B1946" s="7" t="n"/>
      <c r="C1946" s="39" t="n"/>
      <c r="D1946" s="39" t="n"/>
      <c r="E1946" s="7" t="n"/>
      <c r="F1946" s="7" t="n"/>
      <c r="G1946" s="7" t="n"/>
      <c r="H1946" s="39" t="n"/>
      <c r="I1946" s="39" t="n"/>
      <c r="J1946" s="39" t="n"/>
      <c r="K1946" s="39" t="n"/>
      <c r="L1946" s="39" t="n"/>
      <c r="M1946" s="7" t="n"/>
      <c r="N1946" s="7" t="n"/>
      <c r="O1946" s="40" t="n"/>
      <c r="P1946" s="40" t="n"/>
      <c r="Q1946" s="40" t="n"/>
      <c r="R1946" s="40" t="n"/>
      <c r="S1946" s="40" t="n"/>
      <c r="T1946" s="40" t="n"/>
      <c r="U1946" s="40" t="n"/>
      <c r="V1946" s="40" t="n"/>
      <c r="W1946" s="40" t="n"/>
      <c r="X1946" s="40" t="n"/>
      <c r="Y1946" s="40" t="n"/>
      <c r="Z1946" s="40" t="n"/>
      <c r="AA1946" s="39" t="n"/>
    </row>
    <row r="1947">
      <c r="A1947" s="7" t="n"/>
      <c r="B1947" s="7" t="n"/>
      <c r="C1947" s="39" t="n"/>
      <c r="D1947" s="39" t="n"/>
      <c r="E1947" s="7" t="n"/>
      <c r="F1947" s="7" t="n"/>
      <c r="G1947" s="7" t="n"/>
      <c r="H1947" s="39" t="n"/>
      <c r="I1947" s="39" t="n"/>
      <c r="J1947" s="39" t="n"/>
      <c r="K1947" s="39" t="n"/>
      <c r="L1947" s="39" t="n"/>
      <c r="M1947" s="7" t="n"/>
      <c r="N1947" s="7" t="n"/>
      <c r="O1947" s="40" t="n"/>
      <c r="P1947" s="40" t="n"/>
      <c r="Q1947" s="40" t="n"/>
      <c r="R1947" s="40" t="n"/>
      <c r="S1947" s="40" t="n"/>
      <c r="T1947" s="40" t="n"/>
      <c r="U1947" s="40" t="n"/>
      <c r="V1947" s="40" t="n"/>
      <c r="W1947" s="40" t="n"/>
      <c r="X1947" s="40" t="n"/>
      <c r="Y1947" s="40" t="n"/>
      <c r="Z1947" s="40" t="n"/>
      <c r="AA1947" s="39" t="n"/>
    </row>
    <row r="1948">
      <c r="A1948" s="7" t="n"/>
      <c r="B1948" s="7" t="n"/>
      <c r="C1948" s="39" t="n"/>
      <c r="D1948" s="39" t="n"/>
      <c r="E1948" s="7" t="n"/>
      <c r="F1948" s="7" t="n"/>
      <c r="G1948" s="7" t="n"/>
      <c r="H1948" s="39" t="n"/>
      <c r="I1948" s="39" t="n"/>
      <c r="J1948" s="39" t="n"/>
      <c r="K1948" s="39" t="n"/>
      <c r="L1948" s="39" t="n"/>
      <c r="M1948" s="7" t="n"/>
      <c r="N1948" s="7" t="n"/>
      <c r="O1948" s="40" t="n"/>
      <c r="P1948" s="40" t="n"/>
      <c r="Q1948" s="40" t="n"/>
      <c r="R1948" s="40" t="n"/>
      <c r="S1948" s="40" t="n"/>
      <c r="T1948" s="40" t="n"/>
      <c r="U1948" s="40" t="n"/>
      <c r="V1948" s="40" t="n"/>
      <c r="W1948" s="40" t="n"/>
      <c r="X1948" s="40" t="n"/>
      <c r="Y1948" s="40" t="n"/>
      <c r="Z1948" s="40" t="n"/>
      <c r="AA1948" s="39" t="n"/>
    </row>
    <row r="1949">
      <c r="A1949" s="7" t="n"/>
      <c r="B1949" s="7" t="n"/>
      <c r="C1949" s="39" t="n"/>
      <c r="D1949" s="39" t="n"/>
      <c r="E1949" s="7" t="n"/>
      <c r="F1949" s="7" t="n"/>
      <c r="G1949" s="7" t="n"/>
      <c r="H1949" s="39" t="n"/>
      <c r="I1949" s="39" t="n"/>
      <c r="J1949" s="39" t="n"/>
      <c r="K1949" s="39" t="n"/>
      <c r="L1949" s="39" t="n"/>
      <c r="M1949" s="7" t="n"/>
      <c r="N1949" s="7" t="n"/>
      <c r="O1949" s="40" t="n"/>
      <c r="P1949" s="40" t="n"/>
      <c r="Q1949" s="40" t="n"/>
      <c r="R1949" s="40" t="n"/>
      <c r="S1949" s="40" t="n"/>
      <c r="T1949" s="40" t="n"/>
      <c r="U1949" s="40" t="n"/>
      <c r="V1949" s="40" t="n"/>
      <c r="W1949" s="40" t="n"/>
      <c r="X1949" s="40" t="n"/>
      <c r="Y1949" s="40" t="n"/>
      <c r="Z1949" s="40" t="n"/>
      <c r="AA1949" s="39" t="n"/>
    </row>
    <row r="1950">
      <c r="A1950" s="7" t="n"/>
      <c r="B1950" s="7" t="n"/>
      <c r="C1950" s="39" t="n"/>
      <c r="D1950" s="39" t="n"/>
      <c r="E1950" s="7" t="n"/>
      <c r="F1950" s="7" t="n"/>
      <c r="G1950" s="7" t="n"/>
      <c r="H1950" s="39" t="n"/>
      <c r="I1950" s="39" t="n"/>
      <c r="J1950" s="39" t="n"/>
      <c r="K1950" s="39" t="n"/>
      <c r="L1950" s="39" t="n"/>
      <c r="M1950" s="7" t="n"/>
      <c r="N1950" s="7" t="n"/>
      <c r="O1950" s="40" t="n"/>
      <c r="P1950" s="40" t="n"/>
      <c r="Q1950" s="40" t="n"/>
      <c r="R1950" s="40" t="n"/>
      <c r="S1950" s="40" t="n"/>
      <c r="T1950" s="40" t="n"/>
      <c r="U1950" s="40" t="n"/>
      <c r="V1950" s="40" t="n"/>
      <c r="W1950" s="40" t="n"/>
      <c r="X1950" s="40" t="n"/>
      <c r="Y1950" s="40" t="n"/>
      <c r="Z1950" s="40" t="n"/>
      <c r="AA1950" s="39" t="n"/>
    </row>
    <row r="1951">
      <c r="A1951" s="7" t="n"/>
      <c r="B1951" s="7" t="n"/>
      <c r="C1951" s="39" t="n"/>
      <c r="D1951" s="39" t="n"/>
      <c r="E1951" s="7" t="n"/>
      <c r="F1951" s="7" t="n"/>
      <c r="G1951" s="7" t="n"/>
      <c r="H1951" s="39" t="n"/>
      <c r="I1951" s="39" t="n"/>
      <c r="J1951" s="39" t="n"/>
      <c r="K1951" s="39" t="n"/>
      <c r="L1951" s="39" t="n"/>
      <c r="M1951" s="7" t="n"/>
      <c r="N1951" s="7" t="n"/>
      <c r="O1951" s="40" t="n"/>
      <c r="P1951" s="40" t="n"/>
      <c r="Q1951" s="40" t="n"/>
      <c r="R1951" s="40" t="n"/>
      <c r="S1951" s="40" t="n"/>
      <c r="T1951" s="40" t="n"/>
      <c r="U1951" s="40" t="n"/>
      <c r="V1951" s="40" t="n"/>
      <c r="W1951" s="40" t="n"/>
      <c r="X1951" s="40" t="n"/>
      <c r="Y1951" s="40" t="n"/>
      <c r="Z1951" s="40" t="n"/>
      <c r="AA1951" s="39" t="n"/>
    </row>
    <row r="1952">
      <c r="A1952" s="7" t="n"/>
      <c r="B1952" s="7" t="n"/>
      <c r="C1952" s="39" t="n"/>
      <c r="D1952" s="39" t="n"/>
      <c r="E1952" s="7" t="n"/>
      <c r="F1952" s="7" t="n"/>
      <c r="G1952" s="7" t="n"/>
      <c r="H1952" s="39" t="n"/>
      <c r="I1952" s="39" t="n"/>
      <c r="J1952" s="39" t="n"/>
      <c r="K1952" s="39" t="n"/>
      <c r="L1952" s="39" t="n"/>
      <c r="M1952" s="7" t="n"/>
      <c r="N1952" s="7" t="n"/>
      <c r="O1952" s="40" t="n"/>
      <c r="P1952" s="40" t="n"/>
      <c r="Q1952" s="40" t="n"/>
      <c r="R1952" s="40" t="n"/>
      <c r="S1952" s="40" t="n"/>
      <c r="T1952" s="40" t="n"/>
      <c r="U1952" s="40" t="n"/>
      <c r="V1952" s="40" t="n"/>
      <c r="W1952" s="40" t="n"/>
      <c r="X1952" s="40" t="n"/>
      <c r="Y1952" s="40" t="n"/>
      <c r="Z1952" s="40" t="n"/>
      <c r="AA1952" s="39" t="n"/>
    </row>
    <row r="1953">
      <c r="A1953" s="7" t="n"/>
      <c r="B1953" s="7" t="n"/>
      <c r="C1953" s="39" t="n"/>
      <c r="D1953" s="39" t="n"/>
      <c r="E1953" s="7" t="n"/>
      <c r="F1953" s="7" t="n"/>
      <c r="G1953" s="7" t="n"/>
      <c r="H1953" s="39" t="n"/>
      <c r="I1953" s="39" t="n"/>
      <c r="J1953" s="39" t="n"/>
      <c r="K1953" s="39" t="n"/>
      <c r="L1953" s="39" t="n"/>
      <c r="M1953" s="7" t="n"/>
      <c r="N1953" s="7" t="n"/>
      <c r="O1953" s="40" t="n"/>
      <c r="P1953" s="40" t="n"/>
      <c r="Q1953" s="40" t="n"/>
      <c r="R1953" s="40" t="n"/>
      <c r="S1953" s="40" t="n"/>
      <c r="T1953" s="40" t="n"/>
      <c r="U1953" s="40" t="n"/>
      <c r="V1953" s="40" t="n"/>
      <c r="W1953" s="40" t="n"/>
      <c r="X1953" s="40" t="n"/>
      <c r="Y1953" s="40" t="n"/>
      <c r="Z1953" s="40" t="n"/>
      <c r="AA1953" s="39" t="n"/>
    </row>
    <row r="1954">
      <c r="A1954" s="7" t="n"/>
      <c r="B1954" s="7" t="n"/>
      <c r="C1954" s="39" t="n"/>
      <c r="D1954" s="39" t="n"/>
      <c r="E1954" s="7" t="n"/>
      <c r="F1954" s="7" t="n"/>
      <c r="G1954" s="7" t="n"/>
      <c r="H1954" s="39" t="n"/>
      <c r="I1954" s="39" t="n"/>
      <c r="J1954" s="39" t="n"/>
      <c r="K1954" s="39" t="n"/>
      <c r="L1954" s="39" t="n"/>
      <c r="M1954" s="7" t="n"/>
      <c r="N1954" s="7" t="n"/>
      <c r="O1954" s="40" t="n"/>
      <c r="P1954" s="40" t="n"/>
      <c r="Q1954" s="40" t="n"/>
      <c r="R1954" s="40" t="n"/>
      <c r="S1954" s="40" t="n"/>
      <c r="T1954" s="40" t="n"/>
      <c r="U1954" s="40" t="n"/>
      <c r="V1954" s="40" t="n"/>
      <c r="W1954" s="40" t="n"/>
      <c r="X1954" s="40" t="n"/>
      <c r="Y1954" s="40" t="n"/>
      <c r="Z1954" s="40" t="n"/>
      <c r="AA1954" s="39" t="n"/>
    </row>
    <row r="1955">
      <c r="A1955" s="7" t="n"/>
      <c r="B1955" s="7" t="n"/>
      <c r="C1955" s="39" t="n"/>
      <c r="D1955" s="39" t="n"/>
      <c r="E1955" s="7" t="n"/>
      <c r="F1955" s="7" t="n"/>
      <c r="G1955" s="7" t="n"/>
      <c r="H1955" s="39" t="n"/>
      <c r="I1955" s="39" t="n"/>
      <c r="J1955" s="39" t="n"/>
      <c r="K1955" s="39" t="n"/>
      <c r="L1955" s="39" t="n"/>
      <c r="M1955" s="7" t="n"/>
      <c r="N1955" s="7" t="n"/>
      <c r="O1955" s="40" t="n"/>
      <c r="P1955" s="40" t="n"/>
      <c r="Q1955" s="40" t="n"/>
      <c r="R1955" s="40" t="n"/>
      <c r="S1955" s="40" t="n"/>
      <c r="T1955" s="40" t="n"/>
      <c r="U1955" s="40" t="n"/>
      <c r="V1955" s="40" t="n"/>
      <c r="W1955" s="40" t="n"/>
      <c r="X1955" s="40" t="n"/>
      <c r="Y1955" s="40" t="n"/>
      <c r="Z1955" s="40" t="n"/>
      <c r="AA1955" s="39" t="n"/>
    </row>
    <row r="1956">
      <c r="A1956" s="7" t="n"/>
      <c r="B1956" s="7" t="n"/>
      <c r="C1956" s="39" t="n"/>
      <c r="D1956" s="39" t="n"/>
      <c r="E1956" s="7" t="n"/>
      <c r="F1956" s="7" t="n"/>
      <c r="G1956" s="7" t="n"/>
      <c r="H1956" s="39" t="n"/>
      <c r="I1956" s="39" t="n"/>
      <c r="J1956" s="39" t="n"/>
      <c r="K1956" s="39" t="n"/>
      <c r="L1956" s="39" t="n"/>
      <c r="M1956" s="7" t="n"/>
      <c r="N1956" s="7" t="n"/>
      <c r="O1956" s="40" t="n"/>
      <c r="P1956" s="40" t="n"/>
      <c r="Q1956" s="40" t="n"/>
      <c r="R1956" s="40" t="n"/>
      <c r="S1956" s="40" t="n"/>
      <c r="T1956" s="40" t="n"/>
      <c r="U1956" s="40" t="n"/>
      <c r="V1956" s="40" t="n"/>
      <c r="W1956" s="40" t="n"/>
      <c r="X1956" s="40" t="n"/>
      <c r="Y1956" s="40" t="n"/>
      <c r="Z1956" s="40" t="n"/>
      <c r="AA1956" s="39" t="n"/>
    </row>
    <row r="1957">
      <c r="A1957" s="7" t="n"/>
      <c r="B1957" s="7" t="n"/>
      <c r="C1957" s="39" t="n"/>
      <c r="D1957" s="39" t="n"/>
      <c r="E1957" s="7" t="n"/>
      <c r="F1957" s="7" t="n"/>
      <c r="G1957" s="7" t="n"/>
      <c r="H1957" s="39" t="n"/>
      <c r="I1957" s="39" t="n"/>
      <c r="J1957" s="39" t="n"/>
      <c r="K1957" s="39" t="n"/>
      <c r="L1957" s="39" t="n"/>
      <c r="M1957" s="7" t="n"/>
      <c r="N1957" s="7" t="n"/>
      <c r="O1957" s="40" t="n"/>
      <c r="P1957" s="40" t="n"/>
      <c r="Q1957" s="40" t="n"/>
      <c r="R1957" s="40" t="n"/>
      <c r="S1957" s="40" t="n"/>
      <c r="T1957" s="40" t="n"/>
      <c r="U1957" s="40" t="n"/>
      <c r="V1957" s="40" t="n"/>
      <c r="W1957" s="40" t="n"/>
      <c r="X1957" s="40" t="n"/>
      <c r="Y1957" s="40" t="n"/>
      <c r="Z1957" s="40" t="n"/>
      <c r="AA1957" s="39" t="n"/>
    </row>
    <row r="1958">
      <c r="A1958" s="7" t="n"/>
      <c r="B1958" s="7" t="n"/>
      <c r="C1958" s="39" t="n"/>
      <c r="D1958" s="39" t="n"/>
      <c r="E1958" s="7" t="n"/>
      <c r="F1958" s="7" t="n"/>
      <c r="G1958" s="7" t="n"/>
      <c r="H1958" s="39" t="n"/>
      <c r="I1958" s="39" t="n"/>
      <c r="J1958" s="39" t="n"/>
      <c r="K1958" s="39" t="n"/>
      <c r="L1958" s="39" t="n"/>
      <c r="M1958" s="7" t="n"/>
      <c r="N1958" s="7" t="n"/>
      <c r="O1958" s="40" t="n"/>
      <c r="P1958" s="40" t="n"/>
      <c r="Q1958" s="40" t="n"/>
      <c r="R1958" s="40" t="n"/>
      <c r="S1958" s="40" t="n"/>
      <c r="T1958" s="40" t="n"/>
      <c r="U1958" s="40" t="n"/>
      <c r="V1958" s="40" t="n"/>
      <c r="W1958" s="40" t="n"/>
      <c r="X1958" s="40" t="n"/>
      <c r="Y1958" s="40" t="n"/>
      <c r="Z1958" s="40" t="n"/>
      <c r="AA1958" s="39" t="n"/>
    </row>
    <row r="1959">
      <c r="A1959" s="7" t="n"/>
      <c r="B1959" s="7" t="n"/>
      <c r="C1959" s="39" t="n"/>
      <c r="D1959" s="39" t="n"/>
      <c r="E1959" s="7" t="n"/>
      <c r="F1959" s="7" t="n"/>
      <c r="G1959" s="7" t="n"/>
      <c r="H1959" s="39" t="n"/>
      <c r="I1959" s="39" t="n"/>
      <c r="J1959" s="39" t="n"/>
      <c r="K1959" s="39" t="n"/>
      <c r="L1959" s="39" t="n"/>
      <c r="M1959" s="7" t="n"/>
      <c r="N1959" s="7" t="n"/>
      <c r="O1959" s="40" t="n"/>
      <c r="P1959" s="40" t="n"/>
      <c r="Q1959" s="40" t="n"/>
      <c r="R1959" s="40" t="n"/>
      <c r="S1959" s="40" t="n"/>
      <c r="T1959" s="40" t="n"/>
      <c r="U1959" s="40" t="n"/>
      <c r="V1959" s="40" t="n"/>
      <c r="W1959" s="40" t="n"/>
      <c r="X1959" s="40" t="n"/>
      <c r="Y1959" s="40" t="n"/>
      <c r="Z1959" s="40" t="n"/>
      <c r="AA1959" s="39" t="n"/>
    </row>
    <row r="1960">
      <c r="A1960" s="7" t="n"/>
      <c r="B1960" s="7" t="n"/>
      <c r="C1960" s="39" t="n"/>
      <c r="D1960" s="39" t="n"/>
      <c r="E1960" s="7" t="n"/>
      <c r="F1960" s="7" t="n"/>
      <c r="G1960" s="7" t="n"/>
      <c r="H1960" s="39" t="n"/>
      <c r="I1960" s="39" t="n"/>
      <c r="J1960" s="39" t="n"/>
      <c r="K1960" s="39" t="n"/>
      <c r="L1960" s="39" t="n"/>
      <c r="M1960" s="7" t="n"/>
      <c r="N1960" s="7" t="n"/>
      <c r="O1960" s="40" t="n"/>
      <c r="P1960" s="40" t="n"/>
      <c r="Q1960" s="40" t="n"/>
      <c r="R1960" s="40" t="n"/>
      <c r="S1960" s="40" t="n"/>
      <c r="T1960" s="40" t="n"/>
      <c r="U1960" s="40" t="n"/>
      <c r="V1960" s="40" t="n"/>
      <c r="W1960" s="40" t="n"/>
      <c r="X1960" s="40" t="n"/>
      <c r="Y1960" s="40" t="n"/>
      <c r="Z1960" s="40" t="n"/>
      <c r="AA1960" s="39" t="n"/>
    </row>
    <row r="1961">
      <c r="A1961" s="7" t="n"/>
      <c r="B1961" s="7" t="n"/>
      <c r="C1961" s="39" t="n"/>
      <c r="D1961" s="39" t="n"/>
      <c r="E1961" s="7" t="n"/>
      <c r="F1961" s="7" t="n"/>
      <c r="G1961" s="7" t="n"/>
      <c r="H1961" s="39" t="n"/>
      <c r="I1961" s="39" t="n"/>
      <c r="J1961" s="39" t="n"/>
      <c r="K1961" s="39" t="n"/>
      <c r="L1961" s="39" t="n"/>
      <c r="M1961" s="7" t="n"/>
      <c r="N1961" s="7" t="n"/>
      <c r="O1961" s="40" t="n"/>
      <c r="P1961" s="40" t="n"/>
      <c r="Q1961" s="40" t="n"/>
      <c r="R1961" s="40" t="n"/>
      <c r="S1961" s="40" t="n"/>
      <c r="T1961" s="40" t="n"/>
      <c r="U1961" s="40" t="n"/>
      <c r="V1961" s="40" t="n"/>
      <c r="W1961" s="40" t="n"/>
      <c r="X1961" s="40" t="n"/>
      <c r="Y1961" s="40" t="n"/>
      <c r="Z1961" s="40" t="n"/>
      <c r="AA1961" s="39" t="n"/>
    </row>
    <row r="1962">
      <c r="A1962" s="7" t="n"/>
      <c r="B1962" s="7" t="n"/>
      <c r="C1962" s="39" t="n"/>
      <c r="D1962" s="39" t="n"/>
      <c r="E1962" s="7" t="n"/>
      <c r="F1962" s="7" t="n"/>
      <c r="G1962" s="7" t="n"/>
      <c r="H1962" s="39" t="n"/>
      <c r="I1962" s="39" t="n"/>
      <c r="J1962" s="39" t="n"/>
      <c r="K1962" s="39" t="n"/>
      <c r="L1962" s="39" t="n"/>
      <c r="M1962" s="7" t="n"/>
      <c r="N1962" s="7" t="n"/>
      <c r="O1962" s="40" t="n"/>
      <c r="P1962" s="40" t="n"/>
      <c r="Q1962" s="40" t="n"/>
      <c r="R1962" s="40" t="n"/>
      <c r="S1962" s="40" t="n"/>
      <c r="T1962" s="40" t="n"/>
      <c r="U1962" s="40" t="n"/>
      <c r="V1962" s="40" t="n"/>
      <c r="W1962" s="40" t="n"/>
      <c r="X1962" s="40" t="n"/>
      <c r="Y1962" s="40" t="n"/>
      <c r="Z1962" s="40" t="n"/>
      <c r="AA1962" s="39" t="n"/>
    </row>
    <row r="1963">
      <c r="A1963" s="7" t="n"/>
      <c r="B1963" s="7" t="n"/>
      <c r="C1963" s="39" t="n"/>
      <c r="D1963" s="39" t="n"/>
      <c r="E1963" s="7" t="n"/>
      <c r="F1963" s="7" t="n"/>
      <c r="G1963" s="7" t="n"/>
      <c r="H1963" s="39" t="n"/>
      <c r="I1963" s="39" t="n"/>
      <c r="J1963" s="39" t="n"/>
      <c r="K1963" s="39" t="n"/>
      <c r="L1963" s="39" t="n"/>
      <c r="M1963" s="7" t="n"/>
      <c r="N1963" s="7" t="n"/>
      <c r="O1963" s="40" t="n"/>
      <c r="P1963" s="40" t="n"/>
      <c r="Q1963" s="40" t="n"/>
      <c r="R1963" s="40" t="n"/>
      <c r="S1963" s="40" t="n"/>
      <c r="T1963" s="40" t="n"/>
      <c r="U1963" s="40" t="n"/>
      <c r="V1963" s="40" t="n"/>
      <c r="W1963" s="40" t="n"/>
      <c r="X1963" s="40" t="n"/>
      <c r="Y1963" s="40" t="n"/>
      <c r="Z1963" s="40" t="n"/>
      <c r="AA1963" s="39" t="n"/>
    </row>
    <row r="1964">
      <c r="A1964" s="7" t="n"/>
      <c r="B1964" s="7" t="n"/>
      <c r="C1964" s="39" t="n"/>
      <c r="D1964" s="39" t="n"/>
      <c r="E1964" s="7" t="n"/>
      <c r="F1964" s="7" t="n"/>
      <c r="G1964" s="7" t="n"/>
      <c r="H1964" s="39" t="n"/>
      <c r="I1964" s="39" t="n"/>
      <c r="J1964" s="39" t="n"/>
      <c r="K1964" s="39" t="n"/>
      <c r="L1964" s="39" t="n"/>
      <c r="M1964" s="7" t="n"/>
      <c r="N1964" s="7" t="n"/>
      <c r="O1964" s="40" t="n"/>
      <c r="P1964" s="40" t="n"/>
      <c r="Q1964" s="40" t="n"/>
      <c r="R1964" s="40" t="n"/>
      <c r="S1964" s="40" t="n"/>
      <c r="T1964" s="40" t="n"/>
      <c r="U1964" s="40" t="n"/>
      <c r="V1964" s="40" t="n"/>
      <c r="W1964" s="40" t="n"/>
      <c r="X1964" s="40" t="n"/>
      <c r="Y1964" s="40" t="n"/>
      <c r="Z1964" s="40" t="n"/>
      <c r="AA1964" s="39" t="n"/>
    </row>
    <row r="1965">
      <c r="A1965" s="7" t="n"/>
      <c r="B1965" s="7" t="n"/>
      <c r="C1965" s="39" t="n"/>
      <c r="D1965" s="39" t="n"/>
      <c r="E1965" s="7" t="n"/>
      <c r="F1965" s="7" t="n"/>
      <c r="G1965" s="7" t="n"/>
      <c r="H1965" s="39" t="n"/>
      <c r="I1965" s="39" t="n"/>
      <c r="J1965" s="39" t="n"/>
      <c r="K1965" s="39" t="n"/>
      <c r="L1965" s="39" t="n"/>
      <c r="M1965" s="7" t="n"/>
      <c r="N1965" s="7" t="n"/>
      <c r="O1965" s="40" t="n"/>
      <c r="P1965" s="40" t="n"/>
      <c r="Q1965" s="40" t="n"/>
      <c r="R1965" s="40" t="n"/>
      <c r="S1965" s="40" t="n"/>
      <c r="T1965" s="40" t="n"/>
      <c r="U1965" s="40" t="n"/>
      <c r="V1965" s="40" t="n"/>
      <c r="W1965" s="40" t="n"/>
      <c r="X1965" s="40" t="n"/>
      <c r="Y1965" s="40" t="n"/>
      <c r="Z1965" s="40" t="n"/>
      <c r="AA1965" s="39" t="n"/>
    </row>
    <row r="1966">
      <c r="A1966" s="7" t="n"/>
      <c r="B1966" s="7" t="n"/>
      <c r="C1966" s="39" t="n"/>
      <c r="D1966" s="39" t="n"/>
      <c r="E1966" s="7" t="n"/>
      <c r="F1966" s="7" t="n"/>
      <c r="G1966" s="7" t="n"/>
      <c r="H1966" s="39" t="n"/>
      <c r="I1966" s="39" t="n"/>
      <c r="J1966" s="39" t="n"/>
      <c r="K1966" s="39" t="n"/>
      <c r="L1966" s="39" t="n"/>
      <c r="M1966" s="7" t="n"/>
      <c r="N1966" s="7" t="n"/>
      <c r="O1966" s="40" t="n"/>
      <c r="P1966" s="40" t="n"/>
      <c r="Q1966" s="40" t="n"/>
      <c r="R1966" s="40" t="n"/>
      <c r="S1966" s="40" t="n"/>
      <c r="T1966" s="40" t="n"/>
      <c r="U1966" s="40" t="n"/>
      <c r="V1966" s="40" t="n"/>
      <c r="W1966" s="40" t="n"/>
      <c r="X1966" s="40" t="n"/>
      <c r="Y1966" s="40" t="n"/>
      <c r="Z1966" s="40" t="n"/>
      <c r="AA1966" s="39" t="n"/>
    </row>
    <row r="1967">
      <c r="A1967" s="7" t="n"/>
      <c r="B1967" s="7" t="n"/>
      <c r="C1967" s="39" t="n"/>
      <c r="D1967" s="39" t="n"/>
      <c r="E1967" s="7" t="n"/>
      <c r="F1967" s="7" t="n"/>
      <c r="G1967" s="7" t="n"/>
      <c r="H1967" s="39" t="n"/>
      <c r="I1967" s="39" t="n"/>
      <c r="J1967" s="39" t="n"/>
      <c r="K1967" s="39" t="n"/>
      <c r="L1967" s="39" t="n"/>
      <c r="M1967" s="7" t="n"/>
      <c r="N1967" s="7" t="n"/>
      <c r="O1967" s="40" t="n"/>
      <c r="P1967" s="40" t="n"/>
      <c r="Q1967" s="40" t="n"/>
      <c r="R1967" s="40" t="n"/>
      <c r="S1967" s="40" t="n"/>
      <c r="T1967" s="40" t="n"/>
      <c r="U1967" s="40" t="n"/>
      <c r="V1967" s="40" t="n"/>
      <c r="W1967" s="40" t="n"/>
      <c r="X1967" s="40" t="n"/>
      <c r="Y1967" s="40" t="n"/>
      <c r="Z1967" s="40" t="n"/>
      <c r="AA1967" s="39" t="n"/>
    </row>
    <row r="1968">
      <c r="A1968" s="7" t="n"/>
      <c r="B1968" s="7" t="n"/>
      <c r="C1968" s="39" t="n"/>
      <c r="D1968" s="39" t="n"/>
      <c r="E1968" s="7" t="n"/>
      <c r="F1968" s="7" t="n"/>
      <c r="G1968" s="7" t="n"/>
      <c r="H1968" s="39" t="n"/>
      <c r="I1968" s="39" t="n"/>
      <c r="J1968" s="39" t="n"/>
      <c r="K1968" s="39" t="n"/>
      <c r="L1968" s="39" t="n"/>
      <c r="M1968" s="7" t="n"/>
      <c r="N1968" s="7" t="n"/>
      <c r="O1968" s="40" t="n"/>
      <c r="P1968" s="40" t="n"/>
      <c r="Q1968" s="40" t="n"/>
      <c r="R1968" s="40" t="n"/>
      <c r="S1968" s="40" t="n"/>
      <c r="T1968" s="40" t="n"/>
      <c r="U1968" s="40" t="n"/>
      <c r="V1968" s="40" t="n"/>
      <c r="W1968" s="40" t="n"/>
      <c r="X1968" s="40" t="n"/>
      <c r="Y1968" s="40" t="n"/>
      <c r="Z1968" s="40" t="n"/>
      <c r="AA1968" s="39" t="n"/>
    </row>
    <row r="1969">
      <c r="A1969" s="7" t="n"/>
      <c r="B1969" s="7" t="n"/>
      <c r="C1969" s="39" t="n"/>
      <c r="D1969" s="39" t="n"/>
      <c r="E1969" s="7" t="n"/>
      <c r="F1969" s="7" t="n"/>
      <c r="G1969" s="7" t="n"/>
      <c r="H1969" s="39" t="n"/>
      <c r="I1969" s="39" t="n"/>
      <c r="J1969" s="39" t="n"/>
      <c r="K1969" s="39" t="n"/>
      <c r="L1969" s="39" t="n"/>
      <c r="M1969" s="7" t="n"/>
      <c r="N1969" s="7" t="n"/>
      <c r="O1969" s="40" t="n"/>
      <c r="P1969" s="40" t="n"/>
      <c r="Q1969" s="40" t="n"/>
      <c r="R1969" s="40" t="n"/>
      <c r="S1969" s="40" t="n"/>
      <c r="T1969" s="40" t="n"/>
      <c r="U1969" s="40" t="n"/>
      <c r="V1969" s="40" t="n"/>
      <c r="W1969" s="40" t="n"/>
      <c r="X1969" s="40" t="n"/>
      <c r="Y1969" s="40" t="n"/>
      <c r="Z1969" s="40" t="n"/>
      <c r="AA1969" s="39" t="n"/>
    </row>
    <row r="1970">
      <c r="A1970" s="7" t="n"/>
      <c r="B1970" s="7" t="n"/>
      <c r="C1970" s="39" t="n"/>
      <c r="D1970" s="39" t="n"/>
      <c r="E1970" s="7" t="n"/>
      <c r="F1970" s="7" t="n"/>
      <c r="G1970" s="7" t="n"/>
      <c r="H1970" s="39" t="n"/>
      <c r="I1970" s="39" t="n"/>
      <c r="J1970" s="39" t="n"/>
      <c r="K1970" s="39" t="n"/>
      <c r="L1970" s="39" t="n"/>
      <c r="M1970" s="7" t="n"/>
      <c r="N1970" s="7" t="n"/>
      <c r="O1970" s="40" t="n"/>
      <c r="P1970" s="40" t="n"/>
      <c r="Q1970" s="40" t="n"/>
      <c r="R1970" s="40" t="n"/>
      <c r="S1970" s="40" t="n"/>
      <c r="T1970" s="40" t="n"/>
      <c r="U1970" s="40" t="n"/>
      <c r="V1970" s="40" t="n"/>
      <c r="W1970" s="40" t="n"/>
      <c r="X1970" s="40" t="n"/>
      <c r="Y1970" s="40" t="n"/>
      <c r="Z1970" s="40" t="n"/>
      <c r="AA1970" s="39" t="n"/>
    </row>
    <row r="1971">
      <c r="A1971" s="7" t="n"/>
      <c r="B1971" s="7" t="n"/>
      <c r="C1971" s="39" t="n"/>
      <c r="D1971" s="39" t="n"/>
      <c r="E1971" s="7" t="n"/>
      <c r="F1971" s="7" t="n"/>
      <c r="G1971" s="7" t="n"/>
      <c r="H1971" s="39" t="n"/>
      <c r="I1971" s="39" t="n"/>
      <c r="J1971" s="39" t="n"/>
      <c r="K1971" s="39" t="n"/>
      <c r="L1971" s="39" t="n"/>
      <c r="M1971" s="7" t="n"/>
      <c r="N1971" s="7" t="n"/>
      <c r="O1971" s="40" t="n"/>
      <c r="P1971" s="40" t="n"/>
      <c r="Q1971" s="40" t="n"/>
      <c r="R1971" s="40" t="n"/>
      <c r="S1971" s="40" t="n"/>
      <c r="T1971" s="40" t="n"/>
      <c r="U1971" s="40" t="n"/>
      <c r="V1971" s="40" t="n"/>
      <c r="W1971" s="40" t="n"/>
      <c r="X1971" s="40" t="n"/>
      <c r="Y1971" s="40" t="n"/>
      <c r="Z1971" s="40" t="n"/>
      <c r="AA1971" s="39" t="n"/>
    </row>
    <row r="1972">
      <c r="A1972" s="7" t="n"/>
      <c r="B1972" s="7" t="n"/>
      <c r="C1972" s="39" t="n"/>
      <c r="D1972" s="39" t="n"/>
      <c r="E1972" s="7" t="n"/>
      <c r="F1972" s="7" t="n"/>
      <c r="G1972" s="7" t="n"/>
      <c r="H1972" s="39" t="n"/>
      <c r="I1972" s="39" t="n"/>
      <c r="J1972" s="39" t="n"/>
      <c r="K1972" s="39" t="n"/>
      <c r="L1972" s="39" t="n"/>
      <c r="M1972" s="7" t="n"/>
      <c r="N1972" s="7" t="n"/>
      <c r="O1972" s="40" t="n"/>
      <c r="P1972" s="40" t="n"/>
      <c r="Q1972" s="40" t="n"/>
      <c r="R1972" s="40" t="n"/>
      <c r="S1972" s="40" t="n"/>
      <c r="T1972" s="40" t="n"/>
      <c r="U1972" s="40" t="n"/>
      <c r="V1972" s="40" t="n"/>
      <c r="W1972" s="40" t="n"/>
      <c r="X1972" s="40" t="n"/>
      <c r="Y1972" s="40" t="n"/>
      <c r="Z1972" s="40" t="n"/>
      <c r="AA1972" s="39" t="n"/>
    </row>
    <row r="1973">
      <c r="A1973" s="7" t="n"/>
      <c r="B1973" s="7" t="n"/>
      <c r="C1973" s="39" t="n"/>
      <c r="D1973" s="39" t="n"/>
      <c r="E1973" s="7" t="n"/>
      <c r="F1973" s="7" t="n"/>
      <c r="G1973" s="7" t="n"/>
      <c r="H1973" s="39" t="n"/>
      <c r="I1973" s="39" t="n"/>
      <c r="J1973" s="39" t="n"/>
      <c r="K1973" s="39" t="n"/>
      <c r="L1973" s="39" t="n"/>
      <c r="M1973" s="7" t="n"/>
      <c r="N1973" s="7" t="n"/>
      <c r="O1973" s="40" t="n"/>
      <c r="P1973" s="40" t="n"/>
      <c r="Q1973" s="40" t="n"/>
      <c r="R1973" s="40" t="n"/>
      <c r="S1973" s="40" t="n"/>
      <c r="T1973" s="40" t="n"/>
      <c r="U1973" s="40" t="n"/>
      <c r="V1973" s="40" t="n"/>
      <c r="W1973" s="40" t="n"/>
      <c r="X1973" s="40" t="n"/>
      <c r="Y1973" s="40" t="n"/>
      <c r="Z1973" s="40" t="n"/>
      <c r="AA1973" s="39" t="n"/>
    </row>
    <row r="1974">
      <c r="A1974" s="7" t="n"/>
      <c r="B1974" s="7" t="n"/>
      <c r="C1974" s="39" t="n"/>
      <c r="D1974" s="39" t="n"/>
      <c r="E1974" s="7" t="n"/>
      <c r="F1974" s="7" t="n"/>
      <c r="G1974" s="7" t="n"/>
      <c r="H1974" s="39" t="n"/>
      <c r="I1974" s="39" t="n"/>
      <c r="J1974" s="39" t="n"/>
      <c r="K1974" s="39" t="n"/>
      <c r="L1974" s="39" t="n"/>
      <c r="M1974" s="7" t="n"/>
      <c r="N1974" s="7" t="n"/>
      <c r="O1974" s="40" t="n"/>
      <c r="P1974" s="40" t="n"/>
      <c r="Q1974" s="40" t="n"/>
      <c r="R1974" s="40" t="n"/>
      <c r="S1974" s="40" t="n"/>
      <c r="T1974" s="40" t="n"/>
      <c r="U1974" s="40" t="n"/>
      <c r="V1974" s="40" t="n"/>
      <c r="W1974" s="40" t="n"/>
      <c r="X1974" s="40" t="n"/>
      <c r="Y1974" s="40" t="n"/>
      <c r="Z1974" s="40" t="n"/>
      <c r="AA1974" s="39" t="n"/>
    </row>
    <row r="1975">
      <c r="A1975" s="7" t="n"/>
      <c r="B1975" s="7" t="n"/>
      <c r="C1975" s="39" t="n"/>
      <c r="D1975" s="39" t="n"/>
      <c r="E1975" s="7" t="n"/>
      <c r="F1975" s="7" t="n"/>
      <c r="G1975" s="7" t="n"/>
      <c r="H1975" s="39" t="n"/>
      <c r="I1975" s="39" t="n"/>
      <c r="J1975" s="39" t="n"/>
      <c r="K1975" s="39" t="n"/>
      <c r="L1975" s="39" t="n"/>
      <c r="M1975" s="7" t="n"/>
      <c r="N1975" s="7" t="n"/>
      <c r="O1975" s="40" t="n"/>
      <c r="P1975" s="40" t="n"/>
      <c r="Q1975" s="40" t="n"/>
      <c r="R1975" s="40" t="n"/>
      <c r="S1975" s="40" t="n"/>
      <c r="T1975" s="40" t="n"/>
      <c r="U1975" s="40" t="n"/>
      <c r="V1975" s="40" t="n"/>
      <c r="W1975" s="40" t="n"/>
      <c r="X1975" s="40" t="n"/>
      <c r="Y1975" s="40" t="n"/>
      <c r="Z1975" s="40" t="n"/>
      <c r="AA1975" s="39" t="n"/>
    </row>
    <row r="1976">
      <c r="A1976" s="7" t="n"/>
      <c r="B1976" s="7" t="n"/>
      <c r="C1976" s="39" t="n"/>
      <c r="D1976" s="39" t="n"/>
      <c r="E1976" s="7" t="n"/>
      <c r="F1976" s="7" t="n"/>
      <c r="G1976" s="7" t="n"/>
      <c r="H1976" s="39" t="n"/>
      <c r="I1976" s="39" t="n"/>
      <c r="J1976" s="39" t="n"/>
      <c r="K1976" s="39" t="n"/>
      <c r="L1976" s="39" t="n"/>
      <c r="M1976" s="7" t="n"/>
      <c r="N1976" s="7" t="n"/>
      <c r="O1976" s="40" t="n"/>
      <c r="P1976" s="40" t="n"/>
      <c r="Q1976" s="40" t="n"/>
      <c r="R1976" s="40" t="n"/>
      <c r="S1976" s="40" t="n"/>
      <c r="T1976" s="40" t="n"/>
      <c r="U1976" s="40" t="n"/>
      <c r="V1976" s="40" t="n"/>
      <c r="W1976" s="40" t="n"/>
      <c r="X1976" s="40" t="n"/>
      <c r="Y1976" s="40" t="n"/>
      <c r="Z1976" s="40" t="n"/>
      <c r="AA1976" s="39" t="n"/>
    </row>
    <row r="1977">
      <c r="A1977" s="7" t="n"/>
      <c r="B1977" s="7" t="n"/>
      <c r="C1977" s="39" t="n"/>
      <c r="D1977" s="39" t="n"/>
      <c r="E1977" s="7" t="n"/>
      <c r="F1977" s="7" t="n"/>
      <c r="G1977" s="7" t="n"/>
      <c r="H1977" s="39" t="n"/>
      <c r="I1977" s="39" t="n"/>
      <c r="J1977" s="39" t="n"/>
      <c r="K1977" s="39" t="n"/>
      <c r="L1977" s="39" t="n"/>
      <c r="M1977" s="7" t="n"/>
      <c r="N1977" s="7" t="n"/>
      <c r="O1977" s="40" t="n"/>
      <c r="P1977" s="40" t="n"/>
      <c r="Q1977" s="40" t="n"/>
      <c r="R1977" s="40" t="n"/>
      <c r="S1977" s="40" t="n"/>
      <c r="T1977" s="40" t="n"/>
      <c r="U1977" s="40" t="n"/>
      <c r="V1977" s="40" t="n"/>
      <c r="W1977" s="40" t="n"/>
      <c r="X1977" s="40" t="n"/>
      <c r="Y1977" s="40" t="n"/>
      <c r="Z1977" s="40" t="n"/>
      <c r="AA1977" s="39" t="n"/>
    </row>
    <row r="1978">
      <c r="A1978" s="7" t="n"/>
      <c r="B1978" s="7" t="n"/>
      <c r="C1978" s="39" t="n"/>
      <c r="D1978" s="39" t="n"/>
      <c r="E1978" s="7" t="n"/>
      <c r="F1978" s="7" t="n"/>
      <c r="G1978" s="7" t="n"/>
      <c r="H1978" s="39" t="n"/>
      <c r="I1978" s="39" t="n"/>
      <c r="J1978" s="39" t="n"/>
      <c r="K1978" s="39" t="n"/>
      <c r="L1978" s="39" t="n"/>
      <c r="M1978" s="7" t="n"/>
      <c r="N1978" s="7" t="n"/>
      <c r="O1978" s="40" t="n"/>
      <c r="P1978" s="40" t="n"/>
      <c r="Q1978" s="40" t="n"/>
      <c r="R1978" s="40" t="n"/>
      <c r="S1978" s="40" t="n"/>
      <c r="T1978" s="40" t="n"/>
      <c r="U1978" s="40" t="n"/>
      <c r="V1978" s="40" t="n"/>
      <c r="W1978" s="40" t="n"/>
      <c r="X1978" s="40" t="n"/>
      <c r="Y1978" s="40" t="n"/>
      <c r="Z1978" s="40" t="n"/>
      <c r="AA1978" s="39" t="n"/>
    </row>
    <row r="1979">
      <c r="A1979" s="7" t="n"/>
      <c r="B1979" s="7" t="n"/>
      <c r="C1979" s="39" t="n"/>
      <c r="D1979" s="39" t="n"/>
      <c r="E1979" s="7" t="n"/>
      <c r="F1979" s="7" t="n"/>
      <c r="G1979" s="7" t="n"/>
      <c r="H1979" s="39" t="n"/>
      <c r="I1979" s="39" t="n"/>
      <c r="J1979" s="39" t="n"/>
      <c r="K1979" s="39" t="n"/>
      <c r="L1979" s="39" t="n"/>
      <c r="M1979" s="7" t="n"/>
      <c r="N1979" s="7" t="n"/>
      <c r="O1979" s="40" t="n"/>
      <c r="P1979" s="40" t="n"/>
      <c r="Q1979" s="40" t="n"/>
      <c r="R1979" s="40" t="n"/>
      <c r="S1979" s="40" t="n"/>
      <c r="T1979" s="40" t="n"/>
      <c r="U1979" s="40" t="n"/>
      <c r="V1979" s="40" t="n"/>
      <c r="W1979" s="40" t="n"/>
      <c r="X1979" s="40" t="n"/>
      <c r="Y1979" s="40" t="n"/>
      <c r="Z1979" s="40" t="n"/>
      <c r="AA1979" s="39" t="n"/>
    </row>
    <row r="1980">
      <c r="A1980" s="7" t="n"/>
      <c r="B1980" s="7" t="n"/>
      <c r="C1980" s="39" t="n"/>
      <c r="D1980" s="39" t="n"/>
      <c r="E1980" s="7" t="n"/>
      <c r="F1980" s="7" t="n"/>
      <c r="G1980" s="7" t="n"/>
      <c r="H1980" s="39" t="n"/>
      <c r="I1980" s="39" t="n"/>
      <c r="J1980" s="39" t="n"/>
      <c r="K1980" s="39" t="n"/>
      <c r="L1980" s="39" t="n"/>
      <c r="M1980" s="7" t="n"/>
      <c r="N1980" s="7" t="n"/>
      <c r="O1980" s="40" t="n"/>
      <c r="P1980" s="40" t="n"/>
      <c r="Q1980" s="40" t="n"/>
      <c r="R1980" s="40" t="n"/>
      <c r="S1980" s="40" t="n"/>
      <c r="T1980" s="40" t="n"/>
      <c r="U1980" s="40" t="n"/>
      <c r="V1980" s="40" t="n"/>
      <c r="W1980" s="40" t="n"/>
      <c r="X1980" s="40" t="n"/>
      <c r="Y1980" s="40" t="n"/>
      <c r="Z1980" s="40" t="n"/>
      <c r="AA1980" s="39" t="n"/>
    </row>
    <row r="1981">
      <c r="A1981" s="7" t="n"/>
      <c r="B1981" s="7" t="n"/>
      <c r="C1981" s="39" t="n"/>
      <c r="D1981" s="39" t="n"/>
      <c r="E1981" s="7" t="n"/>
      <c r="F1981" s="7" t="n"/>
      <c r="G1981" s="7" t="n"/>
      <c r="H1981" s="39" t="n"/>
      <c r="I1981" s="39" t="n"/>
      <c r="J1981" s="39" t="n"/>
      <c r="K1981" s="39" t="n"/>
      <c r="L1981" s="39" t="n"/>
      <c r="M1981" s="7" t="n"/>
      <c r="N1981" s="7" t="n"/>
      <c r="O1981" s="40" t="n"/>
      <c r="P1981" s="40" t="n"/>
      <c r="Q1981" s="40" t="n"/>
      <c r="R1981" s="40" t="n"/>
      <c r="S1981" s="40" t="n"/>
      <c r="T1981" s="40" t="n"/>
      <c r="U1981" s="40" t="n"/>
      <c r="V1981" s="40" t="n"/>
      <c r="W1981" s="40" t="n"/>
      <c r="X1981" s="40" t="n"/>
      <c r="Y1981" s="40" t="n"/>
      <c r="Z1981" s="40" t="n"/>
      <c r="AA1981" s="39" t="n"/>
    </row>
    <row r="1982">
      <c r="A1982" s="7" t="n"/>
      <c r="B1982" s="7" t="n"/>
      <c r="C1982" s="39" t="n"/>
      <c r="D1982" s="39" t="n"/>
      <c r="E1982" s="7" t="n"/>
      <c r="F1982" s="7" t="n"/>
      <c r="G1982" s="7" t="n"/>
      <c r="H1982" s="39" t="n"/>
      <c r="I1982" s="39" t="n"/>
      <c r="J1982" s="39" t="n"/>
      <c r="K1982" s="39" t="n"/>
      <c r="L1982" s="39" t="n"/>
      <c r="M1982" s="7" t="n"/>
      <c r="N1982" s="7" t="n"/>
      <c r="O1982" s="40" t="n"/>
      <c r="P1982" s="40" t="n"/>
      <c r="Q1982" s="40" t="n"/>
      <c r="R1982" s="40" t="n"/>
      <c r="S1982" s="40" t="n"/>
      <c r="T1982" s="40" t="n"/>
      <c r="U1982" s="40" t="n"/>
      <c r="V1982" s="40" t="n"/>
      <c r="W1982" s="40" t="n"/>
      <c r="X1982" s="40" t="n"/>
      <c r="Y1982" s="40" t="n"/>
      <c r="Z1982" s="40" t="n"/>
      <c r="AA1982" s="39" t="n"/>
    </row>
    <row r="1983">
      <c r="A1983" s="7" t="n"/>
      <c r="B1983" s="7" t="n"/>
      <c r="C1983" s="39" t="n"/>
      <c r="D1983" s="39" t="n"/>
      <c r="E1983" s="7" t="n"/>
      <c r="F1983" s="7" t="n"/>
      <c r="G1983" s="7" t="n"/>
      <c r="H1983" s="39" t="n"/>
      <c r="I1983" s="39" t="n"/>
      <c r="J1983" s="39" t="n"/>
      <c r="K1983" s="39" t="n"/>
      <c r="L1983" s="39" t="n"/>
      <c r="M1983" s="7" t="n"/>
      <c r="N1983" s="7" t="n"/>
      <c r="O1983" s="40" t="n"/>
      <c r="P1983" s="40" t="n"/>
      <c r="Q1983" s="40" t="n"/>
      <c r="R1983" s="40" t="n"/>
      <c r="S1983" s="40" t="n"/>
      <c r="T1983" s="40" t="n"/>
      <c r="U1983" s="40" t="n"/>
      <c r="V1983" s="40" t="n"/>
      <c r="W1983" s="40" t="n"/>
      <c r="X1983" s="40" t="n"/>
      <c r="Y1983" s="40" t="n"/>
      <c r="Z1983" s="40" t="n"/>
      <c r="AA1983" s="39" t="n"/>
    </row>
    <row r="1984">
      <c r="A1984" s="7" t="n"/>
      <c r="B1984" s="7" t="n"/>
      <c r="C1984" s="39" t="n"/>
      <c r="D1984" s="39" t="n"/>
      <c r="E1984" s="7" t="n"/>
      <c r="F1984" s="7" t="n"/>
      <c r="G1984" s="7" t="n"/>
      <c r="H1984" s="39" t="n"/>
      <c r="I1984" s="39" t="n"/>
      <c r="J1984" s="39" t="n"/>
      <c r="K1984" s="39" t="n"/>
      <c r="L1984" s="39" t="n"/>
      <c r="M1984" s="7" t="n"/>
      <c r="N1984" s="7" t="n"/>
      <c r="O1984" s="40" t="n"/>
      <c r="P1984" s="40" t="n"/>
      <c r="Q1984" s="40" t="n"/>
      <c r="R1984" s="40" t="n"/>
      <c r="S1984" s="40" t="n"/>
      <c r="T1984" s="40" t="n"/>
      <c r="U1984" s="40" t="n"/>
      <c r="V1984" s="40" t="n"/>
      <c r="W1984" s="40" t="n"/>
      <c r="X1984" s="40" t="n"/>
      <c r="Y1984" s="40" t="n"/>
      <c r="Z1984" s="40" t="n"/>
      <c r="AA1984" s="39" t="n"/>
    </row>
    <row r="1985">
      <c r="A1985" s="7" t="n"/>
      <c r="B1985" s="7" t="n"/>
      <c r="C1985" s="39" t="n"/>
      <c r="D1985" s="39" t="n"/>
      <c r="E1985" s="7" t="n"/>
      <c r="F1985" s="7" t="n"/>
      <c r="G1985" s="7" t="n"/>
      <c r="H1985" s="39" t="n"/>
      <c r="I1985" s="39" t="n"/>
      <c r="J1985" s="39" t="n"/>
      <c r="K1985" s="39" t="n"/>
      <c r="L1985" s="39" t="n"/>
      <c r="M1985" s="7" t="n"/>
      <c r="N1985" s="7" t="n"/>
      <c r="O1985" s="40" t="n"/>
      <c r="P1985" s="40" t="n"/>
      <c r="Q1985" s="40" t="n"/>
      <c r="R1985" s="40" t="n"/>
      <c r="S1985" s="40" t="n"/>
      <c r="T1985" s="40" t="n"/>
      <c r="U1985" s="40" t="n"/>
      <c r="V1985" s="40" t="n"/>
      <c r="W1985" s="40" t="n"/>
      <c r="X1985" s="40" t="n"/>
      <c r="Y1985" s="40" t="n"/>
      <c r="Z1985" s="40" t="n"/>
      <c r="AA1985" s="39" t="n"/>
    </row>
    <row r="1986">
      <c r="A1986" s="7" t="n"/>
      <c r="B1986" s="7" t="n"/>
      <c r="C1986" s="39" t="n"/>
      <c r="D1986" s="39" t="n"/>
      <c r="E1986" s="7" t="n"/>
      <c r="F1986" s="7" t="n"/>
      <c r="G1986" s="7" t="n"/>
      <c r="H1986" s="39" t="n"/>
      <c r="I1986" s="39" t="n"/>
      <c r="J1986" s="39" t="n"/>
      <c r="K1986" s="39" t="n"/>
      <c r="L1986" s="39" t="n"/>
      <c r="M1986" s="7" t="n"/>
      <c r="N1986" s="7" t="n"/>
      <c r="O1986" s="40" t="n"/>
      <c r="P1986" s="40" t="n"/>
      <c r="Q1986" s="40" t="n"/>
      <c r="R1986" s="40" t="n"/>
      <c r="S1986" s="40" t="n"/>
      <c r="T1986" s="40" t="n"/>
      <c r="U1986" s="40" t="n"/>
      <c r="V1986" s="40" t="n"/>
      <c r="W1986" s="40" t="n"/>
      <c r="X1986" s="40" t="n"/>
      <c r="Y1986" s="40" t="n"/>
      <c r="Z1986" s="40" t="n"/>
      <c r="AA1986" s="39" t="n"/>
    </row>
    <row r="1987">
      <c r="A1987" s="7" t="n"/>
      <c r="B1987" s="7" t="n"/>
      <c r="C1987" s="39" t="n"/>
      <c r="D1987" s="39" t="n"/>
      <c r="E1987" s="7" t="n"/>
      <c r="F1987" s="7" t="n"/>
      <c r="G1987" s="7" t="n"/>
      <c r="H1987" s="39" t="n"/>
      <c r="I1987" s="39" t="n"/>
      <c r="J1987" s="39" t="n"/>
      <c r="K1987" s="39" t="n"/>
      <c r="L1987" s="39" t="n"/>
      <c r="M1987" s="7" t="n"/>
      <c r="N1987" s="7" t="n"/>
      <c r="O1987" s="40" t="n"/>
      <c r="P1987" s="40" t="n"/>
      <c r="Q1987" s="40" t="n"/>
      <c r="R1987" s="40" t="n"/>
      <c r="S1987" s="40" t="n"/>
      <c r="T1987" s="40" t="n"/>
      <c r="U1987" s="40" t="n"/>
      <c r="V1987" s="40" t="n"/>
      <c r="W1987" s="40" t="n"/>
      <c r="X1987" s="40" t="n"/>
      <c r="Y1987" s="40" t="n"/>
      <c r="Z1987" s="40" t="n"/>
      <c r="AA1987" s="39" t="n"/>
    </row>
    <row r="1988">
      <c r="A1988" s="7" t="n"/>
      <c r="B1988" s="7" t="n"/>
      <c r="C1988" s="39" t="n"/>
      <c r="D1988" s="39" t="n"/>
      <c r="E1988" s="7" t="n"/>
      <c r="F1988" s="7" t="n"/>
      <c r="G1988" s="7" t="n"/>
      <c r="H1988" s="39" t="n"/>
      <c r="I1988" s="39" t="n"/>
      <c r="J1988" s="39" t="n"/>
      <c r="K1988" s="39" t="n"/>
      <c r="L1988" s="39" t="n"/>
      <c r="M1988" s="7" t="n"/>
      <c r="N1988" s="7" t="n"/>
      <c r="O1988" s="40" t="n"/>
      <c r="P1988" s="40" t="n"/>
      <c r="Q1988" s="40" t="n"/>
      <c r="R1988" s="40" t="n"/>
      <c r="S1988" s="40" t="n"/>
      <c r="T1988" s="40" t="n"/>
      <c r="U1988" s="40" t="n"/>
      <c r="V1988" s="40" t="n"/>
      <c r="W1988" s="40" t="n"/>
      <c r="X1988" s="40" t="n"/>
      <c r="Y1988" s="40" t="n"/>
      <c r="Z1988" s="40" t="n"/>
      <c r="AA1988" s="39" t="n"/>
    </row>
    <row r="1989">
      <c r="A1989" s="7" t="n"/>
      <c r="B1989" s="7" t="n"/>
      <c r="C1989" s="39" t="n"/>
      <c r="D1989" s="39" t="n"/>
      <c r="E1989" s="7" t="n"/>
      <c r="F1989" s="7" t="n"/>
      <c r="G1989" s="7" t="n"/>
      <c r="H1989" s="39" t="n"/>
      <c r="I1989" s="39" t="n"/>
      <c r="J1989" s="39" t="n"/>
      <c r="K1989" s="39" t="n"/>
      <c r="L1989" s="39" t="n"/>
      <c r="M1989" s="7" t="n"/>
      <c r="N1989" s="7" t="n"/>
      <c r="O1989" s="40" t="n"/>
      <c r="P1989" s="40" t="n"/>
      <c r="Q1989" s="40" t="n"/>
      <c r="R1989" s="40" t="n"/>
      <c r="S1989" s="40" t="n"/>
      <c r="T1989" s="40" t="n"/>
      <c r="U1989" s="40" t="n"/>
      <c r="V1989" s="40" t="n"/>
      <c r="W1989" s="40" t="n"/>
      <c r="X1989" s="40" t="n"/>
      <c r="Y1989" s="40" t="n"/>
      <c r="Z1989" s="40" t="n"/>
      <c r="AA1989" s="39" t="n"/>
    </row>
    <row r="1990">
      <c r="A1990" s="7" t="n"/>
      <c r="B1990" s="7" t="n"/>
      <c r="C1990" s="39" t="n"/>
      <c r="D1990" s="39" t="n"/>
      <c r="E1990" s="7" t="n"/>
      <c r="F1990" s="7" t="n"/>
      <c r="G1990" s="7" t="n"/>
      <c r="H1990" s="39" t="n"/>
      <c r="I1990" s="39" t="n"/>
      <c r="J1990" s="39" t="n"/>
      <c r="K1990" s="39" t="n"/>
      <c r="L1990" s="39" t="n"/>
      <c r="M1990" s="7" t="n"/>
      <c r="N1990" s="7" t="n"/>
      <c r="O1990" s="40" t="n"/>
      <c r="P1990" s="40" t="n"/>
      <c r="Q1990" s="40" t="n"/>
      <c r="R1990" s="40" t="n"/>
      <c r="S1990" s="40" t="n"/>
      <c r="T1990" s="40" t="n"/>
      <c r="U1990" s="40" t="n"/>
      <c r="V1990" s="40" t="n"/>
      <c r="W1990" s="40" t="n"/>
      <c r="X1990" s="40" t="n"/>
      <c r="Y1990" s="40" t="n"/>
      <c r="Z1990" s="40" t="n"/>
      <c r="AA1990" s="39" t="n"/>
    </row>
    <row r="1991">
      <c r="A1991" s="7" t="n"/>
      <c r="B1991" s="7" t="n"/>
      <c r="C1991" s="39" t="n"/>
      <c r="D1991" s="39" t="n"/>
      <c r="E1991" s="7" t="n"/>
      <c r="F1991" s="7" t="n"/>
      <c r="G1991" s="7" t="n"/>
      <c r="H1991" s="39" t="n"/>
      <c r="I1991" s="39" t="n"/>
      <c r="J1991" s="39" t="n"/>
      <c r="K1991" s="39" t="n"/>
      <c r="L1991" s="39" t="n"/>
      <c r="M1991" s="7" t="n"/>
      <c r="N1991" s="7" t="n"/>
      <c r="O1991" s="40" t="n"/>
      <c r="P1991" s="40" t="n"/>
      <c r="Q1991" s="40" t="n"/>
      <c r="R1991" s="40" t="n"/>
      <c r="S1991" s="40" t="n"/>
      <c r="T1991" s="40" t="n"/>
      <c r="U1991" s="40" t="n"/>
      <c r="V1991" s="40" t="n"/>
      <c r="W1991" s="40" t="n"/>
      <c r="X1991" s="40" t="n"/>
      <c r="Y1991" s="40" t="n"/>
      <c r="Z1991" s="40" t="n"/>
      <c r="AA1991" s="39" t="n"/>
    </row>
    <row r="1992">
      <c r="A1992" s="7" t="n"/>
      <c r="B1992" s="7" t="n"/>
      <c r="C1992" s="39" t="n"/>
      <c r="D1992" s="39" t="n"/>
      <c r="E1992" s="7" t="n"/>
      <c r="F1992" s="7" t="n"/>
      <c r="G1992" s="7" t="n"/>
      <c r="H1992" s="39" t="n"/>
      <c r="I1992" s="39" t="n"/>
      <c r="J1992" s="39" t="n"/>
      <c r="K1992" s="39" t="n"/>
      <c r="L1992" s="39" t="n"/>
      <c r="M1992" s="7" t="n"/>
      <c r="N1992" s="7" t="n"/>
      <c r="O1992" s="40" t="n"/>
      <c r="P1992" s="40" t="n"/>
      <c r="Q1992" s="40" t="n"/>
      <c r="R1992" s="40" t="n"/>
      <c r="S1992" s="40" t="n"/>
      <c r="T1992" s="40" t="n"/>
      <c r="U1992" s="40" t="n"/>
      <c r="V1992" s="40" t="n"/>
      <c r="W1992" s="40" t="n"/>
      <c r="X1992" s="40" t="n"/>
      <c r="Y1992" s="40" t="n"/>
      <c r="Z1992" s="40" t="n"/>
      <c r="AA1992" s="39" t="n"/>
    </row>
    <row r="1993">
      <c r="A1993" s="7" t="n"/>
      <c r="B1993" s="7" t="n"/>
      <c r="C1993" s="39" t="n"/>
      <c r="D1993" s="39" t="n"/>
      <c r="E1993" s="7" t="n"/>
      <c r="F1993" s="7" t="n"/>
      <c r="G1993" s="7" t="n"/>
      <c r="H1993" s="39" t="n"/>
      <c r="I1993" s="39" t="n"/>
      <c r="J1993" s="39" t="n"/>
      <c r="K1993" s="39" t="n"/>
      <c r="L1993" s="39" t="n"/>
      <c r="M1993" s="7" t="n"/>
      <c r="N1993" s="7" t="n"/>
      <c r="O1993" s="40" t="n"/>
      <c r="P1993" s="40" t="n"/>
      <c r="Q1993" s="40" t="n"/>
      <c r="R1993" s="40" t="n"/>
      <c r="S1993" s="40" t="n"/>
      <c r="T1993" s="40" t="n"/>
      <c r="U1993" s="40" t="n"/>
      <c r="V1993" s="40" t="n"/>
      <c r="W1993" s="40" t="n"/>
      <c r="X1993" s="40" t="n"/>
      <c r="Y1993" s="40" t="n"/>
      <c r="Z1993" s="40" t="n"/>
      <c r="AA1993" s="39" t="n"/>
    </row>
    <row r="1994">
      <c r="A1994" s="7" t="n"/>
      <c r="B1994" s="7" t="n"/>
      <c r="C1994" s="39" t="n"/>
      <c r="D1994" s="39" t="n"/>
      <c r="E1994" s="7" t="n"/>
      <c r="F1994" s="7" t="n"/>
      <c r="G1994" s="7" t="n"/>
      <c r="H1994" s="39" t="n"/>
      <c r="I1994" s="39" t="n"/>
      <c r="J1994" s="39" t="n"/>
      <c r="K1994" s="39" t="n"/>
      <c r="L1994" s="39" t="n"/>
      <c r="M1994" s="7" t="n"/>
      <c r="N1994" s="7" t="n"/>
      <c r="O1994" s="40" t="n"/>
      <c r="P1994" s="40" t="n"/>
      <c r="Q1994" s="40" t="n"/>
      <c r="R1994" s="40" t="n"/>
      <c r="S1994" s="40" t="n"/>
      <c r="T1994" s="40" t="n"/>
      <c r="U1994" s="40" t="n"/>
      <c r="V1994" s="40" t="n"/>
      <c r="W1994" s="40" t="n"/>
      <c r="X1994" s="40" t="n"/>
      <c r="Y1994" s="40" t="n"/>
      <c r="Z1994" s="40" t="n"/>
      <c r="AA1994" s="39" t="n"/>
    </row>
    <row r="1995">
      <c r="A1995" s="7" t="n"/>
      <c r="B1995" s="7" t="n"/>
      <c r="C1995" s="39" t="n"/>
      <c r="D1995" s="39" t="n"/>
      <c r="E1995" s="7" t="n"/>
      <c r="F1995" s="7" t="n"/>
      <c r="G1995" s="7" t="n"/>
      <c r="H1995" s="39" t="n"/>
      <c r="I1995" s="39" t="n"/>
      <c r="J1995" s="39" t="n"/>
      <c r="K1995" s="39" t="n"/>
      <c r="L1995" s="39" t="n"/>
      <c r="M1995" s="7" t="n"/>
      <c r="N1995" s="7" t="n"/>
      <c r="O1995" s="40" t="n"/>
      <c r="P1995" s="40" t="n"/>
      <c r="Q1995" s="40" t="n"/>
      <c r="R1995" s="40" t="n"/>
      <c r="S1995" s="40" t="n"/>
      <c r="T1995" s="40" t="n"/>
      <c r="U1995" s="40" t="n"/>
      <c r="V1995" s="40" t="n"/>
      <c r="W1995" s="40" t="n"/>
      <c r="X1995" s="40" t="n"/>
      <c r="Y1995" s="40" t="n"/>
      <c r="Z1995" s="40" t="n"/>
      <c r="AA1995" s="39" t="n"/>
    </row>
    <row r="1996">
      <c r="A1996" s="7" t="n"/>
      <c r="B1996" s="7" t="n"/>
      <c r="C1996" s="39" t="n"/>
      <c r="D1996" s="39" t="n"/>
      <c r="E1996" s="7" t="n"/>
      <c r="F1996" s="7" t="n"/>
      <c r="G1996" s="7" t="n"/>
      <c r="H1996" s="39" t="n"/>
      <c r="I1996" s="39" t="n"/>
      <c r="J1996" s="39" t="n"/>
      <c r="K1996" s="39" t="n"/>
      <c r="L1996" s="39" t="n"/>
      <c r="M1996" s="7" t="n"/>
      <c r="N1996" s="7" t="n"/>
      <c r="O1996" s="40" t="n"/>
      <c r="P1996" s="40" t="n"/>
      <c r="Q1996" s="40" t="n"/>
      <c r="R1996" s="40" t="n"/>
      <c r="S1996" s="40" t="n"/>
      <c r="T1996" s="40" t="n"/>
      <c r="U1996" s="40" t="n"/>
      <c r="V1996" s="40" t="n"/>
      <c r="W1996" s="40" t="n"/>
      <c r="X1996" s="40" t="n"/>
      <c r="Y1996" s="40" t="n"/>
      <c r="Z1996" s="40" t="n"/>
      <c r="AA1996" s="39" t="n"/>
    </row>
    <row r="1997">
      <c r="A1997" s="7" t="n"/>
      <c r="B1997" s="7" t="n"/>
      <c r="C1997" s="39" t="n"/>
      <c r="D1997" s="39" t="n"/>
      <c r="E1997" s="7" t="n"/>
      <c r="F1997" s="7" t="n"/>
      <c r="G1997" s="7" t="n"/>
      <c r="H1997" s="39" t="n"/>
      <c r="I1997" s="39" t="n"/>
      <c r="J1997" s="39" t="n"/>
      <c r="K1997" s="39" t="n"/>
      <c r="L1997" s="39" t="n"/>
      <c r="M1997" s="7" t="n"/>
      <c r="N1997" s="7" t="n"/>
      <c r="O1997" s="40" t="n"/>
      <c r="P1997" s="40" t="n"/>
      <c r="Q1997" s="40" t="n"/>
      <c r="R1997" s="40" t="n"/>
      <c r="S1997" s="40" t="n"/>
      <c r="T1997" s="40" t="n"/>
      <c r="U1997" s="40" t="n"/>
      <c r="V1997" s="40" t="n"/>
      <c r="W1997" s="40" t="n"/>
      <c r="X1997" s="40" t="n"/>
      <c r="Y1997" s="40" t="n"/>
      <c r="Z1997" s="40" t="n"/>
      <c r="AA1997" s="39" t="n"/>
    </row>
    <row r="1998">
      <c r="A1998" s="7" t="n"/>
      <c r="B1998" s="7" t="n"/>
      <c r="C1998" s="39" t="n"/>
      <c r="D1998" s="39" t="n"/>
      <c r="E1998" s="7" t="n"/>
      <c r="F1998" s="7" t="n"/>
      <c r="G1998" s="7" t="n"/>
      <c r="H1998" s="39" t="n"/>
      <c r="I1998" s="39" t="n"/>
      <c r="J1998" s="39" t="n"/>
      <c r="K1998" s="39" t="n"/>
      <c r="L1998" s="39" t="n"/>
      <c r="M1998" s="7" t="n"/>
      <c r="N1998" s="7" t="n"/>
      <c r="O1998" s="40" t="n"/>
      <c r="P1998" s="40" t="n"/>
      <c r="Q1998" s="40" t="n"/>
      <c r="R1998" s="40" t="n"/>
      <c r="S1998" s="40" t="n"/>
      <c r="T1998" s="40" t="n"/>
      <c r="U1998" s="40" t="n"/>
      <c r="V1998" s="40" t="n"/>
      <c r="W1998" s="40" t="n"/>
      <c r="X1998" s="40" t="n"/>
      <c r="Y1998" s="40" t="n"/>
      <c r="Z1998" s="40" t="n"/>
      <c r="AA1998" s="39" t="n"/>
    </row>
    <row r="1999">
      <c r="A1999" s="7" t="n"/>
      <c r="B1999" s="7" t="n"/>
      <c r="C1999" s="39" t="n"/>
      <c r="D1999" s="39" t="n"/>
      <c r="E1999" s="7" t="n"/>
      <c r="F1999" s="7" t="n"/>
      <c r="G1999" s="7" t="n"/>
      <c r="H1999" s="39" t="n"/>
      <c r="I1999" s="39" t="n"/>
      <c r="J1999" s="39" t="n"/>
      <c r="K1999" s="39" t="n"/>
      <c r="L1999" s="39" t="n"/>
      <c r="M1999" s="7" t="n"/>
      <c r="N1999" s="7" t="n"/>
      <c r="O1999" s="40" t="n"/>
      <c r="P1999" s="40" t="n"/>
      <c r="Q1999" s="40" t="n"/>
      <c r="R1999" s="40" t="n"/>
      <c r="S1999" s="40" t="n"/>
      <c r="T1999" s="40" t="n"/>
      <c r="U1999" s="40" t="n"/>
      <c r="V1999" s="40" t="n"/>
      <c r="W1999" s="40" t="n"/>
      <c r="X1999" s="40" t="n"/>
      <c r="Y1999" s="40" t="n"/>
      <c r="Z1999" s="40" t="n"/>
      <c r="AA1999" s="39" t="n"/>
    </row>
    <row r="2000">
      <c r="A2000" s="7" t="n"/>
      <c r="B2000" s="7" t="n"/>
      <c r="C2000" s="39" t="n"/>
      <c r="D2000" s="39" t="n"/>
      <c r="E2000" s="7" t="n"/>
      <c r="F2000" s="7" t="n"/>
      <c r="G2000" s="7" t="n"/>
      <c r="H2000" s="39" t="n"/>
      <c r="I2000" s="39" t="n"/>
      <c r="J2000" s="39" t="n"/>
      <c r="K2000" s="39" t="n"/>
      <c r="L2000" s="39" t="n"/>
      <c r="M2000" s="7" t="n"/>
      <c r="N2000" s="7" t="n"/>
      <c r="O2000" s="40" t="n"/>
      <c r="P2000" s="40" t="n"/>
      <c r="Q2000" s="40" t="n"/>
      <c r="R2000" s="40" t="n"/>
      <c r="S2000" s="40" t="n"/>
      <c r="T2000" s="40" t="n"/>
      <c r="U2000" s="40" t="n"/>
      <c r="V2000" s="40" t="n"/>
      <c r="W2000" s="40" t="n"/>
      <c r="X2000" s="40" t="n"/>
      <c r="Y2000" s="40" t="n"/>
      <c r="Z2000" s="40" t="n"/>
      <c r="AA2000" s="39" t="n"/>
    </row>
    <row r="2001">
      <c r="A2001" s="7" t="n"/>
      <c r="B2001" s="7" t="n"/>
      <c r="C2001" s="39" t="n"/>
      <c r="D2001" s="39" t="n"/>
      <c r="E2001" s="7" t="n"/>
      <c r="F2001" s="7" t="n"/>
      <c r="G2001" s="7" t="n"/>
      <c r="H2001" s="39" t="n"/>
      <c r="I2001" s="39" t="n"/>
      <c r="J2001" s="39" t="n"/>
      <c r="K2001" s="39" t="n"/>
      <c r="L2001" s="39" t="n"/>
      <c r="M2001" s="7" t="n"/>
      <c r="N2001" s="7" t="n"/>
      <c r="O2001" s="40" t="n"/>
      <c r="P2001" s="40" t="n"/>
      <c r="Q2001" s="40" t="n"/>
      <c r="R2001" s="40" t="n"/>
      <c r="S2001" s="40" t="n"/>
      <c r="T2001" s="40" t="n"/>
      <c r="U2001" s="40" t="n"/>
      <c r="V2001" s="40" t="n"/>
      <c r="W2001" s="40" t="n"/>
      <c r="X2001" s="40" t="n"/>
      <c r="Y2001" s="40" t="n"/>
      <c r="Z2001" s="40" t="n"/>
      <c r="AA2001" s="39" t="n"/>
    </row>
  </sheetData>
  <dataValidations count="19">
    <dataValidation sqref="A2:A2001" showDropDown="0" showInputMessage="0" showErrorMessage="1" allowBlank="1" error="Enter a whole number. / 整数で入力してください。" type="whole" operator="greaterThanOrEqual">
      <formula1>0</formula1>
    </dataValidation>
    <dataValidation sqref="B2:B2001" showDropDown="0" showInputMessage="0" showErrorMessage="1" allowBlank="1" errorTitle="Invalid value" error="Select a value from the list. / 一覧から選択してください。" type="list">
      <formula1>=lst_region</formula1>
    </dataValidation>
    <dataValidation sqref="E2:E2001" showDropDown="0" showInputMessage="0" showErrorMessage="1" allowBlank="1" errorTitle="Invalid value" error="Select a value from the list. / 一覧から選択してください。" type="list">
      <formula1>=lst_cost_center</formula1>
    </dataValidation>
    <dataValidation sqref="F2:F2001" showDropDown="0" showInputMessage="0" showErrorMessage="1" allowBlank="1" errorTitle="Invalid value" error="Select a value from the list. / 一覧から選択してください。" type="list">
      <formula1>=lst_account</formula1>
    </dataValidation>
    <dataValidation sqref="G2:G2001" showDropDown="0" showInputMessage="0" showErrorMessage="1" allowBlank="1" errorTitle="Invalid value" error="Select a value from the list. / 一覧から選択してください。" type="list">
      <formula1>=lst_cost_category</formula1>
    </dataValidation>
    <dataValidation sqref="M2:M2001" showDropDown="0" showInputMessage="0" showErrorMessage="1" allowBlank="1" errorTitle="Invalid value" error="Select a value from the list. / 一覧から選択してください。" type="list">
      <formula1>=lst_source_type</formula1>
    </dataValidation>
    <dataValidation sqref="N2:N2001" showDropDown="0" showInputMessage="0" showErrorMessage="1" allowBlank="1" errorTitle="Invalid value" error="Select a value from the list. / 一覧から選択してください。" type="list">
      <formula1>=lst_currency</formula1>
    </dataValidation>
    <dataValidation sqref="O2:O2001" showDropDown="0" showInputMessage="0" showErrorMessage="1" allowBlank="1" error="Enter a number. / 数値で入力してください。" type="decimal" operator="greaterThanOrEqual">
      <formula1>0</formula1>
    </dataValidation>
    <dataValidation sqref="P2:P2001" showDropDown="0" showInputMessage="0" showErrorMessage="1" allowBlank="1" error="Enter a number. / 数値で入力してください。" type="decimal" operator="greaterThanOrEqual">
      <formula1>0</formula1>
    </dataValidation>
    <dataValidation sqref="Q2:Q2001" showDropDown="0" showInputMessage="0" showErrorMessage="1" allowBlank="1" error="Enter a number. / 数値で入力してください。" type="decimal" operator="greaterThanOrEqual">
      <formula1>0</formula1>
    </dataValidation>
    <dataValidation sqref="R2:R2001" showDropDown="0" showInputMessage="0" showErrorMessage="1" allowBlank="1" error="Enter a number. / 数値で入力してください。" type="decimal" operator="greaterThanOrEqual">
      <formula1>0</formula1>
    </dataValidation>
    <dataValidation sqref="S2:S2001" showDropDown="0" showInputMessage="0" showErrorMessage="1" allowBlank="1" error="Enter a number. / 数値で入力してください。" type="decimal" operator="greaterThanOrEqual">
      <formula1>0</formula1>
    </dataValidation>
    <dataValidation sqref="T2:T2001" showDropDown="0" showInputMessage="0" showErrorMessage="1" allowBlank="1" error="Enter a number. / 数値で入力してください。" type="decimal" operator="greaterThanOrEqual">
      <formula1>0</formula1>
    </dataValidation>
    <dataValidation sqref="U2:U2001" showDropDown="0" showInputMessage="0" showErrorMessage="1" allowBlank="1" error="Enter a number. / 数値で入力してください。" type="decimal" operator="greaterThanOrEqual">
      <formula1>0</formula1>
    </dataValidation>
    <dataValidation sqref="V2:V2001" showDropDown="0" showInputMessage="0" showErrorMessage="1" allowBlank="1" error="Enter a number. / 数値で入力してください。" type="decimal" operator="greaterThanOrEqual">
      <formula1>0</formula1>
    </dataValidation>
    <dataValidation sqref="W2:W2001" showDropDown="0" showInputMessage="0" showErrorMessage="1" allowBlank="1" error="Enter a number. / 数値で入力してください。" type="decimal" operator="greaterThanOrEqual">
      <formula1>0</formula1>
    </dataValidation>
    <dataValidation sqref="X2:X2001" showDropDown="0" showInputMessage="0" showErrorMessage="1" allowBlank="1" error="Enter a number. / 数値で入力してください。" type="decimal" operator="greaterThanOrEqual">
      <formula1>0</formula1>
    </dataValidation>
    <dataValidation sqref="Y2:Y2001" showDropDown="0" showInputMessage="0" showErrorMessage="1" allowBlank="1" error="Enter a number. / 数値で入力してください。" type="decimal" operator="greaterThanOrEqual">
      <formula1>0</formula1>
    </dataValidation>
    <dataValidation sqref="Z2:Z2001" showDropDown="0" showInputMessage="0" showErrorMessage="1" allowBlank="1" error="Enter a number. / 数値で入力してください。" type="decimal" operator="greaterThanOrEqual">
      <formula1>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5" customWidth="1" min="2" max="2"/>
    <col width="11" customWidth="1" min="3" max="3"/>
    <col width="20" customWidth="1" min="4" max="4"/>
    <col width="22" customWidth="1" min="5" max="5"/>
    <col width="12" customWidth="1" min="6" max="6"/>
    <col width="11" customWidth="1" min="7" max="7"/>
    <col width="15" customWidth="1" min="8" max="8"/>
    <col width="16" customWidth="1" min="9" max="9"/>
  </cols>
  <sheetData>
    <row r="1">
      <c r="A1" s="4" t="inlineStr">
        <is>
          <t>region</t>
        </is>
      </c>
      <c r="B1" s="4" t="inlineStr">
        <is>
          <t>fiscal_year</t>
        </is>
      </c>
      <c r="C1" s="4" t="inlineStr">
        <is>
          <t>month</t>
        </is>
      </c>
      <c r="D1" s="4" t="inlineStr">
        <is>
          <t>cost_center_code</t>
        </is>
      </c>
      <c r="E1" s="4" t="inlineStr">
        <is>
          <t>local_account_code</t>
        </is>
      </c>
      <c r="F1" s="4" t="inlineStr">
        <is>
          <t>currency</t>
        </is>
      </c>
      <c r="G1" s="4" t="inlineStr">
        <is>
          <t>amount</t>
        </is>
      </c>
      <c r="H1" s="4" t="inlineStr">
        <is>
          <t>description</t>
        </is>
      </c>
      <c r="I1" s="4" t="inlineStr">
        <is>
          <t>import_batch</t>
        </is>
      </c>
    </row>
    <row r="2">
      <c r="A2" s="7" t="n"/>
      <c r="B2" s="7" t="n"/>
      <c r="C2" s="7" t="n"/>
      <c r="D2" s="39" t="n"/>
      <c r="E2" s="39" t="n"/>
      <c r="F2" s="7" t="n"/>
      <c r="G2" s="40" t="n"/>
      <c r="H2" s="39" t="n"/>
      <c r="I2" s="39" t="n"/>
    </row>
    <row r="3">
      <c r="A3" s="7" t="n"/>
      <c r="B3" s="7" t="n"/>
      <c r="C3" s="7" t="n"/>
      <c r="D3" s="39" t="n"/>
      <c r="E3" s="39" t="n"/>
      <c r="F3" s="7" t="n"/>
      <c r="G3" s="40" t="n"/>
      <c r="H3" s="39" t="n"/>
      <c r="I3" s="39" t="n"/>
    </row>
    <row r="4">
      <c r="A4" s="7" t="n"/>
      <c r="B4" s="7" t="n"/>
      <c r="C4" s="7" t="n"/>
      <c r="D4" s="39" t="n"/>
      <c r="E4" s="39" t="n"/>
      <c r="F4" s="7" t="n"/>
      <c r="G4" s="40" t="n"/>
      <c r="H4" s="39" t="n"/>
      <c r="I4" s="39" t="n"/>
    </row>
    <row r="5">
      <c r="A5" s="7" t="n"/>
      <c r="B5" s="7" t="n"/>
      <c r="C5" s="7" t="n"/>
      <c r="D5" s="39" t="n"/>
      <c r="E5" s="39" t="n"/>
      <c r="F5" s="7" t="n"/>
      <c r="G5" s="40" t="n"/>
      <c r="H5" s="39" t="n"/>
      <c r="I5" s="39" t="n"/>
    </row>
    <row r="6">
      <c r="A6" s="7" t="n"/>
      <c r="B6" s="7" t="n"/>
      <c r="C6" s="7" t="n"/>
      <c r="D6" s="39" t="n"/>
      <c r="E6" s="39" t="n"/>
      <c r="F6" s="7" t="n"/>
      <c r="G6" s="40" t="n"/>
      <c r="H6" s="39" t="n"/>
      <c r="I6" s="39" t="n"/>
    </row>
    <row r="7">
      <c r="A7" s="7" t="n"/>
      <c r="B7" s="7" t="n"/>
      <c r="C7" s="7" t="n"/>
      <c r="D7" s="39" t="n"/>
      <c r="E7" s="39" t="n"/>
      <c r="F7" s="7" t="n"/>
      <c r="G7" s="40" t="n"/>
      <c r="H7" s="39" t="n"/>
      <c r="I7" s="39" t="n"/>
    </row>
    <row r="8">
      <c r="A8" s="7" t="n"/>
      <c r="B8" s="7" t="n"/>
      <c r="C8" s="7" t="n"/>
      <c r="D8" s="39" t="n"/>
      <c r="E8" s="39" t="n"/>
      <c r="F8" s="7" t="n"/>
      <c r="G8" s="40" t="n"/>
      <c r="H8" s="39" t="n"/>
      <c r="I8" s="39" t="n"/>
    </row>
    <row r="9">
      <c r="A9" s="7" t="n"/>
      <c r="B9" s="7" t="n"/>
      <c r="C9" s="7" t="n"/>
      <c r="D9" s="39" t="n"/>
      <c r="E9" s="39" t="n"/>
      <c r="F9" s="7" t="n"/>
      <c r="G9" s="40" t="n"/>
      <c r="H9" s="39" t="n"/>
      <c r="I9" s="39" t="n"/>
    </row>
    <row r="10">
      <c r="A10" s="7" t="n"/>
      <c r="B10" s="7" t="n"/>
      <c r="C10" s="7" t="n"/>
      <c r="D10" s="39" t="n"/>
      <c r="E10" s="39" t="n"/>
      <c r="F10" s="7" t="n"/>
      <c r="G10" s="40" t="n"/>
      <c r="H10" s="39" t="n"/>
      <c r="I10" s="39" t="n"/>
    </row>
    <row r="11">
      <c r="A11" s="7" t="n"/>
      <c r="B11" s="7" t="n"/>
      <c r="C11" s="7" t="n"/>
      <c r="D11" s="39" t="n"/>
      <c r="E11" s="39" t="n"/>
      <c r="F11" s="7" t="n"/>
      <c r="G11" s="40" t="n"/>
      <c r="H11" s="39" t="n"/>
      <c r="I11" s="39" t="n"/>
    </row>
    <row r="12">
      <c r="A12" s="7" t="n"/>
      <c r="B12" s="7" t="n"/>
      <c r="C12" s="7" t="n"/>
      <c r="D12" s="39" t="n"/>
      <c r="E12" s="39" t="n"/>
      <c r="F12" s="7" t="n"/>
      <c r="G12" s="40" t="n"/>
      <c r="H12" s="39" t="n"/>
      <c r="I12" s="39" t="n"/>
    </row>
    <row r="13">
      <c r="A13" s="7" t="n"/>
      <c r="B13" s="7" t="n"/>
      <c r="C13" s="7" t="n"/>
      <c r="D13" s="39" t="n"/>
      <c r="E13" s="39" t="n"/>
      <c r="F13" s="7" t="n"/>
      <c r="G13" s="40" t="n"/>
      <c r="H13" s="39" t="n"/>
      <c r="I13" s="39" t="n"/>
    </row>
    <row r="14">
      <c r="A14" s="7" t="n"/>
      <c r="B14" s="7" t="n"/>
      <c r="C14" s="7" t="n"/>
      <c r="D14" s="39" t="n"/>
      <c r="E14" s="39" t="n"/>
      <c r="F14" s="7" t="n"/>
      <c r="G14" s="40" t="n"/>
      <c r="H14" s="39" t="n"/>
      <c r="I14" s="39" t="n"/>
    </row>
    <row r="15">
      <c r="A15" s="7" t="n"/>
      <c r="B15" s="7" t="n"/>
      <c r="C15" s="7" t="n"/>
      <c r="D15" s="39" t="n"/>
      <c r="E15" s="39" t="n"/>
      <c r="F15" s="7" t="n"/>
      <c r="G15" s="40" t="n"/>
      <c r="H15" s="39" t="n"/>
      <c r="I15" s="39" t="n"/>
    </row>
    <row r="16">
      <c r="A16" s="7" t="n"/>
      <c r="B16" s="7" t="n"/>
      <c r="C16" s="7" t="n"/>
      <c r="D16" s="39" t="n"/>
      <c r="E16" s="39" t="n"/>
      <c r="F16" s="7" t="n"/>
      <c r="G16" s="40" t="n"/>
      <c r="H16" s="39" t="n"/>
      <c r="I16" s="39" t="n"/>
    </row>
    <row r="17">
      <c r="A17" s="7" t="n"/>
      <c r="B17" s="7" t="n"/>
      <c r="C17" s="7" t="n"/>
      <c r="D17" s="39" t="n"/>
      <c r="E17" s="39" t="n"/>
      <c r="F17" s="7" t="n"/>
      <c r="G17" s="40" t="n"/>
      <c r="H17" s="39" t="n"/>
      <c r="I17" s="39" t="n"/>
    </row>
    <row r="18">
      <c r="A18" s="7" t="n"/>
      <c r="B18" s="7" t="n"/>
      <c r="C18" s="7" t="n"/>
      <c r="D18" s="39" t="n"/>
      <c r="E18" s="39" t="n"/>
      <c r="F18" s="7" t="n"/>
      <c r="G18" s="40" t="n"/>
      <c r="H18" s="39" t="n"/>
      <c r="I18" s="39" t="n"/>
    </row>
    <row r="19">
      <c r="A19" s="7" t="n"/>
      <c r="B19" s="7" t="n"/>
      <c r="C19" s="7" t="n"/>
      <c r="D19" s="39" t="n"/>
      <c r="E19" s="39" t="n"/>
      <c r="F19" s="7" t="n"/>
      <c r="G19" s="40" t="n"/>
      <c r="H19" s="39" t="n"/>
      <c r="I19" s="39" t="n"/>
    </row>
    <row r="20">
      <c r="A20" s="7" t="n"/>
      <c r="B20" s="7" t="n"/>
      <c r="C20" s="7" t="n"/>
      <c r="D20" s="39" t="n"/>
      <c r="E20" s="39" t="n"/>
      <c r="F20" s="7" t="n"/>
      <c r="G20" s="40" t="n"/>
      <c r="H20" s="39" t="n"/>
      <c r="I20" s="39" t="n"/>
    </row>
    <row r="21">
      <c r="A21" s="7" t="n"/>
      <c r="B21" s="7" t="n"/>
      <c r="C21" s="7" t="n"/>
      <c r="D21" s="39" t="n"/>
      <c r="E21" s="39" t="n"/>
      <c r="F21" s="7" t="n"/>
      <c r="G21" s="40" t="n"/>
      <c r="H21" s="39" t="n"/>
      <c r="I21" s="39" t="n"/>
    </row>
    <row r="22">
      <c r="A22" s="7" t="n"/>
      <c r="B22" s="7" t="n"/>
      <c r="C22" s="7" t="n"/>
      <c r="D22" s="39" t="n"/>
      <c r="E22" s="39" t="n"/>
      <c r="F22" s="7" t="n"/>
      <c r="G22" s="40" t="n"/>
      <c r="H22" s="39" t="n"/>
      <c r="I22" s="39" t="n"/>
    </row>
    <row r="23">
      <c r="A23" s="7" t="n"/>
      <c r="B23" s="7" t="n"/>
      <c r="C23" s="7" t="n"/>
      <c r="D23" s="39" t="n"/>
      <c r="E23" s="39" t="n"/>
      <c r="F23" s="7" t="n"/>
      <c r="G23" s="40" t="n"/>
      <c r="H23" s="39" t="n"/>
      <c r="I23" s="39" t="n"/>
    </row>
    <row r="24">
      <c r="A24" s="7" t="n"/>
      <c r="B24" s="7" t="n"/>
      <c r="C24" s="7" t="n"/>
      <c r="D24" s="39" t="n"/>
      <c r="E24" s="39" t="n"/>
      <c r="F24" s="7" t="n"/>
      <c r="G24" s="40" t="n"/>
      <c r="H24" s="39" t="n"/>
      <c r="I24" s="39" t="n"/>
    </row>
    <row r="25">
      <c r="A25" s="7" t="n"/>
      <c r="B25" s="7" t="n"/>
      <c r="C25" s="7" t="n"/>
      <c r="D25" s="39" t="n"/>
      <c r="E25" s="39" t="n"/>
      <c r="F25" s="7" t="n"/>
      <c r="G25" s="40" t="n"/>
      <c r="H25" s="39" t="n"/>
      <c r="I25" s="39" t="n"/>
    </row>
    <row r="26">
      <c r="A26" s="7" t="n"/>
      <c r="B26" s="7" t="n"/>
      <c r="C26" s="7" t="n"/>
      <c r="D26" s="39" t="n"/>
      <c r="E26" s="39" t="n"/>
      <c r="F26" s="7" t="n"/>
      <c r="G26" s="40" t="n"/>
      <c r="H26" s="39" t="n"/>
      <c r="I26" s="39" t="n"/>
    </row>
    <row r="27">
      <c r="A27" s="7" t="n"/>
      <c r="B27" s="7" t="n"/>
      <c r="C27" s="7" t="n"/>
      <c r="D27" s="39" t="n"/>
      <c r="E27" s="39" t="n"/>
      <c r="F27" s="7" t="n"/>
      <c r="G27" s="40" t="n"/>
      <c r="H27" s="39" t="n"/>
      <c r="I27" s="39" t="n"/>
    </row>
    <row r="28">
      <c r="A28" s="7" t="n"/>
      <c r="B28" s="7" t="n"/>
      <c r="C28" s="7" t="n"/>
      <c r="D28" s="39" t="n"/>
      <c r="E28" s="39" t="n"/>
      <c r="F28" s="7" t="n"/>
      <c r="G28" s="40" t="n"/>
      <c r="H28" s="39" t="n"/>
      <c r="I28" s="39" t="n"/>
    </row>
    <row r="29">
      <c r="A29" s="7" t="n"/>
      <c r="B29" s="7" t="n"/>
      <c r="C29" s="7" t="n"/>
      <c r="D29" s="39" t="n"/>
      <c r="E29" s="39" t="n"/>
      <c r="F29" s="7" t="n"/>
      <c r="G29" s="40" t="n"/>
      <c r="H29" s="39" t="n"/>
      <c r="I29" s="39" t="n"/>
    </row>
    <row r="30">
      <c r="A30" s="7" t="n"/>
      <c r="B30" s="7" t="n"/>
      <c r="C30" s="7" t="n"/>
      <c r="D30" s="39" t="n"/>
      <c r="E30" s="39" t="n"/>
      <c r="F30" s="7" t="n"/>
      <c r="G30" s="40" t="n"/>
      <c r="H30" s="39" t="n"/>
      <c r="I30" s="39" t="n"/>
    </row>
    <row r="31">
      <c r="A31" s="7" t="n"/>
      <c r="B31" s="7" t="n"/>
      <c r="C31" s="7" t="n"/>
      <c r="D31" s="39" t="n"/>
      <c r="E31" s="39" t="n"/>
      <c r="F31" s="7" t="n"/>
      <c r="G31" s="40" t="n"/>
      <c r="H31" s="39" t="n"/>
      <c r="I31" s="39" t="n"/>
    </row>
    <row r="32">
      <c r="A32" s="7" t="n"/>
      <c r="B32" s="7" t="n"/>
      <c r="C32" s="7" t="n"/>
      <c r="D32" s="39" t="n"/>
      <c r="E32" s="39" t="n"/>
      <c r="F32" s="7" t="n"/>
      <c r="G32" s="40" t="n"/>
      <c r="H32" s="39" t="n"/>
      <c r="I32" s="39" t="n"/>
    </row>
    <row r="33">
      <c r="A33" s="7" t="n"/>
      <c r="B33" s="7" t="n"/>
      <c r="C33" s="7" t="n"/>
      <c r="D33" s="39" t="n"/>
      <c r="E33" s="39" t="n"/>
      <c r="F33" s="7" t="n"/>
      <c r="G33" s="40" t="n"/>
      <c r="H33" s="39" t="n"/>
      <c r="I33" s="39" t="n"/>
    </row>
    <row r="34">
      <c r="A34" s="7" t="n"/>
      <c r="B34" s="7" t="n"/>
      <c r="C34" s="7" t="n"/>
      <c r="D34" s="39" t="n"/>
      <c r="E34" s="39" t="n"/>
      <c r="F34" s="7" t="n"/>
      <c r="G34" s="40" t="n"/>
      <c r="H34" s="39" t="n"/>
      <c r="I34" s="39" t="n"/>
    </row>
    <row r="35">
      <c r="A35" s="7" t="n"/>
      <c r="B35" s="7" t="n"/>
      <c r="C35" s="7" t="n"/>
      <c r="D35" s="39" t="n"/>
      <c r="E35" s="39" t="n"/>
      <c r="F35" s="7" t="n"/>
      <c r="G35" s="40" t="n"/>
      <c r="H35" s="39" t="n"/>
      <c r="I35" s="39" t="n"/>
    </row>
    <row r="36">
      <c r="A36" s="7" t="n"/>
      <c r="B36" s="7" t="n"/>
      <c r="C36" s="7" t="n"/>
      <c r="D36" s="39" t="n"/>
      <c r="E36" s="39" t="n"/>
      <c r="F36" s="7" t="n"/>
      <c r="G36" s="40" t="n"/>
      <c r="H36" s="39" t="n"/>
      <c r="I36" s="39" t="n"/>
    </row>
    <row r="37">
      <c r="A37" s="7" t="n"/>
      <c r="B37" s="7" t="n"/>
      <c r="C37" s="7" t="n"/>
      <c r="D37" s="39" t="n"/>
      <c r="E37" s="39" t="n"/>
      <c r="F37" s="7" t="n"/>
      <c r="G37" s="40" t="n"/>
      <c r="H37" s="39" t="n"/>
      <c r="I37" s="39" t="n"/>
    </row>
    <row r="38">
      <c r="A38" s="7" t="n"/>
      <c r="B38" s="7" t="n"/>
      <c r="C38" s="7" t="n"/>
      <c r="D38" s="39" t="n"/>
      <c r="E38" s="39" t="n"/>
      <c r="F38" s="7" t="n"/>
      <c r="G38" s="40" t="n"/>
      <c r="H38" s="39" t="n"/>
      <c r="I38" s="39" t="n"/>
    </row>
    <row r="39">
      <c r="A39" s="7" t="n"/>
      <c r="B39" s="7" t="n"/>
      <c r="C39" s="7" t="n"/>
      <c r="D39" s="39" t="n"/>
      <c r="E39" s="39" t="n"/>
      <c r="F39" s="7" t="n"/>
      <c r="G39" s="40" t="n"/>
      <c r="H39" s="39" t="n"/>
      <c r="I39" s="39" t="n"/>
    </row>
    <row r="40">
      <c r="A40" s="7" t="n"/>
      <c r="B40" s="7" t="n"/>
      <c r="C40" s="7" t="n"/>
      <c r="D40" s="39" t="n"/>
      <c r="E40" s="39" t="n"/>
      <c r="F40" s="7" t="n"/>
      <c r="G40" s="40" t="n"/>
      <c r="H40" s="39" t="n"/>
      <c r="I40" s="39" t="n"/>
    </row>
    <row r="41">
      <c r="A41" s="7" t="n"/>
      <c r="B41" s="7" t="n"/>
      <c r="C41" s="7" t="n"/>
      <c r="D41" s="39" t="n"/>
      <c r="E41" s="39" t="n"/>
      <c r="F41" s="7" t="n"/>
      <c r="G41" s="40" t="n"/>
      <c r="H41" s="39" t="n"/>
      <c r="I41" s="39" t="n"/>
    </row>
    <row r="42">
      <c r="A42" s="7" t="n"/>
      <c r="B42" s="7" t="n"/>
      <c r="C42" s="7" t="n"/>
      <c r="D42" s="39" t="n"/>
      <c r="E42" s="39" t="n"/>
      <c r="F42" s="7" t="n"/>
      <c r="G42" s="40" t="n"/>
      <c r="H42" s="39" t="n"/>
      <c r="I42" s="39" t="n"/>
    </row>
    <row r="43">
      <c r="A43" s="7" t="n"/>
      <c r="B43" s="7" t="n"/>
      <c r="C43" s="7" t="n"/>
      <c r="D43" s="39" t="n"/>
      <c r="E43" s="39" t="n"/>
      <c r="F43" s="7" t="n"/>
      <c r="G43" s="40" t="n"/>
      <c r="H43" s="39" t="n"/>
      <c r="I43" s="39" t="n"/>
    </row>
    <row r="44">
      <c r="A44" s="7" t="n"/>
      <c r="B44" s="7" t="n"/>
      <c r="C44" s="7" t="n"/>
      <c r="D44" s="39" t="n"/>
      <c r="E44" s="39" t="n"/>
      <c r="F44" s="7" t="n"/>
      <c r="G44" s="40" t="n"/>
      <c r="H44" s="39" t="n"/>
      <c r="I44" s="39" t="n"/>
    </row>
    <row r="45">
      <c r="A45" s="7" t="n"/>
      <c r="B45" s="7" t="n"/>
      <c r="C45" s="7" t="n"/>
      <c r="D45" s="39" t="n"/>
      <c r="E45" s="39" t="n"/>
      <c r="F45" s="7" t="n"/>
      <c r="G45" s="40" t="n"/>
      <c r="H45" s="39" t="n"/>
      <c r="I45" s="39" t="n"/>
    </row>
    <row r="46">
      <c r="A46" s="7" t="n"/>
      <c r="B46" s="7" t="n"/>
      <c r="C46" s="7" t="n"/>
      <c r="D46" s="39" t="n"/>
      <c r="E46" s="39" t="n"/>
      <c r="F46" s="7" t="n"/>
      <c r="G46" s="40" t="n"/>
      <c r="H46" s="39" t="n"/>
      <c r="I46" s="39" t="n"/>
    </row>
    <row r="47">
      <c r="A47" s="7" t="n"/>
      <c r="B47" s="7" t="n"/>
      <c r="C47" s="7" t="n"/>
      <c r="D47" s="39" t="n"/>
      <c r="E47" s="39" t="n"/>
      <c r="F47" s="7" t="n"/>
      <c r="G47" s="40" t="n"/>
      <c r="H47" s="39" t="n"/>
      <c r="I47" s="39" t="n"/>
    </row>
    <row r="48">
      <c r="A48" s="7" t="n"/>
      <c r="B48" s="7" t="n"/>
      <c r="C48" s="7" t="n"/>
      <c r="D48" s="39" t="n"/>
      <c r="E48" s="39" t="n"/>
      <c r="F48" s="7" t="n"/>
      <c r="G48" s="40" t="n"/>
      <c r="H48" s="39" t="n"/>
      <c r="I48" s="39" t="n"/>
    </row>
    <row r="49">
      <c r="A49" s="7" t="n"/>
      <c r="B49" s="7" t="n"/>
      <c r="C49" s="7" t="n"/>
      <c r="D49" s="39" t="n"/>
      <c r="E49" s="39" t="n"/>
      <c r="F49" s="7" t="n"/>
      <c r="G49" s="40" t="n"/>
      <c r="H49" s="39" t="n"/>
      <c r="I49" s="39" t="n"/>
    </row>
    <row r="50">
      <c r="A50" s="7" t="n"/>
      <c r="B50" s="7" t="n"/>
      <c r="C50" s="7" t="n"/>
      <c r="D50" s="39" t="n"/>
      <c r="E50" s="39" t="n"/>
      <c r="F50" s="7" t="n"/>
      <c r="G50" s="40" t="n"/>
      <c r="H50" s="39" t="n"/>
      <c r="I50" s="39" t="n"/>
    </row>
    <row r="51">
      <c r="A51" s="7" t="n"/>
      <c r="B51" s="7" t="n"/>
      <c r="C51" s="7" t="n"/>
      <c r="D51" s="39" t="n"/>
      <c r="E51" s="39" t="n"/>
      <c r="F51" s="7" t="n"/>
      <c r="G51" s="40" t="n"/>
      <c r="H51" s="39" t="n"/>
      <c r="I51" s="39" t="n"/>
    </row>
    <row r="52">
      <c r="A52" s="7" t="n"/>
      <c r="B52" s="7" t="n"/>
      <c r="C52" s="7" t="n"/>
      <c r="D52" s="39" t="n"/>
      <c r="E52" s="39" t="n"/>
      <c r="F52" s="7" t="n"/>
      <c r="G52" s="40" t="n"/>
      <c r="H52" s="39" t="n"/>
      <c r="I52" s="39" t="n"/>
    </row>
    <row r="53">
      <c r="A53" s="7" t="n"/>
      <c r="B53" s="7" t="n"/>
      <c r="C53" s="7" t="n"/>
      <c r="D53" s="39" t="n"/>
      <c r="E53" s="39" t="n"/>
      <c r="F53" s="7" t="n"/>
      <c r="G53" s="40" t="n"/>
      <c r="H53" s="39" t="n"/>
      <c r="I53" s="39" t="n"/>
    </row>
    <row r="54">
      <c r="A54" s="7" t="n"/>
      <c r="B54" s="7" t="n"/>
      <c r="C54" s="7" t="n"/>
      <c r="D54" s="39" t="n"/>
      <c r="E54" s="39" t="n"/>
      <c r="F54" s="7" t="n"/>
      <c r="G54" s="40" t="n"/>
      <c r="H54" s="39" t="n"/>
      <c r="I54" s="39" t="n"/>
    </row>
    <row r="55">
      <c r="A55" s="7" t="n"/>
      <c r="B55" s="7" t="n"/>
      <c r="C55" s="7" t="n"/>
      <c r="D55" s="39" t="n"/>
      <c r="E55" s="39" t="n"/>
      <c r="F55" s="7" t="n"/>
      <c r="G55" s="40" t="n"/>
      <c r="H55" s="39" t="n"/>
      <c r="I55" s="39" t="n"/>
    </row>
    <row r="56">
      <c r="A56" s="7" t="n"/>
      <c r="B56" s="7" t="n"/>
      <c r="C56" s="7" t="n"/>
      <c r="D56" s="39" t="n"/>
      <c r="E56" s="39" t="n"/>
      <c r="F56" s="7" t="n"/>
      <c r="G56" s="40" t="n"/>
      <c r="H56" s="39" t="n"/>
      <c r="I56" s="39" t="n"/>
    </row>
    <row r="57">
      <c r="A57" s="7" t="n"/>
      <c r="B57" s="7" t="n"/>
      <c r="C57" s="7" t="n"/>
      <c r="D57" s="39" t="n"/>
      <c r="E57" s="39" t="n"/>
      <c r="F57" s="7" t="n"/>
      <c r="G57" s="40" t="n"/>
      <c r="H57" s="39" t="n"/>
      <c r="I57" s="39" t="n"/>
    </row>
    <row r="58">
      <c r="A58" s="7" t="n"/>
      <c r="B58" s="7" t="n"/>
      <c r="C58" s="7" t="n"/>
      <c r="D58" s="39" t="n"/>
      <c r="E58" s="39" t="n"/>
      <c r="F58" s="7" t="n"/>
      <c r="G58" s="40" t="n"/>
      <c r="H58" s="39" t="n"/>
      <c r="I58" s="39" t="n"/>
    </row>
    <row r="59">
      <c r="A59" s="7" t="n"/>
      <c r="B59" s="7" t="n"/>
      <c r="C59" s="7" t="n"/>
      <c r="D59" s="39" t="n"/>
      <c r="E59" s="39" t="n"/>
      <c r="F59" s="7" t="n"/>
      <c r="G59" s="40" t="n"/>
      <c r="H59" s="39" t="n"/>
      <c r="I59" s="39" t="n"/>
    </row>
    <row r="60">
      <c r="A60" s="7" t="n"/>
      <c r="B60" s="7" t="n"/>
      <c r="C60" s="7" t="n"/>
      <c r="D60" s="39" t="n"/>
      <c r="E60" s="39" t="n"/>
      <c r="F60" s="7" t="n"/>
      <c r="G60" s="40" t="n"/>
      <c r="H60" s="39" t="n"/>
      <c r="I60" s="39" t="n"/>
    </row>
    <row r="61">
      <c r="A61" s="7" t="n"/>
      <c r="B61" s="7" t="n"/>
      <c r="C61" s="7" t="n"/>
      <c r="D61" s="39" t="n"/>
      <c r="E61" s="39" t="n"/>
      <c r="F61" s="7" t="n"/>
      <c r="G61" s="40" t="n"/>
      <c r="H61" s="39" t="n"/>
      <c r="I61" s="39" t="n"/>
    </row>
    <row r="62">
      <c r="A62" s="7" t="n"/>
      <c r="B62" s="7" t="n"/>
      <c r="C62" s="7" t="n"/>
      <c r="D62" s="39" t="n"/>
      <c r="E62" s="39" t="n"/>
      <c r="F62" s="7" t="n"/>
      <c r="G62" s="40" t="n"/>
      <c r="H62" s="39" t="n"/>
      <c r="I62" s="39" t="n"/>
    </row>
    <row r="63">
      <c r="A63" s="7" t="n"/>
      <c r="B63" s="7" t="n"/>
      <c r="C63" s="7" t="n"/>
      <c r="D63" s="39" t="n"/>
      <c r="E63" s="39" t="n"/>
      <c r="F63" s="7" t="n"/>
      <c r="G63" s="40" t="n"/>
      <c r="H63" s="39" t="n"/>
      <c r="I63" s="39" t="n"/>
    </row>
    <row r="64">
      <c r="A64" s="7" t="n"/>
      <c r="B64" s="7" t="n"/>
      <c r="C64" s="7" t="n"/>
      <c r="D64" s="39" t="n"/>
      <c r="E64" s="39" t="n"/>
      <c r="F64" s="7" t="n"/>
      <c r="G64" s="40" t="n"/>
      <c r="H64" s="39" t="n"/>
      <c r="I64" s="39" t="n"/>
    </row>
    <row r="65">
      <c r="A65" s="7" t="n"/>
      <c r="B65" s="7" t="n"/>
      <c r="C65" s="7" t="n"/>
      <c r="D65" s="39" t="n"/>
      <c r="E65" s="39" t="n"/>
      <c r="F65" s="7" t="n"/>
      <c r="G65" s="40" t="n"/>
      <c r="H65" s="39" t="n"/>
      <c r="I65" s="39" t="n"/>
    </row>
    <row r="66">
      <c r="A66" s="7" t="n"/>
      <c r="B66" s="7" t="n"/>
      <c r="C66" s="7" t="n"/>
      <c r="D66" s="39" t="n"/>
      <c r="E66" s="39" t="n"/>
      <c r="F66" s="7" t="n"/>
      <c r="G66" s="40" t="n"/>
      <c r="H66" s="39" t="n"/>
      <c r="I66" s="39" t="n"/>
    </row>
    <row r="67">
      <c r="A67" s="7" t="n"/>
      <c r="B67" s="7" t="n"/>
      <c r="C67" s="7" t="n"/>
      <c r="D67" s="39" t="n"/>
      <c r="E67" s="39" t="n"/>
      <c r="F67" s="7" t="n"/>
      <c r="G67" s="40" t="n"/>
      <c r="H67" s="39" t="n"/>
      <c r="I67" s="39" t="n"/>
    </row>
    <row r="68">
      <c r="A68" s="7" t="n"/>
      <c r="B68" s="7" t="n"/>
      <c r="C68" s="7" t="n"/>
      <c r="D68" s="39" t="n"/>
      <c r="E68" s="39" t="n"/>
      <c r="F68" s="7" t="n"/>
      <c r="G68" s="40" t="n"/>
      <c r="H68" s="39" t="n"/>
      <c r="I68" s="39" t="n"/>
    </row>
    <row r="69">
      <c r="A69" s="7" t="n"/>
      <c r="B69" s="7" t="n"/>
      <c r="C69" s="7" t="n"/>
      <c r="D69" s="39" t="n"/>
      <c r="E69" s="39" t="n"/>
      <c r="F69" s="7" t="n"/>
      <c r="G69" s="40" t="n"/>
      <c r="H69" s="39" t="n"/>
      <c r="I69" s="39" t="n"/>
    </row>
    <row r="70">
      <c r="A70" s="7" t="n"/>
      <c r="B70" s="7" t="n"/>
      <c r="C70" s="7" t="n"/>
      <c r="D70" s="39" t="n"/>
      <c r="E70" s="39" t="n"/>
      <c r="F70" s="7" t="n"/>
      <c r="G70" s="40" t="n"/>
      <c r="H70" s="39" t="n"/>
      <c r="I70" s="39" t="n"/>
    </row>
    <row r="71">
      <c r="A71" s="7" t="n"/>
      <c r="B71" s="7" t="n"/>
      <c r="C71" s="7" t="n"/>
      <c r="D71" s="39" t="n"/>
      <c r="E71" s="39" t="n"/>
      <c r="F71" s="7" t="n"/>
      <c r="G71" s="40" t="n"/>
      <c r="H71" s="39" t="n"/>
      <c r="I71" s="39" t="n"/>
    </row>
    <row r="72">
      <c r="A72" s="7" t="n"/>
      <c r="B72" s="7" t="n"/>
      <c r="C72" s="7" t="n"/>
      <c r="D72" s="39" t="n"/>
      <c r="E72" s="39" t="n"/>
      <c r="F72" s="7" t="n"/>
      <c r="G72" s="40" t="n"/>
      <c r="H72" s="39" t="n"/>
      <c r="I72" s="39" t="n"/>
    </row>
    <row r="73">
      <c r="A73" s="7" t="n"/>
      <c r="B73" s="7" t="n"/>
      <c r="C73" s="7" t="n"/>
      <c r="D73" s="39" t="n"/>
      <c r="E73" s="39" t="n"/>
      <c r="F73" s="7" t="n"/>
      <c r="G73" s="40" t="n"/>
      <c r="H73" s="39" t="n"/>
      <c r="I73" s="39" t="n"/>
    </row>
    <row r="74">
      <c r="A74" s="7" t="n"/>
      <c r="B74" s="7" t="n"/>
      <c r="C74" s="7" t="n"/>
      <c r="D74" s="39" t="n"/>
      <c r="E74" s="39" t="n"/>
      <c r="F74" s="7" t="n"/>
      <c r="G74" s="40" t="n"/>
      <c r="H74" s="39" t="n"/>
      <c r="I74" s="39" t="n"/>
    </row>
    <row r="75">
      <c r="A75" s="7" t="n"/>
      <c r="B75" s="7" t="n"/>
      <c r="C75" s="7" t="n"/>
      <c r="D75" s="39" t="n"/>
      <c r="E75" s="39" t="n"/>
      <c r="F75" s="7" t="n"/>
      <c r="G75" s="40" t="n"/>
      <c r="H75" s="39" t="n"/>
      <c r="I75" s="39" t="n"/>
    </row>
    <row r="76">
      <c r="A76" s="7" t="n"/>
      <c r="B76" s="7" t="n"/>
      <c r="C76" s="7" t="n"/>
      <c r="D76" s="39" t="n"/>
      <c r="E76" s="39" t="n"/>
      <c r="F76" s="7" t="n"/>
      <c r="G76" s="40" t="n"/>
      <c r="H76" s="39" t="n"/>
      <c r="I76" s="39" t="n"/>
    </row>
    <row r="77">
      <c r="A77" s="7" t="n"/>
      <c r="B77" s="7" t="n"/>
      <c r="C77" s="7" t="n"/>
      <c r="D77" s="39" t="n"/>
      <c r="E77" s="39" t="n"/>
      <c r="F77" s="7" t="n"/>
      <c r="G77" s="40" t="n"/>
      <c r="H77" s="39" t="n"/>
      <c r="I77" s="39" t="n"/>
    </row>
    <row r="78">
      <c r="A78" s="7" t="n"/>
      <c r="B78" s="7" t="n"/>
      <c r="C78" s="7" t="n"/>
      <c r="D78" s="39" t="n"/>
      <c r="E78" s="39" t="n"/>
      <c r="F78" s="7" t="n"/>
      <c r="G78" s="40" t="n"/>
      <c r="H78" s="39" t="n"/>
      <c r="I78" s="39" t="n"/>
    </row>
    <row r="79">
      <c r="A79" s="7" t="n"/>
      <c r="B79" s="7" t="n"/>
      <c r="C79" s="7" t="n"/>
      <c r="D79" s="39" t="n"/>
      <c r="E79" s="39" t="n"/>
      <c r="F79" s="7" t="n"/>
      <c r="G79" s="40" t="n"/>
      <c r="H79" s="39" t="n"/>
      <c r="I79" s="39" t="n"/>
    </row>
    <row r="80">
      <c r="A80" s="7" t="n"/>
      <c r="B80" s="7" t="n"/>
      <c r="C80" s="7" t="n"/>
      <c r="D80" s="39" t="n"/>
      <c r="E80" s="39" t="n"/>
      <c r="F80" s="7" t="n"/>
      <c r="G80" s="40" t="n"/>
      <c r="H80" s="39" t="n"/>
      <c r="I80" s="39" t="n"/>
    </row>
    <row r="81">
      <c r="A81" s="7" t="n"/>
      <c r="B81" s="7" t="n"/>
      <c r="C81" s="7" t="n"/>
      <c r="D81" s="39" t="n"/>
      <c r="E81" s="39" t="n"/>
      <c r="F81" s="7" t="n"/>
      <c r="G81" s="40" t="n"/>
      <c r="H81" s="39" t="n"/>
      <c r="I81" s="39" t="n"/>
    </row>
    <row r="82">
      <c r="A82" s="7" t="n"/>
      <c r="B82" s="7" t="n"/>
      <c r="C82" s="7" t="n"/>
      <c r="D82" s="39" t="n"/>
      <c r="E82" s="39" t="n"/>
      <c r="F82" s="7" t="n"/>
      <c r="G82" s="40" t="n"/>
      <c r="H82" s="39" t="n"/>
      <c r="I82" s="39" t="n"/>
    </row>
    <row r="83">
      <c r="A83" s="7" t="n"/>
      <c r="B83" s="7" t="n"/>
      <c r="C83" s="7" t="n"/>
      <c r="D83" s="39" t="n"/>
      <c r="E83" s="39" t="n"/>
      <c r="F83" s="7" t="n"/>
      <c r="G83" s="40" t="n"/>
      <c r="H83" s="39" t="n"/>
      <c r="I83" s="39" t="n"/>
    </row>
    <row r="84">
      <c r="A84" s="7" t="n"/>
      <c r="B84" s="7" t="n"/>
      <c r="C84" s="7" t="n"/>
      <c r="D84" s="39" t="n"/>
      <c r="E84" s="39" t="n"/>
      <c r="F84" s="7" t="n"/>
      <c r="G84" s="40" t="n"/>
      <c r="H84" s="39" t="n"/>
      <c r="I84" s="39" t="n"/>
    </row>
    <row r="85">
      <c r="A85" s="7" t="n"/>
      <c r="B85" s="7" t="n"/>
      <c r="C85" s="7" t="n"/>
      <c r="D85" s="39" t="n"/>
      <c r="E85" s="39" t="n"/>
      <c r="F85" s="7" t="n"/>
      <c r="G85" s="40" t="n"/>
      <c r="H85" s="39" t="n"/>
      <c r="I85" s="39" t="n"/>
    </row>
    <row r="86">
      <c r="A86" s="7" t="n"/>
      <c r="B86" s="7" t="n"/>
      <c r="C86" s="7" t="n"/>
      <c r="D86" s="39" t="n"/>
      <c r="E86" s="39" t="n"/>
      <c r="F86" s="7" t="n"/>
      <c r="G86" s="40" t="n"/>
      <c r="H86" s="39" t="n"/>
      <c r="I86" s="39" t="n"/>
    </row>
    <row r="87">
      <c r="A87" s="7" t="n"/>
      <c r="B87" s="7" t="n"/>
      <c r="C87" s="7" t="n"/>
      <c r="D87" s="39" t="n"/>
      <c r="E87" s="39" t="n"/>
      <c r="F87" s="7" t="n"/>
      <c r="G87" s="40" t="n"/>
      <c r="H87" s="39" t="n"/>
      <c r="I87" s="39" t="n"/>
    </row>
    <row r="88">
      <c r="A88" s="7" t="n"/>
      <c r="B88" s="7" t="n"/>
      <c r="C88" s="7" t="n"/>
      <c r="D88" s="39" t="n"/>
      <c r="E88" s="39" t="n"/>
      <c r="F88" s="7" t="n"/>
      <c r="G88" s="40" t="n"/>
      <c r="H88" s="39" t="n"/>
      <c r="I88" s="39" t="n"/>
    </row>
    <row r="89">
      <c r="A89" s="7" t="n"/>
      <c r="B89" s="7" t="n"/>
      <c r="C89" s="7" t="n"/>
      <c r="D89" s="39" t="n"/>
      <c r="E89" s="39" t="n"/>
      <c r="F89" s="7" t="n"/>
      <c r="G89" s="40" t="n"/>
      <c r="H89" s="39" t="n"/>
      <c r="I89" s="39" t="n"/>
    </row>
    <row r="90">
      <c r="A90" s="7" t="n"/>
      <c r="B90" s="7" t="n"/>
      <c r="C90" s="7" t="n"/>
      <c r="D90" s="39" t="n"/>
      <c r="E90" s="39" t="n"/>
      <c r="F90" s="7" t="n"/>
      <c r="G90" s="40" t="n"/>
      <c r="H90" s="39" t="n"/>
      <c r="I90" s="39" t="n"/>
    </row>
    <row r="91">
      <c r="A91" s="7" t="n"/>
      <c r="B91" s="7" t="n"/>
      <c r="C91" s="7" t="n"/>
      <c r="D91" s="39" t="n"/>
      <c r="E91" s="39" t="n"/>
      <c r="F91" s="7" t="n"/>
      <c r="G91" s="40" t="n"/>
      <c r="H91" s="39" t="n"/>
      <c r="I91" s="39" t="n"/>
    </row>
    <row r="92">
      <c r="A92" s="7" t="n"/>
      <c r="B92" s="7" t="n"/>
      <c r="C92" s="7" t="n"/>
      <c r="D92" s="39" t="n"/>
      <c r="E92" s="39" t="n"/>
      <c r="F92" s="7" t="n"/>
      <c r="G92" s="40" t="n"/>
      <c r="H92" s="39" t="n"/>
      <c r="I92" s="39" t="n"/>
    </row>
    <row r="93">
      <c r="A93" s="7" t="n"/>
      <c r="B93" s="7" t="n"/>
      <c r="C93" s="7" t="n"/>
      <c r="D93" s="39" t="n"/>
      <c r="E93" s="39" t="n"/>
      <c r="F93" s="7" t="n"/>
      <c r="G93" s="40" t="n"/>
      <c r="H93" s="39" t="n"/>
      <c r="I93" s="39" t="n"/>
    </row>
    <row r="94">
      <c r="A94" s="7" t="n"/>
      <c r="B94" s="7" t="n"/>
      <c r="C94" s="7" t="n"/>
      <c r="D94" s="39" t="n"/>
      <c r="E94" s="39" t="n"/>
      <c r="F94" s="7" t="n"/>
      <c r="G94" s="40" t="n"/>
      <c r="H94" s="39" t="n"/>
      <c r="I94" s="39" t="n"/>
    </row>
    <row r="95">
      <c r="A95" s="7" t="n"/>
      <c r="B95" s="7" t="n"/>
      <c r="C95" s="7" t="n"/>
      <c r="D95" s="39" t="n"/>
      <c r="E95" s="39" t="n"/>
      <c r="F95" s="7" t="n"/>
      <c r="G95" s="40" t="n"/>
      <c r="H95" s="39" t="n"/>
      <c r="I95" s="39" t="n"/>
    </row>
    <row r="96">
      <c r="A96" s="7" t="n"/>
      <c r="B96" s="7" t="n"/>
      <c r="C96" s="7" t="n"/>
      <c r="D96" s="39" t="n"/>
      <c r="E96" s="39" t="n"/>
      <c r="F96" s="7" t="n"/>
      <c r="G96" s="40" t="n"/>
      <c r="H96" s="39" t="n"/>
      <c r="I96" s="39" t="n"/>
    </row>
    <row r="97">
      <c r="A97" s="7" t="n"/>
      <c r="B97" s="7" t="n"/>
      <c r="C97" s="7" t="n"/>
      <c r="D97" s="39" t="n"/>
      <c r="E97" s="39" t="n"/>
      <c r="F97" s="7" t="n"/>
      <c r="G97" s="40" t="n"/>
      <c r="H97" s="39" t="n"/>
      <c r="I97" s="39" t="n"/>
    </row>
    <row r="98">
      <c r="A98" s="7" t="n"/>
      <c r="B98" s="7" t="n"/>
      <c r="C98" s="7" t="n"/>
      <c r="D98" s="39" t="n"/>
      <c r="E98" s="39" t="n"/>
      <c r="F98" s="7" t="n"/>
      <c r="G98" s="40" t="n"/>
      <c r="H98" s="39" t="n"/>
      <c r="I98" s="39" t="n"/>
    </row>
    <row r="99">
      <c r="A99" s="7" t="n"/>
      <c r="B99" s="7" t="n"/>
      <c r="C99" s="7" t="n"/>
      <c r="D99" s="39" t="n"/>
      <c r="E99" s="39" t="n"/>
      <c r="F99" s="7" t="n"/>
      <c r="G99" s="40" t="n"/>
      <c r="H99" s="39" t="n"/>
      <c r="I99" s="39" t="n"/>
    </row>
    <row r="100">
      <c r="A100" s="7" t="n"/>
      <c r="B100" s="7" t="n"/>
      <c r="C100" s="7" t="n"/>
      <c r="D100" s="39" t="n"/>
      <c r="E100" s="39" t="n"/>
      <c r="F100" s="7" t="n"/>
      <c r="G100" s="40" t="n"/>
      <c r="H100" s="39" t="n"/>
      <c r="I100" s="39" t="n"/>
    </row>
    <row r="101">
      <c r="A101" s="7" t="n"/>
      <c r="B101" s="7" t="n"/>
      <c r="C101" s="7" t="n"/>
      <c r="D101" s="39" t="n"/>
      <c r="E101" s="39" t="n"/>
      <c r="F101" s="7" t="n"/>
      <c r="G101" s="40" t="n"/>
      <c r="H101" s="39" t="n"/>
      <c r="I101" s="39" t="n"/>
    </row>
    <row r="102">
      <c r="A102" s="7" t="n"/>
      <c r="B102" s="7" t="n"/>
      <c r="C102" s="7" t="n"/>
      <c r="D102" s="39" t="n"/>
      <c r="E102" s="39" t="n"/>
      <c r="F102" s="7" t="n"/>
      <c r="G102" s="40" t="n"/>
      <c r="H102" s="39" t="n"/>
      <c r="I102" s="39" t="n"/>
    </row>
    <row r="103">
      <c r="A103" s="7" t="n"/>
      <c r="B103" s="7" t="n"/>
      <c r="C103" s="7" t="n"/>
      <c r="D103" s="39" t="n"/>
      <c r="E103" s="39" t="n"/>
      <c r="F103" s="7" t="n"/>
      <c r="G103" s="40" t="n"/>
      <c r="H103" s="39" t="n"/>
      <c r="I103" s="39" t="n"/>
    </row>
    <row r="104">
      <c r="A104" s="7" t="n"/>
      <c r="B104" s="7" t="n"/>
      <c r="C104" s="7" t="n"/>
      <c r="D104" s="39" t="n"/>
      <c r="E104" s="39" t="n"/>
      <c r="F104" s="7" t="n"/>
      <c r="G104" s="40" t="n"/>
      <c r="H104" s="39" t="n"/>
      <c r="I104" s="39" t="n"/>
    </row>
    <row r="105">
      <c r="A105" s="7" t="n"/>
      <c r="B105" s="7" t="n"/>
      <c r="C105" s="7" t="n"/>
      <c r="D105" s="39" t="n"/>
      <c r="E105" s="39" t="n"/>
      <c r="F105" s="7" t="n"/>
      <c r="G105" s="40" t="n"/>
      <c r="H105" s="39" t="n"/>
      <c r="I105" s="39" t="n"/>
    </row>
    <row r="106">
      <c r="A106" s="7" t="n"/>
      <c r="B106" s="7" t="n"/>
      <c r="C106" s="7" t="n"/>
      <c r="D106" s="39" t="n"/>
      <c r="E106" s="39" t="n"/>
      <c r="F106" s="7" t="n"/>
      <c r="G106" s="40" t="n"/>
      <c r="H106" s="39" t="n"/>
      <c r="I106" s="39" t="n"/>
    </row>
    <row r="107">
      <c r="A107" s="7" t="n"/>
      <c r="B107" s="7" t="n"/>
      <c r="C107" s="7" t="n"/>
      <c r="D107" s="39" t="n"/>
      <c r="E107" s="39" t="n"/>
      <c r="F107" s="7" t="n"/>
      <c r="G107" s="40" t="n"/>
      <c r="H107" s="39" t="n"/>
      <c r="I107" s="39" t="n"/>
    </row>
    <row r="108">
      <c r="A108" s="7" t="n"/>
      <c r="B108" s="7" t="n"/>
      <c r="C108" s="7" t="n"/>
      <c r="D108" s="39" t="n"/>
      <c r="E108" s="39" t="n"/>
      <c r="F108" s="7" t="n"/>
      <c r="G108" s="40" t="n"/>
      <c r="H108" s="39" t="n"/>
      <c r="I108" s="39" t="n"/>
    </row>
    <row r="109">
      <c r="A109" s="7" t="n"/>
      <c r="B109" s="7" t="n"/>
      <c r="C109" s="7" t="n"/>
      <c r="D109" s="39" t="n"/>
      <c r="E109" s="39" t="n"/>
      <c r="F109" s="7" t="n"/>
      <c r="G109" s="40" t="n"/>
      <c r="H109" s="39" t="n"/>
      <c r="I109" s="39" t="n"/>
    </row>
    <row r="110">
      <c r="A110" s="7" t="n"/>
      <c r="B110" s="7" t="n"/>
      <c r="C110" s="7" t="n"/>
      <c r="D110" s="39" t="n"/>
      <c r="E110" s="39" t="n"/>
      <c r="F110" s="7" t="n"/>
      <c r="G110" s="40" t="n"/>
      <c r="H110" s="39" t="n"/>
      <c r="I110" s="39" t="n"/>
    </row>
    <row r="111">
      <c r="A111" s="7" t="n"/>
      <c r="B111" s="7" t="n"/>
      <c r="C111" s="7" t="n"/>
      <c r="D111" s="39" t="n"/>
      <c r="E111" s="39" t="n"/>
      <c r="F111" s="7" t="n"/>
      <c r="G111" s="40" t="n"/>
      <c r="H111" s="39" t="n"/>
      <c r="I111" s="39" t="n"/>
    </row>
    <row r="112">
      <c r="A112" s="7" t="n"/>
      <c r="B112" s="7" t="n"/>
      <c r="C112" s="7" t="n"/>
      <c r="D112" s="39" t="n"/>
      <c r="E112" s="39" t="n"/>
      <c r="F112" s="7" t="n"/>
      <c r="G112" s="40" t="n"/>
      <c r="H112" s="39" t="n"/>
      <c r="I112" s="39" t="n"/>
    </row>
    <row r="113">
      <c r="A113" s="7" t="n"/>
      <c r="B113" s="7" t="n"/>
      <c r="C113" s="7" t="n"/>
      <c r="D113" s="39" t="n"/>
      <c r="E113" s="39" t="n"/>
      <c r="F113" s="7" t="n"/>
      <c r="G113" s="40" t="n"/>
      <c r="H113" s="39" t="n"/>
      <c r="I113" s="39" t="n"/>
    </row>
    <row r="114">
      <c r="A114" s="7" t="n"/>
      <c r="B114" s="7" t="n"/>
      <c r="C114" s="7" t="n"/>
      <c r="D114" s="39" t="n"/>
      <c r="E114" s="39" t="n"/>
      <c r="F114" s="7" t="n"/>
      <c r="G114" s="40" t="n"/>
      <c r="H114" s="39" t="n"/>
      <c r="I114" s="39" t="n"/>
    </row>
    <row r="115">
      <c r="A115" s="7" t="n"/>
      <c r="B115" s="7" t="n"/>
      <c r="C115" s="7" t="n"/>
      <c r="D115" s="39" t="n"/>
      <c r="E115" s="39" t="n"/>
      <c r="F115" s="7" t="n"/>
      <c r="G115" s="40" t="n"/>
      <c r="H115" s="39" t="n"/>
      <c r="I115" s="39" t="n"/>
    </row>
    <row r="116">
      <c r="A116" s="7" t="n"/>
      <c r="B116" s="7" t="n"/>
      <c r="C116" s="7" t="n"/>
      <c r="D116" s="39" t="n"/>
      <c r="E116" s="39" t="n"/>
      <c r="F116" s="7" t="n"/>
      <c r="G116" s="40" t="n"/>
      <c r="H116" s="39" t="n"/>
      <c r="I116" s="39" t="n"/>
    </row>
    <row r="117">
      <c r="A117" s="7" t="n"/>
      <c r="B117" s="7" t="n"/>
      <c r="C117" s="7" t="n"/>
      <c r="D117" s="39" t="n"/>
      <c r="E117" s="39" t="n"/>
      <c r="F117" s="7" t="n"/>
      <c r="G117" s="40" t="n"/>
      <c r="H117" s="39" t="n"/>
      <c r="I117" s="39" t="n"/>
    </row>
    <row r="118">
      <c r="A118" s="7" t="n"/>
      <c r="B118" s="7" t="n"/>
      <c r="C118" s="7" t="n"/>
      <c r="D118" s="39" t="n"/>
      <c r="E118" s="39" t="n"/>
      <c r="F118" s="7" t="n"/>
      <c r="G118" s="40" t="n"/>
      <c r="H118" s="39" t="n"/>
      <c r="I118" s="39" t="n"/>
    </row>
    <row r="119">
      <c r="A119" s="7" t="n"/>
      <c r="B119" s="7" t="n"/>
      <c r="C119" s="7" t="n"/>
      <c r="D119" s="39" t="n"/>
      <c r="E119" s="39" t="n"/>
      <c r="F119" s="7" t="n"/>
      <c r="G119" s="40" t="n"/>
      <c r="H119" s="39" t="n"/>
      <c r="I119" s="39" t="n"/>
    </row>
    <row r="120">
      <c r="A120" s="7" t="n"/>
      <c r="B120" s="7" t="n"/>
      <c r="C120" s="7" t="n"/>
      <c r="D120" s="39" t="n"/>
      <c r="E120" s="39" t="n"/>
      <c r="F120" s="7" t="n"/>
      <c r="G120" s="40" t="n"/>
      <c r="H120" s="39" t="n"/>
      <c r="I120" s="39" t="n"/>
    </row>
    <row r="121">
      <c r="A121" s="7" t="n"/>
      <c r="B121" s="7" t="n"/>
      <c r="C121" s="7" t="n"/>
      <c r="D121" s="39" t="n"/>
      <c r="E121" s="39" t="n"/>
      <c r="F121" s="7" t="n"/>
      <c r="G121" s="40" t="n"/>
      <c r="H121" s="39" t="n"/>
      <c r="I121" s="39" t="n"/>
    </row>
    <row r="122">
      <c r="A122" s="7" t="n"/>
      <c r="B122" s="7" t="n"/>
      <c r="C122" s="7" t="n"/>
      <c r="D122" s="39" t="n"/>
      <c r="E122" s="39" t="n"/>
      <c r="F122" s="7" t="n"/>
      <c r="G122" s="40" t="n"/>
      <c r="H122" s="39" t="n"/>
      <c r="I122" s="39" t="n"/>
    </row>
    <row r="123">
      <c r="A123" s="7" t="n"/>
      <c r="B123" s="7" t="n"/>
      <c r="C123" s="7" t="n"/>
      <c r="D123" s="39" t="n"/>
      <c r="E123" s="39" t="n"/>
      <c r="F123" s="7" t="n"/>
      <c r="G123" s="40" t="n"/>
      <c r="H123" s="39" t="n"/>
      <c r="I123" s="39" t="n"/>
    </row>
    <row r="124">
      <c r="A124" s="7" t="n"/>
      <c r="B124" s="7" t="n"/>
      <c r="C124" s="7" t="n"/>
      <c r="D124" s="39" t="n"/>
      <c r="E124" s="39" t="n"/>
      <c r="F124" s="7" t="n"/>
      <c r="G124" s="40" t="n"/>
      <c r="H124" s="39" t="n"/>
      <c r="I124" s="39" t="n"/>
    </row>
    <row r="125">
      <c r="A125" s="7" t="n"/>
      <c r="B125" s="7" t="n"/>
      <c r="C125" s="7" t="n"/>
      <c r="D125" s="39" t="n"/>
      <c r="E125" s="39" t="n"/>
      <c r="F125" s="7" t="n"/>
      <c r="G125" s="40" t="n"/>
      <c r="H125" s="39" t="n"/>
      <c r="I125" s="39" t="n"/>
    </row>
    <row r="126">
      <c r="A126" s="7" t="n"/>
      <c r="B126" s="7" t="n"/>
      <c r="C126" s="7" t="n"/>
      <c r="D126" s="39" t="n"/>
      <c r="E126" s="39" t="n"/>
      <c r="F126" s="7" t="n"/>
      <c r="G126" s="40" t="n"/>
      <c r="H126" s="39" t="n"/>
      <c r="I126" s="39" t="n"/>
    </row>
    <row r="127">
      <c r="A127" s="7" t="n"/>
      <c r="B127" s="7" t="n"/>
      <c r="C127" s="7" t="n"/>
      <c r="D127" s="39" t="n"/>
      <c r="E127" s="39" t="n"/>
      <c r="F127" s="7" t="n"/>
      <c r="G127" s="40" t="n"/>
      <c r="H127" s="39" t="n"/>
      <c r="I127" s="39" t="n"/>
    </row>
    <row r="128">
      <c r="A128" s="7" t="n"/>
      <c r="B128" s="7" t="n"/>
      <c r="C128" s="7" t="n"/>
      <c r="D128" s="39" t="n"/>
      <c r="E128" s="39" t="n"/>
      <c r="F128" s="7" t="n"/>
      <c r="G128" s="40" t="n"/>
      <c r="H128" s="39" t="n"/>
      <c r="I128" s="39" t="n"/>
    </row>
    <row r="129">
      <c r="A129" s="7" t="n"/>
      <c r="B129" s="7" t="n"/>
      <c r="C129" s="7" t="n"/>
      <c r="D129" s="39" t="n"/>
      <c r="E129" s="39" t="n"/>
      <c r="F129" s="7" t="n"/>
      <c r="G129" s="40" t="n"/>
      <c r="H129" s="39" t="n"/>
      <c r="I129" s="39" t="n"/>
    </row>
    <row r="130">
      <c r="A130" s="7" t="n"/>
      <c r="B130" s="7" t="n"/>
      <c r="C130" s="7" t="n"/>
      <c r="D130" s="39" t="n"/>
      <c r="E130" s="39" t="n"/>
      <c r="F130" s="7" t="n"/>
      <c r="G130" s="40" t="n"/>
      <c r="H130" s="39" t="n"/>
      <c r="I130" s="39" t="n"/>
    </row>
    <row r="131">
      <c r="A131" s="7" t="n"/>
      <c r="B131" s="7" t="n"/>
      <c r="C131" s="7" t="n"/>
      <c r="D131" s="39" t="n"/>
      <c r="E131" s="39" t="n"/>
      <c r="F131" s="7" t="n"/>
      <c r="G131" s="40" t="n"/>
      <c r="H131" s="39" t="n"/>
      <c r="I131" s="39" t="n"/>
    </row>
    <row r="132">
      <c r="A132" s="7" t="n"/>
      <c r="B132" s="7" t="n"/>
      <c r="C132" s="7" t="n"/>
      <c r="D132" s="39" t="n"/>
      <c r="E132" s="39" t="n"/>
      <c r="F132" s="7" t="n"/>
      <c r="G132" s="40" t="n"/>
      <c r="H132" s="39" t="n"/>
      <c r="I132" s="39" t="n"/>
    </row>
    <row r="133">
      <c r="A133" s="7" t="n"/>
      <c r="B133" s="7" t="n"/>
      <c r="C133" s="7" t="n"/>
      <c r="D133" s="39" t="n"/>
      <c r="E133" s="39" t="n"/>
      <c r="F133" s="7" t="n"/>
      <c r="G133" s="40" t="n"/>
      <c r="H133" s="39" t="n"/>
      <c r="I133" s="39" t="n"/>
    </row>
    <row r="134">
      <c r="A134" s="7" t="n"/>
      <c r="B134" s="7" t="n"/>
      <c r="C134" s="7" t="n"/>
      <c r="D134" s="39" t="n"/>
      <c r="E134" s="39" t="n"/>
      <c r="F134" s="7" t="n"/>
      <c r="G134" s="40" t="n"/>
      <c r="H134" s="39" t="n"/>
      <c r="I134" s="39" t="n"/>
    </row>
    <row r="135">
      <c r="A135" s="7" t="n"/>
      <c r="B135" s="7" t="n"/>
      <c r="C135" s="7" t="n"/>
      <c r="D135" s="39" t="n"/>
      <c r="E135" s="39" t="n"/>
      <c r="F135" s="7" t="n"/>
      <c r="G135" s="40" t="n"/>
      <c r="H135" s="39" t="n"/>
      <c r="I135" s="39" t="n"/>
    </row>
    <row r="136">
      <c r="A136" s="7" t="n"/>
      <c r="B136" s="7" t="n"/>
      <c r="C136" s="7" t="n"/>
      <c r="D136" s="39" t="n"/>
      <c r="E136" s="39" t="n"/>
      <c r="F136" s="7" t="n"/>
      <c r="G136" s="40" t="n"/>
      <c r="H136" s="39" t="n"/>
      <c r="I136" s="39" t="n"/>
    </row>
    <row r="137">
      <c r="A137" s="7" t="n"/>
      <c r="B137" s="7" t="n"/>
      <c r="C137" s="7" t="n"/>
      <c r="D137" s="39" t="n"/>
      <c r="E137" s="39" t="n"/>
      <c r="F137" s="7" t="n"/>
      <c r="G137" s="40" t="n"/>
      <c r="H137" s="39" t="n"/>
      <c r="I137" s="39" t="n"/>
    </row>
    <row r="138">
      <c r="A138" s="7" t="n"/>
      <c r="B138" s="7" t="n"/>
      <c r="C138" s="7" t="n"/>
      <c r="D138" s="39" t="n"/>
      <c r="E138" s="39" t="n"/>
      <c r="F138" s="7" t="n"/>
      <c r="G138" s="40" t="n"/>
      <c r="H138" s="39" t="n"/>
      <c r="I138" s="39" t="n"/>
    </row>
    <row r="139">
      <c r="A139" s="7" t="n"/>
      <c r="B139" s="7" t="n"/>
      <c r="C139" s="7" t="n"/>
      <c r="D139" s="39" t="n"/>
      <c r="E139" s="39" t="n"/>
      <c r="F139" s="7" t="n"/>
      <c r="G139" s="40" t="n"/>
      <c r="H139" s="39" t="n"/>
      <c r="I139" s="39" t="n"/>
    </row>
    <row r="140">
      <c r="A140" s="7" t="n"/>
      <c r="B140" s="7" t="n"/>
      <c r="C140" s="7" t="n"/>
      <c r="D140" s="39" t="n"/>
      <c r="E140" s="39" t="n"/>
      <c r="F140" s="7" t="n"/>
      <c r="G140" s="40" t="n"/>
      <c r="H140" s="39" t="n"/>
      <c r="I140" s="39" t="n"/>
    </row>
    <row r="141">
      <c r="A141" s="7" t="n"/>
      <c r="B141" s="7" t="n"/>
      <c r="C141" s="7" t="n"/>
      <c r="D141" s="39" t="n"/>
      <c r="E141" s="39" t="n"/>
      <c r="F141" s="7" t="n"/>
      <c r="G141" s="40" t="n"/>
      <c r="H141" s="39" t="n"/>
      <c r="I141" s="39" t="n"/>
    </row>
    <row r="142">
      <c r="A142" s="7" t="n"/>
      <c r="B142" s="7" t="n"/>
      <c r="C142" s="7" t="n"/>
      <c r="D142" s="39" t="n"/>
      <c r="E142" s="39" t="n"/>
      <c r="F142" s="7" t="n"/>
      <c r="G142" s="40" t="n"/>
      <c r="H142" s="39" t="n"/>
      <c r="I142" s="39" t="n"/>
    </row>
    <row r="143">
      <c r="A143" s="7" t="n"/>
      <c r="B143" s="7" t="n"/>
      <c r="C143" s="7" t="n"/>
      <c r="D143" s="39" t="n"/>
      <c r="E143" s="39" t="n"/>
      <c r="F143" s="7" t="n"/>
      <c r="G143" s="40" t="n"/>
      <c r="H143" s="39" t="n"/>
      <c r="I143" s="39" t="n"/>
    </row>
    <row r="144">
      <c r="A144" s="7" t="n"/>
      <c r="B144" s="7" t="n"/>
      <c r="C144" s="7" t="n"/>
      <c r="D144" s="39" t="n"/>
      <c r="E144" s="39" t="n"/>
      <c r="F144" s="7" t="n"/>
      <c r="G144" s="40" t="n"/>
      <c r="H144" s="39" t="n"/>
      <c r="I144" s="39" t="n"/>
    </row>
    <row r="145">
      <c r="A145" s="7" t="n"/>
      <c r="B145" s="7" t="n"/>
      <c r="C145" s="7" t="n"/>
      <c r="D145" s="39" t="n"/>
      <c r="E145" s="39" t="n"/>
      <c r="F145" s="7" t="n"/>
      <c r="G145" s="40" t="n"/>
      <c r="H145" s="39" t="n"/>
      <c r="I145" s="39" t="n"/>
    </row>
    <row r="146">
      <c r="A146" s="7" t="n"/>
      <c r="B146" s="7" t="n"/>
      <c r="C146" s="7" t="n"/>
      <c r="D146" s="39" t="n"/>
      <c r="E146" s="39" t="n"/>
      <c r="F146" s="7" t="n"/>
      <c r="G146" s="40" t="n"/>
      <c r="H146" s="39" t="n"/>
      <c r="I146" s="39" t="n"/>
    </row>
    <row r="147">
      <c r="A147" s="7" t="n"/>
      <c r="B147" s="7" t="n"/>
      <c r="C147" s="7" t="n"/>
      <c r="D147" s="39" t="n"/>
      <c r="E147" s="39" t="n"/>
      <c r="F147" s="7" t="n"/>
      <c r="G147" s="40" t="n"/>
      <c r="H147" s="39" t="n"/>
      <c r="I147" s="39" t="n"/>
    </row>
    <row r="148">
      <c r="A148" s="7" t="n"/>
      <c r="B148" s="7" t="n"/>
      <c r="C148" s="7" t="n"/>
      <c r="D148" s="39" t="n"/>
      <c r="E148" s="39" t="n"/>
      <c r="F148" s="7" t="n"/>
      <c r="G148" s="40" t="n"/>
      <c r="H148" s="39" t="n"/>
      <c r="I148" s="39" t="n"/>
    </row>
    <row r="149">
      <c r="A149" s="7" t="n"/>
      <c r="B149" s="7" t="n"/>
      <c r="C149" s="7" t="n"/>
      <c r="D149" s="39" t="n"/>
      <c r="E149" s="39" t="n"/>
      <c r="F149" s="7" t="n"/>
      <c r="G149" s="40" t="n"/>
      <c r="H149" s="39" t="n"/>
      <c r="I149" s="39" t="n"/>
    </row>
    <row r="150">
      <c r="A150" s="7" t="n"/>
      <c r="B150" s="7" t="n"/>
      <c r="C150" s="7" t="n"/>
      <c r="D150" s="39" t="n"/>
      <c r="E150" s="39" t="n"/>
      <c r="F150" s="7" t="n"/>
      <c r="G150" s="40" t="n"/>
      <c r="H150" s="39" t="n"/>
      <c r="I150" s="39" t="n"/>
    </row>
    <row r="151">
      <c r="A151" s="7" t="n"/>
      <c r="B151" s="7" t="n"/>
      <c r="C151" s="7" t="n"/>
      <c r="D151" s="39" t="n"/>
      <c r="E151" s="39" t="n"/>
      <c r="F151" s="7" t="n"/>
      <c r="G151" s="40" t="n"/>
      <c r="H151" s="39" t="n"/>
      <c r="I151" s="39" t="n"/>
    </row>
    <row r="152">
      <c r="A152" s="7" t="n"/>
      <c r="B152" s="7" t="n"/>
      <c r="C152" s="7" t="n"/>
      <c r="D152" s="39" t="n"/>
      <c r="E152" s="39" t="n"/>
      <c r="F152" s="7" t="n"/>
      <c r="G152" s="40" t="n"/>
      <c r="H152" s="39" t="n"/>
      <c r="I152" s="39" t="n"/>
    </row>
    <row r="153">
      <c r="A153" s="7" t="n"/>
      <c r="B153" s="7" t="n"/>
      <c r="C153" s="7" t="n"/>
      <c r="D153" s="39" t="n"/>
      <c r="E153" s="39" t="n"/>
      <c r="F153" s="7" t="n"/>
      <c r="G153" s="40" t="n"/>
      <c r="H153" s="39" t="n"/>
      <c r="I153" s="39" t="n"/>
    </row>
    <row r="154">
      <c r="A154" s="7" t="n"/>
      <c r="B154" s="7" t="n"/>
      <c r="C154" s="7" t="n"/>
      <c r="D154" s="39" t="n"/>
      <c r="E154" s="39" t="n"/>
      <c r="F154" s="7" t="n"/>
      <c r="G154" s="40" t="n"/>
      <c r="H154" s="39" t="n"/>
      <c r="I154" s="39" t="n"/>
    </row>
    <row r="155">
      <c r="A155" s="7" t="n"/>
      <c r="B155" s="7" t="n"/>
      <c r="C155" s="7" t="n"/>
      <c r="D155" s="39" t="n"/>
      <c r="E155" s="39" t="n"/>
      <c r="F155" s="7" t="n"/>
      <c r="G155" s="40" t="n"/>
      <c r="H155" s="39" t="n"/>
      <c r="I155" s="39" t="n"/>
    </row>
    <row r="156">
      <c r="A156" s="7" t="n"/>
      <c r="B156" s="7" t="n"/>
      <c r="C156" s="7" t="n"/>
      <c r="D156" s="39" t="n"/>
      <c r="E156" s="39" t="n"/>
      <c r="F156" s="7" t="n"/>
      <c r="G156" s="40" t="n"/>
      <c r="H156" s="39" t="n"/>
      <c r="I156" s="39" t="n"/>
    </row>
    <row r="157">
      <c r="A157" s="7" t="n"/>
      <c r="B157" s="7" t="n"/>
      <c r="C157" s="7" t="n"/>
      <c r="D157" s="39" t="n"/>
      <c r="E157" s="39" t="n"/>
      <c r="F157" s="7" t="n"/>
      <c r="G157" s="40" t="n"/>
      <c r="H157" s="39" t="n"/>
      <c r="I157" s="39" t="n"/>
    </row>
    <row r="158">
      <c r="A158" s="7" t="n"/>
      <c r="B158" s="7" t="n"/>
      <c r="C158" s="7" t="n"/>
      <c r="D158" s="39" t="n"/>
      <c r="E158" s="39" t="n"/>
      <c r="F158" s="7" t="n"/>
      <c r="G158" s="40" t="n"/>
      <c r="H158" s="39" t="n"/>
      <c r="I158" s="39" t="n"/>
    </row>
    <row r="159">
      <c r="A159" s="7" t="n"/>
      <c r="B159" s="7" t="n"/>
      <c r="C159" s="7" t="n"/>
      <c r="D159" s="39" t="n"/>
      <c r="E159" s="39" t="n"/>
      <c r="F159" s="7" t="n"/>
      <c r="G159" s="40" t="n"/>
      <c r="H159" s="39" t="n"/>
      <c r="I159" s="39" t="n"/>
    </row>
    <row r="160">
      <c r="A160" s="7" t="n"/>
      <c r="B160" s="7" t="n"/>
      <c r="C160" s="7" t="n"/>
      <c r="D160" s="39" t="n"/>
      <c r="E160" s="39" t="n"/>
      <c r="F160" s="7" t="n"/>
      <c r="G160" s="40" t="n"/>
      <c r="H160" s="39" t="n"/>
      <c r="I160" s="39" t="n"/>
    </row>
    <row r="161">
      <c r="A161" s="7" t="n"/>
      <c r="B161" s="7" t="n"/>
      <c r="C161" s="7" t="n"/>
      <c r="D161" s="39" t="n"/>
      <c r="E161" s="39" t="n"/>
      <c r="F161" s="7" t="n"/>
      <c r="G161" s="40" t="n"/>
      <c r="H161" s="39" t="n"/>
      <c r="I161" s="39" t="n"/>
    </row>
    <row r="162">
      <c r="A162" s="7" t="n"/>
      <c r="B162" s="7" t="n"/>
      <c r="C162" s="7" t="n"/>
      <c r="D162" s="39" t="n"/>
      <c r="E162" s="39" t="n"/>
      <c r="F162" s="7" t="n"/>
      <c r="G162" s="40" t="n"/>
      <c r="H162" s="39" t="n"/>
      <c r="I162" s="39" t="n"/>
    </row>
    <row r="163">
      <c r="A163" s="7" t="n"/>
      <c r="B163" s="7" t="n"/>
      <c r="C163" s="7" t="n"/>
      <c r="D163" s="39" t="n"/>
      <c r="E163" s="39" t="n"/>
      <c r="F163" s="7" t="n"/>
      <c r="G163" s="40" t="n"/>
      <c r="H163" s="39" t="n"/>
      <c r="I163" s="39" t="n"/>
    </row>
    <row r="164">
      <c r="A164" s="7" t="n"/>
      <c r="B164" s="7" t="n"/>
      <c r="C164" s="7" t="n"/>
      <c r="D164" s="39" t="n"/>
      <c r="E164" s="39" t="n"/>
      <c r="F164" s="7" t="n"/>
      <c r="G164" s="40" t="n"/>
      <c r="H164" s="39" t="n"/>
      <c r="I164" s="39" t="n"/>
    </row>
    <row r="165">
      <c r="A165" s="7" t="n"/>
      <c r="B165" s="7" t="n"/>
      <c r="C165" s="7" t="n"/>
      <c r="D165" s="39" t="n"/>
      <c r="E165" s="39" t="n"/>
      <c r="F165" s="7" t="n"/>
      <c r="G165" s="40" t="n"/>
      <c r="H165" s="39" t="n"/>
      <c r="I165" s="39" t="n"/>
    </row>
    <row r="166">
      <c r="A166" s="7" t="n"/>
      <c r="B166" s="7" t="n"/>
      <c r="C166" s="7" t="n"/>
      <c r="D166" s="39" t="n"/>
      <c r="E166" s="39" t="n"/>
      <c r="F166" s="7" t="n"/>
      <c r="G166" s="40" t="n"/>
      <c r="H166" s="39" t="n"/>
      <c r="I166" s="39" t="n"/>
    </row>
    <row r="167">
      <c r="A167" s="7" t="n"/>
      <c r="B167" s="7" t="n"/>
      <c r="C167" s="7" t="n"/>
      <c r="D167" s="39" t="n"/>
      <c r="E167" s="39" t="n"/>
      <c r="F167" s="7" t="n"/>
      <c r="G167" s="40" t="n"/>
      <c r="H167" s="39" t="n"/>
      <c r="I167" s="39" t="n"/>
    </row>
    <row r="168">
      <c r="A168" s="7" t="n"/>
      <c r="B168" s="7" t="n"/>
      <c r="C168" s="7" t="n"/>
      <c r="D168" s="39" t="n"/>
      <c r="E168" s="39" t="n"/>
      <c r="F168" s="7" t="n"/>
      <c r="G168" s="40" t="n"/>
      <c r="H168" s="39" t="n"/>
      <c r="I168" s="39" t="n"/>
    </row>
    <row r="169">
      <c r="A169" s="7" t="n"/>
      <c r="B169" s="7" t="n"/>
      <c r="C169" s="7" t="n"/>
      <c r="D169" s="39" t="n"/>
      <c r="E169" s="39" t="n"/>
      <c r="F169" s="7" t="n"/>
      <c r="G169" s="40" t="n"/>
      <c r="H169" s="39" t="n"/>
      <c r="I169" s="39" t="n"/>
    </row>
    <row r="170">
      <c r="A170" s="7" t="n"/>
      <c r="B170" s="7" t="n"/>
      <c r="C170" s="7" t="n"/>
      <c r="D170" s="39" t="n"/>
      <c r="E170" s="39" t="n"/>
      <c r="F170" s="7" t="n"/>
      <c r="G170" s="40" t="n"/>
      <c r="H170" s="39" t="n"/>
      <c r="I170" s="39" t="n"/>
    </row>
    <row r="171">
      <c r="A171" s="7" t="n"/>
      <c r="B171" s="7" t="n"/>
      <c r="C171" s="7" t="n"/>
      <c r="D171" s="39" t="n"/>
      <c r="E171" s="39" t="n"/>
      <c r="F171" s="7" t="n"/>
      <c r="G171" s="40" t="n"/>
      <c r="H171" s="39" t="n"/>
      <c r="I171" s="39" t="n"/>
    </row>
    <row r="172">
      <c r="A172" s="7" t="n"/>
      <c r="B172" s="7" t="n"/>
      <c r="C172" s="7" t="n"/>
      <c r="D172" s="39" t="n"/>
      <c r="E172" s="39" t="n"/>
      <c r="F172" s="7" t="n"/>
      <c r="G172" s="40" t="n"/>
      <c r="H172" s="39" t="n"/>
      <c r="I172" s="39" t="n"/>
    </row>
    <row r="173">
      <c r="A173" s="7" t="n"/>
      <c r="B173" s="7" t="n"/>
      <c r="C173" s="7" t="n"/>
      <c r="D173" s="39" t="n"/>
      <c r="E173" s="39" t="n"/>
      <c r="F173" s="7" t="n"/>
      <c r="G173" s="40" t="n"/>
      <c r="H173" s="39" t="n"/>
      <c r="I173" s="39" t="n"/>
    </row>
    <row r="174">
      <c r="A174" s="7" t="n"/>
      <c r="B174" s="7" t="n"/>
      <c r="C174" s="7" t="n"/>
      <c r="D174" s="39" t="n"/>
      <c r="E174" s="39" t="n"/>
      <c r="F174" s="7" t="n"/>
      <c r="G174" s="40" t="n"/>
      <c r="H174" s="39" t="n"/>
      <c r="I174" s="39" t="n"/>
    </row>
    <row r="175">
      <c r="A175" s="7" t="n"/>
      <c r="B175" s="7" t="n"/>
      <c r="C175" s="7" t="n"/>
      <c r="D175" s="39" t="n"/>
      <c r="E175" s="39" t="n"/>
      <c r="F175" s="7" t="n"/>
      <c r="G175" s="40" t="n"/>
      <c r="H175" s="39" t="n"/>
      <c r="I175" s="39" t="n"/>
    </row>
    <row r="176">
      <c r="A176" s="7" t="n"/>
      <c r="B176" s="7" t="n"/>
      <c r="C176" s="7" t="n"/>
      <c r="D176" s="39" t="n"/>
      <c r="E176" s="39" t="n"/>
      <c r="F176" s="7" t="n"/>
      <c r="G176" s="40" t="n"/>
      <c r="H176" s="39" t="n"/>
      <c r="I176" s="39" t="n"/>
    </row>
    <row r="177">
      <c r="A177" s="7" t="n"/>
      <c r="B177" s="7" t="n"/>
      <c r="C177" s="7" t="n"/>
      <c r="D177" s="39" t="n"/>
      <c r="E177" s="39" t="n"/>
      <c r="F177" s="7" t="n"/>
      <c r="G177" s="40" t="n"/>
      <c r="H177" s="39" t="n"/>
      <c r="I177" s="39" t="n"/>
    </row>
    <row r="178">
      <c r="A178" s="7" t="n"/>
      <c r="B178" s="7" t="n"/>
      <c r="C178" s="7" t="n"/>
      <c r="D178" s="39" t="n"/>
      <c r="E178" s="39" t="n"/>
      <c r="F178" s="7" t="n"/>
      <c r="G178" s="40" t="n"/>
      <c r="H178" s="39" t="n"/>
      <c r="I178" s="39" t="n"/>
    </row>
    <row r="179">
      <c r="A179" s="7" t="n"/>
      <c r="B179" s="7" t="n"/>
      <c r="C179" s="7" t="n"/>
      <c r="D179" s="39" t="n"/>
      <c r="E179" s="39" t="n"/>
      <c r="F179" s="7" t="n"/>
      <c r="G179" s="40" t="n"/>
      <c r="H179" s="39" t="n"/>
      <c r="I179" s="39" t="n"/>
    </row>
    <row r="180">
      <c r="A180" s="7" t="n"/>
      <c r="B180" s="7" t="n"/>
      <c r="C180" s="7" t="n"/>
      <c r="D180" s="39" t="n"/>
      <c r="E180" s="39" t="n"/>
      <c r="F180" s="7" t="n"/>
      <c r="G180" s="40" t="n"/>
      <c r="H180" s="39" t="n"/>
      <c r="I180" s="39" t="n"/>
    </row>
    <row r="181">
      <c r="A181" s="7" t="n"/>
      <c r="B181" s="7" t="n"/>
      <c r="C181" s="7" t="n"/>
      <c r="D181" s="39" t="n"/>
      <c r="E181" s="39" t="n"/>
      <c r="F181" s="7" t="n"/>
      <c r="G181" s="40" t="n"/>
      <c r="H181" s="39" t="n"/>
      <c r="I181" s="39" t="n"/>
    </row>
    <row r="182">
      <c r="A182" s="7" t="n"/>
      <c r="B182" s="7" t="n"/>
      <c r="C182" s="7" t="n"/>
      <c r="D182" s="39" t="n"/>
      <c r="E182" s="39" t="n"/>
      <c r="F182" s="7" t="n"/>
      <c r="G182" s="40" t="n"/>
      <c r="H182" s="39" t="n"/>
      <c r="I182" s="39" t="n"/>
    </row>
    <row r="183">
      <c r="A183" s="7" t="n"/>
      <c r="B183" s="7" t="n"/>
      <c r="C183" s="7" t="n"/>
      <c r="D183" s="39" t="n"/>
      <c r="E183" s="39" t="n"/>
      <c r="F183" s="7" t="n"/>
      <c r="G183" s="40" t="n"/>
      <c r="H183" s="39" t="n"/>
      <c r="I183" s="39" t="n"/>
    </row>
    <row r="184">
      <c r="A184" s="7" t="n"/>
      <c r="B184" s="7" t="n"/>
      <c r="C184" s="7" t="n"/>
      <c r="D184" s="39" t="n"/>
      <c r="E184" s="39" t="n"/>
      <c r="F184" s="7" t="n"/>
      <c r="G184" s="40" t="n"/>
      <c r="H184" s="39" t="n"/>
      <c r="I184" s="39" t="n"/>
    </row>
    <row r="185">
      <c r="A185" s="7" t="n"/>
      <c r="B185" s="7" t="n"/>
      <c r="C185" s="7" t="n"/>
      <c r="D185" s="39" t="n"/>
      <c r="E185" s="39" t="n"/>
      <c r="F185" s="7" t="n"/>
      <c r="G185" s="40" t="n"/>
      <c r="H185" s="39" t="n"/>
      <c r="I185" s="39" t="n"/>
    </row>
    <row r="186">
      <c r="A186" s="7" t="n"/>
      <c r="B186" s="7" t="n"/>
      <c r="C186" s="7" t="n"/>
      <c r="D186" s="39" t="n"/>
      <c r="E186" s="39" t="n"/>
      <c r="F186" s="7" t="n"/>
      <c r="G186" s="40" t="n"/>
      <c r="H186" s="39" t="n"/>
      <c r="I186" s="39" t="n"/>
    </row>
    <row r="187">
      <c r="A187" s="7" t="n"/>
      <c r="B187" s="7" t="n"/>
      <c r="C187" s="7" t="n"/>
      <c r="D187" s="39" t="n"/>
      <c r="E187" s="39" t="n"/>
      <c r="F187" s="7" t="n"/>
      <c r="G187" s="40" t="n"/>
      <c r="H187" s="39" t="n"/>
      <c r="I187" s="39" t="n"/>
    </row>
    <row r="188">
      <c r="A188" s="7" t="n"/>
      <c r="B188" s="7" t="n"/>
      <c r="C188" s="7" t="n"/>
      <c r="D188" s="39" t="n"/>
      <c r="E188" s="39" t="n"/>
      <c r="F188" s="7" t="n"/>
      <c r="G188" s="40" t="n"/>
      <c r="H188" s="39" t="n"/>
      <c r="I188" s="39" t="n"/>
    </row>
    <row r="189">
      <c r="A189" s="7" t="n"/>
      <c r="B189" s="7" t="n"/>
      <c r="C189" s="7" t="n"/>
      <c r="D189" s="39" t="n"/>
      <c r="E189" s="39" t="n"/>
      <c r="F189" s="7" t="n"/>
      <c r="G189" s="40" t="n"/>
      <c r="H189" s="39" t="n"/>
      <c r="I189" s="39" t="n"/>
    </row>
    <row r="190">
      <c r="A190" s="7" t="n"/>
      <c r="B190" s="7" t="n"/>
      <c r="C190" s="7" t="n"/>
      <c r="D190" s="39" t="n"/>
      <c r="E190" s="39" t="n"/>
      <c r="F190" s="7" t="n"/>
      <c r="G190" s="40" t="n"/>
      <c r="H190" s="39" t="n"/>
      <c r="I190" s="39" t="n"/>
    </row>
    <row r="191">
      <c r="A191" s="7" t="n"/>
      <c r="B191" s="7" t="n"/>
      <c r="C191" s="7" t="n"/>
      <c r="D191" s="39" t="n"/>
      <c r="E191" s="39" t="n"/>
      <c r="F191" s="7" t="n"/>
      <c r="G191" s="40" t="n"/>
      <c r="H191" s="39" t="n"/>
      <c r="I191" s="39" t="n"/>
    </row>
    <row r="192">
      <c r="A192" s="7" t="n"/>
      <c r="B192" s="7" t="n"/>
      <c r="C192" s="7" t="n"/>
      <c r="D192" s="39" t="n"/>
      <c r="E192" s="39" t="n"/>
      <c r="F192" s="7" t="n"/>
      <c r="G192" s="40" t="n"/>
      <c r="H192" s="39" t="n"/>
      <c r="I192" s="39" t="n"/>
    </row>
    <row r="193">
      <c r="A193" s="7" t="n"/>
      <c r="B193" s="7" t="n"/>
      <c r="C193" s="7" t="n"/>
      <c r="D193" s="39" t="n"/>
      <c r="E193" s="39" t="n"/>
      <c r="F193" s="7" t="n"/>
      <c r="G193" s="40" t="n"/>
      <c r="H193" s="39" t="n"/>
      <c r="I193" s="39" t="n"/>
    </row>
    <row r="194">
      <c r="A194" s="7" t="n"/>
      <c r="B194" s="7" t="n"/>
      <c r="C194" s="7" t="n"/>
      <c r="D194" s="39" t="n"/>
      <c r="E194" s="39" t="n"/>
      <c r="F194" s="7" t="n"/>
      <c r="G194" s="40" t="n"/>
      <c r="H194" s="39" t="n"/>
      <c r="I194" s="39" t="n"/>
    </row>
    <row r="195">
      <c r="A195" s="7" t="n"/>
      <c r="B195" s="7" t="n"/>
      <c r="C195" s="7" t="n"/>
      <c r="D195" s="39" t="n"/>
      <c r="E195" s="39" t="n"/>
      <c r="F195" s="7" t="n"/>
      <c r="G195" s="40" t="n"/>
      <c r="H195" s="39" t="n"/>
      <c r="I195" s="39" t="n"/>
    </row>
    <row r="196">
      <c r="A196" s="7" t="n"/>
      <c r="B196" s="7" t="n"/>
      <c r="C196" s="7" t="n"/>
      <c r="D196" s="39" t="n"/>
      <c r="E196" s="39" t="n"/>
      <c r="F196" s="7" t="n"/>
      <c r="G196" s="40" t="n"/>
      <c r="H196" s="39" t="n"/>
      <c r="I196" s="39" t="n"/>
    </row>
    <row r="197">
      <c r="A197" s="7" t="n"/>
      <c r="B197" s="7" t="n"/>
      <c r="C197" s="7" t="n"/>
      <c r="D197" s="39" t="n"/>
      <c r="E197" s="39" t="n"/>
      <c r="F197" s="7" t="n"/>
      <c r="G197" s="40" t="n"/>
      <c r="H197" s="39" t="n"/>
      <c r="I197" s="39" t="n"/>
    </row>
    <row r="198">
      <c r="A198" s="7" t="n"/>
      <c r="B198" s="7" t="n"/>
      <c r="C198" s="7" t="n"/>
      <c r="D198" s="39" t="n"/>
      <c r="E198" s="39" t="n"/>
      <c r="F198" s="7" t="n"/>
      <c r="G198" s="40" t="n"/>
      <c r="H198" s="39" t="n"/>
      <c r="I198" s="39" t="n"/>
    </row>
    <row r="199">
      <c r="A199" s="7" t="n"/>
      <c r="B199" s="7" t="n"/>
      <c r="C199" s="7" t="n"/>
      <c r="D199" s="39" t="n"/>
      <c r="E199" s="39" t="n"/>
      <c r="F199" s="7" t="n"/>
      <c r="G199" s="40" t="n"/>
      <c r="H199" s="39" t="n"/>
      <c r="I199" s="39" t="n"/>
    </row>
    <row r="200">
      <c r="A200" s="7" t="n"/>
      <c r="B200" s="7" t="n"/>
      <c r="C200" s="7" t="n"/>
      <c r="D200" s="39" t="n"/>
      <c r="E200" s="39" t="n"/>
      <c r="F200" s="7" t="n"/>
      <c r="G200" s="40" t="n"/>
      <c r="H200" s="39" t="n"/>
      <c r="I200" s="39" t="n"/>
    </row>
    <row r="201">
      <c r="A201" s="7" t="n"/>
      <c r="B201" s="7" t="n"/>
      <c r="C201" s="7" t="n"/>
      <c r="D201" s="39" t="n"/>
      <c r="E201" s="39" t="n"/>
      <c r="F201" s="7" t="n"/>
      <c r="G201" s="40" t="n"/>
      <c r="H201" s="39" t="n"/>
      <c r="I201" s="39" t="n"/>
    </row>
    <row r="202">
      <c r="A202" s="7" t="n"/>
      <c r="B202" s="7" t="n"/>
      <c r="C202" s="7" t="n"/>
      <c r="D202" s="39" t="n"/>
      <c r="E202" s="39" t="n"/>
      <c r="F202" s="7" t="n"/>
      <c r="G202" s="40" t="n"/>
      <c r="H202" s="39" t="n"/>
      <c r="I202" s="39" t="n"/>
    </row>
    <row r="203">
      <c r="A203" s="7" t="n"/>
      <c r="B203" s="7" t="n"/>
      <c r="C203" s="7" t="n"/>
      <c r="D203" s="39" t="n"/>
      <c r="E203" s="39" t="n"/>
      <c r="F203" s="7" t="n"/>
      <c r="G203" s="40" t="n"/>
      <c r="H203" s="39" t="n"/>
      <c r="I203" s="39" t="n"/>
    </row>
    <row r="204">
      <c r="A204" s="7" t="n"/>
      <c r="B204" s="7" t="n"/>
      <c r="C204" s="7" t="n"/>
      <c r="D204" s="39" t="n"/>
      <c r="E204" s="39" t="n"/>
      <c r="F204" s="7" t="n"/>
      <c r="G204" s="40" t="n"/>
      <c r="H204" s="39" t="n"/>
      <c r="I204" s="39" t="n"/>
    </row>
    <row r="205">
      <c r="A205" s="7" t="n"/>
      <c r="B205" s="7" t="n"/>
      <c r="C205" s="7" t="n"/>
      <c r="D205" s="39" t="n"/>
      <c r="E205" s="39" t="n"/>
      <c r="F205" s="7" t="n"/>
      <c r="G205" s="40" t="n"/>
      <c r="H205" s="39" t="n"/>
      <c r="I205" s="39" t="n"/>
    </row>
    <row r="206">
      <c r="A206" s="7" t="n"/>
      <c r="B206" s="7" t="n"/>
      <c r="C206" s="7" t="n"/>
      <c r="D206" s="39" t="n"/>
      <c r="E206" s="39" t="n"/>
      <c r="F206" s="7" t="n"/>
      <c r="G206" s="40" t="n"/>
      <c r="H206" s="39" t="n"/>
      <c r="I206" s="39" t="n"/>
    </row>
    <row r="207">
      <c r="A207" s="7" t="n"/>
      <c r="B207" s="7" t="n"/>
      <c r="C207" s="7" t="n"/>
      <c r="D207" s="39" t="n"/>
      <c r="E207" s="39" t="n"/>
      <c r="F207" s="7" t="n"/>
      <c r="G207" s="40" t="n"/>
      <c r="H207" s="39" t="n"/>
      <c r="I207" s="39" t="n"/>
    </row>
    <row r="208">
      <c r="A208" s="7" t="n"/>
      <c r="B208" s="7" t="n"/>
      <c r="C208" s="7" t="n"/>
      <c r="D208" s="39" t="n"/>
      <c r="E208" s="39" t="n"/>
      <c r="F208" s="7" t="n"/>
      <c r="G208" s="40" t="n"/>
      <c r="H208" s="39" t="n"/>
      <c r="I208" s="39" t="n"/>
    </row>
    <row r="209">
      <c r="A209" s="7" t="n"/>
      <c r="B209" s="7" t="n"/>
      <c r="C209" s="7" t="n"/>
      <c r="D209" s="39" t="n"/>
      <c r="E209" s="39" t="n"/>
      <c r="F209" s="7" t="n"/>
      <c r="G209" s="40" t="n"/>
      <c r="H209" s="39" t="n"/>
      <c r="I209" s="39" t="n"/>
    </row>
    <row r="210">
      <c r="A210" s="7" t="n"/>
      <c r="B210" s="7" t="n"/>
      <c r="C210" s="7" t="n"/>
      <c r="D210" s="39" t="n"/>
      <c r="E210" s="39" t="n"/>
      <c r="F210" s="7" t="n"/>
      <c r="G210" s="40" t="n"/>
      <c r="H210" s="39" t="n"/>
      <c r="I210" s="39" t="n"/>
    </row>
    <row r="211">
      <c r="A211" s="7" t="n"/>
      <c r="B211" s="7" t="n"/>
      <c r="C211" s="7" t="n"/>
      <c r="D211" s="39" t="n"/>
      <c r="E211" s="39" t="n"/>
      <c r="F211" s="7" t="n"/>
      <c r="G211" s="40" t="n"/>
      <c r="H211" s="39" t="n"/>
      <c r="I211" s="39" t="n"/>
    </row>
    <row r="212">
      <c r="A212" s="7" t="n"/>
      <c r="B212" s="7" t="n"/>
      <c r="C212" s="7" t="n"/>
      <c r="D212" s="39" t="n"/>
      <c r="E212" s="39" t="n"/>
      <c r="F212" s="7" t="n"/>
      <c r="G212" s="40" t="n"/>
      <c r="H212" s="39" t="n"/>
      <c r="I212" s="39" t="n"/>
    </row>
    <row r="213">
      <c r="A213" s="7" t="n"/>
      <c r="B213" s="7" t="n"/>
      <c r="C213" s="7" t="n"/>
      <c r="D213" s="39" t="n"/>
      <c r="E213" s="39" t="n"/>
      <c r="F213" s="7" t="n"/>
      <c r="G213" s="40" t="n"/>
      <c r="H213" s="39" t="n"/>
      <c r="I213" s="39" t="n"/>
    </row>
    <row r="214">
      <c r="A214" s="7" t="n"/>
      <c r="B214" s="7" t="n"/>
      <c r="C214" s="7" t="n"/>
      <c r="D214" s="39" t="n"/>
      <c r="E214" s="39" t="n"/>
      <c r="F214" s="7" t="n"/>
      <c r="G214" s="40" t="n"/>
      <c r="H214" s="39" t="n"/>
      <c r="I214" s="39" t="n"/>
    </row>
    <row r="215">
      <c r="A215" s="7" t="n"/>
      <c r="B215" s="7" t="n"/>
      <c r="C215" s="7" t="n"/>
      <c r="D215" s="39" t="n"/>
      <c r="E215" s="39" t="n"/>
      <c r="F215" s="7" t="n"/>
      <c r="G215" s="40" t="n"/>
      <c r="H215" s="39" t="n"/>
      <c r="I215" s="39" t="n"/>
    </row>
    <row r="216">
      <c r="A216" s="7" t="n"/>
      <c r="B216" s="7" t="n"/>
      <c r="C216" s="7" t="n"/>
      <c r="D216" s="39" t="n"/>
      <c r="E216" s="39" t="n"/>
      <c r="F216" s="7" t="n"/>
      <c r="G216" s="40" t="n"/>
      <c r="H216" s="39" t="n"/>
      <c r="I216" s="39" t="n"/>
    </row>
    <row r="217">
      <c r="A217" s="7" t="n"/>
      <c r="B217" s="7" t="n"/>
      <c r="C217" s="7" t="n"/>
      <c r="D217" s="39" t="n"/>
      <c r="E217" s="39" t="n"/>
      <c r="F217" s="7" t="n"/>
      <c r="G217" s="40" t="n"/>
      <c r="H217" s="39" t="n"/>
      <c r="I217" s="39" t="n"/>
    </row>
    <row r="218">
      <c r="A218" s="7" t="n"/>
      <c r="B218" s="7" t="n"/>
      <c r="C218" s="7" t="n"/>
      <c r="D218" s="39" t="n"/>
      <c r="E218" s="39" t="n"/>
      <c r="F218" s="7" t="n"/>
      <c r="G218" s="40" t="n"/>
      <c r="H218" s="39" t="n"/>
      <c r="I218" s="39" t="n"/>
    </row>
    <row r="219">
      <c r="A219" s="7" t="n"/>
      <c r="B219" s="7" t="n"/>
      <c r="C219" s="7" t="n"/>
      <c r="D219" s="39" t="n"/>
      <c r="E219" s="39" t="n"/>
      <c r="F219" s="7" t="n"/>
      <c r="G219" s="40" t="n"/>
      <c r="H219" s="39" t="n"/>
      <c r="I219" s="39" t="n"/>
    </row>
    <row r="220">
      <c r="A220" s="7" t="n"/>
      <c r="B220" s="7" t="n"/>
      <c r="C220" s="7" t="n"/>
      <c r="D220" s="39" t="n"/>
      <c r="E220" s="39" t="n"/>
      <c r="F220" s="7" t="n"/>
      <c r="G220" s="40" t="n"/>
      <c r="H220" s="39" t="n"/>
      <c r="I220" s="39" t="n"/>
    </row>
    <row r="221">
      <c r="A221" s="7" t="n"/>
      <c r="B221" s="7" t="n"/>
      <c r="C221" s="7" t="n"/>
      <c r="D221" s="39" t="n"/>
      <c r="E221" s="39" t="n"/>
      <c r="F221" s="7" t="n"/>
      <c r="G221" s="40" t="n"/>
      <c r="H221" s="39" t="n"/>
      <c r="I221" s="39" t="n"/>
    </row>
    <row r="222">
      <c r="A222" s="7" t="n"/>
      <c r="B222" s="7" t="n"/>
      <c r="C222" s="7" t="n"/>
      <c r="D222" s="39" t="n"/>
      <c r="E222" s="39" t="n"/>
      <c r="F222" s="7" t="n"/>
      <c r="G222" s="40" t="n"/>
      <c r="H222" s="39" t="n"/>
      <c r="I222" s="39" t="n"/>
    </row>
    <row r="223">
      <c r="A223" s="7" t="n"/>
      <c r="B223" s="7" t="n"/>
      <c r="C223" s="7" t="n"/>
      <c r="D223" s="39" t="n"/>
      <c r="E223" s="39" t="n"/>
      <c r="F223" s="7" t="n"/>
      <c r="G223" s="40" t="n"/>
      <c r="H223" s="39" t="n"/>
      <c r="I223" s="39" t="n"/>
    </row>
    <row r="224">
      <c r="A224" s="7" t="n"/>
      <c r="B224" s="7" t="n"/>
      <c r="C224" s="7" t="n"/>
      <c r="D224" s="39" t="n"/>
      <c r="E224" s="39" t="n"/>
      <c r="F224" s="7" t="n"/>
      <c r="G224" s="40" t="n"/>
      <c r="H224" s="39" t="n"/>
      <c r="I224" s="39" t="n"/>
    </row>
    <row r="225">
      <c r="A225" s="7" t="n"/>
      <c r="B225" s="7" t="n"/>
      <c r="C225" s="7" t="n"/>
      <c r="D225" s="39" t="n"/>
      <c r="E225" s="39" t="n"/>
      <c r="F225" s="7" t="n"/>
      <c r="G225" s="40" t="n"/>
      <c r="H225" s="39" t="n"/>
      <c r="I225" s="39" t="n"/>
    </row>
    <row r="226">
      <c r="A226" s="7" t="n"/>
      <c r="B226" s="7" t="n"/>
      <c r="C226" s="7" t="n"/>
      <c r="D226" s="39" t="n"/>
      <c r="E226" s="39" t="n"/>
      <c r="F226" s="7" t="n"/>
      <c r="G226" s="40" t="n"/>
      <c r="H226" s="39" t="n"/>
      <c r="I226" s="39" t="n"/>
    </row>
    <row r="227">
      <c r="A227" s="7" t="n"/>
      <c r="B227" s="7" t="n"/>
      <c r="C227" s="7" t="n"/>
      <c r="D227" s="39" t="n"/>
      <c r="E227" s="39" t="n"/>
      <c r="F227" s="7" t="n"/>
      <c r="G227" s="40" t="n"/>
      <c r="H227" s="39" t="n"/>
      <c r="I227" s="39" t="n"/>
    </row>
    <row r="228">
      <c r="A228" s="7" t="n"/>
      <c r="B228" s="7" t="n"/>
      <c r="C228" s="7" t="n"/>
      <c r="D228" s="39" t="n"/>
      <c r="E228" s="39" t="n"/>
      <c r="F228" s="7" t="n"/>
      <c r="G228" s="40" t="n"/>
      <c r="H228" s="39" t="n"/>
      <c r="I228" s="39" t="n"/>
    </row>
    <row r="229">
      <c r="A229" s="7" t="n"/>
      <c r="B229" s="7" t="n"/>
      <c r="C229" s="7" t="n"/>
      <c r="D229" s="39" t="n"/>
      <c r="E229" s="39" t="n"/>
      <c r="F229" s="7" t="n"/>
      <c r="G229" s="40" t="n"/>
      <c r="H229" s="39" t="n"/>
      <c r="I229" s="39" t="n"/>
    </row>
    <row r="230">
      <c r="A230" s="7" t="n"/>
      <c r="B230" s="7" t="n"/>
      <c r="C230" s="7" t="n"/>
      <c r="D230" s="39" t="n"/>
      <c r="E230" s="39" t="n"/>
      <c r="F230" s="7" t="n"/>
      <c r="G230" s="40" t="n"/>
      <c r="H230" s="39" t="n"/>
      <c r="I230" s="39" t="n"/>
    </row>
    <row r="231">
      <c r="A231" s="7" t="n"/>
      <c r="B231" s="7" t="n"/>
      <c r="C231" s="7" t="n"/>
      <c r="D231" s="39" t="n"/>
      <c r="E231" s="39" t="n"/>
      <c r="F231" s="7" t="n"/>
      <c r="G231" s="40" t="n"/>
      <c r="H231" s="39" t="n"/>
      <c r="I231" s="39" t="n"/>
    </row>
    <row r="232">
      <c r="A232" s="7" t="n"/>
      <c r="B232" s="7" t="n"/>
      <c r="C232" s="7" t="n"/>
      <c r="D232" s="39" t="n"/>
      <c r="E232" s="39" t="n"/>
      <c r="F232" s="7" t="n"/>
      <c r="G232" s="40" t="n"/>
      <c r="H232" s="39" t="n"/>
      <c r="I232" s="39" t="n"/>
    </row>
    <row r="233">
      <c r="A233" s="7" t="n"/>
      <c r="B233" s="7" t="n"/>
      <c r="C233" s="7" t="n"/>
      <c r="D233" s="39" t="n"/>
      <c r="E233" s="39" t="n"/>
      <c r="F233" s="7" t="n"/>
      <c r="G233" s="40" t="n"/>
      <c r="H233" s="39" t="n"/>
      <c r="I233" s="39" t="n"/>
    </row>
    <row r="234">
      <c r="A234" s="7" t="n"/>
      <c r="B234" s="7" t="n"/>
      <c r="C234" s="7" t="n"/>
      <c r="D234" s="39" t="n"/>
      <c r="E234" s="39" t="n"/>
      <c r="F234" s="7" t="n"/>
      <c r="G234" s="40" t="n"/>
      <c r="H234" s="39" t="n"/>
      <c r="I234" s="39" t="n"/>
    </row>
    <row r="235">
      <c r="A235" s="7" t="n"/>
      <c r="B235" s="7" t="n"/>
      <c r="C235" s="7" t="n"/>
      <c r="D235" s="39" t="n"/>
      <c r="E235" s="39" t="n"/>
      <c r="F235" s="7" t="n"/>
      <c r="G235" s="40" t="n"/>
      <c r="H235" s="39" t="n"/>
      <c r="I235" s="39" t="n"/>
    </row>
    <row r="236">
      <c r="A236" s="7" t="n"/>
      <c r="B236" s="7" t="n"/>
      <c r="C236" s="7" t="n"/>
      <c r="D236" s="39" t="n"/>
      <c r="E236" s="39" t="n"/>
      <c r="F236" s="7" t="n"/>
      <c r="G236" s="40" t="n"/>
      <c r="H236" s="39" t="n"/>
      <c r="I236" s="39" t="n"/>
    </row>
    <row r="237">
      <c r="A237" s="7" t="n"/>
      <c r="B237" s="7" t="n"/>
      <c r="C237" s="7" t="n"/>
      <c r="D237" s="39" t="n"/>
      <c r="E237" s="39" t="n"/>
      <c r="F237" s="7" t="n"/>
      <c r="G237" s="40" t="n"/>
      <c r="H237" s="39" t="n"/>
      <c r="I237" s="39" t="n"/>
    </row>
    <row r="238">
      <c r="A238" s="7" t="n"/>
      <c r="B238" s="7" t="n"/>
      <c r="C238" s="7" t="n"/>
      <c r="D238" s="39" t="n"/>
      <c r="E238" s="39" t="n"/>
      <c r="F238" s="7" t="n"/>
      <c r="G238" s="40" t="n"/>
      <c r="H238" s="39" t="n"/>
      <c r="I238" s="39" t="n"/>
    </row>
    <row r="239">
      <c r="A239" s="7" t="n"/>
      <c r="B239" s="7" t="n"/>
      <c r="C239" s="7" t="n"/>
      <c r="D239" s="39" t="n"/>
      <c r="E239" s="39" t="n"/>
      <c r="F239" s="7" t="n"/>
      <c r="G239" s="40" t="n"/>
      <c r="H239" s="39" t="n"/>
      <c r="I239" s="39" t="n"/>
    </row>
    <row r="240">
      <c r="A240" s="7" t="n"/>
      <c r="B240" s="7" t="n"/>
      <c r="C240" s="7" t="n"/>
      <c r="D240" s="39" t="n"/>
      <c r="E240" s="39" t="n"/>
      <c r="F240" s="7" t="n"/>
      <c r="G240" s="40" t="n"/>
      <c r="H240" s="39" t="n"/>
      <c r="I240" s="39" t="n"/>
    </row>
    <row r="241">
      <c r="A241" s="7" t="n"/>
      <c r="B241" s="7" t="n"/>
      <c r="C241" s="7" t="n"/>
      <c r="D241" s="39" t="n"/>
      <c r="E241" s="39" t="n"/>
      <c r="F241" s="7" t="n"/>
      <c r="G241" s="40" t="n"/>
      <c r="H241" s="39" t="n"/>
      <c r="I241" s="39" t="n"/>
    </row>
    <row r="242">
      <c r="A242" s="7" t="n"/>
      <c r="B242" s="7" t="n"/>
      <c r="C242" s="7" t="n"/>
      <c r="D242" s="39" t="n"/>
      <c r="E242" s="39" t="n"/>
      <c r="F242" s="7" t="n"/>
      <c r="G242" s="40" t="n"/>
      <c r="H242" s="39" t="n"/>
      <c r="I242" s="39" t="n"/>
    </row>
    <row r="243">
      <c r="A243" s="7" t="n"/>
      <c r="B243" s="7" t="n"/>
      <c r="C243" s="7" t="n"/>
      <c r="D243" s="39" t="n"/>
      <c r="E243" s="39" t="n"/>
      <c r="F243" s="7" t="n"/>
      <c r="G243" s="40" t="n"/>
      <c r="H243" s="39" t="n"/>
      <c r="I243" s="39" t="n"/>
    </row>
    <row r="244">
      <c r="A244" s="7" t="n"/>
      <c r="B244" s="7" t="n"/>
      <c r="C244" s="7" t="n"/>
      <c r="D244" s="39" t="n"/>
      <c r="E244" s="39" t="n"/>
      <c r="F244" s="7" t="n"/>
      <c r="G244" s="40" t="n"/>
      <c r="H244" s="39" t="n"/>
      <c r="I244" s="39" t="n"/>
    </row>
    <row r="245">
      <c r="A245" s="7" t="n"/>
      <c r="B245" s="7" t="n"/>
      <c r="C245" s="7" t="n"/>
      <c r="D245" s="39" t="n"/>
      <c r="E245" s="39" t="n"/>
      <c r="F245" s="7" t="n"/>
      <c r="G245" s="40" t="n"/>
      <c r="H245" s="39" t="n"/>
      <c r="I245" s="39" t="n"/>
    </row>
    <row r="246">
      <c r="A246" s="7" t="n"/>
      <c r="B246" s="7" t="n"/>
      <c r="C246" s="7" t="n"/>
      <c r="D246" s="39" t="n"/>
      <c r="E246" s="39" t="n"/>
      <c r="F246" s="7" t="n"/>
      <c r="G246" s="40" t="n"/>
      <c r="H246" s="39" t="n"/>
      <c r="I246" s="39" t="n"/>
    </row>
    <row r="247">
      <c r="A247" s="7" t="n"/>
      <c r="B247" s="7" t="n"/>
      <c r="C247" s="7" t="n"/>
      <c r="D247" s="39" t="n"/>
      <c r="E247" s="39" t="n"/>
      <c r="F247" s="7" t="n"/>
      <c r="G247" s="40" t="n"/>
      <c r="H247" s="39" t="n"/>
      <c r="I247" s="39" t="n"/>
    </row>
    <row r="248">
      <c r="A248" s="7" t="n"/>
      <c r="B248" s="7" t="n"/>
      <c r="C248" s="7" t="n"/>
      <c r="D248" s="39" t="n"/>
      <c r="E248" s="39" t="n"/>
      <c r="F248" s="7" t="n"/>
      <c r="G248" s="40" t="n"/>
      <c r="H248" s="39" t="n"/>
      <c r="I248" s="39" t="n"/>
    </row>
    <row r="249">
      <c r="A249" s="7" t="n"/>
      <c r="B249" s="7" t="n"/>
      <c r="C249" s="7" t="n"/>
      <c r="D249" s="39" t="n"/>
      <c r="E249" s="39" t="n"/>
      <c r="F249" s="7" t="n"/>
      <c r="G249" s="40" t="n"/>
      <c r="H249" s="39" t="n"/>
      <c r="I249" s="39" t="n"/>
    </row>
    <row r="250">
      <c r="A250" s="7" t="n"/>
      <c r="B250" s="7" t="n"/>
      <c r="C250" s="7" t="n"/>
      <c r="D250" s="39" t="n"/>
      <c r="E250" s="39" t="n"/>
      <c r="F250" s="7" t="n"/>
      <c r="G250" s="40" t="n"/>
      <c r="H250" s="39" t="n"/>
      <c r="I250" s="39" t="n"/>
    </row>
    <row r="251">
      <c r="A251" s="7" t="n"/>
      <c r="B251" s="7" t="n"/>
      <c r="C251" s="7" t="n"/>
      <c r="D251" s="39" t="n"/>
      <c r="E251" s="39" t="n"/>
      <c r="F251" s="7" t="n"/>
      <c r="G251" s="40" t="n"/>
      <c r="H251" s="39" t="n"/>
      <c r="I251" s="39" t="n"/>
    </row>
    <row r="252">
      <c r="A252" s="7" t="n"/>
      <c r="B252" s="7" t="n"/>
      <c r="C252" s="7" t="n"/>
      <c r="D252" s="39" t="n"/>
      <c r="E252" s="39" t="n"/>
      <c r="F252" s="7" t="n"/>
      <c r="G252" s="40" t="n"/>
      <c r="H252" s="39" t="n"/>
      <c r="I252" s="39" t="n"/>
    </row>
    <row r="253">
      <c r="A253" s="7" t="n"/>
      <c r="B253" s="7" t="n"/>
      <c r="C253" s="7" t="n"/>
      <c r="D253" s="39" t="n"/>
      <c r="E253" s="39" t="n"/>
      <c r="F253" s="7" t="n"/>
      <c r="G253" s="40" t="n"/>
      <c r="H253" s="39" t="n"/>
      <c r="I253" s="39" t="n"/>
    </row>
    <row r="254">
      <c r="A254" s="7" t="n"/>
      <c r="B254" s="7" t="n"/>
      <c r="C254" s="7" t="n"/>
      <c r="D254" s="39" t="n"/>
      <c r="E254" s="39" t="n"/>
      <c r="F254" s="7" t="n"/>
      <c r="G254" s="40" t="n"/>
      <c r="H254" s="39" t="n"/>
      <c r="I254" s="39" t="n"/>
    </row>
    <row r="255">
      <c r="A255" s="7" t="n"/>
      <c r="B255" s="7" t="n"/>
      <c r="C255" s="7" t="n"/>
      <c r="D255" s="39" t="n"/>
      <c r="E255" s="39" t="n"/>
      <c r="F255" s="7" t="n"/>
      <c r="G255" s="40" t="n"/>
      <c r="H255" s="39" t="n"/>
      <c r="I255" s="39" t="n"/>
    </row>
    <row r="256">
      <c r="A256" s="7" t="n"/>
      <c r="B256" s="7" t="n"/>
      <c r="C256" s="7" t="n"/>
      <c r="D256" s="39" t="n"/>
      <c r="E256" s="39" t="n"/>
      <c r="F256" s="7" t="n"/>
      <c r="G256" s="40" t="n"/>
      <c r="H256" s="39" t="n"/>
      <c r="I256" s="39" t="n"/>
    </row>
    <row r="257">
      <c r="A257" s="7" t="n"/>
      <c r="B257" s="7" t="n"/>
      <c r="C257" s="7" t="n"/>
      <c r="D257" s="39" t="n"/>
      <c r="E257" s="39" t="n"/>
      <c r="F257" s="7" t="n"/>
      <c r="G257" s="40" t="n"/>
      <c r="H257" s="39" t="n"/>
      <c r="I257" s="39" t="n"/>
    </row>
    <row r="258">
      <c r="A258" s="7" t="n"/>
      <c r="B258" s="7" t="n"/>
      <c r="C258" s="7" t="n"/>
      <c r="D258" s="39" t="n"/>
      <c r="E258" s="39" t="n"/>
      <c r="F258" s="7" t="n"/>
      <c r="G258" s="40" t="n"/>
      <c r="H258" s="39" t="n"/>
      <c r="I258" s="39" t="n"/>
    </row>
    <row r="259">
      <c r="A259" s="7" t="n"/>
      <c r="B259" s="7" t="n"/>
      <c r="C259" s="7" t="n"/>
      <c r="D259" s="39" t="n"/>
      <c r="E259" s="39" t="n"/>
      <c r="F259" s="7" t="n"/>
      <c r="G259" s="40" t="n"/>
      <c r="H259" s="39" t="n"/>
      <c r="I259" s="39" t="n"/>
    </row>
    <row r="260">
      <c r="A260" s="7" t="n"/>
      <c r="B260" s="7" t="n"/>
      <c r="C260" s="7" t="n"/>
      <c r="D260" s="39" t="n"/>
      <c r="E260" s="39" t="n"/>
      <c r="F260" s="7" t="n"/>
      <c r="G260" s="40" t="n"/>
      <c r="H260" s="39" t="n"/>
      <c r="I260" s="39" t="n"/>
    </row>
    <row r="261">
      <c r="A261" s="7" t="n"/>
      <c r="B261" s="7" t="n"/>
      <c r="C261" s="7" t="n"/>
      <c r="D261" s="39" t="n"/>
      <c r="E261" s="39" t="n"/>
      <c r="F261" s="7" t="n"/>
      <c r="G261" s="40" t="n"/>
      <c r="H261" s="39" t="n"/>
      <c r="I261" s="39" t="n"/>
    </row>
    <row r="262">
      <c r="A262" s="7" t="n"/>
      <c r="B262" s="7" t="n"/>
      <c r="C262" s="7" t="n"/>
      <c r="D262" s="39" t="n"/>
      <c r="E262" s="39" t="n"/>
      <c r="F262" s="7" t="n"/>
      <c r="G262" s="40" t="n"/>
      <c r="H262" s="39" t="n"/>
      <c r="I262" s="39" t="n"/>
    </row>
    <row r="263">
      <c r="A263" s="7" t="n"/>
      <c r="B263" s="7" t="n"/>
      <c r="C263" s="7" t="n"/>
      <c r="D263" s="39" t="n"/>
      <c r="E263" s="39" t="n"/>
      <c r="F263" s="7" t="n"/>
      <c r="G263" s="40" t="n"/>
      <c r="H263" s="39" t="n"/>
      <c r="I263" s="39" t="n"/>
    </row>
    <row r="264">
      <c r="A264" s="7" t="n"/>
      <c r="B264" s="7" t="n"/>
      <c r="C264" s="7" t="n"/>
      <c r="D264" s="39" t="n"/>
      <c r="E264" s="39" t="n"/>
      <c r="F264" s="7" t="n"/>
      <c r="G264" s="40" t="n"/>
      <c r="H264" s="39" t="n"/>
      <c r="I264" s="39" t="n"/>
    </row>
    <row r="265">
      <c r="A265" s="7" t="n"/>
      <c r="B265" s="7" t="n"/>
      <c r="C265" s="7" t="n"/>
      <c r="D265" s="39" t="n"/>
      <c r="E265" s="39" t="n"/>
      <c r="F265" s="7" t="n"/>
      <c r="G265" s="40" t="n"/>
      <c r="H265" s="39" t="n"/>
      <c r="I265" s="39" t="n"/>
    </row>
    <row r="266">
      <c r="A266" s="7" t="n"/>
      <c r="B266" s="7" t="n"/>
      <c r="C266" s="7" t="n"/>
      <c r="D266" s="39" t="n"/>
      <c r="E266" s="39" t="n"/>
      <c r="F266" s="7" t="n"/>
      <c r="G266" s="40" t="n"/>
      <c r="H266" s="39" t="n"/>
      <c r="I266" s="39" t="n"/>
    </row>
    <row r="267">
      <c r="A267" s="7" t="n"/>
      <c r="B267" s="7" t="n"/>
      <c r="C267" s="7" t="n"/>
      <c r="D267" s="39" t="n"/>
      <c r="E267" s="39" t="n"/>
      <c r="F267" s="7" t="n"/>
      <c r="G267" s="40" t="n"/>
      <c r="H267" s="39" t="n"/>
      <c r="I267" s="39" t="n"/>
    </row>
    <row r="268">
      <c r="A268" s="7" t="n"/>
      <c r="B268" s="7" t="n"/>
      <c r="C268" s="7" t="n"/>
      <c r="D268" s="39" t="n"/>
      <c r="E268" s="39" t="n"/>
      <c r="F268" s="7" t="n"/>
      <c r="G268" s="40" t="n"/>
      <c r="H268" s="39" t="n"/>
      <c r="I268" s="39" t="n"/>
    </row>
    <row r="269">
      <c r="A269" s="7" t="n"/>
      <c r="B269" s="7" t="n"/>
      <c r="C269" s="7" t="n"/>
      <c r="D269" s="39" t="n"/>
      <c r="E269" s="39" t="n"/>
      <c r="F269" s="7" t="n"/>
      <c r="G269" s="40" t="n"/>
      <c r="H269" s="39" t="n"/>
      <c r="I269" s="39" t="n"/>
    </row>
    <row r="270">
      <c r="A270" s="7" t="n"/>
      <c r="B270" s="7" t="n"/>
      <c r="C270" s="7" t="n"/>
      <c r="D270" s="39" t="n"/>
      <c r="E270" s="39" t="n"/>
      <c r="F270" s="7" t="n"/>
      <c r="G270" s="40" t="n"/>
      <c r="H270" s="39" t="n"/>
      <c r="I270" s="39" t="n"/>
    </row>
    <row r="271">
      <c r="A271" s="7" t="n"/>
      <c r="B271" s="7" t="n"/>
      <c r="C271" s="7" t="n"/>
      <c r="D271" s="39" t="n"/>
      <c r="E271" s="39" t="n"/>
      <c r="F271" s="7" t="n"/>
      <c r="G271" s="40" t="n"/>
      <c r="H271" s="39" t="n"/>
      <c r="I271" s="39" t="n"/>
    </row>
    <row r="272">
      <c r="A272" s="7" t="n"/>
      <c r="B272" s="7" t="n"/>
      <c r="C272" s="7" t="n"/>
      <c r="D272" s="39" t="n"/>
      <c r="E272" s="39" t="n"/>
      <c r="F272" s="7" t="n"/>
      <c r="G272" s="40" t="n"/>
      <c r="H272" s="39" t="n"/>
      <c r="I272" s="39" t="n"/>
    </row>
    <row r="273">
      <c r="A273" s="7" t="n"/>
      <c r="B273" s="7" t="n"/>
      <c r="C273" s="7" t="n"/>
      <c r="D273" s="39" t="n"/>
      <c r="E273" s="39" t="n"/>
      <c r="F273" s="7" t="n"/>
      <c r="G273" s="40" t="n"/>
      <c r="H273" s="39" t="n"/>
      <c r="I273" s="39" t="n"/>
    </row>
    <row r="274">
      <c r="A274" s="7" t="n"/>
      <c r="B274" s="7" t="n"/>
      <c r="C274" s="7" t="n"/>
      <c r="D274" s="39" t="n"/>
      <c r="E274" s="39" t="n"/>
      <c r="F274" s="7" t="n"/>
      <c r="G274" s="40" t="n"/>
      <c r="H274" s="39" t="n"/>
      <c r="I274" s="39" t="n"/>
    </row>
    <row r="275">
      <c r="A275" s="7" t="n"/>
      <c r="B275" s="7" t="n"/>
      <c r="C275" s="7" t="n"/>
      <c r="D275" s="39" t="n"/>
      <c r="E275" s="39" t="n"/>
      <c r="F275" s="7" t="n"/>
      <c r="G275" s="40" t="n"/>
      <c r="H275" s="39" t="n"/>
      <c r="I275" s="39" t="n"/>
    </row>
    <row r="276">
      <c r="A276" s="7" t="n"/>
      <c r="B276" s="7" t="n"/>
      <c r="C276" s="7" t="n"/>
      <c r="D276" s="39" t="n"/>
      <c r="E276" s="39" t="n"/>
      <c r="F276" s="7" t="n"/>
      <c r="G276" s="40" t="n"/>
      <c r="H276" s="39" t="n"/>
      <c r="I276" s="39" t="n"/>
    </row>
    <row r="277">
      <c r="A277" s="7" t="n"/>
      <c r="B277" s="7" t="n"/>
      <c r="C277" s="7" t="n"/>
      <c r="D277" s="39" t="n"/>
      <c r="E277" s="39" t="n"/>
      <c r="F277" s="7" t="n"/>
      <c r="G277" s="40" t="n"/>
      <c r="H277" s="39" t="n"/>
      <c r="I277" s="39" t="n"/>
    </row>
    <row r="278">
      <c r="A278" s="7" t="n"/>
      <c r="B278" s="7" t="n"/>
      <c r="C278" s="7" t="n"/>
      <c r="D278" s="39" t="n"/>
      <c r="E278" s="39" t="n"/>
      <c r="F278" s="7" t="n"/>
      <c r="G278" s="40" t="n"/>
      <c r="H278" s="39" t="n"/>
      <c r="I278" s="39" t="n"/>
    </row>
    <row r="279">
      <c r="A279" s="7" t="n"/>
      <c r="B279" s="7" t="n"/>
      <c r="C279" s="7" t="n"/>
      <c r="D279" s="39" t="n"/>
      <c r="E279" s="39" t="n"/>
      <c r="F279" s="7" t="n"/>
      <c r="G279" s="40" t="n"/>
      <c r="H279" s="39" t="n"/>
      <c r="I279" s="39" t="n"/>
    </row>
    <row r="280">
      <c r="A280" s="7" t="n"/>
      <c r="B280" s="7" t="n"/>
      <c r="C280" s="7" t="n"/>
      <c r="D280" s="39" t="n"/>
      <c r="E280" s="39" t="n"/>
      <c r="F280" s="7" t="n"/>
      <c r="G280" s="40" t="n"/>
      <c r="H280" s="39" t="n"/>
      <c r="I280" s="39" t="n"/>
    </row>
    <row r="281">
      <c r="A281" s="7" t="n"/>
      <c r="B281" s="7" t="n"/>
      <c r="C281" s="7" t="n"/>
      <c r="D281" s="39" t="n"/>
      <c r="E281" s="39" t="n"/>
      <c r="F281" s="7" t="n"/>
      <c r="G281" s="40" t="n"/>
      <c r="H281" s="39" t="n"/>
      <c r="I281" s="39" t="n"/>
    </row>
    <row r="282">
      <c r="A282" s="7" t="n"/>
      <c r="B282" s="7" t="n"/>
      <c r="C282" s="7" t="n"/>
      <c r="D282" s="39" t="n"/>
      <c r="E282" s="39" t="n"/>
      <c r="F282" s="7" t="n"/>
      <c r="G282" s="40" t="n"/>
      <c r="H282" s="39" t="n"/>
      <c r="I282" s="39" t="n"/>
    </row>
    <row r="283">
      <c r="A283" s="7" t="n"/>
      <c r="B283" s="7" t="n"/>
      <c r="C283" s="7" t="n"/>
      <c r="D283" s="39" t="n"/>
      <c r="E283" s="39" t="n"/>
      <c r="F283" s="7" t="n"/>
      <c r="G283" s="40" t="n"/>
      <c r="H283" s="39" t="n"/>
      <c r="I283" s="39" t="n"/>
    </row>
    <row r="284">
      <c r="A284" s="7" t="n"/>
      <c r="B284" s="7" t="n"/>
      <c r="C284" s="7" t="n"/>
      <c r="D284" s="39" t="n"/>
      <c r="E284" s="39" t="n"/>
      <c r="F284" s="7" t="n"/>
      <c r="G284" s="40" t="n"/>
      <c r="H284" s="39" t="n"/>
      <c r="I284" s="39" t="n"/>
    </row>
    <row r="285">
      <c r="A285" s="7" t="n"/>
      <c r="B285" s="7" t="n"/>
      <c r="C285" s="7" t="n"/>
      <c r="D285" s="39" t="n"/>
      <c r="E285" s="39" t="n"/>
      <c r="F285" s="7" t="n"/>
      <c r="G285" s="40" t="n"/>
      <c r="H285" s="39" t="n"/>
      <c r="I285" s="39" t="n"/>
    </row>
    <row r="286">
      <c r="A286" s="7" t="n"/>
      <c r="B286" s="7" t="n"/>
      <c r="C286" s="7" t="n"/>
      <c r="D286" s="39" t="n"/>
      <c r="E286" s="39" t="n"/>
      <c r="F286" s="7" t="n"/>
      <c r="G286" s="40" t="n"/>
      <c r="H286" s="39" t="n"/>
      <c r="I286" s="39" t="n"/>
    </row>
    <row r="287">
      <c r="A287" s="7" t="n"/>
      <c r="B287" s="7" t="n"/>
      <c r="C287" s="7" t="n"/>
      <c r="D287" s="39" t="n"/>
      <c r="E287" s="39" t="n"/>
      <c r="F287" s="7" t="n"/>
      <c r="G287" s="40" t="n"/>
      <c r="H287" s="39" t="n"/>
      <c r="I287" s="39" t="n"/>
    </row>
    <row r="288">
      <c r="A288" s="7" t="n"/>
      <c r="B288" s="7" t="n"/>
      <c r="C288" s="7" t="n"/>
      <c r="D288" s="39" t="n"/>
      <c r="E288" s="39" t="n"/>
      <c r="F288" s="7" t="n"/>
      <c r="G288" s="40" t="n"/>
      <c r="H288" s="39" t="n"/>
      <c r="I288" s="39" t="n"/>
    </row>
    <row r="289">
      <c r="A289" s="7" t="n"/>
      <c r="B289" s="7" t="n"/>
      <c r="C289" s="7" t="n"/>
      <c r="D289" s="39" t="n"/>
      <c r="E289" s="39" t="n"/>
      <c r="F289" s="7" t="n"/>
      <c r="G289" s="40" t="n"/>
      <c r="H289" s="39" t="n"/>
      <c r="I289" s="39" t="n"/>
    </row>
    <row r="290">
      <c r="A290" s="7" t="n"/>
      <c r="B290" s="7" t="n"/>
      <c r="C290" s="7" t="n"/>
      <c r="D290" s="39" t="n"/>
      <c r="E290" s="39" t="n"/>
      <c r="F290" s="7" t="n"/>
      <c r="G290" s="40" t="n"/>
      <c r="H290" s="39" t="n"/>
      <c r="I290" s="39" t="n"/>
    </row>
    <row r="291">
      <c r="A291" s="7" t="n"/>
      <c r="B291" s="7" t="n"/>
      <c r="C291" s="7" t="n"/>
      <c r="D291" s="39" t="n"/>
      <c r="E291" s="39" t="n"/>
      <c r="F291" s="7" t="n"/>
      <c r="G291" s="40" t="n"/>
      <c r="H291" s="39" t="n"/>
      <c r="I291" s="39" t="n"/>
    </row>
    <row r="292">
      <c r="A292" s="7" t="n"/>
      <c r="B292" s="7" t="n"/>
      <c r="C292" s="7" t="n"/>
      <c r="D292" s="39" t="n"/>
      <c r="E292" s="39" t="n"/>
      <c r="F292" s="7" t="n"/>
      <c r="G292" s="40" t="n"/>
      <c r="H292" s="39" t="n"/>
      <c r="I292" s="39" t="n"/>
    </row>
    <row r="293">
      <c r="A293" s="7" t="n"/>
      <c r="B293" s="7" t="n"/>
      <c r="C293" s="7" t="n"/>
      <c r="D293" s="39" t="n"/>
      <c r="E293" s="39" t="n"/>
      <c r="F293" s="7" t="n"/>
      <c r="G293" s="40" t="n"/>
      <c r="H293" s="39" t="n"/>
      <c r="I293" s="39" t="n"/>
    </row>
    <row r="294">
      <c r="A294" s="7" t="n"/>
      <c r="B294" s="7" t="n"/>
      <c r="C294" s="7" t="n"/>
      <c r="D294" s="39" t="n"/>
      <c r="E294" s="39" t="n"/>
      <c r="F294" s="7" t="n"/>
      <c r="G294" s="40" t="n"/>
      <c r="H294" s="39" t="n"/>
      <c r="I294" s="39" t="n"/>
    </row>
    <row r="295">
      <c r="A295" s="7" t="n"/>
      <c r="B295" s="7" t="n"/>
      <c r="C295" s="7" t="n"/>
      <c r="D295" s="39" t="n"/>
      <c r="E295" s="39" t="n"/>
      <c r="F295" s="7" t="n"/>
      <c r="G295" s="40" t="n"/>
      <c r="H295" s="39" t="n"/>
      <c r="I295" s="39" t="n"/>
    </row>
    <row r="296">
      <c r="A296" s="7" t="n"/>
      <c r="B296" s="7" t="n"/>
      <c r="C296" s="7" t="n"/>
      <c r="D296" s="39" t="n"/>
      <c r="E296" s="39" t="n"/>
      <c r="F296" s="7" t="n"/>
      <c r="G296" s="40" t="n"/>
      <c r="H296" s="39" t="n"/>
      <c r="I296" s="39" t="n"/>
    </row>
    <row r="297">
      <c r="A297" s="7" t="n"/>
      <c r="B297" s="7" t="n"/>
      <c r="C297" s="7" t="n"/>
      <c r="D297" s="39" t="n"/>
      <c r="E297" s="39" t="n"/>
      <c r="F297" s="7" t="n"/>
      <c r="G297" s="40" t="n"/>
      <c r="H297" s="39" t="n"/>
      <c r="I297" s="39" t="n"/>
    </row>
    <row r="298">
      <c r="A298" s="7" t="n"/>
      <c r="B298" s="7" t="n"/>
      <c r="C298" s="7" t="n"/>
      <c r="D298" s="39" t="n"/>
      <c r="E298" s="39" t="n"/>
      <c r="F298" s="7" t="n"/>
      <c r="G298" s="40" t="n"/>
      <c r="H298" s="39" t="n"/>
      <c r="I298" s="39" t="n"/>
    </row>
    <row r="299">
      <c r="A299" s="7" t="n"/>
      <c r="B299" s="7" t="n"/>
      <c r="C299" s="7" t="n"/>
      <c r="D299" s="39" t="n"/>
      <c r="E299" s="39" t="n"/>
      <c r="F299" s="7" t="n"/>
      <c r="G299" s="40" t="n"/>
      <c r="H299" s="39" t="n"/>
      <c r="I299" s="39" t="n"/>
    </row>
    <row r="300">
      <c r="A300" s="7" t="n"/>
      <c r="B300" s="7" t="n"/>
      <c r="C300" s="7" t="n"/>
      <c r="D300" s="39" t="n"/>
      <c r="E300" s="39" t="n"/>
      <c r="F300" s="7" t="n"/>
      <c r="G300" s="40" t="n"/>
      <c r="H300" s="39" t="n"/>
      <c r="I300" s="39" t="n"/>
    </row>
    <row r="301">
      <c r="A301" s="7" t="n"/>
      <c r="B301" s="7" t="n"/>
      <c r="C301" s="7" t="n"/>
      <c r="D301" s="39" t="n"/>
      <c r="E301" s="39" t="n"/>
      <c r="F301" s="7" t="n"/>
      <c r="G301" s="40" t="n"/>
      <c r="H301" s="39" t="n"/>
      <c r="I301" s="39" t="n"/>
    </row>
    <row r="302">
      <c r="A302" s="7" t="n"/>
      <c r="B302" s="7" t="n"/>
      <c r="C302" s="7" t="n"/>
      <c r="D302" s="39" t="n"/>
      <c r="E302" s="39" t="n"/>
      <c r="F302" s="7" t="n"/>
      <c r="G302" s="40" t="n"/>
      <c r="H302" s="39" t="n"/>
      <c r="I302" s="39" t="n"/>
    </row>
    <row r="303">
      <c r="A303" s="7" t="n"/>
      <c r="B303" s="7" t="n"/>
      <c r="C303" s="7" t="n"/>
      <c r="D303" s="39" t="n"/>
      <c r="E303" s="39" t="n"/>
      <c r="F303" s="7" t="n"/>
      <c r="G303" s="40" t="n"/>
      <c r="H303" s="39" t="n"/>
      <c r="I303" s="39" t="n"/>
    </row>
    <row r="304">
      <c r="A304" s="7" t="n"/>
      <c r="B304" s="7" t="n"/>
      <c r="C304" s="7" t="n"/>
      <c r="D304" s="39" t="n"/>
      <c r="E304" s="39" t="n"/>
      <c r="F304" s="7" t="n"/>
      <c r="G304" s="40" t="n"/>
      <c r="H304" s="39" t="n"/>
      <c r="I304" s="39" t="n"/>
    </row>
    <row r="305">
      <c r="A305" s="7" t="n"/>
      <c r="B305" s="7" t="n"/>
      <c r="C305" s="7" t="n"/>
      <c r="D305" s="39" t="n"/>
      <c r="E305" s="39" t="n"/>
      <c r="F305" s="7" t="n"/>
      <c r="G305" s="40" t="n"/>
      <c r="H305" s="39" t="n"/>
      <c r="I305" s="39" t="n"/>
    </row>
    <row r="306">
      <c r="A306" s="7" t="n"/>
      <c r="B306" s="7" t="n"/>
      <c r="C306" s="7" t="n"/>
      <c r="D306" s="39" t="n"/>
      <c r="E306" s="39" t="n"/>
      <c r="F306" s="7" t="n"/>
      <c r="G306" s="40" t="n"/>
      <c r="H306" s="39" t="n"/>
      <c r="I306" s="39" t="n"/>
    </row>
    <row r="307">
      <c r="A307" s="7" t="n"/>
      <c r="B307" s="7" t="n"/>
      <c r="C307" s="7" t="n"/>
      <c r="D307" s="39" t="n"/>
      <c r="E307" s="39" t="n"/>
      <c r="F307" s="7" t="n"/>
      <c r="G307" s="40" t="n"/>
      <c r="H307" s="39" t="n"/>
      <c r="I307" s="39" t="n"/>
    </row>
    <row r="308">
      <c r="A308" s="7" t="n"/>
      <c r="B308" s="7" t="n"/>
      <c r="C308" s="7" t="n"/>
      <c r="D308" s="39" t="n"/>
      <c r="E308" s="39" t="n"/>
      <c r="F308" s="7" t="n"/>
      <c r="G308" s="40" t="n"/>
      <c r="H308" s="39" t="n"/>
      <c r="I308" s="39" t="n"/>
    </row>
    <row r="309">
      <c r="A309" s="7" t="n"/>
      <c r="B309" s="7" t="n"/>
      <c r="C309" s="7" t="n"/>
      <c r="D309" s="39" t="n"/>
      <c r="E309" s="39" t="n"/>
      <c r="F309" s="7" t="n"/>
      <c r="G309" s="40" t="n"/>
      <c r="H309" s="39" t="n"/>
      <c r="I309" s="39" t="n"/>
    </row>
    <row r="310">
      <c r="A310" s="7" t="n"/>
      <c r="B310" s="7" t="n"/>
      <c r="C310" s="7" t="n"/>
      <c r="D310" s="39" t="n"/>
      <c r="E310" s="39" t="n"/>
      <c r="F310" s="7" t="n"/>
      <c r="G310" s="40" t="n"/>
      <c r="H310" s="39" t="n"/>
      <c r="I310" s="39" t="n"/>
    </row>
    <row r="311">
      <c r="A311" s="7" t="n"/>
      <c r="B311" s="7" t="n"/>
      <c r="C311" s="7" t="n"/>
      <c r="D311" s="39" t="n"/>
      <c r="E311" s="39" t="n"/>
      <c r="F311" s="7" t="n"/>
      <c r="G311" s="40" t="n"/>
      <c r="H311" s="39" t="n"/>
      <c r="I311" s="39" t="n"/>
    </row>
    <row r="312">
      <c r="A312" s="7" t="n"/>
      <c r="B312" s="7" t="n"/>
      <c r="C312" s="7" t="n"/>
      <c r="D312" s="39" t="n"/>
      <c r="E312" s="39" t="n"/>
      <c r="F312" s="7" t="n"/>
      <c r="G312" s="40" t="n"/>
      <c r="H312" s="39" t="n"/>
      <c r="I312" s="39" t="n"/>
    </row>
    <row r="313">
      <c r="A313" s="7" t="n"/>
      <c r="B313" s="7" t="n"/>
      <c r="C313" s="7" t="n"/>
      <c r="D313" s="39" t="n"/>
      <c r="E313" s="39" t="n"/>
      <c r="F313" s="7" t="n"/>
      <c r="G313" s="40" t="n"/>
      <c r="H313" s="39" t="n"/>
      <c r="I313" s="39" t="n"/>
    </row>
    <row r="314">
      <c r="A314" s="7" t="n"/>
      <c r="B314" s="7" t="n"/>
      <c r="C314" s="7" t="n"/>
      <c r="D314" s="39" t="n"/>
      <c r="E314" s="39" t="n"/>
      <c r="F314" s="7" t="n"/>
      <c r="G314" s="40" t="n"/>
      <c r="H314" s="39" t="n"/>
      <c r="I314" s="39" t="n"/>
    </row>
    <row r="315">
      <c r="A315" s="7" t="n"/>
      <c r="B315" s="7" t="n"/>
      <c r="C315" s="7" t="n"/>
      <c r="D315" s="39" t="n"/>
      <c r="E315" s="39" t="n"/>
      <c r="F315" s="7" t="n"/>
      <c r="G315" s="40" t="n"/>
      <c r="H315" s="39" t="n"/>
      <c r="I315" s="39" t="n"/>
    </row>
    <row r="316">
      <c r="A316" s="7" t="n"/>
      <c r="B316" s="7" t="n"/>
      <c r="C316" s="7" t="n"/>
      <c r="D316" s="39" t="n"/>
      <c r="E316" s="39" t="n"/>
      <c r="F316" s="7" t="n"/>
      <c r="G316" s="40" t="n"/>
      <c r="H316" s="39" t="n"/>
      <c r="I316" s="39" t="n"/>
    </row>
    <row r="317">
      <c r="A317" s="7" t="n"/>
      <c r="B317" s="7" t="n"/>
      <c r="C317" s="7" t="n"/>
      <c r="D317" s="39" t="n"/>
      <c r="E317" s="39" t="n"/>
      <c r="F317" s="7" t="n"/>
      <c r="G317" s="40" t="n"/>
      <c r="H317" s="39" t="n"/>
      <c r="I317" s="39" t="n"/>
    </row>
    <row r="318">
      <c r="A318" s="7" t="n"/>
      <c r="B318" s="7" t="n"/>
      <c r="C318" s="7" t="n"/>
      <c r="D318" s="39" t="n"/>
      <c r="E318" s="39" t="n"/>
      <c r="F318" s="7" t="n"/>
      <c r="G318" s="40" t="n"/>
      <c r="H318" s="39" t="n"/>
      <c r="I318" s="39" t="n"/>
    </row>
    <row r="319">
      <c r="A319" s="7" t="n"/>
      <c r="B319" s="7" t="n"/>
      <c r="C319" s="7" t="n"/>
      <c r="D319" s="39" t="n"/>
      <c r="E319" s="39" t="n"/>
      <c r="F319" s="7" t="n"/>
      <c r="G319" s="40" t="n"/>
      <c r="H319" s="39" t="n"/>
      <c r="I319" s="39" t="n"/>
    </row>
    <row r="320">
      <c r="A320" s="7" t="n"/>
      <c r="B320" s="7" t="n"/>
      <c r="C320" s="7" t="n"/>
      <c r="D320" s="39" t="n"/>
      <c r="E320" s="39" t="n"/>
      <c r="F320" s="7" t="n"/>
      <c r="G320" s="40" t="n"/>
      <c r="H320" s="39" t="n"/>
      <c r="I320" s="39" t="n"/>
    </row>
    <row r="321">
      <c r="A321" s="7" t="n"/>
      <c r="B321" s="7" t="n"/>
      <c r="C321" s="7" t="n"/>
      <c r="D321" s="39" t="n"/>
      <c r="E321" s="39" t="n"/>
      <c r="F321" s="7" t="n"/>
      <c r="G321" s="40" t="n"/>
      <c r="H321" s="39" t="n"/>
      <c r="I321" s="39" t="n"/>
    </row>
    <row r="322">
      <c r="A322" s="7" t="n"/>
      <c r="B322" s="7" t="n"/>
      <c r="C322" s="7" t="n"/>
      <c r="D322" s="39" t="n"/>
      <c r="E322" s="39" t="n"/>
      <c r="F322" s="7" t="n"/>
      <c r="G322" s="40" t="n"/>
      <c r="H322" s="39" t="n"/>
      <c r="I322" s="39" t="n"/>
    </row>
    <row r="323">
      <c r="A323" s="7" t="n"/>
      <c r="B323" s="7" t="n"/>
      <c r="C323" s="7" t="n"/>
      <c r="D323" s="39" t="n"/>
      <c r="E323" s="39" t="n"/>
      <c r="F323" s="7" t="n"/>
      <c r="G323" s="40" t="n"/>
      <c r="H323" s="39" t="n"/>
      <c r="I323" s="39" t="n"/>
    </row>
    <row r="324">
      <c r="A324" s="7" t="n"/>
      <c r="B324" s="7" t="n"/>
      <c r="C324" s="7" t="n"/>
      <c r="D324" s="39" t="n"/>
      <c r="E324" s="39" t="n"/>
      <c r="F324" s="7" t="n"/>
      <c r="G324" s="40" t="n"/>
      <c r="H324" s="39" t="n"/>
      <c r="I324" s="39" t="n"/>
    </row>
    <row r="325">
      <c r="A325" s="7" t="n"/>
      <c r="B325" s="7" t="n"/>
      <c r="C325" s="7" t="n"/>
      <c r="D325" s="39" t="n"/>
      <c r="E325" s="39" t="n"/>
      <c r="F325" s="7" t="n"/>
      <c r="G325" s="40" t="n"/>
      <c r="H325" s="39" t="n"/>
      <c r="I325" s="39" t="n"/>
    </row>
    <row r="326">
      <c r="A326" s="7" t="n"/>
      <c r="B326" s="7" t="n"/>
      <c r="C326" s="7" t="n"/>
      <c r="D326" s="39" t="n"/>
      <c r="E326" s="39" t="n"/>
      <c r="F326" s="7" t="n"/>
      <c r="G326" s="40" t="n"/>
      <c r="H326" s="39" t="n"/>
      <c r="I326" s="39" t="n"/>
    </row>
    <row r="327">
      <c r="A327" s="7" t="n"/>
      <c r="B327" s="7" t="n"/>
      <c r="C327" s="7" t="n"/>
      <c r="D327" s="39" t="n"/>
      <c r="E327" s="39" t="n"/>
      <c r="F327" s="7" t="n"/>
      <c r="G327" s="40" t="n"/>
      <c r="H327" s="39" t="n"/>
      <c r="I327" s="39" t="n"/>
    </row>
    <row r="328">
      <c r="A328" s="7" t="n"/>
      <c r="B328" s="7" t="n"/>
      <c r="C328" s="7" t="n"/>
      <c r="D328" s="39" t="n"/>
      <c r="E328" s="39" t="n"/>
      <c r="F328" s="7" t="n"/>
      <c r="G328" s="40" t="n"/>
      <c r="H328" s="39" t="n"/>
      <c r="I328" s="39" t="n"/>
    </row>
    <row r="329">
      <c r="A329" s="7" t="n"/>
      <c r="B329" s="7" t="n"/>
      <c r="C329" s="7" t="n"/>
      <c r="D329" s="39" t="n"/>
      <c r="E329" s="39" t="n"/>
      <c r="F329" s="7" t="n"/>
      <c r="G329" s="40" t="n"/>
      <c r="H329" s="39" t="n"/>
      <c r="I329" s="39" t="n"/>
    </row>
    <row r="330">
      <c r="A330" s="7" t="n"/>
      <c r="B330" s="7" t="n"/>
      <c r="C330" s="7" t="n"/>
      <c r="D330" s="39" t="n"/>
      <c r="E330" s="39" t="n"/>
      <c r="F330" s="7" t="n"/>
      <c r="G330" s="40" t="n"/>
      <c r="H330" s="39" t="n"/>
      <c r="I330" s="39" t="n"/>
    </row>
    <row r="331">
      <c r="A331" s="7" t="n"/>
      <c r="B331" s="7" t="n"/>
      <c r="C331" s="7" t="n"/>
      <c r="D331" s="39" t="n"/>
      <c r="E331" s="39" t="n"/>
      <c r="F331" s="7" t="n"/>
      <c r="G331" s="40" t="n"/>
      <c r="H331" s="39" t="n"/>
      <c r="I331" s="39" t="n"/>
    </row>
    <row r="332">
      <c r="A332" s="7" t="n"/>
      <c r="B332" s="7" t="n"/>
      <c r="C332" s="7" t="n"/>
      <c r="D332" s="39" t="n"/>
      <c r="E332" s="39" t="n"/>
      <c r="F332" s="7" t="n"/>
      <c r="G332" s="40" t="n"/>
      <c r="H332" s="39" t="n"/>
      <c r="I332" s="39" t="n"/>
    </row>
    <row r="333">
      <c r="A333" s="7" t="n"/>
      <c r="B333" s="7" t="n"/>
      <c r="C333" s="7" t="n"/>
      <c r="D333" s="39" t="n"/>
      <c r="E333" s="39" t="n"/>
      <c r="F333" s="7" t="n"/>
      <c r="G333" s="40" t="n"/>
      <c r="H333" s="39" t="n"/>
      <c r="I333" s="39" t="n"/>
    </row>
    <row r="334">
      <c r="A334" s="7" t="n"/>
      <c r="B334" s="7" t="n"/>
      <c r="C334" s="7" t="n"/>
      <c r="D334" s="39" t="n"/>
      <c r="E334" s="39" t="n"/>
      <c r="F334" s="7" t="n"/>
      <c r="G334" s="40" t="n"/>
      <c r="H334" s="39" t="n"/>
      <c r="I334" s="39" t="n"/>
    </row>
    <row r="335">
      <c r="A335" s="7" t="n"/>
      <c r="B335" s="7" t="n"/>
      <c r="C335" s="7" t="n"/>
      <c r="D335" s="39" t="n"/>
      <c r="E335" s="39" t="n"/>
      <c r="F335" s="7" t="n"/>
      <c r="G335" s="40" t="n"/>
      <c r="H335" s="39" t="n"/>
      <c r="I335" s="39" t="n"/>
    </row>
    <row r="336">
      <c r="A336" s="7" t="n"/>
      <c r="B336" s="7" t="n"/>
      <c r="C336" s="7" t="n"/>
      <c r="D336" s="39" t="n"/>
      <c r="E336" s="39" t="n"/>
      <c r="F336" s="7" t="n"/>
      <c r="G336" s="40" t="n"/>
      <c r="H336" s="39" t="n"/>
      <c r="I336" s="39" t="n"/>
    </row>
    <row r="337">
      <c r="A337" s="7" t="n"/>
      <c r="B337" s="7" t="n"/>
      <c r="C337" s="7" t="n"/>
      <c r="D337" s="39" t="n"/>
      <c r="E337" s="39" t="n"/>
      <c r="F337" s="7" t="n"/>
      <c r="G337" s="40" t="n"/>
      <c r="H337" s="39" t="n"/>
      <c r="I337" s="39" t="n"/>
    </row>
    <row r="338">
      <c r="A338" s="7" t="n"/>
      <c r="B338" s="7" t="n"/>
      <c r="C338" s="7" t="n"/>
      <c r="D338" s="39" t="n"/>
      <c r="E338" s="39" t="n"/>
      <c r="F338" s="7" t="n"/>
      <c r="G338" s="40" t="n"/>
      <c r="H338" s="39" t="n"/>
      <c r="I338" s="39" t="n"/>
    </row>
    <row r="339">
      <c r="A339" s="7" t="n"/>
      <c r="B339" s="7" t="n"/>
      <c r="C339" s="7" t="n"/>
      <c r="D339" s="39" t="n"/>
      <c r="E339" s="39" t="n"/>
      <c r="F339" s="7" t="n"/>
      <c r="G339" s="40" t="n"/>
      <c r="H339" s="39" t="n"/>
      <c r="I339" s="39" t="n"/>
    </row>
    <row r="340">
      <c r="A340" s="7" t="n"/>
      <c r="B340" s="7" t="n"/>
      <c r="C340" s="7" t="n"/>
      <c r="D340" s="39" t="n"/>
      <c r="E340" s="39" t="n"/>
      <c r="F340" s="7" t="n"/>
      <c r="G340" s="40" t="n"/>
      <c r="H340" s="39" t="n"/>
      <c r="I340" s="39" t="n"/>
    </row>
    <row r="341">
      <c r="A341" s="7" t="n"/>
      <c r="B341" s="7" t="n"/>
      <c r="C341" s="7" t="n"/>
      <c r="D341" s="39" t="n"/>
      <c r="E341" s="39" t="n"/>
      <c r="F341" s="7" t="n"/>
      <c r="G341" s="40" t="n"/>
      <c r="H341" s="39" t="n"/>
      <c r="I341" s="39" t="n"/>
    </row>
    <row r="342">
      <c r="A342" s="7" t="n"/>
      <c r="B342" s="7" t="n"/>
      <c r="C342" s="7" t="n"/>
      <c r="D342" s="39" t="n"/>
      <c r="E342" s="39" t="n"/>
      <c r="F342" s="7" t="n"/>
      <c r="G342" s="40" t="n"/>
      <c r="H342" s="39" t="n"/>
      <c r="I342" s="39" t="n"/>
    </row>
    <row r="343">
      <c r="A343" s="7" t="n"/>
      <c r="B343" s="7" t="n"/>
      <c r="C343" s="7" t="n"/>
      <c r="D343" s="39" t="n"/>
      <c r="E343" s="39" t="n"/>
      <c r="F343" s="7" t="n"/>
      <c r="G343" s="40" t="n"/>
      <c r="H343" s="39" t="n"/>
      <c r="I343" s="39" t="n"/>
    </row>
    <row r="344">
      <c r="A344" s="7" t="n"/>
      <c r="B344" s="7" t="n"/>
      <c r="C344" s="7" t="n"/>
      <c r="D344" s="39" t="n"/>
      <c r="E344" s="39" t="n"/>
      <c r="F344" s="7" t="n"/>
      <c r="G344" s="40" t="n"/>
      <c r="H344" s="39" t="n"/>
      <c r="I344" s="39" t="n"/>
    </row>
    <row r="345">
      <c r="A345" s="7" t="n"/>
      <c r="B345" s="7" t="n"/>
      <c r="C345" s="7" t="n"/>
      <c r="D345" s="39" t="n"/>
      <c r="E345" s="39" t="n"/>
      <c r="F345" s="7" t="n"/>
      <c r="G345" s="40" t="n"/>
      <c r="H345" s="39" t="n"/>
      <c r="I345" s="39" t="n"/>
    </row>
    <row r="346">
      <c r="A346" s="7" t="n"/>
      <c r="B346" s="7" t="n"/>
      <c r="C346" s="7" t="n"/>
      <c r="D346" s="39" t="n"/>
      <c r="E346" s="39" t="n"/>
      <c r="F346" s="7" t="n"/>
      <c r="G346" s="40" t="n"/>
      <c r="H346" s="39" t="n"/>
      <c r="I346" s="39" t="n"/>
    </row>
    <row r="347">
      <c r="A347" s="7" t="n"/>
      <c r="B347" s="7" t="n"/>
      <c r="C347" s="7" t="n"/>
      <c r="D347" s="39" t="n"/>
      <c r="E347" s="39" t="n"/>
      <c r="F347" s="7" t="n"/>
      <c r="G347" s="40" t="n"/>
      <c r="H347" s="39" t="n"/>
      <c r="I347" s="39" t="n"/>
    </row>
    <row r="348">
      <c r="A348" s="7" t="n"/>
      <c r="B348" s="7" t="n"/>
      <c r="C348" s="7" t="n"/>
      <c r="D348" s="39" t="n"/>
      <c r="E348" s="39" t="n"/>
      <c r="F348" s="7" t="n"/>
      <c r="G348" s="40" t="n"/>
      <c r="H348" s="39" t="n"/>
      <c r="I348" s="39" t="n"/>
    </row>
    <row r="349">
      <c r="A349" s="7" t="n"/>
      <c r="B349" s="7" t="n"/>
      <c r="C349" s="7" t="n"/>
      <c r="D349" s="39" t="n"/>
      <c r="E349" s="39" t="n"/>
      <c r="F349" s="7" t="n"/>
      <c r="G349" s="40" t="n"/>
      <c r="H349" s="39" t="n"/>
      <c r="I349" s="39" t="n"/>
    </row>
    <row r="350">
      <c r="A350" s="7" t="n"/>
      <c r="B350" s="7" t="n"/>
      <c r="C350" s="7" t="n"/>
      <c r="D350" s="39" t="n"/>
      <c r="E350" s="39" t="n"/>
      <c r="F350" s="7" t="n"/>
      <c r="G350" s="40" t="n"/>
      <c r="H350" s="39" t="n"/>
      <c r="I350" s="39" t="n"/>
    </row>
    <row r="351">
      <c r="A351" s="7" t="n"/>
      <c r="B351" s="7" t="n"/>
      <c r="C351" s="7" t="n"/>
      <c r="D351" s="39" t="n"/>
      <c r="E351" s="39" t="n"/>
      <c r="F351" s="7" t="n"/>
      <c r="G351" s="40" t="n"/>
      <c r="H351" s="39" t="n"/>
      <c r="I351" s="39" t="n"/>
    </row>
    <row r="352">
      <c r="A352" s="7" t="n"/>
      <c r="B352" s="7" t="n"/>
      <c r="C352" s="7" t="n"/>
      <c r="D352" s="39" t="n"/>
      <c r="E352" s="39" t="n"/>
      <c r="F352" s="7" t="n"/>
      <c r="G352" s="40" t="n"/>
      <c r="H352" s="39" t="n"/>
      <c r="I352" s="39" t="n"/>
    </row>
    <row r="353">
      <c r="A353" s="7" t="n"/>
      <c r="B353" s="7" t="n"/>
      <c r="C353" s="7" t="n"/>
      <c r="D353" s="39" t="n"/>
      <c r="E353" s="39" t="n"/>
      <c r="F353" s="7" t="n"/>
      <c r="G353" s="40" t="n"/>
      <c r="H353" s="39" t="n"/>
      <c r="I353" s="39" t="n"/>
    </row>
    <row r="354">
      <c r="A354" s="7" t="n"/>
      <c r="B354" s="7" t="n"/>
      <c r="C354" s="7" t="n"/>
      <c r="D354" s="39" t="n"/>
      <c r="E354" s="39" t="n"/>
      <c r="F354" s="7" t="n"/>
      <c r="G354" s="40" t="n"/>
      <c r="H354" s="39" t="n"/>
      <c r="I354" s="39" t="n"/>
    </row>
    <row r="355">
      <c r="A355" s="7" t="n"/>
      <c r="B355" s="7" t="n"/>
      <c r="C355" s="7" t="n"/>
      <c r="D355" s="39" t="n"/>
      <c r="E355" s="39" t="n"/>
      <c r="F355" s="7" t="n"/>
      <c r="G355" s="40" t="n"/>
      <c r="H355" s="39" t="n"/>
      <c r="I355" s="39" t="n"/>
    </row>
    <row r="356">
      <c r="A356" s="7" t="n"/>
      <c r="B356" s="7" t="n"/>
      <c r="C356" s="7" t="n"/>
      <c r="D356" s="39" t="n"/>
      <c r="E356" s="39" t="n"/>
      <c r="F356" s="7" t="n"/>
      <c r="G356" s="40" t="n"/>
      <c r="H356" s="39" t="n"/>
      <c r="I356" s="39" t="n"/>
    </row>
    <row r="357">
      <c r="A357" s="7" t="n"/>
      <c r="B357" s="7" t="n"/>
      <c r="C357" s="7" t="n"/>
      <c r="D357" s="39" t="n"/>
      <c r="E357" s="39" t="n"/>
      <c r="F357" s="7" t="n"/>
      <c r="G357" s="40" t="n"/>
      <c r="H357" s="39" t="n"/>
      <c r="I357" s="39" t="n"/>
    </row>
    <row r="358">
      <c r="A358" s="7" t="n"/>
      <c r="B358" s="7" t="n"/>
      <c r="C358" s="7" t="n"/>
      <c r="D358" s="39" t="n"/>
      <c r="E358" s="39" t="n"/>
      <c r="F358" s="7" t="n"/>
      <c r="G358" s="40" t="n"/>
      <c r="H358" s="39" t="n"/>
      <c r="I358" s="39" t="n"/>
    </row>
    <row r="359">
      <c r="A359" s="7" t="n"/>
      <c r="B359" s="7" t="n"/>
      <c r="C359" s="7" t="n"/>
      <c r="D359" s="39" t="n"/>
      <c r="E359" s="39" t="n"/>
      <c r="F359" s="7" t="n"/>
      <c r="G359" s="40" t="n"/>
      <c r="H359" s="39" t="n"/>
      <c r="I359" s="39" t="n"/>
    </row>
    <row r="360">
      <c r="A360" s="7" t="n"/>
      <c r="B360" s="7" t="n"/>
      <c r="C360" s="7" t="n"/>
      <c r="D360" s="39" t="n"/>
      <c r="E360" s="39" t="n"/>
      <c r="F360" s="7" t="n"/>
      <c r="G360" s="40" t="n"/>
      <c r="H360" s="39" t="n"/>
      <c r="I360" s="39" t="n"/>
    </row>
    <row r="361">
      <c r="A361" s="7" t="n"/>
      <c r="B361" s="7" t="n"/>
      <c r="C361" s="7" t="n"/>
      <c r="D361" s="39" t="n"/>
      <c r="E361" s="39" t="n"/>
      <c r="F361" s="7" t="n"/>
      <c r="G361" s="40" t="n"/>
      <c r="H361" s="39" t="n"/>
      <c r="I361" s="39" t="n"/>
    </row>
    <row r="362">
      <c r="A362" s="7" t="n"/>
      <c r="B362" s="7" t="n"/>
      <c r="C362" s="7" t="n"/>
      <c r="D362" s="39" t="n"/>
      <c r="E362" s="39" t="n"/>
      <c r="F362" s="7" t="n"/>
      <c r="G362" s="40" t="n"/>
      <c r="H362" s="39" t="n"/>
      <c r="I362" s="39" t="n"/>
    </row>
    <row r="363">
      <c r="A363" s="7" t="n"/>
      <c r="B363" s="7" t="n"/>
      <c r="C363" s="7" t="n"/>
      <c r="D363" s="39" t="n"/>
      <c r="E363" s="39" t="n"/>
      <c r="F363" s="7" t="n"/>
      <c r="G363" s="40" t="n"/>
      <c r="H363" s="39" t="n"/>
      <c r="I363" s="39" t="n"/>
    </row>
    <row r="364">
      <c r="A364" s="7" t="n"/>
      <c r="B364" s="7" t="n"/>
      <c r="C364" s="7" t="n"/>
      <c r="D364" s="39" t="n"/>
      <c r="E364" s="39" t="n"/>
      <c r="F364" s="7" t="n"/>
      <c r="G364" s="40" t="n"/>
      <c r="H364" s="39" t="n"/>
      <c r="I364" s="39" t="n"/>
    </row>
    <row r="365">
      <c r="A365" s="7" t="n"/>
      <c r="B365" s="7" t="n"/>
      <c r="C365" s="7" t="n"/>
      <c r="D365" s="39" t="n"/>
      <c r="E365" s="39" t="n"/>
      <c r="F365" s="7" t="n"/>
      <c r="G365" s="40" t="n"/>
      <c r="H365" s="39" t="n"/>
      <c r="I365" s="39" t="n"/>
    </row>
    <row r="366">
      <c r="A366" s="7" t="n"/>
      <c r="B366" s="7" t="n"/>
      <c r="C366" s="7" t="n"/>
      <c r="D366" s="39" t="n"/>
      <c r="E366" s="39" t="n"/>
      <c r="F366" s="7" t="n"/>
      <c r="G366" s="40" t="n"/>
      <c r="H366" s="39" t="n"/>
      <c r="I366" s="39" t="n"/>
    </row>
    <row r="367">
      <c r="A367" s="7" t="n"/>
      <c r="B367" s="7" t="n"/>
      <c r="C367" s="7" t="n"/>
      <c r="D367" s="39" t="n"/>
      <c r="E367" s="39" t="n"/>
      <c r="F367" s="7" t="n"/>
      <c r="G367" s="40" t="n"/>
      <c r="H367" s="39" t="n"/>
      <c r="I367" s="39" t="n"/>
    </row>
    <row r="368">
      <c r="A368" s="7" t="n"/>
      <c r="B368" s="7" t="n"/>
      <c r="C368" s="7" t="n"/>
      <c r="D368" s="39" t="n"/>
      <c r="E368" s="39" t="n"/>
      <c r="F368" s="7" t="n"/>
      <c r="G368" s="40" t="n"/>
      <c r="H368" s="39" t="n"/>
      <c r="I368" s="39" t="n"/>
    </row>
    <row r="369">
      <c r="A369" s="7" t="n"/>
      <c r="B369" s="7" t="n"/>
      <c r="C369" s="7" t="n"/>
      <c r="D369" s="39" t="n"/>
      <c r="E369" s="39" t="n"/>
      <c r="F369" s="7" t="n"/>
      <c r="G369" s="40" t="n"/>
      <c r="H369" s="39" t="n"/>
      <c r="I369" s="39" t="n"/>
    </row>
    <row r="370">
      <c r="A370" s="7" t="n"/>
      <c r="B370" s="7" t="n"/>
      <c r="C370" s="7" t="n"/>
      <c r="D370" s="39" t="n"/>
      <c r="E370" s="39" t="n"/>
      <c r="F370" s="7" t="n"/>
      <c r="G370" s="40" t="n"/>
      <c r="H370" s="39" t="n"/>
      <c r="I370" s="39" t="n"/>
    </row>
    <row r="371">
      <c r="A371" s="7" t="n"/>
      <c r="B371" s="7" t="n"/>
      <c r="C371" s="7" t="n"/>
      <c r="D371" s="39" t="n"/>
      <c r="E371" s="39" t="n"/>
      <c r="F371" s="7" t="n"/>
      <c r="G371" s="40" t="n"/>
      <c r="H371" s="39" t="n"/>
      <c r="I371" s="39" t="n"/>
    </row>
    <row r="372">
      <c r="A372" s="7" t="n"/>
      <c r="B372" s="7" t="n"/>
      <c r="C372" s="7" t="n"/>
      <c r="D372" s="39" t="n"/>
      <c r="E372" s="39" t="n"/>
      <c r="F372" s="7" t="n"/>
      <c r="G372" s="40" t="n"/>
      <c r="H372" s="39" t="n"/>
      <c r="I372" s="39" t="n"/>
    </row>
    <row r="373">
      <c r="A373" s="7" t="n"/>
      <c r="B373" s="7" t="n"/>
      <c r="C373" s="7" t="n"/>
      <c r="D373" s="39" t="n"/>
      <c r="E373" s="39" t="n"/>
      <c r="F373" s="7" t="n"/>
      <c r="G373" s="40" t="n"/>
      <c r="H373" s="39" t="n"/>
      <c r="I373" s="39" t="n"/>
    </row>
    <row r="374">
      <c r="A374" s="7" t="n"/>
      <c r="B374" s="7" t="n"/>
      <c r="C374" s="7" t="n"/>
      <c r="D374" s="39" t="n"/>
      <c r="E374" s="39" t="n"/>
      <c r="F374" s="7" t="n"/>
      <c r="G374" s="40" t="n"/>
      <c r="H374" s="39" t="n"/>
      <c r="I374" s="39" t="n"/>
    </row>
    <row r="375">
      <c r="A375" s="7" t="n"/>
      <c r="B375" s="7" t="n"/>
      <c r="C375" s="7" t="n"/>
      <c r="D375" s="39" t="n"/>
      <c r="E375" s="39" t="n"/>
      <c r="F375" s="7" t="n"/>
      <c r="G375" s="40" t="n"/>
      <c r="H375" s="39" t="n"/>
      <c r="I375" s="39" t="n"/>
    </row>
    <row r="376">
      <c r="A376" s="7" t="n"/>
      <c r="B376" s="7" t="n"/>
      <c r="C376" s="7" t="n"/>
      <c r="D376" s="39" t="n"/>
      <c r="E376" s="39" t="n"/>
      <c r="F376" s="7" t="n"/>
      <c r="G376" s="40" t="n"/>
      <c r="H376" s="39" t="n"/>
      <c r="I376" s="39" t="n"/>
    </row>
    <row r="377">
      <c r="A377" s="7" t="n"/>
      <c r="B377" s="7" t="n"/>
      <c r="C377" s="7" t="n"/>
      <c r="D377" s="39" t="n"/>
      <c r="E377" s="39" t="n"/>
      <c r="F377" s="7" t="n"/>
      <c r="G377" s="40" t="n"/>
      <c r="H377" s="39" t="n"/>
      <c r="I377" s="39" t="n"/>
    </row>
    <row r="378">
      <c r="A378" s="7" t="n"/>
      <c r="B378" s="7" t="n"/>
      <c r="C378" s="7" t="n"/>
      <c r="D378" s="39" t="n"/>
      <c r="E378" s="39" t="n"/>
      <c r="F378" s="7" t="n"/>
      <c r="G378" s="40" t="n"/>
      <c r="H378" s="39" t="n"/>
      <c r="I378" s="39" t="n"/>
    </row>
    <row r="379">
      <c r="A379" s="7" t="n"/>
      <c r="B379" s="7" t="n"/>
      <c r="C379" s="7" t="n"/>
      <c r="D379" s="39" t="n"/>
      <c r="E379" s="39" t="n"/>
      <c r="F379" s="7" t="n"/>
      <c r="G379" s="40" t="n"/>
      <c r="H379" s="39" t="n"/>
      <c r="I379" s="39" t="n"/>
    </row>
    <row r="380">
      <c r="A380" s="7" t="n"/>
      <c r="B380" s="7" t="n"/>
      <c r="C380" s="7" t="n"/>
      <c r="D380" s="39" t="n"/>
      <c r="E380" s="39" t="n"/>
      <c r="F380" s="7" t="n"/>
      <c r="G380" s="40" t="n"/>
      <c r="H380" s="39" t="n"/>
      <c r="I380" s="39" t="n"/>
    </row>
    <row r="381">
      <c r="A381" s="7" t="n"/>
      <c r="B381" s="7" t="n"/>
      <c r="C381" s="7" t="n"/>
      <c r="D381" s="39" t="n"/>
      <c r="E381" s="39" t="n"/>
      <c r="F381" s="7" t="n"/>
      <c r="G381" s="40" t="n"/>
      <c r="H381" s="39" t="n"/>
      <c r="I381" s="39" t="n"/>
    </row>
    <row r="382">
      <c r="A382" s="7" t="n"/>
      <c r="B382" s="7" t="n"/>
      <c r="C382" s="7" t="n"/>
      <c r="D382" s="39" t="n"/>
      <c r="E382" s="39" t="n"/>
      <c r="F382" s="7" t="n"/>
      <c r="G382" s="40" t="n"/>
      <c r="H382" s="39" t="n"/>
      <c r="I382" s="39" t="n"/>
    </row>
    <row r="383">
      <c r="A383" s="7" t="n"/>
      <c r="B383" s="7" t="n"/>
      <c r="C383" s="7" t="n"/>
      <c r="D383" s="39" t="n"/>
      <c r="E383" s="39" t="n"/>
      <c r="F383" s="7" t="n"/>
      <c r="G383" s="40" t="n"/>
      <c r="H383" s="39" t="n"/>
      <c r="I383" s="39" t="n"/>
    </row>
    <row r="384">
      <c r="A384" s="7" t="n"/>
      <c r="B384" s="7" t="n"/>
      <c r="C384" s="7" t="n"/>
      <c r="D384" s="39" t="n"/>
      <c r="E384" s="39" t="n"/>
      <c r="F384" s="7" t="n"/>
      <c r="G384" s="40" t="n"/>
      <c r="H384" s="39" t="n"/>
      <c r="I384" s="39" t="n"/>
    </row>
    <row r="385">
      <c r="A385" s="7" t="n"/>
      <c r="B385" s="7" t="n"/>
      <c r="C385" s="7" t="n"/>
      <c r="D385" s="39" t="n"/>
      <c r="E385" s="39" t="n"/>
      <c r="F385" s="7" t="n"/>
      <c r="G385" s="40" t="n"/>
      <c r="H385" s="39" t="n"/>
      <c r="I385" s="39" t="n"/>
    </row>
    <row r="386">
      <c r="A386" s="7" t="n"/>
      <c r="B386" s="7" t="n"/>
      <c r="C386" s="7" t="n"/>
      <c r="D386" s="39" t="n"/>
      <c r="E386" s="39" t="n"/>
      <c r="F386" s="7" t="n"/>
      <c r="G386" s="40" t="n"/>
      <c r="H386" s="39" t="n"/>
      <c r="I386" s="39" t="n"/>
    </row>
    <row r="387">
      <c r="A387" s="7" t="n"/>
      <c r="B387" s="7" t="n"/>
      <c r="C387" s="7" t="n"/>
      <c r="D387" s="39" t="n"/>
      <c r="E387" s="39" t="n"/>
      <c r="F387" s="7" t="n"/>
      <c r="G387" s="40" t="n"/>
      <c r="H387" s="39" t="n"/>
      <c r="I387" s="39" t="n"/>
    </row>
    <row r="388">
      <c r="A388" s="7" t="n"/>
      <c r="B388" s="7" t="n"/>
      <c r="C388" s="7" t="n"/>
      <c r="D388" s="39" t="n"/>
      <c r="E388" s="39" t="n"/>
      <c r="F388" s="7" t="n"/>
      <c r="G388" s="40" t="n"/>
      <c r="H388" s="39" t="n"/>
      <c r="I388" s="39" t="n"/>
    </row>
    <row r="389">
      <c r="A389" s="7" t="n"/>
      <c r="B389" s="7" t="n"/>
      <c r="C389" s="7" t="n"/>
      <c r="D389" s="39" t="n"/>
      <c r="E389" s="39" t="n"/>
      <c r="F389" s="7" t="n"/>
      <c r="G389" s="40" t="n"/>
      <c r="H389" s="39" t="n"/>
      <c r="I389" s="39" t="n"/>
    </row>
    <row r="390">
      <c r="A390" s="7" t="n"/>
      <c r="B390" s="7" t="n"/>
      <c r="C390" s="7" t="n"/>
      <c r="D390" s="39" t="n"/>
      <c r="E390" s="39" t="n"/>
      <c r="F390" s="7" t="n"/>
      <c r="G390" s="40" t="n"/>
      <c r="H390" s="39" t="n"/>
      <c r="I390" s="39" t="n"/>
    </row>
    <row r="391">
      <c r="A391" s="7" t="n"/>
      <c r="B391" s="7" t="n"/>
      <c r="C391" s="7" t="n"/>
      <c r="D391" s="39" t="n"/>
      <c r="E391" s="39" t="n"/>
      <c r="F391" s="7" t="n"/>
      <c r="G391" s="40" t="n"/>
      <c r="H391" s="39" t="n"/>
      <c r="I391" s="39" t="n"/>
    </row>
    <row r="392">
      <c r="A392" s="7" t="n"/>
      <c r="B392" s="7" t="n"/>
      <c r="C392" s="7" t="n"/>
      <c r="D392" s="39" t="n"/>
      <c r="E392" s="39" t="n"/>
      <c r="F392" s="7" t="n"/>
      <c r="G392" s="40" t="n"/>
      <c r="H392" s="39" t="n"/>
      <c r="I392" s="39" t="n"/>
    </row>
    <row r="393">
      <c r="A393" s="7" t="n"/>
      <c r="B393" s="7" t="n"/>
      <c r="C393" s="7" t="n"/>
      <c r="D393" s="39" t="n"/>
      <c r="E393" s="39" t="n"/>
      <c r="F393" s="7" t="n"/>
      <c r="G393" s="40" t="n"/>
      <c r="H393" s="39" t="n"/>
      <c r="I393" s="39" t="n"/>
    </row>
    <row r="394">
      <c r="A394" s="7" t="n"/>
      <c r="B394" s="7" t="n"/>
      <c r="C394" s="7" t="n"/>
      <c r="D394" s="39" t="n"/>
      <c r="E394" s="39" t="n"/>
      <c r="F394" s="7" t="n"/>
      <c r="G394" s="40" t="n"/>
      <c r="H394" s="39" t="n"/>
      <c r="I394" s="39" t="n"/>
    </row>
    <row r="395">
      <c r="A395" s="7" t="n"/>
      <c r="B395" s="7" t="n"/>
      <c r="C395" s="7" t="n"/>
      <c r="D395" s="39" t="n"/>
      <c r="E395" s="39" t="n"/>
      <c r="F395" s="7" t="n"/>
      <c r="G395" s="40" t="n"/>
      <c r="H395" s="39" t="n"/>
      <c r="I395" s="39" t="n"/>
    </row>
    <row r="396">
      <c r="A396" s="7" t="n"/>
      <c r="B396" s="7" t="n"/>
      <c r="C396" s="7" t="n"/>
      <c r="D396" s="39" t="n"/>
      <c r="E396" s="39" t="n"/>
      <c r="F396" s="7" t="n"/>
      <c r="G396" s="40" t="n"/>
      <c r="H396" s="39" t="n"/>
      <c r="I396" s="39" t="n"/>
    </row>
    <row r="397">
      <c r="A397" s="7" t="n"/>
      <c r="B397" s="7" t="n"/>
      <c r="C397" s="7" t="n"/>
      <c r="D397" s="39" t="n"/>
      <c r="E397" s="39" t="n"/>
      <c r="F397" s="7" t="n"/>
      <c r="G397" s="40" t="n"/>
      <c r="H397" s="39" t="n"/>
      <c r="I397" s="39" t="n"/>
    </row>
    <row r="398">
      <c r="A398" s="7" t="n"/>
      <c r="B398" s="7" t="n"/>
      <c r="C398" s="7" t="n"/>
      <c r="D398" s="39" t="n"/>
      <c r="E398" s="39" t="n"/>
      <c r="F398" s="7" t="n"/>
      <c r="G398" s="40" t="n"/>
      <c r="H398" s="39" t="n"/>
      <c r="I398" s="39" t="n"/>
    </row>
    <row r="399">
      <c r="A399" s="7" t="n"/>
      <c r="B399" s="7" t="n"/>
      <c r="C399" s="7" t="n"/>
      <c r="D399" s="39" t="n"/>
      <c r="E399" s="39" t="n"/>
      <c r="F399" s="7" t="n"/>
      <c r="G399" s="40" t="n"/>
      <c r="H399" s="39" t="n"/>
      <c r="I399" s="39" t="n"/>
    </row>
    <row r="400">
      <c r="A400" s="7" t="n"/>
      <c r="B400" s="7" t="n"/>
      <c r="C400" s="7" t="n"/>
      <c r="D400" s="39" t="n"/>
      <c r="E400" s="39" t="n"/>
      <c r="F400" s="7" t="n"/>
      <c r="G400" s="40" t="n"/>
      <c r="H400" s="39" t="n"/>
      <c r="I400" s="39" t="n"/>
    </row>
    <row r="401">
      <c r="A401" s="7" t="n"/>
      <c r="B401" s="7" t="n"/>
      <c r="C401" s="7" t="n"/>
      <c r="D401" s="39" t="n"/>
      <c r="E401" s="39" t="n"/>
      <c r="F401" s="7" t="n"/>
      <c r="G401" s="40" t="n"/>
      <c r="H401" s="39" t="n"/>
      <c r="I401" s="39" t="n"/>
    </row>
    <row r="402">
      <c r="A402" s="7" t="n"/>
      <c r="B402" s="7" t="n"/>
      <c r="C402" s="7" t="n"/>
      <c r="D402" s="39" t="n"/>
      <c r="E402" s="39" t="n"/>
      <c r="F402" s="7" t="n"/>
      <c r="G402" s="40" t="n"/>
      <c r="H402" s="39" t="n"/>
      <c r="I402" s="39" t="n"/>
    </row>
    <row r="403">
      <c r="A403" s="7" t="n"/>
      <c r="B403" s="7" t="n"/>
      <c r="C403" s="7" t="n"/>
      <c r="D403" s="39" t="n"/>
      <c r="E403" s="39" t="n"/>
      <c r="F403" s="7" t="n"/>
      <c r="G403" s="40" t="n"/>
      <c r="H403" s="39" t="n"/>
      <c r="I403" s="39" t="n"/>
    </row>
    <row r="404">
      <c r="A404" s="7" t="n"/>
      <c r="B404" s="7" t="n"/>
      <c r="C404" s="7" t="n"/>
      <c r="D404" s="39" t="n"/>
      <c r="E404" s="39" t="n"/>
      <c r="F404" s="7" t="n"/>
      <c r="G404" s="40" t="n"/>
      <c r="H404" s="39" t="n"/>
      <c r="I404" s="39" t="n"/>
    </row>
    <row r="405">
      <c r="A405" s="7" t="n"/>
      <c r="B405" s="7" t="n"/>
      <c r="C405" s="7" t="n"/>
      <c r="D405" s="39" t="n"/>
      <c r="E405" s="39" t="n"/>
      <c r="F405" s="7" t="n"/>
      <c r="G405" s="40" t="n"/>
      <c r="H405" s="39" t="n"/>
      <c r="I405" s="39" t="n"/>
    </row>
    <row r="406">
      <c r="A406" s="7" t="n"/>
      <c r="B406" s="7" t="n"/>
      <c r="C406" s="7" t="n"/>
      <c r="D406" s="39" t="n"/>
      <c r="E406" s="39" t="n"/>
      <c r="F406" s="7" t="n"/>
      <c r="G406" s="40" t="n"/>
      <c r="H406" s="39" t="n"/>
      <c r="I406" s="39" t="n"/>
    </row>
    <row r="407">
      <c r="A407" s="7" t="n"/>
      <c r="B407" s="7" t="n"/>
      <c r="C407" s="7" t="n"/>
      <c r="D407" s="39" t="n"/>
      <c r="E407" s="39" t="n"/>
      <c r="F407" s="7" t="n"/>
      <c r="G407" s="40" t="n"/>
      <c r="H407" s="39" t="n"/>
      <c r="I407" s="39" t="n"/>
    </row>
    <row r="408">
      <c r="A408" s="7" t="n"/>
      <c r="B408" s="7" t="n"/>
      <c r="C408" s="7" t="n"/>
      <c r="D408" s="39" t="n"/>
      <c r="E408" s="39" t="n"/>
      <c r="F408" s="7" t="n"/>
      <c r="G408" s="40" t="n"/>
      <c r="H408" s="39" t="n"/>
      <c r="I408" s="39" t="n"/>
    </row>
    <row r="409">
      <c r="A409" s="7" t="n"/>
      <c r="B409" s="7" t="n"/>
      <c r="C409" s="7" t="n"/>
      <c r="D409" s="39" t="n"/>
      <c r="E409" s="39" t="n"/>
      <c r="F409" s="7" t="n"/>
      <c r="G409" s="40" t="n"/>
      <c r="H409" s="39" t="n"/>
      <c r="I409" s="39" t="n"/>
    </row>
    <row r="410">
      <c r="A410" s="7" t="n"/>
      <c r="B410" s="7" t="n"/>
      <c r="C410" s="7" t="n"/>
      <c r="D410" s="39" t="n"/>
      <c r="E410" s="39" t="n"/>
      <c r="F410" s="7" t="n"/>
      <c r="G410" s="40" t="n"/>
      <c r="H410" s="39" t="n"/>
      <c r="I410" s="39" t="n"/>
    </row>
    <row r="411">
      <c r="A411" s="7" t="n"/>
      <c r="B411" s="7" t="n"/>
      <c r="C411" s="7" t="n"/>
      <c r="D411" s="39" t="n"/>
      <c r="E411" s="39" t="n"/>
      <c r="F411" s="7" t="n"/>
      <c r="G411" s="40" t="n"/>
      <c r="H411" s="39" t="n"/>
      <c r="I411" s="39" t="n"/>
    </row>
    <row r="412">
      <c r="A412" s="7" t="n"/>
      <c r="B412" s="7" t="n"/>
      <c r="C412" s="7" t="n"/>
      <c r="D412" s="39" t="n"/>
      <c r="E412" s="39" t="n"/>
      <c r="F412" s="7" t="n"/>
      <c r="G412" s="40" t="n"/>
      <c r="H412" s="39" t="n"/>
      <c r="I412" s="39" t="n"/>
    </row>
    <row r="413">
      <c r="A413" s="7" t="n"/>
      <c r="B413" s="7" t="n"/>
      <c r="C413" s="7" t="n"/>
      <c r="D413" s="39" t="n"/>
      <c r="E413" s="39" t="n"/>
      <c r="F413" s="7" t="n"/>
      <c r="G413" s="40" t="n"/>
      <c r="H413" s="39" t="n"/>
      <c r="I413" s="39" t="n"/>
    </row>
    <row r="414">
      <c r="A414" s="7" t="n"/>
      <c r="B414" s="7" t="n"/>
      <c r="C414" s="7" t="n"/>
      <c r="D414" s="39" t="n"/>
      <c r="E414" s="39" t="n"/>
      <c r="F414" s="7" t="n"/>
      <c r="G414" s="40" t="n"/>
      <c r="H414" s="39" t="n"/>
      <c r="I414" s="39" t="n"/>
    </row>
    <row r="415">
      <c r="A415" s="7" t="n"/>
      <c r="B415" s="7" t="n"/>
      <c r="C415" s="7" t="n"/>
      <c r="D415" s="39" t="n"/>
      <c r="E415" s="39" t="n"/>
      <c r="F415" s="7" t="n"/>
      <c r="G415" s="40" t="n"/>
      <c r="H415" s="39" t="n"/>
      <c r="I415" s="39" t="n"/>
    </row>
    <row r="416">
      <c r="A416" s="7" t="n"/>
      <c r="B416" s="7" t="n"/>
      <c r="C416" s="7" t="n"/>
      <c r="D416" s="39" t="n"/>
      <c r="E416" s="39" t="n"/>
      <c r="F416" s="7" t="n"/>
      <c r="G416" s="40" t="n"/>
      <c r="H416" s="39" t="n"/>
      <c r="I416" s="39" t="n"/>
    </row>
    <row r="417">
      <c r="A417" s="7" t="n"/>
      <c r="B417" s="7" t="n"/>
      <c r="C417" s="7" t="n"/>
      <c r="D417" s="39" t="n"/>
      <c r="E417" s="39" t="n"/>
      <c r="F417" s="7" t="n"/>
      <c r="G417" s="40" t="n"/>
      <c r="H417" s="39" t="n"/>
      <c r="I417" s="39" t="n"/>
    </row>
    <row r="418">
      <c r="A418" s="7" t="n"/>
      <c r="B418" s="7" t="n"/>
      <c r="C418" s="7" t="n"/>
      <c r="D418" s="39" t="n"/>
      <c r="E418" s="39" t="n"/>
      <c r="F418" s="7" t="n"/>
      <c r="G418" s="40" t="n"/>
      <c r="H418" s="39" t="n"/>
      <c r="I418" s="39" t="n"/>
    </row>
    <row r="419">
      <c r="A419" s="7" t="n"/>
      <c r="B419" s="7" t="n"/>
      <c r="C419" s="7" t="n"/>
      <c r="D419" s="39" t="n"/>
      <c r="E419" s="39" t="n"/>
      <c r="F419" s="7" t="n"/>
      <c r="G419" s="40" t="n"/>
      <c r="H419" s="39" t="n"/>
      <c r="I419" s="39" t="n"/>
    </row>
    <row r="420">
      <c r="A420" s="7" t="n"/>
      <c r="B420" s="7" t="n"/>
      <c r="C420" s="7" t="n"/>
      <c r="D420" s="39" t="n"/>
      <c r="E420" s="39" t="n"/>
      <c r="F420" s="7" t="n"/>
      <c r="G420" s="40" t="n"/>
      <c r="H420" s="39" t="n"/>
      <c r="I420" s="39" t="n"/>
    </row>
    <row r="421">
      <c r="A421" s="7" t="n"/>
      <c r="B421" s="7" t="n"/>
      <c r="C421" s="7" t="n"/>
      <c r="D421" s="39" t="n"/>
      <c r="E421" s="39" t="n"/>
      <c r="F421" s="7" t="n"/>
      <c r="G421" s="40" t="n"/>
      <c r="H421" s="39" t="n"/>
      <c r="I421" s="39" t="n"/>
    </row>
    <row r="422">
      <c r="A422" s="7" t="n"/>
      <c r="B422" s="7" t="n"/>
      <c r="C422" s="7" t="n"/>
      <c r="D422" s="39" t="n"/>
      <c r="E422" s="39" t="n"/>
      <c r="F422" s="7" t="n"/>
      <c r="G422" s="40" t="n"/>
      <c r="H422" s="39" t="n"/>
      <c r="I422" s="39" t="n"/>
    </row>
    <row r="423">
      <c r="A423" s="7" t="n"/>
      <c r="B423" s="7" t="n"/>
      <c r="C423" s="7" t="n"/>
      <c r="D423" s="39" t="n"/>
      <c r="E423" s="39" t="n"/>
      <c r="F423" s="7" t="n"/>
      <c r="G423" s="40" t="n"/>
      <c r="H423" s="39" t="n"/>
      <c r="I423" s="39" t="n"/>
    </row>
    <row r="424">
      <c r="A424" s="7" t="n"/>
      <c r="B424" s="7" t="n"/>
      <c r="C424" s="7" t="n"/>
      <c r="D424" s="39" t="n"/>
      <c r="E424" s="39" t="n"/>
      <c r="F424" s="7" t="n"/>
      <c r="G424" s="40" t="n"/>
      <c r="H424" s="39" t="n"/>
      <c r="I424" s="39" t="n"/>
    </row>
    <row r="425">
      <c r="A425" s="7" t="n"/>
      <c r="B425" s="7" t="n"/>
      <c r="C425" s="7" t="n"/>
      <c r="D425" s="39" t="n"/>
      <c r="E425" s="39" t="n"/>
      <c r="F425" s="7" t="n"/>
      <c r="G425" s="40" t="n"/>
      <c r="H425" s="39" t="n"/>
      <c r="I425" s="39" t="n"/>
    </row>
    <row r="426">
      <c r="A426" s="7" t="n"/>
      <c r="B426" s="7" t="n"/>
      <c r="C426" s="7" t="n"/>
      <c r="D426" s="39" t="n"/>
      <c r="E426" s="39" t="n"/>
      <c r="F426" s="7" t="n"/>
      <c r="G426" s="40" t="n"/>
      <c r="H426" s="39" t="n"/>
      <c r="I426" s="39" t="n"/>
    </row>
    <row r="427">
      <c r="A427" s="7" t="n"/>
      <c r="B427" s="7" t="n"/>
      <c r="C427" s="7" t="n"/>
      <c r="D427" s="39" t="n"/>
      <c r="E427" s="39" t="n"/>
      <c r="F427" s="7" t="n"/>
      <c r="G427" s="40" t="n"/>
      <c r="H427" s="39" t="n"/>
      <c r="I427" s="39" t="n"/>
    </row>
    <row r="428">
      <c r="A428" s="7" t="n"/>
      <c r="B428" s="7" t="n"/>
      <c r="C428" s="7" t="n"/>
      <c r="D428" s="39" t="n"/>
      <c r="E428" s="39" t="n"/>
      <c r="F428" s="7" t="n"/>
      <c r="G428" s="40" t="n"/>
      <c r="H428" s="39" t="n"/>
      <c r="I428" s="39" t="n"/>
    </row>
    <row r="429">
      <c r="A429" s="7" t="n"/>
      <c r="B429" s="7" t="n"/>
      <c r="C429" s="7" t="n"/>
      <c r="D429" s="39" t="n"/>
      <c r="E429" s="39" t="n"/>
      <c r="F429" s="7" t="n"/>
      <c r="G429" s="40" t="n"/>
      <c r="H429" s="39" t="n"/>
      <c r="I429" s="39" t="n"/>
    </row>
    <row r="430">
      <c r="A430" s="7" t="n"/>
      <c r="B430" s="7" t="n"/>
      <c r="C430" s="7" t="n"/>
      <c r="D430" s="39" t="n"/>
      <c r="E430" s="39" t="n"/>
      <c r="F430" s="7" t="n"/>
      <c r="G430" s="40" t="n"/>
      <c r="H430" s="39" t="n"/>
      <c r="I430" s="39" t="n"/>
    </row>
    <row r="431">
      <c r="A431" s="7" t="n"/>
      <c r="B431" s="7" t="n"/>
      <c r="C431" s="7" t="n"/>
      <c r="D431" s="39" t="n"/>
      <c r="E431" s="39" t="n"/>
      <c r="F431" s="7" t="n"/>
      <c r="G431" s="40" t="n"/>
      <c r="H431" s="39" t="n"/>
      <c r="I431" s="39" t="n"/>
    </row>
    <row r="432">
      <c r="A432" s="7" t="n"/>
      <c r="B432" s="7" t="n"/>
      <c r="C432" s="7" t="n"/>
      <c r="D432" s="39" t="n"/>
      <c r="E432" s="39" t="n"/>
      <c r="F432" s="7" t="n"/>
      <c r="G432" s="40" t="n"/>
      <c r="H432" s="39" t="n"/>
      <c r="I432" s="39" t="n"/>
    </row>
    <row r="433">
      <c r="A433" s="7" t="n"/>
      <c r="B433" s="7" t="n"/>
      <c r="C433" s="7" t="n"/>
      <c r="D433" s="39" t="n"/>
      <c r="E433" s="39" t="n"/>
      <c r="F433" s="7" t="n"/>
      <c r="G433" s="40" t="n"/>
      <c r="H433" s="39" t="n"/>
      <c r="I433" s="39" t="n"/>
    </row>
    <row r="434">
      <c r="A434" s="7" t="n"/>
      <c r="B434" s="7" t="n"/>
      <c r="C434" s="7" t="n"/>
      <c r="D434" s="39" t="n"/>
      <c r="E434" s="39" t="n"/>
      <c r="F434" s="7" t="n"/>
      <c r="G434" s="40" t="n"/>
      <c r="H434" s="39" t="n"/>
      <c r="I434" s="39" t="n"/>
    </row>
    <row r="435">
      <c r="A435" s="7" t="n"/>
      <c r="B435" s="7" t="n"/>
      <c r="C435" s="7" t="n"/>
      <c r="D435" s="39" t="n"/>
      <c r="E435" s="39" t="n"/>
      <c r="F435" s="7" t="n"/>
      <c r="G435" s="40" t="n"/>
      <c r="H435" s="39" t="n"/>
      <c r="I435" s="39" t="n"/>
    </row>
    <row r="436">
      <c r="A436" s="7" t="n"/>
      <c r="B436" s="7" t="n"/>
      <c r="C436" s="7" t="n"/>
      <c r="D436" s="39" t="n"/>
      <c r="E436" s="39" t="n"/>
      <c r="F436" s="7" t="n"/>
      <c r="G436" s="40" t="n"/>
      <c r="H436" s="39" t="n"/>
      <c r="I436" s="39" t="n"/>
    </row>
    <row r="437">
      <c r="A437" s="7" t="n"/>
      <c r="B437" s="7" t="n"/>
      <c r="C437" s="7" t="n"/>
      <c r="D437" s="39" t="n"/>
      <c r="E437" s="39" t="n"/>
      <c r="F437" s="7" t="n"/>
      <c r="G437" s="40" t="n"/>
      <c r="H437" s="39" t="n"/>
      <c r="I437" s="39" t="n"/>
    </row>
    <row r="438">
      <c r="A438" s="7" t="n"/>
      <c r="B438" s="7" t="n"/>
      <c r="C438" s="7" t="n"/>
      <c r="D438" s="39" t="n"/>
      <c r="E438" s="39" t="n"/>
      <c r="F438" s="7" t="n"/>
      <c r="G438" s="40" t="n"/>
      <c r="H438" s="39" t="n"/>
      <c r="I438" s="39" t="n"/>
    </row>
    <row r="439">
      <c r="A439" s="7" t="n"/>
      <c r="B439" s="7" t="n"/>
      <c r="C439" s="7" t="n"/>
      <c r="D439" s="39" t="n"/>
      <c r="E439" s="39" t="n"/>
      <c r="F439" s="7" t="n"/>
      <c r="G439" s="40" t="n"/>
      <c r="H439" s="39" t="n"/>
      <c r="I439" s="39" t="n"/>
    </row>
    <row r="440">
      <c r="A440" s="7" t="n"/>
      <c r="B440" s="7" t="n"/>
      <c r="C440" s="7" t="n"/>
      <c r="D440" s="39" t="n"/>
      <c r="E440" s="39" t="n"/>
      <c r="F440" s="7" t="n"/>
      <c r="G440" s="40" t="n"/>
      <c r="H440" s="39" t="n"/>
      <c r="I440" s="39" t="n"/>
    </row>
    <row r="441">
      <c r="A441" s="7" t="n"/>
      <c r="B441" s="7" t="n"/>
      <c r="C441" s="7" t="n"/>
      <c r="D441" s="39" t="n"/>
      <c r="E441" s="39" t="n"/>
      <c r="F441" s="7" t="n"/>
      <c r="G441" s="40" t="n"/>
      <c r="H441" s="39" t="n"/>
      <c r="I441" s="39" t="n"/>
    </row>
    <row r="442">
      <c r="A442" s="7" t="n"/>
      <c r="B442" s="7" t="n"/>
      <c r="C442" s="7" t="n"/>
      <c r="D442" s="39" t="n"/>
      <c r="E442" s="39" t="n"/>
      <c r="F442" s="7" t="n"/>
      <c r="G442" s="40" t="n"/>
      <c r="H442" s="39" t="n"/>
      <c r="I442" s="39" t="n"/>
    </row>
    <row r="443">
      <c r="A443" s="7" t="n"/>
      <c r="B443" s="7" t="n"/>
      <c r="C443" s="7" t="n"/>
      <c r="D443" s="39" t="n"/>
      <c r="E443" s="39" t="n"/>
      <c r="F443" s="7" t="n"/>
      <c r="G443" s="40" t="n"/>
      <c r="H443" s="39" t="n"/>
      <c r="I443" s="39" t="n"/>
    </row>
    <row r="444">
      <c r="A444" s="7" t="n"/>
      <c r="B444" s="7" t="n"/>
      <c r="C444" s="7" t="n"/>
      <c r="D444" s="39" t="n"/>
      <c r="E444" s="39" t="n"/>
      <c r="F444" s="7" t="n"/>
      <c r="G444" s="40" t="n"/>
      <c r="H444" s="39" t="n"/>
      <c r="I444" s="39" t="n"/>
    </row>
    <row r="445">
      <c r="A445" s="7" t="n"/>
      <c r="B445" s="7" t="n"/>
      <c r="C445" s="7" t="n"/>
      <c r="D445" s="39" t="n"/>
      <c r="E445" s="39" t="n"/>
      <c r="F445" s="7" t="n"/>
      <c r="G445" s="40" t="n"/>
      <c r="H445" s="39" t="n"/>
      <c r="I445" s="39" t="n"/>
    </row>
    <row r="446">
      <c r="A446" s="7" t="n"/>
      <c r="B446" s="7" t="n"/>
      <c r="C446" s="7" t="n"/>
      <c r="D446" s="39" t="n"/>
      <c r="E446" s="39" t="n"/>
      <c r="F446" s="7" t="n"/>
      <c r="G446" s="40" t="n"/>
      <c r="H446" s="39" t="n"/>
      <c r="I446" s="39" t="n"/>
    </row>
    <row r="447">
      <c r="A447" s="7" t="n"/>
      <c r="B447" s="7" t="n"/>
      <c r="C447" s="7" t="n"/>
      <c r="D447" s="39" t="n"/>
      <c r="E447" s="39" t="n"/>
      <c r="F447" s="7" t="n"/>
      <c r="G447" s="40" t="n"/>
      <c r="H447" s="39" t="n"/>
      <c r="I447" s="39" t="n"/>
    </row>
    <row r="448">
      <c r="A448" s="7" t="n"/>
      <c r="B448" s="7" t="n"/>
      <c r="C448" s="7" t="n"/>
      <c r="D448" s="39" t="n"/>
      <c r="E448" s="39" t="n"/>
      <c r="F448" s="7" t="n"/>
      <c r="G448" s="40" t="n"/>
      <c r="H448" s="39" t="n"/>
      <c r="I448" s="39" t="n"/>
    </row>
    <row r="449">
      <c r="A449" s="7" t="n"/>
      <c r="B449" s="7" t="n"/>
      <c r="C449" s="7" t="n"/>
      <c r="D449" s="39" t="n"/>
      <c r="E449" s="39" t="n"/>
      <c r="F449" s="7" t="n"/>
      <c r="G449" s="40" t="n"/>
      <c r="H449" s="39" t="n"/>
      <c r="I449" s="39" t="n"/>
    </row>
    <row r="450">
      <c r="A450" s="7" t="n"/>
      <c r="B450" s="7" t="n"/>
      <c r="C450" s="7" t="n"/>
      <c r="D450" s="39" t="n"/>
      <c r="E450" s="39" t="n"/>
      <c r="F450" s="7" t="n"/>
      <c r="G450" s="40" t="n"/>
      <c r="H450" s="39" t="n"/>
      <c r="I450" s="39" t="n"/>
    </row>
    <row r="451">
      <c r="A451" s="7" t="n"/>
      <c r="B451" s="7" t="n"/>
      <c r="C451" s="7" t="n"/>
      <c r="D451" s="39" t="n"/>
      <c r="E451" s="39" t="n"/>
      <c r="F451" s="7" t="n"/>
      <c r="G451" s="40" t="n"/>
      <c r="H451" s="39" t="n"/>
      <c r="I451" s="39" t="n"/>
    </row>
    <row r="452">
      <c r="A452" s="7" t="n"/>
      <c r="B452" s="7" t="n"/>
      <c r="C452" s="7" t="n"/>
      <c r="D452" s="39" t="n"/>
      <c r="E452" s="39" t="n"/>
      <c r="F452" s="7" t="n"/>
      <c r="G452" s="40" t="n"/>
      <c r="H452" s="39" t="n"/>
      <c r="I452" s="39" t="n"/>
    </row>
    <row r="453">
      <c r="A453" s="7" t="n"/>
      <c r="B453" s="7" t="n"/>
      <c r="C453" s="7" t="n"/>
      <c r="D453" s="39" t="n"/>
      <c r="E453" s="39" t="n"/>
      <c r="F453" s="7" t="n"/>
      <c r="G453" s="40" t="n"/>
      <c r="H453" s="39" t="n"/>
      <c r="I453" s="39" t="n"/>
    </row>
    <row r="454">
      <c r="A454" s="7" t="n"/>
      <c r="B454" s="7" t="n"/>
      <c r="C454" s="7" t="n"/>
      <c r="D454" s="39" t="n"/>
      <c r="E454" s="39" t="n"/>
      <c r="F454" s="7" t="n"/>
      <c r="G454" s="40" t="n"/>
      <c r="H454" s="39" t="n"/>
      <c r="I454" s="39" t="n"/>
    </row>
    <row r="455">
      <c r="A455" s="7" t="n"/>
      <c r="B455" s="7" t="n"/>
      <c r="C455" s="7" t="n"/>
      <c r="D455" s="39" t="n"/>
      <c r="E455" s="39" t="n"/>
      <c r="F455" s="7" t="n"/>
      <c r="G455" s="40" t="n"/>
      <c r="H455" s="39" t="n"/>
      <c r="I455" s="39" t="n"/>
    </row>
    <row r="456">
      <c r="A456" s="7" t="n"/>
      <c r="B456" s="7" t="n"/>
      <c r="C456" s="7" t="n"/>
      <c r="D456" s="39" t="n"/>
      <c r="E456" s="39" t="n"/>
      <c r="F456" s="7" t="n"/>
      <c r="G456" s="40" t="n"/>
      <c r="H456" s="39" t="n"/>
      <c r="I456" s="39" t="n"/>
    </row>
    <row r="457">
      <c r="A457" s="7" t="n"/>
      <c r="B457" s="7" t="n"/>
      <c r="C457" s="7" t="n"/>
      <c r="D457" s="39" t="n"/>
      <c r="E457" s="39" t="n"/>
      <c r="F457" s="7" t="n"/>
      <c r="G457" s="40" t="n"/>
      <c r="H457" s="39" t="n"/>
      <c r="I457" s="39" t="n"/>
    </row>
    <row r="458">
      <c r="A458" s="7" t="n"/>
      <c r="B458" s="7" t="n"/>
      <c r="C458" s="7" t="n"/>
      <c r="D458" s="39" t="n"/>
      <c r="E458" s="39" t="n"/>
      <c r="F458" s="7" t="n"/>
      <c r="G458" s="40" t="n"/>
      <c r="H458" s="39" t="n"/>
      <c r="I458" s="39" t="n"/>
    </row>
    <row r="459">
      <c r="A459" s="7" t="n"/>
      <c r="B459" s="7" t="n"/>
      <c r="C459" s="7" t="n"/>
      <c r="D459" s="39" t="n"/>
      <c r="E459" s="39" t="n"/>
      <c r="F459" s="7" t="n"/>
      <c r="G459" s="40" t="n"/>
      <c r="H459" s="39" t="n"/>
      <c r="I459" s="39" t="n"/>
    </row>
    <row r="460">
      <c r="A460" s="7" t="n"/>
      <c r="B460" s="7" t="n"/>
      <c r="C460" s="7" t="n"/>
      <c r="D460" s="39" t="n"/>
      <c r="E460" s="39" t="n"/>
      <c r="F460" s="7" t="n"/>
      <c r="G460" s="40" t="n"/>
      <c r="H460" s="39" t="n"/>
      <c r="I460" s="39" t="n"/>
    </row>
    <row r="461">
      <c r="A461" s="7" t="n"/>
      <c r="B461" s="7" t="n"/>
      <c r="C461" s="7" t="n"/>
      <c r="D461" s="39" t="n"/>
      <c r="E461" s="39" t="n"/>
      <c r="F461" s="7" t="n"/>
      <c r="G461" s="40" t="n"/>
      <c r="H461" s="39" t="n"/>
      <c r="I461" s="39" t="n"/>
    </row>
    <row r="462">
      <c r="A462" s="7" t="n"/>
      <c r="B462" s="7" t="n"/>
      <c r="C462" s="7" t="n"/>
      <c r="D462" s="39" t="n"/>
      <c r="E462" s="39" t="n"/>
      <c r="F462" s="7" t="n"/>
      <c r="G462" s="40" t="n"/>
      <c r="H462" s="39" t="n"/>
      <c r="I462" s="39" t="n"/>
    </row>
    <row r="463">
      <c r="A463" s="7" t="n"/>
      <c r="B463" s="7" t="n"/>
      <c r="C463" s="7" t="n"/>
      <c r="D463" s="39" t="n"/>
      <c r="E463" s="39" t="n"/>
      <c r="F463" s="7" t="n"/>
      <c r="G463" s="40" t="n"/>
      <c r="H463" s="39" t="n"/>
      <c r="I463" s="39" t="n"/>
    </row>
    <row r="464">
      <c r="A464" s="7" t="n"/>
      <c r="B464" s="7" t="n"/>
      <c r="C464" s="7" t="n"/>
      <c r="D464" s="39" t="n"/>
      <c r="E464" s="39" t="n"/>
      <c r="F464" s="7" t="n"/>
      <c r="G464" s="40" t="n"/>
      <c r="H464" s="39" t="n"/>
      <c r="I464" s="39" t="n"/>
    </row>
    <row r="465">
      <c r="A465" s="7" t="n"/>
      <c r="B465" s="7" t="n"/>
      <c r="C465" s="7" t="n"/>
      <c r="D465" s="39" t="n"/>
      <c r="E465" s="39" t="n"/>
      <c r="F465" s="7" t="n"/>
      <c r="G465" s="40" t="n"/>
      <c r="H465" s="39" t="n"/>
      <c r="I465" s="39" t="n"/>
    </row>
    <row r="466">
      <c r="A466" s="7" t="n"/>
      <c r="B466" s="7" t="n"/>
      <c r="C466" s="7" t="n"/>
      <c r="D466" s="39" t="n"/>
      <c r="E466" s="39" t="n"/>
      <c r="F466" s="7" t="n"/>
      <c r="G466" s="40" t="n"/>
      <c r="H466" s="39" t="n"/>
      <c r="I466" s="39" t="n"/>
    </row>
    <row r="467">
      <c r="A467" s="7" t="n"/>
      <c r="B467" s="7" t="n"/>
      <c r="C467" s="7" t="n"/>
      <c r="D467" s="39" t="n"/>
      <c r="E467" s="39" t="n"/>
      <c r="F467" s="7" t="n"/>
      <c r="G467" s="40" t="n"/>
      <c r="H467" s="39" t="n"/>
      <c r="I467" s="39" t="n"/>
    </row>
    <row r="468">
      <c r="A468" s="7" t="n"/>
      <c r="B468" s="7" t="n"/>
      <c r="C468" s="7" t="n"/>
      <c r="D468" s="39" t="n"/>
      <c r="E468" s="39" t="n"/>
      <c r="F468" s="7" t="n"/>
      <c r="G468" s="40" t="n"/>
      <c r="H468" s="39" t="n"/>
      <c r="I468" s="39" t="n"/>
    </row>
    <row r="469">
      <c r="A469" s="7" t="n"/>
      <c r="B469" s="7" t="n"/>
      <c r="C469" s="7" t="n"/>
      <c r="D469" s="39" t="n"/>
      <c r="E469" s="39" t="n"/>
      <c r="F469" s="7" t="n"/>
      <c r="G469" s="40" t="n"/>
      <c r="H469" s="39" t="n"/>
      <c r="I469" s="39" t="n"/>
    </row>
    <row r="470">
      <c r="A470" s="7" t="n"/>
      <c r="B470" s="7" t="n"/>
      <c r="C470" s="7" t="n"/>
      <c r="D470" s="39" t="n"/>
      <c r="E470" s="39" t="n"/>
      <c r="F470" s="7" t="n"/>
      <c r="G470" s="40" t="n"/>
      <c r="H470" s="39" t="n"/>
      <c r="I470" s="39" t="n"/>
    </row>
    <row r="471">
      <c r="A471" s="7" t="n"/>
      <c r="B471" s="7" t="n"/>
      <c r="C471" s="7" t="n"/>
      <c r="D471" s="39" t="n"/>
      <c r="E471" s="39" t="n"/>
      <c r="F471" s="7" t="n"/>
      <c r="G471" s="40" t="n"/>
      <c r="H471" s="39" t="n"/>
      <c r="I471" s="39" t="n"/>
    </row>
    <row r="472">
      <c r="A472" s="7" t="n"/>
      <c r="B472" s="7" t="n"/>
      <c r="C472" s="7" t="n"/>
      <c r="D472" s="39" t="n"/>
      <c r="E472" s="39" t="n"/>
      <c r="F472" s="7" t="n"/>
      <c r="G472" s="40" t="n"/>
      <c r="H472" s="39" t="n"/>
      <c r="I472" s="39" t="n"/>
    </row>
    <row r="473">
      <c r="A473" s="7" t="n"/>
      <c r="B473" s="7" t="n"/>
      <c r="C473" s="7" t="n"/>
      <c r="D473" s="39" t="n"/>
      <c r="E473" s="39" t="n"/>
      <c r="F473" s="7" t="n"/>
      <c r="G473" s="40" t="n"/>
      <c r="H473" s="39" t="n"/>
      <c r="I473" s="39" t="n"/>
    </row>
    <row r="474">
      <c r="A474" s="7" t="n"/>
      <c r="B474" s="7" t="n"/>
      <c r="C474" s="7" t="n"/>
      <c r="D474" s="39" t="n"/>
      <c r="E474" s="39" t="n"/>
      <c r="F474" s="7" t="n"/>
      <c r="G474" s="40" t="n"/>
      <c r="H474" s="39" t="n"/>
      <c r="I474" s="39" t="n"/>
    </row>
    <row r="475">
      <c r="A475" s="7" t="n"/>
      <c r="B475" s="7" t="n"/>
      <c r="C475" s="7" t="n"/>
      <c r="D475" s="39" t="n"/>
      <c r="E475" s="39" t="n"/>
      <c r="F475" s="7" t="n"/>
      <c r="G475" s="40" t="n"/>
      <c r="H475" s="39" t="n"/>
      <c r="I475" s="39" t="n"/>
    </row>
    <row r="476">
      <c r="A476" s="7" t="n"/>
      <c r="B476" s="7" t="n"/>
      <c r="C476" s="7" t="n"/>
      <c r="D476" s="39" t="n"/>
      <c r="E476" s="39" t="n"/>
      <c r="F476" s="7" t="n"/>
      <c r="G476" s="40" t="n"/>
      <c r="H476" s="39" t="n"/>
      <c r="I476" s="39" t="n"/>
    </row>
    <row r="477">
      <c r="A477" s="7" t="n"/>
      <c r="B477" s="7" t="n"/>
      <c r="C477" s="7" t="n"/>
      <c r="D477" s="39" t="n"/>
      <c r="E477" s="39" t="n"/>
      <c r="F477" s="7" t="n"/>
      <c r="G477" s="40" t="n"/>
      <c r="H477" s="39" t="n"/>
      <c r="I477" s="39" t="n"/>
    </row>
    <row r="478">
      <c r="A478" s="7" t="n"/>
      <c r="B478" s="7" t="n"/>
      <c r="C478" s="7" t="n"/>
      <c r="D478" s="39" t="n"/>
      <c r="E478" s="39" t="n"/>
      <c r="F478" s="7" t="n"/>
      <c r="G478" s="40" t="n"/>
      <c r="H478" s="39" t="n"/>
      <c r="I478" s="39" t="n"/>
    </row>
    <row r="479">
      <c r="A479" s="7" t="n"/>
      <c r="B479" s="7" t="n"/>
      <c r="C479" s="7" t="n"/>
      <c r="D479" s="39" t="n"/>
      <c r="E479" s="39" t="n"/>
      <c r="F479" s="7" t="n"/>
      <c r="G479" s="40" t="n"/>
      <c r="H479" s="39" t="n"/>
      <c r="I479" s="39" t="n"/>
    </row>
    <row r="480">
      <c r="A480" s="7" t="n"/>
      <c r="B480" s="7" t="n"/>
      <c r="C480" s="7" t="n"/>
      <c r="D480" s="39" t="n"/>
      <c r="E480" s="39" t="n"/>
      <c r="F480" s="7" t="n"/>
      <c r="G480" s="40" t="n"/>
      <c r="H480" s="39" t="n"/>
      <c r="I480" s="39" t="n"/>
    </row>
    <row r="481">
      <c r="A481" s="7" t="n"/>
      <c r="B481" s="7" t="n"/>
      <c r="C481" s="7" t="n"/>
      <c r="D481" s="39" t="n"/>
      <c r="E481" s="39" t="n"/>
      <c r="F481" s="7" t="n"/>
      <c r="G481" s="40" t="n"/>
      <c r="H481" s="39" t="n"/>
      <c r="I481" s="39" t="n"/>
    </row>
    <row r="482">
      <c r="A482" s="7" t="n"/>
      <c r="B482" s="7" t="n"/>
      <c r="C482" s="7" t="n"/>
      <c r="D482" s="39" t="n"/>
      <c r="E482" s="39" t="n"/>
      <c r="F482" s="7" t="n"/>
      <c r="G482" s="40" t="n"/>
      <c r="H482" s="39" t="n"/>
      <c r="I482" s="39" t="n"/>
    </row>
    <row r="483">
      <c r="A483" s="7" t="n"/>
      <c r="B483" s="7" t="n"/>
      <c r="C483" s="7" t="n"/>
      <c r="D483" s="39" t="n"/>
      <c r="E483" s="39" t="n"/>
      <c r="F483" s="7" t="n"/>
      <c r="G483" s="40" t="n"/>
      <c r="H483" s="39" t="n"/>
      <c r="I483" s="39" t="n"/>
    </row>
    <row r="484">
      <c r="A484" s="7" t="n"/>
      <c r="B484" s="7" t="n"/>
      <c r="C484" s="7" t="n"/>
      <c r="D484" s="39" t="n"/>
      <c r="E484" s="39" t="n"/>
      <c r="F484" s="7" t="n"/>
      <c r="G484" s="40" t="n"/>
      <c r="H484" s="39" t="n"/>
      <c r="I484" s="39" t="n"/>
    </row>
    <row r="485">
      <c r="A485" s="7" t="n"/>
      <c r="B485" s="7" t="n"/>
      <c r="C485" s="7" t="n"/>
      <c r="D485" s="39" t="n"/>
      <c r="E485" s="39" t="n"/>
      <c r="F485" s="7" t="n"/>
      <c r="G485" s="40" t="n"/>
      <c r="H485" s="39" t="n"/>
      <c r="I485" s="39" t="n"/>
    </row>
    <row r="486">
      <c r="A486" s="7" t="n"/>
      <c r="B486" s="7" t="n"/>
      <c r="C486" s="7" t="n"/>
      <c r="D486" s="39" t="n"/>
      <c r="E486" s="39" t="n"/>
      <c r="F486" s="7" t="n"/>
      <c r="G486" s="40" t="n"/>
      <c r="H486" s="39" t="n"/>
      <c r="I486" s="39" t="n"/>
    </row>
    <row r="487">
      <c r="A487" s="7" t="n"/>
      <c r="B487" s="7" t="n"/>
      <c r="C487" s="7" t="n"/>
      <c r="D487" s="39" t="n"/>
      <c r="E487" s="39" t="n"/>
      <c r="F487" s="7" t="n"/>
      <c r="G487" s="40" t="n"/>
      <c r="H487" s="39" t="n"/>
      <c r="I487" s="39" t="n"/>
    </row>
    <row r="488">
      <c r="A488" s="7" t="n"/>
      <c r="B488" s="7" t="n"/>
      <c r="C488" s="7" t="n"/>
      <c r="D488" s="39" t="n"/>
      <c r="E488" s="39" t="n"/>
      <c r="F488" s="7" t="n"/>
      <c r="G488" s="40" t="n"/>
      <c r="H488" s="39" t="n"/>
      <c r="I488" s="39" t="n"/>
    </row>
    <row r="489">
      <c r="A489" s="7" t="n"/>
      <c r="B489" s="7" t="n"/>
      <c r="C489" s="7" t="n"/>
      <c r="D489" s="39" t="n"/>
      <c r="E489" s="39" t="n"/>
      <c r="F489" s="7" t="n"/>
      <c r="G489" s="40" t="n"/>
      <c r="H489" s="39" t="n"/>
      <c r="I489" s="39" t="n"/>
    </row>
    <row r="490">
      <c r="A490" s="7" t="n"/>
      <c r="B490" s="7" t="n"/>
      <c r="C490" s="7" t="n"/>
      <c r="D490" s="39" t="n"/>
      <c r="E490" s="39" t="n"/>
      <c r="F490" s="7" t="n"/>
      <c r="G490" s="40" t="n"/>
      <c r="H490" s="39" t="n"/>
      <c r="I490" s="39" t="n"/>
    </row>
    <row r="491">
      <c r="A491" s="7" t="n"/>
      <c r="B491" s="7" t="n"/>
      <c r="C491" s="7" t="n"/>
      <c r="D491" s="39" t="n"/>
      <c r="E491" s="39" t="n"/>
      <c r="F491" s="7" t="n"/>
      <c r="G491" s="40" t="n"/>
      <c r="H491" s="39" t="n"/>
      <c r="I491" s="39" t="n"/>
    </row>
    <row r="492">
      <c r="A492" s="7" t="n"/>
      <c r="B492" s="7" t="n"/>
      <c r="C492" s="7" t="n"/>
      <c r="D492" s="39" t="n"/>
      <c r="E492" s="39" t="n"/>
      <c r="F492" s="7" t="n"/>
      <c r="G492" s="40" t="n"/>
      <c r="H492" s="39" t="n"/>
      <c r="I492" s="39" t="n"/>
    </row>
    <row r="493">
      <c r="A493" s="7" t="n"/>
      <c r="B493" s="7" t="n"/>
      <c r="C493" s="7" t="n"/>
      <c r="D493" s="39" t="n"/>
      <c r="E493" s="39" t="n"/>
      <c r="F493" s="7" t="n"/>
      <c r="G493" s="40" t="n"/>
      <c r="H493" s="39" t="n"/>
      <c r="I493" s="39" t="n"/>
    </row>
    <row r="494">
      <c r="A494" s="7" t="n"/>
      <c r="B494" s="7" t="n"/>
      <c r="C494" s="7" t="n"/>
      <c r="D494" s="39" t="n"/>
      <c r="E494" s="39" t="n"/>
      <c r="F494" s="7" t="n"/>
      <c r="G494" s="40" t="n"/>
      <c r="H494" s="39" t="n"/>
      <c r="I494" s="39" t="n"/>
    </row>
    <row r="495">
      <c r="A495" s="7" t="n"/>
      <c r="B495" s="7" t="n"/>
      <c r="C495" s="7" t="n"/>
      <c r="D495" s="39" t="n"/>
      <c r="E495" s="39" t="n"/>
      <c r="F495" s="7" t="n"/>
      <c r="G495" s="40" t="n"/>
      <c r="H495" s="39" t="n"/>
      <c r="I495" s="39" t="n"/>
    </row>
    <row r="496">
      <c r="A496" s="7" t="n"/>
      <c r="B496" s="7" t="n"/>
      <c r="C496" s="7" t="n"/>
      <c r="D496" s="39" t="n"/>
      <c r="E496" s="39" t="n"/>
      <c r="F496" s="7" t="n"/>
      <c r="G496" s="40" t="n"/>
      <c r="H496" s="39" t="n"/>
      <c r="I496" s="39" t="n"/>
    </row>
    <row r="497">
      <c r="A497" s="7" t="n"/>
      <c r="B497" s="7" t="n"/>
      <c r="C497" s="7" t="n"/>
      <c r="D497" s="39" t="n"/>
      <c r="E497" s="39" t="n"/>
      <c r="F497" s="7" t="n"/>
      <c r="G497" s="40" t="n"/>
      <c r="H497" s="39" t="n"/>
      <c r="I497" s="39" t="n"/>
    </row>
    <row r="498">
      <c r="A498" s="7" t="n"/>
      <c r="B498" s="7" t="n"/>
      <c r="C498" s="7" t="n"/>
      <c r="D498" s="39" t="n"/>
      <c r="E498" s="39" t="n"/>
      <c r="F498" s="7" t="n"/>
      <c r="G498" s="40" t="n"/>
      <c r="H498" s="39" t="n"/>
      <c r="I498" s="39" t="n"/>
    </row>
    <row r="499">
      <c r="A499" s="7" t="n"/>
      <c r="B499" s="7" t="n"/>
      <c r="C499" s="7" t="n"/>
      <c r="D499" s="39" t="n"/>
      <c r="E499" s="39" t="n"/>
      <c r="F499" s="7" t="n"/>
      <c r="G499" s="40" t="n"/>
      <c r="H499" s="39" t="n"/>
      <c r="I499" s="39" t="n"/>
    </row>
    <row r="500">
      <c r="A500" s="7" t="n"/>
      <c r="B500" s="7" t="n"/>
      <c r="C500" s="7" t="n"/>
      <c r="D500" s="39" t="n"/>
      <c r="E500" s="39" t="n"/>
      <c r="F500" s="7" t="n"/>
      <c r="G500" s="40" t="n"/>
      <c r="H500" s="39" t="n"/>
      <c r="I500" s="39" t="n"/>
    </row>
    <row r="501">
      <c r="A501" s="7" t="n"/>
      <c r="B501" s="7" t="n"/>
      <c r="C501" s="7" t="n"/>
      <c r="D501" s="39" t="n"/>
      <c r="E501" s="39" t="n"/>
      <c r="F501" s="7" t="n"/>
      <c r="G501" s="40" t="n"/>
      <c r="H501" s="39" t="n"/>
      <c r="I501" s="39" t="n"/>
    </row>
    <row r="502">
      <c r="A502" s="7" t="n"/>
      <c r="B502" s="7" t="n"/>
      <c r="C502" s="7" t="n"/>
      <c r="D502" s="39" t="n"/>
      <c r="E502" s="39" t="n"/>
      <c r="F502" s="7" t="n"/>
      <c r="G502" s="40" t="n"/>
      <c r="H502" s="39" t="n"/>
      <c r="I502" s="39" t="n"/>
    </row>
    <row r="503">
      <c r="A503" s="7" t="n"/>
      <c r="B503" s="7" t="n"/>
      <c r="C503" s="7" t="n"/>
      <c r="D503" s="39" t="n"/>
      <c r="E503" s="39" t="n"/>
      <c r="F503" s="7" t="n"/>
      <c r="G503" s="40" t="n"/>
      <c r="H503" s="39" t="n"/>
      <c r="I503" s="39" t="n"/>
    </row>
    <row r="504">
      <c r="A504" s="7" t="n"/>
      <c r="B504" s="7" t="n"/>
      <c r="C504" s="7" t="n"/>
      <c r="D504" s="39" t="n"/>
      <c r="E504" s="39" t="n"/>
      <c r="F504" s="7" t="n"/>
      <c r="G504" s="40" t="n"/>
      <c r="H504" s="39" t="n"/>
      <c r="I504" s="39" t="n"/>
    </row>
    <row r="505">
      <c r="A505" s="7" t="n"/>
      <c r="B505" s="7" t="n"/>
      <c r="C505" s="7" t="n"/>
      <c r="D505" s="39" t="n"/>
      <c r="E505" s="39" t="n"/>
      <c r="F505" s="7" t="n"/>
      <c r="G505" s="40" t="n"/>
      <c r="H505" s="39" t="n"/>
      <c r="I505" s="39" t="n"/>
    </row>
    <row r="506">
      <c r="A506" s="7" t="n"/>
      <c r="B506" s="7" t="n"/>
      <c r="C506" s="7" t="n"/>
      <c r="D506" s="39" t="n"/>
      <c r="E506" s="39" t="n"/>
      <c r="F506" s="7" t="n"/>
      <c r="G506" s="40" t="n"/>
      <c r="H506" s="39" t="n"/>
      <c r="I506" s="39" t="n"/>
    </row>
    <row r="507">
      <c r="A507" s="7" t="n"/>
      <c r="B507" s="7" t="n"/>
      <c r="C507" s="7" t="n"/>
      <c r="D507" s="39" t="n"/>
      <c r="E507" s="39" t="n"/>
      <c r="F507" s="7" t="n"/>
      <c r="G507" s="40" t="n"/>
      <c r="H507" s="39" t="n"/>
      <c r="I507" s="39" t="n"/>
    </row>
    <row r="508">
      <c r="A508" s="7" t="n"/>
      <c r="B508" s="7" t="n"/>
      <c r="C508" s="7" t="n"/>
      <c r="D508" s="39" t="n"/>
      <c r="E508" s="39" t="n"/>
      <c r="F508" s="7" t="n"/>
      <c r="G508" s="40" t="n"/>
      <c r="H508" s="39" t="n"/>
      <c r="I508" s="39" t="n"/>
    </row>
    <row r="509">
      <c r="A509" s="7" t="n"/>
      <c r="B509" s="7" t="n"/>
      <c r="C509" s="7" t="n"/>
      <c r="D509" s="39" t="n"/>
      <c r="E509" s="39" t="n"/>
      <c r="F509" s="7" t="n"/>
      <c r="G509" s="40" t="n"/>
      <c r="H509" s="39" t="n"/>
      <c r="I509" s="39" t="n"/>
    </row>
    <row r="510">
      <c r="A510" s="7" t="n"/>
      <c r="B510" s="7" t="n"/>
      <c r="C510" s="7" t="n"/>
      <c r="D510" s="39" t="n"/>
      <c r="E510" s="39" t="n"/>
      <c r="F510" s="7" t="n"/>
      <c r="G510" s="40" t="n"/>
      <c r="H510" s="39" t="n"/>
      <c r="I510" s="39" t="n"/>
    </row>
    <row r="511">
      <c r="A511" s="7" t="n"/>
      <c r="B511" s="7" t="n"/>
      <c r="C511" s="7" t="n"/>
      <c r="D511" s="39" t="n"/>
      <c r="E511" s="39" t="n"/>
      <c r="F511" s="7" t="n"/>
      <c r="G511" s="40" t="n"/>
      <c r="H511" s="39" t="n"/>
      <c r="I511" s="39" t="n"/>
    </row>
    <row r="512">
      <c r="A512" s="7" t="n"/>
      <c r="B512" s="7" t="n"/>
      <c r="C512" s="7" t="n"/>
      <c r="D512" s="39" t="n"/>
      <c r="E512" s="39" t="n"/>
      <c r="F512" s="7" t="n"/>
      <c r="G512" s="40" t="n"/>
      <c r="H512" s="39" t="n"/>
      <c r="I512" s="39" t="n"/>
    </row>
    <row r="513">
      <c r="A513" s="7" t="n"/>
      <c r="B513" s="7" t="n"/>
      <c r="C513" s="7" t="n"/>
      <c r="D513" s="39" t="n"/>
      <c r="E513" s="39" t="n"/>
      <c r="F513" s="7" t="n"/>
      <c r="G513" s="40" t="n"/>
      <c r="H513" s="39" t="n"/>
      <c r="I513" s="39" t="n"/>
    </row>
    <row r="514">
      <c r="A514" s="7" t="n"/>
      <c r="B514" s="7" t="n"/>
      <c r="C514" s="7" t="n"/>
      <c r="D514" s="39" t="n"/>
      <c r="E514" s="39" t="n"/>
      <c r="F514" s="7" t="n"/>
      <c r="G514" s="40" t="n"/>
      <c r="H514" s="39" t="n"/>
      <c r="I514" s="39" t="n"/>
    </row>
    <row r="515">
      <c r="A515" s="7" t="n"/>
      <c r="B515" s="7" t="n"/>
      <c r="C515" s="7" t="n"/>
      <c r="D515" s="39" t="n"/>
      <c r="E515" s="39" t="n"/>
      <c r="F515" s="7" t="n"/>
      <c r="G515" s="40" t="n"/>
      <c r="H515" s="39" t="n"/>
      <c r="I515" s="39" t="n"/>
    </row>
    <row r="516">
      <c r="A516" s="7" t="n"/>
      <c r="B516" s="7" t="n"/>
      <c r="C516" s="7" t="n"/>
      <c r="D516" s="39" t="n"/>
      <c r="E516" s="39" t="n"/>
      <c r="F516" s="7" t="n"/>
      <c r="G516" s="40" t="n"/>
      <c r="H516" s="39" t="n"/>
      <c r="I516" s="39" t="n"/>
    </row>
    <row r="517">
      <c r="A517" s="7" t="n"/>
      <c r="B517" s="7" t="n"/>
      <c r="C517" s="7" t="n"/>
      <c r="D517" s="39" t="n"/>
      <c r="E517" s="39" t="n"/>
      <c r="F517" s="7" t="n"/>
      <c r="G517" s="40" t="n"/>
      <c r="H517" s="39" t="n"/>
      <c r="I517" s="39" t="n"/>
    </row>
    <row r="518">
      <c r="A518" s="7" t="n"/>
      <c r="B518" s="7" t="n"/>
      <c r="C518" s="7" t="n"/>
      <c r="D518" s="39" t="n"/>
      <c r="E518" s="39" t="n"/>
      <c r="F518" s="7" t="n"/>
      <c r="G518" s="40" t="n"/>
      <c r="H518" s="39" t="n"/>
      <c r="I518" s="39" t="n"/>
    </row>
    <row r="519">
      <c r="A519" s="7" t="n"/>
      <c r="B519" s="7" t="n"/>
      <c r="C519" s="7" t="n"/>
      <c r="D519" s="39" t="n"/>
      <c r="E519" s="39" t="n"/>
      <c r="F519" s="7" t="n"/>
      <c r="G519" s="40" t="n"/>
      <c r="H519" s="39" t="n"/>
      <c r="I519" s="39" t="n"/>
    </row>
    <row r="520">
      <c r="A520" s="7" t="n"/>
      <c r="B520" s="7" t="n"/>
      <c r="C520" s="7" t="n"/>
      <c r="D520" s="39" t="n"/>
      <c r="E520" s="39" t="n"/>
      <c r="F520" s="7" t="n"/>
      <c r="G520" s="40" t="n"/>
      <c r="H520" s="39" t="n"/>
      <c r="I520" s="39" t="n"/>
    </row>
    <row r="521">
      <c r="A521" s="7" t="n"/>
      <c r="B521" s="7" t="n"/>
      <c r="C521" s="7" t="n"/>
      <c r="D521" s="39" t="n"/>
      <c r="E521" s="39" t="n"/>
      <c r="F521" s="7" t="n"/>
      <c r="G521" s="40" t="n"/>
      <c r="H521" s="39" t="n"/>
      <c r="I521" s="39" t="n"/>
    </row>
    <row r="522">
      <c r="A522" s="7" t="n"/>
      <c r="B522" s="7" t="n"/>
      <c r="C522" s="7" t="n"/>
      <c r="D522" s="39" t="n"/>
      <c r="E522" s="39" t="n"/>
      <c r="F522" s="7" t="n"/>
      <c r="G522" s="40" t="n"/>
      <c r="H522" s="39" t="n"/>
      <c r="I522" s="39" t="n"/>
    </row>
    <row r="523">
      <c r="A523" s="7" t="n"/>
      <c r="B523" s="7" t="n"/>
      <c r="C523" s="7" t="n"/>
      <c r="D523" s="39" t="n"/>
      <c r="E523" s="39" t="n"/>
      <c r="F523" s="7" t="n"/>
      <c r="G523" s="40" t="n"/>
      <c r="H523" s="39" t="n"/>
      <c r="I523" s="39" t="n"/>
    </row>
    <row r="524">
      <c r="A524" s="7" t="n"/>
      <c r="B524" s="7" t="n"/>
      <c r="C524" s="7" t="n"/>
      <c r="D524" s="39" t="n"/>
      <c r="E524" s="39" t="n"/>
      <c r="F524" s="7" t="n"/>
      <c r="G524" s="40" t="n"/>
      <c r="H524" s="39" t="n"/>
      <c r="I524" s="39" t="n"/>
    </row>
    <row r="525">
      <c r="A525" s="7" t="n"/>
      <c r="B525" s="7" t="n"/>
      <c r="C525" s="7" t="n"/>
      <c r="D525" s="39" t="n"/>
      <c r="E525" s="39" t="n"/>
      <c r="F525" s="7" t="n"/>
      <c r="G525" s="40" t="n"/>
      <c r="H525" s="39" t="n"/>
      <c r="I525" s="39" t="n"/>
    </row>
    <row r="526">
      <c r="A526" s="7" t="n"/>
      <c r="B526" s="7" t="n"/>
      <c r="C526" s="7" t="n"/>
      <c r="D526" s="39" t="n"/>
      <c r="E526" s="39" t="n"/>
      <c r="F526" s="7" t="n"/>
      <c r="G526" s="40" t="n"/>
      <c r="H526" s="39" t="n"/>
      <c r="I526" s="39" t="n"/>
    </row>
    <row r="527">
      <c r="A527" s="7" t="n"/>
      <c r="B527" s="7" t="n"/>
      <c r="C527" s="7" t="n"/>
      <c r="D527" s="39" t="n"/>
      <c r="E527" s="39" t="n"/>
      <c r="F527" s="7" t="n"/>
      <c r="G527" s="40" t="n"/>
      <c r="H527" s="39" t="n"/>
      <c r="I527" s="39" t="n"/>
    </row>
    <row r="528">
      <c r="A528" s="7" t="n"/>
      <c r="B528" s="7" t="n"/>
      <c r="C528" s="7" t="n"/>
      <c r="D528" s="39" t="n"/>
      <c r="E528" s="39" t="n"/>
      <c r="F528" s="7" t="n"/>
      <c r="G528" s="40" t="n"/>
      <c r="H528" s="39" t="n"/>
      <c r="I528" s="39" t="n"/>
    </row>
    <row r="529">
      <c r="A529" s="7" t="n"/>
      <c r="B529" s="7" t="n"/>
      <c r="C529" s="7" t="n"/>
      <c r="D529" s="39" t="n"/>
      <c r="E529" s="39" t="n"/>
      <c r="F529" s="7" t="n"/>
      <c r="G529" s="40" t="n"/>
      <c r="H529" s="39" t="n"/>
      <c r="I529" s="39" t="n"/>
    </row>
    <row r="530">
      <c r="A530" s="7" t="n"/>
      <c r="B530" s="7" t="n"/>
      <c r="C530" s="7" t="n"/>
      <c r="D530" s="39" t="n"/>
      <c r="E530" s="39" t="n"/>
      <c r="F530" s="7" t="n"/>
      <c r="G530" s="40" t="n"/>
      <c r="H530" s="39" t="n"/>
      <c r="I530" s="39" t="n"/>
    </row>
    <row r="531">
      <c r="A531" s="7" t="n"/>
      <c r="B531" s="7" t="n"/>
      <c r="C531" s="7" t="n"/>
      <c r="D531" s="39" t="n"/>
      <c r="E531" s="39" t="n"/>
      <c r="F531" s="7" t="n"/>
      <c r="G531" s="40" t="n"/>
      <c r="H531" s="39" t="n"/>
      <c r="I531" s="39" t="n"/>
    </row>
    <row r="532">
      <c r="A532" s="7" t="n"/>
      <c r="B532" s="7" t="n"/>
      <c r="C532" s="7" t="n"/>
      <c r="D532" s="39" t="n"/>
      <c r="E532" s="39" t="n"/>
      <c r="F532" s="7" t="n"/>
      <c r="G532" s="40" t="n"/>
      <c r="H532" s="39" t="n"/>
      <c r="I532" s="39" t="n"/>
    </row>
    <row r="533">
      <c r="A533" s="7" t="n"/>
      <c r="B533" s="7" t="n"/>
      <c r="C533" s="7" t="n"/>
      <c r="D533" s="39" t="n"/>
      <c r="E533" s="39" t="n"/>
      <c r="F533" s="7" t="n"/>
      <c r="G533" s="40" t="n"/>
      <c r="H533" s="39" t="n"/>
      <c r="I533" s="39" t="n"/>
    </row>
    <row r="534">
      <c r="A534" s="7" t="n"/>
      <c r="B534" s="7" t="n"/>
      <c r="C534" s="7" t="n"/>
      <c r="D534" s="39" t="n"/>
      <c r="E534" s="39" t="n"/>
      <c r="F534" s="7" t="n"/>
      <c r="G534" s="40" t="n"/>
      <c r="H534" s="39" t="n"/>
      <c r="I534" s="39" t="n"/>
    </row>
    <row r="535">
      <c r="A535" s="7" t="n"/>
      <c r="B535" s="7" t="n"/>
      <c r="C535" s="7" t="n"/>
      <c r="D535" s="39" t="n"/>
      <c r="E535" s="39" t="n"/>
      <c r="F535" s="7" t="n"/>
      <c r="G535" s="40" t="n"/>
      <c r="H535" s="39" t="n"/>
      <c r="I535" s="39" t="n"/>
    </row>
    <row r="536">
      <c r="A536" s="7" t="n"/>
      <c r="B536" s="7" t="n"/>
      <c r="C536" s="7" t="n"/>
      <c r="D536" s="39" t="n"/>
      <c r="E536" s="39" t="n"/>
      <c r="F536" s="7" t="n"/>
      <c r="G536" s="40" t="n"/>
      <c r="H536" s="39" t="n"/>
      <c r="I536" s="39" t="n"/>
    </row>
    <row r="537">
      <c r="A537" s="7" t="n"/>
      <c r="B537" s="7" t="n"/>
      <c r="C537" s="7" t="n"/>
      <c r="D537" s="39" t="n"/>
      <c r="E537" s="39" t="n"/>
      <c r="F537" s="7" t="n"/>
      <c r="G537" s="40" t="n"/>
      <c r="H537" s="39" t="n"/>
      <c r="I537" s="39" t="n"/>
    </row>
    <row r="538">
      <c r="A538" s="7" t="n"/>
      <c r="B538" s="7" t="n"/>
      <c r="C538" s="7" t="n"/>
      <c r="D538" s="39" t="n"/>
      <c r="E538" s="39" t="n"/>
      <c r="F538" s="7" t="n"/>
      <c r="G538" s="40" t="n"/>
      <c r="H538" s="39" t="n"/>
      <c r="I538" s="39" t="n"/>
    </row>
    <row r="539">
      <c r="A539" s="7" t="n"/>
      <c r="B539" s="7" t="n"/>
      <c r="C539" s="7" t="n"/>
      <c r="D539" s="39" t="n"/>
      <c r="E539" s="39" t="n"/>
      <c r="F539" s="7" t="n"/>
      <c r="G539" s="40" t="n"/>
      <c r="H539" s="39" t="n"/>
      <c r="I539" s="39" t="n"/>
    </row>
    <row r="540">
      <c r="A540" s="7" t="n"/>
      <c r="B540" s="7" t="n"/>
      <c r="C540" s="7" t="n"/>
      <c r="D540" s="39" t="n"/>
      <c r="E540" s="39" t="n"/>
      <c r="F540" s="7" t="n"/>
      <c r="G540" s="40" t="n"/>
      <c r="H540" s="39" t="n"/>
      <c r="I540" s="39" t="n"/>
    </row>
    <row r="541">
      <c r="A541" s="7" t="n"/>
      <c r="B541" s="7" t="n"/>
      <c r="C541" s="7" t="n"/>
      <c r="D541" s="39" t="n"/>
      <c r="E541" s="39" t="n"/>
      <c r="F541" s="7" t="n"/>
      <c r="G541" s="40" t="n"/>
      <c r="H541" s="39" t="n"/>
      <c r="I541" s="39" t="n"/>
    </row>
    <row r="542">
      <c r="A542" s="7" t="n"/>
      <c r="B542" s="7" t="n"/>
      <c r="C542" s="7" t="n"/>
      <c r="D542" s="39" t="n"/>
      <c r="E542" s="39" t="n"/>
      <c r="F542" s="7" t="n"/>
      <c r="G542" s="40" t="n"/>
      <c r="H542" s="39" t="n"/>
      <c r="I542" s="39" t="n"/>
    </row>
    <row r="543">
      <c r="A543" s="7" t="n"/>
      <c r="B543" s="7" t="n"/>
      <c r="C543" s="7" t="n"/>
      <c r="D543" s="39" t="n"/>
      <c r="E543" s="39" t="n"/>
      <c r="F543" s="7" t="n"/>
      <c r="G543" s="40" t="n"/>
      <c r="H543" s="39" t="n"/>
      <c r="I543" s="39" t="n"/>
    </row>
    <row r="544">
      <c r="A544" s="7" t="n"/>
      <c r="B544" s="7" t="n"/>
      <c r="C544" s="7" t="n"/>
      <c r="D544" s="39" t="n"/>
      <c r="E544" s="39" t="n"/>
      <c r="F544" s="7" t="n"/>
      <c r="G544" s="40" t="n"/>
      <c r="H544" s="39" t="n"/>
      <c r="I544" s="39" t="n"/>
    </row>
    <row r="545">
      <c r="A545" s="7" t="n"/>
      <c r="B545" s="7" t="n"/>
      <c r="C545" s="7" t="n"/>
      <c r="D545" s="39" t="n"/>
      <c r="E545" s="39" t="n"/>
      <c r="F545" s="7" t="n"/>
      <c r="G545" s="40" t="n"/>
      <c r="H545" s="39" t="n"/>
      <c r="I545" s="39" t="n"/>
    </row>
    <row r="546">
      <c r="A546" s="7" t="n"/>
      <c r="B546" s="7" t="n"/>
      <c r="C546" s="7" t="n"/>
      <c r="D546" s="39" t="n"/>
      <c r="E546" s="39" t="n"/>
      <c r="F546" s="7" t="n"/>
      <c r="G546" s="40" t="n"/>
      <c r="H546" s="39" t="n"/>
      <c r="I546" s="39" t="n"/>
    </row>
    <row r="547">
      <c r="A547" s="7" t="n"/>
      <c r="B547" s="7" t="n"/>
      <c r="C547" s="7" t="n"/>
      <c r="D547" s="39" t="n"/>
      <c r="E547" s="39" t="n"/>
      <c r="F547" s="7" t="n"/>
      <c r="G547" s="40" t="n"/>
      <c r="H547" s="39" t="n"/>
      <c r="I547" s="39" t="n"/>
    </row>
    <row r="548">
      <c r="A548" s="7" t="n"/>
      <c r="B548" s="7" t="n"/>
      <c r="C548" s="7" t="n"/>
      <c r="D548" s="39" t="n"/>
      <c r="E548" s="39" t="n"/>
      <c r="F548" s="7" t="n"/>
      <c r="G548" s="40" t="n"/>
      <c r="H548" s="39" t="n"/>
      <c r="I548" s="39" t="n"/>
    </row>
    <row r="549">
      <c r="A549" s="7" t="n"/>
      <c r="B549" s="7" t="n"/>
      <c r="C549" s="7" t="n"/>
      <c r="D549" s="39" t="n"/>
      <c r="E549" s="39" t="n"/>
      <c r="F549" s="7" t="n"/>
      <c r="G549" s="40" t="n"/>
      <c r="H549" s="39" t="n"/>
      <c r="I549" s="39" t="n"/>
    </row>
    <row r="550">
      <c r="A550" s="7" t="n"/>
      <c r="B550" s="7" t="n"/>
      <c r="C550" s="7" t="n"/>
      <c r="D550" s="39" t="n"/>
      <c r="E550" s="39" t="n"/>
      <c r="F550" s="7" t="n"/>
      <c r="G550" s="40" t="n"/>
      <c r="H550" s="39" t="n"/>
      <c r="I550" s="39" t="n"/>
    </row>
    <row r="551">
      <c r="A551" s="7" t="n"/>
      <c r="B551" s="7" t="n"/>
      <c r="C551" s="7" t="n"/>
      <c r="D551" s="39" t="n"/>
      <c r="E551" s="39" t="n"/>
      <c r="F551" s="7" t="n"/>
      <c r="G551" s="40" t="n"/>
      <c r="H551" s="39" t="n"/>
      <c r="I551" s="39" t="n"/>
    </row>
    <row r="552">
      <c r="A552" s="7" t="n"/>
      <c r="B552" s="7" t="n"/>
      <c r="C552" s="7" t="n"/>
      <c r="D552" s="39" t="n"/>
      <c r="E552" s="39" t="n"/>
      <c r="F552" s="7" t="n"/>
      <c r="G552" s="40" t="n"/>
      <c r="H552" s="39" t="n"/>
      <c r="I552" s="39" t="n"/>
    </row>
    <row r="553">
      <c r="A553" s="7" t="n"/>
      <c r="B553" s="7" t="n"/>
      <c r="C553" s="7" t="n"/>
      <c r="D553" s="39" t="n"/>
      <c r="E553" s="39" t="n"/>
      <c r="F553" s="7" t="n"/>
      <c r="G553" s="40" t="n"/>
      <c r="H553" s="39" t="n"/>
      <c r="I553" s="39" t="n"/>
    </row>
    <row r="554">
      <c r="A554" s="7" t="n"/>
      <c r="B554" s="7" t="n"/>
      <c r="C554" s="7" t="n"/>
      <c r="D554" s="39" t="n"/>
      <c r="E554" s="39" t="n"/>
      <c r="F554" s="7" t="n"/>
      <c r="G554" s="40" t="n"/>
      <c r="H554" s="39" t="n"/>
      <c r="I554" s="39" t="n"/>
    </row>
    <row r="555">
      <c r="A555" s="7" t="n"/>
      <c r="B555" s="7" t="n"/>
      <c r="C555" s="7" t="n"/>
      <c r="D555" s="39" t="n"/>
      <c r="E555" s="39" t="n"/>
      <c r="F555" s="7" t="n"/>
      <c r="G555" s="40" t="n"/>
      <c r="H555" s="39" t="n"/>
      <c r="I555" s="39" t="n"/>
    </row>
    <row r="556">
      <c r="A556" s="7" t="n"/>
      <c r="B556" s="7" t="n"/>
      <c r="C556" s="7" t="n"/>
      <c r="D556" s="39" t="n"/>
      <c r="E556" s="39" t="n"/>
      <c r="F556" s="7" t="n"/>
      <c r="G556" s="40" t="n"/>
      <c r="H556" s="39" t="n"/>
      <c r="I556" s="39" t="n"/>
    </row>
    <row r="557">
      <c r="A557" s="7" t="n"/>
      <c r="B557" s="7" t="n"/>
      <c r="C557" s="7" t="n"/>
      <c r="D557" s="39" t="n"/>
      <c r="E557" s="39" t="n"/>
      <c r="F557" s="7" t="n"/>
      <c r="G557" s="40" t="n"/>
      <c r="H557" s="39" t="n"/>
      <c r="I557" s="39" t="n"/>
    </row>
    <row r="558">
      <c r="A558" s="7" t="n"/>
      <c r="B558" s="7" t="n"/>
      <c r="C558" s="7" t="n"/>
      <c r="D558" s="39" t="n"/>
      <c r="E558" s="39" t="n"/>
      <c r="F558" s="7" t="n"/>
      <c r="G558" s="40" t="n"/>
      <c r="H558" s="39" t="n"/>
      <c r="I558" s="39" t="n"/>
    </row>
    <row r="559">
      <c r="A559" s="7" t="n"/>
      <c r="B559" s="7" t="n"/>
      <c r="C559" s="7" t="n"/>
      <c r="D559" s="39" t="n"/>
      <c r="E559" s="39" t="n"/>
      <c r="F559" s="7" t="n"/>
      <c r="G559" s="40" t="n"/>
      <c r="H559" s="39" t="n"/>
      <c r="I559" s="39" t="n"/>
    </row>
    <row r="560">
      <c r="A560" s="7" t="n"/>
      <c r="B560" s="7" t="n"/>
      <c r="C560" s="7" t="n"/>
      <c r="D560" s="39" t="n"/>
      <c r="E560" s="39" t="n"/>
      <c r="F560" s="7" t="n"/>
      <c r="G560" s="40" t="n"/>
      <c r="H560" s="39" t="n"/>
      <c r="I560" s="39" t="n"/>
    </row>
    <row r="561">
      <c r="A561" s="7" t="n"/>
      <c r="B561" s="7" t="n"/>
      <c r="C561" s="7" t="n"/>
      <c r="D561" s="39" t="n"/>
      <c r="E561" s="39" t="n"/>
      <c r="F561" s="7" t="n"/>
      <c r="G561" s="40" t="n"/>
      <c r="H561" s="39" t="n"/>
      <c r="I561" s="39" t="n"/>
    </row>
    <row r="562">
      <c r="A562" s="7" t="n"/>
      <c r="B562" s="7" t="n"/>
      <c r="C562" s="7" t="n"/>
      <c r="D562" s="39" t="n"/>
      <c r="E562" s="39" t="n"/>
      <c r="F562" s="7" t="n"/>
      <c r="G562" s="40" t="n"/>
      <c r="H562" s="39" t="n"/>
      <c r="I562" s="39" t="n"/>
    </row>
    <row r="563">
      <c r="A563" s="7" t="n"/>
      <c r="B563" s="7" t="n"/>
      <c r="C563" s="7" t="n"/>
      <c r="D563" s="39" t="n"/>
      <c r="E563" s="39" t="n"/>
      <c r="F563" s="7" t="n"/>
      <c r="G563" s="40" t="n"/>
      <c r="H563" s="39" t="n"/>
      <c r="I563" s="39" t="n"/>
    </row>
    <row r="564">
      <c r="A564" s="7" t="n"/>
      <c r="B564" s="7" t="n"/>
      <c r="C564" s="7" t="n"/>
      <c r="D564" s="39" t="n"/>
      <c r="E564" s="39" t="n"/>
      <c r="F564" s="7" t="n"/>
      <c r="G564" s="40" t="n"/>
      <c r="H564" s="39" t="n"/>
      <c r="I564" s="39" t="n"/>
    </row>
    <row r="565">
      <c r="A565" s="7" t="n"/>
      <c r="B565" s="7" t="n"/>
      <c r="C565" s="7" t="n"/>
      <c r="D565" s="39" t="n"/>
      <c r="E565" s="39" t="n"/>
      <c r="F565" s="7" t="n"/>
      <c r="G565" s="40" t="n"/>
      <c r="H565" s="39" t="n"/>
      <c r="I565" s="39" t="n"/>
    </row>
    <row r="566">
      <c r="A566" s="7" t="n"/>
      <c r="B566" s="7" t="n"/>
      <c r="C566" s="7" t="n"/>
      <c r="D566" s="39" t="n"/>
      <c r="E566" s="39" t="n"/>
      <c r="F566" s="7" t="n"/>
      <c r="G566" s="40" t="n"/>
      <c r="H566" s="39" t="n"/>
      <c r="I566" s="39" t="n"/>
    </row>
    <row r="567">
      <c r="A567" s="7" t="n"/>
      <c r="B567" s="7" t="n"/>
      <c r="C567" s="7" t="n"/>
      <c r="D567" s="39" t="n"/>
      <c r="E567" s="39" t="n"/>
      <c r="F567" s="7" t="n"/>
      <c r="G567" s="40" t="n"/>
      <c r="H567" s="39" t="n"/>
      <c r="I567" s="39" t="n"/>
    </row>
    <row r="568">
      <c r="A568" s="7" t="n"/>
      <c r="B568" s="7" t="n"/>
      <c r="C568" s="7" t="n"/>
      <c r="D568" s="39" t="n"/>
      <c r="E568" s="39" t="n"/>
      <c r="F568" s="7" t="n"/>
      <c r="G568" s="40" t="n"/>
      <c r="H568" s="39" t="n"/>
      <c r="I568" s="39" t="n"/>
    </row>
    <row r="569">
      <c r="A569" s="7" t="n"/>
      <c r="B569" s="7" t="n"/>
      <c r="C569" s="7" t="n"/>
      <c r="D569" s="39" t="n"/>
      <c r="E569" s="39" t="n"/>
      <c r="F569" s="7" t="n"/>
      <c r="G569" s="40" t="n"/>
      <c r="H569" s="39" t="n"/>
      <c r="I569" s="39" t="n"/>
    </row>
    <row r="570">
      <c r="A570" s="7" t="n"/>
      <c r="B570" s="7" t="n"/>
      <c r="C570" s="7" t="n"/>
      <c r="D570" s="39" t="n"/>
      <c r="E570" s="39" t="n"/>
      <c r="F570" s="7" t="n"/>
      <c r="G570" s="40" t="n"/>
      <c r="H570" s="39" t="n"/>
      <c r="I570" s="39" t="n"/>
    </row>
    <row r="571">
      <c r="A571" s="7" t="n"/>
      <c r="B571" s="7" t="n"/>
      <c r="C571" s="7" t="n"/>
      <c r="D571" s="39" t="n"/>
      <c r="E571" s="39" t="n"/>
      <c r="F571" s="7" t="n"/>
      <c r="G571" s="40" t="n"/>
      <c r="H571" s="39" t="n"/>
      <c r="I571" s="39" t="n"/>
    </row>
    <row r="572">
      <c r="A572" s="7" t="n"/>
      <c r="B572" s="7" t="n"/>
      <c r="C572" s="7" t="n"/>
      <c r="D572" s="39" t="n"/>
      <c r="E572" s="39" t="n"/>
      <c r="F572" s="7" t="n"/>
      <c r="G572" s="40" t="n"/>
      <c r="H572" s="39" t="n"/>
      <c r="I572" s="39" t="n"/>
    </row>
    <row r="573">
      <c r="A573" s="7" t="n"/>
      <c r="B573" s="7" t="n"/>
      <c r="C573" s="7" t="n"/>
      <c r="D573" s="39" t="n"/>
      <c r="E573" s="39" t="n"/>
      <c r="F573" s="7" t="n"/>
      <c r="G573" s="40" t="n"/>
      <c r="H573" s="39" t="n"/>
      <c r="I573" s="39" t="n"/>
    </row>
    <row r="574">
      <c r="A574" s="7" t="n"/>
      <c r="B574" s="7" t="n"/>
      <c r="C574" s="7" t="n"/>
      <c r="D574" s="39" t="n"/>
      <c r="E574" s="39" t="n"/>
      <c r="F574" s="7" t="n"/>
      <c r="G574" s="40" t="n"/>
      <c r="H574" s="39" t="n"/>
      <c r="I574" s="39" t="n"/>
    </row>
    <row r="575">
      <c r="A575" s="7" t="n"/>
      <c r="B575" s="7" t="n"/>
      <c r="C575" s="7" t="n"/>
      <c r="D575" s="39" t="n"/>
      <c r="E575" s="39" t="n"/>
      <c r="F575" s="7" t="n"/>
      <c r="G575" s="40" t="n"/>
      <c r="H575" s="39" t="n"/>
      <c r="I575" s="39" t="n"/>
    </row>
    <row r="576">
      <c r="A576" s="7" t="n"/>
      <c r="B576" s="7" t="n"/>
      <c r="C576" s="7" t="n"/>
      <c r="D576" s="39" t="n"/>
      <c r="E576" s="39" t="n"/>
      <c r="F576" s="7" t="n"/>
      <c r="G576" s="40" t="n"/>
      <c r="H576" s="39" t="n"/>
      <c r="I576" s="39" t="n"/>
    </row>
    <row r="577">
      <c r="A577" s="7" t="n"/>
      <c r="B577" s="7" t="n"/>
      <c r="C577" s="7" t="n"/>
      <c r="D577" s="39" t="n"/>
      <c r="E577" s="39" t="n"/>
      <c r="F577" s="7" t="n"/>
      <c r="G577" s="40" t="n"/>
      <c r="H577" s="39" t="n"/>
      <c r="I577" s="39" t="n"/>
    </row>
    <row r="578">
      <c r="A578" s="7" t="n"/>
      <c r="B578" s="7" t="n"/>
      <c r="C578" s="7" t="n"/>
      <c r="D578" s="39" t="n"/>
      <c r="E578" s="39" t="n"/>
      <c r="F578" s="7" t="n"/>
      <c r="G578" s="40" t="n"/>
      <c r="H578" s="39" t="n"/>
      <c r="I578" s="39" t="n"/>
    </row>
    <row r="579">
      <c r="A579" s="7" t="n"/>
      <c r="B579" s="7" t="n"/>
      <c r="C579" s="7" t="n"/>
      <c r="D579" s="39" t="n"/>
      <c r="E579" s="39" t="n"/>
      <c r="F579" s="7" t="n"/>
      <c r="G579" s="40" t="n"/>
      <c r="H579" s="39" t="n"/>
      <c r="I579" s="39" t="n"/>
    </row>
    <row r="580">
      <c r="A580" s="7" t="n"/>
      <c r="B580" s="7" t="n"/>
      <c r="C580" s="7" t="n"/>
      <c r="D580" s="39" t="n"/>
      <c r="E580" s="39" t="n"/>
      <c r="F580" s="7" t="n"/>
      <c r="G580" s="40" t="n"/>
      <c r="H580" s="39" t="n"/>
      <c r="I580" s="39" t="n"/>
    </row>
    <row r="581">
      <c r="A581" s="7" t="n"/>
      <c r="B581" s="7" t="n"/>
      <c r="C581" s="7" t="n"/>
      <c r="D581" s="39" t="n"/>
      <c r="E581" s="39" t="n"/>
      <c r="F581" s="7" t="n"/>
      <c r="G581" s="40" t="n"/>
      <c r="H581" s="39" t="n"/>
      <c r="I581" s="39" t="n"/>
    </row>
    <row r="582">
      <c r="A582" s="7" t="n"/>
      <c r="B582" s="7" t="n"/>
      <c r="C582" s="7" t="n"/>
      <c r="D582" s="39" t="n"/>
      <c r="E582" s="39" t="n"/>
      <c r="F582" s="7" t="n"/>
      <c r="G582" s="40" t="n"/>
      <c r="H582" s="39" t="n"/>
      <c r="I582" s="39" t="n"/>
    </row>
    <row r="583">
      <c r="A583" s="7" t="n"/>
      <c r="B583" s="7" t="n"/>
      <c r="C583" s="7" t="n"/>
      <c r="D583" s="39" t="n"/>
      <c r="E583" s="39" t="n"/>
      <c r="F583" s="7" t="n"/>
      <c r="G583" s="40" t="n"/>
      <c r="H583" s="39" t="n"/>
      <c r="I583" s="39" t="n"/>
    </row>
    <row r="584">
      <c r="A584" s="7" t="n"/>
      <c r="B584" s="7" t="n"/>
      <c r="C584" s="7" t="n"/>
      <c r="D584" s="39" t="n"/>
      <c r="E584" s="39" t="n"/>
      <c r="F584" s="7" t="n"/>
      <c r="G584" s="40" t="n"/>
      <c r="H584" s="39" t="n"/>
      <c r="I584" s="39" t="n"/>
    </row>
    <row r="585">
      <c r="A585" s="7" t="n"/>
      <c r="B585" s="7" t="n"/>
      <c r="C585" s="7" t="n"/>
      <c r="D585" s="39" t="n"/>
      <c r="E585" s="39" t="n"/>
      <c r="F585" s="7" t="n"/>
      <c r="G585" s="40" t="n"/>
      <c r="H585" s="39" t="n"/>
      <c r="I585" s="39" t="n"/>
    </row>
    <row r="586">
      <c r="A586" s="7" t="n"/>
      <c r="B586" s="7" t="n"/>
      <c r="C586" s="7" t="n"/>
      <c r="D586" s="39" t="n"/>
      <c r="E586" s="39" t="n"/>
      <c r="F586" s="7" t="n"/>
      <c r="G586" s="40" t="n"/>
      <c r="H586" s="39" t="n"/>
      <c r="I586" s="39" t="n"/>
    </row>
    <row r="587">
      <c r="A587" s="7" t="n"/>
      <c r="B587" s="7" t="n"/>
      <c r="C587" s="7" t="n"/>
      <c r="D587" s="39" t="n"/>
      <c r="E587" s="39" t="n"/>
      <c r="F587" s="7" t="n"/>
      <c r="G587" s="40" t="n"/>
      <c r="H587" s="39" t="n"/>
      <c r="I587" s="39" t="n"/>
    </row>
    <row r="588">
      <c r="A588" s="7" t="n"/>
      <c r="B588" s="7" t="n"/>
      <c r="C588" s="7" t="n"/>
      <c r="D588" s="39" t="n"/>
      <c r="E588" s="39" t="n"/>
      <c r="F588" s="7" t="n"/>
      <c r="G588" s="40" t="n"/>
      <c r="H588" s="39" t="n"/>
      <c r="I588" s="39" t="n"/>
    </row>
    <row r="589">
      <c r="A589" s="7" t="n"/>
      <c r="B589" s="7" t="n"/>
      <c r="C589" s="7" t="n"/>
      <c r="D589" s="39" t="n"/>
      <c r="E589" s="39" t="n"/>
      <c r="F589" s="7" t="n"/>
      <c r="G589" s="40" t="n"/>
      <c r="H589" s="39" t="n"/>
      <c r="I589" s="39" t="n"/>
    </row>
    <row r="590">
      <c r="A590" s="7" t="n"/>
      <c r="B590" s="7" t="n"/>
      <c r="C590" s="7" t="n"/>
      <c r="D590" s="39" t="n"/>
      <c r="E590" s="39" t="n"/>
      <c r="F590" s="7" t="n"/>
      <c r="G590" s="40" t="n"/>
      <c r="H590" s="39" t="n"/>
      <c r="I590" s="39" t="n"/>
    </row>
    <row r="591">
      <c r="A591" s="7" t="n"/>
      <c r="B591" s="7" t="n"/>
      <c r="C591" s="7" t="n"/>
      <c r="D591" s="39" t="n"/>
      <c r="E591" s="39" t="n"/>
      <c r="F591" s="7" t="n"/>
      <c r="G591" s="40" t="n"/>
      <c r="H591" s="39" t="n"/>
      <c r="I591" s="39" t="n"/>
    </row>
    <row r="592">
      <c r="A592" s="7" t="n"/>
      <c r="B592" s="7" t="n"/>
      <c r="C592" s="7" t="n"/>
      <c r="D592" s="39" t="n"/>
      <c r="E592" s="39" t="n"/>
      <c r="F592" s="7" t="n"/>
      <c r="G592" s="40" t="n"/>
      <c r="H592" s="39" t="n"/>
      <c r="I592" s="39" t="n"/>
    </row>
    <row r="593">
      <c r="A593" s="7" t="n"/>
      <c r="B593" s="7" t="n"/>
      <c r="C593" s="7" t="n"/>
      <c r="D593" s="39" t="n"/>
      <c r="E593" s="39" t="n"/>
      <c r="F593" s="7" t="n"/>
      <c r="G593" s="40" t="n"/>
      <c r="H593" s="39" t="n"/>
      <c r="I593" s="39" t="n"/>
    </row>
    <row r="594">
      <c r="A594" s="7" t="n"/>
      <c r="B594" s="7" t="n"/>
      <c r="C594" s="7" t="n"/>
      <c r="D594" s="39" t="n"/>
      <c r="E594" s="39" t="n"/>
      <c r="F594" s="7" t="n"/>
      <c r="G594" s="40" t="n"/>
      <c r="H594" s="39" t="n"/>
      <c r="I594" s="39" t="n"/>
    </row>
    <row r="595">
      <c r="A595" s="7" t="n"/>
      <c r="B595" s="7" t="n"/>
      <c r="C595" s="7" t="n"/>
      <c r="D595" s="39" t="n"/>
      <c r="E595" s="39" t="n"/>
      <c r="F595" s="7" t="n"/>
      <c r="G595" s="40" t="n"/>
      <c r="H595" s="39" t="n"/>
      <c r="I595" s="39" t="n"/>
    </row>
    <row r="596">
      <c r="A596" s="7" t="n"/>
      <c r="B596" s="7" t="n"/>
      <c r="C596" s="7" t="n"/>
      <c r="D596" s="39" t="n"/>
      <c r="E596" s="39" t="n"/>
      <c r="F596" s="7" t="n"/>
      <c r="G596" s="40" t="n"/>
      <c r="H596" s="39" t="n"/>
      <c r="I596" s="39" t="n"/>
    </row>
    <row r="597">
      <c r="A597" s="7" t="n"/>
      <c r="B597" s="7" t="n"/>
      <c r="C597" s="7" t="n"/>
      <c r="D597" s="39" t="n"/>
      <c r="E597" s="39" t="n"/>
      <c r="F597" s="7" t="n"/>
      <c r="G597" s="40" t="n"/>
      <c r="H597" s="39" t="n"/>
      <c r="I597" s="39" t="n"/>
    </row>
    <row r="598">
      <c r="A598" s="7" t="n"/>
      <c r="B598" s="7" t="n"/>
      <c r="C598" s="7" t="n"/>
      <c r="D598" s="39" t="n"/>
      <c r="E598" s="39" t="n"/>
      <c r="F598" s="7" t="n"/>
      <c r="G598" s="40" t="n"/>
      <c r="H598" s="39" t="n"/>
      <c r="I598" s="39" t="n"/>
    </row>
    <row r="599">
      <c r="A599" s="7" t="n"/>
      <c r="B599" s="7" t="n"/>
      <c r="C599" s="7" t="n"/>
      <c r="D599" s="39" t="n"/>
      <c r="E599" s="39" t="n"/>
      <c r="F599" s="7" t="n"/>
      <c r="G599" s="40" t="n"/>
      <c r="H599" s="39" t="n"/>
      <c r="I599" s="39" t="n"/>
    </row>
    <row r="600">
      <c r="A600" s="7" t="n"/>
      <c r="B600" s="7" t="n"/>
      <c r="C600" s="7" t="n"/>
      <c r="D600" s="39" t="n"/>
      <c r="E600" s="39" t="n"/>
      <c r="F600" s="7" t="n"/>
      <c r="G600" s="40" t="n"/>
      <c r="H600" s="39" t="n"/>
      <c r="I600" s="39" t="n"/>
    </row>
    <row r="601">
      <c r="A601" s="7" t="n"/>
      <c r="B601" s="7" t="n"/>
      <c r="C601" s="7" t="n"/>
      <c r="D601" s="39" t="n"/>
      <c r="E601" s="39" t="n"/>
      <c r="F601" s="7" t="n"/>
      <c r="G601" s="40" t="n"/>
      <c r="H601" s="39" t="n"/>
      <c r="I601" s="39" t="n"/>
    </row>
    <row r="602">
      <c r="A602" s="7" t="n"/>
      <c r="B602" s="7" t="n"/>
      <c r="C602" s="7" t="n"/>
      <c r="D602" s="39" t="n"/>
      <c r="E602" s="39" t="n"/>
      <c r="F602" s="7" t="n"/>
      <c r="G602" s="40" t="n"/>
      <c r="H602" s="39" t="n"/>
      <c r="I602" s="39" t="n"/>
    </row>
    <row r="603">
      <c r="A603" s="7" t="n"/>
      <c r="B603" s="7" t="n"/>
      <c r="C603" s="7" t="n"/>
      <c r="D603" s="39" t="n"/>
      <c r="E603" s="39" t="n"/>
      <c r="F603" s="7" t="n"/>
      <c r="G603" s="40" t="n"/>
      <c r="H603" s="39" t="n"/>
      <c r="I603" s="39" t="n"/>
    </row>
    <row r="604">
      <c r="A604" s="7" t="n"/>
      <c r="B604" s="7" t="n"/>
      <c r="C604" s="7" t="n"/>
      <c r="D604" s="39" t="n"/>
      <c r="E604" s="39" t="n"/>
      <c r="F604" s="7" t="n"/>
      <c r="G604" s="40" t="n"/>
      <c r="H604" s="39" t="n"/>
      <c r="I604" s="39" t="n"/>
    </row>
    <row r="605">
      <c r="A605" s="7" t="n"/>
      <c r="B605" s="7" t="n"/>
      <c r="C605" s="7" t="n"/>
      <c r="D605" s="39" t="n"/>
      <c r="E605" s="39" t="n"/>
      <c r="F605" s="7" t="n"/>
      <c r="G605" s="40" t="n"/>
      <c r="H605" s="39" t="n"/>
      <c r="I605" s="39" t="n"/>
    </row>
    <row r="606">
      <c r="A606" s="7" t="n"/>
      <c r="B606" s="7" t="n"/>
      <c r="C606" s="7" t="n"/>
      <c r="D606" s="39" t="n"/>
      <c r="E606" s="39" t="n"/>
      <c r="F606" s="7" t="n"/>
      <c r="G606" s="40" t="n"/>
      <c r="H606" s="39" t="n"/>
      <c r="I606" s="39" t="n"/>
    </row>
    <row r="607">
      <c r="A607" s="7" t="n"/>
      <c r="B607" s="7" t="n"/>
      <c r="C607" s="7" t="n"/>
      <c r="D607" s="39" t="n"/>
      <c r="E607" s="39" t="n"/>
      <c r="F607" s="7" t="n"/>
      <c r="G607" s="40" t="n"/>
      <c r="H607" s="39" t="n"/>
      <c r="I607" s="39" t="n"/>
    </row>
    <row r="608">
      <c r="A608" s="7" t="n"/>
      <c r="B608" s="7" t="n"/>
      <c r="C608" s="7" t="n"/>
      <c r="D608" s="39" t="n"/>
      <c r="E608" s="39" t="n"/>
      <c r="F608" s="7" t="n"/>
      <c r="G608" s="40" t="n"/>
      <c r="H608" s="39" t="n"/>
      <c r="I608" s="39" t="n"/>
    </row>
    <row r="609">
      <c r="A609" s="7" t="n"/>
      <c r="B609" s="7" t="n"/>
      <c r="C609" s="7" t="n"/>
      <c r="D609" s="39" t="n"/>
      <c r="E609" s="39" t="n"/>
      <c r="F609" s="7" t="n"/>
      <c r="G609" s="40" t="n"/>
      <c r="H609" s="39" t="n"/>
      <c r="I609" s="39" t="n"/>
    </row>
    <row r="610">
      <c r="A610" s="7" t="n"/>
      <c r="B610" s="7" t="n"/>
      <c r="C610" s="7" t="n"/>
      <c r="D610" s="39" t="n"/>
      <c r="E610" s="39" t="n"/>
      <c r="F610" s="7" t="n"/>
      <c r="G610" s="40" t="n"/>
      <c r="H610" s="39" t="n"/>
      <c r="I610" s="39" t="n"/>
    </row>
    <row r="611">
      <c r="A611" s="7" t="n"/>
      <c r="B611" s="7" t="n"/>
      <c r="C611" s="7" t="n"/>
      <c r="D611" s="39" t="n"/>
      <c r="E611" s="39" t="n"/>
      <c r="F611" s="7" t="n"/>
      <c r="G611" s="40" t="n"/>
      <c r="H611" s="39" t="n"/>
      <c r="I611" s="39" t="n"/>
    </row>
    <row r="612">
      <c r="A612" s="7" t="n"/>
      <c r="B612" s="7" t="n"/>
      <c r="C612" s="7" t="n"/>
      <c r="D612" s="39" t="n"/>
      <c r="E612" s="39" t="n"/>
      <c r="F612" s="7" t="n"/>
      <c r="G612" s="40" t="n"/>
      <c r="H612" s="39" t="n"/>
      <c r="I612" s="39" t="n"/>
    </row>
    <row r="613">
      <c r="A613" s="7" t="n"/>
      <c r="B613" s="7" t="n"/>
      <c r="C613" s="7" t="n"/>
      <c r="D613" s="39" t="n"/>
      <c r="E613" s="39" t="n"/>
      <c r="F613" s="7" t="n"/>
      <c r="G613" s="40" t="n"/>
      <c r="H613" s="39" t="n"/>
      <c r="I613" s="39" t="n"/>
    </row>
    <row r="614">
      <c r="A614" s="7" t="n"/>
      <c r="B614" s="7" t="n"/>
      <c r="C614" s="7" t="n"/>
      <c r="D614" s="39" t="n"/>
      <c r="E614" s="39" t="n"/>
      <c r="F614" s="7" t="n"/>
      <c r="G614" s="40" t="n"/>
      <c r="H614" s="39" t="n"/>
      <c r="I614" s="39" t="n"/>
    </row>
    <row r="615">
      <c r="A615" s="7" t="n"/>
      <c r="B615" s="7" t="n"/>
      <c r="C615" s="7" t="n"/>
      <c r="D615" s="39" t="n"/>
      <c r="E615" s="39" t="n"/>
      <c r="F615" s="7" t="n"/>
      <c r="G615" s="40" t="n"/>
      <c r="H615" s="39" t="n"/>
      <c r="I615" s="39" t="n"/>
    </row>
    <row r="616">
      <c r="A616" s="7" t="n"/>
      <c r="B616" s="7" t="n"/>
      <c r="C616" s="7" t="n"/>
      <c r="D616" s="39" t="n"/>
      <c r="E616" s="39" t="n"/>
      <c r="F616" s="7" t="n"/>
      <c r="G616" s="40" t="n"/>
      <c r="H616" s="39" t="n"/>
      <c r="I616" s="39" t="n"/>
    </row>
    <row r="617">
      <c r="A617" s="7" t="n"/>
      <c r="B617" s="7" t="n"/>
      <c r="C617" s="7" t="n"/>
      <c r="D617" s="39" t="n"/>
      <c r="E617" s="39" t="n"/>
      <c r="F617" s="7" t="n"/>
      <c r="G617" s="40" t="n"/>
      <c r="H617" s="39" t="n"/>
      <c r="I617" s="39" t="n"/>
    </row>
    <row r="618">
      <c r="A618" s="7" t="n"/>
      <c r="B618" s="7" t="n"/>
      <c r="C618" s="7" t="n"/>
      <c r="D618" s="39" t="n"/>
      <c r="E618" s="39" t="n"/>
      <c r="F618" s="7" t="n"/>
      <c r="G618" s="40" t="n"/>
      <c r="H618" s="39" t="n"/>
      <c r="I618" s="39" t="n"/>
    </row>
    <row r="619">
      <c r="A619" s="7" t="n"/>
      <c r="B619" s="7" t="n"/>
      <c r="C619" s="7" t="n"/>
      <c r="D619" s="39" t="n"/>
      <c r="E619" s="39" t="n"/>
      <c r="F619" s="7" t="n"/>
      <c r="G619" s="40" t="n"/>
      <c r="H619" s="39" t="n"/>
      <c r="I619" s="39" t="n"/>
    </row>
    <row r="620">
      <c r="A620" s="7" t="n"/>
      <c r="B620" s="7" t="n"/>
      <c r="C620" s="7" t="n"/>
      <c r="D620" s="39" t="n"/>
      <c r="E620" s="39" t="n"/>
      <c r="F620" s="7" t="n"/>
      <c r="G620" s="40" t="n"/>
      <c r="H620" s="39" t="n"/>
      <c r="I620" s="39" t="n"/>
    </row>
    <row r="621">
      <c r="A621" s="7" t="n"/>
      <c r="B621" s="7" t="n"/>
      <c r="C621" s="7" t="n"/>
      <c r="D621" s="39" t="n"/>
      <c r="E621" s="39" t="n"/>
      <c r="F621" s="7" t="n"/>
      <c r="G621" s="40" t="n"/>
      <c r="H621" s="39" t="n"/>
      <c r="I621" s="39" t="n"/>
    </row>
    <row r="622">
      <c r="A622" s="7" t="n"/>
      <c r="B622" s="7" t="n"/>
      <c r="C622" s="7" t="n"/>
      <c r="D622" s="39" t="n"/>
      <c r="E622" s="39" t="n"/>
      <c r="F622" s="7" t="n"/>
      <c r="G622" s="40" t="n"/>
      <c r="H622" s="39" t="n"/>
      <c r="I622" s="39" t="n"/>
    </row>
    <row r="623">
      <c r="A623" s="7" t="n"/>
      <c r="B623" s="7" t="n"/>
      <c r="C623" s="7" t="n"/>
      <c r="D623" s="39" t="n"/>
      <c r="E623" s="39" t="n"/>
      <c r="F623" s="7" t="n"/>
      <c r="G623" s="40" t="n"/>
      <c r="H623" s="39" t="n"/>
      <c r="I623" s="39" t="n"/>
    </row>
    <row r="624">
      <c r="A624" s="7" t="n"/>
      <c r="B624" s="7" t="n"/>
      <c r="C624" s="7" t="n"/>
      <c r="D624" s="39" t="n"/>
      <c r="E624" s="39" t="n"/>
      <c r="F624" s="7" t="n"/>
      <c r="G624" s="40" t="n"/>
      <c r="H624" s="39" t="n"/>
      <c r="I624" s="39" t="n"/>
    </row>
    <row r="625">
      <c r="A625" s="7" t="n"/>
      <c r="B625" s="7" t="n"/>
      <c r="C625" s="7" t="n"/>
      <c r="D625" s="39" t="n"/>
      <c r="E625" s="39" t="n"/>
      <c r="F625" s="7" t="n"/>
      <c r="G625" s="40" t="n"/>
      <c r="H625" s="39" t="n"/>
      <c r="I625" s="39" t="n"/>
    </row>
    <row r="626">
      <c r="A626" s="7" t="n"/>
      <c r="B626" s="7" t="n"/>
      <c r="C626" s="7" t="n"/>
      <c r="D626" s="39" t="n"/>
      <c r="E626" s="39" t="n"/>
      <c r="F626" s="7" t="n"/>
      <c r="G626" s="40" t="n"/>
      <c r="H626" s="39" t="n"/>
      <c r="I626" s="39" t="n"/>
    </row>
    <row r="627">
      <c r="A627" s="7" t="n"/>
      <c r="B627" s="7" t="n"/>
      <c r="C627" s="7" t="n"/>
      <c r="D627" s="39" t="n"/>
      <c r="E627" s="39" t="n"/>
      <c r="F627" s="7" t="n"/>
      <c r="G627" s="40" t="n"/>
      <c r="H627" s="39" t="n"/>
      <c r="I627" s="39" t="n"/>
    </row>
    <row r="628">
      <c r="A628" s="7" t="n"/>
      <c r="B628" s="7" t="n"/>
      <c r="C628" s="7" t="n"/>
      <c r="D628" s="39" t="n"/>
      <c r="E628" s="39" t="n"/>
      <c r="F628" s="7" t="n"/>
      <c r="G628" s="40" t="n"/>
      <c r="H628" s="39" t="n"/>
      <c r="I628" s="39" t="n"/>
    </row>
    <row r="629">
      <c r="A629" s="7" t="n"/>
      <c r="B629" s="7" t="n"/>
      <c r="C629" s="7" t="n"/>
      <c r="D629" s="39" t="n"/>
      <c r="E629" s="39" t="n"/>
      <c r="F629" s="7" t="n"/>
      <c r="G629" s="40" t="n"/>
      <c r="H629" s="39" t="n"/>
      <c r="I629" s="39" t="n"/>
    </row>
    <row r="630">
      <c r="A630" s="7" t="n"/>
      <c r="B630" s="7" t="n"/>
      <c r="C630" s="7" t="n"/>
      <c r="D630" s="39" t="n"/>
      <c r="E630" s="39" t="n"/>
      <c r="F630" s="7" t="n"/>
      <c r="G630" s="40" t="n"/>
      <c r="H630" s="39" t="n"/>
      <c r="I630" s="39" t="n"/>
    </row>
    <row r="631">
      <c r="A631" s="7" t="n"/>
      <c r="B631" s="7" t="n"/>
      <c r="C631" s="7" t="n"/>
      <c r="D631" s="39" t="n"/>
      <c r="E631" s="39" t="n"/>
      <c r="F631" s="7" t="n"/>
      <c r="G631" s="40" t="n"/>
      <c r="H631" s="39" t="n"/>
      <c r="I631" s="39" t="n"/>
    </row>
    <row r="632">
      <c r="A632" s="7" t="n"/>
      <c r="B632" s="7" t="n"/>
      <c r="C632" s="7" t="n"/>
      <c r="D632" s="39" t="n"/>
      <c r="E632" s="39" t="n"/>
      <c r="F632" s="7" t="n"/>
      <c r="G632" s="40" t="n"/>
      <c r="H632" s="39" t="n"/>
      <c r="I632" s="39" t="n"/>
    </row>
    <row r="633">
      <c r="A633" s="7" t="n"/>
      <c r="B633" s="7" t="n"/>
      <c r="C633" s="7" t="n"/>
      <c r="D633" s="39" t="n"/>
      <c r="E633" s="39" t="n"/>
      <c r="F633" s="7" t="n"/>
      <c r="G633" s="40" t="n"/>
      <c r="H633" s="39" t="n"/>
      <c r="I633" s="39" t="n"/>
    </row>
    <row r="634">
      <c r="A634" s="7" t="n"/>
      <c r="B634" s="7" t="n"/>
      <c r="C634" s="7" t="n"/>
      <c r="D634" s="39" t="n"/>
      <c r="E634" s="39" t="n"/>
      <c r="F634" s="7" t="n"/>
      <c r="G634" s="40" t="n"/>
      <c r="H634" s="39" t="n"/>
      <c r="I634" s="39" t="n"/>
    </row>
    <row r="635">
      <c r="A635" s="7" t="n"/>
      <c r="B635" s="7" t="n"/>
      <c r="C635" s="7" t="n"/>
      <c r="D635" s="39" t="n"/>
      <c r="E635" s="39" t="n"/>
      <c r="F635" s="7" t="n"/>
      <c r="G635" s="40" t="n"/>
      <c r="H635" s="39" t="n"/>
      <c r="I635" s="39" t="n"/>
    </row>
    <row r="636">
      <c r="A636" s="7" t="n"/>
      <c r="B636" s="7" t="n"/>
      <c r="C636" s="7" t="n"/>
      <c r="D636" s="39" t="n"/>
      <c r="E636" s="39" t="n"/>
      <c r="F636" s="7" t="n"/>
      <c r="G636" s="40" t="n"/>
      <c r="H636" s="39" t="n"/>
      <c r="I636" s="39" t="n"/>
    </row>
    <row r="637">
      <c r="A637" s="7" t="n"/>
      <c r="B637" s="7" t="n"/>
      <c r="C637" s="7" t="n"/>
      <c r="D637" s="39" t="n"/>
      <c r="E637" s="39" t="n"/>
      <c r="F637" s="7" t="n"/>
      <c r="G637" s="40" t="n"/>
      <c r="H637" s="39" t="n"/>
      <c r="I637" s="39" t="n"/>
    </row>
    <row r="638">
      <c r="A638" s="7" t="n"/>
      <c r="B638" s="7" t="n"/>
      <c r="C638" s="7" t="n"/>
      <c r="D638" s="39" t="n"/>
      <c r="E638" s="39" t="n"/>
      <c r="F638" s="7" t="n"/>
      <c r="G638" s="40" t="n"/>
      <c r="H638" s="39" t="n"/>
      <c r="I638" s="39" t="n"/>
    </row>
    <row r="639">
      <c r="A639" s="7" t="n"/>
      <c r="B639" s="7" t="n"/>
      <c r="C639" s="7" t="n"/>
      <c r="D639" s="39" t="n"/>
      <c r="E639" s="39" t="n"/>
      <c r="F639" s="7" t="n"/>
      <c r="G639" s="40" t="n"/>
      <c r="H639" s="39" t="n"/>
      <c r="I639" s="39" t="n"/>
    </row>
    <row r="640">
      <c r="A640" s="7" t="n"/>
      <c r="B640" s="7" t="n"/>
      <c r="C640" s="7" t="n"/>
      <c r="D640" s="39" t="n"/>
      <c r="E640" s="39" t="n"/>
      <c r="F640" s="7" t="n"/>
      <c r="G640" s="40" t="n"/>
      <c r="H640" s="39" t="n"/>
      <c r="I640" s="39" t="n"/>
    </row>
    <row r="641">
      <c r="A641" s="7" t="n"/>
      <c r="B641" s="7" t="n"/>
      <c r="C641" s="7" t="n"/>
      <c r="D641" s="39" t="n"/>
      <c r="E641" s="39" t="n"/>
      <c r="F641" s="7" t="n"/>
      <c r="G641" s="40" t="n"/>
      <c r="H641" s="39" t="n"/>
      <c r="I641" s="39" t="n"/>
    </row>
    <row r="642">
      <c r="A642" s="7" t="n"/>
      <c r="B642" s="7" t="n"/>
      <c r="C642" s="7" t="n"/>
      <c r="D642" s="39" t="n"/>
      <c r="E642" s="39" t="n"/>
      <c r="F642" s="7" t="n"/>
      <c r="G642" s="40" t="n"/>
      <c r="H642" s="39" t="n"/>
      <c r="I642" s="39" t="n"/>
    </row>
    <row r="643">
      <c r="A643" s="7" t="n"/>
      <c r="B643" s="7" t="n"/>
      <c r="C643" s="7" t="n"/>
      <c r="D643" s="39" t="n"/>
      <c r="E643" s="39" t="n"/>
      <c r="F643" s="7" t="n"/>
      <c r="G643" s="40" t="n"/>
      <c r="H643" s="39" t="n"/>
      <c r="I643" s="39" t="n"/>
    </row>
    <row r="644">
      <c r="A644" s="7" t="n"/>
      <c r="B644" s="7" t="n"/>
      <c r="C644" s="7" t="n"/>
      <c r="D644" s="39" t="n"/>
      <c r="E644" s="39" t="n"/>
      <c r="F644" s="7" t="n"/>
      <c r="G644" s="40" t="n"/>
      <c r="H644" s="39" t="n"/>
      <c r="I644" s="39" t="n"/>
    </row>
    <row r="645">
      <c r="A645" s="7" t="n"/>
      <c r="B645" s="7" t="n"/>
      <c r="C645" s="7" t="n"/>
      <c r="D645" s="39" t="n"/>
      <c r="E645" s="39" t="n"/>
      <c r="F645" s="7" t="n"/>
      <c r="G645" s="40" t="n"/>
      <c r="H645" s="39" t="n"/>
      <c r="I645" s="39" t="n"/>
    </row>
    <row r="646">
      <c r="A646" s="7" t="n"/>
      <c r="B646" s="7" t="n"/>
      <c r="C646" s="7" t="n"/>
      <c r="D646" s="39" t="n"/>
      <c r="E646" s="39" t="n"/>
      <c r="F646" s="7" t="n"/>
      <c r="G646" s="40" t="n"/>
      <c r="H646" s="39" t="n"/>
      <c r="I646" s="39" t="n"/>
    </row>
    <row r="647">
      <c r="A647" s="7" t="n"/>
      <c r="B647" s="7" t="n"/>
      <c r="C647" s="7" t="n"/>
      <c r="D647" s="39" t="n"/>
      <c r="E647" s="39" t="n"/>
      <c r="F647" s="7" t="n"/>
      <c r="G647" s="40" t="n"/>
      <c r="H647" s="39" t="n"/>
      <c r="I647" s="39" t="n"/>
    </row>
    <row r="648">
      <c r="A648" s="7" t="n"/>
      <c r="B648" s="7" t="n"/>
      <c r="C648" s="7" t="n"/>
      <c r="D648" s="39" t="n"/>
      <c r="E648" s="39" t="n"/>
      <c r="F648" s="7" t="n"/>
      <c r="G648" s="40" t="n"/>
      <c r="H648" s="39" t="n"/>
      <c r="I648" s="39" t="n"/>
    </row>
    <row r="649">
      <c r="A649" s="7" t="n"/>
      <c r="B649" s="7" t="n"/>
      <c r="C649" s="7" t="n"/>
      <c r="D649" s="39" t="n"/>
      <c r="E649" s="39" t="n"/>
      <c r="F649" s="7" t="n"/>
      <c r="G649" s="40" t="n"/>
      <c r="H649" s="39" t="n"/>
      <c r="I649" s="39" t="n"/>
    </row>
    <row r="650">
      <c r="A650" s="7" t="n"/>
      <c r="B650" s="7" t="n"/>
      <c r="C650" s="7" t="n"/>
      <c r="D650" s="39" t="n"/>
      <c r="E650" s="39" t="n"/>
      <c r="F650" s="7" t="n"/>
      <c r="G650" s="40" t="n"/>
      <c r="H650" s="39" t="n"/>
      <c r="I650" s="39" t="n"/>
    </row>
    <row r="651">
      <c r="A651" s="7" t="n"/>
      <c r="B651" s="7" t="n"/>
      <c r="C651" s="7" t="n"/>
      <c r="D651" s="39" t="n"/>
      <c r="E651" s="39" t="n"/>
      <c r="F651" s="7" t="n"/>
      <c r="G651" s="40" t="n"/>
      <c r="H651" s="39" t="n"/>
      <c r="I651" s="39" t="n"/>
    </row>
    <row r="652">
      <c r="A652" s="7" t="n"/>
      <c r="B652" s="7" t="n"/>
      <c r="C652" s="7" t="n"/>
      <c r="D652" s="39" t="n"/>
      <c r="E652" s="39" t="n"/>
      <c r="F652" s="7" t="n"/>
      <c r="G652" s="40" t="n"/>
      <c r="H652" s="39" t="n"/>
      <c r="I652" s="39" t="n"/>
    </row>
    <row r="653">
      <c r="A653" s="7" t="n"/>
      <c r="B653" s="7" t="n"/>
      <c r="C653" s="7" t="n"/>
      <c r="D653" s="39" t="n"/>
      <c r="E653" s="39" t="n"/>
      <c r="F653" s="7" t="n"/>
      <c r="G653" s="40" t="n"/>
      <c r="H653" s="39" t="n"/>
      <c r="I653" s="39" t="n"/>
    </row>
    <row r="654">
      <c r="A654" s="7" t="n"/>
      <c r="B654" s="7" t="n"/>
      <c r="C654" s="7" t="n"/>
      <c r="D654" s="39" t="n"/>
      <c r="E654" s="39" t="n"/>
      <c r="F654" s="7" t="n"/>
      <c r="G654" s="40" t="n"/>
      <c r="H654" s="39" t="n"/>
      <c r="I654" s="39" t="n"/>
    </row>
    <row r="655">
      <c r="A655" s="7" t="n"/>
      <c r="B655" s="7" t="n"/>
      <c r="C655" s="7" t="n"/>
      <c r="D655" s="39" t="n"/>
      <c r="E655" s="39" t="n"/>
      <c r="F655" s="7" t="n"/>
      <c r="G655" s="40" t="n"/>
      <c r="H655" s="39" t="n"/>
      <c r="I655" s="39" t="n"/>
    </row>
    <row r="656">
      <c r="A656" s="7" t="n"/>
      <c r="B656" s="7" t="n"/>
      <c r="C656" s="7" t="n"/>
      <c r="D656" s="39" t="n"/>
      <c r="E656" s="39" t="n"/>
      <c r="F656" s="7" t="n"/>
      <c r="G656" s="40" t="n"/>
      <c r="H656" s="39" t="n"/>
      <c r="I656" s="39" t="n"/>
    </row>
    <row r="657">
      <c r="A657" s="7" t="n"/>
      <c r="B657" s="7" t="n"/>
      <c r="C657" s="7" t="n"/>
      <c r="D657" s="39" t="n"/>
      <c r="E657" s="39" t="n"/>
      <c r="F657" s="7" t="n"/>
      <c r="G657" s="40" t="n"/>
      <c r="H657" s="39" t="n"/>
      <c r="I657" s="39" t="n"/>
    </row>
    <row r="658">
      <c r="A658" s="7" t="n"/>
      <c r="B658" s="7" t="n"/>
      <c r="C658" s="7" t="n"/>
      <c r="D658" s="39" t="n"/>
      <c r="E658" s="39" t="n"/>
      <c r="F658" s="7" t="n"/>
      <c r="G658" s="40" t="n"/>
      <c r="H658" s="39" t="n"/>
      <c r="I658" s="39" t="n"/>
    </row>
    <row r="659">
      <c r="A659" s="7" t="n"/>
      <c r="B659" s="7" t="n"/>
      <c r="C659" s="7" t="n"/>
      <c r="D659" s="39" t="n"/>
      <c r="E659" s="39" t="n"/>
      <c r="F659" s="7" t="n"/>
      <c r="G659" s="40" t="n"/>
      <c r="H659" s="39" t="n"/>
      <c r="I659" s="39" t="n"/>
    </row>
    <row r="660">
      <c r="A660" s="7" t="n"/>
      <c r="B660" s="7" t="n"/>
      <c r="C660" s="7" t="n"/>
      <c r="D660" s="39" t="n"/>
      <c r="E660" s="39" t="n"/>
      <c r="F660" s="7" t="n"/>
      <c r="G660" s="40" t="n"/>
      <c r="H660" s="39" t="n"/>
      <c r="I660" s="39" t="n"/>
    </row>
    <row r="661">
      <c r="A661" s="7" t="n"/>
      <c r="B661" s="7" t="n"/>
      <c r="C661" s="7" t="n"/>
      <c r="D661" s="39" t="n"/>
      <c r="E661" s="39" t="n"/>
      <c r="F661" s="7" t="n"/>
      <c r="G661" s="40" t="n"/>
      <c r="H661" s="39" t="n"/>
      <c r="I661" s="39" t="n"/>
    </row>
    <row r="662">
      <c r="A662" s="7" t="n"/>
      <c r="B662" s="7" t="n"/>
      <c r="C662" s="7" t="n"/>
      <c r="D662" s="39" t="n"/>
      <c r="E662" s="39" t="n"/>
      <c r="F662" s="7" t="n"/>
      <c r="G662" s="40" t="n"/>
      <c r="H662" s="39" t="n"/>
      <c r="I662" s="39" t="n"/>
    </row>
    <row r="663">
      <c r="A663" s="7" t="n"/>
      <c r="B663" s="7" t="n"/>
      <c r="C663" s="7" t="n"/>
      <c r="D663" s="39" t="n"/>
      <c r="E663" s="39" t="n"/>
      <c r="F663" s="7" t="n"/>
      <c r="G663" s="40" t="n"/>
      <c r="H663" s="39" t="n"/>
      <c r="I663" s="39" t="n"/>
    </row>
    <row r="664">
      <c r="A664" s="7" t="n"/>
      <c r="B664" s="7" t="n"/>
      <c r="C664" s="7" t="n"/>
      <c r="D664" s="39" t="n"/>
      <c r="E664" s="39" t="n"/>
      <c r="F664" s="7" t="n"/>
      <c r="G664" s="40" t="n"/>
      <c r="H664" s="39" t="n"/>
      <c r="I664" s="39" t="n"/>
    </row>
    <row r="665">
      <c r="A665" s="7" t="n"/>
      <c r="B665" s="7" t="n"/>
      <c r="C665" s="7" t="n"/>
      <c r="D665" s="39" t="n"/>
      <c r="E665" s="39" t="n"/>
      <c r="F665" s="7" t="n"/>
      <c r="G665" s="40" t="n"/>
      <c r="H665" s="39" t="n"/>
      <c r="I665" s="39" t="n"/>
    </row>
    <row r="666">
      <c r="A666" s="7" t="n"/>
      <c r="B666" s="7" t="n"/>
      <c r="C666" s="7" t="n"/>
      <c r="D666" s="39" t="n"/>
      <c r="E666" s="39" t="n"/>
      <c r="F666" s="7" t="n"/>
      <c r="G666" s="40" t="n"/>
      <c r="H666" s="39" t="n"/>
      <c r="I666" s="39" t="n"/>
    </row>
    <row r="667">
      <c r="A667" s="7" t="n"/>
      <c r="B667" s="7" t="n"/>
      <c r="C667" s="7" t="n"/>
      <c r="D667" s="39" t="n"/>
      <c r="E667" s="39" t="n"/>
      <c r="F667" s="7" t="n"/>
      <c r="G667" s="40" t="n"/>
      <c r="H667" s="39" t="n"/>
      <c r="I667" s="39" t="n"/>
    </row>
    <row r="668">
      <c r="A668" s="7" t="n"/>
      <c r="B668" s="7" t="n"/>
      <c r="C668" s="7" t="n"/>
      <c r="D668" s="39" t="n"/>
      <c r="E668" s="39" t="n"/>
      <c r="F668" s="7" t="n"/>
      <c r="G668" s="40" t="n"/>
      <c r="H668" s="39" t="n"/>
      <c r="I668" s="39" t="n"/>
    </row>
    <row r="669">
      <c r="A669" s="7" t="n"/>
      <c r="B669" s="7" t="n"/>
      <c r="C669" s="7" t="n"/>
      <c r="D669" s="39" t="n"/>
      <c r="E669" s="39" t="n"/>
      <c r="F669" s="7" t="n"/>
      <c r="G669" s="40" t="n"/>
      <c r="H669" s="39" t="n"/>
      <c r="I669" s="39" t="n"/>
    </row>
    <row r="670">
      <c r="A670" s="7" t="n"/>
      <c r="B670" s="7" t="n"/>
      <c r="C670" s="7" t="n"/>
      <c r="D670" s="39" t="n"/>
      <c r="E670" s="39" t="n"/>
      <c r="F670" s="7" t="n"/>
      <c r="G670" s="40" t="n"/>
      <c r="H670" s="39" t="n"/>
      <c r="I670" s="39" t="n"/>
    </row>
    <row r="671">
      <c r="A671" s="7" t="n"/>
      <c r="B671" s="7" t="n"/>
      <c r="C671" s="7" t="n"/>
      <c r="D671" s="39" t="n"/>
      <c r="E671" s="39" t="n"/>
      <c r="F671" s="7" t="n"/>
      <c r="G671" s="40" t="n"/>
      <c r="H671" s="39" t="n"/>
      <c r="I671" s="39" t="n"/>
    </row>
    <row r="672">
      <c r="A672" s="7" t="n"/>
      <c r="B672" s="7" t="n"/>
      <c r="C672" s="7" t="n"/>
      <c r="D672" s="39" t="n"/>
      <c r="E672" s="39" t="n"/>
      <c r="F672" s="7" t="n"/>
      <c r="G672" s="40" t="n"/>
      <c r="H672" s="39" t="n"/>
      <c r="I672" s="39" t="n"/>
    </row>
    <row r="673">
      <c r="A673" s="7" t="n"/>
      <c r="B673" s="7" t="n"/>
      <c r="C673" s="7" t="n"/>
      <c r="D673" s="39" t="n"/>
      <c r="E673" s="39" t="n"/>
      <c r="F673" s="7" t="n"/>
      <c r="G673" s="40" t="n"/>
      <c r="H673" s="39" t="n"/>
      <c r="I673" s="39" t="n"/>
    </row>
    <row r="674">
      <c r="A674" s="7" t="n"/>
      <c r="B674" s="7" t="n"/>
      <c r="C674" s="7" t="n"/>
      <c r="D674" s="39" t="n"/>
      <c r="E674" s="39" t="n"/>
      <c r="F674" s="7" t="n"/>
      <c r="G674" s="40" t="n"/>
      <c r="H674" s="39" t="n"/>
      <c r="I674" s="39" t="n"/>
    </row>
    <row r="675">
      <c r="A675" s="7" t="n"/>
      <c r="B675" s="7" t="n"/>
      <c r="C675" s="7" t="n"/>
      <c r="D675" s="39" t="n"/>
      <c r="E675" s="39" t="n"/>
      <c r="F675" s="7" t="n"/>
      <c r="G675" s="40" t="n"/>
      <c r="H675" s="39" t="n"/>
      <c r="I675" s="39" t="n"/>
    </row>
    <row r="676">
      <c r="A676" s="7" t="n"/>
      <c r="B676" s="7" t="n"/>
      <c r="C676" s="7" t="n"/>
      <c r="D676" s="39" t="n"/>
      <c r="E676" s="39" t="n"/>
      <c r="F676" s="7" t="n"/>
      <c r="G676" s="40" t="n"/>
      <c r="H676" s="39" t="n"/>
      <c r="I676" s="39" t="n"/>
    </row>
    <row r="677">
      <c r="A677" s="7" t="n"/>
      <c r="B677" s="7" t="n"/>
      <c r="C677" s="7" t="n"/>
      <c r="D677" s="39" t="n"/>
      <c r="E677" s="39" t="n"/>
      <c r="F677" s="7" t="n"/>
      <c r="G677" s="40" t="n"/>
      <c r="H677" s="39" t="n"/>
      <c r="I677" s="39" t="n"/>
    </row>
    <row r="678">
      <c r="A678" s="7" t="n"/>
      <c r="B678" s="7" t="n"/>
      <c r="C678" s="7" t="n"/>
      <c r="D678" s="39" t="n"/>
      <c r="E678" s="39" t="n"/>
      <c r="F678" s="7" t="n"/>
      <c r="G678" s="40" t="n"/>
      <c r="H678" s="39" t="n"/>
      <c r="I678" s="39" t="n"/>
    </row>
    <row r="679">
      <c r="A679" s="7" t="n"/>
      <c r="B679" s="7" t="n"/>
      <c r="C679" s="7" t="n"/>
      <c r="D679" s="39" t="n"/>
      <c r="E679" s="39" t="n"/>
      <c r="F679" s="7" t="n"/>
      <c r="G679" s="40" t="n"/>
      <c r="H679" s="39" t="n"/>
      <c r="I679" s="39" t="n"/>
    </row>
    <row r="680">
      <c r="A680" s="7" t="n"/>
      <c r="B680" s="7" t="n"/>
      <c r="C680" s="7" t="n"/>
      <c r="D680" s="39" t="n"/>
      <c r="E680" s="39" t="n"/>
      <c r="F680" s="7" t="n"/>
      <c r="G680" s="40" t="n"/>
      <c r="H680" s="39" t="n"/>
      <c r="I680" s="39" t="n"/>
    </row>
    <row r="681">
      <c r="A681" s="7" t="n"/>
      <c r="B681" s="7" t="n"/>
      <c r="C681" s="7" t="n"/>
      <c r="D681" s="39" t="n"/>
      <c r="E681" s="39" t="n"/>
      <c r="F681" s="7" t="n"/>
      <c r="G681" s="40" t="n"/>
      <c r="H681" s="39" t="n"/>
      <c r="I681" s="39" t="n"/>
    </row>
    <row r="682">
      <c r="A682" s="7" t="n"/>
      <c r="B682" s="7" t="n"/>
      <c r="C682" s="7" t="n"/>
      <c r="D682" s="39" t="n"/>
      <c r="E682" s="39" t="n"/>
      <c r="F682" s="7" t="n"/>
      <c r="G682" s="40" t="n"/>
      <c r="H682" s="39" t="n"/>
      <c r="I682" s="39" t="n"/>
    </row>
    <row r="683">
      <c r="A683" s="7" t="n"/>
      <c r="B683" s="7" t="n"/>
      <c r="C683" s="7" t="n"/>
      <c r="D683" s="39" t="n"/>
      <c r="E683" s="39" t="n"/>
      <c r="F683" s="7" t="n"/>
      <c r="G683" s="40" t="n"/>
      <c r="H683" s="39" t="n"/>
      <c r="I683" s="39" t="n"/>
    </row>
    <row r="684">
      <c r="A684" s="7" t="n"/>
      <c r="B684" s="7" t="n"/>
      <c r="C684" s="7" t="n"/>
      <c r="D684" s="39" t="n"/>
      <c r="E684" s="39" t="n"/>
      <c r="F684" s="7" t="n"/>
      <c r="G684" s="40" t="n"/>
      <c r="H684" s="39" t="n"/>
      <c r="I684" s="39" t="n"/>
    </row>
    <row r="685">
      <c r="A685" s="7" t="n"/>
      <c r="B685" s="7" t="n"/>
      <c r="C685" s="7" t="n"/>
      <c r="D685" s="39" t="n"/>
      <c r="E685" s="39" t="n"/>
      <c r="F685" s="7" t="n"/>
      <c r="G685" s="40" t="n"/>
      <c r="H685" s="39" t="n"/>
      <c r="I685" s="39" t="n"/>
    </row>
    <row r="686">
      <c r="A686" s="7" t="n"/>
      <c r="B686" s="7" t="n"/>
      <c r="C686" s="7" t="n"/>
      <c r="D686" s="39" t="n"/>
      <c r="E686" s="39" t="n"/>
      <c r="F686" s="7" t="n"/>
      <c r="G686" s="40" t="n"/>
      <c r="H686" s="39" t="n"/>
      <c r="I686" s="39" t="n"/>
    </row>
    <row r="687">
      <c r="A687" s="7" t="n"/>
      <c r="B687" s="7" t="n"/>
      <c r="C687" s="7" t="n"/>
      <c r="D687" s="39" t="n"/>
      <c r="E687" s="39" t="n"/>
      <c r="F687" s="7" t="n"/>
      <c r="G687" s="40" t="n"/>
      <c r="H687" s="39" t="n"/>
      <c r="I687" s="39" t="n"/>
    </row>
    <row r="688">
      <c r="A688" s="7" t="n"/>
      <c r="B688" s="7" t="n"/>
      <c r="C688" s="7" t="n"/>
      <c r="D688" s="39" t="n"/>
      <c r="E688" s="39" t="n"/>
      <c r="F688" s="7" t="n"/>
      <c r="G688" s="40" t="n"/>
      <c r="H688" s="39" t="n"/>
      <c r="I688" s="39" t="n"/>
    </row>
    <row r="689">
      <c r="A689" s="7" t="n"/>
      <c r="B689" s="7" t="n"/>
      <c r="C689" s="7" t="n"/>
      <c r="D689" s="39" t="n"/>
      <c r="E689" s="39" t="n"/>
      <c r="F689" s="7" t="n"/>
      <c r="G689" s="40" t="n"/>
      <c r="H689" s="39" t="n"/>
      <c r="I689" s="39" t="n"/>
    </row>
    <row r="690">
      <c r="A690" s="7" t="n"/>
      <c r="B690" s="7" t="n"/>
      <c r="C690" s="7" t="n"/>
      <c r="D690" s="39" t="n"/>
      <c r="E690" s="39" t="n"/>
      <c r="F690" s="7" t="n"/>
      <c r="G690" s="40" t="n"/>
      <c r="H690" s="39" t="n"/>
      <c r="I690" s="39" t="n"/>
    </row>
    <row r="691">
      <c r="A691" s="7" t="n"/>
      <c r="B691" s="7" t="n"/>
      <c r="C691" s="7" t="n"/>
      <c r="D691" s="39" t="n"/>
      <c r="E691" s="39" t="n"/>
      <c r="F691" s="7" t="n"/>
      <c r="G691" s="40" t="n"/>
      <c r="H691" s="39" t="n"/>
      <c r="I691" s="39" t="n"/>
    </row>
    <row r="692">
      <c r="A692" s="7" t="n"/>
      <c r="B692" s="7" t="n"/>
      <c r="C692" s="7" t="n"/>
      <c r="D692" s="39" t="n"/>
      <c r="E692" s="39" t="n"/>
      <c r="F692" s="7" t="n"/>
      <c r="G692" s="40" t="n"/>
      <c r="H692" s="39" t="n"/>
      <c r="I692" s="39" t="n"/>
    </row>
    <row r="693">
      <c r="A693" s="7" t="n"/>
      <c r="B693" s="7" t="n"/>
      <c r="C693" s="7" t="n"/>
      <c r="D693" s="39" t="n"/>
      <c r="E693" s="39" t="n"/>
      <c r="F693" s="7" t="n"/>
      <c r="G693" s="40" t="n"/>
      <c r="H693" s="39" t="n"/>
      <c r="I693" s="39" t="n"/>
    </row>
    <row r="694">
      <c r="A694" s="7" t="n"/>
      <c r="B694" s="7" t="n"/>
      <c r="C694" s="7" t="n"/>
      <c r="D694" s="39" t="n"/>
      <c r="E694" s="39" t="n"/>
      <c r="F694" s="7" t="n"/>
      <c r="G694" s="40" t="n"/>
      <c r="H694" s="39" t="n"/>
      <c r="I694" s="39" t="n"/>
    </row>
    <row r="695">
      <c r="A695" s="7" t="n"/>
      <c r="B695" s="7" t="n"/>
      <c r="C695" s="7" t="n"/>
      <c r="D695" s="39" t="n"/>
      <c r="E695" s="39" t="n"/>
      <c r="F695" s="7" t="n"/>
      <c r="G695" s="40" t="n"/>
      <c r="H695" s="39" t="n"/>
      <c r="I695" s="39" t="n"/>
    </row>
    <row r="696">
      <c r="A696" s="7" t="n"/>
      <c r="B696" s="7" t="n"/>
      <c r="C696" s="7" t="n"/>
      <c r="D696" s="39" t="n"/>
      <c r="E696" s="39" t="n"/>
      <c r="F696" s="7" t="n"/>
      <c r="G696" s="40" t="n"/>
      <c r="H696" s="39" t="n"/>
      <c r="I696" s="39" t="n"/>
    </row>
    <row r="697">
      <c r="A697" s="7" t="n"/>
      <c r="B697" s="7" t="n"/>
      <c r="C697" s="7" t="n"/>
      <c r="D697" s="39" t="n"/>
      <c r="E697" s="39" t="n"/>
      <c r="F697" s="7" t="n"/>
      <c r="G697" s="40" t="n"/>
      <c r="H697" s="39" t="n"/>
      <c r="I697" s="39" t="n"/>
    </row>
    <row r="698">
      <c r="A698" s="7" t="n"/>
      <c r="B698" s="7" t="n"/>
      <c r="C698" s="7" t="n"/>
      <c r="D698" s="39" t="n"/>
      <c r="E698" s="39" t="n"/>
      <c r="F698" s="7" t="n"/>
      <c r="G698" s="40" t="n"/>
      <c r="H698" s="39" t="n"/>
      <c r="I698" s="39" t="n"/>
    </row>
    <row r="699">
      <c r="A699" s="7" t="n"/>
      <c r="B699" s="7" t="n"/>
      <c r="C699" s="7" t="n"/>
      <c r="D699" s="39" t="n"/>
      <c r="E699" s="39" t="n"/>
      <c r="F699" s="7" t="n"/>
      <c r="G699" s="40" t="n"/>
      <c r="H699" s="39" t="n"/>
      <c r="I699" s="39" t="n"/>
    </row>
    <row r="700">
      <c r="A700" s="7" t="n"/>
      <c r="B700" s="7" t="n"/>
      <c r="C700" s="7" t="n"/>
      <c r="D700" s="39" t="n"/>
      <c r="E700" s="39" t="n"/>
      <c r="F700" s="7" t="n"/>
      <c r="G700" s="40" t="n"/>
      <c r="H700" s="39" t="n"/>
      <c r="I700" s="39" t="n"/>
    </row>
    <row r="701">
      <c r="A701" s="7" t="n"/>
      <c r="B701" s="7" t="n"/>
      <c r="C701" s="7" t="n"/>
      <c r="D701" s="39" t="n"/>
      <c r="E701" s="39" t="n"/>
      <c r="F701" s="7" t="n"/>
      <c r="G701" s="40" t="n"/>
      <c r="H701" s="39" t="n"/>
      <c r="I701" s="39" t="n"/>
    </row>
    <row r="702">
      <c r="A702" s="7" t="n"/>
      <c r="B702" s="7" t="n"/>
      <c r="C702" s="7" t="n"/>
      <c r="D702" s="39" t="n"/>
      <c r="E702" s="39" t="n"/>
      <c r="F702" s="7" t="n"/>
      <c r="G702" s="40" t="n"/>
      <c r="H702" s="39" t="n"/>
      <c r="I702" s="39" t="n"/>
    </row>
    <row r="703">
      <c r="A703" s="7" t="n"/>
      <c r="B703" s="7" t="n"/>
      <c r="C703" s="7" t="n"/>
      <c r="D703" s="39" t="n"/>
      <c r="E703" s="39" t="n"/>
      <c r="F703" s="7" t="n"/>
      <c r="G703" s="40" t="n"/>
      <c r="H703" s="39" t="n"/>
      <c r="I703" s="39" t="n"/>
    </row>
    <row r="704">
      <c r="A704" s="7" t="n"/>
      <c r="B704" s="7" t="n"/>
      <c r="C704" s="7" t="n"/>
      <c r="D704" s="39" t="n"/>
      <c r="E704" s="39" t="n"/>
      <c r="F704" s="7" t="n"/>
      <c r="G704" s="40" t="n"/>
      <c r="H704" s="39" t="n"/>
      <c r="I704" s="39" t="n"/>
    </row>
    <row r="705">
      <c r="A705" s="7" t="n"/>
      <c r="B705" s="7" t="n"/>
      <c r="C705" s="7" t="n"/>
      <c r="D705" s="39" t="n"/>
      <c r="E705" s="39" t="n"/>
      <c r="F705" s="7" t="n"/>
      <c r="G705" s="40" t="n"/>
      <c r="H705" s="39" t="n"/>
      <c r="I705" s="39" t="n"/>
    </row>
    <row r="706">
      <c r="A706" s="7" t="n"/>
      <c r="B706" s="7" t="n"/>
      <c r="C706" s="7" t="n"/>
      <c r="D706" s="39" t="n"/>
      <c r="E706" s="39" t="n"/>
      <c r="F706" s="7" t="n"/>
      <c r="G706" s="40" t="n"/>
      <c r="H706" s="39" t="n"/>
      <c r="I706" s="39" t="n"/>
    </row>
    <row r="707">
      <c r="A707" s="7" t="n"/>
      <c r="B707" s="7" t="n"/>
      <c r="C707" s="7" t="n"/>
      <c r="D707" s="39" t="n"/>
      <c r="E707" s="39" t="n"/>
      <c r="F707" s="7" t="n"/>
      <c r="G707" s="40" t="n"/>
      <c r="H707" s="39" t="n"/>
      <c r="I707" s="39" t="n"/>
    </row>
    <row r="708">
      <c r="A708" s="7" t="n"/>
      <c r="B708" s="7" t="n"/>
      <c r="C708" s="7" t="n"/>
      <c r="D708" s="39" t="n"/>
      <c r="E708" s="39" t="n"/>
      <c r="F708" s="7" t="n"/>
      <c r="G708" s="40" t="n"/>
      <c r="H708" s="39" t="n"/>
      <c r="I708" s="39" t="n"/>
    </row>
    <row r="709">
      <c r="A709" s="7" t="n"/>
      <c r="B709" s="7" t="n"/>
      <c r="C709" s="7" t="n"/>
      <c r="D709" s="39" t="n"/>
      <c r="E709" s="39" t="n"/>
      <c r="F709" s="7" t="n"/>
      <c r="G709" s="40" t="n"/>
      <c r="H709" s="39" t="n"/>
      <c r="I709" s="39" t="n"/>
    </row>
    <row r="710">
      <c r="A710" s="7" t="n"/>
      <c r="B710" s="7" t="n"/>
      <c r="C710" s="7" t="n"/>
      <c r="D710" s="39" t="n"/>
      <c r="E710" s="39" t="n"/>
      <c r="F710" s="7" t="n"/>
      <c r="G710" s="40" t="n"/>
      <c r="H710" s="39" t="n"/>
      <c r="I710" s="39" t="n"/>
    </row>
    <row r="711">
      <c r="A711" s="7" t="n"/>
      <c r="B711" s="7" t="n"/>
      <c r="C711" s="7" t="n"/>
      <c r="D711" s="39" t="n"/>
      <c r="E711" s="39" t="n"/>
      <c r="F711" s="7" t="n"/>
      <c r="G711" s="40" t="n"/>
      <c r="H711" s="39" t="n"/>
      <c r="I711" s="39" t="n"/>
    </row>
    <row r="712">
      <c r="A712" s="7" t="n"/>
      <c r="B712" s="7" t="n"/>
      <c r="C712" s="7" t="n"/>
      <c r="D712" s="39" t="n"/>
      <c r="E712" s="39" t="n"/>
      <c r="F712" s="7" t="n"/>
      <c r="G712" s="40" t="n"/>
      <c r="H712" s="39" t="n"/>
      <c r="I712" s="39" t="n"/>
    </row>
    <row r="713">
      <c r="A713" s="7" t="n"/>
      <c r="B713" s="7" t="n"/>
      <c r="C713" s="7" t="n"/>
      <c r="D713" s="39" t="n"/>
      <c r="E713" s="39" t="n"/>
      <c r="F713" s="7" t="n"/>
      <c r="G713" s="40" t="n"/>
      <c r="H713" s="39" t="n"/>
      <c r="I713" s="39" t="n"/>
    </row>
    <row r="714">
      <c r="A714" s="7" t="n"/>
      <c r="B714" s="7" t="n"/>
      <c r="C714" s="7" t="n"/>
      <c r="D714" s="39" t="n"/>
      <c r="E714" s="39" t="n"/>
      <c r="F714" s="7" t="n"/>
      <c r="G714" s="40" t="n"/>
      <c r="H714" s="39" t="n"/>
      <c r="I714" s="39" t="n"/>
    </row>
    <row r="715">
      <c r="A715" s="7" t="n"/>
      <c r="B715" s="7" t="n"/>
      <c r="C715" s="7" t="n"/>
      <c r="D715" s="39" t="n"/>
      <c r="E715" s="39" t="n"/>
      <c r="F715" s="7" t="n"/>
      <c r="G715" s="40" t="n"/>
      <c r="H715" s="39" t="n"/>
      <c r="I715" s="39" t="n"/>
    </row>
    <row r="716">
      <c r="A716" s="7" t="n"/>
      <c r="B716" s="7" t="n"/>
      <c r="C716" s="7" t="n"/>
      <c r="D716" s="39" t="n"/>
      <c r="E716" s="39" t="n"/>
      <c r="F716" s="7" t="n"/>
      <c r="G716" s="40" t="n"/>
      <c r="H716" s="39" t="n"/>
      <c r="I716" s="39" t="n"/>
    </row>
    <row r="717">
      <c r="A717" s="7" t="n"/>
      <c r="B717" s="7" t="n"/>
      <c r="C717" s="7" t="n"/>
      <c r="D717" s="39" t="n"/>
      <c r="E717" s="39" t="n"/>
      <c r="F717" s="7" t="n"/>
      <c r="G717" s="40" t="n"/>
      <c r="H717" s="39" t="n"/>
      <c r="I717" s="39" t="n"/>
    </row>
    <row r="718">
      <c r="A718" s="7" t="n"/>
      <c r="B718" s="7" t="n"/>
      <c r="C718" s="7" t="n"/>
      <c r="D718" s="39" t="n"/>
      <c r="E718" s="39" t="n"/>
      <c r="F718" s="7" t="n"/>
      <c r="G718" s="40" t="n"/>
      <c r="H718" s="39" t="n"/>
      <c r="I718" s="39" t="n"/>
    </row>
    <row r="719">
      <c r="A719" s="7" t="n"/>
      <c r="B719" s="7" t="n"/>
      <c r="C719" s="7" t="n"/>
      <c r="D719" s="39" t="n"/>
      <c r="E719" s="39" t="n"/>
      <c r="F719" s="7" t="n"/>
      <c r="G719" s="40" t="n"/>
      <c r="H719" s="39" t="n"/>
      <c r="I719" s="39" t="n"/>
    </row>
    <row r="720">
      <c r="A720" s="7" t="n"/>
      <c r="B720" s="7" t="n"/>
      <c r="C720" s="7" t="n"/>
      <c r="D720" s="39" t="n"/>
      <c r="E720" s="39" t="n"/>
      <c r="F720" s="7" t="n"/>
      <c r="G720" s="40" t="n"/>
      <c r="H720" s="39" t="n"/>
      <c r="I720" s="39" t="n"/>
    </row>
    <row r="721">
      <c r="A721" s="7" t="n"/>
      <c r="B721" s="7" t="n"/>
      <c r="C721" s="7" t="n"/>
      <c r="D721" s="39" t="n"/>
      <c r="E721" s="39" t="n"/>
      <c r="F721" s="7" t="n"/>
      <c r="G721" s="40" t="n"/>
      <c r="H721" s="39" t="n"/>
      <c r="I721" s="39" t="n"/>
    </row>
    <row r="722">
      <c r="A722" s="7" t="n"/>
      <c r="B722" s="7" t="n"/>
      <c r="C722" s="7" t="n"/>
      <c r="D722" s="39" t="n"/>
      <c r="E722" s="39" t="n"/>
      <c r="F722" s="7" t="n"/>
      <c r="G722" s="40" t="n"/>
      <c r="H722" s="39" t="n"/>
      <c r="I722" s="39" t="n"/>
    </row>
    <row r="723">
      <c r="A723" s="7" t="n"/>
      <c r="B723" s="7" t="n"/>
      <c r="C723" s="7" t="n"/>
      <c r="D723" s="39" t="n"/>
      <c r="E723" s="39" t="n"/>
      <c r="F723" s="7" t="n"/>
      <c r="G723" s="40" t="n"/>
      <c r="H723" s="39" t="n"/>
      <c r="I723" s="39" t="n"/>
    </row>
    <row r="724">
      <c r="A724" s="7" t="n"/>
      <c r="B724" s="7" t="n"/>
      <c r="C724" s="7" t="n"/>
      <c r="D724" s="39" t="n"/>
      <c r="E724" s="39" t="n"/>
      <c r="F724" s="7" t="n"/>
      <c r="G724" s="40" t="n"/>
      <c r="H724" s="39" t="n"/>
      <c r="I724" s="39" t="n"/>
    </row>
    <row r="725">
      <c r="A725" s="7" t="n"/>
      <c r="B725" s="7" t="n"/>
      <c r="C725" s="7" t="n"/>
      <c r="D725" s="39" t="n"/>
      <c r="E725" s="39" t="n"/>
      <c r="F725" s="7" t="n"/>
      <c r="G725" s="40" t="n"/>
      <c r="H725" s="39" t="n"/>
      <c r="I725" s="39" t="n"/>
    </row>
    <row r="726">
      <c r="A726" s="7" t="n"/>
      <c r="B726" s="7" t="n"/>
      <c r="C726" s="7" t="n"/>
      <c r="D726" s="39" t="n"/>
      <c r="E726" s="39" t="n"/>
      <c r="F726" s="7" t="n"/>
      <c r="G726" s="40" t="n"/>
      <c r="H726" s="39" t="n"/>
      <c r="I726" s="39" t="n"/>
    </row>
    <row r="727">
      <c r="A727" s="7" t="n"/>
      <c r="B727" s="7" t="n"/>
      <c r="C727" s="7" t="n"/>
      <c r="D727" s="39" t="n"/>
      <c r="E727" s="39" t="n"/>
      <c r="F727" s="7" t="n"/>
      <c r="G727" s="40" t="n"/>
      <c r="H727" s="39" t="n"/>
      <c r="I727" s="39" t="n"/>
    </row>
    <row r="728">
      <c r="A728" s="7" t="n"/>
      <c r="B728" s="7" t="n"/>
      <c r="C728" s="7" t="n"/>
      <c r="D728" s="39" t="n"/>
      <c r="E728" s="39" t="n"/>
      <c r="F728" s="7" t="n"/>
      <c r="G728" s="40" t="n"/>
      <c r="H728" s="39" t="n"/>
      <c r="I728" s="39" t="n"/>
    </row>
    <row r="729">
      <c r="A729" s="7" t="n"/>
      <c r="B729" s="7" t="n"/>
      <c r="C729" s="7" t="n"/>
      <c r="D729" s="39" t="n"/>
      <c r="E729" s="39" t="n"/>
      <c r="F729" s="7" t="n"/>
      <c r="G729" s="40" t="n"/>
      <c r="H729" s="39" t="n"/>
      <c r="I729" s="39" t="n"/>
    </row>
    <row r="730">
      <c r="A730" s="7" t="n"/>
      <c r="B730" s="7" t="n"/>
      <c r="C730" s="7" t="n"/>
      <c r="D730" s="39" t="n"/>
      <c r="E730" s="39" t="n"/>
      <c r="F730" s="7" t="n"/>
      <c r="G730" s="40" t="n"/>
      <c r="H730" s="39" t="n"/>
      <c r="I730" s="39" t="n"/>
    </row>
    <row r="731">
      <c r="A731" s="7" t="n"/>
      <c r="B731" s="7" t="n"/>
      <c r="C731" s="7" t="n"/>
      <c r="D731" s="39" t="n"/>
      <c r="E731" s="39" t="n"/>
      <c r="F731" s="7" t="n"/>
      <c r="G731" s="40" t="n"/>
      <c r="H731" s="39" t="n"/>
      <c r="I731" s="39" t="n"/>
    </row>
    <row r="732">
      <c r="A732" s="7" t="n"/>
      <c r="B732" s="7" t="n"/>
      <c r="C732" s="7" t="n"/>
      <c r="D732" s="39" t="n"/>
      <c r="E732" s="39" t="n"/>
      <c r="F732" s="7" t="n"/>
      <c r="G732" s="40" t="n"/>
      <c r="H732" s="39" t="n"/>
      <c r="I732" s="39" t="n"/>
    </row>
    <row r="733">
      <c r="A733" s="7" t="n"/>
      <c r="B733" s="7" t="n"/>
      <c r="C733" s="7" t="n"/>
      <c r="D733" s="39" t="n"/>
      <c r="E733" s="39" t="n"/>
      <c r="F733" s="7" t="n"/>
      <c r="G733" s="40" t="n"/>
      <c r="H733" s="39" t="n"/>
      <c r="I733" s="39" t="n"/>
    </row>
    <row r="734">
      <c r="A734" s="7" t="n"/>
      <c r="B734" s="7" t="n"/>
      <c r="C734" s="7" t="n"/>
      <c r="D734" s="39" t="n"/>
      <c r="E734" s="39" t="n"/>
      <c r="F734" s="7" t="n"/>
      <c r="G734" s="40" t="n"/>
      <c r="H734" s="39" t="n"/>
      <c r="I734" s="39" t="n"/>
    </row>
    <row r="735">
      <c r="A735" s="7" t="n"/>
      <c r="B735" s="7" t="n"/>
      <c r="C735" s="7" t="n"/>
      <c r="D735" s="39" t="n"/>
      <c r="E735" s="39" t="n"/>
      <c r="F735" s="7" t="n"/>
      <c r="G735" s="40" t="n"/>
      <c r="H735" s="39" t="n"/>
      <c r="I735" s="39" t="n"/>
    </row>
    <row r="736">
      <c r="A736" s="7" t="n"/>
      <c r="B736" s="7" t="n"/>
      <c r="C736" s="7" t="n"/>
      <c r="D736" s="39" t="n"/>
      <c r="E736" s="39" t="n"/>
      <c r="F736" s="7" t="n"/>
      <c r="G736" s="40" t="n"/>
      <c r="H736" s="39" t="n"/>
      <c r="I736" s="39" t="n"/>
    </row>
    <row r="737">
      <c r="A737" s="7" t="n"/>
      <c r="B737" s="7" t="n"/>
      <c r="C737" s="7" t="n"/>
      <c r="D737" s="39" t="n"/>
      <c r="E737" s="39" t="n"/>
      <c r="F737" s="7" t="n"/>
      <c r="G737" s="40" t="n"/>
      <c r="H737" s="39" t="n"/>
      <c r="I737" s="39" t="n"/>
    </row>
    <row r="738">
      <c r="A738" s="7" t="n"/>
      <c r="B738" s="7" t="n"/>
      <c r="C738" s="7" t="n"/>
      <c r="D738" s="39" t="n"/>
      <c r="E738" s="39" t="n"/>
      <c r="F738" s="7" t="n"/>
      <c r="G738" s="40" t="n"/>
      <c r="H738" s="39" t="n"/>
      <c r="I738" s="39" t="n"/>
    </row>
    <row r="739">
      <c r="A739" s="7" t="n"/>
      <c r="B739" s="7" t="n"/>
      <c r="C739" s="7" t="n"/>
      <c r="D739" s="39" t="n"/>
      <c r="E739" s="39" t="n"/>
      <c r="F739" s="7" t="n"/>
      <c r="G739" s="40" t="n"/>
      <c r="H739" s="39" t="n"/>
      <c r="I739" s="39" t="n"/>
    </row>
    <row r="740">
      <c r="A740" s="7" t="n"/>
      <c r="B740" s="7" t="n"/>
      <c r="C740" s="7" t="n"/>
      <c r="D740" s="39" t="n"/>
      <c r="E740" s="39" t="n"/>
      <c r="F740" s="7" t="n"/>
      <c r="G740" s="40" t="n"/>
      <c r="H740" s="39" t="n"/>
      <c r="I740" s="39" t="n"/>
    </row>
    <row r="741">
      <c r="A741" s="7" t="n"/>
      <c r="B741" s="7" t="n"/>
      <c r="C741" s="7" t="n"/>
      <c r="D741" s="39" t="n"/>
      <c r="E741" s="39" t="n"/>
      <c r="F741" s="7" t="n"/>
      <c r="G741" s="40" t="n"/>
      <c r="H741" s="39" t="n"/>
      <c r="I741" s="39" t="n"/>
    </row>
    <row r="742">
      <c r="A742" s="7" t="n"/>
      <c r="B742" s="7" t="n"/>
      <c r="C742" s="7" t="n"/>
      <c r="D742" s="39" t="n"/>
      <c r="E742" s="39" t="n"/>
      <c r="F742" s="7" t="n"/>
      <c r="G742" s="40" t="n"/>
      <c r="H742" s="39" t="n"/>
      <c r="I742" s="39" t="n"/>
    </row>
    <row r="743">
      <c r="A743" s="7" t="n"/>
      <c r="B743" s="7" t="n"/>
      <c r="C743" s="7" t="n"/>
      <c r="D743" s="39" t="n"/>
      <c r="E743" s="39" t="n"/>
      <c r="F743" s="7" t="n"/>
      <c r="G743" s="40" t="n"/>
      <c r="H743" s="39" t="n"/>
      <c r="I743" s="39" t="n"/>
    </row>
    <row r="744">
      <c r="A744" s="7" t="n"/>
      <c r="B744" s="7" t="n"/>
      <c r="C744" s="7" t="n"/>
      <c r="D744" s="39" t="n"/>
      <c r="E744" s="39" t="n"/>
      <c r="F744" s="7" t="n"/>
      <c r="G744" s="40" t="n"/>
      <c r="H744" s="39" t="n"/>
      <c r="I744" s="39" t="n"/>
    </row>
    <row r="745">
      <c r="A745" s="7" t="n"/>
      <c r="B745" s="7" t="n"/>
      <c r="C745" s="7" t="n"/>
      <c r="D745" s="39" t="n"/>
      <c r="E745" s="39" t="n"/>
      <c r="F745" s="7" t="n"/>
      <c r="G745" s="40" t="n"/>
      <c r="H745" s="39" t="n"/>
      <c r="I745" s="39" t="n"/>
    </row>
    <row r="746">
      <c r="A746" s="7" t="n"/>
      <c r="B746" s="7" t="n"/>
      <c r="C746" s="7" t="n"/>
      <c r="D746" s="39" t="n"/>
      <c r="E746" s="39" t="n"/>
      <c r="F746" s="7" t="n"/>
      <c r="G746" s="40" t="n"/>
      <c r="H746" s="39" t="n"/>
      <c r="I746" s="39" t="n"/>
    </row>
    <row r="747">
      <c r="A747" s="7" t="n"/>
      <c r="B747" s="7" t="n"/>
      <c r="C747" s="7" t="n"/>
      <c r="D747" s="39" t="n"/>
      <c r="E747" s="39" t="n"/>
      <c r="F747" s="7" t="n"/>
      <c r="G747" s="40" t="n"/>
      <c r="H747" s="39" t="n"/>
      <c r="I747" s="39" t="n"/>
    </row>
    <row r="748">
      <c r="A748" s="7" t="n"/>
      <c r="B748" s="7" t="n"/>
      <c r="C748" s="7" t="n"/>
      <c r="D748" s="39" t="n"/>
      <c r="E748" s="39" t="n"/>
      <c r="F748" s="7" t="n"/>
      <c r="G748" s="40" t="n"/>
      <c r="H748" s="39" t="n"/>
      <c r="I748" s="39" t="n"/>
    </row>
    <row r="749">
      <c r="A749" s="7" t="n"/>
      <c r="B749" s="7" t="n"/>
      <c r="C749" s="7" t="n"/>
      <c r="D749" s="39" t="n"/>
      <c r="E749" s="39" t="n"/>
      <c r="F749" s="7" t="n"/>
      <c r="G749" s="40" t="n"/>
      <c r="H749" s="39" t="n"/>
      <c r="I749" s="39" t="n"/>
    </row>
    <row r="750">
      <c r="A750" s="7" t="n"/>
      <c r="B750" s="7" t="n"/>
      <c r="C750" s="7" t="n"/>
      <c r="D750" s="39" t="n"/>
      <c r="E750" s="39" t="n"/>
      <c r="F750" s="7" t="n"/>
      <c r="G750" s="40" t="n"/>
      <c r="H750" s="39" t="n"/>
      <c r="I750" s="39" t="n"/>
    </row>
    <row r="751">
      <c r="A751" s="7" t="n"/>
      <c r="B751" s="7" t="n"/>
      <c r="C751" s="7" t="n"/>
      <c r="D751" s="39" t="n"/>
      <c r="E751" s="39" t="n"/>
      <c r="F751" s="7" t="n"/>
      <c r="G751" s="40" t="n"/>
      <c r="H751" s="39" t="n"/>
      <c r="I751" s="39" t="n"/>
    </row>
    <row r="752">
      <c r="A752" s="7" t="n"/>
      <c r="B752" s="7" t="n"/>
      <c r="C752" s="7" t="n"/>
      <c r="D752" s="39" t="n"/>
      <c r="E752" s="39" t="n"/>
      <c r="F752" s="7" t="n"/>
      <c r="G752" s="40" t="n"/>
      <c r="H752" s="39" t="n"/>
      <c r="I752" s="39" t="n"/>
    </row>
    <row r="753">
      <c r="A753" s="7" t="n"/>
      <c r="B753" s="7" t="n"/>
      <c r="C753" s="7" t="n"/>
      <c r="D753" s="39" t="n"/>
      <c r="E753" s="39" t="n"/>
      <c r="F753" s="7" t="n"/>
      <c r="G753" s="40" t="n"/>
      <c r="H753" s="39" t="n"/>
      <c r="I753" s="39" t="n"/>
    </row>
    <row r="754">
      <c r="A754" s="7" t="n"/>
      <c r="B754" s="7" t="n"/>
      <c r="C754" s="7" t="n"/>
      <c r="D754" s="39" t="n"/>
      <c r="E754" s="39" t="n"/>
      <c r="F754" s="7" t="n"/>
      <c r="G754" s="40" t="n"/>
      <c r="H754" s="39" t="n"/>
      <c r="I754" s="39" t="n"/>
    </row>
    <row r="755">
      <c r="A755" s="7" t="n"/>
      <c r="B755" s="7" t="n"/>
      <c r="C755" s="7" t="n"/>
      <c r="D755" s="39" t="n"/>
      <c r="E755" s="39" t="n"/>
      <c r="F755" s="7" t="n"/>
      <c r="G755" s="40" t="n"/>
      <c r="H755" s="39" t="n"/>
      <c r="I755" s="39" t="n"/>
    </row>
    <row r="756">
      <c r="A756" s="7" t="n"/>
      <c r="B756" s="7" t="n"/>
      <c r="C756" s="7" t="n"/>
      <c r="D756" s="39" t="n"/>
      <c r="E756" s="39" t="n"/>
      <c r="F756" s="7" t="n"/>
      <c r="G756" s="40" t="n"/>
      <c r="H756" s="39" t="n"/>
      <c r="I756" s="39" t="n"/>
    </row>
    <row r="757">
      <c r="A757" s="7" t="n"/>
      <c r="B757" s="7" t="n"/>
      <c r="C757" s="7" t="n"/>
      <c r="D757" s="39" t="n"/>
      <c r="E757" s="39" t="n"/>
      <c r="F757" s="7" t="n"/>
      <c r="G757" s="40" t="n"/>
      <c r="H757" s="39" t="n"/>
      <c r="I757" s="39" t="n"/>
    </row>
    <row r="758">
      <c r="A758" s="7" t="n"/>
      <c r="B758" s="7" t="n"/>
      <c r="C758" s="7" t="n"/>
      <c r="D758" s="39" t="n"/>
      <c r="E758" s="39" t="n"/>
      <c r="F758" s="7" t="n"/>
      <c r="G758" s="40" t="n"/>
      <c r="H758" s="39" t="n"/>
      <c r="I758" s="39" t="n"/>
    </row>
    <row r="759">
      <c r="A759" s="7" t="n"/>
      <c r="B759" s="7" t="n"/>
      <c r="C759" s="7" t="n"/>
      <c r="D759" s="39" t="n"/>
      <c r="E759" s="39" t="n"/>
      <c r="F759" s="7" t="n"/>
      <c r="G759" s="40" t="n"/>
      <c r="H759" s="39" t="n"/>
      <c r="I759" s="39" t="n"/>
    </row>
    <row r="760">
      <c r="A760" s="7" t="n"/>
      <c r="B760" s="7" t="n"/>
      <c r="C760" s="7" t="n"/>
      <c r="D760" s="39" t="n"/>
      <c r="E760" s="39" t="n"/>
      <c r="F760" s="7" t="n"/>
      <c r="G760" s="40" t="n"/>
      <c r="H760" s="39" t="n"/>
      <c r="I760" s="39" t="n"/>
    </row>
    <row r="761">
      <c r="A761" s="7" t="n"/>
      <c r="B761" s="7" t="n"/>
      <c r="C761" s="7" t="n"/>
      <c r="D761" s="39" t="n"/>
      <c r="E761" s="39" t="n"/>
      <c r="F761" s="7" t="n"/>
      <c r="G761" s="40" t="n"/>
      <c r="H761" s="39" t="n"/>
      <c r="I761" s="39" t="n"/>
    </row>
    <row r="762">
      <c r="A762" s="7" t="n"/>
      <c r="B762" s="7" t="n"/>
      <c r="C762" s="7" t="n"/>
      <c r="D762" s="39" t="n"/>
      <c r="E762" s="39" t="n"/>
      <c r="F762" s="7" t="n"/>
      <c r="G762" s="40" t="n"/>
      <c r="H762" s="39" t="n"/>
      <c r="I762" s="39" t="n"/>
    </row>
    <row r="763">
      <c r="A763" s="7" t="n"/>
      <c r="B763" s="7" t="n"/>
      <c r="C763" s="7" t="n"/>
      <c r="D763" s="39" t="n"/>
      <c r="E763" s="39" t="n"/>
      <c r="F763" s="7" t="n"/>
      <c r="G763" s="40" t="n"/>
      <c r="H763" s="39" t="n"/>
      <c r="I763" s="39" t="n"/>
    </row>
    <row r="764">
      <c r="A764" s="7" t="n"/>
      <c r="B764" s="7" t="n"/>
      <c r="C764" s="7" t="n"/>
      <c r="D764" s="39" t="n"/>
      <c r="E764" s="39" t="n"/>
      <c r="F764" s="7" t="n"/>
      <c r="G764" s="40" t="n"/>
      <c r="H764" s="39" t="n"/>
      <c r="I764" s="39" t="n"/>
    </row>
    <row r="765">
      <c r="A765" s="7" t="n"/>
      <c r="B765" s="7" t="n"/>
      <c r="C765" s="7" t="n"/>
      <c r="D765" s="39" t="n"/>
      <c r="E765" s="39" t="n"/>
      <c r="F765" s="7" t="n"/>
      <c r="G765" s="40" t="n"/>
      <c r="H765" s="39" t="n"/>
      <c r="I765" s="39" t="n"/>
    </row>
    <row r="766">
      <c r="A766" s="7" t="n"/>
      <c r="B766" s="7" t="n"/>
      <c r="C766" s="7" t="n"/>
      <c r="D766" s="39" t="n"/>
      <c r="E766" s="39" t="n"/>
      <c r="F766" s="7" t="n"/>
      <c r="G766" s="40" t="n"/>
      <c r="H766" s="39" t="n"/>
      <c r="I766" s="39" t="n"/>
    </row>
    <row r="767">
      <c r="A767" s="7" t="n"/>
      <c r="B767" s="7" t="n"/>
      <c r="C767" s="7" t="n"/>
      <c r="D767" s="39" t="n"/>
      <c r="E767" s="39" t="n"/>
      <c r="F767" s="7" t="n"/>
      <c r="G767" s="40" t="n"/>
      <c r="H767" s="39" t="n"/>
      <c r="I767" s="39" t="n"/>
    </row>
    <row r="768">
      <c r="A768" s="7" t="n"/>
      <c r="B768" s="7" t="n"/>
      <c r="C768" s="7" t="n"/>
      <c r="D768" s="39" t="n"/>
      <c r="E768" s="39" t="n"/>
      <c r="F768" s="7" t="n"/>
      <c r="G768" s="40" t="n"/>
      <c r="H768" s="39" t="n"/>
      <c r="I768" s="39" t="n"/>
    </row>
    <row r="769">
      <c r="A769" s="7" t="n"/>
      <c r="B769" s="7" t="n"/>
      <c r="C769" s="7" t="n"/>
      <c r="D769" s="39" t="n"/>
      <c r="E769" s="39" t="n"/>
      <c r="F769" s="7" t="n"/>
      <c r="G769" s="40" t="n"/>
      <c r="H769" s="39" t="n"/>
      <c r="I769" s="39" t="n"/>
    </row>
    <row r="770">
      <c r="A770" s="7" t="n"/>
      <c r="B770" s="7" t="n"/>
      <c r="C770" s="7" t="n"/>
      <c r="D770" s="39" t="n"/>
      <c r="E770" s="39" t="n"/>
      <c r="F770" s="7" t="n"/>
      <c r="G770" s="40" t="n"/>
      <c r="H770" s="39" t="n"/>
      <c r="I770" s="39" t="n"/>
    </row>
    <row r="771">
      <c r="A771" s="7" t="n"/>
      <c r="B771" s="7" t="n"/>
      <c r="C771" s="7" t="n"/>
      <c r="D771" s="39" t="n"/>
      <c r="E771" s="39" t="n"/>
      <c r="F771" s="7" t="n"/>
      <c r="G771" s="40" t="n"/>
      <c r="H771" s="39" t="n"/>
      <c r="I771" s="39" t="n"/>
    </row>
    <row r="772">
      <c r="A772" s="7" t="n"/>
      <c r="B772" s="7" t="n"/>
      <c r="C772" s="7" t="n"/>
      <c r="D772" s="39" t="n"/>
      <c r="E772" s="39" t="n"/>
      <c r="F772" s="7" t="n"/>
      <c r="G772" s="40" t="n"/>
      <c r="H772" s="39" t="n"/>
      <c r="I772" s="39" t="n"/>
    </row>
    <row r="773">
      <c r="A773" s="7" t="n"/>
      <c r="B773" s="7" t="n"/>
      <c r="C773" s="7" t="n"/>
      <c r="D773" s="39" t="n"/>
      <c r="E773" s="39" t="n"/>
      <c r="F773" s="7" t="n"/>
      <c r="G773" s="40" t="n"/>
      <c r="H773" s="39" t="n"/>
      <c r="I773" s="39" t="n"/>
    </row>
    <row r="774">
      <c r="A774" s="7" t="n"/>
      <c r="B774" s="7" t="n"/>
      <c r="C774" s="7" t="n"/>
      <c r="D774" s="39" t="n"/>
      <c r="E774" s="39" t="n"/>
      <c r="F774" s="7" t="n"/>
      <c r="G774" s="40" t="n"/>
      <c r="H774" s="39" t="n"/>
      <c r="I774" s="39" t="n"/>
    </row>
    <row r="775">
      <c r="A775" s="7" t="n"/>
      <c r="B775" s="7" t="n"/>
      <c r="C775" s="7" t="n"/>
      <c r="D775" s="39" t="n"/>
      <c r="E775" s="39" t="n"/>
      <c r="F775" s="7" t="n"/>
      <c r="G775" s="40" t="n"/>
      <c r="H775" s="39" t="n"/>
      <c r="I775" s="39" t="n"/>
    </row>
    <row r="776">
      <c r="A776" s="7" t="n"/>
      <c r="B776" s="7" t="n"/>
      <c r="C776" s="7" t="n"/>
      <c r="D776" s="39" t="n"/>
      <c r="E776" s="39" t="n"/>
      <c r="F776" s="7" t="n"/>
      <c r="G776" s="40" t="n"/>
      <c r="H776" s="39" t="n"/>
      <c r="I776" s="39" t="n"/>
    </row>
    <row r="777">
      <c r="A777" s="7" t="n"/>
      <c r="B777" s="7" t="n"/>
      <c r="C777" s="7" t="n"/>
      <c r="D777" s="39" t="n"/>
      <c r="E777" s="39" t="n"/>
      <c r="F777" s="7" t="n"/>
      <c r="G777" s="40" t="n"/>
      <c r="H777" s="39" t="n"/>
      <c r="I777" s="39" t="n"/>
    </row>
    <row r="778">
      <c r="A778" s="7" t="n"/>
      <c r="B778" s="7" t="n"/>
      <c r="C778" s="7" t="n"/>
      <c r="D778" s="39" t="n"/>
      <c r="E778" s="39" t="n"/>
      <c r="F778" s="7" t="n"/>
      <c r="G778" s="40" t="n"/>
      <c r="H778" s="39" t="n"/>
      <c r="I778" s="39" t="n"/>
    </row>
    <row r="779">
      <c r="A779" s="7" t="n"/>
      <c r="B779" s="7" t="n"/>
      <c r="C779" s="7" t="n"/>
      <c r="D779" s="39" t="n"/>
      <c r="E779" s="39" t="n"/>
      <c r="F779" s="7" t="n"/>
      <c r="G779" s="40" t="n"/>
      <c r="H779" s="39" t="n"/>
      <c r="I779" s="39" t="n"/>
    </row>
    <row r="780">
      <c r="A780" s="7" t="n"/>
      <c r="B780" s="7" t="n"/>
      <c r="C780" s="7" t="n"/>
      <c r="D780" s="39" t="n"/>
      <c r="E780" s="39" t="n"/>
      <c r="F780" s="7" t="n"/>
      <c r="G780" s="40" t="n"/>
      <c r="H780" s="39" t="n"/>
      <c r="I780" s="39" t="n"/>
    </row>
    <row r="781">
      <c r="A781" s="7" t="n"/>
      <c r="B781" s="7" t="n"/>
      <c r="C781" s="7" t="n"/>
      <c r="D781" s="39" t="n"/>
      <c r="E781" s="39" t="n"/>
      <c r="F781" s="7" t="n"/>
      <c r="G781" s="40" t="n"/>
      <c r="H781" s="39" t="n"/>
      <c r="I781" s="39" t="n"/>
    </row>
    <row r="782">
      <c r="A782" s="7" t="n"/>
      <c r="B782" s="7" t="n"/>
      <c r="C782" s="7" t="n"/>
      <c r="D782" s="39" t="n"/>
      <c r="E782" s="39" t="n"/>
      <c r="F782" s="7" t="n"/>
      <c r="G782" s="40" t="n"/>
      <c r="H782" s="39" t="n"/>
      <c r="I782" s="39" t="n"/>
    </row>
    <row r="783">
      <c r="A783" s="7" t="n"/>
      <c r="B783" s="7" t="n"/>
      <c r="C783" s="7" t="n"/>
      <c r="D783" s="39" t="n"/>
      <c r="E783" s="39" t="n"/>
      <c r="F783" s="7" t="n"/>
      <c r="G783" s="40" t="n"/>
      <c r="H783" s="39" t="n"/>
      <c r="I783" s="39" t="n"/>
    </row>
    <row r="784">
      <c r="A784" s="7" t="n"/>
      <c r="B784" s="7" t="n"/>
      <c r="C784" s="7" t="n"/>
      <c r="D784" s="39" t="n"/>
      <c r="E784" s="39" t="n"/>
      <c r="F784" s="7" t="n"/>
      <c r="G784" s="40" t="n"/>
      <c r="H784" s="39" t="n"/>
      <c r="I784" s="39" t="n"/>
    </row>
    <row r="785">
      <c r="A785" s="7" t="n"/>
      <c r="B785" s="7" t="n"/>
      <c r="C785" s="7" t="n"/>
      <c r="D785" s="39" t="n"/>
      <c r="E785" s="39" t="n"/>
      <c r="F785" s="7" t="n"/>
      <c r="G785" s="40" t="n"/>
      <c r="H785" s="39" t="n"/>
      <c r="I785" s="39" t="n"/>
    </row>
    <row r="786">
      <c r="A786" s="7" t="n"/>
      <c r="B786" s="7" t="n"/>
      <c r="C786" s="7" t="n"/>
      <c r="D786" s="39" t="n"/>
      <c r="E786" s="39" t="n"/>
      <c r="F786" s="7" t="n"/>
      <c r="G786" s="40" t="n"/>
      <c r="H786" s="39" t="n"/>
      <c r="I786" s="39" t="n"/>
    </row>
    <row r="787">
      <c r="A787" s="7" t="n"/>
      <c r="B787" s="7" t="n"/>
      <c r="C787" s="7" t="n"/>
      <c r="D787" s="39" t="n"/>
      <c r="E787" s="39" t="n"/>
      <c r="F787" s="7" t="n"/>
      <c r="G787" s="40" t="n"/>
      <c r="H787" s="39" t="n"/>
      <c r="I787" s="39" t="n"/>
    </row>
    <row r="788">
      <c r="A788" s="7" t="n"/>
      <c r="B788" s="7" t="n"/>
      <c r="C788" s="7" t="n"/>
      <c r="D788" s="39" t="n"/>
      <c r="E788" s="39" t="n"/>
      <c r="F788" s="7" t="n"/>
      <c r="G788" s="40" t="n"/>
      <c r="H788" s="39" t="n"/>
      <c r="I788" s="39" t="n"/>
    </row>
    <row r="789">
      <c r="A789" s="7" t="n"/>
      <c r="B789" s="7" t="n"/>
      <c r="C789" s="7" t="n"/>
      <c r="D789" s="39" t="n"/>
      <c r="E789" s="39" t="n"/>
      <c r="F789" s="7" t="n"/>
      <c r="G789" s="40" t="n"/>
      <c r="H789" s="39" t="n"/>
      <c r="I789" s="39" t="n"/>
    </row>
    <row r="790">
      <c r="A790" s="7" t="n"/>
      <c r="B790" s="7" t="n"/>
      <c r="C790" s="7" t="n"/>
      <c r="D790" s="39" t="n"/>
      <c r="E790" s="39" t="n"/>
      <c r="F790" s="7" t="n"/>
      <c r="G790" s="40" t="n"/>
      <c r="H790" s="39" t="n"/>
      <c r="I790" s="39" t="n"/>
    </row>
    <row r="791">
      <c r="A791" s="7" t="n"/>
      <c r="B791" s="7" t="n"/>
      <c r="C791" s="7" t="n"/>
      <c r="D791" s="39" t="n"/>
      <c r="E791" s="39" t="n"/>
      <c r="F791" s="7" t="n"/>
      <c r="G791" s="40" t="n"/>
      <c r="H791" s="39" t="n"/>
      <c r="I791" s="39" t="n"/>
    </row>
    <row r="792">
      <c r="A792" s="7" t="n"/>
      <c r="B792" s="7" t="n"/>
      <c r="C792" s="7" t="n"/>
      <c r="D792" s="39" t="n"/>
      <c r="E792" s="39" t="n"/>
      <c r="F792" s="7" t="n"/>
      <c r="G792" s="40" t="n"/>
      <c r="H792" s="39" t="n"/>
      <c r="I792" s="39" t="n"/>
    </row>
    <row r="793">
      <c r="A793" s="7" t="n"/>
      <c r="B793" s="7" t="n"/>
      <c r="C793" s="7" t="n"/>
      <c r="D793" s="39" t="n"/>
      <c r="E793" s="39" t="n"/>
      <c r="F793" s="7" t="n"/>
      <c r="G793" s="40" t="n"/>
      <c r="H793" s="39" t="n"/>
      <c r="I793" s="39" t="n"/>
    </row>
    <row r="794">
      <c r="A794" s="7" t="n"/>
      <c r="B794" s="7" t="n"/>
      <c r="C794" s="7" t="n"/>
      <c r="D794" s="39" t="n"/>
      <c r="E794" s="39" t="n"/>
      <c r="F794" s="7" t="n"/>
      <c r="G794" s="40" t="n"/>
      <c r="H794" s="39" t="n"/>
      <c r="I794" s="39" t="n"/>
    </row>
    <row r="795">
      <c r="A795" s="7" t="n"/>
      <c r="B795" s="7" t="n"/>
      <c r="C795" s="7" t="n"/>
      <c r="D795" s="39" t="n"/>
      <c r="E795" s="39" t="n"/>
      <c r="F795" s="7" t="n"/>
      <c r="G795" s="40" t="n"/>
      <c r="H795" s="39" t="n"/>
      <c r="I795" s="39" t="n"/>
    </row>
    <row r="796">
      <c r="A796" s="7" t="n"/>
      <c r="B796" s="7" t="n"/>
      <c r="C796" s="7" t="n"/>
      <c r="D796" s="39" t="n"/>
      <c r="E796" s="39" t="n"/>
      <c r="F796" s="7" t="n"/>
      <c r="G796" s="40" t="n"/>
      <c r="H796" s="39" t="n"/>
      <c r="I796" s="39" t="n"/>
    </row>
    <row r="797">
      <c r="A797" s="7" t="n"/>
      <c r="B797" s="7" t="n"/>
      <c r="C797" s="7" t="n"/>
      <c r="D797" s="39" t="n"/>
      <c r="E797" s="39" t="n"/>
      <c r="F797" s="7" t="n"/>
      <c r="G797" s="40" t="n"/>
      <c r="H797" s="39" t="n"/>
      <c r="I797" s="39" t="n"/>
    </row>
    <row r="798">
      <c r="A798" s="7" t="n"/>
      <c r="B798" s="7" t="n"/>
      <c r="C798" s="7" t="n"/>
      <c r="D798" s="39" t="n"/>
      <c r="E798" s="39" t="n"/>
      <c r="F798" s="7" t="n"/>
      <c r="G798" s="40" t="n"/>
      <c r="H798" s="39" t="n"/>
      <c r="I798" s="39" t="n"/>
    </row>
    <row r="799">
      <c r="A799" s="7" t="n"/>
      <c r="B799" s="7" t="n"/>
      <c r="C799" s="7" t="n"/>
      <c r="D799" s="39" t="n"/>
      <c r="E799" s="39" t="n"/>
      <c r="F799" s="7" t="n"/>
      <c r="G799" s="40" t="n"/>
      <c r="H799" s="39" t="n"/>
      <c r="I799" s="39" t="n"/>
    </row>
    <row r="800">
      <c r="A800" s="7" t="n"/>
      <c r="B800" s="7" t="n"/>
      <c r="C800" s="7" t="n"/>
      <c r="D800" s="39" t="n"/>
      <c r="E800" s="39" t="n"/>
      <c r="F800" s="7" t="n"/>
      <c r="G800" s="40" t="n"/>
      <c r="H800" s="39" t="n"/>
      <c r="I800" s="39" t="n"/>
    </row>
    <row r="801">
      <c r="A801" s="7" t="n"/>
      <c r="B801" s="7" t="n"/>
      <c r="C801" s="7" t="n"/>
      <c r="D801" s="39" t="n"/>
      <c r="E801" s="39" t="n"/>
      <c r="F801" s="7" t="n"/>
      <c r="G801" s="40" t="n"/>
      <c r="H801" s="39" t="n"/>
      <c r="I801" s="39" t="n"/>
    </row>
    <row r="802">
      <c r="A802" s="7" t="n"/>
      <c r="B802" s="7" t="n"/>
      <c r="C802" s="7" t="n"/>
      <c r="D802" s="39" t="n"/>
      <c r="E802" s="39" t="n"/>
      <c r="F802" s="7" t="n"/>
      <c r="G802" s="40" t="n"/>
      <c r="H802" s="39" t="n"/>
      <c r="I802" s="39" t="n"/>
    </row>
    <row r="803">
      <c r="A803" s="7" t="n"/>
      <c r="B803" s="7" t="n"/>
      <c r="C803" s="7" t="n"/>
      <c r="D803" s="39" t="n"/>
      <c r="E803" s="39" t="n"/>
      <c r="F803" s="7" t="n"/>
      <c r="G803" s="40" t="n"/>
      <c r="H803" s="39" t="n"/>
      <c r="I803" s="39" t="n"/>
    </row>
    <row r="804">
      <c r="A804" s="7" t="n"/>
      <c r="B804" s="7" t="n"/>
      <c r="C804" s="7" t="n"/>
      <c r="D804" s="39" t="n"/>
      <c r="E804" s="39" t="n"/>
      <c r="F804" s="7" t="n"/>
      <c r="G804" s="40" t="n"/>
      <c r="H804" s="39" t="n"/>
      <c r="I804" s="39" t="n"/>
    </row>
    <row r="805">
      <c r="A805" s="7" t="n"/>
      <c r="B805" s="7" t="n"/>
      <c r="C805" s="7" t="n"/>
      <c r="D805" s="39" t="n"/>
      <c r="E805" s="39" t="n"/>
      <c r="F805" s="7" t="n"/>
      <c r="G805" s="40" t="n"/>
      <c r="H805" s="39" t="n"/>
      <c r="I805" s="39" t="n"/>
    </row>
    <row r="806">
      <c r="A806" s="7" t="n"/>
      <c r="B806" s="7" t="n"/>
      <c r="C806" s="7" t="n"/>
      <c r="D806" s="39" t="n"/>
      <c r="E806" s="39" t="n"/>
      <c r="F806" s="7" t="n"/>
      <c r="G806" s="40" t="n"/>
      <c r="H806" s="39" t="n"/>
      <c r="I806" s="39" t="n"/>
    </row>
    <row r="807">
      <c r="A807" s="7" t="n"/>
      <c r="B807" s="7" t="n"/>
      <c r="C807" s="7" t="n"/>
      <c r="D807" s="39" t="n"/>
      <c r="E807" s="39" t="n"/>
      <c r="F807" s="7" t="n"/>
      <c r="G807" s="40" t="n"/>
      <c r="H807" s="39" t="n"/>
      <c r="I807" s="39" t="n"/>
    </row>
    <row r="808">
      <c r="A808" s="7" t="n"/>
      <c r="B808" s="7" t="n"/>
      <c r="C808" s="7" t="n"/>
      <c r="D808" s="39" t="n"/>
      <c r="E808" s="39" t="n"/>
      <c r="F808" s="7" t="n"/>
      <c r="G808" s="40" t="n"/>
      <c r="H808" s="39" t="n"/>
      <c r="I808" s="39" t="n"/>
    </row>
    <row r="809">
      <c r="A809" s="7" t="n"/>
      <c r="B809" s="7" t="n"/>
      <c r="C809" s="7" t="n"/>
      <c r="D809" s="39" t="n"/>
      <c r="E809" s="39" t="n"/>
      <c r="F809" s="7" t="n"/>
      <c r="G809" s="40" t="n"/>
      <c r="H809" s="39" t="n"/>
      <c r="I809" s="39" t="n"/>
    </row>
    <row r="810">
      <c r="A810" s="7" t="n"/>
      <c r="B810" s="7" t="n"/>
      <c r="C810" s="7" t="n"/>
      <c r="D810" s="39" t="n"/>
      <c r="E810" s="39" t="n"/>
      <c r="F810" s="7" t="n"/>
      <c r="G810" s="40" t="n"/>
      <c r="H810" s="39" t="n"/>
      <c r="I810" s="39" t="n"/>
    </row>
    <row r="811">
      <c r="A811" s="7" t="n"/>
      <c r="B811" s="7" t="n"/>
      <c r="C811" s="7" t="n"/>
      <c r="D811" s="39" t="n"/>
      <c r="E811" s="39" t="n"/>
      <c r="F811" s="7" t="n"/>
      <c r="G811" s="40" t="n"/>
      <c r="H811" s="39" t="n"/>
      <c r="I811" s="39" t="n"/>
    </row>
    <row r="812">
      <c r="A812" s="7" t="n"/>
      <c r="B812" s="7" t="n"/>
      <c r="C812" s="7" t="n"/>
      <c r="D812" s="39" t="n"/>
      <c r="E812" s="39" t="n"/>
      <c r="F812" s="7" t="n"/>
      <c r="G812" s="40" t="n"/>
      <c r="H812" s="39" t="n"/>
      <c r="I812" s="39" t="n"/>
    </row>
    <row r="813">
      <c r="A813" s="7" t="n"/>
      <c r="B813" s="7" t="n"/>
      <c r="C813" s="7" t="n"/>
      <c r="D813" s="39" t="n"/>
      <c r="E813" s="39" t="n"/>
      <c r="F813" s="7" t="n"/>
      <c r="G813" s="40" t="n"/>
      <c r="H813" s="39" t="n"/>
      <c r="I813" s="39" t="n"/>
    </row>
    <row r="814">
      <c r="A814" s="7" t="n"/>
      <c r="B814" s="7" t="n"/>
      <c r="C814" s="7" t="n"/>
      <c r="D814" s="39" t="n"/>
      <c r="E814" s="39" t="n"/>
      <c r="F814" s="7" t="n"/>
      <c r="G814" s="40" t="n"/>
      <c r="H814" s="39" t="n"/>
      <c r="I814" s="39" t="n"/>
    </row>
    <row r="815">
      <c r="A815" s="7" t="n"/>
      <c r="B815" s="7" t="n"/>
      <c r="C815" s="7" t="n"/>
      <c r="D815" s="39" t="n"/>
      <c r="E815" s="39" t="n"/>
      <c r="F815" s="7" t="n"/>
      <c r="G815" s="40" t="n"/>
      <c r="H815" s="39" t="n"/>
      <c r="I815" s="39" t="n"/>
    </row>
    <row r="816">
      <c r="A816" s="7" t="n"/>
      <c r="B816" s="7" t="n"/>
      <c r="C816" s="7" t="n"/>
      <c r="D816" s="39" t="n"/>
      <c r="E816" s="39" t="n"/>
      <c r="F816" s="7" t="n"/>
      <c r="G816" s="40" t="n"/>
      <c r="H816" s="39" t="n"/>
      <c r="I816" s="39" t="n"/>
    </row>
    <row r="817">
      <c r="A817" s="7" t="n"/>
      <c r="B817" s="7" t="n"/>
      <c r="C817" s="7" t="n"/>
      <c r="D817" s="39" t="n"/>
      <c r="E817" s="39" t="n"/>
      <c r="F817" s="7" t="n"/>
      <c r="G817" s="40" t="n"/>
      <c r="H817" s="39" t="n"/>
      <c r="I817" s="39" t="n"/>
    </row>
    <row r="818">
      <c r="A818" s="7" t="n"/>
      <c r="B818" s="7" t="n"/>
      <c r="C818" s="7" t="n"/>
      <c r="D818" s="39" t="n"/>
      <c r="E818" s="39" t="n"/>
      <c r="F818" s="7" t="n"/>
      <c r="G818" s="40" t="n"/>
      <c r="H818" s="39" t="n"/>
      <c r="I818" s="39" t="n"/>
    </row>
    <row r="819">
      <c r="A819" s="7" t="n"/>
      <c r="B819" s="7" t="n"/>
      <c r="C819" s="7" t="n"/>
      <c r="D819" s="39" t="n"/>
      <c r="E819" s="39" t="n"/>
      <c r="F819" s="7" t="n"/>
      <c r="G819" s="40" t="n"/>
      <c r="H819" s="39" t="n"/>
      <c r="I819" s="39" t="n"/>
    </row>
    <row r="820">
      <c r="A820" s="7" t="n"/>
      <c r="B820" s="7" t="n"/>
      <c r="C820" s="7" t="n"/>
      <c r="D820" s="39" t="n"/>
      <c r="E820" s="39" t="n"/>
      <c r="F820" s="7" t="n"/>
      <c r="G820" s="40" t="n"/>
      <c r="H820" s="39" t="n"/>
      <c r="I820" s="39" t="n"/>
    </row>
    <row r="821">
      <c r="A821" s="7" t="n"/>
      <c r="B821" s="7" t="n"/>
      <c r="C821" s="7" t="n"/>
      <c r="D821" s="39" t="n"/>
      <c r="E821" s="39" t="n"/>
      <c r="F821" s="7" t="n"/>
      <c r="G821" s="40" t="n"/>
      <c r="H821" s="39" t="n"/>
      <c r="I821" s="39" t="n"/>
    </row>
    <row r="822">
      <c r="A822" s="7" t="n"/>
      <c r="B822" s="7" t="n"/>
      <c r="C822" s="7" t="n"/>
      <c r="D822" s="39" t="n"/>
      <c r="E822" s="39" t="n"/>
      <c r="F822" s="7" t="n"/>
      <c r="G822" s="40" t="n"/>
      <c r="H822" s="39" t="n"/>
      <c r="I822" s="39" t="n"/>
    </row>
    <row r="823">
      <c r="A823" s="7" t="n"/>
      <c r="B823" s="7" t="n"/>
      <c r="C823" s="7" t="n"/>
      <c r="D823" s="39" t="n"/>
      <c r="E823" s="39" t="n"/>
      <c r="F823" s="7" t="n"/>
      <c r="G823" s="40" t="n"/>
      <c r="H823" s="39" t="n"/>
      <c r="I823" s="39" t="n"/>
    </row>
    <row r="824">
      <c r="A824" s="7" t="n"/>
      <c r="B824" s="7" t="n"/>
      <c r="C824" s="7" t="n"/>
      <c r="D824" s="39" t="n"/>
      <c r="E824" s="39" t="n"/>
      <c r="F824" s="7" t="n"/>
      <c r="G824" s="40" t="n"/>
      <c r="H824" s="39" t="n"/>
      <c r="I824" s="39" t="n"/>
    </row>
    <row r="825">
      <c r="A825" s="7" t="n"/>
      <c r="B825" s="7" t="n"/>
      <c r="C825" s="7" t="n"/>
      <c r="D825" s="39" t="n"/>
      <c r="E825" s="39" t="n"/>
      <c r="F825" s="7" t="n"/>
      <c r="G825" s="40" t="n"/>
      <c r="H825" s="39" t="n"/>
      <c r="I825" s="39" t="n"/>
    </row>
    <row r="826">
      <c r="A826" s="7" t="n"/>
      <c r="B826" s="7" t="n"/>
      <c r="C826" s="7" t="n"/>
      <c r="D826" s="39" t="n"/>
      <c r="E826" s="39" t="n"/>
      <c r="F826" s="7" t="n"/>
      <c r="G826" s="40" t="n"/>
      <c r="H826" s="39" t="n"/>
      <c r="I826" s="39" t="n"/>
    </row>
    <row r="827">
      <c r="A827" s="7" t="n"/>
      <c r="B827" s="7" t="n"/>
      <c r="C827" s="7" t="n"/>
      <c r="D827" s="39" t="n"/>
      <c r="E827" s="39" t="n"/>
      <c r="F827" s="7" t="n"/>
      <c r="G827" s="40" t="n"/>
      <c r="H827" s="39" t="n"/>
      <c r="I827" s="39" t="n"/>
    </row>
    <row r="828">
      <c r="A828" s="7" t="n"/>
      <c r="B828" s="7" t="n"/>
      <c r="C828" s="7" t="n"/>
      <c r="D828" s="39" t="n"/>
      <c r="E828" s="39" t="n"/>
      <c r="F828" s="7" t="n"/>
      <c r="G828" s="40" t="n"/>
      <c r="H828" s="39" t="n"/>
      <c r="I828" s="39" t="n"/>
    </row>
    <row r="829">
      <c r="A829" s="7" t="n"/>
      <c r="B829" s="7" t="n"/>
      <c r="C829" s="7" t="n"/>
      <c r="D829" s="39" t="n"/>
      <c r="E829" s="39" t="n"/>
      <c r="F829" s="7" t="n"/>
      <c r="G829" s="40" t="n"/>
      <c r="H829" s="39" t="n"/>
      <c r="I829" s="39" t="n"/>
    </row>
    <row r="830">
      <c r="A830" s="7" t="n"/>
      <c r="B830" s="7" t="n"/>
      <c r="C830" s="7" t="n"/>
      <c r="D830" s="39" t="n"/>
      <c r="E830" s="39" t="n"/>
      <c r="F830" s="7" t="n"/>
      <c r="G830" s="40" t="n"/>
      <c r="H830" s="39" t="n"/>
      <c r="I830" s="39" t="n"/>
    </row>
    <row r="831">
      <c r="A831" s="7" t="n"/>
      <c r="B831" s="7" t="n"/>
      <c r="C831" s="7" t="n"/>
      <c r="D831" s="39" t="n"/>
      <c r="E831" s="39" t="n"/>
      <c r="F831" s="7" t="n"/>
      <c r="G831" s="40" t="n"/>
      <c r="H831" s="39" t="n"/>
      <c r="I831" s="39" t="n"/>
    </row>
    <row r="832">
      <c r="A832" s="7" t="n"/>
      <c r="B832" s="7" t="n"/>
      <c r="C832" s="7" t="n"/>
      <c r="D832" s="39" t="n"/>
      <c r="E832" s="39" t="n"/>
      <c r="F832" s="7" t="n"/>
      <c r="G832" s="40" t="n"/>
      <c r="H832" s="39" t="n"/>
      <c r="I832" s="39" t="n"/>
    </row>
    <row r="833">
      <c r="A833" s="7" t="n"/>
      <c r="B833" s="7" t="n"/>
      <c r="C833" s="7" t="n"/>
      <c r="D833" s="39" t="n"/>
      <c r="E833" s="39" t="n"/>
      <c r="F833" s="7" t="n"/>
      <c r="G833" s="40" t="n"/>
      <c r="H833" s="39" t="n"/>
      <c r="I833" s="39" t="n"/>
    </row>
    <row r="834">
      <c r="A834" s="7" t="n"/>
      <c r="B834" s="7" t="n"/>
      <c r="C834" s="7" t="n"/>
      <c r="D834" s="39" t="n"/>
      <c r="E834" s="39" t="n"/>
      <c r="F834" s="7" t="n"/>
      <c r="G834" s="40" t="n"/>
      <c r="H834" s="39" t="n"/>
      <c r="I834" s="39" t="n"/>
    </row>
    <row r="835">
      <c r="A835" s="7" t="n"/>
      <c r="B835" s="7" t="n"/>
      <c r="C835" s="7" t="n"/>
      <c r="D835" s="39" t="n"/>
      <c r="E835" s="39" t="n"/>
      <c r="F835" s="7" t="n"/>
      <c r="G835" s="40" t="n"/>
      <c r="H835" s="39" t="n"/>
      <c r="I835" s="39" t="n"/>
    </row>
    <row r="836">
      <c r="A836" s="7" t="n"/>
      <c r="B836" s="7" t="n"/>
      <c r="C836" s="7" t="n"/>
      <c r="D836" s="39" t="n"/>
      <c r="E836" s="39" t="n"/>
      <c r="F836" s="7" t="n"/>
      <c r="G836" s="40" t="n"/>
      <c r="H836" s="39" t="n"/>
      <c r="I836" s="39" t="n"/>
    </row>
    <row r="837">
      <c r="A837" s="7" t="n"/>
      <c r="B837" s="7" t="n"/>
      <c r="C837" s="7" t="n"/>
      <c r="D837" s="39" t="n"/>
      <c r="E837" s="39" t="n"/>
      <c r="F837" s="7" t="n"/>
      <c r="G837" s="40" t="n"/>
      <c r="H837" s="39" t="n"/>
      <c r="I837" s="39" t="n"/>
    </row>
    <row r="838">
      <c r="A838" s="7" t="n"/>
      <c r="B838" s="7" t="n"/>
      <c r="C838" s="7" t="n"/>
      <c r="D838" s="39" t="n"/>
      <c r="E838" s="39" t="n"/>
      <c r="F838" s="7" t="n"/>
      <c r="G838" s="40" t="n"/>
      <c r="H838" s="39" t="n"/>
      <c r="I838" s="39" t="n"/>
    </row>
    <row r="839">
      <c r="A839" s="7" t="n"/>
      <c r="B839" s="7" t="n"/>
      <c r="C839" s="7" t="n"/>
      <c r="D839" s="39" t="n"/>
      <c r="E839" s="39" t="n"/>
      <c r="F839" s="7" t="n"/>
      <c r="G839" s="40" t="n"/>
      <c r="H839" s="39" t="n"/>
      <c r="I839" s="39" t="n"/>
    </row>
    <row r="840">
      <c r="A840" s="7" t="n"/>
      <c r="B840" s="7" t="n"/>
      <c r="C840" s="7" t="n"/>
      <c r="D840" s="39" t="n"/>
      <c r="E840" s="39" t="n"/>
      <c r="F840" s="7" t="n"/>
      <c r="G840" s="40" t="n"/>
      <c r="H840" s="39" t="n"/>
      <c r="I840" s="39" t="n"/>
    </row>
    <row r="841">
      <c r="A841" s="7" t="n"/>
      <c r="B841" s="7" t="n"/>
      <c r="C841" s="7" t="n"/>
      <c r="D841" s="39" t="n"/>
      <c r="E841" s="39" t="n"/>
      <c r="F841" s="7" t="n"/>
      <c r="G841" s="40" t="n"/>
      <c r="H841" s="39" t="n"/>
      <c r="I841" s="39" t="n"/>
    </row>
    <row r="842">
      <c r="A842" s="7" t="n"/>
      <c r="B842" s="7" t="n"/>
      <c r="C842" s="7" t="n"/>
      <c r="D842" s="39" t="n"/>
      <c r="E842" s="39" t="n"/>
      <c r="F842" s="7" t="n"/>
      <c r="G842" s="40" t="n"/>
      <c r="H842" s="39" t="n"/>
      <c r="I842" s="39" t="n"/>
    </row>
    <row r="843">
      <c r="A843" s="7" t="n"/>
      <c r="B843" s="7" t="n"/>
      <c r="C843" s="7" t="n"/>
      <c r="D843" s="39" t="n"/>
      <c r="E843" s="39" t="n"/>
      <c r="F843" s="7" t="n"/>
      <c r="G843" s="40" t="n"/>
      <c r="H843" s="39" t="n"/>
      <c r="I843" s="39" t="n"/>
    </row>
    <row r="844">
      <c r="A844" s="7" t="n"/>
      <c r="B844" s="7" t="n"/>
      <c r="C844" s="7" t="n"/>
      <c r="D844" s="39" t="n"/>
      <c r="E844" s="39" t="n"/>
      <c r="F844" s="7" t="n"/>
      <c r="G844" s="40" t="n"/>
      <c r="H844" s="39" t="n"/>
      <c r="I844" s="39" t="n"/>
    </row>
    <row r="845">
      <c r="A845" s="7" t="n"/>
      <c r="B845" s="7" t="n"/>
      <c r="C845" s="7" t="n"/>
      <c r="D845" s="39" t="n"/>
      <c r="E845" s="39" t="n"/>
      <c r="F845" s="7" t="n"/>
      <c r="G845" s="40" t="n"/>
      <c r="H845" s="39" t="n"/>
      <c r="I845" s="39" t="n"/>
    </row>
    <row r="846">
      <c r="A846" s="7" t="n"/>
      <c r="B846" s="7" t="n"/>
      <c r="C846" s="7" t="n"/>
      <c r="D846" s="39" t="n"/>
      <c r="E846" s="39" t="n"/>
      <c r="F846" s="7" t="n"/>
      <c r="G846" s="40" t="n"/>
      <c r="H846" s="39" t="n"/>
      <c r="I846" s="39" t="n"/>
    </row>
    <row r="847">
      <c r="A847" s="7" t="n"/>
      <c r="B847" s="7" t="n"/>
      <c r="C847" s="7" t="n"/>
      <c r="D847" s="39" t="n"/>
      <c r="E847" s="39" t="n"/>
      <c r="F847" s="7" t="n"/>
      <c r="G847" s="40" t="n"/>
      <c r="H847" s="39" t="n"/>
      <c r="I847" s="39" t="n"/>
    </row>
    <row r="848">
      <c r="A848" s="7" t="n"/>
      <c r="B848" s="7" t="n"/>
      <c r="C848" s="7" t="n"/>
      <c r="D848" s="39" t="n"/>
      <c r="E848" s="39" t="n"/>
      <c r="F848" s="7" t="n"/>
      <c r="G848" s="40" t="n"/>
      <c r="H848" s="39" t="n"/>
      <c r="I848" s="39" t="n"/>
    </row>
    <row r="849">
      <c r="A849" s="7" t="n"/>
      <c r="B849" s="7" t="n"/>
      <c r="C849" s="7" t="n"/>
      <c r="D849" s="39" t="n"/>
      <c r="E849" s="39" t="n"/>
      <c r="F849" s="7" t="n"/>
      <c r="G849" s="40" t="n"/>
      <c r="H849" s="39" t="n"/>
      <c r="I849" s="39" t="n"/>
    </row>
    <row r="850">
      <c r="A850" s="7" t="n"/>
      <c r="B850" s="7" t="n"/>
      <c r="C850" s="7" t="n"/>
      <c r="D850" s="39" t="n"/>
      <c r="E850" s="39" t="n"/>
      <c r="F850" s="7" t="n"/>
      <c r="G850" s="40" t="n"/>
      <c r="H850" s="39" t="n"/>
      <c r="I850" s="39" t="n"/>
    </row>
    <row r="851">
      <c r="A851" s="7" t="n"/>
      <c r="B851" s="7" t="n"/>
      <c r="C851" s="7" t="n"/>
      <c r="D851" s="39" t="n"/>
      <c r="E851" s="39" t="n"/>
      <c r="F851" s="7" t="n"/>
      <c r="G851" s="40" t="n"/>
      <c r="H851" s="39" t="n"/>
      <c r="I851" s="39" t="n"/>
    </row>
    <row r="852">
      <c r="A852" s="7" t="n"/>
      <c r="B852" s="7" t="n"/>
      <c r="C852" s="7" t="n"/>
      <c r="D852" s="39" t="n"/>
      <c r="E852" s="39" t="n"/>
      <c r="F852" s="7" t="n"/>
      <c r="G852" s="40" t="n"/>
      <c r="H852" s="39" t="n"/>
      <c r="I852" s="39" t="n"/>
    </row>
    <row r="853">
      <c r="A853" s="7" t="n"/>
      <c r="B853" s="7" t="n"/>
      <c r="C853" s="7" t="n"/>
      <c r="D853" s="39" t="n"/>
      <c r="E853" s="39" t="n"/>
      <c r="F853" s="7" t="n"/>
      <c r="G853" s="40" t="n"/>
      <c r="H853" s="39" t="n"/>
      <c r="I853" s="39" t="n"/>
    </row>
    <row r="854">
      <c r="A854" s="7" t="n"/>
      <c r="B854" s="7" t="n"/>
      <c r="C854" s="7" t="n"/>
      <c r="D854" s="39" t="n"/>
      <c r="E854" s="39" t="n"/>
      <c r="F854" s="7" t="n"/>
      <c r="G854" s="40" t="n"/>
      <c r="H854" s="39" t="n"/>
      <c r="I854" s="39" t="n"/>
    </row>
    <row r="855">
      <c r="A855" s="7" t="n"/>
      <c r="B855" s="7" t="n"/>
      <c r="C855" s="7" t="n"/>
      <c r="D855" s="39" t="n"/>
      <c r="E855" s="39" t="n"/>
      <c r="F855" s="7" t="n"/>
      <c r="G855" s="40" t="n"/>
      <c r="H855" s="39" t="n"/>
      <c r="I855" s="39" t="n"/>
    </row>
    <row r="856">
      <c r="A856" s="7" t="n"/>
      <c r="B856" s="7" t="n"/>
      <c r="C856" s="7" t="n"/>
      <c r="D856" s="39" t="n"/>
      <c r="E856" s="39" t="n"/>
      <c r="F856" s="7" t="n"/>
      <c r="G856" s="40" t="n"/>
      <c r="H856" s="39" t="n"/>
      <c r="I856" s="39" t="n"/>
    </row>
    <row r="857">
      <c r="A857" s="7" t="n"/>
      <c r="B857" s="7" t="n"/>
      <c r="C857" s="7" t="n"/>
      <c r="D857" s="39" t="n"/>
      <c r="E857" s="39" t="n"/>
      <c r="F857" s="7" t="n"/>
      <c r="G857" s="40" t="n"/>
      <c r="H857" s="39" t="n"/>
      <c r="I857" s="39" t="n"/>
    </row>
    <row r="858">
      <c r="A858" s="7" t="n"/>
      <c r="B858" s="7" t="n"/>
      <c r="C858" s="7" t="n"/>
      <c r="D858" s="39" t="n"/>
      <c r="E858" s="39" t="n"/>
      <c r="F858" s="7" t="n"/>
      <c r="G858" s="40" t="n"/>
      <c r="H858" s="39" t="n"/>
      <c r="I858" s="39" t="n"/>
    </row>
    <row r="859">
      <c r="A859" s="7" t="n"/>
      <c r="B859" s="7" t="n"/>
      <c r="C859" s="7" t="n"/>
      <c r="D859" s="39" t="n"/>
      <c r="E859" s="39" t="n"/>
      <c r="F859" s="7" t="n"/>
      <c r="G859" s="40" t="n"/>
      <c r="H859" s="39" t="n"/>
      <c r="I859" s="39" t="n"/>
    </row>
    <row r="860">
      <c r="A860" s="7" t="n"/>
      <c r="B860" s="7" t="n"/>
      <c r="C860" s="7" t="n"/>
      <c r="D860" s="39" t="n"/>
      <c r="E860" s="39" t="n"/>
      <c r="F860" s="7" t="n"/>
      <c r="G860" s="40" t="n"/>
      <c r="H860" s="39" t="n"/>
      <c r="I860" s="39" t="n"/>
    </row>
    <row r="861">
      <c r="A861" s="7" t="n"/>
      <c r="B861" s="7" t="n"/>
      <c r="C861" s="7" t="n"/>
      <c r="D861" s="39" t="n"/>
      <c r="E861" s="39" t="n"/>
      <c r="F861" s="7" t="n"/>
      <c r="G861" s="40" t="n"/>
      <c r="H861" s="39" t="n"/>
      <c r="I861" s="39" t="n"/>
    </row>
    <row r="862">
      <c r="A862" s="7" t="n"/>
      <c r="B862" s="7" t="n"/>
      <c r="C862" s="7" t="n"/>
      <c r="D862" s="39" t="n"/>
      <c r="E862" s="39" t="n"/>
      <c r="F862" s="7" t="n"/>
      <c r="G862" s="40" t="n"/>
      <c r="H862" s="39" t="n"/>
      <c r="I862" s="39" t="n"/>
    </row>
    <row r="863">
      <c r="A863" s="7" t="n"/>
      <c r="B863" s="7" t="n"/>
      <c r="C863" s="7" t="n"/>
      <c r="D863" s="39" t="n"/>
      <c r="E863" s="39" t="n"/>
      <c r="F863" s="7" t="n"/>
      <c r="G863" s="40" t="n"/>
      <c r="H863" s="39" t="n"/>
      <c r="I863" s="39" t="n"/>
    </row>
    <row r="864">
      <c r="A864" s="7" t="n"/>
      <c r="B864" s="7" t="n"/>
      <c r="C864" s="7" t="n"/>
      <c r="D864" s="39" t="n"/>
      <c r="E864" s="39" t="n"/>
      <c r="F864" s="7" t="n"/>
      <c r="G864" s="40" t="n"/>
      <c r="H864" s="39" t="n"/>
      <c r="I864" s="39" t="n"/>
    </row>
    <row r="865">
      <c r="A865" s="7" t="n"/>
      <c r="B865" s="7" t="n"/>
      <c r="C865" s="7" t="n"/>
      <c r="D865" s="39" t="n"/>
      <c r="E865" s="39" t="n"/>
      <c r="F865" s="7" t="n"/>
      <c r="G865" s="40" t="n"/>
      <c r="H865" s="39" t="n"/>
      <c r="I865" s="39" t="n"/>
    </row>
    <row r="866">
      <c r="A866" s="7" t="n"/>
      <c r="B866" s="7" t="n"/>
      <c r="C866" s="7" t="n"/>
      <c r="D866" s="39" t="n"/>
      <c r="E866" s="39" t="n"/>
      <c r="F866" s="7" t="n"/>
      <c r="G866" s="40" t="n"/>
      <c r="H866" s="39" t="n"/>
      <c r="I866" s="39" t="n"/>
    </row>
    <row r="867">
      <c r="A867" s="7" t="n"/>
      <c r="B867" s="7" t="n"/>
      <c r="C867" s="7" t="n"/>
      <c r="D867" s="39" t="n"/>
      <c r="E867" s="39" t="n"/>
      <c r="F867" s="7" t="n"/>
      <c r="G867" s="40" t="n"/>
      <c r="H867" s="39" t="n"/>
      <c r="I867" s="39" t="n"/>
    </row>
    <row r="868">
      <c r="A868" s="7" t="n"/>
      <c r="B868" s="7" t="n"/>
      <c r="C868" s="7" t="n"/>
      <c r="D868" s="39" t="n"/>
      <c r="E868" s="39" t="n"/>
      <c r="F868" s="7" t="n"/>
      <c r="G868" s="40" t="n"/>
      <c r="H868" s="39" t="n"/>
      <c r="I868" s="39" t="n"/>
    </row>
    <row r="869">
      <c r="A869" s="7" t="n"/>
      <c r="B869" s="7" t="n"/>
      <c r="C869" s="7" t="n"/>
      <c r="D869" s="39" t="n"/>
      <c r="E869" s="39" t="n"/>
      <c r="F869" s="7" t="n"/>
      <c r="G869" s="40" t="n"/>
      <c r="H869" s="39" t="n"/>
      <c r="I869" s="39" t="n"/>
    </row>
    <row r="870">
      <c r="A870" s="7" t="n"/>
      <c r="B870" s="7" t="n"/>
      <c r="C870" s="7" t="n"/>
      <c r="D870" s="39" t="n"/>
      <c r="E870" s="39" t="n"/>
      <c r="F870" s="7" t="n"/>
      <c r="G870" s="40" t="n"/>
      <c r="H870" s="39" t="n"/>
      <c r="I870" s="39" t="n"/>
    </row>
    <row r="871">
      <c r="A871" s="7" t="n"/>
      <c r="B871" s="7" t="n"/>
      <c r="C871" s="7" t="n"/>
      <c r="D871" s="39" t="n"/>
      <c r="E871" s="39" t="n"/>
      <c r="F871" s="7" t="n"/>
      <c r="G871" s="40" t="n"/>
      <c r="H871" s="39" t="n"/>
      <c r="I871" s="39" t="n"/>
    </row>
    <row r="872">
      <c r="A872" s="7" t="n"/>
      <c r="B872" s="7" t="n"/>
      <c r="C872" s="7" t="n"/>
      <c r="D872" s="39" t="n"/>
      <c r="E872" s="39" t="n"/>
      <c r="F872" s="7" t="n"/>
      <c r="G872" s="40" t="n"/>
      <c r="H872" s="39" t="n"/>
      <c r="I872" s="39" t="n"/>
    </row>
    <row r="873">
      <c r="A873" s="7" t="n"/>
      <c r="B873" s="7" t="n"/>
      <c r="C873" s="7" t="n"/>
      <c r="D873" s="39" t="n"/>
      <c r="E873" s="39" t="n"/>
      <c r="F873" s="7" t="n"/>
      <c r="G873" s="40" t="n"/>
      <c r="H873" s="39" t="n"/>
      <c r="I873" s="39" t="n"/>
    </row>
    <row r="874">
      <c r="A874" s="7" t="n"/>
      <c r="B874" s="7" t="n"/>
      <c r="C874" s="7" t="n"/>
      <c r="D874" s="39" t="n"/>
      <c r="E874" s="39" t="n"/>
      <c r="F874" s="7" t="n"/>
      <c r="G874" s="40" t="n"/>
      <c r="H874" s="39" t="n"/>
      <c r="I874" s="39" t="n"/>
    </row>
    <row r="875">
      <c r="A875" s="7" t="n"/>
      <c r="B875" s="7" t="n"/>
      <c r="C875" s="7" t="n"/>
      <c r="D875" s="39" t="n"/>
      <c r="E875" s="39" t="n"/>
      <c r="F875" s="7" t="n"/>
      <c r="G875" s="40" t="n"/>
      <c r="H875" s="39" t="n"/>
      <c r="I875" s="39" t="n"/>
    </row>
    <row r="876">
      <c r="A876" s="7" t="n"/>
      <c r="B876" s="7" t="n"/>
      <c r="C876" s="7" t="n"/>
      <c r="D876" s="39" t="n"/>
      <c r="E876" s="39" t="n"/>
      <c r="F876" s="7" t="n"/>
      <c r="G876" s="40" t="n"/>
      <c r="H876" s="39" t="n"/>
      <c r="I876" s="39" t="n"/>
    </row>
    <row r="877">
      <c r="A877" s="7" t="n"/>
      <c r="B877" s="7" t="n"/>
      <c r="C877" s="7" t="n"/>
      <c r="D877" s="39" t="n"/>
      <c r="E877" s="39" t="n"/>
      <c r="F877" s="7" t="n"/>
      <c r="G877" s="40" t="n"/>
      <c r="H877" s="39" t="n"/>
      <c r="I877" s="39" t="n"/>
    </row>
    <row r="878">
      <c r="A878" s="7" t="n"/>
      <c r="B878" s="7" t="n"/>
      <c r="C878" s="7" t="n"/>
      <c r="D878" s="39" t="n"/>
      <c r="E878" s="39" t="n"/>
      <c r="F878" s="7" t="n"/>
      <c r="G878" s="40" t="n"/>
      <c r="H878" s="39" t="n"/>
      <c r="I878" s="39" t="n"/>
    </row>
    <row r="879">
      <c r="A879" s="7" t="n"/>
      <c r="B879" s="7" t="n"/>
      <c r="C879" s="7" t="n"/>
      <c r="D879" s="39" t="n"/>
      <c r="E879" s="39" t="n"/>
      <c r="F879" s="7" t="n"/>
      <c r="G879" s="40" t="n"/>
      <c r="H879" s="39" t="n"/>
      <c r="I879" s="39" t="n"/>
    </row>
    <row r="880">
      <c r="A880" s="7" t="n"/>
      <c r="B880" s="7" t="n"/>
      <c r="C880" s="7" t="n"/>
      <c r="D880" s="39" t="n"/>
      <c r="E880" s="39" t="n"/>
      <c r="F880" s="7" t="n"/>
      <c r="G880" s="40" t="n"/>
      <c r="H880" s="39" t="n"/>
      <c r="I880" s="39" t="n"/>
    </row>
    <row r="881">
      <c r="A881" s="7" t="n"/>
      <c r="B881" s="7" t="n"/>
      <c r="C881" s="7" t="n"/>
      <c r="D881" s="39" t="n"/>
      <c r="E881" s="39" t="n"/>
      <c r="F881" s="7" t="n"/>
      <c r="G881" s="40" t="n"/>
      <c r="H881" s="39" t="n"/>
      <c r="I881" s="39" t="n"/>
    </row>
    <row r="882">
      <c r="A882" s="7" t="n"/>
      <c r="B882" s="7" t="n"/>
      <c r="C882" s="7" t="n"/>
      <c r="D882" s="39" t="n"/>
      <c r="E882" s="39" t="n"/>
      <c r="F882" s="7" t="n"/>
      <c r="G882" s="40" t="n"/>
      <c r="H882" s="39" t="n"/>
      <c r="I882" s="39" t="n"/>
    </row>
    <row r="883">
      <c r="A883" s="7" t="n"/>
      <c r="B883" s="7" t="n"/>
      <c r="C883" s="7" t="n"/>
      <c r="D883" s="39" t="n"/>
      <c r="E883" s="39" t="n"/>
      <c r="F883" s="7" t="n"/>
      <c r="G883" s="40" t="n"/>
      <c r="H883" s="39" t="n"/>
      <c r="I883" s="39" t="n"/>
    </row>
    <row r="884">
      <c r="A884" s="7" t="n"/>
      <c r="B884" s="7" t="n"/>
      <c r="C884" s="7" t="n"/>
      <c r="D884" s="39" t="n"/>
      <c r="E884" s="39" t="n"/>
      <c r="F884" s="7" t="n"/>
      <c r="G884" s="40" t="n"/>
      <c r="H884" s="39" t="n"/>
      <c r="I884" s="39" t="n"/>
    </row>
    <row r="885">
      <c r="A885" s="7" t="n"/>
      <c r="B885" s="7" t="n"/>
      <c r="C885" s="7" t="n"/>
      <c r="D885" s="39" t="n"/>
      <c r="E885" s="39" t="n"/>
      <c r="F885" s="7" t="n"/>
      <c r="G885" s="40" t="n"/>
      <c r="H885" s="39" t="n"/>
      <c r="I885" s="39" t="n"/>
    </row>
    <row r="886">
      <c r="A886" s="7" t="n"/>
      <c r="B886" s="7" t="n"/>
      <c r="C886" s="7" t="n"/>
      <c r="D886" s="39" t="n"/>
      <c r="E886" s="39" t="n"/>
      <c r="F886" s="7" t="n"/>
      <c r="G886" s="40" t="n"/>
      <c r="H886" s="39" t="n"/>
      <c r="I886" s="39" t="n"/>
    </row>
    <row r="887">
      <c r="A887" s="7" t="n"/>
      <c r="B887" s="7" t="n"/>
      <c r="C887" s="7" t="n"/>
      <c r="D887" s="39" t="n"/>
      <c r="E887" s="39" t="n"/>
      <c r="F887" s="7" t="n"/>
      <c r="G887" s="40" t="n"/>
      <c r="H887" s="39" t="n"/>
      <c r="I887" s="39" t="n"/>
    </row>
    <row r="888">
      <c r="A888" s="7" t="n"/>
      <c r="B888" s="7" t="n"/>
      <c r="C888" s="7" t="n"/>
      <c r="D888" s="39" t="n"/>
      <c r="E888" s="39" t="n"/>
      <c r="F888" s="7" t="n"/>
      <c r="G888" s="40" t="n"/>
      <c r="H888" s="39" t="n"/>
      <c r="I888" s="39" t="n"/>
    </row>
    <row r="889">
      <c r="A889" s="7" t="n"/>
      <c r="B889" s="7" t="n"/>
      <c r="C889" s="7" t="n"/>
      <c r="D889" s="39" t="n"/>
      <c r="E889" s="39" t="n"/>
      <c r="F889" s="7" t="n"/>
      <c r="G889" s="40" t="n"/>
      <c r="H889" s="39" t="n"/>
      <c r="I889" s="39" t="n"/>
    </row>
    <row r="890">
      <c r="A890" s="7" t="n"/>
      <c r="B890" s="7" t="n"/>
      <c r="C890" s="7" t="n"/>
      <c r="D890" s="39" t="n"/>
      <c r="E890" s="39" t="n"/>
      <c r="F890" s="7" t="n"/>
      <c r="G890" s="40" t="n"/>
      <c r="H890" s="39" t="n"/>
      <c r="I890" s="39" t="n"/>
    </row>
    <row r="891">
      <c r="A891" s="7" t="n"/>
      <c r="B891" s="7" t="n"/>
      <c r="C891" s="7" t="n"/>
      <c r="D891" s="39" t="n"/>
      <c r="E891" s="39" t="n"/>
      <c r="F891" s="7" t="n"/>
      <c r="G891" s="40" t="n"/>
      <c r="H891" s="39" t="n"/>
      <c r="I891" s="39" t="n"/>
    </row>
    <row r="892">
      <c r="A892" s="7" t="n"/>
      <c r="B892" s="7" t="n"/>
      <c r="C892" s="7" t="n"/>
      <c r="D892" s="39" t="n"/>
      <c r="E892" s="39" t="n"/>
      <c r="F892" s="7" t="n"/>
      <c r="G892" s="40" t="n"/>
      <c r="H892" s="39" t="n"/>
      <c r="I892" s="39" t="n"/>
    </row>
    <row r="893">
      <c r="A893" s="7" t="n"/>
      <c r="B893" s="7" t="n"/>
      <c r="C893" s="7" t="n"/>
      <c r="D893" s="39" t="n"/>
      <c r="E893" s="39" t="n"/>
      <c r="F893" s="7" t="n"/>
      <c r="G893" s="40" t="n"/>
      <c r="H893" s="39" t="n"/>
      <c r="I893" s="39" t="n"/>
    </row>
    <row r="894">
      <c r="A894" s="7" t="n"/>
      <c r="B894" s="7" t="n"/>
      <c r="C894" s="7" t="n"/>
      <c r="D894" s="39" t="n"/>
      <c r="E894" s="39" t="n"/>
      <c r="F894" s="7" t="n"/>
      <c r="G894" s="40" t="n"/>
      <c r="H894" s="39" t="n"/>
      <c r="I894" s="39" t="n"/>
    </row>
    <row r="895">
      <c r="A895" s="7" t="n"/>
      <c r="B895" s="7" t="n"/>
      <c r="C895" s="7" t="n"/>
      <c r="D895" s="39" t="n"/>
      <c r="E895" s="39" t="n"/>
      <c r="F895" s="7" t="n"/>
      <c r="G895" s="40" t="n"/>
      <c r="H895" s="39" t="n"/>
      <c r="I895" s="39" t="n"/>
    </row>
    <row r="896">
      <c r="A896" s="7" t="n"/>
      <c r="B896" s="7" t="n"/>
      <c r="C896" s="7" t="n"/>
      <c r="D896" s="39" t="n"/>
      <c r="E896" s="39" t="n"/>
      <c r="F896" s="7" t="n"/>
      <c r="G896" s="40" t="n"/>
      <c r="H896" s="39" t="n"/>
      <c r="I896" s="39" t="n"/>
    </row>
    <row r="897">
      <c r="A897" s="7" t="n"/>
      <c r="B897" s="7" t="n"/>
      <c r="C897" s="7" t="n"/>
      <c r="D897" s="39" t="n"/>
      <c r="E897" s="39" t="n"/>
      <c r="F897" s="7" t="n"/>
      <c r="G897" s="40" t="n"/>
      <c r="H897" s="39" t="n"/>
      <c r="I897" s="39" t="n"/>
    </row>
    <row r="898">
      <c r="A898" s="7" t="n"/>
      <c r="B898" s="7" t="n"/>
      <c r="C898" s="7" t="n"/>
      <c r="D898" s="39" t="n"/>
      <c r="E898" s="39" t="n"/>
      <c r="F898" s="7" t="n"/>
      <c r="G898" s="40" t="n"/>
      <c r="H898" s="39" t="n"/>
      <c r="I898" s="39" t="n"/>
    </row>
    <row r="899">
      <c r="A899" s="7" t="n"/>
      <c r="B899" s="7" t="n"/>
      <c r="C899" s="7" t="n"/>
      <c r="D899" s="39" t="n"/>
      <c r="E899" s="39" t="n"/>
      <c r="F899" s="7" t="n"/>
      <c r="G899" s="40" t="n"/>
      <c r="H899" s="39" t="n"/>
      <c r="I899" s="39" t="n"/>
    </row>
    <row r="900">
      <c r="A900" s="7" t="n"/>
      <c r="B900" s="7" t="n"/>
      <c r="C900" s="7" t="n"/>
      <c r="D900" s="39" t="n"/>
      <c r="E900" s="39" t="n"/>
      <c r="F900" s="7" t="n"/>
      <c r="G900" s="40" t="n"/>
      <c r="H900" s="39" t="n"/>
      <c r="I900" s="39" t="n"/>
    </row>
    <row r="901">
      <c r="A901" s="7" t="n"/>
      <c r="B901" s="7" t="n"/>
      <c r="C901" s="7" t="n"/>
      <c r="D901" s="39" t="n"/>
      <c r="E901" s="39" t="n"/>
      <c r="F901" s="7" t="n"/>
      <c r="G901" s="40" t="n"/>
      <c r="H901" s="39" t="n"/>
      <c r="I901" s="39" t="n"/>
    </row>
    <row r="902">
      <c r="A902" s="7" t="n"/>
      <c r="B902" s="7" t="n"/>
      <c r="C902" s="7" t="n"/>
      <c r="D902" s="39" t="n"/>
      <c r="E902" s="39" t="n"/>
      <c r="F902" s="7" t="n"/>
      <c r="G902" s="40" t="n"/>
      <c r="H902" s="39" t="n"/>
      <c r="I902" s="39" t="n"/>
    </row>
    <row r="903">
      <c r="A903" s="7" t="n"/>
      <c r="B903" s="7" t="n"/>
      <c r="C903" s="7" t="n"/>
      <c r="D903" s="39" t="n"/>
      <c r="E903" s="39" t="n"/>
      <c r="F903" s="7" t="n"/>
      <c r="G903" s="40" t="n"/>
      <c r="H903" s="39" t="n"/>
      <c r="I903" s="39" t="n"/>
    </row>
    <row r="904">
      <c r="A904" s="7" t="n"/>
      <c r="B904" s="7" t="n"/>
      <c r="C904" s="7" t="n"/>
      <c r="D904" s="39" t="n"/>
      <c r="E904" s="39" t="n"/>
      <c r="F904" s="7" t="n"/>
      <c r="G904" s="40" t="n"/>
      <c r="H904" s="39" t="n"/>
      <c r="I904" s="39" t="n"/>
    </row>
    <row r="905">
      <c r="A905" s="7" t="n"/>
      <c r="B905" s="7" t="n"/>
      <c r="C905" s="7" t="n"/>
      <c r="D905" s="39" t="n"/>
      <c r="E905" s="39" t="n"/>
      <c r="F905" s="7" t="n"/>
      <c r="G905" s="40" t="n"/>
      <c r="H905" s="39" t="n"/>
      <c r="I905" s="39" t="n"/>
    </row>
    <row r="906">
      <c r="A906" s="7" t="n"/>
      <c r="B906" s="7" t="n"/>
      <c r="C906" s="7" t="n"/>
      <c r="D906" s="39" t="n"/>
      <c r="E906" s="39" t="n"/>
      <c r="F906" s="7" t="n"/>
      <c r="G906" s="40" t="n"/>
      <c r="H906" s="39" t="n"/>
      <c r="I906" s="39" t="n"/>
    </row>
    <row r="907">
      <c r="A907" s="7" t="n"/>
      <c r="B907" s="7" t="n"/>
      <c r="C907" s="7" t="n"/>
      <c r="D907" s="39" t="n"/>
      <c r="E907" s="39" t="n"/>
      <c r="F907" s="7" t="n"/>
      <c r="G907" s="40" t="n"/>
      <c r="H907" s="39" t="n"/>
      <c r="I907" s="39" t="n"/>
    </row>
    <row r="908">
      <c r="A908" s="7" t="n"/>
      <c r="B908" s="7" t="n"/>
      <c r="C908" s="7" t="n"/>
      <c r="D908" s="39" t="n"/>
      <c r="E908" s="39" t="n"/>
      <c r="F908" s="7" t="n"/>
      <c r="G908" s="40" t="n"/>
      <c r="H908" s="39" t="n"/>
      <c r="I908" s="39" t="n"/>
    </row>
    <row r="909">
      <c r="A909" s="7" t="n"/>
      <c r="B909" s="7" t="n"/>
      <c r="C909" s="7" t="n"/>
      <c r="D909" s="39" t="n"/>
      <c r="E909" s="39" t="n"/>
      <c r="F909" s="7" t="n"/>
      <c r="G909" s="40" t="n"/>
      <c r="H909" s="39" t="n"/>
      <c r="I909" s="39" t="n"/>
    </row>
    <row r="910">
      <c r="A910" s="7" t="n"/>
      <c r="B910" s="7" t="n"/>
      <c r="C910" s="7" t="n"/>
      <c r="D910" s="39" t="n"/>
      <c r="E910" s="39" t="n"/>
      <c r="F910" s="7" t="n"/>
      <c r="G910" s="40" t="n"/>
      <c r="H910" s="39" t="n"/>
      <c r="I910" s="39" t="n"/>
    </row>
    <row r="911">
      <c r="A911" s="7" t="n"/>
      <c r="B911" s="7" t="n"/>
      <c r="C911" s="7" t="n"/>
      <c r="D911" s="39" t="n"/>
      <c r="E911" s="39" t="n"/>
      <c r="F911" s="7" t="n"/>
      <c r="G911" s="40" t="n"/>
      <c r="H911" s="39" t="n"/>
      <c r="I911" s="39" t="n"/>
    </row>
    <row r="912">
      <c r="A912" s="7" t="n"/>
      <c r="B912" s="7" t="n"/>
      <c r="C912" s="7" t="n"/>
      <c r="D912" s="39" t="n"/>
      <c r="E912" s="39" t="n"/>
      <c r="F912" s="7" t="n"/>
      <c r="G912" s="40" t="n"/>
      <c r="H912" s="39" t="n"/>
      <c r="I912" s="39" t="n"/>
    </row>
    <row r="913">
      <c r="A913" s="7" t="n"/>
      <c r="B913" s="7" t="n"/>
      <c r="C913" s="7" t="n"/>
      <c r="D913" s="39" t="n"/>
      <c r="E913" s="39" t="n"/>
      <c r="F913" s="7" t="n"/>
      <c r="G913" s="40" t="n"/>
      <c r="H913" s="39" t="n"/>
      <c r="I913" s="39" t="n"/>
    </row>
    <row r="914">
      <c r="A914" s="7" t="n"/>
      <c r="B914" s="7" t="n"/>
      <c r="C914" s="7" t="n"/>
      <c r="D914" s="39" t="n"/>
      <c r="E914" s="39" t="n"/>
      <c r="F914" s="7" t="n"/>
      <c r="G914" s="40" t="n"/>
      <c r="H914" s="39" t="n"/>
      <c r="I914" s="39" t="n"/>
    </row>
    <row r="915">
      <c r="A915" s="7" t="n"/>
      <c r="B915" s="7" t="n"/>
      <c r="C915" s="7" t="n"/>
      <c r="D915" s="39" t="n"/>
      <c r="E915" s="39" t="n"/>
      <c r="F915" s="7" t="n"/>
      <c r="G915" s="40" t="n"/>
      <c r="H915" s="39" t="n"/>
      <c r="I915" s="39" t="n"/>
    </row>
    <row r="916">
      <c r="A916" s="7" t="n"/>
      <c r="B916" s="7" t="n"/>
      <c r="C916" s="7" t="n"/>
      <c r="D916" s="39" t="n"/>
      <c r="E916" s="39" t="n"/>
      <c r="F916" s="7" t="n"/>
      <c r="G916" s="40" t="n"/>
      <c r="H916" s="39" t="n"/>
      <c r="I916" s="39" t="n"/>
    </row>
    <row r="917">
      <c r="A917" s="7" t="n"/>
      <c r="B917" s="7" t="n"/>
      <c r="C917" s="7" t="n"/>
      <c r="D917" s="39" t="n"/>
      <c r="E917" s="39" t="n"/>
      <c r="F917" s="7" t="n"/>
      <c r="G917" s="40" t="n"/>
      <c r="H917" s="39" t="n"/>
      <c r="I917" s="39" t="n"/>
    </row>
    <row r="918">
      <c r="A918" s="7" t="n"/>
      <c r="B918" s="7" t="n"/>
      <c r="C918" s="7" t="n"/>
      <c r="D918" s="39" t="n"/>
      <c r="E918" s="39" t="n"/>
      <c r="F918" s="7" t="n"/>
      <c r="G918" s="40" t="n"/>
      <c r="H918" s="39" t="n"/>
      <c r="I918" s="39" t="n"/>
    </row>
    <row r="919">
      <c r="A919" s="7" t="n"/>
      <c r="B919" s="7" t="n"/>
      <c r="C919" s="7" t="n"/>
      <c r="D919" s="39" t="n"/>
      <c r="E919" s="39" t="n"/>
      <c r="F919" s="7" t="n"/>
      <c r="G919" s="40" t="n"/>
      <c r="H919" s="39" t="n"/>
      <c r="I919" s="39" t="n"/>
    </row>
    <row r="920">
      <c r="A920" s="7" t="n"/>
      <c r="B920" s="7" t="n"/>
      <c r="C920" s="7" t="n"/>
      <c r="D920" s="39" t="n"/>
      <c r="E920" s="39" t="n"/>
      <c r="F920" s="7" t="n"/>
      <c r="G920" s="40" t="n"/>
      <c r="H920" s="39" t="n"/>
      <c r="I920" s="39" t="n"/>
    </row>
    <row r="921">
      <c r="A921" s="7" t="n"/>
      <c r="B921" s="7" t="n"/>
      <c r="C921" s="7" t="n"/>
      <c r="D921" s="39" t="n"/>
      <c r="E921" s="39" t="n"/>
      <c r="F921" s="7" t="n"/>
      <c r="G921" s="40" t="n"/>
      <c r="H921" s="39" t="n"/>
      <c r="I921" s="39" t="n"/>
    </row>
    <row r="922">
      <c r="A922" s="7" t="n"/>
      <c r="B922" s="7" t="n"/>
      <c r="C922" s="7" t="n"/>
      <c r="D922" s="39" t="n"/>
      <c r="E922" s="39" t="n"/>
      <c r="F922" s="7" t="n"/>
      <c r="G922" s="40" t="n"/>
      <c r="H922" s="39" t="n"/>
      <c r="I922" s="39" t="n"/>
    </row>
    <row r="923">
      <c r="A923" s="7" t="n"/>
      <c r="B923" s="7" t="n"/>
      <c r="C923" s="7" t="n"/>
      <c r="D923" s="39" t="n"/>
      <c r="E923" s="39" t="n"/>
      <c r="F923" s="7" t="n"/>
      <c r="G923" s="40" t="n"/>
      <c r="H923" s="39" t="n"/>
      <c r="I923" s="39" t="n"/>
    </row>
    <row r="924">
      <c r="A924" s="7" t="n"/>
      <c r="B924" s="7" t="n"/>
      <c r="C924" s="7" t="n"/>
      <c r="D924" s="39" t="n"/>
      <c r="E924" s="39" t="n"/>
      <c r="F924" s="7" t="n"/>
      <c r="G924" s="40" t="n"/>
      <c r="H924" s="39" t="n"/>
      <c r="I924" s="39" t="n"/>
    </row>
    <row r="925">
      <c r="A925" s="7" t="n"/>
      <c r="B925" s="7" t="n"/>
      <c r="C925" s="7" t="n"/>
      <c r="D925" s="39" t="n"/>
      <c r="E925" s="39" t="n"/>
      <c r="F925" s="7" t="n"/>
      <c r="G925" s="40" t="n"/>
      <c r="H925" s="39" t="n"/>
      <c r="I925" s="39" t="n"/>
    </row>
    <row r="926">
      <c r="A926" s="7" t="n"/>
      <c r="B926" s="7" t="n"/>
      <c r="C926" s="7" t="n"/>
      <c r="D926" s="39" t="n"/>
      <c r="E926" s="39" t="n"/>
      <c r="F926" s="7" t="n"/>
      <c r="G926" s="40" t="n"/>
      <c r="H926" s="39" t="n"/>
      <c r="I926" s="39" t="n"/>
    </row>
    <row r="927">
      <c r="A927" s="7" t="n"/>
      <c r="B927" s="7" t="n"/>
      <c r="C927" s="7" t="n"/>
      <c r="D927" s="39" t="n"/>
      <c r="E927" s="39" t="n"/>
      <c r="F927" s="7" t="n"/>
      <c r="G927" s="40" t="n"/>
      <c r="H927" s="39" t="n"/>
      <c r="I927" s="39" t="n"/>
    </row>
    <row r="928">
      <c r="A928" s="7" t="n"/>
      <c r="B928" s="7" t="n"/>
      <c r="C928" s="7" t="n"/>
      <c r="D928" s="39" t="n"/>
      <c r="E928" s="39" t="n"/>
      <c r="F928" s="7" t="n"/>
      <c r="G928" s="40" t="n"/>
      <c r="H928" s="39" t="n"/>
      <c r="I928" s="39" t="n"/>
    </row>
    <row r="929">
      <c r="A929" s="7" t="n"/>
      <c r="B929" s="7" t="n"/>
      <c r="C929" s="7" t="n"/>
      <c r="D929" s="39" t="n"/>
      <c r="E929" s="39" t="n"/>
      <c r="F929" s="7" t="n"/>
      <c r="G929" s="40" t="n"/>
      <c r="H929" s="39" t="n"/>
      <c r="I929" s="39" t="n"/>
    </row>
    <row r="930">
      <c r="A930" s="7" t="n"/>
      <c r="B930" s="7" t="n"/>
      <c r="C930" s="7" t="n"/>
      <c r="D930" s="39" t="n"/>
      <c r="E930" s="39" t="n"/>
      <c r="F930" s="7" t="n"/>
      <c r="G930" s="40" t="n"/>
      <c r="H930" s="39" t="n"/>
      <c r="I930" s="39" t="n"/>
    </row>
    <row r="931">
      <c r="A931" s="7" t="n"/>
      <c r="B931" s="7" t="n"/>
      <c r="C931" s="7" t="n"/>
      <c r="D931" s="39" t="n"/>
      <c r="E931" s="39" t="n"/>
      <c r="F931" s="7" t="n"/>
      <c r="G931" s="40" t="n"/>
      <c r="H931" s="39" t="n"/>
      <c r="I931" s="39" t="n"/>
    </row>
    <row r="932">
      <c r="A932" s="7" t="n"/>
      <c r="B932" s="7" t="n"/>
      <c r="C932" s="7" t="n"/>
      <c r="D932" s="39" t="n"/>
      <c r="E932" s="39" t="n"/>
      <c r="F932" s="7" t="n"/>
      <c r="G932" s="40" t="n"/>
      <c r="H932" s="39" t="n"/>
      <c r="I932" s="39" t="n"/>
    </row>
    <row r="933">
      <c r="A933" s="7" t="n"/>
      <c r="B933" s="7" t="n"/>
      <c r="C933" s="7" t="n"/>
      <c r="D933" s="39" t="n"/>
      <c r="E933" s="39" t="n"/>
      <c r="F933" s="7" t="n"/>
      <c r="G933" s="40" t="n"/>
      <c r="H933" s="39" t="n"/>
      <c r="I933" s="39" t="n"/>
    </row>
    <row r="934">
      <c r="A934" s="7" t="n"/>
      <c r="B934" s="7" t="n"/>
      <c r="C934" s="7" t="n"/>
      <c r="D934" s="39" t="n"/>
      <c r="E934" s="39" t="n"/>
      <c r="F934" s="7" t="n"/>
      <c r="G934" s="40" t="n"/>
      <c r="H934" s="39" t="n"/>
      <c r="I934" s="39" t="n"/>
    </row>
    <row r="935">
      <c r="A935" s="7" t="n"/>
      <c r="B935" s="7" t="n"/>
      <c r="C935" s="7" t="n"/>
      <c r="D935" s="39" t="n"/>
      <c r="E935" s="39" t="n"/>
      <c r="F935" s="7" t="n"/>
      <c r="G935" s="40" t="n"/>
      <c r="H935" s="39" t="n"/>
      <c r="I935" s="39" t="n"/>
    </row>
    <row r="936">
      <c r="A936" s="7" t="n"/>
      <c r="B936" s="7" t="n"/>
      <c r="C936" s="7" t="n"/>
      <c r="D936" s="39" t="n"/>
      <c r="E936" s="39" t="n"/>
      <c r="F936" s="7" t="n"/>
      <c r="G936" s="40" t="n"/>
      <c r="H936" s="39" t="n"/>
      <c r="I936" s="39" t="n"/>
    </row>
    <row r="937">
      <c r="A937" s="7" t="n"/>
      <c r="B937" s="7" t="n"/>
      <c r="C937" s="7" t="n"/>
      <c r="D937" s="39" t="n"/>
      <c r="E937" s="39" t="n"/>
      <c r="F937" s="7" t="n"/>
      <c r="G937" s="40" t="n"/>
      <c r="H937" s="39" t="n"/>
      <c r="I937" s="39" t="n"/>
    </row>
    <row r="938">
      <c r="A938" s="7" t="n"/>
      <c r="B938" s="7" t="n"/>
      <c r="C938" s="7" t="n"/>
      <c r="D938" s="39" t="n"/>
      <c r="E938" s="39" t="n"/>
      <c r="F938" s="7" t="n"/>
      <c r="G938" s="40" t="n"/>
      <c r="H938" s="39" t="n"/>
      <c r="I938" s="39" t="n"/>
    </row>
    <row r="939">
      <c r="A939" s="7" t="n"/>
      <c r="B939" s="7" t="n"/>
      <c r="C939" s="7" t="n"/>
      <c r="D939" s="39" t="n"/>
      <c r="E939" s="39" t="n"/>
      <c r="F939" s="7" t="n"/>
      <c r="G939" s="40" t="n"/>
      <c r="H939" s="39" t="n"/>
      <c r="I939" s="39" t="n"/>
    </row>
    <row r="940">
      <c r="A940" s="7" t="n"/>
      <c r="B940" s="7" t="n"/>
      <c r="C940" s="7" t="n"/>
      <c r="D940" s="39" t="n"/>
      <c r="E940" s="39" t="n"/>
      <c r="F940" s="7" t="n"/>
      <c r="G940" s="40" t="n"/>
      <c r="H940" s="39" t="n"/>
      <c r="I940" s="39" t="n"/>
    </row>
    <row r="941">
      <c r="A941" s="7" t="n"/>
      <c r="B941" s="7" t="n"/>
      <c r="C941" s="7" t="n"/>
      <c r="D941" s="39" t="n"/>
      <c r="E941" s="39" t="n"/>
      <c r="F941" s="7" t="n"/>
      <c r="G941" s="40" t="n"/>
      <c r="H941" s="39" t="n"/>
      <c r="I941" s="39" t="n"/>
    </row>
    <row r="942">
      <c r="A942" s="7" t="n"/>
      <c r="B942" s="7" t="n"/>
      <c r="C942" s="7" t="n"/>
      <c r="D942" s="39" t="n"/>
      <c r="E942" s="39" t="n"/>
      <c r="F942" s="7" t="n"/>
      <c r="G942" s="40" t="n"/>
      <c r="H942" s="39" t="n"/>
      <c r="I942" s="39" t="n"/>
    </row>
    <row r="943">
      <c r="A943" s="7" t="n"/>
      <c r="B943" s="7" t="n"/>
      <c r="C943" s="7" t="n"/>
      <c r="D943" s="39" t="n"/>
      <c r="E943" s="39" t="n"/>
      <c r="F943" s="7" t="n"/>
      <c r="G943" s="40" t="n"/>
      <c r="H943" s="39" t="n"/>
      <c r="I943" s="39" t="n"/>
    </row>
    <row r="944">
      <c r="A944" s="7" t="n"/>
      <c r="B944" s="7" t="n"/>
      <c r="C944" s="7" t="n"/>
      <c r="D944" s="39" t="n"/>
      <c r="E944" s="39" t="n"/>
      <c r="F944" s="7" t="n"/>
      <c r="G944" s="40" t="n"/>
      <c r="H944" s="39" t="n"/>
      <c r="I944" s="39" t="n"/>
    </row>
    <row r="945">
      <c r="A945" s="7" t="n"/>
      <c r="B945" s="7" t="n"/>
      <c r="C945" s="7" t="n"/>
      <c r="D945" s="39" t="n"/>
      <c r="E945" s="39" t="n"/>
      <c r="F945" s="7" t="n"/>
      <c r="G945" s="40" t="n"/>
      <c r="H945" s="39" t="n"/>
      <c r="I945" s="39" t="n"/>
    </row>
    <row r="946">
      <c r="A946" s="7" t="n"/>
      <c r="B946" s="7" t="n"/>
      <c r="C946" s="7" t="n"/>
      <c r="D946" s="39" t="n"/>
      <c r="E946" s="39" t="n"/>
      <c r="F946" s="7" t="n"/>
      <c r="G946" s="40" t="n"/>
      <c r="H946" s="39" t="n"/>
      <c r="I946" s="39" t="n"/>
    </row>
    <row r="947">
      <c r="A947" s="7" t="n"/>
      <c r="B947" s="7" t="n"/>
      <c r="C947" s="7" t="n"/>
      <c r="D947" s="39" t="n"/>
      <c r="E947" s="39" t="n"/>
      <c r="F947" s="7" t="n"/>
      <c r="G947" s="40" t="n"/>
      <c r="H947" s="39" t="n"/>
      <c r="I947" s="39" t="n"/>
    </row>
    <row r="948">
      <c r="A948" s="7" t="n"/>
      <c r="B948" s="7" t="n"/>
      <c r="C948" s="7" t="n"/>
      <c r="D948" s="39" t="n"/>
      <c r="E948" s="39" t="n"/>
      <c r="F948" s="7" t="n"/>
      <c r="G948" s="40" t="n"/>
      <c r="H948" s="39" t="n"/>
      <c r="I948" s="39" t="n"/>
    </row>
    <row r="949">
      <c r="A949" s="7" t="n"/>
      <c r="B949" s="7" t="n"/>
      <c r="C949" s="7" t="n"/>
      <c r="D949" s="39" t="n"/>
      <c r="E949" s="39" t="n"/>
      <c r="F949" s="7" t="n"/>
      <c r="G949" s="40" t="n"/>
      <c r="H949" s="39" t="n"/>
      <c r="I949" s="39" t="n"/>
    </row>
    <row r="950">
      <c r="A950" s="7" t="n"/>
      <c r="B950" s="7" t="n"/>
      <c r="C950" s="7" t="n"/>
      <c r="D950" s="39" t="n"/>
      <c r="E950" s="39" t="n"/>
      <c r="F950" s="7" t="n"/>
      <c r="G950" s="40" t="n"/>
      <c r="H950" s="39" t="n"/>
      <c r="I950" s="39" t="n"/>
    </row>
    <row r="951">
      <c r="A951" s="7" t="n"/>
      <c r="B951" s="7" t="n"/>
      <c r="C951" s="7" t="n"/>
      <c r="D951" s="39" t="n"/>
      <c r="E951" s="39" t="n"/>
      <c r="F951" s="7" t="n"/>
      <c r="G951" s="40" t="n"/>
      <c r="H951" s="39" t="n"/>
      <c r="I951" s="39" t="n"/>
    </row>
    <row r="952">
      <c r="A952" s="7" t="n"/>
      <c r="B952" s="7" t="n"/>
      <c r="C952" s="7" t="n"/>
      <c r="D952" s="39" t="n"/>
      <c r="E952" s="39" t="n"/>
      <c r="F952" s="7" t="n"/>
      <c r="G952" s="40" t="n"/>
      <c r="H952" s="39" t="n"/>
      <c r="I952" s="39" t="n"/>
    </row>
    <row r="953">
      <c r="A953" s="7" t="n"/>
      <c r="B953" s="7" t="n"/>
      <c r="C953" s="7" t="n"/>
      <c r="D953" s="39" t="n"/>
      <c r="E953" s="39" t="n"/>
      <c r="F953" s="7" t="n"/>
      <c r="G953" s="40" t="n"/>
      <c r="H953" s="39" t="n"/>
      <c r="I953" s="39" t="n"/>
    </row>
    <row r="954">
      <c r="A954" s="7" t="n"/>
      <c r="B954" s="7" t="n"/>
      <c r="C954" s="7" t="n"/>
      <c r="D954" s="39" t="n"/>
      <c r="E954" s="39" t="n"/>
      <c r="F954" s="7" t="n"/>
      <c r="G954" s="40" t="n"/>
      <c r="H954" s="39" t="n"/>
      <c r="I954" s="39" t="n"/>
    </row>
    <row r="955">
      <c r="A955" s="7" t="n"/>
      <c r="B955" s="7" t="n"/>
      <c r="C955" s="7" t="n"/>
      <c r="D955" s="39" t="n"/>
      <c r="E955" s="39" t="n"/>
      <c r="F955" s="7" t="n"/>
      <c r="G955" s="40" t="n"/>
      <c r="H955" s="39" t="n"/>
      <c r="I955" s="39" t="n"/>
    </row>
    <row r="956">
      <c r="A956" s="7" t="n"/>
      <c r="B956" s="7" t="n"/>
      <c r="C956" s="7" t="n"/>
      <c r="D956" s="39" t="n"/>
      <c r="E956" s="39" t="n"/>
      <c r="F956" s="7" t="n"/>
      <c r="G956" s="40" t="n"/>
      <c r="H956" s="39" t="n"/>
      <c r="I956" s="39" t="n"/>
    </row>
    <row r="957">
      <c r="A957" s="7" t="n"/>
      <c r="B957" s="7" t="n"/>
      <c r="C957" s="7" t="n"/>
      <c r="D957" s="39" t="n"/>
      <c r="E957" s="39" t="n"/>
      <c r="F957" s="7" t="n"/>
      <c r="G957" s="40" t="n"/>
      <c r="H957" s="39" t="n"/>
      <c r="I957" s="39" t="n"/>
    </row>
    <row r="958">
      <c r="A958" s="7" t="n"/>
      <c r="B958" s="7" t="n"/>
      <c r="C958" s="7" t="n"/>
      <c r="D958" s="39" t="n"/>
      <c r="E958" s="39" t="n"/>
      <c r="F958" s="7" t="n"/>
      <c r="G958" s="40" t="n"/>
      <c r="H958" s="39" t="n"/>
      <c r="I958" s="39" t="n"/>
    </row>
    <row r="959">
      <c r="A959" s="7" t="n"/>
      <c r="B959" s="7" t="n"/>
      <c r="C959" s="7" t="n"/>
      <c r="D959" s="39" t="n"/>
      <c r="E959" s="39" t="n"/>
      <c r="F959" s="7" t="n"/>
      <c r="G959" s="40" t="n"/>
      <c r="H959" s="39" t="n"/>
      <c r="I959" s="39" t="n"/>
    </row>
    <row r="960">
      <c r="A960" s="7" t="n"/>
      <c r="B960" s="7" t="n"/>
      <c r="C960" s="7" t="n"/>
      <c r="D960" s="39" t="n"/>
      <c r="E960" s="39" t="n"/>
      <c r="F960" s="7" t="n"/>
      <c r="G960" s="40" t="n"/>
      <c r="H960" s="39" t="n"/>
      <c r="I960" s="39" t="n"/>
    </row>
    <row r="961">
      <c r="A961" s="7" t="n"/>
      <c r="B961" s="7" t="n"/>
      <c r="C961" s="7" t="n"/>
      <c r="D961" s="39" t="n"/>
      <c r="E961" s="39" t="n"/>
      <c r="F961" s="7" t="n"/>
      <c r="G961" s="40" t="n"/>
      <c r="H961" s="39" t="n"/>
      <c r="I961" s="39" t="n"/>
    </row>
    <row r="962">
      <c r="A962" s="7" t="n"/>
      <c r="B962" s="7" t="n"/>
      <c r="C962" s="7" t="n"/>
      <c r="D962" s="39" t="n"/>
      <c r="E962" s="39" t="n"/>
      <c r="F962" s="7" t="n"/>
      <c r="G962" s="40" t="n"/>
      <c r="H962" s="39" t="n"/>
      <c r="I962" s="39" t="n"/>
    </row>
    <row r="963">
      <c r="A963" s="7" t="n"/>
      <c r="B963" s="7" t="n"/>
      <c r="C963" s="7" t="n"/>
      <c r="D963" s="39" t="n"/>
      <c r="E963" s="39" t="n"/>
      <c r="F963" s="7" t="n"/>
      <c r="G963" s="40" t="n"/>
      <c r="H963" s="39" t="n"/>
      <c r="I963" s="39" t="n"/>
    </row>
    <row r="964">
      <c r="A964" s="7" t="n"/>
      <c r="B964" s="7" t="n"/>
      <c r="C964" s="7" t="n"/>
      <c r="D964" s="39" t="n"/>
      <c r="E964" s="39" t="n"/>
      <c r="F964" s="7" t="n"/>
      <c r="G964" s="40" t="n"/>
      <c r="H964" s="39" t="n"/>
      <c r="I964" s="39" t="n"/>
    </row>
    <row r="965">
      <c r="A965" s="7" t="n"/>
      <c r="B965" s="7" t="n"/>
      <c r="C965" s="7" t="n"/>
      <c r="D965" s="39" t="n"/>
      <c r="E965" s="39" t="n"/>
      <c r="F965" s="7" t="n"/>
      <c r="G965" s="40" t="n"/>
      <c r="H965" s="39" t="n"/>
      <c r="I965" s="39" t="n"/>
    </row>
    <row r="966">
      <c r="A966" s="7" t="n"/>
      <c r="B966" s="7" t="n"/>
      <c r="C966" s="7" t="n"/>
      <c r="D966" s="39" t="n"/>
      <c r="E966" s="39" t="n"/>
      <c r="F966" s="7" t="n"/>
      <c r="G966" s="40" t="n"/>
      <c r="H966" s="39" t="n"/>
      <c r="I966" s="39" t="n"/>
    </row>
    <row r="967">
      <c r="A967" s="7" t="n"/>
      <c r="B967" s="7" t="n"/>
      <c r="C967" s="7" t="n"/>
      <c r="D967" s="39" t="n"/>
      <c r="E967" s="39" t="n"/>
      <c r="F967" s="7" t="n"/>
      <c r="G967" s="40" t="n"/>
      <c r="H967" s="39" t="n"/>
      <c r="I967" s="39" t="n"/>
    </row>
    <row r="968">
      <c r="A968" s="7" t="n"/>
      <c r="B968" s="7" t="n"/>
      <c r="C968" s="7" t="n"/>
      <c r="D968" s="39" t="n"/>
      <c r="E968" s="39" t="n"/>
      <c r="F968" s="7" t="n"/>
      <c r="G968" s="40" t="n"/>
      <c r="H968" s="39" t="n"/>
      <c r="I968" s="39" t="n"/>
    </row>
    <row r="969">
      <c r="A969" s="7" t="n"/>
      <c r="B969" s="7" t="n"/>
      <c r="C969" s="7" t="n"/>
      <c r="D969" s="39" t="n"/>
      <c r="E969" s="39" t="n"/>
      <c r="F969" s="7" t="n"/>
      <c r="G969" s="40" t="n"/>
      <c r="H969" s="39" t="n"/>
      <c r="I969" s="39" t="n"/>
    </row>
    <row r="970">
      <c r="A970" s="7" t="n"/>
      <c r="B970" s="7" t="n"/>
      <c r="C970" s="7" t="n"/>
      <c r="D970" s="39" t="n"/>
      <c r="E970" s="39" t="n"/>
      <c r="F970" s="7" t="n"/>
      <c r="G970" s="40" t="n"/>
      <c r="H970" s="39" t="n"/>
      <c r="I970" s="39" t="n"/>
    </row>
    <row r="971">
      <c r="A971" s="7" t="n"/>
      <c r="B971" s="7" t="n"/>
      <c r="C971" s="7" t="n"/>
      <c r="D971" s="39" t="n"/>
      <c r="E971" s="39" t="n"/>
      <c r="F971" s="7" t="n"/>
      <c r="G971" s="40" t="n"/>
      <c r="H971" s="39" t="n"/>
      <c r="I971" s="39" t="n"/>
    </row>
    <row r="972">
      <c r="A972" s="7" t="n"/>
      <c r="B972" s="7" t="n"/>
      <c r="C972" s="7" t="n"/>
      <c r="D972" s="39" t="n"/>
      <c r="E972" s="39" t="n"/>
      <c r="F972" s="7" t="n"/>
      <c r="G972" s="40" t="n"/>
      <c r="H972" s="39" t="n"/>
      <c r="I972" s="39" t="n"/>
    </row>
    <row r="973">
      <c r="A973" s="7" t="n"/>
      <c r="B973" s="7" t="n"/>
      <c r="C973" s="7" t="n"/>
      <c r="D973" s="39" t="n"/>
      <c r="E973" s="39" t="n"/>
      <c r="F973" s="7" t="n"/>
      <c r="G973" s="40" t="n"/>
      <c r="H973" s="39" t="n"/>
      <c r="I973" s="39" t="n"/>
    </row>
    <row r="974">
      <c r="A974" s="7" t="n"/>
      <c r="B974" s="7" t="n"/>
      <c r="C974" s="7" t="n"/>
      <c r="D974" s="39" t="n"/>
      <c r="E974" s="39" t="n"/>
      <c r="F974" s="7" t="n"/>
      <c r="G974" s="40" t="n"/>
      <c r="H974" s="39" t="n"/>
      <c r="I974" s="39" t="n"/>
    </row>
    <row r="975">
      <c r="A975" s="7" t="n"/>
      <c r="B975" s="7" t="n"/>
      <c r="C975" s="7" t="n"/>
      <c r="D975" s="39" t="n"/>
      <c r="E975" s="39" t="n"/>
      <c r="F975" s="7" t="n"/>
      <c r="G975" s="40" t="n"/>
      <c r="H975" s="39" t="n"/>
      <c r="I975" s="39" t="n"/>
    </row>
    <row r="976">
      <c r="A976" s="7" t="n"/>
      <c r="B976" s="7" t="n"/>
      <c r="C976" s="7" t="n"/>
      <c r="D976" s="39" t="n"/>
      <c r="E976" s="39" t="n"/>
      <c r="F976" s="7" t="n"/>
      <c r="G976" s="40" t="n"/>
      <c r="H976" s="39" t="n"/>
      <c r="I976" s="39" t="n"/>
    </row>
    <row r="977">
      <c r="A977" s="7" t="n"/>
      <c r="B977" s="7" t="n"/>
      <c r="C977" s="7" t="n"/>
      <c r="D977" s="39" t="n"/>
      <c r="E977" s="39" t="n"/>
      <c r="F977" s="7" t="n"/>
      <c r="G977" s="40" t="n"/>
      <c r="H977" s="39" t="n"/>
      <c r="I977" s="39" t="n"/>
    </row>
    <row r="978">
      <c r="A978" s="7" t="n"/>
      <c r="B978" s="7" t="n"/>
      <c r="C978" s="7" t="n"/>
      <c r="D978" s="39" t="n"/>
      <c r="E978" s="39" t="n"/>
      <c r="F978" s="7" t="n"/>
      <c r="G978" s="40" t="n"/>
      <c r="H978" s="39" t="n"/>
      <c r="I978" s="39" t="n"/>
    </row>
    <row r="979">
      <c r="A979" s="7" t="n"/>
      <c r="B979" s="7" t="n"/>
      <c r="C979" s="7" t="n"/>
      <c r="D979" s="39" t="n"/>
      <c r="E979" s="39" t="n"/>
      <c r="F979" s="7" t="n"/>
      <c r="G979" s="40" t="n"/>
      <c r="H979" s="39" t="n"/>
      <c r="I979" s="39" t="n"/>
    </row>
    <row r="980">
      <c r="A980" s="7" t="n"/>
      <c r="B980" s="7" t="n"/>
      <c r="C980" s="7" t="n"/>
      <c r="D980" s="39" t="n"/>
      <c r="E980" s="39" t="n"/>
      <c r="F980" s="7" t="n"/>
      <c r="G980" s="40" t="n"/>
      <c r="H980" s="39" t="n"/>
      <c r="I980" s="39" t="n"/>
    </row>
    <row r="981">
      <c r="A981" s="7" t="n"/>
      <c r="B981" s="7" t="n"/>
      <c r="C981" s="7" t="n"/>
      <c r="D981" s="39" t="n"/>
      <c r="E981" s="39" t="n"/>
      <c r="F981" s="7" t="n"/>
      <c r="G981" s="40" t="n"/>
      <c r="H981" s="39" t="n"/>
      <c r="I981" s="39" t="n"/>
    </row>
    <row r="982">
      <c r="A982" s="7" t="n"/>
      <c r="B982" s="7" t="n"/>
      <c r="C982" s="7" t="n"/>
      <c r="D982" s="39" t="n"/>
      <c r="E982" s="39" t="n"/>
      <c r="F982" s="7" t="n"/>
      <c r="G982" s="40" t="n"/>
      <c r="H982" s="39" t="n"/>
      <c r="I982" s="39" t="n"/>
    </row>
    <row r="983">
      <c r="A983" s="7" t="n"/>
      <c r="B983" s="7" t="n"/>
      <c r="C983" s="7" t="n"/>
      <c r="D983" s="39" t="n"/>
      <c r="E983" s="39" t="n"/>
      <c r="F983" s="7" t="n"/>
      <c r="G983" s="40" t="n"/>
      <c r="H983" s="39" t="n"/>
      <c r="I983" s="39" t="n"/>
    </row>
    <row r="984">
      <c r="A984" s="7" t="n"/>
      <c r="B984" s="7" t="n"/>
      <c r="C984" s="7" t="n"/>
      <c r="D984" s="39" t="n"/>
      <c r="E984" s="39" t="n"/>
      <c r="F984" s="7" t="n"/>
      <c r="G984" s="40" t="n"/>
      <c r="H984" s="39" t="n"/>
      <c r="I984" s="39" t="n"/>
    </row>
    <row r="985">
      <c r="A985" s="7" t="n"/>
      <c r="B985" s="7" t="n"/>
      <c r="C985" s="7" t="n"/>
      <c r="D985" s="39" t="n"/>
      <c r="E985" s="39" t="n"/>
      <c r="F985" s="7" t="n"/>
      <c r="G985" s="40" t="n"/>
      <c r="H985" s="39" t="n"/>
      <c r="I985" s="39" t="n"/>
    </row>
    <row r="986">
      <c r="A986" s="7" t="n"/>
      <c r="B986" s="7" t="n"/>
      <c r="C986" s="7" t="n"/>
      <c r="D986" s="39" t="n"/>
      <c r="E986" s="39" t="n"/>
      <c r="F986" s="7" t="n"/>
      <c r="G986" s="40" t="n"/>
      <c r="H986" s="39" t="n"/>
      <c r="I986" s="39" t="n"/>
    </row>
    <row r="987">
      <c r="A987" s="7" t="n"/>
      <c r="B987" s="7" t="n"/>
      <c r="C987" s="7" t="n"/>
      <c r="D987" s="39" t="n"/>
      <c r="E987" s="39" t="n"/>
      <c r="F987" s="7" t="n"/>
      <c r="G987" s="40" t="n"/>
      <c r="H987" s="39" t="n"/>
      <c r="I987" s="39" t="n"/>
    </row>
    <row r="988">
      <c r="A988" s="7" t="n"/>
      <c r="B988" s="7" t="n"/>
      <c r="C988" s="7" t="n"/>
      <c r="D988" s="39" t="n"/>
      <c r="E988" s="39" t="n"/>
      <c r="F988" s="7" t="n"/>
      <c r="G988" s="40" t="n"/>
      <c r="H988" s="39" t="n"/>
      <c r="I988" s="39" t="n"/>
    </row>
    <row r="989">
      <c r="A989" s="7" t="n"/>
      <c r="B989" s="7" t="n"/>
      <c r="C989" s="7" t="n"/>
      <c r="D989" s="39" t="n"/>
      <c r="E989" s="39" t="n"/>
      <c r="F989" s="7" t="n"/>
      <c r="G989" s="40" t="n"/>
      <c r="H989" s="39" t="n"/>
      <c r="I989" s="39" t="n"/>
    </row>
    <row r="990">
      <c r="A990" s="7" t="n"/>
      <c r="B990" s="7" t="n"/>
      <c r="C990" s="7" t="n"/>
      <c r="D990" s="39" t="n"/>
      <c r="E990" s="39" t="n"/>
      <c r="F990" s="7" t="n"/>
      <c r="G990" s="40" t="n"/>
      <c r="H990" s="39" t="n"/>
      <c r="I990" s="39" t="n"/>
    </row>
    <row r="991">
      <c r="A991" s="7" t="n"/>
      <c r="B991" s="7" t="n"/>
      <c r="C991" s="7" t="n"/>
      <c r="D991" s="39" t="n"/>
      <c r="E991" s="39" t="n"/>
      <c r="F991" s="7" t="n"/>
      <c r="G991" s="40" t="n"/>
      <c r="H991" s="39" t="n"/>
      <c r="I991" s="39" t="n"/>
    </row>
    <row r="992">
      <c r="A992" s="7" t="n"/>
      <c r="B992" s="7" t="n"/>
      <c r="C992" s="7" t="n"/>
      <c r="D992" s="39" t="n"/>
      <c r="E992" s="39" t="n"/>
      <c r="F992" s="7" t="n"/>
      <c r="G992" s="40" t="n"/>
      <c r="H992" s="39" t="n"/>
      <c r="I992" s="39" t="n"/>
    </row>
    <row r="993">
      <c r="A993" s="7" t="n"/>
      <c r="B993" s="7" t="n"/>
      <c r="C993" s="7" t="n"/>
      <c r="D993" s="39" t="n"/>
      <c r="E993" s="39" t="n"/>
      <c r="F993" s="7" t="n"/>
      <c r="G993" s="40" t="n"/>
      <c r="H993" s="39" t="n"/>
      <c r="I993" s="39" t="n"/>
    </row>
    <row r="994">
      <c r="A994" s="7" t="n"/>
      <c r="B994" s="7" t="n"/>
      <c r="C994" s="7" t="n"/>
      <c r="D994" s="39" t="n"/>
      <c r="E994" s="39" t="n"/>
      <c r="F994" s="7" t="n"/>
      <c r="G994" s="40" t="n"/>
      <c r="H994" s="39" t="n"/>
      <c r="I994" s="39" t="n"/>
    </row>
    <row r="995">
      <c r="A995" s="7" t="n"/>
      <c r="B995" s="7" t="n"/>
      <c r="C995" s="7" t="n"/>
      <c r="D995" s="39" t="n"/>
      <c r="E995" s="39" t="n"/>
      <c r="F995" s="7" t="n"/>
      <c r="G995" s="40" t="n"/>
      <c r="H995" s="39" t="n"/>
      <c r="I995" s="39" t="n"/>
    </row>
    <row r="996">
      <c r="A996" s="7" t="n"/>
      <c r="B996" s="7" t="n"/>
      <c r="C996" s="7" t="n"/>
      <c r="D996" s="39" t="n"/>
      <c r="E996" s="39" t="n"/>
      <c r="F996" s="7" t="n"/>
      <c r="G996" s="40" t="n"/>
      <c r="H996" s="39" t="n"/>
      <c r="I996" s="39" t="n"/>
    </row>
    <row r="997">
      <c r="A997" s="7" t="n"/>
      <c r="B997" s="7" t="n"/>
      <c r="C997" s="7" t="n"/>
      <c r="D997" s="39" t="n"/>
      <c r="E997" s="39" t="n"/>
      <c r="F997" s="7" t="n"/>
      <c r="G997" s="40" t="n"/>
      <c r="H997" s="39" t="n"/>
      <c r="I997" s="39" t="n"/>
    </row>
    <row r="998">
      <c r="A998" s="7" t="n"/>
      <c r="B998" s="7" t="n"/>
      <c r="C998" s="7" t="n"/>
      <c r="D998" s="39" t="n"/>
      <c r="E998" s="39" t="n"/>
      <c r="F998" s="7" t="n"/>
      <c r="G998" s="40" t="n"/>
      <c r="H998" s="39" t="n"/>
      <c r="I998" s="39" t="n"/>
    </row>
    <row r="999">
      <c r="A999" s="7" t="n"/>
      <c r="B999" s="7" t="n"/>
      <c r="C999" s="7" t="n"/>
      <c r="D999" s="39" t="n"/>
      <c r="E999" s="39" t="n"/>
      <c r="F999" s="7" t="n"/>
      <c r="G999" s="40" t="n"/>
      <c r="H999" s="39" t="n"/>
      <c r="I999" s="39" t="n"/>
    </row>
    <row r="1000">
      <c r="A1000" s="7" t="n"/>
      <c r="B1000" s="7" t="n"/>
      <c r="C1000" s="7" t="n"/>
      <c r="D1000" s="39" t="n"/>
      <c r="E1000" s="39" t="n"/>
      <c r="F1000" s="7" t="n"/>
      <c r="G1000" s="40" t="n"/>
      <c r="H1000" s="39" t="n"/>
      <c r="I1000" s="39" t="n"/>
    </row>
    <row r="1001">
      <c r="A1001" s="7" t="n"/>
      <c r="B1001" s="7" t="n"/>
      <c r="C1001" s="7" t="n"/>
      <c r="D1001" s="39" t="n"/>
      <c r="E1001" s="39" t="n"/>
      <c r="F1001" s="7" t="n"/>
      <c r="G1001" s="40" t="n"/>
      <c r="H1001" s="39" t="n"/>
      <c r="I1001" s="39" t="n"/>
    </row>
    <row r="1002">
      <c r="A1002" s="7" t="n"/>
      <c r="B1002" s="7" t="n"/>
      <c r="C1002" s="7" t="n"/>
      <c r="D1002" s="39" t="n"/>
      <c r="E1002" s="39" t="n"/>
      <c r="F1002" s="7" t="n"/>
      <c r="G1002" s="40" t="n"/>
      <c r="H1002" s="39" t="n"/>
      <c r="I1002" s="39" t="n"/>
    </row>
    <row r="1003">
      <c r="A1003" s="7" t="n"/>
      <c r="B1003" s="7" t="n"/>
      <c r="C1003" s="7" t="n"/>
      <c r="D1003" s="39" t="n"/>
      <c r="E1003" s="39" t="n"/>
      <c r="F1003" s="7" t="n"/>
      <c r="G1003" s="40" t="n"/>
      <c r="H1003" s="39" t="n"/>
      <c r="I1003" s="39" t="n"/>
    </row>
    <row r="1004">
      <c r="A1004" s="7" t="n"/>
      <c r="B1004" s="7" t="n"/>
      <c r="C1004" s="7" t="n"/>
      <c r="D1004" s="39" t="n"/>
      <c r="E1004" s="39" t="n"/>
      <c r="F1004" s="7" t="n"/>
      <c r="G1004" s="40" t="n"/>
      <c r="H1004" s="39" t="n"/>
      <c r="I1004" s="39" t="n"/>
    </row>
    <row r="1005">
      <c r="A1005" s="7" t="n"/>
      <c r="B1005" s="7" t="n"/>
      <c r="C1005" s="7" t="n"/>
      <c r="D1005" s="39" t="n"/>
      <c r="E1005" s="39" t="n"/>
      <c r="F1005" s="7" t="n"/>
      <c r="G1005" s="40" t="n"/>
      <c r="H1005" s="39" t="n"/>
      <c r="I1005" s="39" t="n"/>
    </row>
    <row r="1006">
      <c r="A1006" s="7" t="n"/>
      <c r="B1006" s="7" t="n"/>
      <c r="C1006" s="7" t="n"/>
      <c r="D1006" s="39" t="n"/>
      <c r="E1006" s="39" t="n"/>
      <c r="F1006" s="7" t="n"/>
      <c r="G1006" s="40" t="n"/>
      <c r="H1006" s="39" t="n"/>
      <c r="I1006" s="39" t="n"/>
    </row>
    <row r="1007">
      <c r="A1007" s="7" t="n"/>
      <c r="B1007" s="7" t="n"/>
      <c r="C1007" s="7" t="n"/>
      <c r="D1007" s="39" t="n"/>
      <c r="E1007" s="39" t="n"/>
      <c r="F1007" s="7" t="n"/>
      <c r="G1007" s="40" t="n"/>
      <c r="H1007" s="39" t="n"/>
      <c r="I1007" s="39" t="n"/>
    </row>
    <row r="1008">
      <c r="A1008" s="7" t="n"/>
      <c r="B1008" s="7" t="n"/>
      <c r="C1008" s="7" t="n"/>
      <c r="D1008" s="39" t="n"/>
      <c r="E1008" s="39" t="n"/>
      <c r="F1008" s="7" t="n"/>
      <c r="G1008" s="40" t="n"/>
      <c r="H1008" s="39" t="n"/>
      <c r="I1008" s="39" t="n"/>
    </row>
    <row r="1009">
      <c r="A1009" s="7" t="n"/>
      <c r="B1009" s="7" t="n"/>
      <c r="C1009" s="7" t="n"/>
      <c r="D1009" s="39" t="n"/>
      <c r="E1009" s="39" t="n"/>
      <c r="F1009" s="7" t="n"/>
      <c r="G1009" s="40" t="n"/>
      <c r="H1009" s="39" t="n"/>
      <c r="I1009" s="39" t="n"/>
    </row>
    <row r="1010">
      <c r="A1010" s="7" t="n"/>
      <c r="B1010" s="7" t="n"/>
      <c r="C1010" s="7" t="n"/>
      <c r="D1010" s="39" t="n"/>
      <c r="E1010" s="39" t="n"/>
      <c r="F1010" s="7" t="n"/>
      <c r="G1010" s="40" t="n"/>
      <c r="H1010" s="39" t="n"/>
      <c r="I1010" s="39" t="n"/>
    </row>
    <row r="1011">
      <c r="A1011" s="7" t="n"/>
      <c r="B1011" s="7" t="n"/>
      <c r="C1011" s="7" t="n"/>
      <c r="D1011" s="39" t="n"/>
      <c r="E1011" s="39" t="n"/>
      <c r="F1011" s="7" t="n"/>
      <c r="G1011" s="40" t="n"/>
      <c r="H1011" s="39" t="n"/>
      <c r="I1011" s="39" t="n"/>
    </row>
    <row r="1012">
      <c r="A1012" s="7" t="n"/>
      <c r="B1012" s="7" t="n"/>
      <c r="C1012" s="7" t="n"/>
      <c r="D1012" s="39" t="n"/>
      <c r="E1012" s="39" t="n"/>
      <c r="F1012" s="7" t="n"/>
      <c r="G1012" s="40" t="n"/>
      <c r="H1012" s="39" t="n"/>
      <c r="I1012" s="39" t="n"/>
    </row>
    <row r="1013">
      <c r="A1013" s="7" t="n"/>
      <c r="B1013" s="7" t="n"/>
      <c r="C1013" s="7" t="n"/>
      <c r="D1013" s="39" t="n"/>
      <c r="E1013" s="39" t="n"/>
      <c r="F1013" s="7" t="n"/>
      <c r="G1013" s="40" t="n"/>
      <c r="H1013" s="39" t="n"/>
      <c r="I1013" s="39" t="n"/>
    </row>
    <row r="1014">
      <c r="A1014" s="7" t="n"/>
      <c r="B1014" s="7" t="n"/>
      <c r="C1014" s="7" t="n"/>
      <c r="D1014" s="39" t="n"/>
      <c r="E1014" s="39" t="n"/>
      <c r="F1014" s="7" t="n"/>
      <c r="G1014" s="40" t="n"/>
      <c r="H1014" s="39" t="n"/>
      <c r="I1014" s="39" t="n"/>
    </row>
    <row r="1015">
      <c r="A1015" s="7" t="n"/>
      <c r="B1015" s="7" t="n"/>
      <c r="C1015" s="7" t="n"/>
      <c r="D1015" s="39" t="n"/>
      <c r="E1015" s="39" t="n"/>
      <c r="F1015" s="7" t="n"/>
      <c r="G1015" s="40" t="n"/>
      <c r="H1015" s="39" t="n"/>
      <c r="I1015" s="39" t="n"/>
    </row>
    <row r="1016">
      <c r="A1016" s="7" t="n"/>
      <c r="B1016" s="7" t="n"/>
      <c r="C1016" s="7" t="n"/>
      <c r="D1016" s="39" t="n"/>
      <c r="E1016" s="39" t="n"/>
      <c r="F1016" s="7" t="n"/>
      <c r="G1016" s="40" t="n"/>
      <c r="H1016" s="39" t="n"/>
      <c r="I1016" s="39" t="n"/>
    </row>
    <row r="1017">
      <c r="A1017" s="7" t="n"/>
      <c r="B1017" s="7" t="n"/>
      <c r="C1017" s="7" t="n"/>
      <c r="D1017" s="39" t="n"/>
      <c r="E1017" s="39" t="n"/>
      <c r="F1017" s="7" t="n"/>
      <c r="G1017" s="40" t="n"/>
      <c r="H1017" s="39" t="n"/>
      <c r="I1017" s="39" t="n"/>
    </row>
    <row r="1018">
      <c r="A1018" s="7" t="n"/>
      <c r="B1018" s="7" t="n"/>
      <c r="C1018" s="7" t="n"/>
      <c r="D1018" s="39" t="n"/>
      <c r="E1018" s="39" t="n"/>
      <c r="F1018" s="7" t="n"/>
      <c r="G1018" s="40" t="n"/>
      <c r="H1018" s="39" t="n"/>
      <c r="I1018" s="39" t="n"/>
    </row>
    <row r="1019">
      <c r="A1019" s="7" t="n"/>
      <c r="B1019" s="7" t="n"/>
      <c r="C1019" s="7" t="n"/>
      <c r="D1019" s="39" t="n"/>
      <c r="E1019" s="39" t="n"/>
      <c r="F1019" s="7" t="n"/>
      <c r="G1019" s="40" t="n"/>
      <c r="H1019" s="39" t="n"/>
      <c r="I1019" s="39" t="n"/>
    </row>
    <row r="1020">
      <c r="A1020" s="7" t="n"/>
      <c r="B1020" s="7" t="n"/>
      <c r="C1020" s="7" t="n"/>
      <c r="D1020" s="39" t="n"/>
      <c r="E1020" s="39" t="n"/>
      <c r="F1020" s="7" t="n"/>
      <c r="G1020" s="40" t="n"/>
      <c r="H1020" s="39" t="n"/>
      <c r="I1020" s="39" t="n"/>
    </row>
    <row r="1021">
      <c r="A1021" s="7" t="n"/>
      <c r="B1021" s="7" t="n"/>
      <c r="C1021" s="7" t="n"/>
      <c r="D1021" s="39" t="n"/>
      <c r="E1021" s="39" t="n"/>
      <c r="F1021" s="7" t="n"/>
      <c r="G1021" s="40" t="n"/>
      <c r="H1021" s="39" t="n"/>
      <c r="I1021" s="39" t="n"/>
    </row>
    <row r="1022">
      <c r="A1022" s="7" t="n"/>
      <c r="B1022" s="7" t="n"/>
      <c r="C1022" s="7" t="n"/>
      <c r="D1022" s="39" t="n"/>
      <c r="E1022" s="39" t="n"/>
      <c r="F1022" s="7" t="n"/>
      <c r="G1022" s="40" t="n"/>
      <c r="H1022" s="39" t="n"/>
      <c r="I1022" s="39" t="n"/>
    </row>
    <row r="1023">
      <c r="A1023" s="7" t="n"/>
      <c r="B1023" s="7" t="n"/>
      <c r="C1023" s="7" t="n"/>
      <c r="D1023" s="39" t="n"/>
      <c r="E1023" s="39" t="n"/>
      <c r="F1023" s="7" t="n"/>
      <c r="G1023" s="40" t="n"/>
      <c r="H1023" s="39" t="n"/>
      <c r="I1023" s="39" t="n"/>
    </row>
    <row r="1024">
      <c r="A1024" s="7" t="n"/>
      <c r="B1024" s="7" t="n"/>
      <c r="C1024" s="7" t="n"/>
      <c r="D1024" s="39" t="n"/>
      <c r="E1024" s="39" t="n"/>
      <c r="F1024" s="7" t="n"/>
      <c r="G1024" s="40" t="n"/>
      <c r="H1024" s="39" t="n"/>
      <c r="I1024" s="39" t="n"/>
    </row>
    <row r="1025">
      <c r="A1025" s="7" t="n"/>
      <c r="B1025" s="7" t="n"/>
      <c r="C1025" s="7" t="n"/>
      <c r="D1025" s="39" t="n"/>
      <c r="E1025" s="39" t="n"/>
      <c r="F1025" s="7" t="n"/>
      <c r="G1025" s="40" t="n"/>
      <c r="H1025" s="39" t="n"/>
      <c r="I1025" s="39" t="n"/>
    </row>
    <row r="1026">
      <c r="A1026" s="7" t="n"/>
      <c r="B1026" s="7" t="n"/>
      <c r="C1026" s="7" t="n"/>
      <c r="D1026" s="39" t="n"/>
      <c r="E1026" s="39" t="n"/>
      <c r="F1026" s="7" t="n"/>
      <c r="G1026" s="40" t="n"/>
      <c r="H1026" s="39" t="n"/>
      <c r="I1026" s="39" t="n"/>
    </row>
    <row r="1027">
      <c r="A1027" s="7" t="n"/>
      <c r="B1027" s="7" t="n"/>
      <c r="C1027" s="7" t="n"/>
      <c r="D1027" s="39" t="n"/>
      <c r="E1027" s="39" t="n"/>
      <c r="F1027" s="7" t="n"/>
      <c r="G1027" s="40" t="n"/>
      <c r="H1027" s="39" t="n"/>
      <c r="I1027" s="39" t="n"/>
    </row>
    <row r="1028">
      <c r="A1028" s="7" t="n"/>
      <c r="B1028" s="7" t="n"/>
      <c r="C1028" s="7" t="n"/>
      <c r="D1028" s="39" t="n"/>
      <c r="E1028" s="39" t="n"/>
      <c r="F1028" s="7" t="n"/>
      <c r="G1028" s="40" t="n"/>
      <c r="H1028" s="39" t="n"/>
      <c r="I1028" s="39" t="n"/>
    </row>
    <row r="1029">
      <c r="A1029" s="7" t="n"/>
      <c r="B1029" s="7" t="n"/>
      <c r="C1029" s="7" t="n"/>
      <c r="D1029" s="39" t="n"/>
      <c r="E1029" s="39" t="n"/>
      <c r="F1029" s="7" t="n"/>
      <c r="G1029" s="40" t="n"/>
      <c r="H1029" s="39" t="n"/>
      <c r="I1029" s="39" t="n"/>
    </row>
    <row r="1030">
      <c r="A1030" s="7" t="n"/>
      <c r="B1030" s="7" t="n"/>
      <c r="C1030" s="7" t="n"/>
      <c r="D1030" s="39" t="n"/>
      <c r="E1030" s="39" t="n"/>
      <c r="F1030" s="7" t="n"/>
      <c r="G1030" s="40" t="n"/>
      <c r="H1030" s="39" t="n"/>
      <c r="I1030" s="39" t="n"/>
    </row>
    <row r="1031">
      <c r="A1031" s="7" t="n"/>
      <c r="B1031" s="7" t="n"/>
      <c r="C1031" s="7" t="n"/>
      <c r="D1031" s="39" t="n"/>
      <c r="E1031" s="39" t="n"/>
      <c r="F1031" s="7" t="n"/>
      <c r="G1031" s="40" t="n"/>
      <c r="H1031" s="39" t="n"/>
      <c r="I1031" s="39" t="n"/>
    </row>
    <row r="1032">
      <c r="A1032" s="7" t="n"/>
      <c r="B1032" s="7" t="n"/>
      <c r="C1032" s="7" t="n"/>
      <c r="D1032" s="39" t="n"/>
      <c r="E1032" s="39" t="n"/>
      <c r="F1032" s="7" t="n"/>
      <c r="G1032" s="40" t="n"/>
      <c r="H1032" s="39" t="n"/>
      <c r="I1032" s="39" t="n"/>
    </row>
    <row r="1033">
      <c r="A1033" s="7" t="n"/>
      <c r="B1033" s="7" t="n"/>
      <c r="C1033" s="7" t="n"/>
      <c r="D1033" s="39" t="n"/>
      <c r="E1033" s="39" t="n"/>
      <c r="F1033" s="7" t="n"/>
      <c r="G1033" s="40" t="n"/>
      <c r="H1033" s="39" t="n"/>
      <c r="I1033" s="39" t="n"/>
    </row>
    <row r="1034">
      <c r="A1034" s="7" t="n"/>
      <c r="B1034" s="7" t="n"/>
      <c r="C1034" s="7" t="n"/>
      <c r="D1034" s="39" t="n"/>
      <c r="E1034" s="39" t="n"/>
      <c r="F1034" s="7" t="n"/>
      <c r="G1034" s="40" t="n"/>
      <c r="H1034" s="39" t="n"/>
      <c r="I1034" s="39" t="n"/>
    </row>
    <row r="1035">
      <c r="A1035" s="7" t="n"/>
      <c r="B1035" s="7" t="n"/>
      <c r="C1035" s="7" t="n"/>
      <c r="D1035" s="39" t="n"/>
      <c r="E1035" s="39" t="n"/>
      <c r="F1035" s="7" t="n"/>
      <c r="G1035" s="40" t="n"/>
      <c r="H1035" s="39" t="n"/>
      <c r="I1035" s="39" t="n"/>
    </row>
    <row r="1036">
      <c r="A1036" s="7" t="n"/>
      <c r="B1036" s="7" t="n"/>
      <c r="C1036" s="7" t="n"/>
      <c r="D1036" s="39" t="n"/>
      <c r="E1036" s="39" t="n"/>
      <c r="F1036" s="7" t="n"/>
      <c r="G1036" s="40" t="n"/>
      <c r="H1036" s="39" t="n"/>
      <c r="I1036" s="39" t="n"/>
    </row>
    <row r="1037">
      <c r="A1037" s="7" t="n"/>
      <c r="B1037" s="7" t="n"/>
      <c r="C1037" s="7" t="n"/>
      <c r="D1037" s="39" t="n"/>
      <c r="E1037" s="39" t="n"/>
      <c r="F1037" s="7" t="n"/>
      <c r="G1037" s="40" t="n"/>
      <c r="H1037" s="39" t="n"/>
      <c r="I1037" s="39" t="n"/>
    </row>
    <row r="1038">
      <c r="A1038" s="7" t="n"/>
      <c r="B1038" s="7" t="n"/>
      <c r="C1038" s="7" t="n"/>
      <c r="D1038" s="39" t="n"/>
      <c r="E1038" s="39" t="n"/>
      <c r="F1038" s="7" t="n"/>
      <c r="G1038" s="40" t="n"/>
      <c r="H1038" s="39" t="n"/>
      <c r="I1038" s="39" t="n"/>
    </row>
    <row r="1039">
      <c r="A1039" s="7" t="n"/>
      <c r="B1039" s="7" t="n"/>
      <c r="C1039" s="7" t="n"/>
      <c r="D1039" s="39" t="n"/>
      <c r="E1039" s="39" t="n"/>
      <c r="F1039" s="7" t="n"/>
      <c r="G1039" s="40" t="n"/>
      <c r="H1039" s="39" t="n"/>
      <c r="I1039" s="39" t="n"/>
    </row>
    <row r="1040">
      <c r="A1040" s="7" t="n"/>
      <c r="B1040" s="7" t="n"/>
      <c r="C1040" s="7" t="n"/>
      <c r="D1040" s="39" t="n"/>
      <c r="E1040" s="39" t="n"/>
      <c r="F1040" s="7" t="n"/>
      <c r="G1040" s="40" t="n"/>
      <c r="H1040" s="39" t="n"/>
      <c r="I1040" s="39" t="n"/>
    </row>
    <row r="1041">
      <c r="A1041" s="7" t="n"/>
      <c r="B1041" s="7" t="n"/>
      <c r="C1041" s="7" t="n"/>
      <c r="D1041" s="39" t="n"/>
      <c r="E1041" s="39" t="n"/>
      <c r="F1041" s="7" t="n"/>
      <c r="G1041" s="40" t="n"/>
      <c r="H1041" s="39" t="n"/>
      <c r="I1041" s="39" t="n"/>
    </row>
    <row r="1042">
      <c r="A1042" s="7" t="n"/>
      <c r="B1042" s="7" t="n"/>
      <c r="C1042" s="7" t="n"/>
      <c r="D1042" s="39" t="n"/>
      <c r="E1042" s="39" t="n"/>
      <c r="F1042" s="7" t="n"/>
      <c r="G1042" s="40" t="n"/>
      <c r="H1042" s="39" t="n"/>
      <c r="I1042" s="39" t="n"/>
    </row>
    <row r="1043">
      <c r="A1043" s="7" t="n"/>
      <c r="B1043" s="7" t="n"/>
      <c r="C1043" s="7" t="n"/>
      <c r="D1043" s="39" t="n"/>
      <c r="E1043" s="39" t="n"/>
      <c r="F1043" s="7" t="n"/>
      <c r="G1043" s="40" t="n"/>
      <c r="H1043" s="39" t="n"/>
      <c r="I1043" s="39" t="n"/>
    </row>
    <row r="1044">
      <c r="A1044" s="7" t="n"/>
      <c r="B1044" s="7" t="n"/>
      <c r="C1044" s="7" t="n"/>
      <c r="D1044" s="39" t="n"/>
      <c r="E1044" s="39" t="n"/>
      <c r="F1044" s="7" t="n"/>
      <c r="G1044" s="40" t="n"/>
      <c r="H1044" s="39" t="n"/>
      <c r="I1044" s="39" t="n"/>
    </row>
    <row r="1045">
      <c r="A1045" s="7" t="n"/>
      <c r="B1045" s="7" t="n"/>
      <c r="C1045" s="7" t="n"/>
      <c r="D1045" s="39" t="n"/>
      <c r="E1045" s="39" t="n"/>
      <c r="F1045" s="7" t="n"/>
      <c r="G1045" s="40" t="n"/>
      <c r="H1045" s="39" t="n"/>
      <c r="I1045" s="39" t="n"/>
    </row>
    <row r="1046">
      <c r="A1046" s="7" t="n"/>
      <c r="B1046" s="7" t="n"/>
      <c r="C1046" s="7" t="n"/>
      <c r="D1046" s="39" t="n"/>
      <c r="E1046" s="39" t="n"/>
      <c r="F1046" s="7" t="n"/>
      <c r="G1046" s="40" t="n"/>
      <c r="H1046" s="39" t="n"/>
      <c r="I1046" s="39" t="n"/>
    </row>
    <row r="1047">
      <c r="A1047" s="7" t="n"/>
      <c r="B1047" s="7" t="n"/>
      <c r="C1047" s="7" t="n"/>
      <c r="D1047" s="39" t="n"/>
      <c r="E1047" s="39" t="n"/>
      <c r="F1047" s="7" t="n"/>
      <c r="G1047" s="40" t="n"/>
      <c r="H1047" s="39" t="n"/>
      <c r="I1047" s="39" t="n"/>
    </row>
    <row r="1048">
      <c r="A1048" s="7" t="n"/>
      <c r="B1048" s="7" t="n"/>
      <c r="C1048" s="7" t="n"/>
      <c r="D1048" s="39" t="n"/>
      <c r="E1048" s="39" t="n"/>
      <c r="F1048" s="7" t="n"/>
      <c r="G1048" s="40" t="n"/>
      <c r="H1048" s="39" t="n"/>
      <c r="I1048" s="39" t="n"/>
    </row>
    <row r="1049">
      <c r="A1049" s="7" t="n"/>
      <c r="B1049" s="7" t="n"/>
      <c r="C1049" s="7" t="n"/>
      <c r="D1049" s="39" t="n"/>
      <c r="E1049" s="39" t="n"/>
      <c r="F1049" s="7" t="n"/>
      <c r="G1049" s="40" t="n"/>
      <c r="H1049" s="39" t="n"/>
      <c r="I1049" s="39" t="n"/>
    </row>
    <row r="1050">
      <c r="A1050" s="7" t="n"/>
      <c r="B1050" s="7" t="n"/>
      <c r="C1050" s="7" t="n"/>
      <c r="D1050" s="39" t="n"/>
      <c r="E1050" s="39" t="n"/>
      <c r="F1050" s="7" t="n"/>
      <c r="G1050" s="40" t="n"/>
      <c r="H1050" s="39" t="n"/>
      <c r="I1050" s="39" t="n"/>
    </row>
    <row r="1051">
      <c r="A1051" s="7" t="n"/>
      <c r="B1051" s="7" t="n"/>
      <c r="C1051" s="7" t="n"/>
      <c r="D1051" s="39" t="n"/>
      <c r="E1051" s="39" t="n"/>
      <c r="F1051" s="7" t="n"/>
      <c r="G1051" s="40" t="n"/>
      <c r="H1051" s="39" t="n"/>
      <c r="I1051" s="39" t="n"/>
    </row>
    <row r="1052">
      <c r="A1052" s="7" t="n"/>
      <c r="B1052" s="7" t="n"/>
      <c r="C1052" s="7" t="n"/>
      <c r="D1052" s="39" t="n"/>
      <c r="E1052" s="39" t="n"/>
      <c r="F1052" s="7" t="n"/>
      <c r="G1052" s="40" t="n"/>
      <c r="H1052" s="39" t="n"/>
      <c r="I1052" s="39" t="n"/>
    </row>
    <row r="1053">
      <c r="A1053" s="7" t="n"/>
      <c r="B1053" s="7" t="n"/>
      <c r="C1053" s="7" t="n"/>
      <c r="D1053" s="39" t="n"/>
      <c r="E1053" s="39" t="n"/>
      <c r="F1053" s="7" t="n"/>
      <c r="G1053" s="40" t="n"/>
      <c r="H1053" s="39" t="n"/>
      <c r="I1053" s="39" t="n"/>
    </row>
    <row r="1054">
      <c r="A1054" s="7" t="n"/>
      <c r="B1054" s="7" t="n"/>
      <c r="C1054" s="7" t="n"/>
      <c r="D1054" s="39" t="n"/>
      <c r="E1054" s="39" t="n"/>
      <c r="F1054" s="7" t="n"/>
      <c r="G1054" s="40" t="n"/>
      <c r="H1054" s="39" t="n"/>
      <c r="I1054" s="39" t="n"/>
    </row>
    <row r="1055">
      <c r="A1055" s="7" t="n"/>
      <c r="B1055" s="7" t="n"/>
      <c r="C1055" s="7" t="n"/>
      <c r="D1055" s="39" t="n"/>
      <c r="E1055" s="39" t="n"/>
      <c r="F1055" s="7" t="n"/>
      <c r="G1055" s="40" t="n"/>
      <c r="H1055" s="39" t="n"/>
      <c r="I1055" s="39" t="n"/>
    </row>
    <row r="1056">
      <c r="A1056" s="7" t="n"/>
      <c r="B1056" s="7" t="n"/>
      <c r="C1056" s="7" t="n"/>
      <c r="D1056" s="39" t="n"/>
      <c r="E1056" s="39" t="n"/>
      <c r="F1056" s="7" t="n"/>
      <c r="G1056" s="40" t="n"/>
      <c r="H1056" s="39" t="n"/>
      <c r="I1056" s="39" t="n"/>
    </row>
    <row r="1057">
      <c r="A1057" s="7" t="n"/>
      <c r="B1057" s="7" t="n"/>
      <c r="C1057" s="7" t="n"/>
      <c r="D1057" s="39" t="n"/>
      <c r="E1057" s="39" t="n"/>
      <c r="F1057" s="7" t="n"/>
      <c r="G1057" s="40" t="n"/>
      <c r="H1057" s="39" t="n"/>
      <c r="I1057" s="39" t="n"/>
    </row>
    <row r="1058">
      <c r="A1058" s="7" t="n"/>
      <c r="B1058" s="7" t="n"/>
      <c r="C1058" s="7" t="n"/>
      <c r="D1058" s="39" t="n"/>
      <c r="E1058" s="39" t="n"/>
      <c r="F1058" s="7" t="n"/>
      <c r="G1058" s="40" t="n"/>
      <c r="H1058" s="39" t="n"/>
      <c r="I1058" s="39" t="n"/>
    </row>
    <row r="1059">
      <c r="A1059" s="7" t="n"/>
      <c r="B1059" s="7" t="n"/>
      <c r="C1059" s="7" t="n"/>
      <c r="D1059" s="39" t="n"/>
      <c r="E1059" s="39" t="n"/>
      <c r="F1059" s="7" t="n"/>
      <c r="G1059" s="40" t="n"/>
      <c r="H1059" s="39" t="n"/>
      <c r="I1059" s="39" t="n"/>
    </row>
    <row r="1060">
      <c r="A1060" s="7" t="n"/>
      <c r="B1060" s="7" t="n"/>
      <c r="C1060" s="7" t="n"/>
      <c r="D1060" s="39" t="n"/>
      <c r="E1060" s="39" t="n"/>
      <c r="F1060" s="7" t="n"/>
      <c r="G1060" s="40" t="n"/>
      <c r="H1060" s="39" t="n"/>
      <c r="I1060" s="39" t="n"/>
    </row>
    <row r="1061">
      <c r="A1061" s="7" t="n"/>
      <c r="B1061" s="7" t="n"/>
      <c r="C1061" s="7" t="n"/>
      <c r="D1061" s="39" t="n"/>
      <c r="E1061" s="39" t="n"/>
      <c r="F1061" s="7" t="n"/>
      <c r="G1061" s="40" t="n"/>
      <c r="H1061" s="39" t="n"/>
      <c r="I1061" s="39" t="n"/>
    </row>
    <row r="1062">
      <c r="A1062" s="7" t="n"/>
      <c r="B1062" s="7" t="n"/>
      <c r="C1062" s="7" t="n"/>
      <c r="D1062" s="39" t="n"/>
      <c r="E1062" s="39" t="n"/>
      <c r="F1062" s="7" t="n"/>
      <c r="G1062" s="40" t="n"/>
      <c r="H1062" s="39" t="n"/>
      <c r="I1062" s="39" t="n"/>
    </row>
    <row r="1063">
      <c r="A1063" s="7" t="n"/>
      <c r="B1063" s="7" t="n"/>
      <c r="C1063" s="7" t="n"/>
      <c r="D1063" s="39" t="n"/>
      <c r="E1063" s="39" t="n"/>
      <c r="F1063" s="7" t="n"/>
      <c r="G1063" s="40" t="n"/>
      <c r="H1063" s="39" t="n"/>
      <c r="I1063" s="39" t="n"/>
    </row>
    <row r="1064">
      <c r="A1064" s="7" t="n"/>
      <c r="B1064" s="7" t="n"/>
      <c r="C1064" s="7" t="n"/>
      <c r="D1064" s="39" t="n"/>
      <c r="E1064" s="39" t="n"/>
      <c r="F1064" s="7" t="n"/>
      <c r="G1064" s="40" t="n"/>
      <c r="H1064" s="39" t="n"/>
      <c r="I1064" s="39" t="n"/>
    </row>
    <row r="1065">
      <c r="A1065" s="7" t="n"/>
      <c r="B1065" s="7" t="n"/>
      <c r="C1065" s="7" t="n"/>
      <c r="D1065" s="39" t="n"/>
      <c r="E1065" s="39" t="n"/>
      <c r="F1065" s="7" t="n"/>
      <c r="G1065" s="40" t="n"/>
      <c r="H1065" s="39" t="n"/>
      <c r="I1065" s="39" t="n"/>
    </row>
    <row r="1066">
      <c r="A1066" s="7" t="n"/>
      <c r="B1066" s="7" t="n"/>
      <c r="C1066" s="7" t="n"/>
      <c r="D1066" s="39" t="n"/>
      <c r="E1066" s="39" t="n"/>
      <c r="F1066" s="7" t="n"/>
      <c r="G1066" s="40" t="n"/>
      <c r="H1066" s="39" t="n"/>
      <c r="I1066" s="39" t="n"/>
    </row>
    <row r="1067">
      <c r="A1067" s="7" t="n"/>
      <c r="B1067" s="7" t="n"/>
      <c r="C1067" s="7" t="n"/>
      <c r="D1067" s="39" t="n"/>
      <c r="E1067" s="39" t="n"/>
      <c r="F1067" s="7" t="n"/>
      <c r="G1067" s="40" t="n"/>
      <c r="H1067" s="39" t="n"/>
      <c r="I1067" s="39" t="n"/>
    </row>
    <row r="1068">
      <c r="A1068" s="7" t="n"/>
      <c r="B1068" s="7" t="n"/>
      <c r="C1068" s="7" t="n"/>
      <c r="D1068" s="39" t="n"/>
      <c r="E1068" s="39" t="n"/>
      <c r="F1068" s="7" t="n"/>
      <c r="G1068" s="40" t="n"/>
      <c r="H1068" s="39" t="n"/>
      <c r="I1068" s="39" t="n"/>
    </row>
    <row r="1069">
      <c r="A1069" s="7" t="n"/>
      <c r="B1069" s="7" t="n"/>
      <c r="C1069" s="7" t="n"/>
      <c r="D1069" s="39" t="n"/>
      <c r="E1069" s="39" t="n"/>
      <c r="F1069" s="7" t="n"/>
      <c r="G1069" s="40" t="n"/>
      <c r="H1069" s="39" t="n"/>
      <c r="I1069" s="39" t="n"/>
    </row>
    <row r="1070">
      <c r="A1070" s="7" t="n"/>
      <c r="B1070" s="7" t="n"/>
      <c r="C1070" s="7" t="n"/>
      <c r="D1070" s="39" t="n"/>
      <c r="E1070" s="39" t="n"/>
      <c r="F1070" s="7" t="n"/>
      <c r="G1070" s="40" t="n"/>
      <c r="H1070" s="39" t="n"/>
      <c r="I1070" s="39" t="n"/>
    </row>
    <row r="1071">
      <c r="A1071" s="7" t="n"/>
      <c r="B1071" s="7" t="n"/>
      <c r="C1071" s="7" t="n"/>
      <c r="D1071" s="39" t="n"/>
      <c r="E1071" s="39" t="n"/>
      <c r="F1071" s="7" t="n"/>
      <c r="G1071" s="40" t="n"/>
      <c r="H1071" s="39" t="n"/>
      <c r="I1071" s="39" t="n"/>
    </row>
    <row r="1072">
      <c r="A1072" s="7" t="n"/>
      <c r="B1072" s="7" t="n"/>
      <c r="C1072" s="7" t="n"/>
      <c r="D1072" s="39" t="n"/>
      <c r="E1072" s="39" t="n"/>
      <c r="F1072" s="7" t="n"/>
      <c r="G1072" s="40" t="n"/>
      <c r="H1072" s="39" t="n"/>
      <c r="I1072" s="39" t="n"/>
    </row>
    <row r="1073">
      <c r="A1073" s="7" t="n"/>
      <c r="B1073" s="7" t="n"/>
      <c r="C1073" s="7" t="n"/>
      <c r="D1073" s="39" t="n"/>
      <c r="E1073" s="39" t="n"/>
      <c r="F1073" s="7" t="n"/>
      <c r="G1073" s="40" t="n"/>
      <c r="H1073" s="39" t="n"/>
      <c r="I1073" s="39" t="n"/>
    </row>
    <row r="1074">
      <c r="A1074" s="7" t="n"/>
      <c r="B1074" s="7" t="n"/>
      <c r="C1074" s="7" t="n"/>
      <c r="D1074" s="39" t="n"/>
      <c r="E1074" s="39" t="n"/>
      <c r="F1074" s="7" t="n"/>
      <c r="G1074" s="40" t="n"/>
      <c r="H1074" s="39" t="n"/>
      <c r="I1074" s="39" t="n"/>
    </row>
    <row r="1075">
      <c r="A1075" s="7" t="n"/>
      <c r="B1075" s="7" t="n"/>
      <c r="C1075" s="7" t="n"/>
      <c r="D1075" s="39" t="n"/>
      <c r="E1075" s="39" t="n"/>
      <c r="F1075" s="7" t="n"/>
      <c r="G1075" s="40" t="n"/>
      <c r="H1075" s="39" t="n"/>
      <c r="I1075" s="39" t="n"/>
    </row>
    <row r="1076">
      <c r="A1076" s="7" t="n"/>
      <c r="B1076" s="7" t="n"/>
      <c r="C1076" s="7" t="n"/>
      <c r="D1076" s="39" t="n"/>
      <c r="E1076" s="39" t="n"/>
      <c r="F1076" s="7" t="n"/>
      <c r="G1076" s="40" t="n"/>
      <c r="H1076" s="39" t="n"/>
      <c r="I1076" s="39" t="n"/>
    </row>
    <row r="1077">
      <c r="A1077" s="7" t="n"/>
      <c r="B1077" s="7" t="n"/>
      <c r="C1077" s="7" t="n"/>
      <c r="D1077" s="39" t="n"/>
      <c r="E1077" s="39" t="n"/>
      <c r="F1077" s="7" t="n"/>
      <c r="G1077" s="40" t="n"/>
      <c r="H1077" s="39" t="n"/>
      <c r="I1077" s="39" t="n"/>
    </row>
    <row r="1078">
      <c r="A1078" s="7" t="n"/>
      <c r="B1078" s="7" t="n"/>
      <c r="C1078" s="7" t="n"/>
      <c r="D1078" s="39" t="n"/>
      <c r="E1078" s="39" t="n"/>
      <c r="F1078" s="7" t="n"/>
      <c r="G1078" s="40" t="n"/>
      <c r="H1078" s="39" t="n"/>
      <c r="I1078" s="39" t="n"/>
    </row>
    <row r="1079">
      <c r="A1079" s="7" t="n"/>
      <c r="B1079" s="7" t="n"/>
      <c r="C1079" s="7" t="n"/>
      <c r="D1079" s="39" t="n"/>
      <c r="E1079" s="39" t="n"/>
      <c r="F1079" s="7" t="n"/>
      <c r="G1079" s="40" t="n"/>
      <c r="H1079" s="39" t="n"/>
      <c r="I1079" s="39" t="n"/>
    </row>
    <row r="1080">
      <c r="A1080" s="7" t="n"/>
      <c r="B1080" s="7" t="n"/>
      <c r="C1080" s="7" t="n"/>
      <c r="D1080" s="39" t="n"/>
      <c r="E1080" s="39" t="n"/>
      <c r="F1080" s="7" t="n"/>
      <c r="G1080" s="40" t="n"/>
      <c r="H1080" s="39" t="n"/>
      <c r="I1080" s="39" t="n"/>
    </row>
    <row r="1081">
      <c r="A1081" s="7" t="n"/>
      <c r="B1081" s="7" t="n"/>
      <c r="C1081" s="7" t="n"/>
      <c r="D1081" s="39" t="n"/>
      <c r="E1081" s="39" t="n"/>
      <c r="F1081" s="7" t="n"/>
      <c r="G1081" s="40" t="n"/>
      <c r="H1081" s="39" t="n"/>
      <c r="I1081" s="39" t="n"/>
    </row>
    <row r="1082">
      <c r="A1082" s="7" t="n"/>
      <c r="B1082" s="7" t="n"/>
      <c r="C1082" s="7" t="n"/>
      <c r="D1082" s="39" t="n"/>
      <c r="E1082" s="39" t="n"/>
      <c r="F1082" s="7" t="n"/>
      <c r="G1082" s="40" t="n"/>
      <c r="H1082" s="39" t="n"/>
      <c r="I1082" s="39" t="n"/>
    </row>
    <row r="1083">
      <c r="A1083" s="7" t="n"/>
      <c r="B1083" s="7" t="n"/>
      <c r="C1083" s="7" t="n"/>
      <c r="D1083" s="39" t="n"/>
      <c r="E1083" s="39" t="n"/>
      <c r="F1083" s="7" t="n"/>
      <c r="G1083" s="40" t="n"/>
      <c r="H1083" s="39" t="n"/>
      <c r="I1083" s="39" t="n"/>
    </row>
    <row r="1084">
      <c r="A1084" s="7" t="n"/>
      <c r="B1084" s="7" t="n"/>
      <c r="C1084" s="7" t="n"/>
      <c r="D1084" s="39" t="n"/>
      <c r="E1084" s="39" t="n"/>
      <c r="F1084" s="7" t="n"/>
      <c r="G1084" s="40" t="n"/>
      <c r="H1084" s="39" t="n"/>
      <c r="I1084" s="39" t="n"/>
    </row>
    <row r="1085">
      <c r="A1085" s="7" t="n"/>
      <c r="B1085" s="7" t="n"/>
      <c r="C1085" s="7" t="n"/>
      <c r="D1085" s="39" t="n"/>
      <c r="E1085" s="39" t="n"/>
      <c r="F1085" s="7" t="n"/>
      <c r="G1085" s="40" t="n"/>
      <c r="H1085" s="39" t="n"/>
      <c r="I1085" s="39" t="n"/>
    </row>
    <row r="1086">
      <c r="A1086" s="7" t="n"/>
      <c r="B1086" s="7" t="n"/>
      <c r="C1086" s="7" t="n"/>
      <c r="D1086" s="39" t="n"/>
      <c r="E1086" s="39" t="n"/>
      <c r="F1086" s="7" t="n"/>
      <c r="G1086" s="40" t="n"/>
      <c r="H1086" s="39" t="n"/>
      <c r="I1086" s="39" t="n"/>
    </row>
    <row r="1087">
      <c r="A1087" s="7" t="n"/>
      <c r="B1087" s="7" t="n"/>
      <c r="C1087" s="7" t="n"/>
      <c r="D1087" s="39" t="n"/>
      <c r="E1087" s="39" t="n"/>
      <c r="F1087" s="7" t="n"/>
      <c r="G1087" s="40" t="n"/>
      <c r="H1087" s="39" t="n"/>
      <c r="I1087" s="39" t="n"/>
    </row>
    <row r="1088">
      <c r="A1088" s="7" t="n"/>
      <c r="B1088" s="7" t="n"/>
      <c r="C1088" s="7" t="n"/>
      <c r="D1088" s="39" t="n"/>
      <c r="E1088" s="39" t="n"/>
      <c r="F1088" s="7" t="n"/>
      <c r="G1088" s="40" t="n"/>
      <c r="H1088" s="39" t="n"/>
      <c r="I1088" s="39" t="n"/>
    </row>
    <row r="1089">
      <c r="A1089" s="7" t="n"/>
      <c r="B1089" s="7" t="n"/>
      <c r="C1089" s="7" t="n"/>
      <c r="D1089" s="39" t="n"/>
      <c r="E1089" s="39" t="n"/>
      <c r="F1089" s="7" t="n"/>
      <c r="G1089" s="40" t="n"/>
      <c r="H1089" s="39" t="n"/>
      <c r="I1089" s="39" t="n"/>
    </row>
    <row r="1090">
      <c r="A1090" s="7" t="n"/>
      <c r="B1090" s="7" t="n"/>
      <c r="C1090" s="7" t="n"/>
      <c r="D1090" s="39" t="n"/>
      <c r="E1090" s="39" t="n"/>
      <c r="F1090" s="7" t="n"/>
      <c r="G1090" s="40" t="n"/>
      <c r="H1090" s="39" t="n"/>
      <c r="I1090" s="39" t="n"/>
    </row>
    <row r="1091">
      <c r="A1091" s="7" t="n"/>
      <c r="B1091" s="7" t="n"/>
      <c r="C1091" s="7" t="n"/>
      <c r="D1091" s="39" t="n"/>
      <c r="E1091" s="39" t="n"/>
      <c r="F1091" s="7" t="n"/>
      <c r="G1091" s="40" t="n"/>
      <c r="H1091" s="39" t="n"/>
      <c r="I1091" s="39" t="n"/>
    </row>
    <row r="1092">
      <c r="A1092" s="7" t="n"/>
      <c r="B1092" s="7" t="n"/>
      <c r="C1092" s="7" t="n"/>
      <c r="D1092" s="39" t="n"/>
      <c r="E1092" s="39" t="n"/>
      <c r="F1092" s="7" t="n"/>
      <c r="G1092" s="40" t="n"/>
      <c r="H1092" s="39" t="n"/>
      <c r="I1092" s="39" t="n"/>
    </row>
    <row r="1093">
      <c r="A1093" s="7" t="n"/>
      <c r="B1093" s="7" t="n"/>
      <c r="C1093" s="7" t="n"/>
      <c r="D1093" s="39" t="n"/>
      <c r="E1093" s="39" t="n"/>
      <c r="F1093" s="7" t="n"/>
      <c r="G1093" s="40" t="n"/>
      <c r="H1093" s="39" t="n"/>
      <c r="I1093" s="39" t="n"/>
    </row>
    <row r="1094">
      <c r="A1094" s="7" t="n"/>
      <c r="B1094" s="7" t="n"/>
      <c r="C1094" s="7" t="n"/>
      <c r="D1094" s="39" t="n"/>
      <c r="E1094" s="39" t="n"/>
      <c r="F1094" s="7" t="n"/>
      <c r="G1094" s="40" t="n"/>
      <c r="H1094" s="39" t="n"/>
      <c r="I1094" s="39" t="n"/>
    </row>
    <row r="1095">
      <c r="A1095" s="7" t="n"/>
      <c r="B1095" s="7" t="n"/>
      <c r="C1095" s="7" t="n"/>
      <c r="D1095" s="39" t="n"/>
      <c r="E1095" s="39" t="n"/>
      <c r="F1095" s="7" t="n"/>
      <c r="G1095" s="40" t="n"/>
      <c r="H1095" s="39" t="n"/>
      <c r="I1095" s="39" t="n"/>
    </row>
    <row r="1096">
      <c r="A1096" s="7" t="n"/>
      <c r="B1096" s="7" t="n"/>
      <c r="C1096" s="7" t="n"/>
      <c r="D1096" s="39" t="n"/>
      <c r="E1096" s="39" t="n"/>
      <c r="F1096" s="7" t="n"/>
      <c r="G1096" s="40" t="n"/>
      <c r="H1096" s="39" t="n"/>
      <c r="I1096" s="39" t="n"/>
    </row>
    <row r="1097">
      <c r="A1097" s="7" t="n"/>
      <c r="B1097" s="7" t="n"/>
      <c r="C1097" s="7" t="n"/>
      <c r="D1097" s="39" t="n"/>
      <c r="E1097" s="39" t="n"/>
      <c r="F1097" s="7" t="n"/>
      <c r="G1097" s="40" t="n"/>
      <c r="H1097" s="39" t="n"/>
      <c r="I1097" s="39" t="n"/>
    </row>
    <row r="1098">
      <c r="A1098" s="7" t="n"/>
      <c r="B1098" s="7" t="n"/>
      <c r="C1098" s="7" t="n"/>
      <c r="D1098" s="39" t="n"/>
      <c r="E1098" s="39" t="n"/>
      <c r="F1098" s="7" t="n"/>
      <c r="G1098" s="40" t="n"/>
      <c r="H1098" s="39" t="n"/>
      <c r="I1098" s="39" t="n"/>
    </row>
    <row r="1099">
      <c r="A1099" s="7" t="n"/>
      <c r="B1099" s="7" t="n"/>
      <c r="C1099" s="7" t="n"/>
      <c r="D1099" s="39" t="n"/>
      <c r="E1099" s="39" t="n"/>
      <c r="F1099" s="7" t="n"/>
      <c r="G1099" s="40" t="n"/>
      <c r="H1099" s="39" t="n"/>
      <c r="I1099" s="39" t="n"/>
    </row>
    <row r="1100">
      <c r="A1100" s="7" t="n"/>
      <c r="B1100" s="7" t="n"/>
      <c r="C1100" s="7" t="n"/>
      <c r="D1100" s="39" t="n"/>
      <c r="E1100" s="39" t="n"/>
      <c r="F1100" s="7" t="n"/>
      <c r="G1100" s="40" t="n"/>
      <c r="H1100" s="39" t="n"/>
      <c r="I1100" s="39" t="n"/>
    </row>
    <row r="1101">
      <c r="A1101" s="7" t="n"/>
      <c r="B1101" s="7" t="n"/>
      <c r="C1101" s="7" t="n"/>
      <c r="D1101" s="39" t="n"/>
      <c r="E1101" s="39" t="n"/>
      <c r="F1101" s="7" t="n"/>
      <c r="G1101" s="40" t="n"/>
      <c r="H1101" s="39" t="n"/>
      <c r="I1101" s="39" t="n"/>
    </row>
    <row r="1102">
      <c r="A1102" s="7" t="n"/>
      <c r="B1102" s="7" t="n"/>
      <c r="C1102" s="7" t="n"/>
      <c r="D1102" s="39" t="n"/>
      <c r="E1102" s="39" t="n"/>
      <c r="F1102" s="7" t="n"/>
      <c r="G1102" s="40" t="n"/>
      <c r="H1102" s="39" t="n"/>
      <c r="I1102" s="39" t="n"/>
    </row>
    <row r="1103">
      <c r="A1103" s="7" t="n"/>
      <c r="B1103" s="7" t="n"/>
      <c r="C1103" s="7" t="n"/>
      <c r="D1103" s="39" t="n"/>
      <c r="E1103" s="39" t="n"/>
      <c r="F1103" s="7" t="n"/>
      <c r="G1103" s="40" t="n"/>
      <c r="H1103" s="39" t="n"/>
      <c r="I1103" s="39" t="n"/>
    </row>
    <row r="1104">
      <c r="A1104" s="7" t="n"/>
      <c r="B1104" s="7" t="n"/>
      <c r="C1104" s="7" t="n"/>
      <c r="D1104" s="39" t="n"/>
      <c r="E1104" s="39" t="n"/>
      <c r="F1104" s="7" t="n"/>
      <c r="G1104" s="40" t="n"/>
      <c r="H1104" s="39" t="n"/>
      <c r="I1104" s="39" t="n"/>
    </row>
    <row r="1105">
      <c r="A1105" s="7" t="n"/>
      <c r="B1105" s="7" t="n"/>
      <c r="C1105" s="7" t="n"/>
      <c r="D1105" s="39" t="n"/>
      <c r="E1105" s="39" t="n"/>
      <c r="F1105" s="7" t="n"/>
      <c r="G1105" s="40" t="n"/>
      <c r="H1105" s="39" t="n"/>
      <c r="I1105" s="39" t="n"/>
    </row>
    <row r="1106">
      <c r="A1106" s="7" t="n"/>
      <c r="B1106" s="7" t="n"/>
      <c r="C1106" s="7" t="n"/>
      <c r="D1106" s="39" t="n"/>
      <c r="E1106" s="39" t="n"/>
      <c r="F1106" s="7" t="n"/>
      <c r="G1106" s="40" t="n"/>
      <c r="H1106" s="39" t="n"/>
      <c r="I1106" s="39" t="n"/>
    </row>
    <row r="1107">
      <c r="A1107" s="7" t="n"/>
      <c r="B1107" s="7" t="n"/>
      <c r="C1107" s="7" t="n"/>
      <c r="D1107" s="39" t="n"/>
      <c r="E1107" s="39" t="n"/>
      <c r="F1107" s="7" t="n"/>
      <c r="G1107" s="40" t="n"/>
      <c r="H1107" s="39" t="n"/>
      <c r="I1107" s="39" t="n"/>
    </row>
    <row r="1108">
      <c r="A1108" s="7" t="n"/>
      <c r="B1108" s="7" t="n"/>
      <c r="C1108" s="7" t="n"/>
      <c r="D1108" s="39" t="n"/>
      <c r="E1108" s="39" t="n"/>
      <c r="F1108" s="7" t="n"/>
      <c r="G1108" s="40" t="n"/>
      <c r="H1108" s="39" t="n"/>
      <c r="I1108" s="39" t="n"/>
    </row>
    <row r="1109">
      <c r="A1109" s="7" t="n"/>
      <c r="B1109" s="7" t="n"/>
      <c r="C1109" s="7" t="n"/>
      <c r="D1109" s="39" t="n"/>
      <c r="E1109" s="39" t="n"/>
      <c r="F1109" s="7" t="n"/>
      <c r="G1109" s="40" t="n"/>
      <c r="H1109" s="39" t="n"/>
      <c r="I1109" s="39" t="n"/>
    </row>
    <row r="1110">
      <c r="A1110" s="7" t="n"/>
      <c r="B1110" s="7" t="n"/>
      <c r="C1110" s="7" t="n"/>
      <c r="D1110" s="39" t="n"/>
      <c r="E1110" s="39" t="n"/>
      <c r="F1110" s="7" t="n"/>
      <c r="G1110" s="40" t="n"/>
      <c r="H1110" s="39" t="n"/>
      <c r="I1110" s="39" t="n"/>
    </row>
    <row r="1111">
      <c r="A1111" s="7" t="n"/>
      <c r="B1111" s="7" t="n"/>
      <c r="C1111" s="7" t="n"/>
      <c r="D1111" s="39" t="n"/>
      <c r="E1111" s="39" t="n"/>
      <c r="F1111" s="7" t="n"/>
      <c r="G1111" s="40" t="n"/>
      <c r="H1111" s="39" t="n"/>
      <c r="I1111" s="39" t="n"/>
    </row>
    <row r="1112">
      <c r="A1112" s="7" t="n"/>
      <c r="B1112" s="7" t="n"/>
      <c r="C1112" s="7" t="n"/>
      <c r="D1112" s="39" t="n"/>
      <c r="E1112" s="39" t="n"/>
      <c r="F1112" s="7" t="n"/>
      <c r="G1112" s="40" t="n"/>
      <c r="H1112" s="39" t="n"/>
      <c r="I1112" s="39" t="n"/>
    </row>
    <row r="1113">
      <c r="A1113" s="7" t="n"/>
      <c r="B1113" s="7" t="n"/>
      <c r="C1113" s="7" t="n"/>
      <c r="D1113" s="39" t="n"/>
      <c r="E1113" s="39" t="n"/>
      <c r="F1113" s="7" t="n"/>
      <c r="G1113" s="40" t="n"/>
      <c r="H1113" s="39" t="n"/>
      <c r="I1113" s="39" t="n"/>
    </row>
    <row r="1114">
      <c r="A1114" s="7" t="n"/>
      <c r="B1114" s="7" t="n"/>
      <c r="C1114" s="7" t="n"/>
      <c r="D1114" s="39" t="n"/>
      <c r="E1114" s="39" t="n"/>
      <c r="F1114" s="7" t="n"/>
      <c r="G1114" s="40" t="n"/>
      <c r="H1114" s="39" t="n"/>
      <c r="I1114" s="39" t="n"/>
    </row>
    <row r="1115">
      <c r="A1115" s="7" t="n"/>
      <c r="B1115" s="7" t="n"/>
      <c r="C1115" s="7" t="n"/>
      <c r="D1115" s="39" t="n"/>
      <c r="E1115" s="39" t="n"/>
      <c r="F1115" s="7" t="n"/>
      <c r="G1115" s="40" t="n"/>
      <c r="H1115" s="39" t="n"/>
      <c r="I1115" s="39" t="n"/>
    </row>
    <row r="1116">
      <c r="A1116" s="7" t="n"/>
      <c r="B1116" s="7" t="n"/>
      <c r="C1116" s="7" t="n"/>
      <c r="D1116" s="39" t="n"/>
      <c r="E1116" s="39" t="n"/>
      <c r="F1116" s="7" t="n"/>
      <c r="G1116" s="40" t="n"/>
      <c r="H1116" s="39" t="n"/>
      <c r="I1116" s="39" t="n"/>
    </row>
    <row r="1117">
      <c r="A1117" s="7" t="n"/>
      <c r="B1117" s="7" t="n"/>
      <c r="C1117" s="7" t="n"/>
      <c r="D1117" s="39" t="n"/>
      <c r="E1117" s="39" t="n"/>
      <c r="F1117" s="7" t="n"/>
      <c r="G1117" s="40" t="n"/>
      <c r="H1117" s="39" t="n"/>
      <c r="I1117" s="39" t="n"/>
    </row>
    <row r="1118">
      <c r="A1118" s="7" t="n"/>
      <c r="B1118" s="7" t="n"/>
      <c r="C1118" s="7" t="n"/>
      <c r="D1118" s="39" t="n"/>
      <c r="E1118" s="39" t="n"/>
      <c r="F1118" s="7" t="n"/>
      <c r="G1118" s="40" t="n"/>
      <c r="H1118" s="39" t="n"/>
      <c r="I1118" s="39" t="n"/>
    </row>
    <row r="1119">
      <c r="A1119" s="7" t="n"/>
      <c r="B1119" s="7" t="n"/>
      <c r="C1119" s="7" t="n"/>
      <c r="D1119" s="39" t="n"/>
      <c r="E1119" s="39" t="n"/>
      <c r="F1119" s="7" t="n"/>
      <c r="G1119" s="40" t="n"/>
      <c r="H1119" s="39" t="n"/>
      <c r="I1119" s="39" t="n"/>
    </row>
    <row r="1120">
      <c r="A1120" s="7" t="n"/>
      <c r="B1120" s="7" t="n"/>
      <c r="C1120" s="7" t="n"/>
      <c r="D1120" s="39" t="n"/>
      <c r="E1120" s="39" t="n"/>
      <c r="F1120" s="7" t="n"/>
      <c r="G1120" s="40" t="n"/>
      <c r="H1120" s="39" t="n"/>
      <c r="I1120" s="39" t="n"/>
    </row>
    <row r="1121">
      <c r="A1121" s="7" t="n"/>
      <c r="B1121" s="7" t="n"/>
      <c r="C1121" s="7" t="n"/>
      <c r="D1121" s="39" t="n"/>
      <c r="E1121" s="39" t="n"/>
      <c r="F1121" s="7" t="n"/>
      <c r="G1121" s="40" t="n"/>
      <c r="H1121" s="39" t="n"/>
      <c r="I1121" s="39" t="n"/>
    </row>
    <row r="1122">
      <c r="A1122" s="7" t="n"/>
      <c r="B1122" s="7" t="n"/>
      <c r="C1122" s="7" t="n"/>
      <c r="D1122" s="39" t="n"/>
      <c r="E1122" s="39" t="n"/>
      <c r="F1122" s="7" t="n"/>
      <c r="G1122" s="40" t="n"/>
      <c r="H1122" s="39" t="n"/>
      <c r="I1122" s="39" t="n"/>
    </row>
    <row r="1123">
      <c r="A1123" s="7" t="n"/>
      <c r="B1123" s="7" t="n"/>
      <c r="C1123" s="7" t="n"/>
      <c r="D1123" s="39" t="n"/>
      <c r="E1123" s="39" t="n"/>
      <c r="F1123" s="7" t="n"/>
      <c r="G1123" s="40" t="n"/>
      <c r="H1123" s="39" t="n"/>
      <c r="I1123" s="39" t="n"/>
    </row>
    <row r="1124">
      <c r="A1124" s="7" t="n"/>
      <c r="B1124" s="7" t="n"/>
      <c r="C1124" s="7" t="n"/>
      <c r="D1124" s="39" t="n"/>
      <c r="E1124" s="39" t="n"/>
      <c r="F1124" s="7" t="n"/>
      <c r="G1124" s="40" t="n"/>
      <c r="H1124" s="39" t="n"/>
      <c r="I1124" s="39" t="n"/>
    </row>
    <row r="1125">
      <c r="A1125" s="7" t="n"/>
      <c r="B1125" s="7" t="n"/>
      <c r="C1125" s="7" t="n"/>
      <c r="D1125" s="39" t="n"/>
      <c r="E1125" s="39" t="n"/>
      <c r="F1125" s="7" t="n"/>
      <c r="G1125" s="40" t="n"/>
      <c r="H1125" s="39" t="n"/>
      <c r="I1125" s="39" t="n"/>
    </row>
    <row r="1126">
      <c r="A1126" s="7" t="n"/>
      <c r="B1126" s="7" t="n"/>
      <c r="C1126" s="7" t="n"/>
      <c r="D1126" s="39" t="n"/>
      <c r="E1126" s="39" t="n"/>
      <c r="F1126" s="7" t="n"/>
      <c r="G1126" s="40" t="n"/>
      <c r="H1126" s="39" t="n"/>
      <c r="I1126" s="39" t="n"/>
    </row>
    <row r="1127">
      <c r="A1127" s="7" t="n"/>
      <c r="B1127" s="7" t="n"/>
      <c r="C1127" s="7" t="n"/>
      <c r="D1127" s="39" t="n"/>
      <c r="E1127" s="39" t="n"/>
      <c r="F1127" s="7" t="n"/>
      <c r="G1127" s="40" t="n"/>
      <c r="H1127" s="39" t="n"/>
      <c r="I1127" s="39" t="n"/>
    </row>
    <row r="1128">
      <c r="A1128" s="7" t="n"/>
      <c r="B1128" s="7" t="n"/>
      <c r="C1128" s="7" t="n"/>
      <c r="D1128" s="39" t="n"/>
      <c r="E1128" s="39" t="n"/>
      <c r="F1128" s="7" t="n"/>
      <c r="G1128" s="40" t="n"/>
      <c r="H1128" s="39" t="n"/>
      <c r="I1128" s="39" t="n"/>
    </row>
    <row r="1129">
      <c r="A1129" s="7" t="n"/>
      <c r="B1129" s="7" t="n"/>
      <c r="C1129" s="7" t="n"/>
      <c r="D1129" s="39" t="n"/>
      <c r="E1129" s="39" t="n"/>
      <c r="F1129" s="7" t="n"/>
      <c r="G1129" s="40" t="n"/>
      <c r="H1129" s="39" t="n"/>
      <c r="I1129" s="39" t="n"/>
    </row>
    <row r="1130">
      <c r="A1130" s="7" t="n"/>
      <c r="B1130" s="7" t="n"/>
      <c r="C1130" s="7" t="n"/>
      <c r="D1130" s="39" t="n"/>
      <c r="E1130" s="39" t="n"/>
      <c r="F1130" s="7" t="n"/>
      <c r="G1130" s="40" t="n"/>
      <c r="H1130" s="39" t="n"/>
      <c r="I1130" s="39" t="n"/>
    </row>
    <row r="1131">
      <c r="A1131" s="7" t="n"/>
      <c r="B1131" s="7" t="n"/>
      <c r="C1131" s="7" t="n"/>
      <c r="D1131" s="39" t="n"/>
      <c r="E1131" s="39" t="n"/>
      <c r="F1131" s="7" t="n"/>
      <c r="G1131" s="40" t="n"/>
      <c r="H1131" s="39" t="n"/>
      <c r="I1131" s="39" t="n"/>
    </row>
    <row r="1132">
      <c r="A1132" s="7" t="n"/>
      <c r="B1132" s="7" t="n"/>
      <c r="C1132" s="7" t="n"/>
      <c r="D1132" s="39" t="n"/>
      <c r="E1132" s="39" t="n"/>
      <c r="F1132" s="7" t="n"/>
      <c r="G1132" s="40" t="n"/>
      <c r="H1132" s="39" t="n"/>
      <c r="I1132" s="39" t="n"/>
    </row>
    <row r="1133">
      <c r="A1133" s="7" t="n"/>
      <c r="B1133" s="7" t="n"/>
      <c r="C1133" s="7" t="n"/>
      <c r="D1133" s="39" t="n"/>
      <c r="E1133" s="39" t="n"/>
      <c r="F1133" s="7" t="n"/>
      <c r="G1133" s="40" t="n"/>
      <c r="H1133" s="39" t="n"/>
      <c r="I1133" s="39" t="n"/>
    </row>
    <row r="1134">
      <c r="A1134" s="7" t="n"/>
      <c r="B1134" s="7" t="n"/>
      <c r="C1134" s="7" t="n"/>
      <c r="D1134" s="39" t="n"/>
      <c r="E1134" s="39" t="n"/>
      <c r="F1134" s="7" t="n"/>
      <c r="G1134" s="40" t="n"/>
      <c r="H1134" s="39" t="n"/>
      <c r="I1134" s="39" t="n"/>
    </row>
    <row r="1135">
      <c r="A1135" s="7" t="n"/>
      <c r="B1135" s="7" t="n"/>
      <c r="C1135" s="7" t="n"/>
      <c r="D1135" s="39" t="n"/>
      <c r="E1135" s="39" t="n"/>
      <c r="F1135" s="7" t="n"/>
      <c r="G1135" s="40" t="n"/>
      <c r="H1135" s="39" t="n"/>
      <c r="I1135" s="39" t="n"/>
    </row>
    <row r="1136">
      <c r="A1136" s="7" t="n"/>
      <c r="B1136" s="7" t="n"/>
      <c r="C1136" s="7" t="n"/>
      <c r="D1136" s="39" t="n"/>
      <c r="E1136" s="39" t="n"/>
      <c r="F1136" s="7" t="n"/>
      <c r="G1136" s="40" t="n"/>
      <c r="H1136" s="39" t="n"/>
      <c r="I1136" s="39" t="n"/>
    </row>
    <row r="1137">
      <c r="A1137" s="7" t="n"/>
      <c r="B1137" s="7" t="n"/>
      <c r="C1137" s="7" t="n"/>
      <c r="D1137" s="39" t="n"/>
      <c r="E1137" s="39" t="n"/>
      <c r="F1137" s="7" t="n"/>
      <c r="G1137" s="40" t="n"/>
      <c r="H1137" s="39" t="n"/>
      <c r="I1137" s="39" t="n"/>
    </row>
    <row r="1138">
      <c r="A1138" s="7" t="n"/>
      <c r="B1138" s="7" t="n"/>
      <c r="C1138" s="7" t="n"/>
      <c r="D1138" s="39" t="n"/>
      <c r="E1138" s="39" t="n"/>
      <c r="F1138" s="7" t="n"/>
      <c r="G1138" s="40" t="n"/>
      <c r="H1138" s="39" t="n"/>
      <c r="I1138" s="39" t="n"/>
    </row>
    <row r="1139">
      <c r="A1139" s="7" t="n"/>
      <c r="B1139" s="7" t="n"/>
      <c r="C1139" s="7" t="n"/>
      <c r="D1139" s="39" t="n"/>
      <c r="E1139" s="39" t="n"/>
      <c r="F1139" s="7" t="n"/>
      <c r="G1139" s="40" t="n"/>
      <c r="H1139" s="39" t="n"/>
      <c r="I1139" s="39" t="n"/>
    </row>
    <row r="1140">
      <c r="A1140" s="7" t="n"/>
      <c r="B1140" s="7" t="n"/>
      <c r="C1140" s="7" t="n"/>
      <c r="D1140" s="39" t="n"/>
      <c r="E1140" s="39" t="n"/>
      <c r="F1140" s="7" t="n"/>
      <c r="G1140" s="40" t="n"/>
      <c r="H1140" s="39" t="n"/>
      <c r="I1140" s="39" t="n"/>
    </row>
    <row r="1141">
      <c r="A1141" s="7" t="n"/>
      <c r="B1141" s="7" t="n"/>
      <c r="C1141" s="7" t="n"/>
      <c r="D1141" s="39" t="n"/>
      <c r="E1141" s="39" t="n"/>
      <c r="F1141" s="7" t="n"/>
      <c r="G1141" s="40" t="n"/>
      <c r="H1141" s="39" t="n"/>
      <c r="I1141" s="39" t="n"/>
    </row>
    <row r="1142">
      <c r="A1142" s="7" t="n"/>
      <c r="B1142" s="7" t="n"/>
      <c r="C1142" s="7" t="n"/>
      <c r="D1142" s="39" t="n"/>
      <c r="E1142" s="39" t="n"/>
      <c r="F1142" s="7" t="n"/>
      <c r="G1142" s="40" t="n"/>
      <c r="H1142" s="39" t="n"/>
      <c r="I1142" s="39" t="n"/>
    </row>
    <row r="1143">
      <c r="A1143" s="7" t="n"/>
      <c r="B1143" s="7" t="n"/>
      <c r="C1143" s="7" t="n"/>
      <c r="D1143" s="39" t="n"/>
      <c r="E1143" s="39" t="n"/>
      <c r="F1143" s="7" t="n"/>
      <c r="G1143" s="40" t="n"/>
      <c r="H1143" s="39" t="n"/>
      <c r="I1143" s="39" t="n"/>
    </row>
    <row r="1144">
      <c r="A1144" s="7" t="n"/>
      <c r="B1144" s="7" t="n"/>
      <c r="C1144" s="7" t="n"/>
      <c r="D1144" s="39" t="n"/>
      <c r="E1144" s="39" t="n"/>
      <c r="F1144" s="7" t="n"/>
      <c r="G1144" s="40" t="n"/>
      <c r="H1144" s="39" t="n"/>
      <c r="I1144" s="39" t="n"/>
    </row>
    <row r="1145">
      <c r="A1145" s="7" t="n"/>
      <c r="B1145" s="7" t="n"/>
      <c r="C1145" s="7" t="n"/>
      <c r="D1145" s="39" t="n"/>
      <c r="E1145" s="39" t="n"/>
      <c r="F1145" s="7" t="n"/>
      <c r="G1145" s="40" t="n"/>
      <c r="H1145" s="39" t="n"/>
      <c r="I1145" s="39" t="n"/>
    </row>
    <row r="1146">
      <c r="A1146" s="7" t="n"/>
      <c r="B1146" s="7" t="n"/>
      <c r="C1146" s="7" t="n"/>
      <c r="D1146" s="39" t="n"/>
      <c r="E1146" s="39" t="n"/>
      <c r="F1146" s="7" t="n"/>
      <c r="G1146" s="40" t="n"/>
      <c r="H1146" s="39" t="n"/>
      <c r="I1146" s="39" t="n"/>
    </row>
    <row r="1147">
      <c r="A1147" s="7" t="n"/>
      <c r="B1147" s="7" t="n"/>
      <c r="C1147" s="7" t="n"/>
      <c r="D1147" s="39" t="n"/>
      <c r="E1147" s="39" t="n"/>
      <c r="F1147" s="7" t="n"/>
      <c r="G1147" s="40" t="n"/>
      <c r="H1147" s="39" t="n"/>
      <c r="I1147" s="39" t="n"/>
    </row>
    <row r="1148">
      <c r="A1148" s="7" t="n"/>
      <c r="B1148" s="7" t="n"/>
      <c r="C1148" s="7" t="n"/>
      <c r="D1148" s="39" t="n"/>
      <c r="E1148" s="39" t="n"/>
      <c r="F1148" s="7" t="n"/>
      <c r="G1148" s="40" t="n"/>
      <c r="H1148" s="39" t="n"/>
      <c r="I1148" s="39" t="n"/>
    </row>
    <row r="1149">
      <c r="A1149" s="7" t="n"/>
      <c r="B1149" s="7" t="n"/>
      <c r="C1149" s="7" t="n"/>
      <c r="D1149" s="39" t="n"/>
      <c r="E1149" s="39" t="n"/>
      <c r="F1149" s="7" t="n"/>
      <c r="G1149" s="40" t="n"/>
      <c r="H1149" s="39" t="n"/>
      <c r="I1149" s="39" t="n"/>
    </row>
    <row r="1150">
      <c r="A1150" s="7" t="n"/>
      <c r="B1150" s="7" t="n"/>
      <c r="C1150" s="7" t="n"/>
      <c r="D1150" s="39" t="n"/>
      <c r="E1150" s="39" t="n"/>
      <c r="F1150" s="7" t="n"/>
      <c r="G1150" s="40" t="n"/>
      <c r="H1150" s="39" t="n"/>
      <c r="I1150" s="39" t="n"/>
    </row>
    <row r="1151">
      <c r="A1151" s="7" t="n"/>
      <c r="B1151" s="7" t="n"/>
      <c r="C1151" s="7" t="n"/>
      <c r="D1151" s="39" t="n"/>
      <c r="E1151" s="39" t="n"/>
      <c r="F1151" s="7" t="n"/>
      <c r="G1151" s="40" t="n"/>
      <c r="H1151" s="39" t="n"/>
      <c r="I1151" s="39" t="n"/>
    </row>
    <row r="1152">
      <c r="A1152" s="7" t="n"/>
      <c r="B1152" s="7" t="n"/>
      <c r="C1152" s="7" t="n"/>
      <c r="D1152" s="39" t="n"/>
      <c r="E1152" s="39" t="n"/>
      <c r="F1152" s="7" t="n"/>
      <c r="G1152" s="40" t="n"/>
      <c r="H1152" s="39" t="n"/>
      <c r="I1152" s="39" t="n"/>
    </row>
    <row r="1153">
      <c r="A1153" s="7" t="n"/>
      <c r="B1153" s="7" t="n"/>
      <c r="C1153" s="7" t="n"/>
      <c r="D1153" s="39" t="n"/>
      <c r="E1153" s="39" t="n"/>
      <c r="F1153" s="7" t="n"/>
      <c r="G1153" s="40" t="n"/>
      <c r="H1153" s="39" t="n"/>
      <c r="I1153" s="39" t="n"/>
    </row>
    <row r="1154">
      <c r="A1154" s="7" t="n"/>
      <c r="B1154" s="7" t="n"/>
      <c r="C1154" s="7" t="n"/>
      <c r="D1154" s="39" t="n"/>
      <c r="E1154" s="39" t="n"/>
      <c r="F1154" s="7" t="n"/>
      <c r="G1154" s="40" t="n"/>
      <c r="H1154" s="39" t="n"/>
      <c r="I1154" s="39" t="n"/>
    </row>
    <row r="1155">
      <c r="A1155" s="7" t="n"/>
      <c r="B1155" s="7" t="n"/>
      <c r="C1155" s="7" t="n"/>
      <c r="D1155" s="39" t="n"/>
      <c r="E1155" s="39" t="n"/>
      <c r="F1155" s="7" t="n"/>
      <c r="G1155" s="40" t="n"/>
      <c r="H1155" s="39" t="n"/>
      <c r="I1155" s="39" t="n"/>
    </row>
    <row r="1156">
      <c r="A1156" s="7" t="n"/>
      <c r="B1156" s="7" t="n"/>
      <c r="C1156" s="7" t="n"/>
      <c r="D1156" s="39" t="n"/>
      <c r="E1156" s="39" t="n"/>
      <c r="F1156" s="7" t="n"/>
      <c r="G1156" s="40" t="n"/>
      <c r="H1156" s="39" t="n"/>
      <c r="I1156" s="39" t="n"/>
    </row>
    <row r="1157">
      <c r="A1157" s="7" t="n"/>
      <c r="B1157" s="7" t="n"/>
      <c r="C1157" s="7" t="n"/>
      <c r="D1157" s="39" t="n"/>
      <c r="E1157" s="39" t="n"/>
      <c r="F1157" s="7" t="n"/>
      <c r="G1157" s="40" t="n"/>
      <c r="H1157" s="39" t="n"/>
      <c r="I1157" s="39" t="n"/>
    </row>
    <row r="1158">
      <c r="A1158" s="7" t="n"/>
      <c r="B1158" s="7" t="n"/>
      <c r="C1158" s="7" t="n"/>
      <c r="D1158" s="39" t="n"/>
      <c r="E1158" s="39" t="n"/>
      <c r="F1158" s="7" t="n"/>
      <c r="G1158" s="40" t="n"/>
      <c r="H1158" s="39" t="n"/>
      <c r="I1158" s="39" t="n"/>
    </row>
    <row r="1159">
      <c r="A1159" s="7" t="n"/>
      <c r="B1159" s="7" t="n"/>
      <c r="C1159" s="7" t="n"/>
      <c r="D1159" s="39" t="n"/>
      <c r="E1159" s="39" t="n"/>
      <c r="F1159" s="7" t="n"/>
      <c r="G1159" s="40" t="n"/>
      <c r="H1159" s="39" t="n"/>
      <c r="I1159" s="39" t="n"/>
    </row>
    <row r="1160">
      <c r="A1160" s="7" t="n"/>
      <c r="B1160" s="7" t="n"/>
      <c r="C1160" s="7" t="n"/>
      <c r="D1160" s="39" t="n"/>
      <c r="E1160" s="39" t="n"/>
      <c r="F1160" s="7" t="n"/>
      <c r="G1160" s="40" t="n"/>
      <c r="H1160" s="39" t="n"/>
      <c r="I1160" s="39" t="n"/>
    </row>
    <row r="1161">
      <c r="A1161" s="7" t="n"/>
      <c r="B1161" s="7" t="n"/>
      <c r="C1161" s="7" t="n"/>
      <c r="D1161" s="39" t="n"/>
      <c r="E1161" s="39" t="n"/>
      <c r="F1161" s="7" t="n"/>
      <c r="G1161" s="40" t="n"/>
      <c r="H1161" s="39" t="n"/>
      <c r="I1161" s="39" t="n"/>
    </row>
    <row r="1162">
      <c r="A1162" s="7" t="n"/>
      <c r="B1162" s="7" t="n"/>
      <c r="C1162" s="7" t="n"/>
      <c r="D1162" s="39" t="n"/>
      <c r="E1162" s="39" t="n"/>
      <c r="F1162" s="7" t="n"/>
      <c r="G1162" s="40" t="n"/>
      <c r="H1162" s="39" t="n"/>
      <c r="I1162" s="39" t="n"/>
    </row>
    <row r="1163">
      <c r="A1163" s="7" t="n"/>
      <c r="B1163" s="7" t="n"/>
      <c r="C1163" s="7" t="n"/>
      <c r="D1163" s="39" t="n"/>
      <c r="E1163" s="39" t="n"/>
      <c r="F1163" s="7" t="n"/>
      <c r="G1163" s="40" t="n"/>
      <c r="H1163" s="39" t="n"/>
      <c r="I1163" s="39" t="n"/>
    </row>
    <row r="1164">
      <c r="A1164" s="7" t="n"/>
      <c r="B1164" s="7" t="n"/>
      <c r="C1164" s="7" t="n"/>
      <c r="D1164" s="39" t="n"/>
      <c r="E1164" s="39" t="n"/>
      <c r="F1164" s="7" t="n"/>
      <c r="G1164" s="40" t="n"/>
      <c r="H1164" s="39" t="n"/>
      <c r="I1164" s="39" t="n"/>
    </row>
    <row r="1165">
      <c r="A1165" s="7" t="n"/>
      <c r="B1165" s="7" t="n"/>
      <c r="C1165" s="7" t="n"/>
      <c r="D1165" s="39" t="n"/>
      <c r="E1165" s="39" t="n"/>
      <c r="F1165" s="7" t="n"/>
      <c r="G1165" s="40" t="n"/>
      <c r="H1165" s="39" t="n"/>
      <c r="I1165" s="39" t="n"/>
    </row>
    <row r="1166">
      <c r="A1166" s="7" t="n"/>
      <c r="B1166" s="7" t="n"/>
      <c r="C1166" s="7" t="n"/>
      <c r="D1166" s="39" t="n"/>
      <c r="E1166" s="39" t="n"/>
      <c r="F1166" s="7" t="n"/>
      <c r="G1166" s="40" t="n"/>
      <c r="H1166" s="39" t="n"/>
      <c r="I1166" s="39" t="n"/>
    </row>
    <row r="1167">
      <c r="A1167" s="7" t="n"/>
      <c r="B1167" s="7" t="n"/>
      <c r="C1167" s="7" t="n"/>
      <c r="D1167" s="39" t="n"/>
      <c r="E1167" s="39" t="n"/>
      <c r="F1167" s="7" t="n"/>
      <c r="G1167" s="40" t="n"/>
      <c r="H1167" s="39" t="n"/>
      <c r="I1167" s="39" t="n"/>
    </row>
    <row r="1168">
      <c r="A1168" s="7" t="n"/>
      <c r="B1168" s="7" t="n"/>
      <c r="C1168" s="7" t="n"/>
      <c r="D1168" s="39" t="n"/>
      <c r="E1168" s="39" t="n"/>
      <c r="F1168" s="7" t="n"/>
      <c r="G1168" s="40" t="n"/>
      <c r="H1168" s="39" t="n"/>
      <c r="I1168" s="39" t="n"/>
    </row>
    <row r="1169">
      <c r="A1169" s="7" t="n"/>
      <c r="B1169" s="7" t="n"/>
      <c r="C1169" s="7" t="n"/>
      <c r="D1169" s="39" t="n"/>
      <c r="E1169" s="39" t="n"/>
      <c r="F1169" s="7" t="n"/>
      <c r="G1169" s="40" t="n"/>
      <c r="H1169" s="39" t="n"/>
      <c r="I1169" s="39" t="n"/>
    </row>
    <row r="1170">
      <c r="A1170" s="7" t="n"/>
      <c r="B1170" s="7" t="n"/>
      <c r="C1170" s="7" t="n"/>
      <c r="D1170" s="39" t="n"/>
      <c r="E1170" s="39" t="n"/>
      <c r="F1170" s="7" t="n"/>
      <c r="G1170" s="40" t="n"/>
      <c r="H1170" s="39" t="n"/>
      <c r="I1170" s="39" t="n"/>
    </row>
    <row r="1171">
      <c r="A1171" s="7" t="n"/>
      <c r="B1171" s="7" t="n"/>
      <c r="C1171" s="7" t="n"/>
      <c r="D1171" s="39" t="n"/>
      <c r="E1171" s="39" t="n"/>
      <c r="F1171" s="7" t="n"/>
      <c r="G1171" s="40" t="n"/>
      <c r="H1171" s="39" t="n"/>
      <c r="I1171" s="39" t="n"/>
    </row>
    <row r="1172">
      <c r="A1172" s="7" t="n"/>
      <c r="B1172" s="7" t="n"/>
      <c r="C1172" s="7" t="n"/>
      <c r="D1172" s="39" t="n"/>
      <c r="E1172" s="39" t="n"/>
      <c r="F1172" s="7" t="n"/>
      <c r="G1172" s="40" t="n"/>
      <c r="H1172" s="39" t="n"/>
      <c r="I1172" s="39" t="n"/>
    </row>
    <row r="1173">
      <c r="A1173" s="7" t="n"/>
      <c r="B1173" s="7" t="n"/>
      <c r="C1173" s="7" t="n"/>
      <c r="D1173" s="39" t="n"/>
      <c r="E1173" s="39" t="n"/>
      <c r="F1173" s="7" t="n"/>
      <c r="G1173" s="40" t="n"/>
      <c r="H1173" s="39" t="n"/>
      <c r="I1173" s="39" t="n"/>
    </row>
    <row r="1174">
      <c r="A1174" s="7" t="n"/>
      <c r="B1174" s="7" t="n"/>
      <c r="C1174" s="7" t="n"/>
      <c r="D1174" s="39" t="n"/>
      <c r="E1174" s="39" t="n"/>
      <c r="F1174" s="7" t="n"/>
      <c r="G1174" s="40" t="n"/>
      <c r="H1174" s="39" t="n"/>
      <c r="I1174" s="39" t="n"/>
    </row>
    <row r="1175">
      <c r="A1175" s="7" t="n"/>
      <c r="B1175" s="7" t="n"/>
      <c r="C1175" s="7" t="n"/>
      <c r="D1175" s="39" t="n"/>
      <c r="E1175" s="39" t="n"/>
      <c r="F1175" s="7" t="n"/>
      <c r="G1175" s="40" t="n"/>
      <c r="H1175" s="39" t="n"/>
      <c r="I1175" s="39" t="n"/>
    </row>
    <row r="1176">
      <c r="A1176" s="7" t="n"/>
      <c r="B1176" s="7" t="n"/>
      <c r="C1176" s="7" t="n"/>
      <c r="D1176" s="39" t="n"/>
      <c r="E1176" s="39" t="n"/>
      <c r="F1176" s="7" t="n"/>
      <c r="G1176" s="40" t="n"/>
      <c r="H1176" s="39" t="n"/>
      <c r="I1176" s="39" t="n"/>
    </row>
    <row r="1177">
      <c r="A1177" s="7" t="n"/>
      <c r="B1177" s="7" t="n"/>
      <c r="C1177" s="7" t="n"/>
      <c r="D1177" s="39" t="n"/>
      <c r="E1177" s="39" t="n"/>
      <c r="F1177" s="7" t="n"/>
      <c r="G1177" s="40" t="n"/>
      <c r="H1177" s="39" t="n"/>
      <c r="I1177" s="39" t="n"/>
    </row>
    <row r="1178">
      <c r="A1178" s="7" t="n"/>
      <c r="B1178" s="7" t="n"/>
      <c r="C1178" s="7" t="n"/>
      <c r="D1178" s="39" t="n"/>
      <c r="E1178" s="39" t="n"/>
      <c r="F1178" s="7" t="n"/>
      <c r="G1178" s="40" t="n"/>
      <c r="H1178" s="39" t="n"/>
      <c r="I1178" s="39" t="n"/>
    </row>
    <row r="1179">
      <c r="A1179" s="7" t="n"/>
      <c r="B1179" s="7" t="n"/>
      <c r="C1179" s="7" t="n"/>
      <c r="D1179" s="39" t="n"/>
      <c r="E1179" s="39" t="n"/>
      <c r="F1179" s="7" t="n"/>
      <c r="G1179" s="40" t="n"/>
      <c r="H1179" s="39" t="n"/>
      <c r="I1179" s="39" t="n"/>
    </row>
    <row r="1180">
      <c r="A1180" s="7" t="n"/>
      <c r="B1180" s="7" t="n"/>
      <c r="C1180" s="7" t="n"/>
      <c r="D1180" s="39" t="n"/>
      <c r="E1180" s="39" t="n"/>
      <c r="F1180" s="7" t="n"/>
      <c r="G1180" s="40" t="n"/>
      <c r="H1180" s="39" t="n"/>
      <c r="I1180" s="39" t="n"/>
    </row>
    <row r="1181">
      <c r="A1181" s="7" t="n"/>
      <c r="B1181" s="7" t="n"/>
      <c r="C1181" s="7" t="n"/>
      <c r="D1181" s="39" t="n"/>
      <c r="E1181" s="39" t="n"/>
      <c r="F1181" s="7" t="n"/>
      <c r="G1181" s="40" t="n"/>
      <c r="H1181" s="39" t="n"/>
      <c r="I1181" s="39" t="n"/>
    </row>
    <row r="1182">
      <c r="A1182" s="7" t="n"/>
      <c r="B1182" s="7" t="n"/>
      <c r="C1182" s="7" t="n"/>
      <c r="D1182" s="39" t="n"/>
      <c r="E1182" s="39" t="n"/>
      <c r="F1182" s="7" t="n"/>
      <c r="G1182" s="40" t="n"/>
      <c r="H1182" s="39" t="n"/>
      <c r="I1182" s="39" t="n"/>
    </row>
    <row r="1183">
      <c r="A1183" s="7" t="n"/>
      <c r="B1183" s="7" t="n"/>
      <c r="C1183" s="7" t="n"/>
      <c r="D1183" s="39" t="n"/>
      <c r="E1183" s="39" t="n"/>
      <c r="F1183" s="7" t="n"/>
      <c r="G1183" s="40" t="n"/>
      <c r="H1183" s="39" t="n"/>
      <c r="I1183" s="39" t="n"/>
    </row>
    <row r="1184">
      <c r="A1184" s="7" t="n"/>
      <c r="B1184" s="7" t="n"/>
      <c r="C1184" s="7" t="n"/>
      <c r="D1184" s="39" t="n"/>
      <c r="E1184" s="39" t="n"/>
      <c r="F1184" s="7" t="n"/>
      <c r="G1184" s="40" t="n"/>
      <c r="H1184" s="39" t="n"/>
      <c r="I1184" s="39" t="n"/>
    </row>
    <row r="1185">
      <c r="A1185" s="7" t="n"/>
      <c r="B1185" s="7" t="n"/>
      <c r="C1185" s="7" t="n"/>
      <c r="D1185" s="39" t="n"/>
      <c r="E1185" s="39" t="n"/>
      <c r="F1185" s="7" t="n"/>
      <c r="G1185" s="40" t="n"/>
      <c r="H1185" s="39" t="n"/>
      <c r="I1185" s="39" t="n"/>
    </row>
    <row r="1186">
      <c r="A1186" s="7" t="n"/>
      <c r="B1186" s="7" t="n"/>
      <c r="C1186" s="7" t="n"/>
      <c r="D1186" s="39" t="n"/>
      <c r="E1186" s="39" t="n"/>
      <c r="F1186" s="7" t="n"/>
      <c r="G1186" s="40" t="n"/>
      <c r="H1186" s="39" t="n"/>
      <c r="I1186" s="39" t="n"/>
    </row>
    <row r="1187">
      <c r="A1187" s="7" t="n"/>
      <c r="B1187" s="7" t="n"/>
      <c r="C1187" s="7" t="n"/>
      <c r="D1187" s="39" t="n"/>
      <c r="E1187" s="39" t="n"/>
      <c r="F1187" s="7" t="n"/>
      <c r="G1187" s="40" t="n"/>
      <c r="H1187" s="39" t="n"/>
      <c r="I1187" s="39" t="n"/>
    </row>
    <row r="1188">
      <c r="A1188" s="7" t="n"/>
      <c r="B1188" s="7" t="n"/>
      <c r="C1188" s="7" t="n"/>
      <c r="D1188" s="39" t="n"/>
      <c r="E1188" s="39" t="n"/>
      <c r="F1188" s="7" t="n"/>
      <c r="G1188" s="40" t="n"/>
      <c r="H1188" s="39" t="n"/>
      <c r="I1188" s="39" t="n"/>
    </row>
    <row r="1189">
      <c r="A1189" s="7" t="n"/>
      <c r="B1189" s="7" t="n"/>
      <c r="C1189" s="7" t="n"/>
      <c r="D1189" s="39" t="n"/>
      <c r="E1189" s="39" t="n"/>
      <c r="F1189" s="7" t="n"/>
      <c r="G1189" s="40" t="n"/>
      <c r="H1189" s="39" t="n"/>
      <c r="I1189" s="39" t="n"/>
    </row>
    <row r="1190">
      <c r="A1190" s="7" t="n"/>
      <c r="B1190" s="7" t="n"/>
      <c r="C1190" s="7" t="n"/>
      <c r="D1190" s="39" t="n"/>
      <c r="E1190" s="39" t="n"/>
      <c r="F1190" s="7" t="n"/>
      <c r="G1190" s="40" t="n"/>
      <c r="H1190" s="39" t="n"/>
      <c r="I1190" s="39" t="n"/>
    </row>
    <row r="1191">
      <c r="A1191" s="7" t="n"/>
      <c r="B1191" s="7" t="n"/>
      <c r="C1191" s="7" t="n"/>
      <c r="D1191" s="39" t="n"/>
      <c r="E1191" s="39" t="n"/>
      <c r="F1191" s="7" t="n"/>
      <c r="G1191" s="40" t="n"/>
      <c r="H1191" s="39" t="n"/>
      <c r="I1191" s="39" t="n"/>
    </row>
    <row r="1192">
      <c r="A1192" s="7" t="n"/>
      <c r="B1192" s="7" t="n"/>
      <c r="C1192" s="7" t="n"/>
      <c r="D1192" s="39" t="n"/>
      <c r="E1192" s="39" t="n"/>
      <c r="F1192" s="7" t="n"/>
      <c r="G1192" s="40" t="n"/>
      <c r="H1192" s="39" t="n"/>
      <c r="I1192" s="39" t="n"/>
    </row>
    <row r="1193">
      <c r="A1193" s="7" t="n"/>
      <c r="B1193" s="7" t="n"/>
      <c r="C1193" s="7" t="n"/>
      <c r="D1193" s="39" t="n"/>
      <c r="E1193" s="39" t="n"/>
      <c r="F1193" s="7" t="n"/>
      <c r="G1193" s="40" t="n"/>
      <c r="H1193" s="39" t="n"/>
      <c r="I1193" s="39" t="n"/>
    </row>
    <row r="1194">
      <c r="A1194" s="7" t="n"/>
      <c r="B1194" s="7" t="n"/>
      <c r="C1194" s="7" t="n"/>
      <c r="D1194" s="39" t="n"/>
      <c r="E1194" s="39" t="n"/>
      <c r="F1194" s="7" t="n"/>
      <c r="G1194" s="40" t="n"/>
      <c r="H1194" s="39" t="n"/>
      <c r="I1194" s="39" t="n"/>
    </row>
    <row r="1195">
      <c r="A1195" s="7" t="n"/>
      <c r="B1195" s="7" t="n"/>
      <c r="C1195" s="7" t="n"/>
      <c r="D1195" s="39" t="n"/>
      <c r="E1195" s="39" t="n"/>
      <c r="F1195" s="7" t="n"/>
      <c r="G1195" s="40" t="n"/>
      <c r="H1195" s="39" t="n"/>
      <c r="I1195" s="39" t="n"/>
    </row>
    <row r="1196">
      <c r="A1196" s="7" t="n"/>
      <c r="B1196" s="7" t="n"/>
      <c r="C1196" s="7" t="n"/>
      <c r="D1196" s="39" t="n"/>
      <c r="E1196" s="39" t="n"/>
      <c r="F1196" s="7" t="n"/>
      <c r="G1196" s="40" t="n"/>
      <c r="H1196" s="39" t="n"/>
      <c r="I1196" s="39" t="n"/>
    </row>
    <row r="1197">
      <c r="A1197" s="7" t="n"/>
      <c r="B1197" s="7" t="n"/>
      <c r="C1197" s="7" t="n"/>
      <c r="D1197" s="39" t="n"/>
      <c r="E1197" s="39" t="n"/>
      <c r="F1197" s="7" t="n"/>
      <c r="G1197" s="40" t="n"/>
      <c r="H1197" s="39" t="n"/>
      <c r="I1197" s="39" t="n"/>
    </row>
    <row r="1198">
      <c r="A1198" s="7" t="n"/>
      <c r="B1198" s="7" t="n"/>
      <c r="C1198" s="7" t="n"/>
      <c r="D1198" s="39" t="n"/>
      <c r="E1198" s="39" t="n"/>
      <c r="F1198" s="7" t="n"/>
      <c r="G1198" s="40" t="n"/>
      <c r="H1198" s="39" t="n"/>
      <c r="I1198" s="39" t="n"/>
    </row>
    <row r="1199">
      <c r="A1199" s="7" t="n"/>
      <c r="B1199" s="7" t="n"/>
      <c r="C1199" s="7" t="n"/>
      <c r="D1199" s="39" t="n"/>
      <c r="E1199" s="39" t="n"/>
      <c r="F1199" s="7" t="n"/>
      <c r="G1199" s="40" t="n"/>
      <c r="H1199" s="39" t="n"/>
      <c r="I1199" s="39" t="n"/>
    </row>
    <row r="1200">
      <c r="A1200" s="7" t="n"/>
      <c r="B1200" s="7" t="n"/>
      <c r="C1200" s="7" t="n"/>
      <c r="D1200" s="39" t="n"/>
      <c r="E1200" s="39" t="n"/>
      <c r="F1200" s="7" t="n"/>
      <c r="G1200" s="40" t="n"/>
      <c r="H1200" s="39" t="n"/>
      <c r="I1200" s="39" t="n"/>
    </row>
    <row r="1201">
      <c r="A1201" s="7" t="n"/>
      <c r="B1201" s="7" t="n"/>
      <c r="C1201" s="7" t="n"/>
      <c r="D1201" s="39" t="n"/>
      <c r="E1201" s="39" t="n"/>
      <c r="F1201" s="7" t="n"/>
      <c r="G1201" s="40" t="n"/>
      <c r="H1201" s="39" t="n"/>
      <c r="I1201" s="39" t="n"/>
    </row>
    <row r="1202">
      <c r="A1202" s="7" t="n"/>
      <c r="B1202" s="7" t="n"/>
      <c r="C1202" s="7" t="n"/>
      <c r="D1202" s="39" t="n"/>
      <c r="E1202" s="39" t="n"/>
      <c r="F1202" s="7" t="n"/>
      <c r="G1202" s="40" t="n"/>
      <c r="H1202" s="39" t="n"/>
      <c r="I1202" s="39" t="n"/>
    </row>
    <row r="1203">
      <c r="A1203" s="7" t="n"/>
      <c r="B1203" s="7" t="n"/>
      <c r="C1203" s="7" t="n"/>
      <c r="D1203" s="39" t="n"/>
      <c r="E1203" s="39" t="n"/>
      <c r="F1203" s="7" t="n"/>
      <c r="G1203" s="40" t="n"/>
      <c r="H1203" s="39" t="n"/>
      <c r="I1203" s="39" t="n"/>
    </row>
    <row r="1204">
      <c r="A1204" s="7" t="n"/>
      <c r="B1204" s="7" t="n"/>
      <c r="C1204" s="7" t="n"/>
      <c r="D1204" s="39" t="n"/>
      <c r="E1204" s="39" t="n"/>
      <c r="F1204" s="7" t="n"/>
      <c r="G1204" s="40" t="n"/>
      <c r="H1204" s="39" t="n"/>
      <c r="I1204" s="39" t="n"/>
    </row>
    <row r="1205">
      <c r="A1205" s="7" t="n"/>
      <c r="B1205" s="7" t="n"/>
      <c r="C1205" s="7" t="n"/>
      <c r="D1205" s="39" t="n"/>
      <c r="E1205" s="39" t="n"/>
      <c r="F1205" s="7" t="n"/>
      <c r="G1205" s="40" t="n"/>
      <c r="H1205" s="39" t="n"/>
      <c r="I1205" s="39" t="n"/>
    </row>
    <row r="1206">
      <c r="A1206" s="7" t="n"/>
      <c r="B1206" s="7" t="n"/>
      <c r="C1206" s="7" t="n"/>
      <c r="D1206" s="39" t="n"/>
      <c r="E1206" s="39" t="n"/>
      <c r="F1206" s="7" t="n"/>
      <c r="G1206" s="40" t="n"/>
      <c r="H1206" s="39" t="n"/>
      <c r="I1206" s="39" t="n"/>
    </row>
    <row r="1207">
      <c r="A1207" s="7" t="n"/>
      <c r="B1207" s="7" t="n"/>
      <c r="C1207" s="7" t="n"/>
      <c r="D1207" s="39" t="n"/>
      <c r="E1207" s="39" t="n"/>
      <c r="F1207" s="7" t="n"/>
      <c r="G1207" s="40" t="n"/>
      <c r="H1207" s="39" t="n"/>
      <c r="I1207" s="39" t="n"/>
    </row>
    <row r="1208">
      <c r="A1208" s="7" t="n"/>
      <c r="B1208" s="7" t="n"/>
      <c r="C1208" s="7" t="n"/>
      <c r="D1208" s="39" t="n"/>
      <c r="E1208" s="39" t="n"/>
      <c r="F1208" s="7" t="n"/>
      <c r="G1208" s="40" t="n"/>
      <c r="H1208" s="39" t="n"/>
      <c r="I1208" s="39" t="n"/>
    </row>
    <row r="1209">
      <c r="A1209" s="7" t="n"/>
      <c r="B1209" s="7" t="n"/>
      <c r="C1209" s="7" t="n"/>
      <c r="D1209" s="39" t="n"/>
      <c r="E1209" s="39" t="n"/>
      <c r="F1209" s="7" t="n"/>
      <c r="G1209" s="40" t="n"/>
      <c r="H1209" s="39" t="n"/>
      <c r="I1209" s="39" t="n"/>
    </row>
    <row r="1210">
      <c r="A1210" s="7" t="n"/>
      <c r="B1210" s="7" t="n"/>
      <c r="C1210" s="7" t="n"/>
      <c r="D1210" s="39" t="n"/>
      <c r="E1210" s="39" t="n"/>
      <c r="F1210" s="7" t="n"/>
      <c r="G1210" s="40" t="n"/>
      <c r="H1210" s="39" t="n"/>
      <c r="I1210" s="39" t="n"/>
    </row>
    <row r="1211">
      <c r="A1211" s="7" t="n"/>
      <c r="B1211" s="7" t="n"/>
      <c r="C1211" s="7" t="n"/>
      <c r="D1211" s="39" t="n"/>
      <c r="E1211" s="39" t="n"/>
      <c r="F1211" s="7" t="n"/>
      <c r="G1211" s="40" t="n"/>
      <c r="H1211" s="39" t="n"/>
      <c r="I1211" s="39" t="n"/>
    </row>
    <row r="1212">
      <c r="A1212" s="7" t="n"/>
      <c r="B1212" s="7" t="n"/>
      <c r="C1212" s="7" t="n"/>
      <c r="D1212" s="39" t="n"/>
      <c r="E1212" s="39" t="n"/>
      <c r="F1212" s="7" t="n"/>
      <c r="G1212" s="40" t="n"/>
      <c r="H1212" s="39" t="n"/>
      <c r="I1212" s="39" t="n"/>
    </row>
    <row r="1213">
      <c r="A1213" s="7" t="n"/>
      <c r="B1213" s="7" t="n"/>
      <c r="C1213" s="7" t="n"/>
      <c r="D1213" s="39" t="n"/>
      <c r="E1213" s="39" t="n"/>
      <c r="F1213" s="7" t="n"/>
      <c r="G1213" s="40" t="n"/>
      <c r="H1213" s="39" t="n"/>
      <c r="I1213" s="39" t="n"/>
    </row>
    <row r="1214">
      <c r="A1214" s="7" t="n"/>
      <c r="B1214" s="7" t="n"/>
      <c r="C1214" s="7" t="n"/>
      <c r="D1214" s="39" t="n"/>
      <c r="E1214" s="39" t="n"/>
      <c r="F1214" s="7" t="n"/>
      <c r="G1214" s="40" t="n"/>
      <c r="H1214" s="39" t="n"/>
      <c r="I1214" s="39" t="n"/>
    </row>
    <row r="1215">
      <c r="A1215" s="7" t="n"/>
      <c r="B1215" s="7" t="n"/>
      <c r="C1215" s="7" t="n"/>
      <c r="D1215" s="39" t="n"/>
      <c r="E1215" s="39" t="n"/>
      <c r="F1215" s="7" t="n"/>
      <c r="G1215" s="40" t="n"/>
      <c r="H1215" s="39" t="n"/>
      <c r="I1215" s="39" t="n"/>
    </row>
    <row r="1216">
      <c r="A1216" s="7" t="n"/>
      <c r="B1216" s="7" t="n"/>
      <c r="C1216" s="7" t="n"/>
      <c r="D1216" s="39" t="n"/>
      <c r="E1216" s="39" t="n"/>
      <c r="F1216" s="7" t="n"/>
      <c r="G1216" s="40" t="n"/>
      <c r="H1216" s="39" t="n"/>
      <c r="I1216" s="39" t="n"/>
    </row>
    <row r="1217">
      <c r="A1217" s="7" t="n"/>
      <c r="B1217" s="7" t="n"/>
      <c r="C1217" s="7" t="n"/>
      <c r="D1217" s="39" t="n"/>
      <c r="E1217" s="39" t="n"/>
      <c r="F1217" s="7" t="n"/>
      <c r="G1217" s="40" t="n"/>
      <c r="H1217" s="39" t="n"/>
      <c r="I1217" s="39" t="n"/>
    </row>
    <row r="1218">
      <c r="A1218" s="7" t="n"/>
      <c r="B1218" s="7" t="n"/>
      <c r="C1218" s="7" t="n"/>
      <c r="D1218" s="39" t="n"/>
      <c r="E1218" s="39" t="n"/>
      <c r="F1218" s="7" t="n"/>
      <c r="G1218" s="40" t="n"/>
      <c r="H1218" s="39" t="n"/>
      <c r="I1218" s="39" t="n"/>
    </row>
    <row r="1219">
      <c r="A1219" s="7" t="n"/>
      <c r="B1219" s="7" t="n"/>
      <c r="C1219" s="7" t="n"/>
      <c r="D1219" s="39" t="n"/>
      <c r="E1219" s="39" t="n"/>
      <c r="F1219" s="7" t="n"/>
      <c r="G1219" s="40" t="n"/>
      <c r="H1219" s="39" t="n"/>
      <c r="I1219" s="39" t="n"/>
    </row>
    <row r="1220">
      <c r="A1220" s="7" t="n"/>
      <c r="B1220" s="7" t="n"/>
      <c r="C1220" s="7" t="n"/>
      <c r="D1220" s="39" t="n"/>
      <c r="E1220" s="39" t="n"/>
      <c r="F1220" s="7" t="n"/>
      <c r="G1220" s="40" t="n"/>
      <c r="H1220" s="39" t="n"/>
      <c r="I1220" s="39" t="n"/>
    </row>
    <row r="1221">
      <c r="A1221" s="7" t="n"/>
      <c r="B1221" s="7" t="n"/>
      <c r="C1221" s="7" t="n"/>
      <c r="D1221" s="39" t="n"/>
      <c r="E1221" s="39" t="n"/>
      <c r="F1221" s="7" t="n"/>
      <c r="G1221" s="40" t="n"/>
      <c r="H1221" s="39" t="n"/>
      <c r="I1221" s="39" t="n"/>
    </row>
    <row r="1222">
      <c r="A1222" s="7" t="n"/>
      <c r="B1222" s="7" t="n"/>
      <c r="C1222" s="7" t="n"/>
      <c r="D1222" s="39" t="n"/>
      <c r="E1222" s="39" t="n"/>
      <c r="F1222" s="7" t="n"/>
      <c r="G1222" s="40" t="n"/>
      <c r="H1222" s="39" t="n"/>
      <c r="I1222" s="39" t="n"/>
    </row>
    <row r="1223">
      <c r="A1223" s="7" t="n"/>
      <c r="B1223" s="7" t="n"/>
      <c r="C1223" s="7" t="n"/>
      <c r="D1223" s="39" t="n"/>
      <c r="E1223" s="39" t="n"/>
      <c r="F1223" s="7" t="n"/>
      <c r="G1223" s="40" t="n"/>
      <c r="H1223" s="39" t="n"/>
      <c r="I1223" s="39" t="n"/>
    </row>
    <row r="1224">
      <c r="A1224" s="7" t="n"/>
      <c r="B1224" s="7" t="n"/>
      <c r="C1224" s="7" t="n"/>
      <c r="D1224" s="39" t="n"/>
      <c r="E1224" s="39" t="n"/>
      <c r="F1224" s="7" t="n"/>
      <c r="G1224" s="40" t="n"/>
      <c r="H1224" s="39" t="n"/>
      <c r="I1224" s="39" t="n"/>
    </row>
    <row r="1225">
      <c r="A1225" s="7" t="n"/>
      <c r="B1225" s="7" t="n"/>
      <c r="C1225" s="7" t="n"/>
      <c r="D1225" s="39" t="n"/>
      <c r="E1225" s="39" t="n"/>
      <c r="F1225" s="7" t="n"/>
      <c r="G1225" s="40" t="n"/>
      <c r="H1225" s="39" t="n"/>
      <c r="I1225" s="39" t="n"/>
    </row>
    <row r="1226">
      <c r="A1226" s="7" t="n"/>
      <c r="B1226" s="7" t="n"/>
      <c r="C1226" s="7" t="n"/>
      <c r="D1226" s="39" t="n"/>
      <c r="E1226" s="39" t="n"/>
      <c r="F1226" s="7" t="n"/>
      <c r="G1226" s="40" t="n"/>
      <c r="H1226" s="39" t="n"/>
      <c r="I1226" s="39" t="n"/>
    </row>
    <row r="1227">
      <c r="A1227" s="7" t="n"/>
      <c r="B1227" s="7" t="n"/>
      <c r="C1227" s="7" t="n"/>
      <c r="D1227" s="39" t="n"/>
      <c r="E1227" s="39" t="n"/>
      <c r="F1227" s="7" t="n"/>
      <c r="G1227" s="40" t="n"/>
      <c r="H1227" s="39" t="n"/>
      <c r="I1227" s="39" t="n"/>
    </row>
    <row r="1228">
      <c r="A1228" s="7" t="n"/>
      <c r="B1228" s="7" t="n"/>
      <c r="C1228" s="7" t="n"/>
      <c r="D1228" s="39" t="n"/>
      <c r="E1228" s="39" t="n"/>
      <c r="F1228" s="7" t="n"/>
      <c r="G1228" s="40" t="n"/>
      <c r="H1228" s="39" t="n"/>
      <c r="I1228" s="39" t="n"/>
    </row>
    <row r="1229">
      <c r="A1229" s="7" t="n"/>
      <c r="B1229" s="7" t="n"/>
      <c r="C1229" s="7" t="n"/>
      <c r="D1229" s="39" t="n"/>
      <c r="E1229" s="39" t="n"/>
      <c r="F1229" s="7" t="n"/>
      <c r="G1229" s="40" t="n"/>
      <c r="H1229" s="39" t="n"/>
      <c r="I1229" s="39" t="n"/>
    </row>
    <row r="1230">
      <c r="A1230" s="7" t="n"/>
      <c r="B1230" s="7" t="n"/>
      <c r="C1230" s="7" t="n"/>
      <c r="D1230" s="39" t="n"/>
      <c r="E1230" s="39" t="n"/>
      <c r="F1230" s="7" t="n"/>
      <c r="G1230" s="40" t="n"/>
      <c r="H1230" s="39" t="n"/>
      <c r="I1230" s="39" t="n"/>
    </row>
    <row r="1231">
      <c r="A1231" s="7" t="n"/>
      <c r="B1231" s="7" t="n"/>
      <c r="C1231" s="7" t="n"/>
      <c r="D1231" s="39" t="n"/>
      <c r="E1231" s="39" t="n"/>
      <c r="F1231" s="7" t="n"/>
      <c r="G1231" s="40" t="n"/>
      <c r="H1231" s="39" t="n"/>
      <c r="I1231" s="39" t="n"/>
    </row>
    <row r="1232">
      <c r="A1232" s="7" t="n"/>
      <c r="B1232" s="7" t="n"/>
      <c r="C1232" s="7" t="n"/>
      <c r="D1232" s="39" t="n"/>
      <c r="E1232" s="39" t="n"/>
      <c r="F1232" s="7" t="n"/>
      <c r="G1232" s="40" t="n"/>
      <c r="H1232" s="39" t="n"/>
      <c r="I1232" s="39" t="n"/>
    </row>
    <row r="1233">
      <c r="A1233" s="7" t="n"/>
      <c r="B1233" s="7" t="n"/>
      <c r="C1233" s="7" t="n"/>
      <c r="D1233" s="39" t="n"/>
      <c r="E1233" s="39" t="n"/>
      <c r="F1233" s="7" t="n"/>
      <c r="G1233" s="40" t="n"/>
      <c r="H1233" s="39" t="n"/>
      <c r="I1233" s="39" t="n"/>
    </row>
    <row r="1234">
      <c r="A1234" s="7" t="n"/>
      <c r="B1234" s="7" t="n"/>
      <c r="C1234" s="7" t="n"/>
      <c r="D1234" s="39" t="n"/>
      <c r="E1234" s="39" t="n"/>
      <c r="F1234" s="7" t="n"/>
      <c r="G1234" s="40" t="n"/>
      <c r="H1234" s="39" t="n"/>
      <c r="I1234" s="39" t="n"/>
    </row>
    <row r="1235">
      <c r="A1235" s="7" t="n"/>
      <c r="B1235" s="7" t="n"/>
      <c r="C1235" s="7" t="n"/>
      <c r="D1235" s="39" t="n"/>
      <c r="E1235" s="39" t="n"/>
      <c r="F1235" s="7" t="n"/>
      <c r="G1235" s="40" t="n"/>
      <c r="H1235" s="39" t="n"/>
      <c r="I1235" s="39" t="n"/>
    </row>
    <row r="1236">
      <c r="A1236" s="7" t="n"/>
      <c r="B1236" s="7" t="n"/>
      <c r="C1236" s="7" t="n"/>
      <c r="D1236" s="39" t="n"/>
      <c r="E1236" s="39" t="n"/>
      <c r="F1236" s="7" t="n"/>
      <c r="G1236" s="40" t="n"/>
      <c r="H1236" s="39" t="n"/>
      <c r="I1236" s="39" t="n"/>
    </row>
    <row r="1237">
      <c r="A1237" s="7" t="n"/>
      <c r="B1237" s="7" t="n"/>
      <c r="C1237" s="7" t="n"/>
      <c r="D1237" s="39" t="n"/>
      <c r="E1237" s="39" t="n"/>
      <c r="F1237" s="7" t="n"/>
      <c r="G1237" s="40" t="n"/>
      <c r="H1237" s="39" t="n"/>
      <c r="I1237" s="39" t="n"/>
    </row>
    <row r="1238">
      <c r="A1238" s="7" t="n"/>
      <c r="B1238" s="7" t="n"/>
      <c r="C1238" s="7" t="n"/>
      <c r="D1238" s="39" t="n"/>
      <c r="E1238" s="39" t="n"/>
      <c r="F1238" s="7" t="n"/>
      <c r="G1238" s="40" t="n"/>
      <c r="H1238" s="39" t="n"/>
      <c r="I1238" s="39" t="n"/>
    </row>
    <row r="1239">
      <c r="A1239" s="7" t="n"/>
      <c r="B1239" s="7" t="n"/>
      <c r="C1239" s="7" t="n"/>
      <c r="D1239" s="39" t="n"/>
      <c r="E1239" s="39" t="n"/>
      <c r="F1239" s="7" t="n"/>
      <c r="G1239" s="40" t="n"/>
      <c r="H1239" s="39" t="n"/>
      <c r="I1239" s="39" t="n"/>
    </row>
    <row r="1240">
      <c r="A1240" s="7" t="n"/>
      <c r="B1240" s="7" t="n"/>
      <c r="C1240" s="7" t="n"/>
      <c r="D1240" s="39" t="n"/>
      <c r="E1240" s="39" t="n"/>
      <c r="F1240" s="7" t="n"/>
      <c r="G1240" s="40" t="n"/>
      <c r="H1240" s="39" t="n"/>
      <c r="I1240" s="39" t="n"/>
    </row>
    <row r="1241">
      <c r="A1241" s="7" t="n"/>
      <c r="B1241" s="7" t="n"/>
      <c r="C1241" s="7" t="n"/>
      <c r="D1241" s="39" t="n"/>
      <c r="E1241" s="39" t="n"/>
      <c r="F1241" s="7" t="n"/>
      <c r="G1241" s="40" t="n"/>
      <c r="H1241" s="39" t="n"/>
      <c r="I1241" s="39" t="n"/>
    </row>
    <row r="1242">
      <c r="A1242" s="7" t="n"/>
      <c r="B1242" s="7" t="n"/>
      <c r="C1242" s="7" t="n"/>
      <c r="D1242" s="39" t="n"/>
      <c r="E1242" s="39" t="n"/>
      <c r="F1242" s="7" t="n"/>
      <c r="G1242" s="40" t="n"/>
      <c r="H1242" s="39" t="n"/>
      <c r="I1242" s="39" t="n"/>
    </row>
    <row r="1243">
      <c r="A1243" s="7" t="n"/>
      <c r="B1243" s="7" t="n"/>
      <c r="C1243" s="7" t="n"/>
      <c r="D1243" s="39" t="n"/>
      <c r="E1243" s="39" t="n"/>
      <c r="F1243" s="7" t="n"/>
      <c r="G1243" s="40" t="n"/>
      <c r="H1243" s="39" t="n"/>
      <c r="I1243" s="39" t="n"/>
    </row>
    <row r="1244">
      <c r="A1244" s="7" t="n"/>
      <c r="B1244" s="7" t="n"/>
      <c r="C1244" s="7" t="n"/>
      <c r="D1244" s="39" t="n"/>
      <c r="E1244" s="39" t="n"/>
      <c r="F1244" s="7" t="n"/>
      <c r="G1244" s="40" t="n"/>
      <c r="H1244" s="39" t="n"/>
      <c r="I1244" s="39" t="n"/>
    </row>
    <row r="1245">
      <c r="A1245" s="7" t="n"/>
      <c r="B1245" s="7" t="n"/>
      <c r="C1245" s="7" t="n"/>
      <c r="D1245" s="39" t="n"/>
      <c r="E1245" s="39" t="n"/>
      <c r="F1245" s="7" t="n"/>
      <c r="G1245" s="40" t="n"/>
      <c r="H1245" s="39" t="n"/>
      <c r="I1245" s="39" t="n"/>
    </row>
    <row r="1246">
      <c r="A1246" s="7" t="n"/>
      <c r="B1246" s="7" t="n"/>
      <c r="C1246" s="7" t="n"/>
      <c r="D1246" s="39" t="n"/>
      <c r="E1246" s="39" t="n"/>
      <c r="F1246" s="7" t="n"/>
      <c r="G1246" s="40" t="n"/>
      <c r="H1246" s="39" t="n"/>
      <c r="I1246" s="39" t="n"/>
    </row>
    <row r="1247">
      <c r="A1247" s="7" t="n"/>
      <c r="B1247" s="7" t="n"/>
      <c r="C1247" s="7" t="n"/>
      <c r="D1247" s="39" t="n"/>
      <c r="E1247" s="39" t="n"/>
      <c r="F1247" s="7" t="n"/>
      <c r="G1247" s="40" t="n"/>
      <c r="H1247" s="39" t="n"/>
      <c r="I1247" s="39" t="n"/>
    </row>
    <row r="1248">
      <c r="A1248" s="7" t="n"/>
      <c r="B1248" s="7" t="n"/>
      <c r="C1248" s="7" t="n"/>
      <c r="D1248" s="39" t="n"/>
      <c r="E1248" s="39" t="n"/>
      <c r="F1248" s="7" t="n"/>
      <c r="G1248" s="40" t="n"/>
      <c r="H1248" s="39" t="n"/>
      <c r="I1248" s="39" t="n"/>
    </row>
    <row r="1249">
      <c r="A1249" s="7" t="n"/>
      <c r="B1249" s="7" t="n"/>
      <c r="C1249" s="7" t="n"/>
      <c r="D1249" s="39" t="n"/>
      <c r="E1249" s="39" t="n"/>
      <c r="F1249" s="7" t="n"/>
      <c r="G1249" s="40" t="n"/>
      <c r="H1249" s="39" t="n"/>
      <c r="I1249" s="39" t="n"/>
    </row>
    <row r="1250">
      <c r="A1250" s="7" t="n"/>
      <c r="B1250" s="7" t="n"/>
      <c r="C1250" s="7" t="n"/>
      <c r="D1250" s="39" t="n"/>
      <c r="E1250" s="39" t="n"/>
      <c r="F1250" s="7" t="n"/>
      <c r="G1250" s="40" t="n"/>
      <c r="H1250" s="39" t="n"/>
      <c r="I1250" s="39" t="n"/>
    </row>
    <row r="1251">
      <c r="A1251" s="7" t="n"/>
      <c r="B1251" s="7" t="n"/>
      <c r="C1251" s="7" t="n"/>
      <c r="D1251" s="39" t="n"/>
      <c r="E1251" s="39" t="n"/>
      <c r="F1251" s="7" t="n"/>
      <c r="G1251" s="40" t="n"/>
      <c r="H1251" s="39" t="n"/>
      <c r="I1251" s="39" t="n"/>
    </row>
    <row r="1252">
      <c r="A1252" s="7" t="n"/>
      <c r="B1252" s="7" t="n"/>
      <c r="C1252" s="7" t="n"/>
      <c r="D1252" s="39" t="n"/>
      <c r="E1252" s="39" t="n"/>
      <c r="F1252" s="7" t="n"/>
      <c r="G1252" s="40" t="n"/>
      <c r="H1252" s="39" t="n"/>
      <c r="I1252" s="39" t="n"/>
    </row>
    <row r="1253">
      <c r="A1253" s="7" t="n"/>
      <c r="B1253" s="7" t="n"/>
      <c r="C1253" s="7" t="n"/>
      <c r="D1253" s="39" t="n"/>
      <c r="E1253" s="39" t="n"/>
      <c r="F1253" s="7" t="n"/>
      <c r="G1253" s="40" t="n"/>
      <c r="H1253" s="39" t="n"/>
      <c r="I1253" s="39" t="n"/>
    </row>
    <row r="1254">
      <c r="A1254" s="7" t="n"/>
      <c r="B1254" s="7" t="n"/>
      <c r="C1254" s="7" t="n"/>
      <c r="D1254" s="39" t="n"/>
      <c r="E1254" s="39" t="n"/>
      <c r="F1254" s="7" t="n"/>
      <c r="G1254" s="40" t="n"/>
      <c r="H1254" s="39" t="n"/>
      <c r="I1254" s="39" t="n"/>
    </row>
    <row r="1255">
      <c r="A1255" s="7" t="n"/>
      <c r="B1255" s="7" t="n"/>
      <c r="C1255" s="7" t="n"/>
      <c r="D1255" s="39" t="n"/>
      <c r="E1255" s="39" t="n"/>
      <c r="F1255" s="7" t="n"/>
      <c r="G1255" s="40" t="n"/>
      <c r="H1255" s="39" t="n"/>
      <c r="I1255" s="39" t="n"/>
    </row>
    <row r="1256">
      <c r="A1256" s="7" t="n"/>
      <c r="B1256" s="7" t="n"/>
      <c r="C1256" s="7" t="n"/>
      <c r="D1256" s="39" t="n"/>
      <c r="E1256" s="39" t="n"/>
      <c r="F1256" s="7" t="n"/>
      <c r="G1256" s="40" t="n"/>
      <c r="H1256" s="39" t="n"/>
      <c r="I1256" s="39" t="n"/>
    </row>
    <row r="1257">
      <c r="A1257" s="7" t="n"/>
      <c r="B1257" s="7" t="n"/>
      <c r="C1257" s="7" t="n"/>
      <c r="D1257" s="39" t="n"/>
      <c r="E1257" s="39" t="n"/>
      <c r="F1257" s="7" t="n"/>
      <c r="G1257" s="40" t="n"/>
      <c r="H1257" s="39" t="n"/>
      <c r="I1257" s="39" t="n"/>
    </row>
    <row r="1258">
      <c r="A1258" s="7" t="n"/>
      <c r="B1258" s="7" t="n"/>
      <c r="C1258" s="7" t="n"/>
      <c r="D1258" s="39" t="n"/>
      <c r="E1258" s="39" t="n"/>
      <c r="F1258" s="7" t="n"/>
      <c r="G1258" s="40" t="n"/>
      <c r="H1258" s="39" t="n"/>
      <c r="I1258" s="39" t="n"/>
    </row>
    <row r="1259">
      <c r="A1259" s="7" t="n"/>
      <c r="B1259" s="7" t="n"/>
      <c r="C1259" s="7" t="n"/>
      <c r="D1259" s="39" t="n"/>
      <c r="E1259" s="39" t="n"/>
      <c r="F1259" s="7" t="n"/>
      <c r="G1259" s="40" t="n"/>
      <c r="H1259" s="39" t="n"/>
      <c r="I1259" s="39" t="n"/>
    </row>
    <row r="1260">
      <c r="A1260" s="7" t="n"/>
      <c r="B1260" s="7" t="n"/>
      <c r="C1260" s="7" t="n"/>
      <c r="D1260" s="39" t="n"/>
      <c r="E1260" s="39" t="n"/>
      <c r="F1260" s="7" t="n"/>
      <c r="G1260" s="40" t="n"/>
      <c r="H1260" s="39" t="n"/>
      <c r="I1260" s="39" t="n"/>
    </row>
    <row r="1261">
      <c r="A1261" s="7" t="n"/>
      <c r="B1261" s="7" t="n"/>
      <c r="C1261" s="7" t="n"/>
      <c r="D1261" s="39" t="n"/>
      <c r="E1261" s="39" t="n"/>
      <c r="F1261" s="7" t="n"/>
      <c r="G1261" s="40" t="n"/>
      <c r="H1261" s="39" t="n"/>
      <c r="I1261" s="39" t="n"/>
    </row>
    <row r="1262">
      <c r="A1262" s="7" t="n"/>
      <c r="B1262" s="7" t="n"/>
      <c r="C1262" s="7" t="n"/>
      <c r="D1262" s="39" t="n"/>
      <c r="E1262" s="39" t="n"/>
      <c r="F1262" s="7" t="n"/>
      <c r="G1262" s="40" t="n"/>
      <c r="H1262" s="39" t="n"/>
      <c r="I1262" s="39" t="n"/>
    </row>
    <row r="1263">
      <c r="A1263" s="7" t="n"/>
      <c r="B1263" s="7" t="n"/>
      <c r="C1263" s="7" t="n"/>
      <c r="D1263" s="39" t="n"/>
      <c r="E1263" s="39" t="n"/>
      <c r="F1263" s="7" t="n"/>
      <c r="G1263" s="40" t="n"/>
      <c r="H1263" s="39" t="n"/>
      <c r="I1263" s="39" t="n"/>
    </row>
    <row r="1264">
      <c r="A1264" s="7" t="n"/>
      <c r="B1264" s="7" t="n"/>
      <c r="C1264" s="7" t="n"/>
      <c r="D1264" s="39" t="n"/>
      <c r="E1264" s="39" t="n"/>
      <c r="F1264" s="7" t="n"/>
      <c r="G1264" s="40" t="n"/>
      <c r="H1264" s="39" t="n"/>
      <c r="I1264" s="39" t="n"/>
    </row>
    <row r="1265">
      <c r="A1265" s="7" t="n"/>
      <c r="B1265" s="7" t="n"/>
      <c r="C1265" s="7" t="n"/>
      <c r="D1265" s="39" t="n"/>
      <c r="E1265" s="39" t="n"/>
      <c r="F1265" s="7" t="n"/>
      <c r="G1265" s="40" t="n"/>
      <c r="H1265" s="39" t="n"/>
      <c r="I1265" s="39" t="n"/>
    </row>
    <row r="1266">
      <c r="A1266" s="7" t="n"/>
      <c r="B1266" s="7" t="n"/>
      <c r="C1266" s="7" t="n"/>
      <c r="D1266" s="39" t="n"/>
      <c r="E1266" s="39" t="n"/>
      <c r="F1266" s="7" t="n"/>
      <c r="G1266" s="40" t="n"/>
      <c r="H1266" s="39" t="n"/>
      <c r="I1266" s="39" t="n"/>
    </row>
    <row r="1267">
      <c r="A1267" s="7" t="n"/>
      <c r="B1267" s="7" t="n"/>
      <c r="C1267" s="7" t="n"/>
      <c r="D1267" s="39" t="n"/>
      <c r="E1267" s="39" t="n"/>
      <c r="F1267" s="7" t="n"/>
      <c r="G1267" s="40" t="n"/>
      <c r="H1267" s="39" t="n"/>
      <c r="I1267" s="39" t="n"/>
    </row>
    <row r="1268">
      <c r="A1268" s="7" t="n"/>
      <c r="B1268" s="7" t="n"/>
      <c r="C1268" s="7" t="n"/>
      <c r="D1268" s="39" t="n"/>
      <c r="E1268" s="39" t="n"/>
      <c r="F1268" s="7" t="n"/>
      <c r="G1268" s="40" t="n"/>
      <c r="H1268" s="39" t="n"/>
      <c r="I1268" s="39" t="n"/>
    </row>
    <row r="1269">
      <c r="A1269" s="7" t="n"/>
      <c r="B1269" s="7" t="n"/>
      <c r="C1269" s="7" t="n"/>
      <c r="D1269" s="39" t="n"/>
      <c r="E1269" s="39" t="n"/>
      <c r="F1269" s="7" t="n"/>
      <c r="G1269" s="40" t="n"/>
      <c r="H1269" s="39" t="n"/>
      <c r="I1269" s="39" t="n"/>
    </row>
    <row r="1270">
      <c r="A1270" s="7" t="n"/>
      <c r="B1270" s="7" t="n"/>
      <c r="C1270" s="7" t="n"/>
      <c r="D1270" s="39" t="n"/>
      <c r="E1270" s="39" t="n"/>
      <c r="F1270" s="7" t="n"/>
      <c r="G1270" s="40" t="n"/>
      <c r="H1270" s="39" t="n"/>
      <c r="I1270" s="39" t="n"/>
    </row>
    <row r="1271">
      <c r="A1271" s="7" t="n"/>
      <c r="B1271" s="7" t="n"/>
      <c r="C1271" s="7" t="n"/>
      <c r="D1271" s="39" t="n"/>
      <c r="E1271" s="39" t="n"/>
      <c r="F1271" s="7" t="n"/>
      <c r="G1271" s="40" t="n"/>
      <c r="H1271" s="39" t="n"/>
      <c r="I1271" s="39" t="n"/>
    </row>
    <row r="1272">
      <c r="A1272" s="7" t="n"/>
      <c r="B1272" s="7" t="n"/>
      <c r="C1272" s="7" t="n"/>
      <c r="D1272" s="39" t="n"/>
      <c r="E1272" s="39" t="n"/>
      <c r="F1272" s="7" t="n"/>
      <c r="G1272" s="40" t="n"/>
      <c r="H1272" s="39" t="n"/>
      <c r="I1272" s="39" t="n"/>
    </row>
    <row r="1273">
      <c r="A1273" s="7" t="n"/>
      <c r="B1273" s="7" t="n"/>
      <c r="C1273" s="7" t="n"/>
      <c r="D1273" s="39" t="n"/>
      <c r="E1273" s="39" t="n"/>
      <c r="F1273" s="7" t="n"/>
      <c r="G1273" s="40" t="n"/>
      <c r="H1273" s="39" t="n"/>
      <c r="I1273" s="39" t="n"/>
    </row>
    <row r="1274">
      <c r="A1274" s="7" t="n"/>
      <c r="B1274" s="7" t="n"/>
      <c r="C1274" s="7" t="n"/>
      <c r="D1274" s="39" t="n"/>
      <c r="E1274" s="39" t="n"/>
      <c r="F1274" s="7" t="n"/>
      <c r="G1274" s="40" t="n"/>
      <c r="H1274" s="39" t="n"/>
      <c r="I1274" s="39" t="n"/>
    </row>
    <row r="1275">
      <c r="A1275" s="7" t="n"/>
      <c r="B1275" s="7" t="n"/>
      <c r="C1275" s="7" t="n"/>
      <c r="D1275" s="39" t="n"/>
      <c r="E1275" s="39" t="n"/>
      <c r="F1275" s="7" t="n"/>
      <c r="G1275" s="40" t="n"/>
      <c r="H1275" s="39" t="n"/>
      <c r="I1275" s="39" t="n"/>
    </row>
    <row r="1276">
      <c r="A1276" s="7" t="n"/>
      <c r="B1276" s="7" t="n"/>
      <c r="C1276" s="7" t="n"/>
      <c r="D1276" s="39" t="n"/>
      <c r="E1276" s="39" t="n"/>
      <c r="F1276" s="7" t="n"/>
      <c r="G1276" s="40" t="n"/>
      <c r="H1276" s="39" t="n"/>
      <c r="I1276" s="39" t="n"/>
    </row>
    <row r="1277">
      <c r="A1277" s="7" t="n"/>
      <c r="B1277" s="7" t="n"/>
      <c r="C1277" s="7" t="n"/>
      <c r="D1277" s="39" t="n"/>
      <c r="E1277" s="39" t="n"/>
      <c r="F1277" s="7" t="n"/>
      <c r="G1277" s="40" t="n"/>
      <c r="H1277" s="39" t="n"/>
      <c r="I1277" s="39" t="n"/>
    </row>
    <row r="1278">
      <c r="A1278" s="7" t="n"/>
      <c r="B1278" s="7" t="n"/>
      <c r="C1278" s="7" t="n"/>
      <c r="D1278" s="39" t="n"/>
      <c r="E1278" s="39" t="n"/>
      <c r="F1278" s="7" t="n"/>
      <c r="G1278" s="40" t="n"/>
      <c r="H1278" s="39" t="n"/>
      <c r="I1278" s="39" t="n"/>
    </row>
    <row r="1279">
      <c r="A1279" s="7" t="n"/>
      <c r="B1279" s="7" t="n"/>
      <c r="C1279" s="7" t="n"/>
      <c r="D1279" s="39" t="n"/>
      <c r="E1279" s="39" t="n"/>
      <c r="F1279" s="7" t="n"/>
      <c r="G1279" s="40" t="n"/>
      <c r="H1279" s="39" t="n"/>
      <c r="I1279" s="39" t="n"/>
    </row>
    <row r="1280">
      <c r="A1280" s="7" t="n"/>
      <c r="B1280" s="7" t="n"/>
      <c r="C1280" s="7" t="n"/>
      <c r="D1280" s="39" t="n"/>
      <c r="E1280" s="39" t="n"/>
      <c r="F1280" s="7" t="n"/>
      <c r="G1280" s="40" t="n"/>
      <c r="H1280" s="39" t="n"/>
      <c r="I1280" s="39" t="n"/>
    </row>
    <row r="1281">
      <c r="A1281" s="7" t="n"/>
      <c r="B1281" s="7" t="n"/>
      <c r="C1281" s="7" t="n"/>
      <c r="D1281" s="39" t="n"/>
      <c r="E1281" s="39" t="n"/>
      <c r="F1281" s="7" t="n"/>
      <c r="G1281" s="40" t="n"/>
      <c r="H1281" s="39" t="n"/>
      <c r="I1281" s="39" t="n"/>
    </row>
    <row r="1282">
      <c r="A1282" s="7" t="n"/>
      <c r="B1282" s="7" t="n"/>
      <c r="C1282" s="7" t="n"/>
      <c r="D1282" s="39" t="n"/>
      <c r="E1282" s="39" t="n"/>
      <c r="F1282" s="7" t="n"/>
      <c r="G1282" s="40" t="n"/>
      <c r="H1282" s="39" t="n"/>
      <c r="I1282" s="39" t="n"/>
    </row>
    <row r="1283">
      <c r="A1283" s="7" t="n"/>
      <c r="B1283" s="7" t="n"/>
      <c r="C1283" s="7" t="n"/>
      <c r="D1283" s="39" t="n"/>
      <c r="E1283" s="39" t="n"/>
      <c r="F1283" s="7" t="n"/>
      <c r="G1283" s="40" t="n"/>
      <c r="H1283" s="39" t="n"/>
      <c r="I1283" s="39" t="n"/>
    </row>
    <row r="1284">
      <c r="A1284" s="7" t="n"/>
      <c r="B1284" s="7" t="n"/>
      <c r="C1284" s="7" t="n"/>
      <c r="D1284" s="39" t="n"/>
      <c r="E1284" s="39" t="n"/>
      <c r="F1284" s="7" t="n"/>
      <c r="G1284" s="40" t="n"/>
      <c r="H1284" s="39" t="n"/>
      <c r="I1284" s="39" t="n"/>
    </row>
    <row r="1285">
      <c r="A1285" s="7" t="n"/>
      <c r="B1285" s="7" t="n"/>
      <c r="C1285" s="7" t="n"/>
      <c r="D1285" s="39" t="n"/>
      <c r="E1285" s="39" t="n"/>
      <c r="F1285" s="7" t="n"/>
      <c r="G1285" s="40" t="n"/>
      <c r="H1285" s="39" t="n"/>
      <c r="I1285" s="39" t="n"/>
    </row>
    <row r="1286">
      <c r="A1286" s="7" t="n"/>
      <c r="B1286" s="7" t="n"/>
      <c r="C1286" s="7" t="n"/>
      <c r="D1286" s="39" t="n"/>
      <c r="E1286" s="39" t="n"/>
      <c r="F1286" s="7" t="n"/>
      <c r="G1286" s="40" t="n"/>
      <c r="H1286" s="39" t="n"/>
      <c r="I1286" s="39" t="n"/>
    </row>
    <row r="1287">
      <c r="A1287" s="7" t="n"/>
      <c r="B1287" s="7" t="n"/>
      <c r="C1287" s="7" t="n"/>
      <c r="D1287" s="39" t="n"/>
      <c r="E1287" s="39" t="n"/>
      <c r="F1287" s="7" t="n"/>
      <c r="G1287" s="40" t="n"/>
      <c r="H1287" s="39" t="n"/>
      <c r="I1287" s="39" t="n"/>
    </row>
    <row r="1288">
      <c r="A1288" s="7" t="n"/>
      <c r="B1288" s="7" t="n"/>
      <c r="C1288" s="7" t="n"/>
      <c r="D1288" s="39" t="n"/>
      <c r="E1288" s="39" t="n"/>
      <c r="F1288" s="7" t="n"/>
      <c r="G1288" s="40" t="n"/>
      <c r="H1288" s="39" t="n"/>
      <c r="I1288" s="39" t="n"/>
    </row>
    <row r="1289">
      <c r="A1289" s="7" t="n"/>
      <c r="B1289" s="7" t="n"/>
      <c r="C1289" s="7" t="n"/>
      <c r="D1289" s="39" t="n"/>
      <c r="E1289" s="39" t="n"/>
      <c r="F1289" s="7" t="n"/>
      <c r="G1289" s="40" t="n"/>
      <c r="H1289" s="39" t="n"/>
      <c r="I1289" s="39" t="n"/>
    </row>
    <row r="1290">
      <c r="A1290" s="7" t="n"/>
      <c r="B1290" s="7" t="n"/>
      <c r="C1290" s="7" t="n"/>
      <c r="D1290" s="39" t="n"/>
      <c r="E1290" s="39" t="n"/>
      <c r="F1290" s="7" t="n"/>
      <c r="G1290" s="40" t="n"/>
      <c r="H1290" s="39" t="n"/>
      <c r="I1290" s="39" t="n"/>
    </row>
    <row r="1291">
      <c r="A1291" s="7" t="n"/>
      <c r="B1291" s="7" t="n"/>
      <c r="C1291" s="7" t="n"/>
      <c r="D1291" s="39" t="n"/>
      <c r="E1291" s="39" t="n"/>
      <c r="F1291" s="7" t="n"/>
      <c r="G1291" s="40" t="n"/>
      <c r="H1291" s="39" t="n"/>
      <c r="I1291" s="39" t="n"/>
    </row>
    <row r="1292">
      <c r="A1292" s="7" t="n"/>
      <c r="B1292" s="7" t="n"/>
      <c r="C1292" s="7" t="n"/>
      <c r="D1292" s="39" t="n"/>
      <c r="E1292" s="39" t="n"/>
      <c r="F1292" s="7" t="n"/>
      <c r="G1292" s="40" t="n"/>
      <c r="H1292" s="39" t="n"/>
      <c r="I1292" s="39" t="n"/>
    </row>
    <row r="1293">
      <c r="A1293" s="7" t="n"/>
      <c r="B1293" s="7" t="n"/>
      <c r="C1293" s="7" t="n"/>
      <c r="D1293" s="39" t="n"/>
      <c r="E1293" s="39" t="n"/>
      <c r="F1293" s="7" t="n"/>
      <c r="G1293" s="40" t="n"/>
      <c r="H1293" s="39" t="n"/>
      <c r="I1293" s="39" t="n"/>
    </row>
    <row r="1294">
      <c r="A1294" s="7" t="n"/>
      <c r="B1294" s="7" t="n"/>
      <c r="C1294" s="7" t="n"/>
      <c r="D1294" s="39" t="n"/>
      <c r="E1294" s="39" t="n"/>
      <c r="F1294" s="7" t="n"/>
      <c r="G1294" s="40" t="n"/>
      <c r="H1294" s="39" t="n"/>
      <c r="I1294" s="39" t="n"/>
    </row>
    <row r="1295">
      <c r="A1295" s="7" t="n"/>
      <c r="B1295" s="7" t="n"/>
      <c r="C1295" s="7" t="n"/>
      <c r="D1295" s="39" t="n"/>
      <c r="E1295" s="39" t="n"/>
      <c r="F1295" s="7" t="n"/>
      <c r="G1295" s="40" t="n"/>
      <c r="H1295" s="39" t="n"/>
      <c r="I1295" s="39" t="n"/>
    </row>
    <row r="1296">
      <c r="A1296" s="7" t="n"/>
      <c r="B1296" s="7" t="n"/>
      <c r="C1296" s="7" t="n"/>
      <c r="D1296" s="39" t="n"/>
      <c r="E1296" s="39" t="n"/>
      <c r="F1296" s="7" t="n"/>
      <c r="G1296" s="40" t="n"/>
      <c r="H1296" s="39" t="n"/>
      <c r="I1296" s="39" t="n"/>
    </row>
    <row r="1297">
      <c r="A1297" s="7" t="n"/>
      <c r="B1297" s="7" t="n"/>
      <c r="C1297" s="7" t="n"/>
      <c r="D1297" s="39" t="n"/>
      <c r="E1297" s="39" t="n"/>
      <c r="F1297" s="7" t="n"/>
      <c r="G1297" s="40" t="n"/>
      <c r="H1297" s="39" t="n"/>
      <c r="I1297" s="39" t="n"/>
    </row>
    <row r="1298">
      <c r="A1298" s="7" t="n"/>
      <c r="B1298" s="7" t="n"/>
      <c r="C1298" s="7" t="n"/>
      <c r="D1298" s="39" t="n"/>
      <c r="E1298" s="39" t="n"/>
      <c r="F1298" s="7" t="n"/>
      <c r="G1298" s="40" t="n"/>
      <c r="H1298" s="39" t="n"/>
      <c r="I1298" s="39" t="n"/>
    </row>
    <row r="1299">
      <c r="A1299" s="7" t="n"/>
      <c r="B1299" s="7" t="n"/>
      <c r="C1299" s="7" t="n"/>
      <c r="D1299" s="39" t="n"/>
      <c r="E1299" s="39" t="n"/>
      <c r="F1299" s="7" t="n"/>
      <c r="G1299" s="40" t="n"/>
      <c r="H1299" s="39" t="n"/>
      <c r="I1299" s="39" t="n"/>
    </row>
    <row r="1300">
      <c r="A1300" s="7" t="n"/>
      <c r="B1300" s="7" t="n"/>
      <c r="C1300" s="7" t="n"/>
      <c r="D1300" s="39" t="n"/>
      <c r="E1300" s="39" t="n"/>
      <c r="F1300" s="7" t="n"/>
      <c r="G1300" s="40" t="n"/>
      <c r="H1300" s="39" t="n"/>
      <c r="I1300" s="39" t="n"/>
    </row>
    <row r="1301">
      <c r="A1301" s="7" t="n"/>
      <c r="B1301" s="7" t="n"/>
      <c r="C1301" s="7" t="n"/>
      <c r="D1301" s="39" t="n"/>
      <c r="E1301" s="39" t="n"/>
      <c r="F1301" s="7" t="n"/>
      <c r="G1301" s="40" t="n"/>
      <c r="H1301" s="39" t="n"/>
      <c r="I1301" s="39" t="n"/>
    </row>
    <row r="1302">
      <c r="A1302" s="7" t="n"/>
      <c r="B1302" s="7" t="n"/>
      <c r="C1302" s="7" t="n"/>
      <c r="D1302" s="39" t="n"/>
      <c r="E1302" s="39" t="n"/>
      <c r="F1302" s="7" t="n"/>
      <c r="G1302" s="40" t="n"/>
      <c r="H1302" s="39" t="n"/>
      <c r="I1302" s="39" t="n"/>
    </row>
    <row r="1303">
      <c r="A1303" s="7" t="n"/>
      <c r="B1303" s="7" t="n"/>
      <c r="C1303" s="7" t="n"/>
      <c r="D1303" s="39" t="n"/>
      <c r="E1303" s="39" t="n"/>
      <c r="F1303" s="7" t="n"/>
      <c r="G1303" s="40" t="n"/>
      <c r="H1303" s="39" t="n"/>
      <c r="I1303" s="39" t="n"/>
    </row>
    <row r="1304">
      <c r="A1304" s="7" t="n"/>
      <c r="B1304" s="7" t="n"/>
      <c r="C1304" s="7" t="n"/>
      <c r="D1304" s="39" t="n"/>
      <c r="E1304" s="39" t="n"/>
      <c r="F1304" s="7" t="n"/>
      <c r="G1304" s="40" t="n"/>
      <c r="H1304" s="39" t="n"/>
      <c r="I1304" s="39" t="n"/>
    </row>
    <row r="1305">
      <c r="A1305" s="7" t="n"/>
      <c r="B1305" s="7" t="n"/>
      <c r="C1305" s="7" t="n"/>
      <c r="D1305" s="39" t="n"/>
      <c r="E1305" s="39" t="n"/>
      <c r="F1305" s="7" t="n"/>
      <c r="G1305" s="40" t="n"/>
      <c r="H1305" s="39" t="n"/>
      <c r="I1305" s="39" t="n"/>
    </row>
    <row r="1306">
      <c r="A1306" s="7" t="n"/>
      <c r="B1306" s="7" t="n"/>
      <c r="C1306" s="7" t="n"/>
      <c r="D1306" s="39" t="n"/>
      <c r="E1306" s="39" t="n"/>
      <c r="F1306" s="7" t="n"/>
      <c r="G1306" s="40" t="n"/>
      <c r="H1306" s="39" t="n"/>
      <c r="I1306" s="39" t="n"/>
    </row>
    <row r="1307">
      <c r="A1307" s="7" t="n"/>
      <c r="B1307" s="7" t="n"/>
      <c r="C1307" s="7" t="n"/>
      <c r="D1307" s="39" t="n"/>
      <c r="E1307" s="39" t="n"/>
      <c r="F1307" s="7" t="n"/>
      <c r="G1307" s="40" t="n"/>
      <c r="H1307" s="39" t="n"/>
      <c r="I1307" s="39" t="n"/>
    </row>
    <row r="1308">
      <c r="A1308" s="7" t="n"/>
      <c r="B1308" s="7" t="n"/>
      <c r="C1308" s="7" t="n"/>
      <c r="D1308" s="39" t="n"/>
      <c r="E1308" s="39" t="n"/>
      <c r="F1308" s="7" t="n"/>
      <c r="G1308" s="40" t="n"/>
      <c r="H1308" s="39" t="n"/>
      <c r="I1308" s="39" t="n"/>
    </row>
    <row r="1309">
      <c r="A1309" s="7" t="n"/>
      <c r="B1309" s="7" t="n"/>
      <c r="C1309" s="7" t="n"/>
      <c r="D1309" s="39" t="n"/>
      <c r="E1309" s="39" t="n"/>
      <c r="F1309" s="7" t="n"/>
      <c r="G1309" s="40" t="n"/>
      <c r="H1309" s="39" t="n"/>
      <c r="I1309" s="39" t="n"/>
    </row>
    <row r="1310">
      <c r="A1310" s="7" t="n"/>
      <c r="B1310" s="7" t="n"/>
      <c r="C1310" s="7" t="n"/>
      <c r="D1310" s="39" t="n"/>
      <c r="E1310" s="39" t="n"/>
      <c r="F1310" s="7" t="n"/>
      <c r="G1310" s="40" t="n"/>
      <c r="H1310" s="39" t="n"/>
      <c r="I1310" s="39" t="n"/>
    </row>
    <row r="1311">
      <c r="A1311" s="7" t="n"/>
      <c r="B1311" s="7" t="n"/>
      <c r="C1311" s="7" t="n"/>
      <c r="D1311" s="39" t="n"/>
      <c r="E1311" s="39" t="n"/>
      <c r="F1311" s="7" t="n"/>
      <c r="G1311" s="40" t="n"/>
      <c r="H1311" s="39" t="n"/>
      <c r="I1311" s="39" t="n"/>
    </row>
    <row r="1312">
      <c r="A1312" s="7" t="n"/>
      <c r="B1312" s="7" t="n"/>
      <c r="C1312" s="7" t="n"/>
      <c r="D1312" s="39" t="n"/>
      <c r="E1312" s="39" t="n"/>
      <c r="F1312" s="7" t="n"/>
      <c r="G1312" s="40" t="n"/>
      <c r="H1312" s="39" t="n"/>
      <c r="I1312" s="39" t="n"/>
    </row>
    <row r="1313">
      <c r="A1313" s="7" t="n"/>
      <c r="B1313" s="7" t="n"/>
      <c r="C1313" s="7" t="n"/>
      <c r="D1313" s="39" t="n"/>
      <c r="E1313" s="39" t="n"/>
      <c r="F1313" s="7" t="n"/>
      <c r="G1313" s="40" t="n"/>
      <c r="H1313" s="39" t="n"/>
      <c r="I1313" s="39" t="n"/>
    </row>
    <row r="1314">
      <c r="A1314" s="7" t="n"/>
      <c r="B1314" s="7" t="n"/>
      <c r="C1314" s="7" t="n"/>
      <c r="D1314" s="39" t="n"/>
      <c r="E1314" s="39" t="n"/>
      <c r="F1314" s="7" t="n"/>
      <c r="G1314" s="40" t="n"/>
      <c r="H1314" s="39" t="n"/>
      <c r="I1314" s="39" t="n"/>
    </row>
    <row r="1315">
      <c r="A1315" s="7" t="n"/>
      <c r="B1315" s="7" t="n"/>
      <c r="C1315" s="7" t="n"/>
      <c r="D1315" s="39" t="n"/>
      <c r="E1315" s="39" t="n"/>
      <c r="F1315" s="7" t="n"/>
      <c r="G1315" s="40" t="n"/>
      <c r="H1315" s="39" t="n"/>
      <c r="I1315" s="39" t="n"/>
    </row>
    <row r="1316">
      <c r="A1316" s="7" t="n"/>
      <c r="B1316" s="7" t="n"/>
      <c r="C1316" s="7" t="n"/>
      <c r="D1316" s="39" t="n"/>
      <c r="E1316" s="39" t="n"/>
      <c r="F1316" s="7" t="n"/>
      <c r="G1316" s="40" t="n"/>
      <c r="H1316" s="39" t="n"/>
      <c r="I1316" s="39" t="n"/>
    </row>
    <row r="1317">
      <c r="A1317" s="7" t="n"/>
      <c r="B1317" s="7" t="n"/>
      <c r="C1317" s="7" t="n"/>
      <c r="D1317" s="39" t="n"/>
      <c r="E1317" s="39" t="n"/>
      <c r="F1317" s="7" t="n"/>
      <c r="G1317" s="40" t="n"/>
      <c r="H1317" s="39" t="n"/>
      <c r="I1317" s="39" t="n"/>
    </row>
    <row r="1318">
      <c r="A1318" s="7" t="n"/>
      <c r="B1318" s="7" t="n"/>
      <c r="C1318" s="7" t="n"/>
      <c r="D1318" s="39" t="n"/>
      <c r="E1318" s="39" t="n"/>
      <c r="F1318" s="7" t="n"/>
      <c r="G1318" s="40" t="n"/>
      <c r="H1318" s="39" t="n"/>
      <c r="I1318" s="39" t="n"/>
    </row>
    <row r="1319">
      <c r="A1319" s="7" t="n"/>
      <c r="B1319" s="7" t="n"/>
      <c r="C1319" s="7" t="n"/>
      <c r="D1319" s="39" t="n"/>
      <c r="E1319" s="39" t="n"/>
      <c r="F1319" s="7" t="n"/>
      <c r="G1319" s="40" t="n"/>
      <c r="H1319" s="39" t="n"/>
      <c r="I1319" s="39" t="n"/>
    </row>
    <row r="1320">
      <c r="A1320" s="7" t="n"/>
      <c r="B1320" s="7" t="n"/>
      <c r="C1320" s="7" t="n"/>
      <c r="D1320" s="39" t="n"/>
      <c r="E1320" s="39" t="n"/>
      <c r="F1320" s="7" t="n"/>
      <c r="G1320" s="40" t="n"/>
      <c r="H1320" s="39" t="n"/>
      <c r="I1320" s="39" t="n"/>
    </row>
    <row r="1321">
      <c r="A1321" s="7" t="n"/>
      <c r="B1321" s="7" t="n"/>
      <c r="C1321" s="7" t="n"/>
      <c r="D1321" s="39" t="n"/>
      <c r="E1321" s="39" t="n"/>
      <c r="F1321" s="7" t="n"/>
      <c r="G1321" s="40" t="n"/>
      <c r="H1321" s="39" t="n"/>
      <c r="I1321" s="39" t="n"/>
    </row>
    <row r="1322">
      <c r="A1322" s="7" t="n"/>
      <c r="B1322" s="7" t="n"/>
      <c r="C1322" s="7" t="n"/>
      <c r="D1322" s="39" t="n"/>
      <c r="E1322" s="39" t="n"/>
      <c r="F1322" s="7" t="n"/>
      <c r="G1322" s="40" t="n"/>
      <c r="H1322" s="39" t="n"/>
      <c r="I1322" s="39" t="n"/>
    </row>
    <row r="1323">
      <c r="A1323" s="7" t="n"/>
      <c r="B1323" s="7" t="n"/>
      <c r="C1323" s="7" t="n"/>
      <c r="D1323" s="39" t="n"/>
      <c r="E1323" s="39" t="n"/>
      <c r="F1323" s="7" t="n"/>
      <c r="G1323" s="40" t="n"/>
      <c r="H1323" s="39" t="n"/>
      <c r="I1323" s="39" t="n"/>
    </row>
    <row r="1324">
      <c r="A1324" s="7" t="n"/>
      <c r="B1324" s="7" t="n"/>
      <c r="C1324" s="7" t="n"/>
      <c r="D1324" s="39" t="n"/>
      <c r="E1324" s="39" t="n"/>
      <c r="F1324" s="7" t="n"/>
      <c r="G1324" s="40" t="n"/>
      <c r="H1324" s="39" t="n"/>
      <c r="I1324" s="39" t="n"/>
    </row>
    <row r="1325">
      <c r="A1325" s="7" t="n"/>
      <c r="B1325" s="7" t="n"/>
      <c r="C1325" s="7" t="n"/>
      <c r="D1325" s="39" t="n"/>
      <c r="E1325" s="39" t="n"/>
      <c r="F1325" s="7" t="n"/>
      <c r="G1325" s="40" t="n"/>
      <c r="H1325" s="39" t="n"/>
      <c r="I1325" s="39" t="n"/>
    </row>
    <row r="1326">
      <c r="A1326" s="7" t="n"/>
      <c r="B1326" s="7" t="n"/>
      <c r="C1326" s="7" t="n"/>
      <c r="D1326" s="39" t="n"/>
      <c r="E1326" s="39" t="n"/>
      <c r="F1326" s="7" t="n"/>
      <c r="G1326" s="40" t="n"/>
      <c r="H1326" s="39" t="n"/>
      <c r="I1326" s="39" t="n"/>
    </row>
    <row r="1327">
      <c r="A1327" s="7" t="n"/>
      <c r="B1327" s="7" t="n"/>
      <c r="C1327" s="7" t="n"/>
      <c r="D1327" s="39" t="n"/>
      <c r="E1327" s="39" t="n"/>
      <c r="F1327" s="7" t="n"/>
      <c r="G1327" s="40" t="n"/>
      <c r="H1327" s="39" t="n"/>
      <c r="I1327" s="39" t="n"/>
    </row>
    <row r="1328">
      <c r="A1328" s="7" t="n"/>
      <c r="B1328" s="7" t="n"/>
      <c r="C1328" s="7" t="n"/>
      <c r="D1328" s="39" t="n"/>
      <c r="E1328" s="39" t="n"/>
      <c r="F1328" s="7" t="n"/>
      <c r="G1328" s="40" t="n"/>
      <c r="H1328" s="39" t="n"/>
      <c r="I1328" s="39" t="n"/>
    </row>
    <row r="1329">
      <c r="A1329" s="7" t="n"/>
      <c r="B1329" s="7" t="n"/>
      <c r="C1329" s="7" t="n"/>
      <c r="D1329" s="39" t="n"/>
      <c r="E1329" s="39" t="n"/>
      <c r="F1329" s="7" t="n"/>
      <c r="G1329" s="40" t="n"/>
      <c r="H1329" s="39" t="n"/>
      <c r="I1329" s="39" t="n"/>
    </row>
    <row r="1330">
      <c r="A1330" s="7" t="n"/>
      <c r="B1330" s="7" t="n"/>
      <c r="C1330" s="7" t="n"/>
      <c r="D1330" s="39" t="n"/>
      <c r="E1330" s="39" t="n"/>
      <c r="F1330" s="7" t="n"/>
      <c r="G1330" s="40" t="n"/>
      <c r="H1330" s="39" t="n"/>
      <c r="I1330" s="39" t="n"/>
    </row>
    <row r="1331">
      <c r="A1331" s="7" t="n"/>
      <c r="B1331" s="7" t="n"/>
      <c r="C1331" s="7" t="n"/>
      <c r="D1331" s="39" t="n"/>
      <c r="E1331" s="39" t="n"/>
      <c r="F1331" s="7" t="n"/>
      <c r="G1331" s="40" t="n"/>
      <c r="H1331" s="39" t="n"/>
      <c r="I1331" s="39" t="n"/>
    </row>
    <row r="1332">
      <c r="A1332" s="7" t="n"/>
      <c r="B1332" s="7" t="n"/>
      <c r="C1332" s="7" t="n"/>
      <c r="D1332" s="39" t="n"/>
      <c r="E1332" s="39" t="n"/>
      <c r="F1332" s="7" t="n"/>
      <c r="G1332" s="40" t="n"/>
      <c r="H1332" s="39" t="n"/>
      <c r="I1332" s="39" t="n"/>
    </row>
    <row r="1333">
      <c r="A1333" s="7" t="n"/>
      <c r="B1333" s="7" t="n"/>
      <c r="C1333" s="7" t="n"/>
      <c r="D1333" s="39" t="n"/>
      <c r="E1333" s="39" t="n"/>
      <c r="F1333" s="7" t="n"/>
      <c r="G1333" s="40" t="n"/>
      <c r="H1333" s="39" t="n"/>
      <c r="I1333" s="39" t="n"/>
    </row>
    <row r="1334">
      <c r="A1334" s="7" t="n"/>
      <c r="B1334" s="7" t="n"/>
      <c r="C1334" s="7" t="n"/>
      <c r="D1334" s="39" t="n"/>
      <c r="E1334" s="39" t="n"/>
      <c r="F1334" s="7" t="n"/>
      <c r="G1334" s="40" t="n"/>
      <c r="H1334" s="39" t="n"/>
      <c r="I1334" s="39" t="n"/>
    </row>
    <row r="1335">
      <c r="A1335" s="7" t="n"/>
      <c r="B1335" s="7" t="n"/>
      <c r="C1335" s="7" t="n"/>
      <c r="D1335" s="39" t="n"/>
      <c r="E1335" s="39" t="n"/>
      <c r="F1335" s="7" t="n"/>
      <c r="G1335" s="40" t="n"/>
      <c r="H1335" s="39" t="n"/>
      <c r="I1335" s="39" t="n"/>
    </row>
    <row r="1336">
      <c r="A1336" s="7" t="n"/>
      <c r="B1336" s="7" t="n"/>
      <c r="C1336" s="7" t="n"/>
      <c r="D1336" s="39" t="n"/>
      <c r="E1336" s="39" t="n"/>
      <c r="F1336" s="7" t="n"/>
      <c r="G1336" s="40" t="n"/>
      <c r="H1336" s="39" t="n"/>
      <c r="I1336" s="39" t="n"/>
    </row>
    <row r="1337">
      <c r="A1337" s="7" t="n"/>
      <c r="B1337" s="7" t="n"/>
      <c r="C1337" s="7" t="n"/>
      <c r="D1337" s="39" t="n"/>
      <c r="E1337" s="39" t="n"/>
      <c r="F1337" s="7" t="n"/>
      <c r="G1337" s="40" t="n"/>
      <c r="H1337" s="39" t="n"/>
      <c r="I1337" s="39" t="n"/>
    </row>
    <row r="1338">
      <c r="A1338" s="7" t="n"/>
      <c r="B1338" s="7" t="n"/>
      <c r="C1338" s="7" t="n"/>
      <c r="D1338" s="39" t="n"/>
      <c r="E1338" s="39" t="n"/>
      <c r="F1338" s="7" t="n"/>
      <c r="G1338" s="40" t="n"/>
      <c r="H1338" s="39" t="n"/>
      <c r="I1338" s="39" t="n"/>
    </row>
    <row r="1339">
      <c r="A1339" s="7" t="n"/>
      <c r="B1339" s="7" t="n"/>
      <c r="C1339" s="7" t="n"/>
      <c r="D1339" s="39" t="n"/>
      <c r="E1339" s="39" t="n"/>
      <c r="F1339" s="7" t="n"/>
      <c r="G1339" s="40" t="n"/>
      <c r="H1339" s="39" t="n"/>
      <c r="I1339" s="39" t="n"/>
    </row>
    <row r="1340">
      <c r="A1340" s="7" t="n"/>
      <c r="B1340" s="7" t="n"/>
      <c r="C1340" s="7" t="n"/>
      <c r="D1340" s="39" t="n"/>
      <c r="E1340" s="39" t="n"/>
      <c r="F1340" s="7" t="n"/>
      <c r="G1340" s="40" t="n"/>
      <c r="H1340" s="39" t="n"/>
      <c r="I1340" s="39" t="n"/>
    </row>
    <row r="1341">
      <c r="A1341" s="7" t="n"/>
      <c r="B1341" s="7" t="n"/>
      <c r="C1341" s="7" t="n"/>
      <c r="D1341" s="39" t="n"/>
      <c r="E1341" s="39" t="n"/>
      <c r="F1341" s="7" t="n"/>
      <c r="G1341" s="40" t="n"/>
      <c r="H1341" s="39" t="n"/>
      <c r="I1341" s="39" t="n"/>
    </row>
    <row r="1342">
      <c r="A1342" s="7" t="n"/>
      <c r="B1342" s="7" t="n"/>
      <c r="C1342" s="7" t="n"/>
      <c r="D1342" s="39" t="n"/>
      <c r="E1342" s="39" t="n"/>
      <c r="F1342" s="7" t="n"/>
      <c r="G1342" s="40" t="n"/>
      <c r="H1342" s="39" t="n"/>
      <c r="I1342" s="39" t="n"/>
    </row>
    <row r="1343">
      <c r="A1343" s="7" t="n"/>
      <c r="B1343" s="7" t="n"/>
      <c r="C1343" s="7" t="n"/>
      <c r="D1343" s="39" t="n"/>
      <c r="E1343" s="39" t="n"/>
      <c r="F1343" s="7" t="n"/>
      <c r="G1343" s="40" t="n"/>
      <c r="H1343" s="39" t="n"/>
      <c r="I1343" s="39" t="n"/>
    </row>
    <row r="1344">
      <c r="A1344" s="7" t="n"/>
      <c r="B1344" s="7" t="n"/>
      <c r="C1344" s="7" t="n"/>
      <c r="D1344" s="39" t="n"/>
      <c r="E1344" s="39" t="n"/>
      <c r="F1344" s="7" t="n"/>
      <c r="G1344" s="40" t="n"/>
      <c r="H1344" s="39" t="n"/>
      <c r="I1344" s="39" t="n"/>
    </row>
    <row r="1345">
      <c r="A1345" s="7" t="n"/>
      <c r="B1345" s="7" t="n"/>
      <c r="C1345" s="7" t="n"/>
      <c r="D1345" s="39" t="n"/>
      <c r="E1345" s="39" t="n"/>
      <c r="F1345" s="7" t="n"/>
      <c r="G1345" s="40" t="n"/>
      <c r="H1345" s="39" t="n"/>
      <c r="I1345" s="39" t="n"/>
    </row>
    <row r="1346">
      <c r="A1346" s="7" t="n"/>
      <c r="B1346" s="7" t="n"/>
      <c r="C1346" s="7" t="n"/>
      <c r="D1346" s="39" t="n"/>
      <c r="E1346" s="39" t="n"/>
      <c r="F1346" s="7" t="n"/>
      <c r="G1346" s="40" t="n"/>
      <c r="H1346" s="39" t="n"/>
      <c r="I1346" s="39" t="n"/>
    </row>
    <row r="1347">
      <c r="A1347" s="7" t="n"/>
      <c r="B1347" s="7" t="n"/>
      <c r="C1347" s="7" t="n"/>
      <c r="D1347" s="39" t="n"/>
      <c r="E1347" s="39" t="n"/>
      <c r="F1347" s="7" t="n"/>
      <c r="G1347" s="40" t="n"/>
      <c r="H1347" s="39" t="n"/>
      <c r="I1347" s="39" t="n"/>
    </row>
    <row r="1348">
      <c r="A1348" s="7" t="n"/>
      <c r="B1348" s="7" t="n"/>
      <c r="C1348" s="7" t="n"/>
      <c r="D1348" s="39" t="n"/>
      <c r="E1348" s="39" t="n"/>
      <c r="F1348" s="7" t="n"/>
      <c r="G1348" s="40" t="n"/>
      <c r="H1348" s="39" t="n"/>
      <c r="I1348" s="39" t="n"/>
    </row>
    <row r="1349">
      <c r="A1349" s="7" t="n"/>
      <c r="B1349" s="7" t="n"/>
      <c r="C1349" s="7" t="n"/>
      <c r="D1349" s="39" t="n"/>
      <c r="E1349" s="39" t="n"/>
      <c r="F1349" s="7" t="n"/>
      <c r="G1349" s="40" t="n"/>
      <c r="H1349" s="39" t="n"/>
      <c r="I1349" s="39" t="n"/>
    </row>
    <row r="1350">
      <c r="A1350" s="7" t="n"/>
      <c r="B1350" s="7" t="n"/>
      <c r="C1350" s="7" t="n"/>
      <c r="D1350" s="39" t="n"/>
      <c r="E1350" s="39" t="n"/>
      <c r="F1350" s="7" t="n"/>
      <c r="G1350" s="40" t="n"/>
      <c r="H1350" s="39" t="n"/>
      <c r="I1350" s="39" t="n"/>
    </row>
    <row r="1351">
      <c r="A1351" s="7" t="n"/>
      <c r="B1351" s="7" t="n"/>
      <c r="C1351" s="7" t="n"/>
      <c r="D1351" s="39" t="n"/>
      <c r="E1351" s="39" t="n"/>
      <c r="F1351" s="7" t="n"/>
      <c r="G1351" s="40" t="n"/>
      <c r="H1351" s="39" t="n"/>
      <c r="I1351" s="39" t="n"/>
    </row>
    <row r="1352">
      <c r="A1352" s="7" t="n"/>
      <c r="B1352" s="7" t="n"/>
      <c r="C1352" s="7" t="n"/>
      <c r="D1352" s="39" t="n"/>
      <c r="E1352" s="39" t="n"/>
      <c r="F1352" s="7" t="n"/>
      <c r="G1352" s="40" t="n"/>
      <c r="H1352" s="39" t="n"/>
      <c r="I1352" s="39" t="n"/>
    </row>
    <row r="1353">
      <c r="A1353" s="7" t="n"/>
      <c r="B1353" s="7" t="n"/>
      <c r="C1353" s="7" t="n"/>
      <c r="D1353" s="39" t="n"/>
      <c r="E1353" s="39" t="n"/>
      <c r="F1353" s="7" t="n"/>
      <c r="G1353" s="40" t="n"/>
      <c r="H1353" s="39" t="n"/>
      <c r="I1353" s="39" t="n"/>
    </row>
    <row r="1354">
      <c r="A1354" s="7" t="n"/>
      <c r="B1354" s="7" t="n"/>
      <c r="C1354" s="7" t="n"/>
      <c r="D1354" s="39" t="n"/>
      <c r="E1354" s="39" t="n"/>
      <c r="F1354" s="7" t="n"/>
      <c r="G1354" s="40" t="n"/>
      <c r="H1354" s="39" t="n"/>
      <c r="I1354" s="39" t="n"/>
    </row>
    <row r="1355">
      <c r="A1355" s="7" t="n"/>
      <c r="B1355" s="7" t="n"/>
      <c r="C1355" s="7" t="n"/>
      <c r="D1355" s="39" t="n"/>
      <c r="E1355" s="39" t="n"/>
      <c r="F1355" s="7" t="n"/>
      <c r="G1355" s="40" t="n"/>
      <c r="H1355" s="39" t="n"/>
      <c r="I1355" s="39" t="n"/>
    </row>
    <row r="1356">
      <c r="A1356" s="7" t="n"/>
      <c r="B1356" s="7" t="n"/>
      <c r="C1356" s="7" t="n"/>
      <c r="D1356" s="39" t="n"/>
      <c r="E1356" s="39" t="n"/>
      <c r="F1356" s="7" t="n"/>
      <c r="G1356" s="40" t="n"/>
      <c r="H1356" s="39" t="n"/>
      <c r="I1356" s="39" t="n"/>
    </row>
    <row r="1357">
      <c r="A1357" s="7" t="n"/>
      <c r="B1357" s="7" t="n"/>
      <c r="C1357" s="7" t="n"/>
      <c r="D1357" s="39" t="n"/>
      <c r="E1357" s="39" t="n"/>
      <c r="F1357" s="7" t="n"/>
      <c r="G1357" s="40" t="n"/>
      <c r="H1357" s="39" t="n"/>
      <c r="I1357" s="39" t="n"/>
    </row>
    <row r="1358">
      <c r="A1358" s="7" t="n"/>
      <c r="B1358" s="7" t="n"/>
      <c r="C1358" s="7" t="n"/>
      <c r="D1358" s="39" t="n"/>
      <c r="E1358" s="39" t="n"/>
      <c r="F1358" s="7" t="n"/>
      <c r="G1358" s="40" t="n"/>
      <c r="H1358" s="39" t="n"/>
      <c r="I1358" s="39" t="n"/>
    </row>
    <row r="1359">
      <c r="A1359" s="7" t="n"/>
      <c r="B1359" s="7" t="n"/>
      <c r="C1359" s="7" t="n"/>
      <c r="D1359" s="39" t="n"/>
      <c r="E1359" s="39" t="n"/>
      <c r="F1359" s="7" t="n"/>
      <c r="G1359" s="40" t="n"/>
      <c r="H1359" s="39" t="n"/>
      <c r="I1359" s="39" t="n"/>
    </row>
    <row r="1360">
      <c r="A1360" s="7" t="n"/>
      <c r="B1360" s="7" t="n"/>
      <c r="C1360" s="7" t="n"/>
      <c r="D1360" s="39" t="n"/>
      <c r="E1360" s="39" t="n"/>
      <c r="F1360" s="7" t="n"/>
      <c r="G1360" s="40" t="n"/>
      <c r="H1360" s="39" t="n"/>
      <c r="I1360" s="39" t="n"/>
    </row>
    <row r="1361">
      <c r="A1361" s="7" t="n"/>
      <c r="B1361" s="7" t="n"/>
      <c r="C1361" s="7" t="n"/>
      <c r="D1361" s="39" t="n"/>
      <c r="E1361" s="39" t="n"/>
      <c r="F1361" s="7" t="n"/>
      <c r="G1361" s="40" t="n"/>
      <c r="H1361" s="39" t="n"/>
      <c r="I1361" s="39" t="n"/>
    </row>
    <row r="1362">
      <c r="A1362" s="7" t="n"/>
      <c r="B1362" s="7" t="n"/>
      <c r="C1362" s="7" t="n"/>
      <c r="D1362" s="39" t="n"/>
      <c r="E1362" s="39" t="n"/>
      <c r="F1362" s="7" t="n"/>
      <c r="G1362" s="40" t="n"/>
      <c r="H1362" s="39" t="n"/>
      <c r="I1362" s="39" t="n"/>
    </row>
    <row r="1363">
      <c r="A1363" s="7" t="n"/>
      <c r="B1363" s="7" t="n"/>
      <c r="C1363" s="7" t="n"/>
      <c r="D1363" s="39" t="n"/>
      <c r="E1363" s="39" t="n"/>
      <c r="F1363" s="7" t="n"/>
      <c r="G1363" s="40" t="n"/>
      <c r="H1363" s="39" t="n"/>
      <c r="I1363" s="39" t="n"/>
    </row>
    <row r="1364">
      <c r="A1364" s="7" t="n"/>
      <c r="B1364" s="7" t="n"/>
      <c r="C1364" s="7" t="n"/>
      <c r="D1364" s="39" t="n"/>
      <c r="E1364" s="39" t="n"/>
      <c r="F1364" s="7" t="n"/>
      <c r="G1364" s="40" t="n"/>
      <c r="H1364" s="39" t="n"/>
      <c r="I1364" s="39" t="n"/>
    </row>
    <row r="1365">
      <c r="A1365" s="7" t="n"/>
      <c r="B1365" s="7" t="n"/>
      <c r="C1365" s="7" t="n"/>
      <c r="D1365" s="39" t="n"/>
      <c r="E1365" s="39" t="n"/>
      <c r="F1365" s="7" t="n"/>
      <c r="G1365" s="40" t="n"/>
      <c r="H1365" s="39" t="n"/>
      <c r="I1365" s="39" t="n"/>
    </row>
    <row r="1366">
      <c r="A1366" s="7" t="n"/>
      <c r="B1366" s="7" t="n"/>
      <c r="C1366" s="7" t="n"/>
      <c r="D1366" s="39" t="n"/>
      <c r="E1366" s="39" t="n"/>
      <c r="F1366" s="7" t="n"/>
      <c r="G1366" s="40" t="n"/>
      <c r="H1366" s="39" t="n"/>
      <c r="I1366" s="39" t="n"/>
    </row>
    <row r="1367">
      <c r="A1367" s="7" t="n"/>
      <c r="B1367" s="7" t="n"/>
      <c r="C1367" s="7" t="n"/>
      <c r="D1367" s="39" t="n"/>
      <c r="E1367" s="39" t="n"/>
      <c r="F1367" s="7" t="n"/>
      <c r="G1367" s="40" t="n"/>
      <c r="H1367" s="39" t="n"/>
      <c r="I1367" s="39" t="n"/>
    </row>
    <row r="1368">
      <c r="A1368" s="7" t="n"/>
      <c r="B1368" s="7" t="n"/>
      <c r="C1368" s="7" t="n"/>
      <c r="D1368" s="39" t="n"/>
      <c r="E1368" s="39" t="n"/>
      <c r="F1368" s="7" t="n"/>
      <c r="G1368" s="40" t="n"/>
      <c r="H1368" s="39" t="n"/>
      <c r="I1368" s="39" t="n"/>
    </row>
    <row r="1369">
      <c r="A1369" s="7" t="n"/>
      <c r="B1369" s="7" t="n"/>
      <c r="C1369" s="7" t="n"/>
      <c r="D1369" s="39" t="n"/>
      <c r="E1369" s="39" t="n"/>
      <c r="F1369" s="7" t="n"/>
      <c r="G1369" s="40" t="n"/>
      <c r="H1369" s="39" t="n"/>
      <c r="I1369" s="39" t="n"/>
    </row>
    <row r="1370">
      <c r="A1370" s="7" t="n"/>
      <c r="B1370" s="7" t="n"/>
      <c r="C1370" s="7" t="n"/>
      <c r="D1370" s="39" t="n"/>
      <c r="E1370" s="39" t="n"/>
      <c r="F1370" s="7" t="n"/>
      <c r="G1370" s="40" t="n"/>
      <c r="H1370" s="39" t="n"/>
      <c r="I1370" s="39" t="n"/>
    </row>
    <row r="1371">
      <c r="A1371" s="7" t="n"/>
      <c r="B1371" s="7" t="n"/>
      <c r="C1371" s="7" t="n"/>
      <c r="D1371" s="39" t="n"/>
      <c r="E1371" s="39" t="n"/>
      <c r="F1371" s="7" t="n"/>
      <c r="G1371" s="40" t="n"/>
      <c r="H1371" s="39" t="n"/>
      <c r="I1371" s="39" t="n"/>
    </row>
    <row r="1372">
      <c r="A1372" s="7" t="n"/>
      <c r="B1372" s="7" t="n"/>
      <c r="C1372" s="7" t="n"/>
      <c r="D1372" s="39" t="n"/>
      <c r="E1372" s="39" t="n"/>
      <c r="F1372" s="7" t="n"/>
      <c r="G1372" s="40" t="n"/>
      <c r="H1372" s="39" t="n"/>
      <c r="I1372" s="39" t="n"/>
    </row>
    <row r="1373">
      <c r="A1373" s="7" t="n"/>
      <c r="B1373" s="7" t="n"/>
      <c r="C1373" s="7" t="n"/>
      <c r="D1373" s="39" t="n"/>
      <c r="E1373" s="39" t="n"/>
      <c r="F1373" s="7" t="n"/>
      <c r="G1373" s="40" t="n"/>
      <c r="H1373" s="39" t="n"/>
      <c r="I1373" s="39" t="n"/>
    </row>
    <row r="1374">
      <c r="A1374" s="7" t="n"/>
      <c r="B1374" s="7" t="n"/>
      <c r="C1374" s="7" t="n"/>
      <c r="D1374" s="39" t="n"/>
      <c r="E1374" s="39" t="n"/>
      <c r="F1374" s="7" t="n"/>
      <c r="G1374" s="40" t="n"/>
      <c r="H1374" s="39" t="n"/>
      <c r="I1374" s="39" t="n"/>
    </row>
    <row r="1375">
      <c r="A1375" s="7" t="n"/>
      <c r="B1375" s="7" t="n"/>
      <c r="C1375" s="7" t="n"/>
      <c r="D1375" s="39" t="n"/>
      <c r="E1375" s="39" t="n"/>
      <c r="F1375" s="7" t="n"/>
      <c r="G1375" s="40" t="n"/>
      <c r="H1375" s="39" t="n"/>
      <c r="I1375" s="39" t="n"/>
    </row>
    <row r="1376">
      <c r="A1376" s="7" t="n"/>
      <c r="B1376" s="7" t="n"/>
      <c r="C1376" s="7" t="n"/>
      <c r="D1376" s="39" t="n"/>
      <c r="E1376" s="39" t="n"/>
      <c r="F1376" s="7" t="n"/>
      <c r="G1376" s="40" t="n"/>
      <c r="H1376" s="39" t="n"/>
      <c r="I1376" s="39" t="n"/>
    </row>
    <row r="1377">
      <c r="A1377" s="7" t="n"/>
      <c r="B1377" s="7" t="n"/>
      <c r="C1377" s="7" t="n"/>
      <c r="D1377" s="39" t="n"/>
      <c r="E1377" s="39" t="n"/>
      <c r="F1377" s="7" t="n"/>
      <c r="G1377" s="40" t="n"/>
      <c r="H1377" s="39" t="n"/>
      <c r="I1377" s="39" t="n"/>
    </row>
    <row r="1378">
      <c r="A1378" s="7" t="n"/>
      <c r="B1378" s="7" t="n"/>
      <c r="C1378" s="7" t="n"/>
      <c r="D1378" s="39" t="n"/>
      <c r="E1378" s="39" t="n"/>
      <c r="F1378" s="7" t="n"/>
      <c r="G1378" s="40" t="n"/>
      <c r="H1378" s="39" t="n"/>
      <c r="I1378" s="39" t="n"/>
    </row>
    <row r="1379">
      <c r="A1379" s="7" t="n"/>
      <c r="B1379" s="7" t="n"/>
      <c r="C1379" s="7" t="n"/>
      <c r="D1379" s="39" t="n"/>
      <c r="E1379" s="39" t="n"/>
      <c r="F1379" s="7" t="n"/>
      <c r="G1379" s="40" t="n"/>
      <c r="H1379" s="39" t="n"/>
      <c r="I1379" s="39" t="n"/>
    </row>
    <row r="1380">
      <c r="A1380" s="7" t="n"/>
      <c r="B1380" s="7" t="n"/>
      <c r="C1380" s="7" t="n"/>
      <c r="D1380" s="39" t="n"/>
      <c r="E1380" s="39" t="n"/>
      <c r="F1380" s="7" t="n"/>
      <c r="G1380" s="40" t="n"/>
      <c r="H1380" s="39" t="n"/>
      <c r="I1380" s="39" t="n"/>
    </row>
    <row r="1381">
      <c r="A1381" s="7" t="n"/>
      <c r="B1381" s="7" t="n"/>
      <c r="C1381" s="7" t="n"/>
      <c r="D1381" s="39" t="n"/>
      <c r="E1381" s="39" t="n"/>
      <c r="F1381" s="7" t="n"/>
      <c r="G1381" s="40" t="n"/>
      <c r="H1381" s="39" t="n"/>
      <c r="I1381" s="39" t="n"/>
    </row>
    <row r="1382">
      <c r="A1382" s="7" t="n"/>
      <c r="B1382" s="7" t="n"/>
      <c r="C1382" s="7" t="n"/>
      <c r="D1382" s="39" t="n"/>
      <c r="E1382" s="39" t="n"/>
      <c r="F1382" s="7" t="n"/>
      <c r="G1382" s="40" t="n"/>
      <c r="H1382" s="39" t="n"/>
      <c r="I1382" s="39" t="n"/>
    </row>
    <row r="1383">
      <c r="A1383" s="7" t="n"/>
      <c r="B1383" s="7" t="n"/>
      <c r="C1383" s="7" t="n"/>
      <c r="D1383" s="39" t="n"/>
      <c r="E1383" s="39" t="n"/>
      <c r="F1383" s="7" t="n"/>
      <c r="G1383" s="40" t="n"/>
      <c r="H1383" s="39" t="n"/>
      <c r="I1383" s="39" t="n"/>
    </row>
    <row r="1384">
      <c r="A1384" s="7" t="n"/>
      <c r="B1384" s="7" t="n"/>
      <c r="C1384" s="7" t="n"/>
      <c r="D1384" s="39" t="n"/>
      <c r="E1384" s="39" t="n"/>
      <c r="F1384" s="7" t="n"/>
      <c r="G1384" s="40" t="n"/>
      <c r="H1384" s="39" t="n"/>
      <c r="I1384" s="39" t="n"/>
    </row>
    <row r="1385">
      <c r="A1385" s="7" t="n"/>
      <c r="B1385" s="7" t="n"/>
      <c r="C1385" s="7" t="n"/>
      <c r="D1385" s="39" t="n"/>
      <c r="E1385" s="39" t="n"/>
      <c r="F1385" s="7" t="n"/>
      <c r="G1385" s="40" t="n"/>
      <c r="H1385" s="39" t="n"/>
      <c r="I1385" s="39" t="n"/>
    </row>
    <row r="1386">
      <c r="A1386" s="7" t="n"/>
      <c r="B1386" s="7" t="n"/>
      <c r="C1386" s="7" t="n"/>
      <c r="D1386" s="39" t="n"/>
      <c r="E1386" s="39" t="n"/>
      <c r="F1386" s="7" t="n"/>
      <c r="G1386" s="40" t="n"/>
      <c r="H1386" s="39" t="n"/>
      <c r="I1386" s="39" t="n"/>
    </row>
    <row r="1387">
      <c r="A1387" s="7" t="n"/>
      <c r="B1387" s="7" t="n"/>
      <c r="C1387" s="7" t="n"/>
      <c r="D1387" s="39" t="n"/>
      <c r="E1387" s="39" t="n"/>
      <c r="F1387" s="7" t="n"/>
      <c r="G1387" s="40" t="n"/>
      <c r="H1387" s="39" t="n"/>
      <c r="I1387" s="39" t="n"/>
    </row>
    <row r="1388">
      <c r="A1388" s="7" t="n"/>
      <c r="B1388" s="7" t="n"/>
      <c r="C1388" s="7" t="n"/>
      <c r="D1388" s="39" t="n"/>
      <c r="E1388" s="39" t="n"/>
      <c r="F1388" s="7" t="n"/>
      <c r="G1388" s="40" t="n"/>
      <c r="H1388" s="39" t="n"/>
      <c r="I1388" s="39" t="n"/>
    </row>
    <row r="1389">
      <c r="A1389" s="7" t="n"/>
      <c r="B1389" s="7" t="n"/>
      <c r="C1389" s="7" t="n"/>
      <c r="D1389" s="39" t="n"/>
      <c r="E1389" s="39" t="n"/>
      <c r="F1389" s="7" t="n"/>
      <c r="G1389" s="40" t="n"/>
      <c r="H1389" s="39" t="n"/>
      <c r="I1389" s="39" t="n"/>
    </row>
    <row r="1390">
      <c r="A1390" s="7" t="n"/>
      <c r="B1390" s="7" t="n"/>
      <c r="C1390" s="7" t="n"/>
      <c r="D1390" s="39" t="n"/>
      <c r="E1390" s="39" t="n"/>
      <c r="F1390" s="7" t="n"/>
      <c r="G1390" s="40" t="n"/>
      <c r="H1390" s="39" t="n"/>
      <c r="I1390" s="39" t="n"/>
    </row>
    <row r="1391">
      <c r="A1391" s="7" t="n"/>
      <c r="B1391" s="7" t="n"/>
      <c r="C1391" s="7" t="n"/>
      <c r="D1391" s="39" t="n"/>
      <c r="E1391" s="39" t="n"/>
      <c r="F1391" s="7" t="n"/>
      <c r="G1391" s="40" t="n"/>
      <c r="H1391" s="39" t="n"/>
      <c r="I1391" s="39" t="n"/>
    </row>
    <row r="1392">
      <c r="A1392" s="7" t="n"/>
      <c r="B1392" s="7" t="n"/>
      <c r="C1392" s="7" t="n"/>
      <c r="D1392" s="39" t="n"/>
      <c r="E1392" s="39" t="n"/>
      <c r="F1392" s="7" t="n"/>
      <c r="G1392" s="40" t="n"/>
      <c r="H1392" s="39" t="n"/>
      <c r="I1392" s="39" t="n"/>
    </row>
    <row r="1393">
      <c r="A1393" s="7" t="n"/>
      <c r="B1393" s="7" t="n"/>
      <c r="C1393" s="7" t="n"/>
      <c r="D1393" s="39" t="n"/>
      <c r="E1393" s="39" t="n"/>
      <c r="F1393" s="7" t="n"/>
      <c r="G1393" s="40" t="n"/>
      <c r="H1393" s="39" t="n"/>
      <c r="I1393" s="39" t="n"/>
    </row>
    <row r="1394">
      <c r="A1394" s="7" t="n"/>
      <c r="B1394" s="7" t="n"/>
      <c r="C1394" s="7" t="n"/>
      <c r="D1394" s="39" t="n"/>
      <c r="E1394" s="39" t="n"/>
      <c r="F1394" s="7" t="n"/>
      <c r="G1394" s="40" t="n"/>
      <c r="H1394" s="39" t="n"/>
      <c r="I1394" s="39" t="n"/>
    </row>
    <row r="1395">
      <c r="A1395" s="7" t="n"/>
      <c r="B1395" s="7" t="n"/>
      <c r="C1395" s="7" t="n"/>
      <c r="D1395" s="39" t="n"/>
      <c r="E1395" s="39" t="n"/>
      <c r="F1395" s="7" t="n"/>
      <c r="G1395" s="40" t="n"/>
      <c r="H1395" s="39" t="n"/>
      <c r="I1395" s="39" t="n"/>
    </row>
    <row r="1396">
      <c r="A1396" s="7" t="n"/>
      <c r="B1396" s="7" t="n"/>
      <c r="C1396" s="7" t="n"/>
      <c r="D1396" s="39" t="n"/>
      <c r="E1396" s="39" t="n"/>
      <c r="F1396" s="7" t="n"/>
      <c r="G1396" s="40" t="n"/>
      <c r="H1396" s="39" t="n"/>
      <c r="I1396" s="39" t="n"/>
    </row>
    <row r="1397">
      <c r="A1397" s="7" t="n"/>
      <c r="B1397" s="7" t="n"/>
      <c r="C1397" s="7" t="n"/>
      <c r="D1397" s="39" t="n"/>
      <c r="E1397" s="39" t="n"/>
      <c r="F1397" s="7" t="n"/>
      <c r="G1397" s="40" t="n"/>
      <c r="H1397" s="39" t="n"/>
      <c r="I1397" s="39" t="n"/>
    </row>
    <row r="1398">
      <c r="A1398" s="7" t="n"/>
      <c r="B1398" s="7" t="n"/>
      <c r="C1398" s="7" t="n"/>
      <c r="D1398" s="39" t="n"/>
      <c r="E1398" s="39" t="n"/>
      <c r="F1398" s="7" t="n"/>
      <c r="G1398" s="40" t="n"/>
      <c r="H1398" s="39" t="n"/>
      <c r="I1398" s="39" t="n"/>
    </row>
    <row r="1399">
      <c r="A1399" s="7" t="n"/>
      <c r="B1399" s="7" t="n"/>
      <c r="C1399" s="7" t="n"/>
      <c r="D1399" s="39" t="n"/>
      <c r="E1399" s="39" t="n"/>
      <c r="F1399" s="7" t="n"/>
      <c r="G1399" s="40" t="n"/>
      <c r="H1399" s="39" t="n"/>
      <c r="I1399" s="39" t="n"/>
    </row>
    <row r="1400">
      <c r="A1400" s="7" t="n"/>
      <c r="B1400" s="7" t="n"/>
      <c r="C1400" s="7" t="n"/>
      <c r="D1400" s="39" t="n"/>
      <c r="E1400" s="39" t="n"/>
      <c r="F1400" s="7" t="n"/>
      <c r="G1400" s="40" t="n"/>
      <c r="H1400" s="39" t="n"/>
      <c r="I1400" s="39" t="n"/>
    </row>
    <row r="1401">
      <c r="A1401" s="7" t="n"/>
      <c r="B1401" s="7" t="n"/>
      <c r="C1401" s="7" t="n"/>
      <c r="D1401" s="39" t="n"/>
      <c r="E1401" s="39" t="n"/>
      <c r="F1401" s="7" t="n"/>
      <c r="G1401" s="40" t="n"/>
      <c r="H1401" s="39" t="n"/>
      <c r="I1401" s="39" t="n"/>
    </row>
    <row r="1402">
      <c r="A1402" s="7" t="n"/>
      <c r="B1402" s="7" t="n"/>
      <c r="C1402" s="7" t="n"/>
      <c r="D1402" s="39" t="n"/>
      <c r="E1402" s="39" t="n"/>
      <c r="F1402" s="7" t="n"/>
      <c r="G1402" s="40" t="n"/>
      <c r="H1402" s="39" t="n"/>
      <c r="I1402" s="39" t="n"/>
    </row>
    <row r="1403">
      <c r="A1403" s="7" t="n"/>
      <c r="B1403" s="7" t="n"/>
      <c r="C1403" s="7" t="n"/>
      <c r="D1403" s="39" t="n"/>
      <c r="E1403" s="39" t="n"/>
      <c r="F1403" s="7" t="n"/>
      <c r="G1403" s="40" t="n"/>
      <c r="H1403" s="39" t="n"/>
      <c r="I1403" s="39" t="n"/>
    </row>
    <row r="1404">
      <c r="A1404" s="7" t="n"/>
      <c r="B1404" s="7" t="n"/>
      <c r="C1404" s="7" t="n"/>
      <c r="D1404" s="39" t="n"/>
      <c r="E1404" s="39" t="n"/>
      <c r="F1404" s="7" t="n"/>
      <c r="G1404" s="40" t="n"/>
      <c r="H1404" s="39" t="n"/>
      <c r="I1404" s="39" t="n"/>
    </row>
    <row r="1405">
      <c r="A1405" s="7" t="n"/>
      <c r="B1405" s="7" t="n"/>
      <c r="C1405" s="7" t="n"/>
      <c r="D1405" s="39" t="n"/>
      <c r="E1405" s="39" t="n"/>
      <c r="F1405" s="7" t="n"/>
      <c r="G1405" s="40" t="n"/>
      <c r="H1405" s="39" t="n"/>
      <c r="I1405" s="39" t="n"/>
    </row>
    <row r="1406">
      <c r="A1406" s="7" t="n"/>
      <c r="B1406" s="7" t="n"/>
      <c r="C1406" s="7" t="n"/>
      <c r="D1406" s="39" t="n"/>
      <c r="E1406" s="39" t="n"/>
      <c r="F1406" s="7" t="n"/>
      <c r="G1406" s="40" t="n"/>
      <c r="H1406" s="39" t="n"/>
      <c r="I1406" s="39" t="n"/>
    </row>
    <row r="1407">
      <c r="A1407" s="7" t="n"/>
      <c r="B1407" s="7" t="n"/>
      <c r="C1407" s="7" t="n"/>
      <c r="D1407" s="39" t="n"/>
      <c r="E1407" s="39" t="n"/>
      <c r="F1407" s="7" t="n"/>
      <c r="G1407" s="40" t="n"/>
      <c r="H1407" s="39" t="n"/>
      <c r="I1407" s="39" t="n"/>
    </row>
    <row r="1408">
      <c r="A1408" s="7" t="n"/>
      <c r="B1408" s="7" t="n"/>
      <c r="C1408" s="7" t="n"/>
      <c r="D1408" s="39" t="n"/>
      <c r="E1408" s="39" t="n"/>
      <c r="F1408" s="7" t="n"/>
      <c r="G1408" s="40" t="n"/>
      <c r="H1408" s="39" t="n"/>
      <c r="I1408" s="39" t="n"/>
    </row>
    <row r="1409">
      <c r="A1409" s="7" t="n"/>
      <c r="B1409" s="7" t="n"/>
      <c r="C1409" s="7" t="n"/>
      <c r="D1409" s="39" t="n"/>
      <c r="E1409" s="39" t="n"/>
      <c r="F1409" s="7" t="n"/>
      <c r="G1409" s="40" t="n"/>
      <c r="H1409" s="39" t="n"/>
      <c r="I1409" s="39" t="n"/>
    </row>
    <row r="1410">
      <c r="A1410" s="7" t="n"/>
      <c r="B1410" s="7" t="n"/>
      <c r="C1410" s="7" t="n"/>
      <c r="D1410" s="39" t="n"/>
      <c r="E1410" s="39" t="n"/>
      <c r="F1410" s="7" t="n"/>
      <c r="G1410" s="40" t="n"/>
      <c r="H1410" s="39" t="n"/>
      <c r="I1410" s="39" t="n"/>
    </row>
    <row r="1411">
      <c r="A1411" s="7" t="n"/>
      <c r="B1411" s="7" t="n"/>
      <c r="C1411" s="7" t="n"/>
      <c r="D1411" s="39" t="n"/>
      <c r="E1411" s="39" t="n"/>
      <c r="F1411" s="7" t="n"/>
      <c r="G1411" s="40" t="n"/>
      <c r="H1411" s="39" t="n"/>
      <c r="I1411" s="39" t="n"/>
    </row>
    <row r="1412">
      <c r="A1412" s="7" t="n"/>
      <c r="B1412" s="7" t="n"/>
      <c r="C1412" s="7" t="n"/>
      <c r="D1412" s="39" t="n"/>
      <c r="E1412" s="39" t="n"/>
      <c r="F1412" s="7" t="n"/>
      <c r="G1412" s="40" t="n"/>
      <c r="H1412" s="39" t="n"/>
      <c r="I1412" s="39" t="n"/>
    </row>
    <row r="1413">
      <c r="A1413" s="7" t="n"/>
      <c r="B1413" s="7" t="n"/>
      <c r="C1413" s="7" t="n"/>
      <c r="D1413" s="39" t="n"/>
      <c r="E1413" s="39" t="n"/>
      <c r="F1413" s="7" t="n"/>
      <c r="G1413" s="40" t="n"/>
      <c r="H1413" s="39" t="n"/>
      <c r="I1413" s="39" t="n"/>
    </row>
    <row r="1414">
      <c r="A1414" s="7" t="n"/>
      <c r="B1414" s="7" t="n"/>
      <c r="C1414" s="7" t="n"/>
      <c r="D1414" s="39" t="n"/>
      <c r="E1414" s="39" t="n"/>
      <c r="F1414" s="7" t="n"/>
      <c r="G1414" s="40" t="n"/>
      <c r="H1414" s="39" t="n"/>
      <c r="I1414" s="39" t="n"/>
    </row>
    <row r="1415">
      <c r="A1415" s="7" t="n"/>
      <c r="B1415" s="7" t="n"/>
      <c r="C1415" s="7" t="n"/>
      <c r="D1415" s="39" t="n"/>
      <c r="E1415" s="39" t="n"/>
      <c r="F1415" s="7" t="n"/>
      <c r="G1415" s="40" t="n"/>
      <c r="H1415" s="39" t="n"/>
      <c r="I1415" s="39" t="n"/>
    </row>
    <row r="1416">
      <c r="A1416" s="7" t="n"/>
      <c r="B1416" s="7" t="n"/>
      <c r="C1416" s="7" t="n"/>
      <c r="D1416" s="39" t="n"/>
      <c r="E1416" s="39" t="n"/>
      <c r="F1416" s="7" t="n"/>
      <c r="G1416" s="40" t="n"/>
      <c r="H1416" s="39" t="n"/>
      <c r="I1416" s="39" t="n"/>
    </row>
    <row r="1417">
      <c r="A1417" s="7" t="n"/>
      <c r="B1417" s="7" t="n"/>
      <c r="C1417" s="7" t="n"/>
      <c r="D1417" s="39" t="n"/>
      <c r="E1417" s="39" t="n"/>
      <c r="F1417" s="7" t="n"/>
      <c r="G1417" s="40" t="n"/>
      <c r="H1417" s="39" t="n"/>
      <c r="I1417" s="39" t="n"/>
    </row>
    <row r="1418">
      <c r="A1418" s="7" t="n"/>
      <c r="B1418" s="7" t="n"/>
      <c r="C1418" s="7" t="n"/>
      <c r="D1418" s="39" t="n"/>
      <c r="E1418" s="39" t="n"/>
      <c r="F1418" s="7" t="n"/>
      <c r="G1418" s="40" t="n"/>
      <c r="H1418" s="39" t="n"/>
      <c r="I1418" s="39" t="n"/>
    </row>
    <row r="1419">
      <c r="A1419" s="7" t="n"/>
      <c r="B1419" s="7" t="n"/>
      <c r="C1419" s="7" t="n"/>
      <c r="D1419" s="39" t="n"/>
      <c r="E1419" s="39" t="n"/>
      <c r="F1419" s="7" t="n"/>
      <c r="G1419" s="40" t="n"/>
      <c r="H1419" s="39" t="n"/>
      <c r="I1419" s="39" t="n"/>
    </row>
    <row r="1420">
      <c r="A1420" s="7" t="n"/>
      <c r="B1420" s="7" t="n"/>
      <c r="C1420" s="7" t="n"/>
      <c r="D1420" s="39" t="n"/>
      <c r="E1420" s="39" t="n"/>
      <c r="F1420" s="7" t="n"/>
      <c r="G1420" s="40" t="n"/>
      <c r="H1420" s="39" t="n"/>
      <c r="I1420" s="39" t="n"/>
    </row>
    <row r="1421">
      <c r="A1421" s="7" t="n"/>
      <c r="B1421" s="7" t="n"/>
      <c r="C1421" s="7" t="n"/>
      <c r="D1421" s="39" t="n"/>
      <c r="E1421" s="39" t="n"/>
      <c r="F1421" s="7" t="n"/>
      <c r="G1421" s="40" t="n"/>
      <c r="H1421" s="39" t="n"/>
      <c r="I1421" s="39" t="n"/>
    </row>
    <row r="1422">
      <c r="A1422" s="7" t="n"/>
      <c r="B1422" s="7" t="n"/>
      <c r="C1422" s="7" t="n"/>
      <c r="D1422" s="39" t="n"/>
      <c r="E1422" s="39" t="n"/>
      <c r="F1422" s="7" t="n"/>
      <c r="G1422" s="40" t="n"/>
      <c r="H1422" s="39" t="n"/>
      <c r="I1422" s="39" t="n"/>
    </row>
    <row r="1423">
      <c r="A1423" s="7" t="n"/>
      <c r="B1423" s="7" t="n"/>
      <c r="C1423" s="7" t="n"/>
      <c r="D1423" s="39" t="n"/>
      <c r="E1423" s="39" t="n"/>
      <c r="F1423" s="7" t="n"/>
      <c r="G1423" s="40" t="n"/>
      <c r="H1423" s="39" t="n"/>
      <c r="I1423" s="39" t="n"/>
    </row>
    <row r="1424">
      <c r="A1424" s="7" t="n"/>
      <c r="B1424" s="7" t="n"/>
      <c r="C1424" s="7" t="n"/>
      <c r="D1424" s="39" t="n"/>
      <c r="E1424" s="39" t="n"/>
      <c r="F1424" s="7" t="n"/>
      <c r="G1424" s="40" t="n"/>
      <c r="H1424" s="39" t="n"/>
      <c r="I1424" s="39" t="n"/>
    </row>
    <row r="1425">
      <c r="A1425" s="7" t="n"/>
      <c r="B1425" s="7" t="n"/>
      <c r="C1425" s="7" t="n"/>
      <c r="D1425" s="39" t="n"/>
      <c r="E1425" s="39" t="n"/>
      <c r="F1425" s="7" t="n"/>
      <c r="G1425" s="40" t="n"/>
      <c r="H1425" s="39" t="n"/>
      <c r="I1425" s="39" t="n"/>
    </row>
    <row r="1426">
      <c r="A1426" s="7" t="n"/>
      <c r="B1426" s="7" t="n"/>
      <c r="C1426" s="7" t="n"/>
      <c r="D1426" s="39" t="n"/>
      <c r="E1426" s="39" t="n"/>
      <c r="F1426" s="7" t="n"/>
      <c r="G1426" s="40" t="n"/>
      <c r="H1426" s="39" t="n"/>
      <c r="I1426" s="39" t="n"/>
    </row>
    <row r="1427">
      <c r="A1427" s="7" t="n"/>
      <c r="B1427" s="7" t="n"/>
      <c r="C1427" s="7" t="n"/>
      <c r="D1427" s="39" t="n"/>
      <c r="E1427" s="39" t="n"/>
      <c r="F1427" s="7" t="n"/>
      <c r="G1427" s="40" t="n"/>
      <c r="H1427" s="39" t="n"/>
      <c r="I1427" s="39" t="n"/>
    </row>
    <row r="1428">
      <c r="A1428" s="7" t="n"/>
      <c r="B1428" s="7" t="n"/>
      <c r="C1428" s="7" t="n"/>
      <c r="D1428" s="39" t="n"/>
      <c r="E1428" s="39" t="n"/>
      <c r="F1428" s="7" t="n"/>
      <c r="G1428" s="40" t="n"/>
      <c r="H1428" s="39" t="n"/>
      <c r="I1428" s="39" t="n"/>
    </row>
    <row r="1429">
      <c r="A1429" s="7" t="n"/>
      <c r="B1429" s="7" t="n"/>
      <c r="C1429" s="7" t="n"/>
      <c r="D1429" s="39" t="n"/>
      <c r="E1429" s="39" t="n"/>
      <c r="F1429" s="7" t="n"/>
      <c r="G1429" s="40" t="n"/>
      <c r="H1429" s="39" t="n"/>
      <c r="I1429" s="39" t="n"/>
    </row>
    <row r="1430">
      <c r="A1430" s="7" t="n"/>
      <c r="B1430" s="7" t="n"/>
      <c r="C1430" s="7" t="n"/>
      <c r="D1430" s="39" t="n"/>
      <c r="E1430" s="39" t="n"/>
      <c r="F1430" s="7" t="n"/>
      <c r="G1430" s="40" t="n"/>
      <c r="H1430" s="39" t="n"/>
      <c r="I1430" s="39" t="n"/>
    </row>
    <row r="1431">
      <c r="A1431" s="7" t="n"/>
      <c r="B1431" s="7" t="n"/>
      <c r="C1431" s="7" t="n"/>
      <c r="D1431" s="39" t="n"/>
      <c r="E1431" s="39" t="n"/>
      <c r="F1431" s="7" t="n"/>
      <c r="G1431" s="40" t="n"/>
      <c r="H1431" s="39" t="n"/>
      <c r="I1431" s="39" t="n"/>
    </row>
    <row r="1432">
      <c r="A1432" s="7" t="n"/>
      <c r="B1432" s="7" t="n"/>
      <c r="C1432" s="7" t="n"/>
      <c r="D1432" s="39" t="n"/>
      <c r="E1432" s="39" t="n"/>
      <c r="F1432" s="7" t="n"/>
      <c r="G1432" s="40" t="n"/>
      <c r="H1432" s="39" t="n"/>
      <c r="I1432" s="39" t="n"/>
    </row>
    <row r="1433">
      <c r="A1433" s="7" t="n"/>
      <c r="B1433" s="7" t="n"/>
      <c r="C1433" s="7" t="n"/>
      <c r="D1433" s="39" t="n"/>
      <c r="E1433" s="39" t="n"/>
      <c r="F1433" s="7" t="n"/>
      <c r="G1433" s="40" t="n"/>
      <c r="H1433" s="39" t="n"/>
      <c r="I1433" s="39" t="n"/>
    </row>
    <row r="1434">
      <c r="A1434" s="7" t="n"/>
      <c r="B1434" s="7" t="n"/>
      <c r="C1434" s="7" t="n"/>
      <c r="D1434" s="39" t="n"/>
      <c r="E1434" s="39" t="n"/>
      <c r="F1434" s="7" t="n"/>
      <c r="G1434" s="40" t="n"/>
      <c r="H1434" s="39" t="n"/>
      <c r="I1434" s="39" t="n"/>
    </row>
    <row r="1435">
      <c r="A1435" s="7" t="n"/>
      <c r="B1435" s="7" t="n"/>
      <c r="C1435" s="7" t="n"/>
      <c r="D1435" s="39" t="n"/>
      <c r="E1435" s="39" t="n"/>
      <c r="F1435" s="7" t="n"/>
      <c r="G1435" s="40" t="n"/>
      <c r="H1435" s="39" t="n"/>
      <c r="I1435" s="39" t="n"/>
    </row>
    <row r="1436">
      <c r="A1436" s="7" t="n"/>
      <c r="B1436" s="7" t="n"/>
      <c r="C1436" s="7" t="n"/>
      <c r="D1436" s="39" t="n"/>
      <c r="E1436" s="39" t="n"/>
      <c r="F1436" s="7" t="n"/>
      <c r="G1436" s="40" t="n"/>
      <c r="H1436" s="39" t="n"/>
      <c r="I1436" s="39" t="n"/>
    </row>
    <row r="1437">
      <c r="A1437" s="7" t="n"/>
      <c r="B1437" s="7" t="n"/>
      <c r="C1437" s="7" t="n"/>
      <c r="D1437" s="39" t="n"/>
      <c r="E1437" s="39" t="n"/>
      <c r="F1437" s="7" t="n"/>
      <c r="G1437" s="40" t="n"/>
      <c r="H1437" s="39" t="n"/>
      <c r="I1437" s="39" t="n"/>
    </row>
    <row r="1438">
      <c r="A1438" s="7" t="n"/>
      <c r="B1438" s="7" t="n"/>
      <c r="C1438" s="7" t="n"/>
      <c r="D1438" s="39" t="n"/>
      <c r="E1438" s="39" t="n"/>
      <c r="F1438" s="7" t="n"/>
      <c r="G1438" s="40" t="n"/>
      <c r="H1438" s="39" t="n"/>
      <c r="I1438" s="39" t="n"/>
    </row>
    <row r="1439">
      <c r="A1439" s="7" t="n"/>
      <c r="B1439" s="7" t="n"/>
      <c r="C1439" s="7" t="n"/>
      <c r="D1439" s="39" t="n"/>
      <c r="E1439" s="39" t="n"/>
      <c r="F1439" s="7" t="n"/>
      <c r="G1439" s="40" t="n"/>
      <c r="H1439" s="39" t="n"/>
      <c r="I1439" s="39" t="n"/>
    </row>
    <row r="1440">
      <c r="A1440" s="7" t="n"/>
      <c r="B1440" s="7" t="n"/>
      <c r="C1440" s="7" t="n"/>
      <c r="D1440" s="39" t="n"/>
      <c r="E1440" s="39" t="n"/>
      <c r="F1440" s="7" t="n"/>
      <c r="G1440" s="40" t="n"/>
      <c r="H1440" s="39" t="n"/>
      <c r="I1440" s="39" t="n"/>
    </row>
    <row r="1441">
      <c r="A1441" s="7" t="n"/>
      <c r="B1441" s="7" t="n"/>
      <c r="C1441" s="7" t="n"/>
      <c r="D1441" s="39" t="n"/>
      <c r="E1441" s="39" t="n"/>
      <c r="F1441" s="7" t="n"/>
      <c r="G1441" s="40" t="n"/>
      <c r="H1441" s="39" t="n"/>
      <c r="I1441" s="39" t="n"/>
    </row>
    <row r="1442">
      <c r="A1442" s="7" t="n"/>
      <c r="B1442" s="7" t="n"/>
      <c r="C1442" s="7" t="n"/>
      <c r="D1442" s="39" t="n"/>
      <c r="E1442" s="39" t="n"/>
      <c r="F1442" s="7" t="n"/>
      <c r="G1442" s="40" t="n"/>
      <c r="H1442" s="39" t="n"/>
      <c r="I1442" s="39" t="n"/>
    </row>
    <row r="1443">
      <c r="A1443" s="7" t="n"/>
      <c r="B1443" s="7" t="n"/>
      <c r="C1443" s="7" t="n"/>
      <c r="D1443" s="39" t="n"/>
      <c r="E1443" s="39" t="n"/>
      <c r="F1443" s="7" t="n"/>
      <c r="G1443" s="40" t="n"/>
      <c r="H1443" s="39" t="n"/>
      <c r="I1443" s="39" t="n"/>
    </row>
    <row r="1444">
      <c r="A1444" s="7" t="n"/>
      <c r="B1444" s="7" t="n"/>
      <c r="C1444" s="7" t="n"/>
      <c r="D1444" s="39" t="n"/>
      <c r="E1444" s="39" t="n"/>
      <c r="F1444" s="7" t="n"/>
      <c r="G1444" s="40" t="n"/>
      <c r="H1444" s="39" t="n"/>
      <c r="I1444" s="39" t="n"/>
    </row>
    <row r="1445">
      <c r="A1445" s="7" t="n"/>
      <c r="B1445" s="7" t="n"/>
      <c r="C1445" s="7" t="n"/>
      <c r="D1445" s="39" t="n"/>
      <c r="E1445" s="39" t="n"/>
      <c r="F1445" s="7" t="n"/>
      <c r="G1445" s="40" t="n"/>
      <c r="H1445" s="39" t="n"/>
      <c r="I1445" s="39" t="n"/>
    </row>
    <row r="1446">
      <c r="A1446" s="7" t="n"/>
      <c r="B1446" s="7" t="n"/>
      <c r="C1446" s="7" t="n"/>
      <c r="D1446" s="39" t="n"/>
      <c r="E1446" s="39" t="n"/>
      <c r="F1446" s="7" t="n"/>
      <c r="G1446" s="40" t="n"/>
      <c r="H1446" s="39" t="n"/>
      <c r="I1446" s="39" t="n"/>
    </row>
    <row r="1447">
      <c r="A1447" s="7" t="n"/>
      <c r="B1447" s="7" t="n"/>
      <c r="C1447" s="7" t="n"/>
      <c r="D1447" s="39" t="n"/>
      <c r="E1447" s="39" t="n"/>
      <c r="F1447" s="7" t="n"/>
      <c r="G1447" s="40" t="n"/>
      <c r="H1447" s="39" t="n"/>
      <c r="I1447" s="39" t="n"/>
    </row>
    <row r="1448">
      <c r="A1448" s="7" t="n"/>
      <c r="B1448" s="7" t="n"/>
      <c r="C1448" s="7" t="n"/>
      <c r="D1448" s="39" t="n"/>
      <c r="E1448" s="39" t="n"/>
      <c r="F1448" s="7" t="n"/>
      <c r="G1448" s="40" t="n"/>
      <c r="H1448" s="39" t="n"/>
      <c r="I1448" s="39" t="n"/>
    </row>
    <row r="1449">
      <c r="A1449" s="7" t="n"/>
      <c r="B1449" s="7" t="n"/>
      <c r="C1449" s="7" t="n"/>
      <c r="D1449" s="39" t="n"/>
      <c r="E1449" s="39" t="n"/>
      <c r="F1449" s="7" t="n"/>
      <c r="G1449" s="40" t="n"/>
      <c r="H1449" s="39" t="n"/>
      <c r="I1449" s="39" t="n"/>
    </row>
    <row r="1450">
      <c r="A1450" s="7" t="n"/>
      <c r="B1450" s="7" t="n"/>
      <c r="C1450" s="7" t="n"/>
      <c r="D1450" s="39" t="n"/>
      <c r="E1450" s="39" t="n"/>
      <c r="F1450" s="7" t="n"/>
      <c r="G1450" s="40" t="n"/>
      <c r="H1450" s="39" t="n"/>
      <c r="I1450" s="39" t="n"/>
    </row>
    <row r="1451">
      <c r="A1451" s="7" t="n"/>
      <c r="B1451" s="7" t="n"/>
      <c r="C1451" s="7" t="n"/>
      <c r="D1451" s="39" t="n"/>
      <c r="E1451" s="39" t="n"/>
      <c r="F1451" s="7" t="n"/>
      <c r="G1451" s="40" t="n"/>
      <c r="H1451" s="39" t="n"/>
      <c r="I1451" s="39" t="n"/>
    </row>
    <row r="1452">
      <c r="A1452" s="7" t="n"/>
      <c r="B1452" s="7" t="n"/>
      <c r="C1452" s="7" t="n"/>
      <c r="D1452" s="39" t="n"/>
      <c r="E1452" s="39" t="n"/>
      <c r="F1452" s="7" t="n"/>
      <c r="G1452" s="40" t="n"/>
      <c r="H1452" s="39" t="n"/>
      <c r="I1452" s="39" t="n"/>
    </row>
    <row r="1453">
      <c r="A1453" s="7" t="n"/>
      <c r="B1453" s="7" t="n"/>
      <c r="C1453" s="7" t="n"/>
      <c r="D1453" s="39" t="n"/>
      <c r="E1453" s="39" t="n"/>
      <c r="F1453" s="7" t="n"/>
      <c r="G1453" s="40" t="n"/>
      <c r="H1453" s="39" t="n"/>
      <c r="I1453" s="39" t="n"/>
    </row>
    <row r="1454">
      <c r="A1454" s="7" t="n"/>
      <c r="B1454" s="7" t="n"/>
      <c r="C1454" s="7" t="n"/>
      <c r="D1454" s="39" t="n"/>
      <c r="E1454" s="39" t="n"/>
      <c r="F1454" s="7" t="n"/>
      <c r="G1454" s="40" t="n"/>
      <c r="H1454" s="39" t="n"/>
      <c r="I1454" s="39" t="n"/>
    </row>
    <row r="1455">
      <c r="A1455" s="7" t="n"/>
      <c r="B1455" s="7" t="n"/>
      <c r="C1455" s="7" t="n"/>
      <c r="D1455" s="39" t="n"/>
      <c r="E1455" s="39" t="n"/>
      <c r="F1455" s="7" t="n"/>
      <c r="G1455" s="40" t="n"/>
      <c r="H1455" s="39" t="n"/>
      <c r="I1455" s="39" t="n"/>
    </row>
    <row r="1456">
      <c r="A1456" s="7" t="n"/>
      <c r="B1456" s="7" t="n"/>
      <c r="C1456" s="7" t="n"/>
      <c r="D1456" s="39" t="n"/>
      <c r="E1456" s="39" t="n"/>
      <c r="F1456" s="7" t="n"/>
      <c r="G1456" s="40" t="n"/>
      <c r="H1456" s="39" t="n"/>
      <c r="I1456" s="39" t="n"/>
    </row>
    <row r="1457">
      <c r="A1457" s="7" t="n"/>
      <c r="B1457" s="7" t="n"/>
      <c r="C1457" s="7" t="n"/>
      <c r="D1457" s="39" t="n"/>
      <c r="E1457" s="39" t="n"/>
      <c r="F1457" s="7" t="n"/>
      <c r="G1457" s="40" t="n"/>
      <c r="H1457" s="39" t="n"/>
      <c r="I1457" s="39" t="n"/>
    </row>
    <row r="1458">
      <c r="A1458" s="7" t="n"/>
      <c r="B1458" s="7" t="n"/>
      <c r="C1458" s="7" t="n"/>
      <c r="D1458" s="39" t="n"/>
      <c r="E1458" s="39" t="n"/>
      <c r="F1458" s="7" t="n"/>
      <c r="G1458" s="40" t="n"/>
      <c r="H1458" s="39" t="n"/>
      <c r="I1458" s="39" t="n"/>
    </row>
    <row r="1459">
      <c r="A1459" s="7" t="n"/>
      <c r="B1459" s="7" t="n"/>
      <c r="C1459" s="7" t="n"/>
      <c r="D1459" s="39" t="n"/>
      <c r="E1459" s="39" t="n"/>
      <c r="F1459" s="7" t="n"/>
      <c r="G1459" s="40" t="n"/>
      <c r="H1459" s="39" t="n"/>
      <c r="I1459" s="39" t="n"/>
    </row>
    <row r="1460">
      <c r="A1460" s="7" t="n"/>
      <c r="B1460" s="7" t="n"/>
      <c r="C1460" s="7" t="n"/>
      <c r="D1460" s="39" t="n"/>
      <c r="E1460" s="39" t="n"/>
      <c r="F1460" s="7" t="n"/>
      <c r="G1460" s="40" t="n"/>
      <c r="H1460" s="39" t="n"/>
      <c r="I1460" s="39" t="n"/>
    </row>
    <row r="1461">
      <c r="A1461" s="7" t="n"/>
      <c r="B1461" s="7" t="n"/>
      <c r="C1461" s="7" t="n"/>
      <c r="D1461" s="39" t="n"/>
      <c r="E1461" s="39" t="n"/>
      <c r="F1461" s="7" t="n"/>
      <c r="G1461" s="40" t="n"/>
      <c r="H1461" s="39" t="n"/>
      <c r="I1461" s="39" t="n"/>
    </row>
    <row r="1462">
      <c r="A1462" s="7" t="n"/>
      <c r="B1462" s="7" t="n"/>
      <c r="C1462" s="7" t="n"/>
      <c r="D1462" s="39" t="n"/>
      <c r="E1462" s="39" t="n"/>
      <c r="F1462" s="7" t="n"/>
      <c r="G1462" s="40" t="n"/>
      <c r="H1462" s="39" t="n"/>
      <c r="I1462" s="39" t="n"/>
    </row>
    <row r="1463">
      <c r="A1463" s="7" t="n"/>
      <c r="B1463" s="7" t="n"/>
      <c r="C1463" s="7" t="n"/>
      <c r="D1463" s="39" t="n"/>
      <c r="E1463" s="39" t="n"/>
      <c r="F1463" s="7" t="n"/>
      <c r="G1463" s="40" t="n"/>
      <c r="H1463" s="39" t="n"/>
      <c r="I1463" s="39" t="n"/>
    </row>
    <row r="1464">
      <c r="A1464" s="7" t="n"/>
      <c r="B1464" s="7" t="n"/>
      <c r="C1464" s="7" t="n"/>
      <c r="D1464" s="39" t="n"/>
      <c r="E1464" s="39" t="n"/>
      <c r="F1464" s="7" t="n"/>
      <c r="G1464" s="40" t="n"/>
      <c r="H1464" s="39" t="n"/>
      <c r="I1464" s="39" t="n"/>
    </row>
    <row r="1465">
      <c r="A1465" s="7" t="n"/>
      <c r="B1465" s="7" t="n"/>
      <c r="C1465" s="7" t="n"/>
      <c r="D1465" s="39" t="n"/>
      <c r="E1465" s="39" t="n"/>
      <c r="F1465" s="7" t="n"/>
      <c r="G1465" s="40" t="n"/>
      <c r="H1465" s="39" t="n"/>
      <c r="I1465" s="39" t="n"/>
    </row>
    <row r="1466">
      <c r="A1466" s="7" t="n"/>
      <c r="B1466" s="7" t="n"/>
      <c r="C1466" s="7" t="n"/>
      <c r="D1466" s="39" t="n"/>
      <c r="E1466" s="39" t="n"/>
      <c r="F1466" s="7" t="n"/>
      <c r="G1466" s="40" t="n"/>
      <c r="H1466" s="39" t="n"/>
      <c r="I1466" s="39" t="n"/>
    </row>
    <row r="1467">
      <c r="A1467" s="7" t="n"/>
      <c r="B1467" s="7" t="n"/>
      <c r="C1467" s="7" t="n"/>
      <c r="D1467" s="39" t="n"/>
      <c r="E1467" s="39" t="n"/>
      <c r="F1467" s="7" t="n"/>
      <c r="G1467" s="40" t="n"/>
      <c r="H1467" s="39" t="n"/>
      <c r="I1467" s="39" t="n"/>
    </row>
    <row r="1468">
      <c r="A1468" s="7" t="n"/>
      <c r="B1468" s="7" t="n"/>
      <c r="C1468" s="7" t="n"/>
      <c r="D1468" s="39" t="n"/>
      <c r="E1468" s="39" t="n"/>
      <c r="F1468" s="7" t="n"/>
      <c r="G1468" s="40" t="n"/>
      <c r="H1468" s="39" t="n"/>
      <c r="I1468" s="39" t="n"/>
    </row>
    <row r="1469">
      <c r="A1469" s="7" t="n"/>
      <c r="B1469" s="7" t="n"/>
      <c r="C1469" s="7" t="n"/>
      <c r="D1469" s="39" t="n"/>
      <c r="E1469" s="39" t="n"/>
      <c r="F1469" s="7" t="n"/>
      <c r="G1469" s="40" t="n"/>
      <c r="H1469" s="39" t="n"/>
      <c r="I1469" s="39" t="n"/>
    </row>
    <row r="1470">
      <c r="A1470" s="7" t="n"/>
      <c r="B1470" s="7" t="n"/>
      <c r="C1470" s="7" t="n"/>
      <c r="D1470" s="39" t="n"/>
      <c r="E1470" s="39" t="n"/>
      <c r="F1470" s="7" t="n"/>
      <c r="G1470" s="40" t="n"/>
      <c r="H1470" s="39" t="n"/>
      <c r="I1470" s="39" t="n"/>
    </row>
    <row r="1471">
      <c r="A1471" s="7" t="n"/>
      <c r="B1471" s="7" t="n"/>
      <c r="C1471" s="7" t="n"/>
      <c r="D1471" s="39" t="n"/>
      <c r="E1471" s="39" t="n"/>
      <c r="F1471" s="7" t="n"/>
      <c r="G1471" s="40" t="n"/>
      <c r="H1471" s="39" t="n"/>
      <c r="I1471" s="39" t="n"/>
    </row>
    <row r="1472">
      <c r="A1472" s="7" t="n"/>
      <c r="B1472" s="7" t="n"/>
      <c r="C1472" s="7" t="n"/>
      <c r="D1472" s="39" t="n"/>
      <c r="E1472" s="39" t="n"/>
      <c r="F1472" s="7" t="n"/>
      <c r="G1472" s="40" t="n"/>
      <c r="H1472" s="39" t="n"/>
      <c r="I1472" s="39" t="n"/>
    </row>
    <row r="1473">
      <c r="A1473" s="7" t="n"/>
      <c r="B1473" s="7" t="n"/>
      <c r="C1473" s="7" t="n"/>
      <c r="D1473" s="39" t="n"/>
      <c r="E1473" s="39" t="n"/>
      <c r="F1473" s="7" t="n"/>
      <c r="G1473" s="40" t="n"/>
      <c r="H1473" s="39" t="n"/>
      <c r="I1473" s="39" t="n"/>
    </row>
    <row r="1474">
      <c r="A1474" s="7" t="n"/>
      <c r="B1474" s="7" t="n"/>
      <c r="C1474" s="7" t="n"/>
      <c r="D1474" s="39" t="n"/>
      <c r="E1474" s="39" t="n"/>
      <c r="F1474" s="7" t="n"/>
      <c r="G1474" s="40" t="n"/>
      <c r="H1474" s="39" t="n"/>
      <c r="I1474" s="39" t="n"/>
    </row>
    <row r="1475">
      <c r="A1475" s="7" t="n"/>
      <c r="B1475" s="7" t="n"/>
      <c r="C1475" s="7" t="n"/>
      <c r="D1475" s="39" t="n"/>
      <c r="E1475" s="39" t="n"/>
      <c r="F1475" s="7" t="n"/>
      <c r="G1475" s="40" t="n"/>
      <c r="H1475" s="39" t="n"/>
      <c r="I1475" s="39" t="n"/>
    </row>
    <row r="1476">
      <c r="A1476" s="7" t="n"/>
      <c r="B1476" s="7" t="n"/>
      <c r="C1476" s="7" t="n"/>
      <c r="D1476" s="39" t="n"/>
      <c r="E1476" s="39" t="n"/>
      <c r="F1476" s="7" t="n"/>
      <c r="G1476" s="40" t="n"/>
      <c r="H1476" s="39" t="n"/>
      <c r="I1476" s="39" t="n"/>
    </row>
    <row r="1477">
      <c r="A1477" s="7" t="n"/>
      <c r="B1477" s="7" t="n"/>
      <c r="C1477" s="7" t="n"/>
      <c r="D1477" s="39" t="n"/>
      <c r="E1477" s="39" t="n"/>
      <c r="F1477" s="7" t="n"/>
      <c r="G1477" s="40" t="n"/>
      <c r="H1477" s="39" t="n"/>
      <c r="I1477" s="39" t="n"/>
    </row>
    <row r="1478">
      <c r="A1478" s="7" t="n"/>
      <c r="B1478" s="7" t="n"/>
      <c r="C1478" s="7" t="n"/>
      <c r="D1478" s="39" t="n"/>
      <c r="E1478" s="39" t="n"/>
      <c r="F1478" s="7" t="n"/>
      <c r="G1478" s="40" t="n"/>
      <c r="H1478" s="39" t="n"/>
      <c r="I1478" s="39" t="n"/>
    </row>
    <row r="1479">
      <c r="A1479" s="7" t="n"/>
      <c r="B1479" s="7" t="n"/>
      <c r="C1479" s="7" t="n"/>
      <c r="D1479" s="39" t="n"/>
      <c r="E1479" s="39" t="n"/>
      <c r="F1479" s="7" t="n"/>
      <c r="G1479" s="40" t="n"/>
      <c r="H1479" s="39" t="n"/>
      <c r="I1479" s="39" t="n"/>
    </row>
    <row r="1480">
      <c r="A1480" s="7" t="n"/>
      <c r="B1480" s="7" t="n"/>
      <c r="C1480" s="7" t="n"/>
      <c r="D1480" s="39" t="n"/>
      <c r="E1480" s="39" t="n"/>
      <c r="F1480" s="7" t="n"/>
      <c r="G1480" s="40" t="n"/>
      <c r="H1480" s="39" t="n"/>
      <c r="I1480" s="39" t="n"/>
    </row>
    <row r="1481">
      <c r="A1481" s="7" t="n"/>
      <c r="B1481" s="7" t="n"/>
      <c r="C1481" s="7" t="n"/>
      <c r="D1481" s="39" t="n"/>
      <c r="E1481" s="39" t="n"/>
      <c r="F1481" s="7" t="n"/>
      <c r="G1481" s="40" t="n"/>
      <c r="H1481" s="39" t="n"/>
      <c r="I1481" s="39" t="n"/>
    </row>
    <row r="1482">
      <c r="A1482" s="7" t="n"/>
      <c r="B1482" s="7" t="n"/>
      <c r="C1482" s="7" t="n"/>
      <c r="D1482" s="39" t="n"/>
      <c r="E1482" s="39" t="n"/>
      <c r="F1482" s="7" t="n"/>
      <c r="G1482" s="40" t="n"/>
      <c r="H1482" s="39" t="n"/>
      <c r="I1482" s="39" t="n"/>
    </row>
    <row r="1483">
      <c r="A1483" s="7" t="n"/>
      <c r="B1483" s="7" t="n"/>
      <c r="C1483" s="7" t="n"/>
      <c r="D1483" s="39" t="n"/>
      <c r="E1483" s="39" t="n"/>
      <c r="F1483" s="7" t="n"/>
      <c r="G1483" s="40" t="n"/>
      <c r="H1483" s="39" t="n"/>
      <c r="I1483" s="39" t="n"/>
    </row>
    <row r="1484">
      <c r="A1484" s="7" t="n"/>
      <c r="B1484" s="7" t="n"/>
      <c r="C1484" s="7" t="n"/>
      <c r="D1484" s="39" t="n"/>
      <c r="E1484" s="39" t="n"/>
      <c r="F1484" s="7" t="n"/>
      <c r="G1484" s="40" t="n"/>
      <c r="H1484" s="39" t="n"/>
      <c r="I1484" s="39" t="n"/>
    </row>
    <row r="1485">
      <c r="A1485" s="7" t="n"/>
      <c r="B1485" s="7" t="n"/>
      <c r="C1485" s="7" t="n"/>
      <c r="D1485" s="39" t="n"/>
      <c r="E1485" s="39" t="n"/>
      <c r="F1485" s="7" t="n"/>
      <c r="G1485" s="40" t="n"/>
      <c r="H1485" s="39" t="n"/>
      <c r="I1485" s="39" t="n"/>
    </row>
    <row r="1486">
      <c r="A1486" s="7" t="n"/>
      <c r="B1486" s="7" t="n"/>
      <c r="C1486" s="7" t="n"/>
      <c r="D1486" s="39" t="n"/>
      <c r="E1486" s="39" t="n"/>
      <c r="F1486" s="7" t="n"/>
      <c r="G1486" s="40" t="n"/>
      <c r="H1486" s="39" t="n"/>
      <c r="I1486" s="39" t="n"/>
    </row>
    <row r="1487">
      <c r="A1487" s="7" t="n"/>
      <c r="B1487" s="7" t="n"/>
      <c r="C1487" s="7" t="n"/>
      <c r="D1487" s="39" t="n"/>
      <c r="E1487" s="39" t="n"/>
      <c r="F1487" s="7" t="n"/>
      <c r="G1487" s="40" t="n"/>
      <c r="H1487" s="39" t="n"/>
      <c r="I1487" s="39" t="n"/>
    </row>
    <row r="1488">
      <c r="A1488" s="7" t="n"/>
      <c r="B1488" s="7" t="n"/>
      <c r="C1488" s="7" t="n"/>
      <c r="D1488" s="39" t="n"/>
      <c r="E1488" s="39" t="n"/>
      <c r="F1488" s="7" t="n"/>
      <c r="G1488" s="40" t="n"/>
      <c r="H1488" s="39" t="n"/>
      <c r="I1488" s="39" t="n"/>
    </row>
    <row r="1489">
      <c r="A1489" s="7" t="n"/>
      <c r="B1489" s="7" t="n"/>
      <c r="C1489" s="7" t="n"/>
      <c r="D1489" s="39" t="n"/>
      <c r="E1489" s="39" t="n"/>
      <c r="F1489" s="7" t="n"/>
      <c r="G1489" s="40" t="n"/>
      <c r="H1489" s="39" t="n"/>
      <c r="I1489" s="39" t="n"/>
    </row>
    <row r="1490">
      <c r="A1490" s="7" t="n"/>
      <c r="B1490" s="7" t="n"/>
      <c r="C1490" s="7" t="n"/>
      <c r="D1490" s="39" t="n"/>
      <c r="E1490" s="39" t="n"/>
      <c r="F1490" s="7" t="n"/>
      <c r="G1490" s="40" t="n"/>
      <c r="H1490" s="39" t="n"/>
      <c r="I1490" s="39" t="n"/>
    </row>
    <row r="1491">
      <c r="A1491" s="7" t="n"/>
      <c r="B1491" s="7" t="n"/>
      <c r="C1491" s="7" t="n"/>
      <c r="D1491" s="39" t="n"/>
      <c r="E1491" s="39" t="n"/>
      <c r="F1491" s="7" t="n"/>
      <c r="G1491" s="40" t="n"/>
      <c r="H1491" s="39" t="n"/>
      <c r="I1491" s="39" t="n"/>
    </row>
    <row r="1492">
      <c r="A1492" s="7" t="n"/>
      <c r="B1492" s="7" t="n"/>
      <c r="C1492" s="7" t="n"/>
      <c r="D1492" s="39" t="n"/>
      <c r="E1492" s="39" t="n"/>
      <c r="F1492" s="7" t="n"/>
      <c r="G1492" s="40" t="n"/>
      <c r="H1492" s="39" t="n"/>
      <c r="I1492" s="39" t="n"/>
    </row>
    <row r="1493">
      <c r="A1493" s="7" t="n"/>
      <c r="B1493" s="7" t="n"/>
      <c r="C1493" s="7" t="n"/>
      <c r="D1493" s="39" t="n"/>
      <c r="E1493" s="39" t="n"/>
      <c r="F1493" s="7" t="n"/>
      <c r="G1493" s="40" t="n"/>
      <c r="H1493" s="39" t="n"/>
      <c r="I1493" s="39" t="n"/>
    </row>
    <row r="1494">
      <c r="A1494" s="7" t="n"/>
      <c r="B1494" s="7" t="n"/>
      <c r="C1494" s="7" t="n"/>
      <c r="D1494" s="39" t="n"/>
      <c r="E1494" s="39" t="n"/>
      <c r="F1494" s="7" t="n"/>
      <c r="G1494" s="40" t="n"/>
      <c r="H1494" s="39" t="n"/>
      <c r="I1494" s="39" t="n"/>
    </row>
    <row r="1495">
      <c r="A1495" s="7" t="n"/>
      <c r="B1495" s="7" t="n"/>
      <c r="C1495" s="7" t="n"/>
      <c r="D1495" s="39" t="n"/>
      <c r="E1495" s="39" t="n"/>
      <c r="F1495" s="7" t="n"/>
      <c r="G1495" s="40" t="n"/>
      <c r="H1495" s="39" t="n"/>
      <c r="I1495" s="39" t="n"/>
    </row>
    <row r="1496">
      <c r="A1496" s="7" t="n"/>
      <c r="B1496" s="7" t="n"/>
      <c r="C1496" s="7" t="n"/>
      <c r="D1496" s="39" t="n"/>
      <c r="E1496" s="39" t="n"/>
      <c r="F1496" s="7" t="n"/>
      <c r="G1496" s="40" t="n"/>
      <c r="H1496" s="39" t="n"/>
      <c r="I1496" s="39" t="n"/>
    </row>
    <row r="1497">
      <c r="A1497" s="7" t="n"/>
      <c r="B1497" s="7" t="n"/>
      <c r="C1497" s="7" t="n"/>
      <c r="D1497" s="39" t="n"/>
      <c r="E1497" s="39" t="n"/>
      <c r="F1497" s="7" t="n"/>
      <c r="G1497" s="40" t="n"/>
      <c r="H1497" s="39" t="n"/>
      <c r="I1497" s="39" t="n"/>
    </row>
    <row r="1498">
      <c r="A1498" s="7" t="n"/>
      <c r="B1498" s="7" t="n"/>
      <c r="C1498" s="7" t="n"/>
      <c r="D1498" s="39" t="n"/>
      <c r="E1498" s="39" t="n"/>
      <c r="F1498" s="7" t="n"/>
      <c r="G1498" s="40" t="n"/>
      <c r="H1498" s="39" t="n"/>
      <c r="I1498" s="39" t="n"/>
    </row>
    <row r="1499">
      <c r="A1499" s="7" t="n"/>
      <c r="B1499" s="7" t="n"/>
      <c r="C1499" s="7" t="n"/>
      <c r="D1499" s="39" t="n"/>
      <c r="E1499" s="39" t="n"/>
      <c r="F1499" s="7" t="n"/>
      <c r="G1499" s="40" t="n"/>
      <c r="H1499" s="39" t="n"/>
      <c r="I1499" s="39" t="n"/>
    </row>
    <row r="1500">
      <c r="A1500" s="7" t="n"/>
      <c r="B1500" s="7" t="n"/>
      <c r="C1500" s="7" t="n"/>
      <c r="D1500" s="39" t="n"/>
      <c r="E1500" s="39" t="n"/>
      <c r="F1500" s="7" t="n"/>
      <c r="G1500" s="40" t="n"/>
      <c r="H1500" s="39" t="n"/>
      <c r="I1500" s="39" t="n"/>
    </row>
    <row r="1501">
      <c r="A1501" s="7" t="n"/>
      <c r="B1501" s="7" t="n"/>
      <c r="C1501" s="7" t="n"/>
      <c r="D1501" s="39" t="n"/>
      <c r="E1501" s="39" t="n"/>
      <c r="F1501" s="7" t="n"/>
      <c r="G1501" s="40" t="n"/>
      <c r="H1501" s="39" t="n"/>
      <c r="I1501" s="39" t="n"/>
    </row>
    <row r="1502">
      <c r="A1502" s="7" t="n"/>
      <c r="B1502" s="7" t="n"/>
      <c r="C1502" s="7" t="n"/>
      <c r="D1502" s="39" t="n"/>
      <c r="E1502" s="39" t="n"/>
      <c r="F1502" s="7" t="n"/>
      <c r="G1502" s="40" t="n"/>
      <c r="H1502" s="39" t="n"/>
      <c r="I1502" s="39" t="n"/>
    </row>
    <row r="1503">
      <c r="A1503" s="7" t="n"/>
      <c r="B1503" s="7" t="n"/>
      <c r="C1503" s="7" t="n"/>
      <c r="D1503" s="39" t="n"/>
      <c r="E1503" s="39" t="n"/>
      <c r="F1503" s="7" t="n"/>
      <c r="G1503" s="40" t="n"/>
      <c r="H1503" s="39" t="n"/>
      <c r="I1503" s="39" t="n"/>
    </row>
    <row r="1504">
      <c r="A1504" s="7" t="n"/>
      <c r="B1504" s="7" t="n"/>
      <c r="C1504" s="7" t="n"/>
      <c r="D1504" s="39" t="n"/>
      <c r="E1504" s="39" t="n"/>
      <c r="F1504" s="7" t="n"/>
      <c r="G1504" s="40" t="n"/>
      <c r="H1504" s="39" t="n"/>
      <c r="I1504" s="39" t="n"/>
    </row>
    <row r="1505">
      <c r="A1505" s="7" t="n"/>
      <c r="B1505" s="7" t="n"/>
      <c r="C1505" s="7" t="n"/>
      <c r="D1505" s="39" t="n"/>
      <c r="E1505" s="39" t="n"/>
      <c r="F1505" s="7" t="n"/>
      <c r="G1505" s="40" t="n"/>
      <c r="H1505" s="39" t="n"/>
      <c r="I1505" s="39" t="n"/>
    </row>
    <row r="1506">
      <c r="A1506" s="7" t="n"/>
      <c r="B1506" s="7" t="n"/>
      <c r="C1506" s="7" t="n"/>
      <c r="D1506" s="39" t="n"/>
      <c r="E1506" s="39" t="n"/>
      <c r="F1506" s="7" t="n"/>
      <c r="G1506" s="40" t="n"/>
      <c r="H1506" s="39" t="n"/>
      <c r="I1506" s="39" t="n"/>
    </row>
    <row r="1507">
      <c r="A1507" s="7" t="n"/>
      <c r="B1507" s="7" t="n"/>
      <c r="C1507" s="7" t="n"/>
      <c r="D1507" s="39" t="n"/>
      <c r="E1507" s="39" t="n"/>
      <c r="F1507" s="7" t="n"/>
      <c r="G1507" s="40" t="n"/>
      <c r="H1507" s="39" t="n"/>
      <c r="I1507" s="39" t="n"/>
    </row>
    <row r="1508">
      <c r="A1508" s="7" t="n"/>
      <c r="B1508" s="7" t="n"/>
      <c r="C1508" s="7" t="n"/>
      <c r="D1508" s="39" t="n"/>
      <c r="E1508" s="39" t="n"/>
      <c r="F1508" s="7" t="n"/>
      <c r="G1508" s="40" t="n"/>
      <c r="H1508" s="39" t="n"/>
      <c r="I1508" s="39" t="n"/>
    </row>
    <row r="1509">
      <c r="A1509" s="7" t="n"/>
      <c r="B1509" s="7" t="n"/>
      <c r="C1509" s="7" t="n"/>
      <c r="D1509" s="39" t="n"/>
      <c r="E1509" s="39" t="n"/>
      <c r="F1509" s="7" t="n"/>
      <c r="G1509" s="40" t="n"/>
      <c r="H1509" s="39" t="n"/>
      <c r="I1509" s="39" t="n"/>
    </row>
    <row r="1510">
      <c r="A1510" s="7" t="n"/>
      <c r="B1510" s="7" t="n"/>
      <c r="C1510" s="7" t="n"/>
      <c r="D1510" s="39" t="n"/>
      <c r="E1510" s="39" t="n"/>
      <c r="F1510" s="7" t="n"/>
      <c r="G1510" s="40" t="n"/>
      <c r="H1510" s="39" t="n"/>
      <c r="I1510" s="39" t="n"/>
    </row>
    <row r="1511">
      <c r="A1511" s="7" t="n"/>
      <c r="B1511" s="7" t="n"/>
      <c r="C1511" s="7" t="n"/>
      <c r="D1511" s="39" t="n"/>
      <c r="E1511" s="39" t="n"/>
      <c r="F1511" s="7" t="n"/>
      <c r="G1511" s="40" t="n"/>
      <c r="H1511" s="39" t="n"/>
      <c r="I1511" s="39" t="n"/>
    </row>
    <row r="1512">
      <c r="A1512" s="7" t="n"/>
      <c r="B1512" s="7" t="n"/>
      <c r="C1512" s="7" t="n"/>
      <c r="D1512" s="39" t="n"/>
      <c r="E1512" s="39" t="n"/>
      <c r="F1512" s="7" t="n"/>
      <c r="G1512" s="40" t="n"/>
      <c r="H1512" s="39" t="n"/>
      <c r="I1512" s="39" t="n"/>
    </row>
    <row r="1513">
      <c r="A1513" s="7" t="n"/>
      <c r="B1513" s="7" t="n"/>
      <c r="C1513" s="7" t="n"/>
      <c r="D1513" s="39" t="n"/>
      <c r="E1513" s="39" t="n"/>
      <c r="F1513" s="7" t="n"/>
      <c r="G1513" s="40" t="n"/>
      <c r="H1513" s="39" t="n"/>
      <c r="I1513" s="39" t="n"/>
    </row>
    <row r="1514">
      <c r="A1514" s="7" t="n"/>
      <c r="B1514" s="7" t="n"/>
      <c r="C1514" s="7" t="n"/>
      <c r="D1514" s="39" t="n"/>
      <c r="E1514" s="39" t="n"/>
      <c r="F1514" s="7" t="n"/>
      <c r="G1514" s="40" t="n"/>
      <c r="H1514" s="39" t="n"/>
      <c r="I1514" s="39" t="n"/>
    </row>
    <row r="1515">
      <c r="A1515" s="7" t="n"/>
      <c r="B1515" s="7" t="n"/>
      <c r="C1515" s="7" t="n"/>
      <c r="D1515" s="39" t="n"/>
      <c r="E1515" s="39" t="n"/>
      <c r="F1515" s="7" t="n"/>
      <c r="G1515" s="40" t="n"/>
      <c r="H1515" s="39" t="n"/>
      <c r="I1515" s="39" t="n"/>
    </row>
    <row r="1516">
      <c r="A1516" s="7" t="n"/>
      <c r="B1516" s="7" t="n"/>
      <c r="C1516" s="7" t="n"/>
      <c r="D1516" s="39" t="n"/>
      <c r="E1516" s="39" t="n"/>
      <c r="F1516" s="7" t="n"/>
      <c r="G1516" s="40" t="n"/>
      <c r="H1516" s="39" t="n"/>
      <c r="I1516" s="39" t="n"/>
    </row>
    <row r="1517">
      <c r="A1517" s="7" t="n"/>
      <c r="B1517" s="7" t="n"/>
      <c r="C1517" s="7" t="n"/>
      <c r="D1517" s="39" t="n"/>
      <c r="E1517" s="39" t="n"/>
      <c r="F1517" s="7" t="n"/>
      <c r="G1517" s="40" t="n"/>
      <c r="H1517" s="39" t="n"/>
      <c r="I1517" s="39" t="n"/>
    </row>
    <row r="1518">
      <c r="A1518" s="7" t="n"/>
      <c r="B1518" s="7" t="n"/>
      <c r="C1518" s="7" t="n"/>
      <c r="D1518" s="39" t="n"/>
      <c r="E1518" s="39" t="n"/>
      <c r="F1518" s="7" t="n"/>
      <c r="G1518" s="40" t="n"/>
      <c r="H1518" s="39" t="n"/>
      <c r="I1518" s="39" t="n"/>
    </row>
    <row r="1519">
      <c r="A1519" s="7" t="n"/>
      <c r="B1519" s="7" t="n"/>
      <c r="C1519" s="7" t="n"/>
      <c r="D1519" s="39" t="n"/>
      <c r="E1519" s="39" t="n"/>
      <c r="F1519" s="7" t="n"/>
      <c r="G1519" s="40" t="n"/>
      <c r="H1519" s="39" t="n"/>
      <c r="I1519" s="39" t="n"/>
    </row>
    <row r="1520">
      <c r="A1520" s="7" t="n"/>
      <c r="B1520" s="7" t="n"/>
      <c r="C1520" s="7" t="n"/>
      <c r="D1520" s="39" t="n"/>
      <c r="E1520" s="39" t="n"/>
      <c r="F1520" s="7" t="n"/>
      <c r="G1520" s="40" t="n"/>
      <c r="H1520" s="39" t="n"/>
      <c r="I1520" s="39" t="n"/>
    </row>
    <row r="1521">
      <c r="A1521" s="7" t="n"/>
      <c r="B1521" s="7" t="n"/>
      <c r="C1521" s="7" t="n"/>
      <c r="D1521" s="39" t="n"/>
      <c r="E1521" s="39" t="n"/>
      <c r="F1521" s="7" t="n"/>
      <c r="G1521" s="40" t="n"/>
      <c r="H1521" s="39" t="n"/>
      <c r="I1521" s="39" t="n"/>
    </row>
    <row r="1522">
      <c r="A1522" s="7" t="n"/>
      <c r="B1522" s="7" t="n"/>
      <c r="C1522" s="7" t="n"/>
      <c r="D1522" s="39" t="n"/>
      <c r="E1522" s="39" t="n"/>
      <c r="F1522" s="7" t="n"/>
      <c r="G1522" s="40" t="n"/>
      <c r="H1522" s="39" t="n"/>
      <c r="I1522" s="39" t="n"/>
    </row>
    <row r="1523">
      <c r="A1523" s="7" t="n"/>
      <c r="B1523" s="7" t="n"/>
      <c r="C1523" s="7" t="n"/>
      <c r="D1523" s="39" t="n"/>
      <c r="E1523" s="39" t="n"/>
      <c r="F1523" s="7" t="n"/>
      <c r="G1523" s="40" t="n"/>
      <c r="H1523" s="39" t="n"/>
      <c r="I1523" s="39" t="n"/>
    </row>
    <row r="1524">
      <c r="A1524" s="7" t="n"/>
      <c r="B1524" s="7" t="n"/>
      <c r="C1524" s="7" t="n"/>
      <c r="D1524" s="39" t="n"/>
      <c r="E1524" s="39" t="n"/>
      <c r="F1524" s="7" t="n"/>
      <c r="G1524" s="40" t="n"/>
      <c r="H1524" s="39" t="n"/>
      <c r="I1524" s="39" t="n"/>
    </row>
    <row r="1525">
      <c r="A1525" s="7" t="n"/>
      <c r="B1525" s="7" t="n"/>
      <c r="C1525" s="7" t="n"/>
      <c r="D1525" s="39" t="n"/>
      <c r="E1525" s="39" t="n"/>
      <c r="F1525" s="7" t="n"/>
      <c r="G1525" s="40" t="n"/>
      <c r="H1525" s="39" t="n"/>
      <c r="I1525" s="39" t="n"/>
    </row>
    <row r="1526">
      <c r="A1526" s="7" t="n"/>
      <c r="B1526" s="7" t="n"/>
      <c r="C1526" s="7" t="n"/>
      <c r="D1526" s="39" t="n"/>
      <c r="E1526" s="39" t="n"/>
      <c r="F1526" s="7" t="n"/>
      <c r="G1526" s="40" t="n"/>
      <c r="H1526" s="39" t="n"/>
      <c r="I1526" s="39" t="n"/>
    </row>
    <row r="1527">
      <c r="A1527" s="7" t="n"/>
      <c r="B1527" s="7" t="n"/>
      <c r="C1527" s="7" t="n"/>
      <c r="D1527" s="39" t="n"/>
      <c r="E1527" s="39" t="n"/>
      <c r="F1527" s="7" t="n"/>
      <c r="G1527" s="40" t="n"/>
      <c r="H1527" s="39" t="n"/>
      <c r="I1527" s="39" t="n"/>
    </row>
    <row r="1528">
      <c r="A1528" s="7" t="n"/>
      <c r="B1528" s="7" t="n"/>
      <c r="C1528" s="7" t="n"/>
      <c r="D1528" s="39" t="n"/>
      <c r="E1528" s="39" t="n"/>
      <c r="F1528" s="7" t="n"/>
      <c r="G1528" s="40" t="n"/>
      <c r="H1528" s="39" t="n"/>
      <c r="I1528" s="39" t="n"/>
    </row>
    <row r="1529">
      <c r="A1529" s="7" t="n"/>
      <c r="B1529" s="7" t="n"/>
      <c r="C1529" s="7" t="n"/>
      <c r="D1529" s="39" t="n"/>
      <c r="E1529" s="39" t="n"/>
      <c r="F1529" s="7" t="n"/>
      <c r="G1529" s="40" t="n"/>
      <c r="H1529" s="39" t="n"/>
      <c r="I1529" s="39" t="n"/>
    </row>
    <row r="1530">
      <c r="A1530" s="7" t="n"/>
      <c r="B1530" s="7" t="n"/>
      <c r="C1530" s="7" t="n"/>
      <c r="D1530" s="39" t="n"/>
      <c r="E1530" s="39" t="n"/>
      <c r="F1530" s="7" t="n"/>
      <c r="G1530" s="40" t="n"/>
      <c r="H1530" s="39" t="n"/>
      <c r="I1530" s="39" t="n"/>
    </row>
    <row r="1531">
      <c r="A1531" s="7" t="n"/>
      <c r="B1531" s="7" t="n"/>
      <c r="C1531" s="7" t="n"/>
      <c r="D1531" s="39" t="n"/>
      <c r="E1531" s="39" t="n"/>
      <c r="F1531" s="7" t="n"/>
      <c r="G1531" s="40" t="n"/>
      <c r="H1531" s="39" t="n"/>
      <c r="I1531" s="39" t="n"/>
    </row>
    <row r="1532">
      <c r="A1532" s="7" t="n"/>
      <c r="B1532" s="7" t="n"/>
      <c r="C1532" s="7" t="n"/>
      <c r="D1532" s="39" t="n"/>
      <c r="E1532" s="39" t="n"/>
      <c r="F1532" s="7" t="n"/>
      <c r="G1532" s="40" t="n"/>
      <c r="H1532" s="39" t="n"/>
      <c r="I1532" s="39" t="n"/>
    </row>
    <row r="1533">
      <c r="A1533" s="7" t="n"/>
      <c r="B1533" s="7" t="n"/>
      <c r="C1533" s="7" t="n"/>
      <c r="D1533" s="39" t="n"/>
      <c r="E1533" s="39" t="n"/>
      <c r="F1533" s="7" t="n"/>
      <c r="G1533" s="40" t="n"/>
      <c r="H1533" s="39" t="n"/>
      <c r="I1533" s="39" t="n"/>
    </row>
    <row r="1534">
      <c r="A1534" s="7" t="n"/>
      <c r="B1534" s="7" t="n"/>
      <c r="C1534" s="7" t="n"/>
      <c r="D1534" s="39" t="n"/>
      <c r="E1534" s="39" t="n"/>
      <c r="F1534" s="7" t="n"/>
      <c r="G1534" s="40" t="n"/>
      <c r="H1534" s="39" t="n"/>
      <c r="I1534" s="39" t="n"/>
    </row>
    <row r="1535">
      <c r="A1535" s="7" t="n"/>
      <c r="B1535" s="7" t="n"/>
      <c r="C1535" s="7" t="n"/>
      <c r="D1535" s="39" t="n"/>
      <c r="E1535" s="39" t="n"/>
      <c r="F1535" s="7" t="n"/>
      <c r="G1535" s="40" t="n"/>
      <c r="H1535" s="39" t="n"/>
      <c r="I1535" s="39" t="n"/>
    </row>
    <row r="1536">
      <c r="A1536" s="7" t="n"/>
      <c r="B1536" s="7" t="n"/>
      <c r="C1536" s="7" t="n"/>
      <c r="D1536" s="39" t="n"/>
      <c r="E1536" s="39" t="n"/>
      <c r="F1536" s="7" t="n"/>
      <c r="G1536" s="40" t="n"/>
      <c r="H1536" s="39" t="n"/>
      <c r="I1536" s="39" t="n"/>
    </row>
    <row r="1537">
      <c r="A1537" s="7" t="n"/>
      <c r="B1537" s="7" t="n"/>
      <c r="C1537" s="7" t="n"/>
      <c r="D1537" s="39" t="n"/>
      <c r="E1537" s="39" t="n"/>
      <c r="F1537" s="7" t="n"/>
      <c r="G1537" s="40" t="n"/>
      <c r="H1537" s="39" t="n"/>
      <c r="I1537" s="39" t="n"/>
    </row>
    <row r="1538">
      <c r="A1538" s="7" t="n"/>
      <c r="B1538" s="7" t="n"/>
      <c r="C1538" s="7" t="n"/>
      <c r="D1538" s="39" t="n"/>
      <c r="E1538" s="39" t="n"/>
      <c r="F1538" s="7" t="n"/>
      <c r="G1538" s="40" t="n"/>
      <c r="H1538" s="39" t="n"/>
      <c r="I1538" s="39" t="n"/>
    </row>
    <row r="1539">
      <c r="A1539" s="7" t="n"/>
      <c r="B1539" s="7" t="n"/>
      <c r="C1539" s="7" t="n"/>
      <c r="D1539" s="39" t="n"/>
      <c r="E1539" s="39" t="n"/>
      <c r="F1539" s="7" t="n"/>
      <c r="G1539" s="40" t="n"/>
      <c r="H1539" s="39" t="n"/>
      <c r="I1539" s="39" t="n"/>
    </row>
    <row r="1540">
      <c r="A1540" s="7" t="n"/>
      <c r="B1540" s="7" t="n"/>
      <c r="C1540" s="7" t="n"/>
      <c r="D1540" s="39" t="n"/>
      <c r="E1540" s="39" t="n"/>
      <c r="F1540" s="7" t="n"/>
      <c r="G1540" s="40" t="n"/>
      <c r="H1540" s="39" t="n"/>
      <c r="I1540" s="39" t="n"/>
    </row>
    <row r="1541">
      <c r="A1541" s="7" t="n"/>
      <c r="B1541" s="7" t="n"/>
      <c r="C1541" s="7" t="n"/>
      <c r="D1541" s="39" t="n"/>
      <c r="E1541" s="39" t="n"/>
      <c r="F1541" s="7" t="n"/>
      <c r="G1541" s="40" t="n"/>
      <c r="H1541" s="39" t="n"/>
      <c r="I1541" s="39" t="n"/>
    </row>
    <row r="1542">
      <c r="A1542" s="7" t="n"/>
      <c r="B1542" s="7" t="n"/>
      <c r="C1542" s="7" t="n"/>
      <c r="D1542" s="39" t="n"/>
      <c r="E1542" s="39" t="n"/>
      <c r="F1542" s="7" t="n"/>
      <c r="G1542" s="40" t="n"/>
      <c r="H1542" s="39" t="n"/>
      <c r="I1542" s="39" t="n"/>
    </row>
    <row r="1543">
      <c r="A1543" s="7" t="n"/>
      <c r="B1543" s="7" t="n"/>
      <c r="C1543" s="7" t="n"/>
      <c r="D1543" s="39" t="n"/>
      <c r="E1543" s="39" t="n"/>
      <c r="F1543" s="7" t="n"/>
      <c r="G1543" s="40" t="n"/>
      <c r="H1543" s="39" t="n"/>
      <c r="I1543" s="39" t="n"/>
    </row>
    <row r="1544">
      <c r="A1544" s="7" t="n"/>
      <c r="B1544" s="7" t="n"/>
      <c r="C1544" s="7" t="n"/>
      <c r="D1544" s="39" t="n"/>
      <c r="E1544" s="39" t="n"/>
      <c r="F1544" s="7" t="n"/>
      <c r="G1544" s="40" t="n"/>
      <c r="H1544" s="39" t="n"/>
      <c r="I1544" s="39" t="n"/>
    </row>
    <row r="1545">
      <c r="A1545" s="7" t="n"/>
      <c r="B1545" s="7" t="n"/>
      <c r="C1545" s="7" t="n"/>
      <c r="D1545" s="39" t="n"/>
      <c r="E1545" s="39" t="n"/>
      <c r="F1545" s="7" t="n"/>
      <c r="G1545" s="40" t="n"/>
      <c r="H1545" s="39" t="n"/>
      <c r="I1545" s="39" t="n"/>
    </row>
    <row r="1546">
      <c r="A1546" s="7" t="n"/>
      <c r="B1546" s="7" t="n"/>
      <c r="C1546" s="7" t="n"/>
      <c r="D1546" s="39" t="n"/>
      <c r="E1546" s="39" t="n"/>
      <c r="F1546" s="7" t="n"/>
      <c r="G1546" s="40" t="n"/>
      <c r="H1546" s="39" t="n"/>
      <c r="I1546" s="39" t="n"/>
    </row>
    <row r="1547">
      <c r="A1547" s="7" t="n"/>
      <c r="B1547" s="7" t="n"/>
      <c r="C1547" s="7" t="n"/>
      <c r="D1547" s="39" t="n"/>
      <c r="E1547" s="39" t="n"/>
      <c r="F1547" s="7" t="n"/>
      <c r="G1547" s="40" t="n"/>
      <c r="H1547" s="39" t="n"/>
      <c r="I1547" s="39" t="n"/>
    </row>
    <row r="1548">
      <c r="A1548" s="7" t="n"/>
      <c r="B1548" s="7" t="n"/>
      <c r="C1548" s="7" t="n"/>
      <c r="D1548" s="39" t="n"/>
      <c r="E1548" s="39" t="n"/>
      <c r="F1548" s="7" t="n"/>
      <c r="G1548" s="40" t="n"/>
      <c r="H1548" s="39" t="n"/>
      <c r="I1548" s="39" t="n"/>
    </row>
    <row r="1549">
      <c r="A1549" s="7" t="n"/>
      <c r="B1549" s="7" t="n"/>
      <c r="C1549" s="7" t="n"/>
      <c r="D1549" s="39" t="n"/>
      <c r="E1549" s="39" t="n"/>
      <c r="F1549" s="7" t="n"/>
      <c r="G1549" s="40" t="n"/>
      <c r="H1549" s="39" t="n"/>
      <c r="I1549" s="39" t="n"/>
    </row>
    <row r="1550">
      <c r="A1550" s="7" t="n"/>
      <c r="B1550" s="7" t="n"/>
      <c r="C1550" s="7" t="n"/>
      <c r="D1550" s="39" t="n"/>
      <c r="E1550" s="39" t="n"/>
      <c r="F1550" s="7" t="n"/>
      <c r="G1550" s="40" t="n"/>
      <c r="H1550" s="39" t="n"/>
      <c r="I1550" s="39" t="n"/>
    </row>
    <row r="1551">
      <c r="A1551" s="7" t="n"/>
      <c r="B1551" s="7" t="n"/>
      <c r="C1551" s="7" t="n"/>
      <c r="D1551" s="39" t="n"/>
      <c r="E1551" s="39" t="n"/>
      <c r="F1551" s="7" t="n"/>
      <c r="G1551" s="40" t="n"/>
      <c r="H1551" s="39" t="n"/>
      <c r="I1551" s="39" t="n"/>
    </row>
    <row r="1552">
      <c r="A1552" s="7" t="n"/>
      <c r="B1552" s="7" t="n"/>
      <c r="C1552" s="7" t="n"/>
      <c r="D1552" s="39" t="n"/>
      <c r="E1552" s="39" t="n"/>
      <c r="F1552" s="7" t="n"/>
      <c r="G1552" s="40" t="n"/>
      <c r="H1552" s="39" t="n"/>
      <c r="I1552" s="39" t="n"/>
    </row>
    <row r="1553">
      <c r="A1553" s="7" t="n"/>
      <c r="B1553" s="7" t="n"/>
      <c r="C1553" s="7" t="n"/>
      <c r="D1553" s="39" t="n"/>
      <c r="E1553" s="39" t="n"/>
      <c r="F1553" s="7" t="n"/>
      <c r="G1553" s="40" t="n"/>
      <c r="H1553" s="39" t="n"/>
      <c r="I1553" s="39" t="n"/>
    </row>
    <row r="1554">
      <c r="A1554" s="7" t="n"/>
      <c r="B1554" s="7" t="n"/>
      <c r="C1554" s="7" t="n"/>
      <c r="D1554" s="39" t="n"/>
      <c r="E1554" s="39" t="n"/>
      <c r="F1554" s="7" t="n"/>
      <c r="G1554" s="40" t="n"/>
      <c r="H1554" s="39" t="n"/>
      <c r="I1554" s="39" t="n"/>
    </row>
    <row r="1555">
      <c r="A1555" s="7" t="n"/>
      <c r="B1555" s="7" t="n"/>
      <c r="C1555" s="7" t="n"/>
      <c r="D1555" s="39" t="n"/>
      <c r="E1555" s="39" t="n"/>
      <c r="F1555" s="7" t="n"/>
      <c r="G1555" s="40" t="n"/>
      <c r="H1555" s="39" t="n"/>
      <c r="I1555" s="39" t="n"/>
    </row>
    <row r="1556">
      <c r="A1556" s="7" t="n"/>
      <c r="B1556" s="7" t="n"/>
      <c r="C1556" s="7" t="n"/>
      <c r="D1556" s="39" t="n"/>
      <c r="E1556" s="39" t="n"/>
      <c r="F1556" s="7" t="n"/>
      <c r="G1556" s="40" t="n"/>
      <c r="H1556" s="39" t="n"/>
      <c r="I1556" s="39" t="n"/>
    </row>
    <row r="1557">
      <c r="A1557" s="7" t="n"/>
      <c r="B1557" s="7" t="n"/>
      <c r="C1557" s="7" t="n"/>
      <c r="D1557" s="39" t="n"/>
      <c r="E1557" s="39" t="n"/>
      <c r="F1557" s="7" t="n"/>
      <c r="G1557" s="40" t="n"/>
      <c r="H1557" s="39" t="n"/>
      <c r="I1557" s="39" t="n"/>
    </row>
    <row r="1558">
      <c r="A1558" s="7" t="n"/>
      <c r="B1558" s="7" t="n"/>
      <c r="C1558" s="7" t="n"/>
      <c r="D1558" s="39" t="n"/>
      <c r="E1558" s="39" t="n"/>
      <c r="F1558" s="7" t="n"/>
      <c r="G1558" s="40" t="n"/>
      <c r="H1558" s="39" t="n"/>
      <c r="I1558" s="39" t="n"/>
    </row>
    <row r="1559">
      <c r="A1559" s="7" t="n"/>
      <c r="B1559" s="7" t="n"/>
      <c r="C1559" s="7" t="n"/>
      <c r="D1559" s="39" t="n"/>
      <c r="E1559" s="39" t="n"/>
      <c r="F1559" s="7" t="n"/>
      <c r="G1559" s="40" t="n"/>
      <c r="H1559" s="39" t="n"/>
      <c r="I1559" s="39" t="n"/>
    </row>
    <row r="1560">
      <c r="A1560" s="7" t="n"/>
      <c r="B1560" s="7" t="n"/>
      <c r="C1560" s="7" t="n"/>
      <c r="D1560" s="39" t="n"/>
      <c r="E1560" s="39" t="n"/>
      <c r="F1560" s="7" t="n"/>
      <c r="G1560" s="40" t="n"/>
      <c r="H1560" s="39" t="n"/>
      <c r="I1560" s="39" t="n"/>
    </row>
    <row r="1561">
      <c r="A1561" s="7" t="n"/>
      <c r="B1561" s="7" t="n"/>
      <c r="C1561" s="7" t="n"/>
      <c r="D1561" s="39" t="n"/>
      <c r="E1561" s="39" t="n"/>
      <c r="F1561" s="7" t="n"/>
      <c r="G1561" s="40" t="n"/>
      <c r="H1561" s="39" t="n"/>
      <c r="I1561" s="39" t="n"/>
    </row>
    <row r="1562">
      <c r="A1562" s="7" t="n"/>
      <c r="B1562" s="7" t="n"/>
      <c r="C1562" s="7" t="n"/>
      <c r="D1562" s="39" t="n"/>
      <c r="E1562" s="39" t="n"/>
      <c r="F1562" s="7" t="n"/>
      <c r="G1562" s="40" t="n"/>
      <c r="H1562" s="39" t="n"/>
      <c r="I1562" s="39" t="n"/>
    </row>
    <row r="1563">
      <c r="A1563" s="7" t="n"/>
      <c r="B1563" s="7" t="n"/>
      <c r="C1563" s="7" t="n"/>
      <c r="D1563" s="39" t="n"/>
      <c r="E1563" s="39" t="n"/>
      <c r="F1563" s="7" t="n"/>
      <c r="G1563" s="40" t="n"/>
      <c r="H1563" s="39" t="n"/>
      <c r="I1563" s="39" t="n"/>
    </row>
    <row r="1564">
      <c r="A1564" s="7" t="n"/>
      <c r="B1564" s="7" t="n"/>
      <c r="C1564" s="7" t="n"/>
      <c r="D1564" s="39" t="n"/>
      <c r="E1564" s="39" t="n"/>
      <c r="F1564" s="7" t="n"/>
      <c r="G1564" s="40" t="n"/>
      <c r="H1564" s="39" t="n"/>
      <c r="I1564" s="39" t="n"/>
    </row>
    <row r="1565">
      <c r="A1565" s="7" t="n"/>
      <c r="B1565" s="7" t="n"/>
      <c r="C1565" s="7" t="n"/>
      <c r="D1565" s="39" t="n"/>
      <c r="E1565" s="39" t="n"/>
      <c r="F1565" s="7" t="n"/>
      <c r="G1565" s="40" t="n"/>
      <c r="H1565" s="39" t="n"/>
      <c r="I1565" s="39" t="n"/>
    </row>
    <row r="1566">
      <c r="A1566" s="7" t="n"/>
      <c r="B1566" s="7" t="n"/>
      <c r="C1566" s="7" t="n"/>
      <c r="D1566" s="39" t="n"/>
      <c r="E1566" s="39" t="n"/>
      <c r="F1566" s="7" t="n"/>
      <c r="G1566" s="40" t="n"/>
      <c r="H1566" s="39" t="n"/>
      <c r="I1566" s="39" t="n"/>
    </row>
    <row r="1567">
      <c r="A1567" s="7" t="n"/>
      <c r="B1567" s="7" t="n"/>
      <c r="C1567" s="7" t="n"/>
      <c r="D1567" s="39" t="n"/>
      <c r="E1567" s="39" t="n"/>
      <c r="F1567" s="7" t="n"/>
      <c r="G1567" s="40" t="n"/>
      <c r="H1567" s="39" t="n"/>
      <c r="I1567" s="39" t="n"/>
    </row>
    <row r="1568">
      <c r="A1568" s="7" t="n"/>
      <c r="B1568" s="7" t="n"/>
      <c r="C1568" s="7" t="n"/>
      <c r="D1568" s="39" t="n"/>
      <c r="E1568" s="39" t="n"/>
      <c r="F1568" s="7" t="n"/>
      <c r="G1568" s="40" t="n"/>
      <c r="H1568" s="39" t="n"/>
      <c r="I1568" s="39" t="n"/>
    </row>
    <row r="1569">
      <c r="A1569" s="7" t="n"/>
      <c r="B1569" s="7" t="n"/>
      <c r="C1569" s="7" t="n"/>
      <c r="D1569" s="39" t="n"/>
      <c r="E1569" s="39" t="n"/>
      <c r="F1569" s="7" t="n"/>
      <c r="G1569" s="40" t="n"/>
      <c r="H1569" s="39" t="n"/>
      <c r="I1569" s="39" t="n"/>
    </row>
    <row r="1570">
      <c r="A1570" s="7" t="n"/>
      <c r="B1570" s="7" t="n"/>
      <c r="C1570" s="7" t="n"/>
      <c r="D1570" s="39" t="n"/>
      <c r="E1570" s="39" t="n"/>
      <c r="F1570" s="7" t="n"/>
      <c r="G1570" s="40" t="n"/>
      <c r="H1570" s="39" t="n"/>
      <c r="I1570" s="39" t="n"/>
    </row>
    <row r="1571">
      <c r="A1571" s="7" t="n"/>
      <c r="B1571" s="7" t="n"/>
      <c r="C1571" s="7" t="n"/>
      <c r="D1571" s="39" t="n"/>
      <c r="E1571" s="39" t="n"/>
      <c r="F1571" s="7" t="n"/>
      <c r="G1571" s="40" t="n"/>
      <c r="H1571" s="39" t="n"/>
      <c r="I1571" s="39" t="n"/>
    </row>
    <row r="1572">
      <c r="A1572" s="7" t="n"/>
      <c r="B1572" s="7" t="n"/>
      <c r="C1572" s="7" t="n"/>
      <c r="D1572" s="39" t="n"/>
      <c r="E1572" s="39" t="n"/>
      <c r="F1572" s="7" t="n"/>
      <c r="G1572" s="40" t="n"/>
      <c r="H1572" s="39" t="n"/>
      <c r="I1572" s="39" t="n"/>
    </row>
    <row r="1573">
      <c r="A1573" s="7" t="n"/>
      <c r="B1573" s="7" t="n"/>
      <c r="C1573" s="7" t="n"/>
      <c r="D1573" s="39" t="n"/>
      <c r="E1573" s="39" t="n"/>
      <c r="F1573" s="7" t="n"/>
      <c r="G1573" s="40" t="n"/>
      <c r="H1573" s="39" t="n"/>
      <c r="I1573" s="39" t="n"/>
    </row>
    <row r="1574">
      <c r="A1574" s="7" t="n"/>
      <c r="B1574" s="7" t="n"/>
      <c r="C1574" s="7" t="n"/>
      <c r="D1574" s="39" t="n"/>
      <c r="E1574" s="39" t="n"/>
      <c r="F1574" s="7" t="n"/>
      <c r="G1574" s="40" t="n"/>
      <c r="H1574" s="39" t="n"/>
      <c r="I1574" s="39" t="n"/>
    </row>
    <row r="1575">
      <c r="A1575" s="7" t="n"/>
      <c r="B1575" s="7" t="n"/>
      <c r="C1575" s="7" t="n"/>
      <c r="D1575" s="39" t="n"/>
      <c r="E1575" s="39" t="n"/>
      <c r="F1575" s="7" t="n"/>
      <c r="G1575" s="40" t="n"/>
      <c r="H1575" s="39" t="n"/>
      <c r="I1575" s="39" t="n"/>
    </row>
    <row r="1576">
      <c r="A1576" s="7" t="n"/>
      <c r="B1576" s="7" t="n"/>
      <c r="C1576" s="7" t="n"/>
      <c r="D1576" s="39" t="n"/>
      <c r="E1576" s="39" t="n"/>
      <c r="F1576" s="7" t="n"/>
      <c r="G1576" s="40" t="n"/>
      <c r="H1576" s="39" t="n"/>
      <c r="I1576" s="39" t="n"/>
    </row>
    <row r="1577">
      <c r="A1577" s="7" t="n"/>
      <c r="B1577" s="7" t="n"/>
      <c r="C1577" s="7" t="n"/>
      <c r="D1577" s="39" t="n"/>
      <c r="E1577" s="39" t="n"/>
      <c r="F1577" s="7" t="n"/>
      <c r="G1577" s="40" t="n"/>
      <c r="H1577" s="39" t="n"/>
      <c r="I1577" s="39" t="n"/>
    </row>
    <row r="1578">
      <c r="A1578" s="7" t="n"/>
      <c r="B1578" s="7" t="n"/>
      <c r="C1578" s="7" t="n"/>
      <c r="D1578" s="39" t="n"/>
      <c r="E1578" s="39" t="n"/>
      <c r="F1578" s="7" t="n"/>
      <c r="G1578" s="40" t="n"/>
      <c r="H1578" s="39" t="n"/>
      <c r="I1578" s="39" t="n"/>
    </row>
    <row r="1579">
      <c r="A1579" s="7" t="n"/>
      <c r="B1579" s="7" t="n"/>
      <c r="C1579" s="7" t="n"/>
      <c r="D1579" s="39" t="n"/>
      <c r="E1579" s="39" t="n"/>
      <c r="F1579" s="7" t="n"/>
      <c r="G1579" s="40" t="n"/>
      <c r="H1579" s="39" t="n"/>
      <c r="I1579" s="39" t="n"/>
    </row>
    <row r="1580">
      <c r="A1580" s="7" t="n"/>
      <c r="B1580" s="7" t="n"/>
      <c r="C1580" s="7" t="n"/>
      <c r="D1580" s="39" t="n"/>
      <c r="E1580" s="39" t="n"/>
      <c r="F1580" s="7" t="n"/>
      <c r="G1580" s="40" t="n"/>
      <c r="H1580" s="39" t="n"/>
      <c r="I1580" s="39" t="n"/>
    </row>
    <row r="1581">
      <c r="A1581" s="7" t="n"/>
      <c r="B1581" s="7" t="n"/>
      <c r="C1581" s="7" t="n"/>
      <c r="D1581" s="39" t="n"/>
      <c r="E1581" s="39" t="n"/>
      <c r="F1581" s="7" t="n"/>
      <c r="G1581" s="40" t="n"/>
      <c r="H1581" s="39" t="n"/>
      <c r="I1581" s="39" t="n"/>
    </row>
    <row r="1582">
      <c r="A1582" s="7" t="n"/>
      <c r="B1582" s="7" t="n"/>
      <c r="C1582" s="7" t="n"/>
      <c r="D1582" s="39" t="n"/>
      <c r="E1582" s="39" t="n"/>
      <c r="F1582" s="7" t="n"/>
      <c r="G1582" s="40" t="n"/>
      <c r="H1582" s="39" t="n"/>
      <c r="I1582" s="39" t="n"/>
    </row>
    <row r="1583">
      <c r="A1583" s="7" t="n"/>
      <c r="B1583" s="7" t="n"/>
      <c r="C1583" s="7" t="n"/>
      <c r="D1583" s="39" t="n"/>
      <c r="E1583" s="39" t="n"/>
      <c r="F1583" s="7" t="n"/>
      <c r="G1583" s="40" t="n"/>
      <c r="H1583" s="39" t="n"/>
      <c r="I1583" s="39" t="n"/>
    </row>
    <row r="1584">
      <c r="A1584" s="7" t="n"/>
      <c r="B1584" s="7" t="n"/>
      <c r="C1584" s="7" t="n"/>
      <c r="D1584" s="39" t="n"/>
      <c r="E1584" s="39" t="n"/>
      <c r="F1584" s="7" t="n"/>
      <c r="G1584" s="40" t="n"/>
      <c r="H1584" s="39" t="n"/>
      <c r="I1584" s="39" t="n"/>
    </row>
    <row r="1585">
      <c r="A1585" s="7" t="n"/>
      <c r="B1585" s="7" t="n"/>
      <c r="C1585" s="7" t="n"/>
      <c r="D1585" s="39" t="n"/>
      <c r="E1585" s="39" t="n"/>
      <c r="F1585" s="7" t="n"/>
      <c r="G1585" s="40" t="n"/>
      <c r="H1585" s="39" t="n"/>
      <c r="I1585" s="39" t="n"/>
    </row>
    <row r="1586">
      <c r="A1586" s="7" t="n"/>
      <c r="B1586" s="7" t="n"/>
      <c r="C1586" s="7" t="n"/>
      <c r="D1586" s="39" t="n"/>
      <c r="E1586" s="39" t="n"/>
      <c r="F1586" s="7" t="n"/>
      <c r="G1586" s="40" t="n"/>
      <c r="H1586" s="39" t="n"/>
      <c r="I1586" s="39" t="n"/>
    </row>
    <row r="1587">
      <c r="A1587" s="7" t="n"/>
      <c r="B1587" s="7" t="n"/>
      <c r="C1587" s="7" t="n"/>
      <c r="D1587" s="39" t="n"/>
      <c r="E1587" s="39" t="n"/>
      <c r="F1587" s="7" t="n"/>
      <c r="G1587" s="40" t="n"/>
      <c r="H1587" s="39" t="n"/>
      <c r="I1587" s="39" t="n"/>
    </row>
    <row r="1588">
      <c r="A1588" s="7" t="n"/>
      <c r="B1588" s="7" t="n"/>
      <c r="C1588" s="7" t="n"/>
      <c r="D1588" s="39" t="n"/>
      <c r="E1588" s="39" t="n"/>
      <c r="F1588" s="7" t="n"/>
      <c r="G1588" s="40" t="n"/>
      <c r="H1588" s="39" t="n"/>
      <c r="I1588" s="39" t="n"/>
    </row>
    <row r="1589">
      <c r="A1589" s="7" t="n"/>
      <c r="B1589" s="7" t="n"/>
      <c r="C1589" s="7" t="n"/>
      <c r="D1589" s="39" t="n"/>
      <c r="E1589" s="39" t="n"/>
      <c r="F1589" s="7" t="n"/>
      <c r="G1589" s="40" t="n"/>
      <c r="H1589" s="39" t="n"/>
      <c r="I1589" s="39" t="n"/>
    </row>
    <row r="1590">
      <c r="A1590" s="7" t="n"/>
      <c r="B1590" s="7" t="n"/>
      <c r="C1590" s="7" t="n"/>
      <c r="D1590" s="39" t="n"/>
      <c r="E1590" s="39" t="n"/>
      <c r="F1590" s="7" t="n"/>
      <c r="G1590" s="40" t="n"/>
      <c r="H1590" s="39" t="n"/>
      <c r="I1590" s="39" t="n"/>
    </row>
    <row r="1591">
      <c r="A1591" s="7" t="n"/>
      <c r="B1591" s="7" t="n"/>
      <c r="C1591" s="7" t="n"/>
      <c r="D1591" s="39" t="n"/>
      <c r="E1591" s="39" t="n"/>
      <c r="F1591" s="7" t="n"/>
      <c r="G1591" s="40" t="n"/>
      <c r="H1591" s="39" t="n"/>
      <c r="I1591" s="39" t="n"/>
    </row>
    <row r="1592">
      <c r="A1592" s="7" t="n"/>
      <c r="B1592" s="7" t="n"/>
      <c r="C1592" s="7" t="n"/>
      <c r="D1592" s="39" t="n"/>
      <c r="E1592" s="39" t="n"/>
      <c r="F1592" s="7" t="n"/>
      <c r="G1592" s="40" t="n"/>
      <c r="H1592" s="39" t="n"/>
      <c r="I1592" s="39" t="n"/>
    </row>
    <row r="1593">
      <c r="A1593" s="7" t="n"/>
      <c r="B1593" s="7" t="n"/>
      <c r="C1593" s="7" t="n"/>
      <c r="D1593" s="39" t="n"/>
      <c r="E1593" s="39" t="n"/>
      <c r="F1593" s="7" t="n"/>
      <c r="G1593" s="40" t="n"/>
      <c r="H1593" s="39" t="n"/>
      <c r="I1593" s="39" t="n"/>
    </row>
    <row r="1594">
      <c r="A1594" s="7" t="n"/>
      <c r="B1594" s="7" t="n"/>
      <c r="C1594" s="7" t="n"/>
      <c r="D1594" s="39" t="n"/>
      <c r="E1594" s="39" t="n"/>
      <c r="F1594" s="7" t="n"/>
      <c r="G1594" s="40" t="n"/>
      <c r="H1594" s="39" t="n"/>
      <c r="I1594" s="39" t="n"/>
    </row>
    <row r="1595">
      <c r="A1595" s="7" t="n"/>
      <c r="B1595" s="7" t="n"/>
      <c r="C1595" s="7" t="n"/>
      <c r="D1595" s="39" t="n"/>
      <c r="E1595" s="39" t="n"/>
      <c r="F1595" s="7" t="n"/>
      <c r="G1595" s="40" t="n"/>
      <c r="H1595" s="39" t="n"/>
      <c r="I1595" s="39" t="n"/>
    </row>
    <row r="1596">
      <c r="A1596" s="7" t="n"/>
      <c r="B1596" s="7" t="n"/>
      <c r="C1596" s="7" t="n"/>
      <c r="D1596" s="39" t="n"/>
      <c r="E1596" s="39" t="n"/>
      <c r="F1596" s="7" t="n"/>
      <c r="G1596" s="40" t="n"/>
      <c r="H1596" s="39" t="n"/>
      <c r="I1596" s="39" t="n"/>
    </row>
    <row r="1597">
      <c r="A1597" s="7" t="n"/>
      <c r="B1597" s="7" t="n"/>
      <c r="C1597" s="7" t="n"/>
      <c r="D1597" s="39" t="n"/>
      <c r="E1597" s="39" t="n"/>
      <c r="F1597" s="7" t="n"/>
      <c r="G1597" s="40" t="n"/>
      <c r="H1597" s="39" t="n"/>
      <c r="I1597" s="39" t="n"/>
    </row>
    <row r="1598">
      <c r="A1598" s="7" t="n"/>
      <c r="B1598" s="7" t="n"/>
      <c r="C1598" s="7" t="n"/>
      <c r="D1598" s="39" t="n"/>
      <c r="E1598" s="39" t="n"/>
      <c r="F1598" s="7" t="n"/>
      <c r="G1598" s="40" t="n"/>
      <c r="H1598" s="39" t="n"/>
      <c r="I1598" s="39" t="n"/>
    </row>
    <row r="1599">
      <c r="A1599" s="7" t="n"/>
      <c r="B1599" s="7" t="n"/>
      <c r="C1599" s="7" t="n"/>
      <c r="D1599" s="39" t="n"/>
      <c r="E1599" s="39" t="n"/>
      <c r="F1599" s="7" t="n"/>
      <c r="G1599" s="40" t="n"/>
      <c r="H1599" s="39" t="n"/>
      <c r="I1599" s="39" t="n"/>
    </row>
    <row r="1600">
      <c r="A1600" s="7" t="n"/>
      <c r="B1600" s="7" t="n"/>
      <c r="C1600" s="7" t="n"/>
      <c r="D1600" s="39" t="n"/>
      <c r="E1600" s="39" t="n"/>
      <c r="F1600" s="7" t="n"/>
      <c r="G1600" s="40" t="n"/>
      <c r="H1600" s="39" t="n"/>
      <c r="I1600" s="39" t="n"/>
    </row>
    <row r="1601">
      <c r="A1601" s="7" t="n"/>
      <c r="B1601" s="7" t="n"/>
      <c r="C1601" s="7" t="n"/>
      <c r="D1601" s="39" t="n"/>
      <c r="E1601" s="39" t="n"/>
      <c r="F1601" s="7" t="n"/>
      <c r="G1601" s="40" t="n"/>
      <c r="H1601" s="39" t="n"/>
      <c r="I1601" s="39" t="n"/>
    </row>
    <row r="1602">
      <c r="A1602" s="7" t="n"/>
      <c r="B1602" s="7" t="n"/>
      <c r="C1602" s="7" t="n"/>
      <c r="D1602" s="39" t="n"/>
      <c r="E1602" s="39" t="n"/>
      <c r="F1602" s="7" t="n"/>
      <c r="G1602" s="40" t="n"/>
      <c r="H1602" s="39" t="n"/>
      <c r="I1602" s="39" t="n"/>
    </row>
    <row r="1603">
      <c r="A1603" s="7" t="n"/>
      <c r="B1603" s="7" t="n"/>
      <c r="C1603" s="7" t="n"/>
      <c r="D1603" s="39" t="n"/>
      <c r="E1603" s="39" t="n"/>
      <c r="F1603" s="7" t="n"/>
      <c r="G1603" s="40" t="n"/>
      <c r="H1603" s="39" t="n"/>
      <c r="I1603" s="39" t="n"/>
    </row>
    <row r="1604">
      <c r="A1604" s="7" t="n"/>
      <c r="B1604" s="7" t="n"/>
      <c r="C1604" s="7" t="n"/>
      <c r="D1604" s="39" t="n"/>
      <c r="E1604" s="39" t="n"/>
      <c r="F1604" s="7" t="n"/>
      <c r="G1604" s="40" t="n"/>
      <c r="H1604" s="39" t="n"/>
      <c r="I1604" s="39" t="n"/>
    </row>
    <row r="1605">
      <c r="A1605" s="7" t="n"/>
      <c r="B1605" s="7" t="n"/>
      <c r="C1605" s="7" t="n"/>
      <c r="D1605" s="39" t="n"/>
      <c r="E1605" s="39" t="n"/>
      <c r="F1605" s="7" t="n"/>
      <c r="G1605" s="40" t="n"/>
      <c r="H1605" s="39" t="n"/>
      <c r="I1605" s="39" t="n"/>
    </row>
    <row r="1606">
      <c r="A1606" s="7" t="n"/>
      <c r="B1606" s="7" t="n"/>
      <c r="C1606" s="7" t="n"/>
      <c r="D1606" s="39" t="n"/>
      <c r="E1606" s="39" t="n"/>
      <c r="F1606" s="7" t="n"/>
      <c r="G1606" s="40" t="n"/>
      <c r="H1606" s="39" t="n"/>
      <c r="I1606" s="39" t="n"/>
    </row>
    <row r="1607">
      <c r="A1607" s="7" t="n"/>
      <c r="B1607" s="7" t="n"/>
      <c r="C1607" s="7" t="n"/>
      <c r="D1607" s="39" t="n"/>
      <c r="E1607" s="39" t="n"/>
      <c r="F1607" s="7" t="n"/>
      <c r="G1607" s="40" t="n"/>
      <c r="H1607" s="39" t="n"/>
      <c r="I1607" s="39" t="n"/>
    </row>
    <row r="1608">
      <c r="A1608" s="7" t="n"/>
      <c r="B1608" s="7" t="n"/>
      <c r="C1608" s="7" t="n"/>
      <c r="D1608" s="39" t="n"/>
      <c r="E1608" s="39" t="n"/>
      <c r="F1608" s="7" t="n"/>
      <c r="G1608" s="40" t="n"/>
      <c r="H1608" s="39" t="n"/>
      <c r="I1608" s="39" t="n"/>
    </row>
    <row r="1609">
      <c r="A1609" s="7" t="n"/>
      <c r="B1609" s="7" t="n"/>
      <c r="C1609" s="7" t="n"/>
      <c r="D1609" s="39" t="n"/>
      <c r="E1609" s="39" t="n"/>
      <c r="F1609" s="7" t="n"/>
      <c r="G1609" s="40" t="n"/>
      <c r="H1609" s="39" t="n"/>
      <c r="I1609" s="39" t="n"/>
    </row>
    <row r="1610">
      <c r="A1610" s="7" t="n"/>
      <c r="B1610" s="7" t="n"/>
      <c r="C1610" s="7" t="n"/>
      <c r="D1610" s="39" t="n"/>
      <c r="E1610" s="39" t="n"/>
      <c r="F1610" s="7" t="n"/>
      <c r="G1610" s="40" t="n"/>
      <c r="H1610" s="39" t="n"/>
      <c r="I1610" s="39" t="n"/>
    </row>
    <row r="1611">
      <c r="A1611" s="7" t="n"/>
      <c r="B1611" s="7" t="n"/>
      <c r="C1611" s="7" t="n"/>
      <c r="D1611" s="39" t="n"/>
      <c r="E1611" s="39" t="n"/>
      <c r="F1611" s="7" t="n"/>
      <c r="G1611" s="40" t="n"/>
      <c r="H1611" s="39" t="n"/>
      <c r="I1611" s="39" t="n"/>
    </row>
    <row r="1612">
      <c r="A1612" s="7" t="n"/>
      <c r="B1612" s="7" t="n"/>
      <c r="C1612" s="7" t="n"/>
      <c r="D1612" s="39" t="n"/>
      <c r="E1612" s="39" t="n"/>
      <c r="F1612" s="7" t="n"/>
      <c r="G1612" s="40" t="n"/>
      <c r="H1612" s="39" t="n"/>
      <c r="I1612" s="39" t="n"/>
    </row>
    <row r="1613">
      <c r="A1613" s="7" t="n"/>
      <c r="B1613" s="7" t="n"/>
      <c r="C1613" s="7" t="n"/>
      <c r="D1613" s="39" t="n"/>
      <c r="E1613" s="39" t="n"/>
      <c r="F1613" s="7" t="n"/>
      <c r="G1613" s="40" t="n"/>
      <c r="H1613" s="39" t="n"/>
      <c r="I1613" s="39" t="n"/>
    </row>
    <row r="1614">
      <c r="A1614" s="7" t="n"/>
      <c r="B1614" s="7" t="n"/>
      <c r="C1614" s="7" t="n"/>
      <c r="D1614" s="39" t="n"/>
      <c r="E1614" s="39" t="n"/>
      <c r="F1614" s="7" t="n"/>
      <c r="G1614" s="40" t="n"/>
      <c r="H1614" s="39" t="n"/>
      <c r="I1614" s="39" t="n"/>
    </row>
    <row r="1615">
      <c r="A1615" s="7" t="n"/>
      <c r="B1615" s="7" t="n"/>
      <c r="C1615" s="7" t="n"/>
      <c r="D1615" s="39" t="n"/>
      <c r="E1615" s="39" t="n"/>
      <c r="F1615" s="7" t="n"/>
      <c r="G1615" s="40" t="n"/>
      <c r="H1615" s="39" t="n"/>
      <c r="I1615" s="39" t="n"/>
    </row>
    <row r="1616">
      <c r="A1616" s="7" t="n"/>
      <c r="B1616" s="7" t="n"/>
      <c r="C1616" s="7" t="n"/>
      <c r="D1616" s="39" t="n"/>
      <c r="E1616" s="39" t="n"/>
      <c r="F1616" s="7" t="n"/>
      <c r="G1616" s="40" t="n"/>
      <c r="H1616" s="39" t="n"/>
      <c r="I1616" s="39" t="n"/>
    </row>
    <row r="1617">
      <c r="A1617" s="7" t="n"/>
      <c r="B1617" s="7" t="n"/>
      <c r="C1617" s="7" t="n"/>
      <c r="D1617" s="39" t="n"/>
      <c r="E1617" s="39" t="n"/>
      <c r="F1617" s="7" t="n"/>
      <c r="G1617" s="40" t="n"/>
      <c r="H1617" s="39" t="n"/>
      <c r="I1617" s="39" t="n"/>
    </row>
    <row r="1618">
      <c r="A1618" s="7" t="n"/>
      <c r="B1618" s="7" t="n"/>
      <c r="C1618" s="7" t="n"/>
      <c r="D1618" s="39" t="n"/>
      <c r="E1618" s="39" t="n"/>
      <c r="F1618" s="7" t="n"/>
      <c r="G1618" s="40" t="n"/>
      <c r="H1618" s="39" t="n"/>
      <c r="I1618" s="39" t="n"/>
    </row>
    <row r="1619">
      <c r="A1619" s="7" t="n"/>
      <c r="B1619" s="7" t="n"/>
      <c r="C1619" s="7" t="n"/>
      <c r="D1619" s="39" t="n"/>
      <c r="E1619" s="39" t="n"/>
      <c r="F1619" s="7" t="n"/>
      <c r="G1619" s="40" t="n"/>
      <c r="H1619" s="39" t="n"/>
      <c r="I1619" s="39" t="n"/>
    </row>
    <row r="1620">
      <c r="A1620" s="7" t="n"/>
      <c r="B1620" s="7" t="n"/>
      <c r="C1620" s="7" t="n"/>
      <c r="D1620" s="39" t="n"/>
      <c r="E1620" s="39" t="n"/>
      <c r="F1620" s="7" t="n"/>
      <c r="G1620" s="40" t="n"/>
      <c r="H1620" s="39" t="n"/>
      <c r="I1620" s="39" t="n"/>
    </row>
    <row r="1621">
      <c r="A1621" s="7" t="n"/>
      <c r="B1621" s="7" t="n"/>
      <c r="C1621" s="7" t="n"/>
      <c r="D1621" s="39" t="n"/>
      <c r="E1621" s="39" t="n"/>
      <c r="F1621" s="7" t="n"/>
      <c r="G1621" s="40" t="n"/>
      <c r="H1621" s="39" t="n"/>
      <c r="I1621" s="39" t="n"/>
    </row>
    <row r="1622">
      <c r="A1622" s="7" t="n"/>
      <c r="B1622" s="7" t="n"/>
      <c r="C1622" s="7" t="n"/>
      <c r="D1622" s="39" t="n"/>
      <c r="E1622" s="39" t="n"/>
      <c r="F1622" s="7" t="n"/>
      <c r="G1622" s="40" t="n"/>
      <c r="H1622" s="39" t="n"/>
      <c r="I1622" s="39" t="n"/>
    </row>
    <row r="1623">
      <c r="A1623" s="7" t="n"/>
      <c r="B1623" s="7" t="n"/>
      <c r="C1623" s="7" t="n"/>
      <c r="D1623" s="39" t="n"/>
      <c r="E1623" s="39" t="n"/>
      <c r="F1623" s="7" t="n"/>
      <c r="G1623" s="40" t="n"/>
      <c r="H1623" s="39" t="n"/>
      <c r="I1623" s="39" t="n"/>
    </row>
    <row r="1624">
      <c r="A1624" s="7" t="n"/>
      <c r="B1624" s="7" t="n"/>
      <c r="C1624" s="7" t="n"/>
      <c r="D1624" s="39" t="n"/>
      <c r="E1624" s="39" t="n"/>
      <c r="F1624" s="7" t="n"/>
      <c r="G1624" s="40" t="n"/>
      <c r="H1624" s="39" t="n"/>
      <c r="I1624" s="39" t="n"/>
    </row>
    <row r="1625">
      <c r="A1625" s="7" t="n"/>
      <c r="B1625" s="7" t="n"/>
      <c r="C1625" s="7" t="n"/>
      <c r="D1625" s="39" t="n"/>
      <c r="E1625" s="39" t="n"/>
      <c r="F1625" s="7" t="n"/>
      <c r="G1625" s="40" t="n"/>
      <c r="H1625" s="39" t="n"/>
      <c r="I1625" s="39" t="n"/>
    </row>
    <row r="1626">
      <c r="A1626" s="7" t="n"/>
      <c r="B1626" s="7" t="n"/>
      <c r="C1626" s="7" t="n"/>
      <c r="D1626" s="39" t="n"/>
      <c r="E1626" s="39" t="n"/>
      <c r="F1626" s="7" t="n"/>
      <c r="G1626" s="40" t="n"/>
      <c r="H1626" s="39" t="n"/>
      <c r="I1626" s="39" t="n"/>
    </row>
    <row r="1627">
      <c r="A1627" s="7" t="n"/>
      <c r="B1627" s="7" t="n"/>
      <c r="C1627" s="7" t="n"/>
      <c r="D1627" s="39" t="n"/>
      <c r="E1627" s="39" t="n"/>
      <c r="F1627" s="7" t="n"/>
      <c r="G1627" s="40" t="n"/>
      <c r="H1627" s="39" t="n"/>
      <c r="I1627" s="39" t="n"/>
    </row>
    <row r="1628">
      <c r="A1628" s="7" t="n"/>
      <c r="B1628" s="7" t="n"/>
      <c r="C1628" s="7" t="n"/>
      <c r="D1628" s="39" t="n"/>
      <c r="E1628" s="39" t="n"/>
      <c r="F1628" s="7" t="n"/>
      <c r="G1628" s="40" t="n"/>
      <c r="H1628" s="39" t="n"/>
      <c r="I1628" s="39" t="n"/>
    </row>
    <row r="1629">
      <c r="A1629" s="7" t="n"/>
      <c r="B1629" s="7" t="n"/>
      <c r="C1629" s="7" t="n"/>
      <c r="D1629" s="39" t="n"/>
      <c r="E1629" s="39" t="n"/>
      <c r="F1629" s="7" t="n"/>
      <c r="G1629" s="40" t="n"/>
      <c r="H1629" s="39" t="n"/>
      <c r="I1629" s="39" t="n"/>
    </row>
    <row r="1630">
      <c r="A1630" s="7" t="n"/>
      <c r="B1630" s="7" t="n"/>
      <c r="C1630" s="7" t="n"/>
      <c r="D1630" s="39" t="n"/>
      <c r="E1630" s="39" t="n"/>
      <c r="F1630" s="7" t="n"/>
      <c r="G1630" s="40" t="n"/>
      <c r="H1630" s="39" t="n"/>
      <c r="I1630" s="39" t="n"/>
    </row>
    <row r="1631">
      <c r="A1631" s="7" t="n"/>
      <c r="B1631" s="7" t="n"/>
      <c r="C1631" s="7" t="n"/>
      <c r="D1631" s="39" t="n"/>
      <c r="E1631" s="39" t="n"/>
      <c r="F1631" s="7" t="n"/>
      <c r="G1631" s="40" t="n"/>
      <c r="H1631" s="39" t="n"/>
      <c r="I1631" s="39" t="n"/>
    </row>
    <row r="1632">
      <c r="A1632" s="7" t="n"/>
      <c r="B1632" s="7" t="n"/>
      <c r="C1632" s="7" t="n"/>
      <c r="D1632" s="39" t="n"/>
      <c r="E1632" s="39" t="n"/>
      <c r="F1632" s="7" t="n"/>
      <c r="G1632" s="40" t="n"/>
      <c r="H1632" s="39" t="n"/>
      <c r="I1632" s="39" t="n"/>
    </row>
    <row r="1633">
      <c r="A1633" s="7" t="n"/>
      <c r="B1633" s="7" t="n"/>
      <c r="C1633" s="7" t="n"/>
      <c r="D1633" s="39" t="n"/>
      <c r="E1633" s="39" t="n"/>
      <c r="F1633" s="7" t="n"/>
      <c r="G1633" s="40" t="n"/>
      <c r="H1633" s="39" t="n"/>
      <c r="I1633" s="39" t="n"/>
    </row>
    <row r="1634">
      <c r="A1634" s="7" t="n"/>
      <c r="B1634" s="7" t="n"/>
      <c r="C1634" s="7" t="n"/>
      <c r="D1634" s="39" t="n"/>
      <c r="E1634" s="39" t="n"/>
      <c r="F1634" s="7" t="n"/>
      <c r="G1634" s="40" t="n"/>
      <c r="H1634" s="39" t="n"/>
      <c r="I1634" s="39" t="n"/>
    </row>
    <row r="1635">
      <c r="A1635" s="7" t="n"/>
      <c r="B1635" s="7" t="n"/>
      <c r="C1635" s="7" t="n"/>
      <c r="D1635" s="39" t="n"/>
      <c r="E1635" s="39" t="n"/>
      <c r="F1635" s="7" t="n"/>
      <c r="G1635" s="40" t="n"/>
      <c r="H1635" s="39" t="n"/>
      <c r="I1635" s="39" t="n"/>
    </row>
    <row r="1636">
      <c r="A1636" s="7" t="n"/>
      <c r="B1636" s="7" t="n"/>
      <c r="C1636" s="7" t="n"/>
      <c r="D1636" s="39" t="n"/>
      <c r="E1636" s="39" t="n"/>
      <c r="F1636" s="7" t="n"/>
      <c r="G1636" s="40" t="n"/>
      <c r="H1636" s="39" t="n"/>
      <c r="I1636" s="39" t="n"/>
    </row>
    <row r="1637">
      <c r="A1637" s="7" t="n"/>
      <c r="B1637" s="7" t="n"/>
      <c r="C1637" s="7" t="n"/>
      <c r="D1637" s="39" t="n"/>
      <c r="E1637" s="39" t="n"/>
      <c r="F1637" s="7" t="n"/>
      <c r="G1637" s="40" t="n"/>
      <c r="H1637" s="39" t="n"/>
      <c r="I1637" s="39" t="n"/>
    </row>
    <row r="1638">
      <c r="A1638" s="7" t="n"/>
      <c r="B1638" s="7" t="n"/>
      <c r="C1638" s="7" t="n"/>
      <c r="D1638" s="39" t="n"/>
      <c r="E1638" s="39" t="n"/>
      <c r="F1638" s="7" t="n"/>
      <c r="G1638" s="40" t="n"/>
      <c r="H1638" s="39" t="n"/>
      <c r="I1638" s="39" t="n"/>
    </row>
    <row r="1639">
      <c r="A1639" s="7" t="n"/>
      <c r="B1639" s="7" t="n"/>
      <c r="C1639" s="7" t="n"/>
      <c r="D1639" s="39" t="n"/>
      <c r="E1639" s="39" t="n"/>
      <c r="F1639" s="7" t="n"/>
      <c r="G1639" s="40" t="n"/>
      <c r="H1639" s="39" t="n"/>
      <c r="I1639" s="39" t="n"/>
    </row>
    <row r="1640">
      <c r="A1640" s="7" t="n"/>
      <c r="B1640" s="7" t="n"/>
      <c r="C1640" s="7" t="n"/>
      <c r="D1640" s="39" t="n"/>
      <c r="E1640" s="39" t="n"/>
      <c r="F1640" s="7" t="n"/>
      <c r="G1640" s="40" t="n"/>
      <c r="H1640" s="39" t="n"/>
      <c r="I1640" s="39" t="n"/>
    </row>
    <row r="1641">
      <c r="A1641" s="7" t="n"/>
      <c r="B1641" s="7" t="n"/>
      <c r="C1641" s="7" t="n"/>
      <c r="D1641" s="39" t="n"/>
      <c r="E1641" s="39" t="n"/>
      <c r="F1641" s="7" t="n"/>
      <c r="G1641" s="40" t="n"/>
      <c r="H1641" s="39" t="n"/>
      <c r="I1641" s="39" t="n"/>
    </row>
    <row r="1642">
      <c r="A1642" s="7" t="n"/>
      <c r="B1642" s="7" t="n"/>
      <c r="C1642" s="7" t="n"/>
      <c r="D1642" s="39" t="n"/>
      <c r="E1642" s="39" t="n"/>
      <c r="F1642" s="7" t="n"/>
      <c r="G1642" s="40" t="n"/>
      <c r="H1642" s="39" t="n"/>
      <c r="I1642" s="39" t="n"/>
    </row>
    <row r="1643">
      <c r="A1643" s="7" t="n"/>
      <c r="B1643" s="7" t="n"/>
      <c r="C1643" s="7" t="n"/>
      <c r="D1643" s="39" t="n"/>
      <c r="E1643" s="39" t="n"/>
      <c r="F1643" s="7" t="n"/>
      <c r="G1643" s="40" t="n"/>
      <c r="H1643" s="39" t="n"/>
      <c r="I1643" s="39" t="n"/>
    </row>
    <row r="1644">
      <c r="A1644" s="7" t="n"/>
      <c r="B1644" s="7" t="n"/>
      <c r="C1644" s="7" t="n"/>
      <c r="D1644" s="39" t="n"/>
      <c r="E1644" s="39" t="n"/>
      <c r="F1644" s="7" t="n"/>
      <c r="G1644" s="40" t="n"/>
      <c r="H1644" s="39" t="n"/>
      <c r="I1644" s="39" t="n"/>
    </row>
    <row r="1645">
      <c r="A1645" s="7" t="n"/>
      <c r="B1645" s="7" t="n"/>
      <c r="C1645" s="7" t="n"/>
      <c r="D1645" s="39" t="n"/>
      <c r="E1645" s="39" t="n"/>
      <c r="F1645" s="7" t="n"/>
      <c r="G1645" s="40" t="n"/>
      <c r="H1645" s="39" t="n"/>
      <c r="I1645" s="39" t="n"/>
    </row>
    <row r="1646">
      <c r="A1646" s="7" t="n"/>
      <c r="B1646" s="7" t="n"/>
      <c r="C1646" s="7" t="n"/>
      <c r="D1646" s="39" t="n"/>
      <c r="E1646" s="39" t="n"/>
      <c r="F1646" s="7" t="n"/>
      <c r="G1646" s="40" t="n"/>
      <c r="H1646" s="39" t="n"/>
      <c r="I1646" s="39" t="n"/>
    </row>
    <row r="1647">
      <c r="A1647" s="7" t="n"/>
      <c r="B1647" s="7" t="n"/>
      <c r="C1647" s="7" t="n"/>
      <c r="D1647" s="39" t="n"/>
      <c r="E1647" s="39" t="n"/>
      <c r="F1647" s="7" t="n"/>
      <c r="G1647" s="40" t="n"/>
      <c r="H1647" s="39" t="n"/>
      <c r="I1647" s="39" t="n"/>
    </row>
    <row r="1648">
      <c r="A1648" s="7" t="n"/>
      <c r="B1648" s="7" t="n"/>
      <c r="C1648" s="7" t="n"/>
      <c r="D1648" s="39" t="n"/>
      <c r="E1648" s="39" t="n"/>
      <c r="F1648" s="7" t="n"/>
      <c r="G1648" s="40" t="n"/>
      <c r="H1648" s="39" t="n"/>
      <c r="I1648" s="39" t="n"/>
    </row>
    <row r="1649">
      <c r="A1649" s="7" t="n"/>
      <c r="B1649" s="7" t="n"/>
      <c r="C1649" s="7" t="n"/>
      <c r="D1649" s="39" t="n"/>
      <c r="E1649" s="39" t="n"/>
      <c r="F1649" s="7" t="n"/>
      <c r="G1649" s="40" t="n"/>
      <c r="H1649" s="39" t="n"/>
      <c r="I1649" s="39" t="n"/>
    </row>
    <row r="1650">
      <c r="A1650" s="7" t="n"/>
      <c r="B1650" s="7" t="n"/>
      <c r="C1650" s="7" t="n"/>
      <c r="D1650" s="39" t="n"/>
      <c r="E1650" s="39" t="n"/>
      <c r="F1650" s="7" t="n"/>
      <c r="G1650" s="40" t="n"/>
      <c r="H1650" s="39" t="n"/>
      <c r="I1650" s="39" t="n"/>
    </row>
    <row r="1651">
      <c r="A1651" s="7" t="n"/>
      <c r="B1651" s="7" t="n"/>
      <c r="C1651" s="7" t="n"/>
      <c r="D1651" s="39" t="n"/>
      <c r="E1651" s="39" t="n"/>
      <c r="F1651" s="7" t="n"/>
      <c r="G1651" s="40" t="n"/>
      <c r="H1651" s="39" t="n"/>
      <c r="I1651" s="39" t="n"/>
    </row>
    <row r="1652">
      <c r="A1652" s="7" t="n"/>
      <c r="B1652" s="7" t="n"/>
      <c r="C1652" s="7" t="n"/>
      <c r="D1652" s="39" t="n"/>
      <c r="E1652" s="39" t="n"/>
      <c r="F1652" s="7" t="n"/>
      <c r="G1652" s="40" t="n"/>
      <c r="H1652" s="39" t="n"/>
      <c r="I1652" s="39" t="n"/>
    </row>
    <row r="1653">
      <c r="A1653" s="7" t="n"/>
      <c r="B1653" s="7" t="n"/>
      <c r="C1653" s="7" t="n"/>
      <c r="D1653" s="39" t="n"/>
      <c r="E1653" s="39" t="n"/>
      <c r="F1653" s="7" t="n"/>
      <c r="G1653" s="40" t="n"/>
      <c r="H1653" s="39" t="n"/>
      <c r="I1653" s="39" t="n"/>
    </row>
    <row r="1654">
      <c r="A1654" s="7" t="n"/>
      <c r="B1654" s="7" t="n"/>
      <c r="C1654" s="7" t="n"/>
      <c r="D1654" s="39" t="n"/>
      <c r="E1654" s="39" t="n"/>
      <c r="F1654" s="7" t="n"/>
      <c r="G1654" s="40" t="n"/>
      <c r="H1654" s="39" t="n"/>
      <c r="I1654" s="39" t="n"/>
    </row>
    <row r="1655">
      <c r="A1655" s="7" t="n"/>
      <c r="B1655" s="7" t="n"/>
      <c r="C1655" s="7" t="n"/>
      <c r="D1655" s="39" t="n"/>
      <c r="E1655" s="39" t="n"/>
      <c r="F1655" s="7" t="n"/>
      <c r="G1655" s="40" t="n"/>
      <c r="H1655" s="39" t="n"/>
      <c r="I1655" s="39" t="n"/>
    </row>
    <row r="1656">
      <c r="A1656" s="7" t="n"/>
      <c r="B1656" s="7" t="n"/>
      <c r="C1656" s="7" t="n"/>
      <c r="D1656" s="39" t="n"/>
      <c r="E1656" s="39" t="n"/>
      <c r="F1656" s="7" t="n"/>
      <c r="G1656" s="40" t="n"/>
      <c r="H1656" s="39" t="n"/>
      <c r="I1656" s="39" t="n"/>
    </row>
    <row r="1657">
      <c r="A1657" s="7" t="n"/>
      <c r="B1657" s="7" t="n"/>
      <c r="C1657" s="7" t="n"/>
      <c r="D1657" s="39" t="n"/>
      <c r="E1657" s="39" t="n"/>
      <c r="F1657" s="7" t="n"/>
      <c r="G1657" s="40" t="n"/>
      <c r="H1657" s="39" t="n"/>
      <c r="I1657" s="39" t="n"/>
    </row>
    <row r="1658">
      <c r="A1658" s="7" t="n"/>
      <c r="B1658" s="7" t="n"/>
      <c r="C1658" s="7" t="n"/>
      <c r="D1658" s="39" t="n"/>
      <c r="E1658" s="39" t="n"/>
      <c r="F1658" s="7" t="n"/>
      <c r="G1658" s="40" t="n"/>
      <c r="H1658" s="39" t="n"/>
      <c r="I1658" s="39" t="n"/>
    </row>
    <row r="1659">
      <c r="A1659" s="7" t="n"/>
      <c r="B1659" s="7" t="n"/>
      <c r="C1659" s="7" t="n"/>
      <c r="D1659" s="39" t="n"/>
      <c r="E1659" s="39" t="n"/>
      <c r="F1659" s="7" t="n"/>
      <c r="G1659" s="40" t="n"/>
      <c r="H1659" s="39" t="n"/>
      <c r="I1659" s="39" t="n"/>
    </row>
    <row r="1660">
      <c r="A1660" s="7" t="n"/>
      <c r="B1660" s="7" t="n"/>
      <c r="C1660" s="7" t="n"/>
      <c r="D1660" s="39" t="n"/>
      <c r="E1660" s="39" t="n"/>
      <c r="F1660" s="7" t="n"/>
      <c r="G1660" s="40" t="n"/>
      <c r="H1660" s="39" t="n"/>
      <c r="I1660" s="39" t="n"/>
    </row>
    <row r="1661">
      <c r="A1661" s="7" t="n"/>
      <c r="B1661" s="7" t="n"/>
      <c r="C1661" s="7" t="n"/>
      <c r="D1661" s="39" t="n"/>
      <c r="E1661" s="39" t="n"/>
      <c r="F1661" s="7" t="n"/>
      <c r="G1661" s="40" t="n"/>
      <c r="H1661" s="39" t="n"/>
      <c r="I1661" s="39" t="n"/>
    </row>
    <row r="1662">
      <c r="A1662" s="7" t="n"/>
      <c r="B1662" s="7" t="n"/>
      <c r="C1662" s="7" t="n"/>
      <c r="D1662" s="39" t="n"/>
      <c r="E1662" s="39" t="n"/>
      <c r="F1662" s="7" t="n"/>
      <c r="G1662" s="40" t="n"/>
      <c r="H1662" s="39" t="n"/>
      <c r="I1662" s="39" t="n"/>
    </row>
    <row r="1663">
      <c r="A1663" s="7" t="n"/>
      <c r="B1663" s="7" t="n"/>
      <c r="C1663" s="7" t="n"/>
      <c r="D1663" s="39" t="n"/>
      <c r="E1663" s="39" t="n"/>
      <c r="F1663" s="7" t="n"/>
      <c r="G1663" s="40" t="n"/>
      <c r="H1663" s="39" t="n"/>
      <c r="I1663" s="39" t="n"/>
    </row>
    <row r="1664">
      <c r="A1664" s="7" t="n"/>
      <c r="B1664" s="7" t="n"/>
      <c r="C1664" s="7" t="n"/>
      <c r="D1664" s="39" t="n"/>
      <c r="E1664" s="39" t="n"/>
      <c r="F1664" s="7" t="n"/>
      <c r="G1664" s="40" t="n"/>
      <c r="H1664" s="39" t="n"/>
      <c r="I1664" s="39" t="n"/>
    </row>
    <row r="1665">
      <c r="A1665" s="7" t="n"/>
      <c r="B1665" s="7" t="n"/>
      <c r="C1665" s="7" t="n"/>
      <c r="D1665" s="39" t="n"/>
      <c r="E1665" s="39" t="n"/>
      <c r="F1665" s="7" t="n"/>
      <c r="G1665" s="40" t="n"/>
      <c r="H1665" s="39" t="n"/>
      <c r="I1665" s="39" t="n"/>
    </row>
    <row r="1666">
      <c r="A1666" s="7" t="n"/>
      <c r="B1666" s="7" t="n"/>
      <c r="C1666" s="7" t="n"/>
      <c r="D1666" s="39" t="n"/>
      <c r="E1666" s="39" t="n"/>
      <c r="F1666" s="7" t="n"/>
      <c r="G1666" s="40" t="n"/>
      <c r="H1666" s="39" t="n"/>
      <c r="I1666" s="39" t="n"/>
    </row>
    <row r="1667">
      <c r="A1667" s="7" t="n"/>
      <c r="B1667" s="7" t="n"/>
      <c r="C1667" s="7" t="n"/>
      <c r="D1667" s="39" t="n"/>
      <c r="E1667" s="39" t="n"/>
      <c r="F1667" s="7" t="n"/>
      <c r="G1667" s="40" t="n"/>
      <c r="H1667" s="39" t="n"/>
      <c r="I1667" s="39" t="n"/>
    </row>
    <row r="1668">
      <c r="A1668" s="7" t="n"/>
      <c r="B1668" s="7" t="n"/>
      <c r="C1668" s="7" t="n"/>
      <c r="D1668" s="39" t="n"/>
      <c r="E1668" s="39" t="n"/>
      <c r="F1668" s="7" t="n"/>
      <c r="G1668" s="40" t="n"/>
      <c r="H1668" s="39" t="n"/>
      <c r="I1668" s="39" t="n"/>
    </row>
    <row r="1669">
      <c r="A1669" s="7" t="n"/>
      <c r="B1669" s="7" t="n"/>
      <c r="C1669" s="7" t="n"/>
      <c r="D1669" s="39" t="n"/>
      <c r="E1669" s="39" t="n"/>
      <c r="F1669" s="7" t="n"/>
      <c r="G1669" s="40" t="n"/>
      <c r="H1669" s="39" t="n"/>
      <c r="I1669" s="39" t="n"/>
    </row>
    <row r="1670">
      <c r="A1670" s="7" t="n"/>
      <c r="B1670" s="7" t="n"/>
      <c r="C1670" s="7" t="n"/>
      <c r="D1670" s="39" t="n"/>
      <c r="E1670" s="39" t="n"/>
      <c r="F1670" s="7" t="n"/>
      <c r="G1670" s="40" t="n"/>
      <c r="H1670" s="39" t="n"/>
      <c r="I1670" s="39" t="n"/>
    </row>
    <row r="1671">
      <c r="A1671" s="7" t="n"/>
      <c r="B1671" s="7" t="n"/>
      <c r="C1671" s="7" t="n"/>
      <c r="D1671" s="39" t="n"/>
      <c r="E1671" s="39" t="n"/>
      <c r="F1671" s="7" t="n"/>
      <c r="G1671" s="40" t="n"/>
      <c r="H1671" s="39" t="n"/>
      <c r="I1671" s="39" t="n"/>
    </row>
    <row r="1672">
      <c r="A1672" s="7" t="n"/>
      <c r="B1672" s="7" t="n"/>
      <c r="C1672" s="7" t="n"/>
      <c r="D1672" s="39" t="n"/>
      <c r="E1672" s="39" t="n"/>
      <c r="F1672" s="7" t="n"/>
      <c r="G1672" s="40" t="n"/>
      <c r="H1672" s="39" t="n"/>
      <c r="I1672" s="39" t="n"/>
    </row>
    <row r="1673">
      <c r="A1673" s="7" t="n"/>
      <c r="B1673" s="7" t="n"/>
      <c r="C1673" s="7" t="n"/>
      <c r="D1673" s="39" t="n"/>
      <c r="E1673" s="39" t="n"/>
      <c r="F1673" s="7" t="n"/>
      <c r="G1673" s="40" t="n"/>
      <c r="H1673" s="39" t="n"/>
      <c r="I1673" s="39" t="n"/>
    </row>
    <row r="1674">
      <c r="A1674" s="7" t="n"/>
      <c r="B1674" s="7" t="n"/>
      <c r="C1674" s="7" t="n"/>
      <c r="D1674" s="39" t="n"/>
      <c r="E1674" s="39" t="n"/>
      <c r="F1674" s="7" t="n"/>
      <c r="G1674" s="40" t="n"/>
      <c r="H1674" s="39" t="n"/>
      <c r="I1674" s="39" t="n"/>
    </row>
    <row r="1675">
      <c r="A1675" s="7" t="n"/>
      <c r="B1675" s="7" t="n"/>
      <c r="C1675" s="7" t="n"/>
      <c r="D1675" s="39" t="n"/>
      <c r="E1675" s="39" t="n"/>
      <c r="F1675" s="7" t="n"/>
      <c r="G1675" s="40" t="n"/>
      <c r="H1675" s="39" t="n"/>
      <c r="I1675" s="39" t="n"/>
    </row>
    <row r="1676">
      <c r="A1676" s="7" t="n"/>
      <c r="B1676" s="7" t="n"/>
      <c r="C1676" s="7" t="n"/>
      <c r="D1676" s="39" t="n"/>
      <c r="E1676" s="39" t="n"/>
      <c r="F1676" s="7" t="n"/>
      <c r="G1676" s="40" t="n"/>
      <c r="H1676" s="39" t="n"/>
      <c r="I1676" s="39" t="n"/>
    </row>
    <row r="1677">
      <c r="A1677" s="7" t="n"/>
      <c r="B1677" s="7" t="n"/>
      <c r="C1677" s="7" t="n"/>
      <c r="D1677" s="39" t="n"/>
      <c r="E1677" s="39" t="n"/>
      <c r="F1677" s="7" t="n"/>
      <c r="G1677" s="40" t="n"/>
      <c r="H1677" s="39" t="n"/>
      <c r="I1677" s="39" t="n"/>
    </row>
    <row r="1678">
      <c r="A1678" s="7" t="n"/>
      <c r="B1678" s="7" t="n"/>
      <c r="C1678" s="7" t="n"/>
      <c r="D1678" s="39" t="n"/>
      <c r="E1678" s="39" t="n"/>
      <c r="F1678" s="7" t="n"/>
      <c r="G1678" s="40" t="n"/>
      <c r="H1678" s="39" t="n"/>
      <c r="I1678" s="39" t="n"/>
    </row>
    <row r="1679">
      <c r="A1679" s="7" t="n"/>
      <c r="B1679" s="7" t="n"/>
      <c r="C1679" s="7" t="n"/>
      <c r="D1679" s="39" t="n"/>
      <c r="E1679" s="39" t="n"/>
      <c r="F1679" s="7" t="n"/>
      <c r="G1679" s="40" t="n"/>
      <c r="H1679" s="39" t="n"/>
      <c r="I1679" s="39" t="n"/>
    </row>
    <row r="1680">
      <c r="A1680" s="7" t="n"/>
      <c r="B1680" s="7" t="n"/>
      <c r="C1680" s="7" t="n"/>
      <c r="D1680" s="39" t="n"/>
      <c r="E1680" s="39" t="n"/>
      <c r="F1680" s="7" t="n"/>
      <c r="G1680" s="40" t="n"/>
      <c r="H1680" s="39" t="n"/>
      <c r="I1680" s="39" t="n"/>
    </row>
    <row r="1681">
      <c r="A1681" s="7" t="n"/>
      <c r="B1681" s="7" t="n"/>
      <c r="C1681" s="7" t="n"/>
      <c r="D1681" s="39" t="n"/>
      <c r="E1681" s="39" t="n"/>
      <c r="F1681" s="7" t="n"/>
      <c r="G1681" s="40" t="n"/>
      <c r="H1681" s="39" t="n"/>
      <c r="I1681" s="39" t="n"/>
    </row>
    <row r="1682">
      <c r="A1682" s="7" t="n"/>
      <c r="B1682" s="7" t="n"/>
      <c r="C1682" s="7" t="n"/>
      <c r="D1682" s="39" t="n"/>
      <c r="E1682" s="39" t="n"/>
      <c r="F1682" s="7" t="n"/>
      <c r="G1682" s="40" t="n"/>
      <c r="H1682" s="39" t="n"/>
      <c r="I1682" s="39" t="n"/>
    </row>
    <row r="1683">
      <c r="A1683" s="7" t="n"/>
      <c r="B1683" s="7" t="n"/>
      <c r="C1683" s="7" t="n"/>
      <c r="D1683" s="39" t="n"/>
      <c r="E1683" s="39" t="n"/>
      <c r="F1683" s="7" t="n"/>
      <c r="G1683" s="40" t="n"/>
      <c r="H1683" s="39" t="n"/>
      <c r="I1683" s="39" t="n"/>
    </row>
    <row r="1684">
      <c r="A1684" s="7" t="n"/>
      <c r="B1684" s="7" t="n"/>
      <c r="C1684" s="7" t="n"/>
      <c r="D1684" s="39" t="n"/>
      <c r="E1684" s="39" t="n"/>
      <c r="F1684" s="7" t="n"/>
      <c r="G1684" s="40" t="n"/>
      <c r="H1684" s="39" t="n"/>
      <c r="I1684" s="39" t="n"/>
    </row>
    <row r="1685">
      <c r="A1685" s="7" t="n"/>
      <c r="B1685" s="7" t="n"/>
      <c r="C1685" s="7" t="n"/>
      <c r="D1685" s="39" t="n"/>
      <c r="E1685" s="39" t="n"/>
      <c r="F1685" s="7" t="n"/>
      <c r="G1685" s="40" t="n"/>
      <c r="H1685" s="39" t="n"/>
      <c r="I1685" s="39" t="n"/>
    </row>
    <row r="1686">
      <c r="A1686" s="7" t="n"/>
      <c r="B1686" s="7" t="n"/>
      <c r="C1686" s="7" t="n"/>
      <c r="D1686" s="39" t="n"/>
      <c r="E1686" s="39" t="n"/>
      <c r="F1686" s="7" t="n"/>
      <c r="G1686" s="40" t="n"/>
      <c r="H1686" s="39" t="n"/>
      <c r="I1686" s="39" t="n"/>
    </row>
    <row r="1687">
      <c r="A1687" s="7" t="n"/>
      <c r="B1687" s="7" t="n"/>
      <c r="C1687" s="7" t="n"/>
      <c r="D1687" s="39" t="n"/>
      <c r="E1687" s="39" t="n"/>
      <c r="F1687" s="7" t="n"/>
      <c r="G1687" s="40" t="n"/>
      <c r="H1687" s="39" t="n"/>
      <c r="I1687" s="39" t="n"/>
    </row>
    <row r="1688">
      <c r="A1688" s="7" t="n"/>
      <c r="B1688" s="7" t="n"/>
      <c r="C1688" s="7" t="n"/>
      <c r="D1688" s="39" t="n"/>
      <c r="E1688" s="39" t="n"/>
      <c r="F1688" s="7" t="n"/>
      <c r="G1688" s="40" t="n"/>
      <c r="H1688" s="39" t="n"/>
      <c r="I1688" s="39" t="n"/>
    </row>
    <row r="1689">
      <c r="A1689" s="7" t="n"/>
      <c r="B1689" s="7" t="n"/>
      <c r="C1689" s="7" t="n"/>
      <c r="D1689" s="39" t="n"/>
      <c r="E1689" s="39" t="n"/>
      <c r="F1689" s="7" t="n"/>
      <c r="G1689" s="40" t="n"/>
      <c r="H1689" s="39" t="n"/>
      <c r="I1689" s="39" t="n"/>
    </row>
    <row r="1690">
      <c r="A1690" s="7" t="n"/>
      <c r="B1690" s="7" t="n"/>
      <c r="C1690" s="7" t="n"/>
      <c r="D1690" s="39" t="n"/>
      <c r="E1690" s="39" t="n"/>
      <c r="F1690" s="7" t="n"/>
      <c r="G1690" s="40" t="n"/>
      <c r="H1690" s="39" t="n"/>
      <c r="I1690" s="39" t="n"/>
    </row>
    <row r="1691">
      <c r="A1691" s="7" t="n"/>
      <c r="B1691" s="7" t="n"/>
      <c r="C1691" s="7" t="n"/>
      <c r="D1691" s="39" t="n"/>
      <c r="E1691" s="39" t="n"/>
      <c r="F1691" s="7" t="n"/>
      <c r="G1691" s="40" t="n"/>
      <c r="H1691" s="39" t="n"/>
      <c r="I1691" s="39" t="n"/>
    </row>
    <row r="1692">
      <c r="A1692" s="7" t="n"/>
      <c r="B1692" s="7" t="n"/>
      <c r="C1692" s="7" t="n"/>
      <c r="D1692" s="39" t="n"/>
      <c r="E1692" s="39" t="n"/>
      <c r="F1692" s="7" t="n"/>
      <c r="G1692" s="40" t="n"/>
      <c r="H1692" s="39" t="n"/>
      <c r="I1692" s="39" t="n"/>
    </row>
    <row r="1693">
      <c r="A1693" s="7" t="n"/>
      <c r="B1693" s="7" t="n"/>
      <c r="C1693" s="7" t="n"/>
      <c r="D1693" s="39" t="n"/>
      <c r="E1693" s="39" t="n"/>
      <c r="F1693" s="7" t="n"/>
      <c r="G1693" s="40" t="n"/>
      <c r="H1693" s="39" t="n"/>
      <c r="I1693" s="39" t="n"/>
    </row>
    <row r="1694">
      <c r="A1694" s="7" t="n"/>
      <c r="B1694" s="7" t="n"/>
      <c r="C1694" s="7" t="n"/>
      <c r="D1694" s="39" t="n"/>
      <c r="E1694" s="39" t="n"/>
      <c r="F1694" s="7" t="n"/>
      <c r="G1694" s="40" t="n"/>
      <c r="H1694" s="39" t="n"/>
      <c r="I1694" s="39" t="n"/>
    </row>
    <row r="1695">
      <c r="A1695" s="7" t="n"/>
      <c r="B1695" s="7" t="n"/>
      <c r="C1695" s="7" t="n"/>
      <c r="D1695" s="39" t="n"/>
      <c r="E1695" s="39" t="n"/>
      <c r="F1695" s="7" t="n"/>
      <c r="G1695" s="40" t="n"/>
      <c r="H1695" s="39" t="n"/>
      <c r="I1695" s="39" t="n"/>
    </row>
    <row r="1696">
      <c r="A1696" s="7" t="n"/>
      <c r="B1696" s="7" t="n"/>
      <c r="C1696" s="7" t="n"/>
      <c r="D1696" s="39" t="n"/>
      <c r="E1696" s="39" t="n"/>
      <c r="F1696" s="7" t="n"/>
      <c r="G1696" s="40" t="n"/>
      <c r="H1696" s="39" t="n"/>
      <c r="I1696" s="39" t="n"/>
    </row>
    <row r="1697">
      <c r="A1697" s="7" t="n"/>
      <c r="B1697" s="7" t="n"/>
      <c r="C1697" s="7" t="n"/>
      <c r="D1697" s="39" t="n"/>
      <c r="E1697" s="39" t="n"/>
      <c r="F1697" s="7" t="n"/>
      <c r="G1697" s="40" t="n"/>
      <c r="H1697" s="39" t="n"/>
      <c r="I1697" s="39" t="n"/>
    </row>
    <row r="1698">
      <c r="A1698" s="7" t="n"/>
      <c r="B1698" s="7" t="n"/>
      <c r="C1698" s="7" t="n"/>
      <c r="D1698" s="39" t="n"/>
      <c r="E1698" s="39" t="n"/>
      <c r="F1698" s="7" t="n"/>
      <c r="G1698" s="40" t="n"/>
      <c r="H1698" s="39" t="n"/>
      <c r="I1698" s="39" t="n"/>
    </row>
    <row r="1699">
      <c r="A1699" s="7" t="n"/>
      <c r="B1699" s="7" t="n"/>
      <c r="C1699" s="7" t="n"/>
      <c r="D1699" s="39" t="n"/>
      <c r="E1699" s="39" t="n"/>
      <c r="F1699" s="7" t="n"/>
      <c r="G1699" s="40" t="n"/>
      <c r="H1699" s="39" t="n"/>
      <c r="I1699" s="39" t="n"/>
    </row>
    <row r="1700">
      <c r="A1700" s="7" t="n"/>
      <c r="B1700" s="7" t="n"/>
      <c r="C1700" s="7" t="n"/>
      <c r="D1700" s="39" t="n"/>
      <c r="E1700" s="39" t="n"/>
      <c r="F1700" s="7" t="n"/>
      <c r="G1700" s="40" t="n"/>
      <c r="H1700" s="39" t="n"/>
      <c r="I1700" s="39" t="n"/>
    </row>
    <row r="1701">
      <c r="A1701" s="7" t="n"/>
      <c r="B1701" s="7" t="n"/>
      <c r="C1701" s="7" t="n"/>
      <c r="D1701" s="39" t="n"/>
      <c r="E1701" s="39" t="n"/>
      <c r="F1701" s="7" t="n"/>
      <c r="G1701" s="40" t="n"/>
      <c r="H1701" s="39" t="n"/>
      <c r="I1701" s="39" t="n"/>
    </row>
    <row r="1702">
      <c r="A1702" s="7" t="n"/>
      <c r="B1702" s="7" t="n"/>
      <c r="C1702" s="7" t="n"/>
      <c r="D1702" s="39" t="n"/>
      <c r="E1702" s="39" t="n"/>
      <c r="F1702" s="7" t="n"/>
      <c r="G1702" s="40" t="n"/>
      <c r="H1702" s="39" t="n"/>
      <c r="I1702" s="39" t="n"/>
    </row>
    <row r="1703">
      <c r="A1703" s="7" t="n"/>
      <c r="B1703" s="7" t="n"/>
      <c r="C1703" s="7" t="n"/>
      <c r="D1703" s="39" t="n"/>
      <c r="E1703" s="39" t="n"/>
      <c r="F1703" s="7" t="n"/>
      <c r="G1703" s="40" t="n"/>
      <c r="H1703" s="39" t="n"/>
      <c r="I1703" s="39" t="n"/>
    </row>
    <row r="1704">
      <c r="A1704" s="7" t="n"/>
      <c r="B1704" s="7" t="n"/>
      <c r="C1704" s="7" t="n"/>
      <c r="D1704" s="39" t="n"/>
      <c r="E1704" s="39" t="n"/>
      <c r="F1704" s="7" t="n"/>
      <c r="G1704" s="40" t="n"/>
      <c r="H1704" s="39" t="n"/>
      <c r="I1704" s="39" t="n"/>
    </row>
    <row r="1705">
      <c r="A1705" s="7" t="n"/>
      <c r="B1705" s="7" t="n"/>
      <c r="C1705" s="7" t="n"/>
      <c r="D1705" s="39" t="n"/>
      <c r="E1705" s="39" t="n"/>
      <c r="F1705" s="7" t="n"/>
      <c r="G1705" s="40" t="n"/>
      <c r="H1705" s="39" t="n"/>
      <c r="I1705" s="39" t="n"/>
    </row>
    <row r="1706">
      <c r="A1706" s="7" t="n"/>
      <c r="B1706" s="7" t="n"/>
      <c r="C1706" s="7" t="n"/>
      <c r="D1706" s="39" t="n"/>
      <c r="E1706" s="39" t="n"/>
      <c r="F1706" s="7" t="n"/>
      <c r="G1706" s="40" t="n"/>
      <c r="H1706" s="39" t="n"/>
      <c r="I1706" s="39" t="n"/>
    </row>
    <row r="1707">
      <c r="A1707" s="7" t="n"/>
      <c r="B1707" s="7" t="n"/>
      <c r="C1707" s="7" t="n"/>
      <c r="D1707" s="39" t="n"/>
      <c r="E1707" s="39" t="n"/>
      <c r="F1707" s="7" t="n"/>
      <c r="G1707" s="40" t="n"/>
      <c r="H1707" s="39" t="n"/>
      <c r="I1707" s="39" t="n"/>
    </row>
    <row r="1708">
      <c r="A1708" s="7" t="n"/>
      <c r="B1708" s="7" t="n"/>
      <c r="C1708" s="7" t="n"/>
      <c r="D1708" s="39" t="n"/>
      <c r="E1708" s="39" t="n"/>
      <c r="F1708" s="7" t="n"/>
      <c r="G1708" s="40" t="n"/>
      <c r="H1708" s="39" t="n"/>
      <c r="I1708" s="39" t="n"/>
    </row>
    <row r="1709">
      <c r="A1709" s="7" t="n"/>
      <c r="B1709" s="7" t="n"/>
      <c r="C1709" s="7" t="n"/>
      <c r="D1709" s="39" t="n"/>
      <c r="E1709" s="39" t="n"/>
      <c r="F1709" s="7" t="n"/>
      <c r="G1709" s="40" t="n"/>
      <c r="H1709" s="39" t="n"/>
      <c r="I1709" s="39" t="n"/>
    </row>
    <row r="1710">
      <c r="A1710" s="7" t="n"/>
      <c r="B1710" s="7" t="n"/>
      <c r="C1710" s="7" t="n"/>
      <c r="D1710" s="39" t="n"/>
      <c r="E1710" s="39" t="n"/>
      <c r="F1710" s="7" t="n"/>
      <c r="G1710" s="40" t="n"/>
      <c r="H1710" s="39" t="n"/>
      <c r="I1710" s="39" t="n"/>
    </row>
    <row r="1711">
      <c r="A1711" s="7" t="n"/>
      <c r="B1711" s="7" t="n"/>
      <c r="C1711" s="7" t="n"/>
      <c r="D1711" s="39" t="n"/>
      <c r="E1711" s="39" t="n"/>
      <c r="F1711" s="7" t="n"/>
      <c r="G1711" s="40" t="n"/>
      <c r="H1711" s="39" t="n"/>
      <c r="I1711" s="39" t="n"/>
    </row>
    <row r="1712">
      <c r="A1712" s="7" t="n"/>
      <c r="B1712" s="7" t="n"/>
      <c r="C1712" s="7" t="n"/>
      <c r="D1712" s="39" t="n"/>
      <c r="E1712" s="39" t="n"/>
      <c r="F1712" s="7" t="n"/>
      <c r="G1712" s="40" t="n"/>
      <c r="H1712" s="39" t="n"/>
      <c r="I1712" s="39" t="n"/>
    </row>
    <row r="1713">
      <c r="A1713" s="7" t="n"/>
      <c r="B1713" s="7" t="n"/>
      <c r="C1713" s="7" t="n"/>
      <c r="D1713" s="39" t="n"/>
      <c r="E1713" s="39" t="n"/>
      <c r="F1713" s="7" t="n"/>
      <c r="G1713" s="40" t="n"/>
      <c r="H1713" s="39" t="n"/>
      <c r="I1713" s="39" t="n"/>
    </row>
    <row r="1714">
      <c r="A1714" s="7" t="n"/>
      <c r="B1714" s="7" t="n"/>
      <c r="C1714" s="7" t="n"/>
      <c r="D1714" s="39" t="n"/>
      <c r="E1714" s="39" t="n"/>
      <c r="F1714" s="7" t="n"/>
      <c r="G1714" s="40" t="n"/>
      <c r="H1714" s="39" t="n"/>
      <c r="I1714" s="39" t="n"/>
    </row>
    <row r="1715">
      <c r="A1715" s="7" t="n"/>
      <c r="B1715" s="7" t="n"/>
      <c r="C1715" s="7" t="n"/>
      <c r="D1715" s="39" t="n"/>
      <c r="E1715" s="39" t="n"/>
      <c r="F1715" s="7" t="n"/>
      <c r="G1715" s="40" t="n"/>
      <c r="H1715" s="39" t="n"/>
      <c r="I1715" s="39" t="n"/>
    </row>
    <row r="1716">
      <c r="A1716" s="7" t="n"/>
      <c r="B1716" s="7" t="n"/>
      <c r="C1716" s="7" t="n"/>
      <c r="D1716" s="39" t="n"/>
      <c r="E1716" s="39" t="n"/>
      <c r="F1716" s="7" t="n"/>
      <c r="G1716" s="40" t="n"/>
      <c r="H1716" s="39" t="n"/>
      <c r="I1716" s="39" t="n"/>
    </row>
    <row r="1717">
      <c r="A1717" s="7" t="n"/>
      <c r="B1717" s="7" t="n"/>
      <c r="C1717" s="7" t="n"/>
      <c r="D1717" s="39" t="n"/>
      <c r="E1717" s="39" t="n"/>
      <c r="F1717" s="7" t="n"/>
      <c r="G1717" s="40" t="n"/>
      <c r="H1717" s="39" t="n"/>
      <c r="I1717" s="39" t="n"/>
    </row>
    <row r="1718">
      <c r="A1718" s="7" t="n"/>
      <c r="B1718" s="7" t="n"/>
      <c r="C1718" s="7" t="n"/>
      <c r="D1718" s="39" t="n"/>
      <c r="E1718" s="39" t="n"/>
      <c r="F1718" s="7" t="n"/>
      <c r="G1718" s="40" t="n"/>
      <c r="H1718" s="39" t="n"/>
      <c r="I1718" s="39" t="n"/>
    </row>
    <row r="1719">
      <c r="A1719" s="7" t="n"/>
      <c r="B1719" s="7" t="n"/>
      <c r="C1719" s="7" t="n"/>
      <c r="D1719" s="39" t="n"/>
      <c r="E1719" s="39" t="n"/>
      <c r="F1719" s="7" t="n"/>
      <c r="G1719" s="40" t="n"/>
      <c r="H1719" s="39" t="n"/>
      <c r="I1719" s="39" t="n"/>
    </row>
    <row r="1720">
      <c r="A1720" s="7" t="n"/>
      <c r="B1720" s="7" t="n"/>
      <c r="C1720" s="7" t="n"/>
      <c r="D1720" s="39" t="n"/>
      <c r="E1720" s="39" t="n"/>
      <c r="F1720" s="7" t="n"/>
      <c r="G1720" s="40" t="n"/>
      <c r="H1720" s="39" t="n"/>
      <c r="I1720" s="39" t="n"/>
    </row>
    <row r="1721">
      <c r="A1721" s="7" t="n"/>
      <c r="B1721" s="7" t="n"/>
      <c r="C1721" s="7" t="n"/>
      <c r="D1721" s="39" t="n"/>
      <c r="E1721" s="39" t="n"/>
      <c r="F1721" s="7" t="n"/>
      <c r="G1721" s="40" t="n"/>
      <c r="H1721" s="39" t="n"/>
      <c r="I1721" s="39" t="n"/>
    </row>
    <row r="1722">
      <c r="A1722" s="7" t="n"/>
      <c r="B1722" s="7" t="n"/>
      <c r="C1722" s="7" t="n"/>
      <c r="D1722" s="39" t="n"/>
      <c r="E1722" s="39" t="n"/>
      <c r="F1722" s="7" t="n"/>
      <c r="G1722" s="40" t="n"/>
      <c r="H1722" s="39" t="n"/>
      <c r="I1722" s="39" t="n"/>
    </row>
    <row r="1723">
      <c r="A1723" s="7" t="n"/>
      <c r="B1723" s="7" t="n"/>
      <c r="C1723" s="7" t="n"/>
      <c r="D1723" s="39" t="n"/>
      <c r="E1723" s="39" t="n"/>
      <c r="F1723" s="7" t="n"/>
      <c r="G1723" s="40" t="n"/>
      <c r="H1723" s="39" t="n"/>
      <c r="I1723" s="39" t="n"/>
    </row>
    <row r="1724">
      <c r="A1724" s="7" t="n"/>
      <c r="B1724" s="7" t="n"/>
      <c r="C1724" s="7" t="n"/>
      <c r="D1724" s="39" t="n"/>
      <c r="E1724" s="39" t="n"/>
      <c r="F1724" s="7" t="n"/>
      <c r="G1724" s="40" t="n"/>
      <c r="H1724" s="39" t="n"/>
      <c r="I1724" s="39" t="n"/>
    </row>
    <row r="1725">
      <c r="A1725" s="7" t="n"/>
      <c r="B1725" s="7" t="n"/>
      <c r="C1725" s="7" t="n"/>
      <c r="D1725" s="39" t="n"/>
      <c r="E1725" s="39" t="n"/>
      <c r="F1725" s="7" t="n"/>
      <c r="G1725" s="40" t="n"/>
      <c r="H1725" s="39" t="n"/>
      <c r="I1725" s="39" t="n"/>
    </row>
    <row r="1726">
      <c r="A1726" s="7" t="n"/>
      <c r="B1726" s="7" t="n"/>
      <c r="C1726" s="7" t="n"/>
      <c r="D1726" s="39" t="n"/>
      <c r="E1726" s="39" t="n"/>
      <c r="F1726" s="7" t="n"/>
      <c r="G1726" s="40" t="n"/>
      <c r="H1726" s="39" t="n"/>
      <c r="I1726" s="39" t="n"/>
    </row>
    <row r="1727">
      <c r="A1727" s="7" t="n"/>
      <c r="B1727" s="7" t="n"/>
      <c r="C1727" s="7" t="n"/>
      <c r="D1727" s="39" t="n"/>
      <c r="E1727" s="39" t="n"/>
      <c r="F1727" s="7" t="n"/>
      <c r="G1727" s="40" t="n"/>
      <c r="H1727" s="39" t="n"/>
      <c r="I1727" s="39" t="n"/>
    </row>
    <row r="1728">
      <c r="A1728" s="7" t="n"/>
      <c r="B1728" s="7" t="n"/>
      <c r="C1728" s="7" t="n"/>
      <c r="D1728" s="39" t="n"/>
      <c r="E1728" s="39" t="n"/>
      <c r="F1728" s="7" t="n"/>
      <c r="G1728" s="40" t="n"/>
      <c r="H1728" s="39" t="n"/>
      <c r="I1728" s="39" t="n"/>
    </row>
    <row r="1729">
      <c r="A1729" s="7" t="n"/>
      <c r="B1729" s="7" t="n"/>
      <c r="C1729" s="7" t="n"/>
      <c r="D1729" s="39" t="n"/>
      <c r="E1729" s="39" t="n"/>
      <c r="F1729" s="7" t="n"/>
      <c r="G1729" s="40" t="n"/>
      <c r="H1729" s="39" t="n"/>
      <c r="I1729" s="39" t="n"/>
    </row>
    <row r="1730">
      <c r="A1730" s="7" t="n"/>
      <c r="B1730" s="7" t="n"/>
      <c r="C1730" s="7" t="n"/>
      <c r="D1730" s="39" t="n"/>
      <c r="E1730" s="39" t="n"/>
      <c r="F1730" s="7" t="n"/>
      <c r="G1730" s="40" t="n"/>
      <c r="H1730" s="39" t="n"/>
      <c r="I1730" s="39" t="n"/>
    </row>
    <row r="1731">
      <c r="A1731" s="7" t="n"/>
      <c r="B1731" s="7" t="n"/>
      <c r="C1731" s="7" t="n"/>
      <c r="D1731" s="39" t="n"/>
      <c r="E1731" s="39" t="n"/>
      <c r="F1731" s="7" t="n"/>
      <c r="G1731" s="40" t="n"/>
      <c r="H1731" s="39" t="n"/>
      <c r="I1731" s="39" t="n"/>
    </row>
    <row r="1732">
      <c r="A1732" s="7" t="n"/>
      <c r="B1732" s="7" t="n"/>
      <c r="C1732" s="7" t="n"/>
      <c r="D1732" s="39" t="n"/>
      <c r="E1732" s="39" t="n"/>
      <c r="F1732" s="7" t="n"/>
      <c r="G1732" s="40" t="n"/>
      <c r="H1732" s="39" t="n"/>
      <c r="I1732" s="39" t="n"/>
    </row>
    <row r="1733">
      <c r="A1733" s="7" t="n"/>
      <c r="B1733" s="7" t="n"/>
      <c r="C1733" s="7" t="n"/>
      <c r="D1733" s="39" t="n"/>
      <c r="E1733" s="39" t="n"/>
      <c r="F1733" s="7" t="n"/>
      <c r="G1733" s="40" t="n"/>
      <c r="H1733" s="39" t="n"/>
      <c r="I1733" s="39" t="n"/>
    </row>
    <row r="1734">
      <c r="A1734" s="7" t="n"/>
      <c r="B1734" s="7" t="n"/>
      <c r="C1734" s="7" t="n"/>
      <c r="D1734" s="39" t="n"/>
      <c r="E1734" s="39" t="n"/>
      <c r="F1734" s="7" t="n"/>
      <c r="G1734" s="40" t="n"/>
      <c r="H1734" s="39" t="n"/>
      <c r="I1734" s="39" t="n"/>
    </row>
    <row r="1735">
      <c r="A1735" s="7" t="n"/>
      <c r="B1735" s="7" t="n"/>
      <c r="C1735" s="7" t="n"/>
      <c r="D1735" s="39" t="n"/>
      <c r="E1735" s="39" t="n"/>
      <c r="F1735" s="7" t="n"/>
      <c r="G1735" s="40" t="n"/>
      <c r="H1735" s="39" t="n"/>
      <c r="I1735" s="39" t="n"/>
    </row>
    <row r="1736">
      <c r="A1736" s="7" t="n"/>
      <c r="B1736" s="7" t="n"/>
      <c r="C1736" s="7" t="n"/>
      <c r="D1736" s="39" t="n"/>
      <c r="E1736" s="39" t="n"/>
      <c r="F1736" s="7" t="n"/>
      <c r="G1736" s="40" t="n"/>
      <c r="H1736" s="39" t="n"/>
      <c r="I1736" s="39" t="n"/>
    </row>
    <row r="1737">
      <c r="A1737" s="7" t="n"/>
      <c r="B1737" s="7" t="n"/>
      <c r="C1737" s="7" t="n"/>
      <c r="D1737" s="39" t="n"/>
      <c r="E1737" s="39" t="n"/>
      <c r="F1737" s="7" t="n"/>
      <c r="G1737" s="40" t="n"/>
      <c r="H1737" s="39" t="n"/>
      <c r="I1737" s="39" t="n"/>
    </row>
    <row r="1738">
      <c r="A1738" s="7" t="n"/>
      <c r="B1738" s="7" t="n"/>
      <c r="C1738" s="7" t="n"/>
      <c r="D1738" s="39" t="n"/>
      <c r="E1738" s="39" t="n"/>
      <c r="F1738" s="7" t="n"/>
      <c r="G1738" s="40" t="n"/>
      <c r="H1738" s="39" t="n"/>
      <c r="I1738" s="39" t="n"/>
    </row>
    <row r="1739">
      <c r="A1739" s="7" t="n"/>
      <c r="B1739" s="7" t="n"/>
      <c r="C1739" s="7" t="n"/>
      <c r="D1739" s="39" t="n"/>
      <c r="E1739" s="39" t="n"/>
      <c r="F1739" s="7" t="n"/>
      <c r="G1739" s="40" t="n"/>
      <c r="H1739" s="39" t="n"/>
      <c r="I1739" s="39" t="n"/>
    </row>
    <row r="1740">
      <c r="A1740" s="7" t="n"/>
      <c r="B1740" s="7" t="n"/>
      <c r="C1740" s="7" t="n"/>
      <c r="D1740" s="39" t="n"/>
      <c r="E1740" s="39" t="n"/>
      <c r="F1740" s="7" t="n"/>
      <c r="G1740" s="40" t="n"/>
      <c r="H1740" s="39" t="n"/>
      <c r="I1740" s="39" t="n"/>
    </row>
    <row r="1741">
      <c r="A1741" s="7" t="n"/>
      <c r="B1741" s="7" t="n"/>
      <c r="C1741" s="7" t="n"/>
      <c r="D1741" s="39" t="n"/>
      <c r="E1741" s="39" t="n"/>
      <c r="F1741" s="7" t="n"/>
      <c r="G1741" s="40" t="n"/>
      <c r="H1741" s="39" t="n"/>
      <c r="I1741" s="39" t="n"/>
    </row>
    <row r="1742">
      <c r="A1742" s="7" t="n"/>
      <c r="B1742" s="7" t="n"/>
      <c r="C1742" s="7" t="n"/>
      <c r="D1742" s="39" t="n"/>
      <c r="E1742" s="39" t="n"/>
      <c r="F1742" s="7" t="n"/>
      <c r="G1742" s="40" t="n"/>
      <c r="H1742" s="39" t="n"/>
      <c r="I1742" s="39" t="n"/>
    </row>
    <row r="1743">
      <c r="A1743" s="7" t="n"/>
      <c r="B1743" s="7" t="n"/>
      <c r="C1743" s="7" t="n"/>
      <c r="D1743" s="39" t="n"/>
      <c r="E1743" s="39" t="n"/>
      <c r="F1743" s="7" t="n"/>
      <c r="G1743" s="40" t="n"/>
      <c r="H1743" s="39" t="n"/>
      <c r="I1743" s="39" t="n"/>
    </row>
    <row r="1744">
      <c r="A1744" s="7" t="n"/>
      <c r="B1744" s="7" t="n"/>
      <c r="C1744" s="7" t="n"/>
      <c r="D1744" s="39" t="n"/>
      <c r="E1744" s="39" t="n"/>
      <c r="F1744" s="7" t="n"/>
      <c r="G1744" s="40" t="n"/>
      <c r="H1744" s="39" t="n"/>
      <c r="I1744" s="39" t="n"/>
    </row>
    <row r="1745">
      <c r="A1745" s="7" t="n"/>
      <c r="B1745" s="7" t="n"/>
      <c r="C1745" s="7" t="n"/>
      <c r="D1745" s="39" t="n"/>
      <c r="E1745" s="39" t="n"/>
      <c r="F1745" s="7" t="n"/>
      <c r="G1745" s="40" t="n"/>
      <c r="H1745" s="39" t="n"/>
      <c r="I1745" s="39" t="n"/>
    </row>
    <row r="1746">
      <c r="A1746" s="7" t="n"/>
      <c r="B1746" s="7" t="n"/>
      <c r="C1746" s="7" t="n"/>
      <c r="D1746" s="39" t="n"/>
      <c r="E1746" s="39" t="n"/>
      <c r="F1746" s="7" t="n"/>
      <c r="G1746" s="40" t="n"/>
      <c r="H1746" s="39" t="n"/>
      <c r="I1746" s="39" t="n"/>
    </row>
    <row r="1747">
      <c r="A1747" s="7" t="n"/>
      <c r="B1747" s="7" t="n"/>
      <c r="C1747" s="7" t="n"/>
      <c r="D1747" s="39" t="n"/>
      <c r="E1747" s="39" t="n"/>
      <c r="F1747" s="7" t="n"/>
      <c r="G1747" s="40" t="n"/>
      <c r="H1747" s="39" t="n"/>
      <c r="I1747" s="39" t="n"/>
    </row>
    <row r="1748">
      <c r="A1748" s="7" t="n"/>
      <c r="B1748" s="7" t="n"/>
      <c r="C1748" s="7" t="n"/>
      <c r="D1748" s="39" t="n"/>
      <c r="E1748" s="39" t="n"/>
      <c r="F1748" s="7" t="n"/>
      <c r="G1748" s="40" t="n"/>
      <c r="H1748" s="39" t="n"/>
      <c r="I1748" s="39" t="n"/>
    </row>
    <row r="1749">
      <c r="A1749" s="7" t="n"/>
      <c r="B1749" s="7" t="n"/>
      <c r="C1749" s="7" t="n"/>
      <c r="D1749" s="39" t="n"/>
      <c r="E1749" s="39" t="n"/>
      <c r="F1749" s="7" t="n"/>
      <c r="G1749" s="40" t="n"/>
      <c r="H1749" s="39" t="n"/>
      <c r="I1749" s="39" t="n"/>
    </row>
    <row r="1750">
      <c r="A1750" s="7" t="n"/>
      <c r="B1750" s="7" t="n"/>
      <c r="C1750" s="7" t="n"/>
      <c r="D1750" s="39" t="n"/>
      <c r="E1750" s="39" t="n"/>
      <c r="F1750" s="7" t="n"/>
      <c r="G1750" s="40" t="n"/>
      <c r="H1750" s="39" t="n"/>
      <c r="I1750" s="39" t="n"/>
    </row>
    <row r="1751">
      <c r="A1751" s="7" t="n"/>
      <c r="B1751" s="7" t="n"/>
      <c r="C1751" s="7" t="n"/>
      <c r="D1751" s="39" t="n"/>
      <c r="E1751" s="39" t="n"/>
      <c r="F1751" s="7" t="n"/>
      <c r="G1751" s="40" t="n"/>
      <c r="H1751" s="39" t="n"/>
      <c r="I1751" s="39" t="n"/>
    </row>
    <row r="1752">
      <c r="A1752" s="7" t="n"/>
      <c r="B1752" s="7" t="n"/>
      <c r="C1752" s="7" t="n"/>
      <c r="D1752" s="39" t="n"/>
      <c r="E1752" s="39" t="n"/>
      <c r="F1752" s="7" t="n"/>
      <c r="G1752" s="40" t="n"/>
      <c r="H1752" s="39" t="n"/>
      <c r="I1752" s="39" t="n"/>
    </row>
    <row r="1753">
      <c r="A1753" s="7" t="n"/>
      <c r="B1753" s="7" t="n"/>
      <c r="C1753" s="7" t="n"/>
      <c r="D1753" s="39" t="n"/>
      <c r="E1753" s="39" t="n"/>
      <c r="F1753" s="7" t="n"/>
      <c r="G1753" s="40" t="n"/>
      <c r="H1753" s="39" t="n"/>
      <c r="I1753" s="39" t="n"/>
    </row>
    <row r="1754">
      <c r="A1754" s="7" t="n"/>
      <c r="B1754" s="7" t="n"/>
      <c r="C1754" s="7" t="n"/>
      <c r="D1754" s="39" t="n"/>
      <c r="E1754" s="39" t="n"/>
      <c r="F1754" s="7" t="n"/>
      <c r="G1754" s="40" t="n"/>
      <c r="H1754" s="39" t="n"/>
      <c r="I1754" s="39" t="n"/>
    </row>
    <row r="1755">
      <c r="A1755" s="7" t="n"/>
      <c r="B1755" s="7" t="n"/>
      <c r="C1755" s="7" t="n"/>
      <c r="D1755" s="39" t="n"/>
      <c r="E1755" s="39" t="n"/>
      <c r="F1755" s="7" t="n"/>
      <c r="G1755" s="40" t="n"/>
      <c r="H1755" s="39" t="n"/>
      <c r="I1755" s="39" t="n"/>
    </row>
    <row r="1756">
      <c r="A1756" s="7" t="n"/>
      <c r="B1756" s="7" t="n"/>
      <c r="C1756" s="7" t="n"/>
      <c r="D1756" s="39" t="n"/>
      <c r="E1756" s="39" t="n"/>
      <c r="F1756" s="7" t="n"/>
      <c r="G1756" s="40" t="n"/>
      <c r="H1756" s="39" t="n"/>
      <c r="I1756" s="39" t="n"/>
    </row>
    <row r="1757">
      <c r="A1757" s="7" t="n"/>
      <c r="B1757" s="7" t="n"/>
      <c r="C1757" s="7" t="n"/>
      <c r="D1757" s="39" t="n"/>
      <c r="E1757" s="39" t="n"/>
      <c r="F1757" s="7" t="n"/>
      <c r="G1757" s="40" t="n"/>
      <c r="H1757" s="39" t="n"/>
      <c r="I1757" s="39" t="n"/>
    </row>
    <row r="1758">
      <c r="A1758" s="7" t="n"/>
      <c r="B1758" s="7" t="n"/>
      <c r="C1758" s="7" t="n"/>
      <c r="D1758" s="39" t="n"/>
      <c r="E1758" s="39" t="n"/>
      <c r="F1758" s="7" t="n"/>
      <c r="G1758" s="40" t="n"/>
      <c r="H1758" s="39" t="n"/>
      <c r="I1758" s="39" t="n"/>
    </row>
    <row r="1759">
      <c r="A1759" s="7" t="n"/>
      <c r="B1759" s="7" t="n"/>
      <c r="C1759" s="7" t="n"/>
      <c r="D1759" s="39" t="n"/>
      <c r="E1759" s="39" t="n"/>
      <c r="F1759" s="7" t="n"/>
      <c r="G1759" s="40" t="n"/>
      <c r="H1759" s="39" t="n"/>
      <c r="I1759" s="39" t="n"/>
    </row>
    <row r="1760">
      <c r="A1760" s="7" t="n"/>
      <c r="B1760" s="7" t="n"/>
      <c r="C1760" s="7" t="n"/>
      <c r="D1760" s="39" t="n"/>
      <c r="E1760" s="39" t="n"/>
      <c r="F1760" s="7" t="n"/>
      <c r="G1760" s="40" t="n"/>
      <c r="H1760" s="39" t="n"/>
      <c r="I1760" s="39" t="n"/>
    </row>
    <row r="1761">
      <c r="A1761" s="7" t="n"/>
      <c r="B1761" s="7" t="n"/>
      <c r="C1761" s="7" t="n"/>
      <c r="D1761" s="39" t="n"/>
      <c r="E1761" s="39" t="n"/>
      <c r="F1761" s="7" t="n"/>
      <c r="G1761" s="40" t="n"/>
      <c r="H1761" s="39" t="n"/>
      <c r="I1761" s="39" t="n"/>
    </row>
    <row r="1762">
      <c r="A1762" s="7" t="n"/>
      <c r="B1762" s="7" t="n"/>
      <c r="C1762" s="7" t="n"/>
      <c r="D1762" s="39" t="n"/>
      <c r="E1762" s="39" t="n"/>
      <c r="F1762" s="7" t="n"/>
      <c r="G1762" s="40" t="n"/>
      <c r="H1762" s="39" t="n"/>
      <c r="I1762" s="39" t="n"/>
    </row>
    <row r="1763">
      <c r="A1763" s="7" t="n"/>
      <c r="B1763" s="7" t="n"/>
      <c r="C1763" s="7" t="n"/>
      <c r="D1763" s="39" t="n"/>
      <c r="E1763" s="39" t="n"/>
      <c r="F1763" s="7" t="n"/>
      <c r="G1763" s="40" t="n"/>
      <c r="H1763" s="39" t="n"/>
      <c r="I1763" s="39" t="n"/>
    </row>
    <row r="1764">
      <c r="A1764" s="7" t="n"/>
      <c r="B1764" s="7" t="n"/>
      <c r="C1764" s="7" t="n"/>
      <c r="D1764" s="39" t="n"/>
      <c r="E1764" s="39" t="n"/>
      <c r="F1764" s="7" t="n"/>
      <c r="G1764" s="40" t="n"/>
      <c r="H1764" s="39" t="n"/>
      <c r="I1764" s="39" t="n"/>
    </row>
    <row r="1765">
      <c r="A1765" s="7" t="n"/>
      <c r="B1765" s="7" t="n"/>
      <c r="C1765" s="7" t="n"/>
      <c r="D1765" s="39" t="n"/>
      <c r="E1765" s="39" t="n"/>
      <c r="F1765" s="7" t="n"/>
      <c r="G1765" s="40" t="n"/>
      <c r="H1765" s="39" t="n"/>
      <c r="I1765" s="39" t="n"/>
    </row>
    <row r="1766">
      <c r="A1766" s="7" t="n"/>
      <c r="B1766" s="7" t="n"/>
      <c r="C1766" s="7" t="n"/>
      <c r="D1766" s="39" t="n"/>
      <c r="E1766" s="39" t="n"/>
      <c r="F1766" s="7" t="n"/>
      <c r="G1766" s="40" t="n"/>
      <c r="H1766" s="39" t="n"/>
      <c r="I1766" s="39" t="n"/>
    </row>
    <row r="1767">
      <c r="A1767" s="7" t="n"/>
      <c r="B1767" s="7" t="n"/>
      <c r="C1767" s="7" t="n"/>
      <c r="D1767" s="39" t="n"/>
      <c r="E1767" s="39" t="n"/>
      <c r="F1767" s="7" t="n"/>
      <c r="G1767" s="40" t="n"/>
      <c r="H1767" s="39" t="n"/>
      <c r="I1767" s="39" t="n"/>
    </row>
    <row r="1768">
      <c r="A1768" s="7" t="n"/>
      <c r="B1768" s="7" t="n"/>
      <c r="C1768" s="7" t="n"/>
      <c r="D1768" s="39" t="n"/>
      <c r="E1768" s="39" t="n"/>
      <c r="F1768" s="7" t="n"/>
      <c r="G1768" s="40" t="n"/>
      <c r="H1768" s="39" t="n"/>
      <c r="I1768" s="39" t="n"/>
    </row>
    <row r="1769">
      <c r="A1769" s="7" t="n"/>
      <c r="B1769" s="7" t="n"/>
      <c r="C1769" s="7" t="n"/>
      <c r="D1769" s="39" t="n"/>
      <c r="E1769" s="39" t="n"/>
      <c r="F1769" s="7" t="n"/>
      <c r="G1769" s="40" t="n"/>
      <c r="H1769" s="39" t="n"/>
      <c r="I1769" s="39" t="n"/>
    </row>
    <row r="1770">
      <c r="A1770" s="7" t="n"/>
      <c r="B1770" s="7" t="n"/>
      <c r="C1770" s="7" t="n"/>
      <c r="D1770" s="39" t="n"/>
      <c r="E1770" s="39" t="n"/>
      <c r="F1770" s="7" t="n"/>
      <c r="G1770" s="40" t="n"/>
      <c r="H1770" s="39" t="n"/>
      <c r="I1770" s="39" t="n"/>
    </row>
    <row r="1771">
      <c r="A1771" s="7" t="n"/>
      <c r="B1771" s="7" t="n"/>
      <c r="C1771" s="7" t="n"/>
      <c r="D1771" s="39" t="n"/>
      <c r="E1771" s="39" t="n"/>
      <c r="F1771" s="7" t="n"/>
      <c r="G1771" s="40" t="n"/>
      <c r="H1771" s="39" t="n"/>
      <c r="I1771" s="39" t="n"/>
    </row>
    <row r="1772">
      <c r="A1772" s="7" t="n"/>
      <c r="B1772" s="7" t="n"/>
      <c r="C1772" s="7" t="n"/>
      <c r="D1772" s="39" t="n"/>
      <c r="E1772" s="39" t="n"/>
      <c r="F1772" s="7" t="n"/>
      <c r="G1772" s="40" t="n"/>
      <c r="H1772" s="39" t="n"/>
      <c r="I1772" s="39" t="n"/>
    </row>
    <row r="1773">
      <c r="A1773" s="7" t="n"/>
      <c r="B1773" s="7" t="n"/>
      <c r="C1773" s="7" t="n"/>
      <c r="D1773" s="39" t="n"/>
      <c r="E1773" s="39" t="n"/>
      <c r="F1773" s="7" t="n"/>
      <c r="G1773" s="40" t="n"/>
      <c r="H1773" s="39" t="n"/>
      <c r="I1773" s="39" t="n"/>
    </row>
    <row r="1774">
      <c r="A1774" s="7" t="n"/>
      <c r="B1774" s="7" t="n"/>
      <c r="C1774" s="7" t="n"/>
      <c r="D1774" s="39" t="n"/>
      <c r="E1774" s="39" t="n"/>
      <c r="F1774" s="7" t="n"/>
      <c r="G1774" s="40" t="n"/>
      <c r="H1774" s="39" t="n"/>
      <c r="I1774" s="39" t="n"/>
    </row>
    <row r="1775">
      <c r="A1775" s="7" t="n"/>
      <c r="B1775" s="7" t="n"/>
      <c r="C1775" s="7" t="n"/>
      <c r="D1775" s="39" t="n"/>
      <c r="E1775" s="39" t="n"/>
      <c r="F1775" s="7" t="n"/>
      <c r="G1775" s="40" t="n"/>
      <c r="H1775" s="39" t="n"/>
      <c r="I1775" s="39" t="n"/>
    </row>
    <row r="1776">
      <c r="A1776" s="7" t="n"/>
      <c r="B1776" s="7" t="n"/>
      <c r="C1776" s="7" t="n"/>
      <c r="D1776" s="39" t="n"/>
      <c r="E1776" s="39" t="n"/>
      <c r="F1776" s="7" t="n"/>
      <c r="G1776" s="40" t="n"/>
      <c r="H1776" s="39" t="n"/>
      <c r="I1776" s="39" t="n"/>
    </row>
    <row r="1777">
      <c r="A1777" s="7" t="n"/>
      <c r="B1777" s="7" t="n"/>
      <c r="C1777" s="7" t="n"/>
      <c r="D1777" s="39" t="n"/>
      <c r="E1777" s="39" t="n"/>
      <c r="F1777" s="7" t="n"/>
      <c r="G1777" s="40" t="n"/>
      <c r="H1777" s="39" t="n"/>
      <c r="I1777" s="39" t="n"/>
    </row>
    <row r="1778">
      <c r="A1778" s="7" t="n"/>
      <c r="B1778" s="7" t="n"/>
      <c r="C1778" s="7" t="n"/>
      <c r="D1778" s="39" t="n"/>
      <c r="E1778" s="39" t="n"/>
      <c r="F1778" s="7" t="n"/>
      <c r="G1778" s="40" t="n"/>
      <c r="H1778" s="39" t="n"/>
      <c r="I1778" s="39" t="n"/>
    </row>
    <row r="1779">
      <c r="A1779" s="7" t="n"/>
      <c r="B1779" s="7" t="n"/>
      <c r="C1779" s="7" t="n"/>
      <c r="D1779" s="39" t="n"/>
      <c r="E1779" s="39" t="n"/>
      <c r="F1779" s="7" t="n"/>
      <c r="G1779" s="40" t="n"/>
      <c r="H1779" s="39" t="n"/>
      <c r="I1779" s="39" t="n"/>
    </row>
    <row r="1780">
      <c r="A1780" s="7" t="n"/>
      <c r="B1780" s="7" t="n"/>
      <c r="C1780" s="7" t="n"/>
      <c r="D1780" s="39" t="n"/>
      <c r="E1780" s="39" t="n"/>
      <c r="F1780" s="7" t="n"/>
      <c r="G1780" s="40" t="n"/>
      <c r="H1780" s="39" t="n"/>
      <c r="I1780" s="39" t="n"/>
    </row>
    <row r="1781">
      <c r="A1781" s="7" t="n"/>
      <c r="B1781" s="7" t="n"/>
      <c r="C1781" s="7" t="n"/>
      <c r="D1781" s="39" t="n"/>
      <c r="E1781" s="39" t="n"/>
      <c r="F1781" s="7" t="n"/>
      <c r="G1781" s="40" t="n"/>
      <c r="H1781" s="39" t="n"/>
      <c r="I1781" s="39" t="n"/>
    </row>
    <row r="1782">
      <c r="A1782" s="7" t="n"/>
      <c r="B1782" s="7" t="n"/>
      <c r="C1782" s="7" t="n"/>
      <c r="D1782" s="39" t="n"/>
      <c r="E1782" s="39" t="n"/>
      <c r="F1782" s="7" t="n"/>
      <c r="G1782" s="40" t="n"/>
      <c r="H1782" s="39" t="n"/>
      <c r="I1782" s="39" t="n"/>
    </row>
    <row r="1783">
      <c r="A1783" s="7" t="n"/>
      <c r="B1783" s="7" t="n"/>
      <c r="C1783" s="7" t="n"/>
      <c r="D1783" s="39" t="n"/>
      <c r="E1783" s="39" t="n"/>
      <c r="F1783" s="7" t="n"/>
      <c r="G1783" s="40" t="n"/>
      <c r="H1783" s="39" t="n"/>
      <c r="I1783" s="39" t="n"/>
    </row>
    <row r="1784">
      <c r="A1784" s="7" t="n"/>
      <c r="B1784" s="7" t="n"/>
      <c r="C1784" s="7" t="n"/>
      <c r="D1784" s="39" t="n"/>
      <c r="E1784" s="39" t="n"/>
      <c r="F1784" s="7" t="n"/>
      <c r="G1784" s="40" t="n"/>
      <c r="H1784" s="39" t="n"/>
      <c r="I1784" s="39" t="n"/>
    </row>
    <row r="1785">
      <c r="A1785" s="7" t="n"/>
      <c r="B1785" s="7" t="n"/>
      <c r="C1785" s="7" t="n"/>
      <c r="D1785" s="39" t="n"/>
      <c r="E1785" s="39" t="n"/>
      <c r="F1785" s="7" t="n"/>
      <c r="G1785" s="40" t="n"/>
      <c r="H1785" s="39" t="n"/>
      <c r="I1785" s="39" t="n"/>
    </row>
    <row r="1786">
      <c r="A1786" s="7" t="n"/>
      <c r="B1786" s="7" t="n"/>
      <c r="C1786" s="7" t="n"/>
      <c r="D1786" s="39" t="n"/>
      <c r="E1786" s="39" t="n"/>
      <c r="F1786" s="7" t="n"/>
      <c r="G1786" s="40" t="n"/>
      <c r="H1786" s="39" t="n"/>
      <c r="I1786" s="39" t="n"/>
    </row>
    <row r="1787">
      <c r="A1787" s="7" t="n"/>
      <c r="B1787" s="7" t="n"/>
      <c r="C1787" s="7" t="n"/>
      <c r="D1787" s="39" t="n"/>
      <c r="E1787" s="39" t="n"/>
      <c r="F1787" s="7" t="n"/>
      <c r="G1787" s="40" t="n"/>
      <c r="H1787" s="39" t="n"/>
      <c r="I1787" s="39" t="n"/>
    </row>
    <row r="1788">
      <c r="A1788" s="7" t="n"/>
      <c r="B1788" s="7" t="n"/>
      <c r="C1788" s="7" t="n"/>
      <c r="D1788" s="39" t="n"/>
      <c r="E1788" s="39" t="n"/>
      <c r="F1788" s="7" t="n"/>
      <c r="G1788" s="40" t="n"/>
      <c r="H1788" s="39" t="n"/>
      <c r="I1788" s="39" t="n"/>
    </row>
    <row r="1789">
      <c r="A1789" s="7" t="n"/>
      <c r="B1789" s="7" t="n"/>
      <c r="C1789" s="7" t="n"/>
      <c r="D1789" s="39" t="n"/>
      <c r="E1789" s="39" t="n"/>
      <c r="F1789" s="7" t="n"/>
      <c r="G1789" s="40" t="n"/>
      <c r="H1789" s="39" t="n"/>
      <c r="I1789" s="39" t="n"/>
    </row>
    <row r="1790">
      <c r="A1790" s="7" t="n"/>
      <c r="B1790" s="7" t="n"/>
      <c r="C1790" s="7" t="n"/>
      <c r="D1790" s="39" t="n"/>
      <c r="E1790" s="39" t="n"/>
      <c r="F1790" s="7" t="n"/>
      <c r="G1790" s="40" t="n"/>
      <c r="H1790" s="39" t="n"/>
      <c r="I1790" s="39" t="n"/>
    </row>
    <row r="1791">
      <c r="A1791" s="7" t="n"/>
      <c r="B1791" s="7" t="n"/>
      <c r="C1791" s="7" t="n"/>
      <c r="D1791" s="39" t="n"/>
      <c r="E1791" s="39" t="n"/>
      <c r="F1791" s="7" t="n"/>
      <c r="G1791" s="40" t="n"/>
      <c r="H1791" s="39" t="n"/>
      <c r="I1791" s="39" t="n"/>
    </row>
    <row r="1792">
      <c r="A1792" s="7" t="n"/>
      <c r="B1792" s="7" t="n"/>
      <c r="C1792" s="7" t="n"/>
      <c r="D1792" s="39" t="n"/>
      <c r="E1792" s="39" t="n"/>
      <c r="F1792" s="7" t="n"/>
      <c r="G1792" s="40" t="n"/>
      <c r="H1792" s="39" t="n"/>
      <c r="I1792" s="39" t="n"/>
    </row>
    <row r="1793">
      <c r="A1793" s="7" t="n"/>
      <c r="B1793" s="7" t="n"/>
      <c r="C1793" s="7" t="n"/>
      <c r="D1793" s="39" t="n"/>
      <c r="E1793" s="39" t="n"/>
      <c r="F1793" s="7" t="n"/>
      <c r="G1793" s="40" t="n"/>
      <c r="H1793" s="39" t="n"/>
      <c r="I1793" s="39" t="n"/>
    </row>
    <row r="1794">
      <c r="A1794" s="7" t="n"/>
      <c r="B1794" s="7" t="n"/>
      <c r="C1794" s="7" t="n"/>
      <c r="D1794" s="39" t="n"/>
      <c r="E1794" s="39" t="n"/>
      <c r="F1794" s="7" t="n"/>
      <c r="G1794" s="40" t="n"/>
      <c r="H1794" s="39" t="n"/>
      <c r="I1794" s="39" t="n"/>
    </row>
    <row r="1795">
      <c r="A1795" s="7" t="n"/>
      <c r="B1795" s="7" t="n"/>
      <c r="C1795" s="7" t="n"/>
      <c r="D1795" s="39" t="n"/>
      <c r="E1795" s="39" t="n"/>
      <c r="F1795" s="7" t="n"/>
      <c r="G1795" s="40" t="n"/>
      <c r="H1795" s="39" t="n"/>
      <c r="I1795" s="39" t="n"/>
    </row>
    <row r="1796">
      <c r="A1796" s="7" t="n"/>
      <c r="B1796" s="7" t="n"/>
      <c r="C1796" s="7" t="n"/>
      <c r="D1796" s="39" t="n"/>
      <c r="E1796" s="39" t="n"/>
      <c r="F1796" s="7" t="n"/>
      <c r="G1796" s="40" t="n"/>
      <c r="H1796" s="39" t="n"/>
      <c r="I1796" s="39" t="n"/>
    </row>
    <row r="1797">
      <c r="A1797" s="7" t="n"/>
      <c r="B1797" s="7" t="n"/>
      <c r="C1797" s="7" t="n"/>
      <c r="D1797" s="39" t="n"/>
      <c r="E1797" s="39" t="n"/>
      <c r="F1797" s="7" t="n"/>
      <c r="G1797" s="40" t="n"/>
      <c r="H1797" s="39" t="n"/>
      <c r="I1797" s="39" t="n"/>
    </row>
    <row r="1798">
      <c r="A1798" s="7" t="n"/>
      <c r="B1798" s="7" t="n"/>
      <c r="C1798" s="7" t="n"/>
      <c r="D1798" s="39" t="n"/>
      <c r="E1798" s="39" t="n"/>
      <c r="F1798" s="7" t="n"/>
      <c r="G1798" s="40" t="n"/>
      <c r="H1798" s="39" t="n"/>
      <c r="I1798" s="39" t="n"/>
    </row>
    <row r="1799">
      <c r="A1799" s="7" t="n"/>
      <c r="B1799" s="7" t="n"/>
      <c r="C1799" s="7" t="n"/>
      <c r="D1799" s="39" t="n"/>
      <c r="E1799" s="39" t="n"/>
      <c r="F1799" s="7" t="n"/>
      <c r="G1799" s="40" t="n"/>
      <c r="H1799" s="39" t="n"/>
      <c r="I1799" s="39" t="n"/>
    </row>
    <row r="1800">
      <c r="A1800" s="7" t="n"/>
      <c r="B1800" s="7" t="n"/>
      <c r="C1800" s="7" t="n"/>
      <c r="D1800" s="39" t="n"/>
      <c r="E1800" s="39" t="n"/>
      <c r="F1800" s="7" t="n"/>
      <c r="G1800" s="40" t="n"/>
      <c r="H1800" s="39" t="n"/>
      <c r="I1800" s="39" t="n"/>
    </row>
    <row r="1801">
      <c r="A1801" s="7" t="n"/>
      <c r="B1801" s="7" t="n"/>
      <c r="C1801" s="7" t="n"/>
      <c r="D1801" s="39" t="n"/>
      <c r="E1801" s="39" t="n"/>
      <c r="F1801" s="7" t="n"/>
      <c r="G1801" s="40" t="n"/>
      <c r="H1801" s="39" t="n"/>
      <c r="I1801" s="39" t="n"/>
    </row>
    <row r="1802">
      <c r="A1802" s="7" t="n"/>
      <c r="B1802" s="7" t="n"/>
      <c r="C1802" s="7" t="n"/>
      <c r="D1802" s="39" t="n"/>
      <c r="E1802" s="39" t="n"/>
      <c r="F1802" s="7" t="n"/>
      <c r="G1802" s="40" t="n"/>
      <c r="H1802" s="39" t="n"/>
      <c r="I1802" s="39" t="n"/>
    </row>
    <row r="1803">
      <c r="A1803" s="7" t="n"/>
      <c r="B1803" s="7" t="n"/>
      <c r="C1803" s="7" t="n"/>
      <c r="D1803" s="39" t="n"/>
      <c r="E1803" s="39" t="n"/>
      <c r="F1803" s="7" t="n"/>
      <c r="G1803" s="40" t="n"/>
      <c r="H1803" s="39" t="n"/>
      <c r="I1803" s="39" t="n"/>
    </row>
    <row r="1804">
      <c r="A1804" s="7" t="n"/>
      <c r="B1804" s="7" t="n"/>
      <c r="C1804" s="7" t="n"/>
      <c r="D1804" s="39" t="n"/>
      <c r="E1804" s="39" t="n"/>
      <c r="F1804" s="7" t="n"/>
      <c r="G1804" s="40" t="n"/>
      <c r="H1804" s="39" t="n"/>
      <c r="I1804" s="39" t="n"/>
    </row>
    <row r="1805">
      <c r="A1805" s="7" t="n"/>
      <c r="B1805" s="7" t="n"/>
      <c r="C1805" s="7" t="n"/>
      <c r="D1805" s="39" t="n"/>
      <c r="E1805" s="39" t="n"/>
      <c r="F1805" s="7" t="n"/>
      <c r="G1805" s="40" t="n"/>
      <c r="H1805" s="39" t="n"/>
      <c r="I1805" s="39" t="n"/>
    </row>
    <row r="1806">
      <c r="A1806" s="7" t="n"/>
      <c r="B1806" s="7" t="n"/>
      <c r="C1806" s="7" t="n"/>
      <c r="D1806" s="39" t="n"/>
      <c r="E1806" s="39" t="n"/>
      <c r="F1806" s="7" t="n"/>
      <c r="G1806" s="40" t="n"/>
      <c r="H1806" s="39" t="n"/>
      <c r="I1806" s="39" t="n"/>
    </row>
    <row r="1807">
      <c r="A1807" s="7" t="n"/>
      <c r="B1807" s="7" t="n"/>
      <c r="C1807" s="7" t="n"/>
      <c r="D1807" s="39" t="n"/>
      <c r="E1807" s="39" t="n"/>
      <c r="F1807" s="7" t="n"/>
      <c r="G1807" s="40" t="n"/>
      <c r="H1807" s="39" t="n"/>
      <c r="I1807" s="39" t="n"/>
    </row>
    <row r="1808">
      <c r="A1808" s="7" t="n"/>
      <c r="B1808" s="7" t="n"/>
      <c r="C1808" s="7" t="n"/>
      <c r="D1808" s="39" t="n"/>
      <c r="E1808" s="39" t="n"/>
      <c r="F1808" s="7" t="n"/>
      <c r="G1808" s="40" t="n"/>
      <c r="H1808" s="39" t="n"/>
      <c r="I1808" s="39" t="n"/>
    </row>
    <row r="1809">
      <c r="A1809" s="7" t="n"/>
      <c r="B1809" s="7" t="n"/>
      <c r="C1809" s="7" t="n"/>
      <c r="D1809" s="39" t="n"/>
      <c r="E1809" s="39" t="n"/>
      <c r="F1809" s="7" t="n"/>
      <c r="G1809" s="40" t="n"/>
      <c r="H1809" s="39" t="n"/>
      <c r="I1809" s="39" t="n"/>
    </row>
    <row r="1810">
      <c r="A1810" s="7" t="n"/>
      <c r="B1810" s="7" t="n"/>
      <c r="C1810" s="7" t="n"/>
      <c r="D1810" s="39" t="n"/>
      <c r="E1810" s="39" t="n"/>
      <c r="F1810" s="7" t="n"/>
      <c r="G1810" s="40" t="n"/>
      <c r="H1810" s="39" t="n"/>
      <c r="I1810" s="39" t="n"/>
    </row>
    <row r="1811">
      <c r="A1811" s="7" t="n"/>
      <c r="B1811" s="7" t="n"/>
      <c r="C1811" s="7" t="n"/>
      <c r="D1811" s="39" t="n"/>
      <c r="E1811" s="39" t="n"/>
      <c r="F1811" s="7" t="n"/>
      <c r="G1811" s="40" t="n"/>
      <c r="H1811" s="39" t="n"/>
      <c r="I1811" s="39" t="n"/>
    </row>
    <row r="1812">
      <c r="A1812" s="7" t="n"/>
      <c r="B1812" s="7" t="n"/>
      <c r="C1812" s="7" t="n"/>
      <c r="D1812" s="39" t="n"/>
      <c r="E1812" s="39" t="n"/>
      <c r="F1812" s="7" t="n"/>
      <c r="G1812" s="40" t="n"/>
      <c r="H1812" s="39" t="n"/>
      <c r="I1812" s="39" t="n"/>
    </row>
    <row r="1813">
      <c r="A1813" s="7" t="n"/>
      <c r="B1813" s="7" t="n"/>
      <c r="C1813" s="7" t="n"/>
      <c r="D1813" s="39" t="n"/>
      <c r="E1813" s="39" t="n"/>
      <c r="F1813" s="7" t="n"/>
      <c r="G1813" s="40" t="n"/>
      <c r="H1813" s="39" t="n"/>
      <c r="I1813" s="39" t="n"/>
    </row>
    <row r="1814">
      <c r="A1814" s="7" t="n"/>
      <c r="B1814" s="7" t="n"/>
      <c r="C1814" s="7" t="n"/>
      <c r="D1814" s="39" t="n"/>
      <c r="E1814" s="39" t="n"/>
      <c r="F1814" s="7" t="n"/>
      <c r="G1814" s="40" t="n"/>
      <c r="H1814" s="39" t="n"/>
      <c r="I1814" s="39" t="n"/>
    </row>
    <row r="1815">
      <c r="A1815" s="7" t="n"/>
      <c r="B1815" s="7" t="n"/>
      <c r="C1815" s="7" t="n"/>
      <c r="D1815" s="39" t="n"/>
      <c r="E1815" s="39" t="n"/>
      <c r="F1815" s="7" t="n"/>
      <c r="G1815" s="40" t="n"/>
      <c r="H1815" s="39" t="n"/>
      <c r="I1815" s="39" t="n"/>
    </row>
    <row r="1816">
      <c r="A1816" s="7" t="n"/>
      <c r="B1816" s="7" t="n"/>
      <c r="C1816" s="7" t="n"/>
      <c r="D1816" s="39" t="n"/>
      <c r="E1816" s="39" t="n"/>
      <c r="F1816" s="7" t="n"/>
      <c r="G1816" s="40" t="n"/>
      <c r="H1816" s="39" t="n"/>
      <c r="I1816" s="39" t="n"/>
    </row>
    <row r="1817">
      <c r="A1817" s="7" t="n"/>
      <c r="B1817" s="7" t="n"/>
      <c r="C1817" s="7" t="n"/>
      <c r="D1817" s="39" t="n"/>
      <c r="E1817" s="39" t="n"/>
      <c r="F1817" s="7" t="n"/>
      <c r="G1817" s="40" t="n"/>
      <c r="H1817" s="39" t="n"/>
      <c r="I1817" s="39" t="n"/>
    </row>
    <row r="1818">
      <c r="A1818" s="7" t="n"/>
      <c r="B1818" s="7" t="n"/>
      <c r="C1818" s="7" t="n"/>
      <c r="D1818" s="39" t="n"/>
      <c r="E1818" s="39" t="n"/>
      <c r="F1818" s="7" t="n"/>
      <c r="G1818" s="40" t="n"/>
      <c r="H1818" s="39" t="n"/>
      <c r="I1818" s="39" t="n"/>
    </row>
    <row r="1819">
      <c r="A1819" s="7" t="n"/>
      <c r="B1819" s="7" t="n"/>
      <c r="C1819" s="7" t="n"/>
      <c r="D1819" s="39" t="n"/>
      <c r="E1819" s="39" t="n"/>
      <c r="F1819" s="7" t="n"/>
      <c r="G1819" s="40" t="n"/>
      <c r="H1819" s="39" t="n"/>
      <c r="I1819" s="39" t="n"/>
    </row>
    <row r="1820">
      <c r="A1820" s="7" t="n"/>
      <c r="B1820" s="7" t="n"/>
      <c r="C1820" s="7" t="n"/>
      <c r="D1820" s="39" t="n"/>
      <c r="E1820" s="39" t="n"/>
      <c r="F1820" s="7" t="n"/>
      <c r="G1820" s="40" t="n"/>
      <c r="H1820" s="39" t="n"/>
      <c r="I1820" s="39" t="n"/>
    </row>
    <row r="1821">
      <c r="A1821" s="7" t="n"/>
      <c r="B1821" s="7" t="n"/>
      <c r="C1821" s="7" t="n"/>
      <c r="D1821" s="39" t="n"/>
      <c r="E1821" s="39" t="n"/>
      <c r="F1821" s="7" t="n"/>
      <c r="G1821" s="40" t="n"/>
      <c r="H1821" s="39" t="n"/>
      <c r="I1821" s="39" t="n"/>
    </row>
    <row r="1822">
      <c r="A1822" s="7" t="n"/>
      <c r="B1822" s="7" t="n"/>
      <c r="C1822" s="7" t="n"/>
      <c r="D1822" s="39" t="n"/>
      <c r="E1822" s="39" t="n"/>
      <c r="F1822" s="7" t="n"/>
      <c r="G1822" s="40" t="n"/>
      <c r="H1822" s="39" t="n"/>
      <c r="I1822" s="39" t="n"/>
    </row>
    <row r="1823">
      <c r="A1823" s="7" t="n"/>
      <c r="B1823" s="7" t="n"/>
      <c r="C1823" s="7" t="n"/>
      <c r="D1823" s="39" t="n"/>
      <c r="E1823" s="39" t="n"/>
      <c r="F1823" s="7" t="n"/>
      <c r="G1823" s="40" t="n"/>
      <c r="H1823" s="39" t="n"/>
      <c r="I1823" s="39" t="n"/>
    </row>
    <row r="1824">
      <c r="A1824" s="7" t="n"/>
      <c r="B1824" s="7" t="n"/>
      <c r="C1824" s="7" t="n"/>
      <c r="D1824" s="39" t="n"/>
      <c r="E1824" s="39" t="n"/>
      <c r="F1824" s="7" t="n"/>
      <c r="G1824" s="40" t="n"/>
      <c r="H1824" s="39" t="n"/>
      <c r="I1824" s="39" t="n"/>
    </row>
    <row r="1825">
      <c r="A1825" s="7" t="n"/>
      <c r="B1825" s="7" t="n"/>
      <c r="C1825" s="7" t="n"/>
      <c r="D1825" s="39" t="n"/>
      <c r="E1825" s="39" t="n"/>
      <c r="F1825" s="7" t="n"/>
      <c r="G1825" s="40" t="n"/>
      <c r="H1825" s="39" t="n"/>
      <c r="I1825" s="39" t="n"/>
    </row>
    <row r="1826">
      <c r="A1826" s="7" t="n"/>
      <c r="B1826" s="7" t="n"/>
      <c r="C1826" s="7" t="n"/>
      <c r="D1826" s="39" t="n"/>
      <c r="E1826" s="39" t="n"/>
      <c r="F1826" s="7" t="n"/>
      <c r="G1826" s="40" t="n"/>
      <c r="H1826" s="39" t="n"/>
      <c r="I1826" s="39" t="n"/>
    </row>
    <row r="1827">
      <c r="A1827" s="7" t="n"/>
      <c r="B1827" s="7" t="n"/>
      <c r="C1827" s="7" t="n"/>
      <c r="D1827" s="39" t="n"/>
      <c r="E1827" s="39" t="n"/>
      <c r="F1827" s="7" t="n"/>
      <c r="G1827" s="40" t="n"/>
      <c r="H1827" s="39" t="n"/>
      <c r="I1827" s="39" t="n"/>
    </row>
    <row r="1828">
      <c r="A1828" s="7" t="n"/>
      <c r="B1828" s="7" t="n"/>
      <c r="C1828" s="7" t="n"/>
      <c r="D1828" s="39" t="n"/>
      <c r="E1828" s="39" t="n"/>
      <c r="F1828" s="7" t="n"/>
      <c r="G1828" s="40" t="n"/>
      <c r="H1828" s="39" t="n"/>
      <c r="I1828" s="39" t="n"/>
    </row>
    <row r="1829">
      <c r="A1829" s="7" t="n"/>
      <c r="B1829" s="7" t="n"/>
      <c r="C1829" s="7" t="n"/>
      <c r="D1829" s="39" t="n"/>
      <c r="E1829" s="39" t="n"/>
      <c r="F1829" s="7" t="n"/>
      <c r="G1829" s="40" t="n"/>
      <c r="H1829" s="39" t="n"/>
      <c r="I1829" s="39" t="n"/>
    </row>
    <row r="1830">
      <c r="A1830" s="7" t="n"/>
      <c r="B1830" s="7" t="n"/>
      <c r="C1830" s="7" t="n"/>
      <c r="D1830" s="39" t="n"/>
      <c r="E1830" s="39" t="n"/>
      <c r="F1830" s="7" t="n"/>
      <c r="G1830" s="40" t="n"/>
      <c r="H1830" s="39" t="n"/>
      <c r="I1830" s="39" t="n"/>
    </row>
    <row r="1831">
      <c r="A1831" s="7" t="n"/>
      <c r="B1831" s="7" t="n"/>
      <c r="C1831" s="7" t="n"/>
      <c r="D1831" s="39" t="n"/>
      <c r="E1831" s="39" t="n"/>
      <c r="F1831" s="7" t="n"/>
      <c r="G1831" s="40" t="n"/>
      <c r="H1831" s="39" t="n"/>
      <c r="I1831" s="39" t="n"/>
    </row>
    <row r="1832">
      <c r="A1832" s="7" t="n"/>
      <c r="B1832" s="7" t="n"/>
      <c r="C1832" s="7" t="n"/>
      <c r="D1832" s="39" t="n"/>
      <c r="E1832" s="39" t="n"/>
      <c r="F1832" s="7" t="n"/>
      <c r="G1832" s="40" t="n"/>
      <c r="H1832" s="39" t="n"/>
      <c r="I1832" s="39" t="n"/>
    </row>
    <row r="1833">
      <c r="A1833" s="7" t="n"/>
      <c r="B1833" s="7" t="n"/>
      <c r="C1833" s="7" t="n"/>
      <c r="D1833" s="39" t="n"/>
      <c r="E1833" s="39" t="n"/>
      <c r="F1833" s="7" t="n"/>
      <c r="G1833" s="40" t="n"/>
      <c r="H1833" s="39" t="n"/>
      <c r="I1833" s="39" t="n"/>
    </row>
    <row r="1834">
      <c r="A1834" s="7" t="n"/>
      <c r="B1834" s="7" t="n"/>
      <c r="C1834" s="7" t="n"/>
      <c r="D1834" s="39" t="n"/>
      <c r="E1834" s="39" t="n"/>
      <c r="F1834" s="7" t="n"/>
      <c r="G1834" s="40" t="n"/>
      <c r="H1834" s="39" t="n"/>
      <c r="I1834" s="39" t="n"/>
    </row>
    <row r="1835">
      <c r="A1835" s="7" t="n"/>
      <c r="B1835" s="7" t="n"/>
      <c r="C1835" s="7" t="n"/>
      <c r="D1835" s="39" t="n"/>
      <c r="E1835" s="39" t="n"/>
      <c r="F1835" s="7" t="n"/>
      <c r="G1835" s="40" t="n"/>
      <c r="H1835" s="39" t="n"/>
      <c r="I1835" s="39" t="n"/>
    </row>
    <row r="1836">
      <c r="A1836" s="7" t="n"/>
      <c r="B1836" s="7" t="n"/>
      <c r="C1836" s="7" t="n"/>
      <c r="D1836" s="39" t="n"/>
      <c r="E1836" s="39" t="n"/>
      <c r="F1836" s="7" t="n"/>
      <c r="G1836" s="40" t="n"/>
      <c r="H1836" s="39" t="n"/>
      <c r="I1836" s="39" t="n"/>
    </row>
    <row r="1837">
      <c r="A1837" s="7" t="n"/>
      <c r="B1837" s="7" t="n"/>
      <c r="C1837" s="7" t="n"/>
      <c r="D1837" s="39" t="n"/>
      <c r="E1837" s="39" t="n"/>
      <c r="F1837" s="7" t="n"/>
      <c r="G1837" s="40" t="n"/>
      <c r="H1837" s="39" t="n"/>
      <c r="I1837" s="39" t="n"/>
    </row>
    <row r="1838">
      <c r="A1838" s="7" t="n"/>
      <c r="B1838" s="7" t="n"/>
      <c r="C1838" s="7" t="n"/>
      <c r="D1838" s="39" t="n"/>
      <c r="E1838" s="39" t="n"/>
      <c r="F1838" s="7" t="n"/>
      <c r="G1838" s="40" t="n"/>
      <c r="H1838" s="39" t="n"/>
      <c r="I1838" s="39" t="n"/>
    </row>
    <row r="1839">
      <c r="A1839" s="7" t="n"/>
      <c r="B1839" s="7" t="n"/>
      <c r="C1839" s="7" t="n"/>
      <c r="D1839" s="39" t="n"/>
      <c r="E1839" s="39" t="n"/>
      <c r="F1839" s="7" t="n"/>
      <c r="G1839" s="40" t="n"/>
      <c r="H1839" s="39" t="n"/>
      <c r="I1839" s="39" t="n"/>
    </row>
    <row r="1840">
      <c r="A1840" s="7" t="n"/>
      <c r="B1840" s="7" t="n"/>
      <c r="C1840" s="7" t="n"/>
      <c r="D1840" s="39" t="n"/>
      <c r="E1840" s="39" t="n"/>
      <c r="F1840" s="7" t="n"/>
      <c r="G1840" s="40" t="n"/>
      <c r="H1840" s="39" t="n"/>
      <c r="I1840" s="39" t="n"/>
    </row>
    <row r="1841">
      <c r="A1841" s="7" t="n"/>
      <c r="B1841" s="7" t="n"/>
      <c r="C1841" s="7" t="n"/>
      <c r="D1841" s="39" t="n"/>
      <c r="E1841" s="39" t="n"/>
      <c r="F1841" s="7" t="n"/>
      <c r="G1841" s="40" t="n"/>
      <c r="H1841" s="39" t="n"/>
      <c r="I1841" s="39" t="n"/>
    </row>
    <row r="1842">
      <c r="A1842" s="7" t="n"/>
      <c r="B1842" s="7" t="n"/>
      <c r="C1842" s="7" t="n"/>
      <c r="D1842" s="39" t="n"/>
      <c r="E1842" s="39" t="n"/>
      <c r="F1842" s="7" t="n"/>
      <c r="G1842" s="40" t="n"/>
      <c r="H1842" s="39" t="n"/>
      <c r="I1842" s="39" t="n"/>
    </row>
    <row r="1843">
      <c r="A1843" s="7" t="n"/>
      <c r="B1843" s="7" t="n"/>
      <c r="C1843" s="7" t="n"/>
      <c r="D1843" s="39" t="n"/>
      <c r="E1843" s="39" t="n"/>
      <c r="F1843" s="7" t="n"/>
      <c r="G1843" s="40" t="n"/>
      <c r="H1843" s="39" t="n"/>
      <c r="I1843" s="39" t="n"/>
    </row>
    <row r="1844">
      <c r="A1844" s="7" t="n"/>
      <c r="B1844" s="7" t="n"/>
      <c r="C1844" s="7" t="n"/>
      <c r="D1844" s="39" t="n"/>
      <c r="E1844" s="39" t="n"/>
      <c r="F1844" s="7" t="n"/>
      <c r="G1844" s="40" t="n"/>
      <c r="H1844" s="39" t="n"/>
      <c r="I1844" s="39" t="n"/>
    </row>
    <row r="1845">
      <c r="A1845" s="7" t="n"/>
      <c r="B1845" s="7" t="n"/>
      <c r="C1845" s="7" t="n"/>
      <c r="D1845" s="39" t="n"/>
      <c r="E1845" s="39" t="n"/>
      <c r="F1845" s="7" t="n"/>
      <c r="G1845" s="40" t="n"/>
      <c r="H1845" s="39" t="n"/>
      <c r="I1845" s="39" t="n"/>
    </row>
    <row r="1846">
      <c r="A1846" s="7" t="n"/>
      <c r="B1846" s="7" t="n"/>
      <c r="C1846" s="7" t="n"/>
      <c r="D1846" s="39" t="n"/>
      <c r="E1846" s="39" t="n"/>
      <c r="F1846" s="7" t="n"/>
      <c r="G1846" s="40" t="n"/>
      <c r="H1846" s="39" t="n"/>
      <c r="I1846" s="39" t="n"/>
    </row>
    <row r="1847">
      <c r="A1847" s="7" t="n"/>
      <c r="B1847" s="7" t="n"/>
      <c r="C1847" s="7" t="n"/>
      <c r="D1847" s="39" t="n"/>
      <c r="E1847" s="39" t="n"/>
      <c r="F1847" s="7" t="n"/>
      <c r="G1847" s="40" t="n"/>
      <c r="H1847" s="39" t="n"/>
      <c r="I1847" s="39" t="n"/>
    </row>
    <row r="1848">
      <c r="A1848" s="7" t="n"/>
      <c r="B1848" s="7" t="n"/>
      <c r="C1848" s="7" t="n"/>
      <c r="D1848" s="39" t="n"/>
      <c r="E1848" s="39" t="n"/>
      <c r="F1848" s="7" t="n"/>
      <c r="G1848" s="40" t="n"/>
      <c r="H1848" s="39" t="n"/>
      <c r="I1848" s="39" t="n"/>
    </row>
    <row r="1849">
      <c r="A1849" s="7" t="n"/>
      <c r="B1849" s="7" t="n"/>
      <c r="C1849" s="7" t="n"/>
      <c r="D1849" s="39" t="n"/>
      <c r="E1849" s="39" t="n"/>
      <c r="F1849" s="7" t="n"/>
      <c r="G1849" s="40" t="n"/>
      <c r="H1849" s="39" t="n"/>
      <c r="I1849" s="39" t="n"/>
    </row>
    <row r="1850">
      <c r="A1850" s="7" t="n"/>
      <c r="B1850" s="7" t="n"/>
      <c r="C1850" s="7" t="n"/>
      <c r="D1850" s="39" t="n"/>
      <c r="E1850" s="39" t="n"/>
      <c r="F1850" s="7" t="n"/>
      <c r="G1850" s="40" t="n"/>
      <c r="H1850" s="39" t="n"/>
      <c r="I1850" s="39" t="n"/>
    </row>
    <row r="1851">
      <c r="A1851" s="7" t="n"/>
      <c r="B1851" s="7" t="n"/>
      <c r="C1851" s="7" t="n"/>
      <c r="D1851" s="39" t="n"/>
      <c r="E1851" s="39" t="n"/>
      <c r="F1851" s="7" t="n"/>
      <c r="G1851" s="40" t="n"/>
      <c r="H1851" s="39" t="n"/>
      <c r="I1851" s="39" t="n"/>
    </row>
    <row r="1852">
      <c r="A1852" s="7" t="n"/>
      <c r="B1852" s="7" t="n"/>
      <c r="C1852" s="7" t="n"/>
      <c r="D1852" s="39" t="n"/>
      <c r="E1852" s="39" t="n"/>
      <c r="F1852" s="7" t="n"/>
      <c r="G1852" s="40" t="n"/>
      <c r="H1852" s="39" t="n"/>
      <c r="I1852" s="39" t="n"/>
    </row>
    <row r="1853">
      <c r="A1853" s="7" t="n"/>
      <c r="B1853" s="7" t="n"/>
      <c r="C1853" s="7" t="n"/>
      <c r="D1853" s="39" t="n"/>
      <c r="E1853" s="39" t="n"/>
      <c r="F1853" s="7" t="n"/>
      <c r="G1853" s="40" t="n"/>
      <c r="H1853" s="39" t="n"/>
      <c r="I1853" s="39" t="n"/>
    </row>
    <row r="1854">
      <c r="A1854" s="7" t="n"/>
      <c r="B1854" s="7" t="n"/>
      <c r="C1854" s="7" t="n"/>
      <c r="D1854" s="39" t="n"/>
      <c r="E1854" s="39" t="n"/>
      <c r="F1854" s="7" t="n"/>
      <c r="G1854" s="40" t="n"/>
      <c r="H1854" s="39" t="n"/>
      <c r="I1854" s="39" t="n"/>
    </row>
    <row r="1855">
      <c r="A1855" s="7" t="n"/>
      <c r="B1855" s="7" t="n"/>
      <c r="C1855" s="7" t="n"/>
      <c r="D1855" s="39" t="n"/>
      <c r="E1855" s="39" t="n"/>
      <c r="F1855" s="7" t="n"/>
      <c r="G1855" s="40" t="n"/>
      <c r="H1855" s="39" t="n"/>
      <c r="I1855" s="39" t="n"/>
    </row>
    <row r="1856">
      <c r="A1856" s="7" t="n"/>
      <c r="B1856" s="7" t="n"/>
      <c r="C1856" s="7" t="n"/>
      <c r="D1856" s="39" t="n"/>
      <c r="E1856" s="39" t="n"/>
      <c r="F1856" s="7" t="n"/>
      <c r="G1856" s="40" t="n"/>
      <c r="H1856" s="39" t="n"/>
      <c r="I1856" s="39" t="n"/>
    </row>
    <row r="1857">
      <c r="A1857" s="7" t="n"/>
      <c r="B1857" s="7" t="n"/>
      <c r="C1857" s="7" t="n"/>
      <c r="D1857" s="39" t="n"/>
      <c r="E1857" s="39" t="n"/>
      <c r="F1857" s="7" t="n"/>
      <c r="G1857" s="40" t="n"/>
      <c r="H1857" s="39" t="n"/>
      <c r="I1857" s="39" t="n"/>
    </row>
    <row r="1858">
      <c r="A1858" s="7" t="n"/>
      <c r="B1858" s="7" t="n"/>
      <c r="C1858" s="7" t="n"/>
      <c r="D1858" s="39" t="n"/>
      <c r="E1858" s="39" t="n"/>
      <c r="F1858" s="7" t="n"/>
      <c r="G1858" s="40" t="n"/>
      <c r="H1858" s="39" t="n"/>
      <c r="I1858" s="39" t="n"/>
    </row>
    <row r="1859">
      <c r="A1859" s="7" t="n"/>
      <c r="B1859" s="7" t="n"/>
      <c r="C1859" s="7" t="n"/>
      <c r="D1859" s="39" t="n"/>
      <c r="E1859" s="39" t="n"/>
      <c r="F1859" s="7" t="n"/>
      <c r="G1859" s="40" t="n"/>
      <c r="H1859" s="39" t="n"/>
      <c r="I1859" s="39" t="n"/>
    </row>
    <row r="1860">
      <c r="A1860" s="7" t="n"/>
      <c r="B1860" s="7" t="n"/>
      <c r="C1860" s="7" t="n"/>
      <c r="D1860" s="39" t="n"/>
      <c r="E1860" s="39" t="n"/>
      <c r="F1860" s="7" t="n"/>
      <c r="G1860" s="40" t="n"/>
      <c r="H1860" s="39" t="n"/>
      <c r="I1860" s="39" t="n"/>
    </row>
    <row r="1861">
      <c r="A1861" s="7" t="n"/>
      <c r="B1861" s="7" t="n"/>
      <c r="C1861" s="7" t="n"/>
      <c r="D1861" s="39" t="n"/>
      <c r="E1861" s="39" t="n"/>
      <c r="F1861" s="7" t="n"/>
      <c r="G1861" s="40" t="n"/>
      <c r="H1861" s="39" t="n"/>
      <c r="I1861" s="39" t="n"/>
    </row>
    <row r="1862">
      <c r="A1862" s="7" t="n"/>
      <c r="B1862" s="7" t="n"/>
      <c r="C1862" s="7" t="n"/>
      <c r="D1862" s="39" t="n"/>
      <c r="E1862" s="39" t="n"/>
      <c r="F1862" s="7" t="n"/>
      <c r="G1862" s="40" t="n"/>
      <c r="H1862" s="39" t="n"/>
      <c r="I1862" s="39" t="n"/>
    </row>
    <row r="1863">
      <c r="A1863" s="7" t="n"/>
      <c r="B1863" s="7" t="n"/>
      <c r="C1863" s="7" t="n"/>
      <c r="D1863" s="39" t="n"/>
      <c r="E1863" s="39" t="n"/>
      <c r="F1863" s="7" t="n"/>
      <c r="G1863" s="40" t="n"/>
      <c r="H1863" s="39" t="n"/>
      <c r="I1863" s="39" t="n"/>
    </row>
    <row r="1864">
      <c r="A1864" s="7" t="n"/>
      <c r="B1864" s="7" t="n"/>
      <c r="C1864" s="7" t="n"/>
      <c r="D1864" s="39" t="n"/>
      <c r="E1864" s="39" t="n"/>
      <c r="F1864" s="7" t="n"/>
      <c r="G1864" s="40" t="n"/>
      <c r="H1864" s="39" t="n"/>
      <c r="I1864" s="39" t="n"/>
    </row>
    <row r="1865">
      <c r="A1865" s="7" t="n"/>
      <c r="B1865" s="7" t="n"/>
      <c r="C1865" s="7" t="n"/>
      <c r="D1865" s="39" t="n"/>
      <c r="E1865" s="39" t="n"/>
      <c r="F1865" s="7" t="n"/>
      <c r="G1865" s="40" t="n"/>
      <c r="H1865" s="39" t="n"/>
      <c r="I1865" s="39" t="n"/>
    </row>
    <row r="1866">
      <c r="A1866" s="7" t="n"/>
      <c r="B1866" s="7" t="n"/>
      <c r="C1866" s="7" t="n"/>
      <c r="D1866" s="39" t="n"/>
      <c r="E1866" s="39" t="n"/>
      <c r="F1866" s="7" t="n"/>
      <c r="G1866" s="40" t="n"/>
      <c r="H1866" s="39" t="n"/>
      <c r="I1866" s="39" t="n"/>
    </row>
    <row r="1867">
      <c r="A1867" s="7" t="n"/>
      <c r="B1867" s="7" t="n"/>
      <c r="C1867" s="7" t="n"/>
      <c r="D1867" s="39" t="n"/>
      <c r="E1867" s="39" t="n"/>
      <c r="F1867" s="7" t="n"/>
      <c r="G1867" s="40" t="n"/>
      <c r="H1867" s="39" t="n"/>
      <c r="I1867" s="39" t="n"/>
    </row>
    <row r="1868">
      <c r="A1868" s="7" t="n"/>
      <c r="B1868" s="7" t="n"/>
      <c r="C1868" s="7" t="n"/>
      <c r="D1868" s="39" t="n"/>
      <c r="E1868" s="39" t="n"/>
      <c r="F1868" s="7" t="n"/>
      <c r="G1868" s="40" t="n"/>
      <c r="H1868" s="39" t="n"/>
      <c r="I1868" s="39" t="n"/>
    </row>
    <row r="1869">
      <c r="A1869" s="7" t="n"/>
      <c r="B1869" s="7" t="n"/>
      <c r="C1869" s="7" t="n"/>
      <c r="D1869" s="39" t="n"/>
      <c r="E1869" s="39" t="n"/>
      <c r="F1869" s="7" t="n"/>
      <c r="G1869" s="40" t="n"/>
      <c r="H1869" s="39" t="n"/>
      <c r="I1869" s="39" t="n"/>
    </row>
    <row r="1870">
      <c r="A1870" s="7" t="n"/>
      <c r="B1870" s="7" t="n"/>
      <c r="C1870" s="7" t="n"/>
      <c r="D1870" s="39" t="n"/>
      <c r="E1870" s="39" t="n"/>
      <c r="F1870" s="7" t="n"/>
      <c r="G1870" s="40" t="n"/>
      <c r="H1870" s="39" t="n"/>
      <c r="I1870" s="39" t="n"/>
    </row>
    <row r="1871">
      <c r="A1871" s="7" t="n"/>
      <c r="B1871" s="7" t="n"/>
      <c r="C1871" s="7" t="n"/>
      <c r="D1871" s="39" t="n"/>
      <c r="E1871" s="39" t="n"/>
      <c r="F1871" s="7" t="n"/>
      <c r="G1871" s="40" t="n"/>
      <c r="H1871" s="39" t="n"/>
      <c r="I1871" s="39" t="n"/>
    </row>
    <row r="1872">
      <c r="A1872" s="7" t="n"/>
      <c r="B1872" s="7" t="n"/>
      <c r="C1872" s="7" t="n"/>
      <c r="D1872" s="39" t="n"/>
      <c r="E1872" s="39" t="n"/>
      <c r="F1872" s="7" t="n"/>
      <c r="G1872" s="40" t="n"/>
      <c r="H1872" s="39" t="n"/>
      <c r="I1872" s="39" t="n"/>
    </row>
    <row r="1873">
      <c r="A1873" s="7" t="n"/>
      <c r="B1873" s="7" t="n"/>
      <c r="C1873" s="7" t="n"/>
      <c r="D1873" s="39" t="n"/>
      <c r="E1873" s="39" t="n"/>
      <c r="F1873" s="7" t="n"/>
      <c r="G1873" s="40" t="n"/>
      <c r="H1873" s="39" t="n"/>
      <c r="I1873" s="39" t="n"/>
    </row>
    <row r="1874">
      <c r="A1874" s="7" t="n"/>
      <c r="B1874" s="7" t="n"/>
      <c r="C1874" s="7" t="n"/>
      <c r="D1874" s="39" t="n"/>
      <c r="E1874" s="39" t="n"/>
      <c r="F1874" s="7" t="n"/>
      <c r="G1874" s="40" t="n"/>
      <c r="H1874" s="39" t="n"/>
      <c r="I1874" s="39" t="n"/>
    </row>
    <row r="1875">
      <c r="A1875" s="7" t="n"/>
      <c r="B1875" s="7" t="n"/>
      <c r="C1875" s="7" t="n"/>
      <c r="D1875" s="39" t="n"/>
      <c r="E1875" s="39" t="n"/>
      <c r="F1875" s="7" t="n"/>
      <c r="G1875" s="40" t="n"/>
      <c r="H1875" s="39" t="n"/>
      <c r="I1875" s="39" t="n"/>
    </row>
    <row r="1876">
      <c r="A1876" s="7" t="n"/>
      <c r="B1876" s="7" t="n"/>
      <c r="C1876" s="7" t="n"/>
      <c r="D1876" s="39" t="n"/>
      <c r="E1876" s="39" t="n"/>
      <c r="F1876" s="7" t="n"/>
      <c r="G1876" s="40" t="n"/>
      <c r="H1876" s="39" t="n"/>
      <c r="I1876" s="39" t="n"/>
    </row>
    <row r="1877">
      <c r="A1877" s="7" t="n"/>
      <c r="B1877" s="7" t="n"/>
      <c r="C1877" s="7" t="n"/>
      <c r="D1877" s="39" t="n"/>
      <c r="E1877" s="39" t="n"/>
      <c r="F1877" s="7" t="n"/>
      <c r="G1877" s="40" t="n"/>
      <c r="H1877" s="39" t="n"/>
      <c r="I1877" s="39" t="n"/>
    </row>
    <row r="1878">
      <c r="A1878" s="7" t="n"/>
      <c r="B1878" s="7" t="n"/>
      <c r="C1878" s="7" t="n"/>
      <c r="D1878" s="39" t="n"/>
      <c r="E1878" s="39" t="n"/>
      <c r="F1878" s="7" t="n"/>
      <c r="G1878" s="40" t="n"/>
      <c r="H1878" s="39" t="n"/>
      <c r="I1878" s="39" t="n"/>
    </row>
    <row r="1879">
      <c r="A1879" s="7" t="n"/>
      <c r="B1879" s="7" t="n"/>
      <c r="C1879" s="7" t="n"/>
      <c r="D1879" s="39" t="n"/>
      <c r="E1879" s="39" t="n"/>
      <c r="F1879" s="7" t="n"/>
      <c r="G1879" s="40" t="n"/>
      <c r="H1879" s="39" t="n"/>
      <c r="I1879" s="39" t="n"/>
    </row>
    <row r="1880">
      <c r="A1880" s="7" t="n"/>
      <c r="B1880" s="7" t="n"/>
      <c r="C1880" s="7" t="n"/>
      <c r="D1880" s="39" t="n"/>
      <c r="E1880" s="39" t="n"/>
      <c r="F1880" s="7" t="n"/>
      <c r="G1880" s="40" t="n"/>
      <c r="H1880" s="39" t="n"/>
      <c r="I1880" s="39" t="n"/>
    </row>
    <row r="1881">
      <c r="A1881" s="7" t="n"/>
      <c r="B1881" s="7" t="n"/>
      <c r="C1881" s="7" t="n"/>
      <c r="D1881" s="39" t="n"/>
      <c r="E1881" s="39" t="n"/>
      <c r="F1881" s="7" t="n"/>
      <c r="G1881" s="40" t="n"/>
      <c r="H1881" s="39" t="n"/>
      <c r="I1881" s="39" t="n"/>
    </row>
    <row r="1882">
      <c r="A1882" s="7" t="n"/>
      <c r="B1882" s="7" t="n"/>
      <c r="C1882" s="7" t="n"/>
      <c r="D1882" s="39" t="n"/>
      <c r="E1882" s="39" t="n"/>
      <c r="F1882" s="7" t="n"/>
      <c r="G1882" s="40" t="n"/>
      <c r="H1882" s="39" t="n"/>
      <c r="I1882" s="39" t="n"/>
    </row>
    <row r="1883">
      <c r="A1883" s="7" t="n"/>
      <c r="B1883" s="7" t="n"/>
      <c r="C1883" s="7" t="n"/>
      <c r="D1883" s="39" t="n"/>
      <c r="E1883" s="39" t="n"/>
      <c r="F1883" s="7" t="n"/>
      <c r="G1883" s="40" t="n"/>
      <c r="H1883" s="39" t="n"/>
      <c r="I1883" s="39" t="n"/>
    </row>
    <row r="1884">
      <c r="A1884" s="7" t="n"/>
      <c r="B1884" s="7" t="n"/>
      <c r="C1884" s="7" t="n"/>
      <c r="D1884" s="39" t="n"/>
      <c r="E1884" s="39" t="n"/>
      <c r="F1884" s="7" t="n"/>
      <c r="G1884" s="40" t="n"/>
      <c r="H1884" s="39" t="n"/>
      <c r="I1884" s="39" t="n"/>
    </row>
    <row r="1885">
      <c r="A1885" s="7" t="n"/>
      <c r="B1885" s="7" t="n"/>
      <c r="C1885" s="7" t="n"/>
      <c r="D1885" s="39" t="n"/>
      <c r="E1885" s="39" t="n"/>
      <c r="F1885" s="7" t="n"/>
      <c r="G1885" s="40" t="n"/>
      <c r="H1885" s="39" t="n"/>
      <c r="I1885" s="39" t="n"/>
    </row>
    <row r="1886">
      <c r="A1886" s="7" t="n"/>
      <c r="B1886" s="7" t="n"/>
      <c r="C1886" s="7" t="n"/>
      <c r="D1886" s="39" t="n"/>
      <c r="E1886" s="39" t="n"/>
      <c r="F1886" s="7" t="n"/>
      <c r="G1886" s="40" t="n"/>
      <c r="H1886" s="39" t="n"/>
      <c r="I1886" s="39" t="n"/>
    </row>
    <row r="1887">
      <c r="A1887" s="7" t="n"/>
      <c r="B1887" s="7" t="n"/>
      <c r="C1887" s="7" t="n"/>
      <c r="D1887" s="39" t="n"/>
      <c r="E1887" s="39" t="n"/>
      <c r="F1887" s="7" t="n"/>
      <c r="G1887" s="40" t="n"/>
      <c r="H1887" s="39" t="n"/>
      <c r="I1887" s="39" t="n"/>
    </row>
    <row r="1888">
      <c r="A1888" s="7" t="n"/>
      <c r="B1888" s="7" t="n"/>
      <c r="C1888" s="7" t="n"/>
      <c r="D1888" s="39" t="n"/>
      <c r="E1888" s="39" t="n"/>
      <c r="F1888" s="7" t="n"/>
      <c r="G1888" s="40" t="n"/>
      <c r="H1888" s="39" t="n"/>
      <c r="I1888" s="39" t="n"/>
    </row>
    <row r="1889">
      <c r="A1889" s="7" t="n"/>
      <c r="B1889" s="7" t="n"/>
      <c r="C1889" s="7" t="n"/>
      <c r="D1889" s="39" t="n"/>
      <c r="E1889" s="39" t="n"/>
      <c r="F1889" s="7" t="n"/>
      <c r="G1889" s="40" t="n"/>
      <c r="H1889" s="39" t="n"/>
      <c r="I1889" s="39" t="n"/>
    </row>
    <row r="1890">
      <c r="A1890" s="7" t="n"/>
      <c r="B1890" s="7" t="n"/>
      <c r="C1890" s="7" t="n"/>
      <c r="D1890" s="39" t="n"/>
      <c r="E1890" s="39" t="n"/>
      <c r="F1890" s="7" t="n"/>
      <c r="G1890" s="40" t="n"/>
      <c r="H1890" s="39" t="n"/>
      <c r="I1890" s="39" t="n"/>
    </row>
    <row r="1891">
      <c r="A1891" s="7" t="n"/>
      <c r="B1891" s="7" t="n"/>
      <c r="C1891" s="7" t="n"/>
      <c r="D1891" s="39" t="n"/>
      <c r="E1891" s="39" t="n"/>
      <c r="F1891" s="7" t="n"/>
      <c r="G1891" s="40" t="n"/>
      <c r="H1891" s="39" t="n"/>
      <c r="I1891" s="39" t="n"/>
    </row>
    <row r="1892">
      <c r="A1892" s="7" t="n"/>
      <c r="B1892" s="7" t="n"/>
      <c r="C1892" s="7" t="n"/>
      <c r="D1892" s="39" t="n"/>
      <c r="E1892" s="39" t="n"/>
      <c r="F1892" s="7" t="n"/>
      <c r="G1892" s="40" t="n"/>
      <c r="H1892" s="39" t="n"/>
      <c r="I1892" s="39" t="n"/>
    </row>
    <row r="1893">
      <c r="A1893" s="7" t="n"/>
      <c r="B1893" s="7" t="n"/>
      <c r="C1893" s="7" t="n"/>
      <c r="D1893" s="39" t="n"/>
      <c r="E1893" s="39" t="n"/>
      <c r="F1893" s="7" t="n"/>
      <c r="G1893" s="40" t="n"/>
      <c r="H1893" s="39" t="n"/>
      <c r="I1893" s="39" t="n"/>
    </row>
    <row r="1894">
      <c r="A1894" s="7" t="n"/>
      <c r="B1894" s="7" t="n"/>
      <c r="C1894" s="7" t="n"/>
      <c r="D1894" s="39" t="n"/>
      <c r="E1894" s="39" t="n"/>
      <c r="F1894" s="7" t="n"/>
      <c r="G1894" s="40" t="n"/>
      <c r="H1894" s="39" t="n"/>
      <c r="I1894" s="39" t="n"/>
    </row>
    <row r="1895">
      <c r="A1895" s="7" t="n"/>
      <c r="B1895" s="7" t="n"/>
      <c r="C1895" s="7" t="n"/>
      <c r="D1895" s="39" t="n"/>
      <c r="E1895" s="39" t="n"/>
      <c r="F1895" s="7" t="n"/>
      <c r="G1895" s="40" t="n"/>
      <c r="H1895" s="39" t="n"/>
      <c r="I1895" s="39" t="n"/>
    </row>
    <row r="1896">
      <c r="A1896" s="7" t="n"/>
      <c r="B1896" s="7" t="n"/>
      <c r="C1896" s="7" t="n"/>
      <c r="D1896" s="39" t="n"/>
      <c r="E1896" s="39" t="n"/>
      <c r="F1896" s="7" t="n"/>
      <c r="G1896" s="40" t="n"/>
      <c r="H1896" s="39" t="n"/>
      <c r="I1896" s="39" t="n"/>
    </row>
    <row r="1897">
      <c r="A1897" s="7" t="n"/>
      <c r="B1897" s="7" t="n"/>
      <c r="C1897" s="7" t="n"/>
      <c r="D1897" s="39" t="n"/>
      <c r="E1897" s="39" t="n"/>
      <c r="F1897" s="7" t="n"/>
      <c r="G1897" s="40" t="n"/>
      <c r="H1897" s="39" t="n"/>
      <c r="I1897" s="39" t="n"/>
    </row>
    <row r="1898">
      <c r="A1898" s="7" t="n"/>
      <c r="B1898" s="7" t="n"/>
      <c r="C1898" s="7" t="n"/>
      <c r="D1898" s="39" t="n"/>
      <c r="E1898" s="39" t="n"/>
      <c r="F1898" s="7" t="n"/>
      <c r="G1898" s="40" t="n"/>
      <c r="H1898" s="39" t="n"/>
      <c r="I1898" s="39" t="n"/>
    </row>
    <row r="1899">
      <c r="A1899" s="7" t="n"/>
      <c r="B1899" s="7" t="n"/>
      <c r="C1899" s="7" t="n"/>
      <c r="D1899" s="39" t="n"/>
      <c r="E1899" s="39" t="n"/>
      <c r="F1899" s="7" t="n"/>
      <c r="G1899" s="40" t="n"/>
      <c r="H1899" s="39" t="n"/>
      <c r="I1899" s="39" t="n"/>
    </row>
    <row r="1900">
      <c r="A1900" s="7" t="n"/>
      <c r="B1900" s="7" t="n"/>
      <c r="C1900" s="7" t="n"/>
      <c r="D1900" s="39" t="n"/>
      <c r="E1900" s="39" t="n"/>
      <c r="F1900" s="7" t="n"/>
      <c r="G1900" s="40" t="n"/>
      <c r="H1900" s="39" t="n"/>
      <c r="I1900" s="39" t="n"/>
    </row>
    <row r="1901">
      <c r="A1901" s="7" t="n"/>
      <c r="B1901" s="7" t="n"/>
      <c r="C1901" s="7" t="n"/>
      <c r="D1901" s="39" t="n"/>
      <c r="E1901" s="39" t="n"/>
      <c r="F1901" s="7" t="n"/>
      <c r="G1901" s="40" t="n"/>
      <c r="H1901" s="39" t="n"/>
      <c r="I1901" s="39" t="n"/>
    </row>
    <row r="1902">
      <c r="A1902" s="7" t="n"/>
      <c r="B1902" s="7" t="n"/>
      <c r="C1902" s="7" t="n"/>
      <c r="D1902" s="39" t="n"/>
      <c r="E1902" s="39" t="n"/>
      <c r="F1902" s="7" t="n"/>
      <c r="G1902" s="40" t="n"/>
      <c r="H1902" s="39" t="n"/>
      <c r="I1902" s="39" t="n"/>
    </row>
    <row r="1903">
      <c r="A1903" s="7" t="n"/>
      <c r="B1903" s="7" t="n"/>
      <c r="C1903" s="7" t="n"/>
      <c r="D1903" s="39" t="n"/>
      <c r="E1903" s="39" t="n"/>
      <c r="F1903" s="7" t="n"/>
      <c r="G1903" s="40" t="n"/>
      <c r="H1903" s="39" t="n"/>
      <c r="I1903" s="39" t="n"/>
    </row>
    <row r="1904">
      <c r="A1904" s="7" t="n"/>
      <c r="B1904" s="7" t="n"/>
      <c r="C1904" s="7" t="n"/>
      <c r="D1904" s="39" t="n"/>
      <c r="E1904" s="39" t="n"/>
      <c r="F1904" s="7" t="n"/>
      <c r="G1904" s="40" t="n"/>
      <c r="H1904" s="39" t="n"/>
      <c r="I1904" s="39" t="n"/>
    </row>
    <row r="1905">
      <c r="A1905" s="7" t="n"/>
      <c r="B1905" s="7" t="n"/>
      <c r="C1905" s="7" t="n"/>
      <c r="D1905" s="39" t="n"/>
      <c r="E1905" s="39" t="n"/>
      <c r="F1905" s="7" t="n"/>
      <c r="G1905" s="40" t="n"/>
      <c r="H1905" s="39" t="n"/>
      <c r="I1905" s="39" t="n"/>
    </row>
    <row r="1906">
      <c r="A1906" s="7" t="n"/>
      <c r="B1906" s="7" t="n"/>
      <c r="C1906" s="7" t="n"/>
      <c r="D1906" s="39" t="n"/>
      <c r="E1906" s="39" t="n"/>
      <c r="F1906" s="7" t="n"/>
      <c r="G1906" s="40" t="n"/>
      <c r="H1906" s="39" t="n"/>
      <c r="I1906" s="39" t="n"/>
    </row>
    <row r="1907">
      <c r="A1907" s="7" t="n"/>
      <c r="B1907" s="7" t="n"/>
      <c r="C1907" s="7" t="n"/>
      <c r="D1907" s="39" t="n"/>
      <c r="E1907" s="39" t="n"/>
      <c r="F1907" s="7" t="n"/>
      <c r="G1907" s="40" t="n"/>
      <c r="H1907" s="39" t="n"/>
      <c r="I1907" s="39" t="n"/>
    </row>
    <row r="1908">
      <c r="A1908" s="7" t="n"/>
      <c r="B1908" s="7" t="n"/>
      <c r="C1908" s="7" t="n"/>
      <c r="D1908" s="39" t="n"/>
      <c r="E1908" s="39" t="n"/>
      <c r="F1908" s="7" t="n"/>
      <c r="G1908" s="40" t="n"/>
      <c r="H1908" s="39" t="n"/>
      <c r="I1908" s="39" t="n"/>
    </row>
    <row r="1909">
      <c r="A1909" s="7" t="n"/>
      <c r="B1909" s="7" t="n"/>
      <c r="C1909" s="7" t="n"/>
      <c r="D1909" s="39" t="n"/>
      <c r="E1909" s="39" t="n"/>
      <c r="F1909" s="7" t="n"/>
      <c r="G1909" s="40" t="n"/>
      <c r="H1909" s="39" t="n"/>
      <c r="I1909" s="39" t="n"/>
    </row>
    <row r="1910">
      <c r="A1910" s="7" t="n"/>
      <c r="B1910" s="7" t="n"/>
      <c r="C1910" s="7" t="n"/>
      <c r="D1910" s="39" t="n"/>
      <c r="E1910" s="39" t="n"/>
      <c r="F1910" s="7" t="n"/>
      <c r="G1910" s="40" t="n"/>
      <c r="H1910" s="39" t="n"/>
      <c r="I1910" s="39" t="n"/>
    </row>
    <row r="1911">
      <c r="A1911" s="7" t="n"/>
      <c r="B1911" s="7" t="n"/>
      <c r="C1911" s="7" t="n"/>
      <c r="D1911" s="39" t="n"/>
      <c r="E1911" s="39" t="n"/>
      <c r="F1911" s="7" t="n"/>
      <c r="G1911" s="40" t="n"/>
      <c r="H1911" s="39" t="n"/>
      <c r="I1911" s="39" t="n"/>
    </row>
    <row r="1912">
      <c r="A1912" s="7" t="n"/>
      <c r="B1912" s="7" t="n"/>
      <c r="C1912" s="7" t="n"/>
      <c r="D1912" s="39" t="n"/>
      <c r="E1912" s="39" t="n"/>
      <c r="F1912" s="7" t="n"/>
      <c r="G1912" s="40" t="n"/>
      <c r="H1912" s="39" t="n"/>
      <c r="I1912" s="39" t="n"/>
    </row>
    <row r="1913">
      <c r="A1913" s="7" t="n"/>
      <c r="B1913" s="7" t="n"/>
      <c r="C1913" s="7" t="n"/>
      <c r="D1913" s="39" t="n"/>
      <c r="E1913" s="39" t="n"/>
      <c r="F1913" s="7" t="n"/>
      <c r="G1913" s="40" t="n"/>
      <c r="H1913" s="39" t="n"/>
      <c r="I1913" s="39" t="n"/>
    </row>
    <row r="1914">
      <c r="A1914" s="7" t="n"/>
      <c r="B1914" s="7" t="n"/>
      <c r="C1914" s="7" t="n"/>
      <c r="D1914" s="39" t="n"/>
      <c r="E1914" s="39" t="n"/>
      <c r="F1914" s="7" t="n"/>
      <c r="G1914" s="40" t="n"/>
      <c r="H1914" s="39" t="n"/>
      <c r="I1914" s="39" t="n"/>
    </row>
    <row r="1915">
      <c r="A1915" s="7" t="n"/>
      <c r="B1915" s="7" t="n"/>
      <c r="C1915" s="7" t="n"/>
      <c r="D1915" s="39" t="n"/>
      <c r="E1915" s="39" t="n"/>
      <c r="F1915" s="7" t="n"/>
      <c r="G1915" s="40" t="n"/>
      <c r="H1915" s="39" t="n"/>
      <c r="I1915" s="39" t="n"/>
    </row>
    <row r="1916">
      <c r="A1916" s="7" t="n"/>
      <c r="B1916" s="7" t="n"/>
      <c r="C1916" s="7" t="n"/>
      <c r="D1916" s="39" t="n"/>
      <c r="E1916" s="39" t="n"/>
      <c r="F1916" s="7" t="n"/>
      <c r="G1916" s="40" t="n"/>
      <c r="H1916" s="39" t="n"/>
      <c r="I1916" s="39" t="n"/>
    </row>
    <row r="1917">
      <c r="A1917" s="7" t="n"/>
      <c r="B1917" s="7" t="n"/>
      <c r="C1917" s="7" t="n"/>
      <c r="D1917" s="39" t="n"/>
      <c r="E1917" s="39" t="n"/>
      <c r="F1917" s="7" t="n"/>
      <c r="G1917" s="40" t="n"/>
      <c r="H1917" s="39" t="n"/>
      <c r="I1917" s="39" t="n"/>
    </row>
    <row r="1918">
      <c r="A1918" s="7" t="n"/>
      <c r="B1918" s="7" t="n"/>
      <c r="C1918" s="7" t="n"/>
      <c r="D1918" s="39" t="n"/>
      <c r="E1918" s="39" t="n"/>
      <c r="F1918" s="7" t="n"/>
      <c r="G1918" s="40" t="n"/>
      <c r="H1918" s="39" t="n"/>
      <c r="I1918" s="39" t="n"/>
    </row>
    <row r="1919">
      <c r="A1919" s="7" t="n"/>
      <c r="B1919" s="7" t="n"/>
      <c r="C1919" s="7" t="n"/>
      <c r="D1919" s="39" t="n"/>
      <c r="E1919" s="39" t="n"/>
      <c r="F1919" s="7" t="n"/>
      <c r="G1919" s="40" t="n"/>
      <c r="H1919" s="39" t="n"/>
      <c r="I1919" s="39" t="n"/>
    </row>
    <row r="1920">
      <c r="A1920" s="7" t="n"/>
      <c r="B1920" s="7" t="n"/>
      <c r="C1920" s="7" t="n"/>
      <c r="D1920" s="39" t="n"/>
      <c r="E1920" s="39" t="n"/>
      <c r="F1920" s="7" t="n"/>
      <c r="G1920" s="40" t="n"/>
      <c r="H1920" s="39" t="n"/>
      <c r="I1920" s="39" t="n"/>
    </row>
    <row r="1921">
      <c r="A1921" s="7" t="n"/>
      <c r="B1921" s="7" t="n"/>
      <c r="C1921" s="7" t="n"/>
      <c r="D1921" s="39" t="n"/>
      <c r="E1921" s="39" t="n"/>
      <c r="F1921" s="7" t="n"/>
      <c r="G1921" s="40" t="n"/>
      <c r="H1921" s="39" t="n"/>
      <c r="I1921" s="39" t="n"/>
    </row>
    <row r="1922">
      <c r="A1922" s="7" t="n"/>
      <c r="B1922" s="7" t="n"/>
      <c r="C1922" s="7" t="n"/>
      <c r="D1922" s="39" t="n"/>
      <c r="E1922" s="39" t="n"/>
      <c r="F1922" s="7" t="n"/>
      <c r="G1922" s="40" t="n"/>
      <c r="H1922" s="39" t="n"/>
      <c r="I1922" s="39" t="n"/>
    </row>
    <row r="1923">
      <c r="A1923" s="7" t="n"/>
      <c r="B1923" s="7" t="n"/>
      <c r="C1923" s="7" t="n"/>
      <c r="D1923" s="39" t="n"/>
      <c r="E1923" s="39" t="n"/>
      <c r="F1923" s="7" t="n"/>
      <c r="G1923" s="40" t="n"/>
      <c r="H1923" s="39" t="n"/>
      <c r="I1923" s="39" t="n"/>
    </row>
    <row r="1924">
      <c r="A1924" s="7" t="n"/>
      <c r="B1924" s="7" t="n"/>
      <c r="C1924" s="7" t="n"/>
      <c r="D1924" s="39" t="n"/>
      <c r="E1924" s="39" t="n"/>
      <c r="F1924" s="7" t="n"/>
      <c r="G1924" s="40" t="n"/>
      <c r="H1924" s="39" t="n"/>
      <c r="I1924" s="39" t="n"/>
    </row>
    <row r="1925">
      <c r="A1925" s="7" t="n"/>
      <c r="B1925" s="7" t="n"/>
      <c r="C1925" s="7" t="n"/>
      <c r="D1925" s="39" t="n"/>
      <c r="E1925" s="39" t="n"/>
      <c r="F1925" s="7" t="n"/>
      <c r="G1925" s="40" t="n"/>
      <c r="H1925" s="39" t="n"/>
      <c r="I1925" s="39" t="n"/>
    </row>
    <row r="1926">
      <c r="A1926" s="7" t="n"/>
      <c r="B1926" s="7" t="n"/>
      <c r="C1926" s="7" t="n"/>
      <c r="D1926" s="39" t="n"/>
      <c r="E1926" s="39" t="n"/>
      <c r="F1926" s="7" t="n"/>
      <c r="G1926" s="40" t="n"/>
      <c r="H1926" s="39" t="n"/>
      <c r="I1926" s="39" t="n"/>
    </row>
    <row r="1927">
      <c r="A1927" s="7" t="n"/>
      <c r="B1927" s="7" t="n"/>
      <c r="C1927" s="7" t="n"/>
      <c r="D1927" s="39" t="n"/>
      <c r="E1927" s="39" t="n"/>
      <c r="F1927" s="7" t="n"/>
      <c r="G1927" s="40" t="n"/>
      <c r="H1927" s="39" t="n"/>
      <c r="I1927" s="39" t="n"/>
    </row>
    <row r="1928">
      <c r="A1928" s="7" t="n"/>
      <c r="B1928" s="7" t="n"/>
      <c r="C1928" s="7" t="n"/>
      <c r="D1928" s="39" t="n"/>
      <c r="E1928" s="39" t="n"/>
      <c r="F1928" s="7" t="n"/>
      <c r="G1928" s="40" t="n"/>
      <c r="H1928" s="39" t="n"/>
      <c r="I1928" s="39" t="n"/>
    </row>
    <row r="1929">
      <c r="A1929" s="7" t="n"/>
      <c r="B1929" s="7" t="n"/>
      <c r="C1929" s="7" t="n"/>
      <c r="D1929" s="39" t="n"/>
      <c r="E1929" s="39" t="n"/>
      <c r="F1929" s="7" t="n"/>
      <c r="G1929" s="40" t="n"/>
      <c r="H1929" s="39" t="n"/>
      <c r="I1929" s="39" t="n"/>
    </row>
    <row r="1930">
      <c r="A1930" s="7" t="n"/>
      <c r="B1930" s="7" t="n"/>
      <c r="C1930" s="7" t="n"/>
      <c r="D1930" s="39" t="n"/>
      <c r="E1930" s="39" t="n"/>
      <c r="F1930" s="7" t="n"/>
      <c r="G1930" s="40" t="n"/>
      <c r="H1930" s="39" t="n"/>
      <c r="I1930" s="39" t="n"/>
    </row>
    <row r="1931">
      <c r="A1931" s="7" t="n"/>
      <c r="B1931" s="7" t="n"/>
      <c r="C1931" s="7" t="n"/>
      <c r="D1931" s="39" t="n"/>
      <c r="E1931" s="39" t="n"/>
      <c r="F1931" s="7" t="n"/>
      <c r="G1931" s="40" t="n"/>
      <c r="H1931" s="39" t="n"/>
      <c r="I1931" s="39" t="n"/>
    </row>
    <row r="1932">
      <c r="A1932" s="7" t="n"/>
      <c r="B1932" s="7" t="n"/>
      <c r="C1932" s="7" t="n"/>
      <c r="D1932" s="39" t="n"/>
      <c r="E1932" s="39" t="n"/>
      <c r="F1932" s="7" t="n"/>
      <c r="G1932" s="40" t="n"/>
      <c r="H1932" s="39" t="n"/>
      <c r="I1932" s="39" t="n"/>
    </row>
    <row r="1933">
      <c r="A1933" s="7" t="n"/>
      <c r="B1933" s="7" t="n"/>
      <c r="C1933" s="7" t="n"/>
      <c r="D1933" s="39" t="n"/>
      <c r="E1933" s="39" t="n"/>
      <c r="F1933" s="7" t="n"/>
      <c r="G1933" s="40" t="n"/>
      <c r="H1933" s="39" t="n"/>
      <c r="I1933" s="39" t="n"/>
    </row>
    <row r="1934">
      <c r="A1934" s="7" t="n"/>
      <c r="B1934" s="7" t="n"/>
      <c r="C1934" s="7" t="n"/>
      <c r="D1934" s="39" t="n"/>
      <c r="E1934" s="39" t="n"/>
      <c r="F1934" s="7" t="n"/>
      <c r="G1934" s="40" t="n"/>
      <c r="H1934" s="39" t="n"/>
      <c r="I1934" s="39" t="n"/>
    </row>
    <row r="1935">
      <c r="A1935" s="7" t="n"/>
      <c r="B1935" s="7" t="n"/>
      <c r="C1935" s="7" t="n"/>
      <c r="D1935" s="39" t="n"/>
      <c r="E1935" s="39" t="n"/>
      <c r="F1935" s="7" t="n"/>
      <c r="G1935" s="40" t="n"/>
      <c r="H1935" s="39" t="n"/>
      <c r="I1935" s="39" t="n"/>
    </row>
    <row r="1936">
      <c r="A1936" s="7" t="n"/>
      <c r="B1936" s="7" t="n"/>
      <c r="C1936" s="7" t="n"/>
      <c r="D1936" s="39" t="n"/>
      <c r="E1936" s="39" t="n"/>
      <c r="F1936" s="7" t="n"/>
      <c r="G1936" s="40" t="n"/>
      <c r="H1936" s="39" t="n"/>
      <c r="I1936" s="39" t="n"/>
    </row>
    <row r="1937">
      <c r="A1937" s="7" t="n"/>
      <c r="B1937" s="7" t="n"/>
      <c r="C1937" s="7" t="n"/>
      <c r="D1937" s="39" t="n"/>
      <c r="E1937" s="39" t="n"/>
      <c r="F1937" s="7" t="n"/>
      <c r="G1937" s="40" t="n"/>
      <c r="H1937" s="39" t="n"/>
      <c r="I1937" s="39" t="n"/>
    </row>
    <row r="1938">
      <c r="A1938" s="7" t="n"/>
      <c r="B1938" s="7" t="n"/>
      <c r="C1938" s="7" t="n"/>
      <c r="D1938" s="39" t="n"/>
      <c r="E1938" s="39" t="n"/>
      <c r="F1938" s="7" t="n"/>
      <c r="G1938" s="40" t="n"/>
      <c r="H1938" s="39" t="n"/>
      <c r="I1938" s="39" t="n"/>
    </row>
    <row r="1939">
      <c r="A1939" s="7" t="n"/>
      <c r="B1939" s="7" t="n"/>
      <c r="C1939" s="7" t="n"/>
      <c r="D1939" s="39" t="n"/>
      <c r="E1939" s="39" t="n"/>
      <c r="F1939" s="7" t="n"/>
      <c r="G1939" s="40" t="n"/>
      <c r="H1939" s="39" t="n"/>
      <c r="I1939" s="39" t="n"/>
    </row>
    <row r="1940">
      <c r="A1940" s="7" t="n"/>
      <c r="B1940" s="7" t="n"/>
      <c r="C1940" s="7" t="n"/>
      <c r="D1940" s="39" t="n"/>
      <c r="E1940" s="39" t="n"/>
      <c r="F1940" s="7" t="n"/>
      <c r="G1940" s="40" t="n"/>
      <c r="H1940" s="39" t="n"/>
      <c r="I1940" s="39" t="n"/>
    </row>
    <row r="1941">
      <c r="A1941" s="7" t="n"/>
      <c r="B1941" s="7" t="n"/>
      <c r="C1941" s="7" t="n"/>
      <c r="D1941" s="39" t="n"/>
      <c r="E1941" s="39" t="n"/>
      <c r="F1941" s="7" t="n"/>
      <c r="G1941" s="40" t="n"/>
      <c r="H1941" s="39" t="n"/>
      <c r="I1941" s="39" t="n"/>
    </row>
    <row r="1942">
      <c r="A1942" s="7" t="n"/>
      <c r="B1942" s="7" t="n"/>
      <c r="C1942" s="7" t="n"/>
      <c r="D1942" s="39" t="n"/>
      <c r="E1942" s="39" t="n"/>
      <c r="F1942" s="7" t="n"/>
      <c r="G1942" s="40" t="n"/>
      <c r="H1942" s="39" t="n"/>
      <c r="I1942" s="39" t="n"/>
    </row>
    <row r="1943">
      <c r="A1943" s="7" t="n"/>
      <c r="B1943" s="7" t="n"/>
      <c r="C1943" s="7" t="n"/>
      <c r="D1943" s="39" t="n"/>
      <c r="E1943" s="39" t="n"/>
      <c r="F1943" s="7" t="n"/>
      <c r="G1943" s="40" t="n"/>
      <c r="H1943" s="39" t="n"/>
      <c r="I1943" s="39" t="n"/>
    </row>
    <row r="1944">
      <c r="A1944" s="7" t="n"/>
      <c r="B1944" s="7" t="n"/>
      <c r="C1944" s="7" t="n"/>
      <c r="D1944" s="39" t="n"/>
      <c r="E1944" s="39" t="n"/>
      <c r="F1944" s="7" t="n"/>
      <c r="G1944" s="40" t="n"/>
      <c r="H1944" s="39" t="n"/>
      <c r="I1944" s="39" t="n"/>
    </row>
    <row r="1945">
      <c r="A1945" s="7" t="n"/>
      <c r="B1945" s="7" t="n"/>
      <c r="C1945" s="7" t="n"/>
      <c r="D1945" s="39" t="n"/>
      <c r="E1945" s="39" t="n"/>
      <c r="F1945" s="7" t="n"/>
      <c r="G1945" s="40" t="n"/>
      <c r="H1945" s="39" t="n"/>
      <c r="I1945" s="39" t="n"/>
    </row>
    <row r="1946">
      <c r="A1946" s="7" t="n"/>
      <c r="B1946" s="7" t="n"/>
      <c r="C1946" s="7" t="n"/>
      <c r="D1946" s="39" t="n"/>
      <c r="E1946" s="39" t="n"/>
      <c r="F1946" s="7" t="n"/>
      <c r="G1946" s="40" t="n"/>
      <c r="H1946" s="39" t="n"/>
      <c r="I1946" s="39" t="n"/>
    </row>
    <row r="1947">
      <c r="A1947" s="7" t="n"/>
      <c r="B1947" s="7" t="n"/>
      <c r="C1947" s="7" t="n"/>
      <c r="D1947" s="39" t="n"/>
      <c r="E1947" s="39" t="n"/>
      <c r="F1947" s="7" t="n"/>
      <c r="G1947" s="40" t="n"/>
      <c r="H1947" s="39" t="n"/>
      <c r="I1947" s="39" t="n"/>
    </row>
    <row r="1948">
      <c r="A1948" s="7" t="n"/>
      <c r="B1948" s="7" t="n"/>
      <c r="C1948" s="7" t="n"/>
      <c r="D1948" s="39" t="n"/>
      <c r="E1948" s="39" t="n"/>
      <c r="F1948" s="7" t="n"/>
      <c r="G1948" s="40" t="n"/>
      <c r="H1948" s="39" t="n"/>
      <c r="I1948" s="39" t="n"/>
    </row>
    <row r="1949">
      <c r="A1949" s="7" t="n"/>
      <c r="B1949" s="7" t="n"/>
      <c r="C1949" s="7" t="n"/>
      <c r="D1949" s="39" t="n"/>
      <c r="E1949" s="39" t="n"/>
      <c r="F1949" s="7" t="n"/>
      <c r="G1949" s="40" t="n"/>
      <c r="H1949" s="39" t="n"/>
      <c r="I1949" s="39" t="n"/>
    </row>
    <row r="1950">
      <c r="A1950" s="7" t="n"/>
      <c r="B1950" s="7" t="n"/>
      <c r="C1950" s="7" t="n"/>
      <c r="D1950" s="39" t="n"/>
      <c r="E1950" s="39" t="n"/>
      <c r="F1950" s="7" t="n"/>
      <c r="G1950" s="40" t="n"/>
      <c r="H1950" s="39" t="n"/>
      <c r="I1950" s="39" t="n"/>
    </row>
    <row r="1951">
      <c r="A1951" s="7" t="n"/>
      <c r="B1951" s="7" t="n"/>
      <c r="C1951" s="7" t="n"/>
      <c r="D1951" s="39" t="n"/>
      <c r="E1951" s="39" t="n"/>
      <c r="F1951" s="7" t="n"/>
      <c r="G1951" s="40" t="n"/>
      <c r="H1951" s="39" t="n"/>
      <c r="I1951" s="39" t="n"/>
    </row>
    <row r="1952">
      <c r="A1952" s="7" t="n"/>
      <c r="B1952" s="7" t="n"/>
      <c r="C1952" s="7" t="n"/>
      <c r="D1952" s="39" t="n"/>
      <c r="E1952" s="39" t="n"/>
      <c r="F1952" s="7" t="n"/>
      <c r="G1952" s="40" t="n"/>
      <c r="H1952" s="39" t="n"/>
      <c r="I1952" s="39" t="n"/>
    </row>
    <row r="1953">
      <c r="A1953" s="7" t="n"/>
      <c r="B1953" s="7" t="n"/>
      <c r="C1953" s="7" t="n"/>
      <c r="D1953" s="39" t="n"/>
      <c r="E1953" s="39" t="n"/>
      <c r="F1953" s="7" t="n"/>
      <c r="G1953" s="40" t="n"/>
      <c r="H1953" s="39" t="n"/>
      <c r="I1953" s="39" t="n"/>
    </row>
    <row r="1954">
      <c r="A1954" s="7" t="n"/>
      <c r="B1954" s="7" t="n"/>
      <c r="C1954" s="7" t="n"/>
      <c r="D1954" s="39" t="n"/>
      <c r="E1954" s="39" t="n"/>
      <c r="F1954" s="7" t="n"/>
      <c r="G1954" s="40" t="n"/>
      <c r="H1954" s="39" t="n"/>
      <c r="I1954" s="39" t="n"/>
    </row>
    <row r="1955">
      <c r="A1955" s="7" t="n"/>
      <c r="B1955" s="7" t="n"/>
      <c r="C1955" s="7" t="n"/>
      <c r="D1955" s="39" t="n"/>
      <c r="E1955" s="39" t="n"/>
      <c r="F1955" s="7" t="n"/>
      <c r="G1955" s="40" t="n"/>
      <c r="H1955" s="39" t="n"/>
      <c r="I1955" s="39" t="n"/>
    </row>
    <row r="1956">
      <c r="A1956" s="7" t="n"/>
      <c r="B1956" s="7" t="n"/>
      <c r="C1956" s="7" t="n"/>
      <c r="D1956" s="39" t="n"/>
      <c r="E1956" s="39" t="n"/>
      <c r="F1956" s="7" t="n"/>
      <c r="G1956" s="40" t="n"/>
      <c r="H1956" s="39" t="n"/>
      <c r="I1956" s="39" t="n"/>
    </row>
    <row r="1957">
      <c r="A1957" s="7" t="n"/>
      <c r="B1957" s="7" t="n"/>
      <c r="C1957" s="7" t="n"/>
      <c r="D1957" s="39" t="n"/>
      <c r="E1957" s="39" t="n"/>
      <c r="F1957" s="7" t="n"/>
      <c r="G1957" s="40" t="n"/>
      <c r="H1957" s="39" t="n"/>
      <c r="I1957" s="39" t="n"/>
    </row>
    <row r="1958">
      <c r="A1958" s="7" t="n"/>
      <c r="B1958" s="7" t="n"/>
      <c r="C1958" s="7" t="n"/>
      <c r="D1958" s="39" t="n"/>
      <c r="E1958" s="39" t="n"/>
      <c r="F1958" s="7" t="n"/>
      <c r="G1958" s="40" t="n"/>
      <c r="H1958" s="39" t="n"/>
      <c r="I1958" s="39" t="n"/>
    </row>
    <row r="1959">
      <c r="A1959" s="7" t="n"/>
      <c r="B1959" s="7" t="n"/>
      <c r="C1959" s="7" t="n"/>
      <c r="D1959" s="39" t="n"/>
      <c r="E1959" s="39" t="n"/>
      <c r="F1959" s="7" t="n"/>
      <c r="G1959" s="40" t="n"/>
      <c r="H1959" s="39" t="n"/>
      <c r="I1959" s="39" t="n"/>
    </row>
    <row r="1960">
      <c r="A1960" s="7" t="n"/>
      <c r="B1960" s="7" t="n"/>
      <c r="C1960" s="7" t="n"/>
      <c r="D1960" s="39" t="n"/>
      <c r="E1960" s="39" t="n"/>
      <c r="F1960" s="7" t="n"/>
      <c r="G1960" s="40" t="n"/>
      <c r="H1960" s="39" t="n"/>
      <c r="I1960" s="39" t="n"/>
    </row>
    <row r="1961">
      <c r="A1961" s="7" t="n"/>
      <c r="B1961" s="7" t="n"/>
      <c r="C1961" s="7" t="n"/>
      <c r="D1961" s="39" t="n"/>
      <c r="E1961" s="39" t="n"/>
      <c r="F1961" s="7" t="n"/>
      <c r="G1961" s="40" t="n"/>
      <c r="H1961" s="39" t="n"/>
      <c r="I1961" s="39" t="n"/>
    </row>
    <row r="1962">
      <c r="A1962" s="7" t="n"/>
      <c r="B1962" s="7" t="n"/>
      <c r="C1962" s="7" t="n"/>
      <c r="D1962" s="39" t="n"/>
      <c r="E1962" s="39" t="n"/>
      <c r="F1962" s="7" t="n"/>
      <c r="G1962" s="40" t="n"/>
      <c r="H1962" s="39" t="n"/>
      <c r="I1962" s="39" t="n"/>
    </row>
    <row r="1963">
      <c r="A1963" s="7" t="n"/>
      <c r="B1963" s="7" t="n"/>
      <c r="C1963" s="7" t="n"/>
      <c r="D1963" s="39" t="n"/>
      <c r="E1963" s="39" t="n"/>
      <c r="F1963" s="7" t="n"/>
      <c r="G1963" s="40" t="n"/>
      <c r="H1963" s="39" t="n"/>
      <c r="I1963" s="39" t="n"/>
    </row>
    <row r="1964">
      <c r="A1964" s="7" t="n"/>
      <c r="B1964" s="7" t="n"/>
      <c r="C1964" s="7" t="n"/>
      <c r="D1964" s="39" t="n"/>
      <c r="E1964" s="39" t="n"/>
      <c r="F1964" s="7" t="n"/>
      <c r="G1964" s="40" t="n"/>
      <c r="H1964" s="39" t="n"/>
      <c r="I1964" s="39" t="n"/>
    </row>
    <row r="1965">
      <c r="A1965" s="7" t="n"/>
      <c r="B1965" s="7" t="n"/>
      <c r="C1965" s="7" t="n"/>
      <c r="D1965" s="39" t="n"/>
      <c r="E1965" s="39" t="n"/>
      <c r="F1965" s="7" t="n"/>
      <c r="G1965" s="40" t="n"/>
      <c r="H1965" s="39" t="n"/>
      <c r="I1965" s="39" t="n"/>
    </row>
    <row r="1966">
      <c r="A1966" s="7" t="n"/>
      <c r="B1966" s="7" t="n"/>
      <c r="C1966" s="7" t="n"/>
      <c r="D1966" s="39" t="n"/>
      <c r="E1966" s="39" t="n"/>
      <c r="F1966" s="7" t="n"/>
      <c r="G1966" s="40" t="n"/>
      <c r="H1966" s="39" t="n"/>
      <c r="I1966" s="39" t="n"/>
    </row>
    <row r="1967">
      <c r="A1967" s="7" t="n"/>
      <c r="B1967" s="7" t="n"/>
      <c r="C1967" s="7" t="n"/>
      <c r="D1967" s="39" t="n"/>
      <c r="E1967" s="39" t="n"/>
      <c r="F1967" s="7" t="n"/>
      <c r="G1967" s="40" t="n"/>
      <c r="H1967" s="39" t="n"/>
      <c r="I1967" s="39" t="n"/>
    </row>
    <row r="1968">
      <c r="A1968" s="7" t="n"/>
      <c r="B1968" s="7" t="n"/>
      <c r="C1968" s="7" t="n"/>
      <c r="D1968" s="39" t="n"/>
      <c r="E1968" s="39" t="n"/>
      <c r="F1968" s="7" t="n"/>
      <c r="G1968" s="40" t="n"/>
      <c r="H1968" s="39" t="n"/>
      <c r="I1968" s="39" t="n"/>
    </row>
    <row r="1969">
      <c r="A1969" s="7" t="n"/>
      <c r="B1969" s="7" t="n"/>
      <c r="C1969" s="7" t="n"/>
      <c r="D1969" s="39" t="n"/>
      <c r="E1969" s="39" t="n"/>
      <c r="F1969" s="7" t="n"/>
      <c r="G1969" s="40" t="n"/>
      <c r="H1969" s="39" t="n"/>
      <c r="I1969" s="39" t="n"/>
    </row>
    <row r="1970">
      <c r="A1970" s="7" t="n"/>
      <c r="B1970" s="7" t="n"/>
      <c r="C1970" s="7" t="n"/>
      <c r="D1970" s="39" t="n"/>
      <c r="E1970" s="39" t="n"/>
      <c r="F1970" s="7" t="n"/>
      <c r="G1970" s="40" t="n"/>
      <c r="H1970" s="39" t="n"/>
      <c r="I1970" s="39" t="n"/>
    </row>
    <row r="1971">
      <c r="A1971" s="7" t="n"/>
      <c r="B1971" s="7" t="n"/>
      <c r="C1971" s="7" t="n"/>
      <c r="D1971" s="39" t="n"/>
      <c r="E1971" s="39" t="n"/>
      <c r="F1971" s="7" t="n"/>
      <c r="G1971" s="40" t="n"/>
      <c r="H1971" s="39" t="n"/>
      <c r="I1971" s="39" t="n"/>
    </row>
    <row r="1972">
      <c r="A1972" s="7" t="n"/>
      <c r="B1972" s="7" t="n"/>
      <c r="C1972" s="7" t="n"/>
      <c r="D1972" s="39" t="n"/>
      <c r="E1972" s="39" t="n"/>
      <c r="F1972" s="7" t="n"/>
      <c r="G1972" s="40" t="n"/>
      <c r="H1972" s="39" t="n"/>
      <c r="I1972" s="39" t="n"/>
    </row>
    <row r="1973">
      <c r="A1973" s="7" t="n"/>
      <c r="B1973" s="7" t="n"/>
      <c r="C1973" s="7" t="n"/>
      <c r="D1973" s="39" t="n"/>
      <c r="E1973" s="39" t="n"/>
      <c r="F1973" s="7" t="n"/>
      <c r="G1973" s="40" t="n"/>
      <c r="H1973" s="39" t="n"/>
      <c r="I1973" s="39" t="n"/>
    </row>
    <row r="1974">
      <c r="A1974" s="7" t="n"/>
      <c r="B1974" s="7" t="n"/>
      <c r="C1974" s="7" t="n"/>
      <c r="D1974" s="39" t="n"/>
      <c r="E1974" s="39" t="n"/>
      <c r="F1974" s="7" t="n"/>
      <c r="G1974" s="40" t="n"/>
      <c r="H1974" s="39" t="n"/>
      <c r="I1974" s="39" t="n"/>
    </row>
    <row r="1975">
      <c r="A1975" s="7" t="n"/>
      <c r="B1975" s="7" t="n"/>
      <c r="C1975" s="7" t="n"/>
      <c r="D1975" s="39" t="n"/>
      <c r="E1975" s="39" t="n"/>
      <c r="F1975" s="7" t="n"/>
      <c r="G1975" s="40" t="n"/>
      <c r="H1975" s="39" t="n"/>
      <c r="I1975" s="39" t="n"/>
    </row>
    <row r="1976">
      <c r="A1976" s="7" t="n"/>
      <c r="B1976" s="7" t="n"/>
      <c r="C1976" s="7" t="n"/>
      <c r="D1976" s="39" t="n"/>
      <c r="E1976" s="39" t="n"/>
      <c r="F1976" s="7" t="n"/>
      <c r="G1976" s="40" t="n"/>
      <c r="H1976" s="39" t="n"/>
      <c r="I1976" s="39" t="n"/>
    </row>
    <row r="1977">
      <c r="A1977" s="7" t="n"/>
      <c r="B1977" s="7" t="n"/>
      <c r="C1977" s="7" t="n"/>
      <c r="D1977" s="39" t="n"/>
      <c r="E1977" s="39" t="n"/>
      <c r="F1977" s="7" t="n"/>
      <c r="G1977" s="40" t="n"/>
      <c r="H1977" s="39" t="n"/>
      <c r="I1977" s="39" t="n"/>
    </row>
    <row r="1978">
      <c r="A1978" s="7" t="n"/>
      <c r="B1978" s="7" t="n"/>
      <c r="C1978" s="7" t="n"/>
      <c r="D1978" s="39" t="n"/>
      <c r="E1978" s="39" t="n"/>
      <c r="F1978" s="7" t="n"/>
      <c r="G1978" s="40" t="n"/>
      <c r="H1978" s="39" t="n"/>
      <c r="I1978" s="39" t="n"/>
    </row>
    <row r="1979">
      <c r="A1979" s="7" t="n"/>
      <c r="B1979" s="7" t="n"/>
      <c r="C1979" s="7" t="n"/>
      <c r="D1979" s="39" t="n"/>
      <c r="E1979" s="39" t="n"/>
      <c r="F1979" s="7" t="n"/>
      <c r="G1979" s="40" t="n"/>
      <c r="H1979" s="39" t="n"/>
      <c r="I1979" s="39" t="n"/>
    </row>
    <row r="1980">
      <c r="A1980" s="7" t="n"/>
      <c r="B1980" s="7" t="n"/>
      <c r="C1980" s="7" t="n"/>
      <c r="D1980" s="39" t="n"/>
      <c r="E1980" s="39" t="n"/>
      <c r="F1980" s="7" t="n"/>
      <c r="G1980" s="40" t="n"/>
      <c r="H1980" s="39" t="n"/>
      <c r="I1980" s="39" t="n"/>
    </row>
    <row r="1981">
      <c r="A1981" s="7" t="n"/>
      <c r="B1981" s="7" t="n"/>
      <c r="C1981" s="7" t="n"/>
      <c r="D1981" s="39" t="n"/>
      <c r="E1981" s="39" t="n"/>
      <c r="F1981" s="7" t="n"/>
      <c r="G1981" s="40" t="n"/>
      <c r="H1981" s="39" t="n"/>
      <c r="I1981" s="39" t="n"/>
    </row>
    <row r="1982">
      <c r="A1982" s="7" t="n"/>
      <c r="B1982" s="7" t="n"/>
      <c r="C1982" s="7" t="n"/>
      <c r="D1982" s="39" t="n"/>
      <c r="E1982" s="39" t="n"/>
      <c r="F1982" s="7" t="n"/>
      <c r="G1982" s="40" t="n"/>
      <c r="H1982" s="39" t="n"/>
      <c r="I1982" s="39" t="n"/>
    </row>
    <row r="1983">
      <c r="A1983" s="7" t="n"/>
      <c r="B1983" s="7" t="n"/>
      <c r="C1983" s="7" t="n"/>
      <c r="D1983" s="39" t="n"/>
      <c r="E1983" s="39" t="n"/>
      <c r="F1983" s="7" t="n"/>
      <c r="G1983" s="40" t="n"/>
      <c r="H1983" s="39" t="n"/>
      <c r="I1983" s="39" t="n"/>
    </row>
    <row r="1984">
      <c r="A1984" s="7" t="n"/>
      <c r="B1984" s="7" t="n"/>
      <c r="C1984" s="7" t="n"/>
      <c r="D1984" s="39" t="n"/>
      <c r="E1984" s="39" t="n"/>
      <c r="F1984" s="7" t="n"/>
      <c r="G1984" s="40" t="n"/>
      <c r="H1984" s="39" t="n"/>
      <c r="I1984" s="39" t="n"/>
    </row>
    <row r="1985">
      <c r="A1985" s="7" t="n"/>
      <c r="B1985" s="7" t="n"/>
      <c r="C1985" s="7" t="n"/>
      <c r="D1985" s="39" t="n"/>
      <c r="E1985" s="39" t="n"/>
      <c r="F1985" s="7" t="n"/>
      <c r="G1985" s="40" t="n"/>
      <c r="H1985" s="39" t="n"/>
      <c r="I1985" s="39" t="n"/>
    </row>
    <row r="1986">
      <c r="A1986" s="7" t="n"/>
      <c r="B1986" s="7" t="n"/>
      <c r="C1986" s="7" t="n"/>
      <c r="D1986" s="39" t="n"/>
      <c r="E1986" s="39" t="n"/>
      <c r="F1986" s="7" t="n"/>
      <c r="G1986" s="40" t="n"/>
      <c r="H1986" s="39" t="n"/>
      <c r="I1986" s="39" t="n"/>
    </row>
    <row r="1987">
      <c r="A1987" s="7" t="n"/>
      <c r="B1987" s="7" t="n"/>
      <c r="C1987" s="7" t="n"/>
      <c r="D1987" s="39" t="n"/>
      <c r="E1987" s="39" t="n"/>
      <c r="F1987" s="7" t="n"/>
      <c r="G1987" s="40" t="n"/>
      <c r="H1987" s="39" t="n"/>
      <c r="I1987" s="39" t="n"/>
    </row>
    <row r="1988">
      <c r="A1988" s="7" t="n"/>
      <c r="B1988" s="7" t="n"/>
      <c r="C1988" s="7" t="n"/>
      <c r="D1988" s="39" t="n"/>
      <c r="E1988" s="39" t="n"/>
      <c r="F1988" s="7" t="n"/>
      <c r="G1988" s="40" t="n"/>
      <c r="H1988" s="39" t="n"/>
      <c r="I1988" s="39" t="n"/>
    </row>
    <row r="1989">
      <c r="A1989" s="7" t="n"/>
      <c r="B1989" s="7" t="n"/>
      <c r="C1989" s="7" t="n"/>
      <c r="D1989" s="39" t="n"/>
      <c r="E1989" s="39" t="n"/>
      <c r="F1989" s="7" t="n"/>
      <c r="G1989" s="40" t="n"/>
      <c r="H1989" s="39" t="n"/>
      <c r="I1989" s="39" t="n"/>
    </row>
    <row r="1990">
      <c r="A1990" s="7" t="n"/>
      <c r="B1990" s="7" t="n"/>
      <c r="C1990" s="7" t="n"/>
      <c r="D1990" s="39" t="n"/>
      <c r="E1990" s="39" t="n"/>
      <c r="F1990" s="7" t="n"/>
      <c r="G1990" s="40" t="n"/>
      <c r="H1990" s="39" t="n"/>
      <c r="I1990" s="39" t="n"/>
    </row>
    <row r="1991">
      <c r="A1991" s="7" t="n"/>
      <c r="B1991" s="7" t="n"/>
      <c r="C1991" s="7" t="n"/>
      <c r="D1991" s="39" t="n"/>
      <c r="E1991" s="39" t="n"/>
      <c r="F1991" s="7" t="n"/>
      <c r="G1991" s="40" t="n"/>
      <c r="H1991" s="39" t="n"/>
      <c r="I1991" s="39" t="n"/>
    </row>
    <row r="1992">
      <c r="A1992" s="7" t="n"/>
      <c r="B1992" s="7" t="n"/>
      <c r="C1992" s="7" t="n"/>
      <c r="D1992" s="39" t="n"/>
      <c r="E1992" s="39" t="n"/>
      <c r="F1992" s="7" t="n"/>
      <c r="G1992" s="40" t="n"/>
      <c r="H1992" s="39" t="n"/>
      <c r="I1992" s="39" t="n"/>
    </row>
    <row r="1993">
      <c r="A1993" s="7" t="n"/>
      <c r="B1993" s="7" t="n"/>
      <c r="C1993" s="7" t="n"/>
      <c r="D1993" s="39" t="n"/>
      <c r="E1993" s="39" t="n"/>
      <c r="F1993" s="7" t="n"/>
      <c r="G1993" s="40" t="n"/>
      <c r="H1993" s="39" t="n"/>
      <c r="I1993" s="39" t="n"/>
    </row>
    <row r="1994">
      <c r="A1994" s="7" t="n"/>
      <c r="B1994" s="7" t="n"/>
      <c r="C1994" s="7" t="n"/>
      <c r="D1994" s="39" t="n"/>
      <c r="E1994" s="39" t="n"/>
      <c r="F1994" s="7" t="n"/>
      <c r="G1994" s="40" t="n"/>
      <c r="H1994" s="39" t="n"/>
      <c r="I1994" s="39" t="n"/>
    </row>
    <row r="1995">
      <c r="A1995" s="7" t="n"/>
      <c r="B1995" s="7" t="n"/>
      <c r="C1995" s="7" t="n"/>
      <c r="D1995" s="39" t="n"/>
      <c r="E1995" s="39" t="n"/>
      <c r="F1995" s="7" t="n"/>
      <c r="G1995" s="40" t="n"/>
      <c r="H1995" s="39" t="n"/>
      <c r="I1995" s="39" t="n"/>
    </row>
    <row r="1996">
      <c r="A1996" s="7" t="n"/>
      <c r="B1996" s="7" t="n"/>
      <c r="C1996" s="7" t="n"/>
      <c r="D1996" s="39" t="n"/>
      <c r="E1996" s="39" t="n"/>
      <c r="F1996" s="7" t="n"/>
      <c r="G1996" s="40" t="n"/>
      <c r="H1996" s="39" t="n"/>
      <c r="I1996" s="39" t="n"/>
    </row>
    <row r="1997">
      <c r="A1997" s="7" t="n"/>
      <c r="B1997" s="7" t="n"/>
      <c r="C1997" s="7" t="n"/>
      <c r="D1997" s="39" t="n"/>
      <c r="E1997" s="39" t="n"/>
      <c r="F1997" s="7" t="n"/>
      <c r="G1997" s="40" t="n"/>
      <c r="H1997" s="39" t="n"/>
      <c r="I1997" s="39" t="n"/>
    </row>
    <row r="1998">
      <c r="A1998" s="7" t="n"/>
      <c r="B1998" s="7" t="n"/>
      <c r="C1998" s="7" t="n"/>
      <c r="D1998" s="39" t="n"/>
      <c r="E1998" s="39" t="n"/>
      <c r="F1998" s="7" t="n"/>
      <c r="G1998" s="40" t="n"/>
      <c r="H1998" s="39" t="n"/>
      <c r="I1998" s="39" t="n"/>
    </row>
    <row r="1999">
      <c r="A1999" s="7" t="n"/>
      <c r="B1999" s="7" t="n"/>
      <c r="C1999" s="7" t="n"/>
      <c r="D1999" s="39" t="n"/>
      <c r="E1999" s="39" t="n"/>
      <c r="F1999" s="7" t="n"/>
      <c r="G1999" s="40" t="n"/>
      <c r="H1999" s="39" t="n"/>
      <c r="I1999" s="39" t="n"/>
    </row>
    <row r="2000">
      <c r="A2000" s="7" t="n"/>
      <c r="B2000" s="7" t="n"/>
      <c r="C2000" s="7" t="n"/>
      <c r="D2000" s="39" t="n"/>
      <c r="E2000" s="39" t="n"/>
      <c r="F2000" s="7" t="n"/>
      <c r="G2000" s="40" t="n"/>
      <c r="H2000" s="39" t="n"/>
      <c r="I2000" s="39" t="n"/>
    </row>
    <row r="2001">
      <c r="A2001" s="7" t="n"/>
      <c r="B2001" s="7" t="n"/>
      <c r="C2001" s="7" t="n"/>
      <c r="D2001" s="39" t="n"/>
      <c r="E2001" s="39" t="n"/>
      <c r="F2001" s="7" t="n"/>
      <c r="G2001" s="40" t="n"/>
      <c r="H2001" s="39" t="n"/>
      <c r="I2001" s="39" t="n"/>
    </row>
  </sheetData>
  <dataValidations count="5">
    <dataValidation sqref="A2:A2001" showDropDown="0" showInputMessage="0" showErrorMessage="1" allowBlank="1" errorTitle="Invalid value" error="Select a value from the list. / 一覧から選択してください。" type="list">
      <formula1>=lst_region</formula1>
    </dataValidation>
    <dataValidation sqref="B2:B2001" showDropDown="0" showInputMessage="0" showErrorMessage="1" allowBlank="1" error="Enter a whole number. / 整数で入力してください。" type="whole" operator="greaterThanOrEqual">
      <formula1>0</formula1>
    </dataValidation>
    <dataValidation sqref="C2:C2001" showDropDown="0" showInputMessage="0" showErrorMessage="1" allowBlank="1" error="Enter a whole number. / 整数で入力してください。" type="whole" operator="greaterThanOrEqual">
      <formula1>0</formula1>
    </dataValidation>
    <dataValidation sqref="F2:F2001" showDropDown="0" showInputMessage="0" showErrorMessage="1" allowBlank="1" errorTitle="Invalid value" error="Select a value from the list. / 一覧から選択してください。" type="list">
      <formula1>=lst_currency</formula1>
    </dataValidation>
    <dataValidation sqref="G2:G2001" showDropDown="0" showInputMessage="0" showErrorMessage="1" allowBlank="1" error="Enter a number. / 数値で入力してください。" type="decimal" operator="greaterThanOrEqual">
      <formula1>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7F7F7F"/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4" t="inlineStr">
        <is>
          <t>cost_center_code</t>
        </is>
      </c>
      <c r="B1" s="4" t="inlineStr">
        <is>
          <t>account_key</t>
        </is>
      </c>
      <c r="C1" s="4" t="inlineStr">
        <is>
          <t>Jan</t>
        </is>
      </c>
      <c r="D1" s="4" t="inlineStr">
        <is>
          <t>Feb</t>
        </is>
      </c>
      <c r="E1" s="4" t="inlineStr">
        <is>
          <t>Mar</t>
        </is>
      </c>
      <c r="F1" s="4" t="inlineStr">
        <is>
          <t>Apr</t>
        </is>
      </c>
      <c r="G1" s="4" t="inlineStr">
        <is>
          <t>May</t>
        </is>
      </c>
      <c r="H1" s="4" t="inlineStr">
        <is>
          <t>Jun</t>
        </is>
      </c>
      <c r="I1" s="4" t="inlineStr">
        <is>
          <t>Jul</t>
        </is>
      </c>
      <c r="J1" s="4" t="inlineStr">
        <is>
          <t>Aug</t>
        </is>
      </c>
      <c r="K1" s="4" t="inlineStr">
        <is>
          <t>Sep</t>
        </is>
      </c>
      <c r="L1" s="4" t="inlineStr">
        <is>
          <t>Oct</t>
        </is>
      </c>
      <c r="M1" s="4" t="inlineStr">
        <is>
          <t>Nov</t>
        </is>
      </c>
      <c r="N1" s="4" t="inlineStr">
        <is>
          <t>Dec</t>
        </is>
      </c>
      <c r="O1" s="4" t="inlineStr">
        <is>
          <t>YTD</t>
        </is>
      </c>
      <c r="P1" s="4" t="inlineStr">
        <is>
          <t>MTG</t>
        </is>
      </c>
      <c r="Q1" s="4" t="inlineStr">
        <is>
          <t>FY</t>
        </is>
      </c>
      <c r="R1" s="4" t="inlineStr">
        <is>
          <t>as_of_close_month</t>
        </is>
      </c>
      <c r="T1" s="14" t="inlineStr">
        <is>
          <t>Setup (IT Finance, once, Excel desktop) / 初回設定（ITファイナンス、1回だけ、デスクトップ版Excel）</t>
        </is>
      </c>
    </row>
    <row r="2">
      <c r="T2" s="41" t="inlineStr">
        <is>
          <t>1. Delete the placeholder table on the left. / 左の仮テーブルを削除する。</t>
        </is>
      </c>
    </row>
    <row r="3">
      <c r="T3" s="41" t="inlineStr">
        <is>
          <t>2. Data &gt; Get Data &gt; From Other Sources &gt; Blank Query. Paste the M code below and name the query Prior_Forecast. / 空のクエリに下のMコードを貼り、クエリ名をPrior_Forecastにする。</t>
        </is>
      </c>
    </row>
    <row r="4">
      <c r="T4" s="41" t="inlineStr">
        <is>
          <t>3. Close &amp; Load To &gt; Existing worksheet &gt; Prior_Forecast!$A$1. / 「閉じて次に読み込む」でこのシートのA1に読み込む。</t>
        </is>
      </c>
    </row>
    <row r="5">
      <c r="T5" s="41" t="inlineStr">
        <is>
          <t>4. Data &gt; Queries &amp; Connections &gt; Prior_Forecast &gt; Properties: uncheck 'Refresh this connection on Refresh All'. / 接続のプロパティで「すべて更新でこの接続を更新する」をオフにする。</t>
        </is>
      </c>
    </row>
    <row r="6">
      <c r="T6" s="42" t="inlineStr">
        <is>
          <t>let</t>
        </is>
      </c>
    </row>
    <row r="7">
      <c r="T7" s="42" t="inlineStr">
        <is>
          <t xml:space="preserve">    Src = Excel.CurrentWorkbook(){[Name="rng_BvA"]}[Content],</t>
        </is>
      </c>
    </row>
    <row r="8">
      <c r="T8" s="42" t="inlineStr">
        <is>
          <t xml:space="preserve">    Hdr = Table.PromoteHeaders(Src, [PromoteAllScalars=true]),</t>
        </is>
      </c>
    </row>
    <row r="9">
      <c r="T9" s="42" t="inlineStr">
        <is>
          <t xml:space="preserve">    Rows = Table.SelectRows(Hdr, each [line] = "Actual + Forecast" and [cost_center_code] &lt;&gt; null and [cost_center_code] &lt;&gt; ""),</t>
        </is>
      </c>
    </row>
    <row r="10">
      <c r="T10" s="42" t="inlineStr">
        <is>
          <t xml:space="preserve">    Keep = Table.SelectColumns(Rows, {"cost_center_code","account_key","Jan","Feb","Mar","Apr","May","Jun","Jul","Aug","Sep","Oct","Nov","Dec","YTD","MTG","FY"}),</t>
        </is>
      </c>
    </row>
    <row r="11">
      <c r="T11" s="42" t="inlineStr">
        <is>
          <t xml:space="preserve">    Close = Excel.CurrentWorkbook(){[Name="prm_close_month"]}[Content]{0}[Column1],</t>
        </is>
      </c>
    </row>
    <row r="12">
      <c r="T12" s="42" t="inlineStr">
        <is>
          <t xml:space="preserve">    Result = Table.AddColumn(Keep, "as_of_close_month", each Close, Int64.Type)</t>
        </is>
      </c>
    </row>
    <row r="13">
      <c r="T13" s="42" t="inlineStr">
        <is>
          <t>in</t>
        </is>
      </c>
    </row>
    <row r="14">
      <c r="T14" s="42" t="inlineStr">
        <is>
          <t xml:space="preserve">    Result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7F7F7F"/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12" customWidth="1" min="4" max="4"/>
    <col width="16" customWidth="1" min="5" max="5"/>
    <col width="12" customWidth="1" min="6" max="6"/>
  </cols>
  <sheetData>
    <row r="1">
      <c r="A1" s="4" t="inlineStr">
        <is>
          <t>cost_center_code</t>
        </is>
      </c>
      <c r="B1" s="4" t="inlineStr">
        <is>
          <t>cost_center_name</t>
        </is>
      </c>
      <c r="C1" s="4" t="inlineStr">
        <is>
          <t>region</t>
        </is>
      </c>
      <c r="D1" s="4" t="inlineStr">
        <is>
          <t>function</t>
        </is>
      </c>
      <c r="E1" s="4" t="inlineStr">
        <is>
          <t>sub_function</t>
        </is>
      </c>
      <c r="F1" s="4" t="inlineStr">
        <is>
          <t>active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7F7F7F"/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2" customWidth="1" min="3" max="3"/>
    <col width="22" customWidth="1" min="4" max="4"/>
    <col width="19" customWidth="1" min="5" max="5"/>
    <col width="19" customWidth="1" min="6" max="6"/>
    <col width="17" customWidth="1" min="7" max="7"/>
  </cols>
  <sheetData>
    <row r="1">
      <c r="A1" s="4" t="inlineStr">
        <is>
          <t>account_key</t>
        </is>
      </c>
      <c r="B1" s="4" t="inlineStr">
        <is>
          <t>region</t>
        </is>
      </c>
      <c r="C1" s="4" t="inlineStr">
        <is>
          <t>local_account_code</t>
        </is>
      </c>
      <c r="D1" s="4" t="inlineStr">
        <is>
          <t>local_account_name</t>
        </is>
      </c>
      <c r="E1" s="4" t="inlineStr">
        <is>
          <t>global_coa_code</t>
        </is>
      </c>
      <c r="F1" s="4" t="inlineStr">
        <is>
          <t>global_coa_name</t>
        </is>
      </c>
      <c r="G1" s="4" t="inlineStr">
        <is>
          <t>mgmt_category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7F7F7F"/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2" customWidth="1" min="3" max="3"/>
    <col width="15" customWidth="1" min="4" max="4"/>
  </cols>
  <sheetData>
    <row r="1">
      <c r="A1" s="4" t="inlineStr">
        <is>
          <t>fiscal_year</t>
        </is>
      </c>
      <c r="B1" s="4" t="inlineStr">
        <is>
          <t>rate_type</t>
        </is>
      </c>
      <c r="C1" s="4" t="inlineStr">
        <is>
          <t>currency</t>
        </is>
      </c>
      <c r="D1" s="4" t="inlineStr">
        <is>
          <t>rate_to_jpy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7F7F7F"/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4" t="inlineStr">
        <is>
          <t>region</t>
        </is>
      </c>
      <c r="B1" s="4" t="inlineStr">
        <is>
          <t>currency</t>
        </is>
      </c>
      <c r="C1" s="4" t="inlineStr">
        <is>
          <t>contract_type</t>
        </is>
      </c>
      <c r="D1" s="4" t="inlineStr">
        <is>
          <t>employment_type</t>
        </is>
      </c>
      <c r="E1" s="4" t="inlineStr">
        <is>
          <t>allocation_type</t>
        </is>
      </c>
      <c r="F1" s="4" t="inlineStr">
        <is>
          <t>source_type</t>
        </is>
      </c>
      <c r="G1" s="4" t="inlineStr">
        <is>
          <t>cost_category</t>
        </is>
      </c>
      <c r="H1" s="4" t="inlineStr">
        <is>
          <t>rate_type</t>
        </is>
      </c>
      <c r="I1" s="4" t="inlineStr">
        <is>
          <t>yes_no</t>
        </is>
      </c>
    </row>
    <row r="2">
      <c r="A2" s="7" t="inlineStr">
        <is>
          <t>JP</t>
        </is>
      </c>
      <c r="B2" s="7" t="inlineStr">
        <is>
          <t>JPY</t>
        </is>
      </c>
      <c r="C2" s="7" t="inlineStr">
        <is>
          <t>PREPAID</t>
        </is>
      </c>
      <c r="D2" s="7" t="inlineStr">
        <is>
          <t>EMPLOYEE</t>
        </is>
      </c>
      <c r="E2" s="7" t="inlineStr">
        <is>
          <t>COST_CENTER</t>
        </is>
      </c>
      <c r="F2" s="7" t="inlineStr">
        <is>
          <t>MANUAL</t>
        </is>
      </c>
      <c r="G2" s="7" t="inlineStr">
        <is>
          <t>SaaS / License</t>
        </is>
      </c>
      <c r="H2" s="7" t="inlineStr">
        <is>
          <t>BUDGET</t>
        </is>
      </c>
      <c r="I2" s="7" t="inlineStr">
        <is>
          <t>Y</t>
        </is>
      </c>
    </row>
    <row r="3">
      <c r="A3" s="7" t="inlineStr">
        <is>
          <t>NA</t>
        </is>
      </c>
      <c r="B3" s="7" t="inlineStr">
        <is>
          <t>USD</t>
        </is>
      </c>
      <c r="C3" s="7" t="inlineStr">
        <is>
          <t>MONTHLY</t>
        </is>
      </c>
      <c r="D3" s="7" t="inlineStr">
        <is>
          <t>EXTERNAL</t>
        </is>
      </c>
      <c r="E3" s="7" t="inlineStr">
        <is>
          <t>PROJECT</t>
        </is>
      </c>
      <c r="F3" s="7" t="inlineStr">
        <is>
          <t>CONTRACT</t>
        </is>
      </c>
      <c r="G3" s="7" t="inlineStr">
        <is>
          <t>Maintenance</t>
        </is>
      </c>
      <c r="I3" s="7" t="inlineStr">
        <is>
          <t>N</t>
        </is>
      </c>
    </row>
    <row r="4">
      <c r="A4" s="7" t="inlineStr">
        <is>
          <t>EMEA</t>
        </is>
      </c>
      <c r="B4" s="7" t="inlineStr">
        <is>
          <t>EUR</t>
        </is>
      </c>
      <c r="C4" s="7" t="inlineStr">
        <is>
          <t>RATE_REF</t>
        </is>
      </c>
      <c r="F4" s="7" t="inlineStr">
        <is>
          <t>ASSET</t>
        </is>
      </c>
      <c r="G4" s="7" t="inlineStr">
        <is>
          <t>Outsourcing</t>
        </is>
      </c>
    </row>
    <row r="5">
      <c r="B5" s="7" t="inlineStr">
        <is>
          <t>GBP</t>
        </is>
      </c>
      <c r="F5" s="7" t="inlineStr">
        <is>
          <t>WORKFORCE</t>
        </is>
      </c>
      <c r="G5" s="7" t="inlineStr">
        <is>
          <t>Cloud</t>
        </is>
      </c>
    </row>
    <row r="6">
      <c r="G6" s="7" t="inlineStr">
        <is>
          <t>Telecom</t>
        </is>
      </c>
    </row>
    <row r="7">
      <c r="G7" s="7" t="inlineStr">
        <is>
          <t>Hardware</t>
        </is>
      </c>
    </row>
    <row r="8">
      <c r="G8" s="7" t="inlineStr">
        <is>
          <t>Personnel</t>
        </is>
      </c>
    </row>
    <row r="9">
      <c r="G9" s="7" t="inlineStr">
        <is>
          <t>Depreciation</t>
        </is>
      </c>
    </row>
    <row r="10">
      <c r="G10" s="7" t="inlineStr">
        <is>
          <t>Travel &amp; Training</t>
        </is>
      </c>
    </row>
    <row r="11">
      <c r="G11" s="7" t="inlineStr">
        <is>
          <t>Other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2026-10-24T10:33:49Z</dcterms:created>
  <dcterms:modified xmlns:dcterms="http://purl.org/dc/terms/" xmlns:xsi="http://www.w3.org/2001/XMLSchema-instance" xsi:type="dcterms:W3CDTF">2026-10-24T10:33:53Z</dcterms:modified>
</cp:coreProperties>
</file>